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2"/>
    <sheet name="材料DB" sheetId="2" state="visible" r:id="rId3"/>
    <sheet name="形状" sheetId="3" state="visible" r:id="rId4"/>
    <sheet name="断面" sheetId="4" state="visible" r:id="rId5"/>
    <sheet name="固有振動数" sheetId="5" state="visible" r:id="rId6"/>
    <sheet name="スペクトル" sheetId="6" state="visible" r:id="rId7"/>
    <sheet name="鳴きリスク" sheetId="7" state="visible" r:id="rId8"/>
    <sheet name="逆算" sheetId="8" state="visible" r:id="rId9"/>
    <sheet name="式一覧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<sst xmlns="http://schemas.openxmlformats.org/spreadsheetml/2006/main" count="807" uniqueCount="611">
  <si>
    <t xml:space="preserve">ブレーキパッド 固有振動数予測ブック</t>
  </si>
  <si>
    <r>
      <rPr>
        <sz val="9"/>
        <color rgb="FFA0A6B0"/>
        <rFont val="Noto Sans CJK SC"/>
        <family val="2"/>
        <charset val="1"/>
      </rPr>
      <t xml:space="preserve">材質・寸法 → 固有振動数・スペクトル・鳴きリスク／実測ピーク → 材質の逆算  </t>
    </r>
    <r>
      <rPr>
        <sz val="9"/>
        <color rgb="FFA0A6B0"/>
        <rFont val="Arial"/>
        <family val="0"/>
        <charset val="1"/>
      </rPr>
      <t xml:space="preserve">|  Ver 1.0</t>
    </r>
  </si>
  <si>
    <t xml:space="preserve">■ このブックで何ができるか</t>
  </si>
  <si>
    <t xml:space="preserve">① 順算（じゅんざん）</t>
  </si>
  <si>
    <t xml:space="preserve">材質と寸法を入れる → 固有振動数を予測</t>
  </si>
  <si>
    <t xml:space="preserve">シート：形状 → 断面 → 固有振動数</t>
  </si>
  <si>
    <t xml:space="preserve">② スペクトル</t>
  </si>
  <si>
    <r>
      <rPr>
        <sz val="11"/>
        <color rgb="FFE6E6E6"/>
        <rFont val="Noto Sans CJK SC"/>
        <family val="2"/>
        <charset val="1"/>
      </rPr>
      <t xml:space="preserve">予測した山（ピーク）を並べて、</t>
    </r>
    <r>
      <rPr>
        <sz val="11"/>
        <color rgb="FFE6E6E6"/>
        <rFont val="Arial"/>
        <family val="0"/>
        <charset val="1"/>
      </rPr>
      <t xml:space="preserve">FFT</t>
    </r>
    <r>
      <rPr>
        <sz val="11"/>
        <color rgb="FFE6E6E6"/>
        <rFont val="Noto Sans CJK SC"/>
        <family val="2"/>
        <charset val="1"/>
      </rPr>
      <t xml:space="preserve">画面そっくりのグラフを作る</t>
    </r>
  </si>
  <si>
    <t xml:space="preserve">シート：スペクトル</t>
  </si>
  <si>
    <t xml:space="preserve">③ 鳴きリスク判定</t>
  </si>
  <si>
    <t xml:space="preserve">その寸法だと鳴きやすいかを点数化</t>
  </si>
  <si>
    <t xml:space="preserve">シート：鳴きリスク</t>
  </si>
  <si>
    <t xml:space="preserve">④ 逆算</t>
  </si>
  <si>
    <t xml:space="preserve">実測したピーク周波数 → 摩擦材のヤング率を逆に求める</t>
  </si>
  <si>
    <t xml:space="preserve">シート：逆算</t>
  </si>
  <si>
    <t xml:space="preserve">■ 触るセルの色分け</t>
  </si>
  <si>
    <t xml:space="preserve">アンバー（茶色）のセル</t>
  </si>
  <si>
    <r>
      <rPr>
        <sz val="11"/>
        <color rgb="FFE6E6E6"/>
        <rFont val="Noto Sans CJK SC"/>
        <family val="2"/>
        <charset val="1"/>
      </rPr>
      <t xml:space="preserve">あなたが入力するところ。ここだけ触れば</t>
    </r>
    <r>
      <rPr>
        <sz val="11"/>
        <color rgb="FFE6E6E6"/>
        <rFont val="Arial"/>
        <family val="0"/>
        <charset val="1"/>
      </rPr>
      <t xml:space="preserve">OK</t>
    </r>
  </si>
  <si>
    <t xml:space="preserve">入力</t>
  </si>
  <si>
    <t xml:space="preserve">グリーンのセル</t>
  </si>
  <si>
    <t xml:space="preserve">自動計算の結果。触ると壊れます</t>
  </si>
  <si>
    <t xml:space="preserve">出力</t>
  </si>
  <si>
    <t xml:space="preserve">グレーのセル</t>
  </si>
  <si>
    <t xml:space="preserve">計算の途中。見なくてよい</t>
  </si>
  <si>
    <t xml:space="preserve">中間</t>
  </si>
  <si>
    <t xml:space="preserve">■ 使う順番（この順で必ず動きます）</t>
  </si>
  <si>
    <t xml:space="preserve">STEP 1</t>
  </si>
  <si>
    <r>
      <rPr>
        <sz val="11"/>
        <color rgb="FFE6E6E6"/>
        <rFont val="Noto Sans CJK SC"/>
        <family val="2"/>
        <charset val="1"/>
      </rPr>
      <t xml:space="preserve">「材料</t>
    </r>
    <r>
      <rPr>
        <sz val="11"/>
        <color rgb="FFE6E6E6"/>
        <rFont val="Arial"/>
        <family val="0"/>
        <charset val="1"/>
      </rPr>
      <t xml:space="preserve">DB</t>
    </r>
    <r>
      <rPr>
        <sz val="11"/>
        <color rgb="FFE6E6E6"/>
        <rFont val="Noto Sans CJK SC"/>
        <family val="2"/>
        <charset val="1"/>
      </rPr>
      <t xml:space="preserve">」で使う材料を確認（無ければ行を追加）</t>
    </r>
  </si>
  <si>
    <t xml:space="preserve">STEP 2</t>
  </si>
  <si>
    <r>
      <rPr>
        <sz val="11"/>
        <color rgb="FFE6E6E6"/>
        <rFont val="Noto Sans CJK SC"/>
        <family val="2"/>
        <charset val="1"/>
      </rPr>
      <t xml:space="preserve">「形状」に パッド外形の頂点座標（</t>
    </r>
    <r>
      <rPr>
        <sz val="11"/>
        <color rgb="FFE6E6E6"/>
        <rFont val="Arial"/>
        <family val="0"/>
        <charset val="1"/>
      </rPr>
      <t xml:space="preserve">X,Y</t>
    </r>
    <r>
      <rPr>
        <sz val="11"/>
        <color rgb="FFE6E6E6"/>
        <rFont val="Noto Sans CJK SC"/>
        <family val="2"/>
        <charset val="1"/>
      </rPr>
      <t xml:space="preserve">）を </t>
    </r>
    <r>
      <rPr>
        <sz val="11"/>
        <color rgb="FFE6E6E6"/>
        <rFont val="Arial"/>
        <family val="0"/>
        <charset val="1"/>
      </rPr>
      <t xml:space="preserve">12/14/16 </t>
    </r>
    <r>
      <rPr>
        <sz val="11"/>
        <color rgb="FFE6E6E6"/>
        <rFont val="Noto Sans CJK SC"/>
        <family val="2"/>
        <charset val="1"/>
      </rPr>
      <t xml:space="preserve">点まで入力</t>
    </r>
  </si>
  <si>
    <r>
      <rPr>
        <sz val="10"/>
        <color rgb="FFA0A6B0"/>
        <rFont val="Noto Sans CJK SC"/>
        <family val="2"/>
        <charset val="1"/>
      </rPr>
      <t xml:space="preserve">右のプリセットをコピペでも</t>
    </r>
    <r>
      <rPr>
        <sz val="10"/>
        <color rgb="FFA0A6B0"/>
        <rFont val="Arial"/>
        <family val="0"/>
        <charset val="1"/>
      </rPr>
      <t xml:space="preserve">OK</t>
    </r>
  </si>
  <si>
    <t xml:space="preserve">STEP 3</t>
  </si>
  <si>
    <t xml:space="preserve">「断面」で 層（シム／裏板／接着／摩擦材）の材料と厚さを入力</t>
  </si>
  <si>
    <t xml:space="preserve">STEP 4</t>
  </si>
  <si>
    <t xml:space="preserve">「固有振動数」を見る → 予測ピーク一覧が出る</t>
  </si>
  <si>
    <t xml:space="preserve">STEP 5</t>
  </si>
  <si>
    <r>
      <rPr>
        <sz val="11"/>
        <color rgb="FFE6E6E6"/>
        <rFont val="Noto Sans CJK SC"/>
        <family val="2"/>
        <charset val="1"/>
      </rPr>
      <t xml:space="preserve">「スペクトル」でグラフ確認。</t>
    </r>
    <r>
      <rPr>
        <sz val="11"/>
        <color rgb="FFE6E6E6"/>
        <rFont val="Arial"/>
        <family val="0"/>
        <charset val="1"/>
      </rPr>
      <t xml:space="preserve">A</t>
    </r>
    <r>
      <rPr>
        <sz val="11"/>
        <color rgb="FFE6E6E6"/>
        <rFont val="Noto Sans CJK SC"/>
        <family val="2"/>
        <charset val="1"/>
      </rPr>
      <t xml:space="preserve">〜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  <charset val="1"/>
      </rPr>
      <t xml:space="preserve">列をコピーすれば他ソフトに貼れる</t>
    </r>
  </si>
  <si>
    <t xml:space="preserve">STEP 6</t>
  </si>
  <si>
    <t xml:space="preserve">「鳴きリスク」でディスク（ローター）の固有振動数を入れて判定</t>
  </si>
  <si>
    <t xml:space="preserve">STEP 7</t>
  </si>
  <si>
    <t xml:space="preserve">実測値があれば「逆算」で摩擦材のヤング率を求める</t>
  </si>
  <si>
    <t xml:space="preserve">■ 信頼度マーク</t>
  </si>
  <si>
    <t xml:space="preserve">🟢 検証済み</t>
  </si>
  <si>
    <t xml:space="preserve">教科書・規格に載っている確立した式。そのまま信じてよい</t>
  </si>
  <si>
    <t xml:space="preserve">🟡 推定</t>
  </si>
  <si>
    <t xml:space="preserve">妥当だが近似。実測で校正してから使う</t>
  </si>
  <si>
    <t xml:space="preserve">🔴 要確認</t>
  </si>
  <si>
    <t xml:space="preserve">値のばらつきが大きい。必ず自分で測る</t>
  </si>
  <si>
    <t xml:space="preserve">■ 重要な前提（ここを外すと全部ずれます）</t>
  </si>
  <si>
    <r>
      <rPr>
        <b val="true"/>
        <sz val="11"/>
        <color rgb="FF4FD1E5"/>
        <rFont val="Noto Sans CJK SC"/>
        <family val="2"/>
        <charset val="1"/>
      </rPr>
      <t xml:space="preserve">自由−自由（</t>
    </r>
    <r>
      <rPr>
        <b val="true"/>
        <sz val="11"/>
        <color rgb="FF4FD1E5"/>
        <rFont val="Arial"/>
        <family val="0"/>
        <charset val="1"/>
      </rPr>
      <t xml:space="preserve">free-free</t>
    </r>
    <r>
      <rPr>
        <b val="true"/>
        <sz val="11"/>
        <color rgb="FF4FD1E5"/>
        <rFont val="Noto Sans CJK SC"/>
        <family val="2"/>
        <charset val="1"/>
      </rPr>
      <t xml:space="preserve">）</t>
    </r>
  </si>
  <si>
    <t xml:space="preserve">ピアノ線で吊った状態＝どこも固定していない状態を仮定</t>
  </si>
  <si>
    <t xml:space="preserve">🟢</t>
  </si>
  <si>
    <t xml:space="preserve">はり（梁）近似</t>
  </si>
  <si>
    <r>
      <rPr>
        <sz val="11"/>
        <color rgb="FFE6E6E6"/>
        <rFont val="Noto Sans CJK SC"/>
        <family val="2"/>
        <charset val="1"/>
      </rPr>
      <t xml:space="preserve">パッドを「円周方向に長い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  <charset val="1"/>
      </rPr>
      <t xml:space="preserve">本の棒」とみなす。曲率は無視</t>
    </r>
  </si>
  <si>
    <t xml:space="preserve">🟡</t>
  </si>
  <si>
    <t xml:space="preserve">摩擦材のヤング率</t>
  </si>
  <si>
    <r>
      <rPr>
        <sz val="11"/>
        <color rgb="FFE6E6E6"/>
        <rFont val="Noto Sans CJK SC"/>
        <family val="2"/>
        <charset val="1"/>
      </rPr>
      <t xml:space="preserve">配合で </t>
    </r>
    <r>
      <rPr>
        <sz val="11"/>
        <color rgb="FFE6E6E6"/>
        <rFont val="Arial"/>
        <family val="0"/>
        <charset val="1"/>
      </rPr>
      <t xml:space="preserve">0.5</t>
    </r>
    <r>
      <rPr>
        <sz val="11"/>
        <color rgb="FFE6E6E6"/>
        <rFont val="Noto Sans CJK SC"/>
        <family val="2"/>
        <charset val="1"/>
      </rPr>
      <t xml:space="preserve">〜</t>
    </r>
    <r>
      <rPr>
        <sz val="11"/>
        <color rgb="FFE6E6E6"/>
        <rFont val="Arial"/>
        <family val="0"/>
        <charset val="1"/>
      </rPr>
      <t xml:space="preserve">35 GPa </t>
    </r>
    <r>
      <rPr>
        <sz val="11"/>
        <color rgb="FFE6E6E6"/>
        <rFont val="Noto Sans CJK SC"/>
        <family val="2"/>
        <charset val="1"/>
      </rPr>
      <t xml:space="preserve">と </t>
    </r>
    <r>
      <rPr>
        <sz val="11"/>
        <color rgb="FFE6E6E6"/>
        <rFont val="Arial"/>
        <family val="0"/>
        <charset val="1"/>
      </rPr>
      <t xml:space="preserve">70</t>
    </r>
    <r>
      <rPr>
        <sz val="11"/>
        <color rgb="FFE6E6E6"/>
        <rFont val="Noto Sans CJK SC"/>
        <family val="2"/>
        <charset val="1"/>
      </rPr>
      <t xml:space="preserve">倍以上ばらつく。ここが最大の誤差源</t>
    </r>
  </si>
  <si>
    <t xml:space="preserve">🔴</t>
  </si>
  <si>
    <r>
      <rPr>
        <b val="true"/>
        <sz val="11"/>
        <color rgb="FF4FD1E5"/>
        <rFont val="Noto Sans CJK SC"/>
        <family val="2"/>
        <charset val="1"/>
      </rPr>
      <t xml:space="preserve">この予測は </t>
    </r>
    <r>
      <rPr>
        <b val="true"/>
        <sz val="11"/>
        <color rgb="FF4FD1E5"/>
        <rFont val="Arial"/>
        <family val="0"/>
        <charset val="1"/>
      </rPr>
      <t xml:space="preserve">CEA </t>
    </r>
    <r>
      <rPr>
        <b val="true"/>
        <sz val="11"/>
        <color rgb="FF4FD1E5"/>
        <rFont val="Noto Sans CJK SC"/>
        <family val="2"/>
        <charset val="1"/>
      </rPr>
      <t xml:space="preserve">ではない</t>
    </r>
  </si>
  <si>
    <t xml:space="preserve">鳴きリスクは「素通し検査」。本番の不安定性判定は複素固有値解析(CEA)で</t>
  </si>
  <si>
    <t xml:space="preserve">材料データベース</t>
  </si>
  <si>
    <r>
      <rPr>
        <sz val="9"/>
        <color rgb="FFA0A6B0"/>
        <rFont val="Arial"/>
        <family val="0"/>
        <charset val="1"/>
      </rPr>
      <t xml:space="preserve">E=</t>
    </r>
    <r>
      <rPr>
        <sz val="9"/>
        <color rgb="FFA0A6B0"/>
        <rFont val="Noto Sans CJK SC"/>
        <family val="2"/>
        <charset val="1"/>
      </rPr>
      <t xml:space="preserve">ヤング率（かたさ）／</t>
    </r>
    <r>
      <rPr>
        <sz val="9"/>
        <color rgb="FFA0A6B0"/>
        <rFont val="Arial"/>
        <family val="0"/>
        <charset val="1"/>
      </rPr>
      <t xml:space="preserve">ρ=</t>
    </r>
    <r>
      <rPr>
        <sz val="9"/>
        <color rgb="FFA0A6B0"/>
        <rFont val="Noto Sans CJK SC"/>
        <family val="2"/>
        <charset val="1"/>
      </rPr>
      <t xml:space="preserve">密度（重さ）／</t>
    </r>
    <r>
      <rPr>
        <sz val="9"/>
        <color rgb="FFA0A6B0"/>
        <rFont val="Arial"/>
        <family val="0"/>
        <charset val="1"/>
      </rPr>
      <t xml:space="preserve">ν=</t>
    </r>
    <r>
      <rPr>
        <sz val="9"/>
        <color rgb="FFA0A6B0"/>
        <rFont val="Noto Sans CJK SC"/>
        <family val="2"/>
        <charset val="1"/>
      </rPr>
      <t xml:space="preserve">ポアソン比／</t>
    </r>
    <r>
      <rPr>
        <sz val="9"/>
        <color rgb="FFA0A6B0"/>
        <rFont val="Arial"/>
        <family val="0"/>
        <charset val="1"/>
      </rPr>
      <t xml:space="preserve">η=</t>
    </r>
    <r>
      <rPr>
        <sz val="9"/>
        <color rgb="FFA0A6B0"/>
        <rFont val="Noto Sans CJK SC"/>
        <family val="2"/>
        <charset val="1"/>
      </rPr>
      <t xml:space="preserve">損失係数（振動の減りやすさ）</t>
    </r>
  </si>
  <si>
    <t xml:space="preserve">材料名</t>
  </si>
  <si>
    <t xml:space="preserve">E [GPa]</t>
  </si>
  <si>
    <t xml:space="preserve">ρ [kg/m³]</t>
  </si>
  <si>
    <t xml:space="preserve">ν</t>
  </si>
  <si>
    <r>
      <rPr>
        <b val="true"/>
        <sz val="10"/>
        <color rgb="FFFFD166"/>
        <rFont val="Arial"/>
        <family val="0"/>
        <charset val="1"/>
      </rPr>
      <t xml:space="preserve">η(</t>
    </r>
    <r>
      <rPr>
        <b val="true"/>
        <sz val="10"/>
        <color rgb="FFFFD166"/>
        <rFont val="Noto Sans CJK SC"/>
        <family val="2"/>
        <charset val="1"/>
      </rPr>
      <t xml:space="preserve">目安</t>
    </r>
    <r>
      <rPr>
        <b val="true"/>
        <sz val="10"/>
        <color rgb="FFFFD166"/>
        <rFont val="Arial"/>
        <family val="0"/>
        <charset val="1"/>
      </rPr>
      <t xml:space="preserve">)</t>
    </r>
  </si>
  <si>
    <t xml:space="preserve">分類</t>
  </si>
  <si>
    <t xml:space="preserve">信頼度</t>
  </si>
  <si>
    <t xml:space="preserve">出典・備考</t>
  </si>
  <si>
    <r>
      <rPr>
        <b val="true"/>
        <sz val="11"/>
        <color rgb="FF4FD1E5"/>
        <rFont val="Noto Sans CJK SC"/>
        <family val="2"/>
        <charset val="1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SPCC(</t>
    </r>
    <r>
      <rPr>
        <b val="true"/>
        <sz val="11"/>
        <color rgb="FF4FD1E5"/>
        <rFont val="Noto Sans CJK SC"/>
        <family val="2"/>
        <charset val="1"/>
      </rPr>
      <t xml:space="preserve">裏板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</si>
  <si>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金属</t>
  </si>
  <si>
    <r>
      <rPr>
        <sz val="9"/>
        <color rgb="FFA0A6B0"/>
        <rFont val="Arial"/>
        <family val="0"/>
        <charset val="1"/>
      </rPr>
      <t xml:space="preserve">JIS</t>
    </r>
    <r>
      <rPr>
        <sz val="9"/>
        <color rgb="FFA0A6B0"/>
        <rFont val="Noto Sans CJK SC"/>
        <family val="2"/>
        <charset val="1"/>
      </rPr>
      <t xml:space="preserve">一般値 </t>
    </r>
    <r>
      <rPr>
        <sz val="9"/>
        <color rgb="FFA0A6B0"/>
        <rFont val="Arial"/>
        <family val="0"/>
        <charset val="1"/>
      </rPr>
      <t xml:space="preserve">/ </t>
    </r>
    <r>
      <rPr>
        <sz val="9"/>
        <color rgb="FFA0A6B0"/>
        <rFont val="Noto Sans CJK SC"/>
        <family val="2"/>
        <charset val="1"/>
      </rPr>
      <t xml:space="preserve">鋼の</t>
    </r>
    <r>
      <rPr>
        <sz val="9"/>
        <color rgb="FFA0A6B0"/>
        <rFont val="Arial"/>
        <family val="0"/>
        <charset val="1"/>
      </rPr>
      <t xml:space="preserve">E</t>
    </r>
    <r>
      <rPr>
        <sz val="9"/>
        <color rgb="FFA0A6B0"/>
        <rFont val="Noto Sans CJK SC"/>
        <family val="2"/>
        <charset val="1"/>
      </rPr>
      <t xml:space="preserve">は</t>
    </r>
    <r>
      <rPr>
        <sz val="9"/>
        <color rgb="FFA0A6B0"/>
        <rFont val="Arial"/>
        <family val="0"/>
        <charset val="1"/>
      </rPr>
      <t xml:space="preserve">190-210GPa</t>
    </r>
  </si>
  <si>
    <r>
      <rPr>
        <b val="true"/>
        <sz val="11"/>
        <color rgb="FF4FD1E5"/>
        <rFont val="Noto Sans CJK SC"/>
        <family val="2"/>
        <charset val="1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SS400</t>
    </r>
  </si>
  <si>
    <r>
      <rPr>
        <sz val="9"/>
        <color rgb="FFA0A6B0"/>
        <rFont val="Arial"/>
        <family val="0"/>
        <charset val="1"/>
      </rPr>
      <t xml:space="preserve">JIS</t>
    </r>
    <r>
      <rPr>
        <sz val="9"/>
        <color rgb="FFA0A6B0"/>
        <rFont val="Noto Sans CJK SC"/>
        <family val="2"/>
        <charset val="1"/>
      </rPr>
      <t xml:space="preserve">一般値</t>
    </r>
  </si>
  <si>
    <r>
      <rPr>
        <b val="true"/>
        <sz val="11"/>
        <color rgb="FF4FD1E5"/>
        <rFont val="Noto Sans CJK SC"/>
        <family val="2"/>
        <charset val="1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S45C</t>
    </r>
  </si>
  <si>
    <r>
      <rPr>
        <b val="true"/>
        <sz val="11"/>
        <color rgb="FF4FD1E5"/>
        <rFont val="Noto Sans CJK SC"/>
        <family val="2"/>
        <charset val="1"/>
      </rPr>
      <t xml:space="preserve">ステンレス </t>
    </r>
    <r>
      <rPr>
        <b val="true"/>
        <sz val="11"/>
        <color rgb="FF4FD1E5"/>
        <rFont val="Arial"/>
        <family val="0"/>
        <charset val="1"/>
      </rPr>
      <t xml:space="preserve">SUS304</t>
    </r>
  </si>
  <si>
    <r>
      <rPr>
        <b val="true"/>
        <sz val="11"/>
        <color rgb="FF4FD1E5"/>
        <rFont val="Noto Sans CJK SC"/>
        <family val="2"/>
        <charset val="1"/>
      </rPr>
      <t xml:space="preserve">ばね鋼 </t>
    </r>
    <r>
      <rPr>
        <b val="true"/>
        <sz val="11"/>
        <color rgb="FF4FD1E5"/>
        <rFont val="Arial"/>
        <family val="0"/>
        <charset val="1"/>
      </rPr>
      <t xml:space="preserve">SUP9</t>
    </r>
  </si>
  <si>
    <r>
      <rPr>
        <b val="true"/>
        <sz val="11"/>
        <color rgb="FF4FD1E5"/>
        <rFont val="Noto Sans CJK SC"/>
        <family val="2"/>
        <charset val="1"/>
      </rPr>
      <t xml:space="preserve">ねずみ鋳鉄 </t>
    </r>
    <r>
      <rPr>
        <b val="true"/>
        <sz val="11"/>
        <color rgb="FF4FD1E5"/>
        <rFont val="Arial"/>
        <family val="0"/>
        <charset val="1"/>
      </rPr>
      <t xml:space="preserve">FC250</t>
    </r>
  </si>
  <si>
    <r>
      <rPr>
        <sz val="9"/>
        <color rgb="FFA0A6B0"/>
        <rFont val="Arial"/>
        <family val="0"/>
        <charset val="1"/>
      </rPr>
      <t xml:space="preserve">90-120GPa</t>
    </r>
    <r>
      <rPr>
        <sz val="9"/>
        <color rgb="FFA0A6B0"/>
        <rFont val="Noto Sans CJK SC"/>
        <family val="2"/>
        <charset val="1"/>
      </rPr>
      <t xml:space="preserve">の幅あり。黒鉛量で変化</t>
    </r>
  </si>
  <si>
    <r>
      <rPr>
        <b val="true"/>
        <sz val="11"/>
        <color rgb="FF4FD1E5"/>
        <rFont val="Noto Sans CJK SC"/>
        <family val="2"/>
        <charset val="1"/>
      </rPr>
      <t xml:space="preserve">アルミ </t>
    </r>
    <r>
      <rPr>
        <b val="true"/>
        <sz val="11"/>
        <color rgb="FF4FD1E5"/>
        <rFont val="Arial"/>
        <family val="0"/>
        <charset val="1"/>
      </rPr>
      <t xml:space="preserve">A5052</t>
    </r>
  </si>
  <si>
    <r>
      <rPr>
        <b val="true"/>
        <sz val="11"/>
        <color rgb="FF4FD1E5"/>
        <rFont val="Noto Sans CJK SC"/>
        <family val="2"/>
        <charset val="1"/>
      </rPr>
      <t xml:space="preserve">アルミ </t>
    </r>
    <r>
      <rPr>
        <b val="true"/>
        <sz val="11"/>
        <color rgb="FF4FD1E5"/>
        <rFont val="Arial"/>
        <family val="0"/>
        <charset val="1"/>
      </rPr>
      <t xml:space="preserve">A6061-T6</t>
    </r>
  </si>
  <si>
    <r>
      <rPr>
        <b val="true"/>
        <sz val="11"/>
        <color rgb="FF4FD1E5"/>
        <rFont val="Noto Sans CJK SC"/>
        <family val="2"/>
        <charset val="1"/>
      </rPr>
      <t xml:space="preserve">チタン </t>
    </r>
    <r>
      <rPr>
        <b val="true"/>
        <sz val="11"/>
        <color rgb="FF4FD1E5"/>
        <rFont val="Arial"/>
        <family val="0"/>
        <charset val="1"/>
      </rPr>
      <t xml:space="preserve">Ti-6Al-4V</t>
    </r>
  </si>
  <si>
    <t xml:space="preserve">ASTM Grade5</t>
  </si>
  <si>
    <r>
      <rPr>
        <b val="true"/>
        <sz val="11"/>
        <color rgb="FF4FD1E5"/>
        <rFont val="Noto Sans CJK SC"/>
        <family val="2"/>
        <charset val="1"/>
      </rPr>
      <t xml:space="preserve">銅 </t>
    </r>
    <r>
      <rPr>
        <b val="true"/>
        <sz val="11"/>
        <color rgb="FF4FD1E5"/>
        <rFont val="Arial"/>
        <family val="0"/>
        <charset val="1"/>
      </rPr>
      <t xml:space="preserve">C1100</t>
    </r>
  </si>
  <si>
    <r>
      <rPr>
        <b val="true"/>
        <sz val="11"/>
        <color rgb="FF4FD1E5"/>
        <rFont val="Noto Sans CJK SC"/>
        <family val="2"/>
        <charset val="1"/>
      </rPr>
      <t xml:space="preserve">黄銅 </t>
    </r>
    <r>
      <rPr>
        <b val="true"/>
        <sz val="11"/>
        <color rgb="FF4FD1E5"/>
        <rFont val="Arial"/>
        <family val="0"/>
        <charset val="1"/>
      </rPr>
      <t xml:space="preserve">C2600</t>
    </r>
  </si>
  <si>
    <r>
      <rPr>
        <b val="true"/>
        <sz val="11"/>
        <color rgb="FF4FD1E5"/>
        <rFont val="Noto Sans CJK SC"/>
        <family val="2"/>
        <charset val="1"/>
      </rPr>
      <t xml:space="preserve">摩擦材 </t>
    </r>
    <r>
      <rPr>
        <b val="true"/>
        <sz val="11"/>
        <color rgb="FF4FD1E5"/>
        <rFont val="Arial"/>
        <family val="0"/>
        <charset val="1"/>
      </rPr>
      <t xml:space="preserve">NAO(</t>
    </r>
    <r>
      <rPr>
        <b val="true"/>
        <sz val="11"/>
        <color rgb="FF4FD1E5"/>
        <rFont val="Noto Sans CJK SC"/>
        <family val="2"/>
        <charset val="1"/>
      </rPr>
      <t xml:space="preserve">軟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</si>
  <si>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摩擦材</t>
  </si>
  <si>
    <r>
      <rPr>
        <sz val="9"/>
        <color rgb="FFA0A6B0"/>
        <rFont val="Noto Sans CJK SC"/>
        <family val="2"/>
        <charset val="1"/>
      </rPr>
      <t xml:space="preserve">文献値</t>
    </r>
    <r>
      <rPr>
        <sz val="9"/>
        <color rgb="FFA0A6B0"/>
        <rFont val="Arial"/>
        <family val="0"/>
        <charset val="1"/>
      </rPr>
      <t xml:space="preserve">0.5-1.5GPa (Belhocine 2016</t>
    </r>
    <r>
      <rPr>
        <sz val="9"/>
        <color rgb="FFA0A6B0"/>
        <rFont val="Noto Sans CJK SC"/>
        <family val="2"/>
        <charset val="1"/>
      </rPr>
      <t xml:space="preserve">系</t>
    </r>
    <r>
      <rPr>
        <sz val="9"/>
        <color rgb="FFA0A6B0"/>
        <rFont val="Arial"/>
        <family val="0"/>
        <charset val="1"/>
      </rPr>
      <t xml:space="preserve">)</t>
    </r>
  </si>
  <si>
    <r>
      <rPr>
        <b val="true"/>
        <sz val="11"/>
        <color rgb="FF4FD1E5"/>
        <rFont val="Noto Sans CJK SC"/>
        <family val="2"/>
        <charset val="1"/>
      </rPr>
      <t xml:space="preserve">摩擦材 </t>
    </r>
    <r>
      <rPr>
        <b val="true"/>
        <sz val="11"/>
        <color rgb="FF4FD1E5"/>
        <rFont val="Arial"/>
        <family val="0"/>
        <charset val="1"/>
      </rPr>
      <t xml:space="preserve">NAO(</t>
    </r>
    <r>
      <rPr>
        <b val="true"/>
        <sz val="11"/>
        <color rgb="FF4FD1E5"/>
        <rFont val="Noto Sans CJK SC"/>
        <family val="2"/>
        <charset val="1"/>
      </rPr>
      <t xml:space="preserve">標準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</si>
  <si>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同上の上限側</t>
  </si>
  <si>
    <r>
      <rPr>
        <b val="true"/>
        <sz val="11"/>
        <color rgb="FF4FD1E5"/>
        <rFont val="Noto Sans CJK SC"/>
        <family val="2"/>
        <charset val="1"/>
      </rPr>
      <t xml:space="preserve">摩擦材 一般</t>
    </r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  <charset val="1"/>
      </rPr>
      <t xml:space="preserve">圧縮</t>
    </r>
    <r>
      <rPr>
        <b val="true"/>
        <sz val="11"/>
        <color rgb="FF4FD1E5"/>
        <rFont val="Arial"/>
        <family val="0"/>
        <charset val="1"/>
      </rPr>
      <t xml:space="preserve">)</t>
    </r>
  </si>
  <si>
    <r>
      <rPr>
        <sz val="9"/>
        <color rgb="FFA0A6B0"/>
        <rFont val="Arial"/>
        <family val="0"/>
        <charset val="1"/>
      </rPr>
      <t xml:space="preserve">Day: Braking of Road Vehicles </t>
    </r>
    <r>
      <rPr>
        <sz val="9"/>
        <color rgb="FFA0A6B0"/>
        <rFont val="Noto Sans CJK SC"/>
        <family val="2"/>
        <charset val="1"/>
      </rPr>
      <t xml:space="preserve">圧縮弾性率</t>
    </r>
    <r>
      <rPr>
        <sz val="9"/>
        <color rgb="FFA0A6B0"/>
        <rFont val="Arial"/>
        <family val="0"/>
        <charset val="1"/>
      </rPr>
      <t xml:space="preserve">3.5GPa</t>
    </r>
  </si>
  <si>
    <t xml:space="preserve">摩擦材 ロースチール</t>
  </si>
  <si>
    <t xml:space="preserve">推定。要実測</t>
  </si>
  <si>
    <t xml:space="preserve">摩擦材 セミメタリック</t>
  </si>
  <si>
    <r>
      <rPr>
        <b val="true"/>
        <sz val="11"/>
        <color rgb="FF4FD1E5"/>
        <rFont val="Noto Sans CJK SC"/>
        <family val="2"/>
        <charset val="1"/>
      </rPr>
      <t xml:space="preserve">摩擦材 焼結</t>
    </r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  <charset val="1"/>
      </rPr>
      <t xml:space="preserve">鉄道</t>
    </r>
    <r>
      <rPr>
        <b val="true"/>
        <sz val="11"/>
        <color rgb="FF4FD1E5"/>
        <rFont val="Arial"/>
        <family val="0"/>
        <charset val="1"/>
      </rPr>
      <t xml:space="preserve">)</t>
    </r>
  </si>
  <si>
    <r>
      <rPr>
        <sz val="9"/>
        <color rgb="FFA0A6B0"/>
        <rFont val="Arial"/>
        <family val="0"/>
        <charset val="1"/>
      </rPr>
      <t xml:space="preserve">US Pat.11578775: </t>
    </r>
    <r>
      <rPr>
        <sz val="9"/>
        <color rgb="FFA0A6B0"/>
        <rFont val="Noto Sans CJK SC"/>
        <family val="2"/>
        <charset val="1"/>
      </rPr>
      <t xml:space="preserve">焼結材</t>
    </r>
    <r>
      <rPr>
        <sz val="9"/>
        <color rgb="FFA0A6B0"/>
        <rFont val="Arial"/>
        <family val="0"/>
        <charset val="1"/>
      </rPr>
      <t xml:space="preserve">E≧35GPa</t>
    </r>
  </si>
  <si>
    <t xml:space="preserve">接着層 フェノール</t>
  </si>
  <si>
    <t xml:space="preserve">接着</t>
  </si>
  <si>
    <r>
      <rPr>
        <sz val="9"/>
        <color rgb="FFA0A6B0"/>
        <rFont val="Noto Sans CJK SC"/>
        <family val="2"/>
        <charset val="1"/>
      </rPr>
      <t xml:space="preserve">推定。厚さ</t>
    </r>
    <r>
      <rPr>
        <sz val="9"/>
        <color rgb="FFA0A6B0"/>
        <rFont val="Arial"/>
        <family val="0"/>
        <charset val="1"/>
      </rPr>
      <t xml:space="preserve">0.1-0.3mm</t>
    </r>
    <r>
      <rPr>
        <sz val="9"/>
        <color rgb="FFA0A6B0"/>
        <rFont val="Noto Sans CJK SC"/>
        <family val="2"/>
        <charset val="1"/>
      </rPr>
      <t xml:space="preserve">で影響小</t>
    </r>
  </si>
  <si>
    <r>
      <rPr>
        <b val="true"/>
        <sz val="11"/>
        <color rgb="FF4FD1E5"/>
        <rFont val="Noto Sans CJK SC"/>
        <family val="2"/>
        <charset val="1"/>
      </rPr>
      <t xml:space="preserve">シム鋼板 </t>
    </r>
    <r>
      <rPr>
        <b val="true"/>
        <sz val="11"/>
        <color rgb="FF4FD1E5"/>
        <rFont val="Arial"/>
        <family val="0"/>
        <charset val="1"/>
      </rPr>
      <t xml:space="preserve">SPCC</t>
    </r>
  </si>
  <si>
    <t xml:space="preserve">シム</t>
  </si>
  <si>
    <r>
      <rPr>
        <b val="true"/>
        <sz val="11"/>
        <color rgb="FF4FD1E5"/>
        <rFont val="Noto Sans CJK SC"/>
        <family val="2"/>
        <charset val="1"/>
      </rPr>
      <t xml:space="preserve">シム制振ゴム </t>
    </r>
    <r>
      <rPr>
        <b val="true"/>
        <sz val="11"/>
        <color rgb="FF4FD1E5"/>
        <rFont val="Arial"/>
        <family val="0"/>
        <charset val="1"/>
      </rPr>
      <t xml:space="preserve">NBR(</t>
    </r>
    <r>
      <rPr>
        <b val="true"/>
        <sz val="11"/>
        <color rgb="FF4FD1E5"/>
        <rFont val="Noto Sans CJK SC"/>
        <family val="2"/>
        <charset val="1"/>
      </rPr>
      <t xml:space="preserve">軟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</si>
  <si>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温度・周波数依存が非常に大</t>
  </si>
  <si>
    <r>
      <rPr>
        <b val="true"/>
        <sz val="11"/>
        <color rgb="FF4FD1E5"/>
        <rFont val="Noto Sans CJK SC"/>
        <family val="2"/>
        <charset val="1"/>
      </rPr>
      <t xml:space="preserve">シム制振ゴム </t>
    </r>
    <r>
      <rPr>
        <b val="true"/>
        <sz val="11"/>
        <color rgb="FF4FD1E5"/>
        <rFont val="Arial"/>
        <family val="0"/>
        <charset val="1"/>
      </rPr>
      <t xml:space="preserve">NBR(</t>
    </r>
    <r>
      <rPr>
        <b val="true"/>
        <sz val="11"/>
        <color rgb="FF4FD1E5"/>
        <rFont val="Noto Sans CJK SC"/>
        <family val="2"/>
        <charset val="1"/>
      </rPr>
      <t xml:space="preserve">硬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</si>
  <si>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同上</t>
  </si>
  <si>
    <t xml:space="preserve">チタンシム</t>
  </si>
  <si>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  <charset val="1"/>
      </rPr>
      <t xml:space="preserve">未使用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</si>
  <si>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-</t>
  </si>
  <si>
    <t xml:space="preserve">空欄行。使わない層に指定する</t>
  </si>
  <si>
    <r>
      <rPr>
        <sz val="10"/>
        <color rgb="FFFFA45B"/>
        <rFont val="Noto Sans CJK SC"/>
        <family val="2"/>
        <charset val="1"/>
      </rPr>
      <t xml:space="preserve">※ 行を追加するときは </t>
    </r>
    <r>
      <rPr>
        <sz val="10"/>
        <color rgb="FFFFA45B"/>
        <rFont val="Arial"/>
        <family val="0"/>
        <charset val="1"/>
      </rPr>
      <t xml:space="preserve">40</t>
    </r>
    <r>
      <rPr>
        <sz val="10"/>
        <color rgb="FFFFA45B"/>
        <rFont val="Noto Sans CJK SC"/>
        <family val="2"/>
        <charset val="1"/>
      </rPr>
      <t xml:space="preserve">行目までに書けば全シートが自動で拾います。</t>
    </r>
  </si>
  <si>
    <r>
      <rPr>
        <sz val="10"/>
        <color rgb="FFFF7A7A"/>
        <rFont val="Noto Sans CJK SC"/>
        <family val="2"/>
        <charset val="1"/>
      </rPr>
      <t xml:space="preserve">※ 摩擦材の</t>
    </r>
    <r>
      <rPr>
        <sz val="10"/>
        <color rgb="FFFF7A7A"/>
        <rFont val="Arial"/>
        <family val="0"/>
        <charset val="1"/>
      </rPr>
      <t xml:space="preserve">E</t>
    </r>
    <r>
      <rPr>
        <sz val="10"/>
        <color rgb="FFFF7A7A"/>
        <rFont val="Noto Sans CJK SC"/>
        <family val="2"/>
        <charset val="1"/>
      </rPr>
      <t xml:space="preserve">は配合で </t>
    </r>
    <r>
      <rPr>
        <sz val="10"/>
        <color rgb="FFFF7A7A"/>
        <rFont val="Arial"/>
        <family val="0"/>
        <charset val="1"/>
      </rPr>
      <t xml:space="preserve">0.5</t>
    </r>
    <r>
      <rPr>
        <sz val="10"/>
        <color rgb="FFFF7A7A"/>
        <rFont val="Noto Sans CJK SC"/>
        <family val="2"/>
        <charset val="1"/>
      </rPr>
      <t xml:space="preserve">〜</t>
    </r>
    <r>
      <rPr>
        <sz val="10"/>
        <color rgb="FFFF7A7A"/>
        <rFont val="Arial"/>
        <family val="0"/>
        <charset val="1"/>
      </rPr>
      <t xml:space="preserve">35 GPa</t>
    </r>
    <r>
      <rPr>
        <sz val="10"/>
        <color rgb="FFFF7A7A"/>
        <rFont val="Noto Sans CJK SC"/>
        <family val="2"/>
        <charset val="1"/>
      </rPr>
      <t xml:space="preserve">（</t>
    </r>
    <r>
      <rPr>
        <sz val="10"/>
        <color rgb="FFFF7A7A"/>
        <rFont val="Arial"/>
        <family val="0"/>
        <charset val="1"/>
      </rPr>
      <t xml:space="preserve">70</t>
    </r>
    <r>
      <rPr>
        <sz val="10"/>
        <color rgb="FFFF7A7A"/>
        <rFont val="Noto Sans CJK SC"/>
        <family val="2"/>
        <charset val="1"/>
      </rPr>
      <t xml:space="preserve">倍）変わる。予測精度を決める最大要因なので「逆算」シートで自分の材料を同定してください。</t>
    </r>
  </si>
  <si>
    <t xml:space="preserve">① 形状入力（パッド外形を多角形で入力）</t>
  </si>
  <si>
    <r>
      <rPr>
        <sz val="9"/>
        <color rgb="FFA0A6B0"/>
        <rFont val="Arial"/>
        <family val="0"/>
        <charset val="1"/>
      </rPr>
      <t xml:space="preserve">X=</t>
    </r>
    <r>
      <rPr>
        <sz val="9"/>
        <color rgb="FFA0A6B0"/>
        <rFont val="Noto Sans CJK SC"/>
        <family val="2"/>
        <charset val="1"/>
      </rPr>
      <t xml:space="preserve">円周方向（長手）、</t>
    </r>
    <r>
      <rPr>
        <sz val="9"/>
        <color rgb="FFA0A6B0"/>
        <rFont val="Arial"/>
        <family val="0"/>
        <charset val="1"/>
      </rPr>
      <t xml:space="preserve">Y=</t>
    </r>
    <r>
      <rPr>
        <sz val="9"/>
        <color rgb="FFA0A6B0"/>
        <rFont val="Noto Sans CJK SC"/>
        <family val="2"/>
        <charset val="1"/>
      </rPr>
      <t xml:space="preserve">半径方向。単位はすべて </t>
    </r>
    <r>
      <rPr>
        <sz val="9"/>
        <color rgb="FFA0A6B0"/>
        <rFont val="Arial"/>
        <family val="0"/>
        <charset val="1"/>
      </rPr>
      <t xml:space="preserve">mm</t>
    </r>
    <r>
      <rPr>
        <sz val="9"/>
        <color rgb="FFA0A6B0"/>
        <rFont val="Noto Sans CJK SC"/>
        <family val="2"/>
        <charset val="1"/>
      </rPr>
      <t xml:space="preserve">。頂点は最大</t>
    </r>
    <r>
      <rPr>
        <sz val="9"/>
        <color rgb="FFA0A6B0"/>
        <rFont val="Arial"/>
        <family val="0"/>
        <charset val="1"/>
      </rPr>
      <t xml:space="preserve">16</t>
    </r>
    <r>
      <rPr>
        <sz val="9"/>
        <color rgb="FFA0A6B0"/>
        <rFont val="Noto Sans CJK SC"/>
        <family val="2"/>
        <charset val="1"/>
      </rPr>
      <t xml:space="preserve">点。反時計回り・時計回りどちらでも</t>
    </r>
    <r>
      <rPr>
        <sz val="9"/>
        <color rgb="FFA0A6B0"/>
        <rFont val="Arial"/>
        <family val="0"/>
        <charset val="1"/>
      </rPr>
      <t xml:space="preserve">OK</t>
    </r>
  </si>
  <si>
    <r>
      <rPr>
        <b val="true"/>
        <sz val="11"/>
        <color rgb="FFFFD166"/>
        <rFont val="Noto Sans CJK SC"/>
        <family val="2"/>
        <charset val="1"/>
      </rPr>
      <t xml:space="preserve">頂点数 </t>
    </r>
    <r>
      <rPr>
        <b val="true"/>
        <sz val="11"/>
        <color rgb="FFFFD166"/>
        <rFont val="Arial"/>
        <family val="0"/>
        <charset val="1"/>
      </rPr>
      <t xml:space="preserve">N</t>
    </r>
  </si>
  <si>
    <r>
      <rPr>
        <b val="true"/>
        <sz val="11"/>
        <color rgb="FFFFD166"/>
        <rFont val="Noto Sans CJK SC"/>
        <family val="2"/>
        <charset val="1"/>
      </rPr>
      <t xml:space="preserve">向き </t>
    </r>
    <r>
      <rPr>
        <b val="true"/>
        <sz val="11"/>
        <color rgb="FFFFD166"/>
        <rFont val="Arial"/>
        <family val="0"/>
        <charset val="1"/>
      </rPr>
      <t xml:space="preserve">s (+1=</t>
    </r>
    <r>
      <rPr>
        <b val="true"/>
        <sz val="11"/>
        <color rgb="FFFFD166"/>
        <rFont val="Noto Sans CJK SC"/>
        <family val="2"/>
        <charset val="1"/>
      </rPr>
      <t xml:space="preserve">反時計</t>
    </r>
    <r>
      <rPr>
        <b val="true"/>
        <sz val="11"/>
        <color rgb="FFFFD166"/>
        <rFont val="Arial"/>
        <family val="0"/>
        <charset val="1"/>
      </rPr>
      <t xml:space="preserve">/-1=</t>
    </r>
    <r>
      <rPr>
        <b val="true"/>
        <sz val="11"/>
        <color rgb="FFFFD166"/>
        <rFont val="Noto Sans CJK SC"/>
        <family val="2"/>
        <charset val="1"/>
      </rPr>
      <t xml:space="preserve">時計</t>
    </r>
    <r>
      <rPr>
        <b val="true"/>
        <sz val="11"/>
        <color rgb="FFFFD166"/>
        <rFont val="Arial"/>
        <family val="0"/>
        <charset val="1"/>
      </rPr>
      <t xml:space="preserve">)</t>
    </r>
  </si>
  <si>
    <t xml:space="preserve">No</t>
  </si>
  <si>
    <t xml:space="preserve">X [mm]</t>
  </si>
  <si>
    <t xml:space="preserve">Y [mm]</t>
  </si>
  <si>
    <t xml:space="preserve">使用</t>
  </si>
  <si>
    <r>
      <rPr>
        <b val="true"/>
        <sz val="10"/>
        <color rgb="FFFFD166"/>
        <rFont val="Noto Sans CJK SC"/>
        <family val="2"/>
        <charset val="1"/>
      </rPr>
      <t xml:space="preserve">次</t>
    </r>
    <r>
      <rPr>
        <b val="true"/>
        <sz val="10"/>
        <color rgb="FFFFD166"/>
        <rFont val="Arial"/>
        <family val="0"/>
        <charset val="1"/>
      </rPr>
      <t xml:space="preserve">X</t>
    </r>
  </si>
  <si>
    <r>
      <rPr>
        <b val="true"/>
        <sz val="10"/>
        <color rgb="FFFFD166"/>
        <rFont val="Noto Sans CJK SC"/>
        <family val="2"/>
        <charset val="1"/>
      </rPr>
      <t xml:space="preserve">次</t>
    </r>
    <r>
      <rPr>
        <b val="true"/>
        <sz val="10"/>
        <color rgb="FFFFD166"/>
        <rFont val="Arial"/>
        <family val="0"/>
        <charset val="1"/>
      </rPr>
      <t xml:space="preserve">Y</t>
    </r>
  </si>
  <si>
    <r>
      <rPr>
        <b val="true"/>
        <sz val="10"/>
        <color rgb="FFFFD166"/>
        <rFont val="Noto Sans CJK SC"/>
        <family val="2"/>
        <charset val="1"/>
      </rPr>
      <t xml:space="preserve">前</t>
    </r>
    <r>
      <rPr>
        <b val="true"/>
        <sz val="10"/>
        <color rgb="FFFFD166"/>
        <rFont val="Arial"/>
        <family val="0"/>
        <charset val="1"/>
      </rPr>
      <t xml:space="preserve">X</t>
    </r>
  </si>
  <si>
    <r>
      <rPr>
        <b val="true"/>
        <sz val="10"/>
        <color rgb="FFFFD166"/>
        <rFont val="Noto Sans CJK SC"/>
        <family val="2"/>
        <charset val="1"/>
      </rPr>
      <t xml:space="preserve">前</t>
    </r>
    <r>
      <rPr>
        <b val="true"/>
        <sz val="10"/>
        <color rgb="FFFFD166"/>
        <rFont val="Arial"/>
        <family val="0"/>
        <charset val="1"/>
      </rPr>
      <t xml:space="preserve">Y</t>
    </r>
  </si>
  <si>
    <t xml:space="preserve">外積項</t>
  </si>
  <si>
    <t xml:space="preserve">辺長</t>
  </si>
  <si>
    <r>
      <rPr>
        <b val="true"/>
        <sz val="10"/>
        <color rgb="FFFFD166"/>
        <rFont val="Arial"/>
        <family val="0"/>
        <charset val="1"/>
      </rPr>
      <t xml:space="preserve">Ixx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</si>
  <si>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Iyy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</si>
  <si>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Ixy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</si>
  <si>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Cx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</si>
  <si>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Cy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</si>
  <si>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t xml:space="preserve">内積</t>
  </si>
  <si>
    <t xml:space="preserve">外積</t>
  </si>
  <si>
    <r>
      <rPr>
        <b val="true"/>
        <sz val="10"/>
        <color rgb="FFFFD166"/>
        <rFont val="Noto Sans CJK SC"/>
        <family val="2"/>
        <charset val="1"/>
      </rPr>
      <t xml:space="preserve">内角 </t>
    </r>
    <r>
      <rPr>
        <b val="true"/>
        <sz val="10"/>
        <color rgb="FFFFD166"/>
        <rFont val="Arial"/>
        <family val="0"/>
        <charset val="1"/>
      </rPr>
      <t xml:space="preserve">[°]</t>
    </r>
  </si>
  <si>
    <r>
      <rPr>
        <b val="true"/>
        <sz val="10"/>
        <color rgb="FFFFD166"/>
        <rFont val="Noto Sans CJK SC"/>
        <family val="2"/>
        <charset val="1"/>
      </rPr>
      <t xml:space="preserve">外角 </t>
    </r>
    <r>
      <rPr>
        <b val="true"/>
        <sz val="10"/>
        <color rgb="FFFFD166"/>
        <rFont val="Arial"/>
        <family val="0"/>
        <charset val="1"/>
      </rPr>
      <t xml:space="preserve">[°]</t>
    </r>
  </si>
  <si>
    <r>
      <rPr>
        <b val="true"/>
        <sz val="10"/>
        <color rgb="FFFFD166"/>
        <rFont val="Noto Sans CJK SC"/>
        <family val="2"/>
        <charset val="1"/>
      </rPr>
      <t xml:space="preserve">出隅</t>
    </r>
    <r>
      <rPr>
        <b val="true"/>
        <sz val="10"/>
        <color rgb="FFFFD166"/>
        <rFont val="Arial"/>
        <family val="0"/>
        <charset val="1"/>
      </rPr>
      <t xml:space="preserve">/</t>
    </r>
    <r>
      <rPr>
        <b val="true"/>
        <sz val="10"/>
        <color rgb="FFFFD166"/>
        <rFont val="Noto Sans CJK SC"/>
        <family val="2"/>
        <charset val="1"/>
      </rPr>
      <t xml:space="preserve">入隅</t>
    </r>
  </si>
  <si>
    <r>
      <rPr>
        <b val="true"/>
        <sz val="11"/>
        <color rgb="FFFFA45B"/>
        <rFont val="Noto Sans CJK SC"/>
        <family val="2"/>
        <charset val="1"/>
      </rPr>
      <t xml:space="preserve">■ プリセット（コピーして </t>
    </r>
    <r>
      <rPr>
        <b val="true"/>
        <sz val="11"/>
        <color rgb="FFFFA45B"/>
        <rFont val="Arial"/>
        <family val="0"/>
        <charset val="1"/>
      </rPr>
      <t xml:space="preserve">B5:C20 </t>
    </r>
    <r>
      <rPr>
        <b val="true"/>
        <sz val="11"/>
        <color rgb="FFFFA45B"/>
        <rFont val="Noto Sans CJK SC"/>
        <family val="2"/>
        <charset val="1"/>
      </rPr>
      <t xml:space="preserve">に貼る）</t>
    </r>
  </si>
  <si>
    <r>
      <rPr>
        <b val="true"/>
        <sz val="10"/>
        <color rgb="FF4FD1E5"/>
        <rFont val="Arial"/>
        <family val="0"/>
        <charset val="1"/>
      </rPr>
      <t xml:space="preserve">12</t>
    </r>
    <r>
      <rPr>
        <b val="true"/>
        <sz val="10"/>
        <color rgb="FF4FD1E5"/>
        <rFont val="Noto Sans CJK SC"/>
        <family val="2"/>
        <charset val="1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  <charset val="1"/>
      </rPr>
      <t xml:space="preserve">スリット無</t>
    </r>
    <r>
      <rPr>
        <b val="true"/>
        <sz val="10"/>
        <color rgb="FF4FD1E5"/>
        <rFont val="Arial"/>
        <family val="0"/>
        <charset val="1"/>
      </rPr>
      <t xml:space="preserve">)</t>
    </r>
  </si>
  <si>
    <r>
      <rPr>
        <b val="true"/>
        <sz val="10"/>
        <color rgb="FF4FD1E5"/>
        <rFont val="Arial"/>
        <family val="0"/>
        <charset val="1"/>
      </rPr>
      <t xml:space="preserve">14</t>
    </r>
    <r>
      <rPr>
        <b val="true"/>
        <sz val="10"/>
        <color rgb="FF4FD1E5"/>
        <rFont val="Noto Sans CJK SC"/>
        <family val="2"/>
        <charset val="1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  <charset val="1"/>
      </rPr>
      <t xml:space="preserve">スリット無</t>
    </r>
    <r>
      <rPr>
        <b val="true"/>
        <sz val="10"/>
        <color rgb="FF4FD1E5"/>
        <rFont val="Arial"/>
        <family val="0"/>
        <charset val="1"/>
      </rPr>
      <t xml:space="preserve">)</t>
    </r>
  </si>
  <si>
    <r>
      <rPr>
        <b val="true"/>
        <sz val="10"/>
        <color rgb="FF4FD1E5"/>
        <rFont val="Arial"/>
        <family val="0"/>
        <charset val="1"/>
      </rPr>
      <t xml:space="preserve">16</t>
    </r>
    <r>
      <rPr>
        <b val="true"/>
        <sz val="10"/>
        <color rgb="FF4FD1E5"/>
        <rFont val="Noto Sans CJK SC"/>
        <family val="2"/>
        <charset val="1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  <charset val="1"/>
      </rPr>
      <t xml:space="preserve">スリット有→入隅</t>
    </r>
    <r>
      <rPr>
        <b val="true"/>
        <sz val="10"/>
        <color rgb="FF4FD1E5"/>
        <rFont val="Arial"/>
        <family val="0"/>
        <charset val="1"/>
      </rPr>
      <t xml:space="preserve">2)</t>
    </r>
  </si>
  <si>
    <t xml:space="preserve">X</t>
  </si>
  <si>
    <t xml:space="preserve">Y</t>
  </si>
  <si>
    <t xml:space="preserve">■ 形状の計算結果</t>
  </si>
  <si>
    <r>
      <rPr>
        <b val="true"/>
        <sz val="11"/>
        <color rgb="FFFFD166"/>
        <rFont val="Noto Sans CJK SC"/>
        <family val="2"/>
        <charset val="1"/>
      </rPr>
      <t xml:space="preserve">符号付き面積 </t>
    </r>
    <r>
      <rPr>
        <b val="true"/>
        <sz val="11"/>
        <color rgb="FFFFD166"/>
        <rFont val="Arial"/>
        <family val="0"/>
        <charset val="1"/>
      </rPr>
      <t xml:space="preserve">[mm²]</t>
    </r>
  </si>
  <si>
    <t xml:space="preserve">多角形の向き判定に使う（＋なら反時計回り）</t>
  </si>
  <si>
    <r>
      <rPr>
        <b val="true"/>
        <sz val="11"/>
        <color rgb="FFFFD166"/>
        <rFont val="Noto Sans CJK SC"/>
        <family val="2"/>
        <charset val="1"/>
      </rPr>
      <t xml:space="preserve">面積 </t>
    </r>
    <r>
      <rPr>
        <b val="true"/>
        <sz val="11"/>
        <color rgb="FFFFD166"/>
        <rFont val="Arial"/>
        <family val="0"/>
        <charset val="1"/>
      </rPr>
      <t xml:space="preserve">A [mm²]</t>
    </r>
  </si>
  <si>
    <r>
      <rPr>
        <sz val="9"/>
        <color rgb="FFA0A6B0"/>
        <rFont val="Noto Sans CJK SC"/>
        <family val="2"/>
        <charset val="1"/>
      </rPr>
      <t xml:space="preserve">シューレース公式 </t>
    </r>
    <r>
      <rPr>
        <sz val="9"/>
        <color rgb="FFA0A6B0"/>
        <rFont val="Arial"/>
        <family val="0"/>
        <charset val="1"/>
      </rPr>
      <t xml:space="preserve">A=½|Σ(xᵢyᵢ₊₁−xᵢ₊₁yᵢ)|  🟢</t>
    </r>
  </si>
  <si>
    <r>
      <rPr>
        <b val="true"/>
        <sz val="11"/>
        <color rgb="FFFFD166"/>
        <rFont val="Noto Sans CJK SC"/>
        <family val="2"/>
        <charset val="1"/>
      </rPr>
      <t xml:space="preserve">周長 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</si>
  <si>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各辺の長さの合計</t>
  </si>
  <si>
    <r>
      <rPr>
        <b val="true"/>
        <sz val="11"/>
        <color rgb="FFFFD166"/>
        <rFont val="Noto Sans CJK SC"/>
        <family val="2"/>
        <charset val="1"/>
      </rPr>
      <t xml:space="preserve">重心 </t>
    </r>
    <r>
      <rPr>
        <b val="true"/>
        <sz val="11"/>
        <color rgb="FFFFD166"/>
        <rFont val="Arial"/>
        <family val="0"/>
        <charset val="1"/>
      </rPr>
      <t xml:space="preserve">Cx [mm]</t>
    </r>
  </si>
  <si>
    <r>
      <rPr>
        <sz val="9"/>
        <color rgb="FFA0A6B0"/>
        <rFont val="Noto Sans CJK SC"/>
        <family val="2"/>
        <charset val="1"/>
      </rPr>
      <t xml:space="preserve">図心の</t>
    </r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  <charset val="1"/>
      </rPr>
      <t xml:space="preserve">座標  🟢</t>
    </r>
  </si>
  <si>
    <r>
      <rPr>
        <b val="true"/>
        <sz val="11"/>
        <color rgb="FFFFD166"/>
        <rFont val="Noto Sans CJK SC"/>
        <family val="2"/>
        <charset val="1"/>
      </rPr>
      <t xml:space="preserve">重心 </t>
    </r>
    <r>
      <rPr>
        <b val="true"/>
        <sz val="11"/>
        <color rgb="FFFFD166"/>
        <rFont val="Arial"/>
        <family val="0"/>
        <charset val="1"/>
      </rPr>
      <t xml:space="preserve">Cy [mm]</t>
    </r>
  </si>
  <si>
    <r>
      <rPr>
        <sz val="9"/>
        <color rgb="FFA0A6B0"/>
        <rFont val="Noto Sans CJK SC"/>
        <family val="2"/>
        <charset val="1"/>
      </rPr>
      <t xml:space="preserve">図心の</t>
    </r>
    <r>
      <rPr>
        <sz val="9"/>
        <color rgb="FFA0A6B0"/>
        <rFont val="Arial"/>
        <family val="0"/>
        <charset val="1"/>
      </rPr>
      <t xml:space="preserve">Y</t>
    </r>
    <r>
      <rPr>
        <sz val="9"/>
        <color rgb="FFA0A6B0"/>
        <rFont val="Noto Sans CJK SC"/>
        <family val="2"/>
        <charset val="1"/>
      </rPr>
      <t xml:space="preserve">座標  🟢</t>
    </r>
  </si>
  <si>
    <r>
      <rPr>
        <b val="true"/>
        <sz val="11"/>
        <color rgb="FFFFD166"/>
        <rFont val="Arial"/>
        <family val="0"/>
        <charset val="1"/>
      </rPr>
      <t xml:space="preserve">Ixx (</t>
    </r>
    <r>
      <rPr>
        <b val="true"/>
        <sz val="11"/>
        <color rgb="FFFFD166"/>
        <rFont val="Noto Sans CJK SC"/>
        <family val="2"/>
        <charset val="1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</si>
  <si>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  <charset val="1"/>
      </rPr>
      <t xml:space="preserve">軸まわり断面二次モーメント  🟢</t>
    </r>
  </si>
  <si>
    <r>
      <rPr>
        <b val="true"/>
        <sz val="11"/>
        <color rgb="FFFFD166"/>
        <rFont val="Arial"/>
        <family val="0"/>
        <charset val="1"/>
      </rPr>
      <t xml:space="preserve">Iyy (</t>
    </r>
    <r>
      <rPr>
        <b val="true"/>
        <sz val="11"/>
        <color rgb="FFFFD166"/>
        <rFont val="Noto Sans CJK SC"/>
        <family val="2"/>
        <charset val="1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</si>
  <si>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r>
      <rPr>
        <sz val="9"/>
        <color rgb="FFA0A6B0"/>
        <rFont val="Arial"/>
        <family val="0"/>
        <charset val="1"/>
      </rPr>
      <t xml:space="preserve">Y</t>
    </r>
    <r>
      <rPr>
        <sz val="9"/>
        <color rgb="FFA0A6B0"/>
        <rFont val="Noto Sans CJK SC"/>
        <family val="2"/>
        <charset val="1"/>
      </rPr>
      <t xml:space="preserve">軸まわり  🟢</t>
    </r>
  </si>
  <si>
    <r>
      <rPr>
        <b val="true"/>
        <sz val="11"/>
        <color rgb="FFFFD166"/>
        <rFont val="Arial"/>
        <family val="0"/>
        <charset val="1"/>
      </rPr>
      <t xml:space="preserve">Ixy (</t>
    </r>
    <r>
      <rPr>
        <b val="true"/>
        <sz val="11"/>
        <color rgb="FFFFD166"/>
        <rFont val="Noto Sans CJK SC"/>
        <family val="2"/>
        <charset val="1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</si>
  <si>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t xml:space="preserve">相乗モーメント  🟢</t>
  </si>
  <si>
    <t xml:space="preserve">Imin [mm⁴]</t>
  </si>
  <si>
    <t xml:space="preserve">主（しゅ）断面二次モーメント 最小</t>
  </si>
  <si>
    <t xml:space="preserve">Imax [mm⁴]</t>
  </si>
  <si>
    <t xml:space="preserve">主断面二次モーメント 最大</t>
  </si>
  <si>
    <r>
      <rPr>
        <b val="true"/>
        <sz val="11"/>
        <color rgb="FFFFD166"/>
        <rFont val="Noto Sans CJK SC"/>
        <family val="2"/>
        <charset val="1"/>
      </rPr>
      <t xml:space="preserve">主軸角 </t>
    </r>
    <r>
      <rPr>
        <b val="true"/>
        <sz val="11"/>
        <color rgb="FFFFD166"/>
        <rFont val="Arial"/>
        <family val="0"/>
        <charset val="1"/>
      </rPr>
      <t xml:space="preserve">θp [°]</t>
    </r>
  </si>
  <si>
    <t xml:space="preserve">tan2θ=−2Ixy/(Ixx−Iyy)  🟢</t>
  </si>
  <si>
    <r>
      <rPr>
        <b val="true"/>
        <sz val="11"/>
        <color rgb="FFFFD166"/>
        <rFont val="Arial"/>
        <family val="0"/>
        <charset val="1"/>
      </rPr>
      <t xml:space="preserve">θp</t>
    </r>
    <r>
      <rPr>
        <b val="true"/>
        <sz val="11"/>
        <color rgb="FFFFD166"/>
        <rFont val="Noto Sans CJK SC"/>
        <family val="2"/>
        <charset val="1"/>
      </rPr>
      <t xml:space="preserve">での</t>
    </r>
    <r>
      <rPr>
        <b val="true"/>
        <sz val="11"/>
        <color rgb="FFFFD166"/>
        <rFont val="Arial"/>
        <family val="0"/>
        <charset val="1"/>
      </rPr>
      <t xml:space="preserve">I [mm⁴]</t>
    </r>
  </si>
  <si>
    <t xml:space="preserve">判定用の中間値</t>
  </si>
  <si>
    <r>
      <rPr>
        <b val="true"/>
        <sz val="11"/>
        <color rgb="FFFFD166"/>
        <rFont val="Noto Sans CJK SC"/>
        <family val="2"/>
        <charset val="1"/>
      </rPr>
      <t xml:space="preserve">長手方向の角度 </t>
    </r>
    <r>
      <rPr>
        <b val="true"/>
        <sz val="11"/>
        <color rgb="FFFFD166"/>
        <rFont val="Arial"/>
        <family val="0"/>
        <charset val="1"/>
      </rPr>
      <t xml:space="preserve">[°]</t>
    </r>
  </si>
  <si>
    <r>
      <rPr>
        <sz val="9"/>
        <color rgb="FFA0A6B0"/>
        <rFont val="Arial"/>
        <family val="0"/>
        <charset val="1"/>
      </rPr>
      <t xml:space="preserve">0°</t>
    </r>
    <r>
      <rPr>
        <sz val="9"/>
        <color rgb="FFA0A6B0"/>
        <rFont val="Noto Sans CJK SC"/>
        <family val="2"/>
        <charset val="1"/>
      </rPr>
      <t xml:space="preserve">に近いほど </t>
    </r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  <charset val="1"/>
      </rPr>
      <t xml:space="preserve">軸＝長手。大きくずれたら座標を回して入れ直す</t>
    </r>
  </si>
  <si>
    <t xml:space="preserve">Xmin [mm]</t>
  </si>
  <si>
    <t xml:space="preserve">Xmax [mm]</t>
  </si>
  <si>
    <t xml:space="preserve">Ymin [mm]</t>
  </si>
  <si>
    <t xml:space="preserve">Ymax [mm]</t>
  </si>
  <si>
    <r>
      <rPr>
        <b val="true"/>
        <sz val="11"/>
        <color rgb="FFFFD166"/>
        <rFont val="Arial"/>
        <family val="0"/>
        <charset val="1"/>
      </rPr>
      <t xml:space="preserve">X</t>
    </r>
    <r>
      <rPr>
        <b val="true"/>
        <sz val="11"/>
        <color rgb="FFFFD166"/>
        <rFont val="Noto Sans CJK SC"/>
        <family val="2"/>
        <charset val="1"/>
      </rPr>
      <t xml:space="preserve">方向の長さ 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</si>
  <si>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b val="true"/>
        <sz val="11"/>
        <color rgb="FFFFD166"/>
        <rFont val="Arial"/>
        <family val="0"/>
        <charset val="1"/>
      </rPr>
      <t xml:space="preserve">Y</t>
    </r>
    <r>
      <rPr>
        <b val="true"/>
        <sz val="11"/>
        <color rgb="FFFFD166"/>
        <rFont val="Noto Sans CJK SC"/>
        <family val="2"/>
        <charset val="1"/>
      </rPr>
      <t xml:space="preserve">方向の長さ 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</si>
  <si>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b val="true"/>
        <sz val="11"/>
        <color rgb="FFFFD166"/>
        <rFont val="Noto Sans CJK SC"/>
        <family val="2"/>
        <charset val="1"/>
      </rPr>
      <t xml:space="preserve">推奨 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  <charset val="1"/>
      </rPr>
      <t xml:space="preserve">（長手長さ）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</si>
  <si>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はり（梁）の長さとして使う値</t>
  </si>
  <si>
    <r>
      <rPr>
        <b val="true"/>
        <sz val="11"/>
        <color rgb="FFFFD166"/>
        <rFont val="Noto Sans CJK SC"/>
        <family val="2"/>
        <charset val="1"/>
      </rPr>
      <t xml:space="preserve">推奨 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  <charset val="1"/>
      </rPr>
      <t xml:space="preserve">（等価幅）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</si>
  <si>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sz val="9"/>
        <color rgb="FFA0A6B0"/>
        <rFont val="Noto Sans CJK SC"/>
        <family val="2"/>
        <charset val="1"/>
      </rPr>
      <t xml:space="preserve">面積 </t>
    </r>
    <r>
      <rPr>
        <sz val="9"/>
        <color rgb="FFA0A6B0"/>
        <rFont val="Arial"/>
        <family val="0"/>
        <charset val="1"/>
      </rPr>
      <t xml:space="preserve">÷ </t>
    </r>
    <r>
      <rPr>
        <sz val="9"/>
        <color rgb="FFA0A6B0"/>
        <rFont val="Noto Sans CJK SC"/>
        <family val="2"/>
        <charset val="1"/>
      </rPr>
      <t xml:space="preserve">長さ ＝ 平均の幅（凸凹をならした幅）</t>
    </r>
  </si>
  <si>
    <r>
      <rPr>
        <b val="true"/>
        <sz val="12"/>
        <color rgb="FFFFA45B"/>
        <rFont val="Noto Sans CJK SC"/>
        <family val="2"/>
        <charset val="1"/>
      </rPr>
      <t xml:space="preserve">■ 実際に使う寸法（手入力で上書きしたい場合は </t>
    </r>
    <r>
      <rPr>
        <b val="true"/>
        <sz val="12"/>
        <color rgb="FFFFA45B"/>
        <rFont val="Arial"/>
        <family val="0"/>
        <charset val="1"/>
      </rPr>
      <t xml:space="preserve">D </t>
    </r>
    <r>
      <rPr>
        <b val="true"/>
        <sz val="12"/>
        <color rgb="FFFFA45B"/>
        <rFont val="Noto Sans CJK SC"/>
        <family val="2"/>
        <charset val="1"/>
      </rPr>
      <t xml:space="preserve">列に書く／空欄なら推奨値を自動採用）</t>
    </r>
  </si>
  <si>
    <r>
      <rPr>
        <b val="true"/>
        <sz val="11"/>
        <color rgb="FFFFD166"/>
        <rFont val="Noto Sans CJK SC"/>
        <family val="2"/>
        <charset val="1"/>
      </rPr>
      <t xml:space="preserve">採用 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  <charset val="1"/>
      </rPr>
      <t xml:space="preserve">（長手長さ）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</si>
  <si>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sz val="9"/>
        <color rgb="FFA0A6B0"/>
        <rFont val="Noto Sans CJK SC"/>
        <family val="2"/>
        <charset val="1"/>
      </rPr>
      <t xml:space="preserve">← 手入力で上書き</t>
    </r>
    <r>
      <rPr>
        <sz val="9"/>
        <color rgb="FFA0A6B0"/>
        <rFont val="Arial"/>
        <family val="0"/>
        <charset val="1"/>
      </rPr>
      <t xml:space="preserve">:</t>
    </r>
  </si>
  <si>
    <r>
      <rPr>
        <b val="true"/>
        <sz val="11"/>
        <color rgb="FFFFD166"/>
        <rFont val="Noto Sans CJK SC"/>
        <family val="2"/>
        <charset val="1"/>
      </rPr>
      <t xml:space="preserve">採用 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  <charset val="1"/>
      </rPr>
      <t xml:space="preserve">（幅）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</si>
  <si>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■ 頂点数チェック</t>
  </si>
  <si>
    <t xml:space="preserve">入隅（凹み）の数</t>
  </si>
  <si>
    <r>
      <rPr>
        <sz val="9"/>
        <color rgb="FFA0A6B0"/>
        <rFont val="Noto Sans CJK SC"/>
        <family val="2"/>
        <charset val="1"/>
      </rPr>
      <t xml:space="preserve">スリット・面取りがあると入隅ができる。</t>
    </r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  <charset val="1"/>
      </rPr>
      <t xml:space="preserve">なら完全な凸多角形</t>
    </r>
  </si>
  <si>
    <r>
      <rPr>
        <b val="true"/>
        <sz val="11"/>
        <color rgb="FFFFD166"/>
        <rFont val="Noto Sans CJK SC"/>
        <family val="2"/>
        <charset val="1"/>
      </rPr>
      <t xml:space="preserve">内角の合計 </t>
    </r>
    <r>
      <rPr>
        <b val="true"/>
        <sz val="11"/>
        <color rgb="FFFFD166"/>
        <rFont val="Arial"/>
        <family val="0"/>
        <charset val="1"/>
      </rPr>
      <t xml:space="preserve">[°]</t>
    </r>
  </si>
  <si>
    <r>
      <rPr>
        <sz val="9"/>
        <color rgb="FFA0A6B0"/>
        <rFont val="Noto Sans CJK SC"/>
        <family val="2"/>
        <charset val="1"/>
      </rPr>
      <t xml:space="preserve">理論値 </t>
    </r>
    <r>
      <rPr>
        <sz val="9"/>
        <color rgb="FFA0A6B0"/>
        <rFont val="Arial"/>
        <family val="0"/>
        <charset val="1"/>
      </rPr>
      <t xml:space="preserve">=(N−2)×180</t>
    </r>
    <r>
      <rPr>
        <sz val="9"/>
        <color rgb="FFA0A6B0"/>
        <rFont val="Noto Sans CJK SC"/>
        <family val="2"/>
        <charset val="1"/>
      </rPr>
      <t xml:space="preserve">。ここが合えば入力ミスなし  🟢</t>
    </r>
  </si>
  <si>
    <r>
      <rPr>
        <b val="true"/>
        <sz val="11"/>
        <color rgb="FFFFD166"/>
        <rFont val="Noto Sans CJK SC"/>
        <family val="2"/>
        <charset val="1"/>
      </rPr>
      <t xml:space="preserve">内角合計の理論値 </t>
    </r>
    <r>
      <rPr>
        <b val="true"/>
        <sz val="11"/>
        <color rgb="FFFFD166"/>
        <rFont val="Arial"/>
        <family val="0"/>
        <charset val="1"/>
      </rPr>
      <t xml:space="preserve">[°]</t>
    </r>
  </si>
  <si>
    <t xml:space="preserve">入力チェック</t>
  </si>
  <si>
    <r>
      <rPr>
        <sz val="9"/>
        <color rgb="FFFF7A7A"/>
        <rFont val="Arial"/>
        <family val="0"/>
        <charset val="1"/>
      </rPr>
      <t xml:space="preserve">NG</t>
    </r>
    <r>
      <rPr>
        <sz val="9"/>
        <color rgb="FFFF7A7A"/>
        <rFont val="Noto Sans CJK SC"/>
        <family val="2"/>
        <charset val="1"/>
      </rPr>
      <t xml:space="preserve">なら頂点を「外周に沿った順番」に並べ直す（飛び飛びはダメ）</t>
    </r>
  </si>
  <si>
    <r>
      <rPr>
        <b val="true"/>
        <sz val="16"/>
        <color rgb="FF4FD1E5"/>
        <rFont val="Noto Sans CJK SC"/>
        <family val="2"/>
        <charset val="1"/>
      </rPr>
      <t xml:space="preserve">② 断面（積層）— シム＋裏板＋接着＋摩擦材 を</t>
    </r>
    <r>
      <rPr>
        <b val="true"/>
        <sz val="16"/>
        <color rgb="FF4FD1E5"/>
        <rFont val="Arial"/>
        <family val="0"/>
        <charset val="1"/>
      </rPr>
      <t xml:space="preserve">1</t>
    </r>
    <r>
      <rPr>
        <b val="true"/>
        <sz val="16"/>
        <color rgb="FF4FD1E5"/>
        <rFont val="Noto Sans CJK SC"/>
        <family val="2"/>
        <charset val="1"/>
      </rPr>
      <t xml:space="preserve">本の「はり」に合成</t>
    </r>
  </si>
  <si>
    <r>
      <rPr>
        <sz val="9"/>
        <color rgb="FFA0A6B0"/>
        <rFont val="Noto Sans CJK SC"/>
        <family val="2"/>
        <charset val="1"/>
      </rPr>
      <t xml:space="preserve">変換断面法（</t>
    </r>
    <r>
      <rPr>
        <sz val="9"/>
        <color rgb="FFA0A6B0"/>
        <rFont val="Arial"/>
        <family val="0"/>
        <charset val="1"/>
      </rPr>
      <t xml:space="preserve">transformed section</t>
    </r>
    <r>
      <rPr>
        <sz val="9"/>
        <color rgb="FFA0A6B0"/>
        <rFont val="Noto Sans CJK SC"/>
        <family val="2"/>
        <charset val="1"/>
      </rPr>
      <t xml:space="preserve">）で 曲げ剛性</t>
    </r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  <charset val="1"/>
      </rPr>
      <t xml:space="preserve">・単位長さ質量</t>
    </r>
    <r>
      <rPr>
        <sz val="9"/>
        <color rgb="FFA0A6B0"/>
        <rFont val="Arial"/>
        <family val="0"/>
        <charset val="1"/>
      </rPr>
      <t xml:space="preserve">ρA</t>
    </r>
    <r>
      <rPr>
        <sz val="9"/>
        <color rgb="FFA0A6B0"/>
        <rFont val="Noto Sans CJK SC"/>
        <family val="2"/>
        <charset val="1"/>
      </rPr>
      <t xml:space="preserve">・中立軸を求める  🟢</t>
    </r>
  </si>
  <si>
    <r>
      <rPr>
        <b val="true"/>
        <sz val="11"/>
        <color rgb="FFFFD166"/>
        <rFont val="Noto Sans CJK SC"/>
        <family val="2"/>
        <charset val="1"/>
      </rPr>
      <t xml:space="preserve">幅 </t>
    </r>
    <r>
      <rPr>
        <b val="true"/>
        <sz val="11"/>
        <color rgb="FFFFD166"/>
        <rFont val="Arial"/>
        <family val="0"/>
        <charset val="1"/>
      </rPr>
      <t xml:space="preserve">b [m]</t>
    </r>
    <r>
      <rPr>
        <b val="true"/>
        <sz val="11"/>
        <color rgb="FFFFD166"/>
        <rFont val="Noto Sans CJK SC"/>
        <family val="2"/>
        <charset val="1"/>
      </rPr>
      <t xml:space="preserve">（＝形状シートの採用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  <charset val="1"/>
      </rPr>
      <t xml:space="preserve">）</t>
    </r>
  </si>
  <si>
    <r>
      <rPr>
        <b val="true"/>
        <sz val="11"/>
        <color rgb="FFFFD166"/>
        <rFont val="Noto Sans CJK SC"/>
        <family val="2"/>
        <charset val="1"/>
      </rPr>
      <t xml:space="preserve">長さ </t>
    </r>
    <r>
      <rPr>
        <b val="true"/>
        <sz val="11"/>
        <color rgb="FFFFD166"/>
        <rFont val="Arial"/>
        <family val="0"/>
        <charset val="1"/>
      </rPr>
      <t xml:space="preserve">L [m]</t>
    </r>
    <r>
      <rPr>
        <b val="true"/>
        <sz val="11"/>
        <color rgb="FFFFD166"/>
        <rFont val="Noto Sans CJK SC"/>
        <family val="2"/>
        <charset val="1"/>
      </rPr>
      <t xml:space="preserve">（＝形状シートの採用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  <charset val="1"/>
      </rPr>
      <t xml:space="preserve">）</t>
    </r>
  </si>
  <si>
    <r>
      <rPr>
        <b val="true"/>
        <sz val="11"/>
        <color rgb="FFFFD166"/>
        <rFont val="Noto Sans CJK SC"/>
        <family val="2"/>
        <charset val="1"/>
      </rPr>
      <t xml:space="preserve">投影面積 </t>
    </r>
    <r>
      <rPr>
        <b val="true"/>
        <sz val="11"/>
        <color rgb="FFFFD166"/>
        <rFont val="Arial"/>
        <family val="0"/>
        <charset val="1"/>
      </rPr>
      <t xml:space="preserve">[m²]</t>
    </r>
  </si>
  <si>
    <t xml:space="preserve">層（下から順）</t>
  </si>
  <si>
    <r>
      <rPr>
        <b val="true"/>
        <sz val="10"/>
        <color rgb="FFFFD166"/>
        <rFont val="Noto Sans CJK SC"/>
        <family val="2"/>
        <charset val="1"/>
      </rPr>
      <t xml:space="preserve">使用</t>
    </r>
    <r>
      <rPr>
        <b val="true"/>
        <sz val="10"/>
        <color rgb="FFFFD166"/>
        <rFont val="Arial"/>
        <family val="0"/>
        <charset val="1"/>
      </rPr>
      <t xml:space="preserve">1/0</t>
    </r>
  </si>
  <si>
    <r>
      <rPr>
        <b val="true"/>
        <sz val="10"/>
        <color rgb="FFFFD166"/>
        <rFont val="Noto Sans CJK SC"/>
        <family val="2"/>
        <charset val="1"/>
      </rPr>
      <t xml:space="preserve">材料名（材料</t>
    </r>
    <r>
      <rPr>
        <b val="true"/>
        <sz val="10"/>
        <color rgb="FFFFD166"/>
        <rFont val="Arial"/>
        <family val="0"/>
        <charset val="1"/>
      </rPr>
      <t xml:space="preserve">DB</t>
    </r>
    <r>
      <rPr>
        <b val="true"/>
        <sz val="10"/>
        <color rgb="FFFFD166"/>
        <rFont val="Noto Sans CJK SC"/>
        <family val="2"/>
        <charset val="1"/>
      </rPr>
      <t xml:space="preserve">と同じ文字）</t>
    </r>
  </si>
  <si>
    <r>
      <rPr>
        <b val="true"/>
        <sz val="10"/>
        <color rgb="FFFFD166"/>
        <rFont val="Noto Sans CJK SC"/>
        <family val="2"/>
        <charset val="1"/>
      </rPr>
      <t xml:space="preserve">厚さ </t>
    </r>
    <r>
      <rPr>
        <b val="true"/>
        <sz val="10"/>
        <color rgb="FFFFD166"/>
        <rFont val="Arial"/>
        <family val="0"/>
        <charset val="1"/>
      </rPr>
      <t xml:space="preserve">t [mm]</t>
    </r>
  </si>
  <si>
    <t xml:space="preserve">η</t>
  </si>
  <si>
    <t xml:space="preserve">t [m]</t>
  </si>
  <si>
    <r>
      <rPr>
        <b val="true"/>
        <sz val="10"/>
        <color rgb="FFFFD166"/>
        <rFont val="Noto Sans CJK SC"/>
        <family val="2"/>
        <charset val="1"/>
      </rPr>
      <t xml:space="preserve">下端</t>
    </r>
    <r>
      <rPr>
        <b val="true"/>
        <sz val="10"/>
        <color rgb="FFFFD166"/>
        <rFont val="Arial"/>
        <family val="0"/>
        <charset val="1"/>
      </rPr>
      <t xml:space="preserve">y [m]</t>
    </r>
  </si>
  <si>
    <r>
      <rPr>
        <b val="true"/>
        <sz val="10"/>
        <color rgb="FFFFD166"/>
        <rFont val="Noto Sans CJK SC"/>
        <family val="2"/>
        <charset val="1"/>
      </rPr>
      <t xml:space="preserve">中心</t>
    </r>
    <r>
      <rPr>
        <b val="true"/>
        <sz val="10"/>
        <color rgb="FFFFD166"/>
        <rFont val="Arial"/>
        <family val="0"/>
        <charset val="1"/>
      </rPr>
      <t xml:space="preserve">y [m]</t>
    </r>
  </si>
  <si>
    <t xml:space="preserve">E·A [N]</t>
  </si>
  <si>
    <t xml:space="preserve">E·A·y</t>
  </si>
  <si>
    <t xml:space="preserve">ρ·A [kg/m]</t>
  </si>
  <si>
    <r>
      <rPr>
        <b val="true"/>
        <sz val="10"/>
        <color rgb="FFFFD166"/>
        <rFont val="Arial"/>
        <family val="0"/>
        <charset val="1"/>
      </rPr>
      <t xml:space="preserve">EI</t>
    </r>
    <r>
      <rPr>
        <b val="true"/>
        <sz val="10"/>
        <color rgb="FFFFD166"/>
        <rFont val="Noto Sans CJK SC"/>
        <family val="2"/>
        <charset val="1"/>
      </rPr>
      <t xml:space="preserve">項</t>
    </r>
    <r>
      <rPr>
        <b val="true"/>
        <sz val="10"/>
        <color rgb="FFFFD166"/>
        <rFont val="Arial"/>
        <family val="0"/>
        <charset val="1"/>
      </rPr>
      <t xml:space="preserve">(</t>
    </r>
    <r>
      <rPr>
        <b val="true"/>
        <sz val="10"/>
        <color rgb="FFFFD166"/>
        <rFont val="Noto Sans CJK SC"/>
        <family val="2"/>
        <charset val="1"/>
      </rPr>
      <t xml:space="preserve">面外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</si>
  <si>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EI</t>
    </r>
    <r>
      <rPr>
        <b val="true"/>
        <sz val="10"/>
        <color rgb="FFFFD166"/>
        <rFont val="Noto Sans CJK SC"/>
        <family val="2"/>
        <charset val="1"/>
      </rPr>
      <t xml:space="preserve">項</t>
    </r>
    <r>
      <rPr>
        <b val="true"/>
        <sz val="10"/>
        <color rgb="FFFFD166"/>
        <rFont val="Arial"/>
        <family val="0"/>
        <charset val="1"/>
      </rPr>
      <t xml:space="preserve">(</t>
    </r>
    <r>
      <rPr>
        <b val="true"/>
        <sz val="10"/>
        <color rgb="FFFFD166"/>
        <rFont val="Noto Sans CJK SC"/>
        <family val="2"/>
        <charset val="1"/>
      </rPr>
      <t xml:space="preserve">面内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</si>
  <si>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E·A(</t>
    </r>
    <r>
      <rPr>
        <b val="true"/>
        <sz val="10"/>
        <color rgb="FFFFD166"/>
        <rFont val="Noto Sans CJK SC"/>
        <family val="2"/>
        <charset val="1"/>
      </rPr>
      <t xml:space="preserve">軸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</si>
  <si>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η·EI</t>
    </r>
    <r>
      <rPr>
        <b val="true"/>
        <sz val="10"/>
        <color rgb="FFFFD166"/>
        <rFont val="Noto Sans CJK SC"/>
        <family val="2"/>
        <charset val="1"/>
      </rPr>
      <t xml:space="preserve">項</t>
    </r>
  </si>
  <si>
    <r>
      <rPr>
        <b val="true"/>
        <sz val="11"/>
        <color rgb="FF4FD1E5"/>
        <rFont val="Arial"/>
        <family val="0"/>
        <charset val="1"/>
      </rPr>
      <t xml:space="preserve">1: </t>
    </r>
    <r>
      <rPr>
        <b val="true"/>
        <sz val="11"/>
        <color rgb="FF4FD1E5"/>
        <rFont val="Noto Sans CJK SC"/>
        <family val="2"/>
        <charset val="1"/>
      </rPr>
      <t xml:space="preserve">シム</t>
    </r>
  </si>
  <si>
    <r>
      <rPr>
        <b val="true"/>
        <sz val="11"/>
        <color rgb="FFFFA45B"/>
        <rFont val="Noto Sans CJK SC"/>
        <family val="2"/>
        <charset val="1"/>
      </rPr>
      <t xml:space="preserve">シム鋼板 </t>
    </r>
    <r>
      <rPr>
        <b val="true"/>
        <sz val="11"/>
        <color rgb="FFFFA45B"/>
        <rFont val="Arial"/>
        <family val="0"/>
        <charset val="1"/>
      </rPr>
      <t xml:space="preserve">SPCC</t>
    </r>
  </si>
  <si>
    <r>
      <rPr>
        <b val="true"/>
        <sz val="11"/>
        <color rgb="FF4FD1E5"/>
        <rFont val="Arial"/>
        <family val="0"/>
        <charset val="1"/>
      </rPr>
      <t xml:space="preserve">2: </t>
    </r>
    <r>
      <rPr>
        <b val="true"/>
        <sz val="11"/>
        <color rgb="FF4FD1E5"/>
        <rFont val="Noto Sans CJK SC"/>
        <family val="2"/>
        <charset val="1"/>
      </rPr>
      <t xml:space="preserve">裏板</t>
    </r>
  </si>
  <si>
    <r>
      <rPr>
        <b val="true"/>
        <sz val="11"/>
        <color rgb="FFFFA45B"/>
        <rFont val="Noto Sans CJK SC"/>
        <family val="2"/>
        <charset val="1"/>
      </rPr>
      <t xml:space="preserve">鋼 </t>
    </r>
    <r>
      <rPr>
        <b val="true"/>
        <sz val="11"/>
        <color rgb="FFFFA45B"/>
        <rFont val="Arial"/>
        <family val="0"/>
        <charset val="1"/>
      </rPr>
      <t xml:space="preserve">SPCC(</t>
    </r>
    <r>
      <rPr>
        <b val="true"/>
        <sz val="11"/>
        <color rgb="FFFFA45B"/>
        <rFont val="Noto Sans CJK SC"/>
        <family val="2"/>
        <charset val="1"/>
      </rPr>
      <t xml:space="preserve">裏板</t>
    </r>
    <r>
      <rPr>
        <b val="true"/>
        <sz val="11"/>
        <color rgb="FFFFA45B"/>
        <rFont val="Arial"/>
        <family val="0"/>
        <charset val="1"/>
      </rPr>
      <t xml:space="preserve">)</t>
    </r>
  </si>
  <si>
    <r>
      <rPr>
        <b val="true"/>
        <sz val="11"/>
        <color rgb="FF4FD1E5"/>
        <rFont val="Arial"/>
        <family val="0"/>
        <charset val="1"/>
      </rPr>
      <t xml:space="preserve">3: </t>
    </r>
    <r>
      <rPr>
        <b val="true"/>
        <sz val="11"/>
        <color rgb="FF4FD1E5"/>
        <rFont val="Noto Sans CJK SC"/>
        <family val="2"/>
        <charset val="1"/>
      </rPr>
      <t xml:space="preserve">接着層</t>
    </r>
  </si>
  <si>
    <r>
      <rPr>
        <b val="true"/>
        <sz val="11"/>
        <color rgb="FF4FD1E5"/>
        <rFont val="Arial"/>
        <family val="0"/>
        <charset val="1"/>
      </rPr>
      <t xml:space="preserve">4: </t>
    </r>
    <r>
      <rPr>
        <b val="true"/>
        <sz val="11"/>
        <color rgb="FF4FD1E5"/>
        <rFont val="Noto Sans CJK SC"/>
        <family val="2"/>
        <charset val="1"/>
      </rPr>
      <t xml:space="preserve">摩擦材</t>
    </r>
  </si>
  <si>
    <r>
      <rPr>
        <b val="true"/>
        <sz val="11"/>
        <color rgb="FFFFA45B"/>
        <rFont val="Noto Sans CJK SC"/>
        <family val="2"/>
        <charset val="1"/>
      </rPr>
      <t xml:space="preserve">摩擦材 一般</t>
    </r>
    <r>
      <rPr>
        <b val="true"/>
        <sz val="11"/>
        <color rgb="FFFFA45B"/>
        <rFont val="Arial"/>
        <family val="0"/>
        <charset val="1"/>
      </rPr>
      <t xml:space="preserve">(</t>
    </r>
    <r>
      <rPr>
        <b val="true"/>
        <sz val="11"/>
        <color rgb="FFFFA45B"/>
        <rFont val="Noto Sans CJK SC"/>
        <family val="2"/>
        <charset val="1"/>
      </rPr>
      <t xml:space="preserve">圧縮</t>
    </r>
    <r>
      <rPr>
        <b val="true"/>
        <sz val="11"/>
        <color rgb="FFFFA45B"/>
        <rFont val="Arial"/>
        <family val="0"/>
        <charset val="1"/>
      </rPr>
      <t xml:space="preserve">)</t>
    </r>
  </si>
  <si>
    <t xml:space="preserve">■ 合成結果</t>
  </si>
  <si>
    <t xml:space="preserve">ΣE·A [N]</t>
  </si>
  <si>
    <r>
      <rPr>
        <sz val="9"/>
        <color rgb="FFA0A6B0"/>
        <rFont val="Noto Sans CJK SC"/>
        <family val="2"/>
        <charset val="1"/>
      </rPr>
      <t xml:space="preserve">各層の 弾性率</t>
    </r>
    <r>
      <rPr>
        <sz val="9"/>
        <color rgb="FFA0A6B0"/>
        <rFont val="Arial"/>
        <family val="0"/>
        <charset val="1"/>
      </rPr>
      <t xml:space="preserve">×</t>
    </r>
    <r>
      <rPr>
        <sz val="9"/>
        <color rgb="FFA0A6B0"/>
        <rFont val="Noto Sans CJK SC"/>
        <family val="2"/>
        <charset val="1"/>
      </rPr>
      <t xml:space="preserve">断面積 の合計</t>
    </r>
  </si>
  <si>
    <r>
      <rPr>
        <b val="true"/>
        <sz val="11"/>
        <color rgb="FFFFD166"/>
        <rFont val="Noto Sans CJK SC"/>
        <family val="2"/>
        <charset val="1"/>
      </rPr>
      <t xml:space="preserve">中立軸 </t>
    </r>
    <r>
      <rPr>
        <b val="true"/>
        <sz val="11"/>
        <color rgb="FFFFD166"/>
        <rFont val="Arial"/>
        <family val="0"/>
        <charset val="1"/>
      </rPr>
      <t xml:space="preserve">ȳ [m]</t>
    </r>
  </si>
  <si>
    <t xml:space="preserve">曲げても伸び縮みしない高さ。下端からの距離  🟢</t>
  </si>
  <si>
    <r>
      <rPr>
        <b val="true"/>
        <sz val="11"/>
        <color rgb="FFFFD166"/>
        <rFont val="Arial"/>
        <family val="0"/>
        <charset val="1"/>
      </rPr>
      <t xml:space="preserve">EI </t>
    </r>
    <r>
      <rPr>
        <b val="true"/>
        <sz val="11"/>
        <color rgb="FFFFD166"/>
        <rFont val="Noto Sans CJK SC"/>
        <family val="2"/>
        <charset val="1"/>
      </rPr>
      <t xml:space="preserve">面外曲げ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</si>
  <si>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t xml:space="preserve">厚み方向にたわむ剛性。パッドの主モードはこれ  🟢</t>
  </si>
  <si>
    <r>
      <rPr>
        <b val="true"/>
        <sz val="11"/>
        <color rgb="FFFFD166"/>
        <rFont val="Arial"/>
        <family val="0"/>
        <charset val="1"/>
      </rPr>
      <t xml:space="preserve">EI </t>
    </r>
    <r>
      <rPr>
        <b val="true"/>
        <sz val="11"/>
        <color rgb="FFFFD166"/>
        <rFont val="Noto Sans CJK SC"/>
        <family val="2"/>
        <charset val="1"/>
      </rPr>
      <t xml:space="preserve">面内曲げ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</si>
  <si>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t xml:space="preserve">面内（半径方向）にたわむ剛性。高周波側  🟢</t>
  </si>
  <si>
    <r>
      <rPr>
        <b val="true"/>
        <sz val="11"/>
        <color rgb="FFFFD166"/>
        <rFont val="Arial"/>
        <family val="0"/>
        <charset val="1"/>
      </rPr>
      <t xml:space="preserve">EA </t>
    </r>
    <r>
      <rPr>
        <b val="true"/>
        <sz val="11"/>
        <color rgb="FFFFD166"/>
        <rFont val="Noto Sans CJK SC"/>
        <family val="2"/>
        <charset val="1"/>
      </rPr>
      <t xml:space="preserve">軸 </t>
    </r>
    <r>
      <rPr>
        <b val="true"/>
        <sz val="11"/>
        <color rgb="FFFFD166"/>
        <rFont val="Arial"/>
        <family val="0"/>
        <charset val="1"/>
      </rPr>
      <t xml:space="preserve">[N]</t>
    </r>
  </si>
  <si>
    <t xml:space="preserve">伸び縮みの剛性  🟢</t>
  </si>
  <si>
    <r>
      <rPr>
        <b val="true"/>
        <sz val="11"/>
        <color rgb="FFFFD166"/>
        <rFont val="Arial"/>
        <family val="0"/>
        <charset val="1"/>
      </rPr>
      <t xml:space="preserve">ρA </t>
    </r>
    <r>
      <rPr>
        <b val="true"/>
        <sz val="11"/>
        <color rgb="FFFFD166"/>
        <rFont val="Noto Sans CJK SC"/>
        <family val="2"/>
        <charset val="1"/>
      </rPr>
      <t xml:space="preserve">単位長さ質量 </t>
    </r>
    <r>
      <rPr>
        <b val="true"/>
        <sz val="11"/>
        <color rgb="FFFFD166"/>
        <rFont val="Arial"/>
        <family val="0"/>
        <charset val="1"/>
      </rPr>
      <t xml:space="preserve">[kg/m]</t>
    </r>
  </si>
  <si>
    <r>
      <rPr>
        <sz val="9"/>
        <color rgb="FFA0A6B0"/>
        <rFont val="Arial"/>
        <family val="0"/>
        <charset val="1"/>
      </rPr>
      <t xml:space="preserve">1m</t>
    </r>
    <r>
      <rPr>
        <sz val="9"/>
        <color rgb="FFA0A6B0"/>
        <rFont val="Noto Sans CJK SC"/>
        <family val="2"/>
        <charset val="1"/>
      </rPr>
      <t xml:space="preserve">あたりの重さ  🟢</t>
    </r>
  </si>
  <si>
    <r>
      <rPr>
        <b val="true"/>
        <sz val="11"/>
        <color rgb="FFFFD166"/>
        <rFont val="Noto Sans CJK SC"/>
        <family val="2"/>
        <charset val="1"/>
      </rPr>
      <t xml:space="preserve">総厚 </t>
    </r>
    <r>
      <rPr>
        <b val="true"/>
        <sz val="11"/>
        <color rgb="FFFFD166"/>
        <rFont val="Arial"/>
        <family val="0"/>
        <charset val="1"/>
      </rPr>
      <t xml:space="preserve">h [m]</t>
    </r>
  </si>
  <si>
    <t xml:space="preserve">使用する層の厚さ合計</t>
  </si>
  <si>
    <r>
      <rPr>
        <b val="true"/>
        <sz val="11"/>
        <color rgb="FFFFD166"/>
        <rFont val="Noto Sans CJK SC"/>
        <family val="2"/>
        <charset val="1"/>
      </rPr>
      <t xml:space="preserve">等価ヤング率 </t>
    </r>
    <r>
      <rPr>
        <b val="true"/>
        <sz val="11"/>
        <color rgb="FFFFD166"/>
        <rFont val="Arial"/>
        <family val="0"/>
        <charset val="1"/>
      </rPr>
      <t xml:space="preserve">E_eq(</t>
    </r>
    <r>
      <rPr>
        <b val="true"/>
        <sz val="11"/>
        <color rgb="FFFFD166"/>
        <rFont val="Noto Sans CJK SC"/>
        <family val="2"/>
        <charset val="1"/>
      </rPr>
      <t xml:space="preserve">面外</t>
    </r>
    <r>
      <rPr>
        <b val="true"/>
        <sz val="11"/>
        <color rgb="FFFFD166"/>
        <rFont val="Arial"/>
        <family val="0"/>
        <charset val="1"/>
      </rPr>
      <t xml:space="preserve">) [GPa]</t>
    </r>
  </si>
  <si>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枚板とみなしたときの見かけの</t>
    </r>
    <r>
      <rPr>
        <sz val="9"/>
        <color rgb="FFA0A6B0"/>
        <rFont val="Arial"/>
        <family val="0"/>
        <charset val="1"/>
      </rPr>
      <t xml:space="preserve">E</t>
    </r>
  </si>
  <si>
    <r>
      <rPr>
        <b val="true"/>
        <sz val="11"/>
        <color rgb="FFFFD166"/>
        <rFont val="Noto Sans CJK SC"/>
        <family val="2"/>
        <charset val="1"/>
      </rPr>
      <t xml:space="preserve">等価密度 </t>
    </r>
    <r>
      <rPr>
        <b val="true"/>
        <sz val="11"/>
        <color rgb="FFFFD166"/>
        <rFont val="Arial"/>
        <family val="0"/>
        <charset val="1"/>
      </rPr>
      <t xml:space="preserve">ρ_eq [kg/m³]</t>
    </r>
  </si>
  <si>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枚板とみなしたときの見かけの</t>
    </r>
    <r>
      <rPr>
        <sz val="9"/>
        <color rgb="FFA0A6B0"/>
        <rFont val="Arial"/>
        <family val="0"/>
        <charset val="1"/>
      </rPr>
      <t xml:space="preserve">ρ</t>
    </r>
  </si>
  <si>
    <r>
      <rPr>
        <b val="true"/>
        <sz val="11"/>
        <color rgb="FFFFD166"/>
        <rFont val="Noto Sans CJK SC"/>
        <family val="2"/>
        <charset val="1"/>
      </rPr>
      <t xml:space="preserve">等価ポアソン比 </t>
    </r>
    <r>
      <rPr>
        <b val="true"/>
        <sz val="11"/>
        <color rgb="FFFFD166"/>
        <rFont val="Arial"/>
        <family val="0"/>
        <charset val="1"/>
      </rPr>
      <t xml:space="preserve">ν_eq</t>
    </r>
  </si>
  <si>
    <r>
      <rPr>
        <sz val="9"/>
        <color rgb="FFA0A6B0"/>
        <rFont val="Arial"/>
        <family val="0"/>
        <charset val="1"/>
      </rPr>
      <t xml:space="preserve">E·A</t>
    </r>
    <r>
      <rPr>
        <sz val="9"/>
        <color rgb="FFA0A6B0"/>
        <rFont val="Noto Sans CJK SC"/>
        <family val="2"/>
        <charset val="1"/>
      </rPr>
      <t xml:space="preserve">で重み付け平均</t>
    </r>
  </si>
  <si>
    <r>
      <rPr>
        <b val="true"/>
        <sz val="11"/>
        <color rgb="FFFFD166"/>
        <rFont val="Noto Sans CJK SC"/>
        <family val="2"/>
        <charset val="1"/>
      </rPr>
      <t xml:space="preserve">等価せん断弾性率 </t>
    </r>
    <r>
      <rPr>
        <b val="true"/>
        <sz val="11"/>
        <color rgb="FFFFD166"/>
        <rFont val="Arial"/>
        <family val="0"/>
        <charset val="1"/>
      </rPr>
      <t xml:space="preserve">G_eq [Pa]</t>
    </r>
  </si>
  <si>
    <t xml:space="preserve">G=E/(2(1+ν))  🟢</t>
  </si>
  <si>
    <r>
      <rPr>
        <b val="true"/>
        <sz val="11"/>
        <color rgb="FFFFD166"/>
        <rFont val="Noto Sans CJK SC"/>
        <family val="2"/>
        <charset val="1"/>
      </rPr>
      <t xml:space="preserve">ねじり係数 </t>
    </r>
    <r>
      <rPr>
        <b val="true"/>
        <sz val="11"/>
        <color rgb="FFFFD166"/>
        <rFont val="Arial"/>
        <family val="0"/>
        <charset val="1"/>
      </rPr>
      <t xml:space="preserve">β</t>
    </r>
  </si>
  <si>
    <r>
      <rPr>
        <sz val="9"/>
        <color rgb="FFA0A6B0"/>
        <rFont val="Noto Sans CJK SC"/>
        <family val="2"/>
        <charset val="1"/>
      </rPr>
      <t xml:space="preserve">長方形断面のねじり定数 </t>
    </r>
    <r>
      <rPr>
        <sz val="9"/>
        <color rgb="FFA0A6B0"/>
        <rFont val="Arial"/>
        <family val="0"/>
        <charset val="1"/>
      </rPr>
      <t xml:space="preserve">J=β·b·h³ 🟢 Roark</t>
    </r>
    <r>
      <rPr>
        <sz val="9"/>
        <color rgb="FFA0A6B0"/>
        <rFont val="Noto Sans CJK SC"/>
        <family val="2"/>
        <charset val="1"/>
      </rPr>
      <t xml:space="preserve">近似</t>
    </r>
  </si>
  <si>
    <r>
      <rPr>
        <b val="true"/>
        <sz val="11"/>
        <color rgb="FFFFD166"/>
        <rFont val="Arial"/>
        <family val="0"/>
        <charset val="1"/>
      </rPr>
      <t xml:space="preserve">GJ </t>
    </r>
    <r>
      <rPr>
        <b val="true"/>
        <sz val="11"/>
        <color rgb="FFFFD166"/>
        <rFont val="Noto Sans CJK SC"/>
        <family val="2"/>
        <charset val="1"/>
      </rPr>
      <t xml:space="preserve">ねじり剛性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</si>
  <si>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r>
      <rPr>
        <sz val="9"/>
        <color rgb="FFA0A6B0"/>
        <rFont val="Noto Sans CJK SC"/>
        <family val="2"/>
        <charset val="1"/>
      </rPr>
      <t xml:space="preserve">ねじりにくさ  🟡</t>
    </r>
    <r>
      <rPr>
        <sz val="9"/>
        <color rgb="FFA0A6B0"/>
        <rFont val="Arial"/>
        <family val="0"/>
        <charset val="1"/>
      </rPr>
      <t xml:space="preserve">(</t>
    </r>
    <r>
      <rPr>
        <sz val="9"/>
        <color rgb="FFA0A6B0"/>
        <rFont val="Noto Sans CJK SC"/>
        <family val="2"/>
        <charset val="1"/>
      </rPr>
      <t xml:space="preserve">積層は近似</t>
    </r>
    <r>
      <rPr>
        <sz val="9"/>
        <color rgb="FFA0A6B0"/>
        <rFont val="Arial"/>
        <family val="0"/>
        <charset val="1"/>
      </rPr>
      <t xml:space="preserve">)</t>
    </r>
  </si>
  <si>
    <r>
      <rPr>
        <b val="true"/>
        <sz val="11"/>
        <color rgb="FFFFD166"/>
        <rFont val="Arial"/>
        <family val="0"/>
        <charset val="1"/>
      </rPr>
      <t xml:space="preserve">ρIp </t>
    </r>
    <r>
      <rPr>
        <b val="true"/>
        <sz val="11"/>
        <color rgb="FFFFD166"/>
        <rFont val="Noto Sans CJK SC"/>
        <family val="2"/>
        <charset val="1"/>
      </rPr>
      <t xml:space="preserve">単位長さ極慣性 </t>
    </r>
    <r>
      <rPr>
        <b val="true"/>
        <sz val="11"/>
        <color rgb="FFFFD166"/>
        <rFont val="Arial"/>
        <family val="0"/>
        <charset val="1"/>
      </rPr>
      <t xml:space="preserve">[kg·m]</t>
    </r>
  </si>
  <si>
    <t xml:space="preserve">ねじりの回りにくさ  🟡</t>
  </si>
  <si>
    <r>
      <rPr>
        <b val="true"/>
        <sz val="11"/>
        <color rgb="FFFFD166"/>
        <rFont val="Noto Sans CJK SC"/>
        <family val="2"/>
        <charset val="1"/>
      </rPr>
      <t xml:space="preserve">合成損失係数 </t>
    </r>
    <r>
      <rPr>
        <b val="true"/>
        <sz val="11"/>
        <color rgb="FFFFD166"/>
        <rFont val="Arial"/>
        <family val="0"/>
        <charset val="1"/>
      </rPr>
      <t xml:space="preserve">η_eq</t>
    </r>
  </si>
  <si>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  <charset val="1"/>
      </rPr>
      <t xml:space="preserve">重み付け平均（</t>
    </r>
    <r>
      <rPr>
        <sz val="9"/>
        <color rgb="FFA0A6B0"/>
        <rFont val="Arial"/>
        <family val="0"/>
        <charset val="1"/>
      </rPr>
      <t xml:space="preserve">RKU</t>
    </r>
    <r>
      <rPr>
        <sz val="9"/>
        <color rgb="FFA0A6B0"/>
        <rFont val="Noto Sans CJK SC"/>
        <family val="2"/>
        <charset val="1"/>
      </rPr>
      <t xml:space="preserve">法の簡易版）🟡</t>
    </r>
  </si>
  <si>
    <r>
      <rPr>
        <b val="true"/>
        <sz val="11"/>
        <color rgb="FFFFD166"/>
        <rFont val="Noto Sans CJK SC"/>
        <family val="2"/>
        <charset val="1"/>
      </rPr>
      <t xml:space="preserve">パッド質量 </t>
    </r>
    <r>
      <rPr>
        <b val="true"/>
        <sz val="11"/>
        <color rgb="FFFFD166"/>
        <rFont val="Arial"/>
        <family val="0"/>
        <charset val="1"/>
      </rPr>
      <t xml:space="preserve">[g]</t>
    </r>
  </si>
  <si>
    <t xml:space="preserve">実測して合っていれば密度入力は正しい</t>
  </si>
  <si>
    <t xml:space="preserve">■ 中立軸の意味（ここが一番の勘どころ）</t>
  </si>
  <si>
    <t xml:space="preserve">曲げると、上側は縮み・下側は伸びる。その境目で「伸びも縮みもしない面」が中立軸（ちゅうりつじく）です。</t>
  </si>
  <si>
    <r>
      <rPr>
        <sz val="11"/>
        <color rgb="FFE6E6E6"/>
        <rFont val="Noto Sans CJK SC"/>
        <family val="2"/>
        <charset val="1"/>
      </rPr>
      <t xml:space="preserve">鋼の裏板（</t>
    </r>
    <r>
      <rPr>
        <sz val="11"/>
        <color rgb="FFE6E6E6"/>
        <rFont val="Arial"/>
        <family val="0"/>
        <charset val="1"/>
      </rPr>
      <t xml:space="preserve">E=205GPa</t>
    </r>
    <r>
      <rPr>
        <sz val="11"/>
        <color rgb="FFE6E6E6"/>
        <rFont val="Noto Sans CJK SC"/>
        <family val="2"/>
        <charset val="1"/>
      </rPr>
      <t xml:space="preserve">）と摩擦材（</t>
    </r>
    <r>
      <rPr>
        <sz val="11"/>
        <color rgb="FFE6E6E6"/>
        <rFont val="Arial"/>
        <family val="0"/>
        <charset val="1"/>
      </rPr>
      <t xml:space="preserve">E=3.5GPa</t>
    </r>
    <r>
      <rPr>
        <sz val="11"/>
        <color rgb="FFE6E6E6"/>
        <rFont val="Noto Sans CJK SC"/>
        <family val="2"/>
        <charset val="1"/>
      </rPr>
      <t xml:space="preserve">）では硬さが約</t>
    </r>
    <r>
      <rPr>
        <sz val="11"/>
        <color rgb="FFE6E6E6"/>
        <rFont val="Arial"/>
        <family val="0"/>
        <charset val="1"/>
      </rPr>
      <t xml:space="preserve">60</t>
    </r>
    <r>
      <rPr>
        <sz val="11"/>
        <color rgb="FFE6E6E6"/>
        <rFont val="Noto Sans CJK SC"/>
        <family val="2"/>
        <charset val="1"/>
      </rPr>
      <t xml:space="preserve">倍違うので、中立軸はほぼ裏板の中に寄ります。</t>
    </r>
  </si>
  <si>
    <t xml:space="preserve">つまり ⇒ 摩擦材の厚さを変えても剛性はあまり増えず、重さだけ増える ⇒ 固有振動数は下がる。</t>
  </si>
  <si>
    <r>
      <rPr>
        <sz val="11"/>
        <color rgb="FF4FD1E5"/>
        <rFont val="Noto Sans CJK SC"/>
        <family val="2"/>
        <charset val="1"/>
      </rPr>
      <t xml:space="preserve">逆に裏板を </t>
    </r>
    <r>
      <rPr>
        <sz val="11"/>
        <color rgb="FF4FD1E5"/>
        <rFont val="Arial"/>
        <family val="0"/>
        <charset val="1"/>
      </rPr>
      <t xml:space="preserve">5.0mm → 6.0mm </t>
    </r>
    <r>
      <rPr>
        <sz val="11"/>
        <color rgb="FF4FD1E5"/>
        <rFont val="Noto Sans CJK SC"/>
        <family val="2"/>
        <charset val="1"/>
      </rPr>
      <t xml:space="preserve">にすると </t>
    </r>
    <r>
      <rPr>
        <sz val="11"/>
        <color rgb="FF4FD1E5"/>
        <rFont val="Arial"/>
        <family val="0"/>
        <charset val="1"/>
      </rPr>
      <t xml:space="preserve">EI </t>
    </r>
    <r>
      <rPr>
        <sz val="11"/>
        <color rgb="FF4FD1E5"/>
        <rFont val="Noto Sans CJK SC"/>
        <family val="2"/>
        <charset val="1"/>
      </rPr>
      <t xml:space="preserve">は約 </t>
    </r>
    <r>
      <rPr>
        <sz val="11"/>
        <color rgb="FF4FD1E5"/>
        <rFont val="Arial"/>
        <family val="0"/>
        <charset val="1"/>
      </rPr>
      <t xml:space="preserve">(6/5)³</t>
    </r>
    <r>
      <rPr>
        <sz val="11"/>
        <color rgb="FF4FD1E5"/>
        <rFont val="Noto Sans CJK SC"/>
        <family val="2"/>
        <charset val="1"/>
      </rPr>
      <t xml:space="preserve">＝</t>
    </r>
    <r>
      <rPr>
        <sz val="11"/>
        <color rgb="FF4FD1E5"/>
        <rFont val="Arial"/>
        <family val="0"/>
        <charset val="1"/>
      </rPr>
      <t xml:space="preserve">1.73</t>
    </r>
    <r>
      <rPr>
        <sz val="11"/>
        <color rgb="FF4FD1E5"/>
        <rFont val="Noto Sans CJK SC"/>
        <family val="2"/>
        <charset val="1"/>
      </rPr>
      <t xml:space="preserve">倍になり、周波数は約√</t>
    </r>
    <r>
      <rPr>
        <sz val="11"/>
        <color rgb="FF4FD1E5"/>
        <rFont val="Arial"/>
        <family val="0"/>
        <charset val="1"/>
      </rPr>
      <t xml:space="preserve">1.73</t>
    </r>
    <r>
      <rPr>
        <sz val="11"/>
        <color rgb="FF4FD1E5"/>
        <rFont val="Noto Sans CJK SC"/>
        <family val="2"/>
        <charset val="1"/>
      </rPr>
      <t xml:space="preserve">＝</t>
    </r>
    <r>
      <rPr>
        <sz val="11"/>
        <color rgb="FF4FD1E5"/>
        <rFont val="Arial"/>
        <family val="0"/>
        <charset val="1"/>
      </rPr>
      <t xml:space="preserve">1.32</t>
    </r>
    <r>
      <rPr>
        <sz val="11"/>
        <color rgb="FF4FD1E5"/>
        <rFont val="Noto Sans CJK SC"/>
        <family val="2"/>
        <charset val="1"/>
      </rPr>
      <t xml:space="preserve">倍に上がります。</t>
    </r>
  </si>
  <si>
    <t xml:space="preserve">③ 固有振動数の予測（自由−自由：ピアノ線で吊った状態）</t>
  </si>
  <si>
    <r>
      <rPr>
        <sz val="9"/>
        <color rgb="FFA0A6B0"/>
        <rFont val="Arial"/>
        <family val="0"/>
        <charset val="1"/>
      </rPr>
      <t xml:space="preserve">4</t>
    </r>
    <r>
      <rPr>
        <sz val="9"/>
        <color rgb="FFA0A6B0"/>
        <rFont val="Noto Sans CJK SC"/>
        <family val="2"/>
        <charset val="1"/>
      </rPr>
      <t xml:space="preserve">系統：①面外曲げ ②ねじり ③面内曲げ ④面内伸縮。せん断変形（</t>
    </r>
    <r>
      <rPr>
        <sz val="9"/>
        <color rgb="FFA0A6B0"/>
        <rFont val="Arial"/>
        <family val="0"/>
        <charset val="1"/>
      </rPr>
      <t xml:space="preserve">Timoshenko</t>
    </r>
    <r>
      <rPr>
        <sz val="9"/>
        <color rgb="FFA0A6B0"/>
        <rFont val="Noto Sans CJK SC"/>
        <family val="2"/>
        <charset val="1"/>
      </rPr>
      <t xml:space="preserve">）補正つき。単位は </t>
    </r>
    <r>
      <rPr>
        <sz val="9"/>
        <color rgb="FFA0A6B0"/>
        <rFont val="Arial"/>
        <family val="0"/>
        <charset val="1"/>
      </rPr>
      <t xml:space="preserve">Hz</t>
    </r>
  </si>
  <si>
    <r>
      <rPr>
        <b val="true"/>
        <sz val="11"/>
        <color rgb="FFFFD166"/>
        <rFont val="Noto Sans CJK SC"/>
        <family val="2"/>
        <charset val="1"/>
      </rPr>
      <t xml:space="preserve">損失係数 </t>
    </r>
    <r>
      <rPr>
        <b val="true"/>
        <sz val="11"/>
        <color rgb="FFFFD166"/>
        <rFont val="Arial"/>
        <family val="0"/>
        <charset val="1"/>
      </rPr>
      <t xml:space="preserve">η</t>
    </r>
    <r>
      <rPr>
        <b val="true"/>
        <sz val="11"/>
        <color rgb="FFFFD166"/>
        <rFont val="Noto Sans CJK SC"/>
        <family val="2"/>
        <charset val="1"/>
      </rPr>
      <t xml:space="preserve">（空欄→断面シートの合成値）</t>
    </r>
  </si>
  <si>
    <r>
      <rPr>
        <b val="true"/>
        <sz val="11"/>
        <color rgb="FFFFD166"/>
        <rFont val="Noto Sans CJK SC"/>
        <family val="2"/>
        <charset val="1"/>
      </rPr>
      <t xml:space="preserve">せん断補正 使う</t>
    </r>
    <r>
      <rPr>
        <b val="true"/>
        <sz val="11"/>
        <color rgb="FFFFD166"/>
        <rFont val="Arial"/>
        <family val="0"/>
        <charset val="1"/>
      </rPr>
      <t xml:space="preserve">=1 / </t>
    </r>
    <r>
      <rPr>
        <b val="true"/>
        <sz val="11"/>
        <color rgb="FFFFD166"/>
        <rFont val="Noto Sans CJK SC"/>
        <family val="2"/>
        <charset val="1"/>
      </rPr>
      <t xml:space="preserve">使わない</t>
    </r>
    <r>
      <rPr>
        <b val="true"/>
        <sz val="11"/>
        <color rgb="FFFFD166"/>
        <rFont val="Arial"/>
        <family val="0"/>
        <charset val="1"/>
      </rPr>
      <t xml:space="preserve">=0</t>
    </r>
  </si>
  <si>
    <r>
      <rPr>
        <b val="true"/>
        <sz val="11"/>
        <color rgb="FFFFD166"/>
        <rFont val="Arial"/>
        <family val="0"/>
        <charset val="1"/>
      </rPr>
      <t xml:space="preserve">κ(</t>
    </r>
    <r>
      <rPr>
        <b val="true"/>
        <sz val="11"/>
        <color rgb="FFFFD166"/>
        <rFont val="Noto Sans CJK SC"/>
        <family val="2"/>
        <charset val="1"/>
      </rPr>
      <t xml:space="preserve">長方形</t>
    </r>
    <r>
      <rPr>
        <b val="true"/>
        <sz val="11"/>
        <color rgb="FFFFD166"/>
        <rFont val="Arial"/>
        <family val="0"/>
        <charset val="1"/>
      </rPr>
      <t xml:space="preserve">=5/6)</t>
    </r>
  </si>
  <si>
    <r>
      <rPr>
        <b val="true"/>
        <sz val="10"/>
        <color rgb="FFA0A6B0"/>
        <rFont val="Noto Sans CJK SC"/>
        <family val="2"/>
        <charset val="1"/>
      </rPr>
      <t xml:space="preserve">回転半径 </t>
    </r>
    <r>
      <rPr>
        <b val="true"/>
        <sz val="10"/>
        <color rgb="FFA0A6B0"/>
        <rFont val="Arial"/>
        <family val="0"/>
        <charset val="1"/>
      </rPr>
      <t xml:space="preserve">r_out [m] = h/√12</t>
    </r>
  </si>
  <si>
    <t xml:space="preserve">r_in = w/√12</t>
  </si>
  <si>
    <t xml:space="preserve">1+E/(κG)</t>
  </si>
  <si>
    <t xml:space="preserve">#</t>
  </si>
  <si>
    <t xml:space="preserve">モード種別</t>
  </si>
  <si>
    <t xml:space="preserve">n</t>
  </si>
  <si>
    <r>
      <rPr>
        <b val="true"/>
        <sz val="10"/>
        <color rgb="FFFFD166"/>
        <rFont val="Noto Sans CJK SC"/>
        <family val="2"/>
        <charset val="1"/>
      </rPr>
      <t xml:space="preserve">係数 </t>
    </r>
    <r>
      <rPr>
        <b val="true"/>
        <sz val="10"/>
        <color rgb="FFFFD166"/>
        <rFont val="Arial"/>
        <family val="0"/>
        <charset val="1"/>
      </rPr>
      <t xml:space="preserve">(βL) or n</t>
    </r>
  </si>
  <si>
    <t xml:space="preserve">(βL)²</t>
  </si>
  <si>
    <t xml:space="preserve">f Euler [Hz]</t>
  </si>
  <si>
    <t xml:space="preserve">せん断補正係数</t>
  </si>
  <si>
    <r>
      <rPr>
        <b val="true"/>
        <sz val="10"/>
        <color rgb="FFFFD166"/>
        <rFont val="Arial"/>
        <family val="0"/>
        <charset val="1"/>
      </rPr>
      <t xml:space="preserve">f </t>
    </r>
    <r>
      <rPr>
        <b val="true"/>
        <sz val="10"/>
        <color rgb="FFFFD166"/>
        <rFont val="Noto Sans CJK SC"/>
        <family val="2"/>
        <charset val="1"/>
      </rPr>
      <t xml:space="preserve">補正後 </t>
    </r>
    <r>
      <rPr>
        <b val="true"/>
        <sz val="10"/>
        <color rgb="FFFFD166"/>
        <rFont val="Arial"/>
        <family val="0"/>
        <charset val="1"/>
      </rPr>
      <t xml:space="preserve">[Hz]</t>
    </r>
  </si>
  <si>
    <r>
      <rPr>
        <b val="true"/>
        <sz val="10"/>
        <color rgb="FFFFD166"/>
        <rFont val="Noto Sans CJK SC"/>
        <family val="2"/>
        <charset val="1"/>
      </rPr>
      <t xml:space="preserve">★採用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</si>
  <si>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Noto Sans CJK SC"/>
        <family val="2"/>
        <charset val="1"/>
      </rPr>
      <t xml:space="preserve">波長 </t>
    </r>
    <r>
      <rPr>
        <b val="true"/>
        <sz val="10"/>
        <color rgb="FFFFD166"/>
        <rFont val="Arial"/>
        <family val="0"/>
        <charset val="1"/>
      </rPr>
      <t xml:space="preserve">λ [mm]</t>
    </r>
  </si>
  <si>
    <r>
      <rPr>
        <b val="true"/>
        <sz val="10"/>
        <color rgb="FFFFD166"/>
        <rFont val="Arial"/>
        <family val="0"/>
        <charset val="1"/>
      </rPr>
      <t xml:space="preserve">λ/</t>
    </r>
    <r>
      <rPr>
        <b val="true"/>
        <sz val="10"/>
        <color rgb="FFFFD166"/>
        <rFont val="Noto Sans CJK SC"/>
        <family val="2"/>
        <charset val="1"/>
      </rPr>
      <t xml:space="preserve">断面寸法</t>
    </r>
  </si>
  <si>
    <t xml:space="preserve">妥当性</t>
  </si>
  <si>
    <t xml:space="preserve">備考</t>
  </si>
  <si>
    <t xml:space="preserve">f [Hz]</t>
  </si>
  <si>
    <r>
      <rPr>
        <b val="true"/>
        <sz val="10"/>
        <color rgb="FFFFD166"/>
        <rFont val="Noto Sans CJK SC"/>
        <family val="2"/>
        <charset val="1"/>
      </rPr>
      <t xml:space="preserve">振幅 </t>
    </r>
    <r>
      <rPr>
        <b val="true"/>
        <sz val="10"/>
        <color rgb="FFFFD166"/>
        <rFont val="Arial"/>
        <family val="0"/>
        <charset val="1"/>
      </rPr>
      <t xml:space="preserve">A</t>
    </r>
  </si>
  <si>
    <t xml:space="preserve">モード名</t>
  </si>
  <si>
    <t xml:space="preserve">面外曲げ</t>
  </si>
  <si>
    <t xml:space="preserve">板が反（そ）るように曲がる。鳴きの主役  🟢</t>
  </si>
  <si>
    <t xml:space="preserve">ねじり</t>
  </si>
  <si>
    <r>
      <rPr>
        <sz val="9"/>
        <color rgb="FFA0A6B0"/>
        <rFont val="Noto Sans CJK SC"/>
        <family val="2"/>
        <charset val="1"/>
      </rPr>
      <t xml:space="preserve">板がねじれる。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次ねじりは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次曲げの近くに出やすい  🟡</t>
    </r>
  </si>
  <si>
    <t xml:space="preserve">面内曲げ</t>
  </si>
  <si>
    <r>
      <rPr>
        <sz val="9"/>
        <color rgb="FFA0A6B0"/>
        <rFont val="Noto Sans CJK SC"/>
        <family val="2"/>
        <charset val="1"/>
      </rPr>
      <t xml:space="preserve">面の中で（半径方向に）波打つ。</t>
    </r>
    <r>
      <rPr>
        <sz val="9"/>
        <color rgb="FFA0A6B0"/>
        <rFont val="Arial"/>
        <family val="0"/>
        <charset val="1"/>
      </rPr>
      <t xml:space="preserve">5kHz</t>
    </r>
    <r>
      <rPr>
        <sz val="9"/>
        <color rgb="FFA0A6B0"/>
        <rFont val="Noto Sans CJK SC"/>
        <family val="2"/>
        <charset val="1"/>
      </rPr>
      <t xml:space="preserve">以上で効く  🟢</t>
    </r>
  </si>
  <si>
    <t xml:space="preserve">面内伸縮</t>
  </si>
  <si>
    <r>
      <rPr>
        <sz val="9"/>
        <color rgb="FFA0A6B0"/>
        <rFont val="Noto Sans CJK SC"/>
        <family val="2"/>
        <charset val="1"/>
      </rPr>
      <t xml:space="preserve">円周方向に伸び縮み。</t>
    </r>
    <r>
      <rPr>
        <sz val="9"/>
        <color rgb="FFA0A6B0"/>
        <rFont val="Arial"/>
        <family val="0"/>
        <charset val="1"/>
      </rPr>
      <t xml:space="preserve">10kHz</t>
    </r>
    <r>
      <rPr>
        <sz val="9"/>
        <color rgb="FFA0A6B0"/>
        <rFont val="Noto Sans CJK SC"/>
        <family val="2"/>
        <charset val="1"/>
      </rPr>
      <t xml:space="preserve">超の高音鳴きに関与  🟢</t>
    </r>
  </si>
  <si>
    <t xml:space="preserve">■ 使っている式（🟢＝教科書どおり／🟡＝妥当な近似）</t>
  </si>
  <si>
    <t xml:space="preserve">面外曲げ・面内曲げ</t>
  </si>
  <si>
    <t xml:space="preserve">f = (βL)² /(2π L²) × √(EI / ρA)</t>
  </si>
  <si>
    <r>
      <rPr>
        <sz val="9"/>
        <color rgb="FFA0A6B0"/>
        <rFont val="Noto Sans CJK SC"/>
        <family val="2"/>
        <charset val="1"/>
      </rPr>
      <t xml:space="preserve">自由−自由はり（</t>
    </r>
    <r>
      <rPr>
        <sz val="9"/>
        <color rgb="FFA0A6B0"/>
        <rFont val="Arial"/>
        <family val="0"/>
        <charset val="1"/>
      </rPr>
      <t xml:space="preserve">Euler-Bernoulli</t>
    </r>
    <r>
      <rPr>
        <sz val="9"/>
        <color rgb="FFA0A6B0"/>
        <rFont val="Noto Sans CJK SC"/>
        <family val="2"/>
        <charset val="1"/>
      </rPr>
      <t xml:space="preserve">）。</t>
    </r>
    <r>
      <rPr>
        <sz val="9"/>
        <color rgb="FFA0A6B0"/>
        <rFont val="Arial"/>
        <family val="0"/>
        <charset val="1"/>
      </rPr>
      <t xml:space="preserve">βL = 4.7300, 7.8532, 10.9956, 14.1372, 17.2788, 20.4204</t>
    </r>
    <r>
      <rPr>
        <sz val="9"/>
        <color rgb="FFA0A6B0"/>
        <rFont val="Noto Sans CJK SC"/>
        <family val="2"/>
        <charset val="1"/>
      </rPr>
      <t xml:space="preserve">（</t>
    </r>
    <r>
      <rPr>
        <sz val="9"/>
        <color rgb="FFA0A6B0"/>
        <rFont val="Arial"/>
        <family val="0"/>
        <charset val="1"/>
      </rPr>
      <t xml:space="preserve">cos(βL)cosh(βL)=1 </t>
    </r>
    <r>
      <rPr>
        <sz val="9"/>
        <color rgb="FFA0A6B0"/>
        <rFont val="Noto Sans CJK SC"/>
        <family val="2"/>
        <charset val="1"/>
      </rPr>
      <t xml:space="preserve">の解）  🟢</t>
    </r>
  </si>
  <si>
    <t xml:space="preserve">周波数の比</t>
  </si>
  <si>
    <t xml:space="preserve">f₁ : f₂ : f₃ : f₄ = 1 : 2.757 : 5.404 : 8.933</t>
  </si>
  <si>
    <r>
      <rPr>
        <sz val="9"/>
        <color rgb="FFA0A6B0"/>
        <rFont val="Noto Sans CJK SC"/>
        <family val="2"/>
        <charset val="1"/>
      </rPr>
      <t xml:space="preserve">実測がこの比から外れたら「曲げモードではない」</t>
    </r>
    <r>
      <rPr>
        <sz val="9"/>
        <color rgb="FFA0A6B0"/>
        <rFont val="Arial"/>
        <family val="0"/>
        <charset val="1"/>
      </rPr>
      <t xml:space="preserve">or</t>
    </r>
    <r>
      <rPr>
        <sz val="9"/>
        <color rgb="FFA0A6B0"/>
        <rFont val="Noto Sans CJK SC"/>
        <family val="2"/>
        <charset val="1"/>
      </rPr>
      <t xml:space="preserve">「せん断が効いている」  🟢</t>
    </r>
  </si>
  <si>
    <t xml:space="preserve">せん断補正</t>
  </si>
  <si>
    <r>
      <rPr>
        <b val="true"/>
        <sz val="11"/>
        <color rgb="FFFFD166"/>
        <rFont val="Arial"/>
        <family val="0"/>
        <charset val="1"/>
      </rPr>
      <t xml:space="preserve">f</t>
    </r>
    <r>
      <rPr>
        <b val="true"/>
        <sz val="11"/>
        <color rgb="FFFFD166"/>
        <rFont val="Noto Sans CJK SC"/>
        <family val="2"/>
        <charset val="1"/>
      </rPr>
      <t xml:space="preserve">補正 </t>
    </r>
    <r>
      <rPr>
        <b val="true"/>
        <sz val="11"/>
        <color rgb="FFFFD166"/>
        <rFont val="Arial"/>
        <family val="0"/>
        <charset val="1"/>
      </rPr>
      <t xml:space="preserve">= f / √(1 + (βL)²·(r/L)²·(1 + E/(κG)))</t>
    </r>
  </si>
  <si>
    <r>
      <rPr>
        <sz val="9"/>
        <color rgb="FFA0A6B0"/>
        <rFont val="Arial"/>
        <family val="0"/>
        <charset val="1"/>
      </rPr>
      <t xml:space="preserve">Timoshenko</t>
    </r>
    <r>
      <rPr>
        <sz val="9"/>
        <color rgb="FFA0A6B0"/>
        <rFont val="Noto Sans CJK SC"/>
        <family val="2"/>
        <charset val="1"/>
      </rPr>
      <t xml:space="preserve">の一次近似。</t>
    </r>
    <r>
      <rPr>
        <sz val="9"/>
        <color rgb="FFA0A6B0"/>
        <rFont val="Arial"/>
        <family val="0"/>
        <charset val="1"/>
      </rPr>
      <t xml:space="preserve">r=</t>
    </r>
    <r>
      <rPr>
        <sz val="9"/>
        <color rgb="FFA0A6B0"/>
        <rFont val="Noto Sans CJK SC"/>
        <family val="2"/>
        <charset val="1"/>
      </rPr>
      <t xml:space="preserve">断面回転半径</t>
    </r>
    <r>
      <rPr>
        <sz val="9"/>
        <color rgb="FFA0A6B0"/>
        <rFont val="Arial"/>
        <family val="0"/>
        <charset val="1"/>
      </rPr>
      <t xml:space="preserve">, κ=5/6</t>
    </r>
    <r>
      <rPr>
        <sz val="9"/>
        <color rgb="FFA0A6B0"/>
        <rFont val="Noto Sans CJK SC"/>
        <family val="2"/>
        <charset val="1"/>
      </rPr>
      <t xml:space="preserve">。高次ほど大きく下がる。厚くて短いパッドでは必須  🟡</t>
    </r>
  </si>
  <si>
    <t xml:space="preserve">f = n /(2L) × √(GJ / ρIp)</t>
  </si>
  <si>
    <r>
      <rPr>
        <sz val="9"/>
        <color rgb="FFA0A6B0"/>
        <rFont val="Noto Sans CJK SC"/>
        <family val="2"/>
        <charset val="1"/>
      </rPr>
      <t xml:space="preserve">自由−自由ねじり棒。</t>
    </r>
    <r>
      <rPr>
        <sz val="9"/>
        <color rgb="FFA0A6B0"/>
        <rFont val="Arial"/>
        <family val="0"/>
        <charset val="1"/>
      </rPr>
      <t xml:space="preserve">J=β·b·h³</t>
    </r>
    <r>
      <rPr>
        <sz val="9"/>
        <color rgb="FFA0A6B0"/>
        <rFont val="Noto Sans CJK SC"/>
        <family val="2"/>
        <charset val="1"/>
      </rPr>
      <t xml:space="preserve">、</t>
    </r>
    <r>
      <rPr>
        <sz val="9"/>
        <color rgb="FFA0A6B0"/>
        <rFont val="Arial"/>
        <family val="0"/>
        <charset val="1"/>
      </rPr>
      <t xml:space="preserve">β=(1/3)(1−0.630(h/b)+0.052(h/b)⁵)  🟢/🟡</t>
    </r>
    <r>
      <rPr>
        <sz val="9"/>
        <color rgb="FFA0A6B0"/>
        <rFont val="Noto Sans CJK SC"/>
        <family val="2"/>
        <charset val="1"/>
      </rPr>
      <t xml:space="preserve">（積層の</t>
    </r>
    <r>
      <rPr>
        <sz val="9"/>
        <color rgb="FFA0A6B0"/>
        <rFont val="Arial"/>
        <family val="0"/>
        <charset val="1"/>
      </rPr>
      <t xml:space="preserve">GJ</t>
    </r>
    <r>
      <rPr>
        <sz val="9"/>
        <color rgb="FFA0A6B0"/>
        <rFont val="Noto Sans CJK SC"/>
        <family val="2"/>
        <charset val="1"/>
      </rPr>
      <t xml:space="preserve">は近似）</t>
    </r>
  </si>
  <si>
    <t xml:space="preserve">f = n /(2L) × √(EA / ρA)</t>
  </si>
  <si>
    <r>
      <rPr>
        <sz val="9"/>
        <color rgb="FFA0A6B0"/>
        <rFont val="Noto Sans CJK SC"/>
        <family val="2"/>
        <charset val="1"/>
      </rPr>
      <t xml:space="preserve">自由−自由の縦振動。棒の中の音速 </t>
    </r>
    <r>
      <rPr>
        <sz val="9"/>
        <color rgb="FFA0A6B0"/>
        <rFont val="Arial"/>
        <family val="0"/>
        <charset val="1"/>
      </rPr>
      <t xml:space="preserve">c=√(E/ρ) </t>
    </r>
    <r>
      <rPr>
        <sz val="9"/>
        <color rgb="FFA0A6B0"/>
        <rFont val="Noto Sans CJK SC"/>
        <family val="2"/>
        <charset val="1"/>
      </rPr>
      <t xml:space="preserve">の半波長ずつ  🟢</t>
    </r>
  </si>
  <si>
    <t xml:space="preserve">波長</t>
  </si>
  <si>
    <r>
      <rPr>
        <b val="true"/>
        <sz val="11"/>
        <color rgb="FFFFD166"/>
        <rFont val="Arial"/>
        <family val="0"/>
        <charset val="1"/>
      </rPr>
      <t xml:space="preserve">λ = 2πL/(βL)</t>
    </r>
    <r>
      <rPr>
        <b val="true"/>
        <sz val="11"/>
        <color rgb="FFFFD166"/>
        <rFont val="Noto Sans CJK SC"/>
        <family val="2"/>
        <charset val="1"/>
      </rPr>
      <t xml:space="preserve">（曲げ）、</t>
    </r>
    <r>
      <rPr>
        <b val="true"/>
        <sz val="11"/>
        <color rgb="FFFFD166"/>
        <rFont val="Arial"/>
        <family val="0"/>
        <charset val="1"/>
      </rPr>
      <t xml:space="preserve">λ = 2L/n</t>
    </r>
    <r>
      <rPr>
        <b val="true"/>
        <sz val="11"/>
        <color rgb="FFFFD166"/>
        <rFont val="Noto Sans CJK SC"/>
        <family val="2"/>
        <charset val="1"/>
      </rPr>
      <t xml:space="preserve">（ねじり・伸縮）</t>
    </r>
  </si>
  <si>
    <r>
      <rPr>
        <sz val="9"/>
        <color rgb="FFA0A6B0"/>
        <rFont val="Arial"/>
        <family val="0"/>
        <charset val="1"/>
      </rPr>
      <t xml:space="preserve">λ/</t>
    </r>
    <r>
      <rPr>
        <sz val="9"/>
        <color rgb="FFA0A6B0"/>
        <rFont val="Noto Sans CJK SC"/>
        <family val="2"/>
        <charset val="1"/>
      </rPr>
      <t xml:space="preserve">断面寸法 が小さいほど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次元はり近似が苦しい。</t>
    </r>
    <r>
      <rPr>
        <sz val="9"/>
        <color rgb="FFA0A6B0"/>
        <rFont val="Arial"/>
        <family val="0"/>
        <charset val="1"/>
      </rPr>
      <t xml:space="preserve">6</t>
    </r>
    <r>
      <rPr>
        <sz val="9"/>
        <color rgb="FFA0A6B0"/>
        <rFont val="Noto Sans CJK SC"/>
        <family val="2"/>
        <charset val="1"/>
      </rPr>
      <t xml:space="preserve">以上あれば安心  🟢</t>
    </r>
  </si>
  <si>
    <t xml:space="preserve">最重要の性質</t>
  </si>
  <si>
    <r>
      <rPr>
        <b val="true"/>
        <sz val="11"/>
        <color rgb="FFFFD166"/>
        <rFont val="Arial"/>
        <family val="0"/>
        <charset val="1"/>
      </rPr>
      <t xml:space="preserve">f ∝ h / L²</t>
    </r>
    <r>
      <rPr>
        <b val="true"/>
        <sz val="11"/>
        <color rgb="FFFFD166"/>
        <rFont val="Noto Sans CJK SC"/>
        <family val="2"/>
        <charset val="1"/>
      </rPr>
      <t xml:space="preserve">（均質</t>
    </r>
    <r>
      <rPr>
        <b val="true"/>
        <sz val="11"/>
        <color rgb="FFFFD166"/>
        <rFont val="Arial"/>
        <family val="0"/>
        <charset val="1"/>
      </rPr>
      <t xml:space="preserve">1</t>
    </r>
    <r>
      <rPr>
        <b val="true"/>
        <sz val="11"/>
        <color rgb="FFFFD166"/>
        <rFont val="Noto Sans CJK SC"/>
        <family val="2"/>
        <charset val="1"/>
      </rPr>
      <t xml:space="preserve">枚板のとき）</t>
    </r>
  </si>
  <si>
    <r>
      <rPr>
        <sz val="9"/>
        <color rgb="FFA0A6B0"/>
        <rFont val="Noto Sans CJK SC"/>
        <family val="2"/>
        <charset val="1"/>
      </rPr>
      <t xml:space="preserve">厚さ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  <charset val="1"/>
      </rPr>
      <t xml:space="preserve">倍→周波数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  <charset val="1"/>
      </rPr>
      <t xml:space="preserve">倍。長さ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  <charset val="1"/>
      </rPr>
      <t xml:space="preserve">倍→周波数</t>
    </r>
    <r>
      <rPr>
        <sz val="9"/>
        <color rgb="FFA0A6B0"/>
        <rFont val="Arial"/>
        <family val="0"/>
        <charset val="1"/>
      </rPr>
      <t xml:space="preserve">1/4</t>
    </r>
    <r>
      <rPr>
        <sz val="9"/>
        <color rgb="FFA0A6B0"/>
        <rFont val="Noto Sans CJK SC"/>
        <family val="2"/>
        <charset val="1"/>
      </rPr>
      <t xml:space="preserve">。設計で一番効くのは </t>
    </r>
    <r>
      <rPr>
        <sz val="9"/>
        <color rgb="FFA0A6B0"/>
        <rFont val="Arial"/>
        <family val="0"/>
        <charset val="1"/>
      </rPr>
      <t xml:space="preserve">L</t>
    </r>
    <r>
      <rPr>
        <sz val="9"/>
        <color rgb="FFA0A6B0"/>
        <rFont val="Noto Sans CJK SC"/>
        <family val="2"/>
        <charset val="1"/>
      </rPr>
      <t xml:space="preserve">（長さ）  🟢</t>
    </r>
  </si>
  <si>
    <r>
      <rPr>
        <b val="true"/>
        <sz val="12"/>
        <color rgb="FFFFA45B"/>
        <rFont val="Noto Sans CJK SC"/>
        <family val="2"/>
        <charset val="1"/>
      </rPr>
      <t xml:space="preserve">■ 感度（どこをいじると何</t>
    </r>
    <r>
      <rPr>
        <b val="true"/>
        <sz val="12"/>
        <color rgb="FFFFA45B"/>
        <rFont val="Arial"/>
        <family val="0"/>
        <charset val="1"/>
      </rPr>
      <t xml:space="preserve">Hz</t>
    </r>
    <r>
      <rPr>
        <b val="true"/>
        <sz val="12"/>
        <color rgb="FFFFA45B"/>
        <rFont val="Noto Sans CJK SC"/>
        <family val="2"/>
        <charset val="1"/>
      </rPr>
      <t xml:space="preserve">動くか）</t>
    </r>
  </si>
  <si>
    <r>
      <rPr>
        <sz val="11"/>
        <color rgb="FF4FD1E5"/>
        <rFont val="Noto Sans CJK SC"/>
        <family val="2"/>
        <charset val="1"/>
      </rPr>
      <t xml:space="preserve">長さ </t>
    </r>
    <r>
      <rPr>
        <sz val="11"/>
        <color rgb="FF4FD1E5"/>
        <rFont val="Arial"/>
        <family val="0"/>
        <charset val="1"/>
      </rPr>
      <t xml:space="preserve">L </t>
    </r>
    <r>
      <rPr>
        <sz val="11"/>
        <color rgb="FF4FD1E5"/>
        <rFont val="Noto Sans CJK SC"/>
        <family val="2"/>
        <charset val="1"/>
      </rPr>
      <t xml:space="preserve">を </t>
    </r>
    <r>
      <rPr>
        <sz val="11"/>
        <color rgb="FF4FD1E5"/>
        <rFont val="Arial"/>
        <family val="0"/>
        <charset val="1"/>
      </rPr>
      <t xml:space="preserve">x </t>
    </r>
    <r>
      <rPr>
        <sz val="11"/>
        <color rgb="FF4FD1E5"/>
        <rFont val="Noto Sans CJK SC"/>
        <family val="2"/>
        <charset val="1"/>
      </rPr>
      <t xml:space="preserve">倍 → 面外曲げは </t>
    </r>
    <r>
      <rPr>
        <sz val="11"/>
        <color rgb="FF4FD1E5"/>
        <rFont val="Arial"/>
        <family val="0"/>
        <charset val="1"/>
      </rPr>
      <t xml:space="preserve">1/x² </t>
    </r>
    <r>
      <rPr>
        <sz val="11"/>
        <color rgb="FF4FD1E5"/>
        <rFont val="Noto Sans CJK SC"/>
        <family val="2"/>
        <charset val="1"/>
      </rPr>
      <t xml:space="preserve">倍。</t>
    </r>
    <r>
      <rPr>
        <sz val="11"/>
        <color rgb="FF4FD1E5"/>
        <rFont val="Arial"/>
        <family val="0"/>
        <charset val="1"/>
      </rPr>
      <t xml:space="preserve">L </t>
    </r>
    <r>
      <rPr>
        <sz val="11"/>
        <color rgb="FF4FD1E5"/>
        <rFont val="Noto Sans CJK SC"/>
        <family val="2"/>
        <charset val="1"/>
      </rPr>
      <t xml:space="preserve">が </t>
    </r>
    <r>
      <rPr>
        <sz val="11"/>
        <color rgb="FF4FD1E5"/>
        <rFont val="Arial"/>
        <family val="0"/>
        <charset val="1"/>
      </rPr>
      <t xml:space="preserve">5% </t>
    </r>
    <r>
      <rPr>
        <sz val="11"/>
        <color rgb="FF4FD1E5"/>
        <rFont val="Noto Sans CJK SC"/>
        <family val="2"/>
        <charset val="1"/>
      </rPr>
      <t xml:space="preserve">伸びるだけで周波数は約 </t>
    </r>
    <r>
      <rPr>
        <sz val="11"/>
        <color rgb="FF4FD1E5"/>
        <rFont val="Arial"/>
        <family val="0"/>
        <charset val="1"/>
      </rPr>
      <t xml:space="preserve">9% </t>
    </r>
    <r>
      <rPr>
        <sz val="11"/>
        <color rgb="FF4FD1E5"/>
        <rFont val="Noto Sans CJK SC"/>
        <family val="2"/>
        <charset val="1"/>
      </rPr>
      <t xml:space="preserve">下がる（最も効く）</t>
    </r>
  </si>
  <si>
    <r>
      <rPr>
        <sz val="11"/>
        <color rgb="FFFFD166"/>
        <rFont val="Noto Sans CJK SC"/>
        <family val="2"/>
        <charset val="1"/>
      </rPr>
      <t xml:space="preserve">裏板の厚さ </t>
    </r>
    <r>
      <rPr>
        <sz val="11"/>
        <color rgb="FFFFD166"/>
        <rFont val="Arial"/>
        <family val="0"/>
        <charset val="1"/>
      </rPr>
      <t xml:space="preserve">t1 </t>
    </r>
    <r>
      <rPr>
        <sz val="11"/>
        <color rgb="FFFFD166"/>
        <rFont val="Noto Sans CJK SC"/>
        <family val="2"/>
        <charset val="1"/>
      </rPr>
      <t xml:space="preserve">を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  <charset val="1"/>
      </rPr>
      <t xml:space="preserve">倍 → </t>
    </r>
    <r>
      <rPr>
        <sz val="11"/>
        <color rgb="FFFFD166"/>
        <rFont val="Arial"/>
        <family val="0"/>
        <charset val="1"/>
      </rPr>
      <t xml:space="preserve">EI </t>
    </r>
    <r>
      <rPr>
        <sz val="11"/>
        <color rgb="FFFFD166"/>
        <rFont val="Noto Sans CJK SC"/>
        <family val="2"/>
        <charset val="1"/>
      </rPr>
      <t xml:space="preserve">は </t>
    </r>
    <r>
      <rPr>
        <sz val="11"/>
        <color rgb="FFFFD166"/>
        <rFont val="Arial"/>
        <family val="0"/>
        <charset val="1"/>
      </rPr>
      <t xml:space="preserve">x³</t>
    </r>
    <r>
      <rPr>
        <sz val="11"/>
        <color rgb="FFFFD166"/>
        <rFont val="Noto Sans CJK SC"/>
        <family val="2"/>
        <charset val="1"/>
      </rPr>
      <t xml:space="preserve">、質量は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  <charset val="1"/>
      </rPr>
      <t xml:space="preserve">なので周波数はおよそ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  <charset val="1"/>
      </rPr>
      <t xml:space="preserve">倍（摩擦材が乗っている分やや鈍る）</t>
    </r>
  </si>
  <si>
    <r>
      <rPr>
        <sz val="11"/>
        <color rgb="FFC792EA"/>
        <rFont val="Noto Sans CJK SC"/>
        <family val="2"/>
        <charset val="1"/>
      </rPr>
      <t xml:space="preserve">摩擦材のヤング率 </t>
    </r>
    <r>
      <rPr>
        <sz val="11"/>
        <color rgb="FFC792EA"/>
        <rFont val="Arial"/>
        <family val="0"/>
        <charset val="1"/>
      </rPr>
      <t xml:space="preserve">E2 </t>
    </r>
    <r>
      <rPr>
        <sz val="11"/>
        <color rgb="FFC792EA"/>
        <rFont val="Noto Sans CJK SC"/>
        <family val="2"/>
        <charset val="1"/>
      </rPr>
      <t xml:space="preserve">を </t>
    </r>
    <r>
      <rPr>
        <sz val="11"/>
        <color rgb="FFC792EA"/>
        <rFont val="Arial"/>
        <family val="0"/>
        <charset val="1"/>
      </rPr>
      <t xml:space="preserve">x </t>
    </r>
    <r>
      <rPr>
        <sz val="11"/>
        <color rgb="FFC792EA"/>
        <rFont val="Noto Sans CJK SC"/>
        <family val="2"/>
        <charset val="1"/>
      </rPr>
      <t xml:space="preserve">倍 → 中立軸が裏板に寄っているため周波数はほとんど動かない</t>
    </r>
  </si>
  <si>
    <r>
      <rPr>
        <sz val="11"/>
        <color rgb="FFFFA45B"/>
        <rFont val="Noto Sans CJK SC"/>
        <family val="2"/>
        <charset val="1"/>
      </rPr>
      <t xml:space="preserve">摩擦材の厚さ </t>
    </r>
    <r>
      <rPr>
        <sz val="11"/>
        <color rgb="FFFFA45B"/>
        <rFont val="Arial"/>
        <family val="0"/>
        <charset val="1"/>
      </rPr>
      <t xml:space="preserve">t2 </t>
    </r>
    <r>
      <rPr>
        <sz val="11"/>
        <color rgb="FFFFA45B"/>
        <rFont val="Noto Sans CJK SC"/>
        <family val="2"/>
        <charset val="1"/>
      </rPr>
      <t xml:space="preserve">を増やす → 重さだけ増えて剛性はあまり増えない ⇒ 周波数は下がる（摩耗すると鳴き周波数が上がる理由）</t>
    </r>
  </si>
  <si>
    <r>
      <rPr>
        <sz val="11"/>
        <color rgb="FFFF7A7A"/>
        <rFont val="Noto Sans CJK SC"/>
        <family val="2"/>
        <charset val="1"/>
      </rPr>
      <t xml:space="preserve">⚠ せん断補正を </t>
    </r>
    <r>
      <rPr>
        <sz val="11"/>
        <color rgb="FFFF7A7A"/>
        <rFont val="Arial"/>
        <family val="0"/>
        <charset val="1"/>
      </rPr>
      <t xml:space="preserve">OFF </t>
    </r>
    <r>
      <rPr>
        <sz val="11"/>
        <color rgb="FFFF7A7A"/>
        <rFont val="Noto Sans CJK SC"/>
        <family val="2"/>
        <charset val="1"/>
      </rPr>
      <t xml:space="preserve">にすると高次モードを </t>
    </r>
    <r>
      <rPr>
        <sz val="11"/>
        <color rgb="FFFF7A7A"/>
        <rFont val="Arial"/>
        <family val="0"/>
        <charset val="1"/>
      </rPr>
      <t xml:space="preserve">20</t>
    </r>
    <r>
      <rPr>
        <sz val="11"/>
        <color rgb="FFFF7A7A"/>
        <rFont val="Noto Sans CJK SC"/>
        <family val="2"/>
        <charset val="1"/>
      </rPr>
      <t xml:space="preserve">〜</t>
    </r>
    <r>
      <rPr>
        <sz val="11"/>
        <color rgb="FFFF7A7A"/>
        <rFont val="Arial"/>
        <family val="0"/>
        <charset val="1"/>
      </rPr>
      <t xml:space="preserve">50% </t>
    </r>
    <r>
      <rPr>
        <sz val="11"/>
        <color rgb="FFFF7A7A"/>
        <rFont val="Noto Sans CJK SC"/>
        <family val="2"/>
        <charset val="1"/>
      </rPr>
      <t xml:space="preserve">高く出します。実測と合わないときはまずここを疑う</t>
    </r>
  </si>
  <si>
    <r>
      <rPr>
        <b val="true"/>
        <sz val="16"/>
        <color rgb="FF4FD1E5"/>
        <rFont val="Noto Sans CJK SC"/>
        <family val="2"/>
        <charset val="1"/>
      </rPr>
      <t xml:space="preserve">④ スペクトル（</t>
    </r>
    <r>
      <rPr>
        <b val="true"/>
        <sz val="16"/>
        <color rgb="FF4FD1E5"/>
        <rFont val="Arial"/>
        <family val="0"/>
        <charset val="1"/>
      </rPr>
      <t xml:space="preserve">FFT</t>
    </r>
    <r>
      <rPr>
        <b val="true"/>
        <sz val="16"/>
        <color rgb="FF4FD1E5"/>
        <rFont val="Noto Sans CJK SC"/>
        <family val="2"/>
        <charset val="1"/>
      </rPr>
      <t xml:space="preserve">画面と同じ形のグラフ用データ）</t>
    </r>
  </si>
  <si>
    <r>
      <rPr>
        <sz val="9"/>
        <color rgb="FFA0A6B0"/>
        <rFont val="Noto Sans CJK SC"/>
        <family val="2"/>
        <charset val="1"/>
      </rPr>
      <t xml:space="preserve">各モードを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自由度系として複素数で足し合わせ、応答の大きさ </t>
    </r>
    <r>
      <rPr>
        <sz val="9"/>
        <color rgb="FFA0A6B0"/>
        <rFont val="Arial"/>
        <family val="0"/>
        <charset val="1"/>
      </rPr>
      <t xml:space="preserve">|H(f)| </t>
    </r>
    <r>
      <rPr>
        <sz val="9"/>
        <color rgb="FFA0A6B0"/>
        <rFont val="Noto Sans CJK SC"/>
        <family val="2"/>
        <charset val="1"/>
      </rPr>
      <t xml:space="preserve">を作る  🟢</t>
    </r>
  </si>
  <si>
    <r>
      <rPr>
        <b val="true"/>
        <sz val="11"/>
        <color rgb="FFFFD166"/>
        <rFont val="Noto Sans CJK SC"/>
        <family val="2"/>
        <charset val="1"/>
      </rPr>
      <t xml:space="preserve">開始周波数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</si>
  <si>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  <charset val="1"/>
      </rPr>
      <t xml:space="preserve">刻み </t>
    </r>
    <r>
      <rPr>
        <b val="true"/>
        <sz val="11"/>
        <color rgb="FFFFD166"/>
        <rFont val="Arial"/>
        <family val="0"/>
        <charset val="1"/>
      </rPr>
      <t xml:space="preserve">Δf [Hz]</t>
    </r>
  </si>
  <si>
    <t xml:space="preserve">点数</t>
  </si>
  <si>
    <r>
      <rPr>
        <b val="true"/>
        <sz val="11"/>
        <color rgb="FFFFD166"/>
        <rFont val="Arial"/>
        <family val="0"/>
        <charset val="1"/>
      </rPr>
      <t xml:space="preserve">dB</t>
    </r>
    <r>
      <rPr>
        <b val="true"/>
        <sz val="11"/>
        <color rgb="FFFFD166"/>
        <rFont val="Noto Sans CJK SC"/>
        <family val="2"/>
        <charset val="1"/>
      </rPr>
      <t xml:space="preserve">基準値</t>
    </r>
  </si>
  <si>
    <r>
      <rPr>
        <sz val="9"/>
        <color rgb="FFA0A6B0"/>
        <rFont val="Noto Sans CJK SC"/>
        <family val="2"/>
        <charset val="1"/>
      </rPr>
      <t xml:space="preserve">※ ピークを拡大したいときは 開始</t>
    </r>
    <r>
      <rPr>
        <sz val="9"/>
        <color rgb="FFA0A6B0"/>
        <rFont val="Arial"/>
        <family val="0"/>
        <charset val="1"/>
      </rPr>
      <t xml:space="preserve">=4900, Δf=0.5 </t>
    </r>
    <r>
      <rPr>
        <sz val="9"/>
        <color rgb="FFA0A6B0"/>
        <rFont val="Noto Sans CJK SC"/>
        <family val="2"/>
        <charset val="1"/>
      </rPr>
      <t xml:space="preserve">のように変える</t>
    </r>
  </si>
  <si>
    <r>
      <rPr>
        <b val="true"/>
        <sz val="10"/>
        <color rgb="FFFFD166"/>
        <rFont val="Noto Sans CJK SC"/>
        <family val="2"/>
        <charset val="1"/>
      </rPr>
      <t xml:space="preserve">周波数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</si>
  <si>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Noto Sans CJK SC"/>
        <family val="2"/>
        <charset val="1"/>
      </rPr>
      <t xml:space="preserve">実部 </t>
    </r>
    <r>
      <rPr>
        <b val="true"/>
        <sz val="10"/>
        <color rgb="FFFFD166"/>
        <rFont val="Arial"/>
        <family val="0"/>
        <charset val="1"/>
      </rPr>
      <t xml:space="preserve">Re</t>
    </r>
  </si>
  <si>
    <r>
      <rPr>
        <b val="true"/>
        <sz val="10"/>
        <color rgb="FFFFD166"/>
        <rFont val="Noto Sans CJK SC"/>
        <family val="2"/>
        <charset val="1"/>
      </rPr>
      <t xml:space="preserve">虚部 </t>
    </r>
    <r>
      <rPr>
        <b val="true"/>
        <sz val="10"/>
        <color rgb="FFFFD166"/>
        <rFont val="Arial"/>
        <family val="0"/>
        <charset val="1"/>
      </rPr>
      <t xml:space="preserve">Im</t>
    </r>
  </si>
  <si>
    <r>
      <rPr>
        <b val="true"/>
        <sz val="10"/>
        <color rgb="FFFFD166"/>
        <rFont val="Noto Sans CJK SC"/>
        <family val="2"/>
        <charset val="1"/>
      </rPr>
      <t xml:space="preserve">応答 </t>
    </r>
    <r>
      <rPr>
        <b val="true"/>
        <sz val="10"/>
        <color rgb="FFFFD166"/>
        <rFont val="Arial"/>
        <family val="0"/>
        <charset val="1"/>
      </rPr>
      <t xml:space="preserve">|H|</t>
    </r>
  </si>
  <si>
    <r>
      <rPr>
        <b val="true"/>
        <sz val="10"/>
        <color rgb="FFFFD166"/>
        <rFont val="Noto Sans CJK SC"/>
        <family val="2"/>
        <charset val="1"/>
      </rPr>
      <t xml:space="preserve">レベル </t>
    </r>
    <r>
      <rPr>
        <b val="true"/>
        <sz val="10"/>
        <color rgb="FFFFD166"/>
        <rFont val="Arial"/>
        <family val="0"/>
        <charset val="1"/>
      </rPr>
      <t xml:space="preserve">[dB]</t>
    </r>
  </si>
  <si>
    <t xml:space="preserve">■ 使い方</t>
  </si>
  <si>
    <r>
      <rPr>
        <sz val="11"/>
        <color rgb="FFE6E6E6"/>
        <rFont val="Arial"/>
        <family val="0"/>
        <charset val="1"/>
      </rPr>
      <t xml:space="preserve">A</t>
    </r>
    <r>
      <rPr>
        <sz val="11"/>
        <color rgb="FFE6E6E6"/>
        <rFont val="Noto Sans CJK SC"/>
        <family val="2"/>
        <charset val="1"/>
      </rPr>
      <t xml:space="preserve">〜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  <charset val="1"/>
      </rPr>
      <t xml:space="preserve">列をそのままコピーすれば、</t>
    </r>
    <r>
      <rPr>
        <sz val="11"/>
        <color rgb="FFE6E6E6"/>
        <rFont val="Arial"/>
        <family val="0"/>
        <charset val="1"/>
      </rPr>
      <t xml:space="preserve">gnuplot / Python / Origin / Excel </t>
    </r>
    <r>
      <rPr>
        <sz val="11"/>
        <color rgb="FFE6E6E6"/>
        <rFont val="Noto Sans CJK SC"/>
        <family val="2"/>
        <charset val="1"/>
      </rPr>
      <t xml:space="preserve">の別グラフに貼れます。</t>
    </r>
  </si>
  <si>
    <r>
      <rPr>
        <sz val="11"/>
        <color rgb="FFE6E6E6"/>
        <rFont val="Arial"/>
        <family val="0"/>
        <charset val="1"/>
      </rPr>
      <t xml:space="preserve">CSV</t>
    </r>
    <r>
      <rPr>
        <sz val="11"/>
        <color rgb="FFE6E6E6"/>
        <rFont val="Noto Sans CJK SC"/>
        <family val="2"/>
        <charset val="1"/>
      </rPr>
      <t xml:space="preserve">で欲しいときは </t>
    </r>
    <r>
      <rPr>
        <sz val="11"/>
        <color rgb="FFE6E6E6"/>
        <rFont val="Arial"/>
        <family val="0"/>
        <charset val="1"/>
      </rPr>
      <t xml:space="preserve">A5:E2006 </t>
    </r>
    <r>
      <rPr>
        <sz val="11"/>
        <color rgb="FFE6E6E6"/>
        <rFont val="Noto Sans CJK SC"/>
        <family val="2"/>
        <charset val="1"/>
      </rPr>
      <t xml:space="preserve">を選択 → 別シートに値貼り付け → 「</t>
    </r>
    <r>
      <rPr>
        <sz val="11"/>
        <color rgb="FFE6E6E6"/>
        <rFont val="Arial"/>
        <family val="0"/>
        <charset val="1"/>
      </rPr>
      <t xml:space="preserve">CSV</t>
    </r>
    <r>
      <rPr>
        <sz val="11"/>
        <color rgb="FFE6E6E6"/>
        <rFont val="Noto Sans CJK SC"/>
        <family val="2"/>
        <charset val="1"/>
      </rPr>
      <t xml:space="preserve">で保存」。</t>
    </r>
  </si>
  <si>
    <r>
      <rPr>
        <sz val="11"/>
        <color rgb="FFE6E6E6"/>
        <rFont val="Noto Sans CJK SC"/>
        <family val="2"/>
        <charset val="1"/>
      </rPr>
      <t xml:space="preserve">縦軸</t>
    </r>
    <r>
      <rPr>
        <sz val="11"/>
        <color rgb="FFE6E6E6"/>
        <rFont val="Arial"/>
        <family val="0"/>
        <charset val="1"/>
      </rPr>
      <t xml:space="preserve">dB</t>
    </r>
    <r>
      <rPr>
        <sz val="11"/>
        <color rgb="FFE6E6E6"/>
        <rFont val="Noto Sans CJK SC"/>
        <family val="2"/>
        <charset val="1"/>
      </rPr>
      <t xml:space="preserve">は相対値です。絶対値が必要なら実測</t>
    </r>
    <r>
      <rPr>
        <sz val="11"/>
        <color rgb="FFE6E6E6"/>
        <rFont val="Arial"/>
        <family val="0"/>
        <charset val="1"/>
      </rPr>
      <t xml:space="preserve">FRF</t>
    </r>
    <r>
      <rPr>
        <sz val="11"/>
        <color rgb="FFE6E6E6"/>
        <rFont val="Noto Sans CJK SC"/>
        <family val="2"/>
        <charset val="1"/>
      </rPr>
      <t xml:space="preserve">の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  <charset val="1"/>
      </rPr>
      <t xml:space="preserve">点で </t>
    </r>
    <r>
      <rPr>
        <sz val="11"/>
        <color rgb="FFE6E6E6"/>
        <rFont val="Arial"/>
        <family val="0"/>
        <charset val="1"/>
      </rPr>
      <t xml:space="preserve">K3</t>
    </r>
    <r>
      <rPr>
        <sz val="11"/>
        <color rgb="FFE6E6E6"/>
        <rFont val="Noto Sans CJK SC"/>
        <family val="2"/>
        <charset val="1"/>
      </rPr>
      <t xml:space="preserve">（基準値）を合わせてください。</t>
    </r>
  </si>
  <si>
    <r>
      <rPr>
        <sz val="11"/>
        <color rgb="FFE6E6E6"/>
        <rFont val="Noto Sans CJK SC"/>
        <family val="2"/>
        <charset val="1"/>
      </rPr>
      <t xml:space="preserve">山（ピーク）の高さは </t>
    </r>
    <r>
      <rPr>
        <sz val="11"/>
        <color rgb="FFE6E6E6"/>
        <rFont val="Arial"/>
        <family val="0"/>
        <charset val="1"/>
      </rPr>
      <t xml:space="preserve">1/η </t>
    </r>
    <r>
      <rPr>
        <sz val="11"/>
        <color rgb="FFE6E6E6"/>
        <rFont val="Noto Sans CJK SC"/>
        <family val="2"/>
        <charset val="1"/>
      </rPr>
      <t xml:space="preserve">に比例します。</t>
    </r>
    <r>
      <rPr>
        <sz val="11"/>
        <color rgb="FFE6E6E6"/>
        <rFont val="Arial"/>
        <family val="0"/>
        <charset val="1"/>
      </rPr>
      <t xml:space="preserve">η=0.01 </t>
    </r>
    <r>
      <rPr>
        <sz val="11"/>
        <color rgb="FFE6E6E6"/>
        <rFont val="Noto Sans CJK SC"/>
        <family val="2"/>
        <charset val="1"/>
      </rPr>
      <t xml:space="preserve">なら山の高さは約</t>
    </r>
    <r>
      <rPr>
        <sz val="11"/>
        <color rgb="FFE6E6E6"/>
        <rFont val="Arial"/>
        <family val="0"/>
        <charset val="1"/>
      </rPr>
      <t xml:space="preserve">100</t>
    </r>
    <r>
      <rPr>
        <sz val="11"/>
        <color rgb="FFE6E6E6"/>
        <rFont val="Noto Sans CJK SC"/>
        <family val="2"/>
        <charset val="1"/>
      </rPr>
      <t xml:space="preserve">倍＝</t>
    </r>
    <r>
      <rPr>
        <sz val="11"/>
        <color rgb="FFE6E6E6"/>
        <rFont val="Arial"/>
        <family val="0"/>
        <charset val="1"/>
      </rPr>
      <t xml:space="preserve">40dB</t>
    </r>
    <r>
      <rPr>
        <sz val="11"/>
        <color rgb="FFE6E6E6"/>
        <rFont val="Noto Sans CJK SC"/>
        <family val="2"/>
        <charset val="1"/>
      </rPr>
      <t xml:space="preserve">。</t>
    </r>
  </si>
  <si>
    <r>
      <rPr>
        <sz val="11"/>
        <color rgb="FFE6E6E6"/>
        <rFont val="Noto Sans CJK SC"/>
        <family val="2"/>
        <charset val="1"/>
      </rPr>
      <t xml:space="preserve">山の幅（半値幅）は </t>
    </r>
    <r>
      <rPr>
        <sz val="11"/>
        <color rgb="FFE6E6E6"/>
        <rFont val="Arial"/>
        <family val="0"/>
        <charset val="1"/>
      </rPr>
      <t xml:space="preserve">Δf ≒ η × f </t>
    </r>
    <r>
      <rPr>
        <sz val="11"/>
        <color rgb="FFE6E6E6"/>
        <rFont val="Noto Sans CJK SC"/>
        <family val="2"/>
        <charset val="1"/>
      </rPr>
      <t xml:space="preserve">です。</t>
    </r>
    <r>
      <rPr>
        <sz val="11"/>
        <color rgb="FFE6E6E6"/>
        <rFont val="Arial"/>
        <family val="0"/>
        <charset val="1"/>
      </rPr>
      <t xml:space="preserve">η=0.01, f=5000Hz </t>
    </r>
    <r>
      <rPr>
        <sz val="11"/>
        <color rgb="FFE6E6E6"/>
        <rFont val="Noto Sans CJK SC"/>
        <family val="2"/>
        <charset val="1"/>
      </rPr>
      <t xml:space="preserve">なら幅</t>
    </r>
    <r>
      <rPr>
        <sz val="11"/>
        <color rgb="FFE6E6E6"/>
        <rFont val="Arial"/>
        <family val="0"/>
        <charset val="1"/>
      </rPr>
      <t xml:space="preserve">50Hz</t>
    </r>
    <r>
      <rPr>
        <sz val="11"/>
        <color rgb="FFE6E6E6"/>
        <rFont val="Noto Sans CJK SC"/>
        <family val="2"/>
        <charset val="1"/>
      </rPr>
      <t xml:space="preserve">。</t>
    </r>
  </si>
  <si>
    <r>
      <rPr>
        <sz val="11"/>
        <color rgb="FFFF7A7A"/>
        <rFont val="Arial"/>
        <family val="0"/>
        <charset val="1"/>
      </rPr>
      <t xml:space="preserve">⚠ Δf</t>
    </r>
    <r>
      <rPr>
        <sz val="11"/>
        <color rgb="FFFF7A7A"/>
        <rFont val="Noto Sans CJK SC"/>
        <family val="2"/>
        <charset val="1"/>
      </rPr>
      <t xml:space="preserve">（刻み）が半値幅より粗いと、山が低く・細く描かれます。</t>
    </r>
    <r>
      <rPr>
        <sz val="11"/>
        <color rgb="FFFF7A7A"/>
        <rFont val="Arial"/>
        <family val="0"/>
        <charset val="1"/>
      </rPr>
      <t xml:space="preserve">η</t>
    </r>
    <r>
      <rPr>
        <sz val="11"/>
        <color rgb="FFFF7A7A"/>
        <rFont val="Noto Sans CJK SC"/>
        <family val="2"/>
        <charset val="1"/>
      </rPr>
      <t xml:space="preserve">が小さいときは刻みを細かく。</t>
    </r>
  </si>
  <si>
    <t xml:space="preserve">⑤ 鳴（な）きリスク スクリーニング</t>
  </si>
  <si>
    <r>
      <rPr>
        <sz val="9"/>
        <color rgb="FFA0A6B0"/>
        <rFont val="Arial"/>
        <family val="0"/>
        <charset val="1"/>
      </rPr>
      <t xml:space="preserve">SAE J2521 </t>
    </r>
    <r>
      <rPr>
        <sz val="9"/>
        <color rgb="FFA0A6B0"/>
        <rFont val="Noto Sans CJK SC"/>
        <family val="2"/>
        <charset val="1"/>
      </rPr>
      <t xml:space="preserve">の対象帯域 </t>
    </r>
    <r>
      <rPr>
        <sz val="9"/>
        <color rgb="FFA0A6B0"/>
        <rFont val="Arial"/>
        <family val="0"/>
        <charset val="1"/>
      </rPr>
      <t xml:space="preserve">1.25</t>
    </r>
    <r>
      <rPr>
        <sz val="9"/>
        <color rgb="FFA0A6B0"/>
        <rFont val="Noto Sans CJK SC"/>
        <family val="2"/>
        <charset val="1"/>
      </rPr>
      <t xml:space="preserve">〜</t>
    </r>
    <r>
      <rPr>
        <sz val="9"/>
        <color rgb="FFA0A6B0"/>
        <rFont val="Arial"/>
        <family val="0"/>
        <charset val="1"/>
      </rPr>
      <t xml:space="preserve">16 kHz </t>
    </r>
    <r>
      <rPr>
        <sz val="9"/>
        <color rgb="FFA0A6B0"/>
        <rFont val="Noto Sans CJK SC"/>
        <family val="2"/>
        <charset val="1"/>
      </rPr>
      <t xml:space="preserve">を基準に、モード密集とディスクとの一致度を点数化  🟡（</t>
    </r>
    <r>
      <rPr>
        <sz val="9"/>
        <color rgb="FFA0A6B0"/>
        <rFont val="Arial"/>
        <family val="0"/>
        <charset val="1"/>
      </rPr>
      <t xml:space="preserve">CEA</t>
    </r>
    <r>
      <rPr>
        <sz val="9"/>
        <color rgb="FFA0A6B0"/>
        <rFont val="Noto Sans CJK SC"/>
        <family val="2"/>
        <charset val="1"/>
      </rPr>
      <t xml:space="preserve">の代わりにはなりません）</t>
    </r>
  </si>
  <si>
    <r>
      <rPr>
        <b val="true"/>
        <sz val="11"/>
        <color rgb="FFFFD166"/>
        <rFont val="Noto Sans CJK SC"/>
        <family val="2"/>
        <charset val="1"/>
      </rPr>
      <t xml:space="preserve">帯域 下限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</si>
  <si>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  <charset val="1"/>
      </rPr>
      <t xml:space="preserve">帯域 上限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</si>
  <si>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  <charset val="1"/>
      </rPr>
      <t xml:space="preserve">接近とみなす差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</si>
  <si>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b val="true"/>
        <sz val="12"/>
        <color rgb="FFFFA45B"/>
        <rFont val="Noto Sans CJK SC"/>
        <family val="2"/>
        <charset val="1"/>
      </rPr>
      <t xml:space="preserve">■ ディスク（ローター）の固有振動数 </t>
    </r>
    <r>
      <rPr>
        <b val="true"/>
        <sz val="12"/>
        <color rgb="FFFFA45B"/>
        <rFont val="Arial"/>
        <family val="0"/>
        <charset val="1"/>
      </rPr>
      <t xml:space="preserve">[Hz]</t>
    </r>
    <r>
      <rPr>
        <b val="true"/>
        <sz val="12"/>
        <color rgb="FFFFA45B"/>
        <rFont val="Noto Sans CJK SC"/>
        <family val="2"/>
        <charset val="1"/>
      </rPr>
      <t xml:space="preserve">（分かる範囲で入力／空欄可）</t>
    </r>
  </si>
  <si>
    <t xml:space="preserve">D1</t>
  </si>
  <si>
    <r>
      <rPr>
        <sz val="9"/>
        <color rgb="FFFF7A7A"/>
        <rFont val="Noto Sans CJK SC"/>
        <family val="2"/>
        <charset val="1"/>
      </rPr>
      <t xml:space="preserve">← ここは「例」です。必ず自分のローターの実測値／</t>
    </r>
    <r>
      <rPr>
        <sz val="9"/>
        <color rgb="FFFF7A7A"/>
        <rFont val="Arial"/>
        <family val="0"/>
        <charset val="1"/>
      </rPr>
      <t xml:space="preserve">FEM</t>
    </r>
    <r>
      <rPr>
        <sz val="9"/>
        <color rgb="FFFF7A7A"/>
        <rFont val="Noto Sans CJK SC"/>
        <family val="2"/>
        <charset val="1"/>
      </rPr>
      <t xml:space="preserve">値に差し替えてください（🔴 要確認）</t>
    </r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</si>
  <si>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</si>
  <si>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</si>
  <si>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</si>
  <si>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</si>
  <si>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</si>
  <si>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</si>
  <si>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</si>
  <si>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</si>
  <si>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</si>
  <si>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r>
      <rPr>
        <b val="true"/>
        <sz val="10"/>
        <color rgb="FFFFD166"/>
        <rFont val="Noto Sans CJK SC"/>
        <family val="2"/>
        <charset val="1"/>
      </rPr>
      <t xml:space="preserve">帯域内</t>
    </r>
    <r>
      <rPr>
        <b val="true"/>
        <sz val="10"/>
        <color rgb="FFFFD166"/>
        <rFont val="Arial"/>
        <family val="0"/>
        <charset val="1"/>
      </rPr>
      <t xml:space="preserve">?</t>
    </r>
  </si>
  <si>
    <r>
      <rPr>
        <b val="true"/>
        <sz val="10"/>
        <color rgb="FFFFD166"/>
        <rFont val="Noto Sans CJK SC"/>
        <family val="2"/>
        <charset val="1"/>
      </rPr>
      <t xml:space="preserve">最近接パッドモード差 </t>
    </r>
    <r>
      <rPr>
        <b val="true"/>
        <sz val="10"/>
        <color rgb="FFFFD166"/>
        <rFont val="Arial"/>
        <family val="0"/>
        <charset val="1"/>
      </rPr>
      <t xml:space="preserve">[%]</t>
    </r>
  </si>
  <si>
    <r>
      <rPr>
        <b val="true"/>
        <sz val="10"/>
        <color rgb="FFFFD166"/>
        <rFont val="Noto Sans CJK SC"/>
        <family val="2"/>
        <charset val="1"/>
      </rPr>
      <t xml:space="preserve">最近接ディスクモード差 </t>
    </r>
    <r>
      <rPr>
        <b val="true"/>
        <sz val="10"/>
        <color rgb="FFFFD166"/>
        <rFont val="Arial"/>
        <family val="0"/>
        <charset val="1"/>
      </rPr>
      <t xml:space="preserve">[%]</t>
    </r>
  </si>
  <si>
    <t xml:space="preserve">個別判定</t>
  </si>
  <si>
    <t xml:space="preserve">■ 総合スコア</t>
  </si>
  <si>
    <t xml:space="preserve">帯域内モード数</t>
  </si>
  <si>
    <t xml:space="preserve">多いほど鳴きの機会が増える</t>
  </si>
  <si>
    <r>
      <rPr>
        <b val="true"/>
        <sz val="11"/>
        <color rgb="FFFFD166"/>
        <rFont val="Noto Sans CJK SC"/>
        <family val="2"/>
        <charset val="1"/>
      </rPr>
      <t xml:space="preserve">モード密度 </t>
    </r>
    <r>
      <rPr>
        <b val="true"/>
        <sz val="11"/>
        <color rgb="FFFFD166"/>
        <rFont val="Arial"/>
        <family val="0"/>
        <charset val="1"/>
      </rPr>
      <t xml:space="preserve">[</t>
    </r>
    <r>
      <rPr>
        <b val="true"/>
        <sz val="11"/>
        <color rgb="FFFFD166"/>
        <rFont val="Noto Sans CJK SC"/>
        <family val="2"/>
        <charset val="1"/>
      </rPr>
      <t xml:space="preserve">個</t>
    </r>
    <r>
      <rPr>
        <b val="true"/>
        <sz val="11"/>
        <color rgb="FFFFD166"/>
        <rFont val="Arial"/>
        <family val="0"/>
        <charset val="1"/>
      </rPr>
      <t xml:space="preserve">/kHz]</t>
    </r>
  </si>
  <si>
    <r>
      <rPr>
        <sz val="9"/>
        <color rgb="FFA0A6B0"/>
        <rFont val="Arial"/>
        <family val="0"/>
        <charset val="1"/>
      </rPr>
      <t xml:space="preserve">1kHz</t>
    </r>
    <r>
      <rPr>
        <sz val="9"/>
        <color rgb="FFA0A6B0"/>
        <rFont val="Noto Sans CJK SC"/>
        <family val="2"/>
        <charset val="1"/>
      </rPr>
      <t xml:space="preserve">あたりのモード数</t>
    </r>
  </si>
  <si>
    <t xml:space="preserve">高リスクモード数</t>
  </si>
  <si>
    <r>
      <rPr>
        <sz val="9"/>
        <color rgb="FFA0A6B0"/>
        <rFont val="Noto Sans CJK SC"/>
        <family val="2"/>
        <charset val="1"/>
      </rPr>
      <t xml:space="preserve">パッド同士 </t>
    </r>
    <r>
      <rPr>
        <sz val="9"/>
        <color rgb="FFA0A6B0"/>
        <rFont val="Arial"/>
        <family val="0"/>
        <charset val="1"/>
      </rPr>
      <t xml:space="preserve">or </t>
    </r>
    <r>
      <rPr>
        <sz val="9"/>
        <color rgb="FFA0A6B0"/>
        <rFont val="Noto Sans CJK SC"/>
        <family val="2"/>
        <charset val="1"/>
      </rPr>
      <t xml:space="preserve">ディスクと接近しているモード</t>
    </r>
  </si>
  <si>
    <t xml:space="preserve">中リスクモード数</t>
  </si>
  <si>
    <r>
      <rPr>
        <b val="true"/>
        <sz val="11"/>
        <color rgb="FFFFD166"/>
        <rFont val="Noto Sans CJK SC"/>
        <family val="2"/>
        <charset val="1"/>
      </rPr>
      <t xml:space="preserve">最小モード間隔 </t>
    </r>
    <r>
      <rPr>
        <b val="true"/>
        <sz val="11"/>
        <color rgb="FFFFD166"/>
        <rFont val="Arial"/>
        <family val="0"/>
        <charset val="1"/>
      </rPr>
      <t xml:space="preserve">[%]</t>
    </r>
  </si>
  <si>
    <t xml:space="preserve">小さいほど連成（れんせい）＝2つのモードが手を組んで不安定になりやすい</t>
  </si>
  <si>
    <r>
      <rPr>
        <b val="true"/>
        <sz val="11"/>
        <color rgb="FFFFD166"/>
        <rFont val="Noto Sans CJK SC"/>
        <family val="2"/>
        <charset val="1"/>
      </rPr>
      <t xml:space="preserve">ディスク最小一致差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</si>
  <si>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  <charset val="1"/>
      </rPr>
      <t xml:space="preserve">に近いほど共振（きょうしん）しやすい</t>
    </r>
  </si>
  <si>
    <r>
      <rPr>
        <b val="true"/>
        <sz val="11"/>
        <color rgb="FFFFD166"/>
        <rFont val="Noto Sans CJK SC"/>
        <family val="2"/>
        <charset val="1"/>
      </rPr>
      <t xml:space="preserve">総合スコア（</t>
    </r>
    <r>
      <rPr>
        <b val="true"/>
        <sz val="11"/>
        <color rgb="FFFFD166"/>
        <rFont val="Arial"/>
        <family val="0"/>
        <charset val="1"/>
      </rPr>
      <t xml:space="preserve">0-100</t>
    </r>
    <r>
      <rPr>
        <b val="true"/>
        <sz val="11"/>
        <color rgb="FFFFD166"/>
        <rFont val="Noto Sans CJK SC"/>
        <family val="2"/>
        <charset val="1"/>
      </rPr>
      <t xml:space="preserve">）</t>
    </r>
  </si>
  <si>
    <r>
      <rPr>
        <sz val="9"/>
        <color rgb="FFA0A6B0"/>
        <rFont val="Arial"/>
        <family val="0"/>
        <charset val="1"/>
      </rPr>
      <t xml:space="preserve">12×</t>
    </r>
    <r>
      <rPr>
        <sz val="9"/>
        <color rgb="FFA0A6B0"/>
        <rFont val="Noto Sans CJK SC"/>
        <family val="2"/>
        <charset val="1"/>
      </rPr>
      <t xml:space="preserve">高リスク数 </t>
    </r>
    <r>
      <rPr>
        <sz val="9"/>
        <color rgb="FFA0A6B0"/>
        <rFont val="Arial"/>
        <family val="0"/>
        <charset val="1"/>
      </rPr>
      <t xml:space="preserve">+5×</t>
    </r>
    <r>
      <rPr>
        <sz val="9"/>
        <color rgb="FFA0A6B0"/>
        <rFont val="Noto Sans CJK SC"/>
        <family val="2"/>
        <charset val="1"/>
      </rPr>
      <t xml:space="preserve">中リスク数 </t>
    </r>
    <r>
      <rPr>
        <sz val="9"/>
        <color rgb="FFA0A6B0"/>
        <rFont val="Arial"/>
        <family val="0"/>
        <charset val="1"/>
      </rPr>
      <t xml:space="preserve">+(15−3×</t>
    </r>
    <r>
      <rPr>
        <sz val="9"/>
        <color rgb="FFA0A6B0"/>
        <rFont val="Noto Sans CJK SC"/>
        <family val="2"/>
        <charset val="1"/>
      </rPr>
      <t xml:space="preserve">最小間隔</t>
    </r>
    <r>
      <rPr>
        <sz val="9"/>
        <color rgb="FFA0A6B0"/>
        <rFont val="Arial"/>
        <family val="0"/>
        <charset val="1"/>
      </rPr>
      <t xml:space="preserve">%) +(15−3×</t>
    </r>
    <r>
      <rPr>
        <sz val="9"/>
        <color rgb="FFA0A6B0"/>
        <rFont val="Noto Sans CJK SC"/>
        <family val="2"/>
        <charset val="1"/>
      </rPr>
      <t xml:space="preserve">ディスク差</t>
    </r>
    <r>
      <rPr>
        <sz val="9"/>
        <color rgb="FFA0A6B0"/>
        <rFont val="Arial"/>
        <family val="0"/>
        <charset val="1"/>
      </rPr>
      <t xml:space="preserve">%) +(3×</t>
    </r>
    <r>
      <rPr>
        <sz val="9"/>
        <color rgb="FFA0A6B0"/>
        <rFont val="Noto Sans CJK SC"/>
        <family val="2"/>
        <charset val="1"/>
      </rPr>
      <t xml:space="preserve">密度</t>
    </r>
    <r>
      <rPr>
        <sz val="9"/>
        <color rgb="FFA0A6B0"/>
        <rFont val="Arial"/>
        <family val="0"/>
        <charset val="1"/>
      </rPr>
      <t xml:space="preserve">)</t>
    </r>
    <r>
      <rPr>
        <sz val="9"/>
        <color rgb="FFA0A6B0"/>
        <rFont val="Noto Sans CJK SC"/>
        <family val="2"/>
        <charset val="1"/>
      </rPr>
      <t xml:space="preserve">。高いほど鳴きやすい 🟡</t>
    </r>
  </si>
  <si>
    <t xml:space="preserve">ランク</t>
  </si>
  <si>
    <t xml:space="preserve">■ 判定の根拠（なぜこの条件だと鳴くのか）</t>
  </si>
  <si>
    <r>
      <rPr>
        <sz val="11"/>
        <color rgb="FF4FD1E5"/>
        <rFont val="Noto Sans CJK SC"/>
        <family val="2"/>
        <charset val="1"/>
      </rPr>
      <t xml:space="preserve">① 帯域：</t>
    </r>
    <r>
      <rPr>
        <sz val="11"/>
        <color rgb="FF4FD1E5"/>
        <rFont val="Arial"/>
        <family val="0"/>
        <charset val="1"/>
      </rPr>
      <t xml:space="preserve">SAE J2521 </t>
    </r>
    <r>
      <rPr>
        <sz val="11"/>
        <color rgb="FF4FD1E5"/>
        <rFont val="Noto Sans CJK SC"/>
        <family val="2"/>
        <charset val="1"/>
      </rPr>
      <t xml:space="preserve">は </t>
    </r>
    <r>
      <rPr>
        <sz val="11"/>
        <color rgb="FF4FD1E5"/>
        <rFont val="Arial"/>
        <family val="0"/>
        <charset val="1"/>
      </rPr>
      <t xml:space="preserve">1.25</t>
    </r>
    <r>
      <rPr>
        <sz val="11"/>
        <color rgb="FF4FD1E5"/>
        <rFont val="Noto Sans CJK SC"/>
        <family val="2"/>
        <charset val="1"/>
      </rPr>
      <t xml:space="preserve">〜</t>
    </r>
    <r>
      <rPr>
        <sz val="11"/>
        <color rgb="FF4FD1E5"/>
        <rFont val="Arial"/>
        <family val="0"/>
        <charset val="1"/>
      </rPr>
      <t xml:space="preserve">16 kHz </t>
    </r>
    <r>
      <rPr>
        <sz val="11"/>
        <color rgb="FF4FD1E5"/>
        <rFont val="Noto Sans CJK SC"/>
        <family val="2"/>
        <charset val="1"/>
      </rPr>
      <t xml:space="preserve">を鳴き（</t>
    </r>
    <r>
      <rPr>
        <sz val="11"/>
        <color rgb="FF4FD1E5"/>
        <rFont val="Arial"/>
        <family val="0"/>
        <charset val="1"/>
      </rPr>
      <t xml:space="preserve">squeal</t>
    </r>
    <r>
      <rPr>
        <sz val="11"/>
        <color rgb="FF4FD1E5"/>
        <rFont val="Noto Sans CJK SC"/>
        <family val="2"/>
        <charset val="1"/>
      </rPr>
      <t xml:space="preserve">）の評価帯域としています。この外の共振は「鳴き」として扱われません。</t>
    </r>
  </si>
  <si>
    <r>
      <rPr>
        <sz val="11"/>
        <color rgb="FFFFD166"/>
        <rFont val="Noto Sans CJK SC"/>
        <family val="2"/>
        <charset val="1"/>
      </rPr>
      <t xml:space="preserve">② モード連成（</t>
    </r>
    <r>
      <rPr>
        <sz val="11"/>
        <color rgb="FFFFD166"/>
        <rFont val="Arial"/>
        <family val="0"/>
        <charset val="1"/>
      </rPr>
      <t xml:space="preserve">mode coupling</t>
    </r>
    <r>
      <rPr>
        <sz val="11"/>
        <color rgb="FFFFD166"/>
        <rFont val="Noto Sans CJK SC"/>
        <family val="2"/>
        <charset val="1"/>
      </rPr>
      <t xml:space="preserve">）：ブレーキ鳴きの主流説は「</t>
    </r>
    <r>
      <rPr>
        <sz val="11"/>
        <color rgb="FFFFD166"/>
        <rFont val="Arial"/>
        <family val="0"/>
        <charset val="1"/>
      </rPr>
      <t xml:space="preserve">2</t>
    </r>
    <r>
      <rPr>
        <sz val="11"/>
        <color rgb="FFFFD166"/>
        <rFont val="Noto Sans CJK SC"/>
        <family val="2"/>
        <charset val="1"/>
      </rPr>
      <t xml:space="preserve">つの固有振動数が近づき、摩擦力で結ばれて</t>
    </r>
    <r>
      <rPr>
        <sz val="11"/>
        <color rgb="FFFFD166"/>
        <rFont val="Arial"/>
        <family val="0"/>
        <charset val="1"/>
      </rPr>
      <t xml:space="preserve">1</t>
    </r>
    <r>
      <rPr>
        <sz val="11"/>
        <color rgb="FFFFD166"/>
        <rFont val="Noto Sans CJK SC"/>
        <family val="2"/>
        <charset val="1"/>
      </rPr>
      <t xml:space="preserve">つにロックインし、減衰が負になる」というものです。</t>
    </r>
  </si>
  <si>
    <r>
      <rPr>
        <sz val="11"/>
        <color rgb="FF6EE7A0"/>
        <rFont val="Noto Sans CJK SC"/>
        <family val="2"/>
        <charset val="1"/>
      </rPr>
      <t xml:space="preserve">③ だから、</t>
    </r>
    <r>
      <rPr>
        <sz val="11"/>
        <color rgb="FF6EE7A0"/>
        <rFont val="Arial"/>
        <family val="0"/>
        <charset val="1"/>
      </rPr>
      <t xml:space="preserve">2</t>
    </r>
    <r>
      <rPr>
        <sz val="11"/>
        <color rgb="FF6EE7A0"/>
        <rFont val="Noto Sans CJK SC"/>
        <family val="2"/>
        <charset val="1"/>
      </rPr>
      <t xml:space="preserve">つのモードの差が数</t>
    </r>
    <r>
      <rPr>
        <sz val="11"/>
        <color rgb="FF6EE7A0"/>
        <rFont val="Arial"/>
        <family val="0"/>
        <charset val="1"/>
      </rPr>
      <t xml:space="preserve">%</t>
    </r>
    <r>
      <rPr>
        <sz val="11"/>
        <color rgb="FF6EE7A0"/>
        <rFont val="Noto Sans CJK SC"/>
        <family val="2"/>
        <charset val="1"/>
      </rPr>
      <t xml:space="preserve">以内だと危険。差が十分あればロックインしにくい。← </t>
    </r>
    <r>
      <rPr>
        <sz val="11"/>
        <color rgb="FF6EE7A0"/>
        <rFont val="Arial"/>
        <family val="0"/>
        <charset val="1"/>
      </rPr>
      <t xml:space="preserve">E</t>
    </r>
    <r>
      <rPr>
        <sz val="11"/>
        <color rgb="FF6EE7A0"/>
        <rFont val="Noto Sans CJK SC"/>
        <family val="2"/>
        <charset val="1"/>
      </rPr>
      <t xml:space="preserve">列と</t>
    </r>
    <r>
      <rPr>
        <sz val="11"/>
        <color rgb="FF6EE7A0"/>
        <rFont val="Arial"/>
        <family val="0"/>
        <charset val="1"/>
      </rPr>
      <t xml:space="preserve">F</t>
    </r>
    <r>
      <rPr>
        <sz val="11"/>
        <color rgb="FF6EE7A0"/>
        <rFont val="Noto Sans CJK SC"/>
        <family val="2"/>
        <charset val="1"/>
      </rPr>
      <t xml:space="preserve">列がこれを見ています。</t>
    </r>
  </si>
  <si>
    <t xml:space="preserve">④ ディスクとの一致：パッドとローターの固有振動数が揃うと、エネルギーが行き来しやすくなります。</t>
  </si>
  <si>
    <t xml:space="preserve">⑤ モード密度が高い＝偶然近づくペアが増える。だからスコアに入れています。</t>
  </si>
  <si>
    <r>
      <rPr>
        <sz val="11"/>
        <color rgb="FFFF7A7A"/>
        <rFont val="Noto Sans CJK SC"/>
        <family val="2"/>
        <charset val="1"/>
      </rPr>
      <t xml:space="preserve">⚠ これは「素通し検査」です。実際の不安定性は 摩擦係数</t>
    </r>
    <r>
      <rPr>
        <sz val="11"/>
        <color rgb="FFFF7A7A"/>
        <rFont val="Arial"/>
        <family val="0"/>
        <charset val="1"/>
      </rPr>
      <t xml:space="preserve">μ</t>
    </r>
    <r>
      <rPr>
        <sz val="11"/>
        <color rgb="FFFF7A7A"/>
        <rFont val="Noto Sans CJK SC"/>
        <family val="2"/>
        <charset val="1"/>
      </rPr>
      <t xml:space="preserve">・接触剛性・キャリパ剛性 に依存し、複素固有値解析（</t>
    </r>
    <r>
      <rPr>
        <sz val="11"/>
        <color rgb="FFFF7A7A"/>
        <rFont val="Arial"/>
        <family val="0"/>
        <charset val="1"/>
      </rPr>
      <t xml:space="preserve">CEA</t>
    </r>
    <r>
      <rPr>
        <sz val="11"/>
        <color rgb="FFFF7A7A"/>
        <rFont val="Noto Sans CJK SC"/>
        <family val="2"/>
        <charset val="1"/>
      </rPr>
      <t xml:space="preserve">）でないと判定できません。</t>
    </r>
  </si>
  <si>
    <r>
      <rPr>
        <sz val="11"/>
        <color rgb="FFFF7A7A"/>
        <rFont val="Noto Sans CJK SC"/>
        <family val="2"/>
        <charset val="1"/>
      </rPr>
      <t xml:space="preserve">⚠ 減衰（シム）の効果はここでは点数に入っていません。シムを貼ると</t>
    </r>
    <r>
      <rPr>
        <sz val="11"/>
        <color rgb="FFFF7A7A"/>
        <rFont val="Arial"/>
        <family val="0"/>
        <charset val="1"/>
      </rPr>
      <t xml:space="preserve">η</t>
    </r>
    <r>
      <rPr>
        <sz val="11"/>
        <color rgb="FFFF7A7A"/>
        <rFont val="Noto Sans CJK SC"/>
        <family val="2"/>
        <charset val="1"/>
      </rPr>
      <t xml:space="preserve">が上がり、同じモード配置でも鳴かなくなることがあります。</t>
    </r>
  </si>
  <si>
    <r>
      <rPr>
        <b val="true"/>
        <sz val="16"/>
        <color rgb="FF4FD1E5"/>
        <rFont val="Noto Sans CJK SC"/>
        <family val="2"/>
        <charset val="1"/>
      </rPr>
      <t xml:space="preserve">⑥ 逆算 — 実測ピークから 摩擦材のヤング率 </t>
    </r>
    <r>
      <rPr>
        <b val="true"/>
        <sz val="16"/>
        <color rgb="FF4FD1E5"/>
        <rFont val="Arial"/>
        <family val="0"/>
        <charset val="1"/>
      </rPr>
      <t xml:space="preserve">E </t>
    </r>
    <r>
      <rPr>
        <b val="true"/>
        <sz val="16"/>
        <color rgb="FF4FD1E5"/>
        <rFont val="Noto Sans CJK SC"/>
        <family val="2"/>
        <charset val="1"/>
      </rPr>
      <t xml:space="preserve">を求める</t>
    </r>
  </si>
  <si>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  <charset val="1"/>
      </rPr>
      <t xml:space="preserve">層モデル（裏板＋摩擦材）で 面外曲げ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  <charset val="1"/>
      </rPr>
      <t xml:space="preserve">次の実測周波数に合うように </t>
    </r>
    <r>
      <rPr>
        <sz val="9"/>
        <color rgb="FFA0A6B0"/>
        <rFont val="Arial"/>
        <family val="0"/>
        <charset val="1"/>
      </rPr>
      <t xml:space="preserve">E </t>
    </r>
    <r>
      <rPr>
        <sz val="9"/>
        <color rgb="FFA0A6B0"/>
        <rFont val="Noto Sans CJK SC"/>
        <family val="2"/>
        <charset val="1"/>
      </rPr>
      <t xml:space="preserve">を二分法（にぶんほう）で探す  🟢手順／🟡モデル</t>
    </r>
  </si>
  <si>
    <r>
      <rPr>
        <b val="true"/>
        <sz val="12"/>
        <color rgb="FFFFA45B"/>
        <rFont val="Arial"/>
        <family val="0"/>
        <charset val="1"/>
      </rPr>
      <t xml:space="preserve">■ STEP 1</t>
    </r>
    <r>
      <rPr>
        <b val="true"/>
        <sz val="12"/>
        <color rgb="FFFFA45B"/>
        <rFont val="Noto Sans CJK SC"/>
        <family val="2"/>
        <charset val="1"/>
      </rPr>
      <t xml:space="preserve">：実測ピークを入れる（面外曲げモードだけ）</t>
    </r>
  </si>
  <si>
    <r>
      <rPr>
        <b val="true"/>
        <sz val="10"/>
        <color rgb="FFFFD166"/>
        <rFont val="Noto Sans CJK SC"/>
        <family val="2"/>
        <charset val="1"/>
      </rPr>
      <t xml:space="preserve">次数 </t>
    </r>
    <r>
      <rPr>
        <b val="true"/>
        <sz val="10"/>
        <color rgb="FFFFD166"/>
        <rFont val="Arial"/>
        <family val="0"/>
        <charset val="1"/>
      </rPr>
      <t xml:space="preserve">n</t>
    </r>
  </si>
  <si>
    <t xml:space="preserve">(βL)</t>
  </si>
  <si>
    <r>
      <rPr>
        <b val="true"/>
        <sz val="10"/>
        <color rgb="FFFFD166"/>
        <rFont val="Noto Sans CJK SC"/>
        <family val="2"/>
        <charset val="1"/>
      </rPr>
      <t xml:space="preserve">実測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</si>
  <si>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Arial"/>
        <family val="0"/>
        <charset val="1"/>
      </rPr>
      <t xml:space="preserve">f_n/f_1 </t>
    </r>
    <r>
      <rPr>
        <b val="true"/>
        <sz val="10"/>
        <color rgb="FFFFD166"/>
        <rFont val="Noto Sans CJK SC"/>
        <family val="2"/>
        <charset val="1"/>
      </rPr>
      <t xml:space="preserve">実測</t>
    </r>
  </si>
  <si>
    <r>
      <rPr>
        <b val="true"/>
        <sz val="10"/>
        <color rgb="FFFFD166"/>
        <rFont val="Arial"/>
        <family val="0"/>
        <charset val="1"/>
      </rPr>
      <t xml:space="preserve">f_n/f_1 </t>
    </r>
    <r>
      <rPr>
        <b val="true"/>
        <sz val="10"/>
        <color rgb="FFFFD166"/>
        <rFont val="Noto Sans CJK SC"/>
        <family val="2"/>
        <charset val="1"/>
      </rPr>
      <t xml:space="preserve">理論</t>
    </r>
  </si>
  <si>
    <r>
      <rPr>
        <b val="true"/>
        <sz val="10"/>
        <color rgb="FFFFD166"/>
        <rFont val="Noto Sans CJK SC"/>
        <family val="2"/>
        <charset val="1"/>
      </rPr>
      <t xml:space="preserve">ずれ </t>
    </r>
    <r>
      <rPr>
        <b val="true"/>
        <sz val="10"/>
        <color rgb="FFFFD166"/>
        <rFont val="Arial"/>
        <family val="0"/>
        <charset val="1"/>
      </rPr>
      <t xml:space="preserve">[%]</t>
    </r>
  </si>
  <si>
    <t xml:space="preserve">診断</t>
  </si>
  <si>
    <t xml:space="preserve">※ 上の実測値は「例」です。自分の測定値に入れ替えてください。空欄の次数は無視されます。</t>
  </si>
  <si>
    <r>
      <rPr>
        <b val="true"/>
        <sz val="12"/>
        <color rgb="FFFFA45B"/>
        <rFont val="Arial"/>
        <family val="0"/>
        <charset val="1"/>
      </rPr>
      <t xml:space="preserve">■ STEP 2</t>
    </r>
    <r>
      <rPr>
        <b val="true"/>
        <sz val="12"/>
        <color rgb="FFFFA45B"/>
        <rFont val="Noto Sans CJK SC"/>
        <family val="2"/>
        <charset val="1"/>
      </rPr>
      <t xml:space="preserve">：既知の寸法・材料（裏板は分かっている前提）</t>
    </r>
  </si>
  <si>
    <r>
      <rPr>
        <b val="true"/>
        <sz val="11"/>
        <color rgb="FFFFD166"/>
        <rFont val="Noto Sans CJK SC"/>
        <family val="2"/>
        <charset val="1"/>
      </rPr>
      <t xml:space="preserve">長さ </t>
    </r>
    <r>
      <rPr>
        <b val="true"/>
        <sz val="11"/>
        <color rgb="FFFFD166"/>
        <rFont val="Arial"/>
        <family val="0"/>
        <charset val="1"/>
      </rPr>
      <t xml:space="preserve">L [mm]</t>
    </r>
  </si>
  <si>
    <t xml:space="preserve">形状シートから自動。上書きしたければ直接数値を打つ</t>
  </si>
  <si>
    <r>
      <rPr>
        <b val="true"/>
        <sz val="11"/>
        <color rgb="FFFFD166"/>
        <rFont val="Noto Sans CJK SC"/>
        <family val="2"/>
        <charset val="1"/>
      </rPr>
      <t xml:space="preserve">幅 </t>
    </r>
    <r>
      <rPr>
        <b val="true"/>
        <sz val="11"/>
        <color rgb="FFFFD166"/>
        <rFont val="Arial"/>
        <family val="0"/>
        <charset val="1"/>
      </rPr>
      <t xml:space="preserve">w [mm]</t>
    </r>
  </si>
  <si>
    <r>
      <rPr>
        <b val="true"/>
        <sz val="11"/>
        <color rgb="FFFFD166"/>
        <rFont val="Noto Sans CJK SC"/>
        <family val="2"/>
        <charset val="1"/>
      </rPr>
      <t xml:space="preserve">裏板 厚さ </t>
    </r>
    <r>
      <rPr>
        <b val="true"/>
        <sz val="11"/>
        <color rgb="FFFFD166"/>
        <rFont val="Arial"/>
        <family val="0"/>
        <charset val="1"/>
      </rPr>
      <t xml:space="preserve">t1 [mm]</t>
    </r>
  </si>
  <si>
    <r>
      <rPr>
        <sz val="9"/>
        <color rgb="FFA0A6B0"/>
        <rFont val="Noto Sans CJK SC"/>
        <family val="2"/>
        <charset val="1"/>
      </rPr>
      <t xml:space="preserve">実測（ノギスで</t>
    </r>
    <r>
      <rPr>
        <sz val="9"/>
        <color rgb="FFA0A6B0"/>
        <rFont val="Arial"/>
        <family val="0"/>
        <charset val="1"/>
      </rPr>
      <t xml:space="preserve">3</t>
    </r>
    <r>
      <rPr>
        <sz val="9"/>
        <color rgb="FFA0A6B0"/>
        <rFont val="Noto Sans CJK SC"/>
        <family val="2"/>
        <charset val="1"/>
      </rPr>
      <t xml:space="preserve">点測って平均）</t>
    </r>
  </si>
  <si>
    <r>
      <rPr>
        <b val="true"/>
        <sz val="11"/>
        <color rgb="FFFFD166"/>
        <rFont val="Noto Sans CJK SC"/>
        <family val="2"/>
        <charset val="1"/>
      </rPr>
      <t xml:space="preserve">裏板 </t>
    </r>
    <r>
      <rPr>
        <b val="true"/>
        <sz val="11"/>
        <color rgb="FFFFD166"/>
        <rFont val="Arial"/>
        <family val="0"/>
        <charset val="1"/>
      </rPr>
      <t xml:space="preserve">E1 [GPa]</t>
    </r>
  </si>
  <si>
    <r>
      <rPr>
        <sz val="9"/>
        <color rgb="FFA0A6B0"/>
        <rFont val="Noto Sans CJK SC"/>
        <family val="2"/>
        <charset val="1"/>
      </rPr>
      <t xml:space="preserve">鋼なら</t>
    </r>
    <r>
      <rPr>
        <sz val="9"/>
        <color rgb="FFA0A6B0"/>
        <rFont val="Arial"/>
        <family val="0"/>
        <charset val="1"/>
      </rPr>
      <t xml:space="preserve">205</t>
    </r>
    <r>
      <rPr>
        <sz val="9"/>
        <color rgb="FFA0A6B0"/>
        <rFont val="Noto Sans CJK SC"/>
        <family val="2"/>
        <charset val="1"/>
      </rPr>
      <t xml:space="preserve">で固定してよい 🟢</t>
    </r>
  </si>
  <si>
    <r>
      <rPr>
        <b val="true"/>
        <sz val="11"/>
        <color rgb="FFFFD166"/>
        <rFont val="Noto Sans CJK SC"/>
        <family val="2"/>
        <charset val="1"/>
      </rPr>
      <t xml:space="preserve">裏板 </t>
    </r>
    <r>
      <rPr>
        <b val="true"/>
        <sz val="11"/>
        <color rgb="FFFFD166"/>
        <rFont val="Arial"/>
        <family val="0"/>
        <charset val="1"/>
      </rPr>
      <t xml:space="preserve">ρ1 [kg/m³]</t>
    </r>
  </si>
  <si>
    <t xml:space="preserve">鋼 🟢</t>
  </si>
  <si>
    <r>
      <rPr>
        <b val="true"/>
        <sz val="11"/>
        <color rgb="FFFFD166"/>
        <rFont val="Noto Sans CJK SC"/>
        <family val="2"/>
        <charset val="1"/>
      </rPr>
      <t xml:space="preserve">摩擦材 厚さ </t>
    </r>
    <r>
      <rPr>
        <b val="true"/>
        <sz val="11"/>
        <color rgb="FFFFD166"/>
        <rFont val="Arial"/>
        <family val="0"/>
        <charset val="1"/>
      </rPr>
      <t xml:space="preserve">t2 [mm]</t>
    </r>
  </si>
  <si>
    <t xml:space="preserve">実測（摩耗していれば実厚を）</t>
  </si>
  <si>
    <r>
      <rPr>
        <b val="true"/>
        <sz val="11"/>
        <color rgb="FFFFD166"/>
        <rFont val="Noto Sans CJK SC"/>
        <family val="2"/>
        <charset val="1"/>
      </rPr>
      <t xml:space="preserve">摩擦材 </t>
    </r>
    <r>
      <rPr>
        <b val="true"/>
        <sz val="11"/>
        <color rgb="FFFFD166"/>
        <rFont val="Arial"/>
        <family val="0"/>
        <charset val="1"/>
      </rPr>
      <t xml:space="preserve">ρ2 [kg/m³]</t>
    </r>
  </si>
  <si>
    <r>
      <rPr>
        <sz val="9"/>
        <color rgb="FFA0A6B0"/>
        <rFont val="Noto Sans CJK SC"/>
        <family val="2"/>
        <charset val="1"/>
      </rPr>
      <t xml:space="preserve">重さ</t>
    </r>
    <r>
      <rPr>
        <sz val="9"/>
        <color rgb="FFA0A6B0"/>
        <rFont val="Arial"/>
        <family val="0"/>
        <charset val="1"/>
      </rPr>
      <t xml:space="preserve">÷</t>
    </r>
    <r>
      <rPr>
        <sz val="9"/>
        <color rgb="FFA0A6B0"/>
        <rFont val="Noto Sans CJK SC"/>
        <family val="2"/>
        <charset val="1"/>
      </rPr>
      <t xml:space="preserve">体積で必ず自分で測る 🔴</t>
    </r>
  </si>
  <si>
    <r>
      <rPr>
        <b val="true"/>
        <sz val="12"/>
        <color rgb="FFFFA45B"/>
        <rFont val="Arial"/>
        <family val="0"/>
        <charset val="1"/>
      </rPr>
      <t xml:space="preserve">■ STEP 3</t>
    </r>
    <r>
      <rPr>
        <b val="true"/>
        <sz val="12"/>
        <color rgb="FFFFA45B"/>
        <rFont val="Noto Sans CJK SC"/>
        <family val="2"/>
        <charset val="1"/>
      </rPr>
      <t xml:space="preserve">：実測 </t>
    </r>
    <r>
      <rPr>
        <b val="true"/>
        <sz val="12"/>
        <color rgb="FFFFA45B"/>
        <rFont val="Arial"/>
        <family val="0"/>
        <charset val="1"/>
      </rPr>
      <t xml:space="preserve">f1 </t>
    </r>
    <r>
      <rPr>
        <b val="true"/>
        <sz val="12"/>
        <color rgb="FFFFA45B"/>
        <rFont val="Noto Sans CJK SC"/>
        <family val="2"/>
        <charset val="1"/>
      </rPr>
      <t xml:space="preserve">から 必要な曲げ剛性 </t>
    </r>
    <r>
      <rPr>
        <b val="true"/>
        <sz val="12"/>
        <color rgb="FFFFA45B"/>
        <rFont val="Arial"/>
        <family val="0"/>
        <charset val="1"/>
      </rPr>
      <t xml:space="preserve">EI </t>
    </r>
    <r>
      <rPr>
        <b val="true"/>
        <sz val="12"/>
        <color rgb="FFFFA45B"/>
        <rFont val="Noto Sans CJK SC"/>
        <family val="2"/>
        <charset val="1"/>
      </rPr>
      <t xml:space="preserve">を求める</t>
    </r>
  </si>
  <si>
    <t xml:space="preserve">L [m]</t>
  </si>
  <si>
    <t xml:space="preserve">w [m]</t>
  </si>
  <si>
    <t xml:space="preserve">t1 [m]</t>
  </si>
  <si>
    <t xml:space="preserve">t2 [m]</t>
  </si>
  <si>
    <r>
      <rPr>
        <b val="true"/>
        <sz val="11"/>
        <color rgb="FFFFD166"/>
        <rFont val="Arial"/>
        <family val="0"/>
        <charset val="1"/>
      </rPr>
      <t xml:space="preserve">ρA [kg/m]</t>
    </r>
    <r>
      <rPr>
        <b val="true"/>
        <sz val="11"/>
        <color rgb="FFFFD166"/>
        <rFont val="Noto Sans CJK SC"/>
        <family val="2"/>
        <charset val="1"/>
      </rPr>
      <t xml:space="preserve">（既知）</t>
    </r>
  </si>
  <si>
    <t xml:space="preserve">ρ1·w·t1 + ρ2·w·t2  🟢</t>
  </si>
  <si>
    <t xml:space="preserve">固有振動数シートと必ず同じ設定にする</t>
  </si>
  <si>
    <r>
      <rPr>
        <b val="true"/>
        <sz val="11"/>
        <color rgb="FFFFD166"/>
        <rFont val="Noto Sans CJK SC"/>
        <family val="2"/>
        <charset val="1"/>
      </rPr>
      <t xml:space="preserve">ポアソン比 </t>
    </r>
    <r>
      <rPr>
        <b val="true"/>
        <sz val="11"/>
        <color rgb="FFFFD166"/>
        <rFont val="Arial"/>
        <family val="0"/>
        <charset val="1"/>
      </rPr>
      <t xml:space="preserve">ν</t>
    </r>
    <r>
      <rPr>
        <b val="true"/>
        <sz val="11"/>
        <color rgb="FFFFD166"/>
        <rFont val="Noto Sans CJK SC"/>
        <family val="2"/>
        <charset val="1"/>
      </rPr>
      <t xml:space="preserve">（合成の目安）</t>
    </r>
  </si>
  <si>
    <r>
      <rPr>
        <sz val="9"/>
        <color rgb="FFA0A6B0"/>
        <rFont val="Noto Sans CJK SC"/>
        <family val="2"/>
        <charset val="1"/>
      </rPr>
      <t xml:space="preserve">鋼が支配的なので </t>
    </r>
    <r>
      <rPr>
        <sz val="9"/>
        <color rgb="FFA0A6B0"/>
        <rFont val="Arial"/>
        <family val="0"/>
        <charset val="1"/>
      </rPr>
      <t xml:space="preserve">0.30 </t>
    </r>
    <r>
      <rPr>
        <sz val="9"/>
        <color rgb="FFA0A6B0"/>
        <rFont val="Noto Sans CJK SC"/>
        <family val="2"/>
        <charset val="1"/>
      </rPr>
      <t xml:space="preserve">でよい</t>
    </r>
  </si>
  <si>
    <r>
      <rPr>
        <b val="true"/>
        <sz val="11"/>
        <color rgb="FFFFD166"/>
        <rFont val="Noto Sans CJK SC"/>
        <family val="2"/>
        <charset val="1"/>
      </rPr>
      <t xml:space="preserve">回転半径 </t>
    </r>
    <r>
      <rPr>
        <b val="true"/>
        <sz val="11"/>
        <color rgb="FFFFD166"/>
        <rFont val="Arial"/>
        <family val="0"/>
        <charset val="1"/>
      </rPr>
      <t xml:space="preserve">r [m] = h/√12</t>
    </r>
  </si>
  <si>
    <r>
      <rPr>
        <sz val="9"/>
        <color rgb="FFA0A6B0"/>
        <rFont val="Arial"/>
        <family val="0"/>
        <charset val="1"/>
      </rPr>
      <t xml:space="preserve">h</t>
    </r>
    <r>
      <rPr>
        <sz val="9"/>
        <color rgb="FFA0A6B0"/>
        <rFont val="Noto Sans CJK SC"/>
        <family val="2"/>
        <charset val="1"/>
      </rPr>
      <t xml:space="preserve">＝</t>
    </r>
    <r>
      <rPr>
        <sz val="9"/>
        <color rgb="FFA0A6B0"/>
        <rFont val="Arial"/>
        <family val="0"/>
        <charset val="1"/>
      </rPr>
      <t xml:space="preserve">t1+t2</t>
    </r>
  </si>
  <si>
    <r>
      <rPr>
        <b val="true"/>
        <sz val="11"/>
        <color rgb="FFFFD166"/>
        <rFont val="Noto Sans CJK SC"/>
        <family val="2"/>
        <charset val="1"/>
      </rPr>
      <t xml:space="preserve">補正係数 </t>
    </r>
    <r>
      <rPr>
        <b val="true"/>
        <sz val="11"/>
        <color rgb="FFFFD166"/>
        <rFont val="Arial"/>
        <family val="0"/>
        <charset val="1"/>
      </rPr>
      <t xml:space="preserve">K₁</t>
    </r>
  </si>
  <si>
    <t xml:space="preserve">K=1+(βL)²(r/L)²(1+E/(κG))  🟡</t>
  </si>
  <si>
    <r>
      <rPr>
        <b val="true"/>
        <sz val="11"/>
        <color rgb="FFFFD166"/>
        <rFont val="Arial"/>
        <family val="0"/>
        <charset val="1"/>
      </rPr>
      <t xml:space="preserve">Euler</t>
    </r>
    <r>
      <rPr>
        <b val="true"/>
        <sz val="11"/>
        <color rgb="FFFFD166"/>
        <rFont val="Noto Sans CJK SC"/>
        <family val="2"/>
        <charset val="1"/>
      </rPr>
      <t xml:space="preserve">換算した </t>
    </r>
    <r>
      <rPr>
        <b val="true"/>
        <sz val="11"/>
        <color rgb="FFFFD166"/>
        <rFont val="Arial"/>
        <family val="0"/>
        <charset val="1"/>
      </rPr>
      <t xml:space="preserve">f₁ [Hz]</t>
    </r>
  </si>
  <si>
    <r>
      <rPr>
        <sz val="9"/>
        <color rgb="FFA0A6B0"/>
        <rFont val="Noto Sans CJK SC"/>
        <family val="2"/>
        <charset val="1"/>
      </rPr>
      <t xml:space="preserve">せん断で下がった分を戻して、</t>
    </r>
    <r>
      <rPr>
        <sz val="9"/>
        <color rgb="FFA0A6B0"/>
        <rFont val="Arial"/>
        <family val="0"/>
        <charset val="1"/>
      </rPr>
      <t xml:space="preserve">Euler</t>
    </r>
    <r>
      <rPr>
        <sz val="9"/>
        <color rgb="FFA0A6B0"/>
        <rFont val="Noto Sans CJK SC"/>
        <family val="2"/>
        <charset val="1"/>
      </rPr>
      <t xml:space="preserve">式で扱えるようにする</t>
    </r>
  </si>
  <si>
    <t xml:space="preserve">S = EI/ρA [m⁴/s²]</t>
  </si>
  <si>
    <r>
      <rPr>
        <sz val="9"/>
        <color rgb="FFA0A6B0"/>
        <rFont val="Arial"/>
        <family val="0"/>
        <charset val="1"/>
      </rPr>
      <t xml:space="preserve">S=(2π f₁ L²/(βL)₁²)²  ← </t>
    </r>
    <r>
      <rPr>
        <sz val="9"/>
        <color rgb="FFA0A6B0"/>
        <rFont val="Noto Sans CJK SC"/>
        <family val="2"/>
        <charset val="1"/>
      </rPr>
      <t xml:space="preserve">曲げ式の逆解き  🟢</t>
    </r>
  </si>
  <si>
    <r>
      <rPr>
        <b val="true"/>
        <sz val="11"/>
        <color rgb="FFFFD166"/>
        <rFont val="Noto Sans CJK SC"/>
        <family val="2"/>
        <charset val="1"/>
      </rPr>
      <t xml:space="preserve">必要な </t>
    </r>
    <r>
      <rPr>
        <b val="true"/>
        <sz val="11"/>
        <color rgb="FFFFD166"/>
        <rFont val="Arial"/>
        <family val="0"/>
        <charset val="1"/>
      </rPr>
      <t xml:space="preserve">EI [N·m²]</t>
    </r>
  </si>
  <si>
    <t xml:space="preserve">S × ρA</t>
  </si>
  <si>
    <r>
      <rPr>
        <b val="true"/>
        <sz val="11"/>
        <color rgb="FFFFD166"/>
        <rFont val="Noto Sans CJK SC"/>
        <family val="2"/>
        <charset val="1"/>
      </rPr>
      <t xml:space="preserve">裏板だけの </t>
    </r>
    <r>
      <rPr>
        <b val="true"/>
        <sz val="11"/>
        <color rgb="FFFFD166"/>
        <rFont val="Arial"/>
        <family val="0"/>
        <charset val="1"/>
      </rPr>
      <t xml:space="preserve">EI [N·m²]</t>
    </r>
  </si>
  <si>
    <r>
      <rPr>
        <sz val="9"/>
        <color rgb="FFA0A6B0"/>
        <rFont val="Noto Sans CJK SC"/>
        <family val="2"/>
        <charset val="1"/>
      </rPr>
      <t xml:space="preserve">これより必要</t>
    </r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  <charset val="1"/>
      </rPr>
      <t xml:space="preserve">が小さいと解なし</t>
    </r>
  </si>
  <si>
    <t xml:space="preserve">解の有無</t>
  </si>
  <si>
    <r>
      <rPr>
        <b val="true"/>
        <sz val="12"/>
        <color rgb="FFFFA45B"/>
        <rFont val="Arial"/>
        <family val="0"/>
        <charset val="1"/>
      </rPr>
      <t xml:space="preserve">■ STEP 4</t>
    </r>
    <r>
      <rPr>
        <b val="true"/>
        <sz val="12"/>
        <color rgb="FFFFA45B"/>
        <rFont val="Noto Sans CJK SC"/>
        <family val="2"/>
        <charset val="1"/>
      </rPr>
      <t xml:space="preserve">：二分法で 摩擦材ヤング率 </t>
    </r>
    <r>
      <rPr>
        <b val="true"/>
        <sz val="12"/>
        <color rgb="FFFFA45B"/>
        <rFont val="Arial"/>
        <family val="0"/>
        <charset val="1"/>
      </rPr>
      <t xml:space="preserve">E2 </t>
    </r>
    <r>
      <rPr>
        <b val="true"/>
        <sz val="12"/>
        <color rgb="FFFFA45B"/>
        <rFont val="Noto Sans CJK SC"/>
        <family val="2"/>
        <charset val="1"/>
      </rPr>
      <t xml:space="preserve">を探す（</t>
    </r>
    <r>
      <rPr>
        <b val="true"/>
        <sz val="12"/>
        <color rgb="FFFFA45B"/>
        <rFont val="Arial"/>
        <family val="0"/>
        <charset val="1"/>
      </rPr>
      <t xml:space="preserve">40</t>
    </r>
    <r>
      <rPr>
        <b val="true"/>
        <sz val="12"/>
        <color rgb="FFFFA45B"/>
        <rFont val="Noto Sans CJK SC"/>
        <family val="2"/>
        <charset val="1"/>
      </rPr>
      <t xml:space="preserve">回・自動／マクロ不要）</t>
    </r>
  </si>
  <si>
    <t xml:space="preserve">回</t>
  </si>
  <si>
    <r>
      <rPr>
        <b val="true"/>
        <sz val="10"/>
        <color rgb="FFFFD166"/>
        <rFont val="Noto Sans CJK SC"/>
        <family val="2"/>
        <charset val="1"/>
      </rPr>
      <t xml:space="preserve">下限 </t>
    </r>
    <r>
      <rPr>
        <b val="true"/>
        <sz val="10"/>
        <color rgb="FFFFD166"/>
        <rFont val="Arial"/>
        <family val="0"/>
        <charset val="1"/>
      </rPr>
      <t xml:space="preserve">lo [GPa]</t>
    </r>
  </si>
  <si>
    <r>
      <rPr>
        <b val="true"/>
        <sz val="10"/>
        <color rgb="FFFFD166"/>
        <rFont val="Noto Sans CJK SC"/>
        <family val="2"/>
        <charset val="1"/>
      </rPr>
      <t xml:space="preserve">上限 </t>
    </r>
    <r>
      <rPr>
        <b val="true"/>
        <sz val="10"/>
        <color rgb="FFFFD166"/>
        <rFont val="Arial"/>
        <family val="0"/>
        <charset val="1"/>
      </rPr>
      <t xml:space="preserve">hi [GPa]</t>
    </r>
  </si>
  <si>
    <r>
      <rPr>
        <b val="true"/>
        <sz val="10"/>
        <color rgb="FFFFD166"/>
        <rFont val="Noto Sans CJK SC"/>
        <family val="2"/>
        <charset val="1"/>
      </rPr>
      <t xml:space="preserve">中点 </t>
    </r>
    <r>
      <rPr>
        <b val="true"/>
        <sz val="10"/>
        <color rgb="FFFFD166"/>
        <rFont val="Arial"/>
        <family val="0"/>
        <charset val="1"/>
      </rPr>
      <t xml:space="preserve">mid [GPa]</t>
    </r>
  </si>
  <si>
    <t xml:space="preserve">E1·A1</t>
  </si>
  <si>
    <t xml:space="preserve">E2·A2</t>
  </si>
  <si>
    <r>
      <rPr>
        <b val="true"/>
        <sz val="10"/>
        <color rgb="FFFFD166"/>
        <rFont val="Noto Sans CJK SC"/>
        <family val="2"/>
        <charset val="1"/>
      </rPr>
      <t xml:space="preserve">中立軸 </t>
    </r>
    <r>
      <rPr>
        <b val="true"/>
        <sz val="10"/>
        <color rgb="FFFFD166"/>
        <rFont val="Arial"/>
        <family val="0"/>
        <charset val="1"/>
      </rPr>
      <t xml:space="preserve">ȳ [m]</t>
    </r>
  </si>
  <si>
    <t xml:space="preserve">EI(mid) [N·m²]</t>
  </si>
  <si>
    <r>
      <rPr>
        <b val="true"/>
        <sz val="10"/>
        <color rgb="FFFFD166"/>
        <rFont val="Arial"/>
        <family val="0"/>
        <charset val="1"/>
      </rPr>
      <t xml:space="preserve">EI(mid)−</t>
    </r>
    <r>
      <rPr>
        <b val="true"/>
        <sz val="10"/>
        <color rgb="FFFFD166"/>
        <rFont val="Noto Sans CJK SC"/>
        <family val="2"/>
        <charset val="1"/>
      </rPr>
      <t xml:space="preserve">必要</t>
    </r>
    <r>
      <rPr>
        <b val="true"/>
        <sz val="10"/>
        <color rgb="FFFFD166"/>
        <rFont val="Arial"/>
        <family val="0"/>
        <charset val="1"/>
      </rPr>
      <t xml:space="preserve">EI</t>
    </r>
  </si>
  <si>
    <r>
      <rPr>
        <b val="true"/>
        <sz val="12"/>
        <color rgb="FFFFA45B"/>
        <rFont val="Arial"/>
        <family val="0"/>
        <charset val="1"/>
      </rPr>
      <t xml:space="preserve">■ STEP 5</t>
    </r>
    <r>
      <rPr>
        <b val="true"/>
        <sz val="12"/>
        <color rgb="FFFFA45B"/>
        <rFont val="Noto Sans CJK SC"/>
        <family val="2"/>
        <charset val="1"/>
      </rPr>
      <t xml:space="preserve">：結果</t>
    </r>
  </si>
  <si>
    <r>
      <rPr>
        <b val="true"/>
        <sz val="11"/>
        <color rgb="FFFFD166"/>
        <rFont val="Noto Sans CJK SC"/>
        <family val="2"/>
        <charset val="1"/>
      </rPr>
      <t xml:space="preserve">★逆算された 摩擦材 </t>
    </r>
    <r>
      <rPr>
        <b val="true"/>
        <sz val="11"/>
        <color rgb="FFFFD166"/>
        <rFont val="Arial"/>
        <family val="0"/>
        <charset val="1"/>
      </rPr>
      <t xml:space="preserve">E2 [GPa]</t>
    </r>
  </si>
  <si>
    <r>
      <rPr>
        <sz val="9"/>
        <color rgb="FFA0A6B0"/>
        <rFont val="Noto Sans CJK SC"/>
        <family val="2"/>
        <charset val="1"/>
      </rPr>
      <t xml:space="preserve">これが答え。材料</t>
    </r>
    <r>
      <rPr>
        <sz val="9"/>
        <color rgb="FFA0A6B0"/>
        <rFont val="Arial"/>
        <family val="0"/>
        <charset val="1"/>
      </rPr>
      <t xml:space="preserve">DB</t>
    </r>
    <r>
      <rPr>
        <sz val="9"/>
        <color rgb="FFA0A6B0"/>
        <rFont val="Noto Sans CJK SC"/>
        <family val="2"/>
        <charset val="1"/>
      </rPr>
      <t xml:space="preserve">に登録して順算に使う</t>
    </r>
  </si>
  <si>
    <r>
      <rPr>
        <b val="true"/>
        <sz val="11"/>
        <color rgb="FFFFD166"/>
        <rFont val="Noto Sans CJK SC"/>
        <family val="2"/>
        <charset val="1"/>
      </rPr>
      <t xml:space="preserve">収束チェック 残差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</si>
  <si>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  <charset val="1"/>
      </rPr>
      <t xml:space="preserve">に十分近ければ</t>
    </r>
    <r>
      <rPr>
        <sz val="9"/>
        <color rgb="FFA0A6B0"/>
        <rFont val="Arial"/>
        <family val="0"/>
        <charset val="1"/>
      </rPr>
      <t xml:space="preserve">OK</t>
    </r>
  </si>
  <si>
    <r>
      <rPr>
        <b val="true"/>
        <sz val="11"/>
        <color rgb="FFFFD166"/>
        <rFont val="Noto Sans CJK SC"/>
        <family val="2"/>
        <charset val="1"/>
      </rPr>
      <t xml:space="preserve">収束チェック 相対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</si>
  <si>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0.001%</t>
    </r>
    <r>
      <rPr>
        <sz val="9"/>
        <color rgb="FFA0A6B0"/>
        <rFont val="Noto Sans CJK SC"/>
        <family val="2"/>
        <charset val="1"/>
      </rPr>
      <t xml:space="preserve">未満なら収束</t>
    </r>
  </si>
  <si>
    <r>
      <rPr>
        <b val="true"/>
        <sz val="11"/>
        <color rgb="FFFFD166"/>
        <rFont val="Noto Sans CJK SC"/>
        <family val="2"/>
        <charset val="1"/>
      </rPr>
      <t xml:space="preserve">参考：</t>
    </r>
    <r>
      <rPr>
        <b val="true"/>
        <sz val="11"/>
        <color rgb="FFFFD166"/>
        <rFont val="Arial"/>
        <family val="0"/>
        <charset val="1"/>
      </rPr>
      <t xml:space="preserve">1</t>
    </r>
    <r>
      <rPr>
        <b val="true"/>
        <sz val="11"/>
        <color rgb="FFFFD166"/>
        <rFont val="Noto Sans CJK SC"/>
        <family val="2"/>
        <charset val="1"/>
      </rPr>
      <t xml:space="preserve">枚板とみなした </t>
    </r>
    <r>
      <rPr>
        <b val="true"/>
        <sz val="11"/>
        <color rgb="FFFFD166"/>
        <rFont val="Arial"/>
        <family val="0"/>
        <charset val="1"/>
      </rPr>
      <t xml:space="preserve">E/ρ [m²/s²]</t>
    </r>
  </si>
  <si>
    <r>
      <rPr>
        <sz val="9"/>
        <color rgb="FFA0A6B0"/>
        <rFont val="Arial"/>
        <family val="0"/>
        <charset val="1"/>
      </rPr>
      <t xml:space="preserve">E/ρ = 12·S/h²</t>
    </r>
    <r>
      <rPr>
        <sz val="9"/>
        <color rgb="FFA0A6B0"/>
        <rFont val="Noto Sans CJK SC"/>
        <family val="2"/>
        <charset val="1"/>
      </rPr>
      <t xml:space="preserve">（積層を無視した粗い推定）🟡</t>
    </r>
  </si>
  <si>
    <r>
      <rPr>
        <b val="true"/>
        <sz val="11"/>
        <color rgb="FFFFD166"/>
        <rFont val="Noto Sans CJK SC"/>
        <family val="2"/>
        <charset val="1"/>
      </rPr>
      <t xml:space="preserve">参考：√</t>
    </r>
    <r>
      <rPr>
        <b val="true"/>
        <sz val="11"/>
        <color rgb="FFFFD166"/>
        <rFont val="Arial"/>
        <family val="0"/>
        <charset val="1"/>
      </rPr>
      <t xml:space="preserve">(E/ρ) [m/s]</t>
    </r>
  </si>
  <si>
    <r>
      <rPr>
        <sz val="9"/>
        <color rgb="FFA0A6B0"/>
        <rFont val="Noto Sans CJK SC"/>
        <family val="2"/>
        <charset val="1"/>
      </rPr>
      <t xml:space="preserve">棒の中の音速に相当。鋼なら約</t>
    </r>
    <r>
      <rPr>
        <sz val="9"/>
        <color rgb="FFA0A6B0"/>
        <rFont val="Arial"/>
        <family val="0"/>
        <charset val="1"/>
      </rPr>
      <t xml:space="preserve">5100 m/s</t>
    </r>
  </si>
  <si>
    <r>
      <rPr>
        <b val="true"/>
        <sz val="11"/>
        <color rgb="FFFFD166"/>
        <rFont val="Noto Sans CJK SC"/>
        <family val="2"/>
        <charset val="1"/>
      </rPr>
      <t xml:space="preserve">検算：この </t>
    </r>
    <r>
      <rPr>
        <b val="true"/>
        <sz val="11"/>
        <color rgb="FFFFD166"/>
        <rFont val="Arial"/>
        <family val="0"/>
        <charset val="1"/>
      </rPr>
      <t xml:space="preserve">E2 </t>
    </r>
    <r>
      <rPr>
        <b val="true"/>
        <sz val="11"/>
        <color rgb="FFFFD166"/>
        <rFont val="Noto Sans CJK SC"/>
        <family val="2"/>
        <charset val="1"/>
      </rPr>
      <t xml:space="preserve">での </t>
    </r>
    <r>
      <rPr>
        <b val="true"/>
        <sz val="11"/>
        <color rgb="FFFFD166"/>
        <rFont val="Arial"/>
        <family val="0"/>
        <charset val="1"/>
      </rPr>
      <t xml:space="preserve">f1 [Hz]</t>
    </r>
  </si>
  <si>
    <r>
      <rPr>
        <sz val="9"/>
        <color rgb="FFA0A6B0"/>
        <rFont val="Noto Sans CJK SC"/>
        <family val="2"/>
        <charset val="1"/>
      </rPr>
      <t xml:space="preserve">実測 </t>
    </r>
    <r>
      <rPr>
        <sz val="9"/>
        <color rgb="FFA0A6B0"/>
        <rFont val="Arial"/>
        <family val="0"/>
        <charset val="1"/>
      </rPr>
      <t xml:space="preserve">f1 </t>
    </r>
    <r>
      <rPr>
        <sz val="9"/>
        <color rgb="FFA0A6B0"/>
        <rFont val="Noto Sans CJK SC"/>
        <family val="2"/>
        <charset val="1"/>
      </rPr>
      <t xml:space="preserve">と一致するはず</t>
    </r>
  </si>
  <si>
    <r>
      <rPr>
        <b val="true"/>
        <sz val="11"/>
        <color rgb="FFFFD166"/>
        <rFont val="Noto Sans CJK SC"/>
        <family val="2"/>
        <charset val="1"/>
      </rPr>
      <t xml:space="preserve">検算：</t>
    </r>
    <r>
      <rPr>
        <b val="true"/>
        <sz val="11"/>
        <color rgb="FFFFD166"/>
        <rFont val="Arial"/>
        <family val="0"/>
        <charset val="1"/>
      </rPr>
      <t xml:space="preserve">f1 </t>
    </r>
    <r>
      <rPr>
        <b val="true"/>
        <sz val="11"/>
        <color rgb="FFFFD166"/>
        <rFont val="Noto Sans CJK SC"/>
        <family val="2"/>
        <charset val="1"/>
      </rPr>
      <t xml:space="preserve">の誤差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</si>
  <si>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±0.01%</t>
    </r>
    <r>
      <rPr>
        <sz val="9"/>
        <color rgb="FFA0A6B0"/>
        <rFont val="Noto Sans CJK SC"/>
        <family val="2"/>
        <charset val="1"/>
      </rPr>
      <t xml:space="preserve">以内なら成功</t>
    </r>
  </si>
  <si>
    <r>
      <rPr>
        <b val="true"/>
        <sz val="11"/>
        <color rgb="FFFFD166"/>
        <rFont val="Noto Sans CJK SC"/>
        <family val="2"/>
        <charset val="1"/>
      </rPr>
      <t xml:space="preserve">検算：この </t>
    </r>
    <r>
      <rPr>
        <b val="true"/>
        <sz val="11"/>
        <color rgb="FFFFD166"/>
        <rFont val="Arial"/>
        <family val="0"/>
        <charset val="1"/>
      </rPr>
      <t xml:space="preserve">E2 </t>
    </r>
    <r>
      <rPr>
        <b val="true"/>
        <sz val="11"/>
        <color rgb="FFFFD166"/>
        <rFont val="Noto Sans CJK SC"/>
        <family val="2"/>
        <charset val="1"/>
      </rPr>
      <t xml:space="preserve">での </t>
    </r>
    <r>
      <rPr>
        <b val="true"/>
        <sz val="11"/>
        <color rgb="FFFFD166"/>
        <rFont val="Arial"/>
        <family val="0"/>
        <charset val="1"/>
      </rPr>
      <t xml:space="preserve">f2 [Hz]</t>
    </r>
  </si>
  <si>
    <r>
      <rPr>
        <sz val="9"/>
        <color rgb="FFA0A6B0"/>
        <rFont val="Noto Sans CJK SC"/>
        <family val="2"/>
        <charset val="1"/>
      </rPr>
      <t xml:space="preserve">実測</t>
    </r>
    <r>
      <rPr>
        <sz val="9"/>
        <color rgb="FFA0A6B0"/>
        <rFont val="Arial"/>
        <family val="0"/>
        <charset val="1"/>
      </rPr>
      <t xml:space="preserve">f2</t>
    </r>
    <r>
      <rPr>
        <sz val="9"/>
        <color rgb="FFA0A6B0"/>
        <rFont val="Noto Sans CJK SC"/>
        <family val="2"/>
        <charset val="1"/>
      </rPr>
      <t xml:space="preserve">と比べる（合わなければモデルの限界）</t>
    </r>
  </si>
  <si>
    <r>
      <rPr>
        <b val="true"/>
        <sz val="11"/>
        <color rgb="FFFFD166"/>
        <rFont val="Arial"/>
        <family val="0"/>
        <charset val="1"/>
      </rPr>
      <t xml:space="preserve">f2 </t>
    </r>
    <r>
      <rPr>
        <b val="true"/>
        <sz val="11"/>
        <color rgb="FFFFD166"/>
        <rFont val="Noto Sans CJK SC"/>
        <family val="2"/>
        <charset val="1"/>
      </rPr>
      <t xml:space="preserve">の誤差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</si>
  <si>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±10%</t>
    </r>
    <r>
      <rPr>
        <sz val="9"/>
        <color rgb="FFA0A6B0"/>
        <rFont val="Noto Sans CJK SC"/>
        <family val="2"/>
        <charset val="1"/>
      </rPr>
      <t xml:space="preserve">以内なら実用上</t>
    </r>
    <r>
      <rPr>
        <sz val="9"/>
        <color rgb="FFA0A6B0"/>
        <rFont val="Arial"/>
        <family val="0"/>
        <charset val="1"/>
      </rPr>
      <t xml:space="preserve">OK 🟡</t>
    </r>
  </si>
  <si>
    <t xml:space="preserve">■ 逆算のコツ・よくあるミス</t>
  </si>
  <si>
    <r>
      <rPr>
        <sz val="11"/>
        <color rgb="FF4FD1E5"/>
        <rFont val="Noto Sans CJK SC"/>
        <family val="2"/>
        <charset val="1"/>
      </rPr>
      <t xml:space="preserve">① まず </t>
    </r>
    <r>
      <rPr>
        <sz val="11"/>
        <color rgb="FF4FD1E5"/>
        <rFont val="Arial"/>
        <family val="0"/>
        <charset val="1"/>
      </rPr>
      <t xml:space="preserve">STEP1 </t>
    </r>
    <r>
      <rPr>
        <sz val="11"/>
        <color rgb="FF4FD1E5"/>
        <rFont val="Noto Sans CJK SC"/>
        <family val="2"/>
        <charset val="1"/>
      </rPr>
      <t xml:space="preserve">の「ずれ</t>
    </r>
    <r>
      <rPr>
        <sz val="11"/>
        <color rgb="FF4FD1E5"/>
        <rFont val="Arial"/>
        <family val="0"/>
        <charset val="1"/>
      </rPr>
      <t xml:space="preserve">[%]</t>
    </r>
    <r>
      <rPr>
        <sz val="11"/>
        <color rgb="FF4FD1E5"/>
        <rFont val="Noto Sans CJK SC"/>
        <family val="2"/>
        <charset val="1"/>
      </rPr>
      <t xml:space="preserve">」を見る。</t>
    </r>
    <r>
      <rPr>
        <sz val="11"/>
        <color rgb="FF4FD1E5"/>
        <rFont val="Arial"/>
        <family val="0"/>
        <charset val="1"/>
      </rPr>
      <t xml:space="preserve">5%</t>
    </r>
    <r>
      <rPr>
        <sz val="11"/>
        <color rgb="FF4FD1E5"/>
        <rFont val="Noto Sans CJK SC"/>
        <family val="2"/>
        <charset val="1"/>
      </rPr>
      <t xml:space="preserve">以内でなければ、その実測ピークは曲げモードではありません（ねじり・面内が混ざっている）。</t>
    </r>
  </si>
  <si>
    <r>
      <rPr>
        <sz val="11"/>
        <color rgb="FFFFD166"/>
        <rFont val="Noto Sans CJK SC"/>
        <family val="2"/>
        <charset val="1"/>
      </rPr>
      <t xml:space="preserve">② 摩擦材の密度 </t>
    </r>
    <r>
      <rPr>
        <sz val="11"/>
        <color rgb="FFFFD166"/>
        <rFont val="Arial"/>
        <family val="0"/>
        <charset val="1"/>
      </rPr>
      <t xml:space="preserve">ρ2 </t>
    </r>
    <r>
      <rPr>
        <sz val="11"/>
        <color rgb="FFFFD166"/>
        <rFont val="Noto Sans CJK SC"/>
        <family val="2"/>
        <charset val="1"/>
      </rPr>
      <t xml:space="preserve">は必ず実測。</t>
    </r>
    <r>
      <rPr>
        <sz val="11"/>
        <color rgb="FFFFD166"/>
        <rFont val="Arial"/>
        <family val="0"/>
        <charset val="1"/>
      </rPr>
      <t xml:space="preserve">ρ2 </t>
    </r>
    <r>
      <rPr>
        <sz val="11"/>
        <color rgb="FFFFD166"/>
        <rFont val="Noto Sans CJK SC"/>
        <family val="2"/>
        <charset val="1"/>
      </rPr>
      <t xml:space="preserve">が </t>
    </r>
    <r>
      <rPr>
        <sz val="11"/>
        <color rgb="FFFFD166"/>
        <rFont val="Arial"/>
        <family val="0"/>
        <charset val="1"/>
      </rPr>
      <t xml:space="preserve">10% </t>
    </r>
    <r>
      <rPr>
        <sz val="11"/>
        <color rgb="FFFFD166"/>
        <rFont val="Noto Sans CJK SC"/>
        <family val="2"/>
        <charset val="1"/>
      </rPr>
      <t xml:space="preserve">ずれると </t>
    </r>
    <r>
      <rPr>
        <sz val="11"/>
        <color rgb="FFFFD166"/>
        <rFont val="Arial"/>
        <family val="0"/>
        <charset val="1"/>
      </rPr>
      <t xml:space="preserve">E2 </t>
    </r>
    <r>
      <rPr>
        <sz val="11"/>
        <color rgb="FFFFD166"/>
        <rFont val="Noto Sans CJK SC"/>
        <family val="2"/>
        <charset val="1"/>
      </rPr>
      <t xml:space="preserve">は約 </t>
    </r>
    <r>
      <rPr>
        <sz val="11"/>
        <color rgb="FFFFD166"/>
        <rFont val="Arial"/>
        <family val="0"/>
        <charset val="1"/>
      </rPr>
      <t xml:space="preserve">20% </t>
    </r>
    <r>
      <rPr>
        <sz val="11"/>
        <color rgb="FFFFD166"/>
        <rFont val="Noto Sans CJK SC"/>
        <family val="2"/>
        <charset val="1"/>
      </rPr>
      <t xml:space="preserve">ずれます（</t>
    </r>
    <r>
      <rPr>
        <sz val="11"/>
        <color rgb="FFFFD166"/>
        <rFont val="Arial"/>
        <family val="0"/>
        <charset val="1"/>
      </rPr>
      <t xml:space="preserve">f ∝ √(E/ρ) </t>
    </r>
    <r>
      <rPr>
        <sz val="11"/>
        <color rgb="FFFFD166"/>
        <rFont val="Noto Sans CJK SC"/>
        <family val="2"/>
        <charset val="1"/>
      </rPr>
      <t xml:space="preserve">のため）。</t>
    </r>
  </si>
  <si>
    <r>
      <rPr>
        <sz val="11"/>
        <color rgb="FFFFA45B"/>
        <rFont val="Noto Sans CJK SC"/>
        <family val="2"/>
        <charset val="1"/>
      </rPr>
      <t xml:space="preserve">③ 摩擦材の</t>
    </r>
    <r>
      <rPr>
        <sz val="11"/>
        <color rgb="FFFFA45B"/>
        <rFont val="Arial"/>
        <family val="0"/>
        <charset val="1"/>
      </rPr>
      <t xml:space="preserve">E</t>
    </r>
    <r>
      <rPr>
        <sz val="11"/>
        <color rgb="FFFFA45B"/>
        <rFont val="Noto Sans CJK SC"/>
        <family val="2"/>
        <charset val="1"/>
      </rPr>
      <t xml:space="preserve">は面圧で変わります。特許文献では </t>
    </r>
    <r>
      <rPr>
        <sz val="11"/>
        <color rgb="FFFFA45B"/>
        <rFont val="Arial"/>
        <family val="0"/>
        <charset val="1"/>
      </rPr>
      <t xml:space="preserve">25</t>
    </r>
    <r>
      <rPr>
        <sz val="11"/>
        <color rgb="FFFFA45B"/>
        <rFont val="Noto Sans CJK SC"/>
        <family val="2"/>
        <charset val="1"/>
      </rPr>
      <t xml:space="preserve">〜</t>
    </r>
    <r>
      <rPr>
        <sz val="11"/>
        <color rgb="FFFFA45B"/>
        <rFont val="Arial"/>
        <family val="0"/>
        <charset val="1"/>
      </rPr>
      <t xml:space="preserve">375 MPa </t>
    </r>
    <r>
      <rPr>
        <sz val="11"/>
        <color rgb="FFFFA45B"/>
        <rFont val="Noto Sans CJK SC"/>
        <family val="2"/>
        <charset val="1"/>
      </rPr>
      <t xml:space="preserve">と </t>
    </r>
    <r>
      <rPr>
        <sz val="11"/>
        <color rgb="FFFFA45B"/>
        <rFont val="Arial"/>
        <family val="0"/>
        <charset val="1"/>
      </rPr>
      <t xml:space="preserve">15</t>
    </r>
    <r>
      <rPr>
        <sz val="11"/>
        <color rgb="FFFFA45B"/>
        <rFont val="Noto Sans CJK SC"/>
        <family val="2"/>
        <charset val="1"/>
      </rPr>
      <t xml:space="preserve">倍変化する例も。何</t>
    </r>
    <r>
      <rPr>
        <sz val="11"/>
        <color rgb="FFFFA45B"/>
        <rFont val="Arial"/>
        <family val="0"/>
        <charset val="1"/>
      </rPr>
      <t xml:space="preserve">MPa</t>
    </r>
    <r>
      <rPr>
        <sz val="11"/>
        <color rgb="FFFFA45B"/>
        <rFont val="Noto Sans CJK SC"/>
        <family val="2"/>
        <charset val="1"/>
      </rPr>
      <t xml:space="preserve">で測ったか記録を残す。</t>
    </r>
  </si>
  <si>
    <r>
      <rPr>
        <sz val="11"/>
        <color rgb="FFFF7A7A"/>
        <rFont val="Noto Sans CJK SC"/>
        <family val="2"/>
        <charset val="1"/>
      </rPr>
      <t xml:space="preserve">④ 裏板の厚さ </t>
    </r>
    <r>
      <rPr>
        <sz val="11"/>
        <color rgb="FFFF7A7A"/>
        <rFont val="Arial"/>
        <family val="0"/>
        <charset val="1"/>
      </rPr>
      <t xml:space="preserve">t1 </t>
    </r>
    <r>
      <rPr>
        <sz val="11"/>
        <color rgb="FFFF7A7A"/>
        <rFont val="Noto Sans CJK SC"/>
        <family val="2"/>
        <charset val="1"/>
      </rPr>
      <t xml:space="preserve">の誤差が一番効く。</t>
    </r>
    <r>
      <rPr>
        <sz val="11"/>
        <color rgb="FFFF7A7A"/>
        <rFont val="Arial"/>
        <family val="0"/>
        <charset val="1"/>
      </rPr>
      <t xml:space="preserve">EI ∝ t1³ </t>
    </r>
    <r>
      <rPr>
        <sz val="11"/>
        <color rgb="FFFF7A7A"/>
        <rFont val="Noto Sans CJK SC"/>
        <family val="2"/>
        <charset val="1"/>
      </rPr>
      <t xml:space="preserve">なので </t>
    </r>
    <r>
      <rPr>
        <sz val="11"/>
        <color rgb="FFFF7A7A"/>
        <rFont val="Arial"/>
        <family val="0"/>
        <charset val="1"/>
      </rPr>
      <t xml:space="preserve">t1 </t>
    </r>
    <r>
      <rPr>
        <sz val="11"/>
        <color rgb="FFFF7A7A"/>
        <rFont val="Noto Sans CJK SC"/>
        <family val="2"/>
        <charset val="1"/>
      </rPr>
      <t xml:space="preserve">が </t>
    </r>
    <r>
      <rPr>
        <sz val="11"/>
        <color rgb="FFFF7A7A"/>
        <rFont val="Arial"/>
        <family val="0"/>
        <charset val="1"/>
      </rPr>
      <t xml:space="preserve">2% </t>
    </r>
    <r>
      <rPr>
        <sz val="11"/>
        <color rgb="FFFF7A7A"/>
        <rFont val="Noto Sans CJK SC"/>
        <family val="2"/>
        <charset val="1"/>
      </rPr>
      <t xml:space="preserve">ずれると </t>
    </r>
    <r>
      <rPr>
        <sz val="11"/>
        <color rgb="FFFF7A7A"/>
        <rFont val="Arial"/>
        <family val="0"/>
        <charset val="1"/>
      </rPr>
      <t xml:space="preserve">EI </t>
    </r>
    <r>
      <rPr>
        <sz val="11"/>
        <color rgb="FFFF7A7A"/>
        <rFont val="Noto Sans CJK SC"/>
        <family val="2"/>
        <charset val="1"/>
      </rPr>
      <t xml:space="preserve">は </t>
    </r>
    <r>
      <rPr>
        <sz val="11"/>
        <color rgb="FFFF7A7A"/>
        <rFont val="Arial"/>
        <family val="0"/>
        <charset val="1"/>
      </rPr>
      <t xml:space="preserve">6% </t>
    </r>
    <r>
      <rPr>
        <sz val="11"/>
        <color rgb="FFFF7A7A"/>
        <rFont val="Noto Sans CJK SC"/>
        <family val="2"/>
        <charset val="1"/>
      </rPr>
      <t xml:space="preserve">ずれます。</t>
    </r>
  </si>
  <si>
    <t xml:space="preserve">⑤ 接着層とシムは無視しています。シムを外した「裸のパッド」で測った値を入れてください。</t>
  </si>
  <si>
    <t xml:space="preserve">⑥ ハンマ打撃＋指数窓のピークは減衰が過大になりますが、周波数自体はほぼ正しいのでここでは使えます。</t>
  </si>
  <si>
    <r>
      <rPr>
        <sz val="11"/>
        <color rgb="FFE6E6E6"/>
        <rFont val="Arial"/>
        <family val="0"/>
        <charset val="1"/>
      </rPr>
      <t xml:space="preserve">⑦ f1 </t>
    </r>
    <r>
      <rPr>
        <sz val="11"/>
        <color rgb="FFE6E6E6"/>
        <rFont val="Noto Sans CJK SC"/>
        <family val="2"/>
        <charset val="1"/>
      </rPr>
      <t xml:space="preserve">で合わせて </t>
    </r>
    <r>
      <rPr>
        <sz val="11"/>
        <color rgb="FFE6E6E6"/>
        <rFont val="Arial"/>
        <family val="0"/>
        <charset val="1"/>
      </rPr>
      <t xml:space="preserve">f2 </t>
    </r>
    <r>
      <rPr>
        <sz val="11"/>
        <color rgb="FFE6E6E6"/>
        <rFont val="Noto Sans CJK SC"/>
        <family val="2"/>
        <charset val="1"/>
      </rPr>
      <t xml:space="preserve">が外れる場合、摩擦材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  <charset val="1"/>
      </rPr>
      <t xml:space="preserve">の周波数依存（粘弾性）が出ている証拠です。それ自体が有用な情報。</t>
    </r>
  </si>
  <si>
    <r>
      <rPr>
        <sz val="11"/>
        <color rgb="FFFF7A7A"/>
        <rFont val="Noto Sans CJK SC"/>
        <family val="2"/>
        <charset val="1"/>
      </rPr>
      <t xml:space="preserve">⑧ せん断補正の </t>
    </r>
    <r>
      <rPr>
        <sz val="11"/>
        <color rgb="FFFF7A7A"/>
        <rFont val="Arial"/>
        <family val="0"/>
        <charset val="1"/>
      </rPr>
      <t xml:space="preserve">ON/OFF </t>
    </r>
    <r>
      <rPr>
        <sz val="11"/>
        <color rgb="FFFF7A7A"/>
        <rFont val="Noto Sans CJK SC"/>
        <family val="2"/>
        <charset val="1"/>
      </rPr>
      <t xml:space="preserve">は「固有振動数」シートと必ず揃えること。片方だけ </t>
    </r>
    <r>
      <rPr>
        <sz val="11"/>
        <color rgb="FFFF7A7A"/>
        <rFont val="Arial"/>
        <family val="0"/>
        <charset val="1"/>
      </rPr>
      <t xml:space="preserve">ON </t>
    </r>
    <r>
      <rPr>
        <sz val="11"/>
        <color rgb="FFFF7A7A"/>
        <rFont val="Noto Sans CJK SC"/>
        <family val="2"/>
        <charset val="1"/>
      </rPr>
      <t xml:space="preserve">だと辻褄が合いません。</t>
    </r>
  </si>
  <si>
    <t xml:space="preserve">⑦ 計算式一覧（コピペ用）</t>
  </si>
  <si>
    <r>
      <rPr>
        <sz val="9"/>
        <color rgb="FFA0A6B0"/>
        <rFont val="Arial"/>
        <family val="0"/>
        <charset val="1"/>
      </rPr>
      <t xml:space="preserve">A</t>
    </r>
    <r>
      <rPr>
        <sz val="9"/>
        <color rgb="FFA0A6B0"/>
        <rFont val="Noto Sans CJK SC"/>
        <family val="2"/>
        <charset val="1"/>
      </rPr>
      <t xml:space="preserve">〜</t>
    </r>
    <r>
      <rPr>
        <sz val="9"/>
        <color rgb="FFA0A6B0"/>
        <rFont val="Arial"/>
        <family val="0"/>
        <charset val="1"/>
      </rPr>
      <t xml:space="preserve">F</t>
    </r>
    <r>
      <rPr>
        <sz val="9"/>
        <color rgb="FFA0A6B0"/>
        <rFont val="Noto Sans CJK SC"/>
        <family val="2"/>
        <charset val="1"/>
      </rPr>
      <t xml:space="preserve">列をそのまま選択コピーすると </t>
    </r>
    <r>
      <rPr>
        <sz val="9"/>
        <color rgb="FFA0A6B0"/>
        <rFont val="Arial"/>
        <family val="0"/>
        <charset val="1"/>
      </rPr>
      <t xml:space="preserve">TSV </t>
    </r>
    <r>
      <rPr>
        <sz val="9"/>
        <color rgb="FFA0A6B0"/>
        <rFont val="Noto Sans CJK SC"/>
        <family val="2"/>
        <charset val="1"/>
      </rPr>
      <t xml:space="preserve">としてどこにでも貼れます。</t>
    </r>
    <r>
      <rPr>
        <sz val="9"/>
        <color rgb="FFA0A6B0"/>
        <rFont val="Arial"/>
        <family val="0"/>
        <charset val="1"/>
      </rPr>
      <t xml:space="preserve">Excel</t>
    </r>
    <r>
      <rPr>
        <sz val="9"/>
        <color rgb="FFA0A6B0"/>
        <rFont val="Noto Sans CJK SC"/>
        <family val="2"/>
        <charset val="1"/>
      </rPr>
      <t xml:space="preserve">式はセル参照を自分の配置に読み替えてください。</t>
    </r>
  </si>
  <si>
    <t xml:space="preserve">項目</t>
  </si>
  <si>
    <t xml:space="preserve">数式（数学表記）</t>
  </si>
  <si>
    <r>
      <rPr>
        <b val="true"/>
        <sz val="10"/>
        <color rgb="FFFFD166"/>
        <rFont val="Arial"/>
        <family val="0"/>
        <charset val="1"/>
      </rPr>
      <t xml:space="preserve">Excel </t>
    </r>
    <r>
      <rPr>
        <b val="true"/>
        <sz val="10"/>
        <color rgb="FFFFD166"/>
        <rFont val="Noto Sans CJK SC"/>
        <family val="2"/>
        <charset val="1"/>
      </rPr>
      <t xml:space="preserve">の書き方（このブック内の実際の式）</t>
    </r>
  </si>
  <si>
    <t xml:space="preserve">単位</t>
  </si>
  <si>
    <t xml:space="preserve">形状</t>
  </si>
  <si>
    <t xml:space="preserve">多角形の面積（シューレース公式）</t>
  </si>
  <si>
    <t xml:space="preserve">A = ½·|Σ(xᵢ·yᵢ₊₁ − xᵢ₊₁·yᵢ)|</t>
  </si>
  <si>
    <t xml:space="preserve">'=ABS(0.5*SUM(I5:I20))</t>
  </si>
  <si>
    <t xml:space="preserve">mm²</t>
  </si>
  <si>
    <r>
      <rPr>
        <b val="true"/>
        <sz val="11"/>
        <color rgb="FF4FD1E5"/>
        <rFont val="Noto Sans CJK SC"/>
        <family val="2"/>
        <charset val="1"/>
      </rPr>
      <t xml:space="preserve">重心</t>
    </r>
    <r>
      <rPr>
        <b val="true"/>
        <sz val="11"/>
        <color rgb="FF4FD1E5"/>
        <rFont val="Arial"/>
        <family val="0"/>
        <charset val="1"/>
      </rPr>
      <t xml:space="preserve">X</t>
    </r>
  </si>
  <si>
    <t xml:space="preserve">Cx = 1/(6A)·Σ(xᵢ+xᵢ₊₁)(xᵢyᵢ₊₁−xᵢ₊₁yᵢ)</t>
  </si>
  <si>
    <t xml:space="preserve">'=SUM(N5:N20)/(6*B23)</t>
  </si>
  <si>
    <t xml:space="preserve">mm</t>
  </si>
  <si>
    <t xml:space="preserve">頂点の内角</t>
  </si>
  <si>
    <t xml:space="preserve">θ = atan2(−s·(v1×v2), v1·v2)</t>
  </si>
  <si>
    <t xml:space="preserve">'=MOD(DEGREES(ATAN2(P5,-$F$3*Q5)),360)</t>
  </si>
  <si>
    <t xml:space="preserve">°</t>
  </si>
  <si>
    <t xml:space="preserve">凹凸判定</t>
  </si>
  <si>
    <r>
      <rPr>
        <b val="true"/>
        <sz val="11"/>
        <color rgb="FFFFD166"/>
        <rFont val="Noto Sans CJK SC"/>
        <family val="2"/>
        <charset val="1"/>
      </rPr>
      <t xml:space="preserve">内角</t>
    </r>
    <r>
      <rPr>
        <b val="true"/>
        <sz val="11"/>
        <color rgb="FFFFD166"/>
        <rFont val="Arial"/>
        <family val="0"/>
        <charset val="1"/>
      </rPr>
      <t xml:space="preserve">&gt;180° </t>
    </r>
    <r>
      <rPr>
        <b val="true"/>
        <sz val="11"/>
        <color rgb="FFFFD166"/>
        <rFont val="Noto Sans CJK SC"/>
        <family val="2"/>
        <charset val="1"/>
      </rPr>
      <t xml:space="preserve">なら入隅（凹）</t>
    </r>
  </si>
  <si>
    <r>
      <rPr>
        <sz val="10"/>
        <color rgb="FF6EE7A0"/>
        <rFont val="Arial"/>
        <family val="0"/>
        <charset val="1"/>
      </rPr>
      <t xml:space="preserve">'=IF(R5&gt;180,"</t>
    </r>
    <r>
      <rPr>
        <sz val="10"/>
        <color rgb="FF6EE7A0"/>
        <rFont val="Noto Sans CJK SC"/>
        <family val="2"/>
        <charset val="1"/>
      </rPr>
      <t xml:space="preserve">入隅</t>
    </r>
    <r>
      <rPr>
        <sz val="10"/>
        <color rgb="FF6EE7A0"/>
        <rFont val="Arial"/>
        <family val="0"/>
        <charset val="1"/>
      </rPr>
      <t xml:space="preserve">(</t>
    </r>
    <r>
      <rPr>
        <sz val="10"/>
        <color rgb="FF6EE7A0"/>
        <rFont val="Noto Sans CJK SC"/>
        <family val="2"/>
        <charset val="1"/>
      </rPr>
      <t xml:space="preserve">凹</t>
    </r>
    <r>
      <rPr>
        <sz val="10"/>
        <color rgb="FF6EE7A0"/>
        <rFont val="Arial"/>
        <family val="0"/>
        <charset val="1"/>
      </rPr>
      <t xml:space="preserve">)","</t>
    </r>
    <r>
      <rPr>
        <sz val="10"/>
        <color rgb="FF6EE7A0"/>
        <rFont val="Noto Sans CJK SC"/>
        <family val="2"/>
        <charset val="1"/>
      </rPr>
      <t xml:space="preserve">出隅</t>
    </r>
    <r>
      <rPr>
        <sz val="10"/>
        <color rgb="FF6EE7A0"/>
        <rFont val="Arial"/>
        <family val="0"/>
        <charset val="1"/>
      </rPr>
      <t xml:space="preserve">(</t>
    </r>
    <r>
      <rPr>
        <sz val="10"/>
        <color rgb="FF6EE7A0"/>
        <rFont val="Noto Sans CJK SC"/>
        <family val="2"/>
        <charset val="1"/>
      </rPr>
      <t xml:space="preserve">凸</t>
    </r>
    <r>
      <rPr>
        <sz val="10"/>
        <color rgb="FF6EE7A0"/>
        <rFont val="Arial"/>
        <family val="0"/>
        <charset val="1"/>
      </rPr>
      <t xml:space="preserve">)")</t>
    </r>
  </si>
  <si>
    <t xml:space="preserve">内角の合計（検算）</t>
  </si>
  <si>
    <t xml:space="preserve">Σθ = (N−2)×180</t>
  </si>
  <si>
    <t xml:space="preserve">'=($F$2-2)*180</t>
  </si>
  <si>
    <r>
      <rPr>
        <b val="true"/>
        <sz val="11"/>
        <color rgb="FF4FD1E5"/>
        <rFont val="Noto Sans CJK SC"/>
        <family val="2"/>
        <charset val="1"/>
      </rPr>
      <t xml:space="preserve">断面二次モーメント </t>
    </r>
    <r>
      <rPr>
        <b val="true"/>
        <sz val="11"/>
        <color rgb="FF4FD1E5"/>
        <rFont val="Arial"/>
        <family val="0"/>
        <charset val="1"/>
      </rPr>
      <t xml:space="preserve">Ixx</t>
    </r>
  </si>
  <si>
    <t xml:space="preserve">Ixx = 1/12·Σ(yᵢ²+yᵢyᵢ₊₁+yᵢ₊₁²)·cᵢ − A·Cy²</t>
  </si>
  <si>
    <t xml:space="preserve">'=$F$3*SUM(K5:K20)/12-$B$24*$B$27^2</t>
  </si>
  <si>
    <t xml:space="preserve">mm⁴</t>
  </si>
  <si>
    <t xml:space="preserve">等価幅</t>
  </si>
  <si>
    <t xml:space="preserve">w = A / L</t>
  </si>
  <si>
    <t xml:space="preserve">'=$B$24/$B$42</t>
  </si>
  <si>
    <t xml:space="preserve">断面</t>
  </si>
  <si>
    <t xml:space="preserve">中立軸（変換断面法）</t>
  </si>
  <si>
    <t xml:space="preserve">ȳ = Σ(Eᵢ·Aᵢ·yᵢ) / Σ(Eᵢ·Aᵢ)</t>
  </si>
  <si>
    <t xml:space="preserve">'=SUM(M8:M11)/SUM(L8:L11)</t>
  </si>
  <si>
    <t xml:space="preserve">m</t>
  </si>
  <si>
    <t xml:space="preserve">曲げ剛性（面外）</t>
  </si>
  <si>
    <t xml:space="preserve">EI = Σ Eᵢ·b·[tᵢ³/12 + tᵢ·(ycᵢ−ȳ)²]</t>
  </si>
  <si>
    <t xml:space="preserve">'=SUM(O8:O11)</t>
  </si>
  <si>
    <t xml:space="preserve">N·m²</t>
  </si>
  <si>
    <t xml:space="preserve">曲げ剛性（面内）</t>
  </si>
  <si>
    <t xml:space="preserve">EI = Σ Eᵢ·tᵢ·b³/12</t>
  </si>
  <si>
    <t xml:space="preserve">'=SUM(P8:P11)</t>
  </si>
  <si>
    <t xml:space="preserve">単位長さ質量</t>
  </si>
  <si>
    <t xml:space="preserve">ρA = Σ ρᵢ·b·tᵢ</t>
  </si>
  <si>
    <t xml:space="preserve">'=SUM(N8:N11)</t>
  </si>
  <si>
    <t xml:space="preserve">kg/m</t>
  </si>
  <si>
    <t xml:space="preserve">軸剛性</t>
  </si>
  <si>
    <t xml:space="preserve">EA = Σ Eᵢ·b·tᵢ</t>
  </si>
  <si>
    <t xml:space="preserve">'=SUM(Q8:Q11)</t>
  </si>
  <si>
    <t xml:space="preserve">N</t>
  </si>
  <si>
    <t xml:space="preserve">せん断弾性率</t>
  </si>
  <si>
    <t xml:space="preserve">G = E / (2(1+ν))</t>
  </si>
  <si>
    <t xml:space="preserve">'=$D$21*1E9/(2*(1+$D$23))</t>
  </si>
  <si>
    <t xml:space="preserve">Pa</t>
  </si>
  <si>
    <r>
      <rPr>
        <b val="true"/>
        <sz val="11"/>
        <color rgb="FF4FD1E5"/>
        <rFont val="Noto Sans CJK SC"/>
        <family val="2"/>
        <charset val="1"/>
      </rPr>
      <t xml:space="preserve">ねじり定数 </t>
    </r>
    <r>
      <rPr>
        <b val="true"/>
        <sz val="11"/>
        <color rgb="FF4FD1E5"/>
        <rFont val="Arial"/>
        <family val="0"/>
        <charset val="1"/>
      </rPr>
      <t xml:space="preserve">β</t>
    </r>
  </si>
  <si>
    <t xml:space="preserve">β = (1/3)(1 − 0.630(h/b) + 0.052(h/b)⁵)</t>
  </si>
  <si>
    <t xml:space="preserve">'=(1/3)*(1-0.630*($D$20/$D$3)+0.052*($D$20/$D$3)^5)</t>
  </si>
  <si>
    <t xml:space="preserve">ねじり剛性</t>
  </si>
  <si>
    <t xml:space="preserve">GJ = G·β·b·h³</t>
  </si>
  <si>
    <t xml:space="preserve">'=$D$24*$D$25*$D$3*$D$20^3</t>
  </si>
  <si>
    <t xml:space="preserve">極慣性（単位長さ）</t>
  </si>
  <si>
    <t xml:space="preserve">ρIp = ρA·(b²+h²)/12</t>
  </si>
  <si>
    <t xml:space="preserve">'=$D$19*($D$3^2+$D$20^2)/12</t>
  </si>
  <si>
    <t xml:space="preserve">kg·m</t>
  </si>
  <si>
    <t xml:space="preserve">振動</t>
  </si>
  <si>
    <t xml:space="preserve">自由−自由 曲げ</t>
  </si>
  <si>
    <t xml:space="preserve">f = (βL)²/(2πL²)·√(EI/ρA)</t>
  </si>
  <si>
    <r>
      <rPr>
        <sz val="10"/>
        <color rgb="FF6EE7A0"/>
        <rFont val="Arial"/>
        <family val="0"/>
        <charset val="1"/>
      </rPr>
      <t xml:space="preserve">'=E6/(2*PI()*'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'!$D$4^2)*SQRT('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'!$D$16/'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'!$D$19)</t>
    </r>
  </si>
  <si>
    <t xml:space="preserve">Hz</t>
  </si>
  <si>
    <r>
      <rPr>
        <b val="true"/>
        <sz val="11"/>
        <color rgb="FF4FD1E5"/>
        <rFont val="Arial"/>
        <family val="0"/>
        <charset val="1"/>
      </rPr>
      <t xml:space="preserve">βL </t>
    </r>
    <r>
      <rPr>
        <b val="true"/>
        <sz val="11"/>
        <color rgb="FF4FD1E5"/>
        <rFont val="Noto Sans CJK SC"/>
        <family val="2"/>
        <charset val="1"/>
      </rPr>
      <t xml:space="preserve">の値</t>
    </r>
  </si>
  <si>
    <t xml:space="preserve">4.730041, 7.853205, 10.995608, 14.137165, 17.278760, 20.420352</t>
  </si>
  <si>
    <r>
      <rPr>
        <sz val="10"/>
        <color rgb="FF6EE7A0"/>
        <rFont val="Noto Sans CJK SC"/>
        <family val="2"/>
        <charset val="1"/>
      </rPr>
      <t xml:space="preserve">（</t>
    </r>
    <r>
      <rPr>
        <sz val="10"/>
        <color rgb="FF6EE7A0"/>
        <rFont val="Arial"/>
        <family val="0"/>
        <charset val="1"/>
      </rPr>
      <t xml:space="preserve">cos(βL)·cosh(βL)=1 </t>
    </r>
    <r>
      <rPr>
        <sz val="10"/>
        <color rgb="FF6EE7A0"/>
        <rFont val="Noto Sans CJK SC"/>
        <family val="2"/>
        <charset val="1"/>
      </rPr>
      <t xml:space="preserve">の解）</t>
    </r>
  </si>
  <si>
    <t xml:space="preserve">周波数比</t>
  </si>
  <si>
    <t xml:space="preserve">1 : 2.7565 : 5.4039 : 8.9331 : 13.3444</t>
  </si>
  <si>
    <r>
      <rPr>
        <sz val="10"/>
        <color rgb="FF6EE7A0"/>
        <rFont val="Arial"/>
        <family val="0"/>
        <charset val="1"/>
      </rPr>
      <t xml:space="preserve">'=C6^2/$C$6^2 </t>
    </r>
    <r>
      <rPr>
        <sz val="10"/>
        <color rgb="FF6EE7A0"/>
        <rFont val="Noto Sans CJK SC"/>
        <family val="2"/>
        <charset val="1"/>
      </rPr>
      <t xml:space="preserve">の形</t>
    </r>
  </si>
  <si>
    <t xml:space="preserve">自由−自由 ねじり</t>
  </si>
  <si>
    <t xml:space="preserve">f = n/(2L)·√(GJ/ρIp)</t>
  </si>
  <si>
    <r>
      <rPr>
        <sz val="10"/>
        <color rgb="FF6EE7A0"/>
        <rFont val="Arial"/>
        <family val="0"/>
        <charset val="1"/>
      </rPr>
      <t xml:space="preserve">'=D12/(2*'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'!$D$4)*SQRT('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'!$D$26/'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'!$D$27)</t>
    </r>
  </si>
  <si>
    <t xml:space="preserve">自由−自由 伸縮</t>
  </si>
  <si>
    <t xml:space="preserve">f = n/(2L)·√(EA/ρA)</t>
  </si>
  <si>
    <r>
      <rPr>
        <sz val="10"/>
        <color rgb="FF6EE7A0"/>
        <rFont val="Arial"/>
        <family val="0"/>
        <charset val="1"/>
      </rPr>
      <t xml:space="preserve">'=D20/(2*'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'!$D$4)*SQRT('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'!$D$18/'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'!$D$19)</t>
    </r>
  </si>
  <si>
    <t xml:space="preserve">波長（曲げ）</t>
  </si>
  <si>
    <t xml:space="preserve">λ = 2πL/(βL)</t>
  </si>
  <si>
    <r>
      <rPr>
        <sz val="10"/>
        <color rgb="FF6EE7A0"/>
        <rFont val="Arial"/>
        <family val="0"/>
        <charset val="1"/>
      </rPr>
      <t xml:space="preserve">'=2*PI()*'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'!$D$4/D6*1000</t>
    </r>
  </si>
  <si>
    <r>
      <rPr>
        <b val="true"/>
        <sz val="11"/>
        <color rgb="FF4FD1E5"/>
        <rFont val="Arial"/>
        <family val="0"/>
        <charset val="1"/>
      </rPr>
      <t xml:space="preserve">Euler</t>
    </r>
    <r>
      <rPr>
        <b val="true"/>
        <sz val="11"/>
        <color rgb="FF4FD1E5"/>
        <rFont val="Noto Sans CJK SC"/>
        <family val="2"/>
        <charset val="1"/>
      </rPr>
      <t xml:space="preserve">梁の適用限界</t>
    </r>
  </si>
  <si>
    <r>
      <rPr>
        <b val="true"/>
        <sz val="11"/>
        <color rgb="FFFFD166"/>
        <rFont val="Arial"/>
        <family val="0"/>
        <charset val="1"/>
      </rPr>
      <t xml:space="preserve">λ / </t>
    </r>
    <r>
      <rPr>
        <b val="true"/>
        <sz val="11"/>
        <color rgb="FFFFD166"/>
        <rFont val="Noto Sans CJK SC"/>
        <family val="2"/>
        <charset val="1"/>
      </rPr>
      <t xml:space="preserve">断面寸法 ≧ </t>
    </r>
    <r>
      <rPr>
        <b val="true"/>
        <sz val="11"/>
        <color rgb="FFFFD166"/>
        <rFont val="Arial"/>
        <family val="0"/>
        <charset val="1"/>
      </rPr>
      <t xml:space="preserve">10</t>
    </r>
  </si>
  <si>
    <r>
      <rPr>
        <sz val="10"/>
        <color rgb="FF6EE7A0"/>
        <rFont val="Arial"/>
        <family val="0"/>
        <charset val="1"/>
      </rPr>
      <t xml:space="preserve">'=G6/('</t>
    </r>
    <r>
      <rPr>
        <sz val="10"/>
        <color rgb="FF6EE7A0"/>
        <rFont val="Noto Sans CJK SC"/>
        <family val="2"/>
        <charset val="1"/>
      </rPr>
      <t xml:space="preserve">断面</t>
    </r>
    <r>
      <rPr>
        <sz val="10"/>
        <color rgb="FF6EE7A0"/>
        <rFont val="Arial"/>
        <family val="0"/>
        <charset val="1"/>
      </rPr>
      <t xml:space="preserve">'!$D$20*1000)</t>
    </r>
  </si>
  <si>
    <t xml:space="preserve">均質板の目安</t>
  </si>
  <si>
    <t xml:space="preserve">f ∝ h/L²·√(E/(12ρ(1−ν²)))</t>
  </si>
  <si>
    <t xml:space="preserve">スペクトル</t>
  </si>
  <si>
    <r>
      <rPr>
        <b val="true"/>
        <sz val="11"/>
        <color rgb="FF4FD1E5"/>
        <rFont val="Arial"/>
        <family val="0"/>
        <charset val="1"/>
      </rPr>
      <t xml:space="preserve">1</t>
    </r>
    <r>
      <rPr>
        <b val="true"/>
        <sz val="11"/>
        <color rgb="FF4FD1E5"/>
        <rFont val="Noto Sans CJK SC"/>
        <family val="2"/>
        <charset val="1"/>
      </rPr>
      <t xml:space="preserve">自由度応答（実部）</t>
    </r>
  </si>
  <si>
    <t xml:space="preserve">Re = Σ Aᵢ(1−rᵢ²)/((1−rᵢ²)²+ηᵢ²), r=f/fᵢ</t>
  </si>
  <si>
    <t xml:space="preserve">'=SUMPRODUCT(A_rng*(1-(f/F_rng)^2)/((1-(f/F_rng)^2)^2+E_rng^2))</t>
  </si>
  <si>
    <r>
      <rPr>
        <b val="true"/>
        <sz val="11"/>
        <color rgb="FF4FD1E5"/>
        <rFont val="Arial"/>
        <family val="0"/>
        <charset val="1"/>
      </rPr>
      <t xml:space="preserve">1</t>
    </r>
    <r>
      <rPr>
        <b val="true"/>
        <sz val="11"/>
        <color rgb="FF4FD1E5"/>
        <rFont val="Noto Sans CJK SC"/>
        <family val="2"/>
        <charset val="1"/>
      </rPr>
      <t xml:space="preserve">自由度応答（虚部）</t>
    </r>
  </si>
  <si>
    <t xml:space="preserve">Im = −Σ Aᵢ·ηᵢ/((1−rᵢ²)²+ηᵢ²)</t>
  </si>
  <si>
    <t xml:space="preserve">'=-SUMPRODUCT(A_rng*E_rng/((1-(f/F_rng)^2)^2+E_rng^2))</t>
  </si>
  <si>
    <t xml:space="preserve">応答の大きさ</t>
  </si>
  <si>
    <t xml:space="preserve">|H| = √(Re²+Im²)</t>
  </si>
  <si>
    <t xml:space="preserve">'=SQRT(B6^2+C6^2)</t>
  </si>
  <si>
    <t xml:space="preserve">レベル</t>
  </si>
  <si>
    <t xml:space="preserve">L = 20·log₁₀(|H|/Href)</t>
  </si>
  <si>
    <t xml:space="preserve">'=20*LOG10(MAX(D6,1E-12)/$K$3)</t>
  </si>
  <si>
    <t xml:space="preserve">dB</t>
  </si>
  <si>
    <t xml:space="preserve">半値幅</t>
  </si>
  <si>
    <t xml:space="preserve">Δf = η·f</t>
  </si>
  <si>
    <t xml:space="preserve">'=M6*L6</t>
  </si>
  <si>
    <t xml:space="preserve">ピーク高さ</t>
  </si>
  <si>
    <t xml:space="preserve">|H|max ≒ A/η</t>
  </si>
  <si>
    <t xml:space="preserve">'=N6/M6</t>
  </si>
  <si>
    <t xml:space="preserve">鳴き</t>
  </si>
  <si>
    <t xml:space="preserve">モード間隔</t>
  </si>
  <si>
    <t xml:space="preserve">Δ = |fᵢ−fⱼ|/fᵢ × 100</t>
  </si>
  <si>
    <t xml:space="preserve">'=ABS($C18-$C19)/$C18*100</t>
  </si>
  <si>
    <t xml:space="preserve">%</t>
  </si>
  <si>
    <t xml:space="preserve">モード密度</t>
  </si>
  <si>
    <r>
      <rPr>
        <b val="true"/>
        <sz val="11"/>
        <color rgb="FFFFD166"/>
        <rFont val="Arial"/>
        <family val="0"/>
        <charset val="1"/>
      </rPr>
      <t xml:space="preserve">D = </t>
    </r>
    <r>
      <rPr>
        <b val="true"/>
        <sz val="11"/>
        <color rgb="FFFFD166"/>
        <rFont val="Noto Sans CJK SC"/>
        <family val="2"/>
        <charset val="1"/>
      </rPr>
      <t xml:space="preserve">帯域内モード数 </t>
    </r>
    <r>
      <rPr>
        <b val="true"/>
        <sz val="11"/>
        <color rgb="FFFFD166"/>
        <rFont val="Arial"/>
        <family val="0"/>
        <charset val="1"/>
      </rPr>
      <t xml:space="preserve">/ </t>
    </r>
    <r>
      <rPr>
        <b val="true"/>
        <sz val="11"/>
        <color rgb="FFFFD166"/>
        <rFont val="Noto Sans CJK SC"/>
        <family val="2"/>
        <charset val="1"/>
      </rPr>
      <t xml:space="preserve">帯域幅</t>
    </r>
    <r>
      <rPr>
        <b val="true"/>
        <sz val="11"/>
        <color rgb="FFFFD166"/>
        <rFont val="Arial"/>
        <family val="0"/>
        <charset val="1"/>
      </rPr>
      <t xml:space="preserve">[kHz]</t>
    </r>
  </si>
  <si>
    <t xml:space="preserve">'=$C$37/(($F$3-$C$3)/1000)</t>
  </si>
  <si>
    <r>
      <rPr>
        <sz val="10"/>
        <color rgb="FFE6E6E6"/>
        <rFont val="Noto Sans CJK SC"/>
        <family val="2"/>
        <charset val="1"/>
      </rPr>
      <t xml:space="preserve">個</t>
    </r>
    <r>
      <rPr>
        <sz val="10"/>
        <color rgb="FFE6E6E6"/>
        <rFont val="Arial"/>
        <family val="0"/>
        <charset val="1"/>
      </rPr>
      <t xml:space="preserve">/kHz</t>
    </r>
  </si>
  <si>
    <r>
      <rPr>
        <b val="true"/>
        <sz val="11"/>
        <color rgb="FF4FD1E5"/>
        <rFont val="Arial"/>
        <family val="0"/>
        <charset val="1"/>
      </rPr>
      <t xml:space="preserve">J2521 </t>
    </r>
    <r>
      <rPr>
        <b val="true"/>
        <sz val="11"/>
        <color rgb="FF4FD1E5"/>
        <rFont val="Noto Sans CJK SC"/>
        <family val="2"/>
        <charset val="1"/>
      </rPr>
      <t xml:space="preserve">帯域</t>
    </r>
  </si>
  <si>
    <r>
      <rPr>
        <b val="true"/>
        <sz val="11"/>
        <color rgb="FFFFD166"/>
        <rFont val="Arial"/>
        <family val="0"/>
        <charset val="1"/>
      </rPr>
      <t xml:space="preserve">1250 </t>
    </r>
    <r>
      <rPr>
        <b val="true"/>
        <sz val="11"/>
        <color rgb="FFFFD166"/>
        <rFont val="Noto Sans CJK SC"/>
        <family val="2"/>
        <charset val="1"/>
      </rPr>
      <t xml:space="preserve">〜 </t>
    </r>
    <r>
      <rPr>
        <b val="true"/>
        <sz val="11"/>
        <color rgb="FFFFD166"/>
        <rFont val="Arial"/>
        <family val="0"/>
        <charset val="1"/>
      </rPr>
      <t xml:space="preserve">16000 Hz</t>
    </r>
  </si>
  <si>
    <t xml:space="preserve">'=AND(f&gt;=1250,f&lt;=16000)</t>
  </si>
  <si>
    <t xml:space="preserve">逆算</t>
  </si>
  <si>
    <r>
      <rPr>
        <b val="true"/>
        <sz val="11"/>
        <color rgb="FF4FD1E5"/>
        <rFont val="Arial"/>
        <family val="0"/>
        <charset val="1"/>
      </rPr>
      <t xml:space="preserve">EI/ρA </t>
    </r>
    <r>
      <rPr>
        <b val="true"/>
        <sz val="11"/>
        <color rgb="FF4FD1E5"/>
        <rFont val="Noto Sans CJK SC"/>
        <family val="2"/>
        <charset val="1"/>
      </rPr>
      <t xml:space="preserve">の逆解き</t>
    </r>
  </si>
  <si>
    <t xml:space="preserve">S = (2π·f₁·L²/(βL)₁²)²</t>
  </si>
  <si>
    <t xml:space="preserve">'=(2*PI()*$D$5*$C$22^2/$C$5)^2</t>
  </si>
  <si>
    <t xml:space="preserve">m⁴/s²</t>
  </si>
  <si>
    <r>
      <rPr>
        <b val="true"/>
        <sz val="11"/>
        <color rgb="FF4FD1E5"/>
        <rFont val="Noto Sans CJK SC"/>
        <family val="2"/>
        <charset val="1"/>
      </rPr>
      <t xml:space="preserve">必要な </t>
    </r>
    <r>
      <rPr>
        <b val="true"/>
        <sz val="11"/>
        <color rgb="FF4FD1E5"/>
        <rFont val="Arial"/>
        <family val="0"/>
        <charset val="1"/>
      </rPr>
      <t xml:space="preserve">EI</t>
    </r>
  </si>
  <si>
    <t xml:space="preserve">EI = S × ρA</t>
  </si>
  <si>
    <t xml:space="preserve">'=$C$27*$C$26</t>
  </si>
  <si>
    <r>
      <rPr>
        <b val="true"/>
        <sz val="11"/>
        <color rgb="FF4FD1E5"/>
        <rFont val="Noto Sans CJK SC"/>
        <family val="2"/>
        <charset val="1"/>
      </rPr>
      <t xml:space="preserve">均質近似の </t>
    </r>
    <r>
      <rPr>
        <b val="true"/>
        <sz val="11"/>
        <color rgb="FF4FD1E5"/>
        <rFont val="Arial"/>
        <family val="0"/>
        <charset val="1"/>
      </rPr>
      <t xml:space="preserve">E/ρ</t>
    </r>
  </si>
  <si>
    <t xml:space="preserve">E/ρ = 12·S/h²</t>
  </si>
  <si>
    <t xml:space="preserve">'=12*$C$27/(h_m)^2</t>
  </si>
  <si>
    <t xml:space="preserve">m²/s²</t>
  </si>
  <si>
    <t xml:space="preserve">二分法の更新</t>
  </si>
  <si>
    <r>
      <rPr>
        <b val="true"/>
        <sz val="11"/>
        <color rgb="FFFFD166"/>
        <rFont val="Arial"/>
        <family val="0"/>
        <charset val="1"/>
      </rPr>
      <t xml:space="preserve">EI(mid)&lt;</t>
    </r>
    <r>
      <rPr>
        <b val="true"/>
        <sz val="11"/>
        <color rgb="FFFFD166"/>
        <rFont val="Noto Sans CJK SC"/>
        <family val="2"/>
        <charset val="1"/>
      </rPr>
      <t xml:space="preserve">目標 → </t>
    </r>
    <r>
      <rPr>
        <b val="true"/>
        <sz val="11"/>
        <color rgb="FFFFD166"/>
        <rFont val="Arial"/>
        <family val="0"/>
        <charset val="1"/>
      </rPr>
      <t xml:space="preserve">lo=mid</t>
    </r>
    <r>
      <rPr>
        <b val="true"/>
        <sz val="11"/>
        <color rgb="FFFFD166"/>
        <rFont val="Noto Sans CJK SC"/>
        <family val="2"/>
        <charset val="1"/>
      </rPr>
      <t xml:space="preserve">、それ以外 → </t>
    </r>
    <r>
      <rPr>
        <b val="true"/>
        <sz val="11"/>
        <color rgb="FFFFD166"/>
        <rFont val="Arial"/>
        <family val="0"/>
        <charset val="1"/>
      </rPr>
      <t xml:space="preserve">hi=mid</t>
    </r>
  </si>
  <si>
    <t xml:space="preserve">'=IF($I35&lt;0,$D35,$B35)</t>
  </si>
  <si>
    <t xml:space="preserve">感度：密度誤差</t>
  </si>
  <si>
    <r>
      <rPr>
        <b val="true"/>
        <sz val="11"/>
        <color rgb="FFFFD166"/>
        <rFont val="Arial"/>
        <family val="0"/>
        <charset val="1"/>
      </rPr>
      <t xml:space="preserve">ΔE/E ≒ Δρ/ρ</t>
    </r>
    <r>
      <rPr>
        <b val="true"/>
        <sz val="11"/>
        <color rgb="FFFFD166"/>
        <rFont val="Noto Sans CJK SC"/>
        <family val="2"/>
        <charset val="1"/>
      </rPr>
      <t xml:space="preserve">（</t>
    </r>
    <r>
      <rPr>
        <b val="true"/>
        <sz val="11"/>
        <color rgb="FFFFD166"/>
        <rFont val="Arial"/>
        <family val="0"/>
        <charset val="1"/>
      </rPr>
      <t xml:space="preserve">f</t>
    </r>
    <r>
      <rPr>
        <b val="true"/>
        <sz val="11"/>
        <color rgb="FFFFD166"/>
        <rFont val="Noto Sans CJK SC"/>
        <family val="2"/>
        <charset val="1"/>
      </rPr>
      <t xml:space="preserve">固定のとき）</t>
    </r>
  </si>
  <si>
    <t xml:space="preserve">感度：裏板厚さ</t>
  </si>
  <si>
    <t xml:space="preserve">ΔEI/EI ≒ 3·Δt/t</t>
  </si>
  <si>
    <r>
      <rPr>
        <b val="true"/>
        <sz val="12"/>
        <color rgb="FFFFA45B"/>
        <rFont val="Arial"/>
        <family val="0"/>
        <charset val="1"/>
      </rPr>
      <t xml:space="preserve">■ Excel</t>
    </r>
    <r>
      <rPr>
        <b val="true"/>
        <sz val="12"/>
        <color rgb="FFFFA45B"/>
        <rFont val="Noto Sans CJK SC"/>
        <family val="2"/>
        <charset val="1"/>
      </rPr>
      <t xml:space="preserve">に貼るときの最小サンプル（例：</t>
    </r>
    <r>
      <rPr>
        <b val="true"/>
        <sz val="12"/>
        <color rgb="FFFFA45B"/>
        <rFont val="Arial"/>
        <family val="0"/>
        <charset val="1"/>
      </rPr>
      <t xml:space="preserve">1+1=2</t>
    </r>
    <r>
      <rPr>
        <b val="true"/>
        <sz val="12"/>
        <color rgb="FFFFA45B"/>
        <rFont val="Noto Sans CJK SC"/>
        <family val="2"/>
        <charset val="1"/>
      </rPr>
      <t xml:space="preserve">）</t>
    </r>
  </si>
  <si>
    <r>
      <rPr>
        <sz val="11"/>
        <color rgb="FF6EE7A0"/>
        <rFont val="Noto Sans CJK SC"/>
        <family val="2"/>
        <charset val="1"/>
      </rPr>
      <t xml:space="preserve">セル </t>
    </r>
    <r>
      <rPr>
        <sz val="11"/>
        <color rgb="FF6EE7A0"/>
        <rFont val="Arial"/>
        <family val="0"/>
        <charset val="1"/>
      </rPr>
      <t xml:space="preserve">A1 </t>
    </r>
    <r>
      <rPr>
        <sz val="11"/>
        <color rgb="FF6EE7A0"/>
        <rFont val="Noto Sans CJK SC"/>
        <family val="2"/>
        <charset val="1"/>
      </rPr>
      <t xml:space="preserve">に  </t>
    </r>
    <r>
      <rPr>
        <sz val="11"/>
        <color rgb="FF6EE7A0"/>
        <rFont val="Arial"/>
        <family val="0"/>
        <charset val="1"/>
      </rPr>
      <t xml:space="preserve">1</t>
    </r>
  </si>
  <si>
    <r>
      <rPr>
        <sz val="11"/>
        <color rgb="FF6EE7A0"/>
        <rFont val="Noto Sans CJK SC"/>
        <family val="2"/>
        <charset val="1"/>
      </rPr>
      <t xml:space="preserve">セル </t>
    </r>
    <r>
      <rPr>
        <sz val="11"/>
        <color rgb="FF6EE7A0"/>
        <rFont val="Arial"/>
        <family val="0"/>
        <charset val="1"/>
      </rPr>
      <t xml:space="preserve">B1 </t>
    </r>
    <r>
      <rPr>
        <sz val="11"/>
        <color rgb="FF6EE7A0"/>
        <rFont val="Noto Sans CJK SC"/>
        <family val="2"/>
        <charset val="1"/>
      </rPr>
      <t xml:space="preserve">に  </t>
    </r>
    <r>
      <rPr>
        <sz val="11"/>
        <color rgb="FF6EE7A0"/>
        <rFont val="Arial"/>
        <family val="0"/>
        <charset val="1"/>
      </rPr>
      <t xml:space="preserve">1</t>
    </r>
  </si>
  <si>
    <r>
      <rPr>
        <sz val="11"/>
        <color rgb="FF6EE7A0"/>
        <rFont val="Noto Sans CJK SC"/>
        <family val="2"/>
        <charset val="1"/>
      </rPr>
      <t xml:space="preserve">セル </t>
    </r>
    <r>
      <rPr>
        <sz val="11"/>
        <color rgb="FF6EE7A0"/>
        <rFont val="Arial"/>
        <family val="0"/>
        <charset val="1"/>
      </rPr>
      <t xml:space="preserve">C1 </t>
    </r>
    <r>
      <rPr>
        <sz val="11"/>
        <color rgb="FF6EE7A0"/>
        <rFont val="Noto Sans CJK SC"/>
        <family val="2"/>
        <charset val="1"/>
      </rPr>
      <t xml:space="preserve">に  </t>
    </r>
    <r>
      <rPr>
        <sz val="11"/>
        <color rgb="FF6EE7A0"/>
        <rFont val="Arial"/>
        <family val="0"/>
        <charset val="1"/>
      </rPr>
      <t xml:space="preserve">=A1+B1  → 2 </t>
    </r>
    <r>
      <rPr>
        <sz val="11"/>
        <color rgb="FF6EE7A0"/>
        <rFont val="Noto Sans CJK SC"/>
        <family val="2"/>
        <charset val="1"/>
      </rPr>
      <t xml:space="preserve">が出る</t>
    </r>
  </si>
  <si>
    <r>
      <rPr>
        <sz val="11"/>
        <color rgb="FF4FD1E5"/>
        <rFont val="Noto Sans CJK SC"/>
        <family val="2"/>
        <charset val="1"/>
      </rPr>
      <t xml:space="preserve">同じ要領で、</t>
    </r>
    <r>
      <rPr>
        <sz val="11"/>
        <color rgb="FF4FD1E5"/>
        <rFont val="Arial"/>
        <family val="0"/>
        <charset val="1"/>
      </rPr>
      <t xml:space="preserve">A1</t>
    </r>
    <r>
      <rPr>
        <sz val="11"/>
        <color rgb="FF4FD1E5"/>
        <rFont val="Noto Sans CJK SC"/>
        <family val="2"/>
        <charset val="1"/>
      </rPr>
      <t xml:space="preserve">に</t>
    </r>
    <r>
      <rPr>
        <sz val="11"/>
        <color rgb="FF4FD1E5"/>
        <rFont val="Arial"/>
        <family val="0"/>
        <charset val="1"/>
      </rPr>
      <t xml:space="preserve">(βL)²</t>
    </r>
    <r>
      <rPr>
        <sz val="11"/>
        <color rgb="FF4FD1E5"/>
        <rFont val="Noto Sans CJK SC"/>
        <family val="2"/>
        <charset val="1"/>
      </rPr>
      <t xml:space="preserve">、</t>
    </r>
    <r>
      <rPr>
        <sz val="11"/>
        <color rgb="FF4FD1E5"/>
        <rFont val="Arial"/>
        <family val="0"/>
        <charset val="1"/>
      </rPr>
      <t xml:space="preserve">B1</t>
    </r>
    <r>
      <rPr>
        <sz val="11"/>
        <color rgb="FF4FD1E5"/>
        <rFont val="Noto Sans CJK SC"/>
        <family val="2"/>
        <charset val="1"/>
      </rPr>
      <t xml:space="preserve">に</t>
    </r>
    <r>
      <rPr>
        <sz val="11"/>
        <color rgb="FF4FD1E5"/>
        <rFont val="Arial"/>
        <family val="0"/>
        <charset val="1"/>
      </rPr>
      <t xml:space="preserve">L[m]</t>
    </r>
    <r>
      <rPr>
        <sz val="11"/>
        <color rgb="FF4FD1E5"/>
        <rFont val="Noto Sans CJK SC"/>
        <family val="2"/>
        <charset val="1"/>
      </rPr>
      <t xml:space="preserve">、</t>
    </r>
    <r>
      <rPr>
        <sz val="11"/>
        <color rgb="FF4FD1E5"/>
        <rFont val="Arial"/>
        <family val="0"/>
        <charset val="1"/>
      </rPr>
      <t xml:space="preserve">C1</t>
    </r>
    <r>
      <rPr>
        <sz val="11"/>
        <color rgb="FF4FD1E5"/>
        <rFont val="Noto Sans CJK SC"/>
        <family val="2"/>
        <charset val="1"/>
      </rPr>
      <t xml:space="preserve">に</t>
    </r>
    <r>
      <rPr>
        <sz val="11"/>
        <color rgb="FF4FD1E5"/>
        <rFont val="Arial"/>
        <family val="0"/>
        <charset val="1"/>
      </rPr>
      <t xml:space="preserve">EI</t>
    </r>
    <r>
      <rPr>
        <sz val="11"/>
        <color rgb="FF4FD1E5"/>
        <rFont val="Noto Sans CJK SC"/>
        <family val="2"/>
        <charset val="1"/>
      </rPr>
      <t xml:space="preserve">、</t>
    </r>
    <r>
      <rPr>
        <sz val="11"/>
        <color rgb="FF4FD1E5"/>
        <rFont val="Arial"/>
        <family val="0"/>
        <charset val="1"/>
      </rPr>
      <t xml:space="preserve">D1</t>
    </r>
    <r>
      <rPr>
        <sz val="11"/>
        <color rgb="FF4FD1E5"/>
        <rFont val="Noto Sans CJK SC"/>
        <family val="2"/>
        <charset val="1"/>
      </rPr>
      <t xml:space="preserve">に</t>
    </r>
    <r>
      <rPr>
        <sz val="11"/>
        <color rgb="FF4FD1E5"/>
        <rFont val="Arial"/>
        <family val="0"/>
        <charset val="1"/>
      </rPr>
      <t xml:space="preserve">ρA</t>
    </r>
    <r>
      <rPr>
        <sz val="11"/>
        <color rgb="FF4FD1E5"/>
        <rFont val="Noto Sans CJK SC"/>
        <family val="2"/>
        <charset val="1"/>
      </rPr>
      <t xml:space="preserve">、</t>
    </r>
    <r>
      <rPr>
        <sz val="11"/>
        <color rgb="FF4FD1E5"/>
        <rFont val="Arial"/>
        <family val="0"/>
        <charset val="1"/>
      </rPr>
      <t xml:space="preserve">E1</t>
    </r>
    <r>
      <rPr>
        <sz val="11"/>
        <color rgb="FF4FD1E5"/>
        <rFont val="Noto Sans CJK SC"/>
        <family val="2"/>
        <charset val="1"/>
      </rPr>
      <t xml:space="preserve">に  </t>
    </r>
    <r>
      <rPr>
        <sz val="11"/>
        <color rgb="FF4FD1E5"/>
        <rFont val="Arial"/>
        <family val="0"/>
        <charset val="1"/>
      </rPr>
      <t xml:space="preserve">=A1/(2*PI()*B1^2)*SQRT(C1/D1)  </t>
    </r>
    <r>
      <rPr>
        <sz val="11"/>
        <color rgb="FF4FD1E5"/>
        <rFont val="Noto Sans CJK SC"/>
        <family val="2"/>
        <charset val="1"/>
      </rPr>
      <t xml:space="preserve">と入れれば固有振動数が出ます。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</si>
</sst>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"/>
    <numFmt numFmtId="167" formatCode="0.00"/>
    <numFmt numFmtId="168" formatCode="0.0000"/>
    <numFmt numFmtId="169" formatCode="0.0"/>
    <numFmt numFmtId="170" formatCode="General"/>
    <numFmt numFmtId="171" formatCode="0.000000"/>
    <numFmt numFmtId="172" formatCode="0.00000"/>
    <numFmt numFmtId="173" formatCode="0.00E+00"/>
  </numFmts>
  <fonts count="7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FD1E5"/>
      <name val="Noto Sans CJK SC"/>
      <family val="2"/>
      <charset val="1"/>
    </font>
    <font>
      <sz val="11"/>
      <color rgb="FFE6E6E6"/>
      <name val="Calibri"/>
      <family val="2"/>
      <charset val="1"/>
    </font>
    <font>
      <sz val="9"/>
      <color rgb="FFA0A6B0"/>
      <name val="Noto Sans CJK SC"/>
      <family val="2"/>
      <charset val="1"/>
    </font>
    <font>
      <sz val="9"/>
      <color rgb="FFA0A6B0"/>
      <name val="Arial"/>
      <family val="0"/>
      <charset val="1"/>
    </font>
    <font>
      <b val="true"/>
      <sz val="12"/>
      <color rgb="FFFFA45B"/>
      <name val="Noto Sans CJK SC"/>
      <family val="2"/>
      <charset val="1"/>
    </font>
    <font>
      <b val="true"/>
      <sz val="11"/>
      <color rgb="FF4FD1E5"/>
      <name val="Noto Sans CJK SC"/>
      <family val="2"/>
      <charset val="1"/>
    </font>
    <font>
      <sz val="11"/>
      <color rgb="FFE6E6E6"/>
      <name val="Noto Sans CJK SC"/>
      <family val="2"/>
      <charset val="1"/>
    </font>
    <font>
      <sz val="10"/>
      <color rgb="FFA0A6B0"/>
      <name val="Noto Sans CJK SC"/>
      <family val="2"/>
      <charset val="1"/>
    </font>
    <font>
      <sz val="11"/>
      <color rgb="FFE6E6E6"/>
      <name val="Arial"/>
      <family val="0"/>
      <charset val="1"/>
    </font>
    <font>
      <b val="true"/>
      <sz val="11"/>
      <color rgb="FF4FD1E5"/>
      <name val="Arial"/>
      <family val="0"/>
      <charset val="1"/>
    </font>
    <font>
      <sz val="10"/>
      <color rgb="FFA0A6B0"/>
      <name val="Arial"/>
      <family val="0"/>
      <charset val="1"/>
    </font>
    <font>
      <sz val="10"/>
      <color rgb="FFA0A6B0"/>
      <name val="Calibri"/>
      <family val="2"/>
      <charset val="1"/>
    </font>
    <font>
      <b val="true"/>
      <sz val="10"/>
      <color rgb="FFFFD166"/>
      <name val="Noto Sans CJK SC"/>
      <family val="2"/>
      <charset val="1"/>
    </font>
    <font>
      <b val="true"/>
      <sz val="10"/>
      <color rgb="FFFFD166"/>
      <name val="Arial"/>
      <family val="0"/>
      <charset val="1"/>
    </font>
    <font>
      <sz val="10"/>
      <color rgb="FFFFA45B"/>
      <name val="Noto Sans CJK SC"/>
      <family val="2"/>
      <charset val="1"/>
    </font>
    <font>
      <sz val="10"/>
      <color rgb="FFFFA45B"/>
      <name val="Arial"/>
      <family val="0"/>
      <charset val="1"/>
    </font>
    <font>
      <sz val="10"/>
      <color rgb="FFFF7A7A"/>
      <name val="Noto Sans CJK SC"/>
      <family val="2"/>
      <charset val="1"/>
    </font>
    <font>
      <sz val="10"/>
      <color rgb="FFFF7A7A"/>
      <name val="Arial"/>
      <family val="0"/>
      <charset val="1"/>
    </font>
    <font>
      <b val="true"/>
      <sz val="11"/>
      <color rgb="FFFFD166"/>
      <name val="Noto Sans CJK SC"/>
      <family val="2"/>
      <charset val="1"/>
    </font>
    <font>
      <b val="true"/>
      <sz val="11"/>
      <color rgb="FFFFD166"/>
      <name val="Arial"/>
      <family val="0"/>
      <charset val="1"/>
    </font>
    <font>
      <b val="true"/>
      <sz val="12"/>
      <color rgb="FF6EE7A0"/>
      <name val="Arial"/>
      <family val="0"/>
      <charset val="1"/>
    </font>
    <font>
      <b val="true"/>
      <sz val="11"/>
      <color rgb="FFFFA45B"/>
      <name val="Noto Sans CJK SC"/>
      <family val="2"/>
      <charset val="1"/>
    </font>
    <font>
      <b val="true"/>
      <sz val="11"/>
      <color rgb="FFFFA45B"/>
      <name val="Arial"/>
      <family val="0"/>
      <charset val="1"/>
    </font>
    <font>
      <b val="true"/>
      <sz val="10"/>
      <color rgb="FFA0A6B0"/>
      <name val="Arial"/>
      <family val="0"/>
      <charset val="1"/>
    </font>
    <font>
      <sz val="11"/>
      <color rgb="FFC792EA"/>
      <name val="Arial"/>
      <family val="0"/>
      <charset val="1"/>
    </font>
    <font>
      <b val="true"/>
      <sz val="10"/>
      <color rgb="FFE6E6E6"/>
      <name val="Noto Sans CJK SC"/>
      <family val="2"/>
      <charset val="1"/>
    </font>
    <font>
      <b val="true"/>
      <sz val="10"/>
      <color rgb="FF4FD1E5"/>
      <name val="Arial"/>
      <family val="0"/>
      <charset val="1"/>
    </font>
    <font>
      <b val="true"/>
      <sz val="10"/>
      <color rgb="FF4FD1E5"/>
      <name val="Noto Sans CJK SC"/>
      <family val="2"/>
      <charset val="1"/>
    </font>
    <font>
      <b val="true"/>
      <sz val="9"/>
      <color rgb="FFFFD166"/>
      <name val="Arial"/>
      <family val="0"/>
      <charset val="1"/>
    </font>
    <font>
      <sz val="10"/>
      <color rgb="FFE6E6E6"/>
      <name val="Arial"/>
      <family val="0"/>
      <charset val="1"/>
    </font>
    <font>
      <b val="true"/>
      <sz val="11"/>
      <color rgb="FF6EE7A0"/>
      <name val="Arial"/>
      <family val="0"/>
      <charset val="1"/>
    </font>
    <font>
      <b val="true"/>
      <sz val="12"/>
      <color rgb="FFFFA45B"/>
      <name val="Arial"/>
      <family val="0"/>
      <charset val="1"/>
    </font>
    <font>
      <sz val="9"/>
      <color rgb="FFE6E6E6"/>
      <name val="Calibri"/>
      <family val="2"/>
      <charset val="1"/>
    </font>
    <font>
      <sz val="9"/>
      <color rgb="FFFF7A7A"/>
      <name val="Arial"/>
      <family val="0"/>
      <charset val="1"/>
    </font>
    <font>
      <sz val="9"/>
      <color rgb="FFFF7A7A"/>
      <name val="Noto Sans CJK SC"/>
      <family val="2"/>
      <charset val="1"/>
    </font>
    <font>
      <b val="true"/>
      <sz val="16"/>
      <color rgb="FF4FD1E5"/>
      <name val="Arial"/>
      <family val="0"/>
      <charset val="1"/>
    </font>
    <font>
      <sz val="11"/>
      <color rgb="FF4FD1E5"/>
      <name val="Noto Sans CJK SC"/>
      <family val="2"/>
      <charset val="1"/>
    </font>
    <font>
      <sz val="11"/>
      <color rgb="FF4FD1E5"/>
      <name val="Arial"/>
      <family val="0"/>
      <charset val="1"/>
    </font>
    <font>
      <b val="true"/>
      <sz val="11"/>
      <color rgb="FFFFA45B"/>
      <name val="Calibri"/>
      <family val="2"/>
      <charset val="1"/>
    </font>
    <font>
      <b val="true"/>
      <sz val="10"/>
      <color rgb="FFA0A6B0"/>
      <name val="Noto Sans CJK SC"/>
      <family val="2"/>
      <charset val="1"/>
    </font>
    <font>
      <b val="true"/>
      <sz val="10"/>
      <color rgb="FFFFA45B"/>
      <name val="Arial"/>
      <family val="0"/>
      <charset val="1"/>
    </font>
    <font>
      <sz val="10"/>
      <color rgb="FFE6E6E6"/>
      <name val="Noto Sans CJK SC"/>
      <family val="2"/>
      <charset val="1"/>
    </font>
    <font>
      <b val="true"/>
      <sz val="11"/>
      <color rgb="FFC792EA"/>
      <name val="Noto Sans CJK SC"/>
      <family val="2"/>
      <charset val="1"/>
    </font>
    <font>
      <b val="true"/>
      <sz val="11"/>
      <color rgb="FF6EE7A0"/>
      <name val="Noto Sans CJK SC"/>
      <family val="2"/>
      <charset val="1"/>
    </font>
    <font>
      <sz val="11"/>
      <color rgb="FFFFD166"/>
      <name val="Noto Sans CJK SC"/>
      <family val="2"/>
      <charset val="1"/>
    </font>
    <font>
      <sz val="11"/>
      <color rgb="FFFFD166"/>
      <name val="Arial"/>
      <family val="0"/>
      <charset val="1"/>
    </font>
    <font>
      <sz val="11"/>
      <color rgb="FFC792EA"/>
      <name val="Noto Sans CJK SC"/>
      <family val="2"/>
      <charset val="1"/>
    </font>
    <font>
      <sz val="11"/>
      <color rgb="FFFFA45B"/>
      <name val="Noto Sans CJK SC"/>
      <family val="2"/>
      <charset val="1"/>
    </font>
    <font>
      <sz val="11"/>
      <color rgb="FFFFA45B"/>
      <name val="Arial"/>
      <family val="0"/>
      <charset val="1"/>
    </font>
    <font>
      <sz val="11"/>
      <color rgb="FFFF7A7A"/>
      <name val="Noto Sans CJK SC"/>
      <family val="2"/>
      <charset val="1"/>
    </font>
    <font>
      <sz val="11"/>
      <color rgb="FFFF7A7A"/>
      <name val="Arial"/>
      <family val="0"/>
      <charset val="1"/>
    </font>
    <font>
      <sz val="11"/>
      <color rgb="FFA0A6B0"/>
      <name val="Arial"/>
      <family val="0"/>
      <charset val="1"/>
    </font>
    <font>
      <sz val="9"/>
      <color rgb="FF6EE7A0"/>
      <name val="Arial"/>
      <family val="0"/>
      <charset val="1"/>
    </font>
    <font>
      <b val="true"/>
      <sz val="18"/>
      <color rgb="FF000000"/>
      <name val="Noto Sans CJK JP"/>
      <family val="2"/>
    </font>
    <font>
      <b val="true"/>
      <sz val="18"/>
      <color rgb="FF000000"/>
      <name val="Calibri"/>
      <family val="2"/>
    </font>
    <font>
      <sz val="10"/>
      <color rgb="FF000000"/>
      <name val="Noto Sans CJK JP"/>
      <family val="2"/>
    </font>
    <font>
      <b val="true"/>
      <sz val="10"/>
      <color rgb="FF000000"/>
      <name val="Calibri"/>
      <family val="2"/>
    </font>
    <font>
      <b val="true"/>
      <sz val="11"/>
      <color rgb="FFC792EA"/>
      <name val="Arial"/>
      <family val="0"/>
      <charset val="1"/>
    </font>
    <font>
      <b val="true"/>
      <sz val="11"/>
      <color rgb="FFE6E6E6"/>
      <name val="Noto Sans CJK SC"/>
      <family val="2"/>
      <charset val="1"/>
    </font>
    <font>
      <sz val="8"/>
      <color rgb="FFA0A6B0"/>
      <name val="Arial"/>
      <family val="0"/>
      <charset val="1"/>
    </font>
    <font>
      <sz val="11"/>
      <color rgb="FF6EE7A0"/>
      <name val="Noto Sans CJK SC"/>
      <family val="2"/>
      <charset val="1"/>
    </font>
    <font>
      <sz val="11"/>
      <color rgb="FF6EE7A0"/>
      <name val="Arial"/>
      <family val="0"/>
      <charset val="1"/>
    </font>
    <font>
      <b val="true"/>
      <sz val="9"/>
      <color rgb="FFA0A6B0"/>
      <name val="Arial"/>
      <family val="0"/>
      <charset val="1"/>
    </font>
    <font>
      <b val="true"/>
      <sz val="9"/>
      <color rgb="FF4FD1E5"/>
      <name val="Arial"/>
      <family val="0"/>
      <charset val="1"/>
    </font>
    <font>
      <b val="true"/>
      <sz val="10"/>
      <color rgb="FFC792EA"/>
      <name val="Noto Sans CJK SC"/>
      <family val="2"/>
      <charset val="1"/>
    </font>
    <font>
      <sz val="10"/>
      <color rgb="FF6EE7A0"/>
      <name val="Arial"/>
      <family val="0"/>
      <charset val="1"/>
    </font>
    <font>
      <b val="true"/>
      <sz val="11"/>
      <color rgb="FFE6E6E6"/>
      <name val="Calibri"/>
      <family val="2"/>
      <charset val="1"/>
    </font>
    <font>
      <sz val="10"/>
      <color rgb="FF6EE7A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3294B"/>
        <bgColor rgb="FF12302A"/>
      </patternFill>
    </fill>
    <fill>
      <patternFill patternType="solid">
        <fgColor rgb="FF1B1D23"/>
        <bgColor rgb="FF23262E"/>
      </patternFill>
    </fill>
    <fill>
      <patternFill patternType="solid">
        <fgColor rgb="FF2F3A4A"/>
        <bgColor rgb="FF1B3A5C"/>
      </patternFill>
    </fill>
    <fill>
      <patternFill patternType="solid">
        <fgColor rgb="FF23262E"/>
        <bgColor rgb="FF1B1D23"/>
      </patternFill>
    </fill>
    <fill>
      <patternFill patternType="solid">
        <fgColor rgb="FF2A1B2E"/>
        <bgColor rgb="FF1B1D23"/>
      </patternFill>
    </fill>
    <fill>
      <patternFill patternType="solid">
        <fgColor rgb="FF12302A"/>
        <bgColor rgb="FF23262E"/>
      </patternFill>
    </fill>
    <fill>
      <patternFill patternType="solid">
        <fgColor rgb="FF3A2E12"/>
        <bgColor rgb="FF2326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4C5A"/>
      </left>
      <right style="thin">
        <color rgb="FF444C5A"/>
      </right>
      <top style="thin">
        <color rgb="FF444C5A"/>
      </top>
      <bottom style="thin">
        <color rgb="FF444C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B1D23"/>
      <rgbColor rgb="FF808000"/>
      <rgbColor rgb="FF800080"/>
      <rgbColor rgb="FF008080"/>
      <rgbColor rgb="FFC0C0C0"/>
      <rgbColor rgb="FF878787"/>
      <rgbColor rgb="FF9999FF"/>
      <rgbColor rgb="FF444C5A"/>
      <rgbColor rgb="FFE6E6E6"/>
      <rgbColor rgb="FFCCFFFF"/>
      <rgbColor rgb="FF23262E"/>
      <rgbColor rgb="FFFF7A7A"/>
      <rgbColor rgb="FF0066CC"/>
      <rgbColor rgb="FFD9D9D9"/>
      <rgbColor rgb="FF2A1B2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EE7A0"/>
      <rgbColor rgb="FFFF99CC"/>
      <rgbColor rgb="FFC792EA"/>
      <rgbColor rgb="FFFFD166"/>
      <rgbColor rgb="FF3366FF"/>
      <rgbColor rgb="FF4FD1E5"/>
      <rgbColor rgb="FF99CC00"/>
      <rgbColor rgb="FFFFCC00"/>
      <rgbColor rgb="FFFFA45B"/>
      <rgbColor rgb="FFFF6600"/>
      <rgbColor rgb="FF4A7EBB"/>
      <rgbColor rgb="FFA0A6B0"/>
      <rgbColor rgb="FF13294B"/>
      <rgbColor rgb="FF339966"/>
      <rgbColor rgb="FF12302A"/>
      <rgbColor rgb="FF3A2E12"/>
      <rgbColor rgb="FF993300"/>
      <rgbColor rgb="FF993366"/>
      <rgbColor rgb="FF1B3A5C"/>
      <rgbColor rgb="FF2F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予測スペクトル（レベル dB）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スペクトル!E5</c:f>
              <c:strCache>
                <c:ptCount val="1"/>
                <c:pt idx="0">
                  <c:v>レベル [dB]</c:v>
                </c:pt>
              </c:strCache>
            </c:strRef>
          </c:tx>
          <c:spPr>
            <a:solidFill>
              <a:srgbClr val="4a7ebb"/>
            </a:solidFill>
            <a:ln w="118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スペクトル!$A$6:$A$2006</c:f>
              <c:strCache>
                <c:ptCount val="2001"/>
                <c:pt idx="0">
                  <c:v>0.0</c:v>
                </c:pt>
                <c:pt idx="1">
                  <c:v>10.0</c:v>
                </c:pt>
                <c:pt idx="2">
                  <c:v>20.0</c:v>
                </c:pt>
                <c:pt idx="3">
                  <c:v>30.0</c:v>
                </c:pt>
                <c:pt idx="4">
                  <c:v>40.0</c:v>
                </c:pt>
                <c:pt idx="5">
                  <c:v>50.0</c:v>
                </c:pt>
                <c:pt idx="6">
                  <c:v>60.0</c:v>
                </c:pt>
                <c:pt idx="7">
                  <c:v>70.0</c:v>
                </c:pt>
                <c:pt idx="8">
                  <c:v>80.0</c:v>
                </c:pt>
                <c:pt idx="9">
                  <c:v>90.0</c:v>
                </c:pt>
                <c:pt idx="10">
                  <c:v>100.0</c:v>
                </c:pt>
                <c:pt idx="11">
                  <c:v>110.0</c:v>
                </c:pt>
                <c:pt idx="12">
                  <c:v>120.0</c:v>
                </c:pt>
                <c:pt idx="13">
                  <c:v>130.0</c:v>
                </c:pt>
                <c:pt idx="14">
                  <c:v>140.0</c:v>
                </c:pt>
                <c:pt idx="15">
                  <c:v>150.0</c:v>
                </c:pt>
                <c:pt idx="16">
                  <c:v>160.0</c:v>
                </c:pt>
                <c:pt idx="17">
                  <c:v>170.0</c:v>
                </c:pt>
                <c:pt idx="18">
                  <c:v>180.0</c:v>
                </c:pt>
                <c:pt idx="19">
                  <c:v>190.0</c:v>
                </c:pt>
                <c:pt idx="20">
                  <c:v>200.0</c:v>
                </c:pt>
                <c:pt idx="21">
                  <c:v>210.0</c:v>
                </c:pt>
                <c:pt idx="22">
                  <c:v>220.0</c:v>
                </c:pt>
                <c:pt idx="23">
                  <c:v>230.0</c:v>
                </c:pt>
                <c:pt idx="24">
                  <c:v>240.0</c:v>
                </c:pt>
                <c:pt idx="25">
                  <c:v>250.0</c:v>
                </c:pt>
                <c:pt idx="26">
                  <c:v>260.0</c:v>
                </c:pt>
                <c:pt idx="27">
                  <c:v>270.0</c:v>
                </c:pt>
                <c:pt idx="28">
                  <c:v>280.0</c:v>
                </c:pt>
                <c:pt idx="29">
                  <c:v>290.0</c:v>
                </c:pt>
                <c:pt idx="30">
                  <c:v>300.0</c:v>
                </c:pt>
                <c:pt idx="31">
                  <c:v>310.0</c:v>
                </c:pt>
                <c:pt idx="32">
                  <c:v>320.0</c:v>
                </c:pt>
                <c:pt idx="33">
                  <c:v>330.0</c:v>
                </c:pt>
                <c:pt idx="34">
                  <c:v>340.0</c:v>
                </c:pt>
                <c:pt idx="35">
                  <c:v>350.0</c:v>
                </c:pt>
                <c:pt idx="36">
                  <c:v>360.0</c:v>
                </c:pt>
                <c:pt idx="37">
                  <c:v>370.0</c:v>
                </c:pt>
                <c:pt idx="38">
                  <c:v>380.0</c:v>
                </c:pt>
                <c:pt idx="39">
                  <c:v>390.0</c:v>
                </c:pt>
                <c:pt idx="40">
                  <c:v>400.0</c:v>
                </c:pt>
                <c:pt idx="41">
                  <c:v>410.0</c:v>
                </c:pt>
                <c:pt idx="42">
                  <c:v>420.0</c:v>
                </c:pt>
                <c:pt idx="43">
                  <c:v>430.0</c:v>
                </c:pt>
                <c:pt idx="44">
                  <c:v>440.0</c:v>
                </c:pt>
                <c:pt idx="45">
                  <c:v>450.0</c:v>
                </c:pt>
                <c:pt idx="46">
                  <c:v>460.0</c:v>
                </c:pt>
                <c:pt idx="47">
                  <c:v>470.0</c:v>
                </c:pt>
                <c:pt idx="48">
                  <c:v>480.0</c:v>
                </c:pt>
                <c:pt idx="49">
                  <c:v>490.0</c:v>
                </c:pt>
                <c:pt idx="50">
                  <c:v>500.0</c:v>
                </c:pt>
                <c:pt idx="51">
                  <c:v>510.0</c:v>
                </c:pt>
                <c:pt idx="52">
                  <c:v>520.0</c:v>
                </c:pt>
                <c:pt idx="53">
                  <c:v>530.0</c:v>
                </c:pt>
                <c:pt idx="54">
                  <c:v>540.0</c:v>
                </c:pt>
                <c:pt idx="55">
                  <c:v>550.0</c:v>
                </c:pt>
                <c:pt idx="56">
                  <c:v>560.0</c:v>
                </c:pt>
                <c:pt idx="57">
                  <c:v>570.0</c:v>
                </c:pt>
                <c:pt idx="58">
                  <c:v>580.0</c:v>
                </c:pt>
                <c:pt idx="59">
                  <c:v>590.0</c:v>
                </c:pt>
                <c:pt idx="60">
                  <c:v>600.0</c:v>
                </c:pt>
                <c:pt idx="61">
                  <c:v>610.0</c:v>
                </c:pt>
                <c:pt idx="62">
                  <c:v>620.0</c:v>
                </c:pt>
                <c:pt idx="63">
                  <c:v>630.0</c:v>
                </c:pt>
                <c:pt idx="64">
                  <c:v>640.0</c:v>
                </c:pt>
                <c:pt idx="65">
                  <c:v>650.0</c:v>
                </c:pt>
                <c:pt idx="66">
                  <c:v>660.0</c:v>
                </c:pt>
                <c:pt idx="67">
                  <c:v>670.0</c:v>
                </c:pt>
                <c:pt idx="68">
                  <c:v>680.0</c:v>
                </c:pt>
                <c:pt idx="69">
                  <c:v>690.0</c:v>
                </c:pt>
                <c:pt idx="70">
                  <c:v>700.0</c:v>
                </c:pt>
                <c:pt idx="71">
                  <c:v>710.0</c:v>
                </c:pt>
                <c:pt idx="72">
                  <c:v>720.0</c:v>
                </c:pt>
                <c:pt idx="73">
                  <c:v>730.0</c:v>
                </c:pt>
                <c:pt idx="74">
                  <c:v>740.0</c:v>
                </c:pt>
                <c:pt idx="75">
                  <c:v>750.0</c:v>
                </c:pt>
                <c:pt idx="76">
                  <c:v>760.0</c:v>
                </c:pt>
                <c:pt idx="77">
                  <c:v>770.0</c:v>
                </c:pt>
                <c:pt idx="78">
                  <c:v>780.0</c:v>
                </c:pt>
                <c:pt idx="79">
                  <c:v>790.0</c:v>
                </c:pt>
                <c:pt idx="80">
                  <c:v>800.0</c:v>
                </c:pt>
                <c:pt idx="81">
                  <c:v>810.0</c:v>
                </c:pt>
                <c:pt idx="82">
                  <c:v>820.0</c:v>
                </c:pt>
                <c:pt idx="83">
                  <c:v>830.0</c:v>
                </c:pt>
                <c:pt idx="84">
                  <c:v>840.0</c:v>
                </c:pt>
                <c:pt idx="85">
                  <c:v>850.0</c:v>
                </c:pt>
                <c:pt idx="86">
                  <c:v>860.0</c:v>
                </c:pt>
                <c:pt idx="87">
                  <c:v>870.0</c:v>
                </c:pt>
                <c:pt idx="88">
                  <c:v>880.0</c:v>
                </c:pt>
                <c:pt idx="89">
                  <c:v>890.0</c:v>
                </c:pt>
                <c:pt idx="90">
                  <c:v>900.0</c:v>
                </c:pt>
                <c:pt idx="91">
                  <c:v>910.0</c:v>
                </c:pt>
                <c:pt idx="92">
                  <c:v>920.0</c:v>
                </c:pt>
                <c:pt idx="93">
                  <c:v>930.0</c:v>
                </c:pt>
                <c:pt idx="94">
                  <c:v>940.0</c:v>
                </c:pt>
                <c:pt idx="95">
                  <c:v>950.0</c:v>
                </c:pt>
                <c:pt idx="96">
                  <c:v>960.0</c:v>
                </c:pt>
                <c:pt idx="97">
                  <c:v>970.0</c:v>
                </c:pt>
                <c:pt idx="98">
                  <c:v>980.0</c:v>
                </c:pt>
                <c:pt idx="99">
                  <c:v>990.0</c:v>
                </c:pt>
                <c:pt idx="100">
                  <c:v>1000.0</c:v>
                </c:pt>
                <c:pt idx="101">
                  <c:v>1010.0</c:v>
                </c:pt>
                <c:pt idx="102">
                  <c:v>1020.0</c:v>
                </c:pt>
                <c:pt idx="103">
                  <c:v>1030.0</c:v>
                </c:pt>
                <c:pt idx="104">
                  <c:v>1040.0</c:v>
                </c:pt>
                <c:pt idx="105">
                  <c:v>1050.0</c:v>
                </c:pt>
                <c:pt idx="106">
                  <c:v>1060.0</c:v>
                </c:pt>
                <c:pt idx="107">
                  <c:v>1070.0</c:v>
                </c:pt>
                <c:pt idx="108">
                  <c:v>1080.0</c:v>
                </c:pt>
                <c:pt idx="109">
                  <c:v>1090.0</c:v>
                </c:pt>
                <c:pt idx="110">
                  <c:v>1100.0</c:v>
                </c:pt>
                <c:pt idx="111">
                  <c:v>1110.0</c:v>
                </c:pt>
                <c:pt idx="112">
                  <c:v>1120.0</c:v>
                </c:pt>
                <c:pt idx="113">
                  <c:v>1130.0</c:v>
                </c:pt>
                <c:pt idx="114">
                  <c:v>1140.0</c:v>
                </c:pt>
                <c:pt idx="115">
                  <c:v>1150.0</c:v>
                </c:pt>
                <c:pt idx="116">
                  <c:v>1160.0</c:v>
                </c:pt>
                <c:pt idx="117">
                  <c:v>1170.0</c:v>
                </c:pt>
                <c:pt idx="118">
                  <c:v>1180.0</c:v>
                </c:pt>
                <c:pt idx="119">
                  <c:v>1190.0</c:v>
                </c:pt>
                <c:pt idx="120">
                  <c:v>1200.0</c:v>
                </c:pt>
                <c:pt idx="121">
                  <c:v>1210.0</c:v>
                </c:pt>
                <c:pt idx="122">
                  <c:v>1220.0</c:v>
                </c:pt>
                <c:pt idx="123">
                  <c:v>1230.0</c:v>
                </c:pt>
                <c:pt idx="124">
                  <c:v>1240.0</c:v>
                </c:pt>
                <c:pt idx="125">
                  <c:v>1250.0</c:v>
                </c:pt>
                <c:pt idx="126">
                  <c:v>1260.0</c:v>
                </c:pt>
                <c:pt idx="127">
                  <c:v>1270.0</c:v>
                </c:pt>
                <c:pt idx="128">
                  <c:v>1280.0</c:v>
                </c:pt>
                <c:pt idx="129">
                  <c:v>1290.0</c:v>
                </c:pt>
                <c:pt idx="130">
                  <c:v>1300.0</c:v>
                </c:pt>
                <c:pt idx="131">
                  <c:v>1310.0</c:v>
                </c:pt>
                <c:pt idx="132">
                  <c:v>1320.0</c:v>
                </c:pt>
                <c:pt idx="133">
                  <c:v>1330.0</c:v>
                </c:pt>
                <c:pt idx="134">
                  <c:v>1340.0</c:v>
                </c:pt>
                <c:pt idx="135">
                  <c:v>1350.0</c:v>
                </c:pt>
                <c:pt idx="136">
                  <c:v>1360.0</c:v>
                </c:pt>
                <c:pt idx="137">
                  <c:v>1370.0</c:v>
                </c:pt>
                <c:pt idx="138">
                  <c:v>1380.0</c:v>
                </c:pt>
                <c:pt idx="139">
                  <c:v>1390.0</c:v>
                </c:pt>
                <c:pt idx="140">
                  <c:v>1400.0</c:v>
                </c:pt>
                <c:pt idx="141">
                  <c:v>1410.0</c:v>
                </c:pt>
                <c:pt idx="142">
                  <c:v>1420.0</c:v>
                </c:pt>
                <c:pt idx="143">
                  <c:v>1430.0</c:v>
                </c:pt>
                <c:pt idx="144">
                  <c:v>1440.0</c:v>
                </c:pt>
                <c:pt idx="145">
                  <c:v>1450.0</c:v>
                </c:pt>
                <c:pt idx="146">
                  <c:v>1460.0</c:v>
                </c:pt>
                <c:pt idx="147">
                  <c:v>1470.0</c:v>
                </c:pt>
                <c:pt idx="148">
                  <c:v>1480.0</c:v>
                </c:pt>
                <c:pt idx="149">
                  <c:v>1490.0</c:v>
                </c:pt>
                <c:pt idx="150">
                  <c:v>1500.0</c:v>
                </c:pt>
                <c:pt idx="151">
                  <c:v>1510.0</c:v>
                </c:pt>
                <c:pt idx="152">
                  <c:v>1520.0</c:v>
                </c:pt>
                <c:pt idx="153">
                  <c:v>1530.0</c:v>
                </c:pt>
                <c:pt idx="154">
                  <c:v>1540.0</c:v>
                </c:pt>
                <c:pt idx="155">
                  <c:v>1550.0</c:v>
                </c:pt>
                <c:pt idx="156">
                  <c:v>1560.0</c:v>
                </c:pt>
                <c:pt idx="157">
                  <c:v>1570.0</c:v>
                </c:pt>
                <c:pt idx="158">
                  <c:v>1580.0</c:v>
                </c:pt>
                <c:pt idx="159">
                  <c:v>1590.0</c:v>
                </c:pt>
                <c:pt idx="160">
                  <c:v>1600.0</c:v>
                </c:pt>
                <c:pt idx="161">
                  <c:v>1610.0</c:v>
                </c:pt>
                <c:pt idx="162">
                  <c:v>1620.0</c:v>
                </c:pt>
                <c:pt idx="163">
                  <c:v>1630.0</c:v>
                </c:pt>
                <c:pt idx="164">
                  <c:v>1640.0</c:v>
                </c:pt>
                <c:pt idx="165">
                  <c:v>1650.0</c:v>
                </c:pt>
                <c:pt idx="166">
                  <c:v>1660.0</c:v>
                </c:pt>
                <c:pt idx="167">
                  <c:v>1670.0</c:v>
                </c:pt>
                <c:pt idx="168">
                  <c:v>1680.0</c:v>
                </c:pt>
                <c:pt idx="169">
                  <c:v>1690.0</c:v>
                </c:pt>
                <c:pt idx="170">
                  <c:v>1700.0</c:v>
                </c:pt>
                <c:pt idx="171">
                  <c:v>1710.0</c:v>
                </c:pt>
                <c:pt idx="172">
                  <c:v>1720.0</c:v>
                </c:pt>
                <c:pt idx="173">
                  <c:v>1730.0</c:v>
                </c:pt>
                <c:pt idx="174">
                  <c:v>1740.0</c:v>
                </c:pt>
                <c:pt idx="175">
                  <c:v>1750.0</c:v>
                </c:pt>
                <c:pt idx="176">
                  <c:v>1760.0</c:v>
                </c:pt>
                <c:pt idx="177">
                  <c:v>1770.0</c:v>
                </c:pt>
                <c:pt idx="178">
                  <c:v>1780.0</c:v>
                </c:pt>
                <c:pt idx="179">
                  <c:v>1790.0</c:v>
                </c:pt>
                <c:pt idx="180">
                  <c:v>1800.0</c:v>
                </c:pt>
                <c:pt idx="181">
                  <c:v>1810.0</c:v>
                </c:pt>
                <c:pt idx="182">
                  <c:v>1820.0</c:v>
                </c:pt>
                <c:pt idx="183">
                  <c:v>1830.0</c:v>
                </c:pt>
                <c:pt idx="184">
                  <c:v>1840.0</c:v>
                </c:pt>
                <c:pt idx="185">
                  <c:v>1850.0</c:v>
                </c:pt>
                <c:pt idx="186">
                  <c:v>1860.0</c:v>
                </c:pt>
                <c:pt idx="187">
                  <c:v>1870.0</c:v>
                </c:pt>
                <c:pt idx="188">
                  <c:v>1880.0</c:v>
                </c:pt>
                <c:pt idx="189">
                  <c:v>1890.0</c:v>
                </c:pt>
                <c:pt idx="190">
                  <c:v>1900.0</c:v>
                </c:pt>
                <c:pt idx="191">
                  <c:v>1910.0</c:v>
                </c:pt>
                <c:pt idx="192">
                  <c:v>1920.0</c:v>
                </c:pt>
                <c:pt idx="193">
                  <c:v>1930.0</c:v>
                </c:pt>
                <c:pt idx="194">
                  <c:v>1940.0</c:v>
                </c:pt>
                <c:pt idx="195">
                  <c:v>1950.0</c:v>
                </c:pt>
                <c:pt idx="196">
                  <c:v>1960.0</c:v>
                </c:pt>
                <c:pt idx="197">
                  <c:v>1970.0</c:v>
                </c:pt>
                <c:pt idx="198">
                  <c:v>1980.0</c:v>
                </c:pt>
                <c:pt idx="199">
                  <c:v>1990.0</c:v>
                </c:pt>
                <c:pt idx="200">
                  <c:v>2000.0</c:v>
                </c:pt>
                <c:pt idx="201">
                  <c:v>2010.0</c:v>
                </c:pt>
                <c:pt idx="202">
                  <c:v>2020.0</c:v>
                </c:pt>
                <c:pt idx="203">
                  <c:v>2030.0</c:v>
                </c:pt>
                <c:pt idx="204">
                  <c:v>2040.0</c:v>
                </c:pt>
                <c:pt idx="205">
                  <c:v>2050.0</c:v>
                </c:pt>
                <c:pt idx="206">
                  <c:v>2060.0</c:v>
                </c:pt>
                <c:pt idx="207">
                  <c:v>2070.0</c:v>
                </c:pt>
                <c:pt idx="208">
                  <c:v>2080.0</c:v>
                </c:pt>
                <c:pt idx="209">
                  <c:v>2090.0</c:v>
                </c:pt>
                <c:pt idx="210">
                  <c:v>2100.0</c:v>
                </c:pt>
                <c:pt idx="211">
                  <c:v>2110.0</c:v>
                </c:pt>
                <c:pt idx="212">
                  <c:v>2120.0</c:v>
                </c:pt>
                <c:pt idx="213">
                  <c:v>2130.0</c:v>
                </c:pt>
                <c:pt idx="214">
                  <c:v>2140.0</c:v>
                </c:pt>
                <c:pt idx="215">
                  <c:v>2150.0</c:v>
                </c:pt>
                <c:pt idx="216">
                  <c:v>2160.0</c:v>
                </c:pt>
                <c:pt idx="217">
                  <c:v>2170.0</c:v>
                </c:pt>
                <c:pt idx="218">
                  <c:v>2180.0</c:v>
                </c:pt>
                <c:pt idx="219">
                  <c:v>2190.0</c:v>
                </c:pt>
                <c:pt idx="220">
                  <c:v>2200.0</c:v>
                </c:pt>
                <c:pt idx="221">
                  <c:v>2210.0</c:v>
                </c:pt>
                <c:pt idx="222">
                  <c:v>2220.0</c:v>
                </c:pt>
                <c:pt idx="223">
                  <c:v>2230.0</c:v>
                </c:pt>
                <c:pt idx="224">
                  <c:v>2240.0</c:v>
                </c:pt>
                <c:pt idx="225">
                  <c:v>2250.0</c:v>
                </c:pt>
                <c:pt idx="226">
                  <c:v>2260.0</c:v>
                </c:pt>
                <c:pt idx="227">
                  <c:v>2270.0</c:v>
                </c:pt>
                <c:pt idx="228">
                  <c:v>2280.0</c:v>
                </c:pt>
                <c:pt idx="229">
                  <c:v>2290.0</c:v>
                </c:pt>
                <c:pt idx="230">
                  <c:v>2300.0</c:v>
                </c:pt>
                <c:pt idx="231">
                  <c:v>2310.0</c:v>
                </c:pt>
                <c:pt idx="232">
                  <c:v>2320.0</c:v>
                </c:pt>
                <c:pt idx="233">
                  <c:v>2330.0</c:v>
                </c:pt>
                <c:pt idx="234">
                  <c:v>2340.0</c:v>
                </c:pt>
                <c:pt idx="235">
                  <c:v>2350.0</c:v>
                </c:pt>
                <c:pt idx="236">
                  <c:v>2360.0</c:v>
                </c:pt>
                <c:pt idx="237">
                  <c:v>2370.0</c:v>
                </c:pt>
                <c:pt idx="238">
                  <c:v>2380.0</c:v>
                </c:pt>
                <c:pt idx="239">
                  <c:v>2390.0</c:v>
                </c:pt>
                <c:pt idx="240">
                  <c:v>2400.0</c:v>
                </c:pt>
                <c:pt idx="241">
                  <c:v>2410.0</c:v>
                </c:pt>
                <c:pt idx="242">
                  <c:v>2420.0</c:v>
                </c:pt>
                <c:pt idx="243">
                  <c:v>2430.0</c:v>
                </c:pt>
                <c:pt idx="244">
                  <c:v>2440.0</c:v>
                </c:pt>
                <c:pt idx="245">
                  <c:v>2450.0</c:v>
                </c:pt>
                <c:pt idx="246">
                  <c:v>2460.0</c:v>
                </c:pt>
                <c:pt idx="247">
                  <c:v>2470.0</c:v>
                </c:pt>
                <c:pt idx="248">
                  <c:v>2480.0</c:v>
                </c:pt>
                <c:pt idx="249">
                  <c:v>2490.0</c:v>
                </c:pt>
                <c:pt idx="250">
                  <c:v>2500.0</c:v>
                </c:pt>
                <c:pt idx="251">
                  <c:v>2510.0</c:v>
                </c:pt>
                <c:pt idx="252">
                  <c:v>2520.0</c:v>
                </c:pt>
                <c:pt idx="253">
                  <c:v>2530.0</c:v>
                </c:pt>
                <c:pt idx="254">
                  <c:v>2540.0</c:v>
                </c:pt>
                <c:pt idx="255">
                  <c:v>2550.0</c:v>
                </c:pt>
                <c:pt idx="256">
                  <c:v>2560.0</c:v>
                </c:pt>
                <c:pt idx="257">
                  <c:v>2570.0</c:v>
                </c:pt>
                <c:pt idx="258">
                  <c:v>2580.0</c:v>
                </c:pt>
                <c:pt idx="259">
                  <c:v>2590.0</c:v>
                </c:pt>
                <c:pt idx="260">
                  <c:v>2600.0</c:v>
                </c:pt>
                <c:pt idx="261">
                  <c:v>2610.0</c:v>
                </c:pt>
                <c:pt idx="262">
                  <c:v>2620.0</c:v>
                </c:pt>
                <c:pt idx="263">
                  <c:v>2630.0</c:v>
                </c:pt>
                <c:pt idx="264">
                  <c:v>2640.0</c:v>
                </c:pt>
                <c:pt idx="265">
                  <c:v>2650.0</c:v>
                </c:pt>
                <c:pt idx="266">
                  <c:v>2660.0</c:v>
                </c:pt>
                <c:pt idx="267">
                  <c:v>2670.0</c:v>
                </c:pt>
                <c:pt idx="268">
                  <c:v>2680.0</c:v>
                </c:pt>
                <c:pt idx="269">
                  <c:v>2690.0</c:v>
                </c:pt>
                <c:pt idx="270">
                  <c:v>2700.0</c:v>
                </c:pt>
                <c:pt idx="271">
                  <c:v>2710.0</c:v>
                </c:pt>
                <c:pt idx="272">
                  <c:v>2720.0</c:v>
                </c:pt>
                <c:pt idx="273">
                  <c:v>2730.0</c:v>
                </c:pt>
                <c:pt idx="274">
                  <c:v>2740.0</c:v>
                </c:pt>
                <c:pt idx="275">
                  <c:v>2750.0</c:v>
                </c:pt>
                <c:pt idx="276">
                  <c:v>2760.0</c:v>
                </c:pt>
                <c:pt idx="277">
                  <c:v>2770.0</c:v>
                </c:pt>
                <c:pt idx="278">
                  <c:v>2780.0</c:v>
                </c:pt>
                <c:pt idx="279">
                  <c:v>2790.0</c:v>
                </c:pt>
                <c:pt idx="280">
                  <c:v>2800.0</c:v>
                </c:pt>
                <c:pt idx="281">
                  <c:v>2810.0</c:v>
                </c:pt>
                <c:pt idx="282">
                  <c:v>2820.0</c:v>
                </c:pt>
                <c:pt idx="283">
                  <c:v>2830.0</c:v>
                </c:pt>
                <c:pt idx="284">
                  <c:v>2840.0</c:v>
                </c:pt>
                <c:pt idx="285">
                  <c:v>2850.0</c:v>
                </c:pt>
                <c:pt idx="286">
                  <c:v>2860.0</c:v>
                </c:pt>
                <c:pt idx="287">
                  <c:v>2870.0</c:v>
                </c:pt>
                <c:pt idx="288">
                  <c:v>2880.0</c:v>
                </c:pt>
                <c:pt idx="289">
                  <c:v>2890.0</c:v>
                </c:pt>
                <c:pt idx="290">
                  <c:v>2900.0</c:v>
                </c:pt>
                <c:pt idx="291">
                  <c:v>2910.0</c:v>
                </c:pt>
                <c:pt idx="292">
                  <c:v>2920.0</c:v>
                </c:pt>
                <c:pt idx="293">
                  <c:v>2930.0</c:v>
                </c:pt>
                <c:pt idx="294">
                  <c:v>2940.0</c:v>
                </c:pt>
                <c:pt idx="295">
                  <c:v>2950.0</c:v>
                </c:pt>
                <c:pt idx="296">
                  <c:v>2960.0</c:v>
                </c:pt>
                <c:pt idx="297">
                  <c:v>2970.0</c:v>
                </c:pt>
                <c:pt idx="298">
                  <c:v>2980.0</c:v>
                </c:pt>
                <c:pt idx="299">
                  <c:v>2990.0</c:v>
                </c:pt>
                <c:pt idx="300">
                  <c:v>3000.0</c:v>
                </c:pt>
                <c:pt idx="301">
                  <c:v>3010.0</c:v>
                </c:pt>
                <c:pt idx="302">
                  <c:v>3020.0</c:v>
                </c:pt>
                <c:pt idx="303">
                  <c:v>3030.0</c:v>
                </c:pt>
                <c:pt idx="304">
                  <c:v>3040.0</c:v>
                </c:pt>
                <c:pt idx="305">
                  <c:v>3050.0</c:v>
                </c:pt>
                <c:pt idx="306">
                  <c:v>3060.0</c:v>
                </c:pt>
                <c:pt idx="307">
                  <c:v>3070.0</c:v>
                </c:pt>
                <c:pt idx="308">
                  <c:v>3080.0</c:v>
                </c:pt>
                <c:pt idx="309">
                  <c:v>3090.0</c:v>
                </c:pt>
                <c:pt idx="310">
                  <c:v>3100.0</c:v>
                </c:pt>
                <c:pt idx="311">
                  <c:v>3110.0</c:v>
                </c:pt>
                <c:pt idx="312">
                  <c:v>3120.0</c:v>
                </c:pt>
                <c:pt idx="313">
                  <c:v>3130.0</c:v>
                </c:pt>
                <c:pt idx="314">
                  <c:v>3140.0</c:v>
                </c:pt>
                <c:pt idx="315">
                  <c:v>3150.0</c:v>
                </c:pt>
                <c:pt idx="316">
                  <c:v>3160.0</c:v>
                </c:pt>
                <c:pt idx="317">
                  <c:v>3170.0</c:v>
                </c:pt>
                <c:pt idx="318">
                  <c:v>3180.0</c:v>
                </c:pt>
                <c:pt idx="319">
                  <c:v>3190.0</c:v>
                </c:pt>
                <c:pt idx="320">
                  <c:v>3200.0</c:v>
                </c:pt>
                <c:pt idx="321">
                  <c:v>3210.0</c:v>
                </c:pt>
                <c:pt idx="322">
                  <c:v>3220.0</c:v>
                </c:pt>
                <c:pt idx="323">
                  <c:v>3230.0</c:v>
                </c:pt>
                <c:pt idx="324">
                  <c:v>3240.0</c:v>
                </c:pt>
                <c:pt idx="325">
                  <c:v>3250.0</c:v>
                </c:pt>
                <c:pt idx="326">
                  <c:v>3260.0</c:v>
                </c:pt>
                <c:pt idx="327">
                  <c:v>3270.0</c:v>
                </c:pt>
                <c:pt idx="328">
                  <c:v>3280.0</c:v>
                </c:pt>
                <c:pt idx="329">
                  <c:v>3290.0</c:v>
                </c:pt>
                <c:pt idx="330">
                  <c:v>3300.0</c:v>
                </c:pt>
                <c:pt idx="331">
                  <c:v>3310.0</c:v>
                </c:pt>
                <c:pt idx="332">
                  <c:v>3320.0</c:v>
                </c:pt>
                <c:pt idx="333">
                  <c:v>3330.0</c:v>
                </c:pt>
                <c:pt idx="334">
                  <c:v>3340.0</c:v>
                </c:pt>
                <c:pt idx="335">
                  <c:v>3350.0</c:v>
                </c:pt>
                <c:pt idx="336">
                  <c:v>3360.0</c:v>
                </c:pt>
                <c:pt idx="337">
                  <c:v>3370.0</c:v>
                </c:pt>
                <c:pt idx="338">
                  <c:v>3380.0</c:v>
                </c:pt>
                <c:pt idx="339">
                  <c:v>3390.0</c:v>
                </c:pt>
                <c:pt idx="340">
                  <c:v>3400.0</c:v>
                </c:pt>
                <c:pt idx="341">
                  <c:v>3410.0</c:v>
                </c:pt>
                <c:pt idx="342">
                  <c:v>3420.0</c:v>
                </c:pt>
                <c:pt idx="343">
                  <c:v>3430.0</c:v>
                </c:pt>
                <c:pt idx="344">
                  <c:v>3440.0</c:v>
                </c:pt>
                <c:pt idx="345">
                  <c:v>3450.0</c:v>
                </c:pt>
                <c:pt idx="346">
                  <c:v>3460.0</c:v>
                </c:pt>
                <c:pt idx="347">
                  <c:v>3470.0</c:v>
                </c:pt>
                <c:pt idx="348">
                  <c:v>3480.0</c:v>
                </c:pt>
                <c:pt idx="349">
                  <c:v>3490.0</c:v>
                </c:pt>
                <c:pt idx="350">
                  <c:v>3500.0</c:v>
                </c:pt>
                <c:pt idx="351">
                  <c:v>3510.0</c:v>
                </c:pt>
                <c:pt idx="352">
                  <c:v>3520.0</c:v>
                </c:pt>
                <c:pt idx="353">
                  <c:v>3530.0</c:v>
                </c:pt>
                <c:pt idx="354">
                  <c:v>3540.0</c:v>
                </c:pt>
                <c:pt idx="355">
                  <c:v>3550.0</c:v>
                </c:pt>
                <c:pt idx="356">
                  <c:v>3560.0</c:v>
                </c:pt>
                <c:pt idx="357">
                  <c:v>3570.0</c:v>
                </c:pt>
                <c:pt idx="358">
                  <c:v>3580.0</c:v>
                </c:pt>
                <c:pt idx="359">
                  <c:v>3590.0</c:v>
                </c:pt>
                <c:pt idx="360">
                  <c:v>3600.0</c:v>
                </c:pt>
                <c:pt idx="361">
                  <c:v>3610.0</c:v>
                </c:pt>
                <c:pt idx="362">
                  <c:v>3620.0</c:v>
                </c:pt>
                <c:pt idx="363">
                  <c:v>3630.0</c:v>
                </c:pt>
                <c:pt idx="364">
                  <c:v>3640.0</c:v>
                </c:pt>
                <c:pt idx="365">
                  <c:v>3650.0</c:v>
                </c:pt>
                <c:pt idx="366">
                  <c:v>3660.0</c:v>
                </c:pt>
                <c:pt idx="367">
                  <c:v>3670.0</c:v>
                </c:pt>
                <c:pt idx="368">
                  <c:v>3680.0</c:v>
                </c:pt>
                <c:pt idx="369">
                  <c:v>3690.0</c:v>
                </c:pt>
                <c:pt idx="370">
                  <c:v>3700.0</c:v>
                </c:pt>
                <c:pt idx="371">
                  <c:v>3710.0</c:v>
                </c:pt>
                <c:pt idx="372">
                  <c:v>3720.0</c:v>
                </c:pt>
                <c:pt idx="373">
                  <c:v>3730.0</c:v>
                </c:pt>
                <c:pt idx="374">
                  <c:v>3740.0</c:v>
                </c:pt>
                <c:pt idx="375">
                  <c:v>3750.0</c:v>
                </c:pt>
                <c:pt idx="376">
                  <c:v>3760.0</c:v>
                </c:pt>
                <c:pt idx="377">
                  <c:v>3770.0</c:v>
                </c:pt>
                <c:pt idx="378">
                  <c:v>3780.0</c:v>
                </c:pt>
                <c:pt idx="379">
                  <c:v>3790.0</c:v>
                </c:pt>
                <c:pt idx="380">
                  <c:v>3800.0</c:v>
                </c:pt>
                <c:pt idx="381">
                  <c:v>3810.0</c:v>
                </c:pt>
                <c:pt idx="382">
                  <c:v>3820.0</c:v>
                </c:pt>
                <c:pt idx="383">
                  <c:v>3830.0</c:v>
                </c:pt>
                <c:pt idx="384">
                  <c:v>3840.0</c:v>
                </c:pt>
                <c:pt idx="385">
                  <c:v>3850.0</c:v>
                </c:pt>
                <c:pt idx="386">
                  <c:v>3860.0</c:v>
                </c:pt>
                <c:pt idx="387">
                  <c:v>3870.0</c:v>
                </c:pt>
                <c:pt idx="388">
                  <c:v>3880.0</c:v>
                </c:pt>
                <c:pt idx="389">
                  <c:v>3890.0</c:v>
                </c:pt>
                <c:pt idx="390">
                  <c:v>3900.0</c:v>
                </c:pt>
                <c:pt idx="391">
                  <c:v>3910.0</c:v>
                </c:pt>
                <c:pt idx="392">
                  <c:v>3920.0</c:v>
                </c:pt>
                <c:pt idx="393">
                  <c:v>3930.0</c:v>
                </c:pt>
                <c:pt idx="394">
                  <c:v>3940.0</c:v>
                </c:pt>
                <c:pt idx="395">
                  <c:v>3950.0</c:v>
                </c:pt>
                <c:pt idx="396">
                  <c:v>3960.0</c:v>
                </c:pt>
                <c:pt idx="397">
                  <c:v>3970.0</c:v>
                </c:pt>
                <c:pt idx="398">
                  <c:v>3980.0</c:v>
                </c:pt>
                <c:pt idx="399">
                  <c:v>3990.0</c:v>
                </c:pt>
                <c:pt idx="400">
                  <c:v>4000.0</c:v>
                </c:pt>
                <c:pt idx="401">
                  <c:v>4010.0</c:v>
                </c:pt>
                <c:pt idx="402">
                  <c:v>4020.0</c:v>
                </c:pt>
                <c:pt idx="403">
                  <c:v>4030.0</c:v>
                </c:pt>
                <c:pt idx="404">
                  <c:v>4040.0</c:v>
                </c:pt>
                <c:pt idx="405">
                  <c:v>4050.0</c:v>
                </c:pt>
                <c:pt idx="406">
                  <c:v>4060.0</c:v>
                </c:pt>
                <c:pt idx="407">
                  <c:v>4070.0</c:v>
                </c:pt>
                <c:pt idx="408">
                  <c:v>4080.0</c:v>
                </c:pt>
                <c:pt idx="409">
                  <c:v>4090.0</c:v>
                </c:pt>
                <c:pt idx="410">
                  <c:v>4100.0</c:v>
                </c:pt>
                <c:pt idx="411">
                  <c:v>4110.0</c:v>
                </c:pt>
                <c:pt idx="412">
                  <c:v>4120.0</c:v>
                </c:pt>
                <c:pt idx="413">
                  <c:v>4130.0</c:v>
                </c:pt>
                <c:pt idx="414">
                  <c:v>4140.0</c:v>
                </c:pt>
                <c:pt idx="415">
                  <c:v>4150.0</c:v>
                </c:pt>
                <c:pt idx="416">
                  <c:v>4160.0</c:v>
                </c:pt>
                <c:pt idx="417">
                  <c:v>4170.0</c:v>
                </c:pt>
                <c:pt idx="418">
                  <c:v>4180.0</c:v>
                </c:pt>
                <c:pt idx="419">
                  <c:v>4190.0</c:v>
                </c:pt>
                <c:pt idx="420">
                  <c:v>4200.0</c:v>
                </c:pt>
                <c:pt idx="421">
                  <c:v>4210.0</c:v>
                </c:pt>
                <c:pt idx="422">
                  <c:v>4220.0</c:v>
                </c:pt>
                <c:pt idx="423">
                  <c:v>4230.0</c:v>
                </c:pt>
                <c:pt idx="424">
                  <c:v>4240.0</c:v>
                </c:pt>
                <c:pt idx="425">
                  <c:v>4250.0</c:v>
                </c:pt>
                <c:pt idx="426">
                  <c:v>4260.0</c:v>
                </c:pt>
                <c:pt idx="427">
                  <c:v>4270.0</c:v>
                </c:pt>
                <c:pt idx="428">
                  <c:v>4280.0</c:v>
                </c:pt>
                <c:pt idx="429">
                  <c:v>4290.0</c:v>
                </c:pt>
                <c:pt idx="430">
                  <c:v>4300.0</c:v>
                </c:pt>
                <c:pt idx="431">
                  <c:v>4310.0</c:v>
                </c:pt>
                <c:pt idx="432">
                  <c:v>4320.0</c:v>
                </c:pt>
                <c:pt idx="433">
                  <c:v>4330.0</c:v>
                </c:pt>
                <c:pt idx="434">
                  <c:v>4340.0</c:v>
                </c:pt>
                <c:pt idx="435">
                  <c:v>4350.0</c:v>
                </c:pt>
                <c:pt idx="436">
                  <c:v>4360.0</c:v>
                </c:pt>
                <c:pt idx="437">
                  <c:v>4370.0</c:v>
                </c:pt>
                <c:pt idx="438">
                  <c:v>4380.0</c:v>
                </c:pt>
                <c:pt idx="439">
                  <c:v>4390.0</c:v>
                </c:pt>
                <c:pt idx="440">
                  <c:v>4400.0</c:v>
                </c:pt>
                <c:pt idx="441">
                  <c:v>4410.0</c:v>
                </c:pt>
                <c:pt idx="442">
                  <c:v>4420.0</c:v>
                </c:pt>
                <c:pt idx="443">
                  <c:v>4430.0</c:v>
                </c:pt>
                <c:pt idx="444">
                  <c:v>4440.0</c:v>
                </c:pt>
                <c:pt idx="445">
                  <c:v>4450.0</c:v>
                </c:pt>
                <c:pt idx="446">
                  <c:v>4460.0</c:v>
                </c:pt>
                <c:pt idx="447">
                  <c:v>4470.0</c:v>
                </c:pt>
                <c:pt idx="448">
                  <c:v>4480.0</c:v>
                </c:pt>
                <c:pt idx="449">
                  <c:v>4490.0</c:v>
                </c:pt>
                <c:pt idx="450">
                  <c:v>4500.0</c:v>
                </c:pt>
                <c:pt idx="451">
                  <c:v>4510.0</c:v>
                </c:pt>
                <c:pt idx="452">
                  <c:v>4520.0</c:v>
                </c:pt>
                <c:pt idx="453">
                  <c:v>4530.0</c:v>
                </c:pt>
                <c:pt idx="454">
                  <c:v>4540.0</c:v>
                </c:pt>
                <c:pt idx="455">
                  <c:v>4550.0</c:v>
                </c:pt>
                <c:pt idx="456">
                  <c:v>4560.0</c:v>
                </c:pt>
                <c:pt idx="457">
                  <c:v>4570.0</c:v>
                </c:pt>
                <c:pt idx="458">
                  <c:v>4580.0</c:v>
                </c:pt>
                <c:pt idx="459">
                  <c:v>4590.0</c:v>
                </c:pt>
                <c:pt idx="460">
                  <c:v>4600.0</c:v>
                </c:pt>
                <c:pt idx="461">
                  <c:v>4610.0</c:v>
                </c:pt>
                <c:pt idx="462">
                  <c:v>4620.0</c:v>
                </c:pt>
                <c:pt idx="463">
                  <c:v>4630.0</c:v>
                </c:pt>
                <c:pt idx="464">
                  <c:v>4640.0</c:v>
                </c:pt>
                <c:pt idx="465">
                  <c:v>4650.0</c:v>
                </c:pt>
                <c:pt idx="466">
                  <c:v>4660.0</c:v>
                </c:pt>
                <c:pt idx="467">
                  <c:v>4670.0</c:v>
                </c:pt>
                <c:pt idx="468">
                  <c:v>4680.0</c:v>
                </c:pt>
                <c:pt idx="469">
                  <c:v>4690.0</c:v>
                </c:pt>
                <c:pt idx="470">
                  <c:v>4700.0</c:v>
                </c:pt>
                <c:pt idx="471">
                  <c:v>4710.0</c:v>
                </c:pt>
                <c:pt idx="472">
                  <c:v>4720.0</c:v>
                </c:pt>
                <c:pt idx="473">
                  <c:v>4730.0</c:v>
                </c:pt>
                <c:pt idx="474">
                  <c:v>4740.0</c:v>
                </c:pt>
                <c:pt idx="475">
                  <c:v>4750.0</c:v>
                </c:pt>
                <c:pt idx="476">
                  <c:v>4760.0</c:v>
                </c:pt>
                <c:pt idx="477">
                  <c:v>4770.0</c:v>
                </c:pt>
                <c:pt idx="478">
                  <c:v>4780.0</c:v>
                </c:pt>
                <c:pt idx="479">
                  <c:v>4790.0</c:v>
                </c:pt>
                <c:pt idx="480">
                  <c:v>4800.0</c:v>
                </c:pt>
                <c:pt idx="481">
                  <c:v>4810.0</c:v>
                </c:pt>
                <c:pt idx="482">
                  <c:v>4820.0</c:v>
                </c:pt>
                <c:pt idx="483">
                  <c:v>4830.0</c:v>
                </c:pt>
                <c:pt idx="484">
                  <c:v>4840.0</c:v>
                </c:pt>
                <c:pt idx="485">
                  <c:v>4850.0</c:v>
                </c:pt>
                <c:pt idx="486">
                  <c:v>4860.0</c:v>
                </c:pt>
                <c:pt idx="487">
                  <c:v>4870.0</c:v>
                </c:pt>
                <c:pt idx="488">
                  <c:v>4880.0</c:v>
                </c:pt>
                <c:pt idx="489">
                  <c:v>4890.0</c:v>
                </c:pt>
                <c:pt idx="490">
                  <c:v>4900.0</c:v>
                </c:pt>
                <c:pt idx="491">
                  <c:v>4910.0</c:v>
                </c:pt>
                <c:pt idx="492">
                  <c:v>4920.0</c:v>
                </c:pt>
                <c:pt idx="493">
                  <c:v>4930.0</c:v>
                </c:pt>
                <c:pt idx="494">
                  <c:v>4940.0</c:v>
                </c:pt>
                <c:pt idx="495">
                  <c:v>4950.0</c:v>
                </c:pt>
                <c:pt idx="496">
                  <c:v>4960.0</c:v>
                </c:pt>
                <c:pt idx="497">
                  <c:v>4970.0</c:v>
                </c:pt>
                <c:pt idx="498">
                  <c:v>4980.0</c:v>
                </c:pt>
                <c:pt idx="499">
                  <c:v>4990.0</c:v>
                </c:pt>
                <c:pt idx="500">
                  <c:v>5000.0</c:v>
                </c:pt>
                <c:pt idx="501">
                  <c:v>5010.0</c:v>
                </c:pt>
                <c:pt idx="502">
                  <c:v>5020.0</c:v>
                </c:pt>
                <c:pt idx="503">
                  <c:v>5030.0</c:v>
                </c:pt>
                <c:pt idx="504">
                  <c:v>5040.0</c:v>
                </c:pt>
                <c:pt idx="505">
                  <c:v>5050.0</c:v>
                </c:pt>
                <c:pt idx="506">
                  <c:v>5060.0</c:v>
                </c:pt>
                <c:pt idx="507">
                  <c:v>5070.0</c:v>
                </c:pt>
                <c:pt idx="508">
                  <c:v>5080.0</c:v>
                </c:pt>
                <c:pt idx="509">
                  <c:v>5090.0</c:v>
                </c:pt>
                <c:pt idx="510">
                  <c:v>5100.0</c:v>
                </c:pt>
                <c:pt idx="511">
                  <c:v>5110.0</c:v>
                </c:pt>
                <c:pt idx="512">
                  <c:v>5120.0</c:v>
                </c:pt>
                <c:pt idx="513">
                  <c:v>5130.0</c:v>
                </c:pt>
                <c:pt idx="514">
                  <c:v>5140.0</c:v>
                </c:pt>
                <c:pt idx="515">
                  <c:v>5150.0</c:v>
                </c:pt>
                <c:pt idx="516">
                  <c:v>5160.0</c:v>
                </c:pt>
                <c:pt idx="517">
                  <c:v>5170.0</c:v>
                </c:pt>
                <c:pt idx="518">
                  <c:v>5180.0</c:v>
                </c:pt>
                <c:pt idx="519">
                  <c:v>5190.0</c:v>
                </c:pt>
                <c:pt idx="520">
                  <c:v>5200.0</c:v>
                </c:pt>
                <c:pt idx="521">
                  <c:v>5210.0</c:v>
                </c:pt>
                <c:pt idx="522">
                  <c:v>5220.0</c:v>
                </c:pt>
                <c:pt idx="523">
                  <c:v>5230.0</c:v>
                </c:pt>
                <c:pt idx="524">
                  <c:v>5240.0</c:v>
                </c:pt>
                <c:pt idx="525">
                  <c:v>5250.0</c:v>
                </c:pt>
                <c:pt idx="526">
                  <c:v>5260.0</c:v>
                </c:pt>
                <c:pt idx="527">
                  <c:v>5270.0</c:v>
                </c:pt>
                <c:pt idx="528">
                  <c:v>5280.0</c:v>
                </c:pt>
                <c:pt idx="529">
                  <c:v>5290.0</c:v>
                </c:pt>
                <c:pt idx="530">
                  <c:v>5300.0</c:v>
                </c:pt>
                <c:pt idx="531">
                  <c:v>5310.0</c:v>
                </c:pt>
                <c:pt idx="532">
                  <c:v>5320.0</c:v>
                </c:pt>
                <c:pt idx="533">
                  <c:v>5330.0</c:v>
                </c:pt>
                <c:pt idx="534">
                  <c:v>5340.0</c:v>
                </c:pt>
                <c:pt idx="535">
                  <c:v>5350.0</c:v>
                </c:pt>
                <c:pt idx="536">
                  <c:v>5360.0</c:v>
                </c:pt>
                <c:pt idx="537">
                  <c:v>5370.0</c:v>
                </c:pt>
                <c:pt idx="538">
                  <c:v>5380.0</c:v>
                </c:pt>
                <c:pt idx="539">
                  <c:v>5390.0</c:v>
                </c:pt>
                <c:pt idx="540">
                  <c:v>5400.0</c:v>
                </c:pt>
                <c:pt idx="541">
                  <c:v>5410.0</c:v>
                </c:pt>
                <c:pt idx="542">
                  <c:v>5420.0</c:v>
                </c:pt>
                <c:pt idx="543">
                  <c:v>5430.0</c:v>
                </c:pt>
                <c:pt idx="544">
                  <c:v>5440.0</c:v>
                </c:pt>
                <c:pt idx="545">
                  <c:v>5450.0</c:v>
                </c:pt>
                <c:pt idx="546">
                  <c:v>5460.0</c:v>
                </c:pt>
                <c:pt idx="547">
                  <c:v>5470.0</c:v>
                </c:pt>
                <c:pt idx="548">
                  <c:v>5480.0</c:v>
                </c:pt>
                <c:pt idx="549">
                  <c:v>5490.0</c:v>
                </c:pt>
                <c:pt idx="550">
                  <c:v>5500.0</c:v>
                </c:pt>
                <c:pt idx="551">
                  <c:v>5510.0</c:v>
                </c:pt>
                <c:pt idx="552">
                  <c:v>5520.0</c:v>
                </c:pt>
                <c:pt idx="553">
                  <c:v>5530.0</c:v>
                </c:pt>
                <c:pt idx="554">
                  <c:v>5540.0</c:v>
                </c:pt>
                <c:pt idx="555">
                  <c:v>5550.0</c:v>
                </c:pt>
                <c:pt idx="556">
                  <c:v>5560.0</c:v>
                </c:pt>
                <c:pt idx="557">
                  <c:v>5570.0</c:v>
                </c:pt>
                <c:pt idx="558">
                  <c:v>5580.0</c:v>
                </c:pt>
                <c:pt idx="559">
                  <c:v>5590.0</c:v>
                </c:pt>
                <c:pt idx="560">
                  <c:v>5600.0</c:v>
                </c:pt>
                <c:pt idx="561">
                  <c:v>5610.0</c:v>
                </c:pt>
                <c:pt idx="562">
                  <c:v>5620.0</c:v>
                </c:pt>
                <c:pt idx="563">
                  <c:v>5630.0</c:v>
                </c:pt>
                <c:pt idx="564">
                  <c:v>5640.0</c:v>
                </c:pt>
                <c:pt idx="565">
                  <c:v>5650.0</c:v>
                </c:pt>
                <c:pt idx="566">
                  <c:v>5660.0</c:v>
                </c:pt>
                <c:pt idx="567">
                  <c:v>5670.0</c:v>
                </c:pt>
                <c:pt idx="568">
                  <c:v>5680.0</c:v>
                </c:pt>
                <c:pt idx="569">
                  <c:v>5690.0</c:v>
                </c:pt>
                <c:pt idx="570">
                  <c:v>5700.0</c:v>
                </c:pt>
                <c:pt idx="571">
                  <c:v>5710.0</c:v>
                </c:pt>
                <c:pt idx="572">
                  <c:v>5720.0</c:v>
                </c:pt>
                <c:pt idx="573">
                  <c:v>5730.0</c:v>
                </c:pt>
                <c:pt idx="574">
                  <c:v>5740.0</c:v>
                </c:pt>
                <c:pt idx="575">
                  <c:v>5750.0</c:v>
                </c:pt>
                <c:pt idx="576">
                  <c:v>5760.0</c:v>
                </c:pt>
                <c:pt idx="577">
                  <c:v>5770.0</c:v>
                </c:pt>
                <c:pt idx="578">
                  <c:v>5780.0</c:v>
                </c:pt>
                <c:pt idx="579">
                  <c:v>5790.0</c:v>
                </c:pt>
                <c:pt idx="580">
                  <c:v>5800.0</c:v>
                </c:pt>
                <c:pt idx="581">
                  <c:v>5810.0</c:v>
                </c:pt>
                <c:pt idx="582">
                  <c:v>5820.0</c:v>
                </c:pt>
                <c:pt idx="583">
                  <c:v>5830.0</c:v>
                </c:pt>
                <c:pt idx="584">
                  <c:v>5840.0</c:v>
                </c:pt>
                <c:pt idx="585">
                  <c:v>5850.0</c:v>
                </c:pt>
                <c:pt idx="586">
                  <c:v>5860.0</c:v>
                </c:pt>
                <c:pt idx="587">
                  <c:v>5870.0</c:v>
                </c:pt>
                <c:pt idx="588">
                  <c:v>5880.0</c:v>
                </c:pt>
                <c:pt idx="589">
                  <c:v>5890.0</c:v>
                </c:pt>
                <c:pt idx="590">
                  <c:v>5900.0</c:v>
                </c:pt>
                <c:pt idx="591">
                  <c:v>5910.0</c:v>
                </c:pt>
                <c:pt idx="592">
                  <c:v>5920.0</c:v>
                </c:pt>
                <c:pt idx="593">
                  <c:v>5930.0</c:v>
                </c:pt>
                <c:pt idx="594">
                  <c:v>5940.0</c:v>
                </c:pt>
                <c:pt idx="595">
                  <c:v>5950.0</c:v>
                </c:pt>
                <c:pt idx="596">
                  <c:v>5960.0</c:v>
                </c:pt>
                <c:pt idx="597">
                  <c:v>5970.0</c:v>
                </c:pt>
                <c:pt idx="598">
                  <c:v>5980.0</c:v>
                </c:pt>
                <c:pt idx="599">
                  <c:v>5990.0</c:v>
                </c:pt>
                <c:pt idx="600">
                  <c:v>6000.0</c:v>
                </c:pt>
                <c:pt idx="601">
                  <c:v>6010.0</c:v>
                </c:pt>
                <c:pt idx="602">
                  <c:v>6020.0</c:v>
                </c:pt>
                <c:pt idx="603">
                  <c:v>6030.0</c:v>
                </c:pt>
                <c:pt idx="604">
                  <c:v>6040.0</c:v>
                </c:pt>
                <c:pt idx="605">
                  <c:v>6050.0</c:v>
                </c:pt>
                <c:pt idx="606">
                  <c:v>6060.0</c:v>
                </c:pt>
                <c:pt idx="607">
                  <c:v>6070.0</c:v>
                </c:pt>
                <c:pt idx="608">
                  <c:v>6080.0</c:v>
                </c:pt>
                <c:pt idx="609">
                  <c:v>6090.0</c:v>
                </c:pt>
                <c:pt idx="610">
                  <c:v>6100.0</c:v>
                </c:pt>
                <c:pt idx="611">
                  <c:v>6110.0</c:v>
                </c:pt>
                <c:pt idx="612">
                  <c:v>6120.0</c:v>
                </c:pt>
                <c:pt idx="613">
                  <c:v>6130.0</c:v>
                </c:pt>
                <c:pt idx="614">
                  <c:v>6140.0</c:v>
                </c:pt>
                <c:pt idx="615">
                  <c:v>6150.0</c:v>
                </c:pt>
                <c:pt idx="616">
                  <c:v>6160.0</c:v>
                </c:pt>
                <c:pt idx="617">
                  <c:v>6170.0</c:v>
                </c:pt>
                <c:pt idx="618">
                  <c:v>6180.0</c:v>
                </c:pt>
                <c:pt idx="619">
                  <c:v>6190.0</c:v>
                </c:pt>
                <c:pt idx="620">
                  <c:v>6200.0</c:v>
                </c:pt>
                <c:pt idx="621">
                  <c:v>6210.0</c:v>
                </c:pt>
                <c:pt idx="622">
                  <c:v>6220.0</c:v>
                </c:pt>
                <c:pt idx="623">
                  <c:v>6230.0</c:v>
                </c:pt>
                <c:pt idx="624">
                  <c:v>6240.0</c:v>
                </c:pt>
                <c:pt idx="625">
                  <c:v>6250.0</c:v>
                </c:pt>
                <c:pt idx="626">
                  <c:v>6260.0</c:v>
                </c:pt>
                <c:pt idx="627">
                  <c:v>6270.0</c:v>
                </c:pt>
                <c:pt idx="628">
                  <c:v>6280.0</c:v>
                </c:pt>
                <c:pt idx="629">
                  <c:v>6290.0</c:v>
                </c:pt>
                <c:pt idx="630">
                  <c:v>6300.0</c:v>
                </c:pt>
                <c:pt idx="631">
                  <c:v>6310.0</c:v>
                </c:pt>
                <c:pt idx="632">
                  <c:v>6320.0</c:v>
                </c:pt>
                <c:pt idx="633">
                  <c:v>6330.0</c:v>
                </c:pt>
                <c:pt idx="634">
                  <c:v>6340.0</c:v>
                </c:pt>
                <c:pt idx="635">
                  <c:v>6350.0</c:v>
                </c:pt>
                <c:pt idx="636">
                  <c:v>6360.0</c:v>
                </c:pt>
                <c:pt idx="637">
                  <c:v>6370.0</c:v>
                </c:pt>
                <c:pt idx="638">
                  <c:v>6380.0</c:v>
                </c:pt>
                <c:pt idx="639">
                  <c:v>6390.0</c:v>
                </c:pt>
                <c:pt idx="640">
                  <c:v>6400.0</c:v>
                </c:pt>
                <c:pt idx="641">
                  <c:v>6410.0</c:v>
                </c:pt>
                <c:pt idx="642">
                  <c:v>6420.0</c:v>
                </c:pt>
                <c:pt idx="643">
                  <c:v>6430.0</c:v>
                </c:pt>
                <c:pt idx="644">
                  <c:v>6440.0</c:v>
                </c:pt>
                <c:pt idx="645">
                  <c:v>6450.0</c:v>
                </c:pt>
                <c:pt idx="646">
                  <c:v>6460.0</c:v>
                </c:pt>
                <c:pt idx="647">
                  <c:v>6470.0</c:v>
                </c:pt>
                <c:pt idx="648">
                  <c:v>6480.0</c:v>
                </c:pt>
                <c:pt idx="649">
                  <c:v>6490.0</c:v>
                </c:pt>
                <c:pt idx="650">
                  <c:v>6500.0</c:v>
                </c:pt>
                <c:pt idx="651">
                  <c:v>6510.0</c:v>
                </c:pt>
                <c:pt idx="652">
                  <c:v>6520.0</c:v>
                </c:pt>
                <c:pt idx="653">
                  <c:v>6530.0</c:v>
                </c:pt>
                <c:pt idx="654">
                  <c:v>6540.0</c:v>
                </c:pt>
                <c:pt idx="655">
                  <c:v>6550.0</c:v>
                </c:pt>
                <c:pt idx="656">
                  <c:v>6560.0</c:v>
                </c:pt>
                <c:pt idx="657">
                  <c:v>6570.0</c:v>
                </c:pt>
                <c:pt idx="658">
                  <c:v>6580.0</c:v>
                </c:pt>
                <c:pt idx="659">
                  <c:v>6590.0</c:v>
                </c:pt>
                <c:pt idx="660">
                  <c:v>6600.0</c:v>
                </c:pt>
                <c:pt idx="661">
                  <c:v>6610.0</c:v>
                </c:pt>
                <c:pt idx="662">
                  <c:v>6620.0</c:v>
                </c:pt>
                <c:pt idx="663">
                  <c:v>6630.0</c:v>
                </c:pt>
                <c:pt idx="664">
                  <c:v>6640.0</c:v>
                </c:pt>
                <c:pt idx="665">
                  <c:v>6650.0</c:v>
                </c:pt>
                <c:pt idx="666">
                  <c:v>6660.0</c:v>
                </c:pt>
                <c:pt idx="667">
                  <c:v>6670.0</c:v>
                </c:pt>
                <c:pt idx="668">
                  <c:v>6680.0</c:v>
                </c:pt>
                <c:pt idx="669">
                  <c:v>6690.0</c:v>
                </c:pt>
                <c:pt idx="670">
                  <c:v>6700.0</c:v>
                </c:pt>
                <c:pt idx="671">
                  <c:v>6710.0</c:v>
                </c:pt>
                <c:pt idx="672">
                  <c:v>6720.0</c:v>
                </c:pt>
                <c:pt idx="673">
                  <c:v>6730.0</c:v>
                </c:pt>
                <c:pt idx="674">
                  <c:v>6740.0</c:v>
                </c:pt>
                <c:pt idx="675">
                  <c:v>6750.0</c:v>
                </c:pt>
                <c:pt idx="676">
                  <c:v>6760.0</c:v>
                </c:pt>
                <c:pt idx="677">
                  <c:v>6770.0</c:v>
                </c:pt>
                <c:pt idx="678">
                  <c:v>6780.0</c:v>
                </c:pt>
                <c:pt idx="679">
                  <c:v>6790.0</c:v>
                </c:pt>
                <c:pt idx="680">
                  <c:v>6800.0</c:v>
                </c:pt>
                <c:pt idx="681">
                  <c:v>6810.0</c:v>
                </c:pt>
                <c:pt idx="682">
                  <c:v>6820.0</c:v>
                </c:pt>
                <c:pt idx="683">
                  <c:v>6830.0</c:v>
                </c:pt>
                <c:pt idx="684">
                  <c:v>6840.0</c:v>
                </c:pt>
                <c:pt idx="685">
                  <c:v>6850.0</c:v>
                </c:pt>
                <c:pt idx="686">
                  <c:v>6860.0</c:v>
                </c:pt>
                <c:pt idx="687">
                  <c:v>6870.0</c:v>
                </c:pt>
                <c:pt idx="688">
                  <c:v>6880.0</c:v>
                </c:pt>
                <c:pt idx="689">
                  <c:v>6890.0</c:v>
                </c:pt>
                <c:pt idx="690">
                  <c:v>6900.0</c:v>
                </c:pt>
                <c:pt idx="691">
                  <c:v>6910.0</c:v>
                </c:pt>
                <c:pt idx="692">
                  <c:v>6920.0</c:v>
                </c:pt>
                <c:pt idx="693">
                  <c:v>6930.0</c:v>
                </c:pt>
                <c:pt idx="694">
                  <c:v>6940.0</c:v>
                </c:pt>
                <c:pt idx="695">
                  <c:v>6950.0</c:v>
                </c:pt>
                <c:pt idx="696">
                  <c:v>6960.0</c:v>
                </c:pt>
                <c:pt idx="697">
                  <c:v>6970.0</c:v>
                </c:pt>
                <c:pt idx="698">
                  <c:v>6980.0</c:v>
                </c:pt>
                <c:pt idx="699">
                  <c:v>6990.0</c:v>
                </c:pt>
                <c:pt idx="700">
                  <c:v>7000.0</c:v>
                </c:pt>
                <c:pt idx="701">
                  <c:v>7010.0</c:v>
                </c:pt>
                <c:pt idx="702">
                  <c:v>7020.0</c:v>
                </c:pt>
                <c:pt idx="703">
                  <c:v>7030.0</c:v>
                </c:pt>
                <c:pt idx="704">
                  <c:v>7040.0</c:v>
                </c:pt>
                <c:pt idx="705">
                  <c:v>7050.0</c:v>
                </c:pt>
                <c:pt idx="706">
                  <c:v>7060.0</c:v>
                </c:pt>
                <c:pt idx="707">
                  <c:v>7070.0</c:v>
                </c:pt>
                <c:pt idx="708">
                  <c:v>7080.0</c:v>
                </c:pt>
                <c:pt idx="709">
                  <c:v>7090.0</c:v>
                </c:pt>
                <c:pt idx="710">
                  <c:v>7100.0</c:v>
                </c:pt>
                <c:pt idx="711">
                  <c:v>7110.0</c:v>
                </c:pt>
                <c:pt idx="712">
                  <c:v>7120.0</c:v>
                </c:pt>
                <c:pt idx="713">
                  <c:v>7130.0</c:v>
                </c:pt>
                <c:pt idx="714">
                  <c:v>7140.0</c:v>
                </c:pt>
                <c:pt idx="715">
                  <c:v>7150.0</c:v>
                </c:pt>
                <c:pt idx="716">
                  <c:v>7160.0</c:v>
                </c:pt>
                <c:pt idx="717">
                  <c:v>7170.0</c:v>
                </c:pt>
                <c:pt idx="718">
                  <c:v>7180.0</c:v>
                </c:pt>
                <c:pt idx="719">
                  <c:v>7190.0</c:v>
                </c:pt>
                <c:pt idx="720">
                  <c:v>7200.0</c:v>
                </c:pt>
                <c:pt idx="721">
                  <c:v>7210.0</c:v>
                </c:pt>
                <c:pt idx="722">
                  <c:v>7220.0</c:v>
                </c:pt>
                <c:pt idx="723">
                  <c:v>7230.0</c:v>
                </c:pt>
                <c:pt idx="724">
                  <c:v>7240.0</c:v>
                </c:pt>
                <c:pt idx="725">
                  <c:v>7250.0</c:v>
                </c:pt>
                <c:pt idx="726">
                  <c:v>7260.0</c:v>
                </c:pt>
                <c:pt idx="727">
                  <c:v>7270.0</c:v>
                </c:pt>
                <c:pt idx="728">
                  <c:v>7280.0</c:v>
                </c:pt>
                <c:pt idx="729">
                  <c:v>7290.0</c:v>
                </c:pt>
                <c:pt idx="730">
                  <c:v>7300.0</c:v>
                </c:pt>
                <c:pt idx="731">
                  <c:v>7310.0</c:v>
                </c:pt>
                <c:pt idx="732">
                  <c:v>7320.0</c:v>
                </c:pt>
                <c:pt idx="733">
                  <c:v>7330.0</c:v>
                </c:pt>
                <c:pt idx="734">
                  <c:v>7340.0</c:v>
                </c:pt>
                <c:pt idx="735">
                  <c:v>7350.0</c:v>
                </c:pt>
                <c:pt idx="736">
                  <c:v>7360.0</c:v>
                </c:pt>
                <c:pt idx="737">
                  <c:v>7370.0</c:v>
                </c:pt>
                <c:pt idx="738">
                  <c:v>7380.0</c:v>
                </c:pt>
                <c:pt idx="739">
                  <c:v>7390.0</c:v>
                </c:pt>
                <c:pt idx="740">
                  <c:v>7400.0</c:v>
                </c:pt>
                <c:pt idx="741">
                  <c:v>7410.0</c:v>
                </c:pt>
                <c:pt idx="742">
                  <c:v>7420.0</c:v>
                </c:pt>
                <c:pt idx="743">
                  <c:v>7430.0</c:v>
                </c:pt>
                <c:pt idx="744">
                  <c:v>7440.0</c:v>
                </c:pt>
                <c:pt idx="745">
                  <c:v>7450.0</c:v>
                </c:pt>
                <c:pt idx="746">
                  <c:v>7460.0</c:v>
                </c:pt>
                <c:pt idx="747">
                  <c:v>7470.0</c:v>
                </c:pt>
                <c:pt idx="748">
                  <c:v>7480.0</c:v>
                </c:pt>
                <c:pt idx="749">
                  <c:v>7490.0</c:v>
                </c:pt>
                <c:pt idx="750">
                  <c:v>7500.0</c:v>
                </c:pt>
                <c:pt idx="751">
                  <c:v>7510.0</c:v>
                </c:pt>
                <c:pt idx="752">
                  <c:v>7520.0</c:v>
                </c:pt>
                <c:pt idx="753">
                  <c:v>7530.0</c:v>
                </c:pt>
                <c:pt idx="754">
                  <c:v>7540.0</c:v>
                </c:pt>
                <c:pt idx="755">
                  <c:v>7550.0</c:v>
                </c:pt>
                <c:pt idx="756">
                  <c:v>7560.0</c:v>
                </c:pt>
                <c:pt idx="757">
                  <c:v>7570.0</c:v>
                </c:pt>
                <c:pt idx="758">
                  <c:v>7580.0</c:v>
                </c:pt>
                <c:pt idx="759">
                  <c:v>7590.0</c:v>
                </c:pt>
                <c:pt idx="760">
                  <c:v>7600.0</c:v>
                </c:pt>
                <c:pt idx="761">
                  <c:v>7610.0</c:v>
                </c:pt>
                <c:pt idx="762">
                  <c:v>7620.0</c:v>
                </c:pt>
                <c:pt idx="763">
                  <c:v>7630.0</c:v>
                </c:pt>
                <c:pt idx="764">
                  <c:v>7640.0</c:v>
                </c:pt>
                <c:pt idx="765">
                  <c:v>7650.0</c:v>
                </c:pt>
                <c:pt idx="766">
                  <c:v>7660.0</c:v>
                </c:pt>
                <c:pt idx="767">
                  <c:v>7670.0</c:v>
                </c:pt>
                <c:pt idx="768">
                  <c:v>7680.0</c:v>
                </c:pt>
                <c:pt idx="769">
                  <c:v>7690.0</c:v>
                </c:pt>
                <c:pt idx="770">
                  <c:v>7700.0</c:v>
                </c:pt>
                <c:pt idx="771">
                  <c:v>7710.0</c:v>
                </c:pt>
                <c:pt idx="772">
                  <c:v>7720.0</c:v>
                </c:pt>
                <c:pt idx="773">
                  <c:v>7730.0</c:v>
                </c:pt>
                <c:pt idx="774">
                  <c:v>7740.0</c:v>
                </c:pt>
                <c:pt idx="775">
                  <c:v>7750.0</c:v>
                </c:pt>
                <c:pt idx="776">
                  <c:v>7760.0</c:v>
                </c:pt>
                <c:pt idx="777">
                  <c:v>7770.0</c:v>
                </c:pt>
                <c:pt idx="778">
                  <c:v>7780.0</c:v>
                </c:pt>
                <c:pt idx="779">
                  <c:v>7790.0</c:v>
                </c:pt>
                <c:pt idx="780">
                  <c:v>7800.0</c:v>
                </c:pt>
                <c:pt idx="781">
                  <c:v>7810.0</c:v>
                </c:pt>
                <c:pt idx="782">
                  <c:v>7820.0</c:v>
                </c:pt>
                <c:pt idx="783">
                  <c:v>7830.0</c:v>
                </c:pt>
                <c:pt idx="784">
                  <c:v>7840.0</c:v>
                </c:pt>
                <c:pt idx="785">
                  <c:v>7850.0</c:v>
                </c:pt>
                <c:pt idx="786">
                  <c:v>7860.0</c:v>
                </c:pt>
                <c:pt idx="787">
                  <c:v>7870.0</c:v>
                </c:pt>
                <c:pt idx="788">
                  <c:v>7880.0</c:v>
                </c:pt>
                <c:pt idx="789">
                  <c:v>7890.0</c:v>
                </c:pt>
                <c:pt idx="790">
                  <c:v>7900.0</c:v>
                </c:pt>
                <c:pt idx="791">
                  <c:v>7910.0</c:v>
                </c:pt>
                <c:pt idx="792">
                  <c:v>7920.0</c:v>
                </c:pt>
                <c:pt idx="793">
                  <c:v>7930.0</c:v>
                </c:pt>
                <c:pt idx="794">
                  <c:v>7940.0</c:v>
                </c:pt>
                <c:pt idx="795">
                  <c:v>7950.0</c:v>
                </c:pt>
                <c:pt idx="796">
                  <c:v>7960.0</c:v>
                </c:pt>
                <c:pt idx="797">
                  <c:v>7970.0</c:v>
                </c:pt>
                <c:pt idx="798">
                  <c:v>7980.0</c:v>
                </c:pt>
                <c:pt idx="799">
                  <c:v>7990.0</c:v>
                </c:pt>
                <c:pt idx="800">
                  <c:v>8000.0</c:v>
                </c:pt>
                <c:pt idx="801">
                  <c:v>8010.0</c:v>
                </c:pt>
                <c:pt idx="802">
                  <c:v>8020.0</c:v>
                </c:pt>
                <c:pt idx="803">
                  <c:v>8030.0</c:v>
                </c:pt>
                <c:pt idx="804">
                  <c:v>8040.0</c:v>
                </c:pt>
                <c:pt idx="805">
                  <c:v>8050.0</c:v>
                </c:pt>
                <c:pt idx="806">
                  <c:v>8060.0</c:v>
                </c:pt>
                <c:pt idx="807">
                  <c:v>8070.0</c:v>
                </c:pt>
                <c:pt idx="808">
                  <c:v>8080.0</c:v>
                </c:pt>
                <c:pt idx="809">
                  <c:v>8090.0</c:v>
                </c:pt>
                <c:pt idx="810">
                  <c:v>8100.0</c:v>
                </c:pt>
                <c:pt idx="811">
                  <c:v>8110.0</c:v>
                </c:pt>
                <c:pt idx="812">
                  <c:v>8120.0</c:v>
                </c:pt>
                <c:pt idx="813">
                  <c:v>8130.0</c:v>
                </c:pt>
                <c:pt idx="814">
                  <c:v>8140.0</c:v>
                </c:pt>
                <c:pt idx="815">
                  <c:v>8150.0</c:v>
                </c:pt>
                <c:pt idx="816">
                  <c:v>8160.0</c:v>
                </c:pt>
                <c:pt idx="817">
                  <c:v>8170.0</c:v>
                </c:pt>
                <c:pt idx="818">
                  <c:v>8180.0</c:v>
                </c:pt>
                <c:pt idx="819">
                  <c:v>8190.0</c:v>
                </c:pt>
                <c:pt idx="820">
                  <c:v>8200.0</c:v>
                </c:pt>
                <c:pt idx="821">
                  <c:v>8210.0</c:v>
                </c:pt>
                <c:pt idx="822">
                  <c:v>8220.0</c:v>
                </c:pt>
                <c:pt idx="823">
                  <c:v>8230.0</c:v>
                </c:pt>
                <c:pt idx="824">
                  <c:v>8240.0</c:v>
                </c:pt>
                <c:pt idx="825">
                  <c:v>8250.0</c:v>
                </c:pt>
                <c:pt idx="826">
                  <c:v>8260.0</c:v>
                </c:pt>
                <c:pt idx="827">
                  <c:v>8270.0</c:v>
                </c:pt>
                <c:pt idx="828">
                  <c:v>8280.0</c:v>
                </c:pt>
                <c:pt idx="829">
                  <c:v>8290.0</c:v>
                </c:pt>
                <c:pt idx="830">
                  <c:v>8300.0</c:v>
                </c:pt>
                <c:pt idx="831">
                  <c:v>8310.0</c:v>
                </c:pt>
                <c:pt idx="832">
                  <c:v>8320.0</c:v>
                </c:pt>
                <c:pt idx="833">
                  <c:v>8330.0</c:v>
                </c:pt>
                <c:pt idx="834">
                  <c:v>8340.0</c:v>
                </c:pt>
                <c:pt idx="835">
                  <c:v>8350.0</c:v>
                </c:pt>
                <c:pt idx="836">
                  <c:v>8360.0</c:v>
                </c:pt>
                <c:pt idx="837">
                  <c:v>8370.0</c:v>
                </c:pt>
                <c:pt idx="838">
                  <c:v>8380.0</c:v>
                </c:pt>
                <c:pt idx="839">
                  <c:v>8390.0</c:v>
                </c:pt>
                <c:pt idx="840">
                  <c:v>8400.0</c:v>
                </c:pt>
                <c:pt idx="841">
                  <c:v>8410.0</c:v>
                </c:pt>
                <c:pt idx="842">
                  <c:v>8420.0</c:v>
                </c:pt>
                <c:pt idx="843">
                  <c:v>8430.0</c:v>
                </c:pt>
                <c:pt idx="844">
                  <c:v>8440.0</c:v>
                </c:pt>
                <c:pt idx="845">
                  <c:v>8450.0</c:v>
                </c:pt>
                <c:pt idx="846">
                  <c:v>8460.0</c:v>
                </c:pt>
                <c:pt idx="847">
                  <c:v>8470.0</c:v>
                </c:pt>
                <c:pt idx="848">
                  <c:v>8480.0</c:v>
                </c:pt>
                <c:pt idx="849">
                  <c:v>8490.0</c:v>
                </c:pt>
                <c:pt idx="850">
                  <c:v>8500.0</c:v>
                </c:pt>
                <c:pt idx="851">
                  <c:v>8510.0</c:v>
                </c:pt>
                <c:pt idx="852">
                  <c:v>8520.0</c:v>
                </c:pt>
                <c:pt idx="853">
                  <c:v>8530.0</c:v>
                </c:pt>
                <c:pt idx="854">
                  <c:v>8540.0</c:v>
                </c:pt>
                <c:pt idx="855">
                  <c:v>8550.0</c:v>
                </c:pt>
                <c:pt idx="856">
                  <c:v>8560.0</c:v>
                </c:pt>
                <c:pt idx="857">
                  <c:v>8570.0</c:v>
                </c:pt>
                <c:pt idx="858">
                  <c:v>8580.0</c:v>
                </c:pt>
                <c:pt idx="859">
                  <c:v>8590.0</c:v>
                </c:pt>
                <c:pt idx="860">
                  <c:v>8600.0</c:v>
                </c:pt>
                <c:pt idx="861">
                  <c:v>8610.0</c:v>
                </c:pt>
                <c:pt idx="862">
                  <c:v>8620.0</c:v>
                </c:pt>
                <c:pt idx="863">
                  <c:v>8630.0</c:v>
                </c:pt>
                <c:pt idx="864">
                  <c:v>8640.0</c:v>
                </c:pt>
                <c:pt idx="865">
                  <c:v>8650.0</c:v>
                </c:pt>
                <c:pt idx="866">
                  <c:v>8660.0</c:v>
                </c:pt>
                <c:pt idx="867">
                  <c:v>8670.0</c:v>
                </c:pt>
                <c:pt idx="868">
                  <c:v>8680.0</c:v>
                </c:pt>
                <c:pt idx="869">
                  <c:v>8690.0</c:v>
                </c:pt>
                <c:pt idx="870">
                  <c:v>8700.0</c:v>
                </c:pt>
                <c:pt idx="871">
                  <c:v>8710.0</c:v>
                </c:pt>
                <c:pt idx="872">
                  <c:v>8720.0</c:v>
                </c:pt>
                <c:pt idx="873">
                  <c:v>8730.0</c:v>
                </c:pt>
                <c:pt idx="874">
                  <c:v>8740.0</c:v>
                </c:pt>
                <c:pt idx="875">
                  <c:v>8750.0</c:v>
                </c:pt>
                <c:pt idx="876">
                  <c:v>8760.0</c:v>
                </c:pt>
                <c:pt idx="877">
                  <c:v>8770.0</c:v>
                </c:pt>
                <c:pt idx="878">
                  <c:v>8780.0</c:v>
                </c:pt>
                <c:pt idx="879">
                  <c:v>8790.0</c:v>
                </c:pt>
                <c:pt idx="880">
                  <c:v>8800.0</c:v>
                </c:pt>
                <c:pt idx="881">
                  <c:v>8810.0</c:v>
                </c:pt>
                <c:pt idx="882">
                  <c:v>8820.0</c:v>
                </c:pt>
                <c:pt idx="883">
                  <c:v>8830.0</c:v>
                </c:pt>
                <c:pt idx="884">
                  <c:v>8840.0</c:v>
                </c:pt>
                <c:pt idx="885">
                  <c:v>8850.0</c:v>
                </c:pt>
                <c:pt idx="886">
                  <c:v>8860.0</c:v>
                </c:pt>
                <c:pt idx="887">
                  <c:v>8870.0</c:v>
                </c:pt>
                <c:pt idx="888">
                  <c:v>8880.0</c:v>
                </c:pt>
                <c:pt idx="889">
                  <c:v>8890.0</c:v>
                </c:pt>
                <c:pt idx="890">
                  <c:v>8900.0</c:v>
                </c:pt>
                <c:pt idx="891">
                  <c:v>8910.0</c:v>
                </c:pt>
                <c:pt idx="892">
                  <c:v>8920.0</c:v>
                </c:pt>
                <c:pt idx="893">
                  <c:v>8930.0</c:v>
                </c:pt>
                <c:pt idx="894">
                  <c:v>8940.0</c:v>
                </c:pt>
                <c:pt idx="895">
                  <c:v>8950.0</c:v>
                </c:pt>
                <c:pt idx="896">
                  <c:v>8960.0</c:v>
                </c:pt>
                <c:pt idx="897">
                  <c:v>8970.0</c:v>
                </c:pt>
                <c:pt idx="898">
                  <c:v>8980.0</c:v>
                </c:pt>
                <c:pt idx="899">
                  <c:v>8990.0</c:v>
                </c:pt>
                <c:pt idx="900">
                  <c:v>9000.0</c:v>
                </c:pt>
                <c:pt idx="901">
                  <c:v>9010.0</c:v>
                </c:pt>
                <c:pt idx="902">
                  <c:v>9020.0</c:v>
                </c:pt>
                <c:pt idx="903">
                  <c:v>9030.0</c:v>
                </c:pt>
                <c:pt idx="904">
                  <c:v>9040.0</c:v>
                </c:pt>
                <c:pt idx="905">
                  <c:v>9050.0</c:v>
                </c:pt>
                <c:pt idx="906">
                  <c:v>9060.0</c:v>
                </c:pt>
                <c:pt idx="907">
                  <c:v>9070.0</c:v>
                </c:pt>
                <c:pt idx="908">
                  <c:v>9080.0</c:v>
                </c:pt>
                <c:pt idx="909">
                  <c:v>9090.0</c:v>
                </c:pt>
                <c:pt idx="910">
                  <c:v>9100.0</c:v>
                </c:pt>
                <c:pt idx="911">
                  <c:v>9110.0</c:v>
                </c:pt>
                <c:pt idx="912">
                  <c:v>9120.0</c:v>
                </c:pt>
                <c:pt idx="913">
                  <c:v>9130.0</c:v>
                </c:pt>
                <c:pt idx="914">
                  <c:v>9140.0</c:v>
                </c:pt>
                <c:pt idx="915">
                  <c:v>9150.0</c:v>
                </c:pt>
                <c:pt idx="916">
                  <c:v>9160.0</c:v>
                </c:pt>
                <c:pt idx="917">
                  <c:v>9170.0</c:v>
                </c:pt>
                <c:pt idx="918">
                  <c:v>9180.0</c:v>
                </c:pt>
                <c:pt idx="919">
                  <c:v>9190.0</c:v>
                </c:pt>
                <c:pt idx="920">
                  <c:v>9200.0</c:v>
                </c:pt>
                <c:pt idx="921">
                  <c:v>9210.0</c:v>
                </c:pt>
                <c:pt idx="922">
                  <c:v>9220.0</c:v>
                </c:pt>
                <c:pt idx="923">
                  <c:v>9230.0</c:v>
                </c:pt>
                <c:pt idx="924">
                  <c:v>9240.0</c:v>
                </c:pt>
                <c:pt idx="925">
                  <c:v>9250.0</c:v>
                </c:pt>
                <c:pt idx="926">
                  <c:v>9260.0</c:v>
                </c:pt>
                <c:pt idx="927">
                  <c:v>9270.0</c:v>
                </c:pt>
                <c:pt idx="928">
                  <c:v>9280.0</c:v>
                </c:pt>
                <c:pt idx="929">
                  <c:v>9290.0</c:v>
                </c:pt>
                <c:pt idx="930">
                  <c:v>9300.0</c:v>
                </c:pt>
                <c:pt idx="931">
                  <c:v>9310.0</c:v>
                </c:pt>
                <c:pt idx="932">
                  <c:v>9320.0</c:v>
                </c:pt>
                <c:pt idx="933">
                  <c:v>9330.0</c:v>
                </c:pt>
                <c:pt idx="934">
                  <c:v>9340.0</c:v>
                </c:pt>
                <c:pt idx="935">
                  <c:v>9350.0</c:v>
                </c:pt>
                <c:pt idx="936">
                  <c:v>9360.0</c:v>
                </c:pt>
                <c:pt idx="937">
                  <c:v>9370.0</c:v>
                </c:pt>
                <c:pt idx="938">
                  <c:v>9380.0</c:v>
                </c:pt>
                <c:pt idx="939">
                  <c:v>9390.0</c:v>
                </c:pt>
                <c:pt idx="940">
                  <c:v>9400.0</c:v>
                </c:pt>
                <c:pt idx="941">
                  <c:v>9410.0</c:v>
                </c:pt>
                <c:pt idx="942">
                  <c:v>9420.0</c:v>
                </c:pt>
                <c:pt idx="943">
                  <c:v>9430.0</c:v>
                </c:pt>
                <c:pt idx="944">
                  <c:v>9440.0</c:v>
                </c:pt>
                <c:pt idx="945">
                  <c:v>9450.0</c:v>
                </c:pt>
                <c:pt idx="946">
                  <c:v>9460.0</c:v>
                </c:pt>
                <c:pt idx="947">
                  <c:v>9470.0</c:v>
                </c:pt>
                <c:pt idx="948">
                  <c:v>9480.0</c:v>
                </c:pt>
                <c:pt idx="949">
                  <c:v>9490.0</c:v>
                </c:pt>
                <c:pt idx="950">
                  <c:v>9500.0</c:v>
                </c:pt>
                <c:pt idx="951">
                  <c:v>9510.0</c:v>
                </c:pt>
                <c:pt idx="952">
                  <c:v>9520.0</c:v>
                </c:pt>
                <c:pt idx="953">
                  <c:v>9530.0</c:v>
                </c:pt>
                <c:pt idx="954">
                  <c:v>9540.0</c:v>
                </c:pt>
                <c:pt idx="955">
                  <c:v>9550.0</c:v>
                </c:pt>
                <c:pt idx="956">
                  <c:v>9560.0</c:v>
                </c:pt>
                <c:pt idx="957">
                  <c:v>9570.0</c:v>
                </c:pt>
                <c:pt idx="958">
                  <c:v>9580.0</c:v>
                </c:pt>
                <c:pt idx="959">
                  <c:v>9590.0</c:v>
                </c:pt>
                <c:pt idx="960">
                  <c:v>9600.0</c:v>
                </c:pt>
                <c:pt idx="961">
                  <c:v>9610.0</c:v>
                </c:pt>
                <c:pt idx="962">
                  <c:v>9620.0</c:v>
                </c:pt>
                <c:pt idx="963">
                  <c:v>9630.0</c:v>
                </c:pt>
                <c:pt idx="964">
                  <c:v>9640.0</c:v>
                </c:pt>
                <c:pt idx="965">
                  <c:v>9650.0</c:v>
                </c:pt>
                <c:pt idx="966">
                  <c:v>9660.0</c:v>
                </c:pt>
                <c:pt idx="967">
                  <c:v>9670.0</c:v>
                </c:pt>
                <c:pt idx="968">
                  <c:v>9680.0</c:v>
                </c:pt>
                <c:pt idx="969">
                  <c:v>9690.0</c:v>
                </c:pt>
                <c:pt idx="970">
                  <c:v>9700.0</c:v>
                </c:pt>
                <c:pt idx="971">
                  <c:v>9710.0</c:v>
                </c:pt>
                <c:pt idx="972">
                  <c:v>9720.0</c:v>
                </c:pt>
                <c:pt idx="973">
                  <c:v>9730.0</c:v>
                </c:pt>
                <c:pt idx="974">
                  <c:v>9740.0</c:v>
                </c:pt>
                <c:pt idx="975">
                  <c:v>9750.0</c:v>
                </c:pt>
                <c:pt idx="976">
                  <c:v>9760.0</c:v>
                </c:pt>
                <c:pt idx="977">
                  <c:v>9770.0</c:v>
                </c:pt>
                <c:pt idx="978">
                  <c:v>9780.0</c:v>
                </c:pt>
                <c:pt idx="979">
                  <c:v>9790.0</c:v>
                </c:pt>
                <c:pt idx="980">
                  <c:v>9800.0</c:v>
                </c:pt>
                <c:pt idx="981">
                  <c:v>9810.0</c:v>
                </c:pt>
                <c:pt idx="982">
                  <c:v>9820.0</c:v>
                </c:pt>
                <c:pt idx="983">
                  <c:v>9830.0</c:v>
                </c:pt>
                <c:pt idx="984">
                  <c:v>9840.0</c:v>
                </c:pt>
                <c:pt idx="985">
                  <c:v>9850.0</c:v>
                </c:pt>
                <c:pt idx="986">
                  <c:v>9860.0</c:v>
                </c:pt>
                <c:pt idx="987">
                  <c:v>9870.0</c:v>
                </c:pt>
                <c:pt idx="988">
                  <c:v>9880.0</c:v>
                </c:pt>
                <c:pt idx="989">
                  <c:v>9890.0</c:v>
                </c:pt>
                <c:pt idx="990">
                  <c:v>9900.0</c:v>
                </c:pt>
                <c:pt idx="991">
                  <c:v>9910.0</c:v>
                </c:pt>
                <c:pt idx="992">
                  <c:v>9920.0</c:v>
                </c:pt>
                <c:pt idx="993">
                  <c:v>9930.0</c:v>
                </c:pt>
                <c:pt idx="994">
                  <c:v>9940.0</c:v>
                </c:pt>
                <c:pt idx="995">
                  <c:v>9950.0</c:v>
                </c:pt>
                <c:pt idx="996">
                  <c:v>9960.0</c:v>
                </c:pt>
                <c:pt idx="997">
                  <c:v>9970.0</c:v>
                </c:pt>
                <c:pt idx="998">
                  <c:v>9980.0</c:v>
                </c:pt>
                <c:pt idx="999">
                  <c:v>9990.0</c:v>
                </c:pt>
                <c:pt idx="1000">
                  <c:v>10000.0</c:v>
                </c:pt>
                <c:pt idx="1001">
                  <c:v>10010.0</c:v>
                </c:pt>
                <c:pt idx="1002">
                  <c:v>10020.0</c:v>
                </c:pt>
                <c:pt idx="1003">
                  <c:v>10030.0</c:v>
                </c:pt>
                <c:pt idx="1004">
                  <c:v>10040.0</c:v>
                </c:pt>
                <c:pt idx="1005">
                  <c:v>10050.0</c:v>
                </c:pt>
                <c:pt idx="1006">
                  <c:v>10060.0</c:v>
                </c:pt>
                <c:pt idx="1007">
                  <c:v>10070.0</c:v>
                </c:pt>
                <c:pt idx="1008">
                  <c:v>10080.0</c:v>
                </c:pt>
                <c:pt idx="1009">
                  <c:v>10090.0</c:v>
                </c:pt>
                <c:pt idx="1010">
                  <c:v>10100.0</c:v>
                </c:pt>
                <c:pt idx="1011">
                  <c:v>10110.0</c:v>
                </c:pt>
                <c:pt idx="1012">
                  <c:v>10120.0</c:v>
                </c:pt>
                <c:pt idx="1013">
                  <c:v>10130.0</c:v>
                </c:pt>
                <c:pt idx="1014">
                  <c:v>10140.0</c:v>
                </c:pt>
                <c:pt idx="1015">
                  <c:v>10150.0</c:v>
                </c:pt>
                <c:pt idx="1016">
                  <c:v>10160.0</c:v>
                </c:pt>
                <c:pt idx="1017">
                  <c:v>10170.0</c:v>
                </c:pt>
                <c:pt idx="1018">
                  <c:v>10180.0</c:v>
                </c:pt>
                <c:pt idx="1019">
                  <c:v>10190.0</c:v>
                </c:pt>
                <c:pt idx="1020">
                  <c:v>10200.0</c:v>
                </c:pt>
                <c:pt idx="1021">
                  <c:v>10210.0</c:v>
                </c:pt>
                <c:pt idx="1022">
                  <c:v>10220.0</c:v>
                </c:pt>
                <c:pt idx="1023">
                  <c:v>10230.0</c:v>
                </c:pt>
                <c:pt idx="1024">
                  <c:v>10240.0</c:v>
                </c:pt>
                <c:pt idx="1025">
                  <c:v>10250.0</c:v>
                </c:pt>
                <c:pt idx="1026">
                  <c:v>10260.0</c:v>
                </c:pt>
                <c:pt idx="1027">
                  <c:v>10270.0</c:v>
                </c:pt>
                <c:pt idx="1028">
                  <c:v>10280.0</c:v>
                </c:pt>
                <c:pt idx="1029">
                  <c:v>10290.0</c:v>
                </c:pt>
                <c:pt idx="1030">
                  <c:v>10300.0</c:v>
                </c:pt>
                <c:pt idx="1031">
                  <c:v>10310.0</c:v>
                </c:pt>
                <c:pt idx="1032">
                  <c:v>10320.0</c:v>
                </c:pt>
                <c:pt idx="1033">
                  <c:v>10330.0</c:v>
                </c:pt>
                <c:pt idx="1034">
                  <c:v>10340.0</c:v>
                </c:pt>
                <c:pt idx="1035">
                  <c:v>10350.0</c:v>
                </c:pt>
                <c:pt idx="1036">
                  <c:v>10360.0</c:v>
                </c:pt>
                <c:pt idx="1037">
                  <c:v>10370.0</c:v>
                </c:pt>
                <c:pt idx="1038">
                  <c:v>10380.0</c:v>
                </c:pt>
                <c:pt idx="1039">
                  <c:v>10390.0</c:v>
                </c:pt>
                <c:pt idx="1040">
                  <c:v>10400.0</c:v>
                </c:pt>
                <c:pt idx="1041">
                  <c:v>10410.0</c:v>
                </c:pt>
                <c:pt idx="1042">
                  <c:v>10420.0</c:v>
                </c:pt>
                <c:pt idx="1043">
                  <c:v>10430.0</c:v>
                </c:pt>
                <c:pt idx="1044">
                  <c:v>10440.0</c:v>
                </c:pt>
                <c:pt idx="1045">
                  <c:v>10450.0</c:v>
                </c:pt>
                <c:pt idx="1046">
                  <c:v>10460.0</c:v>
                </c:pt>
                <c:pt idx="1047">
                  <c:v>10470.0</c:v>
                </c:pt>
                <c:pt idx="1048">
                  <c:v>10480.0</c:v>
                </c:pt>
                <c:pt idx="1049">
                  <c:v>10490.0</c:v>
                </c:pt>
                <c:pt idx="1050">
                  <c:v>10500.0</c:v>
                </c:pt>
                <c:pt idx="1051">
                  <c:v>10510.0</c:v>
                </c:pt>
                <c:pt idx="1052">
                  <c:v>10520.0</c:v>
                </c:pt>
                <c:pt idx="1053">
                  <c:v>10530.0</c:v>
                </c:pt>
                <c:pt idx="1054">
                  <c:v>10540.0</c:v>
                </c:pt>
                <c:pt idx="1055">
                  <c:v>10550.0</c:v>
                </c:pt>
                <c:pt idx="1056">
                  <c:v>10560.0</c:v>
                </c:pt>
                <c:pt idx="1057">
                  <c:v>10570.0</c:v>
                </c:pt>
                <c:pt idx="1058">
                  <c:v>10580.0</c:v>
                </c:pt>
                <c:pt idx="1059">
                  <c:v>10590.0</c:v>
                </c:pt>
                <c:pt idx="1060">
                  <c:v>10600.0</c:v>
                </c:pt>
                <c:pt idx="1061">
                  <c:v>10610.0</c:v>
                </c:pt>
                <c:pt idx="1062">
                  <c:v>10620.0</c:v>
                </c:pt>
                <c:pt idx="1063">
                  <c:v>10630.0</c:v>
                </c:pt>
                <c:pt idx="1064">
                  <c:v>10640.0</c:v>
                </c:pt>
                <c:pt idx="1065">
                  <c:v>10650.0</c:v>
                </c:pt>
                <c:pt idx="1066">
                  <c:v>10660.0</c:v>
                </c:pt>
                <c:pt idx="1067">
                  <c:v>10670.0</c:v>
                </c:pt>
                <c:pt idx="1068">
                  <c:v>10680.0</c:v>
                </c:pt>
                <c:pt idx="1069">
                  <c:v>10690.0</c:v>
                </c:pt>
                <c:pt idx="1070">
                  <c:v>10700.0</c:v>
                </c:pt>
                <c:pt idx="1071">
                  <c:v>10710.0</c:v>
                </c:pt>
                <c:pt idx="1072">
                  <c:v>10720.0</c:v>
                </c:pt>
                <c:pt idx="1073">
                  <c:v>10730.0</c:v>
                </c:pt>
                <c:pt idx="1074">
                  <c:v>10740.0</c:v>
                </c:pt>
                <c:pt idx="1075">
                  <c:v>10750.0</c:v>
                </c:pt>
                <c:pt idx="1076">
                  <c:v>10760.0</c:v>
                </c:pt>
                <c:pt idx="1077">
                  <c:v>10770.0</c:v>
                </c:pt>
                <c:pt idx="1078">
                  <c:v>10780.0</c:v>
                </c:pt>
                <c:pt idx="1079">
                  <c:v>10790.0</c:v>
                </c:pt>
                <c:pt idx="1080">
                  <c:v>10800.0</c:v>
                </c:pt>
                <c:pt idx="1081">
                  <c:v>10810.0</c:v>
                </c:pt>
                <c:pt idx="1082">
                  <c:v>10820.0</c:v>
                </c:pt>
                <c:pt idx="1083">
                  <c:v>10830.0</c:v>
                </c:pt>
                <c:pt idx="1084">
                  <c:v>10840.0</c:v>
                </c:pt>
                <c:pt idx="1085">
                  <c:v>10850.0</c:v>
                </c:pt>
                <c:pt idx="1086">
                  <c:v>10860.0</c:v>
                </c:pt>
                <c:pt idx="1087">
                  <c:v>10870.0</c:v>
                </c:pt>
                <c:pt idx="1088">
                  <c:v>10880.0</c:v>
                </c:pt>
                <c:pt idx="1089">
                  <c:v>10890.0</c:v>
                </c:pt>
                <c:pt idx="1090">
                  <c:v>10900.0</c:v>
                </c:pt>
                <c:pt idx="1091">
                  <c:v>10910.0</c:v>
                </c:pt>
                <c:pt idx="1092">
                  <c:v>10920.0</c:v>
                </c:pt>
                <c:pt idx="1093">
                  <c:v>10930.0</c:v>
                </c:pt>
                <c:pt idx="1094">
                  <c:v>10940.0</c:v>
                </c:pt>
                <c:pt idx="1095">
                  <c:v>10950.0</c:v>
                </c:pt>
                <c:pt idx="1096">
                  <c:v>10960.0</c:v>
                </c:pt>
                <c:pt idx="1097">
                  <c:v>10970.0</c:v>
                </c:pt>
                <c:pt idx="1098">
                  <c:v>10980.0</c:v>
                </c:pt>
                <c:pt idx="1099">
                  <c:v>10990.0</c:v>
                </c:pt>
                <c:pt idx="1100">
                  <c:v>11000.0</c:v>
                </c:pt>
                <c:pt idx="1101">
                  <c:v>11010.0</c:v>
                </c:pt>
                <c:pt idx="1102">
                  <c:v>11020.0</c:v>
                </c:pt>
                <c:pt idx="1103">
                  <c:v>11030.0</c:v>
                </c:pt>
                <c:pt idx="1104">
                  <c:v>11040.0</c:v>
                </c:pt>
                <c:pt idx="1105">
                  <c:v>11050.0</c:v>
                </c:pt>
                <c:pt idx="1106">
                  <c:v>11060.0</c:v>
                </c:pt>
                <c:pt idx="1107">
                  <c:v>11070.0</c:v>
                </c:pt>
                <c:pt idx="1108">
                  <c:v>11080.0</c:v>
                </c:pt>
                <c:pt idx="1109">
                  <c:v>11090.0</c:v>
                </c:pt>
                <c:pt idx="1110">
                  <c:v>11100.0</c:v>
                </c:pt>
                <c:pt idx="1111">
                  <c:v>11110.0</c:v>
                </c:pt>
                <c:pt idx="1112">
                  <c:v>11120.0</c:v>
                </c:pt>
                <c:pt idx="1113">
                  <c:v>11130.0</c:v>
                </c:pt>
                <c:pt idx="1114">
                  <c:v>11140.0</c:v>
                </c:pt>
                <c:pt idx="1115">
                  <c:v>11150.0</c:v>
                </c:pt>
                <c:pt idx="1116">
                  <c:v>11160.0</c:v>
                </c:pt>
                <c:pt idx="1117">
                  <c:v>11170.0</c:v>
                </c:pt>
                <c:pt idx="1118">
                  <c:v>11180.0</c:v>
                </c:pt>
                <c:pt idx="1119">
                  <c:v>11190.0</c:v>
                </c:pt>
                <c:pt idx="1120">
                  <c:v>11200.0</c:v>
                </c:pt>
                <c:pt idx="1121">
                  <c:v>11210.0</c:v>
                </c:pt>
                <c:pt idx="1122">
                  <c:v>11220.0</c:v>
                </c:pt>
                <c:pt idx="1123">
                  <c:v>11230.0</c:v>
                </c:pt>
                <c:pt idx="1124">
                  <c:v>11240.0</c:v>
                </c:pt>
                <c:pt idx="1125">
                  <c:v>11250.0</c:v>
                </c:pt>
                <c:pt idx="1126">
                  <c:v>11260.0</c:v>
                </c:pt>
                <c:pt idx="1127">
                  <c:v>11270.0</c:v>
                </c:pt>
                <c:pt idx="1128">
                  <c:v>11280.0</c:v>
                </c:pt>
                <c:pt idx="1129">
                  <c:v>11290.0</c:v>
                </c:pt>
                <c:pt idx="1130">
                  <c:v>11300.0</c:v>
                </c:pt>
                <c:pt idx="1131">
                  <c:v>11310.0</c:v>
                </c:pt>
                <c:pt idx="1132">
                  <c:v>11320.0</c:v>
                </c:pt>
                <c:pt idx="1133">
                  <c:v>11330.0</c:v>
                </c:pt>
                <c:pt idx="1134">
                  <c:v>11340.0</c:v>
                </c:pt>
                <c:pt idx="1135">
                  <c:v>11350.0</c:v>
                </c:pt>
                <c:pt idx="1136">
                  <c:v>11360.0</c:v>
                </c:pt>
                <c:pt idx="1137">
                  <c:v>11370.0</c:v>
                </c:pt>
                <c:pt idx="1138">
                  <c:v>11380.0</c:v>
                </c:pt>
                <c:pt idx="1139">
                  <c:v>11390.0</c:v>
                </c:pt>
                <c:pt idx="1140">
                  <c:v>11400.0</c:v>
                </c:pt>
                <c:pt idx="1141">
                  <c:v>11410.0</c:v>
                </c:pt>
                <c:pt idx="1142">
                  <c:v>11420.0</c:v>
                </c:pt>
                <c:pt idx="1143">
                  <c:v>11430.0</c:v>
                </c:pt>
                <c:pt idx="1144">
                  <c:v>11440.0</c:v>
                </c:pt>
                <c:pt idx="1145">
                  <c:v>11450.0</c:v>
                </c:pt>
                <c:pt idx="1146">
                  <c:v>11460.0</c:v>
                </c:pt>
                <c:pt idx="1147">
                  <c:v>11470.0</c:v>
                </c:pt>
                <c:pt idx="1148">
                  <c:v>11480.0</c:v>
                </c:pt>
                <c:pt idx="1149">
                  <c:v>11490.0</c:v>
                </c:pt>
                <c:pt idx="1150">
                  <c:v>11500.0</c:v>
                </c:pt>
                <c:pt idx="1151">
                  <c:v>11510.0</c:v>
                </c:pt>
                <c:pt idx="1152">
                  <c:v>11520.0</c:v>
                </c:pt>
                <c:pt idx="1153">
                  <c:v>11530.0</c:v>
                </c:pt>
                <c:pt idx="1154">
                  <c:v>11540.0</c:v>
                </c:pt>
                <c:pt idx="1155">
                  <c:v>11550.0</c:v>
                </c:pt>
                <c:pt idx="1156">
                  <c:v>11560.0</c:v>
                </c:pt>
                <c:pt idx="1157">
                  <c:v>11570.0</c:v>
                </c:pt>
                <c:pt idx="1158">
                  <c:v>11580.0</c:v>
                </c:pt>
                <c:pt idx="1159">
                  <c:v>11590.0</c:v>
                </c:pt>
                <c:pt idx="1160">
                  <c:v>11600.0</c:v>
                </c:pt>
                <c:pt idx="1161">
                  <c:v>11610.0</c:v>
                </c:pt>
                <c:pt idx="1162">
                  <c:v>11620.0</c:v>
                </c:pt>
                <c:pt idx="1163">
                  <c:v>11630.0</c:v>
                </c:pt>
                <c:pt idx="1164">
                  <c:v>11640.0</c:v>
                </c:pt>
                <c:pt idx="1165">
                  <c:v>11650.0</c:v>
                </c:pt>
                <c:pt idx="1166">
                  <c:v>11660.0</c:v>
                </c:pt>
                <c:pt idx="1167">
                  <c:v>11670.0</c:v>
                </c:pt>
                <c:pt idx="1168">
                  <c:v>11680.0</c:v>
                </c:pt>
                <c:pt idx="1169">
                  <c:v>11690.0</c:v>
                </c:pt>
                <c:pt idx="1170">
                  <c:v>11700.0</c:v>
                </c:pt>
                <c:pt idx="1171">
                  <c:v>11710.0</c:v>
                </c:pt>
                <c:pt idx="1172">
                  <c:v>11720.0</c:v>
                </c:pt>
                <c:pt idx="1173">
                  <c:v>11730.0</c:v>
                </c:pt>
                <c:pt idx="1174">
                  <c:v>11740.0</c:v>
                </c:pt>
                <c:pt idx="1175">
                  <c:v>11750.0</c:v>
                </c:pt>
                <c:pt idx="1176">
                  <c:v>11760.0</c:v>
                </c:pt>
                <c:pt idx="1177">
                  <c:v>11770.0</c:v>
                </c:pt>
                <c:pt idx="1178">
                  <c:v>11780.0</c:v>
                </c:pt>
                <c:pt idx="1179">
                  <c:v>11790.0</c:v>
                </c:pt>
                <c:pt idx="1180">
                  <c:v>11800.0</c:v>
                </c:pt>
                <c:pt idx="1181">
                  <c:v>11810.0</c:v>
                </c:pt>
                <c:pt idx="1182">
                  <c:v>11820.0</c:v>
                </c:pt>
                <c:pt idx="1183">
                  <c:v>11830.0</c:v>
                </c:pt>
                <c:pt idx="1184">
                  <c:v>11840.0</c:v>
                </c:pt>
                <c:pt idx="1185">
                  <c:v>11850.0</c:v>
                </c:pt>
                <c:pt idx="1186">
                  <c:v>11860.0</c:v>
                </c:pt>
                <c:pt idx="1187">
                  <c:v>11870.0</c:v>
                </c:pt>
                <c:pt idx="1188">
                  <c:v>11880.0</c:v>
                </c:pt>
                <c:pt idx="1189">
                  <c:v>11890.0</c:v>
                </c:pt>
                <c:pt idx="1190">
                  <c:v>11900.0</c:v>
                </c:pt>
                <c:pt idx="1191">
                  <c:v>11910.0</c:v>
                </c:pt>
                <c:pt idx="1192">
                  <c:v>11920.0</c:v>
                </c:pt>
                <c:pt idx="1193">
                  <c:v>11930.0</c:v>
                </c:pt>
                <c:pt idx="1194">
                  <c:v>11940.0</c:v>
                </c:pt>
                <c:pt idx="1195">
                  <c:v>11950.0</c:v>
                </c:pt>
                <c:pt idx="1196">
                  <c:v>11960.0</c:v>
                </c:pt>
                <c:pt idx="1197">
                  <c:v>11970.0</c:v>
                </c:pt>
                <c:pt idx="1198">
                  <c:v>11980.0</c:v>
                </c:pt>
                <c:pt idx="1199">
                  <c:v>11990.0</c:v>
                </c:pt>
                <c:pt idx="1200">
                  <c:v>12000.0</c:v>
                </c:pt>
                <c:pt idx="1201">
                  <c:v>12010.0</c:v>
                </c:pt>
                <c:pt idx="1202">
                  <c:v>12020.0</c:v>
                </c:pt>
                <c:pt idx="1203">
                  <c:v>12030.0</c:v>
                </c:pt>
                <c:pt idx="1204">
                  <c:v>12040.0</c:v>
                </c:pt>
                <c:pt idx="1205">
                  <c:v>12050.0</c:v>
                </c:pt>
                <c:pt idx="1206">
                  <c:v>12060.0</c:v>
                </c:pt>
                <c:pt idx="1207">
                  <c:v>12070.0</c:v>
                </c:pt>
                <c:pt idx="1208">
                  <c:v>12080.0</c:v>
                </c:pt>
                <c:pt idx="1209">
                  <c:v>12090.0</c:v>
                </c:pt>
                <c:pt idx="1210">
                  <c:v>12100.0</c:v>
                </c:pt>
                <c:pt idx="1211">
                  <c:v>12110.0</c:v>
                </c:pt>
                <c:pt idx="1212">
                  <c:v>12120.0</c:v>
                </c:pt>
                <c:pt idx="1213">
                  <c:v>12130.0</c:v>
                </c:pt>
                <c:pt idx="1214">
                  <c:v>12140.0</c:v>
                </c:pt>
                <c:pt idx="1215">
                  <c:v>12150.0</c:v>
                </c:pt>
                <c:pt idx="1216">
                  <c:v>12160.0</c:v>
                </c:pt>
                <c:pt idx="1217">
                  <c:v>12170.0</c:v>
                </c:pt>
                <c:pt idx="1218">
                  <c:v>12180.0</c:v>
                </c:pt>
                <c:pt idx="1219">
                  <c:v>12190.0</c:v>
                </c:pt>
                <c:pt idx="1220">
                  <c:v>12200.0</c:v>
                </c:pt>
                <c:pt idx="1221">
                  <c:v>12210.0</c:v>
                </c:pt>
                <c:pt idx="1222">
                  <c:v>12220.0</c:v>
                </c:pt>
                <c:pt idx="1223">
                  <c:v>12230.0</c:v>
                </c:pt>
                <c:pt idx="1224">
                  <c:v>12240.0</c:v>
                </c:pt>
                <c:pt idx="1225">
                  <c:v>12250.0</c:v>
                </c:pt>
                <c:pt idx="1226">
                  <c:v>12260.0</c:v>
                </c:pt>
                <c:pt idx="1227">
                  <c:v>12270.0</c:v>
                </c:pt>
                <c:pt idx="1228">
                  <c:v>12280.0</c:v>
                </c:pt>
                <c:pt idx="1229">
                  <c:v>12290.0</c:v>
                </c:pt>
                <c:pt idx="1230">
                  <c:v>12300.0</c:v>
                </c:pt>
                <c:pt idx="1231">
                  <c:v>12310.0</c:v>
                </c:pt>
                <c:pt idx="1232">
                  <c:v>12320.0</c:v>
                </c:pt>
                <c:pt idx="1233">
                  <c:v>12330.0</c:v>
                </c:pt>
                <c:pt idx="1234">
                  <c:v>12340.0</c:v>
                </c:pt>
                <c:pt idx="1235">
                  <c:v>12350.0</c:v>
                </c:pt>
                <c:pt idx="1236">
                  <c:v>12360.0</c:v>
                </c:pt>
                <c:pt idx="1237">
                  <c:v>12370.0</c:v>
                </c:pt>
                <c:pt idx="1238">
                  <c:v>12380.0</c:v>
                </c:pt>
                <c:pt idx="1239">
                  <c:v>12390.0</c:v>
                </c:pt>
                <c:pt idx="1240">
                  <c:v>12400.0</c:v>
                </c:pt>
                <c:pt idx="1241">
                  <c:v>12410.0</c:v>
                </c:pt>
                <c:pt idx="1242">
                  <c:v>12420.0</c:v>
                </c:pt>
                <c:pt idx="1243">
                  <c:v>12430.0</c:v>
                </c:pt>
                <c:pt idx="1244">
                  <c:v>12440.0</c:v>
                </c:pt>
                <c:pt idx="1245">
                  <c:v>12450.0</c:v>
                </c:pt>
                <c:pt idx="1246">
                  <c:v>12460.0</c:v>
                </c:pt>
                <c:pt idx="1247">
                  <c:v>12470.0</c:v>
                </c:pt>
                <c:pt idx="1248">
                  <c:v>12480.0</c:v>
                </c:pt>
                <c:pt idx="1249">
                  <c:v>12490.0</c:v>
                </c:pt>
                <c:pt idx="1250">
                  <c:v>12500.0</c:v>
                </c:pt>
                <c:pt idx="1251">
                  <c:v>12510.0</c:v>
                </c:pt>
                <c:pt idx="1252">
                  <c:v>12520.0</c:v>
                </c:pt>
                <c:pt idx="1253">
                  <c:v>12530.0</c:v>
                </c:pt>
                <c:pt idx="1254">
                  <c:v>12540.0</c:v>
                </c:pt>
                <c:pt idx="1255">
                  <c:v>12550.0</c:v>
                </c:pt>
                <c:pt idx="1256">
                  <c:v>12560.0</c:v>
                </c:pt>
                <c:pt idx="1257">
                  <c:v>12570.0</c:v>
                </c:pt>
                <c:pt idx="1258">
                  <c:v>12580.0</c:v>
                </c:pt>
                <c:pt idx="1259">
                  <c:v>12590.0</c:v>
                </c:pt>
                <c:pt idx="1260">
                  <c:v>12600.0</c:v>
                </c:pt>
                <c:pt idx="1261">
                  <c:v>12610.0</c:v>
                </c:pt>
                <c:pt idx="1262">
                  <c:v>12620.0</c:v>
                </c:pt>
                <c:pt idx="1263">
                  <c:v>12630.0</c:v>
                </c:pt>
                <c:pt idx="1264">
                  <c:v>12640.0</c:v>
                </c:pt>
                <c:pt idx="1265">
                  <c:v>12650.0</c:v>
                </c:pt>
                <c:pt idx="1266">
                  <c:v>12660.0</c:v>
                </c:pt>
                <c:pt idx="1267">
                  <c:v>12670.0</c:v>
                </c:pt>
                <c:pt idx="1268">
                  <c:v>12680.0</c:v>
                </c:pt>
                <c:pt idx="1269">
                  <c:v>12690.0</c:v>
                </c:pt>
                <c:pt idx="1270">
                  <c:v>12700.0</c:v>
                </c:pt>
                <c:pt idx="1271">
                  <c:v>12710.0</c:v>
                </c:pt>
                <c:pt idx="1272">
                  <c:v>12720.0</c:v>
                </c:pt>
                <c:pt idx="1273">
                  <c:v>12730.0</c:v>
                </c:pt>
                <c:pt idx="1274">
                  <c:v>12740.0</c:v>
                </c:pt>
                <c:pt idx="1275">
                  <c:v>12750.0</c:v>
                </c:pt>
                <c:pt idx="1276">
                  <c:v>12760.0</c:v>
                </c:pt>
                <c:pt idx="1277">
                  <c:v>12770.0</c:v>
                </c:pt>
                <c:pt idx="1278">
                  <c:v>12780.0</c:v>
                </c:pt>
                <c:pt idx="1279">
                  <c:v>12790.0</c:v>
                </c:pt>
                <c:pt idx="1280">
                  <c:v>12800.0</c:v>
                </c:pt>
                <c:pt idx="1281">
                  <c:v>12810.0</c:v>
                </c:pt>
                <c:pt idx="1282">
                  <c:v>12820.0</c:v>
                </c:pt>
                <c:pt idx="1283">
                  <c:v>12830.0</c:v>
                </c:pt>
                <c:pt idx="1284">
                  <c:v>12840.0</c:v>
                </c:pt>
                <c:pt idx="1285">
                  <c:v>12850.0</c:v>
                </c:pt>
                <c:pt idx="1286">
                  <c:v>12860.0</c:v>
                </c:pt>
                <c:pt idx="1287">
                  <c:v>12870.0</c:v>
                </c:pt>
                <c:pt idx="1288">
                  <c:v>12880.0</c:v>
                </c:pt>
                <c:pt idx="1289">
                  <c:v>12890.0</c:v>
                </c:pt>
                <c:pt idx="1290">
                  <c:v>12900.0</c:v>
                </c:pt>
                <c:pt idx="1291">
                  <c:v>12910.0</c:v>
                </c:pt>
                <c:pt idx="1292">
                  <c:v>12920.0</c:v>
                </c:pt>
                <c:pt idx="1293">
                  <c:v>12930.0</c:v>
                </c:pt>
                <c:pt idx="1294">
                  <c:v>12940.0</c:v>
                </c:pt>
                <c:pt idx="1295">
                  <c:v>12950.0</c:v>
                </c:pt>
                <c:pt idx="1296">
                  <c:v>12960.0</c:v>
                </c:pt>
                <c:pt idx="1297">
                  <c:v>12970.0</c:v>
                </c:pt>
                <c:pt idx="1298">
                  <c:v>12980.0</c:v>
                </c:pt>
                <c:pt idx="1299">
                  <c:v>12990.0</c:v>
                </c:pt>
                <c:pt idx="1300">
                  <c:v>13000.0</c:v>
                </c:pt>
                <c:pt idx="1301">
                  <c:v>13010.0</c:v>
                </c:pt>
                <c:pt idx="1302">
                  <c:v>13020.0</c:v>
                </c:pt>
                <c:pt idx="1303">
                  <c:v>13030.0</c:v>
                </c:pt>
                <c:pt idx="1304">
                  <c:v>13040.0</c:v>
                </c:pt>
                <c:pt idx="1305">
                  <c:v>13050.0</c:v>
                </c:pt>
                <c:pt idx="1306">
                  <c:v>13060.0</c:v>
                </c:pt>
                <c:pt idx="1307">
                  <c:v>13070.0</c:v>
                </c:pt>
                <c:pt idx="1308">
                  <c:v>13080.0</c:v>
                </c:pt>
                <c:pt idx="1309">
                  <c:v>13090.0</c:v>
                </c:pt>
                <c:pt idx="1310">
                  <c:v>13100.0</c:v>
                </c:pt>
                <c:pt idx="1311">
                  <c:v>13110.0</c:v>
                </c:pt>
                <c:pt idx="1312">
                  <c:v>13120.0</c:v>
                </c:pt>
                <c:pt idx="1313">
                  <c:v>13130.0</c:v>
                </c:pt>
                <c:pt idx="1314">
                  <c:v>13140.0</c:v>
                </c:pt>
                <c:pt idx="1315">
                  <c:v>13150.0</c:v>
                </c:pt>
                <c:pt idx="1316">
                  <c:v>13160.0</c:v>
                </c:pt>
                <c:pt idx="1317">
                  <c:v>13170.0</c:v>
                </c:pt>
                <c:pt idx="1318">
                  <c:v>13180.0</c:v>
                </c:pt>
                <c:pt idx="1319">
                  <c:v>13190.0</c:v>
                </c:pt>
                <c:pt idx="1320">
                  <c:v>13200.0</c:v>
                </c:pt>
                <c:pt idx="1321">
                  <c:v>13210.0</c:v>
                </c:pt>
                <c:pt idx="1322">
                  <c:v>13220.0</c:v>
                </c:pt>
                <c:pt idx="1323">
                  <c:v>13230.0</c:v>
                </c:pt>
                <c:pt idx="1324">
                  <c:v>13240.0</c:v>
                </c:pt>
                <c:pt idx="1325">
                  <c:v>13250.0</c:v>
                </c:pt>
                <c:pt idx="1326">
                  <c:v>13260.0</c:v>
                </c:pt>
                <c:pt idx="1327">
                  <c:v>13270.0</c:v>
                </c:pt>
                <c:pt idx="1328">
                  <c:v>13280.0</c:v>
                </c:pt>
                <c:pt idx="1329">
                  <c:v>13290.0</c:v>
                </c:pt>
                <c:pt idx="1330">
                  <c:v>13300.0</c:v>
                </c:pt>
                <c:pt idx="1331">
                  <c:v>13310.0</c:v>
                </c:pt>
                <c:pt idx="1332">
                  <c:v>13320.0</c:v>
                </c:pt>
                <c:pt idx="1333">
                  <c:v>13330.0</c:v>
                </c:pt>
                <c:pt idx="1334">
                  <c:v>13340.0</c:v>
                </c:pt>
                <c:pt idx="1335">
                  <c:v>13350.0</c:v>
                </c:pt>
                <c:pt idx="1336">
                  <c:v>13360.0</c:v>
                </c:pt>
                <c:pt idx="1337">
                  <c:v>13370.0</c:v>
                </c:pt>
                <c:pt idx="1338">
                  <c:v>13380.0</c:v>
                </c:pt>
                <c:pt idx="1339">
                  <c:v>13390.0</c:v>
                </c:pt>
                <c:pt idx="1340">
                  <c:v>13400.0</c:v>
                </c:pt>
                <c:pt idx="1341">
                  <c:v>13410.0</c:v>
                </c:pt>
                <c:pt idx="1342">
                  <c:v>13420.0</c:v>
                </c:pt>
                <c:pt idx="1343">
                  <c:v>13430.0</c:v>
                </c:pt>
                <c:pt idx="1344">
                  <c:v>13440.0</c:v>
                </c:pt>
                <c:pt idx="1345">
                  <c:v>13450.0</c:v>
                </c:pt>
                <c:pt idx="1346">
                  <c:v>13460.0</c:v>
                </c:pt>
                <c:pt idx="1347">
                  <c:v>13470.0</c:v>
                </c:pt>
                <c:pt idx="1348">
                  <c:v>13480.0</c:v>
                </c:pt>
                <c:pt idx="1349">
                  <c:v>13490.0</c:v>
                </c:pt>
                <c:pt idx="1350">
                  <c:v>13500.0</c:v>
                </c:pt>
                <c:pt idx="1351">
                  <c:v>13510.0</c:v>
                </c:pt>
                <c:pt idx="1352">
                  <c:v>13520.0</c:v>
                </c:pt>
                <c:pt idx="1353">
                  <c:v>13530.0</c:v>
                </c:pt>
                <c:pt idx="1354">
                  <c:v>13540.0</c:v>
                </c:pt>
                <c:pt idx="1355">
                  <c:v>13550.0</c:v>
                </c:pt>
                <c:pt idx="1356">
                  <c:v>13560.0</c:v>
                </c:pt>
                <c:pt idx="1357">
                  <c:v>13570.0</c:v>
                </c:pt>
                <c:pt idx="1358">
                  <c:v>13580.0</c:v>
                </c:pt>
                <c:pt idx="1359">
                  <c:v>13590.0</c:v>
                </c:pt>
                <c:pt idx="1360">
                  <c:v>13600.0</c:v>
                </c:pt>
                <c:pt idx="1361">
                  <c:v>13610.0</c:v>
                </c:pt>
                <c:pt idx="1362">
                  <c:v>13620.0</c:v>
                </c:pt>
                <c:pt idx="1363">
                  <c:v>13630.0</c:v>
                </c:pt>
                <c:pt idx="1364">
                  <c:v>13640.0</c:v>
                </c:pt>
                <c:pt idx="1365">
                  <c:v>13650.0</c:v>
                </c:pt>
                <c:pt idx="1366">
                  <c:v>13660.0</c:v>
                </c:pt>
                <c:pt idx="1367">
                  <c:v>13670.0</c:v>
                </c:pt>
                <c:pt idx="1368">
                  <c:v>13680.0</c:v>
                </c:pt>
                <c:pt idx="1369">
                  <c:v>13690.0</c:v>
                </c:pt>
                <c:pt idx="1370">
                  <c:v>13700.0</c:v>
                </c:pt>
                <c:pt idx="1371">
                  <c:v>13710.0</c:v>
                </c:pt>
                <c:pt idx="1372">
                  <c:v>13720.0</c:v>
                </c:pt>
                <c:pt idx="1373">
                  <c:v>13730.0</c:v>
                </c:pt>
                <c:pt idx="1374">
                  <c:v>13740.0</c:v>
                </c:pt>
                <c:pt idx="1375">
                  <c:v>13750.0</c:v>
                </c:pt>
                <c:pt idx="1376">
                  <c:v>13760.0</c:v>
                </c:pt>
                <c:pt idx="1377">
                  <c:v>13770.0</c:v>
                </c:pt>
                <c:pt idx="1378">
                  <c:v>13780.0</c:v>
                </c:pt>
                <c:pt idx="1379">
                  <c:v>13790.0</c:v>
                </c:pt>
                <c:pt idx="1380">
                  <c:v>13800.0</c:v>
                </c:pt>
                <c:pt idx="1381">
                  <c:v>13810.0</c:v>
                </c:pt>
                <c:pt idx="1382">
                  <c:v>13820.0</c:v>
                </c:pt>
                <c:pt idx="1383">
                  <c:v>13830.0</c:v>
                </c:pt>
                <c:pt idx="1384">
                  <c:v>13840.0</c:v>
                </c:pt>
                <c:pt idx="1385">
                  <c:v>13850.0</c:v>
                </c:pt>
                <c:pt idx="1386">
                  <c:v>13860.0</c:v>
                </c:pt>
                <c:pt idx="1387">
                  <c:v>13870.0</c:v>
                </c:pt>
                <c:pt idx="1388">
                  <c:v>13880.0</c:v>
                </c:pt>
                <c:pt idx="1389">
                  <c:v>13890.0</c:v>
                </c:pt>
                <c:pt idx="1390">
                  <c:v>13900.0</c:v>
                </c:pt>
                <c:pt idx="1391">
                  <c:v>13910.0</c:v>
                </c:pt>
                <c:pt idx="1392">
                  <c:v>13920.0</c:v>
                </c:pt>
                <c:pt idx="1393">
                  <c:v>13930.0</c:v>
                </c:pt>
                <c:pt idx="1394">
                  <c:v>13940.0</c:v>
                </c:pt>
                <c:pt idx="1395">
                  <c:v>13950.0</c:v>
                </c:pt>
                <c:pt idx="1396">
                  <c:v>13960.0</c:v>
                </c:pt>
                <c:pt idx="1397">
                  <c:v>13970.0</c:v>
                </c:pt>
                <c:pt idx="1398">
                  <c:v>13980.0</c:v>
                </c:pt>
                <c:pt idx="1399">
                  <c:v>13990.0</c:v>
                </c:pt>
                <c:pt idx="1400">
                  <c:v>14000.0</c:v>
                </c:pt>
                <c:pt idx="1401">
                  <c:v>14010.0</c:v>
                </c:pt>
                <c:pt idx="1402">
                  <c:v>14020.0</c:v>
                </c:pt>
                <c:pt idx="1403">
                  <c:v>14030.0</c:v>
                </c:pt>
                <c:pt idx="1404">
                  <c:v>14040.0</c:v>
                </c:pt>
                <c:pt idx="1405">
                  <c:v>14050.0</c:v>
                </c:pt>
                <c:pt idx="1406">
                  <c:v>14060.0</c:v>
                </c:pt>
                <c:pt idx="1407">
                  <c:v>14070.0</c:v>
                </c:pt>
                <c:pt idx="1408">
                  <c:v>14080.0</c:v>
                </c:pt>
                <c:pt idx="1409">
                  <c:v>14090.0</c:v>
                </c:pt>
                <c:pt idx="1410">
                  <c:v>14100.0</c:v>
                </c:pt>
                <c:pt idx="1411">
                  <c:v>14110.0</c:v>
                </c:pt>
                <c:pt idx="1412">
                  <c:v>14120.0</c:v>
                </c:pt>
                <c:pt idx="1413">
                  <c:v>14130.0</c:v>
                </c:pt>
                <c:pt idx="1414">
                  <c:v>14140.0</c:v>
                </c:pt>
                <c:pt idx="1415">
                  <c:v>14150.0</c:v>
                </c:pt>
                <c:pt idx="1416">
                  <c:v>14160.0</c:v>
                </c:pt>
                <c:pt idx="1417">
                  <c:v>14170.0</c:v>
                </c:pt>
                <c:pt idx="1418">
                  <c:v>14180.0</c:v>
                </c:pt>
                <c:pt idx="1419">
                  <c:v>14190.0</c:v>
                </c:pt>
                <c:pt idx="1420">
                  <c:v>14200.0</c:v>
                </c:pt>
                <c:pt idx="1421">
                  <c:v>14210.0</c:v>
                </c:pt>
                <c:pt idx="1422">
                  <c:v>14220.0</c:v>
                </c:pt>
                <c:pt idx="1423">
                  <c:v>14230.0</c:v>
                </c:pt>
                <c:pt idx="1424">
                  <c:v>14240.0</c:v>
                </c:pt>
                <c:pt idx="1425">
                  <c:v>14250.0</c:v>
                </c:pt>
                <c:pt idx="1426">
                  <c:v>14260.0</c:v>
                </c:pt>
                <c:pt idx="1427">
                  <c:v>14270.0</c:v>
                </c:pt>
                <c:pt idx="1428">
                  <c:v>14280.0</c:v>
                </c:pt>
                <c:pt idx="1429">
                  <c:v>14290.0</c:v>
                </c:pt>
                <c:pt idx="1430">
                  <c:v>14300.0</c:v>
                </c:pt>
                <c:pt idx="1431">
                  <c:v>14310.0</c:v>
                </c:pt>
                <c:pt idx="1432">
                  <c:v>14320.0</c:v>
                </c:pt>
                <c:pt idx="1433">
                  <c:v>14330.0</c:v>
                </c:pt>
                <c:pt idx="1434">
                  <c:v>14340.0</c:v>
                </c:pt>
                <c:pt idx="1435">
                  <c:v>14350.0</c:v>
                </c:pt>
                <c:pt idx="1436">
                  <c:v>14360.0</c:v>
                </c:pt>
                <c:pt idx="1437">
                  <c:v>14370.0</c:v>
                </c:pt>
                <c:pt idx="1438">
                  <c:v>14380.0</c:v>
                </c:pt>
                <c:pt idx="1439">
                  <c:v>14390.0</c:v>
                </c:pt>
                <c:pt idx="1440">
                  <c:v>14400.0</c:v>
                </c:pt>
                <c:pt idx="1441">
                  <c:v>14410.0</c:v>
                </c:pt>
                <c:pt idx="1442">
                  <c:v>14420.0</c:v>
                </c:pt>
                <c:pt idx="1443">
                  <c:v>14430.0</c:v>
                </c:pt>
                <c:pt idx="1444">
                  <c:v>14440.0</c:v>
                </c:pt>
                <c:pt idx="1445">
                  <c:v>14450.0</c:v>
                </c:pt>
                <c:pt idx="1446">
                  <c:v>14460.0</c:v>
                </c:pt>
                <c:pt idx="1447">
                  <c:v>14470.0</c:v>
                </c:pt>
                <c:pt idx="1448">
                  <c:v>14480.0</c:v>
                </c:pt>
                <c:pt idx="1449">
                  <c:v>14490.0</c:v>
                </c:pt>
                <c:pt idx="1450">
                  <c:v>14500.0</c:v>
                </c:pt>
                <c:pt idx="1451">
                  <c:v>14510.0</c:v>
                </c:pt>
                <c:pt idx="1452">
                  <c:v>14520.0</c:v>
                </c:pt>
                <c:pt idx="1453">
                  <c:v>14530.0</c:v>
                </c:pt>
                <c:pt idx="1454">
                  <c:v>14540.0</c:v>
                </c:pt>
                <c:pt idx="1455">
                  <c:v>14550.0</c:v>
                </c:pt>
                <c:pt idx="1456">
                  <c:v>14560.0</c:v>
                </c:pt>
                <c:pt idx="1457">
                  <c:v>14570.0</c:v>
                </c:pt>
                <c:pt idx="1458">
                  <c:v>14580.0</c:v>
                </c:pt>
                <c:pt idx="1459">
                  <c:v>14590.0</c:v>
                </c:pt>
                <c:pt idx="1460">
                  <c:v>14600.0</c:v>
                </c:pt>
                <c:pt idx="1461">
                  <c:v>14610.0</c:v>
                </c:pt>
                <c:pt idx="1462">
                  <c:v>14620.0</c:v>
                </c:pt>
                <c:pt idx="1463">
                  <c:v>14630.0</c:v>
                </c:pt>
                <c:pt idx="1464">
                  <c:v>14640.0</c:v>
                </c:pt>
                <c:pt idx="1465">
                  <c:v>14650.0</c:v>
                </c:pt>
                <c:pt idx="1466">
                  <c:v>14660.0</c:v>
                </c:pt>
                <c:pt idx="1467">
                  <c:v>14670.0</c:v>
                </c:pt>
                <c:pt idx="1468">
                  <c:v>14680.0</c:v>
                </c:pt>
                <c:pt idx="1469">
                  <c:v>14690.0</c:v>
                </c:pt>
                <c:pt idx="1470">
                  <c:v>14700.0</c:v>
                </c:pt>
                <c:pt idx="1471">
                  <c:v>14710.0</c:v>
                </c:pt>
                <c:pt idx="1472">
                  <c:v>14720.0</c:v>
                </c:pt>
                <c:pt idx="1473">
                  <c:v>14730.0</c:v>
                </c:pt>
                <c:pt idx="1474">
                  <c:v>14740.0</c:v>
                </c:pt>
                <c:pt idx="1475">
                  <c:v>14750.0</c:v>
                </c:pt>
                <c:pt idx="1476">
                  <c:v>14760.0</c:v>
                </c:pt>
                <c:pt idx="1477">
                  <c:v>14770.0</c:v>
                </c:pt>
                <c:pt idx="1478">
                  <c:v>14780.0</c:v>
                </c:pt>
                <c:pt idx="1479">
                  <c:v>14790.0</c:v>
                </c:pt>
                <c:pt idx="1480">
                  <c:v>14800.0</c:v>
                </c:pt>
                <c:pt idx="1481">
                  <c:v>14810.0</c:v>
                </c:pt>
                <c:pt idx="1482">
                  <c:v>14820.0</c:v>
                </c:pt>
                <c:pt idx="1483">
                  <c:v>14830.0</c:v>
                </c:pt>
                <c:pt idx="1484">
                  <c:v>14840.0</c:v>
                </c:pt>
                <c:pt idx="1485">
                  <c:v>14850.0</c:v>
                </c:pt>
                <c:pt idx="1486">
                  <c:v>14860.0</c:v>
                </c:pt>
                <c:pt idx="1487">
                  <c:v>14870.0</c:v>
                </c:pt>
                <c:pt idx="1488">
                  <c:v>14880.0</c:v>
                </c:pt>
                <c:pt idx="1489">
                  <c:v>14890.0</c:v>
                </c:pt>
                <c:pt idx="1490">
                  <c:v>14900.0</c:v>
                </c:pt>
                <c:pt idx="1491">
                  <c:v>14910.0</c:v>
                </c:pt>
                <c:pt idx="1492">
                  <c:v>14920.0</c:v>
                </c:pt>
                <c:pt idx="1493">
                  <c:v>14930.0</c:v>
                </c:pt>
                <c:pt idx="1494">
                  <c:v>14940.0</c:v>
                </c:pt>
                <c:pt idx="1495">
                  <c:v>14950.0</c:v>
                </c:pt>
                <c:pt idx="1496">
                  <c:v>14960.0</c:v>
                </c:pt>
                <c:pt idx="1497">
                  <c:v>14970.0</c:v>
                </c:pt>
                <c:pt idx="1498">
                  <c:v>14980.0</c:v>
                </c:pt>
                <c:pt idx="1499">
                  <c:v>14990.0</c:v>
                </c:pt>
                <c:pt idx="1500">
                  <c:v>15000.0</c:v>
                </c:pt>
                <c:pt idx="1501">
                  <c:v>15010.0</c:v>
                </c:pt>
                <c:pt idx="1502">
                  <c:v>15020.0</c:v>
                </c:pt>
                <c:pt idx="1503">
                  <c:v>15030.0</c:v>
                </c:pt>
                <c:pt idx="1504">
                  <c:v>15040.0</c:v>
                </c:pt>
                <c:pt idx="1505">
                  <c:v>15050.0</c:v>
                </c:pt>
                <c:pt idx="1506">
                  <c:v>15060.0</c:v>
                </c:pt>
                <c:pt idx="1507">
                  <c:v>15070.0</c:v>
                </c:pt>
                <c:pt idx="1508">
                  <c:v>15080.0</c:v>
                </c:pt>
                <c:pt idx="1509">
                  <c:v>15090.0</c:v>
                </c:pt>
                <c:pt idx="1510">
                  <c:v>15100.0</c:v>
                </c:pt>
                <c:pt idx="1511">
                  <c:v>15110.0</c:v>
                </c:pt>
                <c:pt idx="1512">
                  <c:v>15120.0</c:v>
                </c:pt>
                <c:pt idx="1513">
                  <c:v>15130.0</c:v>
                </c:pt>
                <c:pt idx="1514">
                  <c:v>15140.0</c:v>
                </c:pt>
                <c:pt idx="1515">
                  <c:v>15150.0</c:v>
                </c:pt>
                <c:pt idx="1516">
                  <c:v>15160.0</c:v>
                </c:pt>
                <c:pt idx="1517">
                  <c:v>15170.0</c:v>
                </c:pt>
                <c:pt idx="1518">
                  <c:v>15180.0</c:v>
                </c:pt>
                <c:pt idx="1519">
                  <c:v>15190.0</c:v>
                </c:pt>
                <c:pt idx="1520">
                  <c:v>15200.0</c:v>
                </c:pt>
                <c:pt idx="1521">
                  <c:v>15210.0</c:v>
                </c:pt>
                <c:pt idx="1522">
                  <c:v>15220.0</c:v>
                </c:pt>
                <c:pt idx="1523">
                  <c:v>15230.0</c:v>
                </c:pt>
                <c:pt idx="1524">
                  <c:v>15240.0</c:v>
                </c:pt>
                <c:pt idx="1525">
                  <c:v>15250.0</c:v>
                </c:pt>
                <c:pt idx="1526">
                  <c:v>15260.0</c:v>
                </c:pt>
                <c:pt idx="1527">
                  <c:v>15270.0</c:v>
                </c:pt>
                <c:pt idx="1528">
                  <c:v>15280.0</c:v>
                </c:pt>
                <c:pt idx="1529">
                  <c:v>15290.0</c:v>
                </c:pt>
                <c:pt idx="1530">
                  <c:v>15300.0</c:v>
                </c:pt>
                <c:pt idx="1531">
                  <c:v>15310.0</c:v>
                </c:pt>
                <c:pt idx="1532">
                  <c:v>15320.0</c:v>
                </c:pt>
                <c:pt idx="1533">
                  <c:v>15330.0</c:v>
                </c:pt>
                <c:pt idx="1534">
                  <c:v>15340.0</c:v>
                </c:pt>
                <c:pt idx="1535">
                  <c:v>15350.0</c:v>
                </c:pt>
                <c:pt idx="1536">
                  <c:v>15360.0</c:v>
                </c:pt>
                <c:pt idx="1537">
                  <c:v>15370.0</c:v>
                </c:pt>
                <c:pt idx="1538">
                  <c:v>15380.0</c:v>
                </c:pt>
                <c:pt idx="1539">
                  <c:v>15390.0</c:v>
                </c:pt>
                <c:pt idx="1540">
                  <c:v>15400.0</c:v>
                </c:pt>
                <c:pt idx="1541">
                  <c:v>15410.0</c:v>
                </c:pt>
                <c:pt idx="1542">
                  <c:v>15420.0</c:v>
                </c:pt>
                <c:pt idx="1543">
                  <c:v>15430.0</c:v>
                </c:pt>
                <c:pt idx="1544">
                  <c:v>15440.0</c:v>
                </c:pt>
                <c:pt idx="1545">
                  <c:v>15450.0</c:v>
                </c:pt>
                <c:pt idx="1546">
                  <c:v>15460.0</c:v>
                </c:pt>
                <c:pt idx="1547">
                  <c:v>15470.0</c:v>
                </c:pt>
                <c:pt idx="1548">
                  <c:v>15480.0</c:v>
                </c:pt>
                <c:pt idx="1549">
                  <c:v>15490.0</c:v>
                </c:pt>
                <c:pt idx="1550">
                  <c:v>15500.0</c:v>
                </c:pt>
                <c:pt idx="1551">
                  <c:v>15510.0</c:v>
                </c:pt>
                <c:pt idx="1552">
                  <c:v>15520.0</c:v>
                </c:pt>
                <c:pt idx="1553">
                  <c:v>15530.0</c:v>
                </c:pt>
                <c:pt idx="1554">
                  <c:v>15540.0</c:v>
                </c:pt>
                <c:pt idx="1555">
                  <c:v>15550.0</c:v>
                </c:pt>
                <c:pt idx="1556">
                  <c:v>15560.0</c:v>
                </c:pt>
                <c:pt idx="1557">
                  <c:v>15570.0</c:v>
                </c:pt>
                <c:pt idx="1558">
                  <c:v>15580.0</c:v>
                </c:pt>
                <c:pt idx="1559">
                  <c:v>15590.0</c:v>
                </c:pt>
                <c:pt idx="1560">
                  <c:v>15600.0</c:v>
                </c:pt>
                <c:pt idx="1561">
                  <c:v>15610.0</c:v>
                </c:pt>
                <c:pt idx="1562">
                  <c:v>15620.0</c:v>
                </c:pt>
                <c:pt idx="1563">
                  <c:v>15630.0</c:v>
                </c:pt>
                <c:pt idx="1564">
                  <c:v>15640.0</c:v>
                </c:pt>
                <c:pt idx="1565">
                  <c:v>15650.0</c:v>
                </c:pt>
                <c:pt idx="1566">
                  <c:v>15660.0</c:v>
                </c:pt>
                <c:pt idx="1567">
                  <c:v>15670.0</c:v>
                </c:pt>
                <c:pt idx="1568">
                  <c:v>15680.0</c:v>
                </c:pt>
                <c:pt idx="1569">
                  <c:v>15690.0</c:v>
                </c:pt>
                <c:pt idx="1570">
                  <c:v>15700.0</c:v>
                </c:pt>
                <c:pt idx="1571">
                  <c:v>15710.0</c:v>
                </c:pt>
                <c:pt idx="1572">
                  <c:v>15720.0</c:v>
                </c:pt>
                <c:pt idx="1573">
                  <c:v>15730.0</c:v>
                </c:pt>
                <c:pt idx="1574">
                  <c:v>15740.0</c:v>
                </c:pt>
                <c:pt idx="1575">
                  <c:v>15750.0</c:v>
                </c:pt>
                <c:pt idx="1576">
                  <c:v>15760.0</c:v>
                </c:pt>
                <c:pt idx="1577">
                  <c:v>15770.0</c:v>
                </c:pt>
                <c:pt idx="1578">
                  <c:v>15780.0</c:v>
                </c:pt>
                <c:pt idx="1579">
                  <c:v>15790.0</c:v>
                </c:pt>
                <c:pt idx="1580">
                  <c:v>15800.0</c:v>
                </c:pt>
                <c:pt idx="1581">
                  <c:v>15810.0</c:v>
                </c:pt>
                <c:pt idx="1582">
                  <c:v>15820.0</c:v>
                </c:pt>
                <c:pt idx="1583">
                  <c:v>15830.0</c:v>
                </c:pt>
                <c:pt idx="1584">
                  <c:v>15840.0</c:v>
                </c:pt>
                <c:pt idx="1585">
                  <c:v>15850.0</c:v>
                </c:pt>
                <c:pt idx="1586">
                  <c:v>15860.0</c:v>
                </c:pt>
                <c:pt idx="1587">
                  <c:v>15870.0</c:v>
                </c:pt>
                <c:pt idx="1588">
                  <c:v>15880.0</c:v>
                </c:pt>
                <c:pt idx="1589">
                  <c:v>15890.0</c:v>
                </c:pt>
                <c:pt idx="1590">
                  <c:v>15900.0</c:v>
                </c:pt>
                <c:pt idx="1591">
                  <c:v>15910.0</c:v>
                </c:pt>
                <c:pt idx="1592">
                  <c:v>15920.0</c:v>
                </c:pt>
                <c:pt idx="1593">
                  <c:v>15930.0</c:v>
                </c:pt>
                <c:pt idx="1594">
                  <c:v>15940.0</c:v>
                </c:pt>
                <c:pt idx="1595">
                  <c:v>15950.0</c:v>
                </c:pt>
                <c:pt idx="1596">
                  <c:v>15960.0</c:v>
                </c:pt>
                <c:pt idx="1597">
                  <c:v>15970.0</c:v>
                </c:pt>
                <c:pt idx="1598">
                  <c:v>15980.0</c:v>
                </c:pt>
                <c:pt idx="1599">
                  <c:v>15990.0</c:v>
                </c:pt>
                <c:pt idx="1600">
                  <c:v>16000.0</c:v>
                </c:pt>
                <c:pt idx="1601">
                  <c:v>16010.0</c:v>
                </c:pt>
                <c:pt idx="1602">
                  <c:v>16020.0</c:v>
                </c:pt>
                <c:pt idx="1603">
                  <c:v>16030.0</c:v>
                </c:pt>
                <c:pt idx="1604">
                  <c:v>16040.0</c:v>
                </c:pt>
                <c:pt idx="1605">
                  <c:v>16050.0</c:v>
                </c:pt>
                <c:pt idx="1606">
                  <c:v>16060.0</c:v>
                </c:pt>
                <c:pt idx="1607">
                  <c:v>16070.0</c:v>
                </c:pt>
                <c:pt idx="1608">
                  <c:v>16080.0</c:v>
                </c:pt>
                <c:pt idx="1609">
                  <c:v>16090.0</c:v>
                </c:pt>
                <c:pt idx="1610">
                  <c:v>16100.0</c:v>
                </c:pt>
                <c:pt idx="1611">
                  <c:v>16110.0</c:v>
                </c:pt>
                <c:pt idx="1612">
                  <c:v>16120.0</c:v>
                </c:pt>
                <c:pt idx="1613">
                  <c:v>16130.0</c:v>
                </c:pt>
                <c:pt idx="1614">
                  <c:v>16140.0</c:v>
                </c:pt>
                <c:pt idx="1615">
                  <c:v>16150.0</c:v>
                </c:pt>
                <c:pt idx="1616">
                  <c:v>16160.0</c:v>
                </c:pt>
                <c:pt idx="1617">
                  <c:v>16170.0</c:v>
                </c:pt>
                <c:pt idx="1618">
                  <c:v>16180.0</c:v>
                </c:pt>
                <c:pt idx="1619">
                  <c:v>16190.0</c:v>
                </c:pt>
                <c:pt idx="1620">
                  <c:v>16200.0</c:v>
                </c:pt>
                <c:pt idx="1621">
                  <c:v>16210.0</c:v>
                </c:pt>
                <c:pt idx="1622">
                  <c:v>16220.0</c:v>
                </c:pt>
                <c:pt idx="1623">
                  <c:v>16230.0</c:v>
                </c:pt>
                <c:pt idx="1624">
                  <c:v>16240.0</c:v>
                </c:pt>
                <c:pt idx="1625">
                  <c:v>16250.0</c:v>
                </c:pt>
                <c:pt idx="1626">
                  <c:v>16260.0</c:v>
                </c:pt>
                <c:pt idx="1627">
                  <c:v>16270.0</c:v>
                </c:pt>
                <c:pt idx="1628">
                  <c:v>16280.0</c:v>
                </c:pt>
                <c:pt idx="1629">
                  <c:v>16290.0</c:v>
                </c:pt>
                <c:pt idx="1630">
                  <c:v>16300.0</c:v>
                </c:pt>
                <c:pt idx="1631">
                  <c:v>16310.0</c:v>
                </c:pt>
                <c:pt idx="1632">
                  <c:v>16320.0</c:v>
                </c:pt>
                <c:pt idx="1633">
                  <c:v>16330.0</c:v>
                </c:pt>
                <c:pt idx="1634">
                  <c:v>16340.0</c:v>
                </c:pt>
                <c:pt idx="1635">
                  <c:v>16350.0</c:v>
                </c:pt>
                <c:pt idx="1636">
                  <c:v>16360.0</c:v>
                </c:pt>
                <c:pt idx="1637">
                  <c:v>16370.0</c:v>
                </c:pt>
                <c:pt idx="1638">
                  <c:v>16380.0</c:v>
                </c:pt>
                <c:pt idx="1639">
                  <c:v>16390.0</c:v>
                </c:pt>
                <c:pt idx="1640">
                  <c:v>16400.0</c:v>
                </c:pt>
                <c:pt idx="1641">
                  <c:v>16410.0</c:v>
                </c:pt>
                <c:pt idx="1642">
                  <c:v>16420.0</c:v>
                </c:pt>
                <c:pt idx="1643">
                  <c:v>16430.0</c:v>
                </c:pt>
                <c:pt idx="1644">
                  <c:v>16440.0</c:v>
                </c:pt>
                <c:pt idx="1645">
                  <c:v>16450.0</c:v>
                </c:pt>
                <c:pt idx="1646">
                  <c:v>16460.0</c:v>
                </c:pt>
                <c:pt idx="1647">
                  <c:v>16470.0</c:v>
                </c:pt>
                <c:pt idx="1648">
                  <c:v>16480.0</c:v>
                </c:pt>
                <c:pt idx="1649">
                  <c:v>16490.0</c:v>
                </c:pt>
                <c:pt idx="1650">
                  <c:v>16500.0</c:v>
                </c:pt>
                <c:pt idx="1651">
                  <c:v>16510.0</c:v>
                </c:pt>
                <c:pt idx="1652">
                  <c:v>16520.0</c:v>
                </c:pt>
                <c:pt idx="1653">
                  <c:v>16530.0</c:v>
                </c:pt>
                <c:pt idx="1654">
                  <c:v>16540.0</c:v>
                </c:pt>
                <c:pt idx="1655">
                  <c:v>16550.0</c:v>
                </c:pt>
                <c:pt idx="1656">
                  <c:v>16560.0</c:v>
                </c:pt>
                <c:pt idx="1657">
                  <c:v>16570.0</c:v>
                </c:pt>
                <c:pt idx="1658">
                  <c:v>16580.0</c:v>
                </c:pt>
                <c:pt idx="1659">
                  <c:v>16590.0</c:v>
                </c:pt>
                <c:pt idx="1660">
                  <c:v>16600.0</c:v>
                </c:pt>
                <c:pt idx="1661">
                  <c:v>16610.0</c:v>
                </c:pt>
                <c:pt idx="1662">
                  <c:v>16620.0</c:v>
                </c:pt>
                <c:pt idx="1663">
                  <c:v>16630.0</c:v>
                </c:pt>
                <c:pt idx="1664">
                  <c:v>16640.0</c:v>
                </c:pt>
                <c:pt idx="1665">
                  <c:v>16650.0</c:v>
                </c:pt>
                <c:pt idx="1666">
                  <c:v>16660.0</c:v>
                </c:pt>
                <c:pt idx="1667">
                  <c:v>16670.0</c:v>
                </c:pt>
                <c:pt idx="1668">
                  <c:v>16680.0</c:v>
                </c:pt>
                <c:pt idx="1669">
                  <c:v>16690.0</c:v>
                </c:pt>
                <c:pt idx="1670">
                  <c:v>16700.0</c:v>
                </c:pt>
                <c:pt idx="1671">
                  <c:v>16710.0</c:v>
                </c:pt>
                <c:pt idx="1672">
                  <c:v>16720.0</c:v>
                </c:pt>
                <c:pt idx="1673">
                  <c:v>16730.0</c:v>
                </c:pt>
                <c:pt idx="1674">
                  <c:v>16740.0</c:v>
                </c:pt>
                <c:pt idx="1675">
                  <c:v>16750.0</c:v>
                </c:pt>
                <c:pt idx="1676">
                  <c:v>16760.0</c:v>
                </c:pt>
                <c:pt idx="1677">
                  <c:v>16770.0</c:v>
                </c:pt>
                <c:pt idx="1678">
                  <c:v>16780.0</c:v>
                </c:pt>
                <c:pt idx="1679">
                  <c:v>16790.0</c:v>
                </c:pt>
                <c:pt idx="1680">
                  <c:v>16800.0</c:v>
                </c:pt>
                <c:pt idx="1681">
                  <c:v>16810.0</c:v>
                </c:pt>
                <c:pt idx="1682">
                  <c:v>16820.0</c:v>
                </c:pt>
                <c:pt idx="1683">
                  <c:v>16830.0</c:v>
                </c:pt>
                <c:pt idx="1684">
                  <c:v>16840.0</c:v>
                </c:pt>
                <c:pt idx="1685">
                  <c:v>16850.0</c:v>
                </c:pt>
                <c:pt idx="1686">
                  <c:v>16860.0</c:v>
                </c:pt>
                <c:pt idx="1687">
                  <c:v>16870.0</c:v>
                </c:pt>
                <c:pt idx="1688">
                  <c:v>16880.0</c:v>
                </c:pt>
                <c:pt idx="1689">
                  <c:v>16890.0</c:v>
                </c:pt>
                <c:pt idx="1690">
                  <c:v>16900.0</c:v>
                </c:pt>
                <c:pt idx="1691">
                  <c:v>16910.0</c:v>
                </c:pt>
                <c:pt idx="1692">
                  <c:v>16920.0</c:v>
                </c:pt>
                <c:pt idx="1693">
                  <c:v>16930.0</c:v>
                </c:pt>
                <c:pt idx="1694">
                  <c:v>16940.0</c:v>
                </c:pt>
                <c:pt idx="1695">
                  <c:v>16950.0</c:v>
                </c:pt>
                <c:pt idx="1696">
                  <c:v>16960.0</c:v>
                </c:pt>
                <c:pt idx="1697">
                  <c:v>16970.0</c:v>
                </c:pt>
                <c:pt idx="1698">
                  <c:v>16980.0</c:v>
                </c:pt>
                <c:pt idx="1699">
                  <c:v>16990.0</c:v>
                </c:pt>
                <c:pt idx="1700">
                  <c:v>17000.0</c:v>
                </c:pt>
                <c:pt idx="1701">
                  <c:v>17010.0</c:v>
                </c:pt>
                <c:pt idx="1702">
                  <c:v>17020.0</c:v>
                </c:pt>
                <c:pt idx="1703">
                  <c:v>17030.0</c:v>
                </c:pt>
                <c:pt idx="1704">
                  <c:v>17040.0</c:v>
                </c:pt>
                <c:pt idx="1705">
                  <c:v>17050.0</c:v>
                </c:pt>
                <c:pt idx="1706">
                  <c:v>17060.0</c:v>
                </c:pt>
                <c:pt idx="1707">
                  <c:v>17070.0</c:v>
                </c:pt>
                <c:pt idx="1708">
                  <c:v>17080.0</c:v>
                </c:pt>
                <c:pt idx="1709">
                  <c:v>17090.0</c:v>
                </c:pt>
                <c:pt idx="1710">
                  <c:v>17100.0</c:v>
                </c:pt>
                <c:pt idx="1711">
                  <c:v>17110.0</c:v>
                </c:pt>
                <c:pt idx="1712">
                  <c:v>17120.0</c:v>
                </c:pt>
                <c:pt idx="1713">
                  <c:v>17130.0</c:v>
                </c:pt>
                <c:pt idx="1714">
                  <c:v>17140.0</c:v>
                </c:pt>
                <c:pt idx="1715">
                  <c:v>17150.0</c:v>
                </c:pt>
                <c:pt idx="1716">
                  <c:v>17160.0</c:v>
                </c:pt>
                <c:pt idx="1717">
                  <c:v>17170.0</c:v>
                </c:pt>
                <c:pt idx="1718">
                  <c:v>17180.0</c:v>
                </c:pt>
                <c:pt idx="1719">
                  <c:v>17190.0</c:v>
                </c:pt>
                <c:pt idx="1720">
                  <c:v>17200.0</c:v>
                </c:pt>
                <c:pt idx="1721">
                  <c:v>17210.0</c:v>
                </c:pt>
                <c:pt idx="1722">
                  <c:v>17220.0</c:v>
                </c:pt>
                <c:pt idx="1723">
                  <c:v>17230.0</c:v>
                </c:pt>
                <c:pt idx="1724">
                  <c:v>17240.0</c:v>
                </c:pt>
                <c:pt idx="1725">
                  <c:v>17250.0</c:v>
                </c:pt>
                <c:pt idx="1726">
                  <c:v>17260.0</c:v>
                </c:pt>
                <c:pt idx="1727">
                  <c:v>17270.0</c:v>
                </c:pt>
                <c:pt idx="1728">
                  <c:v>17280.0</c:v>
                </c:pt>
                <c:pt idx="1729">
                  <c:v>17290.0</c:v>
                </c:pt>
                <c:pt idx="1730">
                  <c:v>17300.0</c:v>
                </c:pt>
                <c:pt idx="1731">
                  <c:v>17310.0</c:v>
                </c:pt>
                <c:pt idx="1732">
                  <c:v>17320.0</c:v>
                </c:pt>
                <c:pt idx="1733">
                  <c:v>17330.0</c:v>
                </c:pt>
                <c:pt idx="1734">
                  <c:v>17340.0</c:v>
                </c:pt>
                <c:pt idx="1735">
                  <c:v>17350.0</c:v>
                </c:pt>
                <c:pt idx="1736">
                  <c:v>17360.0</c:v>
                </c:pt>
                <c:pt idx="1737">
                  <c:v>17370.0</c:v>
                </c:pt>
                <c:pt idx="1738">
                  <c:v>17380.0</c:v>
                </c:pt>
                <c:pt idx="1739">
                  <c:v>17390.0</c:v>
                </c:pt>
                <c:pt idx="1740">
                  <c:v>17400.0</c:v>
                </c:pt>
                <c:pt idx="1741">
                  <c:v>17410.0</c:v>
                </c:pt>
                <c:pt idx="1742">
                  <c:v>17420.0</c:v>
                </c:pt>
                <c:pt idx="1743">
                  <c:v>17430.0</c:v>
                </c:pt>
                <c:pt idx="1744">
                  <c:v>17440.0</c:v>
                </c:pt>
                <c:pt idx="1745">
                  <c:v>17450.0</c:v>
                </c:pt>
                <c:pt idx="1746">
                  <c:v>17460.0</c:v>
                </c:pt>
                <c:pt idx="1747">
                  <c:v>17470.0</c:v>
                </c:pt>
                <c:pt idx="1748">
                  <c:v>17480.0</c:v>
                </c:pt>
                <c:pt idx="1749">
                  <c:v>17490.0</c:v>
                </c:pt>
                <c:pt idx="1750">
                  <c:v>17500.0</c:v>
                </c:pt>
                <c:pt idx="1751">
                  <c:v>17510.0</c:v>
                </c:pt>
                <c:pt idx="1752">
                  <c:v>17520.0</c:v>
                </c:pt>
                <c:pt idx="1753">
                  <c:v>17530.0</c:v>
                </c:pt>
                <c:pt idx="1754">
                  <c:v>17540.0</c:v>
                </c:pt>
                <c:pt idx="1755">
                  <c:v>17550.0</c:v>
                </c:pt>
                <c:pt idx="1756">
                  <c:v>17560.0</c:v>
                </c:pt>
                <c:pt idx="1757">
                  <c:v>17570.0</c:v>
                </c:pt>
                <c:pt idx="1758">
                  <c:v>17580.0</c:v>
                </c:pt>
                <c:pt idx="1759">
                  <c:v>17590.0</c:v>
                </c:pt>
                <c:pt idx="1760">
                  <c:v>17600.0</c:v>
                </c:pt>
                <c:pt idx="1761">
                  <c:v>17610.0</c:v>
                </c:pt>
                <c:pt idx="1762">
                  <c:v>17620.0</c:v>
                </c:pt>
                <c:pt idx="1763">
                  <c:v>17630.0</c:v>
                </c:pt>
                <c:pt idx="1764">
                  <c:v>17640.0</c:v>
                </c:pt>
                <c:pt idx="1765">
                  <c:v>17650.0</c:v>
                </c:pt>
                <c:pt idx="1766">
                  <c:v>17660.0</c:v>
                </c:pt>
                <c:pt idx="1767">
                  <c:v>17670.0</c:v>
                </c:pt>
                <c:pt idx="1768">
                  <c:v>17680.0</c:v>
                </c:pt>
                <c:pt idx="1769">
                  <c:v>17690.0</c:v>
                </c:pt>
                <c:pt idx="1770">
                  <c:v>17700.0</c:v>
                </c:pt>
                <c:pt idx="1771">
                  <c:v>17710.0</c:v>
                </c:pt>
                <c:pt idx="1772">
                  <c:v>17720.0</c:v>
                </c:pt>
                <c:pt idx="1773">
                  <c:v>17730.0</c:v>
                </c:pt>
                <c:pt idx="1774">
                  <c:v>17740.0</c:v>
                </c:pt>
                <c:pt idx="1775">
                  <c:v>17750.0</c:v>
                </c:pt>
                <c:pt idx="1776">
                  <c:v>17760.0</c:v>
                </c:pt>
                <c:pt idx="1777">
                  <c:v>17770.0</c:v>
                </c:pt>
                <c:pt idx="1778">
                  <c:v>17780.0</c:v>
                </c:pt>
                <c:pt idx="1779">
                  <c:v>17790.0</c:v>
                </c:pt>
                <c:pt idx="1780">
                  <c:v>17800.0</c:v>
                </c:pt>
                <c:pt idx="1781">
                  <c:v>17810.0</c:v>
                </c:pt>
                <c:pt idx="1782">
                  <c:v>17820.0</c:v>
                </c:pt>
                <c:pt idx="1783">
                  <c:v>17830.0</c:v>
                </c:pt>
                <c:pt idx="1784">
                  <c:v>17840.0</c:v>
                </c:pt>
                <c:pt idx="1785">
                  <c:v>17850.0</c:v>
                </c:pt>
                <c:pt idx="1786">
                  <c:v>17860.0</c:v>
                </c:pt>
                <c:pt idx="1787">
                  <c:v>17870.0</c:v>
                </c:pt>
                <c:pt idx="1788">
                  <c:v>17880.0</c:v>
                </c:pt>
                <c:pt idx="1789">
                  <c:v>17890.0</c:v>
                </c:pt>
                <c:pt idx="1790">
                  <c:v>17900.0</c:v>
                </c:pt>
                <c:pt idx="1791">
                  <c:v>17910.0</c:v>
                </c:pt>
                <c:pt idx="1792">
                  <c:v>17920.0</c:v>
                </c:pt>
                <c:pt idx="1793">
                  <c:v>17930.0</c:v>
                </c:pt>
                <c:pt idx="1794">
                  <c:v>17940.0</c:v>
                </c:pt>
                <c:pt idx="1795">
                  <c:v>17950.0</c:v>
                </c:pt>
                <c:pt idx="1796">
                  <c:v>17960.0</c:v>
                </c:pt>
                <c:pt idx="1797">
                  <c:v>17970.0</c:v>
                </c:pt>
                <c:pt idx="1798">
                  <c:v>17980.0</c:v>
                </c:pt>
                <c:pt idx="1799">
                  <c:v>17990.0</c:v>
                </c:pt>
                <c:pt idx="1800">
                  <c:v>18000.0</c:v>
                </c:pt>
                <c:pt idx="1801">
                  <c:v>18010.0</c:v>
                </c:pt>
                <c:pt idx="1802">
                  <c:v>18020.0</c:v>
                </c:pt>
                <c:pt idx="1803">
                  <c:v>18030.0</c:v>
                </c:pt>
                <c:pt idx="1804">
                  <c:v>18040.0</c:v>
                </c:pt>
                <c:pt idx="1805">
                  <c:v>18050.0</c:v>
                </c:pt>
                <c:pt idx="1806">
                  <c:v>18060.0</c:v>
                </c:pt>
                <c:pt idx="1807">
                  <c:v>18070.0</c:v>
                </c:pt>
                <c:pt idx="1808">
                  <c:v>18080.0</c:v>
                </c:pt>
                <c:pt idx="1809">
                  <c:v>18090.0</c:v>
                </c:pt>
                <c:pt idx="1810">
                  <c:v>18100.0</c:v>
                </c:pt>
                <c:pt idx="1811">
                  <c:v>18110.0</c:v>
                </c:pt>
                <c:pt idx="1812">
                  <c:v>18120.0</c:v>
                </c:pt>
                <c:pt idx="1813">
                  <c:v>18130.0</c:v>
                </c:pt>
                <c:pt idx="1814">
                  <c:v>18140.0</c:v>
                </c:pt>
                <c:pt idx="1815">
                  <c:v>18150.0</c:v>
                </c:pt>
                <c:pt idx="1816">
                  <c:v>18160.0</c:v>
                </c:pt>
                <c:pt idx="1817">
                  <c:v>18170.0</c:v>
                </c:pt>
                <c:pt idx="1818">
                  <c:v>18180.0</c:v>
                </c:pt>
                <c:pt idx="1819">
                  <c:v>18190.0</c:v>
                </c:pt>
                <c:pt idx="1820">
                  <c:v>18200.0</c:v>
                </c:pt>
                <c:pt idx="1821">
                  <c:v>18210.0</c:v>
                </c:pt>
                <c:pt idx="1822">
                  <c:v>18220.0</c:v>
                </c:pt>
                <c:pt idx="1823">
                  <c:v>18230.0</c:v>
                </c:pt>
                <c:pt idx="1824">
                  <c:v>18240.0</c:v>
                </c:pt>
                <c:pt idx="1825">
                  <c:v>18250.0</c:v>
                </c:pt>
                <c:pt idx="1826">
                  <c:v>18260.0</c:v>
                </c:pt>
                <c:pt idx="1827">
                  <c:v>18270.0</c:v>
                </c:pt>
                <c:pt idx="1828">
                  <c:v>18280.0</c:v>
                </c:pt>
                <c:pt idx="1829">
                  <c:v>18290.0</c:v>
                </c:pt>
                <c:pt idx="1830">
                  <c:v>18300.0</c:v>
                </c:pt>
                <c:pt idx="1831">
                  <c:v>18310.0</c:v>
                </c:pt>
                <c:pt idx="1832">
                  <c:v>18320.0</c:v>
                </c:pt>
                <c:pt idx="1833">
                  <c:v>18330.0</c:v>
                </c:pt>
                <c:pt idx="1834">
                  <c:v>18340.0</c:v>
                </c:pt>
                <c:pt idx="1835">
                  <c:v>18350.0</c:v>
                </c:pt>
                <c:pt idx="1836">
                  <c:v>18360.0</c:v>
                </c:pt>
                <c:pt idx="1837">
                  <c:v>18370.0</c:v>
                </c:pt>
                <c:pt idx="1838">
                  <c:v>18380.0</c:v>
                </c:pt>
                <c:pt idx="1839">
                  <c:v>18390.0</c:v>
                </c:pt>
                <c:pt idx="1840">
                  <c:v>18400.0</c:v>
                </c:pt>
                <c:pt idx="1841">
                  <c:v>18410.0</c:v>
                </c:pt>
                <c:pt idx="1842">
                  <c:v>18420.0</c:v>
                </c:pt>
                <c:pt idx="1843">
                  <c:v>18430.0</c:v>
                </c:pt>
                <c:pt idx="1844">
                  <c:v>18440.0</c:v>
                </c:pt>
                <c:pt idx="1845">
                  <c:v>18450.0</c:v>
                </c:pt>
                <c:pt idx="1846">
                  <c:v>18460.0</c:v>
                </c:pt>
                <c:pt idx="1847">
                  <c:v>18470.0</c:v>
                </c:pt>
                <c:pt idx="1848">
                  <c:v>18480.0</c:v>
                </c:pt>
                <c:pt idx="1849">
                  <c:v>18490.0</c:v>
                </c:pt>
                <c:pt idx="1850">
                  <c:v>18500.0</c:v>
                </c:pt>
                <c:pt idx="1851">
                  <c:v>18510.0</c:v>
                </c:pt>
                <c:pt idx="1852">
                  <c:v>18520.0</c:v>
                </c:pt>
                <c:pt idx="1853">
                  <c:v>18530.0</c:v>
                </c:pt>
                <c:pt idx="1854">
                  <c:v>18540.0</c:v>
                </c:pt>
                <c:pt idx="1855">
                  <c:v>18550.0</c:v>
                </c:pt>
                <c:pt idx="1856">
                  <c:v>18560.0</c:v>
                </c:pt>
                <c:pt idx="1857">
                  <c:v>18570.0</c:v>
                </c:pt>
                <c:pt idx="1858">
                  <c:v>18580.0</c:v>
                </c:pt>
                <c:pt idx="1859">
                  <c:v>18590.0</c:v>
                </c:pt>
                <c:pt idx="1860">
                  <c:v>18600.0</c:v>
                </c:pt>
                <c:pt idx="1861">
                  <c:v>18610.0</c:v>
                </c:pt>
                <c:pt idx="1862">
                  <c:v>18620.0</c:v>
                </c:pt>
                <c:pt idx="1863">
                  <c:v>18630.0</c:v>
                </c:pt>
                <c:pt idx="1864">
                  <c:v>18640.0</c:v>
                </c:pt>
                <c:pt idx="1865">
                  <c:v>18650.0</c:v>
                </c:pt>
                <c:pt idx="1866">
                  <c:v>18660.0</c:v>
                </c:pt>
                <c:pt idx="1867">
                  <c:v>18670.0</c:v>
                </c:pt>
                <c:pt idx="1868">
                  <c:v>18680.0</c:v>
                </c:pt>
                <c:pt idx="1869">
                  <c:v>18690.0</c:v>
                </c:pt>
                <c:pt idx="1870">
                  <c:v>18700.0</c:v>
                </c:pt>
                <c:pt idx="1871">
                  <c:v>18710.0</c:v>
                </c:pt>
                <c:pt idx="1872">
                  <c:v>18720.0</c:v>
                </c:pt>
                <c:pt idx="1873">
                  <c:v>18730.0</c:v>
                </c:pt>
                <c:pt idx="1874">
                  <c:v>18740.0</c:v>
                </c:pt>
                <c:pt idx="1875">
                  <c:v>18750.0</c:v>
                </c:pt>
                <c:pt idx="1876">
                  <c:v>18760.0</c:v>
                </c:pt>
                <c:pt idx="1877">
                  <c:v>18770.0</c:v>
                </c:pt>
                <c:pt idx="1878">
                  <c:v>18780.0</c:v>
                </c:pt>
                <c:pt idx="1879">
                  <c:v>18790.0</c:v>
                </c:pt>
                <c:pt idx="1880">
                  <c:v>18800.0</c:v>
                </c:pt>
                <c:pt idx="1881">
                  <c:v>18810.0</c:v>
                </c:pt>
                <c:pt idx="1882">
                  <c:v>18820.0</c:v>
                </c:pt>
                <c:pt idx="1883">
                  <c:v>18830.0</c:v>
                </c:pt>
                <c:pt idx="1884">
                  <c:v>18840.0</c:v>
                </c:pt>
                <c:pt idx="1885">
                  <c:v>18850.0</c:v>
                </c:pt>
                <c:pt idx="1886">
                  <c:v>18860.0</c:v>
                </c:pt>
                <c:pt idx="1887">
                  <c:v>18870.0</c:v>
                </c:pt>
                <c:pt idx="1888">
                  <c:v>18880.0</c:v>
                </c:pt>
                <c:pt idx="1889">
                  <c:v>18890.0</c:v>
                </c:pt>
                <c:pt idx="1890">
                  <c:v>18900.0</c:v>
                </c:pt>
                <c:pt idx="1891">
                  <c:v>18910.0</c:v>
                </c:pt>
                <c:pt idx="1892">
                  <c:v>18920.0</c:v>
                </c:pt>
                <c:pt idx="1893">
                  <c:v>18930.0</c:v>
                </c:pt>
                <c:pt idx="1894">
                  <c:v>18940.0</c:v>
                </c:pt>
                <c:pt idx="1895">
                  <c:v>18950.0</c:v>
                </c:pt>
                <c:pt idx="1896">
                  <c:v>18960.0</c:v>
                </c:pt>
                <c:pt idx="1897">
                  <c:v>18970.0</c:v>
                </c:pt>
                <c:pt idx="1898">
                  <c:v>18980.0</c:v>
                </c:pt>
                <c:pt idx="1899">
                  <c:v>18990.0</c:v>
                </c:pt>
                <c:pt idx="1900">
                  <c:v>19000.0</c:v>
                </c:pt>
                <c:pt idx="1901">
                  <c:v>19010.0</c:v>
                </c:pt>
                <c:pt idx="1902">
                  <c:v>19020.0</c:v>
                </c:pt>
                <c:pt idx="1903">
                  <c:v>19030.0</c:v>
                </c:pt>
                <c:pt idx="1904">
                  <c:v>19040.0</c:v>
                </c:pt>
                <c:pt idx="1905">
                  <c:v>19050.0</c:v>
                </c:pt>
                <c:pt idx="1906">
                  <c:v>19060.0</c:v>
                </c:pt>
                <c:pt idx="1907">
                  <c:v>19070.0</c:v>
                </c:pt>
                <c:pt idx="1908">
                  <c:v>19080.0</c:v>
                </c:pt>
                <c:pt idx="1909">
                  <c:v>19090.0</c:v>
                </c:pt>
                <c:pt idx="1910">
                  <c:v>19100.0</c:v>
                </c:pt>
                <c:pt idx="1911">
                  <c:v>19110.0</c:v>
                </c:pt>
                <c:pt idx="1912">
                  <c:v>19120.0</c:v>
                </c:pt>
                <c:pt idx="1913">
                  <c:v>19130.0</c:v>
                </c:pt>
                <c:pt idx="1914">
                  <c:v>19140.0</c:v>
                </c:pt>
                <c:pt idx="1915">
                  <c:v>19150.0</c:v>
                </c:pt>
                <c:pt idx="1916">
                  <c:v>19160.0</c:v>
                </c:pt>
                <c:pt idx="1917">
                  <c:v>19170.0</c:v>
                </c:pt>
                <c:pt idx="1918">
                  <c:v>19180.0</c:v>
                </c:pt>
                <c:pt idx="1919">
                  <c:v>19190.0</c:v>
                </c:pt>
                <c:pt idx="1920">
                  <c:v>19200.0</c:v>
                </c:pt>
                <c:pt idx="1921">
                  <c:v>19210.0</c:v>
                </c:pt>
                <c:pt idx="1922">
                  <c:v>19220.0</c:v>
                </c:pt>
                <c:pt idx="1923">
                  <c:v>19230.0</c:v>
                </c:pt>
                <c:pt idx="1924">
                  <c:v>19240.0</c:v>
                </c:pt>
                <c:pt idx="1925">
                  <c:v>19250.0</c:v>
                </c:pt>
                <c:pt idx="1926">
                  <c:v>19260.0</c:v>
                </c:pt>
                <c:pt idx="1927">
                  <c:v>19270.0</c:v>
                </c:pt>
                <c:pt idx="1928">
                  <c:v>19280.0</c:v>
                </c:pt>
                <c:pt idx="1929">
                  <c:v>19290.0</c:v>
                </c:pt>
                <c:pt idx="1930">
                  <c:v>19300.0</c:v>
                </c:pt>
                <c:pt idx="1931">
                  <c:v>19310.0</c:v>
                </c:pt>
                <c:pt idx="1932">
                  <c:v>19320.0</c:v>
                </c:pt>
                <c:pt idx="1933">
                  <c:v>19330.0</c:v>
                </c:pt>
                <c:pt idx="1934">
                  <c:v>19340.0</c:v>
                </c:pt>
                <c:pt idx="1935">
                  <c:v>19350.0</c:v>
                </c:pt>
                <c:pt idx="1936">
                  <c:v>19360.0</c:v>
                </c:pt>
                <c:pt idx="1937">
                  <c:v>19370.0</c:v>
                </c:pt>
                <c:pt idx="1938">
                  <c:v>19380.0</c:v>
                </c:pt>
                <c:pt idx="1939">
                  <c:v>19390.0</c:v>
                </c:pt>
                <c:pt idx="1940">
                  <c:v>19400.0</c:v>
                </c:pt>
                <c:pt idx="1941">
                  <c:v>19410.0</c:v>
                </c:pt>
                <c:pt idx="1942">
                  <c:v>19420.0</c:v>
                </c:pt>
                <c:pt idx="1943">
                  <c:v>19430.0</c:v>
                </c:pt>
                <c:pt idx="1944">
                  <c:v>19440.0</c:v>
                </c:pt>
                <c:pt idx="1945">
                  <c:v>19450.0</c:v>
                </c:pt>
                <c:pt idx="1946">
                  <c:v>19460.0</c:v>
                </c:pt>
                <c:pt idx="1947">
                  <c:v>19470.0</c:v>
                </c:pt>
                <c:pt idx="1948">
                  <c:v>19480.0</c:v>
                </c:pt>
                <c:pt idx="1949">
                  <c:v>19490.0</c:v>
                </c:pt>
                <c:pt idx="1950">
                  <c:v>19500.0</c:v>
                </c:pt>
                <c:pt idx="1951">
                  <c:v>19510.0</c:v>
                </c:pt>
                <c:pt idx="1952">
                  <c:v>19520.0</c:v>
                </c:pt>
                <c:pt idx="1953">
                  <c:v>19530.0</c:v>
                </c:pt>
                <c:pt idx="1954">
                  <c:v>19540.0</c:v>
                </c:pt>
                <c:pt idx="1955">
                  <c:v>19550.0</c:v>
                </c:pt>
                <c:pt idx="1956">
                  <c:v>19560.0</c:v>
                </c:pt>
                <c:pt idx="1957">
                  <c:v>19570.0</c:v>
                </c:pt>
                <c:pt idx="1958">
                  <c:v>19580.0</c:v>
                </c:pt>
                <c:pt idx="1959">
                  <c:v>19590.0</c:v>
                </c:pt>
                <c:pt idx="1960">
                  <c:v>19600.0</c:v>
                </c:pt>
                <c:pt idx="1961">
                  <c:v>19610.0</c:v>
                </c:pt>
                <c:pt idx="1962">
                  <c:v>19620.0</c:v>
                </c:pt>
                <c:pt idx="1963">
                  <c:v>19630.0</c:v>
                </c:pt>
                <c:pt idx="1964">
                  <c:v>19640.0</c:v>
                </c:pt>
                <c:pt idx="1965">
                  <c:v>19650.0</c:v>
                </c:pt>
                <c:pt idx="1966">
                  <c:v>19660.0</c:v>
                </c:pt>
                <c:pt idx="1967">
                  <c:v>19670.0</c:v>
                </c:pt>
                <c:pt idx="1968">
                  <c:v>19680.0</c:v>
                </c:pt>
                <c:pt idx="1969">
                  <c:v>19690.0</c:v>
                </c:pt>
                <c:pt idx="1970">
                  <c:v>19700.0</c:v>
                </c:pt>
                <c:pt idx="1971">
                  <c:v>19710.0</c:v>
                </c:pt>
                <c:pt idx="1972">
                  <c:v>19720.0</c:v>
                </c:pt>
                <c:pt idx="1973">
                  <c:v>19730.0</c:v>
                </c:pt>
                <c:pt idx="1974">
                  <c:v>19740.0</c:v>
                </c:pt>
                <c:pt idx="1975">
                  <c:v>19750.0</c:v>
                </c:pt>
                <c:pt idx="1976">
                  <c:v>19760.0</c:v>
                </c:pt>
                <c:pt idx="1977">
                  <c:v>19770.0</c:v>
                </c:pt>
                <c:pt idx="1978">
                  <c:v>19780.0</c:v>
                </c:pt>
                <c:pt idx="1979">
                  <c:v>19790.0</c:v>
                </c:pt>
                <c:pt idx="1980">
                  <c:v>19800.0</c:v>
                </c:pt>
                <c:pt idx="1981">
                  <c:v>19810.0</c:v>
                </c:pt>
                <c:pt idx="1982">
                  <c:v>19820.0</c:v>
                </c:pt>
                <c:pt idx="1983">
                  <c:v>19830.0</c:v>
                </c:pt>
                <c:pt idx="1984">
                  <c:v>19840.0</c:v>
                </c:pt>
                <c:pt idx="1985">
                  <c:v>19850.0</c:v>
                </c:pt>
                <c:pt idx="1986">
                  <c:v>19860.0</c:v>
                </c:pt>
                <c:pt idx="1987">
                  <c:v>19870.0</c:v>
                </c:pt>
                <c:pt idx="1988">
                  <c:v>19880.0</c:v>
                </c:pt>
                <c:pt idx="1989">
                  <c:v>19890.0</c:v>
                </c:pt>
                <c:pt idx="1990">
                  <c:v>19900.0</c:v>
                </c:pt>
                <c:pt idx="1991">
                  <c:v>19910.0</c:v>
                </c:pt>
                <c:pt idx="1992">
                  <c:v>19920.0</c:v>
                </c:pt>
                <c:pt idx="1993">
                  <c:v>19930.0</c:v>
                </c:pt>
                <c:pt idx="1994">
                  <c:v>19940.0</c:v>
                </c:pt>
                <c:pt idx="1995">
                  <c:v>19950.0</c:v>
                </c:pt>
                <c:pt idx="1996">
                  <c:v>19960.0</c:v>
                </c:pt>
                <c:pt idx="1997">
                  <c:v>19970.0</c:v>
                </c:pt>
                <c:pt idx="1998">
                  <c:v>19980.0</c:v>
                </c:pt>
                <c:pt idx="1999">
                  <c:v>19990.0</c:v>
                </c:pt>
                <c:pt idx="2000">
                  <c:v>20000.0</c:v>
                </c:pt>
              </c:strCache>
            </c:strRef>
          </c:cat>
          <c:val>
            <c:numRef>
              <c:f>スペクトル!$E$6:$E$2006</c:f>
              <c:numCache>
                <c:formatCode>General</c:formatCode>
                <c:ptCount val="2001"/>
                <c:pt idx="0">
                  <c:v>24.6068039015041</c:v>
                </c:pt>
                <c:pt idx="1">
                  <c:v>24.606826891111</c:v>
                </c:pt>
                <c:pt idx="2">
                  <c:v>24.606895863348</c:v>
                </c:pt>
                <c:pt idx="3">
                  <c:v>24.6070108284663</c:v>
                </c:pt>
                <c:pt idx="4">
                  <c:v>24.6071718035576</c:v>
                </c:pt>
                <c:pt idx="5">
                  <c:v>24.6073788125634</c:v>
                </c:pt>
                <c:pt idx="6">
                  <c:v>24.6076318862882</c:v>
                </c:pt>
                <c:pt idx="7">
                  <c:v>24.6079310624165</c:v>
                </c:pt>
                <c:pt idx="8">
                  <c:v>24.6082763855338</c:v>
                </c:pt>
                <c:pt idx="9">
                  <c:v>24.608667907151</c:v>
                </c:pt>
                <c:pt idx="10">
                  <c:v>24.6091056857333</c:v>
                </c:pt>
                <c:pt idx="11">
                  <c:v>24.6095897867321</c:v>
                </c:pt>
                <c:pt idx="12">
                  <c:v>24.6101202826217</c:v>
                </c:pt>
                <c:pt idx="13">
                  <c:v>24.6106972529399</c:v>
                </c:pt>
                <c:pt idx="14">
                  <c:v>24.6113207843316</c:v>
                </c:pt>
                <c:pt idx="15">
                  <c:v>24.6119909705982</c:v>
                </c:pt>
                <c:pt idx="16">
                  <c:v>24.6127079127493</c:v>
                </c:pt>
                <c:pt idx="17">
                  <c:v>24.6134717190601</c:v>
                </c:pt>
                <c:pt idx="18">
                  <c:v>24.614282505132</c:v>
                </c:pt>
                <c:pt idx="19">
                  <c:v>24.6151403939583</c:v>
                </c:pt>
                <c:pt idx="20">
                  <c:v>24.6160455159937</c:v>
                </c:pt>
                <c:pt idx="21">
                  <c:v>24.6169980092286</c:v>
                </c:pt>
                <c:pt idx="22">
                  <c:v>24.6179980192677</c:v>
                </c:pt>
                <c:pt idx="23">
                  <c:v>24.619045699414</c:v>
                </c:pt>
                <c:pt idx="24">
                  <c:v>24.6201412107565</c:v>
                </c:pt>
                <c:pt idx="25">
                  <c:v>24.6212847222633</c:v>
                </c:pt>
                <c:pt idx="26">
                  <c:v>24.6224764108801</c:v>
                </c:pt>
                <c:pt idx="27">
                  <c:v>24.6237164616328</c:v>
                </c:pt>
                <c:pt idx="28">
                  <c:v>24.6250050677364</c:v>
                </c:pt>
                <c:pt idx="29">
                  <c:v>24.6263424307083</c:v>
                </c:pt>
                <c:pt idx="30">
                  <c:v>24.6277287604874</c:v>
                </c:pt>
                <c:pt idx="31">
                  <c:v>24.6291642755597</c:v>
                </c:pt>
                <c:pt idx="32">
                  <c:v>24.630649203088</c:v>
                </c:pt>
                <c:pt idx="33">
                  <c:v>24.6321837790488</c:v>
                </c:pt>
                <c:pt idx="34">
                  <c:v>24.6337682483755</c:v>
                </c:pt>
                <c:pt idx="35">
                  <c:v>24.6354028651063</c:v>
                </c:pt>
                <c:pt idx="36">
                  <c:v>24.6370878925409</c:v>
                </c:pt>
                <c:pt idx="37">
                  <c:v>24.6388236034015</c:v>
                </c:pt>
                <c:pt idx="38">
                  <c:v>24.640610280003</c:v>
                </c:pt>
                <c:pt idx="39">
                  <c:v>24.642448214428</c:v>
                </c:pt>
                <c:pt idx="40">
                  <c:v>24.6443377087112</c:v>
                </c:pt>
                <c:pt idx="41">
                  <c:v>24.6462790750303</c:v>
                </c:pt>
                <c:pt idx="42">
                  <c:v>24.6482726359046</c:v>
                </c:pt>
                <c:pt idx="43">
                  <c:v>24.6503187244023</c:v>
                </c:pt>
                <c:pt idx="44">
                  <c:v>24.6524176843561</c:v>
                </c:pt>
                <c:pt idx="45">
                  <c:v>24.6545698705872</c:v>
                </c:pt>
                <c:pt idx="46">
                  <c:v>24.656775649138</c:v>
                </c:pt>
                <c:pt idx="47">
                  <c:v>24.6590353975155</c:v>
                </c:pt>
                <c:pt idx="48">
                  <c:v>24.6613495049423</c:v>
                </c:pt>
                <c:pt idx="49">
                  <c:v>24.6637183726195</c:v>
                </c:pt>
                <c:pt idx="50">
                  <c:v>24.6661424139991</c:v>
                </c:pt>
                <c:pt idx="51">
                  <c:v>24.6686220550668</c:v>
                </c:pt>
                <c:pt idx="52">
                  <c:v>24.671157734637</c:v>
                </c:pt>
                <c:pt idx="53">
                  <c:v>24.6737499046588</c:v>
                </c:pt>
                <c:pt idx="54">
                  <c:v>24.6763990305343</c:v>
                </c:pt>
                <c:pt idx="55">
                  <c:v>24.6791055914492</c:v>
                </c:pt>
                <c:pt idx="56">
                  <c:v>24.6818700807166</c:v>
                </c:pt>
                <c:pt idx="57">
                  <c:v>24.6846930061351</c:v>
                </c:pt>
                <c:pt idx="58">
                  <c:v>24.6875748903597</c:v>
                </c:pt>
                <c:pt idx="59">
                  <c:v>24.6905162712888</c:v>
                </c:pt>
                <c:pt idx="60">
                  <c:v>24.6935177024655</c:v>
                </c:pt>
                <c:pt idx="61">
                  <c:v>24.6965797534959</c:v>
                </c:pt>
                <c:pt idx="62">
                  <c:v>24.6997030104832</c:v>
                </c:pt>
                <c:pt idx="63">
                  <c:v>24.7028880764799</c:v>
                </c:pt>
                <c:pt idx="64">
                  <c:v>24.7061355719577</c:v>
                </c:pt>
                <c:pt idx="65">
                  <c:v>24.7094461352967</c:v>
                </c:pt>
                <c:pt idx="66">
                  <c:v>24.7128204232943</c:v>
                </c:pt>
                <c:pt idx="67">
                  <c:v>24.7162591116949</c:v>
                </c:pt>
                <c:pt idx="68">
                  <c:v>24.7197628957406</c:v>
                </c:pt>
                <c:pt idx="69">
                  <c:v>24.7233324907458</c:v>
                </c:pt>
                <c:pt idx="70">
                  <c:v>24.7269686326939</c:v>
                </c:pt>
                <c:pt idx="71">
                  <c:v>24.7306720788602</c:v>
                </c:pt>
                <c:pt idx="72">
                  <c:v>24.7344436084593</c:v>
                </c:pt>
                <c:pt idx="73">
                  <c:v>24.7382840233209</c:v>
                </c:pt>
                <c:pt idx="74">
                  <c:v>24.7421941485929</c:v>
                </c:pt>
                <c:pt idx="75">
                  <c:v>24.7461748334749</c:v>
                </c:pt>
                <c:pt idx="76">
                  <c:v>24.750226951983</c:v>
                </c:pt>
                <c:pt idx="77">
                  <c:v>24.7543514037462</c:v>
                </c:pt>
                <c:pt idx="78">
                  <c:v>24.7585491148386</c:v>
                </c:pt>
                <c:pt idx="79">
                  <c:v>24.7628210386467</c:v>
                </c:pt>
                <c:pt idx="80">
                  <c:v>24.7671681567741</c:v>
                </c:pt>
                <c:pt idx="81">
                  <c:v>24.7715914799871</c:v>
                </c:pt>
                <c:pt idx="82">
                  <c:v>24.776092049201</c:v>
                </c:pt>
                <c:pt idx="83">
                  <c:v>24.7806709365102</c:v>
                </c:pt>
                <c:pt idx="84">
                  <c:v>24.7853292462651</c:v>
                </c:pt>
                <c:pt idx="85">
                  <c:v>24.7900681161968</c:v>
                </c:pt>
                <c:pt idx="86">
                  <c:v>24.7948887185929</c:v>
                </c:pt>
                <c:pt idx="87">
                  <c:v>24.7997922615273</c:v>
                </c:pt>
                <c:pt idx="88">
                  <c:v>24.8047799901464</c:v>
                </c:pt>
                <c:pt idx="89">
                  <c:v>24.8098531880144</c:v>
                </c:pt>
                <c:pt idx="90">
                  <c:v>24.8150131785224</c:v>
                </c:pt>
                <c:pt idx="91">
                  <c:v>24.8202613263629</c:v>
                </c:pt>
                <c:pt idx="92">
                  <c:v>24.8255990390745</c:v>
                </c:pt>
                <c:pt idx="93">
                  <c:v>24.8310277686604</c:v>
                </c:pt>
                <c:pt idx="94">
                  <c:v>24.8365490132848</c:v>
                </c:pt>
                <c:pt idx="95">
                  <c:v>24.8421643190516</c:v>
                </c:pt>
                <c:pt idx="96">
                  <c:v>24.8478752818704</c:v>
                </c:pt>
                <c:pt idx="97">
                  <c:v>24.8536835494137</c:v>
                </c:pt>
                <c:pt idx="98">
                  <c:v>24.8595908231726</c:v>
                </c:pt>
                <c:pt idx="99">
                  <c:v>24.8655988606148</c:v>
                </c:pt>
                <c:pt idx="100">
                  <c:v>24.8717094774522</c:v>
                </c:pt>
                <c:pt idx="101">
                  <c:v>24.8779245500234</c:v>
                </c:pt>
                <c:pt idx="102">
                  <c:v>24.8842460178003</c:v>
                </c:pt>
                <c:pt idx="103">
                  <c:v>24.8906758860234</c:v>
                </c:pt>
                <c:pt idx="104">
                  <c:v>24.8972162284756</c:v>
                </c:pt>
                <c:pt idx="105">
                  <c:v>24.9038691904034</c:v>
                </c:pt>
                <c:pt idx="106">
                  <c:v>24.9106369915925</c:v>
                </c:pt>
                <c:pt idx="107">
                  <c:v>24.91752192961</c:v>
                </c:pt>
                <c:pt idx="108">
                  <c:v>24.9245263832225</c:v>
                </c:pt>
                <c:pt idx="109">
                  <c:v>24.9316528160017</c:v>
                </c:pt>
                <c:pt idx="110">
                  <c:v>24.9389037801294</c:v>
                </c:pt>
                <c:pt idx="111">
                  <c:v>24.946281920415</c:v>
                </c:pt>
                <c:pt idx="112">
                  <c:v>24.9537899785407</c:v>
                </c:pt>
                <c:pt idx="113">
                  <c:v>24.9614307975477</c:v>
                </c:pt>
                <c:pt idx="114">
                  <c:v>24.969207326581</c:v>
                </c:pt>
                <c:pt idx="115">
                  <c:v>24.9771226259097</c:v>
                </c:pt>
                <c:pt idx="116">
                  <c:v>24.985179872243</c:v>
                </c:pt>
                <c:pt idx="117">
                  <c:v>24.9933823643606</c:v>
                </c:pt>
                <c:pt idx="118">
                  <c:v>25.0017335290809</c:v>
                </c:pt>
                <c:pt idx="119">
                  <c:v>25.0102369275911</c:v>
                </c:pt>
                <c:pt idx="120">
                  <c:v>25.0188962621643</c:v>
                </c:pt>
                <c:pt idx="121">
                  <c:v>25.0277153832919</c:v>
                </c:pt>
                <c:pt idx="122">
                  <c:v>25.0366982972628</c:v>
                </c:pt>
                <c:pt idx="123">
                  <c:v>25.0458491742209</c:v>
                </c:pt>
                <c:pt idx="124">
                  <c:v>25.0551723567377</c:v>
                </c:pt>
                <c:pt idx="125">
                  <c:v>25.0646723689391</c:v>
                </c:pt>
                <c:pt idx="126">
                  <c:v>25.0743539262285</c:v>
                </c:pt>
                <c:pt idx="127">
                  <c:v>25.084221945652</c:v>
                </c:pt>
                <c:pt idx="128">
                  <c:v>25.0942815569576</c:v>
                </c:pt>
                <c:pt idx="129">
                  <c:v>25.104538114401</c:v>
                </c:pt>
                <c:pt idx="130">
                  <c:v>25.1149972093602</c:v>
                </c:pt>
                <c:pt idx="131">
                  <c:v>25.125664683823</c:v>
                </c:pt>
                <c:pt idx="132">
                  <c:v>25.1365466448201</c:v>
                </c:pt>
                <c:pt idx="133">
                  <c:v>25.147649479881</c:v>
                </c:pt>
                <c:pt idx="134">
                  <c:v>25.1589798736005</c:v>
                </c:pt>
                <c:pt idx="135">
                  <c:v>25.1705448254089</c:v>
                </c:pt>
                <c:pt idx="136">
                  <c:v>25.1823516686511</c:v>
                </c:pt>
                <c:pt idx="137">
                  <c:v>25.1944080910866</c:v>
                </c:pt>
                <c:pt idx="138">
                  <c:v>25.2067221569391</c:v>
                </c:pt>
                <c:pt idx="139">
                  <c:v>25.2193023306318</c:v>
                </c:pt>
                <c:pt idx="140">
                  <c:v>25.2321575023634</c:v>
                </c:pt>
                <c:pt idx="141">
                  <c:v>25.2452970156923</c:v>
                </c:pt>
                <c:pt idx="142">
                  <c:v>25.2587306973178</c:v>
                </c:pt>
                <c:pt idx="143">
                  <c:v>25.2724688892649</c:v>
                </c:pt>
                <c:pt idx="144">
                  <c:v>25.2865224837025</c:v>
                </c:pt>
                <c:pt idx="145">
                  <c:v>25.3009029606527</c:v>
                </c:pt>
                <c:pt idx="146">
                  <c:v>25.3156224288733</c:v>
                </c:pt>
                <c:pt idx="147">
                  <c:v>25.3306936702322</c:v>
                </c:pt>
                <c:pt idx="148">
                  <c:v>25.3461301879282</c:v>
                </c:pt>
                <c:pt idx="149">
                  <c:v>25.3619462589515</c:v>
                </c:pt>
                <c:pt idx="150">
                  <c:v>25.3781569912289</c:v>
                </c:pt>
                <c:pt idx="151">
                  <c:v>25.3947783859496</c:v>
                </c:pt>
                <c:pt idx="152">
                  <c:v>25.4118274056278</c:v>
                </c:pt>
                <c:pt idx="153">
                  <c:v>25.4293220485317</c:v>
                </c:pt>
                <c:pt idx="154">
                  <c:v>25.4472814301836</c:v>
                </c:pt>
                <c:pt idx="155">
                  <c:v>25.4657258727306</c:v>
                </c:pt>
                <c:pt idx="156">
                  <c:v>25.4846770030878</c:v>
                </c:pt>
                <c:pt idx="157">
                  <c:v>25.504157860877</c:v>
                </c:pt>
                <c:pt idx="158">
                  <c:v>25.5241930173237</c:v>
                </c:pt>
                <c:pt idx="159">
                  <c:v>25.5448087064321</c:v>
                </c:pt>
                <c:pt idx="160">
                  <c:v>25.5660329699468</c:v>
                </c:pt>
                <c:pt idx="161">
                  <c:v>25.5878958178234</c:v>
                </c:pt>
                <c:pt idx="162">
                  <c:v>25.6104294061789</c:v>
                </c:pt>
                <c:pt idx="163">
                  <c:v>25.6336682349882</c:v>
                </c:pt>
                <c:pt idx="164">
                  <c:v>25.657649368131</c:v>
                </c:pt>
                <c:pt idx="165">
                  <c:v>25.6824126787942</c:v>
                </c:pt>
                <c:pt idx="166">
                  <c:v>25.7080011237086</c:v>
                </c:pt>
                <c:pt idx="167">
                  <c:v>25.7344610502478</c:v>
                </c:pt>
                <c:pt idx="168">
                  <c:v>25.7618425410795</c:v>
                </c:pt>
                <c:pt idx="169">
                  <c:v>25.7901998018354</c:v>
                </c:pt>
                <c:pt idx="170">
                  <c:v>25.8195915981929</c:v>
                </c:pt>
                <c:pt idx="171">
                  <c:v>25.8500817498726</c:v>
                </c:pt>
                <c:pt idx="172">
                  <c:v>25.8817396903812</c:v>
                </c:pt>
                <c:pt idx="173">
                  <c:v>25.9146411029284</c:v>
                </c:pt>
                <c:pt idx="174">
                  <c:v>25.9488686448785</c:v>
                </c:pt>
                <c:pt idx="175">
                  <c:v>25.9845127754343</c:v>
                </c:pt>
                <c:pt idx="176">
                  <c:v>26.0216727041062</c:v>
                </c:pt>
                <c:pt idx="177">
                  <c:v>26.0604574809973</c:v>
                </c:pt>
                <c:pt idx="178">
                  <c:v>26.1009872542242</c:v>
                </c:pt>
                <c:pt idx="179">
                  <c:v>26.1433947250671</c:v>
                </c:pt>
                <c:pt idx="180">
                  <c:v>26.1878268379983</c:v>
                </c:pt>
                <c:pt idx="181">
                  <c:v>26.2344467508998</c:v>
                </c:pt>
                <c:pt idx="182">
                  <c:v>26.2834361410081</c:v>
                </c:pt>
                <c:pt idx="183">
                  <c:v>26.3349979150113</c:v>
                </c:pt>
                <c:pt idx="184">
                  <c:v>26.3893594080538</c:v>
                </c:pt>
                <c:pt idx="185">
                  <c:v>26.4467761772203</c:v>
                </c:pt>
                <c:pt idx="186">
                  <c:v>26.5075365217796</c:v>
                </c:pt>
                <c:pt idx="187">
                  <c:v>26.57196689696</c:v>
                </c:pt>
                <c:pt idx="188">
                  <c:v>26.6404384328787</c:v>
                </c:pt>
                <c:pt idx="189">
                  <c:v>26.7133748289829</c:v>
                </c:pt>
                <c:pt idx="190">
                  <c:v>26.79126197187</c:v>
                </c:pt>
                <c:pt idx="191">
                  <c:v>26.8746597274058</c:v>
                </c:pt>
                <c:pt idx="192">
                  <c:v>26.9642164961879</c:v>
                </c:pt>
                <c:pt idx="193">
                  <c:v>27.0606873080458</c:v>
                </c:pt>
                <c:pt idx="194">
                  <c:v>27.1649564855494</c:v>
                </c:pt>
                <c:pt idx="195">
                  <c:v>27.2780662557521</c:v>
                </c:pt>
                <c:pt idx="196">
                  <c:v>27.4012531728422</c:v>
                </c:pt>
                <c:pt idx="197">
                  <c:v>27.5359948882473</c:v>
                </c:pt>
                <c:pt idx="198">
                  <c:v>27.6840707491404</c:v>
                </c:pt>
                <c:pt idx="199">
                  <c:v>27.8476410331357</c:v>
                </c:pt>
                <c:pt idx="200">
                  <c:v>28.0293514857264</c:v>
                </c:pt>
                <c:pt idx="201">
                  <c:v>28.2324723965549</c:v>
                </c:pt>
                <c:pt idx="202">
                  <c:v>28.4610848802886</c:v>
                </c:pt>
                <c:pt idx="203">
                  <c:v>28.7203312178069</c:v>
                </c:pt>
                <c:pt idx="204">
                  <c:v>29.0167500030357</c:v>
                </c:pt>
                <c:pt idx="205">
                  <c:v>29.3587161971025</c:v>
                </c:pt>
                <c:pt idx="206">
                  <c:v>29.7569867227833</c:v>
                </c:pt>
                <c:pt idx="207">
                  <c:v>30.2252676531925</c:v>
                </c:pt>
                <c:pt idx="208">
                  <c:v>30.7804188516785</c:v>
                </c:pt>
                <c:pt idx="209">
                  <c:v>31.4408962828207</c:v>
                </c:pt>
                <c:pt idx="210">
                  <c:v>32.2186248646654</c:v>
                </c:pt>
                <c:pt idx="211">
                  <c:v>33.0884693894123</c:v>
                </c:pt>
                <c:pt idx="212">
                  <c:v>33.8912941448039</c:v>
                </c:pt>
                <c:pt idx="213">
                  <c:v>34.1304443302968</c:v>
                </c:pt>
                <c:pt idx="214">
                  <c:v>33.0276419117821</c:v>
                </c:pt>
                <c:pt idx="215">
                  <c:v>30.4669056782717</c:v>
                </c:pt>
                <c:pt idx="216">
                  <c:v>27.1567762389983</c:v>
                </c:pt>
                <c:pt idx="217">
                  <c:v>23.6694088375387</c:v>
                </c:pt>
                <c:pt idx="218">
                  <c:v>20.3493009771162</c:v>
                </c:pt>
                <c:pt idx="219">
                  <c:v>17.7048266503399</c:v>
                </c:pt>
                <c:pt idx="220">
                  <c:v>16.4116891084485</c:v>
                </c:pt>
                <c:pt idx="221">
                  <c:v>16.4745553311129</c:v>
                </c:pt>
                <c:pt idx="222">
                  <c:v>17.1865305093962</c:v>
                </c:pt>
                <c:pt idx="223">
                  <c:v>18.0213189738838</c:v>
                </c:pt>
                <c:pt idx="224">
                  <c:v>18.7886081386326</c:v>
                </c:pt>
                <c:pt idx="225">
                  <c:v>19.4486787427745</c:v>
                </c:pt>
                <c:pt idx="226">
                  <c:v>20.0075849956333</c:v>
                </c:pt>
                <c:pt idx="227">
                  <c:v>20.4814474913158</c:v>
                </c:pt>
                <c:pt idx="228">
                  <c:v>20.8861851774692</c:v>
                </c:pt>
                <c:pt idx="229">
                  <c:v>21.2351270329152</c:v>
                </c:pt>
                <c:pt idx="230">
                  <c:v>21.5388880855327</c:v>
                </c:pt>
                <c:pt idx="231">
                  <c:v>21.8058016106951</c:v>
                </c:pt>
                <c:pt idx="232">
                  <c:v>22.0424072575904</c:v>
                </c:pt>
                <c:pt idx="233">
                  <c:v>22.2538659949613</c:v>
                </c:pt>
                <c:pt idx="234">
                  <c:v>22.4442841718934</c:v>
                </c:pt>
                <c:pt idx="235">
                  <c:v>22.6169590305402</c:v>
                </c:pt>
                <c:pt idx="236">
                  <c:v>22.7745630046754</c:v>
                </c:pt>
                <c:pt idx="237">
                  <c:v>22.9192821153326</c:v>
                </c:pt>
                <c:pt idx="238">
                  <c:v>23.0529204146723</c:v>
                </c:pt>
                <c:pt idx="239">
                  <c:v>23.1769793795277</c:v>
                </c:pt>
                <c:pt idx="240">
                  <c:v>23.2927187646935</c:v>
                </c:pt>
                <c:pt idx="241">
                  <c:v>23.4012036521439</c:v>
                </c:pt>
                <c:pt idx="242">
                  <c:v>23.5033411462983</c:v>
                </c:pt>
                <c:pt idx="243">
                  <c:v>23.5999092405587</c:v>
                </c:pt>
                <c:pt idx="244">
                  <c:v>23.6915797156269</c:v>
                </c:pt>
                <c:pt idx="245">
                  <c:v>23.7789364507503</c:v>
                </c:pt>
                <c:pt idx="246">
                  <c:v>23.8624901814246</c:v>
                </c:pt>
                <c:pt idx="247">
                  <c:v>23.9426904832788</c:v>
                </c:pt>
                <c:pt idx="248">
                  <c:v>24.0199355751843</c:v>
                </c:pt>
                <c:pt idx="249">
                  <c:v>24.0945803962753</c:v>
                </c:pt>
                <c:pt idx="250">
                  <c:v>24.1669433082432</c:v>
                </c:pt>
                <c:pt idx="251">
                  <c:v>24.2373116965272</c:v>
                </c:pt>
                <c:pt idx="252">
                  <c:v>24.3059466851151</c:v>
                </c:pt>
                <c:pt idx="253">
                  <c:v>24.373087134723</c:v>
                </c:pt>
                <c:pt idx="254">
                  <c:v>24.438953059616</c:v>
                </c:pt>
                <c:pt idx="255">
                  <c:v>24.5037485716859</c:v>
                </c:pt>
                <c:pt idx="256">
                  <c:v>24.5676644397256</c:v>
                </c:pt>
                <c:pt idx="257">
                  <c:v>24.6308803357307</c:v>
                </c:pt>
                <c:pt idx="258">
                  <c:v>24.6935668274739</c:v>
                </c:pt>
                <c:pt idx="259">
                  <c:v>24.7558871667638</c:v>
                </c:pt>
                <c:pt idx="260">
                  <c:v>24.8179989151199</c:v>
                </c:pt>
                <c:pt idx="261">
                  <c:v>24.8800554426476</c:v>
                </c:pt>
                <c:pt idx="262">
                  <c:v>24.9422073313319</c:v>
                </c:pt>
                <c:pt idx="263">
                  <c:v>25.0046037105581</c:v>
                </c:pt>
                <c:pt idx="264">
                  <c:v>25.0673935502183</c:v>
                </c:pt>
                <c:pt idx="265">
                  <c:v>25.1307269351541</c:v>
                </c:pt>
                <c:pt idx="266">
                  <c:v>25.1947563438272</c:v>
                </c:pt>
                <c:pt idx="267">
                  <c:v>25.2596379539555</c:v>
                </c:pt>
                <c:pt idx="268">
                  <c:v>25.3255329983833</c:v>
                </c:pt>
                <c:pt idx="269">
                  <c:v>25.3926091956865</c:v>
                </c:pt>
                <c:pt idx="270">
                  <c:v>25.4610422819922</c:v>
                </c:pt>
                <c:pt idx="271">
                  <c:v>25.5310176733015</c:v>
                </c:pt>
                <c:pt idx="272">
                  <c:v>25.6027322913524</c:v>
                </c:pt>
                <c:pt idx="273">
                  <c:v>25.6763965909271</c:v>
                </c:pt>
                <c:pt idx="274">
                  <c:v>25.7522368326936</c:v>
                </c:pt>
                <c:pt idx="275">
                  <c:v>25.8304976534812</c:v>
                </c:pt>
                <c:pt idx="276">
                  <c:v>25.9114449956782</c:v>
                </c:pt>
                <c:pt idx="277">
                  <c:v>25.9953694697061</c:v>
                </c:pt>
                <c:pt idx="278">
                  <c:v>26.0825902388757</c:v>
                </c:pt>
                <c:pt idx="279">
                  <c:v>26.1734595351798</c:v>
                </c:pt>
                <c:pt idx="280">
                  <c:v>26.268367938751</c:v>
                </c:pt>
                <c:pt idx="281">
                  <c:v>26.3677505841529</c:v>
                </c:pt>
                <c:pt idx="282">
                  <c:v>26.4720944950808</c:v>
                </c:pt>
                <c:pt idx="283">
                  <c:v>26.581947297636</c:v>
                </c:pt>
                <c:pt idx="284">
                  <c:v>26.6979276238749</c:v>
                </c:pt>
                <c:pt idx="285">
                  <c:v>26.8207375953358</c:v>
                </c:pt>
                <c:pt idx="286">
                  <c:v>26.9511778749733</c:v>
                </c:pt>
                <c:pt idx="287">
                  <c:v>27.090165900391</c:v>
                </c:pt>
                <c:pt idx="288">
                  <c:v>27.2387580667908</c:v>
                </c:pt>
                <c:pt idx="289">
                  <c:v>27.3981768192265</c:v>
                </c:pt>
                <c:pt idx="290">
                  <c:v>27.5698438415445</c:v>
                </c:pt>
                <c:pt idx="291">
                  <c:v>27.7554207849303</c:v>
                </c:pt>
                <c:pt idx="292">
                  <c:v>27.9568592293826</c:v>
                </c:pt>
                <c:pt idx="293">
                  <c:v>28.1764617291808</c:v>
                </c:pt>
                <c:pt idx="294">
                  <c:v>28.4169556490651</c:v>
                </c:pt>
                <c:pt idx="295">
                  <c:v>28.6815805720048</c:v>
                </c:pt>
                <c:pt idx="296">
                  <c:v>28.9741872718331</c:v>
                </c:pt>
                <c:pt idx="297">
                  <c:v>29.2993391621878</c:v>
                </c:pt>
                <c:pt idx="298">
                  <c:v>29.6623902349504</c:v>
                </c:pt>
                <c:pt idx="299">
                  <c:v>30.0694740924733</c:v>
                </c:pt>
                <c:pt idx="300">
                  <c:v>30.5272472229775</c:v>
                </c:pt>
                <c:pt idx="301">
                  <c:v>31.0420171989385</c:v>
                </c:pt>
                <c:pt idx="302">
                  <c:v>31.6173954784112</c:v>
                </c:pt>
                <c:pt idx="303">
                  <c:v>32.248518459574</c:v>
                </c:pt>
                <c:pt idx="304">
                  <c:v>32.90872515743</c:v>
                </c:pt>
                <c:pt idx="305">
                  <c:v>33.5220889195906</c:v>
                </c:pt>
                <c:pt idx="306">
                  <c:v>33.9213482285136</c:v>
                </c:pt>
                <c:pt idx="307">
                  <c:v>33.8353810610183</c:v>
                </c:pt>
                <c:pt idx="308">
                  <c:v>33.0183782243921</c:v>
                </c:pt>
                <c:pt idx="309">
                  <c:v>31.4751943557083</c:v>
                </c:pt>
                <c:pt idx="310">
                  <c:v>29.4477598936578</c:v>
                </c:pt>
                <c:pt idx="311">
                  <c:v>27.187627246252</c:v>
                </c:pt>
                <c:pt idx="312">
                  <c:v>24.8452113739085</c:v>
                </c:pt>
                <c:pt idx="313">
                  <c:v>22.4966315712595</c:v>
                </c:pt>
                <c:pt idx="314">
                  <c:v>20.2026626115949</c:v>
                </c:pt>
                <c:pt idx="315">
                  <c:v>18.0663111631036</c:v>
                </c:pt>
                <c:pt idx="316">
                  <c:v>16.2782589554088</c:v>
                </c:pt>
                <c:pt idx="317">
                  <c:v>15.0869929893684</c:v>
                </c:pt>
                <c:pt idx="318">
                  <c:v>14.6246481843027</c:v>
                </c:pt>
                <c:pt idx="319">
                  <c:v>14.7652316417872</c:v>
                </c:pt>
                <c:pt idx="320">
                  <c:v>15.2461428242928</c:v>
                </c:pt>
                <c:pt idx="321">
                  <c:v>15.8543428136858</c:v>
                </c:pt>
                <c:pt idx="322">
                  <c:v>16.4739884398612</c:v>
                </c:pt>
                <c:pt idx="323">
                  <c:v>17.0556848115618</c:v>
                </c:pt>
                <c:pt idx="324">
                  <c:v>17.5834460110736</c:v>
                </c:pt>
                <c:pt idx="325">
                  <c:v>18.0558036267106</c:v>
                </c:pt>
                <c:pt idx="326">
                  <c:v>18.4768707348162</c:v>
                </c:pt>
                <c:pt idx="327">
                  <c:v>18.852443922427</c:v>
                </c:pt>
                <c:pt idx="328">
                  <c:v>19.188401622826</c:v>
                </c:pt>
                <c:pt idx="329">
                  <c:v>19.4901072979145</c:v>
                </c:pt>
                <c:pt idx="330">
                  <c:v>19.7622403879698</c:v>
                </c:pt>
                <c:pt idx="331">
                  <c:v>20.0088014030135</c:v>
                </c:pt>
                <c:pt idx="332">
                  <c:v>20.2331807290786</c:v>
                </c:pt>
                <c:pt idx="333">
                  <c:v>20.4382439881356</c:v>
                </c:pt>
                <c:pt idx="334">
                  <c:v>20.6264147784737</c:v>
                </c:pt>
                <c:pt idx="335">
                  <c:v>20.7997479372107</c:v>
                </c:pt>
                <c:pt idx="336">
                  <c:v>20.9599917633033</c:v>
                </c:pt>
                <c:pt idx="337">
                  <c:v>21.1086397849466</c:v>
                </c:pt>
                <c:pt idx="338">
                  <c:v>21.2469733979233</c:v>
                </c:pt>
                <c:pt idx="339">
                  <c:v>21.376096837886</c:v>
                </c:pt>
                <c:pt idx="340">
                  <c:v>21.4969658425409</c:v>
                </c:pt>
                <c:pt idx="341">
                  <c:v>21.6104111722941</c:v>
                </c:pt>
                <c:pt idx="342">
                  <c:v>21.7171579606155</c:v>
                </c:pt>
                <c:pt idx="343">
                  <c:v>21.8178416860906</c:v>
                </c:pt>
                <c:pt idx="344">
                  <c:v>21.9130214054762</c:v>
                </c:pt>
                <c:pt idx="345">
                  <c:v>22.0031907613879</c:v>
                </c:pt>
                <c:pt idx="346">
                  <c:v>22.0887871766092</c:v>
                </c:pt>
                <c:pt idx="347">
                  <c:v>22.1701995656484</c:v>
                </c:pt>
                <c:pt idx="348">
                  <c:v>22.2477748293294</c:v>
                </c:pt>
                <c:pt idx="349">
                  <c:v>22.3218233466448</c:v>
                </c:pt>
                <c:pt idx="350">
                  <c:v>22.3926236370851</c:v>
                </c:pt>
                <c:pt idx="351">
                  <c:v>22.4604263339862</c:v>
                </c:pt>
                <c:pt idx="352">
                  <c:v>22.5254575833526</c:v>
                </c:pt>
                <c:pt idx="353">
                  <c:v>22.5879219617273</c:v>
                </c:pt>
                <c:pt idx="354">
                  <c:v>22.6480049898977</c:v>
                </c:pt>
                <c:pt idx="355">
                  <c:v>22.7058753057007</c:v>
                </c:pt>
                <c:pt idx="356">
                  <c:v>22.761686548245</c:v>
                </c:pt>
                <c:pt idx="357">
                  <c:v>22.8155789969805</c:v>
                </c:pt>
                <c:pt idx="358">
                  <c:v>22.8676810017983</c:v>
                </c:pt>
                <c:pt idx="359">
                  <c:v>22.9181102344187</c:v>
                </c:pt>
                <c:pt idx="360">
                  <c:v>22.9669747864556</c:v>
                </c:pt>
                <c:pt idx="361">
                  <c:v>23.0143741355337</c:v>
                </c:pt>
                <c:pt idx="362">
                  <c:v>23.0603999975192</c:v>
                </c:pt>
                <c:pt idx="363">
                  <c:v>23.1051370801663</c:v>
                </c:pt>
                <c:pt idx="364">
                  <c:v>23.1486637511928</c:v>
                </c:pt>
                <c:pt idx="365">
                  <c:v>23.19105263188</c:v>
                </c:pt>
                <c:pt idx="366">
                  <c:v>23.2323711256838</c:v>
                </c:pt>
                <c:pt idx="367">
                  <c:v>23.2726818899986</c:v>
                </c:pt>
                <c:pt idx="368">
                  <c:v>23.3120432580695</c:v>
                </c:pt>
                <c:pt idx="369">
                  <c:v>23.3505096170908</c:v>
                </c:pt>
                <c:pt idx="370">
                  <c:v>23.3881317477077</c:v>
                </c:pt>
                <c:pt idx="371">
                  <c:v>23.4249571294431</c:v>
                </c:pt>
                <c:pt idx="372">
                  <c:v>23.4610302159799</c:v>
                </c:pt>
                <c:pt idx="373">
                  <c:v>23.4963926837196</c:v>
                </c:pt>
                <c:pt idx="374">
                  <c:v>23.5310836566043</c:v>
                </c:pt>
                <c:pt idx="375">
                  <c:v>23.5651399098145</c:v>
                </c:pt>
                <c:pt idx="376">
                  <c:v>23.5985960546347</c:v>
                </c:pt>
                <c:pt idx="377">
                  <c:v>23.6314847064961</c:v>
                </c:pt>
                <c:pt idx="378">
                  <c:v>23.6638366379719</c:v>
                </c:pt>
                <c:pt idx="379">
                  <c:v>23.6956809182836</c:v>
                </c:pt>
                <c:pt idx="380">
                  <c:v>23.727045040702</c:v>
                </c:pt>
                <c:pt idx="381">
                  <c:v>23.7579550390646</c:v>
                </c:pt>
                <c:pt idx="382">
                  <c:v>23.788435594493</c:v>
                </c:pt>
                <c:pt idx="383">
                  <c:v>23.8185101332753</c:v>
                </c:pt>
                <c:pt idx="384">
                  <c:v>23.8482009167701</c:v>
                </c:pt>
                <c:pt idx="385">
                  <c:v>23.877529124098</c:v>
                </c:pt>
                <c:pt idx="386">
                  <c:v>23.9065149283028</c:v>
                </c:pt>
                <c:pt idx="387">
                  <c:v>23.9351775665938</c:v>
                </c:pt>
                <c:pt idx="388">
                  <c:v>23.9635354052169</c:v>
                </c:pt>
                <c:pt idx="389">
                  <c:v>23.9916059994458</c:v>
                </c:pt>
                <c:pt idx="390">
                  <c:v>24.0194061491349</c:v>
                </c:pt>
                <c:pt idx="391">
                  <c:v>24.046951950232</c:v>
                </c:pt>
                <c:pt idx="392">
                  <c:v>24.0742588426079</c:v>
                </c:pt>
                <c:pt idx="393">
                  <c:v>24.1013416545282</c:v>
                </c:pt>
                <c:pt idx="394">
                  <c:v>24.1282146440593</c:v>
                </c:pt>
                <c:pt idx="395">
                  <c:v>24.1548915376728</c:v>
                </c:pt>
                <c:pt idx="396">
                  <c:v>24.1813855662904</c:v>
                </c:pt>
                <c:pt idx="397">
                  <c:v>24.2077094989858</c:v>
                </c:pt>
                <c:pt idx="398">
                  <c:v>24.2338756745435</c:v>
                </c:pt>
                <c:pt idx="399">
                  <c:v>24.2598960310549</c:v>
                </c:pt>
                <c:pt idx="400">
                  <c:v>24.2857821337165</c:v>
                </c:pt>
                <c:pt idx="401">
                  <c:v>24.311545200982</c:v>
                </c:pt>
                <c:pt idx="402">
                  <c:v>24.3371961292056</c:v>
                </c:pt>
                <c:pt idx="403">
                  <c:v>24.3627455159029</c:v>
                </c:pt>
                <c:pt idx="404">
                  <c:v>24.388203681747</c:v>
                </c:pt>
                <c:pt idx="405">
                  <c:v>24.4135806914056</c:v>
                </c:pt>
                <c:pt idx="406">
                  <c:v>24.4388863733181</c:v>
                </c:pt>
                <c:pt idx="407">
                  <c:v>24.4641303385046</c:v>
                </c:pt>
                <c:pt idx="408">
                  <c:v>24.4893219984896</c:v>
                </c:pt>
                <c:pt idx="409">
                  <c:v>24.5144705824214</c:v>
                </c:pt>
                <c:pt idx="410">
                  <c:v>24.5395851534563</c:v>
                </c:pt>
                <c:pt idx="411">
                  <c:v>24.5646746244796</c:v>
                </c:pt>
                <c:pt idx="412">
                  <c:v>24.5897477732237</c:v>
                </c:pt>
                <c:pt idx="413">
                  <c:v>24.6148132568452</c:v>
                </c:pt>
                <c:pt idx="414">
                  <c:v>24.6398796260148</c:v>
                </c:pt>
                <c:pt idx="415">
                  <c:v>24.6649553385754</c:v>
                </c:pt>
                <c:pt idx="416">
                  <c:v>24.6900487728168</c:v>
                </c:pt>
                <c:pt idx="417">
                  <c:v>24.7151682404151</c:v>
                </c:pt>
                <c:pt idx="418">
                  <c:v>24.740321999083</c:v>
                </c:pt>
                <c:pt idx="419">
                  <c:v>24.7655182649733</c:v>
                </c:pt>
                <c:pt idx="420">
                  <c:v>24.7907652248799</c:v>
                </c:pt>
                <c:pt idx="421">
                  <c:v>24.8160710482741</c:v>
                </c:pt>
                <c:pt idx="422">
                  <c:v>24.8414438992194</c:v>
                </c:pt>
                <c:pt idx="423">
                  <c:v>24.8668919482001</c:v>
                </c:pt>
                <c:pt idx="424">
                  <c:v>24.8924233839045</c:v>
                </c:pt>
                <c:pt idx="425">
                  <c:v>24.9180464249989</c:v>
                </c:pt>
                <c:pt idx="426">
                  <c:v>24.9437693319307</c:v>
                </c:pt>
                <c:pt idx="427">
                  <c:v>24.9696004187977</c:v>
                </c:pt>
                <c:pt idx="428">
                  <c:v>24.9955480653218</c:v>
                </c:pt>
                <c:pt idx="429">
                  <c:v>25.0216207289638</c:v>
                </c:pt>
                <c:pt idx="430">
                  <c:v>25.0478269572202</c:v>
                </c:pt>
                <c:pt idx="431">
                  <c:v>25.0741754001395</c:v>
                </c:pt>
                <c:pt idx="432">
                  <c:v>25.1006748231</c:v>
                </c:pt>
                <c:pt idx="433">
                  <c:v>25.1273341198898</c:v>
                </c:pt>
                <c:pt idx="434">
                  <c:v>25.1541623261332</c:v>
                </c:pt>
                <c:pt idx="435">
                  <c:v>25.1811686331088</c:v>
                </c:pt>
                <c:pt idx="436">
                  <c:v>25.2083624020048</c:v>
                </c:pt>
                <c:pt idx="437">
                  <c:v>25.2357531786636</c:v>
                </c:pt>
                <c:pt idx="438">
                  <c:v>25.2633507088652</c:v>
                </c:pt>
                <c:pt idx="439">
                  <c:v>25.2911649542065</c:v>
                </c:pt>
                <c:pt idx="440">
                  <c:v>25.3192061086326</c:v>
                </c:pt>
                <c:pt idx="441">
                  <c:v>25.3474846156843</c:v>
                </c:pt>
                <c:pt idx="442">
                  <c:v>25.3760111865262</c:v>
                </c:pt>
                <c:pt idx="443">
                  <c:v>25.4047968188266</c:v>
                </c:pt>
                <c:pt idx="444">
                  <c:v>25.4338528165638</c:v>
                </c:pt>
                <c:pt idx="445">
                  <c:v>25.4631908108414</c:v>
                </c:pt>
                <c:pt idx="446">
                  <c:v>25.4928227817976</c:v>
                </c:pt>
                <c:pt idx="447">
                  <c:v>25.5227610817042</c:v>
                </c:pt>
                <c:pt idx="448">
                  <c:v>25.553018459355</c:v>
                </c:pt>
                <c:pt idx="449">
                  <c:v>25.5836080858539</c:v>
                </c:pt>
                <c:pt idx="450">
                  <c:v>25.6145435819211</c:v>
                </c:pt>
                <c:pt idx="451">
                  <c:v>25.6458390468452</c:v>
                </c:pt>
                <c:pt idx="452">
                  <c:v>25.677509089222</c:v>
                </c:pt>
                <c:pt idx="453">
                  <c:v>25.7095688596305</c:v>
                </c:pt>
                <c:pt idx="454">
                  <c:v>25.7420340854116</c:v>
                </c:pt>
                <c:pt idx="455">
                  <c:v>25.7749211077314</c:v>
                </c:pt>
                <c:pt idx="456">
                  <c:v>25.8082469211231</c:v>
                </c:pt>
                <c:pt idx="457">
                  <c:v>25.8420292157254</c:v>
                </c:pt>
                <c:pt idx="458">
                  <c:v>25.8762864224516</c:v>
                </c:pt>
                <c:pt idx="459">
                  <c:v>25.911037761348</c:v>
                </c:pt>
                <c:pt idx="460">
                  <c:v>25.9463032934253</c:v>
                </c:pt>
                <c:pt idx="461">
                  <c:v>25.9821039762748</c:v>
                </c:pt>
                <c:pt idx="462">
                  <c:v>26.0184617238104</c:v>
                </c:pt>
                <c:pt idx="463">
                  <c:v>26.0553994705173</c:v>
                </c:pt>
                <c:pt idx="464">
                  <c:v>26.0929412406205</c:v>
                </c:pt>
                <c:pt idx="465">
                  <c:v>26.1311122226342</c:v>
                </c:pt>
                <c:pt idx="466">
                  <c:v>26.1699388498017</c:v>
                </c:pt>
                <c:pt idx="467">
                  <c:v>26.2094488869867</c:v>
                </c:pt>
                <c:pt idx="468">
                  <c:v>26.2496715246415</c:v>
                </c:pt>
                <c:pt idx="469">
                  <c:v>26.2906374805432</c:v>
                </c:pt>
                <c:pt idx="470">
                  <c:v>26.3323791100693</c:v>
                </c:pt>
                <c:pt idx="471">
                  <c:v>26.3749305258671</c:v>
                </c:pt>
                <c:pt idx="472">
                  <c:v>26.4183277278725</c:v>
                </c:pt>
                <c:pt idx="473">
                  <c:v>26.4626087447422</c:v>
                </c:pt>
                <c:pt idx="474">
                  <c:v>26.5078137878891</c:v>
                </c:pt>
                <c:pt idx="475">
                  <c:v>26.5539854194509</c:v>
                </c:pt>
                <c:pt idx="476">
                  <c:v>26.6011687356833</c:v>
                </c:pt>
                <c:pt idx="477">
                  <c:v>26.6494115674495</c:v>
                </c:pt>
                <c:pt idx="478">
                  <c:v>26.6987646996858</c:v>
                </c:pt>
                <c:pt idx="479">
                  <c:v>26.7492821119547</c:v>
                </c:pt>
                <c:pt idx="480">
                  <c:v>26.801021242469</c:v>
                </c:pt>
                <c:pt idx="481">
                  <c:v>26.8540432782698</c:v>
                </c:pt>
                <c:pt idx="482">
                  <c:v>26.9084134745949</c:v>
                </c:pt>
                <c:pt idx="483">
                  <c:v>26.9642015068691</c:v>
                </c:pt>
                <c:pt idx="484">
                  <c:v>27.021481859203</c:v>
                </c:pt>
                <c:pt idx="485">
                  <c:v>27.0803342538123</c:v>
                </c:pt>
                <c:pt idx="486">
                  <c:v>27.1408441263633</c:v>
                </c:pt>
                <c:pt idx="487">
                  <c:v>27.2031031529402</c:v>
                </c:pt>
                <c:pt idx="488">
                  <c:v>27.2672098351158</c:v>
                </c:pt>
                <c:pt idx="489">
                  <c:v>27.33327015051</c:v>
                </c:pt>
                <c:pt idx="490">
                  <c:v>27.4013982772596</c:v>
                </c:pt>
                <c:pt idx="491">
                  <c:v>27.4717174020102</c:v>
                </c:pt>
                <c:pt idx="492">
                  <c:v>27.5443606224035</c:v>
                </c:pt>
                <c:pt idx="493">
                  <c:v>27.6194719565878</c:v>
                </c:pt>
                <c:pt idx="494">
                  <c:v>27.6972074740527</c:v>
                </c:pt>
                <c:pt idx="495">
                  <c:v>27.7777365640974</c:v>
                </c:pt>
                <c:pt idx="496">
                  <c:v>27.8612433605046</c:v>
                </c:pt>
                <c:pt idx="497">
                  <c:v>27.9479283435175</c:v>
                </c:pt>
                <c:pt idx="498">
                  <c:v>28.0380101429956</c:v>
                </c:pt>
                <c:pt idx="499">
                  <c:v>28.1317275696224</c:v>
                </c:pt>
                <c:pt idx="500">
                  <c:v>28.2293419041725</c:v>
                </c:pt>
                <c:pt idx="501">
                  <c:v>28.3311394779605</c:v>
                </c:pt>
                <c:pt idx="502">
                  <c:v>28.4374345804116</c:v>
                </c:pt>
                <c:pt idx="503">
                  <c:v>28.5485727317414</c:v>
                </c:pt>
                <c:pt idx="504">
                  <c:v>28.6649343592479</c:v>
                </c:pt>
                <c:pt idx="505">
                  <c:v>28.7869389134273</c:v>
                </c:pt>
                <c:pt idx="506">
                  <c:v>28.9150494530337</c:v>
                </c:pt>
                <c:pt idx="507">
                  <c:v>29.0497777130724</c:v>
                </c:pt>
                <c:pt idx="508">
                  <c:v>29.1916896414177</c:v>
                </c:pt>
                <c:pt idx="509">
                  <c:v>29.3414113400791</c:v>
                </c:pt>
                <c:pt idx="510">
                  <c:v>29.4996352629939</c:v>
                </c:pt>
                <c:pt idx="511">
                  <c:v>29.6671263825561</c:v>
                </c:pt>
                <c:pt idx="512">
                  <c:v>29.8447278080055</c:v>
                </c:pt>
                <c:pt idx="513">
                  <c:v>30.0333649653747</c:v>
                </c:pt>
                <c:pt idx="514">
                  <c:v>30.234046841563</c:v>
                </c:pt>
                <c:pt idx="515">
                  <c:v>30.4478618082001</c:v>
                </c:pt>
                <c:pt idx="516">
                  <c:v>30.6759639348387</c:v>
                </c:pt>
                <c:pt idx="517">
                  <c:v>30.9195430831637</c:v>
                </c:pt>
                <c:pt idx="518">
                  <c:v>31.1797678041372</c:v>
                </c:pt>
                <c:pt idx="519">
                  <c:v>31.4576831087705</c:v>
                </c:pt>
                <c:pt idx="520">
                  <c:v>31.7540339454198</c:v>
                </c:pt>
                <c:pt idx="521">
                  <c:v>32.0689673500429</c:v>
                </c:pt>
                <c:pt idx="522">
                  <c:v>32.4015388176562</c:v>
                </c:pt>
                <c:pt idx="523">
                  <c:v>32.7489093853312</c:v>
                </c:pt>
                <c:pt idx="524">
                  <c:v>33.105073248648</c:v>
                </c:pt>
                <c:pt idx="525">
                  <c:v>33.4589268617638</c:v>
                </c:pt>
                <c:pt idx="526">
                  <c:v>33.7915618836332</c:v>
                </c:pt>
                <c:pt idx="527">
                  <c:v>34.0730340314912</c:v>
                </c:pt>
                <c:pt idx="528">
                  <c:v>34.2598495145739</c:v>
                </c:pt>
                <c:pt idx="529">
                  <c:v>34.2961141455756</c:v>
                </c:pt>
                <c:pt idx="530">
                  <c:v>34.12240561012</c:v>
                </c:pt>
                <c:pt idx="531">
                  <c:v>33.6933657113167</c:v>
                </c:pt>
                <c:pt idx="532">
                  <c:v>32.9961224610956</c:v>
                </c:pt>
                <c:pt idx="533">
                  <c:v>32.0558396836255</c:v>
                </c:pt>
                <c:pt idx="534">
                  <c:v>30.9236911126376</c:v>
                </c:pt>
                <c:pt idx="535">
                  <c:v>29.6576622237236</c:v>
                </c:pt>
                <c:pt idx="536">
                  <c:v>28.3089295525878</c:v>
                </c:pt>
                <c:pt idx="537">
                  <c:v>26.9177043275001</c:v>
                </c:pt>
                <c:pt idx="538">
                  <c:v>25.515660805711</c:v>
                </c:pt>
                <c:pt idx="539">
                  <c:v>24.1312270955334</c:v>
                </c:pt>
                <c:pt idx="540">
                  <c:v>22.7954642471</c:v>
                </c:pt>
                <c:pt idx="541">
                  <c:v>21.5470446714382</c:v>
                </c:pt>
                <c:pt idx="542">
                  <c:v>20.4342501319682</c:v>
                </c:pt>
                <c:pt idx="543">
                  <c:v>19.510799767962</c:v>
                </c:pt>
                <c:pt idx="544">
                  <c:v>18.8233476058371</c:v>
                </c:pt>
                <c:pt idx="545">
                  <c:v>18.3944586591176</c:v>
                </c:pt>
                <c:pt idx="546">
                  <c:v>18.2121358247339</c:v>
                </c:pt>
                <c:pt idx="547">
                  <c:v>18.2346694576876</c:v>
                </c:pt>
                <c:pt idx="548">
                  <c:v>18.4068642665123</c:v>
                </c:pt>
                <c:pt idx="549">
                  <c:v>18.6759541793322</c:v>
                </c:pt>
                <c:pt idx="550">
                  <c:v>19.0000846638273</c:v>
                </c:pt>
                <c:pt idx="551">
                  <c:v>19.3498354200605</c:v>
                </c:pt>
                <c:pt idx="552">
                  <c:v>19.7062072357952</c:v>
                </c:pt>
                <c:pt idx="553">
                  <c:v>20.0577494094664</c:v>
                </c:pt>
                <c:pt idx="554">
                  <c:v>20.3980496529996</c:v>
                </c:pt>
                <c:pt idx="555">
                  <c:v>20.7238922472248</c:v>
                </c:pt>
                <c:pt idx="556">
                  <c:v>21.0340168544921</c:v>
                </c:pt>
                <c:pt idx="557">
                  <c:v>21.3283200037399</c:v>
                </c:pt>
                <c:pt idx="558">
                  <c:v>21.6073552898</c:v>
                </c:pt>
                <c:pt idx="559">
                  <c:v>21.8720263527459</c:v>
                </c:pt>
                <c:pt idx="560">
                  <c:v>22.1234013564505</c:v>
                </c:pt>
                <c:pt idx="561">
                  <c:v>22.3626030430038</c:v>
                </c:pt>
                <c:pt idx="562">
                  <c:v>22.5907454156223</c:v>
                </c:pt>
                <c:pt idx="563">
                  <c:v>22.8088989973815</c:v>
                </c:pt>
                <c:pt idx="564">
                  <c:v>23.0180734626367</c:v>
                </c:pt>
                <c:pt idx="565">
                  <c:v>23.2192107044829</c:v>
                </c:pt>
                <c:pt idx="566">
                  <c:v>23.4131840506613</c:v>
                </c:pt>
                <c:pt idx="567">
                  <c:v>23.6008009851349</c:v>
                </c:pt>
                <c:pt idx="568">
                  <c:v>23.782807755316</c:v>
                </c:pt>
                <c:pt idx="569">
                  <c:v>23.9598948819388</c:v>
                </c:pt>
                <c:pt idx="570">
                  <c:v>24.1327029857345</c:v>
                </c:pt>
                <c:pt idx="571">
                  <c:v>24.3018285925654</c:v>
                </c:pt>
                <c:pt idx="572">
                  <c:v>24.4678297324923</c:v>
                </c:pt>
                <c:pt idx="573">
                  <c:v>24.6312312432652</c:v>
                </c:pt>
                <c:pt idx="574">
                  <c:v>24.7925297468019</c:v>
                </c:pt>
                <c:pt idx="575">
                  <c:v>24.9521983020948</c:v>
                </c:pt>
                <c:pt idx="576">
                  <c:v>25.1106907583503</c:v>
                </c:pt>
                <c:pt idx="577">
                  <c:v>25.2684458435074</c:v>
                </c:pt>
                <c:pt idx="578">
                  <c:v>25.4258910290882</c:v>
                </c:pt>
                <c:pt idx="579">
                  <c:v>25.5834462147918</c:v>
                </c:pt>
                <c:pt idx="580">
                  <c:v>25.7415272767117</c:v>
                </c:pt>
                <c:pt idx="581">
                  <c:v>25.9005495223594</c:v>
                </c:pt>
                <c:pt idx="582">
                  <c:v>26.0609310942499</c:v>
                </c:pt>
                <c:pt idx="583">
                  <c:v>26.2230963618255</c:v>
                </c:pt>
                <c:pt idx="584">
                  <c:v>26.3874793389098</c:v>
                </c:pt>
                <c:pt idx="585">
                  <c:v>26.55452716043</c:v>
                </c:pt>
                <c:pt idx="586">
                  <c:v>26.7247036473032</c:v>
                </c:pt>
                <c:pt idx="587">
                  <c:v>26.8984929813311</c:v>
                </c:pt>
                <c:pt idx="588">
                  <c:v>27.0764035013851</c:v>
                </c:pt>
                <c:pt idx="589">
                  <c:v>27.2589716161714</c:v>
                </c:pt>
                <c:pt idx="590">
                  <c:v>27.4467658045227</c:v>
                </c:pt>
                <c:pt idx="591">
                  <c:v>27.6403906371017</c:v>
                </c:pt>
                <c:pt idx="592">
                  <c:v>27.8404906970354</c:v>
                </c:pt>
                <c:pt idx="593">
                  <c:v>28.0477541913701</c:v>
                </c:pt>
                <c:pt idx="594">
                  <c:v>28.2629159152308</c:v>
                </c:pt>
                <c:pt idx="595">
                  <c:v>28.486759033156</c:v>
                </c:pt>
                <c:pt idx="596">
                  <c:v>28.720114842055</c:v>
                </c:pt>
                <c:pt idx="597">
                  <c:v>28.9638592236735</c:v>
                </c:pt>
                <c:pt idx="598">
                  <c:v>29.2189037986731</c:v>
                </c:pt>
                <c:pt idx="599">
                  <c:v>29.4861787330099</c:v>
                </c:pt>
                <c:pt idx="600">
                  <c:v>29.7666025282348</c:v>
                </c:pt>
                <c:pt idx="601">
                  <c:v>30.0610316633732</c:v>
                </c:pt>
                <c:pt idx="602">
                  <c:v>30.370179229469</c:v>
                </c:pt>
                <c:pt idx="603">
                  <c:v>30.6944861340539</c:v>
                </c:pt>
                <c:pt idx="604">
                  <c:v>31.0339203481792</c:v>
                </c:pt>
                <c:pt idx="605">
                  <c:v>31.3876684000597</c:v>
                </c:pt>
                <c:pt idx="606">
                  <c:v>31.753669044908</c:v>
                </c:pt>
                <c:pt idx="607">
                  <c:v>32.1279245782497</c:v>
                </c:pt>
                <c:pt idx="608">
                  <c:v>32.5035204309882</c:v>
                </c:pt>
                <c:pt idx="609">
                  <c:v>32.8693137735115</c:v>
                </c:pt>
                <c:pt idx="610">
                  <c:v>33.2083695120311</c:v>
                </c:pt>
                <c:pt idx="611">
                  <c:v>33.4965093774009</c:v>
                </c:pt>
                <c:pt idx="612">
                  <c:v>33.7018527384087</c:v>
                </c:pt>
                <c:pt idx="613">
                  <c:v>33.7867975431028</c:v>
                </c:pt>
                <c:pt idx="614">
                  <c:v>33.7138175399403</c:v>
                </c:pt>
                <c:pt idx="615">
                  <c:v>33.4546850867715</c:v>
                </c:pt>
                <c:pt idx="616">
                  <c:v>32.9994518627287</c:v>
                </c:pt>
                <c:pt idx="617">
                  <c:v>32.3598101668888</c:v>
                </c:pt>
                <c:pt idx="618">
                  <c:v>31.5644989678462</c:v>
                </c:pt>
                <c:pt idx="619">
                  <c:v>30.6499156665585</c:v>
                </c:pt>
                <c:pt idx="620">
                  <c:v>29.6513191704466</c:v>
                </c:pt>
                <c:pt idx="621">
                  <c:v>28.5977451734347</c:v>
                </c:pt>
                <c:pt idx="622">
                  <c:v>27.5105957626479</c:v>
                </c:pt>
                <c:pt idx="623">
                  <c:v>26.4044345331348</c:v>
                </c:pt>
                <c:pt idx="624">
                  <c:v>25.2886321870401</c:v>
                </c:pt>
                <c:pt idx="625">
                  <c:v>24.1691063863659</c:v>
                </c:pt>
                <c:pt idx="626">
                  <c:v>23.0498867089055</c:v>
                </c:pt>
                <c:pt idx="627">
                  <c:v>21.9345001195569</c:v>
                </c:pt>
                <c:pt idx="628">
                  <c:v>20.8272799559411</c:v>
                </c:pt>
                <c:pt idx="629">
                  <c:v>19.7347200427975</c:v>
                </c:pt>
                <c:pt idx="630">
                  <c:v>18.666948123493</c:v>
                </c:pt>
                <c:pt idx="631">
                  <c:v>17.6392551802395</c:v>
                </c:pt>
                <c:pt idx="632">
                  <c:v>16.6733354225015</c:v>
                </c:pt>
                <c:pt idx="633">
                  <c:v>15.7974490959545</c:v>
                </c:pt>
                <c:pt idx="634">
                  <c:v>15.0443087930123</c:v>
                </c:pt>
                <c:pt idx="635">
                  <c:v>14.4457092908948</c:v>
                </c:pt>
                <c:pt idx="636">
                  <c:v>14.0245155448406</c:v>
                </c:pt>
                <c:pt idx="637">
                  <c:v>13.7872111042557</c:v>
                </c:pt>
                <c:pt idx="638">
                  <c:v>13.7213076468716</c:v>
                </c:pt>
                <c:pt idx="639">
                  <c:v>13.7993309057153</c:v>
                </c:pt>
                <c:pt idx="640">
                  <c:v>13.9867926012476</c:v>
                </c:pt>
                <c:pt idx="641">
                  <c:v>14.2498085697685</c:v>
                </c:pt>
                <c:pt idx="642">
                  <c:v>14.5597337519646</c:v>
                </c:pt>
                <c:pt idx="643">
                  <c:v>14.8946992040394</c:v>
                </c:pt>
                <c:pt idx="644">
                  <c:v>15.2391908232227</c:v>
                </c:pt>
                <c:pt idx="645">
                  <c:v>15.5828200324248</c:v>
                </c:pt>
                <c:pt idx="646">
                  <c:v>15.9189902449725</c:v>
                </c:pt>
                <c:pt idx="647">
                  <c:v>16.2437623593105</c:v>
                </c:pt>
                <c:pt idx="648">
                  <c:v>16.5549922011192</c:v>
                </c:pt>
                <c:pt idx="649">
                  <c:v>16.8517139437122</c:v>
                </c:pt>
                <c:pt idx="650">
                  <c:v>17.1337152040587</c:v>
                </c:pt>
                <c:pt idx="651">
                  <c:v>17.4012509299997</c:v>
                </c:pt>
                <c:pt idx="652">
                  <c:v>17.6548538126528</c:v>
                </c:pt>
                <c:pt idx="653">
                  <c:v>17.8952102857847</c:v>
                </c:pt>
                <c:pt idx="654">
                  <c:v>18.1230804780043</c:v>
                </c:pt>
                <c:pt idx="655">
                  <c:v>18.3392473659822</c:v>
                </c:pt>
                <c:pt idx="656">
                  <c:v>18.5444852095673</c:v>
                </c:pt>
                <c:pt idx="657">
                  <c:v>18.7395406496143</c:v>
                </c:pt>
                <c:pt idx="658">
                  <c:v>18.9251220688923</c:v>
                </c:pt>
                <c:pt idx="659">
                  <c:v>19.1018942977953</c:v>
                </c:pt>
                <c:pt idx="660">
                  <c:v>19.2704767318532</c:v>
                </c:pt>
                <c:pt idx="661">
                  <c:v>19.4314435827795</c:v>
                </c:pt>
                <c:pt idx="662">
                  <c:v>19.5853254200757</c:v>
                </c:pt>
                <c:pt idx="663">
                  <c:v>19.7326114498923</c:v>
                </c:pt>
                <c:pt idx="664">
                  <c:v>19.8737521707983</c:v>
                </c:pt>
                <c:pt idx="665">
                  <c:v>20.0091621746939</c:v>
                </c:pt>
                <c:pt idx="666">
                  <c:v>20.1392229467151</c:v>
                </c:pt>
                <c:pt idx="667">
                  <c:v>20.2642855748664</c:v>
                </c:pt>
                <c:pt idx="668">
                  <c:v>20.3846733177283</c:v>
                </c:pt>
                <c:pt idx="669">
                  <c:v>20.5006840032802</c:v>
                </c:pt>
                <c:pt idx="670">
                  <c:v>20.6125922478698</c:v>
                </c:pt>
                <c:pt idx="671">
                  <c:v>20.7206514945338</c:v>
                </c:pt>
                <c:pt idx="672">
                  <c:v>20.8250958761377</c:v>
                </c:pt>
                <c:pt idx="673">
                  <c:v>20.9261419124671</c:v>
                </c:pt>
                <c:pt idx="674">
                  <c:v>21.0239900523509</c:v>
                </c:pt>
                <c:pt idx="675">
                  <c:v>21.1188260727184</c:v>
                </c:pt>
                <c:pt idx="676">
                  <c:v>21.2108223466029</c:v>
                </c:pt>
                <c:pt idx="677">
                  <c:v>21.3001389917617</c:v>
                </c:pt>
                <c:pt idx="678">
                  <c:v>21.3869249109826</c:v>
                </c:pt>
                <c:pt idx="679">
                  <c:v>21.4713187344012</c:v>
                </c:pt>
                <c:pt idx="680">
                  <c:v>21.5534496733483</c:v>
                </c:pt>
                <c:pt idx="681">
                  <c:v>21.6334382944283</c:v>
                </c:pt>
                <c:pt idx="682">
                  <c:v>21.7113972217356</c:v>
                </c:pt>
                <c:pt idx="683">
                  <c:v>21.78743177436</c:v>
                </c:pt>
                <c:pt idx="684">
                  <c:v>21.861640545626</c:v>
                </c:pt>
                <c:pt idx="685">
                  <c:v>21.934115929867</c:v>
                </c:pt>
                <c:pt idx="686">
                  <c:v>22.0049446019386</c:v>
                </c:pt>
                <c:pt idx="687">
                  <c:v>22.0742079541407</c:v>
                </c:pt>
                <c:pt idx="688">
                  <c:v>22.141982494734</c:v>
                </c:pt>
                <c:pt idx="689">
                  <c:v>22.2083402118002</c:v>
                </c:pt>
                <c:pt idx="690">
                  <c:v>22.2733489058055</c:v>
                </c:pt>
                <c:pt idx="691">
                  <c:v>22.3370724938773</c:v>
                </c:pt>
                <c:pt idx="692">
                  <c:v>22.3995712884922</c:v>
                </c:pt>
                <c:pt idx="693">
                  <c:v>22.4609022529946</c:v>
                </c:pt>
                <c:pt idx="694">
                  <c:v>22.5211192361165</c:v>
                </c:pt>
                <c:pt idx="695">
                  <c:v>22.5802731874478</c:v>
                </c:pt>
                <c:pt idx="696">
                  <c:v>22.6384123556075</c:v>
                </c:pt>
                <c:pt idx="697">
                  <c:v>22.6955824706915</c:v>
                </c:pt>
                <c:pt idx="698">
                  <c:v>22.7518269124121</c:v>
                </c:pt>
                <c:pt idx="699">
                  <c:v>22.8071868652086</c:v>
                </c:pt>
                <c:pt idx="700">
                  <c:v>22.8617014614762</c:v>
                </c:pt>
                <c:pt idx="701">
                  <c:v>22.9154079139553</c:v>
                </c:pt>
                <c:pt idx="702">
                  <c:v>22.9683416382161</c:v>
                </c:pt>
                <c:pt idx="703">
                  <c:v>23.0205363660888</c:v>
                </c:pt>
                <c:pt idx="704">
                  <c:v>23.072024250806</c:v>
                </c:pt>
                <c:pt idx="705">
                  <c:v>23.1228359645527</c:v>
                </c:pt>
                <c:pt idx="706">
                  <c:v>23.1730007890544</c:v>
                </c:pt>
                <c:pt idx="707">
                  <c:v>23.2225466997753</c:v>
                </c:pt>
                <c:pt idx="708">
                  <c:v>23.271500444248</c:v>
                </c:pt>
                <c:pt idx="709">
                  <c:v>23.3198876150044</c:v>
                </c:pt>
                <c:pt idx="710">
                  <c:v>23.3677327175421</c:v>
                </c:pt>
                <c:pt idx="711">
                  <c:v>23.4150592337149</c:v>
                </c:pt>
                <c:pt idx="712">
                  <c:v>23.4618896809072</c:v>
                </c:pt>
                <c:pt idx="713">
                  <c:v>23.5082456673186</c:v>
                </c:pt>
                <c:pt idx="714">
                  <c:v>23.5541479436553</c:v>
                </c:pt>
                <c:pt idx="715">
                  <c:v>23.5996164515034</c:v>
                </c:pt>
                <c:pt idx="716">
                  <c:v>23.6446703686325</c:v>
                </c:pt>
                <c:pt idx="717">
                  <c:v>23.689328151458</c:v>
                </c:pt>
                <c:pt idx="718">
                  <c:v>23.7336075748733</c:v>
                </c:pt>
                <c:pt idx="719">
                  <c:v>23.7775257696429</c:v>
                </c:pt>
                <c:pt idx="720">
                  <c:v>23.8210992575351</c:v>
                </c:pt>
                <c:pt idx="721">
                  <c:v>23.8643439843545</c:v>
                </c:pt>
                <c:pt idx="722">
                  <c:v>23.9072753510263</c:v>
                </c:pt>
                <c:pt idx="723">
                  <c:v>23.949908242869</c:v>
                </c:pt>
                <c:pt idx="724">
                  <c:v>23.9922570571828</c:v>
                </c:pt>
                <c:pt idx="725">
                  <c:v>24.0343357292706</c:v>
                </c:pt>
                <c:pt idx="726">
                  <c:v>24.076157757001</c:v>
                </c:pt>
                <c:pt idx="727">
                  <c:v>24.1177362240108</c:v>
                </c:pt>
                <c:pt idx="728">
                  <c:v>24.159083821643</c:v>
                </c:pt>
                <c:pt idx="729">
                  <c:v>24.2002128697026</c:v>
                </c:pt>
                <c:pt idx="730">
                  <c:v>24.2411353361116</c:v>
                </c:pt>
                <c:pt idx="731">
                  <c:v>24.2818628555355</c:v>
                </c:pt>
                <c:pt idx="732">
                  <c:v>24.3224067470505</c:v>
                </c:pt>
                <c:pt idx="733">
                  <c:v>24.3627780309139</c:v>
                </c:pt>
                <c:pt idx="734">
                  <c:v>24.4029874444972</c:v>
                </c:pt>
                <c:pt idx="735">
                  <c:v>24.443045457436</c:v>
                </c:pt>
                <c:pt idx="736">
                  <c:v>24.4829622860486</c:v>
                </c:pt>
                <c:pt idx="737">
                  <c:v>24.5227479070698</c:v>
                </c:pt>
                <c:pt idx="738">
                  <c:v>24.5624120707446</c:v>
                </c:pt>
                <c:pt idx="739">
                  <c:v>24.6019643133238</c:v>
                </c:pt>
                <c:pt idx="740">
                  <c:v>24.6414139689989</c:v>
                </c:pt>
                <c:pt idx="741">
                  <c:v>24.6807701813133</c:v>
                </c:pt>
                <c:pt idx="742">
                  <c:v>24.7200419140832</c:v>
                </c:pt>
                <c:pt idx="743">
                  <c:v>24.7592379618599</c:v>
                </c:pt>
                <c:pt idx="744">
                  <c:v>24.7983669599639</c:v>
                </c:pt>
                <c:pt idx="745">
                  <c:v>24.8374373941168</c:v>
                </c:pt>
                <c:pt idx="746">
                  <c:v>24.8764576097</c:v>
                </c:pt>
                <c:pt idx="747">
                  <c:v>24.9154358206616</c:v>
                </c:pt>
                <c:pt idx="748">
                  <c:v>24.9543801180979</c:v>
                </c:pt>
                <c:pt idx="749">
                  <c:v>24.9932984785282</c:v>
                </c:pt>
                <c:pt idx="750">
                  <c:v>25.0321987718871</c:v>
                </c:pt>
                <c:pt idx="751">
                  <c:v>25.0710887692499</c:v>
                </c:pt>
                <c:pt idx="752">
                  <c:v>25.1099761503129</c:v>
                </c:pt>
                <c:pt idx="753">
                  <c:v>25.1488685106443</c:v>
                </c:pt>
                <c:pt idx="754">
                  <c:v>25.1877733687226</c:v>
                </c:pt>
                <c:pt idx="755">
                  <c:v>25.226698172779</c:v>
                </c:pt>
                <c:pt idx="756">
                  <c:v>25.2656503074575</c:v>
                </c:pt>
                <c:pt idx="757">
                  <c:v>25.3046371003091</c:v>
                </c:pt>
                <c:pt idx="758">
                  <c:v>25.3436658281311</c:v>
                </c:pt>
                <c:pt idx="759">
                  <c:v>25.3827437231672</c:v>
                </c:pt>
                <c:pt idx="760">
                  <c:v>25.4218779791798</c:v>
                </c:pt>
                <c:pt idx="761">
                  <c:v>25.4610757574062</c:v>
                </c:pt>
                <c:pt idx="762">
                  <c:v>25.5003441924114</c:v>
                </c:pt>
                <c:pt idx="763">
                  <c:v>25.5396903978482</c:v>
                </c:pt>
                <c:pt idx="764">
                  <c:v>25.5791214721352</c:v>
                </c:pt>
                <c:pt idx="765">
                  <c:v>25.6186445040644</c:v>
                </c:pt>
                <c:pt idx="766">
                  <c:v>25.6582665783473</c:v>
                </c:pt>
                <c:pt idx="767">
                  <c:v>25.6979947811105</c:v>
                </c:pt>
                <c:pt idx="768">
                  <c:v>25.7378362053504</c:v>
                </c:pt>
                <c:pt idx="769">
                  <c:v>25.7777979563562</c:v>
                </c:pt>
                <c:pt idx="770">
                  <c:v>25.817887157112</c:v>
                </c:pt>
                <c:pt idx="771">
                  <c:v>25.8581109536852</c:v>
                </c:pt>
                <c:pt idx="772">
                  <c:v>25.8984765206125</c:v>
                </c:pt>
                <c:pt idx="773">
                  <c:v>25.9389910662919</c:v>
                </c:pt>
                <c:pt idx="774">
                  <c:v>25.979661838389</c:v>
                </c:pt>
                <c:pt idx="775">
                  <c:v>26.0204961292688</c:v>
                </c:pt>
                <c:pt idx="776">
                  <c:v>26.0615012814595</c:v>
                </c:pt>
                <c:pt idx="777">
                  <c:v>26.1026846931603</c:v>
                </c:pt>
                <c:pt idx="778">
                  <c:v>26.1440538237998</c:v>
                </c:pt>
                <c:pt idx="779">
                  <c:v>26.185616199656</c:v>
                </c:pt>
                <c:pt idx="780">
                  <c:v>26.2273794195476</c:v>
                </c:pt>
                <c:pt idx="781">
                  <c:v>26.2693511606044</c:v>
                </c:pt>
                <c:pt idx="782">
                  <c:v>26.3115391841285</c:v>
                </c:pt>
                <c:pt idx="783">
                  <c:v>26.3539513415558</c:v>
                </c:pt>
                <c:pt idx="784">
                  <c:v>26.396595580527</c:v>
                </c:pt>
                <c:pt idx="785">
                  <c:v>26.4394799510801</c:v>
                </c:pt>
                <c:pt idx="786">
                  <c:v>26.4826126119745</c:v>
                </c:pt>
                <c:pt idx="787">
                  <c:v>26.5260018371579</c:v>
                </c:pt>
                <c:pt idx="788">
                  <c:v>26.5696560223874</c:v>
                </c:pt>
                <c:pt idx="789">
                  <c:v>26.613583692017</c:v>
                </c:pt>
                <c:pt idx="790">
                  <c:v>26.6577935059643</c:v>
                </c:pt>
                <c:pt idx="791">
                  <c:v>26.7022942668679</c:v>
                </c:pt>
                <c:pt idx="792">
                  <c:v>26.7470949274509</c:v>
                </c:pt>
                <c:pt idx="793">
                  <c:v>26.7922045981022</c:v>
                </c:pt>
                <c:pt idx="794">
                  <c:v>26.8376325546927</c:v>
                </c:pt>
                <c:pt idx="795">
                  <c:v>26.8833882466392</c:v>
                </c:pt>
                <c:pt idx="796">
                  <c:v>26.9294813052339</c:v>
                </c:pt>
                <c:pt idx="797">
                  <c:v>26.9759215522556</c:v>
                </c:pt>
                <c:pt idx="798">
                  <c:v>27.0227190088798</c:v>
                </c:pt>
                <c:pt idx="799">
                  <c:v>27.0698839049073</c:v>
                </c:pt>
                <c:pt idx="800">
                  <c:v>27.1174266883292</c:v>
                </c:pt>
                <c:pt idx="801">
                  <c:v>27.1653580352512</c:v>
                </c:pt>
                <c:pt idx="802">
                  <c:v>27.2136888601964</c:v>
                </c:pt>
                <c:pt idx="803">
                  <c:v>27.2624303268113</c:v>
                </c:pt>
                <c:pt idx="804">
                  <c:v>27.3115938589986</c:v>
                </c:pt>
                <c:pt idx="805">
                  <c:v>27.3611911525023</c:v>
                </c:pt>
                <c:pt idx="806">
                  <c:v>27.4112341869726</c:v>
                </c:pt>
                <c:pt idx="807">
                  <c:v>27.4617352385386</c:v>
                </c:pt>
                <c:pt idx="808">
                  <c:v>27.5127068929211</c:v>
                </c:pt>
                <c:pt idx="809">
                  <c:v>27.5641620591154</c:v>
                </c:pt>
                <c:pt idx="810">
                  <c:v>27.6161139836802</c:v>
                </c:pt>
                <c:pt idx="811">
                  <c:v>27.6685762656695</c:v>
                </c:pt>
                <c:pt idx="812">
                  <c:v>27.7215628722445</c:v>
                </c:pt>
                <c:pt idx="813">
                  <c:v>27.7750881550089</c:v>
                </c:pt>
                <c:pt idx="814">
                  <c:v>27.8291668671107</c:v>
                </c:pt>
                <c:pt idx="815">
                  <c:v>27.8838141811577</c:v>
                </c:pt>
                <c:pt idx="816">
                  <c:v>27.9390457079971</c:v>
                </c:pt>
                <c:pt idx="817">
                  <c:v>27.9948775164128</c:v>
                </c:pt>
                <c:pt idx="818">
                  <c:v>28.0513261537967</c:v>
                </c:pt>
                <c:pt idx="819">
                  <c:v>28.108408667857</c:v>
                </c:pt>
                <c:pt idx="820">
                  <c:v>28.1661426294267</c:v>
                </c:pt>
                <c:pt idx="821">
                  <c:v>28.224546156444</c:v>
                </c:pt>
                <c:pt idx="822">
                  <c:v>28.2836379391784</c:v>
                </c:pt>
                <c:pt idx="823">
                  <c:v>28.3434372667833</c:v>
                </c:pt>
                <c:pt idx="824">
                  <c:v>28.4039640552613</c:v>
                </c:pt>
                <c:pt idx="825">
                  <c:v>28.4652388769326</c:v>
                </c:pt>
                <c:pt idx="826">
                  <c:v>28.5272829915086</c:v>
                </c:pt>
                <c:pt idx="827">
                  <c:v>28.5901183788736</c:v>
                </c:pt>
                <c:pt idx="828">
                  <c:v>28.653767773691</c:v>
                </c:pt>
                <c:pt idx="829">
                  <c:v>28.7182547019549</c:v>
                </c:pt>
                <c:pt idx="830">
                  <c:v>28.7836035196197</c:v>
                </c:pt>
                <c:pt idx="831">
                  <c:v>28.849839453449</c:v>
                </c:pt>
                <c:pt idx="832">
                  <c:v>28.9169886442359</c:v>
                </c:pt>
                <c:pt idx="833">
                  <c:v>28.9850781925588</c:v>
                </c:pt>
                <c:pt idx="834">
                  <c:v>29.054136207249</c:v>
                </c:pt>
                <c:pt idx="835">
                  <c:v>29.1241918567594</c:v>
                </c:pt>
                <c:pt idx="836">
                  <c:v>29.1952754236399</c:v>
                </c:pt>
                <c:pt idx="837">
                  <c:v>29.2674183623383</c:v>
                </c:pt>
                <c:pt idx="838">
                  <c:v>29.3406533605647</c:v>
                </c:pt>
                <c:pt idx="839">
                  <c:v>29.4150144044738</c:v>
                </c:pt>
                <c:pt idx="840">
                  <c:v>29.4905368479403</c:v>
                </c:pt>
                <c:pt idx="841">
                  <c:v>29.5672574862238</c:v>
                </c:pt>
                <c:pt idx="842">
                  <c:v>29.6452146343392</c:v>
                </c:pt>
                <c:pt idx="843">
                  <c:v>29.7244482104763</c:v>
                </c:pt>
                <c:pt idx="844">
                  <c:v>29.804999824836</c:v>
                </c:pt>
                <c:pt idx="845">
                  <c:v>29.8869128742747</c:v>
                </c:pt>
                <c:pt idx="846">
                  <c:v>29.9702326431817</c:v>
                </c:pt>
                <c:pt idx="847">
                  <c:v>30.0550064110391</c:v>
                </c:pt>
                <c:pt idx="848">
                  <c:v>30.1412835671456</c:v>
                </c:pt>
                <c:pt idx="849">
                  <c:v>30.2291157330171</c:v>
                </c:pt>
                <c:pt idx="850">
                  <c:v>30.318556893005</c:v>
                </c:pt>
                <c:pt idx="851">
                  <c:v>30.4096635337062</c:v>
                </c:pt>
                <c:pt idx="852">
                  <c:v>30.5024947927635</c:v>
                </c:pt>
                <c:pt idx="853">
                  <c:v>30.5971126176815</c:v>
                </c:pt>
                <c:pt idx="854">
                  <c:v>30.6935819353013</c:v>
                </c:pt>
                <c:pt idx="855">
                  <c:v>30.791970832589</c:v>
                </c:pt>
                <c:pt idx="856">
                  <c:v>30.8923507493921</c:v>
                </c:pt>
                <c:pt idx="857">
                  <c:v>30.9947966838012</c:v>
                </c:pt>
                <c:pt idx="858">
                  <c:v>31.0993874107165</c:v>
                </c:pt>
                <c:pt idx="859">
                  <c:v>31.2062057141483</c:v>
                </c:pt>
                <c:pt idx="860">
                  <c:v>31.3153386336705</c:v>
                </c:pt>
                <c:pt idx="861">
                  <c:v>31.4268777252806</c:v>
                </c:pt>
                <c:pt idx="862">
                  <c:v>31.5409193366806</c:v>
                </c:pt>
                <c:pt idx="863">
                  <c:v>31.6575648966541</c:v>
                </c:pt>
                <c:pt idx="864">
                  <c:v>31.7769212177482</c:v>
                </c:pt>
                <c:pt idx="865">
                  <c:v>31.8991008108256</c:v>
                </c:pt>
                <c:pt idx="866">
                  <c:v>32.0242222091823</c:v>
                </c:pt>
                <c:pt idx="867">
                  <c:v>32.1524102987498</c:v>
                </c:pt>
                <c:pt idx="868">
                  <c:v>32.2837966493231</c:v>
                </c:pt>
                <c:pt idx="869">
                  <c:v>32.418519839642</c:v>
                </c:pt>
                <c:pt idx="870">
                  <c:v>32.5567257663317</c:v>
                </c:pt>
                <c:pt idx="871">
                  <c:v>32.6985679229432</c:v>
                </c:pt>
                <c:pt idx="872">
                  <c:v>32.8442076303166</c:v>
                </c:pt>
                <c:pt idx="873">
                  <c:v>32.9938141928048</c:v>
                </c:pt>
                <c:pt idx="874">
                  <c:v>33.1475649459804</c:v>
                </c:pt>
                <c:pt idx="875">
                  <c:v>33.3056451495651</c:v>
                </c:pt>
                <c:pt idx="876">
                  <c:v>33.4682476634645</c:v>
                </c:pt>
                <c:pt idx="877">
                  <c:v>33.635572323623</c:v>
                </c:pt>
                <c:pt idx="878">
                  <c:v>33.8078249061377</c:v>
                </c:pt>
                <c:pt idx="879">
                  <c:v>33.9852155303034</c:v>
                </c:pt>
                <c:pt idx="880">
                  <c:v>34.1679563008131</c:v>
                </c:pt>
                <c:pt idx="881">
                  <c:v>34.3562579220478</c:v>
                </c:pt>
                <c:pt idx="882">
                  <c:v>34.5503249278046</c:v>
                </c:pt>
                <c:pt idx="883">
                  <c:v>34.7503490510066</c:v>
                </c:pt>
                <c:pt idx="884">
                  <c:v>34.9565001013487</c:v>
                </c:pt>
                <c:pt idx="885">
                  <c:v>35.1689135143665</c:v>
                </c:pt>
                <c:pt idx="886">
                  <c:v>35.3876734723439</c:v>
                </c:pt>
                <c:pt idx="887">
                  <c:v>35.6127901665243</c:v>
                </c:pt>
                <c:pt idx="888">
                  <c:v>35.8441693685059</c:v>
                </c:pt>
                <c:pt idx="889">
                  <c:v>36.0815720201795</c:v>
                </c:pt>
                <c:pt idx="890">
                  <c:v>36.3245610854374</c:v>
                </c:pt>
                <c:pt idx="891">
                  <c:v>36.5724325524215</c:v>
                </c:pt>
                <c:pt idx="892">
                  <c:v>36.8241274796602</c:v>
                </c:pt>
                <c:pt idx="893">
                  <c:v>37.0781228092809</c:v>
                </c:pt>
                <c:pt idx="894">
                  <c:v>37.3323011351602</c:v>
                </c:pt>
                <c:pt idx="895">
                  <c:v>37.583804995955</c:v>
                </c:pt>
                <c:pt idx="896">
                  <c:v>37.8288913460048</c:v>
                </c:pt>
                <c:pt idx="897">
                  <c:v>38.0628185849634</c:v>
                </c:pt>
                <c:pt idx="898">
                  <c:v>38.2798227849601</c:v>
                </c:pt>
                <c:pt idx="899">
                  <c:v>38.4732686059089</c:v>
                </c:pt>
                <c:pt idx="900">
                  <c:v>38.6360826188616</c:v>
                </c:pt>
                <c:pt idx="901">
                  <c:v>38.7615688321622</c:v>
                </c:pt>
                <c:pt idx="902">
                  <c:v>38.8446353088375</c:v>
                </c:pt>
                <c:pt idx="903">
                  <c:v>38.8833045823803</c:v>
                </c:pt>
                <c:pt idx="904">
                  <c:v>38.8801647944604</c:v>
                </c:pt>
                <c:pt idx="905">
                  <c:v>38.8432441420331</c:v>
                </c:pt>
                <c:pt idx="906">
                  <c:v>38.7858014253849</c:v>
                </c:pt>
                <c:pt idx="907">
                  <c:v>38.7247991286304</c:v>
                </c:pt>
                <c:pt idx="908">
                  <c:v>38.6782818163751</c:v>
                </c:pt>
                <c:pt idx="909">
                  <c:v>38.6623059078676</c:v>
                </c:pt>
                <c:pt idx="910">
                  <c:v>38.6882418761549</c:v>
                </c:pt>
                <c:pt idx="911">
                  <c:v>38.761111794808</c:v>
                </c:pt>
                <c:pt idx="912">
                  <c:v>38.879223033138</c:v>
                </c:pt>
                <c:pt idx="913">
                  <c:v>39.0349246201562</c:v>
                </c:pt>
                <c:pt idx="914">
                  <c:v>39.216053770949</c:v>
                </c:pt>
                <c:pt idx="915">
                  <c:v>39.4076293593409</c:v>
                </c:pt>
                <c:pt idx="916">
                  <c:v>39.5934997859682</c:v>
                </c:pt>
                <c:pt idx="917">
                  <c:v>39.7578125878434</c:v>
                </c:pt>
                <c:pt idx="918">
                  <c:v>39.8862444224099</c:v>
                </c:pt>
                <c:pt idx="919">
                  <c:v>39.9669230213399</c:v>
                </c:pt>
                <c:pt idx="920">
                  <c:v>39.9909727720804</c:v>
                </c:pt>
                <c:pt idx="921">
                  <c:v>39.9526891404088</c:v>
                </c:pt>
                <c:pt idx="922">
                  <c:v>39.8494575777114</c:v>
                </c:pt>
                <c:pt idx="923">
                  <c:v>39.6815670794955</c:v>
                </c:pt>
                <c:pt idx="924">
                  <c:v>39.4519773223861</c:v>
                </c:pt>
                <c:pt idx="925">
                  <c:v>39.1659758022704</c:v>
                </c:pt>
                <c:pt idx="926">
                  <c:v>38.8306413311502</c:v>
                </c:pt>
                <c:pt idx="927">
                  <c:v>38.4541277879877</c:v>
                </c:pt>
                <c:pt idx="928">
                  <c:v>38.0448927783992</c:v>
                </c:pt>
                <c:pt idx="929">
                  <c:v>37.6110261083673</c:v>
                </c:pt>
                <c:pt idx="930">
                  <c:v>37.1597800755235</c:v>
                </c:pt>
                <c:pt idx="931">
                  <c:v>36.6973232413114</c:v>
                </c:pt>
                <c:pt idx="932">
                  <c:v>36.2286801544271</c:v>
                </c:pt>
                <c:pt idx="933">
                  <c:v>35.7577960094207</c:v>
                </c:pt>
                <c:pt idx="934">
                  <c:v>35.2876683205727</c:v>
                </c:pt>
                <c:pt idx="935">
                  <c:v>34.8205026577833</c:v>
                </c:pt>
                <c:pt idx="936">
                  <c:v>34.3578658208585</c:v>
                </c:pt>
                <c:pt idx="937">
                  <c:v>33.9008227435196</c:v>
                </c:pt>
                <c:pt idx="938">
                  <c:v>33.4500519554401</c:v>
                </c:pt>
                <c:pt idx="939">
                  <c:v>33.0059393276218</c:v>
                </c:pt>
                <c:pt idx="940">
                  <c:v>32.568652226505</c:v>
                </c:pt>
                <c:pt idx="941">
                  <c:v>32.1381970951499</c:v>
                </c:pt>
                <c:pt idx="942">
                  <c:v>31.7144635608711</c:v>
                </c:pt>
                <c:pt idx="943">
                  <c:v>31.297257869591</c:v>
                </c:pt>
                <c:pt idx="944">
                  <c:v>30.8863280116896</c:v>
                </c:pt>
                <c:pt idx="945">
                  <c:v>30.4813824573445</c:v>
                </c:pt>
                <c:pt idx="946">
                  <c:v>30.0821040174708</c:v>
                </c:pt>
                <c:pt idx="947">
                  <c:v>29.6881600085551</c:v>
                </c:pt>
                <c:pt idx="948">
                  <c:v>29.2992096267907</c:v>
                </c:pt>
                <c:pt idx="949">
                  <c:v>28.9149092219396</c:v>
                </c:pt>
                <c:pt idx="950">
                  <c:v>28.5349159947123</c:v>
                </c:pt>
                <c:pt idx="951">
                  <c:v>28.1588905136751</c:v>
                </c:pt>
                <c:pt idx="952">
                  <c:v>27.7864983503933</c:v>
                </c:pt>
                <c:pt idx="953">
                  <c:v>27.4174110577568</c:v>
                </c:pt>
                <c:pt idx="954">
                  <c:v>27.0513066606805</c:v>
                </c:pt>
                <c:pt idx="955">
                  <c:v>26.6878697862925</c:v>
                </c:pt>
                <c:pt idx="956">
                  <c:v>26.3267915289975</c:v>
                </c:pt>
                <c:pt idx="957">
                  <c:v>25.9677691218999</c:v>
                </c:pt>
                <c:pt idx="958">
                  <c:v>25.6105054680686</c:v>
                </c:pt>
                <c:pt idx="959">
                  <c:v>25.2547085715907</c:v>
                </c:pt>
                <c:pt idx="960">
                  <c:v>24.9000908982053</c:v>
                </c:pt>
                <c:pt idx="961">
                  <c:v>24.5463686877233</c:v>
                </c:pt>
                <c:pt idx="962">
                  <c:v>24.1932612348283</c:v>
                </c:pt>
                <c:pt idx="963">
                  <c:v>23.8404901507644</c:v>
                </c:pt>
                <c:pt idx="964">
                  <c:v>23.4877786155293</c:v>
                </c:pt>
                <c:pt idx="965">
                  <c:v>23.1348506282728</c:v>
                </c:pt>
                <c:pt idx="966">
                  <c:v>22.7814302624913</c:v>
                </c:pt>
                <c:pt idx="967">
                  <c:v>22.4272409322154</c:v>
                </c:pt>
                <c:pt idx="968">
                  <c:v>22.072004675656</c:v>
                </c:pt>
                <c:pt idx="969">
                  <c:v>21.7154414637173</c:v>
                </c:pt>
                <c:pt idx="970">
                  <c:v>21.3572685424375</c:v>
                </c:pt>
                <c:pt idx="971">
                  <c:v>20.9971998208884</c:v>
                </c:pt>
                <c:pt idx="972">
                  <c:v>20.6349453195005</c:v>
                </c:pt>
                <c:pt idx="973">
                  <c:v>20.2702106983961</c:v>
                </c:pt>
                <c:pt idx="974">
                  <c:v>19.9026968914133</c:v>
                </c:pt>
                <c:pt idx="975">
                  <c:v>19.5320998794869</c:v>
                </c:pt>
                <c:pt idx="976">
                  <c:v>19.1581106474385</c:v>
                </c:pt>
                <c:pt idx="977">
                  <c:v>18.7804153817226</c:v>
                </c:pt>
                <c:pt idx="978">
                  <c:v>18.3986959841672</c:v>
                </c:pt>
                <c:pt idx="979">
                  <c:v>18.0126309994213</c:v>
                </c:pt>
                <c:pt idx="980">
                  <c:v>17.6218970831807</c:v>
                </c:pt>
                <c:pt idx="981">
                  <c:v>17.2261711762662</c:v>
                </c:pt>
                <c:pt idx="982">
                  <c:v>16.8251335987442</c:v>
                </c:pt>
                <c:pt idx="983">
                  <c:v>16.4184723416286</c:v>
                </c:pt>
                <c:pt idx="984">
                  <c:v>16.0058889151419</c:v>
                </c:pt>
                <c:pt idx="985">
                  <c:v>15.5871062166707</c:v>
                </c:pt>
                <c:pt idx="986">
                  <c:v>15.1618790137667</c:v>
                </c:pt>
                <c:pt idx="987">
                  <c:v>14.7300078035321</c:v>
                </c:pt>
                <c:pt idx="988">
                  <c:v>14.291357014721</c:v>
                </c:pt>
                <c:pt idx="989">
                  <c:v>13.8458787659398</c:v>
                </c:pt>
                <c:pt idx="990">
                  <c:v>13.3936436799196</c:v>
                </c:pt>
                <c:pt idx="991">
                  <c:v>12.934880565896</c:v>
                </c:pt>
                <c:pt idx="992">
                  <c:v>12.4700270837091</c:v>
                </c:pt>
                <c:pt idx="993">
                  <c:v>11.9997937196902</c:v>
                </c:pt>
                <c:pt idx="994">
                  <c:v>11.5252433966856</c:v>
                </c:pt>
                <c:pt idx="995">
                  <c:v>11.0478885691467</c:v>
                </c:pt>
                <c:pt idx="996">
                  <c:v>10.5698063356464</c:v>
                </c:pt>
                <c:pt idx="997">
                  <c:v>10.0937693719954</c:v>
                </c:pt>
                <c:pt idx="998">
                  <c:v>9.62338561591116</c:v>
                </c:pt>
                <c:pt idx="999">
                  <c:v>9.16323185892574</c:v>
                </c:pt>
                <c:pt idx="1000">
                  <c:v>8.71895534533502</c:v>
                </c:pt>
                <c:pt idx="1001">
                  <c:v>8.29730398343821</c:v>
                </c:pt>
                <c:pt idx="1002">
                  <c:v>7.90603318619882</c:v>
                </c:pt>
                <c:pt idx="1003">
                  <c:v>7.55363276981769</c:v>
                </c:pt>
                <c:pt idx="1004">
                  <c:v>7.24883134468757</c:v>
                </c:pt>
                <c:pt idx="1005">
                  <c:v>6.99987827997862</c:v>
                </c:pt>
                <c:pt idx="1006">
                  <c:v>6.81367500196703</c:v>
                </c:pt>
                <c:pt idx="1007">
                  <c:v>6.69490851352437</c:v>
                </c:pt>
                <c:pt idx="1008">
                  <c:v>6.64539051802214</c:v>
                </c:pt>
                <c:pt idx="1009">
                  <c:v>6.6637845535987</c:v>
                </c:pt>
                <c:pt idx="1010">
                  <c:v>6.74580249198799</c:v>
                </c:pt>
                <c:pt idx="1011">
                  <c:v>6.88481146063336</c:v>
                </c:pt>
                <c:pt idx="1012">
                  <c:v>7.07268057803645</c:v>
                </c:pt>
                <c:pt idx="1013">
                  <c:v>7.30066184565412</c:v>
                </c:pt>
                <c:pt idx="1014">
                  <c:v>7.56014049311474</c:v>
                </c:pt>
                <c:pt idx="1015">
                  <c:v>7.84316926010174</c:v>
                </c:pt>
                <c:pt idx="1016">
                  <c:v>8.14277635435394</c:v>
                </c:pt>
                <c:pt idx="1017">
                  <c:v>8.45308471812857</c:v>
                </c:pt>
                <c:pt idx="1018">
                  <c:v>8.76929844490893</c:v>
                </c:pt>
                <c:pt idx="1019">
                  <c:v>9.08760990278979</c:v>
                </c:pt>
                <c:pt idx="1020">
                  <c:v>9.40506926268139</c:v>
                </c:pt>
                <c:pt idx="1021">
                  <c:v>9.71944446476705</c:v>
                </c:pt>
                <c:pt idx="1022">
                  <c:v>10.029088085508</c:v>
                </c:pt>
                <c:pt idx="1023">
                  <c:v>10.332819251197</c:v>
                </c:pt>
                <c:pt idx="1024">
                  <c:v>10.6298234369723</c:v>
                </c:pt>
                <c:pt idx="1025">
                  <c:v>10.9195699578928</c:v>
                </c:pt>
                <c:pt idx="1026">
                  <c:v>11.2017454490409</c:v>
                </c:pt>
                <c:pt idx="1027">
                  <c:v>11.4762010500199</c:v>
                </c:pt>
                <c:pt idx="1028">
                  <c:v>11.7429109440981</c:v>
                </c:pt>
                <c:pt idx="1029">
                  <c:v>12.001940093156</c:v>
                </c:pt>
                <c:pt idx="1030">
                  <c:v>12.2534193034986</c:v>
                </c:pt>
                <c:pt idx="1031">
                  <c:v>12.4975260711738</c:v>
                </c:pt>
                <c:pt idx="1032">
                  <c:v>12.7344699476619</c:v>
                </c:pt>
                <c:pt idx="1033">
                  <c:v>12.9644814208077</c:v>
                </c:pt>
                <c:pt idx="1034">
                  <c:v>13.1878035177311</c:v>
                </c:pt>
                <c:pt idx="1035">
                  <c:v>13.4046855085791</c:v>
                </c:pt>
                <c:pt idx="1036">
                  <c:v>13.6153782273948</c:v>
                </c:pt>
                <c:pt idx="1037">
                  <c:v>13.8201306347959</c:v>
                </c:pt>
                <c:pt idx="1038">
                  <c:v>14.0191873320034</c:v>
                </c:pt>
                <c:pt idx="1039">
                  <c:v>14.2127868018011</c:v>
                </c:pt>
                <c:pt idx="1040">
                  <c:v>14.4011602032309</c:v>
                </c:pt>
                <c:pt idx="1041">
                  <c:v>14.5845305864636</c:v>
                </c:pt>
                <c:pt idx="1042">
                  <c:v>14.7631124249168</c:v>
                </c:pt>
                <c:pt idx="1043">
                  <c:v>14.9371113853492</c:v>
                </c:pt>
                <c:pt idx="1044">
                  <c:v>15.1067242749281</c:v>
                </c:pt>
                <c:pt idx="1045">
                  <c:v>15.2721391183759</c:v>
                </c:pt>
                <c:pt idx="1046">
                  <c:v>15.4335353291998</c:v>
                </c:pt>
                <c:pt idx="1047">
                  <c:v>15.5910839474349</c:v>
                </c:pt>
                <c:pt idx="1048">
                  <c:v>15.7449479228381</c:v>
                </c:pt>
                <c:pt idx="1049">
                  <c:v>15.8952824275123</c:v>
                </c:pt>
                <c:pt idx="1050">
                  <c:v>16.0422351858304</c:v>
                </c:pt>
                <c:pt idx="1051">
                  <c:v>16.18594681254</c:v>
                </c:pt>
                <c:pt idx="1052">
                  <c:v>16.3265511522601</c:v>
                </c:pt>
                <c:pt idx="1053">
                  <c:v>16.464175615372</c:v>
                </c:pt>
                <c:pt idx="1054">
                  <c:v>16.5989415066945</c:v>
                </c:pt>
                <c:pt idx="1055">
                  <c:v>16.7309643443983</c:v>
                </c:pt>
                <c:pt idx="1056">
                  <c:v>16.8603541674261</c:v>
                </c:pt>
                <c:pt idx="1057">
                  <c:v>16.9872158303136</c:v>
                </c:pt>
                <c:pt idx="1058">
                  <c:v>17.1116492847752</c:v>
                </c:pt>
                <c:pt idx="1059">
                  <c:v>17.2337498477744</c:v>
                </c:pt>
                <c:pt idx="1060">
                  <c:v>17.3536084560676</c:v>
                </c:pt>
                <c:pt idx="1061">
                  <c:v>17.4713119074006</c:v>
                </c:pt>
                <c:pt idx="1062">
                  <c:v>17.5869430886821</c:v>
                </c:pt>
                <c:pt idx="1063">
                  <c:v>17.7005811915548</c:v>
                </c:pt>
                <c:pt idx="1064">
                  <c:v>17.8123019158535</c:v>
                </c:pt>
                <c:pt idx="1065">
                  <c:v>17.9221776614789</c:v>
                </c:pt>
                <c:pt idx="1066">
                  <c:v>18.0302777092431</c:v>
                </c:pt>
                <c:pt idx="1067">
                  <c:v>18.1366683912483</c:v>
                </c:pt>
                <c:pt idx="1068">
                  <c:v>18.2414132513609</c:v>
                </c:pt>
                <c:pt idx="1069">
                  <c:v>18.3445731963332</c:v>
                </c:pt>
                <c:pt idx="1070">
                  <c:v>18.4462066381114</c:v>
                </c:pt>
                <c:pt idx="1071">
                  <c:v>18.5463696278488</c:v>
                </c:pt>
                <c:pt idx="1072">
                  <c:v>18.6451159821217</c:v>
                </c:pt>
                <c:pt idx="1073">
                  <c:v>18.7424974018248</c:v>
                </c:pt>
                <c:pt idx="1074">
                  <c:v>18.8385635841978</c:v>
                </c:pt>
                <c:pt idx="1075">
                  <c:v>18.9333623284094</c:v>
                </c:pt>
                <c:pt idx="1076">
                  <c:v>19.0269396351056</c:v>
                </c:pt>
                <c:pt idx="1077">
                  <c:v>19.1193398003021</c:v>
                </c:pt>
                <c:pt idx="1078">
                  <c:v>19.2106055039784</c:v>
                </c:pt>
                <c:pt idx="1079">
                  <c:v>19.3007778937121</c:v>
                </c:pt>
                <c:pt idx="1080">
                  <c:v>19.3898966636689</c:v>
                </c:pt>
                <c:pt idx="1081">
                  <c:v>19.4780001292433</c:v>
                </c:pt>
                <c:pt idx="1082">
                  <c:v>19.5651252976292</c:v>
                </c:pt>
                <c:pt idx="1083">
                  <c:v>19.6513079345798</c:v>
                </c:pt>
                <c:pt idx="1084">
                  <c:v>19.7365826275984</c:v>
                </c:pt>
                <c:pt idx="1085">
                  <c:v>19.8209828457905</c:v>
                </c:pt>
                <c:pt idx="1086">
                  <c:v>19.9045409965872</c:v>
                </c:pt>
                <c:pt idx="1087">
                  <c:v>19.9872884795413</c:v>
                </c:pt>
                <c:pt idx="1088">
                  <c:v>20.0692557373805</c:v>
                </c:pt>
                <c:pt idx="1089">
                  <c:v>20.1504723044936</c:v>
                </c:pt>
                <c:pt idx="1090">
                  <c:v>20.2309668530122</c:v>
                </c:pt>
                <c:pt idx="1091">
                  <c:v>20.3107672366402</c:v>
                </c:pt>
                <c:pt idx="1092">
                  <c:v>20.3899005323755</c:v>
                </c:pt>
                <c:pt idx="1093">
                  <c:v>20.4683930802565</c:v>
                </c:pt>
                <c:pt idx="1094">
                  <c:v>20.5462705212598</c:v>
                </c:pt>
                <c:pt idx="1095">
                  <c:v>20.6235578334681</c:v>
                </c:pt>
                <c:pt idx="1096">
                  <c:v>20.7002793666164</c:v>
                </c:pt>
                <c:pt idx="1097">
                  <c:v>20.7764588751234</c:v>
                </c:pt>
                <c:pt idx="1098">
                  <c:v>20.8521195497035</c:v>
                </c:pt>
                <c:pt idx="1099">
                  <c:v>20.9272840476537</c:v>
                </c:pt>
                <c:pt idx="1100">
                  <c:v>21.001974521899</c:v>
                </c:pt>
                <c:pt idx="1101">
                  <c:v>21.0762126488822</c:v>
                </c:pt>
                <c:pt idx="1102">
                  <c:v>21.1500196553703</c:v>
                </c:pt>
                <c:pt idx="1103">
                  <c:v>21.223416344255</c:v>
                </c:pt>
                <c:pt idx="1104">
                  <c:v>21.2964231194131</c:v>
                </c:pt>
                <c:pt idx="1105">
                  <c:v>21.3690600096936</c:v>
                </c:pt>
                <c:pt idx="1106">
                  <c:v>21.4413466920927</c:v>
                </c:pt>
                <c:pt idx="1107">
                  <c:v>21.5133025141768</c:v>
                </c:pt>
                <c:pt idx="1108">
                  <c:v>21.5849465158081</c:v>
                </c:pt>
                <c:pt idx="1109">
                  <c:v>21.6562974502279</c:v>
                </c:pt>
                <c:pt idx="1110">
                  <c:v>21.7273738045468</c:v>
                </c:pt>
                <c:pt idx="1111">
                  <c:v>21.7981938196928</c:v>
                </c:pt>
                <c:pt idx="1112">
                  <c:v>21.8687755098634</c:v>
                </c:pt>
                <c:pt idx="1113">
                  <c:v>21.9391366815256</c:v>
                </c:pt>
                <c:pt idx="1114">
                  <c:v>22.0092949520106</c:v>
                </c:pt>
                <c:pt idx="1115">
                  <c:v>22.0792677677415</c:v>
                </c:pt>
                <c:pt idx="1116">
                  <c:v>22.1490724221379</c:v>
                </c:pt>
                <c:pt idx="1117">
                  <c:v>22.2187260732358</c:v>
                </c:pt>
                <c:pt idx="1118">
                  <c:v>22.2882457610612</c:v>
                </c:pt>
                <c:pt idx="1119">
                  <c:v>22.3576484247959</c:v>
                </c:pt>
                <c:pt idx="1120">
                  <c:v>22.4269509197732</c:v>
                </c:pt>
                <c:pt idx="1121">
                  <c:v>22.4961700343383</c:v>
                </c:pt>
                <c:pt idx="1122">
                  <c:v>22.5653225066113</c:v>
                </c:pt>
                <c:pt idx="1123">
                  <c:v>22.6344250411877</c:v>
                </c:pt>
                <c:pt idx="1124">
                  <c:v>22.7034943258124</c:v>
                </c:pt>
                <c:pt idx="1125">
                  <c:v>22.772547048062</c:v>
                </c:pt>
                <c:pt idx="1126">
                  <c:v>22.8415999120719</c:v>
                </c:pt>
                <c:pt idx="1127">
                  <c:v>22.9106696553438</c:v>
                </c:pt>
                <c:pt idx="1128">
                  <c:v>22.9797730656679</c:v>
                </c:pt>
                <c:pt idx="1129">
                  <c:v>23.0489269981994</c:v>
                </c:pt>
                <c:pt idx="1130">
                  <c:v>23.1181483927229</c:v>
                </c:pt>
                <c:pt idx="1131">
                  <c:v>23.1874542911445</c:v>
                </c:pt>
                <c:pt idx="1132">
                  <c:v>23.2568618552487</c:v>
                </c:pt>
                <c:pt idx="1133">
                  <c:v>23.3263883847603</c:v>
                </c:pt>
                <c:pt idx="1134">
                  <c:v>23.3960513357507</c:v>
                </c:pt>
                <c:pt idx="1135">
                  <c:v>23.4658683394301</c:v>
                </c:pt>
                <c:pt idx="1136">
                  <c:v>23.5358572213691</c:v>
                </c:pt>
                <c:pt idx="1137">
                  <c:v>23.6060360211932</c:v>
                </c:pt>
                <c:pt idx="1138">
                  <c:v>23.6764230127953</c:v>
                </c:pt>
                <c:pt idx="1139">
                  <c:v>23.7470367251149</c:v>
                </c:pt>
                <c:pt idx="1140">
                  <c:v>23.8178959635327</c:v>
                </c:pt>
                <c:pt idx="1141">
                  <c:v>23.8890198319311</c:v>
                </c:pt>
                <c:pt idx="1142">
                  <c:v>23.9604277554758</c:v>
                </c:pt>
                <c:pt idx="1143">
                  <c:v>24.0321395041722</c:v>
                </c:pt>
                <c:pt idx="1144">
                  <c:v>24.1041752172566</c:v>
                </c:pt>
                <c:pt idx="1145">
                  <c:v>24.176555428482</c:v>
                </c:pt>
                <c:pt idx="1146">
                  <c:v>24.249301092363</c:v>
                </c:pt>
                <c:pt idx="1147">
                  <c:v>24.3224336114459</c:v>
                </c:pt>
                <c:pt idx="1148">
                  <c:v>24.3959748646734</c:v>
                </c:pt>
                <c:pt idx="1149">
                  <c:v>24.4699472369187</c:v>
                </c:pt>
                <c:pt idx="1150">
                  <c:v>24.5443736497635</c:v>
                </c:pt>
                <c:pt idx="1151">
                  <c:v>24.6192775936012</c:v>
                </c:pt>
                <c:pt idx="1152">
                  <c:v>24.694683161148</c:v>
                </c:pt>
                <c:pt idx="1153">
                  <c:v>24.7706150824512</c:v>
                </c:pt>
                <c:pt idx="1154">
                  <c:v>24.8470987614834</c:v>
                </c:pt>
                <c:pt idx="1155">
                  <c:v>24.9241603144199</c:v>
                </c:pt>
                <c:pt idx="1156">
                  <c:v>25.0018266096974</c:v>
                </c:pt>
                <c:pt idx="1157">
                  <c:v>25.0801253099562</c:v>
                </c:pt>
                <c:pt idx="1158">
                  <c:v>25.1590849159733</c:v>
                </c:pt>
                <c:pt idx="1159">
                  <c:v>25.2387348126944</c:v>
                </c:pt>
                <c:pt idx="1160">
                  <c:v>25.3191053174784</c:v>
                </c:pt>
                <c:pt idx="1161">
                  <c:v>25.4002277306685</c:v>
                </c:pt>
                <c:pt idx="1162">
                  <c:v>25.4821343886061</c:v>
                </c:pt>
                <c:pt idx="1163">
                  <c:v>25.5648587192049</c:v>
                </c:pt>
                <c:pt idx="1164">
                  <c:v>25.6484353002004</c:v>
                </c:pt>
                <c:pt idx="1165">
                  <c:v>25.7328999201899</c:v>
                </c:pt>
                <c:pt idx="1166">
                  <c:v>25.8182896425719</c:v>
                </c:pt>
                <c:pt idx="1167">
                  <c:v>25.9046428724873</c:v>
                </c:pt>
                <c:pt idx="1168">
                  <c:v>25.9919994268556</c:v>
                </c:pt>
                <c:pt idx="1169">
                  <c:v>26.0804006075829</c:v>
                </c:pt>
                <c:pt idx="1170">
                  <c:v>26.1698892780027</c:v>
                </c:pt>
                <c:pt idx="1171">
                  <c:v>26.2605099425808</c:v>
                </c:pt>
                <c:pt idx="1172">
                  <c:v>26.3523088298851</c:v>
                </c:pt>
                <c:pt idx="1173">
                  <c:v>26.4453339787784</c:v>
                </c:pt>
                <c:pt idx="1174">
                  <c:v>26.5396353277368</c:v>
                </c:pt>
                <c:pt idx="1175">
                  <c:v>26.6352648071275</c:v>
                </c:pt>
                <c:pt idx="1176">
                  <c:v>26.7322764341948</c:v>
                </c:pt>
                <c:pt idx="1177">
                  <c:v>26.8307264103939</c:v>
                </c:pt>
                <c:pt idx="1178">
                  <c:v>26.9306732205776</c:v>
                </c:pt>
                <c:pt idx="1179">
                  <c:v>27.0321777333724</c:v>
                </c:pt>
                <c:pt idx="1180">
                  <c:v>27.135303301877</c:v>
                </c:pt>
                <c:pt idx="1181">
                  <c:v>27.2401158635532</c:v>
                </c:pt>
                <c:pt idx="1182">
                  <c:v>27.346684037866</c:v>
                </c:pt>
                <c:pt idx="1183">
                  <c:v>27.4550792198371</c:v>
                </c:pt>
                <c:pt idx="1184">
                  <c:v>27.5653756671892</c:v>
                </c:pt>
                <c:pt idx="1185">
                  <c:v>27.6776505781651</c:v>
                </c:pt>
                <c:pt idx="1186">
                  <c:v>27.7919841563668</c:v>
                </c:pt>
                <c:pt idx="1187">
                  <c:v>27.9084596580532</c:v>
                </c:pt>
                <c:pt idx="1188">
                  <c:v>28.0271634162152</c:v>
                </c:pt>
                <c:pt idx="1189">
                  <c:v>28.1481848343667</c:v>
                </c:pt>
                <c:pt idx="1190">
                  <c:v>28.271616341284</c:v>
                </c:pt>
                <c:pt idx="1191">
                  <c:v>28.3975532958262</c:v>
                </c:pt>
                <c:pt idx="1192">
                  <c:v>28.5260938283691</c:v>
                </c:pt>
                <c:pt idx="1193">
                  <c:v>28.6573386021812</c:v>
                </c:pt>
                <c:pt idx="1194">
                  <c:v>28.7913904741064</c:v>
                </c:pt>
                <c:pt idx="1195">
                  <c:v>28.9283540290234</c:v>
                </c:pt>
                <c:pt idx="1196">
                  <c:v>29.0683349565064</c:v>
                </c:pt>
                <c:pt idx="1197">
                  <c:v>29.2114392306402</c:v>
                </c:pt>
                <c:pt idx="1198">
                  <c:v>29.3577720447298</c:v>
                </c:pt>
                <c:pt idx="1199">
                  <c:v>29.5074364412766</c:v>
                </c:pt>
                <c:pt idx="1200">
                  <c:v>29.6605315636161</c:v>
                </c:pt>
                <c:pt idx="1201">
                  <c:v>29.8171504384392</c:v>
                </c:pt>
                <c:pt idx="1202">
                  <c:v>29.9773771774288</c:v>
                </c:pt>
                <c:pt idx="1203">
                  <c:v>30.1412834606766</c:v>
                </c:pt>
                <c:pt idx="1204">
                  <c:v>30.3089241336491</c:v>
                </c:pt>
                <c:pt idx="1205">
                  <c:v>30.4803317124428</c:v>
                </c:pt>
                <c:pt idx="1206">
                  <c:v>30.6555095482839</c:v>
                </c:pt>
                <c:pt idx="1207">
                  <c:v>30.8344233513423</c:v>
                </c:pt>
                <c:pt idx="1208">
                  <c:v>31.0169907163166</c:v>
                </c:pt>
                <c:pt idx="1209">
                  <c:v>31.2030682294703</c:v>
                </c:pt>
                <c:pt idx="1210">
                  <c:v>31.3924356725609</c:v>
                </c:pt>
                <c:pt idx="1211">
                  <c:v>31.5847767805011</c:v>
                </c:pt>
                <c:pt idx="1212">
                  <c:v>31.7796559690748</c:v>
                </c:pt>
                <c:pt idx="1213">
                  <c:v>31.976490447093</c:v>
                </c:pt>
                <c:pt idx="1214">
                  <c:v>32.1745171960233</c:v>
                </c:pt>
                <c:pt idx="1215">
                  <c:v>32.3727544870658</c:v>
                </c:pt>
                <c:pt idx="1216">
                  <c:v>32.569957978286</c:v>
                </c:pt>
                <c:pt idx="1217">
                  <c:v>32.7645720818468</c:v>
                </c:pt>
                <c:pt idx="1218">
                  <c:v>32.9546783206019</c:v>
                </c:pt>
                <c:pt idx="1219">
                  <c:v>33.1379439129662</c:v>
                </c:pt>
                <c:pt idx="1220">
                  <c:v>33.3115759069473</c:v>
                </c:pt>
                <c:pt idx="1221">
                  <c:v>33.4722887918197</c:v>
                </c:pt>
                <c:pt idx="1222">
                  <c:v>33.6162963922502</c:v>
                </c:pt>
                <c:pt idx="1223">
                  <c:v>33.739341379147</c:v>
                </c:pt>
                <c:pt idx="1224">
                  <c:v>33.8367768294447</c:v>
                </c:pt>
                <c:pt idx="1225">
                  <c:v>33.9037124157093</c:v>
                </c:pt>
                <c:pt idx="1226">
                  <c:v>33.9352314069253</c:v>
                </c:pt>
                <c:pt idx="1227">
                  <c:v>33.9266728285565</c:v>
                </c:pt>
                <c:pt idx="1228">
                  <c:v>33.8739568124311</c:v>
                </c:pt>
                <c:pt idx="1229">
                  <c:v>33.7739140346188</c:v>
                </c:pt>
                <c:pt idx="1230">
                  <c:v>33.6245682887169</c:v>
                </c:pt>
                <c:pt idx="1231">
                  <c:v>33.4253210361424</c:v>
                </c:pt>
                <c:pt idx="1232">
                  <c:v>33.1770013494947</c:v>
                </c:pt>
                <c:pt idx="1233">
                  <c:v>32.8817711774157</c:v>
                </c:pt>
                <c:pt idx="1234">
                  <c:v>32.542905844438</c:v>
                </c:pt>
                <c:pt idx="1235">
                  <c:v>32.1644929599175</c:v>
                </c:pt>
                <c:pt idx="1236">
                  <c:v>31.751102570002</c:v>
                </c:pt>
                <c:pt idx="1237">
                  <c:v>31.3074767421148</c:v>
                </c:pt>
                <c:pt idx="1238">
                  <c:v>30.8382724291364</c:v>
                </c:pt>
                <c:pt idx="1239">
                  <c:v>30.3478740469414</c:v>
                </c:pt>
                <c:pt idx="1240">
                  <c:v>29.8402771463192</c:v>
                </c:pt>
                <c:pt idx="1241">
                  <c:v>29.3190345866016</c:v>
                </c:pt>
                <c:pt idx="1242">
                  <c:v>28.7872519342731</c:v>
                </c:pt>
                <c:pt idx="1243">
                  <c:v>28.2476181749167</c:v>
                </c:pt>
                <c:pt idx="1244">
                  <c:v>27.7024595987306</c:v>
                </c:pt>
                <c:pt idx="1245">
                  <c:v>27.1538074964723</c:v>
                </c:pt>
                <c:pt idx="1246">
                  <c:v>26.6034731476789</c:v>
                </c:pt>
                <c:pt idx="1247">
                  <c:v>26.0531259935281</c:v>
                </c:pt>
                <c:pt idx="1248">
                  <c:v>25.5043726609237</c:v>
                </c:pt>
                <c:pt idx="1249">
                  <c:v>24.9588356054624</c:v>
                </c:pt>
                <c:pt idx="1250">
                  <c:v>24.4182305963711</c:v>
                </c:pt>
                <c:pt idx="1251">
                  <c:v>23.8844421095065</c:v>
                </c:pt>
                <c:pt idx="1252">
                  <c:v>23.3595949419888</c:v>
                </c:pt>
                <c:pt idx="1253">
                  <c:v>22.846119024013</c:v>
                </c:pt>
                <c:pt idx="1254">
                  <c:v>22.3468025228688</c:v>
                </c:pt>
                <c:pt idx="1255">
                  <c:v>21.8648260584763</c:v>
                </c:pt>
                <c:pt idx="1256">
                  <c:v>21.40376852914</c:v>
                </c:pt>
                <c:pt idx="1257">
                  <c:v>20.9675733366645</c:v>
                </c:pt>
                <c:pt idx="1258">
                  <c:v>20.5604637103789</c:v>
                </c:pt>
                <c:pt idx="1259">
                  <c:v>20.1867986111202</c:v>
                </c:pt>
                <c:pt idx="1260">
                  <c:v>19.8508674554277</c:v>
                </c:pt>
                <c:pt idx="1261">
                  <c:v>19.5566328976199</c:v>
                </c:pt>
                <c:pt idx="1262">
                  <c:v>19.3074447316323</c:v>
                </c:pt>
                <c:pt idx="1263">
                  <c:v>19.1057611068197</c:v>
                </c:pt>
                <c:pt idx="1264">
                  <c:v>18.9529206923798</c:v>
                </c:pt>
                <c:pt idx="1265">
                  <c:v>18.8490066646456</c:v>
                </c:pt>
                <c:pt idx="1266">
                  <c:v>18.7928290218648</c:v>
                </c:pt>
                <c:pt idx="1267">
                  <c:v>18.7820290407714</c:v>
                </c:pt>
                <c:pt idx="1268">
                  <c:v>18.8132857775785</c:v>
                </c:pt>
                <c:pt idx="1269">
                  <c:v>18.8825870671876</c:v>
                </c:pt>
                <c:pt idx="1270">
                  <c:v>18.985521155138</c:v>
                </c:pt>
                <c:pt idx="1271">
                  <c:v>19.1175498491866</c:v>
                </c:pt>
                <c:pt idx="1272">
                  <c:v>19.2742360667109</c:v>
                </c:pt>
                <c:pt idx="1273">
                  <c:v>19.4514127676675</c:v>
                </c:pt>
                <c:pt idx="1274">
                  <c:v>19.6452924039549</c:v>
                </c:pt>
                <c:pt idx="1275">
                  <c:v>19.852524144264</c:v>
                </c:pt>
                <c:pt idx="1276">
                  <c:v>20.0702100838507</c:v>
                </c:pt>
                <c:pt idx="1277">
                  <c:v>20.2958923552878</c:v>
                </c:pt>
                <c:pt idx="1278">
                  <c:v>20.5275217775627</c:v>
                </c:pt>
                <c:pt idx="1279">
                  <c:v>20.7634165126095</c:v>
                </c:pt>
                <c:pt idx="1280">
                  <c:v>21.002216888249</c:v>
                </c:pt>
                <c:pt idx="1281">
                  <c:v>21.2428405033644</c:v>
                </c:pt>
                <c:pt idx="1282">
                  <c:v>21.484440115226</c:v>
                </c:pt>
                <c:pt idx="1283">
                  <c:v>21.7263656313402</c:v>
                </c:pt>
                <c:pt idx="1284">
                  <c:v>21.9681307281376</c:v>
                </c:pt>
                <c:pt idx="1285">
                  <c:v>22.2093841121207</c:v>
                </c:pt>
                <c:pt idx="1286">
                  <c:v>22.4498851444478</c:v>
                </c:pt>
                <c:pt idx="1287">
                  <c:v>22.6894833997159</c:v>
                </c:pt>
                <c:pt idx="1288">
                  <c:v>22.9281016725299</c:v>
                </c:pt>
                <c:pt idx="1289">
                  <c:v>23.1657219445613</c:v>
                </c:pt>
                <c:pt idx="1290">
                  <c:v>23.4023738552872</c:v>
                </c:pt>
                <c:pt idx="1291">
                  <c:v>23.6381252652409</c:v>
                </c:pt>
                <c:pt idx="1292">
                  <c:v>23.8730745513697</c:v>
                </c:pt>
                <c:pt idx="1293">
                  <c:v>24.1073443241061</c:v>
                </c:pt>
                <c:pt idx="1294">
                  <c:v>24.3410763018413</c:v>
                </c:pt>
                <c:pt idx="1295">
                  <c:v>24.5744271191643</c:v>
                </c:pt>
                <c:pt idx="1296">
                  <c:v>24.8075648800065</c:v>
                </c:pt>
                <c:pt idx="1297">
                  <c:v>25.0406662958165</c:v>
                </c:pt>
                <c:pt idx="1298">
                  <c:v>25.2739142724202</c:v>
                </c:pt>
                <c:pt idx="1299">
                  <c:v>25.5074958277975</c:v>
                </c:pt>
                <c:pt idx="1300">
                  <c:v>25.7416002370836</c:v>
                </c:pt>
                <c:pt idx="1301">
                  <c:v>25.9764173111196</c:v>
                </c:pt>
                <c:pt idx="1302">
                  <c:v>26.21213572117</c:v>
                </c:pt>
                <c:pt idx="1303">
                  <c:v>26.4489412852376</c:v>
                </c:pt>
                <c:pt idx="1304">
                  <c:v>26.6870151308871</c:v>
                </c:pt>
                <c:pt idx="1305">
                  <c:v>26.9265316456848</c:v>
                </c:pt>
                <c:pt idx="1306">
                  <c:v>27.167656119226</c:v>
                </c:pt>
                <c:pt idx="1307">
                  <c:v>27.4105419701552</c:v>
                </c:pt>
                <c:pt idx="1308">
                  <c:v>27.6553274374066</c:v>
                </c:pt>
                <c:pt idx="1309">
                  <c:v>27.9021315969532</c:v>
                </c:pt>
                <c:pt idx="1310">
                  <c:v>28.1510495435367</c:v>
                </c:pt>
                <c:pt idx="1311">
                  <c:v>28.4021465512021</c:v>
                </c:pt>
                <c:pt idx="1312">
                  <c:v>28.6554509973707</c:v>
                </c:pt>
                <c:pt idx="1313">
                  <c:v>28.910945803569</c:v>
                </c:pt>
                <c:pt idx="1314">
                  <c:v>29.1685581136738</c:v>
                </c:pt>
                <c:pt idx="1315">
                  <c:v>29.4281469009267</c:v>
                </c:pt>
                <c:pt idx="1316">
                  <c:v>29.6894881735391</c:v>
                </c:pt>
                <c:pt idx="1317">
                  <c:v>29.9522574441438</c:v>
                </c:pt>
                <c:pt idx="1318">
                  <c:v>30.2160091538441</c:v>
                </c:pt>
                <c:pt idx="1319">
                  <c:v>30.4801528163847</c:v>
                </c:pt>
                <c:pt idx="1320">
                  <c:v>30.7439257988469</c:v>
                </c:pt>
                <c:pt idx="1321">
                  <c:v>31.0063629178335</c:v>
                </c:pt>
                <c:pt idx="1322">
                  <c:v>31.2662634484323</c:v>
                </c:pt>
                <c:pt idx="1323">
                  <c:v>31.5221567665494</c:v>
                </c:pt>
                <c:pt idx="1324">
                  <c:v>31.7722687186883</c:v>
                </c:pt>
                <c:pt idx="1325">
                  <c:v>32.0144919597492</c:v>
                </c:pt>
                <c:pt idx="1326">
                  <c:v>32.2463648881929</c:v>
                </c:pt>
                <c:pt idx="1327">
                  <c:v>32.4650653094653</c:v>
                </c:pt>
                <c:pt idx="1328">
                  <c:v>32.667426291345</c:v>
                </c:pt>
                <c:pt idx="1329">
                  <c:v>32.8499823631899</c:v>
                </c:pt>
                <c:pt idx="1330">
                  <c:v>33.009053593578</c:v>
                </c:pt>
                <c:pt idx="1331">
                  <c:v>33.140872425273</c:v>
                </c:pt>
                <c:pt idx="1332">
                  <c:v>33.2417529189306</c:v>
                </c:pt>
                <c:pt idx="1333">
                  <c:v>33.3082943338411</c:v>
                </c:pt>
                <c:pt idx="1334">
                  <c:v>33.3376018573112</c:v>
                </c:pt>
                <c:pt idx="1335">
                  <c:v>33.3274990481472</c:v>
                </c:pt>
                <c:pt idx="1336">
                  <c:v>33.2767021560883</c:v>
                </c:pt>
                <c:pt idx="1337">
                  <c:v>33.1849284763682</c:v>
                </c:pt>
                <c:pt idx="1338">
                  <c:v>33.0529200586522</c:v>
                </c:pt>
                <c:pt idx="1339">
                  <c:v>32.882378549696</c:v>
                </c:pt>
                <c:pt idx="1340">
                  <c:v>32.6758226545097</c:v>
                </c:pt>
                <c:pt idx="1341">
                  <c:v>32.4363920578016</c:v>
                </c:pt>
                <c:pt idx="1342">
                  <c:v>32.1676274919602</c:v>
                </c:pt>
                <c:pt idx="1343">
                  <c:v>31.8732553791154</c:v>
                </c:pt>
                <c:pt idx="1344">
                  <c:v>31.5569988809545</c:v>
                </c:pt>
                <c:pt idx="1345">
                  <c:v>31.2224281867814</c:v>
                </c:pt>
                <c:pt idx="1346">
                  <c:v>30.8728541977696</c:v>
                </c:pt>
                <c:pt idx="1347">
                  <c:v>30.5112631535778</c:v>
                </c:pt>
                <c:pt idx="1348">
                  <c:v>30.1402857724066</c:v>
                </c:pt>
                <c:pt idx="1349">
                  <c:v>29.7621928688975</c:v>
                </c:pt>
                <c:pt idx="1350">
                  <c:v>29.3789095043724</c:v>
                </c:pt>
                <c:pt idx="1351">
                  <c:v>28.9920407886336</c:v>
                </c:pt>
                <c:pt idx="1352">
                  <c:v>28.6029039117861</c:v>
                </c:pt>
                <c:pt idx="1353">
                  <c:v>28.212562457434</c:v>
                </c:pt>
                <c:pt idx="1354">
                  <c:v>27.8218603319663</c:v>
                </c:pt>
                <c:pt idx="1355">
                  <c:v>27.4314536619925</c:v>
                </c:pt>
                <c:pt idx="1356">
                  <c:v>27.0418397626732</c:v>
                </c:pt>
                <c:pt idx="1357">
                  <c:v>26.6533828001235</c:v>
                </c:pt>
                <c:pt idx="1358">
                  <c:v>26.2663361099996</c:v>
                </c:pt>
                <c:pt idx="1359">
                  <c:v>25.880861339303</c:v>
                </c:pt>
                <c:pt idx="1360">
                  <c:v>25.4970446895943</c:v>
                </c:pt>
                <c:pt idx="1361">
                  <c:v>25.1149105885863</c:v>
                </c:pt>
                <c:pt idx="1362">
                  <c:v>24.7344331265058</c:v>
                </c:pt>
                <c:pt idx="1363">
                  <c:v>24.3555455798699</c:v>
                </c:pt>
                <c:pt idx="1364">
                  <c:v>23.9781483192944</c:v>
                </c:pt>
                <c:pt idx="1365">
                  <c:v>23.6021153666965</c:v>
                </c:pt>
                <c:pt idx="1366">
                  <c:v>23.2272998351261</c:v>
                </c:pt>
                <c:pt idx="1367">
                  <c:v>22.8535384540096</c:v>
                </c:pt>
                <c:pt idx="1368">
                  <c:v>22.4806553551819</c:v>
                </c:pt>
                <c:pt idx="1369">
                  <c:v>22.1084652713376</c:v>
                </c:pt>
                <c:pt idx="1370">
                  <c:v>21.7367762786387</c:v>
                </c:pt>
                <c:pt idx="1371">
                  <c:v>21.3653921991035</c:v>
                </c:pt>
                <c:pt idx="1372">
                  <c:v>20.9941147659033</c:v>
                </c:pt>
                <c:pt idx="1373">
                  <c:v>20.6227456455886</c:v>
                </c:pt>
                <c:pt idx="1374">
                  <c:v>20.2510884053499</c:v>
                </c:pt>
                <c:pt idx="1375">
                  <c:v>19.8789505105399</c:v>
                </c:pt>
                <c:pt idx="1376">
                  <c:v>19.5061454377016</c:v>
                </c:pt>
                <c:pt idx="1377">
                  <c:v>19.1324949912281</c:v>
                </c:pt>
                <c:pt idx="1378">
                  <c:v>18.7578319174727</c:v>
                </c:pt>
                <c:pt idx="1379">
                  <c:v>18.3820029186576</c:v>
                </c:pt>
                <c:pt idx="1380">
                  <c:v>18.0048721802803</c:v>
                </c:pt>
                <c:pt idx="1381">
                  <c:v>17.6263255398427</c:v>
                </c:pt>
                <c:pt idx="1382">
                  <c:v>17.2462754414478</c:v>
                </c:pt>
                <c:pt idx="1383">
                  <c:v>16.8646668397043</c:v>
                </c:pt>
                <c:pt idx="1384">
                  <c:v>16.4814842366575</c:v>
                </c:pt>
                <c:pt idx="1385">
                  <c:v>16.096760055683</c:v>
                </c:pt>
                <c:pt idx="1386">
                  <c:v>15.7105845740775</c:v>
                </c:pt>
                <c:pt idx="1387">
                  <c:v>15.3231176476916</c:v>
                </c:pt>
                <c:pt idx="1388">
                  <c:v>14.934602460644</c:v>
                </c:pt>
                <c:pt idx="1389">
                  <c:v>14.5453815125186</c:v>
                </c:pt>
                <c:pt idx="1390">
                  <c:v>14.1559150024934</c:v>
                </c:pt>
                <c:pt idx="1391">
                  <c:v>13.7668016682568</c:v>
                </c:pt>
                <c:pt idx="1392">
                  <c:v>13.3788019659947</c:v>
                </c:pt>
                <c:pt idx="1393">
                  <c:v>12.9928632100431</c:v>
                </c:pt>
                <c:pt idx="1394">
                  <c:v>12.6101458977377</c:v>
                </c:pt>
                <c:pt idx="1395">
                  <c:v>12.2320498987573</c:v>
                </c:pt>
                <c:pt idx="1396">
                  <c:v>11.8602384715734</c:v>
                </c:pt>
                <c:pt idx="1397">
                  <c:v>11.4966571911664</c:v>
                </c:pt>
                <c:pt idx="1398">
                  <c:v>11.1435438891917</c:v>
                </c:pt>
                <c:pt idx="1399">
                  <c:v>10.8034247544795</c:v>
                </c:pt>
                <c:pt idx="1400">
                  <c:v>10.479091055993</c:v>
                </c:pt>
                <c:pt idx="1401">
                  <c:v>10.1735508834201</c:v>
                </c:pt>
                <c:pt idx="1402">
                  <c:v>9.88995128466955</c:v>
                </c:pt>
                <c:pt idx="1403">
                  <c:v>9.63146862539296</c:v>
                </c:pt>
                <c:pt idx="1404">
                  <c:v>9.40116910625825</c:v>
                </c:pt>
                <c:pt idx="1405">
                  <c:v>9.20184690474089</c:v>
                </c:pt>
                <c:pt idx="1406">
                  <c:v>9.03585347394253</c:v>
                </c:pt>
                <c:pt idx="1407">
                  <c:v>8.90493661254908</c:v>
                </c:pt>
                <c:pt idx="1408">
                  <c:v>8.8101102133103</c:v>
                </c:pt>
                <c:pt idx="1409">
                  <c:v>8.75157368620289</c:v>
                </c:pt>
                <c:pt idx="1410">
                  <c:v>8.72869365179914</c:v>
                </c:pt>
                <c:pt idx="1411">
                  <c:v>8.74005084607514</c:v>
                </c:pt>
                <c:pt idx="1412">
                  <c:v>8.78354473575973</c:v>
                </c:pt>
                <c:pt idx="1413">
                  <c:v>8.85653988988774</c:v>
                </c:pt>
                <c:pt idx="1414">
                  <c:v>8.95603368987844</c:v>
                </c:pt>
                <c:pt idx="1415">
                  <c:v>9.07882503770186</c:v>
                </c:pt>
                <c:pt idx="1416">
                  <c:v>9.22166747186163</c:v>
                </c:pt>
                <c:pt idx="1417">
                  <c:v>9.38139583877664</c:v>
                </c:pt>
                <c:pt idx="1418">
                  <c:v>9.55502164865447</c:v>
                </c:pt>
                <c:pt idx="1419">
                  <c:v>9.73979721228337</c:v>
                </c:pt>
                <c:pt idx="1420">
                  <c:v>9.93325202296639</c:v>
                </c:pt>
                <c:pt idx="1421">
                  <c:v>10.1332066006409</c:v>
                </c:pt>
                <c:pt idx="1422">
                  <c:v>10.3377694763442</c:v>
                </c:pt>
                <c:pt idx="1423">
                  <c:v>10.5453226029492</c:v>
                </c:pt>
                <c:pt idx="1424">
                  <c:v>10.7544996366068</c:v>
                </c:pt>
                <c:pt idx="1425">
                  <c:v>10.9641605442401</c:v>
                </c:pt>
                <c:pt idx="1426">
                  <c:v>11.1733650447851</c:v>
                </c:pt>
                <c:pt idx="1427">
                  <c:v>11.3813465819754</c:v>
                </c:pt>
                <c:pt idx="1428">
                  <c:v>11.5874878867262</c:v>
                </c:pt>
                <c:pt idx="1429">
                  <c:v>11.7912987123447</c:v>
                </c:pt>
                <c:pt idx="1430">
                  <c:v>11.9923959924572</c:v>
                </c:pt>
                <c:pt idx="1431">
                  <c:v>12.1904864504368</c:v>
                </c:pt>
                <c:pt idx="1432">
                  <c:v>12.3853515520311</c:v>
                </c:pt>
                <c:pt idx="1433">
                  <c:v>12.5768346157469</c:v>
                </c:pt>
                <c:pt idx="1434">
                  <c:v>12.7648298592855</c:v>
                </c:pt>
                <c:pt idx="1435">
                  <c:v>12.9492731506823</c:v>
                </c:pt>
                <c:pt idx="1436">
                  <c:v>13.1301342395053</c:v>
                </c:pt>
                <c:pt idx="1437">
                  <c:v>13.3074102594393</c:v>
                </c:pt>
                <c:pt idx="1438">
                  <c:v>13.4811203140721</c:v>
                </c:pt>
                <c:pt idx="1439">
                  <c:v>13.6513009796939</c:v>
                </c:pt>
                <c:pt idx="1440">
                  <c:v>13.8180025805554</c:v>
                </c:pt>
                <c:pt idx="1441">
                  <c:v>13.9812861122719</c:v>
                </c:pt>
                <c:pt idx="1442">
                  <c:v>14.1412207073784</c:v>
                </c:pt>
                <c:pt idx="1443">
                  <c:v>14.2978815532519</c:v>
                </c:pt>
                <c:pt idx="1444">
                  <c:v>14.4513481867283</c:v>
                </c:pt>
                <c:pt idx="1445">
                  <c:v>14.6017031018787</c:v>
                </c:pt>
                <c:pt idx="1446">
                  <c:v>14.7490306177615</c:v>
                </c:pt>
                <c:pt idx="1447">
                  <c:v>14.8934159617296</c:v>
                </c:pt>
                <c:pt idx="1448">
                  <c:v>15.0349445312526</c:v>
                </c:pt>
                <c:pt idx="1449">
                  <c:v>15.1737013034135</c:v>
                </c:pt>
                <c:pt idx="1450">
                  <c:v>15.3097703664181</c:v>
                </c:pt>
                <c:pt idx="1451">
                  <c:v>15.4432345517884</c:v>
                </c:pt>
                <c:pt idx="1452">
                  <c:v>15.5741751495118</c:v>
                </c:pt>
                <c:pt idx="1453">
                  <c:v>15.7026716914286</c:v>
                </c:pt>
                <c:pt idx="1454">
                  <c:v>15.8288017906312</c:v>
                </c:pt>
                <c:pt idx="1455">
                  <c:v>15.9526410267307</c:v>
                </c:pt>
                <c:pt idx="1456">
                  <c:v>16.0742628685708</c:v>
                </c:pt>
                <c:pt idx="1457">
                  <c:v>16.1937386274052</c:v>
                </c:pt>
                <c:pt idx="1458">
                  <c:v>16.3111374347469</c:v>
                </c:pt>
                <c:pt idx="1459">
                  <c:v>16.4265262400896</c:v>
                </c:pt>
                <c:pt idx="1460">
                  <c:v>16.5399698245265</c:v>
                </c:pt>
                <c:pt idx="1461">
                  <c:v>16.6515308269758</c:v>
                </c:pt>
                <c:pt idx="1462">
                  <c:v>16.7612697802949</c:v>
                </c:pt>
                <c:pt idx="1463">
                  <c:v>16.8692451550379</c:v>
                </c:pt>
                <c:pt idx="1464">
                  <c:v>16.9755134090052</c:v>
                </c:pt>
                <c:pt idx="1465">
                  <c:v>17.0801290410665</c:v>
                </c:pt>
                <c:pt idx="1466">
                  <c:v>17.1831446480057</c:v>
                </c:pt>
                <c:pt idx="1467">
                  <c:v>17.2846109833694</c:v>
                </c:pt>
                <c:pt idx="1468">
                  <c:v>17.3845770174871</c:v>
                </c:pt>
                <c:pt idx="1469">
                  <c:v>17.4830899979886</c:v>
                </c:pt>
                <c:pt idx="1470">
                  <c:v>17.5801955102756</c:v>
                </c:pt>
                <c:pt idx="1471">
                  <c:v>17.6759375375143</c:v>
                </c:pt>
                <c:pt idx="1472">
                  <c:v>17.7703585198029</c:v>
                </c:pt>
                <c:pt idx="1473">
                  <c:v>17.8634994122464</c:v>
                </c:pt>
                <c:pt idx="1474">
                  <c:v>17.9553997417296</c:v>
                </c:pt>
                <c:pt idx="1475">
                  <c:v>18.0460976622331</c:v>
                </c:pt>
                <c:pt idx="1476">
                  <c:v>18.1356300085778</c:v>
                </c:pt>
                <c:pt idx="1477">
                  <c:v>18.2240323485174</c:v>
                </c:pt>
                <c:pt idx="1478">
                  <c:v>18.3113390331285</c:v>
                </c:pt>
                <c:pt idx="1479">
                  <c:v>18.3975832454705</c:v>
                </c:pt>
                <c:pt idx="1480">
                  <c:v>18.4827970475043</c:v>
                </c:pt>
                <c:pt idx="1481">
                  <c:v>18.5670114252772</c:v>
                </c:pt>
                <c:pt idx="1482">
                  <c:v>18.6502563323912</c:v>
                </c:pt>
                <c:pt idx="1483">
                  <c:v>18.7325607317811</c:v>
                </c:pt>
                <c:pt idx="1484">
                  <c:v>18.8139526358391</c:v>
                </c:pt>
                <c:pt idx="1485">
                  <c:v>18.8944591449251</c:v>
                </c:pt>
                <c:pt idx="1486">
                  <c:v>18.9741064843071</c:v>
                </c:pt>
                <c:pt idx="1487">
                  <c:v>19.0529200395817</c:v>
                </c:pt>
                <c:pt idx="1488">
                  <c:v>19.1309243906218</c:v>
                </c:pt>
                <c:pt idx="1489">
                  <c:v>19.2081433441055</c:v>
                </c:pt>
                <c:pt idx="1490">
                  <c:v>19.2845999646767</c:v>
                </c:pt>
                <c:pt idx="1491">
                  <c:v>19.3603166047893</c:v>
                </c:pt>
                <c:pt idx="1492">
                  <c:v>19.435314933288</c:v>
                </c:pt>
                <c:pt idx="1493">
                  <c:v>19.5096159627756</c:v>
                </c:pt>
                <c:pt idx="1494">
                  <c:v>19.5832400758182</c:v>
                </c:pt>
                <c:pt idx="1495">
                  <c:v>19.656207050036</c:v>
                </c:pt>
                <c:pt idx="1496">
                  <c:v>19.7285360821291</c:v>
                </c:pt>
                <c:pt idx="1497">
                  <c:v>19.8002458108832</c:v>
                </c:pt>
                <c:pt idx="1498">
                  <c:v>19.8713543392017</c:v>
                </c:pt>
                <c:pt idx="1499">
                  <c:v>19.941879255206</c:v>
                </c:pt>
                <c:pt idx="1500">
                  <c:v>20.0118376524473</c:v>
                </c:pt>
                <c:pt idx="1501">
                  <c:v>20.0812461492692</c:v>
                </c:pt>
                <c:pt idx="1502">
                  <c:v>20.1501209073601</c:v>
                </c:pt>
                <c:pt idx="1503">
                  <c:v>20.2184776495323</c:v>
                </c:pt>
                <c:pt idx="1504">
                  <c:v>20.2863316767643</c:v>
                </c:pt>
                <c:pt idx="1505">
                  <c:v>20.3536978845384</c:v>
                </c:pt>
                <c:pt idx="1506">
                  <c:v>20.4205907785084</c:v>
                </c:pt>
                <c:pt idx="1507">
                  <c:v>20.4870244895271</c:v>
                </c:pt>
                <c:pt idx="1508">
                  <c:v>20.5530127880635</c:v>
                </c:pt>
                <c:pt idx="1509">
                  <c:v>20.6185690980388</c:v>
                </c:pt>
                <c:pt idx="1510">
                  <c:v>20.6837065101079</c:v>
                </c:pt>
                <c:pt idx="1511">
                  <c:v>20.7484377944115</c:v>
                </c:pt>
                <c:pt idx="1512">
                  <c:v>20.812775412825</c:v>
                </c:pt>
                <c:pt idx="1513">
                  <c:v>20.8767315307268</c:v>
                </c:pt>
                <c:pt idx="1514">
                  <c:v>20.9403180283082</c:v>
                </c:pt>
                <c:pt idx="1515">
                  <c:v>21.0035465114469</c:v>
                </c:pt>
                <c:pt idx="1516">
                  <c:v>21.0664283221645</c:v>
                </c:pt>
                <c:pt idx="1517">
                  <c:v>21.1289745486867</c:v>
                </c:pt>
                <c:pt idx="1518">
                  <c:v>21.1911960351256</c:v>
                </c:pt>
                <c:pt idx="1519">
                  <c:v>21.2531033908011</c:v>
                </c:pt>
                <c:pt idx="1520">
                  <c:v>21.3147069992188</c:v>
                </c:pt>
                <c:pt idx="1521">
                  <c:v>21.3760170267198</c:v>
                </c:pt>
                <c:pt idx="1522">
                  <c:v>21.4370434308187</c:v>
                </c:pt>
                <c:pt idx="1523">
                  <c:v>21.4977959682426</c:v>
                </c:pt>
                <c:pt idx="1524">
                  <c:v>21.5582842026877</c:v>
                </c:pt>
                <c:pt idx="1525">
                  <c:v>21.6185175123039</c:v>
                </c:pt>
                <c:pt idx="1526">
                  <c:v>21.6785050969223</c:v>
                </c:pt>
                <c:pt idx="1527">
                  <c:v>21.7382559850364</c:v>
                </c:pt>
                <c:pt idx="1528">
                  <c:v>21.7977790405496</c:v>
                </c:pt>
                <c:pt idx="1529">
                  <c:v>21.8570829692984</c:v>
                </c:pt>
                <c:pt idx="1530">
                  <c:v>21.9161763253637</c:v>
                </c:pt>
                <c:pt idx="1531">
                  <c:v>21.9750675171798</c:v>
                </c:pt>
                <c:pt idx="1532">
                  <c:v>22.0337648134488</c:v>
                </c:pt>
                <c:pt idx="1533">
                  <c:v>22.0922763488733</c:v>
                </c:pt>
                <c:pt idx="1534">
                  <c:v>22.1506101297127</c:v>
                </c:pt>
                <c:pt idx="1535">
                  <c:v>22.2087740391734</c:v>
                </c:pt>
                <c:pt idx="1536">
                  <c:v>22.2667758426405</c:v>
                </c:pt>
                <c:pt idx="1537">
                  <c:v>22.3246231927597</c:v>
                </c:pt>
                <c:pt idx="1538">
                  <c:v>22.3823236343745</c:v>
                </c:pt>
                <c:pt idx="1539">
                  <c:v>22.4398846093289</c:v>
                </c:pt>
                <c:pt idx="1540">
                  <c:v>22.4973134611394</c:v>
                </c:pt>
                <c:pt idx="1541">
                  <c:v>22.5546174395463</c:v>
                </c:pt>
                <c:pt idx="1542">
                  <c:v>22.6118037049469</c:v>
                </c:pt>
                <c:pt idx="1543">
                  <c:v>22.6688793327195</c:v>
                </c:pt>
                <c:pt idx="1544">
                  <c:v>22.7258513174436</c:v>
                </c:pt>
                <c:pt idx="1545">
                  <c:v>22.7827265770201</c:v>
                </c:pt>
                <c:pt idx="1546">
                  <c:v>22.8395119567004</c:v>
                </c:pt>
                <c:pt idx="1547">
                  <c:v>22.8962142330255</c:v>
                </c:pt>
                <c:pt idx="1548">
                  <c:v>22.9528401176844</c:v>
                </c:pt>
                <c:pt idx="1549">
                  <c:v>23.0093962612934</c:v>
                </c:pt>
                <c:pt idx="1550">
                  <c:v>23.0658892571031</c:v>
                </c:pt>
                <c:pt idx="1551">
                  <c:v>23.122325644637</c:v>
                </c:pt>
                <c:pt idx="1552">
                  <c:v>23.1787119132664</c:v>
                </c:pt>
                <c:pt idx="1553">
                  <c:v>23.2350545057254</c:v>
                </c:pt>
                <c:pt idx="1554">
                  <c:v>23.291359821572</c:v>
                </c:pt>
                <c:pt idx="1555">
                  <c:v>23.3476342205967</c:v>
                </c:pt>
                <c:pt idx="1556">
                  <c:v>23.4038840261858</c:v>
                </c:pt>
                <c:pt idx="1557">
                  <c:v>23.460115528641</c:v>
                </c:pt>
                <c:pt idx="1558">
                  <c:v>23.5163349884596</c:v>
                </c:pt>
                <c:pt idx="1559">
                  <c:v>23.5725486395812</c:v>
                </c:pt>
                <c:pt idx="1560">
                  <c:v>23.628762692601</c:v>
                </c:pt>
                <c:pt idx="1561">
                  <c:v>23.6849833379575</c:v>
                </c:pt>
                <c:pt idx="1562">
                  <c:v>23.741216749094</c:v>
                </c:pt>
                <c:pt idx="1563">
                  <c:v>23.7974690856017</c:v>
                </c:pt>
                <c:pt idx="1564">
                  <c:v>23.853746496345</c:v>
                </c:pt>
                <c:pt idx="1565">
                  <c:v>23.910055122573</c:v>
                </c:pt>
                <c:pt idx="1566">
                  <c:v>23.9664011010221</c:v>
                </c:pt>
                <c:pt idx="1567">
                  <c:v>24.0227905670122</c:v>
                </c:pt>
                <c:pt idx="1568">
                  <c:v>24.079229657539</c:v>
                </c:pt>
                <c:pt idx="1569">
                  <c:v>24.1357245143682</c:v>
                </c:pt>
                <c:pt idx="1570">
                  <c:v>24.1922812871328</c:v>
                </c:pt>
                <c:pt idx="1571">
                  <c:v>24.2489061364383</c:v>
                </c:pt>
                <c:pt idx="1572">
                  <c:v>24.3056052369789</c:v>
                </c:pt>
                <c:pt idx="1573">
                  <c:v>24.3623847806679</c:v>
                </c:pt>
                <c:pt idx="1574">
                  <c:v>24.4192509797864</c:v>
                </c:pt>
                <c:pt idx="1575">
                  <c:v>24.4762100701532</c:v>
                </c:pt>
                <c:pt idx="1576">
                  <c:v>24.5332683143202</c:v>
                </c:pt>
                <c:pt idx="1577">
                  <c:v>24.5904320047959</c:v>
                </c:pt>
                <c:pt idx="1578">
                  <c:v>24.6477074673017</c:v>
                </c:pt>
                <c:pt idx="1579">
                  <c:v>24.7051010640643</c:v>
                </c:pt>
                <c:pt idx="1580">
                  <c:v>24.7626191971478</c:v>
                </c:pt>
                <c:pt idx="1581">
                  <c:v>24.8202683118296</c:v>
                </c:pt>
                <c:pt idx="1582">
                  <c:v>24.8780549000235</c:v>
                </c:pt>
                <c:pt idx="1583">
                  <c:v>24.9359855037551</c:v>
                </c:pt>
                <c:pt idx="1584">
                  <c:v>24.9940667186924</c:v>
                </c:pt>
                <c:pt idx="1585">
                  <c:v>25.0523051977362</c:v>
                </c:pt>
                <c:pt idx="1586">
                  <c:v>25.1107076546749</c:v>
                </c:pt>
                <c:pt idx="1587">
                  <c:v>25.1692808679074</c:v>
                </c:pt>
                <c:pt idx="1588">
                  <c:v>25.228031684239</c:v>
                </c:pt>
                <c:pt idx="1589">
                  <c:v>25.2869670227554</c:v>
                </c:pt>
                <c:pt idx="1590">
                  <c:v>25.3460938787777</c:v>
                </c:pt>
                <c:pt idx="1591">
                  <c:v>25.4054193279058</c:v>
                </c:pt>
                <c:pt idx="1592">
                  <c:v>25.4649505301529</c:v>
                </c:pt>
                <c:pt idx="1593">
                  <c:v>25.5246947341777</c:v>
                </c:pt>
                <c:pt idx="1594">
                  <c:v>25.5846592816185</c:v>
                </c:pt>
                <c:pt idx="1595">
                  <c:v>25.6448516115356</c:v>
                </c:pt>
                <c:pt idx="1596">
                  <c:v>25.7052792649673</c:v>
                </c:pt>
                <c:pt idx="1597">
                  <c:v>25.7659498896038</c:v>
                </c:pt>
                <c:pt idx="1598">
                  <c:v>25.8268712445881</c:v>
                </c:pt>
                <c:pt idx="1599">
                  <c:v>25.8880512054461</c:v>
                </c:pt>
                <c:pt idx="1600">
                  <c:v>25.9494977691554</c:v>
                </c:pt>
                <c:pt idx="1601">
                  <c:v>26.0112190593575</c:v>
                </c:pt>
                <c:pt idx="1602">
                  <c:v>26.07322333172</c:v>
                </c:pt>
                <c:pt idx="1603">
                  <c:v>26.1355189794572</c:v>
                </c:pt>
                <c:pt idx="1604">
                  <c:v>26.1981145390135</c:v>
                </c:pt>
                <c:pt idx="1605">
                  <c:v>26.2610186959192</c:v>
                </c:pt>
                <c:pt idx="1606">
                  <c:v>26.3242402908248</c:v>
                </c:pt>
                <c:pt idx="1607">
                  <c:v>26.3877883257213</c:v>
                </c:pt>
                <c:pt idx="1608">
                  <c:v>26.4516719703546</c:v>
                </c:pt>
                <c:pt idx="1609">
                  <c:v>26.5159005688418</c:v>
                </c:pt>
                <c:pt idx="1610">
                  <c:v>26.5804836464969</c:v>
                </c:pt>
                <c:pt idx="1611">
                  <c:v>26.6454309168747</c:v>
                </c:pt>
                <c:pt idx="1612">
                  <c:v>26.7107522890401</c:v>
                </c:pt>
                <c:pt idx="1613">
                  <c:v>26.7764578750725</c:v>
                </c:pt>
                <c:pt idx="1614">
                  <c:v>26.8425579978122</c:v>
                </c:pt>
                <c:pt idx="1615">
                  <c:v>26.9090631988573</c:v>
                </c:pt>
                <c:pt idx="1616">
                  <c:v>26.9759842468207</c:v>
                </c:pt>
                <c:pt idx="1617">
                  <c:v>27.0433321458536</c:v>
                </c:pt>
                <c:pt idx="1618">
                  <c:v>27.1111181444438</c:v>
                </c:pt>
                <c:pt idx="1619">
                  <c:v>27.1793537444978</c:v>
                </c:pt>
                <c:pt idx="1620">
                  <c:v>27.2480507107123</c:v>
                </c:pt>
                <c:pt idx="1621">
                  <c:v>27.3172210802427</c:v>
                </c:pt>
                <c:pt idx="1622">
                  <c:v>27.386877172675</c:v>
                </c:pt>
                <c:pt idx="1623">
                  <c:v>27.4570316003061</c:v>
                </c:pt>
                <c:pt idx="1624">
                  <c:v>27.5276972787376</c:v>
                </c:pt>
                <c:pt idx="1625">
                  <c:v>27.5988874377854</c:v>
                </c:pt>
                <c:pt idx="1626">
                  <c:v>27.6706156327085</c:v>
                </c:pt>
                <c:pt idx="1627">
                  <c:v>27.7428957557556</c:v>
                </c:pt>
                <c:pt idx="1628">
                  <c:v>27.8157420480291</c:v>
                </c:pt>
                <c:pt idx="1629">
                  <c:v>27.8891691116617</c:v>
                </c:pt>
                <c:pt idx="1630">
                  <c:v>27.9631919222975</c:v>
                </c:pt>
                <c:pt idx="1631">
                  <c:v>28.0378258418697</c:v>
                </c:pt>
                <c:pt idx="1632">
                  <c:v>28.113086631657</c:v>
                </c:pt>
                <c:pt idx="1633">
                  <c:v>28.1889904656025</c:v>
                </c:pt>
                <c:pt idx="1634">
                  <c:v>28.2655539438683</c:v>
                </c:pt>
                <c:pt idx="1635">
                  <c:v>28.3427941065958</c:v>
                </c:pt>
                <c:pt idx="1636">
                  <c:v>28.4207284478321</c:v>
                </c:pt>
                <c:pt idx="1637">
                  <c:v>28.4993749295759</c:v>
                </c:pt>
                <c:pt idx="1638">
                  <c:v>28.578751995883</c:v>
                </c:pt>
                <c:pt idx="1639">
                  <c:v>28.6588785869647</c:v>
                </c:pt>
                <c:pt idx="1640">
                  <c:v>28.7397741531921</c:v>
                </c:pt>
                <c:pt idx="1641">
                  <c:v>28.8214586689079</c:v>
                </c:pt>
                <c:pt idx="1642">
                  <c:v>28.903952645926</c:v>
                </c:pt>
                <c:pt idx="1643">
                  <c:v>28.9872771465792</c:v>
                </c:pt>
                <c:pt idx="1644">
                  <c:v>29.0714537961457</c:v>
                </c:pt>
                <c:pt idx="1645">
                  <c:v>29.1565047944617</c:v>
                </c:pt>
                <c:pt idx="1646">
                  <c:v>29.2424529264864</c:v>
                </c:pt>
                <c:pt idx="1647">
                  <c:v>29.3293215715504</c:v>
                </c:pt>
                <c:pt idx="1648">
                  <c:v>29.4171347109692</c:v>
                </c:pt>
                <c:pt idx="1649">
                  <c:v>29.5059169336511</c:v>
                </c:pt>
                <c:pt idx="1650">
                  <c:v>29.5956934392641</c:v>
                </c:pt>
                <c:pt idx="1651">
                  <c:v>29.6864900384553</c:v>
                </c:pt>
                <c:pt idx="1652">
                  <c:v>29.7783331495295</c:v>
                </c:pt>
                <c:pt idx="1653">
                  <c:v>29.8712497908962</c:v>
                </c:pt>
                <c:pt idx="1654">
                  <c:v>29.9652675684784</c:v>
                </c:pt>
                <c:pt idx="1655">
                  <c:v>30.0604146571425</c:v>
                </c:pt>
                <c:pt idx="1656">
                  <c:v>30.1567197750543</c:v>
                </c:pt>
                <c:pt idx="1657">
                  <c:v>30.2542121496844</c:v>
                </c:pt>
                <c:pt idx="1658">
                  <c:v>30.3529214739728</c:v>
                </c:pt>
                <c:pt idx="1659">
                  <c:v>30.4528778509215</c:v>
                </c:pt>
                <c:pt idx="1660">
                  <c:v>30.5541117245947</c:v>
                </c:pt>
                <c:pt idx="1661">
                  <c:v>30.6566537951722</c:v>
                </c:pt>
                <c:pt idx="1662">
                  <c:v>30.7605349153176</c:v>
                </c:pt>
                <c:pt idx="1663">
                  <c:v>30.8657859646669</c:v>
                </c:pt>
                <c:pt idx="1664">
                  <c:v>30.9724376987203</c:v>
                </c:pt>
                <c:pt idx="1665">
                  <c:v>31.080520567806</c:v>
                </c:pt>
                <c:pt idx="1666">
                  <c:v>31.1900645010751</c:v>
                </c:pt>
                <c:pt idx="1667">
                  <c:v>31.3010986496585</c:v>
                </c:pt>
                <c:pt idx="1668">
                  <c:v>31.413651082157</c:v>
                </c:pt>
                <c:pt idx="1669">
                  <c:v>31.5277484245244</c:v>
                </c:pt>
                <c:pt idx="1670">
                  <c:v>31.6434154351136</c:v>
                </c:pt>
                <c:pt idx="1671">
                  <c:v>31.7606745041734</c:v>
                </c:pt>
                <c:pt idx="1672">
                  <c:v>31.8795450653671</c:v>
                </c:pt>
                <c:pt idx="1673">
                  <c:v>32.0000429049266</c:v>
                </c:pt>
                <c:pt idx="1674">
                  <c:v>32.1221793518103</c:v>
                </c:pt>
                <c:pt idx="1675">
                  <c:v>32.2459603296879</c:v>
                </c:pt>
                <c:pt idx="1676">
                  <c:v>32.3713852487066</c:v>
                </c:pt>
                <c:pt idx="1677">
                  <c:v>32.4984457117821</c:v>
                </c:pt>
                <c:pt idx="1678">
                  <c:v>32.6271240066173</c:v>
                </c:pt>
                <c:pt idx="1679">
                  <c:v>32.7573913507993</c:v>
                </c:pt>
                <c:pt idx="1680">
                  <c:v>32.8892058532211</c:v>
                </c:pt>
                <c:pt idx="1681">
                  <c:v>33.0225101508351</c:v>
                </c:pt>
                <c:pt idx="1682">
                  <c:v>33.1572286755486</c:v>
                </c:pt>
                <c:pt idx="1683">
                  <c:v>33.2932645022044</c:v>
                </c:pt>
                <c:pt idx="1684">
                  <c:v>33.4304957254844</c:v>
                </c:pt>
                <c:pt idx="1685">
                  <c:v>33.5687713118421</c:v>
                </c:pt>
                <c:pt idx="1686">
                  <c:v>33.7079063730805</c:v>
                </c:pt>
                <c:pt idx="1687">
                  <c:v>33.8476768121441</c:v>
                </c:pt>
                <c:pt idx="1688">
                  <c:v>33.987813300674</c:v>
                </c:pt>
                <c:pt idx="1689">
                  <c:v>34.1279945639894</c:v>
                </c:pt>
                <c:pt idx="1690">
                  <c:v>34.267839975053</c:v>
                </c:pt>
                <c:pt idx="1691">
                  <c:v>34.4069014979304</c:v>
                </c:pt>
                <c:pt idx="1692">
                  <c:v>34.5446550770977</c:v>
                </c:pt>
                <c:pt idx="1693">
                  <c:v>34.6804916459388</c:v>
                </c:pt>
                <c:pt idx="1694">
                  <c:v>34.8137080301728</c:v>
                </c:pt>
                <c:pt idx="1695">
                  <c:v>34.9434981533021</c:v>
                </c:pt>
                <c:pt idx="1696">
                  <c:v>35.0689451131548</c:v>
                </c:pt>
                <c:pt idx="1697">
                  <c:v>35.1890148892079</c:v>
                </c:pt>
                <c:pt idx="1698">
                  <c:v>35.3025526516281</c:v>
                </c:pt>
                <c:pt idx="1699">
                  <c:v>35.4082828579592</c:v>
                </c:pt>
                <c:pt idx="1700">
                  <c:v>35.5048145134775</c:v>
                </c:pt>
                <c:pt idx="1701">
                  <c:v>35.5906530939461</c:v>
                </c:pt>
                <c:pt idx="1702">
                  <c:v>35.664220628894</c:v>
                </c:pt>
                <c:pt idx="1703">
                  <c:v>35.7238852547674</c:v>
                </c:pt>
                <c:pt idx="1704">
                  <c:v>35.7680011075362</c:v>
                </c:pt>
                <c:pt idx="1705">
                  <c:v>35.7949586908265</c:v>
                </c:pt>
                <c:pt idx="1706">
                  <c:v>35.8032448296098</c:v>
                </c:pt>
                <c:pt idx="1707">
                  <c:v>35.7915100701434</c:v>
                </c:pt>
                <c:pt idx="1708">
                  <c:v>35.7586400662387</c:v>
                </c:pt>
                <c:pt idx="1709">
                  <c:v>35.7038263280428</c:v>
                </c:pt>
                <c:pt idx="1710">
                  <c:v>35.6266309691991</c:v>
                </c:pt>
                <c:pt idx="1711">
                  <c:v>35.5270400105106</c:v>
                </c:pt>
                <c:pt idx="1712">
                  <c:v>35.4055005140086</c:v>
                </c:pt>
                <c:pt idx="1713">
                  <c:v>35.2629382890139</c:v>
                </c:pt>
                <c:pt idx="1714">
                  <c:v>35.1007548995422</c:v>
                </c:pt>
                <c:pt idx="1715">
                  <c:v>34.9208048342639</c:v>
                </c:pt>
                <c:pt idx="1716">
                  <c:v>34.7253555557674</c:v>
                </c:pt>
                <c:pt idx="1717">
                  <c:v>34.5170343786933</c:v>
                </c:pt>
                <c:pt idx="1718">
                  <c:v>34.2987665565877</c:v>
                </c:pt>
                <c:pt idx="1719">
                  <c:v>34.073708607333</c:v>
                </c:pt>
                <c:pt idx="1720">
                  <c:v>33.8451799738907</c:v>
                </c:pt>
                <c:pt idx="1721">
                  <c:v>33.6165949026153</c:v>
                </c:pt>
                <c:pt idx="1722">
                  <c:v>33.3913952490174</c:v>
                </c:pt>
                <c:pt idx="1723">
                  <c:v>33.1729840653534</c:v>
                </c:pt>
                <c:pt idx="1724">
                  <c:v>32.9646594661726</c:v>
                </c:pt>
                <c:pt idx="1725">
                  <c:v>32.7695484710728</c:v>
                </c:pt>
                <c:pt idx="1726">
                  <c:v>32.5905412318898</c:v>
                </c:pt>
                <c:pt idx="1727">
                  <c:v>32.430227096431</c:v>
                </c:pt>
                <c:pt idx="1728">
                  <c:v>32.290835086935</c:v>
                </c:pt>
                <c:pt idx="1729">
                  <c:v>32.1741822777852</c:v>
                </c:pt>
                <c:pt idx="1730">
                  <c:v>32.0816339598956</c:v>
                </c:pt>
                <c:pt idx="1731">
                  <c:v>32.0140791852219</c:v>
                </c:pt>
                <c:pt idx="1732">
                  <c:v>31.9719242542444</c:v>
                </c:pt>
                <c:pt idx="1733">
                  <c:v>31.9551050835618</c:v>
                </c:pt>
                <c:pt idx="1734">
                  <c:v>31.9631174668877</c:v>
                </c:pt>
                <c:pt idx="1735">
                  <c:v>31.995062396011</c:v>
                </c:pt>
                <c:pt idx="1736">
                  <c:v>32.0497021885888</c:v>
                </c:pt>
                <c:pt idx="1737">
                  <c:v>32.1255224094764</c:v>
                </c:pt>
                <c:pt idx="1738">
                  <c:v>32.2207945381686</c:v>
                </c:pt>
                <c:pt idx="1739">
                  <c:v>32.3336349345826</c:v>
                </c:pt>
                <c:pt idx="1740">
                  <c:v>32.4620566894222</c:v>
                </c:pt>
                <c:pt idx="1741">
                  <c:v>32.6040121771428</c:v>
                </c:pt>
                <c:pt idx="1742">
                  <c:v>32.7574253475996</c:v>
                </c:pt>
                <c:pt idx="1743">
                  <c:v>32.9202138484334</c:v>
                </c:pt>
                <c:pt idx="1744">
                  <c:v>33.0903018896236</c:v>
                </c:pt>
                <c:pt idx="1745">
                  <c:v>33.2656253335467</c:v>
                </c:pt>
                <c:pt idx="1746">
                  <c:v>33.444130850042</c:v>
                </c:pt>
                <c:pt idx="1747">
                  <c:v>33.6237711678766</c:v>
                </c:pt>
                <c:pt idx="1748">
                  <c:v>33.8024985337284</c:v>
                </c:pt>
                <c:pt idx="1749">
                  <c:v>33.9782584968628</c:v>
                </c:pt>
                <c:pt idx="1750">
                  <c:v>34.1489860915919</c:v>
                </c:pt>
                <c:pt idx="1751">
                  <c:v>34.3126063873406</c:v>
                </c:pt>
                <c:pt idx="1752">
                  <c:v>34.4670411938288</c:v>
                </c:pt>
                <c:pt idx="1753">
                  <c:v>34.610223407533</c:v>
                </c:pt>
                <c:pt idx="1754">
                  <c:v>34.7401200213446</c:v>
                </c:pt>
                <c:pt idx="1755">
                  <c:v>34.8547641584306</c:v>
                </c:pt>
                <c:pt idx="1756">
                  <c:v>34.9522956284988</c:v>
                </c:pt>
                <c:pt idx="1757">
                  <c:v>35.0310084820587</c:v>
                </c:pt>
                <c:pt idx="1758">
                  <c:v>35.0894029577931</c:v>
                </c:pt>
                <c:pt idx="1759">
                  <c:v>35.1262382402996</c:v>
                </c:pt>
                <c:pt idx="1760">
                  <c:v>35.1405817671511</c:v>
                </c:pt>
                <c:pt idx="1761">
                  <c:v>35.1318506352623</c:v>
                </c:pt>
                <c:pt idx="1762">
                  <c:v>35.0998410828736</c:v>
                </c:pt>
                <c:pt idx="1763">
                  <c:v>35.0447430756129</c:v>
                </c:pt>
                <c:pt idx="1764">
                  <c:v>34.9671385732718</c:v>
                </c:pt>
                <c:pt idx="1765">
                  <c:v>34.8679838454317</c:v>
                </c:pt>
                <c:pt idx="1766">
                  <c:v>34.7485779221403</c:v>
                </c:pt>
                <c:pt idx="1767">
                  <c:v>34.6105206115554</c:v>
                </c:pt>
                <c:pt idx="1768">
                  <c:v>34.4556642841006</c:v>
                </c:pt>
                <c:pt idx="1769">
                  <c:v>34.2860637422804</c:v>
                </c:pt>
                <c:pt idx="1770">
                  <c:v>34.1039280312789</c:v>
                </c:pt>
                <c:pt idx="1771">
                  <c:v>33.9115771581995</c:v>
                </c:pt>
                <c:pt idx="1772">
                  <c:v>33.7114055778054</c:v>
                </c:pt>
                <c:pt idx="1773">
                  <c:v>33.5058531585504</c:v>
                </c:pt>
                <c:pt idx="1774">
                  <c:v>33.2973833075657</c:v>
                </c:pt>
                <c:pt idx="1775">
                  <c:v>33.0884670930003</c:v>
                </c:pt>
                <c:pt idx="1776">
                  <c:v>32.8815715922828</c:v>
                </c:pt>
                <c:pt idx="1777">
                  <c:v>32.679150317588</c:v>
                </c:pt>
                <c:pt idx="1778">
                  <c:v>32.4836334125122</c:v>
                </c:pt>
                <c:pt idx="1779">
                  <c:v>32.2974153644354</c:v>
                </c:pt>
                <c:pt idx="1780">
                  <c:v>32.1228382307719</c:v>
                </c:pt>
                <c:pt idx="1781">
                  <c:v>31.9621688367017</c:v>
                </c:pt>
                <c:pt idx="1782">
                  <c:v>31.817569067446</c:v>
                </c:pt>
                <c:pt idx="1783">
                  <c:v>31.6910592335064</c:v>
                </c:pt>
                <c:pt idx="1784">
                  <c:v>31.5844754834139</c:v>
                </c:pt>
                <c:pt idx="1785">
                  <c:v>31.4994232812893</c:v>
                </c:pt>
                <c:pt idx="1786">
                  <c:v>31.437229916001</c:v>
                </c:pt>
                <c:pt idx="1787">
                  <c:v>31.3988996956248</c:v>
                </c:pt>
                <c:pt idx="1788">
                  <c:v>31.3850757411484</c:v>
                </c:pt>
                <c:pt idx="1789">
                  <c:v>31.3960120143256</c:v>
                </c:pt>
                <c:pt idx="1790">
                  <c:v>31.4315583789227</c:v>
                </c:pt>
                <c:pt idx="1791">
                  <c:v>31.4911602035413</c:v>
                </c:pt>
                <c:pt idx="1792">
                  <c:v>31.5738724770039</c:v>
                </c:pt>
                <c:pt idx="1793">
                  <c:v>31.6783868954341</c:v>
                </c:pt>
                <c:pt idx="1794">
                  <c:v>31.8030691600222</c:v>
                </c:pt>
                <c:pt idx="1795">
                  <c:v>31.9460029913347</c:v>
                </c:pt>
                <c:pt idx="1796">
                  <c:v>32.1050372024826</c:v>
                </c:pt>
                <c:pt idx="1797">
                  <c:v>32.2778325431971</c:v>
                </c:pt>
                <c:pt idx="1798">
                  <c:v>32.4619058010902</c:v>
                </c:pt>
                <c:pt idx="1799">
                  <c:v>32.6546696481817</c:v>
                </c:pt>
                <c:pt idx="1800">
                  <c:v>32.8534677697712</c:v>
                </c:pt>
                <c:pt idx="1801">
                  <c:v>33.0556057572271</c:v>
                </c:pt>
                <c:pt idx="1802">
                  <c:v>33.2583789778388</c:v>
                </c:pt>
                <c:pt idx="1803">
                  <c:v>33.4590990881976</c:v>
                </c:pt>
                <c:pt idx="1804">
                  <c:v>33.6551210022077</c:v>
                </c:pt>
                <c:pt idx="1805">
                  <c:v>33.8438719563695</c:v>
                </c:pt>
                <c:pt idx="1806">
                  <c:v>34.0228838506867</c:v>
                </c:pt>
                <c:pt idx="1807">
                  <c:v>34.1898293243061</c:v>
                </c:pt>
                <c:pt idx="1808">
                  <c:v>34.3425611217041</c:v>
                </c:pt>
                <c:pt idx="1809">
                  <c:v>34.4791533245934</c:v>
                </c:pt>
                <c:pt idx="1810">
                  <c:v>34.5979421079937</c:v>
                </c:pt>
                <c:pt idx="1811">
                  <c:v>34.6975629878032</c:v>
                </c:pt>
                <c:pt idx="1812">
                  <c:v>34.7769812152553</c:v>
                </c:pt>
                <c:pt idx="1813">
                  <c:v>34.83551214783</c:v>
                </c:pt>
                <c:pt idx="1814">
                  <c:v>34.8728291101634</c:v>
                </c:pt>
                <c:pt idx="1815">
                  <c:v>34.8889573723053</c:v>
                </c:pt>
                <c:pt idx="1816">
                  <c:v>34.8842542403286</c:v>
                </c:pt>
                <c:pt idx="1817">
                  <c:v>34.8593766412994</c:v>
                </c:pt>
                <c:pt idx="1818">
                  <c:v>34.8152387548913</c:v>
                </c:pt>
                <c:pt idx="1819">
                  <c:v>34.7529630172433</c:v>
                </c:pt>
                <c:pt idx="1820">
                  <c:v>34.6738281132086</c:v>
                </c:pt>
                <c:pt idx="1821">
                  <c:v>34.5792173981641</c:v>
                </c:pt>
                <c:pt idx="1822">
                  <c:v>34.4705706503255</c:v>
                </c:pt>
                <c:pt idx="1823">
                  <c:v>34.3493412945838</c:v>
                </c:pt>
                <c:pt idx="1824">
                  <c:v>34.2169604097445</c:v>
                </c:pt>
                <c:pt idx="1825">
                  <c:v>34.0748080568992</c:v>
                </c:pt>
                <c:pt idx="1826">
                  <c:v>33.9241918292887</c:v>
                </c:pt>
                <c:pt idx="1827">
                  <c:v>33.7663320608631</c:v>
                </c:pt>
                <c:pt idx="1828">
                  <c:v>33.6023528429335</c:v>
                </c:pt>
                <c:pt idx="1829">
                  <c:v>33.4332778629368</c:v>
                </c:pt>
                <c:pt idx="1830">
                  <c:v>33.2600300616966</c:v>
                </c:pt>
                <c:pt idx="1831">
                  <c:v>33.0834341687701</c:v>
                </c:pt>
                <c:pt idx="1832">
                  <c:v>32.9042212864994</c:v>
                </c:pt>
                <c:pt idx="1833">
                  <c:v>32.7230348261013</c:v>
                </c:pt>
                <c:pt idx="1834">
                  <c:v>32.5404372348466</c:v>
                </c:pt>
                <c:pt idx="1835">
                  <c:v>32.3569170802112</c:v>
                </c:pt>
                <c:pt idx="1836">
                  <c:v>32.1728961683072</c:v>
                </c:pt>
                <c:pt idx="1837">
                  <c:v>31.9887364673095</c:v>
                </c:pt>
                <c:pt idx="1838">
                  <c:v>31.8047466819401</c:v>
                </c:pt>
                <c:pt idx="1839">
                  <c:v>31.6211883838181</c:v>
                </c:pt>
                <c:pt idx="1840">
                  <c:v>31.4382816468321</c:v>
                </c:pt>
                <c:pt idx="1841">
                  <c:v>31.2562101690906</c:v>
                </c:pt>
                <c:pt idx="1842">
                  <c:v>31.0751258857973</c:v>
                </c:pt>
                <c:pt idx="1843">
                  <c:v>30.8951530927269</c:v>
                </c:pt>
                <c:pt idx="1844">
                  <c:v>30.7163921096178</c:v>
                </c:pt>
                <c:pt idx="1845">
                  <c:v>30.5389225182589</c:v>
                </c:pt>
                <c:pt idx="1846">
                  <c:v>30.3628060124834</c:v>
                </c:pt>
                <c:pt idx="1847">
                  <c:v>30.1880888976245</c:v>
                </c:pt>
                <c:pt idx="1848">
                  <c:v>30.0148042759196</c:v>
                </c:pt>
                <c:pt idx="1849">
                  <c:v>29.8429739523932</c:v>
                </c:pt>
                <c:pt idx="1850">
                  <c:v>29.6726100932723</c:v>
                </c:pt>
                <c:pt idx="1851">
                  <c:v>29.5037166662646</c:v>
                </c:pt>
                <c:pt idx="1852">
                  <c:v>29.3362906892378</c:v>
                </c:pt>
                <c:pt idx="1853">
                  <c:v>29.1703233111011</c:v>
                </c:pt>
                <c:pt idx="1854">
                  <c:v>29.0058007460904</c:v>
                </c:pt>
                <c:pt idx="1855">
                  <c:v>28.8427050802307</c:v>
                </c:pt>
                <c:pt idx="1856">
                  <c:v>28.6810149665314</c:v>
                </c:pt>
                <c:pt idx="1857">
                  <c:v>28.5207062234555</c:v>
                </c:pt>
                <c:pt idx="1858">
                  <c:v>28.361752349399</c:v>
                </c:pt>
                <c:pt idx="1859">
                  <c:v>28.2041249643071</c:v>
                </c:pt>
                <c:pt idx="1860">
                  <c:v>28.047794188131</c:v>
                </c:pt>
                <c:pt idx="1861">
                  <c:v>27.8927289645717</c:v>
                </c:pt>
                <c:pt idx="1862">
                  <c:v>27.7388973374562</c:v>
                </c:pt>
                <c:pt idx="1863">
                  <c:v>27.5862666861253</c:v>
                </c:pt>
                <c:pt idx="1864">
                  <c:v>27.434803925371</c:v>
                </c:pt>
                <c:pt idx="1865">
                  <c:v>27.2844756747237</c:v>
                </c:pt>
                <c:pt idx="1866">
                  <c:v>27.1352484012559</c:v>
                </c:pt>
                <c:pt idx="1867">
                  <c:v>26.9870885395071</c:v>
                </c:pt>
                <c:pt idx="1868">
                  <c:v>26.8399625916578</c:v>
                </c:pt>
                <c:pt idx="1869">
                  <c:v>26.6938372106589</c:v>
                </c:pt>
                <c:pt idx="1870">
                  <c:v>26.548679268662</c:v>
                </c:pt>
                <c:pt idx="1871">
                  <c:v>26.4044559127806</c:v>
                </c:pt>
                <c:pt idx="1872">
                  <c:v>26.2611346099394</c:v>
                </c:pt>
                <c:pt idx="1873">
                  <c:v>26.1186831823348</c:v>
                </c:pt>
                <c:pt idx="1874">
                  <c:v>25.9770698348239</c:v>
                </c:pt>
                <c:pt idx="1875">
                  <c:v>25.8362631753805</c:v>
                </c:pt>
                <c:pt idx="1876">
                  <c:v>25.6962322296078</c:v>
                </c:pt>
                <c:pt idx="1877">
                  <c:v>25.5569464501597</c:v>
                </c:pt>
                <c:pt idx="1878">
                  <c:v>25.4183757218086</c:v>
                </c:pt>
                <c:pt idx="1879">
                  <c:v>25.2804903628019</c:v>
                </c:pt>
                <c:pt idx="1880">
                  <c:v>25.1432611230542</c:v>
                </c:pt>
                <c:pt idx="1881">
                  <c:v>25.0066591796567</c:v>
                </c:pt>
                <c:pt idx="1882">
                  <c:v>24.8706561301129</c:v>
                </c:pt>
                <c:pt idx="1883">
                  <c:v>24.7352239836564</c:v>
                </c:pt>
                <c:pt idx="1884">
                  <c:v>24.6003351509577</c:v>
                </c:pt>
                <c:pt idx="1885">
                  <c:v>24.4659624324822</c:v>
                </c:pt>
                <c:pt idx="1886">
                  <c:v>24.3320790057275</c:v>
                </c:pt>
                <c:pt idx="1887">
                  <c:v>24.1986584115337</c:v>
                </c:pt>
                <c:pt idx="1888">
                  <c:v>24.0656745396325</c:v>
                </c:pt>
                <c:pt idx="1889">
                  <c:v>23.9331016135799</c:v>
                </c:pt>
                <c:pt idx="1890">
                  <c:v>23.8009141751911</c:v>
                </c:pt>
                <c:pt idx="1891">
                  <c:v>23.6690870685828</c:v>
                </c:pt>
                <c:pt idx="1892">
                  <c:v>23.5375954239091</c:v>
                </c:pt>
                <c:pt idx="1893">
                  <c:v>23.4064146408649</c:v>
                </c:pt>
                <c:pt idx="1894">
                  <c:v>23.2755203720187</c:v>
                </c:pt>
                <c:pt idx="1895">
                  <c:v>23.144888506025</c:v>
                </c:pt>
                <c:pt idx="1896">
                  <c:v>23.0144951507606</c:v>
                </c:pt>
                <c:pt idx="1897">
                  <c:v>22.8843166164165</c:v>
                </c:pt>
                <c:pt idx="1898">
                  <c:v>22.7543293985764</c:v>
                </c:pt>
                <c:pt idx="1899">
                  <c:v>22.6245101613006</c:v>
                </c:pt>
                <c:pt idx="1900">
                  <c:v>22.4948357202356</c:v>
                </c:pt>
                <c:pt idx="1901">
                  <c:v>22.3652830257597</c:v>
                </c:pt>
                <c:pt idx="1902">
                  <c:v>22.2358291461747</c:v>
                </c:pt>
                <c:pt idx="1903">
                  <c:v>22.1064512509497</c:v>
                </c:pt>
                <c:pt idx="1904">
                  <c:v>21.9771265940213</c:v>
                </c:pt>
                <c:pt idx="1905">
                  <c:v>21.8478324971491</c:v>
                </c:pt>
                <c:pt idx="1906">
                  <c:v>21.7185463333284</c:v>
                </c:pt>
                <c:pt idx="1907">
                  <c:v>21.5892455102573</c:v>
                </c:pt>
                <c:pt idx="1908">
                  <c:v>21.4599074538541</c:v>
                </c:pt>
                <c:pt idx="1909">
                  <c:v>21.3305095918224</c:v>
                </c:pt>
                <c:pt idx="1910">
                  <c:v>21.2010293372589</c:v>
                </c:pt>
                <c:pt idx="1911">
                  <c:v>21.0714440722986</c:v>
                </c:pt>
                <c:pt idx="1912">
                  <c:v>20.9417311317933</c:v>
                </c:pt>
                <c:pt idx="1913">
                  <c:v>20.8118677870182</c:v>
                </c:pt>
                <c:pt idx="1914">
                  <c:v>20.6818312294018</c:v>
                </c:pt>
                <c:pt idx="1915">
                  <c:v>20.5515985542775</c:v>
                </c:pt>
                <c:pt idx="1916">
                  <c:v>20.4211467446509</c:v>
                </c:pt>
                <c:pt idx="1917">
                  <c:v>20.2904526549846</c:v>
                </c:pt>
                <c:pt idx="1918">
                  <c:v>20.159492994998</c:v>
                </c:pt>
                <c:pt idx="1919">
                  <c:v>20.0282443134852</c:v>
                </c:pt>
                <c:pt idx="1920">
                  <c:v>19.8966829821533</c:v>
                </c:pt>
                <c:pt idx="1921">
                  <c:v>19.7647851794886</c:v>
                </c:pt>
                <c:pt idx="1922">
                  <c:v>19.6325268746589</c:v>
                </c:pt>
                <c:pt idx="1923">
                  <c:v>19.4998838114638</c:v>
                </c:pt>
                <c:pt idx="1924">
                  <c:v>19.3668314923491</c:v>
                </c:pt>
                <c:pt idx="1925">
                  <c:v>19.2333451625057</c:v>
                </c:pt>
                <c:pt idx="1926">
                  <c:v>19.0993997940776</c:v>
                </c:pt>
                <c:pt idx="1927">
                  <c:v>18.9649700705086</c:v>
                </c:pt>
                <c:pt idx="1928">
                  <c:v>18.8300303710667</c:v>
                </c:pt>
                <c:pt idx="1929">
                  <c:v>18.6945547555874</c:v>
                </c:pt>
                <c:pt idx="1930">
                  <c:v>18.5585169494906</c:v>
                </c:pt>
                <c:pt idx="1931">
                  <c:v>18.4218903291302</c:v>
                </c:pt>
                <c:pt idx="1932">
                  <c:v>18.2846479075497</c:v>
                </c:pt>
                <c:pt idx="1933">
                  <c:v>18.1467623207277</c:v>
                </c:pt>
                <c:pt idx="1934">
                  <c:v>18.0082058144095</c:v>
                </c:pt>
                <c:pt idx="1935">
                  <c:v>17.8689502316394</c:v>
                </c:pt>
                <c:pt idx="1936">
                  <c:v>17.7289670011233</c:v>
                </c:pt>
                <c:pt idx="1937">
                  <c:v>17.588227126572</c:v>
                </c:pt>
                <c:pt idx="1938">
                  <c:v>17.4467011771985</c:v>
                </c:pt>
                <c:pt idx="1939">
                  <c:v>17.3043592795692</c:v>
                </c:pt>
                <c:pt idx="1940">
                  <c:v>17.1611711110351</c:v>
                </c:pt>
                <c:pt idx="1941">
                  <c:v>17.0171058950071</c:v>
                </c:pt>
                <c:pt idx="1942">
                  <c:v>16.8721323983731</c:v>
                </c:pt>
                <c:pt idx="1943">
                  <c:v>16.7262189314001</c:v>
                </c:pt>
                <c:pt idx="1944">
                  <c:v>16.5793333505133</c:v>
                </c:pt>
                <c:pt idx="1945">
                  <c:v>16.4314430643991</c:v>
                </c:pt>
                <c:pt idx="1946">
                  <c:v>16.2825150439439</c:v>
                </c:pt>
                <c:pt idx="1947">
                  <c:v>16.1325158365898</c:v>
                </c:pt>
                <c:pt idx="1948">
                  <c:v>15.9814115857756</c:v>
                </c:pt>
                <c:pt idx="1949">
                  <c:v>15.8291680562205</c:v>
                </c:pt>
                <c:pt idx="1950">
                  <c:v>15.6757506659151</c:v>
                </c:pt>
                <c:pt idx="1951">
                  <c:v>15.52112452581</c:v>
                </c:pt>
                <c:pt idx="1952">
                  <c:v>15.3652544883232</c:v>
                </c:pt>
                <c:pt idx="1953">
                  <c:v>15.2081052059506</c:v>
                </c:pt>
                <c:pt idx="1954">
                  <c:v>15.0496412014404</c:v>
                </c:pt>
                <c:pt idx="1955">
                  <c:v>14.8898269511932</c:v>
                </c:pt>
                <c:pt idx="1956">
                  <c:v>14.7286269837853</c:v>
                </c:pt>
                <c:pt idx="1957">
                  <c:v>14.5660059957696</c:v>
                </c:pt>
                <c:pt idx="1958">
                  <c:v>14.4019289872105</c:v>
                </c:pt>
                <c:pt idx="1959">
                  <c:v>14.2363614197434</c:v>
                </c:pt>
                <c:pt idx="1960">
                  <c:v>14.069269400334</c:v>
                </c:pt>
                <c:pt idx="1961">
                  <c:v>13.9006198943421</c:v>
                </c:pt>
                <c:pt idx="1962">
                  <c:v>13.7303809719833</c:v>
                </c:pt>
                <c:pt idx="1963">
                  <c:v>13.5585220928311</c:v>
                </c:pt>
                <c:pt idx="1964">
                  <c:v>13.3850144336161</c:v>
                </c:pt>
                <c:pt idx="1965">
                  <c:v>13.2098312652686</c:v>
                </c:pt>
                <c:pt idx="1966">
                  <c:v>13.0329483859215</c:v>
                </c:pt>
                <c:pt idx="1967">
                  <c:v>12.8543446174369</c:v>
                </c:pt>
                <c:pt idx="1968">
                  <c:v>12.6740023739627</c:v>
                </c:pt>
                <c:pt idx="1969">
                  <c:v>12.491908312049</c:v>
                </c:pt>
                <c:pt idx="1970">
                  <c:v>12.3080540729669</c:v>
                </c:pt>
                <c:pt idx="1971">
                  <c:v>12.1224371290609</c:v>
                </c:pt>
                <c:pt idx="1972">
                  <c:v>11.9350617472199</c:v>
                </c:pt>
                <c:pt idx="1973">
                  <c:v>11.7459400838444</c:v>
                </c:pt>
                <c:pt idx="1974">
                  <c:v>11.5550934269798</c:v>
                </c:pt>
                <c:pt idx="1975">
                  <c:v>11.3625536025291</c:v>
                </c:pt>
                <c:pt idx="1976">
                  <c:v>11.1683645625661</c:v>
                </c:pt>
                <c:pt idx="1977">
                  <c:v>10.9725841746378</c:v>
                </c:pt>
                <c:pt idx="1978">
                  <c:v>10.7752862314294</c:v>
                </c:pt>
                <c:pt idx="1979">
                  <c:v>10.5765627000624</c:v>
                </c:pt>
                <c:pt idx="1980">
                  <c:v>10.3765262293569</c:v>
                </c:pt>
                <c:pt idx="1981">
                  <c:v>10.1753129312872</c:v>
                </c:pt>
                <c:pt idx="1982">
                  <c:v>9.97308544917536</c:v>
                </c:pt>
                <c:pt idx="1983">
                  <c:v>9.77003631940027</c:v>
                </c:pt>
                <c:pt idx="1984">
                  <c:v>9.56639162492952</c:v>
                </c:pt>
                <c:pt idx="1985">
                  <c:v>9.36241492709545</c:v>
                </c:pt>
                <c:pt idx="1986">
                  <c:v>9.15841144592108</c:v>
                </c:pt>
                <c:pt idx="1987">
                  <c:v>8.95473243808963</c:v>
                </c:pt>
                <c:pt idx="1988">
                  <c:v>8.75177969447816</c:v>
                </c:pt>
                <c:pt idx="1989">
                  <c:v>8.5500100452929</c:v>
                </c:pt>
                <c:pt idx="1990">
                  <c:v>8.34993971978002</c:v>
                </c:pt>
                <c:pt idx="1991">
                  <c:v>8.1521483592842</c:v>
                </c:pt>
                <c:pt idx="1992">
                  <c:v>7.95728242796428</c:v>
                </c:pt>
                <c:pt idx="1993">
                  <c:v>7.76605770683986</c:v>
                </c:pt>
                <c:pt idx="1994">
                  <c:v>7.57926049778825</c:v>
                </c:pt>
                <c:pt idx="1995">
                  <c:v>7.39774711047238</c:v>
                </c:pt>
                <c:pt idx="1996">
                  <c:v>7.2224411651914</c:v>
                </c:pt>
                <c:pt idx="1997">
                  <c:v>7.05432822896894</c:v>
                </c:pt>
                <c:pt idx="1998">
                  <c:v>6.89444732347488</c:v>
                </c:pt>
                <c:pt idx="1999">
                  <c:v>6.74387891505452</c:v>
                </c:pt>
                <c:pt idx="2000">
                  <c:v>6.60372913139261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38386"/>
        <c:axId val="22752766"/>
      </c:lineChart>
      <c:catAx>
        <c:axId val="7138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52766"/>
        <c:crosses val="autoZero"/>
        <c:auto val="1"/>
        <c:lblAlgn val="ctr"/>
        <c:lblOffset val="100"/>
        <c:noMultiLvlLbl val="0"/>
      </c:catAx>
      <c:valAx>
        <c:axId val="22752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 [dB]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8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50760</xdr:rowOff>
    </xdr:from>
    <xdr:to>
      <xdr:col>23</xdr:col>
      <xdr:colOff>403920</xdr:colOff>
      <xdr:row>23</xdr:row>
      <xdr:rowOff>30600</xdr:rowOff>
    </xdr:to>
    <xdr:graphicFrame>
      <xdr:nvGraphicFramePr>
        <xdr:cNvPr id="0" name="Chart 1"/>
        <xdr:cNvGraphicFramePr/>
      </xdr:nvGraphicFramePr>
      <xdr:xfrm>
        <a:off x="6036480" y="952560"/>
        <a:ext cx="1331460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</v>
      </c>
      <c r="B5" s="5"/>
      <c r="C5" s="5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3</v>
      </c>
      <c r="B6" s="7" t="s">
        <v>4</v>
      </c>
      <c r="C6" s="8" t="s">
        <v>5</v>
      </c>
      <c r="D6" s="4"/>
      <c r="E6" s="4"/>
      <c r="F6" s="4"/>
      <c r="G6" s="4"/>
      <c r="H6" s="4"/>
    </row>
    <row r="7" customFormat="false" ht="17.15" hidden="false" customHeight="false" outlineLevel="0" collapsed="false">
      <c r="A7" s="6" t="s">
        <v>6</v>
      </c>
      <c r="B7" s="7" t="s">
        <v>7</v>
      </c>
      <c r="C7" s="8" t="s">
        <v>8</v>
      </c>
      <c r="D7" s="4"/>
      <c r="E7" s="4"/>
      <c r="F7" s="4"/>
      <c r="G7" s="4"/>
      <c r="H7" s="4"/>
    </row>
    <row r="8" customFormat="false" ht="15" hidden="false" customHeight="false" outlineLevel="0" collapsed="false">
      <c r="A8" s="6" t="s">
        <v>9</v>
      </c>
      <c r="B8" s="7" t="s">
        <v>10</v>
      </c>
      <c r="C8" s="8" t="s">
        <v>11</v>
      </c>
      <c r="D8" s="4"/>
      <c r="E8" s="4"/>
      <c r="F8" s="4"/>
      <c r="G8" s="4"/>
      <c r="H8" s="4"/>
    </row>
    <row r="9" customFormat="false" ht="15" hidden="false" customHeight="false" outlineLevel="0" collapsed="false">
      <c r="A9" s="6" t="s">
        <v>12</v>
      </c>
      <c r="B9" s="7" t="s">
        <v>13</v>
      </c>
      <c r="C9" s="8" t="s">
        <v>14</v>
      </c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15</v>
      </c>
      <c r="B11" s="5"/>
      <c r="C11" s="5"/>
      <c r="D11" s="4"/>
      <c r="E11" s="4"/>
      <c r="F11" s="4"/>
      <c r="G11" s="4"/>
      <c r="H11" s="4"/>
    </row>
    <row r="12" customFormat="false" ht="17.15" hidden="false" customHeight="false" outlineLevel="0" collapsed="false">
      <c r="A12" s="6" t="s">
        <v>16</v>
      </c>
      <c r="B12" s="7" t="s">
        <v>17</v>
      </c>
      <c r="C12" s="8" t="s">
        <v>18</v>
      </c>
      <c r="D12" s="4"/>
      <c r="E12" s="4"/>
      <c r="F12" s="4"/>
      <c r="G12" s="4"/>
      <c r="H12" s="4"/>
    </row>
    <row r="13" customFormat="false" ht="15" hidden="false" customHeight="false" outlineLevel="0" collapsed="false">
      <c r="A13" s="6" t="s">
        <v>19</v>
      </c>
      <c r="B13" s="7" t="s">
        <v>20</v>
      </c>
      <c r="C13" s="8" t="s">
        <v>21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A14" s="6" t="s">
        <v>22</v>
      </c>
      <c r="B14" s="7" t="s">
        <v>23</v>
      </c>
      <c r="C14" s="8" t="s">
        <v>24</v>
      </c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 t="s">
        <v>25</v>
      </c>
      <c r="B16" s="5"/>
      <c r="C16" s="5"/>
      <c r="D16" s="4"/>
      <c r="E16" s="4"/>
      <c r="F16" s="4"/>
      <c r="G16" s="4"/>
      <c r="H16" s="4"/>
    </row>
    <row r="17" customFormat="false" ht="17.15" hidden="false" customHeight="false" outlineLevel="0" collapsed="false">
      <c r="A17" s="9" t="s">
        <v>26</v>
      </c>
      <c r="B17" s="7" t="s">
        <v>27</v>
      </c>
      <c r="C17" s="8"/>
      <c r="D17" s="4"/>
      <c r="E17" s="4"/>
      <c r="F17" s="4"/>
      <c r="G17" s="4"/>
      <c r="H17" s="4"/>
    </row>
    <row r="18" customFormat="false" ht="17.15" hidden="false" customHeight="false" outlineLevel="0" collapsed="false">
      <c r="A18" s="9" t="s">
        <v>28</v>
      </c>
      <c r="B18" s="7" t="s">
        <v>29</v>
      </c>
      <c r="C18" s="8" t="s">
        <v>30</v>
      </c>
      <c r="D18" s="4"/>
      <c r="E18" s="4"/>
      <c r="F18" s="4"/>
      <c r="G18" s="4"/>
      <c r="H18" s="4"/>
    </row>
    <row r="19" customFormat="false" ht="15" hidden="false" customHeight="false" outlineLevel="0" collapsed="false">
      <c r="A19" s="9" t="s">
        <v>31</v>
      </c>
      <c r="B19" s="7" t="s">
        <v>32</v>
      </c>
      <c r="C19" s="8"/>
      <c r="D19" s="4"/>
      <c r="E19" s="4"/>
      <c r="F19" s="4"/>
      <c r="G19" s="4"/>
      <c r="H19" s="4"/>
    </row>
    <row r="20" customFormat="false" ht="15" hidden="false" customHeight="false" outlineLevel="0" collapsed="false">
      <c r="A20" s="9" t="s">
        <v>33</v>
      </c>
      <c r="B20" s="7" t="s">
        <v>34</v>
      </c>
      <c r="C20" s="8"/>
      <c r="D20" s="4"/>
      <c r="E20" s="4"/>
      <c r="F20" s="4"/>
      <c r="G20" s="4"/>
      <c r="H20" s="4"/>
    </row>
    <row r="21" customFormat="false" ht="17.15" hidden="false" customHeight="false" outlineLevel="0" collapsed="false">
      <c r="A21" s="9" t="s">
        <v>35</v>
      </c>
      <c r="B21" s="7" t="s">
        <v>36</v>
      </c>
      <c r="C21" s="8"/>
      <c r="D21" s="4"/>
      <c r="E21" s="4"/>
      <c r="F21" s="4"/>
      <c r="G21" s="4"/>
      <c r="H21" s="4"/>
    </row>
    <row r="22" customFormat="false" ht="15" hidden="false" customHeight="false" outlineLevel="0" collapsed="false">
      <c r="A22" s="9" t="s">
        <v>37</v>
      </c>
      <c r="B22" s="7" t="s">
        <v>38</v>
      </c>
      <c r="C22" s="8"/>
      <c r="D22" s="4"/>
      <c r="E22" s="4"/>
      <c r="F22" s="4"/>
      <c r="G22" s="4"/>
      <c r="H22" s="4"/>
    </row>
    <row r="23" customFormat="false" ht="15" hidden="false" customHeight="false" outlineLevel="0" collapsed="false">
      <c r="A23" s="9" t="s">
        <v>39</v>
      </c>
      <c r="B23" s="7" t="s">
        <v>40</v>
      </c>
      <c r="C23" s="8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5" t="s">
        <v>41</v>
      </c>
      <c r="B25" s="5"/>
      <c r="C25" s="5"/>
      <c r="D25" s="4"/>
      <c r="E25" s="4"/>
      <c r="F25" s="4"/>
      <c r="G25" s="4"/>
      <c r="H25" s="4"/>
    </row>
    <row r="26" customFormat="false" ht="15" hidden="false" customHeight="false" outlineLevel="0" collapsed="false">
      <c r="A26" s="6" t="s">
        <v>42</v>
      </c>
      <c r="B26" s="7" t="s">
        <v>43</v>
      </c>
      <c r="C26" s="8"/>
      <c r="D26" s="4"/>
      <c r="E26" s="4"/>
      <c r="F26" s="4"/>
      <c r="G26" s="4"/>
      <c r="H26" s="4"/>
    </row>
    <row r="27" customFormat="false" ht="15" hidden="false" customHeight="false" outlineLevel="0" collapsed="false">
      <c r="A27" s="6" t="s">
        <v>44</v>
      </c>
      <c r="B27" s="7" t="s">
        <v>45</v>
      </c>
      <c r="C27" s="8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46</v>
      </c>
      <c r="B28" s="7" t="s">
        <v>47</v>
      </c>
      <c r="C28" s="8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5" t="s">
        <v>48</v>
      </c>
      <c r="B30" s="5"/>
      <c r="C30" s="5"/>
      <c r="D30" s="4"/>
      <c r="E30" s="4"/>
      <c r="F30" s="4"/>
      <c r="G30" s="4"/>
      <c r="H30" s="4"/>
    </row>
    <row r="31" customFormat="false" ht="17.15" hidden="false" customHeight="false" outlineLevel="0" collapsed="false">
      <c r="A31" s="6" t="s">
        <v>49</v>
      </c>
      <c r="B31" s="7" t="s">
        <v>50</v>
      </c>
      <c r="C31" s="10" t="s">
        <v>51</v>
      </c>
      <c r="D31" s="4"/>
      <c r="E31" s="4"/>
      <c r="F31" s="4"/>
      <c r="G31" s="4"/>
      <c r="H31" s="4"/>
    </row>
    <row r="32" customFormat="false" ht="17.15" hidden="false" customHeight="false" outlineLevel="0" collapsed="false">
      <c r="A32" s="6" t="s">
        <v>52</v>
      </c>
      <c r="B32" s="7" t="s">
        <v>53</v>
      </c>
      <c r="C32" s="10" t="s">
        <v>54</v>
      </c>
      <c r="D32" s="4"/>
      <c r="E32" s="4"/>
      <c r="F32" s="4"/>
      <c r="G32" s="4"/>
      <c r="H32" s="4"/>
    </row>
    <row r="33" customFormat="false" ht="17.15" hidden="false" customHeight="false" outlineLevel="0" collapsed="false">
      <c r="A33" s="6" t="s">
        <v>55</v>
      </c>
      <c r="B33" s="7" t="s">
        <v>56</v>
      </c>
      <c r="C33" s="10" t="s">
        <v>57</v>
      </c>
      <c r="D33" s="4"/>
      <c r="E33" s="4"/>
      <c r="F33" s="4"/>
      <c r="G33" s="4"/>
      <c r="H33" s="4"/>
    </row>
    <row r="34" customFormat="false" ht="17.15" hidden="false" customHeight="false" outlineLevel="0" collapsed="false">
      <c r="A34" s="6" t="s">
        <v>58</v>
      </c>
      <c r="B34" s="7" t="s">
        <v>59</v>
      </c>
      <c r="C34" s="10" t="s">
        <v>54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</sheetData>
  <mergeCells count="5">
    <mergeCell ref="A5:C5"/>
    <mergeCell ref="A11:C11"/>
    <mergeCell ref="A16:C16"/>
    <mergeCell ref="A25:C25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0" activeCellId="0" sqref="A3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58"/>
  </cols>
  <sheetData>
    <row r="1" customFormat="false" ht="19.7" hidden="false" customHeight="fals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A4" s="12" t="s">
        <v>62</v>
      </c>
      <c r="B4" s="13" t="s">
        <v>63</v>
      </c>
      <c r="C4" s="13" t="s">
        <v>64</v>
      </c>
      <c r="D4" s="13" t="s">
        <v>65</v>
      </c>
      <c r="E4" s="13" t="s">
        <v>66</v>
      </c>
      <c r="F4" s="12" t="s">
        <v>67</v>
      </c>
      <c r="G4" s="12" t="s">
        <v>68</v>
      </c>
      <c r="H4" s="12" t="s">
        <v>69</v>
      </c>
      <c r="I4" s="4"/>
      <c r="J4" s="4"/>
    </row>
    <row r="5" customFormat="false" ht="17.15" hidden="false" customHeight="false" outlineLevel="0" collapsed="false">
      <c r="A5" s="6" t="s">
        <v>70</v>
      </c>
      <c r="B5" s="14" t="n">
        <v>205</v>
      </c>
      <c r="C5" s="15" t="n">
        <v>7850</v>
      </c>
      <c r="D5" s="16" t="n">
        <v>0.3</v>
      </c>
      <c r="E5" s="17" t="n">
        <v>0.0002</v>
      </c>
      <c r="F5" s="18" t="s">
        <v>71</v>
      </c>
      <c r="G5" s="19" t="s">
        <v>51</v>
      </c>
      <c r="H5" s="20" t="s">
        <v>72</v>
      </c>
      <c r="I5" s="4"/>
      <c r="J5" s="4"/>
    </row>
    <row r="6" customFormat="false" ht="17.15" hidden="false" customHeight="false" outlineLevel="0" collapsed="false">
      <c r="A6" s="21" t="s">
        <v>73</v>
      </c>
      <c r="B6" s="22" t="n">
        <v>205</v>
      </c>
      <c r="C6" s="23" t="n">
        <v>7850</v>
      </c>
      <c r="D6" s="24" t="n">
        <v>0.3</v>
      </c>
      <c r="E6" s="25" t="n">
        <v>0.0002</v>
      </c>
      <c r="F6" s="26" t="s">
        <v>71</v>
      </c>
      <c r="G6" s="27" t="s">
        <v>51</v>
      </c>
      <c r="H6" s="28" t="s">
        <v>74</v>
      </c>
      <c r="I6" s="4"/>
      <c r="J6" s="4"/>
    </row>
    <row r="7" customFormat="false" ht="17.15" hidden="false" customHeight="false" outlineLevel="0" collapsed="false">
      <c r="A7" s="6" t="s">
        <v>75</v>
      </c>
      <c r="B7" s="14" t="n">
        <v>205</v>
      </c>
      <c r="C7" s="15" t="n">
        <v>7850</v>
      </c>
      <c r="D7" s="16" t="n">
        <v>0.3</v>
      </c>
      <c r="E7" s="17" t="n">
        <v>0.0002</v>
      </c>
      <c r="F7" s="18" t="s">
        <v>71</v>
      </c>
      <c r="G7" s="19" t="s">
        <v>51</v>
      </c>
      <c r="H7" s="20" t="s">
        <v>74</v>
      </c>
      <c r="I7" s="4"/>
      <c r="J7" s="4"/>
    </row>
    <row r="8" customFormat="false" ht="17.15" hidden="false" customHeight="false" outlineLevel="0" collapsed="false">
      <c r="A8" s="21" t="s">
        <v>76</v>
      </c>
      <c r="B8" s="22" t="n">
        <v>193</v>
      </c>
      <c r="C8" s="23" t="n">
        <v>7930</v>
      </c>
      <c r="D8" s="24" t="n">
        <v>0.3</v>
      </c>
      <c r="E8" s="25" t="n">
        <v>0.0005</v>
      </c>
      <c r="F8" s="26" t="s">
        <v>71</v>
      </c>
      <c r="G8" s="27" t="s">
        <v>51</v>
      </c>
      <c r="H8" s="28" t="s">
        <v>74</v>
      </c>
      <c r="I8" s="4"/>
      <c r="J8" s="4"/>
    </row>
    <row r="9" customFormat="false" ht="17.15" hidden="false" customHeight="false" outlineLevel="0" collapsed="false">
      <c r="A9" s="6" t="s">
        <v>77</v>
      </c>
      <c r="B9" s="14" t="n">
        <v>206</v>
      </c>
      <c r="C9" s="15" t="n">
        <v>7850</v>
      </c>
      <c r="D9" s="16" t="n">
        <v>0.3</v>
      </c>
      <c r="E9" s="17" t="n">
        <v>0.0002</v>
      </c>
      <c r="F9" s="18" t="s">
        <v>71</v>
      </c>
      <c r="G9" s="19" t="s">
        <v>51</v>
      </c>
      <c r="H9" s="20" t="s">
        <v>74</v>
      </c>
      <c r="I9" s="4"/>
      <c r="J9" s="4"/>
    </row>
    <row r="10" customFormat="false" ht="17.15" hidden="false" customHeight="false" outlineLevel="0" collapsed="false">
      <c r="A10" s="21" t="s">
        <v>78</v>
      </c>
      <c r="B10" s="22" t="n">
        <v>105</v>
      </c>
      <c r="C10" s="23" t="n">
        <v>7200</v>
      </c>
      <c r="D10" s="24" t="n">
        <v>0.26</v>
      </c>
      <c r="E10" s="25" t="n">
        <v>0.0015</v>
      </c>
      <c r="F10" s="26" t="s">
        <v>71</v>
      </c>
      <c r="G10" s="27" t="s">
        <v>54</v>
      </c>
      <c r="H10" s="28" t="s">
        <v>79</v>
      </c>
      <c r="I10" s="4"/>
      <c r="J10" s="4"/>
    </row>
    <row r="11" customFormat="false" ht="17.15" hidden="false" customHeight="false" outlineLevel="0" collapsed="false">
      <c r="A11" s="6" t="s">
        <v>80</v>
      </c>
      <c r="B11" s="14" t="n">
        <v>70</v>
      </c>
      <c r="C11" s="15" t="n">
        <v>2680</v>
      </c>
      <c r="D11" s="16" t="n">
        <v>0.33</v>
      </c>
      <c r="E11" s="17" t="n">
        <v>0.0001</v>
      </c>
      <c r="F11" s="18" t="s">
        <v>71</v>
      </c>
      <c r="G11" s="19" t="s">
        <v>51</v>
      </c>
      <c r="H11" s="20" t="s">
        <v>74</v>
      </c>
      <c r="I11" s="4"/>
      <c r="J11" s="4"/>
    </row>
    <row r="12" customFormat="false" ht="17.15" hidden="false" customHeight="false" outlineLevel="0" collapsed="false">
      <c r="A12" s="21" t="s">
        <v>81</v>
      </c>
      <c r="B12" s="22" t="n">
        <v>69</v>
      </c>
      <c r="C12" s="23" t="n">
        <v>2700</v>
      </c>
      <c r="D12" s="24" t="n">
        <v>0.33</v>
      </c>
      <c r="E12" s="25" t="n">
        <v>0.0001</v>
      </c>
      <c r="F12" s="26" t="s">
        <v>71</v>
      </c>
      <c r="G12" s="27" t="s">
        <v>51</v>
      </c>
      <c r="H12" s="28" t="s">
        <v>74</v>
      </c>
      <c r="I12" s="4"/>
      <c r="J12" s="4"/>
    </row>
    <row r="13" customFormat="false" ht="17.15" hidden="false" customHeight="false" outlineLevel="0" collapsed="false">
      <c r="A13" s="6" t="s">
        <v>82</v>
      </c>
      <c r="B13" s="14" t="n">
        <v>114</v>
      </c>
      <c r="C13" s="15" t="n">
        <v>4430</v>
      </c>
      <c r="D13" s="16" t="n">
        <v>0.34</v>
      </c>
      <c r="E13" s="17" t="n">
        <v>0.0002</v>
      </c>
      <c r="F13" s="18" t="s">
        <v>71</v>
      </c>
      <c r="G13" s="19" t="s">
        <v>51</v>
      </c>
      <c r="H13" s="20" t="s">
        <v>83</v>
      </c>
      <c r="I13" s="4"/>
      <c r="J13" s="4"/>
    </row>
    <row r="14" customFormat="false" ht="17.15" hidden="false" customHeight="false" outlineLevel="0" collapsed="false">
      <c r="A14" s="21" t="s">
        <v>84</v>
      </c>
      <c r="B14" s="22" t="n">
        <v>117</v>
      </c>
      <c r="C14" s="23" t="n">
        <v>8940</v>
      </c>
      <c r="D14" s="24" t="n">
        <v>0.34</v>
      </c>
      <c r="E14" s="25" t="n">
        <v>0.002</v>
      </c>
      <c r="F14" s="26" t="s">
        <v>71</v>
      </c>
      <c r="G14" s="27" t="s">
        <v>51</v>
      </c>
      <c r="H14" s="28" t="s">
        <v>74</v>
      </c>
      <c r="I14" s="4"/>
      <c r="J14" s="4"/>
    </row>
    <row r="15" customFormat="false" ht="17.15" hidden="false" customHeight="false" outlineLevel="0" collapsed="false">
      <c r="A15" s="6" t="s">
        <v>85</v>
      </c>
      <c r="B15" s="14" t="n">
        <v>103</v>
      </c>
      <c r="C15" s="15" t="n">
        <v>8530</v>
      </c>
      <c r="D15" s="16" t="n">
        <v>0.35</v>
      </c>
      <c r="E15" s="17" t="n">
        <v>0.001</v>
      </c>
      <c r="F15" s="18" t="s">
        <v>71</v>
      </c>
      <c r="G15" s="19" t="s">
        <v>51</v>
      </c>
      <c r="H15" s="20" t="s">
        <v>74</v>
      </c>
      <c r="I15" s="4"/>
      <c r="J15" s="4"/>
    </row>
    <row r="16" customFormat="false" ht="17.15" hidden="false" customHeight="false" outlineLevel="0" collapsed="false">
      <c r="A16" s="21" t="s">
        <v>86</v>
      </c>
      <c r="B16" s="22" t="n">
        <v>0.5</v>
      </c>
      <c r="C16" s="23" t="n">
        <v>2400</v>
      </c>
      <c r="D16" s="24" t="n">
        <v>0.25</v>
      </c>
      <c r="E16" s="25" t="n">
        <v>0.05</v>
      </c>
      <c r="F16" s="26" t="s">
        <v>87</v>
      </c>
      <c r="G16" s="27" t="s">
        <v>54</v>
      </c>
      <c r="H16" s="29" t="s">
        <v>88</v>
      </c>
      <c r="I16" s="4"/>
      <c r="J16" s="4"/>
    </row>
    <row r="17" customFormat="false" ht="17.15" hidden="false" customHeight="false" outlineLevel="0" collapsed="false">
      <c r="A17" s="6" t="s">
        <v>89</v>
      </c>
      <c r="B17" s="14" t="n">
        <v>1.5</v>
      </c>
      <c r="C17" s="15" t="n">
        <v>2600</v>
      </c>
      <c r="D17" s="16" t="n">
        <v>0.25</v>
      </c>
      <c r="E17" s="17" t="n">
        <v>0.04</v>
      </c>
      <c r="F17" s="18" t="s">
        <v>87</v>
      </c>
      <c r="G17" s="19" t="s">
        <v>54</v>
      </c>
      <c r="H17" s="30" t="s">
        <v>90</v>
      </c>
      <c r="I17" s="4"/>
      <c r="J17" s="4"/>
    </row>
    <row r="18" customFormat="false" ht="17.15" hidden="false" customHeight="false" outlineLevel="0" collapsed="false">
      <c r="A18" s="21" t="s">
        <v>91</v>
      </c>
      <c r="B18" s="22" t="n">
        <v>3.5</v>
      </c>
      <c r="C18" s="23" t="n">
        <v>2600</v>
      </c>
      <c r="D18" s="24" t="n">
        <v>0.25</v>
      </c>
      <c r="E18" s="25" t="n">
        <v>0.04</v>
      </c>
      <c r="F18" s="26" t="s">
        <v>87</v>
      </c>
      <c r="G18" s="27" t="s">
        <v>54</v>
      </c>
      <c r="H18" s="28" t="s">
        <v>92</v>
      </c>
      <c r="I18" s="4"/>
      <c r="J18" s="4"/>
    </row>
    <row r="19" customFormat="false" ht="15" hidden="false" customHeight="false" outlineLevel="0" collapsed="false">
      <c r="A19" s="6" t="s">
        <v>93</v>
      </c>
      <c r="B19" s="14" t="n">
        <v>6</v>
      </c>
      <c r="C19" s="15" t="n">
        <v>2900</v>
      </c>
      <c r="D19" s="16" t="n">
        <v>0.25</v>
      </c>
      <c r="E19" s="17" t="n">
        <v>0.03</v>
      </c>
      <c r="F19" s="18" t="s">
        <v>87</v>
      </c>
      <c r="G19" s="19" t="s">
        <v>54</v>
      </c>
      <c r="H19" s="30" t="s">
        <v>94</v>
      </c>
      <c r="I19" s="4"/>
      <c r="J19" s="4"/>
    </row>
    <row r="20" customFormat="false" ht="15" hidden="false" customHeight="false" outlineLevel="0" collapsed="false">
      <c r="A20" s="21" t="s">
        <v>95</v>
      </c>
      <c r="B20" s="22" t="n">
        <v>10</v>
      </c>
      <c r="C20" s="23" t="n">
        <v>3000</v>
      </c>
      <c r="D20" s="24" t="n">
        <v>0.25</v>
      </c>
      <c r="E20" s="25" t="n">
        <v>0.025</v>
      </c>
      <c r="F20" s="26" t="s">
        <v>87</v>
      </c>
      <c r="G20" s="27" t="s">
        <v>54</v>
      </c>
      <c r="H20" s="29" t="s">
        <v>94</v>
      </c>
      <c r="I20" s="4"/>
      <c r="J20" s="4"/>
    </row>
    <row r="21" customFormat="false" ht="17.15" hidden="false" customHeight="false" outlineLevel="0" collapsed="false">
      <c r="A21" s="6" t="s">
        <v>96</v>
      </c>
      <c r="B21" s="14" t="n">
        <v>35</v>
      </c>
      <c r="C21" s="15" t="n">
        <v>5000</v>
      </c>
      <c r="D21" s="16" t="n">
        <v>0.28</v>
      </c>
      <c r="E21" s="17" t="n">
        <v>0.01</v>
      </c>
      <c r="F21" s="18" t="s">
        <v>87</v>
      </c>
      <c r="G21" s="19" t="s">
        <v>54</v>
      </c>
      <c r="H21" s="20" t="s">
        <v>97</v>
      </c>
      <c r="I21" s="4"/>
      <c r="J21" s="4"/>
    </row>
    <row r="22" customFormat="false" ht="15" hidden="false" customHeight="false" outlineLevel="0" collapsed="false">
      <c r="A22" s="21" t="s">
        <v>98</v>
      </c>
      <c r="B22" s="22" t="n">
        <v>3</v>
      </c>
      <c r="C22" s="23" t="n">
        <v>1300</v>
      </c>
      <c r="D22" s="24" t="n">
        <v>0.35</v>
      </c>
      <c r="E22" s="25" t="n">
        <v>0.08</v>
      </c>
      <c r="F22" s="26" t="s">
        <v>99</v>
      </c>
      <c r="G22" s="27" t="s">
        <v>57</v>
      </c>
      <c r="H22" s="29" t="s">
        <v>100</v>
      </c>
      <c r="I22" s="4"/>
      <c r="J22" s="4"/>
    </row>
    <row r="23" customFormat="false" ht="17.15" hidden="false" customHeight="false" outlineLevel="0" collapsed="false">
      <c r="A23" s="6" t="s">
        <v>101</v>
      </c>
      <c r="B23" s="14" t="n">
        <v>205</v>
      </c>
      <c r="C23" s="15" t="n">
        <v>7850</v>
      </c>
      <c r="D23" s="16" t="n">
        <v>0.3</v>
      </c>
      <c r="E23" s="17" t="n">
        <v>0.0002</v>
      </c>
      <c r="F23" s="18" t="s">
        <v>102</v>
      </c>
      <c r="G23" s="19" t="s">
        <v>51</v>
      </c>
      <c r="H23" s="20" t="s">
        <v>74</v>
      </c>
      <c r="I23" s="4"/>
      <c r="J23" s="4"/>
    </row>
    <row r="24" customFormat="false" ht="17.15" hidden="false" customHeight="false" outlineLevel="0" collapsed="false">
      <c r="A24" s="21" t="s">
        <v>103</v>
      </c>
      <c r="B24" s="22" t="n">
        <v>0.01</v>
      </c>
      <c r="C24" s="23" t="n">
        <v>1300</v>
      </c>
      <c r="D24" s="24" t="n">
        <v>0.49</v>
      </c>
      <c r="E24" s="25" t="n">
        <v>0.3</v>
      </c>
      <c r="F24" s="26" t="s">
        <v>102</v>
      </c>
      <c r="G24" s="27" t="s">
        <v>57</v>
      </c>
      <c r="H24" s="29" t="s">
        <v>104</v>
      </c>
      <c r="I24" s="4"/>
      <c r="J24" s="4"/>
    </row>
    <row r="25" customFormat="false" ht="17.15" hidden="false" customHeight="false" outlineLevel="0" collapsed="false">
      <c r="A25" s="6" t="s">
        <v>105</v>
      </c>
      <c r="B25" s="14" t="n">
        <v>0.05</v>
      </c>
      <c r="C25" s="15" t="n">
        <v>1400</v>
      </c>
      <c r="D25" s="16" t="n">
        <v>0.49</v>
      </c>
      <c r="E25" s="17" t="n">
        <v>0.2</v>
      </c>
      <c r="F25" s="18" t="s">
        <v>102</v>
      </c>
      <c r="G25" s="19" t="s">
        <v>57</v>
      </c>
      <c r="H25" s="30" t="s">
        <v>106</v>
      </c>
      <c r="I25" s="4"/>
      <c r="J25" s="4"/>
    </row>
    <row r="26" customFormat="false" ht="15" hidden="false" customHeight="false" outlineLevel="0" collapsed="false">
      <c r="A26" s="21" t="s">
        <v>107</v>
      </c>
      <c r="B26" s="22" t="n">
        <v>114</v>
      </c>
      <c r="C26" s="23" t="n">
        <v>4430</v>
      </c>
      <c r="D26" s="24" t="n">
        <v>0.34</v>
      </c>
      <c r="E26" s="25" t="n">
        <v>0.0002</v>
      </c>
      <c r="F26" s="26" t="s">
        <v>102</v>
      </c>
      <c r="G26" s="27" t="s">
        <v>51</v>
      </c>
      <c r="H26" s="28" t="s">
        <v>83</v>
      </c>
      <c r="I26" s="4"/>
      <c r="J26" s="4"/>
    </row>
    <row r="27" customFormat="false" ht="17.15" hidden="false" customHeight="false" outlineLevel="0" collapsed="false">
      <c r="A27" s="9" t="s">
        <v>108</v>
      </c>
      <c r="B27" s="14" t="n">
        <v>0</v>
      </c>
      <c r="C27" s="15" t="n">
        <v>1</v>
      </c>
      <c r="D27" s="16" t="n">
        <v>0</v>
      </c>
      <c r="E27" s="17" t="n">
        <v>0</v>
      </c>
      <c r="F27" s="31" t="s">
        <v>109</v>
      </c>
      <c r="G27" s="32" t="s">
        <v>109</v>
      </c>
      <c r="H27" s="30" t="s">
        <v>110</v>
      </c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33" t="s">
        <v>111</v>
      </c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34" t="s">
        <v>112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3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17" min="4" style="0" width="8.5"/>
    <col collapsed="false" customWidth="true" hidden="false" outlineLevel="0" max="20" min="18" style="0" width="11"/>
    <col collapsed="false" customWidth="true" hidden="false" outlineLevel="0" max="27" min="22" style="0" width="9"/>
  </cols>
  <sheetData>
    <row r="1" customFormat="false" ht="19.7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11" t="s">
        <v>114</v>
      </c>
      <c r="B2" s="2"/>
      <c r="C2" s="2"/>
      <c r="D2" s="2"/>
      <c r="E2" s="35" t="s">
        <v>115</v>
      </c>
      <c r="F2" s="36" t="n">
        <f aca="false">COUNT($B$5:$B$20)</f>
        <v>14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4"/>
      <c r="B3" s="4"/>
      <c r="C3" s="4"/>
      <c r="D3" s="4"/>
      <c r="E3" s="35" t="s">
        <v>116</v>
      </c>
      <c r="F3" s="36" t="n">
        <f aca="false">IF(SUM($I$5:$I$20)&gt;=0,1,-1)</f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false" ht="17.15" hidden="false" customHeight="false" outlineLevel="0" collapsed="false">
      <c r="A4" s="13" t="s">
        <v>117</v>
      </c>
      <c r="B4" s="13" t="s">
        <v>118</v>
      </c>
      <c r="C4" s="13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3" t="s">
        <v>127</v>
      </c>
      <c r="L4" s="13" t="s">
        <v>128</v>
      </c>
      <c r="M4" s="13" t="s">
        <v>129</v>
      </c>
      <c r="N4" s="13" t="s">
        <v>130</v>
      </c>
      <c r="O4" s="13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4"/>
      <c r="V4" s="37" t="s">
        <v>137</v>
      </c>
      <c r="W4" s="4"/>
      <c r="X4" s="4"/>
      <c r="Y4" s="4"/>
      <c r="Z4" s="4"/>
      <c r="AA4" s="4"/>
      <c r="AB4" s="4"/>
    </row>
    <row r="5" customFormat="false" ht="15" hidden="false" customHeight="false" outlineLevel="0" collapsed="false">
      <c r="A5" s="38" t="n">
        <v>1</v>
      </c>
      <c r="B5" s="39" t="n">
        <v>-37.42</v>
      </c>
      <c r="C5" s="39" t="n">
        <v>-25.95</v>
      </c>
      <c r="D5" s="40" t="n">
        <f aca="false">IF(ROW()-4&lt;=$F$2,1,0)</f>
        <v>1</v>
      </c>
      <c r="E5" s="41" t="n">
        <f aca="false">IF($D5=0,0,INDEX($B$5:$B$20,IF(ROW()-4=$F$2,1,ROW()-4+1)))</f>
        <v>-25.36</v>
      </c>
      <c r="F5" s="41" t="n">
        <f aca="false">IF($D5=0,0,INDEX($C$5:$C$20,IF(ROW()-4=$F$2,1,ROW()-4+1)))</f>
        <v>-21.56</v>
      </c>
      <c r="G5" s="41" t="n">
        <f aca="false">IF($D5=0,0,INDEX($B$5:$B$20,IF(ROW()-4=1,$F$2,ROW()-4-1)))</f>
        <v>-57.76</v>
      </c>
      <c r="H5" s="41" t="n">
        <f aca="false">IF($D5=0,0,INDEX($C$5:$C$20,IF(ROW()-4=1,$F$2,ROW()-4-1)))</f>
        <v>19.72</v>
      </c>
      <c r="I5" s="42" t="n">
        <f aca="false">IF($D5=0,0,B5*F5-E5*C5)</f>
        <v>148.6832</v>
      </c>
      <c r="J5" s="41" t="n">
        <f aca="false">IF($D5=0,0,SQRT((E5-B5)^2+(F5-C5)^2))</f>
        <v>12.8341614451432</v>
      </c>
      <c r="K5" s="40" t="n">
        <f aca="false">IF($D5=0,0,(C5^2+C5*F5+F5^2)*I5)</f>
        <v>252422.15980592</v>
      </c>
      <c r="L5" s="40" t="n">
        <f aca="false">IF($D5=0,0,(B5^2+B5*E5+E5^2)*I5)</f>
        <v>444913.24403904</v>
      </c>
      <c r="M5" s="40" t="n">
        <f aca="false">IF($D5=0,0,(B5*F5+2*B5*C5+2*E5*F5+E5*C5)*I5)</f>
        <v>669147.01687488</v>
      </c>
      <c r="N5" s="40" t="n">
        <f aca="false">IF($D5=0,0,(B5+E5)*I5)</f>
        <v>-9334.331296</v>
      </c>
      <c r="O5" s="40" t="n">
        <f aca="false">IF($D5=0,0,(C5+F5)*I5)</f>
        <v>-7063.938832</v>
      </c>
      <c r="P5" s="42" t="n">
        <f aca="false">IF($D5=0,0,(G5-B5)*(E5-B5)+(H5-C5)*(F5-C5))</f>
        <v>-44.8091</v>
      </c>
      <c r="Q5" s="42" t="n">
        <f aca="false">IF($D5=0,0,(G5-B5)*(F5-C5)-(H5-C5)*(E5-B5))</f>
        <v>-640.0728</v>
      </c>
      <c r="R5" s="43" t="n">
        <f aca="false">IF($D5=0,"",IFERROR(MOD(DEGREES(ATAN2(P5,-$F$3*Q5)),360),""))</f>
        <v>94.0045296088302</v>
      </c>
      <c r="S5" s="44" t="n">
        <f aca="false">IF($D5=0,"",180-R5)</f>
        <v>85.9954703911698</v>
      </c>
      <c r="T5" s="45" t="str">
        <f aca="false">IF($D5=0,"",IF(R5&gt;180,"入隅(凹)","出隅(凸)"))</f>
        <v>出隅(凸)</v>
      </c>
      <c r="U5" s="4"/>
      <c r="V5" s="46" t="s">
        <v>138</v>
      </c>
      <c r="W5" s="46"/>
      <c r="X5" s="46" t="s">
        <v>139</v>
      </c>
      <c r="Y5" s="46"/>
      <c r="Z5" s="46" t="s">
        <v>140</v>
      </c>
      <c r="AA5" s="46"/>
      <c r="AB5" s="4"/>
    </row>
    <row r="6" customFormat="false" ht="15" hidden="false" customHeight="false" outlineLevel="0" collapsed="false">
      <c r="A6" s="47" t="n">
        <v>2</v>
      </c>
      <c r="B6" s="39" t="n">
        <v>-25.36</v>
      </c>
      <c r="C6" s="39" t="n">
        <v>-21.56</v>
      </c>
      <c r="D6" s="48" t="n">
        <f aca="false">IF(ROW()-4&lt;=$F$2,1,0)</f>
        <v>1</v>
      </c>
      <c r="E6" s="49" t="n">
        <f aca="false">IF($D6=0,0,INDEX($B$5:$B$20,IF(ROW()-4=$F$2,1,ROW()-4+1)))</f>
        <v>-12.8</v>
      </c>
      <c r="F6" s="49" t="n">
        <f aca="false">IF($D6=0,0,INDEX($C$5:$C$20,IF(ROW()-4=$F$2,1,ROW()-4+1)))</f>
        <v>-18.9</v>
      </c>
      <c r="G6" s="49" t="n">
        <f aca="false">IF($D6=0,0,INDEX($B$5:$B$20,IF(ROW()-4=1,$F$2,ROW()-4-1)))</f>
        <v>-37.42</v>
      </c>
      <c r="H6" s="49" t="n">
        <f aca="false">IF($D6=0,0,INDEX($C$5:$C$20,IF(ROW()-4=1,$F$2,ROW()-4-1)))</f>
        <v>-25.95</v>
      </c>
      <c r="I6" s="50" t="n">
        <f aca="false">IF($D6=0,0,B6*F6-E6*C6)</f>
        <v>203.336</v>
      </c>
      <c r="J6" s="49" t="n">
        <f aca="false">IF($D6=0,0,SQRT((E6-B6)^2+(F6-C6)^2))</f>
        <v>12.8385824762705</v>
      </c>
      <c r="K6" s="48" t="n">
        <f aca="false">IF($D6=0,0,(C6^2+C6*F6+F6^2)*I6)</f>
        <v>250007.2240736</v>
      </c>
      <c r="L6" s="48" t="n">
        <f aca="false">IF($D6=0,0,(B6^2+B6*E6+E6^2)*I6)</f>
        <v>230090.4628736</v>
      </c>
      <c r="M6" s="48" t="n">
        <f aca="false">IF($D6=0,0,(B6*F6+2*B6*C6+2*E6*F6+E6*C6)*I6)</f>
        <v>474308.7110272</v>
      </c>
      <c r="N6" s="48" t="n">
        <f aca="false">IF($D6=0,0,(B6+E6)*I6)</f>
        <v>-7759.30176</v>
      </c>
      <c r="O6" s="48" t="n">
        <f aca="false">IF($D6=0,0,(C6+F6)*I6)</f>
        <v>-8226.97456</v>
      </c>
      <c r="P6" s="50" t="n">
        <f aca="false">IF($D6=0,0,(G6-B6)*(E6-B6)+(H6-C6)*(F6-C6))</f>
        <v>-163.151</v>
      </c>
      <c r="Q6" s="50" t="n">
        <f aca="false">IF($D6=0,0,(G6-B6)*(F6-C6)-(H6-C6)*(E6-B6))</f>
        <v>23.0588</v>
      </c>
      <c r="R6" s="51" t="n">
        <f aca="false">IF($D6=0,"",IFERROR(MOD(DEGREES(ATAN2(P6,-$F$3*Q6)),360),""))</f>
        <v>188.044565616223</v>
      </c>
      <c r="S6" s="52" t="n">
        <f aca="false">IF($D6=0,"",180-R6)</f>
        <v>-8.04456561622317</v>
      </c>
      <c r="T6" s="53" t="str">
        <f aca="false">IF($D6=0,"",IF(R6&gt;180,"入隅(凹)","出隅(凸)"))</f>
        <v>入隅(凹)</v>
      </c>
      <c r="U6" s="4"/>
      <c r="V6" s="54" t="s">
        <v>141</v>
      </c>
      <c r="W6" s="54" t="s">
        <v>142</v>
      </c>
      <c r="X6" s="54" t="s">
        <v>141</v>
      </c>
      <c r="Y6" s="54" t="s">
        <v>142</v>
      </c>
      <c r="Z6" s="54" t="s">
        <v>141</v>
      </c>
      <c r="AA6" s="54" t="s">
        <v>142</v>
      </c>
      <c r="AB6" s="4"/>
    </row>
    <row r="7" customFormat="false" ht="15" hidden="false" customHeight="false" outlineLevel="0" collapsed="false">
      <c r="A7" s="38" t="n">
        <v>3</v>
      </c>
      <c r="B7" s="39" t="n">
        <v>-12.8</v>
      </c>
      <c r="C7" s="39" t="n">
        <v>-18.9</v>
      </c>
      <c r="D7" s="40" t="n">
        <f aca="false">IF(ROW()-4&lt;=$F$2,1,0)</f>
        <v>1</v>
      </c>
      <c r="E7" s="41" t="n">
        <f aca="false">IF($D7=0,0,INDEX($B$5:$B$20,IF(ROW()-4=$F$2,1,ROW()-4+1)))</f>
        <v>0</v>
      </c>
      <c r="F7" s="41" t="n">
        <f aca="false">IF($D7=0,0,INDEX($C$5:$C$20,IF(ROW()-4=$F$2,1,ROW()-4+1)))</f>
        <v>-18</v>
      </c>
      <c r="G7" s="41" t="n">
        <f aca="false">IF($D7=0,0,INDEX($B$5:$B$20,IF(ROW()-4=1,$F$2,ROW()-4-1)))</f>
        <v>-25.36</v>
      </c>
      <c r="H7" s="41" t="n">
        <f aca="false">IF($D7=0,0,INDEX($C$5:$C$20,IF(ROW()-4=1,$F$2,ROW()-4-1)))</f>
        <v>-21.56</v>
      </c>
      <c r="I7" s="42" t="n">
        <f aca="false">IF($D7=0,0,B7*F7-E7*C7)</f>
        <v>230.4</v>
      </c>
      <c r="J7" s="41" t="n">
        <f aca="false">IF($D7=0,0,SQRT((E7-B7)^2+(F7-C7)^2))</f>
        <v>12.8316016147635</v>
      </c>
      <c r="K7" s="40" t="n">
        <f aca="false">IF($D7=0,0,(C7^2+C7*F7+F7^2)*I7)</f>
        <v>235332.864</v>
      </c>
      <c r="L7" s="40" t="n">
        <f aca="false">IF($D7=0,0,(B7^2+B7*E7+E7^2)*I7)</f>
        <v>37748.736</v>
      </c>
      <c r="M7" s="40" t="n">
        <f aca="false">IF($D7=0,0,(B7*F7+2*B7*C7+2*E7*F7+E7*C7)*I7)</f>
        <v>164560.896</v>
      </c>
      <c r="N7" s="40" t="n">
        <f aca="false">IF($D7=0,0,(B7+E7)*I7)</f>
        <v>-2949.12</v>
      </c>
      <c r="O7" s="40" t="n">
        <f aca="false">IF($D7=0,0,(C7+F7)*I7)</f>
        <v>-8501.76</v>
      </c>
      <c r="P7" s="42" t="n">
        <f aca="false">IF($D7=0,0,(G7-B7)*(E7-B7)+(H7-C7)*(F7-C7))</f>
        <v>-163.162</v>
      </c>
      <c r="Q7" s="42" t="n">
        <f aca="false">IF($D7=0,0,(G7-B7)*(F7-C7)-(H7-C7)*(E7-B7))</f>
        <v>22.744</v>
      </c>
      <c r="R7" s="43" t="n">
        <f aca="false">IF($D7=0,"",IFERROR(MOD(DEGREES(ATAN2(P7,-$F$3*Q7)),360),""))</f>
        <v>187.935621350877</v>
      </c>
      <c r="S7" s="44" t="n">
        <f aca="false">IF($D7=0,"",180-R7)</f>
        <v>-7.93562135087655</v>
      </c>
      <c r="T7" s="45" t="str">
        <f aca="false">IF($D7=0,"",IF(R7&gt;180,"入隅(凹)","出隅(凸)"))</f>
        <v>入隅(凹)</v>
      </c>
      <c r="U7" s="4"/>
      <c r="V7" s="55" t="n">
        <v>-37.42</v>
      </c>
      <c r="W7" s="55" t="n">
        <v>-25.95</v>
      </c>
      <c r="X7" s="55" t="n">
        <v>-37.42</v>
      </c>
      <c r="Y7" s="55" t="n">
        <v>-25.95</v>
      </c>
      <c r="Z7" s="55" t="n">
        <v>-37.42</v>
      </c>
      <c r="AA7" s="55" t="n">
        <v>-25.95</v>
      </c>
      <c r="AB7" s="4"/>
    </row>
    <row r="8" customFormat="false" ht="15" hidden="false" customHeight="false" outlineLevel="0" collapsed="false">
      <c r="A8" s="47" t="n">
        <v>4</v>
      </c>
      <c r="B8" s="39" t="n">
        <v>0</v>
      </c>
      <c r="C8" s="39" t="n">
        <v>-18</v>
      </c>
      <c r="D8" s="48" t="n">
        <f aca="false">IF(ROW()-4&lt;=$F$2,1,0)</f>
        <v>1</v>
      </c>
      <c r="E8" s="49" t="n">
        <f aca="false">IF($D8=0,0,INDEX($B$5:$B$20,IF(ROW()-4=$F$2,1,ROW()-4+1)))</f>
        <v>12.8</v>
      </c>
      <c r="F8" s="49" t="n">
        <f aca="false">IF($D8=0,0,INDEX($C$5:$C$20,IF(ROW()-4=$F$2,1,ROW()-4+1)))</f>
        <v>-18.9</v>
      </c>
      <c r="G8" s="49" t="n">
        <f aca="false">IF($D8=0,0,INDEX($B$5:$B$20,IF(ROW()-4=1,$F$2,ROW()-4-1)))</f>
        <v>-12.8</v>
      </c>
      <c r="H8" s="49" t="n">
        <f aca="false">IF($D8=0,0,INDEX($C$5:$C$20,IF(ROW()-4=1,$F$2,ROW()-4-1)))</f>
        <v>-18.9</v>
      </c>
      <c r="I8" s="50" t="n">
        <f aca="false">IF($D8=0,0,B8*F8-E8*C8)</f>
        <v>230.4</v>
      </c>
      <c r="J8" s="49" t="n">
        <f aca="false">IF($D8=0,0,SQRT((E8-B8)^2+(F8-C8)^2))</f>
        <v>12.8316016147635</v>
      </c>
      <c r="K8" s="48" t="n">
        <f aca="false">IF($D8=0,0,(C8^2+C8*F8+F8^2)*I8)</f>
        <v>235332.864</v>
      </c>
      <c r="L8" s="48" t="n">
        <f aca="false">IF($D8=0,0,(B8^2+B8*E8+E8^2)*I8)</f>
        <v>37748.736</v>
      </c>
      <c r="M8" s="48" t="n">
        <f aca="false">IF($D8=0,0,(B8*F8+2*B8*C8+2*E8*F8+E8*C8)*I8)</f>
        <v>-164560.896</v>
      </c>
      <c r="N8" s="48" t="n">
        <f aca="false">IF($D8=0,0,(B8+E8)*I8)</f>
        <v>2949.12</v>
      </c>
      <c r="O8" s="48" t="n">
        <f aca="false">IF($D8=0,0,(C8+F8)*I8)</f>
        <v>-8501.76</v>
      </c>
      <c r="P8" s="50" t="n">
        <f aca="false">IF($D8=0,0,(G8-B8)*(E8-B8)+(H8-C8)*(F8-C8))</f>
        <v>-163.03</v>
      </c>
      <c r="Q8" s="50" t="n">
        <f aca="false">IF($D8=0,0,(G8-B8)*(F8-C8)-(H8-C8)*(E8-B8))</f>
        <v>23.04</v>
      </c>
      <c r="R8" s="51" t="n">
        <f aca="false">IF($D8=0,"",IFERROR(MOD(DEGREES(ATAN2(P8,-$F$3*Q8)),360),""))</f>
        <v>188.04398035404</v>
      </c>
      <c r="S8" s="52" t="n">
        <f aca="false">IF($D8=0,"",180-R8)</f>
        <v>-8.0439803540402</v>
      </c>
      <c r="T8" s="53" t="str">
        <f aca="false">IF($D8=0,"",IF(R8&gt;180,"入隅(凹)","出隅(凸)"))</f>
        <v>入隅(凹)</v>
      </c>
      <c r="U8" s="4"/>
      <c r="V8" s="55" t="n">
        <v>-22.88</v>
      </c>
      <c r="W8" s="55" t="n">
        <v>-20.89</v>
      </c>
      <c r="X8" s="55" t="n">
        <v>-25.36</v>
      </c>
      <c r="Y8" s="55" t="n">
        <v>-21.56</v>
      </c>
      <c r="Z8" s="55" t="n">
        <v>-27.12</v>
      </c>
      <c r="AA8" s="55" t="n">
        <v>-22.09</v>
      </c>
      <c r="AB8" s="4"/>
    </row>
    <row r="9" customFormat="false" ht="15" hidden="false" customHeight="false" outlineLevel="0" collapsed="false">
      <c r="A9" s="38" t="n">
        <v>5</v>
      </c>
      <c r="B9" s="39" t="n">
        <v>12.8</v>
      </c>
      <c r="C9" s="39" t="n">
        <v>-18.9</v>
      </c>
      <c r="D9" s="40" t="n">
        <f aca="false">IF(ROW()-4&lt;=$F$2,1,0)</f>
        <v>1</v>
      </c>
      <c r="E9" s="41" t="n">
        <f aca="false">IF($D9=0,0,INDEX($B$5:$B$20,IF(ROW()-4=$F$2,1,ROW()-4+1)))</f>
        <v>25.36</v>
      </c>
      <c r="F9" s="41" t="n">
        <f aca="false">IF($D9=0,0,INDEX($C$5:$C$20,IF(ROW()-4=$F$2,1,ROW()-4+1)))</f>
        <v>-21.56</v>
      </c>
      <c r="G9" s="41" t="n">
        <f aca="false">IF($D9=0,0,INDEX($B$5:$B$20,IF(ROW()-4=1,$F$2,ROW()-4-1)))</f>
        <v>0</v>
      </c>
      <c r="H9" s="41" t="n">
        <f aca="false">IF($D9=0,0,INDEX($C$5:$C$20,IF(ROW()-4=1,$F$2,ROW()-4-1)))</f>
        <v>-18</v>
      </c>
      <c r="I9" s="42" t="n">
        <f aca="false">IF($D9=0,0,B9*F9-E9*C9)</f>
        <v>203.336</v>
      </c>
      <c r="J9" s="41" t="n">
        <f aca="false">IF($D9=0,0,SQRT((E9-B9)^2+(F9-C9)^2))</f>
        <v>12.8385824762705</v>
      </c>
      <c r="K9" s="40" t="n">
        <f aca="false">IF($D9=0,0,(C9^2+C9*F9+F9^2)*I9)</f>
        <v>250007.2240736</v>
      </c>
      <c r="L9" s="40" t="n">
        <f aca="false">IF($D9=0,0,(B9^2+B9*E9+E9^2)*I9)</f>
        <v>230090.4628736</v>
      </c>
      <c r="M9" s="40" t="n">
        <f aca="false">IF($D9=0,0,(B9*F9+2*B9*C9+2*E9*F9+E9*C9)*I9)</f>
        <v>-474308.7110272</v>
      </c>
      <c r="N9" s="40" t="n">
        <f aca="false">IF($D9=0,0,(B9+E9)*I9)</f>
        <v>7759.30176</v>
      </c>
      <c r="O9" s="40" t="n">
        <f aca="false">IF($D9=0,0,(C9+F9)*I9)</f>
        <v>-8226.97456</v>
      </c>
      <c r="P9" s="42" t="n">
        <f aca="false">IF($D9=0,0,(G9-B9)*(E9-B9)+(H9-C9)*(F9-C9))</f>
        <v>-163.162</v>
      </c>
      <c r="Q9" s="42" t="n">
        <f aca="false">IF($D9=0,0,(G9-B9)*(F9-C9)-(H9-C9)*(E9-B9))</f>
        <v>22.744</v>
      </c>
      <c r="R9" s="43" t="n">
        <f aca="false">IF($D9=0,"",IFERROR(MOD(DEGREES(ATAN2(P9,-$F$3*Q9)),360),""))</f>
        <v>187.935621350877</v>
      </c>
      <c r="S9" s="44" t="n">
        <f aca="false">IF($D9=0,"",180-R9)</f>
        <v>-7.93562135087655</v>
      </c>
      <c r="T9" s="45" t="str">
        <f aca="false">IF($D9=0,"",IF(R9&gt;180,"入隅(凹)","出隅(凸)"))</f>
        <v>入隅(凹)</v>
      </c>
      <c r="U9" s="4"/>
      <c r="V9" s="55" t="n">
        <v>-7.7</v>
      </c>
      <c r="W9" s="55" t="n">
        <v>-18.32</v>
      </c>
      <c r="X9" s="55" t="n">
        <v>-12.8</v>
      </c>
      <c r="Y9" s="55" t="n">
        <v>-18.9</v>
      </c>
      <c r="Z9" s="55" t="n">
        <v>-16.43</v>
      </c>
      <c r="AA9" s="55" t="n">
        <v>-19.48</v>
      </c>
      <c r="AB9" s="4"/>
    </row>
    <row r="10" customFormat="false" ht="15" hidden="false" customHeight="false" outlineLevel="0" collapsed="false">
      <c r="A10" s="47" t="n">
        <v>6</v>
      </c>
      <c r="B10" s="39" t="n">
        <v>25.36</v>
      </c>
      <c r="C10" s="39" t="n">
        <v>-21.56</v>
      </c>
      <c r="D10" s="48" t="n">
        <f aca="false">IF(ROW()-4&lt;=$F$2,1,0)</f>
        <v>1</v>
      </c>
      <c r="E10" s="49" t="n">
        <f aca="false">IF($D10=0,0,INDEX($B$5:$B$20,IF(ROW()-4=$F$2,1,ROW()-4+1)))</f>
        <v>37.42</v>
      </c>
      <c r="F10" s="49" t="n">
        <f aca="false">IF($D10=0,0,INDEX($C$5:$C$20,IF(ROW()-4=$F$2,1,ROW()-4+1)))</f>
        <v>-25.95</v>
      </c>
      <c r="G10" s="49" t="n">
        <f aca="false">IF($D10=0,0,INDEX($B$5:$B$20,IF(ROW()-4=1,$F$2,ROW()-4-1)))</f>
        <v>12.8</v>
      </c>
      <c r="H10" s="49" t="n">
        <f aca="false">IF($D10=0,0,INDEX($C$5:$C$20,IF(ROW()-4=1,$F$2,ROW()-4-1)))</f>
        <v>-18.9</v>
      </c>
      <c r="I10" s="50" t="n">
        <f aca="false">IF($D10=0,0,B10*F10-E10*C10)</f>
        <v>148.6832</v>
      </c>
      <c r="J10" s="49" t="n">
        <f aca="false">IF($D10=0,0,SQRT((E10-B10)^2+(F10-C10)^2))</f>
        <v>12.8341614451432</v>
      </c>
      <c r="K10" s="48" t="n">
        <f aca="false">IF($D10=0,0,(C10^2+C10*F10+F10^2)*I10)</f>
        <v>252422.15980592</v>
      </c>
      <c r="L10" s="48" t="n">
        <f aca="false">IF($D10=0,0,(B10^2+B10*E10+E10^2)*I10)</f>
        <v>444913.24403904</v>
      </c>
      <c r="M10" s="48" t="n">
        <f aca="false">IF($D10=0,0,(B10*F10+2*B10*C10+2*E10*F10+E10*C10)*I10)</f>
        <v>-669147.01687488</v>
      </c>
      <c r="N10" s="48" t="n">
        <f aca="false">IF($D10=0,0,(B10+E10)*I10)</f>
        <v>9334.331296</v>
      </c>
      <c r="O10" s="48" t="n">
        <f aca="false">IF($D10=0,0,(C10+F10)*I10)</f>
        <v>-7063.938832</v>
      </c>
      <c r="P10" s="50" t="n">
        <f aca="false">IF($D10=0,0,(G10-B10)*(E10-B10)+(H10-C10)*(F10-C10))</f>
        <v>-163.151</v>
      </c>
      <c r="Q10" s="50" t="n">
        <f aca="false">IF($D10=0,0,(G10-B10)*(F10-C10)-(H10-C10)*(E10-B10))</f>
        <v>23.0588</v>
      </c>
      <c r="R10" s="51" t="n">
        <f aca="false">IF($D10=0,"",IFERROR(MOD(DEGREES(ATAN2(P10,-$F$3*Q10)),360),""))</f>
        <v>188.044565616223</v>
      </c>
      <c r="S10" s="52" t="n">
        <f aca="false">IF($D10=0,"",180-R10)</f>
        <v>-8.04456561622317</v>
      </c>
      <c r="T10" s="53" t="str">
        <f aca="false">IF($D10=0,"",IF(R10&gt;180,"入隅(凹)","出隅(凸)"))</f>
        <v>入隅(凹)</v>
      </c>
      <c r="U10" s="4"/>
      <c r="V10" s="55" t="n">
        <v>7.7</v>
      </c>
      <c r="W10" s="55" t="n">
        <v>-18.32</v>
      </c>
      <c r="X10" s="55" t="n">
        <v>0</v>
      </c>
      <c r="Y10" s="55" t="n">
        <v>-18</v>
      </c>
      <c r="Z10" s="55" t="n">
        <v>-5.5</v>
      </c>
      <c r="AA10" s="55" t="n">
        <v>-18.16</v>
      </c>
      <c r="AB10" s="4"/>
    </row>
    <row r="11" customFormat="false" ht="15" hidden="false" customHeight="false" outlineLevel="0" collapsed="false">
      <c r="A11" s="38" t="n">
        <v>7</v>
      </c>
      <c r="B11" s="39" t="n">
        <v>37.42</v>
      </c>
      <c r="C11" s="39" t="n">
        <v>-25.95</v>
      </c>
      <c r="D11" s="40" t="n">
        <f aca="false">IF(ROW()-4&lt;=$F$2,1,0)</f>
        <v>1</v>
      </c>
      <c r="E11" s="41" t="n">
        <f aca="false">IF($D11=0,0,INDEX($B$5:$B$20,IF(ROW()-4=$F$2,1,ROW()-4+1)))</f>
        <v>57.76</v>
      </c>
      <c r="F11" s="41" t="n">
        <f aca="false">IF($D11=0,0,INDEX($C$5:$C$20,IF(ROW()-4=$F$2,1,ROW()-4+1)))</f>
        <v>19.72</v>
      </c>
      <c r="G11" s="41" t="n">
        <f aca="false">IF($D11=0,0,INDEX($B$5:$B$20,IF(ROW()-4=1,$F$2,ROW()-4-1)))</f>
        <v>25.36</v>
      </c>
      <c r="H11" s="41" t="n">
        <f aca="false">IF($D11=0,0,INDEX($C$5:$C$20,IF(ROW()-4=1,$F$2,ROW()-4-1)))</f>
        <v>-21.56</v>
      </c>
      <c r="I11" s="42" t="n">
        <f aca="false">IF($D11=0,0,B11*F11-E11*C11)</f>
        <v>2236.7944</v>
      </c>
      <c r="J11" s="41" t="n">
        <f aca="false">IF($D11=0,0,SQRT((E11-B11)^2+(F11-C11)^2))</f>
        <v>49.994644713209</v>
      </c>
      <c r="K11" s="40" t="n">
        <f aca="false">IF($D11=0,0,(C11^2+C11*F11+F11^2)*I11)</f>
        <v>1231460.22285736</v>
      </c>
      <c r="L11" s="40" t="n">
        <f aca="false">IF($D11=0,0,(B11^2+B11*E11+E11^2)*I11)</f>
        <v>15429079.4097821</v>
      </c>
      <c r="M11" s="40" t="n">
        <f aca="false">IF($D11=0,0,(B11*F11+2*B11*C11+2*E11*F11+E11*C11)*I11)</f>
        <v>-950622.40979808</v>
      </c>
      <c r="N11" s="40" t="n">
        <f aca="false">IF($D11=0,0,(B11+E11)*I11)</f>
        <v>212898.090992</v>
      </c>
      <c r="O11" s="40" t="n">
        <f aca="false">IF($D11=0,0,(C11+F11)*I11)</f>
        <v>-13935.229112</v>
      </c>
      <c r="P11" s="42" t="n">
        <f aca="false">IF($D11=0,0,(G11-B11)*(E11-B11)+(H11-C11)*(F11-C11))</f>
        <v>-44.8091</v>
      </c>
      <c r="Q11" s="42" t="n">
        <f aca="false">IF($D11=0,0,(G11-B11)*(F11-C11)-(H11-C11)*(E11-B11))</f>
        <v>-640.0728</v>
      </c>
      <c r="R11" s="43" t="n">
        <f aca="false">IF($D11=0,"",IFERROR(MOD(DEGREES(ATAN2(P11,-$F$3*Q11)),360),""))</f>
        <v>94.0045296088302</v>
      </c>
      <c r="S11" s="44" t="n">
        <f aca="false">IF($D11=0,"",180-R11)</f>
        <v>85.9954703911698</v>
      </c>
      <c r="T11" s="45" t="str">
        <f aca="false">IF($D11=0,"",IF(R11&gt;180,"入隅(凹)","出隅(凸)"))</f>
        <v>出隅(凸)</v>
      </c>
      <c r="U11" s="4"/>
      <c r="V11" s="55" t="n">
        <v>22.88</v>
      </c>
      <c r="W11" s="55" t="n">
        <v>-20.89</v>
      </c>
      <c r="X11" s="55" t="n">
        <v>12.8</v>
      </c>
      <c r="Y11" s="55" t="n">
        <v>-18.9</v>
      </c>
      <c r="Z11" s="55" t="n">
        <v>5.5</v>
      </c>
      <c r="AA11" s="55" t="n">
        <v>-18.16</v>
      </c>
      <c r="AB11" s="4"/>
    </row>
    <row r="12" customFormat="false" ht="15" hidden="false" customHeight="false" outlineLevel="0" collapsed="false">
      <c r="A12" s="47" t="n">
        <v>8</v>
      </c>
      <c r="B12" s="39" t="n">
        <v>57.76</v>
      </c>
      <c r="C12" s="39" t="n">
        <v>19.72</v>
      </c>
      <c r="D12" s="48" t="n">
        <f aca="false">IF(ROW()-4&lt;=$F$2,1,0)</f>
        <v>1</v>
      </c>
      <c r="E12" s="49" t="n">
        <f aca="false">IF($D12=0,0,INDEX($B$5:$B$20,IF(ROW()-4=$F$2,1,ROW()-4+1)))</f>
        <v>39.14</v>
      </c>
      <c r="F12" s="49" t="n">
        <f aca="false">IF($D12=0,0,INDEX($C$5:$C$20,IF(ROW()-4=$F$2,1,ROW()-4+1)))</f>
        <v>26.5</v>
      </c>
      <c r="G12" s="49" t="n">
        <f aca="false">IF($D12=0,0,INDEX($B$5:$B$20,IF(ROW()-4=1,$F$2,ROW()-4-1)))</f>
        <v>37.42</v>
      </c>
      <c r="H12" s="49" t="n">
        <f aca="false">IF($D12=0,0,INDEX($C$5:$C$20,IF(ROW()-4=1,$F$2,ROW()-4-1)))</f>
        <v>-25.95</v>
      </c>
      <c r="I12" s="50" t="n">
        <f aca="false">IF($D12=0,0,B12*F12-E12*C12)</f>
        <v>758.7992</v>
      </c>
      <c r="J12" s="49" t="n">
        <f aca="false">IF($D12=0,0,SQRT((E12-B12)^2+(F12-C12)^2))</f>
        <v>19.8159733548468</v>
      </c>
      <c r="K12" s="48" t="n">
        <f aca="false">IF($D12=0,0,(C12^2+C12*F12+F12^2)*I12)</f>
        <v>1224480.64295328</v>
      </c>
      <c r="L12" s="48" t="n">
        <f aca="false">IF($D12=0,0,(B12^2+B12*E12+E12^2)*I12)</f>
        <v>5409391.17257312</v>
      </c>
      <c r="M12" s="48" t="n">
        <f aca="false">IF($D12=0,0,(B12*F12+2*B12*C12+2*E12*F12+E12*C12)*I12)</f>
        <v>5049774.68179584</v>
      </c>
      <c r="N12" s="48" t="n">
        <f aca="false">IF($D12=0,0,(B12+E12)*I12)</f>
        <v>73527.64248</v>
      </c>
      <c r="O12" s="48" t="n">
        <f aca="false">IF($D12=0,0,(C12+F12)*I12)</f>
        <v>35071.699024</v>
      </c>
      <c r="P12" s="50" t="n">
        <f aca="false">IF($D12=0,0,(G12-B12)*(E12-B12)+(H12-C12)*(F12-C12))</f>
        <v>69.0881999999998</v>
      </c>
      <c r="Q12" s="50" t="n">
        <f aca="false">IF($D12=0,0,(G12-B12)*(F12-C12)-(H12-C12)*(E12-B12))</f>
        <v>-988.2806</v>
      </c>
      <c r="R12" s="51" t="n">
        <f aca="false">IF($D12=0,"",IFERROR(MOD(DEGREES(ATAN2(P12,-$F$3*Q12)),360),""))</f>
        <v>86.001102612773</v>
      </c>
      <c r="S12" s="52" t="n">
        <f aca="false">IF($D12=0,"",180-R12)</f>
        <v>93.9988973872271</v>
      </c>
      <c r="T12" s="53" t="str">
        <f aca="false">IF($D12=0,"",IF(R12&gt;180,"入隅(凹)","出隅(凸)"))</f>
        <v>出隅(凸)</v>
      </c>
      <c r="U12" s="4"/>
      <c r="V12" s="55" t="n">
        <v>37.42</v>
      </c>
      <c r="W12" s="55" t="n">
        <v>-25.95</v>
      </c>
      <c r="X12" s="55" t="n">
        <v>25.36</v>
      </c>
      <c r="Y12" s="55" t="n">
        <v>-21.56</v>
      </c>
      <c r="Z12" s="55" t="n">
        <v>16.43</v>
      </c>
      <c r="AA12" s="55" t="n">
        <v>-19.48</v>
      </c>
      <c r="AB12" s="4"/>
    </row>
    <row r="13" customFormat="false" ht="15" hidden="false" customHeight="false" outlineLevel="0" collapsed="false">
      <c r="A13" s="38" t="n">
        <v>9</v>
      </c>
      <c r="B13" s="39" t="n">
        <v>39.14</v>
      </c>
      <c r="C13" s="39" t="n">
        <v>26.5</v>
      </c>
      <c r="D13" s="40" t="n">
        <f aca="false">IF(ROW()-4&lt;=$F$2,1,0)</f>
        <v>1</v>
      </c>
      <c r="E13" s="41" t="n">
        <f aca="false">IF($D13=0,0,INDEX($B$5:$B$20,IF(ROW()-4=$F$2,1,ROW()-4+1)))</f>
        <v>19.76</v>
      </c>
      <c r="F13" s="41" t="n">
        <f aca="false">IF($D13=0,0,INDEX($C$5:$C$20,IF(ROW()-4=$F$2,1,ROW()-4+1)))</f>
        <v>30.62</v>
      </c>
      <c r="G13" s="41" t="n">
        <f aca="false">IF($D13=0,0,INDEX($B$5:$B$20,IF(ROW()-4=1,$F$2,ROW()-4-1)))</f>
        <v>57.76</v>
      </c>
      <c r="H13" s="41" t="n">
        <f aca="false">IF($D13=0,0,INDEX($C$5:$C$20,IF(ROW()-4=1,$F$2,ROW()-4-1)))</f>
        <v>19.72</v>
      </c>
      <c r="I13" s="42" t="n">
        <f aca="false">IF($D13=0,0,B13*F13-E13*C13)</f>
        <v>674.8268</v>
      </c>
      <c r="J13" s="41" t="n">
        <f aca="false">IF($D13=0,0,SQRT((E13-B13)^2+(F13-C13)^2))</f>
        <v>19.8130966787123</v>
      </c>
      <c r="K13" s="40" t="n">
        <f aca="false">IF($D13=0,0,(C13^2+C13*F13+F13^2)*I13)</f>
        <v>1654178.91100592</v>
      </c>
      <c r="L13" s="40" t="n">
        <f aca="false">IF($D13=0,0,(B13^2+B13*E13+E13^2)*I13)</f>
        <v>1819200.51681648</v>
      </c>
      <c r="M13" s="40" t="n">
        <f aca="false">IF($D13=0,0,(B13*F13+2*B13*C13+2*E13*F13+E13*C13)*I13)</f>
        <v>3378607.56182256</v>
      </c>
      <c r="N13" s="40" t="n">
        <f aca="false">IF($D13=0,0,(B13+E13)*I13)</f>
        <v>39747.29852</v>
      </c>
      <c r="O13" s="40" t="n">
        <f aca="false">IF($D13=0,0,(C13+F13)*I13)</f>
        <v>38546.106816</v>
      </c>
      <c r="P13" s="42" t="n">
        <f aca="false">IF($D13=0,0,(G13-B13)*(E13-B13)+(H13-C13)*(F13-C13))</f>
        <v>-388.7892</v>
      </c>
      <c r="Q13" s="42" t="n">
        <f aca="false">IF($D13=0,0,(G13-B13)*(F13-C13)-(H13-C13)*(E13-B13))</f>
        <v>-54.682</v>
      </c>
      <c r="R13" s="43" t="n">
        <f aca="false">IF($D13=0,"",IFERROR(MOD(DEGREES(ATAN2(P13,-$F$3*Q13)),360),""))</f>
        <v>171.994040084824</v>
      </c>
      <c r="S13" s="44" t="n">
        <f aca="false">IF($D13=0,"",180-R13)</f>
        <v>8.00595991517642</v>
      </c>
      <c r="T13" s="45" t="str">
        <f aca="false">IF($D13=0,"",IF(R13&gt;180,"入隅(凹)","出隅(凸)"))</f>
        <v>出隅(凸)</v>
      </c>
      <c r="U13" s="4"/>
      <c r="V13" s="55" t="n">
        <v>57.76</v>
      </c>
      <c r="W13" s="55" t="n">
        <v>19.72</v>
      </c>
      <c r="X13" s="55" t="n">
        <v>37.42</v>
      </c>
      <c r="Y13" s="55" t="n">
        <v>-25.95</v>
      </c>
      <c r="Z13" s="55" t="n">
        <v>27.12</v>
      </c>
      <c r="AA13" s="55" t="n">
        <v>-22.09</v>
      </c>
      <c r="AB13" s="4"/>
    </row>
    <row r="14" customFormat="false" ht="15" hidden="false" customHeight="false" outlineLevel="0" collapsed="false">
      <c r="A14" s="47" t="n">
        <v>10</v>
      </c>
      <c r="B14" s="39" t="n">
        <v>19.76</v>
      </c>
      <c r="C14" s="39" t="n">
        <v>30.62</v>
      </c>
      <c r="D14" s="48" t="n">
        <f aca="false">IF(ROW()-4&lt;=$F$2,1,0)</f>
        <v>1</v>
      </c>
      <c r="E14" s="49" t="n">
        <f aca="false">IF($D14=0,0,INDEX($B$5:$B$20,IF(ROW()-4=$F$2,1,ROW()-4+1)))</f>
        <v>0</v>
      </c>
      <c r="F14" s="49" t="n">
        <f aca="false">IF($D14=0,0,INDEX($C$5:$C$20,IF(ROW()-4=$F$2,1,ROW()-4+1)))</f>
        <v>32</v>
      </c>
      <c r="G14" s="49" t="n">
        <f aca="false">IF($D14=0,0,INDEX($B$5:$B$20,IF(ROW()-4=1,$F$2,ROW()-4-1)))</f>
        <v>39.14</v>
      </c>
      <c r="H14" s="49" t="n">
        <f aca="false">IF($D14=0,0,INDEX($C$5:$C$20,IF(ROW()-4=1,$F$2,ROW()-4-1)))</f>
        <v>26.5</v>
      </c>
      <c r="I14" s="50" t="n">
        <f aca="false">IF($D14=0,0,B14*F14-E14*C14)</f>
        <v>632.32</v>
      </c>
      <c r="J14" s="49" t="n">
        <f aca="false">IF($D14=0,0,SQRT((E14-B14)^2+(F14-C14)^2))</f>
        <v>19.8081296441638</v>
      </c>
      <c r="K14" s="48" t="n">
        <f aca="false">IF($D14=0,0,(C14^2+C14*F14+F14^2)*I14)</f>
        <v>1859921.476608</v>
      </c>
      <c r="L14" s="48" t="n">
        <f aca="false">IF($D14=0,0,(B14^2+B14*E14+E14^2)*I14)</f>
        <v>246894.149632</v>
      </c>
      <c r="M14" s="48" t="n">
        <f aca="false">IF($D14=0,0,(B14*F14+2*B14*C14+2*E14*F14+E14*C14)*I14)</f>
        <v>1165000.531968</v>
      </c>
      <c r="N14" s="48" t="n">
        <f aca="false">IF($D14=0,0,(B14+E14)*I14)</f>
        <v>12494.6432</v>
      </c>
      <c r="O14" s="48" t="n">
        <f aca="false">IF($D14=0,0,(C14+F14)*I14)</f>
        <v>39595.8784</v>
      </c>
      <c r="P14" s="50" t="n">
        <f aca="false">IF($D14=0,0,(G14-B14)*(E14-B14)+(H14-C14)*(F14-C14))</f>
        <v>-388.6344</v>
      </c>
      <c r="Q14" s="50" t="n">
        <f aca="false">IF($D14=0,0,(G14-B14)*(F14-C14)-(H14-C14)*(E14-B14))</f>
        <v>-54.6668</v>
      </c>
      <c r="R14" s="51" t="n">
        <f aca="false">IF($D14=0,"",IFERROR(MOD(DEGREES(ATAN2(P14,-$F$3*Q14)),360),""))</f>
        <v>171.993089961117</v>
      </c>
      <c r="S14" s="52" t="n">
        <f aca="false">IF($D14=0,"",180-R14)</f>
        <v>8.00691003888309</v>
      </c>
      <c r="T14" s="53" t="str">
        <f aca="false">IF($D14=0,"",IF(R14&gt;180,"入隅(凹)","出隅(凸)"))</f>
        <v>出隅(凸)</v>
      </c>
      <c r="U14" s="4"/>
      <c r="V14" s="55" t="n">
        <v>35.31</v>
      </c>
      <c r="W14" s="55" t="n">
        <v>27.54</v>
      </c>
      <c r="X14" s="55" t="n">
        <v>57.76</v>
      </c>
      <c r="Y14" s="55" t="n">
        <v>19.72</v>
      </c>
      <c r="Z14" s="55" t="n">
        <v>37.42</v>
      </c>
      <c r="AA14" s="55" t="n">
        <v>-25.95</v>
      </c>
      <c r="AB14" s="4"/>
    </row>
    <row r="15" customFormat="false" ht="15" hidden="false" customHeight="false" outlineLevel="0" collapsed="false">
      <c r="A15" s="38" t="n">
        <v>11</v>
      </c>
      <c r="B15" s="39" t="n">
        <v>0</v>
      </c>
      <c r="C15" s="39" t="n">
        <v>32</v>
      </c>
      <c r="D15" s="40" t="n">
        <f aca="false">IF(ROW()-4&lt;=$F$2,1,0)</f>
        <v>1</v>
      </c>
      <c r="E15" s="41" t="n">
        <f aca="false">IF($D15=0,0,INDEX($B$5:$B$20,IF(ROW()-4=$F$2,1,ROW()-4+1)))</f>
        <v>-19.76</v>
      </c>
      <c r="F15" s="41" t="n">
        <f aca="false">IF($D15=0,0,INDEX($C$5:$C$20,IF(ROW()-4=$F$2,1,ROW()-4+1)))</f>
        <v>30.62</v>
      </c>
      <c r="G15" s="41" t="n">
        <f aca="false">IF($D15=0,0,INDEX($B$5:$B$20,IF(ROW()-4=1,$F$2,ROW()-4-1)))</f>
        <v>19.76</v>
      </c>
      <c r="H15" s="41" t="n">
        <f aca="false">IF($D15=0,0,INDEX($C$5:$C$20,IF(ROW()-4=1,$F$2,ROW()-4-1)))</f>
        <v>30.62</v>
      </c>
      <c r="I15" s="42" t="n">
        <f aca="false">IF($D15=0,0,B15*F15-E15*C15)</f>
        <v>632.32</v>
      </c>
      <c r="J15" s="41" t="n">
        <f aca="false">IF($D15=0,0,SQRT((E15-B15)^2+(F15-C15)^2))</f>
        <v>19.8081296441638</v>
      </c>
      <c r="K15" s="40" t="n">
        <f aca="false">IF($D15=0,0,(C15^2+C15*F15+F15^2)*I15)</f>
        <v>1859921.476608</v>
      </c>
      <c r="L15" s="40" t="n">
        <f aca="false">IF($D15=0,0,(B15^2+B15*E15+E15^2)*I15)</f>
        <v>246894.149632</v>
      </c>
      <c r="M15" s="40" t="n">
        <f aca="false">IF($D15=0,0,(B15*F15+2*B15*C15+2*E15*F15+E15*C15)*I15)</f>
        <v>-1165000.531968</v>
      </c>
      <c r="N15" s="40" t="n">
        <f aca="false">IF($D15=0,0,(B15+E15)*I15)</f>
        <v>-12494.6432</v>
      </c>
      <c r="O15" s="40" t="n">
        <f aca="false">IF($D15=0,0,(C15+F15)*I15)</f>
        <v>39595.8784</v>
      </c>
      <c r="P15" s="42" t="n">
        <f aca="false">IF($D15=0,0,(G15-B15)*(E15-B15)+(H15-C15)*(F15-C15))</f>
        <v>-388.5532</v>
      </c>
      <c r="Q15" s="42" t="n">
        <f aca="false">IF($D15=0,0,(G15-B15)*(F15-C15)-(H15-C15)*(E15-B15))</f>
        <v>-54.5376</v>
      </c>
      <c r="R15" s="43" t="n">
        <f aca="false">IF($D15=0,"",IFERROR(MOD(DEGREES(ATAN2(P15,-$F$3*Q15)),360),""))</f>
        <v>172.010121176673</v>
      </c>
      <c r="S15" s="44" t="n">
        <f aca="false">IF($D15=0,"",180-R15)</f>
        <v>7.98987882332676</v>
      </c>
      <c r="T15" s="45" t="str">
        <f aca="false">IF($D15=0,"",IF(R15&gt;180,"入隅(凹)","出隅(凸)"))</f>
        <v>出隅(凸)</v>
      </c>
      <c r="U15" s="4"/>
      <c r="V15" s="55" t="n">
        <v>11.88</v>
      </c>
      <c r="W15" s="55" t="n">
        <v>31.5</v>
      </c>
      <c r="X15" s="55" t="n">
        <v>39.14</v>
      </c>
      <c r="Y15" s="55" t="n">
        <v>26.5</v>
      </c>
      <c r="Z15" s="55" t="n">
        <v>57.76</v>
      </c>
      <c r="AA15" s="55" t="n">
        <v>19.72</v>
      </c>
      <c r="AB15" s="4"/>
    </row>
    <row r="16" customFormat="false" ht="15" hidden="false" customHeight="false" outlineLevel="0" collapsed="false">
      <c r="A16" s="47" t="n">
        <v>12</v>
      </c>
      <c r="B16" s="39" t="n">
        <v>-19.76</v>
      </c>
      <c r="C16" s="39" t="n">
        <v>30.62</v>
      </c>
      <c r="D16" s="48" t="n">
        <f aca="false">IF(ROW()-4&lt;=$F$2,1,0)</f>
        <v>1</v>
      </c>
      <c r="E16" s="49" t="n">
        <f aca="false">IF($D16=0,0,INDEX($B$5:$B$20,IF(ROW()-4=$F$2,1,ROW()-4+1)))</f>
        <v>-39.14</v>
      </c>
      <c r="F16" s="49" t="n">
        <f aca="false">IF($D16=0,0,INDEX($C$5:$C$20,IF(ROW()-4=$F$2,1,ROW()-4+1)))</f>
        <v>26.5</v>
      </c>
      <c r="G16" s="49" t="n">
        <f aca="false">IF($D16=0,0,INDEX($B$5:$B$20,IF(ROW()-4=1,$F$2,ROW()-4-1)))</f>
        <v>0</v>
      </c>
      <c r="H16" s="49" t="n">
        <f aca="false">IF($D16=0,0,INDEX($C$5:$C$20,IF(ROW()-4=1,$F$2,ROW()-4-1)))</f>
        <v>32</v>
      </c>
      <c r="I16" s="50" t="n">
        <f aca="false">IF($D16=0,0,B16*F16-E16*C16)</f>
        <v>674.8268</v>
      </c>
      <c r="J16" s="49" t="n">
        <f aca="false">IF($D16=0,0,SQRT((E16-B16)^2+(F16-C16)^2))</f>
        <v>19.8130966787123</v>
      </c>
      <c r="K16" s="48" t="n">
        <f aca="false">IF($D16=0,0,(C16^2+C16*F16+F16^2)*I16)</f>
        <v>1654178.91100592</v>
      </c>
      <c r="L16" s="48" t="n">
        <f aca="false">IF($D16=0,0,(B16^2+B16*E16+E16^2)*I16)</f>
        <v>1819200.51681648</v>
      </c>
      <c r="M16" s="48" t="n">
        <f aca="false">IF($D16=0,0,(B16*F16+2*B16*C16+2*E16*F16+E16*C16)*I16)</f>
        <v>-3378607.56182256</v>
      </c>
      <c r="N16" s="48" t="n">
        <f aca="false">IF($D16=0,0,(B16+E16)*I16)</f>
        <v>-39747.29852</v>
      </c>
      <c r="O16" s="48" t="n">
        <f aca="false">IF($D16=0,0,(C16+F16)*I16)</f>
        <v>38546.106816</v>
      </c>
      <c r="P16" s="50" t="n">
        <f aca="false">IF($D16=0,0,(G16-B16)*(E16-B16)+(H16-C16)*(F16-C16))</f>
        <v>-388.6344</v>
      </c>
      <c r="Q16" s="50" t="n">
        <f aca="false">IF($D16=0,0,(G16-B16)*(F16-C16)-(H16-C16)*(E16-B16))</f>
        <v>-54.6668</v>
      </c>
      <c r="R16" s="51" t="n">
        <f aca="false">IF($D16=0,"",IFERROR(MOD(DEGREES(ATAN2(P16,-$F$3*Q16)),360),""))</f>
        <v>171.993089961117</v>
      </c>
      <c r="S16" s="52" t="n">
        <f aca="false">IF($D16=0,"",180-R16)</f>
        <v>8.00691003888309</v>
      </c>
      <c r="T16" s="53" t="str">
        <f aca="false">IF($D16=0,"",IF(R16&gt;180,"入隅(凹)","出隅(凸)"))</f>
        <v>出隅(凸)</v>
      </c>
      <c r="U16" s="4"/>
      <c r="V16" s="55" t="n">
        <v>-11.88</v>
      </c>
      <c r="W16" s="55" t="n">
        <v>31.5</v>
      </c>
      <c r="X16" s="55" t="n">
        <v>19.76</v>
      </c>
      <c r="Y16" s="55" t="n">
        <v>30.62</v>
      </c>
      <c r="Z16" s="55" t="n">
        <v>29.52</v>
      </c>
      <c r="AA16" s="55" t="n">
        <v>28.9</v>
      </c>
      <c r="AB16" s="4"/>
    </row>
    <row r="17" customFormat="false" ht="15" hidden="false" customHeight="false" outlineLevel="0" collapsed="false">
      <c r="A17" s="38" t="n">
        <v>13</v>
      </c>
      <c r="B17" s="39" t="n">
        <v>-39.14</v>
      </c>
      <c r="C17" s="39" t="n">
        <v>26.5</v>
      </c>
      <c r="D17" s="40" t="n">
        <f aca="false">IF(ROW()-4&lt;=$F$2,1,0)</f>
        <v>1</v>
      </c>
      <c r="E17" s="41" t="n">
        <f aca="false">IF($D17=0,0,INDEX($B$5:$B$20,IF(ROW()-4=$F$2,1,ROW()-4+1)))</f>
        <v>-57.76</v>
      </c>
      <c r="F17" s="41" t="n">
        <f aca="false">IF($D17=0,0,INDEX($C$5:$C$20,IF(ROW()-4=$F$2,1,ROW()-4+1)))</f>
        <v>19.72</v>
      </c>
      <c r="G17" s="41" t="n">
        <f aca="false">IF($D17=0,0,INDEX($B$5:$B$20,IF(ROW()-4=1,$F$2,ROW()-4-1)))</f>
        <v>-19.76</v>
      </c>
      <c r="H17" s="41" t="n">
        <f aca="false">IF($D17=0,0,INDEX($C$5:$C$20,IF(ROW()-4=1,$F$2,ROW()-4-1)))</f>
        <v>30.62</v>
      </c>
      <c r="I17" s="42" t="n">
        <f aca="false">IF($D17=0,0,B17*F17-E17*C17)</f>
        <v>758.7992</v>
      </c>
      <c r="J17" s="41" t="n">
        <f aca="false">IF($D17=0,0,SQRT((E17-B17)^2+(F17-C17)^2))</f>
        <v>19.8159733548468</v>
      </c>
      <c r="K17" s="40" t="n">
        <f aca="false">IF($D17=0,0,(C17^2+C17*F17+F17^2)*I17)</f>
        <v>1224480.64295328</v>
      </c>
      <c r="L17" s="40" t="n">
        <f aca="false">IF($D17=0,0,(B17^2+B17*E17+E17^2)*I17)</f>
        <v>5409391.17257312</v>
      </c>
      <c r="M17" s="40" t="n">
        <f aca="false">IF($D17=0,0,(B17*F17+2*B17*C17+2*E17*F17+E17*C17)*I17)</f>
        <v>-5049774.68179584</v>
      </c>
      <c r="N17" s="40" t="n">
        <f aca="false">IF($D17=0,0,(B17+E17)*I17)</f>
        <v>-73527.64248</v>
      </c>
      <c r="O17" s="40" t="n">
        <f aca="false">IF($D17=0,0,(C17+F17)*I17)</f>
        <v>35071.699024</v>
      </c>
      <c r="P17" s="42" t="n">
        <f aca="false">IF($D17=0,0,(G17-B17)*(E17-B17)+(H17-C17)*(F17-C17))</f>
        <v>-388.7892</v>
      </c>
      <c r="Q17" s="42" t="n">
        <f aca="false">IF($D17=0,0,(G17-B17)*(F17-C17)-(H17-C17)*(E17-B17))</f>
        <v>-54.682</v>
      </c>
      <c r="R17" s="43" t="n">
        <f aca="false">IF($D17=0,"",IFERROR(MOD(DEGREES(ATAN2(P17,-$F$3*Q17)),360),""))</f>
        <v>171.994040084824</v>
      </c>
      <c r="S17" s="44" t="n">
        <f aca="false">IF($D17=0,"",180-R17)</f>
        <v>8.00595991517642</v>
      </c>
      <c r="T17" s="45" t="str">
        <f aca="false">IF($D17=0,"",IF(R17&gt;180,"入隅(凹)","出隅(凸)"))</f>
        <v>出隅(凸)</v>
      </c>
      <c r="U17" s="4"/>
      <c r="V17" s="55" t="n">
        <v>-35.31</v>
      </c>
      <c r="W17" s="55" t="n">
        <v>27.54</v>
      </c>
      <c r="X17" s="55" t="n">
        <v>0</v>
      </c>
      <c r="Y17" s="55" t="n">
        <v>32</v>
      </c>
      <c r="Z17" s="55" t="n">
        <v>9.91</v>
      </c>
      <c r="AA17" s="55" t="n">
        <v>31.65</v>
      </c>
      <c r="AB17" s="4"/>
    </row>
    <row r="18" customFormat="false" ht="15" hidden="false" customHeight="false" outlineLevel="0" collapsed="false">
      <c r="A18" s="47" t="n">
        <v>14</v>
      </c>
      <c r="B18" s="39" t="n">
        <v>-57.76</v>
      </c>
      <c r="C18" s="39" t="n">
        <v>19.72</v>
      </c>
      <c r="D18" s="48" t="n">
        <f aca="false">IF(ROW()-4&lt;=$F$2,1,0)</f>
        <v>1</v>
      </c>
      <c r="E18" s="49" t="n">
        <f aca="false">IF($D18=0,0,INDEX($B$5:$B$20,IF(ROW()-4=$F$2,1,ROW()-4+1)))</f>
        <v>-37.42</v>
      </c>
      <c r="F18" s="49" t="n">
        <f aca="false">IF($D18=0,0,INDEX($C$5:$C$20,IF(ROW()-4=$F$2,1,ROW()-4+1)))</f>
        <v>-25.95</v>
      </c>
      <c r="G18" s="49" t="n">
        <f aca="false">IF($D18=0,0,INDEX($B$5:$B$20,IF(ROW()-4=1,$F$2,ROW()-4-1)))</f>
        <v>-39.14</v>
      </c>
      <c r="H18" s="49" t="n">
        <f aca="false">IF($D18=0,0,INDEX($C$5:$C$20,IF(ROW()-4=1,$F$2,ROW()-4-1)))</f>
        <v>26.5</v>
      </c>
      <c r="I18" s="50" t="n">
        <f aca="false">IF($D18=0,0,B18*F18-E18*C18)</f>
        <v>2236.7944</v>
      </c>
      <c r="J18" s="49" t="n">
        <f aca="false">IF($D18=0,0,SQRT((E18-B18)^2+(F18-C18)^2))</f>
        <v>49.994644713209</v>
      </c>
      <c r="K18" s="48" t="n">
        <f aca="false">IF($D18=0,0,(C18^2+C18*F18+F18^2)*I18)</f>
        <v>1231460.22285736</v>
      </c>
      <c r="L18" s="48" t="n">
        <f aca="false">IF($D18=0,0,(B18^2+B18*E18+E18^2)*I18)</f>
        <v>15429079.4097821</v>
      </c>
      <c r="M18" s="48" t="n">
        <f aca="false">IF($D18=0,0,(B18*F18+2*B18*C18+2*E18*F18+E18*C18)*I18)</f>
        <v>950622.409798079</v>
      </c>
      <c r="N18" s="48" t="n">
        <f aca="false">IF($D18=0,0,(B18+E18)*I18)</f>
        <v>-212898.090992</v>
      </c>
      <c r="O18" s="48" t="n">
        <f aca="false">IF($D18=0,0,(C18+F18)*I18)</f>
        <v>-13935.229112</v>
      </c>
      <c r="P18" s="50" t="n">
        <f aca="false">IF($D18=0,0,(G18-B18)*(E18-B18)+(H18-C18)*(F18-C18))</f>
        <v>69.0881999999998</v>
      </c>
      <c r="Q18" s="50" t="n">
        <f aca="false">IF($D18=0,0,(G18-B18)*(F18-C18)-(H18-C18)*(E18-B18))</f>
        <v>-988.2806</v>
      </c>
      <c r="R18" s="51" t="n">
        <f aca="false">IF($D18=0,"",IFERROR(MOD(DEGREES(ATAN2(P18,-$F$3*Q18)),360),""))</f>
        <v>86.001102612773</v>
      </c>
      <c r="S18" s="52" t="n">
        <f aca="false">IF($D18=0,"",180-R18)</f>
        <v>93.9988973872271</v>
      </c>
      <c r="T18" s="53" t="str">
        <f aca="false">IF($D18=0,"",IF(R18&gt;180,"入隅(凹)","出隅(凸)"))</f>
        <v>出隅(凸)</v>
      </c>
      <c r="U18" s="4"/>
      <c r="V18" s="55" t="n">
        <v>-57.76</v>
      </c>
      <c r="W18" s="55" t="n">
        <v>19.72</v>
      </c>
      <c r="X18" s="55" t="n">
        <v>-19.76</v>
      </c>
      <c r="Y18" s="55" t="n">
        <v>30.62</v>
      </c>
      <c r="Z18" s="55" t="n">
        <v>8.02</v>
      </c>
      <c r="AA18" s="55" t="n">
        <v>4.72</v>
      </c>
      <c r="AB18" s="4"/>
    </row>
    <row r="19" customFormat="false" ht="15" hidden="false" customHeight="false" outlineLevel="0" collapsed="false">
      <c r="A19" s="38" t="n">
        <v>15</v>
      </c>
      <c r="B19" s="39"/>
      <c r="C19" s="39"/>
      <c r="D19" s="40" t="n">
        <f aca="false">IF(ROW()-4&lt;=$F$2,1,0)</f>
        <v>0</v>
      </c>
      <c r="E19" s="41" t="n">
        <f aca="false">IF($D19=0,0,INDEX($B$5:$B$20,IF(ROW()-4=$F$2,1,ROW()-4+1)))</f>
        <v>0</v>
      </c>
      <c r="F19" s="41" t="n">
        <f aca="false">IF($D19=0,0,INDEX($C$5:$C$20,IF(ROW()-4=$F$2,1,ROW()-4+1)))</f>
        <v>0</v>
      </c>
      <c r="G19" s="41" t="n">
        <f aca="false">IF($D19=0,0,INDEX($B$5:$B$20,IF(ROW()-4=1,$F$2,ROW()-4-1)))</f>
        <v>0</v>
      </c>
      <c r="H19" s="41" t="n">
        <f aca="false">IF($D19=0,0,INDEX($C$5:$C$20,IF(ROW()-4=1,$F$2,ROW()-4-1)))</f>
        <v>0</v>
      </c>
      <c r="I19" s="42" t="n">
        <f aca="false">IF($D19=0,0,B19*F19-E19*C19)</f>
        <v>0</v>
      </c>
      <c r="J19" s="41" t="n">
        <f aca="false">IF($D19=0,0,SQRT((E19-B19)^2+(F19-C19)^2))</f>
        <v>0</v>
      </c>
      <c r="K19" s="40" t="n">
        <f aca="false">IF($D19=0,0,(C19^2+C19*F19+F19^2)*I19)</f>
        <v>0</v>
      </c>
      <c r="L19" s="40" t="n">
        <f aca="false">IF($D19=0,0,(B19^2+B19*E19+E19^2)*I19)</f>
        <v>0</v>
      </c>
      <c r="M19" s="40" t="n">
        <f aca="false">IF($D19=0,0,(B19*F19+2*B19*C19+2*E19*F19+E19*C19)*I19)</f>
        <v>0</v>
      </c>
      <c r="N19" s="40" t="n">
        <f aca="false">IF($D19=0,0,(B19+E19)*I19)</f>
        <v>0</v>
      </c>
      <c r="O19" s="40" t="n">
        <f aca="false">IF($D19=0,0,(C19+F19)*I19)</f>
        <v>0</v>
      </c>
      <c r="P19" s="42" t="n">
        <f aca="false">IF($D19=0,0,(G19-B19)*(E19-B19)+(H19-C19)*(F19-C19))</f>
        <v>0</v>
      </c>
      <c r="Q19" s="42" t="n">
        <f aca="false">IF($D19=0,0,(G19-B19)*(F19-C19)-(H19-C19)*(E19-B19))</f>
        <v>0</v>
      </c>
      <c r="R19" s="43" t="str">
        <f aca="false">IF($D19=0,"",IFERROR(MOD(DEGREES(ATAN2(P19,-$F$3*Q19)),360),""))</f>
        <v/>
      </c>
      <c r="S19" s="44" t="str">
        <f aca="false">IF($D19=0,"",180-R19)</f>
        <v/>
      </c>
      <c r="T19" s="45" t="str">
        <f aca="false">IF($D19=0,"",IF(R19&gt;180,"入隅(凹)","出隅(凸)"))</f>
        <v/>
      </c>
      <c r="U19" s="4"/>
      <c r="V19" s="4"/>
      <c r="W19" s="4"/>
      <c r="X19" s="55" t="n">
        <v>-39.14</v>
      </c>
      <c r="Y19" s="55" t="n">
        <v>26.5</v>
      </c>
      <c r="Z19" s="55" t="n">
        <v>-8.02</v>
      </c>
      <c r="AA19" s="55" t="n">
        <v>4.72</v>
      </c>
      <c r="AB19" s="4"/>
    </row>
    <row r="20" customFormat="false" ht="15" hidden="false" customHeight="false" outlineLevel="0" collapsed="false">
      <c r="A20" s="47" t="n">
        <v>16</v>
      </c>
      <c r="B20" s="39"/>
      <c r="C20" s="39"/>
      <c r="D20" s="48" t="n">
        <f aca="false">IF(ROW()-4&lt;=$F$2,1,0)</f>
        <v>0</v>
      </c>
      <c r="E20" s="49" t="n">
        <f aca="false">IF($D20=0,0,INDEX($B$5:$B$20,IF(ROW()-4=$F$2,1,ROW()-4+1)))</f>
        <v>0</v>
      </c>
      <c r="F20" s="49" t="n">
        <f aca="false">IF($D20=0,0,INDEX($C$5:$C$20,IF(ROW()-4=$F$2,1,ROW()-4+1)))</f>
        <v>0</v>
      </c>
      <c r="G20" s="49" t="n">
        <f aca="false">IF($D20=0,0,INDEX($B$5:$B$20,IF(ROW()-4=1,$F$2,ROW()-4-1)))</f>
        <v>0</v>
      </c>
      <c r="H20" s="49" t="n">
        <f aca="false">IF($D20=0,0,INDEX($C$5:$C$20,IF(ROW()-4=1,$F$2,ROW()-4-1)))</f>
        <v>0</v>
      </c>
      <c r="I20" s="50" t="n">
        <f aca="false">IF($D20=0,0,B20*F20-E20*C20)</f>
        <v>0</v>
      </c>
      <c r="J20" s="49" t="n">
        <f aca="false">IF($D20=0,0,SQRT((E20-B20)^2+(F20-C20)^2))</f>
        <v>0</v>
      </c>
      <c r="K20" s="48" t="n">
        <f aca="false">IF($D20=0,0,(C20^2+C20*F20+F20^2)*I20)</f>
        <v>0</v>
      </c>
      <c r="L20" s="48" t="n">
        <f aca="false">IF($D20=0,0,(B20^2+B20*E20+E20^2)*I20)</f>
        <v>0</v>
      </c>
      <c r="M20" s="48" t="n">
        <f aca="false">IF($D20=0,0,(B20*F20+2*B20*C20+2*E20*F20+E20*C20)*I20)</f>
        <v>0</v>
      </c>
      <c r="N20" s="48" t="n">
        <f aca="false">IF($D20=0,0,(B20+E20)*I20)</f>
        <v>0</v>
      </c>
      <c r="O20" s="48" t="n">
        <f aca="false">IF($D20=0,0,(C20+F20)*I20)</f>
        <v>0</v>
      </c>
      <c r="P20" s="50" t="n">
        <f aca="false">IF($D20=0,0,(G20-B20)*(E20-B20)+(H20-C20)*(F20-C20))</f>
        <v>0</v>
      </c>
      <c r="Q20" s="50" t="n">
        <f aca="false">IF($D20=0,0,(G20-B20)*(F20-C20)-(H20-C20)*(E20-B20))</f>
        <v>0</v>
      </c>
      <c r="R20" s="51" t="str">
        <f aca="false">IF($D20=0,"",IFERROR(MOD(DEGREES(ATAN2(P20,-$F$3*Q20)),360),""))</f>
        <v/>
      </c>
      <c r="S20" s="52" t="str">
        <f aca="false">IF($D20=0,"",180-R20)</f>
        <v/>
      </c>
      <c r="T20" s="53" t="str">
        <f aca="false">IF($D20=0,"",IF(R20&gt;180,"入隅(凹)","出隅(凸)"))</f>
        <v/>
      </c>
      <c r="U20" s="4"/>
      <c r="V20" s="4"/>
      <c r="W20" s="4"/>
      <c r="X20" s="55" t="n">
        <v>-57.76</v>
      </c>
      <c r="Y20" s="55" t="n">
        <v>19.72</v>
      </c>
      <c r="Z20" s="55" t="n">
        <v>-9.91</v>
      </c>
      <c r="AA20" s="55" t="n">
        <v>31.65</v>
      </c>
      <c r="AB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5" t="n">
        <v>-29.52</v>
      </c>
      <c r="AA21" s="55" t="n">
        <v>28.9</v>
      </c>
      <c r="AB21" s="4"/>
    </row>
    <row r="22" customFormat="false" ht="15" hidden="false" customHeight="false" outlineLevel="0" collapsed="false">
      <c r="A22" s="56" t="s">
        <v>143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5" t="n">
        <v>-57.76</v>
      </c>
      <c r="AA22" s="55" t="n">
        <v>19.72</v>
      </c>
      <c r="AB22" s="4"/>
    </row>
    <row r="23" customFormat="false" ht="17.15" hidden="false" customHeight="false" outlineLevel="0" collapsed="false">
      <c r="A23" s="57" t="s">
        <v>144</v>
      </c>
      <c r="B23" s="58" t="n">
        <f aca="false">0.5*SUM(I5:I20)</f>
        <v>4885.1596</v>
      </c>
      <c r="C23" s="30" t="s">
        <v>145</v>
      </c>
      <c r="D23" s="30"/>
      <c r="E23" s="30"/>
      <c r="F23" s="30"/>
      <c r="G23" s="30"/>
      <c r="H23" s="3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Format="false" ht="17.15" hidden="false" customHeight="false" outlineLevel="0" collapsed="false">
      <c r="A24" s="59" t="s">
        <v>146</v>
      </c>
      <c r="B24" s="58" t="n">
        <f aca="false">ABS(B23)</f>
        <v>4885.1596</v>
      </c>
      <c r="C24" s="29" t="s">
        <v>147</v>
      </c>
      <c r="D24" s="29"/>
      <c r="E24" s="29"/>
      <c r="F24" s="29"/>
      <c r="G24" s="29"/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Format="false" ht="17.15" hidden="false" customHeight="false" outlineLevel="0" collapsed="false">
      <c r="A25" s="57" t="s">
        <v>148</v>
      </c>
      <c r="B25" s="58" t="n">
        <f aca="false">SUM(J5:J20)</f>
        <v>295.872379854218</v>
      </c>
      <c r="C25" s="30" t="s">
        <v>149</v>
      </c>
      <c r="D25" s="30"/>
      <c r="E25" s="30"/>
      <c r="F25" s="30"/>
      <c r="G25" s="30"/>
      <c r="H25" s="3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Format="false" ht="17.15" hidden="false" customHeight="false" outlineLevel="0" collapsed="false">
      <c r="A26" s="59" t="s">
        <v>150</v>
      </c>
      <c r="B26" s="60" t="n">
        <f aca="false">IF(B23=0,0,SUM(N5:N20)/(6*B23))</f>
        <v>0</v>
      </c>
      <c r="C26" s="29" t="s">
        <v>151</v>
      </c>
      <c r="D26" s="29"/>
      <c r="E26" s="29"/>
      <c r="F26" s="29"/>
      <c r="G26" s="29"/>
      <c r="H26" s="2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Format="false" ht="17.15" hidden="false" customHeight="false" outlineLevel="0" collapsed="false">
      <c r="A27" s="57" t="s">
        <v>152</v>
      </c>
      <c r="B27" s="60" t="n">
        <f aca="false">IF(B23=0,0,SUM(O5:O20)/(6*B23))</f>
        <v>5.15068683637958</v>
      </c>
      <c r="C27" s="30" t="s">
        <v>153</v>
      </c>
      <c r="D27" s="30"/>
      <c r="E27" s="30"/>
      <c r="F27" s="30"/>
      <c r="G27" s="30"/>
      <c r="H27" s="3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Format="false" ht="17.15" hidden="false" customHeight="false" outlineLevel="0" collapsed="false">
      <c r="A28" s="61" t="s">
        <v>154</v>
      </c>
      <c r="B28" s="62" t="n">
        <f aca="false">$F$3*SUM(K5:K20)/12-$B$24*$B$27^2</f>
        <v>988366.042776868</v>
      </c>
      <c r="C28" s="28" t="s">
        <v>155</v>
      </c>
      <c r="D28" s="28"/>
      <c r="E28" s="28"/>
      <c r="F28" s="28"/>
      <c r="G28" s="28"/>
      <c r="H28" s="2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Format="false" ht="17.15" hidden="false" customHeight="false" outlineLevel="0" collapsed="false">
      <c r="A29" s="63" t="s">
        <v>156</v>
      </c>
      <c r="B29" s="62" t="n">
        <f aca="false">$F$3*SUM(L5:L20)/12-$B$24*$B$26^2</f>
        <v>3936219.61528605</v>
      </c>
      <c r="C29" s="20" t="s">
        <v>157</v>
      </c>
      <c r="D29" s="20"/>
      <c r="E29" s="20"/>
      <c r="F29" s="20"/>
      <c r="G29" s="20"/>
      <c r="H29" s="2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Format="false" ht="17.15" hidden="false" customHeight="false" outlineLevel="0" collapsed="false">
      <c r="A30" s="61" t="s">
        <v>158</v>
      </c>
      <c r="B30" s="62" t="n">
        <f aca="false">$F$3*SUM(M5:M20)/24-$B$24*$B$26*$B$27</f>
        <v>0</v>
      </c>
      <c r="C30" s="29" t="s">
        <v>159</v>
      </c>
      <c r="D30" s="29"/>
      <c r="E30" s="29"/>
      <c r="F30" s="29"/>
      <c r="G30" s="29"/>
      <c r="H30" s="2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Format="false" ht="15" hidden="false" customHeight="false" outlineLevel="0" collapsed="false">
      <c r="A31" s="63" t="s">
        <v>160</v>
      </c>
      <c r="B31" s="62" t="n">
        <f aca="false">($B$28+$B$29)/2-SQRT((($B$28-$B$29)/2)^2+$B$30^2)</f>
        <v>988366.042776868</v>
      </c>
      <c r="C31" s="30" t="s">
        <v>161</v>
      </c>
      <c r="D31" s="30"/>
      <c r="E31" s="30"/>
      <c r="F31" s="30"/>
      <c r="G31" s="30"/>
      <c r="H31" s="3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Format="false" ht="15" hidden="false" customHeight="false" outlineLevel="0" collapsed="false">
      <c r="A32" s="61" t="s">
        <v>162</v>
      </c>
      <c r="B32" s="62" t="n">
        <f aca="false">($B$28+$B$29)/2+SQRT((($B$28-$B$29)/2)^2+$B$30^2)</f>
        <v>3936219.61528605</v>
      </c>
      <c r="C32" s="29" t="s">
        <v>163</v>
      </c>
      <c r="D32" s="29"/>
      <c r="E32" s="29"/>
      <c r="F32" s="29"/>
      <c r="G32" s="29"/>
      <c r="H32" s="2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Format="false" ht="17.15" hidden="false" customHeight="false" outlineLevel="0" collapsed="false">
      <c r="A33" s="57" t="s">
        <v>164</v>
      </c>
      <c r="B33" s="60" t="n">
        <f aca="false">DEGREES(0.5*ATAN2($B$28-$B$29,-2*$B$30))</f>
        <v>-90</v>
      </c>
      <c r="C33" s="20" t="s">
        <v>165</v>
      </c>
      <c r="D33" s="20"/>
      <c r="E33" s="20"/>
      <c r="F33" s="20"/>
      <c r="G33" s="20"/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Format="false" ht="17.15" hidden="false" customHeight="false" outlineLevel="0" collapsed="false">
      <c r="A34" s="61" t="s">
        <v>166</v>
      </c>
      <c r="B34" s="62" t="n">
        <f aca="false">($B$28+$B$29)/2+($B$28-$B$29)/2*COS(2*RADIANS($B$33))-$B$30*SIN(2*RADIANS($B$33))</f>
        <v>3936219.61528605</v>
      </c>
      <c r="C34" s="29" t="s">
        <v>167</v>
      </c>
      <c r="D34" s="29"/>
      <c r="E34" s="29"/>
      <c r="F34" s="29"/>
      <c r="G34" s="29"/>
      <c r="H34" s="2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Format="false" ht="17.15" hidden="false" customHeight="false" outlineLevel="0" collapsed="false">
      <c r="A35" s="57" t="s">
        <v>168</v>
      </c>
      <c r="B35" s="60" t="n">
        <f aca="false">IF(ABS($B$34-$B$31)&lt;ABS($B$34-$B$32),$B$33,$B$33+90)</f>
        <v>0</v>
      </c>
      <c r="C35" s="20" t="s">
        <v>169</v>
      </c>
      <c r="D35" s="20"/>
      <c r="E35" s="20"/>
      <c r="F35" s="20"/>
      <c r="G35" s="20"/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Format="false" ht="15" hidden="false" customHeight="false" outlineLevel="0" collapsed="false">
      <c r="A36" s="61" t="s">
        <v>170</v>
      </c>
      <c r="B36" s="60" t="n">
        <f aca="false">MIN($B$5:$B$20)</f>
        <v>-57.76</v>
      </c>
      <c r="C36" s="29"/>
      <c r="D36" s="29"/>
      <c r="E36" s="29"/>
      <c r="F36" s="29"/>
      <c r="G36" s="29"/>
      <c r="H36" s="2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Format="false" ht="15" hidden="false" customHeight="false" outlineLevel="0" collapsed="false">
      <c r="A37" s="63" t="s">
        <v>171</v>
      </c>
      <c r="B37" s="60" t="n">
        <f aca="false">MAX($B$5:$B$20)</f>
        <v>57.76</v>
      </c>
      <c r="C37" s="30"/>
      <c r="D37" s="30"/>
      <c r="E37" s="30"/>
      <c r="F37" s="30"/>
      <c r="G37" s="30"/>
      <c r="H37" s="3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Format="false" ht="15" hidden="false" customHeight="false" outlineLevel="0" collapsed="false">
      <c r="A38" s="61" t="s">
        <v>172</v>
      </c>
      <c r="B38" s="60" t="n">
        <f aca="false">MIN($C$5:$C$20)</f>
        <v>-25.95</v>
      </c>
      <c r="C38" s="29"/>
      <c r="D38" s="29"/>
      <c r="E38" s="29"/>
      <c r="F38" s="29"/>
      <c r="G38" s="29"/>
      <c r="H38" s="2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Format="false" ht="15" hidden="false" customHeight="false" outlineLevel="0" collapsed="false">
      <c r="A39" s="63" t="s">
        <v>173</v>
      </c>
      <c r="B39" s="60" t="n">
        <f aca="false">MAX($C$5:$C$20)</f>
        <v>32</v>
      </c>
      <c r="C39" s="30"/>
      <c r="D39" s="30"/>
      <c r="E39" s="30"/>
      <c r="F39" s="30"/>
      <c r="G39" s="30"/>
      <c r="H39" s="3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Format="false" ht="17.15" hidden="false" customHeight="false" outlineLevel="0" collapsed="false">
      <c r="A40" s="61" t="s">
        <v>174</v>
      </c>
      <c r="B40" s="60" t="n">
        <f aca="false">$B$37-$B$36</f>
        <v>115.52</v>
      </c>
      <c r="C40" s="29"/>
      <c r="D40" s="29"/>
      <c r="E40" s="29"/>
      <c r="F40" s="29"/>
      <c r="G40" s="29"/>
      <c r="H40" s="2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Format="false" ht="17.15" hidden="false" customHeight="false" outlineLevel="0" collapsed="false">
      <c r="A41" s="63" t="s">
        <v>175</v>
      </c>
      <c r="B41" s="60" t="n">
        <f aca="false">$B$39-$B$38</f>
        <v>57.95</v>
      </c>
      <c r="C41" s="30"/>
      <c r="D41" s="30"/>
      <c r="E41" s="30"/>
      <c r="F41" s="30"/>
      <c r="G41" s="30"/>
      <c r="H41" s="3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customFormat="false" ht="17.15" hidden="false" customHeight="false" outlineLevel="0" collapsed="false">
      <c r="A42" s="59" t="s">
        <v>176</v>
      </c>
      <c r="B42" s="60" t="n">
        <f aca="false">MAX($B$40,$B$41)</f>
        <v>115.52</v>
      </c>
      <c r="C42" s="29" t="s">
        <v>177</v>
      </c>
      <c r="D42" s="29"/>
      <c r="E42" s="29"/>
      <c r="F42" s="29"/>
      <c r="G42" s="29"/>
      <c r="H42" s="2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Format="false" ht="17.15" hidden="false" customHeight="false" outlineLevel="0" collapsed="false">
      <c r="A43" s="57" t="s">
        <v>178</v>
      </c>
      <c r="B43" s="60" t="n">
        <f aca="false">IF($B$42=0,0,$B$24/$B$42)</f>
        <v>42.2884314404432</v>
      </c>
      <c r="C43" s="30" t="s">
        <v>179</v>
      </c>
      <c r="D43" s="30"/>
      <c r="E43" s="30"/>
      <c r="F43" s="30"/>
      <c r="G43" s="30"/>
      <c r="H43" s="3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Format="false" ht="19.4" hidden="false" customHeight="false" outlineLevel="0" collapsed="false">
      <c r="A44" s="56" t="s">
        <v>180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Format="false" ht="17.15" hidden="false" customHeight="false" outlineLevel="0" collapsed="false">
      <c r="A45" s="57" t="s">
        <v>181</v>
      </c>
      <c r="B45" s="64" t="n">
        <f aca="false">IF($D$45="",$B$42,$D$45)</f>
        <v>115.52</v>
      </c>
      <c r="C45" s="30" t="s">
        <v>182</v>
      </c>
      <c r="D45" s="3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Format="false" ht="17.15" hidden="false" customHeight="false" outlineLevel="0" collapsed="false">
      <c r="A46" s="57" t="s">
        <v>183</v>
      </c>
      <c r="B46" s="64" t="n">
        <f aca="false">IF($D$46="",$B$43,$D$46)</f>
        <v>42.2884314404432</v>
      </c>
      <c r="C46" s="30" t="s">
        <v>182</v>
      </c>
      <c r="D46" s="3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Format="false" ht="15" hidden="false" customHeight="false" outlineLevel="0" collapsed="false">
      <c r="A48" s="56" t="s">
        <v>184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Format="false" ht="15" hidden="false" customHeight="false" outlineLevel="0" collapsed="false">
      <c r="A49" s="57" t="s">
        <v>185</v>
      </c>
      <c r="B49" s="36" t="n">
        <f aca="false">COUNTIF($T$5:$T$20,"入隅(凹)")</f>
        <v>5</v>
      </c>
      <c r="C49" s="30" t="s">
        <v>186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customFormat="false" ht="17.15" hidden="false" customHeight="false" outlineLevel="0" collapsed="false">
      <c r="A50" s="57" t="s">
        <v>187</v>
      </c>
      <c r="B50" s="65" t="n">
        <f aca="false">SUM($R$5:$R$20)</f>
        <v>2160</v>
      </c>
      <c r="C50" s="30" t="s">
        <v>188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customFormat="false" ht="17.15" hidden="false" customHeight="false" outlineLevel="0" collapsed="false">
      <c r="A51" s="57" t="s">
        <v>189</v>
      </c>
      <c r="B51" s="65" t="n">
        <f aca="false">($F$2-2)*180</f>
        <v>2160</v>
      </c>
      <c r="C51" s="6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Format="false" ht="15" hidden="false" customHeight="false" outlineLevel="0" collapsed="false">
      <c r="A52" s="57" t="s">
        <v>190</v>
      </c>
      <c r="B52" s="67" t="str">
        <f aca="false">IF(ABS($B$50-$B$51)&lt;0.5,"OK","NG:座標の順番を確認")</f>
        <v>OK</v>
      </c>
      <c r="C52" s="68" t="s">
        <v>191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</sheetData>
  <mergeCells count="24">
    <mergeCell ref="V5:W5"/>
    <mergeCell ref="X5:Y5"/>
    <mergeCell ref="Z5:AA5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18" min="5" style="0" width="11"/>
  </cols>
  <sheetData>
    <row r="1" customFormat="false" ht="23.85" hidden="false" customHeight="false" outlineLevel="0" collapsed="false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193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7" t="s">
        <v>194</v>
      </c>
      <c r="B3" s="4"/>
      <c r="C3" s="4"/>
      <c r="D3" s="69" t="n">
        <f aca="false">形状!$B$46/1000</f>
        <v>0.0422884314404432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7.15" hidden="false" customHeight="false" outlineLevel="0" collapsed="false">
      <c r="A4" s="57" t="s">
        <v>195</v>
      </c>
      <c r="B4" s="4"/>
      <c r="C4" s="4"/>
      <c r="D4" s="69" t="n">
        <f aca="false">形状!$B$45/1000</f>
        <v>0.11552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7.15" hidden="false" customHeight="false" outlineLevel="0" collapsed="false">
      <c r="A5" s="57" t="s">
        <v>196</v>
      </c>
      <c r="B5" s="4"/>
      <c r="C5" s="4"/>
      <c r="D5" s="70" t="n">
        <f aca="false">形状!$B$24/1000000</f>
        <v>0.0048851596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29.85" hidden="false" customHeight="false" outlineLevel="0" collapsed="false">
      <c r="A7" s="12" t="s">
        <v>197</v>
      </c>
      <c r="B7" s="12" t="s">
        <v>198</v>
      </c>
      <c r="C7" s="12" t="s">
        <v>199</v>
      </c>
      <c r="D7" s="12" t="s">
        <v>200</v>
      </c>
      <c r="E7" s="13" t="s">
        <v>63</v>
      </c>
      <c r="F7" s="13" t="s">
        <v>64</v>
      </c>
      <c r="G7" s="13" t="s">
        <v>65</v>
      </c>
      <c r="H7" s="13" t="s">
        <v>201</v>
      </c>
      <c r="I7" s="13" t="s">
        <v>202</v>
      </c>
      <c r="J7" s="12" t="s">
        <v>203</v>
      </c>
      <c r="K7" s="12" t="s">
        <v>204</v>
      </c>
      <c r="L7" s="13" t="s">
        <v>205</v>
      </c>
      <c r="M7" s="13" t="s">
        <v>206</v>
      </c>
      <c r="N7" s="13" t="s">
        <v>207</v>
      </c>
      <c r="O7" s="13" t="s">
        <v>208</v>
      </c>
      <c r="P7" s="13" t="s">
        <v>209</v>
      </c>
      <c r="Q7" s="13" t="s">
        <v>210</v>
      </c>
      <c r="R7" s="13" t="s">
        <v>211</v>
      </c>
      <c r="S7" s="4"/>
      <c r="T7" s="4"/>
    </row>
    <row r="8" customFormat="false" ht="17.15" hidden="false" customHeight="false" outlineLevel="0" collapsed="false">
      <c r="A8" s="71" t="s">
        <v>212</v>
      </c>
      <c r="B8" s="72" t="n">
        <v>0</v>
      </c>
      <c r="C8" s="73" t="s">
        <v>213</v>
      </c>
      <c r="D8" s="39" t="n">
        <v>0.8</v>
      </c>
      <c r="E8" s="74" t="n">
        <f aca="false">IFERROR(INDEX(材料DB!$B$5:$B$45,MATCH($C8,材料DB!$A$5:$A$45,0)),0)</f>
        <v>205</v>
      </c>
      <c r="F8" s="75" t="n">
        <f aca="false">IFERROR(INDEX(材料DB!$C$5:$C$45,MATCH($C8,材料DB!$A$5:$A$45,0)),0)</f>
        <v>7850</v>
      </c>
      <c r="G8" s="76" t="n">
        <f aca="false">IFERROR(INDEX(材料DB!$D$5:$D$45,MATCH($C8,材料DB!$A$5:$A$45,0)),0)</f>
        <v>0.3</v>
      </c>
      <c r="H8" s="77" t="n">
        <f aca="false">IFERROR(INDEX(材料DB!$E$5:$E$45,MATCH($C8,材料DB!$A$5:$A$45,0)),0)</f>
        <v>0.0002</v>
      </c>
      <c r="I8" s="78" t="n">
        <f aca="false">IF($B8=1,$D8/1000,0)</f>
        <v>0</v>
      </c>
      <c r="J8" s="78" t="n">
        <f aca="false">0</f>
        <v>0</v>
      </c>
      <c r="K8" s="78" t="n">
        <f aca="false">J8+I8/2</f>
        <v>0</v>
      </c>
      <c r="L8" s="79" t="n">
        <f aca="false">E8*1000000000*$D$3*I8</f>
        <v>0</v>
      </c>
      <c r="M8" s="79" t="n">
        <f aca="false">L8*K8</f>
        <v>0</v>
      </c>
      <c r="N8" s="80" t="n">
        <f aca="false">F8*$D$3*I8</f>
        <v>0</v>
      </c>
      <c r="O8" s="81" t="n">
        <f aca="false">E8*1000000000*$D$3*(I8^3/12+I8*(K8-$D$15)^2)</f>
        <v>0</v>
      </c>
      <c r="P8" s="81" t="n">
        <f aca="false">E8*1000000000*(I8*$D$3^3/12)</f>
        <v>0</v>
      </c>
      <c r="Q8" s="79" t="n">
        <f aca="false">L8</f>
        <v>0</v>
      </c>
      <c r="R8" s="81" t="n">
        <f aca="false">H8*O8</f>
        <v>0</v>
      </c>
      <c r="S8" s="4"/>
      <c r="T8" s="4"/>
    </row>
    <row r="9" customFormat="false" ht="17.15" hidden="false" customHeight="false" outlineLevel="0" collapsed="false">
      <c r="A9" s="9" t="s">
        <v>214</v>
      </c>
      <c r="B9" s="72" t="n">
        <v>1</v>
      </c>
      <c r="C9" s="73" t="s">
        <v>215</v>
      </c>
      <c r="D9" s="39" t="n">
        <v>5</v>
      </c>
      <c r="E9" s="82" t="n">
        <f aca="false">IFERROR(INDEX(材料DB!$B$5:$B$45,MATCH($C9,材料DB!$A$5:$A$45,0)),0)</f>
        <v>205</v>
      </c>
      <c r="F9" s="83" t="n">
        <f aca="false">IFERROR(INDEX(材料DB!$C$5:$C$45,MATCH($C9,材料DB!$A$5:$A$45,0)),0)</f>
        <v>7850</v>
      </c>
      <c r="G9" s="55" t="n">
        <f aca="false">IFERROR(INDEX(材料DB!$D$5:$D$45,MATCH($C9,材料DB!$A$5:$A$45,0)),0)</f>
        <v>0.3</v>
      </c>
      <c r="H9" s="84" t="n">
        <f aca="false">IFERROR(INDEX(材料DB!$E$5:$E$45,MATCH($C9,材料DB!$A$5:$A$45,0)),0)</f>
        <v>0.0002</v>
      </c>
      <c r="I9" s="85" t="n">
        <f aca="false">IF($B9=1,$D9/1000,0)</f>
        <v>0.005</v>
      </c>
      <c r="J9" s="85" t="n">
        <f aca="false">J8+I8</f>
        <v>0</v>
      </c>
      <c r="K9" s="85" t="n">
        <f aca="false">J9+I9/2</f>
        <v>0.0025</v>
      </c>
      <c r="L9" s="86" t="n">
        <f aca="false">E9*1000000000*$D$3*I9</f>
        <v>43345642.2264543</v>
      </c>
      <c r="M9" s="86" t="n">
        <f aca="false">L9*K9</f>
        <v>108364.105566136</v>
      </c>
      <c r="N9" s="87" t="n">
        <f aca="false">F9*$D$3*I9</f>
        <v>1.6598209340374</v>
      </c>
      <c r="O9" s="88" t="n">
        <f aca="false">E9*1000000000*$D$3*(I9^3/12+I9*(K9-$D$15)^2)</f>
        <v>94.1565294227866</v>
      </c>
      <c r="P9" s="88" t="n">
        <f aca="false">E9*1000000000*(I9*$D$3^3/12)</f>
        <v>6459.62563286142</v>
      </c>
      <c r="Q9" s="86" t="n">
        <f aca="false">L9</f>
        <v>43345642.2264543</v>
      </c>
      <c r="R9" s="88" t="n">
        <f aca="false">H9*O9</f>
        <v>0.0188313058845573</v>
      </c>
      <c r="S9" s="4"/>
      <c r="T9" s="4"/>
    </row>
    <row r="10" customFormat="false" ht="17.15" hidden="false" customHeight="false" outlineLevel="0" collapsed="false">
      <c r="A10" s="71" t="s">
        <v>216</v>
      </c>
      <c r="B10" s="72" t="n">
        <v>1</v>
      </c>
      <c r="C10" s="73" t="s">
        <v>98</v>
      </c>
      <c r="D10" s="39" t="n">
        <v>0.2</v>
      </c>
      <c r="E10" s="74" t="n">
        <f aca="false">IFERROR(INDEX(材料DB!$B$5:$B$45,MATCH($C10,材料DB!$A$5:$A$45,0)),0)</f>
        <v>3</v>
      </c>
      <c r="F10" s="75" t="n">
        <f aca="false">IFERROR(INDEX(材料DB!$C$5:$C$45,MATCH($C10,材料DB!$A$5:$A$45,0)),0)</f>
        <v>1300</v>
      </c>
      <c r="G10" s="76" t="n">
        <f aca="false">IFERROR(INDEX(材料DB!$D$5:$D$45,MATCH($C10,材料DB!$A$5:$A$45,0)),0)</f>
        <v>0.35</v>
      </c>
      <c r="H10" s="77" t="n">
        <f aca="false">IFERROR(INDEX(材料DB!$E$5:$E$45,MATCH($C10,材料DB!$A$5:$A$45,0)),0)</f>
        <v>0.08</v>
      </c>
      <c r="I10" s="78" t="n">
        <f aca="false">IF($B10=1,$D10/1000,0)</f>
        <v>0.0002</v>
      </c>
      <c r="J10" s="78" t="n">
        <f aca="false">J9+I9</f>
        <v>0.005</v>
      </c>
      <c r="K10" s="78" t="n">
        <f aca="false">J10+I10/2</f>
        <v>0.0051</v>
      </c>
      <c r="L10" s="79" t="n">
        <f aca="false">E10*1000000000*$D$3*I10</f>
        <v>25373.0588642659</v>
      </c>
      <c r="M10" s="79" t="n">
        <f aca="false">L10*K10</f>
        <v>129.402600207756</v>
      </c>
      <c r="N10" s="80" t="n">
        <f aca="false">F10*$D$3*I10</f>
        <v>0.0109949921745152</v>
      </c>
      <c r="O10" s="81" t="n">
        <f aca="false">E10*1000000000*$D$3*(I10^3/12+I10*(K10-$D$15)^2)</f>
        <v>0.134524225154584</v>
      </c>
      <c r="P10" s="81" t="n">
        <f aca="false">E10*1000000000*(I10*$D$3^3/12)</f>
        <v>3.78124427289449</v>
      </c>
      <c r="Q10" s="79" t="n">
        <f aca="false">L10</f>
        <v>25373.0588642659</v>
      </c>
      <c r="R10" s="81" t="n">
        <f aca="false">H10*O10</f>
        <v>0.0107619380123667</v>
      </c>
      <c r="S10" s="4"/>
      <c r="T10" s="4"/>
    </row>
    <row r="11" customFormat="false" ht="17.15" hidden="false" customHeight="false" outlineLevel="0" collapsed="false">
      <c r="A11" s="9" t="s">
        <v>217</v>
      </c>
      <c r="B11" s="72" t="n">
        <v>1</v>
      </c>
      <c r="C11" s="73" t="s">
        <v>218</v>
      </c>
      <c r="D11" s="39" t="n">
        <v>11</v>
      </c>
      <c r="E11" s="82" t="n">
        <f aca="false">IFERROR(INDEX(材料DB!$B$5:$B$45,MATCH($C11,材料DB!$A$5:$A$45,0)),0)</f>
        <v>3.5</v>
      </c>
      <c r="F11" s="83" t="n">
        <f aca="false">IFERROR(INDEX(材料DB!$C$5:$C$45,MATCH($C11,材料DB!$A$5:$A$45,0)),0)</f>
        <v>2600</v>
      </c>
      <c r="G11" s="55" t="n">
        <f aca="false">IFERROR(INDEX(材料DB!$D$5:$D$45,MATCH($C11,材料DB!$A$5:$A$45,0)),0)</f>
        <v>0.25</v>
      </c>
      <c r="H11" s="84" t="n">
        <f aca="false">IFERROR(INDEX(材料DB!$E$5:$E$45,MATCH($C11,材料DB!$A$5:$A$45,0)),0)</f>
        <v>0.04</v>
      </c>
      <c r="I11" s="85" t="n">
        <f aca="false">IF($B11=1,$D11/1000,0)</f>
        <v>0.011</v>
      </c>
      <c r="J11" s="85" t="n">
        <f aca="false">J10+I10</f>
        <v>0.0052</v>
      </c>
      <c r="K11" s="85" t="n">
        <f aca="false">J11+I11/2</f>
        <v>0.0107</v>
      </c>
      <c r="L11" s="86" t="n">
        <f aca="false">E11*1000000000*$D$3*I11</f>
        <v>1628104.61045706</v>
      </c>
      <c r="M11" s="86" t="n">
        <f aca="false">L11*K11</f>
        <v>17420.7193318906</v>
      </c>
      <c r="N11" s="87" t="n">
        <f aca="false">F11*$D$3*I11</f>
        <v>1.20944913919668</v>
      </c>
      <c r="O11" s="88" t="n">
        <f aca="false">E11*1000000000*$D$3*(I11^3/12+I11*(K11-$D$15)^2)</f>
        <v>118.07435951224</v>
      </c>
      <c r="P11" s="88" t="n">
        <f aca="false">E11*1000000000*(I11*$D$3^3/12)</f>
        <v>242.629840844063</v>
      </c>
      <c r="Q11" s="86" t="n">
        <f aca="false">L11</f>
        <v>1628104.61045706</v>
      </c>
      <c r="R11" s="88" t="n">
        <f aca="false">H11*O11</f>
        <v>4.72297438048959</v>
      </c>
      <c r="S11" s="4"/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56" t="s">
        <v>219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61" t="s">
        <v>220</v>
      </c>
      <c r="B14" s="61"/>
      <c r="C14" s="61"/>
      <c r="D14" s="89" t="n">
        <f aca="false">SUM(L8:L11)</f>
        <v>44999119.8957756</v>
      </c>
      <c r="E14" s="29" t="s">
        <v>221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</row>
    <row r="15" customFormat="false" ht="17.15" hidden="false" customHeight="false" outlineLevel="0" collapsed="false">
      <c r="A15" s="57" t="s">
        <v>222</v>
      </c>
      <c r="B15" s="57"/>
      <c r="C15" s="57"/>
      <c r="D15" s="90" t="n">
        <f aca="false">IF($D$14=0,0,SUM(M8:M11)/$D$14)</f>
        <v>0.00279814867023776</v>
      </c>
      <c r="E15" s="30" t="s">
        <v>223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4"/>
      <c r="T15" s="4"/>
    </row>
    <row r="16" customFormat="false" ht="17.15" hidden="false" customHeight="false" outlineLevel="0" collapsed="false">
      <c r="A16" s="61" t="s">
        <v>224</v>
      </c>
      <c r="B16" s="61"/>
      <c r="C16" s="61"/>
      <c r="D16" s="91" t="n">
        <f aca="false">SUM(O8:O11)</f>
        <v>212.365413160181</v>
      </c>
      <c r="E16" s="29" t="s">
        <v>225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</row>
    <row r="17" customFormat="false" ht="17.15" hidden="false" customHeight="false" outlineLevel="0" collapsed="false">
      <c r="A17" s="63" t="s">
        <v>226</v>
      </c>
      <c r="B17" s="63"/>
      <c r="C17" s="63"/>
      <c r="D17" s="91" t="n">
        <f aca="false">SUM(P8:P11)</f>
        <v>6706.03671797838</v>
      </c>
      <c r="E17" s="30" t="s">
        <v>227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4"/>
      <c r="T17" s="4"/>
    </row>
    <row r="18" customFormat="false" ht="17.15" hidden="false" customHeight="false" outlineLevel="0" collapsed="false">
      <c r="A18" s="61" t="s">
        <v>228</v>
      </c>
      <c r="B18" s="61"/>
      <c r="C18" s="61"/>
      <c r="D18" s="89" t="n">
        <f aca="false">SUM(Q8:Q11)</f>
        <v>44999119.8957756</v>
      </c>
      <c r="E18" s="29" t="s">
        <v>229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</row>
    <row r="19" customFormat="false" ht="17.15" hidden="false" customHeight="false" outlineLevel="0" collapsed="false">
      <c r="A19" s="63" t="s">
        <v>230</v>
      </c>
      <c r="B19" s="63"/>
      <c r="C19" s="63"/>
      <c r="D19" s="69" t="n">
        <f aca="false">SUM(N8:N11)</f>
        <v>2.88026506540859</v>
      </c>
      <c r="E19" s="20" t="s">
        <v>231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4"/>
      <c r="T19" s="4"/>
    </row>
    <row r="20" customFormat="false" ht="17.15" hidden="false" customHeight="false" outlineLevel="0" collapsed="false">
      <c r="A20" s="59" t="s">
        <v>232</v>
      </c>
      <c r="B20" s="59"/>
      <c r="C20" s="59"/>
      <c r="D20" s="90" t="n">
        <f aca="false">SUM(I8:I11)</f>
        <v>0.0162</v>
      </c>
      <c r="E20" s="29" t="s">
        <v>233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</row>
    <row r="21" customFormat="false" ht="17.15" hidden="false" customHeight="false" outlineLevel="0" collapsed="false">
      <c r="A21" s="57" t="s">
        <v>234</v>
      </c>
      <c r="B21" s="57"/>
      <c r="C21" s="57"/>
      <c r="D21" s="91" t="n">
        <f aca="false">IF($D$20=0,0,$D$16/($D$3*$D$20^3/12)/1000000000)</f>
        <v>14.1741953092075</v>
      </c>
      <c r="E21" s="20" t="s">
        <v>235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"/>
      <c r="T21" s="4"/>
    </row>
    <row r="22" customFormat="false" ht="17.15" hidden="false" customHeight="false" outlineLevel="0" collapsed="false">
      <c r="A22" s="59" t="s">
        <v>236</v>
      </c>
      <c r="B22" s="59"/>
      <c r="C22" s="59"/>
      <c r="D22" s="62" t="n">
        <f aca="false">IF($D$20=0,0,$D$19/($D$3*$D$20))</f>
        <v>4204.32098765432</v>
      </c>
      <c r="E22" s="28" t="s">
        <v>237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4"/>
      <c r="T22" s="4"/>
    </row>
    <row r="23" customFormat="false" ht="17.15" hidden="false" customHeight="false" outlineLevel="0" collapsed="false">
      <c r="A23" s="57" t="s">
        <v>238</v>
      </c>
      <c r="B23" s="57"/>
      <c r="C23" s="57"/>
      <c r="D23" s="91" t="n">
        <f aca="false">IF($D$14=0,0.3,SUMPRODUCT(G8:G11,L8:L11)/$D$14)</f>
        <v>0.298219152335307</v>
      </c>
      <c r="E23" s="20" t="s">
        <v>239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4"/>
      <c r="T23" s="4"/>
    </row>
    <row r="24" customFormat="false" ht="17.15" hidden="false" customHeight="false" outlineLevel="0" collapsed="false">
      <c r="A24" s="59" t="s">
        <v>240</v>
      </c>
      <c r="B24" s="59"/>
      <c r="C24" s="59"/>
      <c r="D24" s="89" t="n">
        <f aca="false">$D$21*1000000000/(2*(1+$D$23))</f>
        <v>5459091896.66098</v>
      </c>
      <c r="E24" s="28" t="s">
        <v>241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4"/>
      <c r="T24" s="4"/>
    </row>
    <row r="25" customFormat="false" ht="17.15" hidden="false" customHeight="false" outlineLevel="0" collapsed="false">
      <c r="A25" s="57" t="s">
        <v>242</v>
      </c>
      <c r="B25" s="57"/>
      <c r="C25" s="57"/>
      <c r="D25" s="69" t="n">
        <f aca="false">IF($D$3&lt;=0,0,(1/3)*(1-0.63*($D$20/$D$3)+0.052*($D$20/$D$3)^5))</f>
        <v>0.25302880431074</v>
      </c>
      <c r="E25" s="30" t="s">
        <v>243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4"/>
      <c r="T25" s="4"/>
    </row>
    <row r="26" customFormat="false" ht="17.15" hidden="false" customHeight="false" outlineLevel="0" collapsed="false">
      <c r="A26" s="61" t="s">
        <v>244</v>
      </c>
      <c r="B26" s="61"/>
      <c r="C26" s="61"/>
      <c r="D26" s="69" t="n">
        <f aca="false">$D$24*$D$25*$D$3*$D$20^3</f>
        <v>248.345896633321</v>
      </c>
      <c r="E26" s="29" t="s">
        <v>245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</row>
    <row r="27" customFormat="false" ht="17.15" hidden="false" customHeight="false" outlineLevel="0" collapsed="false">
      <c r="A27" s="63" t="s">
        <v>246</v>
      </c>
      <c r="B27" s="63"/>
      <c r="C27" s="63"/>
      <c r="D27" s="89" t="n">
        <f aca="false">$D$19*($D$3^2+$D$20^2)/12</f>
        <v>0.000492225642691892</v>
      </c>
      <c r="E27" s="30" t="s">
        <v>247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4"/>
      <c r="T27" s="4"/>
    </row>
    <row r="28" customFormat="false" ht="17.15" hidden="false" customHeight="false" outlineLevel="0" collapsed="false">
      <c r="A28" s="59" t="s">
        <v>248</v>
      </c>
      <c r="B28" s="59"/>
      <c r="C28" s="59"/>
      <c r="D28" s="69" t="n">
        <f aca="false">IF($D$16=0,0,SUM(R8:R11)/$D$16)</f>
        <v>0.0223791979760932</v>
      </c>
      <c r="E28" s="28" t="s">
        <v>249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4"/>
      <c r="T28" s="4"/>
    </row>
    <row r="29" customFormat="false" ht="17.15" hidden="false" customHeight="false" outlineLevel="0" collapsed="false">
      <c r="A29" s="57" t="s">
        <v>250</v>
      </c>
      <c r="B29" s="57"/>
      <c r="C29" s="57"/>
      <c r="D29" s="58" t="n">
        <f aca="false">SUMPRODUCT(F8:F11,I8:I11)*$D$5*1000</f>
        <v>332.728220356</v>
      </c>
      <c r="E29" s="30" t="s">
        <v>251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"/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false" outlineLevel="0" collapsed="false">
      <c r="A32" s="56" t="s">
        <v>252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false" outlineLevel="0" collapsed="false">
      <c r="A33" s="92" t="s">
        <v>253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4"/>
      <c r="T33" s="4"/>
    </row>
    <row r="34" customFormat="false" ht="17.15" hidden="false" customHeight="false" outlineLevel="0" collapsed="false">
      <c r="A34" s="92" t="s">
        <v>254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4"/>
      <c r="T34" s="4"/>
    </row>
    <row r="35" customFormat="false" ht="15" hidden="false" customHeight="false" outlineLevel="0" collapsed="false">
      <c r="A35" s="93" t="s">
        <v>255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4"/>
      <c r="T35" s="4"/>
    </row>
    <row r="36" customFormat="false" ht="17.15" hidden="false" customHeight="false" outlineLevel="0" collapsed="false">
      <c r="A36" s="93" t="s">
        <v>256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4"/>
      <c r="T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mergeCells count="36">
    <mergeCell ref="A14:C14"/>
    <mergeCell ref="E14:R14"/>
    <mergeCell ref="A15:C15"/>
    <mergeCell ref="E15:R15"/>
    <mergeCell ref="A16:C16"/>
    <mergeCell ref="E16:R16"/>
    <mergeCell ref="A17:C17"/>
    <mergeCell ref="E17:R17"/>
    <mergeCell ref="A18:C18"/>
    <mergeCell ref="E18:R18"/>
    <mergeCell ref="A19:C19"/>
    <mergeCell ref="E19:R19"/>
    <mergeCell ref="A20:C20"/>
    <mergeCell ref="E20:R20"/>
    <mergeCell ref="A21:C21"/>
    <mergeCell ref="E21:R21"/>
    <mergeCell ref="A22:C22"/>
    <mergeCell ref="E22:R22"/>
    <mergeCell ref="A23:C23"/>
    <mergeCell ref="E23:R23"/>
    <mergeCell ref="A24:C24"/>
    <mergeCell ref="E24:R24"/>
    <mergeCell ref="A25:C25"/>
    <mergeCell ref="E25:R25"/>
    <mergeCell ref="A26:C26"/>
    <mergeCell ref="E26:R26"/>
    <mergeCell ref="A27:C27"/>
    <mergeCell ref="E27:R27"/>
    <mergeCell ref="A28:C28"/>
    <mergeCell ref="E28:R28"/>
    <mergeCell ref="A29:C29"/>
    <mergeCell ref="E29:R29"/>
    <mergeCell ref="A33:R33"/>
    <mergeCell ref="A34:R34"/>
    <mergeCell ref="A35:R35"/>
    <mergeCell ref="A36:R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3"/>
    <col collapsed="false" customWidth="true" hidden="false" outlineLevel="0" max="15" min="15" style="0" width="11"/>
    <col collapsed="false" customWidth="true" hidden="false" outlineLevel="0" max="17" min="16" style="0" width="9"/>
    <col collapsed="false" customWidth="true" hidden="false" outlineLevel="0" max="18" min="18" style="0" width="16"/>
  </cols>
  <sheetData>
    <row r="1" customFormat="false" ht="19.7" hidden="false" customHeight="false" outlineLevel="0" collapsed="false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7" t="s">
        <v>259</v>
      </c>
      <c r="B3" s="57"/>
      <c r="C3" s="57"/>
      <c r="D3" s="94"/>
      <c r="E3" s="69" t="n">
        <f aca="false">IF($D$3="",断面!$D$28,$D$3)</f>
        <v>0.0223791979760932</v>
      </c>
      <c r="F3" s="57" t="s">
        <v>260</v>
      </c>
      <c r="G3" s="57"/>
      <c r="H3" s="57"/>
      <c r="I3" s="72" t="n">
        <v>1</v>
      </c>
      <c r="J3" s="63" t="s">
        <v>261</v>
      </c>
      <c r="K3" s="14" t="n">
        <f aca="false">5/6</f>
        <v>0.833333333333333</v>
      </c>
      <c r="L3" s="4"/>
      <c r="M3" s="4"/>
      <c r="N3" s="4"/>
      <c r="O3" s="4"/>
      <c r="P3" s="4"/>
      <c r="Q3" s="4"/>
      <c r="R3" s="4"/>
      <c r="S3" s="4"/>
    </row>
    <row r="4" customFormat="false" ht="15" hidden="false" customHeight="false" outlineLevel="0" collapsed="false">
      <c r="A4" s="95" t="s">
        <v>262</v>
      </c>
      <c r="B4" s="95"/>
      <c r="C4" s="95"/>
      <c r="D4" s="96" t="n">
        <f aca="false">断面!$D$20/SQRT(12)</f>
        <v>0.00467653718043597</v>
      </c>
      <c r="E4" s="97" t="s">
        <v>263</v>
      </c>
      <c r="F4" s="96" t="n">
        <f aca="false">断面!$D$3/SQRT(12)</f>
        <v>0.0122076186378735</v>
      </c>
      <c r="G4" s="97" t="s">
        <v>264</v>
      </c>
      <c r="H4" s="98" t="n">
        <f aca="false">1+2*(1+断面!$D$23)/$K$3</f>
        <v>4.11572596560474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A5" s="13" t="s">
        <v>265</v>
      </c>
      <c r="B5" s="12" t="s">
        <v>266</v>
      </c>
      <c r="C5" s="13" t="s">
        <v>267</v>
      </c>
      <c r="D5" s="12" t="s">
        <v>268</v>
      </c>
      <c r="E5" s="13" t="s">
        <v>269</v>
      </c>
      <c r="F5" s="13" t="s">
        <v>270</v>
      </c>
      <c r="G5" s="12" t="s">
        <v>271</v>
      </c>
      <c r="H5" s="13" t="s">
        <v>272</v>
      </c>
      <c r="I5" s="12" t="s">
        <v>273</v>
      </c>
      <c r="J5" s="12" t="s">
        <v>274</v>
      </c>
      <c r="K5" s="13" t="s">
        <v>275</v>
      </c>
      <c r="L5" s="12" t="s">
        <v>276</v>
      </c>
      <c r="M5" s="12" t="s">
        <v>277</v>
      </c>
      <c r="N5" s="4"/>
      <c r="O5" s="13" t="s">
        <v>278</v>
      </c>
      <c r="P5" s="13" t="s">
        <v>201</v>
      </c>
      <c r="Q5" s="12" t="s">
        <v>279</v>
      </c>
      <c r="R5" s="12" t="s">
        <v>280</v>
      </c>
      <c r="S5" s="4"/>
    </row>
    <row r="6" customFormat="false" ht="15" hidden="false" customHeight="false" outlineLevel="0" collapsed="false">
      <c r="A6" s="38" t="n">
        <v>1</v>
      </c>
      <c r="B6" s="21" t="s">
        <v>281</v>
      </c>
      <c r="C6" s="75" t="n">
        <v>1</v>
      </c>
      <c r="D6" s="99" t="n">
        <v>4.730041</v>
      </c>
      <c r="E6" s="100" t="n">
        <f aca="false">D6^2</f>
        <v>22.373287861681</v>
      </c>
      <c r="F6" s="101" t="n">
        <f aca="false">IFERROR(E6/(2*PI()*断面!$D$4^2)*SQRT(断面!$D$16/断面!$D$19),0)</f>
        <v>2291.19074647481</v>
      </c>
      <c r="G6" s="100" t="n">
        <f aca="false">IFERROR(1/SQRT(1+E6*($D$4/断面!$D$4)^2*$H$4),1)</f>
        <v>0.932137111692531</v>
      </c>
      <c r="H6" s="101" t="n">
        <f aca="false">F6*G6</f>
        <v>2135.70392475568</v>
      </c>
      <c r="I6" s="65" t="n">
        <f aca="false">IF($I$3=1,H6,F6)</f>
        <v>2135.70392475568</v>
      </c>
      <c r="J6" s="102" t="n">
        <f aca="false">IFERROR(2*PI()*断面!$D$4/D6*1000,0)</f>
        <v>153.451855213387</v>
      </c>
      <c r="K6" s="102" t="n">
        <f aca="false">IFERROR(J6/(断面!$D$20*1000),0)</f>
        <v>9.47233674156712</v>
      </c>
      <c r="L6" s="45" t="str">
        <f aca="false">IF(K6&gt;=6,"🟢 良",IF(K6&gt;=3,"🟡 誤差±10%程度","🔴 参考値のみ"))</f>
        <v>🟢 良</v>
      </c>
      <c r="M6" s="29" t="s">
        <v>282</v>
      </c>
      <c r="N6" s="4"/>
      <c r="O6" s="103" t="n">
        <f aca="false">IF(I6&lt;=0,1000000000,I6)</f>
        <v>2135.70392475568</v>
      </c>
      <c r="P6" s="84" t="n">
        <f aca="false">$E$3</f>
        <v>0.0223791979760932</v>
      </c>
      <c r="Q6" s="104" t="n">
        <v>1</v>
      </c>
      <c r="R6" s="105" t="str">
        <f aca="false">B6&amp;" "&amp;C6&amp;"次"</f>
        <v>面外曲げ 1次</v>
      </c>
      <c r="S6" s="4"/>
    </row>
    <row r="7" customFormat="false" ht="15" hidden="false" customHeight="false" outlineLevel="0" collapsed="false">
      <c r="A7" s="47" t="n">
        <v>2</v>
      </c>
      <c r="B7" s="6" t="s">
        <v>281</v>
      </c>
      <c r="C7" s="83" t="n">
        <v>2</v>
      </c>
      <c r="D7" s="106" t="n">
        <v>7.853205</v>
      </c>
      <c r="E7" s="98" t="n">
        <f aca="false">D7^2</f>
        <v>61.672828772025</v>
      </c>
      <c r="F7" s="103" t="n">
        <f aca="false">IFERROR(E7/(2*PI()*断面!$D$4^2)*SQRT(断面!$D$16/断面!$D$19),0)</f>
        <v>6315.75544305236</v>
      </c>
      <c r="G7" s="98" t="n">
        <f aca="false">IFERROR(1/SQRT(1+E7*($D$4/断面!$D$4)^2*$H$4),1)</f>
        <v>0.840371090324331</v>
      </c>
      <c r="H7" s="103" t="n">
        <f aca="false">F7*G7</f>
        <v>5307.57828789974</v>
      </c>
      <c r="I7" s="65" t="n">
        <f aca="false">IF($I$3=1,H7,F7)</f>
        <v>5307.57828789974</v>
      </c>
      <c r="J7" s="107" t="n">
        <f aca="false">IFERROR(2*PI()*断面!$D$4/D7*1000,0)</f>
        <v>92.425139377539</v>
      </c>
      <c r="K7" s="107" t="n">
        <f aca="false">IFERROR(J7/(断面!$D$20*1000),0)</f>
        <v>5.70525551713203</v>
      </c>
      <c r="L7" s="53" t="str">
        <f aca="false">IF(K7&gt;=6,"🟢 良",IF(K7&gt;=3,"🟡 誤差±10%程度","🔴 参考値のみ"))</f>
        <v>🟡 誤差±10%程度</v>
      </c>
      <c r="M7" s="30" t="s">
        <v>282</v>
      </c>
      <c r="N7" s="4"/>
      <c r="O7" s="103" t="n">
        <f aca="false">IF(I7&lt;=0,1000000000,I7)</f>
        <v>5307.57828789974</v>
      </c>
      <c r="P7" s="84" t="n">
        <f aca="false">$E$3</f>
        <v>0.0223791979760932</v>
      </c>
      <c r="Q7" s="104" t="n">
        <v>1</v>
      </c>
      <c r="R7" s="105" t="str">
        <f aca="false">B7&amp;" "&amp;C7&amp;"次"</f>
        <v>面外曲げ 2次</v>
      </c>
      <c r="S7" s="4"/>
    </row>
    <row r="8" customFormat="false" ht="15" hidden="false" customHeight="false" outlineLevel="0" collapsed="false">
      <c r="A8" s="38" t="n">
        <v>3</v>
      </c>
      <c r="B8" s="21" t="s">
        <v>281</v>
      </c>
      <c r="C8" s="75" t="n">
        <v>3</v>
      </c>
      <c r="D8" s="99" t="n">
        <v>10.995608</v>
      </c>
      <c r="E8" s="100" t="n">
        <f aca="false">D8^2</f>
        <v>120.903395289664</v>
      </c>
      <c r="F8" s="101" t="n">
        <f aca="false">IFERROR(E8/(2*PI()*断面!$D$4^2)*SQRT(断面!$D$16/断面!$D$19),0)</f>
        <v>12381.4051031591</v>
      </c>
      <c r="G8" s="100" t="n">
        <f aca="false">IFERROR(1/SQRT(1+E8*($D$4/断面!$D$4)^2*$H$4),1)</f>
        <v>0.742169162700944</v>
      </c>
      <c r="H8" s="101" t="n">
        <f aca="false">F8*G8</f>
        <v>9189.09705847277</v>
      </c>
      <c r="I8" s="65" t="n">
        <f aca="false">IF($I$3=1,H8,F8)</f>
        <v>9189.09705847277</v>
      </c>
      <c r="J8" s="102" t="n">
        <f aca="false">IFERROR(2*PI()*断面!$D$4/D8*1000,0)</f>
        <v>66.0112261809793</v>
      </c>
      <c r="K8" s="102" t="n">
        <f aca="false">IFERROR(J8/(断面!$D$20*1000),0)</f>
        <v>4.0747670482086</v>
      </c>
      <c r="L8" s="45" t="str">
        <f aca="false">IF(K8&gt;=6,"🟢 良",IF(K8&gt;=3,"🟡 誤差±10%程度","🔴 参考値のみ"))</f>
        <v>🟡 誤差±10%程度</v>
      </c>
      <c r="M8" s="29" t="s">
        <v>282</v>
      </c>
      <c r="N8" s="4"/>
      <c r="O8" s="103" t="n">
        <f aca="false">IF(I8&lt;=0,1000000000,I8)</f>
        <v>9189.09705847277</v>
      </c>
      <c r="P8" s="84" t="n">
        <f aca="false">$E$3</f>
        <v>0.0223791979760932</v>
      </c>
      <c r="Q8" s="104" t="n">
        <v>1</v>
      </c>
      <c r="R8" s="105" t="str">
        <f aca="false">B8&amp;" "&amp;C8&amp;"次"</f>
        <v>面外曲げ 3次</v>
      </c>
      <c r="S8" s="4"/>
    </row>
    <row r="9" customFormat="false" ht="15" hidden="false" customHeight="false" outlineLevel="0" collapsed="false">
      <c r="A9" s="47" t="n">
        <v>4</v>
      </c>
      <c r="B9" s="6" t="s">
        <v>281</v>
      </c>
      <c r="C9" s="83" t="n">
        <v>4</v>
      </c>
      <c r="D9" s="106" t="n">
        <v>14.137165</v>
      </c>
      <c r="E9" s="98" t="n">
        <f aca="false">D9^2</f>
        <v>199.859434237225</v>
      </c>
      <c r="F9" s="103" t="n">
        <f aca="false">IFERROR(E9/(2*PI()*断面!$D$4^2)*SQRT(断面!$D$16/断面!$D$19),0)</f>
        <v>20467.0895556794</v>
      </c>
      <c r="G9" s="98" t="n">
        <f aca="false">IFERROR(1/SQRT(1+E9*($D$4/断面!$D$4)^2*$H$4),1)</f>
        <v>0.652599092709246</v>
      </c>
      <c r="H9" s="103" t="n">
        <f aca="false">F9*G9</f>
        <v>13356.8040744353</v>
      </c>
      <c r="I9" s="65" t="n">
        <f aca="false">IF($I$3=1,H9,F9)</f>
        <v>13356.8040744353</v>
      </c>
      <c r="J9" s="107" t="n">
        <f aca="false">IFERROR(2*PI()*断面!$D$4/D9*1000,0)</f>
        <v>51.3422292719499</v>
      </c>
      <c r="K9" s="107" t="n">
        <f aca="false">IFERROR(J9/(断面!$D$20*1000),0)</f>
        <v>3.16927341184876</v>
      </c>
      <c r="L9" s="53" t="str">
        <f aca="false">IF(K9&gt;=6,"🟢 良",IF(K9&gt;=3,"🟡 誤差±10%程度","🔴 参考値のみ"))</f>
        <v>🟡 誤差±10%程度</v>
      </c>
      <c r="M9" s="30" t="s">
        <v>282</v>
      </c>
      <c r="N9" s="4"/>
      <c r="O9" s="103" t="n">
        <f aca="false">IF(I9&lt;=0,1000000000,I9)</f>
        <v>13356.8040744353</v>
      </c>
      <c r="P9" s="84" t="n">
        <f aca="false">$E$3</f>
        <v>0.0223791979760932</v>
      </c>
      <c r="Q9" s="104" t="n">
        <v>1</v>
      </c>
      <c r="R9" s="105" t="str">
        <f aca="false">B9&amp;" "&amp;C9&amp;"次"</f>
        <v>面外曲げ 4次</v>
      </c>
      <c r="S9" s="4"/>
    </row>
    <row r="10" customFormat="false" ht="15" hidden="false" customHeight="false" outlineLevel="0" collapsed="false">
      <c r="A10" s="38" t="n">
        <v>5</v>
      </c>
      <c r="B10" s="21" t="s">
        <v>281</v>
      </c>
      <c r="C10" s="75" t="n">
        <v>5</v>
      </c>
      <c r="D10" s="99" t="n">
        <v>17.27876</v>
      </c>
      <c r="E10" s="100" t="n">
        <f aca="false">D10^2</f>
        <v>298.5555471376</v>
      </c>
      <c r="F10" s="101" t="n">
        <f aca="false">IFERROR(E10/(2*PI()*断面!$D$4^2)*SQRT(断面!$D$16/断面!$D$19),0)</f>
        <v>30574.3041049398</v>
      </c>
      <c r="G10" s="100" t="n">
        <f aca="false">IFERROR(1/SQRT(1+E10*($D$4/断面!$D$4)^2*$H$4),1)</f>
        <v>0.576031499759164</v>
      </c>
      <c r="H10" s="101" t="n">
        <f aca="false">F10*G10</f>
        <v>17611.7622476612</v>
      </c>
      <c r="I10" s="65" t="n">
        <f aca="false">IF($I$3=1,H10,F10)</f>
        <v>17611.7622476612</v>
      </c>
      <c r="J10" s="102" t="n">
        <f aca="false">IFERROR(2*PI()*断面!$D$4/D10*1000,0)</f>
        <v>42.0072717420339</v>
      </c>
      <c r="K10" s="102" t="n">
        <f aca="false">IFERROR(J10/(断面!$D$20*1000),0)</f>
        <v>2.59304146555765</v>
      </c>
      <c r="L10" s="45" t="str">
        <f aca="false">IF(K10&gt;=6,"🟢 良",IF(K10&gt;=3,"🟡 誤差±10%程度","🔴 参考値のみ"))</f>
        <v>🔴 参考値のみ</v>
      </c>
      <c r="M10" s="29" t="s">
        <v>282</v>
      </c>
      <c r="N10" s="4"/>
      <c r="O10" s="103" t="n">
        <f aca="false">IF(I10&lt;=0,1000000000,I10)</f>
        <v>17611.7622476612</v>
      </c>
      <c r="P10" s="84" t="n">
        <f aca="false">$E$3</f>
        <v>0.0223791979760932</v>
      </c>
      <c r="Q10" s="104" t="n">
        <v>1</v>
      </c>
      <c r="R10" s="105" t="str">
        <f aca="false">B10&amp;" "&amp;C10&amp;"次"</f>
        <v>面外曲げ 5次</v>
      </c>
      <c r="S10" s="4"/>
    </row>
    <row r="11" customFormat="false" ht="15" hidden="false" customHeight="false" outlineLevel="0" collapsed="false">
      <c r="A11" s="47" t="n">
        <v>6</v>
      </c>
      <c r="B11" s="6" t="s">
        <v>281</v>
      </c>
      <c r="C11" s="83" t="n">
        <v>6</v>
      </c>
      <c r="D11" s="106" t="n">
        <v>20.420352</v>
      </c>
      <c r="E11" s="98" t="n">
        <f aca="false">D11^2</f>
        <v>416.990775803904</v>
      </c>
      <c r="F11" s="103" t="n">
        <f aca="false">IFERROR(E11/(2*PI()*断面!$D$4^2)*SQRT(断面!$D$16/断面!$D$19),0)</f>
        <v>42702.9506254908</v>
      </c>
      <c r="G11" s="98" t="n">
        <f aca="false">IFERROR(1/SQRT(1+E11*($D$4/断面!$D$4)^2*$H$4),1)</f>
        <v>0.512141086337831</v>
      </c>
      <c r="H11" s="103" t="n">
        <f aca="false">F11*G11</f>
        <v>21869.9355231696</v>
      </c>
      <c r="I11" s="65" t="n">
        <f aca="false">IF($I$3=1,H11,F11)</f>
        <v>21869.9355231696</v>
      </c>
      <c r="J11" s="107" t="n">
        <f aca="false">IFERROR(2*PI()*断面!$D$4/D11*1000,0)</f>
        <v>35.5446158168765</v>
      </c>
      <c r="K11" s="107" t="n">
        <f aca="false">IFERROR(J11/(断面!$D$20*1000),0)</f>
        <v>2.19411208746151</v>
      </c>
      <c r="L11" s="53" t="str">
        <f aca="false">IF(K11&gt;=6,"🟢 良",IF(K11&gt;=3,"🟡 誤差±10%程度","🔴 参考値のみ"))</f>
        <v>🔴 参考値のみ</v>
      </c>
      <c r="M11" s="30" t="s">
        <v>282</v>
      </c>
      <c r="N11" s="4"/>
      <c r="O11" s="103" t="n">
        <f aca="false">IF(I11&lt;=0,1000000000,I11)</f>
        <v>21869.9355231696</v>
      </c>
      <c r="P11" s="84" t="n">
        <f aca="false">$E$3</f>
        <v>0.0223791979760932</v>
      </c>
      <c r="Q11" s="104" t="n">
        <v>1</v>
      </c>
      <c r="R11" s="105" t="str">
        <f aca="false">B11&amp;" "&amp;C11&amp;"次"</f>
        <v>面外曲げ 6次</v>
      </c>
      <c r="S11" s="4"/>
    </row>
    <row r="12" customFormat="false" ht="15" hidden="false" customHeight="false" outlineLevel="0" collapsed="false">
      <c r="A12" s="38" t="n">
        <v>7</v>
      </c>
      <c r="B12" s="108" t="s">
        <v>283</v>
      </c>
      <c r="C12" s="75" t="n">
        <v>1</v>
      </c>
      <c r="D12" s="99" t="n">
        <v>1</v>
      </c>
      <c r="E12" s="100" t="n">
        <f aca="false">D12^2</f>
        <v>1</v>
      </c>
      <c r="F12" s="101" t="n">
        <f aca="false">IFERROR(D12/(2*断面!$D$4)*SQRT(断面!$D$26/断面!$D$27),0)</f>
        <v>3074.39171481927</v>
      </c>
      <c r="G12" s="100" t="n">
        <f aca="false">1</f>
        <v>1</v>
      </c>
      <c r="H12" s="101" t="n">
        <f aca="false">F12*G12</f>
        <v>3074.39171481927</v>
      </c>
      <c r="I12" s="65" t="n">
        <f aca="false">IF($I$3=1,H12,F12)</f>
        <v>3074.39171481927</v>
      </c>
      <c r="J12" s="102" t="n">
        <f aca="false">IFERROR(2*断面!$D$4/D12*1000,0)</f>
        <v>231.04</v>
      </c>
      <c r="K12" s="102" t="n">
        <f aca="false">IFERROR(J12/(MAX(断面!$D$3,断面!$D$20)*1000),0)</f>
        <v>5.46343271978258</v>
      </c>
      <c r="L12" s="45" t="str">
        <f aca="false">IF(K12&gt;=6,"🟢 良",IF(K12&gt;=3,"🟡 誤差±10%程度","🔴 参考値のみ"))</f>
        <v>🟡 誤差±10%程度</v>
      </c>
      <c r="M12" s="29" t="s">
        <v>284</v>
      </c>
      <c r="N12" s="4"/>
      <c r="O12" s="103" t="n">
        <f aca="false">IF(I12&lt;=0,1000000000,I12)</f>
        <v>3074.39171481927</v>
      </c>
      <c r="P12" s="84" t="n">
        <f aca="false">$E$3</f>
        <v>0.0223791979760932</v>
      </c>
      <c r="Q12" s="104" t="n">
        <v>1</v>
      </c>
      <c r="R12" s="105" t="str">
        <f aca="false">B12&amp;" "&amp;C12&amp;"次"</f>
        <v>ねじり 1次</v>
      </c>
      <c r="S12" s="4"/>
    </row>
    <row r="13" customFormat="false" ht="15" hidden="false" customHeight="false" outlineLevel="0" collapsed="false">
      <c r="A13" s="47" t="n">
        <v>8</v>
      </c>
      <c r="B13" s="109" t="s">
        <v>283</v>
      </c>
      <c r="C13" s="83" t="n">
        <v>2</v>
      </c>
      <c r="D13" s="106" t="n">
        <v>2</v>
      </c>
      <c r="E13" s="98" t="n">
        <f aca="false">D13^2</f>
        <v>4</v>
      </c>
      <c r="F13" s="103" t="n">
        <f aca="false">IFERROR(D13/(2*断面!$D$4)*SQRT(断面!$D$26/断面!$D$27),0)</f>
        <v>6148.78342963853</v>
      </c>
      <c r="G13" s="98" t="n">
        <f aca="false">1</f>
        <v>1</v>
      </c>
      <c r="H13" s="103" t="n">
        <f aca="false">F13*G13</f>
        <v>6148.78342963853</v>
      </c>
      <c r="I13" s="65" t="n">
        <f aca="false">IF($I$3=1,H13,F13)</f>
        <v>6148.78342963853</v>
      </c>
      <c r="J13" s="107" t="n">
        <f aca="false">IFERROR(2*断面!$D$4/D13*1000,0)</f>
        <v>115.52</v>
      </c>
      <c r="K13" s="107" t="n">
        <f aca="false">IFERROR(J13/(MAX(断面!$D$3,断面!$D$20)*1000),0)</f>
        <v>2.73171635989129</v>
      </c>
      <c r="L13" s="53" t="str">
        <f aca="false">IF(K13&gt;=6,"🟢 良",IF(K13&gt;=3,"🟡 誤差±10%程度","🔴 参考値のみ"))</f>
        <v>🔴 参考値のみ</v>
      </c>
      <c r="M13" s="30" t="s">
        <v>284</v>
      </c>
      <c r="N13" s="4"/>
      <c r="O13" s="103" t="n">
        <f aca="false">IF(I13&lt;=0,1000000000,I13)</f>
        <v>6148.78342963853</v>
      </c>
      <c r="P13" s="84" t="n">
        <f aca="false">$E$3</f>
        <v>0.0223791979760932</v>
      </c>
      <c r="Q13" s="104" t="n">
        <v>1</v>
      </c>
      <c r="R13" s="105" t="str">
        <f aca="false">B13&amp;" "&amp;C13&amp;"次"</f>
        <v>ねじり 2次</v>
      </c>
      <c r="S13" s="4"/>
    </row>
    <row r="14" customFormat="false" ht="15" hidden="false" customHeight="false" outlineLevel="0" collapsed="false">
      <c r="A14" s="38" t="n">
        <v>9</v>
      </c>
      <c r="B14" s="108" t="s">
        <v>283</v>
      </c>
      <c r="C14" s="75" t="n">
        <v>3</v>
      </c>
      <c r="D14" s="99" t="n">
        <v>3</v>
      </c>
      <c r="E14" s="100" t="n">
        <f aca="false">D14^2</f>
        <v>9</v>
      </c>
      <c r="F14" s="101" t="n">
        <f aca="false">IFERROR(D14/(2*断面!$D$4)*SQRT(断面!$D$26/断面!$D$27),0)</f>
        <v>9223.1751444578</v>
      </c>
      <c r="G14" s="100" t="n">
        <f aca="false">1</f>
        <v>1</v>
      </c>
      <c r="H14" s="101" t="n">
        <f aca="false">F14*G14</f>
        <v>9223.1751444578</v>
      </c>
      <c r="I14" s="65" t="n">
        <f aca="false">IF($I$3=1,H14,F14)</f>
        <v>9223.1751444578</v>
      </c>
      <c r="J14" s="102" t="n">
        <f aca="false">IFERROR(2*断面!$D$4/D14*1000,0)</f>
        <v>77.0133333333333</v>
      </c>
      <c r="K14" s="102" t="n">
        <f aca="false">IFERROR(J14/(MAX(断面!$D$3,断面!$D$20)*1000),0)</f>
        <v>1.82114423992753</v>
      </c>
      <c r="L14" s="45" t="str">
        <f aca="false">IF(K14&gt;=6,"🟢 良",IF(K14&gt;=3,"🟡 誤差±10%程度","🔴 参考値のみ"))</f>
        <v>🔴 参考値のみ</v>
      </c>
      <c r="M14" s="29" t="s">
        <v>284</v>
      </c>
      <c r="N14" s="4"/>
      <c r="O14" s="103" t="n">
        <f aca="false">IF(I14&lt;=0,1000000000,I14)</f>
        <v>9223.1751444578</v>
      </c>
      <c r="P14" s="84" t="n">
        <f aca="false">$E$3</f>
        <v>0.0223791979760932</v>
      </c>
      <c r="Q14" s="104" t="n">
        <v>1</v>
      </c>
      <c r="R14" s="105" t="str">
        <f aca="false">B14&amp;" "&amp;C14&amp;"次"</f>
        <v>ねじり 3次</v>
      </c>
      <c r="S14" s="4"/>
    </row>
    <row r="15" customFormat="false" ht="15" hidden="false" customHeight="false" outlineLevel="0" collapsed="false">
      <c r="A15" s="47" t="n">
        <v>10</v>
      </c>
      <c r="B15" s="109" t="s">
        <v>283</v>
      </c>
      <c r="C15" s="83" t="n">
        <v>4</v>
      </c>
      <c r="D15" s="106" t="n">
        <v>4</v>
      </c>
      <c r="E15" s="98" t="n">
        <f aca="false">D15^2</f>
        <v>16</v>
      </c>
      <c r="F15" s="103" t="n">
        <f aca="false">IFERROR(D15/(2*断面!$D$4)*SQRT(断面!$D$26/断面!$D$27),0)</f>
        <v>12297.5668592771</v>
      </c>
      <c r="G15" s="98" t="n">
        <f aca="false">1</f>
        <v>1</v>
      </c>
      <c r="H15" s="103" t="n">
        <f aca="false">F15*G15</f>
        <v>12297.5668592771</v>
      </c>
      <c r="I15" s="65" t="n">
        <f aca="false">IF($I$3=1,H15,F15)</f>
        <v>12297.5668592771</v>
      </c>
      <c r="J15" s="107" t="n">
        <f aca="false">IFERROR(2*断面!$D$4/D15*1000,0)</f>
        <v>57.76</v>
      </c>
      <c r="K15" s="107" t="n">
        <f aca="false">IFERROR(J15/(MAX(断面!$D$3,断面!$D$20)*1000),0)</f>
        <v>1.36585817994565</v>
      </c>
      <c r="L15" s="53" t="str">
        <f aca="false">IF(K15&gt;=6,"🟢 良",IF(K15&gt;=3,"🟡 誤差±10%程度","🔴 参考値のみ"))</f>
        <v>🔴 参考値のみ</v>
      </c>
      <c r="M15" s="30" t="s">
        <v>284</v>
      </c>
      <c r="N15" s="4"/>
      <c r="O15" s="103" t="n">
        <f aca="false">IF(I15&lt;=0,1000000000,I15)</f>
        <v>12297.5668592771</v>
      </c>
      <c r="P15" s="84" t="n">
        <f aca="false">$E$3</f>
        <v>0.0223791979760932</v>
      </c>
      <c r="Q15" s="104" t="n">
        <v>1</v>
      </c>
      <c r="R15" s="105" t="str">
        <f aca="false">B15&amp;" "&amp;C15&amp;"次"</f>
        <v>ねじり 4次</v>
      </c>
      <c r="S15" s="4"/>
    </row>
    <row r="16" customFormat="false" ht="15" hidden="false" customHeight="false" outlineLevel="0" collapsed="false">
      <c r="A16" s="38" t="n">
        <v>11</v>
      </c>
      <c r="B16" s="110" t="s">
        <v>285</v>
      </c>
      <c r="C16" s="75" t="n">
        <v>1</v>
      </c>
      <c r="D16" s="99" t="n">
        <v>4.730041</v>
      </c>
      <c r="E16" s="100" t="n">
        <f aca="false">D16^2</f>
        <v>22.373287861681</v>
      </c>
      <c r="F16" s="101" t="n">
        <f aca="false">IFERROR(E16/(2*PI()*断面!$D$4^2)*SQRT(断面!$D$17/断面!$D$19),0)</f>
        <v>12875.1505709646</v>
      </c>
      <c r="G16" s="100" t="n">
        <f aca="false">IFERROR(1/SQRT(1+E16*($F$4/断面!$D$4)^2*$H$4),1)</f>
        <v>0.702154846417676</v>
      </c>
      <c r="H16" s="101" t="n">
        <f aca="false">F16*G16</f>
        <v>9040.3493717601</v>
      </c>
      <c r="I16" s="65" t="n">
        <f aca="false">IF($I$3=1,H16,F16)</f>
        <v>9040.3493717601</v>
      </c>
      <c r="J16" s="102" t="n">
        <f aca="false">IFERROR(2*PI()*断面!$D$4/D16*1000,0)</f>
        <v>153.451855213387</v>
      </c>
      <c r="K16" s="102" t="n">
        <f aca="false">IFERROR(J16/(断面!$D$3*1000),0)</f>
        <v>3.62869583918006</v>
      </c>
      <c r="L16" s="45" t="str">
        <f aca="false">IF(K16&gt;=6,"🟢 良",IF(K16&gt;=3,"🟡 誤差±10%程度","🔴 参考値のみ"))</f>
        <v>🟡 誤差±10%程度</v>
      </c>
      <c r="M16" s="29" t="s">
        <v>286</v>
      </c>
      <c r="N16" s="4"/>
      <c r="O16" s="103" t="n">
        <f aca="false">IF(I16&lt;=0,1000000000,I16)</f>
        <v>9040.3493717601</v>
      </c>
      <c r="P16" s="84" t="n">
        <f aca="false">$E$3</f>
        <v>0.0223791979760932</v>
      </c>
      <c r="Q16" s="104" t="n">
        <v>1</v>
      </c>
      <c r="R16" s="105" t="str">
        <f aca="false">B16&amp;" "&amp;C16&amp;"次"</f>
        <v>面内曲げ 1次</v>
      </c>
      <c r="S16" s="4"/>
    </row>
    <row r="17" customFormat="false" ht="15" hidden="false" customHeight="false" outlineLevel="0" collapsed="false">
      <c r="A17" s="47" t="n">
        <v>12</v>
      </c>
      <c r="B17" s="111" t="s">
        <v>285</v>
      </c>
      <c r="C17" s="83" t="n">
        <v>2</v>
      </c>
      <c r="D17" s="106" t="n">
        <v>7.853205</v>
      </c>
      <c r="E17" s="98" t="n">
        <f aca="false">D17^2</f>
        <v>61.672828772025</v>
      </c>
      <c r="F17" s="103" t="n">
        <f aca="false">IFERROR(E17/(2*PI()*断面!$D$4^2)*SQRT(断面!$D$17/断面!$D$19),0)</f>
        <v>35490.8479024718</v>
      </c>
      <c r="G17" s="98" t="n">
        <f aca="false">IFERROR(1/SQRT(1+E17*($F$4/断面!$D$4)^2*$H$4),1)</f>
        <v>0.510671256056134</v>
      </c>
      <c r="H17" s="103" t="n">
        <f aca="false">F17*G17</f>
        <v>18124.1558768525</v>
      </c>
      <c r="I17" s="65" t="n">
        <f aca="false">IF($I$3=1,H17,F17)</f>
        <v>18124.1558768525</v>
      </c>
      <c r="J17" s="107" t="n">
        <f aca="false">IFERROR(2*PI()*断面!$D$4/D17*1000,0)</f>
        <v>92.425139377539</v>
      </c>
      <c r="K17" s="107" t="n">
        <f aca="false">IFERROR(J17/(断面!$D$3*1000),0)</f>
        <v>2.18558920795409</v>
      </c>
      <c r="L17" s="53" t="str">
        <f aca="false">IF(K17&gt;=6,"🟢 良",IF(K17&gt;=3,"🟡 誤差±10%程度","🔴 参考値のみ"))</f>
        <v>🔴 参考値のみ</v>
      </c>
      <c r="M17" s="30" t="s">
        <v>286</v>
      </c>
      <c r="N17" s="4"/>
      <c r="O17" s="103" t="n">
        <f aca="false">IF(I17&lt;=0,1000000000,I17)</f>
        <v>18124.1558768525</v>
      </c>
      <c r="P17" s="84" t="n">
        <f aca="false">$E$3</f>
        <v>0.0223791979760932</v>
      </c>
      <c r="Q17" s="104" t="n">
        <v>1</v>
      </c>
      <c r="R17" s="105" t="str">
        <f aca="false">B17&amp;" "&amp;C17&amp;"次"</f>
        <v>面内曲げ 2次</v>
      </c>
      <c r="S17" s="4"/>
    </row>
    <row r="18" customFormat="false" ht="15" hidden="false" customHeight="false" outlineLevel="0" collapsed="false">
      <c r="A18" s="38" t="n">
        <v>13</v>
      </c>
      <c r="B18" s="110" t="s">
        <v>285</v>
      </c>
      <c r="C18" s="75" t="n">
        <v>3</v>
      </c>
      <c r="D18" s="99" t="n">
        <v>10.995608</v>
      </c>
      <c r="E18" s="100" t="n">
        <f aca="false">D18^2</f>
        <v>120.903395289664</v>
      </c>
      <c r="F18" s="101" t="n">
        <f aca="false">IFERROR(E18/(2*PI()*断面!$D$4^2)*SQRT(断面!$D$17/断面!$D$19),0)</f>
        <v>69576.2477343067</v>
      </c>
      <c r="G18" s="100" t="n">
        <f aca="false">IFERROR(1/SQRT(1+E18*($F$4/断面!$D$4)^2*$H$4),1)</f>
        <v>0.39052672252778</v>
      </c>
      <c r="H18" s="101" t="n">
        <f aca="false">F18*G18</f>
        <v>27171.3839934597</v>
      </c>
      <c r="I18" s="65" t="n">
        <f aca="false">IF($I$3=1,H18,F18)</f>
        <v>27171.3839934597</v>
      </c>
      <c r="J18" s="102" t="n">
        <f aca="false">IFERROR(2*PI()*断面!$D$4/D18*1000,0)</f>
        <v>66.0112261809793</v>
      </c>
      <c r="K18" s="102" t="n">
        <f aca="false">IFERROR(J18/(断面!$D$3*1000),0)</f>
        <v>1.56097599112765</v>
      </c>
      <c r="L18" s="45" t="str">
        <f aca="false">IF(K18&gt;=6,"🟢 良",IF(K18&gt;=3,"🟡 誤差±10%程度","🔴 参考値のみ"))</f>
        <v>🔴 参考値のみ</v>
      </c>
      <c r="M18" s="29" t="s">
        <v>286</v>
      </c>
      <c r="N18" s="4"/>
      <c r="O18" s="103" t="n">
        <f aca="false">IF(I18&lt;=0,1000000000,I18)</f>
        <v>27171.3839934597</v>
      </c>
      <c r="P18" s="84" t="n">
        <f aca="false">$E$3</f>
        <v>0.0223791979760932</v>
      </c>
      <c r="Q18" s="104" t="n">
        <v>1</v>
      </c>
      <c r="R18" s="105" t="str">
        <f aca="false">B18&amp;" "&amp;C18&amp;"次"</f>
        <v>面内曲げ 3次</v>
      </c>
      <c r="S18" s="4"/>
    </row>
    <row r="19" customFormat="false" ht="15" hidden="false" customHeight="false" outlineLevel="0" collapsed="false">
      <c r="A19" s="47" t="n">
        <v>14</v>
      </c>
      <c r="B19" s="111" t="s">
        <v>285</v>
      </c>
      <c r="C19" s="83" t="n">
        <v>4</v>
      </c>
      <c r="D19" s="106" t="n">
        <v>14.137165</v>
      </c>
      <c r="E19" s="98" t="n">
        <f aca="false">D19^2</f>
        <v>199.859434237225</v>
      </c>
      <c r="F19" s="103" t="n">
        <f aca="false">IFERROR(E19/(2*PI()*断面!$D$4^2)*SQRT(断面!$D$17/断面!$D$19),0)</f>
        <v>115013.060429051</v>
      </c>
      <c r="G19" s="98" t="n">
        <f aca="false">IFERROR(1/SQRT(1+E19*($F$4/断面!$D$4)^2*$H$4),1)</f>
        <v>0.313329782080943</v>
      </c>
      <c r="H19" s="103" t="n">
        <f aca="false">F19*G19</f>
        <v>36037.0171606968</v>
      </c>
      <c r="I19" s="65" t="n">
        <f aca="false">IF($I$3=1,H19,F19)</f>
        <v>36037.0171606968</v>
      </c>
      <c r="J19" s="107" t="n">
        <f aca="false">IFERROR(2*PI()*断面!$D$4/D19*1000,0)</f>
        <v>51.3422292719499</v>
      </c>
      <c r="K19" s="107" t="n">
        <f aca="false">IFERROR(J19/(断面!$D$3*1000),0)</f>
        <v>1.21409632665751</v>
      </c>
      <c r="L19" s="53" t="str">
        <f aca="false">IF(K19&gt;=6,"🟢 良",IF(K19&gt;=3,"🟡 誤差±10%程度","🔴 参考値のみ"))</f>
        <v>🔴 参考値のみ</v>
      </c>
      <c r="M19" s="30" t="s">
        <v>286</v>
      </c>
      <c r="N19" s="4"/>
      <c r="O19" s="103" t="n">
        <f aca="false">IF(I19&lt;=0,1000000000,I19)</f>
        <v>36037.0171606968</v>
      </c>
      <c r="P19" s="84" t="n">
        <f aca="false">$E$3</f>
        <v>0.0223791979760932</v>
      </c>
      <c r="Q19" s="104" t="n">
        <v>1</v>
      </c>
      <c r="R19" s="105" t="str">
        <f aca="false">B19&amp;" "&amp;C19&amp;"次"</f>
        <v>面内曲げ 4次</v>
      </c>
      <c r="S19" s="4"/>
    </row>
    <row r="20" customFormat="false" ht="15" hidden="false" customHeight="false" outlineLevel="0" collapsed="false">
      <c r="A20" s="38" t="n">
        <v>15</v>
      </c>
      <c r="B20" s="112" t="s">
        <v>287</v>
      </c>
      <c r="C20" s="75" t="n">
        <v>1</v>
      </c>
      <c r="D20" s="99" t="n">
        <v>1</v>
      </c>
      <c r="E20" s="100" t="n">
        <f aca="false">D20^2</f>
        <v>1</v>
      </c>
      <c r="F20" s="101" t="n">
        <f aca="false">IFERROR(D20/(2*断面!$D$4)*SQRT(断面!$D$18/断面!$D$19),0)</f>
        <v>17107.9749455276</v>
      </c>
      <c r="G20" s="100" t="n">
        <f aca="false">1</f>
        <v>1</v>
      </c>
      <c r="H20" s="101" t="n">
        <f aca="false">F20*G20</f>
        <v>17107.9749455276</v>
      </c>
      <c r="I20" s="65" t="n">
        <f aca="false">IF($I$3=1,H20,F20)</f>
        <v>17107.9749455276</v>
      </c>
      <c r="J20" s="102" t="n">
        <f aca="false">IFERROR(2*断面!$D$4/D20*1000,0)</f>
        <v>231.04</v>
      </c>
      <c r="K20" s="102" t="n">
        <f aca="false">IFERROR(J20/(MAX(断面!$D$3,断面!$D$20)*1000),0)</f>
        <v>5.46343271978258</v>
      </c>
      <c r="L20" s="45" t="str">
        <f aca="false">IF(K20&gt;=6,"🟢 良",IF(K20&gt;=3,"🟡 誤差±10%程度","🔴 参考値のみ"))</f>
        <v>🟡 誤差±10%程度</v>
      </c>
      <c r="M20" s="29" t="s">
        <v>288</v>
      </c>
      <c r="N20" s="4"/>
      <c r="O20" s="103" t="n">
        <f aca="false">IF(I20&lt;=0,1000000000,I20)</f>
        <v>17107.9749455276</v>
      </c>
      <c r="P20" s="84" t="n">
        <f aca="false">$E$3</f>
        <v>0.0223791979760932</v>
      </c>
      <c r="Q20" s="104" t="n">
        <v>1</v>
      </c>
      <c r="R20" s="105" t="str">
        <f aca="false">B20&amp;" "&amp;C20&amp;"次"</f>
        <v>面内伸縮 1次</v>
      </c>
      <c r="S20" s="4"/>
    </row>
    <row r="21" customFormat="false" ht="15" hidden="false" customHeight="false" outlineLevel="0" collapsed="false">
      <c r="A21" s="47" t="n">
        <v>16</v>
      </c>
      <c r="B21" s="113" t="s">
        <v>287</v>
      </c>
      <c r="C21" s="83" t="n">
        <v>2</v>
      </c>
      <c r="D21" s="106" t="n">
        <v>2</v>
      </c>
      <c r="E21" s="98" t="n">
        <f aca="false">D21^2</f>
        <v>4</v>
      </c>
      <c r="F21" s="103" t="n">
        <f aca="false">IFERROR(D21/(2*断面!$D$4)*SQRT(断面!$D$18/断面!$D$19),0)</f>
        <v>34215.9498910552</v>
      </c>
      <c r="G21" s="98" t="n">
        <f aca="false">1</f>
        <v>1</v>
      </c>
      <c r="H21" s="103" t="n">
        <f aca="false">F21*G21</f>
        <v>34215.9498910552</v>
      </c>
      <c r="I21" s="65" t="n">
        <f aca="false">IF($I$3=1,H21,F21)</f>
        <v>34215.9498910552</v>
      </c>
      <c r="J21" s="107" t="n">
        <f aca="false">IFERROR(2*断面!$D$4/D21*1000,0)</f>
        <v>115.52</v>
      </c>
      <c r="K21" s="107" t="n">
        <f aca="false">IFERROR(J21/(MAX(断面!$D$3,断面!$D$20)*1000),0)</f>
        <v>2.73171635989129</v>
      </c>
      <c r="L21" s="53" t="str">
        <f aca="false">IF(K21&gt;=6,"🟢 良",IF(K21&gt;=3,"🟡 誤差±10%程度","🔴 参考値のみ"))</f>
        <v>🔴 参考値のみ</v>
      </c>
      <c r="M21" s="30" t="s">
        <v>288</v>
      </c>
      <c r="N21" s="4"/>
      <c r="O21" s="103" t="n">
        <f aca="false">IF(I21&lt;=0,1000000000,I21)</f>
        <v>34215.9498910552</v>
      </c>
      <c r="P21" s="84" t="n">
        <f aca="false">$E$3</f>
        <v>0.0223791979760932</v>
      </c>
      <c r="Q21" s="104" t="n">
        <v>1</v>
      </c>
      <c r="R21" s="105" t="str">
        <f aca="false">B21&amp;" "&amp;C21&amp;"次"</f>
        <v>面内伸縮 2次</v>
      </c>
      <c r="S21" s="4"/>
    </row>
    <row r="22" customFormat="false" ht="15" hidden="false" customHeight="false" outlineLevel="0" collapsed="false">
      <c r="A22" s="38" t="n">
        <v>17</v>
      </c>
      <c r="B22" s="112" t="s">
        <v>287</v>
      </c>
      <c r="C22" s="75" t="n">
        <v>3</v>
      </c>
      <c r="D22" s="99" t="n">
        <v>3</v>
      </c>
      <c r="E22" s="100" t="n">
        <f aca="false">D22^2</f>
        <v>9</v>
      </c>
      <c r="F22" s="101" t="n">
        <f aca="false">IFERROR(D22/(2*断面!$D$4)*SQRT(断面!$D$18/断面!$D$19),0)</f>
        <v>51323.9248365827</v>
      </c>
      <c r="G22" s="100" t="n">
        <f aca="false">1</f>
        <v>1</v>
      </c>
      <c r="H22" s="101" t="n">
        <f aca="false">F22*G22</f>
        <v>51323.9248365827</v>
      </c>
      <c r="I22" s="65" t="n">
        <f aca="false">IF($I$3=1,H22,F22)</f>
        <v>51323.9248365827</v>
      </c>
      <c r="J22" s="102" t="n">
        <f aca="false">IFERROR(2*断面!$D$4/D22*1000,0)</f>
        <v>77.0133333333333</v>
      </c>
      <c r="K22" s="102" t="n">
        <f aca="false">IFERROR(J22/(MAX(断面!$D$3,断面!$D$20)*1000),0)</f>
        <v>1.82114423992753</v>
      </c>
      <c r="L22" s="45" t="str">
        <f aca="false">IF(K22&gt;=6,"🟢 良",IF(K22&gt;=3,"🟡 誤差±10%程度","🔴 参考値のみ"))</f>
        <v>🔴 参考値のみ</v>
      </c>
      <c r="M22" s="29" t="s">
        <v>288</v>
      </c>
      <c r="N22" s="4"/>
      <c r="O22" s="103" t="n">
        <f aca="false">IF(I22&lt;=0,1000000000,I22)</f>
        <v>51323.9248365827</v>
      </c>
      <c r="P22" s="84" t="n">
        <f aca="false">$E$3</f>
        <v>0.0223791979760932</v>
      </c>
      <c r="Q22" s="104" t="n">
        <v>1</v>
      </c>
      <c r="R22" s="105" t="str">
        <f aca="false">B22&amp;" "&amp;C22&amp;"次"</f>
        <v>面内伸縮 3次</v>
      </c>
      <c r="S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" hidden="false" customHeight="false" outlineLevel="0" collapsed="false">
      <c r="A24" s="56" t="s">
        <v>289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A25" s="6" t="s">
        <v>290</v>
      </c>
      <c r="B25" s="6"/>
      <c r="C25" s="63" t="s">
        <v>291</v>
      </c>
      <c r="D25" s="63"/>
      <c r="E25" s="63"/>
      <c r="F25" s="63"/>
      <c r="G25" s="30" t="s">
        <v>292</v>
      </c>
      <c r="H25" s="30"/>
      <c r="I25" s="30"/>
      <c r="J25" s="30"/>
      <c r="K25" s="30"/>
      <c r="L25" s="30"/>
      <c r="M25" s="30"/>
      <c r="N25" s="4"/>
      <c r="O25" s="4"/>
      <c r="P25" s="4"/>
      <c r="Q25" s="4"/>
      <c r="R25" s="4"/>
      <c r="S25" s="4"/>
    </row>
    <row r="26" customFormat="false" ht="15" hidden="false" customHeight="false" outlineLevel="0" collapsed="false">
      <c r="A26" s="21" t="s">
        <v>293</v>
      </c>
      <c r="B26" s="21"/>
      <c r="C26" s="61" t="s">
        <v>294</v>
      </c>
      <c r="D26" s="61"/>
      <c r="E26" s="61"/>
      <c r="F26" s="61"/>
      <c r="G26" s="29" t="s">
        <v>295</v>
      </c>
      <c r="H26" s="29"/>
      <c r="I26" s="29"/>
      <c r="J26" s="29"/>
      <c r="K26" s="29"/>
      <c r="L26" s="29"/>
      <c r="M26" s="29"/>
      <c r="N26" s="4"/>
      <c r="O26" s="4"/>
      <c r="P26" s="4"/>
      <c r="Q26" s="4"/>
      <c r="R26" s="4"/>
      <c r="S26" s="4"/>
    </row>
    <row r="27" customFormat="false" ht="17.15" hidden="false" customHeight="false" outlineLevel="0" collapsed="false">
      <c r="A27" s="6" t="s">
        <v>296</v>
      </c>
      <c r="B27" s="6"/>
      <c r="C27" s="63" t="s">
        <v>297</v>
      </c>
      <c r="D27" s="63"/>
      <c r="E27" s="63"/>
      <c r="F27" s="63"/>
      <c r="G27" s="20" t="s">
        <v>298</v>
      </c>
      <c r="H27" s="20"/>
      <c r="I27" s="20"/>
      <c r="J27" s="20"/>
      <c r="K27" s="20"/>
      <c r="L27" s="20"/>
      <c r="M27" s="20"/>
      <c r="N27" s="4"/>
      <c r="O27" s="4"/>
      <c r="P27" s="4"/>
      <c r="Q27" s="4"/>
      <c r="R27" s="4"/>
      <c r="S27" s="4"/>
    </row>
    <row r="28" customFormat="false" ht="15" hidden="false" customHeight="false" outlineLevel="0" collapsed="false">
      <c r="A28" s="21" t="s">
        <v>283</v>
      </c>
      <c r="B28" s="21"/>
      <c r="C28" s="61" t="s">
        <v>299</v>
      </c>
      <c r="D28" s="61"/>
      <c r="E28" s="61"/>
      <c r="F28" s="61"/>
      <c r="G28" s="29" t="s">
        <v>300</v>
      </c>
      <c r="H28" s="29"/>
      <c r="I28" s="29"/>
      <c r="J28" s="29"/>
      <c r="K28" s="29"/>
      <c r="L28" s="29"/>
      <c r="M28" s="29"/>
      <c r="N28" s="4"/>
      <c r="O28" s="4"/>
      <c r="P28" s="4"/>
      <c r="Q28" s="4"/>
      <c r="R28" s="4"/>
      <c r="S28" s="4"/>
    </row>
    <row r="29" customFormat="false" ht="15" hidden="false" customHeight="false" outlineLevel="0" collapsed="false">
      <c r="A29" s="6" t="s">
        <v>287</v>
      </c>
      <c r="B29" s="6"/>
      <c r="C29" s="63" t="s">
        <v>301</v>
      </c>
      <c r="D29" s="63"/>
      <c r="E29" s="63"/>
      <c r="F29" s="63"/>
      <c r="G29" s="30" t="s">
        <v>302</v>
      </c>
      <c r="H29" s="30"/>
      <c r="I29" s="30"/>
      <c r="J29" s="30"/>
      <c r="K29" s="30"/>
      <c r="L29" s="30"/>
      <c r="M29" s="30"/>
      <c r="N29" s="4"/>
      <c r="O29" s="4"/>
      <c r="P29" s="4"/>
      <c r="Q29" s="4"/>
      <c r="R29" s="4"/>
      <c r="S29" s="4"/>
    </row>
    <row r="30" customFormat="false" ht="17.15" hidden="false" customHeight="false" outlineLevel="0" collapsed="false">
      <c r="A30" s="21" t="s">
        <v>303</v>
      </c>
      <c r="B30" s="21"/>
      <c r="C30" s="61" t="s">
        <v>304</v>
      </c>
      <c r="D30" s="61"/>
      <c r="E30" s="61"/>
      <c r="F30" s="61"/>
      <c r="G30" s="28" t="s">
        <v>305</v>
      </c>
      <c r="H30" s="28"/>
      <c r="I30" s="28"/>
      <c r="J30" s="28"/>
      <c r="K30" s="28"/>
      <c r="L30" s="28"/>
      <c r="M30" s="28"/>
      <c r="N30" s="4"/>
      <c r="O30" s="4"/>
      <c r="P30" s="4"/>
      <c r="Q30" s="4"/>
      <c r="R30" s="4"/>
      <c r="S30" s="4"/>
    </row>
    <row r="31" customFormat="false" ht="17.15" hidden="false" customHeight="false" outlineLevel="0" collapsed="false">
      <c r="A31" s="6" t="s">
        <v>306</v>
      </c>
      <c r="B31" s="6"/>
      <c r="C31" s="63" t="s">
        <v>307</v>
      </c>
      <c r="D31" s="63"/>
      <c r="E31" s="63"/>
      <c r="F31" s="63"/>
      <c r="G31" s="30" t="s">
        <v>308</v>
      </c>
      <c r="H31" s="30"/>
      <c r="I31" s="30"/>
      <c r="J31" s="30"/>
      <c r="K31" s="30"/>
      <c r="L31" s="30"/>
      <c r="M31" s="30"/>
      <c r="N31" s="4"/>
      <c r="O31" s="4"/>
      <c r="P31" s="4"/>
      <c r="Q31" s="4"/>
      <c r="R31" s="4"/>
      <c r="S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9.4" hidden="false" customHeight="false" outlineLevel="0" collapsed="false">
      <c r="A33" s="56" t="s">
        <v>309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7.15" hidden="false" customHeight="false" outlineLevel="0" collapsed="false">
      <c r="A34" s="93" t="s">
        <v>310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4"/>
      <c r="O34" s="4"/>
      <c r="P34" s="4"/>
      <c r="Q34" s="4"/>
      <c r="R34" s="4"/>
      <c r="S34" s="4"/>
    </row>
    <row r="35" customFormat="false" ht="17.15" hidden="false" customHeight="false" outlineLevel="0" collapsed="false">
      <c r="A35" s="114" t="s">
        <v>311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4"/>
      <c r="O35" s="4"/>
      <c r="P35" s="4"/>
      <c r="Q35" s="4"/>
      <c r="R35" s="4"/>
      <c r="S35" s="4"/>
    </row>
    <row r="36" customFormat="false" ht="17.15" hidden="false" customHeight="false" outlineLevel="0" collapsed="false">
      <c r="A36" s="115" t="s">
        <v>312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4"/>
      <c r="O36" s="4"/>
      <c r="P36" s="4"/>
      <c r="Q36" s="4"/>
      <c r="R36" s="4"/>
      <c r="S36" s="4"/>
    </row>
    <row r="37" customFormat="false" ht="17.15" hidden="false" customHeight="false" outlineLevel="0" collapsed="false">
      <c r="A37" s="116" t="s">
        <v>313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4"/>
      <c r="O37" s="4"/>
      <c r="P37" s="4"/>
      <c r="Q37" s="4"/>
      <c r="R37" s="4"/>
      <c r="S37" s="4"/>
    </row>
    <row r="38" customFormat="false" ht="17.15" hidden="false" customHeight="false" outlineLevel="0" collapsed="false">
      <c r="A38" s="117" t="s">
        <v>314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4"/>
      <c r="O38" s="4"/>
      <c r="P38" s="4"/>
      <c r="Q38" s="4"/>
      <c r="R38" s="4"/>
      <c r="S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</sheetData>
  <mergeCells count="29">
    <mergeCell ref="A3:C3"/>
    <mergeCell ref="F3:H3"/>
    <mergeCell ref="A4:C4"/>
    <mergeCell ref="A25:B25"/>
    <mergeCell ref="C25:F25"/>
    <mergeCell ref="G25:M25"/>
    <mergeCell ref="A26:B26"/>
    <mergeCell ref="C26:F26"/>
    <mergeCell ref="G26:M26"/>
    <mergeCell ref="A27:B27"/>
    <mergeCell ref="C27:F27"/>
    <mergeCell ref="G27:M27"/>
    <mergeCell ref="A28:B28"/>
    <mergeCell ref="C28:F28"/>
    <mergeCell ref="G28:M28"/>
    <mergeCell ref="A29:B29"/>
    <mergeCell ref="C29:F29"/>
    <mergeCell ref="G29:M29"/>
    <mergeCell ref="A30:B30"/>
    <mergeCell ref="C30:F30"/>
    <mergeCell ref="G30:M30"/>
    <mergeCell ref="A31:B31"/>
    <mergeCell ref="C31:F31"/>
    <mergeCell ref="G31:M31"/>
    <mergeCell ref="A34:M34"/>
    <mergeCell ref="A35:M35"/>
    <mergeCell ref="A36:M36"/>
    <mergeCell ref="A37:M37"/>
    <mergeCell ref="A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31" activeCellId="0" sqref="G3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  <col collapsed="false" customWidth="true" hidden="false" outlineLevel="0" max="6" min="6" style="0" width="3"/>
  </cols>
  <sheetData>
    <row r="1" customFormat="false" ht="23.85" hidden="false" customHeight="false" outlineLevel="0" collapsed="false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316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7" t="s">
        <v>317</v>
      </c>
      <c r="B3" s="4"/>
      <c r="C3" s="118" t="n">
        <v>0</v>
      </c>
      <c r="D3" s="57" t="s">
        <v>318</v>
      </c>
      <c r="E3" s="4"/>
      <c r="F3" s="118" t="n">
        <v>10</v>
      </c>
      <c r="G3" s="57" t="s">
        <v>319</v>
      </c>
      <c r="H3" s="119" t="n">
        <v>2001</v>
      </c>
      <c r="I3" s="63" t="s">
        <v>320</v>
      </c>
      <c r="J3" s="4"/>
      <c r="K3" s="120" t="n">
        <v>1</v>
      </c>
      <c r="L3" s="121" t="s">
        <v>321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" hidden="false" customHeight="false" outlineLevel="0" collapsed="false">
      <c r="A5" s="12" t="s">
        <v>322</v>
      </c>
      <c r="B5" s="12" t="s">
        <v>323</v>
      </c>
      <c r="C5" s="12" t="s">
        <v>324</v>
      </c>
      <c r="D5" s="12" t="s">
        <v>325</v>
      </c>
      <c r="E5" s="12" t="s">
        <v>326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" hidden="false" customHeight="false" outlineLevel="0" collapsed="false">
      <c r="A6" s="122" t="n">
        <f aca="false">$C$3</f>
        <v>0</v>
      </c>
      <c r="B6" s="123" t="n">
        <f aca="false">SUMPRODUCT(固有振動数!$Q$6:$Q$22*(1-($A6/固有振動数!$O$6:$O$22)^2)/((1-($A6/固有振動数!$O$6:$O$22)^2)^2+固有振動数!$P$6:$P$22^2))</f>
        <v>16.9914901774268</v>
      </c>
      <c r="C6" s="123" t="n">
        <f aca="false">-SUMPRODUCT(固有振動数!$Q$6:$Q$22*固有振動数!$P$6:$P$22/((1-($A6/固有振動数!$O$6:$O$22)^2)^2+固有振動数!$P$6:$P$22^2))</f>
        <v>-0.380255922589477</v>
      </c>
      <c r="D6" s="124" t="n">
        <f aca="false">SQRT(B6^2+C6^2)</f>
        <v>16.9957445561015</v>
      </c>
      <c r="E6" s="125" t="n">
        <f aca="false">20*LOG10(MAX(D6,0.000000000001)/$K$3)</f>
        <v>24.6068039015041</v>
      </c>
    </row>
    <row r="7" customFormat="false" ht="15" hidden="false" customHeight="false" outlineLevel="0" collapsed="false">
      <c r="A7" s="126" t="n">
        <f aca="false">A6+$F$3</f>
        <v>10</v>
      </c>
      <c r="B7" s="127" t="n">
        <f aca="false">SUMPRODUCT(固有振動数!$Q$6:$Q$22*(1-($A7/固有振動数!$O$6:$O$22)^2)/((1-($A7/固有振動数!$O$6:$O$22)^2)^2+固有振動数!$P$6:$P$22^2))</f>
        <v>16.9915351276359</v>
      </c>
      <c r="C7" s="127" t="n">
        <f aca="false">-SUMPRODUCT(固有振動数!$Q$6:$Q$22*固有振動数!$P$6:$P$22/((1-($A7/固有振動数!$O$6:$O$22)^2)^2+固有振動数!$P$6:$P$22^2))</f>
        <v>-0.380257935510676</v>
      </c>
      <c r="D7" s="128" t="n">
        <f aca="false">SQRT(B7^2+C7^2)</f>
        <v>16.995789540095</v>
      </c>
      <c r="E7" s="129" t="n">
        <f aca="false">20*LOG10(MAX(D7,0.000000000001)/$K$3)</f>
        <v>24.606826891111</v>
      </c>
    </row>
    <row r="8" customFormat="false" ht="15" hidden="false" customHeight="false" outlineLevel="0" collapsed="false">
      <c r="A8" s="122" t="n">
        <f aca="false">A7+$F$3</f>
        <v>20</v>
      </c>
      <c r="B8" s="123" t="n">
        <f aca="false">SUMPRODUCT(固有振動数!$Q$6:$Q$22*(1-($A8/固有振動数!$O$6:$O$22)^2)/((1-($A8/固有振動数!$O$6:$O$22)^2)^2+固有振動数!$P$6:$P$22^2))</f>
        <v>16.9916699856529</v>
      </c>
      <c r="C8" s="123" t="n">
        <f aca="false">-SUMPRODUCT(固有振動数!$Q$6:$Q$22*固有振動数!$P$6:$P$22/((1-($A8/固有振動数!$O$6:$O$22)^2)^2+固有振動数!$P$6:$P$22^2))</f>
        <v>-0.380263974771087</v>
      </c>
      <c r="D8" s="124" t="n">
        <f aca="false">SQRT(B8^2+C8^2)</f>
        <v>16.9959244994747</v>
      </c>
      <c r="E8" s="125" t="n">
        <f aca="false">20*LOG10(MAX(D8,0.000000000001)/$K$3)</f>
        <v>24.606895863348</v>
      </c>
    </row>
    <row r="9" customFormat="false" ht="15" hidden="false" customHeight="false" outlineLevel="0" collapsed="false">
      <c r="A9" s="126" t="n">
        <f aca="false">A8+$F$3</f>
        <v>30</v>
      </c>
      <c r="B9" s="127" t="n">
        <f aca="false">SUMPRODUCT(固有振動数!$Q$6:$Q$22*(1-($A9/固有振動数!$O$6:$O$22)^2)/((1-($A9/固有振動数!$O$6:$O$22)^2)^2+固有振動数!$P$6:$P$22^2))</f>
        <v>16.9918947736515</v>
      </c>
      <c r="C9" s="127" t="n">
        <f aca="false">-SUMPRODUCT(固有振動数!$Q$6:$Q$22*固有振動数!$P$6:$P$22/((1-($A9/固有振動数!$O$6:$O$22)^2)^2+固有振動数!$P$6:$P$22^2))</f>
        <v>-0.380274041861529</v>
      </c>
      <c r="D9" s="128" t="n">
        <f aca="false">SQRT(B9^2+C9^2)</f>
        <v>16.9961494564433</v>
      </c>
      <c r="E9" s="129" t="n">
        <f aca="false">20*LOG10(MAX(D9,0.000000000001)/$K$3)</f>
        <v>24.6070108284663</v>
      </c>
    </row>
    <row r="10" customFormat="false" ht="15" hidden="false" customHeight="false" outlineLevel="0" collapsed="false">
      <c r="A10" s="122" t="n">
        <f aca="false">A9+$F$3</f>
        <v>40</v>
      </c>
      <c r="B10" s="123" t="n">
        <f aca="false">SUMPRODUCT(固有振動数!$Q$6:$Q$22*(1-($A10/固有振動数!$O$6:$O$22)^2)/((1-($A10/固有振動数!$O$6:$O$22)^2)^2+固有振動数!$P$6:$P$22^2))</f>
        <v>16.9922095286018</v>
      </c>
      <c r="C10" s="123" t="n">
        <f aca="false">-SUMPRODUCT(固有振動数!$Q$6:$Q$22*固有振動数!$P$6:$P$22/((1-($A10/固有振動数!$O$6:$O$22)^2)^2+固有振動数!$P$6:$P$22^2))</f>
        <v>-0.380288139267964</v>
      </c>
      <c r="D10" s="124" t="n">
        <f aca="false">SQRT(B10^2+C10^2)</f>
        <v>16.996464448019</v>
      </c>
      <c r="E10" s="125" t="n">
        <f aca="false">20*LOG10(MAX(D10,0.000000000001)/$K$3)</f>
        <v>24.6071718035576</v>
      </c>
    </row>
    <row r="11" customFormat="false" ht="15" hidden="false" customHeight="false" outlineLevel="0" collapsed="false">
      <c r="A11" s="126" t="n">
        <f aca="false">A10+$F$3</f>
        <v>50</v>
      </c>
      <c r="B11" s="127" t="n">
        <f aca="false">SUMPRODUCT(固有振動数!$Q$6:$Q$22*(1-($A11/固有振動数!$O$6:$O$22)^2)/((1-($A11/固有振動数!$O$6:$O$22)^2)^2+固有振動数!$P$6:$P$22^2))</f>
        <v>16.9926143022918</v>
      </c>
      <c r="C11" s="127" t="n">
        <f aca="false">-SUMPRODUCT(固有振動数!$Q$6:$Q$22*固有振動数!$P$6:$P$22/((1-($A11/固有振動数!$O$6:$O$22)^2)^2+固有振動数!$P$6:$P$22^2))</f>
        <v>-0.380306270473398</v>
      </c>
      <c r="D11" s="128" t="n">
        <f aca="false">SQRT(B11^2+C11^2)</f>
        <v>16.9968695260572</v>
      </c>
      <c r="E11" s="129" t="n">
        <f aca="false">20*LOG10(MAX(D11,0.000000000001)/$K$3)</f>
        <v>24.6073788125634</v>
      </c>
    </row>
    <row r="12" customFormat="false" ht="15" hidden="false" customHeight="false" outlineLevel="0" collapsed="false">
      <c r="A12" s="122" t="n">
        <f aca="false">A11+$F$3</f>
        <v>60</v>
      </c>
      <c r="B12" s="123" t="n">
        <f aca="false">SUMPRODUCT(固有振動数!$Q$6:$Q$22*(1-($A12/固有振動数!$O$6:$O$22)^2)/((1-($A12/固有振動数!$O$6:$O$22)^2)^2+固有振動数!$P$6:$P$22^2))</f>
        <v>16.9931091613564</v>
      </c>
      <c r="C12" s="123" t="n">
        <f aca="false">-SUMPRODUCT(固有振動数!$Q$6:$Q$22*固有振動数!$P$6:$P$22/((1-($A12/固有振動数!$O$6:$O$22)^2)^2+固有振動数!$P$6:$P$22^2))</f>
        <v>-0.380328439960541</v>
      </c>
      <c r="D12" s="124" t="n">
        <f aca="false">SQRT(B12^2+C12^2)</f>
        <v>16.9973647572798</v>
      </c>
      <c r="E12" s="125" t="n">
        <f aca="false">20*LOG10(MAX(D12,0.000000000001)/$K$3)</f>
        <v>24.6076318862882</v>
      </c>
    </row>
    <row r="13" customFormat="false" ht="15" hidden="false" customHeight="false" outlineLevel="0" collapsed="false">
      <c r="A13" s="126" t="n">
        <f aca="false">A12+$F$3</f>
        <v>70</v>
      </c>
      <c r="B13" s="127" t="n">
        <f aca="false">SUMPRODUCT(固有振動数!$Q$6:$Q$22*(1-($A13/固有振動数!$O$6:$O$22)^2)/((1-($A13/固有振動数!$O$6:$O$22)^2)^2+固有振動数!$P$6:$P$22^2))</f>
        <v>16.9936941873164</v>
      </c>
      <c r="C13" s="127" t="n">
        <f aca="false">-SUMPRODUCT(固有振動数!$Q$6:$Q$22*固有振動数!$P$6:$P$22/((1-($A13/固有振動数!$O$6:$O$22)^2)^2+固有振動数!$P$6:$P$22^2))</f>
        <v>-0.380354653215234</v>
      </c>
      <c r="D13" s="128" t="n">
        <f aca="false">SQRT(B13^2+C13^2)</f>
        <v>16.9979502233138</v>
      </c>
      <c r="E13" s="129" t="n">
        <f aca="false">20*LOG10(MAX(D13,0.000000000001)/$K$3)</f>
        <v>24.6079310624165</v>
      </c>
    </row>
    <row r="14" customFormat="false" ht="15" hidden="false" customHeight="false" outlineLevel="0" collapsed="false">
      <c r="A14" s="122" t="n">
        <f aca="false">A13+$F$3</f>
        <v>80</v>
      </c>
      <c r="B14" s="123" t="n">
        <f aca="false">SUMPRODUCT(固有振動数!$Q$6:$Q$22*(1-($A14/固有振動数!$O$6:$O$22)^2)/((1-($A14/固有振動数!$O$6:$O$22)^2)^2+固有振動数!$P$6:$P$22^2))</f>
        <v>16.9943694766245</v>
      </c>
      <c r="C14" s="123" t="n">
        <f aca="false">-SUMPRODUCT(固有振動数!$Q$6:$Q$22*固有振動数!$P$6:$P$22/((1-($A14/固有振動数!$O$6:$O$22)^2)^2+固有振動数!$P$6:$P$22^2))</f>
        <v>-0.380384916730655</v>
      </c>
      <c r="D14" s="124" t="n">
        <f aca="false">SQRT(B14^2+C14^2)</f>
        <v>16.9986260207378</v>
      </c>
      <c r="E14" s="125" t="n">
        <f aca="false">20*LOG10(MAX(D14,0.000000000001)/$K$3)</f>
        <v>24.6082763855338</v>
      </c>
    </row>
    <row r="15" customFormat="false" ht="15" hidden="false" customHeight="false" outlineLevel="0" collapsed="false">
      <c r="A15" s="126" t="n">
        <f aca="false">A14+$F$3</f>
        <v>90</v>
      </c>
      <c r="B15" s="127" t="n">
        <f aca="false">SUMPRODUCT(固有振動数!$Q$6:$Q$22*(1-($A15/固有振動数!$O$6:$O$22)^2)/((1-($A15/固有振動数!$O$6:$O$22)^2)^2+固有振動数!$P$6:$P$22^2))</f>
        <v>16.9951351407212</v>
      </c>
      <c r="C15" s="127" t="n">
        <f aca="false">-SUMPRODUCT(固有振動数!$Q$6:$Q$22*固有振動数!$P$6:$P$22/((1-($A15/固有振動数!$O$6:$O$22)^2)^2+固有振動数!$P$6:$P$22^2))</f>
        <v>-0.380419238012295</v>
      </c>
      <c r="D15" s="128" t="n">
        <f aca="false">SQRT(B15^2+C15^2)</f>
        <v>16.9993922611376</v>
      </c>
      <c r="E15" s="129" t="n">
        <f aca="false">20*LOG10(MAX(D15,0.000000000001)/$K$3)</f>
        <v>24.608667907151</v>
      </c>
    </row>
    <row r="16" customFormat="false" ht="15" hidden="false" customHeight="false" outlineLevel="0" collapsed="false">
      <c r="A16" s="122" t="n">
        <f aca="false">A15+$F$3</f>
        <v>100</v>
      </c>
      <c r="B16" s="123" t="n">
        <f aca="false">SUMPRODUCT(固有振動数!$Q$6:$Q$22*(1-($A16/固有振動数!$O$6:$O$22)^2)/((1-($A16/固有振動数!$O$6:$O$22)^2)^2+固有振動数!$P$6:$P$22^2))</f>
        <v>16.9959913060985</v>
      </c>
      <c r="C16" s="123" t="n">
        <f aca="false">-SUMPRODUCT(固有振動数!$Q$6:$Q$22*固有振動数!$P$6:$P$22/((1-($A16/固有振動数!$O$6:$O$22)^2)^2+固有振動数!$P$6:$P$22^2))</f>
        <v>-0.380457625583722</v>
      </c>
      <c r="D16" s="124" t="n">
        <f aca="false">SQRT(B16^2+C16^2)</f>
        <v>17.0002490711708</v>
      </c>
      <c r="E16" s="125" t="n">
        <f aca="false">20*LOG10(MAX(D16,0.000000000001)/$K$3)</f>
        <v>24.6091056857333</v>
      </c>
    </row>
    <row r="17" customFormat="false" ht="15" hidden="false" customHeight="false" outlineLevel="0" collapsed="false">
      <c r="A17" s="126" t="n">
        <f aca="false">A16+$F$3</f>
        <v>110</v>
      </c>
      <c r="B17" s="127" t="n">
        <f aca="false">SUMPRODUCT(固有振動数!$Q$6:$Q$22*(1-($A17/固有振動数!$O$6:$O$22)^2)/((1-($A17/固有振動数!$O$6:$O$22)^2)^2+固有振動数!$P$6:$P$22^2))</f>
        <v>16.996938114373</v>
      </c>
      <c r="C17" s="127" t="n">
        <f aca="false">-SUMPRODUCT(固有振動数!$Q$6:$Q$22*固有振動数!$P$6:$P$22/((1-($A17/固有振動数!$O$6:$O$22)^2)^2+固有振動数!$P$6:$P$22^2))</f>
        <v>-0.380500088993142</v>
      </c>
      <c r="D17" s="128" t="n">
        <f aca="false">SQRT(B17^2+C17^2)</f>
        <v>17.0011965926387</v>
      </c>
      <c r="E17" s="129" t="n">
        <f aca="false">20*LOG10(MAX(D17,0.000000000001)/$K$3)</f>
        <v>24.6095897867321</v>
      </c>
    </row>
    <row r="18" customFormat="false" ht="15" hidden="false" customHeight="false" outlineLevel="0" collapsed="false">
      <c r="A18" s="122" t="n">
        <f aca="false">A17+$F$3</f>
        <v>120</v>
      </c>
      <c r="B18" s="123" t="n">
        <f aca="false">SUMPRODUCT(固有振動数!$Q$6:$Q$22*(1-($A18/固有振動数!$O$6:$O$22)^2)/((1-($A18/固有振動数!$O$6:$O$22)^2)^2+固有振動数!$P$6:$P$22^2))</f>
        <v>16.9979757223674</v>
      </c>
      <c r="C18" s="123" t="n">
        <f aca="false">-SUMPRODUCT(固有振動数!$Q$6:$Q$22*固有振動数!$P$6:$P$22/((1-($A18/固有振動数!$O$6:$O$22)^2)^2+固有振動数!$P$6:$P$22^2))</f>
        <v>-0.38054663882076</v>
      </c>
      <c r="D18" s="124" t="n">
        <f aca="false">SQRT(B18^2+C18^2)</f>
        <v>17.0022349825695</v>
      </c>
      <c r="E18" s="125" t="n">
        <f aca="false">20*LOG10(MAX(D18,0.000000000001)/$K$3)</f>
        <v>24.6101202826217</v>
      </c>
    </row>
    <row r="19" customFormat="false" ht="15" hidden="false" customHeight="false" outlineLevel="0" collapsed="false">
      <c r="A19" s="126" t="n">
        <f aca="false">A18+$F$3</f>
        <v>130</v>
      </c>
      <c r="B19" s="127" t="n">
        <f aca="false">SUMPRODUCT(固有振動数!$Q$6:$Q$22*(1-($A19/固有振動数!$O$6:$O$22)^2)/((1-($A19/固有振動数!$O$6:$O$22)^2)^2+固有振動数!$P$6:$P$22^2))</f>
        <v>16.999104302201</v>
      </c>
      <c r="C19" s="127" t="n">
        <f aca="false">-SUMPRODUCT(固有振動数!$Q$6:$Q$22*固有振動数!$P$6:$P$22/((1-($A19/固有振動数!$O$6:$O$22)^2)^2+固有振動数!$P$6:$P$22^2))</f>
        <v>-0.380597286686956</v>
      </c>
      <c r="D19" s="128" t="n">
        <f aca="false">SQRT(B19^2+C19^2)</f>
        <v>17.0033644133078</v>
      </c>
      <c r="E19" s="129" t="n">
        <f aca="false">20*LOG10(MAX(D19,0.000000000001)/$K$3)</f>
        <v>24.6106972529399</v>
      </c>
    </row>
    <row r="20" customFormat="false" ht="15" hidden="false" customHeight="false" outlineLevel="0" collapsed="false">
      <c r="A20" s="122" t="n">
        <f aca="false">A19+$F$3</f>
        <v>140</v>
      </c>
      <c r="B20" s="123" t="n">
        <f aca="false">SUMPRODUCT(固有振動数!$Q$6:$Q$22*(1-($A20/固有振動数!$O$6:$O$22)^2)/((1-($A20/固有振動数!$O$6:$O$22)^2)^2+固有振動数!$P$6:$P$22^2))</f>
        <v>17.0003240413898</v>
      </c>
      <c r="C20" s="123" t="n">
        <f aca="false">-SUMPRODUCT(固有振動数!$Q$6:$Q$22*固有振動数!$P$6:$P$22/((1-($A20/固有振動数!$O$6:$O$22)^2)^2+固有振動数!$P$6:$P$22^2))</f>
        <v>-0.380652045261289</v>
      </c>
      <c r="D20" s="124" t="n">
        <f aca="false">SQRT(B20^2+C20^2)</f>
        <v>17.0045850726155</v>
      </c>
      <c r="E20" s="125" t="n">
        <f aca="false">20*LOG10(MAX(D20,0.000000000001)/$K$3)</f>
        <v>24.6113207843316</v>
      </c>
    </row>
    <row r="21" customFormat="false" ht="15" hidden="false" customHeight="false" outlineLevel="0" collapsed="false">
      <c r="A21" s="126" t="n">
        <f aca="false">A20+$F$3</f>
        <v>150</v>
      </c>
      <c r="B21" s="127" t="n">
        <f aca="false">SUMPRODUCT(固有振動数!$Q$6:$Q$22*(1-($A21/固有振動数!$O$6:$O$22)^2)/((1-($A21/固有振動数!$O$6:$O$22)^2)^2+固有振動数!$P$6:$P$22^2))</f>
        <v>17.0016351429549</v>
      </c>
      <c r="C21" s="127" t="n">
        <f aca="false">-SUMPRODUCT(固有振動数!$Q$6:$Q$22*固有振動数!$P$6:$P$22/((1-($A21/固有振動数!$O$6:$O$22)^2)^2+固有振動数!$P$6:$P$22^2))</f>
        <v>-0.380710928272336</v>
      </c>
      <c r="D21" s="128" t="n">
        <f aca="false">SQRT(B21^2+C21^2)</f>
        <v>17.0058971637802</v>
      </c>
      <c r="E21" s="129" t="n">
        <f aca="false">20*LOG10(MAX(D21,0.000000000001)/$K$3)</f>
        <v>24.6119909705982</v>
      </c>
    </row>
    <row r="22" customFormat="false" ht="15" hidden="false" customHeight="false" outlineLevel="0" collapsed="false">
      <c r="A22" s="122" t="n">
        <f aca="false">A21+$F$3</f>
        <v>160</v>
      </c>
      <c r="B22" s="123" t="n">
        <f aca="false">SUMPRODUCT(固有振動数!$Q$6:$Q$22*(1-($A22/固有振動数!$O$6:$O$22)^2)/((1-($A22/固有振動数!$O$6:$O$22)^2)^2+固有振動数!$P$6:$P$22^2))</f>
        <v>17.0030378255409</v>
      </c>
      <c r="C22" s="123" t="n">
        <f aca="false">-SUMPRODUCT(固有振動数!$Q$6:$Q$22*固有振動数!$P$6:$P$22/((1-($A22/固有振動数!$O$6:$O$22)^2)^2+固有振動数!$P$6:$P$22^2))</f>
        <v>-0.380773950518392</v>
      </c>
      <c r="D22" s="124" t="n">
        <f aca="false">SQRT(B22^2+C22^2)</f>
        <v>17.0073009057336</v>
      </c>
      <c r="E22" s="125" t="n">
        <f aca="false">20*LOG10(MAX(D22,0.000000000001)/$K$3)</f>
        <v>24.6127079127493</v>
      </c>
    </row>
    <row r="23" customFormat="false" ht="15" hidden="false" customHeight="false" outlineLevel="0" collapsed="false">
      <c r="A23" s="126" t="n">
        <f aca="false">A22+$F$3</f>
        <v>170</v>
      </c>
      <c r="B23" s="127" t="n">
        <f aca="false">SUMPRODUCT(固有振動数!$Q$6:$Q$22*(1-($A23/固有振動数!$O$6:$O$22)^2)/((1-($A23/固有振動数!$O$6:$O$22)^2)^2+固有振動数!$P$6:$P$22^2))</f>
        <v>17.0045323235432</v>
      </c>
      <c r="C23" s="127" t="n">
        <f aca="false">-SUMPRODUCT(固有振動数!$Q$6:$Q$22*固有振動数!$P$6:$P$22/((1-($A23/固有振動数!$O$6:$O$22)^2)^2+固有振動数!$P$6:$P$22^2))</f>
        <v>-0.380841127879032</v>
      </c>
      <c r="D23" s="128" t="n">
        <f aca="false">SQRT(B23^2+C23^2)</f>
        <v>17.0087965331799</v>
      </c>
      <c r="E23" s="129" t="n">
        <f aca="false">20*LOG10(MAX(D23,0.000000000001)/$K$3)</f>
        <v>24.6134717190601</v>
      </c>
    </row>
    <row r="24" customFormat="false" ht="15" hidden="false" customHeight="false" outlineLevel="0" collapsed="false">
      <c r="A24" s="122" t="n">
        <f aca="false">A23+$F$3</f>
        <v>180</v>
      </c>
      <c r="B24" s="123" t="n">
        <f aca="false">SUMPRODUCT(固有振動数!$Q$6:$Q$22*(1-($A24/固有振動数!$O$6:$O$22)^2)/((1-($A24/固有振動数!$O$6:$O$22)^2)^2+固有振動数!$P$6:$P$22^2))</f>
        <v>17.0061188872457</v>
      </c>
      <c r="C24" s="123" t="n">
        <f aca="false">-SUMPRODUCT(固有振動数!$Q$6:$Q$22*固有振動数!$P$6:$P$22/((1-($A24/固有振動数!$O$6:$O$22)^2)^2+固有振動数!$P$6:$P$22^2))</f>
        <v>-0.380912477327567</v>
      </c>
      <c r="D24" s="124" t="n">
        <f aca="false">SQRT(B24^2+C24^2)</f>
        <v>17.0103842967323</v>
      </c>
      <c r="E24" s="125" t="n">
        <f aca="false">20*LOG10(MAX(D24,0.000000000001)/$K$3)</f>
        <v>24.614282505132</v>
      </c>
    </row>
    <row r="25" customFormat="false" ht="15" hidden="false" customHeight="false" outlineLevel="0" collapsed="false">
      <c r="A25" s="126" t="n">
        <f aca="false">A24+$F$3</f>
        <v>190</v>
      </c>
      <c r="B25" s="127" t="n">
        <f aca="false">SUMPRODUCT(固有振動数!$Q$6:$Q$22*(1-($A25/固有振動数!$O$6:$O$22)^2)/((1-($A25/固有振動数!$O$6:$O$22)^2)^2+固有振動数!$P$6:$P$22^2))</f>
        <v>17.0077977829669</v>
      </c>
      <c r="C25" s="127" t="n">
        <f aca="false">-SUMPRODUCT(固有振動数!$Q$6:$Q$22*固有振動数!$P$6:$P$22/((1-($A25/固有振動数!$O$6:$O$22)^2)^2+固有振動数!$P$6:$P$22^2))</f>
        <v>-0.380988016944403</v>
      </c>
      <c r="D25" s="128" t="n">
        <f aca="false">SQRT(B25^2+C25^2)</f>
        <v>17.0120644630612</v>
      </c>
      <c r="E25" s="129" t="n">
        <f aca="false">20*LOG10(MAX(D25,0.000000000001)/$K$3)</f>
        <v>24.6151403939583</v>
      </c>
    </row>
    <row r="26" customFormat="false" ht="15" hidden="false" customHeight="false" outlineLevel="0" collapsed="false">
      <c r="A26" s="122" t="n">
        <f aca="false">A25+$F$3</f>
        <v>200</v>
      </c>
      <c r="B26" s="123" t="n">
        <f aca="false">SUMPRODUCT(固有振動数!$Q$6:$Q$22*(1-($A26/固有振動数!$O$6:$O$22)^2)/((1-($A26/固有振動数!$O$6:$O$22)^2)^2+固有振動数!$P$6:$P$22^2))</f>
        <v>17.0095692932175</v>
      </c>
      <c r="C26" s="123" t="n">
        <f aca="false">-SUMPRODUCT(固有振動数!$Q$6:$Q$22*固有振動数!$P$6:$P$22/((1-($A26/固有振動数!$O$6:$O$22)^2)^2+固有振動数!$P$6:$P$22^2))</f>
        <v>-0.381067765931322</v>
      </c>
      <c r="D26" s="124" t="n">
        <f aca="false">SQRT(B26^2+C26^2)</f>
        <v>17.0138373150504</v>
      </c>
      <c r="E26" s="125" t="n">
        <f aca="false">20*LOG10(MAX(D26,0.000000000001)/$K$3)</f>
        <v>24.6160455159937</v>
      </c>
    </row>
    <row r="27" customFormat="false" ht="15" hidden="false" customHeight="false" outlineLevel="0" collapsed="false">
      <c r="A27" s="126" t="n">
        <f aca="false">A26+$F$3</f>
        <v>210</v>
      </c>
      <c r="B27" s="127" t="n">
        <f aca="false">SUMPRODUCT(固有振動数!$Q$6:$Q$22*(1-($A27/固有振動数!$O$6:$O$22)^2)/((1-($A27/固有振動数!$O$6:$O$22)^2)^2+固有振動数!$P$6:$P$22^2))</f>
        <v>17.0114337168671</v>
      </c>
      <c r="C27" s="127" t="n">
        <f aca="false">-SUMPRODUCT(固有振動数!$Q$6:$Q$22*固有振動数!$P$6:$P$22/((1-($A27/固有振動数!$O$6:$O$22)^2)^2+固有振動数!$P$6:$P$22^2))</f>
        <v>-0.381151744626722</v>
      </c>
      <c r="D27" s="128" t="n">
        <f aca="false">SQRT(B27^2+C27^2)</f>
        <v>17.015703151965</v>
      </c>
      <c r="E27" s="129" t="n">
        <f aca="false">20*LOG10(MAX(D27,0.000000000001)/$K$3)</f>
        <v>24.6169980092286</v>
      </c>
    </row>
    <row r="28" customFormat="false" ht="15" hidden="false" customHeight="false" outlineLevel="0" collapsed="false">
      <c r="A28" s="122" t="n">
        <f aca="false">A27+$F$3</f>
        <v>220</v>
      </c>
      <c r="B28" s="123" t="n">
        <f aca="false">SUMPRODUCT(固有振動数!$Q$6:$Q$22*(1-($A28/固有振動数!$O$6:$O$22)^2)/((1-($A28/固有振動数!$O$6:$O$22)^2)^2+固有振動数!$P$6:$P$22^2))</f>
        <v>17.0133913693211</v>
      </c>
      <c r="C28" s="123" t="n">
        <f aca="false">-SUMPRODUCT(固有振動数!$Q$6:$Q$22*固有振動数!$P$6:$P$22/((1-($A28/固有振動数!$O$6:$O$22)^2)^2+固有振動数!$P$6:$P$22^2))</f>
        <v>-0.38123997452181</v>
      </c>
      <c r="D28" s="124" t="n">
        <f aca="false">SQRT(B28^2+C28^2)</f>
        <v>17.017662289629</v>
      </c>
      <c r="E28" s="125" t="n">
        <f aca="false">20*LOG10(MAX(D28,0.000000000001)/$K$3)</f>
        <v>24.6179980192677</v>
      </c>
    </row>
    <row r="29" customFormat="false" ht="15" hidden="false" customHeight="false" outlineLevel="0" collapsed="false">
      <c r="A29" s="126" t="n">
        <f aca="false">A28+$F$3</f>
        <v>230</v>
      </c>
      <c r="B29" s="127" t="n">
        <f aca="false">SUMPRODUCT(固有振動数!$Q$6:$Q$22*(1-($A29/固有振動数!$O$6:$O$22)^2)/((1-($A29/固有振動数!$O$6:$O$22)^2)^2+固有振動数!$P$6:$P$22^2))</f>
        <v>17.015442582709</v>
      </c>
      <c r="C29" s="127" t="n">
        <f aca="false">-SUMPRODUCT(固有振動数!$Q$6:$Q$22*固有振動数!$P$6:$P$22/((1-($A29/固有振動数!$O$6:$O$22)^2)^2+固有振動数!$P$6:$P$22^2))</f>
        <v>-0.381332478277808</v>
      </c>
      <c r="D29" s="128" t="n">
        <f aca="false">SQRT(B29^2+C29^2)</f>
        <v>17.019715060613</v>
      </c>
      <c r="E29" s="129" t="n">
        <f aca="false">20*LOG10(MAX(D29,0.000000000001)/$K$3)</f>
        <v>24.619045699414</v>
      </c>
    </row>
    <row r="30" customFormat="false" ht="15" hidden="false" customHeight="false" outlineLevel="0" collapsed="false">
      <c r="A30" s="122" t="n">
        <f aca="false">A29+$F$3</f>
        <v>240</v>
      </c>
      <c r="B30" s="123" t="n">
        <f aca="false">SUMPRODUCT(固有振動数!$Q$6:$Q$22*(1-($A30/固有振動数!$O$6:$O$22)^2)/((1-($A30/固有振動数!$O$6:$O$22)^2)^2+固有振動数!$P$6:$P$22^2))</f>
        <v>17.017587706083</v>
      </c>
      <c r="C30" s="123" t="n">
        <f aca="false">-SUMPRODUCT(固有振動数!$Q$6:$Q$22*固有振動数!$P$6:$P$22/((1-($A30/固有振動数!$O$6:$O$22)^2)^2+固有振動数!$P$6:$P$22^2))</f>
        <v>-0.381429279744169</v>
      </c>
      <c r="D30" s="124" t="n">
        <f aca="false">SQRT(B30^2+C30^2)</f>
        <v>17.0218618144336</v>
      </c>
      <c r="E30" s="125" t="n">
        <f aca="false">20*LOG10(MAX(D30,0.000000000001)/$K$3)</f>
        <v>24.6201412107565</v>
      </c>
      <c r="F30" s="4"/>
      <c r="G30" s="56" t="s">
        <v>327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7.15" hidden="false" customHeight="false" outlineLevel="0" collapsed="false">
      <c r="A31" s="126" t="n">
        <f aca="false">A30+$F$3</f>
        <v>250</v>
      </c>
      <c r="B31" s="127" t="n">
        <f aca="false">SUMPRODUCT(固有振動数!$Q$6:$Q$22*(1-($A31/固有振動数!$O$6:$O$22)^2)/((1-($A31/固有振動数!$O$6:$O$22)^2)^2+固有振動数!$P$6:$P$22^2))</f>
        <v>17.0198271056269</v>
      </c>
      <c r="C31" s="127" t="n">
        <f aca="false">-SUMPRODUCT(固有振動数!$Q$6:$Q$22*固有振動数!$P$6:$P$22/((1-($A31/固有振動数!$O$6:$O$22)^2)^2+固有振動数!$P$6:$P$22^2))</f>
        <v>-0.381530403977846</v>
      </c>
      <c r="D31" s="128" t="n">
        <f aca="false">SQRT(B31^2+C31^2)</f>
        <v>17.0241029177632</v>
      </c>
      <c r="E31" s="129" t="n">
        <f aca="false">20*LOG10(MAX(D31,0.000000000001)/$K$3)</f>
        <v>24.6212847222633</v>
      </c>
      <c r="F31" s="4"/>
      <c r="G31" s="130" t="s">
        <v>328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7.15" hidden="false" customHeight="false" outlineLevel="0" collapsed="false">
      <c r="A32" s="122" t="n">
        <f aca="false">A31+$F$3</f>
        <v>260</v>
      </c>
      <c r="B32" s="123" t="n">
        <f aca="false">SUMPRODUCT(固有振動数!$Q$6:$Q$22*(1-($A32/固有振動数!$O$6:$O$22)^2)/((1-($A32/固有振動数!$O$6:$O$22)^2)^2+固有振動数!$P$6:$P$22^2))</f>
        <v>17.0221611648777</v>
      </c>
      <c r="C32" s="123" t="n">
        <f aca="false">-SUMPRODUCT(固有振動数!$Q$6:$Q$22*固有振動数!$P$6:$P$22/((1-($A32/固有振動数!$O$6:$O$22)^2)^2+固有振動数!$P$6:$P$22^2))</f>
        <v>-0.381635877263644</v>
      </c>
      <c r="D32" s="124" t="n">
        <f aca="false">SQRT(B32^2+C32^2)</f>
        <v>17.0264387546511</v>
      </c>
      <c r="E32" s="125" t="n">
        <f aca="false">20*LOG10(MAX(D32,0.000000000001)/$K$3)</f>
        <v>24.6224764108801</v>
      </c>
      <c r="F32" s="4"/>
      <c r="G32" s="130" t="s">
        <v>329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7.15" hidden="false" customHeight="false" outlineLevel="0" collapsed="false">
      <c r="A33" s="126" t="n">
        <f aca="false">A32+$F$3</f>
        <v>270</v>
      </c>
      <c r="B33" s="127" t="n">
        <f aca="false">SUMPRODUCT(固有振動数!$Q$6:$Q$22*(1-($A33/固有振動数!$O$6:$O$22)^2)/((1-($A33/固有振動数!$O$6:$O$22)^2)^2+固有振動数!$P$6:$P$22^2))</f>
        <v>17.0245902849575</v>
      </c>
      <c r="C33" s="127" t="n">
        <f aca="false">-SUMPRODUCT(固有振動数!$Q$6:$Q$22*固有振動数!$P$6:$P$22/((1-($A33/固有振動数!$O$6:$O$22)^2)^2+固有振動数!$P$6:$P$22^2))</f>
        <v>-0.381745727135677</v>
      </c>
      <c r="D33" s="128" t="n">
        <f aca="false">SQRT(B33^2+C33^2)</f>
        <v>17.0288697267568</v>
      </c>
      <c r="E33" s="129" t="n">
        <f aca="false">20*LOG10(MAX(D33,0.000000000001)/$K$3)</f>
        <v>24.6237164616328</v>
      </c>
      <c r="F33" s="4"/>
      <c r="G33" s="131" t="s">
        <v>330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7.15" hidden="false" customHeight="false" outlineLevel="0" collapsed="false">
      <c r="A34" s="122" t="n">
        <f aca="false">A33+$F$3</f>
        <v>280</v>
      </c>
      <c r="B34" s="123" t="n">
        <f aca="false">SUMPRODUCT(固有振動数!$Q$6:$Q$22*(1-($A34/固有振動数!$O$6:$O$22)^2)/((1-($A34/固有振動数!$O$6:$O$22)^2)^2+固有振動数!$P$6:$P$22^2))</f>
        <v>17.0271148848177</v>
      </c>
      <c r="C34" s="123" t="n">
        <f aca="false">-SUMPRODUCT(固有振動数!$Q$6:$Q$22*固有振動数!$P$6:$P$22/((1-($A34/固有振動数!$O$6:$O$22)^2)^2+固有振動数!$P$6:$P$22^2))</f>
        <v>-0.381859982399975</v>
      </c>
      <c r="D34" s="124" t="n">
        <f aca="false">SQRT(B34^2+C34^2)</f>
        <v>17.031396253594</v>
      </c>
      <c r="E34" s="125" t="n">
        <f aca="false">20*LOG10(MAX(D34,0.000000000001)/$K$3)</f>
        <v>24.6250050677364</v>
      </c>
      <c r="F34" s="4"/>
      <c r="G34" s="131" t="s">
        <v>331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7.15" hidden="false" customHeight="false" outlineLevel="0" collapsed="false">
      <c r="A35" s="126" t="n">
        <f aca="false">A34+$F$3</f>
        <v>290</v>
      </c>
      <c r="B35" s="127" t="n">
        <f aca="false">SUMPRODUCT(固有振動数!$Q$6:$Q$22*(1-($A35/固有振動数!$O$6:$O$22)^2)/((1-($A35/固有振動数!$O$6:$O$22)^2)^2+固有振動数!$P$6:$P$22^2))</f>
        <v>17.0297354014955</v>
      </c>
      <c r="C35" s="127" t="n">
        <f aca="false">-SUMPRODUCT(固有振動数!$Q$6:$Q$22*固有振動数!$P$6:$P$22/((1-($A35/固有振動数!$O$6:$O$22)^2)^2+固有振動数!$P$6:$P$22^2))</f>
        <v>-0.38197867315827</v>
      </c>
      <c r="D35" s="128" t="n">
        <f aca="false">SQRT(B35^2+C35^2)</f>
        <v>17.0340187727881</v>
      </c>
      <c r="E35" s="129" t="n">
        <f aca="false">20*LOG10(MAX(D35,0.000000000001)/$K$3)</f>
        <v>24.6263424307083</v>
      </c>
      <c r="F35" s="4"/>
      <c r="G35" s="131" t="s">
        <v>332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7.15" hidden="false" customHeight="false" outlineLevel="0" collapsed="false">
      <c r="A36" s="122" t="n">
        <f aca="false">A35+$F$3</f>
        <v>300</v>
      </c>
      <c r="B36" s="123" t="n">
        <f aca="false">SUMPRODUCT(固有振動数!$Q$6:$Q$22*(1-($A36/固有振動数!$O$6:$O$22)^2)/((1-($A36/固有振動数!$O$6:$O$22)^2)^2+固有振動数!$P$6:$P$22^2))</f>
        <v>17.0324522903827</v>
      </c>
      <c r="C36" s="123" t="n">
        <f aca="false">-SUMPRODUCT(固有振動数!$Q$6:$Q$22*固有振動数!$P$6:$P$22/((1-($A36/固有振動数!$O$6:$O$22)^2)^2+固有振動数!$P$6:$P$22^2))</f>
        <v>-0.382101830833001</v>
      </c>
      <c r="D36" s="124" t="n">
        <f aca="false">SQRT(B36^2+C36^2)</f>
        <v>17.0367377403448</v>
      </c>
      <c r="E36" s="125" t="n">
        <f aca="false">20*LOG10(MAX(D36,0.000000000001)/$K$3)</f>
        <v>24.6277287604874</v>
      </c>
      <c r="F36" s="4"/>
      <c r="G36" s="132" t="s">
        <v>333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" hidden="false" customHeight="false" outlineLevel="0" collapsed="false">
      <c r="A37" s="126" t="n">
        <f aca="false">A36+$F$3</f>
        <v>310</v>
      </c>
      <c r="B37" s="127" t="n">
        <f aca="false">SUMPRODUCT(固有振動数!$Q$6:$Q$22*(1-($A37/固有振動数!$O$6:$O$22)^2)/((1-($A37/固有振動数!$O$6:$O$22)^2)^2+固有振動数!$P$6:$P$22^2))</f>
        <v>17.0352660255068</v>
      </c>
      <c r="C37" s="127" t="n">
        <f aca="false">-SUMPRODUCT(固有振動数!$Q$6:$Q$22*固有振動数!$P$6:$P$22/((1-($A37/固有振動数!$O$6:$O$22)^2)^2+固有振動数!$P$6:$P$22^2))</f>
        <v>-0.382229488193579</v>
      </c>
      <c r="D37" s="128" t="n">
        <f aca="false">SQRT(B37^2+C37^2)</f>
        <v>17.0395536309327</v>
      </c>
      <c r="E37" s="129" t="n">
        <f aca="false">20*LOG10(MAX(D37,0.000000000001)/$K$3)</f>
        <v>24.6291642755597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" hidden="false" customHeight="false" outlineLevel="0" collapsed="false">
      <c r="A38" s="122" t="n">
        <f aca="false">A37+$F$3</f>
        <v>320</v>
      </c>
      <c r="B38" s="123" t="n">
        <f aca="false">SUMPRODUCT(固有振動数!$Q$6:$Q$22*(1-($A38/固有振動数!$O$6:$O$22)^2)/((1-($A38/固有振動数!$O$6:$O$22)^2)^2+固有振動数!$P$6:$P$22^2))</f>
        <v>17.0381770998263</v>
      </c>
      <c r="C38" s="123" t="n">
        <f aca="false">-SUMPRODUCT(固有振動数!$Q$6:$Q$22*固有振動数!$P$6:$P$22/((1-($A38/固有振動数!$O$6:$O$22)^2)^2+固有振動数!$P$6:$P$22^2))</f>
        <v>-0.38236167938395</v>
      </c>
      <c r="D38" s="124" t="n">
        <f aca="false">SQRT(B38^2+C38^2)</f>
        <v>17.0424669381785</v>
      </c>
      <c r="E38" s="125" t="n">
        <f aca="false">20*LOG10(MAX(D38,0.000000000001)/$K$3)</f>
        <v>24.630649203088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" hidden="false" customHeight="false" outlineLevel="0" collapsed="false">
      <c r="A39" s="126" t="n">
        <f aca="false">A38+$F$3</f>
        <v>330</v>
      </c>
      <c r="B39" s="127" t="n">
        <f aca="false">SUMPRODUCT(固有振動数!$Q$6:$Q$22*(1-($A39/固有振動数!$O$6:$O$22)^2)/((1-($A39/固有振動数!$O$6:$O$22)^2)^2+固有振動数!$P$6:$P$22^2))</f>
        <v>17.0411860255386</v>
      </c>
      <c r="C39" s="127" t="n">
        <f aca="false">-SUMPRODUCT(固有振動数!$Q$6:$Q$22*固有振動数!$P$6:$P$22/((1-($A39/固有振動数!$O$6:$O$22)^2)^2+固有振動数!$P$6:$P$22^2))</f>
        <v>-0.382498439951508</v>
      </c>
      <c r="D39" s="128" t="n">
        <f aca="false">SQRT(B39^2+C39^2)</f>
        <v>17.0454781749758</v>
      </c>
      <c r="E39" s="129" t="n">
        <f aca="false">20*LOG10(MAX(D39,0.000000000001)/$K$3)</f>
        <v>24.6321837790488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" hidden="false" customHeight="false" outlineLevel="0" collapsed="false">
      <c r="A40" s="122" t="n">
        <f aca="false">A39+$F$3</f>
        <v>340</v>
      </c>
      <c r="B40" s="123" t="n">
        <f aca="false">SUMPRODUCT(固有振動数!$Q$6:$Q$22*(1-($A40/固有振動数!$O$6:$O$22)^2)/((1-($A40/固有振動数!$O$6:$O$22)^2)^2+固有振動数!$P$6:$P$22^2))</f>
        <v>17.0442933344019</v>
      </c>
      <c r="C40" s="123" t="n">
        <f aca="false">-SUMPRODUCT(固有振動数!$Q$6:$Q$22*固有振動数!$P$6:$P$22/((1-($A40/固有振動数!$O$6:$O$22)^2)^2+固有振動数!$P$6:$P$22^2))</f>
        <v>-0.382639806877397</v>
      </c>
      <c r="D40" s="124" t="n">
        <f aca="false">SQRT(B40^2+C40^2)</f>
        <v>17.0485878738077</v>
      </c>
      <c r="E40" s="125" t="n">
        <f aca="false">20*LOG10(MAX(D40,0.000000000001)/$K$3)</f>
        <v>24.6337682483755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" hidden="false" customHeight="false" outlineLevel="0" collapsed="false">
      <c r="A41" s="126" t="n">
        <f aca="false">A40+$F$3</f>
        <v>350</v>
      </c>
      <c r="B41" s="127" t="n">
        <f aca="false">SUMPRODUCT(固有振動数!$Q$6:$Q$22*(1-($A41/固有振動数!$O$6:$O$22)^2)/((1-($A41/固有振動数!$O$6:$O$22)^2)^2+固有振動数!$P$6:$P$22^2))</f>
        <v>17.0474995780724</v>
      </c>
      <c r="C41" s="127" t="n">
        <f aca="false">-SUMPRODUCT(固有振動数!$Q$6:$Q$22*固有振動数!$P$6:$P$22/((1-($A41/固有振動数!$O$6:$O$22)^2)^2+固有振動数!$P$6:$P$22^2))</f>
        <v>-0.382785818608265</v>
      </c>
      <c r="D41" s="128" t="n">
        <f aca="false">SQRT(B41^2+C41^2)</f>
        <v>17.0517965870845</v>
      </c>
      <c r="E41" s="129" t="n">
        <f aca="false">20*LOG10(MAX(D41,0.000000000001)/$K$3)</f>
        <v>24.6354028651063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" hidden="false" customHeight="false" outlineLevel="0" collapsed="false">
      <c r="A42" s="122" t="n">
        <f aca="false">A41+$F$3</f>
        <v>360</v>
      </c>
      <c r="B42" s="123" t="n">
        <f aca="false">SUMPRODUCT(固有振動数!$Q$6:$Q$22*(1-($A42/固有振動数!$O$6:$O$22)^2)/((1-($A42/固有振動数!$O$6:$O$22)^2)^2+固有振動数!$P$6:$P$22^2))</f>
        <v>17.050805328455</v>
      </c>
      <c r="C42" s="123" t="n">
        <f aca="false">-SUMPRODUCT(固有振動数!$Q$6:$Q$22*固有振動数!$P$6:$P$22/((1-($A42/固有振動数!$O$6:$O$22)^2)^2+固有振動数!$P$6:$P$22^2))</f>
        <v>-0.382936515089501</v>
      </c>
      <c r="D42" s="124" t="n">
        <f aca="false">SQRT(B42^2+C42^2)</f>
        <v>17.0551048874951</v>
      </c>
      <c r="E42" s="125" t="n">
        <f aca="false">20*LOG10(MAX(D42,0.000000000001)/$K$3)</f>
        <v>24.6370878925409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" hidden="false" customHeight="false" outlineLevel="0" collapsed="false">
      <c r="A43" s="126" t="n">
        <f aca="false">A42+$F$3</f>
        <v>370</v>
      </c>
      <c r="B43" s="127" t="n">
        <f aca="false">SUMPRODUCT(固有振動数!$Q$6:$Q$22*(1-($A43/固有振動数!$O$6:$O$22)^2)/((1-($A43/固有振動数!$O$6:$O$22)^2)^2+固有振動数!$P$6:$P$22^2))</f>
        <v>17.05421117807</v>
      </c>
      <c r="C43" s="127" t="n">
        <f aca="false">-SUMPRODUCT(固有振動数!$Q$6:$Q$22*固有振動数!$P$6:$P$22/((1-($A43/固有振動数!$O$6:$O$22)^2)^2+固有振動数!$P$6:$P$22^2))</f>
        <v>-0.383091937800042</v>
      </c>
      <c r="D43" s="128" t="n">
        <f aca="false">SQRT(B43^2+C43^2)</f>
        <v>17.0585133683746</v>
      </c>
      <c r="E43" s="129" t="n">
        <f aca="false">20*LOG10(MAX(D43,0.000000000001)/$K$3)</f>
        <v>24.6388236034015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" hidden="false" customHeight="false" outlineLevel="0" collapsed="false">
      <c r="A44" s="122" t="n">
        <f aca="false">A43+$F$3</f>
        <v>380</v>
      </c>
      <c r="B44" s="123" t="n">
        <f aca="false">SUMPRODUCT(固有振動数!$Q$6:$Q$22*(1-($A44/固有振動数!$O$6:$O$22)^2)/((1-($A44/固有振動数!$O$6:$O$22)^2)^2+固有振動数!$P$6:$P$22^2))</f>
        <v>17.0577177404357</v>
      </c>
      <c r="C44" s="123" t="n">
        <f aca="false">-SUMPRODUCT(固有振動数!$Q$6:$Q$22*固有振動数!$P$6:$P$22/((1-($A44/固有振動数!$O$6:$O$22)^2)^2+固有振動数!$P$6:$P$22^2))</f>
        <v>-0.383252129788773</v>
      </c>
      <c r="D44" s="124" t="n">
        <f aca="false">SQRT(B44^2+C44^2)</f>
        <v>17.0620226440877</v>
      </c>
      <c r="E44" s="125" t="n">
        <f aca="false">20*LOG10(MAX(D44,0.000000000001)/$K$3)</f>
        <v>24.640610280003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" hidden="false" customHeight="false" outlineLevel="0" collapsed="false">
      <c r="A45" s="126" t="n">
        <f aca="false">A44+$F$3</f>
        <v>390</v>
      </c>
      <c r="B45" s="127" t="n">
        <f aca="false">SUMPRODUCT(固有振動数!$Q$6:$Q$22*(1-($A45/固有振動数!$O$6:$O$22)^2)/((1-($A45/固有振動数!$O$6:$O$22)^2)^2+固有振動数!$P$6:$P$22^2))</f>
        <v>17.0613256504663</v>
      </c>
      <c r="C45" s="127" t="n">
        <f aca="false">-SUMPRODUCT(固有振動数!$Q$6:$Q$22*固有振動数!$P$6:$P$22/((1-($A45/固有振動数!$O$6:$O$22)^2)^2+固有振動数!$P$6:$P$22^2))</f>
        <v>-0.383417135712615</v>
      </c>
      <c r="D45" s="128" t="n">
        <f aca="false">SQRT(B45^2+C45^2)</f>
        <v>17.0656333504274</v>
      </c>
      <c r="E45" s="129" t="n">
        <f aca="false">20*LOG10(MAX(D45,0.000000000001)/$K$3)</f>
        <v>24.642448214428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" hidden="false" customHeight="false" outlineLevel="0" collapsed="false">
      <c r="A46" s="122" t="n">
        <f aca="false">A45+$F$3</f>
        <v>400</v>
      </c>
      <c r="B46" s="123" t="n">
        <f aca="false">SUMPRODUCT(固有振動数!$Q$6:$Q$22*(1-($A46/固有振動数!$O$6:$O$22)^2)/((1-($A46/固有振動数!$O$6:$O$22)^2)^2+固有振動数!$P$6:$P$22^2))</f>
        <v>17.0650355648881</v>
      </c>
      <c r="C46" s="123" t="n">
        <f aca="false">-SUMPRODUCT(固有振動数!$Q$6:$Q$22*固有振動数!$P$6:$P$22/((1-($A46/固有振動数!$O$6:$O$22)^2)^2+固有振動数!$P$6:$P$22^2))</f>
        <v>-0.383587001876348</v>
      </c>
      <c r="D46" s="124" t="n">
        <f aca="false">SQRT(B46^2+C46^2)</f>
        <v>17.0693461450316</v>
      </c>
      <c r="E46" s="125" t="n">
        <f aca="false">20*LOG10(MAX(D46,0.000000000001)/$K$3)</f>
        <v>24.6443377087112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" hidden="false" customHeight="false" outlineLevel="0" collapsed="false">
      <c r="A47" s="126" t="n">
        <f aca="false">A46+$F$3</f>
        <v>410</v>
      </c>
      <c r="B47" s="127" t="n">
        <f aca="false">SUMPRODUCT(固有振動数!$Q$6:$Q$22*(1-($A47/固有振動数!$O$6:$O$22)^2)/((1-($A47/固有振動数!$O$6:$O$22)^2)^2+固有振動数!$P$6:$P$22^2))</f>
        <v>17.0688481626714</v>
      </c>
      <c r="C47" s="127" t="n">
        <f aca="false">-SUMPRODUCT(固有振動数!$Q$6:$Q$22*固有振動数!$P$6:$P$22/((1-($A47/固有振動数!$O$6:$O$22)^2)^2+固有振動数!$P$6:$P$22^2))</f>
        <v>-0.383761776274239</v>
      </c>
      <c r="D47" s="128" t="n">
        <f aca="false">SQRT(B47^2+C47^2)</f>
        <v>17.0731617078167</v>
      </c>
      <c r="E47" s="129" t="n">
        <f aca="false">20*LOG10(MAX(D47,0.000000000001)/$K$3)</f>
        <v>24.6462790750303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" hidden="false" customHeight="false" outlineLevel="0" collapsed="false">
      <c r="A48" s="122" t="n">
        <f aca="false">A47+$F$3</f>
        <v>420</v>
      </c>
      <c r="B48" s="123" t="n">
        <f aca="false">SUMPRODUCT(固有振動数!$Q$6:$Q$22*(1-($A48/固有振動数!$O$6:$O$22)^2)/((1-($A48/固有振動数!$O$6:$O$22)^2)^2+固有振動数!$P$6:$P$22^2))</f>
        <v>17.0727641454817</v>
      </c>
      <c r="C48" s="123" t="n">
        <f aca="false">-SUMPRODUCT(固有振動数!$Q$6:$Q$22*固有振動数!$P$6:$P$22/((1-($A48/固有振動数!$O$6:$O$22)^2)^2+固有振動数!$P$6:$P$22^2))</f>
        <v>-0.383941508633558</v>
      </c>
      <c r="D48" s="124" t="n">
        <f aca="false">SQRT(B48^2+C48^2)</f>
        <v>17.0770807414294</v>
      </c>
      <c r="E48" s="125" t="n">
        <f aca="false">20*LOG10(MAX(D48,0.000000000001)/$K$3)</f>
        <v>24.6482726359046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" hidden="false" customHeight="false" outlineLevel="0" collapsed="false">
      <c r="A49" s="126" t="n">
        <f aca="false">A48+$F$3</f>
        <v>430</v>
      </c>
      <c r="B49" s="127" t="n">
        <f aca="false">SUMPRODUCT(固有振動数!$Q$6:$Q$22*(1-($A49/固有振動数!$O$6:$O$22)^2)/((1-($A49/固有振動数!$O$6:$O$22)^2)^2+固有振動数!$P$6:$P$22^2))</f>
        <v>17.0767842381489</v>
      </c>
      <c r="C49" s="127" t="n">
        <f aca="false">-SUMPRODUCT(固有振動数!$Q$6:$Q$22*固有振動数!$P$6:$P$22/((1-($A49/固有振動数!$O$6:$O$22)^2)^2+固有振動数!$P$6:$P$22^2))</f>
        <v>-0.384126250460049</v>
      </c>
      <c r="D49" s="128" t="n">
        <f aca="false">SQRT(B49^2+C49^2)</f>
        <v>17.0811039717163</v>
      </c>
      <c r="E49" s="129" t="n">
        <f aca="false">20*LOG10(MAX(D49,0.000000000001)/$K$3)</f>
        <v>24.6503187244023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" hidden="false" customHeight="false" outlineLevel="0" collapsed="false">
      <c r="A50" s="122" t="n">
        <f aca="false">A49+$F$3</f>
        <v>440</v>
      </c>
      <c r="B50" s="123" t="n">
        <f aca="false">SUMPRODUCT(固有振動数!$Q$6:$Q$22*(1-($A50/固有振動数!$O$6:$O$22)^2)/((1-($A50/固有振動数!$O$6:$O$22)^2)^2+固有振動数!$P$6:$P$22^2))</f>
        <v>17.0809091891556</v>
      </c>
      <c r="C50" s="123" t="n">
        <f aca="false">-SUMPRODUCT(固有振動数!$Q$6:$Q$22*固有振動数!$P$6:$P$22/((1-($A50/固有振動数!$O$6:$O$22)^2)^2+固有振動数!$P$6:$P$22^2))</f>
        <v>-0.384316055085448</v>
      </c>
      <c r="D50" s="124" t="n">
        <f aca="false">SQRT(B50^2+C50^2)</f>
        <v>17.0852321482143</v>
      </c>
      <c r="E50" s="125" t="n">
        <f aca="false">20*LOG10(MAX(D50,0.000000000001)/$K$3)</f>
        <v>24.6524176843561</v>
      </c>
    </row>
    <row r="51" customFormat="false" ht="15" hidden="false" customHeight="false" outlineLevel="0" collapsed="false">
      <c r="A51" s="126" t="n">
        <f aca="false">A50+$F$3</f>
        <v>450</v>
      </c>
      <c r="B51" s="127" t="n">
        <f aca="false">SUMPRODUCT(固有振動数!$Q$6:$Q$22*(1-($A51/固有振動数!$O$6:$O$22)^2)/((1-($A51/固有振動数!$O$6:$O$22)^2)^2+固有振動数!$P$6:$P$22^2))</f>
        <v>17.0851397711457</v>
      </c>
      <c r="C51" s="127" t="n">
        <f aca="false">-SUMPRODUCT(固有振動数!$Q$6:$Q$22*固有振動数!$P$6:$P$22/((1-($A51/固有振動数!$O$6:$O$22)^2)^2+固有振動数!$P$6:$P$22^2))</f>
        <v>-0.384510977717118</v>
      </c>
      <c r="D51" s="128" t="n">
        <f aca="false">SQRT(B51^2+C51^2)</f>
        <v>17.0894660446595</v>
      </c>
      <c r="E51" s="129" t="n">
        <f aca="false">20*LOG10(MAX(D51,0.000000000001)/$K$3)</f>
        <v>24.6545698705872</v>
      </c>
    </row>
    <row r="52" customFormat="false" ht="15" hidden="false" customHeight="false" outlineLevel="0" collapsed="false">
      <c r="A52" s="122" t="n">
        <f aca="false">A51+$F$3</f>
        <v>460</v>
      </c>
      <c r="B52" s="123" t="n">
        <f aca="false">SUMPRODUCT(固有振動数!$Q$6:$Q$22*(1-($A52/固有振動数!$O$6:$O$22)^2)/((1-($A52/固有振動数!$O$6:$O$22)^2)^2+固有振動数!$P$6:$P$22^2))</f>
        <v>17.0894767814536</v>
      </c>
      <c r="C52" s="123" t="n">
        <f aca="false">-SUMPRODUCT(固有振動数!$Q$6:$Q$22*固有振動数!$P$6:$P$22/((1-($A52/固有振動数!$O$6:$O$22)^2)^2+固有振動数!$P$6:$P$22^2))</f>
        <v>-0.384711075489912</v>
      </c>
      <c r="D52" s="124" t="n">
        <f aca="false">SQRT(B52^2+C52^2)</f>
        <v>17.0938064595177</v>
      </c>
      <c r="E52" s="125" t="n">
        <f aca="false">20*LOG10(MAX(D52,0.000000000001)/$K$3)</f>
        <v>24.656775649138</v>
      </c>
    </row>
    <row r="53" customFormat="false" ht="15" hidden="false" customHeight="false" outlineLevel="0" collapsed="false">
      <c r="A53" s="126" t="n">
        <f aca="false">A52+$F$3</f>
        <v>470</v>
      </c>
      <c r="B53" s="127" t="n">
        <f aca="false">SUMPRODUCT(固有振動数!$Q$6:$Q$22*(1-($A53/固有振動数!$O$6:$O$22)^2)/((1-($A53/固有振動数!$O$6:$O$22)^2)^2+固有振動数!$P$6:$P$22^2))</f>
        <v>17.0939210426548</v>
      </c>
      <c r="C53" s="127" t="n">
        <f aca="false">-SUMPRODUCT(固有振動数!$Q$6:$Q$22*固有振動数!$P$6:$P$22/((1-($A53/固有振動数!$O$6:$O$22)^2)^2+固有振動数!$P$6:$P$22^2))</f>
        <v>-0.384916407520345</v>
      </c>
      <c r="D53" s="128" t="n">
        <f aca="false">SQRT(B53^2+C53^2)</f>
        <v>17.0982542165361</v>
      </c>
      <c r="E53" s="129" t="n">
        <f aca="false">20*LOG10(MAX(D53,0.000000000001)/$K$3)</f>
        <v>24.6590353975155</v>
      </c>
    </row>
    <row r="54" customFormat="false" ht="15" hidden="false" customHeight="false" outlineLevel="0" collapsed="false">
      <c r="A54" s="122" t="n">
        <f aca="false">A53+$F$3</f>
        <v>480</v>
      </c>
      <c r="B54" s="123" t="n">
        <f aca="false">SUMPRODUCT(固有振動数!$Q$6:$Q$22*(1-($A54/固有振動数!$O$6:$O$22)^2)/((1-($A54/固有振動数!$O$6:$O$22)^2)^2+固有振動数!$P$6:$P$22^2))</f>
        <v>17.0984734031382</v>
      </c>
      <c r="C54" s="123" t="n">
        <f aca="false">-SUMPRODUCT(固有振動数!$Q$6:$Q$22*固有振動数!$P$6:$P$22/((1-($A54/固有振動数!$O$6:$O$22)^2)^2+固有振動数!$P$6:$P$22^2))</f>
        <v>-0.385127034963179</v>
      </c>
      <c r="D54" s="124" t="n">
        <f aca="false">SQRT(B54^2+C54^2)</f>
        <v>17.1028101653174</v>
      </c>
      <c r="E54" s="125" t="n">
        <f aca="false">20*LOG10(MAX(D54,0.000000000001)/$K$3)</f>
        <v>24.6613495049423</v>
      </c>
    </row>
    <row r="55" customFormat="false" ht="15" hidden="false" customHeight="false" outlineLevel="0" collapsed="false">
      <c r="A55" s="126" t="n">
        <f aca="false">A54+$F$3</f>
        <v>490</v>
      </c>
      <c r="B55" s="127" t="n">
        <f aca="false">SUMPRODUCT(固有振動数!$Q$6:$Q$22*(1-($A55/固有振動数!$O$6:$O$22)^2)/((1-($A55/固有振動数!$O$6:$O$22)^2)^2+固有振動数!$P$6:$P$22^2))</f>
        <v>17.1031347377028</v>
      </c>
      <c r="C55" s="127" t="n">
        <f aca="false">-SUMPRODUCT(固有振動数!$Q$6:$Q$22*固有振動数!$P$6:$P$22/((1-($A55/固有振動数!$O$6:$O$22)^2)^2+固有振動数!$P$6:$P$22^2))</f>
        <v>-0.385343021070533</v>
      </c>
      <c r="D55" s="128" t="n">
        <f aca="false">SQRT(B55^2+C55^2)</f>
        <v>17.1074751819169</v>
      </c>
      <c r="E55" s="129" t="n">
        <f aca="false">20*LOG10(MAX(D55,0.000000000001)/$K$3)</f>
        <v>24.6637183726195</v>
      </c>
    </row>
    <row r="56" customFormat="false" ht="15" hidden="false" customHeight="false" outlineLevel="0" collapsed="false">
      <c r="A56" s="122" t="n">
        <f aca="false">A55+$F$3</f>
        <v>500</v>
      </c>
      <c r="B56" s="123" t="n">
        <f aca="false">SUMPRODUCT(固有振動数!$Q$6:$Q$22*(1-($A56/固有振動数!$O$6:$O$22)^2)/((1-($A56/固有振動数!$O$6:$O$22)^2)^2+固有振動数!$P$6:$P$22^2))</f>
        <v>17.1079059481769</v>
      </c>
      <c r="C56" s="123" t="n">
        <f aca="false">-SUMPRODUCT(固有振動数!$Q$6:$Q$22*固有振動数!$P$6:$P$22/((1-($A56/固有振動数!$O$6:$O$22)^2)^2+固有振動数!$P$6:$P$22^2))</f>
        <v>-0.385564431253627</v>
      </c>
      <c r="D56" s="124" t="n">
        <f aca="false">SQRT(B56^2+C56^2)</f>
        <v>17.1122501694638</v>
      </c>
      <c r="E56" s="125" t="n">
        <f aca="false">20*LOG10(MAX(D56,0.000000000001)/$K$3)</f>
        <v>24.6661424139991</v>
      </c>
    </row>
    <row r="57" customFormat="false" ht="15" hidden="false" customHeight="false" outlineLevel="0" collapsed="false">
      <c r="A57" s="126" t="n">
        <f aca="false">A56+$F$3</f>
        <v>510</v>
      </c>
      <c r="B57" s="127" t="n">
        <f aca="false">SUMPRODUCT(固有振動数!$Q$6:$Q$22*(1-($A57/固有振動数!$O$6:$O$22)^2)/((1-($A57/固有振動数!$O$6:$O$22)^2)^2+固有振動数!$P$6:$P$22^2))</f>
        <v>17.1127879640629</v>
      </c>
      <c r="C57" s="127" t="n">
        <f aca="false">-SUMPRODUCT(固有振動数!$Q$6:$Q$22*固有振動数!$P$6:$P$22/((1-($A57/固有振動数!$O$6:$O$22)^2)^2+固有振動数!$P$6:$P$22^2))</f>
        <v>-0.38579133314728</v>
      </c>
      <c r="D57" s="128" t="n">
        <f aca="false">SQRT(B57^2+C57^2)</f>
        <v>17.1171360588069</v>
      </c>
      <c r="E57" s="129" t="n">
        <f aca="false">20*LOG10(MAX(D57,0.000000000001)/$K$3)</f>
        <v>24.6686220550668</v>
      </c>
    </row>
    <row r="58" customFormat="false" ht="15" hidden="false" customHeight="false" outlineLevel="0" collapsed="false">
      <c r="A58" s="122" t="n">
        <f aca="false">A57+$F$3</f>
        <v>520</v>
      </c>
      <c r="B58" s="123" t="n">
        <f aca="false">SUMPRODUCT(固有振動数!$Q$6:$Q$22*(1-($A58/固有振動数!$O$6:$O$22)^2)/((1-($A58/固有振動数!$O$6:$O$22)^2)^2+固有振動数!$P$6:$P$22^2))</f>
        <v>17.1177817432084</v>
      </c>
      <c r="C58" s="123" t="n">
        <f aca="false">-SUMPRODUCT(固有振動数!$Q$6:$Q$22*固有振動数!$P$6:$P$22/((1-($A58/固有振動数!$O$6:$O$22)^2)^2+固有振動数!$P$6:$P$22^2))</f>
        <v>-0.38602379667728</v>
      </c>
      <c r="D58" s="124" t="n">
        <f aca="false">SQRT(B58^2+C58^2)</f>
        <v>17.1221338091874</v>
      </c>
      <c r="E58" s="125" t="n">
        <f aca="false">20*LOG10(MAX(D58,0.000000000001)/$K$3)</f>
        <v>24.671157734637</v>
      </c>
    </row>
    <row r="59" customFormat="false" ht="15" hidden="false" customHeight="false" outlineLevel="0" collapsed="false">
      <c r="A59" s="126" t="n">
        <f aca="false">A58+$F$3</f>
        <v>530</v>
      </c>
      <c r="B59" s="127" t="n">
        <f aca="false">SUMPRODUCT(固有振動数!$Q$6:$Q$22*(1-($A59/固有振動数!$O$6:$O$22)^2)/((1-($A59/固有振動数!$O$6:$O$22)^2)^2+固有振動数!$P$6:$P$22^2))</f>
        <v>17.122888272503</v>
      </c>
      <c r="C59" s="127" t="n">
        <f aca="false">-SUMPRODUCT(固有振動数!$Q$6:$Q$22*固有振動数!$P$6:$P$22/((1-($A59/固有振動数!$O$6:$O$22)^2)^2+固有振動数!$P$6:$P$22^2))</f>
        <v>-0.386261894130781</v>
      </c>
      <c r="D59" s="128" t="n">
        <f aca="false">SQRT(B59^2+C59^2)</f>
        <v>17.1272444089374</v>
      </c>
      <c r="E59" s="129" t="n">
        <f aca="false">20*LOG10(MAX(D59,0.000000000001)/$K$3)</f>
        <v>24.6737499046588</v>
      </c>
    </row>
    <row r="60" customFormat="false" ht="15" hidden="false" customHeight="false" outlineLevel="0" collapsed="false">
      <c r="A60" s="122" t="n">
        <f aca="false">A59+$F$3</f>
        <v>540</v>
      </c>
      <c r="B60" s="123" t="n">
        <f aca="false">SUMPRODUCT(固有振動数!$Q$6:$Q$22*(1-($A60/固有振動数!$O$6:$O$22)^2)/((1-($A60/固有振動数!$O$6:$O$22)^2)^2+固有振動数!$P$6:$P$22^2))</f>
        <v>17.1281085686044</v>
      </c>
      <c r="C60" s="123" t="n">
        <f aca="false">-SUMPRODUCT(固有振動数!$Q$6:$Q$22*固有振動数!$P$6:$P$22/((1-($A60/固有振動数!$O$6:$O$22)^2)^2+固有振動数!$P$6:$P$22^2))</f>
        <v>-0.386505700229837</v>
      </c>
      <c r="D60" s="124" t="n">
        <f aca="false">SQRT(B60^2+C60^2)</f>
        <v>17.1324688762073</v>
      </c>
      <c r="E60" s="125" t="n">
        <f aca="false">20*LOG10(MAX(D60,0.000000000001)/$K$3)</f>
        <v>24.6763990305343</v>
      </c>
    </row>
    <row r="61" customFormat="false" ht="15" hidden="false" customHeight="false" outlineLevel="0" collapsed="false">
      <c r="A61" s="126" t="n">
        <f aca="false">A60+$F$3</f>
        <v>550</v>
      </c>
      <c r="B61" s="127" t="n">
        <f aca="false">SUMPRODUCT(固有振動数!$Q$6:$Q$22*(1-($A61/固有振動数!$O$6:$O$22)^2)/((1-($A61/固有振動数!$O$6:$O$22)^2)^2+固有振動数!$P$6:$P$22^2))</f>
        <v>17.1334436786928</v>
      </c>
      <c r="C61" s="127" t="n">
        <f aca="false">-SUMPRODUCT(固有振動数!$Q$6:$Q$22*固有振動数!$P$6:$P$22/((1-($A61/固有振動数!$O$6:$O$22)^2)^2+固有振動数!$P$6:$P$22^2))</f>
        <v>-0.386755292208247</v>
      </c>
      <c r="D61" s="128" t="n">
        <f aca="false">SQRT(B61^2+C61^2)</f>
        <v>17.1378082597218</v>
      </c>
      <c r="E61" s="129" t="n">
        <f aca="false">20*LOG10(MAX(D61,0.000000000001)/$K$3)</f>
        <v>24.6791055914492</v>
      </c>
    </row>
    <row r="62" customFormat="false" ht="15" hidden="false" customHeight="false" outlineLevel="0" collapsed="false">
      <c r="A62" s="122" t="n">
        <f aca="false">A61+$F$3</f>
        <v>560</v>
      </c>
      <c r="B62" s="123" t="n">
        <f aca="false">SUMPRODUCT(固有振動数!$Q$6:$Q$22*(1-($A62/固有振動数!$O$6:$O$22)^2)/((1-($A62/固有振動数!$O$6:$O$22)^2)^2+固有振動数!$P$6:$P$22^2))</f>
        <v>17.1388946812558</v>
      </c>
      <c r="C62" s="123" t="n">
        <f aca="false">-SUMPRODUCT(固有振動数!$Q$6:$Q$22*固有振動数!$P$6:$P$22/((1-($A62/固有振動数!$O$6:$O$22)^2)^2+固有振動数!$P$6:$P$22^2))</f>
        <v>-0.387010749891855</v>
      </c>
      <c r="D62" s="124" t="n">
        <f aca="false">SQRT(B62^2+C62^2)</f>
        <v>17.1432636395673</v>
      </c>
      <c r="E62" s="125" t="n">
        <f aca="false">20*LOG10(MAX(D62,0.000000000001)/$K$3)</f>
        <v>24.6818700807166</v>
      </c>
    </row>
    <row r="63" customFormat="false" ht="15" hidden="false" customHeight="false" outlineLevel="0" collapsed="false">
      <c r="A63" s="126" t="n">
        <f aca="false">A62+$F$3</f>
        <v>570</v>
      </c>
      <c r="B63" s="127" t="n">
        <f aca="false">SUMPRODUCT(固有振動数!$Q$6:$Q$22*(1-($A63/固有振動数!$O$6:$O$22)^2)/((1-($A63/固有振動数!$O$6:$O$22)^2)^2+固有振動数!$P$6:$P$22^2))</f>
        <v>17.1444626869049</v>
      </c>
      <c r="C63" s="127" t="n">
        <f aca="false">-SUMPRODUCT(固有振動数!$Q$6:$Q$22*固有振動数!$P$6:$P$22/((1-($A63/固有振動数!$O$6:$O$22)^2)^2+固有振動数!$P$6:$P$22^2))</f>
        <v>-0.387272155782475</v>
      </c>
      <c r="D63" s="128" t="n">
        <f aca="false">SQRT(B63^2+C63^2)</f>
        <v>17.1488361280094</v>
      </c>
      <c r="E63" s="129" t="n">
        <f aca="false">20*LOG10(MAX(D63,0.000000000001)/$K$3)</f>
        <v>24.6846930061351</v>
      </c>
    </row>
    <row r="64" customFormat="false" ht="15" hidden="false" customHeight="false" outlineLevel="0" collapsed="false">
      <c r="A64" s="122" t="n">
        <f aca="false">A63+$F$3</f>
        <v>580</v>
      </c>
      <c r="B64" s="123" t="n">
        <f aca="false">SUMPRODUCT(固有振動数!$Q$6:$Q$22*(1-($A64/固有振動数!$O$6:$O$22)^2)/((1-($A64/固有振動数!$O$6:$O$22)^2)^2+固有振動数!$P$6:$P$22^2))</f>
        <v>17.1501488392252</v>
      </c>
      <c r="C64" s="123" t="n">
        <f aca="false">-SUMPRODUCT(固有振動数!$Q$6:$Q$22*固有振動数!$P$6:$P$22/((1-($A64/固有振動数!$O$6:$O$22)^2)^2+固有振動数!$P$6:$P$22^2))</f>
        <v>-0.387539595145612</v>
      </c>
      <c r="D64" s="124" t="n">
        <f aca="false">SQRT(B64^2+C64^2)</f>
        <v>17.1545268703449</v>
      </c>
      <c r="E64" s="125" t="n">
        <f aca="false">20*LOG10(MAX(D64,0.000000000001)/$K$3)</f>
        <v>24.6875748903597</v>
      </c>
    </row>
    <row r="65" customFormat="false" ht="15" hidden="false" customHeight="false" outlineLevel="0" collapsed="false">
      <c r="A65" s="126" t="n">
        <f aca="false">A64+$F$3</f>
        <v>590</v>
      </c>
      <c r="B65" s="127" t="n">
        <f aca="false">SUMPRODUCT(固有振動数!$Q$6:$Q$22*(1-($A65/固有振動数!$O$6:$O$22)^2)/((1-($A65/固有振動数!$O$6:$O$22)^2)^2+固有振動数!$P$6:$P$22^2))</f>
        <v>17.1559543156589</v>
      </c>
      <c r="C65" s="127" t="n">
        <f aca="false">-SUMPRODUCT(固有振動数!$Q$6:$Q$22*固有振動数!$P$6:$P$22/((1-($A65/固有振動数!$O$6:$O$22)^2)^2+固有振動数!$P$6:$P$22^2))</f>
        <v>-0.387813156102172</v>
      </c>
      <c r="D65" s="128" t="n">
        <f aca="false">SQRT(B65^2+C65^2)</f>
        <v>17.1603370457873</v>
      </c>
      <c r="E65" s="129" t="n">
        <f aca="false">20*LOG10(MAX(D65,0.000000000001)/$K$3)</f>
        <v>24.6905162712888</v>
      </c>
    </row>
    <row r="66" customFormat="false" ht="15" hidden="false" customHeight="false" outlineLevel="0" collapsed="false">
      <c r="A66" s="122" t="n">
        <f aca="false">A65+$F$3</f>
        <v>600</v>
      </c>
      <c r="B66" s="123" t="n">
        <f aca="false">SUMPRODUCT(固有振動数!$Q$6:$Q$22*(1-($A66/固有振動数!$O$6:$O$22)^2)/((1-($A66/固有振動数!$O$6:$O$22)^2)^2+固有振動数!$P$6:$P$22^2))</f>
        <v>17.1618803284246</v>
      </c>
      <c r="C66" s="123" t="n">
        <f aca="false">-SUMPRODUCT(固有振動数!$Q$6:$Q$22*固有振動数!$P$6:$P$22/((1-($A66/固有振動数!$O$6:$O$22)^2)^2+固有振動数!$P$6:$P$22^2))</f>
        <v>-0.388092929724355</v>
      </c>
      <c r="D66" s="124" t="n">
        <f aca="false">SQRT(B66^2+C66^2)</f>
        <v>17.1662678683886</v>
      </c>
      <c r="E66" s="125" t="n">
        <f aca="false">20*LOG10(MAX(D66,0.000000000001)/$K$3)</f>
        <v>24.6935177024655</v>
      </c>
    </row>
    <row r="67" customFormat="false" ht="15" hidden="false" customHeight="false" outlineLevel="0" collapsed="false">
      <c r="A67" s="126" t="n">
        <f aca="false">A66+$F$3</f>
        <v>610</v>
      </c>
      <c r="B67" s="127" t="n">
        <f aca="false">SUMPRODUCT(固有振動数!$Q$6:$Q$22*(1-($A67/固有振動数!$O$6:$O$22)^2)/((1-($A67/固有振動数!$O$6:$O$22)^2)^2+固有振動数!$P$6:$P$22^2))</f>
        <v>17.1679281254748</v>
      </c>
      <c r="C67" s="127" t="n">
        <f aca="false">-SUMPRODUCT(固有振動数!$Q$6:$Q$22*固有振動数!$P$6:$P$22/((1-($A67/固有振動数!$O$6:$O$22)^2)^2+固有振動数!$P$6:$P$22^2))</f>
        <v>-0.388379010135932</v>
      </c>
      <c r="D67" s="128" t="n">
        <f aca="false">SQRT(B67^2+C67^2)</f>
        <v>17.1723205879981</v>
      </c>
      <c r="E67" s="129" t="n">
        <f aca="false">20*LOG10(MAX(D67,0.000000000001)/$K$3)</f>
        <v>24.6965797534959</v>
      </c>
    </row>
    <row r="68" customFormat="false" ht="15" hidden="false" customHeight="false" outlineLevel="0" collapsed="false">
      <c r="A68" s="122" t="n">
        <f aca="false">A67+$F$3</f>
        <v>620</v>
      </c>
      <c r="B68" s="123" t="n">
        <f aca="false">SUMPRODUCT(固有振動数!$Q$6:$Q$22*(1-($A68/固有振動数!$O$6:$O$22)^2)/((1-($A68/固有振動数!$O$6:$O$22)^2)^2+固有振動数!$P$6:$P$22^2))</f>
        <v>17.1740989914907</v>
      </c>
      <c r="C68" s="123" t="n">
        <f aca="false">-SUMPRODUCT(固有振動数!$Q$6:$Q$22*固有振動数!$P$6:$P$22/((1-($A68/固有振動数!$O$6:$O$22)^2)^2+固有振動数!$P$6:$P$22^2))</f>
        <v>-0.388671494617136</v>
      </c>
      <c r="D68" s="124" t="n">
        <f aca="false">SQRT(B68^2+C68^2)</f>
        <v>17.1784964912606</v>
      </c>
      <c r="E68" s="125" t="n">
        <f aca="false">20*LOG10(MAX(D68,0.000000000001)/$K$3)</f>
        <v>24.6997030104832</v>
      </c>
    </row>
    <row r="69" customFormat="false" ht="15" hidden="false" customHeight="false" outlineLevel="0" collapsed="false">
      <c r="A69" s="126" t="n">
        <f aca="false">A68+$F$3</f>
        <v>630</v>
      </c>
      <c r="B69" s="127" t="n">
        <f aca="false">SUMPRODUCT(固有振動数!$Q$6:$Q$22*(1-($A69/固有振動数!$O$6:$O$22)^2)/((1-($A69/固有振動数!$O$6:$O$22)^2)^2+固有振動数!$P$6:$P$22^2))</f>
        <v>17.1803942489195</v>
      </c>
      <c r="C69" s="127" t="n">
        <f aca="false">-SUMPRODUCT(固有振動数!$Q$6:$Q$22*固有振動数!$P$6:$P$22/((1-($A69/固有振動数!$O$6:$O$22)^2)^2+固有振動数!$P$6:$P$22^2))</f>
        <v>-0.388970483714401</v>
      </c>
      <c r="D69" s="128" t="n">
        <f aca="false">SQRT(B69^2+C69^2)</f>
        <v>17.1847969026552</v>
      </c>
      <c r="E69" s="129" t="n">
        <f aca="false">20*LOG10(MAX(D69,0.000000000001)/$K$3)</f>
        <v>24.7028880764799</v>
      </c>
    </row>
    <row r="70" customFormat="false" ht="15" hidden="false" customHeight="false" outlineLevel="0" collapsed="false">
      <c r="A70" s="122" t="n">
        <f aca="false">A69+$F$3</f>
        <v>640</v>
      </c>
      <c r="B70" s="123" t="n">
        <f aca="false">SUMPRODUCT(固有振動数!$Q$6:$Q$22*(1-($A70/固有振動数!$O$6:$O$22)^2)/((1-($A70/固有振動数!$O$6:$O$22)^2)^2+固有振動数!$P$6:$P$22^2))</f>
        <v>17.1868152590524</v>
      </c>
      <c r="C70" s="123" t="n">
        <f aca="false">-SUMPRODUCT(固有振動数!$Q$6:$Q$22*固有振動数!$P$6:$P$22/((1-($A70/固有振動数!$O$6:$O$22)^2)^2+固有振動数!$P$6:$P$22^2))</f>
        <v>-0.389276081355182</v>
      </c>
      <c r="D70" s="124" t="n">
        <f aca="false">SQRT(B70^2+C70^2)</f>
        <v>17.1912231855768</v>
      </c>
      <c r="E70" s="125" t="n">
        <f aca="false">20*LOG10(MAX(D70,0.000000000001)/$K$3)</f>
        <v>24.7061355719577</v>
      </c>
    </row>
    <row r="71" customFormat="false" ht="15" hidden="false" customHeight="false" outlineLevel="0" collapsed="false">
      <c r="A71" s="126" t="n">
        <f aca="false">A70+$F$3</f>
        <v>650</v>
      </c>
      <c r="B71" s="127" t="n">
        <f aca="false">SUMPRODUCT(固有振動数!$Q$6:$Q$22*(1-($A71/固有振動数!$O$6:$O$22)^2)/((1-($A71/固有振動数!$O$6:$O$22)^2)^2+固有振動数!$P$6:$P$22^2))</f>
        <v>17.1933634231486</v>
      </c>
      <c r="C71" s="127" t="n">
        <f aca="false">-SUMPRODUCT(固有振動数!$Q$6:$Q$22*固有振動数!$P$6:$P$22/((1-($A71/固有振動数!$O$6:$O$22)^2)^2+固有振動数!$P$6:$P$22^2))</f>
        <v>-0.389588394968137</v>
      </c>
      <c r="D71" s="128" t="n">
        <f aca="false">SQRT(B71^2+C71^2)</f>
        <v>17.1977767434618</v>
      </c>
      <c r="E71" s="129" t="n">
        <f aca="false">20*LOG10(MAX(D71,0.000000000001)/$K$3)</f>
        <v>24.7094461352967</v>
      </c>
    </row>
    <row r="72" customFormat="false" ht="15" hidden="false" customHeight="false" outlineLevel="0" collapsed="false">
      <c r="A72" s="122" t="n">
        <f aca="false">A71+$F$3</f>
        <v>660</v>
      </c>
      <c r="B72" s="123" t="n">
        <f aca="false">SUMPRODUCT(固有振動数!$Q$6:$Q$22*(1-($A72/固有振動数!$O$6:$O$22)^2)/((1-($A72/固有振動数!$O$6:$O$22)^2)^2+固有振動数!$P$6:$P$22^2))</f>
        <v>17.200040183604</v>
      </c>
      <c r="C72" s="123" t="n">
        <f aca="false">-SUMPRODUCT(固有振動数!$Q$6:$Q$22*固有振動数!$P$6:$P$22/((1-($A72/固有振動数!$O$6:$O$22)^2)^2+固有振動数!$P$6:$P$22^2))</f>
        <v>-0.389907535608937</v>
      </c>
      <c r="D72" s="124" t="n">
        <f aca="false">SQRT(B72^2+C72^2)</f>
        <v>17.2044590209607</v>
      </c>
      <c r="E72" s="125" t="n">
        <f aca="false">20*LOG10(MAX(D72,0.000000000001)/$K$3)</f>
        <v>24.7128204232943</v>
      </c>
    </row>
    <row r="73" customFormat="false" ht="15" hidden="false" customHeight="false" outlineLevel="0" collapsed="false">
      <c r="A73" s="126" t="n">
        <f aca="false">A72+$F$3</f>
        <v>670</v>
      </c>
      <c r="B73" s="127" t="n">
        <f aca="false">SUMPRODUCT(固有振動数!$Q$6:$Q$22*(1-($A73/固有振動数!$O$6:$O$22)^2)/((1-($A73/固有振動数!$O$6:$O$22)^2)^2+固有振動数!$P$6:$P$22^2))</f>
        <v>17.20684702517</v>
      </c>
      <c r="C73" s="127" t="n">
        <f aca="false">-SUMPRODUCT(固有振動数!$Q$6:$Q$22*固有振動数!$P$6:$P$22/((1-($A73/固有振動数!$O$6:$O$22)^2)^2+固有振動数!$P$6:$P$22^2))</f>
        <v>-0.390233618092001</v>
      </c>
      <c r="D73" s="128" t="n">
        <f aca="false">SQRT(B73^2+C73^2)</f>
        <v>17.2112715051587</v>
      </c>
      <c r="E73" s="129" t="n">
        <f aca="false">20*LOG10(MAX(D73,0.000000000001)/$K$3)</f>
        <v>24.7162591116949</v>
      </c>
    </row>
    <row r="74" customFormat="false" ht="15" hidden="false" customHeight="false" outlineLevel="0" collapsed="false">
      <c r="A74" s="122" t="n">
        <f aca="false">A73+$F$3</f>
        <v>680</v>
      </c>
      <c r="B74" s="123" t="n">
        <f aca="false">SUMPRODUCT(固有振動数!$Q$6:$Q$22*(1-($A74/固有振動数!$O$6:$O$22)^2)/((1-($A74/固有振動数!$O$6:$O$22)^2)^2+固有振動数!$P$6:$P$22^2))</f>
        <v>17.2137854762216</v>
      </c>
      <c r="C74" s="123" t="n">
        <f aca="false">-SUMPRODUCT(固有振動数!$Q$6:$Q$22*固有振動数!$P$6:$P$22/((1-($A74/固有振動数!$O$6:$O$22)^2)^2+固有振動数!$P$6:$P$22^2))</f>
        <v>-0.390566761128477</v>
      </c>
      <c r="D74" s="124" t="n">
        <f aca="false">SQRT(B74^2+C74^2)</f>
        <v>17.218215726848</v>
      </c>
      <c r="E74" s="125" t="n">
        <f aca="false">20*LOG10(MAX(D74,0.000000000001)/$K$3)</f>
        <v>24.7197628957406</v>
      </c>
    </row>
    <row r="75" customFormat="false" ht="15" hidden="false" customHeight="false" outlineLevel="0" collapsed="false">
      <c r="A75" s="126" t="n">
        <f aca="false">A74+$F$3</f>
        <v>690</v>
      </c>
      <c r="B75" s="127" t="n">
        <f aca="false">SUMPRODUCT(固有振動数!$Q$6:$Q$22*(1-($A75/固有振動数!$O$6:$O$22)^2)/((1-($A75/固有振動数!$O$6:$O$22)^2)^2+固有振動数!$P$6:$P$22^2))</f>
        <v>17.2208571100797</v>
      </c>
      <c r="C75" s="127" t="n">
        <f aca="false">-SUMPRODUCT(固有振動数!$Q$6:$Q$22*固有振動数!$P$6:$P$22/((1-($A75/固有振動数!$O$6:$O$22)^2)^2+固有振動数!$P$6:$P$22^2))</f>
        <v>-0.390907087470786</v>
      </c>
      <c r="D75" s="128" t="n">
        <f aca="false">SQRT(B75^2+C75^2)</f>
        <v>17.2252932618524</v>
      </c>
      <c r="E75" s="129" t="n">
        <f aca="false">20*LOG10(MAX(D75,0.000000000001)/$K$3)</f>
        <v>24.7233324907458</v>
      </c>
    </row>
    <row r="76" customFormat="false" ht="15" hidden="false" customHeight="false" outlineLevel="0" collapsed="false">
      <c r="A76" s="122" t="n">
        <f aca="false">A75+$F$3</f>
        <v>700</v>
      </c>
      <c r="B76" s="123" t="n">
        <f aca="false">SUMPRODUCT(固有振動数!$Q$6:$Q$22*(1-($A76/固有振動数!$O$6:$O$22)^2)/((1-($A76/固有振動数!$O$6:$O$22)^2)^2+固有振動数!$P$6:$P$22^2))</f>
        <v>17.2280635463881</v>
      </c>
      <c r="C76" s="123" t="n">
        <f aca="false">-SUMPRODUCT(固有振動数!$Q$6:$Q$22*固有振動数!$P$6:$P$22/((1-($A76/固有振動数!$O$6:$O$22)^2)^2+固有振動数!$P$6:$P$22^2))</f>
        <v>-0.391254724064096</v>
      </c>
      <c r="D76" s="124" t="n">
        <f aca="false">SQRT(B76^2+C76^2)</f>
        <v>17.2325057324084</v>
      </c>
      <c r="E76" s="125" t="n">
        <f aca="false">20*LOG10(MAX(D76,0.000000000001)/$K$3)</f>
        <v>24.7269686326939</v>
      </c>
    </row>
    <row r="77" customFormat="false" ht="15" hidden="false" customHeight="false" outlineLevel="0" collapsed="false">
      <c r="A77" s="126" t="n">
        <f aca="false">A76+$F$3</f>
        <v>710</v>
      </c>
      <c r="B77" s="127" t="n">
        <f aca="false">SUMPRODUCT(固有振動数!$Q$6:$Q$22*(1-($A77/固有振動数!$O$6:$O$22)^2)/((1-($A77/固有振動数!$O$6:$O$22)^2)^2+固有振動数!$P$6:$P$22^2))</f>
        <v>17.2354064525489</v>
      </c>
      <c r="C77" s="127" t="n">
        <f aca="false">-SUMPRODUCT(固有振動数!$Q$6:$Q$22*固有振動数!$P$6:$P$22/((1-($A77/固有振動数!$O$6:$O$22)^2)^2+固有振動数!$P$6:$P$22^2))</f>
        <v>-0.391609802205099</v>
      </c>
      <c r="D77" s="128" t="n">
        <f aca="false">SQRT(B77^2+C77^2)</f>
        <v>17.239854808604</v>
      </c>
      <c r="E77" s="129" t="n">
        <f aca="false">20*LOG10(MAX(D77,0.000000000001)/$K$3)</f>
        <v>24.7306720788602</v>
      </c>
    </row>
    <row r="78" customFormat="false" ht="15" hidden="false" customHeight="false" outlineLevel="0" collapsed="false">
      <c r="A78" s="122" t="n">
        <f aca="false">A77+$F$3</f>
        <v>720</v>
      </c>
      <c r="B78" s="123" t="n">
        <f aca="false">SUMPRODUCT(固有振動数!$Q$6:$Q$22*(1-($A78/固有振動数!$O$6:$O$22)^2)/((1-($A78/固有振動数!$O$6:$O$22)^2)^2+固有振動数!$P$6:$P$22^2))</f>
        <v>17.2428875452192</v>
      </c>
      <c r="C78" s="123" t="n">
        <f aca="false">-SUMPRODUCT(固有振動数!$Q$6:$Q$22*固有振動数!$P$6:$P$22/((1-($A78/固有振動数!$O$6:$O$22)^2)^2+固有振動数!$P$6:$P$22^2))</f>
        <v>-0.391972457708478</v>
      </c>
      <c r="D78" s="124" t="n">
        <f aca="false">SQRT(B78^2+C78^2)</f>
        <v>17.2473422098791</v>
      </c>
      <c r="E78" s="125" t="n">
        <f aca="false">20*LOG10(MAX(D78,0.000000000001)/$K$3)</f>
        <v>24.7344436084593</v>
      </c>
    </row>
    <row r="79" customFormat="false" ht="15" hidden="false" customHeight="false" outlineLevel="0" collapsed="false">
      <c r="A79" s="126" t="n">
        <f aca="false">A78+$F$3</f>
        <v>730</v>
      </c>
      <c r="B79" s="127" t="n">
        <f aca="false">SUMPRODUCT(固有振動数!$Q$6:$Q$22*(1-($A79/固有振動数!$O$6:$O$22)^2)/((1-($A79/固有振動数!$O$6:$O$22)^2)^2+固有振動数!$P$6:$P$22^2))</f>
        <v>17.2505085918713</v>
      </c>
      <c r="C79" s="127" t="n">
        <f aca="false">-SUMPRODUCT(固有振動数!$Q$6:$Q$22*固有振動数!$P$6:$P$22/((1-($A79/固有振動数!$O$6:$O$22)^2)^2+固有振動数!$P$6:$P$22^2))</f>
        <v>-0.392342831081504</v>
      </c>
      <c r="D79" s="128" t="n">
        <f aca="false">SQRT(B79^2+C79^2)</f>
        <v>17.2549697065896</v>
      </c>
      <c r="E79" s="129" t="n">
        <f aca="false">20*LOG10(MAX(D79,0.000000000001)/$K$3)</f>
        <v>24.7382840233209</v>
      </c>
    </row>
    <row r="80" customFormat="false" ht="15" hidden="false" customHeight="false" outlineLevel="0" collapsed="false">
      <c r="A80" s="122" t="n">
        <f aca="false">A79+$F$3</f>
        <v>740</v>
      </c>
      <c r="B80" s="123" t="n">
        <f aca="false">SUMPRODUCT(固有振動数!$Q$6:$Q$22*(1-($A80/固有振動数!$O$6:$O$22)^2)/((1-($A80/固有振動数!$O$6:$O$22)^2)^2+固有振動数!$P$6:$P$22^2))</f>
        <v>17.2582714124196</v>
      </c>
      <c r="C80" s="123" t="n">
        <f aca="false">-SUMPRODUCT(固有振動数!$Q$6:$Q$22*固有振動数!$P$6:$P$22/((1-($A80/固有振動数!$O$6:$O$22)^2)^2+固有振動数!$P$6:$P$22^2))</f>
        <v>-0.3927210677072</v>
      </c>
      <c r="D80" s="124" t="n">
        <f aca="false">SQRT(B80^2+C80^2)</f>
        <v>17.2627391216389</v>
      </c>
      <c r="E80" s="125" t="n">
        <f aca="false">20*LOG10(MAX(D80,0.000000000001)/$K$3)</f>
        <v>24.7421941485929</v>
      </c>
    </row>
    <row r="81" customFormat="false" ht="15" hidden="false" customHeight="false" outlineLevel="0" collapsed="false">
      <c r="A81" s="126" t="n">
        <f aca="false">A80+$F$3</f>
        <v>750</v>
      </c>
      <c r="B81" s="127" t="n">
        <f aca="false">SUMPRODUCT(固有振動数!$Q$6:$Q$22*(1-($A81/固有振動数!$O$6:$O$22)^2)/((1-($A81/固有振動数!$O$6:$O$22)^2)^2+固有振動数!$P$6:$P$22^2))</f>
        <v>17.2661778809189</v>
      </c>
      <c r="C81" s="127" t="n">
        <f aca="false">-SUMPRODUCT(固有振動数!$Q$6:$Q$22*固有振動数!$P$6:$P$22/((1-($A81/固有振動数!$O$6:$O$22)^2)^2+固有振動数!$P$6:$P$22^2))</f>
        <v>-0.393107318036568</v>
      </c>
      <c r="D81" s="128" t="n">
        <f aca="false">SQRT(B81^2+C81^2)</f>
        <v>17.2706523321797</v>
      </c>
      <c r="E81" s="129" t="n">
        <f aca="false">20*LOG10(MAX(D81,0.000000000001)/$K$3)</f>
        <v>24.7461748334749</v>
      </c>
    </row>
    <row r="82" customFormat="false" ht="15" hidden="false" customHeight="false" outlineLevel="0" collapsed="false">
      <c r="A82" s="122" t="n">
        <f aca="false">A81+$F$3</f>
        <v>760</v>
      </c>
      <c r="B82" s="123" t="n">
        <f aca="false">SUMPRODUCT(固有振動数!$Q$6:$Q$22*(1-($A82/固有振動数!$O$6:$O$22)^2)/((1-($A82/固有振動数!$O$6:$O$22)^2)^2+固有振動数!$P$6:$P$22^2))</f>
        <v>17.2742299273344</v>
      </c>
      <c r="C82" s="123" t="n">
        <f aca="false">-SUMPRODUCT(固有振動数!$Q$6:$Q$22*固有振動数!$P$6:$P$22/((1-($A82/固有振動数!$O$6:$O$22)^2)^2+固有振動数!$P$6:$P$22^2))</f>
        <v>-0.393501737790364</v>
      </c>
      <c r="D82" s="124" t="n">
        <f aca="false">SQRT(B82^2+C82^2)</f>
        <v>17.2787112713899</v>
      </c>
      <c r="E82" s="125" t="n">
        <f aca="false">20*LOG10(MAX(D82,0.000000000001)/$K$3)</f>
        <v>24.750226951983</v>
      </c>
    </row>
    <row r="83" customFormat="false" ht="15" hidden="false" customHeight="false" outlineLevel="0" collapsed="false">
      <c r="A83" s="126" t="n">
        <f aca="false">A82+$F$3</f>
        <v>770</v>
      </c>
      <c r="B83" s="127" t="n">
        <f aca="false">SUMPRODUCT(固有振動数!$Q$6:$Q$22*(1-($A83/固有振動数!$O$6:$O$22)^2)/((1-($A83/固有振動数!$O$6:$O$22)^2)^2+固有振動数!$P$6:$P$22^2))</f>
        <v>17.2824295393911</v>
      </c>
      <c r="C83" s="127" t="n">
        <f aca="false">-SUMPRODUCT(固有振動数!$Q$6:$Q$22*固有振動数!$P$6:$P$22/((1-($A83/固有振動数!$O$6:$O$22)^2)^2+固有振動数!$P$6:$P$22^2))</f>
        <v>-0.393904488170997</v>
      </c>
      <c r="D83" s="128" t="n">
        <f aca="false">SQRT(B83^2+C83^2)</f>
        <v>17.2869179303258</v>
      </c>
      <c r="E83" s="129" t="n">
        <f aca="false">20*LOG10(MAX(D83,0.000000000001)/$K$3)</f>
        <v>24.7543514037462</v>
      </c>
    </row>
    <row r="84" customFormat="false" ht="15" hidden="false" customHeight="false" outlineLevel="0" collapsed="false">
      <c r="A84" s="122" t="n">
        <f aca="false">A83+$F$3</f>
        <v>780</v>
      </c>
      <c r="B84" s="123" t="n">
        <f aca="false">SUMPRODUCT(固有振動数!$Q$6:$Q$22*(1-($A84/固有振動数!$O$6:$O$22)^2)/((1-($A84/固有振動数!$O$6:$O$22)^2)^2+固有振動数!$P$6:$P$22^2))</f>
        <v>17.2907787645035</v>
      </c>
      <c r="C84" s="123" t="n">
        <f aca="false">-SUMPRODUCT(固有振動数!$Q$6:$Q$22*固有振動数!$P$6:$P$22/((1-($A84/固有振動数!$O$6:$O$22)^2)^2+固有振動数!$P$6:$P$22^2))</f>
        <v>-0.394315736085104</v>
      </c>
      <c r="D84" s="124" t="n">
        <f aca="false">SQRT(B84^2+C84^2)</f>
        <v>17.295274359857</v>
      </c>
      <c r="E84" s="125" t="n">
        <f aca="false">20*LOG10(MAX(D84,0.000000000001)/$K$3)</f>
        <v>24.7585491148386</v>
      </c>
    </row>
    <row r="85" customFormat="false" ht="15" hidden="false" customHeight="false" outlineLevel="0" collapsed="false">
      <c r="A85" s="126" t="n">
        <f aca="false">A84+$F$3</f>
        <v>790</v>
      </c>
      <c r="B85" s="127" t="n">
        <f aca="false">SUMPRODUCT(固有振動数!$Q$6:$Q$22*(1-($A85/固有振動数!$O$6:$O$22)^2)/((1-($A85/固有振動数!$O$6:$O$22)^2)^2+固有振動数!$P$6:$P$22^2))</f>
        <v>17.2992797117898</v>
      </c>
      <c r="C85" s="127" t="n">
        <f aca="false">-SUMPRODUCT(固有振動数!$Q$6:$Q$22*固有振動数!$P$6:$P$22/((1-($A85/固有振動数!$O$6:$O$22)^2)^2+固有振動数!$P$6:$P$22^2))</f>
        <v>-0.394735654377439</v>
      </c>
      <c r="D85" s="128" t="n">
        <f aca="false">SQRT(B85^2+C85^2)</f>
        <v>17.3037826726869</v>
      </c>
      <c r="E85" s="129" t="n">
        <f aca="false">20*LOG10(MAX(D85,0.000000000001)/$K$3)</f>
        <v>24.7628210386467</v>
      </c>
    </row>
    <row r="86" customFormat="false" ht="15" hidden="false" customHeight="false" outlineLevel="0" collapsed="false">
      <c r="A86" s="122" t="n">
        <f aca="false">A85+$F$3</f>
        <v>800</v>
      </c>
      <c r="B86" s="123" t="n">
        <f aca="false">SUMPRODUCT(固有振動数!$Q$6:$Q$22*(1-($A86/固有振動数!$O$6:$O$22)^2)/((1-($A86/固有振動数!$O$6:$O$22)^2)^2+固有振動数!$P$6:$P$22^2))</f>
        <v>17.3079345541779</v>
      </c>
      <c r="C86" s="123" t="n">
        <f aca="false">-SUMPRODUCT(固有振動数!$Q$6:$Q$22*固有振動数!$P$6:$P$22/((1-($A86/固有振動数!$O$6:$O$22)^2)^2+固有振動数!$P$6:$P$22^2))</f>
        <v>-0.395164422076715</v>
      </c>
      <c r="D86" s="124" t="n">
        <f aca="false">SQRT(B86^2+C86^2)</f>
        <v>17.3124450454631</v>
      </c>
      <c r="E86" s="125" t="n">
        <f aca="false">20*LOG10(MAX(D86,0.000000000001)/$K$3)</f>
        <v>24.7671681567741</v>
      </c>
    </row>
    <row r="87" customFormat="false" ht="15" hidden="false" customHeight="false" outlineLevel="0" collapsed="false">
      <c r="A87" s="126" t="n">
        <f aca="false">A86+$F$3</f>
        <v>810</v>
      </c>
      <c r="B87" s="127" t="n">
        <f aca="false">SUMPRODUCT(固有振動数!$Q$6:$Q$22*(1-($A87/固有振動数!$O$6:$O$22)^2)/((1-($A87/固有振動数!$O$6:$O$22)^2)^2+固有振動数!$P$6:$P$22^2))</f>
        <v>17.3167455306034</v>
      </c>
      <c r="C87" s="127" t="n">
        <f aca="false">-SUMPRODUCT(固有振動数!$Q$6:$Q$22*固有振動数!$P$6:$P$22/((1-($A87/固有振動数!$O$6:$O$22)^2)^2+固有振動数!$P$6:$P$22^2))</f>
        <v>-0.395602224654131</v>
      </c>
      <c r="D87" s="128" t="n">
        <f aca="false">SQRT(B87^2+C87^2)</f>
        <v>17.3212637209825</v>
      </c>
      <c r="E87" s="129" t="n">
        <f aca="false">20*LOG10(MAX(D87,0.000000000001)/$K$3)</f>
        <v>24.7715914799871</v>
      </c>
    </row>
    <row r="88" customFormat="false" ht="15" hidden="false" customHeight="false" outlineLevel="0" collapsed="false">
      <c r="A88" s="122" t="n">
        <f aca="false">A87+$F$3</f>
        <v>820</v>
      </c>
      <c r="B88" s="123" t="n">
        <f aca="false">SUMPRODUCT(固有振動数!$Q$6:$Q$22*(1-($A88/固有振動数!$O$6:$O$22)^2)/((1-($A88/固有振動数!$O$6:$O$22)^2)^2+固有振動数!$P$6:$P$22^2))</f>
        <v>17.3257149483083</v>
      </c>
      <c r="C88" s="123" t="n">
        <f aca="false">-SUMPRODUCT(固有振動数!$Q$6:$Q$22*固有振動数!$P$6:$P$22/((1-($A88/固有振動数!$O$6:$O$22)^2)^2+固有振動数!$P$6:$P$22^2))</f>
        <v>-0.396049254295304</v>
      </c>
      <c r="D88" s="124" t="n">
        <f aca="false">SQRT(B88^2+C88^2)</f>
        <v>17.3302410104956</v>
      </c>
      <c r="E88" s="125" t="n">
        <f aca="false">20*LOG10(MAX(D88,0.000000000001)/$K$3)</f>
        <v>24.776092049201</v>
      </c>
    </row>
    <row r="89" customFormat="false" ht="15" hidden="false" customHeight="false" outlineLevel="0" collapsed="false">
      <c r="A89" s="126" t="n">
        <f aca="false">A88+$F$3</f>
        <v>830</v>
      </c>
      <c r="B89" s="127" t="n">
        <f aca="false">SUMPRODUCT(固有振動数!$Q$6:$Q$22*(1-($A89/固有振動数!$O$6:$O$22)^2)/((1-($A89/固有振動数!$O$6:$O$22)^2)^2+固有振動数!$P$6:$P$22^2))</f>
        <v>17.3348451852437</v>
      </c>
      <c r="C89" s="127" t="n">
        <f aca="false">-SUMPRODUCT(固有振動数!$Q$6:$Q$22*固有振動数!$P$6:$P$22/((1-($A89/固有振動数!$O$6:$O$22)^2)^2+固有振動数!$P$6:$P$22^2))</f>
        <v>-0.396505710186425</v>
      </c>
      <c r="D89" s="128" t="n">
        <f aca="false">SQRT(B89^2+C89^2)</f>
        <v>17.339379296116</v>
      </c>
      <c r="E89" s="129" t="n">
        <f aca="false">20*LOG10(MAX(D89,0.000000000001)/$K$3)</f>
        <v>24.7806709365102</v>
      </c>
    </row>
    <row r="90" customFormat="false" ht="15" hidden="false" customHeight="false" outlineLevel="0" collapsed="false">
      <c r="A90" s="122" t="n">
        <f aca="false">A89+$F$3</f>
        <v>840</v>
      </c>
      <c r="B90" s="123" t="n">
        <f aca="false">SUMPRODUCT(固有振動数!$Q$6:$Q$22*(1-($A90/固有振動数!$O$6:$O$22)^2)/((1-($A90/固有振動数!$O$6:$O$22)^2)^2+固有振動数!$P$6:$P$22^2))</f>
        <v>17.3441386925818</v>
      </c>
      <c r="C90" s="123" t="n">
        <f aca="false">-SUMPRODUCT(固有振動数!$Q$6:$Q$22*固有振動数!$P$6:$P$22/((1-($A90/固有振動数!$O$6:$O$22)^2)^2+固有振動数!$P$6:$P$22^2))</f>
        <v>-0.396971798815502</v>
      </c>
      <c r="D90" s="124" t="n">
        <f aca="false">SQRT(B90^2+C90^2)</f>
        <v>17.3486810333399</v>
      </c>
      <c r="E90" s="125" t="n">
        <f aca="false">20*LOG10(MAX(D90,0.000000000001)/$K$3)</f>
        <v>24.7853292462651</v>
      </c>
    </row>
    <row r="91" customFormat="false" ht="15" hidden="false" customHeight="false" outlineLevel="0" collapsed="false">
      <c r="A91" s="126" t="n">
        <f aca="false">A90+$F$3</f>
        <v>850</v>
      </c>
      <c r="B91" s="127" t="n">
        <f aca="false">SUMPRODUCT(固有振動数!$Q$6:$Q$22*(1-($A91/固有振動数!$O$6:$O$22)^2)/((1-($A91/固有振動数!$O$6:$O$22)^2)^2+固有振動数!$P$6:$P$22^2))</f>
        <v>17.3535979973446</v>
      </c>
      <c r="C91" s="127" t="n">
        <f aca="false">-SUMPRODUCT(固有振動数!$Q$6:$Q$22*固有振動数!$P$6:$P$22/((1-($A91/固有振動数!$O$6:$O$22)^2)^2+固有振動数!$P$6:$P$22^2))</f>
        <v>-0.397447734289589</v>
      </c>
      <c r="D91" s="128" t="n">
        <f aca="false">SQRT(B91^2+C91^2)</f>
        <v>17.3581487536815</v>
      </c>
      <c r="E91" s="129" t="n">
        <f aca="false">20*LOG10(MAX(D91,0.000000000001)/$K$3)</f>
        <v>24.7900681161968</v>
      </c>
    </row>
    <row r="92" customFormat="false" ht="15" hidden="false" customHeight="false" outlineLevel="0" collapsed="false">
      <c r="A92" s="122" t="n">
        <f aca="false">A91+$F$3</f>
        <v>860</v>
      </c>
      <c r="B92" s="123" t="n">
        <f aca="false">SUMPRODUCT(固有振動数!$Q$6:$Q$22*(1-($A92/固有振動数!$O$6:$O$22)^2)/((1-($A92/固有振動数!$O$6:$O$22)^2)^2+固有振動数!$P$6:$P$22^2))</f>
        <v>17.3632257051534</v>
      </c>
      <c r="C92" s="123" t="n">
        <f aca="false">-SUMPRODUCT(固有振動数!$Q$6:$Q$22*固有振動数!$P$6:$P$22/((1-($A92/固有振動数!$O$6:$O$22)^2)^2+固有振動数!$P$6:$P$22^2))</f>
        <v>-0.39793373866899</v>
      </c>
      <c r="D92" s="124" t="n">
        <f aca="false">SQRT(B92^2+C92^2)</f>
        <v>17.3677850674307</v>
      </c>
      <c r="E92" s="125" t="n">
        <f aca="false">20*LOG10(MAX(D92,0.000000000001)/$K$3)</f>
        <v>24.7948887185929</v>
      </c>
    </row>
    <row r="93" customFormat="false" ht="15" hidden="false" customHeight="false" outlineLevel="0" collapsed="false">
      <c r="A93" s="126" t="n">
        <f aca="false">A92+$F$3</f>
        <v>870</v>
      </c>
      <c r="B93" s="127" t="n">
        <f aca="false">SUMPRODUCT(固有振動数!$Q$6:$Q$22*(1-($A93/固有振動数!$O$6:$O$22)^2)/((1-($A93/固有振動数!$O$6:$O$22)^2)^2+固有振動数!$P$6:$P$22^2))</f>
        <v>17.3730245031079</v>
      </c>
      <c r="C93" s="127" t="n">
        <f aca="false">-SUMPRODUCT(固有振動数!$Q$6:$Q$22*固有振動数!$P$6:$P$22/((1-($A93/固有振動数!$O$6:$O$22)^2)^2+固有振動数!$P$6:$P$22^2))</f>
        <v>-0.398430042319497</v>
      </c>
      <c r="D93" s="128" t="n">
        <f aca="false">SQRT(B93^2+C93^2)</f>
        <v>17.3775926665407</v>
      </c>
      <c r="E93" s="129" t="n">
        <f aca="false">20*LOG10(MAX(D93,0.000000000001)/$K$3)</f>
        <v>24.7997922615273</v>
      </c>
    </row>
    <row r="94" customFormat="false" ht="15" hidden="false" customHeight="false" outlineLevel="0" collapsed="false">
      <c r="A94" s="122" t="n">
        <f aca="false">A93+$F$3</f>
        <v>880</v>
      </c>
      <c r="B94" s="123" t="n">
        <f aca="false">SUMPRODUCT(固有振動数!$Q$6:$Q$22*(1-($A94/固有振動数!$O$6:$O$22)^2)/((1-($A94/固有振動数!$O$6:$O$22)^2)^2+固有振動数!$P$6:$P$22^2))</f>
        <v>17.3829971627999</v>
      </c>
      <c r="C94" s="123" t="n">
        <f aca="false">-SUMPRODUCT(固有振動数!$Q$6:$Q$22*固有振動数!$P$6:$P$22/((1-($A94/固有振動数!$O$6:$O$22)^2)^2+固有振動数!$P$6:$P$22^2))</f>
        <v>-0.398936884283768</v>
      </c>
      <c r="D94" s="124" t="n">
        <f aca="false">SQRT(B94^2+C94^2)</f>
        <v>17.3875743276499</v>
      </c>
      <c r="E94" s="125" t="n">
        <f aca="false">20*LOG10(MAX(D94,0.000000000001)/$K$3)</f>
        <v>24.8047799901464</v>
      </c>
    </row>
    <row r="95" customFormat="false" ht="15" hidden="false" customHeight="false" outlineLevel="0" collapsed="false">
      <c r="A95" s="126" t="n">
        <f aca="false">A94+$F$3</f>
        <v>890</v>
      </c>
      <c r="B95" s="127" t="n">
        <f aca="false">SUMPRODUCT(固有振動数!$Q$6:$Q$22*(1-($A95/固有振動数!$O$6:$O$22)^2)/((1-($A95/固有振動数!$O$6:$O$22)^2)^2+固有振動数!$P$6:$P$22^2))</f>
        <v>17.3931465434705</v>
      </c>
      <c r="C95" s="127" t="n">
        <f aca="false">-SUMPRODUCT(固有振動数!$Q$6:$Q$22*固有振動数!$P$6:$P$22/((1-($A95/固有振動数!$O$6:$O$22)^2)^2+固有振動数!$P$6:$P$22^2))</f>
        <v>-0.39945451267306</v>
      </c>
      <c r="D95" s="128" t="n">
        <f aca="false">SQRT(B95^2+C95^2)</f>
        <v>17.3977329152489</v>
      </c>
      <c r="E95" s="129" t="n">
        <f aca="false">20*LOG10(MAX(D95,0.000000000001)/$K$3)</f>
        <v>24.8098531880144</v>
      </c>
    </row>
    <row r="96" customFormat="false" ht="15" hidden="false" customHeight="false" outlineLevel="0" collapsed="false">
      <c r="A96" s="122" t="n">
        <f aca="false">A95+$F$3</f>
        <v>900</v>
      </c>
      <c r="B96" s="123" t="n">
        <f aca="false">SUMPRODUCT(固有振動数!$Q$6:$Q$22*(1-($A96/固有振動数!$O$6:$O$22)^2)/((1-($A96/固有振動数!$O$6:$O$22)^2)^2+固有振動数!$P$6:$P$22^2))</f>
        <v>17.4034755953181</v>
      </c>
      <c r="C96" s="123" t="n">
        <f aca="false">-SUMPRODUCT(固有振動数!$Q$6:$Q$22*固有振動数!$P$6:$P$22/((1-($A96/固有振動数!$O$6:$O$22)^2)^2+固有振動数!$P$6:$P$22^2))</f>
        <v>-0.399983185080605</v>
      </c>
      <c r="D96" s="124" t="n">
        <f aca="false">SQRT(B96^2+C96^2)</f>
        <v>17.4080713849978</v>
      </c>
      <c r="E96" s="125" t="n">
        <f aca="false">20*LOG10(MAX(D96,0.000000000001)/$K$3)</f>
        <v>24.8150131785224</v>
      </c>
    </row>
    <row r="97" customFormat="false" ht="15" hidden="false" customHeight="false" outlineLevel="0" collapsed="false">
      <c r="A97" s="126" t="n">
        <f aca="false">A96+$F$3</f>
        <v>910</v>
      </c>
      <c r="B97" s="127" t="n">
        <f aca="false">SUMPRODUCT(固有振動数!$Q$6:$Q$22*(1-($A97/固有振動数!$O$6:$O$22)^2)/((1-($A97/固有振動数!$O$6:$O$22)^2)^2+固有振動数!$P$6:$P$22^2))</f>
        <v>17.4139873629656</v>
      </c>
      <c r="C97" s="127" t="n">
        <f aca="false">-SUMPRODUCT(固有振動数!$Q$6:$Q$22*固有振動数!$P$6:$P$22/((1-($A97/固有振動数!$O$6:$O$22)^2)^2+固有振動数!$P$6:$P$22^2))</f>
        <v>-0.400523169018017</v>
      </c>
      <c r="D97" s="128" t="n">
        <f aca="false">SQRT(B97^2+C97^2)</f>
        <v>17.4185927872043</v>
      </c>
      <c r="E97" s="129" t="n">
        <f aca="false">20*LOG10(MAX(D97,0.000000000001)/$K$3)</f>
        <v>24.8202613263629</v>
      </c>
    </row>
    <row r="98" customFormat="false" ht="15" hidden="false" customHeight="false" outlineLevel="0" collapsed="false">
      <c r="A98" s="122" t="n">
        <f aca="false">A97+$F$3</f>
        <v>920</v>
      </c>
      <c r="B98" s="123" t="n">
        <f aca="false">SUMPRODUCT(固有振動数!$Q$6:$Q$22*(1-($A98/固有振動数!$O$6:$O$22)^2)/((1-($A98/固有振動数!$O$6:$O$22)^2)^2+固有振動数!$P$6:$P$22^2))</f>
        <v>17.4246849890961</v>
      </c>
      <c r="C98" s="123" t="n">
        <f aca="false">-SUMPRODUCT(固有振動数!$Q$6:$Q$22*固有振動数!$P$6:$P$22/((1-($A98/固有振動数!$O$6:$O$22)^2)^2+固有振動数!$P$6:$P$22^2))</f>
        <v>-0.401074742376209</v>
      </c>
      <c r="D98" s="124" t="n">
        <f aca="false">SQRT(B98^2+C98^2)</f>
        <v>17.4293002704699</v>
      </c>
      <c r="E98" s="125" t="n">
        <f aca="false">20*LOG10(MAX(D98,0.000000000001)/$K$3)</f>
        <v>24.8255990390745</v>
      </c>
    </row>
    <row r="99" customFormat="false" ht="15" hidden="false" customHeight="false" outlineLevel="0" collapsed="false">
      <c r="A99" s="126" t="n">
        <f aca="false">A98+$F$3</f>
        <v>930</v>
      </c>
      <c r="B99" s="127" t="n">
        <f aca="false">SUMPRODUCT(固有振動数!$Q$6:$Q$22*(1-($A99/固有振動数!$O$6:$O$22)^2)/((1-($A99/固有振動数!$O$6:$O$22)^2)^2+固有振動数!$P$6:$P$22^2))</f>
        <v>17.4355717182661</v>
      </c>
      <c r="C99" s="127" t="n">
        <f aca="false">-SUMPRODUCT(固有振動数!$Q$6:$Q$22*固有振動数!$P$6:$P$22/((1-($A99/固有振動数!$O$6:$O$22)^2)^2+固有振動数!$P$6:$P$22^2))</f>
        <v>-0.401638193912419</v>
      </c>
      <c r="D99" s="128" t="n">
        <f aca="false">SQRT(B99^2+C99^2)</f>
        <v>17.4401970855152</v>
      </c>
      <c r="E99" s="129" t="n">
        <f aca="false">20*LOG10(MAX(D99,0.000000000001)/$K$3)</f>
        <v>24.8310277686604</v>
      </c>
    </row>
    <row r="100" customFormat="false" ht="15" hidden="false" customHeight="false" outlineLevel="0" collapsed="false">
      <c r="A100" s="122" t="n">
        <f aca="false">A99+$F$3</f>
        <v>940</v>
      </c>
      <c r="B100" s="123" t="n">
        <f aca="false">SUMPRODUCT(固有振動数!$Q$6:$Q$22*(1-($A100/固有振動数!$O$6:$O$22)^2)/((1-($A100/固有振動数!$O$6:$O$22)^2)^2+固有振動数!$P$6:$P$22^2))</f>
        <v>17.4466509009079</v>
      </c>
      <c r="C100" s="123" t="n">
        <f aca="false">-SUMPRODUCT(固有振動数!$Q$6:$Q$22*固有振動数!$P$6:$P$22/((1-($A100/固有振動数!$O$6:$O$22)^2)^2+固有振動数!$P$6:$P$22^2))</f>
        <v>-0.402213823765062</v>
      </c>
      <c r="D100" s="124" t="n">
        <f aca="false">SQRT(B100^2+C100^2)</f>
        <v>17.4512865891939</v>
      </c>
      <c r="E100" s="125" t="n">
        <f aca="false">20*LOG10(MAX(D100,0.000000000001)/$K$3)</f>
        <v>24.8365490132848</v>
      </c>
    </row>
    <row r="101" customFormat="false" ht="15" hidden="false" customHeight="false" outlineLevel="0" collapsed="false">
      <c r="A101" s="126" t="n">
        <f aca="false">A100+$F$3</f>
        <v>950</v>
      </c>
      <c r="B101" s="127" t="n">
        <f aca="false">SUMPRODUCT(固有振動数!$Q$6:$Q$22*(1-($A101/固有振動数!$O$6:$O$22)^2)/((1-($A101/固有振動数!$O$6:$O$22)^2)^2+固有振動数!$P$6:$P$22^2))</f>
        <v>17.4579259975297</v>
      </c>
      <c r="C101" s="127" t="n">
        <f aca="false">-SUMPRODUCT(固有振動数!$Q$6:$Q$22*固有振動数!$P$6:$P$22/((1-($A101/固有振動数!$O$6:$O$22)^2)^2+固有振動数!$P$6:$P$22^2))</f>
        <v>-0.402801943998251</v>
      </c>
      <c r="D101" s="128" t="n">
        <f aca="false">SQRT(B101^2+C101^2)</f>
        <v>17.462572248707</v>
      </c>
      <c r="E101" s="129" t="n">
        <f aca="false">20*LOG10(MAX(D101,0.000000000001)/$K$3)</f>
        <v>24.8421643190516</v>
      </c>
    </row>
    <row r="102" customFormat="false" ht="15" hidden="false" customHeight="false" outlineLevel="0" collapsed="false">
      <c r="A102" s="122" t="n">
        <f aca="false">A101+$F$3</f>
        <v>960</v>
      </c>
      <c r="B102" s="123" t="n">
        <f aca="false">SUMPRODUCT(固有振動数!$Q$6:$Q$22*(1-($A102/固有振動数!$O$6:$O$22)^2)/((1-($A102/固有振動数!$O$6:$O$22)^2)^2+固有振動数!$P$6:$P$22^2))</f>
        <v>17.4694005831273</v>
      </c>
      <c r="C102" s="123" t="n">
        <f aca="false">-SUMPRODUCT(固有振動数!$Q$6:$Q$22*固有振動数!$P$6:$P$22/((1-($A102/固有振動数!$O$6:$O$22)^2)^2+固有振動数!$P$6:$P$22^2))</f>
        <v>-0.403402879177959</v>
      </c>
      <c r="D102" s="124" t="n">
        <f aca="false">SQRT(B102^2+C102^2)</f>
        <v>17.4740576460277</v>
      </c>
      <c r="E102" s="125" t="n">
        <f aca="false">20*LOG10(MAX(D102,0.000000000001)/$K$3)</f>
        <v>24.8478752818704</v>
      </c>
    </row>
    <row r="103" customFormat="false" ht="15" hidden="false" customHeight="false" outlineLevel="0" collapsed="false">
      <c r="A103" s="126" t="n">
        <f aca="false">A102+$F$3</f>
        <v>970</v>
      </c>
      <c r="B103" s="127" t="n">
        <f aca="false">SUMPRODUCT(固有振動数!$Q$6:$Q$22*(1-($A103/固有振動数!$O$6:$O$22)^2)/((1-($A103/固有振動数!$O$6:$O$22)^2)^2+固有振動数!$P$6:$P$22^2))</f>
        <v>17.4810783518188</v>
      </c>
      <c r="C103" s="127" t="n">
        <f aca="false">-SUMPRODUCT(固有振動数!$Q$6:$Q$22*固有振動数!$P$6:$P$22/((1-($A103/固有振動数!$O$6:$O$22)^2)^2+固有振動数!$P$6:$P$22^2))</f>
        <v>-0.40401696698198</v>
      </c>
      <c r="D103" s="128" t="n">
        <f aca="false">SQRT(B103^2+C103^2)</f>
        <v>17.4857464825507</v>
      </c>
      <c r="E103" s="129" t="n">
        <f aca="false">20*LOG10(MAX(D103,0.000000000001)/$K$3)</f>
        <v>24.8536835494137</v>
      </c>
    </row>
    <row r="104" customFormat="false" ht="15" hidden="false" customHeight="false" outlineLevel="0" collapsed="false">
      <c r="A104" s="122" t="n">
        <f aca="false">A103+$F$3</f>
        <v>980</v>
      </c>
      <c r="B104" s="123" t="n">
        <f aca="false">SUMPRODUCT(固有振動数!$Q$6:$Q$22*(1-($A104/固有振動数!$O$6:$O$22)^2)/((1-($A104/固有振動数!$O$6:$O$22)^2)^2+固有振動数!$P$6:$P$22^2))</f>
        <v>17.4929631217152</v>
      </c>
      <c r="C104" s="123" t="n">
        <f aca="false">-SUMPRODUCT(固有振動数!$Q$6:$Q$22*固有振動数!$P$6:$P$22/((1-($A104/固有振動数!$O$6:$O$22)^2)^2+固有振動数!$P$6:$P$22^2))</f>
        <v>-0.40464455884596</v>
      </c>
      <c r="D104" s="124" t="n">
        <f aca="false">SQRT(B104^2+C104^2)</f>
        <v>17.4976425839794</v>
      </c>
      <c r="E104" s="125" t="n">
        <f aca="false">20*LOG10(MAX(D104,0.000000000001)/$K$3)</f>
        <v>24.8595908231726</v>
      </c>
    </row>
    <row r="105" customFormat="false" ht="15" hidden="false" customHeight="false" outlineLevel="0" collapsed="false">
      <c r="A105" s="126" t="n">
        <f aca="false">A104+$F$3</f>
        <v>990</v>
      </c>
      <c r="B105" s="127" t="n">
        <f aca="false">SUMPRODUCT(固有振動数!$Q$6:$Q$22*(1-($A105/固有振動数!$O$6:$O$22)^2)/((1-($A105/固有振動数!$O$6:$O$22)^2)^2+固有振動数!$P$6:$P$22^2))</f>
        <v>17.5050588400424</v>
      </c>
      <c r="C105" s="127" t="n">
        <f aca="false">-SUMPRODUCT(固有振動数!$Q$6:$Q$22*固有振動数!$P$6:$P$22/((1-($A105/固有振動数!$O$6:$O$22)^2)^2+固有振動数!$P$6:$P$22^2))</f>
        <v>-0.405286020648</v>
      </c>
      <c r="D105" s="128" t="n">
        <f aca="false">SQRT(B105^2+C105^2)</f>
        <v>17.5097499054635</v>
      </c>
      <c r="E105" s="129" t="n">
        <f aca="false">20*LOG10(MAX(D105,0.000000000001)/$K$3)</f>
        <v>24.8655988606148</v>
      </c>
    </row>
    <row r="106" customFormat="false" ht="15" hidden="false" customHeight="false" outlineLevel="0" collapsed="false">
      <c r="A106" s="122" t="n">
        <f aca="false">A105+$F$3</f>
        <v>1000</v>
      </c>
      <c r="B106" s="123" t="n">
        <f aca="false">SUMPRODUCT(固有振動数!$Q$6:$Q$22*(1-($A106/固有振動数!$O$6:$O$22)^2)/((1-($A106/固有振動数!$O$6:$O$22)^2)^2+固有振動数!$P$6:$P$22^2))</f>
        <v>17.5173695885284</v>
      </c>
      <c r="C106" s="123" t="n">
        <f aca="false">-SUMPRODUCT(固有振動数!$Q$6:$Q$22*固有振動数!$P$6:$P$22/((1-($A106/固有振動数!$O$6:$O$22)^2)^2+固有振動数!$P$6:$P$22^2))</f>
        <v>-0.405941733434484</v>
      </c>
      <c r="D106" s="124" t="n">
        <f aca="false">SQRT(B106^2+C106^2)</f>
        <v>17.5220725370044</v>
      </c>
      <c r="E106" s="125" t="n">
        <f aca="false">20*LOG10(MAX(D106,0.000000000001)/$K$3)</f>
        <v>24.8717094774522</v>
      </c>
    </row>
    <row r="107" customFormat="false" ht="15" hidden="false" customHeight="false" outlineLevel="0" collapsed="false">
      <c r="A107" s="126" t="n">
        <f aca="false">A106+$F$3</f>
        <v>1010</v>
      </c>
      <c r="B107" s="127" t="n">
        <f aca="false">SUMPRODUCT(固有振動数!$Q$6:$Q$22*(1-($A107/固有振動数!$O$6:$O$22)^2)/((1-($A107/固有振動数!$O$6:$O$22)^2)^2+固有振動数!$P$6:$P$22^2))</f>
        <v>17.5298995890728</v>
      </c>
      <c r="C107" s="127" t="n">
        <f aca="false">-SUMPRODUCT(固有振動数!$Q$6:$Q$22*固有振動数!$P$6:$P$22/((1-($A107/固有振動数!$O$6:$O$22)^2)^2+固有振動数!$P$6:$P$22^2))</f>
        <v>-0.40661209419004</v>
      </c>
      <c r="D107" s="128" t="n">
        <f aca="false">SQRT(B107^2+C107^2)</f>
        <v>17.5346147091436</v>
      </c>
      <c r="E107" s="129" t="n">
        <f aca="false">20*LOG10(MAX(D107,0.000000000001)/$K$3)</f>
        <v>24.8779245500234</v>
      </c>
    </row>
    <row r="108" customFormat="false" ht="15" hidden="false" customHeight="false" outlineLevel="0" collapsed="false">
      <c r="A108" s="122" t="n">
        <f aca="false">A107+$F$3</f>
        <v>1020</v>
      </c>
      <c r="B108" s="123" t="n">
        <f aca="false">SUMPRODUCT(固有振動数!$Q$6:$Q$22*(1-($A108/固有振動数!$O$6:$O$22)^2)/((1-($A108/固有振動数!$O$6:$O$22)^2)^2+固有振動数!$P$6:$P$22^2))</f>
        <v>17.5426532097156</v>
      </c>
      <c r="C108" s="123" t="n">
        <f aca="false">-SUMPRODUCT(固有振動数!$Q$6:$Q$22*固有振動数!$P$6:$P$22/((1-($A108/固有振動数!$O$6:$O$22)^2)^2+固有振動数!$P$6:$P$22^2))</f>
        <v>-0.407297516654718</v>
      </c>
      <c r="D108" s="124" t="n">
        <f aca="false">SQRT(B108^2+C108^2)</f>
        <v>17.5473807989517</v>
      </c>
      <c r="E108" s="125" t="n">
        <f aca="false">20*LOG10(MAX(D108,0.000000000001)/$K$3)</f>
        <v>24.8842460178003</v>
      </c>
    </row>
    <row r="109" customFormat="false" ht="15" hidden="false" customHeight="false" outlineLevel="0" collapsed="false">
      <c r="A109" s="126" t="n">
        <f aca="false">A108+$F$3</f>
        <v>1030</v>
      </c>
      <c r="B109" s="127" t="n">
        <f aca="false">SUMPRODUCT(固有振動数!$Q$6:$Q$22*(1-($A109/固有振動数!$O$6:$O$22)^2)/((1-($A109/固有振動数!$O$6:$O$22)^2)^2+固有振動数!$P$6:$P$22^2))</f>
        <v>17.5556349709247</v>
      </c>
      <c r="C109" s="127" t="n">
        <f aca="false">-SUMPRODUCT(固有振動数!$Q$6:$Q$22*固有振動数!$P$6:$P$22/((1-($A109/固有振動数!$O$6:$O$22)^2)^2+固有振動数!$P$6:$P$22^2))</f>
        <v>-0.407998432191782</v>
      </c>
      <c r="D109" s="128" t="n">
        <f aca="false">SQRT(B109^2+C109^2)</f>
        <v>17.5603753363368</v>
      </c>
      <c r="E109" s="129" t="n">
        <f aca="false">20*LOG10(MAX(D109,0.000000000001)/$K$3)</f>
        <v>24.8906758860234</v>
      </c>
    </row>
    <row r="110" customFormat="false" ht="15" hidden="false" customHeight="false" outlineLevel="0" collapsed="false">
      <c r="A110" s="122" t="n">
        <f aca="false">A109+$F$3</f>
        <v>1040</v>
      </c>
      <c r="B110" s="123" t="n">
        <f aca="false">SUMPRODUCT(固有振動数!$Q$6:$Q$22*(1-($A110/固有振動数!$O$6:$O$22)^2)/((1-($A110/固有振動数!$O$6:$O$22)^2)^2+固有振動数!$P$6:$P$22^2))</f>
        <v>17.5688495522205</v>
      </c>
      <c r="C110" s="123" t="n">
        <f aca="false">-SUMPRODUCT(固有振動数!$Q$6:$Q$22*固有振動数!$P$6:$P$22/((1-($A110/固有振動数!$O$6:$O$22)^2)^2+固有振動数!$P$6:$P$22^2))</f>
        <v>-0.408715290709737</v>
      </c>
      <c r="D110" s="124" t="n">
        <f aca="false">SQRT(B110^2+C110^2)</f>
        <v>17.5736030106924</v>
      </c>
      <c r="E110" s="125" t="n">
        <f aca="false">20*LOG10(MAX(D110,0.000000000001)/$K$3)</f>
        <v>24.8972162284756</v>
      </c>
    </row>
    <row r="111" customFormat="false" ht="15" hidden="false" customHeight="false" outlineLevel="0" collapsed="false">
      <c r="A111" s="126" t="n">
        <f aca="false">A110+$F$3</f>
        <v>1050</v>
      </c>
      <c r="B111" s="127" t="n">
        <f aca="false">SUMPRODUCT(固有振動数!$Q$6:$Q$22*(1-($A111/固有振動数!$O$6:$O$22)^2)/((1-($A111/固有振動数!$O$6:$O$22)^2)^2+固有振動数!$P$6:$P$22^2))</f>
        <v>17.5823017991615</v>
      </c>
      <c r="C111" s="127" t="n">
        <f aca="false">-SUMPRODUCT(固有振動数!$Q$6:$Q$22*固有振動数!$P$6:$P$22/((1-($A111/固有振動数!$O$6:$O$22)^2)^2+固有振動数!$P$6:$P$22^2))</f>
        <v>-0.409448561642531</v>
      </c>
      <c r="D111" s="128" t="n">
        <f aca="false">SQRT(B111^2+C111^2)</f>
        <v>17.5870686779073</v>
      </c>
      <c r="E111" s="129" t="n">
        <f aca="false">20*LOG10(MAX(D111,0.000000000001)/$K$3)</f>
        <v>24.9038691904034</v>
      </c>
    </row>
    <row r="112" customFormat="false" ht="15" hidden="false" customHeight="false" outlineLevel="0" collapsed="false">
      <c r="A112" s="122" t="n">
        <f aca="false">A111+$F$3</f>
        <v>1060</v>
      </c>
      <c r="B112" s="123" t="n">
        <f aca="false">SUMPRODUCT(固有振動数!$Q$6:$Q$22*(1-($A112/固有振動数!$O$6:$O$22)^2)/((1-($A112/固有振動数!$O$6:$O$22)^2)^2+固有振動数!$P$6:$P$22^2))</f>
        <v>17.5959967307115</v>
      </c>
      <c r="C112" s="123" t="n">
        <f aca="false">-SUMPRODUCT(固有振動数!$Q$6:$Q$22*固有振動数!$P$6:$P$22/((1-($A112/固有振動数!$O$6:$O$22)^2)^2+固有振動数!$P$6:$P$22^2))</f>
        <v>-0.410198734992216</v>
      </c>
      <c r="D112" s="124" t="n">
        <f aca="false">SQRT(B112^2+C112^2)</f>
        <v>17.6007773677585</v>
      </c>
      <c r="E112" s="125" t="n">
        <f aca="false">20*LOG10(MAX(D112,0.000000000001)/$K$3)</f>
        <v>24.9106369915925</v>
      </c>
    </row>
    <row r="113" customFormat="false" ht="15" hidden="false" customHeight="false" outlineLevel="0" collapsed="false">
      <c r="A113" s="126" t="n">
        <f aca="false">A112+$F$3</f>
        <v>1070</v>
      </c>
      <c r="B113" s="127" t="n">
        <f aca="false">SUMPRODUCT(固有振動数!$Q$6:$Q$22*(1-($A113/固有振動数!$O$6:$O$22)^2)/((1-($A113/固有振動数!$O$6:$O$22)^2)^2+固有振動数!$P$6:$P$22^2))</f>
        <v>17.6099395470149</v>
      </c>
      <c r="C113" s="127" t="n">
        <f aca="false">-SUMPRODUCT(固有振動数!$Q$6:$Q$22*固有振動数!$P$6:$P$22/((1-($A113/固有振動数!$O$6:$O$22)^2)^2+固有振動数!$P$6:$P$22^2))</f>
        <v>-0.410966322438667</v>
      </c>
      <c r="D113" s="128" t="n">
        <f aca="false">SQRT(B113^2+C113^2)</f>
        <v>17.6147342917143</v>
      </c>
      <c r="E113" s="129" t="n">
        <f aca="false">20*LOG10(MAX(D113,0.000000000001)/$K$3)</f>
        <v>24.91752192961</v>
      </c>
    </row>
    <row r="114" customFormat="false" ht="15" hidden="false" customHeight="false" outlineLevel="0" collapsed="false">
      <c r="A114" s="122" t="n">
        <f aca="false">A113+$F$3</f>
        <v>1080</v>
      </c>
      <c r="B114" s="123" t="n">
        <f aca="false">SUMPRODUCT(固有振動数!$Q$6:$Q$22*(1-($A114/固有振動数!$O$6:$O$22)^2)/((1-($A114/固有振動数!$O$6:$O$22)^2)^2+固有振動数!$P$6:$P$22^2))</f>
        <v>17.6241356376056</v>
      </c>
      <c r="C114" s="123" t="n">
        <f aca="false">-SUMPRODUCT(固有振動数!$Q$6:$Q$22*固有振動数!$P$6:$P$22/((1-($A114/固有振動数!$O$6:$O$22)^2)^2+固有振動数!$P$6:$P$22^2))</f>
        <v>-0.411751858521396</v>
      </c>
      <c r="D114" s="124" t="n">
        <f aca="false">SQRT(B114^2+C114^2)</f>
        <v>17.6289448511735</v>
      </c>
      <c r="E114" s="125" t="n">
        <f aca="false">20*LOG10(MAX(D114,0.000000000001)/$K$3)</f>
        <v>24.9245263832225</v>
      </c>
    </row>
    <row r="115" customFormat="false" ht="15" hidden="false" customHeight="false" outlineLevel="0" collapsed="false">
      <c r="A115" s="126" t="n">
        <f aca="false">A114+$F$3</f>
        <v>1090</v>
      </c>
      <c r="B115" s="127" t="n">
        <f aca="false">SUMPRODUCT(固有振動数!$Q$6:$Q$22*(1-($A115/固有振動数!$O$6:$O$22)^2)/((1-($A115/固有振動数!$O$6:$O$22)^2)^2+固有振動数!$P$6:$P$22^2))</f>
        <v>17.6385905900794</v>
      </c>
      <c r="C115" s="127" t="n">
        <f aca="false">-SUMPRODUCT(固有振動数!$Q$6:$Q$22*固有振動数!$P$6:$P$22/((1-($A115/固有振動数!$O$6:$O$22)^2)^2+固有振動数!$P$6:$P$22^2))</f>
        <v>-0.412555901898883</v>
      </c>
      <c r="D115" s="128" t="n">
        <f aca="false">SQRT(B115^2+C115^2)</f>
        <v>17.6434146461684</v>
      </c>
      <c r="E115" s="129" t="n">
        <f aca="false">20*LOG10(MAX(D115,0.000000000001)/$K$3)</f>
        <v>24.9316528160017</v>
      </c>
    </row>
    <row r="116" customFormat="false" ht="15" hidden="false" customHeight="false" outlineLevel="0" collapsed="false">
      <c r="A116" s="122" t="n">
        <f aca="false">A115+$F$3</f>
        <v>1100</v>
      </c>
      <c r="B116" s="123" t="n">
        <f aca="false">SUMPRODUCT(固有振動数!$Q$6:$Q$22*(1-($A116/固有振動数!$O$6:$O$22)^2)/((1-($A116/固有振動数!$O$6:$O$22)^2)^2+固有振動数!$P$6:$P$22^2))</f>
        <v>17.6533101992591</v>
      </c>
      <c r="C116" s="123" t="n">
        <f aca="false">-SUMPRODUCT(固有振動数!$Q$6:$Q$22*固有振動数!$P$6:$P$22/((1-($A116/固有振動数!$O$6:$O$22)^2)^2+固有振動数!$P$6:$P$22^2))</f>
        <v>-0.413379036691364</v>
      </c>
      <c r="D116" s="124" t="n">
        <f aca="false">SQRT(B116^2+C116^2)</f>
        <v>17.658149484565</v>
      </c>
      <c r="E116" s="125" t="n">
        <f aca="false">20*LOG10(MAX(D116,0.000000000001)/$K$3)</f>
        <v>24.9389037801294</v>
      </c>
    </row>
    <row r="117" customFormat="false" ht="15" hidden="false" customHeight="false" outlineLevel="0" collapsed="false">
      <c r="A117" s="126" t="n">
        <f aca="false">A116+$F$3</f>
        <v>1110</v>
      </c>
      <c r="B117" s="127" t="n">
        <f aca="false">SUMPRODUCT(固有振動数!$Q$6:$Q$22*(1-($A117/固有振動数!$O$6:$O$22)^2)/((1-($A117/固有振動数!$O$6:$O$22)^2)^2+固有振動数!$P$6:$P$22^2))</f>
        <v>17.6683004768874</v>
      </c>
      <c r="C117" s="127" t="n">
        <f aca="false">-SUMPRODUCT(固有振動数!$Q$6:$Q$22*固有振動数!$P$6:$P$22/((1-($A117/固有振動数!$O$6:$O$22)^2)^2+固有振動数!$P$6:$P$22^2))</f>
        <v>-0.414221873913475</v>
      </c>
      <c r="D117" s="128" t="n">
        <f aca="false">SQRT(B117^2+C117^2)</f>
        <v>17.6731553917915</v>
      </c>
      <c r="E117" s="129" t="n">
        <f aca="false">20*LOG10(MAX(D117,0.000000000001)/$K$3)</f>
        <v>24.946281920415</v>
      </c>
    </row>
    <row r="118" customFormat="false" ht="15" hidden="false" customHeight="false" outlineLevel="0" collapsed="false">
      <c r="A118" s="122" t="n">
        <f aca="false">A117+$F$3</f>
        <v>1120</v>
      </c>
      <c r="B118" s="123" t="n">
        <f aca="false">SUMPRODUCT(固有振動数!$Q$6:$Q$22*(1-($A118/固有振動数!$O$6:$O$22)^2)/((1-($A118/固有振動数!$O$6:$O$22)^2)^2+固有振動数!$P$6:$P$22^2))</f>
        <v>17.6835676618815</v>
      </c>
      <c r="C118" s="123" t="n">
        <f aca="false">-SUMPRODUCT(固有振動数!$Q$6:$Q$22*固有振動数!$P$6:$P$22/((1-($A118/固有振動数!$O$6:$O$22)^2)^2+固有振動数!$P$6:$P$22^2))</f>
        <v>-0.415085053003758</v>
      </c>
      <c r="D118" s="124" t="n">
        <f aca="false">SQRT(B118^2+C118^2)</f>
        <v>17.6884386211324</v>
      </c>
      <c r="E118" s="125" t="n">
        <f aca="false">20*LOG10(MAX(D118,0.000000000001)/$K$3)</f>
        <v>24.9537899785407</v>
      </c>
    </row>
    <row r="119" customFormat="false" ht="15" hidden="false" customHeight="false" outlineLevel="0" collapsed="false">
      <c r="A119" s="126" t="n">
        <f aca="false">A118+$F$3</f>
        <v>1130</v>
      </c>
      <c r="B119" s="127" t="n">
        <f aca="false">SUMPRODUCT(固有振動数!$Q$6:$Q$22*(1-($A119/固有振動数!$O$6:$O$22)^2)/((1-($A119/固有振動数!$O$6:$O$22)^2)^2+固有振動数!$P$6:$P$22^2))</f>
        <v>17.6991182311897</v>
      </c>
      <c r="C119" s="127" t="n">
        <f aca="false">-SUMPRODUCT(固有振動数!$Q$6:$Q$22*固有振動数!$P$6:$P$22/((1-($A119/固有振動数!$O$6:$O$22)^2)^2+固有振動数!$P$6:$P$22^2))</f>
        <v>-0.415969243458654</v>
      </c>
      <c r="D119" s="128" t="n">
        <f aca="false">SQRT(B119^2+C119^2)</f>
        <v>17.7040056646267</v>
      </c>
      <c r="E119" s="129" t="n">
        <f aca="false">20*LOG10(MAX(D119,0.000000000001)/$K$3)</f>
        <v>24.9614307975477</v>
      </c>
    </row>
    <row r="120" customFormat="false" ht="15" hidden="false" customHeight="false" outlineLevel="0" collapsed="false">
      <c r="A120" s="122" t="n">
        <f aca="false">A119+$F$3</f>
        <v>1140</v>
      </c>
      <c r="B120" s="123" t="n">
        <f aca="false">SUMPRODUCT(固有振動数!$Q$6:$Q$22*(1-($A120/固有振動数!$O$6:$O$22)^2)/((1-($A120/固有振動数!$O$6:$O$22)^2)^2+固有振動数!$P$6:$P$22^2))</f>
        <v>17.7149589112906</v>
      </c>
      <c r="C120" s="123" t="n">
        <f aca="false">-SUMPRODUCT(固有振動数!$Q$6:$Q$22*固有振動数!$P$6:$P$22/((1-($A120/固有振動数!$O$6:$O$22)^2)^2+固有振動数!$P$6:$P$22^2))</f>
        <v>-0.41687514657926</v>
      </c>
      <c r="D120" s="124" t="n">
        <f aca="false">SQRT(B120^2+C120^2)</f>
        <v>17.7198632646122</v>
      </c>
      <c r="E120" s="125" t="n">
        <f aca="false">20*LOG10(MAX(D120,0.000000000001)/$K$3)</f>
        <v>24.969207326581</v>
      </c>
    </row>
    <row r="121" customFormat="false" ht="15" hidden="false" customHeight="false" outlineLevel="0" collapsed="false">
      <c r="A121" s="126" t="n">
        <f aca="false">A120+$F$3</f>
        <v>1150</v>
      </c>
      <c r="B121" s="127" t="n">
        <f aca="false">SUMPRODUCT(固有振動数!$Q$6:$Q$22*(1-($A121/固有振動数!$O$6:$O$22)^2)/((1-($A121/固有振動数!$O$6:$O$22)^2)^2+固有振動数!$P$6:$P$22^2))</f>
        <v>17.731096690381</v>
      </c>
      <c r="C121" s="127" t="n">
        <f aca="false">-SUMPRODUCT(固有振動数!$Q$6:$Q$22*固有振動数!$P$6:$P$22/((1-($A121/固有振動数!$O$6:$O$22)^2)^2+固有振動数!$P$6:$P$22^2))</f>
        <v>-0.417803497339915</v>
      </c>
      <c r="D121" s="128" t="n">
        <f aca="false">SQRT(B121^2+C121^2)</f>
        <v>17.7360184259611</v>
      </c>
      <c r="E121" s="129" t="n">
        <f aca="false">20*LOG10(MAX(D121,0.000000000001)/$K$3)</f>
        <v>24.9771226259097</v>
      </c>
    </row>
    <row r="122" customFormat="false" ht="15" hidden="false" customHeight="false" outlineLevel="0" collapsed="false">
      <c r="A122" s="122" t="n">
        <f aca="false">A121+$F$3</f>
        <v>1160</v>
      </c>
      <c r="B122" s="123" t="n">
        <f aca="false">SUMPRODUCT(固有振動数!$Q$6:$Q$22*(1-($A122/固有振動数!$O$6:$O$22)^2)/((1-($A122/固有振動数!$O$6:$O$22)^2)^2+固有振動数!$P$6:$P$22^2))</f>
        <v>17.7475388312995</v>
      </c>
      <c r="C122" s="123" t="n">
        <f aca="false">-SUMPRODUCT(固有振動数!$Q$6:$Q$22*固有振動数!$P$6:$P$22/((1-($A122/固有振動数!$O$6:$O$22)^2)^2+固有振動数!$P$6:$P$22^2))</f>
        <v>-0.418755066388487</v>
      </c>
      <c r="D122" s="124" t="n">
        <f aca="false">SQRT(B122^2+C122^2)</f>
        <v>17.7524784290564</v>
      </c>
      <c r="E122" s="125" t="n">
        <f aca="false">20*LOG10(MAX(D122,0.000000000001)/$K$3)</f>
        <v>24.985179872243</v>
      </c>
    </row>
    <row r="123" customFormat="false" ht="15" hidden="false" customHeight="false" outlineLevel="0" collapsed="false">
      <c r="A123" s="126" t="n">
        <f aca="false">A122+$F$3</f>
        <v>1170</v>
      </c>
      <c r="B123" s="127" t="n">
        <f aca="false">SUMPRODUCT(固有振動数!$Q$6:$Q$22*(1-($A123/固有振動数!$O$6:$O$22)^2)/((1-($A123/固有振動数!$O$6:$O$22)^2)^2+固有振動数!$P$6:$P$22^2))</f>
        <v>17.7642928852409</v>
      </c>
      <c r="C123" s="127" t="n">
        <f aca="false">-SUMPRODUCT(固有振動数!$Q$6:$Q$22*固有振動数!$P$6:$P$22/((1-($A123/固有振動数!$O$6:$O$22)^2)^2+固有振動数!$P$6:$P$22^2))</f>
        <v>-0.419730662189166</v>
      </c>
      <c r="D123" s="128" t="n">
        <f aca="false">SQRT(B123^2+C123^2)</f>
        <v>17.7692508435613</v>
      </c>
      <c r="E123" s="129" t="n">
        <f aca="false">20*LOG10(MAX(D123,0.000000000001)/$K$3)</f>
        <v>24.9933823643606</v>
      </c>
    </row>
    <row r="124" customFormat="false" ht="15" hidden="false" customHeight="false" outlineLevel="0" collapsed="false">
      <c r="A124" s="122" t="n">
        <f aca="false">A123+$F$3</f>
        <v>1180</v>
      </c>
      <c r="B124" s="123" t="n">
        <f aca="false">SUMPRODUCT(固有振動数!$Q$6:$Q$22*(1-($A124/固有振動数!$O$6:$O$22)^2)/((1-($A124/固有振動数!$O$6:$O$22)^2)^2+固有振動数!$P$6:$P$22^2))</f>
        <v>17.7813667063163</v>
      </c>
      <c r="C124" s="123" t="n">
        <f aca="false">-SUMPRODUCT(固有振動数!$Q$6:$Q$22*固有振動数!$P$6:$P$22/((1-($A124/固有振動数!$O$6:$O$22)^2)^2+固有振動数!$P$6:$P$22^2))</f>
        <v>-0.420731133319556</v>
      </c>
      <c r="D124" s="124" t="n">
        <f aca="false">SQRT(B124^2+C124^2)</f>
        <v>17.7863435430399</v>
      </c>
      <c r="E124" s="125" t="n">
        <f aca="false">20*LOG10(MAX(D124,0.000000000001)/$K$3)</f>
        <v>25.0017335290809</v>
      </c>
    </row>
    <row r="125" customFormat="false" ht="15" hidden="false" customHeight="false" outlineLevel="0" collapsed="false">
      <c r="A125" s="126" t="n">
        <f aca="false">A124+$F$3</f>
        <v>1190</v>
      </c>
      <c r="B125" s="127" t="n">
        <f aca="false">SUMPRODUCT(固有振動数!$Q$6:$Q$22*(1-($A125/固有振動数!$O$6:$O$22)^2)/((1-($A125/固有振動数!$O$6:$O$22)^2)^2+固有振動数!$P$6:$P$22^2))</f>
        <v>17.7987684670225</v>
      </c>
      <c r="C125" s="127" t="n">
        <f aca="false">-SUMPRODUCT(固有振動数!$Q$6:$Q$22*固有振動数!$P$6:$P$22/((1-($A125/固有振動数!$O$6:$O$22)^2)^2+固有振動数!$P$6:$P$22^2))</f>
        <v>-0.421757370934996</v>
      </c>
      <c r="D125" s="128" t="n">
        <f aca="false">SQRT(B125^2+C125^2)</f>
        <v>17.8037647204913</v>
      </c>
      <c r="E125" s="129" t="n">
        <f aca="false">20*LOG10(MAX(D125,0.000000000001)/$K$3)</f>
        <v>25.0102369275911</v>
      </c>
    </row>
    <row r="126" customFormat="false" ht="15" hidden="false" customHeight="false" outlineLevel="0" collapsed="false">
      <c r="A126" s="122" t="n">
        <f aca="false">A125+$F$3</f>
        <v>1200</v>
      </c>
      <c r="B126" s="123" t="n">
        <f aca="false">SUMPRODUCT(固有振動数!$Q$6:$Q$22*(1-($A126/固有振動数!$O$6:$O$22)^2)/((1-($A126/固有振動数!$O$6:$O$22)^2)^2+固有振動数!$P$6:$P$22^2))</f>
        <v>17.8165066746864</v>
      </c>
      <c r="C126" s="123" t="n">
        <f aca="false">-SUMPRODUCT(固有振動数!$Q$6:$Q$22*固有振動数!$P$6:$P$22/((1-($A126/固有振動数!$O$6:$O$22)^2)^2+固有振動数!$P$6:$P$22^2))</f>
        <v>-0.422810311414265</v>
      </c>
      <c r="D126" s="124" t="n">
        <f aca="false">SQRT(B126^2+C126^2)</f>
        <v>17.8215229048637</v>
      </c>
      <c r="E126" s="125" t="n">
        <f aca="false">20*LOG10(MAX(D126,0.000000000001)/$K$3)</f>
        <v>25.0188962621643</v>
      </c>
    </row>
    <row r="127" customFormat="false" ht="15" hidden="false" customHeight="false" outlineLevel="0" collapsed="false">
      <c r="A127" s="126" t="n">
        <f aca="false">A126+$F$3</f>
        <v>1210</v>
      </c>
      <c r="B127" s="127" t="n">
        <f aca="false">SUMPRODUCT(固有振動数!$Q$6:$Q$22*(1-($A127/固有振動数!$O$6:$O$22)^2)/((1-($A127/固有振動数!$O$6:$O$22)^2)^2+固有振動数!$P$6:$P$22^2))</f>
        <v>17.8345901889585</v>
      </c>
      <c r="C127" s="127" t="n">
        <f aca="false">-SUMPRODUCT(固有振動数!$Q$6:$Q$22*固有振動数!$P$6:$P$22/((1-($A127/固有振動数!$O$6:$O$22)^2)^2+固有振動数!$P$6:$P$22^2))</f>
        <v>-0.423890939202194</v>
      </c>
      <c r="D127" s="128" t="n">
        <f aca="false">SQRT(B127^2+C127^2)</f>
        <v>17.8396269786236</v>
      </c>
      <c r="E127" s="129" t="n">
        <f aca="false">20*LOG10(MAX(D127,0.000000000001)/$K$3)</f>
        <v>25.0277153832919</v>
      </c>
    </row>
    <row r="128" customFormat="false" ht="15" hidden="false" customHeight="false" outlineLevel="0" collapsed="false">
      <c r="A128" s="122" t="n">
        <f aca="false">A127+$F$3</f>
        <v>1220</v>
      </c>
      <c r="B128" s="123" t="n">
        <f aca="false">SUMPRODUCT(固有振動数!$Q$6:$Q$22*(1-($A128/固有振動数!$O$6:$O$22)^2)/((1-($A128/固有振動数!$O$6:$O$22)^2)^2+固有振動数!$P$6:$P$22^2))</f>
        <v>17.8530282404341</v>
      </c>
      <c r="C128" s="123" t="n">
        <f aca="false">-SUMPRODUCT(固有振動数!$Q$6:$Q$22*固有振動数!$P$6:$P$22/((1-($A128/固有振動数!$O$6:$O$22)^2)^2+固有振動数!$P$6:$P$22^2))</f>
        <v>-0.425000289866239</v>
      </c>
      <c r="D128" s="124" t="n">
        <f aca="false">SQRT(B128^2+C128^2)</f>
        <v>17.858086196458</v>
      </c>
      <c r="E128" s="125" t="n">
        <f aca="false">20*LOG10(MAX(D128,0.000000000001)/$K$3)</f>
        <v>25.0366982972628</v>
      </c>
    </row>
    <row r="129" customFormat="false" ht="15" hidden="false" customHeight="false" outlineLevel="0" collapsed="false">
      <c r="A129" s="126" t="n">
        <f aca="false">A128+$F$3</f>
        <v>1230</v>
      </c>
      <c r="B129" s="127" t="n">
        <f aca="false">SUMPRODUCT(固有振動数!$Q$6:$Q$22*(1-($A129/固有振動数!$O$6:$O$22)^2)/((1-($A129/固有振動数!$O$6:$O$22)^2)^2+固有振動数!$P$6:$P$22^2))</f>
        <v>17.8718304504877</v>
      </c>
      <c r="C129" s="127" t="n">
        <f aca="false">-SUMPRODUCT(固有振動数!$Q$6:$Q$22*固有振動数!$P$6:$P$22/((1-($A129/固有振動数!$O$6:$O$22)^2)^2+固有振動数!$P$6:$P$22^2))</f>
        <v>-0.426139453385725</v>
      </c>
      <c r="D129" s="128" t="n">
        <f aca="false">SQRT(B129^2+C129^2)</f>
        <v>17.876910205198</v>
      </c>
      <c r="E129" s="129" t="n">
        <f aca="false">20*LOG10(MAX(D129,0.000000000001)/$K$3)</f>
        <v>25.0458491742209</v>
      </c>
    </row>
    <row r="130" customFormat="false" ht="15" hidden="false" customHeight="false" outlineLevel="0" collapsed="false">
      <c r="A130" s="122" t="n">
        <f aca="false">A129+$F$3</f>
        <v>1240</v>
      </c>
      <c r="B130" s="123" t="n">
        <f aca="false">SUMPRODUCT(固有振動数!$Q$6:$Q$22*(1-($A130/固有振動数!$O$6:$O$22)^2)/((1-($A130/固有振動数!$O$6:$O$22)^2)^2+固有振動数!$P$6:$P$22^2))</f>
        <v>17.8910068524162</v>
      </c>
      <c r="C130" s="123" t="n">
        <f aca="false">-SUMPRODUCT(固有振動数!$Q$6:$Q$22*固有振動数!$P$6:$P$22/((1-($A130/固有振動数!$O$6:$O$22)^2)^2+固有振動数!$P$6:$P$22^2))</f>
        <v>-0.427309577694379</v>
      </c>
      <c r="D130" s="124" t="n">
        <f aca="false">SQRT(B130^2+C130^2)</f>
        <v>17.8961090650563</v>
      </c>
      <c r="E130" s="125" t="n">
        <f aca="false">20*LOG10(MAX(D130,0.000000000001)/$K$3)</f>
        <v>25.0551723567377</v>
      </c>
    </row>
    <row r="131" customFormat="false" ht="15" hidden="false" customHeight="false" outlineLevel="0" collapsed="false">
      <c r="A131" s="126" t="n">
        <f aca="false">A130+$F$3</f>
        <v>1250</v>
      </c>
      <c r="B131" s="127" t="n">
        <f aca="false">SUMPRODUCT(固有振動数!$Q$6:$Q$22*(1-($A131/固有振動数!$O$6:$O$22)^2)/((1-($A131/固有振動数!$O$6:$O$22)^2)^2+固有振動数!$P$6:$P$22^2))</f>
        <v>17.9105679139905</v>
      </c>
      <c r="C131" s="127" t="n">
        <f aca="false">-SUMPRODUCT(固有振動数!$Q$6:$Q$22*固有振動数!$P$6:$P$22/((1-($A131/固有振動数!$O$6:$O$22)^2)^2+固有振動数!$P$6:$P$22^2))</f>
        <v>-0.428511872498827</v>
      </c>
      <c r="D131" s="128" t="n">
        <f aca="false">SQRT(B131^2+C131^2)</f>
        <v>17.9156932722833</v>
      </c>
      <c r="E131" s="129" t="n">
        <f aca="false">20*LOG10(MAX(D131,0.000000000001)/$K$3)</f>
        <v>25.0646723689391</v>
      </c>
    </row>
    <row r="132" customFormat="false" ht="15" hidden="false" customHeight="false" outlineLevel="0" collapsed="false">
      <c r="A132" s="122" t="n">
        <f aca="false">A131+$F$3</f>
        <v>1260</v>
      </c>
      <c r="B132" s="123" t="n">
        <f aca="false">SUMPRODUCT(固有振動数!$Q$6:$Q$22*(1-($A132/固有振動数!$O$6:$O$22)^2)/((1-($A132/固有振動数!$O$6:$O$22)^2)^2+固有振動数!$P$6:$P$22^2))</f>
        <v>17.9305245615294</v>
      </c>
      <c r="C132" s="123" t="n">
        <f aca="false">-SUMPRODUCT(固有振動数!$Q$6:$Q$22*固有振動数!$P$6:$P$22/((1-($A132/固有振動数!$O$6:$O$22)^2)^2+固有振動数!$P$6:$P$22^2))</f>
        <v>-0.429747613398055</v>
      </c>
      <c r="D132" s="124" t="n">
        <f aca="false">SQRT(B132^2+C132^2)</f>
        <v>17.9356737833523</v>
      </c>
      <c r="E132" s="125" t="n">
        <f aca="false">20*LOG10(MAX(D132,0.000000000001)/$K$3)</f>
        <v>25.0743539262285</v>
      </c>
    </row>
    <row r="133" customFormat="false" ht="15" hidden="false" customHeight="false" outlineLevel="0" collapsed="false">
      <c r="A133" s="126" t="n">
        <f aca="false">A132+$F$3</f>
        <v>1270</v>
      </c>
      <c r="B133" s="127" t="n">
        <f aca="false">SUMPRODUCT(固有振動数!$Q$6:$Q$22*(1-($A133/固有振動数!$O$6:$O$22)^2)/((1-($A133/固有振動数!$O$6:$O$22)^2)^2+固有振動数!$P$6:$P$22^2))</f>
        <v>17.9508882056153</v>
      </c>
      <c r="C133" s="127" t="n">
        <f aca="false">-SUMPRODUCT(固有振動数!$Q$6:$Q$22*固有振動数!$P$6:$P$22/((1-($A133/固有振動数!$O$6:$O$22)^2)^2+固有振動数!$P$6:$P$22^2))</f>
        <v>-0.431018146331424</v>
      </c>
      <c r="D133" s="128" t="n">
        <f aca="false">SQRT(B133^2+C133^2)</f>
        <v>17.9560620407974</v>
      </c>
      <c r="E133" s="129" t="n">
        <f aca="false">20*LOG10(MAX(D133,0.000000000001)/$K$3)</f>
        <v>25.084221945652</v>
      </c>
    </row>
    <row r="134" customFormat="false" ht="15" hidden="false" customHeight="false" outlineLevel="0" collapsed="false">
      <c r="A134" s="122" t="n">
        <f aca="false">A133+$F$3</f>
        <v>1280</v>
      </c>
      <c r="B134" s="123" t="n">
        <f aca="false">SUMPRODUCT(固有振動数!$Q$6:$Q$22*(1-($A134/固有振動数!$O$6:$O$22)^2)/((1-($A134/固有振動数!$O$6:$O$22)^2)^2+固有振動数!$P$6:$P$22^2))</f>
        <v>17.9716707685857</v>
      </c>
      <c r="C134" s="123" t="n">
        <f aca="false">-SUMPRODUCT(固有振動数!$Q$6:$Q$22*固有振動数!$P$6:$P$22/((1-($A134/固有振動数!$O$6:$O$22)^2)^2+固有振動数!$P$6:$P$22^2))</f>
        <v>-0.432324892385723</v>
      </c>
      <c r="D134" s="124" t="n">
        <f aca="false">SQRT(B134^2+C134^2)</f>
        <v>17.9768700008376</v>
      </c>
      <c r="E134" s="125" t="n">
        <f aca="false">20*LOG10(MAX(D134,0.000000000001)/$K$3)</f>
        <v>25.0942815569576</v>
      </c>
    </row>
    <row r="135" customFormat="false" ht="15" hidden="false" customHeight="false" outlineLevel="0" collapsed="false">
      <c r="A135" s="126" t="n">
        <f aca="false">A134+$F$3</f>
        <v>1290</v>
      </c>
      <c r="B135" s="127" t="n">
        <f aca="false">SUMPRODUCT(固有振動数!$Q$6:$Q$22*(1-($A135/固有振動数!$O$6:$O$22)^2)/((1-($A135/固有振動数!$O$6:$O$22)^2)^2+固有振動数!$P$6:$P$22^2))</f>
        <v>17.9928847139452</v>
      </c>
      <c r="C135" s="127" t="n">
        <f aca="false">-SUMPRODUCT(固有振動数!$Q$6:$Q$22*固有振動数!$P$6:$P$22/((1-($A135/固有振動数!$O$6:$O$22)^2)^2+固有振動数!$P$6:$P$22^2))</f>
        <v>-0.433669352994958</v>
      </c>
      <c r="D135" s="128" t="n">
        <f aca="false">SQRT(B135^2+C135^2)</f>
        <v>17.9981101629324</v>
      </c>
      <c r="E135" s="129" t="n">
        <f aca="false">20*LOG10(MAX(D135,0.000000000001)/$K$3)</f>
        <v>25.104538114401</v>
      </c>
    </row>
    <row r="136" customFormat="false" ht="15" hidden="false" customHeight="false" outlineLevel="0" collapsed="false">
      <c r="A136" s="122" t="n">
        <f aca="false">A135+$F$3</f>
        <v>1300</v>
      </c>
      <c r="B136" s="123" t="n">
        <f aca="false">SUMPRODUCT(固有振動数!$Q$6:$Q$22*(1-($A136/固有振動数!$O$6:$O$22)^2)/((1-($A136/固有振動数!$O$6:$O$22)^2)^2+固有振動数!$P$6:$P$22^2))</f>
        <v>18.0145430778574</v>
      </c>
      <c r="C136" s="123" t="n">
        <f aca="false">-SUMPRODUCT(固有振動数!$Q$6:$Q$22*固有振動数!$P$6:$P$22/((1-($A136/固有振動数!$O$6:$O$22)^2)^2+固有振動数!$P$6:$P$22^2))</f>
        <v>-0.435053115570203</v>
      </c>
      <c r="D136" s="124" t="n">
        <f aca="false">SQRT(B136^2+C136^2)</f>
        <v>18.0197956014309</v>
      </c>
      <c r="E136" s="125" t="n">
        <f aca="false">20*LOG10(MAX(D136,0.000000000001)/$K$3)</f>
        <v>25.1149972093602</v>
      </c>
    </row>
    <row r="137" customFormat="false" ht="15" hidden="false" customHeight="false" outlineLevel="0" collapsed="false">
      <c r="A137" s="126" t="n">
        <f aca="false">A136+$F$3</f>
        <v>1310</v>
      </c>
      <c r="B137" s="127" t="n">
        <f aca="false">SUMPRODUCT(固有振動数!$Q$6:$Q$22*(1-($A137/固有振動数!$O$6:$O$22)^2)/((1-($A137/固有振動数!$O$6:$O$22)^2)^2+固有振動数!$P$6:$P$22^2))</f>
        <v>18.0366595028906</v>
      </c>
      <c r="C137" s="127" t="n">
        <f aca="false">-SUMPRODUCT(固有振動数!$Q$6:$Q$22*固有振動数!$P$6:$P$22/((1-($A137/固有振動数!$O$6:$O$22)^2)^2+固有振動数!$P$6:$P$22^2))</f>
        <v>-0.436477859600878</v>
      </c>
      <c r="D137" s="128" t="n">
        <f aca="false">SQRT(B137^2+C137^2)</f>
        <v>18.0419399994883</v>
      </c>
      <c r="E137" s="129" t="n">
        <f aca="false">20*LOG10(MAX(D137,0.000000000001)/$K$3)</f>
        <v>25.125664683823</v>
      </c>
    </row>
    <row r="138" customFormat="false" ht="15" hidden="false" customHeight="false" outlineLevel="0" collapsed="false">
      <c r="A138" s="122" t="n">
        <f aca="false">A137+$F$3</f>
        <v>1320</v>
      </c>
      <c r="B138" s="123" t="n">
        <f aca="false">SUMPRODUCT(固有振動数!$Q$6:$Q$22*(1-($A138/固有振動数!$O$6:$O$22)^2)/((1-($A138/固有振動数!$O$6:$O$22)^2)^2+固有振動数!$P$6:$P$22^2))</f>
        <v>18.0592482742089</v>
      </c>
      <c r="C138" s="123" t="n">
        <f aca="false">-SUMPRODUCT(固有振動数!$Q$6:$Q$22*固有振動数!$P$6:$P$22/((1-($A138/固有振動数!$O$6:$O$22)^2)^2+固有振動数!$P$6:$P$22^2))</f>
        <v>-0.437945363273383</v>
      </c>
      <c r="D138" s="124" t="n">
        <f aca="false">SQRT(B138^2+C138^2)</f>
        <v>18.0645576854439</v>
      </c>
      <c r="E138" s="125" t="n">
        <f aca="false">20*LOG10(MAX(D138,0.000000000001)/$K$3)</f>
        <v>25.1365466448201</v>
      </c>
    </row>
    <row r="139" customFormat="false" ht="15" hidden="false" customHeight="false" outlineLevel="0" collapsed="false">
      <c r="A139" s="126" t="n">
        <f aca="false">A138+$F$3</f>
        <v>1330</v>
      </c>
      <c r="B139" s="127" t="n">
        <f aca="false">SUMPRODUCT(固有振動数!$Q$6:$Q$22*(1-($A139/固有振動数!$O$6:$O$22)^2)/((1-($A139/固有振動数!$O$6:$O$22)^2)^2+固有振動数!$P$6:$P$22^2))</f>
        <v>18.0823243584177</v>
      </c>
      <c r="C139" s="127" t="n">
        <f aca="false">-SUMPRODUCT(固有振動数!$Q$6:$Q$22*固有振動数!$P$6:$P$22/((1-($A139/固有振動数!$O$6:$O$22)^2)^2+固有振動数!$P$6:$P$22^2))</f>
        <v>-0.439457510658094</v>
      </c>
      <c r="D139" s="128" t="n">
        <f aca="false">SQRT(B139^2+C139^2)</f>
        <v>18.0876636718704</v>
      </c>
      <c r="E139" s="129" t="n">
        <f aca="false">20*LOG10(MAX(D139,0.000000000001)/$K$3)</f>
        <v>25.147649479881</v>
      </c>
    </row>
    <row r="140" customFormat="false" ht="15" hidden="false" customHeight="false" outlineLevel="0" collapsed="false">
      <c r="A140" s="122" t="n">
        <f aca="false">A139+$F$3</f>
        <v>1340</v>
      </c>
      <c r="B140" s="123" t="n">
        <f aca="false">SUMPRODUCT(固有振動数!$Q$6:$Q$22*(1-($A140/固有振動数!$O$6:$O$22)^2)/((1-($A140/固有振動数!$O$6:$O$22)^2)^2+固有振動数!$P$6:$P$22^2))</f>
        <v>18.1059034452965</v>
      </c>
      <c r="C140" s="123" t="n">
        <f aca="false">-SUMPRODUCT(固有振動数!$Q$6:$Q$22*固有振動数!$P$6:$P$22/((1-($A140/固有振動数!$O$6:$O$22)^2)^2+固有振動数!$P$6:$P$22^2))</f>
        <v>-0.441016299521526</v>
      </c>
      <c r="D140" s="124" t="n">
        <f aca="false">SQRT(B140^2+C140^2)</f>
        <v>18.11127369753</v>
      </c>
      <c r="E140" s="125" t="n">
        <f aca="false">20*LOG10(MAX(D140,0.000000000001)/$K$3)</f>
        <v>25.1589798736005</v>
      </c>
    </row>
    <row r="141" customFormat="false" ht="15" hidden="false" customHeight="false" outlineLevel="0" collapsed="false">
      <c r="A141" s="126" t="n">
        <f aca="false">A140+$F$3</f>
        <v>1350</v>
      </c>
      <c r="B141" s="127" t="n">
        <f aca="false">SUMPRODUCT(固有振動数!$Q$6:$Q$22*(1-($A141/固有振動数!$O$6:$O$22)^2)/((1-($A141/固有振動数!$O$6:$O$22)^2)^2+固有振動数!$P$6:$P$22^2))</f>
        <v>18.13000199267</v>
      </c>
      <c r="C141" s="127" t="n">
        <f aca="false">-SUMPRODUCT(固有振動数!$Q$6:$Q$22*固有振動数!$P$6:$P$22/((1-($A141/固有振動数!$O$6:$O$22)^2)^2+固有振動数!$P$6:$P$22^2))</f>
        <v>-0.442623849826881</v>
      </c>
      <c r="D141" s="128" t="n">
        <f aca="false">SQRT(B141^2+C141^2)</f>
        <v>18.1354042724901</v>
      </c>
      <c r="E141" s="129" t="n">
        <f aca="false">20*LOG10(MAX(D141,0.000000000001)/$K$3)</f>
        <v>25.1705448254089</v>
      </c>
    </row>
    <row r="142" customFormat="false" ht="15" hidden="false" customHeight="false" outlineLevel="0" collapsed="false">
      <c r="A142" s="122" t="n">
        <f aca="false">A141+$F$3</f>
        <v>1360</v>
      </c>
      <c r="B142" s="123" t="n">
        <f aca="false">SUMPRODUCT(固有振動数!$Q$6:$Q$22*(1-($A142/固有振動数!$O$6:$O$22)^2)/((1-($A142/固有振動数!$O$6:$O$22)^2)^2+固有振動数!$P$6:$P$22^2))</f>
        <v>18.1546372747011</v>
      </c>
      <c r="C142" s="123" t="n">
        <f aca="false">-SUMPRODUCT(固有振動数!$Q$6:$Q$22*固有振動数!$P$6:$P$22/((1-($A142/固有振動数!$O$6:$O$22)^2)^2+固有振動数!$P$6:$P$22^2))</f>
        <v>-0.444282412993583</v>
      </c>
      <c r="D142" s="124" t="n">
        <f aca="false">SQRT(B142^2+C142^2)</f>
        <v>18.1600727266842</v>
      </c>
      <c r="E142" s="125" t="n">
        <f aca="false">20*LOG10(MAX(D142,0.000000000001)/$K$3)</f>
        <v>25.1823516686511</v>
      </c>
    </row>
    <row r="143" customFormat="false" ht="15" hidden="false" customHeight="false" outlineLevel="0" collapsed="false">
      <c r="A143" s="126" t="n">
        <f aca="false">A142+$F$3</f>
        <v>1370</v>
      </c>
      <c r="B143" s="127" t="n">
        <f aca="false">SUMPRODUCT(固有振動数!$Q$6:$Q$22*(1-($A143/固有振動数!$O$6:$O$22)^2)/((1-($A143/固有振動数!$O$6:$O$22)^2)^2+固有振動数!$P$6:$P$22^2))</f>
        <v>18.179827433912</v>
      </c>
      <c r="C143" s="127" t="n">
        <f aca="false">-SUMPRODUCT(固有振動数!$Q$6:$Q$22*固有振動数!$P$6:$P$22/((1-($A143/固有振動数!$O$6:$O$22)^2)^2+固有振動数!$P$6:$P$22^2))</f>
        <v>-0.445994381994616</v>
      </c>
      <c r="D143" s="128" t="n">
        <f aca="false">SQRT(B143^2+C143^2)</f>
        <v>18.1852972622278</v>
      </c>
      <c r="E143" s="129" t="n">
        <f aca="false">20*LOG10(MAX(D143,0.000000000001)/$K$3)</f>
        <v>25.1944080910866</v>
      </c>
    </row>
    <row r="144" customFormat="false" ht="15" hidden="false" customHeight="false" outlineLevel="0" collapsed="false">
      <c r="A144" s="122" t="n">
        <f aca="false">A143+$F$3</f>
        <v>1380</v>
      </c>
      <c r="B144" s="123" t="n">
        <f aca="false">SUMPRODUCT(固有振動数!$Q$6:$Q$22*(1-($A144/固有振動数!$O$6:$O$22)^2)/((1-($A144/固有振動数!$O$6:$O$22)^2)^2+固有振動数!$P$6:$P$22^2))</f>
        <v>18.2055915372762</v>
      </c>
      <c r="C144" s="123" t="n">
        <f aca="false">-SUMPRODUCT(固有振動数!$Q$6:$Q$22*固有振動数!$P$6:$P$22/((1-($A144/固有振動数!$O$6:$O$22)^2)^2+固有振動数!$P$6:$P$22^2))</f>
        <v>-0.44776230237985</v>
      </c>
      <c r="D144" s="124" t="n">
        <f aca="false">SQRT(B144^2+C144^2)</f>
        <v>18.2110970098337</v>
      </c>
      <c r="E144" s="125" t="n">
        <f aca="false">20*LOG10(MAX(D144,0.000000000001)/$K$3)</f>
        <v>25.2067221569391</v>
      </c>
    </row>
    <row r="145" customFormat="false" ht="15" hidden="false" customHeight="false" outlineLevel="0" collapsed="false">
      <c r="A145" s="126" t="n">
        <f aca="false">A144+$F$3</f>
        <v>1390</v>
      </c>
      <c r="B145" s="127" t="n">
        <f aca="false">SUMPRODUCT(固有振動数!$Q$6:$Q$22*(1-($A145/固有振動数!$O$6:$O$22)^2)/((1-($A145/固有振動数!$O$6:$O$22)^2)^2+固有振動数!$P$6:$P$22^2))</f>
        <v>18.2319496367585</v>
      </c>
      <c r="C145" s="127" t="n">
        <f aca="false">-SUMPRODUCT(固有振動数!$Q$6:$Q$22*固有振動数!$P$6:$P$22/((1-($A145/固有振動数!$O$6:$O$22)^2)^2+固有振動数!$P$6:$P$22^2))</f>
        <v>-0.449588884324178</v>
      </c>
      <c r="D145" s="128" t="n">
        <f aca="false">SQRT(B145^2+C145^2)</f>
        <v>18.2374920897092</v>
      </c>
      <c r="E145" s="129" t="n">
        <f aca="false">20*LOG10(MAX(D145,0.000000000001)/$K$3)</f>
        <v>25.2193023306318</v>
      </c>
    </row>
    <row r="146" customFormat="false" ht="15" hidden="false" customHeight="false" outlineLevel="0" collapsed="false">
      <c r="A146" s="122" t="n">
        <f aca="false">A145+$F$3</f>
        <v>1400</v>
      </c>
      <c r="B146" s="123" t="n">
        <f aca="false">SUMPRODUCT(固有振動数!$Q$6:$Q$22*(1-($A146/固有振動数!$O$6:$O$22)^2)/((1-($A146/固有振動数!$O$6:$O$22)^2)^2+固有振動数!$P$6:$P$22^2))</f>
        <v>18.2589228347212</v>
      </c>
      <c r="C146" s="123" t="n">
        <f aca="false">-SUMPRODUCT(固有振動数!$Q$6:$Q$22*固有振動数!$P$6:$P$22/((1-($A146/固有振動数!$O$6:$O$22)^2)^2+固有振動数!$P$6:$P$22^2))</f>
        <v>-0.451477015811287</v>
      </c>
      <c r="D146" s="124" t="n">
        <f aca="false">SQRT(B146^2+C146^2)</f>
        <v>18.2645036773549</v>
      </c>
      <c r="E146" s="125" t="n">
        <f aca="false">20*LOG10(MAX(D146,0.000000000001)/$K$3)</f>
        <v>25.2321575023634</v>
      </c>
    </row>
    <row r="147" customFormat="false" ht="15" hidden="false" customHeight="false" outlineLevel="0" collapsed="false">
      <c r="A147" s="126" t="n">
        <f aca="false">A146+$F$3</f>
        <v>1410</v>
      </c>
      <c r="B147" s="127" t="n">
        <f aca="false">SUMPRODUCT(固有振動数!$Q$6:$Q$22*(1-($A147/固有振動数!$O$6:$O$22)^2)/((1-($A147/固有振動数!$O$6:$O$22)^2)^2+固有振動数!$P$6:$P$22^2))</f>
        <v>18.2865333546609</v>
      </c>
      <c r="C147" s="127" t="n">
        <f aca="false">-SUMPRODUCT(固有振動数!$Q$6:$Q$22*固有振動数!$P$6:$P$22/((1-($A147/固有振動数!$O$6:$O$22)^2)^2+固有振動数!$P$6:$P$22^2))</f>
        <v>-0.453429777077641</v>
      </c>
      <c r="D147" s="128" t="n">
        <f aca="false">SQRT(B147^2+C147^2)</f>
        <v>18.2921540747356</v>
      </c>
      <c r="E147" s="129" t="n">
        <f aca="false">20*LOG10(MAX(D147,0.000000000001)/$K$3)</f>
        <v>25.2452970156923</v>
      </c>
    </row>
    <row r="148" customFormat="false" ht="15" hidden="false" customHeight="false" outlineLevel="0" collapsed="false">
      <c r="A148" s="122" t="n">
        <f aca="false">A147+$F$3</f>
        <v>1420</v>
      </c>
      <c r="B148" s="123" t="n">
        <f aca="false">SUMPRODUCT(固有振動数!$Q$6:$Q$22*(1-($A148/固有振動数!$O$6:$O$22)^2)/((1-($A148/固有振動数!$O$6:$O$22)^2)^2+固有振動数!$P$6:$P$22^2))</f>
        <v>18.3148046177892</v>
      </c>
      <c r="C148" s="123" t="n">
        <f aca="false">-SUMPRODUCT(固有振動数!$Q$6:$Q$22*固有振動数!$P$6:$P$22/((1-($A148/固有振動数!$O$6:$O$22)^2)^2+固有振動数!$P$6:$P$22^2))</f>
        <v>-0.455450456456832</v>
      </c>
      <c r="D148" s="124" t="n">
        <f aca="false">SQRT(B148^2+C148^2)</f>
        <v>18.3204667873414</v>
      </c>
      <c r="E148" s="125" t="n">
        <f aca="false">20*LOG10(MAX(D148,0.000000000001)/$K$3)</f>
        <v>25.2587306973178</v>
      </c>
    </row>
    <row r="149" customFormat="false" ht="15" hidden="false" customHeight="false" outlineLevel="0" collapsed="false">
      <c r="A149" s="126" t="n">
        <f aca="false">A148+$F$3</f>
        <v>1430</v>
      </c>
      <c r="B149" s="127" t="n">
        <f aca="false">SUMPRODUCT(固有振動数!$Q$6:$Q$22*(1-($A149/固有振動数!$O$6:$O$22)^2)/((1-($A149/固有振動数!$O$6:$O$22)^2)^2+固有振動数!$P$6:$P$22^2))</f>
        <v>18.3437613260327</v>
      </c>
      <c r="C149" s="127" t="n">
        <f aca="false">-SUMPRODUCT(固有振動数!$Q$6:$Q$22*固有振動数!$P$6:$P$22/((1-($A149/固有振動数!$O$6:$O$22)^2)^2+固有振動数!$P$6:$P$22^2))</f>
        <v>-0.457542567782313</v>
      </c>
      <c r="D149" s="128" t="n">
        <f aca="false">SQRT(B149^2+C149^2)</f>
        <v>18.3494666077187</v>
      </c>
      <c r="E149" s="129" t="n">
        <f aca="false">20*LOG10(MAX(D149,0.000000000001)/$K$3)</f>
        <v>25.2724688892649</v>
      </c>
    </row>
    <row r="150" customFormat="false" ht="15" hidden="false" customHeight="false" outlineLevel="0" collapsed="false">
      <c r="A150" s="122" t="n">
        <f aca="false">A149+$F$3</f>
        <v>1440</v>
      </c>
      <c r="B150" s="123" t="n">
        <f aca="false">SUMPRODUCT(固有振動数!$Q$6:$Q$22*(1-($A150/固有振動数!$O$6:$O$22)^2)/((1-($A150/固有振動数!$O$6:$O$22)^2)^2+固有振動数!$P$6:$P$22^2))</f>
        <v>18.3734295520867</v>
      </c>
      <c r="C150" s="123" t="n">
        <f aca="false">-SUMPRODUCT(固有振動数!$Q$6:$Q$22*固有振動数!$P$6:$P$22/((1-($A150/固有振動数!$O$6:$O$22)^2)^2+固有振動数!$P$6:$P$22^2))</f>
        <v>-0.45970986952688</v>
      </c>
      <c r="D150" s="124" t="n">
        <f aca="false">SQRT(B150^2+C150^2)</f>
        <v>18.3791797061141</v>
      </c>
      <c r="E150" s="125" t="n">
        <f aca="false">20*LOG10(MAX(D150,0.000000000001)/$K$3)</f>
        <v>25.2865224837025</v>
      </c>
    </row>
    <row r="151" customFormat="false" ht="15" hidden="false" customHeight="false" outlineLevel="0" collapsed="false">
      <c r="A151" s="126" t="n">
        <f aca="false">A150+$F$3</f>
        <v>1450</v>
      </c>
      <c r="B151" s="127" t="n">
        <f aca="false">SUMPRODUCT(固有振動数!$Q$6:$Q$22*(1-($A151/固有振動数!$O$6:$O$22)^2)/((1-($A151/固有振動数!$O$6:$O$22)^2)^2+固有振動数!$P$6:$P$22^2))</f>
        <v>18.4038368372374</v>
      </c>
      <c r="C151" s="127" t="n">
        <f aca="false">-SUMPRODUCT(固有振動数!$Q$6:$Q$22*固有振動数!$P$6:$P$22/((1-($A151/固有振動数!$O$6:$O$22)^2)^2+固有振動数!$P$6:$P$22^2))</f>
        <v>-0.461956385880665</v>
      </c>
      <c r="D151" s="128" t="n">
        <f aca="false">SQRT(B151^2+C151^2)</f>
        <v>18.4096337289505</v>
      </c>
      <c r="E151" s="129" t="n">
        <f aca="false">20*LOG10(MAX(D151,0.000000000001)/$K$3)</f>
        <v>25.3009029606527</v>
      </c>
    </row>
    <row r="152" customFormat="false" ht="15" hidden="false" customHeight="false" outlineLevel="0" collapsed="false">
      <c r="A152" s="122" t="n">
        <f aca="false">A151+$F$3</f>
        <v>1460</v>
      </c>
      <c r="B152" s="123" t="n">
        <f aca="false">SUMPRODUCT(固有振動数!$Q$6:$Q$22*(1-($A152/固有振動数!$O$6:$O$22)^2)/((1-($A152/固有振動数!$O$6:$O$22)^2)^2+固有振動数!$P$6:$P$22^2))</f>
        <v>18.4350122977433</v>
      </c>
      <c r="C152" s="123" t="n">
        <f aca="false">-SUMPRODUCT(固有振動数!$Q$6:$Q$22*固有振動数!$P$6:$P$22/((1-($A152/固有振動数!$O$6:$O$22)^2)^2+固有振動数!$P$6:$P$22^2))</f>
        <v>-0.464286429996146</v>
      </c>
      <c r="D152" s="124" t="n">
        <f aca="false">SQRT(B152^2+C152^2)</f>
        <v>18.4408579059388</v>
      </c>
      <c r="E152" s="125" t="n">
        <f aca="false">20*LOG10(MAX(D152,0.000000000001)/$K$3)</f>
        <v>25.3156224288733</v>
      </c>
    </row>
    <row r="153" customFormat="false" ht="15" hidden="false" customHeight="false" outlineLevel="0" collapsed="false">
      <c r="A153" s="126" t="n">
        <f aca="false">A152+$F$3</f>
        <v>1470</v>
      </c>
      <c r="B153" s="127" t="n">
        <f aca="false">SUMPRODUCT(固有振動数!$Q$6:$Q$22*(1-($A153/固有振動数!$O$6:$O$22)^2)/((1-($A153/固有振動数!$O$6:$O$22)^2)^2+固有振動数!$P$6:$P$22^2))</f>
        <v>18.4669867406683</v>
      </c>
      <c r="C153" s="127" t="n">
        <f aca="false">-SUMPRODUCT(固有振動数!$Q$6:$Q$22*固有振動数!$P$6:$P$22/((1-($A153/固有振動数!$O$6:$O$22)^2)^2+固有振動数!$P$6:$P$22^2))</f>
        <v>-0.466704629659573</v>
      </c>
      <c r="D153" s="128" t="n">
        <f aca="false">SQRT(B153^2+C153^2)</f>
        <v>18.4728831667221</v>
      </c>
      <c r="E153" s="129" t="n">
        <f aca="false">20*LOG10(MAX(D153,0.000000000001)/$K$3)</f>
        <v>25.3306936702322</v>
      </c>
    </row>
    <row r="154" customFormat="false" ht="15" hidden="false" customHeight="false" outlineLevel="0" collapsed="false">
      <c r="A154" s="122" t="n">
        <f aca="false">A153+$F$3</f>
        <v>1480</v>
      </c>
      <c r="B154" s="123" t="n">
        <f aca="false">SUMPRODUCT(固有振動数!$Q$6:$Q$22*(1-($A154/固有振動数!$O$6:$O$22)^2)/((1-($A154/固有振動数!$O$6:$O$22)^2)^2+固有振動数!$P$6:$P$22^2))</f>
        <v>18.4997927901585</v>
      </c>
      <c r="C154" s="123" t="n">
        <f aca="false">-SUMPRODUCT(固有振動数!$Q$6:$Q$22*固有振動数!$P$6:$P$22/((1-($A154/固有振動数!$O$6:$O$22)^2)^2+固有振動数!$P$6:$P$22^2))</f>
        <v>-0.469215955683657</v>
      </c>
      <c r="D154" s="124" t="n">
        <f aca="false">SQRT(B154^2+C154^2)</f>
        <v>18.5057422680602</v>
      </c>
      <c r="E154" s="125" t="n">
        <f aca="false">20*LOG10(MAX(D154,0.000000000001)/$K$3)</f>
        <v>25.3461301879282</v>
      </c>
    </row>
    <row r="155" customFormat="false" ht="15" hidden="false" customHeight="false" outlineLevel="0" collapsed="false">
      <c r="A155" s="126" t="n">
        <f aca="false">A154+$F$3</f>
        <v>1490</v>
      </c>
      <c r="B155" s="127" t="n">
        <f aca="false">SUMPRODUCT(固有振動数!$Q$6:$Q$22*(1-($A155/固有振動数!$O$6:$O$22)^2)/((1-($A155/固有振動数!$O$6:$O$22)^2)^2+固有振動数!$P$6:$P$22^2))</f>
        <v>18.5334650252826</v>
      </c>
      <c r="C155" s="127" t="n">
        <f aca="false">-SUMPRODUCT(固有振動数!$Q$6:$Q$22*固有振動数!$P$6:$P$22/((1-($A155/固有振動数!$O$6:$O$22)^2)^2+固有振動数!$P$6:$P$22^2))</f>
        <v>-0.471825753357422</v>
      </c>
      <c r="D155" s="128" t="n">
        <f aca="false">SQRT(B155^2+C155^2)</f>
        <v>18.5394699326843</v>
      </c>
      <c r="E155" s="129" t="n">
        <f aca="false">20*LOG10(MAX(D155,0.000000000001)/$K$3)</f>
        <v>25.3619462589515</v>
      </c>
    </row>
    <row r="156" customFormat="false" ht="15" hidden="false" customHeight="false" outlineLevel="0" collapsed="false">
      <c r="A156" s="122" t="n">
        <f aca="false">A155+$F$3</f>
        <v>1500</v>
      </c>
      <c r="B156" s="123" t="n">
        <f aca="false">SUMPRODUCT(固有振動数!$Q$6:$Q$22*(1-($A156/固有振動数!$O$6:$O$22)^2)/((1-($A156/固有振動数!$O$6:$O$22)^2)^2+固有振動数!$P$6:$P$22^2))</f>
        <v>18.5680401306908</v>
      </c>
      <c r="C156" s="123" t="n">
        <f aca="false">-SUMPRODUCT(固有振動数!$Q$6:$Q$22*固有振動数!$P$6:$P$22/((1-($A156/固有振動数!$O$6:$O$22)^2)^2+固有振動数!$P$6:$P$22^2))</f>
        <v>-0.474539777336557</v>
      </c>
      <c r="D156" s="124" t="n">
        <f aca="false">SQRT(B156^2+C156^2)</f>
        <v>18.5741030010932</v>
      </c>
      <c r="E156" s="125" t="n">
        <f aca="false">20*LOG10(MAX(D156,0.000000000001)/$K$3)</f>
        <v>25.3781569912289</v>
      </c>
    </row>
    <row r="157" customFormat="false" ht="15" hidden="false" customHeight="false" outlineLevel="0" collapsed="false">
      <c r="A157" s="126" t="n">
        <f aca="false">A156+$F$3</f>
        <v>1510</v>
      </c>
      <c r="B157" s="127" t="n">
        <f aca="false">SUMPRODUCT(固有振動数!$Q$6:$Q$22*(1-($A157/固有振動数!$O$6:$O$22)^2)/((1-($A157/固有振動数!$O$6:$O$22)^2)^2+固有振動数!$P$6:$P$22^2))</f>
        <v>18.6035570615066</v>
      </c>
      <c r="C157" s="127" t="n">
        <f aca="false">-SUMPRODUCT(固有振動数!$Q$6:$Q$22*固有振動数!$P$6:$P$22/((1-($A157/固有振動数!$O$6:$O$22)^2)^2+固有振動数!$P$6:$P$22^2))</f>
        <v>-0.477364230412616</v>
      </c>
      <c r="D157" s="128" t="n">
        <f aca="false">SQRT(B157^2+C157^2)</f>
        <v>18.6096805977214</v>
      </c>
      <c r="E157" s="129" t="n">
        <f aca="false">20*LOG10(MAX(D157,0.000000000001)/$K$3)</f>
        <v>25.3947783859496</v>
      </c>
    </row>
    <row r="158" customFormat="false" ht="15" hidden="false" customHeight="false" outlineLevel="0" collapsed="false">
      <c r="A158" s="122" t="n">
        <f aca="false">A157+$F$3</f>
        <v>1520</v>
      </c>
      <c r="B158" s="123" t="n">
        <f aca="false">SUMPRODUCT(固有振動数!$Q$6:$Q$22*(1-($A158/固有振動数!$O$6:$O$22)^2)/((1-($A158/固有振動数!$O$6:$O$22)^2)^2+固有振動数!$P$6:$P$22^2))</f>
        <v>18.6400572240471</v>
      </c>
      <c r="C158" s="123" t="n">
        <f aca="false">-SUMPRODUCT(固有振動数!$Q$6:$Q$22*固有振動数!$P$6:$P$22/((1-($A158/固有振動数!$O$6:$O$22)^2)^2+固有振動数!$P$6:$P$22^2))</f>
        <v>-0.480305806663369</v>
      </c>
      <c r="D158" s="124" t="n">
        <f aca="false">SQRT(B158^2+C158^2)</f>
        <v>18.646244313096</v>
      </c>
      <c r="E158" s="125" t="n">
        <f aca="false">20*LOG10(MAX(D158,0.000000000001)/$K$3)</f>
        <v>25.4118274056278</v>
      </c>
    </row>
    <row r="159" customFormat="false" ht="15" hidden="false" customHeight="false" outlineLevel="0" collapsed="false">
      <c r="A159" s="126" t="n">
        <f aca="false">A158+$F$3</f>
        <v>1530</v>
      </c>
      <c r="B159" s="127" t="n">
        <f aca="false">SUMPRODUCT(固有振動数!$Q$6:$Q$22*(1-($A159/固有振動数!$O$6:$O$22)^2)/((1-($A159/固有振動数!$O$6:$O$22)^2)^2+固有振動数!$P$6:$P$22^2))</f>
        <v>18.677584674175</v>
      </c>
      <c r="C159" s="127" t="n">
        <f aca="false">-SUMPRODUCT(固有振動数!$Q$6:$Q$22*固有振動数!$P$6:$P$22/((1-($A159/固有振動数!$O$6:$O$22)^2)^2+固有振動数!$P$6:$P$22^2))</f>
        <v>-0.483371739561094</v>
      </c>
      <c r="D159" s="128" t="n">
        <f aca="false">SQRT(B159^2+C159^2)</f>
        <v>18.6838384038073</v>
      </c>
      <c r="E159" s="129" t="n">
        <f aca="false">20*LOG10(MAX(D159,0.000000000001)/$K$3)</f>
        <v>25.4293220485317</v>
      </c>
    </row>
    <row r="160" customFormat="false" ht="15" hidden="false" customHeight="false" outlineLevel="0" collapsed="false">
      <c r="A160" s="122" t="n">
        <f aca="false">A159+$F$3</f>
        <v>1540</v>
      </c>
      <c r="B160" s="123" t="n">
        <f aca="false">SUMPRODUCT(固有振動数!$Q$6:$Q$22*(1-($A160/固有振動数!$O$6:$O$22)^2)/((1-($A160/固有振動数!$O$6:$O$22)^2)^2+固有振動数!$P$6:$P$22^2))</f>
        <v>18.7161863353231</v>
      </c>
      <c r="C160" s="123" t="n">
        <f aca="false">-SUMPRODUCT(固有振動数!$Q$6:$Q$22*固有振動数!$P$6:$P$22/((1-($A160/固有振動数!$O$6:$O$22)^2)^2+固有振動数!$P$6:$P$22^2))</f>
        <v>-0.486569855702562</v>
      </c>
      <c r="D160" s="124" t="n">
        <f aca="false">SQRT(B160^2+C160^2)</f>
        <v>18.7225100123625</v>
      </c>
      <c r="E160" s="125" t="n">
        <f aca="false">20*LOG10(MAX(D160,0.000000000001)/$K$3)</f>
        <v>25.4472814301836</v>
      </c>
    </row>
    <row r="161" customFormat="false" ht="15" hidden="false" customHeight="false" outlineLevel="0" collapsed="false">
      <c r="A161" s="126" t="n">
        <f aca="false">A160+$F$3</f>
        <v>1550</v>
      </c>
      <c r="B161" s="127" t="n">
        <f aca="false">SUMPRODUCT(固有振動数!$Q$6:$Q$22*(1-($A161/固有振動数!$O$6:$O$22)^2)/((1-($A161/固有振動数!$O$6:$O$22)^2)^2+固有振動数!$P$6:$P$22^2))</f>
        <v>18.7559122385081</v>
      </c>
      <c r="C161" s="127" t="n">
        <f aca="false">-SUMPRODUCT(固有振動数!$Q$6:$Q$22*固有振動数!$P$6:$P$22/((1-($A161/固有振動数!$O$6:$O$22)^2)^2+固有振動数!$P$6:$P$22^2))</f>
        <v>-0.489908634926282</v>
      </c>
      <c r="D161" s="128" t="n">
        <f aca="false">SQRT(B161^2+C161^2)</f>
        <v>18.7623094092704</v>
      </c>
      <c r="E161" s="129" t="n">
        <f aca="false">20*LOG10(MAX(D161,0.000000000001)/$K$3)</f>
        <v>25.4657258727306</v>
      </c>
    </row>
    <row r="162" customFormat="false" ht="15" hidden="false" customHeight="false" outlineLevel="0" collapsed="false">
      <c r="A162" s="122" t="n">
        <f aca="false">A161+$F$3</f>
        <v>1560</v>
      </c>
      <c r="B162" s="123" t="n">
        <f aca="false">SUMPRODUCT(固有振動数!$Q$6:$Q$22*(1-($A162/固有振動数!$O$6:$O$22)^2)/((1-($A162/固有振動数!$O$6:$O$22)^2)^2+固有振動数!$P$6:$P$22^2))</f>
        <v>18.7968157869656</v>
      </c>
      <c r="C162" s="123" t="n">
        <f aca="false">-SUMPRODUCT(固有振動数!$Q$6:$Q$22*固有振動数!$P$6:$P$22/((1-($A162/固有振動数!$O$6:$O$22)^2)^2+固有振動数!$P$6:$P$22^2))</f>
        <v>-0.493397277702022</v>
      </c>
      <c r="D162" s="124" t="n">
        <f aca="false">SQRT(B162^2+C162^2)</f>
        <v>18.8032902600253</v>
      </c>
      <c r="E162" s="125" t="n">
        <f aca="false">20*LOG10(MAX(D162,0.000000000001)/$K$3)</f>
        <v>25.4846770030878</v>
      </c>
    </row>
    <row r="163" customFormat="false" ht="15" hidden="false" customHeight="false" outlineLevel="0" collapsed="false">
      <c r="A163" s="126" t="n">
        <f aca="false">A162+$F$3</f>
        <v>1570</v>
      </c>
      <c r="B163" s="127" t="n">
        <f aca="false">SUMPRODUCT(固有振動数!$Q$6:$Q$22*(1-($A163/固有振動数!$O$6:$O$22)^2)/((1-($A163/固有振動数!$O$6:$O$22)^2)^2+固有振動数!$P$6:$P$22^2))</f>
        <v>18.8389540484048</v>
      </c>
      <c r="C163" s="127" t="n">
        <f aca="false">-SUMPRODUCT(固有振動数!$Q$6:$Q$22*固有振動数!$P$6:$P$22/((1-($A163/固有振動数!$O$6:$O$22)^2)^2+固有振動数!$P$6:$P$22^2))</f>
        <v>-0.497045780818159</v>
      </c>
      <c r="D163" s="128" t="n">
        <f aca="false">SQRT(B163^2+C163^2)</f>
        <v>18.8455099200349</v>
      </c>
      <c r="E163" s="129" t="n">
        <f aca="false">20*LOG10(MAX(D163,0.000000000001)/$K$3)</f>
        <v>25.504157860877</v>
      </c>
    </row>
    <row r="164" customFormat="false" ht="15" hidden="false" customHeight="false" outlineLevel="0" collapsed="false">
      <c r="A164" s="122" t="n">
        <f aca="false">A163+$F$3</f>
        <v>1580</v>
      </c>
      <c r="B164" s="123" t="n">
        <f aca="false">SUMPRODUCT(固有振動数!$Q$6:$Q$22*(1-($A164/固有振動数!$O$6:$O$22)^2)/((1-($A164/固有振動数!$O$6:$O$22)^2)^2+固有振動数!$P$6:$P$22^2))</f>
        <v>18.8823880783062</v>
      </c>
      <c r="C164" s="123" t="n">
        <f aca="false">-SUMPRODUCT(固有振動数!$Q$6:$Q$22*固有振動数!$P$6:$P$22/((1-($A164/固有振動数!$O$6:$O$22)^2)^2+固有振動数!$P$6:$P$22^2))</f>
        <v>-0.500865022558239</v>
      </c>
      <c r="D164" s="124" t="n">
        <f aca="false">SQRT(B164^2+C164^2)</f>
        <v>18.8890297609639</v>
      </c>
      <c r="E164" s="125" t="n">
        <f aca="false">20*LOG10(MAX(D164,0.000000000001)/$K$3)</f>
        <v>25.5241930173237</v>
      </c>
    </row>
    <row r="165" customFormat="false" ht="15" hidden="false" customHeight="false" outlineLevel="0" collapsed="false">
      <c r="A165" s="126" t="n">
        <f aca="false">A164+$F$3</f>
        <v>1590</v>
      </c>
      <c r="B165" s="127" t="n">
        <f aca="false">SUMPRODUCT(固有振動数!$Q$6:$Q$22*(1-($A165/固有振動数!$O$6:$O$22)^2)/((1-($A165/固有振動数!$O$6:$O$22)^2)^2+固有振動数!$P$6:$P$22^2))</f>
        <v>18.9271832781777</v>
      </c>
      <c r="C165" s="127" t="n">
        <f aca="false">-SUMPRODUCT(固有振動数!$Q$6:$Q$22*固有振動数!$P$6:$P$22/((1-($A165/固有振動数!$O$6:$O$22)^2)^2+固有振動数!$P$6:$P$22^2))</f>
        <v>-0.504866858754234</v>
      </c>
      <c r="D165" s="128" t="n">
        <f aca="false">SQRT(B165^2+C165^2)</f>
        <v>18.9339155324723</v>
      </c>
      <c r="E165" s="129" t="n">
        <f aca="false">20*LOG10(MAX(D165,0.000000000001)/$K$3)</f>
        <v>25.5448087064321</v>
      </c>
    </row>
    <row r="166" customFormat="false" ht="15" hidden="false" customHeight="false" outlineLevel="0" collapsed="false">
      <c r="A166" s="122" t="n">
        <f aca="false">A165+$F$3</f>
        <v>1600</v>
      </c>
      <c r="B166" s="123" t="n">
        <f aca="false">SUMPRODUCT(固有振動数!$Q$6:$Q$22*(1-($A166/固有振動数!$O$6:$O$22)^2)/((1-($A166/固有振動数!$O$6:$O$22)^2)^2+固有振動数!$P$6:$P$22^2))</f>
        <v>18.9734097932583</v>
      </c>
      <c r="C166" s="123" t="n">
        <f aca="false">-SUMPRODUCT(固有振動数!$Q$6:$Q$22*固有振動数!$P$6:$P$22/((1-($A166/固有振動数!$O$6:$O$22)^2)^2+固有振動数!$P$6:$P$22^2))</f>
        <v>-0.509064231336694</v>
      </c>
      <c r="D166" s="124" t="n">
        <f aca="false">SQRT(B166^2+C166^2)</f>
        <v>18.9802377639095</v>
      </c>
      <c r="E166" s="125" t="n">
        <f aca="false">20*LOG10(MAX(D166,0.000000000001)/$K$3)</f>
        <v>25.5660329699468</v>
      </c>
    </row>
    <row r="167" customFormat="false" ht="15" hidden="false" customHeight="false" outlineLevel="0" collapsed="false">
      <c r="A167" s="126" t="n">
        <f aca="false">A166+$F$3</f>
        <v>1610</v>
      </c>
      <c r="B167" s="127" t="n">
        <f aca="false">SUMPRODUCT(固有振動数!$Q$6:$Q$22*(1-($A167/固有振動数!$O$6:$O$22)^2)/((1-($A167/固有振動数!$O$6:$O$22)^2)^2+固有振動数!$P$6:$P$22^2))</f>
        <v>19.0211429548299</v>
      </c>
      <c r="C167" s="127" t="n">
        <f aca="false">-SUMPRODUCT(固有振動数!$Q$6:$Q$22*固有振動数!$P$6:$P$22/((1-($A167/固有振動数!$O$6:$O$22)^2)^2+固有振動数!$P$6:$P$22^2))</f>
        <v>-0.513471291278892</v>
      </c>
      <c r="D167" s="128" t="n">
        <f aca="false">SQRT(B167^2+C167^2)</f>
        <v>19.0280722112106</v>
      </c>
      <c r="E167" s="129" t="n">
        <f aca="false">20*LOG10(MAX(D167,0.000000000001)/$K$3)</f>
        <v>25.5878958178234</v>
      </c>
    </row>
    <row r="168" customFormat="false" ht="15" hidden="false" customHeight="false" outlineLevel="0" collapsed="false">
      <c r="A168" s="122" t="n">
        <f aca="false">A167+$F$3</f>
        <v>1620</v>
      </c>
      <c r="B168" s="123" t="n">
        <f aca="false">SUMPRODUCT(固有振動数!$Q$6:$Q$22*(1-($A168/固有振動数!$O$6:$O$22)^2)/((1-($A168/固有振動数!$O$6:$O$22)^2)^2+固有振動数!$P$6:$P$22^2))</f>
        <v>19.0704637730809</v>
      </c>
      <c r="C168" s="123" t="n">
        <f aca="false">-SUMPRODUCT(固有振動数!$Q$6:$Q$22*固有振動数!$P$6:$P$22/((1-($A168/固有振動数!$O$6:$O$22)^2)^2+固有振動数!$P$6:$P$22^2))</f>
        <v>-0.518103538162544</v>
      </c>
      <c r="D168" s="124" t="n">
        <f aca="false">SQRT(B168^2+C168^2)</f>
        <v>19.0775003550425</v>
      </c>
      <c r="E168" s="125" t="n">
        <f aca="false">20*LOG10(MAX(D168,0.000000000001)/$K$3)</f>
        <v>25.6104294061789</v>
      </c>
    </row>
    <row r="169" customFormat="false" ht="15" hidden="false" customHeight="false" outlineLevel="0" collapsed="false">
      <c r="A169" s="126" t="n">
        <f aca="false">A168+$F$3</f>
        <v>1630</v>
      </c>
      <c r="B169" s="127" t="n">
        <f aca="false">SUMPRODUCT(固有振動数!$Q$6:$Q$22*(1-($A169/固有振動数!$O$6:$O$22)^2)/((1-($A169/固有振動数!$O$6:$O$22)^2)^2+固有振動数!$P$6:$P$22^2))</f>
        <v>19.1214594873875</v>
      </c>
      <c r="C169" s="127" t="n">
        <f aca="false">-SUMPRODUCT(固有振動数!$Q$6:$Q$22*固有振動数!$P$6:$P$22/((1-($A169/固有振動数!$O$6:$O$22)^2)^2+固有振動数!$P$6:$P$22^2))</f>
        <v>-0.522977978988444</v>
      </c>
      <c r="D169" s="128" t="n">
        <f aca="false">SQRT(B169^2+C169^2)</f>
        <v>19.12860995719</v>
      </c>
      <c r="E169" s="129" t="n">
        <f aca="false">20*LOG10(MAX(D169,0.000000000001)/$K$3)</f>
        <v>25.6336682349882</v>
      </c>
    </row>
    <row r="170" customFormat="false" ht="15" hidden="false" customHeight="false" outlineLevel="0" collapsed="false">
      <c r="A170" s="122" t="n">
        <f aca="false">A169+$F$3</f>
        <v>1640</v>
      </c>
      <c r="B170" s="123" t="n">
        <f aca="false">SUMPRODUCT(固有振動数!$Q$6:$Q$22*(1-($A170/固有振動数!$O$6:$O$22)^2)/((1-($A170/固有振動数!$O$6:$O$22)^2)^2+固有振動数!$P$6:$P$22^2))</f>
        <v>19.1742241819629</v>
      </c>
      <c r="C170" s="123" t="n">
        <f aca="false">-SUMPRODUCT(固有振動数!$Q$6:$Q$22*固有振動数!$P$6:$P$22/((1-($A170/固有振動数!$O$6:$O$22)^2)^2+固有振動数!$P$6:$P$22^2))</f>
        <v>-0.528113309330794</v>
      </c>
      <c r="D170" s="124" t="n">
        <f aca="false">SQRT(B170^2+C170^2)</f>
        <v>19.1814956832793</v>
      </c>
      <c r="E170" s="125" t="n">
        <f aca="false">20*LOG10(MAX(D170,0.000000000001)/$K$3)</f>
        <v>25.657649368131</v>
      </c>
    </row>
    <row r="171" customFormat="false" ht="15" hidden="false" customHeight="false" outlineLevel="0" collapsed="false">
      <c r="A171" s="126" t="n">
        <f aca="false">A170+$F$3</f>
        <v>1650</v>
      </c>
      <c r="B171" s="127" t="n">
        <f aca="false">SUMPRODUCT(固有振動数!$Q$6:$Q$22*(1-($A171/固有振動数!$O$6:$O$22)^2)/((1-($A171/固有振動数!$O$6:$O$22)^2)^2+固有振動数!$P$6:$P$22^2))</f>
        <v>19.2288594761037</v>
      </c>
      <c r="C171" s="127" t="n">
        <f aca="false">-SUMPRODUCT(固有振動数!$Q$6:$Q$22*固有振動数!$P$6:$P$22/((1-($A171/固有振動数!$O$6:$O$22)^2)^2+固有振動数!$P$6:$P$22^2))</f>
        <v>-0.533530120507182</v>
      </c>
      <c r="D171" s="128" t="n">
        <f aca="false">SQRT(B171^2+C171^2)</f>
        <v>19.2362598012512</v>
      </c>
      <c r="E171" s="129" t="n">
        <f aca="false">20*LOG10(MAX(D171,0.000000000001)/$K$3)</f>
        <v>25.6824126787942</v>
      </c>
    </row>
    <row r="172" customFormat="false" ht="15" hidden="false" customHeight="false" outlineLevel="0" collapsed="false">
      <c r="A172" s="122" t="n">
        <f aca="false">A171+$F$3</f>
        <v>1660</v>
      </c>
      <c r="B172" s="123" t="n">
        <f aca="false">SUMPRODUCT(固有振動数!$Q$6:$Q$22*(1-($A172/固有振動数!$O$6:$O$22)^2)/((1-($A172/固有振動数!$O$6:$O$22)^2)^2+固有振動数!$P$6:$P$22^2))</f>
        <v>19.2854752997827</v>
      </c>
      <c r="C172" s="123" t="n">
        <f aca="false">-SUMPRODUCT(固有振動数!$Q$6:$Q$22*固有振動数!$P$6:$P$22/((1-($A172/固有振動数!$O$6:$O$22)^2)^2+固有振動数!$P$6:$P$22^2))</f>
        <v>-0.539251137129545</v>
      </c>
      <c r="D172" s="124" t="n">
        <f aca="false">SQRT(B172^2+C172^2)</f>
        <v>19.2930129665489</v>
      </c>
      <c r="E172" s="125" t="n">
        <f aca="false">20*LOG10(MAX(D172,0.000000000001)/$K$3)</f>
        <v>25.7080011237086</v>
      </c>
    </row>
    <row r="173" customFormat="false" ht="15" hidden="false" customHeight="false" outlineLevel="0" collapsed="false">
      <c r="A173" s="126" t="n">
        <f aca="false">A172+$F$3</f>
        <v>1670</v>
      </c>
      <c r="B173" s="127" t="n">
        <f aca="false">SUMPRODUCT(固有振動数!$Q$6:$Q$22*(1-($A173/固有振動数!$O$6:$O$22)^2)/((1-($A173/固有振動数!$O$6:$O$22)^2)^2+固有振動数!$P$6:$P$22^2))</f>
        <v>19.3441907671341</v>
      </c>
      <c r="C173" s="127" t="n">
        <f aca="false">-SUMPRODUCT(固有振動数!$Q$6:$Q$22*固有振動数!$P$6:$P$22/((1-($A173/固有振動数!$O$6:$O$22)^2)^2+固有振動数!$P$6:$P$22^2))</f>
        <v>-0.545301490243535</v>
      </c>
      <c r="D173" s="128" t="n">
        <f aca="false">SQRT(B173^2+C173^2)</f>
        <v>19.351875106835</v>
      </c>
      <c r="E173" s="129" t="n">
        <f aca="false">20*LOG10(MAX(D173,0.000000000001)/$K$3)</f>
        <v>25.7344610502478</v>
      </c>
    </row>
    <row r="174" customFormat="false" ht="15" hidden="false" customHeight="false" outlineLevel="0" collapsed="false">
      <c r="A174" s="122" t="n">
        <f aca="false">A173+$F$3</f>
        <v>1680</v>
      </c>
      <c r="B174" s="123" t="n">
        <f aca="false">SUMPRODUCT(固有振動数!$Q$6:$Q$22*(1-($A174/固有振動数!$O$6:$O$22)^2)/((1-($A174/固有振動数!$O$6:$O$22)^2)^2+固有振動数!$P$6:$P$22^2))</f>
        <v>19.4051351625317</v>
      </c>
      <c r="C174" s="123" t="n">
        <f aca="false">-SUMPRODUCT(固有振動数!$Q$6:$Q$22*固有振動数!$P$6:$P$22/((1-($A174/固有振動数!$O$6:$O$22)^2)^2+固有振動数!$P$6:$P$22^2))</f>
        <v>-0.551709032290033</v>
      </c>
      <c r="D174" s="124" t="n">
        <f aca="false">SQRT(B174^2+C174^2)</f>
        <v>19.412976421261</v>
      </c>
      <c r="E174" s="125" t="n">
        <f aca="false">20*LOG10(MAX(D174,0.000000000001)/$K$3)</f>
        <v>25.7618425410795</v>
      </c>
    </row>
    <row r="175" customFormat="false" ht="15" hidden="false" customHeight="false" outlineLevel="0" collapsed="false">
      <c r="A175" s="126" t="n">
        <f aca="false">A174+$F$3</f>
        <v>1690</v>
      </c>
      <c r="B175" s="127" t="n">
        <f aca="false">SUMPRODUCT(固有振動数!$Q$6:$Q$22*(1-($A175/固有振動数!$O$6:$O$22)^2)/((1-($A175/固有振動数!$O$6:$O$22)^2)^2+固有振動数!$P$6:$P$22^2))</f>
        <v>19.4684490565235</v>
      </c>
      <c r="C175" s="127" t="n">
        <f aca="false">-SUMPRODUCT(固有振動数!$Q$6:$Q$22*固有振動数!$P$6:$P$22/((1-($A175/固有振動数!$O$6:$O$22)^2)^2+固有振動数!$P$6:$P$22^2))</f>
        <v>-0.558504701378797</v>
      </c>
      <c r="D175" s="128" t="n">
        <f aca="false">SQRT(B175^2+C175^2)</f>
        <v>19.4764585119552</v>
      </c>
      <c r="E175" s="129" t="n">
        <f aca="false">20*LOG10(MAX(D175,0.000000000001)/$K$3)</f>
        <v>25.7901998018354</v>
      </c>
    </row>
    <row r="176" customFormat="false" ht="15" hidden="false" customHeight="false" outlineLevel="0" collapsed="false">
      <c r="A176" s="122" t="n">
        <f aca="false">A175+$F$3</f>
        <v>1700</v>
      </c>
      <c r="B176" s="123" t="n">
        <f aca="false">SUMPRODUCT(固有振動数!$Q$6:$Q$22*(1-($A176/固有振動数!$O$6:$O$22)^2)/((1-($A176/固有振動数!$O$6:$O$22)^2)^2+固有振動数!$P$6:$P$22^2))</f>
        <v>19.5342855719759</v>
      </c>
      <c r="C176" s="123" t="n">
        <f aca="false">-SUMPRODUCT(固有振動数!$Q$6:$Q$22*固有振動数!$P$6:$P$22/((1-($A176/固有振動数!$O$6:$O$22)^2)^2+固有振動数!$P$6:$P$22^2))</f>
        <v>-0.565722943907978</v>
      </c>
      <c r="D176" s="124" t="n">
        <f aca="false">SQRT(B176^2+C176^2)</f>
        <v>19.542475668573</v>
      </c>
      <c r="E176" s="125" t="n">
        <f aca="false">20*LOG10(MAX(D176,0.000000000001)/$K$3)</f>
        <v>25.8195915981929</v>
      </c>
    </row>
    <row r="177" customFormat="false" ht="15" hidden="false" customHeight="false" outlineLevel="0" collapsed="false">
      <c r="A177" s="126" t="n">
        <f aca="false">A176+$F$3</f>
        <v>1710</v>
      </c>
      <c r="B177" s="127" t="n">
        <f aca="false">SUMPRODUCT(固有振動数!$Q$6:$Q$22*(1-($A177/固有振動数!$O$6:$O$22)^2)/((1-($A177/固有振動数!$O$6:$O$22)^2)^2+固有振動数!$P$6:$P$22^2))</f>
        <v>19.6028118244919</v>
      </c>
      <c r="C177" s="127" t="n">
        <f aca="false">-SUMPRODUCT(固有振動数!$Q$6:$Q$22*固有振動数!$P$6:$P$22/((1-($A177/固有振動数!$O$6:$O$22)^2)^2+固有振動数!$P$6:$P$22^2))</f>
        <v>-0.573402206468723</v>
      </c>
      <c r="D177" s="128" t="n">
        <f aca="false">SQRT(B177^2+C177^2)</f>
        <v>19.6111963305868</v>
      </c>
      <c r="E177" s="129" t="n">
        <f aca="false">20*LOG10(MAX(D177,0.000000000001)/$K$3)</f>
        <v>25.8500817498726</v>
      </c>
    </row>
    <row r="178" customFormat="false" ht="15" hidden="false" customHeight="false" outlineLevel="0" collapsed="false">
      <c r="A178" s="122" t="n">
        <f aca="false">A177+$F$3</f>
        <v>1720</v>
      </c>
      <c r="B178" s="123" t="n">
        <f aca="false">SUMPRODUCT(固有振動数!$Q$6:$Q$22*(1-($A178/固有振動数!$O$6:$O$22)^2)/((1-($A178/固有振動数!$O$6:$O$22)^2)^2+固有振動数!$P$6:$P$22^2))</f>
        <v>19.6742105656641</v>
      </c>
      <c r="C178" s="123" t="n">
        <f aca="false">-SUMPRODUCT(固有振動数!$Q$6:$Q$22*固有振動数!$P$6:$P$22/((1-($A178/固有振動数!$O$6:$O$22)^2)^2+固有振動数!$P$6:$P$22^2))</f>
        <v>-0.581585510336701</v>
      </c>
      <c r="D178" s="124" t="n">
        <f aca="false">SQRT(B178^2+C178^2)</f>
        <v>19.6828047566378</v>
      </c>
      <c r="E178" s="125" t="n">
        <f aca="false">20*LOG10(MAX(D178,0.000000000001)/$K$3)</f>
        <v>25.8817396903812</v>
      </c>
    </row>
    <row r="179" customFormat="false" ht="15" hidden="false" customHeight="false" outlineLevel="0" collapsed="false">
      <c r="A179" s="126" t="n">
        <f aca="false">A178+$F$3</f>
        <v>1730</v>
      </c>
      <c r="B179" s="127" t="n">
        <f aca="false">SUMPRODUCT(固有振動数!$Q$6:$Q$22*(1-($A179/固有振動数!$O$6:$O$22)^2)/((1-($A179/固有振動数!$O$6:$O$22)^2)^2+固有振動数!$P$6:$P$22^2))</f>
        <v>19.7486820631777</v>
      </c>
      <c r="C179" s="127" t="n">
        <f aca="false">-SUMPRODUCT(固有振動数!$Q$6:$Q$22*固有振動数!$P$6:$P$22/((1-($A179/固有振動数!$O$6:$O$22)^2)^2+固有振動数!$P$6:$P$22^2))</f>
        <v>-0.590321124795514</v>
      </c>
      <c r="D179" s="128" t="n">
        <f aca="false">SQRT(B179^2+C179^2)</f>
        <v>19.7575029359192</v>
      </c>
      <c r="E179" s="129" t="n">
        <f aca="false">20*LOG10(MAX(D179,0.000000000001)/$K$3)</f>
        <v>25.9146411029284</v>
      </c>
    </row>
    <row r="180" customFormat="false" ht="15" hidden="false" customHeight="false" outlineLevel="0" collapsed="false">
      <c r="A180" s="122" t="n">
        <f aca="false">A179+$F$3</f>
        <v>1740</v>
      </c>
      <c r="B180" s="123" t="n">
        <f aca="false">SUMPRODUCT(固有振動数!$Q$6:$Q$22*(1-($A180/固有振動数!$O$6:$O$22)^2)/((1-($A180/固有振動数!$O$6:$O$22)^2)^2+固有振動数!$P$6:$P$22^2))</f>
        <v>19.82644625843</v>
      </c>
      <c r="C180" s="123" t="n">
        <f aca="false">-SUMPRODUCT(固有振動数!$Q$6:$Q$22*固有振動数!$P$6:$P$22/((1-($A180/固有振動数!$O$6:$O$22)^2)^2+固有振動数!$P$6:$P$22^2))</f>
        <v>-0.599663359221506</v>
      </c>
      <c r="D180" s="124" t="n">
        <f aca="false">SQRT(B180^2+C180^2)</f>
        <v>19.8355127834601</v>
      </c>
      <c r="E180" s="125" t="n">
        <f aca="false">20*LOG10(MAX(D180,0.000000000001)/$K$3)</f>
        <v>25.9488686448785</v>
      </c>
    </row>
    <row r="181" customFormat="false" ht="15" hidden="false" customHeight="false" outlineLevel="0" collapsed="false">
      <c r="A181" s="126" t="n">
        <f aca="false">A180+$F$3</f>
        <v>1750</v>
      </c>
      <c r="B181" s="127" t="n">
        <f aca="false">SUMPRODUCT(固有振動数!$Q$6:$Q$22*(1-($A181/固有振動数!$O$6:$O$22)^2)/((1-($A181/固有振動数!$O$6:$O$22)^2)^2+固有振動数!$P$6:$P$22^2))</f>
        <v>19.9077452504786</v>
      </c>
      <c r="C181" s="127" t="n">
        <f aca="false">-SUMPRODUCT(固有振動数!$Q$6:$Q$22*固有振動数!$P$6:$P$22/((1-($A181/固有振動数!$O$6:$O$22)^2)^2+固有振動数!$P$6:$P$22^2))</f>
        <v>-0.609673498495811</v>
      </c>
      <c r="D181" s="128" t="n">
        <f aca="false">SQRT(B181^2+C181^2)</f>
        <v>19.9170786696423</v>
      </c>
      <c r="E181" s="129" t="n">
        <f aca="false">20*LOG10(MAX(D181,0.000000000001)/$K$3)</f>
        <v>25.9845127754343</v>
      </c>
    </row>
    <row r="182" customFormat="false" ht="15" hidden="false" customHeight="false" outlineLevel="0" collapsed="false">
      <c r="A182" s="122" t="n">
        <f aca="false">A181+$F$3</f>
        <v>1760</v>
      </c>
      <c r="B182" s="123" t="n">
        <f aca="false">SUMPRODUCT(固有振動数!$Q$6:$Q$22*(1-($A182/固有振動数!$O$6:$O$22)^2)/((1-($A182/固有振動数!$O$6:$O$22)^2)^2+固有振動数!$P$6:$P$22^2))</f>
        <v>19.9928461651422</v>
      </c>
      <c r="C182" s="123" t="n">
        <f aca="false">-SUMPRODUCT(固有振動数!$Q$6:$Q$22*固有振動数!$P$6:$P$22/((1-($A182/固有振動数!$O$6:$O$22)^2)^2+固有振動数!$P$6:$P$22^2))</f>
        <v>-0.62042091217515</v>
      </c>
      <c r="D182" s="124" t="n">
        <f aca="false">SQRT(B182^2+C182^2)</f>
        <v>20.0024703447176</v>
      </c>
      <c r="E182" s="125" t="n">
        <f aca="false">20*LOG10(MAX(D182,0.000000000001)/$K$3)</f>
        <v>26.0216727041062</v>
      </c>
    </row>
    <row r="183" customFormat="false" ht="15" hidden="false" customHeight="false" outlineLevel="0" collapsed="false">
      <c r="A183" s="126" t="n">
        <f aca="false">A182+$F$3</f>
        <v>1770</v>
      </c>
      <c r="B183" s="127" t="n">
        <f aca="false">SUMPRODUCT(固有振動数!$Q$6:$Q$22*(1-($A183/固有振動数!$O$6:$O$22)^2)/((1-($A183/固有振動数!$O$6:$O$22)^2)^2+固有振動数!$P$6:$P$22^2))</f>
        <v>20.0820444804598</v>
      </c>
      <c r="C183" s="127" t="n">
        <f aca="false">-SUMPRODUCT(固有振動数!$Q$6:$Q$22*固有振動数!$P$6:$P$22/((1-($A183/固有振動数!$O$6:$O$22)^2)^2+固有振動数!$P$6:$P$22^2))</f>
        <v>-0.631984375315605</v>
      </c>
      <c r="D183" s="128" t="n">
        <f aca="false">SQRT(B183^2+C183^2)</f>
        <v>20.0919863320133</v>
      </c>
      <c r="E183" s="129" t="n">
        <f aca="false">20*LOG10(MAX(D183,0.000000000001)/$K$3)</f>
        <v>26.0604574809973</v>
      </c>
    </row>
    <row r="184" customFormat="false" ht="15" hidden="false" customHeight="false" outlineLevel="0" collapsed="false">
      <c r="A184" s="122" t="n">
        <f aca="false">A183+$F$3</f>
        <v>1780</v>
      </c>
      <c r="B184" s="123" t="n">
        <f aca="false">SUMPRODUCT(固有振動数!$Q$6:$Q$22*(1-($A184/固有振動数!$O$6:$O$22)^2)/((1-($A184/固有振動数!$O$6:$O$22)^2)^2+固有振動数!$P$6:$P$22^2))</f>
        <v>20.1756678950717</v>
      </c>
      <c r="C184" s="123" t="n">
        <f aca="false">-SUMPRODUCT(固有振動数!$Q$6:$Q$22*固有振動数!$P$6:$P$22/((1-($A184/固有振動数!$O$6:$O$22)^2)^2+固有振動数!$P$6:$P$22^2))</f>
        <v>-0.644453648394628</v>
      </c>
      <c r="D184" s="124" t="n">
        <f aca="false">SQRT(B184^2+C184^2)</f>
        <v>20.1859578796042</v>
      </c>
      <c r="E184" s="125" t="n">
        <f aca="false">20*LOG10(MAX(D184,0.000000000001)/$K$3)</f>
        <v>26.1009872542242</v>
      </c>
    </row>
    <row r="185" customFormat="false" ht="15" hidden="false" customHeight="false" outlineLevel="0" collapsed="false">
      <c r="A185" s="126" t="n">
        <f aca="false">A184+$F$3</f>
        <v>1790</v>
      </c>
      <c r="B185" s="127" t="n">
        <f aca="false">SUMPRODUCT(固有振動数!$Q$6:$Q$22*(1-($A185/固有振動数!$O$6:$O$22)^2)/((1-($A185/固有振動数!$O$6:$O$22)^2)^2+固有振動数!$P$6:$P$22^2))</f>
        <v>20.2740808452659</v>
      </c>
      <c r="C185" s="127" t="n">
        <f aca="false">-SUMPRODUCT(固有振動数!$Q$6:$Q$22*固有振動数!$P$6:$P$22/((1-($A185/固有振動数!$O$6:$O$22)^2)^2+固有振動数!$P$6:$P$22^2))</f>
        <v>-0.657931376076196</v>
      </c>
      <c r="D185" s="128" t="n">
        <f aca="false">SQRT(B185^2+C185^2)</f>
        <v>20.2847535803619</v>
      </c>
      <c r="E185" s="129" t="n">
        <f aca="false">20*LOG10(MAX(D185,0.000000000001)/$K$3)</f>
        <v>26.1433947250671</v>
      </c>
    </row>
    <row r="186" customFormat="false" ht="15" hidden="false" customHeight="false" outlineLevel="0" collapsed="false">
      <c r="A186" s="122" t="n">
        <f aca="false">A185+$F$3</f>
        <v>1800</v>
      </c>
      <c r="B186" s="123" t="n">
        <f aca="false">SUMPRODUCT(固有振動数!$Q$6:$Q$22*(1-($A186/固有振動数!$O$6:$O$22)^2)/((1-($A186/固有振動数!$O$6:$O$22)^2)^2+固有振動数!$P$6:$P$22^2))</f>
        <v>20.3776898004832</v>
      </c>
      <c r="C186" s="123" t="n">
        <f aca="false">-SUMPRODUCT(固有振動数!$Q$6:$Q$22*固有振動数!$P$6:$P$22/((1-($A186/固有振動数!$O$6:$O$22)^2)^2+固有振動数!$P$6:$P$22^2))</f>
        <v>-0.672535380507028</v>
      </c>
      <c r="D186" s="124" t="n">
        <f aca="false">SQRT(B186^2+C186^2)</f>
        <v>20.3887847956358</v>
      </c>
      <c r="E186" s="125" t="n">
        <f aca="false">20*LOG10(MAX(D186,0.000000000001)/$K$3)</f>
        <v>26.1878268379983</v>
      </c>
    </row>
    <row r="187" customFormat="false" ht="15" hidden="false" customHeight="false" outlineLevel="0" collapsed="false">
      <c r="A187" s="126" t="n">
        <f aca="false">A186+$F$3</f>
        <v>1810</v>
      </c>
      <c r="B187" s="127" t="n">
        <f aca="false">SUMPRODUCT(固有振動数!$Q$6:$Q$22*(1-($A187/固有振動数!$O$6:$O$22)^2)/((1-($A187/固有振動数!$O$6:$O$22)^2)^2+固有振動数!$P$6:$P$22^2))</f>
        <v>20.4869494974129</v>
      </c>
      <c r="C187" s="127" t="n">
        <f aca="false">-SUMPRODUCT(固有振動数!$Q$6:$Q$22*固有振動数!$P$6:$P$22/((1-($A187/固有振動数!$O$6:$O$22)^2)^2+固有振動数!$P$6:$P$22^2))</f>
        <v>-0.688401445639366</v>
      </c>
      <c r="D187" s="128" t="n">
        <f aca="false">SQRT(B187^2+C187^2)</f>
        <v>20.4985120499002</v>
      </c>
      <c r="E187" s="129" t="n">
        <f aca="false">20*LOG10(MAX(D187,0.000000000001)/$K$3)</f>
        <v>26.2344467508998</v>
      </c>
    </row>
    <row r="188" customFormat="false" ht="15" hidden="false" customHeight="false" outlineLevel="0" collapsed="false">
      <c r="A188" s="122" t="n">
        <f aca="false">A187+$F$3</f>
        <v>1820</v>
      </c>
      <c r="B188" s="123" t="n">
        <f aca="false">SUMPRODUCT(固有振動数!$Q$6:$Q$22*(1-($A188/固有振動数!$O$6:$O$22)^2)/((1-($A188/固有振動数!$O$6:$O$22)^2)^2+固有振動数!$P$6:$P$22^2))</f>
        <v>20.6023703113048</v>
      </c>
      <c r="C188" s="123" t="n">
        <f aca="false">-SUMPRODUCT(固有振動数!$Q$6:$Q$22*固有振動数!$P$6:$P$22/((1-($A188/固有振動数!$O$6:$O$22)^2)^2+固有振動数!$P$6:$P$22^2))</f>
        <v>-0.705686716429344</v>
      </c>
      <c r="D188" s="124" t="n">
        <f aca="false">SQRT(B188^2+C188^2)</f>
        <v>20.6144526045655</v>
      </c>
      <c r="E188" s="125" t="n">
        <f aca="false">20*LOG10(MAX(D188,0.000000000001)/$K$3)</f>
        <v>26.2834361410081</v>
      </c>
    </row>
    <row r="189" customFormat="false" ht="15" hidden="false" customHeight="false" outlineLevel="0" collapsed="false">
      <c r="A189" s="126" t="n">
        <f aca="false">A188+$F$3</f>
        <v>1830</v>
      </c>
      <c r="B189" s="127" t="n">
        <f aca="false">SUMPRODUCT(固有振動数!$Q$6:$Q$22*(1-($A189/固有振動数!$O$6:$O$22)^2)/((1-($A189/固有振動数!$O$6:$O$22)^2)^2+固有振動数!$P$6:$P$22^2))</f>
        <v>20.7245270122391</v>
      </c>
      <c r="C189" s="127" t="n">
        <f aca="false">-SUMPRODUCT(固有振動数!$Q$6:$Q$22*固有振動数!$P$6:$P$22/((1-($A189/固有振動数!$O$6:$O$22)^2)^2+固有振動数!$P$6:$P$22^2))</f>
        <v>-0.724573872993564</v>
      </c>
      <c r="D189" s="128" t="n">
        <f aca="false">SQRT(B189^2+C189^2)</f>
        <v>20.7371894715376</v>
      </c>
      <c r="E189" s="129" t="n">
        <f aca="false">20*LOG10(MAX(D189,0.000000000001)/$K$3)</f>
        <v>26.3349979150113</v>
      </c>
    </row>
    <row r="190" customFormat="false" ht="15" hidden="false" customHeight="false" outlineLevel="0" collapsed="false">
      <c r="A190" s="122" t="n">
        <f aca="false">A189+$F$3</f>
        <v>1840</v>
      </c>
      <c r="B190" s="123" t="n">
        <f aca="false">SUMPRODUCT(固有振動数!$Q$6:$Q$22*(1-($A190/固有振動数!$O$6:$O$22)^2)/((1-($A190/固有振動数!$O$6:$O$22)^2)^2+固有振動数!$P$6:$P$22^2))</f>
        <v>20.8540692171871</v>
      </c>
      <c r="C190" s="123" t="n">
        <f aca="false">-SUMPRODUCT(固有振動数!$Q$6:$Q$22*固有振動数!$P$6:$P$22/((1-($A190/固有振動数!$O$6:$O$22)^2)^2+固有振動数!$P$6:$P$22^2))</f>
        <v>-0.74527628819096</v>
      </c>
      <c r="D190" s="124" t="n">
        <f aca="false">SQRT(B190^2+C190^2)</f>
        <v>20.8673821947309</v>
      </c>
      <c r="E190" s="125" t="n">
        <f aca="false">20*LOG10(MAX(D190,0.000000000001)/$K$3)</f>
        <v>26.3893594080538</v>
      </c>
    </row>
    <row r="191" customFormat="false" ht="15" hidden="false" customHeight="false" outlineLevel="0" collapsed="false">
      <c r="A191" s="126" t="n">
        <f aca="false">A190+$F$3</f>
        <v>1850</v>
      </c>
      <c r="B191" s="127" t="n">
        <f aca="false">SUMPRODUCT(固有振動数!$Q$6:$Q$22*(1-($A191/固有振動数!$O$6:$O$22)^2)/((1-($A191/固有振動数!$O$6:$O$22)^2)^2+固有振動数!$P$6:$P$22^2))</f>
        <v>20.991733930235</v>
      </c>
      <c r="C191" s="127" t="n">
        <f aca="false">-SUMPRODUCT(固有振動数!$Q$6:$Q$22*固有振動数!$P$6:$P$22/((1-($A191/固有振動数!$O$6:$O$22)^2)^2+固有振動数!$P$6:$P$22^2))</f>
        <v>-0.768044442259186</v>
      </c>
      <c r="D191" s="128" t="n">
        <f aca="false">SQRT(B191^2+C191^2)</f>
        <v>21.005779815638</v>
      </c>
      <c r="E191" s="129" t="n">
        <f aca="false">20*LOG10(MAX(D191,0.000000000001)/$K$3)</f>
        <v>26.4467761772203</v>
      </c>
    </row>
    <row r="192" customFormat="false" ht="15" hidden="false" customHeight="false" outlineLevel="0" collapsed="false">
      <c r="A192" s="122" t="n">
        <f aca="false">A191+$F$3</f>
        <v>1860</v>
      </c>
      <c r="B192" s="123" t="n">
        <f aca="false">SUMPRODUCT(固有振動数!$Q$6:$Q$22*(1-($A192/固有振動数!$O$6:$O$22)^2)/((1-($A192/固有振動数!$O$6:$O$22)^2)^2+固有振動数!$P$6:$P$22^2))</f>
        <v>21.1383606694702</v>
      </c>
      <c r="C192" s="123" t="n">
        <f aca="false">-SUMPRODUCT(固有振動数!$Q$6:$Q$22*固有振動数!$P$6:$P$22/((1-($A192/固有振動数!$O$6:$O$22)^2)^2+固有振動数!$P$6:$P$22^2))</f>
        <v>-0.793173956687324</v>
      </c>
      <c r="D192" s="124" t="n">
        <f aca="false">SQRT(B192^2+C192^2)</f>
        <v>21.1532365542054</v>
      </c>
      <c r="E192" s="125" t="n">
        <f aca="false">20*LOG10(MAX(D192,0.000000000001)/$K$3)</f>
        <v>26.5075365217796</v>
      </c>
    </row>
    <row r="193" customFormat="false" ht="15" hidden="false" customHeight="false" outlineLevel="0" collapsed="false">
      <c r="A193" s="126" t="n">
        <f aca="false">A192+$F$3</f>
        <v>1870</v>
      </c>
      <c r="B193" s="127" t="n">
        <f aca="false">SUMPRODUCT(固有振動数!$Q$6:$Q$22*(1-($A193/固有振動数!$O$6:$O$22)^2)/((1-($A193/固有振動数!$O$6:$O$22)^2)^2+固有振動数!$P$6:$P$22^2))</f>
        <v>21.2949098181212</v>
      </c>
      <c r="C193" s="127" t="n">
        <f aca="false">-SUMPRODUCT(固有振動数!$Q$6:$Q$22*固有振動数!$P$6:$P$22/((1-($A193/固有振動数!$O$6:$O$22)^2)^2+固有振動数!$P$6:$P$22^2))</f>
        <v>-0.821015731002368</v>
      </c>
      <c r="D193" s="128" t="n">
        <f aca="false">SQRT(B193^2+C193^2)</f>
        <v>21.3107308882747</v>
      </c>
      <c r="E193" s="129" t="n">
        <f aca="false">20*LOG10(MAX(D193,0.000000000001)/$K$3)</f>
        <v>26.57196689696</v>
      </c>
    </row>
    <row r="194" customFormat="false" ht="15" hidden="false" customHeight="false" outlineLevel="0" collapsed="false">
      <c r="A194" s="122" t="n">
        <f aca="false">A193+$F$3</f>
        <v>1880</v>
      </c>
      <c r="B194" s="123" t="n">
        <f aca="false">SUMPRODUCT(固有振動数!$Q$6:$Q$22*(1-($A194/固有振動数!$O$6:$O$22)^2)/((1-($A194/固有振動数!$O$6:$O$22)^2)^2+固有振動数!$P$6:$P$22^2))</f>
        <v>21.4624850211828</v>
      </c>
      <c r="C194" s="123" t="n">
        <f aca="false">-SUMPRODUCT(固有振動数!$Q$6:$Q$22*固有振動数!$P$6:$P$22/((1-($A194/固有振動数!$O$6:$O$22)^2)^2+固有振動数!$P$6:$P$22^2))</f>
        <v>-0.851988834543978</v>
      </c>
      <c r="D194" s="124" t="n">
        <f aca="false">SQRT(B194^2+C194^2)</f>
        <v>21.4793889172547</v>
      </c>
      <c r="E194" s="125" t="n">
        <f aca="false">20*LOG10(MAX(D194,0.000000000001)/$K$3)</f>
        <v>26.6404384328787</v>
      </c>
    </row>
    <row r="195" customFormat="false" ht="15" hidden="false" customHeight="false" outlineLevel="0" collapsed="false">
      <c r="A195" s="126" t="n">
        <f aca="false">A194+$F$3</f>
        <v>1890</v>
      </c>
      <c r="B195" s="127" t="n">
        <f aca="false">SUMPRODUCT(固有振動数!$Q$6:$Q$22*(1-($A195/固有振動数!$O$6:$O$22)^2)/((1-($A195/固有振動数!$O$6:$O$22)^2)^2+固有振動数!$P$6:$P$22^2))</f>
        <v>21.6423606930656</v>
      </c>
      <c r="C195" s="127" t="n">
        <f aca="false">-SUMPRODUCT(固有振動数!$Q$6:$Q$22*固有振動数!$P$6:$P$22/((1-($A195/固有振動数!$O$6:$O$22)^2)^2+固有振動数!$P$6:$P$22^2))</f>
        <v>-0.88659704124518</v>
      </c>
      <c r="D195" s="128" t="n">
        <f aca="false">SQRT(B195^2+C195^2)</f>
        <v>21.6605131675659</v>
      </c>
      <c r="E195" s="129" t="n">
        <f aca="false">20*LOG10(MAX(D195,0.000000000001)/$K$3)</f>
        <v>26.7133748289829</v>
      </c>
    </row>
    <row r="196" customFormat="false" ht="15" hidden="false" customHeight="false" outlineLevel="0" collapsed="false">
      <c r="A196" s="122" t="n">
        <f aca="false">A195+$F$3</f>
        <v>1900</v>
      </c>
      <c r="B196" s="123" t="n">
        <f aca="false">SUMPRODUCT(固有振動数!$Q$6:$Q$22*(1-($A196/固有振動数!$O$6:$O$22)^2)/((1-($A196/固有振動数!$O$6:$O$22)^2)^2+固有振動数!$P$6:$P$22^2))</f>
        <v>21.8360160293643</v>
      </c>
      <c r="C196" s="123" t="n">
        <f aca="false">-SUMPRODUCT(固有振動数!$Q$6:$Q$22*固有振動数!$P$6:$P$22/((1-($A196/固有振動数!$O$6:$O$22)^2)^2+固有振動数!$P$6:$P$22^2))</f>
        <v>-0.925450229855598</v>
      </c>
      <c r="D196" s="124" t="n">
        <f aca="false">SQRT(B196^2+C196^2)</f>
        <v>21.8556183660539</v>
      </c>
      <c r="E196" s="125" t="n">
        <f aca="false">20*LOG10(MAX(D196,0.000000000001)/$K$3)</f>
        <v>26.79126197187</v>
      </c>
    </row>
    <row r="197" customFormat="false" ht="15" hidden="false" customHeight="false" outlineLevel="0" collapsed="false">
      <c r="A197" s="126" t="n">
        <f aca="false">A196+$F$3</f>
        <v>1910</v>
      </c>
      <c r="B197" s="127" t="n">
        <f aca="false">SUMPRODUCT(固有振動数!$Q$6:$Q$22*(1-($A197/固有振動数!$O$6:$O$22)^2)/((1-($A197/固有振動数!$O$6:$O$22)^2)^2+固有振動数!$P$6:$P$22^2))</f>
        <v>22.0451773585495</v>
      </c>
      <c r="C197" s="127" t="n">
        <f aca="false">-SUMPRODUCT(固有振動数!$Q$6:$Q$22*固有振動数!$P$6:$P$22/((1-($A197/固有振動数!$O$6:$O$22)^2)^2+固有振動数!$P$6:$P$22^2))</f>
        <v>-0.969292351917941</v>
      </c>
      <c r="D197" s="128" t="n">
        <f aca="false">SQRT(B197^2+C197^2)</f>
        <v>22.0664762124221</v>
      </c>
      <c r="E197" s="129" t="n">
        <f aca="false">20*LOG10(MAX(D197,0.000000000001)/$K$3)</f>
        <v>26.8746597274058</v>
      </c>
    </row>
    <row r="198" customFormat="false" ht="15" hidden="false" customHeight="false" outlineLevel="0" collapsed="false">
      <c r="A198" s="122" t="n">
        <f aca="false">A197+$F$3</f>
        <v>1920</v>
      </c>
      <c r="B198" s="123" t="n">
        <f aca="false">SUMPRODUCT(固有振動数!$Q$6:$Q$22*(1-($A198/固有振動数!$O$6:$O$22)^2)/((1-($A198/固有振動数!$O$6:$O$22)^2)^2+固有振動数!$P$6:$P$22^2))</f>
        <v>22.2718712725677</v>
      </c>
      <c r="C198" s="123" t="n">
        <f aca="false">-SUMPRODUCT(固有振動数!$Q$6:$Q$22*固有振動数!$P$6:$P$22/((1-($A198/固有振動数!$O$6:$O$22)^2)^2+固有振動数!$P$6:$P$22^2))</f>
        <v>-1.01903836754754</v>
      </c>
      <c r="D198" s="124" t="n">
        <f aca="false">SQRT(B198^2+C198^2)</f>
        <v>22.2951718803951</v>
      </c>
      <c r="E198" s="125" t="n">
        <f aca="false">20*LOG10(MAX(D198,0.000000000001)/$K$3)</f>
        <v>26.9642164961879</v>
      </c>
    </row>
    <row r="199" customFormat="false" ht="15" hidden="false" customHeight="false" outlineLevel="0" collapsed="false">
      <c r="A199" s="126" t="n">
        <f aca="false">A198+$F$3</f>
        <v>1930</v>
      </c>
      <c r="B199" s="127" t="n">
        <f aca="false">SUMPRODUCT(固有振動数!$Q$6:$Q$22*(1-($A199/固有振動数!$O$6:$O$22)^2)/((1-($A199/固有振動数!$O$6:$O$22)^2)^2+固有振動数!$P$6:$P$22^2))</f>
        <v>22.5184918038007</v>
      </c>
      <c r="C199" s="127" t="n">
        <f aca="false">-SUMPRODUCT(固有振動数!$Q$6:$Q$22*固有振動数!$P$6:$P$22/((1-($A199/固有振動数!$O$6:$O$22)^2)^2+固有振動数!$P$6:$P$22^2))</f>
        <v>-1.07582357803515</v>
      </c>
      <c r="D199" s="128" t="n">
        <f aca="false">SQRT(B199^2+C199^2)</f>
        <v>22.5441759549755</v>
      </c>
      <c r="E199" s="129" t="n">
        <f aca="false">20*LOG10(MAX(D199,0.000000000001)/$K$3)</f>
        <v>27.0606873080458</v>
      </c>
    </row>
    <row r="200" customFormat="false" ht="15" hidden="false" customHeight="false" outlineLevel="0" collapsed="false">
      <c r="A200" s="122" t="n">
        <f aca="false">A199+$F$3</f>
        <v>1940</v>
      </c>
      <c r="B200" s="123" t="n">
        <f aca="false">SUMPRODUCT(固有振動数!$Q$6:$Q$22*(1-($A200/固有振動数!$O$6:$O$22)^2)/((1-($A200/固有振動数!$O$6:$O$22)^2)^2+固有振動数!$P$6:$P$22^2))</f>
        <v>22.7878860625921</v>
      </c>
      <c r="C200" s="123" t="n">
        <f aca="false">-SUMPRODUCT(固有振動数!$Q$6:$Q$22*固有振動数!$P$6:$P$22/((1-($A200/固有振動数!$O$6:$O$22)^2)^2+固有振動数!$P$6:$P$22^2))</f>
        <v>-1.14107032497979</v>
      </c>
      <c r="D200" s="124" t="n">
        <f aca="false">SQRT(B200^2+C200^2)</f>
        <v>22.8164368972946</v>
      </c>
      <c r="E200" s="125" t="n">
        <f aca="false">20*LOG10(MAX(D200,0.000000000001)/$K$3)</f>
        <v>27.1649564855494</v>
      </c>
    </row>
    <row r="201" customFormat="false" ht="15" hidden="false" customHeight="false" outlineLevel="0" collapsed="false">
      <c r="A201" s="126" t="n">
        <f aca="false">A200+$F$3</f>
        <v>1950</v>
      </c>
      <c r="B201" s="127" t="n">
        <f aca="false">SUMPRODUCT(固有振動数!$Q$6:$Q$22*(1-($A201/固有振動数!$O$6:$O$22)^2)/((1-($A201/固有振動数!$O$6:$O$22)^2)^2+固有振動数!$P$6:$P$22^2))</f>
        <v>23.0834643482578</v>
      </c>
      <c r="C201" s="127" t="n">
        <f aca="false">-SUMPRODUCT(固有振動数!$Q$6:$Q$22*固有振動数!$P$6:$P$22/((1-($A201/固有振動数!$O$6:$O$22)^2)^2+固有振動数!$P$6:$P$22^2))</f>
        <v>-1.2165793706044</v>
      </c>
      <c r="D201" s="128" t="n">
        <f aca="false">SQRT(B201^2+C201^2)</f>
        <v>23.115501112506</v>
      </c>
      <c r="E201" s="129" t="n">
        <f aca="false">20*LOG10(MAX(D201,0.000000000001)/$K$3)</f>
        <v>27.2780662557521</v>
      </c>
    </row>
    <row r="202" customFormat="false" ht="15" hidden="false" customHeight="false" outlineLevel="0" collapsed="false">
      <c r="A202" s="122" t="n">
        <f aca="false">A201+$F$3</f>
        <v>1960</v>
      </c>
      <c r="B202" s="123" t="n">
        <f aca="false">SUMPRODUCT(固有振動数!$Q$6:$Q$22*(1-($A202/固有振動数!$O$6:$O$22)^2)/((1-($A202/固有振動数!$O$6:$O$22)^2)^2+固有振動数!$P$6:$P$22^2))</f>
        <v>23.4093429884879</v>
      </c>
      <c r="C202" s="123" t="n">
        <f aca="false">-SUMPRODUCT(固有振動数!$Q$6:$Q$22*固有振動数!$P$6:$P$22/((1-($A202/固有振動数!$O$6:$O$22)^2)^2+固有振動数!$P$6:$P$22^2))</f>
        <v>-1.30465690650231</v>
      </c>
      <c r="D202" s="124" t="n">
        <f aca="false">SQRT(B202^2+C202^2)</f>
        <v>23.4456705768112</v>
      </c>
      <c r="E202" s="125" t="n">
        <f aca="false">20*LOG10(MAX(D202,0.000000000001)/$K$3)</f>
        <v>27.4012531728422</v>
      </c>
    </row>
    <row r="203" customFormat="false" ht="15" hidden="false" customHeight="false" outlineLevel="0" collapsed="false">
      <c r="A203" s="126" t="n">
        <f aca="false">A202+$F$3</f>
        <v>1970</v>
      </c>
      <c r="B203" s="127" t="n">
        <f aca="false">SUMPRODUCT(固有振動数!$Q$6:$Q$22*(1-($A203/固有振動数!$O$6:$O$22)^2)/((1-($A203/固有振動数!$O$6:$O$22)^2)^2+固有振動数!$P$6:$P$22^2))</f>
        <v>23.7705313177306</v>
      </c>
      <c r="C203" s="127" t="n">
        <f aca="false">-SUMPRODUCT(固有振動数!$Q$6:$Q$22*固有振動数!$P$6:$P$22/((1-($A203/固有振動数!$O$6:$O$22)^2)^2+固有振動数!$P$6:$P$22^2))</f>
        <v>-1.40829387372231</v>
      </c>
      <c r="D203" s="128" t="n">
        <f aca="false">SQRT(B203^2+C203^2)</f>
        <v>23.812212218985</v>
      </c>
      <c r="E203" s="129" t="n">
        <f aca="false">20*LOG10(MAX(D203,0.000000000001)/$K$3)</f>
        <v>27.5359948882473</v>
      </c>
    </row>
    <row r="204" customFormat="false" ht="15" hidden="false" customHeight="false" outlineLevel="0" collapsed="false">
      <c r="A204" s="122" t="n">
        <f aca="false">A203+$F$3</f>
        <v>1980</v>
      </c>
      <c r="B204" s="123" t="n">
        <f aca="false">SUMPRODUCT(固有振動数!$Q$6:$Q$22*(1-($A204/固有振動数!$O$6:$O$22)^2)/((1-($A204/固有振動数!$O$6:$O$22)^2)^2+固有振動数!$P$6:$P$22^2))</f>
        <v>24.1731786451754</v>
      </c>
      <c r="C204" s="123" t="n">
        <f aca="false">-SUMPRODUCT(固有振動数!$Q$6:$Q$22*固有振動数!$P$6:$P$22/((1-($A204/固有振動数!$O$6:$O$22)^2)^2+固有振動数!$P$6:$P$22^2))</f>
        <v>-1.53142352218441</v>
      </c>
      <c r="D204" s="124" t="n">
        <f aca="false">SQRT(B204^2+C204^2)</f>
        <v>24.2216395773668</v>
      </c>
      <c r="E204" s="125" t="n">
        <f aca="false">20*LOG10(MAX(D204,0.000000000001)/$K$3)</f>
        <v>27.6840707491404</v>
      </c>
    </row>
    <row r="205" customFormat="false" ht="15" hidden="false" customHeight="false" outlineLevel="0" collapsed="false">
      <c r="A205" s="126" t="n">
        <f aca="false">A204+$F$3</f>
        <v>1990</v>
      </c>
      <c r="B205" s="127" t="n">
        <f aca="false">SUMPRODUCT(固有振動数!$Q$6:$Q$22*(1-($A205/固有振動数!$O$6:$O$22)^2)/((1-($A205/固有振動数!$O$6:$O$22)^2)^2+固有振動数!$P$6:$P$22^2))</f>
        <v>24.624903260979</v>
      </c>
      <c r="C205" s="127" t="n">
        <f aca="false">-SUMPRODUCT(固有振動数!$Q$6:$Q$22*固有振動数!$P$6:$P$22/((1-($A205/固有振動数!$O$6:$O$22)^2)^2+固有振動数!$P$6:$P$22^2))</f>
        <v>-1.67929837592898</v>
      </c>
      <c r="D205" s="128" t="n">
        <f aca="false">SQRT(B205^2+C205^2)</f>
        <v>24.682096824378</v>
      </c>
      <c r="E205" s="129" t="n">
        <f aca="false">20*LOG10(MAX(D205,0.000000000001)/$K$3)</f>
        <v>27.8476410331357</v>
      </c>
    </row>
    <row r="206" customFormat="false" ht="15" hidden="false" customHeight="false" outlineLevel="0" collapsed="false">
      <c r="A206" s="122" t="n">
        <f aca="false">A205+$F$3</f>
        <v>2000</v>
      </c>
      <c r="B206" s="123" t="n">
        <f aca="false">SUMPRODUCT(固有振動数!$Q$6:$Q$22*(1-($A206/固有振動数!$O$6:$O$22)^2)/((1-($A206/固有振動数!$O$6:$O$22)^2)^2+固有振動数!$P$6:$P$22^2))</f>
        <v>25.1352339878645</v>
      </c>
      <c r="C206" s="123" t="n">
        <f aca="false">-SUMPRODUCT(固有振動数!$Q$6:$Q$22*固有振動数!$P$6:$P$22/((1-($A206/固有振動数!$O$6:$O$22)^2)^2+固有振動数!$P$6:$P$22^2))</f>
        <v>-1.85905350323049</v>
      </c>
      <c r="D206" s="124" t="n">
        <f aca="false">SQRT(B206^2+C206^2)</f>
        <v>25.2038899289886</v>
      </c>
      <c r="E206" s="125" t="n">
        <f aca="false">20*LOG10(MAX(D206,0.000000000001)/$K$3)</f>
        <v>28.0293514857264</v>
      </c>
    </row>
    <row r="207" customFormat="false" ht="15" hidden="false" customHeight="false" outlineLevel="0" collapsed="false">
      <c r="A207" s="126" t="n">
        <f aca="false">A206+$F$3</f>
        <v>2010</v>
      </c>
      <c r="B207" s="127" t="n">
        <f aca="false">SUMPRODUCT(固有振動数!$Q$6:$Q$22*(1-($A207/固有振動数!$O$6:$O$22)^2)/((1-($A207/固有振動数!$O$6:$O$22)^2)^2+固有振動数!$P$6:$P$22^2))</f>
        <v>25.716205709479</v>
      </c>
      <c r="C207" s="127" t="n">
        <f aca="false">-SUMPRODUCT(固有振動数!$Q$6:$Q$22*固有振動数!$P$6:$P$22/((1-($A207/固有振動数!$O$6:$O$22)^2)^2+固有振動数!$P$6:$P$22^2))</f>
        <v>-2.08056759547479</v>
      </c>
      <c r="D207" s="128" t="n">
        <f aca="false">SQRT(B207^2+C207^2)</f>
        <v>25.8002325108046</v>
      </c>
      <c r="E207" s="129" t="n">
        <f aca="false">20*LOG10(MAX(D207,0.000000000001)/$K$3)</f>
        <v>28.2324723965549</v>
      </c>
    </row>
    <row r="208" customFormat="false" ht="15" hidden="false" customHeight="false" outlineLevel="0" collapsed="false">
      <c r="A208" s="122" t="n">
        <f aca="false">A207+$F$3</f>
        <v>2020</v>
      </c>
      <c r="B208" s="123" t="n">
        <f aca="false">SUMPRODUCT(固有振動数!$Q$6:$Q$22*(1-($A208/固有振動数!$O$6:$O$22)^2)/((1-($A208/固有振動数!$O$6:$O$22)^2)^2+固有振動数!$P$6:$P$22^2))</f>
        <v>26.3831625149733</v>
      </c>
      <c r="C208" s="123" t="n">
        <f aca="false">-SUMPRODUCT(固有振動数!$Q$6:$Q$22*固有振動数!$P$6:$P$22/((1-($A208/固有振動数!$O$6:$O$22)^2)^2+固有振動数!$P$6:$P$22^2))</f>
        <v>-2.35781288414654</v>
      </c>
      <c r="D208" s="124" t="n">
        <f aca="false">SQRT(B208^2+C208^2)</f>
        <v>26.4883096079787</v>
      </c>
      <c r="E208" s="125" t="n">
        <f aca="false">20*LOG10(MAX(D208,0.000000000001)/$K$3)</f>
        <v>28.4610848802886</v>
      </c>
    </row>
    <row r="209" customFormat="false" ht="15" hidden="false" customHeight="false" outlineLevel="0" collapsed="false">
      <c r="A209" s="126" t="n">
        <f aca="false">A208+$F$3</f>
        <v>2030</v>
      </c>
      <c r="B209" s="127" t="n">
        <f aca="false">SUMPRODUCT(固有振動数!$Q$6:$Q$22*(1-($A209/固有振動数!$O$6:$O$22)^2)/((1-($A209/固有振動数!$O$6:$O$22)^2)^2+固有振動数!$P$6:$P$22^2))</f>
        <v>27.1558296571293</v>
      </c>
      <c r="C209" s="127" t="n">
        <f aca="false">-SUMPRODUCT(固有振動数!$Q$6:$Q$22*固有振動数!$P$6:$P$22/((1-($A209/固有振動数!$O$6:$O$22)^2)^2+固有振動数!$P$6:$P$22^2))</f>
        <v>-2.71103102599769</v>
      </c>
      <c r="D209" s="128" t="n">
        <f aca="false">SQRT(B209^2+C209^2)</f>
        <v>27.2908184851783</v>
      </c>
      <c r="E209" s="129" t="n">
        <f aca="false">20*LOG10(MAX(D209,0.000000000001)/$K$3)</f>
        <v>28.7203312178069</v>
      </c>
    </row>
    <row r="210" customFormat="false" ht="15" hidden="false" customHeight="false" outlineLevel="0" collapsed="false">
      <c r="A210" s="122" t="n">
        <f aca="false">A209+$F$3</f>
        <v>2040</v>
      </c>
      <c r="B210" s="123" t="n">
        <f aca="false">SUMPRODUCT(固有振動数!$Q$6:$Q$22*(1-($A210/固有振動数!$O$6:$O$22)^2)/((1-($A210/固有振動数!$O$6:$O$22)^2)^2+固有振動数!$P$6:$P$22^2))</f>
        <v>28.0596975537871</v>
      </c>
      <c r="C210" s="123" t="n">
        <f aca="false">-SUMPRODUCT(固有振動数!$Q$6:$Q$22*固有振動数!$P$6:$P$22/((1-($A210/固有振動数!$O$6:$O$22)^2)^2+固有振動数!$P$6:$P$22^2))</f>
        <v>-3.17034902419061</v>
      </c>
      <c r="D210" s="124" t="n">
        <f aca="false">SQRT(B210^2+C210^2)</f>
        <v>28.238231880647</v>
      </c>
      <c r="E210" s="125" t="n">
        <f aca="false">20*LOG10(MAX(D210,0.000000000001)/$K$3)</f>
        <v>29.0167500030357</v>
      </c>
    </row>
    <row r="211" customFormat="false" ht="15" hidden="false" customHeight="false" outlineLevel="0" collapsed="false">
      <c r="A211" s="126" t="n">
        <f aca="false">A210+$F$3</f>
        <v>2050</v>
      </c>
      <c r="B211" s="127" t="n">
        <f aca="false">SUMPRODUCT(固有振動数!$Q$6:$Q$22*(1-($A211/固有振動数!$O$6:$O$22)^2)/((1-($A211/固有振動数!$O$6:$O$22)^2)^2+固有振動数!$P$6:$P$22^2))</f>
        <v>29.1276505902978</v>
      </c>
      <c r="C211" s="127" t="n">
        <f aca="false">-SUMPRODUCT(固有振動数!$Q$6:$Q$22*固有振動数!$P$6:$P$22/((1-($A211/固有振動数!$O$6:$O$22)^2)^2+固有振動数!$P$6:$P$22^2))</f>
        <v>-3.78199080563234</v>
      </c>
      <c r="D211" s="128" t="n">
        <f aca="false">SQRT(B211^2+C211^2)</f>
        <v>29.3721548982087</v>
      </c>
      <c r="E211" s="129" t="n">
        <f aca="false">20*LOG10(MAX(D211,0.000000000001)/$K$3)</f>
        <v>29.3587161971025</v>
      </c>
    </row>
    <row r="212" customFormat="false" ht="15" hidden="false" customHeight="false" outlineLevel="0" collapsed="false">
      <c r="A212" s="122" t="n">
        <f aca="false">A211+$F$3</f>
        <v>2060</v>
      </c>
      <c r="B212" s="123" t="n">
        <f aca="false">SUMPRODUCT(固有振動数!$Q$6:$Q$22*(1-($A212/固有振動数!$O$6:$O$22)^2)/((1-($A212/固有振動数!$O$6:$O$22)^2)^2+固有振動数!$P$6:$P$22^2))</f>
        <v>30.4013595296327</v>
      </c>
      <c r="C212" s="123" t="n">
        <f aca="false">-SUMPRODUCT(固有振動数!$Q$6:$Q$22*固有振動数!$P$6:$P$22/((1-($A212/固有振動数!$O$6:$O$22)^2)^2+固有振動数!$P$6:$P$22^2))</f>
        <v>-4.61932868724308</v>
      </c>
      <c r="D212" s="124" t="n">
        <f aca="false">SQRT(B212^2+C212^2)</f>
        <v>30.750298515149</v>
      </c>
      <c r="E212" s="125" t="n">
        <f aca="false">20*LOG10(MAX(D212,0.000000000001)/$K$3)</f>
        <v>29.7569867227833</v>
      </c>
    </row>
    <row r="213" customFormat="false" ht="15" hidden="false" customHeight="false" outlineLevel="0" collapsed="false">
      <c r="A213" s="126" t="n">
        <f aca="false">A212+$F$3</f>
        <v>2070</v>
      </c>
      <c r="B213" s="127" t="n">
        <f aca="false">SUMPRODUCT(固有振動数!$Q$6:$Q$22*(1-($A213/固有振動数!$O$6:$O$22)^2)/((1-($A213/固有振動数!$O$6:$O$22)^2)^2+固有振動数!$P$6:$P$22^2))</f>
        <v>31.9305651284541</v>
      </c>
      <c r="C213" s="127" t="n">
        <f aca="false">-SUMPRODUCT(固有振動数!$Q$6:$Q$22*固有振動数!$P$6:$P$22/((1-($A213/固有振動数!$O$6:$O$22)^2)^2+固有振動数!$P$6:$P$22^2))</f>
        <v>-5.80324100794344</v>
      </c>
      <c r="D213" s="128" t="n">
        <f aca="false">SQRT(B213^2+C213^2)</f>
        <v>32.4536376330716</v>
      </c>
      <c r="E213" s="129" t="n">
        <f aca="false">20*LOG10(MAX(D213,0.000000000001)/$K$3)</f>
        <v>30.2252676531925</v>
      </c>
    </row>
    <row r="214" customFormat="false" ht="15" hidden="false" customHeight="false" outlineLevel="0" collapsed="false">
      <c r="A214" s="122" t="n">
        <f aca="false">A213+$F$3</f>
        <v>2080</v>
      </c>
      <c r="B214" s="123" t="n">
        <f aca="false">SUMPRODUCT(固有振動数!$Q$6:$Q$22*(1-($A214/固有振動数!$O$6:$O$22)^2)/((1-($A214/固有振動数!$O$6:$O$22)^2)^2+固有振動数!$P$6:$P$22^2))</f>
        <v>33.7637986096733</v>
      </c>
      <c r="C214" s="123" t="n">
        <f aca="false">-SUMPRODUCT(固有振動数!$Q$6:$Q$22*固有振動数!$P$6:$P$22/((1-($A214/固有振動数!$O$6:$O$22)^2)^2+固有振動数!$P$6:$P$22^2))</f>
        <v>-7.54068027153925</v>
      </c>
      <c r="D214" s="124" t="n">
        <f aca="false">SQRT(B214^2+C214^2)</f>
        <v>34.5956060145238</v>
      </c>
      <c r="E214" s="125" t="n">
        <f aca="false">20*LOG10(MAX(D214,0.000000000001)/$K$3)</f>
        <v>30.7804188516785</v>
      </c>
    </row>
    <row r="215" customFormat="false" ht="15" hidden="false" customHeight="false" outlineLevel="0" collapsed="false">
      <c r="A215" s="126" t="n">
        <f aca="false">A214+$F$3</f>
        <v>2090</v>
      </c>
      <c r="B215" s="127" t="n">
        <f aca="false">SUMPRODUCT(固有振動数!$Q$6:$Q$22*(1-($A215/固有振動数!$O$6:$O$22)^2)/((1-($A215/固有振動数!$O$6:$O$22)^2)^2+固有振動数!$P$6:$P$22^2))</f>
        <v>35.9088567932665</v>
      </c>
      <c r="C215" s="127" t="n">
        <f aca="false">-SUMPRODUCT(固有振動数!$Q$6:$Q$22*固有振動数!$P$6:$P$22/((1-($A215/固有振動数!$O$6:$O$22)^2)^2+固有振動数!$P$6:$P$22^2))</f>
        <v>-10.1979582066314</v>
      </c>
      <c r="D215" s="128" t="n">
        <f aca="false">SQRT(B215^2+C215^2)</f>
        <v>37.3288674859488</v>
      </c>
      <c r="E215" s="129" t="n">
        <f aca="false">20*LOG10(MAX(D215,0.000000000001)/$K$3)</f>
        <v>31.4408962828207</v>
      </c>
    </row>
    <row r="216" customFormat="false" ht="15" hidden="false" customHeight="false" outlineLevel="0" collapsed="false">
      <c r="A216" s="122" t="n">
        <f aca="false">A215+$F$3</f>
        <v>2100</v>
      </c>
      <c r="B216" s="123" t="n">
        <f aca="false">SUMPRODUCT(固有振動数!$Q$6:$Q$22*(1-($A216/固有振動数!$O$6:$O$22)^2)/((1-($A216/固有振動数!$O$6:$O$22)^2)^2+固有振動数!$P$6:$P$22^2))</f>
        <v>38.1908375582366</v>
      </c>
      <c r="C216" s="123" t="n">
        <f aca="false">-SUMPRODUCT(固有振動数!$Q$6:$Q$22*固有振動数!$P$6:$P$22/((1-($A216/固有振動数!$O$6:$O$22)^2)^2+固有振動数!$P$6:$P$22^2))</f>
        <v>-14.4284202604291</v>
      </c>
      <c r="D216" s="124" t="n">
        <f aca="false">SQRT(B216^2+C216^2)</f>
        <v>40.8254747016023</v>
      </c>
      <c r="E216" s="125" t="n">
        <f aca="false">20*LOG10(MAX(D216,0.000000000001)/$K$3)</f>
        <v>32.2186248646654</v>
      </c>
    </row>
    <row r="217" customFormat="false" ht="15" hidden="false" customHeight="false" outlineLevel="0" collapsed="false">
      <c r="A217" s="126" t="n">
        <f aca="false">A216+$F$3</f>
        <v>2110</v>
      </c>
      <c r="B217" s="127" t="n">
        <f aca="false">SUMPRODUCT(固有振動数!$Q$6:$Q$22*(1-($A217/固有振動数!$O$6:$O$22)^2)/((1-($A217/固有振動数!$O$6:$O$22)^2)^2+固有振動数!$P$6:$P$22^2))</f>
        <v>39.7846994288194</v>
      </c>
      <c r="C217" s="127" t="n">
        <f aca="false">-SUMPRODUCT(固有振動数!$Q$6:$Q$22*固有振動数!$P$6:$P$22/((1-($A217/固有振動数!$O$6:$O$22)^2)^2+固有振動数!$P$6:$P$22^2))</f>
        <v>-21.2955856545609</v>
      </c>
      <c r="D217" s="128" t="n">
        <f aca="false">SQRT(B217^2+C217^2)</f>
        <v>45.1256498791124</v>
      </c>
      <c r="E217" s="129" t="n">
        <f aca="false">20*LOG10(MAX(D217,0.000000000001)/$K$3)</f>
        <v>33.0884693894123</v>
      </c>
    </row>
    <row r="218" customFormat="false" ht="15" hidden="false" customHeight="false" outlineLevel="0" collapsed="false">
      <c r="A218" s="122" t="n">
        <f aca="false">A217+$F$3</f>
        <v>2120</v>
      </c>
      <c r="B218" s="123" t="n">
        <f aca="false">SUMPRODUCT(固有振動数!$Q$6:$Q$22*(1-($A218/固有振動数!$O$6:$O$22)^2)/((1-($A218/固有振動数!$O$6:$O$22)^2)^2+固有振動数!$P$6:$P$22^2))</f>
        <v>37.9925281238674</v>
      </c>
      <c r="C218" s="123" t="n">
        <f aca="false">-SUMPRODUCT(固有振動数!$Q$6:$Q$22*固有振動数!$P$6:$P$22/((1-($A218/固有振動数!$O$6:$O$22)^2)^2+固有振動数!$P$6:$P$22^2))</f>
        <v>-31.7231925954074</v>
      </c>
      <c r="D218" s="124" t="n">
        <f aca="false">SQRT(B218^2+C218^2)</f>
        <v>49.4953850544489</v>
      </c>
      <c r="E218" s="125" t="n">
        <f aca="false">20*LOG10(MAX(D218,0.000000000001)/$K$3)</f>
        <v>33.8912941448039</v>
      </c>
    </row>
    <row r="219" customFormat="false" ht="15" hidden="false" customHeight="false" outlineLevel="0" collapsed="false">
      <c r="A219" s="126" t="n">
        <f aca="false">A218+$F$3</f>
        <v>2130</v>
      </c>
      <c r="B219" s="127" t="n">
        <f aca="false">SUMPRODUCT(固有振動数!$Q$6:$Q$22*(1-($A219/固有振動数!$O$6:$O$22)^2)/((1-($A219/固有振動数!$O$6:$O$22)^2)^2+固有振動数!$P$6:$P$22^2))</f>
        <v>27.6161358983872</v>
      </c>
      <c r="C219" s="127" t="n">
        <f aca="false">-SUMPRODUCT(固有振動数!$Q$6:$Q$22*固有振動数!$P$6:$P$22/((1-($A219/固有振動数!$O$6:$O$22)^2)^2+固有振動数!$P$6:$P$22^2))</f>
        <v>-42.7296942296294</v>
      </c>
      <c r="D219" s="128" t="n">
        <f aca="false">SQRT(B219^2+C219^2)</f>
        <v>50.8770845363197</v>
      </c>
      <c r="E219" s="129" t="n">
        <f aca="false">20*LOG10(MAX(D219,0.000000000001)/$K$3)</f>
        <v>34.1304443302968</v>
      </c>
    </row>
    <row r="220" customFormat="false" ht="15" hidden="false" customHeight="false" outlineLevel="0" collapsed="false">
      <c r="A220" s="122" t="n">
        <f aca="false">A219+$F$3</f>
        <v>2140</v>
      </c>
      <c r="B220" s="123" t="n">
        <f aca="false">SUMPRODUCT(固有振動数!$Q$6:$Q$22*(1-($A220/固有振動数!$O$6:$O$22)^2)/((1-($A220/固有振動数!$O$6:$O$22)^2)^2+固有振動数!$P$6:$P$22^2))</f>
        <v>9.77222485176395</v>
      </c>
      <c r="C220" s="123" t="n">
        <f aca="false">-SUMPRODUCT(固有振動数!$Q$6:$Q$22*固有振動数!$P$6:$P$22/((1-($A220/固有振動数!$O$6:$O$22)^2)^2+固有振動数!$P$6:$P$22^2))</f>
        <v>-43.7322061332296</v>
      </c>
      <c r="D220" s="124" t="n">
        <f aca="false">SQRT(B220^2+C220^2)</f>
        <v>44.8107379077015</v>
      </c>
      <c r="E220" s="125" t="n">
        <f aca="false">20*LOG10(MAX(D220,0.000000000001)/$K$3)</f>
        <v>33.0276419117821</v>
      </c>
    </row>
    <row r="221" customFormat="false" ht="15" hidden="false" customHeight="false" outlineLevel="0" collapsed="false">
      <c r="A221" s="126" t="n">
        <f aca="false">A220+$F$3</f>
        <v>2150</v>
      </c>
      <c r="B221" s="127" t="n">
        <f aca="false">SUMPRODUCT(固有振動数!$Q$6:$Q$22*(1-($A221/固有振動数!$O$6:$O$22)^2)/((1-($A221/固有振動数!$O$6:$O$22)^2)^2+固有振動数!$P$6:$P$22^2))</f>
        <v>-2.1324395059192</v>
      </c>
      <c r="C221" s="127" t="n">
        <f aca="false">-SUMPRODUCT(固有振動数!$Q$6:$Q$22*固有振動数!$P$6:$P$22/((1-($A221/固有振動数!$O$6:$O$22)^2)^2+固有振動数!$P$6:$P$22^2))</f>
        <v>-33.3009547917954</v>
      </c>
      <c r="D221" s="128" t="n">
        <f aca="false">SQRT(B221^2+C221^2)</f>
        <v>33.369160736998</v>
      </c>
      <c r="E221" s="129" t="n">
        <f aca="false">20*LOG10(MAX(D221,0.000000000001)/$K$3)</f>
        <v>30.4669056782717</v>
      </c>
    </row>
    <row r="222" customFormat="false" ht="15" hidden="false" customHeight="false" outlineLevel="0" collapsed="false">
      <c r="A222" s="122" t="n">
        <f aca="false">A221+$F$3</f>
        <v>2160</v>
      </c>
      <c r="B222" s="123" t="n">
        <f aca="false">SUMPRODUCT(固有振動数!$Q$6:$Q$22*(1-($A222/固有振動数!$O$6:$O$22)^2)/((1-($A222/固有振動数!$O$6:$O$22)^2)^2+固有振動数!$P$6:$P$22^2))</f>
        <v>-4.72784014324518</v>
      </c>
      <c r="C222" s="123" t="n">
        <f aca="false">-SUMPRODUCT(固有振動数!$Q$6:$Q$22*固有振動数!$P$6:$P$22/((1-($A222/固有振動数!$O$6:$O$22)^2)^2+固有振動数!$P$6:$P$22^2))</f>
        <v>-22.2992752156009</v>
      </c>
      <c r="D222" s="124" t="n">
        <f aca="false">SQRT(B222^2+C222^2)</f>
        <v>22.7949588190282</v>
      </c>
      <c r="E222" s="125" t="n">
        <f aca="false">20*LOG10(MAX(D222,0.000000000001)/$K$3)</f>
        <v>27.1567762389983</v>
      </c>
    </row>
    <row r="223" customFormat="false" ht="15" hidden="false" customHeight="false" outlineLevel="0" collapsed="false">
      <c r="A223" s="126" t="n">
        <f aca="false">A222+$F$3</f>
        <v>2170</v>
      </c>
      <c r="B223" s="127" t="n">
        <f aca="false">SUMPRODUCT(固有振動数!$Q$6:$Q$22*(1-($A223/固有振動数!$O$6:$O$22)^2)/((1-($A223/固有振動数!$O$6:$O$22)^2)^2+固有振動数!$P$6:$P$22^2))</f>
        <v>-3.26763655685185</v>
      </c>
      <c r="C223" s="127" t="n">
        <f aca="false">-SUMPRODUCT(固有振動数!$Q$6:$Q$22*固有振動数!$P$6:$P$22/((1-($A223/固有振動数!$O$6:$O$22)^2)^2+固有振動数!$P$6:$P$22^2))</f>
        <v>-14.9030194670005</v>
      </c>
      <c r="D223" s="128" t="n">
        <f aca="false">SQRT(B223^2+C223^2)</f>
        <v>15.2570455167922</v>
      </c>
      <c r="E223" s="129" t="n">
        <f aca="false">20*LOG10(MAX(D223,0.000000000001)/$K$3)</f>
        <v>23.6694088375387</v>
      </c>
    </row>
    <row r="224" customFormat="false" ht="15" hidden="false" customHeight="false" outlineLevel="0" collapsed="false">
      <c r="A224" s="122" t="n">
        <f aca="false">A223+$F$3</f>
        <v>2180</v>
      </c>
      <c r="B224" s="123" t="n">
        <f aca="false">SUMPRODUCT(固有振動数!$Q$6:$Q$22*(1-($A224/固有振動数!$O$6:$O$22)^2)/((1-($A224/固有振動数!$O$6:$O$22)^2)^2+固有振動数!$P$6:$P$22^2))</f>
        <v>-0.90775092432459</v>
      </c>
      <c r="C224" s="123" t="n">
        <f aca="false">-SUMPRODUCT(固有振動数!$Q$6:$Q$22*固有振動数!$P$6:$P$22/((1-($A224/固有振動数!$O$6:$O$22)^2)^2+固有振動数!$P$6:$P$22^2))</f>
        <v>-10.3706911348766</v>
      </c>
      <c r="D224" s="124" t="n">
        <f aca="false">SQRT(B224^2+C224^2)</f>
        <v>10.4103432390877</v>
      </c>
      <c r="E224" s="125" t="n">
        <f aca="false">20*LOG10(MAX(D224,0.000000000001)/$K$3)</f>
        <v>20.3493009771162</v>
      </c>
    </row>
    <row r="225" customFormat="false" ht="15" hidden="false" customHeight="false" outlineLevel="0" collapsed="false">
      <c r="A225" s="126" t="n">
        <f aca="false">A224+$F$3</f>
        <v>2190</v>
      </c>
      <c r="B225" s="127" t="n">
        <f aca="false">SUMPRODUCT(固有振動数!$Q$6:$Q$22*(1-($A225/固有振動数!$O$6:$O$22)^2)/((1-($A225/固有振動数!$O$6:$O$22)^2)^2+固有振動数!$P$6:$P$22^2))</f>
        <v>1.34909312757055</v>
      </c>
      <c r="C225" s="127" t="n">
        <f aca="false">-SUMPRODUCT(固有振動数!$Q$6:$Q$22*固有振動数!$P$6:$P$22/((1-($A225/固有振動数!$O$6:$O$22)^2)^2+固有振動数!$P$6:$P$22^2))</f>
        <v>-7.55842525899851</v>
      </c>
      <c r="D225" s="128" t="n">
        <f aca="false">SQRT(B225^2+C225^2)</f>
        <v>7.67788021935252</v>
      </c>
      <c r="E225" s="129" t="n">
        <f aca="false">20*LOG10(MAX(D225,0.000000000001)/$K$3)</f>
        <v>17.7048266503399</v>
      </c>
    </row>
    <row r="226" customFormat="false" ht="15" hidden="false" customHeight="false" outlineLevel="0" collapsed="false">
      <c r="A226" s="122" t="n">
        <f aca="false">A225+$F$3</f>
        <v>2200</v>
      </c>
      <c r="B226" s="123" t="n">
        <f aca="false">SUMPRODUCT(固有振動数!$Q$6:$Q$22*(1-($A226/固有振動数!$O$6:$O$22)^2)/((1-($A226/固有振動数!$O$6:$O$22)^2)^2+固有振動数!$P$6:$P$22^2))</f>
        <v>3.28238450718838</v>
      </c>
      <c r="C226" s="123" t="n">
        <f aca="false">-SUMPRODUCT(固有振動数!$Q$6:$Q$22*固有振動数!$P$6:$P$22/((1-($A226/固有振動数!$O$6:$O$22)^2)^2+固有振動数!$P$6:$P$22^2))</f>
        <v>-5.74414331204614</v>
      </c>
      <c r="D226" s="124" t="n">
        <f aca="false">SQRT(B226^2+C226^2)</f>
        <v>6.61583180275578</v>
      </c>
      <c r="E226" s="125" t="n">
        <f aca="false">20*LOG10(MAX(D226,0.000000000001)/$K$3)</f>
        <v>16.4116891084485</v>
      </c>
    </row>
    <row r="227" customFormat="false" ht="15" hidden="false" customHeight="false" outlineLevel="0" collapsed="false">
      <c r="A227" s="126" t="n">
        <f aca="false">A226+$F$3</f>
        <v>2210</v>
      </c>
      <c r="B227" s="127" t="n">
        <f aca="false">SUMPRODUCT(固有振動数!$Q$6:$Q$22*(1-($A227/固有振動数!$O$6:$O$22)^2)/((1-($A227/固有振動数!$O$6:$O$22)^2)^2+固有振動数!$P$6:$P$22^2))</f>
        <v>4.89305380202192</v>
      </c>
      <c r="C227" s="127" t="n">
        <f aca="false">-SUMPRODUCT(固有振動数!$Q$6:$Q$22*固有振動数!$P$6:$P$22/((1-($A227/固有振動数!$O$6:$O$22)^2)^2+固有振動数!$P$6:$P$22^2))</f>
        <v>-4.52387484046212</v>
      </c>
      <c r="D227" s="128" t="n">
        <f aca="false">SQRT(B227^2+C227^2)</f>
        <v>6.66388918587692</v>
      </c>
      <c r="E227" s="129" t="n">
        <f aca="false">20*LOG10(MAX(D227,0.000000000001)/$K$3)</f>
        <v>16.4745553311129</v>
      </c>
    </row>
    <row r="228" customFormat="false" ht="15" hidden="false" customHeight="false" outlineLevel="0" collapsed="false">
      <c r="A228" s="122" t="n">
        <f aca="false">A227+$F$3</f>
        <v>2220</v>
      </c>
      <c r="B228" s="123" t="n">
        <f aca="false">SUMPRODUCT(固有振動数!$Q$6:$Q$22*(1-($A228/固有振動数!$O$6:$O$22)^2)/((1-($A228/固有振動数!$O$6:$O$22)^2)^2+固有振動数!$P$6:$P$22^2))</f>
        <v>6.23207654607414</v>
      </c>
      <c r="C228" s="123" t="n">
        <f aca="false">-SUMPRODUCT(固有振動数!$Q$6:$Q$22*固有振動数!$P$6:$P$22/((1-($A228/固有振動数!$O$6:$O$22)^2)^2+固有振動数!$P$6:$P$22^2))</f>
        <v>-3.67143744445495</v>
      </c>
      <c r="D228" s="124" t="n">
        <f aca="false">SQRT(B228^2+C228^2)</f>
        <v>7.23313424351251</v>
      </c>
      <c r="E228" s="125" t="n">
        <f aca="false">20*LOG10(MAX(D228,0.000000000001)/$K$3)</f>
        <v>17.1865305093962</v>
      </c>
    </row>
    <row r="229" customFormat="false" ht="15" hidden="false" customHeight="false" outlineLevel="0" collapsed="false">
      <c r="A229" s="126" t="n">
        <f aca="false">A228+$F$3</f>
        <v>2230</v>
      </c>
      <c r="B229" s="127" t="n">
        <f aca="false">SUMPRODUCT(固有振動数!$Q$6:$Q$22*(1-($A229/固有振動数!$O$6:$O$22)^2)/((1-($A229/固有振動数!$O$6:$O$22)^2)^2+固有振動数!$P$6:$P$22^2))</f>
        <v>7.35299958185511</v>
      </c>
      <c r="C229" s="127" t="n">
        <f aca="false">-SUMPRODUCT(固有振動数!$Q$6:$Q$22*固有振動数!$P$6:$P$22/((1-($A229/固有振動数!$O$6:$O$22)^2)^2+固有振動数!$P$6:$P$22^2))</f>
        <v>-3.05607953693603</v>
      </c>
      <c r="D229" s="128" t="n">
        <f aca="false">SQRT(B229^2+C229^2)</f>
        <v>7.96280258369128</v>
      </c>
      <c r="E229" s="129" t="n">
        <f aca="false">20*LOG10(MAX(D229,0.000000000001)/$K$3)</f>
        <v>18.0213189738838</v>
      </c>
    </row>
    <row r="230" customFormat="false" ht="15" hidden="false" customHeight="false" outlineLevel="0" collapsed="false">
      <c r="A230" s="122" t="n">
        <f aca="false">A229+$F$3</f>
        <v>2240</v>
      </c>
      <c r="B230" s="123" t="n">
        <f aca="false">SUMPRODUCT(固有振動数!$Q$6:$Q$22*(1-($A230/固有振動数!$O$6:$O$22)^2)/((1-($A230/固有振動数!$O$6:$O$22)^2)^2+固有振動数!$P$6:$P$22^2))</f>
        <v>8.30078524717622</v>
      </c>
      <c r="C230" s="123" t="n">
        <f aca="false">-SUMPRODUCT(固有振動数!$Q$6:$Q$22*固有振動数!$P$6:$P$22/((1-($A230/固有振動数!$O$6:$O$22)^2)^2+固有振動数!$P$6:$P$22^2))</f>
        <v>-2.5992310571493</v>
      </c>
      <c r="D230" s="124" t="n">
        <f aca="false">SQRT(B230^2+C230^2)</f>
        <v>8.69822038167508</v>
      </c>
      <c r="E230" s="125" t="n">
        <f aca="false">20*LOG10(MAX(D230,0.000000000001)/$K$3)</f>
        <v>18.7886081386326</v>
      </c>
    </row>
    <row r="231" customFormat="false" ht="15" hidden="false" customHeight="false" outlineLevel="0" collapsed="false">
      <c r="A231" s="126" t="n">
        <f aca="false">A230+$F$3</f>
        <v>2250</v>
      </c>
      <c r="B231" s="127" t="n">
        <f aca="false">SUMPRODUCT(固有振動数!$Q$6:$Q$22*(1-($A231/固有振動数!$O$6:$O$22)^2)/((1-($A231/固有振動数!$O$6:$O$22)^2)^2+固有振動数!$P$6:$P$22^2))</f>
        <v>9.11083077261584</v>
      </c>
      <c r="C231" s="127" t="n">
        <f aca="false">-SUMPRODUCT(固有振動数!$Q$6:$Q$22*固有振動数!$P$6:$P$22/((1-($A231/固有振動数!$O$6:$O$22)^2)^2+固有振動数!$P$6:$P$22^2))</f>
        <v>-2.25185474603765</v>
      </c>
      <c r="D231" s="128" t="n">
        <f aca="false">SQRT(B231^2+C231^2)</f>
        <v>9.3849926566032</v>
      </c>
      <c r="E231" s="129" t="n">
        <f aca="false">20*LOG10(MAX(D231,0.000000000001)/$K$3)</f>
        <v>19.4486787427745</v>
      </c>
    </row>
    <row r="232" customFormat="false" ht="15" hidden="false" customHeight="false" outlineLevel="0" collapsed="false">
      <c r="A232" s="122" t="n">
        <f aca="false">A231+$F$3</f>
        <v>2260</v>
      </c>
      <c r="B232" s="123" t="n">
        <f aca="false">SUMPRODUCT(固有振動数!$Q$6:$Q$22*(1-($A232/固有振動数!$O$6:$O$22)^2)/((1-($A232/固有振動数!$O$6:$O$22)^2)^2+固有振動数!$P$6:$P$22^2))</f>
        <v>9.8104758207068</v>
      </c>
      <c r="C232" s="123" t="n">
        <f aca="false">-SUMPRODUCT(固有振動数!$Q$6:$Q$22*固有振動数!$P$6:$P$22/((1-($A232/固有振動数!$O$6:$O$22)^2)^2+固有振動数!$P$6:$P$22^2))</f>
        <v>-1.98226329071927</v>
      </c>
      <c r="D232" s="124" t="n">
        <f aca="false">SQRT(B232^2+C232^2)</f>
        <v>10.0087363629184</v>
      </c>
      <c r="E232" s="125" t="n">
        <f aca="false">20*LOG10(MAX(D232,0.000000000001)/$K$3)</f>
        <v>20.0075849956333</v>
      </c>
    </row>
    <row r="233" customFormat="false" ht="15" hidden="false" customHeight="false" outlineLevel="0" collapsed="false">
      <c r="A233" s="126" t="n">
        <f aca="false">A232+$F$3</f>
        <v>2270</v>
      </c>
      <c r="B233" s="127" t="n">
        <f aca="false">SUMPRODUCT(固有振動数!$Q$6:$Q$22*(1-($A233/固有振動数!$O$6:$O$22)^2)/((1-($A233/固有振動数!$O$6:$O$22)^2)^2+固有振動数!$P$6:$P$22^2))</f>
        <v>10.420797178968</v>
      </c>
      <c r="C233" s="127" t="n">
        <f aca="false">-SUMPRODUCT(固有振動数!$Q$6:$Q$22*固有振動数!$P$6:$P$22/((1-($A233/固有振動数!$O$6:$O$22)^2)^2+固有振動数!$P$6:$P$22^2))</f>
        <v>-1.76933373774093</v>
      </c>
      <c r="D233" s="128" t="n">
        <f aca="false">SQRT(B233^2+C233^2)</f>
        <v>10.5699364104377</v>
      </c>
      <c r="E233" s="129" t="n">
        <f aca="false">20*LOG10(MAX(D233,0.000000000001)/$K$3)</f>
        <v>20.4814474913158</v>
      </c>
    </row>
    <row r="234" customFormat="false" ht="15" hidden="false" customHeight="false" outlineLevel="0" collapsed="false">
      <c r="A234" s="122" t="n">
        <f aca="false">A233+$F$3</f>
        <v>2280</v>
      </c>
      <c r="B234" s="123" t="n">
        <f aca="false">SUMPRODUCT(固有振動数!$Q$6:$Q$22*(1-($A234/固有振動数!$O$6:$O$22)^2)/((1-($A234/固有振動数!$O$6:$O$22)^2)^2+固有振動数!$P$6:$P$22^2))</f>
        <v>10.9581321159674</v>
      </c>
      <c r="C234" s="123" t="n">
        <f aca="false">-SUMPRODUCT(固有振動数!$Q$6:$Q$22*固有振動数!$P$6:$P$22/((1-($A234/固有振動数!$O$6:$O$22)^2)^2+固有振動数!$P$6:$P$22^2))</f>
        <v>-1.59859103370941</v>
      </c>
      <c r="D234" s="124" t="n">
        <f aca="false">SQRT(B234^2+C234^2)</f>
        <v>11.0741208573887</v>
      </c>
      <c r="E234" s="125" t="n">
        <f aca="false">20*LOG10(MAX(D234,0.000000000001)/$K$3)</f>
        <v>20.8861851774692</v>
      </c>
    </row>
    <row r="235" customFormat="false" ht="15" hidden="false" customHeight="false" outlineLevel="0" collapsed="false">
      <c r="A235" s="126" t="n">
        <f aca="false">A234+$F$3</f>
        <v>2290</v>
      </c>
      <c r="B235" s="127" t="n">
        <f aca="false">SUMPRODUCT(固有振動数!$Q$6:$Q$22*(1-($A235/固有振動数!$O$6:$O$22)^2)/((1-($A235/固有振動数!$O$6:$O$22)^2)^2+固有振動数!$P$6:$P$22^2))</f>
        <v>11.4352535164596</v>
      </c>
      <c r="C235" s="127" t="n">
        <f aca="false">-SUMPRODUCT(固有振動数!$Q$6:$Q$22*固有振動数!$P$6:$P$22/((1-($A235/固有振動数!$O$6:$O$22)^2)^2+固有振動数!$P$6:$P$22^2))</f>
        <v>-1.45986983654772</v>
      </c>
      <c r="D235" s="128" t="n">
        <f aca="false">SQRT(B235^2+C235^2)</f>
        <v>11.528063277297</v>
      </c>
      <c r="E235" s="129" t="n">
        <f aca="false">20*LOG10(MAX(D235,0.000000000001)/$K$3)</f>
        <v>21.2351270329152</v>
      </c>
    </row>
    <row r="236" customFormat="false" ht="15" hidden="false" customHeight="false" outlineLevel="0" collapsed="false">
      <c r="A236" s="122" t="n">
        <f aca="false">A235+$F$3</f>
        <v>2300</v>
      </c>
      <c r="B236" s="123" t="n">
        <f aca="false">SUMPRODUCT(固有振動数!$Q$6:$Q$22*(1-($A236/固有振動数!$O$6:$O$22)^2)/((1-($A236/固有振動数!$O$6:$O$22)^2)^2+固有振動数!$P$6:$P$22^2))</f>
        <v>11.8622462708398</v>
      </c>
      <c r="C236" s="123" t="n">
        <f aca="false">-SUMPRODUCT(固有振動数!$Q$6:$Q$22*固有振動数!$P$6:$P$22/((1-($A236/固有振動数!$O$6:$O$22)^2)^2+固有振動数!$P$6:$P$22^2))</f>
        <v>-1.34587441064483</v>
      </c>
      <c r="D236" s="124" t="n">
        <f aca="false">SQRT(B236^2+C236^2)</f>
        <v>11.938352671926</v>
      </c>
      <c r="E236" s="125" t="n">
        <f aca="false">20*LOG10(MAX(D236,0.000000000001)/$K$3)</f>
        <v>21.5388880855327</v>
      </c>
    </row>
    <row r="237" customFormat="false" ht="15" hidden="false" customHeight="false" outlineLevel="0" collapsed="false">
      <c r="A237" s="126" t="n">
        <f aca="false">A236+$F$3</f>
        <v>2310</v>
      </c>
      <c r="B237" s="127" t="n">
        <f aca="false">SUMPRODUCT(固有振動数!$Q$6:$Q$22*(1-($A237/固有振動数!$O$6:$O$22)^2)/((1-($A237/固有振動数!$O$6:$O$22)^2)^2+固有振動数!$P$6:$P$22^2))</f>
        <v>12.2471541646141</v>
      </c>
      <c r="C237" s="127" t="n">
        <f aca="false">-SUMPRODUCT(固有振動数!$Q$6:$Q$22*固有振動数!$P$6:$P$22/((1-($A237/固有振動数!$O$6:$O$22)^2)^2+固有振動数!$P$6:$P$22^2))</f>
        <v>-1.25126614455923</v>
      </c>
      <c r="D237" s="128" t="n">
        <f aca="false">SQRT(B237^2+C237^2)</f>
        <v>12.3109078502092</v>
      </c>
      <c r="E237" s="129" t="n">
        <f aca="false">20*LOG10(MAX(D237,0.000000000001)/$K$3)</f>
        <v>21.8058016106951</v>
      </c>
    </row>
    <row r="238" customFormat="false" ht="15" hidden="false" customHeight="false" outlineLevel="0" collapsed="false">
      <c r="A238" s="122" t="n">
        <f aca="false">A237+$F$3</f>
        <v>2320</v>
      </c>
      <c r="B238" s="123" t="n">
        <f aca="false">SUMPRODUCT(固有振動数!$Q$6:$Q$22*(1-($A238/固有振動数!$O$6:$O$22)^2)/((1-($A238/固有振動数!$O$6:$O$22)^2)^2+固有振動数!$P$6:$P$22^2))</f>
        <v>12.5964574672508</v>
      </c>
      <c r="C238" s="123" t="n">
        <f aca="false">-SUMPRODUCT(固有振動数!$Q$6:$Q$22*固有振動数!$P$6:$P$22/((1-($A238/固有振動数!$O$6:$O$22)^2)^2+固有振動数!$P$6:$P$22^2))</f>
        <v>-1.1720703319646</v>
      </c>
      <c r="D238" s="124" t="n">
        <f aca="false">SQRT(B238^2+C238^2)</f>
        <v>12.6508691237926</v>
      </c>
      <c r="E238" s="125" t="n">
        <f aca="false">20*LOG10(MAX(D238,0.000000000001)/$K$3)</f>
        <v>22.0424072575904</v>
      </c>
    </row>
    <row r="239" customFormat="false" ht="15" hidden="false" customHeight="false" outlineLevel="0" collapsed="false">
      <c r="A239" s="126" t="n">
        <f aca="false">A238+$F$3</f>
        <v>2330</v>
      </c>
      <c r="B239" s="127" t="n">
        <f aca="false">SUMPRODUCT(固有振動数!$Q$6:$Q$22*(1-($A239/固有振動数!$O$6:$O$22)^2)/((1-($A239/固有振動数!$O$6:$O$22)^2)^2+固有振動数!$P$6:$P$22^2))</f>
        <v>12.9154273945244</v>
      </c>
      <c r="C239" s="127" t="n">
        <f aca="false">-SUMPRODUCT(固有振動数!$Q$6:$Q$22*固有振動数!$P$6:$P$22/((1-($A239/固有振動数!$O$6:$O$22)^2)^2+固有振動数!$P$6:$P$22^2))</f>
        <v>-1.10528143226254</v>
      </c>
      <c r="D239" s="128" t="n">
        <f aca="false">SQRT(B239^2+C239^2)</f>
        <v>12.9626352192652</v>
      </c>
      <c r="E239" s="129" t="n">
        <f aca="false">20*LOG10(MAX(D239,0.000000000001)/$K$3)</f>
        <v>22.2538659949613</v>
      </c>
    </row>
    <row r="240" customFormat="false" ht="15" hidden="false" customHeight="false" outlineLevel="0" collapsed="false">
      <c r="A240" s="122" t="n">
        <f aca="false">A239+$F$3</f>
        <v>2340</v>
      </c>
      <c r="B240" s="123" t="n">
        <f aca="false">SUMPRODUCT(固有振動数!$Q$6:$Q$22*(1-($A240/固有振動数!$O$6:$O$22)^2)/((1-($A240/固有振動数!$O$6:$O$22)^2)^2+固有振動数!$P$6:$P$22^2))</f>
        <v>13.2083912348473</v>
      </c>
      <c r="C240" s="123" t="n">
        <f aca="false">-SUMPRODUCT(固有振動数!$Q$6:$Q$22*固有振動数!$P$6:$P$22/((1-($A240/固有振動数!$O$6:$O$22)^2)^2+固有振動数!$P$6:$P$22^2))</f>
        <v>-1.048594805269</v>
      </c>
      <c r="D240" s="124" t="n">
        <f aca="false">SQRT(B240^2+C240^2)</f>
        <v>13.2499490594654</v>
      </c>
      <c r="E240" s="125" t="n">
        <f aca="false">20*LOG10(MAX(D240,0.000000000001)/$K$3)</f>
        <v>22.4442841718934</v>
      </c>
    </row>
    <row r="241" customFormat="false" ht="15" hidden="false" customHeight="false" outlineLevel="0" collapsed="false">
      <c r="A241" s="126" t="n">
        <f aca="false">A240+$F$3</f>
        <v>2350</v>
      </c>
      <c r="B241" s="127" t="n">
        <f aca="false">SUMPRODUCT(固有振動数!$Q$6:$Q$22*(1-($A241/固有振動数!$O$6:$O$22)^2)/((1-($A241/固有振動数!$O$6:$O$22)^2)^2+固有振動数!$P$6:$P$22^2))</f>
        <v>13.4789324275255</v>
      </c>
      <c r="C241" s="127" t="n">
        <f aca="false">-SUMPRODUCT(固有振動数!$Q$6:$Q$22*固有振動数!$P$6:$P$22/((1-($A241/固有振動数!$O$6:$O$22)^2)^2+固有振動数!$P$6:$P$22^2))</f>
        <v>-1.00022087236099</v>
      </c>
      <c r="D241" s="128" t="n">
        <f aca="false">SQRT(B241^2+C241^2)</f>
        <v>13.5159927929585</v>
      </c>
      <c r="E241" s="129" t="n">
        <f aca="false">20*LOG10(MAX(D241,0.000000000001)/$K$3)</f>
        <v>22.6169590305402</v>
      </c>
    </row>
    <row r="242" customFormat="false" ht="15" hidden="false" customHeight="false" outlineLevel="0" collapsed="false">
      <c r="A242" s="122" t="n">
        <f aca="false">A241+$F$3</f>
        <v>2360</v>
      </c>
      <c r="B242" s="123" t="n">
        <f aca="false">SUMPRODUCT(固有振動数!$Q$6:$Q$22*(1-($A242/固有振動数!$O$6:$O$22)^2)/((1-($A242/固有振動数!$O$6:$O$22)^2)^2+固有振動数!$P$6:$P$22^2))</f>
        <v>13.7300429675425</v>
      </c>
      <c r="C242" s="123" t="n">
        <f aca="false">-SUMPRODUCT(固有振動数!$Q$6:$Q$22*固有振動数!$P$6:$P$22/((1-($A242/固有振動数!$O$6:$O$22)^2)^2+固有振動数!$P$6:$P$22^2))</f>
        <v>-0.958754113469612</v>
      </c>
      <c r="D242" s="124" t="n">
        <f aca="false">SQRT(B242^2+C242^2)</f>
        <v>13.7634766443896</v>
      </c>
      <c r="E242" s="125" t="n">
        <f aca="false">20*LOG10(MAX(D242,0.000000000001)/$K$3)</f>
        <v>22.7745630046754</v>
      </c>
    </row>
    <row r="243" customFormat="false" ht="15" hidden="false" customHeight="false" outlineLevel="0" collapsed="false">
      <c r="A243" s="126" t="n">
        <f aca="false">A242+$F$3</f>
        <v>2370</v>
      </c>
      <c r="B243" s="127" t="n">
        <f aca="false">SUMPRODUCT(固有振動数!$Q$6:$Q$22*(1-($A243/固有振動数!$O$6:$O$22)^2)/((1-($A243/固有振動数!$O$6:$O$22)^2)^2+固有振動数!$P$6:$P$22^2))</f>
        <v>13.964240589094</v>
      </c>
      <c r="C243" s="127" t="n">
        <f aca="false">-SUMPRODUCT(固有振動数!$Q$6:$Q$22*固有振動数!$P$6:$P$22/((1-($A243/固有振動数!$O$6:$O$22)^2)^2+固有振動数!$P$6:$P$22^2))</f>
        <v>-0.923079237921532</v>
      </c>
      <c r="D243" s="128" t="n">
        <f aca="false">SQRT(B243^2+C243^2)</f>
        <v>13.9947165212298</v>
      </c>
      <c r="E243" s="129" t="n">
        <f aca="false">20*LOG10(MAX(D243,0.000000000001)/$K$3)</f>
        <v>22.9192821153326</v>
      </c>
    </row>
    <row r="244" customFormat="false" ht="15" hidden="false" customHeight="false" outlineLevel="0" collapsed="false">
      <c r="A244" s="122" t="n">
        <f aca="false">A243+$F$3</f>
        <v>2380</v>
      </c>
      <c r="B244" s="123" t="n">
        <f aca="false">SUMPRODUCT(固有振動数!$Q$6:$Q$22*(1-($A244/固有振動数!$O$6:$O$22)^2)/((1-($A244/固有振動数!$O$6:$O$22)^2)^2+固有振動数!$P$6:$P$22^2))</f>
        <v>14.1836597001803</v>
      </c>
      <c r="C244" s="123" t="n">
        <f aca="false">-SUMPRODUCT(固有振動数!$Q$6:$Q$22*固有振動数!$P$6:$P$22/((1-($A244/固有振動数!$O$6:$O$22)^2)^2+固有振動数!$P$6:$P$22^2))</f>
        <v>-0.892302994833679</v>
      </c>
      <c r="D244" s="124" t="n">
        <f aca="false">SQRT(B244^2+C244^2)</f>
        <v>14.2116996564489</v>
      </c>
      <c r="E244" s="125" t="n">
        <f aca="false">20*LOG10(MAX(D244,0.000000000001)/$K$3)</f>
        <v>23.0529204146723</v>
      </c>
    </row>
    <row r="245" customFormat="false" ht="15" hidden="false" customHeight="false" outlineLevel="0" collapsed="false">
      <c r="A245" s="126" t="n">
        <f aca="false">A244+$F$3</f>
        <v>2390</v>
      </c>
      <c r="B245" s="127" t="n">
        <f aca="false">SUMPRODUCT(固有振動数!$Q$6:$Q$22*(1-($A245/固有振動数!$O$6:$O$22)^2)/((1-($A245/固有振動数!$O$6:$O$22)^2)^2+固有振動数!$P$6:$P$22^2))</f>
        <v>14.3901225799298</v>
      </c>
      <c r="C245" s="127" t="n">
        <f aca="false">-SUMPRODUCT(固有振動数!$Q$6:$Q$22*固有振動数!$P$6:$P$22/((1-($A245/固有振動数!$O$6:$O$22)^2)^2+固有振動数!$P$6:$P$22^2))</f>
        <v>-0.865703950812514</v>
      </c>
      <c r="D245" s="128" t="n">
        <f aca="false">SQRT(B245^2+C245^2)</f>
        <v>14.4161392611149</v>
      </c>
      <c r="E245" s="129" t="n">
        <f aca="false">20*LOG10(MAX(D245,0.000000000001)/$K$3)</f>
        <v>23.1769793795277</v>
      </c>
    </row>
    <row r="246" customFormat="false" ht="15" hidden="false" customHeight="false" outlineLevel="0" collapsed="false">
      <c r="A246" s="122" t="n">
        <f aca="false">A245+$F$3</f>
        <v>2400</v>
      </c>
      <c r="B246" s="123" t="n">
        <f aca="false">SUMPRODUCT(固有振動数!$Q$6:$Q$22*(1-($A246/固有振動数!$O$6:$O$22)^2)/((1-($A246/固有振動数!$O$6:$O$22)^2)^2+固有振動数!$P$6:$P$22^2))</f>
        <v>14.5851956032114</v>
      </c>
      <c r="C246" s="123" t="n">
        <f aca="false">-SUMPRODUCT(固有振動数!$Q$6:$Q$22*固有振動数!$P$6:$P$22/((1-($A246/固有振動数!$O$6:$O$22)^2)^2+固有振動数!$P$6:$P$22^2))</f>
        <v>-0.842695044437486</v>
      </c>
      <c r="D246" s="124" t="n">
        <f aca="false">SQRT(B246^2+C246^2)</f>
        <v>14.6095196951117</v>
      </c>
      <c r="E246" s="125" t="n">
        <f aca="false">20*LOG10(MAX(D246,0.000000000001)/$K$3)</f>
        <v>23.2927187646935</v>
      </c>
    </row>
    <row r="247" customFormat="false" ht="15" hidden="false" customHeight="false" outlineLevel="0" collapsed="false">
      <c r="A247" s="126" t="n">
        <f aca="false">A246+$F$3</f>
        <v>2410</v>
      </c>
      <c r="B247" s="127" t="n">
        <f aca="false">SUMPRODUCT(固有振動数!$Q$6:$Q$22*(1-($A247/固有振動数!$O$6:$O$22)^2)/((1-($A247/固有振動数!$O$6:$O$22)^2)^2+固有振動数!$P$6:$P$22^2))</f>
        <v>14.770234008769</v>
      </c>
      <c r="C247" s="127" t="n">
        <f aca="false">-SUMPRODUCT(固有振動数!$Q$6:$Q$22*固有振動数!$P$6:$P$22/((1-($A247/固有振動数!$O$6:$O$22)^2)^2+固有振動数!$P$6:$P$22^2))</f>
        <v>-0.82279535060623</v>
      </c>
      <c r="D247" s="128" t="n">
        <f aca="false">SQRT(B247^2+C247^2)</f>
        <v>14.7931337066484</v>
      </c>
      <c r="E247" s="129" t="n">
        <f aca="false">20*LOG10(MAX(D247,0.000000000001)/$K$3)</f>
        <v>23.4012036521439</v>
      </c>
    </row>
    <row r="248" customFormat="false" ht="15" hidden="false" customHeight="false" outlineLevel="0" collapsed="false">
      <c r="A248" s="122" t="n">
        <f aca="false">A247+$F$3</f>
        <v>2420</v>
      </c>
      <c r="B248" s="123" t="n">
        <f aca="false">SUMPRODUCT(固有振動数!$Q$6:$Q$22*(1-($A248/固有振動数!$O$6:$O$22)^2)/((1-($A248/固有振動数!$O$6:$O$22)^2)^2+固有振動数!$P$6:$P$22^2))</f>
        <v>14.946417828495</v>
      </c>
      <c r="C248" s="123" t="n">
        <f aca="false">-SUMPRODUCT(固有振動数!$Q$6:$Q$22*固有振動数!$P$6:$P$22/((1-($A248/固有振動数!$O$6:$O$22)^2)^2+固有振動数!$P$6:$P$22^2))</f>
        <v>-0.805608567812662</v>
      </c>
      <c r="D248" s="124" t="n">
        <f aca="false">SQRT(B248^2+C248^2)</f>
        <v>14.9681131432284</v>
      </c>
      <c r="E248" s="125" t="n">
        <f aca="false">20*LOG10(MAX(D248,0.000000000001)/$K$3)</f>
        <v>23.5033411462983</v>
      </c>
    </row>
    <row r="249" customFormat="false" ht="15" hidden="false" customHeight="false" outlineLevel="0" collapsed="false">
      <c r="A249" s="126" t="n">
        <f aca="false">A248+$F$3</f>
        <v>2430</v>
      </c>
      <c r="B249" s="127" t="n">
        <f aca="false">SUMPRODUCT(固有振動数!$Q$6:$Q$22*(1-($A249/固有振動数!$O$6:$O$22)^2)/((1-($A249/固有振動数!$O$6:$O$22)^2)^2+固有振動数!$P$6:$P$22^2))</f>
        <v>15.1147809433805</v>
      </c>
      <c r="C249" s="127" t="n">
        <f aca="false">-SUMPRODUCT(固有振動数!$Q$6:$Q$22*固有振動数!$P$6:$P$22/((1-($A249/固有振動数!$O$6:$O$22)^2)^2+固有振動数!$P$6:$P$22^2))</f>
        <v>-0.790806471002985</v>
      </c>
      <c r="D249" s="128" t="n">
        <f aca="false">SQRT(B249^2+C249^2)</f>
        <v>15.1354543321619</v>
      </c>
      <c r="E249" s="129" t="n">
        <f aca="false">20*LOG10(MAX(D249,0.000000000001)/$K$3)</f>
        <v>23.5999092405587</v>
      </c>
    </row>
    <row r="250" customFormat="false" ht="15" hidden="false" customHeight="false" outlineLevel="0" collapsed="false">
      <c r="A250" s="122" t="n">
        <f aca="false">A249+$F$3</f>
        <v>2440</v>
      </c>
      <c r="B250" s="123" t="n">
        <f aca="false">SUMPRODUCT(固有振動数!$Q$6:$Q$22*(1-($A250/固有振動数!$O$6:$O$22)^2)/((1-($A250/固有振動数!$O$6:$O$22)^2)^2+固有振動数!$P$6:$P$22^2))</f>
        <v>15.2762347545798</v>
      </c>
      <c r="C250" s="123" t="n">
        <f aca="false">-SUMPRODUCT(固有振動数!$Q$6:$Q$22*固有振動数!$P$6:$P$22/((1-($A250/固有振動数!$O$6:$O$22)^2)^2+固有振動数!$P$6:$P$22^2))</f>
        <v>-0.778116072643946</v>
      </c>
      <c r="D250" s="124" t="n">
        <f aca="false">SQRT(B250^2+C250^2)</f>
        <v>15.2960391245426</v>
      </c>
      <c r="E250" s="125" t="n">
        <f aca="false">20*LOG10(MAX(D250,0.000000000001)/$K$3)</f>
        <v>23.6915797156269</v>
      </c>
    </row>
    <row r="251" customFormat="false" ht="15" hidden="false" customHeight="false" outlineLevel="0" collapsed="false">
      <c r="A251" s="126" t="n">
        <f aca="false">A250+$F$3</f>
        <v>2450</v>
      </c>
      <c r="B251" s="127" t="n">
        <f aca="false">SUMPRODUCT(固有振動数!$Q$6:$Q$22*(1-($A251/固有振動数!$O$6:$O$22)^2)/((1-($A251/固有振動数!$O$6:$O$22)^2)^2+固有振動数!$P$6:$P$22^2))</f>
        <v>15.4315876060686</v>
      </c>
      <c r="C251" s="127" t="n">
        <f aca="false">-SUMPRODUCT(固有振動数!$Q$6:$Q$22*固有振動数!$P$6:$P$22/((1-($A251/固有振動数!$O$6:$O$22)^2)^2+固有振動数!$P$6:$P$22^2))</f>
        <v>-0.767309581918379</v>
      </c>
      <c r="D251" s="128" t="n">
        <f aca="false">SQRT(B251^2+C251^2)</f>
        <v>15.4506524146482</v>
      </c>
      <c r="E251" s="129" t="n">
        <f aca="false">20*LOG10(MAX(D251,0.000000000001)/$K$3)</f>
        <v>23.7789364507503</v>
      </c>
    </row>
    <row r="252" customFormat="false" ht="15" hidden="false" customHeight="false" outlineLevel="0" collapsed="false">
      <c r="A252" s="122" t="n">
        <f aca="false">A251+$F$3</f>
        <v>2460</v>
      </c>
      <c r="B252" s="123" t="n">
        <f aca="false">SUMPRODUCT(固有振動数!$Q$6:$Q$22*(1-($A252/固有振動数!$O$6:$O$22)^2)/((1-($A252/固有振動数!$O$6:$O$22)^2)^2+固有振動数!$P$6:$P$22^2))</f>
        <v>15.581560833631</v>
      </c>
      <c r="C252" s="123" t="n">
        <f aca="false">-SUMPRODUCT(固有振動数!$Q$6:$Q$22*固有振動数!$P$6:$P$22/((1-($A252/固有振動数!$O$6:$O$22)^2)^2+固有振動数!$P$6:$P$22^2))</f>
        <v>-0.758196496226599</v>
      </c>
      <c r="D252" s="124" t="n">
        <f aca="false">SQRT(B252^2+C252^2)</f>
        <v>15.5999967929174</v>
      </c>
      <c r="E252" s="125" t="n">
        <f aca="false">20*LOG10(MAX(D252,0.000000000001)/$K$3)</f>
        <v>23.8624901814246</v>
      </c>
    </row>
    <row r="253" customFormat="false" ht="15" hidden="false" customHeight="false" outlineLevel="0" collapsed="false">
      <c r="A253" s="126" t="n">
        <f aca="false">A252+$F$3</f>
        <v>2470</v>
      </c>
      <c r="B253" s="127" t="n">
        <f aca="false">SUMPRODUCT(固有振動数!$Q$6:$Q$22*(1-($A253/固有振動数!$O$6:$O$22)^2)/((1-($A253/固有振動数!$O$6:$O$22)^2)^2+固有振動数!$P$6:$P$22^2))</f>
        <v>15.7268021187242</v>
      </c>
      <c r="C253" s="127" t="n">
        <f aca="false">-SUMPRODUCT(固有振動数!$Q$6:$Q$22*固有振動数!$P$6:$P$22/((1-($A253/固有振動数!$O$6:$O$22)^2)^2+固有振動数!$P$6:$P$22^2))</f>
        <v>-0.750617333018806</v>
      </c>
      <c r="D253" s="128" t="n">
        <f aca="false">SQRT(B253^2+C253^2)</f>
        <v>15.7447048642436</v>
      </c>
      <c r="E253" s="129" t="n">
        <f aca="false">20*LOG10(MAX(D253,0.000000000001)/$K$3)</f>
        <v>23.9426904832788</v>
      </c>
    </row>
    <row r="254" customFormat="false" ht="15" hidden="false" customHeight="false" outlineLevel="0" collapsed="false">
      <c r="A254" s="122" t="n">
        <f aca="false">A253+$F$3</f>
        <v>2480</v>
      </c>
      <c r="B254" s="123" t="n">
        <f aca="false">SUMPRODUCT(固有振動数!$Q$6:$Q$22*(1-($A254/固有振動数!$O$6:$O$22)^2)/((1-($A254/固有振動数!$O$6:$O$22)^2)^2+固有振動数!$P$6:$P$22^2))</f>
        <v>15.8678966776211</v>
      </c>
      <c r="C254" s="123" t="n">
        <f aca="false">-SUMPRODUCT(固有振動数!$Q$6:$Q$22*固有振動数!$P$6:$P$22/((1-($A254/固有振動数!$O$6:$O$22)^2)^2+固有振動数!$P$6:$P$22^2))</f>
        <v>-0.744438635101382</v>
      </c>
      <c r="D254" s="124" t="n">
        <f aca="false">SQRT(B254^2+C254^2)</f>
        <v>15.885349661027</v>
      </c>
      <c r="E254" s="125" t="n">
        <f aca="false">20*LOG10(MAX(D254,0.000000000001)/$K$3)</f>
        <v>24.0199355751843</v>
      </c>
    </row>
    <row r="255" customFormat="false" ht="15" hidden="false" customHeight="false" outlineLevel="0" collapsed="false">
      <c r="A255" s="126" t="n">
        <f aca="false">A254+$F$3</f>
        <v>2490</v>
      </c>
      <c r="B255" s="127" t="n">
        <f aca="false">SUMPRODUCT(固有振動数!$Q$6:$Q$22*(1-($A255/固有振動数!$O$6:$O$22)^2)/((1-($A255/固有振動数!$O$6:$O$22)^2)^2+固有振動数!$P$6:$P$22^2))</f>
        <v>16.0053767035526</v>
      </c>
      <c r="C255" s="127" t="n">
        <f aca="false">-SUMPRODUCT(固有振動数!$Q$6:$Q$22*固有振動数!$P$6:$P$22/((1-($A255/固有振動数!$O$6:$O$22)^2)^2+固有振動数!$P$6:$P$22^2))</f>
        <v>-0.739548973567275</v>
      </c>
      <c r="D255" s="128" t="n">
        <f aca="false">SQRT(B255^2+C255^2)</f>
        <v>16.0224534983544</v>
      </c>
      <c r="E255" s="129" t="n">
        <f aca="false">20*LOG10(MAX(D255,0.000000000001)/$K$3)</f>
        <v>24.0945803962753</v>
      </c>
    </row>
    <row r="256" customFormat="false" ht="15" hidden="false" customHeight="false" outlineLevel="0" collapsed="false">
      <c r="A256" s="122" t="n">
        <f aca="false">A255+$F$3</f>
        <v>2500</v>
      </c>
      <c r="B256" s="123" t="n">
        <f aca="false">SUMPRODUCT(固有振動数!$Q$6:$Q$22*(1-($A256/固有振動数!$O$6:$O$22)^2)/((1-($A256/固有振動数!$O$6:$O$22)^2)^2+固有振動数!$P$6:$P$22^2))</f>
        <v>16.1397293933074</v>
      </c>
      <c r="C256" s="123" t="n">
        <f aca="false">-SUMPRODUCT(固有振動数!$Q$6:$Q$22*固有振動数!$P$6:$P$22/((1-($A256/固有振動数!$O$6:$O$22)^2)^2+固有振動数!$P$6:$P$22^2))</f>
        <v>-0.735855739373833</v>
      </c>
      <c r="D256" s="124" t="n">
        <f aca="false">SQRT(B256^2+C256^2)</f>
        <v>16.1564955531316</v>
      </c>
      <c r="E256" s="125" t="n">
        <f aca="false">20*LOG10(MAX(D256,0.000000000001)/$K$3)</f>
        <v>24.1669433082432</v>
      </c>
    </row>
    <row r="257" customFormat="false" ht="15" hidden="false" customHeight="false" outlineLevel="0" collapsed="false">
      <c r="A257" s="126" t="n">
        <f aca="false">A256+$F$3</f>
        <v>2510</v>
      </c>
      <c r="B257" s="127" t="n">
        <f aca="false">SUMPRODUCT(固有振動数!$Q$6:$Q$22*(1-($A257/固有振動数!$O$6:$O$22)^2)/((1-($A257/固有振動数!$O$6:$O$22)^2)^2+固有振動数!$P$6:$P$22^2))</f>
        <v>16.2714038232921</v>
      </c>
      <c r="C257" s="127" t="n">
        <f aca="false">-SUMPRODUCT(固有振動数!$Q$6:$Q$22*固有振動数!$P$6:$P$22/((1-($A257/固有振動数!$O$6:$O$22)^2)^2+固有振動数!$P$6:$P$22^2))</f>
        <v>-0.733282564218861</v>
      </c>
      <c r="D257" s="128" t="n">
        <f aca="false">SQRT(B257^2+C257^2)</f>
        <v>16.2879183967637</v>
      </c>
      <c r="E257" s="129" t="n">
        <f aca="false">20*LOG10(MAX(D257,0.000000000001)/$K$3)</f>
        <v>24.2373116965272</v>
      </c>
    </row>
    <row r="258" customFormat="false" ht="15" hidden="false" customHeight="false" outlineLevel="0" collapsed="false">
      <c r="A258" s="122" t="n">
        <f aca="false">A257+$F$3</f>
        <v>2520</v>
      </c>
      <c r="B258" s="123" t="n">
        <f aca="false">SUMPRODUCT(固有振動数!$Q$6:$Q$22*(1-($A258/固有振動数!$O$6:$O$22)^2)/((1-($A258/固有振動数!$O$6:$O$22)^2)^2+固有振動数!$P$6:$P$22^2))</f>
        <v>16.4008168885899</v>
      </c>
      <c r="C258" s="123" t="n">
        <f aca="false">-SUMPRODUCT(固有振動数!$Q$6:$Q$22*固有振動数!$P$6:$P$22/((1-($A258/固有振動数!$O$6:$O$22)^2)^2+固有振動数!$P$6:$P$22^2))</f>
        <v>-0.731767248557233</v>
      </c>
      <c r="D258" s="124" t="n">
        <f aca="false">SQRT(B258^2+C258^2)</f>
        <v>16.4171336694051</v>
      </c>
      <c r="E258" s="125" t="n">
        <f aca="false">20*LOG10(MAX(D258,0.000000000001)/$K$3)</f>
        <v>24.3059466851151</v>
      </c>
    </row>
    <row r="259" customFormat="false" ht="15" hidden="false" customHeight="false" outlineLevel="0" collapsed="false">
      <c r="A259" s="126" t="n">
        <f aca="false">A258+$F$3</f>
        <v>2530</v>
      </c>
      <c r="B259" s="127" t="n">
        <f aca="false">SUMPRODUCT(固有振動数!$Q$6:$Q$22*(1-($A259/固有振動数!$O$6:$O$22)^2)/((1-($A259/固有振動数!$O$6:$O$22)^2)^2+固有振動数!$P$6:$P$22^2))</f>
        <v>16.528358478507</v>
      </c>
      <c r="C259" s="127" t="n">
        <f aca="false">-SUMPRODUCT(固有振動数!$Q$6:$Q$22*固有振動数!$P$6:$P$22/((1-($A259/固有振動数!$O$6:$O$22)^2)^2+固有振動数!$P$6:$P$22^2))</f>
        <v>-0.731260102751119</v>
      </c>
      <c r="D259" s="128" t="n">
        <f aca="false">SQRT(B259^2+C259^2)</f>
        <v>16.5445270507171</v>
      </c>
      <c r="E259" s="129" t="n">
        <f aca="false">20*LOG10(MAX(D259,0.000000000001)/$K$3)</f>
        <v>24.373087134723</v>
      </c>
    </row>
    <row r="260" customFormat="false" ht="15" hidden="false" customHeight="false" outlineLevel="0" collapsed="false">
      <c r="A260" s="122" t="n">
        <f aca="false">A259+$F$3</f>
        <v>2540</v>
      </c>
      <c r="B260" s="123" t="n">
        <f aca="false">SUMPRODUCT(固有振動数!$Q$6:$Q$22*(1-($A260/固有振動数!$O$6:$O$22)^2)/((1-($A260/固有振動数!$O$6:$O$22)^2)^2+固有振動数!$P$6:$P$22^2))</f>
        <v>16.6543960308264</v>
      </c>
      <c r="C260" s="123" t="n">
        <f aca="false">-SUMPRODUCT(固有振動数!$Q$6:$Q$22*固有振動数!$P$6:$P$22/((1-($A260/固有振動数!$O$6:$O$22)^2)^2+固有振動数!$P$6:$P$22^2))</f>
        <v>-0.731722628878716</v>
      </c>
      <c r="D260" s="124" t="n">
        <f aca="false">SQRT(B260^2+C260^2)</f>
        <v>16.6704626557639</v>
      </c>
      <c r="E260" s="125" t="n">
        <f aca="false">20*LOG10(MAX(D260,0.000000000001)/$K$3)</f>
        <v>24.438953059616</v>
      </c>
    </row>
    <row r="261" customFormat="false" ht="15" hidden="false" customHeight="false" outlineLevel="0" collapsed="false">
      <c r="A261" s="126" t="n">
        <f aca="false">A260+$F$3</f>
        <v>2550</v>
      </c>
      <c r="B261" s="127" t="n">
        <f aca="false">SUMPRODUCT(固有振動数!$Q$6:$Q$22*(1-($A261/固有振動数!$O$6:$O$22)^2)/((1-($A261/固有振動数!$O$6:$O$22)^2)^2+固有振動数!$P$6:$P$22^2))</f>
        <v>16.7792785825194</v>
      </c>
      <c r="C261" s="127" t="n">
        <f aca="false">-SUMPRODUCT(固有振動数!$Q$6:$Q$22*固有振動数!$P$6:$P$22/((1-($A261/固有振動数!$O$6:$O$22)^2)^2+固有振動数!$P$6:$P$22^2))</f>
        <v>-0.733126487385687</v>
      </c>
      <c r="D261" s="128" t="n">
        <f aca="false">SQRT(B261^2+C261^2)</f>
        <v>16.7952869637974</v>
      </c>
      <c r="E261" s="129" t="n">
        <f aca="false">20*LOG10(MAX(D261,0.000000000001)/$K$3)</f>
        <v>24.5037485716859</v>
      </c>
    </row>
    <row r="262" customFormat="false" ht="15" hidden="false" customHeight="false" outlineLevel="0" collapsed="false">
      <c r="A262" s="122" t="n">
        <f aca="false">A261+$F$3</f>
        <v>2560</v>
      </c>
      <c r="B262" s="123" t="n">
        <f aca="false">SUMPRODUCT(固有振動数!$Q$6:$Q$22*(1-($A262/固有振動数!$O$6:$O$22)^2)/((1-($A262/固有振動数!$O$6:$O$22)^2)^2+固有振動数!$P$6:$P$22^2))</f>
        <v>16.9033404155175</v>
      </c>
      <c r="C262" s="123" t="n">
        <f aca="false">-SUMPRODUCT(固有振動数!$Q$6:$Q$22*固有振動数!$P$6:$P$22/((1-($A262/固有振動数!$O$6:$O$22)^2)^2+固有振動数!$P$6:$P$22^2))</f>
        <v>-0.73545270582346</v>
      </c>
      <c r="D262" s="124" t="n">
        <f aca="false">SQRT(B262^2+C262^2)</f>
        <v>16.9193323711478</v>
      </c>
      <c r="E262" s="125" t="n">
        <f aca="false">20*LOG10(MAX(D262,0.000000000001)/$K$3)</f>
        <v>24.5676644397256</v>
      </c>
    </row>
    <row r="263" customFormat="false" ht="15" hidden="false" customHeight="false" outlineLevel="0" collapsed="false">
      <c r="A263" s="126" t="n">
        <f aca="false">A262+$F$3</f>
        <v>2570</v>
      </c>
      <c r="B263" s="127" t="n">
        <f aca="false">SUMPRODUCT(固有振動数!$Q$6:$Q$22*(1-($A263/固有振動数!$O$6:$O$22)^2)/((1-($A263/固有振動数!$O$6:$O$22)^2)^2+固有振動数!$P$6:$P$22^2))</f>
        <v>17.026904381211</v>
      </c>
      <c r="C263" s="127" t="n">
        <f aca="false">-SUMPRODUCT(固有振動数!$Q$6:$Q$22*固有振動数!$P$6:$P$22/((1-($A263/固有振動数!$O$6:$O$22)^2)^2+固有振動数!$P$6:$P$22^2))</f>
        <v>-0.738691097319432</v>
      </c>
      <c r="D263" s="128" t="n">
        <f aca="false">SQRT(B263^2+C263^2)</f>
        <v>17.0429204464541</v>
      </c>
      <c r="E263" s="129" t="n">
        <f aca="false">20*LOG10(MAX(D263,0.000000000001)/$K$3)</f>
        <v>24.6308803357307</v>
      </c>
    </row>
    <row r="264" customFormat="false" ht="15" hidden="false" customHeight="false" outlineLevel="0" collapsed="false">
      <c r="A264" s="122" t="n">
        <f aca="false">A263+$F$3</f>
        <v>2580</v>
      </c>
      <c r="B264" s="123" t="n">
        <f aca="false">SUMPRODUCT(固有振動数!$Q$6:$Q$22*(1-($A264/固有振動数!$O$6:$O$22)^2)/((1-($A264/固有振動数!$O$6:$O$22)^2)^2+固有振動数!$P$6:$P$22^2))</f>
        <v>17.1502849757734</v>
      </c>
      <c r="C264" s="123" t="n">
        <f aca="false">-SUMPRODUCT(固有振動数!$Q$6:$Q$22*固有振動数!$P$6:$P$22/((1-($A264/固有振動数!$O$6:$O$22)^2)^2+固有振動数!$P$6:$P$22^2))</f>
        <v>-0.742839864869668</v>
      </c>
      <c r="D264" s="124" t="n">
        <f aca="false">SQRT(B264^2+C264^2)</f>
        <v>17.1663649563639</v>
      </c>
      <c r="E264" s="125" t="n">
        <f aca="false">20*LOG10(MAX(D264,0.000000000001)/$K$3)</f>
        <v>24.6935668274739</v>
      </c>
    </row>
    <row r="265" customFormat="false" ht="15" hidden="false" customHeight="false" outlineLevel="0" collapsed="false">
      <c r="A265" s="126" t="n">
        <f aca="false">A264+$F$3</f>
        <v>2590</v>
      </c>
      <c r="B265" s="127" t="n">
        <f aca="false">SUMPRODUCT(固有振動数!$Q$6:$Q$22*(1-($A265/固有振動数!$O$6:$O$22)^2)/((1-($A265/固有振動数!$O$6:$O$22)^2)^2+固有振動数!$P$6:$P$22^2))</f>
        <v>17.2737912295845</v>
      </c>
      <c r="C265" s="127" t="n">
        <f aca="false">-SUMPRODUCT(固有振動数!$Q$6:$Q$22*固有振動数!$P$6:$P$22/((1-($A265/固有振動数!$O$6:$O$22)^2)^2+固有振動数!$P$6:$P$22^2))</f>
        <v>-0.747905374572206</v>
      </c>
      <c r="D265" s="128" t="n">
        <f aca="false">SQRT(B265^2+C265^2)</f>
        <v>17.28997472215</v>
      </c>
      <c r="E265" s="129" t="n">
        <f aca="false">20*LOG10(MAX(D265,0.000000000001)/$K$3)</f>
        <v>24.7558871667638</v>
      </c>
    </row>
    <row r="266" customFormat="false" ht="15" hidden="false" customHeight="false" outlineLevel="0" collapsed="false">
      <c r="A266" s="122" t="n">
        <f aca="false">A265+$F$3</f>
        <v>2600</v>
      </c>
      <c r="B266" s="123" t="n">
        <f aca="false">SUMPRODUCT(固有振動数!$Q$6:$Q$22*(1-($A266/固有振動数!$O$6:$O$22)^2)/((1-($A266/固有振動数!$O$6:$O$22)^2)^2+固有振動数!$P$6:$P$22^2))</f>
        <v>17.397729467482</v>
      </c>
      <c r="C266" s="123" t="n">
        <f aca="false">-SUMPRODUCT(固有振動数!$Q$6:$Q$22*固有振動数!$P$6:$P$22/((1-($A266/固有振動数!$O$6:$O$22)^2)^2+固有振動数!$P$6:$P$22^2))</f>
        <v>-0.753902086947751</v>
      </c>
      <c r="D266" s="124" t="n">
        <f aca="false">SQRT(B266^2+C266^2)</f>
        <v>17.4140563620425</v>
      </c>
      <c r="E266" s="125" t="n">
        <f aca="false">20*LOG10(MAX(D266,0.000000000001)/$K$3)</f>
        <v>24.8179989151199</v>
      </c>
    </row>
    <row r="267" customFormat="false" ht="15" hidden="false" customHeight="false" outlineLevel="0" collapsed="false">
      <c r="A267" s="126" t="n">
        <f aca="false">A266+$F$3</f>
        <v>2610</v>
      </c>
      <c r="B267" s="127" t="n">
        <f aca="false">SUMPRODUCT(固有振動数!$Q$6:$Q$22*(1-($A267/固有振動数!$O$6:$O$22)^2)/((1-($A267/固有振動数!$O$6:$O$22)^2)^2+固有振動数!$P$6:$P$22^2))</f>
        <v>17.5224059919498</v>
      </c>
      <c r="C267" s="127" t="n">
        <f aca="false">-SUMPRODUCT(固有振動数!$Q$6:$Q$22*固有振動数!$P$6:$P$22/((1-($A267/固有振動数!$O$6:$O$22)^2)^2+固有振動数!$P$6:$P$22^2))</f>
        <v>-0.760852640862656</v>
      </c>
      <c r="D267" s="128" t="n">
        <f aca="false">SQRT(B267^2+C267^2)</f>
        <v>17.5389169702073</v>
      </c>
      <c r="E267" s="129" t="n">
        <f aca="false">20*LOG10(MAX(D267,0.000000000001)/$K$3)</f>
        <v>24.8800554426476</v>
      </c>
    </row>
    <row r="268" customFormat="false" ht="15" hidden="false" customHeight="false" outlineLevel="0" collapsed="false">
      <c r="A268" s="122" t="n">
        <f aca="false">A267+$F$3</f>
        <v>2620</v>
      </c>
      <c r="B268" s="123" t="n">
        <f aca="false">SUMPRODUCT(固有振動数!$Q$6:$Q$22*(1-($A268/固有振動数!$O$6:$O$22)^2)/((1-($A268/固有振動数!$O$6:$O$22)^2)^2+固有振動数!$P$6:$P$22^2))</f>
        <v>17.6481297384383</v>
      </c>
      <c r="C268" s="123" t="n">
        <f aca="false">-SUMPRODUCT(固有振動数!$Q$6:$Q$22*固有振動数!$P$6:$P$22/((1-($A268/固有振動数!$O$6:$O$22)^2)^2+固有振動数!$P$6:$P$22^2))</f>
        <v>-0.768788089561128</v>
      </c>
      <c r="D268" s="124" t="n">
        <f aca="false">SQRT(B268^2+C268^2)</f>
        <v>17.6648667810261</v>
      </c>
      <c r="E268" s="125" t="n">
        <f aca="false">20*LOG10(MAX(D268,0.000000000001)/$K$3)</f>
        <v>24.9422073313319</v>
      </c>
    </row>
    <row r="269" customFormat="false" ht="15" hidden="false" customHeight="false" outlineLevel="0" collapsed="false">
      <c r="A269" s="126" t="n">
        <f aca="false">A268+$F$3</f>
        <v>2630</v>
      </c>
      <c r="B269" s="127" t="n">
        <f aca="false">SUMPRODUCT(固有振動数!$Q$6:$Q$22*(1-($A269/固有振動数!$O$6:$O$22)^2)/((1-($A269/固有振動数!$O$6:$O$22)^2)^2+固有振動数!$P$6:$P$22^2))</f>
        <v>17.775214950625</v>
      </c>
      <c r="C269" s="127" t="n">
        <f aca="false">-SUMPRODUCT(固有振動数!$Q$6:$Q$22*固有振動数!$P$6:$P$22/((1-($A269/固有振動数!$O$6:$O$22)^2)^2+固有振動数!$P$6:$P$22^2))</f>
        <v>-0.777748293182201</v>
      </c>
      <c r="D269" s="128" t="n">
        <f aca="false">SQRT(B269^2+C269^2)</f>
        <v>17.792221866548</v>
      </c>
      <c r="E269" s="129" t="n">
        <f aca="false">20*LOG10(MAX(D269,0.000000000001)/$K$3)</f>
        <v>25.0046037105581</v>
      </c>
    </row>
    <row r="270" customFormat="false" ht="15" hidden="false" customHeight="false" outlineLevel="0" collapsed="false">
      <c r="A270" s="122" t="n">
        <f aca="false">A269+$F$3</f>
        <v>2640</v>
      </c>
      <c r="B270" s="123" t="n">
        <f aca="false">SUMPRODUCT(固有振動数!$Q$6:$Q$22*(1-($A270/固有振動数!$O$6:$O$22)^2)/((1-($A270/固有振動数!$O$6:$O$22)^2)^2+固有振動数!$P$6:$P$22^2))</f>
        <v>17.9039839235036</v>
      </c>
      <c r="C270" s="123" t="n">
        <f aca="false">-SUMPRODUCT(固有振動数!$Q$6:$Q$22*固有振動数!$P$6:$P$22/((1-($A270/固有振動数!$O$6:$O$22)^2)^2+固有振動数!$P$6:$P$22^2))</f>
        <v>-0.787782477121328</v>
      </c>
      <c r="D270" s="124" t="n">
        <f aca="false">SQRT(B270^2+C270^2)</f>
        <v>17.9213069156336</v>
      </c>
      <c r="E270" s="125" t="n">
        <f aca="false">20*LOG10(MAX(D270,0.000000000001)/$K$3)</f>
        <v>25.0673935502183</v>
      </c>
    </row>
    <row r="271" customFormat="false" ht="15" hidden="false" customHeight="false" outlineLevel="0" collapsed="false">
      <c r="A271" s="126" t="n">
        <f aca="false">A270+$F$3</f>
        <v>2650</v>
      </c>
      <c r="B271" s="127" t="n">
        <f aca="false">SUMPRODUCT(固有振動数!$Q$6:$Q$22*(1-($A271/固有振動数!$O$6:$O$22)^2)/((1-($A271/固有振動数!$O$6:$O$22)^2)^2+固有振動数!$P$6:$P$22^2))</f>
        <v>18.0347698637058</v>
      </c>
      <c r="C271" s="127" t="n">
        <f aca="false">-SUMPRODUCT(固有振動数!$Q$6:$Q$22*固有振動数!$P$6:$P$22/((1-($A271/固有振動数!$O$6:$O$22)^2)^2+固有振動数!$P$6:$P$22^2))</f>
        <v>-0.798949970938864</v>
      </c>
      <c r="D271" s="128" t="n">
        <f aca="false">SQRT(B271^2+C271^2)</f>
        <v>18.0524581454408</v>
      </c>
      <c r="E271" s="129" t="n">
        <f aca="false">20*LOG10(MAX(D271,0.000000000001)/$K$3)</f>
        <v>25.1307269351541</v>
      </c>
    </row>
    <row r="272" customFormat="false" ht="15" hidden="false" customHeight="false" outlineLevel="0" collapsed="false">
      <c r="A272" s="122" t="n">
        <f aca="false">A271+$F$3</f>
        <v>2660</v>
      </c>
      <c r="B272" s="123" t="n">
        <f aca="false">SUMPRODUCT(固有振動数!$Q$6:$Q$22*(1-($A272/固有振動数!$O$6:$O$22)^2)/((1-($A272/固有振動数!$O$6:$O$22)^2)^2+固有振動数!$P$6:$P$22^2))</f>
        <v>18.1679199194692</v>
      </c>
      <c r="C272" s="123" t="n">
        <f aca="false">-SUMPRODUCT(固有振動数!$Q$6:$Q$22*固有振動数!$P$6:$P$22/((1-($A272/固有振動数!$O$6:$O$22)^2)^2+固有振動数!$P$6:$P$22^2))</f>
        <v>-0.811321148480635</v>
      </c>
      <c r="D272" s="124" t="n">
        <f aca="false">SQRT(B272^2+C272^2)</f>
        <v>18.1860263995799</v>
      </c>
      <c r="E272" s="125" t="n">
        <f aca="false">20*LOG10(MAX(D272,0.000000000001)/$K$3)</f>
        <v>25.1947563438272</v>
      </c>
    </row>
    <row r="273" customFormat="false" ht="15" hidden="false" customHeight="false" outlineLevel="0" collapsed="false">
      <c r="A273" s="126" t="n">
        <f aca="false">A272+$F$3</f>
        <v>2670</v>
      </c>
      <c r="B273" s="127" t="n">
        <f aca="false">SUMPRODUCT(固有振動数!$Q$6:$Q$22*(1-($A273/固有振動数!$O$6:$O$22)^2)/((1-($A273/固有振動数!$O$6:$O$22)^2)^2+固有振動数!$P$6:$P$22^2))</f>
        <v>18.3037984372829</v>
      </c>
      <c r="C273" s="127" t="n">
        <f aca="false">-SUMPRODUCT(固有振動数!$Q$6:$Q$22*固有振動数!$P$6:$P$22/((1-($A273/固有振動数!$O$6:$O$22)^2)^2+固有振動数!$P$6:$P$22^2))</f>
        <v>-0.824978596759786</v>
      </c>
      <c r="D273" s="128" t="n">
        <f aca="false">SQRT(B273^2+C273^2)</f>
        <v>18.3223804926596</v>
      </c>
      <c r="E273" s="129" t="n">
        <f aca="false">20*LOG10(MAX(D273,0.000000000001)/$K$3)</f>
        <v>25.2596379539555</v>
      </c>
    </row>
    <row r="274" customFormat="false" ht="15" hidden="false" customHeight="false" outlineLevel="0" collapsed="false">
      <c r="A274" s="122" t="n">
        <f aca="false">A273+$F$3</f>
        <v>2680</v>
      </c>
      <c r="B274" s="123" t="n">
        <f aca="false">SUMPRODUCT(固有振動数!$Q$6:$Q$22*(1-($A274/固有振動数!$O$6:$O$22)^2)/((1-($A274/固有振動数!$O$6:$O$22)^2)^2+固有振動数!$P$6:$P$22^2))</f>
        <v>18.4427905086549</v>
      </c>
      <c r="C274" s="123" t="n">
        <f aca="false">-SUMPRODUCT(固有振動数!$Q$6:$Q$22*固有振動数!$P$6:$P$22/((1-($A274/固有振動数!$O$6:$O$22)^2)^2+固有振動数!$P$6:$P$22^2))</f>
        <v>-0.840018549314461</v>
      </c>
      <c r="D274" s="124" t="n">
        <f aca="false">SQRT(B274^2+C274^2)</f>
        <v>18.4619108683073</v>
      </c>
      <c r="E274" s="125" t="n">
        <f aca="false">20*LOG10(MAX(D274,0.000000000001)/$K$3)</f>
        <v>25.3255329983833</v>
      </c>
    </row>
    <row r="275" customFormat="false" ht="15" hidden="false" customHeight="false" outlineLevel="0" collapsed="false">
      <c r="A275" s="126" t="n">
        <f aca="false">A274+$F$3</f>
        <v>2690</v>
      </c>
      <c r="B275" s="127" t="n">
        <f aca="false">SUMPRODUCT(固有振動数!$Q$6:$Q$22*(1-($A275/固有振動数!$O$6:$O$22)^2)/((1-($A275/固有振動数!$O$6:$O$22)^2)^2+固有振動数!$P$6:$P$22^2))</f>
        <v>18.5853058789294</v>
      </c>
      <c r="C275" s="127" t="n">
        <f aca="false">-SUMPRODUCT(固有振動数!$Q$6:$Q$22*固有振動数!$P$6:$P$22/((1-($A275/固有振動数!$O$6:$O$22)^2)^2+固有振動数!$P$6:$P$22^2))</f>
        <v>-0.8565526296493</v>
      </c>
      <c r="D275" s="128" t="n">
        <f aca="false">SQRT(B275^2+C275^2)</f>
        <v>18.6050336473957</v>
      </c>
      <c r="E275" s="129" t="n">
        <f aca="false">20*LOG10(MAX(D275,0.000000000001)/$K$3)</f>
        <v>25.3926091956865</v>
      </c>
    </row>
    <row r="276" customFormat="false" ht="15" hidden="false" customHeight="false" outlineLevel="0" collapsed="false">
      <c r="A276" s="122" t="n">
        <f aca="false">A275+$F$3</f>
        <v>2700</v>
      </c>
      <c r="B276" s="123" t="n">
        <f aca="false">SUMPRODUCT(固有振動数!$Q$6:$Q$22*(1-($A276/固有振動数!$O$6:$O$22)^2)/((1-($A276/固有振動数!$O$6:$O$22)^2)^2+固有振動数!$P$6:$P$22^2))</f>
        <v>18.7317833010109</v>
      </c>
      <c r="C276" s="123" t="n">
        <f aca="false">-SUMPRODUCT(固有振動数!$Q$6:$Q$22*固有振動数!$P$6:$P$22/((1-($A276/固有振動数!$O$6:$O$22)^2)^2+固有振動数!$P$6:$P$22^2))</f>
        <v>-0.874709962558164</v>
      </c>
      <c r="D276" s="124" t="n">
        <f aca="false">SQRT(B276^2+C276^2)</f>
        <v>18.7521951556245</v>
      </c>
      <c r="E276" s="125" t="n">
        <f aca="false">20*LOG10(MAX(D276,0.000000000001)/$K$3)</f>
        <v>25.4610422819922</v>
      </c>
    </row>
    <row r="277" customFormat="false" ht="15" hidden="false" customHeight="false" outlineLevel="0" collapsed="false">
      <c r="A277" s="126" t="n">
        <f aca="false">A276+$F$3</f>
        <v>2710</v>
      </c>
      <c r="B277" s="127" t="n">
        <f aca="false">SUMPRODUCT(固有振動数!$Q$6:$Q$22*(1-($A277/固有振動数!$O$6:$O$22)^2)/((1-($A277/固有振動数!$O$6:$O$22)^2)^2+固有振動数!$P$6:$P$22^2))</f>
        <v>18.8826954307066</v>
      </c>
      <c r="C277" s="127" t="n">
        <f aca="false">-SUMPRODUCT(固有振動数!$Q$6:$Q$22*固有振動数!$P$6:$P$22/((1-($A277/固有振動数!$O$6:$O$22)^2)^2+固有振動数!$P$6:$P$22^2))</f>
        <v>-0.89463972634619</v>
      </c>
      <c r="D277" s="128" t="n">
        <f aca="false">SQRT(B277^2+C277^2)</f>
        <v>18.9038770353805</v>
      </c>
      <c r="E277" s="129" t="n">
        <f aca="false">20*LOG10(MAX(D277,0.000000000001)/$K$3)</f>
        <v>25.5310176733015</v>
      </c>
    </row>
    <row r="278" customFormat="false" ht="15" hidden="false" customHeight="false" outlineLevel="0" collapsed="false">
      <c r="A278" s="122" t="n">
        <f aca="false">A277+$F$3</f>
        <v>2720</v>
      </c>
      <c r="B278" s="123" t="n">
        <f aca="false">SUMPRODUCT(固有振動数!$Q$6:$Q$22*(1-($A278/固有振動数!$O$6:$O$22)^2)/((1-($A278/固有振動数!$O$6:$O$22)^2)^2+固有振動数!$P$6:$P$22^2))</f>
        <v>19.0385543778442</v>
      </c>
      <c r="C278" s="123" t="n">
        <f aca="false">-SUMPRODUCT(固有振動数!$Q$6:$Q$22*固有振動数!$P$6:$P$22/((1-($A278/固有振動数!$O$6:$O$22)^2)^2+固有振動数!$P$6:$P$22^2))</f>
        <v>-0.916514238187202</v>
      </c>
      <c r="D278" s="124" t="n">
        <f aca="false">SQRT(B278^2+C278^2)</f>
        <v>19.0606020667483</v>
      </c>
      <c r="E278" s="125" t="n">
        <f aca="false">20*LOG10(MAX(D278,0.000000000001)/$K$3)</f>
        <v>25.6027322913524</v>
      </c>
    </row>
    <row r="279" customFormat="false" ht="15" hidden="false" customHeight="false" outlineLevel="0" collapsed="false">
      <c r="A279" s="126" t="n">
        <f aca="false">A278+$F$3</f>
        <v>2730</v>
      </c>
      <c r="B279" s="127" t="n">
        <f aca="false">SUMPRODUCT(固有振動数!$Q$6:$Q$22*(1-($A279/固有振動数!$O$6:$O$22)^2)/((1-($A279/固有振動数!$O$6:$O$22)^2)^2+固有振動数!$P$6:$P$22^2))</f>
        <v>19.1999180491666</v>
      </c>
      <c r="C279" s="127" t="n">
        <f aca="false">-SUMPRODUCT(固有振動数!$Q$6:$Q$22*固有振動数!$P$6:$P$22/((1-($A279/固有振動数!$O$6:$O$22)^2)^2+固有振動数!$P$6:$P$22^2))</f>
        <v>-0.940532689350876</v>
      </c>
      <c r="D279" s="128" t="n">
        <f aca="false">SQRT(B279^2+C279^2)</f>
        <v>19.2229408477072</v>
      </c>
      <c r="E279" s="129" t="n">
        <f aca="false">20*LOG10(MAX(D279,0.000000000001)/$K$3)</f>
        <v>25.6763965909271</v>
      </c>
    </row>
    <row r="280" customFormat="false" ht="15" hidden="false" customHeight="false" outlineLevel="0" collapsed="false">
      <c r="A280" s="122" t="n">
        <f aca="false">A279+$F$3</f>
        <v>2740</v>
      </c>
      <c r="B280" s="123" t="n">
        <f aca="false">SUMPRODUCT(固有振動数!$Q$6:$Q$22*(1-($A280/固有振動数!$O$6:$O$22)^2)/((1-($A280/固有振動数!$O$6:$O$22)^2)^2+固有振動数!$P$6:$P$22^2))</f>
        <v>19.3673974463538</v>
      </c>
      <c r="C280" s="123" t="n">
        <f aca="false">-SUMPRODUCT(固有振動数!$Q$6:$Q$22*固有振動数!$P$6:$P$22/((1-($A280/固有振動数!$O$6:$O$22)^2)^2+固有振動数!$P$6:$P$22^2))</f>
        <v>-0.966925678534941</v>
      </c>
      <c r="D280" s="124" t="n">
        <f aca="false">SQRT(B280^2+C280^2)</f>
        <v>19.391519515315</v>
      </c>
      <c r="E280" s="125" t="n">
        <f aca="false">20*LOG10(MAX(D280,0.000000000001)/$K$3)</f>
        <v>25.7522368326936</v>
      </c>
    </row>
    <row r="281" customFormat="false" ht="15" hidden="false" customHeight="false" outlineLevel="0" collapsed="false">
      <c r="A281" s="126" t="n">
        <f aca="false">A280+$F$3</f>
        <v>2750</v>
      </c>
      <c r="B281" s="127" t="n">
        <f aca="false">SUMPRODUCT(固有振動数!$Q$6:$Q$22*(1-($A281/固有振動数!$O$6:$O$22)^2)/((1-($A281/固有振動数!$O$6:$O$22)^2)^2+固有振動数!$P$6:$P$22^2))</f>
        <v>19.541665116738</v>
      </c>
      <c r="C281" s="127" t="n">
        <f aca="false">-SUMPRODUCT(固有振動数!$Q$6:$Q$22*固有振動数!$P$6:$P$22/((1-($A281/固有振動数!$O$6:$O$22)^2)^2+固有振動数!$P$6:$P$22^2))</f>
        <v>-0.995960732373575</v>
      </c>
      <c r="D281" s="128" t="n">
        <f aca="false">SQRT(B281^2+C281^2)</f>
        <v>19.56702872986</v>
      </c>
      <c r="E281" s="129" t="n">
        <f aca="false">20*LOG10(MAX(D281,0.000000000001)/$K$3)</f>
        <v>25.8304976534812</v>
      </c>
    </row>
    <row r="282" customFormat="false" ht="15" hidden="false" customHeight="false" outlineLevel="0" collapsed="false">
      <c r="A282" s="122" t="n">
        <f aca="false">A281+$F$3</f>
        <v>2760</v>
      </c>
      <c r="B282" s="123" t="n">
        <f aca="false">SUMPRODUCT(固有振動数!$Q$6:$Q$22*(1-($A282/固有振動数!$O$6:$O$22)^2)/((1-($A282/固有振動数!$O$6:$O$22)^2)^2+固有振動数!$P$6:$P$22^2))</f>
        <v>19.7234649971736</v>
      </c>
      <c r="C282" s="123" t="n">
        <f aca="false">-SUMPRODUCT(固有振動数!$Q$6:$Q$22*固有振動数!$P$6:$P$22/((1-($A282/固有振動数!$O$6:$O$22)^2)^2+固有振動数!$P$6:$P$22^2))</f>
        <v>-1.0279490555501</v>
      </c>
      <c r="D282" s="124" t="n">
        <f aca="false">SQRT(B282^2+C282^2)</f>
        <v>19.7502341949542</v>
      </c>
      <c r="E282" s="125" t="n">
        <f aca="false">20*LOG10(MAX(D282,0.000000000001)/$K$3)</f>
        <v>25.9114449956782</v>
      </c>
    </row>
    <row r="283" customFormat="false" ht="15" hidden="false" customHeight="false" outlineLevel="0" collapsed="false">
      <c r="A283" s="126" t="n">
        <f aca="false">A282+$F$3</f>
        <v>2770</v>
      </c>
      <c r="B283" s="127" t="n">
        <f aca="false">SUMPRODUCT(固有振動数!$Q$6:$Q$22*(1-($A283/固有振動数!$O$6:$O$22)^2)/((1-($A283/固有振動数!$O$6:$O$22)^2)^2+固有振動数!$P$6:$P$22^2))</f>
        <v>19.9136239454007</v>
      </c>
      <c r="C283" s="127" t="n">
        <f aca="false">-SUMPRODUCT(固有振動数!$Q$6:$Q$22*固有振動数!$P$6:$P$22/((1-($A283/固有振動数!$O$6:$O$22)^2)^2+固有振動数!$P$6:$P$22^2))</f>
        <v>-1.0632538232117</v>
      </c>
      <c r="D283" s="128" t="n">
        <f aca="false">SQRT(B283^2+C283^2)</f>
        <v>19.9419890515317</v>
      </c>
      <c r="E283" s="129" t="n">
        <f aca="false">20*LOG10(MAX(D283,0.000000000001)/$K$3)</f>
        <v>25.9953694697061</v>
      </c>
    </row>
    <row r="284" customFormat="false" ht="15" hidden="false" customHeight="false" outlineLevel="0" collapsed="false">
      <c r="A284" s="122" t="n">
        <f aca="false">A283+$F$3</f>
        <v>2780</v>
      </c>
      <c r="B284" s="123" t="n">
        <f aca="false">SUMPRODUCT(固有振動数!$Q$6:$Q$22*(1-($A284/固有振動数!$O$6:$O$22)^2)/((1-($A284/固有振動数!$O$6:$O$22)^2)^2+固有振動数!$P$6:$P$22^2))</f>
        <v>20.1130653210778</v>
      </c>
      <c r="C284" s="123" t="n">
        <f aca="false">-SUMPRODUCT(固有振動数!$Q$6:$Q$22*固有振動数!$P$6:$P$22/((1-($A284/固有振動数!$O$6:$O$22)^2)^2+固有振動数!$P$6:$P$22^2))</f>
        <v>-1.10230042167145</v>
      </c>
      <c r="D284" s="124" t="n">
        <f aca="false">SQRT(B284^2+C284^2)</f>
        <v>20.1432485669408</v>
      </c>
      <c r="E284" s="125" t="n">
        <f aca="false">20*LOG10(MAX(D284,0.000000000001)/$K$3)</f>
        <v>26.0825902388757</v>
      </c>
    </row>
    <row r="285" customFormat="false" ht="15" hidden="false" customHeight="false" outlineLevel="0" collapsed="false">
      <c r="A285" s="126" t="n">
        <f aca="false">A284+$F$3</f>
        <v>2790</v>
      </c>
      <c r="B285" s="127" t="n">
        <f aca="false">SUMPRODUCT(固有振動数!$Q$6:$Q$22*(1-($A285/固有振動数!$O$6:$O$22)^2)/((1-($A285/固有振動数!$O$6:$O$22)^2)^2+固有振動数!$P$6:$P$22^2))</f>
        <v>20.3228250643051</v>
      </c>
      <c r="C285" s="127" t="n">
        <f aca="false">-SUMPRODUCT(固有振動数!$Q$6:$Q$22*固有振動数!$P$6:$P$22/((1-($A285/固有振動数!$O$6:$O$22)^2)^2+固有振動数!$P$6:$P$22^2))</f>
        <v>-1.1455891682555</v>
      </c>
      <c r="D285" s="128" t="n">
        <f aca="false">SQRT(B285^2+C285^2)</f>
        <v>20.3550876474844</v>
      </c>
      <c r="E285" s="129" t="n">
        <f aca="false">20*LOG10(MAX(D285,0.000000000001)/$K$3)</f>
        <v>26.1734595351798</v>
      </c>
    </row>
    <row r="286" customFormat="false" ht="15" hidden="false" customHeight="false" outlineLevel="0" collapsed="false">
      <c r="A286" s="122" t="n">
        <f aca="false">A285+$F$3</f>
        <v>2800</v>
      </c>
      <c r="B286" s="123" t="n">
        <f aca="false">SUMPRODUCT(固有振動数!$Q$6:$Q$22*(1-($A286/固有振動数!$O$6:$O$22)^2)/((1-($A286/固有振動数!$O$6:$O$22)^2)^2+固有振動数!$P$6:$P$22^2))</f>
        <v>20.5440708278463</v>
      </c>
      <c r="C286" s="123" t="n">
        <f aca="false">-SUMPRODUCT(固有振動数!$Q$6:$Q$22*固有振動数!$P$6:$P$22/((1-($A286/固有振動数!$O$6:$O$22)^2)^2+固有振動数!$P$6:$P$22^2))</f>
        <v>-1.19371120974335</v>
      </c>
      <c r="D286" s="124" t="n">
        <f aca="false">SQRT(B286^2+C286^2)</f>
        <v>20.5787218415487</v>
      </c>
      <c r="E286" s="125" t="n">
        <f aca="false">20*LOG10(MAX(D286,0.000000000001)/$K$3)</f>
        <v>26.268367938751</v>
      </c>
    </row>
    <row r="287" customFormat="false" ht="15" hidden="false" customHeight="false" outlineLevel="0" collapsed="false">
      <c r="A287" s="126" t="n">
        <f aca="false">A286+$F$3</f>
        <v>2810</v>
      </c>
      <c r="B287" s="127" t="n">
        <f aca="false">SUMPRODUCT(固有振動数!$Q$6:$Q$22*(1-($A287/固有振動数!$O$6:$O$22)^2)/((1-($A287/固有振動数!$O$6:$O$22)^2)^2+固有振動数!$P$6:$P$22^2))</f>
        <v>20.7781248567062</v>
      </c>
      <c r="C287" s="127" t="n">
        <f aca="false">-SUMPRODUCT(固有振動数!$Q$6:$Q$22*固有振動数!$P$6:$P$22/((1-($A287/固有振動数!$O$6:$O$22)^2)^2+固有振動数!$P$6:$P$22^2))</f>
        <v>-1.24736852851203</v>
      </c>
      <c r="D287" s="128" t="n">
        <f aca="false">SQRT(B287^2+C287^2)</f>
        <v>20.8155326813127</v>
      </c>
      <c r="E287" s="129" t="n">
        <f aca="false">20*LOG10(MAX(D287,0.000000000001)/$K$3)</f>
        <v>26.3677505841529</v>
      </c>
    </row>
    <row r="288" customFormat="false" ht="15" hidden="false" customHeight="false" outlineLevel="0" collapsed="false">
      <c r="A288" s="122" t="n">
        <f aca="false">A287+$F$3</f>
        <v>2820</v>
      </c>
      <c r="B288" s="123" t="n">
        <f aca="false">SUMPRODUCT(固有振動数!$Q$6:$Q$22*(1-($A288/固有振動数!$O$6:$O$22)^2)/((1-($A288/固有振動数!$O$6:$O$22)^2)^2+固有振動数!$P$6:$P$22^2))</f>
        <v>21.0264914832341</v>
      </c>
      <c r="C288" s="123" t="n">
        <f aca="false">-SUMPRODUCT(固有振動数!$Q$6:$Q$22*固有振動数!$P$6:$P$22/((1-($A288/固有振動数!$O$6:$O$22)^2)^2+固有振動数!$P$6:$P$22^2))</f>
        <v>-1.30739930131009</v>
      </c>
      <c r="D288" s="124" t="n">
        <f aca="false">SQRT(B288^2+C288^2)</f>
        <v>21.067098448234</v>
      </c>
      <c r="E288" s="125" t="n">
        <f aca="false">20*LOG10(MAX(D288,0.000000000001)/$K$3)</f>
        <v>26.4720944950808</v>
      </c>
    </row>
    <row r="289" customFormat="false" ht="15" hidden="false" customHeight="false" outlineLevel="0" collapsed="false">
      <c r="A289" s="126" t="n">
        <f aca="false">A288+$F$3</f>
        <v>2830</v>
      </c>
      <c r="B289" s="127" t="n">
        <f aca="false">SUMPRODUCT(固有振動数!$Q$6:$Q$22*(1-($A289/固有振動数!$O$6:$O$22)^2)/((1-($A289/固有振動数!$O$6:$O$22)^2)^2+固有振動数!$P$6:$P$22^2))</f>
        <v>21.2908903274903</v>
      </c>
      <c r="C289" s="127" t="n">
        <f aca="false">-SUMPRODUCT(固有振動数!$Q$6:$Q$22*固有振動数!$P$6:$P$22/((1-($A289/固有振動数!$O$6:$O$22)^2)^2+固有振動数!$P$6:$P$22^2))</f>
        <v>-1.37481029419029</v>
      </c>
      <c r="D289" s="128" t="n">
        <f aca="false">SQRT(B289^2+C289^2)</f>
        <v>21.3352317606871</v>
      </c>
      <c r="E289" s="129" t="n">
        <f aca="false">20*LOG10(MAX(D289,0.000000000001)/$K$3)</f>
        <v>26.581947297636</v>
      </c>
    </row>
    <row r="290" customFormat="false" ht="15" hidden="false" customHeight="false" outlineLevel="0" collapsed="false">
      <c r="A290" s="122" t="n">
        <f aca="false">A289+$F$3</f>
        <v>2840</v>
      </c>
      <c r="B290" s="123" t="n">
        <f aca="false">SUMPRODUCT(固有振動数!$Q$6:$Q$22*(1-($A290/固有振動数!$O$6:$O$22)^2)/((1-($A290/固有振動数!$O$6:$O$22)^2)^2+固有振動数!$P$6:$P$22^2))</f>
        <v>21.5732965733362</v>
      </c>
      <c r="C290" s="123" t="n">
        <f aca="false">-SUMPRODUCT(固有振動数!$Q$6:$Q$22*固有振動数!$P$6:$P$22/((1-($A290/固有振動数!$O$6:$O$22)^2)^2+固有振動数!$P$6:$P$22^2))</f>
        <v>-1.45081859264525</v>
      </c>
      <c r="D290" s="124" t="n">
        <f aca="false">SQRT(B290^2+C290^2)</f>
        <v>21.6220257984742</v>
      </c>
      <c r="E290" s="125" t="n">
        <f aca="false">20*LOG10(MAX(D290,0.000000000001)/$K$3)</f>
        <v>26.6979276238749</v>
      </c>
    </row>
    <row r="291" customFormat="false" ht="15" hidden="false" customHeight="false" outlineLevel="0" collapsed="false">
      <c r="A291" s="126" t="n">
        <f aca="false">A290+$F$3</f>
        <v>2850</v>
      </c>
      <c r="B291" s="127" t="n">
        <f aca="false">SUMPRODUCT(固有振動数!$Q$6:$Q$22*(1-($A291/固有振動数!$O$6:$O$22)^2)/((1-($A291/固有振動数!$O$6:$O$22)^2)^2+固有振動数!$P$6:$P$22^2))</f>
        <v>21.8759900445243</v>
      </c>
      <c r="C291" s="127" t="n">
        <f aca="false">-SUMPRODUCT(固有振動数!$Q$6:$Q$22*固有振動数!$P$6:$P$22/((1-($A291/固有振動数!$O$6:$O$22)^2)^2+固有振動数!$P$6:$P$22^2))</f>
        <v>-1.53690583933175</v>
      </c>
      <c r="D291" s="128" t="n">
        <f aca="false">SQRT(B291^2+C291^2)</f>
        <v>21.9299115362352</v>
      </c>
      <c r="E291" s="129" t="n">
        <f aca="false">20*LOG10(MAX(D291,0.000000000001)/$K$3)</f>
        <v>26.8207375953358</v>
      </c>
    </row>
    <row r="292" customFormat="false" ht="15" hidden="false" customHeight="false" outlineLevel="0" collapsed="false">
      <c r="A292" s="122" t="n">
        <f aca="false">A291+$F$3</f>
        <v>2860</v>
      </c>
      <c r="B292" s="123" t="n">
        <f aca="false">SUMPRODUCT(固有振動数!$Q$6:$Q$22*(1-($A292/固有振動数!$O$6:$O$22)^2)/((1-($A292/固有振動数!$O$6:$O$22)^2)^2+固有振動数!$P$6:$P$22^2))</f>
        <v>22.2016152463868</v>
      </c>
      <c r="C292" s="123" t="n">
        <f aca="false">-SUMPRODUCT(固有振動数!$Q$6:$Q$22*固有振動数!$P$6:$P$22/((1-($A292/固有振動数!$O$6:$O$22)^2)^2+固有振動数!$P$6:$P$22^2))</f>
        <v>-1.63488940540368</v>
      </c>
      <c r="D292" s="124" t="n">
        <f aca="false">SQRT(B292^2+C292^2)</f>
        <v>22.2617291088652</v>
      </c>
      <c r="E292" s="125" t="n">
        <f aca="false">20*LOG10(MAX(D292,0.000000000001)/$K$3)</f>
        <v>26.9511778749733</v>
      </c>
    </row>
    <row r="293" customFormat="false" ht="15" hidden="false" customHeight="false" outlineLevel="0" collapsed="false">
      <c r="A293" s="126" t="n">
        <f aca="false">A292+$F$3</f>
        <v>2870</v>
      </c>
      <c r="B293" s="127" t="n">
        <f aca="false">SUMPRODUCT(固有振動数!$Q$6:$Q$22*(1-($A293/固有振動数!$O$6:$O$22)^2)/((1-($A293/固有振動数!$O$6:$O$22)^2)^2+固有振動数!$P$6:$P$22^2))</f>
        <v>22.5532550787447</v>
      </c>
      <c r="C293" s="127" t="n">
        <f aca="false">-SUMPRODUCT(固有振動数!$Q$6:$Q$22*固有振動数!$P$6:$P$22/((1-($A293/固有振動数!$O$6:$O$22)^2)^2+固有振動数!$P$6:$P$22^2))</f>
        <v>-1.74701674317325</v>
      </c>
      <c r="D293" s="128" t="n">
        <f aca="false">SQRT(B293^2+C293^2)</f>
        <v>22.6208174509201</v>
      </c>
      <c r="E293" s="129" t="n">
        <f aca="false">20*LOG10(MAX(D293,0.000000000001)/$K$3)</f>
        <v>27.090165900391</v>
      </c>
    </row>
    <row r="294" customFormat="false" ht="15" hidden="false" customHeight="false" outlineLevel="0" collapsed="false">
      <c r="A294" s="122" t="n">
        <f aca="false">A293+$F$3</f>
        <v>2880</v>
      </c>
      <c r="B294" s="123" t="n">
        <f aca="false">SUMPRODUCT(固有振動数!$Q$6:$Q$22*(1-($A294/固有振動数!$O$6:$O$22)^2)/((1-($A294/固有振動数!$O$6:$O$22)^2)^2+固有振動数!$P$6:$P$22^2))</f>
        <v>22.9345215635165</v>
      </c>
      <c r="C294" s="123" t="n">
        <f aca="false">-SUMPRODUCT(固有振動数!$Q$6:$Q$22*固有振動数!$P$6:$P$22/((1-($A294/固有振動数!$O$6:$O$22)^2)^2+固有振動数!$P$6:$P$22^2))</f>
        <v>-1.8760918493735</v>
      </c>
      <c r="D294" s="124" t="n">
        <f aca="false">SQRT(B294^2+C294^2)</f>
        <v>23.0111277423487</v>
      </c>
      <c r="E294" s="125" t="n">
        <f aca="false">20*LOG10(MAX(D294,0.000000000001)/$K$3)</f>
        <v>27.2387580667908</v>
      </c>
    </row>
    <row r="295" customFormat="false" ht="15" hidden="false" customHeight="false" outlineLevel="0" collapsed="false">
      <c r="A295" s="126" t="n">
        <f aca="false">A294+$F$3</f>
        <v>2890</v>
      </c>
      <c r="B295" s="127" t="n">
        <f aca="false">SUMPRODUCT(固有振動数!$Q$6:$Q$22*(1-($A295/固有振動数!$O$6:$O$22)^2)/((1-($A295/固有振動数!$O$6:$O$22)^2)^2+固有振動数!$P$6:$P$22^2))</f>
        <v>23.3496676334992</v>
      </c>
      <c r="C295" s="127" t="n">
        <f aca="false">-SUMPRODUCT(固有振動数!$Q$6:$Q$22*固有振動数!$P$6:$P$22/((1-($A295/固有振動数!$O$6:$O$22)^2)^2+固有振動数!$P$6:$P$22^2))</f>
        <v>-2.02564676944637</v>
      </c>
      <c r="D295" s="128" t="n">
        <f aca="false">SQRT(B295^2+C295^2)</f>
        <v>23.4373680994571</v>
      </c>
      <c r="E295" s="129" t="n">
        <f aca="false">20*LOG10(MAX(D295,0.000000000001)/$K$3)</f>
        <v>27.3981768192265</v>
      </c>
    </row>
    <row r="296" customFormat="false" ht="15" hidden="false" customHeight="false" outlineLevel="0" collapsed="false">
      <c r="A296" s="122" t="n">
        <f aca="false">A295+$F$3</f>
        <v>2900</v>
      </c>
      <c r="B296" s="123" t="n">
        <f aca="false">SUMPRODUCT(固有振動数!$Q$6:$Q$22*(1-($A296/固有振動数!$O$6:$O$22)^2)/((1-($A296/固有振動数!$O$6:$O$22)^2)^2+固有振動数!$P$6:$P$22^2))</f>
        <v>23.8037246894894</v>
      </c>
      <c r="C296" s="123" t="n">
        <f aca="false">-SUMPRODUCT(固有振動数!$Q$6:$Q$22*固有振動数!$P$6:$P$22/((1-($A296/固有振動数!$O$6:$O$22)^2)^2+固有振動数!$P$6:$P$22^2))</f>
        <v>-2.2001771287144</v>
      </c>
      <c r="D296" s="124" t="n">
        <f aca="false">SQRT(B296^2+C296^2)</f>
        <v>23.9051895723653</v>
      </c>
      <c r="E296" s="125" t="n">
        <f aca="false">20*LOG10(MAX(D296,0.000000000001)/$K$3)</f>
        <v>27.5698438415445</v>
      </c>
    </row>
    <row r="297" customFormat="false" ht="15" hidden="false" customHeight="false" outlineLevel="0" collapsed="false">
      <c r="A297" s="126" t="n">
        <f aca="false">A296+$F$3</f>
        <v>2910</v>
      </c>
      <c r="B297" s="127" t="n">
        <f aca="false">SUMPRODUCT(固有振動数!$Q$6:$Q$22*(1-($A297/固有振動数!$O$6:$O$22)^2)/((1-($A297/固有振動数!$O$6:$O$22)^2)^2+固有振動数!$P$6:$P$22^2))</f>
        <v>24.3026709767017</v>
      </c>
      <c r="C297" s="127" t="n">
        <f aca="false">-SUMPRODUCT(固有振動数!$Q$6:$Q$22*固有振動数!$P$6:$P$22/((1-($A297/固有振動数!$O$6:$O$22)^2)^2+固有振動数!$P$6:$P$22^2))</f>
        <v>-2.40546997678598</v>
      </c>
      <c r="D297" s="128" t="n">
        <f aca="false">SQRT(B297^2+C297^2)</f>
        <v>24.4214271165924</v>
      </c>
      <c r="E297" s="129" t="n">
        <f aca="false">20*LOG10(MAX(D297,0.000000000001)/$K$3)</f>
        <v>27.7554207849303</v>
      </c>
    </row>
    <row r="298" customFormat="false" ht="15" hidden="false" customHeight="false" outlineLevel="0" collapsed="false">
      <c r="A298" s="122" t="n">
        <f aca="false">A297+$F$3</f>
        <v>2920</v>
      </c>
      <c r="B298" s="123" t="n">
        <f aca="false">SUMPRODUCT(固有振動数!$Q$6:$Q$22*(1-($A298/固有振動数!$O$6:$O$22)^2)/((1-($A298/固有振動数!$O$6:$O$22)^2)^2+固有振動数!$P$6:$P$22^2))</f>
        <v>24.8536352179071</v>
      </c>
      <c r="C298" s="123" t="n">
        <f aca="false">-SUMPRODUCT(固有振動数!$Q$6:$Q$22*固有振動数!$P$6:$P$22/((1-($A298/固有振動数!$O$6:$O$22)^2)^2+固有振動数!$P$6:$P$22^2))</f>
        <v>-2.64906673380341</v>
      </c>
      <c r="D298" s="124" t="n">
        <f aca="false">SQRT(B298^2+C298^2)</f>
        <v>24.9944141380617</v>
      </c>
      <c r="E298" s="125" t="n">
        <f aca="false">20*LOG10(MAX(D298,0.000000000001)/$K$3)</f>
        <v>27.9568592293826</v>
      </c>
    </row>
    <row r="299" customFormat="false" ht="15" hidden="false" customHeight="false" outlineLevel="0" collapsed="false">
      <c r="A299" s="126" t="n">
        <f aca="false">A298+$F$3</f>
        <v>2930</v>
      </c>
      <c r="B299" s="127" t="n">
        <f aca="false">SUMPRODUCT(固有振動数!$Q$6:$Q$22*(1-($A299/固有振動数!$O$6:$O$22)^2)/((1-($A299/固有振動数!$O$6:$O$22)^2)^2+固有振動数!$P$6:$P$22^2))</f>
        <v>25.4651369330835</v>
      </c>
      <c r="C299" s="127" t="n">
        <f aca="false">-SUMPRODUCT(固有振動数!$Q$6:$Q$22*固有振動数!$P$6:$P$22/((1-($A299/固有振動数!$O$6:$O$22)^2)^2+固有振動数!$P$6:$P$22^2))</f>
        <v>-2.94092698708317</v>
      </c>
      <c r="D299" s="128" t="n">
        <f aca="false">SQRT(B299^2+C299^2)</f>
        <v>25.6343958494061</v>
      </c>
      <c r="E299" s="129" t="n">
        <f aca="false">20*LOG10(MAX(D299,0.000000000001)/$K$3)</f>
        <v>28.1764617291808</v>
      </c>
    </row>
    <row r="300" customFormat="false" ht="15" hidden="false" customHeight="false" outlineLevel="0" collapsed="false">
      <c r="A300" s="122" t="n">
        <f aca="false">A299+$F$3</f>
        <v>2940</v>
      </c>
      <c r="B300" s="123" t="n">
        <f aca="false">SUMPRODUCT(固有振動数!$Q$6:$Q$22*(1-($A300/固有振動数!$O$6:$O$22)^2)/((1-($A300/固有振動数!$O$6:$O$22)^2)^2+固有振動数!$P$6:$P$22^2))</f>
        <v>26.1473562961023</v>
      </c>
      <c r="C300" s="123" t="n">
        <f aca="false">-SUMPRODUCT(固有振動数!$Q$6:$Q$22*固有振動数!$P$6:$P$22/((1-($A300/固有振動数!$O$6:$O$22)^2)^2+固有振動数!$P$6:$P$22^2))</f>
        <v>-3.29439577646408</v>
      </c>
      <c r="D300" s="124" t="n">
        <f aca="false">SQRT(B300^2+C300^2)</f>
        <v>26.3540752978985</v>
      </c>
      <c r="E300" s="125" t="n">
        <f aca="false">20*LOG10(MAX(D300,0.000000000001)/$K$3)</f>
        <v>28.4169556490651</v>
      </c>
    </row>
    <row r="301" customFormat="false" ht="15" hidden="false" customHeight="false" outlineLevel="0" collapsed="false">
      <c r="A301" s="126" t="n">
        <f aca="false">A300+$F$3</f>
        <v>2950</v>
      </c>
      <c r="B301" s="127" t="n">
        <f aca="false">SUMPRODUCT(固有振動数!$Q$6:$Q$22*(1-($A301/固有振動数!$O$6:$O$22)^2)/((1-($A301/固有振動数!$O$6:$O$22)^2)^2+固有振動数!$P$6:$P$22^2))</f>
        <v>26.9124052041473</v>
      </c>
      <c r="C301" s="127" t="n">
        <f aca="false">-SUMPRODUCT(固有振動数!$Q$6:$Q$22*固有振動数!$P$6:$P$22/((1-($A301/固有振動数!$O$6:$O$22)^2)^2+固有振動数!$P$6:$P$22^2))</f>
        <v>-3.72763706794672</v>
      </c>
      <c r="D301" s="128" t="n">
        <f aca="false">SQRT(B301^2+C301^2)</f>
        <v>27.1693362447916</v>
      </c>
      <c r="E301" s="129" t="n">
        <f aca="false">20*LOG10(MAX(D301,0.000000000001)/$K$3)</f>
        <v>28.6815805720048</v>
      </c>
    </row>
    <row r="302" customFormat="false" ht="15" hidden="false" customHeight="false" outlineLevel="0" collapsed="false">
      <c r="A302" s="122" t="n">
        <f aca="false">A301+$F$3</f>
        <v>2960</v>
      </c>
      <c r="B302" s="123" t="n">
        <f aca="false">SUMPRODUCT(固有振動数!$Q$6:$Q$22*(1-($A302/固有振動数!$O$6:$O$22)^2)/((1-($A302/固有振動数!$O$6:$O$22)^2)^2+固有振動数!$P$6:$P$22^2))</f>
        <v>27.7745218125654</v>
      </c>
      <c r="C302" s="123" t="n">
        <f aca="false">-SUMPRODUCT(固有振動数!$Q$6:$Q$22*固有振動数!$P$6:$P$22/((1-($A302/固有振動数!$O$6:$O$22)^2)^2+固有振動数!$P$6:$P$22^2))</f>
        <v>-4.26579487120303</v>
      </c>
      <c r="D302" s="124" t="n">
        <f aca="false">SQRT(B302^2+C302^2)</f>
        <v>28.1001969352503</v>
      </c>
      <c r="E302" s="125" t="n">
        <f aca="false">20*LOG10(MAX(D302,0.000000000001)/$K$3)</f>
        <v>28.9741872718331</v>
      </c>
    </row>
    <row r="303" customFormat="false" ht="15" hidden="false" customHeight="false" outlineLevel="0" collapsed="false">
      <c r="A303" s="126" t="n">
        <f aca="false">A302+$F$3</f>
        <v>2970</v>
      </c>
      <c r="B303" s="127" t="n">
        <f aca="false">SUMPRODUCT(固有振動数!$Q$6:$Q$22*(1-($A303/固有振動数!$O$6:$O$22)^2)/((1-($A303/固有振動数!$O$6:$O$22)^2)^2+固有振動数!$P$6:$P$22^2))</f>
        <v>28.7499977621412</v>
      </c>
      <c r="C303" s="127" t="n">
        <f aca="false">-SUMPRODUCT(固有振動数!$Q$6:$Q$22*固有振動数!$P$6:$P$22/((1-($A303/固有振動数!$O$6:$O$22)^2)^2+固有振動数!$P$6:$P$22^2))</f>
        <v>-4.94430627735145</v>
      </c>
      <c r="D303" s="128" t="n">
        <f aca="false">SQRT(B303^2+C303^2)</f>
        <v>29.1720505944882</v>
      </c>
      <c r="E303" s="129" t="n">
        <f aca="false">20*LOG10(MAX(D303,0.000000000001)/$K$3)</f>
        <v>29.2993391621878</v>
      </c>
    </row>
    <row r="304" customFormat="false" ht="15" hidden="false" customHeight="false" outlineLevel="0" collapsed="false">
      <c r="A304" s="122" t="n">
        <f aca="false">A303+$F$3</f>
        <v>2980</v>
      </c>
      <c r="B304" s="123" t="n">
        <f aca="false">SUMPRODUCT(固有振動数!$Q$6:$Q$22*(1-($A304/固有振動数!$O$6:$O$22)^2)/((1-($A304/固有振動数!$O$6:$O$22)^2)^2+固有振動数!$P$6:$P$22^2))</f>
        <v>29.8563895520749</v>
      </c>
      <c r="C304" s="123" t="n">
        <f aca="false">-SUMPRODUCT(固有振動数!$Q$6:$Q$22*固有振動数!$P$6:$P$22/((1-($A304/固有振動数!$O$6:$O$22)^2)^2+固有振動数!$P$6:$P$22^2))</f>
        <v>-5.81405580066291</v>
      </c>
      <c r="D304" s="124" t="n">
        <f aca="false">SQRT(B304^2+C304^2)</f>
        <v>30.4172194971609</v>
      </c>
      <c r="E304" s="125" t="n">
        <f aca="false">20*LOG10(MAX(D304,0.000000000001)/$K$3)</f>
        <v>29.6623902349504</v>
      </c>
    </row>
    <row r="305" customFormat="false" ht="15" hidden="false" customHeight="false" outlineLevel="0" collapsed="false">
      <c r="A305" s="126" t="n">
        <f aca="false">A304+$F$3</f>
        <v>2990</v>
      </c>
      <c r="B305" s="127" t="n">
        <f aca="false">SUMPRODUCT(固有振動数!$Q$6:$Q$22*(1-($A305/固有振動数!$O$6:$O$22)^2)/((1-($A305/固有振動数!$O$6:$O$22)^2)^2+固有振動数!$P$6:$P$22^2))</f>
        <v>31.1099739476053</v>
      </c>
      <c r="C305" s="127" t="n">
        <f aca="false">-SUMPRODUCT(固有振動数!$Q$6:$Q$22*固有振動数!$P$6:$P$22/((1-($A305/固有振動数!$O$6:$O$22)^2)^2+固有振動数!$P$6:$P$22^2))</f>
        <v>-6.94947184952774</v>
      </c>
      <c r="D305" s="128" t="n">
        <f aca="false">SQRT(B305^2+C305^2)</f>
        <v>31.8767256475325</v>
      </c>
      <c r="E305" s="129" t="n">
        <f aca="false">20*LOG10(MAX(D305,0.000000000001)/$K$3)</f>
        <v>30.0694740924733</v>
      </c>
    </row>
    <row r="306" customFormat="false" ht="15" hidden="false" customHeight="false" outlineLevel="0" collapsed="false">
      <c r="A306" s="122" t="n">
        <f aca="false">A305+$F$3</f>
        <v>3000</v>
      </c>
      <c r="B306" s="123" t="n">
        <f aca="false">SUMPRODUCT(固有振動数!$Q$6:$Q$22*(1-($A306/固有振動数!$O$6:$O$22)^2)/((1-($A306/固有振動数!$O$6:$O$22)^2)^2+固有振動数!$P$6:$P$22^2))</f>
        <v>32.5190383029528</v>
      </c>
      <c r="C306" s="123" t="n">
        <f aca="false">-SUMPRODUCT(固有振動数!$Q$6:$Q$22*固有振動数!$P$6:$P$22/((1-($A306/固有振動数!$O$6:$O$22)^2)^2+固有振動数!$P$6:$P$22^2))</f>
        <v>-8.46121551051725</v>
      </c>
      <c r="D306" s="124" t="n">
        <f aca="false">SQRT(B306^2+C306^2)</f>
        <v>33.6017859653967</v>
      </c>
      <c r="E306" s="125" t="n">
        <f aca="false">20*LOG10(MAX(D306,0.000000000001)/$K$3)</f>
        <v>30.5272472229775</v>
      </c>
    </row>
    <row r="307" customFormat="false" ht="15" hidden="false" customHeight="false" outlineLevel="0" collapsed="false">
      <c r="A307" s="126" t="n">
        <f aca="false">A306+$F$3</f>
        <v>3010</v>
      </c>
      <c r="B307" s="127" t="n">
        <f aca="false">SUMPRODUCT(固有振動数!$Q$6:$Q$22*(1-($A307/固有振動数!$O$6:$O$22)^2)/((1-($A307/固有振動数!$O$6:$O$22)^2)^2+固有振動数!$P$6:$P$22^2))</f>
        <v>34.0674238817634</v>
      </c>
      <c r="C307" s="127" t="n">
        <f aca="false">-SUMPRODUCT(固有振動数!$Q$6:$Q$22*固有振動数!$P$6:$P$22/((1-($A307/固有振動数!$O$6:$O$22)^2)^2+固有振動数!$P$6:$P$22^2))</f>
        <v>-10.5154659941981</v>
      </c>
      <c r="D307" s="128" t="n">
        <f aca="false">SQRT(B307^2+C307^2)</f>
        <v>35.6533924755398</v>
      </c>
      <c r="E307" s="129" t="n">
        <f aca="false">20*LOG10(MAX(D307,0.000000000001)/$K$3)</f>
        <v>31.0420171989385</v>
      </c>
    </row>
    <row r="308" customFormat="false" ht="15" hidden="false" customHeight="false" outlineLevel="0" collapsed="false">
      <c r="A308" s="122" t="n">
        <f aca="false">A307+$F$3</f>
        <v>3020</v>
      </c>
      <c r="B308" s="123" t="n">
        <f aca="false">SUMPRODUCT(固有振動数!$Q$6:$Q$22*(1-($A308/固有振動数!$O$6:$O$22)^2)/((1-($A308/固有振動数!$O$6:$O$22)^2)^2+固有振動数!$P$6:$P$22^2))</f>
        <v>35.6755597303308</v>
      </c>
      <c r="C308" s="123" t="n">
        <f aca="false">-SUMPRODUCT(固有振動数!$Q$6:$Q$22*固有振動数!$P$6:$P$22/((1-($A308/固有振動数!$O$6:$O$22)^2)^2+固有振動数!$P$6:$P$22^2))</f>
        <v>-13.3602195342597</v>
      </c>
      <c r="D308" s="124" t="n">
        <f aca="false">SQRT(B308^2+C308^2)</f>
        <v>38.0951575410315</v>
      </c>
      <c r="E308" s="125" t="n">
        <f aca="false">20*LOG10(MAX(D308,0.000000000001)/$K$3)</f>
        <v>31.6173954784112</v>
      </c>
    </row>
    <row r="309" customFormat="false" ht="15" hidden="false" customHeight="false" outlineLevel="0" collapsed="false">
      <c r="A309" s="126" t="n">
        <f aca="false">A308+$F$3</f>
        <v>3030</v>
      </c>
      <c r="B309" s="127" t="n">
        <f aca="false">SUMPRODUCT(固有振動数!$Q$6:$Q$22*(1-($A309/固有振動数!$O$6:$O$22)^2)/((1-($A309/固有振動数!$O$6:$O$22)^2)^2+固有振動数!$P$6:$P$22^2))</f>
        <v>37.1115079804606</v>
      </c>
      <c r="C309" s="127" t="n">
        <f aca="false">-SUMPRODUCT(固有振動数!$Q$6:$Q$22*固有振動数!$P$6:$P$22/((1-($A309/固有振動数!$O$6:$O$22)^2)^2+固有振動数!$P$6:$P$22^2))</f>
        <v>-17.3484117013539</v>
      </c>
      <c r="D309" s="128" t="n">
        <f aca="false">SQRT(B309^2+C309^2)</f>
        <v>40.9662228322732</v>
      </c>
      <c r="E309" s="129" t="n">
        <f aca="false">20*LOG10(MAX(D309,0.000000000001)/$K$3)</f>
        <v>32.248518459574</v>
      </c>
    </row>
    <row r="310" customFormat="false" ht="15" hidden="false" customHeight="false" outlineLevel="0" collapsed="false">
      <c r="A310" s="122" t="n">
        <f aca="false">A309+$F$3</f>
        <v>3040</v>
      </c>
      <c r="B310" s="123" t="n">
        <f aca="false">SUMPRODUCT(固有振動数!$Q$6:$Q$22*(1-($A310/固有振動数!$O$6:$O$22)^2)/((1-($A310/固有振動数!$O$6:$O$22)^2)^2+固有振動数!$P$6:$P$22^2))</f>
        <v>37.804374194055</v>
      </c>
      <c r="C310" s="123" t="n">
        <f aca="false">-SUMPRODUCT(固有振動数!$Q$6:$Q$22*固有振動数!$P$6:$P$22/((1-($A310/固有振動数!$O$6:$O$22)^2)^2+固有振動数!$P$6:$P$22^2))</f>
        <v>-22.9040421850177</v>
      </c>
      <c r="D310" s="124" t="n">
        <f aca="false">SQRT(B310^2+C310^2)</f>
        <v>44.2014236944604</v>
      </c>
      <c r="E310" s="125" t="n">
        <f aca="false">20*LOG10(MAX(D310,0.000000000001)/$K$3)</f>
        <v>32.90872515743</v>
      </c>
    </row>
    <row r="311" customFormat="false" ht="15" hidden="false" customHeight="false" outlineLevel="0" collapsed="false">
      <c r="A311" s="126" t="n">
        <f aca="false">A310+$F$3</f>
        <v>3050</v>
      </c>
      <c r="B311" s="127" t="n">
        <f aca="false">SUMPRODUCT(固有振動数!$Q$6:$Q$22*(1-($A311/固有振動数!$O$6:$O$22)^2)/((1-($A311/固有振動数!$O$6:$O$22)^2)^2+固有振動数!$P$6:$P$22^2))</f>
        <v>36.5428688946207</v>
      </c>
      <c r="C311" s="127" t="n">
        <f aca="false">-SUMPRODUCT(固有振動数!$Q$6:$Q$22*固有振動数!$P$6:$P$22/((1-($A311/固有振動数!$O$6:$O$22)^2)^2+固有振動数!$P$6:$P$22^2))</f>
        <v>-30.2449231303995</v>
      </c>
      <c r="D311" s="128" t="n">
        <f aca="false">SQRT(B311^2+C311^2)</f>
        <v>47.4356052160528</v>
      </c>
      <c r="E311" s="129" t="n">
        <f aca="false">20*LOG10(MAX(D311,0.000000000001)/$K$3)</f>
        <v>33.5220889195906</v>
      </c>
    </row>
    <row r="312" customFormat="false" ht="15" hidden="false" customHeight="false" outlineLevel="0" collapsed="false">
      <c r="A312" s="122" t="n">
        <f aca="false">A311+$F$3</f>
        <v>3060</v>
      </c>
      <c r="B312" s="123" t="n">
        <f aca="false">SUMPRODUCT(固有振動数!$Q$6:$Q$22*(1-($A312/固有振動数!$O$6:$O$22)^2)/((1-($A312/固有振動数!$O$6:$O$22)^2)^2+固有振動数!$P$6:$P$22^2))</f>
        <v>31.3948288876526</v>
      </c>
      <c r="C312" s="123" t="n">
        <f aca="false">-SUMPRODUCT(固有振動数!$Q$6:$Q$22*固有振動数!$P$6:$P$22/((1-($A312/固有振動数!$O$6:$O$22)^2)^2+固有振動数!$P$6:$P$22^2))</f>
        <v>-38.485968028965</v>
      </c>
      <c r="D312" s="124" t="n">
        <f aca="false">SQRT(B312^2+C312^2)</f>
        <v>49.6669408763164</v>
      </c>
      <c r="E312" s="125" t="n">
        <f aca="false">20*LOG10(MAX(D312,0.000000000001)/$K$3)</f>
        <v>33.9213482285136</v>
      </c>
    </row>
    <row r="313" customFormat="false" ht="15" hidden="false" customHeight="false" outlineLevel="0" collapsed="false">
      <c r="A313" s="126" t="n">
        <f aca="false">A312+$F$3</f>
        <v>3070</v>
      </c>
      <c r="B313" s="127" t="n">
        <f aca="false">SUMPRODUCT(固有振動数!$Q$6:$Q$22*(1-($A313/固有振動数!$O$6:$O$22)^2)/((1-($A313/固有振動数!$O$6:$O$22)^2)^2+固有振動数!$P$6:$P$22^2))</f>
        <v>21.1451400008587</v>
      </c>
      <c r="C313" s="127" t="n">
        <f aca="false">-SUMPRODUCT(固有振動数!$Q$6:$Q$22*固有振動数!$P$6:$P$22/((1-($A313/固有振動数!$O$6:$O$22)^2)^2+固有振動数!$P$6:$P$22^2))</f>
        <v>-44.3997588326919</v>
      </c>
      <c r="D313" s="128" t="n">
        <f aca="false">SQRT(B313^2+C313^2)</f>
        <v>49.1777950914548</v>
      </c>
      <c r="E313" s="129" t="n">
        <f aca="false">20*LOG10(MAX(D313,0.000000000001)/$K$3)</f>
        <v>33.8353810610183</v>
      </c>
    </row>
    <row r="314" customFormat="false" ht="15" hidden="false" customHeight="false" outlineLevel="0" collapsed="false">
      <c r="A314" s="122" t="n">
        <f aca="false">A313+$F$3</f>
        <v>3080</v>
      </c>
      <c r="B314" s="123" t="n">
        <f aca="false">SUMPRODUCT(固有振動数!$Q$6:$Q$22*(1-($A314/固有振動数!$O$6:$O$22)^2)/((1-($A314/固有振動数!$O$6:$O$22)^2)^2+固有振動数!$P$6:$P$22^2))</f>
        <v>8.45790474443944</v>
      </c>
      <c r="C314" s="123" t="n">
        <f aca="false">-SUMPRODUCT(固有振動数!$Q$6:$Q$22*固有振動数!$P$6:$P$22/((1-($A314/固有振動数!$O$6:$O$22)^2)^2+固有振動数!$P$6:$P$22^2))</f>
        <v>-43.9566546633771</v>
      </c>
      <c r="D314" s="124" t="n">
        <f aca="false">SQRT(B314^2+C314^2)</f>
        <v>44.762971772006</v>
      </c>
      <c r="E314" s="125" t="n">
        <f aca="false">20*LOG10(MAX(D314,0.000000000001)/$K$3)</f>
        <v>33.0183782243921</v>
      </c>
    </row>
    <row r="315" customFormat="false" ht="15" hidden="false" customHeight="false" outlineLevel="0" collapsed="false">
      <c r="A315" s="126" t="n">
        <f aca="false">A314+$F$3</f>
        <v>3090</v>
      </c>
      <c r="B315" s="127" t="n">
        <f aca="false">SUMPRODUCT(固有振動数!$Q$6:$Q$22*(1-($A315/固有振動数!$O$6:$O$22)^2)/((1-($A315/固有振動数!$O$6:$O$22)^2)^2+固有振動数!$P$6:$P$22^2))</f>
        <v>-1.25680848436279</v>
      </c>
      <c r="C315" s="127" t="n">
        <f aca="false">-SUMPRODUCT(固有振動数!$Q$6:$Q$22*固有振動数!$P$6:$P$22/((1-($A315/固有振動数!$O$6:$O$22)^2)^2+固有振動数!$P$6:$P$22^2))</f>
        <v>-37.4554798198253</v>
      </c>
      <c r="D315" s="128" t="n">
        <f aca="false">SQRT(B315^2+C315^2)</f>
        <v>37.4765598221036</v>
      </c>
      <c r="E315" s="129" t="n">
        <f aca="false">20*LOG10(MAX(D315,0.000000000001)/$K$3)</f>
        <v>31.4751943557083</v>
      </c>
    </row>
    <row r="316" customFormat="false" ht="15" hidden="false" customHeight="false" outlineLevel="0" collapsed="false">
      <c r="A316" s="122" t="n">
        <f aca="false">A315+$F$3</f>
        <v>3100</v>
      </c>
      <c r="B316" s="123" t="n">
        <f aca="false">SUMPRODUCT(固有振動数!$Q$6:$Q$22*(1-($A316/固有振動数!$O$6:$O$22)^2)/((1-($A316/固有振動数!$O$6:$O$22)^2)^2+固有振動数!$P$6:$P$22^2))</f>
        <v>-5.82041325884106</v>
      </c>
      <c r="C316" s="123" t="n">
        <f aca="false">-SUMPRODUCT(固有振動数!$Q$6:$Q$22*固有振動数!$P$6:$P$22/((1-($A316/固有振動数!$O$6:$O$22)^2)^2+固有振動数!$P$6:$P$22^2))</f>
        <v>-29.0984077150857</v>
      </c>
      <c r="D316" s="124" t="n">
        <f aca="false">SQRT(B316^2+C316^2)</f>
        <v>29.6748132606938</v>
      </c>
      <c r="E316" s="125" t="n">
        <f aca="false">20*LOG10(MAX(D316,0.000000000001)/$K$3)</f>
        <v>29.4477598936578</v>
      </c>
    </row>
    <row r="317" customFormat="false" ht="15" hidden="false" customHeight="false" outlineLevel="0" collapsed="false">
      <c r="A317" s="126" t="n">
        <f aca="false">A316+$F$3</f>
        <v>3110</v>
      </c>
      <c r="B317" s="127" t="n">
        <f aca="false">SUMPRODUCT(固有振動数!$Q$6:$Q$22*(1-($A317/固有振動数!$O$6:$O$22)^2)/((1-($A317/固有振動数!$O$6:$O$22)^2)^2+固有振動数!$P$6:$P$22^2))</f>
        <v>-6.69247665138197</v>
      </c>
      <c r="C317" s="127" t="n">
        <f aca="false">-SUMPRODUCT(固有振動数!$Q$6:$Q$22*固有振動数!$P$6:$P$22/((1-($A317/固有振動数!$O$6:$O$22)^2)^2+固有振動数!$P$6:$P$22^2))</f>
        <v>-21.8752189382446</v>
      </c>
      <c r="D317" s="128" t="n">
        <f aca="false">SQRT(B317^2+C317^2)</f>
        <v>22.8760671297631</v>
      </c>
      <c r="E317" s="129" t="n">
        <f aca="false">20*LOG10(MAX(D317,0.000000000001)/$K$3)</f>
        <v>27.187627246252</v>
      </c>
    </row>
    <row r="318" customFormat="false" ht="15" hidden="false" customHeight="false" outlineLevel="0" collapsed="false">
      <c r="A318" s="122" t="n">
        <f aca="false">A317+$F$3</f>
        <v>3120</v>
      </c>
      <c r="B318" s="123" t="n">
        <f aca="false">SUMPRODUCT(固有振動数!$Q$6:$Q$22*(1-($A318/固有振動数!$O$6:$O$22)^2)/((1-($A318/固有振動数!$O$6:$O$22)^2)^2+固有振動数!$P$6:$P$22^2))</f>
        <v>-5.78307722500215</v>
      </c>
      <c r="C318" s="123" t="n">
        <f aca="false">-SUMPRODUCT(固有振動数!$Q$6:$Q$22*固有振動数!$P$6:$P$22/((1-($A318/固有振動数!$O$6:$O$22)^2)^2+固有振動数!$P$6:$P$22^2))</f>
        <v>-16.4836729060591</v>
      </c>
      <c r="D318" s="124" t="n">
        <f aca="false">SQRT(B318^2+C318^2)</f>
        <v>17.4686992836984</v>
      </c>
      <c r="E318" s="125" t="n">
        <f aca="false">20*LOG10(MAX(D318,0.000000000001)/$K$3)</f>
        <v>24.8452113739085</v>
      </c>
    </row>
    <row r="319" customFormat="false" ht="15" hidden="false" customHeight="false" outlineLevel="0" collapsed="false">
      <c r="A319" s="126" t="n">
        <f aca="false">A318+$F$3</f>
        <v>3130</v>
      </c>
      <c r="B319" s="127" t="n">
        <f aca="false">SUMPRODUCT(固有振動数!$Q$6:$Q$22*(1-($A319/固有振動数!$O$6:$O$22)^2)/((1-($A319/固有振動数!$O$6:$O$22)^2)^2+固有振動数!$P$6:$P$22^2))</f>
        <v>-4.23273363675566</v>
      </c>
      <c r="C319" s="127" t="n">
        <f aca="false">-SUMPRODUCT(固有振動数!$Q$6:$Q$22*固有振動数!$P$6:$P$22/((1-($A319/固有振動数!$O$6:$O$22)^2)^2+固有振動数!$P$6:$P$22^2))</f>
        <v>-12.6401754504897</v>
      </c>
      <c r="D319" s="128" t="n">
        <f aca="false">SQRT(B319^2+C319^2)</f>
        <v>13.3300438656024</v>
      </c>
      <c r="E319" s="129" t="n">
        <f aca="false">20*LOG10(MAX(D319,0.000000000001)/$K$3)</f>
        <v>22.4966315712595</v>
      </c>
    </row>
    <row r="320" customFormat="false" ht="15" hidden="false" customHeight="false" outlineLevel="0" collapsed="false">
      <c r="A320" s="122" t="n">
        <f aca="false">A319+$F$3</f>
        <v>3140</v>
      </c>
      <c r="B320" s="123" t="n">
        <f aca="false">SUMPRODUCT(固有振動数!$Q$6:$Q$22*(1-($A320/固有振動数!$O$6:$O$22)^2)/((1-($A320/固有振動数!$O$6:$O$22)^2)^2+固有振動数!$P$6:$P$22^2))</f>
        <v>-2.56420056145781</v>
      </c>
      <c r="C320" s="123" t="n">
        <f aca="false">-SUMPRODUCT(固有振動数!$Q$6:$Q$22*固有振動数!$P$6:$P$22/((1-($A320/固有振動数!$O$6:$O$22)^2)^2+固有振動数!$P$6:$P$22^2))</f>
        <v>-9.90968961503657</v>
      </c>
      <c r="D320" s="124" t="n">
        <f aca="false">SQRT(B320^2+C320^2)</f>
        <v>10.2360672519159</v>
      </c>
      <c r="E320" s="125" t="n">
        <f aca="false">20*LOG10(MAX(D320,0.000000000001)/$K$3)</f>
        <v>20.2026626115949</v>
      </c>
    </row>
    <row r="321" customFormat="false" ht="15" hidden="false" customHeight="false" outlineLevel="0" collapsed="false">
      <c r="A321" s="126" t="n">
        <f aca="false">A320+$F$3</f>
        <v>3150</v>
      </c>
      <c r="B321" s="127" t="n">
        <f aca="false">SUMPRODUCT(固有振動数!$Q$6:$Q$22*(1-($A321/固有振動数!$O$6:$O$22)^2)/((1-($A321/固有振動数!$O$6:$O$22)^2)^2+固有振動数!$P$6:$P$22^2))</f>
        <v>-0.983594102895045</v>
      </c>
      <c r="C321" s="127" t="n">
        <f aca="false">-SUMPRODUCT(固有振動数!$Q$6:$Q$22*固有振動数!$P$6:$P$22/((1-($A321/固有振動数!$O$6:$O$22)^2)^2+固有振動数!$P$6:$P$22^2))</f>
        <v>-7.94349167392945</v>
      </c>
      <c r="D321" s="128" t="n">
        <f aca="false">SQRT(B321^2+C321^2)</f>
        <v>8.004156253662</v>
      </c>
      <c r="E321" s="129" t="n">
        <f aca="false">20*LOG10(MAX(D321,0.000000000001)/$K$3)</f>
        <v>18.0663111631036</v>
      </c>
    </row>
    <row r="322" customFormat="false" ht="15" hidden="false" customHeight="false" outlineLevel="0" collapsed="false">
      <c r="A322" s="122" t="n">
        <f aca="false">A321+$F$3</f>
        <v>3160</v>
      </c>
      <c r="B322" s="123" t="n">
        <f aca="false">SUMPRODUCT(固有振動数!$Q$6:$Q$22*(1-($A322/固有振動数!$O$6:$O$22)^2)/((1-($A322/固有振動数!$O$6:$O$22)^2)^2+固有振動数!$P$6:$P$22^2))</f>
        <v>0.442615109026807</v>
      </c>
      <c r="C322" s="123" t="n">
        <f aca="false">-SUMPRODUCT(固有振動数!$Q$6:$Q$22*固有振動数!$P$6:$P$22/((1-($A322/固有振動数!$O$6:$O$22)^2)^2+固有振動数!$P$6:$P$22^2))</f>
        <v>-6.49992531370382</v>
      </c>
      <c r="D322" s="124" t="n">
        <f aca="false">SQRT(B322^2+C322^2)</f>
        <v>6.51497791388939</v>
      </c>
      <c r="E322" s="125" t="n">
        <f aca="false">20*LOG10(MAX(D322,0.000000000001)/$K$3)</f>
        <v>16.2782589554088</v>
      </c>
    </row>
    <row r="323" customFormat="false" ht="15" hidden="false" customHeight="false" outlineLevel="0" collapsed="false">
      <c r="A323" s="126" t="n">
        <f aca="false">A322+$F$3</f>
        <v>3170</v>
      </c>
      <c r="B323" s="127" t="n">
        <f aca="false">SUMPRODUCT(固有振動数!$Q$6:$Q$22*(1-($A323/固有振動数!$O$6:$O$22)^2)/((1-($A323/固有振動数!$O$6:$O$22)^2)^2+固有振動数!$P$6:$P$22^2))</f>
        <v>1.70494110419422</v>
      </c>
      <c r="C323" s="127" t="n">
        <f aca="false">-SUMPRODUCT(固有振動数!$Q$6:$Q$22*固有振動数!$P$6:$P$22/((1-($A323/固有振動数!$O$6:$O$22)^2)^2+固有振動数!$P$6:$P$22^2))</f>
        <v>-5.41809662352059</v>
      </c>
      <c r="D323" s="128" t="n">
        <f aca="false">SQRT(B323^2+C323^2)</f>
        <v>5.68001718224304</v>
      </c>
      <c r="E323" s="129" t="n">
        <f aca="false">20*LOG10(MAX(D323,0.000000000001)/$K$3)</f>
        <v>15.0869929893684</v>
      </c>
    </row>
    <row r="324" customFormat="false" ht="15" hidden="false" customHeight="false" outlineLevel="0" collapsed="false">
      <c r="A324" s="122" t="n">
        <f aca="false">A323+$F$3</f>
        <v>3180</v>
      </c>
      <c r="B324" s="123" t="n">
        <f aca="false">SUMPRODUCT(固有振動数!$Q$6:$Q$22*(1-($A324/固有振動数!$O$6:$O$22)^2)/((1-($A324/固有振動数!$O$6:$O$22)^2)^2+固有振動数!$P$6:$P$22^2))</f>
        <v>2.81515793894425</v>
      </c>
      <c r="C324" s="123" t="n">
        <f aca="false">-SUMPRODUCT(固有振動数!$Q$6:$Q$22*固有振動数!$P$6:$P$22/((1-($A324/固有振動数!$O$6:$O$22)^2)^2+固有振動数!$P$6:$P$22^2))</f>
        <v>-4.59122511546683</v>
      </c>
      <c r="D324" s="124" t="n">
        <f aca="false">SQRT(B324^2+C324^2)</f>
        <v>5.38557910368924</v>
      </c>
      <c r="E324" s="125" t="n">
        <f aca="false">20*LOG10(MAX(D324,0.000000000001)/$K$3)</f>
        <v>14.6246481843027</v>
      </c>
    </row>
    <row r="325" customFormat="false" ht="15" hidden="false" customHeight="false" outlineLevel="0" collapsed="false">
      <c r="A325" s="126" t="n">
        <f aca="false">A324+$F$3</f>
        <v>3190</v>
      </c>
      <c r="B325" s="127" t="n">
        <f aca="false">SUMPRODUCT(固有振動数!$Q$6:$Q$22*(1-($A325/固有振動数!$O$6:$O$22)^2)/((1-($A325/固有振動数!$O$6:$O$22)^2)^2+固有振動数!$P$6:$P$22^2))</f>
        <v>3.79142386512519</v>
      </c>
      <c r="C325" s="127" t="n">
        <f aca="false">-SUMPRODUCT(固有振動数!$Q$6:$Q$22*固有振動数!$P$6:$P$22/((1-($A325/固有振動数!$O$6:$O$22)^2)^2+固有振動数!$P$6:$P$22^2))</f>
        <v>-3.94763459293051</v>
      </c>
      <c r="D325" s="128" t="n">
        <f aca="false">SQRT(B325^2+C325^2)</f>
        <v>5.47345538068435</v>
      </c>
      <c r="E325" s="129" t="n">
        <f aca="false">20*LOG10(MAX(D325,0.000000000001)/$K$3)</f>
        <v>14.7652316417872</v>
      </c>
    </row>
    <row r="326" customFormat="false" ht="15" hidden="false" customHeight="false" outlineLevel="0" collapsed="false">
      <c r="A326" s="122" t="n">
        <f aca="false">A325+$F$3</f>
        <v>3200</v>
      </c>
      <c r="B326" s="123" t="n">
        <f aca="false">SUMPRODUCT(固有振動数!$Q$6:$Q$22*(1-($A326/固有振動数!$O$6:$O$22)^2)/((1-($A326/固有振動数!$O$6:$O$22)^2)^2+固有振動数!$P$6:$P$22^2))</f>
        <v>4.65234411651055</v>
      </c>
      <c r="C326" s="123" t="n">
        <f aca="false">-SUMPRODUCT(固有振動数!$Q$6:$Q$22*固有振動数!$P$6:$P$22/((1-($A326/固有振動数!$O$6:$O$22)^2)^2+固有振動数!$P$6:$P$22^2))</f>
        <v>-3.43838646342874</v>
      </c>
      <c r="D326" s="124" t="n">
        <f aca="false">SQRT(B326^2+C326^2)</f>
        <v>5.78505032392289</v>
      </c>
      <c r="E326" s="125" t="n">
        <f aca="false">20*LOG10(MAX(D326,0.000000000001)/$K$3)</f>
        <v>15.2461428242928</v>
      </c>
    </row>
    <row r="327" customFormat="false" ht="15" hidden="false" customHeight="false" outlineLevel="0" collapsed="false">
      <c r="A327" s="126" t="n">
        <f aca="false">A326+$F$3</f>
        <v>3210</v>
      </c>
      <c r="B327" s="127" t="n">
        <f aca="false">SUMPRODUCT(固有振動数!$Q$6:$Q$22*(1-($A327/固有振動数!$O$6:$O$22)^2)/((1-($A327/固有振動数!$O$6:$O$22)^2)^2+固有振動数!$P$6:$P$22^2))</f>
        <v>5.41481243296508</v>
      </c>
      <c r="C327" s="127" t="n">
        <f aca="false">-SUMPRODUCT(固有振動数!$Q$6:$Q$22*固有振動数!$P$6:$P$22/((1-($A327/固有振動数!$O$6:$O$22)^2)^2+固有振動数!$P$6:$P$22^2))</f>
        <v>-3.02943258253552</v>
      </c>
      <c r="D327" s="128" t="n">
        <f aca="false">SQRT(B327^2+C327^2)</f>
        <v>6.20464789140537</v>
      </c>
      <c r="E327" s="129" t="n">
        <f aca="false">20*LOG10(MAX(D327,0.000000000001)/$K$3)</f>
        <v>15.8543428136858</v>
      </c>
    </row>
    <row r="328" customFormat="false" ht="15" hidden="false" customHeight="false" outlineLevel="0" collapsed="false">
      <c r="A328" s="122" t="n">
        <f aca="false">A327+$F$3</f>
        <v>3220</v>
      </c>
      <c r="B328" s="123" t="n">
        <f aca="false">SUMPRODUCT(固有振動数!$Q$6:$Q$22*(1-($A328/固有振動数!$O$6:$O$22)^2)/((1-($A328/固有振動数!$O$6:$O$22)^2)^2+固有振動数!$P$6:$P$22^2))</f>
        <v>6.09342133620993</v>
      </c>
      <c r="C328" s="123" t="n">
        <f aca="false">-SUMPRODUCT(固有振動数!$Q$6:$Q$22*固有振動数!$P$6:$P$22/((1-($A328/固有振動数!$O$6:$O$22)^2)^2+固有振動数!$P$6:$P$22^2))</f>
        <v>-2.696634812282</v>
      </c>
      <c r="D328" s="124" t="n">
        <f aca="false">SQRT(B328^2+C328^2)</f>
        <v>6.66345427622863</v>
      </c>
      <c r="E328" s="125" t="n">
        <f aca="false">20*LOG10(MAX(D328,0.000000000001)/$K$3)</f>
        <v>16.4739884398612</v>
      </c>
    </row>
    <row r="329" customFormat="false" ht="15" hidden="false" customHeight="false" outlineLevel="0" collapsed="false">
      <c r="A329" s="126" t="n">
        <f aca="false">A328+$F$3</f>
        <v>3230</v>
      </c>
      <c r="B329" s="127" t="n">
        <f aca="false">SUMPRODUCT(固有振動数!$Q$6:$Q$22*(1-($A329/固有振動数!$O$6:$O$22)^2)/((1-($A329/固有振動数!$O$6:$O$22)^2)^2+固有振動数!$P$6:$P$22^2))</f>
        <v>6.7004951444874</v>
      </c>
      <c r="C329" s="127" t="n">
        <f aca="false">-SUMPRODUCT(固有振動数!$Q$6:$Q$22*固有振動数!$P$6:$P$22/((1-($A329/固有振動数!$O$6:$O$22)^2)^2+固有振動数!$P$6:$P$22^2))</f>
        <v>-2.42256949918732</v>
      </c>
      <c r="D329" s="128" t="n">
        <f aca="false">SQRT(B329^2+C329^2)</f>
        <v>7.12498969540952</v>
      </c>
      <c r="E329" s="129" t="n">
        <f aca="false">20*LOG10(MAX(D329,0.000000000001)/$K$3)</f>
        <v>17.0556848115618</v>
      </c>
    </row>
    <row r="330" customFormat="false" ht="15" hidden="false" customHeight="false" outlineLevel="0" collapsed="false">
      <c r="A330" s="122" t="n">
        <f aca="false">A329+$F$3</f>
        <v>3240</v>
      </c>
      <c r="B330" s="123" t="n">
        <f aca="false">SUMPRODUCT(固有振動数!$Q$6:$Q$22*(1-($A330/固有振動数!$O$6:$O$22)^2)/((1-($A330/固有振動数!$O$6:$O$22)^2)^2+固有振動数!$P$6:$P$22^2))</f>
        <v>7.246342557316</v>
      </c>
      <c r="C330" s="123" t="n">
        <f aca="false">-SUMPRODUCT(固有振動数!$Q$6:$Q$22*固有振動数!$P$6:$P$22/((1-($A330/固有振動数!$O$6:$O$22)^2)^2+固有振動数!$P$6:$P$22^2))</f>
        <v>-2.19444537796417</v>
      </c>
      <c r="D330" s="124" t="n">
        <f aca="false">SQRT(B330^2+C330^2)</f>
        <v>7.57133217966543</v>
      </c>
      <c r="E330" s="125" t="n">
        <f aca="false">20*LOG10(MAX(D330,0.000000000001)/$K$3)</f>
        <v>17.5834460110736</v>
      </c>
    </row>
    <row r="331" customFormat="false" ht="15" hidden="false" customHeight="false" outlineLevel="0" collapsed="false">
      <c r="A331" s="126" t="n">
        <f aca="false">A330+$F$3</f>
        <v>3250</v>
      </c>
      <c r="B331" s="127" t="n">
        <f aca="false">SUMPRODUCT(固有振動数!$Q$6:$Q$22*(1-($A331/固有振動数!$O$6:$O$22)^2)/((1-($A331/固有振動数!$O$6:$O$22)^2)^2+固有振動数!$P$6:$P$22^2))</f>
        <v>7.73956053147797</v>
      </c>
      <c r="C331" s="127" t="n">
        <f aca="false">-SUMPRODUCT(固有振動数!$Q$6:$Q$22*固有振動数!$P$6:$P$22/((1-($A331/固有振動数!$O$6:$O$22)^2)^2+固有振動数!$P$6:$P$22^2))</f>
        <v>-2.00272358596265</v>
      </c>
      <c r="D331" s="128" t="n">
        <f aca="false">SQRT(B331^2+C331^2)</f>
        <v>7.99447928149061</v>
      </c>
      <c r="E331" s="129" t="n">
        <f aca="false">20*LOG10(MAX(D331,0.000000000001)/$K$3)</f>
        <v>18.0558036267106</v>
      </c>
    </row>
    <row r="332" customFormat="false" ht="15" hidden="false" customHeight="false" outlineLevel="0" collapsed="false">
      <c r="A332" s="122" t="n">
        <f aca="false">A331+$F$3</f>
        <v>3260</v>
      </c>
      <c r="B332" s="123" t="n">
        <f aca="false">SUMPRODUCT(固有振動数!$Q$6:$Q$22*(1-($A332/固有振動数!$O$6:$O$22)^2)/((1-($A332/固有振動数!$O$6:$O$22)^2)^2+固有振動数!$P$6:$P$22^2))</f>
        <v>8.18732318837734</v>
      </c>
      <c r="C332" s="123" t="n">
        <f aca="false">-SUMPRODUCT(固有振動数!$Q$6:$Q$22*固有振動数!$P$6:$P$22/((1-($A332/固有振動数!$O$6:$O$22)^2)^2+固有振動数!$P$6:$P$22^2))</f>
        <v>-1.84018701346351</v>
      </c>
      <c r="D332" s="124" t="n">
        <f aca="false">SQRT(B332^2+C332^2)</f>
        <v>8.39157608768824</v>
      </c>
      <c r="E332" s="125" t="n">
        <f aca="false">20*LOG10(MAX(D332,0.000000000001)/$K$3)</f>
        <v>18.4768707348162</v>
      </c>
    </row>
    <row r="333" customFormat="false" ht="15" hidden="false" customHeight="false" outlineLevel="0" collapsed="false">
      <c r="A333" s="126" t="n">
        <f aca="false">A332+$F$3</f>
        <v>3270</v>
      </c>
      <c r="B333" s="127" t="n">
        <f aca="false">SUMPRODUCT(固有振動数!$Q$6:$Q$22*(1-($A333/固有振動数!$O$6:$O$22)^2)/((1-($A333/固有振動数!$O$6:$O$22)^2)^2+固有振動数!$P$6:$P$22^2))</f>
        <v>8.59563347175962</v>
      </c>
      <c r="C333" s="127" t="n">
        <f aca="false">-SUMPRODUCT(固有振動数!$Q$6:$Q$22*固有振動数!$P$6:$P$22/((1-($A333/固有振動数!$O$6:$O$22)^2)^2+固有振動数!$P$6:$P$22^2))</f>
        <v>-1.70130195516961</v>
      </c>
      <c r="D333" s="128" t="n">
        <f aca="false">SQRT(B333^2+C333^2)</f>
        <v>8.76238227444445</v>
      </c>
      <c r="E333" s="129" t="n">
        <f aca="false">20*LOG10(MAX(D333,0.000000000001)/$K$3)</f>
        <v>18.852443922427</v>
      </c>
    </row>
    <row r="334" customFormat="false" ht="15" hidden="false" customHeight="false" outlineLevel="0" collapsed="false">
      <c r="A334" s="122" t="n">
        <f aca="false">A333+$F$3</f>
        <v>3280</v>
      </c>
      <c r="B334" s="123" t="n">
        <f aca="false">SUMPRODUCT(固有振動数!$Q$6:$Q$22*(1-($A334/固有振動数!$O$6:$O$22)^2)/((1-($A334/固有振動数!$O$6:$O$22)^2)^2+固有振動数!$P$6:$P$22^2))</f>
        <v>8.96953367765789</v>
      </c>
      <c r="C334" s="123" t="n">
        <f aca="false">-SUMPRODUCT(固有振動数!$Q$6:$Q$22*固有振動数!$P$6:$P$22/((1-($A334/固有振動数!$O$6:$O$22)^2)^2+固有振動数!$P$6:$P$22^2))</f>
        <v>-1.58177310424204</v>
      </c>
      <c r="D334" s="124" t="n">
        <f aca="false">SQRT(B334^2+C334^2)</f>
        <v>9.107938325875</v>
      </c>
      <c r="E334" s="125" t="n">
        <f aca="false">20*LOG10(MAX(D334,0.000000000001)/$K$3)</f>
        <v>19.188401622826</v>
      </c>
    </row>
    <row r="335" customFormat="false" ht="15" hidden="false" customHeight="false" outlineLevel="0" collapsed="false">
      <c r="A335" s="126" t="n">
        <f aca="false">A334+$F$3</f>
        <v>3290</v>
      </c>
      <c r="B335" s="127" t="n">
        <f aca="false">SUMPRODUCT(固有振動数!$Q$6:$Q$22*(1-($A335/固有振動数!$O$6:$O$22)^2)/((1-($A335/固有振動数!$O$6:$O$22)^2)^2+固有振動数!$P$6:$P$22^2))</f>
        <v>9.31327810554414</v>
      </c>
      <c r="C335" s="127" t="n">
        <f aca="false">-SUMPRODUCT(固有振動数!$Q$6:$Q$22*固有振動数!$P$6:$P$22/((1-($A335/固有振動数!$O$6:$O$22)^2)^2+固有振動数!$P$6:$P$22^2))</f>
        <v>-1.47822854286272</v>
      </c>
      <c r="D335" s="128" t="n">
        <f aca="false">SQRT(B335^2+C335^2)</f>
        <v>9.42986260218789</v>
      </c>
      <c r="E335" s="129" t="n">
        <f aca="false">20*LOG10(MAX(D335,0.000000000001)/$K$3)</f>
        <v>19.4901072979145</v>
      </c>
    </row>
    <row r="336" customFormat="false" ht="15" hidden="false" customHeight="false" outlineLevel="0" collapsed="false">
      <c r="A336" s="122" t="n">
        <f aca="false">A335+$F$3</f>
        <v>3300</v>
      </c>
      <c r="B336" s="123" t="n">
        <f aca="false">SUMPRODUCT(固有振動数!$Q$6:$Q$22*(1-($A336/固有振動数!$O$6:$O$22)^2)/((1-($A336/固有振動数!$O$6:$O$22)^2)^2+固有振動数!$P$6:$P$22^2))</f>
        <v>9.63047330550933</v>
      </c>
      <c r="C336" s="123" t="n">
        <f aca="false">-SUMPRODUCT(固有振動数!$Q$6:$Q$22*固有振動数!$P$6:$P$22/((1-($A336/固有振動数!$O$6:$O$22)^2)^2+固有振動数!$P$6:$P$22^2))</f>
        <v>-1.38799352511226</v>
      </c>
      <c r="D336" s="124" t="n">
        <f aca="false">SQRT(B336^2+C336^2)</f>
        <v>9.72998160912349</v>
      </c>
      <c r="E336" s="125" t="n">
        <f aca="false">20*LOG10(MAX(D336,0.000000000001)/$K$3)</f>
        <v>19.7622403879698</v>
      </c>
    </row>
    <row r="337" customFormat="false" ht="15" hidden="false" customHeight="false" outlineLevel="0" collapsed="false">
      <c r="A337" s="126" t="n">
        <f aca="false">A336+$F$3</f>
        <v>3310</v>
      </c>
      <c r="B337" s="127" t="n">
        <f aca="false">SUMPRODUCT(固有振動数!$Q$6:$Q$22*(1-($A337/固有振動数!$O$6:$O$22)^2)/((1-($A337/固有振動数!$O$6:$O$22)^2)^2+固有振動数!$P$6:$P$22^2))</f>
        <v>9.92419157794945</v>
      </c>
      <c r="C337" s="127" t="n">
        <f aca="false">-SUMPRODUCT(固有振動数!$Q$6:$Q$22*固有振動数!$P$6:$P$22/((1-($A337/固有振動数!$O$6:$O$22)^2)^2+固有振動数!$P$6:$P$22^2))</f>
        <v>-1.3089258235956</v>
      </c>
      <c r="D337" s="128" t="n">
        <f aca="false">SQRT(B337^2+C337^2)</f>
        <v>10.0101381252967</v>
      </c>
      <c r="E337" s="129" t="n">
        <f aca="false">20*LOG10(MAX(D337,0.000000000001)/$K$3)</f>
        <v>20.0088014030135</v>
      </c>
    </row>
    <row r="338" customFormat="false" ht="15" hidden="false" customHeight="false" outlineLevel="0" collapsed="false">
      <c r="A338" s="122" t="n">
        <f aca="false">A337+$F$3</f>
        <v>3320</v>
      </c>
      <c r="B338" s="123" t="n">
        <f aca="false">SUMPRODUCT(固有振動数!$Q$6:$Q$22*(1-($A338/固有振動数!$O$6:$O$22)^2)/((1-($A338/固有振動数!$O$6:$O$22)^2)^2+固有振動数!$P$6:$P$22^2))</f>
        <v>10.1970627940155</v>
      </c>
      <c r="C338" s="123" t="n">
        <f aca="false">-SUMPRODUCT(固有振動数!$Q$6:$Q$22*固有振動数!$P$6:$P$22/((1-($A338/固有振動数!$O$6:$O$22)^2)^2+固有振動数!$P$6:$P$22^2))</f>
        <v>-1.23929436959089</v>
      </c>
      <c r="D338" s="124" t="n">
        <f aca="false">SQRT(B338^2+C338^2)</f>
        <v>10.2720952176075</v>
      </c>
      <c r="E338" s="125" t="n">
        <f aca="false">20*LOG10(MAX(D338,0.000000000001)/$K$3)</f>
        <v>20.2331807290786</v>
      </c>
    </row>
    <row r="339" customFormat="false" ht="15" hidden="false" customHeight="false" outlineLevel="0" collapsed="false">
      <c r="A339" s="126" t="n">
        <f aca="false">A338+$F$3</f>
        <v>3330</v>
      </c>
      <c r="B339" s="127" t="n">
        <f aca="false">SUMPRODUCT(固有振動数!$Q$6:$Q$22*(1-($A339/固有振動数!$O$6:$O$22)^2)/((1-($A339/固有振動数!$O$6:$O$22)^2)^2+固有振動数!$P$6:$P$22^2))</f>
        <v>10.4513488028865</v>
      </c>
      <c r="C339" s="127" t="n">
        <f aca="false">-SUMPRODUCT(固有振動数!$Q$6:$Q$22*固有振動数!$P$6:$P$22/((1-($A339/固有振動数!$O$6:$O$22)^2)^2+固有振動数!$P$6:$P$22^2))</f>
        <v>-1.17768874703844</v>
      </c>
      <c r="D339" s="128" t="n">
        <f aca="false">SQRT(B339^2+C339^2)</f>
        <v>10.5174922193695</v>
      </c>
      <c r="E339" s="129" t="n">
        <f aca="false">20*LOG10(MAX(D339,0.000000000001)/$K$3)</f>
        <v>20.4382439881356</v>
      </c>
    </row>
    <row r="340" customFormat="false" ht="15" hidden="false" customHeight="false" outlineLevel="0" collapsed="false">
      <c r="A340" s="122" t="n">
        <f aca="false">A339+$F$3</f>
        <v>3340</v>
      </c>
      <c r="B340" s="123" t="n">
        <f aca="false">SUMPRODUCT(固有振動数!$Q$6:$Q$22*(1-($A340/固有振動数!$O$6:$O$22)^2)/((1-($A340/固有振動数!$O$6:$O$22)^2)^2+固有振動数!$P$6:$P$22^2))</f>
        <v>10.6890039052443</v>
      </c>
      <c r="C340" s="123" t="n">
        <f aca="false">-SUMPRODUCT(固有振動数!$Q$6:$Q$22*固有振動数!$P$6:$P$22/((1-($A340/固有振動数!$O$6:$O$22)^2)^2+固有振動数!$P$6:$P$22^2))</f>
        <v>-1.12295095213544</v>
      </c>
      <c r="D340" s="124" t="n">
        <f aca="false">SQRT(B340^2+C340^2)</f>
        <v>10.7478287726978</v>
      </c>
      <c r="E340" s="125" t="n">
        <f aca="false">20*LOG10(MAX(D340,0.000000000001)/$K$3)</f>
        <v>20.6264147784737</v>
      </c>
    </row>
    <row r="341" customFormat="false" ht="15" hidden="false" customHeight="false" outlineLevel="0" collapsed="false">
      <c r="A341" s="126" t="n">
        <f aca="false">A340+$F$3</f>
        <v>3350</v>
      </c>
      <c r="B341" s="127" t="n">
        <f aca="false">SUMPRODUCT(固有振動数!$Q$6:$Q$22*(1-($A341/固有振動数!$O$6:$O$22)^2)/((1-($A341/固有振動数!$O$6:$O$22)^2)^2+固有振動数!$P$6:$P$22^2))</f>
        <v>10.9117241839892</v>
      </c>
      <c r="C341" s="127" t="n">
        <f aca="false">-SUMPRODUCT(固有振動数!$Q$6:$Q$22*固有振動数!$P$6:$P$22/((1-($A341/固有振動数!$O$6:$O$22)^2)^2+固有振動数!$P$6:$P$22^2))</f>
        <v>-1.07412341089721</v>
      </c>
      <c r="D341" s="128" t="n">
        <f aca="false">SQRT(B341^2+C341^2)</f>
        <v>10.9644637702576</v>
      </c>
      <c r="E341" s="129" t="n">
        <f aca="false">20*LOG10(MAX(D341,0.000000000001)/$K$3)</f>
        <v>20.7997479372107</v>
      </c>
    </row>
    <row r="342" customFormat="false" ht="15" hidden="false" customHeight="false" outlineLevel="0" collapsed="false">
      <c r="A342" s="122" t="n">
        <f aca="false">A341+$F$3</f>
        <v>3360</v>
      </c>
      <c r="B342" s="123" t="n">
        <f aca="false">SUMPRODUCT(固有振動数!$Q$6:$Q$22*(1-($A342/固有振動数!$O$6:$O$22)^2)/((1-($A342/固有振動数!$O$6:$O$22)^2)^2+固有振動数!$P$6:$P$22^2))</f>
        <v>11.1209879121759</v>
      </c>
      <c r="C342" s="123" t="n">
        <f aca="false">-SUMPRODUCT(固有振動数!$Q$6:$Q$22*固有振動数!$P$6:$P$22/((1-($A342/固有振動数!$O$6:$O$22)^2)^2+固有振動数!$P$6:$P$22^2))</f>
        <v>-1.03040899976878</v>
      </c>
      <c r="D342" s="124" t="n">
        <f aca="false">SQRT(B342^2+C342^2)</f>
        <v>11.1686218867668</v>
      </c>
      <c r="E342" s="125" t="n">
        <f aca="false">20*LOG10(MAX(D342,0.000000000001)/$K$3)</f>
        <v>20.9599917633033</v>
      </c>
    </row>
    <row r="343" customFormat="false" ht="15" hidden="false" customHeight="false" outlineLevel="0" collapsed="false">
      <c r="A343" s="126" t="n">
        <f aca="false">A342+$F$3</f>
        <v>3370</v>
      </c>
      <c r="B343" s="127" t="n">
        <f aca="false">SUMPRODUCT(固有振動数!$Q$6:$Q$22*(1-($A343/固有振動数!$O$6:$O$22)^2)/((1-($A343/固有振動数!$O$6:$O$22)^2)^2+固有振動数!$P$6:$P$22^2))</f>
        <v>11.3180887973874</v>
      </c>
      <c r="C343" s="127" t="n">
        <f aca="false">-SUMPRODUCT(固有振動数!$Q$6:$Q$22*固有振動数!$P$6:$P$22/((1-($A343/固有振動数!$O$6:$O$22)^2)^2+固有振動数!$P$6:$P$22^2))</f>
        <v>-0.991140020273928</v>
      </c>
      <c r="D343" s="128" t="n">
        <f aca="false">SQRT(B343^2+C343^2)</f>
        <v>11.3614036353495</v>
      </c>
      <c r="E343" s="129" t="n">
        <f aca="false">20*LOG10(MAX(D343,0.000000000001)/$K$3)</f>
        <v>21.1086397849466</v>
      </c>
    </row>
    <row r="344" customFormat="false" ht="15" hidden="false" customHeight="false" outlineLevel="0" collapsed="false">
      <c r="A344" s="122" t="n">
        <f aca="false">A343+$F$3</f>
        <v>3380</v>
      </c>
      <c r="B344" s="123" t="n">
        <f aca="false">SUMPRODUCT(固有振動数!$Q$6:$Q$22*(1-($A344/固有振動数!$O$6:$O$22)^2)/((1-($A344/固有振動数!$O$6:$O$22)^2)^2+固有振動数!$P$6:$P$22^2))</f>
        <v>11.5041634555609</v>
      </c>
      <c r="C344" s="123" t="n">
        <f aca="false">-SUMPRODUCT(固有振動数!$Q$6:$Q$22*固有振動数!$P$6:$P$22/((1-($A344/固有振動数!$O$6:$O$22)^2)^2+固有振動数!$P$6:$P$22^2))</f>
        <v>-0.955753918586014</v>
      </c>
      <c r="D344" s="124" t="n">
        <f aca="false">SQRT(B344^2+C344^2)</f>
        <v>11.5437967049474</v>
      </c>
      <c r="E344" s="125" t="n">
        <f aca="false">20*LOG10(MAX(D344,0.000000000001)/$K$3)</f>
        <v>21.2469733979233</v>
      </c>
    </row>
    <row r="345" customFormat="false" ht="15" hidden="false" customHeight="false" outlineLevel="0" collapsed="false">
      <c r="A345" s="126" t="n">
        <f aca="false">A344+$F$3</f>
        <v>3390</v>
      </c>
      <c r="B345" s="127" t="n">
        <f aca="false">SUMPRODUCT(固有振動数!$Q$6:$Q$22*(1-($A345/固有振動数!$O$6:$O$22)^2)/((1-($A345/固有振動数!$O$6:$O$22)^2)^2+固有振動数!$P$6:$P$22^2))</f>
        <v>11.6802142185077</v>
      </c>
      <c r="C345" s="127" t="n">
        <f aca="false">-SUMPRODUCT(固有振動数!$Q$6:$Q$22*固有振動数!$P$6:$P$22/((1-($A345/固有振動数!$O$6:$O$22)^2)^2+固有振動数!$P$6:$P$22^2))</f>
        <v>-0.923774132703653</v>
      </c>
      <c r="D345" s="128" t="n">
        <f aca="false">SQRT(B345^2+C345^2)</f>
        <v>11.7166873662517</v>
      </c>
      <c r="E345" s="129" t="n">
        <f aca="false">20*LOG10(MAX(D345,0.000000000001)/$K$3)</f>
        <v>21.376096837886</v>
      </c>
    </row>
    <row r="346" customFormat="false" ht="15" hidden="false" customHeight="false" outlineLevel="0" collapsed="false">
      <c r="A346" s="122" t="n">
        <f aca="false">A345+$F$3</f>
        <v>3400</v>
      </c>
      <c r="B346" s="123" t="n">
        <f aca="false">SUMPRODUCT(固有振動数!$Q$6:$Q$22*(1-($A346/固有振動数!$O$6:$O$22)^2)/((1-($A346/固有振動数!$O$6:$O$22)^2)^2+固有振動数!$P$6:$P$22^2))</f>
        <v>11.8471281524698</v>
      </c>
      <c r="C346" s="123" t="n">
        <f aca="false">-SUMPRODUCT(固有振動数!$Q$6:$Q$22*固有振動数!$P$6:$P$22/((1-($A346/固有振動数!$O$6:$O$22)^2)^2+固有振動数!$P$6:$P$22^2))</f>
        <v>-0.894794871498881</v>
      </c>
      <c r="D346" s="124" t="n">
        <f aca="false">SQRT(B346^2+C346^2)</f>
        <v>11.8808713200297</v>
      </c>
      <c r="E346" s="125" t="n">
        <f aca="false">20*LOG10(MAX(D346,0.000000000001)/$K$3)</f>
        <v>21.4969658425409</v>
      </c>
    </row>
    <row r="347" customFormat="false" ht="15" hidden="false" customHeight="false" outlineLevel="0" collapsed="false">
      <c r="A347" s="126" t="n">
        <f aca="false">A346+$F$3</f>
        <v>3410</v>
      </c>
      <c r="B347" s="127" t="n">
        <f aca="false">SUMPRODUCT(固有振動数!$Q$6:$Q$22*(1-($A347/固有振動数!$O$6:$O$22)^2)/((1-($A347/固有振動数!$O$6:$O$22)^2)^2+固有振動数!$P$6:$P$22^2))</f>
        <v>12.0056929869256</v>
      </c>
      <c r="C347" s="127" t="n">
        <f aca="false">-SUMPRODUCT(固有振動数!$Q$6:$Q$22*固有振動数!$P$6:$P$22/((1-($A347/固有振動数!$O$6:$O$22)^2)^2+固有振動数!$P$6:$P$22^2))</f>
        <v>-0.868468933367819</v>
      </c>
      <c r="D347" s="128" t="n">
        <f aca="false">SQRT(B347^2+C347^2)</f>
        <v>12.0370636944622</v>
      </c>
      <c r="E347" s="129" t="n">
        <f aca="false">20*LOG10(MAX(D347,0.000000000001)/$K$3)</f>
        <v>21.6104111722941</v>
      </c>
    </row>
    <row r="348" customFormat="false" ht="15" hidden="false" customHeight="false" outlineLevel="0" collapsed="false">
      <c r="A348" s="122" t="n">
        <f aca="false">A347+$F$3</f>
        <v>3420</v>
      </c>
      <c r="B348" s="123" t="n">
        <f aca="false">SUMPRODUCT(固有振動数!$Q$6:$Q$22*(1-($A348/固有振動数!$O$6:$O$22)^2)/((1-($A348/固有振動数!$O$6:$O$22)^2)^2+固有振動数!$P$6:$P$22^2))</f>
        <v>12.1566105128863</v>
      </c>
      <c r="C348" s="123" t="n">
        <f aca="false">-SUMPRODUCT(固有振動数!$Q$6:$Q$22*固有振動数!$P$6:$P$22/((1-($A348/固有振動数!$O$6:$O$22)^2)^2+固有振動数!$P$6:$P$22^2))</f>
        <v>-0.844497892806967</v>
      </c>
      <c r="D348" s="124" t="n">
        <f aca="false">SQRT(B348^2+C348^2)</f>
        <v>12.185908084873</v>
      </c>
      <c r="E348" s="125" t="n">
        <f aca="false">20*LOG10(MAX(D348,0.000000000001)/$K$3)</f>
        <v>21.7171579606155</v>
      </c>
    </row>
    <row r="349" customFormat="false" ht="15" hidden="false" customHeight="false" outlineLevel="0" collapsed="false">
      <c r="A349" s="126" t="n">
        <f aca="false">A348+$F$3</f>
        <v>3430</v>
      </c>
      <c r="B349" s="127" t="n">
        <f aca="false">SUMPRODUCT(固有振動数!$Q$6:$Q$22*(1-($A349/固有振動数!$O$6:$O$22)^2)/((1-($A349/固有振動数!$O$6:$O$22)^2)^2+固有振動数!$P$6:$P$22^2))</f>
        <v>12.300507899711</v>
      </c>
      <c r="C349" s="127" t="n">
        <f aca="false">-SUMPRODUCT(固有振動数!$Q$6:$Q$22*固有振動数!$P$6:$P$22/((1-($A349/固有振動数!$O$6:$O$22)^2)^2+固有振動数!$P$6:$P$22^2))</f>
        <v>-0.822624145091679</v>
      </c>
      <c r="D349" s="128" t="n">
        <f aca="false">SQRT(B349^2+C349^2)</f>
        <v>12.3279846315179</v>
      </c>
      <c r="E349" s="129" t="n">
        <f aca="false">20*LOG10(MAX(D349,0.000000000001)/$K$3)</f>
        <v>21.8178416860906</v>
      </c>
    </row>
    <row r="350" customFormat="false" ht="15" hidden="false" customHeight="false" outlineLevel="0" collapsed="false">
      <c r="A350" s="122" t="n">
        <f aca="false">A349+$F$3</f>
        <v>3440</v>
      </c>
      <c r="B350" s="123" t="n">
        <f aca="false">SUMPRODUCT(固有振動数!$Q$6:$Q$22*(1-($A350/固有振動数!$O$6:$O$22)^2)/((1-($A350/固有振動数!$O$6:$O$22)^2)^2+固有振動数!$P$6:$P$22^2))</f>
        <v>12.4379472924457</v>
      </c>
      <c r="C350" s="123" t="n">
        <f aca="false">-SUMPRODUCT(固有振動数!$Q$6:$Q$22*固有振動数!$P$6:$P$22/((1-($A350/固有振動数!$O$6:$O$22)^2)^2+固有振動数!$P$6:$P$22^2))</f>
        <v>-0.802624419040489</v>
      </c>
      <c r="D350" s="124" t="n">
        <f aca="false">SQRT(B350^2+C350^2)</f>
        <v>12.4638171844623</v>
      </c>
      <c r="E350" s="125" t="n">
        <f aca="false">20*LOG10(MAX(D350,0.000000000001)/$K$3)</f>
        <v>21.9130214054762</v>
      </c>
    </row>
    <row r="351" customFormat="false" ht="15" hidden="false" customHeight="false" outlineLevel="0" collapsed="false">
      <c r="A351" s="126" t="n">
        <f aca="false">A350+$F$3</f>
        <v>3450</v>
      </c>
      <c r="B351" s="127" t="n">
        <f aca="false">SUMPRODUCT(固有振動数!$Q$6:$Q$22*(1-($A351/固有振動数!$O$6:$O$22)^2)/((1-($A351/固有振動数!$O$6:$O$22)^2)^2+固有振動数!$P$6:$P$22^2))</f>
        <v>12.5694339827419</v>
      </c>
      <c r="C351" s="127" t="n">
        <f aca="false">-SUMPRODUCT(固有振動数!$Q$6:$Q$22*固有振動数!$P$6:$P$22/((1-($A351/固有振動数!$O$6:$O$22)^2)^2+固有振動数!$P$6:$P$22^2))</f>
        <v>-0.784304457277623</v>
      </c>
      <c r="D351" s="128" t="n">
        <f aca="false">SQRT(B351^2+C351^2)</f>
        <v>12.5938796297334</v>
      </c>
      <c r="E351" s="129" t="n">
        <f aca="false">20*LOG10(MAX(D351,0.000000000001)/$K$3)</f>
        <v>22.0031907613879</v>
      </c>
    </row>
    <row r="352" customFormat="false" ht="15" hidden="false" customHeight="false" outlineLevel="0" collapsed="false">
      <c r="A352" s="122" t="n">
        <f aca="false">A351+$F$3</f>
        <v>3460</v>
      </c>
      <c r="B352" s="123" t="n">
        <f aca="false">SUMPRODUCT(固有振動数!$Q$6:$Q$22*(1-($A352/固有振動数!$O$6:$O$22)^2)/((1-($A352/固有振動数!$O$6:$O$22)^2)^2+固有振動数!$P$6:$P$22^2))</f>
        <v>12.695423391591</v>
      </c>
      <c r="C352" s="123" t="n">
        <f aca="false">-SUMPRODUCT(固有振動数!$Q$6:$Q$22*固有振動数!$P$6:$P$22/((1-($A352/固有振動数!$O$6:$O$22)^2)^2+固有振動数!$P$6:$P$22^2))</f>
        <v>-0.767494630691269</v>
      </c>
      <c r="D352" s="124" t="n">
        <f aca="false">SQRT(B352^2+C352^2)</f>
        <v>12.7186014600622</v>
      </c>
      <c r="E352" s="125" t="n">
        <f aca="false">20*LOG10(MAX(D352,0.000000000001)/$K$3)</f>
        <v>22.0887871766092</v>
      </c>
    </row>
    <row r="353" customFormat="false" ht="15" hidden="false" customHeight="false" outlineLevel="0" collapsed="false">
      <c r="A353" s="126" t="n">
        <f aca="false">A352+$F$3</f>
        <v>3470</v>
      </c>
      <c r="B353" s="127" t="n">
        <f aca="false">SUMPRODUCT(固有振動数!$Q$6:$Q$22*(1-($A353/固有振動数!$O$6:$O$22)^2)/((1-($A353/固有振動数!$O$6:$O$22)^2)^2+固有振動数!$P$6:$P$22^2))</f>
        <v>12.8163270583473</v>
      </c>
      <c r="C353" s="127" t="n">
        <f aca="false">-SUMPRODUCT(固有振動数!$Q$6:$Q$22*固有振動数!$P$6:$P$22/((1-($A353/固有振動数!$O$6:$O$22)^2)^2+固有振動数!$P$6:$P$22^2))</f>
        <v>-0.75204630479351</v>
      </c>
      <c r="D353" s="128" t="n">
        <f aca="false">SQRT(B353^2+C353^2)</f>
        <v>12.8383726737885</v>
      </c>
      <c r="E353" s="129" t="n">
        <f aca="false">20*LOG10(MAX(D353,0.000000000001)/$K$3)</f>
        <v>22.1701995656484</v>
      </c>
    </row>
    <row r="354" customFormat="false" ht="15" hidden="false" customHeight="false" outlineLevel="0" collapsed="false">
      <c r="A354" s="122" t="n">
        <f aca="false">A353+$F$3</f>
        <v>3480</v>
      </c>
      <c r="B354" s="123" t="n">
        <f aca="false">SUMPRODUCT(固有振動数!$Q$6:$Q$22*(1-($A354/固有振動数!$O$6:$O$22)^2)/((1-($A354/固有振動数!$O$6:$O$22)^2)^2+固有振動数!$P$6:$P$22^2))</f>
        <v>12.9325177954453</v>
      </c>
      <c r="C354" s="123" t="n">
        <f aca="false">-SUMPRODUCT(固有振動数!$Q$6:$Q$22*固有振動数!$P$6:$P$22/((1-($A354/固有振動数!$O$6:$O$22)^2)^2+固有振動数!$P$6:$P$22^2))</f>
        <v>-0.737828814635065</v>
      </c>
      <c r="D354" s="124" t="n">
        <f aca="false">SQRT(B354^2+C354^2)</f>
        <v>12.9535480810941</v>
      </c>
      <c r="E354" s="125" t="n">
        <f aca="false">20*LOG10(MAX(D354,0.000000000001)/$K$3)</f>
        <v>22.2477748293294</v>
      </c>
    </row>
    <row r="355" customFormat="false" ht="15" hidden="false" customHeight="false" outlineLevel="0" collapsed="false">
      <c r="A355" s="126" t="n">
        <f aca="false">A354+$F$3</f>
        <v>3490</v>
      </c>
      <c r="B355" s="127" t="n">
        <f aca="false">SUMPRODUCT(固有振動数!$Q$6:$Q$22*(1-($A355/固有振動数!$O$6:$O$22)^2)/((1-($A355/固有振動数!$O$6:$O$22)^2)^2+固有振動数!$P$6:$P$22^2))</f>
        <v>13.044334139997</v>
      </c>
      <c r="C355" s="127" t="n">
        <f aca="false">-SUMPRODUCT(固有振動数!$Q$6:$Q$22*固有振動数!$P$6:$P$22/((1-($A355/固有振動数!$O$6:$O$22)^2)^2+固有振動数!$P$6:$P$22^2))</f>
        <v>-0.724726934869987</v>
      </c>
      <c r="D355" s="128" t="n">
        <f aca="false">SQRT(B355^2+C355^2)</f>
        <v>13.0644510901154</v>
      </c>
      <c r="E355" s="129" t="n">
        <f aca="false">20*LOG10(MAX(D355,0.000000000001)/$K$3)</f>
        <v>22.3218233466448</v>
      </c>
    </row>
    <row r="356" customFormat="false" ht="15" hidden="false" customHeight="false" outlineLevel="0" collapsed="false">
      <c r="A356" s="122" t="n">
        <f aca="false">A355+$F$3</f>
        <v>3500</v>
      </c>
      <c r="B356" s="123" t="n">
        <f aca="false">SUMPRODUCT(固有振動数!$Q$6:$Q$22*(1-($A356/固有振動数!$O$6:$O$22)^2)/((1-($A356/固有振動数!$O$6:$O$22)^2)^2+固有振動数!$P$6:$P$22^2))</f>
        <v>13.1520842106621</v>
      </c>
      <c r="C356" s="123" t="n">
        <f aca="false">-SUMPRODUCT(固有振動数!$Q$6:$Q$22*固有振動数!$P$6:$P$22/((1-($A356/固有振動数!$O$6:$O$22)^2)^2+固有振動数!$P$6:$P$22^2))</f>
        <v>-0.712638754734566</v>
      </c>
      <c r="D356" s="124" t="n">
        <f aca="false">SQRT(B356^2+C356^2)</f>
        <v>13.1713770380738</v>
      </c>
      <c r="E356" s="125" t="n">
        <f aca="false">20*LOG10(MAX(D356,0.000000000001)/$K$3)</f>
        <v>22.3926236370851</v>
      </c>
    </row>
    <row r="357" customFormat="false" ht="15" hidden="false" customHeight="false" outlineLevel="0" collapsed="false">
      <c r="A357" s="126" t="n">
        <f aca="false">A356+$F$3</f>
        <v>3510</v>
      </c>
      <c r="B357" s="127" t="n">
        <f aca="false">SUMPRODUCT(固有振動数!$Q$6:$Q$22*(1-($A357/固有振動数!$O$6:$O$22)^2)/((1-($A357/固有振動数!$O$6:$O$22)^2)^2+固有振動数!$P$6:$P$22^2))</f>
        <v>13.2560490596937</v>
      </c>
      <c r="C357" s="127" t="n">
        <f aca="false">-SUMPRODUCT(固有振動数!$Q$6:$Q$22*固有振動数!$P$6:$P$22/((1-($A357/固有振動数!$O$6:$O$22)^2)^2+固有振動数!$P$6:$P$22^2))</f>
        <v>-0.701473885744552</v>
      </c>
      <c r="D357" s="128" t="n">
        <f aca="false">SQRT(B357^2+C357^2)</f>
        <v>13.2745961251327</v>
      </c>
      <c r="E357" s="129" t="n">
        <f aca="false">20*LOG10(MAX(D357,0.000000000001)/$K$3)</f>
        <v>22.4604263339862</v>
      </c>
    </row>
    <row r="358" customFormat="false" ht="15" hidden="false" customHeight="false" outlineLevel="0" collapsed="false">
      <c r="A358" s="122" t="n">
        <f aca="false">A357+$F$3</f>
        <v>3520</v>
      </c>
      <c r="B358" s="123" t="n">
        <f aca="false">SUMPRODUCT(固有振動数!$Q$6:$Q$22*(1-($A358/固有振動数!$O$6:$O$22)^2)/((1-($A358/固有振動数!$O$6:$O$22)^2)^2+固有振動数!$P$6:$P$22^2))</f>
        <v>13.356485595006</v>
      </c>
      <c r="C358" s="123" t="n">
        <f aca="false">-SUMPRODUCT(固有振動数!$Q$6:$Q$22*固有振動数!$P$6:$P$22/((1-($A358/固有振動数!$O$6:$O$22)^2)^2+固有振動数!$P$6:$P$22^2))</f>
        <v>-0.691151944044402</v>
      </c>
      <c r="D358" s="124" t="n">
        <f aca="false">SQRT(B358^2+C358^2)</f>
        <v>13.3743560016683</v>
      </c>
      <c r="E358" s="125" t="n">
        <f aca="false">20*LOG10(MAX(D358,0.000000000001)/$K$3)</f>
        <v>22.5254575833526</v>
      </c>
    </row>
    <row r="359" customFormat="false" ht="15" hidden="false" customHeight="false" outlineLevel="0" collapsed="false">
      <c r="A359" s="126" t="n">
        <f aca="false">A358+$F$3</f>
        <v>3530</v>
      </c>
      <c r="B359" s="127" t="n">
        <f aca="false">SUMPRODUCT(固有振動数!$Q$6:$Q$22*(1-($A359/固有振動数!$O$6:$O$22)^2)/((1-($A359/固有振動数!$O$6:$O$22)^2)^2+固有振動数!$P$6:$P$22^2))</f>
        <v>13.4536291348064</v>
      </c>
      <c r="C359" s="127" t="n">
        <f aca="false">-SUMPRODUCT(固有振動数!$Q$6:$Q$22*固有振動数!$P$6:$P$22/((1-($A359/固有振動数!$O$6:$O$22)^2)^2+固有振動数!$P$6:$P$22^2))</f>
        <v>-0.681601260471911</v>
      </c>
      <c r="D359" s="128" t="n">
        <f aca="false">SQRT(B359^2+C359^2)</f>
        <v>13.470884053216</v>
      </c>
      <c r="E359" s="129" t="n">
        <f aca="false">20*LOG10(MAX(D359,0.000000000001)/$K$3)</f>
        <v>22.5879219617273</v>
      </c>
    </row>
    <row r="360" customFormat="false" ht="15" hidden="false" customHeight="false" outlineLevel="0" collapsed="false">
      <c r="A360" s="122" t="n">
        <f aca="false">A359+$F$3</f>
        <v>3540</v>
      </c>
      <c r="B360" s="123" t="n">
        <f aca="false">SUMPRODUCT(固有振動数!$Q$6:$Q$22*(1-($A360/固有振動数!$O$6:$O$22)^2)/((1-($A360/固有振動数!$O$6:$O$22)^2)^2+固有振動数!$P$6:$P$22^2))</f>
        <v>13.5476956472343</v>
      </c>
      <c r="C360" s="123" t="n">
        <f aca="false">-SUMPRODUCT(固有振動数!$Q$6:$Q$22*固有振動数!$P$6:$P$22/((1-($A360/固有振動数!$O$6:$O$22)^2)^2+固有振動数!$P$6:$P$22^2))</f>
        <v>-0.672757780215837</v>
      </c>
      <c r="D360" s="124" t="n">
        <f aca="false">SQRT(B360^2+C360^2)</f>
        <v>13.5643894216044</v>
      </c>
      <c r="E360" s="125" t="n">
        <f aca="false">20*LOG10(MAX(D360,0.000000000001)/$K$3)</f>
        <v>22.6480049898977</v>
      </c>
    </row>
    <row r="361" customFormat="false" ht="15" hidden="false" customHeight="false" outlineLevel="0" collapsed="false">
      <c r="A361" s="126" t="n">
        <f aca="false">A360+$F$3</f>
        <v>3550</v>
      </c>
      <c r="B361" s="127" t="n">
        <f aca="false">SUMPRODUCT(固有振動数!$Q$6:$Q$22*(1-($A361/固有振動数!$O$6:$O$22)^2)/((1-($A361/固有振動数!$O$6:$O$22)^2)^2+固有振動数!$P$6:$P$22^2))</f>
        <v>13.6388837191339</v>
      </c>
      <c r="C361" s="127" t="n">
        <f aca="false">-SUMPRODUCT(固有振動数!$Q$6:$Q$22*固有振動数!$P$6:$P$22/((1-($A361/固有振動数!$O$6:$O$22)^2)^2+固有振動数!$P$6:$P$22^2))</f>
        <v>-0.66456412096086</v>
      </c>
      <c r="D361" s="128" t="n">
        <f aca="false">SQRT(B361^2+C361^2)</f>
        <v>13.6550647957059</v>
      </c>
      <c r="E361" s="129" t="n">
        <f aca="false">20*LOG10(MAX(D361,0.000000000001)/$K$3)</f>
        <v>22.7058753057007</v>
      </c>
    </row>
    <row r="362" customFormat="false" ht="15" hidden="false" customHeight="false" outlineLevel="0" collapsed="false">
      <c r="A362" s="122" t="n">
        <f aca="false">A361+$F$3</f>
        <v>3560</v>
      </c>
      <c r="B362" s="123" t="n">
        <f aca="false">SUMPRODUCT(固有振動数!$Q$6:$Q$22*(1-($A362/固有振動数!$O$6:$O$22)^2)/((1-($A362/固有振動数!$O$6:$O$22)^2)^2+固有振動数!$P$6:$P$22^2))</f>
        <v>13.7273762912135</v>
      </c>
      <c r="C362" s="123" t="n">
        <f aca="false">-SUMPRODUCT(固有振動数!$Q$6:$Q$22*固有振動数!$P$6:$P$22/((1-($A362/固有振動数!$O$6:$O$22)^2)^2+固有振動数!$P$6:$P$22^2))</f>
        <v>-0.656968764027777</v>
      </c>
      <c r="D362" s="124" t="n">
        <f aca="false">SQRT(B362^2+C362^2)</f>
        <v>13.7430880007908</v>
      </c>
      <c r="E362" s="125" t="n">
        <f aca="false">20*LOG10(MAX(D362,0.000000000001)/$K$3)</f>
        <v>22.761686548245</v>
      </c>
    </row>
    <row r="363" customFormat="false" ht="15" hidden="false" customHeight="false" outlineLevel="0" collapsed="false">
      <c r="A363" s="126" t="n">
        <f aca="false">A362+$F$3</f>
        <v>3570</v>
      </c>
      <c r="B363" s="127" t="n">
        <f aca="false">SUMPRODUCT(固有振動数!$Q$6:$Q$22*(1-($A363/固有振動数!$O$6:$O$22)^2)/((1-($A363/固有振動数!$O$6:$O$22)^2)^2+固有振動数!$P$6:$P$22^2))</f>
        <v>13.8133421911429</v>
      </c>
      <c r="C363" s="127" t="n">
        <f aca="false">-SUMPRODUCT(固有振動数!$Q$6:$Q$22*固有振動数!$P$6:$P$22/((1-($A363/固有振動数!$O$6:$O$22)^2)^2+固有振動数!$P$6:$P$22^2))</f>
        <v>-0.649925357529233</v>
      </c>
      <c r="D363" s="128" t="n">
        <f aca="false">SQRT(B363^2+C363^2)</f>
        <v>13.8286234116042</v>
      </c>
      <c r="E363" s="129" t="n">
        <f aca="false">20*LOG10(MAX(D363,0.000000000001)/$K$3)</f>
        <v>22.8155789969805</v>
      </c>
    </row>
    <row r="364" customFormat="false" ht="15" hidden="false" customHeight="false" outlineLevel="0" collapsed="false">
      <c r="A364" s="122" t="n">
        <f aca="false">A363+$F$3</f>
        <v>3580</v>
      </c>
      <c r="B364" s="123" t="n">
        <f aca="false">SUMPRODUCT(固有振動数!$Q$6:$Q$22*(1-($A364/固有振動数!$O$6:$O$22)^2)/((1-($A364/固有振動数!$O$6:$O$22)^2)^2+固有振動数!$P$6:$P$22^2))</f>
        <v>13.8969374913942</v>
      </c>
      <c r="C364" s="123" t="n">
        <f aca="false">-SUMPRODUCT(固有振動数!$Q$6:$Q$22*固有振動数!$P$6:$P$22/((1-($A364/固有振動数!$O$6:$O$22)^2)^2+固有振動数!$P$6:$P$22^2))</f>
        <v>-0.643392114205067</v>
      </c>
      <c r="D364" s="124" t="n">
        <f aca="false">SQRT(B364^2+C364^2)</f>
        <v>13.9118232109361</v>
      </c>
      <c r="E364" s="125" t="n">
        <f aca="false">20*LOG10(MAX(D364,0.000000000001)/$K$3)</f>
        <v>22.8676810017983</v>
      </c>
    </row>
    <row r="365" customFormat="false" ht="15" hidden="false" customHeight="false" outlineLevel="0" collapsed="false">
      <c r="A365" s="126" t="n">
        <f aca="false">A364+$F$3</f>
        <v>3590</v>
      </c>
      <c r="B365" s="127" t="n">
        <f aca="false">SUMPRODUCT(固有振動数!$Q$6:$Q$22*(1-($A365/固有振動数!$O$6:$O$22)^2)/((1-($A365/固有振動数!$O$6:$O$22)^2)^2+固有振動数!$P$6:$P$22^2))</f>
        <v>13.9783067146702</v>
      </c>
      <c r="C365" s="127" t="n">
        <f aca="false">-SUMPRODUCT(固有振動数!$Q$6:$Q$22*固有振動数!$P$6:$P$22/((1-($A365/固有振動数!$O$6:$O$22)^2)^2+固有振動数!$P$6:$P$22^2))</f>
        <v>-0.637331289556663</v>
      </c>
      <c r="D365" s="128" t="n">
        <f aca="false">SQRT(B365^2+C365^2)</f>
        <v>13.9928285125647</v>
      </c>
      <c r="E365" s="129" t="n">
        <f aca="false">20*LOG10(MAX(D365,0.000000000001)/$K$3)</f>
        <v>22.9181102344187</v>
      </c>
    </row>
    <row r="366" customFormat="false" ht="15" hidden="false" customHeight="false" outlineLevel="0" collapsed="false">
      <c r="A366" s="122" t="n">
        <f aca="false">A365+$F$3</f>
        <v>3600</v>
      </c>
      <c r="B366" s="123" t="n">
        <f aca="false">SUMPRODUCT(固有振動数!$Q$6:$Q$22*(1-($A366/固有振動数!$O$6:$O$22)^2)/((1-($A366/固有振動数!$O$6:$O$22)^2)^2+固有振動数!$P$6:$P$22^2))</f>
        <v>14.0575839064419</v>
      </c>
      <c r="C366" s="123" t="n">
        <f aca="false">-SUMPRODUCT(固有振動数!$Q$6:$Q$22*固有振動数!$P$6:$P$22/((1-($A366/固有振動数!$O$6:$O$22)^2)^2+固有振動数!$P$6:$P$22^2))</f>
        <v>-0.631708728306688</v>
      </c>
      <c r="D366" s="124" t="n">
        <f aca="false">SQRT(B366^2+C366^2)</f>
        <v>14.0717703649567</v>
      </c>
      <c r="E366" s="125" t="n">
        <f aca="false">20*LOG10(MAX(D366,0.000000000001)/$K$3)</f>
        <v>22.9669747864556</v>
      </c>
    </row>
    <row r="367" customFormat="false" ht="15" hidden="false" customHeight="false" outlineLevel="0" collapsed="false">
      <c r="A367" s="126" t="n">
        <f aca="false">A366+$F$3</f>
        <v>3610</v>
      </c>
      <c r="B367" s="127" t="n">
        <f aca="false">SUMPRODUCT(固有振動数!$Q$6:$Q$22*(1-($A367/固有振動数!$O$6:$O$22)^2)/((1-($A367/固有振動数!$O$6:$O$22)^2)^2+固有振動数!$P$6:$P$22^2))</f>
        <v>14.1348935913293</v>
      </c>
      <c r="C367" s="127" t="n">
        <f aca="false">-SUMPRODUCT(固有振動数!$Q$6:$Q$22*固有振動数!$P$6:$P$22/((1-($A367/固有振動数!$O$6:$O$22)^2)^2+固有振動数!$P$6:$P$22^2))</f>
        <v>-0.62649346917895</v>
      </c>
      <c r="D367" s="128" t="n">
        <f aca="false">SQRT(B367^2+C367^2)</f>
        <v>14.1487706499585</v>
      </c>
      <c r="E367" s="129" t="n">
        <f aca="false">20*LOG10(MAX(D367,0.000000000001)/$K$3)</f>
        <v>23.0143741355337</v>
      </c>
    </row>
    <row r="368" customFormat="false" ht="15" hidden="false" customHeight="false" outlineLevel="0" collapsed="false">
      <c r="A368" s="122" t="n">
        <f aca="false">A367+$F$3</f>
        <v>3620</v>
      </c>
      <c r="B368" s="123" t="n">
        <f aca="false">SUMPRODUCT(固有振動数!$Q$6:$Q$22*(1-($A368/固有振動数!$O$6:$O$22)^2)/((1-($A368/固有振動数!$O$6:$O$22)^2)^2+固有振動数!$P$6:$P$22^2))</f>
        <v>14.210351627707</v>
      </c>
      <c r="C368" s="123" t="n">
        <f aca="false">-SUMPRODUCT(固有振動数!$Q$6:$Q$22*固有振動数!$P$6:$P$22/((1-($A368/固有振動数!$O$6:$O$22)^2)^2+固有振動数!$P$6:$P$22^2))</f>
        <v>-0.621657399609061</v>
      </c>
      <c r="D368" s="124" t="n">
        <f aca="false">SQRT(B368^2+C368^2)</f>
        <v>14.2239428888605</v>
      </c>
      <c r="E368" s="125" t="n">
        <f aca="false">20*LOG10(MAX(D368,0.000000000001)/$K$3)</f>
        <v>23.0603999975192</v>
      </c>
    </row>
    <row r="369" customFormat="false" ht="15" hidden="false" customHeight="false" outlineLevel="0" collapsed="false">
      <c r="A369" s="126" t="n">
        <f aca="false">A368+$F$3</f>
        <v>3630</v>
      </c>
      <c r="B369" s="127" t="n">
        <f aca="false">SUMPRODUCT(固有振動数!$Q$6:$Q$22*(1-($A369/固有振動数!$O$6:$O$22)^2)/((1-($A369/固有振動数!$O$6:$O$22)^2)^2+固有振動数!$P$6:$P$22^2))</f>
        <v>14.2840659729265</v>
      </c>
      <c r="C369" s="127" t="n">
        <f aca="false">-SUMPRODUCT(固有振動数!$Q$6:$Q$22*固有振動数!$P$6:$P$22/((1-($A369/固有振動数!$O$6:$O$22)^2)^2+固有振動数!$P$6:$P$22^2))</f>
        <v>-0.617174953328159</v>
      </c>
      <c r="D369" s="128" t="n">
        <f aca="false">SQRT(B369^2+C369^2)</f>
        <v>14.2973929666192</v>
      </c>
      <c r="E369" s="129" t="n">
        <f aca="false">20*LOG10(MAX(D369,0.000000000001)/$K$3)</f>
        <v>23.1051370801663</v>
      </c>
    </row>
    <row r="370" customFormat="false" ht="15" hidden="false" customHeight="false" outlineLevel="0" collapsed="false">
      <c r="A370" s="122" t="n">
        <f aca="false">A369+$F$3</f>
        <v>3640</v>
      </c>
      <c r="B370" s="123" t="n">
        <f aca="false">SUMPRODUCT(固有振動数!$Q$6:$Q$22*(1-($A370/固有振動数!$O$6:$O$22)^2)/((1-($A370/固有振動数!$O$6:$O$22)^2)^2+固有振動数!$P$6:$P$22^2))</f>
        <v>14.3561373698627</v>
      </c>
      <c r="C370" s="123" t="n">
        <f aca="false">-SUMPRODUCT(固有振動数!$Q$6:$Q$22*固有振動数!$P$6:$P$22/((1-($A370/固有振動数!$O$6:$O$22)^2)^2+固有振動数!$P$6:$P$22^2))</f>
        <v>-0.613022844863169</v>
      </c>
      <c r="D370" s="124" t="n">
        <f aca="false">SQRT(B370^2+C370^2)</f>
        <v>14.3692197836449</v>
      </c>
      <c r="E370" s="125" t="n">
        <f aca="false">20*LOG10(MAX(D370,0.000000000001)/$K$3)</f>
        <v>23.1486637511928</v>
      </c>
    </row>
    <row r="371" customFormat="false" ht="15" hidden="false" customHeight="false" outlineLevel="0" collapsed="false">
      <c r="A371" s="126" t="n">
        <f aca="false">A370+$F$3</f>
        <v>3650</v>
      </c>
      <c r="B371" s="127" t="n">
        <f aca="false">SUMPRODUCT(固有振動数!$Q$6:$Q$22*(1-($A371/固有振動数!$O$6:$O$22)^2)/((1-($A371/固有振動数!$O$6:$O$22)^2)^2+固有振動数!$P$6:$P$22^2))</f>
        <v>14.4266599640585</v>
      </c>
      <c r="C371" s="127" t="n">
        <f aca="false">-SUMPRODUCT(固有振動数!$Q$6:$Q$22*固有振動数!$P$6:$P$22/((1-($A371/固有振動数!$O$6:$O$22)^2)^2+固有振動数!$P$6:$P$22^2))</f>
        <v>-0.609179835911012</v>
      </c>
      <c r="D371" s="128" t="n">
        <f aca="false">SQRT(B371^2+C371^2)</f>
        <v>14.439515843374</v>
      </c>
      <c r="E371" s="129" t="n">
        <f aca="false">20*LOG10(MAX(D371,0.000000000001)/$K$3)</f>
        <v>23.19105263188</v>
      </c>
    </row>
    <row r="372" customFormat="false" ht="15" hidden="false" customHeight="false" outlineLevel="0" collapsed="false">
      <c r="A372" s="122" t="n">
        <f aca="false">A371+$F$3</f>
        <v>3660</v>
      </c>
      <c r="B372" s="123" t="n">
        <f aca="false">SUMPRODUCT(固有振動数!$Q$6:$Q$22*(1-($A372/固有振動数!$O$6:$O$22)^2)/((1-($A372/固有振動数!$O$6:$O$22)^2)^2+固有振動数!$P$6:$P$22^2))</f>
        <v>14.4957218595185</v>
      </c>
      <c r="C372" s="123" t="n">
        <f aca="false">-SUMPRODUCT(固有振動数!$Q$6:$Q$22*固有振動数!$P$6:$P$22/((1-($A372/固有振動数!$O$6:$O$22)^2)^2+固有振動数!$P$6:$P$22^2))</f>
        <v>-0.605626529305138</v>
      </c>
      <c r="D372" s="124" t="n">
        <f aca="false">SQRT(B372^2+C372^2)</f>
        <v>14.5083677828183</v>
      </c>
      <c r="E372" s="125" t="n">
        <f aca="false">20*LOG10(MAX(D372,0.000000000001)/$K$3)</f>
        <v>23.2323711256838</v>
      </c>
    </row>
    <row r="373" customFormat="false" ht="15" hidden="false" customHeight="false" outlineLevel="0" collapsed="false">
      <c r="A373" s="126" t="n">
        <f aca="false">A372+$F$3</f>
        <v>3670</v>
      </c>
      <c r="B373" s="127" t="n">
        <f aca="false">SUMPRODUCT(固有振動数!$Q$6:$Q$22*(1-($A373/固有振動数!$O$6:$O$22)^2)/((1-($A373/固有振動数!$O$6:$O$22)^2)^2+固有振動数!$P$6:$P$22^2))</f>
        <v>14.5634056201596</v>
      </c>
      <c r="C373" s="127" t="n">
        <f aca="false">-SUMPRODUCT(固有振動数!$Q$6:$Q$22*固有振動数!$P$6:$P$22/((1-($A373/固有振動数!$O$6:$O$22)^2)^2+固有振動数!$P$6:$P$22^2))</f>
        <v>-0.602345186928486</v>
      </c>
      <c r="D373" s="128" t="n">
        <f aca="false">SQRT(B373^2+C373^2)</f>
        <v>14.575856852395</v>
      </c>
      <c r="E373" s="129" t="n">
        <f aca="false">20*LOG10(MAX(D373,0.000000000001)/$K$3)</f>
        <v>23.2726818899986</v>
      </c>
    </row>
    <row r="374" customFormat="false" ht="15" hidden="false" customHeight="false" outlineLevel="0" collapsed="false">
      <c r="A374" s="122" t="n">
        <f aca="false">A373+$F$3</f>
        <v>3680</v>
      </c>
      <c r="B374" s="123" t="n">
        <f aca="false">SUMPRODUCT(固有振動数!$Q$6:$Q$22*(1-($A374/固有振動数!$O$6:$O$22)^2)/((1-($A374/固有振動数!$O$6:$O$22)^2)^2+固有振動数!$P$6:$P$22^2))</f>
        <v>14.6297887230291</v>
      </c>
      <c r="C374" s="123" t="n">
        <f aca="false">-SUMPRODUCT(固有振動数!$Q$6:$Q$22*固有振動数!$P$6:$P$22/((1-($A374/固有振動数!$O$6:$O$22)^2)^2+固有振動数!$P$6:$P$22^2))</f>
        <v>-0.599319568459723</v>
      </c>
      <c r="D374" s="124" t="n">
        <f aca="false">SQRT(B374^2+C374^2)</f>
        <v>14.6420593505698</v>
      </c>
      <c r="E374" s="125" t="n">
        <f aca="false">20*LOG10(MAX(D374,0.000000000001)/$K$3)</f>
        <v>23.3120432580695</v>
      </c>
    </row>
    <row r="375" customFormat="false" ht="15" hidden="false" customHeight="false" outlineLevel="0" collapsed="false">
      <c r="A375" s="126" t="n">
        <f aca="false">A374+$F$3</f>
        <v>3690</v>
      </c>
      <c r="B375" s="127" t="n">
        <f aca="false">SUMPRODUCT(固有振動数!$Q$6:$Q$22*(1-($A375/固有振動数!$O$6:$O$22)^2)/((1-($A375/固有振動数!$O$6:$O$22)^2)^2+固有振動数!$P$6:$P$22^2))</f>
        <v>14.6949439686355</v>
      </c>
      <c r="C375" s="127" t="n">
        <f aca="false">-SUMPRODUCT(固有振動数!$Q$6:$Q$22*固有振動数!$P$6:$P$22/((1-($A375/固有振動数!$O$6:$O$22)^2)^2+固有振動数!$P$6:$P$22^2))</f>
        <v>-0.596534788287354</v>
      </c>
      <c r="D375" s="128" t="n">
        <f aca="false">SQRT(B375^2+C375^2)</f>
        <v>14.7070470181806</v>
      </c>
      <c r="E375" s="129" t="n">
        <f aca="false">20*LOG10(MAX(D375,0.000000000001)/$K$3)</f>
        <v>23.3505096170908</v>
      </c>
    </row>
    <row r="376" customFormat="false" ht="15" hidden="false" customHeight="false" outlineLevel="0" collapsed="false">
      <c r="A376" s="122" t="n">
        <f aca="false">A375+$F$3</f>
        <v>3700</v>
      </c>
      <c r="B376" s="123" t="n">
        <f aca="false">SUMPRODUCT(固有振動数!$Q$6:$Q$22*(1-($A376/固有振動数!$O$6:$O$22)^2)/((1-($A376/固有振動数!$O$6:$O$22)^2)^2+固有振動数!$P$6:$P$22^2))</f>
        <v>14.7589398530703</v>
      </c>
      <c r="C376" s="123" t="n">
        <f aca="false">-SUMPRODUCT(固有振動数!$Q$6:$Q$22*固有振動数!$P$6:$P$22/((1-($A376/固有振動数!$O$6:$O$22)^2)^2+固有振動数!$P$6:$P$22^2))</f>
        <v>-0.593977188303835</v>
      </c>
      <c r="D376" s="124" t="n">
        <f aca="false">SQRT(B376^2+C376^2)</f>
        <v>14.7708873967265</v>
      </c>
      <c r="E376" s="125" t="n">
        <f aca="false">20*LOG10(MAX(D376,0.000000000001)/$K$3)</f>
        <v>23.3881317477077</v>
      </c>
    </row>
    <row r="377" customFormat="false" ht="15" hidden="false" customHeight="false" outlineLevel="0" collapsed="false">
      <c r="A377" s="126" t="n">
        <f aca="false">A376+$F$3</f>
        <v>3710</v>
      </c>
      <c r="B377" s="127" t="n">
        <f aca="false">SUMPRODUCT(固有振動数!$Q$6:$Q$22*(1-($A377/固有振動数!$O$6:$O$22)^2)/((1-($A377/固有振動数!$O$6:$O$22)^2)^2+固有振動数!$P$6:$P$22^2))</f>
        <v>14.8218409060328</v>
      </c>
      <c r="C377" s="127" t="n">
        <f aca="false">-SUMPRODUCT(固有振動数!$Q$6:$Q$22*固有振動数!$P$6:$P$22/((1-($A377/固有振動数!$O$6:$O$22)^2)^2+固有振動数!$P$6:$P$22^2))</f>
        <v>-0.591634224610872</v>
      </c>
      <c r="D377" s="128" t="n">
        <f aca="false">SQRT(B377^2+C377^2)</f>
        <v>14.8336441544038</v>
      </c>
      <c r="E377" s="129" t="n">
        <f aca="false">20*LOG10(MAX(D377,0.000000000001)/$K$3)</f>
        <v>23.4249571294431</v>
      </c>
    </row>
    <row r="378" customFormat="false" ht="15" hidden="false" customHeight="false" outlineLevel="0" collapsed="false">
      <c r="A378" s="122" t="n">
        <f aca="false">A377+$F$3</f>
        <v>3720</v>
      </c>
      <c r="B378" s="123" t="n">
        <f aca="false">SUMPRODUCT(固有振動数!$Q$6:$Q$22*(1-($A378/固有振動数!$O$6:$O$22)^2)/((1-($A378/固有振動数!$O$6:$O$22)^2)^2+固有振動数!$P$6:$P$22^2))</f>
        <v>14.8837079983708</v>
      </c>
      <c r="C378" s="123" t="n">
        <f aca="false">-SUMPRODUCT(固有振動数!$Q$6:$Q$22*固有振動数!$P$6:$P$22/((1-($A378/固有振動数!$O$6:$O$22)^2)^2+固有振動数!$P$6:$P$22^2))</f>
        <v>-0.589494366437649</v>
      </c>
      <c r="D378" s="124" t="n">
        <f aca="false">SQRT(B378^2+C378^2)</f>
        <v>14.8953773832296</v>
      </c>
      <c r="E378" s="125" t="n">
        <f aca="false">20*LOG10(MAX(D378,0.000000000001)/$K$3)</f>
        <v>23.4610302159799</v>
      </c>
    </row>
    <row r="379" customFormat="false" ht="15" hidden="false" customHeight="false" outlineLevel="0" collapsed="false">
      <c r="A379" s="126" t="n">
        <f aca="false">A378+$F$3</f>
        <v>3730</v>
      </c>
      <c r="B379" s="127" t="n">
        <f aca="false">SUMPRODUCT(固有振動数!$Q$6:$Q$22*(1-($A379/固有振動数!$O$6:$O$22)^2)/((1-($A379/固有振動数!$O$6:$O$22)^2)^2+固有振動数!$P$6:$P$22^2))</f>
        <v>14.9445986223253</v>
      </c>
      <c r="C379" s="127" t="n">
        <f aca="false">-SUMPRODUCT(固有振動数!$Q$6:$Q$22*固有振動数!$P$6:$P$22/((1-($A379/固有振動数!$O$6:$O$22)^2)^2+固有振動数!$P$6:$P$22^2))</f>
        <v>-0.587547005803658</v>
      </c>
      <c r="D379" s="128" t="n">
        <f aca="false">SQRT(B379^2+C379^2)</f>
        <v>14.9561438702106</v>
      </c>
      <c r="E379" s="129" t="n">
        <f aca="false">20*LOG10(MAX(D379,0.000000000001)/$K$3)</f>
        <v>23.4963926837196</v>
      </c>
    </row>
    <row r="380" customFormat="false" ht="15" hidden="false" customHeight="false" outlineLevel="0" collapsed="false">
      <c r="A380" s="122" t="n">
        <f aca="false">A379+$F$3</f>
        <v>3740</v>
      </c>
      <c r="B380" s="123" t="n">
        <f aca="false">SUMPRODUCT(固有振動数!$Q$6:$Q$22*(1-($A380/固有振動数!$O$6:$O$22)^2)/((1-($A380/固有振動数!$O$6:$O$22)^2)^2+固有振動数!$P$6:$P$22^2))</f>
        <v>15.0045671472919</v>
      </c>
      <c r="C380" s="123" t="n">
        <f aca="false">-SUMPRODUCT(固有振動数!$Q$6:$Q$22*固有振動数!$P$6:$P$22/((1-($A380/固有振動数!$O$6:$O$22)^2)^2+固有振動数!$P$6:$P$22^2))</f>
        <v>-0.585782376653697</v>
      </c>
      <c r="D380" s="124" t="n">
        <f aca="false">SQRT(B380^2+C380^2)</f>
        <v>15.0159973451779</v>
      </c>
      <c r="E380" s="125" t="n">
        <f aca="false">20*LOG10(MAX(D380,0.000000000001)/$K$3)</f>
        <v>23.5310836566043</v>
      </c>
    </row>
    <row r="381" customFormat="false" ht="15" hidden="false" customHeight="false" outlineLevel="0" collapsed="false">
      <c r="A381" s="126" t="n">
        <f aca="false">A380+$F$3</f>
        <v>3750</v>
      </c>
      <c r="B381" s="127" t="n">
        <f aca="false">SUMPRODUCT(固有振動数!$Q$6:$Q$22*(1-($A381/固有振動数!$O$6:$O$22)^2)/((1-($A381/固有振動数!$O$6:$O$22)^2)^2+固有振動数!$P$6:$P$22^2))</f>
        <v>15.06366505359</v>
      </c>
      <c r="C381" s="127" t="n">
        <f aca="false">-SUMPRODUCT(固有振動数!$Q$6:$Q$22*固有振動数!$P$6:$P$22/((1-($A381/固有振動数!$O$6:$O$22)^2)^2+固有振動数!$P$6:$P$22^2))</f>
        <v>-0.584191482360033</v>
      </c>
      <c r="D381" s="128" t="n">
        <f aca="false">SQRT(B381^2+C381^2)</f>
        <v>15.074988707618</v>
      </c>
      <c r="E381" s="129" t="n">
        <f aca="false">20*LOG10(MAX(D381,0.000000000001)/$K$3)</f>
        <v>23.5651399098145</v>
      </c>
    </row>
    <row r="382" customFormat="false" ht="15" hidden="false" customHeight="false" outlineLevel="0" collapsed="false">
      <c r="A382" s="122" t="n">
        <f aca="false">A381+$F$3</f>
        <v>3760</v>
      </c>
      <c r="B382" s="123" t="n">
        <f aca="false">SUMPRODUCT(固有振動数!$Q$6:$Q$22*(1-($A382/固有振動数!$O$6:$O$22)^2)/((1-($A382/固有振動数!$O$6:$O$22)^2)^2+固有振動数!$P$6:$P$22^2))</f>
        <v>15.1219411464456</v>
      </c>
      <c r="C382" s="123" t="n">
        <f aca="false">-SUMPRODUCT(固有振動数!$Q$6:$Q$22*固有振動数!$P$6:$P$22/((1-($A382/固有振動数!$O$6:$O$22)^2)^2+固有振動数!$P$6:$P$22^2))</f>
        <v>-0.582766030630036</v>
      </c>
      <c r="D382" s="124" t="n">
        <f aca="false">SQRT(B382^2+C382^2)</f>
        <v>15.1331662345664</v>
      </c>
      <c r="E382" s="125" t="n">
        <f aca="false">20*LOG10(MAX(D382,0.000000000001)/$K$3)</f>
        <v>23.5985960546347</v>
      </c>
    </row>
    <row r="383" customFormat="false" ht="15" hidden="false" customHeight="false" outlineLevel="0" collapsed="false">
      <c r="A383" s="126" t="n">
        <f aca="false">A382+$F$3</f>
        <v>3770</v>
      </c>
      <c r="B383" s="127" t="n">
        <f aca="false">SUMPRODUCT(固有振動数!$Q$6:$Q$22*(1-($A383/固有振動数!$O$6:$O$22)^2)/((1-($A383/固有振動数!$O$6:$O$22)^2)^2+固有振動数!$P$6:$P$22^2))</f>
        <v>15.1794417521497</v>
      </c>
      <c r="C383" s="127" t="n">
        <f aca="false">-SUMPRODUCT(固有振動数!$Q$6:$Q$22*固有振動数!$P$6:$P$22/((1-($A383/固有振動数!$O$6:$O$22)^2)^2+固有振動数!$P$6:$P$22^2))</f>
        <v>-0.581498374980639</v>
      </c>
      <c r="D383" s="128" t="n">
        <f aca="false">SQRT(B383^2+C383^2)</f>
        <v>15.190575771412</v>
      </c>
      <c r="E383" s="129" t="n">
        <f aca="false">20*LOG10(MAX(D383,0.000000000001)/$K$3)</f>
        <v>23.6314847064961</v>
      </c>
    </row>
    <row r="384" customFormat="false" ht="15" hidden="false" customHeight="false" outlineLevel="0" collapsed="false">
      <c r="A384" s="122" t="n">
        <f aca="false">A383+$F$3</f>
        <v>3780</v>
      </c>
      <c r="B384" s="123" t="n">
        <f aca="false">SUMPRODUCT(固有振動数!$Q$6:$Q$22*(1-($A384/固有振動数!$O$6:$O$22)^2)/((1-($A384/固有振動数!$O$6:$O$22)^2)^2+固有振動数!$P$6:$P$22^2))</f>
        <v>15.2362108981326</v>
      </c>
      <c r="C384" s="123" t="n">
        <f aca="false">-SUMPRODUCT(固有振動数!$Q$6:$Q$22*固有振動数!$P$6:$P$22/((1-($A384/固有振動数!$O$6:$O$22)^2)^2+固有振動数!$P$6:$P$22^2))</f>
        <v>-0.580381462046837</v>
      </c>
      <c r="D384" s="124" t="n">
        <f aca="false">SQRT(B384^2+C384^2)</f>
        <v>15.2472609072535</v>
      </c>
      <c r="E384" s="125" t="n">
        <f aca="false">20*LOG10(MAX(D384,0.000000000001)/$K$3)</f>
        <v>23.6638366379719</v>
      </c>
    </row>
    <row r="385" customFormat="false" ht="15" hidden="false" customHeight="false" outlineLevel="0" collapsed="false">
      <c r="A385" s="126" t="n">
        <f aca="false">A384+$F$3</f>
        <v>3790</v>
      </c>
      <c r="B385" s="127" t="n">
        <f aca="false">SUMPRODUCT(固有振動数!$Q$6:$Q$22*(1-($A385/固有振動数!$O$6:$O$22)^2)/((1-($A385/固有振動数!$O$6:$O$22)^2)^2+固有振動数!$P$6:$P$22^2))</f>
        <v>15.292290478511</v>
      </c>
      <c r="C385" s="127" t="n">
        <f aca="false">-SUMPRODUCT(固有振動数!$Q$6:$Q$22*固有振動数!$P$6:$P$22/((1-($A385/固有振動数!$O$6:$O$22)^2)^2+固有振動数!$P$6:$P$22^2))</f>
        <v>-0.579408784082701</v>
      </c>
      <c r="D385" s="128" t="n">
        <f aca="false">SQRT(B385^2+C385^2)</f>
        <v>15.3032631362801</v>
      </c>
      <c r="E385" s="129" t="n">
        <f aca="false">20*LOG10(MAX(D385,0.000000000001)/$K$3)</f>
        <v>23.6956809182836</v>
      </c>
    </row>
    <row r="386" customFormat="false" ht="15" hidden="false" customHeight="false" outlineLevel="0" collapsed="false">
      <c r="A386" s="122" t="n">
        <f aca="false">A385+$F$3</f>
        <v>3800</v>
      </c>
      <c r="B386" s="123" t="n">
        <f aca="false">SUMPRODUCT(固有振動数!$Q$6:$Q$22*(1-($A386/固有振動数!$O$6:$O$22)^2)/((1-($A386/固有振動数!$O$6:$O$22)^2)^2+固有振動数!$P$6:$P$22^2))</f>
        <v>15.3477204064924</v>
      </c>
      <c r="C386" s="123" t="n">
        <f aca="false">-SUMPRODUCT(固有振動数!$Q$6:$Q$22*固有振動数!$P$6:$P$22/((1-($A386/固有振動数!$O$6:$O$22)^2)^2+固有振動数!$P$6:$P$22^2))</f>
        <v>-0.57857433609227</v>
      </c>
      <c r="D386" s="124" t="n">
        <f aca="false">SQRT(B386^2+C386^2)</f>
        <v>15.3586220064903</v>
      </c>
      <c r="E386" s="125" t="n">
        <f aca="false">20*LOG10(MAX(D386,0.000000000001)/$K$3)</f>
        <v>23.727045040702</v>
      </c>
    </row>
    <row r="387" customFormat="false" ht="15" hidden="false" customHeight="false" outlineLevel="0" collapsed="false">
      <c r="A387" s="126" t="n">
        <f aca="false">A386+$F$3</f>
        <v>3810</v>
      </c>
      <c r="B387" s="127" t="n">
        <f aca="false">SUMPRODUCT(固有振動数!$Q$6:$Q$22*(1-($A387/固有振動数!$O$6:$O$22)^2)/((1-($A387/固有振動数!$O$6:$O$22)^2)^2+固有振動数!$P$6:$P$22^2))</f>
        <v>15.4025387548771</v>
      </c>
      <c r="C387" s="127" t="n">
        <f aca="false">-SUMPRODUCT(固有振動数!$Q$6:$Q$22*固有振動数!$P$6:$P$22/((1-($A387/固有振動数!$O$6:$O$22)^2)^2+固有振動数!$P$6:$P$22^2))</f>
        <v>-0.577872577095994</v>
      </c>
      <c r="D387" s="128" t="n">
        <f aca="false">SQRT(B387^2+C387^2)</f>
        <v>15.413375256927</v>
      </c>
      <c r="E387" s="129" t="n">
        <f aca="false">20*LOG10(MAX(D387,0.000000000001)/$K$3)</f>
        <v>23.7579550390646</v>
      </c>
    </row>
    <row r="388" customFormat="false" ht="15" hidden="false" customHeight="false" outlineLevel="0" collapsed="false">
      <c r="A388" s="122" t="n">
        <f aca="false">A387+$F$3</f>
        <v>3820</v>
      </c>
      <c r="B388" s="123" t="n">
        <f aca="false">SUMPRODUCT(固有振動数!$Q$6:$Q$22*(1-($A388/固有振動数!$O$6:$O$22)^2)/((1-($A388/固有振動数!$O$6:$O$22)^2)^2+固有振動数!$P$6:$P$22^2))</f>
        <v>15.4567818857684</v>
      </c>
      <c r="C388" s="123" t="n">
        <f aca="false">-SUMPRODUCT(固有振動数!$Q$6:$Q$22*固有振動数!$P$6:$P$22/((1-($A388/固有振動数!$O$6:$O$22)^2)^2+固有振動数!$P$6:$P$22^2))</f>
        <v>-0.577298395097636</v>
      </c>
      <c r="D388" s="124" t="n">
        <f aca="false">SQRT(B388^2+C388^2)</f>
        <v>15.4675589444876</v>
      </c>
      <c r="E388" s="125" t="n">
        <f aca="false">20*LOG10(MAX(D388,0.000000000001)/$K$3)</f>
        <v>23.788435594493</v>
      </c>
    </row>
    <row r="389" customFormat="false" ht="15" hidden="false" customHeight="false" outlineLevel="0" collapsed="false">
      <c r="A389" s="126" t="n">
        <f aca="false">A388+$F$3</f>
        <v>3830</v>
      </c>
      <c r="B389" s="127" t="n">
        <f aca="false">SUMPRODUCT(固有振動数!$Q$6:$Q$22*(1-($A389/固有振動数!$O$6:$O$22)^2)/((1-($A389/固有振動数!$O$6:$O$22)^2)^2+固有振動数!$P$6:$P$22^2))</f>
        <v>15.5104845704861</v>
      </c>
      <c r="C389" s="127" t="n">
        <f aca="false">-SUMPRODUCT(固有振動数!$Q$6:$Q$22*固有振動数!$P$6:$P$22/((1-($A389/固有振動数!$O$6:$O$22)^2)^2+固有振動数!$P$6:$P$22^2))</f>
        <v>-0.57684707536814</v>
      </c>
      <c r="D389" s="128" t="n">
        <f aca="false">SQRT(B389^2+C389^2)</f>
        <v>15.5212075612579</v>
      </c>
      <c r="E389" s="129" t="n">
        <f aca="false">20*LOG10(MAX(D389,0.000000000001)/$K$3)</f>
        <v>23.8185101332753</v>
      </c>
    </row>
    <row r="390" customFormat="false" ht="15" hidden="false" customHeight="false" outlineLevel="0" collapsed="false">
      <c r="A390" s="122" t="n">
        <f aca="false">A389+$F$3</f>
        <v>3840</v>
      </c>
      <c r="B390" s="123" t="n">
        <f aca="false">SUMPRODUCT(固有振動数!$Q$6:$Q$22*(1-($A390/固有振動数!$O$6:$O$22)^2)/((1-($A390/固有振動数!$O$6:$O$22)^2)^2+固有振動数!$P$6:$P$22^2))</f>
        <v>15.5636801005783</v>
      </c>
      <c r="C390" s="123" t="n">
        <f aca="false">-SUMPRODUCT(固有振動数!$Q$6:$Q$22*固有振動数!$P$6:$P$22/((1-($A390/固有振動数!$O$6:$O$22)^2)^2+固有振動数!$P$6:$P$22^2))</f>
        <v>-0.576514271707804</v>
      </c>
      <c r="D390" s="124" t="n">
        <f aca="false">SQRT(B390^2+C390^2)</f>
        <v>15.574354143226</v>
      </c>
      <c r="E390" s="125" t="n">
        <f aca="false">20*LOG10(MAX(D390,0.000000000001)/$K$3)</f>
        <v>23.8482009167701</v>
      </c>
    </row>
    <row r="391" customFormat="false" ht="15" hidden="false" customHeight="false" outlineLevel="0" collapsed="false">
      <c r="A391" s="126" t="n">
        <f aca="false">A390+$F$3</f>
        <v>3850</v>
      </c>
      <c r="B391" s="127" t="n">
        <f aca="false">SUMPRODUCT(固有振動数!$Q$6:$Q$22*(1-($A391/固有振動数!$O$6:$O$22)^2)/((1-($A391/固有振動数!$O$6:$O$22)^2)^2+固有振動数!$P$6:$P$22^2))</f>
        <v>15.6164003907355</v>
      </c>
      <c r="C391" s="127" t="n">
        <f aca="false">-SUMPRODUCT(固有振動数!$Q$6:$Q$22*固有振動数!$P$6:$P$22/((1-($A391/固有振動数!$O$6:$O$22)^2)^2+固有振動数!$P$6:$P$22^2))</f>
        <v>-0.576295980387357</v>
      </c>
      <c r="D391" s="128" t="n">
        <f aca="false">SQRT(B391^2+C391^2)</f>
        <v>15.6270303711477</v>
      </c>
      <c r="E391" s="129" t="n">
        <f aca="false">20*LOG10(MAX(D391,0.000000000001)/$K$3)</f>
        <v>23.877529124098</v>
      </c>
    </row>
    <row r="392" customFormat="false" ht="15" hidden="false" customHeight="false" outlineLevel="0" collapsed="false">
      <c r="A392" s="122" t="n">
        <f aca="false">A391+$F$3</f>
        <v>3860</v>
      </c>
      <c r="B392" s="123" t="n">
        <f aca="false">SUMPRODUCT(固有振動数!$Q$6:$Q$22*(1-($A392/固有振動数!$O$6:$O$22)^2)/((1-($A392/固有振動数!$O$6:$O$22)^2)^2+固有振動数!$P$6:$P$22^2))</f>
        <v>15.6686760743329</v>
      </c>
      <c r="C392" s="123" t="n">
        <f aca="false">-SUMPRODUCT(固有振動数!$Q$6:$Q$22*固有振動数!$P$6:$P$22/((1-($A392/固有振動数!$O$6:$O$22)^2)^2+固有振動数!$P$6:$P$22^2))</f>
        <v>-0.57618851650278</v>
      </c>
      <c r="D392" s="124" t="n">
        <f aca="false">SQRT(B392^2+C392^2)</f>
        <v>15.6792666642583</v>
      </c>
      <c r="E392" s="125" t="n">
        <f aca="false">20*LOG10(MAX(D392,0.000000000001)/$K$3)</f>
        <v>23.9065149283028</v>
      </c>
    </row>
    <row r="393" customFormat="false" ht="15" hidden="false" customHeight="false" outlineLevel="0" collapsed="false">
      <c r="A393" s="126" t="n">
        <f aca="false">A392+$F$3</f>
        <v>3870</v>
      </c>
      <c r="B393" s="127" t="n">
        <f aca="false">SUMPRODUCT(固有振動数!$Q$6:$Q$22*(1-($A393/固有振動数!$O$6:$O$22)^2)/((1-($A393/固有振動数!$O$6:$O$22)^2)^2+固有振動数!$P$6:$P$22^2))</f>
        <v>15.7205365922553</v>
      </c>
      <c r="C393" s="127" t="n">
        <f aca="false">-SUMPRODUCT(固有振動数!$Q$6:$Q$22*固有振動数!$P$6:$P$22/((1-($A393/固有振動数!$O$6:$O$22)^2)^2+固有振動数!$P$6:$P$22^2))</f>
        <v>-0.576188492508775</v>
      </c>
      <c r="D393" s="128" t="n">
        <f aca="false">SQRT(B393^2+C393^2)</f>
        <v>15.7310922674599</v>
      </c>
      <c r="E393" s="129" t="n">
        <f aca="false">20*LOG10(MAX(D393,0.000000000001)/$K$3)</f>
        <v>23.9351775665938</v>
      </c>
    </row>
    <row r="394" customFormat="false" ht="15" hidden="false" customHeight="false" outlineLevel="0" collapsed="false">
      <c r="A394" s="122" t="n">
        <f aca="false">A393+$F$3</f>
        <v>3880</v>
      </c>
      <c r="B394" s="123" t="n">
        <f aca="false">SUMPRODUCT(固有振動数!$Q$6:$Q$22*(1-($A394/固有振動数!$O$6:$O$22)^2)/((1-($A394/固有振動数!$O$6:$O$22)^2)^2+固有振動数!$P$6:$P$22^2))</f>
        <v>15.7720102755952</v>
      </c>
      <c r="C394" s="123" t="n">
        <f aca="false">-SUMPRODUCT(固有振動数!$Q$6:$Q$22*固有振動数!$P$6:$P$22/((1-($A394/固有振動数!$O$6:$O$22)^2)^2+固有振動数!$P$6:$P$22^2))</f>
        <v>-0.576292798722142</v>
      </c>
      <c r="D394" s="124" t="n">
        <f aca="false">SQRT(B394^2+C394^2)</f>
        <v>15.7825353325548</v>
      </c>
      <c r="E394" s="125" t="n">
        <f aca="false">20*LOG10(MAX(D394,0.000000000001)/$K$3)</f>
        <v>23.9635354052169</v>
      </c>
    </row>
    <row r="395" customFormat="false" ht="15" hidden="false" customHeight="false" outlineLevel="0" collapsed="false">
      <c r="A395" s="126" t="n">
        <f aca="false">A394+$F$3</f>
        <v>3890</v>
      </c>
      <c r="B395" s="127" t="n">
        <f aca="false">SUMPRODUCT(固有振動数!$Q$6:$Q$22*(1-($A395/固有振動数!$O$6:$O$22)^2)/((1-($A395/固有振動数!$O$6:$O$22)^2)^2+固有振動数!$P$6:$P$22^2))</f>
        <v>15.8231244227604</v>
      </c>
      <c r="C395" s="127" t="n">
        <f aca="false">-SUMPRODUCT(固有振動数!$Q$6:$Q$22*固有振動数!$P$6:$P$22/((1-($A395/固有振動数!$O$6:$O$22)^2)^2+固有振動数!$P$6:$P$22^2))</f>
        <v>-0.576498585609549</v>
      </c>
      <c r="D395" s="128" t="n">
        <f aca="false">SQRT(B395^2+C395^2)</f>
        <v>15.8336229940392</v>
      </c>
      <c r="E395" s="129" t="n">
        <f aca="false">20*LOG10(MAX(D395,0.000000000001)/$K$3)</f>
        <v>23.9916059994458</v>
      </c>
    </row>
    <row r="396" customFormat="false" ht="15" hidden="false" customHeight="false" outlineLevel="0" collapsed="false">
      <c r="A396" s="122" t="n">
        <f aca="false">A395+$F$3</f>
        <v>3900</v>
      </c>
      <c r="B396" s="123" t="n">
        <f aca="false">SUMPRODUCT(固有振動数!$Q$6:$Q$22*(1-($A396/固有振動数!$O$6:$O$22)^2)/((1-($A396/固有振動数!$O$6:$O$22)^2)^2+固有振動数!$P$6:$P$22^2))</f>
        <v>15.8739053714761</v>
      </c>
      <c r="C396" s="123" t="n">
        <f aca="false">-SUMPRODUCT(固有振動数!$Q$6:$Q$22*固有振動数!$P$6:$P$22/((1-($A396/固有振動数!$O$6:$O$22)^2)^2+固有振動数!$P$6:$P$22^2))</f>
        <v>-0.576803247694574</v>
      </c>
      <c r="D396" s="124" t="n">
        <f aca="false">SQRT(B396^2+C396^2)</f>
        <v>15.884381439928</v>
      </c>
      <c r="E396" s="125" t="n">
        <f aca="false">20*LOG10(MAX(D396,0.000000000001)/$K$3)</f>
        <v>24.0194061491349</v>
      </c>
    </row>
    <row r="397" customFormat="false" ht="15" hidden="false" customHeight="false" outlineLevel="0" collapsed="false">
      <c r="A397" s="126" t="n">
        <f aca="false">A396+$F$3</f>
        <v>3910</v>
      </c>
      <c r="B397" s="127" t="n">
        <f aca="false">SUMPRODUCT(固有振動数!$Q$6:$Q$22*(1-($A397/固有振動数!$O$6:$O$22)^2)/((1-($A397/固有振動数!$O$6:$O$22)^2)^2+固有振動数!$P$6:$P$22^2))</f>
        <v>15.9243785661223</v>
      </c>
      <c r="C397" s="127" t="n">
        <f aca="false">-SUMPRODUCT(固有振動数!$Q$6:$Q$22*固有振動数!$P$6:$P$22/((1-($A397/固有振動数!$O$6:$O$22)^2)^2+固有振動数!$P$6:$P$22^2))</f>
        <v>-0.577204408937005</v>
      </c>
      <c r="D397" s="128" t="n">
        <f aca="false">SQRT(B397^2+C397^2)</f>
        <v>15.9348359780348</v>
      </c>
      <c r="E397" s="129" t="n">
        <f aca="false">20*LOG10(MAX(D397,0.000000000001)/$K$3)</f>
        <v>24.046951950232</v>
      </c>
    </row>
    <row r="398" customFormat="false" ht="15" hidden="false" customHeight="false" outlineLevel="0" collapsed="false">
      <c r="A398" s="122" t="n">
        <f aca="false">A397+$F$3</f>
        <v>3920</v>
      </c>
      <c r="B398" s="123" t="n">
        <f aca="false">SUMPRODUCT(固有振動数!$Q$6:$Q$22*(1-($A398/固有振動数!$O$6:$O$22)^2)/((1-($A398/固有振動数!$O$6:$O$22)^2)^2+固有振動数!$P$6:$P$22^2))</f>
        <v>15.9745686208069</v>
      </c>
      <c r="C398" s="123" t="n">
        <f aca="false">-SUMPRODUCT(固有振動数!$Q$6:$Q$22*固有振動数!$P$6:$P$22/((1-($A398/固有振動数!$O$6:$O$22)^2)^2+固有振動数!$P$6:$P$22^2))</f>
        <v>-0.577699909453273</v>
      </c>
      <c r="D398" s="124" t="n">
        <f aca="false">SQRT(B398^2+C398^2)</f>
        <v>15.985011098096</v>
      </c>
      <c r="E398" s="125" t="n">
        <f aca="false">20*LOG10(MAX(D398,0.000000000001)/$K$3)</f>
        <v>24.0742588426079</v>
      </c>
    </row>
    <row r="399" customFormat="false" ht="15" hidden="false" customHeight="false" outlineLevel="0" collapsed="false">
      <c r="A399" s="126" t="n">
        <f aca="false">A398+$F$3</f>
        <v>3930</v>
      </c>
      <c r="B399" s="127" t="n">
        <f aca="false">SUMPRODUCT(固有振動数!$Q$6:$Q$22*(1-($A399/固有振動数!$O$6:$O$22)^2)/((1-($A399/固有振動数!$O$6:$O$22)^2)^2+固有振動数!$P$6:$P$22^2))</f>
        <v>16.0244993785405</v>
      </c>
      <c r="C399" s="127" t="n">
        <f aca="false">-SUMPRODUCT(固有振動数!$Q$6:$Q$22*固有振動数!$P$6:$P$22/((1-($A399/固有振動数!$O$6:$O$22)^2)^2+固有振動数!$P$6:$P$22^2))</f>
        <v>-0.5782877934611</v>
      </c>
      <c r="D399" s="128" t="n">
        <f aca="false">SQRT(B399^2+C399^2)</f>
        <v>16.034930530093</v>
      </c>
      <c r="E399" s="129" t="n">
        <f aca="false">20*LOG10(MAX(D399,0.000000000001)/$K$3)</f>
        <v>24.1013416545282</v>
      </c>
    </row>
    <row r="400" customFormat="false" ht="15" hidden="false" customHeight="false" outlineLevel="0" collapsed="false">
      <c r="A400" s="122" t="n">
        <f aca="false">A399+$F$3</f>
        <v>3940</v>
      </c>
      <c r="B400" s="123" t="n">
        <f aca="false">SUMPRODUCT(固有振動数!$Q$6:$Q$22*(1-($A400/固有振動数!$O$6:$O$22)^2)/((1-($A400/固有振動数!$O$6:$O$22)^2)^2+固有振動数!$P$6:$P$22^2))</f>
        <v>16.0741939668444</v>
      </c>
      <c r="C400" s="123" t="n">
        <f aca="false">-SUMPRODUCT(固有振動数!$Q$6:$Q$22*固有振動数!$P$6:$P$22/((1-($A400/固有振動数!$O$6:$O$22)^2)^2+固有振動数!$P$6:$P$22^2))</f>
        <v>-0.57896629834396</v>
      </c>
      <c r="D400" s="124" t="n">
        <f aca="false">SQRT(B400^2+C400^2)</f>
        <v>16.0846172990953</v>
      </c>
      <c r="E400" s="125" t="n">
        <f aca="false">20*LOG10(MAX(D400,0.000000000001)/$K$3)</f>
        <v>24.1282146440593</v>
      </c>
    </row>
    <row r="401" customFormat="false" ht="15" hidden="false" customHeight="false" outlineLevel="0" collapsed="false">
      <c r="A401" s="126" t="n">
        <f aca="false">A400+$F$3</f>
        <v>3950</v>
      </c>
      <c r="B401" s="127" t="n">
        <f aca="false">SUMPRODUCT(固有振動数!$Q$6:$Q$22*(1-($A401/固有振動数!$O$6:$O$22)^2)/((1-($A401/固有振動数!$O$6:$O$22)^2)^2+固有振動数!$P$6:$P$22^2))</f>
        <v>16.123674850098</v>
      </c>
      <c r="C401" s="127" t="n">
        <f aca="false">-SUMPRODUCT(固有振動数!$Q$6:$Q$22*固有振動数!$P$6:$P$22/((1-($A401/固有振動数!$O$6:$O$22)^2)^2+固有振動数!$P$6:$P$22^2))</f>
        <v>-0.579733844742117</v>
      </c>
      <c r="D401" s="128" t="n">
        <f aca="false">SQRT(B401^2+C401^2)</f>
        <v>16.1340937769192</v>
      </c>
      <c r="E401" s="129" t="n">
        <f aca="false">20*LOG10(MAX(D401,0.000000000001)/$K$3)</f>
        <v>24.1548915376728</v>
      </c>
    </row>
    <row r="402" customFormat="false" ht="15" hidden="false" customHeight="false" outlineLevel="0" collapsed="false">
      <c r="A402" s="122" t="n">
        <f aca="false">A401+$F$3</f>
        <v>3960</v>
      </c>
      <c r="B402" s="123" t="n">
        <f aca="false">SUMPRODUCT(固有振動数!$Q$6:$Q$22*(1-($A402/固有振動数!$O$6:$O$22)^2)/((1-($A402/固有振動数!$O$6:$O$22)^2)^2+固有振動数!$P$6:$P$22^2))</f>
        <v>16.1729638789023</v>
      </c>
      <c r="C402" s="123" t="n">
        <f aca="false">-SUMPRODUCT(固有振動数!$Q$6:$Q$22*固有振動数!$P$6:$P$22/((1-($A402/固有振動数!$O$6:$O$22)^2)^2+固有振動数!$P$6:$P$22^2))</f>
        <v>-0.580589027587003</v>
      </c>
      <c r="D402" s="124" t="n">
        <f aca="false">SQRT(B402^2+C402^2)</f>
        <v>16.1833817308754</v>
      </c>
      <c r="E402" s="125" t="n">
        <f aca="false">20*LOG10(MAX(D402,0.000000000001)/$K$3)</f>
        <v>24.1813855662904</v>
      </c>
    </row>
    <row r="403" customFormat="false" ht="15" hidden="false" customHeight="false" outlineLevel="0" collapsed="false">
      <c r="A403" s="126" t="n">
        <f aca="false">A402+$F$3</f>
        <v>3970</v>
      </c>
      <c r="B403" s="127" t="n">
        <f aca="false">SUMPRODUCT(固有振動数!$Q$6:$Q$22*(1-($A403/固有振動数!$O$6:$O$22)^2)/((1-($A403/固有振動数!$O$6:$O$22)^2)^2+固有振動数!$P$6:$P$22^2))</f>
        <v>16.2220823367161</v>
      </c>
      <c r="C403" s="127" t="n">
        <f aca="false">-SUMPRODUCT(固有振動数!$Q$6:$Q$22*固有振動数!$P$6:$P$22/((1-($A403/固有振動数!$O$6:$O$22)^2)^2+固有振動数!$P$6:$P$22^2))</f>
        <v>-0.581530608004537</v>
      </c>
      <c r="D403" s="128" t="n">
        <f aca="false">SQRT(B403^2+C403^2)</f>
        <v>16.2325023698518</v>
      </c>
      <c r="E403" s="129" t="n">
        <f aca="false">20*LOG10(MAX(D403,0.000000000001)/$K$3)</f>
        <v>24.2077094989858</v>
      </c>
    </row>
    <row r="404" customFormat="false" ht="15" hidden="false" customHeight="false" outlineLevel="0" collapsed="false">
      <c r="A404" s="122" t="n">
        <f aca="false">A403+$F$3</f>
        <v>3980</v>
      </c>
      <c r="B404" s="123" t="n">
        <f aca="false">SUMPRODUCT(固有振動数!$Q$6:$Q$22*(1-($A404/固有振動数!$O$6:$O$22)^2)/((1-($A404/固有振動数!$O$6:$O$22)^2)^2+固有振動数!$P$6:$P$22^2))</f>
        <v>16.2710509839994</v>
      </c>
      <c r="C404" s="123" t="n">
        <f aca="false">-SUMPRODUCT(固有振動数!$Q$6:$Q$22*固有振動数!$P$6:$P$22/((1-($A404/固有振動数!$O$6:$O$22)^2)^2+固有振動数!$P$6:$P$22^2))</f>
        <v>-0.582557506020984</v>
      </c>
      <c r="D404" s="124" t="n">
        <f aca="false">SQRT(B404^2+C404^2)</f>
        <v>16.2814763879609</v>
      </c>
      <c r="E404" s="125" t="n">
        <f aca="false">20*LOG10(MAX(D404,0.000000000001)/$K$3)</f>
        <v>24.2338756745435</v>
      </c>
    </row>
    <row r="405" customFormat="false" ht="15" hidden="false" customHeight="false" outlineLevel="0" collapsed="false">
      <c r="A405" s="126" t="n">
        <f aca="false">A404+$F$3</f>
        <v>3990</v>
      </c>
      <c r="B405" s="127" t="n">
        <f aca="false">SUMPRODUCT(固有振動数!$Q$6:$Q$22*(1-($A405/固有振動数!$O$6:$O$22)^2)/((1-($A405/固有振動数!$O$6:$O$22)^2)^2+固有振動数!$P$6:$P$22^2))</f>
        <v>16.3198901000795</v>
      </c>
      <c r="C405" s="127" t="n">
        <f aca="false">-SUMPRODUCT(固有振動数!$Q$6:$Q$22*固有振動数!$P$6:$P$22/((1-($A405/固有振動数!$O$6:$O$22)^2)^2+固有振動数!$P$6:$P$22^2))</f>
        <v>-0.583668794012095</v>
      </c>
      <c r="D405" s="128" t="n">
        <f aca="false">SQRT(B405^2+C405^2)</f>
        <v>16.3303240059644</v>
      </c>
      <c r="E405" s="129" t="n">
        <f aca="false">20*LOG10(MAX(D405,0.000000000001)/$K$3)</f>
        <v>24.2598960310549</v>
      </c>
    </row>
    <row r="406" customFormat="false" ht="15" hidden="false" customHeight="false" outlineLevel="0" collapsed="false">
      <c r="A406" s="122" t="n">
        <f aca="false">A405+$F$3</f>
        <v>4000</v>
      </c>
      <c r="B406" s="123" t="n">
        <f aca="false">SUMPRODUCT(固有振動数!$Q$6:$Q$22*(1-($A406/固有振動数!$O$6:$O$22)^2)/((1-($A406/固有振動数!$O$6:$O$22)^2)^2+固有振動数!$P$6:$P$22^2))</f>
        <v>16.3686195229399</v>
      </c>
      <c r="C406" s="123" t="n">
        <f aca="false">-SUMPRODUCT(固有振動数!$Q$6:$Q$22*固有振動数!$P$6:$P$22/((1-($A406/固有振動数!$O$6:$O$22)^2)^2+固有振動数!$P$6:$P$22^2))</f>
        <v>-0.584863690842677</v>
      </c>
      <c r="D406" s="124" t="n">
        <f aca="false">SQRT(B406^2+C406^2)</f>
        <v>16.3790650106664</v>
      </c>
      <c r="E406" s="125" t="n">
        <f aca="false">20*LOG10(MAX(D406,0.000000000001)/$K$3)</f>
        <v>24.2857821337165</v>
      </c>
    </row>
    <row r="407" customFormat="false" ht="15" hidden="false" customHeight="false" outlineLevel="0" collapsed="false">
      <c r="A407" s="126" t="n">
        <f aca="false">A406+$F$3</f>
        <v>4010</v>
      </c>
      <c r="B407" s="127" t="n">
        <f aca="false">SUMPRODUCT(固有振動数!$Q$6:$Q$22*(1-($A407/固有振動数!$O$6:$O$22)^2)/((1-($A407/固有振動数!$O$6:$O$22)^2)^2+固有振動数!$P$6:$P$22^2))</f>
        <v>16.417258687115</v>
      </c>
      <c r="C407" s="127" t="n">
        <f aca="false">-SUMPRODUCT(固有振動数!$Q$6:$Q$22*固有振動数!$P$6:$P$22/((1-($A407/固有振動数!$O$6:$O$22)^2)^2+固有振動数!$P$6:$P$22^2))</f>
        <v>-0.586141556649566</v>
      </c>
      <c r="D407" s="128" t="n">
        <f aca="false">SQRT(B407^2+C407^2)</f>
        <v>16.4277187924582</v>
      </c>
      <c r="E407" s="129" t="n">
        <f aca="false">20*LOG10(MAX(D407,0.000000000001)/$K$3)</f>
        <v>24.311545200982</v>
      </c>
    </row>
    <row r="408" customFormat="false" ht="15" hidden="false" customHeight="false" outlineLevel="0" collapsed="false">
      <c r="A408" s="122" t="n">
        <f aca="false">A407+$F$3</f>
        <v>4020</v>
      </c>
      <c r="B408" s="123" t="n">
        <f aca="false">SUMPRODUCT(固有振動数!$Q$6:$Q$22*(1-($A408/固有振動数!$O$6:$O$22)^2)/((1-($A408/固有振動数!$O$6:$O$22)^2)^2+固有振動数!$P$6:$P$22^2))</f>
        <v>16.4658266598627</v>
      </c>
      <c r="C408" s="123" t="n">
        <f aca="false">-SUMPRODUCT(固有振動数!$Q$6:$Q$22*固有振動数!$P$6:$P$22/((1-($A408/固有振動数!$O$6:$O$22)^2)^2+固有振動数!$P$6:$P$22^2))</f>
        <v>-0.587501888226211</v>
      </c>
      <c r="D408" s="124" t="n">
        <f aca="false">SQRT(B408^2+C408^2)</f>
        <v>16.4763043811807</v>
      </c>
      <c r="E408" s="125" t="n">
        <f aca="false">20*LOG10(MAX(D408,0.000000000001)/$K$3)</f>
        <v>24.3371961292056</v>
      </c>
    </row>
    <row r="409" customFormat="false" ht="15" hidden="false" customHeight="false" outlineLevel="0" collapsed="false">
      <c r="A409" s="126" t="n">
        <f aca="false">A408+$F$3</f>
        <v>4030</v>
      </c>
      <c r="B409" s="127" t="n">
        <f aca="false">SUMPRODUCT(固有振動数!$Q$6:$Q$22*(1-($A409/固有振動数!$O$6:$O$22)^2)/((1-($A409/固有振動数!$O$6:$O$22)^2)^2+固有振動数!$P$6:$P$22^2))</f>
        <v>16.5143421757718</v>
      </c>
      <c r="C409" s="127" t="n">
        <f aca="false">-SUMPRODUCT(固有振動数!$Q$6:$Q$22*固有振動数!$P$6:$P$22/((1-($A409/固有振動数!$O$6:$O$22)^2)^2+固有振動数!$P$6:$P$22^2))</f>
        <v>-0.588944314971836</v>
      </c>
      <c r="D409" s="128" t="n">
        <f aca="false">SQRT(B409^2+C409^2)</f>
        <v>16.5248404804589</v>
      </c>
      <c r="E409" s="129" t="n">
        <f aca="false">20*LOG10(MAX(D409,0.000000000001)/$K$3)</f>
        <v>24.3627455159029</v>
      </c>
    </row>
    <row r="410" customFormat="false" ht="15" hidden="false" customHeight="false" outlineLevel="0" collapsed="false">
      <c r="A410" s="122" t="n">
        <f aca="false">A409+$F$3</f>
        <v>4040</v>
      </c>
      <c r="B410" s="123" t="n">
        <f aca="false">SUMPRODUCT(固有振動数!$Q$6:$Q$22*(1-($A410/固有振動数!$O$6:$O$22)^2)/((1-($A410/固有振動数!$O$6:$O$22)^2)^2+固有振動数!$P$6:$P$22^2))</f>
        <v>16.5628236699529</v>
      </c>
      <c r="C410" s="123" t="n">
        <f aca="false">-SUMPRODUCT(固有振動数!$Q$6:$Q$22*固有振動数!$P$6:$P$22/((1-($A410/固有振動数!$O$6:$O$22)^2)^2+固有振動数!$P$6:$P$22^2))</f>
        <v>-0.590468595372491</v>
      </c>
      <c r="D410" s="124" t="n">
        <f aca="false">SQRT(B410^2+C410^2)</f>
        <v>16.5733455006548</v>
      </c>
      <c r="E410" s="125" t="n">
        <f aca="false">20*LOG10(MAX(D410,0.000000000001)/$K$3)</f>
        <v>24.388203681747</v>
      </c>
    </row>
    <row r="411" customFormat="false" ht="15" hidden="false" customHeight="false" outlineLevel="0" collapsed="false">
      <c r="A411" s="126" t="n">
        <f aca="false">A410+$F$3</f>
        <v>4050</v>
      </c>
      <c r="B411" s="127" t="n">
        <f aca="false">SUMPRODUCT(固有振動数!$Q$6:$Q$22*(1-($A411/固有振動数!$O$6:$O$22)^2)/((1-($A411/固有振動数!$O$6:$O$22)^2)^2+固有振動数!$P$6:$P$22^2))</f>
        <v>16.6112893099504</v>
      </c>
      <c r="C411" s="127" t="n">
        <f aca="false">-SUMPRODUCT(固有振動数!$Q$6:$Q$22*固有振動数!$P$6:$P$22/((1-($A411/固有振動数!$O$6:$O$22)^2)^2+固有振動数!$P$6:$P$22^2))</f>
        <v>-0.592074613985272</v>
      </c>
      <c r="D411" s="128" t="n">
        <f aca="false">SQRT(B411^2+C411^2)</f>
        <v>16.6218375905734</v>
      </c>
      <c r="E411" s="129" t="n">
        <f aca="false">20*LOG10(MAX(D411,0.000000000001)/$K$3)</f>
        <v>24.4135806914056</v>
      </c>
    </row>
    <row r="412" customFormat="false" ht="15" hidden="false" customHeight="false" outlineLevel="0" collapsed="false">
      <c r="A412" s="122" t="n">
        <f aca="false">A411+$F$3</f>
        <v>4060</v>
      </c>
      <c r="B412" s="123" t="n">
        <f aca="false">SUMPRODUCT(固有振動数!$Q$6:$Q$22*(1-($A412/固有振動数!$O$6:$O$22)^2)/((1-($A412/固有振動数!$O$6:$O$22)^2)^2+固有振動数!$P$6:$P$22^2))</f>
        <v>16.6597570265039</v>
      </c>
      <c r="C412" s="123" t="n">
        <f aca="false">-SUMPRODUCT(固有振動数!$Q$6:$Q$22*固有振動数!$P$6:$P$22/((1-($A412/固有振動数!$O$6:$O$22)^2)^2+固有振動数!$P$6:$P$22^2))</f>
        <v>-0.593762378900629</v>
      </c>
      <c r="D412" s="124" t="n">
        <f aca="false">SQRT(B412^2+C412^2)</f>
        <v>16.6703346680486</v>
      </c>
      <c r="E412" s="125" t="n">
        <f aca="false">20*LOG10(MAX(D412,0.000000000001)/$K$3)</f>
        <v>24.4388863733181</v>
      </c>
    </row>
    <row r="413" customFormat="false" ht="15" hidden="false" customHeight="false" outlineLevel="0" collapsed="false">
      <c r="A413" s="126" t="n">
        <f aca="false">A412+$F$3</f>
        <v>4070</v>
      </c>
      <c r="B413" s="127" t="n">
        <f aca="false">SUMPRODUCT(固有振動数!$Q$6:$Q$22*(1-($A413/固有振動数!$O$6:$O$22)^2)/((1-($A413/固有振動数!$O$6:$O$22)^2)^2+固有振動数!$P$6:$P$22^2))</f>
        <v>16.7082445432809</v>
      </c>
      <c r="C413" s="127" t="n">
        <f aca="false">-SUMPRODUCT(固有振動数!$Q$6:$Q$22*固有振動数!$P$6:$P$22/((1-($A413/固有振動数!$O$6:$O$22)^2)^2+固有振動数!$P$6:$P$22^2))</f>
        <v>-0.595532019661034</v>
      </c>
      <c r="D413" s="128" t="n">
        <f aca="false">SQRT(B413^2+C413^2)</f>
        <v>16.7188544495285</v>
      </c>
      <c r="E413" s="129" t="n">
        <f aca="false">20*LOG10(MAX(D413,0.000000000001)/$K$3)</f>
        <v>24.4641303385046</v>
      </c>
    </row>
    <row r="414" customFormat="false" ht="15" hidden="false" customHeight="false" outlineLevel="0" collapsed="false">
      <c r="A414" s="122" t="n">
        <f aca="false">A413+$F$3</f>
        <v>4080</v>
      </c>
      <c r="B414" s="123" t="n">
        <f aca="false">SUMPRODUCT(固有振動数!$Q$6:$Q$22*(1-($A414/固有振動数!$O$6:$O$22)^2)/((1-($A414/固有振動数!$O$6:$O$22)^2)^2+固有振動数!$P$6:$P$22^2))</f>
        <v>16.7567694056958</v>
      </c>
      <c r="C414" s="123" t="n">
        <f aca="false">-SUMPRODUCT(固有振動数!$Q$6:$Q$22*固有振動数!$P$6:$P$22/((1-($A414/固有振動数!$O$6:$O$22)^2)^2+固有振動数!$P$6:$P$22^2))</f>
        <v>-0.59738378561742</v>
      </c>
      <c r="D414" s="124" t="n">
        <f aca="false">SQRT(B414^2+C414^2)</f>
        <v>16.7674144787734</v>
      </c>
      <c r="E414" s="125" t="n">
        <f aca="false">20*LOG10(MAX(D414,0.000000000001)/$K$3)</f>
        <v>24.4893219984896</v>
      </c>
    </row>
    <row r="415" customFormat="false" ht="15" hidden="false" customHeight="false" outlineLevel="0" collapsed="false">
      <c r="A415" s="126" t="n">
        <f aca="false">A414+$F$3</f>
        <v>4090</v>
      </c>
      <c r="B415" s="127" t="n">
        <f aca="false">SUMPRODUCT(固有振動数!$Q$6:$Q$22*(1-($A415/固有振動数!$O$6:$O$22)^2)/((1-($A415/固有振動数!$O$6:$O$22)^2)^2+固有振動数!$P$6:$P$22^2))</f>
        <v>16.8053490089207</v>
      </c>
      <c r="C415" s="127" t="n">
        <f aca="false">-SUMPRODUCT(固有振動数!$Q$6:$Q$22*固有振動数!$P$6:$P$22/((1-($A415/固有振動数!$O$6:$O$22)^2)^2+固有振動数!$P$6:$P$22^2))</f>
        <v>-0.599318044707678</v>
      </c>
      <c r="D415" s="128" t="n">
        <f aca="false">SQRT(B415^2+C415^2)</f>
        <v>16.8160321547726</v>
      </c>
      <c r="E415" s="129" t="n">
        <f aca="false">20*LOG10(MAX(D415,0.000000000001)/$K$3)</f>
        <v>24.5144705824214</v>
      </c>
    </row>
    <row r="416" customFormat="false" ht="15" hidden="false" customHeight="false" outlineLevel="0" collapsed="false">
      <c r="A416" s="122" t="n">
        <f aca="false">A415+$F$3</f>
        <v>4100</v>
      </c>
      <c r="B416" s="123" t="n">
        <f aca="false">SUMPRODUCT(固有振動数!$Q$6:$Q$22*(1-($A416/固有振動数!$O$6:$O$22)^2)/((1-($A416/固有振動数!$O$6:$O$22)^2)^2+固有振動数!$P$6:$P$22^2))</f>
        <v>16.8540006251946</v>
      </c>
      <c r="C416" s="123" t="n">
        <f aca="false">-SUMPRODUCT(固有振動数!$Q$6:$Q$22*固有振動数!$P$6:$P$22/((1-($A416/固有振動数!$O$6:$O$22)^2)^2+固有振動数!$P$6:$P$22^2))</f>
        <v>-0.601335282644254</v>
      </c>
      <c r="D416" s="124" t="n">
        <f aca="false">SQRT(B416^2+C416^2)</f>
        <v>16.8647247589818</v>
      </c>
      <c r="E416" s="125" t="n">
        <f aca="false">20*LOG10(MAX(D416,0.000000000001)/$K$3)</f>
        <v>24.5395851534563</v>
      </c>
    </row>
    <row r="417" customFormat="false" ht="15" hidden="false" customHeight="false" outlineLevel="0" collapsed="false">
      <c r="A417" s="126" t="n">
        <f aca="false">A416+$F$3</f>
        <v>4110</v>
      </c>
      <c r="B417" s="127" t="n">
        <f aca="false">SUMPRODUCT(固有振動数!$Q$6:$Q$22*(1-($A417/固有振動数!$O$6:$O$22)^2)/((1-($A417/固有振動数!$O$6:$O$22)^2)^2+固有振動数!$P$6:$P$22^2))</f>
        <v>16.9027414305252</v>
      </c>
      <c r="C417" s="127" t="n">
        <f aca="false">-SUMPRODUCT(固有振動数!$Q$6:$Q$22*固有振動数!$P$6:$P$22/((1-($A417/固有振動数!$O$6:$O$22)^2)^2+固有振動数!$P$6:$P$22^2))</f>
        <v>-0.603436102500447</v>
      </c>
      <c r="D417" s="128" t="n">
        <f aca="false">SQRT(B417^2+C417^2)</f>
        <v>16.913509481979</v>
      </c>
      <c r="E417" s="129" t="n">
        <f aca="false">20*LOG10(MAX(D417,0.000000000001)/$K$3)</f>
        <v>24.5646746244796</v>
      </c>
    </row>
    <row r="418" customFormat="false" ht="15" hidden="false" customHeight="false" outlineLevel="0" collapsed="false">
      <c r="A418" s="122" t="n">
        <f aca="false">A417+$F$3</f>
        <v>4120</v>
      </c>
      <c r="B418" s="123" t="n">
        <f aca="false">SUMPRODUCT(固有振動数!$Q$6:$Q$22*(1-($A418/固有振動数!$O$6:$O$22)^2)/((1-($A418/固有振動数!$O$6:$O$22)^2)^2+固有振動数!$P$6:$P$22^2))</f>
        <v>16.9515885308794</v>
      </c>
      <c r="C418" s="123" t="n">
        <f aca="false">-SUMPRODUCT(固有振動数!$Q$6:$Q$22*固有振動数!$P$6:$P$22/((1-($A418/固有振動数!$O$6:$O$22)^2)^2+固有振動数!$P$6:$P$22^2))</f>
        <v>-0.605621224687462</v>
      </c>
      <c r="D418" s="124" t="n">
        <f aca="false">SQRT(B418^2+C418^2)</f>
        <v>16.9624034496305</v>
      </c>
      <c r="E418" s="125" t="n">
        <f aca="false">20*LOG10(MAX(D418,0.000000000001)/$K$3)</f>
        <v>24.5897477732237</v>
      </c>
    </row>
    <row r="419" customFormat="false" ht="15" hidden="false" customHeight="false" outlineLevel="0" collapsed="false">
      <c r="A419" s="126" t="n">
        <f aca="false">A418+$F$3</f>
        <v>4130</v>
      </c>
      <c r="B419" s="127" t="n">
        <f aca="false">SUMPRODUCT(固有振動数!$Q$6:$Q$22*(1-($A419/固有振動数!$O$6:$O$22)^2)/((1-($A419/固有振動数!$O$6:$O$22)^2)^2+固有振動数!$P$6:$P$22^2))</f>
        <v>17.0005589879529</v>
      </c>
      <c r="C419" s="127" t="n">
        <f aca="false">-SUMPRODUCT(固有振動数!$Q$6:$Q$22*固有振動数!$P$6:$P$22/((1-($A419/固有振動数!$O$6:$O$22)^2)^2+固有振動数!$P$6:$P$22^2))</f>
        <v>-0.607891487316628</v>
      </c>
      <c r="D419" s="128" t="n">
        <f aca="false">SQRT(B419^2+C419^2)</f>
        <v>17.0114237488583</v>
      </c>
      <c r="E419" s="129" t="n">
        <f aca="false">20*LOG10(MAX(D419,0.000000000001)/$K$3)</f>
        <v>24.6148132568452</v>
      </c>
    </row>
    <row r="420" customFormat="false" ht="15" hidden="false" customHeight="false" outlineLevel="0" collapsed="false">
      <c r="A420" s="122" t="n">
        <f aca="false">A419+$F$3</f>
        <v>4140</v>
      </c>
      <c r="B420" s="123" t="n">
        <f aca="false">SUMPRODUCT(固有振動数!$Q$6:$Q$22*(1-($A420/固有振動数!$O$6:$O$22)^2)/((1-($A420/固有振動数!$O$6:$O$22)^2)^2+固有振動数!$P$6:$P$22^2))</f>
        <v>17.0496698446043</v>
      </c>
      <c r="C420" s="123" t="n">
        <f aca="false">-SUMPRODUCT(固有振動数!$Q$6:$Q$22*固有振動数!$P$6:$P$22/((1-($A420/固有振動数!$O$6:$O$22)^2)^2+固有振動数!$P$6:$P$22^2))</f>
        <v>-0.610247846943455</v>
      </c>
      <c r="D420" s="124" t="n">
        <f aca="false">SQRT(B420^2+C420^2)</f>
        <v>17.0605874530952</v>
      </c>
      <c r="E420" s="125" t="n">
        <f aca="false">20*LOG10(MAX(D420,0.000000000001)/$K$3)</f>
        <v>24.6398796260148</v>
      </c>
    </row>
    <row r="421" customFormat="false" ht="15" hidden="false" customHeight="false" outlineLevel="0" collapsed="false">
      <c r="A421" s="126" t="n">
        <f aca="false">A420+$F$3</f>
        <v>4150</v>
      </c>
      <c r="B421" s="127" t="n">
        <f aca="false">SUMPRODUCT(固有振動数!$Q$6:$Q$22*(1-($A421/固有振動数!$O$6:$O$22)^2)/((1-($A421/固有振動数!$O$6:$O$22)^2)^2+固有振動数!$P$6:$P$22^2))</f>
        <v>17.0989381500409</v>
      </c>
      <c r="C421" s="127" t="n">
        <f aca="false">-SUMPRODUCT(固有振動数!$Q$6:$Q$22*固有振動数!$P$6:$P$22/((1-($A421/固有振動数!$O$6:$O$22)^2)^2+固有振動数!$P$6:$P$22^2))</f>
        <v>-0.612691379692417</v>
      </c>
      <c r="D421" s="128" t="n">
        <f aca="false">SQRT(B421^2+C421^2)</f>
        <v>17.1099116475121</v>
      </c>
      <c r="E421" s="129" t="n">
        <f aca="false">20*LOG10(MAX(D421,0.000000000001)/$K$3)</f>
        <v>24.6649553385754</v>
      </c>
    </row>
    <row r="422" customFormat="false" ht="15" hidden="false" customHeight="false" outlineLevel="0" collapsed="false">
      <c r="A422" s="122" t="n">
        <f aca="false">A421+$F$3</f>
        <v>4160</v>
      </c>
      <c r="B422" s="123" t="n">
        <f aca="false">SUMPRODUCT(固有振動数!$Q$6:$Q$22*(1-($A422/固有振動数!$O$6:$O$22)^2)/((1-($A422/固有振動数!$O$6:$O$22)^2)^2+固有振動数!$P$6:$P$22^2))</f>
        <v>17.1483809848373</v>
      </c>
      <c r="C422" s="123" t="n">
        <f aca="false">-SUMPRODUCT(固有振動数!$Q$6:$Q$22*固有振動数!$P$6:$P$22/((1-($A422/固有振動数!$O$6:$O$22)^2)^2+固有振動数!$P$6:$P$22^2))</f>
        <v>-0.615223282763529</v>
      </c>
      <c r="D422" s="124" t="n">
        <f aca="false">SQRT(B422^2+C422^2)</f>
        <v>17.1594134541011</v>
      </c>
      <c r="E422" s="125" t="n">
        <f aca="false">20*LOG10(MAX(D422,0.000000000001)/$K$3)</f>
        <v>24.6900487728168</v>
      </c>
    </row>
    <row r="423" customFormat="false" ht="15" hidden="false" customHeight="false" outlineLevel="0" collapsed="false">
      <c r="A423" s="126" t="n">
        <f aca="false">A422+$F$3</f>
        <v>4170</v>
      </c>
      <c r="B423" s="127" t="n">
        <f aca="false">SUMPRODUCT(固有振動数!$Q$6:$Q$22*(1-($A423/固有振動数!$O$6:$O$22)^2)/((1-($A423/固有振動数!$O$6:$O$22)^2)^2+固有振動数!$P$6:$P$22^2))</f>
        <v>17.1980154858702</v>
      </c>
      <c r="C423" s="127" t="n">
        <f aca="false">-SUMPRODUCT(固有振動数!$Q$6:$Q$22*固有振動数!$P$6:$P$22/((1-($A423/固有振動数!$O$6:$O$22)^2)^2+固有振動数!$P$6:$P$22^2))</f>
        <v>-0.617844876323924</v>
      </c>
      <c r="D423" s="128" t="n">
        <f aca="false">SQRT(B423^2+C423^2)</f>
        <v>17.2091100566947</v>
      </c>
      <c r="E423" s="129" t="n">
        <f aca="false">20*LOG10(MAX(D423,0.000000000001)/$K$3)</f>
        <v>24.7151682404151</v>
      </c>
    </row>
    <row r="424" customFormat="false" ht="15" hidden="false" customHeight="false" outlineLevel="0" collapsed="false">
      <c r="A424" s="122" t="n">
        <f aca="false">A423+$F$3</f>
        <v>4180</v>
      </c>
      <c r="B424" s="123" t="n">
        <f aca="false">SUMPRODUCT(固有振動数!$Q$6:$Q$22*(1-($A424/固有振動数!$O$6:$O$22)^2)/((1-($A424/固有振動数!$O$6:$O$22)^2)^2+固有振動数!$P$6:$P$22^2))</f>
        <v>17.2478588712473</v>
      </c>
      <c r="C424" s="123" t="n">
        <f aca="false">-SUMPRODUCT(固有振動数!$Q$6:$Q$22*固有振動数!$P$6:$P$22/((1-($A424/固有振動数!$O$6:$O$22)^2)^2+固有振動数!$P$6:$P$22^2))</f>
        <v>-0.620557605789823</v>
      </c>
      <c r="D424" s="124" t="n">
        <f aca="false">SQRT(B424^2+C424^2)</f>
        <v>17.2590187260043</v>
      </c>
      <c r="E424" s="125" t="n">
        <f aca="false">20*LOG10(MAX(D424,0.000000000001)/$K$3)</f>
        <v>24.740321999083</v>
      </c>
    </row>
    <row r="425" customFormat="false" ht="15" hidden="false" customHeight="false" outlineLevel="0" collapsed="false">
      <c r="A425" s="126" t="n">
        <f aca="false">A424+$F$3</f>
        <v>4190</v>
      </c>
      <c r="B425" s="127" t="n">
        <f aca="false">SUMPRODUCT(固有振動数!$Q$6:$Q$22*(1-($A425/固有振動数!$O$6:$O$22)^2)/((1-($A425/固有振動数!$O$6:$O$22)^2)^2+固有振動数!$P$6:$P$22^2))</f>
        <v>17.2979284653127</v>
      </c>
      <c r="C425" s="127" t="n">
        <f aca="false">-SUMPRODUCT(固有振動数!$Q$6:$Q$22*固有振動数!$P$6:$P$22/((1-($A425/固有振動数!$O$6:$O$22)^2)^2+固有振動数!$P$6:$P$22^2))</f>
        <v>-0.623363044506432</v>
      </c>
      <c r="D425" s="128" t="n">
        <f aca="false">SQRT(B425^2+C425^2)</f>
        <v>17.3091568447551</v>
      </c>
      <c r="E425" s="129" t="n">
        <f aca="false">20*LOG10(MAX(D425,0.000000000001)/$K$3)</f>
        <v>24.7655182649733</v>
      </c>
    </row>
    <row r="426" customFormat="false" ht="15" hidden="false" customHeight="false" outlineLevel="0" collapsed="false">
      <c r="A426" s="122" t="n">
        <f aca="false">A425+$F$3</f>
        <v>4200</v>
      </c>
      <c r="B426" s="123" t="n">
        <f aca="false">SUMPRODUCT(固有振動数!$Q$6:$Q$22*(1-($A426/固有振動数!$O$6:$O$22)^2)/((1-($A426/固有振動数!$O$6:$O$22)^2)^2+固有振動数!$P$6:$P$22^2))</f>
        <v>17.3482417238073</v>
      </c>
      <c r="C426" s="123" t="n">
        <f aca="false">-SUMPRODUCT(固有振動数!$Q$6:$Q$22*固有振動数!$P$6:$P$22/((1-($A426/固有振動数!$O$6:$O$22)^2)^2+固有振動数!$P$6:$P$22^2))</f>
        <v>-0.626262896835543</v>
      </c>
      <c r="D426" s="124" t="n">
        <f aca="false">SQRT(B426^2+C426^2)</f>
        <v>17.3595419330004</v>
      </c>
      <c r="E426" s="125" t="n">
        <f aca="false">20*LOG10(MAX(D426,0.000000000001)/$K$3)</f>
        <v>24.7907652248799</v>
      </c>
    </row>
    <row r="427" customFormat="false" ht="15" hidden="false" customHeight="false" outlineLevel="0" collapsed="false">
      <c r="A427" s="126" t="n">
        <f aca="false">A426+$F$3</f>
        <v>4210</v>
      </c>
      <c r="B427" s="127" t="n">
        <f aca="false">SUMPRODUCT(固有振動数!$Q$6:$Q$22*(1-($A427/固有振動数!$O$6:$O$22)^2)/((1-($A427/固有振動数!$O$6:$O$22)^2)^2+固有振動数!$P$6:$P$22^2))</f>
        <v>17.398816259264</v>
      </c>
      <c r="C427" s="127" t="n">
        <f aca="false">-SUMPRODUCT(固有振動数!$Q$6:$Q$22*固有振動数!$P$6:$P$22/((1-($A427/固有振動数!$O$6:$O$22)^2)^2+固有振動数!$P$6:$P$22^2))</f>
        <v>-0.62925900166287</v>
      </c>
      <c r="D427" s="128" t="n">
        <f aca="false">SQRT(B427^2+C427^2)</f>
        <v>17.4101916736951</v>
      </c>
      <c r="E427" s="129" t="n">
        <f aca="false">20*LOG10(MAX(D427,0.000000000001)/$K$3)</f>
        <v>24.8160710482741</v>
      </c>
    </row>
    <row r="428" customFormat="false" ht="15" hidden="false" customHeight="false" outlineLevel="0" collapsed="false">
      <c r="A428" s="122" t="n">
        <f aca="false">A427+$F$3</f>
        <v>4220</v>
      </c>
      <c r="B428" s="123" t="n">
        <f aca="false">SUMPRODUCT(固有振動数!$Q$6:$Q$22*(1-($A428/固有振動数!$O$6:$O$22)^2)/((1-($A428/固有振動数!$O$6:$O$22)^2)^2+固有振動数!$P$6:$P$22^2))</f>
        <v>17.4496698667199</v>
      </c>
      <c r="C428" s="123" t="n">
        <f aca="false">-SUMPRODUCT(固有振動数!$Q$6:$Q$22*固有振動数!$P$6:$P$22/((1-($A428/固有振動数!$O$6:$O$22)^2)^2+固有振動数!$P$6:$P$22^2))</f>
        <v>-0.6323533363395</v>
      </c>
      <c r="D428" s="124" t="n">
        <f aca="false">SQRT(B428^2+C428^2)</f>
        <v>17.4611239386098</v>
      </c>
      <c r="E428" s="125" t="n">
        <f aca="false">20*LOG10(MAX(D428,0.000000000001)/$K$3)</f>
        <v>24.8414438992194</v>
      </c>
    </row>
    <row r="429" customFormat="false" ht="15" hidden="false" customHeight="false" outlineLevel="0" collapsed="false">
      <c r="A429" s="126" t="n">
        <f aca="false">A428+$F$3</f>
        <v>4230</v>
      </c>
      <c r="B429" s="127" t="n">
        <f aca="false">SUMPRODUCT(固有振動数!$Q$6:$Q$22*(1-($A429/固有振動数!$O$6:$O$22)^2)/((1-($A429/固有振動数!$O$6:$O$22)^2)^2+固有振動数!$P$6:$P$22^2))</f>
        <v>17.5008205498264</v>
      </c>
      <c r="C429" s="127" t="n">
        <f aca="false">-SUMPRODUCT(固有振動数!$Q$6:$Q$22*固有振動数!$P$6:$P$22/((1-($A429/固有振動数!$O$6:$O$22)^2)^2+固有振動数!$P$6:$P$22^2))</f>
        <v>-0.635548021074295</v>
      </c>
      <c r="D429" s="128" t="n">
        <f aca="false">SQRT(B429^2+C429^2)</f>
        <v>17.5123568146699</v>
      </c>
      <c r="E429" s="129" t="n">
        <f aca="false">20*LOG10(MAX(D429,0.000000000001)/$K$3)</f>
        <v>24.8668919482001</v>
      </c>
    </row>
    <row r="430" customFormat="false" ht="15" hidden="false" customHeight="false" outlineLevel="0" collapsed="false">
      <c r="A430" s="122" t="n">
        <f aca="false">A429+$F$3</f>
        <v>4240</v>
      </c>
      <c r="B430" s="123" t="n">
        <f aca="false">SUMPRODUCT(固有振動数!$Q$6:$Q$22*(1-($A430/固有振動数!$O$6:$O$22)^2)/((1-($A430/固有振動数!$O$6:$O$22)^2)^2+固有振動数!$P$6:$P$22^2))</f>
        <v>17.5522865474415</v>
      </c>
      <c r="C430" s="123" t="n">
        <f aca="false">-SUMPRODUCT(固有振動数!$Q$6:$Q$22*固有振動数!$P$6:$P$22/((1-($A430/固有振動数!$O$6:$O$22)^2)^2+固有振動数!$P$6:$P$22^2))</f>
        <v>-0.638845323796622</v>
      </c>
      <c r="D430" s="124" t="n">
        <f aca="false">SQRT(B430^2+C430^2)</f>
        <v>17.563908630804</v>
      </c>
      <c r="E430" s="125" t="n">
        <f aca="false">20*LOG10(MAX(D430,0.000000000001)/$K$3)</f>
        <v>24.8924233839045</v>
      </c>
    </row>
    <row r="431" customFormat="false" ht="15" hidden="false" customHeight="false" outlineLevel="0" collapsed="false">
      <c r="A431" s="126" t="n">
        <f aca="false">A430+$F$3</f>
        <v>4250</v>
      </c>
      <c r="B431" s="127" t="n">
        <f aca="false">SUMPRODUCT(固有振動数!$Q$6:$Q$22*(1-($A431/固有振動数!$O$6:$O$22)^2)/((1-($A431/固有振動数!$O$6:$O$22)^2)^2+固有振動数!$P$6:$P$22^2))</f>
        <v>17.6040863607902</v>
      </c>
      <c r="C431" s="127" t="n">
        <f aca="false">-SUMPRODUCT(固有振動数!$Q$6:$Q$22*固有振動数!$P$6:$P$22/((1-($A431/固有振動数!$O$6:$O$22)^2)^2+固有振動数!$P$6:$P$22^2))</f>
        <v>-0.642247665511508</v>
      </c>
      <c r="D431" s="128" t="n">
        <f aca="false">SQRT(B431^2+C431^2)</f>
        <v>17.6157979853884</v>
      </c>
      <c r="E431" s="129" t="n">
        <f aca="false">20*LOG10(MAX(D431,0.000000000001)/$K$3)</f>
        <v>24.9180464249989</v>
      </c>
    </row>
    <row r="432" customFormat="false" ht="15" hidden="false" customHeight="false" outlineLevel="0" collapsed="false">
      <c r="A432" s="122" t="n">
        <f aca="false">A431+$F$3</f>
        <v>4260</v>
      </c>
      <c r="B432" s="123" t="n">
        <f aca="false">SUMPRODUCT(固有振動数!$Q$6:$Q$22*(1-($A432/固有振動数!$O$6:$O$22)^2)/((1-($A432/固有振動数!$O$6:$O$22)^2)^2+固有振動数!$P$6:$P$22^2))</f>
        <v>17.6562387812814</v>
      </c>
      <c r="C432" s="123" t="n">
        <f aca="false">-SUMPRODUCT(固有振動数!$Q$6:$Q$22*固有振動数!$P$6:$P$22/((1-($A432/固有振動数!$O$6:$O$22)^2)^2+固有振動数!$P$6:$P$22^2))</f>
        <v>-0.645757626172175</v>
      </c>
      <c r="D432" s="124" t="n">
        <f aca="false">SQRT(B432^2+C432^2)</f>
        <v>17.6680437743793</v>
      </c>
      <c r="E432" s="125" t="n">
        <f aca="false">20*LOG10(MAX(D432,0.000000000001)/$K$3)</f>
        <v>24.9437693319307</v>
      </c>
    </row>
    <row r="433" customFormat="false" ht="15" hidden="false" customHeight="false" outlineLevel="0" collapsed="false">
      <c r="A433" s="126" t="n">
        <f aca="false">A432+$F$3</f>
        <v>4270</v>
      </c>
      <c r="B433" s="127" t="n">
        <f aca="false">SUMPRODUCT(固有振動数!$Q$6:$Q$22*(1-($A433/固有振動数!$O$6:$O$22)^2)/((1-($A433/固有振動数!$O$6:$O$22)^2)^2+固有振動数!$P$6:$P$22^2))</f>
        <v>17.708762919073</v>
      </c>
      <c r="C433" s="127" t="n">
        <f aca="false">-SUMPRODUCT(固有振動数!$Q$6:$Q$22*固有振動数!$P$6:$P$22/((1-($A433/固有振動数!$O$6:$O$22)^2)^2+固有振動数!$P$6:$P$22^2))</f>
        <v>-0.649377951097958</v>
      </c>
      <c r="D433" s="128" t="n">
        <f aca="false">SQRT(B433^2+C433^2)</f>
        <v>17.7206652202254</v>
      </c>
      <c r="E433" s="129" t="n">
        <f aca="false">20*LOG10(MAX(D433,0.000000000001)/$K$3)</f>
        <v>24.9696004187977</v>
      </c>
    </row>
    <row r="434" customFormat="false" ht="15" hidden="false" customHeight="false" outlineLevel="0" collapsed="false">
      <c r="A434" s="122" t="n">
        <f aca="false">A433+$F$3</f>
        <v>4280</v>
      </c>
      <c r="B434" s="123" t="n">
        <f aca="false">SUMPRODUCT(固有振動数!$Q$6:$Q$22*(1-($A434/固有振動数!$O$6:$O$22)^2)/((1-($A434/固有振動数!$O$6:$O$22)^2)^2+固有振動数!$P$6:$P$22^2))</f>
        <v>17.7616782324803</v>
      </c>
      <c r="C434" s="123" t="n">
        <f aca="false">-SUMPRODUCT(固有振動数!$Q$6:$Q$22*固有振動数!$P$6:$P$22/((1-($A434/固有振動数!$O$6:$O$22)^2)^2+固有振動数!$P$6:$P$22^2))</f>
        <v>-0.653111557968895</v>
      </c>
      <c r="D434" s="124" t="n">
        <f aca="false">SQRT(B434^2+C434^2)</f>
        <v>17.7736819016578</v>
      </c>
      <c r="E434" s="125" t="n">
        <f aca="false">20*LOG10(MAX(D434,0.000000000001)/$K$3)</f>
        <v>24.9955480653218</v>
      </c>
    </row>
    <row r="435" customFormat="false" ht="15" hidden="false" customHeight="false" outlineLevel="0" collapsed="false">
      <c r="A435" s="126" t="n">
        <f aca="false">A434+$F$3</f>
        <v>4290</v>
      </c>
      <c r="B435" s="127" t="n">
        <f aca="false">SUMPRODUCT(固有振動数!$Q$6:$Q$22*(1-($A435/固有振動数!$O$6:$O$22)^2)/((1-($A435/固有振動数!$O$6:$O$22)^2)^2+固有振動数!$P$6:$P$22^2))</f>
        <v>17.8150045583277</v>
      </c>
      <c r="C435" s="127" t="n">
        <f aca="false">-SUMPRODUCT(固有振動数!$Q$6:$Q$22*固有振動数!$P$6:$P$22/((1-($A435/固有振動数!$O$6:$O$22)^2)^2+固有振動数!$P$6:$P$22^2))</f>
        <v>-0.656961544431778</v>
      </c>
      <c r="D435" s="128" t="n">
        <f aca="false">SQRT(B435^2+C435^2)</f>
        <v>17.8271137844604</v>
      </c>
      <c r="E435" s="129" t="n">
        <f aca="false">20*LOG10(MAX(D435,0.000000000001)/$K$3)</f>
        <v>25.0216207289638</v>
      </c>
    </row>
    <row r="436" customFormat="false" ht="15" hidden="false" customHeight="false" outlineLevel="0" collapsed="false">
      <c r="A436" s="122" t="n">
        <f aca="false">A435+$F$3</f>
        <v>4300</v>
      </c>
      <c r="B436" s="123" t="n">
        <f aca="false">SUMPRODUCT(固有振動数!$Q$6:$Q$22*(1-($A436/固有振動数!$O$6:$O$22)^2)/((1-($A436/固有振動数!$O$6:$O$22)^2)^2+固有振動数!$P$6:$P$22^2))</f>
        <v>17.8687621433466</v>
      </c>
      <c r="C436" s="123" t="n">
        <f aca="false">-SUMPRODUCT(固有振動数!$Q$6:$Q$22*固有振動数!$P$6:$P$22/((1-($A436/固有振動数!$O$6:$O$22)^2)^2+固有振動数!$P$6:$P$22^2))</f>
        <v>-0.660931196356281</v>
      </c>
      <c r="D436" s="124" t="n">
        <f aca="false">SQRT(B436^2+C436^2)</f>
        <v>17.8809812533265</v>
      </c>
      <c r="E436" s="125" t="n">
        <f aca="false">20*LOG10(MAX(D436,0.000000000001)/$K$3)</f>
        <v>25.0478269572202</v>
      </c>
    </row>
    <row r="437" customFormat="false" ht="15" hidden="false" customHeight="false" outlineLevel="0" collapsed="false">
      <c r="A437" s="126" t="n">
        <f aca="false">A436+$F$3</f>
        <v>4310</v>
      </c>
      <c r="B437" s="127" t="n">
        <f aca="false">SUMPRODUCT(固有振動数!$Q$6:$Q$22*(1-($A437/固有振動数!$O$6:$O$22)^2)/((1-($A437/固有振動数!$O$6:$O$22)^2)^2+固有振動数!$P$6:$P$22^2))</f>
        <v>17.9229716767308</v>
      </c>
      <c r="C437" s="127" t="n">
        <f aca="false">-SUMPRODUCT(固有振動数!$Q$6:$Q$22*固有振動数!$P$6:$P$22/((1-($A437/固有振動数!$O$6:$O$22)^2)^2+固有振動数!$P$6:$P$22^2))</f>
        <v>-0.665023996783859</v>
      </c>
      <c r="D437" s="128" t="n">
        <f aca="false">SQRT(B437^2+C437^2)</f>
        <v>17.9353051449144</v>
      </c>
      <c r="E437" s="129" t="n">
        <f aca="false">20*LOG10(MAX(D437,0.000000000001)/$K$3)</f>
        <v>25.0741754001395</v>
      </c>
    </row>
    <row r="438" customFormat="false" ht="15" hidden="false" customHeight="false" outlineLevel="0" collapsed="false">
      <c r="A438" s="122" t="n">
        <f aca="false">A437+$F$3</f>
        <v>4320</v>
      </c>
      <c r="B438" s="123" t="n">
        <f aca="false">SUMPRODUCT(固有振動数!$Q$6:$Q$22*(1-($A438/固有振動数!$O$6:$O$22)^2)/((1-($A438/固有振動数!$O$6:$O$22)^2)^2+固有振動数!$P$6:$P$22^2))</f>
        <v>17.9776543239635</v>
      </c>
      <c r="C438" s="123" t="n">
        <f aca="false">-SUMPRODUCT(固有振動数!$Q$6:$Q$22*固有振動数!$P$6:$P$22/((1-($A438/固有振動数!$O$6:$O$22)^2)^2+固有振動数!$P$6:$P$22^2))</f>
        <v>-0.669243635616618</v>
      </c>
      <c r="D438" s="124" t="n">
        <f aca="false">SQRT(B438^2+C438^2)</f>
        <v>17.9901067822216</v>
      </c>
      <c r="E438" s="125" t="n">
        <f aca="false">20*LOG10(MAX(D438,0.000000000001)/$K$3)</f>
        <v>25.1006748231</v>
      </c>
    </row>
    <row r="439" customFormat="false" ht="15" hidden="false" customHeight="false" outlineLevel="0" collapsed="false">
      <c r="A439" s="126" t="n">
        <f aca="false">A438+$F$3</f>
        <v>4330</v>
      </c>
      <c r="B439" s="127" t="n">
        <f aca="false">SUMPRODUCT(固有振動数!$Q$6:$Q$22*(1-($A439/固有振動数!$O$6:$O$22)^2)/((1-($A439/固有振動数!$O$6:$O$22)^2)^2+固有振動数!$P$6:$P$22^2))</f>
        <v>18.0328317620389</v>
      </c>
      <c r="C439" s="127" t="n">
        <f aca="false">-SUMPRODUCT(固有振動数!$Q$6:$Q$22*固有振動数!$P$6:$P$22/((1-($A439/固有振動数!$O$6:$O$22)^2)^2+固有振動数!$P$6:$P$22^2))</f>
        <v>-0.673594020098212</v>
      </c>
      <c r="D439" s="128" t="n">
        <f aca="false">SQRT(B439^2+C439^2)</f>
        <v>18.0454080104029</v>
      </c>
      <c r="E439" s="129" t="n">
        <f aca="false">20*LOG10(MAX(D439,0.000000000001)/$K$3)</f>
        <v>25.1273341198898</v>
      </c>
    </row>
    <row r="440" customFormat="false" ht="15" hidden="false" customHeight="false" outlineLevel="0" collapsed="false">
      <c r="A440" s="122" t="n">
        <f aca="false">A439+$F$3</f>
        <v>4340</v>
      </c>
      <c r="B440" s="123" t="n">
        <f aca="false">SUMPRODUCT(固有振動数!$Q$6:$Q$22*(1-($A440/固有振動数!$O$6:$O$22)^2)/((1-($A440/固有振動数!$O$6:$O$22)^2)^2+固有振動数!$P$6:$P$22^2))</f>
        <v>18.0885262162084</v>
      </c>
      <c r="C440" s="123" t="n">
        <f aca="false">-SUMPRODUCT(固有振動数!$Q$6:$Q$22*固有振動数!$P$6:$P$22/((1-($A440/固有振動数!$O$6:$O$22)^2)^2+固有振動数!$P$6:$P$22^2))</f>
        <v>-0.678079286144152</v>
      </c>
      <c r="D440" s="124" t="n">
        <f aca="false">SQRT(B440^2+C440^2)</f>
        <v>18.1012312341663</v>
      </c>
      <c r="E440" s="125" t="n">
        <f aca="false">20*LOG10(MAX(D440,0.000000000001)/$K$3)</f>
        <v>25.1541623261332</v>
      </c>
    </row>
    <row r="441" customFormat="false" ht="15" hidden="false" customHeight="false" outlineLevel="0" collapsed="false">
      <c r="A441" s="126" t="n">
        <f aca="false">A440+$F$3</f>
        <v>4350</v>
      </c>
      <c r="B441" s="127" t="n">
        <f aca="false">SUMPRODUCT(固有振動数!$Q$6:$Q$22*(1-($A441/固有振動数!$O$6:$O$22)^2)/((1-($A441/固有振動数!$O$6:$O$22)^2)^2+固有振動数!$P$6:$P$22^2))</f>
        <v>18.1447604983889</v>
      </c>
      <c r="C441" s="127" t="n">
        <f aca="false">-SUMPRODUCT(固有振動数!$Q$6:$Q$22*固有振動数!$P$6:$P$22/((1-($A441/固有振動数!$O$6:$O$22)^2)^2+固有振動数!$P$6:$P$22^2))</f>
        <v>-0.682703810584739</v>
      </c>
      <c r="D441" s="128" t="n">
        <f aca="false">SQRT(B441^2+C441^2)</f>
        <v>18.1575994568908</v>
      </c>
      <c r="E441" s="129" t="n">
        <f aca="false">20*LOG10(MAX(D441,0.000000000001)/$K$3)</f>
        <v>25.1811686331088</v>
      </c>
    </row>
    <row r="442" customFormat="false" ht="15" hidden="false" customHeight="false" outlineLevel="0" collapsed="false">
      <c r="A442" s="122" t="n">
        <f aca="false">A441+$F$3</f>
        <v>4360</v>
      </c>
      <c r="B442" s="123" t="n">
        <f aca="false">SUMPRODUCT(固有振動数!$Q$6:$Q$22*(1-($A442/固有振動数!$O$6:$O$22)^2)/((1-($A442/固有振動数!$O$6:$O$22)^2)^2+固有振動数!$P$6:$P$22^2))</f>
        <v>18.2015580473814</v>
      </c>
      <c r="C442" s="123" t="n">
        <f aca="false">-SUMPRODUCT(固有振動数!$Q$6:$Q$22*固有振動数!$P$6:$P$22/((1-($A442/固有振動数!$O$6:$O$22)^2)^2+固有振動数!$P$6:$P$22^2))</f>
        <v>-0.687472224390236</v>
      </c>
      <c r="D442" s="124" t="n">
        <f aca="false">SQRT(B442^2+C442^2)</f>
        <v>18.214536321617</v>
      </c>
      <c r="E442" s="125" t="n">
        <f aca="false">20*LOG10(MAX(D442,0.000000000001)/$K$3)</f>
        <v>25.2083624020048</v>
      </c>
    </row>
    <row r="443" customFormat="false" ht="15" hidden="false" customHeight="false" outlineLevel="0" collapsed="false">
      <c r="A443" s="126" t="n">
        <f aca="false">A442+$F$3</f>
        <v>4370</v>
      </c>
      <c r="B443" s="127" t="n">
        <f aca="false">SUMPRODUCT(固有振動数!$Q$6:$Q$22*(1-($A443/固有振動数!$O$6:$O$22)^2)/((1-($A443/固有振動数!$O$6:$O$22)^2)^2+固有振動数!$P$6:$P$22^2))</f>
        <v>18.2589429710573</v>
      </c>
      <c r="C443" s="127" t="n">
        <f aca="false">-SUMPRODUCT(固有振動数!$Q$6:$Q$22*固有振動数!$P$6:$P$22/((1-($A443/固有振動数!$O$6:$O$22)^2)^2+固有振動数!$P$6:$P$22^2))</f>
        <v>-0.692389426954919</v>
      </c>
      <c r="D443" s="128" t="n">
        <f aca="false">SQRT(B443^2+C443^2)</f>
        <v>18.2720661540746</v>
      </c>
      <c r="E443" s="129" t="n">
        <f aca="false">20*LOG10(MAX(D443,0.000000000001)/$K$3)</f>
        <v>25.2357531786636</v>
      </c>
    </row>
    <row r="444" customFormat="false" ht="15" hidden="false" customHeight="false" outlineLevel="0" collapsed="false">
      <c r="A444" s="122" t="n">
        <f aca="false">A443+$F$3</f>
        <v>4380</v>
      </c>
      <c r="B444" s="123" t="n">
        <f aca="false">SUMPRODUCT(固有振動数!$Q$6:$Q$22*(1-($A444/固有振動数!$O$6:$O$22)^2)/((1-($A444/固有振動数!$O$6:$O$22)^2)^2+固有振動数!$P$6:$P$22^2))</f>
        <v>18.3169400906807</v>
      </c>
      <c r="C444" s="123" t="n">
        <f aca="false">-SUMPRODUCT(固有振動数!$Q$6:$Q$22*固有振動数!$P$6:$P$22/((1-($A444/固有振動数!$O$6:$O$22)^2)^2+固有振動数!$P$6:$P$22^2))</f>
        <v>-0.697460601524402</v>
      </c>
      <c r="D444" s="124" t="n">
        <f aca="false">SQRT(B444^2+C444^2)</f>
        <v>18.3302140079232</v>
      </c>
      <c r="E444" s="125" t="n">
        <f aca="false">20*LOG10(MAX(D444,0.000000000001)/$K$3)</f>
        <v>25.2633507088652</v>
      </c>
    </row>
    <row r="445" customFormat="false" ht="15" hidden="false" customHeight="false" outlineLevel="0" collapsed="false">
      <c r="A445" s="126" t="n">
        <f aca="false">A444+$F$3</f>
        <v>4390</v>
      </c>
      <c r="B445" s="127" t="n">
        <f aca="false">SUMPRODUCT(固有振動数!$Q$6:$Q$22*(1-($A445/固有振動数!$O$6:$O$22)^2)/((1-($A445/固有振動数!$O$6:$O$22)^2)^2+固有振動数!$P$6:$P$22^2))</f>
        <v>18.3755749875495</v>
      </c>
      <c r="C445" s="127" t="n">
        <f aca="false">-SUMPRODUCT(固有振動数!$Q$6:$Q$22*固有振動数!$P$6:$P$22/((1-($A445/固有振動数!$O$6:$O$22)^2)^2+固有振動数!$P$6:$P$22^2))</f>
        <v>-0.702691231859177</v>
      </c>
      <c r="D445" s="128" t="n">
        <f aca="false">SQRT(B445^2+C445^2)</f>
        <v>18.3890057123921</v>
      </c>
      <c r="E445" s="129" t="n">
        <f aca="false">20*LOG10(MAX(D445,0.000000000001)/$K$3)</f>
        <v>25.2911649542065</v>
      </c>
    </row>
    <row r="446" customFormat="false" ht="15" hidden="false" customHeight="false" outlineLevel="0" collapsed="false">
      <c r="A446" s="122" t="n">
        <f aca="false">A445+$F$3</f>
        <v>4400</v>
      </c>
      <c r="B446" s="123" t="n">
        <f aca="false">SUMPRODUCT(固有振動数!$Q$6:$Q$22*(1-($A446/固有振動数!$O$6:$O$22)^2)/((1-($A446/固有振動数!$O$6:$O$22)^2)^2+固有振動数!$P$6:$P$22^2))</f>
        <v>18.4348740521493</v>
      </c>
      <c r="C446" s="123" t="n">
        <f aca="false">-SUMPRODUCT(固有振動数!$Q$6:$Q$22*固有振動数!$P$6:$P$22/((1-($A446/固有振動数!$O$6:$O$22)^2)^2+固有振動数!$P$6:$P$22^2))</f>
        <v>-0.708087120236766</v>
      </c>
      <c r="D446" s="124" t="n">
        <f aca="false">SQRT(B446^2+C446^2)</f>
        <v>18.4484679225255</v>
      </c>
      <c r="E446" s="125" t="n">
        <f aca="false">20*LOG10(MAX(D446,0.000000000001)/$K$3)</f>
        <v>25.3192061086326</v>
      </c>
    </row>
    <row r="447" customFormat="false" ht="15" hidden="false" customHeight="false" outlineLevel="0" collapsed="false">
      <c r="A447" s="126" t="n">
        <f aca="false">A446+$F$3</f>
        <v>4410</v>
      </c>
      <c r="B447" s="127" t="n">
        <f aca="false">SUMPRODUCT(固有振動数!$Q$6:$Q$22*(1-($A447/固有振動数!$O$6:$O$22)^2)/((1-($A447/固有振動数!$O$6:$O$22)^2)^2+固有振動数!$P$6:$P$22^2))</f>
        <v>18.4948645360302</v>
      </c>
      <c r="C447" s="127" t="n">
        <f aca="false">-SUMPRODUCT(固有振動数!$Q$6:$Q$22*固有振動数!$P$6:$P$22/((1-($A447/固有振動数!$O$6:$O$22)^2)^2+固有振動数!$P$6:$P$22^2))</f>
        <v>-0.713654406905317</v>
      </c>
      <c r="D447" s="128" t="n">
        <f aca="false">SQRT(B447^2+C447^2)</f>
        <v>18.5086281722499</v>
      </c>
      <c r="E447" s="129" t="n">
        <f aca="false">20*LOG10(MAX(D447,0.000000000001)/$K$3)</f>
        <v>25.3474846156843</v>
      </c>
    </row>
    <row r="448" customFormat="false" ht="15" hidden="false" customHeight="false" outlineLevel="0" collapsed="false">
      <c r="A448" s="122" t="n">
        <f aca="false">A447+$F$3</f>
        <v>4420</v>
      </c>
      <c r="B448" s="123" t="n">
        <f aca="false">SUMPRODUCT(固有振動数!$Q$6:$Q$22*(1-($A448/固有振動数!$O$6:$O$22)^2)/((1-($A448/固有振動数!$O$6:$O$22)^2)^2+固有振動数!$P$6:$P$22^2))</f>
        <v>18.5555746066354</v>
      </c>
      <c r="C448" s="123" t="n">
        <f aca="false">-SUMPRODUCT(固有振動数!$Q$6:$Q$22*固有振動数!$P$6:$P$22/((1-($A448/固有振動数!$O$6:$O$22)^2)^2+固有振動数!$P$6:$P$22^2))</f>
        <v>-0.719399591113119</v>
      </c>
      <c r="D448" s="124" t="n">
        <f aca="false">SQRT(B448^2+C448^2)</f>
        <v>18.5695149305012</v>
      </c>
      <c r="E448" s="125" t="n">
        <f aca="false">20*LOG10(MAX(D448,0.000000000001)/$K$3)</f>
        <v>25.3760111865262</v>
      </c>
    </row>
    <row r="449" customFormat="false" ht="15" hidden="false" customHeight="false" outlineLevel="0" collapsed="false">
      <c r="A449" s="126" t="n">
        <f aca="false">A448+$F$3</f>
        <v>4430</v>
      </c>
      <c r="B449" s="127" t="n">
        <f aca="false">SUMPRODUCT(固有振動数!$Q$6:$Q$22*(1-($A449/固有振動数!$O$6:$O$22)^2)/((1-($A449/固有振動数!$O$6:$O$22)^2)^2+固有振動数!$P$6:$P$22^2))</f>
        <v>18.617033405325</v>
      </c>
      <c r="C449" s="127" t="n">
        <f aca="false">-SUMPRODUCT(固有振動数!$Q$6:$Q$22*固有振動数!$P$6:$P$22/((1-($A449/固有振動数!$O$6:$O$22)^2)^2+固有振動数!$P$6:$P$22^2))</f>
        <v>-0.725329553851321</v>
      </c>
      <c r="D449" s="128" t="n">
        <f aca="false">SQRT(B449^2+C449^2)</f>
        <v>18.6311576606683</v>
      </c>
      <c r="E449" s="129" t="n">
        <f aca="false">20*LOG10(MAX(D449,0.000000000001)/$K$3)</f>
        <v>25.4047968188266</v>
      </c>
    </row>
    <row r="450" customFormat="false" ht="15" hidden="false" customHeight="false" outlineLevel="0" collapsed="false">
      <c r="A450" s="122" t="n">
        <f aca="false">A449+$F$3</f>
        <v>4440</v>
      </c>
      <c r="B450" s="123" t="n">
        <f aca="false">SUMPRODUCT(固有振動数!$Q$6:$Q$22*(1-($A450/固有振動数!$O$6:$O$22)^2)/((1-($A450/固有振動数!$O$6:$O$22)^2)^2+固有振動数!$P$6:$P$22^2))</f>
        <v>18.6792711088623</v>
      </c>
      <c r="C450" s="123" t="n">
        <f aca="false">-SUMPRODUCT(固有振動数!$Q$6:$Q$22*固有振動数!$P$6:$P$22/((1-($A450/固有振動数!$O$6:$O$22)^2)^2+固有振動数!$P$6:$P$22^2))</f>
        <v>-0.73145158246153</v>
      </c>
      <c r="D450" s="124" t="n">
        <f aca="false">SQRT(B450^2+C450^2)</f>
        <v>18.6935868836311</v>
      </c>
      <c r="E450" s="125" t="n">
        <f aca="false">20*LOG10(MAX(D450,0.000000000001)/$K$3)</f>
        <v>25.4338528165638</v>
      </c>
    </row>
    <row r="451" customFormat="false" ht="15" hidden="false" customHeight="false" outlineLevel="0" collapsed="false">
      <c r="A451" s="126" t="n">
        <f aca="false">A450+$F$3</f>
        <v>4450</v>
      </c>
      <c r="B451" s="127" t="n">
        <f aca="false">SUMPRODUCT(固有振動数!$Q$6:$Q$22*(1-($A451/固有振動数!$O$6:$O$22)^2)/((1-($A451/固有振動数!$O$6:$O$22)^2)^2+固有振動数!$P$6:$P$22^2))</f>
        <v>18.7423189946496</v>
      </c>
      <c r="C451" s="127" t="n">
        <f aca="false">-SUMPRODUCT(固有振動数!$Q$6:$Q$22*固有振動数!$P$6:$P$22/((1-($A451/固有振動数!$O$6:$O$22)^2)^2+固有振動数!$P$6:$P$22^2))</f>
        <v>-0.737773397275831</v>
      </c>
      <c r="D451" s="128" t="n">
        <f aca="false">SQRT(B451^2+C451^2)</f>
        <v>18.7568342446941</v>
      </c>
      <c r="E451" s="129" t="n">
        <f aca="false">20*LOG10(MAX(D451,0.000000000001)/$K$3)</f>
        <v>25.4631908108414</v>
      </c>
    </row>
    <row r="452" customFormat="false" ht="15" hidden="false" customHeight="false" outlineLevel="0" collapsed="false">
      <c r="A452" s="122" t="n">
        <f aca="false">A451+$F$3</f>
        <v>4460</v>
      </c>
      <c r="B452" s="123" t="n">
        <f aca="false">SUMPRODUCT(固有振動数!$Q$6:$Q$22*(1-($A452/固有振動数!$O$6:$O$22)^2)/((1-($A452/固有振動数!$O$6:$O$22)^2)^2+固有振動数!$P$6:$P$22^2))</f>
        <v>18.8062095100283</v>
      </c>
      <c r="C452" s="123" t="n">
        <f aca="false">-SUMPRODUCT(固有振動数!$Q$6:$Q$22*固有振動数!$P$6:$P$22/((1-($A452/固有振動数!$O$6:$O$22)^2)^2+固有振動数!$P$6:$P$22^2))</f>
        <v>-0.744303180474597</v>
      </c>
      <c r="D452" s="124" t="n">
        <f aca="false">SQRT(B452^2+C452^2)</f>
        <v>18.8209325847458</v>
      </c>
      <c r="E452" s="125" t="n">
        <f aca="false">20*LOG10(MAX(D452,0.000000000001)/$K$3)</f>
        <v>25.4928227817976</v>
      </c>
    </row>
    <row r="453" customFormat="false" ht="15" hidden="false" customHeight="false" outlineLevel="0" collapsed="false">
      <c r="A453" s="126" t="n">
        <f aca="false">A452+$F$3</f>
        <v>4470</v>
      </c>
      <c r="B453" s="127" t="n">
        <f aca="false">SUMPRODUCT(固有振動数!$Q$6:$Q$22*(1-($A453/固有振動数!$O$6:$O$22)^2)/((1-($A453/固有振動数!$O$6:$O$22)^2)^2+固有振動数!$P$6:$P$22^2))</f>
        <v>18.8709763459824</v>
      </c>
      <c r="C453" s="127" t="n">
        <f aca="false">-SUMPRODUCT(固有振動数!$Q$6:$Q$22*固有振動数!$P$6:$P$22/((1-($A453/固有振動数!$O$6:$O$22)^2)^2+固有振動数!$P$6:$P$22^2))</f>
        <v>-0.75104960736728</v>
      </c>
      <c r="D453" s="128" t="n">
        <f aca="false">SQRT(B453^2+C453^2)</f>
        <v>18.8859160159986</v>
      </c>
      <c r="E453" s="129" t="n">
        <f aca="false">20*LOG10(MAX(D453,0.000000000001)/$K$3)</f>
        <v>25.5227610817042</v>
      </c>
    </row>
    <row r="454" customFormat="false" ht="15" hidden="false" customHeight="false" outlineLevel="0" collapsed="false">
      <c r="A454" s="122" t="n">
        <f aca="false">A453+$F$3</f>
        <v>4480</v>
      </c>
      <c r="B454" s="123" t="n">
        <f aca="false">SUMPRODUCT(固有振動数!$Q$6:$Q$22*(1-($A454/固有振動数!$O$6:$O$22)^2)/((1-($A454/固有振動数!$O$6:$O$22)^2)^2+固有振動数!$P$6:$P$22^2))</f>
        <v>18.9366545156155</v>
      </c>
      <c r="C454" s="123" t="n">
        <f aca="false">-SUMPRODUCT(固有振動数!$Q$6:$Q$22*固有振動数!$P$6:$P$22/((1-($A454/固有振動数!$O$6:$O$22)^2)^2+固有振動数!$P$6:$P$22^2))</f>
        <v>-0.758021880323549</v>
      </c>
      <c r="D454" s="124" t="n">
        <f aca="false">SQRT(B454^2+C454^2)</f>
        <v>18.9518200027024</v>
      </c>
      <c r="E454" s="125" t="n">
        <f aca="false">20*LOG10(MAX(D454,0.000000000001)/$K$3)</f>
        <v>25.553018459355</v>
      </c>
    </row>
    <row r="455" customFormat="false" ht="15" hidden="false" customHeight="false" outlineLevel="0" collapsed="false">
      <c r="A455" s="126" t="n">
        <f aca="false">A454+$F$3</f>
        <v>4490</v>
      </c>
      <c r="B455" s="127" t="n">
        <f aca="false">SUMPRODUCT(固有振動数!$Q$6:$Q$22*(1-($A455/固有振動数!$O$6:$O$22)^2)/((1-($A455/固有振動数!$O$6:$O$22)^2)^2+固有振動数!$P$6:$P$22^2))</f>
        <v>19.0032804378077</v>
      </c>
      <c r="C455" s="127" t="n">
        <f aca="false">-SUMPRODUCT(固有振動数!$Q$6:$Q$22*固有振動数!$P$6:$P$22/((1-($A455/固有振動数!$O$6:$O$22)^2)^2+固有振動数!$P$6:$P$22^2))</f>
        <v>-0.76522976560702</v>
      </c>
      <c r="D455" s="128" t="n">
        <f aca="false">SQRT(B455^2+C455^2)</f>
        <v>19.0186814472543</v>
      </c>
      <c r="E455" s="129" t="n">
        <f aca="false">20*LOG10(MAX(D455,0.000000000001)/$K$3)</f>
        <v>25.5836080858539</v>
      </c>
    </row>
    <row r="456" customFormat="false" ht="15" hidden="false" customHeight="false" outlineLevel="0" collapsed="false">
      <c r="A456" s="122" t="n">
        <f aca="false">A455+$F$3</f>
        <v>4500</v>
      </c>
      <c r="B456" s="123" t="n">
        <f aca="false">SUMPRODUCT(固有振動数!$Q$6:$Q$22*(1-($A456/固有振動数!$O$6:$O$22)^2)/((1-($A456/固有振動数!$O$6:$O$22)^2)^2+固有振動数!$P$6:$P$22^2))</f>
        <v>19.0708920264908</v>
      </c>
      <c r="C456" s="123" t="n">
        <f aca="false">-SUMPRODUCT(固有振動数!$Q$6:$Q$22*固有振動数!$P$6:$P$22/((1-($A456/固有振動数!$O$6:$O$22)^2)^2+固有振動数!$P$6:$P$22^2))</f>
        <v>-0.772683633391624</v>
      </c>
      <c r="D456" s="124" t="n">
        <f aca="false">SQRT(B456^2+C456^2)</f>
        <v>19.0865387821726</v>
      </c>
      <c r="E456" s="125" t="n">
        <f aca="false">20*LOG10(MAX(D456,0.000000000001)/$K$3)</f>
        <v>25.6145435819211</v>
      </c>
    </row>
    <row r="457" customFormat="false" ht="15" hidden="false" customHeight="false" outlineLevel="0" collapsed="false">
      <c r="A457" s="126" t="n">
        <f aca="false">A456+$F$3</f>
        <v>4510</v>
      </c>
      <c r="B457" s="127" t="n">
        <f aca="false">SUMPRODUCT(固有振動数!$Q$6:$Q$22*(1-($A457/固有振動数!$O$6:$O$22)^2)/((1-($A457/固有振動数!$O$6:$O$22)^2)^2+固有振動数!$P$6:$P$22^2))</f>
        <v>19.1395287860245</v>
      </c>
      <c r="C457" s="127" t="n">
        <f aca="false">-SUMPRODUCT(固有振動数!$Q$6:$Q$22*固有振動数!$P$6:$P$22/((1-($A457/固有振動数!$O$6:$O$22)^2)^2+固有振動数!$P$6:$P$22^2))</f>
        <v>-0.78039450127199</v>
      </c>
      <c r="D457" s="128" t="n">
        <f aca="false">SQRT(B457^2+C457^2)</f>
        <v>19.1554320684415</v>
      </c>
      <c r="E457" s="129" t="n">
        <f aca="false">20*LOG10(MAX(D457,0.000000000001)/$K$3)</f>
        <v>25.6458390468452</v>
      </c>
    </row>
    <row r="458" customFormat="false" ht="15" hidden="false" customHeight="false" outlineLevel="0" collapsed="false">
      <c r="A458" s="122" t="n">
        <f aca="false">A457+$F$3</f>
        <v>4520</v>
      </c>
      <c r="B458" s="123" t="n">
        <f aca="false">SUMPRODUCT(固有振動数!$Q$6:$Q$22*(1-($A458/固有振動数!$O$6:$O$22)^2)/((1-($A458/固有振動数!$O$6:$O$22)^2)^2+固有振動数!$P$6:$P$22^2))</f>
        <v>19.2092319132025</v>
      </c>
      <c r="C458" s="123" t="n">
        <f aca="false">-SUMPRODUCT(固有振動数!$Q$6:$Q$22*固有振動数!$P$6:$P$22/((1-($A458/固有振動数!$O$6:$O$22)^2)^2+固有振動数!$P$6:$P$22^2))</f>
        <v>-0.788374081614331</v>
      </c>
      <c r="D458" s="124" t="n">
        <f aca="false">SQRT(B458^2+C458^2)</f>
        <v>19.2254031007873</v>
      </c>
      <c r="E458" s="125" t="n">
        <f aca="false">20*LOG10(MAX(D458,0.000000000001)/$K$3)</f>
        <v>25.677509089222</v>
      </c>
    </row>
    <row r="459" customFormat="false" ht="15" hidden="false" customHeight="false" outlineLevel="0" collapsed="false">
      <c r="A459" s="126" t="n">
        <f aca="false">A458+$F$3</f>
        <v>4530</v>
      </c>
      <c r="B459" s="127" t="n">
        <f aca="false">SUMPRODUCT(固有振動数!$Q$6:$Q$22*(1-($A459/固有振動数!$O$6:$O$22)^2)/((1-($A459/固有振動数!$O$6:$O$22)^2)^2+固有振動数!$P$6:$P$22^2))</f>
        <v>19.2800444064629</v>
      </c>
      <c r="C459" s="127" t="n">
        <f aca="false">-SUMPRODUCT(固有振動数!$Q$6:$Q$22*固有振動数!$P$6:$P$22/((1-($A459/固有振動数!$O$6:$O$22)^2)^2+固有振動数!$P$6:$P$22^2))</f>
        <v>-0.796634833133956</v>
      </c>
      <c r="D459" s="128" t="n">
        <f aca="false">SQRT(B459^2+C459^2)</f>
        <v>19.2964955204966</v>
      </c>
      <c r="E459" s="129" t="n">
        <f aca="false">20*LOG10(MAX(D459,0.000000000001)/$K$3)</f>
        <v>25.7095688596305</v>
      </c>
    </row>
    <row r="460" customFormat="false" ht="15" hidden="false" customHeight="false" outlineLevel="0" collapsed="false">
      <c r="A460" s="122" t="n">
        <f aca="false">A459+$F$3</f>
        <v>4540</v>
      </c>
      <c r="B460" s="123" t="n">
        <f aca="false">SUMPRODUCT(固有振動数!$Q$6:$Q$22*(1-($A460/固有振動数!$O$6:$O$22)^2)/((1-($A460/固有振動数!$O$6:$O$22)^2)^2+固有振動数!$P$6:$P$22^2))</f>
        <v>19.3520111829393</v>
      </c>
      <c r="C460" s="123" t="n">
        <f aca="false">-SUMPRODUCT(固有振動数!$Q$6:$Q$22*固有振動数!$P$6:$P$22/((1-($A460/固有振動数!$O$6:$O$22)^2)^2+固有振動数!$P$6:$P$22^2))</f>
        <v>-0.805190017130144</v>
      </c>
      <c r="D460" s="124" t="n">
        <f aca="false">SQRT(B460^2+C460^2)</f>
        <v>19.368754936451</v>
      </c>
      <c r="E460" s="125" t="n">
        <f aca="false">20*LOG10(MAX(D460,0.000000000001)/$K$3)</f>
        <v>25.7420340854116</v>
      </c>
    </row>
    <row r="461" customFormat="false" ht="15" hidden="false" customHeight="false" outlineLevel="0" collapsed="false">
      <c r="A461" s="126" t="n">
        <f aca="false">A460+$F$3</f>
        <v>4550</v>
      </c>
      <c r="B461" s="127" t="n">
        <f aca="false">SUMPRODUCT(固有振動数!$Q$6:$Q$22*(1-($A461/固有振動数!$O$6:$O$22)^2)/((1-($A461/固有振動数!$O$6:$O$22)^2)^2+固有振動数!$P$6:$P$22^2))</f>
        <v>19.425179204046</v>
      </c>
      <c r="C461" s="127" t="n">
        <f aca="false">-SUMPRODUCT(固有振動数!$Q$6:$Q$22*固有振動数!$P$6:$P$22/((1-($A461/固有振動数!$O$6:$O$22)^2)^2+固有振動数!$P$6:$P$22^2))</f>
        <v>-0.814053758859571</v>
      </c>
      <c r="D461" s="128" t="n">
        <f aca="false">SQRT(B461^2+C461^2)</f>
        <v>19.4422290551165</v>
      </c>
      <c r="E461" s="129" t="n">
        <f aca="false">20*LOG10(MAX(D461,0.000000000001)/$K$3)</f>
        <v>25.7749211077314</v>
      </c>
    </row>
    <row r="462" customFormat="false" ht="15" hidden="false" customHeight="false" outlineLevel="0" collapsed="false">
      <c r="A462" s="122" t="n">
        <f aca="false">A461+$F$3</f>
        <v>4560</v>
      </c>
      <c r="B462" s="123" t="n">
        <f aca="false">SUMPRODUCT(固有振動数!$Q$6:$Q$22*(1-($A462/固有振動数!$O$6:$O$22)^2)/((1-($A462/固有振動数!$O$6:$O$22)^2)^2+固有振動数!$P$6:$P$22^2))</f>
        <v>19.4995976103634</v>
      </c>
      <c r="C462" s="123" t="n">
        <f aca="false">-SUMPRODUCT(固有振動数!$Q$6:$Q$22*固有振動数!$P$6:$P$22/((1-($A462/固有振動数!$O$6:$O$22)^2)^2+固有振動数!$P$6:$P$22^2))</f>
        <v>-0.82324111458649</v>
      </c>
      <c r="D462" s="124" t="n">
        <f aca="false">SQRT(B462^2+C462^2)</f>
        <v>19.5169678203054</v>
      </c>
      <c r="E462" s="125" t="n">
        <f aca="false">20*LOG10(MAX(D462,0.000000000001)/$K$3)</f>
        <v>25.8082469211231</v>
      </c>
    </row>
    <row r="463" customFormat="false" ht="15" hidden="false" customHeight="false" outlineLevel="0" collapsed="false">
      <c r="A463" s="126" t="n">
        <f aca="false">A462+$F$3</f>
        <v>4570</v>
      </c>
      <c r="B463" s="127" t="n">
        <f aca="false">SUMPRODUCT(固有振動数!$Q$6:$Q$22*(1-($A463/固有振動数!$O$6:$O$22)^2)/((1-($A463/固有振動数!$O$6:$O$22)^2)^2+固有振動数!$P$6:$P$22^2))</f>
        <v>19.5753178666629</v>
      </c>
      <c r="C463" s="127" t="n">
        <f aca="false">-SUMPRODUCT(固有振動数!$Q$6:$Q$22*固有振動数!$P$6:$P$22/((1-($A463/固有振動数!$O$6:$O$22)^2)^2+固有振動数!$P$6:$P$22^2))</f>
        <v>-0.832768144912463</v>
      </c>
      <c r="D463" s="128" t="n">
        <f aca="false">SQRT(B463^2+C463^2)</f>
        <v>19.5930235636074</v>
      </c>
      <c r="E463" s="129" t="n">
        <f aca="false">20*LOG10(MAX(D463,0.000000000001)/$K$3)</f>
        <v>25.8420292157254</v>
      </c>
    </row>
    <row r="464" customFormat="false" ht="15" hidden="false" customHeight="false" outlineLevel="0" collapsed="false">
      <c r="A464" s="122" t="n">
        <f aca="false">A463+$F$3</f>
        <v>4580</v>
      </c>
      <c r="B464" s="123" t="n">
        <f aca="false">SUMPRODUCT(固有振動数!$Q$6:$Q$22*(1-($A464/固有振動数!$O$6:$O$22)^2)/((1-($A464/固有振動数!$O$6:$O$22)^2)^2+固有振動数!$P$6:$P$22^2))</f>
        <v>19.6523939180011</v>
      </c>
      <c r="C464" s="123" t="n">
        <f aca="false">-SUMPRODUCT(固有振動数!$Q$6:$Q$22*固有振動数!$P$6:$P$22/((1-($A464/固有振動数!$O$6:$O$22)^2)^2+固有振動数!$P$6:$P$22^2))</f>
        <v>-0.842651995061782</v>
      </c>
      <c r="D464" s="124" t="n">
        <f aca="false">SQRT(B464^2+C464^2)</f>
        <v>19.6704511664849</v>
      </c>
      <c r="E464" s="125" t="n">
        <f aca="false">20*LOG10(MAX(D464,0.000000000001)/$K$3)</f>
        <v>25.8762864224516</v>
      </c>
    </row>
    <row r="465" customFormat="false" ht="15" hidden="false" customHeight="false" outlineLevel="0" collapsed="false">
      <c r="A465" s="126" t="n">
        <f aca="false">A464+$F$3</f>
        <v>4590</v>
      </c>
      <c r="B465" s="127" t="n">
        <f aca="false">SUMPRODUCT(固有振動数!$Q$6:$Q$22*(1-($A465/固有振動数!$O$6:$O$22)^2)/((1-($A465/固有振動数!$O$6:$O$22)^2)^2+固有振動数!$P$6:$P$22^2))</f>
        <v>19.730882357903</v>
      </c>
      <c r="C465" s="127" t="n">
        <f aca="false">-SUMPRODUCT(固有振動数!$Q$6:$Q$22*固有振動数!$P$6:$P$22/((1-($A465/固有振動数!$O$6:$O$22)^2)^2+固有振動数!$P$6:$P$22^2))</f>
        <v>-0.852910982881943</v>
      </c>
      <c r="D465" s="128" t="n">
        <f aca="false">SQRT(B465^2+C465^2)</f>
        <v>19.7493082351289</v>
      </c>
      <c r="E465" s="129" t="n">
        <f aca="false">20*LOG10(MAX(D465,0.000000000001)/$K$3)</f>
        <v>25.911037761348</v>
      </c>
    </row>
    <row r="466" customFormat="false" ht="15" hidden="false" customHeight="false" outlineLevel="0" collapsed="false">
      <c r="A466" s="122" t="n">
        <f aca="false">A465+$F$3</f>
        <v>4600</v>
      </c>
      <c r="B466" s="123" t="n">
        <f aca="false">SUMPRODUCT(固有振動数!$Q$6:$Q$22*(1-($A466/固有振動数!$O$6:$O$22)^2)/((1-($A466/固有振動数!$O$6:$O$22)^2)^2+固有振動数!$P$6:$P$22^2))</f>
        <v>19.8108426097667</v>
      </c>
      <c r="C466" s="123" t="n">
        <f aca="false">-SUMPRODUCT(固有振動数!$Q$6:$Q$22*固有振動数!$P$6:$P$22/((1-($A466/固有振動数!$O$6:$O$22)^2)^2+固有振動数!$P$6:$P$22^2))</f>
        <v>-0.863564695413428</v>
      </c>
      <c r="D466" s="124" t="n">
        <f aca="false">SQRT(B466^2+C466^2)</f>
        <v>19.8296552892911</v>
      </c>
      <c r="E466" s="125" t="n">
        <f aca="false">20*LOG10(MAX(D466,0.000000000001)/$K$3)</f>
        <v>25.9463032934253</v>
      </c>
    </row>
    <row r="467" customFormat="false" ht="15" hidden="false" customHeight="false" outlineLevel="0" collapsed="false">
      <c r="A467" s="126" t="n">
        <f aca="false">A466+$F$3</f>
        <v>4610</v>
      </c>
      <c r="B467" s="127" t="n">
        <f aca="false">SUMPRODUCT(固有振動数!$Q$6:$Q$22*(1-($A467/固有振動数!$O$6:$O$22)^2)/((1-($A467/固有振動数!$O$6:$O$22)^2)^2+固有振動数!$P$6:$P$22^2))</f>
        <v>19.892337122736</v>
      </c>
      <c r="C467" s="127" t="n">
        <f aca="false">-SUMPRODUCT(固有振動数!$Q$6:$Q$22*固有振動数!$P$6:$P$22/((1-($A467/固有振動数!$O$6:$O$22)^2)^2+固有振動数!$P$6:$P$22^2))</f>
        <v>-0.87463409499108</v>
      </c>
      <c r="D467" s="128" t="n">
        <f aca="false">SQRT(B467^2+C467^2)</f>
        <v>19.9115559664408</v>
      </c>
      <c r="E467" s="129" t="n">
        <f aca="false">20*LOG10(MAX(D467,0.000000000001)/$K$3)</f>
        <v>25.9821039762748</v>
      </c>
    </row>
    <row r="468" customFormat="false" ht="15" hidden="false" customHeight="false" outlineLevel="0" collapsed="false">
      <c r="A468" s="122" t="n">
        <f aca="false">A467+$F$3</f>
        <v>4620</v>
      </c>
      <c r="B468" s="123" t="n">
        <f aca="false">SUMPRODUCT(固有振動数!$Q$6:$Q$22*(1-($A468/固有振動数!$O$6:$O$22)^2)/((1-($A468/固有振動数!$O$6:$O$22)^2)^2+固有振動数!$P$6:$P$22^2))</f>
        <v>19.9754315834265</v>
      </c>
      <c r="C468" s="123" t="n">
        <f aca="false">-SUMPRODUCT(固有振動数!$Q$6:$Q$22*固有振動数!$P$6:$P$22/((1-($A468/固有振動数!$O$6:$O$22)^2)^2+固有振動数!$P$6:$P$22^2))</f>
        <v>-0.886141635962898</v>
      </c>
      <c r="D468" s="124" t="n">
        <f aca="false">SQRT(B468^2+C468^2)</f>
        <v>19.99507724274</v>
      </c>
      <c r="E468" s="125" t="n">
        <f aca="false">20*LOG10(MAX(D468,0.000000000001)/$K$3)</f>
        <v>26.0184617238104</v>
      </c>
    </row>
    <row r="469" customFormat="false" ht="15" hidden="false" customHeight="false" outlineLevel="0" collapsed="false">
      <c r="A469" s="126" t="n">
        <f aca="false">A468+$F$3</f>
        <v>4630</v>
      </c>
      <c r="B469" s="127" t="n">
        <f aca="false">SUMPRODUCT(固有振動数!$Q$6:$Q$22*(1-($A469/固有振動数!$O$6:$O$22)^2)/((1-($A469/固有振動数!$O$6:$O$22)^2)^2+固有振動数!$P$6:$P$22^2))</f>
        <v>20.0601951450357</v>
      </c>
      <c r="C469" s="127" t="n">
        <f aca="false">-SUMPRODUCT(固有振動数!$Q$6:$Q$22*固有振動数!$P$6:$P$22/((1-($A469/固有振動数!$O$6:$O$22)^2)^2+固有振動数!$P$6:$P$22^2))</f>
        <v>-0.898111393253293</v>
      </c>
      <c r="D469" s="128" t="n">
        <f aca="false">SQRT(B469^2+C469^2)</f>
        <v>20.0802896725024</v>
      </c>
      <c r="E469" s="129" t="n">
        <f aca="false">20*LOG10(MAX(D469,0.000000000001)/$K$3)</f>
        <v>26.0553994705173</v>
      </c>
    </row>
    <row r="470" customFormat="false" ht="15" hidden="false" customHeight="false" outlineLevel="0" collapsed="false">
      <c r="A470" s="122" t="n">
        <f aca="false">A469+$F$3</f>
        <v>4640</v>
      </c>
      <c r="B470" s="123" t="n">
        <f aca="false">SUMPRODUCT(固有振動数!$Q$6:$Q$22*(1-($A470/固有振動数!$O$6:$O$22)^2)/((1-($A470/固有振動数!$O$6:$O$22)^2)^2+固有振動数!$P$6:$P$22^2))</f>
        <v>20.1467006755409</v>
      </c>
      <c r="C470" s="123" t="n">
        <f aca="false">-SUMPRODUCT(固有振動数!$Q$6:$Q$22*固有振動数!$P$6:$P$22/((1-($A470/固有振動数!$O$6:$O$22)^2)^2+固有振動数!$P$6:$P$22^2))</f>
        <v>-0.910569204159811</v>
      </c>
      <c r="D470" s="124" t="n">
        <f aca="false">SQRT(B470^2+C470^2)</f>
        <v>20.1672676479836</v>
      </c>
      <c r="E470" s="125" t="n">
        <f aca="false">20*LOG10(MAX(D470,0.000000000001)/$K$3)</f>
        <v>26.0929412406205</v>
      </c>
    </row>
    <row r="471" customFormat="false" ht="15" hidden="false" customHeight="false" outlineLevel="0" collapsed="false">
      <c r="A471" s="126" t="n">
        <f aca="false">A470+$F$3</f>
        <v>4650</v>
      </c>
      <c r="B471" s="127" t="n">
        <f aca="false">SUMPRODUCT(固有振動数!$Q$6:$Q$22*(1-($A471/固有振動数!$O$6:$O$22)^2)/((1-($A471/固有振動数!$O$6:$O$22)^2)^2+固有振動数!$P$6:$P$22^2))</f>
        <v>20.2350250268744</v>
      </c>
      <c r="C471" s="127" t="n">
        <f aca="false">-SUMPRODUCT(固有振動数!$Q$6:$Q$22*固有振動数!$P$6:$P$22/((1-($A471/固有振動数!$O$6:$O$22)^2)^2+固有振動数!$P$6:$P$22^2))</f>
        <v>-0.923542824958277</v>
      </c>
      <c r="D471" s="128" t="n">
        <f aca="false">SQRT(B471^2+C471^2)</f>
        <v>20.256089681569</v>
      </c>
      <c r="E471" s="129" t="n">
        <f aca="false">20*LOG10(MAX(D471,0.000000000001)/$K$3)</f>
        <v>26.1311122226342</v>
      </c>
    </row>
    <row r="472" customFormat="false" ht="15" hidden="false" customHeight="false" outlineLevel="0" collapsed="false">
      <c r="A472" s="122" t="n">
        <f aca="false">A471+$F$3</f>
        <v>4660</v>
      </c>
      <c r="B472" s="123" t="n">
        <f aca="false">SUMPRODUCT(固有振動数!$Q$6:$Q$22*(1-($A472/固有振動数!$O$6:$O$22)^2)/((1-($A472/固有振動数!$O$6:$O$22)^2)^2+固有振動数!$P$6:$P$22^2))</f>
        <v>20.3252493271803</v>
      </c>
      <c r="C472" s="123" t="n">
        <f aca="false">-SUMPRODUCT(固有振動数!$Q$6:$Q$22*固有振動数!$P$6:$P$22/((1-($A472/固有振動数!$O$6:$O$22)^2)^2+固有振動数!$P$6:$P$22^2))</f>
        <v>-0.937062104105254</v>
      </c>
      <c r="D472" s="124" t="n">
        <f aca="false">SQRT(B472^2+C472^2)</f>
        <v>20.3468387126599</v>
      </c>
      <c r="E472" s="125" t="n">
        <f aca="false">20*LOG10(MAX(D472,0.000000000001)/$K$3)</f>
        <v>26.1699388498017</v>
      </c>
    </row>
    <row r="473" customFormat="false" ht="15" hidden="false" customHeight="false" outlineLevel="0" collapsed="false">
      <c r="A473" s="126" t="n">
        <f aca="false">A472+$F$3</f>
        <v>4670</v>
      </c>
      <c r="B473" s="127" t="n">
        <f aca="false">SUMPRODUCT(固有振動数!$Q$6:$Q$22*(1-($A473/固有振動数!$O$6:$O$22)^2)/((1-($A473/固有振動数!$O$6:$O$22)^2)^2+固有振動数!$P$6:$P$22^2))</f>
        <v>20.417459298498</v>
      </c>
      <c r="C473" s="127" t="n">
        <f aca="false">-SUMPRODUCT(固有振動数!$Q$6:$Q$22*固有振動数!$P$6:$P$22/((1-($A473/固有振動数!$O$6:$O$22)^2)^2+固有振動数!$P$6:$P$22^2))</f>
        <v>-0.951159174073353</v>
      </c>
      <c r="D473" s="128" t="n">
        <f aca="false">SQRT(B473^2+C473^2)</f>
        <v>20.4396024418345</v>
      </c>
      <c r="E473" s="129" t="n">
        <f aca="false">20*LOG10(MAX(D473,0.000000000001)/$K$3)</f>
        <v>26.2094488869867</v>
      </c>
    </row>
    <row r="474" customFormat="false" ht="15" hidden="false" customHeight="false" outlineLevel="0" collapsed="false">
      <c r="A474" s="122" t="n">
        <f aca="false">A473+$F$3</f>
        <v>4680</v>
      </c>
      <c r="B474" s="123" t="n">
        <f aca="false">SUMPRODUCT(固有振動数!$Q$6:$Q$22*(1-($A474/固有振動数!$O$6:$O$22)^2)/((1-($A474/固有振動数!$O$6:$O$22)^2)^2+固有振動数!$P$6:$P$22^2))</f>
        <v>20.5117456024861</v>
      </c>
      <c r="C474" s="123" t="n">
        <f aca="false">-SUMPRODUCT(固有振動数!$Q$6:$Q$22*固有振動数!$P$6:$P$22/((1-($A474/固有振動数!$O$6:$O$22)^2)^2+固有振動数!$P$6:$P$22^2))</f>
        <v>-0.965868664139809</v>
      </c>
      <c r="D474" s="124" t="n">
        <f aca="false">SQRT(B474^2+C474^2)</f>
        <v>20.5344736951663</v>
      </c>
      <c r="E474" s="125" t="n">
        <f aca="false">20*LOG10(MAX(D474,0.000000000001)/$K$3)</f>
        <v>26.2496715246415</v>
      </c>
    </row>
    <row r="475" customFormat="false" ht="15" hidden="false" customHeight="false" outlineLevel="0" collapsed="false">
      <c r="A475" s="126" t="n">
        <f aca="false">A474+$F$3</f>
        <v>4690</v>
      </c>
      <c r="B475" s="127" t="n">
        <f aca="false">SUMPRODUCT(固有振動数!$Q$6:$Q$22*(1-($A475/固有振動数!$O$6:$O$22)^2)/((1-($A475/固有振動数!$O$6:$O$22)^2)^2+固有振動数!$P$6:$P$22^2))</f>
        <v>20.6082042171098</v>
      </c>
      <c r="C475" s="127" t="n">
        <f aca="false">-SUMPRODUCT(固有振動数!$Q$6:$Q$22*固有振動数!$P$6:$P$22/((1-($A475/固有振動数!$O$6:$O$22)^2)^2+固有振動数!$P$6:$P$22^2))</f>
        <v>-0.98122793677847</v>
      </c>
      <c r="D475" s="128" t="n">
        <f aca="false">SQRT(B475^2+C475^2)</f>
        <v>20.6315508219333</v>
      </c>
      <c r="E475" s="129" t="n">
        <f aca="false">20*LOG10(MAX(D475,0.000000000001)/$K$3)</f>
        <v>26.2906374805432</v>
      </c>
    </row>
    <row r="476" customFormat="false" ht="15" hidden="false" customHeight="false" outlineLevel="0" collapsed="false">
      <c r="A476" s="122" t="n">
        <f aca="false">A475+$F$3</f>
        <v>4700</v>
      </c>
      <c r="B476" s="123" t="n">
        <f aca="false">SUMPRODUCT(固有振動数!$Q$6:$Q$22*(1-($A476/固有振動数!$O$6:$O$22)^2)/((1-($A476/固有振動数!$O$6:$O$22)^2)^2+固有振動数!$P$6:$P$22^2))</f>
        <v>20.7069368475572</v>
      </c>
      <c r="C476" s="123" t="n">
        <f aca="false">-SUMPRODUCT(固有振動数!$Q$6:$Q$22*固有振動数!$P$6:$P$22/((1-($A476/固有振動数!$O$6:$O$22)^2)^2+固有振動数!$P$6:$P$22^2))</f>
        <v>-0.997277350687843</v>
      </c>
      <c r="D476" s="124" t="n">
        <f aca="false">SQRT(B476^2+C476^2)</f>
        <v>20.7309381293495</v>
      </c>
      <c r="E476" s="125" t="n">
        <f aca="false">20*LOG10(MAX(D476,0.000000000001)/$K$3)</f>
        <v>26.3323791100693</v>
      </c>
    </row>
    <row r="477" customFormat="false" ht="15" hidden="false" customHeight="false" outlineLevel="0" collapsed="false">
      <c r="A477" s="126" t="n">
        <f aca="false">A476+$F$3</f>
        <v>4710</v>
      </c>
      <c r="B477" s="127" t="n">
        <f aca="false">SUMPRODUCT(固有振動数!$Q$6:$Q$22*(1-($A477/固有振動数!$O$6:$O$22)^2)/((1-($A477/固有振動数!$O$6:$O$22)^2)^2+固有振動数!$P$6:$P$22^2))</f>
        <v>20.8080513750468</v>
      </c>
      <c r="C477" s="127" t="n">
        <f aca="false">-SUMPRODUCT(固有振動数!$Q$6:$Q$22*固有振動数!$P$6:$P$22/((1-($A477/固有振動数!$O$6:$O$22)^2)^2+固有振動数!$P$6:$P$22^2))</f>
        <v>-1.01406055393236</v>
      </c>
      <c r="D477" s="128" t="n">
        <f aca="false">SQRT(B477^2+C477^2)</f>
        <v>20.8327463584048</v>
      </c>
      <c r="E477" s="129" t="n">
        <f aca="false">20*LOG10(MAX(D477,0.000000000001)/$K$3)</f>
        <v>26.3749305258671</v>
      </c>
    </row>
    <row r="478" customFormat="false" ht="15" hidden="false" customHeight="false" outlineLevel="0" collapsed="false">
      <c r="A478" s="122" t="n">
        <f aca="false">A477+$F$3</f>
        <v>4720</v>
      </c>
      <c r="B478" s="123" t="n">
        <f aca="false">SUMPRODUCT(固有振動数!$Q$6:$Q$22*(1-($A478/固有振動数!$O$6:$O$22)^2)/((1-($A478/固有振動数!$O$6:$O$22)^2)^2+固有振動数!$P$6:$P$22^2))</f>
        <v>20.9116623476289</v>
      </c>
      <c r="C478" s="123" t="n">
        <f aca="false">-SUMPRODUCT(固有振動数!$Q$6:$Q$22*固有振動数!$P$6:$P$22/((1-($A478/固有振動数!$O$6:$O$22)^2)^2+固有振動数!$P$6:$P$22^2))</f>
        <v>-1.03162481119201</v>
      </c>
      <c r="D478" s="124" t="n">
        <f aca="false">SQRT(B478^2+C478^2)</f>
        <v>20.9370932054167</v>
      </c>
      <c r="E478" s="125" t="n">
        <f aca="false">20*LOG10(MAX(D478,0.000000000001)/$K$3)</f>
        <v>26.4183277278725</v>
      </c>
    </row>
    <row r="479" customFormat="false" ht="15" hidden="false" customHeight="false" outlineLevel="0" collapsed="false">
      <c r="A479" s="126" t="n">
        <f aca="false">A478+$F$3</f>
        <v>4730</v>
      </c>
      <c r="B479" s="127" t="n">
        <f aca="false">SUMPRODUCT(固有振動数!$Q$6:$Q$22*(1-($A479/固有振動数!$O$6:$O$22)^2)/((1-($A479/固有振動数!$O$6:$O$22)^2)^2+固有振動数!$P$6:$P$22^2))</f>
        <v>21.0178915175917</v>
      </c>
      <c r="C479" s="127" t="n">
        <f aca="false">-SUMPRODUCT(固有振動数!$Q$6:$Q$22*固有振動数!$P$6:$P$22/((1-($A479/固有振動数!$O$6:$O$22)^2)^2+固有振動数!$P$6:$P$22^2))</f>
        <v>-1.05002136972029</v>
      </c>
      <c r="D479" s="128" t="n">
        <f aca="false">SQRT(B479^2+C479^2)</f>
        <v>21.0441038944908</v>
      </c>
      <c r="E479" s="129" t="n">
        <f aca="false">20*LOG10(MAX(D479,0.000000000001)/$K$3)</f>
        <v>26.4626087447422</v>
      </c>
    </row>
    <row r="480" customFormat="false" ht="15" hidden="false" customHeight="false" outlineLevel="0" collapsed="false">
      <c r="A480" s="122" t="n">
        <f aca="false">A479+$F$3</f>
        <v>4740</v>
      </c>
      <c r="B480" s="123" t="n">
        <f aca="false">SUMPRODUCT(固有振動数!$Q$6:$Q$22*(1-($A480/固有振動数!$O$6:$O$22)^2)/((1-($A480/固有振動数!$O$6:$O$22)^2)^2+固有振動数!$P$6:$P$22^2))</f>
        <v>21.1268684306563</v>
      </c>
      <c r="C480" s="123" t="n">
        <f aca="false">-SUMPRODUCT(固有振動数!$Q$6:$Q$22*固有振動数!$P$6:$P$22/((1-($A480/固有振動数!$O$6:$O$22)^2)^2+固有振動数!$P$6:$P$22^2))</f>
        <v>-1.06930586931815</v>
      </c>
      <c r="D480" s="124" t="n">
        <f aca="false">SQRT(B480^2+C480^2)</f>
        <v>21.1539118067656</v>
      </c>
      <c r="E480" s="125" t="n">
        <f aca="false">20*LOG10(MAX(D480,0.000000000001)/$K$3)</f>
        <v>26.5078137878891</v>
      </c>
    </row>
    <row r="481" customFormat="false" ht="15" hidden="false" customHeight="false" outlineLevel="0" collapsed="false">
      <c r="A481" s="126" t="n">
        <f aca="false">A480+$F$3</f>
        <v>4750</v>
      </c>
      <c r="B481" s="127" t="n">
        <f aca="false">SUMPRODUCT(固有振動数!$Q$6:$Q$22*(1-($A481/固有振動数!$O$6:$O$22)^2)/((1-($A481/固有振動数!$O$6:$O$22)^2)^2+固有振動数!$P$6:$P$22^2))</f>
        <v>21.238731072799</v>
      </c>
      <c r="C481" s="127" t="n">
        <f aca="false">-SUMPRODUCT(固有振動数!$Q$6:$Q$22*固有振動数!$P$6:$P$22/((1-($A481/固有振動数!$O$6:$O$22)^2)^2+固有振動数!$P$6:$P$22^2))</f>
        <v>-1.08953880246215</v>
      </c>
      <c r="D481" s="128" t="n">
        <f aca="false">SQRT(B481^2+C481^2)</f>
        <v>21.2666591730988</v>
      </c>
      <c r="E481" s="129" t="n">
        <f aca="false">20*LOG10(MAX(D481,0.000000000001)/$K$3)</f>
        <v>26.5539854194509</v>
      </c>
    </row>
    <row r="482" customFormat="false" ht="15" hidden="false" customHeight="false" outlineLevel="0" collapsed="false">
      <c r="A482" s="122" t="n">
        <f aca="false">A481+$F$3</f>
        <v>4760</v>
      </c>
      <c r="B482" s="123" t="n">
        <f aca="false">SUMPRODUCT(固有振動数!$Q$6:$Q$22*(1-($A482/固有振動数!$O$6:$O$22)^2)/((1-($A482/固有振動数!$O$6:$O$22)^2)^2+固有振動数!$P$6:$P$22^2))</f>
        <v>21.3536265812853</v>
      </c>
      <c r="C482" s="123" t="n">
        <f aca="false">-SUMPRODUCT(固有振動数!$Q$6:$Q$22*固有振動数!$P$6:$P$22/((1-($A482/固有振動数!$O$6:$O$22)^2)^2+固有振動数!$P$6:$P$22^2))</f>
        <v>-1.11078603170198</v>
      </c>
      <c r="D482" s="124" t="n">
        <f aca="false">SQRT(B482^2+C482^2)</f>
        <v>21.3824978377456</v>
      </c>
      <c r="E482" s="125" t="n">
        <f aca="false">20*LOG10(MAX(D482,0.000000000001)/$K$3)</f>
        <v>26.6011687356833</v>
      </c>
    </row>
    <row r="483" customFormat="false" ht="15" hidden="false" customHeight="false" outlineLevel="0" collapsed="false">
      <c r="A483" s="126" t="n">
        <f aca="false">A482+$F$3</f>
        <v>4770</v>
      </c>
      <c r="B483" s="127" t="n">
        <f aca="false">SUMPRODUCT(固有振動数!$Q$6:$Q$22*(1-($A483/固有振動数!$O$6:$O$22)^2)/((1-($A483/固有振動数!$O$6:$O$22)^2)^2+固有振動数!$P$6:$P$22^2))</f>
        <v>21.4717120273497</v>
      </c>
      <c r="C483" s="127" t="n">
        <f aca="false">-SUMPRODUCT(固有振動数!$Q$6:$Q$22*固有振動数!$P$6:$P$22/((1-($A483/固有振動数!$O$6:$O$22)^2)^2+固有振動数!$P$6:$P$22^2))</f>
        <v>-1.13311937259399</v>
      </c>
      <c r="D483" s="128" t="n">
        <f aca="false">SQRT(B483^2+C483^2)</f>
        <v>21.5015901016176</v>
      </c>
      <c r="E483" s="129" t="n">
        <f aca="false">20*LOG10(MAX(D483,0.000000000001)/$K$3)</f>
        <v>26.6494115674495</v>
      </c>
    </row>
    <row r="484" customFormat="false" ht="15" hidden="false" customHeight="false" outlineLevel="0" collapsed="false">
      <c r="A484" s="122" t="n">
        <f aca="false">A483+$F$3</f>
        <v>4780</v>
      </c>
      <c r="B484" s="123" t="n">
        <f aca="false">SUMPRODUCT(固有振動数!$Q$6:$Q$22*(1-($A484/固有振動数!$O$6:$O$22)^2)/((1-($A484/固有振動数!$O$6:$O$22)^2)^2+固有振動数!$P$6:$P$22^2))</f>
        <v>21.5931552789299</v>
      </c>
      <c r="C484" s="123" t="n">
        <f aca="false">-SUMPRODUCT(固有振動数!$Q$6:$Q$22*固有振動数!$P$6:$P$22/((1-($A484/固有振動数!$O$6:$O$22)^2)^2+固有振動数!$P$6:$P$22^2))</f>
        <v>-1.15661725179953</v>
      </c>
      <c r="D484" s="124" t="n">
        <f aca="false">SQRT(B484^2+C484^2)</f>
        <v>21.6241096549</v>
      </c>
      <c r="E484" s="125" t="n">
        <f aca="false">20*LOG10(MAX(D484,0.000000000001)/$K$3)</f>
        <v>26.6987646996858</v>
      </c>
    </row>
    <row r="485" customFormat="false" ht="15" hidden="false" customHeight="false" outlineLevel="0" collapsed="false">
      <c r="A485" s="126" t="n">
        <f aca="false">A484+$F$3</f>
        <v>4790</v>
      </c>
      <c r="B485" s="127" t="n">
        <f aca="false">SUMPRODUCT(固有振動数!$Q$6:$Q$22*(1-($A485/固有振動数!$O$6:$O$22)^2)/((1-($A485/固有振動数!$O$6:$O$22)^2)^2+固有振動数!$P$6:$P$22^2))</f>
        <v>21.7181359529749</v>
      </c>
      <c r="C485" s="127" t="n">
        <f aca="false">-SUMPRODUCT(固有振動数!$Q$6:$Q$22*固有振動数!$P$6:$P$22/((1-($A485/固有振動数!$O$6:$O$22)^2)^2+固有振動数!$P$6:$P$22^2))</f>
        <v>-1.18136545159115</v>
      </c>
      <c r="D485" s="128" t="n">
        <f aca="false">SQRT(B485^2+C485^2)</f>
        <v>21.7502426101897</v>
      </c>
      <c r="E485" s="129" t="n">
        <f aca="false">20*LOG10(MAX(D485,0.000000000001)/$K$3)</f>
        <v>26.7492821119547</v>
      </c>
    </row>
    <row r="486" customFormat="false" ht="15" hidden="false" customHeight="false" outlineLevel="0" collapsed="false">
      <c r="A486" s="122" t="n">
        <f aca="false">A485+$F$3</f>
        <v>4800</v>
      </c>
      <c r="B486" s="123" t="n">
        <f aca="false">SUMPRODUCT(固有振動数!$Q$6:$Q$22*(1-($A486/固有振動数!$O$6:$O$22)^2)/((1-($A486/固有振動数!$O$6:$O$22)^2)^2+固有振動数!$P$6:$P$22^2))</f>
        <v>21.8468464681204</v>
      </c>
      <c r="C486" s="123" t="n">
        <f aca="false">-SUMPRODUCT(固有振動数!$Q$6:$Q$22*固有振動数!$P$6:$P$22/((1-($A486/固有振動数!$O$6:$O$22)^2)^2+固有振動数!$P$6:$P$22^2))</f>
        <v>-1.2074579539294</v>
      </c>
      <c r="D486" s="124" t="n">
        <f aca="false">SQRT(B486^2+C486^2)</f>
        <v>21.8801886489155</v>
      </c>
      <c r="E486" s="125" t="n">
        <f aca="false">20*LOG10(MAX(D486,0.000000000001)/$K$3)</f>
        <v>26.801021242469</v>
      </c>
    </row>
    <row r="487" customFormat="false" ht="15" hidden="false" customHeight="false" outlineLevel="0" collapsed="false">
      <c r="A487" s="126" t="n">
        <f aca="false">A486+$F$3</f>
        <v>4810</v>
      </c>
      <c r="B487" s="127" t="n">
        <f aca="false">SUMPRODUCT(固有振動数!$Q$6:$Q$22*(1-($A487/固有振動数!$O$6:$O$22)^2)/((1-($A487/固有振動数!$O$6:$O$22)^2)^2+固有振動数!$P$6:$P$22^2))</f>
        <v>21.979493209986</v>
      </c>
      <c r="C487" s="127" t="n">
        <f aca="false">-SUMPRODUCT(固有振動数!$Q$6:$Q$22*固有振動数!$P$6:$P$22/((1-($A487/固有振動数!$O$6:$O$22)^2)^2+固有振動数!$P$6:$P$22^2))</f>
        <v>-1.23499789956116</v>
      </c>
      <c r="D487" s="128" t="n">
        <f aca="false">SQRT(B487^2+C487^2)</f>
        <v>22.0141622956618</v>
      </c>
      <c r="E487" s="129" t="n">
        <f aca="false">20*LOG10(MAX(D487,0.000000000001)/$K$3)</f>
        <v>26.8540432782698</v>
      </c>
    </row>
    <row r="488" customFormat="false" ht="15" hidden="false" customHeight="false" outlineLevel="0" collapsed="false">
      <c r="A488" s="122" t="n">
        <f aca="false">A487+$F$3</f>
        <v>4820</v>
      </c>
      <c r="B488" s="123" t="n">
        <f aca="false">SUMPRODUCT(固有振動数!$Q$6:$Q$22*(1-($A488/固有振動数!$O$6:$O$22)^2)/((1-($A488/固有振動数!$O$6:$O$22)^2)^2+固有振動数!$P$6:$P$22^2))</f>
        <v>22.116297823022</v>
      </c>
      <c r="C488" s="123" t="n">
        <f aca="false">-SUMPRODUCT(固有振動数!$Q$6:$Q$22*固有振動数!$P$6:$P$22/((1-($A488/固有振動数!$O$6:$O$22)^2)^2+固有振動数!$P$6:$P$22^2))</f>
        <v>-1.26409868032753</v>
      </c>
      <c r="D488" s="124" t="n">
        <f aca="false">SQRT(B488^2+C488^2)</f>
        <v>22.1523943371865</v>
      </c>
      <c r="E488" s="125" t="n">
        <f aca="false">20*LOG10(MAX(D488,0.000000000001)/$K$3)</f>
        <v>26.9084134745949</v>
      </c>
    </row>
    <row r="489" customFormat="false" ht="15" hidden="false" customHeight="false" outlineLevel="0" collapsed="false">
      <c r="A489" s="126" t="n">
        <f aca="false">A488+$F$3</f>
        <v>4830</v>
      </c>
      <c r="B489" s="127" t="n">
        <f aca="false">SUMPRODUCT(固有振動数!$Q$6:$Q$22*(1-($A489/固有振動数!$O$6:$O$22)^2)/((1-($A489/固有振動数!$O$6:$O$22)^2)^2+固有振動数!$P$6:$P$22^2))</f>
        <v>22.2574986447573</v>
      </c>
      <c r="C489" s="127" t="n">
        <f aca="false">-SUMPRODUCT(固有振動数!$Q$6:$Q$22*固有振動数!$P$6:$P$22/((1-($A489/固有振動数!$O$6:$O$22)^2)^2+固有振動数!$P$6:$P$22^2))</f>
        <v>-1.29488518615187</v>
      </c>
      <c r="D489" s="128" t="n">
        <f aca="false">SQRT(B489^2+C489^2)</f>
        <v>22.2951334054472</v>
      </c>
      <c r="E489" s="129" t="n">
        <f aca="false">20*LOG10(MAX(D489,0.000000000001)/$K$3)</f>
        <v>26.9642015068691</v>
      </c>
    </row>
    <row r="490" customFormat="false" ht="15" hidden="false" customHeight="false" outlineLevel="0" collapsed="false">
      <c r="A490" s="122" t="n">
        <f aca="false">A489+$F$3</f>
        <v>4840</v>
      </c>
      <c r="B490" s="123" t="n">
        <f aca="false">SUMPRODUCT(固有振動数!$Q$6:$Q$22*(1-($A490/固有振動数!$O$6:$O$22)^2)/((1-($A490/固有振動数!$O$6:$O$22)^2)^2+固有振動数!$P$6:$P$22^2))</f>
        <v>22.4033523005053</v>
      </c>
      <c r="C490" s="123" t="n">
        <f aca="false">-SUMPRODUCT(固有振動数!$Q$6:$Q$22*固有振動数!$P$6:$P$22/((1-($A490/固有振動数!$O$6:$O$22)^2)^2+固有振動数!$P$6:$P$22^2))</f>
        <v>-1.32749523212933</v>
      </c>
      <c r="D490" s="124" t="n">
        <f aca="false">SQRT(B490^2+C490^2)</f>
        <v>22.4426477469099</v>
      </c>
      <c r="E490" s="125" t="n">
        <f aca="false">20*LOG10(MAX(D490,0.000000000001)/$K$3)</f>
        <v>27.021481859203</v>
      </c>
    </row>
    <row r="491" customFormat="false" ht="15" hidden="false" customHeight="false" outlineLevel="0" collapsed="false">
      <c r="A491" s="126" t="n">
        <f aca="false">A490+$F$3</f>
        <v>4850</v>
      </c>
      <c r="B491" s="127" t="n">
        <f aca="false">SUMPRODUCT(固有振動数!$Q$6:$Q$22*(1-($A491/固有振動数!$O$6:$O$22)^2)/((1-($A491/固有振動数!$O$6:$O$22)^2)^2+固有振動数!$P$6:$P$22^2))</f>
        <v>22.5541354791209</v>
      </c>
      <c r="C491" s="127" t="n">
        <f aca="false">-SUMPRODUCT(固有振動数!$Q$6:$Q$22*固有振動数!$P$6:$P$22/((1-($A491/固有振動数!$O$6:$O$22)^2)^2+固有振動数!$P$6:$P$22^2))</f>
        <v>-1.36208119590816</v>
      </c>
      <c r="D491" s="128" t="n">
        <f aca="false">SQRT(B491^2+C491^2)</f>
        <v>22.5952272038762</v>
      </c>
      <c r="E491" s="129" t="n">
        <f aca="false">20*LOG10(MAX(D491,0.000000000001)/$K$3)</f>
        <v>27.0803342538123</v>
      </c>
    </row>
    <row r="492" customFormat="false" ht="15" hidden="false" customHeight="false" outlineLevel="0" collapsed="false">
      <c r="A492" s="122" t="n">
        <f aca="false">A491+$F$3</f>
        <v>4860</v>
      </c>
      <c r="B492" s="123" t="n">
        <f aca="false">SUMPRODUCT(固有振動数!$Q$6:$Q$22*(1-($A492/固有振動数!$O$6:$O$22)^2)/((1-($A492/固有振動数!$O$6:$O$22)^2)^2+固有振動数!$P$6:$P$22^2))</f>
        <v>22.710146913311</v>
      </c>
      <c r="C492" s="123" t="n">
        <f aca="false">-SUMPRODUCT(固有振動数!$Q$6:$Q$22*固有振動数!$P$6:$P$22/((1-($A492/固有振動数!$O$6:$O$22)^2)^2+固有振動数!$P$6:$P$22^2))</f>
        <v>-1.39881190133055</v>
      </c>
      <c r="D492" s="124" t="n">
        <f aca="false">SQRT(B492^2+C492^2)</f>
        <v>22.7531854376365</v>
      </c>
      <c r="E492" s="125" t="n">
        <f aca="false">20*LOG10(MAX(D492,0.000000000001)/$K$3)</f>
        <v>27.1408441263633</v>
      </c>
    </row>
    <row r="493" customFormat="false" ht="15" hidden="false" customHeight="false" outlineLevel="0" collapsed="false">
      <c r="A493" s="126" t="n">
        <f aca="false">A492+$F$3</f>
        <v>4870</v>
      </c>
      <c r="B493" s="127" t="n">
        <f aca="false">SUMPRODUCT(固有振動数!$Q$6:$Q$22*(1-($A493/固有振動数!$O$6:$O$22)^2)/((1-($A493/固有振動数!$O$6:$O$22)^2)^2+固有振動数!$P$6:$P$22^2))</f>
        <v>22.8717095913406</v>
      </c>
      <c r="C493" s="127" t="n">
        <f aca="false">-SUMPRODUCT(固有振動数!$Q$6:$Q$22*固有振動数!$P$6:$P$22/((1-($A493/固有振動数!$O$6:$O$22)^2)^2+固有振動数!$P$6:$P$22^2))</f>
        <v>-1.43787479132354</v>
      </c>
      <c r="D493" s="128" t="n">
        <f aca="false">SQRT(B493^2+C493^2)</f>
        <v>22.9168624280495</v>
      </c>
      <c r="E493" s="129" t="n">
        <f aca="false">20*LOG10(MAX(D493,0.000000000001)/$K$3)</f>
        <v>27.2031031529402</v>
      </c>
    </row>
    <row r="494" customFormat="false" ht="15" hidden="false" customHeight="false" outlineLevel="0" collapsed="false">
      <c r="A494" s="122" t="n">
        <f aca="false">A493+$F$3</f>
        <v>4880</v>
      </c>
      <c r="B494" s="123" t="n">
        <f aca="false">SUMPRODUCT(固有振動数!$Q$6:$Q$22*(1-($A494/固有振動数!$O$6:$O$22)^2)/((1-($A494/固有振動数!$O$6:$O$22)^2)^2+固有振動数!$P$6:$P$22^2))</f>
        <v>23.0391732308026</v>
      </c>
      <c r="C494" s="123" t="n">
        <f aca="false">-SUMPRODUCT(固有振動数!$Q$6:$Q$22*固有振動数!$P$6:$P$22/((1-($A494/固有振動数!$O$6:$O$22)^2)^2+固有振動数!$P$6:$P$22^2))</f>
        <v>-1.47947844159805</v>
      </c>
      <c r="D494" s="124" t="n">
        <f aca="false">SQRT(B494^2+C494^2)</f>
        <v>23.0866272897988</v>
      </c>
      <c r="E494" s="125" t="n">
        <f aca="false">20*LOG10(MAX(D494,0.000000000001)/$K$3)</f>
        <v>27.2672098351158</v>
      </c>
    </row>
    <row r="495" customFormat="false" ht="15" hidden="false" customHeight="false" outlineLevel="0" collapsed="false">
      <c r="A495" s="126" t="n">
        <f aca="false">A494+$F$3</f>
        <v>4890</v>
      </c>
      <c r="B495" s="127" t="n">
        <f aca="false">SUMPRODUCT(固有振動数!$Q$6:$Q$22*(1-($A495/固有振動数!$O$6:$O$22)^2)/((1-($A495/固有振動数!$O$6:$O$22)^2)^2+固有振動数!$P$6:$P$22^2))</f>
        <v>23.2129170494995</v>
      </c>
      <c r="C495" s="127" t="n">
        <f aca="false">-SUMPRODUCT(固有振動数!$Q$6:$Q$22*固有振動数!$P$6:$P$22/((1-($A495/固有振動数!$O$6:$O$22)^2)^2+固有振動数!$P$6:$P$22^2))</f>
        <v>-1.52385547720476</v>
      </c>
      <c r="D495" s="128" t="n">
        <f aca="false">SQRT(B495^2+C495^2)</f>
        <v>23.2628814522697</v>
      </c>
      <c r="E495" s="129" t="n">
        <f aca="false">20*LOG10(MAX(D495,0.000000000001)/$K$3)</f>
        <v>27.33327015051</v>
      </c>
    </row>
    <row r="496" customFormat="false" ht="15" hidden="false" customHeight="false" outlineLevel="0" collapsed="false">
      <c r="A496" s="122" t="n">
        <f aca="false">A495+$F$3</f>
        <v>4900</v>
      </c>
      <c r="B496" s="123" t="n">
        <f aca="false">SUMPRODUCT(固有振動数!$Q$6:$Q$22*(1-($A496/固有振動数!$O$6:$O$22)^2)/((1-($A496/固有振動数!$O$6:$O$22)^2)^2+固有振動数!$P$6:$P$22^2))</f>
        <v>23.3933528734771</v>
      </c>
      <c r="C496" s="123" t="n">
        <f aca="false">-SUMPRODUCT(固有振動数!$Q$6:$Q$22*固有振動数!$P$6:$P$22/((1-($A496/固有振動数!$O$6:$O$22)^2)^2+固有振動数!$P$6:$P$22^2))</f>
        <v>-1.57126596689041</v>
      </c>
      <c r="D496" s="124" t="n">
        <f aca="false">SQRT(B496^2+C496^2)</f>
        <v>23.4460622579087</v>
      </c>
      <c r="E496" s="125" t="n">
        <f aca="false">20*LOG10(MAX(D496,0.000000000001)/$K$3)</f>
        <v>27.4013982772596</v>
      </c>
    </row>
    <row r="497" customFormat="false" ht="15" hidden="false" customHeight="false" outlineLevel="0" collapsed="false">
      <c r="A497" s="126" t="n">
        <f aca="false">A496+$F$3</f>
        <v>4910</v>
      </c>
      <c r="B497" s="127" t="n">
        <f aca="false">SUMPRODUCT(固有振動数!$Q$6:$Q$22*(1-($A497/固有振動数!$O$6:$O$22)^2)/((1-($A497/固有振動数!$O$6:$O$22)^2)^2+固有振動数!$P$6:$P$22^2))</f>
        <v>23.5809286279226</v>
      </c>
      <c r="C497" s="127" t="n">
        <f aca="false">-SUMPRODUCT(固有振動数!$Q$6:$Q$22*固有振動数!$P$6:$P$22/((1-($A497/固有振動数!$O$6:$O$22)^2)^2+固有振動数!$P$6:$P$22^2))</f>
        <v>-1.62200138611122</v>
      </c>
      <c r="D497" s="128" t="n">
        <f aca="false">SQRT(B497^2+C497^2)</f>
        <v>23.6366470433461</v>
      </c>
      <c r="E497" s="129" t="n">
        <f aca="false">20*LOG10(MAX(D497,0.000000000001)/$K$3)</f>
        <v>27.4717174020102</v>
      </c>
    </row>
    <row r="498" customFormat="false" ht="15" hidden="false" customHeight="false" outlineLevel="0" collapsed="false">
      <c r="A498" s="122" t="n">
        <f aca="false">A497+$F$3</f>
        <v>4920</v>
      </c>
      <c r="B498" s="123" t="n">
        <f aca="false">SUMPRODUCT(固有振動数!$Q$6:$Q$22*(1-($A498/固有振動数!$O$6:$O$22)^2)/((1-($A498/固有振動数!$O$6:$O$22)^2)^2+固有振動数!$P$6:$P$22^2))</f>
        <v>23.776132263047</v>
      </c>
      <c r="C498" s="123" t="n">
        <f aca="false">-SUMPRODUCT(固有振動数!$Q$6:$Q$22*固有振動数!$P$6:$P$22/((1-($A498/固有振動数!$O$6:$O$22)^2)^2+固有振動数!$P$6:$P$22^2))</f>
        <v>-1.67638925927663</v>
      </c>
      <c r="D498" s="124" t="n">
        <f aca="false">SQRT(B498^2+C498^2)</f>
        <v>23.835157778763</v>
      </c>
      <c r="E498" s="125" t="n">
        <f aca="false">20*LOG10(MAX(D498,0.000000000001)/$K$3)</f>
        <v>27.5443606224035</v>
      </c>
    </row>
    <row r="499" customFormat="false" ht="15" hidden="false" customHeight="false" outlineLevel="0" collapsed="false">
      <c r="A499" s="126" t="n">
        <f aca="false">A498+$F$3</f>
        <v>4930</v>
      </c>
      <c r="B499" s="127" t="n">
        <f aca="false">SUMPRODUCT(固有振動数!$Q$6:$Q$22*(1-($A499/固有振動数!$O$6:$O$22)^2)/((1-($A499/固有振動数!$O$6:$O$22)^2)^2+固有振動数!$P$6:$P$22^2))</f>
        <v>23.9794961742471</v>
      </c>
      <c r="C499" s="127" t="n">
        <f aca="false">-SUMPRODUCT(固有振動数!$Q$6:$Q$22*固有振動数!$P$6:$P$22/((1-($A499/固有振動数!$O$6:$O$22)^2)^2+固有振動数!$P$6:$P$22^2))</f>
        <v>-1.73479861632991</v>
      </c>
      <c r="D499" s="128" t="n">
        <f aca="false">SQRT(B499^2+C499^2)</f>
        <v>24.042166354344</v>
      </c>
      <c r="E499" s="129" t="n">
        <f aca="false">20*LOG10(MAX(D499,0.000000000001)/$K$3)</f>
        <v>27.6194719565878</v>
      </c>
    </row>
    <row r="500" customFormat="false" ht="15" hidden="false" customHeight="false" outlineLevel="0" collapsed="false">
      <c r="A500" s="122" t="n">
        <f aca="false">A499+$F$3</f>
        <v>4940</v>
      </c>
      <c r="B500" s="123" t="n">
        <f aca="false">SUMPRODUCT(固有振動数!$Q$6:$Q$22*(1-($A500/固有振動数!$O$6:$O$22)^2)/((1-($A500/固有振動数!$O$6:$O$22)^2)^2+固有振動数!$P$6:$P$22^2))</f>
        <v>24.1916021837787</v>
      </c>
      <c r="C500" s="123" t="n">
        <f aca="false">-SUMPRODUCT(固有振動数!$Q$6:$Q$22*固有振動数!$P$6:$P$22/((1-($A500/固有振動数!$O$6:$O$22)^2)^2+固有振動数!$P$6:$P$22^2))</f>
        <v>-1.79764642943051</v>
      </c>
      <c r="D500" s="124" t="n">
        <f aca="false">SQRT(B500^2+C500^2)</f>
        <v>24.2583006186223</v>
      </c>
      <c r="E500" s="125" t="n">
        <f aca="false">20*LOG10(MAX(D500,0.000000000001)/$K$3)</f>
        <v>27.6972074740527</v>
      </c>
    </row>
    <row r="501" customFormat="false" ht="15" hidden="false" customHeight="false" outlineLevel="0" collapsed="false">
      <c r="A501" s="126" t="n">
        <f aca="false">A500+$F$3</f>
        <v>4950</v>
      </c>
      <c r="B501" s="127" t="n">
        <f aca="false">SUMPRODUCT(固有振動数!$Q$6:$Q$22*(1-($A501/固有振動数!$O$6:$O$22)^2)/((1-($A501/固有振動数!$O$6:$O$22)^2)^2+固有振動数!$P$6:$P$22^2))</f>
        <v>24.4130871598197</v>
      </c>
      <c r="C501" s="127" t="n">
        <f aca="false">-SUMPRODUCT(固有振動数!$Q$6:$Q$22*固有振動数!$P$6:$P$22/((1-($A501/固有振動数!$O$6:$O$22)^2)^2+固有振動数!$P$6:$P$22^2))</f>
        <v>-1.86540523398584</v>
      </c>
      <c r="D501" s="128" t="n">
        <f aca="false">SQRT(B501^2+C501^2)</f>
        <v>24.4842512926153</v>
      </c>
      <c r="E501" s="129" t="n">
        <f aca="false">20*LOG10(MAX(D501,0.000000000001)/$K$3)</f>
        <v>27.7777365640974</v>
      </c>
    </row>
    <row r="502" customFormat="false" ht="15" hidden="false" customHeight="false" outlineLevel="0" collapsed="false">
      <c r="A502" s="122" t="n">
        <f aca="false">A501+$F$3</f>
        <v>4960</v>
      </c>
      <c r="B502" s="123" t="n">
        <f aca="false">SUMPRODUCT(固有振動数!$Q$6:$Q$22*(1-($A502/固有振動数!$O$6:$O$22)^2)/((1-($A502/固有振動数!$O$6:$O$22)^2)^2+固有振動数!$P$6:$P$22^2))</f>
        <v>24.6446493579525</v>
      </c>
      <c r="C502" s="123" t="n">
        <f aca="false">-SUMPRODUCT(固有振動数!$Q$6:$Q$22*固有振動数!$P$6:$P$22/((1-($A502/固有振動数!$O$6:$O$22)^2)^2+固有振動数!$P$6:$P$22^2))</f>
        <v>-1.93861218680723</v>
      </c>
      <c r="D502" s="124" t="n">
        <f aca="false">SQRT(B502^2+C502^2)</f>
        <v>24.7207799065334</v>
      </c>
      <c r="E502" s="125" t="n">
        <f aca="false">20*LOG10(MAX(D502,0.000000000001)/$K$3)</f>
        <v>27.8612433605046</v>
      </c>
    </row>
    <row r="503" customFormat="false" ht="15" hidden="false" customHeight="false" outlineLevel="0" collapsed="false">
      <c r="A503" s="126" t="n">
        <f aca="false">A502+$F$3</f>
        <v>4970</v>
      </c>
      <c r="B503" s="127" t="n">
        <f aca="false">SUMPRODUCT(固有振動数!$Q$6:$Q$22*(1-($A503/固有振動数!$O$6:$O$22)^2)/((1-($A503/固有振動数!$O$6:$O$22)^2)^2+固有振動数!$P$6:$P$22^2))</f>
        <v>24.8870555794251</v>
      </c>
      <c r="C503" s="127" t="n">
        <f aca="false">-SUMPRODUCT(固有振動数!$Q$6:$Q$22*固有振動数!$P$6:$P$22/((1-($A503/固有振動数!$O$6:$O$22)^2)^2+固有振動数!$P$6:$P$22^2))</f>
        <v>-2.01787987564486</v>
      </c>
      <c r="D503" s="128" t="n">
        <f aca="false">SQRT(B503^2+C503^2)</f>
        <v>24.9687279332754</v>
      </c>
      <c r="E503" s="129" t="n">
        <f aca="false">20*LOG10(MAX(D503,0.000000000001)/$K$3)</f>
        <v>27.9479283435175</v>
      </c>
    </row>
    <row r="504" customFormat="false" ht="15" hidden="false" customHeight="false" outlineLevel="0" collapsed="false">
      <c r="A504" s="122" t="n">
        <f aca="false">A503+$F$3</f>
        <v>4980</v>
      </c>
      <c r="B504" s="123" t="n">
        <f aca="false">SUMPRODUCT(固有振動数!$Q$6:$Q$22*(1-($A504/固有振動数!$O$6:$O$22)^2)/((1-($A504/固有振動数!$O$6:$O$22)^2)^2+固有振動数!$P$6:$P$22^2))</f>
        <v>25.1411492493849</v>
      </c>
      <c r="C504" s="123" t="n">
        <f aca="false">-SUMPRODUCT(固有振動数!$Q$6:$Q$22*固有振動数!$P$6:$P$22/((1-($A504/固有振動数!$O$6:$O$22)^2)^2+固有振動数!$P$6:$P$22^2))</f>
        <v>-2.10390927262308</v>
      </c>
      <c r="D504" s="124" t="n">
        <f aca="false">SQRT(B504^2+C504^2)</f>
        <v>25.2290273258261</v>
      </c>
      <c r="E504" s="125" t="n">
        <f aca="false">20*LOG10(MAX(D504,0.000000000001)/$K$3)</f>
        <v>28.0380101429956</v>
      </c>
    </row>
    <row r="505" customFormat="false" ht="15" hidden="false" customHeight="false" outlineLevel="0" collapsed="false">
      <c r="A505" s="126" t="n">
        <f aca="false">A504+$F$3</f>
        <v>4990</v>
      </c>
      <c r="B505" s="127" t="n">
        <f aca="false">SUMPRODUCT(固有振動数!$Q$6:$Q$22*(1-($A505/固有振動数!$O$6:$O$22)^2)/((1-($A505/固有振動数!$O$6:$O$22)^2)^2+固有振動数!$P$6:$P$22^2))</f>
        <v>25.4078595255412</v>
      </c>
      <c r="C505" s="127" t="n">
        <f aca="false">-SUMPRODUCT(固有振動数!$Q$6:$Q$22*固有振動数!$P$6:$P$22/((1-($A505/固有振動数!$O$6:$O$22)^2)^2+固有振動数!$P$6:$P$22^2))</f>
        <v>-2.19750532422577</v>
      </c>
      <c r="D505" s="128" t="n">
        <f aca="false">SQRT(B505^2+C505^2)</f>
        <v>25.502712705115</v>
      </c>
      <c r="E505" s="129" t="n">
        <f aca="false">20*LOG10(MAX(D505,0.000000000001)/$K$3)</f>
        <v>28.1317275696224</v>
      </c>
    </row>
    <row r="506" customFormat="false" ht="15" hidden="false" customHeight="false" outlineLevel="0" collapsed="false">
      <c r="A506" s="122" t="n">
        <f aca="false">A505+$F$3</f>
        <v>5000</v>
      </c>
      <c r="B506" s="123" t="n">
        <f aca="false">SUMPRODUCT(固有振動数!$Q$6:$Q$22*(1-($A506/固有振動数!$O$6:$O$22)^2)/((1-($A506/固有振動数!$O$6:$O$22)^2)^2+固有振動数!$P$6:$P$22^2))</f>
        <v>25.6882115515736</v>
      </c>
      <c r="C506" s="123" t="n">
        <f aca="false">-SUMPRODUCT(固有振動数!$Q$6:$Q$22*固有振動数!$P$6:$P$22/((1-($A506/固有振動数!$O$6:$O$22)^2)^2+固有振動数!$P$6:$P$22^2))</f>
        <v>-2.29959579922086</v>
      </c>
      <c r="D506" s="124" t="n">
        <f aca="false">SQRT(B506^2+C506^2)</f>
        <v>25.7909354921103</v>
      </c>
      <c r="E506" s="125" t="n">
        <f aca="false">20*LOG10(MAX(D506,0.000000000001)/$K$3)</f>
        <v>28.2293419041725</v>
      </c>
    </row>
    <row r="507" customFormat="false" ht="15" hidden="false" customHeight="false" outlineLevel="0" collapsed="false">
      <c r="A507" s="126" t="n">
        <f aca="false">A506+$F$3</f>
        <v>5010</v>
      </c>
      <c r="B507" s="127" t="n">
        <f aca="false">SUMPRODUCT(固有振動数!$Q$6:$Q$22*(1-($A507/固有振動数!$O$6:$O$22)^2)/((1-($A507/固有振動数!$O$6:$O$22)^2)^2+固有振動数!$P$6:$P$22^2))</f>
        <v>25.9833379671318</v>
      </c>
      <c r="C507" s="127" t="n">
        <f aca="false">-SUMPRODUCT(固有振動数!$Q$6:$Q$22*固有振動数!$P$6:$P$22/((1-($A507/固有振動数!$O$6:$O$22)^2)^2+固有振動数!$P$6:$P$22^2))</f>
        <v>-2.41125418228253</v>
      </c>
      <c r="D507" s="128" t="n">
        <f aca="false">SQRT(B507^2+C507^2)</f>
        <v>26.0949803342668</v>
      </c>
      <c r="E507" s="129" t="n">
        <f aca="false">20*LOG10(MAX(D507,0.000000000001)/$K$3)</f>
        <v>28.3311394779605</v>
      </c>
    </row>
    <row r="508" customFormat="false" ht="15" hidden="false" customHeight="false" outlineLevel="0" collapsed="false">
      <c r="A508" s="122" t="n">
        <f aca="false">A507+$F$3</f>
        <v>5020</v>
      </c>
      <c r="B508" s="123" t="n">
        <f aca="false">SUMPRODUCT(固有振動数!$Q$6:$Q$22*(1-($A508/固有振動数!$O$6:$O$22)^2)/((1-($A508/固有振動数!$O$6:$O$22)^2)^2+固有振動数!$P$6:$P$22^2))</f>
        <v>26.2944917727649</v>
      </c>
      <c r="C508" s="123" t="n">
        <f aca="false">-SUMPRODUCT(固有振動数!$Q$6:$Q$22*固有振動数!$P$6:$P$22/((1-($A508/固有振動数!$O$6:$O$22)^2)^2+固有振動数!$P$6:$P$22^2))</f>
        <v>-2.53372761716923</v>
      </c>
      <c r="D508" s="124" t="n">
        <f aca="false">SQRT(B508^2+C508^2)</f>
        <v>26.4162842433604</v>
      </c>
      <c r="E508" s="125" t="n">
        <f aca="false">20*LOG10(MAX(D508,0.000000000001)/$K$3)</f>
        <v>28.4374345804116</v>
      </c>
    </row>
    <row r="509" customFormat="false" ht="15" hidden="false" customHeight="false" outlineLevel="0" collapsed="false">
      <c r="A509" s="126" t="n">
        <f aca="false">A508+$F$3</f>
        <v>5030</v>
      </c>
      <c r="B509" s="127" t="n">
        <f aca="false">SUMPRODUCT(固有振動数!$Q$6:$Q$22*(1-($A509/固有振動数!$O$6:$O$22)^2)/((1-($A509/固有振動数!$O$6:$O$22)^2)^2+固有振動数!$P$6:$P$22^2))</f>
        <v>26.6230606161349</v>
      </c>
      <c r="C509" s="127" t="n">
        <f aca="false">-SUMPRODUCT(固有振動数!$Q$6:$Q$22*固有振動数!$P$6:$P$22/((1-($A509/固有振動数!$O$6:$O$22)^2)^2+固有振動数!$P$6:$P$22^2))</f>
        <v>-2.66847118544862</v>
      </c>
      <c r="D509" s="128" t="n">
        <f aca="false">SQRT(B509^2+C509^2)</f>
        <v>26.7564589405617</v>
      </c>
      <c r="E509" s="129" t="n">
        <f aca="false">20*LOG10(MAX(D509,0.000000000001)/$K$3)</f>
        <v>28.5485727317414</v>
      </c>
    </row>
    <row r="510" customFormat="false" ht="15" hidden="false" customHeight="false" outlineLevel="0" collapsed="false">
      <c r="A510" s="122" t="n">
        <f aca="false">A509+$F$3</f>
        <v>5040</v>
      </c>
      <c r="B510" s="123" t="n">
        <f aca="false">SUMPRODUCT(固有振動数!$Q$6:$Q$22*(1-($A510/固有振動数!$O$6:$O$22)^2)/((1-($A510/固有振動数!$O$6:$O$22)^2)^2+固有振動数!$P$6:$P$22^2))</f>
        <v>26.9705825036088</v>
      </c>
      <c r="C510" s="123" t="n">
        <f aca="false">-SUMPRODUCT(固有振動数!$Q$6:$Q$22*固有振動数!$P$6:$P$22/((1-($A510/固有振動数!$O$6:$O$22)^2)^2+固有振動数!$P$6:$P$22^2))</f>
        <v>-2.81719017696107</v>
      </c>
      <c r="D510" s="124" t="n">
        <f aca="false">SQRT(B510^2+C510^2)</f>
        <v>27.1173169962873</v>
      </c>
      <c r="E510" s="125" t="n">
        <f aca="false">20*LOG10(MAX(D510,0.000000000001)/$K$3)</f>
        <v>28.6649343592479</v>
      </c>
    </row>
    <row r="511" customFormat="false" ht="15" hidden="false" customHeight="false" outlineLevel="0" collapsed="false">
      <c r="A511" s="126" t="n">
        <f aca="false">A510+$F$3</f>
        <v>5050</v>
      </c>
      <c r="B511" s="127" t="n">
        <f aca="false">SUMPRODUCT(固有振動数!$Q$6:$Q$22*(1-($A511/固有振動数!$O$6:$O$22)^2)/((1-($A511/固有振動数!$O$6:$O$22)^2)^2+固有振動数!$P$6:$P$22^2))</f>
        <v>27.3387628301896</v>
      </c>
      <c r="C511" s="127" t="n">
        <f aca="false">-SUMPRODUCT(固有振動数!$Q$6:$Q$22*固有振動数!$P$6:$P$22/((1-($A511/固有振動数!$O$6:$O$22)^2)^2+固有振動数!$P$6:$P$22^2))</f>
        <v>-2.98189249634273</v>
      </c>
      <c r="D511" s="128" t="n">
        <f aca="false">SQRT(B511^2+C511^2)</f>
        <v>27.5009024569213</v>
      </c>
      <c r="E511" s="129" t="n">
        <f aca="false">20*LOG10(MAX(D511,0.000000000001)/$K$3)</f>
        <v>28.7869389134273</v>
      </c>
    </row>
    <row r="512" customFormat="false" ht="15" hidden="false" customHeight="false" outlineLevel="0" collapsed="false">
      <c r="A512" s="122" t="n">
        <f aca="false">A511+$F$3</f>
        <v>5060</v>
      </c>
      <c r="B512" s="123" t="n">
        <f aca="false">SUMPRODUCT(固有振動数!$Q$6:$Q$22*(1-($A512/固有振動数!$O$6:$O$22)^2)/((1-($A512/固有振動数!$O$6:$O$22)^2)^2+固有振動数!$P$6:$P$22^2))</f>
        <v>27.7294924313076</v>
      </c>
      <c r="C512" s="123" t="n">
        <f aca="false">-SUMPRODUCT(固有振動数!$Q$6:$Q$22*固有振動数!$P$6:$P$22/((1-($A512/固有振動数!$O$6:$O$22)^2)^2+固有振動数!$P$6:$P$22^2))</f>
        <v>-3.16495399650948</v>
      </c>
      <c r="D512" s="124" t="n">
        <f aca="false">SQRT(B512^2+C512^2)</f>
        <v>27.9095267659265</v>
      </c>
      <c r="E512" s="125" t="n">
        <f aca="false">20*LOG10(MAX(D512,0.000000000001)/$K$3)</f>
        <v>28.9150494530337</v>
      </c>
    </row>
    <row r="513" customFormat="false" ht="15" hidden="false" customHeight="false" outlineLevel="0" collapsed="false">
      <c r="A513" s="126" t="n">
        <f aca="false">A512+$F$3</f>
        <v>5070</v>
      </c>
      <c r="B513" s="127" t="n">
        <f aca="false">SUMPRODUCT(固有振動数!$Q$6:$Q$22*(1-($A513/固有振動数!$O$6:$O$22)^2)/((1-($A513/固有振動数!$O$6:$O$22)^2)^2+固有振動数!$P$6:$P$22^2))</f>
        <v>28.1448660456184</v>
      </c>
      <c r="C513" s="127" t="n">
        <f aca="false">-SUMPRODUCT(固有振動数!$Q$6:$Q$22*固有振動数!$P$6:$P$22/((1-($A513/固有振動数!$O$6:$O$22)^2)^2+固有振動数!$P$6:$P$22^2))</f>
        <v>-3.36920038999247</v>
      </c>
      <c r="D513" s="128" t="n">
        <f aca="false">SQRT(B513^2+C513^2)</f>
        <v>28.3458109073233</v>
      </c>
      <c r="E513" s="129" t="n">
        <f aca="false">20*LOG10(MAX(D513,0.000000000001)/$K$3)</f>
        <v>29.0497777130724</v>
      </c>
    </row>
    <row r="514" customFormat="false" ht="15" hidden="false" customHeight="false" outlineLevel="0" collapsed="false">
      <c r="A514" s="122" t="n">
        <f aca="false">A513+$F$3</f>
        <v>5080</v>
      </c>
      <c r="B514" s="123" t="n">
        <f aca="false">SUMPRODUCT(固有振動数!$Q$6:$Q$22*(1-($A514/固有振動数!$O$6:$O$22)^2)/((1-($A514/固有振動数!$O$6:$O$22)^2)^2+固有振動数!$P$6:$P$22^2))</f>
        <v>28.5872000644655</v>
      </c>
      <c r="C514" s="123" t="n">
        <f aca="false">-SUMPRODUCT(固有振動数!$Q$6:$Q$22*固有振動数!$P$6:$P$22/((1-($A514/固有振動数!$O$6:$O$22)^2)^2+固有振動数!$P$6:$P$22^2))</f>
        <v>-3.59801053672667</v>
      </c>
      <c r="D514" s="124" t="n">
        <f aca="false">SQRT(B514^2+C514^2)</f>
        <v>28.8127348120267</v>
      </c>
      <c r="E514" s="125" t="n">
        <f aca="false">20*LOG10(MAX(D514,0.000000000001)/$K$3)</f>
        <v>29.1916896414177</v>
      </c>
    </row>
    <row r="515" customFormat="false" ht="15" hidden="false" customHeight="false" outlineLevel="0" collapsed="false">
      <c r="A515" s="126" t="n">
        <f aca="false">A514+$F$3</f>
        <v>5090</v>
      </c>
      <c r="B515" s="127" t="n">
        <f aca="false">SUMPRODUCT(固有振動数!$Q$6:$Q$22*(1-($A515/固有振動数!$O$6:$O$22)^2)/((1-($A515/固有振動数!$O$6:$O$22)^2)^2+固有振動数!$P$6:$P$22^2))</f>
        <v>29.0590476125087</v>
      </c>
      <c r="C515" s="127" t="n">
        <f aca="false">-SUMPRODUCT(固有振動数!$Q$6:$Q$22*固有振動数!$P$6:$P$22/((1-($A515/固有振動数!$O$6:$O$22)^2)^2+固有振動数!$P$6:$P$22^2))</f>
        <v>-3.8554474420493</v>
      </c>
      <c r="D515" s="128" t="n">
        <f aca="false">SQRT(B515^2+C515^2)</f>
        <v>29.3136951462018</v>
      </c>
      <c r="E515" s="129" t="n">
        <f aca="false">20*LOG10(MAX(D515,0.000000000001)/$K$3)</f>
        <v>29.3414113400791</v>
      </c>
    </row>
    <row r="516" customFormat="false" ht="15" hidden="false" customHeight="false" outlineLevel="0" collapsed="false">
      <c r="A516" s="122" t="n">
        <f aca="false">A515+$F$3</f>
        <v>5100</v>
      </c>
      <c r="B516" s="123" t="n">
        <f aca="false">SUMPRODUCT(固有振動数!$Q$6:$Q$22*(1-($A516/固有振動数!$O$6:$O$22)^2)/((1-($A516/固有振動数!$O$6:$O$22)^2)^2+固有振動数!$P$6:$P$22^2))</f>
        <v>29.5632076647154</v>
      </c>
      <c r="C516" s="123" t="n">
        <f aca="false">-SUMPRODUCT(固有振動数!$Q$6:$Q$22*固有振動数!$P$6:$P$22/((1-($A516/固有振動数!$O$6:$O$22)^2)^2+固有振動数!$P$6:$P$22^2))</f>
        <v>-4.14642535321407</v>
      </c>
      <c r="D516" s="124" t="n">
        <f aca="false">SQRT(B516^2+C516^2)</f>
        <v>29.8525725966266</v>
      </c>
      <c r="E516" s="125" t="n">
        <f aca="false">20*LOG10(MAX(D516,0.000000000001)/$K$3)</f>
        <v>29.4996352629939</v>
      </c>
    </row>
    <row r="517" customFormat="false" ht="15" hidden="false" customHeight="false" outlineLevel="0" collapsed="false">
      <c r="A517" s="126" t="n">
        <f aca="false">A516+$F$3</f>
        <v>5110</v>
      </c>
      <c r="B517" s="127" t="n">
        <f aca="false">SUMPRODUCT(固有振動数!$Q$6:$Q$22*(1-($A517/固有振動数!$O$6:$O$22)^2)/((1-($A517/固有振動数!$O$6:$O$22)^2)^2+固有振動数!$P$6:$P$22^2))</f>
        <v>30.1027227496711</v>
      </c>
      <c r="C517" s="127" t="n">
        <f aca="false">-SUMPRODUCT(固有振動数!$Q$6:$Q$22*固有振動数!$P$6:$P$22/((1-($A517/固有振動数!$O$6:$O$22)^2)^2+固有振動数!$P$6:$P$22^2))</f>
        <v>-4.47692408674754</v>
      </c>
      <c r="D517" s="128" t="n">
        <f aca="false">SQRT(B517^2+C517^2)</f>
        <v>30.4338095910136</v>
      </c>
      <c r="E517" s="129" t="n">
        <f aca="false">20*LOG10(MAX(D517,0.000000000001)/$K$3)</f>
        <v>29.6671263825561</v>
      </c>
    </row>
    <row r="518" customFormat="false" ht="15" hidden="false" customHeight="false" outlineLevel="0" collapsed="false">
      <c r="A518" s="122" t="n">
        <f aca="false">A517+$F$3</f>
        <v>5120</v>
      </c>
      <c r="B518" s="123" t="n">
        <f aca="false">SUMPRODUCT(固有振動数!$Q$6:$Q$22*(1-($A518/固有振動数!$O$6:$O$22)^2)/((1-($A518/固有振動数!$O$6:$O$22)^2)^2+固有振動数!$P$6:$P$22^2))</f>
        <v>30.6808563177728</v>
      </c>
      <c r="C518" s="123" t="n">
        <f aca="false">-SUMPRODUCT(固有振動数!$Q$6:$Q$22*固有振動数!$P$6:$P$22/((1-($A518/固有振動数!$O$6:$O$22)^2)^2+固有振動数!$P$6:$P$22^2))</f>
        <v>-4.85426536129937</v>
      </c>
      <c r="D518" s="124" t="n">
        <f aca="false">SQRT(B518^2+C518^2)</f>
        <v>31.0624988787079</v>
      </c>
      <c r="E518" s="125" t="n">
        <f aca="false">20*LOG10(MAX(D518,0.000000000001)/$K$3)</f>
        <v>29.8447278080055</v>
      </c>
    </row>
    <row r="519" customFormat="false" ht="15" hidden="false" customHeight="false" outlineLevel="0" collapsed="false">
      <c r="A519" s="126" t="n">
        <f aca="false">A518+$F$3</f>
        <v>5130</v>
      </c>
      <c r="B519" s="127" t="n">
        <f aca="false">SUMPRODUCT(固有振動数!$Q$6:$Q$22*(1-($A519/固有振動数!$O$6:$O$22)^2)/((1-($A519/固有振動数!$O$6:$O$22)^2)^2+固有振動数!$P$6:$P$22^2))</f>
        <v>31.3010352480592</v>
      </c>
      <c r="C519" s="127" t="n">
        <f aca="false">-SUMPRODUCT(固有振動数!$Q$6:$Q$22*固有振動数!$P$6:$P$22/((1-($A519/固有振動数!$O$6:$O$22)^2)^2+固有振動数!$P$6:$P$22^2))</f>
        <v>-5.2874706833843</v>
      </c>
      <c r="D519" s="128" t="n">
        <f aca="false">SQRT(B519^2+C519^2)</f>
        <v>31.7444822579908</v>
      </c>
      <c r="E519" s="129" t="n">
        <f aca="false">20*LOG10(MAX(D519,0.000000000001)/$K$3)</f>
        <v>30.0333649653747</v>
      </c>
    </row>
    <row r="520" customFormat="false" ht="15" hidden="false" customHeight="false" outlineLevel="0" collapsed="false">
      <c r="A520" s="122" t="n">
        <f aca="false">A519+$F$3</f>
        <v>5140</v>
      </c>
      <c r="B520" s="123" t="n">
        <f aca="false">SUMPRODUCT(固有振動数!$Q$6:$Q$22*(1-($A520/固有振動数!$O$6:$O$22)^2)/((1-($A520/固有振動数!$O$6:$O$22)^2)^2+固有振動数!$P$6:$P$22^2))</f>
        <v>31.9667338882756</v>
      </c>
      <c r="C520" s="123" t="n">
        <f aca="false">-SUMPRODUCT(固有振動数!$Q$6:$Q$22*固有振動数!$P$6:$P$22/((1-($A520/固有振動数!$O$6:$O$22)^2)^2+固有振動数!$P$6:$P$22^2))</f>
        <v>-5.78772643555546</v>
      </c>
      <c r="D520" s="124" t="n">
        <f aca="false">SQRT(B520^2+C520^2)</f>
        <v>32.4864564515223</v>
      </c>
      <c r="E520" s="125" t="n">
        <f aca="false">20*LOG10(MAX(D520,0.000000000001)/$K$3)</f>
        <v>30.234046841563</v>
      </c>
    </row>
    <row r="521" customFormat="false" ht="15" hidden="false" customHeight="false" outlineLevel="0" collapsed="false">
      <c r="A521" s="126" t="n">
        <f aca="false">A520+$F$3</f>
        <v>5150</v>
      </c>
      <c r="B521" s="127" t="n">
        <f aca="false">SUMPRODUCT(固有振動数!$Q$6:$Q$22*(1-($A521/固有振動数!$O$6:$O$22)^2)/((1-($A521/固有振動数!$O$6:$O$22)^2)^2+固有振動数!$P$6:$P$22^2))</f>
        <v>32.681261264292</v>
      </c>
      <c r="C521" s="127" t="n">
        <f aca="false">-SUMPRODUCT(固有振動数!$Q$6:$Q$22*固有振動数!$P$6:$P$22/((1-($A521/固有振動数!$O$6:$O$22)^2)^2+固有振動数!$P$6:$P$22^2))</f>
        <v>-6.36898926071989</v>
      </c>
      <c r="D521" s="128" t="n">
        <f aca="false">SQRT(B521^2+C521^2)</f>
        <v>33.2960787785601</v>
      </c>
      <c r="E521" s="129" t="n">
        <f aca="false">20*LOG10(MAX(D521,0.000000000001)/$K$3)</f>
        <v>30.4478618082001</v>
      </c>
    </row>
    <row r="522" customFormat="false" ht="15" hidden="false" customHeight="false" outlineLevel="0" collapsed="false">
      <c r="A522" s="122" t="n">
        <f aca="false">A521+$F$3</f>
        <v>5160</v>
      </c>
      <c r="B522" s="123" t="n">
        <f aca="false">SUMPRODUCT(固有振動数!$Q$6:$Q$22*(1-($A522/固有振動数!$O$6:$O$22)^2)/((1-($A522/固有振動数!$O$6:$O$22)^2)^2+固有振動数!$P$6:$P$22^2))</f>
        <v>33.4473890368444</v>
      </c>
      <c r="C522" s="123" t="n">
        <f aca="false">-SUMPRODUCT(固有振動数!$Q$6:$Q$22*固有振動数!$P$6:$P$22/((1-($A522/固有振動数!$O$6:$O$22)^2)^2+固有振動数!$P$6:$P$22^2))</f>
        <v>-7.04877307626326</v>
      </c>
      <c r="D522" s="124" t="n">
        <f aca="false">SQRT(B522^2+C522^2)</f>
        <v>34.1820572122667</v>
      </c>
      <c r="E522" s="125" t="n">
        <f aca="false">20*LOG10(MAX(D522,0.000000000001)/$K$3)</f>
        <v>30.6759639348387</v>
      </c>
    </row>
    <row r="523" customFormat="false" ht="15" hidden="false" customHeight="false" outlineLevel="0" collapsed="false">
      <c r="A523" s="126" t="n">
        <f aca="false">A522+$F$3</f>
        <v>5170</v>
      </c>
      <c r="B523" s="127" t="n">
        <f aca="false">SUMPRODUCT(固有振動数!$Q$6:$Q$22*(1-($A523/固有振動数!$O$6:$O$22)^2)/((1-($A523/固有振動数!$O$6:$O$22)^2)^2+固有振動数!$P$6:$P$22^2))</f>
        <v>34.2667185276325</v>
      </c>
      <c r="C523" s="127" t="n">
        <f aca="false">-SUMPRODUCT(固有振動数!$Q$6:$Q$22*固有振動数!$P$6:$P$22/((1-($A523/固有振動数!$O$6:$O$22)^2)^2+固有振動数!$P$6:$P$22^2))</f>
        <v>-7.84916612462231</v>
      </c>
      <c r="D523" s="128" t="n">
        <f aca="false">SQRT(B523^2+C523^2)</f>
        <v>35.1541947355349</v>
      </c>
      <c r="E523" s="129" t="n">
        <f aca="false">20*LOG10(MAX(D523,0.000000000001)/$K$3)</f>
        <v>30.9195430831637</v>
      </c>
    </row>
    <row r="524" customFormat="false" ht="15" hidden="false" customHeight="false" outlineLevel="0" collapsed="false">
      <c r="A524" s="122" t="n">
        <f aca="false">A523+$F$3</f>
        <v>5180</v>
      </c>
      <c r="B524" s="123" t="n">
        <f aca="false">SUMPRODUCT(固有振動数!$Q$6:$Q$22*(1-($A524/固有振動数!$O$6:$O$22)^2)/((1-($A524/固有振動数!$O$6:$O$22)^2)^2+固有振動数!$P$6:$P$22^2))</f>
        <v>35.1386212569628</v>
      </c>
      <c r="C524" s="123" t="n">
        <f aca="false">-SUMPRODUCT(固有振動数!$Q$6:$Q$22*固有振動数!$P$6:$P$22/((1-($A524/固有振動数!$O$6:$O$22)^2)^2+固有振動数!$P$6:$P$22^2))</f>
        <v>-8.79812708425269</v>
      </c>
      <c r="D524" s="124" t="n">
        <f aca="false">SQRT(B524^2+C524^2)</f>
        <v>36.2233314871912</v>
      </c>
      <c r="E524" s="125" t="n">
        <f aca="false">20*LOG10(MAX(D524,0.000000000001)/$K$3)</f>
        <v>31.1797678041372</v>
      </c>
    </row>
    <row r="525" customFormat="false" ht="15" hidden="false" customHeight="false" outlineLevel="0" collapsed="false">
      <c r="A525" s="126" t="n">
        <f aca="false">A524+$F$3</f>
        <v>5190</v>
      </c>
      <c r="B525" s="127" t="n">
        <f aca="false">SUMPRODUCT(固有振動数!$Q$6:$Q$22*(1-($A525/固有振動数!$O$6:$O$22)^2)/((1-($A525/固有振動数!$O$6:$O$22)^2)^2+固有振動数!$P$6:$P$22^2))</f>
        <v>36.0584844729257</v>
      </c>
      <c r="C525" s="127" t="n">
        <f aca="false">-SUMPRODUCT(固有振動数!$Q$6:$Q$22*固有振動数!$P$6:$P$22/((1-($A525/固有振動数!$O$6:$O$22)^2)^2+固有振動数!$P$6:$P$22^2))</f>
        <v>-9.93109066948781</v>
      </c>
      <c r="D525" s="128" t="n">
        <f aca="false">SQRT(B525^2+C525^2)</f>
        <v>37.4010810588386</v>
      </c>
      <c r="E525" s="129" t="n">
        <f aca="false">20*LOG10(MAX(D525,0.000000000001)/$K$3)</f>
        <v>31.4576831087705</v>
      </c>
    </row>
    <row r="526" customFormat="false" ht="15" hidden="false" customHeight="false" outlineLevel="0" collapsed="false">
      <c r="A526" s="122" t="n">
        <f aca="false">A525+$F$3</f>
        <v>5200</v>
      </c>
      <c r="B526" s="123" t="n">
        <f aca="false">SUMPRODUCT(固有振動数!$Q$6:$Q$22*(1-($A526/固有振動数!$O$6:$O$22)^2)/((1-($A526/固有振動数!$O$6:$O$22)^2)^2+固有振動数!$P$6:$P$22^2))</f>
        <v>37.0148308297012</v>
      </c>
      <c r="C526" s="123" t="n">
        <f aca="false">-SUMPRODUCT(固有振動数!$Q$6:$Q$22*固有振動数!$P$6:$P$22/((1-($A526/固有振動数!$O$6:$O$22)^2)^2+固有振動数!$P$6:$P$22^2))</f>
        <v>-11.2928463758166</v>
      </c>
      <c r="D526" s="124" t="n">
        <f aca="false">SQRT(B526^2+C526^2)</f>
        <v>38.6991741593951</v>
      </c>
      <c r="E526" s="125" t="n">
        <f aca="false">20*LOG10(MAX(D526,0.000000000001)/$K$3)</f>
        <v>31.7540339454198</v>
      </c>
    </row>
    <row r="527" customFormat="false" ht="15" hidden="false" customHeight="false" outlineLevel="0" collapsed="false">
      <c r="A527" s="126" t="n">
        <f aca="false">A526+$F$3</f>
        <v>5210</v>
      </c>
      <c r="B527" s="127" t="n">
        <f aca="false">SUMPRODUCT(固有振動数!$Q$6:$Q$22*(1-($A527/固有振動数!$O$6:$O$22)^2)/((1-($A527/固有振動数!$O$6:$O$22)^2)^2+固有振動数!$P$6:$P$22^2))</f>
        <v>37.9846371860346</v>
      </c>
      <c r="C527" s="127" t="n">
        <f aca="false">-SUMPRODUCT(固有振動数!$Q$6:$Q$22*固有振動数!$P$6:$P$22/((1-($A527/固有振動数!$O$6:$O$22)^2)^2+固有振動数!$P$6:$P$22^2))</f>
        <v>-12.9394762245699</v>
      </c>
      <c r="D527" s="128" t="n">
        <f aca="false">SQRT(B527^2+C527^2)</f>
        <v>40.1280787868158</v>
      </c>
      <c r="E527" s="129" t="n">
        <f aca="false">20*LOG10(MAX(D527,0.000000000001)/$K$3)</f>
        <v>32.0689673500429</v>
      </c>
    </row>
    <row r="528" customFormat="false" ht="15" hidden="false" customHeight="false" outlineLevel="0" collapsed="false">
      <c r="A528" s="122" t="n">
        <f aca="false">A527+$F$3</f>
        <v>5220</v>
      </c>
      <c r="B528" s="123" t="n">
        <f aca="false">SUMPRODUCT(固有振動数!$Q$6:$Q$22*(1-($A528/固有振動数!$O$6:$O$22)^2)/((1-($A528/固有振動数!$O$6:$O$22)^2)^2+固有振動数!$P$6:$P$22^2))</f>
        <v>38.9258460860299</v>
      </c>
      <c r="C528" s="123" t="n">
        <f aca="false">-SUMPRODUCT(固有振動数!$Q$6:$Q$22*固有振動数!$P$6:$P$22/((1-($A528/固有振動数!$O$6:$O$22)^2)^2+固有振動数!$P$6:$P$22^2))</f>
        <v>-14.9397186087657</v>
      </c>
      <c r="D528" s="124" t="n">
        <f aca="false">SQRT(B528^2+C528^2)</f>
        <v>41.6943243814118</v>
      </c>
      <c r="E528" s="125" t="n">
        <f aca="false">20*LOG10(MAX(D528,0.000000000001)/$K$3)</f>
        <v>32.4015388176562</v>
      </c>
    </row>
    <row r="529" customFormat="false" ht="15" hidden="false" customHeight="false" outlineLevel="0" collapsed="false">
      <c r="A529" s="126" t="n">
        <f aca="false">A528+$F$3</f>
        <v>5230</v>
      </c>
      <c r="B529" s="127" t="n">
        <f aca="false">SUMPRODUCT(固有振動数!$Q$6:$Q$22*(1-($A529/固有振動数!$O$6:$O$22)^2)/((1-($A529/固有振動数!$O$6:$O$22)^2)^2+固有振動数!$P$6:$P$22^2))</f>
        <v>39.765723145269</v>
      </c>
      <c r="C529" s="127" t="n">
        <f aca="false">-SUMPRODUCT(固有振動数!$Q$6:$Q$22*固有振動数!$P$6:$P$22/((1-($A529/固有振動数!$O$6:$O$22)^2)^2+固有振動数!$P$6:$P$22^2))</f>
        <v>-17.3742160520306</v>
      </c>
      <c r="D529" s="128" t="n">
        <f aca="false">SQRT(B529^2+C529^2)</f>
        <v>43.3955772019318</v>
      </c>
      <c r="E529" s="129" t="n">
        <f aca="false">20*LOG10(MAX(D529,0.000000000001)/$K$3)</f>
        <v>32.7489093853312</v>
      </c>
    </row>
    <row r="530" customFormat="false" ht="15" hidden="false" customHeight="false" outlineLevel="0" collapsed="false">
      <c r="A530" s="122" t="n">
        <f aca="false">A529+$F$3</f>
        <v>5240</v>
      </c>
      <c r="B530" s="123" t="n">
        <f aca="false">SUMPRODUCT(固有振動数!$Q$6:$Q$22*(1-($A530/固有振動数!$O$6:$O$22)^2)/((1-($A530/固有振動数!$O$6:$O$22)^2)^2+固有振動数!$P$6:$P$22^2))</f>
        <v>40.3837147841425</v>
      </c>
      <c r="C530" s="123" t="n">
        <f aca="false">-SUMPRODUCT(固有振動数!$Q$6:$Q$22*固有振動数!$P$6:$P$22/((1-($A530/固有振動数!$O$6:$O$22)^2)^2+固有振動数!$P$6:$P$22^2))</f>
        <v>-20.3292890284318</v>
      </c>
      <c r="D530" s="124" t="n">
        <f aca="false">SQRT(B530^2+C530^2)</f>
        <v>45.2119941184691</v>
      </c>
      <c r="E530" s="125" t="n">
        <f aca="false">20*LOG10(MAX(D530,0.000000000001)/$K$3)</f>
        <v>33.105073248648</v>
      </c>
    </row>
    <row r="531" customFormat="false" ht="15" hidden="false" customHeight="false" outlineLevel="0" collapsed="false">
      <c r="A531" s="126" t="n">
        <f aca="false">A530+$F$3</f>
        <v>5250</v>
      </c>
      <c r="B531" s="127" t="n">
        <f aca="false">SUMPRODUCT(固有振動数!$Q$6:$Q$22*(1-($A531/固有振動数!$O$6:$O$22)^2)/((1-($A531/固有振動数!$O$6:$O$22)^2)^2+固有振動数!$P$6:$P$22^2))</f>
        <v>40.5888733278631</v>
      </c>
      <c r="C531" s="127" t="n">
        <f aca="false">-SUMPRODUCT(固有振動数!$Q$6:$Q$22*固有振動数!$P$6:$P$22/((1-($A531/固有振動数!$O$6:$O$22)^2)^2+固有振動数!$P$6:$P$22^2))</f>
        <v>-23.8786878807131</v>
      </c>
      <c r="D531" s="128" t="n">
        <f aca="false">SQRT(B531^2+C531^2)</f>
        <v>47.0919140928655</v>
      </c>
      <c r="E531" s="129" t="n">
        <f aca="false">20*LOG10(MAX(D531,0.000000000001)/$K$3)</f>
        <v>33.4589268617638</v>
      </c>
    </row>
    <row r="532" customFormat="false" ht="15" hidden="false" customHeight="false" outlineLevel="0" collapsed="false">
      <c r="A532" s="122" t="n">
        <f aca="false">A531+$F$3</f>
        <v>5260</v>
      </c>
      <c r="B532" s="123" t="n">
        <f aca="false">SUMPRODUCT(固有振動数!$Q$6:$Q$22*(1-($A532/固有振動数!$O$6:$O$22)^2)/((1-($A532/固有振動数!$O$6:$O$22)^2)^2+固有振動数!$P$6:$P$22^2))</f>
        <v>40.0973037909272</v>
      </c>
      <c r="C532" s="123" t="n">
        <f aca="false">-SUMPRODUCT(固有振動数!$Q$6:$Q$22*固有振動数!$P$6:$P$22/((1-($A532/固有振動数!$O$6:$O$22)^2)^2+固有振動数!$P$6:$P$22^2))</f>
        <v>-28.0425188738101</v>
      </c>
      <c r="D532" s="124" t="n">
        <f aca="false">SQRT(B532^2+C532^2)</f>
        <v>48.9303242998644</v>
      </c>
      <c r="E532" s="125" t="n">
        <f aca="false">20*LOG10(MAX(D532,0.000000000001)/$K$3)</f>
        <v>33.7915618836332</v>
      </c>
    </row>
    <row r="533" customFormat="false" ht="15" hidden="false" customHeight="false" outlineLevel="0" collapsed="false">
      <c r="A533" s="126" t="n">
        <f aca="false">A532+$F$3</f>
        <v>5270</v>
      </c>
      <c r="B533" s="127" t="n">
        <f aca="false">SUMPRODUCT(固有振動数!$Q$6:$Q$22*(1-($A533/固有振動数!$O$6:$O$22)^2)/((1-($A533/固有振動数!$O$6:$O$22)^2)^2+固有振動数!$P$6:$P$22^2))</f>
        <v>38.5287594599327</v>
      </c>
      <c r="C533" s="127" t="n">
        <f aca="false">-SUMPRODUCT(固有振動数!$Q$6:$Q$22*固有振動数!$P$6:$P$22/((1-($A533/固有振動数!$O$6:$O$22)^2)^2+固有振動数!$P$6:$P$22^2))</f>
        <v>-32.7111596688163</v>
      </c>
      <c r="D533" s="128" t="n">
        <f aca="false">SQRT(B533^2+C533^2)</f>
        <v>50.5419159945499</v>
      </c>
      <c r="E533" s="129" t="n">
        <f aca="false">20*LOG10(MAX(D533,0.000000000001)/$K$3)</f>
        <v>34.0730340314912</v>
      </c>
    </row>
    <row r="534" customFormat="false" ht="15" hidden="false" customHeight="false" outlineLevel="0" collapsed="false">
      <c r="A534" s="122" t="n">
        <f aca="false">A533+$F$3</f>
        <v>5280</v>
      </c>
      <c r="B534" s="123" t="n">
        <f aca="false">SUMPRODUCT(固有振動数!$Q$6:$Q$22*(1-($A534/固有振動数!$O$6:$O$22)^2)/((1-($A534/固有振動数!$O$6:$O$22)^2)^2+固有振動数!$P$6:$P$22^2))</f>
        <v>35.4648768717375</v>
      </c>
      <c r="C534" s="123" t="n">
        <f aca="false">-SUMPRODUCT(固有振動数!$Q$6:$Q$22*固有振動数!$P$6:$P$22/((1-($A534/固有振動数!$O$6:$O$22)^2)^2+固有振動数!$P$6:$P$22^2))</f>
        <v>-37.5367655302871</v>
      </c>
      <c r="D534" s="124" t="n">
        <f aca="false">SQRT(B534^2+C534^2)</f>
        <v>51.6407422293992</v>
      </c>
      <c r="E534" s="125" t="n">
        <f aca="false">20*LOG10(MAX(D534,0.000000000001)/$K$3)</f>
        <v>34.2598495145739</v>
      </c>
    </row>
    <row r="535" customFormat="false" ht="15" hidden="false" customHeight="false" outlineLevel="0" collapsed="false">
      <c r="A535" s="126" t="n">
        <f aca="false">A534+$F$3</f>
        <v>5290</v>
      </c>
      <c r="B535" s="127" t="n">
        <f aca="false">SUMPRODUCT(固有振動数!$Q$6:$Q$22*(1-($A535/固有振動数!$O$6:$O$22)^2)/((1-($A535/固有振動数!$O$6:$O$22)^2)^2+固有振動数!$P$6:$P$22^2))</f>
        <v>30.6241526149313</v>
      </c>
      <c r="C535" s="127" t="n">
        <f aca="false">-SUMPRODUCT(固有振動数!$Q$6:$Q$22*固有振動数!$P$6:$P$22/((1-($A535/固有振動数!$O$6:$O$22)^2)^2+固有振動数!$P$6:$P$22^2))</f>
        <v>-41.8484038409183</v>
      </c>
      <c r="D535" s="128" t="n">
        <f aca="false">SQRT(B535^2+C535^2)</f>
        <v>51.8567992399762</v>
      </c>
      <c r="E535" s="129" t="n">
        <f aca="false">20*LOG10(MAX(D535,0.000000000001)/$K$3)</f>
        <v>34.2961141455756</v>
      </c>
    </row>
    <row r="536" customFormat="false" ht="15" hidden="false" customHeight="false" outlineLevel="0" collapsed="false">
      <c r="A536" s="122" t="n">
        <f aca="false">A535+$F$3</f>
        <v>5300</v>
      </c>
      <c r="B536" s="123" t="n">
        <f aca="false">SUMPRODUCT(固有振動数!$Q$6:$Q$22*(1-($A536/固有振動数!$O$6:$O$22)^2)/((1-($A536/固有振動数!$O$6:$O$22)^2)^2+固有振動数!$P$6:$P$22^2))</f>
        <v>24.1443065218612</v>
      </c>
      <c r="C536" s="123" t="n">
        <f aca="false">-SUMPRODUCT(固有振動数!$Q$6:$Q$22*固有振動数!$P$6:$P$22/((1-($A536/固有振動数!$O$6:$O$22)^2)^2+固有振動数!$P$6:$P$22^2))</f>
        <v>-44.729670184931</v>
      </c>
      <c r="D536" s="124" t="n">
        <f aca="false">SQRT(B536^2+C536^2)</f>
        <v>50.8300199908901</v>
      </c>
      <c r="E536" s="125" t="n">
        <f aca="false">20*LOG10(MAX(D536,0.000000000001)/$K$3)</f>
        <v>34.12240561012</v>
      </c>
    </row>
    <row r="537" customFormat="false" ht="15" hidden="false" customHeight="false" outlineLevel="0" collapsed="false">
      <c r="A537" s="126" t="n">
        <f aca="false">A536+$F$3</f>
        <v>5310</v>
      </c>
      <c r="B537" s="127" t="n">
        <f aca="false">SUMPRODUCT(固有振動数!$Q$6:$Q$22*(1-($A537/固有振動数!$O$6:$O$22)^2)/((1-($A537/固有振動数!$O$6:$O$22)^2)^2+固有振動数!$P$6:$P$22^2))</f>
        <v>16.7762979965269</v>
      </c>
      <c r="C537" s="127" t="n">
        <f aca="false">-SUMPRODUCT(固有振動数!$Q$6:$Q$22*固有振動数!$P$6:$P$22/((1-($A537/固有振動数!$O$6:$O$22)^2)^2+固有振動数!$P$6:$P$22^2))</f>
        <v>-45.3784786809005</v>
      </c>
      <c r="D537" s="128" t="n">
        <f aca="false">SQRT(B537^2+C537^2)</f>
        <v>48.3802697580451</v>
      </c>
      <c r="E537" s="129" t="n">
        <f aca="false">20*LOG10(MAX(D537,0.000000000001)/$K$3)</f>
        <v>33.6933657113167</v>
      </c>
    </row>
    <row r="538" customFormat="false" ht="15" hidden="false" customHeight="false" outlineLevel="0" collapsed="false">
      <c r="A538" s="122" t="n">
        <f aca="false">A537+$F$3</f>
        <v>5320</v>
      </c>
      <c r="B538" s="123" t="n">
        <f aca="false">SUMPRODUCT(固有振動数!$Q$6:$Q$22*(1-($A538/固有振動数!$O$6:$O$22)^2)/((1-($A538/固有振動数!$O$6:$O$22)^2)^2+固有振動数!$P$6:$P$22^2))</f>
        <v>9.69097998683382</v>
      </c>
      <c r="C538" s="123" t="n">
        <f aca="false">-SUMPRODUCT(固有振動数!$Q$6:$Q$22*固有振動数!$P$6:$P$22/((1-($A538/固有振動数!$O$6:$O$22)^2)^2+固有振動数!$P$6:$P$22^2))</f>
        <v>-43.5840174171332</v>
      </c>
      <c r="D538" s="124" t="n">
        <f aca="false">SQRT(B538^2+C538^2)</f>
        <v>44.6484228984875</v>
      </c>
      <c r="E538" s="125" t="n">
        <f aca="false">20*LOG10(MAX(D538,0.000000000001)/$K$3)</f>
        <v>32.9961224610956</v>
      </c>
    </row>
    <row r="539" customFormat="false" ht="15" hidden="false" customHeight="false" outlineLevel="0" collapsed="false">
      <c r="A539" s="126" t="n">
        <f aca="false">A538+$F$3</f>
        <v>5330</v>
      </c>
      <c r="B539" s="127" t="n">
        <f aca="false">SUMPRODUCT(固有振動数!$Q$6:$Q$22*(1-($A539/固有振動数!$O$6:$O$22)^2)/((1-($A539/固有振動数!$O$6:$O$22)^2)^2+固有振動数!$P$6:$P$22^2))</f>
        <v>3.92626542749567</v>
      </c>
      <c r="C539" s="127" t="n">
        <f aca="false">-SUMPRODUCT(固有振動数!$Q$6:$Q$22*固有振動数!$P$6:$P$22/((1-($A539/固有振動数!$O$6:$O$22)^2)^2+固有振動数!$P$6:$P$22^2))</f>
        <v>-39.8746418583463</v>
      </c>
      <c r="D539" s="128" t="n">
        <f aca="false">SQRT(B539^2+C539^2)</f>
        <v>40.0674758817989</v>
      </c>
      <c r="E539" s="129" t="n">
        <f aca="false">20*LOG10(MAX(D539,0.000000000001)/$K$3)</f>
        <v>32.0558396836255</v>
      </c>
    </row>
    <row r="540" customFormat="false" ht="15" hidden="false" customHeight="false" outlineLevel="0" collapsed="false">
      <c r="A540" s="122" t="n">
        <f aca="false">A539+$F$3</f>
        <v>5340</v>
      </c>
      <c r="B540" s="123" t="n">
        <f aca="false">SUMPRODUCT(固有振動数!$Q$6:$Q$22*(1-($A540/固有振動数!$O$6:$O$22)^2)/((1-($A540/固有振動数!$O$6:$O$22)^2)^2+固有振動数!$P$6:$P$22^2))</f>
        <v>-0.0477538691995776</v>
      </c>
      <c r="C540" s="123" t="n">
        <f aca="false">-SUMPRODUCT(固有振動数!$Q$6:$Q$22*固有振動数!$P$6:$P$22/((1-($A540/固有振動数!$O$6:$O$22)^2)^2+固有振動数!$P$6:$P$22^2))</f>
        <v>-35.1709545467473</v>
      </c>
      <c r="D540" s="124" t="n">
        <f aca="false">SQRT(B540^2+C540^2)</f>
        <v>35.1709869659836</v>
      </c>
      <c r="E540" s="125" t="n">
        <f aca="false">20*LOG10(MAX(D540,0.000000000001)/$K$3)</f>
        <v>30.9236911126376</v>
      </c>
    </row>
    <row r="541" customFormat="false" ht="15" hidden="false" customHeight="false" outlineLevel="0" collapsed="false">
      <c r="A541" s="126" t="n">
        <f aca="false">A540+$F$3</f>
        <v>5350</v>
      </c>
      <c r="B541" s="127" t="n">
        <f aca="false">SUMPRODUCT(固有振動数!$Q$6:$Q$22*(1-($A541/固有振動数!$O$6:$O$22)^2)/((1-($A541/固有振動数!$O$6:$O$22)^2)^2+固有振動数!$P$6:$P$22^2))</f>
        <v>-2.32309339102981</v>
      </c>
      <c r="C541" s="127" t="n">
        <f aca="false">-SUMPRODUCT(固有振動数!$Q$6:$Q$22*固有振動数!$P$6:$P$22/((1-($A541/固有振動数!$O$6:$O$22)^2)^2+固有振動数!$P$6:$P$22^2))</f>
        <v>-30.3117763672312</v>
      </c>
      <c r="D541" s="128" t="n">
        <f aca="false">SQRT(B541^2+C541^2)</f>
        <v>30.4006669242713</v>
      </c>
      <c r="E541" s="129" t="n">
        <f aca="false">20*LOG10(MAX(D541,0.000000000001)/$K$3)</f>
        <v>29.6576622237236</v>
      </c>
    </row>
    <row r="542" customFormat="false" ht="15" hidden="false" customHeight="false" outlineLevel="0" collapsed="false">
      <c r="A542" s="122" t="n">
        <f aca="false">A541+$F$3</f>
        <v>5360</v>
      </c>
      <c r="B542" s="123" t="n">
        <f aca="false">SUMPRODUCT(固有振動数!$Q$6:$Q$22*(1-($A542/固有振動数!$O$6:$O$22)^2)/((1-($A542/固有振動数!$O$6:$O$22)^2)^2+固有振動数!$P$6:$P$22^2))</f>
        <v>-3.28034481079618</v>
      </c>
      <c r="C542" s="123" t="n">
        <f aca="false">-SUMPRODUCT(固有振動数!$Q$6:$Q$22*固有振動数!$P$6:$P$22/((1-($A542/固有振動数!$O$6:$O$22)^2)^2+固有振動数!$P$6:$P$22^2))</f>
        <v>-25.8208024912166</v>
      </c>
      <c r="D542" s="124" t="n">
        <f aca="false">SQRT(B542^2+C542^2)</f>
        <v>26.0283403882794</v>
      </c>
      <c r="E542" s="125" t="n">
        <f aca="false">20*LOG10(MAX(D542,0.000000000001)/$K$3)</f>
        <v>28.3089295525878</v>
      </c>
    </row>
    <row r="543" customFormat="false" ht="15" hidden="false" customHeight="false" outlineLevel="0" collapsed="false">
      <c r="A543" s="126" t="n">
        <f aca="false">A542+$F$3</f>
        <v>5370</v>
      </c>
      <c r="B543" s="127" t="n">
        <f aca="false">SUMPRODUCT(固有振動数!$Q$6:$Q$22*(1-($A543/固有振動数!$O$6:$O$22)^2)/((1-($A543/固有振動数!$O$6:$O$22)^2)^2+固有振動数!$P$6:$P$22^2))</f>
        <v>-3.34055361755707</v>
      </c>
      <c r="C543" s="127" t="n">
        <f aca="false">-SUMPRODUCT(固有振動数!$Q$6:$Q$22*固有振動数!$P$6:$P$22/((1-($A543/固有振動数!$O$6:$O$22)^2)^2+固有振動数!$P$6:$P$22^2))</f>
        <v>-21.9230521315377</v>
      </c>
      <c r="D543" s="128" t="n">
        <f aca="false">SQRT(B543^2+C543^2)</f>
        <v>22.1761023003118</v>
      </c>
      <c r="E543" s="129" t="n">
        <f aca="false">20*LOG10(MAX(D543,0.000000000001)/$K$3)</f>
        <v>26.9177043275001</v>
      </c>
    </row>
    <row r="544" customFormat="false" ht="15" hidden="false" customHeight="false" outlineLevel="0" collapsed="false">
      <c r="A544" s="122" t="n">
        <f aca="false">A543+$F$3</f>
        <v>5380</v>
      </c>
      <c r="B544" s="123" t="n">
        <f aca="false">SUMPRODUCT(固有振動数!$Q$6:$Q$22*(1-($A544/固有振動数!$O$6:$O$22)^2)/((1-($A544/固有振動数!$O$6:$O$22)^2)^2+固有振動数!$P$6:$P$22^2))</f>
        <v>-2.84684076759036</v>
      </c>
      <c r="C544" s="123" t="n">
        <f aca="false">-SUMPRODUCT(固有振動数!$Q$6:$Q$22*固有振動数!$P$6:$P$22/((1-($A544/固有振動数!$O$6:$O$22)^2)^2+固有振動数!$P$6:$P$22^2))</f>
        <v>-18.6545079169511</v>
      </c>
      <c r="D544" s="124" t="n">
        <f aca="false">SQRT(B544^2+C544^2)</f>
        <v>18.870484042006</v>
      </c>
      <c r="E544" s="125" t="n">
        <f aca="false">20*LOG10(MAX(D544,0.000000000001)/$K$3)</f>
        <v>25.515660805711</v>
      </c>
    </row>
    <row r="545" customFormat="false" ht="15" hidden="false" customHeight="false" outlineLevel="0" collapsed="false">
      <c r="A545" s="126" t="n">
        <f aca="false">A544+$F$3</f>
        <v>5390</v>
      </c>
      <c r="B545" s="127" t="n">
        <f aca="false">SUMPRODUCT(固有振動数!$Q$6:$Q$22*(1-($A545/固有振動数!$O$6:$O$22)^2)/((1-($A545/固有振動数!$O$6:$O$22)^2)^2+固有振動数!$P$6:$P$22^2))</f>
        <v>-2.04087896691741</v>
      </c>
      <c r="C545" s="127" t="n">
        <f aca="false">-SUMPRODUCT(固有振動数!$Q$6:$Q$22*固有振動数!$P$6:$P$22/((1-($A545/固有振動数!$O$6:$O$22)^2)^2+固有振動数!$P$6:$P$22^2))</f>
        <v>-15.9602394918084</v>
      </c>
      <c r="D545" s="128" t="n">
        <f aca="false">SQRT(B545^2+C545^2)</f>
        <v>16.0901967543435</v>
      </c>
      <c r="E545" s="129" t="n">
        <f aca="false">20*LOG10(MAX(D545,0.000000000001)/$K$3)</f>
        <v>24.1312270955334</v>
      </c>
    </row>
    <row r="546" customFormat="false" ht="15" hidden="false" customHeight="false" outlineLevel="0" collapsed="false">
      <c r="A546" s="122" t="n">
        <f aca="false">A545+$F$3</f>
        <v>5400</v>
      </c>
      <c r="B546" s="123" t="n">
        <f aca="false">SUMPRODUCT(固有振動数!$Q$6:$Q$22*(1-($A546/固有振動数!$O$6:$O$22)^2)/((1-($A546/固有振動数!$O$6:$O$22)^2)^2+固有振動数!$P$6:$P$22^2))</f>
        <v>-1.07931226025304</v>
      </c>
      <c r="C546" s="123" t="n">
        <f aca="false">-SUMPRODUCT(固有振動数!$Q$6:$Q$22*固有振動数!$P$6:$P$22/((1-($A546/固有振動数!$O$6:$O$22)^2)^2+固有振動数!$P$6:$P$22^2))</f>
        <v>-13.7543540461551</v>
      </c>
      <c r="D546" s="124" t="n">
        <f aca="false">SQRT(B546^2+C546^2)</f>
        <v>13.7966361908299</v>
      </c>
      <c r="E546" s="125" t="n">
        <f aca="false">20*LOG10(MAX(D546,0.000000000001)/$K$3)</f>
        <v>22.7954642471</v>
      </c>
    </row>
    <row r="547" customFormat="false" ht="15" hidden="false" customHeight="false" outlineLevel="0" collapsed="false">
      <c r="A547" s="126" t="n">
        <f aca="false">A546+$F$3</f>
        <v>5410</v>
      </c>
      <c r="B547" s="127" t="n">
        <f aca="false">SUMPRODUCT(固有振動数!$Q$6:$Q$22*(1-($A547/固有振動数!$O$6:$O$22)^2)/((1-($A547/固有振動数!$O$6:$O$22)^2)^2+固有振動数!$P$6:$P$22^2))</f>
        <v>-0.0582791499180385</v>
      </c>
      <c r="C547" s="127" t="n">
        <f aca="false">-SUMPRODUCT(固有振動数!$Q$6:$Q$22*固有振動数!$P$6:$P$22/((1-($A547/固有振動数!$O$6:$O$22)^2)^2+固有振動数!$P$6:$P$22^2))</f>
        <v>-11.9494266693991</v>
      </c>
      <c r="D547" s="128" t="n">
        <f aca="false">SQRT(B547^2+C547^2)</f>
        <v>11.9495687866408</v>
      </c>
      <c r="E547" s="129" t="n">
        <f aca="false">20*LOG10(MAX(D547,0.000000000001)/$K$3)</f>
        <v>21.5470446714382</v>
      </c>
    </row>
    <row r="548" customFormat="false" ht="15" hidden="false" customHeight="false" outlineLevel="0" collapsed="false">
      <c r="A548" s="122" t="n">
        <f aca="false">A547+$F$3</f>
        <v>5420</v>
      </c>
      <c r="B548" s="123" t="n">
        <f aca="false">SUMPRODUCT(固有振動数!$Q$6:$Q$22*(1-($A548/固有振動数!$O$6:$O$22)^2)/((1-($A548/固有振動数!$O$6:$O$22)^2)^2+固有振動数!$P$6:$P$22^2))</f>
        <v>0.965797090627054</v>
      </c>
      <c r="C548" s="123" t="n">
        <f aca="false">-SUMPRODUCT(固有振動数!$Q$6:$Q$22*固有振動数!$P$6:$P$22/((1-($A548/固有振動数!$O$6:$O$22)^2)^2+固有振動数!$P$6:$P$22^2))</f>
        <v>-10.4681994248321</v>
      </c>
      <c r="D548" s="124" t="n">
        <f aca="false">SQRT(B548^2+C548^2)</f>
        <v>10.5126572862583</v>
      </c>
      <c r="E548" s="125" t="n">
        <f aca="false">20*LOG10(MAX(D548,0.000000000001)/$K$3)</f>
        <v>20.4342501319682</v>
      </c>
    </row>
    <row r="549" customFormat="false" ht="15" hidden="false" customHeight="false" outlineLevel="0" collapsed="false">
      <c r="A549" s="126" t="n">
        <f aca="false">A548+$F$3</f>
        <v>5430</v>
      </c>
      <c r="B549" s="127" t="n">
        <f aca="false">SUMPRODUCT(固有振動数!$Q$6:$Q$22*(1-($A549/固有振動数!$O$6:$O$22)^2)/((1-($A549/固有振動数!$O$6:$O$22)^2)^2+固有振動数!$P$6:$P$22^2))</f>
        <v>1.96141906339457</v>
      </c>
      <c r="C549" s="127" t="n">
        <f aca="false">-SUMPRODUCT(固有振動数!$Q$6:$Q$22*固有振動数!$P$6:$P$22/((1-($A549/固有振動数!$O$6:$O$22)^2)^2+固有振動数!$P$6:$P$22^2))</f>
        <v>-9.24661211840261</v>
      </c>
      <c r="D549" s="128" t="n">
        <f aca="false">SQRT(B549^2+C549^2)</f>
        <v>9.4523542258232</v>
      </c>
      <c r="E549" s="129" t="n">
        <f aca="false">20*LOG10(MAX(D549,0.000000000001)/$K$3)</f>
        <v>19.510799767962</v>
      </c>
    </row>
    <row r="550" customFormat="false" ht="15" hidden="false" customHeight="false" outlineLevel="0" collapsed="false">
      <c r="A550" s="122" t="n">
        <f aca="false">A549+$F$3</f>
        <v>5440</v>
      </c>
      <c r="B550" s="123" t="n">
        <f aca="false">SUMPRODUCT(固有振動数!$Q$6:$Q$22*(1-($A550/固有振動数!$O$6:$O$22)^2)/((1-($A550/固有振動数!$O$6:$O$22)^2)^2+固有振動数!$P$6:$P$22^2))</f>
        <v>2.91229943373436</v>
      </c>
      <c r="C550" s="123" t="n">
        <f aca="false">-SUMPRODUCT(固有振動数!$Q$6:$Q$22*固有振動数!$P$6:$P$22/((1-($A550/固有振動数!$O$6:$O$22)^2)^2+固有振動数!$P$6:$P$22^2))</f>
        <v>-8.23317544018794</v>
      </c>
      <c r="D550" s="124" t="n">
        <f aca="false">SQRT(B550^2+C550^2)</f>
        <v>8.73307882826231</v>
      </c>
      <c r="E550" s="125" t="n">
        <f aca="false">20*LOG10(MAX(D550,0.000000000001)/$K$3)</f>
        <v>18.8233476058371</v>
      </c>
    </row>
    <row r="551" customFormat="false" ht="15" hidden="false" customHeight="false" outlineLevel="0" collapsed="false">
      <c r="A551" s="126" t="n">
        <f aca="false">A550+$F$3</f>
        <v>5450</v>
      </c>
      <c r="B551" s="127" t="n">
        <f aca="false">SUMPRODUCT(固有振動数!$Q$6:$Q$22*(1-($A551/固有振動数!$O$6:$O$22)^2)/((1-($A551/固有振動数!$O$6:$O$22)^2)^2+固有振動数!$P$6:$P$22^2))</f>
        <v>3.81123200164293</v>
      </c>
      <c r="C551" s="127" t="n">
        <f aca="false">-SUMPRODUCT(固有振動数!$Q$6:$Q$22*固有振動数!$P$6:$P$22/((1-($A551/固有振動数!$O$6:$O$22)^2)^2+固有振動数!$P$6:$P$22^2))</f>
        <v>-7.38710975084036</v>
      </c>
      <c r="D551" s="128" t="n">
        <f aca="false">SQRT(B551^2+C551^2)</f>
        <v>8.3123329962958</v>
      </c>
      <c r="E551" s="129" t="n">
        <f aca="false">20*LOG10(MAX(D551,0.000000000001)/$K$3)</f>
        <v>18.3944586591176</v>
      </c>
    </row>
    <row r="552" customFormat="false" ht="15" hidden="false" customHeight="false" outlineLevel="0" collapsed="false">
      <c r="A552" s="122" t="n">
        <f aca="false">A551+$F$3</f>
        <v>5460</v>
      </c>
      <c r="B552" s="123" t="n">
        <f aca="false">SUMPRODUCT(固有振動数!$Q$6:$Q$22*(1-($A552/固有振動数!$O$6:$O$22)^2)/((1-($A552/固有振動数!$O$6:$O$22)^2)^2+固有振動数!$P$6:$P$22^2))</f>
        <v>4.65630967076406</v>
      </c>
      <c r="C552" s="123" t="n">
        <f aca="false">-SUMPRODUCT(固有振動数!$Q$6:$Q$22*固有振動数!$P$6:$P$22/((1-($A552/固有振動数!$O$6:$O$22)^2)^2+固有振動数!$P$6:$P$22^2))</f>
        <v>-6.67630181279363</v>
      </c>
      <c r="D552" s="124" t="n">
        <f aca="false">SQRT(B552^2+C552^2)</f>
        <v>8.13966987325423</v>
      </c>
      <c r="E552" s="125" t="n">
        <f aca="false">20*LOG10(MAX(D552,0.000000000001)/$K$3)</f>
        <v>18.2121358247339</v>
      </c>
    </row>
    <row r="553" customFormat="false" ht="15" hidden="false" customHeight="false" outlineLevel="0" collapsed="false">
      <c r="A553" s="126" t="n">
        <f aca="false">A552+$F$3</f>
        <v>5470</v>
      </c>
      <c r="B553" s="127" t="n">
        <f aca="false">SUMPRODUCT(固有振動数!$Q$6:$Q$22*(1-($A553/固有振動数!$O$6:$O$22)^2)/((1-($A553/固有振動数!$O$6:$O$22)^2)^2+固有振動数!$P$6:$P$22^2))</f>
        <v>5.44862113770146</v>
      </c>
      <c r="C553" s="127" t="n">
        <f aca="false">-SUMPRODUCT(固有振動数!$Q$6:$Q$22*固有振動数!$P$6:$P$22/((1-($A553/固有振動数!$O$6:$O$22)^2)^2+固有振動数!$P$6:$P$22^2))</f>
        <v>-6.07547617736645</v>
      </c>
      <c r="D553" s="128" t="n">
        <f aca="false">SQRT(B553^2+C553^2)</f>
        <v>8.16081387387032</v>
      </c>
      <c r="E553" s="129" t="n">
        <f aca="false">20*LOG10(MAX(D553,0.000000000001)/$K$3)</f>
        <v>18.2346694576876</v>
      </c>
    </row>
    <row r="554" customFormat="false" ht="15" hidden="false" customHeight="false" outlineLevel="0" collapsed="false">
      <c r="A554" s="122" t="n">
        <f aca="false">A553+$F$3</f>
        <v>5480</v>
      </c>
      <c r="B554" s="123" t="n">
        <f aca="false">SUMPRODUCT(固有振動数!$Q$6:$Q$22*(1-($A554/固有振動数!$O$6:$O$22)^2)/((1-($A554/固有振動数!$O$6:$O$22)^2)^2+固有振動数!$P$6:$P$22^2))</f>
        <v>6.19086190200315</v>
      </c>
      <c r="C554" s="123" t="n">
        <f aca="false">-SUMPRODUCT(固有振動数!$Q$6:$Q$22*固有振動数!$P$6:$P$22/((1-($A554/固有振動数!$O$6:$O$22)^2)^2+固有振動数!$P$6:$P$22^2))</f>
        <v>-5.56468868908941</v>
      </c>
      <c r="D554" s="124" t="n">
        <f aca="false">SQRT(B554^2+C554^2)</f>
        <v>8.32421355421362</v>
      </c>
      <c r="E554" s="125" t="n">
        <f aca="false">20*LOG10(MAX(D554,0.000000000001)/$K$3)</f>
        <v>18.4068642665123</v>
      </c>
    </row>
    <row r="555" customFormat="false" ht="15" hidden="false" customHeight="false" outlineLevel="0" collapsed="false">
      <c r="A555" s="126" t="n">
        <f aca="false">A554+$F$3</f>
        <v>5490</v>
      </c>
      <c r="B555" s="127" t="n">
        <f aca="false">SUMPRODUCT(固有振動数!$Q$6:$Q$22*(1-($A555/固有振動数!$O$6:$O$22)^2)/((1-($A555/固有振動数!$O$6:$O$22)^2)^2+固有振動数!$P$6:$P$22^2))</f>
        <v>6.88650540754571</v>
      </c>
      <c r="C555" s="127" t="n">
        <f aca="false">-SUMPRODUCT(固有振動数!$Q$6:$Q$22*固有振動数!$P$6:$P$22/((1-($A555/固有振動数!$O$6:$O$22)^2)^2+固有振動数!$P$6:$P$22^2))</f>
        <v>-5.12813379992834</v>
      </c>
      <c r="D555" s="128" t="n">
        <f aca="false">SQRT(B555^2+C555^2)</f>
        <v>8.58613492778466</v>
      </c>
      <c r="E555" s="129" t="n">
        <f aca="false">20*LOG10(MAX(D555,0.000000000001)/$K$3)</f>
        <v>18.6759541793322</v>
      </c>
    </row>
    <row r="556" customFormat="false" ht="15" hidden="false" customHeight="false" outlineLevel="0" collapsed="false">
      <c r="A556" s="122" t="n">
        <f aca="false">A555+$F$3</f>
        <v>5500</v>
      </c>
      <c r="B556" s="123" t="n">
        <f aca="false">SUMPRODUCT(固有振動数!$Q$6:$Q$22*(1-($A556/固有振動数!$O$6:$O$22)^2)/((1-($A556/固有振動数!$O$6:$O$22)^2)^2+固有振動数!$P$6:$P$22^2))</f>
        <v>7.53931574481849</v>
      </c>
      <c r="C556" s="123" t="n">
        <f aca="false">-SUMPRODUCT(固有振動数!$Q$6:$Q$22*固有振動数!$P$6:$P$22/((1-($A556/固有振動数!$O$6:$O$22)^2)^2+固有振動数!$P$6:$P$22^2))</f>
        <v>-4.75321891941947</v>
      </c>
      <c r="D556" s="124" t="n">
        <f aca="false">SQRT(B556^2+C556^2)</f>
        <v>8.91259625451502</v>
      </c>
      <c r="E556" s="125" t="n">
        <f aca="false">20*LOG10(MAX(D556,0.000000000001)/$K$3)</f>
        <v>19.0000846638273</v>
      </c>
    </row>
    <row r="557" customFormat="false" ht="15" hidden="false" customHeight="false" outlineLevel="0" collapsed="false">
      <c r="A557" s="126" t="n">
        <f aca="false">A556+$F$3</f>
        <v>5510</v>
      </c>
      <c r="B557" s="127" t="n">
        <f aca="false">SUMPRODUCT(固有振動数!$Q$6:$Q$22*(1-($A557/固有振動数!$O$6:$O$22)^2)/((1-($A557/固有振動数!$O$6:$O$22)^2)^2+固有振動数!$P$6:$P$22^2))</f>
        <v>8.15306799998913</v>
      </c>
      <c r="C557" s="127" t="n">
        <f aca="false">-SUMPRODUCT(固有振動数!$Q$6:$Q$22*固有振動数!$P$6:$P$22/((1-($A557/固有振動数!$O$6:$O$22)^2)^2+固有振動数!$P$6:$P$22^2))</f>
        <v>-4.42985266705427</v>
      </c>
      <c r="D557" s="128" t="n">
        <f aca="false">SQRT(B557^2+C557^2)</f>
        <v>9.27879908524021</v>
      </c>
      <c r="E557" s="129" t="n">
        <f aca="false">20*LOG10(MAX(D557,0.000000000001)/$K$3)</f>
        <v>19.3498354200605</v>
      </c>
    </row>
    <row r="558" customFormat="false" ht="15" hidden="false" customHeight="false" outlineLevel="0" collapsed="false">
      <c r="A558" s="122" t="n">
        <f aca="false">A557+$F$3</f>
        <v>5520</v>
      </c>
      <c r="B558" s="123" t="n">
        <f aca="false">SUMPRODUCT(固有振動数!$Q$6:$Q$22*(1-($A558/固有振動数!$O$6:$O$22)^2)/((1-($A558/固有振動数!$O$6:$O$22)^2)^2+固有振動数!$P$6:$P$22^2))</f>
        <v>8.73139438176301</v>
      </c>
      <c r="C558" s="123" t="n">
        <f aca="false">-SUMPRODUCT(固有振動数!$Q$6:$Q$22*固有振動数!$P$6:$P$22/((1-($A558/固有振動数!$O$6:$O$22)^2)^2+固有振動数!$P$6:$P$22^2))</f>
        <v>-4.14989936377277</v>
      </c>
      <c r="D558" s="124" t="n">
        <f aca="false">SQRT(B558^2+C558^2)</f>
        <v>9.66741498950595</v>
      </c>
      <c r="E558" s="125" t="n">
        <f aca="false">20*LOG10(MAX(D558,0.000000000001)/$K$3)</f>
        <v>19.7062072357952</v>
      </c>
    </row>
    <row r="559" customFormat="false" ht="15" hidden="false" customHeight="false" outlineLevel="0" collapsed="false">
      <c r="A559" s="126" t="n">
        <f aca="false">A558+$F$3</f>
        <v>5530</v>
      </c>
      <c r="B559" s="127" t="n">
        <f aca="false">SUMPRODUCT(固有振動数!$Q$6:$Q$22*(1-($A559/固有振動数!$O$6:$O$22)^2)/((1-($A559/固有振動数!$O$6:$O$22)^2)^2+固有振動数!$P$6:$P$22^2))</f>
        <v>9.2777060656336</v>
      </c>
      <c r="C559" s="127" t="n">
        <f aca="false">-SUMPRODUCT(固有振動数!$Q$6:$Q$22*固有振動数!$P$6:$P$22/((1-($A559/固有振動数!$O$6:$O$22)^2)^2+固有振動数!$P$6:$P$22^2))</f>
        <v>-3.90676076444918</v>
      </c>
      <c r="D559" s="128" t="n">
        <f aca="false">SQRT(B559^2+C559^2)</f>
        <v>10.0667079778314</v>
      </c>
      <c r="E559" s="129" t="n">
        <f aca="false">20*LOG10(MAX(D559,0.000000000001)/$K$3)</f>
        <v>20.0577494094664</v>
      </c>
    </row>
    <row r="560" customFormat="false" ht="15" hidden="false" customHeight="false" outlineLevel="0" collapsed="false">
      <c r="A560" s="122" t="n">
        <f aca="false">A559+$F$3</f>
        <v>5540</v>
      </c>
      <c r="B560" s="123" t="n">
        <f aca="false">SUMPRODUCT(固有振動数!$Q$6:$Q$22*(1-($A560/固有振動数!$O$6:$O$22)^2)/((1-($A560/固有振動数!$O$6:$O$22)^2)^2+固有振動数!$P$6:$P$22^2))</f>
        <v>9.79516012011974</v>
      </c>
      <c r="C560" s="123" t="n">
        <f aca="false">-SUMPRODUCT(固有振動数!$Q$6:$Q$22*固有振動数!$P$6:$P$22/((1-($A560/固有振動数!$O$6:$O$22)^2)^2+固有振動数!$P$6:$P$22^2))</f>
        <v>-3.69505450703</v>
      </c>
      <c r="D560" s="124" t="n">
        <f aca="false">SQRT(B560^2+C560^2)</f>
        <v>10.4689345011184</v>
      </c>
      <c r="E560" s="125" t="n">
        <f aca="false">20*LOG10(MAX(D560,0.000000000001)/$K$3)</f>
        <v>20.3980496529996</v>
      </c>
    </row>
    <row r="561" customFormat="false" ht="15" hidden="false" customHeight="false" outlineLevel="0" collapsed="false">
      <c r="A561" s="126" t="n">
        <f aca="false">A560+$F$3</f>
        <v>5550</v>
      </c>
      <c r="B561" s="127" t="n">
        <f aca="false">SUMPRODUCT(固有振動数!$Q$6:$Q$22*(1-($A561/固有振動数!$O$6:$O$22)^2)/((1-($A561/固有振動数!$O$6:$O$22)^2)^2+固有振動数!$P$6:$P$22^2))</f>
        <v>10.2866527642612</v>
      </c>
      <c r="C561" s="127" t="n">
        <f aca="false">-SUMPRODUCT(固有振動数!$Q$6:$Q$22*固有振動数!$P$6:$P$22/((1-($A561/固有振動数!$O$6:$O$22)^2)^2+固有振動数!$P$6:$P$22^2))</f>
        <v>-3.51036592746907</v>
      </c>
      <c r="D561" s="128" t="n">
        <f aca="false">SQRT(B561^2+C561^2)</f>
        <v>10.8691257255226</v>
      </c>
      <c r="E561" s="129" t="n">
        <f aca="false">20*LOG10(MAX(D561,0.000000000001)/$K$3)</f>
        <v>20.7238922472248</v>
      </c>
    </row>
    <row r="562" customFormat="false" ht="15" hidden="false" customHeight="false" outlineLevel="0" collapsed="false">
      <c r="A562" s="122" t="n">
        <f aca="false">A561+$F$3</f>
        <v>5560</v>
      </c>
      <c r="B562" s="123" t="n">
        <f aca="false">SUMPRODUCT(固有振動数!$Q$6:$Q$22*(1-($A562/固有振動数!$O$6:$O$22)^2)/((1-($A562/固有振動数!$O$6:$O$22)^2)^2+固有振動数!$P$6:$P$22^2))</f>
        <v>10.7548274990032</v>
      </c>
      <c r="C562" s="123" t="n">
        <f aca="false">-SUMPRODUCT(固有振動数!$Q$6:$Q$22*固有振動数!$P$6:$P$22/((1-($A562/固有振動数!$O$6:$O$22)^2)^2+固有振動数!$P$6:$P$22^2))</f>
        <v>-3.34905558393667</v>
      </c>
      <c r="D562" s="124" t="n">
        <f aca="false">SQRT(B562^2+C562^2)</f>
        <v>11.2642127038517</v>
      </c>
      <c r="E562" s="125" t="n">
        <f aca="false">20*LOG10(MAX(D562,0.000000000001)/$K$3)</f>
        <v>21.0340168544921</v>
      </c>
    </row>
    <row r="563" customFormat="false" ht="15" hidden="false" customHeight="false" outlineLevel="0" collapsed="false">
      <c r="A563" s="126" t="n">
        <f aca="false">A562+$F$3</f>
        <v>5570</v>
      </c>
      <c r="B563" s="127" t="n">
        <f aca="false">SUMPRODUCT(固有振動数!$Q$6:$Q$22*(1-($A563/固有振動数!$O$6:$O$22)^2)/((1-($A563/固有振動数!$O$6:$O$22)^2)^2+固有振動数!$P$6:$P$22^2))</f>
        <v>11.2020911450783</v>
      </c>
      <c r="C563" s="127" t="n">
        <f aca="false">-SUMPRODUCT(固有振動数!$Q$6:$Q$22*固有振動数!$P$6:$P$22/((1-($A563/固有振動数!$O$6:$O$22)^2)^2+固有振動数!$P$6:$P$22^2))</f>
        <v>-3.20810920825758</v>
      </c>
      <c r="D563" s="128" t="n">
        <f aca="false">SQRT(B563^2+C563^2)</f>
        <v>11.6524165182484</v>
      </c>
      <c r="E563" s="129" t="n">
        <f aca="false">20*LOG10(MAX(D563,0.000000000001)/$K$3)</f>
        <v>21.3283200037399</v>
      </c>
    </row>
    <row r="564" customFormat="false" ht="15" hidden="false" customHeight="false" outlineLevel="0" collapsed="false">
      <c r="A564" s="122" t="n">
        <f aca="false">A563+$F$3</f>
        <v>5580</v>
      </c>
      <c r="B564" s="123" t="n">
        <f aca="false">SUMPRODUCT(固有振動数!$Q$6:$Q$22*(1-($A564/固有振動数!$O$6:$O$22)^2)/((1-($A564/固有振動数!$O$6:$O$22)^2)^2+固有振動数!$P$6:$P$22^2))</f>
        <v>11.6306335911388</v>
      </c>
      <c r="C564" s="123" t="n">
        <f aca="false">-SUMPRODUCT(固有振動数!$Q$6:$Q$22*固有振動数!$P$6:$P$22/((1-($A564/固有振動数!$O$6:$O$22)^2)^2+固有振動数!$P$6:$P$22^2))</f>
        <v>-3.08502010558604</v>
      </c>
      <c r="D564" s="124" t="n">
        <f aca="false">SQRT(B564^2+C564^2)</f>
        <v>12.0328295418491</v>
      </c>
      <c r="E564" s="125" t="n">
        <f aca="false">20*LOG10(MAX(D564,0.000000000001)/$K$3)</f>
        <v>21.6073552898</v>
      </c>
    </row>
    <row r="565" customFormat="false" ht="15" hidden="false" customHeight="false" outlineLevel="0" collapsed="false">
      <c r="A565" s="126" t="n">
        <f aca="false">A564+$F$3</f>
        <v>5590</v>
      </c>
      <c r="B565" s="127" t="n">
        <f aca="false">SUMPRODUCT(固有振動数!$Q$6:$Q$22*(1-($A565/固有振動数!$O$6:$O$22)^2)/((1-($A565/固有振動数!$O$6:$O$22)^2)^2+固有振動数!$P$6:$P$22^2))</f>
        <v>12.0424487682862</v>
      </c>
      <c r="C565" s="127" t="n">
        <f aca="false">-SUMPRODUCT(固有振動数!$Q$6:$Q$22*固有振動数!$P$6:$P$22/((1-($A565/固有振動数!$O$6:$O$22)^2)^2+固有振動数!$P$6:$P$22^2))</f>
        <v>-2.97769649587928</v>
      </c>
      <c r="D565" s="128" t="n">
        <f aca="false">SQRT(B565^2+C565^2)</f>
        <v>12.405129937182</v>
      </c>
      <c r="E565" s="129" t="n">
        <f aca="false">20*LOG10(MAX(D565,0.000000000001)/$K$3)</f>
        <v>21.8720263527459</v>
      </c>
    </row>
    <row r="566" customFormat="false" ht="15" hidden="false" customHeight="false" outlineLevel="0" collapsed="false">
      <c r="A566" s="122" t="n">
        <f aca="false">A565+$F$3</f>
        <v>5600</v>
      </c>
      <c r="B566" s="123" t="n">
        <f aca="false">SUMPRODUCT(固有振動数!$Q$6:$Q$22*(1-($A566/固有振動数!$O$6:$O$22)^2)/((1-($A566/固有振動数!$O$6:$O$22)^2)^2+固有振動数!$P$6:$P$22^2))</f>
        <v>12.4393554244073</v>
      </c>
      <c r="C566" s="123" t="n">
        <f aca="false">-SUMPRODUCT(固有振動数!$Q$6:$Q$22*固有振動数!$P$6:$P$22/((1-($A566/固有振動数!$O$6:$O$22)^2)^2+固有振動数!$P$6:$P$22^2))</f>
        <v>-2.88438813513344</v>
      </c>
      <c r="D566" s="124" t="n">
        <f aca="false">SQRT(B566^2+C566^2)</f>
        <v>12.769387545565</v>
      </c>
      <c r="E566" s="125" t="n">
        <f aca="false">20*LOG10(MAX(D566,0.000000000001)/$K$3)</f>
        <v>22.1234013564505</v>
      </c>
    </row>
    <row r="567" customFormat="false" ht="15" hidden="false" customHeight="false" outlineLevel="0" collapsed="false">
      <c r="A567" s="126" t="n">
        <f aca="false">A566+$F$3</f>
        <v>5610</v>
      </c>
      <c r="B567" s="127" t="n">
        <f aca="false">SUMPRODUCT(固有振動数!$Q$6:$Q$22*(1-($A567/固有振動数!$O$6:$O$22)^2)/((1-($A567/固有振動数!$O$6:$O$22)^2)^2+固有振動数!$P$6:$P$22^2))</f>
        <v>12.8230169220783</v>
      </c>
      <c r="C567" s="127" t="n">
        <f aca="false">-SUMPRODUCT(固有振動数!$Q$6:$Q$22*固有振動数!$P$6:$P$22/((1-($A567/固有振動数!$O$6:$O$22)^2)^2+固有振動数!$P$6:$P$22^2))</f>
        <v>-2.80362792983263</v>
      </c>
      <c r="D567" s="128" t="n">
        <f aca="false">SQRT(B567^2+C567^2)</f>
        <v>13.1259320641563</v>
      </c>
      <c r="E567" s="129" t="n">
        <f aca="false">20*LOG10(MAX(D567,0.000000000001)/$K$3)</f>
        <v>22.3626030430038</v>
      </c>
    </row>
    <row r="568" customFormat="false" ht="15" hidden="false" customHeight="false" outlineLevel="0" collapsed="false">
      <c r="A568" s="122" t="n">
        <f aca="false">A567+$F$3</f>
        <v>5620</v>
      </c>
      <c r="B568" s="123" t="n">
        <f aca="false">SUMPRODUCT(固有振動数!$Q$6:$Q$22*(1-($A568/固有振動数!$O$6:$O$22)^2)/((1-($A568/固有振動数!$O$6:$O$22)^2)^2+固有振動数!$P$6:$P$22^2))</f>
        <v>13.1949596806897</v>
      </c>
      <c r="C568" s="123" t="n">
        <f aca="false">-SUMPRODUCT(固有振動数!$Q$6:$Q$22*固有振動数!$P$6:$P$22/((1-($A568/固有振動数!$O$6:$O$22)^2)^2+固有振動数!$P$6:$P$22^2))</f>
        <v>-2.73418528579381</v>
      </c>
      <c r="D568" s="124" t="n">
        <f aca="false">SQRT(B568^2+C568^2)</f>
        <v>13.4752636394276</v>
      </c>
      <c r="E568" s="125" t="n">
        <f aca="false">20*LOG10(MAX(D568,0.000000000001)/$K$3)</f>
        <v>22.5907454156223</v>
      </c>
    </row>
    <row r="569" customFormat="false" ht="15" hidden="false" customHeight="false" outlineLevel="0" collapsed="false">
      <c r="A569" s="126" t="n">
        <f aca="false">A568+$F$3</f>
        <v>5630</v>
      </c>
      <c r="B569" s="127" t="n">
        <f aca="false">SUMPRODUCT(固有振動数!$Q$6:$Q$22*(1-($A569/固有振動数!$O$6:$O$22)^2)/((1-($A569/固有振動数!$O$6:$O$22)^2)^2+固有振動数!$P$6:$P$22^2))</f>
        <v>13.5565901222959</v>
      </c>
      <c r="C569" s="127" t="n">
        <f aca="false">-SUMPRODUCT(固有振動数!$Q$6:$Q$22*固有振動数!$P$6:$P$22/((1-($A569/固有振動数!$O$6:$O$22)^2)^2+固有振動数!$P$6:$P$22^2))</f>
        <v>-2.67502870307331</v>
      </c>
      <c r="D569" s="128" t="n">
        <f aca="false">SQRT(B569^2+C569^2)</f>
        <v>13.8179924122934</v>
      </c>
      <c r="E569" s="129" t="n">
        <f aca="false">20*LOG10(MAX(D569,0.000000000001)/$K$3)</f>
        <v>22.8088989973815</v>
      </c>
    </row>
    <row r="570" customFormat="false" ht="15" hidden="false" customHeight="false" outlineLevel="0" collapsed="false">
      <c r="A570" s="122" t="n">
        <f aca="false">A569+$F$3</f>
        <v>5640</v>
      </c>
      <c r="B570" s="123" t="n">
        <f aca="false">SUMPRODUCT(固有振動数!$Q$6:$Q$22*(1-($A570/固有振動数!$O$6:$O$22)^2)/((1-($A570/固有振動数!$O$6:$O$22)^2)^2+固有振動数!$P$6:$P$22^2))</f>
        <v>13.9092101211061</v>
      </c>
      <c r="C570" s="123" t="n">
        <f aca="false">-SUMPRODUCT(固有振動数!$Q$6:$Q$22*固有振動数!$P$6:$P$22/((1-($A570/固有振動数!$O$6:$O$22)^2)^2+固有振動数!$P$6:$P$22^2))</f>
        <v>-2.62529570879613</v>
      </c>
      <c r="D570" s="124" t="n">
        <f aca="false">SQRT(B570^2+C570^2)</f>
        <v>14.1547979057175</v>
      </c>
      <c r="E570" s="125" t="n">
        <f aca="false">20*LOG10(MAX(D570,0.000000000001)/$K$3)</f>
        <v>23.0180734626367</v>
      </c>
    </row>
    <row r="571" customFormat="false" ht="15" hidden="false" customHeight="false" outlineLevel="0" collapsed="false">
      <c r="A571" s="126" t="n">
        <f aca="false">A570+$F$3</f>
        <v>5650</v>
      </c>
      <c r="B571" s="127" t="n">
        <f aca="false">SUMPRODUCT(固有振動数!$Q$6:$Q$22*(1-($A571/固有振動数!$O$6:$O$22)^2)/((1-($A571/固有振動数!$O$6:$O$22)^2)^2+固有振動数!$P$6:$P$22^2))</f>
        <v>14.2540310358694</v>
      </c>
      <c r="C571" s="127" t="n">
        <f aca="false">-SUMPRODUCT(固有振動数!$Q$6:$Q$22*固有振動数!$P$6:$P$22/((1-($A571/固有振動数!$O$6:$O$22)^2)^2+固有振動数!$P$6:$P$22^2))</f>
        <v>-2.58426865899717</v>
      </c>
      <c r="D571" s="128" t="n">
        <f aca="false">SQRT(B571^2+C571^2)</f>
        <v>14.4864020817249</v>
      </c>
      <c r="E571" s="129" t="n">
        <f aca="false">20*LOG10(MAX(D571,0.000000000001)/$K$3)</f>
        <v>23.2192107044829</v>
      </c>
    </row>
    <row r="572" customFormat="false" ht="15" hidden="false" customHeight="false" outlineLevel="0" collapsed="false">
      <c r="A572" s="122" t="n">
        <f aca="false">A571+$F$3</f>
        <v>5660</v>
      </c>
      <c r="B572" s="123" t="n">
        <f aca="false">SUMPRODUCT(固有振動数!$Q$6:$Q$22*(1-($A572/固有振動数!$O$6:$O$22)^2)/((1-($A572/固有振動数!$O$6:$O$22)^2)^2+固有振動数!$P$6:$P$22^2))</f>
        <v>14.5921864461881</v>
      </c>
      <c r="C572" s="123" t="n">
        <f aca="false">-SUMPRODUCT(固有振動数!$Q$6:$Q$22*固有振動数!$P$6:$P$22/((1-($A572/固有振動数!$O$6:$O$22)^2)^2+固有振動数!$P$6:$P$22^2))</f>
        <v>-2.55135527511522</v>
      </c>
      <c r="D572" s="124" t="n">
        <f aca="false">SQRT(B572^2+C572^2)</f>
        <v>14.8135518705061</v>
      </c>
      <c r="E572" s="125" t="n">
        <f aca="false">20*LOG10(MAX(D572,0.000000000001)/$K$3)</f>
        <v>23.4131840506613</v>
      </c>
    </row>
    <row r="573" customFormat="false" ht="15" hidden="false" customHeight="false" outlineLevel="0" collapsed="false">
      <c r="A573" s="126" t="n">
        <f aca="false">A572+$F$3</f>
        <v>5670</v>
      </c>
      <c r="B573" s="127" t="n">
        <f aca="false">SUMPRODUCT(固有振動数!$Q$6:$Q$22*(1-($A573/固有振動数!$O$6:$O$22)^2)/((1-($A573/固有振動数!$O$6:$O$22)^2)^2+固有振動数!$P$6:$P$22^2))</f>
        <v>14.9247437327991</v>
      </c>
      <c r="C573" s="127" t="n">
        <f aca="false">-SUMPRODUCT(固有振動数!$Q$6:$Q$22*固有振動数!$P$6:$P$22/((1-($A573/固有振動数!$O$6:$O$22)^2)^2+固有振動数!$P$6:$P$22^2))</f>
        <v>-2.52607303740133</v>
      </c>
      <c r="D573" s="128" t="n">
        <f aca="false">SQRT(B573^2+C573^2)</f>
        <v>15.137008306796</v>
      </c>
      <c r="E573" s="129" t="n">
        <f aca="false">20*LOG10(MAX(D573,0.000000000001)/$K$3)</f>
        <v>23.6008009851349</v>
      </c>
    </row>
    <row r="574" customFormat="false" ht="15" hidden="false" customHeight="false" outlineLevel="0" collapsed="false">
      <c r="A574" s="122" t="n">
        <f aca="false">A573+$F$3</f>
        <v>5680</v>
      </c>
      <c r="B574" s="123" t="n">
        <f aca="false">SUMPRODUCT(固有振動数!$Q$6:$Q$22*(1-($A574/固有振動数!$O$6:$O$22)^2)/((1-($A574/固有振動数!$O$6:$O$22)^2)^2+固有振動数!$P$6:$P$22^2))</f>
        <v>15.2527146474221</v>
      </c>
      <c r="C574" s="123" t="n">
        <f aca="false">-SUMPRODUCT(固有振動数!$Q$6:$Q$22*固有振動数!$P$6:$P$22/((1-($A574/固有振動数!$O$6:$O$22)^2)^2+固有振動数!$P$6:$P$22^2))</f>
        <v>-2.50803675596212</v>
      </c>
      <c r="D574" s="124" t="n">
        <f aca="false">SQRT(B574^2+C574^2)</f>
        <v>15.4575403116066</v>
      </c>
      <c r="E574" s="125" t="n">
        <f aca="false">20*LOG10(MAX(D574,0.000000000001)/$K$3)</f>
        <v>23.782807755316</v>
      </c>
    </row>
    <row r="575" customFormat="false" ht="15" hidden="false" customHeight="false" outlineLevel="0" collapsed="false">
      <c r="A575" s="126" t="n">
        <f aca="false">A574+$F$3</f>
        <v>5690</v>
      </c>
      <c r="B575" s="127" t="n">
        <f aca="false">SUMPRODUCT(固有振動数!$Q$6:$Q$22*(1-($A575/固有振動数!$O$6:$O$22)^2)/((1-($A575/固有振動数!$O$6:$O$22)^2)^2+固有振動数!$P$6:$P$22^2))</f>
        <v>15.5770650157088</v>
      </c>
      <c r="C575" s="127" t="n">
        <f aca="false">-SUMPRODUCT(固有振動数!$Q$6:$Q$22*固有振動数!$P$6:$P$22/((1-($A575/固有振動数!$O$6:$O$22)^2)^2+固有振動数!$P$6:$P$22^2))</f>
        <v>-2.49694879515358</v>
      </c>
      <c r="D575" s="128" t="n">
        <f aca="false">SQRT(B575^2+C575^2)</f>
        <v>15.7759217730451</v>
      </c>
      <c r="E575" s="129" t="n">
        <f aca="false">20*LOG10(MAX(D575,0.000000000001)/$K$3)</f>
        <v>23.9598948819388</v>
      </c>
    </row>
    <row r="576" customFormat="false" ht="15" hidden="false" customHeight="false" outlineLevel="0" collapsed="false">
      <c r="A576" s="122" t="n">
        <f aca="false">A575+$F$3</f>
        <v>5700</v>
      </c>
      <c r="B576" s="123" t="n">
        <f aca="false">SUMPRODUCT(固有振動数!$Q$6:$Q$22*(1-($A576/固有振動数!$O$6:$O$22)^2)/((1-($A576/固有振動数!$O$6:$O$22)^2)^2+固有振動数!$P$6:$P$22^2))</f>
        <v>15.8987237107841</v>
      </c>
      <c r="C576" s="123" t="n">
        <f aca="false">-SUMPRODUCT(固有振動数!$Q$6:$Q$22*固有振動数!$P$6:$P$22/((1-($A576/固有振動数!$O$6:$O$22)^2)^2+固有振動数!$P$6:$P$22^2))</f>
        <v>-2.49259154956105</v>
      </c>
      <c r="D576" s="124" t="n">
        <f aca="false">SQRT(B576^2+C576^2)</f>
        <v>16.0929310029215</v>
      </c>
      <c r="E576" s="125" t="n">
        <f aca="false">20*LOG10(MAX(D576,0.000000000001)/$K$3)</f>
        <v>24.1327029857345</v>
      </c>
    </row>
    <row r="577" customFormat="false" ht="15" hidden="false" customHeight="false" outlineLevel="0" collapsed="false">
      <c r="A577" s="126" t="n">
        <f aca="false">A576+$F$3</f>
        <v>5710</v>
      </c>
      <c r="B577" s="127" t="n">
        <f aca="false">SUMPRODUCT(固有振動数!$Q$6:$Q$22*(1-($A577/固有振動数!$O$6:$O$22)^2)/((1-($A577/固有振動数!$O$6:$O$22)^2)^2+固有振動数!$P$6:$P$22^2))</f>
        <v>16.2185910270767</v>
      </c>
      <c r="C577" s="127" t="n">
        <f aca="false">-SUMPRODUCT(固有振動数!$Q$6:$Q$22*固有振動数!$P$6:$P$22/((1-($A577/固有振動数!$O$6:$O$22)^2)^2+固有振動数!$P$6:$P$22^2))</f>
        <v>-2.49482186815516</v>
      </c>
      <c r="D577" s="128" t="n">
        <f aca="false">SQRT(B577^2+C577^2)</f>
        <v>16.4093519389827</v>
      </c>
      <c r="E577" s="129" t="n">
        <f aca="false">20*LOG10(MAX(D577,0.000000000001)/$K$3)</f>
        <v>24.3018285925654</v>
      </c>
    </row>
    <row r="578" customFormat="false" ht="15" hidden="false" customHeight="false" outlineLevel="0" collapsed="false">
      <c r="A578" s="122" t="n">
        <f aca="false">A577+$F$3</f>
        <v>5720</v>
      </c>
      <c r="B578" s="123" t="n">
        <f aca="false">SUMPRODUCT(固有振動数!$Q$6:$Q$22*(1-($A578/固有振動数!$O$6:$O$22)^2)/((1-($A578/固有振動数!$O$6:$O$22)^2)^2+固有振動数!$P$6:$P$22^2))</f>
        <v>16.5375465759289</v>
      </c>
      <c r="C578" s="123" t="n">
        <f aca="false">-SUMPRODUCT(固有振動数!$Q$6:$Q$22*固有振動数!$P$6:$P$22/((1-($A578/固有振動数!$O$6:$O$22)^2)^2+固有振動数!$P$6:$P$22^2))</f>
        <v>-2.50356720375091</v>
      </c>
      <c r="D578" s="124" t="n">
        <f aca="false">SQRT(B578^2+C578^2)</f>
        <v>16.7259766678874</v>
      </c>
      <c r="E578" s="125" t="n">
        <f aca="false">20*LOG10(MAX(D578,0.000000000001)/$K$3)</f>
        <v>24.4678297324923</v>
      </c>
    </row>
    <row r="579" customFormat="false" ht="15" hidden="false" customHeight="false" outlineLevel="0" collapsed="false">
      <c r="A579" s="126" t="n">
        <f aca="false">A578+$F$3</f>
        <v>5730</v>
      </c>
      <c r="B579" s="127" t="n">
        <f aca="false">SUMPRODUCT(固有振動数!$Q$6:$Q$22*(1-($A579/固有振動数!$O$6:$O$22)^2)/((1-($A579/固有振動数!$O$6:$O$22)^2)^2+固有振動数!$P$6:$P$22^2))</f>
        <v>16.8564568166199</v>
      </c>
      <c r="C579" s="127" t="n">
        <f aca="false">-SUMPRODUCT(固有振動数!$Q$6:$Q$22*固有振動数!$P$6:$P$22/((1-($A579/固有振動数!$O$6:$O$22)^2)^2+固有振動数!$P$6:$P$22^2))</f>
        <v>-2.51882333256834</v>
      </c>
      <c r="D579" s="128" t="n">
        <f aca="false">SQRT(B579^2+C579^2)</f>
        <v>17.0436089896261</v>
      </c>
      <c r="E579" s="129" t="n">
        <f aca="false">20*LOG10(MAX(D579,0.000000000001)/$K$3)</f>
        <v>24.6312312432652</v>
      </c>
    </row>
    <row r="580" customFormat="false" ht="15" hidden="false" customHeight="false" outlineLevel="0" collapsed="false">
      <c r="A580" s="122" t="n">
        <f aca="false">A579+$F$3</f>
        <v>5740</v>
      </c>
      <c r="B580" s="123" t="n">
        <f aca="false">SUMPRODUCT(固有振動数!$Q$6:$Q$22*(1-($A580/固有振動数!$O$6:$O$22)^2)/((1-($A580/固有振動数!$O$6:$O$22)^2)^2+固有振動数!$P$6:$P$22^2))</f>
        <v>17.1761823293134</v>
      </c>
      <c r="C580" s="123" t="n">
        <f aca="false">-SUMPRODUCT(固有振動数!$Q$6:$Q$22*固有振動数!$P$6:$P$22/((1-($A580/固有振動数!$O$6:$O$22)^2)^2+固有振動数!$P$6:$P$22^2))</f>
        <v>-2.54065354744869</v>
      </c>
      <c r="D580" s="124" t="n">
        <f aca="false">SQRT(B580^2+C580^2)</f>
        <v>17.3630688490825</v>
      </c>
      <c r="E580" s="125" t="n">
        <f aca="false">20*LOG10(MAX(D580,0.000000000001)/$K$3)</f>
        <v>24.7925297468019</v>
      </c>
    </row>
    <row r="581" customFormat="false" ht="15" hidden="false" customHeight="false" outlineLevel="0" collapsed="false">
      <c r="A581" s="126" t="n">
        <f aca="false">A580+$F$3</f>
        <v>5750</v>
      </c>
      <c r="B581" s="127" t="n">
        <f aca="false">SUMPRODUCT(固有振動数!$Q$6:$Q$22*(1-($A581/固有振動数!$O$6:$O$22)^2)/((1-($A581/固有振動数!$O$6:$O$22)^2)^2+固有振動数!$P$6:$P$22^2))</f>
        <v>17.4975849301932</v>
      </c>
      <c r="C581" s="127" t="n">
        <f aca="false">-SUMPRODUCT(固有振動数!$Q$6:$Q$22*固有振動数!$P$6:$P$22/((1-($A581/固有振動数!$O$6:$O$22)^2)^2+固有振動数!$P$6:$P$22^2))</f>
        <v>-2.56918928138823</v>
      </c>
      <c r="D581" s="128" t="n">
        <f aca="false">SQRT(B581^2+C581^2)</f>
        <v>17.6851975378542</v>
      </c>
      <c r="E581" s="129" t="n">
        <f aca="false">20*LOG10(MAX(D581,0.000000000001)/$K$3)</f>
        <v>24.9521983020948</v>
      </c>
    </row>
    <row r="582" customFormat="false" ht="15" hidden="false" customHeight="false" outlineLevel="0" collapsed="false">
      <c r="A582" s="122" t="n">
        <f aca="false">A581+$F$3</f>
        <v>5760</v>
      </c>
      <c r="B582" s="123" t="n">
        <f aca="false">SUMPRODUCT(固有振動数!$Q$6:$Q$22*(1-($A582/固有振動数!$O$6:$O$22)^2)/((1-($A582/固有振動数!$O$6:$O$22)^2)^2+固有振動数!$P$6:$P$22^2))</f>
        <v>17.8215347236152</v>
      </c>
      <c r="C582" s="123" t="n">
        <f aca="false">-SUMPRODUCT(固有振動数!$Q$6:$Q$22*固有振動数!$P$6:$P$22/((1-($A582/固有振動数!$O$6:$O$22)^2)^2+固有振動数!$P$6:$P$22^2))</f>
        <v>-2.60463216834341</v>
      </c>
      <c r="D582" s="124" t="n">
        <f aca="false">SQRT(B582^2+C582^2)</f>
        <v>18.0108636283048</v>
      </c>
      <c r="E582" s="125" t="n">
        <f aca="false">20*LOG10(MAX(D582,0.000000000001)/$K$3)</f>
        <v>25.1106907583503</v>
      </c>
    </row>
    <row r="583" customFormat="false" ht="15" hidden="false" customHeight="false" outlineLevel="0" collapsed="false">
      <c r="A583" s="126" t="n">
        <f aca="false">A582+$F$3</f>
        <v>5770</v>
      </c>
      <c r="B583" s="127" t="n">
        <f aca="false">SUMPRODUCT(固有振動数!$Q$6:$Q$22*(1-($A583/固有振動数!$O$6:$O$22)^2)/((1-($A583/固有振動数!$O$6:$O$22)^2)^2+固有振動数!$P$6:$P$22^2))</f>
        <v>18.1489171812726</v>
      </c>
      <c r="C583" s="127" t="n">
        <f aca="false">-SUMPRODUCT(固有振動数!$Q$6:$Q$22*固有振動数!$P$6:$P$22/((1-($A583/固有振動数!$O$6:$O$22)^2)^2+固有振動数!$P$6:$P$22^2))</f>
        <v>-2.64725759833482</v>
      </c>
      <c r="D583" s="128" t="n">
        <f aca="false">SQRT(B583^2+C583^2)</f>
        <v>18.3409696484301</v>
      </c>
      <c r="E583" s="129" t="n">
        <f aca="false">20*LOG10(MAX(D583,0.000000000001)/$K$3)</f>
        <v>25.2684458435074</v>
      </c>
    </row>
    <row r="584" customFormat="false" ht="15" hidden="false" customHeight="false" outlineLevel="0" collapsed="false">
      <c r="A584" s="122" t="n">
        <f aca="false">A583+$F$3</f>
        <v>5780</v>
      </c>
      <c r="B584" s="123" t="n">
        <f aca="false">SUMPRODUCT(固有振動数!$Q$6:$Q$22*(1-($A584/固有振動数!$O$6:$O$22)^2)/((1-($A584/固有振動数!$O$6:$O$22)^2)^2+固有振動数!$P$6:$P$22^2))</f>
        <v>18.4806403337653</v>
      </c>
      <c r="C584" s="123" t="n">
        <f aca="false">-SUMPRODUCT(固有振動数!$Q$6:$Q$22*固有振動数!$P$6:$P$22/((1-($A584/固有振動数!$O$6:$O$22)^2)^2+固有振動数!$P$6:$P$22^2))</f>
        <v>-2.69741987628031</v>
      </c>
      <c r="D584" s="124" t="n">
        <f aca="false">SQRT(B584^2+C584^2)</f>
        <v>18.6764595449712</v>
      </c>
      <c r="E584" s="125" t="n">
        <f aca="false">20*LOG10(MAX(D584,0.000000000001)/$K$3)</f>
        <v>25.4258910290882</v>
      </c>
    </row>
    <row r="585" customFormat="false" ht="15" hidden="false" customHeight="false" outlineLevel="0" collapsed="false">
      <c r="A585" s="126" t="n">
        <f aca="false">A584+$F$3</f>
        <v>5790</v>
      </c>
      <c r="B585" s="127" t="n">
        <f aca="false">SUMPRODUCT(固有振動数!$Q$6:$Q$22*(1-($A585/固有振動数!$O$6:$O$22)^2)/((1-($A585/固有振動数!$O$6:$O$22)^2)^2+固有振動数!$P$6:$P$22^2))</f>
        <v>18.8176421550053</v>
      </c>
      <c r="C585" s="127" t="n">
        <f aca="false">-SUMPRODUCT(固有振動数!$Q$6:$Q$22*固有振動数!$P$6:$P$22/((1-($A585/固有振動数!$O$6:$O$22)^2)^2+固有振動数!$P$6:$P$22^2))</f>
        <v>-2.75555915138864</v>
      </c>
      <c r="D585" s="128" t="n">
        <f aca="false">SQRT(B585^2+C585^2)</f>
        <v>19.0183270166078</v>
      </c>
      <c r="E585" s="129" t="n">
        <f aca="false">20*LOG10(MAX(D585,0.000000000001)/$K$3)</f>
        <v>25.5834462147918</v>
      </c>
    </row>
    <row r="586" customFormat="false" ht="15" hidden="false" customHeight="false" outlineLevel="0" collapsed="false">
      <c r="A586" s="122" t="n">
        <f aca="false">A585+$F$3</f>
        <v>5800</v>
      </c>
      <c r="B586" s="123" t="n">
        <f aca="false">SUMPRODUCT(固有振動数!$Q$6:$Q$22*(1-($A586/固有振動数!$O$6:$O$22)^2)/((1-($A586/固有振動数!$O$6:$O$22)^2)^2+固有振動数!$P$6:$P$22^2))</f>
        <v>19.1608982137282</v>
      </c>
      <c r="C586" s="123" t="n">
        <f aca="false">-SUMPRODUCT(固有振動数!$Q$6:$Q$22*固有振動数!$P$6:$P$22/((1-($A586/固有振動数!$O$6:$O$22)^2)^2+固有振動数!$P$6:$P$22^2))</f>
        <v>-2.82221034931416</v>
      </c>
      <c r="D586" s="124" t="n">
        <f aca="false">SQRT(B586^2+C586^2)</f>
        <v>19.3676248314714</v>
      </c>
      <c r="E586" s="125" t="n">
        <f aca="false">20*LOG10(MAX(D586,0.000000000001)/$K$3)</f>
        <v>25.7415272767117</v>
      </c>
    </row>
    <row r="587" customFormat="false" ht="15" hidden="false" customHeight="false" outlineLevel="0" collapsed="false">
      <c r="A587" s="126" t="n">
        <f aca="false">A586+$F$3</f>
        <v>5810</v>
      </c>
      <c r="B587" s="127" t="n">
        <f aca="false">SUMPRODUCT(固有振動数!$Q$6:$Q$22*(1-($A587/固有振動数!$O$6:$O$22)^2)/((1-($A587/固有振動数!$O$6:$O$22)^2)^2+固有振動数!$P$6:$P$22^2))</f>
        <v>19.5114296577881</v>
      </c>
      <c r="C587" s="127" t="n">
        <f aca="false">-SUMPRODUCT(固有振動数!$Q$6:$Q$22*固有振動数!$P$6:$P$22/((1-($A587/固有振動数!$O$6:$O$22)^2)^2+固有振動数!$P$6:$P$22^2))</f>
        <v>-2.89801441608067</v>
      </c>
      <c r="D587" s="128" t="n">
        <f aca="false">SQRT(B587^2+C587^2)</f>
        <v>19.7254752755573</v>
      </c>
      <c r="E587" s="129" t="n">
        <f aca="false">20*LOG10(MAX(D587,0.000000000001)/$K$3)</f>
        <v>25.9005495223594</v>
      </c>
    </row>
    <row r="588" customFormat="false" ht="15" hidden="false" customHeight="false" outlineLevel="0" collapsed="false">
      <c r="A588" s="122" t="n">
        <f aca="false">A587+$F$3</f>
        <v>5820</v>
      </c>
      <c r="B588" s="123" t="n">
        <f aca="false">SUMPRODUCT(固有振動数!$Q$6:$Q$22*(1-($A588/固有振動数!$O$6:$O$22)^2)/((1-($A588/固有振動数!$O$6:$O$22)^2)^2+固有振動数!$P$6:$P$22^2))</f>
        <v>19.8703115840848</v>
      </c>
      <c r="C588" s="123" t="n">
        <f aca="false">-SUMPRODUCT(固有振動数!$Q$6:$Q$22*固有振動数!$P$6:$P$22/((1-($A588/固有振動数!$O$6:$O$22)^2)^2+固有振動数!$P$6:$P$22^2))</f>
        <v>-2.98373227523936</v>
      </c>
      <c r="D588" s="124" t="n">
        <f aca="false">SQRT(B588^2+C588^2)</f>
        <v>20.0930819124125</v>
      </c>
      <c r="E588" s="125" t="n">
        <f aca="false">20*LOG10(MAX(D588,0.000000000001)/$K$3)</f>
        <v>26.0609310942499</v>
      </c>
    </row>
    <row r="589" customFormat="false" ht="15" hidden="false" customHeight="false" outlineLevel="0" collapsed="false">
      <c r="A589" s="126" t="n">
        <f aca="false">A588+$F$3</f>
        <v>5830</v>
      </c>
      <c r="B589" s="127" t="n">
        <f aca="false">SUMPRODUCT(固有振動数!$Q$6:$Q$22*(1-($A589/固有振動数!$O$6:$O$22)^2)/((1-($A589/固有振動数!$O$6:$O$22)^2)^2+固有振動数!$P$6:$P$22^2))</f>
        <v>20.2386818272894</v>
      </c>
      <c r="C589" s="127" t="n">
        <f aca="false">-SUMPRODUCT(固有振動数!$Q$6:$Q$22*固有振動数!$P$6:$P$22/((1-($A589/固有振動数!$O$6:$O$22)^2)^2+固有振動数!$P$6:$P$22^2))</f>
        <v>-3.08026201306878</v>
      </c>
      <c r="D589" s="128" t="n">
        <f aca="false">SQRT(B589^2+C589^2)</f>
        <v>20.4717428709773</v>
      </c>
      <c r="E589" s="129" t="n">
        <f aca="false">20*LOG10(MAX(D589,0.000000000001)/$K$3)</f>
        <v>26.2230963618255</v>
      </c>
    </row>
    <row r="590" customFormat="false" ht="15" hidden="false" customHeight="false" outlineLevel="0" collapsed="false">
      <c r="A590" s="122" t="n">
        <f aca="false">A589+$F$3</f>
        <v>5840</v>
      </c>
      <c r="B590" s="123" t="n">
        <f aca="false">SUMPRODUCT(固有振動数!$Q$6:$Q$22*(1-($A590/固有振動数!$O$6:$O$22)^2)/((1-($A590/固有振動数!$O$6:$O$22)^2)^2+固有振動数!$P$6:$P$22^2))</f>
        <v>20.6177501701343</v>
      </c>
      <c r="C590" s="123" t="n">
        <f aca="false">-SUMPRODUCT(固有振動数!$Q$6:$Q$22*固有振動数!$P$6:$P$22/((1-($A590/固有振動数!$O$6:$O$22)^2)^2+固有振動数!$P$6:$P$22^2))</f>
        <v>-3.18865994749073</v>
      </c>
      <c r="D590" s="124" t="n">
        <f aca="false">SQRT(B590^2+C590^2)</f>
        <v>20.8628659186318</v>
      </c>
      <c r="E590" s="125" t="n">
        <f aca="false">20*LOG10(MAX(D590,0.000000000001)/$K$3)</f>
        <v>26.3874793389098</v>
      </c>
    </row>
    <row r="591" customFormat="false" ht="15" hidden="false" customHeight="false" outlineLevel="0" collapsed="false">
      <c r="A591" s="126" t="n">
        <f aca="false">A590+$F$3</f>
        <v>5850</v>
      </c>
      <c r="B591" s="127" t="n">
        <f aca="false">SUMPRODUCT(固有振動数!$Q$6:$Q$22*(1-($A591/固有振動数!$O$6:$O$22)^2)/((1-($A591/固有振動数!$O$6:$O$22)^2)^2+固有振動数!$P$6:$P$22^2))</f>
        <v>21.0088079312335</v>
      </c>
      <c r="C591" s="127" t="n">
        <f aca="false">-SUMPRODUCT(固有振動数!$Q$6:$Q$22*固有振動数!$P$6:$P$22/((1-($A591/固有振動数!$O$6:$O$22)^2)^2+固有振動数!$P$6:$P$22^2))</f>
        <v>-3.31016641325971</v>
      </c>
      <c r="D591" s="128" t="n">
        <f aca="false">SQRT(B591^2+C591^2)</f>
        <v>21.2679856209969</v>
      </c>
      <c r="E591" s="129" t="n">
        <f aca="false">20*LOG10(MAX(D591,0.000000000001)/$K$3)</f>
        <v>26.55452716043</v>
      </c>
    </row>
    <row r="592" customFormat="false" ht="15" hidden="false" customHeight="false" outlineLevel="0" collapsed="false">
      <c r="A592" s="122" t="n">
        <f aca="false">A591+$F$3</f>
        <v>5860</v>
      </c>
      <c r="B592" s="123" t="n">
        <f aca="false">SUMPRODUCT(固有振動数!$Q$6:$Q$22*(1-($A592/固有振動数!$O$6:$O$22)^2)/((1-($A592/固有振動数!$O$6:$O$22)^2)^2+固有振動数!$P$6:$P$22^2))</f>
        <v>21.4132378147787</v>
      </c>
      <c r="C592" s="123" t="n">
        <f aca="false">-SUMPRODUCT(固有振動数!$Q$6:$Q$22*固有振動数!$P$6:$P$22/((1-($A592/固有振動数!$O$6:$O$22)^2)^2+固有振動数!$P$6:$P$22^2))</f>
        <v>-3.44623731984052</v>
      </c>
      <c r="D592" s="124" t="n">
        <f aca="false">SQRT(B592^2+C592^2)</f>
        <v>21.6887829390431</v>
      </c>
      <c r="E592" s="125" t="n">
        <f aca="false">20*LOG10(MAX(D592,0.000000000001)/$K$3)</f>
        <v>26.7247036473032</v>
      </c>
    </row>
    <row r="593" customFormat="false" ht="15" hidden="false" customHeight="false" outlineLevel="0" collapsed="false">
      <c r="A593" s="126" t="n">
        <f aca="false">A592+$F$3</f>
        <v>5870</v>
      </c>
      <c r="B593" s="127" t="n">
        <f aca="false">SUMPRODUCT(固有振動数!$Q$6:$Q$22*(1-($A593/固有振動数!$O$6:$O$22)^2)/((1-($A593/固有振動数!$O$6:$O$22)^2)^2+固有振動数!$P$6:$P$22^2))</f>
        <v>21.8325237975151</v>
      </c>
      <c r="C593" s="127" t="n">
        <f aca="false">-SUMPRODUCT(固有振動数!$Q$6:$Q$22*固有振動数!$P$6:$P$22/((1-($A593/固有振動数!$O$6:$O$22)^2)^2+固有振動数!$P$6:$P$22^2))</f>
        <v>-3.59858282337502</v>
      </c>
      <c r="D593" s="128" t="n">
        <f aca="false">SQRT(B593^2+C593^2)</f>
        <v>22.1271076669715</v>
      </c>
      <c r="E593" s="129" t="n">
        <f aca="false">20*LOG10(MAX(D593,0.000000000001)/$K$3)</f>
        <v>26.8984929813311</v>
      </c>
    </row>
    <row r="594" customFormat="false" ht="15" hidden="false" customHeight="false" outlineLevel="0" collapsed="false">
      <c r="A594" s="122" t="n">
        <f aca="false">A593+$F$3</f>
        <v>5880</v>
      </c>
      <c r="B594" s="123" t="n">
        <f aca="false">SUMPRODUCT(固有振動数!$Q$6:$Q$22*(1-($A594/固有振動数!$O$6:$O$22)^2)/((1-($A594/固有振動数!$O$6:$O$22)^2)^2+固有振動数!$P$6:$P$22^2))</f>
        <v>22.2682606634779</v>
      </c>
      <c r="C594" s="123" t="n">
        <f aca="false">-SUMPRODUCT(固有振動数!$Q$6:$Q$22*固有振動数!$P$6:$P$22/((1-($A594/固有振動数!$O$6:$O$22)^2)^2+固有振動数!$P$6:$P$22^2))</f>
        <v>-3.76921481854451</v>
      </c>
      <c r="D594" s="124" t="n">
        <f aca="false">SQRT(B594^2+C594^2)</f>
        <v>22.5850041692477</v>
      </c>
      <c r="E594" s="125" t="n">
        <f aca="false">20*LOG10(MAX(D594,0.000000000001)/$K$3)</f>
        <v>27.0764035013851</v>
      </c>
    </row>
    <row r="595" customFormat="false" ht="15" hidden="false" customHeight="false" outlineLevel="0" collapsed="false">
      <c r="A595" s="126" t="n">
        <f aca="false">A594+$F$3</f>
        <v>5890</v>
      </c>
      <c r="B595" s="127" t="n">
        <f aca="false">SUMPRODUCT(固有振動数!$Q$6:$Q$22*(1-($A595/固有振動数!$O$6:$O$22)^2)/((1-($A595/固有振動数!$O$6:$O$22)^2)^2+固有振動数!$P$6:$P$22^2))</f>
        <v>22.7221625481245</v>
      </c>
      <c r="C595" s="127" t="n">
        <f aca="false">-SUMPRODUCT(固有振動数!$Q$6:$Q$22*固有振動数!$P$6:$P$22/((1-($A595/固有振動数!$O$6:$O$22)^2)^2+固有振動数!$P$6:$P$22^2))</f>
        <v>-3.96050542347239</v>
      </c>
      <c r="D595" s="128" t="n">
        <f aca="false">SQRT(B595^2+C595^2)</f>
        <v>23.0647409279347</v>
      </c>
      <c r="E595" s="129" t="n">
        <f aca="false">20*LOG10(MAX(D595,0.000000000001)/$K$3)</f>
        <v>27.2589716161714</v>
      </c>
    </row>
    <row r="596" customFormat="false" ht="15" hidden="false" customHeight="false" outlineLevel="0" collapsed="false">
      <c r="A596" s="122" t="n">
        <f aca="false">A595+$F$3</f>
        <v>5900</v>
      </c>
      <c r="B596" s="123" t="n">
        <f aca="false">SUMPRODUCT(固有振動数!$Q$6:$Q$22*(1-($A596/固有振動数!$O$6:$O$22)^2)/((1-($A596/固有振動数!$O$6:$O$22)^2)^2+固有振動数!$P$6:$P$22^2))</f>
        <v>23.1960694786814</v>
      </c>
      <c r="C596" s="123" t="n">
        <f aca="false">-SUMPRODUCT(固有振動数!$Q$6:$Q$22*固有振動数!$P$6:$P$22/((1-($A596/固有振動数!$O$6:$O$22)^2)^2+固有振動数!$P$6:$P$22^2))</f>
        <v>-4.17525923102885</v>
      </c>
      <c r="D596" s="124" t="n">
        <f aca="false">SQRT(B596^2+C596^2)</f>
        <v>23.5688444541964</v>
      </c>
      <c r="E596" s="125" t="n">
        <f aca="false">20*LOG10(MAX(D596,0.000000000001)/$K$3)</f>
        <v>27.4467658045227</v>
      </c>
    </row>
    <row r="597" customFormat="false" ht="15" hidden="false" customHeight="false" outlineLevel="0" collapsed="false">
      <c r="A597" s="126" t="n">
        <f aca="false">A596+$F$3</f>
        <v>5910</v>
      </c>
      <c r="B597" s="127" t="n">
        <f aca="false">SUMPRODUCT(固有振動数!$Q$6:$Q$22*(1-($A597/固有振動数!$O$6:$O$22)^2)/((1-($A597/固有振動数!$O$6:$O$22)^2)^2+固有振動数!$P$6:$P$22^2))</f>
        <v>23.6919503332078</v>
      </c>
      <c r="C597" s="127" t="n">
        <f aca="false">-SUMPRODUCT(固有振動数!$Q$6:$Q$22*固有振動数!$P$6:$P$22/((1-($A597/固有振動数!$O$6:$O$22)^2)^2+固有振動数!$P$6:$P$22^2))</f>
        <v>-4.41680287048327</v>
      </c>
      <c r="D597" s="128" t="n">
        <f aca="false">SQRT(B597^2+C597^2)</f>
        <v>24.1001381362824</v>
      </c>
      <c r="E597" s="129" t="n">
        <f aca="false">20*LOG10(MAX(D597,0.000000000001)/$K$3)</f>
        <v>27.6403906371017</v>
      </c>
    </row>
    <row r="598" customFormat="false" ht="15" hidden="false" customHeight="false" outlineLevel="0" collapsed="false">
      <c r="A598" s="122" t="n">
        <f aca="false">A597+$F$3</f>
        <v>5920</v>
      </c>
      <c r="B598" s="123" t="n">
        <f aca="false">SUMPRODUCT(固有振動数!$Q$6:$Q$22*(1-($A598/固有振動数!$O$6:$O$22)^2)/((1-($A598/固有振動数!$O$6:$O$22)^2)^2+固有振動数!$P$6:$P$22^2))</f>
        <v>24.2118997906027</v>
      </c>
      <c r="C598" s="123" t="n">
        <f aca="false">-SUMPRODUCT(固有振動数!$Q$6:$Q$22*固有振動数!$P$6:$P$22/((1-($A598/固有振動数!$O$6:$O$22)^2)^2+固有振動数!$P$6:$P$22^2))</f>
        <v>-4.68909640996254</v>
      </c>
      <c r="D598" s="124" t="n">
        <f aca="false">SQRT(B598^2+C598^2)</f>
        <v>24.6617865656994</v>
      </c>
      <c r="E598" s="125" t="n">
        <f aca="false">20*LOG10(MAX(D598,0.000000000001)/$K$3)</f>
        <v>27.8404906970354</v>
      </c>
    </row>
    <row r="599" customFormat="false" ht="15" hidden="false" customHeight="false" outlineLevel="0" collapsed="false">
      <c r="A599" s="126" t="n">
        <f aca="false">A598+$F$3</f>
        <v>5930</v>
      </c>
      <c r="B599" s="127" t="n">
        <f aca="false">SUMPRODUCT(固有振動数!$Q$6:$Q$22*(1-($A599/固有振動数!$O$6:$O$22)^2)/((1-($A599/固有振動数!$O$6:$O$22)^2)^2+固有振動数!$P$6:$P$22^2))</f>
        <v>24.7581255605331</v>
      </c>
      <c r="C599" s="127" t="n">
        <f aca="false">-SUMPRODUCT(固有振動数!$Q$6:$Q$22*固有振動数!$P$6:$P$22/((1-($A599/固有振動数!$O$6:$O$22)^2)^2+固有振動数!$P$6:$P$22^2))</f>
        <v>-4.9968723851362</v>
      </c>
      <c r="D599" s="128" t="n">
        <f aca="false">SQRT(B599^2+C599^2)</f>
        <v>25.2573457612723</v>
      </c>
      <c r="E599" s="129" t="n">
        <f aca="false">20*LOG10(MAX(D599,0.000000000001)/$K$3)</f>
        <v>28.0477541913701</v>
      </c>
    </row>
    <row r="600" customFormat="false" ht="15" hidden="false" customHeight="false" outlineLevel="0" collapsed="false">
      <c r="A600" s="122" t="n">
        <f aca="false">A599+$F$3</f>
        <v>5940</v>
      </c>
      <c r="B600" s="123" t="n">
        <f aca="false">SUMPRODUCT(固有振動数!$Q$6:$Q$22*(1-($A600/固有振動数!$O$6:$O$22)^2)/((1-($A600/固有振動数!$O$6:$O$22)^2)^2+固有振動数!$P$6:$P$22^2))</f>
        <v>25.3329202410521</v>
      </c>
      <c r="C600" s="123" t="n">
        <f aca="false">-SUMPRODUCT(固有振動数!$Q$6:$Q$22*固有振動数!$P$6:$P$22/((1-($A600/固有振動数!$O$6:$O$22)^2)^2+固有振動数!$P$6:$P$22^2))</f>
        <v>-5.34580981743069</v>
      </c>
      <c r="D600" s="124" t="n">
        <f aca="false">SQRT(B600^2+C600^2)</f>
        <v>25.8908194258823</v>
      </c>
      <c r="E600" s="125" t="n">
        <f aca="false">20*LOG10(MAX(D600,0.000000000001)/$K$3)</f>
        <v>28.2629159152308</v>
      </c>
    </row>
    <row r="601" customFormat="false" ht="15" hidden="false" customHeight="false" outlineLevel="0" collapsed="false">
      <c r="A601" s="126" t="n">
        <f aca="false">A600+$F$3</f>
        <v>5950</v>
      </c>
      <c r="B601" s="127" t="n">
        <f aca="false">SUMPRODUCT(固有振動数!$Q$6:$Q$22*(1-($A601/固有振動数!$O$6:$O$22)^2)/((1-($A601/固有振動数!$O$6:$O$22)^2)^2+固有振動数!$P$6:$P$22^2))</f>
        <v>25.9386092072552</v>
      </c>
      <c r="C601" s="127" t="n">
        <f aca="false">-SUMPRODUCT(固有振動数!$Q$6:$Q$22*固有振動数!$P$6:$P$22/((1-($A601/固有振動数!$O$6:$O$22)^2)^2+固有振動数!$P$6:$P$22^2))</f>
        <v>-5.74275252886352</v>
      </c>
      <c r="D601" s="128" t="n">
        <f aca="false">SQRT(B601^2+C601^2)</f>
        <v>26.5667208028103</v>
      </c>
      <c r="E601" s="129" t="n">
        <f aca="false">20*LOG10(MAX(D601,0.000000000001)/$K$3)</f>
        <v>28.486759033156</v>
      </c>
    </row>
    <row r="602" customFormat="false" ht="15" hidden="false" customHeight="false" outlineLevel="0" collapsed="false">
      <c r="A602" s="122" t="n">
        <f aca="false">A601+$F$3</f>
        <v>5960</v>
      </c>
      <c r="B602" s="123" t="n">
        <f aca="false">SUMPRODUCT(固有振動数!$Q$6:$Q$22*(1-($A602/固有振動数!$O$6:$O$22)^2)/((1-($A602/固有振動数!$O$6:$O$22)^2)^2+固有振動数!$P$6:$P$22^2))</f>
        <v>26.5774614561029</v>
      </c>
      <c r="C602" s="123" t="n">
        <f aca="false">-SUMPRODUCT(固有振動数!$Q$6:$Q$22*固有振動数!$P$6:$P$22/((1-($A602/固有振動数!$O$6:$O$22)^2)^2+固有振動数!$P$6:$P$22^2))</f>
        <v>-6.195983370839</v>
      </c>
      <c r="D602" s="124" t="n">
        <f aca="false">SQRT(B602^2+C602^2)</f>
        <v>27.2901386471808</v>
      </c>
      <c r="E602" s="125" t="n">
        <f aca="false">20*LOG10(MAX(D602,0.000000000001)/$K$3)</f>
        <v>28.720114842055</v>
      </c>
    </row>
    <row r="603" customFormat="false" ht="15" hidden="false" customHeight="false" outlineLevel="0" collapsed="false">
      <c r="A603" s="126" t="n">
        <f aca="false">A602+$F$3</f>
        <v>5970</v>
      </c>
      <c r="B603" s="127" t="n">
        <f aca="false">SUMPRODUCT(固有振動数!$Q$6:$Q$22*(1-($A603/固有振動数!$O$6:$O$22)^2)/((1-($A603/固有振動数!$O$6:$O$22)^2)^2+固有振動数!$P$6:$P$22^2))</f>
        <v>27.2515435059434</v>
      </c>
      <c r="C603" s="127" t="n">
        <f aca="false">-SUMPRODUCT(固有振動数!$Q$6:$Q$22*固有振動数!$P$6:$P$22/((1-($A603/固有振動数!$O$6:$O$22)^2)^2+固有振動数!$P$6:$P$22^2))</f>
        <v>-6.71556855279618</v>
      </c>
      <c r="D603" s="128" t="n">
        <f aca="false">SQRT(B603^2+C603^2)</f>
        <v>28.0668039584779</v>
      </c>
      <c r="E603" s="129" t="n">
        <f aca="false">20*LOG10(MAX(D603,0.000000000001)/$K$3)</f>
        <v>28.9638592236735</v>
      </c>
    </row>
    <row r="604" customFormat="false" ht="15" hidden="false" customHeight="false" outlineLevel="0" collapsed="false">
      <c r="A604" s="122" t="n">
        <f aca="false">A603+$F$3</f>
        <v>5980</v>
      </c>
      <c r="B604" s="123" t="n">
        <f aca="false">SUMPRODUCT(固有振動数!$Q$6:$Q$22*(1-($A604/固有振動数!$O$6:$O$22)^2)/((1-($A604/固有振動数!$O$6:$O$22)^2)^2+固有振動数!$P$6:$P$22^2))</f>
        <v>27.9624860297835</v>
      </c>
      <c r="C604" s="123" t="n">
        <f aca="false">-SUMPRODUCT(固有振動数!$Q$6:$Q$22*固有振動数!$P$6:$P$22/((1-($A604/固有振動数!$O$6:$O$22)^2)^2+固有振動数!$P$6:$P$22^2))</f>
        <v>-7.31378873008239</v>
      </c>
      <c r="D604" s="124" t="n">
        <f aca="false">SQRT(B604^2+C604^2)</f>
        <v>28.9031508758841</v>
      </c>
      <c r="E604" s="125" t="n">
        <f aca="false">20*LOG10(MAX(D604,0.000000000001)/$K$3)</f>
        <v>29.2189037986731</v>
      </c>
    </row>
    <row r="605" customFormat="false" ht="15" hidden="false" customHeight="false" outlineLevel="0" collapsed="false">
      <c r="A605" s="126" t="n">
        <f aca="false">A604+$F$3</f>
        <v>5990</v>
      </c>
      <c r="B605" s="127" t="n">
        <f aca="false">SUMPRODUCT(固有振動数!$Q$6:$Q$22*(1-($A605/固有振動数!$O$6:$O$22)^2)/((1-($A605/固有振動数!$O$6:$O$22)^2)^2+固有振動数!$P$6:$P$22^2))</f>
        <v>28.711117008705</v>
      </c>
      <c r="C605" s="127" t="n">
        <f aca="false">-SUMPRODUCT(固有振動数!$Q$6:$Q$22*固有振動数!$P$6:$P$22/((1-($A605/固有振動数!$O$6:$O$22)^2)^2+固有振動数!$P$6:$P$22^2))</f>
        <v>-8.0056750164596</v>
      </c>
      <c r="D605" s="128" t="n">
        <f aca="false">SQRT(B605^2+C605^2)</f>
        <v>29.8063595958432</v>
      </c>
      <c r="E605" s="129" t="n">
        <f aca="false">20*LOG10(MAX(D605,0.000000000001)/$K$3)</f>
        <v>29.4861787330099</v>
      </c>
    </row>
    <row r="606" customFormat="false" ht="15" hidden="false" customHeight="false" outlineLevel="0" collapsed="false">
      <c r="A606" s="122" t="n">
        <f aca="false">A605+$F$3</f>
        <v>6000</v>
      </c>
      <c r="B606" s="123" t="n">
        <f aca="false">SUMPRODUCT(固有振動数!$Q$6:$Q$22*(1-($A606/固有振動数!$O$6:$O$22)^2)/((1-($A606/固有振動数!$O$6:$O$22)^2)^2+固有振動数!$P$6:$P$22^2))</f>
        <v>29.4968910470888</v>
      </c>
      <c r="C606" s="123" t="n">
        <f aca="false">-SUMPRODUCT(固有振動数!$Q$6:$Q$22*固有振動数!$P$6:$P$22/((1-($A606/固有振動数!$O$6:$O$22)^2)^2+固有振動数!$P$6:$P$22^2))</f>
        <v>-8.8096666950648</v>
      </c>
      <c r="D606" s="124" t="n">
        <f aca="false">SQRT(B606^2+C606^2)</f>
        <v>30.7843598069208</v>
      </c>
      <c r="E606" s="125" t="n">
        <f aca="false">20*LOG10(MAX(D606,0.000000000001)/$K$3)</f>
        <v>29.7666025282348</v>
      </c>
    </row>
    <row r="607" customFormat="false" ht="15" hidden="false" customHeight="false" outlineLevel="0" collapsed="false">
      <c r="A607" s="126" t="n">
        <f aca="false">A606+$F$3</f>
        <v>6010</v>
      </c>
      <c r="B607" s="127" t="n">
        <f aca="false">SUMPRODUCT(固有振動数!$Q$6:$Q$22*(1-($A607/固有振動数!$O$6:$O$22)^2)/((1-($A607/固有振動数!$O$6:$O$22)^2)^2+固有振動数!$P$6:$P$22^2))</f>
        <v>30.317008156514</v>
      </c>
      <c r="C607" s="127" t="n">
        <f aca="false">-SUMPRODUCT(固有振動数!$Q$6:$Q$22*固有振動数!$P$6:$P$22/((1-($A607/固有振動数!$O$6:$O$22)^2)^2+固有振動数!$P$6:$P$22^2))</f>
        <v>-9.74839908364873</v>
      </c>
      <c r="D607" s="128" t="n">
        <f aca="false">SQRT(B607^2+C607^2)</f>
        <v>31.8457574608647</v>
      </c>
      <c r="E607" s="129" t="n">
        <f aca="false">20*LOG10(MAX(D607,0.000000000001)/$K$3)</f>
        <v>30.0610316633732</v>
      </c>
    </row>
    <row r="608" customFormat="false" ht="15" hidden="false" customHeight="false" outlineLevel="0" collapsed="false">
      <c r="A608" s="122" t="n">
        <f aca="false">A607+$F$3</f>
        <v>6020</v>
      </c>
      <c r="B608" s="123" t="n">
        <f aca="false">SUMPRODUCT(固有振動数!$Q$6:$Q$22*(1-($A608/固有振動数!$O$6:$O$22)^2)/((1-($A608/固有振動数!$O$6:$O$22)^2)^2+固有振動数!$P$6:$P$22^2))</f>
        <v>31.1650616634726</v>
      </c>
      <c r="C608" s="123" t="n">
        <f aca="false">-SUMPRODUCT(固有振動数!$Q$6:$Q$22*固有振動数!$P$6:$P$22/((1-($A608/固有振動数!$O$6:$O$22)^2)^2+固有振動数!$P$6:$P$22^2))</f>
        <v>-10.8496066725434</v>
      </c>
      <c r="D608" s="124" t="n">
        <f aca="false">SQRT(B608^2+C608^2)</f>
        <v>32.9996217165734</v>
      </c>
      <c r="E608" s="125" t="n">
        <f aca="false">20*LOG10(MAX(D608,0.000000000001)/$K$3)</f>
        <v>30.370179229469</v>
      </c>
    </row>
    <row r="609" customFormat="false" ht="15" hidden="false" customHeight="false" outlineLevel="0" collapsed="false">
      <c r="A609" s="126" t="n">
        <f aca="false">A608+$F$3</f>
        <v>6030</v>
      </c>
      <c r="B609" s="127" t="n">
        <f aca="false">SUMPRODUCT(固有振動数!$Q$6:$Q$22*(1-($A609/固有振動数!$O$6:$O$22)^2)/((1-($A609/固有振動数!$O$6:$O$22)^2)^2+固有振動数!$P$6:$P$22^2))</f>
        <v>32.0289784857515</v>
      </c>
      <c r="C609" s="127" t="n">
        <f aca="false">-SUMPRODUCT(固有振動数!$Q$6:$Q$22*固有振動数!$P$6:$P$22/((1-($A609/固有振動数!$O$6:$O$22)^2)^2+固有振動数!$P$6:$P$22^2))</f>
        <v>-12.147072552058</v>
      </c>
      <c r="D609" s="128" t="n">
        <f aca="false">SQRT(B609^2+C609^2)</f>
        <v>34.2550264111078</v>
      </c>
      <c r="E609" s="129" t="n">
        <f aca="false">20*LOG10(MAX(D609,0.000000000001)/$K$3)</f>
        <v>30.6944861340539</v>
      </c>
    </row>
    <row r="610" customFormat="false" ht="15" hidden="false" customHeight="false" outlineLevel="0" collapsed="false">
      <c r="A610" s="122" t="n">
        <f aca="false">A609+$F$3</f>
        <v>6040</v>
      </c>
      <c r="B610" s="123" t="n">
        <f aca="false">SUMPRODUCT(固有振動数!$Q$6:$Q$22*(1-($A610/固有振動数!$O$6:$O$22)^2)/((1-($A610/固有振動数!$O$6:$O$22)^2)^2+固有振動数!$P$6:$P$22^2))</f>
        <v>32.8879136434705</v>
      </c>
      <c r="C610" s="123" t="n">
        <f aca="false">-SUMPRODUCT(固有振動数!$Q$6:$Q$22*固有振動数!$P$6:$P$22/((1-($A610/固有振動数!$O$6:$O$22)^2)^2+固有振動数!$P$6:$P$22^2))</f>
        <v>-13.6814407064533</v>
      </c>
      <c r="D610" s="124" t="n">
        <f aca="false">SQRT(B610^2+C610^2)</f>
        <v>35.6201724255311</v>
      </c>
      <c r="E610" s="125" t="n">
        <f aca="false">20*LOG10(MAX(D610,0.000000000001)/$K$3)</f>
        <v>31.0339203481792</v>
      </c>
    </row>
    <row r="611" customFormat="false" ht="15" hidden="false" customHeight="false" outlineLevel="0" collapsed="false">
      <c r="A611" s="126" t="n">
        <f aca="false">A610+$F$3</f>
        <v>6050</v>
      </c>
      <c r="B611" s="127" t="n">
        <f aca="false">SUMPRODUCT(固有振動数!$Q$6:$Q$22*(1-($A611/固有振動数!$O$6:$O$22)^2)/((1-($A611/固有振動数!$O$6:$O$22)^2)^2+固有振動数!$P$6:$P$22^2))</f>
        <v>33.7076460216852</v>
      </c>
      <c r="C611" s="127" t="n">
        <f aca="false">-SUMPRODUCT(固有振動数!$Q$6:$Q$22*固有振動数!$P$6:$P$22/((1-($A611/固有振動数!$O$6:$O$22)^2)^2+固有振動数!$P$6:$P$22^2))</f>
        <v>-15.5004801075232</v>
      </c>
      <c r="D611" s="128" t="n">
        <f aca="false">SQRT(B611^2+C611^2)</f>
        <v>37.1008124424109</v>
      </c>
      <c r="E611" s="129" t="n">
        <f aca="false">20*LOG10(MAX(D611,0.000000000001)/$K$3)</f>
        <v>31.3876684000597</v>
      </c>
    </row>
    <row r="612" customFormat="false" ht="15" hidden="false" customHeight="false" outlineLevel="0" collapsed="false">
      <c r="A612" s="122" t="n">
        <f aca="false">A611+$F$3</f>
        <v>6060</v>
      </c>
      <c r="B612" s="123" t="n">
        <f aca="false">SUMPRODUCT(固有振動数!$Q$6:$Q$22*(1-($A612/固有振動数!$O$6:$O$22)^2)/((1-($A612/固有振動数!$O$6:$O$22)^2)^2+固有振動数!$P$6:$P$22^2))</f>
        <v>34.4339460141916</v>
      </c>
      <c r="C612" s="123" t="n">
        <f aca="false">-SUMPRODUCT(固有振動数!$Q$6:$Q$22*固有振動数!$P$6:$P$22/((1-($A612/固有振動数!$O$6:$O$22)^2)^2+固有振動数!$P$6:$P$22^2))</f>
        <v>-17.6579618043935</v>
      </c>
      <c r="D612" s="124" t="n">
        <f aca="false">SQRT(B612^2+C612^2)</f>
        <v>38.6975484132223</v>
      </c>
      <c r="E612" s="125" t="n">
        <f aca="false">20*LOG10(MAX(D612,0.000000000001)/$K$3)</f>
        <v>31.753669044908</v>
      </c>
    </row>
    <row r="613" customFormat="false" ht="15" hidden="false" customHeight="false" outlineLevel="0" collapsed="false">
      <c r="A613" s="126" t="n">
        <f aca="false">A612+$F$3</f>
        <v>6070</v>
      </c>
      <c r="B613" s="127" t="n">
        <f aca="false">SUMPRODUCT(固有振動数!$Q$6:$Q$22*(1-($A613/固有振動数!$O$6:$O$22)^2)/((1-($A613/固有振動数!$O$6:$O$22)^2)^2+固有振動数!$P$6:$P$22^2))</f>
        <v>34.9835005681296</v>
      </c>
      <c r="C613" s="127" t="n">
        <f aca="false">-SUMPRODUCT(固有振動数!$Q$6:$Q$22*固有振動数!$P$6:$P$22/((1-($A613/固有振動数!$O$6:$O$22)^2)^2+固有振動数!$P$6:$P$22^2))</f>
        <v>-20.2095624328176</v>
      </c>
      <c r="D613" s="128" t="n">
        <f aca="false">SQRT(B613^2+C613^2)</f>
        <v>40.4013827204748</v>
      </c>
      <c r="E613" s="129" t="n">
        <f aca="false">20*LOG10(MAX(D613,0.000000000001)/$K$3)</f>
        <v>32.1279245782497</v>
      </c>
    </row>
    <row r="614" customFormat="false" ht="15" hidden="false" customHeight="false" outlineLevel="0" collapsed="false">
      <c r="A614" s="122" t="n">
        <f aca="false">A613+$F$3</f>
        <v>6080</v>
      </c>
      <c r="B614" s="123" t="n">
        <f aca="false">SUMPRODUCT(固有振動数!$Q$6:$Q$22*(1-($A614/固有振動数!$O$6:$O$22)^2)/((1-($A614/固有振動数!$O$6:$O$22)^2)^2+固有振動数!$P$6:$P$22^2))</f>
        <v>35.2326576707891</v>
      </c>
      <c r="C614" s="123" t="n">
        <f aca="false">-SUMPRODUCT(固有振動数!$Q$6:$Q$22*固有振動数!$P$6:$P$22/((1-($A614/固有振動数!$O$6:$O$22)^2)^2+固有振動数!$P$6:$P$22^2))</f>
        <v>-23.2030454364699</v>
      </c>
      <c r="D614" s="124" t="n">
        <f aca="false">SQRT(B614^2+C614^2)</f>
        <v>42.1867453600524</v>
      </c>
      <c r="E614" s="125" t="n">
        <f aca="false">20*LOG10(MAX(D614,0.000000000001)/$K$3)</f>
        <v>32.5035204309882</v>
      </c>
    </row>
    <row r="615" customFormat="false" ht="15" hidden="false" customHeight="false" outlineLevel="0" collapsed="false">
      <c r="A615" s="126" t="n">
        <f aca="false">A614+$F$3</f>
        <v>6090</v>
      </c>
      <c r="B615" s="127" t="n">
        <f aca="false">SUMPRODUCT(固有振動数!$Q$6:$Q$22*(1-($A615/固有振動数!$O$6:$O$22)^2)/((1-($A615/固有振動数!$O$6:$O$22)^2)^2+固有振動数!$P$6:$P$22^2))</f>
        <v>35.0062402586334</v>
      </c>
      <c r="C615" s="127" t="n">
        <f aca="false">-SUMPRODUCT(固有振動数!$Q$6:$Q$22*固有振動数!$P$6:$P$22/((1-($A615/固有振動数!$O$6:$O$22)^2)^2+固有振動数!$P$6:$P$22^2))</f>
        <v>-26.6585663160993</v>
      </c>
      <c r="D615" s="128" t="n">
        <f aca="false">SQRT(B615^2+C615^2)</f>
        <v>44.0013183333753</v>
      </c>
      <c r="E615" s="129" t="n">
        <f aca="false">20*LOG10(MAX(D615,0.000000000001)/$K$3)</f>
        <v>32.8693137735115</v>
      </c>
    </row>
    <row r="616" customFormat="false" ht="15" hidden="false" customHeight="false" outlineLevel="0" collapsed="false">
      <c r="A616" s="122" t="n">
        <f aca="false">A615+$F$3</f>
        <v>6100</v>
      </c>
      <c r="B616" s="123" t="n">
        <f aca="false">SUMPRODUCT(固有振動数!$Q$6:$Q$22*(1-($A616/固有振動数!$O$6:$O$22)^2)/((1-($A616/固有振動数!$O$6:$O$22)^2)^2+固有振動数!$P$6:$P$22^2))</f>
        <v>34.0731142615933</v>
      </c>
      <c r="C616" s="123" t="n">
        <f aca="false">-SUMPRODUCT(固有振動数!$Q$6:$Q$22*固有振動数!$P$6:$P$22/((1-($A616/固有振動数!$O$6:$O$22)^2)^2+固有振動数!$P$6:$P$22^2))</f>
        <v>-30.5343951550273</v>
      </c>
      <c r="D616" s="124" t="n">
        <f aca="false">SQRT(B616^2+C616^2)</f>
        <v>45.752884094524</v>
      </c>
      <c r="E616" s="125" t="n">
        <f aca="false">20*LOG10(MAX(D616,0.000000000001)/$K$3)</f>
        <v>33.2083695120311</v>
      </c>
    </row>
    <row r="617" customFormat="false" ht="15" hidden="false" customHeight="false" outlineLevel="0" collapsed="false">
      <c r="A617" s="126" t="n">
        <f aca="false">A616+$F$3</f>
        <v>6110</v>
      </c>
      <c r="B617" s="127" t="n">
        <f aca="false">SUMPRODUCT(固有振動数!$Q$6:$Q$22*(1-($A617/固有振動数!$O$6:$O$22)^2)/((1-($A617/固有振動数!$O$6:$O$22)^2)^2+固有振動数!$P$6:$P$22^2))</f>
        <v>32.1626710081072</v>
      </c>
      <c r="C617" s="127" t="n">
        <f aca="false">-SUMPRODUCT(固有振動数!$Q$6:$Q$22*固有振動数!$P$6:$P$22/((1-($A617/固有振動数!$O$6:$O$22)^2)^2+固有振動数!$P$6:$P$22^2))</f>
        <v>-34.6768668271356</v>
      </c>
      <c r="D617" s="128" t="n">
        <f aca="false">SQRT(B617^2+C617^2)</f>
        <v>47.2961150552838</v>
      </c>
      <c r="E617" s="129" t="n">
        <f aca="false">20*LOG10(MAX(D617,0.000000000001)/$K$3)</f>
        <v>33.4965093774009</v>
      </c>
    </row>
    <row r="618" customFormat="false" ht="15" hidden="false" customHeight="false" outlineLevel="0" collapsed="false">
      <c r="A618" s="122" t="n">
        <f aca="false">A617+$F$3</f>
        <v>6120</v>
      </c>
      <c r="B618" s="123" t="n">
        <f aca="false">SUMPRODUCT(固有振動数!$Q$6:$Q$22*(1-($A618/固有振動数!$O$6:$O$22)^2)/((1-($A618/固有振動数!$O$6:$O$22)^2)^2+固有振動数!$P$6:$P$22^2))</f>
        <v>29.0234741035478</v>
      </c>
      <c r="C618" s="123" t="n">
        <f aca="false">-SUMPRODUCT(固有振動数!$Q$6:$Q$22*固有振動数!$P$6:$P$22/((1-($A618/固有振動数!$O$6:$O$22)^2)^2+固有振動数!$P$6:$P$22^2))</f>
        <v>-38.7668292259573</v>
      </c>
      <c r="D618" s="124" t="n">
        <f aca="false">SQRT(B618^2+C618^2)</f>
        <v>48.427565469202</v>
      </c>
      <c r="E618" s="125" t="n">
        <f aca="false">20*LOG10(MAX(D618,0.000000000001)/$K$3)</f>
        <v>33.7018527384087</v>
      </c>
    </row>
    <row r="619" customFormat="false" ht="15" hidden="false" customHeight="false" outlineLevel="0" collapsed="false">
      <c r="A619" s="126" t="n">
        <f aca="false">A618+$F$3</f>
        <v>6130</v>
      </c>
      <c r="B619" s="127" t="n">
        <f aca="false">SUMPRODUCT(固有振動数!$Q$6:$Q$22*(1-($A619/固有振動数!$O$6:$O$22)^2)/((1-($A619/固有振動数!$O$6:$O$22)^2)^2+固有振動数!$P$6:$P$22^2))</f>
        <v>24.5384691957851</v>
      </c>
      <c r="C619" s="127" t="n">
        <f aca="false">-SUMPRODUCT(固有振動数!$Q$6:$Q$22*固有振動数!$P$6:$P$22/((1-($A619/固有振動数!$O$6:$O$22)^2)^2+固有振動数!$P$6:$P$22^2))</f>
        <v>-42.3014789609636</v>
      </c>
      <c r="D619" s="128" t="n">
        <f aca="false">SQRT(B619^2+C619^2)</f>
        <v>48.9034926437503</v>
      </c>
      <c r="E619" s="129" t="n">
        <f aca="false">20*LOG10(MAX(D619,0.000000000001)/$K$3)</f>
        <v>33.7867975431028</v>
      </c>
    </row>
    <row r="620" customFormat="false" ht="15" hidden="false" customHeight="false" outlineLevel="0" collapsed="false">
      <c r="A620" s="122" t="n">
        <f aca="false">A619+$F$3</f>
        <v>6140</v>
      </c>
      <c r="B620" s="123" t="n">
        <f aca="false">SUMPRODUCT(固有振動数!$Q$6:$Q$22*(1-($A620/固有振動数!$O$6:$O$22)^2)/((1-($A620/固有振動数!$O$6:$O$22)^2)^2+固有振動数!$P$6:$P$22^2))</f>
        <v>18.8689148806231</v>
      </c>
      <c r="C620" s="123" t="n">
        <f aca="false">-SUMPRODUCT(固有振動数!$Q$6:$Q$22*固有振動数!$P$6:$P$22/((1-($A620/固有振動数!$O$6:$O$22)^2)^2+固有振動数!$P$6:$P$22^2))</f>
        <v>-44.6728458553962</v>
      </c>
      <c r="D620" s="124" t="n">
        <f aca="false">SQRT(B620^2+C620^2)</f>
        <v>48.4943203436463</v>
      </c>
      <c r="E620" s="125" t="n">
        <f aca="false">20*LOG10(MAX(D620,0.000000000001)/$K$3)</f>
        <v>33.7138175399403</v>
      </c>
    </row>
    <row r="621" customFormat="false" ht="15" hidden="false" customHeight="false" outlineLevel="0" collapsed="false">
      <c r="A621" s="126" t="n">
        <f aca="false">A620+$F$3</f>
        <v>6150</v>
      </c>
      <c r="B621" s="127" t="n">
        <f aca="false">SUMPRODUCT(固有振動数!$Q$6:$Q$22*(1-($A621/固有振動数!$O$6:$O$22)^2)/((1-($A621/固有振動数!$O$6:$O$22)^2)^2+固有振動数!$P$6:$P$22^2))</f>
        <v>12.528358668102</v>
      </c>
      <c r="C621" s="127" t="n">
        <f aca="false">-SUMPRODUCT(固有振動数!$Q$6:$Q$22*固有振動数!$P$6:$P$22/((1-($A621/固有振動数!$O$6:$O$22)^2)^2+固有振動数!$P$6:$P$22^2))</f>
        <v>-45.3709562567683</v>
      </c>
      <c r="D621" s="128" t="n">
        <f aca="false">SQRT(B621^2+C621^2)</f>
        <v>47.0689222584307</v>
      </c>
      <c r="E621" s="129" t="n">
        <f aca="false">20*LOG10(MAX(D621,0.000000000001)/$K$3)</f>
        <v>33.4546850867715</v>
      </c>
    </row>
    <row r="622" customFormat="false" ht="15" hidden="false" customHeight="false" outlineLevel="0" collapsed="false">
      <c r="A622" s="122" t="n">
        <f aca="false">A621+$F$3</f>
        <v>6160</v>
      </c>
      <c r="B622" s="123" t="n">
        <f aca="false">SUMPRODUCT(固有振動数!$Q$6:$Q$22*(1-($A622/固有振動数!$O$6:$O$22)^2)/((1-($A622/固有振動数!$O$6:$O$22)^2)^2+固有振動数!$P$6:$P$22^2))</f>
        <v>6.2738047255001</v>
      </c>
      <c r="C622" s="123" t="n">
        <f aca="false">-SUMPRODUCT(固有振動数!$Q$6:$Q$22*固有振動数!$P$6:$P$22/((1-($A622/固有振動数!$O$6:$O$22)^2)^2+固有振動数!$P$6:$P$22^2))</f>
        <v>-44.2227303153404</v>
      </c>
      <c r="D622" s="124" t="n">
        <f aca="false">SQRT(B622^2+C622^2)</f>
        <v>44.6655404341763</v>
      </c>
      <c r="E622" s="125" t="n">
        <f aca="false">20*LOG10(MAX(D622,0.000000000001)/$K$3)</f>
        <v>32.9994518627287</v>
      </c>
    </row>
    <row r="623" customFormat="false" ht="15" hidden="false" customHeight="false" outlineLevel="0" collapsed="false">
      <c r="A623" s="126" t="n">
        <f aca="false">A622+$F$3</f>
        <v>6170</v>
      </c>
      <c r="B623" s="127" t="n">
        <f aca="false">SUMPRODUCT(固有振動数!$Q$6:$Q$22*(1-($A623/固有振動数!$O$6:$O$22)^2)/((1-($A623/固有振動数!$O$6:$O$22)^2)^2+固有振動数!$P$6:$P$22^2))</f>
        <v>0.832359004540182</v>
      </c>
      <c r="C623" s="127" t="n">
        <f aca="false">-SUMPRODUCT(固有振動数!$Q$6:$Q$22*固有振動数!$P$6:$P$22/((1-($A623/固有振動数!$O$6:$O$22)^2)^2+固有振動数!$P$6:$P$22^2))</f>
        <v>-41.486148182934</v>
      </c>
      <c r="D623" s="128" t="n">
        <f aca="false">SQRT(B623^2+C623^2)</f>
        <v>41.4944973769872</v>
      </c>
      <c r="E623" s="129" t="n">
        <f aca="false">20*LOG10(MAX(D623,0.000000000001)/$K$3)</f>
        <v>32.3598101668888</v>
      </c>
    </row>
    <row r="624" customFormat="false" ht="15" hidden="false" customHeight="false" outlineLevel="0" collapsed="false">
      <c r="A624" s="122" t="n">
        <f aca="false">A623+$F$3</f>
        <v>6180</v>
      </c>
      <c r="B624" s="123" t="n">
        <f aca="false">SUMPRODUCT(固有振動数!$Q$6:$Q$22*(1-($A624/固有振動数!$O$6:$O$22)^2)/((1-($A624/固有振動数!$O$6:$O$22)^2)^2+固有振動数!$P$6:$P$22^2))</f>
        <v>-3.35154560862878</v>
      </c>
      <c r="C624" s="123" t="n">
        <f aca="false">-SUMPRODUCT(固有振動数!$Q$6:$Q$22*固有振動数!$P$6:$P$22/((1-($A624/固有振動数!$O$6:$O$22)^2)^2+固有振動数!$P$6:$P$22^2))</f>
        <v>-37.7152416165404</v>
      </c>
      <c r="D624" s="124" t="n">
        <f aca="false">SQRT(B624^2+C624^2)</f>
        <v>37.8638654677614</v>
      </c>
      <c r="E624" s="125" t="n">
        <f aca="false">20*LOG10(MAX(D624,0.000000000001)/$K$3)</f>
        <v>31.5644989678462</v>
      </c>
    </row>
    <row r="625" customFormat="false" ht="15" hidden="false" customHeight="false" outlineLevel="0" collapsed="false">
      <c r="A625" s="126" t="n">
        <f aca="false">A624+$F$3</f>
        <v>6190</v>
      </c>
      <c r="B625" s="127" t="n">
        <f aca="false">SUMPRODUCT(固有振動数!$Q$6:$Q$22*(1-($A625/固有振動数!$O$6:$O$22)^2)/((1-($A625/固有振動数!$O$6:$O$22)^2)^2+固有振動数!$P$6:$P$22^2))</f>
        <v>-6.18509633685728</v>
      </c>
      <c r="C625" s="127" t="n">
        <f aca="false">-SUMPRODUCT(固有振動数!$Q$6:$Q$22*固有振動数!$P$6:$P$22/((1-($A625/固有振動数!$O$6:$O$22)^2)^2+固有振動数!$P$6:$P$22^2))</f>
        <v>-33.513738135008</v>
      </c>
      <c r="D625" s="128" t="n">
        <f aca="false">SQRT(B625^2+C625^2)</f>
        <v>34.0797015902149</v>
      </c>
      <c r="E625" s="129" t="n">
        <f aca="false">20*LOG10(MAX(D625,0.000000000001)/$K$3)</f>
        <v>30.6499156665585</v>
      </c>
    </row>
    <row r="626" customFormat="false" ht="15" hidden="false" customHeight="false" outlineLevel="0" collapsed="false">
      <c r="A626" s="122" t="n">
        <f aca="false">A625+$F$3</f>
        <v>6200</v>
      </c>
      <c r="B626" s="123" t="n">
        <f aca="false">SUMPRODUCT(固有振動数!$Q$6:$Q$22*(1-($A626/固有振動数!$O$6:$O$22)^2)/((1-($A626/固有振動数!$O$6:$O$22)^2)^2+固有振動数!$P$6:$P$22^2))</f>
        <v>-7.82832802401265</v>
      </c>
      <c r="C626" s="123" t="n">
        <f aca="false">-SUMPRODUCT(固有振動数!$Q$6:$Q$22*固有振動数!$P$6:$P$22/((1-($A626/固有振動数!$O$6:$O$22)^2)^2+固有振動数!$P$6:$P$22^2))</f>
        <v>-29.3524953171303</v>
      </c>
      <c r="D626" s="124" t="n">
        <f aca="false">SQRT(B626^2+C626^2)</f>
        <v>30.3784743032579</v>
      </c>
      <c r="E626" s="125" t="n">
        <f aca="false">20*LOG10(MAX(D626,0.000000000001)/$K$3)</f>
        <v>29.6513191704466</v>
      </c>
    </row>
    <row r="627" customFormat="false" ht="15" hidden="false" customHeight="false" outlineLevel="0" collapsed="false">
      <c r="A627" s="126" t="n">
        <f aca="false">A626+$F$3</f>
        <v>6210</v>
      </c>
      <c r="B627" s="127" t="n">
        <f aca="false">SUMPRODUCT(固有振動数!$Q$6:$Q$22*(1-($A627/固有振動数!$O$6:$O$22)^2)/((1-($A627/固有振動数!$O$6:$O$22)^2)^2+固有振動数!$P$6:$P$22^2))</f>
        <v>-8.54873979743955</v>
      </c>
      <c r="C627" s="127" t="n">
        <f aca="false">-SUMPRODUCT(固有振動数!$Q$6:$Q$22*固有振動数!$P$6:$P$22/((1-($A627/固有振動数!$O$6:$O$22)^2)^2+固有振動数!$P$6:$P$22^2))</f>
        <v>-25.5142897900702</v>
      </c>
      <c r="D627" s="128" t="n">
        <f aca="false">SQRT(B627^2+C627^2)</f>
        <v>26.9083618159116</v>
      </c>
      <c r="E627" s="129" t="n">
        <f aca="false">20*LOG10(MAX(D627,0.000000000001)/$K$3)</f>
        <v>28.5977451734347</v>
      </c>
    </row>
    <row r="628" customFormat="false" ht="15" hidden="false" customHeight="false" outlineLevel="0" collapsed="false">
      <c r="A628" s="122" t="n">
        <f aca="false">A627+$F$3</f>
        <v>6220</v>
      </c>
      <c r="B628" s="123" t="n">
        <f aca="false">SUMPRODUCT(固有振動数!$Q$6:$Q$22*(1-($A628/固有振動数!$O$6:$O$22)^2)/((1-($A628/固有振動数!$O$6:$O$22)^2)^2+固有振動数!$P$6:$P$22^2))</f>
        <v>-8.61590635386128</v>
      </c>
      <c r="C628" s="123" t="n">
        <f aca="false">-SUMPRODUCT(固有振動数!$Q$6:$Q$22*固有振動数!$P$6:$P$22/((1-($A628/固有振動数!$O$6:$O$22)^2)^2+固有振動数!$P$6:$P$22^2))</f>
        <v>-22.1242206262114</v>
      </c>
      <c r="D628" s="124" t="n">
        <f aca="false">SQRT(B628^2+C628^2)</f>
        <v>23.7426826752114</v>
      </c>
      <c r="E628" s="125" t="n">
        <f aca="false">20*LOG10(MAX(D628,0.000000000001)/$K$3)</f>
        <v>27.5105957626479</v>
      </c>
    </row>
    <row r="629" customFormat="false" ht="15" hidden="false" customHeight="false" outlineLevel="0" collapsed="false">
      <c r="A629" s="126" t="n">
        <f aca="false">A628+$F$3</f>
        <v>6230</v>
      </c>
      <c r="B629" s="127" t="n">
        <f aca="false">SUMPRODUCT(固有振動数!$Q$6:$Q$22*(1-($A629/固有振動数!$O$6:$O$22)^2)/((1-($A629/固有振動数!$O$6:$O$22)^2)^2+固有振動数!$P$6:$P$22^2))</f>
        <v>-8.25259317119184</v>
      </c>
      <c r="C629" s="127" t="n">
        <f aca="false">-SUMPRODUCT(固有振動数!$Q$6:$Q$22*固有振動数!$P$6:$P$22/((1-($A629/固有振動数!$O$6:$O$22)^2)^2+固有振動数!$P$6:$P$22^2))</f>
        <v>-19.2056368636646</v>
      </c>
      <c r="D629" s="128" t="n">
        <f aca="false">SQRT(B629^2+C629^2)</f>
        <v>20.9036308183089</v>
      </c>
      <c r="E629" s="129" t="n">
        <f aca="false">20*LOG10(MAX(D629,0.000000000001)/$K$3)</f>
        <v>26.4044345331348</v>
      </c>
    </row>
    <row r="630" customFormat="false" ht="15" hidden="false" customHeight="false" outlineLevel="0" collapsed="false">
      <c r="A630" s="122" t="n">
        <f aca="false">A629+$F$3</f>
        <v>6240</v>
      </c>
      <c r="B630" s="123" t="n">
        <f aca="false">SUMPRODUCT(固有振動数!$Q$6:$Q$22*(1-($A630/固有振動数!$O$6:$O$22)^2)/((1-($A630/固有振動数!$O$6:$O$22)^2)^2+固有振動数!$P$6:$P$22^2))</f>
        <v>-7.62417238175643</v>
      </c>
      <c r="C630" s="123" t="n">
        <f aca="false">-SUMPRODUCT(固有振動数!$Q$6:$Q$22*固有振動数!$P$6:$P$22/((1-($A630/固有振動数!$O$6:$O$22)^2)^2+固有振動数!$P$6:$P$22^2))</f>
        <v>-16.7281312390397</v>
      </c>
      <c r="D630" s="124" t="n">
        <f aca="false">SQRT(B630^2+C630^2)</f>
        <v>18.3836443410243</v>
      </c>
      <c r="E630" s="125" t="n">
        <f aca="false">20*LOG10(MAX(D630,0.000000000001)/$K$3)</f>
        <v>25.2886321870401</v>
      </c>
    </row>
    <row r="631" customFormat="false" ht="15" hidden="false" customHeight="false" outlineLevel="0" collapsed="false">
      <c r="A631" s="126" t="n">
        <f aca="false">A630+$F$3</f>
        <v>6250</v>
      </c>
      <c r="B631" s="127" t="n">
        <f aca="false">SUMPRODUCT(固有振動数!$Q$6:$Q$22*(1-($A631/固有振動数!$O$6:$O$22)^2)/((1-($A631/固有振動数!$O$6:$O$22)^2)^2+固有振動数!$P$6:$P$22^2))</f>
        <v>-6.84563204988734</v>
      </c>
      <c r="C631" s="127" t="n">
        <f aca="false">-SUMPRODUCT(固有振動数!$Q$6:$Q$22*固有振動数!$P$6:$P$22/((1-($A631/固有振動数!$O$6:$O$22)^2)^2+固有振動数!$P$6:$P$22^2))</f>
        <v>-14.6389792818661</v>
      </c>
      <c r="D631" s="128" t="n">
        <f aca="false">SQRT(B631^2+C631^2)</f>
        <v>16.1605195639667</v>
      </c>
      <c r="E631" s="129" t="n">
        <f aca="false">20*LOG10(MAX(D631,0.000000000001)/$K$3)</f>
        <v>24.1691063863659</v>
      </c>
    </row>
    <row r="632" customFormat="false" ht="15" hidden="false" customHeight="false" outlineLevel="0" collapsed="false">
      <c r="A632" s="122" t="n">
        <f aca="false">A631+$F$3</f>
        <v>6260</v>
      </c>
      <c r="B632" s="123" t="n">
        <f aca="false">SUMPRODUCT(固有振動数!$Q$6:$Q$22*(1-($A632/固有振動数!$O$6:$O$22)^2)/((1-($A632/固有振動数!$O$6:$O$22)^2)^2+固有振動数!$P$6:$P$22^2))</f>
        <v>-5.99347271386176</v>
      </c>
      <c r="C632" s="123" t="n">
        <f aca="false">-SUMPRODUCT(固有振動数!$Q$6:$Q$22*固有振動数!$P$6:$P$22/((1-($A632/固有振動数!$O$6:$O$22)^2)^2+固有振動数!$P$6:$P$22^2))</f>
        <v>-12.8805922265392</v>
      </c>
      <c r="D632" s="124" t="n">
        <f aca="false">SQRT(B632^2+C632^2)</f>
        <v>14.2067368272305</v>
      </c>
      <c r="E632" s="125" t="n">
        <f aca="false">20*LOG10(MAX(D632,0.000000000001)/$K$3)</f>
        <v>23.0498867089055</v>
      </c>
    </row>
    <row r="633" customFormat="false" ht="15" hidden="false" customHeight="false" outlineLevel="0" collapsed="false">
      <c r="A633" s="126" t="n">
        <f aca="false">A632+$F$3</f>
        <v>6270</v>
      </c>
      <c r="B633" s="127" t="n">
        <f aca="false">SUMPRODUCT(固有振動数!$Q$6:$Q$22*(1-($A633/固有振動数!$O$6:$O$22)^2)/((1-($A633/固有振動数!$O$6:$O$22)^2)^2+固有振動数!$P$6:$P$22^2))</f>
        <v>-5.11686917534291</v>
      </c>
      <c r="C633" s="127" t="n">
        <f aca="false">-SUMPRODUCT(固有振動数!$Q$6:$Q$22*固有振動数!$P$6:$P$22/((1-($A633/固有振動数!$O$6:$O$22)^2)^2+固有振動数!$P$6:$P$22^2))</f>
        <v>-11.3988851769266</v>
      </c>
      <c r="D633" s="128" t="n">
        <f aca="false">SQRT(B633^2+C633^2)</f>
        <v>12.4946762036609</v>
      </c>
      <c r="E633" s="129" t="n">
        <f aca="false">20*LOG10(MAX(D633,0.000000000001)/$K$3)</f>
        <v>21.9345001195569</v>
      </c>
    </row>
    <row r="634" customFormat="false" ht="15" hidden="false" customHeight="false" outlineLevel="0" collapsed="false">
      <c r="A634" s="122" t="n">
        <f aca="false">A633+$F$3</f>
        <v>6280</v>
      </c>
      <c r="B634" s="123" t="n">
        <f aca="false">SUMPRODUCT(固有振動数!$Q$6:$Q$22*(1-($A634/固有振動数!$O$6:$O$22)^2)/((1-($A634/固有振動数!$O$6:$O$22)^2)^2+固有振動数!$P$6:$P$22^2))</f>
        <v>-4.24640317871641</v>
      </c>
      <c r="C634" s="123" t="n">
        <f aca="false">-SUMPRODUCT(固有振動数!$Q$6:$Q$22*固有振動数!$P$6:$P$22/((1-($A634/固有振動数!$O$6:$O$22)^2)^2+固有振動数!$P$6:$P$22^2))</f>
        <v>-10.1465302329333</v>
      </c>
      <c r="D634" s="124" t="n">
        <f aca="false">SQRT(B634^2+C634^2)</f>
        <v>10.9992734180055</v>
      </c>
      <c r="E634" s="125" t="n">
        <f aca="false">20*LOG10(MAX(D634,0.000000000001)/$K$3)</f>
        <v>20.8272799559411</v>
      </c>
    </row>
    <row r="635" customFormat="false" ht="15" hidden="false" customHeight="false" outlineLevel="0" collapsed="false">
      <c r="A635" s="126" t="n">
        <f aca="false">A634+$F$3</f>
        <v>6290</v>
      </c>
      <c r="B635" s="127" t="n">
        <f aca="false">SUMPRODUCT(固有振動数!$Q$6:$Q$22*(1-($A635/固有振動数!$O$6:$O$22)^2)/((1-($A635/固有振動数!$O$6:$O$22)^2)^2+固有振動数!$P$6:$P$22^2))</f>
        <v>-3.40033903058564</v>
      </c>
      <c r="C635" s="127" t="n">
        <f aca="false">-SUMPRODUCT(固有振動数!$Q$6:$Q$22*固有振動数!$P$6:$P$22/((1-($A635/固有振動数!$O$6:$O$22)^2)^2+固有振動数!$P$6:$P$22^2))</f>
        <v>-9.08362334115502</v>
      </c>
      <c r="D635" s="128" t="n">
        <f aca="false">SQRT(B635^2+C635^2)</f>
        <v>9.69920195309389</v>
      </c>
      <c r="E635" s="129" t="n">
        <f aca="false">20*LOG10(MAX(D635,0.000000000001)/$K$3)</f>
        <v>19.7347200427975</v>
      </c>
    </row>
    <row r="636" customFormat="false" ht="15" hidden="false" customHeight="false" outlineLevel="0" collapsed="false">
      <c r="A636" s="122" t="n">
        <f aca="false">A635+$F$3</f>
        <v>6300</v>
      </c>
      <c r="B636" s="123" t="n">
        <f aca="false">SUMPRODUCT(固有振動数!$Q$6:$Q$22*(1-($A636/固有振動数!$O$6:$O$22)^2)/((1-($A636/固有振動数!$O$6:$O$22)^2)^2+固有振動数!$P$6:$P$22^2))</f>
        <v>-2.58893289334891</v>
      </c>
      <c r="C636" s="123" t="n">
        <f aca="false">-SUMPRODUCT(固有振動数!$Q$6:$Q$22*固有振動数!$P$6:$P$22/((1-($A636/固有振動数!$O$6:$O$22)^2)^2+固有振動数!$P$6:$P$22^2))</f>
        <v>-8.17718897983614</v>
      </c>
      <c r="D636" s="124" t="n">
        <f aca="false">SQRT(B636^2+C636^2)</f>
        <v>8.57723691745876</v>
      </c>
      <c r="E636" s="125" t="n">
        <f aca="false">20*LOG10(MAX(D636,0.000000000001)/$K$3)</f>
        <v>18.666948123493</v>
      </c>
    </row>
    <row r="637" customFormat="false" ht="15" hidden="false" customHeight="false" outlineLevel="0" collapsed="false">
      <c r="A637" s="126" t="n">
        <f aca="false">A636+$F$3</f>
        <v>6310</v>
      </c>
      <c r="B637" s="127" t="n">
        <f aca="false">SUMPRODUCT(固有振動数!$Q$6:$Q$22*(1-($A637/固有振動数!$O$6:$O$22)^2)/((1-($A637/固有振動数!$O$6:$O$22)^2)^2+固有振動数!$P$6:$P$22^2))</f>
        <v>-1.81731629202032</v>
      </c>
      <c r="C637" s="127" t="n">
        <f aca="false">-SUMPRODUCT(固有振動数!$Q$6:$Q$22*固有振動数!$P$6:$P$22/((1-($A637/固有振動数!$O$6:$O$22)^2)^2+固有振動数!$P$6:$P$22^2))</f>
        <v>-7.40025972030694</v>
      </c>
      <c r="D637" s="128" t="n">
        <f aca="false">SQRT(B637^2+C637^2)</f>
        <v>7.62013664137592</v>
      </c>
      <c r="E637" s="129" t="n">
        <f aca="false">20*LOG10(MAX(D637,0.000000000001)/$K$3)</f>
        <v>17.6392551802395</v>
      </c>
    </row>
    <row r="638" customFormat="false" ht="15" hidden="false" customHeight="false" outlineLevel="0" collapsed="false">
      <c r="A638" s="122" t="n">
        <f aca="false">A637+$F$3</f>
        <v>6320</v>
      </c>
      <c r="B638" s="123" t="n">
        <f aca="false">SUMPRODUCT(固有振動数!$Q$6:$Q$22*(1-($A638/固有振動数!$O$6:$O$22)^2)/((1-($A638/固有振動数!$O$6:$O$22)^2)^2+固有振動数!$P$6:$P$22^2))</f>
        <v>-1.08739617006654</v>
      </c>
      <c r="C638" s="123" t="n">
        <f aca="false">-SUMPRODUCT(固有振動数!$Q$6:$Q$22*固有振動数!$P$6:$P$22/((1-($A638/固有振動数!$O$6:$O$22)^2)^2+固有振動数!$P$6:$P$22^2))</f>
        <v>-6.73088300336182</v>
      </c>
      <c r="D638" s="124" t="n">
        <f aca="false">SQRT(B638^2+C638^2)</f>
        <v>6.81815344764405</v>
      </c>
      <c r="E638" s="125" t="n">
        <f aca="false">20*LOG10(MAX(D638,0.000000000001)/$K$3)</f>
        <v>16.6733354225015</v>
      </c>
    </row>
    <row r="639" customFormat="false" ht="15" hidden="false" customHeight="false" outlineLevel="0" collapsed="false">
      <c r="A639" s="126" t="n">
        <f aca="false">A638+$F$3</f>
        <v>6330</v>
      </c>
      <c r="B639" s="127" t="n">
        <f aca="false">SUMPRODUCT(固有振動数!$Q$6:$Q$22*(1-($A639/固有振動数!$O$6:$O$22)^2)/((1-($A639/固有振動数!$O$6:$O$22)^2)^2+固有振動数!$P$6:$P$22^2))</f>
        <v>-0.399094688733746</v>
      </c>
      <c r="C639" s="127" t="n">
        <f aca="false">-SUMPRODUCT(固有振動数!$Q$6:$Q$22*固有振動数!$P$6:$P$22/((1-($A639/固有振動数!$O$6:$O$22)^2)^2+固有振動数!$P$6:$P$22^2))</f>
        <v>-6.15120626659198</v>
      </c>
      <c r="D639" s="128" t="n">
        <f aca="false">SQRT(B639^2+C639^2)</f>
        <v>6.16413944559465</v>
      </c>
      <c r="E639" s="129" t="n">
        <f aca="false">20*LOG10(MAX(D639,0.000000000001)/$K$3)</f>
        <v>15.7974490959545</v>
      </c>
    </row>
    <row r="640" customFormat="false" ht="15" hidden="false" customHeight="false" outlineLevel="0" collapsed="false">
      <c r="A640" s="122" t="n">
        <f aca="false">A639+$F$3</f>
        <v>6340</v>
      </c>
      <c r="B640" s="123" t="n">
        <f aca="false">SUMPRODUCT(固有振動数!$Q$6:$Q$22*(1-($A640/固有振動数!$O$6:$O$22)^2)/((1-($A640/固有振動数!$O$6:$O$22)^2)^2+固有振動数!$P$6:$P$22^2))</f>
        <v>0.248847725567209</v>
      </c>
      <c r="C640" s="123" t="n">
        <f aca="false">-SUMPRODUCT(固有振動数!$Q$6:$Q$22*固有振動数!$P$6:$P$22/((1-($A640/固有振動数!$O$6:$O$22)^2)^2+固有振動数!$P$6:$P$22^2))</f>
        <v>-5.64669225986034</v>
      </c>
      <c r="D640" s="124" t="n">
        <f aca="false">SQRT(B640^2+C640^2)</f>
        <v>5.65217291562162</v>
      </c>
      <c r="E640" s="125" t="n">
        <f aca="false">20*LOG10(MAX(D640,0.000000000001)/$K$3)</f>
        <v>15.0443087930123</v>
      </c>
    </row>
    <row r="641" customFormat="false" ht="15" hidden="false" customHeight="false" outlineLevel="0" collapsed="false">
      <c r="A641" s="126" t="n">
        <f aca="false">A640+$F$3</f>
        <v>6350</v>
      </c>
      <c r="B641" s="127" t="n">
        <f aca="false">SUMPRODUCT(固有振動数!$Q$6:$Q$22*(1-($A641/固有振動数!$O$6:$O$22)^2)/((1-($A641/固有振動数!$O$6:$O$22)^2)^2+固有振動数!$P$6:$P$22^2))</f>
        <v>0.85835593146433</v>
      </c>
      <c r="C641" s="127" t="n">
        <f aca="false">-SUMPRODUCT(固有振動数!$Q$6:$Q$22*固有振動数!$P$6:$P$22/((1-($A641/固有振動数!$O$6:$O$22)^2)^2+固有振動数!$P$6:$P$22^2))</f>
        <v>-5.20547060978687</v>
      </c>
      <c r="D641" s="128" t="n">
        <f aca="false">SQRT(B641^2+C641^2)</f>
        <v>5.27576526908039</v>
      </c>
      <c r="E641" s="129" t="n">
        <f aca="false">20*LOG10(MAX(D641,0.000000000001)/$K$3)</f>
        <v>14.4457092908948</v>
      </c>
    </row>
    <row r="642" customFormat="false" ht="15" hidden="false" customHeight="false" outlineLevel="0" collapsed="false">
      <c r="A642" s="122" t="n">
        <f aca="false">A641+$F$3</f>
        <v>6360</v>
      </c>
      <c r="B642" s="123" t="n">
        <f aca="false">SUMPRODUCT(固有振動数!$Q$6:$Q$22*(1-($A642/固有振動数!$O$6:$O$22)^2)/((1-($A642/固有振動数!$O$6:$O$22)^2)^2+固有振動数!$P$6:$P$22^2))</f>
        <v>1.43169088072811</v>
      </c>
      <c r="C642" s="123" t="n">
        <f aca="false">-SUMPRODUCT(固有振動数!$Q$6:$Q$22*固有振動数!$P$6:$P$22/((1-($A642/固有振動数!$O$6:$O$22)^2)^2+固有振動数!$P$6:$P$22^2))</f>
        <v>-4.81781281257336</v>
      </c>
      <c r="D642" s="124" t="n">
        <f aca="false">SQRT(B642^2+C642^2)</f>
        <v>5.02603810918263</v>
      </c>
      <c r="E642" s="125" t="n">
        <f aca="false">20*LOG10(MAX(D642,0.000000000001)/$K$3)</f>
        <v>14.0245155448406</v>
      </c>
    </row>
    <row r="643" customFormat="false" ht="15" hidden="false" customHeight="false" outlineLevel="0" collapsed="false">
      <c r="A643" s="126" t="n">
        <f aca="false">A642+$F$3</f>
        <v>6370</v>
      </c>
      <c r="B643" s="127" t="n">
        <f aca="false">SUMPRODUCT(固有振動数!$Q$6:$Q$22*(1-($A643/固有振動数!$O$6:$O$22)^2)/((1-($A643/固有振動数!$O$6:$O$22)^2)^2+固有振動数!$P$6:$P$22^2))</f>
        <v>1.97124246717225</v>
      </c>
      <c r="C643" s="127" t="n">
        <f aca="false">-SUMPRODUCT(固有振動数!$Q$6:$Q$22*固有振動数!$P$6:$P$22/((1-($A643/固有振動数!$O$6:$O$22)^2)^2+固有振動数!$P$6:$P$22^2))</f>
        <v>-4.47571184840333</v>
      </c>
      <c r="D643" s="128" t="n">
        <f aca="false">SQRT(B643^2+C643^2)</f>
        <v>4.89058211405568</v>
      </c>
      <c r="E643" s="129" t="n">
        <f aca="false">20*LOG10(MAX(D643,0.000000000001)/$K$3)</f>
        <v>13.7872111042557</v>
      </c>
    </row>
    <row r="644" customFormat="false" ht="15" hidden="false" customHeight="false" outlineLevel="0" collapsed="false">
      <c r="A644" s="122" t="n">
        <f aca="false">A643+$F$3</f>
        <v>6380</v>
      </c>
      <c r="B644" s="123" t="n">
        <f aca="false">SUMPRODUCT(固有振動数!$Q$6:$Q$22*(1-($A644/固有振動数!$O$6:$O$22)^2)/((1-($A644/固有振動数!$O$6:$O$22)^2)^2+固有振動数!$P$6:$P$22^2))</f>
        <v>2.47940174190452</v>
      </c>
      <c r="C644" s="123" t="n">
        <f aca="false">-SUMPRODUCT(固有振動数!$Q$6:$Q$22*固有振動数!$P$6:$P$22/((1-($A644/固有振動数!$O$6:$O$22)^2)^2+固有振動数!$P$6:$P$22^2))</f>
        <v>-4.1725474098363</v>
      </c>
      <c r="D644" s="124" t="n">
        <f aca="false">SQRT(B644^2+C644^2)</f>
        <v>4.8536156507382</v>
      </c>
      <c r="E644" s="125" t="n">
        <f aca="false">20*LOG10(MAX(D644,0.000000000001)/$K$3)</f>
        <v>13.7213076468716</v>
      </c>
    </row>
    <row r="645" customFormat="false" ht="15" hidden="false" customHeight="false" outlineLevel="0" collapsed="false">
      <c r="A645" s="126" t="n">
        <f aca="false">A644+$F$3</f>
        <v>6390</v>
      </c>
      <c r="B645" s="127" t="n">
        <f aca="false">SUMPRODUCT(固有振動数!$Q$6:$Q$22*(1-($A645/固有振動数!$O$6:$O$22)^2)/((1-($A645/固有振動数!$O$6:$O$22)^2)^2+固有振動数!$P$6:$P$22^2))</f>
        <v>2.95848459425422</v>
      </c>
      <c r="C645" s="127" t="n">
        <f aca="false">-SUMPRODUCT(固有振動数!$Q$6:$Q$22*固有振動数!$P$6:$P$22/((1-($A645/固有振動数!$O$6:$O$22)^2)^2+固有振動数!$P$6:$P$22^2))</f>
        <v>-3.90281983017798</v>
      </c>
      <c r="D645" s="128" t="n">
        <f aca="false">SQRT(B645^2+C645^2)</f>
        <v>4.89741092019753</v>
      </c>
      <c r="E645" s="129" t="n">
        <f aca="false">20*LOG10(MAX(D645,0.000000000001)/$K$3)</f>
        <v>13.7993309057153</v>
      </c>
    </row>
    <row r="646" customFormat="false" ht="15" hidden="false" customHeight="false" outlineLevel="0" collapsed="false">
      <c r="A646" s="122" t="n">
        <f aca="false">A645+$F$3</f>
        <v>6400</v>
      </c>
      <c r="B646" s="123" t="n">
        <f aca="false">SUMPRODUCT(固有振動数!$Q$6:$Q$22*(1-($A646/固有振動数!$O$6:$O$22)^2)/((1-($A646/固有振動数!$O$6:$O$22)^2)^2+固有振動数!$P$6:$P$22^2))</f>
        <v>3.41068864982508</v>
      </c>
      <c r="C646" s="123" t="n">
        <f aca="false">-SUMPRODUCT(固有振動数!$Q$6:$Q$22*固有振動数!$P$6:$P$22/((1-($A646/固有振動数!$O$6:$O$22)^2)^2+固有振動数!$P$6:$P$22^2))</f>
        <v>-3.66193854495085</v>
      </c>
      <c r="D646" s="124" t="n">
        <f aca="false">SQRT(B646^2+C646^2)</f>
        <v>5.00425728485681</v>
      </c>
      <c r="E646" s="125" t="n">
        <f aca="false">20*LOG10(MAX(D646,0.000000000001)/$K$3)</f>
        <v>13.9867926012476</v>
      </c>
    </row>
    <row r="647" customFormat="false" ht="15" hidden="false" customHeight="false" outlineLevel="0" collapsed="false">
      <c r="A647" s="126" t="n">
        <f aca="false">A646+$F$3</f>
        <v>6410</v>
      </c>
      <c r="B647" s="127" t="n">
        <f aca="false">SUMPRODUCT(固有振動数!$Q$6:$Q$22*(1-($A647/固有振動数!$O$6:$O$22)^2)/((1-($A647/固有振動数!$O$6:$O$22)^2)^2+固有振動数!$P$6:$P$22^2))</f>
        <v>3.83807144164735</v>
      </c>
      <c r="C647" s="127" t="n">
        <f aca="false">-SUMPRODUCT(固有振動数!$Q$6:$Q$22*固有振動数!$P$6:$P$22/((1-($A647/固有振動数!$O$6:$O$22)^2)^2+固有振動数!$P$6:$P$22^2))</f>
        <v>-3.44605360181097</v>
      </c>
      <c r="D647" s="128" t="n">
        <f aca="false">SQRT(B647^2+C647^2)</f>
        <v>5.15810796879469</v>
      </c>
      <c r="E647" s="129" t="n">
        <f aca="false">20*LOG10(MAX(D647,0.000000000001)/$K$3)</f>
        <v>14.2498085697685</v>
      </c>
    </row>
    <row r="648" customFormat="false" ht="15" hidden="false" customHeight="false" outlineLevel="0" collapsed="false">
      <c r="A648" s="122" t="n">
        <f aca="false">A647+$F$3</f>
        <v>6420</v>
      </c>
      <c r="B648" s="123" t="n">
        <f aca="false">SUMPRODUCT(固有振動数!$Q$6:$Q$22*(1-($A648/固有振動数!$O$6:$O$22)^2)/((1-($A648/固有振動数!$O$6:$O$22)^2)^2+固有振動数!$P$6:$P$22^2))</f>
        <v>4.2425420341747</v>
      </c>
      <c r="C648" s="123" t="n">
        <f aca="false">-SUMPRODUCT(固有振動数!$Q$6:$Q$22*固有振動数!$P$6:$P$22/((1-($A648/固有振動数!$O$6:$O$22)^2)^2+固有振動数!$P$6:$P$22^2))</f>
        <v>-3.25192107911639</v>
      </c>
      <c r="D648" s="124" t="n">
        <f aca="false">SQRT(B648^2+C648^2)</f>
        <v>5.34547973680012</v>
      </c>
      <c r="E648" s="125" t="n">
        <f aca="false">20*LOG10(MAX(D648,0.000000000001)/$K$3)</f>
        <v>14.5597337519646</v>
      </c>
    </row>
    <row r="649" customFormat="false" ht="15" hidden="false" customHeight="false" outlineLevel="0" collapsed="false">
      <c r="A649" s="126" t="n">
        <f aca="false">A648+$F$3</f>
        <v>6430</v>
      </c>
      <c r="B649" s="127" t="n">
        <f aca="false">SUMPRODUCT(固有振動数!$Q$6:$Q$22*(1-($A649/固有振動数!$O$6:$O$22)^2)/((1-($A649/固有振動数!$O$6:$O$22)^2)^2+固有振動数!$P$6:$P$22^2))</f>
        <v>4.62586098322209</v>
      </c>
      <c r="C649" s="127" t="n">
        <f aca="false">-SUMPRODUCT(固有振動数!$Q$6:$Q$22*固有振動数!$P$6:$P$22/((1-($A649/固有振動数!$O$6:$O$22)^2)^2+固有振動数!$P$6:$P$22^2))</f>
        <v>-3.07679521471509</v>
      </c>
      <c r="D649" s="128" t="n">
        <f aca="false">SQRT(B649^2+C649^2)</f>
        <v>5.5556510536021</v>
      </c>
      <c r="E649" s="129" t="n">
        <f aca="false">20*LOG10(MAX(D649,0.000000000001)/$K$3)</f>
        <v>14.8946992040394</v>
      </c>
    </row>
    <row r="650" customFormat="false" ht="15" hidden="false" customHeight="false" outlineLevel="0" collapsed="false">
      <c r="A650" s="122" t="n">
        <f aca="false">A649+$F$3</f>
        <v>6440</v>
      </c>
      <c r="B650" s="123" t="n">
        <f aca="false">SUMPRODUCT(固有振動数!$Q$6:$Q$22*(1-($A650/固有振動数!$O$6:$O$22)^2)/((1-($A650/固有振動数!$O$6:$O$22)^2)^2+固有振動数!$P$6:$P$22^2))</f>
        <v>4.98964529146647</v>
      </c>
      <c r="C650" s="123" t="n">
        <f aca="false">-SUMPRODUCT(固有振動数!$Q$6:$Q$22*固有振動数!$P$6:$P$22/((1-($A650/固有振動数!$O$6:$O$22)^2)^2+固有振動数!$P$6:$P$22^2))</f>
        <v>-2.91834160636027</v>
      </c>
      <c r="D650" s="124" t="n">
        <f aca="false">SQRT(B650^2+C650^2)</f>
        <v>5.78042194533124</v>
      </c>
      <c r="E650" s="125" t="n">
        <f aca="false">20*LOG10(MAX(D650,0.000000000001)/$K$3)</f>
        <v>15.2391908232227</v>
      </c>
    </row>
    <row r="651" customFormat="false" ht="15" hidden="false" customHeight="false" outlineLevel="0" collapsed="false">
      <c r="A651" s="126" t="n">
        <f aca="false">A650+$F$3</f>
        <v>6450</v>
      </c>
      <c r="B651" s="127" t="n">
        <f aca="false">SUMPRODUCT(固有振動数!$Q$6:$Q$22*(1-($A651/固有振動数!$O$6:$O$22)^2)/((1-($A651/固有振動数!$O$6:$O$22)^2)^2+固有振動数!$P$6:$P$22^2))</f>
        <v>5.33537618917006</v>
      </c>
      <c r="C651" s="127" t="n">
        <f aca="false">-SUMPRODUCT(固有振動数!$Q$6:$Q$22*固有振動数!$P$6:$P$22/((1-($A651/固有振動数!$O$6:$O$22)^2)^2+固有振動数!$P$6:$P$22^2))</f>
        <v>-2.77456707704406</v>
      </c>
      <c r="D651" s="128" t="n">
        <f aca="false">SQRT(B651^2+C651^2)</f>
        <v>6.01368951185374</v>
      </c>
      <c r="E651" s="129" t="n">
        <f aca="false">20*LOG10(MAX(D651,0.000000000001)/$K$3)</f>
        <v>15.5828200324248</v>
      </c>
    </row>
    <row r="652" customFormat="false" ht="15" hidden="false" customHeight="false" outlineLevel="0" collapsed="false">
      <c r="A652" s="122" t="n">
        <f aca="false">A651+$F$3</f>
        <v>6460</v>
      </c>
      <c r="B652" s="123" t="n">
        <f aca="false">SUMPRODUCT(固有振動数!$Q$6:$Q$22*(1-($A652/固有振動数!$O$6:$O$22)^2)/((1-($A652/固有振動数!$O$6:$O$22)^2)^2+固有振動数!$P$6:$P$22^2))</f>
        <v>5.66440834160629</v>
      </c>
      <c r="C652" s="123" t="n">
        <f aca="false">-SUMPRODUCT(固有振動数!$Q$6:$Q$22*固有振動数!$P$6:$P$22/((1-($A652/固有振動数!$O$6:$O$22)^2)^2+固有振動数!$P$6:$P$22^2))</f>
        <v>-2.64376276187595</v>
      </c>
      <c r="D652" s="124" t="n">
        <f aca="false">SQRT(B652^2+C652^2)</f>
        <v>6.25100019209254</v>
      </c>
      <c r="E652" s="125" t="n">
        <f aca="false">20*LOG10(MAX(D652,0.000000000001)/$K$3)</f>
        <v>15.9189902449725</v>
      </c>
    </row>
    <row r="653" customFormat="false" ht="15" hidden="false" customHeight="false" outlineLevel="0" collapsed="false">
      <c r="A653" s="126" t="n">
        <f aca="false">A652+$F$3</f>
        <v>6470</v>
      </c>
      <c r="B653" s="127" t="n">
        <f aca="false">SUMPRODUCT(固有振動数!$Q$6:$Q$22*(1-($A653/固有振動数!$O$6:$O$22)^2)/((1-($A653/固有振動数!$O$6:$O$22)^2)^2+固有振動数!$P$6:$P$22^2))</f>
        <v>5.97797959409301</v>
      </c>
      <c r="C653" s="127" t="n">
        <f aca="false">-SUMPRODUCT(固有振動数!$Q$6:$Q$22*固有振動数!$P$6:$P$22/((1-($A653/固有振動数!$O$6:$O$22)^2)^2+固有振動数!$P$6:$P$22^2))</f>
        <v>-2.52445772250046</v>
      </c>
      <c r="D653" s="128" t="n">
        <f aca="false">SQRT(B653^2+C653^2)</f>
        <v>6.48915455356741</v>
      </c>
      <c r="E653" s="129" t="n">
        <f aca="false">20*LOG10(MAX(D653,0.000000000001)/$K$3)</f>
        <v>16.2437623593105</v>
      </c>
    </row>
    <row r="654" customFormat="false" ht="15" hidden="false" customHeight="false" outlineLevel="0" collapsed="false">
      <c r="A654" s="122" t="n">
        <f aca="false">A653+$F$3</f>
        <v>6480</v>
      </c>
      <c r="B654" s="123" t="n">
        <f aca="false">SUMPRODUCT(固有振動数!$Q$6:$Q$22*(1-($A654/固有振動数!$O$6:$O$22)^2)/((1-($A654/固有振動数!$O$6:$O$22)^2)^2+固有振動数!$P$6:$P$22^2))</f>
        <v>6.27722070148446</v>
      </c>
      <c r="C654" s="123" t="n">
        <f aca="false">-SUMPRODUCT(固有振動数!$Q$6:$Q$22*固有振動数!$P$6:$P$22/((1-($A654/固有振動数!$O$6:$O$22)^2)^2+固有振動数!$P$6:$P$22^2))</f>
        <v>-2.41538097663347</v>
      </c>
      <c r="D654" s="124" t="n">
        <f aca="false">SQRT(B654^2+C654^2)</f>
        <v>6.72588767356606</v>
      </c>
      <c r="E654" s="125" t="n">
        <f aca="false">20*LOG10(MAX(D654,0.000000000001)/$K$3)</f>
        <v>16.5549922011192</v>
      </c>
    </row>
    <row r="655" customFormat="false" ht="15" hidden="false" customHeight="false" outlineLevel="0" collapsed="false">
      <c r="A655" s="126" t="n">
        <f aca="false">A654+$F$3</f>
        <v>6490</v>
      </c>
      <c r="B655" s="127" t="n">
        <f aca="false">SUMPRODUCT(固有振動数!$Q$6:$Q$22*(1-($A655/固有振動数!$O$6:$O$22)^2)/((1-($A655/固有振動数!$O$6:$O$22)^2)^2+固有振動数!$P$6:$P$22^2))</f>
        <v>6.56316470989901</v>
      </c>
      <c r="C655" s="127" t="n">
        <f aca="false">-SUMPRODUCT(固有振動数!$Q$6:$Q$22*固有振動数!$P$6:$P$22/((1-($A655/固有振動数!$O$6:$O$22)^2)^2+固有振動数!$P$6:$P$22^2))</f>
        <v>-2.31543028152514</v>
      </c>
      <c r="D655" s="128" t="n">
        <f aca="false">SQRT(B655^2+C655^2)</f>
        <v>6.95962271950623</v>
      </c>
      <c r="E655" s="129" t="n">
        <f aca="false">20*LOG10(MAX(D655,0.000000000001)/$K$3)</f>
        <v>16.8517139437122</v>
      </c>
    </row>
    <row r="656" customFormat="false" ht="15" hidden="false" customHeight="false" outlineLevel="0" collapsed="false">
      <c r="A656" s="122" t="n">
        <f aca="false">A655+$F$3</f>
        <v>6500</v>
      </c>
      <c r="B656" s="123" t="n">
        <f aca="false">SUMPRODUCT(固有振動数!$Q$6:$Q$22*(1-($A656/固有振動数!$O$6:$O$22)^2)/((1-($A656/固有振動数!$O$6:$O$22)^2)^2+固有振動数!$P$6:$P$22^2))</f>
        <v>6.83675580294787</v>
      </c>
      <c r="C656" s="123" t="n">
        <f aca="false">-SUMPRODUCT(固有振動数!$Q$6:$Q$22*固有振動数!$P$6:$P$22/((1-($A656/固有振動数!$O$6:$O$22)^2)^2+固有振動数!$P$6:$P$22^2))</f>
        <v>-2.22364636062146</v>
      </c>
      <c r="D656" s="124" t="n">
        <f aca="false">SQRT(B656^2+C656^2)</f>
        <v>7.18928599001642</v>
      </c>
      <c r="E656" s="125" t="n">
        <f aca="false">20*LOG10(MAX(D656,0.000000000001)/$K$3)</f>
        <v>17.1337152040587</v>
      </c>
    </row>
    <row r="657" customFormat="false" ht="15" hidden="false" customHeight="false" outlineLevel="0" collapsed="false">
      <c r="A657" s="126" t="n">
        <f aca="false">A656+$F$3</f>
        <v>6510</v>
      </c>
      <c r="B657" s="127" t="n">
        <f aca="false">SUMPRODUCT(固有振動数!$Q$6:$Q$22*(1-($A657/固有振動数!$O$6:$O$22)^2)/((1-($A657/固有振動数!$O$6:$O$22)^2)^2+固有振動数!$P$6:$P$22^2))</f>
        <v>7.09885751836214</v>
      </c>
      <c r="C657" s="127" t="n">
        <f aca="false">-SUMPRODUCT(固有振動数!$Q$6:$Q$22*固有振動数!$P$6:$P$22/((1-($A657/固有振動数!$O$6:$O$22)^2)^2+固有振動数!$P$6:$P$22^2))</f>
        <v>-2.13919153544253</v>
      </c>
      <c r="D657" s="128" t="n">
        <f aca="false">SQRT(B657^2+C657^2)</f>
        <v>7.41417011480824</v>
      </c>
      <c r="E657" s="129" t="n">
        <f aca="false">20*LOG10(MAX(D657,0.000000000001)/$K$3)</f>
        <v>17.4012509299997</v>
      </c>
    </row>
    <row r="658" customFormat="false" ht="15" hidden="false" customHeight="false" outlineLevel="0" collapsed="false">
      <c r="A658" s="122" t="n">
        <f aca="false">A657+$F$3</f>
        <v>6520</v>
      </c>
      <c r="B658" s="123" t="n">
        <f aca="false">SUMPRODUCT(固有振動数!$Q$6:$Q$22*(1-($A658/固有振動数!$O$6:$O$22)^2)/((1-($A658/固有振動数!$O$6:$O$22)^2)^2+固有振動数!$P$6:$P$22^2))</f>
        <v>7.35026030070644</v>
      </c>
      <c r="C658" s="123" t="n">
        <f aca="false">-SUMPRODUCT(固有振動数!$Q$6:$Q$22*固有振動数!$P$6:$P$22/((1-($A658/固有振動数!$O$6:$O$22)^2)^2+固有振動数!$P$6:$P$22^2))</f>
        <v>-2.06133193752567</v>
      </c>
      <c r="D658" s="124" t="n">
        <f aca="false">SQRT(B658^2+C658^2)</f>
        <v>7.63383362700579</v>
      </c>
      <c r="E658" s="125" t="n">
        <f aca="false">20*LOG10(MAX(D658,0.000000000001)/$K$3)</f>
        <v>17.6548538126528</v>
      </c>
    </row>
    <row r="659" customFormat="false" ht="15" hidden="false" customHeight="false" outlineLevel="0" collapsed="false">
      <c r="A659" s="126" t="n">
        <f aca="false">A658+$F$3</f>
        <v>6530</v>
      </c>
      <c r="B659" s="127" t="n">
        <f aca="false">SUMPRODUCT(固有振動数!$Q$6:$Q$22*(1-($A659/固有振動数!$O$6:$O$22)^2)/((1-($A659/固有振動数!$O$6:$O$22)^2)^2+固有振動数!$P$6:$P$22^2))</f>
        <v>7.59168839317563</v>
      </c>
      <c r="C659" s="127" t="n">
        <f aca="false">-SUMPRODUCT(固有振動数!$Q$6:$Q$22*固有振動数!$P$6:$P$22/((1-($A659/固有振動数!$O$6:$O$22)^2)^2+固有振動数!$P$6:$P$22^2))</f>
        <v>-1.98942264187643</v>
      </c>
      <c r="D659" s="128" t="n">
        <f aca="false">SQRT(B659^2+C659^2)</f>
        <v>7.84802746599986</v>
      </c>
      <c r="E659" s="129" t="n">
        <f aca="false">20*LOG10(MAX(D659,0.000000000001)/$K$3)</f>
        <v>17.8952102857847</v>
      </c>
    </row>
    <row r="660" customFormat="false" ht="15" hidden="false" customHeight="false" outlineLevel="0" collapsed="false">
      <c r="A660" s="122" t="n">
        <f aca="false">A659+$F$3</f>
        <v>6540</v>
      </c>
      <c r="B660" s="123" t="n">
        <f aca="false">SUMPRODUCT(固有振動数!$Q$6:$Q$22*(1-($A660/固有振動数!$O$6:$O$22)^2)/((1-($A660/固有振動数!$O$6:$O$22)^2)^2+固有振動数!$P$6:$P$22^2))</f>
        <v>7.82380609389653</v>
      </c>
      <c r="C660" s="123" t="n">
        <f aca="false">-SUMPRODUCT(固有振動数!$Q$6:$Q$22*固有振動数!$P$6:$P$22/((1-($A660/固有振動数!$O$6:$O$22)^2)^2+固有振動数!$P$6:$P$22^2))</f>
        <v>-1.92289519422177</v>
      </c>
      <c r="D660" s="124" t="n">
        <f aca="false">SQRT(B660^2+C660^2)</f>
        <v>8.05664121845162</v>
      </c>
      <c r="E660" s="125" t="n">
        <f aca="false">20*LOG10(MAX(D660,0.000000000001)/$K$3)</f>
        <v>18.1230804780043</v>
      </c>
    </row>
    <row r="661" customFormat="false" ht="15" hidden="false" customHeight="false" outlineLevel="0" collapsed="false">
      <c r="A661" s="126" t="n">
        <f aca="false">A660+$F$3</f>
        <v>6550</v>
      </c>
      <c r="B661" s="127" t="n">
        <f aca="false">SUMPRODUCT(固有振動数!$Q$6:$Q$22*(1-($A661/固有振動数!$O$6:$O$22)^2)/((1-($A661/固有振動数!$O$6:$O$22)^2)^2+固有振動数!$P$6:$P$22^2))</f>
        <v>8.04722341479003</v>
      </c>
      <c r="C661" s="127" t="n">
        <f aca="false">-SUMPRODUCT(固有振動数!$Q$6:$Q$22*固有振動数!$P$6:$P$22/((1-($A661/固有振動数!$O$6:$O$22)^2)^2+固有振動数!$P$6:$P$22^2))</f>
        <v>-1.86124710751201</v>
      </c>
      <c r="D661" s="128" t="n">
        <f aca="false">SQRT(B661^2+C661^2)</f>
        <v>8.25966376329973</v>
      </c>
      <c r="E661" s="129" t="n">
        <f aca="false">20*LOG10(MAX(D661,0.000000000001)/$K$3)</f>
        <v>18.3392473659822</v>
      </c>
    </row>
    <row r="662" customFormat="false" ht="15" hidden="false" customHeight="false" outlineLevel="0" collapsed="false">
      <c r="A662" s="122" t="n">
        <f aca="false">A661+$F$3</f>
        <v>6560</v>
      </c>
      <c r="B662" s="123" t="n">
        <f aca="false">SUMPRODUCT(固有振動数!$Q$6:$Q$22*(1-($A662/固有振動数!$O$6:$O$22)^2)/((1-($A662/固有振動数!$O$6:$O$22)^2)^2+固有振動数!$P$6:$P$22^2))</f>
        <v>8.26250118731193</v>
      </c>
      <c r="C662" s="123" t="n">
        <f aca="false">-SUMPRODUCT(固有振動数!$Q$6:$Q$22*固有振動数!$P$6:$P$22/((1-($A662/固有振動数!$O$6:$O$22)^2)^2+固有振動数!$P$6:$P$22^2))</f>
        <v>-1.80403298473958</v>
      </c>
      <c r="D662" s="124" t="n">
        <f aca="false">SQRT(B662^2+C662^2)</f>
        <v>8.45715441980099</v>
      </c>
      <c r="E662" s="125" t="n">
        <f aca="false">20*LOG10(MAX(D662,0.000000000001)/$K$3)</f>
        <v>18.5444852095673</v>
      </c>
    </row>
    <row r="663" customFormat="false" ht="15" hidden="false" customHeight="false" outlineLevel="0" collapsed="false">
      <c r="A663" s="126" t="n">
        <f aca="false">A662+$F$3</f>
        <v>6570</v>
      </c>
      <c r="B663" s="127" t="n">
        <f aca="false">SUMPRODUCT(固有振動数!$Q$6:$Q$22*(1-($A663/固有振動数!$O$6:$O$22)^2)/((1-($A663/固有振動数!$O$6:$O$22)^2)^2+固有振動数!$P$6:$P$22^2))</f>
        <v>8.47015566156776</v>
      </c>
      <c r="C663" s="127" t="n">
        <f aca="false">-SUMPRODUCT(固有振動数!$Q$6:$Q$22*固有振動数!$P$6:$P$22/((1-($A663/固有振動数!$O$6:$O$22)^2)^2+固有振動数!$P$6:$P$22^2))</f>
        <v>-1.75085698997643</v>
      </c>
      <c r="D663" s="128" t="n">
        <f aca="false">SQRT(B663^2+C663^2)</f>
        <v>8.64922176444435</v>
      </c>
      <c r="E663" s="129" t="n">
        <f aca="false">20*LOG10(MAX(D663,0.000000000001)/$K$3)</f>
        <v>18.7395406496143</v>
      </c>
    </row>
    <row r="664" customFormat="false" ht="15" hidden="false" customHeight="false" outlineLevel="0" collapsed="false">
      <c r="A664" s="122" t="n">
        <f aca="false">A663+$F$3</f>
        <v>6580</v>
      </c>
      <c r="B664" s="123" t="n">
        <f aca="false">SUMPRODUCT(固有振動数!$Q$6:$Q$22*(1-($A664/固有振動数!$O$6:$O$22)^2)/((1-($A664/固有振動数!$O$6:$O$22)^2)^2+固有振動数!$P$6:$P$22^2))</f>
        <v>8.67066264492136</v>
      </c>
      <c r="C664" s="123" t="n">
        <f aca="false">-SUMPRODUCT(固有振動数!$Q$6:$Q$22*固有振動数!$P$6:$P$22/((1-($A664/固有振動数!$O$6:$O$22)^2)^2+固有振動数!$P$6:$P$22^2))</f>
        <v>-1.7013664412301</v>
      </c>
      <c r="D664" s="124" t="n">
        <f aca="false">SQRT(B664^2+C664^2)</f>
        <v>8.836008061867</v>
      </c>
      <c r="E664" s="125" t="n">
        <f aca="false">20*LOG10(MAX(D664,0.000000000001)/$K$3)</f>
        <v>18.9251220688923</v>
      </c>
    </row>
    <row r="665" customFormat="false" ht="15" hidden="false" customHeight="false" outlineLevel="0" collapsed="false">
      <c r="A665" s="126" t="n">
        <f aca="false">A664+$F$3</f>
        <v>6590</v>
      </c>
      <c r="B665" s="127" t="n">
        <f aca="false">SUMPRODUCT(固有振動数!$Q$6:$Q$22*(1-($A665/固有振動数!$O$6:$O$22)^2)/((1-($A665/固有振動数!$O$6:$O$22)^2)^2+固有振動数!$P$6:$P$22^2))</f>
        <v>8.86446122430869</v>
      </c>
      <c r="C665" s="127" t="n">
        <f aca="false">-SUMPRODUCT(固有振動数!$Q$6:$Q$22*固有振動数!$P$6:$P$22/((1-($A665/固有振動数!$O$6:$O$22)^2)^2+固有振動数!$P$6:$P$22^2))</f>
        <v>-1.655246340101</v>
      </c>
      <c r="D665" s="128" t="n">
        <f aca="false">SQRT(B665^2+C665^2)</f>
        <v>9.01767781880069</v>
      </c>
      <c r="E665" s="129" t="n">
        <f aca="false">20*LOG10(MAX(D665,0.000000000001)/$K$3)</f>
        <v>19.1018942977953</v>
      </c>
    </row>
    <row r="666" customFormat="false" ht="15" hidden="false" customHeight="false" outlineLevel="0" collapsed="false">
      <c r="A666" s="122" t="n">
        <f aca="false">A665+$F$3</f>
        <v>6600</v>
      </c>
      <c r="B666" s="123" t="n">
        <f aca="false">SUMPRODUCT(固有振動数!$Q$6:$Q$22*(1-($A666/固有振動数!$O$6:$O$22)^2)/((1-($A666/固有振動数!$O$6:$O$22)^2)^2+固有振動数!$P$6:$P$22^2))</f>
        <v>9.05195711370048</v>
      </c>
      <c r="C666" s="123" t="n">
        <f aca="false">-SUMPRODUCT(固有振動数!$Q$6:$Q$22*固有振動数!$P$6:$P$22/((1-($A666/固有振動数!$O$6:$O$22)^2)^2+固有振動数!$P$6:$P$22^2))</f>
        <v>-1.61221468647603</v>
      </c>
      <c r="D666" s="124" t="n">
        <f aca="false">SQRT(B666^2+C666^2)</f>
        <v>9.19440937654843</v>
      </c>
      <c r="E666" s="125" t="n">
        <f aca="false">20*LOG10(MAX(D666,0.000000000001)/$K$3)</f>
        <v>19.2704767318532</v>
      </c>
    </row>
    <row r="667" customFormat="false" ht="15" hidden="false" customHeight="false" outlineLevel="0" collapsed="false">
      <c r="A667" s="126" t="n">
        <f aca="false">A666+$F$3</f>
        <v>6610</v>
      </c>
      <c r="B667" s="127" t="n">
        <f aca="false">SUMPRODUCT(固有振動数!$Q$6:$Q$22*(1-($A667/固有振動数!$O$6:$O$22)^2)/((1-($A667/固有振動数!$O$6:$O$22)^2)^2+固有振動数!$P$6:$P$22^2))</f>
        <v>9.23352566496808</v>
      </c>
      <c r="C667" s="127" t="n">
        <f aca="false">-SUMPRODUCT(固有振動数!$Q$6:$Q$22*固有振動数!$P$6:$P$22/((1-($A667/固有振動数!$O$6:$O$22)^2)^2+固有振動数!$P$6:$P$22^2))</f>
        <v>-1.57201845331521</v>
      </c>
      <c r="D667" s="128" t="n">
        <f aca="false">SQRT(B667^2+C667^2)</f>
        <v>9.36638875037694</v>
      </c>
      <c r="E667" s="129" t="n">
        <f aca="false">20*LOG10(MAX(D667,0.000000000001)/$K$3)</f>
        <v>19.4314435827795</v>
      </c>
    </row>
    <row r="668" customFormat="false" ht="15" hidden="false" customHeight="false" outlineLevel="0" collapsed="false">
      <c r="A668" s="122" t="n">
        <f aca="false">A667+$F$3</f>
        <v>6620</v>
      </c>
      <c r="B668" s="123" t="n">
        <f aca="false">SUMPRODUCT(固有振動数!$Q$6:$Q$22*(1-($A668/固有振動数!$O$6:$O$22)^2)/((1-($A668/固有振動数!$O$6:$O$22)^2)^2+固有振動数!$P$6:$P$22^2))</f>
        <v>9.40951457708278</v>
      </c>
      <c r="C668" s="123" t="n">
        <f aca="false">-SUMPRODUCT(固有振動数!$Q$6:$Q$22*固有振動数!$P$6:$P$22/((1-($A668/固有振動数!$O$6:$O$22)^2)^2+固有振動数!$P$6:$P$22^2))</f>
        <v>-1.53443011830214</v>
      </c>
      <c r="D668" s="124" t="n">
        <f aca="false">SQRT(B668^2+C668^2)</f>
        <v>9.53380513563635</v>
      </c>
      <c r="E668" s="125" t="n">
        <f aca="false">20*LOG10(MAX(D668,0.000000000001)/$K$3)</f>
        <v>19.5853254200757</v>
      </c>
    </row>
    <row r="669" customFormat="false" ht="15" hidden="false" customHeight="false" outlineLevel="0" collapsed="false">
      <c r="A669" s="126" t="n">
        <f aca="false">A668+$F$3</f>
        <v>6630</v>
      </c>
      <c r="B669" s="127" t="n">
        <f aca="false">SUMPRODUCT(固有振動数!$Q$6:$Q$22*(1-($A669/固有振動数!$O$6:$O$22)^2)/((1-($A669/固有振動数!$O$6:$O$22)^2)^2+固有振動数!$P$6:$P$22^2))</f>
        <v>9.58024633529349</v>
      </c>
      <c r="C669" s="127" t="n">
        <f aca="false">-SUMPRODUCT(固有振動数!$Q$6:$Q$22*固有振動数!$P$6:$P$22/((1-($A669/固有振動数!$O$6:$O$22)^2)^2+固有振動数!$P$6:$P$22^2))</f>
        <v>-1.49924466677352</v>
      </c>
      <c r="D669" s="128" t="n">
        <f aca="false">SQRT(B669^2+C669^2)</f>
        <v>9.69684765352912</v>
      </c>
      <c r="E669" s="129" t="n">
        <f aca="false">20*LOG10(MAX(D669,0.000000000001)/$K$3)</f>
        <v>19.7326114498923</v>
      </c>
    </row>
    <row r="670" customFormat="false" ht="15" hidden="false" customHeight="false" outlineLevel="0" collapsed="false">
      <c r="A670" s="122" t="n">
        <f aca="false">A669+$F$3</f>
        <v>6640</v>
      </c>
      <c r="B670" s="123" t="n">
        <f aca="false">SUMPRODUCT(固有振動数!$Q$6:$Q$22*(1-($A670/固有振動数!$O$6:$O$22)^2)/((1-($A670/固有振動数!$O$6:$O$22)^2)^2+固有振動数!$P$6:$P$22^2))</f>
        <v>9.74602040878839</v>
      </c>
      <c r="C670" s="123" t="n">
        <f aca="false">-SUMPRODUCT(固有振動数!$Q$6:$Q$22*固有振動数!$P$6:$P$22/((1-($A670/固有振動数!$O$6:$O$22)^2)^2+固有振動数!$P$6:$P$22^2))</f>
        <v>-1.46627699473171</v>
      </c>
      <c r="D670" s="124" t="n">
        <f aca="false">SQRT(B670^2+C670^2)</f>
        <v>9.85570302077935</v>
      </c>
      <c r="E670" s="125" t="n">
        <f aca="false">20*LOG10(MAX(D670,0.000000000001)/$K$3)</f>
        <v>19.8737521707983</v>
      </c>
    </row>
    <row r="671" customFormat="false" ht="15" hidden="false" customHeight="false" outlineLevel="0" collapsed="false">
      <c r="A671" s="126" t="n">
        <f aca="false">A670+$F$3</f>
        <v>6650</v>
      </c>
      <c r="B671" s="127" t="n">
        <f aca="false">SUMPRODUCT(固有振動数!$Q$6:$Q$22*(1-($A671/固有振動数!$O$6:$O$22)^2)/((1-($A671/固有振動数!$O$6:$O$22)^2)^2+固有振動数!$P$6:$P$22^2))</f>
        <v>9.9071152324119</v>
      </c>
      <c r="C671" s="127" t="n">
        <f aca="false">-SUMPRODUCT(固有振動数!$Q$6:$Q$22*固有振動数!$P$6:$P$22/((1-($A671/固有振動数!$O$6:$O$22)^2)^2+固有振動数!$P$6:$P$22^2))</f>
        <v>-1.43535965251908</v>
      </c>
      <c r="D671" s="128" t="n">
        <f aca="false">SQRT(B671^2+C671^2)</f>
        <v>10.0105539087689</v>
      </c>
      <c r="E671" s="129" t="n">
        <f aca="false">20*LOG10(MAX(D671,0.000000000001)/$K$3)</f>
        <v>20.0091621746939</v>
      </c>
    </row>
    <row r="672" customFormat="false" ht="15" hidden="false" customHeight="false" outlineLevel="0" collapsed="false">
      <c r="A672" s="122" t="n">
        <f aca="false">A671+$F$3</f>
        <v>6660</v>
      </c>
      <c r="B672" s="123" t="n">
        <f aca="false">SUMPRODUCT(固有振動数!$Q$6:$Q$22*(1-($A672/固有振動数!$O$6:$O$22)^2)/((1-($A672/固有振動数!$O$6:$O$22)^2)^2+固有振動数!$P$6:$P$22^2))</f>
        <v>10.0637899953073</v>
      </c>
      <c r="C672" s="123" t="n">
        <f aca="false">-SUMPRODUCT(固有振動数!$Q$6:$Q$22*固有振動数!$P$6:$P$22/((1-($A672/固有振動数!$O$6:$O$22)^2)^2+固有振動数!$P$6:$P$22^2))</f>
        <v>-1.40634087940202</v>
      </c>
      <c r="D672" s="124" t="n">
        <f aca="false">SQRT(B672^2+C672^2)</f>
        <v>10.1615778173827</v>
      </c>
      <c r="E672" s="125" t="n">
        <f aca="false">20*LOG10(MAX(D672,0.000000000001)/$K$3)</f>
        <v>20.1392229467151</v>
      </c>
    </row>
    <row r="673" customFormat="false" ht="15" hidden="false" customHeight="false" outlineLevel="0" collapsed="false">
      <c r="A673" s="126" t="n">
        <f aca="false">A672+$F$3</f>
        <v>6670</v>
      </c>
      <c r="B673" s="127" t="n">
        <f aca="false">SUMPRODUCT(固有振動数!$Q$6:$Q$22*(1-($A673/固有振動数!$O$6:$O$22)^2)/((1-($A673/固有振動数!$O$6:$O$22)^2)^2+固有振動数!$P$6:$P$22^2))</f>
        <v>10.2162862568964</v>
      </c>
      <c r="C673" s="127" t="n">
        <f aca="false">-SUMPRODUCT(固有振動数!$Q$6:$Q$22*固有振動数!$P$6:$P$22/((1-($A673/固有振動数!$O$6:$O$22)^2)^2+固有振動数!$P$6:$P$22^2))</f>
        <v>-1.37908288727858</v>
      </c>
      <c r="D673" s="128" t="n">
        <f aca="false">SQRT(B673^2+C673^2)</f>
        <v>10.3089463328138</v>
      </c>
      <c r="E673" s="129" t="n">
        <f aca="false">20*LOG10(MAX(D673,0.000000000001)/$K$3)</f>
        <v>20.2642855748664</v>
      </c>
    </row>
    <row r="674" customFormat="false" ht="15" hidden="false" customHeight="false" outlineLevel="0" collapsed="false">
      <c r="A674" s="122" t="n">
        <f aca="false">A673+$F$3</f>
        <v>6680</v>
      </c>
      <c r="B674" s="123" t="n">
        <f aca="false">SUMPRODUCT(固有振動数!$Q$6:$Q$22*(1-($A674/固有振動数!$O$6:$O$22)^2)/((1-($A674/固有振動数!$O$6:$O$22)^2)^2+固有振動数!$P$6:$P$22^2))</f>
        <v>10.3648294083859</v>
      </c>
      <c r="C674" s="123" t="n">
        <f aca="false">-SUMPRODUCT(固有振動数!$Q$6:$Q$22*固有振動数!$P$6:$P$22/((1-($A674/固有振動数!$O$6:$O$22)^2)^2+固有振動数!$P$6:$P$22^2))</f>
        <v>-1.35346035830877</v>
      </c>
      <c r="D674" s="124" t="n">
        <f aca="false">SQRT(B674^2+C674^2)</f>
        <v>10.4528246711812</v>
      </c>
      <c r="E674" s="125" t="n">
        <f aca="false">20*LOG10(MAX(D674,0.000000000001)/$K$3)</f>
        <v>20.3846733177283</v>
      </c>
    </row>
    <row r="675" customFormat="false" ht="15" hidden="false" customHeight="false" outlineLevel="0" collapsed="false">
      <c r="A675" s="126" t="n">
        <f aca="false">A674+$F$3</f>
        <v>6690</v>
      </c>
      <c r="B675" s="127" t="n">
        <f aca="false">SUMPRODUCT(固有振動数!$Q$6:$Q$22*(1-($A675/固有振動数!$O$6:$O$22)^2)/((1-($A675/固有振動数!$O$6:$O$22)^2)^2+固有振動数!$P$6:$P$22^2))</f>
        <v>10.5096299959945</v>
      </c>
      <c r="C675" s="127" t="n">
        <f aca="false">-SUMPRODUCT(固有振動数!$Q$6:$Q$22*固有振動数!$P$6:$P$22/((1-($A675/固有振動数!$O$6:$O$22)^2)^2+固有振動数!$P$6:$P$22^2))</f>
        <v>-1.32935912672684</v>
      </c>
      <c r="D675" s="128" t="n">
        <f aca="false">SQRT(B675^2+C675^2)</f>
        <v>10.5933714340865</v>
      </c>
      <c r="E675" s="129" t="n">
        <f aca="false">20*LOG10(MAX(D675,0.000000000001)/$K$3)</f>
        <v>20.5006840032802</v>
      </c>
    </row>
    <row r="676" customFormat="false" ht="15" hidden="false" customHeight="false" outlineLevel="0" collapsed="false">
      <c r="A676" s="122" t="n">
        <f aca="false">A675+$F$3</f>
        <v>6700</v>
      </c>
      <c r="B676" s="123" t="n">
        <f aca="false">SUMPRODUCT(固有振動数!$Q$6:$Q$22*(1-($A676/固有振動数!$O$6:$O$22)^2)/((1-($A676/固有振動数!$O$6:$O$22)^2)^2+固有振動数!$P$6:$P$22^2))</f>
        <v>10.650884920314</v>
      </c>
      <c r="C676" s="123" t="n">
        <f aca="false">-SUMPRODUCT(固有振動数!$Q$6:$Q$22*固有振動数!$P$6:$P$22/((1-($A676/固有振動数!$O$6:$O$22)^2)^2+固有振動数!$P$6:$P$22^2))</f>
        <v>-1.30667501963639</v>
      </c>
      <c r="D676" s="124" t="n">
        <f aca="false">SQRT(B676^2+C676^2)</f>
        <v>10.7307385203775</v>
      </c>
      <c r="E676" s="125" t="n">
        <f aca="false">20*LOG10(MAX(D676,0.000000000001)/$K$3)</f>
        <v>20.6125922478698</v>
      </c>
    </row>
    <row r="677" customFormat="false" ht="15" hidden="false" customHeight="false" outlineLevel="0" collapsed="false">
      <c r="A677" s="126" t="n">
        <f aca="false">A676+$F$3</f>
        <v>6710</v>
      </c>
      <c r="B677" s="127" t="n">
        <f aca="false">SUMPRODUCT(固有振動数!$Q$6:$Q$22*(1-($A677/固有振動数!$O$6:$O$22)^2)/((1-($A677/固有振動数!$O$6:$O$22)^2)^2+固有振動数!$P$6:$P$22^2))</f>
        <v>10.7887785246223</v>
      </c>
      <c r="C677" s="127" t="n">
        <f aca="false">-SUMPRODUCT(固有振動数!$Q$6:$Q$22*固有振動数!$P$6:$P$22/((1-($A677/固有振動数!$O$6:$O$22)^2)^2+固有振動数!$P$6:$P$22^2))</f>
        <v>-1.28531283537869</v>
      </c>
      <c r="D677" s="128" t="n">
        <f aca="false">SQRT(B677^2+C677^2)</f>
        <v>10.8650711520054</v>
      </c>
      <c r="E677" s="129" t="n">
        <f aca="false">20*LOG10(MAX(D677,0.000000000001)/$K$3)</f>
        <v>20.7206514945338</v>
      </c>
    </row>
    <row r="678" customFormat="false" ht="15" hidden="false" customHeight="false" outlineLevel="0" collapsed="false">
      <c r="A678" s="122" t="n">
        <f aca="false">A677+$F$3</f>
        <v>6720</v>
      </c>
      <c r="B678" s="123" t="n">
        <f aca="false">SUMPRODUCT(固有振動数!$Q$6:$Q$22*(1-($A678/固有振動数!$O$6:$O$22)^2)/((1-($A678/固有振動数!$O$6:$O$22)^2)^2+固有振動数!$P$6:$P$22^2))</f>
        <v>10.9234835835595</v>
      </c>
      <c r="C678" s="123" t="n">
        <f aca="false">-SUMPRODUCT(固有振動数!$Q$6:$Q$22*固有振動数!$P$6:$P$22/((1-($A678/固有振動数!$O$6:$O$22)^2)^2+固有振動数!$P$6:$P$22^2))</f>
        <v>-1.26518544123507</v>
      </c>
      <c r="D678" s="124" t="n">
        <f aca="false">SQRT(B678^2+C678^2)</f>
        <v>10.9965079821281</v>
      </c>
      <c r="E678" s="125" t="n">
        <f aca="false">20*LOG10(MAX(D678,0.000000000001)/$K$3)</f>
        <v>20.8250958761377</v>
      </c>
    </row>
    <row r="679" customFormat="false" ht="15" hidden="false" customHeight="false" outlineLevel="0" collapsed="false">
      <c r="A679" s="126" t="n">
        <f aca="false">A678+$F$3</f>
        <v>6730</v>
      </c>
      <c r="B679" s="127" t="n">
        <f aca="false">SUMPRODUCT(固有振動数!$Q$6:$Q$22*(1-($A679/固有振動数!$O$6:$O$22)^2)/((1-($A679/固有振動数!$O$6:$O$22)^2)^2+固有振動数!$P$6:$P$22^2))</f>
        <v>11.0551622023162</v>
      </c>
      <c r="C679" s="127" t="n">
        <f aca="false">-SUMPRODUCT(固有振動数!$Q$6:$Q$22*固有振動数!$P$6:$P$22/((1-($A679/固有振動数!$O$6:$O$22)^2)^2+固有振動数!$P$6:$P$22^2))</f>
        <v>-1.24621297488457</v>
      </c>
      <c r="D679" s="128" t="n">
        <f aca="false">SQRT(B679^2+C679^2)</f>
        <v>11.1251812613679</v>
      </c>
      <c r="E679" s="129" t="n">
        <f aca="false">20*LOG10(MAX(D679,0.000000000001)/$K$3)</f>
        <v>20.9261419124671</v>
      </c>
    </row>
    <row r="680" customFormat="false" ht="15" hidden="false" customHeight="false" outlineLevel="0" collapsed="false">
      <c r="A680" s="122" t="n">
        <f aca="false">A679+$F$3</f>
        <v>6740</v>
      </c>
      <c r="B680" s="123" t="n">
        <f aca="false">SUMPRODUCT(固有振動数!$Q$6:$Q$22*(1-($A680/固有振動数!$O$6:$O$22)^2)/((1-($A680/固有振動数!$O$6:$O$22)^2)^2+固有振動数!$P$6:$P$22^2))</f>
        <v>11.1839666353752</v>
      </c>
      <c r="C680" s="123" t="n">
        <f aca="false">-SUMPRODUCT(固有振動数!$Q$6:$Q$22*固有振動数!$P$6:$P$22/((1-($A680/固有振動数!$O$6:$O$22)^2)^2+固有振動数!$P$6:$P$22^2))</f>
        <v>-1.22832213627711</v>
      </c>
      <c r="D680" s="124" t="n">
        <f aca="false">SQRT(B680^2+C680^2)</f>
        <v>11.2512170440204</v>
      </c>
      <c r="E680" s="125" t="n">
        <f aca="false">20*LOG10(MAX(D680,0.000000000001)/$K$3)</f>
        <v>21.0239900523509</v>
      </c>
    </row>
    <row r="681" customFormat="false" ht="15" hidden="false" customHeight="false" outlineLevel="0" collapsed="false">
      <c r="A681" s="126" t="n">
        <f aca="false">A680+$F$3</f>
        <v>6750</v>
      </c>
      <c r="B681" s="127" t="n">
        <f aca="false">SUMPRODUCT(固有振動数!$Q$6:$Q$22*(1-($A681/固有振動数!$O$6:$O$22)^2)/((1-($A681/固有振動数!$O$6:$O$22)^2)^2+固有振動数!$P$6:$P$22^2))</f>
        <v>11.3100400328583</v>
      </c>
      <c r="C681" s="127" t="n">
        <f aca="false">-SUMPRODUCT(固有振動数!$Q$6:$Q$22*固有振動数!$P$6:$P$22/((1-($A681/固有振動数!$O$6:$O$22)^2)^2+固有振動数!$P$6:$P$22^2))</f>
        <v>-1.21144555847115</v>
      </c>
      <c r="D681" s="128" t="n">
        <f aca="false">SQRT(B681^2+C681^2)</f>
        <v>11.3747354204833</v>
      </c>
      <c r="E681" s="129" t="n">
        <f aca="false">20*LOG10(MAX(D681,0.000000000001)/$K$3)</f>
        <v>21.1188260727184</v>
      </c>
    </row>
    <row r="682" customFormat="false" ht="15" hidden="false" customHeight="false" outlineLevel="0" collapsed="false">
      <c r="A682" s="122" t="n">
        <f aca="false">A681+$F$3</f>
        <v>6760</v>
      </c>
      <c r="B682" s="123" t="n">
        <f aca="false">SUMPRODUCT(固有振動数!$Q$6:$Q$22*(1-($A682/固有振動数!$O$6:$O$22)^2)/((1-($A682/固有振動数!$O$6:$O$22)^2)^2+固有振動数!$P$6:$P$22^2))</f>
        <v>11.4335171216562</v>
      </c>
      <c r="C682" s="123" t="n">
        <f aca="false">-SUMPRODUCT(固有振動数!$Q$6:$Q$22*固有振動数!$P$6:$P$22/((1-($A682/固有振動数!$O$6:$O$22)^2)^2+固有振動数!$P$6:$P$22^2))</f>
        <v>-1.19552124758283</v>
      </c>
      <c r="D682" s="124" t="n">
        <f aca="false">SQRT(B682^2+C682^2)</f>
        <v>11.4958507655862</v>
      </c>
      <c r="E682" s="125" t="n">
        <f aca="false">20*LOG10(MAX(D682,0.000000000001)/$K$3)</f>
        <v>21.2108223466029</v>
      </c>
    </row>
    <row r="683" customFormat="false" ht="15" hidden="false" customHeight="false" outlineLevel="0" collapsed="false">
      <c r="A683" s="126" t="n">
        <f aca="false">A682+$F$3</f>
        <v>6770</v>
      </c>
      <c r="B683" s="127" t="n">
        <f aca="false">SUMPRODUCT(固有振動数!$Q$6:$Q$22*(1-($A683/固有振動数!$O$6:$O$22)^2)/((1-($A683/固有振動数!$O$6:$O$22)^2)^2+固有振動数!$P$6:$P$22^2))</f>
        <v>11.5545248277481</v>
      </c>
      <c r="C683" s="127" t="n">
        <f aca="false">-SUMPRODUCT(固有振動数!$Q$6:$Q$22*固有振動数!$P$6:$P$22/((1-($A683/固有振動数!$O$6:$O$22)^2)^2+固有振動数!$P$6:$P$22^2))</f>
        <v>-1.18049208334883</v>
      </c>
      <c r="D683" s="128" t="n">
        <f aca="false">SQRT(B683^2+C683^2)</f>
        <v>11.6146719951058</v>
      </c>
      <c r="E683" s="129" t="n">
        <f aca="false">20*LOG10(MAX(D683,0.000000000001)/$K$3)</f>
        <v>21.3001389917617</v>
      </c>
    </row>
    <row r="684" customFormat="false" ht="15" hidden="false" customHeight="false" outlineLevel="0" collapsed="false">
      <c r="A684" s="122" t="n">
        <f aca="false">A683+$F$3</f>
        <v>6780</v>
      </c>
      <c r="B684" s="123" t="n">
        <f aca="false">SUMPRODUCT(固有振動数!$Q$6:$Q$22*(1-($A684/固有振動数!$O$6:$O$22)^2)/((1-($A684/固有振動数!$O$6:$O$22)^2)^2+固有振動数!$P$6:$P$22^2))</f>
        <v>11.6731828454265</v>
      </c>
      <c r="C684" s="123" t="n">
        <f aca="false">-SUMPRODUCT(固有振動数!$Q$6:$Q$22*固有振動数!$P$6:$P$22/((1-($A684/固有振動数!$O$6:$O$22)^2)^2+固有振動数!$P$6:$P$22^2))</f>
        <v>-1.16630537295745</v>
      </c>
      <c r="D684" s="124" t="n">
        <f aca="false">SQRT(B684^2+C684^2)</f>
        <v>11.7313028247399</v>
      </c>
      <c r="E684" s="125" t="n">
        <f aca="false">20*LOG10(MAX(D684,0.000000000001)/$K$3)</f>
        <v>21.3869249109826</v>
      </c>
    </row>
    <row r="685" customFormat="false" ht="15" hidden="false" customHeight="false" outlineLevel="0" collapsed="false">
      <c r="A685" s="126" t="n">
        <f aca="false">A684+$F$3</f>
        <v>6790</v>
      </c>
      <c r="B685" s="127" t="n">
        <f aca="false">SUMPRODUCT(固有振動数!$Q$6:$Q$22*(1-($A685/固有振動数!$O$6:$O$22)^2)/((1-($A685/固有振動数!$O$6:$O$22)^2)^2+固有振動数!$P$6:$P$22^2))</f>
        <v>11.7896041585411</v>
      </c>
      <c r="C685" s="127" t="n">
        <f aca="false">-SUMPRODUCT(固有振動数!$Q$6:$Q$22*固有振動数!$P$6:$P$22/((1-($A685/固有振動数!$O$6:$O$22)^2)^2+固有振動数!$P$6:$P$22^2))</f>
        <v>-1.15291245178463</v>
      </c>
      <c r="D685" s="128" t="n">
        <f aca="false">SQRT(B685^2+C685^2)</f>
        <v>11.8458420273347</v>
      </c>
      <c r="E685" s="129" t="n">
        <f aca="false">20*LOG10(MAX(D685,0.000000000001)/$K$3)</f>
        <v>21.4713187344012</v>
      </c>
    </row>
    <row r="686" customFormat="false" ht="15" hidden="false" customHeight="false" outlineLevel="0" collapsed="false">
      <c r="A686" s="122" t="n">
        <f aca="false">A685+$F$3</f>
        <v>6800</v>
      </c>
      <c r="B686" s="123" t="n">
        <f aca="false">SUMPRODUCT(固有振動数!$Q$6:$Q$22*(1-($A686/固有振動数!$O$6:$O$22)^2)/((1-($A686/固有振動数!$O$6:$O$22)^2)^2+固有振動数!$P$6:$P$22^2))</f>
        <v>11.9038955183303</v>
      </c>
      <c r="C686" s="123" t="n">
        <f aca="false">-SUMPRODUCT(固有振動数!$Q$6:$Q$22*固有振動数!$P$6:$P$22/((1-($A686/固有振動数!$O$6:$O$22)^2)^2+固有振動数!$P$6:$P$22^2))</f>
        <v>-1.14026832551048</v>
      </c>
      <c r="D686" s="124" t="n">
        <f aca="false">SQRT(B686^2+C686^2)</f>
        <v>11.9583836853266</v>
      </c>
      <c r="E686" s="125" t="n">
        <f aca="false">20*LOG10(MAX(D686,0.000000000001)/$K$3)</f>
        <v>21.5534496733483</v>
      </c>
    </row>
    <row r="687" customFormat="false" ht="15" hidden="false" customHeight="false" outlineLevel="0" collapsed="false">
      <c r="A687" s="126" t="n">
        <f aca="false">A686+$F$3</f>
        <v>6810</v>
      </c>
      <c r="B687" s="127" t="n">
        <f aca="false">SUMPRODUCT(固有振動数!$Q$6:$Q$22*(1-($A687/固有振動数!$O$6:$O$22)^2)/((1-($A687/固有振動数!$O$6:$O$22)^2)^2+固有振動数!$P$6:$P$22^2))</f>
        <v>12.0161578819365</v>
      </c>
      <c r="C687" s="127" t="n">
        <f aca="false">-SUMPRODUCT(固有振動数!$Q$6:$Q$22*固有振動数!$P$6:$P$22/((1-($A687/固有振動数!$O$6:$O$22)^2)^2+固有振動数!$P$6:$P$22^2))</f>
        <v>-1.12833134881048</v>
      </c>
      <c r="D687" s="128" t="n">
        <f aca="false">SQRT(B687^2+C687^2)</f>
        <v>12.0690174362428</v>
      </c>
      <c r="E687" s="129" t="n">
        <f aca="false">20*LOG10(MAX(D687,0.000000000001)/$K$3)</f>
        <v>21.6334382944283</v>
      </c>
    </row>
    <row r="688" customFormat="false" ht="15" hidden="false" customHeight="false" outlineLevel="0" collapsed="false">
      <c r="A688" s="122" t="n">
        <f aca="false">A687+$F$3</f>
        <v>6820</v>
      </c>
      <c r="B688" s="123" t="n">
        <f aca="false">SUMPRODUCT(固有振動数!$Q$6:$Q$22*(1-($A688/固有振動数!$O$6:$O$22)^2)/((1-($A688/固有振動数!$O$6:$O$22)^2)^2+固有振動数!$P$6:$P$22^2))</f>
        <v>12.1264868152727</v>
      </c>
      <c r="C688" s="123" t="n">
        <f aca="false">-SUMPRODUCT(固有振動数!$Q$6:$Q$22*固有振動数!$P$6:$P$22/((1-($A688/固有振動数!$O$6:$O$22)^2)^2+固有振動数!$P$6:$P$22^2))</f>
        <v>-1.11706293643195</v>
      </c>
      <c r="D688" s="124" t="n">
        <f aca="false">SQRT(B688^2+C688^2)</f>
        <v>12.1778287097879</v>
      </c>
      <c r="E688" s="125" t="n">
        <f aca="false">20*LOG10(MAX(D688,0.000000000001)/$K$3)</f>
        <v>21.7113972217356</v>
      </c>
    </row>
    <row r="689" customFormat="false" ht="15" hidden="false" customHeight="false" outlineLevel="0" collapsed="false">
      <c r="A689" s="126" t="n">
        <f aca="false">A688+$F$3</f>
        <v>6830</v>
      </c>
      <c r="B689" s="127" t="n">
        <f aca="false">SUMPRODUCT(固有振動数!$Q$6:$Q$22*(1-($A689/固有振動数!$O$6:$O$22)^2)/((1-($A689/固有振動数!$O$6:$O$22)^2)^2+固有振動数!$P$6:$P$22^2))</f>
        <v>12.2349728635331</v>
      </c>
      <c r="C689" s="127" t="n">
        <f aca="false">-SUMPRODUCT(固有振動数!$Q$6:$Q$22*固有振動数!$P$6:$P$22/((1-($A689/固有振動数!$O$6:$O$22)^2)^2+固有振動数!$P$6:$P$22^2))</f>
        <v>-1.10642730299678</v>
      </c>
      <c r="D689" s="128" t="n">
        <f aca="false">SQRT(B689^2+C689^2)</f>
        <v>12.2848989555555</v>
      </c>
      <c r="E689" s="129" t="n">
        <f aca="false">20*LOG10(MAX(D689,0.000000000001)/$K$3)</f>
        <v>21.78743177436</v>
      </c>
    </row>
    <row r="690" customFormat="false" ht="15" hidden="false" customHeight="false" outlineLevel="0" collapsed="false">
      <c r="A690" s="122" t="n">
        <f aca="false">A689+$F$3</f>
        <v>6840</v>
      </c>
      <c r="B690" s="123" t="n">
        <f aca="false">SUMPRODUCT(固有振動数!$Q$6:$Q$22*(1-($A690/固有振動数!$O$6:$O$22)^2)/((1-($A690/固有振動数!$O$6:$O$22)^2)^2+固有振動数!$P$6:$P$22^2))</f>
        <v>12.3417018923036</v>
      </c>
      <c r="C690" s="123" t="n">
        <f aca="false">-SUMPRODUCT(固有振動数!$Q$6:$Q$22*固有振動数!$P$6:$P$22/((1-($A690/固有振動数!$O$6:$O$22)^2)^2+固有振動数!$P$6:$P$22^2))</f>
        <v>-1.09639122832824</v>
      </c>
      <c r="D690" s="124" t="n">
        <f aca="false">SQRT(B690^2+C690^2)</f>
        <v>12.3903058607948</v>
      </c>
      <c r="E690" s="125" t="n">
        <f aca="false">20*LOG10(MAX(D690,0.000000000001)/$K$3)</f>
        <v>21.861640545626</v>
      </c>
    </row>
    <row r="691" customFormat="false" ht="15" hidden="false" customHeight="false" outlineLevel="0" collapsed="false">
      <c r="A691" s="126" t="n">
        <f aca="false">A690+$F$3</f>
        <v>6850</v>
      </c>
      <c r="B691" s="127" t="n">
        <f aca="false">SUMPRODUCT(固有振動数!$Q$6:$Q$22*(1-($A691/固有振動数!$O$6:$O$22)^2)/((1-($A691/固有振動数!$O$6:$O$22)^2)^2+固有振動数!$P$6:$P$22^2))</f>
        <v>12.4467554019323</v>
      </c>
      <c r="C691" s="127" t="n">
        <f aca="false">-SUMPRODUCT(固有振動数!$Q$6:$Q$22*固有振動数!$P$6:$P$22/((1-($A691/固有振動数!$O$6:$O$22)^2)^2+固有振動数!$P$6:$P$22^2))</f>
        <v>-1.08692384549482</v>
      </c>
      <c r="D691" s="128" t="n">
        <f aca="false">SQRT(B691^2+C691^2)</f>
        <v>12.4941235579546</v>
      </c>
      <c r="E691" s="129" t="n">
        <f aca="false">20*LOG10(MAX(D691,0.000000000001)/$K$3)</f>
        <v>21.934115929867</v>
      </c>
    </row>
    <row r="692" customFormat="false" ht="15" hidden="false" customHeight="false" outlineLevel="0" collapsed="false">
      <c r="A692" s="122" t="n">
        <f aca="false">A691+$F$3</f>
        <v>6860</v>
      </c>
      <c r="B692" s="123" t="n">
        <f aca="false">SUMPRODUCT(固有振動数!$Q$6:$Q$22*(1-($A692/固有振動数!$O$6:$O$22)^2)/((1-($A692/固有振動数!$O$6:$O$22)^2)^2+固有振動数!$P$6:$P$22^2))</f>
        <v>12.5502108175504</v>
      </c>
      <c r="C692" s="123" t="n">
        <f aca="false">-SUMPRODUCT(固有振動数!$Q$6:$Q$22*固有振動数!$P$6:$P$22/((1-($A692/固有振動数!$O$6:$O$22)^2)^2+固有振動数!$P$6:$P$22^2))</f>
        <v>-1.07799644910508</v>
      </c>
      <c r="D692" s="124" t="n">
        <f aca="false">SQRT(B692^2+C692^2)</f>
        <v>12.596422821946</v>
      </c>
      <c r="E692" s="125" t="n">
        <f aca="false">20*LOG10(MAX(D692,0.000000000001)/$K$3)</f>
        <v>22.0049446019386</v>
      </c>
    </row>
    <row r="693" customFormat="false" ht="15" hidden="false" customHeight="false" outlineLevel="0" collapsed="false">
      <c r="A693" s="126" t="n">
        <f aca="false">A692+$F$3</f>
        <v>6870</v>
      </c>
      <c r="B693" s="127" t="n">
        <f aca="false">SUMPRODUCT(固有振動数!$Q$6:$Q$22*(1-($A693/固有振動数!$O$6:$O$22)^2)/((1-($A693/固有振動数!$O$6:$O$22)^2)^2+固有振動数!$P$6:$P$22^2))</f>
        <v>12.6521417569013</v>
      </c>
      <c r="C693" s="127" t="n">
        <f aca="false">-SUMPRODUCT(固有振動数!$Q$6:$Q$22*固有振動数!$P$6:$P$22/((1-($A693/固有振動数!$O$6:$O$22)^2)^2+固有振動数!$P$6:$P$22^2))</f>
        <v>-1.0695823216843</v>
      </c>
      <c r="D693" s="128" t="n">
        <f aca="false">SQRT(B693^2+C693^2)</f>
        <v>12.6972712572263</v>
      </c>
      <c r="E693" s="129" t="n">
        <f aca="false">20*LOG10(MAX(D693,0.000000000001)/$K$3)</f>
        <v>22.0742079541407</v>
      </c>
    </row>
    <row r="694" customFormat="false" ht="15" hidden="false" customHeight="false" outlineLevel="0" collapsed="false">
      <c r="A694" s="122" t="n">
        <f aca="false">A693+$F$3</f>
        <v>6880</v>
      </c>
      <c r="B694" s="123" t="n">
        <f aca="false">SUMPRODUCT(固有振動数!$Q$6:$Q$22*(1-($A694/固有振動数!$O$6:$O$22)^2)/((1-($A694/固有振動数!$O$6:$O$22)^2)^2+固有振動数!$P$6:$P$22^2))</f>
        <v>12.7526182779206</v>
      </c>
      <c r="C694" s="123" t="n">
        <f aca="false">-SUMPRODUCT(固有振動数!$Q$6:$Q$22*固有振動数!$P$6:$P$22/((1-($A694/固有振動数!$O$6:$O$22)^2)^2+固有振動数!$P$6:$P$22^2))</f>
        <v>-1.06165657622058</v>
      </c>
      <c r="D694" s="124" t="n">
        <f aca="false">SQRT(B694^2+C694^2)</f>
        <v>12.7967334749219</v>
      </c>
      <c r="E694" s="125" t="n">
        <f aca="false">20*LOG10(MAX(D694,0.000000000001)/$K$3)</f>
        <v>22.141982494734</v>
      </c>
    </row>
    <row r="695" customFormat="false" ht="15" hidden="false" customHeight="false" outlineLevel="0" collapsed="false">
      <c r="A695" s="126" t="n">
        <f aca="false">A694+$F$3</f>
        <v>6890</v>
      </c>
      <c r="B695" s="127" t="n">
        <f aca="false">SUMPRODUCT(固有振動数!$Q$6:$Q$22*(1-($A695/固有振動数!$O$6:$O$22)^2)/((1-($A695/固有振動数!$O$6:$O$22)^2)^2+固有振動数!$P$6:$P$22^2))</f>
        <v>12.8517071078242</v>
      </c>
      <c r="C695" s="127" t="n">
        <f aca="false">-SUMPRODUCT(固有振動数!$Q$6:$Q$22*固有振動数!$P$6:$P$22/((1-($A695/固有振動数!$O$6:$O$22)^2)^2+固有振動数!$P$6:$P$22^2))</f>
        <v>-1.05419601319235</v>
      </c>
      <c r="D695" s="128" t="n">
        <f aca="false">SQRT(B695^2+C695^2)</f>
        <v>12.8948712602929</v>
      </c>
      <c r="E695" s="129" t="n">
        <f aca="false">20*LOG10(MAX(D695,0.000000000001)/$K$3)</f>
        <v>22.2083402118002</v>
      </c>
    </row>
    <row r="696" customFormat="false" ht="15" hidden="false" customHeight="false" outlineLevel="0" collapsed="false">
      <c r="A696" s="122" t="n">
        <f aca="false">A695+$F$3</f>
        <v>6900</v>
      </c>
      <c r="B696" s="123" t="n">
        <f aca="false">SUMPRODUCT(固有振動数!$Q$6:$Q$22*(1-($A696/固有振動数!$O$6:$O$22)^2)/((1-($A696/固有振動数!$O$6:$O$22)^2)^2+固有振動数!$P$6:$P$22^2))</f>
        <v>12.9494718552893</v>
      </c>
      <c r="C696" s="123" t="n">
        <f aca="false">-SUMPRODUCT(固有振動数!$Q$6:$Q$22*固有振動数!$P$6:$P$22/((1-($A696/固有振動数!$O$6:$O$22)^2)^2+固有振動数!$P$6:$P$22^2))</f>
        <v>-1.04717899058445</v>
      </c>
      <c r="D696" s="124" t="n">
        <f aca="false">SQRT(B696^2+C696^2)</f>
        <v>12.991743730895</v>
      </c>
      <c r="E696" s="125" t="n">
        <f aca="false">20*LOG10(MAX(D696,0.000000000001)/$K$3)</f>
        <v>22.2733489058055</v>
      </c>
    </row>
    <row r="697" customFormat="false" ht="15" hidden="false" customHeight="false" outlineLevel="0" collapsed="false">
      <c r="A697" s="126" t="n">
        <f aca="false">A696+$F$3</f>
        <v>6910</v>
      </c>
      <c r="B697" s="127" t="n">
        <f aca="false">SUMPRODUCT(固有振動数!$Q$6:$Q$22*(1-($A697/固有振動数!$O$6:$O$22)^2)/((1-($A697/固有振動数!$O$6:$O$22)^2)^2+固有振動数!$P$6:$P$22^2))</f>
        <v>13.0459732071661</v>
      </c>
      <c r="C697" s="127" t="n">
        <f aca="false">-SUMPRODUCT(固有振動数!$Q$6:$Q$22*固有振動数!$P$6:$P$22/((1-($A697/固有振動数!$O$6:$O$22)^2)^2+固有振動数!$P$6:$P$22^2))</f>
        <v>-1.04058530557035</v>
      </c>
      <c r="D697" s="128" t="n">
        <f aca="false">SQRT(B697^2+C697^2)</f>
        <v>13.087407485834</v>
      </c>
      <c r="E697" s="129" t="n">
        <f aca="false">20*LOG10(MAX(D697,0.000000000001)/$K$3)</f>
        <v>22.3370724938773</v>
      </c>
    </row>
    <row r="698" customFormat="false" ht="15" hidden="false" customHeight="false" outlineLevel="0" collapsed="false">
      <c r="A698" s="122" t="n">
        <f aca="false">A697+$F$3</f>
        <v>6920</v>
      </c>
      <c r="B698" s="123" t="n">
        <f aca="false">SUMPRODUCT(固有振動数!$Q$6:$Q$22*(1-($A698/固有振動数!$O$6:$O$22)^2)/((1-($A698/固有振動数!$O$6:$O$22)^2)^2+固有振動数!$P$6:$P$22^2))</f>
        <v>13.1412691110187</v>
      </c>
      <c r="C698" s="123" t="n">
        <f aca="false">-SUMPRODUCT(固有振動数!$Q$6:$Q$22*固有振動数!$P$6:$P$22/((1-($A698/固有振動数!$O$6:$O$22)^2)^2+固有振動数!$P$6:$P$22^2))</f>
        <v>-1.03439608668792</v>
      </c>
      <c r="D698" s="124" t="n">
        <f aca="false">SQRT(B698^2+C698^2)</f>
        <v>13.181916746527</v>
      </c>
      <c r="E698" s="125" t="n">
        <f aca="false">20*LOG10(MAX(D698,0.000000000001)/$K$3)</f>
        <v>22.3995712884922</v>
      </c>
    </row>
    <row r="699" customFormat="false" ht="15" hidden="false" customHeight="false" outlineLevel="0" collapsed="false">
      <c r="A699" s="126" t="n">
        <f aca="false">A698+$F$3</f>
        <v>6930</v>
      </c>
      <c r="B699" s="127" t="n">
        <f aca="false">SUMPRODUCT(固有振動数!$Q$6:$Q$22*(1-($A699/固有振動数!$O$6:$O$22)^2)/((1-($A699/固有振動数!$O$6:$O$22)^2)^2+固有振動数!$P$6:$P$22^2))</f>
        <v>13.2354149446749</v>
      </c>
      <c r="C699" s="127" t="n">
        <f aca="false">-SUMPRODUCT(固有振動数!$Q$6:$Q$22*固有振動数!$P$6:$P$22/((1-($A699/固有振動数!$O$6:$O$22)^2)^2+固有振動数!$P$6:$P$22^2))</f>
        <v>-1.02859369546633</v>
      </c>
      <c r="D699" s="128" t="n">
        <f aca="false">SQRT(B699^2+C699^2)</f>
        <v>13.2753234893948</v>
      </c>
      <c r="E699" s="129" t="n">
        <f aca="false">20*LOG10(MAX(D699,0.000000000001)/$K$3)</f>
        <v>22.4609022529946</v>
      </c>
    </row>
    <row r="700" customFormat="false" ht="15" hidden="false" customHeight="false" outlineLevel="0" collapsed="false">
      <c r="A700" s="122" t="n">
        <f aca="false">A699+$F$3</f>
        <v>6940</v>
      </c>
      <c r="B700" s="123" t="n">
        <f aca="false">SUMPRODUCT(固有振動数!$Q$6:$Q$22*(1-($A700/固有振動数!$O$6:$O$22)^2)/((1-($A700/固有振動数!$O$6:$O$22)^2)^2+固有振動数!$P$6:$P$22^2))</f>
        <v>13.3284636738551</v>
      </c>
      <c r="C700" s="123" t="n">
        <f aca="false">-SUMPRODUCT(固有振動数!$Q$6:$Q$22*固有振動数!$P$6:$P$22/((1-($A700/固有振動数!$O$6:$O$22)^2)^2+固有振動数!$P$6:$P$22^2))</f>
        <v>-1.02316163657715</v>
      </c>
      <c r="D700" s="124" t="n">
        <f aca="false">SQRT(B700^2+C700^2)</f>
        <v>13.367677570911</v>
      </c>
      <c r="E700" s="125" t="n">
        <f aca="false">20*LOG10(MAX(D700,0.000000000001)/$K$3)</f>
        <v>22.5211192361165</v>
      </c>
    </row>
    <row r="701" customFormat="false" ht="15" hidden="false" customHeight="false" outlineLevel="0" collapsed="false">
      <c r="A701" s="126" t="n">
        <f aca="false">A700+$F$3</f>
        <v>6950</v>
      </c>
      <c r="B701" s="127" t="n">
        <f aca="false">SUMPRODUCT(固有振動数!$Q$6:$Q$22*(1-($A701/固有振動数!$O$6:$O$22)^2)/((1-($A701/固有振動数!$O$6:$O$22)^2)^2+固有振動数!$P$6:$P$22^2))</f>
        <v>13.4204659988514</v>
      </c>
      <c r="C701" s="127" t="n">
        <f aca="false">-SUMPRODUCT(固有振動数!$Q$6:$Q$22*固有振動数!$P$6:$P$22/((1-($A701/固有振動数!$O$6:$O$22)^2)^2+固有振動数!$P$6:$P$22^2))</f>
        <v>-1.01808447568337</v>
      </c>
      <c r="D701" s="128" t="n">
        <f aca="false">SQRT(B701^2+C701^2)</f>
        <v>13.4590268454281</v>
      </c>
      <c r="E701" s="129" t="n">
        <f aca="false">20*LOG10(MAX(D701,0.000000000001)/$K$3)</f>
        <v>22.5802731874478</v>
      </c>
    </row>
    <row r="702" customFormat="false" ht="15" hidden="false" customHeight="false" outlineLevel="0" collapsed="false">
      <c r="A702" s="122" t="n">
        <f aca="false">A701+$F$3</f>
        <v>6960</v>
      </c>
      <c r="B702" s="123" t="n">
        <f aca="false">SUMPRODUCT(固有振動数!$Q$6:$Q$22*(1-($A702/固有振動数!$O$6:$O$22)^2)/((1-($A702/固有振動数!$O$6:$O$22)^2)^2+固有振動数!$P$6:$P$22^2))</f>
        <v>13.5114704911421</v>
      </c>
      <c r="C702" s="123" t="n">
        <f aca="false">-SUMPRODUCT(固有振動数!$Q$6:$Q$22*固有振動数!$P$6:$P$22/((1-($A702/固有振動数!$O$6:$O$22)^2)^2+固有振動数!$P$6:$P$22^2))</f>
        <v>-1.01334776424933</v>
      </c>
      <c r="D702" s="124" t="n">
        <f aca="false">SQRT(B702^2+C702^2)</f>
        <v>13.5494172761898</v>
      </c>
      <c r="E702" s="125" t="n">
        <f aca="false">20*LOG10(MAX(D702,0.000000000001)/$K$3)</f>
        <v>22.6384123556075</v>
      </c>
    </row>
    <row r="703" customFormat="false" ht="15" hidden="false" customHeight="false" outlineLevel="0" collapsed="false">
      <c r="A703" s="126" t="n">
        <f aca="false">A702+$F$3</f>
        <v>6970</v>
      </c>
      <c r="B703" s="127" t="n">
        <f aca="false">SUMPRODUCT(固有振動数!$Q$6:$Q$22*(1-($A703/固有振動数!$O$6:$O$22)^2)/((1-($A703/固有振動数!$O$6:$O$22)^2)^2+固有振動数!$P$6:$P$22^2))</f>
        <v>13.6015237207446</v>
      </c>
      <c r="C703" s="127" t="n">
        <f aca="false">-SUMPRODUCT(固有振動数!$Q$6:$Q$22*固有振動数!$P$6:$P$22/((1-($A703/固有振動数!$O$6:$O$22)^2)^2+固有振動数!$P$6:$P$22^2))</f>
        <v>-1.00893797065275</v>
      </c>
      <c r="D703" s="128" t="n">
        <f aca="false">SQRT(B703^2+C703^2)</f>
        <v>13.6388930399283</v>
      </c>
      <c r="E703" s="129" t="n">
        <f aca="false">20*LOG10(MAX(D703,0.000000000001)/$K$3)</f>
        <v>22.6955824706915</v>
      </c>
    </row>
    <row r="704" customFormat="false" ht="15" hidden="false" customHeight="false" outlineLevel="0" collapsed="false">
      <c r="A704" s="122" t="n">
        <f aca="false">A703+$F$3</f>
        <v>6980</v>
      </c>
      <c r="B704" s="123" t="n">
        <f aca="false">SUMPRODUCT(固有振動数!$Q$6:$Q$22*(1-($A704/固有振動数!$O$6:$O$22)^2)/((1-($A704/固有振動数!$O$6:$O$22)^2)^2+固有振動数!$P$6:$P$22^2))</f>
        <v>13.6906703750424</v>
      </c>
      <c r="C704" s="123" t="n">
        <f aca="false">-SUMPRODUCT(固有振動数!$Q$6:$Q$22*固有振動数!$P$6:$P$22/((1-($A704/固有振動数!$O$6:$O$22)^2)^2+固有振動数!$P$6:$P$22^2))</f>
        <v>-1.00484241700985</v>
      </c>
      <c r="D704" s="124" t="n">
        <f aca="false">SQRT(B704^2+C704^2)</f>
        <v>13.7274966254261</v>
      </c>
      <c r="E704" s="125" t="n">
        <f aca="false">20*LOG10(MAX(D704,0.000000000001)/$K$3)</f>
        <v>22.7518269124121</v>
      </c>
    </row>
    <row r="705" customFormat="false" ht="15" hidden="false" customHeight="false" outlineLevel="0" collapsed="false">
      <c r="A705" s="126" t="n">
        <f aca="false">A704+$F$3</f>
        <v>6990</v>
      </c>
      <c r="B705" s="127" t="n">
        <f aca="false">SUMPRODUCT(固有振動数!$Q$6:$Q$22*(1-($A705/固有振動数!$O$6:$O$22)^2)/((1-($A705/固有振動数!$O$6:$O$22)^2)^2+固有振動数!$P$6:$P$22^2))</f>
        <v>13.7789533697517</v>
      </c>
      <c r="C705" s="127" t="n">
        <f aca="false">-SUMPRODUCT(固有振動数!$Q$6:$Q$22*固有振動数!$P$6:$P$22/((1-($A705/固有振動数!$O$6:$O$22)^2)^2+固有振動数!$P$6:$P$22^2))</f>
        <v>-1.00104922118536</v>
      </c>
      <c r="D705" s="128" t="n">
        <f aca="false">SQRT(B705^2+C705^2)</f>
        <v>13.8152689264099</v>
      </c>
      <c r="E705" s="129" t="n">
        <f aca="false">20*LOG10(MAX(D705,0.000000000001)/$K$3)</f>
        <v>22.8071868652086</v>
      </c>
    </row>
    <row r="706" customFormat="false" ht="15" hidden="false" customHeight="false" outlineLevel="0" collapsed="false">
      <c r="A706" s="122" t="n">
        <f aca="false">A705+$F$3</f>
        <v>7000</v>
      </c>
      <c r="B706" s="123" t="n">
        <f aca="false">SUMPRODUCT(固有振動数!$Q$6:$Q$22*(1-($A706/固有振動数!$O$6:$O$22)^2)/((1-($A706/固有振動数!$O$6:$O$22)^2)^2+固有振動数!$P$6:$P$22^2))</f>
        <v>13.8664139526413</v>
      </c>
      <c r="C706" s="123" t="n">
        <f aca="false">-SUMPRODUCT(固有振動数!$Q$6:$Q$22*固有振動数!$P$6:$P$22/((1-($A706/固有振動数!$O$6:$O$22)^2)^2+固有振動数!$P$6:$P$22^2))</f>
        <v>-0.997547243514197</v>
      </c>
      <c r="D706" s="124" t="n">
        <f aca="false">SQRT(B706^2+C706^2)</f>
        <v>13.9022493291211</v>
      </c>
      <c r="E706" s="125" t="n">
        <f aca="false">20*LOG10(MAX(D706,0.000000000001)/$K$3)</f>
        <v>22.8617014614762</v>
      </c>
    </row>
    <row r="707" customFormat="false" ht="15" hidden="false" customHeight="false" outlineLevel="0" collapsed="false">
      <c r="A707" s="126" t="n">
        <f aca="false">A706+$F$3</f>
        <v>7010</v>
      </c>
      <c r="B707" s="127" t="n">
        <f aca="false">SUMPRODUCT(固有振動数!$Q$6:$Q$22*(1-($A707/固有振動数!$O$6:$O$22)^2)/((1-($A707/固有振動数!$O$6:$O$22)^2)^2+固有振動数!$P$6:$P$22^2))</f>
        <v>13.9530918005613</v>
      </c>
      <c r="C707" s="127" t="n">
        <f aca="false">-SUMPRODUCT(固有振動数!$Q$6:$Q$22*固有振動数!$P$6:$P$22/((1-($A707/固有振動数!$O$6:$O$22)^2)^2+固有振動数!$P$6:$P$22^2))</f>
        <v>-0.994326037809281</v>
      </c>
      <c r="D707" s="128" t="n">
        <f aca="false">SQRT(B707^2+C707^2)</f>
        <v>13.9884757948947</v>
      </c>
      <c r="E707" s="129" t="n">
        <f aca="false">20*LOG10(MAX(D707,0.000000000001)/$K$3)</f>
        <v>22.9154079139553</v>
      </c>
    </row>
    <row r="708" customFormat="false" ht="15" hidden="false" customHeight="false" outlineLevel="0" collapsed="false">
      <c r="A708" s="122" t="n">
        <f aca="false">A707+$F$3</f>
        <v>7020</v>
      </c>
      <c r="B708" s="123" t="n">
        <f aca="false">SUMPRODUCT(固有振動数!$Q$6:$Q$22*(1-($A708/固有振動数!$O$6:$O$22)^2)/((1-($A708/固有振動数!$O$6:$O$22)^2)^2+固有振動数!$P$6:$P$22^2))</f>
        <v>14.0390251102924</v>
      </c>
      <c r="C708" s="123" t="n">
        <f aca="false">-SUMPRODUCT(固有振動数!$Q$6:$Q$22*固有振動数!$P$6:$P$22/((1-($A708/固有振動数!$O$6:$O$22)^2)^2+固有振動数!$P$6:$P$22^2))</f>
        <v>-0.991375806273314</v>
      </c>
      <c r="D708" s="124" t="n">
        <f aca="false">SQRT(B708^2+C708^2)</f>
        <v>14.073984938058</v>
      </c>
      <c r="E708" s="125" t="n">
        <f aca="false">20*LOG10(MAX(D708,0.000000000001)/$K$3)</f>
        <v>22.9683416382161</v>
      </c>
    </row>
    <row r="709" customFormat="false" ht="15" hidden="false" customHeight="false" outlineLevel="0" collapsed="false">
      <c r="A709" s="126" t="n">
        <f aca="false">A708+$F$3</f>
        <v>7030</v>
      </c>
      <c r="B709" s="127" t="n">
        <f aca="false">SUMPRODUCT(固有振動数!$Q$6:$Q$22*(1-($A709/固有振動数!$O$6:$O$22)^2)/((1-($A709/固有振動数!$O$6:$O$22)^2)^2+固有振動数!$P$6:$P$22^2))</f>
        <v>14.1242506836822</v>
      </c>
      <c r="C709" s="127" t="n">
        <f aca="false">-SUMPRODUCT(固有振動数!$Q$6:$Q$22*固有振動数!$P$6:$P$22/((1-($A709/固有振動数!$O$6:$O$22)^2)^2+固有振動数!$P$6:$P$22^2))</f>
        <v>-0.988687357970112</v>
      </c>
      <c r="D709" s="128" t="n">
        <f aca="false">SQRT(B709^2+C709^2)</f>
        <v>14.1588120994421</v>
      </c>
      <c r="E709" s="129" t="n">
        <f aca="false">20*LOG10(MAX(D709,0.000000000001)/$K$3)</f>
        <v>23.0205363660888</v>
      </c>
    </row>
    <row r="710" customFormat="false" ht="15" hidden="false" customHeight="false" outlineLevel="0" collapsed="false">
      <c r="A710" s="122" t="n">
        <f aca="false">A709+$F$3</f>
        <v>7040</v>
      </c>
      <c r="B710" s="123" t="n">
        <f aca="false">SUMPRODUCT(固有振動数!$Q$6:$Q$22*(1-($A710/固有振動数!$O$6:$O$22)^2)/((1-($A710/固有振動数!$O$6:$O$22)^2)^2+固有振動数!$P$6:$P$22^2))</f>
        <v>14.2088040074972</v>
      </c>
      <c r="C710" s="123" t="n">
        <f aca="false">-SUMPRODUCT(固有振動数!$Q$6:$Q$22*固有振動数!$P$6:$P$22/((1-($A710/固有振動数!$O$6:$O$22)^2)^2+固有振動数!$P$6:$P$22^2))</f>
        <v>-0.986252070545333</v>
      </c>
      <c r="D710" s="124" t="n">
        <f aca="false">SQRT(B710^2+C710^2)</f>
        <v>14.242991415785</v>
      </c>
      <c r="E710" s="125" t="n">
        <f aca="false">20*LOG10(MAX(D710,0.000000000001)/$K$3)</f>
        <v>23.072024250806</v>
      </c>
    </row>
    <row r="711" customFormat="false" ht="15" hidden="false" customHeight="false" outlineLevel="0" collapsed="false">
      <c r="A711" s="126" t="n">
        <f aca="false">A710+$F$3</f>
        <v>7050</v>
      </c>
      <c r="B711" s="127" t="n">
        <f aca="false">SUMPRODUCT(固有振動数!$Q$6:$Q$22*(1-($A711/固有振動数!$O$6:$O$22)^2)/((1-($A711/固有振動数!$O$6:$O$22)^2)^2+固有振動数!$P$6:$P$22^2))</f>
        <v>14.2927193283824</v>
      </c>
      <c r="C711" s="127" t="n">
        <f aca="false">-SUMPRODUCT(固有振動数!$Q$6:$Q$22*固有振動数!$P$6:$P$22/((1-($A711/固有振動数!$O$6:$O$22)^2)^2+固有振動数!$P$6:$P$22^2))</f>
        <v>-0.984061854916605</v>
      </c>
      <c r="D711" s="128" t="n">
        <f aca="false">SQRT(B711^2+C711^2)</f>
        <v>14.3265558852858</v>
      </c>
      <c r="E711" s="129" t="n">
        <f aca="false">20*LOG10(MAX(D711,0.000000000001)/$K$3)</f>
        <v>23.1228359645527</v>
      </c>
    </row>
    <row r="712" customFormat="false" ht="15" hidden="false" customHeight="false" outlineLevel="0" collapsed="false">
      <c r="A712" s="122" t="n">
        <f aca="false">A711+$F$3</f>
        <v>7060</v>
      </c>
      <c r="B712" s="123" t="n">
        <f aca="false">SUMPRODUCT(固有振動数!$Q$6:$Q$22*(1-($A712/固有振動数!$O$6:$O$22)^2)/((1-($A712/固有振動数!$O$6:$O$22)^2)^2+固有振動数!$P$6:$P$22^2))</f>
        <v>14.3760297232899</v>
      </c>
      <c r="C712" s="123" t="n">
        <f aca="false">-SUMPRODUCT(固有振動数!$Q$6:$Q$22*固有振動数!$P$6:$P$22/((1-($A712/固有振動数!$O$6:$O$22)^2)^2+固有振動数!$P$6:$P$22^2))</f>
        <v>-0.982109122680228</v>
      </c>
      <c r="D712" s="124" t="n">
        <f aca="false">SQRT(B712^2+C712^2)</f>
        <v>14.4095374295556</v>
      </c>
      <c r="E712" s="125" t="n">
        <f aca="false">20*LOG10(MAX(D712,0.000000000001)/$K$3)</f>
        <v>23.1730007890544</v>
      </c>
    </row>
    <row r="713" customFormat="false" ht="15" hidden="false" customHeight="false" outlineLevel="0" collapsed="false">
      <c r="A713" s="126" t="n">
        <f aca="false">A712+$F$3</f>
        <v>7070</v>
      </c>
      <c r="B713" s="127" t="n">
        <f aca="false">SUMPRODUCT(固有振動数!$Q$6:$Q$22*(1-($A713/固有振動数!$O$6:$O$22)^2)/((1-($A713/固有振動数!$O$6:$O$22)^2)^2+固有振動数!$P$6:$P$22^2))</f>
        <v>14.4587671657072</v>
      </c>
      <c r="C713" s="127" t="n">
        <f aca="false">-SUMPRODUCT(固有振動数!$Q$6:$Q$22*固有振動数!$P$6:$P$22/((1-($A713/固有振動数!$O$6:$O$22)^2)^2+固有振動数!$P$6:$P$22^2))</f>
        <v>-0.9803867560058</v>
      </c>
      <c r="D713" s="128" t="n">
        <f aca="false">SQRT(B713^2+C713^2)</f>
        <v>14.491966952194</v>
      </c>
      <c r="E713" s="129" t="n">
        <f aca="false">20*LOG10(MAX(D713,0.000000000001)/$K$3)</f>
        <v>23.2225466997753</v>
      </c>
    </row>
    <row r="714" customFormat="false" ht="15" hidden="false" customHeight="false" outlineLevel="0" collapsed="false">
      <c r="A714" s="122" t="n">
        <f aca="false">A713+$F$3</f>
        <v>7080</v>
      </c>
      <c r="B714" s="123" t="n">
        <f aca="false">SUMPRODUCT(固有振動数!$Q$6:$Q$22*(1-($A714/固有振動数!$O$6:$O$22)^2)/((1-($A714/固有振動数!$O$6:$O$22)^2)^2+固有振動数!$P$6:$P$22^2))</f>
        <v>14.5409625879904</v>
      </c>
      <c r="C714" s="123" t="n">
        <f aca="false">-SUMPRODUCT(固有振動数!$Q$6:$Q$22*固有振動数!$P$6:$P$22/((1-($A714/固有振動数!$O$6:$O$22)^2)^2+固有振動数!$P$6:$P$22^2))</f>
        <v>-0.978888079811834</v>
      </c>
      <c r="D714" s="124" t="n">
        <f aca="false">SQRT(B714^2+C714^2)</f>
        <v>14.5738743942074</v>
      </c>
      <c r="E714" s="125" t="n">
        <f aca="false">20*LOG10(MAX(D714,0.000000000001)/$K$3)</f>
        <v>23.271500444248</v>
      </c>
    </row>
    <row r="715" customFormat="false" ht="15" hidden="false" customHeight="false" outlineLevel="0" collapsed="false">
      <c r="A715" s="126" t="n">
        <f aca="false">A714+$F$3</f>
        <v>7090</v>
      </c>
      <c r="B715" s="127" t="n">
        <f aca="false">SUMPRODUCT(固有振動数!$Q$6:$Q$22*(1-($A715/固有振動数!$O$6:$O$22)^2)/((1-($A715/固有振動数!$O$6:$O$22)^2)^2+固有振動数!$P$6:$P$22^2))</f>
        <v>14.6226459400816</v>
      </c>
      <c r="C715" s="127" t="n">
        <f aca="false">-SUMPRODUCT(固有振動数!$Q$6:$Q$22*固有振動数!$P$6:$P$22/((1-($A715/固有振動数!$O$6:$O$22)^2)^2+固有振動数!$P$6:$P$22^2))</f>
        <v>-0.977606836034859</v>
      </c>
      <c r="D715" s="128" t="n">
        <f aca="false">SQRT(B715^2+C715^2)</f>
        <v>14.6552887864705</v>
      </c>
      <c r="E715" s="129" t="n">
        <f aca="false">20*LOG10(MAX(D715,0.000000000001)/$K$3)</f>
        <v>23.3198876150044</v>
      </c>
    </row>
    <row r="716" customFormat="false" ht="15" hidden="false" customHeight="false" outlineLevel="0" collapsed="false">
      <c r="A716" s="122" t="n">
        <f aca="false">A715+$F$3</f>
        <v>7100</v>
      </c>
      <c r="B716" s="123" t="n">
        <f aca="false">SUMPRODUCT(固有振動数!$Q$6:$Q$22*(1-($A716/固有振動数!$O$6:$O$22)^2)/((1-($A716/固有振動数!$O$6:$O$22)^2)^2+固有振動数!$P$6:$P$22^2))</f>
        <v>14.7038462448705</v>
      </c>
      <c r="C716" s="123" t="n">
        <f aca="false">-SUMPRODUCT(固有振動数!$Q$6:$Q$22*固有振動数!$P$6:$P$22/((1-($A716/固有振動数!$O$6:$O$22)^2)^2+固有振動数!$P$6:$P$22^2))</f>
        <v>-0.976537159821972</v>
      </c>
      <c r="D716" s="124" t="n">
        <f aca="false">SQRT(B716^2+C716^2)</f>
        <v>14.7362382994205</v>
      </c>
      <c r="E716" s="125" t="n">
        <f aca="false">20*LOG10(MAX(D716,0.000000000001)/$K$3)</f>
        <v>23.3677327175421</v>
      </c>
    </row>
    <row r="717" customFormat="false" ht="15" hidden="false" customHeight="false" outlineLevel="0" collapsed="false">
      <c r="A717" s="126" t="n">
        <f aca="false">A716+$F$3</f>
        <v>7110</v>
      </c>
      <c r="B717" s="127" t="n">
        <f aca="false">SUMPRODUCT(固有振動数!$Q$6:$Q$22*(1-($A717/固有振動数!$O$6:$O$22)^2)/((1-($A717/固有振動数!$O$6:$O$22)^2)^2+固有振動数!$P$6:$P$22^2))</f>
        <v>14.7845916504373</v>
      </c>
      <c r="C717" s="127" t="n">
        <f aca="false">-SUMPRODUCT(固有振動数!$Q$6:$Q$22*固有振動数!$P$6:$P$22/((1-($A717/固有振動数!$O$6:$O$22)^2)^2+固有振動数!$P$6:$P$22^2))</f>
        <v>-0.975673557492494</v>
      </c>
      <c r="D717" s="128" t="n">
        <f aca="false">SQRT(B717^2+C717^2)</f>
        <v>14.8167502901604</v>
      </c>
      <c r="E717" s="129" t="n">
        <f aca="false">20*LOG10(MAX(D717,0.000000000001)/$K$3)</f>
        <v>23.4150592337149</v>
      </c>
    </row>
    <row r="718" customFormat="false" ht="15" hidden="false" customHeight="false" outlineLevel="0" collapsed="false">
      <c r="A718" s="122" t="n">
        <f aca="false">A717+$F$3</f>
        <v>7120</v>
      </c>
      <c r="B718" s="123" t="n">
        <f aca="false">SUMPRODUCT(固有振動数!$Q$6:$Q$22*(1-($A718/固有振動数!$O$6:$O$22)^2)/((1-($A718/固有振動数!$O$6:$O$22)^2)^2+固有振動数!$P$6:$P$22^2))</f>
        <v>14.8649094793968</v>
      </c>
      <c r="C718" s="123" t="n">
        <f aca="false">-SUMPRODUCT(固有振動数!$Q$6:$Q$22*固有振動数!$P$6:$P$22/((1-($A718/固有振動数!$O$6:$O$22)^2)^2+固有振動数!$P$6:$P$22^2))</f>
        <v>-0.975010886128476</v>
      </c>
      <c r="D718" s="124" t="n">
        <f aca="false">SQRT(B718^2+C718^2)</f>
        <v>14.8968513471381</v>
      </c>
      <c r="E718" s="125" t="n">
        <f aca="false">20*LOG10(MAX(D718,0.000000000001)/$K$3)</f>
        <v>23.4618896809072</v>
      </c>
    </row>
    <row r="719" customFormat="false" ht="15" hidden="false" customHeight="false" outlineLevel="0" collapsed="false">
      <c r="A719" s="126" t="n">
        <f aca="false">A718+$F$3</f>
        <v>7130</v>
      </c>
      <c r="B719" s="127" t="n">
        <f aca="false">SUMPRODUCT(固有振動数!$Q$6:$Q$22*(1-($A719/固有振動数!$O$6:$O$22)^2)/((1-($A719/固有振動数!$O$6:$O$22)^2)^2+固有振動数!$P$6:$P$22^2))</f>
        <v>14.9448262755483</v>
      </c>
      <c r="C719" s="127" t="n">
        <f aca="false">-SUMPRODUCT(固有振動数!$Q$6:$Q$22*固有振動数!$P$6:$P$22/((1-($A719/固有振動数!$O$6:$O$22)^2)^2+固有振動数!$P$6:$P$22^2))</f>
        <v>-0.974544334666545</v>
      </c>
      <c r="D719" s="128" t="n">
        <f aca="false">SQRT(B719^2+C719^2)</f>
        <v>14.9765673325549</v>
      </c>
      <c r="E719" s="129" t="n">
        <f aca="false">20*LOG10(MAX(D719,0.000000000001)/$K$3)</f>
        <v>23.5082456673186</v>
      </c>
    </row>
    <row r="720" customFormat="false" ht="15" hidden="false" customHeight="false" outlineLevel="0" collapsed="false">
      <c r="A720" s="122" t="n">
        <f aca="false">A719+$F$3</f>
        <v>7140</v>
      </c>
      <c r="B720" s="123" t="n">
        <f aca="false">SUMPRODUCT(固有振動数!$Q$6:$Q$22*(1-($A720/固有振動数!$O$6:$O$22)^2)/((1-($A720/固有振動数!$O$6:$O$22)^2)^2+固有振動数!$P$6:$P$22^2))</f>
        <v>15.0243678480171</v>
      </c>
      <c r="C720" s="123" t="n">
        <f aca="false">-SUMPRODUCT(固有振動数!$Q$6:$Q$22*固有振動数!$P$6:$P$22/((1-($A720/固有振動数!$O$6:$O$22)^2)^2+固有振動数!$P$6:$P$22^2))</f>
        <v>-0.974269406375035</v>
      </c>
      <c r="D720" s="124" t="n">
        <f aca="false">SQRT(B720^2+C720^2)</f>
        <v>15.055923422651</v>
      </c>
      <c r="E720" s="125" t="n">
        <f aca="false">20*LOG10(MAX(D720,0.000000000001)/$K$3)</f>
        <v>23.5541479436553</v>
      </c>
    </row>
    <row r="721" customFormat="false" ht="15" hidden="false" customHeight="false" outlineLevel="0" collapsed="false">
      <c r="A721" s="126" t="n">
        <f aca="false">A720+$F$3</f>
        <v>7150</v>
      </c>
      <c r="B721" s="127" t="n">
        <f aca="false">SUMPRODUCT(固有振動数!$Q$6:$Q$22*(1-($A721/固有振動数!$O$6:$O$22)^2)/((1-($A721/固有振動数!$O$6:$O$22)^2)^2+固有振動数!$P$6:$P$22^2))</f>
        <v>15.1035593130628</v>
      </c>
      <c r="C721" s="127" t="n">
        <f aca="false">-SUMPRODUCT(固有振動数!$Q$6:$Q$22*固有振動数!$P$6:$P$22/((1-($A721/固有振動数!$O$6:$O$22)^2)^2+固有振動数!$P$6:$P$22^2))</f>
        <v>-0.974181902610684</v>
      </c>
      <c r="D721" s="128" t="n">
        <f aca="false">SQRT(B721^2+C721^2)</f>
        <v>15.1349441460013</v>
      </c>
      <c r="E721" s="129" t="n">
        <f aca="false">20*LOG10(MAX(D721,0.000000000001)/$K$3)</f>
        <v>23.5996164515034</v>
      </c>
    </row>
    <row r="722" customFormat="false" ht="15" hidden="false" customHeight="false" outlineLevel="0" collapsed="false">
      <c r="A722" s="122" t="n">
        <f aca="false">A721+$F$3</f>
        <v>7160</v>
      </c>
      <c r="B722" s="123" t="n">
        <f aca="false">SUMPRODUCT(固有振動数!$Q$6:$Q$22*(1-($A722/固有振動数!$O$6:$O$22)^2)/((1-($A722/固有振動数!$O$6:$O$22)^2)^2+固有振動数!$P$6:$P$22^2))</f>
        <v>15.1824251337151</v>
      </c>
      <c r="C722" s="123" t="n">
        <f aca="false">-SUMPRODUCT(固有振動数!$Q$6:$Q$22*固有振動数!$P$6:$P$22/((1-($A722/固有振動数!$O$6:$O$22)^2)^2+固有振動数!$P$6:$P$22^2))</f>
        <v>-0.974277907758561</v>
      </c>
      <c r="D722" s="124" t="n">
        <f aca="false">SQRT(B722^2+C722^2)</f>
        <v>15.2136534199518</v>
      </c>
      <c r="E722" s="125" t="n">
        <f aca="false">20*LOG10(MAX(D722,0.000000000001)/$K$3)</f>
        <v>23.6446703686325</v>
      </c>
    </row>
    <row r="723" customFormat="false" ht="15" hidden="false" customHeight="false" outlineLevel="0" collapsed="false">
      <c r="A723" s="126" t="n">
        <f aca="false">A722+$F$3</f>
        <v>7170</v>
      </c>
      <c r="B723" s="127" t="n">
        <f aca="false">SUMPRODUCT(固有振動数!$Q$6:$Q$22*(1-($A723/固有振動数!$O$6:$O$22)^2)/((1-($A723/固有振動数!$O$6:$O$22)^2)^2+固有振動数!$P$6:$P$22^2))</f>
        <v>15.2609891573866</v>
      </c>
      <c r="C723" s="127" t="n">
        <f aca="false">-SUMPRODUCT(固有振動数!$Q$6:$Q$22*固有振動数!$P$6:$P$22/((1-($A723/固有振動数!$O$6:$O$22)^2)^2+固有振動数!$P$6:$P$22^2))</f>
        <v>-0.974553775267327</v>
      </c>
      <c r="D723" s="128" t="n">
        <f aca="false">SQRT(B723^2+C723^2)</f>
        <v>15.2920745853124</v>
      </c>
      <c r="E723" s="129" t="n">
        <f aca="false">20*LOG10(MAX(D723,0.000000000001)/$K$3)</f>
        <v>23.689328151458</v>
      </c>
    </row>
    <row r="724" customFormat="false" ht="15" hidden="false" customHeight="false" outlineLevel="0" collapsed="false">
      <c r="A724" s="122" t="n">
        <f aca="false">A723+$F$3</f>
        <v>7180</v>
      </c>
      <c r="B724" s="123" t="n">
        <f aca="false">SUMPRODUCT(固有振動数!$Q$6:$Q$22*(1-($A724/固有振動数!$O$6:$O$22)^2)/((1-($A724/固有振動数!$O$6:$O$22)^2)^2+固有振動数!$P$6:$P$22^2))</f>
        <v>15.3392746516001</v>
      </c>
      <c r="C724" s="123" t="n">
        <f aca="false">-SUMPRODUCT(固有振動数!$Q$6:$Q$22*固有振動数!$P$6:$P$22/((1-($A724/固有振動数!$O$6:$O$22)^2)^2+固有振動数!$P$6:$P$22^2))</f>
        <v>-0.975006114699626</v>
      </c>
      <c r="D724" s="124" t="n">
        <f aca="false">SQRT(B724^2+C724^2)</f>
        <v>15.3702304394217</v>
      </c>
      <c r="E724" s="125" t="n">
        <f aca="false">20*LOG10(MAX(D724,0.000000000001)/$K$3)</f>
        <v>23.7336075748733</v>
      </c>
    </row>
    <row r="725" customFormat="false" ht="15" hidden="false" customHeight="false" outlineLevel="0" collapsed="false">
      <c r="A725" s="126" t="n">
        <f aca="false">A724+$F$3</f>
        <v>7190</v>
      </c>
      <c r="B725" s="127" t="n">
        <f aca="false">SUMPRODUCT(固有振動数!$Q$6:$Q$22*(1-($A725/固有振動数!$O$6:$O$22)^2)/((1-($A725/固有振動数!$O$6:$O$22)^2)^2+固有振動数!$P$6:$P$22^2))</f>
        <v>15.4173043379612</v>
      </c>
      <c r="C725" s="127" t="n">
        <f aca="false">-SUMPRODUCT(固有振動数!$Q$6:$Q$22*固有振動数!$P$6:$P$22/((1-($A725/固有振動数!$O$6:$O$22)^2)^2+固有振動数!$P$6:$P$22^2))</f>
        <v>-0.975631779724328</v>
      </c>
      <c r="D725" s="128" t="n">
        <f aca="false">SQRT(B725^2+C725^2)</f>
        <v>15.4481432676852</v>
      </c>
      <c r="E725" s="129" t="n">
        <f aca="false">20*LOG10(MAX(D725,0.000000000001)/$K$3)</f>
        <v>23.7775257696429</v>
      </c>
    </row>
    <row r="726" customFormat="false" ht="15" hidden="false" customHeight="false" outlineLevel="0" collapsed="false">
      <c r="A726" s="122" t="n">
        <f aca="false">A725+$F$3</f>
        <v>7200</v>
      </c>
      <c r="B726" s="123" t="n">
        <f aca="false">SUMPRODUCT(固有振動数!$Q$6:$Q$22*(1-($A726/固有振動数!$O$6:$O$22)^2)/((1-($A726/固有振動数!$O$6:$O$22)^2)^2+固有振動数!$P$6:$P$22^2))</f>
        <v>15.4951004244929</v>
      </c>
      <c r="C726" s="123" t="n">
        <f aca="false">-SUMPRODUCT(固有振動数!$Q$6:$Q$22*固有振動数!$P$6:$P$22/((1-($A726/固有振動数!$O$6:$O$22)^2)^2+固有振動数!$P$6:$P$22^2))</f>
        <v>-0.976427856983692</v>
      </c>
      <c r="D726" s="124" t="n">
        <f aca="false">SQRT(B726^2+C726^2)</f>
        <v>15.5258348736876</v>
      </c>
      <c r="E726" s="125" t="n">
        <f aca="false">20*LOG10(MAX(D726,0.000000000001)/$K$3)</f>
        <v>23.8210992575351</v>
      </c>
    </row>
    <row r="727" customFormat="false" ht="15" hidden="false" customHeight="false" outlineLevel="0" collapsed="false">
      <c r="A727" s="126" t="n">
        <f aca="false">A726+$F$3</f>
        <v>7210</v>
      </c>
      <c r="B727" s="127" t="n">
        <f aca="false">SUMPRODUCT(固有振動数!$Q$6:$Q$22*(1-($A727/固有振動数!$O$6:$O$22)^2)/((1-($A727/固有振動数!$O$6:$O$22)^2)^2+固有振動数!$P$6:$P$22^2))</f>
        <v>15.5726846364462</v>
      </c>
      <c r="C727" s="127" t="n">
        <f aca="false">-SUMPRODUCT(固有振動数!$Q$6:$Q$22*固有振動数!$P$6:$P$22/((1-($A727/固有振動数!$O$6:$O$22)^2)^2+固有振動数!$P$6:$P$22^2))</f>
        <v>-0.977391655774225</v>
      </c>
      <c r="D727" s="128" t="n">
        <f aca="false">SQRT(B727^2+C727^2)</f>
        <v>15.60332660797</v>
      </c>
      <c r="E727" s="129" t="n">
        <f aca="false">20*LOG10(MAX(D727,0.000000000001)/$K$3)</f>
        <v>23.8643439843545</v>
      </c>
    </row>
    <row r="728" customFormat="false" ht="15" hidden="false" customHeight="false" outlineLevel="0" collapsed="false">
      <c r="A728" s="122" t="n">
        <f aca="false">A727+$F$3</f>
        <v>7220</v>
      </c>
      <c r="B728" s="123" t="n">
        <f aca="false">SUMPRODUCT(固有振動数!$Q$6:$Q$22*(1-($A728/固有振動数!$O$6:$O$22)^2)/((1-($A728/固有振動数!$O$6:$O$22)^2)^2+固有振動数!$P$6:$P$22^2))</f>
        <v>15.6500782456889</v>
      </c>
      <c r="C728" s="123" t="n">
        <f aca="false">-SUMPRODUCT(固有振動数!$Q$6:$Q$22*固有振動数!$P$6:$P$22/((1-($A728/固有振動数!$O$6:$O$22)^2)^2+固有振動数!$P$6:$P$22^2))</f>
        <v>-0.978520698485247</v>
      </c>
      <c r="D728" s="124" t="n">
        <f aca="false">SQRT(B728^2+C728^2)</f>
        <v>15.6806393955588</v>
      </c>
      <c r="E728" s="125" t="n">
        <f aca="false">20*LOG10(MAX(D728,0.000000000001)/$K$3)</f>
        <v>23.9072753510263</v>
      </c>
    </row>
    <row r="729" customFormat="false" ht="15" hidden="false" customHeight="false" outlineLevel="0" collapsed="false">
      <c r="A729" s="126" t="n">
        <f aca="false">A728+$F$3</f>
        <v>7230</v>
      </c>
      <c r="B729" s="127" t="n">
        <f aca="false">SUMPRODUCT(固有振動数!$Q$6:$Q$22*(1-($A729/固有振動数!$O$6:$O$22)^2)/((1-($A729/固有振動数!$O$6:$O$22)^2)^2+固有振動数!$P$6:$P$22^2))</f>
        <v>15.7273020987699</v>
      </c>
      <c r="C729" s="127" t="n">
        <f aca="false">-SUMPRODUCT(固有振動数!$Q$6:$Q$22*固有振動数!$P$6:$P$22/((1-($A729/固有振動数!$O$6:$O$22)^2)^2+固有振動数!$P$6:$P$22^2))</f>
        <v>-0.97981271174393</v>
      </c>
      <c r="D729" s="128" t="n">
        <f aca="false">SQRT(B729^2+C729^2)</f>
        <v>15.7577937623281</v>
      </c>
      <c r="E729" s="129" t="n">
        <f aca="false">20*LOG10(MAX(D729,0.000000000001)/$K$3)</f>
        <v>23.949908242869</v>
      </c>
    </row>
    <row r="730" customFormat="false" ht="15" hidden="false" customHeight="false" outlineLevel="0" collapsed="false">
      <c r="A730" s="122" t="n">
        <f aca="false">A729+$F$3</f>
        <v>7240</v>
      </c>
      <c r="B730" s="123" t="n">
        <f aca="false">SUMPRODUCT(固有振動数!$Q$6:$Q$22*(1-($A730/固有振動数!$O$6:$O$22)^2)/((1-($A730/固有振動数!$O$6:$O$22)^2)^2+固有振動数!$P$6:$P$22^2))</f>
        <v>15.8043766437482</v>
      </c>
      <c r="C730" s="123" t="n">
        <f aca="false">-SUMPRODUCT(固有振動数!$Q$6:$Q$22*固有振動数!$P$6:$P$22/((1-($A730/固有振動数!$O$6:$O$22)^2)^2+固有振動数!$P$6:$P$22^2))</f>
        <v>-0.981265618219912</v>
      </c>
      <c r="D730" s="124" t="n">
        <f aca="false">SQRT(B730^2+C730^2)</f>
        <v>15.8348098602715</v>
      </c>
      <c r="E730" s="125" t="n">
        <f aca="false">20*LOG10(MAX(D730,0.000000000001)/$K$3)</f>
        <v>23.9922570571828</v>
      </c>
    </row>
    <row r="731" customFormat="false" ht="15" hidden="false" customHeight="false" outlineLevel="0" collapsed="false">
      <c r="A731" s="126" t="n">
        <f aca="false">A730+$F$3</f>
        <v>7250</v>
      </c>
      <c r="B731" s="127" t="n">
        <f aca="false">SUMPRODUCT(固有振動数!$Q$6:$Q$22*(1-($A731/固有振動数!$O$6:$O$22)^2)/((1-($A731/固有振動数!$O$6:$O$22)^2)^2+固有振動数!$P$6:$P$22^2))</f>
        <v>15.8813219558728</v>
      </c>
      <c r="C731" s="127" t="n">
        <f aca="false">-SUMPRODUCT(固有振動数!$Q$6:$Q$22*固有振動数!$P$6:$P$22/((1-($A731/固有振動数!$O$6:$O$22)^2)^2+固有振動数!$P$6:$P$22^2))</f>
        <v>-0.982877529046543</v>
      </c>
      <c r="D731" s="128" t="n">
        <f aca="false">SQRT(B731^2+C731^2)</f>
        <v>15.9117074917556</v>
      </c>
      <c r="E731" s="129" t="n">
        <f aca="false">20*LOG10(MAX(D731,0.000000000001)/$K$3)</f>
        <v>24.0343357292706</v>
      </c>
    </row>
    <row r="732" customFormat="false" ht="15" hidden="false" customHeight="false" outlineLevel="0" collapsed="false">
      <c r="A732" s="122" t="n">
        <f aca="false">A731+$F$3</f>
        <v>7260</v>
      </c>
      <c r="B732" s="123" t="n">
        <f aca="false">SUMPRODUCT(固有振動数!$Q$6:$Q$22*(1-($A732/固有振動数!$O$6:$O$22)^2)/((1-($A732/固有振動数!$O$6:$O$22)^2)^2+固有振動数!$P$6:$P$22^2))</f>
        <v>15.9581577621905</v>
      </c>
      <c r="C732" s="123" t="n">
        <f aca="false">-SUMPRODUCT(固有振動数!$Q$6:$Q$22*固有振動数!$P$6:$P$22/((1-($A732/固有振動数!$O$6:$O$22)^2)^2+固有振動数!$P$6:$P$22^2))</f>
        <v>-0.984646736819448</v>
      </c>
      <c r="D732" s="124" t="n">
        <f aca="false">SQRT(B732^2+C732^2)</f>
        <v>15.9885061328221</v>
      </c>
      <c r="E732" s="125" t="n">
        <f aca="false">20*LOG10(MAX(D732,0.000000000001)/$K$3)</f>
        <v>24.076157757001</v>
      </c>
    </row>
    <row r="733" customFormat="false" ht="15" hidden="false" customHeight="false" outlineLevel="0" collapsed="false">
      <c r="A733" s="126" t="n">
        <f aca="false">A732+$F$3</f>
        <v>7270</v>
      </c>
      <c r="B733" s="127" t="n">
        <f aca="false">SUMPRODUCT(固有振動数!$Q$6:$Q$22*(1-($A733/固有振動数!$O$6:$O$22)^2)/((1-($A733/固有振動数!$O$6:$O$22)^2)^2+固有振動数!$P$6:$P$22^2))</f>
        <v>16.0349034651564</v>
      </c>
      <c r="C733" s="127" t="n">
        <f aca="false">-SUMPRODUCT(固有振動数!$Q$6:$Q$22*固有振動数!$P$6:$P$22/((1-($A733/固有振動数!$O$6:$O$22)^2)^2+固有振動数!$P$6:$P$22^2))</f>
        <v>-0.986571709136391</v>
      </c>
      <c r="D733" s="128" t="n">
        <f aca="false">SQRT(B733^2+C733^2)</f>
        <v>16.0652249556038</v>
      </c>
      <c r="E733" s="129" t="n">
        <f aca="false">20*LOG10(MAX(D733,0.000000000001)/$K$3)</f>
        <v>24.1177362240108</v>
      </c>
    </row>
    <row r="734" customFormat="false" ht="15" hidden="false" customHeight="false" outlineLevel="0" collapsed="false">
      <c r="A734" s="122" t="n">
        <f aca="false">A733+$F$3</f>
        <v>7280</v>
      </c>
      <c r="B734" s="123" t="n">
        <f aca="false">SUMPRODUCT(固有振動数!$Q$6:$Q$22*(1-($A734/固有振動数!$O$6:$O$22)^2)/((1-($A734/固有振動数!$O$6:$O$22)^2)^2+固有振動数!$P$6:$P$22^2))</f>
        <v>16.1115781653161</v>
      </c>
      <c r="C734" s="123" t="n">
        <f aca="false">-SUMPRODUCT(固有振動数!$Q$6:$Q$22*固有振動数!$P$6:$P$22/((1-($A734/固有振動数!$O$6:$O$22)^2)^2+固有振動数!$P$6:$P$22^2))</f>
        <v>-0.988651082645492</v>
      </c>
      <c r="D734" s="124" t="n">
        <f aca="false">SQRT(B734^2+C734^2)</f>
        <v>16.1418828499127</v>
      </c>
      <c r="E734" s="125" t="n">
        <f aca="false">20*LOG10(MAX(D734,0.000000000001)/$K$3)</f>
        <v>24.159083821643</v>
      </c>
    </row>
    <row r="735" customFormat="false" ht="15" hidden="false" customHeight="false" outlineLevel="0" collapsed="false">
      <c r="A735" s="126" t="n">
        <f aca="false">A734+$F$3</f>
        <v>7290</v>
      </c>
      <c r="B735" s="127" t="n">
        <f aca="false">SUMPRODUCT(固有振動数!$Q$6:$Q$22*(1-($A735/固有振動数!$O$6:$O$22)^2)/((1-($A735/固有振動数!$O$6:$O$22)^2)^2+固有振動数!$P$6:$P$22^2))</f>
        <v>16.1882006831244</v>
      </c>
      <c r="C735" s="127" t="n">
        <f aca="false">-SUMPRODUCT(固有振動数!$Q$6:$Q$22*固有振動数!$P$6:$P$22/((1-($A735/固有振動数!$O$6:$O$22)^2)^2+固有振動数!$P$6:$P$22^2))</f>
        <v>-0.990883657571584</v>
      </c>
      <c r="D735" s="128" t="n">
        <f aca="false">SQRT(B735^2+C735^2)</f>
        <v>16.2184984440592</v>
      </c>
      <c r="E735" s="129" t="n">
        <f aca="false">20*LOG10(MAX(D735,0.000000000001)/$K$3)</f>
        <v>24.2002128697026</v>
      </c>
    </row>
    <row r="736" customFormat="false" ht="15" hidden="false" customHeight="false" outlineLevel="0" collapsed="false">
      <c r="A736" s="122" t="n">
        <f aca="false">A735+$F$3</f>
        <v>7300</v>
      </c>
      <c r="B736" s="123" t="n">
        <f aca="false">SUMPRODUCT(固有振動数!$Q$6:$Q$22*(1-($A736/固有振動数!$O$6:$O$22)^2)/((1-($A736/固有振動数!$O$6:$O$22)^2)^2+固有振動数!$P$6:$P$22^2))</f>
        <v>16.2647895799624</v>
      </c>
      <c r="C736" s="123" t="n">
        <f aca="false">-SUMPRODUCT(固有振動数!$Q$6:$Q$22*固有振動数!$P$6:$P$22/((1-($A736/固有振動数!$O$6:$O$22)^2)^2+固有振動数!$P$6:$P$22^2))</f>
        <v>-0.993268392693115</v>
      </c>
      <c r="D736" s="124" t="n">
        <f aca="false">SQRT(B736^2+C736^2)</f>
        <v>16.2950901249541</v>
      </c>
      <c r="E736" s="125" t="n">
        <f aca="false">20*LOG10(MAX(D736,0.000000000001)/$K$3)</f>
        <v>24.2411353361116</v>
      </c>
    </row>
    <row r="737" customFormat="false" ht="15" hidden="false" customHeight="false" outlineLevel="0" collapsed="false">
      <c r="A737" s="126" t="n">
        <f aca="false">A736+$F$3</f>
        <v>7310</v>
      </c>
      <c r="B737" s="127" t="n">
        <f aca="false">SUMPRODUCT(固有振動数!$Q$6:$Q$22*(1-($A737/固有振動数!$O$6:$O$22)^2)/((1-($A737/固有振動数!$O$6:$O$22)^2)^2+固有振動数!$P$6:$P$22^2))</f>
        <v>16.341363178409</v>
      </c>
      <c r="C737" s="127" t="n">
        <f aca="false">-SUMPRODUCT(固有振動数!$Q$6:$Q$22*固有振動数!$P$6:$P$22/((1-($A737/固有振動数!$O$6:$O$22)^2)^2+固有振動数!$P$6:$P$22^2))</f>
        <v>-0.995804400744318</v>
      </c>
      <c r="D737" s="128" t="n">
        <f aca="false">SQRT(B737^2+C737^2)</f>
        <v>16.3716760575453</v>
      </c>
      <c r="E737" s="129" t="n">
        <f aca="false">20*LOG10(MAX(D737,0.000000000001)/$K$3)</f>
        <v>24.2818628555355</v>
      </c>
    </row>
    <row r="738" customFormat="false" ht="15" hidden="false" customHeight="false" outlineLevel="0" collapsed="false">
      <c r="A738" s="122" t="n">
        <f aca="false">A737+$F$3</f>
        <v>7320</v>
      </c>
      <c r="B738" s="123" t="n">
        <f aca="false">SUMPRODUCT(固有振動数!$Q$6:$Q$22*(1-($A738/固有振動数!$O$6:$O$22)^2)/((1-($A738/固有振動数!$O$6:$O$22)^2)^2+固有振動数!$P$6:$P$22^2))</f>
        <v>16.4179395818224</v>
      </c>
      <c r="C738" s="123" t="n">
        <f aca="false">-SUMPRODUCT(固有振動数!$Q$6:$Q$22*固有振動数!$P$6:$P$22/((1-($A738/固有振動数!$O$6:$O$22)^2)^2+固有振動数!$P$6:$P$22^2))</f>
        <v>-0.998490944219549</v>
      </c>
      <c r="D738" s="124" t="n">
        <f aca="false">SQRT(B738^2+C738^2)</f>
        <v>16.4482742036379</v>
      </c>
      <c r="E738" s="125" t="n">
        <f aca="false">20*LOG10(MAX(D738,0.000000000001)/$K$3)</f>
        <v>24.3224067470505</v>
      </c>
    </row>
    <row r="739" customFormat="false" ht="15" hidden="false" customHeight="false" outlineLevel="0" collapsed="false">
      <c r="A739" s="126" t="n">
        <f aca="false">A738+$F$3</f>
        <v>7330</v>
      </c>
      <c r="B739" s="127" t="n">
        <f aca="false">SUMPRODUCT(固有振動数!$Q$6:$Q$22*(1-($A739/固有振動数!$O$6:$O$22)^2)/((1-($A739/固有振動数!$O$6:$O$22)^2)^2+固有振動数!$P$6:$P$22^2))</f>
        <v>16.4945366932818</v>
      </c>
      <c r="C739" s="127" t="n">
        <f aca="false">-SUMPRODUCT(固有振動数!$Q$6:$Q$22*固有振動数!$P$6:$P$22/((1-($A739/固有振動数!$O$6:$O$22)^2)^2+固有振動数!$P$6:$P$22^2))</f>
        <v>-1.00132743155873</v>
      </c>
      <c r="D739" s="128" t="n">
        <f aca="false">SQRT(B739^2+C739^2)</f>
        <v>16.5249023401414</v>
      </c>
      <c r="E739" s="129" t="n">
        <f aca="false">20*LOG10(MAX(D739,0.000000000001)/$K$3)</f>
        <v>24.3627780309139</v>
      </c>
    </row>
    <row r="740" customFormat="false" ht="15" hidden="false" customHeight="false" outlineLevel="0" collapsed="false">
      <c r="A740" s="122" t="n">
        <f aca="false">A739+$F$3</f>
        <v>7340</v>
      </c>
      <c r="B740" s="123" t="n">
        <f aca="false">SUMPRODUCT(固有振動数!$Q$6:$Q$22*(1-($A740/固有振動数!$O$6:$O$22)^2)/((1-($A740/固有振動数!$O$6:$O$22)^2)^2+固有振動数!$P$6:$P$22^2))</f>
        <v>16.571172233938</v>
      </c>
      <c r="C740" s="123" t="n">
        <f aca="false">-SUMPRODUCT(固有振動数!$Q$6:$Q$22*固有振動数!$P$6:$P$22/((1-($A740/固有振動数!$O$6:$O$22)^2)^2+固有振動数!$P$6:$P$22^2))</f>
        <v>-1.00431341369462</v>
      </c>
      <c r="D740" s="124" t="n">
        <f aca="false">SQRT(B740^2+C740^2)</f>
        <v>16.6015780767903</v>
      </c>
      <c r="E740" s="125" t="n">
        <f aca="false">20*LOG10(MAX(D740,0.000000000001)/$K$3)</f>
        <v>24.4029874444972</v>
      </c>
    </row>
    <row r="741" customFormat="false" ht="15" hidden="false" customHeight="false" outlineLevel="0" collapsed="false">
      <c r="A741" s="126" t="n">
        <f aca="false">A740+$F$3</f>
        <v>7350</v>
      </c>
      <c r="B741" s="127" t="n">
        <f aca="false">SUMPRODUCT(固有振動数!$Q$6:$Q$22*(1-($A741/固有振動数!$O$6:$O$22)^2)/((1-($A741/固有振動数!$O$6:$O$22)^2)^2+固有振動数!$P$6:$P$22^2))</f>
        <v>16.6478637608184</v>
      </c>
      <c r="C741" s="127" t="n">
        <f aca="false">-SUMPRODUCT(固有振動数!$Q$6:$Q$22*固有振動数!$P$6:$P$22/((1-($A741/固有振動数!$O$6:$O$22)^2)^2+固有振動数!$P$6:$P$22^2))</f>
        <v>-1.00744858094449</v>
      </c>
      <c r="D741" s="128" t="n">
        <f aca="false">SQRT(B741^2+C741^2)</f>
        <v>16.6783188733762</v>
      </c>
      <c r="E741" s="129" t="n">
        <f aca="false">20*LOG10(MAX(D741,0.000000000001)/$K$3)</f>
        <v>24.443045457436</v>
      </c>
    </row>
    <row r="742" customFormat="false" ht="15" hidden="false" customHeight="false" outlineLevel="0" collapsed="false">
      <c r="A742" s="122" t="n">
        <f aca="false">A741+$F$3</f>
        <v>7360</v>
      </c>
      <c r="B742" s="123" t="n">
        <f aca="false">SUMPRODUCT(固有振動数!$Q$6:$Q$22*(1-($A742/固有振動数!$O$6:$O$22)^2)/((1-($A742/固有振動数!$O$6:$O$22)^2)^2+固有振動数!$P$6:$P$22^2))</f>
        <v>16.7246286841302</v>
      </c>
      <c r="C742" s="123" t="n">
        <f aca="false">-SUMPRODUCT(固有振動数!$Q$6:$Q$22*固有振動数!$P$6:$P$22/((1-($A742/固有振動数!$O$6:$O$22)^2)^2+固有振動数!$P$6:$P$22^2))</f>
        <v>-1.01073276023015</v>
      </c>
      <c r="D742" s="124" t="n">
        <f aca="false">SQRT(B742^2+C742^2)</f>
        <v>16.755142056534</v>
      </c>
      <c r="E742" s="125" t="n">
        <f aca="false">20*LOG10(MAX(D742,0.000000000001)/$K$3)</f>
        <v>24.4829622860486</v>
      </c>
    </row>
    <row r="743" customFormat="false" ht="15" hidden="false" customHeight="false" outlineLevel="0" collapsed="false">
      <c r="A743" s="126" t="n">
        <f aca="false">A742+$F$3</f>
        <v>7370</v>
      </c>
      <c r="B743" s="127" t="n">
        <f aca="false">SUMPRODUCT(固有振動数!$Q$6:$Q$22*(1-($A743/固有振動数!$O$6:$O$22)^2)/((1-($A743/固有振動数!$O$6:$O$22)^2)^2+固有振動数!$P$6:$P$22^2))</f>
        <v>16.8014842841023</v>
      </c>
      <c r="C743" s="127" t="n">
        <f aca="false">-SUMPRODUCT(固有振動数!$Q$6:$Q$22*固有振動数!$P$6:$P$22/((1-($A743/固有振動数!$O$6:$O$22)^2)^2+固有振動数!$P$6:$P$22^2))</f>
        <v>-1.01416591261205</v>
      </c>
      <c r="D743" s="128" t="n">
        <f aca="false">SQRT(B743^2+C743^2)</f>
        <v>16.8320648361168</v>
      </c>
      <c r="E743" s="129" t="n">
        <f aca="false">20*LOG10(MAX(D743,0.000000000001)/$K$3)</f>
        <v>24.5227479070698</v>
      </c>
    </row>
    <row r="744" customFormat="false" ht="15" hidden="false" customHeight="false" outlineLevel="0" collapsed="false">
      <c r="A744" s="122" t="n">
        <f aca="false">A743+$F$3</f>
        <v>7380</v>
      </c>
      <c r="B744" s="123" t="n">
        <f aca="false">SUMPRODUCT(固有振動数!$Q$6:$Q$22*(1-($A744/固有振動数!$O$6:$O$22)^2)/((1-($A744/固有振動数!$O$6:$O$22)^2)^2+固有振動数!$P$6:$P$22^2))</f>
        <v>16.8784477274057</v>
      </c>
      <c r="C744" s="123" t="n">
        <f aca="false">-SUMPRODUCT(固有振動数!$Q$6:$Q$22*固有振動数!$P$6:$P$22/((1-($A744/固有振動数!$O$6:$O$22)^2)^2+固有振動数!$P$6:$P$22^2))</f>
        <v>-1.01774813112426</v>
      </c>
      <c r="D744" s="124" t="n">
        <f aca="false">SQRT(B744^2+C744^2)</f>
        <v>16.9091043211985</v>
      </c>
      <c r="E744" s="125" t="n">
        <f aca="false">20*LOG10(MAX(D744,0.000000000001)/$K$3)</f>
        <v>24.5624120707446</v>
      </c>
    </row>
    <row r="745" customFormat="false" ht="15" hidden="false" customHeight="false" outlineLevel="0" collapsed="false">
      <c r="A745" s="126" t="n">
        <f aca="false">A744+$F$3</f>
        <v>7390</v>
      </c>
      <c r="B745" s="127" t="n">
        <f aca="false">SUMPRODUCT(固有振動数!$Q$6:$Q$22*(1-($A745/固有振動数!$O$6:$O$22)^2)/((1-($A745/固有振動数!$O$6:$O$22)^2)^2+固有振動数!$P$6:$P$22^2))</f>
        <v>16.9555360831895</v>
      </c>
      <c r="C745" s="127" t="n">
        <f aca="false">-SUMPRODUCT(固有振動数!$Q$6:$Q$22*固有振動数!$P$6:$P$22/((1-($A745/固有振動数!$O$6:$O$22)^2)^2+固有振動数!$P$6:$P$22^2))</f>
        <v>-1.02147963889872</v>
      </c>
      <c r="D745" s="128" t="n">
        <f aca="false">SQRT(B745^2+C745^2)</f>
        <v>16.9862775357353</v>
      </c>
      <c r="E745" s="129" t="n">
        <f aca="false">20*LOG10(MAX(D745,0.000000000001)/$K$3)</f>
        <v>24.6019643133238</v>
      </c>
    </row>
    <row r="746" customFormat="false" ht="15" hidden="false" customHeight="false" outlineLevel="0" collapsed="false">
      <c r="A746" s="122" t="n">
        <f aca="false">A745+$F$3</f>
        <v>7400</v>
      </c>
      <c r="B746" s="123" t="n">
        <f aca="false">SUMPRODUCT(固有振動数!$Q$6:$Q$22*(1-($A746/固有振動数!$O$6:$O$22)^2)/((1-($A746/固有振動数!$O$6:$O$22)^2)^2+固有振動数!$P$6:$P$22^2))</f>
        <v>17.0327663387683</v>
      </c>
      <c r="C746" s="123" t="n">
        <f aca="false">-SUMPRODUCT(固有振動数!$Q$6:$Q$22*固有振動数!$P$6:$P$22/((1-($A746/固有振動数!$O$6:$O$22)^2)^2+固有振動数!$P$6:$P$22^2))</f>
        <v>-1.02536078756807</v>
      </c>
      <c r="D746" s="124" t="n">
        <f aca="false">SQRT(B746^2+C746^2)</f>
        <v>17.0636014339225</v>
      </c>
      <c r="E746" s="125" t="n">
        <f aca="false">20*LOG10(MAX(D746,0.000000000001)/$K$3)</f>
        <v>24.6414139689989</v>
      </c>
    </row>
    <row r="747" customFormat="false" ht="15" hidden="false" customHeight="false" outlineLevel="0" collapsed="false">
      <c r="A747" s="126" t="n">
        <f aca="false">A746+$F$3</f>
        <v>7410</v>
      </c>
      <c r="B747" s="127" t="n">
        <f aca="false">SUMPRODUCT(固有振動数!$Q$6:$Q$22*(1-($A747/固有振動数!$O$6:$O$22)^2)/((1-($A747/固有振動数!$O$6:$O$22)^2)^2+固有振動数!$P$6:$P$22^2))</f>
        <v>17.1101554149949</v>
      </c>
      <c r="C747" s="127" t="n">
        <f aca="false">-SUMPRODUCT(固有振動数!$Q$6:$Q$22*固有振動数!$P$6:$P$22/((1-($A747/固有振動数!$O$6:$O$22)^2)^2+固有振動数!$P$6:$P$22^2))</f>
        <v>-1.02939205593782</v>
      </c>
      <c r="D747" s="128" t="n">
        <f aca="false">SQRT(B747^2+C747^2)</f>
        <v>17.1410929152755</v>
      </c>
      <c r="E747" s="129" t="n">
        <f aca="false">20*LOG10(MAX(D747,0.000000000001)/$K$3)</f>
        <v>24.6807701813133</v>
      </c>
    </row>
    <row r="748" customFormat="false" ht="15" hidden="false" customHeight="false" outlineLevel="0" collapsed="false">
      <c r="A748" s="122" t="n">
        <f aca="false">A747+$F$3</f>
        <v>7420</v>
      </c>
      <c r="B748" s="123" t="n">
        <f aca="false">SUMPRODUCT(固有振動数!$Q$6:$Q$22*(1-($A748/固有振動数!$O$6:$O$22)^2)/((1-($A748/固有振動数!$O$6:$O$22)^2)^2+固有振動数!$P$6:$P$22^2))</f>
        <v>17.1877201813518</v>
      </c>
      <c r="C748" s="123" t="n">
        <f aca="false">-SUMPRODUCT(固有振動数!$Q$6:$Q$22*固有振動数!$P$6:$P$22/((1-($A748/固有振動数!$O$6:$O$22)^2)^2+固有振動数!$P$6:$P$22^2))</f>
        <v>-1.0335740489194</v>
      </c>
      <c r="D748" s="124" t="n">
        <f aca="false">SQRT(B748^2+C748^2)</f>
        <v>17.2187688394684</v>
      </c>
      <c r="E748" s="125" t="n">
        <f aca="false">20*LOG10(MAX(D748,0.000000000001)/$K$3)</f>
        <v>24.7200419140832</v>
      </c>
    </row>
    <row r="749" customFormat="false" ht="15" hidden="false" customHeight="false" outlineLevel="0" collapsed="false">
      <c r="A749" s="126" t="n">
        <f aca="false">A748+$F$3</f>
        <v>7430</v>
      </c>
      <c r="B749" s="127" t="n">
        <f aca="false">SUMPRODUCT(固有振動数!$Q$6:$Q$22*(1-($A749/固有振動数!$O$6:$O$22)^2)/((1-($A749/固有振動数!$O$6:$O$22)^2)^2+固有振動数!$P$6:$P$22^2))</f>
        <v>17.2654774707922</v>
      </c>
      <c r="C749" s="127" t="n">
        <f aca="false">-SUMPRODUCT(固有振動数!$Q$6:$Q$22*固有振動数!$P$6:$P$22/((1-($A749/固有振動数!$O$6:$O$22)^2)^2+固有振動数!$P$6:$P$22^2))</f>
        <v>-1.03790749671681</v>
      </c>
      <c r="D749" s="128" t="n">
        <f aca="false">SQRT(B749^2+C749^2)</f>
        <v>17.2966460409576</v>
      </c>
      <c r="E749" s="129" t="n">
        <f aca="false">20*LOG10(MAX(D749,0.000000000001)/$K$3)</f>
        <v>24.7592379618599</v>
      </c>
    </row>
    <row r="750" customFormat="false" ht="15" hidden="false" customHeight="false" outlineLevel="0" collapsed="false">
      <c r="A750" s="122" t="n">
        <f aca="false">A749+$F$3</f>
        <v>7440</v>
      </c>
      <c r="B750" s="123" t="n">
        <f aca="false">SUMPRODUCT(固有振動数!$Q$6:$Q$22*(1-($A750/固有振動数!$O$6:$O$22)^2)/((1-($A750/固有振動数!$O$6:$O$22)^2)^2+固有振動数!$P$6:$P$22^2))</f>
        <v>17.3434440943614</v>
      </c>
      <c r="C750" s="123" t="n">
        <f aca="false">-SUMPRODUCT(固有振動数!$Q$6:$Q$22*固有振動数!$P$6:$P$22/((1-($A750/固有振動数!$O$6:$O$22)^2)^2+固有振動数!$P$6:$P$22^2))</f>
        <v>-1.04239325426061</v>
      </c>
      <c r="D750" s="124" t="n">
        <f aca="false">SQRT(B750^2+C750^2)</f>
        <v>17.3747413434206</v>
      </c>
      <c r="E750" s="125" t="n">
        <f aca="false">20*LOG10(MAX(D750,0.000000000001)/$K$3)</f>
        <v>24.7983669599639</v>
      </c>
    </row>
    <row r="751" customFormat="false" ht="15" hidden="false" customHeight="false" outlineLevel="0" collapsed="false">
      <c r="A751" s="126" t="n">
        <f aca="false">A750+$F$3</f>
        <v>7450</v>
      </c>
      <c r="B751" s="127" t="n">
        <f aca="false">SUMPRODUCT(固有振動数!$Q$6:$Q$22*(1-($A751/固有振動数!$O$6:$O$22)^2)/((1-($A751/固有振動数!$O$6:$O$22)^2)^2+固有振動数!$P$6:$P$22^2))</f>
        <v>17.4216368556285</v>
      </c>
      <c r="C751" s="127" t="n">
        <f aca="false">-SUMPRODUCT(固有振動数!$Q$6:$Q$22*固有振動数!$P$6:$P$22/((1-($A751/固有振動数!$O$6:$O$22)^2)^2+固有振動数!$P$6:$P$22^2))</f>
        <v>-1.04703230088377</v>
      </c>
      <c r="D751" s="128" t="n">
        <f aca="false">SQRT(B751^2+C751^2)</f>
        <v>17.4530715740378</v>
      </c>
      <c r="E751" s="129" t="n">
        <f aca="false">20*LOG10(MAX(D751,0.000000000001)/$K$3)</f>
        <v>24.8374373941168</v>
      </c>
    </row>
    <row r="752" customFormat="false" ht="15" hidden="false" customHeight="false" outlineLevel="0" collapsed="false">
      <c r="A752" s="122" t="n">
        <f aca="false">A751+$F$3</f>
        <v>7460</v>
      </c>
      <c r="B752" s="123" t="n">
        <f aca="false">SUMPRODUCT(固有振動数!$Q$6:$Q$22*(1-($A752/固有振動数!$O$6:$O$22)^2)/((1-($A752/固有振動数!$O$6:$O$22)^2)^2+固有振動数!$P$6:$P$22^2))</f>
        <v>17.5000725649552</v>
      </c>
      <c r="C752" s="123" t="n">
        <f aca="false">-SUMPRODUCT(固有振動数!$Q$6:$Q$22*固有振動数!$P$6:$P$22/((1-($A752/固有振動数!$O$6:$O$22)^2)^2+固有振動数!$P$6:$P$22^2))</f>
        <v>-1.0518257402347</v>
      </c>
      <c r="D752" s="124" t="n">
        <f aca="false">SQRT(B752^2+C752^2)</f>
        <v>17.531653577644</v>
      </c>
      <c r="E752" s="125" t="n">
        <f aca="false">20*LOG10(MAX(D752,0.000000000001)/$K$3)</f>
        <v>24.8764576097</v>
      </c>
    </row>
    <row r="753" customFormat="false" ht="15" hidden="false" customHeight="false" outlineLevel="0" collapsed="false">
      <c r="A753" s="126" t="n">
        <f aca="false">A752+$F$3</f>
        <v>7470</v>
      </c>
      <c r="B753" s="127" t="n">
        <f aca="false">SUMPRODUCT(固有振動数!$Q$6:$Q$22*(1-($A753/固有振動数!$O$6:$O$22)^2)/((1-($A753/固有振動数!$O$6:$O$22)^2)^2+固有振動数!$P$6:$P$22^2))</f>
        <v>17.5787680536319</v>
      </c>
      <c r="C753" s="127" t="n">
        <f aca="false">-SUMPRODUCT(固有振動数!$Q$6:$Q$22*固有振動数!$P$6:$P$22/((1-($A753/固有振動数!$O$6:$O$22)^2)^2+固有振動数!$P$6:$P$22^2))</f>
        <v>-1.05677480042405</v>
      </c>
      <c r="D753" s="128" t="n">
        <f aca="false">SQRT(B753^2+C753^2)</f>
        <v>17.6105042307766</v>
      </c>
      <c r="E753" s="129" t="n">
        <f aca="false">20*LOG10(MAX(D753,0.000000000001)/$K$3)</f>
        <v>24.9154358206616</v>
      </c>
    </row>
    <row r="754" customFormat="false" ht="15" hidden="false" customHeight="false" outlineLevel="0" collapsed="false">
      <c r="A754" s="122" t="n">
        <f aca="false">A753+$F$3</f>
        <v>7480</v>
      </c>
      <c r="B754" s="123" t="n">
        <f aca="false">SUMPRODUCT(固有振動数!$Q$6:$Q$22*(1-($A754/固有振動数!$O$6:$O$22)^2)/((1-($A754/固有振動数!$O$6:$O$22)^2)^2+固有振動数!$P$6:$P$22^2))</f>
        <v>17.6577401879059</v>
      </c>
      <c r="C754" s="123" t="n">
        <f aca="false">-SUMPRODUCT(固有振動数!$Q$6:$Q$22*固有振動数!$P$6:$P$22/((1-($A754/固有振動数!$O$6:$O$22)^2)^2+固有振動数!$P$6:$P$22^2))</f>
        <v>-1.06188083440207</v>
      </c>
      <c r="D754" s="124" t="n">
        <f aca="false">SQRT(B754^2+C754^2)</f>
        <v>17.6896404556468</v>
      </c>
      <c r="E754" s="125" t="n">
        <f aca="false">20*LOG10(MAX(D754,0.000000000001)/$K$3)</f>
        <v>24.9543801180979</v>
      </c>
    </row>
    <row r="755" customFormat="false" ht="15" hidden="false" customHeight="false" outlineLevel="0" collapsed="false">
      <c r="A755" s="126" t="n">
        <f aca="false">A754+$F$3</f>
        <v>7490</v>
      </c>
      <c r="B755" s="127" t="n">
        <f aca="false">SUMPRODUCT(固有振動数!$Q$6:$Q$22*(1-($A755/固有振動数!$O$6:$O$22)^2)/((1-($A755/固有振動数!$O$6:$O$22)^2)^2+固有振動数!$P$6:$P$22^2))</f>
        <v>17.737005882929</v>
      </c>
      <c r="C755" s="127" t="n">
        <f aca="false">-SUMPRODUCT(固有振動数!$Q$6:$Q$22*固有振動数!$P$6:$P$22/((1-($A755/固有振動数!$O$6:$O$22)^2)^2+固有振動数!$P$6:$P$22^2))</f>
        <v>-1.06714532056467</v>
      </c>
      <c r="D755" s="128" t="n">
        <f aca="false">SQRT(B755^2+C755^2)</f>
        <v>17.7690792340588</v>
      </c>
      <c r="E755" s="129" t="n">
        <f aca="false">20*LOG10(MAX(D755,0.000000000001)/$K$3)</f>
        <v>24.9932984785282</v>
      </c>
    </row>
    <row r="756" customFormat="false" ht="15" hidden="false" customHeight="false" outlineLevel="0" collapsed="false">
      <c r="A756" s="122" t="n">
        <f aca="false">A755+$F$3</f>
        <v>7500</v>
      </c>
      <c r="B756" s="123" t="n">
        <f aca="false">SUMPRODUCT(固有振動数!$Q$6:$Q$22*(1-($A756/固有振動数!$O$6:$O$22)^2)/((1-($A756/固有振動数!$O$6:$O$22)^2)^2+固有振動数!$P$6:$P$22^2))</f>
        <v>17.8165821166509</v>
      </c>
      <c r="C756" s="123" t="n">
        <f aca="false">-SUMPRODUCT(固有振動数!$Q$6:$Q$22*固有振動数!$P$6:$P$22/((1-($A756/固有振動数!$O$6:$O$22)^2)^2+固有振動数!$P$6:$P$22^2))</f>
        <v>-1.07256986358666</v>
      </c>
      <c r="D756" s="124" t="n">
        <f aca="false">SQRT(B756^2+C756^2)</f>
        <v>17.8488376213029</v>
      </c>
      <c r="E756" s="125" t="n">
        <f aca="false">20*LOG10(MAX(D756,0.000000000001)/$K$3)</f>
        <v>25.0321987718871</v>
      </c>
    </row>
    <row r="757" customFormat="false" ht="15" hidden="false" customHeight="false" outlineLevel="0" collapsed="false">
      <c r="A757" s="126" t="n">
        <f aca="false">A756+$F$3</f>
        <v>7510</v>
      </c>
      <c r="B757" s="127" t="n">
        <f aca="false">SUMPRODUCT(固有振動数!$Q$6:$Q$22*(1-($A757/固有振動数!$O$6:$O$22)^2)/((1-($A757/固有振動数!$O$6:$O$22)^2)^2+固有振動数!$P$6:$P$22^2))</f>
        <v>17.8964859436824</v>
      </c>
      <c r="C757" s="127" t="n">
        <f aca="false">-SUMPRODUCT(固有振動数!$Q$6:$Q$22*固有振動数!$P$6:$P$22/((1-($A757/固有振動数!$O$6:$O$22)^2)^2+固有振動数!$P$6:$P$22^2))</f>
        <v>-1.07815619548173</v>
      </c>
      <c r="D757" s="128" t="n">
        <f aca="false">SQRT(B757^2+C757^2)</f>
        <v>17.9289327600467</v>
      </c>
      <c r="E757" s="129" t="n">
        <f aca="false">20*LOG10(MAX(D757,0.000000000001)/$K$3)</f>
        <v>25.0710887692499</v>
      </c>
    </row>
    <row r="758" customFormat="false" ht="15" hidden="false" customHeight="false" outlineLevel="0" collapsed="false">
      <c r="A758" s="122" t="n">
        <f aca="false">A757+$F$3</f>
        <v>7520</v>
      </c>
      <c r="B758" s="123" t="n">
        <f aca="false">SUMPRODUCT(固有振動数!$Q$6:$Q$22*(1-($A758/固有振動数!$O$6:$O$22)^2)/((1-($A758/固有振動数!$O$6:$O$22)^2)^2+固有振動数!$P$6:$P$22^2))</f>
        <v>17.9767345091549</v>
      </c>
      <c r="C758" s="123" t="n">
        <f aca="false">-SUMPRODUCT(固有振動数!$Q$6:$Q$22*固有振動数!$P$6:$P$22/((1-($A758/固有振動数!$O$6:$O$22)^2)^2+固有振動数!$P$6:$P$22^2))</f>
        <v>-1.08390617688919</v>
      </c>
      <c r="D758" s="124" t="n">
        <f aca="false">SQRT(B758^2+C758^2)</f>
        <v>18.00938189425</v>
      </c>
      <c r="E758" s="125" t="n">
        <f aca="false">20*LOG10(MAX(D758,0.000000000001)/$K$3)</f>
        <v>25.1099761503129</v>
      </c>
    </row>
    <row r="759" customFormat="false" ht="15" hidden="false" customHeight="false" outlineLevel="0" collapsed="false">
      <c r="A759" s="126" t="n">
        <f aca="false">A758+$F$3</f>
        <v>7530</v>
      </c>
      <c r="B759" s="127" t="n">
        <f aca="false">SUMPRODUCT(固有振動数!$Q$6:$Q$22*(1-($A759/固有振動数!$O$6:$O$22)^2)/((1-($A759/固有振動数!$O$6:$O$22)^2)^2+固有振動数!$P$6:$P$22^2))</f>
        <v>18.0573450626005</v>
      </c>
      <c r="C759" s="127" t="n">
        <f aca="false">-SUMPRODUCT(固有振動数!$Q$6:$Q$22*固有振動数!$P$6:$P$22/((1-($A759/固有振動数!$O$6:$O$22)^2)^2+固有振動数!$P$6:$P$22^2))</f>
        <v>-1.0898217985884</v>
      </c>
      <c r="D759" s="128" t="n">
        <f aca="false">SQRT(B759^2+C759^2)</f>
        <v>18.0902023831272</v>
      </c>
      <c r="E759" s="129" t="n">
        <f aca="false">20*LOG10(MAX(D759,0.000000000001)/$K$3)</f>
        <v>25.1488685106443</v>
      </c>
    </row>
    <row r="760" customFormat="false" ht="15" hidden="false" customHeight="false" outlineLevel="0" collapsed="false">
      <c r="A760" s="122" t="n">
        <f aca="false">A759+$F$3</f>
        <v>7540</v>
      </c>
      <c r="B760" s="123" t="n">
        <f aca="false">SUMPRODUCT(固有振動数!$Q$6:$Q$22*(1-($A760/固有振動数!$O$6:$O$22)^2)/((1-($A760/固有振動数!$O$6:$O$22)^2)^2+固有振動数!$P$6:$P$22^2))</f>
        <v>18.1383349718766</v>
      </c>
      <c r="C760" s="123" t="n">
        <f aca="false">-SUMPRODUCT(固有振動数!$Q$6:$Q$22*固有振動数!$P$6:$P$22/((1-($A760/固有振動数!$O$6:$O$22)^2)^2+固有振動数!$P$6:$P$22^2))</f>
        <v>-1.09590518324249</v>
      </c>
      <c r="D760" s="124" t="n">
        <f aca="false">SQRT(B760^2+C760^2)</f>
        <v>18.1714117151821</v>
      </c>
      <c r="E760" s="125" t="n">
        <f aca="false">20*LOG10(MAX(D760,0.000000000001)/$K$3)</f>
        <v>25.1877733687226</v>
      </c>
    </row>
    <row r="761" customFormat="false" ht="15" hidden="false" customHeight="false" outlineLevel="0" collapsed="false">
      <c r="A761" s="126" t="n">
        <f aca="false">A760+$F$3</f>
        <v>7550</v>
      </c>
      <c r="B761" s="127" t="n">
        <f aca="false">SUMPRODUCT(固有振動数!$Q$6:$Q$22*(1-($A761/固有振動数!$O$6:$O$22)^2)/((1-($A761/固有振動数!$O$6:$O$22)^2)^2+固有振動数!$P$6:$P$22^2))</f>
        <v>18.2197217371606</v>
      </c>
      <c r="C761" s="127" t="n">
        <f aca="false">-SUMPRODUCT(固有振動数!$Q$6:$Q$22*固有振動数!$P$6:$P$22/((1-($A761/固有振動数!$O$6:$O$22)^2)^2+固有振動数!$P$6:$P$22^2))</f>
        <v>-1.10215858737362</v>
      </c>
      <c r="D761" s="128" t="n">
        <f aca="false">SQRT(B761^2+C761^2)</f>
        <v>18.2530275223395</v>
      </c>
      <c r="E761" s="129" t="n">
        <f aca="false">20*LOG10(MAX(D761,0.000000000001)/$K$3)</f>
        <v>25.226698172779</v>
      </c>
    </row>
    <row r="762" customFormat="false" ht="15" hidden="false" customHeight="false" outlineLevel="0" collapsed="false">
      <c r="A762" s="122" t="n">
        <f aca="false">A761+$F$3</f>
        <v>7560</v>
      </c>
      <c r="B762" s="123" t="n">
        <f aca="false">SUMPRODUCT(固有振動数!$Q$6:$Q$22*(1-($A762/固有振動数!$O$6:$O$22)^2)/((1-($A762/固有振動数!$O$6:$O$22)^2)^2+固有振動数!$P$6:$P$22^2))</f>
        <v>18.301523005039</v>
      </c>
      <c r="C762" s="123" t="n">
        <f aca="false">-SUMPRODUCT(固有振動数!$Q$6:$Q$22*固有振動数!$P$6:$P$22/((1-($A762/固有振動数!$O$6:$O$22)^2)^2+固有振動数!$P$6:$P$22^2))</f>
        <v>-1.1085844035729</v>
      </c>
      <c r="D762" s="124" t="n">
        <f aca="false">SQRT(B762^2+C762^2)</f>
        <v>18.3350675941981</v>
      </c>
      <c r="E762" s="125" t="n">
        <f aca="false">20*LOG10(MAX(D762,0.000000000001)/$K$3)</f>
        <v>25.2656503074575</v>
      </c>
    </row>
    <row r="763" customFormat="false" ht="15" hidden="false" customHeight="false" outlineLevel="0" collapsed="false">
      <c r="A763" s="126" t="n">
        <f aca="false">A762+$F$3</f>
        <v>7570</v>
      </c>
      <c r="B763" s="127" t="n">
        <f aca="false">SUMPRODUCT(固有振動数!$Q$6:$Q$22*(1-($A763/固有振動数!$O$6:$O$22)^2)/((1-($A763/固有振動数!$O$6:$O$22)^2)^2+固有振動数!$P$6:$P$22^2))</f>
        <v>18.383756582714</v>
      </c>
      <c r="C763" s="127" t="n">
        <f aca="false">-SUMPRODUCT(固有振動数!$Q$6:$Q$22*固有振動数!$P$6:$P$22/((1-($A763/固有振動数!$O$6:$O$22)^2)^2+固有振動数!$P$6:$P$22^2))</f>
        <v>-1.11518516294863</v>
      </c>
      <c r="D763" s="128" t="n">
        <f aca="false">SQRT(B763^2+C763^2)</f>
        <v>18.4175498924298</v>
      </c>
      <c r="E763" s="129" t="n">
        <f aca="false">20*LOG10(MAX(D763,0.000000000001)/$K$3)</f>
        <v>25.3046371003091</v>
      </c>
    </row>
    <row r="764" customFormat="false" ht="15" hidden="false" customHeight="false" outlineLevel="0" collapsed="false">
      <c r="A764" s="122" t="n">
        <f aca="false">A763+$F$3</f>
        <v>7580</v>
      </c>
      <c r="B764" s="123" t="n">
        <f aca="false">SUMPRODUCT(固有振動数!$Q$6:$Q$22*(1-($A764/固有振動数!$O$6:$O$22)^2)/((1-($A764/固有振動数!$O$6:$O$22)^2)^2+固有振動数!$P$6:$P$22^2))</f>
        <v>18.4664404523547</v>
      </c>
      <c r="C764" s="123" t="n">
        <f aca="false">-SUMPRODUCT(固有振動数!$Q$6:$Q$22*固有振動数!$P$6:$P$22/((1-($A764/固有振動数!$O$6:$O$22)^2)^2+固有振動数!$P$6:$P$22^2))</f>
        <v>-1.12196353781734</v>
      </c>
      <c r="D764" s="124" t="n">
        <f aca="false">SQRT(B764^2+C764^2)</f>
        <v>18.5004925653495</v>
      </c>
      <c r="E764" s="125" t="n">
        <f aca="false">20*LOG10(MAX(D764,0.000000000001)/$K$3)</f>
        <v>25.3436658281311</v>
      </c>
    </row>
    <row r="765" customFormat="false" ht="15" hidden="false" customHeight="false" outlineLevel="0" collapsed="false">
      <c r="A765" s="126" t="n">
        <f aca="false">A764+$F$3</f>
        <v>7590</v>
      </c>
      <c r="B765" s="127" t="n">
        <f aca="false">SUMPRODUCT(固有振動数!$Q$6:$Q$22*(1-($A765/固有振動数!$O$6:$O$22)^2)/((1-($A765/固有振動数!$O$6:$O$22)^2)^2+固有振動数!$P$6:$P$22^2))</f>
        <v>18.549592785615</v>
      </c>
      <c r="C765" s="127" t="n">
        <f aca="false">-SUMPRODUCT(固有振動数!$Q$6:$Q$22*固有振動数!$P$6:$P$22/((1-($A765/固有振動数!$O$6:$O$22)^2)^2+固有振動数!$P$6:$P$22^2))</f>
        <v>-1.12892234464303</v>
      </c>
      <c r="D765" s="128" t="n">
        <f aca="false">SQRT(B765^2+C765^2)</f>
        <v>18.5839139626822</v>
      </c>
      <c r="E765" s="129" t="n">
        <f aca="false">20*LOG10(MAX(D765,0.000000000001)/$K$3)</f>
        <v>25.3827437231672</v>
      </c>
    </row>
    <row r="766" customFormat="false" ht="15" hidden="false" customHeight="false" outlineLevel="0" collapsed="false">
      <c r="A766" s="122" t="n">
        <f aca="false">A765+$F$3</f>
        <v>7600</v>
      </c>
      <c r="B766" s="123" t="n">
        <f aca="false">SUMPRODUCT(固有振動数!$Q$6:$Q$22*(1-($A766/固有振動数!$O$6:$O$22)^2)/((1-($A766/固有振動数!$O$6:$O$22)^2)^2+固有振動数!$P$6:$P$22^2))</f>
        <v>18.6332319583454</v>
      </c>
      <c r="C766" s="123" t="n">
        <f aca="false">-SUMPRODUCT(固有振動数!$Q$6:$Q$22*固有振動数!$P$6:$P$22/((1-($A766/固有振動数!$O$6:$O$22)^2)^2+固有振動数!$P$6:$P$22^2))</f>
        <v>-1.13606454723034</v>
      </c>
      <c r="D766" s="124" t="n">
        <f aca="false">SQRT(B766^2+C766^2)</f>
        <v>18.667832650551</v>
      </c>
      <c r="E766" s="125" t="n">
        <f aca="false">20*LOG10(MAX(D766,0.000000000001)/$K$3)</f>
        <v>25.4218779791798</v>
      </c>
    </row>
    <row r="767" customFormat="false" ht="15" hidden="false" customHeight="false" outlineLevel="0" collapsed="false">
      <c r="A767" s="126" t="n">
        <f aca="false">A766+$F$3</f>
        <v>7610</v>
      </c>
      <c r="B767" s="127" t="n">
        <f aca="false">SUMPRODUCT(固有振動数!$Q$6:$Q$22*(1-($A767/固有振動数!$O$6:$O$22)^2)/((1-($A767/固有振動数!$O$6:$O$22)^2)^2+固有振動数!$P$6:$P$22^2))</f>
        <v>18.7173765655225</v>
      </c>
      <c r="C767" s="127" t="n">
        <f aca="false">-SUMPRODUCT(固有振動数!$Q$6:$Q$22*固有振動数!$P$6:$P$22/((1-($A767/固有振動数!$O$6:$O$22)^2)^2+固有振動数!$P$6:$P$22^2))</f>
        <v>-1.14339326017861</v>
      </c>
      <c r="D767" s="128" t="n">
        <f aca="false">SQRT(B767^2+C767^2)</f>
        <v>18.7522674267138</v>
      </c>
      <c r="E767" s="129" t="n">
        <f aca="false">20*LOG10(MAX(D767,0.000000000001)/$K$3)</f>
        <v>25.4610757574062</v>
      </c>
    </row>
    <row r="768" customFormat="false" ht="15" hidden="false" customHeight="false" outlineLevel="0" collapsed="false">
      <c r="A768" s="122" t="n">
        <f aca="false">A767+$F$3</f>
        <v>7620</v>
      </c>
      <c r="B768" s="123" t="n">
        <f aca="false">SUMPRODUCT(固有振動数!$Q$6:$Q$22*(1-($A768/固有振動数!$O$6:$O$22)^2)/((1-($A768/固有振動数!$O$6:$O$22)^2)^2+固有振動数!$P$6:$P$22^2))</f>
        <v>18.8020454364233</v>
      </c>
      <c r="C768" s="123" t="n">
        <f aca="false">-SUMPRODUCT(固有振動数!$Q$6:$Q$22*固有振動数!$P$6:$P$22/((1-($A768/固有振動数!$O$6:$O$22)^2)^2+固有振動数!$P$6:$P$22^2))</f>
        <v>-1.15091175260433</v>
      </c>
      <c r="D768" s="124" t="n">
        <f aca="false">SQRT(B768^2+C768^2)</f>
        <v>18.8372373360748</v>
      </c>
      <c r="E768" s="125" t="n">
        <f aca="false">20*LOG10(MAX(D768,0.000000000001)/$K$3)</f>
        <v>25.5003441924114</v>
      </c>
    </row>
    <row r="769" customFormat="false" ht="15" hidden="false" customHeight="false" outlineLevel="0" collapsed="false">
      <c r="A769" s="126" t="n">
        <f aca="false">A768+$F$3</f>
        <v>7630</v>
      </c>
      <c r="B769" s="127" t="n">
        <f aca="false">SUMPRODUCT(固有振動数!$Q$6:$Q$22*(1-($A769/固有振動数!$O$6:$O$22)^2)/((1-($A769/固有振動数!$O$6:$O$22)^2)^2+固有振動数!$P$6:$P$22^2))</f>
        <v>18.8872576500696</v>
      </c>
      <c r="C769" s="127" t="n">
        <f aca="false">-SUMPRODUCT(固有振動数!$Q$6:$Q$22*固有振動数!$P$6:$P$22/((1-($A769/固有振動数!$O$6:$O$22)^2)^2+固有振動数!$P$6:$P$22^2))</f>
        <v>-1.15862345214044</v>
      </c>
      <c r="D769" s="128" t="n">
        <f aca="false">SQRT(B769^2+C769^2)</f>
        <v>18.9227616864971</v>
      </c>
      <c r="E769" s="129" t="n">
        <f aca="false">20*LOG10(MAX(D769,0.000000000001)/$K$3)</f>
        <v>25.5396903978482</v>
      </c>
    </row>
    <row r="770" customFormat="false" ht="15" hidden="false" customHeight="false" outlineLevel="0" collapsed="false">
      <c r="A770" s="122" t="n">
        <f aca="false">A769+$F$3</f>
        <v>7640</v>
      </c>
      <c r="B770" s="123" t="n">
        <f aca="false">SUMPRODUCT(固有振動数!$Q$6:$Q$22*(1-($A770/固有振動数!$O$6:$O$22)^2)/((1-($A770/固有振動数!$O$6:$O$22)^2)^2+固有振動数!$P$6:$P$22^2))</f>
        <v>18.9730325509695</v>
      </c>
      <c r="C770" s="123" t="n">
        <f aca="false">-SUMPRODUCT(固有振動数!$Q$6:$Q$22*固有振動数!$P$6:$P$22/((1-($A770/固有振動数!$O$6:$O$22)^2)^2+固有振動数!$P$6:$P$22^2))</f>
        <v>-1.1665319492216</v>
      </c>
      <c r="D770" s="124" t="n">
        <f aca="false">SQRT(B770^2+C770^2)</f>
        <v>19.0088600649461</v>
      </c>
      <c r="E770" s="125" t="n">
        <f aca="false">20*LOG10(MAX(D770,0.000000000001)/$K$3)</f>
        <v>25.5791214721352</v>
      </c>
    </row>
    <row r="771" customFormat="false" ht="15" hidden="false" customHeight="false" outlineLevel="0" collapsed="false">
      <c r="A771" s="126" t="n">
        <f aca="false">A770+$F$3</f>
        <v>7650</v>
      </c>
      <c r="B771" s="127" t="n">
        <f aca="false">SUMPRODUCT(固有振動数!$Q$6:$Q$22*(1-($A771/固有振動数!$O$6:$O$22)^2)/((1-($A771/固有振動数!$O$6:$O$22)^2)^2+固有振動数!$P$6:$P$22^2))</f>
        <v>19.059389765184</v>
      </c>
      <c r="C771" s="127" t="n">
        <f aca="false">-SUMPRODUCT(固有振動数!$Q$6:$Q$22*固有振動数!$P$6:$P$22/((1-($A771/固有振動数!$O$6:$O$22)^2)^2+固有振動数!$P$6:$P$22^2))</f>
        <v>-1.17464100166581</v>
      </c>
      <c r="D771" s="128" t="n">
        <f aca="false">SQRT(B771^2+C771^2)</f>
        <v>19.0955523539906</v>
      </c>
      <c r="E771" s="129" t="n">
        <f aca="false">20*LOG10(MAX(D771,0.000000000001)/$K$3)</f>
        <v>25.6186445040644</v>
      </c>
    </row>
    <row r="772" customFormat="false" ht="15" hidden="false" customHeight="false" outlineLevel="0" collapsed="false">
      <c r="A772" s="122" t="n">
        <f aca="false">A771+$F$3</f>
        <v>7660</v>
      </c>
      <c r="B772" s="123" t="n">
        <f aca="false">SUMPRODUCT(固有振動数!$Q$6:$Q$22*(1-($A772/固有振動数!$O$6:$O$22)^2)/((1-($A772/固有振動数!$O$6:$O$22)^2)^2+固有振動数!$P$6:$P$22^2))</f>
        <v>19.1463492167462</v>
      </c>
      <c r="C772" s="123" t="n">
        <f aca="false">-SUMPRODUCT(固有振動数!$Q$6:$Q$22*固有振動数!$P$6:$P$22/((1-($A772/固有振動数!$O$6:$O$22)^2)^2+固有振動数!$P$6:$P$22^2))</f>
        <v>-1.1829545395632</v>
      </c>
      <c r="D772" s="124" t="n">
        <f aca="false">SQRT(B772^2+C772^2)</f>
        <v>19.1828587486921</v>
      </c>
      <c r="E772" s="125" t="n">
        <f aca="false">20*LOG10(MAX(D772,0.000000000001)/$K$3)</f>
        <v>25.6582665783473</v>
      </c>
    </row>
    <row r="773" customFormat="false" ht="15" hidden="false" customHeight="false" outlineLevel="0" collapsed="false">
      <c r="A773" s="126" t="n">
        <f aca="false">A772+$F$3</f>
        <v>7670</v>
      </c>
      <c r="B773" s="127" t="n">
        <f aca="false">SUMPRODUCT(固有振動数!$Q$6:$Q$22*(1-($A773/固有振動数!$O$6:$O$22)^2)/((1-($A773/固有振動数!$O$6:$O$22)^2)^2+固有振動数!$P$6:$P$22^2))</f>
        <v>19.2339311444626</v>
      </c>
      <c r="C773" s="127" t="n">
        <f aca="false">-SUMPRODUCT(固有振動数!$Q$6:$Q$22*固有振動数!$P$6:$P$22/((1-($A773/固有振動数!$O$6:$O$22)^2)^2+固有振動数!$P$6:$P$22^2))</f>
        <v>-1.19147667048432</v>
      </c>
      <c r="D773" s="128" t="n">
        <f aca="false">SQRT(B773^2+C773^2)</f>
        <v>19.2707997739128</v>
      </c>
      <c r="E773" s="129" t="n">
        <f aca="false">20*LOG10(MAX(D773,0.000000000001)/$K$3)</f>
        <v>25.6979947811105</v>
      </c>
    </row>
    <row r="774" customFormat="false" ht="15" hidden="false" customHeight="false" outlineLevel="0" collapsed="false">
      <c r="A774" s="122" t="n">
        <f aca="false">A773+$F$3</f>
        <v>7680</v>
      </c>
      <c r="B774" s="123" t="n">
        <f aca="false">SUMPRODUCT(固有振動数!$Q$6:$Q$22*(1-($A774/固有振動数!$O$6:$O$22)^2)/((1-($A774/固有振動数!$O$6:$O$22)^2)^2+固有振動数!$P$6:$P$22^2))</f>
        <v>19.3221561191261</v>
      </c>
      <c r="C774" s="123" t="n">
        <f aca="false">-SUMPRODUCT(固有振動数!$Q$6:$Q$22*固有振動数!$P$6:$P$22/((1-($A774/固有振動数!$O$6:$O$22)^2)^2+固有振動数!$P$6:$P$22^2))</f>
        <v>-1.20021168502084</v>
      </c>
      <c r="D774" s="124" t="n">
        <f aca="false">SQRT(B774^2+C774^2)</f>
        <v>19.3593963020737</v>
      </c>
      <c r="E774" s="125" t="n">
        <f aca="false">20*LOG10(MAX(D774,0.000000000001)/$K$3)</f>
        <v>25.7378362053504</v>
      </c>
    </row>
    <row r="775" customFormat="false" ht="15" hidden="false" customHeight="false" outlineLevel="0" collapsed="false">
      <c r="A775" s="126" t="n">
        <f aca="false">A774+$F$3</f>
        <v>7690</v>
      </c>
      <c r="B775" s="127" t="n">
        <f aca="false">SUMPRODUCT(固有振動数!$Q$6:$Q$22*(1-($A775/固有振動数!$O$6:$O$22)^2)/((1-($A775/固有振動数!$O$6:$O$22)^2)^2+固有振動数!$P$6:$P$22^2))</f>
        <v>19.4110450611716</v>
      </c>
      <c r="C775" s="127" t="n">
        <f aca="false">-SUMPRODUCT(固有振動数!$Q$6:$Q$22*固有振動数!$P$6:$P$22/((1-($A775/固有振動数!$O$6:$O$22)^2)^2+固有振動数!$P$6:$P$22^2))</f>
        <v>-1.20916406267286</v>
      </c>
      <c r="D775" s="128" t="n">
        <f aca="false">SQRT(B775^2+C775^2)</f>
        <v>19.4486695713947</v>
      </c>
      <c r="E775" s="129" t="n">
        <f aca="false">20*LOG10(MAX(D775,0.000000000001)/$K$3)</f>
        <v>25.7777979563562</v>
      </c>
    </row>
    <row r="776" customFormat="false" ht="15" hidden="false" customHeight="false" outlineLevel="0" collapsed="false">
      <c r="A776" s="122" t="n">
        <f aca="false">A775+$F$3</f>
        <v>7700</v>
      </c>
      <c r="B776" s="123" t="n">
        <f aca="false">SUMPRODUCT(固有振動数!$Q$6:$Q$22*(1-($A776/固有振動数!$O$6:$O$22)^2)/((1-($A776/固有振動数!$O$6:$O$22)^2)^2+固有振動数!$P$6:$P$22^2))</f>
        <v>19.5006192588063</v>
      </c>
      <c r="C776" s="123" t="n">
        <f aca="false">-SUMPRODUCT(固有振動数!$Q$6:$Q$22*固有振動数!$P$6:$P$22/((1-($A776/固有振動数!$O$6:$O$22)^2)^2+固有振動数!$P$6:$P$22^2))</f>
        <v>-1.21833847809822</v>
      </c>
      <c r="D776" s="124" t="n">
        <f aca="false">SQRT(B776^2+C776^2)</f>
        <v>19.5386412046524</v>
      </c>
      <c r="E776" s="125" t="n">
        <f aca="false">20*LOG10(MAX(D776,0.000000000001)/$K$3)</f>
        <v>25.817887157112</v>
      </c>
    </row>
    <row r="777" customFormat="false" ht="15" hidden="false" customHeight="false" outlineLevel="0" collapsed="false">
      <c r="A777" s="126" t="n">
        <f aca="false">A776+$F$3</f>
        <v>7710</v>
      </c>
      <c r="B777" s="127" t="n">
        <f aca="false">SUMPRODUCT(固有振動数!$Q$6:$Q$22*(1-($A777/固有振動数!$O$6:$O$22)^2)/((1-($A777/固有振動数!$O$6:$O$22)^2)^2+固有振動数!$P$6:$P$22^2))</f>
        <v>19.5909003866475</v>
      </c>
      <c r="C777" s="127" t="n">
        <f aca="false">-SUMPRODUCT(固有振動数!$Q$6:$Q$22*固有振動数!$P$6:$P$22/((1-($A777/固有振動数!$O$6:$O$22)^2)^2+固有振動数!$P$6:$P$22^2))</f>
        <v>-1.22773980774022</v>
      </c>
      <c r="D777" s="128" t="n">
        <f aca="false">SQRT(B777^2+C777^2)</f>
        <v>19.6293332284889</v>
      </c>
      <c r="E777" s="129" t="n">
        <f aca="false">20*LOG10(MAX(D777,0.000000000001)/$K$3)</f>
        <v>25.8581109536852</v>
      </c>
    </row>
    <row r="778" customFormat="false" ht="15" hidden="false" customHeight="false" outlineLevel="0" collapsed="false">
      <c r="A778" s="122" t="n">
        <f aca="false">A777+$F$3</f>
        <v>7720</v>
      </c>
      <c r="B778" s="123" t="n">
        <f aca="false">SUMPRODUCT(固有振動数!$Q$6:$Q$22*(1-($A778/固有振動数!$O$6:$O$22)^2)/((1-($A778/固有振動数!$O$6:$O$22)^2)^2+固有振動数!$P$6:$P$22^2))</f>
        <v>19.681910524903</v>
      </c>
      <c r="C778" s="123" t="n">
        <f aca="false">-SUMPRODUCT(固有振動数!$Q$6:$Q$22*固有振動数!$P$6:$P$22/((1-($A778/固有振動数!$O$6:$O$22)^2)^2+固有振動数!$P$6:$P$22^2))</f>
        <v>-1.23737313685162</v>
      </c>
      <c r="D778" s="124" t="n">
        <f aca="false">SQRT(B778^2+C778^2)</f>
        <v>19.7207680933094</v>
      </c>
      <c r="E778" s="125" t="n">
        <f aca="false">20*LOG10(MAX(D778,0.000000000001)/$K$3)</f>
        <v>25.8984765206125</v>
      </c>
    </row>
    <row r="779" customFormat="false" ht="15" hidden="false" customHeight="false" outlineLevel="0" collapsed="false">
      <c r="A779" s="126" t="n">
        <f aca="false">A778+$F$3</f>
        <v>7730</v>
      </c>
      <c r="B779" s="127" t="n">
        <f aca="false">SUMPRODUCT(固有振動数!$Q$6:$Q$22*(1-($A779/固有振動数!$O$6:$O$22)^2)/((1-($A779/固有振動数!$O$6:$O$22)^2)^2+固有振動数!$P$6:$P$22^2))</f>
        <v>19.7736721791286</v>
      </c>
      <c r="C779" s="127" t="n">
        <f aca="false">-SUMPRODUCT(固有振動数!$Q$6:$Q$22*固有振動数!$P$6:$P$22/((1-($A779/固有振動数!$O$6:$O$22)^2)^2+固有振動数!$P$6:$P$22^2))</f>
        <v>-1.24724376693393</v>
      </c>
      <c r="D779" s="128" t="n">
        <f aca="false">SQRT(B779^2+C779^2)</f>
        <v>19.8129686938076</v>
      </c>
      <c r="E779" s="129" t="n">
        <f aca="false">20*LOG10(MAX(D779,0.000000000001)/$K$3)</f>
        <v>25.9389910662919</v>
      </c>
    </row>
    <row r="780" customFormat="false" ht="15" hidden="false" customHeight="false" outlineLevel="0" collapsed="false">
      <c r="A780" s="122" t="n">
        <f aca="false">A779+$F$3</f>
        <v>7740</v>
      </c>
      <c r="B780" s="123" t="n">
        <f aca="false">SUMPRODUCT(固有振動数!$Q$6:$Q$22*(1-($A780/固有振動数!$O$6:$O$22)^2)/((1-($A780/固有振動数!$O$6:$O$22)^2)^2+固有振動数!$P$6:$P$22^2))</f>
        <v>19.8662083006014</v>
      </c>
      <c r="C780" s="123" t="n">
        <f aca="false">-SUMPRODUCT(固有振動数!$Q$6:$Q$22*固有振動数!$P$6:$P$22/((1-($A780/固有振動数!$O$6:$O$22)^2)^2+固有振動数!$P$6:$P$22^2))</f>
        <v>-1.25735722361265</v>
      </c>
      <c r="D780" s="124" t="n">
        <f aca="false">SQRT(B780^2+C780^2)</f>
        <v>19.9059583901569</v>
      </c>
      <c r="E780" s="125" t="n">
        <f aca="false">20*LOG10(MAX(D780,0.000000000001)/$K$3)</f>
        <v>25.979661838389</v>
      </c>
    </row>
    <row r="781" customFormat="false" ht="15" hidden="false" customHeight="false" outlineLevel="0" collapsed="false">
      <c r="A781" s="126" t="n">
        <f aca="false">A780+$F$3</f>
        <v>7750</v>
      </c>
      <c r="B781" s="127" t="n">
        <f aca="false">SUMPRODUCT(固有振動数!$Q$6:$Q$22*(1-($A781/固有振動数!$O$6:$O$22)^2)/((1-($A781/固有振動数!$O$6:$O$22)^2)^2+固有振動数!$P$6:$P$22^2))</f>
        <v>19.9595423073472</v>
      </c>
      <c r="C781" s="127" t="n">
        <f aca="false">-SUMPRODUCT(固有振動数!$Q$6:$Q$22*固有振動数!$P$6:$P$22/((1-($A781/固有振動数!$O$6:$O$22)^2)^2+固有振動数!$P$6:$P$22^2))</f>
        <v>-1.2677192649706</v>
      </c>
      <c r="D781" s="128" t="n">
        <f aca="false">SQRT(B781^2+C781^2)</f>
        <v>19.9997610299114</v>
      </c>
      <c r="E781" s="129" t="n">
        <f aca="false">20*LOG10(MAX(D781,0.000000000001)/$K$3)</f>
        <v>26.0204961292688</v>
      </c>
    </row>
    <row r="782" customFormat="false" ht="15" hidden="false" customHeight="false" outlineLevel="0" collapsed="false">
      <c r="A782" s="122" t="n">
        <f aca="false">A781+$F$3</f>
        <v>7760</v>
      </c>
      <c r="B782" s="123" t="n">
        <f aca="false">SUMPRODUCT(固有振動数!$Q$6:$Q$22*(1-($A782/固有振動数!$O$6:$O$22)^2)/((1-($A782/固有振動数!$O$6:$O$22)^2)^2+固有振動数!$P$6:$P$22^2))</f>
        <v>20.0536981058619</v>
      </c>
      <c r="C782" s="123" t="n">
        <f aca="false">-SUMPRODUCT(固有振動数!$Q$6:$Q$22*固有振動数!$P$6:$P$22/((1-($A782/固有振動数!$O$6:$O$22)^2)^2+固有振動数!$P$6:$P$22^2))</f>
        <v>-1.27833589036286</v>
      </c>
      <c r="D782" s="124" t="n">
        <f aca="false">SQRT(B782^2+C782^2)</f>
        <v>20.0944009706594</v>
      </c>
      <c r="E782" s="125" t="n">
        <f aca="false">20*LOG10(MAX(D782,0.000000000001)/$K$3)</f>
        <v>26.0615012814595</v>
      </c>
    </row>
    <row r="783" customFormat="false" ht="15" hidden="false" customHeight="false" outlineLevel="0" collapsed="false">
      <c r="A783" s="126" t="n">
        <f aca="false">A782+$F$3</f>
        <v>7770</v>
      </c>
      <c r="B783" s="127" t="n">
        <f aca="false">SUMPRODUCT(固有振動数!$Q$6:$Q$22*(1-($A783/固有振動数!$O$6:$O$22)^2)/((1-($A783/固有振動数!$O$6:$O$22)^2)^2+固有振動数!$P$6:$P$22^2))</f>
        <v>20.1487001135706</v>
      </c>
      <c r="C783" s="127" t="n">
        <f aca="false">-SUMPRODUCT(固有振動数!$Q$6:$Q$22*固有振動数!$P$6:$P$22/((1-($A783/固有振動数!$O$6:$O$22)^2)^2+固有振動数!$P$6:$P$22^2))</f>
        <v>-1.28921334973896</v>
      </c>
      <c r="D783" s="128" t="n">
        <f aca="false">SQRT(B783^2+C783^2)</f>
        <v>20.1899031034759</v>
      </c>
      <c r="E783" s="129" t="n">
        <f aca="false">20*LOG10(MAX(D783,0.000000000001)/$K$3)</f>
        <v>26.1026846931603</v>
      </c>
    </row>
    <row r="784" customFormat="false" ht="15" hidden="false" customHeight="false" outlineLevel="0" collapsed="false">
      <c r="A784" s="122" t="n">
        <f aca="false">A783+$F$3</f>
        <v>7780</v>
      </c>
      <c r="B784" s="123" t="n">
        <f aca="false">SUMPRODUCT(固有振動数!$Q$6:$Q$22*(1-($A784/固有振動数!$O$6:$O$22)^2)/((1-($A784/固有振動数!$O$6:$O$22)^2)^2+固有振動数!$P$6:$P$22^2))</f>
        <v>20.2445732820687</v>
      </c>
      <c r="C784" s="123" t="n">
        <f aca="false">-SUMPRODUCT(固有振動数!$Q$6:$Q$22*固有振動数!$P$6:$P$22/((1-($A784/固有振動数!$O$6:$O$22)^2)^2+固有振動数!$P$6:$P$22^2))</f>
        <v>-1.30035815349956</v>
      </c>
      <c r="D784" s="124" t="n">
        <f aca="false">SQRT(B784^2+C784^2)</f>
        <v>20.2862928772218</v>
      </c>
      <c r="E784" s="125" t="n">
        <f aca="false">20*LOG10(MAX(D784,0.000000000001)/$K$3)</f>
        <v>26.1440538237998</v>
      </c>
    </row>
    <row r="785" customFormat="false" ht="15" hidden="false" customHeight="false" outlineLevel="0" collapsed="false">
      <c r="A785" s="126" t="n">
        <f aca="false">A784+$F$3</f>
        <v>7790</v>
      </c>
      <c r="B785" s="127" t="n">
        <f aca="false">SUMPRODUCT(固有振動数!$Q$6:$Q$22*(1-($A785/固有振動数!$O$6:$O$22)^2)/((1-($A785/固有振動数!$O$6:$O$22)^2)^2+固有振動数!$P$6:$P$22^2))</f>
        <v>20.3413431211904</v>
      </c>
      <c r="C785" s="127" t="n">
        <f aca="false">-SUMPRODUCT(固有振動数!$Q$6:$Q$22*固有振動数!$P$6:$P$22/((1-($A785/固有振動数!$O$6:$O$22)^2)^2+固有振動数!$P$6:$P$22^2))</f>
        <v>-1.31177708291681</v>
      </c>
      <c r="D785" s="128" t="n">
        <f aca="false">SQRT(B785^2+C785^2)</f>
        <v>20.3835963237419</v>
      </c>
      <c r="E785" s="129" t="n">
        <f aca="false">20*LOG10(MAX(D785,0.000000000001)/$K$3)</f>
        <v>26.185616199656</v>
      </c>
    </row>
    <row r="786" customFormat="false" ht="15" hidden="false" customHeight="false" outlineLevel="0" collapsed="false">
      <c r="A786" s="122" t="n">
        <f aca="false">A785+$F$3</f>
        <v>7800</v>
      </c>
      <c r="B786" s="123" t="n">
        <f aca="false">SUMPRODUCT(固有振動数!$Q$6:$Q$22*(1-($A786/固有振動数!$O$6:$O$22)^2)/((1-($A786/固有振動数!$O$6:$O$22)^2)^2+固有振動数!$P$6:$P$22^2))</f>
        <v>20.4390357239559</v>
      </c>
      <c r="C786" s="123" t="n">
        <f aca="false">-SUMPRODUCT(固有振動数!$Q$6:$Q$22*固有振動数!$P$6:$P$22/((1-($A786/固有振動数!$O$6:$O$22)^2)^2+固有振動数!$P$6:$P$22^2))</f>
        <v>-1.32347720115001</v>
      </c>
      <c r="D786" s="124" t="n">
        <f aca="false">SQRT(B786^2+C786^2)</f>
        <v>20.4818400840137</v>
      </c>
      <c r="E786" s="125" t="n">
        <f aca="false">20*LOG10(MAX(D786,0.000000000001)/$K$3)</f>
        <v>26.2273794195476</v>
      </c>
    </row>
    <row r="787" customFormat="false" ht="15" hidden="false" customHeight="false" outlineLevel="0" collapsed="false">
      <c r="A787" s="126" t="n">
        <f aca="false">A786+$F$3</f>
        <v>7810</v>
      </c>
      <c r="B787" s="127" t="n">
        <f aca="false">SUMPRODUCT(固有振動数!$Q$6:$Q$22*(1-($A787/固有振動数!$O$6:$O$22)^2)/((1-($A787/固有振動数!$O$6:$O$22)^2)^2+固有振動数!$P$6:$P$22^2))</f>
        <v>20.5376777924464</v>
      </c>
      <c r="C787" s="127" t="n">
        <f aca="false">-SUMPRODUCT(固有振動数!$Q$6:$Q$22*固有振動数!$P$6:$P$22/((1-($A787/固有振動数!$O$6:$O$22)^2)^2+固有振動数!$P$6:$P$22^2))</f>
        <v>-1.33546586489003</v>
      </c>
      <c r="D787" s="128" t="n">
        <f aca="false">SQRT(B787^2+C787^2)</f>
        <v>20.581051435304</v>
      </c>
      <c r="E787" s="129" t="n">
        <f aca="false">20*LOG10(MAX(D787,0.000000000001)/$K$3)</f>
        <v>26.2693511606044</v>
      </c>
    </row>
    <row r="788" customFormat="false" ht="15" hidden="false" customHeight="false" outlineLevel="0" collapsed="false">
      <c r="A788" s="122" t="n">
        <f aca="false">A787+$F$3</f>
        <v>7820</v>
      </c>
      <c r="B788" s="123" t="n">
        <f aca="false">SUMPRODUCT(固有振動数!$Q$6:$Q$22*(1-($A788/固有振動数!$O$6:$O$22)^2)/((1-($A788/固有振動数!$O$6:$O$22)^2)^2+固有振動数!$P$6:$P$22^2))</f>
        <v>20.6372966646627</v>
      </c>
      <c r="C788" s="123" t="n">
        <f aca="false">-SUMPRODUCT(固有振動数!$Q$6:$Q$22*固有振動数!$P$6:$P$22/((1-($A788/固有振動数!$O$6:$O$22)^2)^2+固有振動数!$P$6:$P$22^2))</f>
        <v>-1.34775073666877</v>
      </c>
      <c r="D788" s="124" t="n">
        <f aca="false">SQRT(B788^2+C788^2)</f>
        <v>20.6812583193937</v>
      </c>
      <c r="E788" s="125" t="n">
        <f aca="false">20*LOG10(MAX(D788,0.000000000001)/$K$3)</f>
        <v>26.3115391841285</v>
      </c>
    </row>
    <row r="789" customFormat="false" ht="15" hidden="false" customHeight="false" outlineLevel="0" collapsed="false">
      <c r="A789" s="126" t="n">
        <f aca="false">A788+$F$3</f>
        <v>7830</v>
      </c>
      <c r="B789" s="127" t="n">
        <f aca="false">SUMPRODUCT(固有振動数!$Q$6:$Q$22*(1-($A789/固有振動数!$O$6:$O$22)^2)/((1-($A789/固有振動数!$O$6:$O$22)^2)^2+固有振動数!$P$6:$P$22^2))</f>
        <v>20.7379203424243</v>
      </c>
      <c r="C789" s="127" t="n">
        <f aca="false">-SUMPRODUCT(固有振動数!$Q$6:$Q$22*固有振動数!$P$6:$P$22/((1-($A789/固有振動数!$O$6:$O$22)^2)^2+固有振動数!$P$6:$P$22^2))</f>
        <v>-1.36033979787228</v>
      </c>
      <c r="D789" s="128" t="n">
        <f aca="false">SQRT(B789^2+C789^2)</f>
        <v>20.7824893719307</v>
      </c>
      <c r="E789" s="129" t="n">
        <f aca="false">20*LOG10(MAX(D789,0.000000000001)/$K$3)</f>
        <v>26.3539513415558</v>
      </c>
    </row>
    <row r="790" customFormat="false" ht="15" hidden="false" customHeight="false" outlineLevel="0" collapsed="false">
      <c r="A790" s="122" t="n">
        <f aca="false">A789+$F$3</f>
        <v>7840</v>
      </c>
      <c r="B790" s="123" t="n">
        <f aca="false">SUMPRODUCT(固有振動数!$Q$6:$Q$22*(1-($A790/固有振動数!$O$6:$O$22)^2)/((1-($A790/固有振動数!$O$6:$O$22)^2)^2+固有振動数!$P$6:$P$22^2))</f>
        <v>20.8395775203676</v>
      </c>
      <c r="C790" s="123" t="n">
        <f aca="false">-SUMPRODUCT(固有振動数!$Q$6:$Q$22*固有振動数!$P$6:$P$22/((1-($A790/固有振動数!$O$6:$O$22)^2)^2+固有振動数!$P$6:$P$22^2))</f>
        <v>-1.37324136249927</v>
      </c>
      <c r="D790" s="124" t="n">
        <f aca="false">SQRT(B790^2+C790^2)</f>
        <v>20.8847739529805</v>
      </c>
      <c r="E790" s="125" t="n">
        <f aca="false">20*LOG10(MAX(D790,0.000000000001)/$K$3)</f>
        <v>26.396595580527</v>
      </c>
    </row>
    <row r="791" customFormat="false" ht="15" hidden="false" customHeight="false" outlineLevel="0" collapsed="false">
      <c r="A791" s="126" t="n">
        <f aca="false">A790+$F$3</f>
        <v>7850</v>
      </c>
      <c r="B791" s="127" t="n">
        <f aca="false">SUMPRODUCT(固有振動数!$Q$6:$Q$22*(1-($A791/固有振動数!$O$6:$O$22)^2)/((1-($A791/固有振動数!$O$6:$O$22)^2)^2+固有振動数!$P$6:$P$22^2))</f>
        <v>20.9422976161092</v>
      </c>
      <c r="C791" s="127" t="n">
        <f aca="false">-SUMPRODUCT(固有振動数!$Q$6:$Q$22*固有振動数!$P$6:$P$22/((1-($A791/固有振動数!$O$6:$O$22)^2)^2+固有振動数!$P$6:$P$22^2))</f>
        <v>-1.38646409170948</v>
      </c>
      <c r="D791" s="128" t="n">
        <f aca="false">SQRT(B791^2+C791^2)</f>
        <v>20.9881421788421</v>
      </c>
      <c r="E791" s="129" t="n">
        <f aca="false">20*LOG10(MAX(D791,0.000000000001)/$K$3)</f>
        <v>26.4394799510801</v>
      </c>
    </row>
    <row r="792" customFormat="false" ht="15" hidden="false" customHeight="false" outlineLevel="0" collapsed="false">
      <c r="A792" s="122" t="n">
        <f aca="false">A791+$F$3</f>
        <v>7860</v>
      </c>
      <c r="B792" s="123" t="n">
        <f aca="false">SUMPRODUCT(固有振動数!$Q$6:$Q$22*(1-($A792/固有振動数!$O$6:$O$22)^2)/((1-($A792/固有振動数!$O$6:$O$22)^2)^2+固有振動数!$P$6:$P$22^2))</f>
        <v>21.0461108016381</v>
      </c>
      <c r="C792" s="123" t="n">
        <f aca="false">-SUMPRODUCT(固有振動数!$Q$6:$Q$22*固有振動数!$P$6:$P$22/((1-($A792/固有振動数!$O$6:$O$22)^2)^2+固有振動数!$P$6:$P$22^2))</f>
        <v>-1.40001700920976</v>
      </c>
      <c r="D792" s="124" t="n">
        <f aca="false">SQRT(B792^2+C792^2)</f>
        <v>21.0926249552042</v>
      </c>
      <c r="E792" s="125" t="n">
        <f aca="false">20*LOG10(MAX(D792,0.000000000001)/$K$3)</f>
        <v>26.4826126119745</v>
      </c>
    </row>
    <row r="793" customFormat="false" ht="15" hidden="false" customHeight="false" outlineLevel="0" collapsed="false">
      <c r="A793" s="126" t="n">
        <f aca="false">A792+$F$3</f>
        <v>7870</v>
      </c>
      <c r="B793" s="127" t="n">
        <f aca="false">SUMPRODUCT(固有振動数!$Q$6:$Q$22*(1-($A793/固有振動数!$O$6:$O$22)^2)/((1-($A793/固有振動数!$O$6:$O$22)^2)^2+固有振動数!$P$6:$P$22^2))</f>
        <v>21.1510480360109</v>
      </c>
      <c r="C793" s="127" t="n">
        <f aca="false">-SUMPRODUCT(固有振動数!$Q$6:$Q$22*固有振動数!$P$6:$P$22/((1-($A793/固有振動数!$O$6:$O$22)^2)^2+固有振動数!$P$6:$P$22^2))</f>
        <v>-1.4139095175294</v>
      </c>
      <c r="D793" s="128" t="n">
        <f aca="false">SQRT(B793^2+C793^2)</f>
        <v>21.1982540117199</v>
      </c>
      <c r="E793" s="129" t="n">
        <f aca="false">20*LOG10(MAX(D793,0.000000000001)/$K$3)</f>
        <v>26.5260018371579</v>
      </c>
    </row>
    <row r="794" customFormat="false" ht="15" hidden="false" customHeight="false" outlineLevel="0" collapsed="false">
      <c r="A794" s="122" t="n">
        <f aca="false">A793+$F$3</f>
        <v>7880</v>
      </c>
      <c r="B794" s="123" t="n">
        <f aca="false">SUMPRODUCT(固有振動数!$Q$6:$Q$22*(1-($A794/固有振動数!$O$6:$O$22)^2)/((1-($A794/固有振動数!$O$6:$O$22)^2)^2+固有振動数!$P$6:$P$22^2))</f>
        <v>21.2571410994213</v>
      </c>
      <c r="C794" s="123" t="n">
        <f aca="false">-SUMPRODUCT(固有振動数!$Q$6:$Q$22*固有振動数!$P$6:$P$22/((1-($A794/固有振動数!$O$6:$O$22)^2)^2+固有振動数!$P$6:$P$22^2))</f>
        <v>-1.42815141523972</v>
      </c>
      <c r="D794" s="124" t="n">
        <f aca="false">SQRT(B794^2+C794^2)</f>
        <v>21.3050619380831</v>
      </c>
      <c r="E794" s="125" t="n">
        <f aca="false">20*LOG10(MAX(D794,0.000000000001)/$K$3)</f>
        <v>26.5696560223874</v>
      </c>
    </row>
    <row r="795" customFormat="false" ht="15" hidden="false" customHeight="false" outlineLevel="0" collapsed="false">
      <c r="A795" s="126" t="n">
        <f aca="false">A794+$F$3</f>
        <v>7890</v>
      </c>
      <c r="B795" s="127" t="n">
        <f aca="false">SUMPRODUCT(固有振動数!$Q$6:$Q$22*(1-($A795/固有振動数!$O$6:$O$22)^2)/((1-($A795/固有振動数!$O$6:$O$22)^2)^2+固有振動数!$P$6:$P$22^2))</f>
        <v>21.3644226287258</v>
      </c>
      <c r="C795" s="127" t="n">
        <f aca="false">-SUMPRODUCT(固有振動数!$Q$6:$Q$22*固有振動数!$P$6:$P$22/((1-($A795/固有振動数!$O$6:$O$22)^2)^2+固有振動数!$P$6:$P$22^2))</f>
        <v>-1.44275291517735</v>
      </c>
      <c r="D795" s="128" t="n">
        <f aca="false">SQRT(B795^2+C795^2)</f>
        <v>21.4130822216948</v>
      </c>
      <c r="E795" s="129" t="n">
        <f aca="false">20*LOG10(MAX(D795,0.000000000001)/$K$3)</f>
        <v>26.613583692017</v>
      </c>
    </row>
    <row r="796" customFormat="false" ht="15" hidden="false" customHeight="false" outlineLevel="0" collapsed="false">
      <c r="A796" s="122" t="n">
        <f aca="false">A795+$F$3</f>
        <v>7900</v>
      </c>
      <c r="B796" s="123" t="n">
        <f aca="false">SUMPRODUCT(固有振動数!$Q$6:$Q$22*(1-($A796/固有振動数!$O$6:$O$22)^2)/((1-($A796/固有振動数!$O$6:$O$22)^2)^2+固有振動数!$P$6:$P$22^2))</f>
        <v>21.4729261545069</v>
      </c>
      <c r="C796" s="123" t="n">
        <f aca="false">-SUMPRODUCT(固有振動数!$Q$6:$Q$22*固有振動数!$P$6:$P$22/((1-($A796/固有振動数!$O$6:$O$22)^2)^2+固有振動数!$P$6:$P$22^2))</f>
        <v>-1.45772466373477</v>
      </c>
      <c r="D796" s="124" t="n">
        <f aca="false">SQRT(B796^2+C796^2)</f>
        <v>21.5223492870125</v>
      </c>
      <c r="E796" s="125" t="n">
        <f aca="false">20*LOG10(MAX(D796,0.000000000001)/$K$3)</f>
        <v>26.6577935059643</v>
      </c>
    </row>
    <row r="797" customFormat="false" ht="15" hidden="false" customHeight="false" outlineLevel="0" collapsed="false">
      <c r="A797" s="126" t="n">
        <f aca="false">A796+$F$3</f>
        <v>7910</v>
      </c>
      <c r="B797" s="127" t="n">
        <f aca="false">SUMPRODUCT(固有振動数!$Q$6:$Q$22*(1-($A797/固有振動数!$O$6:$O$22)^2)/((1-($A797/固有振動数!$O$6:$O$22)^2)^2+固有振動数!$P$6:$P$22^2))</f>
        <v>21.5826861397649</v>
      </c>
      <c r="C797" s="127" t="n">
        <f aca="false">-SUMPRODUCT(固有振動数!$Q$6:$Q$22*固有振動数!$P$6:$P$22/((1-($A797/固有振動数!$O$6:$O$22)^2)^2+固有振動数!$P$6:$P$22^2))</f>
        <v>-1.4730777612868</v>
      </c>
      <c r="D797" s="128" t="n">
        <f aca="false">SQRT(B797^2+C797^2)</f>
        <v>21.6328985366824</v>
      </c>
      <c r="E797" s="129" t="n">
        <f aca="false">20*LOG10(MAX(D797,0.000000000001)/$K$3)</f>
        <v>26.7022942668679</v>
      </c>
    </row>
    <row r="798" customFormat="false" ht="15" hidden="false" customHeight="false" outlineLevel="0" collapsed="false">
      <c r="A798" s="122" t="n">
        <f aca="false">A797+$F$3</f>
        <v>7920</v>
      </c>
      <c r="B798" s="123" t="n">
        <f aca="false">SUMPRODUCT(固有振動数!$Q$6:$Q$22*(1-($A798/固有振動数!$O$6:$O$22)^2)/((1-($A798/固有振動数!$O$6:$O$22)^2)^2+固有振動数!$P$6:$P$22^2))</f>
        <v>21.6937380203296</v>
      </c>
      <c r="C798" s="123" t="n">
        <f aca="false">-SUMPRODUCT(固有振動数!$Q$6:$Q$22*固有振動数!$P$6:$P$22/((1-($A798/固有振動数!$O$6:$O$22)^2)^2+固有振動数!$P$6:$P$22^2))</f>
        <v>-1.48882378382651</v>
      </c>
      <c r="D798" s="124" t="n">
        <f aca="false">SQRT(B798^2+C798^2)</f>
        <v>21.7447663945599</v>
      </c>
      <c r="E798" s="125" t="n">
        <f aca="false">20*LOG10(MAX(D798,0.000000000001)/$K$3)</f>
        <v>26.7470949274509</v>
      </c>
    </row>
    <row r="799" customFormat="false" ht="15" hidden="false" customHeight="false" outlineLevel="0" collapsed="false">
      <c r="A799" s="126" t="n">
        <f aca="false">A798+$F$3</f>
        <v>7930</v>
      </c>
      <c r="B799" s="127" t="n">
        <f aca="false">SUMPRODUCT(固有振動数!$Q$6:$Q$22*(1-($A799/固有振動数!$O$6:$O$22)^2)/((1-($A799/固有振動数!$O$6:$O$22)^2)^2+固有振動数!$P$6:$P$22^2))</f>
        <v>21.8061182470941</v>
      </c>
      <c r="C799" s="127" t="n">
        <f aca="false">-SUMPRODUCT(固有振動数!$Q$6:$Q$22*固有振動数!$P$6:$P$22/((1-($A799/固有振動数!$O$6:$O$22)^2)^2+固有振動数!$P$6:$P$22^2))</f>
        <v>-1.50497480589001</v>
      </c>
      <c r="D799" s="128" t="n">
        <f aca="false">SQRT(B799^2+C799^2)</f>
        <v>21.8579903507301</v>
      </c>
      <c r="E799" s="129" t="n">
        <f aca="false">20*LOG10(MAX(D799,0.000000000001)/$K$3)</f>
        <v>26.7922045981022</v>
      </c>
    </row>
    <row r="800" customFormat="false" ht="15" hidden="false" customHeight="false" outlineLevel="0" collapsed="false">
      <c r="A800" s="122" t="n">
        <f aca="false">A799+$F$3</f>
        <v>7940</v>
      </c>
      <c r="B800" s="123" t="n">
        <f aca="false">SUMPRODUCT(固有振動数!$Q$6:$Q$22*(1-($A800/固有振動数!$O$6:$O$22)^2)/((1-($A800/固有振動数!$O$6:$O$22)^2)^2+固有振動数!$P$6:$P$22^2))</f>
        <v>21.9198643301738</v>
      </c>
      <c r="C800" s="123" t="n">
        <f aca="false">-SUMPRODUCT(固有振動数!$Q$6:$Q$22*固有振動数!$P$6:$P$22/((1-($A800/固有振動数!$O$6:$O$22)^2)^2+固有振動数!$P$6:$P$22^2))</f>
        <v>-1.52154342485543</v>
      </c>
      <c r="D800" s="124" t="n">
        <f aca="false">SQRT(B800^2+C800^2)</f>
        <v>21.9726090086486</v>
      </c>
      <c r="E800" s="125" t="n">
        <f aca="false">20*LOG10(MAX(D800,0.000000000001)/$K$3)</f>
        <v>26.8376325546927</v>
      </c>
    </row>
    <row r="801" customFormat="false" ht="15" hidden="false" customHeight="false" outlineLevel="0" collapsed="false">
      <c r="A801" s="126" t="n">
        <f aca="false">A800+$F$3</f>
        <v>7950</v>
      </c>
      <c r="B801" s="127" t="n">
        <f aca="false">SUMPRODUCT(固有振動数!$Q$6:$Q$22*(1-($A801/固有振動数!$O$6:$O$22)^2)/((1-($A801/固有振動数!$O$6:$O$22)^2)^2+固有振動数!$P$6:$P$22^2))</f>
        <v>22.035014885106</v>
      </c>
      <c r="C801" s="127" t="n">
        <f aca="false">-SUMPRODUCT(固有振動数!$Q$6:$Q$22*固有振動数!$P$6:$P$22/((1-($A801/固有振動数!$O$6:$O$22)^2)^2+固有振動数!$P$6:$P$22^2))</f>
        <v>-1.53854278670806</v>
      </c>
      <c r="D801" s="128" t="n">
        <f aca="false">SQRT(B801^2+C801^2)</f>
        <v>22.088662134529</v>
      </c>
      <c r="E801" s="129" t="n">
        <f aca="false">20*LOG10(MAX(D801,0.000000000001)/$K$3)</f>
        <v>26.8833882466392</v>
      </c>
    </row>
    <row r="802" customFormat="false" ht="15" hidden="false" customHeight="false" outlineLevel="0" collapsed="false">
      <c r="A802" s="122" t="n">
        <f aca="false">A801+$F$3</f>
        <v>7960</v>
      </c>
      <c r="B802" s="123" t="n">
        <f aca="false">SUMPRODUCT(固有振動数!$Q$6:$Q$22*(1-($A802/固有振動数!$O$6:$O$22)^2)/((1-($A802/固有振動数!$O$6:$O$22)^2)^2+固有振動数!$P$6:$P$22^2))</f>
        <v>22.1516096812065</v>
      </c>
      <c r="C802" s="123" t="n">
        <f aca="false">-SUMPRODUCT(固有振動数!$Q$6:$Q$22*固有振動数!$P$6:$P$22/((1-($A802/固有振動数!$O$6:$O$22)^2)^2+固有振動数!$P$6:$P$22^2))</f>
        <v>-1.5559866133708</v>
      </c>
      <c r="D802" s="124" t="n">
        <f aca="false">SQRT(B802^2+C802^2)</f>
        <v>22.2061907091133</v>
      </c>
      <c r="E802" s="125" t="n">
        <f aca="false">20*LOG10(MAX(D802,0.000000000001)/$K$3)</f>
        <v>26.9294813052339</v>
      </c>
    </row>
    <row r="803" customFormat="false" ht="15" hidden="false" customHeight="false" outlineLevel="0" collapsed="false">
      <c r="A803" s="126" t="n">
        <f aca="false">A802+$F$3</f>
        <v>7970</v>
      </c>
      <c r="B803" s="127" t="n">
        <f aca="false">SUMPRODUCT(固有振動数!$Q$6:$Q$22*(1-($A803/固有振動数!$O$6:$O$22)^2)/((1-($A803/固有振動数!$O$6:$O$22)^2)^2+固有振動数!$P$6:$P$22^2))</f>
        <v>22.2696896922117</v>
      </c>
      <c r="C803" s="127" t="n">
        <f aca="false">-SUMPRODUCT(固有振動数!$Q$6:$Q$22*固有振動数!$P$6:$P$22/((1-($A803/固有振動数!$O$6:$O$22)^2)^2+固有振動数!$P$6:$P$22^2))</f>
        <v>-1.57388923170671</v>
      </c>
      <c r="D803" s="128" t="n">
        <f aca="false">SQRT(B803^2+C803^2)</f>
        <v>22.3252369819691</v>
      </c>
      <c r="E803" s="129" t="n">
        <f aca="false">20*LOG10(MAX(D803,0.000000000001)/$K$3)</f>
        <v>26.9759215522556</v>
      </c>
    </row>
    <row r="804" customFormat="false" ht="15" hidden="false" customHeight="false" outlineLevel="0" collapsed="false">
      <c r="A804" s="122" t="n">
        <f aca="false">A803+$F$3</f>
        <v>7980</v>
      </c>
      <c r="B804" s="123" t="n">
        <f aca="false">SUMPRODUCT(固有振動数!$Q$6:$Q$22*(1-($A804/固有振動数!$O$6:$O$22)^2)/((1-($A804/固有振動数!$O$6:$O$22)^2)^2+固有振動数!$P$6:$P$22^2))</f>
        <v>22.3892971493409</v>
      </c>
      <c r="C804" s="123" t="n">
        <f aca="false">-SUMPRODUCT(固有振動数!$Q$6:$Q$22*固有振動数!$P$6:$P$22/((1-($A804/固有振動数!$O$6:$O$22)^2)^2+固有振動数!$P$6:$P$22^2))</f>
        <v>-1.5922656043092</v>
      </c>
      <c r="D804" s="124" t="n">
        <f aca="false">SQRT(B804^2+C804^2)</f>
        <v>22.4458445284679</v>
      </c>
      <c r="E804" s="125" t="n">
        <f aca="false">20*LOG10(MAX(D804,0.000000000001)/$K$3)</f>
        <v>27.0227190088798</v>
      </c>
    </row>
    <row r="805" customFormat="false" ht="15" hidden="false" customHeight="false" outlineLevel="0" collapsed="false">
      <c r="A805" s="126" t="n">
        <f aca="false">A804+$F$3</f>
        <v>7990</v>
      </c>
      <c r="B805" s="127" t="n">
        <f aca="false">SUMPRODUCT(固有振動数!$Q$6:$Q$22*(1-($A805/固有振動数!$O$6:$O$22)^2)/((1-($A805/固有振動数!$O$6:$O$22)^2)^2+固有振動数!$P$6:$P$22^2))</f>
        <v>22.5104755969227</v>
      </c>
      <c r="C805" s="127" t="n">
        <f aca="false">-SUMPRODUCT(固有振動数!$Q$6:$Q$22*固有振動数!$P$6:$P$22/((1-($A805/固有振動数!$O$6:$O$22)^2)^2+固有振動数!$P$6:$P$22^2))</f>
        <v>-1.6111313622042</v>
      </c>
      <c r="D805" s="128" t="n">
        <f aca="false">SQRT(B805^2+C805^2)</f>
        <v>22.5680583096094</v>
      </c>
      <c r="E805" s="129" t="n">
        <f aca="false">20*LOG10(MAX(D805,0.000000000001)/$K$3)</f>
        <v>27.0698839049073</v>
      </c>
    </row>
    <row r="806" customFormat="false" ht="15" hidden="false" customHeight="false" outlineLevel="0" collapsed="false">
      <c r="A806" s="122" t="n">
        <f aca="false">A805+$F$3</f>
        <v>8000</v>
      </c>
      <c r="B806" s="123" t="n">
        <f aca="false">SUMPRODUCT(固有振動数!$Q$6:$Q$22*(1-($A806/固有振動数!$O$6:$O$22)^2)/((1-($A806/固有振動数!$O$6:$O$22)^2)^2+固有振動数!$P$6:$P$22^2))</f>
        <v>22.6332699507372</v>
      </c>
      <c r="C806" s="123" t="n">
        <f aca="false">-SUMPRODUCT(固有振動数!$Q$6:$Q$22*固有振動数!$P$6:$P$22/((1-($A806/固有振動数!$O$6:$O$22)^2)^2+固有振動数!$P$6:$P$22^2))</f>
        <v>-1.63050283959891</v>
      </c>
      <c r="D806" s="124" t="n">
        <f aca="false">SQRT(B806^2+C806^2)</f>
        <v>22.6919247348674</v>
      </c>
      <c r="E806" s="125" t="n">
        <f aca="false">20*LOG10(MAX(D806,0.000000000001)/$K$3)</f>
        <v>27.1174266883292</v>
      </c>
    </row>
    <row r="807" customFormat="false" ht="15" hidden="false" customHeight="false" outlineLevel="0" collapsed="false">
      <c r="A807" s="126" t="n">
        <f aca="false">A806+$F$3</f>
        <v>8010</v>
      </c>
      <c r="B807" s="127" t="n">
        <f aca="false">SUMPRODUCT(固有振動数!$Q$6:$Q$22*(1-($A807/固有振動数!$O$6:$O$22)^2)/((1-($A807/固有振動数!$O$6:$O$22)^2)^2+固有振動数!$P$6:$P$22^2))</f>
        <v>22.7577265592388</v>
      </c>
      <c r="C807" s="127" t="n">
        <f aca="false">-SUMPRODUCT(固有振動数!$Q$6:$Q$22*固有振動数!$P$6:$P$22/((1-($A807/固有振動数!$O$6:$O$22)^2)^2+固有振動数!$P$6:$P$22^2))</f>
        <v>-1.65039711082258</v>
      </c>
      <c r="D807" s="128" t="n">
        <f aca="false">SQRT(B807^2+C807^2)</f>
        <v>22.8174917282443</v>
      </c>
      <c r="E807" s="129" t="n">
        <f aca="false">20*LOG10(MAX(D807,0.000000000001)/$K$3)</f>
        <v>27.1653580352512</v>
      </c>
    </row>
    <row r="808" customFormat="false" ht="15" hidden="false" customHeight="false" outlineLevel="0" collapsed="false">
      <c r="A808" s="122" t="n">
        <f aca="false">A807+$F$3</f>
        <v>8020</v>
      </c>
      <c r="B808" s="123" t="n">
        <f aca="false">SUMPRODUCT(固有振動数!$Q$6:$Q$22*(1-($A808/固有振動数!$O$6:$O$22)^2)/((1-($A808/固有振動数!$O$6:$O$22)^2)^2+固有振動数!$P$6:$P$22^2))</f>
        <v>22.8838932678321</v>
      </c>
      <c r="C808" s="123" t="n">
        <f aca="false">-SUMPRODUCT(固有振動数!$Q$6:$Q$22*固有振動数!$P$6:$P$22/((1-($A808/固有振動数!$O$6:$O$22)^2)^2+固有振動数!$P$6:$P$22^2))</f>
        <v>-1.67083202961664</v>
      </c>
      <c r="D808" s="124" t="n">
        <f aca="false">SQRT(B808^2+C808^2)</f>
        <v>22.9448087977373</v>
      </c>
      <c r="E808" s="125" t="n">
        <f aca="false">20*LOG10(MAX(D808,0.000000000001)/$K$3)</f>
        <v>27.2136888601964</v>
      </c>
    </row>
    <row r="809" customFormat="false" ht="15" hidden="false" customHeight="false" outlineLevel="0" collapsed="false">
      <c r="A809" s="126" t="n">
        <f aca="false">A808+$F$3</f>
        <v>8030</v>
      </c>
      <c r="B809" s="127" t="n">
        <f aca="false">SUMPRODUCT(固有振動数!$Q$6:$Q$22*(1-($A809/固有振動数!$O$6:$O$22)^2)/((1-($A809/固有振動数!$O$6:$O$22)^2)^2+固有振動数!$P$6:$P$22^2))</f>
        <v>23.0118194863865</v>
      </c>
      <c r="C809" s="127" t="n">
        <f aca="false">-SUMPRODUCT(固有振動数!$Q$6:$Q$22*固有振動数!$P$6:$P$22/((1-($A809/固有振動数!$O$6:$O$22)^2)^2+固有振動数!$P$6:$P$22^2))</f>
        <v>-1.69182627094432</v>
      </c>
      <c r="D809" s="128" t="n">
        <f aca="false">SQRT(B809^2+C809^2)</f>
        <v>23.073927108429</v>
      </c>
      <c r="E809" s="129" t="n">
        <f aca="false">20*LOG10(MAX(D809,0.000000000001)/$K$3)</f>
        <v>27.2624303268113</v>
      </c>
    </row>
    <row r="810" customFormat="false" ht="15" hidden="false" customHeight="false" outlineLevel="0" collapsed="false">
      <c r="A810" s="122" t="n">
        <f aca="false">A809+$F$3</f>
        <v>8040</v>
      </c>
      <c r="B810" s="123" t="n">
        <f aca="false">SUMPRODUCT(固有振動数!$Q$6:$Q$22*(1-($A810/固有振動数!$O$6:$O$22)^2)/((1-($A810/固有振動数!$O$6:$O$22)^2)^2+固有振動数!$P$6:$P$22^2))</f>
        <v>23.1415562601883</v>
      </c>
      <c r="C810" s="123" t="n">
        <f aca="false">-SUMPRODUCT(固有振動数!$Q$6:$Q$22*固有振動数!$P$6:$P$22/((1-($A810/固有振動数!$O$6:$O$22)^2)^2+固有振動数!$P$6:$P$22^2))</f>
        <v>-1.71339937550436</v>
      </c>
      <c r="D810" s="124" t="n">
        <f aca="false">SQRT(B810^2+C810^2)</f>
        <v>23.2048995594344</v>
      </c>
      <c r="E810" s="125" t="n">
        <f aca="false">20*LOG10(MAX(D810,0.000000000001)/$K$3)</f>
        <v>27.3115938589986</v>
      </c>
    </row>
    <row r="811" customFormat="false" ht="15" hidden="false" customHeight="false" outlineLevel="0" collapsed="false">
      <c r="A811" s="126" t="n">
        <f aca="false">A810+$F$3</f>
        <v>8050</v>
      </c>
      <c r="B811" s="127" t="n">
        <f aca="false">SUMPRODUCT(固有振動数!$Q$6:$Q$22*(1-($A811/固有振動数!$O$6:$O$22)^2)/((1-($A811/固有振動数!$O$6:$O$22)^2)^2+固有振動数!$P$6:$P$22^2))</f>
        <v>23.2731563445394</v>
      </c>
      <c r="C811" s="127" t="n">
        <f aca="false">-SUMPRODUCT(固有振動数!$Q$6:$Q$22*固有振動数!$P$6:$P$22/((1-($A811/固有振動数!$O$6:$O$22)^2)^2+固有振動数!$P$6:$P$22^2))</f>
        <v>-1.73557179714863</v>
      </c>
      <c r="D811" s="128" t="n">
        <f aca="false">SQRT(B811^2+C811^2)</f>
        <v>23.3377808649502</v>
      </c>
      <c r="E811" s="129" t="n">
        <f aca="false">20*LOG10(MAX(D811,0.000000000001)/$K$3)</f>
        <v>27.3611911525023</v>
      </c>
    </row>
    <row r="812" customFormat="false" ht="15" hidden="false" customHeight="false" outlineLevel="0" collapsed="false">
      <c r="A812" s="122" t="n">
        <f aca="false">A811+$F$3</f>
        <v>8060</v>
      </c>
      <c r="B812" s="123" t="n">
        <f aca="false">SUMPRODUCT(固有振動数!$Q$6:$Q$22*(1-($A812/固有振動数!$O$6:$O$22)^2)/((1-($A812/固有振動数!$O$6:$O$22)^2)^2+固有振動数!$P$6:$P$22^2))</f>
        <v>23.4066742832306</v>
      </c>
      <c r="C812" s="123" t="n">
        <f aca="false">-SUMPRODUCT(固有振動数!$Q$6:$Q$22*固有振動数!$P$6:$P$22/((1-($A812/固有振動数!$O$6:$O$22)^2)^2+固有振動数!$P$6:$P$22^2))</f>
        <v>-1.7583649534204</v>
      </c>
      <c r="D812" s="124" t="n">
        <f aca="false">SQRT(B812^2+C812^2)</f>
        <v>23.4726276396714</v>
      </c>
      <c r="E812" s="125" t="n">
        <f aca="false">20*LOG10(MAX(D812,0.000000000001)/$K$3)</f>
        <v>27.4112341869726</v>
      </c>
    </row>
    <row r="813" customFormat="false" ht="15" hidden="false" customHeight="false" outlineLevel="0" collapsed="false">
      <c r="A813" s="126" t="n">
        <f aca="false">A812+$F$3</f>
        <v>8070</v>
      </c>
      <c r="B813" s="127" t="n">
        <f aca="false">SUMPRODUCT(固有振動数!$Q$6:$Q$22*(1-($A813/固有振動数!$O$6:$O$22)^2)/((1-($A813/固有振動数!$O$6:$O$22)^2)^2+固有振動数!$P$6:$P$22^2))</f>
        <v>23.5421664911292</v>
      </c>
      <c r="C813" s="127" t="n">
        <f aca="false">-SUMPRODUCT(固有振動数!$Q$6:$Q$22*固有振動数!$P$6:$P$22/((1-($A813/固有振動数!$O$6:$O$22)^2)^2+固有振動数!$P$6:$P$22^2))</f>
        <v>-1.78180127944877</v>
      </c>
      <c r="D813" s="128" t="n">
        <f aca="false">SQRT(B813^2+C813^2)</f>
        <v>23.6094984888602</v>
      </c>
      <c r="E813" s="129" t="n">
        <f aca="false">20*LOG10(MAX(D813,0.000000000001)/$K$3)</f>
        <v>27.4617352385386</v>
      </c>
    </row>
    <row r="814" customFormat="false" ht="15" hidden="false" customHeight="false" outlineLevel="0" collapsed="false">
      <c r="A814" s="122" t="n">
        <f aca="false">A813+$F$3</f>
        <v>8080</v>
      </c>
      <c r="B814" s="123" t="n">
        <f aca="false">SUMPRODUCT(固有振動数!$Q$6:$Q$22*(1-($A814/固有振動数!$O$6:$O$22)^2)/((1-($A814/固有振動数!$O$6:$O$22)^2)^2+固有振動数!$P$6:$P$22^2))</f>
        <v>23.6796913411392</v>
      </c>
      <c r="C814" s="123" t="n">
        <f aca="false">-SUMPRODUCT(固有振動数!$Q$6:$Q$22*固有振動数!$P$6:$P$22/((1-($A814/固有振動数!$O$6:$O$22)^2)^2+固有振動数!$P$6:$P$22^2))</f>
        <v>-1.80590428545474</v>
      </c>
      <c r="D814" s="124" t="n">
        <f aca="false">SQRT(B814^2+C814^2)</f>
        <v>23.7484541033695</v>
      </c>
      <c r="E814" s="125" t="n">
        <f aca="false">20*LOG10(MAX(D814,0.000000000001)/$K$3)</f>
        <v>27.5127068929211</v>
      </c>
    </row>
    <row r="815" customFormat="false" ht="15" hidden="false" customHeight="false" outlineLevel="0" collapsed="false">
      <c r="A815" s="126" t="n">
        <f aca="false">A814+$F$3</f>
        <v>8090</v>
      </c>
      <c r="B815" s="127" t="n">
        <f aca="false">SUMPRODUCT(固有振動数!$Q$6:$Q$22*(1-($A815/固有振動数!$O$6:$O$22)^2)/((1-($A815/固有振動数!$O$6:$O$22)^2)^2+固有振動数!$P$6:$P$22^2))</f>
        <v>23.8193092558106</v>
      </c>
      <c r="C815" s="127" t="n">
        <f aca="false">-SUMPRODUCT(固有振動数!$Q$6:$Q$22*固有振動数!$P$6:$P$22/((1-($A815/固有振動数!$O$6:$O$22)^2)^2+固有振動数!$P$6:$P$22^2))</f>
        <v>-1.83069861814688</v>
      </c>
      <c r="D815" s="128" t="n">
        <f aca="false">SQRT(B815^2+C815^2)</f>
        <v>23.8895573599519</v>
      </c>
      <c r="E815" s="129" t="n">
        <f aca="false">20*LOG10(MAX(D815,0.000000000001)/$K$3)</f>
        <v>27.5641620591154</v>
      </c>
    </row>
    <row r="816" customFormat="false" ht="15" hidden="false" customHeight="false" outlineLevel="0" collapsed="false">
      <c r="A816" s="122" t="n">
        <f aca="false">A815+$F$3</f>
        <v>8100</v>
      </c>
      <c r="B816" s="123" t="n">
        <f aca="false">SUMPRODUCT(固有振動数!$Q$6:$Q$22*(1-($A816/固有振動数!$O$6:$O$22)^2)/((1-($A816/固有振動数!$O$6:$O$22)^2)^2+固有振動数!$P$6:$P$22^2))</f>
        <v>23.9610828038924</v>
      </c>
      <c r="C816" s="123" t="n">
        <f aca="false">-SUMPRODUCT(固有振動数!$Q$6:$Q$22*固有振動数!$P$6:$P$22/((1-($A816/固有振動数!$O$6:$O$22)^2)^2+固有振動数!$P$6:$P$22^2))</f>
        <v>-1.856210126309</v>
      </c>
      <c r="D816" s="124" t="n">
        <f aca="false">SQRT(B816^2+C816^2)</f>
        <v>24.0328734272038</v>
      </c>
      <c r="E816" s="125" t="n">
        <f aca="false">20*LOG10(MAX(D816,0.000000000001)/$K$3)</f>
        <v>27.6161139836802</v>
      </c>
    </row>
    <row r="817" customFormat="false" ht="15" hidden="false" customHeight="false" outlineLevel="0" collapsed="false">
      <c r="A817" s="126" t="n">
        <f aca="false">A816+$F$3</f>
        <v>8110</v>
      </c>
      <c r="B817" s="127" t="n">
        <f aca="false">SUMPRODUCT(固有振動数!$Q$6:$Q$22*(1-($A817/固有振動数!$O$6:$O$22)^2)/((1-($A817/固有振動数!$O$6:$O$22)^2)^2+固有振動数!$P$6:$P$22^2))</f>
        <v>24.105076802146</v>
      </c>
      <c r="C817" s="127" t="n">
        <f aca="false">-SUMPRODUCT(固有振動数!$Q$6:$Q$22*固有振動数!$P$6:$P$22/((1-($A817/固有振動数!$O$6:$O$22)^2)^2+固有振動数!$P$6:$P$22^2))</f>
        <v>-1.88246593090887</v>
      </c>
      <c r="D817" s="128" t="n">
        <f aca="false">SQRT(B817^2+C817^2)</f>
        <v>24.1784698775251</v>
      </c>
      <c r="E817" s="129" t="n">
        <f aca="false">20*LOG10(MAX(D817,0.000000000001)/$K$3)</f>
        <v>27.6685762656695</v>
      </c>
    </row>
    <row r="818" customFormat="false" ht="15" hidden="false" customHeight="false" outlineLevel="0" collapsed="false">
      <c r="A818" s="122" t="n">
        <f aca="false">A817+$F$3</f>
        <v>8120</v>
      </c>
      <c r="B818" s="123" t="n">
        <f aca="false">SUMPRODUCT(固有振動数!$Q$6:$Q$22*(1-($A818/固有振動数!$O$6:$O$22)^2)/((1-($A818/固有振動数!$O$6:$O$22)^2)^2+固有振動数!$P$6:$P$22^2))</f>
        <v>24.2513584227586</v>
      </c>
      <c r="C818" s="123" t="n">
        <f aca="false">-SUMPRODUCT(固有振動数!$Q$6:$Q$22*固有振動数!$P$6:$P$22/((1-($A818/固有振動数!$O$6:$O$22)^2)^2+固有振動数!$P$6:$P$22^2))</f>
        <v>-1.90949450008667</v>
      </c>
      <c r="D818" s="124" t="n">
        <f aca="false">SQRT(B818^2+C818^2)</f>
        <v>24.3264168055011</v>
      </c>
      <c r="E818" s="125" t="n">
        <f aca="false">20*LOG10(MAX(D818,0.000000000001)/$K$3)</f>
        <v>27.7215628722445</v>
      </c>
    </row>
    <row r="819" customFormat="false" ht="15" hidden="false" customHeight="false" outlineLevel="0" collapsed="false">
      <c r="A819" s="126" t="n">
        <f aca="false">A818+$F$3</f>
        <v>8130</v>
      </c>
      <c r="B819" s="127" t="n">
        <f aca="false">SUMPRODUCT(固有振動数!$Q$6:$Q$22*(1-($A819/固有振動数!$O$6:$O$22)^2)/((1-($A819/固有振動数!$O$6:$O$22)^2)^2+固有振動数!$P$6:$P$22^2))</f>
        <v>24.3999973067201</v>
      </c>
      <c r="C819" s="127" t="n">
        <f aca="false">-SUMPRODUCT(固有振動数!$Q$6:$Q$22*固有振動数!$P$6:$P$22/((1-($A819/固有振動数!$O$6:$O$22)^2)^2+固有振動数!$P$6:$P$22^2))</f>
        <v>-1.93732572941444</v>
      </c>
      <c r="D819" s="128" t="n">
        <f aca="false">SQRT(B819^2+C819^2)</f>
        <v>24.4767869531481</v>
      </c>
      <c r="E819" s="129" t="n">
        <f aca="false">20*LOG10(MAX(D819,0.000000000001)/$K$3)</f>
        <v>27.7750881550089</v>
      </c>
    </row>
    <row r="820" customFormat="false" ht="15" hidden="false" customHeight="false" outlineLevel="0" collapsed="false">
      <c r="A820" s="122" t="n">
        <f aca="false">A819+$F$3</f>
        <v>8140</v>
      </c>
      <c r="B820" s="123" t="n">
        <f aca="false">SUMPRODUCT(固有振動数!$Q$6:$Q$22*(1-($A820/固有振動数!$O$6:$O$22)^2)/((1-($A820/固有振動数!$O$6:$O$22)^2)^2+固有振動数!$P$6:$P$22^2))</f>
        <v>24.5510656835517</v>
      </c>
      <c r="C820" s="123" t="n">
        <f aca="false">-SUMPRODUCT(固有振動数!$Q$6:$Q$22*固有振動数!$P$6:$P$22/((1-($A820/固有振動数!$O$6:$O$22)^2)^2+固有振動数!$P$6:$P$22^2))</f>
        <v>-1.96599102785331</v>
      </c>
      <c r="D820" s="124" t="n">
        <f aca="false">SQRT(B820^2+C820^2)</f>
        <v>24.6296558424934</v>
      </c>
      <c r="E820" s="125" t="n">
        <f aca="false">20*LOG10(MAX(D820,0.000000000001)/$K$3)</f>
        <v>27.8291668671107</v>
      </c>
    </row>
    <row r="821" customFormat="false" ht="15" hidden="false" customHeight="false" outlineLevel="0" collapsed="false">
      <c r="A821" s="126" t="n">
        <f aca="false">A820+$F$3</f>
        <v>8150</v>
      </c>
      <c r="B821" s="127" t="n">
        <f aca="false">SUMPRODUCT(固有振動数!$Q$6:$Q$22*(1-($A821/固有振動数!$O$6:$O$22)^2)/((1-($A821/固有振動数!$O$6:$O$22)^2)^2+固有振動数!$P$6:$P$22^2))</f>
        <v>24.7046384978077</v>
      </c>
      <c r="C821" s="127" t="n">
        <f aca="false">-SUMPRODUCT(固有振動数!$Q$6:$Q$22*固有振動数!$P$6:$P$22/((1-($A821/固有振動数!$O$6:$O$22)^2)^2+固有振動数!$P$6:$P$22^2))</f>
        <v>-1.99552340987493</v>
      </c>
      <c r="D821" s="128" t="n">
        <f aca="false">SQRT(B821^2+C821^2)</f>
        <v>24.7851019160043</v>
      </c>
      <c r="E821" s="129" t="n">
        <f aca="false">20*LOG10(MAX(D821,0.000000000001)/$K$3)</f>
        <v>27.8838141811577</v>
      </c>
    </row>
    <row r="822" customFormat="false" ht="15" hidden="false" customHeight="false" outlineLevel="0" collapsed="false">
      <c r="A822" s="122" t="n">
        <f aca="false">A821+$F$3</f>
        <v>8160</v>
      </c>
      <c r="B822" s="123" t="n">
        <f aca="false">SUMPRODUCT(固有振動数!$Q$6:$Q$22*(1-($A822/固有振動数!$O$6:$O$22)^2)/((1-($A822/固有振動数!$O$6:$O$22)^2)^2+固有振動数!$P$6:$P$22^2))</f>
        <v>24.8607935427969</v>
      </c>
      <c r="C822" s="123" t="n">
        <f aca="false">-SUMPRODUCT(固有振動数!$Q$6:$Q$22*固有振動数!$P$6:$P$22/((1-($A822/固有振動数!$O$6:$O$22)^2)^2+固有振動数!$P$6:$P$22^2))</f>
        <v>-2.02595759425702</v>
      </c>
      <c r="D822" s="124" t="n">
        <f aca="false">SQRT(B822^2+C822^2)</f>
        <v>24.9432066854143</v>
      </c>
      <c r="E822" s="125" t="n">
        <f aca="false">20*LOG10(MAX(D822,0.000000000001)/$K$3)</f>
        <v>27.9390457079971</v>
      </c>
    </row>
    <row r="823" customFormat="false" ht="15" hidden="false" customHeight="false" outlineLevel="0" collapsed="false">
      <c r="A823" s="126" t="n">
        <f aca="false">A822+$F$3</f>
        <v>8170</v>
      </c>
      <c r="B823" s="127" t="n">
        <f aca="false">SUMPRODUCT(固有振動数!$Q$6:$Q$22*(1-($A823/固有振動数!$O$6:$O$22)^2)/((1-($A823/固有振動数!$O$6:$O$22)^2)^2+固有振動数!$P$6:$P$22^2))</f>
        <v>25.019611602008</v>
      </c>
      <c r="C823" s="127" t="n">
        <f aca="false">-SUMPRODUCT(固有振動数!$Q$6:$Q$22*固有振動数!$P$6:$P$22/((1-($A823/固有振動数!$O$6:$O$22)^2)^2+固有振動数!$P$6:$P$22^2))</f>
        <v>-2.05733011011102</v>
      </c>
      <c r="D823" s="128" t="n">
        <f aca="false">SQRT(B823^2+C823^2)</f>
        <v>25.1040548895453</v>
      </c>
      <c r="E823" s="129" t="n">
        <f aca="false">20*LOG10(MAX(D823,0.000000000001)/$K$3)</f>
        <v>27.9948775164128</v>
      </c>
    </row>
    <row r="824" customFormat="false" ht="15" hidden="false" customHeight="false" outlineLevel="0" collapsed="false">
      <c r="A824" s="122" t="n">
        <f aca="false">A823+$F$3</f>
        <v>8180</v>
      </c>
      <c r="B824" s="123" t="n">
        <f aca="false">SUMPRODUCT(固有振動数!$Q$6:$Q$22*(1-($A824/固有振動数!$O$6:$O$22)^2)/((1-($A824/固有振動数!$O$6:$O$22)^2)^2+固有振動数!$P$6:$P$22^2))</f>
        <v>25.181176598757</v>
      </c>
      <c r="C824" s="123" t="n">
        <f aca="false">-SUMPRODUCT(固有振動数!$Q$6:$Q$22*固有振動数!$P$6:$P$22/((1-($A824/固有振動数!$O$6:$O$22)^2)^2+固有振動数!$P$6:$P$22^2))</f>
        <v>-2.08967941075298</v>
      </c>
      <c r="D824" s="124" t="n">
        <f aca="false">SQRT(B824^2+C824^2)</f>
        <v>25.267734661768</v>
      </c>
      <c r="E824" s="125" t="n">
        <f aca="false">20*LOG10(MAX(D824,0.000000000001)/$K$3)</f>
        <v>28.0513261537967</v>
      </c>
    </row>
    <row r="825" customFormat="false" ht="15" hidden="false" customHeight="false" outlineLevel="0" collapsed="false">
      <c r="A825" s="126" t="n">
        <f aca="false">A824+$F$3</f>
        <v>8190</v>
      </c>
      <c r="B825" s="127" t="n">
        <f aca="false">SUMPRODUCT(固有振動数!$Q$6:$Q$22*(1-($A825/固有振動数!$O$6:$O$22)^2)/((1-($A825/固有振動数!$O$6:$O$22)^2)^2+固有振動数!$P$6:$P$22^2))</f>
        <v>25.345575754614</v>
      </c>
      <c r="C825" s="127" t="n">
        <f aca="false">-SUMPRODUCT(固有振動数!$Q$6:$Q$22*固有振動数!$P$6:$P$22/((1-($A825/固有振動数!$O$6:$O$22)^2)^2+固有振動数!$P$6:$P$22^2))</f>
        <v>-2.1230459960879</v>
      </c>
      <c r="D825" s="128" t="n">
        <f aca="false">SQRT(B825^2+C825^2)</f>
        <v>25.4343377077994</v>
      </c>
      <c r="E825" s="129" t="n">
        <f aca="false">20*LOG10(MAX(D825,0.000000000001)/$K$3)</f>
        <v>28.108408667857</v>
      </c>
    </row>
    <row r="826" customFormat="false" ht="15" hidden="false" customHeight="false" outlineLevel="0" collapsed="false">
      <c r="A826" s="122" t="n">
        <f aca="false">A825+$F$3</f>
        <v>8200</v>
      </c>
      <c r="B826" s="123" t="n">
        <f aca="false">SUMPRODUCT(固有振動数!$Q$6:$Q$22*(1-($A826/固有振動数!$O$6:$O$22)^2)/((1-($A826/固有振動数!$O$6:$O$22)^2)^2+固有振動数!$P$6:$P$22^2))</f>
        <v>25.5128997572097</v>
      </c>
      <c r="C826" s="123" t="n">
        <f aca="false">-SUMPRODUCT(固有振動数!$Q$6:$Q$22*固有振動数!$P$6:$P$22/((1-($A826/固有振動数!$O$6:$O$22)^2)^2+固有振動数!$P$6:$P$22^2))</f>
        <v>-2.15747254424264</v>
      </c>
      <c r="D826" s="124" t="n">
        <f aca="false">SQRT(B826^2+C826^2)</f>
        <v>25.6039594945898</v>
      </c>
      <c r="E826" s="125" t="n">
        <f aca="false">20*LOG10(MAX(D826,0.000000000001)/$K$3)</f>
        <v>28.1661426294267</v>
      </c>
    </row>
    <row r="827" customFormat="false" ht="15" hidden="false" customHeight="false" outlineLevel="0" collapsed="false">
      <c r="A827" s="126" t="n">
        <f aca="false">A826+$F$3</f>
        <v>8210</v>
      </c>
      <c r="B827" s="127" t="n">
        <f aca="false">SUMPRODUCT(固有振動数!$Q$6:$Q$22*(1-($A827/固有振動数!$O$6:$O$22)^2)/((1-($A827/固有振動数!$O$6:$O$22)^2)^2+固有振動数!$P$6:$P$22^2))</f>
        <v>25.6832429380666</v>
      </c>
      <c r="C827" s="127" t="n">
        <f aca="false">-SUMPRODUCT(固有振動数!$Q$6:$Q$22*固有振動数!$P$6:$P$22/((1-($A827/固有振動数!$O$6:$O$22)^2)^2+固有振動数!$P$6:$P$22^2))</f>
        <v>-2.19300405325529</v>
      </c>
      <c r="D827" s="128" t="n">
        <f aca="false">SQRT(B827^2+C827^2)</f>
        <v>25.7766994511194</v>
      </c>
      <c r="E827" s="129" t="n">
        <f aca="false">20*LOG10(MAX(D827,0.000000000001)/$K$3)</f>
        <v>28.224546156444</v>
      </c>
    </row>
    <row r="828" customFormat="false" ht="15" hidden="false" customHeight="false" outlineLevel="0" collapsed="false">
      <c r="A828" s="122" t="n">
        <f aca="false">A827+$F$3</f>
        <v>8220</v>
      </c>
      <c r="B828" s="123" t="n">
        <f aca="false">SUMPRODUCT(固有振動数!$Q$6:$Q$22*(1-($A828/固有振動数!$O$6:$O$22)^2)/((1-($A828/固有振動数!$O$6:$O$22)^2)^2+固有振動数!$P$6:$P$22^2))</f>
        <v>25.85670346115</v>
      </c>
      <c r="C828" s="123" t="n">
        <f aca="false">-SUMPRODUCT(固有振動数!$Q$6:$Q$22*固有振動数!$P$6:$P$22/((1-($A828/固有振動数!$O$6:$O$22)^2)^2+固有振動数!$P$6:$P$22^2))</f>
        <v>-2.22968799370907</v>
      </c>
      <c r="D828" s="124" t="n">
        <f aca="false">SQRT(B828^2+C828^2)</f>
        <v>25.9526611819893</v>
      </c>
      <c r="E828" s="125" t="n">
        <f aca="false">20*LOG10(MAX(D828,0.000000000001)/$K$3)</f>
        <v>28.2836379391784</v>
      </c>
    </row>
    <row r="829" customFormat="false" ht="15" hidden="false" customHeight="false" outlineLevel="0" collapsed="false">
      <c r="A829" s="126" t="n">
        <f aca="false">A828+$F$3</f>
        <v>8230</v>
      </c>
      <c r="B829" s="127" t="n">
        <f aca="false">SUMPRODUCT(固有振動数!$Q$6:$Q$22*(1-($A829/固有振動数!$O$6:$O$22)^2)/((1-($A829/固有振動数!$O$6:$O$22)^2)^2+固有振動数!$P$6:$P$22^2))</f>
        <v>26.0333835228873</v>
      </c>
      <c r="C829" s="127" t="n">
        <f aca="false">-SUMPRODUCT(固有振動数!$Q$6:$Q$22*固有振動数!$P$6:$P$22/((1-($A829/固有振動数!$O$6:$O$22)^2)^2+固有振動数!$P$6:$P$22^2))</f>
        <v>-2.2675744732882</v>
      </c>
      <c r="D829" s="128" t="n">
        <f aca="false">SQRT(B829^2+C829^2)</f>
        <v>26.131952694769</v>
      </c>
      <c r="E829" s="129" t="n">
        <f aca="false">20*LOG10(MAX(D829,0.000000000001)/$K$3)</f>
        <v>28.3434372667833</v>
      </c>
    </row>
    <row r="830" customFormat="false" ht="15" hidden="false" customHeight="false" outlineLevel="0" collapsed="false">
      <c r="A830" s="122" t="n">
        <f aca="false">A829+$F$3</f>
        <v>8240</v>
      </c>
      <c r="B830" s="123" t="n">
        <f aca="false">SUMPRODUCT(固有振動数!$Q$6:$Q$22*(1-($A830/固有振動数!$O$6:$O$22)^2)/((1-($A830/固有振動数!$O$6:$O$22)^2)^2+固有振動数!$P$6:$P$22^2))</f>
        <v>26.2133895644612</v>
      </c>
      <c r="C830" s="123" t="n">
        <f aca="false">-SUMPRODUCT(固有振動数!$Q$6:$Q$22*固有振動数!$P$6:$P$22/((1-($A830/固有振動数!$O$6:$O$22)^2)^2+固有振動数!$P$6:$P$22^2))</f>
        <v>-2.30671641433271</v>
      </c>
      <c r="D830" s="124" t="n">
        <f aca="false">SQRT(B830^2+C830^2)</f>
        <v>26.3146866421464</v>
      </c>
      <c r="E830" s="125" t="n">
        <f aca="false">20*LOG10(MAX(D830,0.000000000001)/$K$3)</f>
        <v>28.4039640552613</v>
      </c>
    </row>
    <row r="831" customFormat="false" ht="15" hidden="false" customHeight="false" outlineLevel="0" collapsed="false">
      <c r="A831" s="126" t="n">
        <f aca="false">A830+$F$3</f>
        <v>8250</v>
      </c>
      <c r="B831" s="127" t="n">
        <f aca="false">SUMPRODUCT(固有振動数!$Q$6:$Q$22*(1-($A831/固有振動数!$O$6:$O$22)^2)/((1-($A831/固有振動数!$O$6:$O$22)^2)^2+固有振動数!$P$6:$P$22^2))</f>
        <v>26.3968324972469</v>
      </c>
      <c r="C831" s="127" t="n">
        <f aca="false">-SUMPRODUCT(固有振動数!$Q$6:$Q$22*固有振動数!$P$6:$P$22/((1-($A831/固有振動数!$O$6:$O$22)^2)^2+固有振動数!$P$6:$P$22^2))</f>
        <v>-2.34716974558022</v>
      </c>
      <c r="D831" s="128" t="n">
        <f aca="false">SQRT(B831^2+C831^2)</f>
        <v>26.500980580014</v>
      </c>
      <c r="E831" s="129" t="n">
        <f aca="false">20*LOG10(MAX(D831,0.000000000001)/$K$3)</f>
        <v>28.4652388769326</v>
      </c>
    </row>
    <row r="832" customFormat="false" ht="15" hidden="false" customHeight="false" outlineLevel="0" collapsed="false">
      <c r="A832" s="122" t="n">
        <f aca="false">A831+$F$3</f>
        <v>8260</v>
      </c>
      <c r="B832" s="123" t="n">
        <f aca="false">SUMPRODUCT(固有振動数!$Q$6:$Q$22*(1-($A832/固有振動数!$O$6:$O$22)^2)/((1-($A832/固有振動数!$O$6:$O$22)^2)^2+固有振動数!$P$6:$P$22^2))</f>
        <v>26.5838279423286</v>
      </c>
      <c r="C832" s="123" t="n">
        <f aca="false">-SUMPRODUCT(固有振動数!$Q$6:$Q$22*固有振動数!$P$6:$P$22/((1-($A832/固有振動数!$O$6:$O$22)^2)^2+固有振動数!$P$6:$P$22^2))</f>
        <v>-2.3889936094059</v>
      </c>
      <c r="D832" s="124" t="n">
        <f aca="false">SQRT(B832^2+C832^2)</f>
        <v>26.6909572427276</v>
      </c>
      <c r="E832" s="125" t="n">
        <f aca="false">20*LOG10(MAX(D832,0.000000000001)/$K$3)</f>
        <v>28.5272829915086</v>
      </c>
    </row>
    <row r="833" customFormat="false" ht="15" hidden="false" customHeight="false" outlineLevel="0" collapsed="false">
      <c r="A833" s="126" t="n">
        <f aca="false">A832+$F$3</f>
        <v>8270</v>
      </c>
      <c r="B833" s="127" t="n">
        <f aca="false">SUMPRODUCT(固有振動数!$Q$6:$Q$22*(1-($A833/固有振動数!$O$6:$O$22)^2)/((1-($A833/固有振動数!$O$6:$O$22)^2)^2+固有振動数!$P$6:$P$22^2))</f>
        <v>26.774496485108</v>
      </c>
      <c r="C833" s="127" t="n">
        <f aca="false">-SUMPRODUCT(固有振動数!$Q$6:$Q$22*固有振動数!$P$6:$P$22/((1-($A833/固有振動数!$O$6:$O$22)^2)^2+固有振動数!$P$6:$P$22^2))</f>
        <v>-2.43225058601057</v>
      </c>
      <c r="D833" s="128" t="n">
        <f aca="false">SQRT(B833^2+C833^2)</f>
        <v>26.8847448368811</v>
      </c>
      <c r="E833" s="129" t="n">
        <f aca="false">20*LOG10(MAX(D833,0.000000000001)/$K$3)</f>
        <v>28.5901183788736</v>
      </c>
    </row>
    <row r="834" customFormat="false" ht="15" hidden="false" customHeight="false" outlineLevel="0" collapsed="false">
      <c r="A834" s="122" t="n">
        <f aca="false">A833+$F$3</f>
        <v>8280</v>
      </c>
      <c r="B834" s="123" t="n">
        <f aca="false">SUMPRODUCT(固有振動数!$Q$6:$Q$22*(1-($A834/固有振動数!$O$6:$O$22)^2)/((1-($A834/固有振動数!$O$6:$O$22)^2)^2+固有振動数!$P$6:$P$22^2))</f>
        <v>26.9689639460925</v>
      </c>
      <c r="C834" s="123" t="n">
        <f aca="false">-SUMPRODUCT(固有振動数!$Q$6:$Q$22*固有振動数!$P$6:$P$22/((1-($A834/固有振動数!$O$6:$O$22)^2)^2+固有振動数!$P$6:$P$22^2))</f>
        <v>-2.47700693616095</v>
      </c>
      <c r="D834" s="124" t="n">
        <f aca="false">SQRT(B834^2+C834^2)</f>
        <v>27.0824773550616</v>
      </c>
      <c r="E834" s="125" t="n">
        <f aca="false">20*LOG10(MAX(D834,0.000000000001)/$K$3)</f>
        <v>28.653767773691</v>
      </c>
    </row>
    <row r="835" customFormat="false" ht="15" hidden="false" customHeight="false" outlineLevel="0" collapsed="false">
      <c r="A835" s="126" t="n">
        <f aca="false">A834+$F$3</f>
        <v>8290</v>
      </c>
      <c r="B835" s="127" t="n">
        <f aca="false">SUMPRODUCT(固有振動数!$Q$6:$Q$22*(1-($A835/固有振動数!$O$6:$O$22)^2)/((1-($A835/固有振動数!$O$6:$O$22)^2)^2+固有振動数!$P$6:$P$22^2))</f>
        <v>27.1673616690417</v>
      </c>
      <c r="C835" s="127" t="n">
        <f aca="false">-SUMPRODUCT(固有振動数!$Q$6:$Q$22*固有振動数!$P$6:$P$22/((1-($A835/固有振動数!$O$6:$O$22)^2)^2+固有振動数!$P$6:$P$22^2))</f>
        <v>-2.52333286425922</v>
      </c>
      <c r="D835" s="128" t="n">
        <f aca="false">SQRT(B835^2+C835^2)</f>
        <v>27.2842949111823</v>
      </c>
      <c r="E835" s="129" t="n">
        <f aca="false">20*LOG10(MAX(D835,0.000000000001)/$K$3)</f>
        <v>28.7182547019549</v>
      </c>
    </row>
    <row r="836" customFormat="false" ht="15" hidden="false" customHeight="false" outlineLevel="0" collapsed="false">
      <c r="A836" s="122" t="n">
        <f aca="false">A835+$F$3</f>
        <v>8300</v>
      </c>
      <c r="B836" s="123" t="n">
        <f aca="false">SUMPRODUCT(固有振動数!$Q$6:$Q$22*(1-($A836/固有振動数!$O$6:$O$22)^2)/((1-($A836/固有振動数!$O$6:$O$22)^2)^2+固有振動数!$P$6:$P$22^2))</f>
        <v>27.3698268277399</v>
      </c>
      <c r="C836" s="123" t="n">
        <f aca="false">-SUMPRODUCT(固有振動数!$Q$6:$Q$22*固有振動数!$P$6:$P$22/((1-($A836/固有振動数!$O$6:$O$22)^2)^2+固有振動数!$P$6:$P$22^2))</f>
        <v>-2.571302803713</v>
      </c>
      <c r="D836" s="124" t="n">
        <f aca="false">SQRT(B836^2+C836^2)</f>
        <v>27.4903440991351</v>
      </c>
      <c r="E836" s="125" t="n">
        <f aca="false">20*LOG10(MAX(D836,0.000000000001)/$K$3)</f>
        <v>28.7836035196197</v>
      </c>
    </row>
    <row r="837" customFormat="false" ht="15" hidden="false" customHeight="false" outlineLevel="0" collapsed="false">
      <c r="A837" s="126" t="n">
        <f aca="false">A836+$F$3</f>
        <v>8310</v>
      </c>
      <c r="B837" s="127" t="n">
        <f aca="false">SUMPRODUCT(固有振動数!$Q$6:$Q$22*(1-($A837/固有振動数!$O$6:$O$22)^2)/((1-($A837/固有振動数!$O$6:$O$22)^2)^2+固有振動数!$P$6:$P$22^2))</f>
        <v>27.5765027527661</v>
      </c>
      <c r="C837" s="127" t="n">
        <f aca="false">-SUMPRODUCT(固有振動数!$Q$6:$Q$22*固有振動数!$P$6:$P$22/((1-($A837/固有振動数!$O$6:$O$22)^2)^2+固有振動数!$P$6:$P$22^2))</f>
        <v>-2.62099572679458</v>
      </c>
      <c r="D837" s="128" t="n">
        <f aca="false">SQRT(B837^2+C837^2)</f>
        <v>27.7007783766665</v>
      </c>
      <c r="E837" s="129" t="n">
        <f aca="false">20*LOG10(MAX(D837,0.000000000001)/$K$3)</f>
        <v>28.849839453449</v>
      </c>
    </row>
    <row r="838" customFormat="false" ht="15" hidden="false" customHeight="false" outlineLevel="0" collapsed="false">
      <c r="A838" s="122" t="n">
        <f aca="false">A837+$F$3</f>
        <v>8320</v>
      </c>
      <c r="B838" s="123" t="n">
        <f aca="false">SUMPRODUCT(固有振動数!$Q$6:$Q$22*(1-($A838/固有振動数!$O$6:$O$22)^2)/((1-($A838/固有振動数!$O$6:$O$22)^2)^2+固有振動数!$P$6:$P$22^2))</f>
        <v>27.7875392797407</v>
      </c>
      <c r="C838" s="123" t="n">
        <f aca="false">-SUMPRODUCT(固有振動数!$Q$6:$Q$22*固有振動数!$P$6:$P$22/((1-($A838/固有振動数!$O$6:$O$22)^2)^2+固有振動数!$P$6:$P$22^2))</f>
        <v>-2.67249548142282</v>
      </c>
      <c r="D838" s="124" t="n">
        <f aca="false">SQRT(B838^2+C838^2)</f>
        <v>27.9157584765551</v>
      </c>
      <c r="E838" s="125" t="n">
        <f aca="false">20*LOG10(MAX(D838,0.000000000001)/$K$3)</f>
        <v>28.9169886442359</v>
      </c>
    </row>
    <row r="839" customFormat="false" ht="15" hidden="false" customHeight="false" outlineLevel="0" collapsed="false">
      <c r="A839" s="126" t="n">
        <f aca="false">A838+$F$3</f>
        <v>8330</v>
      </c>
      <c r="B839" s="127" t="n">
        <f aca="false">SUMPRODUCT(固有振動数!$Q$6:$Q$22*(1-($A839/固有振動数!$O$6:$O$22)^2)/((1-($A839/固有振動数!$O$6:$O$22)^2)^2+固有振動数!$P$6:$P$22^2))</f>
        <v>28.0030931206457</v>
      </c>
      <c r="C839" s="127" t="n">
        <f aca="false">-SUMPRODUCT(固有振動数!$Q$6:$Q$22*固有振動数!$P$6:$P$22/((1-($A839/固有振動数!$O$6:$O$22)^2)^2+固有振動数!$P$6:$P$22^2))</f>
        <v>-2.72589115757671</v>
      </c>
      <c r="D839" s="128" t="n">
        <f aca="false">SQRT(B839^2+C839^2)</f>
        <v>28.1354528473687</v>
      </c>
      <c r="E839" s="129" t="n">
        <f aca="false">20*LOG10(MAX(D839,0.000000000001)/$K$3)</f>
        <v>28.9850781925588</v>
      </c>
    </row>
    <row r="840" customFormat="false" ht="15" hidden="false" customHeight="false" outlineLevel="0" collapsed="false">
      <c r="A840" s="122" t="n">
        <f aca="false">A839+$F$3</f>
        <v>8340</v>
      </c>
      <c r="B840" s="123" t="n">
        <f aca="false">SUMPRODUCT(固有振動数!$Q$6:$Q$22*(1-($A840/固有振動数!$O$6:$O$22)^2)/((1-($A840/固有振動数!$O$6:$O$22)^2)^2+固有振動数!$P$6:$P$22^2))</f>
        <v>28.2233282599429</v>
      </c>
      <c r="C840" s="123" t="n">
        <f aca="false">-SUMPRODUCT(固有振動数!$Q$6:$Q$22*固有振動数!$P$6:$P$22/((1-($A840/固有振動数!$O$6:$O$22)^2)^2+固有振動数!$P$6:$P$22^2))</f>
        <v>-2.78127748636005</v>
      </c>
      <c r="D840" s="124" t="n">
        <f aca="false">SQRT(B840^2+C840^2)</f>
        <v>28.3600381262901</v>
      </c>
      <c r="E840" s="125" t="n">
        <f aca="false">20*LOG10(MAX(D840,0.000000000001)/$K$3)</f>
        <v>29.054136207249</v>
      </c>
    </row>
    <row r="841" customFormat="false" ht="15" hidden="false" customHeight="false" outlineLevel="0" collapsed="false">
      <c r="A841" s="126" t="n">
        <f aca="false">A840+$F$3</f>
        <v>8350</v>
      </c>
      <c r="B841" s="127" t="n">
        <f aca="false">SUMPRODUCT(固有振動数!$Q$6:$Q$22*(1-($A841/固有振動数!$O$6:$O$22)^2)/((1-($A841/固有振動数!$O$6:$O$22)^2)^2+固有振動数!$P$6:$P$22^2))</f>
        <v>28.4484163773511</v>
      </c>
      <c r="C841" s="127" t="n">
        <f aca="false">-SUMPRODUCT(固有振動数!$Q$6:$Q$22*固有振動数!$P$6:$P$22/((1-($A841/固有振動数!$O$6:$O$22)^2)^2+固有振動数!$P$6:$P$22^2))</f>
        <v>-2.83875527508694</v>
      </c>
      <c r="D841" s="128" t="n">
        <f aca="false">SQRT(B841^2+C841^2)</f>
        <v>28.5896996467429</v>
      </c>
      <c r="E841" s="129" t="n">
        <f aca="false">20*LOG10(MAX(D841,0.000000000001)/$K$3)</f>
        <v>29.1241918567594</v>
      </c>
    </row>
    <row r="842" customFormat="false" ht="15" hidden="false" customHeight="false" outlineLevel="0" collapsed="false">
      <c r="A842" s="122" t="n">
        <f aca="false">A841+$F$3</f>
        <v>8360</v>
      </c>
      <c r="B842" s="123" t="n">
        <f aca="false">SUMPRODUCT(固有振動数!$Q$6:$Q$22*(1-($A842/固有振動数!$O$6:$O$22)^2)/((1-($A842/固有振動数!$O$6:$O$22)^2)^2+固有振動数!$P$6:$P$22^2))</f>
        <v>28.6785372992885</v>
      </c>
      <c r="C842" s="123" t="n">
        <f aca="false">-SUMPRODUCT(固有振動数!$Q$6:$Q$22*固有振動数!$P$6:$P$22/((1-($A842/固有振動数!$O$6:$O$22)^2)^2+固有振動数!$P$6:$P$22^2))</f>
        <v>-2.898431882154</v>
      </c>
      <c r="D842" s="124" t="n">
        <f aca="false">SQRT(B842^2+C842^2)</f>
        <v>28.8246319838115</v>
      </c>
      <c r="E842" s="125" t="n">
        <f aca="false">20*LOG10(MAX(D842,0.000000000001)/$K$3)</f>
        <v>29.1952754236399</v>
      </c>
    </row>
    <row r="843" customFormat="false" ht="15" hidden="false" customHeight="false" outlineLevel="0" collapsed="false">
      <c r="A843" s="126" t="n">
        <f aca="false">A842+$F$3</f>
        <v>8370</v>
      </c>
      <c r="B843" s="127" t="n">
        <f aca="false">SUMPRODUCT(固有振動数!$Q$6:$Q$22*(1-($A843/固有振動数!$O$6:$O$22)^2)/((1-($A843/固有振動数!$O$6:$O$22)^2)^2+固有振動数!$P$6:$P$22^2))</f>
        <v>28.9138794811493</v>
      </c>
      <c r="C843" s="127" t="n">
        <f aca="false">-SUMPRODUCT(固有振動数!$Q$6:$Q$22*固有振動数!$P$6:$P$22/((1-($A843/固有振動数!$O$6:$O$22)^2)^2+固有振動数!$P$6:$P$22^2))</f>
        <v>-2.96042173591337</v>
      </c>
      <c r="D843" s="128" t="n">
        <f aca="false">SQRT(B843^2+C843^2)</f>
        <v>29.065039540742</v>
      </c>
      <c r="E843" s="129" t="n">
        <f aca="false">20*LOG10(MAX(D843,0.000000000001)/$K$3)</f>
        <v>29.2674183623383</v>
      </c>
    </row>
    <row r="844" customFormat="false" ht="15" hidden="false" customHeight="false" outlineLevel="0" collapsed="false">
      <c r="A844" s="122" t="n">
        <f aca="false">A843+$F$3</f>
        <v>8380</v>
      </c>
      <c r="B844" s="123" t="n">
        <f aca="false">SUMPRODUCT(固有振動数!$Q$6:$Q$22*(1-($A844/固有振動数!$O$6:$O$22)^2)/((1-($A844/固有振動数!$O$6:$O$22)^2)^2+固有振動数!$P$6:$P$22^2))</f>
        <v>29.1546405227456</v>
      </c>
      <c r="C844" s="123" t="n">
        <f aca="false">-SUMPRODUCT(固有振動数!$Q$6:$Q$22*固有振動数!$P$6:$P$22/((1-($A844/固有振動数!$O$6:$O$22)^2)^2+固有振動数!$P$6:$P$22^2))</f>
        <v>-3.02484690226877</v>
      </c>
      <c r="D844" s="124" t="n">
        <f aca="false">SQRT(B844^2+C844^2)</f>
        <v>29.3111371801349</v>
      </c>
      <c r="E844" s="125" t="n">
        <f aca="false">20*LOG10(MAX(D844,0.000000000001)/$K$3)</f>
        <v>29.3406533605647</v>
      </c>
    </row>
    <row r="845" customFormat="false" ht="15" hidden="false" customHeight="false" outlineLevel="0" collapsed="false">
      <c r="A845" s="126" t="n">
        <f aca="false">A844+$F$3</f>
        <v>8390</v>
      </c>
      <c r="B845" s="127" t="n">
        <f aca="false">SUMPRODUCT(固有振動数!$Q$6:$Q$22*(1-($A845/固有振動数!$O$6:$O$22)^2)/((1-($A845/固有振動数!$O$6:$O$22)^2)^2+固有振動数!$P$6:$P$22^2))</f>
        <v>29.4010277194327</v>
      </c>
      <c r="C845" s="127" t="n">
        <f aca="false">-SUMPRODUCT(固有振動数!$Q$6:$Q$22*固有振動数!$P$6:$P$22/((1-($A845/固有振動数!$O$6:$O$22)^2)^2+固有振動数!$P$6:$P$22^2))</f>
        <v>-3.09183770629382</v>
      </c>
      <c r="D845" s="128" t="n">
        <f aca="false">SQRT(B845^2+C845^2)</f>
        <v>29.563150903801</v>
      </c>
      <c r="E845" s="129" t="n">
        <f aca="false">20*LOG10(MAX(D845,0.000000000001)/$K$3)</f>
        <v>29.4150144044738</v>
      </c>
    </row>
    <row r="846" customFormat="false" ht="15" hidden="false" customHeight="false" outlineLevel="0" collapsed="false">
      <c r="A846" s="122" t="n">
        <f aca="false">A845+$F$3</f>
        <v>8400</v>
      </c>
      <c r="B846" s="123" t="n">
        <f aca="false">SUMPRODUCT(固有振動数!$Q$6:$Q$22*(1-($A846/固有振動数!$O$6:$O$22)^2)/((1-($A846/固有振動数!$O$6:$O$22)^2)^2+固有振動数!$P$6:$P$22^2))</f>
        <v>29.6532586516226</v>
      </c>
      <c r="C846" s="123" t="n">
        <f aca="false">-SUMPRODUCT(固有振動数!$Q$6:$Q$22*固有振動数!$P$6:$P$22/((1-($A846/固有振動数!$O$6:$O$22)^2)^2+固有振動数!$P$6:$P$22^2))</f>
        <v>-3.1615334138278</v>
      </c>
      <c r="D846" s="124" t="n">
        <f aca="false">SQRT(B846^2+C846^2)</f>
        <v>29.8213185856491</v>
      </c>
      <c r="E846" s="125" t="n">
        <f aca="false">20*LOG10(MAX(D846,0.000000000001)/$K$3)</f>
        <v>29.4905368479403</v>
      </c>
    </row>
    <row r="847" customFormat="false" ht="15" hidden="false" customHeight="false" outlineLevel="0" collapsed="false">
      <c r="A847" s="126" t="n">
        <f aca="false">A846+$F$3</f>
        <v>8410</v>
      </c>
      <c r="B847" s="127" t="n">
        <f aca="false">SUMPRODUCT(固有振動数!$Q$6:$Q$22*(1-($A847/固有振動数!$O$6:$O$22)^2)/((1-($A847/固有振動数!$O$6:$O$22)^2)^2+固有振動数!$P$6:$P$22^2))</f>
        <v>29.9115618155978</v>
      </c>
      <c r="C847" s="127" t="n">
        <f aca="false">-SUMPRODUCT(固有振動数!$Q$6:$Q$22*固有振動数!$P$6:$P$22/((1-($A847/固有振動数!$O$6:$O$22)^2)^2+固有振動数!$P$6:$P$22^2))</f>
        <v>-3.23408297975094</v>
      </c>
      <c r="D847" s="128" t="n">
        <f aca="false">SQRT(B847^2+C847^2)</f>
        <v>30.0858907624196</v>
      </c>
      <c r="E847" s="129" t="n">
        <f aca="false">20*LOG10(MAX(D847,0.000000000001)/$K$3)</f>
        <v>29.5672574862238</v>
      </c>
    </row>
    <row r="848" customFormat="false" ht="15" hidden="false" customHeight="false" outlineLevel="0" collapsed="false">
      <c r="A848" s="122" t="n">
        <f aca="false">A847+$F$3</f>
        <v>8420</v>
      </c>
      <c r="B848" s="123" t="n">
        <f aca="false">SUMPRODUCT(固有振動数!$Q$6:$Q$22*(1-($A848/固有振動数!$O$6:$O$22)^2)/((1-($A848/固有振動数!$O$6:$O$22)^2)^2+固有振動数!$P$6:$P$22^2))</f>
        <v>30.176177298747</v>
      </c>
      <c r="C848" s="123" t="n">
        <f aca="false">-SUMPRODUCT(固有振動数!$Q$6:$Q$22*固有振動数!$P$6:$P$22/((1-($A848/固有振動数!$O$6:$O$22)^2)^2+固有振動数!$P$6:$P$22^2))</f>
        <v>-3.30964587049343</v>
      </c>
      <c r="D848" s="124" t="n">
        <f aca="false">SQRT(B848^2+C848^2)</f>
        <v>30.357131487568</v>
      </c>
      <c r="E848" s="125" t="n">
        <f aca="false">20*LOG10(MAX(D848,0.000000000001)/$K$3)</f>
        <v>29.6452146343392</v>
      </c>
    </row>
    <row r="849" customFormat="false" ht="15" hidden="false" customHeight="false" outlineLevel="0" collapsed="false">
      <c r="A849" s="126" t="n">
        <f aca="false">A848+$F$3</f>
        <v>8430</v>
      </c>
      <c r="B849" s="127" t="n">
        <f aca="false">SUMPRODUCT(固有振動数!$Q$6:$Q$22*(1-($A849/固有振動数!$O$6:$O$22)^2)/((1-($A849/固有振動数!$O$6:$O$22)^2)^2+固有振動数!$P$6:$P$22^2))</f>
        <v>30.4473575025704</v>
      </c>
      <c r="C849" s="127" t="n">
        <f aca="false">-SUMPRODUCT(固有振動数!$Q$6:$Q$22*固有振動数!$P$6:$P$22/((1-($A849/固有振動数!$O$6:$O$22)^2)^2+固有振動数!$P$6:$P$22^2))</f>
        <v>-3.38839296930592</v>
      </c>
      <c r="D849" s="128" t="n">
        <f aca="false">SQRT(B849^2+C849^2)</f>
        <v>30.6353192541513</v>
      </c>
      <c r="E849" s="129" t="n">
        <f aca="false">20*LOG10(MAX(D849,0.000000000001)/$K$3)</f>
        <v>29.7244482104763</v>
      </c>
    </row>
    <row r="850" customFormat="false" ht="15" hidden="false" customHeight="false" outlineLevel="0" collapsed="false">
      <c r="A850" s="122" t="n">
        <f aca="false">A849+$F$3</f>
        <v>8440</v>
      </c>
      <c r="B850" s="123" t="n">
        <f aca="false">SUMPRODUCT(固有振動数!$Q$6:$Q$22*(1-($A850/固有振動数!$O$6:$O$22)^2)/((1-($A850/固有振動数!$O$6:$O$22)^2)^2+固有振動数!$P$6:$P$22^2))</f>
        <v>30.7253679170323</v>
      </c>
      <c r="C850" s="123" t="n">
        <f aca="false">-SUMPRODUCT(固有振動数!$Q$6:$Q$22*固有振動数!$P$6:$P$22/((1-($A850/固有振動数!$O$6:$O$22)^2)^2+固有振動数!$P$6:$P$22^2))</f>
        <v>-3.47050757393288</v>
      </c>
      <c r="D850" s="124" t="n">
        <f aca="false">SQRT(B850^2+C850^2)</f>
        <v>30.9207479931797</v>
      </c>
      <c r="E850" s="125" t="n">
        <f aca="false">20*LOG10(MAX(D850,0.000000000001)/$K$3)</f>
        <v>29.804999824836</v>
      </c>
    </row>
    <row r="851" customFormat="false" ht="15" hidden="false" customHeight="false" outlineLevel="0" collapsed="false">
      <c r="A851" s="126" t="n">
        <f aca="false">A850+$F$3</f>
        <v>8450</v>
      </c>
      <c r="B851" s="127" t="n">
        <f aca="false">SUMPRODUCT(固有振動数!$Q$6:$Q$22*(1-($A851/固有振動数!$O$6:$O$22)^2)/((1-($A851/固有振動数!$O$6:$O$22)^2)^2+固有振動数!$P$6:$P$22^2))</f>
        <v>31.0104879500739</v>
      </c>
      <c r="C851" s="127" t="n">
        <f aca="false">-SUMPRODUCT(固有振動数!$Q$6:$Q$22*固有振動数!$P$6:$P$22/((1-($A851/固有振動数!$O$6:$O$22)^2)^2+固有振動数!$P$6:$P$22^2))</f>
        <v>-3.55618649760746</v>
      </c>
      <c r="D851" s="128" t="n">
        <f aca="false">SQRT(B851^2+C851^2)</f>
        <v>31.2137281545707</v>
      </c>
      <c r="E851" s="129" t="n">
        <f aca="false">20*LOG10(MAX(D851,0.000000000001)/$K$3)</f>
        <v>29.8869128742747</v>
      </c>
    </row>
    <row r="852" customFormat="false" ht="15" hidden="false" customHeight="false" outlineLevel="0" collapsed="false">
      <c r="A852" s="122" t="n">
        <f aca="false">A851+$F$3</f>
        <v>8460</v>
      </c>
      <c r="B852" s="123" t="n">
        <f aca="false">SUMPRODUCT(固有振動数!$Q$6:$Q$22*(1-($A852/固有振動数!$O$6:$O$22)^2)/((1-($A852/固有振動数!$O$6:$O$22)^2)^2+固有振動数!$P$6:$P$22^2))</f>
        <v>31.303011816336</v>
      </c>
      <c r="C852" s="123" t="n">
        <f aca="false">-SUMPRODUCT(固有振動数!$Q$6:$Q$22*固有振動数!$P$6:$P$22/((1-($A852/固有振動数!$O$6:$O$22)^2)^2+固有振動数!$P$6:$P$22^2))</f>
        <v>-3.64564128575196</v>
      </c>
      <c r="D852" s="124" t="n">
        <f aca="false">SQRT(B852^2+C852^2)</f>
        <v>31.5145878786007</v>
      </c>
      <c r="E852" s="125" t="n">
        <f aca="false">20*LOG10(MAX(D852,0.000000000001)/$K$3)</f>
        <v>29.9702326431817</v>
      </c>
    </row>
    <row r="853" customFormat="false" ht="15" hidden="false" customHeight="false" outlineLevel="0" collapsed="false">
      <c r="A853" s="126" t="n">
        <f aca="false">A852+$F$3</f>
        <v>8470</v>
      </c>
      <c r="B853" s="127" t="n">
        <f aca="false">SUMPRODUCT(固有振動数!$Q$6:$Q$22*(1-($A853/固有振動数!$O$6:$O$22)^2)/((1-($A853/固有振動数!$O$6:$O$22)^2)^2+固有振動数!$P$6:$P$22^2))</f>
        <v>31.6032494893758</v>
      </c>
      <c r="C853" s="127" t="n">
        <f aca="false">-SUMPRODUCT(固有振動数!$Q$6:$Q$22*固有振動数!$P$6:$P$22/((1-($A853/固有振動数!$O$6:$O$22)^2)^2+固有振動数!$P$6:$P$22^2))</f>
        <v>-3.73909956245495</v>
      </c>
      <c r="D853" s="128" t="n">
        <f aca="false">SQRT(B853^2+C853^2)</f>
        <v>31.8236742665847</v>
      </c>
      <c r="E853" s="129" t="n">
        <f aca="false">20*LOG10(MAX(D853,0.000000000001)/$K$3)</f>
        <v>30.0550064110391</v>
      </c>
    </row>
    <row r="854" customFormat="false" ht="15" hidden="false" customHeight="false" outlineLevel="0" collapsed="false">
      <c r="A854" s="122" t="n">
        <f aca="false">A853+$F$3</f>
        <v>8480</v>
      </c>
      <c r="B854" s="123" t="n">
        <f aca="false">SUMPRODUCT(固有振動数!$Q$6:$Q$22*(1-($A854/固有振動数!$O$6:$O$22)^2)/((1-($A854/固有振動数!$O$6:$O$22)^2)^2+固有振動数!$P$6:$P$22^2))</f>
        <v>31.9115277218802</v>
      </c>
      <c r="C854" s="123" t="n">
        <f aca="false">-SUMPRODUCT(固有振動数!$Q$6:$Q$22*固有振動数!$P$6:$P$22/((1-($A854/固有振動数!$O$6:$O$22)^2)^2+固有振動数!$P$6:$P$22^2))</f>
        <v>-3.83680652273803</v>
      </c>
      <c r="D854" s="124" t="n">
        <f aca="false">SQRT(B854^2+C854^2)</f>
        <v>32.1413547604523</v>
      </c>
      <c r="E854" s="125" t="n">
        <f aca="false">20*LOG10(MAX(D854,0.000000000001)/$K$3)</f>
        <v>30.1412835671456</v>
      </c>
    </row>
    <row r="855" customFormat="false" ht="15" hidden="false" customHeight="false" outlineLevel="0" collapsed="false">
      <c r="A855" s="126" t="n">
        <f aca="false">A854+$F$3</f>
        <v>8490</v>
      </c>
      <c r="B855" s="127" t="n">
        <f aca="false">SUMPRODUCT(固有振動数!$Q$6:$Q$22*(1-($A855/固有振動数!$O$6:$O$22)^2)/((1-($A855/固有振動数!$O$6:$O$22)^2)^2+固有振動数!$P$6:$P$22^2))</f>
        <v>32.2281911385778</v>
      </c>
      <c r="C855" s="127" t="n">
        <f aca="false">-SUMPRODUCT(固有振動数!$Q$6:$Q$22*固有振動数!$P$6:$P$22/((1-($A855/固有振動数!$O$6:$O$22)^2)^2+固有振動数!$P$6:$P$22^2))</f>
        <v>-3.9390265888683</v>
      </c>
      <c r="D855" s="128" t="n">
        <f aca="false">SQRT(B855^2+C855^2)</f>
        <v>32.4680186419269</v>
      </c>
      <c r="E855" s="129" t="n">
        <f aca="false">20*LOG10(MAX(D855,0.000000000001)/$K$3)</f>
        <v>30.2291157330171</v>
      </c>
    </row>
    <row r="856" customFormat="false" ht="15" hidden="false" customHeight="false" outlineLevel="0" collapsed="false">
      <c r="A856" s="122" t="n">
        <f aca="false">A855+$F$3</f>
        <v>8500</v>
      </c>
      <c r="B856" s="123" t="n">
        <f aca="false">SUMPRODUCT(固有振動数!$Q$6:$Q$22*(1-($A856/固有振動数!$O$6:$O$22)^2)/((1-($A856/固有振動数!$O$6:$O$22)^2)^2+固有振動数!$P$6:$P$22^2))</f>
        <v>32.5536034067165</v>
      </c>
      <c r="C856" s="123" t="n">
        <f aca="false">-SUMPRODUCT(固有振動数!$Q$6:$Q$22*固有振動数!$P$6:$P$22/((1-($A856/固有振動数!$O$6:$O$22)^2)^2+固有振動数!$P$6:$P$22^2))</f>
        <v>-4.04604525156476</v>
      </c>
      <c r="D856" s="124" t="n">
        <f aca="false">SQRT(B856^2+C856^2)</f>
        <v>32.8040786631708</v>
      </c>
      <c r="E856" s="125" t="n">
        <f aca="false">20*LOG10(MAX(D856,0.000000000001)/$K$3)</f>
        <v>30.318556893005</v>
      </c>
    </row>
    <row r="857" customFormat="false" ht="15" hidden="false" customHeight="false" outlineLevel="0" collapsed="false">
      <c r="A857" s="126" t="n">
        <f aca="false">A856+$F$3</f>
        <v>8510</v>
      </c>
      <c r="B857" s="127" t="n">
        <f aca="false">SUMPRODUCT(固有振動数!$Q$6:$Q$22*(1-($A857/固有振動数!$O$6:$O$22)^2)/((1-($A857/固有振動数!$O$6:$O$22)^2)^2+固有振動数!$P$6:$P$22^2))</f>
        <v>32.8881484890797</v>
      </c>
      <c r="C857" s="127" t="n">
        <f aca="false">-SUMPRODUCT(固有振動数!$Q$6:$Q$22*固有振動数!$P$6:$P$22/((1-($A857/固有振動数!$O$6:$O$22)^2)^2+固有振動数!$P$6:$P$22^2))</f>
        <v>-4.15817111995056</v>
      </c>
      <c r="D857" s="128" t="n">
        <f aca="false">SQRT(B857^2+C857^2)</f>
        <v>33.1499728220483</v>
      </c>
      <c r="E857" s="129" t="n">
        <f aca="false">20*LOG10(MAX(D857,0.000000000001)/$K$3)</f>
        <v>30.4096635337062</v>
      </c>
    </row>
    <row r="858" customFormat="false" ht="15" hidden="false" customHeight="false" outlineLevel="0" collapsed="false">
      <c r="A858" s="122" t="n">
        <f aca="false">A857+$F$3</f>
        <v>8520</v>
      </c>
      <c r="B858" s="123" t="n">
        <f aca="false">SUMPRODUCT(固有振動数!$Q$6:$Q$22*(1-($A858/固有振動数!$O$6:$O$22)^2)/((1-($A858/固有振動数!$O$6:$O$22)^2)^2+固有振動数!$P$6:$P$22^2))</f>
        <v>33.2322319845454</v>
      </c>
      <c r="C858" s="123" t="n">
        <f aca="false">-SUMPRODUCT(固有振動数!$Q$6:$Q$22*固有振動数!$P$6:$P$22/((1-($A858/固有振動数!$O$6:$O$22)^2)^2+固有振動数!$P$6:$P$22^2))</f>
        <v>-4.27573820758748</v>
      </c>
      <c r="D858" s="124" t="n">
        <f aca="false">SQRT(B858^2+C858^2)</f>
        <v>33.5061662965859</v>
      </c>
      <c r="E858" s="125" t="n">
        <f aca="false">20*LOG10(MAX(D858,0.000000000001)/$K$3)</f>
        <v>30.5024947927635</v>
      </c>
    </row>
    <row r="859" customFormat="false" ht="15" hidden="false" customHeight="false" outlineLevel="0" collapsed="false">
      <c r="A859" s="126" t="n">
        <f aca="false">A858+$F$3</f>
        <v>8530</v>
      </c>
      <c r="B859" s="127" t="n">
        <f aca="false">SUMPRODUCT(固有振動数!$Q$6:$Q$22*(1-($A859/固有振動数!$O$6:$O$22)^2)/((1-($A859/固有振動数!$O$6:$O$22)^2)^2+固有振動数!$P$6:$P$22^2))</f>
        <v>33.5862825611159</v>
      </c>
      <c r="C859" s="127" t="n">
        <f aca="false">-SUMPRODUCT(固有振動数!$Q$6:$Q$22*固有振動数!$P$6:$P$22/((1-($A859/固有振動数!$O$6:$O$22)^2)^2+固有振動数!$P$6:$P$22^2))</f>
        <v>-4.3991084859812</v>
      </c>
      <c r="D859" s="128" t="n">
        <f aca="false">SQRT(B859^2+C859^2)</f>
        <v>33.8731535547925</v>
      </c>
      <c r="E859" s="129" t="n">
        <f aca="false">20*LOG10(MAX(D859,0.000000000001)/$K$3)</f>
        <v>30.5971126176815</v>
      </c>
    </row>
    <row r="860" customFormat="false" ht="15" hidden="false" customHeight="false" outlineLevel="0" collapsed="false">
      <c r="A860" s="122" t="n">
        <f aca="false">A859+$F$3</f>
        <v>8540</v>
      </c>
      <c r="B860" s="123" t="n">
        <f aca="false">SUMPRODUCT(固有振動数!$Q$6:$Q$22*(1-($A860/固有振動数!$O$6:$O$22)^2)/((1-($A860/固有振動数!$O$6:$O$22)^2)^2+固有振動数!$P$6:$P$22^2))</f>
        <v>33.9507534861064</v>
      </c>
      <c r="C860" s="123" t="n">
        <f aca="false">-SUMPRODUCT(固有振動数!$Q$6:$Q$22*固有振動数!$P$6:$P$22/((1-($A860/固有振動数!$O$6:$O$22)^2)^2+固有振動数!$P$6:$P$22^2))</f>
        <v>-4.52867474166343</v>
      </c>
      <c r="D860" s="124" t="n">
        <f aca="false">SQRT(B860^2+C860^2)</f>
        <v>34.2514606577609</v>
      </c>
      <c r="E860" s="125" t="n">
        <f aca="false">20*LOG10(MAX(D860,0.000000000001)/$K$3)</f>
        <v>30.6935819353013</v>
      </c>
    </row>
    <row r="861" customFormat="false" ht="15" hidden="false" customHeight="false" outlineLevel="0" collapsed="false">
      <c r="A861" s="126" t="n">
        <f aca="false">A860+$F$3</f>
        <v>8550</v>
      </c>
      <c r="B861" s="127" t="n">
        <f aca="false">SUMPRODUCT(固有振動数!$Q$6:$Q$22*(1-($A861/固有振動数!$O$6:$O$22)^2)/((1-($A861/固有振動数!$O$6:$O$22)^2)^2+固有振動数!$P$6:$P$22^2))</f>
        <v>34.3261242577458</v>
      </c>
      <c r="C861" s="127" t="n">
        <f aca="false">-SUMPRODUCT(固有振動数!$Q$6:$Q$22*固有振動数!$P$6:$P$22/((1-($A861/固有振動数!$O$6:$O$22)^2)^2+固有振動数!$P$6:$P$22^2))</f>
        <v>-4.66486377846311</v>
      </c>
      <c r="D861" s="128" t="n">
        <f aca="false">SQRT(B861^2+C861^2)</f>
        <v>34.6416477759044</v>
      </c>
      <c r="E861" s="129" t="n">
        <f aca="false">20*LOG10(MAX(D861,0.000000000001)/$K$3)</f>
        <v>30.791970832589</v>
      </c>
    </row>
    <row r="862" customFormat="false" ht="15" hidden="false" customHeight="false" outlineLevel="0" collapsed="false">
      <c r="A862" s="122" t="n">
        <f aca="false">A861+$F$3</f>
        <v>8560</v>
      </c>
      <c r="B862" s="123" t="n">
        <f aca="false">SUMPRODUCT(固有振動数!$Q$6:$Q$22*(1-($A862/固有振動数!$O$6:$O$22)^2)/((1-($A862/固有振動数!$O$6:$O$22)^2)^2+固有振動数!$P$6:$P$22^2))</f>
        <v>34.7129023417167</v>
      </c>
      <c r="C862" s="123" t="n">
        <f aca="false">-SUMPRODUCT(固有振動数!$Q$6:$Q$22*固有振動数!$P$6:$P$22/((1-($A862/固有振動数!$O$6:$O$22)^2)^2+固有振動数!$P$6:$P$22^2))</f>
        <v>-4.80814001301266</v>
      </c>
      <c r="D862" s="124" t="n">
        <f aca="false">SQRT(B862^2+C862^2)</f>
        <v>35.0443119403177</v>
      </c>
      <c r="E862" s="125" t="n">
        <f aca="false">20*LOG10(MAX(D862,0.000000000001)/$K$3)</f>
        <v>30.8923507493921</v>
      </c>
    </row>
    <row r="863" customFormat="false" ht="15" hidden="false" customHeight="false" outlineLevel="0" collapsed="false">
      <c r="A863" s="126" t="n">
        <f aca="false">A862+$F$3</f>
        <v>8570</v>
      </c>
      <c r="B863" s="127" t="n">
        <f aca="false">SUMPRODUCT(固有振動数!$Q$6:$Q$22*(1-($A863/固有振動数!$O$6:$O$22)^2)/((1-($A863/固有振動数!$O$6:$O$22)^2)^2+固有振動数!$P$6:$P$22^2))</f>
        <v>35.1116250150611</v>
      </c>
      <c r="C863" s="127" t="n">
        <f aca="false">-SUMPRODUCT(固有振動数!$Q$6:$Q$22*固有振動数!$P$6:$P$22/((1-($A863/固有振動数!$O$6:$O$22)^2)^2+固有振動数!$P$6:$P$22^2))</f>
        <v>-4.95900951907007</v>
      </c>
      <c r="D863" s="128" t="n">
        <f aca="false">SQRT(B863^2+C863^2)</f>
        <v>35.4600900535869</v>
      </c>
      <c r="E863" s="129" t="n">
        <f aca="false">20*LOG10(MAX(D863,0.000000000001)/$K$3)</f>
        <v>30.9947966838012</v>
      </c>
    </row>
    <row r="864" customFormat="false" ht="15" hidden="false" customHeight="false" outlineLevel="0" collapsed="false">
      <c r="A864" s="122" t="n">
        <f aca="false">A863+$F$3</f>
        <v>8580</v>
      </c>
      <c r="B864" s="123" t="n">
        <f aca="false">SUMPRODUCT(固有振動数!$Q$6:$Q$22*(1-($A864/固有振動数!$O$6:$O$22)^2)/((1-($A864/固有振動数!$O$6:$O$22)^2)^2+固有振動数!$P$6:$P$22^2))</f>
        <v>35.5228613182757</v>
      </c>
      <c r="C864" s="123" t="n">
        <f aca="false">-SUMPRODUCT(固有振動数!$Q$6:$Q$22*固有振動数!$P$6:$P$22/((1-($A864/固有振動数!$O$6:$O$22)^2)^2+固有振動数!$P$6:$P$22^2))</f>
        <v>-5.11802458507397</v>
      </c>
      <c r="D864" s="124" t="n">
        <f aca="false">SQRT(B864^2+C864^2)</f>
        <v>35.8896621869149</v>
      </c>
      <c r="E864" s="125" t="n">
        <f aca="false">20*LOG10(MAX(D864,0.000000000001)/$K$3)</f>
        <v>31.0993874107165</v>
      </c>
    </row>
    <row r="865" customFormat="false" ht="15" hidden="false" customHeight="false" outlineLevel="0" collapsed="false">
      <c r="A865" s="126" t="n">
        <f aca="false">A864+$F$3</f>
        <v>8590</v>
      </c>
      <c r="B865" s="127" t="n">
        <f aca="false">SUMPRODUCT(固有振動数!$Q$6:$Q$22*(1-($A865/固有振動数!$O$6:$O$22)^2)/((1-($A865/固有振動数!$O$6:$O$22)^2)^2+固有振動数!$P$6:$P$22^2))</f>
        <v>35.9472141141492</v>
      </c>
      <c r="C865" s="127" t="n">
        <f aca="false">-SUMPRODUCT(固有振動数!$Q$6:$Q$22*固有振動数!$P$6:$P$22/((1-($A865/固有振動数!$O$6:$O$22)^2)^2+固有振動数!$P$6:$P$22^2))</f>
        <v>-5.28578885973114</v>
      </c>
      <c r="D865" s="128" t="n">
        <f aca="false">SQRT(B865^2+C865^2)</f>
        <v>36.3337551931829</v>
      </c>
      <c r="E865" s="129" t="n">
        <f aca="false">20*LOG10(MAX(D865,0.000000000001)/$K$3)</f>
        <v>31.2062057141483</v>
      </c>
    </row>
    <row r="866" customFormat="false" ht="15" hidden="false" customHeight="false" outlineLevel="0" collapsed="false">
      <c r="A866" s="122" t="n">
        <f aca="false">A865+$F$3</f>
        <v>8600</v>
      </c>
      <c r="B866" s="123" t="n">
        <f aca="false">SUMPRODUCT(固有振動数!$Q$6:$Q$22*(1-($A866/固有振動数!$O$6:$O$22)^2)/((1-($A866/固有振動数!$O$6:$O$22)^2)^2+固有振動数!$P$6:$P$22^2))</f>
        <v>36.3853222487372</v>
      </c>
      <c r="C866" s="123" t="n">
        <f aca="false">-SUMPRODUCT(固有振動数!$Q$6:$Q$22*固有振動数!$P$6:$P$22/((1-($A866/固有振動数!$O$6:$O$22)^2)^2+固有振動数!$P$6:$P$22^2))</f>
        <v>-5.46296317265234</v>
      </c>
      <c r="D866" s="124" t="n">
        <f aca="false">SQRT(B866^2+C866^2)</f>
        <v>36.7931466685062</v>
      </c>
      <c r="E866" s="125" t="n">
        <f aca="false">20*LOG10(MAX(D866,0.000000000001)/$K$3)</f>
        <v>31.3153386336705</v>
      </c>
    </row>
    <row r="867" customFormat="false" ht="15" hidden="false" customHeight="false" outlineLevel="0" collapsed="false">
      <c r="A867" s="126" t="n">
        <f aca="false">A866+$F$3</f>
        <v>8610</v>
      </c>
      <c r="B867" s="127" t="n">
        <f aca="false">SUMPRODUCT(固有振動数!$Q$6:$Q$22*(1-($A867/固有振動数!$O$6:$O$22)^2)/((1-($A867/固有振動数!$O$6:$O$22)^2)^2+固有振動数!$P$6:$P$22^2))</f>
        <v>36.837862805549</v>
      </c>
      <c r="C867" s="127" t="n">
        <f aca="false">-SUMPRODUCT(固有振動数!$Q$6:$Q$22*固有振動数!$P$6:$P$22/((1-($A867/固有振動数!$O$6:$O$22)^2)^2+固有振動数!$P$6:$P$22^2))</f>
        <v>-5.65027213144881</v>
      </c>
      <c r="D867" s="128" t="n">
        <f aca="false">SQRT(B867^2+C867^2)</f>
        <v>37.2686692979489</v>
      </c>
      <c r="E867" s="129" t="n">
        <f aca="false">20*LOG10(MAX(D867,0.000000000001)/$K$3)</f>
        <v>31.4268777252806</v>
      </c>
    </row>
    <row r="868" customFormat="false" ht="15" hidden="false" customHeight="false" outlineLevel="0" collapsed="false">
      <c r="A868" s="122" t="n">
        <f aca="false">A867+$F$3</f>
        <v>8620</v>
      </c>
      <c r="B868" s="123" t="n">
        <f aca="false">SUMPRODUCT(固有振動数!$Q$6:$Q$22*(1-($A868/固有振動数!$O$6:$O$22)^2)/((1-($A868/固有振動数!$O$6:$O$22)^2)^2+固有振動数!$P$6:$P$22^2))</f>
        <v>37.305553438155</v>
      </c>
      <c r="C868" s="123" t="n">
        <f aca="false">-SUMPRODUCT(固有振動数!$Q$6:$Q$22*固有振動数!$P$6:$P$22/((1-($A868/固有振動数!$O$6:$O$22)^2)^2+固有振動数!$P$6:$P$22^2))</f>
        <v>-5.84851161369085</v>
      </c>
      <c r="D868" s="124" t="n">
        <f aca="false">SQRT(B868^2+C868^2)</f>
        <v>37.7612156242687</v>
      </c>
      <c r="E868" s="125" t="n">
        <f aca="false">20*LOG10(MAX(D868,0.000000000001)/$K$3)</f>
        <v>31.5409193366806</v>
      </c>
    </row>
    <row r="869" customFormat="false" ht="15" hidden="false" customHeight="false" outlineLevel="0" collapsed="false">
      <c r="A869" s="126" t="n">
        <f aca="false">A868+$F$3</f>
        <v>8630</v>
      </c>
      <c r="B869" s="127" t="n">
        <f aca="false">SUMPRODUCT(固有振動数!$Q$6:$Q$22*(1-($A869/固有振動数!$O$6:$O$22)^2)/((1-($A869/固有振動数!$O$6:$O$22)^2)^2+固有振動数!$P$6:$P$22^2))</f>
        <v>37.7891547585273</v>
      </c>
      <c r="C869" s="127" t="n">
        <f aca="false">-SUMPRODUCT(固有振動数!$Q$6:$Q$22*固有振動数!$P$6:$P$22/((1-($A869/固有振動数!$O$6:$O$22)^2)^2+固有振動数!$P$6:$P$22^2))</f>
        <v>-6.05855729219989</v>
      </c>
      <c r="D869" s="128" t="n">
        <f aca="false">SQRT(B869^2+C869^2)</f>
        <v>38.2717432817842</v>
      </c>
      <c r="E869" s="129" t="n">
        <f aca="false">20*LOG10(MAX(D869,0.000000000001)/$K$3)</f>
        <v>31.6575648966541</v>
      </c>
    </row>
    <row r="870" customFormat="false" ht="15" hidden="false" customHeight="false" outlineLevel="0" collapsed="false">
      <c r="A870" s="122" t="n">
        <f aca="false">A869+$F$3</f>
        <v>8640</v>
      </c>
      <c r="B870" s="123" t="n">
        <f aca="false">SUMPRODUCT(固有振動数!$Q$6:$Q$22*(1-($A870/固有振動数!$O$6:$O$22)^2)/((1-($A870/固有振動数!$O$6:$O$22)^2)^2+固有振動数!$P$6:$P$22^2))</f>
        <v>38.2894727478548</v>
      </c>
      <c r="C870" s="123" t="n">
        <f aca="false">-SUMPRODUCT(固有振動数!$Q$6:$Q$22*固有振動数!$P$6:$P$22/((1-($A870/固有振動数!$O$6:$O$22)^2)^2+固有振動数!$P$6:$P$22^2))</f>
        <v>-6.28137435588019</v>
      </c>
      <c r="D870" s="124" t="n">
        <f aca="false">SQRT(B870^2+C870^2)</f>
        <v>38.8012807405558</v>
      </c>
      <c r="E870" s="125" t="n">
        <f aca="false">20*LOG10(MAX(D870,0.000000000001)/$K$3)</f>
        <v>31.7769212177482</v>
      </c>
    </row>
    <row r="871" customFormat="false" ht="15" hidden="false" customHeight="false" outlineLevel="0" collapsed="false">
      <c r="A871" s="126" t="n">
        <f aca="false">A870+$F$3</f>
        <v>8650</v>
      </c>
      <c r="B871" s="127" t="n">
        <f aca="false">SUMPRODUCT(固有振動数!$Q$6:$Q$22*(1-($A871/固有振動数!$O$6:$O$22)^2)/((1-($A871/固有振動数!$O$6:$O$22)^2)^2+固有振動数!$P$6:$P$22^2))</f>
        <v>38.8073611424639</v>
      </c>
      <c r="C871" s="127" t="n">
        <f aca="false">-SUMPRODUCT(固有振動数!$Q$6:$Q$22*固有振動数!$P$6:$P$22/((1-($A871/固有振動数!$O$6:$O$22)^2)^2+固有振動数!$P$6:$P$22^2))</f>
        <v>-6.51802861638043</v>
      </c>
      <c r="D871" s="128" t="n">
        <f aca="false">SQRT(B871^2+C871^2)</f>
        <v>39.3509336088176</v>
      </c>
      <c r="E871" s="129" t="n">
        <f aca="false">20*LOG10(MAX(D871,0.000000000001)/$K$3)</f>
        <v>31.8991008108256</v>
      </c>
    </row>
    <row r="872" customFormat="false" ht="15" hidden="false" customHeight="false" outlineLevel="0" collapsed="false">
      <c r="A872" s="122" t="n">
        <f aca="false">A871+$F$3</f>
        <v>8660</v>
      </c>
      <c r="B872" s="123" t="n">
        <f aca="false">SUMPRODUCT(固有振動数!$Q$6:$Q$22*(1-($A872/固有振動数!$O$6:$O$22)^2)/((1-($A872/固有振動数!$O$6:$O$22)^2)^2+固有振動数!$P$6:$P$22^2))</f>
        <v>39.343723728708</v>
      </c>
      <c r="C872" s="123" t="n">
        <f aca="false">-SUMPRODUCT(固有振動数!$Q$6:$Q$22*固有振動数!$P$6:$P$22/((1-($A872/固有振動数!$O$6:$O$22)^2)^2+固有振動数!$P$6:$P$22^2))</f>
        <v>-6.76969922411732</v>
      </c>
      <c r="D872" s="124" t="n">
        <f aca="false">SQRT(B872^2+C872^2)</f>
        <v>39.9218915436871</v>
      </c>
      <c r="E872" s="125" t="n">
        <f aca="false">20*LOG10(MAX(D872,0.000000000001)/$K$3)</f>
        <v>32.0242222091823</v>
      </c>
    </row>
    <row r="873" customFormat="false" ht="15" hidden="false" customHeight="false" outlineLevel="0" collapsed="false">
      <c r="A873" s="126" t="n">
        <f aca="false">A872+$F$3</f>
        <v>8670</v>
      </c>
      <c r="B873" s="127" t="n">
        <f aca="false">SUMPRODUCT(固有振動数!$Q$6:$Q$22*(1-($A873/固有振動数!$O$6:$O$22)^2)/((1-($A873/固有振動数!$O$6:$O$22)^2)^2+固有振動数!$P$6:$P$22^2))</f>
        <v>39.8995164557623</v>
      </c>
      <c r="C873" s="127" t="n">
        <f aca="false">-SUMPRODUCT(固有振動数!$Q$6:$Q$22*固有振動数!$P$6:$P$22/((1-($A873/固有振動数!$O$6:$O$22)^2)^2+固有振動数!$P$6:$P$22^2))</f>
        <v>-7.03769325653175</v>
      </c>
      <c r="D873" s="128" t="n">
        <f aca="false">SQRT(B873^2+C873^2)</f>
        <v>40.5154358211371</v>
      </c>
      <c r="E873" s="129" t="n">
        <f aca="false">20*LOG10(MAX(D873,0.000000000001)/$K$3)</f>
        <v>32.1524102987498</v>
      </c>
    </row>
    <row r="874" customFormat="false" ht="15" hidden="false" customHeight="false" outlineLevel="0" collapsed="false">
      <c r="A874" s="122" t="n">
        <f aca="false">A873+$F$3</f>
        <v>8680</v>
      </c>
      <c r="B874" s="123" t="n">
        <f aca="false">SUMPRODUCT(固有振動数!$Q$6:$Q$22*(1-($A874/固有振動数!$O$6:$O$22)^2)/((1-($A874/固有振動数!$O$6:$O$22)^2)^2+固有振動数!$P$6:$P$22^2))</f>
        <v>40.4757492421828</v>
      </c>
      <c r="C874" s="123" t="n">
        <f aca="false">-SUMPRODUCT(固有振動数!$Q$6:$Q$22*固有振動数!$P$6:$P$22/((1-($A874/固有振動数!$O$6:$O$22)^2)^2+固有振動数!$P$6:$P$22^2))</f>
        <v>-7.32346248796105</v>
      </c>
      <c r="D874" s="124" t="n">
        <f aca="false">SQRT(B874^2+C874^2)</f>
        <v>41.1329476153683</v>
      </c>
      <c r="E874" s="125" t="n">
        <f aca="false">20*LOG10(MAX(D874,0.000000000001)/$K$3)</f>
        <v>32.2837966493231</v>
      </c>
    </row>
    <row r="875" customFormat="false" ht="15" hidden="false" customHeight="false" outlineLevel="0" collapsed="false">
      <c r="A875" s="126" t="n">
        <f aca="false">A874+$F$3</f>
        <v>8690</v>
      </c>
      <c r="B875" s="127" t="n">
        <f aca="false">SUMPRODUCT(固有振動数!$Q$6:$Q$22*(1-($A875/固有振動数!$O$6:$O$22)^2)/((1-($A875/固有振動数!$O$6:$O$22)^2)^2+固有振動数!$P$6:$P$22^2))</f>
        <v>41.073487308226</v>
      </c>
      <c r="C875" s="127" t="n">
        <f aca="false">-SUMPRODUCT(固有振動数!$Q$6:$Q$22*固有振動数!$P$6:$P$22/((1-($A875/固有振動数!$O$6:$O$22)^2)^2+固有振動数!$P$6:$P$22^2))</f>
        <v>-7.62862270541926</v>
      </c>
      <c r="D875" s="128" t="n">
        <f aca="false">SQRT(B875^2+C875^2)</f>
        <v>41.7759170341075</v>
      </c>
      <c r="E875" s="129" t="n">
        <f aca="false">20*LOG10(MAX(D875,0.000000000001)/$K$3)</f>
        <v>32.418519839642</v>
      </c>
    </row>
    <row r="876" customFormat="false" ht="15" hidden="false" customHeight="false" outlineLevel="0" collapsed="false">
      <c r="A876" s="122" t="n">
        <f aca="false">A875+$F$3</f>
        <v>8700</v>
      </c>
      <c r="B876" s="123" t="n">
        <f aca="false">SUMPRODUCT(固有振動数!$Q$6:$Q$22*(1-($A876/固有振動数!$O$6:$O$22)^2)/((1-($A876/固有振動数!$O$6:$O$22)^2)^2+固有振動数!$P$6:$P$22^2))</f>
        <v>41.6938518077464</v>
      </c>
      <c r="C876" s="123" t="n">
        <f aca="false">-SUMPRODUCT(固有振動数!$Q$6:$Q$22*固有振動数!$P$6:$P$22/((1-($A876/固有振動数!$O$6:$O$22)^2)^2+固有振動数!$P$6:$P$22^2))</f>
        <v>-7.95497599921732</v>
      </c>
      <c r="D876" s="124" t="n">
        <f aca="false">SQRT(B876^2+C876^2)</f>
        <v>42.4459529485962</v>
      </c>
      <c r="E876" s="125" t="n">
        <f aca="false">20*LOG10(MAX(D876,0.000000000001)/$K$3)</f>
        <v>32.5567257663317</v>
      </c>
    </row>
    <row r="877" customFormat="false" ht="15" hidden="false" customHeight="false" outlineLevel="0" collapsed="false">
      <c r="A877" s="126" t="n">
        <f aca="false">A876+$F$3</f>
        <v>8710</v>
      </c>
      <c r="B877" s="127" t="n">
        <f aca="false">SUMPRODUCT(固有振動数!$Q$6:$Q$22*(1-($A877/固有振動数!$O$6:$O$22)^2)/((1-($A877/固有振動数!$O$6:$O$22)^2)^2+固有振動数!$P$6:$P$22^2))</f>
        <v>42.3380194562968</v>
      </c>
      <c r="C877" s="127" t="n">
        <f aca="false">-SUMPRODUCT(固有振動数!$Q$6:$Q$22*固有振動数!$P$6:$P$22/((1-($A877/固有振動数!$O$6:$O$22)^2)^2+固有振動数!$P$6:$P$22^2))</f>
        <v>-8.3045365331341</v>
      </c>
      <c r="D877" s="128" t="n">
        <f aca="false">SQRT(B877^2+C877^2)</f>
        <v>43.1447936431723</v>
      </c>
      <c r="E877" s="129" t="n">
        <f aca="false">20*LOG10(MAX(D877,0.000000000001)/$K$3)</f>
        <v>32.6985679229432</v>
      </c>
    </row>
    <row r="878" customFormat="false" ht="15" hidden="false" customHeight="false" outlineLevel="0" collapsed="false">
      <c r="A878" s="122" t="n">
        <f aca="false">A877+$F$3</f>
        <v>8720</v>
      </c>
      <c r="B878" s="123" t="n">
        <f aca="false">SUMPRODUCT(固有振動数!$Q$6:$Q$22*(1-($A878/固有振動数!$O$6:$O$22)^2)/((1-($A878/固有振動数!$O$6:$O$22)^2)^2+固有振動数!$P$6:$P$22^2))</f>
        <v>43.0072207495625</v>
      </c>
      <c r="C878" s="123" t="n">
        <f aca="false">-SUMPRODUCT(固有振動数!$Q$6:$Q$22*固有振動数!$P$6:$P$22/((1-($A878/固有振動数!$O$6:$O$22)^2)^2+固有振動数!$P$6:$P$22^2))</f>
        <v>-8.67956038713858</v>
      </c>
      <c r="D878" s="124" t="n">
        <f aca="false">SQRT(B878^2+C878^2)</f>
        <v>43.8743182866194</v>
      </c>
      <c r="E878" s="125" t="n">
        <f aca="false">20*LOG10(MAX(D878,0.000000000001)/$K$3)</f>
        <v>32.8442076303166</v>
      </c>
    </row>
    <row r="879" customFormat="false" ht="15" hidden="false" customHeight="false" outlineLevel="0" collapsed="false">
      <c r="A879" s="126" t="n">
        <f aca="false">A878+$F$3</f>
        <v>8730</v>
      </c>
      <c r="B879" s="127" t="n">
        <f aca="false">SUMPRODUCT(固有振動数!$Q$6:$Q$22*(1-($A879/固有振動数!$O$6:$O$22)^2)/((1-($A879/固有振動数!$O$6:$O$22)^2)^2+固有振動数!$P$6:$P$22^2))</f>
        <v>43.7027362300503</v>
      </c>
      <c r="C879" s="127" t="n">
        <f aca="false">-SUMPRODUCT(固有振動数!$Q$6:$Q$22*固有振動数!$P$6:$P$22/((1-($A879/固有振動数!$O$6:$O$22)^2)^2+固有振動数!$P$6:$P$22^2))</f>
        <v>-9.08258016760173</v>
      </c>
      <c r="D879" s="128" t="n">
        <f aca="false">SQRT(B879^2+C879^2)</f>
        <v>44.6365591919255</v>
      </c>
      <c r="E879" s="129" t="n">
        <f aca="false">20*LOG10(MAX(D879,0.000000000001)/$K$3)</f>
        <v>32.9938141928048</v>
      </c>
    </row>
    <row r="880" customFormat="false" ht="15" hidden="false" customHeight="false" outlineLevel="0" collapsed="false">
      <c r="A880" s="122" t="n">
        <f aca="false">A879+$F$3</f>
        <v>8740</v>
      </c>
      <c r="B880" s="123" t="n">
        <f aca="false">SUMPRODUCT(固有振動数!$Q$6:$Q$22*(1-($A880/固有振動数!$O$6:$O$22)^2)/((1-($A880/固有振動数!$O$6:$O$22)^2)^2+固有振動数!$P$6:$P$22^2))</f>
        <v>44.4258900787641</v>
      </c>
      <c r="C880" s="123" t="n">
        <f aca="false">-SUMPRODUCT(固有振動数!$Q$6:$Q$22*固有振動数!$P$6:$P$22/((1-($A880/固有振動数!$O$6:$O$22)^2)^2+固有振動数!$P$6:$P$22^2))</f>
        <v>-9.51644519609281</v>
      </c>
      <c r="D880" s="124" t="n">
        <f aca="false">SQRT(B880^2+C880^2)</f>
        <v>45.4337147772518</v>
      </c>
      <c r="E880" s="125" t="n">
        <f aca="false">20*LOG10(MAX(D880,0.000000000001)/$K$3)</f>
        <v>33.1475649459804</v>
      </c>
    </row>
    <row r="881" customFormat="false" ht="15" hidden="false" customHeight="false" outlineLevel="0" collapsed="false">
      <c r="A881" s="126" t="n">
        <f aca="false">A880+$F$3</f>
        <v>8750</v>
      </c>
      <c r="B881" s="127" t="n">
        <f aca="false">SUMPRODUCT(固有振動数!$Q$6:$Q$22*(1-($A881/固有振動数!$O$6:$O$22)^2)/((1-($A881/固有振動数!$O$6:$O$22)^2)^2+固有振動数!$P$6:$P$22^2))</f>
        <v>45.1780400673437</v>
      </c>
      <c r="C881" s="127" t="n">
        <f aca="false">-SUMPRODUCT(固有振動数!$Q$6:$Q$22*固有振動数!$P$6:$P$22/((1-($A881/固有振動数!$O$6:$O$22)^2)^2+固有振動数!$P$6:$P$22^2))</f>
        <v>-9.98436821764877</v>
      </c>
      <c r="D881" s="128" t="n">
        <f aca="false">SQRT(B881^2+C881^2)</f>
        <v>46.2681630609224</v>
      </c>
      <c r="E881" s="129" t="n">
        <f aca="false">20*LOG10(MAX(D881,0.000000000001)/$K$3)</f>
        <v>33.3056451495651</v>
      </c>
    </row>
    <row r="882" customFormat="false" ht="15" hidden="false" customHeight="false" outlineLevel="0" collapsed="false">
      <c r="A882" s="122" t="n">
        <f aca="false">A881+$F$3</f>
        <v>8760</v>
      </c>
      <c r="B882" s="123" t="n">
        <f aca="false">SUMPRODUCT(固有振動数!$Q$6:$Q$22*(1-($A882/固有振動数!$O$6:$O$22)^2)/((1-($A882/固有振動数!$O$6:$O$22)^2)^2+固有振動数!$P$6:$P$22^2))</f>
        <v>45.9605625846392</v>
      </c>
      <c r="C882" s="123" t="n">
        <f aca="false">-SUMPRODUCT(固有振動数!$Q$6:$Q$22*固有振動数!$P$6:$P$22/((1-($A882/固有振動数!$O$6:$O$22)^2)^2+固有振動数!$P$6:$P$22^2))</f>
        <v>-10.4899797101475</v>
      </c>
      <c r="D882" s="124" t="n">
        <f aca="false">SQRT(B882^2+C882^2)</f>
        <v>47.1424754061116</v>
      </c>
      <c r="E882" s="125" t="n">
        <f aca="false">20*LOG10(MAX(D882,0.000000000001)/$K$3)</f>
        <v>33.4682476634645</v>
      </c>
    </row>
    <row r="883" customFormat="false" ht="15" hidden="false" customHeight="false" outlineLevel="0" collapsed="false">
      <c r="A883" s="126" t="n">
        <f aca="false">A882+$F$3</f>
        <v>8770</v>
      </c>
      <c r="B883" s="127" t="n">
        <f aca="false">SUMPRODUCT(固有振動数!$Q$6:$Q$22*(1-($A883/固有振動数!$O$6:$O$22)^2)/((1-($A883/固有振動数!$O$6:$O$22)^2)^2+固有振動数!$P$6:$P$22^2))</f>
        <v>46.77483102302</v>
      </c>
      <c r="C883" s="127" t="n">
        <f aca="false">-SUMPRODUCT(固有振動数!$Q$6:$Q$22*固有振動数!$P$6:$P$22/((1-($A883/固有振動数!$O$6:$O$22)^2)^2+固有振動数!$P$6:$P$22^2))</f>
        <v>-11.0373910217562</v>
      </c>
      <c r="D883" s="128" t="n">
        <f aca="false">SQRT(B883^2+C883^2)</f>
        <v>48.0594300611152</v>
      </c>
      <c r="E883" s="129" t="n">
        <f aca="false">20*LOG10(MAX(D883,0.000000000001)/$K$3)</f>
        <v>33.635572323623</v>
      </c>
    </row>
    <row r="884" customFormat="false" ht="15" hidden="false" customHeight="false" outlineLevel="0" collapsed="false">
      <c r="A884" s="122" t="n">
        <f aca="false">A883+$F$3</f>
        <v>8780</v>
      </c>
      <c r="B884" s="123" t="n">
        <f aca="false">SUMPRODUCT(固有振動数!$Q$6:$Q$22*(1-($A884/固有振動数!$O$6:$O$22)^2)/((1-($A884/固有振動数!$O$6:$O$22)^2)^2+固有振動数!$P$6:$P$22^2))</f>
        <v>47.6221852380805</v>
      </c>
      <c r="C884" s="123" t="n">
        <f aca="false">-SUMPRODUCT(固有振動数!$Q$6:$Q$22*固有振動数!$P$6:$P$22/((1-($A884/固有振動数!$O$6:$O$22)^2)^2+固有振動数!$P$6:$P$22^2))</f>
        <v>-11.6312677008326</v>
      </c>
      <c r="D884" s="124" t="n">
        <f aca="false">SQRT(B884^2+C884^2)</f>
        <v>49.0220247968042</v>
      </c>
      <c r="E884" s="125" t="n">
        <f aca="false">20*LOG10(MAX(D884,0.000000000001)/$K$3)</f>
        <v>33.8078249061377</v>
      </c>
    </row>
    <row r="885" customFormat="false" ht="15" hidden="false" customHeight="false" outlineLevel="0" collapsed="false">
      <c r="A885" s="126" t="n">
        <f aca="false">A884+$F$3</f>
        <v>8790</v>
      </c>
      <c r="B885" s="127" t="n">
        <f aca="false">SUMPRODUCT(固有振動数!$Q$6:$Q$22*(1-($A885/固有振動数!$O$6:$O$22)^2)/((1-($A885/固有振動数!$O$6:$O$22)^2)^2+固有振動数!$P$6:$P$22^2))</f>
        <v>48.5038890335907</v>
      </c>
      <c r="C885" s="127" t="n">
        <f aca="false">-SUMPRODUCT(固有振動数!$Q$6:$Q$22*固有振動数!$P$6:$P$22/((1-($A885/固有振動数!$O$6:$O$22)^2)^2+固有振動数!$P$6:$P$22^2))</f>
        <v>-12.2769144894131</v>
      </c>
      <c r="D885" s="128" t="n">
        <f aca="false">SQRT(B885^2+C885^2)</f>
        <v>50.0334875934433</v>
      </c>
      <c r="E885" s="129" t="n">
        <f aca="false">20*LOG10(MAX(D885,0.000000000001)/$K$3)</f>
        <v>33.9852155303034</v>
      </c>
    </row>
    <row r="886" customFormat="false" ht="15" hidden="false" customHeight="false" outlineLevel="0" collapsed="false">
      <c r="A886" s="122" t="n">
        <f aca="false">A885+$F$3</f>
        <v>8800</v>
      </c>
      <c r="B886" s="123" t="n">
        <f aca="false">SUMPRODUCT(固有振動数!$Q$6:$Q$22*(1-($A886/固有振動数!$O$6:$O$22)^2)/((1-($A886/固有振動数!$O$6:$O$22)^2)^2+固有振動数!$P$6:$P$22^2))</f>
        <v>49.4210716098924</v>
      </c>
      <c r="C886" s="123" t="n">
        <f aca="false">-SUMPRODUCT(固有振動数!$Q$6:$Q$22*固有振動数!$P$6:$P$22/((1-($A886/固有振動数!$O$6:$O$22)^2)^2+固有振動数!$P$6:$P$22^2))</f>
        <v>-12.9803734882873</v>
      </c>
      <c r="D886" s="124" t="n">
        <f aca="false">SQRT(B886^2+C886^2)</f>
        <v>51.0972838315848</v>
      </c>
      <c r="E886" s="125" t="n">
        <f aca="false">20*LOG10(MAX(D886,0.000000000001)/$K$3)</f>
        <v>34.1679563008131</v>
      </c>
    </row>
    <row r="887" customFormat="false" ht="15" hidden="false" customHeight="false" outlineLevel="0" collapsed="false">
      <c r="A887" s="126" t="n">
        <f aca="false">A886+$F$3</f>
        <v>8810</v>
      </c>
      <c r="B887" s="127" t="n">
        <f aca="false">SUMPRODUCT(固有振動数!$Q$6:$Q$22*(1-($A887/固有振動数!$O$6:$O$22)^2)/((1-($A887/固有振動数!$O$6:$O$22)^2)^2+固有振動数!$P$6:$P$22^2))</f>
        <v>50.3746475693071</v>
      </c>
      <c r="C887" s="127" t="n">
        <f aca="false">-SUMPRODUCT(固有振動数!$Q$6:$Q$22*固有振動数!$P$6:$P$22/((1-($A887/固有振動数!$O$6:$O$22)^2)^2+固有振動数!$P$6:$P$22^2))</f>
        <v>-13.7485369029084</v>
      </c>
      <c r="D887" s="128" t="n">
        <f aca="false">SQRT(B887^2+C887^2)</f>
        <v>52.2171177364524</v>
      </c>
      <c r="E887" s="129" t="n">
        <f aca="false">20*LOG10(MAX(D887,0.000000000001)/$K$3)</f>
        <v>34.3562579220478</v>
      </c>
    </row>
    <row r="888" customFormat="false" ht="15" hidden="false" customHeight="false" outlineLevel="0" collapsed="false">
      <c r="A888" s="122" t="n">
        <f aca="false">A887+$F$3</f>
        <v>8820</v>
      </c>
      <c r="B888" s="123" t="n">
        <f aca="false">SUMPRODUCT(固有振動数!$Q$6:$Q$22*(1-($A888/固有振動数!$O$6:$O$22)^2)/((1-($A888/固有振動数!$O$6:$O$22)^2)^2+固有振動数!$P$6:$P$22^2))</f>
        <v>51.3652082975141</v>
      </c>
      <c r="C888" s="123" t="n">
        <f aca="false">-SUMPRODUCT(固有振動数!$Q$6:$Q$22*固有振動数!$P$6:$P$22/((1-($A888/固有振動数!$O$6:$O$22)^2)^2+固有振動数!$P$6:$P$22^2))</f>
        <v>-14.5892754373767</v>
      </c>
      <c r="D888" s="124" t="n">
        <f aca="false">SQRT(B888^2+C888^2)</f>
        <v>53.3969248293818</v>
      </c>
      <c r="E888" s="125" t="n">
        <f aca="false">20*LOG10(MAX(D888,0.000000000001)/$K$3)</f>
        <v>34.5503249278046</v>
      </c>
    </row>
    <row r="889" customFormat="false" ht="15" hidden="false" customHeight="false" outlineLevel="0" collapsed="false">
      <c r="A889" s="126" t="n">
        <f aca="false">A888+$F$3</f>
        <v>8830</v>
      </c>
      <c r="B889" s="127" t="n">
        <f aca="false">SUMPRODUCT(固有振動数!$Q$6:$Q$22*(1-($A889/固有振動数!$O$6:$O$22)^2)/((1-($A889/固有振動数!$O$6:$O$22)^2)^2+固有振動数!$P$6:$P$22^2))</f>
        <v>52.3928752166801</v>
      </c>
      <c r="C889" s="127" t="n">
        <f aca="false">-SUMPRODUCT(固有振動数!$Q$6:$Q$22*固有振動数!$P$6:$P$22/((1-($A889/固有振動数!$O$6:$O$22)^2)^2+固有振動数!$P$6:$P$22^2))</f>
        <v>-15.5115826450945</v>
      </c>
      <c r="D889" s="128" t="n">
        <f aca="false">SQRT(B889^2+C889^2)</f>
        <v>54.6408507403226</v>
      </c>
      <c r="E889" s="129" t="n">
        <f aca="false">20*LOG10(MAX(D889,0.000000000001)/$K$3)</f>
        <v>34.7503490510066</v>
      </c>
    </row>
    <row r="890" customFormat="false" ht="15" hidden="false" customHeight="false" outlineLevel="0" collapsed="false">
      <c r="A890" s="122" t="n">
        <f aca="false">A889+$F$3</f>
        <v>8840</v>
      </c>
      <c r="B890" s="123" t="n">
        <f aca="false">SUMPRODUCT(固有振動数!$Q$6:$Q$22*(1-($A890/固有振動数!$O$6:$O$22)^2)/((1-($A890/固有振動数!$O$6:$O$22)^2)^2+固有振動数!$P$6:$P$22^2))</f>
        <v>53.4571024027586</v>
      </c>
      <c r="C890" s="123" t="n">
        <f aca="false">-SUMPRODUCT(固有振動数!$Q$6:$Q$22*固有振動数!$P$6:$P$22/((1-($A890/固有振動数!$O$6:$O$22)^2)^2+固有振動数!$P$6:$P$22^2))</f>
        <v>-16.52573409446</v>
      </c>
      <c r="D890" s="124" t="n">
        <f aca="false">SQRT(B890^2+C890^2)</f>
        <v>55.9532097797777</v>
      </c>
      <c r="E890" s="125" t="n">
        <f aca="false">20*LOG10(MAX(D890,0.000000000001)/$K$3)</f>
        <v>34.9565001013487</v>
      </c>
    </row>
    <row r="891" customFormat="false" ht="15" hidden="false" customHeight="false" outlineLevel="0" collapsed="false">
      <c r="A891" s="126" t="n">
        <f aca="false">A890+$F$3</f>
        <v>8850</v>
      </c>
      <c r="B891" s="127" t="n">
        <f aca="false">SUMPRODUCT(固有振動数!$Q$6:$Q$22*(1-($A891/固有振動数!$O$6:$O$22)^2)/((1-($A891/固有振動数!$O$6:$O$22)^2)^2+固有振動数!$P$6:$P$22^2))</f>
        <v>54.5564122513635</v>
      </c>
      <c r="C891" s="127" t="n">
        <f aca="false">-SUMPRODUCT(固有振動数!$Q$6:$Q$22*固有振動数!$P$6:$P$22/((1-($A891/固有振動数!$O$6:$O$22)^2)^2+固有振動数!$P$6:$P$22^2))</f>
        <v>-17.6434576363962</v>
      </c>
      <c r="D891" s="128" t="n">
        <f aca="false">SQRT(B891^2+C891^2)</f>
        <v>57.3384139570326</v>
      </c>
      <c r="E891" s="129" t="n">
        <f aca="false">20*LOG10(MAX(D891,0.000000000001)/$K$3)</f>
        <v>35.1689135143665</v>
      </c>
    </row>
    <row r="892" customFormat="false" ht="15" hidden="false" customHeight="false" outlineLevel="0" collapsed="false">
      <c r="A892" s="122" t="n">
        <f aca="false">A891+$F$3</f>
        <v>8860</v>
      </c>
      <c r="B892" s="123" t="n">
        <f aca="false">SUMPRODUCT(固有振動数!$Q$6:$Q$22*(1-($A892/固有振動数!$O$6:$O$22)^2)/((1-($A892/固有振動数!$O$6:$O$22)^2)^2+固有振動数!$P$6:$P$22^2))</f>
        <v>55.6880431943302</v>
      </c>
      <c r="C892" s="123" t="n">
        <f aca="false">-SUMPRODUCT(固有振動数!$Q$6:$Q$22*固有振動数!$P$6:$P$22/((1-($A892/固有振動数!$O$6:$O$22)^2)^2+固有振動数!$P$6:$P$22^2))</f>
        <v>-18.8781067070979</v>
      </c>
      <c r="D892" s="124" t="n">
        <f aca="false">SQRT(B892^2+C892^2)</f>
        <v>58.8008594125814</v>
      </c>
      <c r="E892" s="125" t="n">
        <f aca="false">20*LOG10(MAX(D892,0.000000000001)/$K$3)</f>
        <v>35.3876734723439</v>
      </c>
    </row>
    <row r="893" customFormat="false" ht="15" hidden="false" customHeight="false" outlineLevel="0" collapsed="false">
      <c r="A893" s="126" t="n">
        <f aca="false">A892+$F$3</f>
        <v>8870</v>
      </c>
      <c r="B893" s="127" t="n">
        <f aca="false">SUMPRODUCT(固有振動数!$Q$6:$Q$22*(1-($A893/固有振動数!$O$6:$O$22)^2)/((1-($A893/固有振動数!$O$6:$O$22)^2)^2+固有振動数!$P$6:$P$22^2))</f>
        <v>56.8474829974353</v>
      </c>
      <c r="C893" s="127" t="n">
        <f aca="false">-SUMPRODUCT(固有振動数!$Q$6:$Q$22*固有振動数!$P$6:$P$22/((1-($A893/固有振動数!$O$6:$O$22)^2)^2+固有振動数!$P$6:$P$22^2))</f>
        <v>-20.2448214700973</v>
      </c>
      <c r="D893" s="128" t="n">
        <f aca="false">SQRT(B893^2+C893^2)</f>
        <v>60.3447522117691</v>
      </c>
      <c r="E893" s="129" t="n">
        <f aca="false">20*LOG10(MAX(D893,0.000000000001)/$K$3)</f>
        <v>35.6127901665243</v>
      </c>
    </row>
    <row r="894" customFormat="false" ht="15" hidden="false" customHeight="false" outlineLevel="0" collapsed="false">
      <c r="A894" s="122" t="n">
        <f aca="false">A893+$F$3</f>
        <v>8880</v>
      </c>
      <c r="B894" s="123" t="n">
        <f aca="false">SUMPRODUCT(固有振動数!$Q$6:$Q$22*(1-($A894/固有振動数!$O$6:$O$22)^2)/((1-($A894/固有振動数!$O$6:$O$22)^2)^2+固有振動数!$P$6:$P$22^2))</f>
        <v>58.0278553434671</v>
      </c>
      <c r="C894" s="123" t="n">
        <f aca="false">-SUMPRODUCT(固有振動数!$Q$6:$Q$22*固有振動数!$P$6:$P$22/((1-($A894/固有振動数!$O$6:$O$22)^2)^2+固有振動数!$P$6:$P$22^2))</f>
        <v>-21.7606512431508</v>
      </c>
      <c r="D894" s="124" t="n">
        <f aca="false">SQRT(B894^2+C894^2)</f>
        <v>61.9738488258425</v>
      </c>
      <c r="E894" s="125" t="n">
        <f aca="false">20*LOG10(MAX(D894,0.000000000001)/$K$3)</f>
        <v>35.8441693685059</v>
      </c>
    </row>
    <row r="895" customFormat="false" ht="15" hidden="false" customHeight="false" outlineLevel="0" collapsed="false">
      <c r="A895" s="126" t="n">
        <f aca="false">A894+$F$3</f>
        <v>8890</v>
      </c>
      <c r="B895" s="127" t="n">
        <f aca="false">SUMPRODUCT(固有振動数!$Q$6:$Q$22*(1-($A895/固有振動数!$O$6:$O$22)^2)/((1-($A895/固有振動数!$O$6:$O$22)^2)^2+固有振動数!$P$6:$P$22^2))</f>
        <v>59.2191223696709</v>
      </c>
      <c r="C895" s="127" t="n">
        <f aca="false">-SUMPRODUCT(固有振動数!$Q$6:$Q$22*固有振動数!$P$6:$P$22/((1-($A895/固有振動数!$O$6:$O$22)^2)^2+固有振動数!$P$6:$P$22^2))</f>
        <v>-23.4445940321266</v>
      </c>
      <c r="D895" s="128" t="n">
        <f aca="false">SQRT(B895^2+C895^2)</f>
        <v>63.6910782101016</v>
      </c>
      <c r="E895" s="129" t="n">
        <f aca="false">20*LOG10(MAX(D895,0.000000000001)/$K$3)</f>
        <v>36.0815720201795</v>
      </c>
    </row>
    <row r="896" customFormat="false" ht="15" hidden="false" customHeight="false" outlineLevel="0" collapsed="false">
      <c r="A896" s="122" t="n">
        <f aca="false">A895+$F$3</f>
        <v>8900</v>
      </c>
      <c r="B896" s="123" t="n">
        <f aca="false">SUMPRODUCT(固有振動数!$Q$6:$Q$22*(1-($A896/固有振動数!$O$6:$O$22)^2)/((1-($A896/固有振動数!$O$6:$O$22)^2)^2+固有振動数!$P$6:$P$22^2))</f>
        <v>60.4070640763042</v>
      </c>
      <c r="C896" s="123" t="n">
        <f aca="false">-SUMPRODUCT(固有振動数!$Q$6:$Q$22*固有振動数!$P$6:$P$22/((1-($A896/固有振動数!$O$6:$O$22)^2)^2+固有振動数!$P$6:$P$22^2))</f>
        <v>-25.3174824495837</v>
      </c>
      <c r="D896" s="124" t="n">
        <f aca="false">SQRT(B896^2+C896^2)</f>
        <v>65.4980023199463</v>
      </c>
      <c r="E896" s="125" t="n">
        <f aca="false">20*LOG10(MAX(D896,0.000000000001)/$K$3)</f>
        <v>36.3245610854374</v>
      </c>
    </row>
    <row r="897" customFormat="false" ht="15" hidden="false" customHeight="false" outlineLevel="0" collapsed="false">
      <c r="A897" s="126" t="n">
        <f aca="false">A896+$F$3</f>
        <v>8910</v>
      </c>
      <c r="B897" s="127" t="n">
        <f aca="false">SUMPRODUCT(固有振動数!$Q$6:$Q$22*(1-($A897/固有振動数!$O$6:$O$22)^2)/((1-($A897/固有振動数!$O$6:$O$22)^2)^2+固有振動数!$P$6:$P$22^2))</f>
        <v>61.5720019399988</v>
      </c>
      <c r="C897" s="127" t="n">
        <f aca="false">-SUMPRODUCT(固有振動数!$Q$6:$Q$22*固有振動数!$P$6:$P$22/((1-($A897/固有振動数!$O$6:$O$22)^2)^2+固有振動数!$P$6:$P$22^2))</f>
        <v>-27.4016067951657</v>
      </c>
      <c r="D897" s="128" t="n">
        <f aca="false">SQRT(B897^2+C897^2)</f>
        <v>67.3940611467812</v>
      </c>
      <c r="E897" s="129" t="n">
        <f aca="false">20*LOG10(MAX(D897,0.000000000001)/$K$3)</f>
        <v>36.5724325524215</v>
      </c>
    </row>
    <row r="898" customFormat="false" ht="15" hidden="false" customHeight="false" outlineLevel="0" collapsed="false">
      <c r="A898" s="122" t="n">
        <f aca="false">A897+$F$3</f>
        <v>8920</v>
      </c>
      <c r="B898" s="123" t="n">
        <f aca="false">SUMPRODUCT(固有振動数!$Q$6:$Q$22*(1-($A898/固有振動数!$O$6:$O$22)^2)/((1-($A898/固有振動数!$O$6:$O$22)^2)^2+固有振動数!$P$6:$P$22^2))</f>
        <v>62.6872575160904</v>
      </c>
      <c r="C898" s="123" t="n">
        <f aca="false">-SUMPRODUCT(固有振動数!$Q$6:$Q$22*固有振動数!$P$6:$P$22/((1-($A898/固有振動数!$O$6:$O$22)^2)^2+固有振動数!$P$6:$P$22^2))</f>
        <v>-29.7199131563501</v>
      </c>
      <c r="D898" s="124" t="n">
        <f aca="false">SQRT(B898^2+C898^2)</f>
        <v>69.3755395864394</v>
      </c>
      <c r="E898" s="125" t="n">
        <f aca="false">20*LOG10(MAX(D898,0.000000000001)/$K$3)</f>
        <v>36.8241274796602</v>
      </c>
    </row>
    <row r="899" customFormat="false" ht="15" hidden="false" customHeight="false" outlineLevel="0" collapsed="false">
      <c r="A899" s="126" t="n">
        <f aca="false">A898+$F$3</f>
        <v>8930</v>
      </c>
      <c r="B899" s="127" t="n">
        <f aca="false">SUMPRODUCT(固有振動数!$Q$6:$Q$22*(1-($A899/固有振動数!$O$6:$O$22)^2)/((1-($A899/固有振動数!$O$6:$O$22)^2)^2+固有振動数!$P$6:$P$22^2))</f>
        <v>63.7173921810656</v>
      </c>
      <c r="C899" s="127" t="n">
        <f aca="false">-SUMPRODUCT(固有振動数!$Q$6:$Q$22*固有振動数!$P$6:$P$22/((1-($A899/固有振動数!$O$6:$O$22)^2)^2+固有振動数!$P$6:$P$22^2))</f>
        <v>-32.2945476484063</v>
      </c>
      <c r="D899" s="128" t="n">
        <f aca="false">SQRT(B899^2+C899^2)</f>
        <v>71.434192612298</v>
      </c>
      <c r="E899" s="129" t="n">
        <f aca="false">20*LOG10(MAX(D899,0.000000000001)/$K$3)</f>
        <v>37.0781228092809</v>
      </c>
    </row>
    <row r="900" customFormat="false" ht="15" hidden="false" customHeight="false" outlineLevel="0" collapsed="false">
      <c r="A900" s="122" t="n">
        <f aca="false">A899+$F$3</f>
        <v>8940</v>
      </c>
      <c r="B900" s="123" t="n">
        <f aca="false">SUMPRODUCT(固有振動数!$Q$6:$Q$22*(1-($A900/固有振動数!$O$6:$O$22)^2)/((1-($A900/固有振動数!$O$6:$O$22)^2)^2+固有振動数!$P$6:$P$22^2))</f>
        <v>64.6163841017215</v>
      </c>
      <c r="C900" s="123" t="n">
        <f aca="false">-SUMPRODUCT(固有振動数!$Q$6:$Q$22*固有振動数!$P$6:$P$22/((1-($A900/固有振動数!$O$6:$O$22)^2)^2+固有振動数!$P$6:$P$22^2))</f>
        <v>-35.1444464069286</v>
      </c>
      <c r="D900" s="124" t="n">
        <f aca="false">SQRT(B900^2+C900^2)</f>
        <v>73.5554838719091</v>
      </c>
      <c r="E900" s="125" t="n">
        <f aca="false">20*LOG10(MAX(D900,0.000000000001)/$K$3)</f>
        <v>37.3323011351602</v>
      </c>
    </row>
    <row r="901" customFormat="false" ht="15" hidden="false" customHeight="false" outlineLevel="0" collapsed="false">
      <c r="A901" s="126" t="n">
        <f aca="false">A900+$F$3</f>
        <v>8950</v>
      </c>
      <c r="B901" s="127" t="n">
        <f aca="false">SUMPRODUCT(固有振動数!$Q$6:$Q$22*(1-($A901/固有振動数!$O$6:$O$22)^2)/((1-($A901/固有振動数!$O$6:$O$22)^2)^2+固有振動数!$P$6:$P$22^2))</f>
        <v>65.3260924701106</v>
      </c>
      <c r="C901" s="127" t="n">
        <f aca="false">-SUMPRODUCT(固有振動数!$Q$6:$Q$22*固有振動数!$P$6:$P$22/((1-($A901/固有振動数!$O$6:$O$22)^2)^2+固有振動数!$P$6:$P$22^2))</f>
        <v>-38.2816222855584</v>
      </c>
      <c r="D901" s="128" t="n">
        <f aca="false">SQRT(B901^2+C901^2)</f>
        <v>75.7164510673051</v>
      </c>
      <c r="E901" s="129" t="n">
        <f aca="false">20*LOG10(MAX(D901,0.000000000001)/$K$3)</f>
        <v>37.583804995955</v>
      </c>
    </row>
    <row r="902" customFormat="false" ht="15" hidden="false" customHeight="false" outlineLevel="0" collapsed="false">
      <c r="A902" s="122" t="n">
        <f aca="false">A901+$F$3</f>
        <v>8960</v>
      </c>
      <c r="B902" s="123" t="n">
        <f aca="false">SUMPRODUCT(固有振動数!$Q$6:$Q$22*(1-($A902/固有振動数!$O$6:$O$22)^2)/((1-($A902/固有振動数!$O$6:$O$22)^2)^2+固有振動数!$P$6:$P$22^2))</f>
        <v>65.7756637592824</v>
      </c>
      <c r="C902" s="123" t="n">
        <f aca="false">-SUMPRODUCT(固有振動数!$Q$6:$Q$22*固有振動数!$P$6:$P$22/((1-($A902/固有振動数!$O$6:$O$22)^2)^2+固有振動数!$P$6:$P$22^2))</f>
        <v>-41.7058352294895</v>
      </c>
      <c r="D902" s="124" t="n">
        <f aca="false">SQRT(B902^2+C902^2)</f>
        <v>77.8833399076048</v>
      </c>
      <c r="E902" s="125" t="n">
        <f aca="false">20*LOG10(MAX(D902,0.000000000001)/$K$3)</f>
        <v>37.8288913460048</v>
      </c>
    </row>
    <row r="903" customFormat="false" ht="15" hidden="false" customHeight="false" outlineLevel="0" collapsed="false">
      <c r="A903" s="126" t="n">
        <f aca="false">A902+$F$3</f>
        <v>8970</v>
      </c>
      <c r="B903" s="127" t="n">
        <f aca="false">SUMPRODUCT(固有振動数!$Q$6:$Q$22*(1-($A903/固有振動数!$O$6:$O$22)^2)/((1-($A903/固有振動数!$O$6:$O$22)^2)^2+固有振動数!$P$6:$P$22^2))</f>
        <v>65.8829455325928</v>
      </c>
      <c r="C903" s="127" t="n">
        <f aca="false">-SUMPRODUCT(固有振動数!$Q$6:$Q$22*固有振動数!$P$6:$P$22/((1-($A903/固有振動数!$O$6:$O$22)^2)^2+固有振動数!$P$6:$P$22^2))</f>
        <v>-45.3975670024291</v>
      </c>
      <c r="D903" s="128" t="n">
        <f aca="false">SQRT(B903^2+C903^2)</f>
        <v>80.0093844607659</v>
      </c>
      <c r="E903" s="129" t="n">
        <f aca="false">20*LOG10(MAX(D903,0.000000000001)/$K$3)</f>
        <v>38.0628185849634</v>
      </c>
    </row>
    <row r="904" customFormat="false" ht="15" hidden="false" customHeight="false" outlineLevel="0" collapsed="false">
      <c r="A904" s="122" t="n">
        <f aca="false">A903+$F$3</f>
        <v>8980</v>
      </c>
      <c r="B904" s="123" t="n">
        <f aca="false">SUMPRODUCT(固有振動数!$Q$6:$Q$22*(1-($A904/固有振動数!$O$6:$O$22)^2)/((1-($A904/固有振動数!$O$6:$O$22)^2)^2+固有振動数!$P$6:$P$22^2))</f>
        <v>65.5593929532842</v>
      </c>
      <c r="C904" s="123" t="n">
        <f aca="false">-SUMPRODUCT(固有振動数!$Q$6:$Q$22*固有振動数!$P$6:$P$22/((1-($A904/固有振動数!$O$6:$O$22)^2)^2+固有振動数!$P$6:$P$22^2))</f>
        <v>-49.3098160014313</v>
      </c>
      <c r="D904" s="124" t="n">
        <f aca="false">SQRT(B904^2+C904^2)</f>
        <v>82.0334807167058</v>
      </c>
      <c r="E904" s="125" t="n">
        <f aca="false">20*LOG10(MAX(D904,0.000000000001)/$K$3)</f>
        <v>38.2798227849601</v>
      </c>
    </row>
    <row r="905" customFormat="false" ht="15" hidden="false" customHeight="false" outlineLevel="0" collapsed="false">
      <c r="A905" s="126" t="n">
        <f aca="false">A904+$F$3</f>
        <v>8990</v>
      </c>
      <c r="B905" s="127" t="n">
        <f aca="false">SUMPRODUCT(固有振動数!$Q$6:$Q$22*(1-($A905/固有振動数!$O$6:$O$22)^2)/((1-($A905/固有振動数!$O$6:$O$22)^2)^2+固有振動数!$P$6:$P$22^2))</f>
        <v>64.7200997578954</v>
      </c>
      <c r="C905" s="127" t="n">
        <f aca="false">-SUMPRODUCT(固有振動数!$Q$6:$Q$22*固有振動数!$P$6:$P$22/((1-($A905/固有振動数!$O$6:$O$22)^2)^2+固有振動数!$P$6:$P$22^2))</f>
        <v>-53.3603351864909</v>
      </c>
      <c r="D905" s="128" t="n">
        <f aca="false">SQRT(B905^2+C905^2)</f>
        <v>83.8809673518766</v>
      </c>
      <c r="E905" s="129" t="n">
        <f aca="false">20*LOG10(MAX(D905,0.000000000001)/$K$3)</f>
        <v>38.4732686059089</v>
      </c>
    </row>
    <row r="906" customFormat="false" ht="15" hidden="false" customHeight="false" outlineLevel="0" collapsed="false">
      <c r="A906" s="122" t="n">
        <f aca="false">A905+$F$3</f>
        <v>9000</v>
      </c>
      <c r="B906" s="123" t="n">
        <f aca="false">SUMPRODUCT(固有振動数!$Q$6:$Q$22*(1-($A906/固有振動数!$O$6:$O$22)^2)/((1-($A906/固有振動数!$O$6:$O$22)^2)^2+固有振動数!$P$6:$P$22^2))</f>
        <v>63.299929428163</v>
      </c>
      <c r="C906" s="123" t="n">
        <f aca="false">-SUMPRODUCT(固有振動数!$Q$6:$Q$22*固有振動数!$P$6:$P$22/((1-($A906/固有振動数!$O$6:$O$22)^2)^2+固有振動数!$P$6:$P$22^2))</f>
        <v>-57.4275003159986</v>
      </c>
      <c r="D906" s="124" t="n">
        <f aca="false">SQRT(B906^2+C906^2)</f>
        <v>85.4681160325559</v>
      </c>
      <c r="E906" s="125" t="n">
        <f aca="false">20*LOG10(MAX(D906,0.000000000001)/$K$3)</f>
        <v>38.6360826188616</v>
      </c>
    </row>
    <row r="907" customFormat="false" ht="15" hidden="false" customHeight="false" outlineLevel="0" collapsed="false">
      <c r="A907" s="126" t="n">
        <f aca="false">A906+$F$3</f>
        <v>9010</v>
      </c>
      <c r="B907" s="127" t="n">
        <f aca="false">SUMPRODUCT(固有振動数!$Q$6:$Q$22*(1-($A907/固有振動数!$O$6:$O$22)^2)/((1-($A907/固有振動数!$O$6:$O$22)^2)^2+固有振動数!$P$6:$P$22^2))</f>
        <v>61.2746276005947</v>
      </c>
      <c r="C907" s="127" t="n">
        <f aca="false">-SUMPRODUCT(固有振動数!$Q$6:$Q$22*固有振動数!$P$6:$P$22/((1-($A907/固有振動数!$O$6:$O$22)^2)^2+固有振動数!$P$6:$P$22^2))</f>
        <v>-61.3544177929306</v>
      </c>
      <c r="D907" s="128" t="n">
        <f aca="false">SQRT(B907^2+C907^2)</f>
        <v>86.7118479234588</v>
      </c>
      <c r="E907" s="129" t="n">
        <f aca="false">20*LOG10(MAX(D907,0.000000000001)/$K$3)</f>
        <v>38.7615688321622</v>
      </c>
    </row>
    <row r="908" customFormat="false" ht="15" hidden="false" customHeight="false" outlineLevel="0" collapsed="false">
      <c r="A908" s="122" t="n">
        <f aca="false">A907+$F$3</f>
        <v>9020</v>
      </c>
      <c r="B908" s="123" t="n">
        <f aca="false">SUMPRODUCT(固有振動数!$Q$6:$Q$22*(1-($A908/固有振動数!$O$6:$O$22)^2)/((1-($A908/固有振動数!$O$6:$O$22)^2)^2+固有振動数!$P$6:$P$22^2))</f>
        <v>58.6821141538359</v>
      </c>
      <c r="C908" s="123" t="n">
        <f aca="false">-SUMPRODUCT(固有振動数!$Q$6:$Q$22*固有振動数!$P$6:$P$22/((1-($A908/固有振動数!$O$6:$O$22)^2)^2+固有振動数!$P$6:$P$22^2))</f>
        <v>-64.965769988472</v>
      </c>
      <c r="D908" s="124" t="n">
        <f aca="false">SQRT(B908^2+C908^2)</f>
        <v>87.5450843380648</v>
      </c>
      <c r="E908" s="125" t="n">
        <f aca="false">20*LOG10(MAX(D908,0.000000000001)/$K$3)</f>
        <v>38.8446353088375</v>
      </c>
    </row>
    <row r="909" customFormat="false" ht="15" hidden="false" customHeight="false" outlineLevel="0" collapsed="false">
      <c r="A909" s="126" t="n">
        <f aca="false">A908+$F$3</f>
        <v>9030</v>
      </c>
      <c r="B909" s="127" t="n">
        <f aca="false">SUMPRODUCT(固有振動数!$Q$6:$Q$22*(1-($A909/固有振動数!$O$6:$O$22)^2)/((1-($A909/固有振動数!$O$6:$O$22)^2)^2+固有振動数!$P$6:$P$22^2))</f>
        <v>55.6352112244535</v>
      </c>
      <c r="C909" s="127" t="n">
        <f aca="false">-SUMPRODUCT(固有振動数!$Q$6:$Q$22*固有振動数!$P$6:$P$22/((1-($A909/固有振動数!$O$6:$O$22)^2)^2+固有振動数!$P$6:$P$22^2))</f>
        <v>-68.0985370650737</v>
      </c>
      <c r="D909" s="128" t="n">
        <f aca="false">SQRT(B909^2+C909^2)</f>
        <v>87.9357008182273</v>
      </c>
      <c r="E909" s="129" t="n">
        <f aca="false">20*LOG10(MAX(D909,0.000000000001)/$K$3)</f>
        <v>38.8833045823803</v>
      </c>
    </row>
    <row r="910" customFormat="false" ht="15" hidden="false" customHeight="false" outlineLevel="0" collapsed="false">
      <c r="A910" s="122" t="n">
        <f aca="false">A909+$F$3</f>
        <v>9040</v>
      </c>
      <c r="B910" s="123" t="n">
        <f aca="false">SUMPRODUCT(固有振動数!$Q$6:$Q$22*(1-($A910/固有振動数!$O$6:$O$22)^2)/((1-($A910/固有振動数!$O$6:$O$22)^2)^2+固有振動数!$P$6:$P$22^2))</f>
        <v>52.3160654834209</v>
      </c>
      <c r="C910" s="123" t="n">
        <f aca="false">-SUMPRODUCT(固有振動数!$Q$6:$Q$22*固有振動数!$P$6:$P$22/((1-($A910/固有振動数!$O$6:$O$22)^2)^2+固有振動数!$P$6:$P$22^2))</f>
        <v>-70.6408404892472</v>
      </c>
      <c r="D910" s="124" t="n">
        <f aca="false">SQRT(B910^2+C910^2)</f>
        <v>87.9039194387421</v>
      </c>
      <c r="E910" s="125" t="n">
        <f aca="false">20*LOG10(MAX(D910,0.000000000001)/$K$3)</f>
        <v>38.8801647944604</v>
      </c>
    </row>
    <row r="911" customFormat="false" ht="15" hidden="false" customHeight="false" outlineLevel="0" collapsed="false">
      <c r="A911" s="126" t="n">
        <f aca="false">A910+$F$3</f>
        <v>9050</v>
      </c>
      <c r="B911" s="127" t="n">
        <f aca="false">SUMPRODUCT(固有振動数!$Q$6:$Q$22*(1-($A911/固有振動数!$O$6:$O$22)^2)/((1-($A911/固有振動数!$O$6:$O$22)^2)^2+固有振動数!$P$6:$P$22^2))</f>
        <v>48.9476720198238</v>
      </c>
      <c r="C911" s="127" t="n">
        <f aca="false">-SUMPRODUCT(固有振動数!$Q$6:$Q$22*固有振動数!$P$6:$P$22/((1-($A911/固有振動数!$O$6:$O$22)^2)^2+固有振動数!$P$6:$P$22^2))</f>
        <v>-72.5659186505295</v>
      </c>
      <c r="D911" s="128" t="n">
        <f aca="false">SQRT(B911^2+C911^2)</f>
        <v>87.5310638902299</v>
      </c>
      <c r="E911" s="129" t="n">
        <f aca="false">20*LOG10(MAX(D911,0.000000000001)/$K$3)</f>
        <v>38.8432441420331</v>
      </c>
    </row>
    <row r="912" customFormat="false" ht="15" hidden="false" customHeight="false" outlineLevel="0" collapsed="false">
      <c r="A912" s="122" t="n">
        <f aca="false">A911+$F$3</f>
        <v>9060</v>
      </c>
      <c r="B912" s="123" t="n">
        <f aca="false">SUMPRODUCT(固有振動数!$Q$6:$Q$22*(1-($A912/固有振動数!$O$6:$O$22)^2)/((1-($A912/固有振動数!$O$6:$O$22)^2)^2+固有振動数!$P$6:$P$22^2))</f>
        <v>45.7484171278887</v>
      </c>
      <c r="C912" s="123" t="n">
        <f aca="false">-SUMPRODUCT(固有振動数!$Q$6:$Q$22*固有振動数!$P$6:$P$22/((1-($A912/固有振動数!$O$6:$O$22)^2)^2+固有振動数!$P$6:$P$22^2))</f>
        <v>-73.9465893540848</v>
      </c>
      <c r="D912" s="124" t="n">
        <f aca="false">SQRT(B912^2+C912^2)</f>
        <v>86.9541013800324</v>
      </c>
      <c r="E912" s="125" t="n">
        <f aca="false">20*LOG10(MAX(D912,0.000000000001)/$K$3)</f>
        <v>38.7858014253849</v>
      </c>
    </row>
    <row r="913" customFormat="false" ht="15" hidden="false" customHeight="false" outlineLevel="0" collapsed="false">
      <c r="A913" s="126" t="n">
        <f aca="false">A912+$F$3</f>
        <v>9070</v>
      </c>
      <c r="B913" s="127" t="n">
        <f aca="false">SUMPRODUCT(固有振動数!$Q$6:$Q$22*(1-($A913/固有振動数!$O$6:$O$22)^2)/((1-($A913/固有振動数!$O$6:$O$22)^2)^2+固有振動数!$P$6:$P$22^2))</f>
        <v>42.8849253530625</v>
      </c>
      <c r="C913" s="127" t="n">
        <f aca="false">-SUMPRODUCT(固有振動数!$Q$6:$Q$22*固有振動数!$P$6:$P$22/((1-($A913/固有振動数!$O$6:$O$22)^2)^2+固有振動数!$P$6:$P$22^2))</f>
        <v>-74.9428919440435</v>
      </c>
      <c r="D913" s="128" t="n">
        <f aca="false">SQRT(B913^2+C913^2)</f>
        <v>86.3455492511011</v>
      </c>
      <c r="E913" s="129" t="n">
        <f aca="false">20*LOG10(MAX(D913,0.000000000001)/$K$3)</f>
        <v>38.7247991286304</v>
      </c>
    </row>
    <row r="914" customFormat="false" ht="15" hidden="false" customHeight="false" outlineLevel="0" collapsed="false">
      <c r="A914" s="122" t="n">
        <f aca="false">A913+$F$3</f>
        <v>9080</v>
      </c>
      <c r="B914" s="123" t="n">
        <f aca="false">SUMPRODUCT(固有振動数!$Q$6:$Q$22*(1-($A914/固有振動数!$O$6:$O$22)^2)/((1-($A914/固有振動数!$O$6:$O$22)^2)^2+固有振動数!$P$6:$P$22^2))</f>
        <v>40.4393738517334</v>
      </c>
      <c r="C914" s="123" t="n">
        <f aca="false">-SUMPRODUCT(固有振動数!$Q$6:$Q$22*固有振動数!$P$6:$P$22/((1-($A914/固有振動数!$O$6:$O$22)^2)^2+固有振動数!$P$6:$P$22^2))</f>
        <v>-75.7679389797359</v>
      </c>
      <c r="D914" s="124" t="n">
        <f aca="false">SQRT(B914^2+C914^2)</f>
        <v>85.8843614097307</v>
      </c>
      <c r="E914" s="125" t="n">
        <f aca="false">20*LOG10(MAX(D914,0.000000000001)/$K$3)</f>
        <v>38.6782818163751</v>
      </c>
    </row>
    <row r="915" customFormat="false" ht="15" hidden="false" customHeight="false" outlineLevel="0" collapsed="false">
      <c r="A915" s="126" t="n">
        <f aca="false">A914+$F$3</f>
        <v>9090</v>
      </c>
      <c r="B915" s="127" t="n">
        <f aca="false">SUMPRODUCT(固有振動数!$Q$6:$Q$22*(1-($A915/固有振動数!$O$6:$O$22)^2)/((1-($A915/固有振動数!$O$6:$O$22)^2)^2+固有振動数!$P$6:$P$22^2))</f>
        <v>38.3991470083032</v>
      </c>
      <c r="C915" s="127" t="n">
        <f aca="false">-SUMPRODUCT(固有振動数!$Q$6:$Q$22*固有振動数!$P$6:$P$22/((1-($A915/固有振動数!$O$6:$O$22)^2)^2+固有振動数!$P$6:$P$22^2))</f>
        <v>-76.6455815006238</v>
      </c>
      <c r="D915" s="128" t="n">
        <f aca="false">SQRT(B915^2+C915^2)</f>
        <v>85.7265399659525</v>
      </c>
      <c r="E915" s="129" t="n">
        <f aca="false">20*LOG10(MAX(D915,0.000000000001)/$K$3)</f>
        <v>38.6623059078676</v>
      </c>
    </row>
    <row r="916" customFormat="false" ht="15" hidden="false" customHeight="false" outlineLevel="0" collapsed="false">
      <c r="A916" s="122" t="n">
        <f aca="false">A915+$F$3</f>
        <v>9100</v>
      </c>
      <c r="B916" s="123" t="n">
        <f aca="false">SUMPRODUCT(固有振動数!$Q$6:$Q$22*(1-($A916/固有振動数!$O$6:$O$22)^2)/((1-($A916/固有振動数!$O$6:$O$22)^2)^2+固有振動数!$P$6:$P$22^2))</f>
        <v>36.6660219601413</v>
      </c>
      <c r="C916" s="123" t="n">
        <f aca="false">-SUMPRODUCT(固有振動数!$Q$6:$Q$22*固有振動数!$P$6:$P$22/((1-($A916/固有振動数!$O$6:$O$22)^2)^2+固有振動数!$P$6:$P$22^2))</f>
        <v>-77.7731450956856</v>
      </c>
      <c r="D916" s="124" t="n">
        <f aca="false">SQRT(B916^2+C916^2)</f>
        <v>85.9829010004671</v>
      </c>
      <c r="E916" s="125" t="n">
        <f aca="false">20*LOG10(MAX(D916,0.000000000001)/$K$3)</f>
        <v>38.6882418761549</v>
      </c>
    </row>
    <row r="917" customFormat="false" ht="15" hidden="false" customHeight="false" outlineLevel="0" collapsed="false">
      <c r="A917" s="126" t="n">
        <f aca="false">A916+$F$3</f>
        <v>9110</v>
      </c>
      <c r="B917" s="127" t="n">
        <f aca="false">SUMPRODUCT(固有振動数!$Q$6:$Q$22*(1-($A917/固有振動数!$O$6:$O$22)^2)/((1-($A917/固有振動数!$O$6:$O$22)^2)^2+固有振動数!$P$6:$P$22^2))</f>
        <v>35.0762062338244</v>
      </c>
      <c r="C917" s="127" t="n">
        <f aca="false">-SUMPRODUCT(固有振動数!$Q$6:$Q$22*固有振動数!$P$6:$P$22/((1-($A917/固有振動数!$O$6:$O$22)^2)^2+固有振動数!$P$6:$P$22^2))</f>
        <v>-79.2957319088685</v>
      </c>
      <c r="D917" s="128" t="n">
        <f aca="false">SQRT(B917^2+C917^2)</f>
        <v>86.7072854074035</v>
      </c>
      <c r="E917" s="129" t="n">
        <f aca="false">20*LOG10(MAX(D917,0.000000000001)/$K$3)</f>
        <v>38.761111794808</v>
      </c>
    </row>
    <row r="918" customFormat="false" ht="15" hidden="false" customHeight="false" outlineLevel="0" collapsed="false">
      <c r="A918" s="122" t="n">
        <f aca="false">A917+$F$3</f>
        <v>9120</v>
      </c>
      <c r="B918" s="123" t="n">
        <f aca="false">SUMPRODUCT(固有振動数!$Q$6:$Q$22*(1-($A918/固有振動数!$O$6:$O$22)^2)/((1-($A918/固有振動数!$O$6:$O$22)^2)^2+固有振動数!$P$6:$P$22^2))</f>
        <v>33.4232321445804</v>
      </c>
      <c r="C918" s="123" t="n">
        <f aca="false">-SUMPRODUCT(固有振動数!$Q$6:$Q$22*固有振動数!$P$6:$P$22/((1-($A918/固有振動数!$O$6:$O$22)^2)^2+固有振動数!$P$6:$P$22^2))</f>
        <v>-81.2915197119442</v>
      </c>
      <c r="D918" s="124" t="n">
        <f aca="false">SQRT(B918^2+C918^2)</f>
        <v>87.8943890363197</v>
      </c>
      <c r="E918" s="125" t="n">
        <f aca="false">20*LOG10(MAX(D918,0.000000000001)/$K$3)</f>
        <v>38.879223033138</v>
      </c>
    </row>
    <row r="919" customFormat="false" ht="15" hidden="false" customHeight="false" outlineLevel="0" collapsed="false">
      <c r="A919" s="126" t="n">
        <f aca="false">A918+$F$3</f>
        <v>9130</v>
      </c>
      <c r="B919" s="127" t="n">
        <f aca="false">SUMPRODUCT(固有振動数!$Q$6:$Q$22*(1-($A919/固有振動数!$O$6:$O$22)^2)/((1-($A919/固有振動数!$O$6:$O$22)^2)^2+固有振動数!$P$6:$P$22^2))</f>
        <v>31.4799847499078</v>
      </c>
      <c r="C919" s="127" t="n">
        <f aca="false">-SUMPRODUCT(固有振動数!$Q$6:$Q$22*固有振動数!$P$6:$P$22/((1-($A919/固有振動数!$O$6:$O$22)^2)^2+固有振動数!$P$6:$P$22^2))</f>
        <v>-83.7641203646389</v>
      </c>
      <c r="D919" s="128" t="n">
        <f aca="false">SQRT(B919^2+C919^2)</f>
        <v>89.4841734627758</v>
      </c>
      <c r="E919" s="129" t="n">
        <f aca="false">20*LOG10(MAX(D919,0.000000000001)/$K$3)</f>
        <v>39.0349246201562</v>
      </c>
    </row>
    <row r="920" customFormat="false" ht="15" hidden="false" customHeight="false" outlineLevel="0" collapsed="false">
      <c r="A920" s="122" t="n">
        <f aca="false">A919+$F$3</f>
        <v>9140</v>
      </c>
      <c r="B920" s="123" t="n">
        <f aca="false">SUMPRODUCT(固有振動数!$Q$6:$Q$22*(1-($A920/固有振動数!$O$6:$O$22)^2)/((1-($A920/固有振動数!$O$6:$O$22)^2)^2+固有振動数!$P$6:$P$22^2))</f>
        <v>29.0202927305565</v>
      </c>
      <c r="C920" s="123" t="n">
        <f aca="false">-SUMPRODUCT(固有振動数!$Q$6:$Q$22*固有振動数!$P$6:$P$22/((1-($A920/固有振動数!$O$6:$O$22)^2)^2+固有振動数!$P$6:$P$22^2))</f>
        <v>-86.6386952250606</v>
      </c>
      <c r="D920" s="124" t="n">
        <f aca="false">SQRT(B920^2+C920^2)</f>
        <v>91.3698030011455</v>
      </c>
      <c r="E920" s="125" t="n">
        <f aca="false">20*LOG10(MAX(D920,0.000000000001)/$K$3)</f>
        <v>39.216053770949</v>
      </c>
    </row>
    <row r="921" customFormat="false" ht="15" hidden="false" customHeight="false" outlineLevel="0" collapsed="false">
      <c r="A921" s="126" t="n">
        <f aca="false">A920+$F$3</f>
        <v>9150</v>
      </c>
      <c r="B921" s="127" t="n">
        <f aca="false">SUMPRODUCT(固有振動数!$Q$6:$Q$22*(1-($A921/固有振動数!$O$6:$O$22)^2)/((1-($A921/固有振動数!$O$6:$O$22)^2)^2+固有振動数!$P$6:$P$22^2))</f>
        <v>25.8423926918803</v>
      </c>
      <c r="C921" s="127" t="n">
        <f aca="false">-SUMPRODUCT(固有振動数!$Q$6:$Q$22*固有振動数!$P$6:$P$22/((1-($A921/固有振動数!$O$6:$O$22)^2)^2+固有振動数!$P$6:$P$22^2))</f>
        <v>-89.7614645660959</v>
      </c>
      <c r="D921" s="128" t="n">
        <f aca="false">SQRT(B921^2+C921^2)</f>
        <v>93.4074396453078</v>
      </c>
      <c r="E921" s="129" t="n">
        <f aca="false">20*LOG10(MAX(D921,0.000000000001)/$K$3)</f>
        <v>39.4076293593409</v>
      </c>
    </row>
    <row r="922" customFormat="false" ht="15" hidden="false" customHeight="false" outlineLevel="0" collapsed="false">
      <c r="A922" s="122" t="n">
        <f aca="false">A921+$F$3</f>
        <v>9160</v>
      </c>
      <c r="B922" s="123" t="n">
        <f aca="false">SUMPRODUCT(固有振動数!$Q$6:$Q$22*(1-($A922/固有振動数!$O$6:$O$22)^2)/((1-($A922/固有振動数!$O$6:$O$22)^2)^2+固有振動数!$P$6:$P$22^2))</f>
        <v>21.7955951031414</v>
      </c>
      <c r="C922" s="123" t="n">
        <f aca="false">-SUMPRODUCT(固有振動数!$Q$6:$Q$22*固有振動数!$P$6:$P$22/((1-($A922/固有振動数!$O$6:$O$22)^2)^2+固有振動数!$P$6:$P$22^2))</f>
        <v>-92.9054374182187</v>
      </c>
      <c r="D922" s="124" t="n">
        <f aca="false">SQRT(B922^2+C922^2)</f>
        <v>95.4278170544136</v>
      </c>
      <c r="E922" s="125" t="n">
        <f aca="false">20*LOG10(MAX(D922,0.000000000001)/$K$3)</f>
        <v>39.5934997859682</v>
      </c>
    </row>
    <row r="923" customFormat="false" ht="15" hidden="false" customHeight="false" outlineLevel="0" collapsed="false">
      <c r="A923" s="126" t="n">
        <f aca="false">A922+$F$3</f>
        <v>9170</v>
      </c>
      <c r="B923" s="127" t="n">
        <f aca="false">SUMPRODUCT(固有振動数!$Q$6:$Q$22*(1-($A923/固有振動数!$O$6:$O$22)^2)/((1-($A923/固有振動数!$O$6:$O$22)^2)^2+固有振動数!$P$6:$P$22^2))</f>
        <v>16.8081224694876</v>
      </c>
      <c r="C923" s="127" t="n">
        <f aca="false">-SUMPRODUCT(固有振動数!$Q$6:$Q$22*固有振動数!$P$6:$P$22/((1-($A923/固有振動数!$O$6:$O$22)^2)^2+固有振動数!$P$6:$P$22^2))</f>
        <v>-95.7867105476458</v>
      </c>
      <c r="D923" s="128" t="n">
        <f aca="false">SQRT(B923^2+C923^2)</f>
        <v>97.2502282695921</v>
      </c>
      <c r="E923" s="129" t="n">
        <f aca="false">20*LOG10(MAX(D923,0.000000000001)/$K$3)</f>
        <v>39.7578125878434</v>
      </c>
    </row>
    <row r="924" customFormat="false" ht="15" hidden="false" customHeight="false" outlineLevel="0" collapsed="false">
      <c r="A924" s="122" t="n">
        <f aca="false">A923+$F$3</f>
        <v>9180</v>
      </c>
      <c r="B924" s="123" t="n">
        <f aca="false">SUMPRODUCT(固有振動数!$Q$6:$Q$22*(1-($A924/固有振動数!$O$6:$O$22)^2)/((1-($A924/固有振動数!$O$6:$O$22)^2)^2+固有振動数!$P$6:$P$22^2))</f>
        <v>10.9100083031343</v>
      </c>
      <c r="C924" s="123" t="n">
        <f aca="false">-SUMPRODUCT(固有振動数!$Q$6:$Q$22*固有振動数!$P$6:$P$22/((1-($A924/固有振動数!$O$6:$O$22)^2)^2+固有振動数!$P$6:$P$22^2))</f>
        <v>-98.094038970205</v>
      </c>
      <c r="D924" s="124" t="n">
        <f aca="false">SQRT(B924^2+C924^2)</f>
        <v>98.6988792371147</v>
      </c>
      <c r="E924" s="125" t="n">
        <f aca="false">20*LOG10(MAX(D924,0.000000000001)/$K$3)</f>
        <v>39.8862444224099</v>
      </c>
    </row>
    <row r="925" customFormat="false" ht="15" hidden="false" customHeight="false" outlineLevel="0" collapsed="false">
      <c r="A925" s="126" t="n">
        <f aca="false">A924+$F$3</f>
        <v>9190</v>
      </c>
      <c r="B925" s="127" t="n">
        <f aca="false">SUMPRODUCT(固有振動数!$Q$6:$Q$22*(1-($A925/固有振動数!$O$6:$O$22)^2)/((1-($A925/固有振動数!$O$6:$O$22)^2)^2+固有振動数!$P$6:$P$22^2))</f>
        <v>4.24288732235007</v>
      </c>
      <c r="C925" s="127" t="n">
        <f aca="false">-SUMPRODUCT(固有振動数!$Q$6:$Q$22*固有振動数!$P$6:$P$22/((1-($A925/固有振動数!$O$6:$O$22)^2)^2+固有振動数!$P$6:$P$22^2))</f>
        <v>-99.5295164813748</v>
      </c>
      <c r="D925" s="128" t="n">
        <f aca="false">SQRT(B925^2+C925^2)</f>
        <v>99.6199113824462</v>
      </c>
      <c r="E925" s="129" t="n">
        <f aca="false">20*LOG10(MAX(D925,0.000000000001)/$K$3)</f>
        <v>39.9669230213399</v>
      </c>
    </row>
    <row r="926" customFormat="false" ht="15" hidden="false" customHeight="false" outlineLevel="0" collapsed="false">
      <c r="A926" s="122" t="n">
        <f aca="false">A925+$F$3</f>
        <v>9200</v>
      </c>
      <c r="B926" s="123" t="n">
        <f aca="false">SUMPRODUCT(固有振動数!$Q$6:$Q$22*(1-($A926/固有振動数!$O$6:$O$22)^2)/((1-($A926/固有振動数!$O$6:$O$22)^2)^2+固有振動数!$P$6:$P$22^2))</f>
        <v>-2.94923968715443</v>
      </c>
      <c r="C926" s="123" t="n">
        <f aca="false">-SUMPRODUCT(固有振動数!$Q$6:$Q$22*固有振動数!$P$6:$P$22/((1-($A926/固有振動数!$O$6:$O$22)^2)^2+固有振動数!$P$6:$P$22^2))</f>
        <v>-99.8525793992153</v>
      </c>
      <c r="D926" s="124" t="n">
        <f aca="false">SQRT(B926^2+C926^2)</f>
        <v>99.8961241861209</v>
      </c>
      <c r="E926" s="125" t="n">
        <f aca="false">20*LOG10(MAX(D926,0.000000000001)/$K$3)</f>
        <v>39.9909727720804</v>
      </c>
    </row>
    <row r="927" customFormat="false" ht="15" hidden="false" customHeight="false" outlineLevel="0" collapsed="false">
      <c r="A927" s="126" t="n">
        <f aca="false">A926+$F$3</f>
        <v>9210</v>
      </c>
      <c r="B927" s="127" t="n">
        <f aca="false">SUMPRODUCT(固有振動数!$Q$6:$Q$22*(1-($A927/固有振動数!$O$6:$O$22)^2)/((1-($A927/固有振動数!$O$6:$O$22)^2)^2+固有振動数!$P$6:$P$22^2))</f>
        <v>-10.3482936555209</v>
      </c>
      <c r="C927" s="127" t="n">
        <f aca="false">-SUMPRODUCT(固有振動数!$Q$6:$Q$22*固有振動数!$P$6:$P$22/((1-($A927/固有振動数!$O$6:$O$22)^2)^2+固有振動数!$P$6:$P$22^2))</f>
        <v>-98.9169689999351</v>
      </c>
      <c r="D927" s="128" t="n">
        <f aca="false">SQRT(B927^2+C927^2)</f>
        <v>99.4567943265568</v>
      </c>
      <c r="E927" s="129" t="n">
        <f aca="false">20*LOG10(MAX(D927,0.000000000001)/$K$3)</f>
        <v>39.9526891404088</v>
      </c>
    </row>
    <row r="928" customFormat="false" ht="15" hidden="false" customHeight="false" outlineLevel="0" collapsed="false">
      <c r="A928" s="122" t="n">
        <f aca="false">A927+$F$3</f>
        <v>9220</v>
      </c>
      <c r="B928" s="123" t="n">
        <f aca="false">SUMPRODUCT(固有振動数!$Q$6:$Q$22*(1-($A928/固有振動数!$O$6:$O$22)^2)/((1-($A928/固有振動数!$O$6:$O$22)^2)^2+固有振動数!$P$6:$P$22^2))</f>
        <v>-17.6037090162551</v>
      </c>
      <c r="C928" s="123" t="n">
        <f aca="false">-SUMPRODUCT(固有振動数!$Q$6:$Q$22*固有振動数!$P$6:$P$22/((1-($A928/固有振動数!$O$6:$O$22)^2)^2+固有振動数!$P$6:$P$22^2))</f>
        <v>-96.6923560690842</v>
      </c>
      <c r="D928" s="124" t="n">
        <f aca="false">SQRT(B928^2+C928^2)</f>
        <v>98.2817495434404</v>
      </c>
      <c r="E928" s="125" t="n">
        <f aca="false">20*LOG10(MAX(D928,0.000000000001)/$K$3)</f>
        <v>39.8494575777114</v>
      </c>
    </row>
    <row r="929" customFormat="false" ht="15" hidden="false" customHeight="false" outlineLevel="0" collapsed="false">
      <c r="A929" s="126" t="n">
        <f aca="false">A928+$F$3</f>
        <v>9230</v>
      </c>
      <c r="B929" s="127" t="n">
        <f aca="false">SUMPRODUCT(固有振動数!$Q$6:$Q$22*(1-($A929/固有振動数!$O$6:$O$22)^2)/((1-($A929/固有振動数!$O$6:$O$22)^2)^2+固有振動数!$P$6:$P$22^2))</f>
        <v>-24.3789313577431</v>
      </c>
      <c r="C929" s="127" t="n">
        <f aca="false">-SUMPRODUCT(固有振動数!$Q$6:$Q$22*固有振動数!$P$6:$P$22/((1-($A929/固有振動数!$O$6:$O$22)^2)^2+固有振動数!$P$6:$P$22^2))</f>
        <v>-93.2667368324814</v>
      </c>
      <c r="D929" s="128" t="n">
        <f aca="false">SQRT(B929^2+C929^2)</f>
        <v>96.4002930157626</v>
      </c>
      <c r="E929" s="129" t="n">
        <f aca="false">20*LOG10(MAX(D929,0.000000000001)/$K$3)</f>
        <v>39.6815670794955</v>
      </c>
    </row>
    <row r="930" customFormat="false" ht="15" hidden="false" customHeight="false" outlineLevel="0" collapsed="false">
      <c r="A930" s="122" t="n">
        <f aca="false">A929+$F$3</f>
        <v>9240</v>
      </c>
      <c r="B930" s="123" t="n">
        <f aca="false">SUMPRODUCT(固有振動数!$Q$6:$Q$22*(1-($A930/固有振動数!$O$6:$O$22)^2)/((1-($A930/固有振動数!$O$6:$O$22)^2)^2+固有振動数!$P$6:$P$22^2))</f>
        <v>-30.3942259082299</v>
      </c>
      <c r="C930" s="123" t="n">
        <f aca="false">-SUMPRODUCT(固有振動数!$Q$6:$Q$22*固有振動数!$P$6:$P$22/((1-($A930/固有振動数!$O$6:$O$22)^2)^2+固有振動数!$P$6:$P$22^2))</f>
        <v>-88.8295674254461</v>
      </c>
      <c r="D930" s="124" t="n">
        <f aca="false">SQRT(B930^2+C930^2)</f>
        <v>93.8855740652013</v>
      </c>
      <c r="E930" s="125" t="n">
        <f aca="false">20*LOG10(MAX(D930,0.000000000001)/$K$3)</f>
        <v>39.4519773223861</v>
      </c>
    </row>
    <row r="931" customFormat="false" ht="15" hidden="false" customHeight="false" outlineLevel="0" collapsed="false">
      <c r="A931" s="126" t="n">
        <f aca="false">A930+$F$3</f>
        <v>9250</v>
      </c>
      <c r="B931" s="127" t="n">
        <f aca="false">SUMPRODUCT(固有振動数!$Q$6:$Q$22*(1-($A931/固有振動数!$O$6:$O$22)^2)/((1-($A931/固有振動数!$O$6:$O$22)^2)^2+固有振動数!$P$6:$P$22^2))</f>
        <v>-35.4576794460403</v>
      </c>
      <c r="C931" s="127" t="n">
        <f aca="false">-SUMPRODUCT(固有振動数!$Q$6:$Q$22*固有振動数!$P$6:$P$22/((1-($A931/固有振動数!$O$6:$O$22)^2)^2+固有振動数!$P$6:$P$22^2))</f>
        <v>-83.6389974464438</v>
      </c>
      <c r="D931" s="128" t="n">
        <f aca="false">SQRT(B931^2+C931^2)</f>
        <v>90.8445316215807</v>
      </c>
      <c r="E931" s="129" t="n">
        <f aca="false">20*LOG10(MAX(D931,0.000000000001)/$K$3)</f>
        <v>39.1659758022704</v>
      </c>
    </row>
    <row r="932" customFormat="false" ht="15" hidden="false" customHeight="false" outlineLevel="0" collapsed="false">
      <c r="A932" s="122" t="n">
        <f aca="false">A931+$F$3</f>
        <v>9260</v>
      </c>
      <c r="B932" s="123" t="n">
        <f aca="false">SUMPRODUCT(固有振動数!$Q$6:$Q$22*(1-($A932/固有振動数!$O$6:$O$22)^2)/((1-($A932/固有振動数!$O$6:$O$22)^2)^2+固有振動数!$P$6:$P$22^2))</f>
        <v>-39.478179366677</v>
      </c>
      <c r="C932" s="123" t="n">
        <f aca="false">-SUMPRODUCT(固有振動数!$Q$6:$Q$22*固有振動数!$P$6:$P$22/((1-($A932/固有振動数!$O$6:$O$22)^2)^2+固有振動数!$P$6:$P$22^2))</f>
        <v>-77.9805055394615</v>
      </c>
      <c r="D932" s="124" t="n">
        <f aca="false">SQRT(B932^2+C932^2)</f>
        <v>87.4041525918392</v>
      </c>
      <c r="E932" s="125" t="n">
        <f aca="false">20*LOG10(MAX(D932,0.000000000001)/$K$3)</f>
        <v>38.8306413311502</v>
      </c>
    </row>
    <row r="933" customFormat="false" ht="15" hidden="false" customHeight="false" outlineLevel="0" collapsed="false">
      <c r="A933" s="126" t="n">
        <f aca="false">A932+$F$3</f>
        <v>9270</v>
      </c>
      <c r="B933" s="127" t="n">
        <f aca="false">SUMPRODUCT(固有振動数!$Q$6:$Q$22*(1-($A933/固有振動数!$O$6:$O$22)^2)/((1-($A933/固有振動数!$O$6:$O$22)^2)^2+固有振動数!$P$6:$P$22^2))</f>
        <v>-42.4589546909064</v>
      </c>
      <c r="C933" s="127" t="n">
        <f aca="false">-SUMPRODUCT(固有振動数!$Q$6:$Q$22*固有振動数!$P$6:$P$22/((1-($A933/固有振動数!$O$6:$O$22)^2)^2+固有振動数!$P$6:$P$22^2))</f>
        <v>-72.1270545292402</v>
      </c>
      <c r="D933" s="128" t="n">
        <f aca="false">SQRT(B933^2+C933^2)</f>
        <v>83.6963250597565</v>
      </c>
      <c r="E933" s="129" t="n">
        <f aca="false">20*LOG10(MAX(D933,0.000000000001)/$K$3)</f>
        <v>38.4541277879877</v>
      </c>
    </row>
    <row r="934" customFormat="false" ht="15" hidden="false" customHeight="false" outlineLevel="0" collapsed="false">
      <c r="A934" s="122" t="n">
        <f aca="false">A933+$F$3</f>
        <v>9280</v>
      </c>
      <c r="B934" s="123" t="n">
        <f aca="false">SUMPRODUCT(固有振動数!$Q$6:$Q$22*(1-($A934/固有振動数!$O$6:$O$22)^2)/((1-($A934/固有振動数!$O$6:$O$22)^2)^2+固有振動数!$P$6:$P$22^2))</f>
        <v>-44.4763674647276</v>
      </c>
      <c r="C934" s="123" t="n">
        <f aca="false">-SUMPRODUCT(固有振動数!$Q$6:$Q$22*固有振動数!$P$6:$P$22/((1-($A934/固有振動数!$O$6:$O$22)^2)^2+固有振動数!$P$6:$P$22^2))</f>
        <v>-66.3097741805974</v>
      </c>
      <c r="D934" s="124" t="n">
        <f aca="false">SQRT(B934^2+C934^2)</f>
        <v>79.8444325844908</v>
      </c>
      <c r="E934" s="125" t="n">
        <f aca="false">20*LOG10(MAX(D934,0.000000000001)/$K$3)</f>
        <v>38.0448927783992</v>
      </c>
    </row>
    <row r="935" customFormat="false" ht="15" hidden="false" customHeight="false" outlineLevel="0" collapsed="false">
      <c r="A935" s="126" t="n">
        <f aca="false">A934+$F$3</f>
        <v>9290</v>
      </c>
      <c r="B935" s="127" t="n">
        <f aca="false">SUMPRODUCT(固有振動数!$Q$6:$Q$22*(1-($A935/固有振動数!$O$6:$O$22)^2)/((1-($A935/固有振動数!$O$6:$O$22)^2)^2+固有振動数!$P$6:$P$22^2))</f>
        <v>-45.6523504854464</v>
      </c>
      <c r="C935" s="127" t="n">
        <f aca="false">-SUMPRODUCT(固有振動数!$Q$6:$Q$22*固有振動数!$P$6:$P$22/((1-($A935/固有振動数!$O$6:$O$22)^2)^2+固有振動数!$P$6:$P$22^2))</f>
        <v>-60.7032982403244</v>
      </c>
      <c r="D935" s="128" t="n">
        <f aca="false">SQRT(B935^2+C935^2)</f>
        <v>75.9541145830811</v>
      </c>
      <c r="E935" s="129" t="n">
        <f aca="false">20*LOG10(MAX(D935,0.000000000001)/$K$3)</f>
        <v>37.6110261083673</v>
      </c>
    </row>
    <row r="936" customFormat="false" ht="15" hidden="false" customHeight="false" outlineLevel="0" collapsed="false">
      <c r="A936" s="122" t="n">
        <f aca="false">A935+$F$3</f>
        <v>9300</v>
      </c>
      <c r="B936" s="123" t="n">
        <f aca="false">SUMPRODUCT(固有振動数!$Q$6:$Q$22*(1-($A936/固有振動数!$O$6:$O$22)^2)/((1-($A936/固有振動数!$O$6:$O$22)^2)^2+固有振動数!$P$6:$P$22^2))</f>
        <v>-46.1284207849421</v>
      </c>
      <c r="C936" s="123" t="n">
        <f aca="false">-SUMPRODUCT(固有振動数!$Q$6:$Q$22*固有振動数!$P$6:$P$22/((1-($A936/固有振動数!$O$6:$O$22)^2)^2+固有振動数!$P$6:$P$22^2))</f>
        <v>-55.4244119915586</v>
      </c>
      <c r="D936" s="124" t="n">
        <f aca="false">SQRT(B936^2+C936^2)</f>
        <v>72.1089221159401</v>
      </c>
      <c r="E936" s="125" t="n">
        <f aca="false">20*LOG10(MAX(D936,0.000000000001)/$K$3)</f>
        <v>37.1597800755235</v>
      </c>
    </row>
    <row r="937" customFormat="false" ht="15" hidden="false" customHeight="false" outlineLevel="0" collapsed="false">
      <c r="A937" s="126" t="n">
        <f aca="false">A936+$F$3</f>
        <v>9310</v>
      </c>
      <c r="B937" s="127" t="n">
        <f aca="false">SUMPRODUCT(固有振動数!$Q$6:$Q$22*(1-($A937/固有振動数!$O$6:$O$22)^2)/((1-($A937/固有振動数!$O$6:$O$22)^2)^2+固有振動数!$P$6:$P$22^2))</f>
        <v>-46.0459597275758</v>
      </c>
      <c r="C937" s="127" t="n">
        <f aca="false">-SUMPRODUCT(固有振動数!$Q$6:$Q$22*固有振動数!$P$6:$P$22/((1-($A937/固有振動数!$O$6:$O$22)^2)^2+固有振動数!$P$6:$P$22^2))</f>
        <v>-50.539479863452</v>
      </c>
      <c r="D937" s="128" t="n">
        <f aca="false">SQRT(B937^2+C937^2)</f>
        <v>68.3700916490669</v>
      </c>
      <c r="E937" s="129" t="n">
        <f aca="false">20*LOG10(MAX(D937,0.000000000001)/$K$3)</f>
        <v>36.6973232413114</v>
      </c>
    </row>
    <row r="938" customFormat="false" ht="15" hidden="false" customHeight="false" outlineLevel="0" collapsed="false">
      <c r="A938" s="122" t="n">
        <f aca="false">A937+$F$3</f>
        <v>9320</v>
      </c>
      <c r="B938" s="123" t="n">
        <f aca="false">SUMPRODUCT(固有振動数!$Q$6:$Q$22*(1-($A938/固有振動数!$O$6:$O$22)^2)/((1-($A938/固有振動数!$O$6:$O$22)^2)^2+固有振動数!$P$6:$P$22^2))</f>
        <v>-45.533940529458</v>
      </c>
      <c r="C938" s="123" t="n">
        <f aca="false">-SUMPRODUCT(固有振動数!$Q$6:$Q$22*固有振動数!$P$6:$P$22/((1-($A938/固有振動数!$O$6:$O$22)^2)^2+固有振動数!$P$6:$P$22^2))</f>
        <v>-46.075748742936</v>
      </c>
      <c r="D938" s="124" t="n">
        <f aca="false">SQRT(B938^2+C938^2)</f>
        <v>64.7789654313989</v>
      </c>
      <c r="E938" s="125" t="n">
        <f aca="false">20*LOG10(MAX(D938,0.000000000001)/$K$3)</f>
        <v>36.2286801544271</v>
      </c>
    </row>
    <row r="939" customFormat="false" ht="15" hidden="false" customHeight="false" outlineLevel="0" collapsed="false">
      <c r="A939" s="126" t="n">
        <f aca="false">A938+$F$3</f>
        <v>9330</v>
      </c>
      <c r="B939" s="127" t="n">
        <f aca="false">SUMPRODUCT(固有振動数!$Q$6:$Q$22*(1-($A939/固有振動数!$O$6:$O$22)^2)/((1-($A939/固有振動数!$O$6:$O$22)^2)^2+固有振動数!$P$6:$P$22^2))</f>
        <v>-44.7030209360945</v>
      </c>
      <c r="C939" s="127" t="n">
        <f aca="false">-SUMPRODUCT(固有振動数!$Q$6:$Q$22*固有振動数!$P$6:$P$22/((1-($A939/固有振動数!$O$6:$O$22)^2)^2+固有振動数!$P$6:$P$22^2))</f>
        <v>-42.0329236315927</v>
      </c>
      <c r="D939" s="128" t="n">
        <f aca="false">SQRT(B939^2+C939^2)</f>
        <v>61.3606286622962</v>
      </c>
      <c r="E939" s="129" t="n">
        <f aca="false">20*LOG10(MAX(D939,0.000000000001)/$K$3)</f>
        <v>35.7577960094207</v>
      </c>
    </row>
    <row r="940" customFormat="false" ht="15" hidden="false" customHeight="false" outlineLevel="0" collapsed="false">
      <c r="A940" s="122" t="n">
        <f aca="false">A939+$F$3</f>
        <v>9340</v>
      </c>
      <c r="B940" s="123" t="n">
        <f aca="false">SUMPRODUCT(固有振動数!$Q$6:$Q$22*(1-($A940/固有振動数!$O$6:$O$22)^2)/((1-($A940/固有振動数!$O$6:$O$22)^2)^2+固有振動数!$P$6:$P$22^2))</f>
        <v>-43.6440809367711</v>
      </c>
      <c r="C940" s="123" t="n">
        <f aca="false">-SUMPRODUCT(固有振動数!$Q$6:$Q$22*固有振動数!$P$6:$P$22/((1-($A940/固有振動数!$O$6:$O$22)^2)^2+固有振動数!$P$6:$P$22^2))</f>
        <v>-38.3930724920006</v>
      </c>
      <c r="D940" s="124" t="n">
        <f aca="false">SQRT(B940^2+C940^2)</f>
        <v>58.1277370640854</v>
      </c>
      <c r="E940" s="125" t="n">
        <f aca="false">20*LOG10(MAX(D940,0.000000000001)/$K$3)</f>
        <v>35.2876683205727</v>
      </c>
    </row>
    <row r="941" customFormat="false" ht="15" hidden="false" customHeight="false" outlineLevel="0" collapsed="false">
      <c r="A941" s="126" t="n">
        <f aca="false">A940+$F$3</f>
        <v>9350</v>
      </c>
      <c r="B941" s="127" t="n">
        <f aca="false">SUMPRODUCT(固有振動数!$Q$6:$Q$22*(1-($A941/固有振動数!$O$6:$O$22)^2)/((1-($A941/固有振動数!$O$6:$O$22)^2)^2+固有振動数!$P$6:$P$22^2))</f>
        <v>-42.4293725176853</v>
      </c>
      <c r="C941" s="127" t="n">
        <f aca="false">-SUMPRODUCT(固有振動数!$Q$6:$Q$22*固有振動数!$P$6:$P$22/((1-($A941/固有振動数!$O$6:$O$22)^2)^2+固有振動数!$P$6:$P$22^2))</f>
        <v>-35.1282037481935</v>
      </c>
      <c r="D941" s="128" t="n">
        <f aca="false">SQRT(B941^2+C941^2)</f>
        <v>55.0839572908402</v>
      </c>
      <c r="E941" s="129" t="n">
        <f aca="false">20*LOG10(MAX(D941,0.000000000001)/$K$3)</f>
        <v>34.8205026577833</v>
      </c>
    </row>
    <row r="942" customFormat="false" ht="15" hidden="false" customHeight="false" outlineLevel="0" collapsed="false">
      <c r="A942" s="122" t="n">
        <f aca="false">A941+$F$3</f>
        <v>9360</v>
      </c>
      <c r="B942" s="123" t="n">
        <f aca="false">SUMPRODUCT(固有振動数!$Q$6:$Q$22*(1-($A942/固有振動数!$O$6:$O$22)^2)/((1-($A942/固有振動数!$O$6:$O$22)^2)^2+固有振動数!$P$6:$P$22^2))</f>
        <v>-41.114912747987</v>
      </c>
      <c r="C942" s="123" t="n">
        <f aca="false">-SUMPRODUCT(固有振動数!$Q$6:$Q$22*固有振動数!$P$6:$P$22/((1-($A942/固有振動数!$O$6:$O$22)^2)^2+固有振動数!$P$6:$P$22^2))</f>
        <v>-32.2056052121058</v>
      </c>
      <c r="D942" s="124" t="n">
        <f aca="false">SQRT(B942^2+C942^2)</f>
        <v>52.2267848651686</v>
      </c>
      <c r="E942" s="125" t="n">
        <f aca="false">20*LOG10(MAX(D942,0.000000000001)/$K$3)</f>
        <v>34.3578658208585</v>
      </c>
    </row>
    <row r="943" customFormat="false" ht="15" hidden="false" customHeight="false" outlineLevel="0" collapsed="false">
      <c r="A943" s="126" t="n">
        <f aca="false">A942+$F$3</f>
        <v>9370</v>
      </c>
      <c r="B943" s="127" t="n">
        <f aca="false">SUMPRODUCT(固有振動数!$Q$6:$Q$22*(1-($A943/固有振動数!$O$6:$O$22)^2)/((1-($A943/固有振動数!$O$6:$O$22)^2)^2+固有振動数!$P$6:$P$22^2))</f>
        <v>-39.7432502054571</v>
      </c>
      <c r="C943" s="127" t="n">
        <f aca="false">-SUMPRODUCT(固有振動数!$Q$6:$Q$22*固有振動数!$P$6:$P$22/((1-($A943/固有振動数!$O$6:$O$22)^2)^2+固有振動数!$P$6:$P$22^2))</f>
        <v>-29.5913509656647</v>
      </c>
      <c r="D943" s="128" t="n">
        <f aca="false">SQRT(B943^2+C943^2)</f>
        <v>49.5497122985262</v>
      </c>
      <c r="E943" s="129" t="n">
        <f aca="false">20*LOG10(MAX(D943,0.000000000001)/$K$3)</f>
        <v>33.9008227435196</v>
      </c>
    </row>
    <row r="944" customFormat="false" ht="15" hidden="false" customHeight="false" outlineLevel="0" collapsed="false">
      <c r="A944" s="122" t="n">
        <f aca="false">A943+$F$3</f>
        <v>9380</v>
      </c>
      <c r="B944" s="123" t="n">
        <f aca="false">SUMPRODUCT(固有振動数!$Q$6:$Q$22*(1-($A944/固有振動数!$O$6:$O$22)^2)/((1-($A944/固有振動数!$O$6:$O$22)^2)^2+固有振動数!$P$6:$P$22^2))</f>
        <v>-38.346125738082</v>
      </c>
      <c r="C944" s="123" t="n">
        <f aca="false">-SUMPRODUCT(固有振動数!$Q$6:$Q$22*固有振動数!$P$6:$P$22/((1-($A944/固有振動数!$O$6:$O$22)^2)^2+固有振動数!$P$6:$P$22^2))</f>
        <v>-27.2524462442991</v>
      </c>
      <c r="D944" s="124" t="n">
        <f aca="false">SQRT(B944^2+C944^2)</f>
        <v>47.0438219686624</v>
      </c>
      <c r="E944" s="125" t="n">
        <f aca="false">20*LOG10(MAX(D944,0.000000000001)/$K$3)</f>
        <v>33.4500519554401</v>
      </c>
    </row>
    <row r="945" customFormat="false" ht="15" hidden="false" customHeight="false" outlineLevel="0" collapsed="false">
      <c r="A945" s="126" t="n">
        <f aca="false">A944+$F$3</f>
        <v>9390</v>
      </c>
      <c r="B945" s="127" t="n">
        <f aca="false">SUMPRODUCT(固有振動数!$Q$6:$Q$22*(1-($A945/固有振動数!$O$6:$O$22)^2)/((1-($A945/固有振動数!$O$6:$O$22)^2)^2+固有振動数!$P$6:$P$22^2))</f>
        <v>-36.9468079292659</v>
      </c>
      <c r="C945" s="127" t="n">
        <f aca="false">-SUMPRODUCT(固有振動数!$Q$6:$Q$22*固有振動数!$P$6:$P$22/((1-($A945/固有振動数!$O$6:$O$22)^2)^2+固有振動数!$P$6:$P$22^2))</f>
        <v>-25.1580255144644</v>
      </c>
      <c r="D945" s="128" t="n">
        <f aca="false">SQRT(B945^2+C945^2)</f>
        <v>44.6989134537799</v>
      </c>
      <c r="E945" s="129" t="n">
        <f aca="false">20*LOG10(MAX(D945,0.000000000001)/$K$3)</f>
        <v>33.0059393276218</v>
      </c>
    </row>
    <row r="946" customFormat="false" ht="15" hidden="false" customHeight="false" outlineLevel="0" collapsed="false">
      <c r="A946" s="122" t="n">
        <f aca="false">A945+$F$3</f>
        <v>9400</v>
      </c>
      <c r="B946" s="123" t="n">
        <f aca="false">SUMPRODUCT(固有振動数!$Q$6:$Q$22*(1-($A946/固有振動数!$O$6:$O$22)^2)/((1-($A946/固有振動数!$O$6:$O$22)^2)^2+固有振動数!$P$6:$P$22^2))</f>
        <v>-35.5620357852576</v>
      </c>
      <c r="C946" s="123" t="n">
        <f aca="false">-SUMPRODUCT(固有振動数!$Q$6:$Q$22*固有振動数!$P$6:$P$22/((1-($A946/固有振動数!$O$6:$O$22)^2)^2+固有振動数!$P$6:$P$22^2))</f>
        <v>-23.2799268055735</v>
      </c>
      <c r="D946" s="124" t="n">
        <f aca="false">SQRT(B946^2+C946^2)</f>
        <v>42.5042748587104</v>
      </c>
      <c r="E946" s="125" t="n">
        <f aca="false">20*LOG10(MAX(D946,0.000000000001)/$K$3)</f>
        <v>32.568652226505</v>
      </c>
    </row>
    <row r="947" customFormat="false" ht="15" hidden="false" customHeight="false" outlineLevel="0" collapsed="false">
      <c r="A947" s="126" t="n">
        <f aca="false">A946+$F$3</f>
        <v>9410</v>
      </c>
      <c r="B947" s="127" t="n">
        <f aca="false">SUMPRODUCT(固有振動数!$Q$6:$Q$22*(1-($A947/固有振動数!$O$6:$O$22)^2)/((1-($A947/固有振動数!$O$6:$O$22)^2)^2+固有振動数!$P$6:$P$22^2))</f>
        <v>-34.2035802779823</v>
      </c>
      <c r="C947" s="127" t="n">
        <f aca="false">-SUMPRODUCT(固有振動数!$Q$6:$Q$22*固有振動数!$P$6:$P$22/((1-($A947/固有振動数!$O$6:$O$22)^2)^2+固有振動数!$P$6:$P$22^2))</f>
        <v>-21.5928752167881</v>
      </c>
      <c r="D947" s="128" t="n">
        <f aca="false">SQRT(B947^2+C947^2)</f>
        <v>40.4491923771064</v>
      </c>
      <c r="E947" s="129" t="n">
        <f aca="false">20*LOG10(MAX(D947,0.000000000001)/$K$3)</f>
        <v>32.1381970951499</v>
      </c>
    </row>
    <row r="948" customFormat="false" ht="15" hidden="false" customHeight="false" outlineLevel="0" collapsed="false">
      <c r="A948" s="122" t="n">
        <f aca="false">A947+$F$3</f>
        <v>9420</v>
      </c>
      <c r="B948" s="123" t="n">
        <f aca="false">SUMPRODUCT(固有振動数!$Q$6:$Q$22*(1-($A948/固有振動数!$O$6:$O$22)^2)/((1-($A948/固有振動数!$O$6:$O$22)^2)^2+固有振動数!$P$6:$P$22^2))</f>
        <v>-32.8794711559022</v>
      </c>
      <c r="C948" s="123" t="n">
        <f aca="false">-SUMPRODUCT(固有振動数!$Q$6:$Q$22*固有振動数!$P$6:$P$22/((1-($A948/固有振動数!$O$6:$O$22)^2)^2+固有振動数!$P$6:$P$22^2))</f>
        <v>-20.0744349060623</v>
      </c>
      <c r="D948" s="124" t="n">
        <f aca="false">SQRT(B948^2+C948^2)</f>
        <v>38.52327296959</v>
      </c>
      <c r="E948" s="125" t="n">
        <f aca="false">20*LOG10(MAX(D948,0.000000000001)/$K$3)</f>
        <v>31.7144635608711</v>
      </c>
    </row>
    <row r="949" customFormat="false" ht="15" hidden="false" customHeight="false" outlineLevel="0" collapsed="false">
      <c r="A949" s="126" t="n">
        <f aca="false">A948+$F$3</f>
        <v>9430</v>
      </c>
      <c r="B949" s="127" t="n">
        <f aca="false">SUMPRODUCT(固有振動数!$Q$6:$Q$22*(1-($A949/固有振動数!$O$6:$O$22)^2)/((1-($A949/固有振動数!$O$6:$O$22)^2)^2+固有振動数!$P$6:$P$22^2))</f>
        <v>-31.5949457679767</v>
      </c>
      <c r="C949" s="127" t="n">
        <f aca="false">-SUMPRODUCT(固有振動数!$Q$6:$Q$22*固有振動数!$P$6:$P$22/((1-($A949/固有振動数!$O$6:$O$22)^2)^2+固有振動数!$P$6:$P$22^2))</f>
        <v>-18.7048341270075</v>
      </c>
      <c r="D949" s="128" t="n">
        <f aca="false">SQRT(B949^2+C949^2)</f>
        <v>36.7166367985992</v>
      </c>
      <c r="E949" s="129" t="n">
        <f aca="false">20*LOG10(MAX(D949,0.000000000001)/$K$3)</f>
        <v>31.297257869591</v>
      </c>
    </row>
    <row r="950" customFormat="false" ht="15" hidden="false" customHeight="false" outlineLevel="0" collapsed="false">
      <c r="A950" s="122" t="n">
        <f aca="false">A949+$F$3</f>
        <v>9440</v>
      </c>
      <c r="B950" s="123" t="n">
        <f aca="false">SUMPRODUCT(固有振動数!$Q$6:$Q$22*(1-($A950/固有振動数!$O$6:$O$22)^2)/((1-($A950/固有振動数!$O$6:$O$22)^2)^2+固有振動数!$P$6:$P$22^2))</f>
        <v>-30.3531748510664</v>
      </c>
      <c r="C950" s="123" t="n">
        <f aca="false">-SUMPRODUCT(固有振動数!$Q$6:$Q$22*固有振動数!$P$6:$P$22/((1-($A950/固有振動数!$O$6:$O$22)^2)^2+固有振動数!$P$6:$P$22^2))</f>
        <v>-17.4667294682452</v>
      </c>
      <c r="D950" s="124" t="n">
        <f aca="false">SQRT(B950^2+C950^2)</f>
        <v>35.0200208717281</v>
      </c>
      <c r="E950" s="125" t="n">
        <f aca="false">20*LOG10(MAX(D950,0.000000000001)/$K$3)</f>
        <v>30.8863280116896</v>
      </c>
    </row>
    <row r="951" customFormat="false" ht="15" hidden="false" customHeight="false" outlineLevel="0" collapsed="false">
      <c r="A951" s="126" t="n">
        <f aca="false">A950+$F$3</f>
        <v>9450</v>
      </c>
      <c r="B951" s="127" t="n">
        <f aca="false">SUMPRODUCT(固有振動数!$Q$6:$Q$22*(1-($A951/固有振動数!$O$6:$O$22)^2)/((1-($A951/固有振動数!$O$6:$O$22)^2)^2+固有振動数!$P$6:$P$22^2))</f>
        <v>-29.1558133275477</v>
      </c>
      <c r="C951" s="127" t="n">
        <f aca="false">-SUMPRODUCT(固有振動数!$Q$6:$Q$22*固有振動数!$P$6:$P$22/((1-($A951/固有振動数!$O$6:$O$22)^2)^2+固有振動数!$P$6:$P$22^2))</f>
        <v>-16.3449495673006</v>
      </c>
      <c r="D951" s="128" t="n">
        <f aca="false">SQRT(B951^2+C951^2)</f>
        <v>33.424823517087</v>
      </c>
      <c r="E951" s="129" t="n">
        <f aca="false">20*LOG10(MAX(D951,0.000000000001)/$K$3)</f>
        <v>30.4813824573445</v>
      </c>
    </row>
    <row r="952" customFormat="false" ht="15" hidden="false" customHeight="false" outlineLevel="0" collapsed="false">
      <c r="A952" s="122" t="n">
        <f aca="false">A951+$F$3</f>
        <v>9460</v>
      </c>
      <c r="B952" s="123" t="n">
        <f aca="false">SUMPRODUCT(固有振動数!$Q$6:$Q$22*(1-($A952/固有振動数!$O$6:$O$22)^2)/((1-($A952/固有振動数!$O$6:$O$22)^2)^2+固有振動数!$P$6:$P$22^2))</f>
        <v>-28.0034158407997</v>
      </c>
      <c r="C952" s="123" t="n">
        <f aca="false">-SUMPRODUCT(固有振動数!$Q$6:$Q$22*固有振動数!$P$6:$P$22/((1-($A952/固有振動数!$O$6:$O$22)^2)^2+固有振動数!$P$6:$P$22^2))</f>
        <v>-15.3262416695886</v>
      </c>
      <c r="D952" s="124" t="n">
        <f aca="false">SQRT(B952^2+C952^2)</f>
        <v>31.9231104760702</v>
      </c>
      <c r="E952" s="125" t="n">
        <f aca="false">20*LOG10(MAX(D952,0.000000000001)/$K$3)</f>
        <v>30.0821040174708</v>
      </c>
    </row>
    <row r="953" customFormat="false" ht="15" hidden="false" customHeight="false" outlineLevel="0" collapsed="false">
      <c r="A953" s="126" t="n">
        <f aca="false">A952+$F$3</f>
        <v>9470</v>
      </c>
      <c r="B953" s="127" t="n">
        <f aca="false">SUMPRODUCT(固有振動数!$Q$6:$Q$22*(1-($A953/固有振動数!$O$6:$O$22)^2)/((1-($A953/固有振動数!$O$6:$O$22)^2)^2+固有振動数!$P$6:$P$22^2))</f>
        <v>-26.8957487832087</v>
      </c>
      <c r="C953" s="127" t="n">
        <f aca="false">-SUMPRODUCT(固有振動数!$Q$6:$Q$22*固有振動数!$P$6:$P$22/((1-($A953/固有振動数!$O$6:$O$22)^2)^2+固有振動数!$P$6:$P$22^2))</f>
        <v>-14.3990336657151</v>
      </c>
      <c r="D953" s="128" t="n">
        <f aca="false">SQRT(B953^2+C953^2)</f>
        <v>30.507596973801</v>
      </c>
      <c r="E953" s="129" t="n">
        <f aca="false">20*LOG10(MAX(D953,0.000000000001)/$K$3)</f>
        <v>29.6881600085551</v>
      </c>
    </row>
    <row r="954" customFormat="false" ht="15" hidden="false" customHeight="false" outlineLevel="0" collapsed="false">
      <c r="A954" s="122" t="n">
        <f aca="false">A953+$F$3</f>
        <v>9480</v>
      </c>
      <c r="B954" s="123" t="n">
        <f aca="false">SUMPRODUCT(固有振動数!$Q$6:$Q$22*(1-($A954/固有振動数!$O$6:$O$22)^2)/((1-($A954/固有振動数!$O$6:$O$22)^2)^2+固有振動数!$P$6:$P$22^2))</f>
        <v>-25.8320236544854</v>
      </c>
      <c r="C954" s="123" t="n">
        <f aca="false">-SUMPRODUCT(固有振動数!$Q$6:$Q$22*固有振動数!$P$6:$P$22/((1-($A954/固有振動数!$O$6:$O$22)^2)^2+固有振動数!$P$6:$P$22^2))</f>
        <v>-13.553217605627</v>
      </c>
      <c r="D954" s="124" t="n">
        <f aca="false">SQRT(B954^2+C954^2)</f>
        <v>29.1716155457899</v>
      </c>
      <c r="E954" s="125" t="n">
        <f aca="false">20*LOG10(MAX(D954,0.000000000001)/$K$3)</f>
        <v>29.2992096267907</v>
      </c>
    </row>
    <row r="955" customFormat="false" ht="15" hidden="false" customHeight="false" outlineLevel="0" collapsed="false">
      <c r="A955" s="126" t="n">
        <f aca="false">A954+$F$3</f>
        <v>9490</v>
      </c>
      <c r="B955" s="127" t="n">
        <f aca="false">SUMPRODUCT(固有振動数!$Q$6:$Q$22*(1-($A955/固有振動数!$O$6:$O$22)^2)/((1-($A955/固有振動数!$O$6:$O$22)^2)^2+固有振動数!$P$6:$P$22^2))</f>
        <v>-24.8110709037196</v>
      </c>
      <c r="C955" s="127" t="n">
        <f aca="false">-SUMPRODUCT(固有振動数!$Q$6:$Q$22*固有振動数!$P$6:$P$22/((1-($A955/固有振動数!$O$6:$O$22)^2)^2+固有振動数!$P$6:$P$22^2))</f>
        <v>-12.7799567195242</v>
      </c>
      <c r="D955" s="128" t="n">
        <f aca="false">SQRT(B955^2+C955^2)</f>
        <v>27.9090761785895</v>
      </c>
      <c r="E955" s="129" t="n">
        <f aca="false">20*LOG10(MAX(D955,0.000000000001)/$K$3)</f>
        <v>28.9149092219396</v>
      </c>
    </row>
    <row r="956" customFormat="false" ht="15" hidden="false" customHeight="false" outlineLevel="0" collapsed="false">
      <c r="A956" s="122" t="n">
        <f aca="false">A955+$F$3</f>
        <v>9500</v>
      </c>
      <c r="B956" s="123" t="n">
        <f aca="false">SUMPRODUCT(固有振動数!$Q$6:$Q$22*(1-($A956/固有振動数!$O$6:$O$22)^2)/((1-($A956/固有振動数!$O$6:$O$22)^2)^2+固有振動数!$P$6:$P$22^2))</f>
        <v>-23.8314688871013</v>
      </c>
      <c r="C956" s="123" t="n">
        <f aca="false">-SUMPRODUCT(固有振動数!$Q$6:$Q$22*固有振動数!$P$6:$P$22/((1-($A956/固有振動数!$O$6:$O$22)^2)^2+固有振動数!$P$6:$P$22^2))</f>
        <v>-12.0715157038068</v>
      </c>
      <c r="D956" s="124" t="n">
        <f aca="false">SQRT(B956^2+C956^2)</f>
        <v>26.7144230838724</v>
      </c>
      <c r="E956" s="125" t="n">
        <f aca="false">20*LOG10(MAX(D956,0.000000000001)/$K$3)</f>
        <v>28.5349159947123</v>
      </c>
    </row>
    <row r="957" customFormat="false" ht="15" hidden="false" customHeight="false" outlineLevel="0" collapsed="false">
      <c r="A957" s="126" t="n">
        <f aca="false">A956+$F$3</f>
        <v>9510</v>
      </c>
      <c r="B957" s="127" t="n">
        <f aca="false">SUMPRODUCT(固有振動数!$Q$6:$Q$22*(1-($A957/固有振動数!$O$6:$O$22)^2)/((1-($A957/固有振動数!$O$6:$O$22)^2)^2+固有振動数!$P$6:$P$22^2))</f>
        <v>-22.8916390505408</v>
      </c>
      <c r="C957" s="127" t="n">
        <f aca="false">-SUMPRODUCT(固有振動数!$Q$6:$Q$22*固有振動数!$P$6:$P$22/((1-($A957/固有振動数!$O$6:$O$22)^2)^2+固有振動数!$P$6:$P$22^2))</f>
        <v>-11.4211128169039</v>
      </c>
      <c r="D957" s="128" t="n">
        <f aca="false">SQRT(B957^2+C957^2)</f>
        <v>25.5825908851448</v>
      </c>
      <c r="E957" s="129" t="n">
        <f aca="false">20*LOG10(MAX(D957,0.000000000001)/$K$3)</f>
        <v>28.1588905136751</v>
      </c>
    </row>
    <row r="958" customFormat="false" ht="15" hidden="false" customHeight="false" outlineLevel="0" collapsed="false">
      <c r="A958" s="122" t="n">
        <f aca="false">A957+$F$3</f>
        <v>9520</v>
      </c>
      <c r="B958" s="123" t="n">
        <f aca="false">SUMPRODUCT(固有振動数!$Q$6:$Q$22*(1-($A958/固有振動数!$O$6:$O$22)^2)/((1-($A958/固有振動数!$O$6:$O$22)^2)^2+固有振動数!$P$6:$P$22^2))</f>
        <v>-21.9899157387293</v>
      </c>
      <c r="C958" s="123" t="n">
        <f aca="false">-SUMPRODUCT(固有振動数!$Q$6:$Q$22*固有振動数!$P$6:$P$22/((1-($A958/固有振動数!$O$6:$O$22)^2)^2+固有振動数!$P$6:$P$22^2))</f>
        <v>-10.8227917612208</v>
      </c>
      <c r="D958" s="124" t="n">
        <f aca="false">SQRT(B958^2+C958^2)</f>
        <v>24.5089619466669</v>
      </c>
      <c r="E958" s="125" t="n">
        <f aca="false">20*LOG10(MAX(D958,0.000000000001)/$K$3)</f>
        <v>27.7864983503933</v>
      </c>
    </row>
    <row r="959" customFormat="false" ht="15" hidden="false" customHeight="false" outlineLevel="0" collapsed="false">
      <c r="A959" s="126" t="n">
        <f aca="false">A958+$F$3</f>
        <v>9530</v>
      </c>
      <c r="B959" s="127" t="n">
        <f aca="false">SUMPRODUCT(固有振動数!$Q$6:$Q$22*(1-($A959/固有振動数!$O$6:$O$22)^2)/((1-($A959/固有振動数!$O$6:$O$22)^2)^2+固有振動数!$P$6:$P$22^2))</f>
        <v>-21.124596969215</v>
      </c>
      <c r="C959" s="127" t="n">
        <f aca="false">-SUMPRODUCT(固有振動数!$Q$6:$Q$22*固有振動数!$P$6:$P$22/((1-($A959/固有振動数!$O$6:$O$22)^2)^2+固有振動数!$P$6:$P$22^2))</f>
        <v>-10.2713111402066</v>
      </c>
      <c r="D959" s="128" t="n">
        <f aca="false">SQRT(B959^2+C959^2)</f>
        <v>23.4893258662461</v>
      </c>
      <c r="E959" s="129" t="n">
        <f aca="false">20*LOG10(MAX(D959,0.000000000001)/$K$3)</f>
        <v>27.4174110577568</v>
      </c>
    </row>
    <row r="960" customFormat="false" ht="15" hidden="false" customHeight="false" outlineLevel="0" collapsed="false">
      <c r="A960" s="122" t="n">
        <f aca="false">A959+$F$3</f>
        <v>9540</v>
      </c>
      <c r="B960" s="123" t="n">
        <f aca="false">SUMPRODUCT(固有振動数!$Q$6:$Q$22*(1-($A960/固有振動数!$O$6:$O$22)^2)/((1-($A960/固有振動数!$O$6:$O$22)^2)^2+固有振動数!$P$6:$P$22^2))</f>
        <v>-20.2939809472295</v>
      </c>
      <c r="C960" s="123" t="n">
        <f aca="false">-SUMPRODUCT(固有振動数!$Q$6:$Q$22*固有振動数!$P$6:$P$22/((1-($A960/固有振動数!$O$6:$O$22)^2)^2+固有振動数!$P$6:$P$22^2))</f>
        <v>-9.76204930843756</v>
      </c>
      <c r="D960" s="124" t="n">
        <f aca="false">SQRT(B960^2+C960^2)</f>
        <v>22.5198416821007</v>
      </c>
      <c r="E960" s="125" t="n">
        <f aca="false">20*LOG10(MAX(D960,0.000000000001)/$K$3)</f>
        <v>27.0513066606805</v>
      </c>
    </row>
    <row r="961" customFormat="false" ht="15" hidden="false" customHeight="false" outlineLevel="0" collapsed="false">
      <c r="A961" s="126" t="n">
        <f aca="false">A960+$F$3</f>
        <v>9550</v>
      </c>
      <c r="B961" s="127" t="n">
        <f aca="false">SUMPRODUCT(固有振動数!$Q$6:$Q$22*(1-($A961/固有振動数!$O$6:$O$22)^2)/((1-($A961/固有振動数!$O$6:$O$22)^2)^2+固有振動数!$P$6:$P$22^2))</f>
        <v>-19.4963919171544</v>
      </c>
      <c r="C961" s="127" t="n">
        <f aca="false">-SUMPRODUCT(固有振動数!$Q$6:$Q$22*固有振動数!$P$6:$P$22/((1-($A961/固有振動数!$O$6:$O$22)^2)^2+固有振動数!$P$6:$P$22^2))</f>
        <v>-9.29092257564523</v>
      </c>
      <c r="D961" s="128" t="n">
        <f aca="false">SQRT(B961^2+C961^2)</f>
        <v>21.5970030350027</v>
      </c>
      <c r="E961" s="129" t="n">
        <f aca="false">20*LOG10(MAX(D961,0.000000000001)/$K$3)</f>
        <v>26.6878697862925</v>
      </c>
    </row>
    <row r="962" customFormat="false" ht="15" hidden="false" customHeight="false" outlineLevel="0" collapsed="false">
      <c r="A962" s="122" t="n">
        <f aca="false">A961+$F$3</f>
        <v>9560</v>
      </c>
      <c r="B962" s="123" t="n">
        <f aca="false">SUMPRODUCT(固有振動数!$Q$6:$Q$22*(1-($A962/固有振動数!$O$6:$O$22)^2)/((1-($A962/固有振動数!$O$6:$O$22)^2)^2+固有振動数!$P$6:$P$22^2))</f>
        <v>-18.7301980575678</v>
      </c>
      <c r="C962" s="123" t="n">
        <f aca="false">-SUMPRODUCT(固有振動数!$Q$6:$Q$22*固有振動数!$P$6:$P$22/((1-($A962/固有振動数!$O$6:$O$22)^2)^2+固有振動数!$P$6:$P$22^2))</f>
        <v>-8.85431492122511</v>
      </c>
      <c r="D962" s="124" t="n">
        <f aca="false">SQRT(B962^2+C962^2)</f>
        <v>20.7176063289161</v>
      </c>
      <c r="E962" s="125" t="n">
        <f aca="false">20*LOG10(MAX(D962,0.000000000001)/$K$3)</f>
        <v>26.3267915289975</v>
      </c>
    </row>
    <row r="963" customFormat="false" ht="15" hidden="false" customHeight="false" outlineLevel="0" collapsed="false">
      <c r="A963" s="126" t="n">
        <f aca="false">A962+$F$3</f>
        <v>9570</v>
      </c>
      <c r="B963" s="127" t="n">
        <f aca="false">SUMPRODUCT(固有振動数!$Q$6:$Q$22*(1-($A963/固有振動数!$O$6:$O$22)^2)/((1-($A963/固有振動数!$O$6:$O$22)^2)^2+固有振動数!$P$6:$P$22^2))</f>
        <v>-17.9938234576323</v>
      </c>
      <c r="C963" s="127" t="n">
        <f aca="false">-SUMPRODUCT(固有振動数!$Q$6:$Q$22*固有振動数!$P$6:$P$22/((1-($A963/固有振動数!$O$6:$O$22)^2)^2+固有振動数!$P$6:$P$22^2))</f>
        <v>-8.44901758778736</v>
      </c>
      <c r="D963" s="128" t="n">
        <f aca="false">SQRT(B963^2+C963^2)</f>
        <v>19.8787218105989</v>
      </c>
      <c r="E963" s="129" t="n">
        <f aca="false">20*LOG10(MAX(D963,0.000000000001)/$K$3)</f>
        <v>25.9677691218999</v>
      </c>
    </row>
    <row r="964" customFormat="false" ht="15" hidden="false" customHeight="false" outlineLevel="0" collapsed="false">
      <c r="A964" s="122" t="n">
        <f aca="false">A963+$F$3</f>
        <v>9580</v>
      </c>
      <c r="B964" s="123" t="n">
        <f aca="false">SUMPRODUCT(固有振動数!$Q$6:$Q$22*(1-($A964/固有振動数!$O$6:$O$22)^2)/((1-($A964/固有振動数!$O$6:$O$22)^2)^2+固有振動数!$P$6:$P$22^2))</f>
        <v>-17.2857557089048</v>
      </c>
      <c r="C964" s="123" t="n">
        <f aca="false">-SUMPRODUCT(固有振動数!$Q$6:$Q$22*固有振動数!$P$6:$P$22/((1-($A964/固有振動数!$O$6:$O$22)^2)^2+固有振動数!$P$6:$P$22^2))</f>
        <v>-8.072177130448</v>
      </c>
      <c r="D964" s="124" t="n">
        <f aca="false">SQRT(B964^2+C964^2)</f>
        <v>19.0776674164653</v>
      </c>
      <c r="E964" s="125" t="n">
        <f aca="false">20*LOG10(MAX(D964,0.000000000001)/$K$3)</f>
        <v>25.6105054680686</v>
      </c>
    </row>
    <row r="965" customFormat="false" ht="15" hidden="false" customHeight="false" outlineLevel="0" collapsed="false">
      <c r="A965" s="126" t="n">
        <f aca="false">A964+$F$3</f>
        <v>9590</v>
      </c>
      <c r="B965" s="127" t="n">
        <f aca="false">SUMPRODUCT(固有振動数!$Q$6:$Q$22*(1-($A965/固有振動数!$O$6:$O$22)^2)/((1-($A965/固有振動数!$O$6:$O$22)^2)^2+固有振動数!$P$6:$P$22^2))</f>
        <v>-16.6045502674084</v>
      </c>
      <c r="C965" s="127" t="n">
        <f aca="false">-SUMPRODUCT(固有振動数!$Q$6:$Q$22*固有振動数!$P$6:$P$22/((1-($A965/固有振動数!$O$6:$O$22)^2)^2+固有振動数!$P$6:$P$22^2))</f>
        <v>-7.72125069221158</v>
      </c>
      <c r="D965" s="128" t="n">
        <f aca="false">SQRT(B965^2+C965^2)</f>
        <v>18.3119851964463</v>
      </c>
      <c r="E965" s="129" t="n">
        <f aca="false">20*LOG10(MAX(D965,0.000000000001)/$K$3)</f>
        <v>25.2547085715907</v>
      </c>
    </row>
    <row r="966" customFormat="false" ht="15" hidden="false" customHeight="false" outlineLevel="0" collapsed="false">
      <c r="A966" s="122" t="n">
        <f aca="false">A965+$F$3</f>
        <v>9600</v>
      </c>
      <c r="B966" s="123" t="n">
        <f aca="false">SUMPRODUCT(固有振動数!$Q$6:$Q$22*(1-($A966/固有振動数!$O$6:$O$22)^2)/((1-($A966/固有振動数!$O$6:$O$22)^2)^2+固有振動数!$P$6:$P$22^2))</f>
        <v>-15.9488324550541</v>
      </c>
      <c r="C966" s="123" t="n">
        <f aca="false">-SUMPRODUCT(固有振動数!$Q$6:$Q$22*固有振動数!$P$6:$P$22/((1-($A966/固有振動数!$O$6:$O$22)^2)^2+固有振動数!$P$6:$P$22^2))</f>
        <v>-7.39396745018158</v>
      </c>
      <c r="D966" s="124" t="n">
        <f aca="false">SQRT(B966^2+C966^2)</f>
        <v>17.579420108005</v>
      </c>
      <c r="E966" s="125" t="n">
        <f aca="false">20*LOG10(MAX(D966,0.000000000001)/$K$3)</f>
        <v>24.9000908982053</v>
      </c>
    </row>
    <row r="967" customFormat="false" ht="15" hidden="false" customHeight="false" outlineLevel="0" collapsed="false">
      <c r="A967" s="126" t="n">
        <f aca="false">A966+$F$3</f>
        <v>9610</v>
      </c>
      <c r="B967" s="127" t="n">
        <f aca="false">SUMPRODUCT(固有振動数!$Q$6:$Q$22*(1-($A967/固有振動数!$O$6:$O$22)^2)/((1-($A967/固有振動数!$O$6:$O$22)^2)^2+固有振動数!$P$6:$P$22^2))</f>
        <v>-15.3172977540109</v>
      </c>
      <c r="C967" s="127" t="n">
        <f aca="false">-SUMPRODUCT(固有振動数!$Q$6:$Q$22*固有振動数!$P$6:$P$22/((1-($A967/固有振動数!$O$6:$O$22)^2)^2+固有振動数!$P$6:$P$22^2))</f>
        <v>-7.08829533108403</v>
      </c>
      <c r="D967" s="128" t="n">
        <f aca="false">SQRT(B967^2+C967^2)</f>
        <v>16.8779009709648</v>
      </c>
      <c r="E967" s="129" t="n">
        <f aca="false">20*LOG10(MAX(D967,0.000000000001)/$K$3)</f>
        <v>24.5463686877233</v>
      </c>
    </row>
    <row r="968" customFormat="false" ht="15" hidden="false" customHeight="false" outlineLevel="0" collapsed="false">
      <c r="A968" s="122" t="n">
        <f aca="false">A967+$F$3</f>
        <v>9620</v>
      </c>
      <c r="B968" s="123" t="n">
        <f aca="false">SUMPRODUCT(固有振動数!$Q$6:$Q$22*(1-($A968/固有振動数!$O$6:$O$22)^2)/((1-($A968/固有振動数!$O$6:$O$22)^2)^2+固有振動数!$P$6:$P$22^2))</f>
        <v>-14.7087108849578</v>
      </c>
      <c r="C968" s="123" t="n">
        <f aca="false">-SUMPRODUCT(固有振動数!$Q$6:$Q$22*固有振動数!$P$6:$P$22/((1-($A968/固有振動数!$O$6:$O$22)^2)^2+固有振動数!$P$6:$P$22^2))</f>
        <v>-6.80241222821773</v>
      </c>
      <c r="D968" s="124" t="n">
        <f aca="false">SQRT(B968^2+C968^2)</f>
        <v>16.2055233800048</v>
      </c>
      <c r="E968" s="125" t="n">
        <f aca="false">20*LOG10(MAX(D968,0.000000000001)/$K$3)</f>
        <v>24.1932612348283</v>
      </c>
    </row>
    <row r="969" customFormat="false" ht="15" hidden="false" customHeight="false" outlineLevel="0" collapsed="false">
      <c r="A969" s="126" t="n">
        <f aca="false">A968+$F$3</f>
        <v>9630</v>
      </c>
      <c r="B969" s="127" t="n">
        <f aca="false">SUMPRODUCT(固有振動数!$Q$6:$Q$22*(1-($A969/固有振動数!$O$6:$O$22)^2)/((1-($A969/固有振動数!$O$6:$O$22)^2)^2+固有振動数!$P$6:$P$22^2))</f>
        <v>-14.1219040372684</v>
      </c>
      <c r="C969" s="127" t="n">
        <f aca="false">-SUMPRODUCT(固有振動数!$Q$6:$Q$22*固有振動数!$P$6:$P$22/((1-($A969/固有振動数!$O$6:$O$22)^2)^2+固有振動数!$P$6:$P$22^2))</f>
        <v>-6.53468106694967</v>
      </c>
      <c r="D969" s="128" t="n">
        <f aca="false">SQRT(B969^2+C969^2)</f>
        <v>15.5605343830014</v>
      </c>
      <c r="E969" s="129" t="n">
        <f aca="false">20*LOG10(MAX(D969,0.000000000001)/$K$3)</f>
        <v>23.8404901507644</v>
      </c>
    </row>
    <row r="970" customFormat="false" ht="15" hidden="false" customHeight="false" outlineLevel="0" collapsed="false">
      <c r="A970" s="122" t="n">
        <f aca="false">A969+$F$3</f>
        <v>9640</v>
      </c>
      <c r="B970" s="123" t="n">
        <f aca="false">SUMPRODUCT(固有振動数!$Q$6:$Q$22*(1-($A970/固有振動数!$O$6:$O$22)^2)/((1-($A970/固有振動数!$O$6:$O$22)^2)^2+固有振動数!$P$6:$P$22^2))</f>
        <v>-13.5557745262602</v>
      </c>
      <c r="C970" s="123" t="n">
        <f aca="false">-SUMPRODUCT(固有振動数!$Q$6:$Q$22*固有振動数!$P$6:$P$22/((1-($A970/固有振動数!$O$6:$O$22)^2)^2+固有振動数!$P$6:$P$22^2))</f>
        <v>-6.28362816417791</v>
      </c>
      <c r="D970" s="124" t="n">
        <f aca="false">SQRT(B970^2+C970^2)</f>
        <v>14.9413187474351</v>
      </c>
      <c r="E970" s="125" t="n">
        <f aca="false">20*LOG10(MAX(D970,0.000000000001)/$K$3)</f>
        <v>23.4877786155293</v>
      </c>
    </row>
    <row r="971" customFormat="false" ht="15" hidden="false" customHeight="false" outlineLevel="0" collapsed="false">
      <c r="A971" s="126" t="n">
        <f aca="false">A970+$F$3</f>
        <v>9650</v>
      </c>
      <c r="B971" s="127" t="n">
        <f aca="false">SUMPRODUCT(固有振動数!$Q$6:$Q$22*(1-($A971/固有振動数!$O$6:$O$22)^2)/((1-($A971/固有振動数!$O$6:$O$22)^2)^2+固有振動数!$P$6:$P$22^2))</f>
        <v>-13.0092820823599</v>
      </c>
      <c r="C971" s="127" t="n">
        <f aca="false">-SUMPRODUCT(固有振動数!$Q$6:$Q$22*固有振動数!$P$6:$P$22/((1-($A971/固有振動数!$O$6:$O$22)^2)^2+固有振動数!$P$6:$P$22^2))</f>
        <v>-6.04792441082182</v>
      </c>
      <c r="D971" s="128" t="n">
        <f aca="false">SQRT(B971^2+C971^2)</f>
        <v>14.3463866523046</v>
      </c>
      <c r="E971" s="129" t="n">
        <f aca="false">20*LOG10(MAX(D971,0.000000000001)/$K$3)</f>
        <v>23.1348506282728</v>
      </c>
    </row>
    <row r="972" customFormat="false" ht="15" hidden="false" customHeight="false" outlineLevel="0" collapsed="false">
      <c r="A972" s="122" t="n">
        <f aca="false">A971+$F$3</f>
        <v>9660</v>
      </c>
      <c r="B972" s="123" t="n">
        <f aca="false">SUMPRODUCT(固有振動数!$Q$6:$Q$22*(1-($A972/固有振動数!$O$6:$O$22)^2)/((1-($A972/固有振動数!$O$6:$O$22)^2)^2+固有振動数!$P$6:$P$22^2))</f>
        <v>-12.4814459238496</v>
      </c>
      <c r="C972" s="123" t="n">
        <f aca="false">-SUMPRODUCT(固有振動数!$Q$6:$Q$22*固有振動数!$P$6:$P$22/((1-($A972/固有振動数!$O$6:$O$22)^2)^2+固有振動数!$P$6:$P$22^2))</f>
        <v>-5.82636887733245</v>
      </c>
      <c r="D972" s="124" t="n">
        <f aca="false">SQRT(B972^2+C972^2)</f>
        <v>13.7743626583857</v>
      </c>
      <c r="E972" s="125" t="n">
        <f aca="false">20*LOG10(MAX(D972,0.000000000001)/$K$3)</f>
        <v>22.7814302624913</v>
      </c>
    </row>
    <row r="973" customFormat="false" ht="15" hidden="false" customHeight="false" outlineLevel="0" collapsed="false">
      <c r="A973" s="126" t="n">
        <f aca="false">A972+$F$3</f>
        <v>9670</v>
      </c>
      <c r="B973" s="127" t="n">
        <f aca="false">SUMPRODUCT(固有振動数!$Q$6:$Q$22*(1-($A973/固有振動数!$O$6:$O$22)^2)/((1-($A973/固有振動数!$O$6:$O$22)^2)^2+固有振動数!$P$6:$P$22^2))</f>
        <v>-11.9713417246302</v>
      </c>
      <c r="C973" s="127" t="n">
        <f aca="false">-SUMPRODUCT(固有振動数!$Q$6:$Q$22*固有振動数!$P$6:$P$22/((1-($A973/固有振動数!$O$6:$O$22)^2)^2+固有振動数!$P$6:$P$22^2))</f>
        <v>-5.6178745022588</v>
      </c>
      <c r="D973" s="128" t="n">
        <f aca="false">SQRT(B973^2+C973^2)</f>
        <v>13.2239758246528</v>
      </c>
      <c r="E973" s="129" t="n">
        <f aca="false">20*LOG10(MAX(D973,0.000000000001)/$K$3)</f>
        <v>22.4272409322154</v>
      </c>
    </row>
    <row r="974" customFormat="false" ht="15" hidden="false" customHeight="false" outlineLevel="0" collapsed="false">
      <c r="A974" s="122" t="n">
        <f aca="false">A973+$F$3</f>
        <v>9680</v>
      </c>
      <c r="B974" s="123" t="n">
        <f aca="false">SUMPRODUCT(固有振動数!$Q$6:$Q$22*(1-($A974/固有振動数!$O$6:$O$22)^2)/((1-($A974/固有振動数!$O$6:$O$22)^2)^2+固有振動数!$P$6:$P$22^2))</f>
        <v>-11.4780985580149</v>
      </c>
      <c r="C974" s="123" t="n">
        <f aca="false">-SUMPRODUCT(固有振動数!$Q$6:$Q$22*固有振動数!$P$6:$P$22/((1-($A974/固有振動数!$O$6:$O$22)^2)^2+固有振動数!$P$6:$P$22^2))</f>
        <v>-5.42145557466959</v>
      </c>
      <c r="D974" s="124" t="n">
        <f aca="false">SQRT(B974^2+C974^2)</f>
        <v>12.6940508528846</v>
      </c>
      <c r="E974" s="125" t="n">
        <f aca="false">20*LOG10(MAX(D974,0.000000000001)/$K$3)</f>
        <v>22.072004675656</v>
      </c>
    </row>
    <row r="975" customFormat="false" ht="15" hidden="false" customHeight="false" outlineLevel="0" collapsed="false">
      <c r="A975" s="126" t="n">
        <f aca="false">A974+$F$3</f>
        <v>9690</v>
      </c>
      <c r="B975" s="127" t="n">
        <f aca="false">SUMPRODUCT(固有振動数!$Q$6:$Q$22*(1-($A975/固有振動数!$O$6:$O$22)^2)/((1-($A975/固有振動数!$O$6:$O$22)^2)^2+固有振動数!$P$6:$P$22^2))</f>
        <v>-11.0008958745999</v>
      </c>
      <c r="C975" s="127" t="n">
        <f aca="false">-SUMPRODUCT(固有振動数!$Q$6:$Q$22*固有振動数!$P$6:$P$22/((1-($A975/固有振動数!$O$6:$O$22)^2)^2+固有振動数!$P$6:$P$22^2))</f>
        <v>-5.2362167641318</v>
      </c>
      <c r="D975" s="128" t="n">
        <f aca="false">SQRT(B975^2+C975^2)</f>
        <v>12.1835001557337</v>
      </c>
      <c r="E975" s="129" t="n">
        <f aca="false">20*LOG10(MAX(D975,0.000000000001)/$K$3)</f>
        <v>21.7154414637173</v>
      </c>
    </row>
    <row r="976" customFormat="false" ht="15" hidden="false" customHeight="false" outlineLevel="0" collapsed="false">
      <c r="A976" s="122" t="n">
        <f aca="false">A975+$F$3</f>
        <v>9700</v>
      </c>
      <c r="B976" s="123" t="n">
        <f aca="false">SUMPRODUCT(固有振動数!$Q$6:$Q$22*(1-($A976/固有振動数!$O$6:$O$22)^2)/((1-($A976/固有振動数!$O$6:$O$22)^2)^2+固有振動数!$P$6:$P$22^2))</f>
        <v>-10.5389605549517</v>
      </c>
      <c r="C976" s="123" t="n">
        <f aca="false">-SUMPRODUCT(固有振動数!$Q$6:$Q$22*固有振動数!$P$6:$P$22/((1-($A976/固有振動数!$O$6:$O$22)^2)^2+固有振動数!$P$6:$P$22^2))</f>
        <v>-5.06134348820472</v>
      </c>
      <c r="D976" s="124" t="n">
        <f aca="false">SQRT(B976^2+C976^2)</f>
        <v>11.6913167557987</v>
      </c>
      <c r="E976" s="125" t="n">
        <f aca="false">20*LOG10(MAX(D976,0.000000000001)/$K$3)</f>
        <v>21.3572685424375</v>
      </c>
    </row>
    <row r="977" customFormat="false" ht="15" hidden="false" customHeight="false" outlineLevel="0" collapsed="false">
      <c r="A977" s="126" t="n">
        <f aca="false">A976+$F$3</f>
        <v>9710</v>
      </c>
      <c r="B977" s="127" t="n">
        <f aca="false">SUMPRODUCT(固有振動数!$Q$6:$Q$22*(1-($A977/固有振動数!$O$6:$O$22)^2)/((1-($A977/固有振動数!$O$6:$O$22)^2)^2+固有振動数!$P$6:$P$22^2))</f>
        <v>-10.0915640648421</v>
      </c>
      <c r="C977" s="127" t="n">
        <f aca="false">-SUMPRODUCT(固有振動数!$Q$6:$Q$22*固有振動数!$P$6:$P$22/((1-($A977/固有振動数!$O$6:$O$22)^2)^2+固有振動数!$P$6:$P$22^2))</f>
        <v>-4.89609343806411</v>
      </c>
      <c r="D977" s="128" t="n">
        <f aca="false">SQRT(B977^2+C977^2)</f>
        <v>11.2165679344917</v>
      </c>
      <c r="E977" s="129" t="n">
        <f aca="false">20*LOG10(MAX(D977,0.000000000001)/$K$3)</f>
        <v>20.9971998208884</v>
      </c>
    </row>
    <row r="978" customFormat="false" ht="15" hidden="false" customHeight="false" outlineLevel="0" collapsed="false">
      <c r="A978" s="122" t="n">
        <f aca="false">A977+$F$3</f>
        <v>9720</v>
      </c>
      <c r="B978" s="123" t="n">
        <f aca="false">SUMPRODUCT(固有振動数!$Q$6:$Q$22*(1-($A978/固有振動数!$O$6:$O$22)^2)/((1-($A978/固有振動数!$O$6:$O$22)^2)^2+固有振動数!$P$6:$P$22^2))</f>
        <v>-9.65801973103585</v>
      </c>
      <c r="C978" s="123" t="n">
        <f aca="false">-SUMPRODUCT(固有振動数!$Q$6:$Q$22*固有振動数!$P$6:$P$22/((1-($A978/固有振動数!$O$6:$O$22)^2)^2+固有振動数!$P$6:$P$22^2))</f>
        <v>-4.7397891088122</v>
      </c>
      <c r="D978" s="124" t="n">
        <f aca="false">SQRT(B978^2+C978^2)</f>
        <v>10.7583895598316</v>
      </c>
      <c r="E978" s="125" t="n">
        <f aca="false">20*LOG10(MAX(D978,0.000000000001)/$K$3)</f>
        <v>20.6349453195005</v>
      </c>
    </row>
    <row r="979" customFormat="false" ht="15" hidden="false" customHeight="false" outlineLevel="0" collapsed="false">
      <c r="A979" s="126" t="n">
        <f aca="false">A978+$F$3</f>
        <v>9730</v>
      </c>
      <c r="B979" s="127" t="n">
        <f aca="false">SUMPRODUCT(固有振動数!$Q$6:$Q$22*(1-($A979/固有振動数!$O$6:$O$22)^2)/((1-($A979/固有振動数!$O$6:$O$22)^2)^2+固有振動数!$P$6:$P$22^2))</f>
        <v>-9.23768014839336</v>
      </c>
      <c r="C979" s="127" t="n">
        <f aca="false">-SUMPRODUCT(固有振動数!$Q$6:$Q$22*固有振動数!$P$6:$P$22/((1-($A979/固有振動数!$O$6:$O$22)^2)^2+固有振動数!$P$6:$P$22^2))</f>
        <v>-4.59181120299954</v>
      </c>
      <c r="D979" s="128" t="n">
        <f aca="false">SQRT(B979^2+C979^2)</f>
        <v>10.3159810317785</v>
      </c>
      <c r="E979" s="129" t="n">
        <f aca="false">20*LOG10(MAX(D979,0.000000000001)/$K$3)</f>
        <v>20.2702106983961</v>
      </c>
    </row>
    <row r="980" customFormat="false" ht="15" hidden="false" customHeight="false" outlineLevel="0" collapsed="false">
      <c r="A980" s="122" t="n">
        <f aca="false">A979+$F$3</f>
        <v>9740</v>
      </c>
      <c r="B980" s="123" t="n">
        <f aca="false">SUMPRODUCT(固有振動数!$Q$6:$Q$22*(1-($A980/固有振動数!$O$6:$O$22)^2)/((1-($A980/固有振動数!$O$6:$O$22)^2)^2+固有振動数!$P$6:$P$22^2))</f>
        <v>-8.82993472370805</v>
      </c>
      <c r="C980" s="123" t="n">
        <f aca="false">-SUMPRODUCT(固有振動数!$Q$6:$Q$22*固有振動数!$P$6:$P$22/((1-($A980/固有振動数!$O$6:$O$22)^2)^2+固有振動数!$P$6:$P$22^2))</f>
        <v>-4.45159279451714</v>
      </c>
      <c r="D980" s="124" t="n">
        <f aca="false">SQRT(B980^2+C980^2)</f>
        <v>9.88860079248536</v>
      </c>
      <c r="E980" s="125" t="n">
        <f aca="false">20*LOG10(MAX(D980,0.000000000001)/$K$3)</f>
        <v>19.9026968914133</v>
      </c>
    </row>
    <row r="981" customFormat="false" ht="15" hidden="false" customHeight="false" outlineLevel="0" collapsed="false">
      <c r="A981" s="126" t="n">
        <f aca="false">A980+$F$3</f>
        <v>9750</v>
      </c>
      <c r="B981" s="127" t="n">
        <f aca="false">SUMPRODUCT(固有振動数!$Q$6:$Q$22*(1-($A981/固有振動数!$O$6:$O$22)^2)/((1-($A981/固有振動数!$O$6:$O$22)^2)^2+固有振動数!$P$6:$P$22^2))</f>
        <v>-8.43420735779415</v>
      </c>
      <c r="C981" s="127" t="n">
        <f aca="false">-SUMPRODUCT(固有振動数!$Q$6:$Q$22*固有振動数!$P$6:$P$22/((1-($A981/固有振動数!$O$6:$O$22)^2)^2+固有振動数!$P$6:$P$22^2))</f>
        <v>-4.31861415583868</v>
      </c>
      <c r="D981" s="128" t="n">
        <f aca="false">SQRT(B981^2+C981^2)</f>
        <v>9.47556235699387</v>
      </c>
      <c r="E981" s="129" t="n">
        <f aca="false">20*LOG10(MAX(D981,0.000000000001)/$K$3)</f>
        <v>19.5320998794869</v>
      </c>
    </row>
    <row r="982" customFormat="false" ht="15" hidden="false" customHeight="false" outlineLevel="0" collapsed="false">
      <c r="A982" s="122" t="n">
        <f aca="false">A981+$F$3</f>
        <v>9760</v>
      </c>
      <c r="B982" s="123" t="n">
        <f aca="false">SUMPRODUCT(固有振動数!$Q$6:$Q$22*(1-($A982/固有振動数!$O$6:$O$22)^2)/((1-($A982/固有振動数!$O$6:$O$22)^2)^2+固有振動数!$P$6:$P$22^2))</f>
        <v>-8.04995426452694</v>
      </c>
      <c r="C982" s="123" t="n">
        <f aca="false">-SUMPRODUCT(固有振動数!$Q$6:$Q$22*固有振動数!$P$6:$P$22/((1-($A982/固有振動数!$O$6:$O$22)^2)^2+固有振動数!$P$6:$P$22^2))</f>
        <v>-4.19239816504594</v>
      </c>
      <c r="D982" s="124" t="n">
        <f aca="false">SQRT(B982^2+C982^2)</f>
        <v>9.07623082756582</v>
      </c>
      <c r="E982" s="125" t="n">
        <f aca="false">20*LOG10(MAX(D982,0.000000000001)/$K$3)</f>
        <v>19.1581106474385</v>
      </c>
    </row>
    <row r="983" customFormat="false" ht="15" hidden="false" customHeight="false" outlineLevel="0" collapsed="false">
      <c r="A983" s="126" t="n">
        <f aca="false">A982+$F$3</f>
        <v>9770</v>
      </c>
      <c r="B983" s="127" t="n">
        <f aca="false">SUMPRODUCT(固有振動数!$Q$6:$Q$22*(1-($A983/固有振動数!$O$6:$O$22)^2)/((1-($A983/固有振動数!$O$6:$O$22)^2)^2+固有振動数!$P$6:$P$22^2))</f>
        <v>-7.67666192355721</v>
      </c>
      <c r="C983" s="127" t="n">
        <f aca="false">-SUMPRODUCT(固有振動数!$Q$6:$Q$22*固有振動数!$P$6:$P$22/((1-($A983/固有振動数!$O$6:$O$22)^2)^2+固有振動数!$P$6:$P$22^2))</f>
        <v>-4.07250622053045</v>
      </c>
      <c r="D983" s="128" t="n">
        <f aca="false">SQRT(B983^2+C983^2)</f>
        <v>8.69001986216673</v>
      </c>
      <c r="E983" s="129" t="n">
        <f aca="false">20*LOG10(MAX(D983,0.000000000001)/$K$3)</f>
        <v>18.7804153817226</v>
      </c>
    </row>
    <row r="984" customFormat="false" ht="15" hidden="false" customHeight="false" outlineLevel="0" collapsed="false">
      <c r="A984" s="122" t="n">
        <f aca="false">A983+$F$3</f>
        <v>9780</v>
      </c>
      <c r="B984" s="123" t="n">
        <f aca="false">SUMPRODUCT(固有振動数!$Q$6:$Q$22*(1-($A984/固有振動数!$O$6:$O$22)^2)/((1-($A984/固有振動数!$O$6:$O$22)^2)^2+固有振動数!$P$6:$P$22^2))</f>
        <v>-7.31384516205862</v>
      </c>
      <c r="C984" s="123" t="n">
        <f aca="false">-SUMPRODUCT(固有振動数!$Q$6:$Q$22*固有振動数!$P$6:$P$22/((1-($A984/固有振動数!$O$6:$O$22)^2)^2+固有振動数!$P$6:$P$22^2))</f>
        <v>-3.95853460103815</v>
      </c>
      <c r="D984" s="124" t="n">
        <f aca="false">SQRT(B984^2+C984^2)</f>
        <v>8.31638907472375</v>
      </c>
      <c r="E984" s="125" t="n">
        <f aca="false">20*LOG10(MAX(D984,0.000000000001)/$K$3)</f>
        <v>18.3986959841672</v>
      </c>
    </row>
    <row r="985" customFormat="false" ht="15" hidden="false" customHeight="false" outlineLevel="0" collapsed="false">
      <c r="A985" s="126" t="n">
        <f aca="false">A984+$F$3</f>
        <v>9790</v>
      </c>
      <c r="B985" s="127" t="n">
        <f aca="false">SUMPRODUCT(固有振動数!$Q$6:$Q$22*(1-($A985/固有振動数!$O$6:$O$22)^2)/((1-($A985/固有振動数!$O$6:$O$22)^2)^2+固有振動数!$P$6:$P$22^2))</f>
        <v>-6.96104535998054</v>
      </c>
      <c r="C985" s="127" t="n">
        <f aca="false">-SUMPRODUCT(固有振動数!$Q$6:$Q$22*固有振動数!$P$6:$P$22/((1-($A985/固有振動数!$O$6:$O$22)^2)^2+固有振動数!$P$6:$P$22^2))</f>
        <v>-3.85011121707745</v>
      </c>
      <c r="D985" s="128" t="n">
        <f aca="false">SQRT(B985^2+C985^2)</f>
        <v>7.95484185182661</v>
      </c>
      <c r="E985" s="129" t="n">
        <f aca="false">20*LOG10(MAX(D985,0.000000000001)/$K$3)</f>
        <v>18.0126309994213</v>
      </c>
    </row>
    <row r="986" customFormat="false" ht="15" hidden="false" customHeight="false" outlineLevel="0" collapsed="false">
      <c r="A986" s="122" t="n">
        <f aca="false">A985+$F$3</f>
        <v>9800</v>
      </c>
      <c r="B986" s="123" t="n">
        <f aca="false">SUMPRODUCT(固有振動数!$Q$6:$Q$22*(1-($A986/固有振動数!$O$6:$O$22)^2)/((1-($A986/固有振動数!$O$6:$O$22)^2)^2+固有振動数!$P$6:$P$22^2))</f>
        <v>-6.61782877273744</v>
      </c>
      <c r="C986" s="123" t="n">
        <f aca="false">-SUMPRODUCT(固有振動数!$Q$6:$Q$22*固有振動数!$P$6:$P$22/((1-($A986/固有振動数!$O$6:$O$22)^2)^2+固有振動数!$P$6:$P$22^2))</f>
        <v>-3.74689270685968</v>
      </c>
      <c r="D986" s="124" t="n">
        <f aca="false">SQRT(B986^2+C986^2)</f>
        <v>7.6049235776561</v>
      </c>
      <c r="E986" s="125" t="n">
        <f aca="false">20*LOG10(MAX(D986,0.000000000001)/$K$3)</f>
        <v>17.6218970831807</v>
      </c>
    </row>
    <row r="987" customFormat="false" ht="15" hidden="false" customHeight="false" outlineLevel="0" collapsed="false">
      <c r="A987" s="126" t="n">
        <f aca="false">A986+$F$3</f>
        <v>9810</v>
      </c>
      <c r="B987" s="127" t="n">
        <f aca="false">SUMPRODUCT(固有振動数!$Q$6:$Q$22*(1-($A987/固有振動数!$O$6:$O$22)^2)/((1-($A987/固有振動数!$O$6:$O$22)^2)^2+固有振動数!$P$6:$P$22^2))</f>
        <v>-6.2837849649885</v>
      </c>
      <c r="C987" s="127" t="n">
        <f aca="false">-SUMPRODUCT(固有振動数!$Q$6:$Q$22*固有振動数!$P$6:$P$22/((1-($A987/固有振動数!$O$6:$O$22)^2)^2+固有振動数!$P$6:$P$22^2))</f>
        <v>-3.6485618360708</v>
      </c>
      <c r="D987" s="128" t="n">
        <f aca="false">SQRT(B987^2+C987^2)</f>
        <v>7.26622026626277</v>
      </c>
      <c r="E987" s="129" t="n">
        <f aca="false">20*LOG10(MAX(D987,0.000000000001)/$K$3)</f>
        <v>17.2261711762662</v>
      </c>
    </row>
    <row r="988" customFormat="false" ht="15" hidden="false" customHeight="false" outlineLevel="0" collapsed="false">
      <c r="A988" s="122" t="n">
        <f aca="false">A987+$F$3</f>
        <v>9820</v>
      </c>
      <c r="B988" s="123" t="n">
        <f aca="false">SUMPRODUCT(固有振動数!$Q$6:$Q$22*(1-($A988/固有振動数!$O$6:$O$22)^2)/((1-($A988/固有振動数!$O$6:$O$22)^2)^2+固有振動数!$P$6:$P$22^2))</f>
        <v>-5.95852534907298</v>
      </c>
      <c r="C988" s="123" t="n">
        <f aca="false">-SUMPRODUCT(固有振動数!$Q$6:$Q$22*固有振動数!$P$6:$P$22/((1-($A988/固有振動数!$O$6:$O$22)^2)^2+固有振動数!$P$6:$P$22^2))</f>
        <v>-3.55482516603815</v>
      </c>
      <c r="D988" s="124" t="n">
        <f aca="false">SQRT(B988^2+C988^2)</f>
        <v>6.93835760801095</v>
      </c>
      <c r="E988" s="125" t="n">
        <f aca="false">20*LOG10(MAX(D988,0.000000000001)/$K$3)</f>
        <v>16.8251335987442</v>
      </c>
    </row>
    <row r="989" customFormat="false" ht="15" hidden="false" customHeight="false" outlineLevel="0" collapsed="false">
      <c r="A989" s="126" t="n">
        <f aca="false">A988+$F$3</f>
        <v>9830</v>
      </c>
      <c r="B989" s="127" t="n">
        <f aca="false">SUMPRODUCT(固有振動数!$Q$6:$Q$22*(1-($A989/固有振動数!$O$6:$O$22)^2)/((1-($A989/固有振動数!$O$6:$O$22)^2)^2+固有振動数!$P$6:$P$22^2))</f>
        <v>-5.64168182171634</v>
      </c>
      <c r="C989" s="127" t="n">
        <f aca="false">-SUMPRODUCT(固有振動数!$Q$6:$Q$22*固有振動数!$P$6:$P$22/((1-($A989/固有振動数!$O$6:$O$22)^2)^2+固有振動数!$P$6:$P$22^2))</f>
        <v>-3.46541095938536</v>
      </c>
      <c r="D989" s="128" t="n">
        <f aca="false">SQRT(B989^2+C989^2)</f>
        <v>6.62100044516784</v>
      </c>
      <c r="E989" s="129" t="n">
        <f aca="false">20*LOG10(MAX(D989,0.000000000001)/$K$3)</f>
        <v>16.4184723416286</v>
      </c>
    </row>
    <row r="990" customFormat="false" ht="15" hidden="false" customHeight="false" outlineLevel="0" collapsed="false">
      <c r="A990" s="122" t="n">
        <f aca="false">A989+$F$3</f>
        <v>9840</v>
      </c>
      <c r="B990" s="123" t="n">
        <f aca="false">SUMPRODUCT(固有振動数!$Q$6:$Q$22*(1-($A990/固有振動数!$O$6:$O$22)^2)/((1-($A990/固有振動数!$O$6:$O$22)^2)^2+固有振動数!$P$6:$P$22^2))</f>
        <v>-5.33290549277063</v>
      </c>
      <c r="C990" s="123" t="n">
        <f aca="false">-SUMPRODUCT(固有振動数!$Q$6:$Q$22*固有振動数!$P$6:$P$22/((1-($A990/固有振動数!$O$6:$O$22)^2)^2+固有振動数!$P$6:$P$22^2))</f>
        <v>-3.38006729617281</v>
      </c>
      <c r="D990" s="124" t="n">
        <f aca="false">SQRT(B990^2+C990^2)</f>
        <v>6.31385270033124</v>
      </c>
      <c r="E990" s="125" t="n">
        <f aca="false">20*LOG10(MAX(D990,0.000000000001)/$K$3)</f>
        <v>16.0058889151419</v>
      </c>
    </row>
    <row r="991" customFormat="false" ht="15" hidden="false" customHeight="false" outlineLevel="0" collapsed="false">
      <c r="A991" s="126" t="n">
        <f aca="false">A990+$F$3</f>
        <v>9850</v>
      </c>
      <c r="B991" s="127" t="n">
        <f aca="false">SUMPRODUCT(固有振動数!$Q$6:$Q$22*(1-($A991/固有振動数!$O$6:$O$22)^2)/((1-($A991/固有振動数!$O$6:$O$22)^2)^2+固有振動数!$P$6:$P$22^2))</f>
        <v>-5.03186549996731</v>
      </c>
      <c r="C991" s="127" t="n">
        <f aca="false">-SUMPRODUCT(固有振動数!$Q$6:$Q$22*固有振動数!$P$6:$P$22/((1-($A991/固有振動数!$O$6:$O$22)^2)^2+固有振動数!$P$6:$P$22^2))</f>
        <v>-3.29856037689125</v>
      </c>
      <c r="D991" s="128" t="n">
        <f aca="false">SQRT(B991^2+C991^2)</f>
        <v>6.01665779064741</v>
      </c>
      <c r="E991" s="129" t="n">
        <f aca="false">20*LOG10(MAX(D991,0.000000000001)/$K$3)</f>
        <v>15.5871062166707</v>
      </c>
    </row>
    <row r="992" customFormat="false" ht="15" hidden="false" customHeight="false" outlineLevel="0" collapsed="false">
      <c r="A992" s="122" t="n">
        <f aca="false">A991+$F$3</f>
        <v>9860</v>
      </c>
      <c r="B992" s="123" t="n">
        <f aca="false">SUMPRODUCT(固有振動数!$Q$6:$Q$22*(1-($A992/固有振動数!$O$6:$O$22)^2)/((1-($A992/固有振動数!$O$6:$O$22)^2)^2+固有振動数!$P$6:$P$22^2))</f>
        <v>-4.73824790392063</v>
      </c>
      <c r="C992" s="123" t="n">
        <f aca="false">-SUMPRODUCT(固有振動数!$Q$6:$Q$22*固有振動数!$P$6:$P$22/((1-($A992/固有振動数!$O$6:$O$22)^2)^2+固有振動数!$P$6:$P$22^2))</f>
        <v>-3.22067299159169</v>
      </c>
      <c r="D992" s="124" t="n">
        <f aca="false">SQRT(B992^2+C992^2)</f>
        <v>5.72919957042661</v>
      </c>
      <c r="E992" s="125" t="n">
        <f aca="false">20*LOG10(MAX(D992,0.000000000001)/$K$3)</f>
        <v>15.1618790137667</v>
      </c>
    </row>
    <row r="993" customFormat="false" ht="15" hidden="false" customHeight="false" outlineLevel="0" collapsed="false">
      <c r="A993" s="126" t="n">
        <f aca="false">A992+$F$3</f>
        <v>9870</v>
      </c>
      <c r="B993" s="127" t="n">
        <f aca="false">SUMPRODUCT(固有振動数!$Q$6:$Q$22*(1-($A993/固有振動数!$O$6:$O$22)^2)/((1-($A993/固有振動数!$O$6:$O$22)^2)^2+固有振動数!$P$6:$P$22^2))</f>
        <v>-4.45175465790638</v>
      </c>
      <c r="C993" s="127" t="n">
        <f aca="false">-SUMPRODUCT(固有振動数!$Q$6:$Q$22*固有振動数!$P$6:$P$22/((1-($A993/固有振動数!$O$6:$O$22)^2)^2+固有振動数!$P$6:$P$22^2))</f>
        <v>-3.14620313695954</v>
      </c>
      <c r="D993" s="128" t="n">
        <f aca="false">SQRT(B993^2+C993^2)</f>
        <v>5.45130385441917</v>
      </c>
      <c r="E993" s="129" t="n">
        <f aca="false">20*LOG10(MAX(D993,0.000000000001)/$K$3)</f>
        <v>14.7300078035321</v>
      </c>
    </row>
    <row r="994" customFormat="false" ht="15" hidden="false" customHeight="false" outlineLevel="0" collapsed="false">
      <c r="A994" s="122" t="n">
        <f aca="false">A993+$F$3</f>
        <v>9880</v>
      </c>
      <c r="B994" s="123" t="n">
        <f aca="false">SUMPRODUCT(固有振動数!$Q$6:$Q$22*(1-($A994/固有振動数!$O$6:$O$22)^2)/((1-($A994/固有振動数!$O$6:$O$22)^2)^2+固有振動数!$P$6:$P$22^2))</f>
        <v>-4.17210264724201</v>
      </c>
      <c r="C994" s="123" t="n">
        <f aca="false">-SUMPRODUCT(固有振動数!$Q$6:$Q$22*固有振動数!$P$6:$P$22/((1-($A994/固有振動数!$O$6:$O$22)^2)^2+固有振動数!$P$6:$P$22^2))</f>
        <v>-3.07496276533297</v>
      </c>
      <c r="D994" s="124" t="n">
        <f aca="false">SQRT(B994^2+C994^2)</f>
        <v>5.18284058285685</v>
      </c>
      <c r="E994" s="125" t="n">
        <f aca="false">20*LOG10(MAX(D994,0.000000000001)/$K$3)</f>
        <v>14.291357014721</v>
      </c>
    </row>
    <row r="995" customFormat="false" ht="15" hidden="false" customHeight="false" outlineLevel="0" collapsed="false">
      <c r="A995" s="126" t="n">
        <f aca="false">A994+$F$3</f>
        <v>9890</v>
      </c>
      <c r="B995" s="127" t="n">
        <f aca="false">SUMPRODUCT(固有振動数!$Q$6:$Q$22*(1-($A995/固有振動数!$O$6:$O$22)^2)/((1-($A995/固有振動数!$O$6:$O$22)^2)^2+固有振動数!$P$6:$P$22^2))</f>
        <v>-3.89902279340018</v>
      </c>
      <c r="C995" s="127" t="n">
        <f aca="false">-SUMPRODUCT(固有振動数!$Q$6:$Q$22*固有振動数!$P$6:$P$22/((1-($A995/固有振動数!$O$6:$O$22)^2)^2+固有振動数!$P$6:$P$22^2))</f>
        <v>-3.00677665157006</v>
      </c>
      <c r="D995" s="128" t="n">
        <f aca="false">SQRT(B995^2+C995^2)</f>
        <v>4.92372669589621</v>
      </c>
      <c r="E995" s="129" t="n">
        <f aca="false">20*LOG10(MAX(D995,0.000000000001)/$K$3)</f>
        <v>13.8458787659398</v>
      </c>
    </row>
    <row r="996" customFormat="false" ht="15" hidden="false" customHeight="false" outlineLevel="0" collapsed="false">
      <c r="A996" s="122" t="n">
        <f aca="false">A995+$F$3</f>
        <v>9900</v>
      </c>
      <c r="B996" s="123" t="n">
        <f aca="false">SUMPRODUCT(固有振動数!$Q$6:$Q$22*(1-($A996/固有振動数!$O$6:$O$22)^2)/((1-($A996/固有振動数!$O$6:$O$22)^2)^2+固有振動数!$P$6:$P$22^2))</f>
        <v>-3.63225921829165</v>
      </c>
      <c r="C996" s="123" t="n">
        <f aca="false">-SUMPRODUCT(固有振動数!$Q$6:$Q$22*固有振動数!$P$6:$P$22/((1-($A996/固有振動数!$O$6:$O$22)^2)^2+固有振動数!$P$6:$P$22^2))</f>
        <v>-2.94148136532821</v>
      </c>
      <c r="D996" s="124" t="n">
        <f aca="false">SQRT(B996^2+C996^2)</f>
        <v>4.67392978674667</v>
      </c>
      <c r="E996" s="125" t="n">
        <f aca="false">20*LOG10(MAX(D996,0.000000000001)/$K$3)</f>
        <v>13.3936436799196</v>
      </c>
    </row>
    <row r="997" customFormat="false" ht="15" hidden="false" customHeight="false" outlineLevel="0" collapsed="false">
      <c r="A997" s="126" t="n">
        <f aca="false">A996+$F$3</f>
        <v>9910</v>
      </c>
      <c r="B997" s="127" t="n">
        <f aca="false">SUMPRODUCT(固有振動数!$Q$6:$Q$22*(1-($A997/固有振動数!$O$6:$O$22)^2)/((1-($A997/固有振動数!$O$6:$O$22)^2)^2+固有振動数!$P$6:$P$22^2))</f>
        <v>-3.37156846445163</v>
      </c>
      <c r="C997" s="127" t="n">
        <f aca="false">-SUMPRODUCT(固有振動数!$Q$6:$Q$22*固有振動数!$P$6:$P$22/((1-($A997/固有振動数!$O$6:$O$22)^2)^2+固有振動数!$P$6:$P$22^2))</f>
        <v>-2.87892433776563</v>
      </c>
      <c r="D997" s="128" t="n">
        <f aca="false">SQRT(B997^2+C997^2)</f>
        <v>4.43347259527608</v>
      </c>
      <c r="E997" s="129" t="n">
        <f aca="false">20*LOG10(MAX(D997,0.000000000001)/$K$3)</f>
        <v>12.934880565896</v>
      </c>
    </row>
    <row r="998" customFormat="false" ht="15" hidden="false" customHeight="false" outlineLevel="0" collapsed="false">
      <c r="A998" s="122" t="n">
        <f aca="false">A997+$F$3</f>
        <v>9920</v>
      </c>
      <c r="B998" s="123" t="n">
        <f aca="false">SUMPRODUCT(固有振動数!$Q$6:$Q$22*(1-($A998/固有振動数!$O$6:$O$22)^2)/((1-($A998/固有振動数!$O$6:$O$22)^2)^2+固有振動数!$P$6:$P$22^2))</f>
        <v>-3.11671876714966</v>
      </c>
      <c r="C998" s="123" t="n">
        <f aca="false">-SUMPRODUCT(固有振動数!$Q$6:$Q$22*固有振動数!$P$6:$P$22/((1-($A998/固有振動数!$O$6:$O$22)^2)^2+固有振動数!$P$6:$P$22^2))</f>
        <v>-2.81896301293842</v>
      </c>
      <c r="D998" s="124" t="n">
        <f aca="false">SQRT(B998^2+C998^2)</f>
        <v>4.20243838049028</v>
      </c>
      <c r="E998" s="125" t="n">
        <f aca="false">20*LOG10(MAX(D998,0.000000000001)/$K$3)</f>
        <v>12.4700270837091</v>
      </c>
    </row>
    <row r="999" customFormat="false" ht="15" hidden="false" customHeight="false" outlineLevel="0" collapsed="false">
      <c r="A999" s="126" t="n">
        <f aca="false">A998+$F$3</f>
        <v>9930</v>
      </c>
      <c r="B999" s="127" t="n">
        <f aca="false">SUMPRODUCT(固有振動数!$Q$6:$Q$22*(1-($A999/固有振動数!$O$6:$O$22)^2)/((1-($A999/固有振動数!$O$6:$O$22)^2)^2+固有振動数!$P$6:$P$22^2))</f>
        <v>-2.86748937471888</v>
      </c>
      <c r="C999" s="127" t="n">
        <f aca="false">-SUMPRODUCT(固有振動数!$Q$6:$Q$22*固有振動数!$P$6:$P$22/((1-($A999/固有振動数!$O$6:$O$22)^2)^2+固有振動数!$P$6:$P$22^2))</f>
        <v>-2.76146407527198</v>
      </c>
      <c r="D999" s="128" t="n">
        <f aca="false">SQRT(B999^2+C999^2)</f>
        <v>3.98097716059052</v>
      </c>
      <c r="E999" s="129" t="n">
        <f aca="false">20*LOG10(MAX(D999,0.000000000001)/$K$3)</f>
        <v>11.9997937196902</v>
      </c>
    </row>
    <row r="1000" customFormat="false" ht="15" hidden="false" customHeight="false" outlineLevel="0" collapsed="false">
      <c r="A1000" s="122" t="n">
        <f aca="false">A999+$F$3</f>
        <v>9940</v>
      </c>
      <c r="B1000" s="123" t="n">
        <f aca="false">SUMPRODUCT(固有振動数!$Q$6:$Q$22*(1-($A1000/固有振動数!$O$6:$O$22)^2)/((1-($A1000/固有振動数!$O$6:$O$22)^2)^2+固有振動数!$P$6:$P$22^2))</f>
        <v>-2.6236699136606</v>
      </c>
      <c r="C1000" s="123" t="n">
        <f aca="false">-SUMPRODUCT(固有振動数!$Q$6:$Q$22*固有振動数!$P$6:$P$22/((1-($A1000/固有振動数!$O$6:$O$22)^2)^2+固有振動数!$P$6:$P$22^2))</f>
        <v>-2.70630274545445</v>
      </c>
      <c r="D1000" s="124" t="n">
        <f aca="false">SQRT(B1000^2+C1000^2)</f>
        <v>3.76931271797686</v>
      </c>
      <c r="E1000" s="125" t="n">
        <f aca="false">20*LOG10(MAX(D1000,0.000000000001)/$K$3)</f>
        <v>11.5252433966856</v>
      </c>
    </row>
    <row r="1001" customFormat="false" ht="15" hidden="false" customHeight="false" outlineLevel="0" collapsed="false">
      <c r="A1001" s="126" t="n">
        <f aca="false">A1000+$F$3</f>
        <v>9950</v>
      </c>
      <c r="B1001" s="127" t="n">
        <f aca="false">SUMPRODUCT(固有振動数!$Q$6:$Q$22*(1-($A1001/固有振動数!$O$6:$O$22)^2)/((1-($A1001/固有振動数!$O$6:$O$22)^2)^2+固有振動数!$P$6:$P$22^2))</f>
        <v>-2.38505979532733</v>
      </c>
      <c r="C1001" s="127" t="n">
        <f aca="false">-SUMPRODUCT(固有振動数!$Q$6:$Q$22*固有振動数!$P$6:$P$22/((1-($A1001/固有振動数!$O$6:$O$22)^2)^2+固有振動数!$P$6:$P$22^2))</f>
        <v>-2.65336213794977</v>
      </c>
      <c r="D1001" s="128" t="n">
        <f aca="false">SQRT(B1001^2+C1001^2)</f>
        <v>3.56775011210037</v>
      </c>
      <c r="E1001" s="129" t="n">
        <f aca="false">20*LOG10(MAX(D1001,0.000000000001)/$K$3)</f>
        <v>11.0478885691467</v>
      </c>
    </row>
    <row r="1002" customFormat="false" ht="15" hidden="false" customHeight="false" outlineLevel="0" collapsed="false">
      <c r="A1002" s="122" t="n">
        <f aca="false">A1001+$F$3</f>
        <v>9960</v>
      </c>
      <c r="B1002" s="123" t="n">
        <f aca="false">SUMPRODUCT(固有振動数!$Q$6:$Q$22*(1-($A1002/固有振動数!$O$6:$O$22)^2)/((1-($A1002/固有振動数!$O$6:$O$22)^2)^2+固有振動数!$P$6:$P$22^2))</f>
        <v>-2.15146766121813</v>
      </c>
      <c r="C1002" s="123" t="n">
        <f aca="false">-SUMPRODUCT(固有振動数!$Q$6:$Q$22*固有振動数!$P$6:$P$22/((1-($A1002/固有振動数!$O$6:$O$22)^2)^2+固有振動数!$P$6:$P$22^2))</f>
        <v>-2.60253267407513</v>
      </c>
      <c r="D1002" s="124" t="n">
        <f aca="false">SQRT(B1002^2+C1002^2)</f>
        <v>3.3766831975914</v>
      </c>
      <c r="E1002" s="125" t="n">
        <f aca="false">20*LOG10(MAX(D1002,0.000000000001)/$K$3)</f>
        <v>10.5698063356464</v>
      </c>
    </row>
    <row r="1003" customFormat="false" ht="15" hidden="false" customHeight="false" outlineLevel="0" collapsed="false">
      <c r="A1003" s="126" t="n">
        <f aca="false">A1002+$F$3</f>
        <v>9970</v>
      </c>
      <c r="B1003" s="127" t="n">
        <f aca="false">SUMPRODUCT(固有振動数!$Q$6:$Q$22*(1-($A1003/固有振動数!$O$6:$O$22)^2)/((1-($A1003/固有振動数!$O$6:$O$22)^2)^2+固有振動数!$P$6:$P$22^2))</f>
        <v>-1.92271086413762</v>
      </c>
      <c r="C1003" s="127" t="n">
        <f aca="false">-SUMPRODUCT(固有振動数!$Q$6:$Q$22*固有振動数!$P$6:$P$22/((1-($A1003/固有振動数!$O$6:$O$22)^2)^2+固有振動数!$P$6:$P$22^2))</f>
        <v>-2.55371154524555</v>
      </c>
      <c r="D1003" s="128" t="n">
        <f aca="false">SQRT(B1003^2+C1003^2)</f>
        <v>3.19660127688663</v>
      </c>
      <c r="E1003" s="129" t="n">
        <f aca="false">20*LOG10(MAX(D1003,0.000000000001)/$K$3)</f>
        <v>10.0937693719954</v>
      </c>
    </row>
    <row r="1004" customFormat="false" ht="15" hidden="false" customHeight="false" outlineLevel="0" collapsed="false">
      <c r="A1004" s="122" t="n">
        <f aca="false">A1003+$F$3</f>
        <v>9980</v>
      </c>
      <c r="B1004" s="123" t="n">
        <f aca="false">SUMPRODUCT(固有振動数!$Q$6:$Q$22*(1-($A1004/固有振動数!$O$6:$O$22)^2)/((1-($A1004/固有振動数!$O$6:$O$22)^2)^2+固有振動数!$P$6:$P$22^2))</f>
        <v>-1.698614982672</v>
      </c>
      <c r="C1004" s="123" t="n">
        <f aca="false">-SUMPRODUCT(固有振動数!$Q$6:$Q$22*固有振動数!$P$6:$P$22/((1-($A1004/固有振動数!$O$6:$O$22)^2)^2+固有振動数!$P$6:$P$22^2))</f>
        <v>-2.50680222156765</v>
      </c>
      <c r="D1004" s="124" t="n">
        <f aca="false">SQRT(B1004^2+C1004^2)</f>
        <v>3.02809349879</v>
      </c>
      <c r="E1004" s="125" t="n">
        <f aca="false">20*LOG10(MAX(D1004,0.000000000001)/$K$3)</f>
        <v>9.62338561591116</v>
      </c>
    </row>
    <row r="1005" customFormat="false" ht="15" hidden="false" customHeight="false" outlineLevel="0" collapsed="false">
      <c r="A1005" s="126" t="n">
        <f aca="false">A1004+$F$3</f>
        <v>9990</v>
      </c>
      <c r="B1005" s="127" t="n">
        <f aca="false">SUMPRODUCT(固有振動数!$Q$6:$Q$22*(1-($A1005/固有振動数!$O$6:$O$22)^2)/((1-($A1005/固有振動数!$O$6:$O$22)^2)^2+固有振動数!$P$6:$P$22^2))</f>
        <v>-1.47901336662403</v>
      </c>
      <c r="C1005" s="127" t="n">
        <f aca="false">-SUMPRODUCT(固有振動数!$Q$6:$Q$22*固有振動数!$P$6:$P$22/((1-($A1005/固有振動数!$O$6:$O$22)^2)^2+固有振動数!$P$6:$P$22^2))</f>
        <v>-2.46171400147686</v>
      </c>
      <c r="D1005" s="128" t="n">
        <f aca="false">SQRT(B1005^2+C1005^2)</f>
        <v>2.87184894514314</v>
      </c>
      <c r="E1005" s="129" t="n">
        <f aca="false">20*LOG10(MAX(D1005,0.000000000001)/$K$3)</f>
        <v>9.16323185892574</v>
      </c>
    </row>
    <row r="1006" customFormat="false" ht="15" hidden="false" customHeight="false" outlineLevel="0" collapsed="false">
      <c r="A1006" s="122" t="n">
        <f aca="false">A1005+$F$3</f>
        <v>10000</v>
      </c>
      <c r="B1006" s="123" t="n">
        <f aca="false">SUMPRODUCT(固有振動数!$Q$6:$Q$22*(1-($A1006/固有振動数!$O$6:$O$22)^2)/((1-($A1006/固有振動数!$O$6:$O$22)^2)^2+固有振動数!$P$6:$P$22^2))</f>
        <v>-1.26374671122407</v>
      </c>
      <c r="C1006" s="123" t="n">
        <f aca="false">-SUMPRODUCT(固有振動数!$Q$6:$Q$22*固有振動数!$P$6:$P$22/((1-($A1006/固有振動数!$O$6:$O$22)^2)^2+固有振動数!$P$6:$P$22^2))</f>
        <v>-2.4183615985646</v>
      </c>
      <c r="D1006" s="124" t="n">
        <f aca="false">SQRT(B1006^2+C1006^2)</f>
        <v>2.72864958753255</v>
      </c>
      <c r="E1006" s="125" t="n">
        <f aca="false">20*LOG10(MAX(D1006,0.000000000001)/$K$3)</f>
        <v>8.71895534533502</v>
      </c>
    </row>
    <row r="1007" customFormat="false" ht="15" hidden="false" customHeight="false" outlineLevel="0" collapsed="false">
      <c r="A1007" s="126" t="n">
        <f aca="false">A1006+$F$3</f>
        <v>10010</v>
      </c>
      <c r="B1007" s="127" t="n">
        <f aca="false">SUMPRODUCT(固有振動数!$Q$6:$Q$22*(1-($A1007/固有振動数!$O$6:$O$22)^2)/((1-($A1007/固有振動数!$O$6:$O$22)^2)^2+固有振動数!$P$6:$P$22^2))</f>
        <v>-1.05266265809664</v>
      </c>
      <c r="C1007" s="127" t="n">
        <f aca="false">-SUMPRODUCT(固有振動数!$Q$6:$Q$22*固有振動数!$P$6:$P$22/((1-($A1007/固有振動数!$O$6:$O$22)^2)^2+固有振動数!$P$6:$P$22^2))</f>
        <v>-2.37666476214239</v>
      </c>
      <c r="D1007" s="128" t="n">
        <f aca="false">SQRT(B1007^2+C1007^2)</f>
        <v>2.59935262389704</v>
      </c>
      <c r="E1007" s="129" t="n">
        <f aca="false">20*LOG10(MAX(D1007,0.000000000001)/$K$3)</f>
        <v>8.29730398343821</v>
      </c>
    </row>
    <row r="1008" customFormat="false" ht="15" hidden="false" customHeight="false" outlineLevel="0" collapsed="false">
      <c r="A1008" s="122" t="n">
        <f aca="false">A1007+$F$3</f>
        <v>10020</v>
      </c>
      <c r="B1008" s="123" t="n">
        <f aca="false">SUMPRODUCT(固有振動数!$Q$6:$Q$22*(1-($A1008/固有振動数!$O$6:$O$22)^2)/((1-($A1008/固有振動数!$O$6:$O$22)^2)^2+固有振動数!$P$6:$P$22^2))</f>
        <v>-0.84561542111273</v>
      </c>
      <c r="C1008" s="123" t="n">
        <f aca="false">-SUMPRODUCT(固有振動数!$Q$6:$Q$22*固有振動数!$P$6:$P$22/((1-($A1008/固有振動数!$O$6:$O$22)^2)^2+固有振動数!$P$6:$P$22^2))</f>
        <v>-2.3365479284452</v>
      </c>
      <c r="D1008" s="124" t="n">
        <f aca="false">SQRT(B1008^2+C1008^2)</f>
        <v>2.48485847933946</v>
      </c>
      <c r="E1008" s="125" t="n">
        <f aca="false">20*LOG10(MAX(D1008,0.000000000001)/$K$3)</f>
        <v>7.90603318619882</v>
      </c>
    </row>
    <row r="1009" customFormat="false" ht="15" hidden="false" customHeight="false" outlineLevel="0" collapsed="false">
      <c r="A1009" s="126" t="n">
        <f aca="false">A1008+$F$3</f>
        <v>10030</v>
      </c>
      <c r="B1009" s="127" t="n">
        <f aca="false">SUMPRODUCT(固有振動数!$Q$6:$Q$22*(1-($A1009/固有振動数!$O$6:$O$22)^2)/((1-($A1009/固有振動数!$O$6:$O$22)^2)^2+固有振動数!$P$6:$P$22^2))</f>
        <v>-0.642465435396945</v>
      </c>
      <c r="C1009" s="127" t="n">
        <f aca="false">-SUMPRODUCT(固有振動数!$Q$6:$Q$22*固有振動数!$P$6:$P$22/((1-($A1009/固有振動数!$O$6:$O$22)^2)^2+固有振動数!$P$6:$P$22^2))</f>
        <v>-2.29793989969105</v>
      </c>
      <c r="D1009" s="128" t="n">
        <f aca="false">SQRT(B1009^2+C1009^2)</f>
        <v>2.38606152860145</v>
      </c>
      <c r="E1009" s="129" t="n">
        <f aca="false">20*LOG10(MAX(D1009,0.000000000001)/$K$3)</f>
        <v>7.55363276981769</v>
      </c>
    </row>
    <row r="1010" customFormat="false" ht="15" hidden="false" customHeight="false" outlineLevel="0" collapsed="false">
      <c r="A1010" s="122" t="n">
        <f aca="false">A1009+$F$3</f>
        <v>10040</v>
      </c>
      <c r="B1010" s="123" t="n">
        <f aca="false">SUMPRODUCT(固有振動数!$Q$6:$Q$22*(1-($A1010/固有振動数!$O$6:$O$22)^2)/((1-($A1010/固有振動数!$O$6:$O$22)^2)^2+固有振動数!$P$6:$P$22^2))</f>
        <v>-0.443079027888133</v>
      </c>
      <c r="C1010" s="123" t="n">
        <f aca="false">-SUMPRODUCT(固有振動数!$Q$6:$Q$22*固有振動数!$P$6:$P$22/((1-($A1010/固有振動数!$O$6:$O$22)^2)^2+固有振動数!$P$6:$P$22^2))</f>
        <v>-2.26077354849439</v>
      </c>
      <c r="D1010" s="124" t="n">
        <f aca="false">SQRT(B1010^2+C1010^2)</f>
        <v>2.30378298946021</v>
      </c>
      <c r="E1010" s="125" t="n">
        <f aca="false">20*LOG10(MAX(D1010,0.000000000001)/$K$3)</f>
        <v>7.24883134468757</v>
      </c>
    </row>
    <row r="1011" customFormat="false" ht="15" hidden="false" customHeight="false" outlineLevel="0" collapsed="false">
      <c r="A1011" s="126" t="n">
        <f aca="false">A1010+$F$3</f>
        <v>10050</v>
      </c>
      <c r="B1011" s="127" t="n">
        <f aca="false">SUMPRODUCT(固有振動数!$Q$6:$Q$22*(1-($A1011/固有振動数!$O$6:$O$22)^2)/((1-($A1011/固有振動数!$O$6:$O$22)^2)^2+固有振動数!$P$6:$P$22^2))</f>
        <v>-0.24732810797022</v>
      </c>
      <c r="C1011" s="127" t="n">
        <f aca="false">-SUMPRODUCT(固有振動数!$Q$6:$Q$22*固有振動数!$P$6:$P$22/((1-($A1011/固有振動数!$O$6:$O$22)^2)^2+固有振動数!$P$6:$P$22^2))</f>
        <v>-2.22498554537975</v>
      </c>
      <c r="D1011" s="128" t="n">
        <f aca="false">SQRT(B1011^2+C1011^2)</f>
        <v>2.23868976639037</v>
      </c>
      <c r="E1011" s="129" t="n">
        <f aca="false">20*LOG10(MAX(D1011,0.000000000001)/$K$3)</f>
        <v>6.99987827997862</v>
      </c>
    </row>
    <row r="1012" customFormat="false" ht="15" hidden="false" customHeight="false" outlineLevel="0" collapsed="false">
      <c r="A1012" s="122" t="n">
        <f aca="false">A1011+$F$3</f>
        <v>10060</v>
      </c>
      <c r="B1012" s="123" t="n">
        <f aca="false">SUMPRODUCT(固有振動数!$Q$6:$Q$22*(1-($A1012/固有振動数!$O$6:$O$22)^2)/((1-($A1012/固有振動数!$O$6:$O$22)^2)^2+固有振動数!$P$6:$P$22^2))</f>
        <v>-0.0550898768008755</v>
      </c>
      <c r="C1012" s="123" t="n">
        <f aca="false">-SUMPRODUCT(固有振動数!$Q$6:$Q$22*固有振動数!$P$6:$P$22/((1-($A1012/固有振動数!$O$6:$O$22)^2)^2+固有振動数!$P$6:$P$22^2))</f>
        <v>-2.19051610736442</v>
      </c>
      <c r="D1012" s="124" t="n">
        <f aca="false">SQRT(B1012^2+C1012^2)</f>
        <v>2.19120873290267</v>
      </c>
      <c r="E1012" s="125" t="n">
        <f aca="false">20*LOG10(MAX(D1012,0.000000000001)/$K$3)</f>
        <v>6.81367500196703</v>
      </c>
    </row>
    <row r="1013" customFormat="false" ht="15" hidden="false" customHeight="false" outlineLevel="0" collapsed="false">
      <c r="A1013" s="126" t="n">
        <f aca="false">A1012+$F$3</f>
        <v>10070</v>
      </c>
      <c r="B1013" s="127" t="n">
        <f aca="false">SUMPRODUCT(固有振動数!$Q$6:$Q$22*(1-($A1013/固有振動数!$O$6:$O$22)^2)/((1-($A1013/固有振動数!$O$6:$O$22)^2)^2+固有振動数!$P$6:$P$22^2))</f>
        <v>0.13375344593346</v>
      </c>
      <c r="C1013" s="127" t="n">
        <f aca="false">-SUMPRODUCT(固有振動数!$Q$6:$Q$22*固有振動数!$P$6:$P$22/((1-($A1013/固有振動数!$O$6:$O$22)^2)^2+固有振動数!$P$6:$P$22^2))</f>
        <v>-2.15730876577694</v>
      </c>
      <c r="D1013" s="128" t="n">
        <f aca="false">SQRT(B1013^2+C1013^2)</f>
        <v>2.16145115494131</v>
      </c>
      <c r="E1013" s="129" t="n">
        <f aca="false">20*LOG10(MAX(D1013,0.000000000001)/$K$3)</f>
        <v>6.69490851352437</v>
      </c>
    </row>
    <row r="1014" customFormat="false" ht="15" hidden="false" customHeight="false" outlineLevel="0" collapsed="false">
      <c r="A1014" s="122" t="n">
        <f aca="false">A1013+$F$3</f>
        <v>10080</v>
      </c>
      <c r="B1014" s="123" t="n">
        <f aca="false">SUMPRODUCT(固有振動数!$Q$6:$Q$22*(1-($A1014/固有振動数!$O$6:$O$22)^2)/((1-($A1014/固有振動数!$O$6:$O$22)^2)^2+固有振動数!$P$6:$P$22^2))</f>
        <v>0.319314879013871</v>
      </c>
      <c r="C1014" s="123" t="n">
        <f aca="false">-SUMPRODUCT(固有振動数!$Q$6:$Q$22*固有振動数!$P$6:$P$22/((1-($A1014/固有振動数!$O$6:$O$22)^2)^2+固有振動数!$P$6:$P$22^2))</f>
        <v>-2.1253101516554</v>
      </c>
      <c r="D1014" s="124" t="n">
        <f aca="false">SQRT(B1014^2+C1014^2)</f>
        <v>2.1491638450079</v>
      </c>
      <c r="E1014" s="125" t="n">
        <f aca="false">20*LOG10(MAX(D1014,0.000000000001)/$K$3)</f>
        <v>6.64539051802214</v>
      </c>
    </row>
    <row r="1015" customFormat="false" ht="15" hidden="false" customHeight="false" outlineLevel="0" collapsed="false">
      <c r="A1015" s="126" t="n">
        <f aca="false">A1014+$F$3</f>
        <v>10090</v>
      </c>
      <c r="B1015" s="127" t="n">
        <f aca="false">SUMPRODUCT(固有振動数!$Q$6:$Q$22*(1-($A1015/固有振動数!$O$6:$O$22)^2)/((1-($A1015/固有振動数!$O$6:$O$22)^2)^2+固有振動数!$P$6:$P$22^2))</f>
        <v>0.501702921527502</v>
      </c>
      <c r="C1015" s="127" t="n">
        <f aca="false">-SUMPRODUCT(固有振動数!$Q$6:$Q$22*固有振動数!$P$6:$P$22/((1-($A1015/固有振動数!$O$6:$O$22)^2)^2+固有振動数!$P$6:$P$22^2))</f>
        <v>-2.09446979722749</v>
      </c>
      <c r="D1015" s="128" t="n">
        <f aca="false">SQRT(B1015^2+C1015^2)</f>
        <v>2.15371993373498</v>
      </c>
      <c r="E1015" s="129" t="n">
        <f aca="false">20*LOG10(MAX(D1015,0.000000000001)/$K$3)</f>
        <v>6.6637845535987</v>
      </c>
    </row>
    <row r="1016" customFormat="false" ht="15" hidden="false" customHeight="false" outlineLevel="0" collapsed="false">
      <c r="A1016" s="122" t="n">
        <f aca="false">A1015+$F$3</f>
        <v>10100</v>
      </c>
      <c r="B1016" s="123" t="n">
        <f aca="false">SUMPRODUCT(固有振動数!$Q$6:$Q$22*(1-($A1016/固有振動数!$O$6:$O$22)^2)/((1-($A1016/固有振動数!$O$6:$O$22)^2)^2+固有振動数!$P$6:$P$22^2))</f>
        <v>0.681021780560077</v>
      </c>
      <c r="C1016" s="123" t="n">
        <f aca="false">-SUMPRODUCT(固有振動数!$Q$6:$Q$22*固有振動数!$P$6:$P$22/((1-($A1016/固有振動数!$O$6:$O$22)^2)^2+固有振動数!$P$6:$P$22^2))</f>
        <v>-2.06473995211627</v>
      </c>
      <c r="D1016" s="124" t="n">
        <f aca="false">SQRT(B1016^2+C1016^2)</f>
        <v>2.17415310764038</v>
      </c>
      <c r="E1016" s="125" t="n">
        <f aca="false">20*LOG10(MAX(D1016,0.000000000001)/$K$3)</f>
        <v>6.74580249198799</v>
      </c>
    </row>
    <row r="1017" customFormat="false" ht="15" hidden="false" customHeight="false" outlineLevel="0" collapsed="false">
      <c r="A1017" s="126" t="n">
        <f aca="false">A1016+$F$3</f>
        <v>10110</v>
      </c>
      <c r="B1017" s="127" t="n">
        <f aca="false">SUMPRODUCT(固有振動数!$Q$6:$Q$22*(1-($A1017/固有振動数!$O$6:$O$22)^2)/((1-($A1017/固有振動数!$O$6:$O$22)^2)^2+固有振動数!$P$6:$P$22^2))</f>
        <v>0.857371585679723</v>
      </c>
      <c r="C1017" s="127" t="n">
        <f aca="false">-SUMPRODUCT(固有振動数!$Q$6:$Q$22*固有振動数!$P$6:$P$22/((1-($A1017/固有振動数!$O$6:$O$22)^2)^2+固有振動数!$P$6:$P$22^2))</f>
        <v>-2.03607541304255</v>
      </c>
      <c r="D1017" s="128" t="n">
        <f aca="false">SQRT(B1017^2+C1017^2)</f>
        <v>2.20922817371302</v>
      </c>
      <c r="E1017" s="129" t="n">
        <f aca="false">20*LOG10(MAX(D1017,0.000000000001)/$K$3)</f>
        <v>6.88481146063336</v>
      </c>
    </row>
    <row r="1018" customFormat="false" ht="15" hidden="false" customHeight="false" outlineLevel="0" collapsed="false">
      <c r="A1018" s="122" t="n">
        <f aca="false">A1017+$F$3</f>
        <v>10120</v>
      </c>
      <c r="B1018" s="123" t="n">
        <f aca="false">SUMPRODUCT(固有振動数!$Q$6:$Q$22*(1-($A1018/固有振動数!$O$6:$O$22)^2)/((1-($A1018/固有振動数!$O$6:$O$22)^2)^2+固有振動数!$P$6:$P$22^2))</f>
        <v>1.03084859108229</v>
      </c>
      <c r="C1018" s="123" t="n">
        <f aca="false">-SUMPRODUCT(固有振動数!$Q$6:$Q$22*固有振動数!$P$6:$P$22/((1-($A1018/固有振動数!$O$6:$O$22)^2)^2+固有振動数!$P$6:$P$22^2))</f>
        <v>-2.00843336590871</v>
      </c>
      <c r="D1018" s="124" t="n">
        <f aca="false">SQRT(B1018^2+C1018^2)</f>
        <v>2.25753259179834</v>
      </c>
      <c r="E1018" s="125" t="n">
        <f aca="false">20*LOG10(MAX(D1018,0.000000000001)/$K$3)</f>
        <v>7.07268057803645</v>
      </c>
    </row>
    <row r="1019" customFormat="false" ht="15" hidden="false" customHeight="false" outlineLevel="0" collapsed="false">
      <c r="A1019" s="126" t="n">
        <f aca="false">A1018+$F$3</f>
        <v>10130</v>
      </c>
      <c r="B1019" s="127" t="n">
        <f aca="false">SUMPRODUCT(固有振動数!$Q$6:$Q$22*(1-($A1019/固有振動数!$O$6:$O$22)^2)/((1-($A1019/固有振動数!$O$6:$O$22)^2)^2+固有振動数!$P$6:$P$22^2))</f>
        <v>1.20154536620509</v>
      </c>
      <c r="C1019" s="127" t="n">
        <f aca="false">-SUMPRODUCT(固有振動数!$Q$6:$Q$22*固有振動数!$P$6:$P$22/((1-($A1019/固有振動数!$O$6:$O$22)^2)^2+固有振動数!$P$6:$P$22^2))</f>
        <v>-1.98177323925127</v>
      </c>
      <c r="D1019" s="128" t="n">
        <f aca="false">SQRT(B1019^2+C1019^2)</f>
        <v>2.31757123706293</v>
      </c>
      <c r="E1019" s="129" t="n">
        <f aca="false">20*LOG10(MAX(D1019,0.000000000001)/$K$3)</f>
        <v>7.30066184565412</v>
      </c>
    </row>
    <row r="1020" customFormat="false" ht="15" hidden="false" customHeight="false" outlineLevel="0" collapsed="false">
      <c r="A1020" s="122" t="n">
        <f aca="false">A1019+$F$3</f>
        <v>10140</v>
      </c>
      <c r="B1020" s="123" t="n">
        <f aca="false">SUMPRODUCT(固有振動数!$Q$6:$Q$22*(1-($A1020/固有振動数!$O$6:$O$22)^2)/((1-($A1020/固有振動数!$O$6:$O$22)^2)^2+固有振動数!$P$6:$P$22^2))</f>
        <v>1.36955097555827</v>
      </c>
      <c r="C1020" s="123" t="n">
        <f aca="false">-SUMPRODUCT(固有振動数!$Q$6:$Q$22*固有振動数!$P$6:$P$22/((1-($A1020/固有振動数!$O$6:$O$22)^2)^2+固有振動数!$P$6:$P$22^2))</f>
        <v>-1.95605656814173</v>
      </c>
      <c r="D1020" s="124" t="n">
        <f aca="false">SQRT(B1020^2+C1020^2)</f>
        <v>2.38784990575685</v>
      </c>
      <c r="E1020" s="125" t="n">
        <f aca="false">20*LOG10(MAX(D1020,0.000000000001)/$K$3)</f>
        <v>7.56014049311474</v>
      </c>
    </row>
    <row r="1021" customFormat="false" ht="15" hidden="false" customHeight="false" outlineLevel="0" collapsed="false">
      <c r="A1021" s="126" t="n">
        <f aca="false">A1020+$F$3</f>
        <v>10150</v>
      </c>
      <c r="B1021" s="127" t="n">
        <f aca="false">SUMPRODUCT(固有振動数!$Q$6:$Q$22*(1-($A1021/固有振動数!$O$6:$O$22)^2)/((1-($A1021/固有振動数!$O$6:$O$22)^2)^2+固有振動数!$P$6:$P$22^2))</f>
        <v>1.5349511484701</v>
      </c>
      <c r="C1021" s="127" t="n">
        <f aca="false">-SUMPRODUCT(固有振動数!$Q$6:$Q$22*固有振動数!$P$6:$P$22/((1-($A1021/固有振動数!$O$6:$O$22)^2)^2+固有振動数!$P$6:$P$22^2))</f>
        <v>-1.93124686769775</v>
      </c>
      <c r="D1021" s="128" t="n">
        <f aca="false">SQRT(B1021^2+C1021^2)</f>
        <v>2.46693929641206</v>
      </c>
      <c r="E1021" s="129" t="n">
        <f aca="false">20*LOG10(MAX(D1021,0.000000000001)/$K$3)</f>
        <v>7.84316926010174</v>
      </c>
    </row>
    <row r="1022" customFormat="false" ht="15" hidden="false" customHeight="false" outlineLevel="0" collapsed="false">
      <c r="A1022" s="122" t="n">
        <f aca="false">A1021+$F$3</f>
        <v>10160</v>
      </c>
      <c r="B1022" s="123" t="n">
        <f aca="false">SUMPRODUCT(固有振動数!$Q$6:$Q$22*(1-($A1022/固有振動数!$O$6:$O$22)^2)/((1-($A1022/固有振動数!$O$6:$O$22)^2)^2+固有振動数!$P$6:$P$22^2))</f>
        <v>1.69782843939197</v>
      </c>
      <c r="C1022" s="123" t="n">
        <f aca="false">-SUMPRODUCT(固有振動数!$Q$6:$Q$22*固有振動数!$P$6:$P$22/((1-($A1022/固有振動数!$O$6:$O$22)^2)^2+固有振動数!$P$6:$P$22^2))</f>
        <v>-1.90730951544206</v>
      </c>
      <c r="D1022" s="124" t="n">
        <f aca="false">SQRT(B1022^2+C1022^2)</f>
        <v>2.55351737752145</v>
      </c>
      <c r="E1022" s="125" t="n">
        <f aca="false">20*LOG10(MAX(D1022,0.000000000001)/$K$3)</f>
        <v>8.14277635435394</v>
      </c>
    </row>
    <row r="1023" customFormat="false" ht="15" hidden="false" customHeight="false" outlineLevel="0" collapsed="false">
      <c r="A1023" s="126" t="n">
        <f aca="false">A1022+$F$3</f>
        <v>10170</v>
      </c>
      <c r="B1023" s="127" t="n">
        <f aca="false">SUMPRODUCT(固有振動数!$Q$6:$Q$22*(1-($A1023/固有振動数!$O$6:$O$22)^2)/((1-($A1023/固有振動数!$O$6:$O$22)^2)^2+固有振動数!$P$6:$P$22^2))</f>
        <v>1.85826237936471</v>
      </c>
      <c r="C1023" s="127" t="n">
        <f aca="false">-SUMPRODUCT(固有振動数!$Q$6:$Q$22*固有振動数!$P$6:$P$22/((1-($A1023/固有振動数!$O$6:$O$22)^2)^2+固有振動数!$P$6:$P$22^2))</f>
        <v>-1.88421164181341</v>
      </c>
      <c r="D1023" s="128" t="n">
        <f aca="false">SQRT(B1023^2+C1023^2)</f>
        <v>2.64639237107942</v>
      </c>
      <c r="E1023" s="129" t="n">
        <f aca="false">20*LOG10(MAX(D1023,0.000000000001)/$K$3)</f>
        <v>8.45308471812857</v>
      </c>
    </row>
    <row r="1024" customFormat="false" ht="15" hidden="false" customHeight="false" outlineLevel="0" collapsed="false">
      <c r="A1024" s="122" t="n">
        <f aca="false">A1023+$F$3</f>
        <v>10180</v>
      </c>
      <c r="B1024" s="123" t="n">
        <f aca="false">SUMPRODUCT(固有振動数!$Q$6:$Q$22*(1-($A1024/固有振動数!$O$6:$O$22)^2)/((1-($A1024/固有振動数!$O$6:$O$22)^2)^2+固有振動数!$P$6:$P$22^2))</f>
        <v>2.01632961920465</v>
      </c>
      <c r="C1024" s="123" t="n">
        <f aca="false">-SUMPRODUCT(固有振動数!$Q$6:$Q$22*固有振動数!$P$6:$P$22/((1-($A1024/固有振動数!$O$6:$O$22)^2)^2+固有振動数!$P$6:$P$22^2))</f>
        <v>-1.8619220281949</v>
      </c>
      <c r="D1024" s="124" t="n">
        <f aca="false">SQRT(B1024^2+C1024^2)</f>
        <v>2.74451066173177</v>
      </c>
      <c r="E1024" s="125" t="n">
        <f aca="false">20*LOG10(MAX(D1024,0.000000000001)/$K$3)</f>
        <v>8.76929844490893</v>
      </c>
    </row>
    <row r="1025" customFormat="false" ht="15" hidden="false" customHeight="false" outlineLevel="0" collapsed="false">
      <c r="A1025" s="126" t="n">
        <f aca="false">A1024+$F$3</f>
        <v>10190</v>
      </c>
      <c r="B1025" s="127" t="n">
        <f aca="false">SUMPRODUCT(固有振動数!$Q$6:$Q$22*(1-($A1025/固有振動数!$O$6:$O$22)^2)/((1-($A1025/固有振動数!$O$6:$O$22)^2)^2+固有振動数!$P$6:$P$22^2))</f>
        <v>2.17210406492956</v>
      </c>
      <c r="C1025" s="127" t="n">
        <f aca="false">-SUMPRODUCT(固有振動数!$Q$6:$Q$22*固有振動数!$P$6:$P$22/((1-($A1025/固有振動数!$O$6:$O$22)^2)^2+固有振動数!$P$6:$P$22^2))</f>
        <v>-1.84041101188038</v>
      </c>
      <c r="D1025" s="128" t="n">
        <f aca="false">SQRT(B1025^2+C1025^2)</f>
        <v>2.84695429565248</v>
      </c>
      <c r="E1025" s="129" t="n">
        <f aca="false">20*LOG10(MAX(D1025,0.000000000001)/$K$3)</f>
        <v>9.08760990278979</v>
      </c>
    </row>
    <row r="1026" customFormat="false" ht="15" hidden="false" customHeight="false" outlineLevel="0" collapsed="false">
      <c r="A1026" s="122" t="n">
        <f aca="false">A1025+$F$3</f>
        <v>10200</v>
      </c>
      <c r="B1026" s="123" t="n">
        <f aca="false">SUMPRODUCT(固有振動数!$Q$6:$Q$22*(1-($A1026/固有振動数!$O$6:$O$22)^2)/((1-($A1026/固有振動数!$O$6:$O$22)^2)^2+固有振動数!$P$6:$P$22^2))</f>
        <v>2.32565700590842</v>
      </c>
      <c r="C1026" s="123" t="n">
        <f aca="false">-SUMPRODUCT(固有振動数!$Q$6:$Q$22*固有振動数!$P$6:$P$22/((1-($A1026/固有振動数!$O$6:$O$22)^2)^2+固有振動数!$P$6:$P$22^2))</f>
        <v>-1.81965039744888</v>
      </c>
      <c r="D1026" s="124" t="n">
        <f aca="false">SQRT(B1026^2+C1026^2)</f>
        <v>2.95293211538409</v>
      </c>
      <c r="E1026" s="125" t="n">
        <f aca="false">20*LOG10(MAX(D1026,0.000000000001)/$K$3)</f>
        <v>9.40506926268139</v>
      </c>
    </row>
    <row r="1027" customFormat="false" ht="15" hidden="false" customHeight="false" outlineLevel="0" collapsed="false">
      <c r="A1027" s="126" t="n">
        <f aca="false">A1026+$F$3</f>
        <v>10210</v>
      </c>
      <c r="B1027" s="127" t="n">
        <f aca="false">SUMPRODUCT(固有振動数!$Q$6:$Q$22*(1-($A1027/固有振動数!$O$6:$O$22)^2)/((1-($A1027/固有振動数!$O$6:$O$22)^2)^2+固有振動数!$P$6:$P$22^2))</f>
        <v>2.47705723618547</v>
      </c>
      <c r="C1027" s="127" t="n">
        <f aca="false">-SUMPRODUCT(固有振動数!$Q$6:$Q$22*固有振動数!$P$6:$P$22/((1-($A1027/固有振動数!$O$6:$O$22)^2)^2+固有振動数!$P$6:$P$22^2))</f>
        <v>-1.79961337406268</v>
      </c>
      <c r="D1027" s="128" t="n">
        <f aca="false">SQRT(B1027^2+C1027^2)</f>
        <v>3.06176760180195</v>
      </c>
      <c r="E1027" s="129" t="n">
        <f aca="false">20*LOG10(MAX(D1027,0.000000000001)/$K$3)</f>
        <v>9.71944446476705</v>
      </c>
    </row>
    <row r="1028" customFormat="false" ht="15" hidden="false" customHeight="false" outlineLevel="0" collapsed="false">
      <c r="A1028" s="122" t="n">
        <f aca="false">A1027+$F$3</f>
        <v>10220</v>
      </c>
      <c r="B1028" s="123" t="n">
        <f aca="false">SUMPRODUCT(固有振動数!$Q$6:$Q$22*(1-($A1028/固有振動数!$O$6:$O$22)^2)/((1-($A1028/固有振動数!$O$6:$O$22)^2)^2+固有振動数!$P$6:$P$22^2))</f>
        <v>2.6263711693989</v>
      </c>
      <c r="C1028" s="123" t="n">
        <f aca="false">-SUMPRODUCT(固有振動数!$Q$6:$Q$22*固有振動数!$P$6:$P$22/((1-($A1028/固有振動数!$O$6:$O$22)^2)^2+固有振動数!$P$6:$P$22^2))</f>
        <v>-1.78027443824518</v>
      </c>
      <c r="D1028" s="124" t="n">
        <f aca="false">SQRT(B1028^2+C1028^2)</f>
        <v>3.17288553132932</v>
      </c>
      <c r="E1028" s="125" t="n">
        <f aca="false">20*LOG10(MAX(D1028,0.000000000001)/$K$3)</f>
        <v>10.029088085508</v>
      </c>
    </row>
    <row r="1029" customFormat="false" ht="15" hidden="false" customHeight="false" outlineLevel="0" collapsed="false">
      <c r="A1029" s="126" t="n">
        <f aca="false">A1028+$F$3</f>
        <v>10230</v>
      </c>
      <c r="B1029" s="127" t="n">
        <f aca="false">SUMPRODUCT(固有振動数!$Q$6:$Q$22*(1-($A1029/固有振動数!$O$6:$O$22)^2)/((1-($A1029/固有振動数!$O$6:$O$22)^2)^2+固有振動数!$P$6:$P$22^2))</f>
        <v>2.77366294768505</v>
      </c>
      <c r="C1029" s="127" t="n">
        <f aca="false">-SUMPRODUCT(固有振動数!$Q$6:$Q$22*固有振動数!$P$6:$P$22/((1-($A1029/固有振動数!$O$6:$O$22)^2)^2+固有振動数!$P$6:$P$22^2))</f>
        <v>-1.76160932173203</v>
      </c>
      <c r="D1029" s="128" t="n">
        <f aca="false">SQRT(B1029^2+C1029^2)</f>
        <v>3.28579876891055</v>
      </c>
      <c r="E1029" s="129" t="n">
        <f aca="false">20*LOG10(MAX(D1029,0.000000000001)/$K$3)</f>
        <v>10.332819251197</v>
      </c>
    </row>
    <row r="1030" customFormat="false" ht="15" hidden="false" customHeight="false" outlineLevel="0" collapsed="false">
      <c r="A1030" s="122" t="n">
        <f aca="false">A1029+$F$3</f>
        <v>10240</v>
      </c>
      <c r="B1030" s="123" t="n">
        <f aca="false">SUMPRODUCT(固有振動数!$Q$6:$Q$22*(1-($A1030/固有振動数!$O$6:$O$22)^2)/((1-($A1030/固有振動数!$O$6:$O$22)^2)^2+固有振動数!$P$6:$P$22^2))</f>
        <v>2.91899454493364</v>
      </c>
      <c r="C1030" s="123" t="n">
        <f aca="false">-SUMPRODUCT(固有振動数!$Q$6:$Q$22*固有振動数!$P$6:$P$22/((1-($A1030/固有振動数!$O$6:$O$22)^2)^2+固有振動数!$P$6:$P$22^2))</f>
        <v>-1.74359492402257</v>
      </c>
      <c r="D1030" s="124" t="n">
        <f aca="false">SQRT(B1030^2+C1030^2)</f>
        <v>3.40009594165071</v>
      </c>
      <c r="E1030" s="125" t="n">
        <f aca="false">20*LOG10(MAX(D1030,0.000000000001)/$K$3)</f>
        <v>10.6298234369723</v>
      </c>
    </row>
    <row r="1031" customFormat="false" ht="15" hidden="false" customHeight="false" outlineLevel="0" collapsed="false">
      <c r="A1031" s="126" t="n">
        <f aca="false">A1030+$F$3</f>
        <v>10250</v>
      </c>
      <c r="B1031" s="127" t="n">
        <f aca="false">SUMPRODUCT(固有振動数!$Q$6:$Q$22*(1-($A1031/固有振動数!$O$6:$O$22)^2)/((1-($A1031/固有振動数!$O$6:$O$22)^2)^2+固有振動数!$P$6:$P$22^2))</f>
        <v>3.06242586473429</v>
      </c>
      <c r="C1031" s="127" t="n">
        <f aca="false">-SUMPRODUCT(固有振動数!$Q$6:$Q$22*固有振動数!$P$6:$P$22/((1-($A1031/固有振動数!$O$6:$O$22)^2)^2+固有振動数!$P$6:$P$22^2))</f>
        <v>-1.72620924928946</v>
      </c>
      <c r="D1031" s="128" t="n">
        <f aca="false">SQRT(B1031^2+C1031^2)</f>
        <v>3.51543035051558</v>
      </c>
      <c r="E1031" s="129" t="n">
        <f aca="false">20*LOG10(MAX(D1031,0.000000000001)/$K$3)</f>
        <v>10.9195699578928</v>
      </c>
    </row>
    <row r="1032" customFormat="false" ht="15" hidden="false" customHeight="false" outlineLevel="0" collapsed="false">
      <c r="A1032" s="122" t="n">
        <f aca="false">A1031+$F$3</f>
        <v>10260</v>
      </c>
      <c r="B1032" s="123" t="n">
        <f aca="false">SUMPRODUCT(固有振動数!$Q$6:$Q$22*(1-($A1032/固有振動数!$O$6:$O$22)^2)/((1-($A1032/固有振動数!$O$6:$O$22)^2)^2+固有振動数!$P$6:$P$22^2))</f>
        <v>3.20401483333246</v>
      </c>
      <c r="C1032" s="123" t="n">
        <f aca="false">-SUMPRODUCT(固有振動数!$Q$6:$Q$22*固有振動数!$P$6:$P$22/((1-($A1032/固有振動数!$O$6:$O$22)^2)^2+固有振動数!$P$6:$P$22^2))</f>
        <v>-1.7094313473321</v>
      </c>
      <c r="D1032" s="124" t="n">
        <f aca="false">SQRT(B1032^2+C1032^2)</f>
        <v>3.63151023452448</v>
      </c>
      <c r="E1032" s="125" t="n">
        <f aca="false">20*LOG10(MAX(D1032,0.000000000001)/$K$3)</f>
        <v>11.2017454490409</v>
      </c>
    </row>
    <row r="1033" customFormat="false" ht="15" hidden="false" customHeight="false" outlineLevel="0" collapsed="false">
      <c r="A1033" s="126" t="n">
        <f aca="false">A1032+$F$3</f>
        <v>10270</v>
      </c>
      <c r="B1033" s="127" t="n">
        <f aca="false">SUMPRODUCT(固有振動数!$Q$6:$Q$22*(1-($A1033/固有振動数!$O$6:$O$22)^2)/((1-($A1033/固有振動数!$O$6:$O$22)^2)^2+固有振動数!$P$6:$P$22^2))</f>
        <v>3.34381748789165</v>
      </c>
      <c r="C1033" s="127" t="n">
        <f aca="false">-SUMPRODUCT(固有振動数!$Q$6:$Q$22*固有振動数!$P$6:$P$22/((1-($A1033/固有振動数!$O$6:$O$22)^2)^2+固有振動数!$P$6:$P$22^2))</f>
        <v>-1.69324125828488</v>
      </c>
      <c r="D1033" s="128" t="n">
        <f aca="false">SQRT(B1033^2+C1033^2)</f>
        <v>3.74809036058207</v>
      </c>
      <c r="E1033" s="129" t="n">
        <f aca="false">20*LOG10(MAX(D1033,0.000000000001)/$K$3)</f>
        <v>11.4762010500199</v>
      </c>
    </row>
    <row r="1034" customFormat="false" ht="15" hidden="false" customHeight="false" outlineLevel="0" collapsed="false">
      <c r="A1034" s="122" t="n">
        <f aca="false">A1033+$F$3</f>
        <v>10280</v>
      </c>
      <c r="B1034" s="123" t="n">
        <f aca="false">SUMPRODUCT(固有振動数!$Q$6:$Q$22*(1-($A1034/固有振動数!$O$6:$O$22)^2)/((1-($A1034/固有振動数!$O$6:$O$22)^2)^2+固有振動数!$P$6:$P$22^2))</f>
        <v>3.48188806033951</v>
      </c>
      <c r="C1034" s="123" t="n">
        <f aca="false">-SUMPRODUCT(固有振動数!$Q$6:$Q$22*固有振動数!$P$6:$P$22/((1-($A1034/固有振動数!$O$6:$O$22)^2)^2+固有振動数!$P$6:$P$22^2))</f>
        <v>-1.67761996081456</v>
      </c>
      <c r="D1034" s="124" t="n">
        <f aca="false">SQRT(B1034^2+C1034^2)</f>
        <v>3.86496483782949</v>
      </c>
      <c r="E1034" s="125" t="n">
        <f aca="false">20*LOG10(MAX(D1034,0.000000000001)/$K$3)</f>
        <v>11.7429109440981</v>
      </c>
    </row>
    <row r="1035" customFormat="false" ht="15" hidden="false" customHeight="false" outlineLevel="0" collapsed="false">
      <c r="A1035" s="126" t="n">
        <f aca="false">A1034+$F$3</f>
        <v>10290</v>
      </c>
      <c r="B1035" s="127" t="n">
        <f aca="false">SUMPRODUCT(固有振動数!$Q$6:$Q$22*(1-($A1035/固有振動数!$O$6:$O$22)^2)/((1-($A1035/固有振動数!$O$6:$O$22)^2)^2+固有振動数!$P$6:$P$22^2))</f>
        <v>3.61827905705711</v>
      </c>
      <c r="C1035" s="127" t="n">
        <f aca="false">-SUMPRODUCT(固有振動数!$Q$6:$Q$22*固有振動数!$P$6:$P$22/((1-($A1035/固有振動数!$O$6:$O$22)^2)^2+固有振動数!$P$6:$P$22^2))</f>
        <v>-1.66254932356204</v>
      </c>
      <c r="D1035" s="128" t="n">
        <f aca="false">SQRT(B1035^2+C1035^2)</f>
        <v>3.98196102291506</v>
      </c>
      <c r="E1035" s="129" t="n">
        <f aca="false">20*LOG10(MAX(D1035,0.000000000001)/$K$3)</f>
        <v>12.001940093156</v>
      </c>
    </row>
    <row r="1036" customFormat="false" ht="15" hidden="false" customHeight="false" outlineLevel="0" collapsed="false">
      <c r="A1036" s="122" t="n">
        <f aca="false">A1035+$F$3</f>
        <v>10300</v>
      </c>
      <c r="B1036" s="123" t="n">
        <f aca="false">SUMPRODUCT(固有振動数!$Q$6:$Q$22*(1-($A1036/固有振動数!$O$6:$O$22)^2)/((1-($A1036/固有振動数!$O$6:$O$22)^2)^2+固有振動数!$P$6:$P$22^2))</f>
        <v>3.75304133465414</v>
      </c>
      <c r="C1036" s="123" t="n">
        <f aca="false">-SUMPRODUCT(固有振動数!$Q$6:$Q$22*固有振動数!$P$6:$P$22/((1-($A1036/固有振動数!$O$6:$O$22)^2)^2+固有振動数!$P$6:$P$22^2))</f>
        <v>-1.64801205960321</v>
      </c>
      <c r="D1036" s="124" t="n">
        <f aca="false">SQRT(B1036^2+C1036^2)</f>
        <v>4.09893437471499</v>
      </c>
      <c r="E1036" s="125" t="n">
        <f aca="false">20*LOG10(MAX(D1036,0.000000000001)/$K$3)</f>
        <v>12.2534193034986</v>
      </c>
    </row>
    <row r="1037" customFormat="false" ht="15" hidden="false" customHeight="false" outlineLevel="0" collapsed="false">
      <c r="A1037" s="126" t="n">
        <f aca="false">A1036+$F$3</f>
        <v>10310</v>
      </c>
      <c r="B1037" s="127" t="n">
        <f aca="false">SUMPRODUCT(固有振動数!$Q$6:$Q$22*(1-($A1037/固有振動数!$O$6:$O$22)^2)/((1-($A1037/固有振動数!$O$6:$O$22)^2)^2+固有振動数!$P$6:$P$22^2))</f>
        <v>3.88622417205715</v>
      </c>
      <c r="C1037" s="127" t="n">
        <f aca="false">-SUMPRODUCT(固有振動数!$Q$6:$Q$22*固有振動数!$P$6:$P$22/((1-($A1037/固有振動数!$O$6:$O$22)^2)^2+固有振動数!$P$6:$P$22^2))</f>
        <v>-1.63399168372106</v>
      </c>
      <c r="D1037" s="128" t="n">
        <f aca="false">SQRT(B1037^2+C1037^2)</f>
        <v>4.21576412266518</v>
      </c>
      <c r="E1037" s="129" t="n">
        <f aca="false">20*LOG10(MAX(D1037,0.000000000001)/$K$3)</f>
        <v>12.4975260711738</v>
      </c>
    </row>
    <row r="1038" customFormat="false" ht="15" hidden="false" customHeight="false" outlineLevel="0" collapsed="false">
      <c r="A1038" s="122" t="n">
        <f aca="false">A1037+$F$3</f>
        <v>10320</v>
      </c>
      <c r="B1038" s="123" t="n">
        <f aca="false">SUMPRODUCT(固有振動数!$Q$6:$Q$22*(1-($A1038/固有振動数!$O$6:$O$22)^2)/((1-($A1038/固有振動数!$O$6:$O$22)^2)^2+固有振動数!$P$6:$P$22^2))</f>
        <v>4.01787533912335</v>
      </c>
      <c r="C1038" s="123" t="n">
        <f aca="false">-SUMPRODUCT(固有振動数!$Q$6:$Q$22*固有振動数!$P$6:$P$22/((1-($A1038/固有振動数!$O$6:$O$22)^2)^2+固有振動数!$P$6:$P$22^2))</f>
        <v>-1.62047247229753</v>
      </c>
      <c r="D1038" s="124" t="n">
        <f aca="false">SQRT(B1038^2+C1038^2)</f>
        <v>4.33234962511218</v>
      </c>
      <c r="E1038" s="125" t="n">
        <f aca="false">20*LOG10(MAX(D1038,0.000000000001)/$K$3)</f>
        <v>12.7344699476619</v>
      </c>
    </row>
    <row r="1039" customFormat="false" ht="15" hidden="false" customHeight="false" outlineLevel="0" collapsed="false">
      <c r="A1039" s="126" t="n">
        <f aca="false">A1038+$F$3</f>
        <v>10330</v>
      </c>
      <c r="B1039" s="127" t="n">
        <f aca="false">SUMPRODUCT(固有振動数!$Q$6:$Q$22*(1-($A1039/固有振動数!$O$6:$O$22)^2)/((1-($A1039/固有振動数!$O$6:$O$22)^2)^2+固有振動数!$P$6:$P$22^2))</f>
        <v>4.14804116197926</v>
      </c>
      <c r="C1039" s="127" t="n">
        <f aca="false">-SUMPRODUCT(固有振動数!$Q$6:$Q$22*固有振動数!$P$6:$P$22/((1-($A1039/固有振動数!$O$6:$O$22)^2)^2+固有振動数!$P$6:$P$22^2))</f>
        <v>-1.60743942564806</v>
      </c>
      <c r="D1039" s="128" t="n">
        <f aca="false">SQRT(B1039^2+C1039^2)</f>
        <v>4.44860730887791</v>
      </c>
      <c r="E1039" s="129" t="n">
        <f aca="false">20*LOG10(MAX(D1039,0.000000000001)/$K$3)</f>
        <v>12.9644814208077</v>
      </c>
    </row>
    <row r="1040" customFormat="false" ht="15" hidden="false" customHeight="false" outlineLevel="0" collapsed="false">
      <c r="A1040" s="122" t="n">
        <f aca="false">A1039+$F$3</f>
        <v>10340</v>
      </c>
      <c r="B1040" s="123" t="n">
        <f aca="false">SUMPRODUCT(固有振動数!$Q$6:$Q$22*(1-($A1040/固有振動数!$O$6:$O$22)^2)/((1-($A1040/固有振動数!$O$6:$O$22)^2)^2+固有振動数!$P$6:$P$22^2))</f>
        <v>4.27676658527088</v>
      </c>
      <c r="C1040" s="123" t="n">
        <f aca="false">-SUMPRODUCT(固有振動数!$Q$6:$Q$22*固有振動数!$P$6:$P$22/((1-($A1040/固有振動数!$O$6:$O$22)^2)^2+固有振動数!$P$6:$P$22^2))</f>
        <v>-1.5948782326356</v>
      </c>
      <c r="D1040" s="124" t="n">
        <f aca="false">SQRT(B1040^2+C1040^2)</f>
        <v>4.56446809626537</v>
      </c>
      <c r="E1040" s="125" t="n">
        <f aca="false">20*LOG10(MAX(D1040,0.000000000001)/$K$3)</f>
        <v>13.1878035177311</v>
      </c>
    </row>
    <row r="1041" customFormat="false" ht="15" hidden="false" customHeight="false" outlineLevel="0" collapsed="false">
      <c r="A1041" s="126" t="n">
        <f aca="false">A1040+$F$3</f>
        <v>10350</v>
      </c>
      <c r="B1041" s="127" t="n">
        <f aca="false">SUMPRODUCT(固有振動数!$Q$6:$Q$22*(1-($A1041/固有振動数!$O$6:$O$22)^2)/((1-($A1041/固有振動数!$O$6:$O$22)^2)^2+固有振動数!$P$6:$P$22^2))</f>
        <v>4.40409523150042</v>
      </c>
      <c r="C1041" s="127" t="n">
        <f aca="false">-SUMPRODUCT(固有振動数!$Q$6:$Q$22*固有振動数!$P$6:$P$22/((1-($A1041/固有振動数!$O$6:$O$22)^2)^2+固有振動数!$P$6:$P$22^2))</f>
        <v>-1.58277523741304</v>
      </c>
      <c r="D1041" s="128" t="n">
        <f aca="false">SQRT(B1041^2+C1041^2)</f>
        <v>4.67987523982132</v>
      </c>
      <c r="E1041" s="129" t="n">
        <f aca="false">20*LOG10(MAX(D1041,0.000000000001)/$K$3)</f>
        <v>13.4046855085791</v>
      </c>
    </row>
    <row r="1042" customFormat="false" ht="15" hidden="false" customHeight="false" outlineLevel="0" collapsed="false">
      <c r="A1042" s="122" t="n">
        <f aca="false">A1041+$F$3</f>
        <v>10360</v>
      </c>
      <c r="B1042" s="123" t="n">
        <f aca="false">SUMPRODUCT(固有振動数!$Q$6:$Q$22*(1-($A1042/固有振動数!$O$6:$O$22)^2)/((1-($A1042/固有振動数!$O$6:$O$22)^2)^2+固有振動数!$P$6:$P$22^2))</f>
        <v>4.53006945761383</v>
      </c>
      <c r="C1042" s="123" t="n">
        <f aca="false">-SUMPRODUCT(固有振動数!$Q$6:$Q$22*固有振動数!$P$6:$P$22/((1-($A1042/固有振動数!$O$6:$O$22)^2)^2+固有振動数!$P$6:$P$22^2))</f>
        <v>-1.5711174081544</v>
      </c>
      <c r="D1042" s="124" t="n">
        <f aca="false">SQRT(B1042^2+C1042^2)</f>
        <v>4.79478249777938</v>
      </c>
      <c r="E1042" s="125" t="n">
        <f aca="false">20*LOG10(MAX(D1042,0.000000000001)/$K$3)</f>
        <v>13.6153782273948</v>
      </c>
    </row>
    <row r="1043" customFormat="false" ht="15" hidden="false" customHeight="false" outlineLevel="0" collapsed="false">
      <c r="A1043" s="126" t="n">
        <f aca="false">A1042+$F$3</f>
        <v>10370</v>
      </c>
      <c r="B1043" s="127" t="n">
        <f aca="false">SUMPRODUCT(固有振動数!$Q$6:$Q$22*(1-($A1043/固有振動数!$O$6:$O$22)^2)/((1-($A1043/固有振動数!$O$6:$O$22)^2)^2+固有振動数!$P$6:$P$22^2))</f>
        <v>4.65473040899334</v>
      </c>
      <c r="C1043" s="127" t="n">
        <f aca="false">-SUMPRODUCT(固有振動数!$Q$6:$Q$22*固有振動数!$P$6:$P$22/((1-($A1043/固有振動数!$O$6:$O$22)^2)^2+固有振動数!$P$6:$P$22^2))</f>
        <v>-1.55989230764572</v>
      </c>
      <c r="D1043" s="128" t="n">
        <f aca="false">SQRT(B1043^2+C1043^2)</f>
        <v>4.90915259406953</v>
      </c>
      <c r="E1043" s="129" t="n">
        <f aca="false">20*LOG10(MAX(D1043,0.000000000001)/$K$3)</f>
        <v>13.8201306347959</v>
      </c>
    </row>
    <row r="1044" customFormat="false" ht="15" hidden="false" customHeight="false" outlineLevel="0" collapsed="false">
      <c r="A1044" s="122" t="n">
        <f aca="false">A1043+$F$3</f>
        <v>10380</v>
      </c>
      <c r="B1044" s="123" t="n">
        <f aca="false">SUMPRODUCT(固有振動数!$Q$6:$Q$22*(1-($A1044/固有振動数!$O$6:$O$22)^2)/((1-($A1044/固有振動数!$O$6:$O$22)^2)^2+固有振動数!$P$6:$P$22^2))</f>
        <v>4.77811807099981</v>
      </c>
      <c r="C1044" s="123" t="n">
        <f aca="false">-SUMPRODUCT(固有振動数!$Q$6:$Q$22*固有振動数!$P$6:$P$22/((1-($A1044/固有振動数!$O$6:$O$22)^2)^2+固有振動数!$P$6:$P$22^2))</f>
        <v>-1.54908806561593</v>
      </c>
      <c r="D1044" s="124" t="n">
        <f aca="false">SQRT(B1044^2+C1044^2)</f>
        <v>5.0229559161363</v>
      </c>
      <c r="E1044" s="125" t="n">
        <f aca="false">20*LOG10(MAX(D1044,0.000000000001)/$K$3)</f>
        <v>14.0191873320034</v>
      </c>
    </row>
    <row r="1045" customFormat="false" ht="15" hidden="false" customHeight="false" outlineLevel="0" collapsed="false">
      <c r="A1045" s="126" t="n">
        <f aca="false">A1044+$F$3</f>
        <v>10390</v>
      </c>
      <c r="B1045" s="127" t="n">
        <f aca="false">SUMPRODUCT(固有振動数!$Q$6:$Q$22*(1-($A1045/固有振動数!$O$6:$O$22)^2)/((1-($A1045/固有振動数!$O$6:$O$22)^2)^2+固有振動数!$P$6:$P$22^2))</f>
        <v>4.90027131820095</v>
      </c>
      <c r="C1045" s="127" t="n">
        <f aca="false">-SUMPRODUCT(固有振動数!$Q$6:$Q$22*固有振動数!$P$6:$P$22/((1-($A1045/固有振動数!$O$6:$O$22)^2)^2+固有振動数!$P$6:$P$22^2))</f>
        <v>-1.53869335269689</v>
      </c>
      <c r="D1045" s="128" t="n">
        <f aca="false">SQRT(B1045^2+C1045^2)</f>
        <v>5.13616941169355</v>
      </c>
      <c r="E1045" s="129" t="n">
        <f aca="false">20*LOG10(MAX(D1045,0.000000000001)/$K$3)</f>
        <v>14.2127868018011</v>
      </c>
    </row>
    <row r="1046" customFormat="false" ht="15" hidden="false" customHeight="false" outlineLevel="0" collapsed="false">
      <c r="A1046" s="122" t="n">
        <f aca="false">A1045+$F$3</f>
        <v>10400</v>
      </c>
      <c r="B1046" s="123" t="n">
        <f aca="false">SUMPRODUCT(固有振動数!$Q$6:$Q$22*(1-($A1046/固有振動数!$O$6:$O$22)^2)/((1-($A1046/固有振動数!$O$6:$O$22)^2)^2+固有振動数!$P$6:$P$22^2))</f>
        <v>5.02122796141337</v>
      </c>
      <c r="C1046" s="123" t="n">
        <f aca="false">-SUMPRODUCT(固有振動数!$Q$6:$Q$22*固有振動数!$P$6:$P$22/((1-($A1046/固有振動数!$O$6:$O$22)^2)^2+固有振動数!$P$6:$P$22^2))</f>
        <v>-1.52869735591014</v>
      </c>
      <c r="D1046" s="124" t="n">
        <f aca="false">SQRT(B1046^2+C1046^2)</f>
        <v>5.24877565213508</v>
      </c>
      <c r="E1046" s="125" t="n">
        <f aca="false">20*LOG10(MAX(D1046,0.000000000001)/$K$3)</f>
        <v>14.4011602032309</v>
      </c>
    </row>
    <row r="1047" customFormat="false" ht="15" hidden="false" customHeight="false" outlineLevel="0" collapsed="false">
      <c r="A1047" s="126" t="n">
        <f aca="false">A1046+$F$3</f>
        <v>10410</v>
      </c>
      <c r="B1047" s="127" t="n">
        <f aca="false">SUMPRODUCT(固有振動数!$Q$6:$Q$22*(1-($A1047/固有振動数!$O$6:$O$22)^2)/((1-($A1047/固有振動数!$O$6:$O$22)^2)^2+固有振動数!$P$6:$P$22^2))</f>
        <v>5.14102479267865</v>
      </c>
      <c r="C1047" s="127" t="n">
        <f aca="false">-SUMPRODUCT(固有振動数!$Q$6:$Q$22*固有振動数!$P$6:$P$22/((1-($A1047/固有振動数!$O$6:$O$22)^2)^2+固有振動数!$P$6:$P$22^2))</f>
        <v>-1.5190897555849</v>
      </c>
      <c r="D1047" s="128" t="n">
        <f aca="false">SQRT(B1047^2+C1047^2)</f>
        <v>5.3607620357986</v>
      </c>
      <c r="E1047" s="129" t="n">
        <f aca="false">20*LOG10(MAX(D1047,0.000000000001)/$K$3)</f>
        <v>14.5845305864636</v>
      </c>
    </row>
    <row r="1048" customFormat="false" ht="15" hidden="false" customHeight="false" outlineLevel="0" collapsed="false">
      <c r="A1048" s="122" t="n">
        <f aca="false">A1047+$F$3</f>
        <v>10420</v>
      </c>
      <c r="B1048" s="123" t="n">
        <f aca="false">SUMPRODUCT(固有振動数!$Q$6:$Q$22*(1-($A1048/固有振動数!$O$6:$O$22)^2)/((1-($A1048/固有振動数!$O$6:$O$22)^2)^2+固有振動数!$P$6:$P$22^2))</f>
        <v>5.25969762828699</v>
      </c>
      <c r="C1048" s="123" t="n">
        <f aca="false">-SUMPRODUCT(固有振動数!$Q$6:$Q$22*固有振動数!$P$6:$P$22/((1-($A1048/固有振動数!$O$6:$O$22)^2)^2+固有振動数!$P$6:$P$22^2))</f>
        <v>-1.50986070361919</v>
      </c>
      <c r="D1048" s="124" t="n">
        <f aca="false">SQRT(B1048^2+C1048^2)</f>
        <v>5.472120108819</v>
      </c>
      <c r="E1048" s="125" t="n">
        <f aca="false">20*LOG10(MAX(D1048,0.000000000001)/$K$3)</f>
        <v>14.7631124249168</v>
      </c>
    </row>
    <row r="1049" customFormat="false" ht="15" hidden="false" customHeight="false" outlineLevel="0" collapsed="false">
      <c r="A1049" s="126" t="n">
        <f aca="false">A1048+$F$3</f>
        <v>10430</v>
      </c>
      <c r="B1049" s="127" t="n">
        <f aca="false">SUMPRODUCT(固有振動数!$Q$6:$Q$22*(1-($A1049/固有振動数!$O$6:$O$22)^2)/((1-($A1049/固有振動数!$O$6:$O$22)^2)^2+固有振動数!$P$6:$P$22^2))</f>
        <v>5.37728134995466</v>
      </c>
      <c r="C1049" s="127" t="n">
        <f aca="false">-SUMPRODUCT(固有振動数!$Q$6:$Q$22*固有振動数!$P$6:$P$22/((1-($A1049/固有振動数!$O$6:$O$22)^2)^2+固有振動数!$P$6:$P$22^2))</f>
        <v>-1.50100080300211</v>
      </c>
      <c r="D1049" s="128" t="n">
        <f aca="false">SQRT(B1049^2+C1049^2)</f>
        <v>5.58284498505764</v>
      </c>
      <c r="E1049" s="129" t="n">
        <f aca="false">20*LOG10(MAX(D1049,0.000000000001)/$K$3)</f>
        <v>14.9371113853492</v>
      </c>
    </row>
    <row r="1050" customFormat="false" ht="15" hidden="false" customHeight="false" outlineLevel="0" collapsed="false">
      <c r="A1050" s="122" t="n">
        <f aca="false">A1049+$F$3</f>
        <v>10440</v>
      </c>
      <c r="B1050" s="123" t="n">
        <f aca="false">SUMPRODUCT(固有振動数!$Q$6:$Q$22*(1-($A1050/固有振動数!$O$6:$O$22)^2)/((1-($A1050/固有振動数!$O$6:$O$22)^2)^2+固有振動数!$P$6:$P$22^2))</f>
        <v>5.49380994425631</v>
      </c>
      <c r="C1050" s="123" t="n">
        <f aca="false">-SUMPRODUCT(固有振動数!$Q$6:$Q$22*固有振動数!$P$6:$P$22/((1-($A1050/固有振動数!$O$6:$O$22)^2)^2+固有振動数!$P$6:$P$22^2))</f>
        <v>-1.49250108852098</v>
      </c>
      <c r="D1050" s="124" t="n">
        <f aca="false">SQRT(B1050^2+C1050^2)</f>
        <v>5.69293484969272</v>
      </c>
      <c r="E1050" s="125" t="n">
        <f aca="false">20*LOG10(MAX(D1050,0.000000000001)/$K$3)</f>
        <v>15.1067242749281</v>
      </c>
    </row>
    <row r="1051" customFormat="false" ht="15" hidden="false" customHeight="false" outlineLevel="0" collapsed="false">
      <c r="A1051" s="126" t="n">
        <f aca="false">A1050+$F$3</f>
        <v>10450</v>
      </c>
      <c r="B1051" s="127" t="n">
        <f aca="false">SUMPRODUCT(固有振動数!$Q$6:$Q$22*(1-($A1051/固有振動数!$O$6:$O$22)^2)/((1-($A1051/固有振動数!$O$6:$O$22)^2)^2+固有振動数!$P$6:$P$22^2))</f>
        <v>5.60931654040623</v>
      </c>
      <c r="C1051" s="127" t="n">
        <f aca="false">-SUMPRODUCT(固有振動数!$Q$6:$Q$22*固有振動数!$P$6:$P$22/((1-($A1051/固有振動数!$O$6:$O$22)^2)^2+固有振動数!$P$6:$P$22^2))</f>
        <v>-1.48435300858306</v>
      </c>
      <c r="D1051" s="128" t="n">
        <f aca="false">SQRT(B1051^2+C1051^2)</f>
        <v>5.80239053361324</v>
      </c>
      <c r="E1051" s="129" t="n">
        <f aca="false">20*LOG10(MAX(D1051,0.000000000001)/$K$3)</f>
        <v>15.2721391183759</v>
      </c>
    </row>
    <row r="1052" customFormat="false" ht="15" hidden="false" customHeight="false" outlineLevel="0" collapsed="false">
      <c r="A1052" s="122" t="n">
        <f aca="false">A1051+$F$3</f>
        <v>10460</v>
      </c>
      <c r="B1052" s="123" t="n">
        <f aca="false">SUMPRODUCT(固有振動数!$Q$6:$Q$22*(1-($A1052/固有振動数!$O$6:$O$22)^2)/((1-($A1052/固有振動数!$O$6:$O$22)^2)^2+固有振動数!$P$6:$P$22^2))</f>
        <v>5.72383344647851</v>
      </c>
      <c r="C1052" s="123" t="n">
        <f aca="false">-SUMPRODUCT(固有振動数!$Q$6:$Q$22*固有振動数!$P$6:$P$22/((1-($A1052/固有振動数!$O$6:$O$22)^2)^2+固有振動数!$P$6:$P$22^2))</f>
        <v>-1.47654840808573</v>
      </c>
      <c r="D1052" s="124" t="n">
        <f aca="false">SQRT(B1052^2+C1052^2)</f>
        <v>5.91121514787328</v>
      </c>
      <c r="E1052" s="125" t="n">
        <f aca="false">20*LOG10(MAX(D1052,0.000000000001)/$K$3)</f>
        <v>15.4335353291998</v>
      </c>
    </row>
    <row r="1053" customFormat="false" ht="15" hidden="false" customHeight="false" outlineLevel="0" collapsed="false">
      <c r="A1053" s="126" t="n">
        <f aca="false">A1052+$F$3</f>
        <v>10470</v>
      </c>
      <c r="B1053" s="127" t="n">
        <f aca="false">SUMPRODUCT(固有振動数!$Q$6:$Q$22*(1-($A1053/固有振動数!$O$6:$O$22)^2)/((1-($A1053/固有振動数!$O$6:$O$22)^2)^2+固有振動数!$P$6:$P$22^2))</f>
        <v>5.83739218415005</v>
      </c>
      <c r="C1053" s="127" t="n">
        <f aca="false">-SUMPRODUCT(固有振動数!$Q$6:$Q$22*固有振動数!$P$6:$P$22/((1-($A1053/固有振動数!$O$6:$O$22)^2)^2+固有振動数!$P$6:$P$22^2))</f>
        <v>-1.4690795122745</v>
      </c>
      <c r="D1053" s="128" t="n">
        <f aca="false">SQRT(B1053^2+C1053^2)</f>
        <v>6.01941376921049</v>
      </c>
      <c r="E1053" s="129" t="n">
        <f aca="false">20*LOG10(MAX(D1053,0.000000000001)/$K$3)</f>
        <v>15.5910839474349</v>
      </c>
    </row>
    <row r="1054" customFormat="false" ht="15" hidden="false" customHeight="false" outlineLevel="0" collapsed="false">
      <c r="A1054" s="122" t="n">
        <f aca="false">A1053+$F$3</f>
        <v>10480</v>
      </c>
      <c r="B1054" s="123" t="n">
        <f aca="false">SUMPRODUCT(固有振動数!$Q$6:$Q$22*(1-($A1054/固有振動数!$O$6:$O$22)^2)/((1-($A1054/固有振動数!$O$6:$O$22)^2)^2+固有振動数!$P$6:$P$22^2))</f>
        <v>5.9500235220463</v>
      </c>
      <c r="C1054" s="123" t="n">
        <f aca="false">-SUMPRODUCT(固有振動数!$Q$6:$Q$22*固有振動数!$P$6:$P$22/((1-($A1054/固有振動数!$O$6:$O$22)^2)^2+固有振動数!$P$6:$P$22^2))</f>
        <v>-1.46193891153182</v>
      </c>
      <c r="D1054" s="124" t="n">
        <f aca="false">SQRT(B1054^2+C1054^2)</f>
        <v>6.12699316908017</v>
      </c>
      <c r="E1054" s="125" t="n">
        <f aca="false">20*LOG10(MAX(D1054,0.000000000001)/$K$3)</f>
        <v>15.7449479228381</v>
      </c>
    </row>
    <row r="1055" customFormat="false" ht="15" hidden="false" customHeight="false" outlineLevel="0" collapsed="false">
      <c r="A1055" s="126" t="n">
        <f aca="false">A1054+$F$3</f>
        <v>10490</v>
      </c>
      <c r="B1055" s="127" t="n">
        <f aca="false">SUMPRODUCT(固有振動数!$Q$6:$Q$22*(1-($A1055/固有振動数!$O$6:$O$22)^2)/((1-($A1055/固有振動数!$O$6:$O$22)^2)^2+固有振動数!$P$6:$P$22^2))</f>
        <v>6.0617575077649</v>
      </c>
      <c r="C1055" s="127" t="n">
        <f aca="false">-SUMPRODUCT(固有振動数!$Q$6:$Q$22*固有振動数!$P$6:$P$22/((1-($A1055/固有振動数!$O$6:$O$22)^2)^2+固有振動数!$P$6:$P$22^2))</f>
        <v>-1.45511954704412</v>
      </c>
      <c r="D1055" s="128" t="n">
        <f aca="false">SQRT(B1055^2+C1055^2)</f>
        <v>6.23396157985707</v>
      </c>
      <c r="E1055" s="129" t="n">
        <f aca="false">20*LOG10(MAX(D1055,0.000000000001)/$K$3)</f>
        <v>15.8952824275123</v>
      </c>
    </row>
    <row r="1056" customFormat="false" ht="15" hidden="false" customHeight="false" outlineLevel="0" collapsed="false">
      <c r="A1056" s="122" t="n">
        <f aca="false">A1055+$F$3</f>
        <v>10500</v>
      </c>
      <c r="B1056" s="123" t="n">
        <f aca="false">SUMPRODUCT(固有振動数!$Q$6:$Q$22*(1-($A1056/固有振動数!$O$6:$O$22)^2)/((1-($A1056/固有振動数!$O$6:$O$22)^2)^2+固有振動数!$P$6:$P$22^2))</f>
        <v>6.17262349864846</v>
      </c>
      <c r="C1056" s="123" t="n">
        <f aca="false">-SUMPRODUCT(固有振動数!$Q$6:$Q$22*固有振動数!$P$6:$P$22/((1-($A1056/固有振動数!$O$6:$O$22)^2)^2+固有振動数!$P$6:$P$22^2))</f>
        <v>-1.44861469729792</v>
      </c>
      <c r="D1056" s="124" t="n">
        <f aca="false">SQRT(B1056^2+C1056^2)</f>
        <v>6.34032849285388</v>
      </c>
      <c r="E1056" s="125" t="n">
        <f aca="false">20*LOG10(MAX(D1056,0.000000000001)/$K$3)</f>
        <v>16.0422351858304</v>
      </c>
    </row>
    <row r="1057" customFormat="false" ht="15" hidden="false" customHeight="false" outlineLevel="0" collapsed="false">
      <c r="A1057" s="126" t="n">
        <f aca="false">A1056+$F$3</f>
        <v>10510</v>
      </c>
      <c r="B1057" s="127" t="n">
        <f aca="false">SUMPRODUCT(固有振動数!$Q$6:$Q$22*(1-($A1057/固有振動数!$O$6:$O$22)^2)/((1-($A1057/固有振動数!$O$6:$O$22)^2)^2+固有振動数!$P$6:$P$22^2))</f>
        <v>6.28265019137383</v>
      </c>
      <c r="C1057" s="127" t="n">
        <f aca="false">-SUMPRODUCT(固有振動数!$Q$6:$Q$22*固有振動数!$P$6:$P$22/((1-($A1057/固有振動数!$O$6:$O$22)^2)^2+固有振動数!$P$6:$P$22^2))</f>
        <v>-1.44241796535938</v>
      </c>
      <c r="D1057" s="128" t="n">
        <f aca="false">SQRT(B1057^2+C1057^2)</f>
        <v>6.44610448363669</v>
      </c>
      <c r="E1057" s="129" t="n">
        <f aca="false">20*LOG10(MAX(D1057,0.000000000001)/$K$3)</f>
        <v>16.18594681254</v>
      </c>
    </row>
    <row r="1058" customFormat="false" ht="15" hidden="false" customHeight="false" outlineLevel="0" collapsed="false">
      <c r="A1058" s="122" t="n">
        <f aca="false">A1057+$F$3</f>
        <v>10520</v>
      </c>
      <c r="B1058" s="123" t="n">
        <f aca="false">SUMPRODUCT(固有振動数!$Q$6:$Q$22*(1-($A1058/固有振動数!$O$6:$O$22)^2)/((1-($A1058/固有振動数!$O$6:$O$22)^2)^2+固有振動数!$P$6:$P$22^2))</f>
        <v>6.39186565042156</v>
      </c>
      <c r="C1058" s="123" t="n">
        <f aca="false">-SUMPRODUCT(固有振動数!$Q$6:$Q$22*固有振動数!$P$6:$P$22/((1-($A1058/固有振動数!$O$6:$O$22)^2)^2+固有振動数!$P$6:$P$22^2))</f>
        <v>-1.43652326689482</v>
      </c>
      <c r="D1058" s="124" t="n">
        <f aca="false">SQRT(B1058^2+C1058^2)</f>
        <v>6.55130106080992</v>
      </c>
      <c r="E1058" s="125" t="n">
        <f aca="false">20*LOG10(MAX(D1058,0.000000000001)/$K$3)</f>
        <v>16.3265511522601</v>
      </c>
    </row>
    <row r="1059" customFormat="false" ht="15" hidden="false" customHeight="false" outlineLevel="0" collapsed="false">
      <c r="A1059" s="126" t="n">
        <f aca="false">A1058+$F$3</f>
        <v>10530</v>
      </c>
      <c r="B1059" s="127" t="n">
        <f aca="false">SUMPRODUCT(固有振動数!$Q$6:$Q$22*(1-($A1059/固有振動数!$O$6:$O$22)^2)/((1-($A1059/固有振動数!$O$6:$O$22)^2)^2+固有振動数!$P$6:$P$22^2))</f>
        <v>6.50029733548609</v>
      </c>
      <c r="C1059" s="127" t="n">
        <f aca="false">-SUMPRODUCT(固有振動数!$Q$6:$Q$22*固有振動数!$P$6:$P$22/((1-($A1059/固有振動数!$O$6:$O$22)^2)^2+固有振動数!$P$6:$P$22^2))</f>
        <v>-1.43092481889281</v>
      </c>
      <c r="D1059" s="128" t="n">
        <f aca="false">SQRT(B1059^2+C1059^2)</f>
        <v>6.65593053502296</v>
      </c>
      <c r="E1059" s="129" t="n">
        <f aca="false">20*LOG10(MAX(D1059,0.000000000001)/$K$3)</f>
        <v>16.464175615372</v>
      </c>
    </row>
    <row r="1060" customFormat="false" ht="15" hidden="false" customHeight="false" outlineLevel="0" collapsed="false">
      <c r="A1060" s="122" t="n">
        <f aca="false">A1059+$F$3</f>
        <v>10540</v>
      </c>
      <c r="B1060" s="123" t="n">
        <f aca="false">SUMPRODUCT(固有振動数!$Q$6:$Q$22*(1-($A1060/固有振動数!$O$6:$O$22)^2)/((1-($A1060/固有振動数!$O$6:$O$22)^2)^2+固有振動数!$P$6:$P$22^2))</f>
        <v>6.60797212788394</v>
      </c>
      <c r="C1060" s="123" t="n">
        <f aca="false">-SUMPRODUCT(固有振動数!$Q$6:$Q$22*固有振動数!$P$6:$P$22/((1-($A1060/固有振動数!$O$6:$O$22)^2)^2+固有振動数!$P$6:$P$22^2))</f>
        <v>-1.42561712905088</v>
      </c>
      <c r="D1060" s="124" t="n">
        <f aca="false">SQRT(B1060^2+C1060^2)</f>
        <v>6.76000590543635</v>
      </c>
      <c r="E1060" s="125" t="n">
        <f aca="false">20*LOG10(MAX(D1060,0.000000000001)/$K$3)</f>
        <v>16.5989415066945</v>
      </c>
    </row>
    <row r="1061" customFormat="false" ht="15" hidden="false" customHeight="false" outlineLevel="0" collapsed="false">
      <c r="A1061" s="126" t="n">
        <f aca="false">A1060+$F$3</f>
        <v>10550</v>
      </c>
      <c r="B1061" s="127" t="n">
        <f aca="false">SUMPRODUCT(固有振動数!$Q$6:$Q$22*(1-($A1061/固有振動数!$O$6:$O$22)^2)/((1-($A1061/固有振動数!$O$6:$O$22)^2)^2+固有振動数!$P$6:$P$22^2))</f>
        <v>6.71491635601419</v>
      </c>
      <c r="C1061" s="127" t="n">
        <f aca="false">-SUMPRODUCT(固有振動数!$Q$6:$Q$22*固有振動数!$P$6:$P$22/((1-($A1061/固有振動数!$O$6:$O$22)^2)^2+固有振動数!$P$6:$P$22^2))</f>
        <v>-1.42059498579293</v>
      </c>
      <c r="D1061" s="128" t="n">
        <f aca="false">SQRT(B1061^2+C1061^2)</f>
        <v>6.86354076129274</v>
      </c>
      <c r="E1061" s="129" t="n">
        <f aca="false">20*LOG10(MAX(D1061,0.000000000001)/$K$3)</f>
        <v>16.7309643443983</v>
      </c>
    </row>
    <row r="1062" customFormat="false" ht="15" hidden="false" customHeight="false" outlineLevel="0" collapsed="false">
      <c r="A1062" s="122" t="n">
        <f aca="false">A1061+$F$3</f>
        <v>10560</v>
      </c>
      <c r="B1062" s="123" t="n">
        <f aca="false">SUMPRODUCT(固有振動数!$Q$6:$Q$22*(1-($A1062/固有振動数!$O$6:$O$22)^2)/((1-($A1062/固有振動数!$O$6:$O$22)^2)^2+固有振動数!$P$6:$P$22^2))</f>
        <v>6.82115581992294</v>
      </c>
      <c r="C1062" s="123" t="n">
        <f aca="false">-SUMPRODUCT(固有振動数!$Q$6:$Q$22*固有振動数!$P$6:$P$22/((1-($A1062/固有振動数!$O$6:$O$22)^2)^2+固有振動数!$P$6:$P$22^2))</f>
        <v>-1.41585344888529</v>
      </c>
      <c r="D1062" s="124" t="n">
        <f aca="false">SQRT(B1062^2+C1062^2)</f>
        <v>6.9665491965814</v>
      </c>
      <c r="E1062" s="125" t="n">
        <f aca="false">20*LOG10(MAX(D1062,0.000000000001)/$K$3)</f>
        <v>16.8603541674261</v>
      </c>
    </row>
    <row r="1063" customFormat="false" ht="15" hidden="false" customHeight="false" outlineLevel="0" collapsed="false">
      <c r="A1063" s="126" t="n">
        <f aca="false">A1062+$F$3</f>
        <v>10570</v>
      </c>
      <c r="B1063" s="127" t="n">
        <f aca="false">SUMPRODUCT(固有振動数!$Q$6:$Q$22*(1-($A1063/固有振動数!$O$6:$O$22)^2)/((1-($A1063/固有振動数!$O$6:$O$22)^2)^2+固有振動数!$P$6:$P$22^2))</f>
        <v>6.9267158150209</v>
      </c>
      <c r="C1063" s="127" t="n">
        <f aca="false">-SUMPRODUCT(固有振動数!$Q$6:$Q$22*固有振動数!$P$6:$P$22/((1-($A1063/固有振動数!$O$6:$O$22)^2)^2+固有振動数!$P$6:$P$22^2))</f>
        <v>-1.41138784062218</v>
      </c>
      <c r="D1063" s="128" t="n">
        <f aca="false">SQRT(B1063^2+C1063^2)</f>
        <v>7.06904573607476</v>
      </c>
      <c r="E1063" s="129" t="n">
        <f aca="false">20*LOG10(MAX(D1063,0.000000000001)/$K$3)</f>
        <v>16.9872158303136</v>
      </c>
    </row>
    <row r="1064" customFormat="false" ht="15" hidden="false" customHeight="false" outlineLevel="0" collapsed="false">
      <c r="A1064" s="122" t="n">
        <f aca="false">A1063+$F$3</f>
        <v>10580</v>
      </c>
      <c r="B1064" s="123" t="n">
        <f aca="false">SUMPRODUCT(固有振動数!$Q$6:$Q$22*(1-($A1064/固有振動数!$O$6:$O$22)^2)/((1-($A1064/固有振動数!$O$6:$O$22)^2)^2+固有振動数!$P$6:$P$22^2))</f>
        <v>7.0316211550006</v>
      </c>
      <c r="C1064" s="123" t="n">
        <f aca="false">-SUMPRODUCT(固有振動数!$Q$6:$Q$22*固有振動数!$P$6:$P$22/((1-($A1064/固有振動数!$O$6:$O$22)^2)^2+固有振動数!$P$6:$P$22^2))</f>
        <v>-1.40719373755285</v>
      </c>
      <c r="D1064" s="124" t="n">
        <f aca="false">SQRT(B1064^2+C1064^2)</f>
        <v>7.17104527125996</v>
      </c>
      <c r="E1064" s="125" t="n">
        <f aca="false">20*LOG10(MAX(D1064,0.000000000001)/$K$3)</f>
        <v>17.1116492847752</v>
      </c>
    </row>
    <row r="1065" customFormat="false" ht="15" hidden="false" customHeight="false" outlineLevel="0" collapsed="false">
      <c r="A1065" s="126" t="n">
        <f aca="false">A1064+$F$3</f>
        <v>10590</v>
      </c>
      <c r="B1065" s="127" t="n">
        <f aca="false">SUMPRODUCT(固有振動数!$Q$6:$Q$22*(1-($A1065/固有振動数!$O$6:$O$22)^2)/((1-($A1065/固有振動数!$O$6:$O$22)^2)^2+固有振動数!$P$6:$P$22^2))</f>
        <v>7.13589619399784</v>
      </c>
      <c r="C1065" s="127" t="n">
        <f aca="false">-SUMPRODUCT(固有振動数!$Q$6:$Q$22*固有振動数!$P$6:$P$22/((1-($A1065/固有振動数!$O$6:$O$22)^2)^2+固有振動数!$P$6:$P$22^2))</f>
        <v>-1.40326696272513</v>
      </c>
      <c r="D1065" s="128" t="n">
        <f aca="false">SQRT(B1065^2+C1065^2)</f>
        <v>7.27256300489646</v>
      </c>
      <c r="E1065" s="129" t="n">
        <f aca="false">20*LOG10(MAX(D1065,0.000000000001)/$K$3)</f>
        <v>17.2337498477744</v>
      </c>
    </row>
    <row r="1066" customFormat="false" ht="15" hidden="false" customHeight="false" outlineLevel="0" collapsed="false">
      <c r="A1066" s="122" t="n">
        <f aca="false">A1065+$F$3</f>
        <v>10600</v>
      </c>
      <c r="B1066" s="123" t="n">
        <f aca="false">SUMPRODUCT(固有振動数!$Q$6:$Q$22*(1-($A1066/固有振動数!$O$6:$O$22)^2)/((1-($A1066/固有振動数!$O$6:$O$22)^2)^2+固有振動数!$P$6:$P$22^2))</f>
        <v>7.2395648480397</v>
      </c>
      <c r="C1066" s="123" t="n">
        <f aca="false">-SUMPRODUCT(固有振動数!$Q$6:$Q$22*固有振動数!$P$6:$P$22/((1-($A1066/固有振動数!$O$6:$O$22)^2)^2+固有振動数!$P$6:$P$22^2))</f>
        <v>-1.39960357842158</v>
      </c>
      <c r="D1066" s="124" t="n">
        <f aca="false">SQRT(B1066^2+C1066^2)</f>
        <v>7.3736144031067</v>
      </c>
      <c r="E1066" s="125" t="n">
        <f aca="false">20*LOG10(MAX(D1066,0.000000000001)/$K$3)</f>
        <v>17.3536084560676</v>
      </c>
    </row>
    <row r="1067" customFormat="false" ht="15" hidden="false" customHeight="false" outlineLevel="0" collapsed="false">
      <c r="A1067" s="126" t="n">
        <f aca="false">A1066+$F$3</f>
        <v>10610</v>
      </c>
      <c r="B1067" s="127" t="n">
        <f aca="false">SUMPRODUCT(固有振動数!$Q$6:$Q$22*(1-($A1067/固有振動数!$O$6:$O$22)^2)/((1-($A1067/固有振動数!$O$6:$O$22)^2)^2+固有振動数!$P$6:$P$22^2))</f>
        <v>7.34265061581938</v>
      </c>
      <c r="C1067" s="127" t="n">
        <f aca="false">-SUMPRODUCT(固有振動数!$Q$6:$Q$22*固有振動数!$P$6:$P$22/((1-($A1067/固有振動数!$O$6:$O$22)^2)^2+固有振動数!$P$6:$P$22^2))</f>
        <v>-1.39619987936639</v>
      </c>
      <c r="D1067" s="128" t="n">
        <f aca="false">SQRT(B1067^2+C1067^2)</f>
        <v>7.47421515405701</v>
      </c>
      <c r="E1067" s="129" t="n">
        <f aca="false">20*LOG10(MAX(D1067,0.000000000001)/$K$3)</f>
        <v>17.4713119074006</v>
      </c>
    </row>
    <row r="1068" customFormat="false" ht="15" hidden="false" customHeight="false" outlineLevel="0" collapsed="false">
      <c r="A1068" s="122" t="n">
        <f aca="false">A1067+$F$3</f>
        <v>10620</v>
      </c>
      <c r="B1068" s="123" t="n">
        <f aca="false">SUMPRODUCT(固有振動数!$Q$6:$Q$22*(1-($A1068/固有振動数!$O$6:$O$22)^2)/((1-($A1068/固有振動数!$O$6:$O$22)^2)^2+固有振動数!$P$6:$P$22^2))</f>
        <v>7.44517659883653</v>
      </c>
      <c r="C1068" s="123" t="n">
        <f aca="false">-SUMPRODUCT(固有振動数!$Q$6:$Q$22*固有振動数!$P$6:$P$22/((1-($A1068/固有振動数!$O$6:$O$22)^2)^2+固有振動数!$P$6:$P$22^2))</f>
        <v>-1.3930523863828</v>
      </c>
      <c r="D1068" s="124" t="n">
        <f aca="false">SQRT(B1068^2+C1068^2)</f>
        <v>7.57438113241405</v>
      </c>
      <c r="E1068" s="125" t="n">
        <f aca="false">20*LOG10(MAX(D1068,0.000000000001)/$K$3)</f>
        <v>17.5869430886821</v>
      </c>
    </row>
    <row r="1069" customFormat="false" ht="15" hidden="false" customHeight="false" outlineLevel="0" collapsed="false">
      <c r="A1069" s="126" t="n">
        <f aca="false">A1068+$F$3</f>
        <v>10630</v>
      </c>
      <c r="B1069" s="127" t="n">
        <f aca="false">SUMPRODUCT(固有振動数!$Q$6:$Q$22*(1-($A1069/固有振動数!$O$6:$O$22)^2)/((1-($A1069/固有振動数!$O$6:$O$22)^2)^2+固有振動数!$P$6:$P$22^2))</f>
        <v>7.54716552094007</v>
      </c>
      <c r="C1069" s="127" t="n">
        <f aca="false">-SUMPRODUCT(固有振動数!$Q$6:$Q$22*固有振動数!$P$6:$P$22/((1-($A1069/固有振動数!$O$6:$O$22)^2)^2+固有振動数!$P$6:$P$22^2))</f>
        <v>-1.39015784048205</v>
      </c>
      <c r="D1069" s="128" t="n">
        <f aca="false">SQRT(B1069^2+C1069^2)</f>
        <v>7.67412836887163</v>
      </c>
      <c r="E1069" s="129" t="n">
        <f aca="false">20*LOG10(MAX(D1069,0.000000000001)/$K$3)</f>
        <v>17.7005811915548</v>
      </c>
    </row>
    <row r="1070" customFormat="false" ht="15" hidden="false" customHeight="false" outlineLevel="0" collapsed="false">
      <c r="A1070" s="122" t="n">
        <f aca="false">A1069+$F$3</f>
        <v>10640</v>
      </c>
      <c r="B1070" s="123" t="n">
        <f aca="false">SUMPRODUCT(固有振動数!$Q$6:$Q$22*(1-($A1070/固有振動数!$O$6:$O$22)^2)/((1-($A1070/固有振動数!$O$6:$O$22)^2)^2+固有振動数!$P$6:$P$22^2))</f>
        <v>7.64863974730854</v>
      </c>
      <c r="C1070" s="123" t="n">
        <f aca="false">-SUMPRODUCT(固有振動数!$Q$6:$Q$22*固有振動数!$P$6:$P$22/((1-($A1070/固有振動数!$O$6:$O$22)^2)^2+固有振動数!$P$6:$P$22^2))</f>
        <v>-1.38751319736675</v>
      </c>
      <c r="D1070" s="124" t="n">
        <f aca="false">SQRT(B1070^2+C1070^2)</f>
        <v>7.77347302413631</v>
      </c>
      <c r="E1070" s="125" t="n">
        <f aca="false">20*LOG10(MAX(D1070,0.000000000001)/$K$3)</f>
        <v>17.8123019158535</v>
      </c>
    </row>
    <row r="1071" customFormat="false" ht="15" hidden="false" customHeight="false" outlineLevel="0" collapsed="false">
      <c r="A1071" s="126" t="n">
        <f aca="false">A1070+$F$3</f>
        <v>10650</v>
      </c>
      <c r="B1071" s="127" t="n">
        <f aca="false">SUMPRODUCT(固有振動数!$Q$6:$Q$22*(1-($A1071/固有振動数!$O$6:$O$22)^2)/((1-($A1071/固有振動数!$O$6:$O$22)^2)^2+固有振動数!$P$6:$P$22^2))</f>
        <v>7.74962130290193</v>
      </c>
      <c r="C1071" s="127" t="n">
        <f aca="false">-SUMPRODUCT(固有振動数!$Q$6:$Q$22*固有振動数!$P$6:$P$22/((1-($A1071/固有振動数!$O$6:$O$22)^2)^2+固有振動数!$P$6:$P$22^2))</f>
        <v>-1.38511562233256</v>
      </c>
      <c r="D1071" s="128" t="n">
        <f aca="false">SQRT(B1071^2+C1071^2)</f>
        <v>7.87243136684094</v>
      </c>
      <c r="E1071" s="129" t="n">
        <f aca="false">20*LOG10(MAX(D1071,0.000000000001)/$K$3)</f>
        <v>17.9221776614789</v>
      </c>
    </row>
    <row r="1072" customFormat="false" ht="15" hidden="false" customHeight="false" outlineLevel="0" collapsed="false">
      <c r="A1072" s="122" t="n">
        <f aca="false">A1071+$F$3</f>
        <v>10660</v>
      </c>
      <c r="B1072" s="123" t="n">
        <f aca="false">SUMPRODUCT(固有振動数!$Q$6:$Q$22*(1-($A1072/固有振動数!$O$6:$O$22)^2)/((1-($A1072/固有振動数!$O$6:$O$22)^2)^2+固有振動数!$P$6:$P$22^2))</f>
        <v>7.85013189041741</v>
      </c>
      <c r="C1072" s="123" t="n">
        <f aca="false">-SUMPRODUCT(固有振動数!$Q$6:$Q$22*固有振動数!$P$6:$P$22/((1-($A1072/固有振動数!$O$6:$O$22)^2)^2+固有振動数!$P$6:$P$22^2))</f>
        <v>-1.38296248555355</v>
      </c>
      <c r="D1072" s="124" t="n">
        <f aca="false">SQRT(B1072^2+C1072^2)</f>
        <v>7.97101975492452</v>
      </c>
      <c r="E1072" s="125" t="n">
        <f aca="false">20*LOG10(MAX(D1072,0.000000000001)/$K$3)</f>
        <v>18.0302777092431</v>
      </c>
    </row>
    <row r="1073" customFormat="false" ht="15" hidden="false" customHeight="false" outlineLevel="0" collapsed="false">
      <c r="A1073" s="126" t="n">
        <f aca="false">A1072+$F$3</f>
        <v>10670</v>
      </c>
      <c r="B1073" s="127" t="n">
        <f aca="false">SUMPRODUCT(固有振動数!$Q$6:$Q$22*(1-($A1073/固有振動数!$O$6:$O$22)^2)/((1-($A1073/固有振動数!$O$6:$O$22)^2)^2+固有振動数!$P$6:$P$22^2))</f>
        <v>7.95019290778013</v>
      </c>
      <c r="C1073" s="127" t="n">
        <f aca="false">-SUMPRODUCT(固有振動数!$Q$6:$Q$22*固有振動数!$P$6:$P$22/((1-($A1073/固有振動数!$O$6:$O$22)^2)^2+固有振動数!$P$6:$P$22^2))</f>
        <v>-1.38105135773777</v>
      </c>
      <c r="D1073" s="128" t="n">
        <f aca="false">SQRT(B1073^2+C1073^2)</f>
        <v>8.06925462007656</v>
      </c>
      <c r="E1073" s="129" t="n">
        <f aca="false">20*LOG10(MAX(D1073,0.000000000001)/$K$3)</f>
        <v>18.1366683912483</v>
      </c>
    </row>
    <row r="1074" customFormat="false" ht="15" hidden="false" customHeight="false" outlineLevel="0" collapsed="false">
      <c r="A1074" s="122" t="n">
        <f aca="false">A1073+$F$3</f>
        <v>10680</v>
      </c>
      <c r="B1074" s="123" t="n">
        <f aca="false">SUMPRODUCT(固有振動数!$Q$6:$Q$22*(1-($A1074/固有振動数!$O$6:$O$22)^2)/((1-($A1074/固有振動数!$O$6:$O$22)^2)^2+固有振動数!$P$6:$P$22^2))</f>
        <v>8.04982546519898</v>
      </c>
      <c r="C1074" s="123" t="n">
        <f aca="false">-SUMPRODUCT(固有振動数!$Q$6:$Q$22*固有振動数!$P$6:$P$22/((1-($A1074/固有振動数!$O$6:$O$22)^2)^2+固有振動数!$P$6:$P$22^2))</f>
        <v>-1.37938000614072</v>
      </c>
      <c r="D1074" s="124" t="n">
        <f aca="false">SQRT(B1074^2+C1074^2)</f>
        <v>8.16715245489557</v>
      </c>
      <c r="E1074" s="125" t="n">
        <f aca="false">20*LOG10(MAX(D1074,0.000000000001)/$K$3)</f>
        <v>18.2414132513609</v>
      </c>
    </row>
    <row r="1075" customFormat="false" ht="15" hidden="false" customHeight="false" outlineLevel="0" collapsed="false">
      <c r="A1075" s="126" t="n">
        <f aca="false">A1074+$F$3</f>
        <v>10690</v>
      </c>
      <c r="B1075" s="127" t="n">
        <f aca="false">SUMPRODUCT(固有振動数!$Q$6:$Q$22*(1-($A1075/固有振動数!$O$6:$O$22)^2)/((1-($A1075/固有振動数!$O$6:$O$22)^2)^2+固有振動数!$P$6:$P$22^2))</f>
        <v>8.14905040181614</v>
      </c>
      <c r="C1075" s="127" t="n">
        <f aca="false">-SUMPRODUCT(固有振動数!$Q$6:$Q$22*固有振動数!$P$6:$P$22/((1-($A1075/固有振動数!$O$6:$O$22)^2)^2+固有振動数!$P$6:$P$22^2))</f>
        <v>-1.37794639092551</v>
      </c>
      <c r="D1075" s="128" t="n">
        <f aca="false">SQRT(B1075^2+C1075^2)</f>
        <v>8.26472980245601</v>
      </c>
      <c r="E1075" s="129" t="n">
        <f aca="false">20*LOG10(MAX(D1075,0.000000000001)/$K$3)</f>
        <v>18.3445731963332</v>
      </c>
    </row>
    <row r="1076" customFormat="false" ht="15" hidden="false" customHeight="false" outlineLevel="0" collapsed="false">
      <c r="A1076" s="122" t="n">
        <f aca="false">A1075+$F$3</f>
        <v>10700</v>
      </c>
      <c r="B1076" s="123" t="n">
        <f aca="false">SUMPRODUCT(固有振動数!$Q$6:$Q$22*(1-($A1076/固有振動数!$O$6:$O$22)^2)/((1-($A1076/固有振動数!$O$6:$O$22)^2)^2+固有振動数!$P$6:$P$22^2))</f>
        <v>8.24788830197859</v>
      </c>
      <c r="C1076" s="123" t="n">
        <f aca="false">-SUMPRODUCT(固有振動数!$Q$6:$Q$22*固有振動数!$P$6:$P$22/((1-($A1076/固有振動数!$O$6:$O$22)^2)^2+固有振動数!$P$6:$P$22^2))</f>
        <v>-1.37674866185972</v>
      </c>
      <c r="D1076" s="124" t="n">
        <f aca="false">SQRT(B1076^2+C1076^2)</f>
        <v>8.36200324801705</v>
      </c>
      <c r="E1076" s="125" t="n">
        <f aca="false">20*LOG10(MAX(D1076,0.000000000001)/$K$3)</f>
        <v>18.4462066381114</v>
      </c>
    </row>
    <row r="1077" customFormat="false" ht="15" hidden="false" customHeight="false" outlineLevel="0" collapsed="false">
      <c r="A1077" s="126" t="n">
        <f aca="false">A1076+$F$3</f>
        <v>10710</v>
      </c>
      <c r="B1077" s="127" t="n">
        <f aca="false">SUMPRODUCT(固有振動数!$Q$6:$Q$22*(1-($A1077/固有振動数!$O$6:$O$22)^2)/((1-($A1077/固有振動数!$O$6:$O$22)^2)^2+固有振動数!$P$6:$P$22^2))</f>
        <v>8.3463595111579</v>
      </c>
      <c r="C1077" s="127" t="n">
        <f aca="false">-SUMPRODUCT(固有振動数!$Q$6:$Q$22*固有振動数!$P$6:$P$22/((1-($A1077/固有振動数!$O$6:$O$22)^2)^2+固有振動数!$P$6:$P$22^2))</f>
        <v>-1.37578515533966</v>
      </c>
      <c r="D1077" s="128" t="n">
        <f aca="false">SQRT(B1077^2+C1077^2)</f>
        <v>8.45898941263961</v>
      </c>
      <c r="E1077" s="129" t="n">
        <f aca="false">20*LOG10(MAX(D1077,0.000000000001)/$K$3)</f>
        <v>18.5463696278488</v>
      </c>
    </row>
    <row r="1078" customFormat="false" ht="15" hidden="false" customHeight="false" outlineLevel="0" collapsed="false">
      <c r="A1078" s="122" t="n">
        <f aca="false">A1077+$F$3</f>
        <v>10720</v>
      </c>
      <c r="B1078" s="123" t="n">
        <f aca="false">SUMPRODUCT(固有振動数!$Q$6:$Q$22*(1-($A1078/固有振動数!$O$6:$O$22)^2)/((1-($A1078/固有振動数!$O$6:$O$22)^2)^2+固有振動数!$P$6:$P$22^2))</f>
        <v>8.44448415154499</v>
      </c>
      <c r="C1078" s="123" t="n">
        <f aca="false">-SUMPRODUCT(固有振動数!$Q$6:$Q$22*固有振動数!$P$6:$P$22/((1-($A1078/固有振動数!$O$6:$O$22)^2)^2+固有振動数!$P$6:$P$22^2))</f>
        <v>-1.37505439173403</v>
      </c>
      <c r="D1078" s="124" t="n">
        <f aca="false">SQRT(B1078^2+C1078^2)</f>
        <v>8.55570494850785</v>
      </c>
      <c r="E1078" s="125" t="n">
        <f aca="false">20*LOG10(MAX(D1078,0.000000000001)/$K$3)</f>
        <v>18.6451159821217</v>
      </c>
    </row>
    <row r="1079" customFormat="false" ht="15" hidden="false" customHeight="false" outlineLevel="0" collapsed="false">
      <c r="A1079" s="126" t="n">
        <f aca="false">A1078+$F$3</f>
        <v>10730</v>
      </c>
      <c r="B1079" s="127" t="n">
        <f aca="false">SUMPRODUCT(固有振動数!$Q$6:$Q$22*(1-($A1079/固有振動数!$O$6:$O$22)^2)/((1-($A1079/固有振動数!$O$6:$O$22)^2)^2+固有振動数!$P$6:$P$22^2))</f>
        <v>8.54228213734466</v>
      </c>
      <c r="C1079" s="127" t="n">
        <f aca="false">-SUMPRODUCT(固有振動数!$Q$6:$Q$22*固有振動数!$P$6:$P$22/((1-($A1079/固有振動数!$O$6:$O$22)^2)^2+固有振動数!$P$6:$P$22^2))</f>
        <v>-1.37455507303982</v>
      </c>
      <c r="D1079" s="128" t="n">
        <f aca="false">SQRT(B1079^2+C1079^2)</f>
        <v>8.65216653577687</v>
      </c>
      <c r="E1079" s="129" t="n">
        <f aca="false">20*LOG10(MAX(D1079,0.000000000001)/$K$3)</f>
        <v>18.7424974018248</v>
      </c>
    </row>
    <row r="1080" customFormat="false" ht="15" hidden="false" customHeight="false" outlineLevel="0" collapsed="false">
      <c r="A1080" s="122" t="n">
        <f aca="false">A1079+$F$3</f>
        <v>10740</v>
      </c>
      <c r="B1080" s="123" t="n">
        <f aca="false">SUMPRODUCT(固有振動数!$Q$6:$Q$22*(1-($A1080/固有振動数!$O$6:$O$22)^2)/((1-($A1080/固有振動数!$O$6:$O$22)^2)^2+固有振動数!$P$6:$P$22^2))</f>
        <v>8.63977318979459</v>
      </c>
      <c r="C1080" s="123" t="n">
        <f aca="false">-SUMPRODUCT(固有振動数!$Q$6:$Q$22*固有振動数!$P$6:$P$22/((1-($A1080/固有振動数!$O$6:$O$22)^2)^2+固有振動数!$P$6:$P$22^2))</f>
        <v>-1.37428608084407</v>
      </c>
      <c r="D1080" s="124" t="n">
        <f aca="false">SQRT(B1080^2+C1080^2)</f>
        <v>8.74839088079032</v>
      </c>
      <c r="E1080" s="125" t="n">
        <f aca="false">20*LOG10(MAX(D1080,0.000000000001)/$K$3)</f>
        <v>18.8385635841978</v>
      </c>
    </row>
    <row r="1081" customFormat="false" ht="15" hidden="false" customHeight="false" outlineLevel="0" collapsed="false">
      <c r="A1081" s="126" t="n">
        <f aca="false">A1080+$F$3</f>
        <v>10750</v>
      </c>
      <c r="B1081" s="127" t="n">
        <f aca="false">SUMPRODUCT(固有振動数!$Q$6:$Q$22*(1-($A1081/固有振動数!$O$6:$O$22)^2)/((1-($A1081/固有振動数!$O$6:$O$22)^2)^2+固有振動数!$P$6:$P$22^2))</f>
        <v>8.73697685193272</v>
      </c>
      <c r="C1081" s="127" t="n">
        <f aca="false">-SUMPRODUCT(固有振動数!$Q$6:$Q$22*固有振動数!$P$6:$P$22/((1-($A1081/固有振動数!$O$6:$O$22)^2)^2+固有振動数!$P$6:$P$22^2))</f>
        <v>-1.37424647458621</v>
      </c>
      <c r="D1081" s="128" t="n">
        <f aca="false">SQRT(B1081^2+C1081^2)</f>
        <v>8.84439471553146</v>
      </c>
      <c r="E1081" s="129" t="n">
        <f aca="false">20*LOG10(MAX(D1081,0.000000000001)/$K$3)</f>
        <v>18.9333623284094</v>
      </c>
    </row>
    <row r="1082" customFormat="false" ht="15" hidden="false" customHeight="false" outlineLevel="0" collapsed="false">
      <c r="A1082" s="122" t="n">
        <f aca="false">A1081+$F$3</f>
        <v>10760</v>
      </c>
      <c r="B1082" s="123" t="n">
        <f aca="false">SUMPRODUCT(固有振動数!$Q$6:$Q$22*(1-($A1082/固有振動数!$O$6:$O$22)^2)/((1-($A1082/固有振動数!$O$6:$O$22)^2)^2+固有振動数!$P$6:$P$22^2))</f>
        <v>8.83391250313624</v>
      </c>
      <c r="C1082" s="123" t="n">
        <f aca="false">-SUMPRODUCT(固有振動数!$Q$6:$Q$22*固有振動数!$P$6:$P$22/((1-($A1082/固有振動数!$O$6:$O$22)^2)^2+固有振動数!$P$6:$P$22^2))</f>
        <v>-1.37443549011647</v>
      </c>
      <c r="D1082" s="124" t="n">
        <f aca="false">SQRT(B1082^2+C1082^2)</f>
        <v>8.9401947981886</v>
      </c>
      <c r="E1082" s="125" t="n">
        <f aca="false">20*LOG10(MAX(D1082,0.000000000001)/$K$3)</f>
        <v>19.0269396351056</v>
      </c>
    </row>
    <row r="1083" customFormat="false" ht="15" hidden="false" customHeight="false" outlineLevel="0" collapsed="false">
      <c r="A1083" s="126" t="n">
        <f aca="false">A1082+$F$3</f>
        <v>10770</v>
      </c>
      <c r="B1083" s="127" t="n">
        <f aca="false">SUMPRODUCT(固有振動数!$Q$6:$Q$22*(1-($A1083/固有振動数!$O$6:$O$22)^2)/((1-($A1083/固有振動数!$O$6:$O$22)^2)^2+固有振動数!$P$6:$P$22^2))</f>
        <v>8.930599373455</v>
      </c>
      <c r="C1083" s="127" t="n">
        <f aca="false">-SUMPRODUCT(固有振動数!$Q$6:$Q$22*固有振動数!$P$6:$P$22/((1-($A1083/固有振動数!$O$6:$O$22)^2)^2+固有振動数!$P$6:$P$22^2))</f>
        <v>-1.37485253854664</v>
      </c>
      <c r="D1083" s="128" t="n">
        <f aca="false">SQRT(B1083^2+C1083^2)</f>
        <v>9.03580791473032</v>
      </c>
      <c r="E1083" s="129" t="n">
        <f aca="false">20*LOG10(MAX(D1083,0.000000000001)/$K$3)</f>
        <v>19.1193398003021</v>
      </c>
    </row>
    <row r="1084" customFormat="false" ht="15" hidden="false" customHeight="false" outlineLevel="0" collapsed="false">
      <c r="A1084" s="122" t="n">
        <f aca="false">A1083+$F$3</f>
        <v>10780</v>
      </c>
      <c r="B1084" s="123" t="n">
        <f aca="false">SUMPRODUCT(固有振動数!$Q$6:$Q$22*(1-($A1084/固有振動数!$O$6:$O$22)^2)/((1-($A1084/固有振動数!$O$6:$O$22)^2)^2+固有振動数!$P$6:$P$22^2))</f>
        <v>9.0270565577615</v>
      </c>
      <c r="C1084" s="123" t="n">
        <f aca="false">-SUMPRODUCT(固有振動数!$Q$6:$Q$22*固有振動数!$P$6:$P$22/((1-($A1084/固有振動数!$O$6:$O$22)^2)^2+固有振動数!$P$6:$P$22^2))</f>
        <v>-1.37549720539037</v>
      </c>
      <c r="D1084" s="124" t="n">
        <f aca="false">SQRT(B1084^2+C1084^2)</f>
        <v>9.13125088139964</v>
      </c>
      <c r="E1084" s="125" t="n">
        <f aca="false">20*LOG10(MAX(D1084,0.000000000001)/$K$3)</f>
        <v>19.2106055039784</v>
      </c>
    </row>
    <row r="1085" customFormat="false" ht="15" hidden="false" customHeight="false" outlineLevel="0" collapsed="false">
      <c r="A1085" s="126" t="n">
        <f aca="false">A1084+$F$3</f>
        <v>10790</v>
      </c>
      <c r="B1085" s="127" t="n">
        <f aca="false">SUMPRODUCT(固有振動数!$Q$6:$Q$22*(1-($A1085/固有振動数!$O$6:$O$22)^2)/((1-($A1085/固有振動数!$O$6:$O$22)^2)^2+固有振動数!$P$6:$P$22^2))</f>
        <v>9.12330302973962</v>
      </c>
      <c r="C1085" s="127" t="n">
        <f aca="false">-SUMPRODUCT(固有振動数!$Q$6:$Q$22*固有振動数!$P$6:$P$22/((1-($A1085/固有振動数!$O$6:$O$22)^2)^2+固有振動数!$P$6:$P$22^2))</f>
        <v>-1.37636924999107</v>
      </c>
      <c r="D1085" s="128" t="n">
        <f aca="false">SQRT(B1085^2+C1085^2)</f>
        <v>9.22654054804817</v>
      </c>
      <c r="E1085" s="129" t="n">
        <f aca="false">20*LOG10(MAX(D1085,0.000000000001)/$K$3)</f>
        <v>19.3007778937121</v>
      </c>
    </row>
    <row r="1086" customFormat="false" ht="15" hidden="false" customHeight="false" outlineLevel="0" collapsed="false">
      <c r="A1086" s="122" t="n">
        <f aca="false">A1085+$F$3</f>
        <v>10800</v>
      </c>
      <c r="B1086" s="123" t="n">
        <f aca="false">SUMPRODUCT(固有振動数!$Q$6:$Q$22*(1-($A1086/固有振動数!$O$6:$O$22)^2)/((1-($A1086/固有振動数!$O$6:$O$22)^2)^2+固有振動数!$P$6:$P$22^2))</f>
        <v>9.21935765573324</v>
      </c>
      <c r="C1086" s="123" t="n">
        <f aca="false">-SUMPRODUCT(固有振動数!$Q$6:$Q$22*固有振動数!$P$6:$P$22/((1-($A1086/固有振動数!$O$6:$O$22)^2)^2+固有振動数!$P$6:$P$22^2))</f>
        <v>-1.37746860523616</v>
      </c>
      <c r="D1086" s="124" t="n">
        <f aca="false">SQRT(B1086^2+C1086^2)</f>
        <v>9.321693802241</v>
      </c>
      <c r="E1086" s="125" t="n">
        <f aca="false">20*LOG10(MAX(D1086,0.000000000001)/$K$3)</f>
        <v>19.3898966636689</v>
      </c>
    </row>
    <row r="1087" customFormat="false" ht="15" hidden="false" customHeight="false" outlineLevel="0" collapsed="false">
      <c r="A1087" s="126" t="n">
        <f aca="false">A1086+$F$3</f>
        <v>10810</v>
      </c>
      <c r="B1087" s="127" t="n">
        <f aca="false">SUMPRODUCT(固有振動数!$Q$6:$Q$22*(1-($A1087/固有振動数!$O$6:$O$22)^2)/((1-($A1087/固有振動数!$O$6:$O$22)^2)^2+固有振動数!$P$6:$P$22^2))</f>
        <v>9.31523920847632</v>
      </c>
      <c r="C1087" s="127" t="n">
        <f aca="false">-SUMPRODUCT(固有振動数!$Q$6:$Q$22*固有振動数!$P$6:$P$22/((1-($A1087/固有振動数!$O$6:$O$22)^2)^2+固有振動数!$P$6:$P$22^2))</f>
        <v>-1.37879537755731</v>
      </c>
      <c r="D1087" s="128" t="n">
        <f aca="false">SQRT(B1087^2+C1087^2)</f>
        <v>9.41672757407307</v>
      </c>
      <c r="E1087" s="129" t="n">
        <f aca="false">20*LOG10(MAX(D1087,0.000000000001)/$K$3)</f>
        <v>19.4780001292433</v>
      </c>
    </row>
    <row r="1088" customFormat="false" ht="15" hidden="false" customHeight="false" outlineLevel="0" collapsed="false">
      <c r="A1088" s="122" t="n">
        <f aca="false">A1087+$F$3</f>
        <v>10820</v>
      </c>
      <c r="B1088" s="123" t="n">
        <f aca="false">SUMPRODUCT(固有振動数!$Q$6:$Q$22*(1-($A1088/固有振動数!$O$6:$O$22)^2)/((1-($A1088/固有振動数!$O$6:$O$22)^2)^2+固有振動数!$P$6:$P$22^2))</f>
        <v>9.41096638072525</v>
      </c>
      <c r="C1088" s="123" t="n">
        <f aca="false">-SUMPRODUCT(固有振動数!$Q$6:$Q$22*固有振動数!$P$6:$P$22/((1-($A1088/固有振動数!$O$6:$O$22)^2)^2+固有振動数!$P$6:$P$22^2))</f>
        <v>-1.38034984721711</v>
      </c>
      <c r="D1088" s="124" t="n">
        <f aca="false">SQRT(B1088^2+C1088^2)</f>
        <v>9.51165884164551</v>
      </c>
      <c r="E1088" s="125" t="n">
        <f aca="false">20*LOG10(MAX(D1088,0.000000000001)/$K$3)</f>
        <v>19.5651252976292</v>
      </c>
    </row>
    <row r="1089" customFormat="false" ht="15" hidden="false" customHeight="false" outlineLevel="0" collapsed="false">
      <c r="A1089" s="126" t="n">
        <f aca="false">A1088+$F$3</f>
        <v>10830</v>
      </c>
      <c r="B1089" s="127" t="n">
        <f aca="false">SUMPRODUCT(固有振動数!$Q$6:$Q$22*(1-($A1089/固有振動数!$O$6:$O$22)^2)/((1-($A1089/固有振動数!$O$6:$O$22)^2)^2+固有振動数!$P$6:$P$22^2))</f>
        <v>9.50655779881422</v>
      </c>
      <c r="C1089" s="127" t="n">
        <f aca="false">-SUMPRODUCT(固有振動数!$Q$6:$Q$22*固有振動数!$P$6:$P$22/((1-($A1089/固有振動数!$O$6:$O$22)^2)^2+固有振動数!$P$6:$P$22^2))</f>
        <v>-1.3821324688834</v>
      </c>
      <c r="D1089" s="128" t="n">
        <f aca="false">SQRT(B1089^2+C1089^2)</f>
        <v>9.60650463715795</v>
      </c>
      <c r="E1089" s="129" t="n">
        <f aca="false">20*LOG10(MAX(D1089,0.000000000001)/$K$3)</f>
        <v>19.6513079345798</v>
      </c>
    </row>
    <row r="1090" customFormat="false" ht="15" hidden="false" customHeight="false" outlineLevel="0" collapsed="false">
      <c r="A1090" s="122" t="n">
        <f aca="false">A1089+$F$3</f>
        <v>10840</v>
      </c>
      <c r="B1090" s="123" t="n">
        <f aca="false">SUMPRODUCT(固有振動数!$Q$6:$Q$22*(1-($A1090/固有振動数!$O$6:$O$22)^2)/((1-($A1090/固有振動数!$O$6:$O$22)^2)^2+固有振動数!$P$6:$P$22^2))</f>
        <v>9.60203203615444</v>
      </c>
      <c r="C1090" s="123" t="n">
        <f aca="false">-SUMPRODUCT(固有振動数!$Q$6:$Q$22*固有振動数!$P$6:$P$22/((1-($A1090/固有振動数!$O$6:$O$22)^2)^2+固有振動数!$P$6:$P$22^2))</f>
        <v>-1.38414387249343</v>
      </c>
      <c r="D1090" s="124" t="n">
        <f aca="false">SQRT(B1090^2+C1090^2)</f>
        <v>9.70128205357917</v>
      </c>
      <c r="E1090" s="125" t="n">
        <f aca="false">20*LOG10(MAX(D1090,0.000000000001)/$K$3)</f>
        <v>19.7365826275984</v>
      </c>
    </row>
    <row r="1091" customFormat="false" ht="15" hidden="false" customHeight="false" outlineLevel="0" collapsed="false">
      <c r="A1091" s="126" t="n">
        <f aca="false">A1090+$F$3</f>
        <v>10850</v>
      </c>
      <c r="B1091" s="127" t="n">
        <f aca="false">SUMPRODUCT(固有振動数!$Q$6:$Q$22*(1-($A1091/固有振動数!$O$6:$O$22)^2)/((1-($A1091/固有振動数!$O$6:$O$22)^2)^2+固有振動数!$P$6:$P$22^2))</f>
        <v>9.69740762669762</v>
      </c>
      <c r="C1091" s="127" t="n">
        <f aca="false">-SUMPRODUCT(固有振動数!$Q$6:$Q$22*固有振動数!$P$6:$P$22/((1-($A1091/固有振動数!$O$6:$O$22)^2)^2+固有振動数!$P$6:$P$22^2))</f>
        <v>-1.3863848644106</v>
      </c>
      <c r="D1091" s="128" t="n">
        <f aca="false">SQRT(B1091^2+C1091^2)</f>
        <v>9.79600825186463</v>
      </c>
      <c r="E1091" s="129" t="n">
        <f aca="false">20*LOG10(MAX(D1091,0.000000000001)/$K$3)</f>
        <v>19.8209828457905</v>
      </c>
    </row>
    <row r="1092" customFormat="false" ht="15" hidden="false" customHeight="false" outlineLevel="0" collapsed="false">
      <c r="A1092" s="122" t="n">
        <f aca="false">A1091+$F$3</f>
        <v>10860</v>
      </c>
      <c r="B1092" s="123" t="n">
        <f aca="false">SUMPRODUCT(固有振動数!$Q$6:$Q$22*(1-($A1092/固有振動数!$O$6:$O$22)^2)/((1-($A1092/固有振動数!$O$6:$O$22)^2)^2+固有振動数!$P$6:$P$22^2))</f>
        <v>9.79270307838432</v>
      </c>
      <c r="C1092" s="123" t="n">
        <f aca="false">-SUMPRODUCT(固有振動数!$Q$6:$Q$22*固有振動数!$P$6:$P$22/((1-($A1092/固有振動数!$O$6:$O$22)^2)^2+固有振動数!$P$6:$P$22^2))</f>
        <v>-1.38885642887768</v>
      </c>
      <c r="D1092" s="124" t="n">
        <f aca="false">SQRT(B1092^2+C1092^2)</f>
        <v>9.89070046869445</v>
      </c>
      <c r="E1092" s="125" t="n">
        <f aca="false">20*LOG10(MAX(D1092,0.000000000001)/$K$3)</f>
        <v>19.9045409965872</v>
      </c>
    </row>
    <row r="1093" customFormat="false" ht="15" hidden="false" customHeight="false" outlineLevel="0" collapsed="false">
      <c r="A1093" s="126" t="n">
        <f aca="false">A1092+$F$3</f>
        <v>10870</v>
      </c>
      <c r="B1093" s="127" t="n">
        <f aca="false">SUMPRODUCT(固有振動数!$Q$6:$Q$22*(1-($A1093/固有振動数!$O$6:$O$22)^2)/((1-($A1093/固有振動数!$O$6:$O$22)^2)^2+固有振動数!$P$6:$P$22^2))</f>
        <v>9.88793688659773</v>
      </c>
      <c r="C1093" s="127" t="n">
        <f aca="false">-SUMPRODUCT(固有振動数!$Q$6:$Q$22*固有振動数!$P$6:$P$22/((1-($A1093/固有振動数!$O$6:$O$22)^2)^2+固有振動数!$P$6:$P$22^2))</f>
        <v>-1.39155972977105</v>
      </c>
      <c r="D1093" s="128" t="n">
        <f aca="false">SQRT(B1093^2+C1093^2)</f>
        <v>9.98537602471036</v>
      </c>
      <c r="E1093" s="129" t="n">
        <f aca="false">20*LOG10(MAX(D1093,0.000000000001)/$K$3)</f>
        <v>19.9872884795413</v>
      </c>
    </row>
    <row r="1094" customFormat="false" ht="15" hidden="false" customHeight="false" outlineLevel="0" collapsed="false">
      <c r="A1094" s="122" t="n">
        <f aca="false">A1093+$F$3</f>
        <v>10880</v>
      </c>
      <c r="B1094" s="123" t="n">
        <f aca="false">SUMPRODUCT(固有振動数!$Q$6:$Q$22*(1-($A1094/固有振動数!$O$6:$O$22)^2)/((1-($A1094/固有振動数!$O$6:$O$22)^2)^2+固有振動数!$P$6:$P$22^2))</f>
        <v>9.98312754764342</v>
      </c>
      <c r="C1094" s="123" t="n">
        <f aca="false">-SUMPRODUCT(固有振動数!$Q$6:$Q$22*固有振動数!$P$6:$P$22/((1-($A1094/固有振動数!$O$6:$O$22)^2)^2+固有振動数!$P$6:$P$22^2))</f>
        <v>-1.39449611266145</v>
      </c>
      <c r="D1094" s="124" t="n">
        <f aca="false">SQRT(B1094^2+C1094^2)</f>
        <v>10.0800523332344</v>
      </c>
      <c r="E1094" s="125" t="n">
        <f aca="false">20*LOG10(MAX(D1094,0.000000000001)/$K$3)</f>
        <v>20.0692557373805</v>
      </c>
    </row>
    <row r="1095" customFormat="false" ht="15" hidden="false" customHeight="false" outlineLevel="0" collapsed="false">
      <c r="A1095" s="126" t="n">
        <f aca="false">A1094+$F$3</f>
        <v>10890</v>
      </c>
      <c r="B1095" s="127" t="n">
        <f aca="false">SUMPRODUCT(固有振動数!$Q$6:$Q$22*(1-($A1095/固有振動数!$O$6:$O$22)^2)/((1-($A1095/固有振動数!$O$6:$O$22)^2)^2+固有振動数!$P$6:$P$22^2))</f>
        <v>10.078293572276</v>
      </c>
      <c r="C1095" s="127" t="n">
        <f aca="false">-SUMPRODUCT(固有振動数!$Q$6:$Q$22*固有振動数!$P$6:$P$22/((1-($A1095/固有振動数!$O$6:$O$22)^2)^2+固有振動数!$P$6:$P$22^2))</f>
        <v>-1.39766710718775</v>
      </c>
      <c r="D1095" s="128" t="n">
        <f aca="false">SQRT(B1095^2+C1095^2)</f>
        <v>10.1747469094565</v>
      </c>
      <c r="E1095" s="129" t="n">
        <f aca="false">20*LOG10(MAX(D1095,0.000000000001)/$K$3)</f>
        <v>20.1504723044936</v>
      </c>
    </row>
    <row r="1096" customFormat="false" ht="15" hidden="false" customHeight="false" outlineLevel="0" collapsed="false">
      <c r="A1096" s="122" t="n">
        <f aca="false">A1095+$F$3</f>
        <v>10900</v>
      </c>
      <c r="B1096" s="123" t="n">
        <f aca="false">SUMPRODUCT(固有振動数!$Q$6:$Q$22*(1-($A1096/固有振動数!$O$6:$O$22)^2)/((1-($A1096/固有振動数!$O$6:$O$22)^2)^2+固有振動数!$P$6:$P$22^2))</f>
        <v>10.1734534992936</v>
      </c>
      <c r="C1096" s="123" t="n">
        <f aca="false">-SUMPRODUCT(固有振動数!$Q$6:$Q$22*固有振動数!$P$6:$P$22/((1-($A1096/固有振動数!$O$6:$O$22)^2)^2+固有振動数!$P$6:$P$22^2))</f>
        <v>-1.40107442975095</v>
      </c>
      <c r="D1096" s="124" t="n">
        <f aca="false">SQRT(B1096^2+C1096^2)</f>
        <v>10.2694773800808</v>
      </c>
      <c r="E1096" s="125" t="n">
        <f aca="false">20*LOG10(MAX(D1096,0.000000000001)/$K$3)</f>
        <v>20.2309668530122</v>
      </c>
    </row>
    <row r="1097" customFormat="false" ht="15" hidden="false" customHeight="false" outlineLevel="0" collapsed="false">
      <c r="A1097" s="126" t="n">
        <f aca="false">A1096+$F$3</f>
        <v>10910</v>
      </c>
      <c r="B1097" s="127" t="n">
        <f aca="false">SUMPRODUCT(固有振動数!$Q$6:$Q$22*(1-($A1097/固有振動数!$O$6:$O$22)^2)/((1-($A1097/固有振動数!$O$6:$O$22)^2)^2+固有振動数!$P$6:$P$22^2))</f>
        <v>10.2686259092205</v>
      </c>
      <c r="C1097" s="127" t="n">
        <f aca="false">-SUMPRODUCT(固有振動数!$Q$6:$Q$22*固有振動数!$P$6:$P$22/((1-($A1097/固有振動数!$O$6:$O$22)^2)^2+固有振動数!$P$6:$P$22^2))</f>
        <v>-1.40471998653692</v>
      </c>
      <c r="D1097" s="128" t="n">
        <f aca="false">SQRT(B1097^2+C1097^2)</f>
        <v>10.364261493425</v>
      </c>
      <c r="E1097" s="129" t="n">
        <f aca="false">20*LOG10(MAX(D1097,0.000000000001)/$K$3)</f>
        <v>20.3107672366402</v>
      </c>
    </row>
    <row r="1098" customFormat="false" ht="15" hidden="false" customHeight="false" outlineLevel="0" collapsed="false">
      <c r="A1098" s="122" t="n">
        <f aca="false">A1097+$F$3</f>
        <v>10920</v>
      </c>
      <c r="B1098" s="123" t="n">
        <f aca="false">SUMPRODUCT(固有振動数!$Q$6:$Q$22*(1-($A1098/固有振動数!$O$6:$O$22)^2)/((1-($A1098/固有振動数!$O$6:$O$22)^2)^2+固有振動数!$P$6:$P$22^2))</f>
        <v>10.3638294381016</v>
      </c>
      <c r="C1098" s="123" t="n">
        <f aca="false">-SUMPRODUCT(固有振動数!$Q$6:$Q$22*固有振動数!$P$6:$P$22/((1-($A1098/固有振動数!$O$6:$O$22)^2)^2+固有振動数!$P$6:$P$22^2))</f>
        <v>-1.40860587687702</v>
      </c>
      <c r="D1098" s="124" t="n">
        <f aca="false">SQRT(B1098^2+C1098^2)</f>
        <v>10.4591171299701</v>
      </c>
      <c r="E1098" s="125" t="n">
        <f aca="false">20*LOG10(MAX(D1098,0.000000000001)/$K$3)</f>
        <v>20.3899005323755</v>
      </c>
    </row>
    <row r="1099" customFormat="false" ht="15" hidden="false" customHeight="false" outlineLevel="0" collapsed="false">
      <c r="A1099" s="126" t="n">
        <f aca="false">A1098+$F$3</f>
        <v>10930</v>
      </c>
      <c r="B1099" s="127" t="n">
        <f aca="false">SUMPRODUCT(固有振動数!$Q$6:$Q$22*(1-($A1099/固有振動数!$O$6:$O$22)^2)/((1-($A1099/固有振動数!$O$6:$O$22)^2)^2+固有振動数!$P$6:$P$22^2))</f>
        <v>10.4590827914273</v>
      </c>
      <c r="C1099" s="127" t="n">
        <f aca="false">-SUMPRODUCT(固有振動数!$Q$6:$Q$22*固有振動数!$P$6:$P$22/((1-($A1099/固有振動数!$O$6:$O$22)^2)^2+固有振動数!$P$6:$P$22^2))</f>
        <v>-1.41273439695721</v>
      </c>
      <c r="D1099" s="128" t="n">
        <f aca="false">SQRT(B1099^2+C1099^2)</f>
        <v>10.5540623133596</v>
      </c>
      <c r="E1099" s="129" t="n">
        <f aca="false">20*LOG10(MAX(D1099,0.000000000001)/$K$3)</f>
        <v>20.4683930802565</v>
      </c>
    </row>
    <row r="1100" customFormat="false" ht="15" hidden="false" customHeight="false" outlineLevel="0" collapsed="false">
      <c r="A1100" s="122" t="n">
        <f aca="false">A1099+$F$3</f>
        <v>10940</v>
      </c>
      <c r="B1100" s="123" t="n">
        <f aca="false">SUMPRODUCT(固有振動数!$Q$6:$Q$22*(1-($A1100/固有振動数!$O$6:$O$22)^2)/((1-($A1100/固有振動数!$O$6:$O$22)^2)^2+固有振動数!$P$6:$P$22^2))</f>
        <v>10.5544047582137</v>
      </c>
      <c r="C1100" s="123" t="n">
        <f aca="false">-SUMPRODUCT(固有振動数!$Q$6:$Q$22*固有振動数!$P$6:$P$22/((1-($A1100/固有振動数!$O$6:$O$22)^2)^2+固有振動数!$P$6:$P$22^2))</f>
        <v>-1.41710804388699</v>
      </c>
      <c r="D1100" s="124" t="n">
        <f aca="false">SQRT(B1100^2+C1100^2)</f>
        <v>10.6491152218508</v>
      </c>
      <c r="E1100" s="125" t="n">
        <f aca="false">20*LOG10(MAX(D1100,0.000000000001)/$K$3)</f>
        <v>20.5462705212598</v>
      </c>
    </row>
    <row r="1101" customFormat="false" ht="15" hidden="false" customHeight="false" outlineLevel="0" collapsed="false">
      <c r="A1101" s="126" t="n">
        <f aca="false">A1100+$F$3</f>
        <v>10950</v>
      </c>
      <c r="B1101" s="127" t="n">
        <f aca="false">SUMPRODUCT(固有振動数!$Q$6:$Q$22*(1-($A1101/固有振動数!$O$6:$O$22)^2)/((1-($A1101/固有振動数!$O$6:$O$22)^2)^2+固有振動数!$P$6:$P$22^2))</f>
        <v>10.6498142252598</v>
      </c>
      <c r="C1101" s="127" t="n">
        <f aca="false">-SUMPRODUCT(固有振動数!$Q$6:$Q$22*固有振動数!$P$6:$P$22/((1-($A1101/固有振動数!$O$6:$O$22)^2)^2+固有振動数!$P$6:$P$22^2))</f>
        <v>-1.42172952014093</v>
      </c>
      <c r="D1101" s="128" t="n">
        <f aca="false">SQRT(B1101^2+C1101^2)</f>
        <v>10.7442942002249</v>
      </c>
      <c r="E1101" s="129" t="n">
        <f aca="false">20*LOG10(MAX(D1101,0.000000000001)/$K$3)</f>
        <v>20.6235578334681</v>
      </c>
    </row>
    <row r="1102" customFormat="false" ht="15" hidden="false" customHeight="false" outlineLevel="0" collapsed="false">
      <c r="A1102" s="122" t="n">
        <f aca="false">A1101+$F$3</f>
        <v>10960</v>
      </c>
      <c r="B1102" s="123" t="n">
        <f aca="false">SUMPRODUCT(固有振動数!$Q$6:$Q$22*(1-($A1102/固有振動数!$O$6:$O$22)^2)/((1-($A1102/固有振動数!$O$6:$O$22)^2)^2+固有振動数!$P$6:$P$22^2))</f>
        <v>10.7453301916043</v>
      </c>
      <c r="C1102" s="123" t="n">
        <f aca="false">-SUMPRODUCT(固有振動数!$Q$6:$Q$22*固有振動数!$P$6:$P$22/((1-($A1102/固有振動数!$O$6:$O$22)^2)^2+固有振動数!$P$6:$P$22^2))</f>
        <v>-1.42660173838671</v>
      </c>
      <c r="D1102" s="124" t="n">
        <f aca="false">SQRT(B1102^2+C1102^2)</f>
        <v>10.839617772162</v>
      </c>
      <c r="E1102" s="125" t="n">
        <f aca="false">20*LOG10(MAX(D1102,0.000000000001)/$K$3)</f>
        <v>20.7002793666164</v>
      </c>
    </row>
    <row r="1103" customFormat="false" ht="15" hidden="false" customHeight="false" outlineLevel="0" collapsed="false">
      <c r="A1103" s="126" t="n">
        <f aca="false">A1102+$F$3</f>
        <v>10970</v>
      </c>
      <c r="B1103" s="127" t="n">
        <f aca="false">SUMPRODUCT(固有振動数!$Q$6:$Q$22*(1-($A1103/固有振動数!$O$6:$O$22)^2)/((1-($A1103/固有振動数!$O$6:$O$22)^2)^2+固有振動数!$P$6:$P$22^2))</f>
        <v>10.8409717832065</v>
      </c>
      <c r="C1103" s="127" t="n">
        <f aca="false">-SUMPRODUCT(固有振動数!$Q$6:$Q$22*固有振動数!$P$6:$P$22/((1-($A1103/固有振動数!$O$6:$O$22)^2)^2+固有振動数!$P$6:$P$22^2))</f>
        <v>-1.43172782671468</v>
      </c>
      <c r="D1103" s="128" t="n">
        <f aca="false">SQRT(B1103^2+C1103^2)</f>
        <v>10.9351046530918</v>
      </c>
      <c r="E1103" s="129" t="n">
        <f aca="false">20*LOG10(MAX(D1103,0.000000000001)/$K$3)</f>
        <v>20.7764588751234</v>
      </c>
    </row>
    <row r="1104" customFormat="false" ht="15" hidden="false" customHeight="false" outlineLevel="0" collapsed="false">
      <c r="A1104" s="122" t="n">
        <f aca="false">A1103+$F$3</f>
        <v>10980</v>
      </c>
      <c r="B1104" s="123" t="n">
        <f aca="false">SUMPRODUCT(固有振動数!$Q$6:$Q$22*(1-($A1104/固有振動数!$O$6:$O$22)^2)/((1-($A1104/固有振動数!$O$6:$O$22)^2)^2+固有振動数!$P$6:$P$22^2))</f>
        <v>10.9367582678757</v>
      </c>
      <c r="C1104" s="123" t="n">
        <f aca="false">-SUMPRODUCT(固有振動数!$Q$6:$Q$22*固有振動数!$P$6:$P$22/((1-($A1104/固有振動数!$O$6:$O$22)^2)^2+固有振動数!$P$6:$P$22^2))</f>
        <v>-1.43711113428574</v>
      </c>
      <c r="D1104" s="124" t="n">
        <f aca="false">SQRT(B1104^2+C1104^2)</f>
        <v>11.0307737635324</v>
      </c>
      <c r="E1104" s="125" t="n">
        <f aca="false">20*LOG10(MAX(D1104,0.000000000001)/$K$3)</f>
        <v>20.8521195497035</v>
      </c>
    </row>
    <row r="1105" customFormat="false" ht="15" hidden="false" customHeight="false" outlineLevel="0" collapsed="false">
      <c r="A1105" s="126" t="n">
        <f aca="false">A1104+$F$3</f>
        <v>10990</v>
      </c>
      <c r="B1105" s="127" t="n">
        <f aca="false">SUMPRODUCT(固有振動数!$Q$6:$Q$22*(1-($A1105/固有振動数!$O$6:$O$22)^2)/((1-($A1105/固有振動数!$O$6:$O$22)^2)^2+固有振動数!$P$6:$P$22^2))</f>
        <v>11.0327090704735</v>
      </c>
      <c r="C1105" s="127" t="n">
        <f aca="false">-SUMPRODUCT(固有振動数!$Q$6:$Q$22*固有振動数!$P$6:$P$22/((1-($A1105/固有振動数!$O$6:$O$22)^2)^2+固有振動数!$P$6:$P$22^2))</f>
        <v>-1.44275523741522</v>
      </c>
      <c r="D1105" s="128" t="n">
        <f aca="false">SQRT(B1105^2+C1105^2)</f>
        <v>11.1266442429331</v>
      </c>
      <c r="E1105" s="129" t="n">
        <f aca="false">20*LOG10(MAX(D1105,0.000000000001)/$K$3)</f>
        <v>20.9272840476537</v>
      </c>
    </row>
    <row r="1106" customFormat="false" ht="15" hidden="false" customHeight="false" outlineLevel="0" collapsed="false">
      <c r="A1106" s="122" t="n">
        <f aca="false">A1105+$F$3</f>
        <v>11000</v>
      </c>
      <c r="B1106" s="123" t="n">
        <f aca="false">SUMPRODUCT(固有振動数!$Q$6:$Q$22*(1-($A1106/固有振動数!$O$6:$O$22)^2)/((1-($A1106/固有振動数!$O$6:$O$22)^2)^2+固有振動数!$P$6:$P$22^2))</f>
        <v>11.1288437884157</v>
      </c>
      <c r="C1106" s="123" t="n">
        <f aca="false">-SUMPRODUCT(固有振動数!$Q$6:$Q$22*固有振動数!$P$6:$P$22/((1-($A1106/固有振動数!$O$6:$O$22)^2)^2+固有振動数!$P$6:$P$22^2))</f>
        <v>-1.44866394611252</v>
      </c>
      <c r="D1106" s="124" t="n">
        <f aca="false">SQRT(B1106^2+C1106^2)</f>
        <v>11.2227354640357</v>
      </c>
      <c r="E1106" s="125" t="n">
        <f aca="false">20*LOG10(MAX(D1106,0.000000000001)/$K$3)</f>
        <v>21.001974521899</v>
      </c>
    </row>
    <row r="1107" customFormat="false" ht="15" hidden="false" customHeight="false" outlineLevel="0" collapsed="false">
      <c r="A1107" s="126" t="n">
        <f aca="false">A1106+$F$3</f>
        <v>11010</v>
      </c>
      <c r="B1107" s="127" t="n">
        <f aca="false">SUMPRODUCT(固有振動数!$Q$6:$Q$22*(1-($A1107/固有振動数!$O$6:$O$22)^2)/((1-($A1107/固有振動数!$O$6:$O$22)^2)^2+固有振動数!$P$6:$P$22^2))</f>
        <v>11.2251822075</v>
      </c>
      <c r="C1107" s="127" t="n">
        <f aca="false">-SUMPRODUCT(固有振動数!$Q$6:$Q$22*固有振動数!$P$6:$P$22/((1-($A1107/固有振動数!$O$6:$O$22)^2)^2+固有振動数!$P$6:$P$22^2))</f>
        <v>-1.45484131109742</v>
      </c>
      <c r="D1107" s="128" t="n">
        <f aca="false">SQRT(B1107^2+C1107^2)</f>
        <v>11.3190670477761</v>
      </c>
      <c r="E1107" s="129" t="n">
        <f aca="false">20*LOG10(MAX(D1107,0.000000000001)/$K$3)</f>
        <v>21.0762126488822</v>
      </c>
    </row>
    <row r="1108" customFormat="false" ht="15" hidden="false" customHeight="false" outlineLevel="0" collapsed="false">
      <c r="A1108" s="122" t="n">
        <f aca="false">A1107+$F$3</f>
        <v>11020</v>
      </c>
      <c r="B1108" s="123" t="n">
        <f aca="false">SUMPRODUCT(固有振動数!$Q$6:$Q$22*(1-($A1108/固有振動数!$O$6:$O$22)^2)/((1-($A1108/固有振動数!$O$6:$O$22)^2)^2+固有振動数!$P$6:$P$22^2))</f>
        <v>11.3217443180876</v>
      </c>
      <c r="C1108" s="123" t="n">
        <f aca="false">-SUMPRODUCT(固有振動数!$Q$6:$Q$22*固有振動数!$P$6:$P$22/((1-($A1108/固有振動数!$O$6:$O$22)^2)^2+固有振動数!$P$6:$P$22^2))</f>
        <v>-1.4612916313161</v>
      </c>
      <c r="D1108" s="124" t="n">
        <f aca="false">SQRT(B1108^2+C1108^2)</f>
        <v>11.4156588787465</v>
      </c>
      <c r="E1108" s="125" t="n">
        <f aca="false">20*LOG10(MAX(D1108,0.000000000001)/$K$3)</f>
        <v>21.1500196553703</v>
      </c>
    </row>
    <row r="1109" customFormat="false" ht="15" hidden="false" customHeight="false" outlineLevel="0" collapsed="false">
      <c r="A1109" s="126" t="n">
        <f aca="false">A1108+$F$3</f>
        <v>11030</v>
      </c>
      <c r="B1109" s="127" t="n">
        <f aca="false">SUMPRODUCT(固有振動数!$Q$6:$Q$22*(1-($A1109/固有振動数!$O$6:$O$22)^2)/((1-($A1109/固有振動数!$O$6:$O$22)^2)^2+固有振動数!$P$6:$P$22^2))</f>
        <v>11.4185503316666</v>
      </c>
      <c r="C1109" s="127" t="n">
        <f aca="false">-SUMPRODUCT(固有振動数!$Q$6:$Q$22*固有振動数!$P$6:$P$22/((1-($A1109/固有振動数!$O$6:$O$22)^2)^2+固有振動数!$P$6:$P$22^2))</f>
        <v>-1.46801946198139</v>
      </c>
      <c r="D1109" s="128" t="n">
        <f aca="false">SQRT(B1109^2+C1109^2)</f>
        <v>11.5125311212418</v>
      </c>
      <c r="E1109" s="129" t="n">
        <f aca="false">20*LOG10(MAX(D1109,0.000000000001)/$K$3)</f>
        <v>21.223416344255</v>
      </c>
    </row>
    <row r="1110" customFormat="false" ht="15" hidden="false" customHeight="false" outlineLevel="0" collapsed="false">
      <c r="A1110" s="122" t="n">
        <f aca="false">A1109+$F$3</f>
        <v>11040</v>
      </c>
      <c r="B1110" s="123" t="n">
        <f aca="false">SUMPRODUCT(固有振動数!$Q$6:$Q$22*(1-($A1110/固有振動数!$O$6:$O$22)^2)/((1-($A1110/固有振動数!$O$6:$O$22)^2)^2+固有振動数!$P$6:$P$22^2))</f>
        <v>11.5156206978281</v>
      </c>
      <c r="C1110" s="123" t="n">
        <f aca="false">-SUMPRODUCT(固有振動数!$Q$6:$Q$22*固有振動数!$P$6:$P$22/((1-($A1110/固有振動数!$O$6:$O$22)^2)^2+固有振動数!$P$6:$P$22^2))</f>
        <v>-1.47502962316398</v>
      </c>
      <c r="D1110" s="124" t="n">
        <f aca="false">SQRT(B1110^2+C1110^2)</f>
        <v>11.6097042359166</v>
      </c>
      <c r="E1110" s="125" t="n">
        <f aca="false">20*LOG10(MAX(D1110,0.000000000001)/$K$3)</f>
        <v>21.2964231194131</v>
      </c>
    </row>
    <row r="1111" customFormat="false" ht="15" hidden="false" customHeight="false" outlineLevel="0" collapsed="false">
      <c r="A1111" s="126" t="n">
        <f aca="false">A1110+$F$3</f>
        <v>11050</v>
      </c>
      <c r="B1111" s="127" t="n">
        <f aca="false">SUMPRODUCT(固有振動数!$Q$6:$Q$22*(1-($A1111/固有振動数!$O$6:$O$22)^2)/((1-($A1111/固有振動数!$O$6:$O$22)^2)^2+固有振動数!$P$6:$P$22^2))</f>
        <v>11.612976121685</v>
      </c>
      <c r="C1111" s="127" t="n">
        <f aca="false">-SUMPRODUCT(固有振動数!$Q$6:$Q$22*固有振動数!$P$6:$P$22/((1-($A1111/固有振動数!$O$6:$O$22)^2)^2+固有振動数!$P$6:$P$22^2))</f>
        <v>-1.48232720896343</v>
      </c>
      <c r="D1111" s="128" t="n">
        <f aca="false">SQRT(B1111^2+C1111^2)</f>
        <v>11.7071989970812</v>
      </c>
      <c r="E1111" s="129" t="n">
        <f aca="false">20*LOG10(MAX(D1111,0.000000000001)/$K$3)</f>
        <v>21.3690600096936</v>
      </c>
    </row>
    <row r="1112" customFormat="false" ht="15" hidden="false" customHeight="false" outlineLevel="0" collapsed="false">
      <c r="A1112" s="122" t="n">
        <f aca="false">A1111+$F$3</f>
        <v>11060</v>
      </c>
      <c r="B1112" s="123" t="n">
        <f aca="false">SUMPRODUCT(固有振動数!$Q$6:$Q$22*(1-($A1112/固有振動数!$O$6:$O$22)^2)/((1-($A1112/固有振動数!$O$6:$O$22)^2)^2+固有振動数!$P$6:$P$22^2))</f>
        <v>11.7106375817658</v>
      </c>
      <c r="C1112" s="123" t="n">
        <f aca="false">-SUMPRODUCT(固有振動数!$Q$6:$Q$22*固有振動数!$P$6:$P$22/((1-($A1112/固有振動数!$O$6:$O$22)^2)^2+固有振動数!$P$6:$P$22^2))</f>
        <v>-1.48991759728976</v>
      </c>
      <c r="D1112" s="124" t="n">
        <f aca="false">SQRT(B1112^2+C1112^2)</f>
        <v>11.8050365106669</v>
      </c>
      <c r="E1112" s="125" t="n">
        <f aca="false">20*LOG10(MAX(D1112,0.000000000001)/$K$3)</f>
        <v>21.4413466920927</v>
      </c>
    </row>
    <row r="1113" customFormat="false" ht="15" hidden="false" customHeight="false" outlineLevel="0" collapsed="false">
      <c r="A1113" s="126" t="n">
        <f aca="false">A1112+$F$3</f>
        <v>11070</v>
      </c>
      <c r="B1113" s="127" t="n">
        <f aca="false">SUMPRODUCT(固有振動数!$Q$6:$Q$22*(1-($A1113/固有振動数!$O$6:$O$22)^2)/((1-($A1113/固有振動数!$O$6:$O$22)^2)^2+固有振動数!$P$6:$P$22^2))</f>
        <v>11.8086263484182</v>
      </c>
      <c r="C1113" s="127" t="n">
        <f aca="false">-SUMPRODUCT(固有振動数!$Q$6:$Q$22*固有振動数!$P$6:$P$22/((1-($A1113/固有振動数!$O$6:$O$22)^2)^2+固有振動数!$P$6:$P$22^2))</f>
        <v>-1.49780646028933</v>
      </c>
      <c r="D1113" s="128" t="n">
        <f aca="false">SQRT(B1113^2+C1113^2)</f>
        <v>11.9032382328944</v>
      </c>
      <c r="E1113" s="129" t="n">
        <f aca="false">20*LOG10(MAX(D1113,0.000000000001)/$K$3)</f>
        <v>21.5133025141768</v>
      </c>
    </row>
    <row r="1114" customFormat="false" ht="15" hidden="false" customHeight="false" outlineLevel="0" collapsed="false">
      <c r="A1114" s="122" t="n">
        <f aca="false">A1113+$F$3</f>
        <v>11080</v>
      </c>
      <c r="B1114" s="123" t="n">
        <f aca="false">SUMPRODUCT(固有振動数!$Q$6:$Q$22*(1-($A1114/固有振動数!$O$6:$O$22)^2)/((1-($A1114/固有振動数!$O$6:$O$22)^2)^2+固有振動数!$P$6:$P$22^2))</f>
        <v>11.9069640027555</v>
      </c>
      <c r="C1114" s="123" t="n">
        <f aca="false">-SUMPRODUCT(固有振動数!$Q$6:$Q$22*固有振動数!$P$6:$P$22/((1-($A1114/固有振動数!$O$6:$O$22)^2)^2+固有振動数!$P$6:$P$22^2))</f>
        <v>-1.50599977545074</v>
      </c>
      <c r="D1114" s="124" t="n">
        <f aca="false">SQRT(B1114^2+C1114^2)</f>
        <v>12.0018259896806</v>
      </c>
      <c r="E1114" s="125" t="n">
        <f aca="false">20*LOG10(MAX(D1114,0.000000000001)/$K$3)</f>
        <v>21.5849465158081</v>
      </c>
    </row>
    <row r="1115" customFormat="false" ht="15" hidden="false" customHeight="false" outlineLevel="0" collapsed="false">
      <c r="A1115" s="126" t="n">
        <f aca="false">A1114+$F$3</f>
        <v>11090</v>
      </c>
      <c r="B1115" s="127" t="n">
        <f aca="false">SUMPRODUCT(固有振動数!$Q$6:$Q$22*(1-($A1115/固有振動数!$O$6:$O$22)^2)/((1-($A1115/固有振動数!$O$6:$O$22)^2)^2+固有振動数!$P$6:$P$22^2))</f>
        <v>12.0056724561845</v>
      </c>
      <c r="C1115" s="127" t="n">
        <f aca="false">-SUMPRODUCT(固有振動数!$Q$6:$Q$22*固有振動数!$P$6:$P$22/((1-($A1115/固有振動数!$O$6:$O$22)^2)^2+固有振動数!$P$6:$P$22^2))</f>
        <v>-1.51450383742974</v>
      </c>
      <c r="D1115" s="128" t="n">
        <f aca="false">SQRT(B1115^2+C1115^2)</f>
        <v>12.1008219968223</v>
      </c>
      <c r="E1115" s="129" t="n">
        <f aca="false">20*LOG10(MAX(D1115,0.000000000001)/$K$3)</f>
        <v>21.6562974502279</v>
      </c>
    </row>
    <row r="1116" customFormat="false" ht="15" hidden="false" customHeight="false" outlineLevel="0" collapsed="false">
      <c r="A1116" s="122" t="n">
        <f aca="false">A1115+$F$3</f>
        <v>11100</v>
      </c>
      <c r="B1116" s="123" t="n">
        <f aca="false">SUMPRODUCT(固有振動数!$Q$6:$Q$22*(1-($A1116/固有振動数!$O$6:$O$22)^2)/((1-($A1116/固有振動数!$O$6:$O$22)^2)^2+固有振動数!$P$6:$P$22^2))</f>
        <v>12.1047739705514</v>
      </c>
      <c r="C1116" s="123" t="n">
        <f aca="false">-SUMPRODUCT(固有振動数!$Q$6:$Q$22*固有振動数!$P$6:$P$22/((1-($A1116/固有振動数!$O$6:$O$22)^2)^2+固有振動数!$P$6:$P$22^2))</f>
        <v>-1.52332527063486</v>
      </c>
      <c r="D1116" s="124" t="n">
        <f aca="false">SQRT(B1116^2+C1116^2)</f>
        <v>12.200248880998</v>
      </c>
      <c r="E1116" s="125" t="n">
        <f aca="false">20*LOG10(MAX(D1116,0.000000000001)/$K$3)</f>
        <v>21.7273738045468</v>
      </c>
    </row>
    <row r="1117" customFormat="false" ht="15" hidden="false" customHeight="false" outlineLevel="0" collapsed="false">
      <c r="A1117" s="126" t="n">
        <f aca="false">A1116+$F$3</f>
        <v>11110</v>
      </c>
      <c r="B1117" s="127" t="n">
        <f aca="false">SUMPRODUCT(固有振動数!$Q$6:$Q$22*(1-($A1117/固有振動数!$O$6:$O$22)^2)/((1-($A1117/固有振動数!$O$6:$O$22)^2)^2+固有振動数!$P$6:$P$22^2))</f>
        <v>12.2042911789472</v>
      </c>
      <c r="C1117" s="127" t="n">
        <f aca="false">-SUMPRODUCT(固有振動数!$Q$6:$Q$22*固有振動数!$P$6:$P$22/((1-($A1117/固有振動数!$O$6:$O$22)^2)^2+固有振動数!$P$6:$P$22^2))</f>
        <v>-1.53247104261865</v>
      </c>
      <c r="D1117" s="128" t="n">
        <f aca="false">SQRT(B1117^2+C1117^2)</f>
        <v>12.300129701633</v>
      </c>
      <c r="E1117" s="129" t="n">
        <f aca="false">20*LOG10(MAX(D1117,0.000000000001)/$K$3)</f>
        <v>21.7981938196928</v>
      </c>
    </row>
    <row r="1118" customFormat="false" ht="15" hidden="false" customHeight="false" outlineLevel="0" collapsed="false">
      <c r="A1118" s="122" t="n">
        <f aca="false">A1117+$F$3</f>
        <v>11120</v>
      </c>
      <c r="B1118" s="123" t="n">
        <f aca="false">SUMPRODUCT(固有振動数!$Q$6:$Q$22*(1-($A1118/固有振動数!$O$6:$O$22)^2)/((1-($A1118/固有振動数!$O$6:$O$22)^2)^2+固有振動数!$P$6:$P$22^2))</f>
        <v>12.3042471072145</v>
      </c>
      <c r="C1118" s="123" t="n">
        <f aca="false">-SUMPRODUCT(固有振動数!$Q$6:$Q$22*固有振動数!$P$6:$P$22/((1-($A1118/固有振動数!$O$6:$O$22)^2)^2+固有振動数!$P$6:$P$22^2))</f>
        <v>-1.54194847832327</v>
      </c>
      <c r="D1118" s="124" t="n">
        <f aca="false">SQRT(B1118^2+C1118^2)</f>
        <v>12.4004879736727</v>
      </c>
      <c r="E1118" s="125" t="n">
        <f aca="false">20*LOG10(MAX(D1118,0.000000000001)/$K$3)</f>
        <v>21.8687755098634</v>
      </c>
    </row>
    <row r="1119" customFormat="false" ht="15" hidden="false" customHeight="false" outlineLevel="0" collapsed="false">
      <c r="A1119" s="126" t="n">
        <f aca="false">A1118+$F$3</f>
        <v>11130</v>
      </c>
      <c r="B1119" s="127" t="n">
        <f aca="false">SUMPRODUCT(固有振動数!$Q$6:$Q$22*(1-($A1119/固有振動数!$O$6:$O$22)^2)/((1-($A1119/固有振動数!$O$6:$O$22)^2)^2+固有振動数!$P$6:$P$22^2))</f>
        <v>12.4046651961989</v>
      </c>
      <c r="C1119" s="127" t="n">
        <f aca="false">-SUMPRODUCT(固有振動数!$Q$6:$Q$22*固有振動数!$P$6:$P$22/((1-($A1119/固有振動数!$O$6:$O$22)^2)^2+固有振動数!$P$6:$P$22^2))</f>
        <v>-1.5517652752323</v>
      </c>
      <c r="D1119" s="128" t="n">
        <f aca="false">SQRT(B1119^2+C1119^2)</f>
        <v>12.5013476913173</v>
      </c>
      <c r="E1119" s="129" t="n">
        <f aca="false">20*LOG10(MAX(D1119,0.000000000001)/$K$3)</f>
        <v>21.9391366815256</v>
      </c>
    </row>
    <row r="1120" customFormat="false" ht="15" hidden="false" customHeight="false" outlineLevel="0" collapsed="false">
      <c r="A1120" s="122" t="n">
        <f aca="false">A1119+$F$3</f>
        <v>11140</v>
      </c>
      <c r="B1120" s="123" t="n">
        <f aca="false">SUMPRODUCT(固有振動数!$Q$6:$Q$22*(1-($A1120/固有振動数!$O$6:$O$22)^2)/((1-($A1120/固有振動数!$O$6:$O$22)^2)^2+固有振動数!$P$6:$P$22^2))</f>
        <v>12.505569324792</v>
      </c>
      <c r="C1120" s="123" t="n">
        <f aca="false">-SUMPRODUCT(固有振動数!$Q$6:$Q$22*固有振動数!$P$6:$P$22/((1-($A1120/固有振動数!$O$6:$O$22)^2)^2+固有振動数!$P$6:$P$22^2))</f>
        <v>-1.56192951948528</v>
      </c>
      <c r="D1120" s="124" t="n">
        <f aca="false">SQRT(B1120^2+C1120^2)</f>
        <v>12.6027333527698</v>
      </c>
      <c r="E1120" s="125" t="n">
        <f aca="false">20*LOG10(MAX(D1120,0.000000000001)/$K$3)</f>
        <v>22.0092949520106</v>
      </c>
    </row>
    <row r="1121" customFormat="false" ht="15" hidden="false" customHeight="false" outlineLevel="0" collapsed="false">
      <c r="A1121" s="126" t="n">
        <f aca="false">A1120+$F$3</f>
        <v>11150</v>
      </c>
      <c r="B1121" s="127" t="n">
        <f aca="false">SUMPRODUCT(固有振動数!$Q$6:$Q$22*(1-($A1121/固有振動数!$O$6:$O$22)^2)/((1-($A1121/固有振動数!$O$6:$O$22)^2)^2+固有振動数!$P$6:$P$22^2))</f>
        <v>12.6069838338152</v>
      </c>
      <c r="C1121" s="127" t="n">
        <f aca="false">-SUMPRODUCT(固有振動数!$Q$6:$Q$22*固有振動数!$P$6:$P$22/((1-($A1121/固有振動数!$O$6:$O$22)^2)^2+固有振動数!$P$6:$P$22^2))</f>
        <v>-1.57244970301553</v>
      </c>
      <c r="D1121" s="128" t="n">
        <f aca="false">SQRT(B1121^2+C1121^2)</f>
        <v>12.704669986056</v>
      </c>
      <c r="E1121" s="129" t="n">
        <f aca="false">20*LOG10(MAX(D1121,0.000000000001)/$K$3)</f>
        <v>22.0792677677415</v>
      </c>
    </row>
    <row r="1122" customFormat="false" ht="15" hidden="false" customHeight="false" outlineLevel="0" collapsed="false">
      <c r="A1122" s="122" t="n">
        <f aca="false">A1121+$F$3</f>
        <v>11160</v>
      </c>
      <c r="B1122" s="123" t="n">
        <f aca="false">SUMPRODUCT(固有振動数!$Q$6:$Q$22*(1-($A1122/固有振動数!$O$6:$O$22)^2)/((1-($A1122/固有振動数!$O$6:$O$22)^2)^2+固有振動数!$P$6:$P$22^2))</f>
        <v>12.7089335507946</v>
      </c>
      <c r="C1122" s="123" t="n">
        <f aca="false">-SUMPRODUCT(固有振動数!$Q$6:$Q$22*固有振動数!$P$6:$P$22/((1-($A1122/固有振動数!$O$6:$O$22)^2)^2+固有振動数!$P$6:$P$22^2))</f>
        <v>-1.58333474177648</v>
      </c>
      <c r="D1122" s="124" t="n">
        <f aca="false">SQRT(B1122^2+C1122^2)</f>
        <v>12.8071831759771</v>
      </c>
      <c r="E1122" s="125" t="n">
        <f aca="false">20*LOG10(MAX(D1122,0.000000000001)/$K$3)</f>
        <v>22.1490724221379</v>
      </c>
    </row>
    <row r="1123" customFormat="false" ht="15" hidden="false" customHeight="false" outlineLevel="0" collapsed="false">
      <c r="A1123" s="126" t="n">
        <f aca="false">A1122+$F$3</f>
        <v>11170</v>
      </c>
      <c r="B1123" s="127" t="n">
        <f aca="false">SUMPRODUCT(固有振動数!$Q$6:$Q$22*(1-($A1123/固有振動数!$O$6:$O$22)^2)/((1-($A1123/固有振動数!$O$6:$O$22)^2)^2+固有振動数!$P$6:$P$22^2))</f>
        <v>12.8114438156814</v>
      </c>
      <c r="C1123" s="127" t="n">
        <f aca="false">-SUMPRODUCT(固有振動数!$Q$6:$Q$22*固有振動数!$P$6:$P$22/((1-($A1123/固有振動数!$O$6:$O$22)^2)^2+固有振動数!$P$6:$P$22^2))</f>
        <v>-1.5945939951271</v>
      </c>
      <c r="D1123" s="128" t="n">
        <f aca="false">SQRT(B1123^2+C1123^2)</f>
        <v>12.9102990922618</v>
      </c>
      <c r="E1123" s="129" t="n">
        <f aca="false">20*LOG10(MAX(D1123,0.000000000001)/$K$3)</f>
        <v>22.2187260732358</v>
      </c>
    </row>
    <row r="1124" customFormat="false" ht="15" hidden="false" customHeight="false" outlineLevel="0" collapsed="false">
      <c r="A1124" s="122" t="n">
        <f aca="false">A1123+$F$3</f>
        <v>11180</v>
      </c>
      <c r="B1124" s="123" t="n">
        <f aca="false">SUMPRODUCT(固有振動数!$Q$6:$Q$22*(1-($A1124/固有振動数!$O$6:$O$22)^2)/((1-($A1124/固有振動数!$O$6:$O$22)^2)^2+固有振動数!$P$6:$P$22^2))</f>
        <v>12.914540507574</v>
      </c>
      <c r="C1124" s="123" t="n">
        <f aca="false">-SUMPRODUCT(固有振動数!$Q$6:$Q$22*固有振動数!$P$6:$P$22/((1-($A1124/固有振動数!$O$6:$O$22)^2)^2+固有振動数!$P$6:$P$22^2))</f>
        <v>-1.60623728645232</v>
      </c>
      <c r="D1124" s="124" t="n">
        <f aca="false">SQRT(B1124^2+C1124^2)</f>
        <v>13.0140445189864</v>
      </c>
      <c r="E1124" s="125" t="n">
        <f aca="false">20*LOG10(MAX(D1124,0.000000000001)/$K$3)</f>
        <v>22.2882457610612</v>
      </c>
    </row>
    <row r="1125" customFormat="false" ht="15" hidden="false" customHeight="false" outlineLevel="0" collapsed="false">
      <c r="A1125" s="126" t="n">
        <f aca="false">A1124+$F$3</f>
        <v>11190</v>
      </c>
      <c r="B1125" s="127" t="n">
        <f aca="false">SUMPRODUCT(固有振動数!$Q$6:$Q$22*(1-($A1125/固有振動数!$O$6:$O$22)^2)/((1-($A1125/固有振動数!$O$6:$O$22)^2)^2+固有振動数!$P$6:$P$22^2))</f>
        <v>13.0182500725031</v>
      </c>
      <c r="C1125" s="127" t="n">
        <f aca="false">-SUMPRODUCT(固有振動数!$Q$6:$Q$22*固有振動数!$P$6:$P$22/((1-($A1125/固有振動数!$O$6:$O$22)^2)^2+固有振動数!$P$6:$P$22^2))</f>
        <v>-1.61827492510039</v>
      </c>
      <c r="D1125" s="128" t="n">
        <f aca="false">SQRT(B1125^2+C1125^2)</f>
        <v>13.1184468853381</v>
      </c>
      <c r="E1125" s="129" t="n">
        <f aca="false">20*LOG10(MAX(D1125,0.000000000001)/$K$3)</f>
        <v>22.3576484247959</v>
      </c>
    </row>
    <row r="1126" customFormat="false" ht="15" hidden="false" customHeight="false" outlineLevel="0" collapsed="false">
      <c r="A1126" s="122" t="n">
        <f aca="false">A1125+$F$3</f>
        <v>11200</v>
      </c>
      <c r="B1126" s="123" t="n">
        <f aca="false">SUMPRODUCT(固有振動数!$Q$6:$Q$22*(1-($A1126/固有振動数!$O$6:$O$22)^2)/((1-($A1126/固有振動数!$O$6:$O$22)^2)^2+固有振動数!$P$6:$P$22^2))</f>
        <v>13.122599552341</v>
      </c>
      <c r="C1126" s="123" t="n">
        <f aca="false">-SUMPRODUCT(固有振動数!$Q$6:$Q$22*固有振動数!$P$6:$P$22/((1-($A1126/固有振動数!$O$6:$O$22)^2)^2+固有振動数!$P$6:$P$22^2))</f>
        <v>-1.63071772972579</v>
      </c>
      <c r="D1126" s="124" t="n">
        <f aca="false">SQRT(B1126^2+C1126^2)</f>
        <v>13.2235342978019</v>
      </c>
      <c r="E1126" s="125" t="n">
        <f aca="false">20*LOG10(MAX(D1126,0.000000000001)/$K$3)</f>
        <v>22.4269509197732</v>
      </c>
    </row>
    <row r="1127" customFormat="false" ht="15" hidden="false" customHeight="false" outlineLevel="0" collapsed="false">
      <c r="A1127" s="126" t="n">
        <f aca="false">A1126+$F$3</f>
        <v>11210</v>
      </c>
      <c r="B1127" s="127" t="n">
        <f aca="false">SUMPRODUCT(固有振動数!$Q$6:$Q$22*(1-($A1127/固有振動数!$O$6:$O$22)^2)/((1-($A1127/固有振動数!$O$6:$O$22)^2)^2+固有振動数!$P$6:$P$22^2))</f>
        <v>13.2276166149024</v>
      </c>
      <c r="C1127" s="127" t="n">
        <f aca="false">-SUMPRODUCT(固有振動数!$Q$6:$Q$22*固有振動数!$P$6:$P$22/((1-($A1127/固有振動数!$O$6:$O$22)^2)^2+固有振動数!$P$6:$P$22^2))</f>
        <v>-1.64357705313303</v>
      </c>
      <c r="D1127" s="128" t="n">
        <f aca="false">SQRT(B1127^2+C1127^2)</f>
        <v>13.3293355738547</v>
      </c>
      <c r="E1127" s="129" t="n">
        <f aca="false">20*LOG10(MAX(D1127,0.000000000001)/$K$3)</f>
        <v>22.4961700343383</v>
      </c>
    </row>
    <row r="1128" customFormat="false" ht="15" hidden="false" customHeight="false" outlineLevel="0" collapsed="false">
      <c r="A1128" s="122" t="n">
        <f aca="false">A1127+$F$3</f>
        <v>11220</v>
      </c>
      <c r="B1128" s="123" t="n">
        <f aca="false">SUMPRODUCT(固有振動数!$Q$6:$Q$22*(1-($A1128/固有振動数!$O$6:$O$22)^2)/((1-($A1128/固有振動数!$O$6:$O$22)^2)^2+固有振動数!$P$6:$P$22^2))</f>
        <v>13.3333295853074</v>
      </c>
      <c r="C1128" s="123" t="n">
        <f aca="false">-SUMPRODUCT(固有振動数!$Q$6:$Q$22*固有振動数!$P$6:$P$22/((1-($A1128/固有振動数!$O$6:$O$22)^2)^2+固有振動数!$P$6:$P$22^2))</f>
        <v>-1.65686480872471</v>
      </c>
      <c r="D1128" s="124" t="n">
        <f aca="false">SQRT(B1128^2+C1128^2)</f>
        <v>13.4358802772585</v>
      </c>
      <c r="E1128" s="125" t="n">
        <f aca="false">20*LOG10(MAX(D1128,0.000000000001)/$K$3)</f>
        <v>22.5653225066113</v>
      </c>
    </row>
    <row r="1129" customFormat="false" ht="15" hidden="false" customHeight="false" outlineLevel="0" collapsed="false">
      <c r="A1129" s="126" t="n">
        <f aca="false">A1128+$F$3</f>
        <v>11230</v>
      </c>
      <c r="B1129" s="127" t="n">
        <f aca="false">SUMPRODUCT(固有振動数!$Q$6:$Q$22*(1-($A1129/固有振動数!$O$6:$O$22)^2)/((1-($A1129/固有振動数!$O$6:$O$22)^2)^2+固有振動数!$P$6:$P$22^2))</f>
        <v>13.4397674786803</v>
      </c>
      <c r="C1129" s="127" t="n">
        <f aca="false">-SUMPRODUCT(固有振動数!$Q$6:$Q$22*固有振動数!$P$6:$P$22/((1-($A1129/固有振動数!$O$6:$O$22)^2)^2+固有振動数!$P$6:$P$22^2))</f>
        <v>-1.67059349866539</v>
      </c>
      <c r="D1129" s="128" t="n">
        <f aca="false">SQRT(B1129^2+C1129^2)</f>
        <v>13.5431987550495</v>
      </c>
      <c r="E1129" s="129" t="n">
        <f aca="false">20*LOG10(MAX(D1129,0.000000000001)/$K$3)</f>
        <v>22.6344250411877</v>
      </c>
    </row>
    <row r="1130" customFormat="false" ht="15" hidden="false" customHeight="false" outlineLevel="0" collapsed="false">
      <c r="A1130" s="122" t="n">
        <f aca="false">A1129+$F$3</f>
        <v>11240</v>
      </c>
      <c r="B1130" s="123" t="n">
        <f aca="false">SUMPRODUCT(固有振動数!$Q$6:$Q$22*(1-($A1130/固有振動数!$O$6:$O$22)^2)/((1-($A1130/固有振動数!$O$6:$O$22)^2)^2+固有振動数!$P$6:$P$22^2))</f>
        <v>13.5469600342616</v>
      </c>
      <c r="C1130" s="123" t="n">
        <f aca="false">-SUMPRODUCT(固有振動数!$Q$6:$Q$22*固有振動数!$P$6:$P$22/((1-($A1130/固有振動数!$O$6:$O$22)^2)^2+固有振動数!$P$6:$P$22^2))</f>
        <v>-1.68477624388173</v>
      </c>
      <c r="D1130" s="124" t="n">
        <f aca="false">SQRT(B1130^2+C1130^2)</f>
        <v>13.6513221763253</v>
      </c>
      <c r="E1130" s="125" t="n">
        <f aca="false">20*LOG10(MAX(D1130,0.000000000001)/$K$3)</f>
        <v>22.7034943258124</v>
      </c>
    </row>
    <row r="1131" customFormat="false" ht="15" hidden="false" customHeight="false" outlineLevel="0" collapsed="false">
      <c r="A1131" s="126" t="n">
        <f aca="false">A1130+$F$3</f>
        <v>11250</v>
      </c>
      <c r="B1131" s="127" t="n">
        <f aca="false">SUMPRODUCT(固有振動数!$Q$6:$Q$22*(1-($A1131/固有振動数!$O$6:$O$22)^2)/((1-($A1131/固有振動数!$O$6:$O$22)^2)^2+固有振動数!$P$6:$P$22^2))</f>
        <v>13.6549377510183</v>
      </c>
      <c r="C1131" s="127" t="n">
        <f aca="false">-SUMPRODUCT(固有振動数!$Q$6:$Q$22*固有振動数!$P$6:$P$22/((1-($A1131/固有振動数!$O$6:$O$22)^2)^2+固有振動数!$P$6:$P$22^2))</f>
        <v>-1.69942681602965</v>
      </c>
      <c r="D1131" s="128" t="n">
        <f aca="false">SQRT(B1131^2+C1131^2)</f>
        <v>13.7602825729425</v>
      </c>
      <c r="E1131" s="129" t="n">
        <f aca="false">20*LOG10(MAX(D1131,0.000000000001)/$K$3)</f>
        <v>22.772547048062</v>
      </c>
    </row>
    <row r="1132" customFormat="false" ht="15" hidden="false" customHeight="false" outlineLevel="0" collapsed="false">
      <c r="A1132" s="122" t="n">
        <f aca="false">A1131+$F$3</f>
        <v>11260</v>
      </c>
      <c r="B1132" s="123" t="n">
        <f aca="false">SUMPRODUCT(固有振動数!$Q$6:$Q$22*(1-($A1132/固有振動数!$O$6:$O$22)^2)/((1-($A1132/固有振動数!$O$6:$O$22)^2)^2+固有振動数!$P$6:$P$22^2))</f>
        <v>13.7637319248368</v>
      </c>
      <c r="C1132" s="123" t="n">
        <f aca="false">-SUMPRODUCT(固有振動数!$Q$6:$Q$22*固有振動数!$P$6:$P$22/((1-($A1132/固有振動数!$O$6:$O$22)^2)^2+固有振動数!$P$6:$P$22^2))</f>
        <v>-1.7145596715696</v>
      </c>
      <c r="D1132" s="124" t="n">
        <f aca="false">SQRT(B1132^2+C1132^2)</f>
        <v>13.8701128822423</v>
      </c>
      <c r="E1132" s="125" t="n">
        <f aca="false">20*LOG10(MAX(D1132,0.000000000001)/$K$3)</f>
        <v>22.8415999120719</v>
      </c>
    </row>
    <row r="1133" customFormat="false" ht="15" hidden="false" customHeight="false" outlineLevel="0" collapsed="false">
      <c r="A1133" s="126" t="n">
        <f aca="false">A1132+$F$3</f>
        <v>11270</v>
      </c>
      <c r="B1133" s="127" t="n">
        <f aca="false">SUMPRODUCT(固有振動数!$Q$6:$Q$22*(1-($A1133/固有振動数!$O$6:$O$22)^2)/((1-($A1133/固有振動数!$O$6:$O$22)^2)^2+固有振動数!$P$6:$P$22^2))</f>
        <v>13.8733746873927</v>
      </c>
      <c r="C1133" s="127" t="n">
        <f aca="false">-SUMPRODUCT(固有振動数!$Q$6:$Q$22*固有振動数!$P$6:$P$22/((1-($A1133/固有振動数!$O$6:$O$22)^2)^2+固有振動数!$P$6:$P$22^2))</f>
        <v>-1.73018998810314</v>
      </c>
      <c r="D1133" s="128" t="n">
        <f aca="false">SQRT(B1133^2+C1133^2)</f>
        <v>13.9808469919287</v>
      </c>
      <c r="E1133" s="129" t="n">
        <f aca="false">20*LOG10(MAX(D1133,0.000000000001)/$K$3)</f>
        <v>22.9106696553438</v>
      </c>
    </row>
    <row r="1134" customFormat="false" ht="15" hidden="false" customHeight="false" outlineLevel="0" collapsed="false">
      <c r="A1134" s="122" t="n">
        <f aca="false">A1133+$F$3</f>
        <v>11280</v>
      </c>
      <c r="B1134" s="123" t="n">
        <f aca="false">SUMPRODUCT(固有振動数!$Q$6:$Q$22*(1-($A1134/固有振動数!$O$6:$O$22)^2)/((1-($A1134/固有振動数!$O$6:$O$22)^2)^2+固有振動数!$P$6:$P$22^2))</f>
        <v>13.9838990467956</v>
      </c>
      <c r="C1134" s="123" t="n">
        <f aca="false">-SUMPRODUCT(固有振動数!$Q$6:$Q$22*固有振動数!$P$6:$P$22/((1-($A1134/固有振動数!$O$6:$O$22)^2)^2+固有振動数!$P$6:$P$22^2))</f>
        <v>-1.7463337031365</v>
      </c>
      <c r="D1134" s="124" t="n">
        <f aca="false">SQRT(B1134^2+C1134^2)</f>
        <v>14.0925197872375</v>
      </c>
      <c r="E1134" s="125" t="n">
        <f aca="false">20*LOG10(MAX(D1134,0.000000000001)/$K$3)</f>
        <v>22.9797730656679</v>
      </c>
    </row>
    <row r="1135" customFormat="false" ht="15" hidden="false" customHeight="false" outlineLevel="0" collapsed="false">
      <c r="A1135" s="126" t="n">
        <f aca="false">A1134+$F$3</f>
        <v>11290</v>
      </c>
      <c r="B1135" s="127" t="n">
        <f aca="false">SUMPRODUCT(固有振動数!$Q$6:$Q$22*(1-($A1135/固有振動数!$O$6:$O$22)^2)/((1-($A1135/固有振動数!$O$6:$O$22)^2)^2+固有振動数!$P$6:$P$22^2))</f>
        <v>14.0953389301096</v>
      </c>
      <c r="C1135" s="127" t="n">
        <f aca="false">-SUMPRODUCT(固有振動数!$Q$6:$Q$22*固有振動数!$P$6:$P$22/((1-($A1135/固有振動数!$O$6:$O$22)^2)^2+固有振動数!$P$6:$P$22^2))</f>
        <v>-1.76300755545113</v>
      </c>
      <c r="D1135" s="128" t="n">
        <f aca="false">SQRT(B1135^2+C1135^2)</f>
        <v>14.205167200538</v>
      </c>
      <c r="E1135" s="129" t="n">
        <f aca="false">20*LOG10(MAX(D1135,0.000000000001)/$K$3)</f>
        <v>23.0489269981994</v>
      </c>
    </row>
    <row r="1136" customFormat="false" ht="15" hidden="false" customHeight="false" outlineLevel="0" collapsed="false">
      <c r="A1136" s="122" t="n">
        <f aca="false">A1135+$F$3</f>
        <v>11300</v>
      </c>
      <c r="B1136" s="123" t="n">
        <f aca="false">SUMPRODUCT(固有振動数!$Q$6:$Q$22*(1-($A1136/固有振動数!$O$6:$O$22)^2)/((1-($A1136/固有振動数!$O$6:$O$22)^2)^2+固有振動数!$P$6:$P$22^2))</f>
        <v>14.2077292278613</v>
      </c>
      <c r="C1136" s="123" t="n">
        <f aca="false">-SUMPRODUCT(固有振動数!$Q$6:$Q$22*固有振動数!$P$6:$P$22/((1-($A1136/固有振動数!$O$6:$O$22)^2)^2+固有振動数!$P$6:$P$22^2))</f>
        <v>-1.78022912927629</v>
      </c>
      <c r="D1136" s="124" t="n">
        <f aca="false">SQRT(B1136^2+C1136^2)</f>
        <v>14.3188262635228</v>
      </c>
      <c r="E1136" s="125" t="n">
        <f aca="false">20*LOG10(MAX(D1136,0.000000000001)/$K$3)</f>
        <v>23.1181483927229</v>
      </c>
    </row>
    <row r="1137" customFormat="false" ht="15" hidden="false" customHeight="false" outlineLevel="0" collapsed="false">
      <c r="A1137" s="126" t="n">
        <f aca="false">A1136+$F$3</f>
        <v>11310</v>
      </c>
      <c r="B1137" s="127" t="n">
        <f aca="false">SUMPRODUCT(固有振動数!$Q$6:$Q$22*(1-($A1137/固有振動数!$O$6:$O$22)^2)/((1-($A1137/固有振動数!$O$6:$O$22)^2)^2+固有振動数!$P$6:$P$22^2))</f>
        <v>14.3211058406498</v>
      </c>
      <c r="C1137" s="127" t="n">
        <f aca="false">-SUMPRODUCT(固有振動数!$Q$6:$Q$22*固有振動数!$P$6:$P$22/((1-($A1137/固有振動数!$O$6:$O$22)^2)^2+固有振動数!$P$6:$P$22^2))</f>
        <v>-1.79801690147565</v>
      </c>
      <c r="D1137" s="128" t="n">
        <f aca="false">SQRT(B1137^2+C1137^2)</f>
        <v>14.4335351621522</v>
      </c>
      <c r="E1137" s="129" t="n">
        <f aca="false">20*LOG10(MAX(D1137,0.000000000001)/$K$3)</f>
        <v>23.1874542911445</v>
      </c>
    </row>
    <row r="1138" customFormat="false" ht="15" hidden="false" customHeight="false" outlineLevel="0" collapsed="false">
      <c r="A1138" s="122" t="n">
        <f aca="false">A1137+$F$3</f>
        <v>11320</v>
      </c>
      <c r="B1138" s="123" t="n">
        <f aca="false">SUMPRODUCT(固有振動数!$Q$6:$Q$22*(1-($A1138/固有振動数!$O$6:$O$22)^2)/((1-($A1138/固有振動数!$O$6:$O$22)^2)^2+固有振動数!$P$6:$P$22^2))</f>
        <v>14.4355057279795</v>
      </c>
      <c r="C1138" s="123" t="n">
        <f aca="false">-SUMPRODUCT(固有振動数!$Q$6:$Q$22*固有振動数!$P$6:$P$22/((1-($A1138/固有振動数!$O$6:$O$22)^2)^2+固有振動数!$P$6:$P$22^2))</f>
        <v>-1.81639029197803</v>
      </c>
      <c r="D1138" s="124" t="n">
        <f aca="false">SQRT(B1138^2+C1138^2)</f>
        <v>14.5493332945301</v>
      </c>
      <c r="E1138" s="125" t="n">
        <f aca="false">20*LOG10(MAX(D1138,0.000000000001)/$K$3)</f>
        <v>23.2568618552487</v>
      </c>
    </row>
    <row r="1139" customFormat="false" ht="15" hidden="false" customHeight="false" outlineLevel="0" collapsed="false">
      <c r="A1139" s="126" t="n">
        <f aca="false">A1138+$F$3</f>
        <v>11330</v>
      </c>
      <c r="B1139" s="127" t="n">
        <f aca="false">SUMPRODUCT(固有振動数!$Q$6:$Q$22*(1-($A1139/固有振動数!$O$6:$O$22)^2)/((1-($A1139/固有振動数!$O$6:$O$22)^2)^2+固有振動数!$P$6:$P$22^2))</f>
        <v>14.5509669594478</v>
      </c>
      <c r="C1139" s="127" t="n">
        <f aca="false">-SUMPRODUCT(固有振動数!$Q$6:$Q$22*固有振動数!$P$6:$P$22/((1-($A1139/固有振動数!$O$6:$O$22)^2)^2+固有振動数!$P$6:$P$22^2))</f>
        <v>-1.83536971770274</v>
      </c>
      <c r="D1139" s="128" t="n">
        <f aca="false">SQRT(B1139^2+C1139^2)</f>
        <v>14.6662613319006</v>
      </c>
      <c r="E1139" s="129" t="n">
        <f aca="false">20*LOG10(MAX(D1139,0.000000000001)/$K$3)</f>
        <v>23.3263883847603</v>
      </c>
    </row>
    <row r="1140" customFormat="false" ht="15" hidden="false" customHeight="false" outlineLevel="0" collapsed="false">
      <c r="A1140" s="122" t="n">
        <f aca="false">A1139+$F$3</f>
        <v>11340</v>
      </c>
      <c r="B1140" s="123" t="n">
        <f aca="false">SUMPRODUCT(固有振動数!$Q$6:$Q$22*(1-($A1140/固有振動数!$O$6:$O$22)^2)/((1-($A1140/固有振動数!$O$6:$O$22)^2)^2+固有振動数!$P$6:$P$22^2))</f>
        <v>14.6675287684204</v>
      </c>
      <c r="C1140" s="123" t="n">
        <f aca="false">-SUMPRODUCT(固有振動数!$Q$6:$Q$22*固有振動数!$P$6:$P$22/((1-($A1140/固有振動数!$O$6:$O$22)^2)^2+固有振動数!$P$6:$P$22^2))</f>
        <v>-1.85497665025154</v>
      </c>
      <c r="D1140" s="124" t="n">
        <f aca="false">SQRT(B1140^2+C1140^2)</f>
        <v>14.7843612829712</v>
      </c>
      <c r="E1140" s="125" t="n">
        <f aca="false">20*LOG10(MAX(D1140,0.000000000001)/$K$3)</f>
        <v>23.3960513357507</v>
      </c>
    </row>
    <row r="1141" customFormat="false" ht="15" hidden="false" customHeight="false" outlineLevel="0" collapsed="false">
      <c r="A1141" s="126" t="n">
        <f aca="false">A1140+$F$3</f>
        <v>11350</v>
      </c>
      <c r="B1141" s="127" t="n">
        <f aca="false">SUMPRODUCT(固有振動数!$Q$6:$Q$22*(1-($A1141/固有振動数!$O$6:$O$22)^2)/((1-($A1141/固有振動数!$O$6:$O$22)^2)^2+固有振動数!$P$6:$P$22^2))</f>
        <v>14.785231608342</v>
      </c>
      <c r="C1141" s="127" t="n">
        <f aca="false">-SUMPRODUCT(固有振動数!$Q$6:$Q$22*固有振動数!$P$6:$P$22/((1-($A1141/固有振動数!$O$6:$O$22)^2)^2+固有振動数!$P$6:$P$22^2))</f>
        <v>-1.87523367766407</v>
      </c>
      <c r="D1141" s="128" t="n">
        <f aca="false">SQRT(B1141^2+C1141^2)</f>
        <v>14.9036765617803</v>
      </c>
      <c r="E1141" s="129" t="n">
        <f aca="false">20*LOG10(MAX(D1141,0.000000000001)/$K$3)</f>
        <v>23.4658683394301</v>
      </c>
    </row>
    <row r="1142" customFormat="false" ht="15" hidden="false" customHeight="false" outlineLevel="0" collapsed="false">
      <c r="A1142" s="122" t="n">
        <f aca="false">A1141+$F$3</f>
        <v>11360</v>
      </c>
      <c r="B1142" s="123" t="n">
        <f aca="false">SUMPRODUCT(固有振動数!$Q$6:$Q$22*(1-($A1142/固有振動数!$O$6:$O$22)^2)/((1-($A1142/固有振動数!$O$6:$O$22)^2)^2+固有振動数!$P$6:$P$22^2))</f>
        <v>14.9041172118328</v>
      </c>
      <c r="C1142" s="123" t="n">
        <f aca="false">-SUMPRODUCT(固有振動数!$Q$6:$Q$22*固有振動数!$P$6:$P$22/((1-($A1142/固有振動数!$O$6:$O$22)^2)^2+固有振動数!$P$6:$P$22^2))</f>
        <v>-1.89616457055936</v>
      </c>
      <c r="D1142" s="124" t="n">
        <f aca="false">SQRT(B1142^2+C1142^2)</f>
        <v>15.0242520593437</v>
      </c>
      <c r="E1142" s="125" t="n">
        <f aca="false">20*LOG10(MAX(D1142,0.000000000001)/$K$3)</f>
        <v>23.5358572213691</v>
      </c>
    </row>
    <row r="1143" customFormat="false" ht="15" hidden="false" customHeight="false" outlineLevel="0" collapsed="false">
      <c r="A1143" s="126" t="n">
        <f aca="false">A1142+$F$3</f>
        <v>11370</v>
      </c>
      <c r="B1143" s="127" t="n">
        <f aca="false">SUMPRODUCT(固有振動数!$Q$6:$Q$22*(1-($A1143/固有振動数!$O$6:$O$22)^2)/((1-($A1143/固有振動数!$O$6:$O$22)^2)^2+固有振動数!$P$6:$P$22^2))</f>
        <v>15.0242286527325</v>
      </c>
      <c r="C1143" s="127" t="n">
        <f aca="false">-SUMPRODUCT(固有振動数!$Q$6:$Q$22*固有振動数!$P$6:$P$22/((1-($A1143/固有振動数!$O$6:$O$22)^2)^2+固有振動数!$P$6:$P$22^2))</f>
        <v>-1.91779435301588</v>
      </c>
      <c r="D1143" s="128" t="n">
        <f aca="false">SQRT(B1143^2+C1143^2)</f>
        <v>15.1461342193329</v>
      </c>
      <c r="E1143" s="129" t="n">
        <f aca="false">20*LOG10(MAX(D1143,0.000000000001)/$K$3)</f>
        <v>23.6060360211932</v>
      </c>
    </row>
    <row r="1144" customFormat="false" ht="15" hidden="false" customHeight="false" outlineLevel="0" collapsed="false">
      <c r="A1144" s="122" t="n">
        <f aca="false">A1143+$F$3</f>
        <v>11380</v>
      </c>
      <c r="B1144" s="123" t="n">
        <f aca="false">SUMPRODUCT(固有振動数!$Q$6:$Q$22*(1-($A1144/固有振動数!$O$6:$O$22)^2)/((1-($A1144/固有振動数!$O$6:$O$22)^2)^2+固有振動数!$P$6:$P$22^2))</f>
        <v>15.1456104112624</v>
      </c>
      <c r="C1144" s="123" t="n">
        <f aca="false">-SUMPRODUCT(固有振動数!$Q$6:$Q$22*固有振動数!$P$6:$P$22/((1-($A1144/固有振動数!$O$6:$O$22)^2)^2+固有振動数!$P$6:$P$22^2))</f>
        <v>-1.94014937857405</v>
      </c>
      <c r="D1144" s="124" t="n">
        <f aca="false">SQRT(B1144^2+C1144^2)</f>
        <v>15.2693711180559</v>
      </c>
      <c r="E1144" s="125" t="n">
        <f aca="false">20*LOG10(MAX(D1144,0.000000000001)/$K$3)</f>
        <v>23.6764230127953</v>
      </c>
    </row>
    <row r="1145" customFormat="false" ht="15" hidden="false" customHeight="false" outlineLevel="0" collapsed="false">
      <c r="A1145" s="126" t="n">
        <f aca="false">A1144+$F$3</f>
        <v>11390</v>
      </c>
      <c r="B1145" s="127" t="n">
        <f aca="false">SUMPRODUCT(固有振動数!$Q$6:$Q$22*(1-($A1145/固有振動数!$O$6:$O$22)^2)/((1-($A1145/固有振動数!$O$6:$O$22)^2)^2+固有振動数!$P$6:$P$22^2))</f>
        <v>15.2683084424841</v>
      </c>
      <c r="C1145" s="127" t="n">
        <f aca="false">-SUMPRODUCT(固有振動数!$Q$6:$Q$22*固有振動数!$P$6:$P$22/((1-($A1145/固有振動数!$O$6:$O$22)^2)^2+固有振動数!$P$6:$P$22^2))</f>
        <v>-1.96325741178101</v>
      </c>
      <c r="D1145" s="128" t="n">
        <f aca="false">SQRT(B1145^2+C1145^2)</f>
        <v>15.3940125490317</v>
      </c>
      <c r="E1145" s="129" t="n">
        <f aca="false">20*LOG10(MAX(D1145,0.000000000001)/$K$3)</f>
        <v>23.7470367251149</v>
      </c>
    </row>
    <row r="1146" customFormat="false" ht="15" hidden="false" customHeight="false" outlineLevel="0" collapsed="false">
      <c r="A1146" s="122" t="n">
        <f aca="false">A1145+$F$3</f>
        <v>11400</v>
      </c>
      <c r="B1146" s="123" t="n">
        <f aca="false">SUMPRODUCT(固有振動数!$Q$6:$Q$22*(1-($A1146/固有振動数!$O$6:$O$22)^2)/((1-($A1146/固有振動数!$O$6:$O$22)^2)^2+固有振動数!$P$6:$P$22^2))</f>
        <v>15.3923702482463</v>
      </c>
      <c r="C1146" s="123" t="n">
        <f aca="false">-SUMPRODUCT(固有振動数!$Q$6:$Q$22*固有振動数!$P$6:$P$22/((1-($A1146/固有振動数!$O$6:$O$22)^2)^2+固有振動数!$P$6:$P$22^2))</f>
        <v>-1.98714771573577</v>
      </c>
      <c r="D1146" s="124" t="n">
        <f aca="false">SQRT(B1146^2+C1146^2)</f>
        <v>15.5201101124719</v>
      </c>
      <c r="E1146" s="125" t="n">
        <f aca="false">20*LOG10(MAX(D1146,0.000000000001)/$K$3)</f>
        <v>23.8178959635327</v>
      </c>
    </row>
    <row r="1147" customFormat="false" ht="15" hidden="false" customHeight="false" outlineLevel="0" collapsed="false">
      <c r="A1147" s="126" t="n">
        <f aca="false">A1146+$F$3</f>
        <v>11410</v>
      </c>
      <c r="B1147" s="127" t="n">
        <f aca="false">SUMPRODUCT(固有振動数!$Q$6:$Q$22*(1-($A1147/固有振動数!$O$6:$O$22)^2)/((1-($A1147/固有振動数!$O$6:$O$22)^2)^2+固有振動数!$P$6:$P$22^2))</f>
        <v>15.5178449528166</v>
      </c>
      <c r="C1147" s="127" t="n">
        <f aca="false">-SUMPRODUCT(固有振動数!$Q$6:$Q$22*固有振動数!$P$6:$P$22/((1-($A1147/固有振動数!$O$6:$O$22)^2)^2+固有振動数!$P$6:$P$22^2))</f>
        <v>-2.01185114613635</v>
      </c>
      <c r="D1147" s="128" t="n">
        <f aca="false">SQRT(B1147^2+C1147^2)</f>
        <v>15.6477173100062</v>
      </c>
      <c r="E1147" s="129" t="n">
        <f aca="false">20*LOG10(MAX(D1147,0.000000000001)/$K$3)</f>
        <v>23.8890198319311</v>
      </c>
    </row>
    <row r="1148" customFormat="false" ht="15" hidden="false" customHeight="false" outlineLevel="0" collapsed="false">
      <c r="A1148" s="122" t="n">
        <f aca="false">A1147+$F$3</f>
        <v>11420</v>
      </c>
      <c r="B1148" s="123" t="n">
        <f aca="false">SUMPRODUCT(固有振動数!$Q$6:$Q$22*(1-($A1148/固有振動数!$O$6:$O$22)^2)/((1-($A1148/固有振動数!$O$6:$O$22)^2)^2+固有振動数!$P$6:$P$22^2))</f>
        <v>15.6447833824114</v>
      </c>
      <c r="C1148" s="123" t="n">
        <f aca="false">-SUMPRODUCT(固有振動数!$Q$6:$Q$22*固有振動数!$P$6:$P$22/((1-($A1148/固有振動数!$O$6:$O$22)^2)^2+固有振動数!$P$6:$P$22^2))</f>
        <v>-2.03740025237716</v>
      </c>
      <c r="D1148" s="124" t="n">
        <f aca="false">SQRT(B1148^2+C1148^2)</f>
        <v>15.7768896450144</v>
      </c>
      <c r="E1148" s="125" t="n">
        <f aca="false">20*LOG10(MAX(D1148,0.000000000001)/$K$3)</f>
        <v>23.9604277554758</v>
      </c>
    </row>
    <row r="1149" customFormat="false" ht="15" hidden="false" customHeight="false" outlineLevel="0" collapsed="false">
      <c r="A1149" s="126" t="n">
        <f aca="false">A1148+$F$3</f>
        <v>11430</v>
      </c>
      <c r="B1149" s="127" t="n">
        <f aca="false">SUMPRODUCT(固有振動数!$Q$6:$Q$22*(1-($A1149/固有振動数!$O$6:$O$22)^2)/((1-($A1149/固有振動数!$O$6:$O$22)^2)^2+固有振動数!$P$6:$P$22^2))</f>
        <v>15.7732381488426</v>
      </c>
      <c r="C1149" s="127" t="n">
        <f aca="false">-SUMPRODUCT(固有振動数!$Q$6:$Q$22*固有振動数!$P$6:$P$22/((1-($A1149/固有振動数!$O$6:$O$22)^2)^2+固有振動数!$P$6:$P$22^2))</f>
        <v>-2.06382938629792</v>
      </c>
      <c r="D1149" s="128" t="n">
        <f aca="false">SQRT(B1149^2+C1149^2)</f>
        <v>15.9076847289557</v>
      </c>
      <c r="E1149" s="129" t="n">
        <f aca="false">20*LOG10(MAX(D1149,0.000000000001)/$K$3)</f>
        <v>24.0321395041722</v>
      </c>
    </row>
    <row r="1150" customFormat="false" ht="15" hidden="false" customHeight="false" outlineLevel="0" collapsed="false">
      <c r="A1150" s="122" t="n">
        <f aca="false">A1149+$F$3</f>
        <v>11440</v>
      </c>
      <c r="B1150" s="123" t="n">
        <f aca="false">SUMPRODUCT(固有振動数!$Q$6:$Q$22*(1-($A1150/固有振動数!$O$6:$O$22)^2)/((1-($A1150/固有振動数!$O$6:$O$22)^2)^2+固有振動数!$P$6:$P$22^2))</f>
        <v>15.9032637375157</v>
      </c>
      <c r="C1150" s="123" t="n">
        <f aca="false">-SUMPRODUCT(固有振動数!$Q$6:$Q$22*固有振動数!$P$6:$P$22/((1-($A1150/固有振動数!$O$6:$O$22)^2)^2+固有振動数!$P$6:$P$22^2))</f>
        <v>-2.09117481924257</v>
      </c>
      <c r="D1150" s="124" t="n">
        <f aca="false">SQRT(B1150^2+C1150^2)</f>
        <v>16.0401623941161</v>
      </c>
      <c r="E1150" s="125" t="n">
        <f aca="false">20*LOG10(MAX(D1150,0.000000000001)/$K$3)</f>
        <v>24.1041752172566</v>
      </c>
    </row>
    <row r="1151" customFormat="false" ht="15" hidden="false" customHeight="false" outlineLevel="0" collapsed="false">
      <c r="A1151" s="126" t="n">
        <f aca="false">A1150+$F$3</f>
        <v>11450</v>
      </c>
      <c r="B1151" s="127" t="n">
        <f aca="false">SUMPRODUCT(固有振動数!$Q$6:$Q$22*(1-($A1151/固有振動数!$O$6:$O$22)^2)/((1-($A1151/固有振動数!$O$6:$O$22)^2)^2+固有振動数!$P$6:$P$22^2))</f>
        <v>16.034916600021</v>
      </c>
      <c r="C1151" s="127" t="n">
        <f aca="false">-SUMPRODUCT(固有振動数!$Q$6:$Q$22*固有振動数!$P$6:$P$22/((1-($A1151/固有振動数!$O$6:$O$22)^2)^2+固有振動数!$P$6:$P$22^2))</f>
        <v>-2.11947486815097</v>
      </c>
      <c r="D1151" s="128" t="n">
        <f aca="false">SQRT(B1151^2+C1151^2)</f>
        <v>16.1743848132271</v>
      </c>
      <c r="E1151" s="129" t="n">
        <f aca="false">20*LOG10(MAX(D1151,0.000000000001)/$K$3)</f>
        <v>24.176555428482</v>
      </c>
    </row>
    <row r="1152" customFormat="false" ht="15" hidden="false" customHeight="false" outlineLevel="0" collapsed="false">
      <c r="A1152" s="122" t="n">
        <f aca="false">A1151+$F$3</f>
        <v>11460</v>
      </c>
      <c r="B1152" s="123" t="n">
        <f aca="false">SUMPRODUCT(固有振動数!$Q$6:$Q$22*(1-($A1152/固有振動数!$O$6:$O$22)^2)/((1-($A1152/固有振動数!$O$6:$O$22)^2)^2+固有振動数!$P$6:$P$22^2))</f>
        <v>16.1682552515737</v>
      </c>
      <c r="C1152" s="123" t="n">
        <f aca="false">-SUMPRODUCT(固有振動数!$Q$6:$Q$22*固有振動数!$P$6:$P$22/((1-($A1152/固有振動数!$O$6:$O$22)^2)^2+固有振動数!$P$6:$P$22^2))</f>
        <v>-2.14877003147691</v>
      </c>
      <c r="D1152" s="124" t="n">
        <f aca="false">SQRT(B1152^2+C1152^2)</f>
        <v>16.310416626445</v>
      </c>
      <c r="E1152" s="125" t="n">
        <f aca="false">20*LOG10(MAX(D1152,0.000000000001)/$K$3)</f>
        <v>24.249301092363</v>
      </c>
    </row>
    <row r="1153" customFormat="false" ht="15" hidden="false" customHeight="false" outlineLevel="0" collapsed="false">
      <c r="A1153" s="126" t="n">
        <f aca="false">A1152+$F$3</f>
        <v>11470</v>
      </c>
      <c r="B1153" s="127" t="n">
        <f aca="false">SUMPRODUCT(固有振動数!$Q$6:$Q$22*(1-($A1153/固有振動数!$O$6:$O$22)^2)/((1-($A1153/固有振動数!$O$6:$O$22)^2)^2+固有振動数!$P$6:$P$22^2))</f>
        <v>16.3033403735707</v>
      </c>
      <c r="C1153" s="127" t="n">
        <f aca="false">-SUMPRODUCT(固有振動数!$Q$6:$Q$22*固有振動数!$P$6:$P$22/((1-($A1153/固有振動数!$O$6:$O$22)^2)^2+固有振動数!$P$6:$P$22^2))</f>
        <v>-2.17910313580442</v>
      </c>
      <c r="D1153" s="128" t="n">
        <f aca="false">SQRT(B1153^2+C1153^2)</f>
        <v>16.4483250762189</v>
      </c>
      <c r="E1153" s="129" t="n">
        <f aca="false">20*LOG10(MAX(D1153,0.000000000001)/$K$3)</f>
        <v>24.3224336114459</v>
      </c>
    </row>
    <row r="1154" customFormat="false" ht="15" hidden="false" customHeight="false" outlineLevel="0" collapsed="false">
      <c r="A1154" s="122" t="n">
        <f aca="false">A1153+$F$3</f>
        <v>11480</v>
      </c>
      <c r="B1154" s="123" t="n">
        <f aca="false">SUMPRODUCT(固有振動数!$Q$6:$Q$22*(1-($A1154/固有振動数!$O$6:$O$22)^2)/((1-($A1154/固有振動数!$O$6:$O$22)^2)^2+固有振動数!$P$6:$P$22^2))</f>
        <v>16.4402349215391</v>
      </c>
      <c r="C1154" s="123" t="n">
        <f aca="false">-SUMPRODUCT(固有振動数!$Q$6:$Q$22*固有振動数!$P$6:$P$22/((1-($A1154/固有振動数!$O$6:$O$22)^2)^2+固有振動数!$P$6:$P$22^2))</f>
        <v>-2.21051949412164</v>
      </c>
      <c r="D1154" s="124" t="n">
        <f aca="false">SQRT(B1154^2+C1154^2)</f>
        <v>16.5881801506158</v>
      </c>
      <c r="E1154" s="125" t="n">
        <f aca="false">20*LOG10(MAX(D1154,0.000000000001)/$K$3)</f>
        <v>24.3959748646734</v>
      </c>
    </row>
    <row r="1155" customFormat="false" ht="15" hidden="false" customHeight="false" outlineLevel="0" collapsed="false">
      <c r="A1155" s="126" t="n">
        <f aca="false">A1154+$F$3</f>
        <v>11490</v>
      </c>
      <c r="B1155" s="127" t="n">
        <f aca="false">SUMPRODUCT(固有振動数!$Q$6:$Q$22*(1-($A1155/固有振動数!$O$6:$O$22)^2)/((1-($A1155/固有振動数!$O$6:$O$22)^2)^2+固有振動数!$P$6:$P$22^2))</f>
        <v>16.5790042387677</v>
      </c>
      <c r="C1155" s="127" t="n">
        <f aca="false">-SUMPRODUCT(固有振動数!$Q$6:$Q$22*固有振動数!$P$6:$P$22/((1-($A1155/固有振動数!$O$6:$O$22)^2)^2+固有振動数!$P$6:$P$22^2))</f>
        <v>-2.24306707680808</v>
      </c>
      <c r="D1155" s="128" t="n">
        <f aca="false">SQRT(B1155^2+C1155^2)</f>
        <v>16.7300547357185</v>
      </c>
      <c r="E1155" s="129" t="n">
        <f aca="false">20*LOG10(MAX(D1155,0.000000000001)/$K$3)</f>
        <v>24.4699472369187</v>
      </c>
    </row>
    <row r="1156" customFormat="false" ht="15" hidden="false" customHeight="false" outlineLevel="0" collapsed="false">
      <c r="A1156" s="122" t="n">
        <f aca="false">A1155+$F$3</f>
        <v>11500</v>
      </c>
      <c r="B1156" s="123" t="n">
        <f aca="false">SUMPRODUCT(固有振動数!$Q$6:$Q$22*(1-($A1156/固有振動数!$O$6:$O$22)^2)/((1-($A1156/固有振動数!$O$6:$O$22)^2)^2+固有振動数!$P$6:$P$22^2))</f>
        <v>16.7197161759183</v>
      </c>
      <c r="C1156" s="123" t="n">
        <f aca="false">-SUMPRODUCT(固有振動数!$Q$6:$Q$22*固有振動数!$P$6:$P$22/((1-($A1156/固有振動数!$O$6:$O$22)^2)^2+固有振動数!$P$6:$P$22^2))</f>
        <v>-2.27679669649887</v>
      </c>
      <c r="D1156" s="124" t="n">
        <f aca="false">SQRT(B1156^2+C1156^2)</f>
        <v>16.8740247777598</v>
      </c>
      <c r="E1156" s="125" t="n">
        <f aca="false">20*LOG10(MAX(D1156,0.000000000001)/$K$3)</f>
        <v>24.5443736497635</v>
      </c>
    </row>
    <row r="1157" customFormat="false" ht="15" hidden="false" customHeight="false" outlineLevel="0" collapsed="false">
      <c r="A1157" s="126" t="n">
        <f aca="false">A1156+$F$3</f>
        <v>11510</v>
      </c>
      <c r="B1157" s="127" t="n">
        <f aca="false">SUMPRODUCT(固有振動数!$Q$6:$Q$22*(1-($A1157/固有振動数!$O$6:$O$22)^2)/((1-($A1157/固有振動数!$O$6:$O$22)^2)^2+固有振動数!$P$6:$P$22^2))</f>
        <v>16.862441216926</v>
      </c>
      <c r="C1157" s="127" t="n">
        <f aca="false">-SUMPRODUCT(固有振動数!$Q$6:$Q$22*固有振動数!$P$6:$P$22/((1-($A1157/固有振動数!$O$6:$O$22)^2)^2+固有振動数!$P$6:$P$22^2))</f>
        <v>-2.31176220810892</v>
      </c>
      <c r="D1157" s="128" t="n">
        <f aca="false">SQRT(B1157^2+C1157^2)</f>
        <v>17.0201694557112</v>
      </c>
      <c r="E1157" s="129" t="n">
        <f aca="false">20*LOG10(MAX(D1157,0.000000000001)/$K$3)</f>
        <v>24.6192775936012</v>
      </c>
    </row>
    <row r="1158" customFormat="false" ht="15" hidden="false" customHeight="false" outlineLevel="0" collapsed="false">
      <c r="A1158" s="122" t="n">
        <f aca="false">A1157+$F$3</f>
        <v>11520</v>
      </c>
      <c r="B1158" s="123" t="n">
        <f aca="false">SUMPRODUCT(固有振動数!$Q$6:$Q$22*(1-($A1158/固有振動数!$O$6:$O$22)^2)/((1-($A1158/固有振動数!$O$6:$O$22)^2)^2+固有振動数!$P$6:$P$22^2))</f>
        <v>17.0072526115029</v>
      </c>
      <c r="C1158" s="123" t="n">
        <f aca="false">-SUMPRODUCT(固有振動数!$Q$6:$Q$22*固有振動数!$P$6:$P$22/((1-($A1158/固有振動数!$O$6:$O$22)^2)^2+固有振動数!$P$6:$P$22^2))</f>
        <v>-2.34802072543366</v>
      </c>
      <c r="D1158" s="124" t="n">
        <f aca="false">SQRT(B1158^2+C1158^2)</f>
        <v>17.1685713651002</v>
      </c>
      <c r="E1158" s="125" t="n">
        <f aca="false">20*LOG10(MAX(D1158,0.000000000001)/$K$3)</f>
        <v>24.694683161148</v>
      </c>
    </row>
    <row r="1159" customFormat="false" ht="15" hidden="false" customHeight="false" outlineLevel="0" collapsed="false">
      <c r="A1159" s="126" t="n">
        <f aca="false">A1158+$F$3</f>
        <v>11530</v>
      </c>
      <c r="B1159" s="127" t="n">
        <f aca="false">SUMPRODUCT(固有振動数!$Q$6:$Q$22*(1-($A1159/固有振動数!$O$6:$O$22)^2)/((1-($A1159/固有振動数!$O$6:$O$22)^2)^2+固有振動数!$P$6:$P$22^2))</f>
        <v>17.1542265145693</v>
      </c>
      <c r="C1159" s="127" t="n">
        <f aca="false">-SUMPRODUCT(固有振動数!$Q$6:$Q$22*固有振動数!$P$6:$P$22/((1-($A1159/固有振動数!$O$6:$O$22)^2)^2+固有振動数!$P$6:$P$22^2))</f>
        <v>-2.38563285589084</v>
      </c>
      <c r="D1159" s="128" t="n">
        <f aca="false">SQRT(B1159^2+C1159^2)</f>
        <v>17.3193167138966</v>
      </c>
      <c r="E1159" s="129" t="n">
        <f aca="false">20*LOG10(MAX(D1159,0.000000000001)/$K$3)</f>
        <v>24.7706150824512</v>
      </c>
    </row>
    <row r="1160" customFormat="false" ht="15" hidden="false" customHeight="false" outlineLevel="0" collapsed="false">
      <c r="A1160" s="122" t="n">
        <f aca="false">A1159+$F$3</f>
        <v>11540</v>
      </c>
      <c r="B1160" s="123" t="n">
        <f aca="false">SUMPRODUCT(固有振動数!$Q$6:$Q$22*(1-($A1160/固有振動数!$O$6:$O$22)^2)/((1-($A1160/固有振動数!$O$6:$O$22)^2)^2+固有振動数!$P$6:$P$22^2))</f>
        <v>17.3034421329358</v>
      </c>
      <c r="C1160" s="123" t="n">
        <f aca="false">-SUMPRODUCT(固有振動数!$Q$6:$Q$22*固有振動数!$P$6:$P$22/((1-($A1160/固有振動数!$O$6:$O$22)^2)^2+固有振動数!$P$6:$P$22^2))</f>
        <v>-2.42466295513447</v>
      </c>
      <c r="D1160" s="124" t="n">
        <f aca="false">SQRT(B1160^2+C1160^2)</f>
        <v>17.4724955313733</v>
      </c>
      <c r="E1160" s="125" t="n">
        <f aca="false">20*LOG10(MAX(D1160,0.000000000001)/$K$3)</f>
        <v>24.8470987614834</v>
      </c>
    </row>
    <row r="1161" customFormat="false" ht="15" hidden="false" customHeight="false" outlineLevel="0" collapsed="false">
      <c r="A1161" s="126" t="n">
        <f aca="false">A1160+$F$3</f>
        <v>11550</v>
      </c>
      <c r="B1161" s="127" t="n">
        <f aca="false">SUMPRODUCT(固有振動数!$Q$6:$Q$22*(1-($A1161/固有振動数!$O$6:$O$22)^2)/((1-($A1161/固有振動数!$O$6:$O$22)^2)^2+固有振動数!$P$6:$P$22^2))</f>
        <v>17.4549818795638</v>
      </c>
      <c r="C1161" s="127" t="n">
        <f aca="false">-SUMPRODUCT(固有振動数!$Q$6:$Q$22*固有振動数!$P$6:$P$22/((1-($A1161/固有振動数!$O$6:$O$22)^2)^2+固有振動数!$P$6:$P$22^2))</f>
        <v>-2.46517940345604</v>
      </c>
      <c r="D1161" s="128" t="n">
        <f aca="false">SQRT(B1161^2+C1161^2)</f>
        <v>17.6282018909225</v>
      </c>
      <c r="E1161" s="129" t="n">
        <f aca="false">20*LOG10(MAX(D1161,0.000000000001)/$K$3)</f>
        <v>24.9241603144199</v>
      </c>
    </row>
    <row r="1162" customFormat="false" ht="15" hidden="false" customHeight="false" outlineLevel="0" collapsed="false">
      <c r="A1162" s="122" t="n">
        <f aca="false">A1161+$F$3</f>
        <v>11560</v>
      </c>
      <c r="B1162" s="123" t="n">
        <f aca="false">SUMPRODUCT(固有振動数!$Q$6:$Q$22*(1-($A1162/固有振動数!$O$6:$O$22)^2)/((1-($A1162/固有振動数!$O$6:$O$22)^2)^2+固有振動数!$P$6:$P$22^2))</f>
        <v>17.6089315357269</v>
      </c>
      <c r="C1162" s="123" t="n">
        <f aca="false">-SUMPRODUCT(固有振動数!$Q$6:$Q$22*固有振動数!$P$6:$P$22/((1-($A1162/固有振動数!$O$6:$O$22)^2)^2+固有振動数!$P$6:$P$22^2))</f>
        <v>-2.50725490609601</v>
      </c>
      <c r="D1162" s="124" t="n">
        <f aca="false">SQRT(B1162^2+C1162^2)</f>
        <v>17.7865341478901</v>
      </c>
      <c r="E1162" s="125" t="n">
        <f aca="false">20*LOG10(MAX(D1162,0.000000000001)/$K$3)</f>
        <v>25.0018266096974</v>
      </c>
    </row>
    <row r="1163" customFormat="false" ht="15" hidden="false" customHeight="false" outlineLevel="0" collapsed="false">
      <c r="A1163" s="126" t="n">
        <f aca="false">A1162+$F$3</f>
        <v>11570</v>
      </c>
      <c r="B1163" s="127" t="n">
        <f aca="false">SUMPRODUCT(固有振動数!$Q$6:$Q$22*(1-($A1163/固有振動数!$O$6:$O$22)^2)/((1-($A1163/固有振動数!$O$6:$O$22)^2)^2+固有振動数!$P$6:$P$22^2))</f>
        <v>17.7653804213876</v>
      </c>
      <c r="C1163" s="127" t="n">
        <f aca="false">-SUMPRODUCT(固有振動数!$Q$6:$Q$22*固有振動数!$P$6:$P$22/((1-($A1163/固有振動数!$O$6:$O$22)^2)^2+固有振動数!$P$6:$P$22^2))</f>
        <v>-2.55096681981914</v>
      </c>
      <c r="D1163" s="128" t="n">
        <f aca="false">SQRT(B1163^2+C1163^2)</f>
        <v>17.9475951935751</v>
      </c>
      <c r="E1163" s="129" t="n">
        <f aca="false">20*LOG10(MAX(D1163,0.000000000001)/$K$3)</f>
        <v>25.0801253099562</v>
      </c>
    </row>
    <row r="1164" customFormat="false" ht="15" hidden="false" customHeight="false" outlineLevel="0" collapsed="false">
      <c r="A1164" s="122" t="n">
        <f aca="false">A1163+$F$3</f>
        <v>11580</v>
      </c>
      <c r="B1164" s="123" t="n">
        <f aca="false">SUMPRODUCT(固有振動数!$Q$6:$Q$22*(1-($A1164/固有振動数!$O$6:$O$22)^2)/((1-($A1164/固有振動数!$O$6:$O$22)^2)^2+固有振動数!$P$6:$P$22^2))</f>
        <v>17.9244215740884</v>
      </c>
      <c r="C1164" s="123" t="n">
        <f aca="false">-SUMPRODUCT(固有振動数!$Q$6:$Q$22*固有振動数!$P$6:$P$22/((1-($A1164/固有振動数!$O$6:$O$22)^2)^2+固有振動数!$P$6:$P$22^2))</f>
        <v>-2.59639750836712</v>
      </c>
      <c r="D1164" s="124" t="n">
        <f aca="false">SQRT(B1164^2+C1164^2)</f>
        <v>18.111492726639</v>
      </c>
      <c r="E1164" s="125" t="n">
        <f aca="false">20*LOG10(MAX(D1164,0.000000000001)/$K$3)</f>
        <v>25.1590849159733</v>
      </c>
    </row>
    <row r="1165" customFormat="false" ht="15" hidden="false" customHeight="false" outlineLevel="0" collapsed="false">
      <c r="A1165" s="126" t="n">
        <f aca="false">A1164+$F$3</f>
        <v>11590</v>
      </c>
      <c r="B1165" s="127" t="n">
        <f aca="false">SUMPRODUCT(固有振動数!$Q$6:$Q$22*(1-($A1165/固有振動数!$O$6:$O$22)^2)/((1-($A1165/固有振動数!$O$6:$O$22)^2)^2+固有振動数!$P$6:$P$22^2))</f>
        <v>18.0861519366338</v>
      </c>
      <c r="C1165" s="127" t="n">
        <f aca="false">-SUMPRODUCT(固有振動数!$Q$6:$Q$22*固有振動数!$P$6:$P$22/((1-($A1165/固有振動数!$O$6:$O$22)^2)^2+固有振動数!$P$6:$P$22^2))</f>
        <v>-2.64363472969225</v>
      </c>
      <c r="D1165" s="128" t="n">
        <f aca="false">SQRT(B1165^2+C1165^2)</f>
        <v>18.2783395432691</v>
      </c>
      <c r="E1165" s="129" t="n">
        <f aca="false">20*LOG10(MAX(D1165,0.000000000001)/$K$3)</f>
        <v>25.2387348126944</v>
      </c>
    </row>
    <row r="1166" customFormat="false" ht="15" hidden="false" customHeight="false" outlineLevel="0" collapsed="false">
      <c r="A1166" s="122" t="n">
        <f aca="false">A1165+$F$3</f>
        <v>11600</v>
      </c>
      <c r="B1166" s="123" t="n">
        <f aca="false">SUMPRODUCT(固有振動数!$Q$6:$Q$22*(1-($A1166/固有振動数!$O$6:$O$22)^2)/((1-($A1166/固有振動数!$O$6:$O$22)^2)^2+固有振動数!$P$6:$P$22^2))</f>
        <v>18.250672553808</v>
      </c>
      <c r="C1166" s="123" t="n">
        <f aca="false">-SUMPRODUCT(固有振動数!$Q$6:$Q$22*固有振動数!$P$6:$P$22/((1-($A1166/固有振動数!$O$6:$O$22)^2)^2+固有振動数!$P$6:$P$22^2))</f>
        <v>-2.69277205820186</v>
      </c>
      <c r="D1166" s="124" t="n">
        <f aca="false">SQRT(B1166^2+C1166^2)</f>
        <v>18.4482538475529</v>
      </c>
      <c r="E1166" s="125" t="n">
        <f aca="false">20*LOG10(MAX(D1166,0.000000000001)/$K$3)</f>
        <v>25.3191053174784</v>
      </c>
    </row>
    <row r="1167" customFormat="false" ht="15" hidden="false" customHeight="false" outlineLevel="0" collapsed="false">
      <c r="A1167" s="126" t="n">
        <f aca="false">A1166+$F$3</f>
        <v>11610</v>
      </c>
      <c r="B1167" s="127" t="n">
        <f aca="false">SUMPRODUCT(固有振動数!$Q$6:$Q$22*(1-($A1167/固有振動数!$O$6:$O$22)^2)/((1-($A1167/固有振動数!$O$6:$O$22)^2)^2+固有振動数!$P$6:$P$22^2))</f>
        <v>18.4180887783254</v>
      </c>
      <c r="C1167" s="127" t="n">
        <f aca="false">-SUMPRODUCT(固有振動数!$Q$6:$Q$22*固有振動数!$P$6:$P$22/((1-($A1167/固有振動数!$O$6:$O$22)^2)^2+固有振動数!$P$6:$P$22^2))</f>
        <v>-2.74390934560997</v>
      </c>
      <c r="D1167" s="128" t="n">
        <f aca="false">SQRT(B1167^2+C1167^2)</f>
        <v>18.6213595836395</v>
      </c>
      <c r="E1167" s="129" t="n">
        <f aca="false">20*LOG10(MAX(D1167,0.000000000001)/$K$3)</f>
        <v>25.4002277306685</v>
      </c>
    </row>
    <row r="1168" customFormat="false" ht="15" hidden="false" customHeight="false" outlineLevel="0" collapsed="false">
      <c r="A1168" s="122" t="n">
        <f aca="false">A1167+$F$3</f>
        <v>11620</v>
      </c>
      <c r="B1168" s="123" t="n">
        <f aca="false">SUMPRODUCT(固有振動数!$Q$6:$Q$22*(1-($A1168/固有振動数!$O$6:$O$22)^2)/((1-($A1168/固有振動数!$O$6:$O$22)^2)^2+固有振動数!$P$6:$P$22^2))</f>
        <v>18.5885104861534</v>
      </c>
      <c r="C1168" s="123" t="n">
        <f aca="false">-SUMPRODUCT(固有振動数!$Q$6:$Q$22*固有振動数!$P$6:$P$22/((1-($A1168/固有振動数!$O$6:$O$22)^2)^2+固有振動数!$P$6:$P$22^2))</f>
        <v>-2.79715322440372</v>
      </c>
      <c r="D1168" s="124" t="n">
        <f aca="false">SQRT(B1168^2+C1168^2)</f>
        <v>18.7977867913919</v>
      </c>
      <c r="E1168" s="125" t="n">
        <f aca="false">20*LOG10(MAX(D1168,0.000000000001)/$K$3)</f>
        <v>25.4821343886061</v>
      </c>
    </row>
    <row r="1169" customFormat="false" ht="15" hidden="false" customHeight="false" outlineLevel="0" collapsed="false">
      <c r="A1169" s="126" t="n">
        <f aca="false">A1168+$F$3</f>
        <v>11630</v>
      </c>
      <c r="B1169" s="127" t="n">
        <f aca="false">SUMPRODUCT(固有振動数!$Q$6:$Q$22*(1-($A1169/固有振動数!$O$6:$O$22)^2)/((1-($A1169/固有振動数!$O$6:$O$22)^2)^2+固有振動数!$P$6:$P$22^2))</f>
        <v>18.7620523012657</v>
      </c>
      <c r="C1169" s="127" t="n">
        <f aca="false">-SUMPRODUCT(固有振動数!$Q$6:$Q$22*固有振動数!$P$6:$P$22/((1-($A1169/固有振動数!$O$6:$O$22)^2)^2+固有振動数!$P$6:$P$22^2))</f>
        <v>-2.852617658396</v>
      </c>
      <c r="D1169" s="128" t="n">
        <f aca="false">SQRT(B1169^2+C1169^2)</f>
        <v>18.9776719873756</v>
      </c>
      <c r="E1169" s="129" t="n">
        <f aca="false">20*LOG10(MAX(D1169,0.000000000001)/$K$3)</f>
        <v>25.5648587192049</v>
      </c>
    </row>
    <row r="1170" customFormat="false" ht="15" hidden="false" customHeight="false" outlineLevel="0" collapsed="false">
      <c r="A1170" s="122" t="n">
        <f aca="false">A1169+$F$3</f>
        <v>11640</v>
      </c>
      <c r="B1170" s="123" t="n">
        <f aca="false">SUMPRODUCT(固有振動数!$Q$6:$Q$22*(1-($A1170/固有振動数!$O$6:$O$22)^2)/((1-($A1170/固有振動数!$O$6:$O$22)^2)^2+固有振動数!$P$6:$P$22^2))</f>
        <v>18.9388338297842</v>
      </c>
      <c r="C1170" s="123" t="n">
        <f aca="false">-SUMPRODUCT(固有振動数!$Q$6:$Q$22*固有振動数!$P$6:$P$22/((1-($A1170/固有振動数!$O$6:$O$22)^2)^2+固有振動数!$P$6:$P$22^2))</f>
        <v>-2.91042454535732</v>
      </c>
      <c r="D1170" s="124" t="n">
        <f aca="false">SQRT(B1170^2+C1170^2)</f>
        <v>19.161158573176</v>
      </c>
      <c r="E1170" s="125" t="n">
        <f aca="false">20*LOG10(MAX(D1170,0.000000000001)/$K$3)</f>
        <v>25.6484353002004</v>
      </c>
    </row>
    <row r="1171" customFormat="false" ht="15" hidden="false" customHeight="false" outlineLevel="0" collapsed="false">
      <c r="A1171" s="126" t="n">
        <f aca="false">A1170+$F$3</f>
        <v>11650</v>
      </c>
      <c r="B1171" s="127" t="n">
        <f aca="false">SUMPRODUCT(固有振動数!$Q$6:$Q$22*(1-($A1171/固有振動数!$O$6:$O$22)^2)/((1-($A1171/固有振動数!$O$6:$O$22)^2)^2+固有振動数!$P$6:$P$22^2))</f>
        <v>19.1189799033354</v>
      </c>
      <c r="C1171" s="127" t="n">
        <f aca="false">-SUMPRODUCT(固有振動数!$Q$6:$Q$22*固有振動数!$P$6:$P$22/((1-($A1171/固有振動数!$O$6:$O$22)^2)^2+固有振動数!$P$6:$P$22^2))</f>
        <v>-2.97070437730806</v>
      </c>
      <c r="D1171" s="128" t="n">
        <f aca="false">SQRT(B1171^2+C1171^2)</f>
        <v>19.3483972731981</v>
      </c>
      <c r="E1171" s="129" t="n">
        <f aca="false">20*LOG10(MAX(D1171,0.000000000001)/$K$3)</f>
        <v>25.7328999201899</v>
      </c>
    </row>
    <row r="1172" customFormat="false" ht="15" hidden="false" customHeight="false" outlineLevel="0" collapsed="false">
      <c r="A1172" s="122" t="n">
        <f aca="false">A1171+$F$3</f>
        <v>11660</v>
      </c>
      <c r="B1172" s="123" t="n">
        <f aca="false">SUMPRODUCT(固有振動数!$Q$6:$Q$22*(1-($A1172/固有振動数!$O$6:$O$22)^2)/((1-($A1172/固有振動数!$O$6:$O$22)^2)^2+固有振動数!$P$6:$P$22^2))</f>
        <v>19.3026208312828</v>
      </c>
      <c r="C1172" s="123" t="n">
        <f aca="false">-SUMPRODUCT(固有振動数!$Q$6:$Q$22*固有振動数!$P$6:$P$22/((1-($A1172/固有振動数!$O$6:$O$22)^2)^2+固有振動数!$P$6:$P$22^2))</f>
        <v>-3.03359696471629</v>
      </c>
      <c r="D1172" s="124" t="n">
        <f aca="false">SQRT(B1172^2+C1172^2)</f>
        <v>19.5395466042743</v>
      </c>
      <c r="E1172" s="125" t="n">
        <f aca="false">20*LOG10(MAX(D1172,0.000000000001)/$K$3)</f>
        <v>25.8182896425719</v>
      </c>
    </row>
    <row r="1173" customFormat="false" ht="15" hidden="false" customHeight="false" outlineLevel="0" collapsed="false">
      <c r="A1173" s="126" t="n">
        <f aca="false">A1172+$F$3</f>
        <v>11670</v>
      </c>
      <c r="B1173" s="127" t="n">
        <f aca="false">SUMPRODUCT(固有振動数!$Q$6:$Q$22*(1-($A1173/固有振動数!$O$6:$O$22)^2)/((1-($A1173/固有振動数!$O$6:$O$22)^2)^2+固有振動数!$P$6:$P$22^2))</f>
        <v>19.48989266129</v>
      </c>
      <c r="C1173" s="127" t="n">
        <f aca="false">-SUMPRODUCT(固有振動数!$Q$6:$Q$22*固有振動数!$P$6:$P$22/((1-($A1173/固有振動数!$O$6:$O$22)^2)^2+固有振動数!$P$6:$P$22^2))</f>
        <v>-3.0992522315957</v>
      </c>
      <c r="D1173" s="128" t="n">
        <f aca="false">SQRT(B1173^2+C1173^2)</f>
        <v>19.734773379587</v>
      </c>
      <c r="E1173" s="129" t="n">
        <f aca="false">20*LOG10(MAX(D1173,0.000000000001)/$K$3)</f>
        <v>25.9046428724873</v>
      </c>
    </row>
    <row r="1174" customFormat="false" ht="15" hidden="false" customHeight="false" outlineLevel="0" collapsed="false">
      <c r="A1174" s="122" t="n">
        <f aca="false">A1173+$F$3</f>
        <v>11680</v>
      </c>
      <c r="B1174" s="123" t="n">
        <f aca="false">SUMPRODUCT(固有振動数!$Q$6:$Q$22*(1-($A1174/固有振動数!$O$6:$O$22)^2)/((1-($A1174/固有振動数!$O$6:$O$22)^2)^2+固有振動数!$P$6:$P$22^2))</f>
        <v>19.6809374474079</v>
      </c>
      <c r="C1174" s="123" t="n">
        <f aca="false">-SUMPRODUCT(固有振動数!$Q$6:$Q$22*固有振動数!$P$6:$P$22/((1-($A1174/固有振動数!$O$6:$O$22)^2)^2+固有振動数!$P$6:$P$22^2))</f>
        <v>-3.16783108934498</v>
      </c>
      <c r="D1174" s="124" t="n">
        <f aca="false">SQRT(B1174^2+C1174^2)</f>
        <v>19.9342532496054</v>
      </c>
      <c r="E1174" s="125" t="n">
        <f aca="false">20*LOG10(MAX(D1174,0.000000000001)/$K$3)</f>
        <v>25.9919994268556</v>
      </c>
    </row>
    <row r="1175" customFormat="false" ht="15" hidden="false" customHeight="false" outlineLevel="0" collapsed="false">
      <c r="A1175" s="126" t="n">
        <f aca="false">A1174+$F$3</f>
        <v>11690</v>
      </c>
      <c r="B1175" s="127" t="n">
        <f aca="false">SUMPRODUCT(固有振動数!$Q$6:$Q$22*(1-($A1175/固有振動数!$O$6:$O$22)^2)/((1-($A1175/固有振動数!$O$6:$O$22)^2)^2+固有振動数!$P$6:$P$22^2))</f>
        <v>19.875903524559</v>
      </c>
      <c r="C1175" s="127" t="n">
        <f aca="false">-SUMPRODUCT(固有振動数!$Q$6:$Q$22*固有振動数!$P$6:$P$22/((1-($A1175/固有振動数!$O$6:$O$22)^2)^2+固有振動数!$P$6:$P$22^2))</f>
        <v>-3.23950639812816</v>
      </c>
      <c r="D1175" s="128" t="n">
        <f aca="false">SQRT(B1175^2+C1175^2)</f>
        <v>20.1381712829415</v>
      </c>
      <c r="E1175" s="129" t="n">
        <f aca="false">20*LOG10(MAX(D1175,0.000000000001)/$K$3)</f>
        <v>26.0804006075829</v>
      </c>
    </row>
    <row r="1176" customFormat="false" ht="15" hidden="false" customHeight="false" outlineLevel="0" collapsed="false">
      <c r="A1176" s="122" t="n">
        <f aca="false">A1175+$F$3</f>
        <v>11700</v>
      </c>
      <c r="B1176" s="123" t="n">
        <f aca="false">SUMPRODUCT(固有振動数!$Q$6:$Q$22*(1-($A1176/固有振動数!$O$6:$O$22)^2)/((1-($A1176/固有振動数!$O$6:$O$22)^2)^2+固有振動数!$P$6:$P$22^2))</f>
        <v>20.0749457878888</v>
      </c>
      <c r="C1176" s="123" t="n">
        <f aca="false">-SUMPRODUCT(固有振動数!$Q$6:$Q$22*固有振動数!$P$6:$P$22/((1-($A1176/固有振動数!$O$6:$O$22)^2)^2+固有振動数!$P$6:$P$22^2))</f>
        <v>-3.31446402567966</v>
      </c>
      <c r="D1176" s="124" t="n">
        <f aca="false">SQRT(B1176^2+C1176^2)</f>
        <v>20.3467225902404</v>
      </c>
      <c r="E1176" s="125" t="n">
        <f aca="false">20*LOG10(MAX(D1176,0.000000000001)/$K$3)</f>
        <v>26.1698892780027</v>
      </c>
    </row>
    <row r="1177" customFormat="false" ht="15" hidden="false" customHeight="false" outlineLevel="0" collapsed="false">
      <c r="A1177" s="126" t="n">
        <f aca="false">A1176+$F$3</f>
        <v>11710</v>
      </c>
      <c r="B1177" s="127" t="n">
        <f aca="false">SUMPRODUCT(固有振動数!$Q$6:$Q$22*(1-($A1177/固有振動数!$O$6:$O$22)^2)/((1-($A1177/固有振動数!$O$6:$O$22)^2)^2+固有振動数!$P$6:$P$22^2))</f>
        <v>20.2782259749609</v>
      </c>
      <c r="C1177" s="127" t="n">
        <f aca="false">-SUMPRODUCT(固有振動数!$Q$6:$Q$22*固有振動数!$P$6:$P$22/((1-($A1177/固有振動数!$O$6:$O$22)^2)^2+固有振動数!$P$6:$P$22^2))</f>
        <v>-3.39290401464519</v>
      </c>
      <c r="D1177" s="128" t="n">
        <f aca="false">SQRT(B1177^2+C1177^2)</f>
        <v>20.5601129944408</v>
      </c>
      <c r="E1177" s="129" t="n">
        <f aca="false">20*LOG10(MAX(D1177,0.000000000001)/$K$3)</f>
        <v>26.2605099425808</v>
      </c>
    </row>
    <row r="1178" customFormat="false" ht="15" hidden="false" customHeight="false" outlineLevel="0" collapsed="false">
      <c r="A1178" s="122" t="n">
        <f aca="false">A1177+$F$3</f>
        <v>11720</v>
      </c>
      <c r="B1178" s="123" t="n">
        <f aca="false">SUMPRODUCT(固有振動数!$Q$6:$Q$22*(1-($A1178/固有振動数!$O$6:$O$22)^2)/((1-($A1178/固有振動数!$O$6:$O$22)^2)^2+固有振動数!$P$6:$P$22^2))</f>
        <v>20.485912948159</v>
      </c>
      <c r="C1178" s="123" t="n">
        <f aca="false">-SUMPRODUCT(固有振動数!$Q$6:$Q$22*固有振動数!$P$6:$P$22/((1-($A1178/固有振動数!$O$6:$O$22)^2)^2+固有振動数!$P$6:$P$22^2))</f>
        <v>-3.47504187096144</v>
      </c>
      <c r="D1178" s="124" t="n">
        <f aca="false">SQRT(B1178^2+C1178^2)</f>
        <v>20.7785597509665</v>
      </c>
      <c r="E1178" s="125" t="n">
        <f aca="false">20*LOG10(MAX(D1178,0.000000000001)/$K$3)</f>
        <v>26.3523088298851</v>
      </c>
    </row>
    <row r="1179" customFormat="false" ht="15" hidden="false" customHeight="false" outlineLevel="0" collapsed="false">
      <c r="A1179" s="126" t="n">
        <f aca="false">A1178+$F$3</f>
        <v>11730</v>
      </c>
      <c r="B1179" s="127" t="n">
        <f aca="false">SUMPRODUCT(固有振動数!$Q$6:$Q$22*(1-($A1179/固有振動数!$O$6:$O$22)^2)/((1-($A1179/固有振動数!$O$6:$O$22)^2)^2+固有振動数!$P$6:$P$22^2))</f>
        <v>20.6981829739082</v>
      </c>
      <c r="C1179" s="127" t="n">
        <f aca="false">-SUMPRODUCT(固有振動数!$Q$6:$Q$22*固有振動数!$P$6:$P$22/((1-($A1179/固有振動数!$O$6:$O$22)^2)^2+固有振動数!$P$6:$P$22^2))</f>
        <v>-3.5611099873541</v>
      </c>
      <c r="D1179" s="128" t="n">
        <f aca="false">SQRT(B1179^2+C1179^2)</f>
        <v>21.0022923216351</v>
      </c>
      <c r="E1179" s="129" t="n">
        <f aca="false">20*LOG10(MAX(D1179,0.000000000001)/$K$3)</f>
        <v>26.4453339787784</v>
      </c>
    </row>
    <row r="1180" customFormat="false" ht="15" hidden="false" customHeight="false" outlineLevel="0" collapsed="false">
      <c r="A1180" s="122" t="n">
        <f aca="false">A1179+$F$3</f>
        <v>11740</v>
      </c>
      <c r="B1180" s="123" t="n">
        <f aca="false">SUMPRODUCT(固有振動数!$Q$6:$Q$22*(1-($A1180/固有振動数!$O$6:$O$22)^2)/((1-($A1180/固有振動数!$O$6:$O$22)^2)^2+固有振動数!$P$6:$P$22^2))</f>
        <v>20.9152199943987</v>
      </c>
      <c r="C1180" s="123" t="n">
        <f aca="false">-SUMPRODUCT(固有振動数!$Q$6:$Q$22*固有振動数!$P$6:$P$22/((1-($A1180/固有振動数!$O$6:$O$22)^2)^2+固有振動数!$P$6:$P$22^2))</f>
        <v>-3.65135921782313</v>
      </c>
      <c r="D1180" s="124" t="n">
        <f aca="false">SQRT(B1180^2+C1180^2)</f>
        <v>21.2315532062936</v>
      </c>
      <c r="E1180" s="125" t="n">
        <f aca="false">20*LOG10(MAX(D1180,0.000000000001)/$K$3)</f>
        <v>26.5396353277368</v>
      </c>
    </row>
    <row r="1181" customFormat="false" ht="15" hidden="false" customHeight="false" outlineLevel="0" collapsed="false">
      <c r="A1181" s="126" t="n">
        <f aca="false">A1180+$F$3</f>
        <v>11750</v>
      </c>
      <c r="B1181" s="127" t="n">
        <f aca="false">SUMPRODUCT(固有振動数!$Q$6:$Q$22*(1-($A1181/固有振動数!$O$6:$O$22)^2)/((1-($A1181/固有振動数!$O$6:$O$22)^2)^2+固有振動数!$P$6:$P$22^2))</f>
        <v>21.1372158863578</v>
      </c>
      <c r="C1181" s="127" t="n">
        <f aca="false">-SUMPRODUCT(固有振動数!$Q$6:$Q$22*固有振動数!$P$6:$P$22/((1-($A1181/固有振動数!$O$6:$O$22)^2)^2+固有振動数!$P$6:$P$22^2))</f>
        <v>-3.7460606210123</v>
      </c>
      <c r="D1181" s="128" t="n">
        <f aca="false">SQRT(B1181^2+C1181^2)</f>
        <v>21.4665988363969</v>
      </c>
      <c r="E1181" s="129" t="n">
        <f aca="false">20*LOG10(MAX(D1181,0.000000000001)/$K$3)</f>
        <v>26.6352648071275</v>
      </c>
    </row>
    <row r="1182" customFormat="false" ht="15" hidden="false" customHeight="false" outlineLevel="0" collapsed="false">
      <c r="A1182" s="122" t="n">
        <f aca="false">A1181+$F$3</f>
        <v>11760</v>
      </c>
      <c r="B1182" s="123" t="n">
        <f aca="false">SUMPRODUCT(固有振動数!$Q$6:$Q$22*(1-($A1182/固有振動数!$O$6:$O$22)^2)/((1-($A1182/固有振動数!$O$6:$O$22)^2)^2+固有振動数!$P$6:$P$22^2))</f>
        <v>21.364370700015</v>
      </c>
      <c r="C1182" s="123" t="n">
        <f aca="false">-SUMPRODUCT(固有振動数!$Q$6:$Q$22*固有振動数!$P$6:$P$22/((1-($A1182/固有振動数!$O$6:$O$22)^2)^2+固有振動数!$P$6:$P$22^2))</f>
        <v>-3.84550739266221</v>
      </c>
      <c r="D1182" s="124" t="n">
        <f aca="false">SQRT(B1182^2+C1182^2)</f>
        <v>21.7077005349411</v>
      </c>
      <c r="E1182" s="125" t="n">
        <f aca="false">20*LOG10(MAX(D1182,0.000000000001)/$K$3)</f>
        <v>26.7322764341948</v>
      </c>
    </row>
    <row r="1183" customFormat="false" ht="15" hidden="false" customHeight="false" outlineLevel="0" collapsed="false">
      <c r="A1183" s="126" t="n">
        <f aca="false">A1182+$F$3</f>
        <v>11770</v>
      </c>
      <c r="B1183" s="127" t="n">
        <f aca="false">SUMPRODUCT(固有振動数!$Q$6:$Q$22*(1-($A1183/固有振動数!$O$6:$O$22)^2)/((1-($A1183/固有振動数!$O$6:$O$22)^2)^2+固有振動数!$P$6:$P$22^2))</f>
        <v>21.5968928696884</v>
      </c>
      <c r="C1183" s="127" t="n">
        <f aca="false">-SUMPRODUCT(固有振動数!$Q$6:$Q$22*固有振動数!$P$6:$P$22/((1-($A1183/固有振動数!$O$6:$O$22)^2)^2+固有振動数!$P$6:$P$22^2))</f>
        <v>-3.95001700995628</v>
      </c>
      <c r="D1183" s="128" t="n">
        <f aca="false">SQRT(B1183^2+C1183^2)</f>
        <v>21.955145547314</v>
      </c>
      <c r="E1183" s="129" t="n">
        <f aca="false">20*LOG10(MAX(D1183,0.000000000001)/$K$3)</f>
        <v>26.8307264103939</v>
      </c>
    </row>
    <row r="1184" customFormat="false" ht="15" hidden="false" customHeight="false" outlineLevel="0" collapsed="false">
      <c r="A1184" s="122" t="n">
        <f aca="false">A1183+$F$3</f>
        <v>11780</v>
      </c>
      <c r="B1184" s="123" t="n">
        <f aca="false">SUMPRODUCT(固有振動数!$Q$6:$Q$22*(1-($A1184/固有振動数!$O$6:$O$22)^2)/((1-($A1184/固有振動数!$O$6:$O$22)^2)^2+固有振動数!$P$6:$P$22^2))</f>
        <v>21.8349993853098</v>
      </c>
      <c r="C1184" s="123" t="n">
        <f aca="false">-SUMPRODUCT(固有振動数!$Q$6:$Q$22*固有振動数!$P$6:$P$22/((1-($A1184/固有振動数!$O$6:$O$22)^2)^2+固有振動数!$P$6:$P$22^2))</f>
        <v>-4.05993361352924</v>
      </c>
      <c r="D1184" s="124" t="n">
        <f aca="false">SQRT(B1184^2+C1184^2)</f>
        <v>22.2092381477335</v>
      </c>
      <c r="E1184" s="125" t="n">
        <f aca="false">20*LOG10(MAX(D1184,0.000000000001)/$K$3)</f>
        <v>26.9306732205776</v>
      </c>
    </row>
    <row r="1185" customFormat="false" ht="15" hidden="false" customHeight="false" outlineLevel="0" collapsed="false">
      <c r="A1185" s="126" t="n">
        <f aca="false">A1184+$F$3</f>
        <v>11790</v>
      </c>
      <c r="B1185" s="127" t="n">
        <f aca="false">SUMPRODUCT(固有振動数!$Q$6:$Q$22*(1-($A1185/固有振動数!$O$6:$O$22)^2)/((1-($A1185/固有振動数!$O$6:$O$22)^2)^2+固有振動数!$P$6:$P$22^2))</f>
        <v>22.0789159116172</v>
      </c>
      <c r="C1185" s="127" t="n">
        <f aca="false">-SUMPRODUCT(固有振動数!$Q$6:$Q$22*固有振動数!$P$6:$P$22/((1-($A1185/固有振動数!$O$6:$O$22)^2)^2+固有振動数!$P$6:$P$22^2))</f>
        <v>-4.17563065626149</v>
      </c>
      <c r="D1185" s="128" t="n">
        <f aca="false">SQRT(B1185^2+C1185^2)</f>
        <v>22.4703008259741</v>
      </c>
      <c r="E1185" s="129" t="n">
        <f aca="false">20*LOG10(MAX(D1185,0.000000000001)/$K$3)</f>
        <v>27.0321777333724</v>
      </c>
    </row>
    <row r="1186" customFormat="false" ht="15" hidden="false" customHeight="false" outlineLevel="0" collapsed="false">
      <c r="A1186" s="122" t="n">
        <f aca="false">A1185+$F$3</f>
        <v>11800</v>
      </c>
      <c r="B1186" s="123" t="n">
        <f aca="false">SUMPRODUCT(固有振動数!$Q$6:$Q$22*(1-($A1186/固有振動数!$O$6:$O$22)^2)/((1-($A1186/固有振動数!$O$6:$O$22)^2)^2+固有振動数!$P$6:$P$22^2))</f>
        <v>22.3288768385643</v>
      </c>
      <c r="C1186" s="123" t="n">
        <f aca="false">-SUMPRODUCT(固有振動数!$Q$6:$Q$22*固有振動数!$P$6:$P$22/((1-($A1186/固有振動数!$O$6:$O$22)^2)^2+固有振動数!$P$6:$P$22^2))</f>
        <v>-4.29751385178017</v>
      </c>
      <c r="D1186" s="124" t="n">
        <f aca="false">SQRT(B1186^2+C1186^2)</f>
        <v>22.7386755590122</v>
      </c>
      <c r="E1186" s="125" t="n">
        <f aca="false">20*LOG10(MAX(D1186,0.000000000001)/$K$3)</f>
        <v>27.135303301877</v>
      </c>
    </row>
    <row r="1187" customFormat="false" ht="15" hidden="false" customHeight="false" outlineLevel="0" collapsed="false">
      <c r="A1187" s="126" t="n">
        <f aca="false">A1186+$F$3</f>
        <v>11810</v>
      </c>
      <c r="B1187" s="127" t="n">
        <f aca="false">SUMPRODUCT(固有振動数!$Q$6:$Q$22*(1-($A1187/固有振動数!$O$6:$O$22)^2)/((1-($A1187/固有振動数!$O$6:$O$22)^2)^2+固有振動数!$P$6:$P$22^2))</f>
        <v>22.5851252425897</v>
      </c>
      <c r="C1187" s="127" t="n">
        <f aca="false">-SUMPRODUCT(固有振動数!$Q$6:$Q$22*固有振動数!$P$6:$P$22/((1-($A1187/固有振動数!$O$6:$O$22)^2)^2+固有振動数!$P$6:$P$22^2))</f>
        <v>-4.42602445987891</v>
      </c>
      <c r="D1187" s="128" t="n">
        <f aca="false">SQRT(B1187^2+C1187^2)</f>
        <v>23.0147251720048</v>
      </c>
      <c r="E1187" s="129" t="n">
        <f aca="false">20*LOG10(MAX(D1187,0.000000000001)/$K$3)</f>
        <v>27.2401158635532</v>
      </c>
    </row>
    <row r="1188" customFormat="false" ht="15" hidden="false" customHeight="false" outlineLevel="0" collapsed="false">
      <c r="A1188" s="122" t="n">
        <f aca="false">A1187+$F$3</f>
        <v>11820</v>
      </c>
      <c r="B1188" s="123" t="n">
        <f aca="false">SUMPRODUCT(固有振動数!$Q$6:$Q$22*(1-($A1188/固有振動数!$O$6:$O$22)^2)/((1-($A1188/固有振動数!$O$6:$O$22)^2)^2+固有振動数!$P$6:$P$22^2))</f>
        <v>22.8479127335924</v>
      </c>
      <c r="C1188" s="123" t="n">
        <f aca="false">-SUMPRODUCT(固有振動数!$Q$6:$Q$22*固有振動数!$P$6:$P$22/((1-($A1188/固有振動数!$O$6:$O$22)^2)^2+固有振動数!$P$6:$P$22^2))</f>
        <v>-4.56164295091201</v>
      </c>
      <c r="D1188" s="124" t="n">
        <f aca="false">SQRT(B1188^2+C1188^2)</f>
        <v>23.2988347926127</v>
      </c>
      <c r="E1188" s="125" t="n">
        <f aca="false">20*LOG10(MAX(D1188,0.000000000001)/$K$3)</f>
        <v>27.346684037866</v>
      </c>
    </row>
    <row r="1189" customFormat="false" ht="15" hidden="false" customHeight="false" outlineLevel="0" collapsed="false">
      <c r="A1189" s="126" t="n">
        <f aca="false">A1188+$F$3</f>
        <v>11830</v>
      </c>
      <c r="B1189" s="127" t="n">
        <f aca="false">SUMPRODUCT(固有振動数!$Q$6:$Q$22*(1-($A1189/固有振動数!$O$6:$O$22)^2)/((1-($A1189/固有振動数!$O$6:$O$22)^2)^2+固有振動数!$P$6:$P$22^2))</f>
        <v>23.117499156561</v>
      </c>
      <c r="C1189" s="127" t="n">
        <f aca="false">-SUMPRODUCT(固有振動数!$Q$6:$Q$22*固有振動数!$P$6:$P$22/((1-($A1189/固有振動数!$O$6:$O$22)^2)^2+固有振動数!$P$6:$P$22^2))</f>
        <v>-4.70489309666804</v>
      </c>
      <c r="D1189" s="128" t="n">
        <f aca="false">SQRT(B1189^2+C1189^2)</f>
        <v>23.5914134020129</v>
      </c>
      <c r="E1189" s="129" t="n">
        <f aca="false">20*LOG10(MAX(D1189,0.000000000001)/$K$3)</f>
        <v>27.4550792198371</v>
      </c>
    </row>
    <row r="1190" customFormat="false" ht="15" hidden="false" customHeight="false" outlineLevel="0" collapsed="false">
      <c r="A1190" s="122" t="n">
        <f aca="false">A1189+$F$3</f>
        <v>11840</v>
      </c>
      <c r="B1190" s="123" t="n">
        <f aca="false">SUMPRODUCT(固有振動数!$Q$6:$Q$22*(1-($A1190/固有振動数!$O$6:$O$22)^2)/((1-($A1190/固有振動数!$O$6:$O$22)^2)^2+固有振動数!$P$6:$P$22^2))</f>
        <v>23.3941521095467</v>
      </c>
      <c r="C1190" s="123" t="n">
        <f aca="false">-SUMPRODUCT(固有振動数!$Q$6:$Q$22*固有振動数!$P$6:$P$22/((1-($A1190/固有振動数!$O$6:$O$22)^2)^2+固有振動数!$P$6:$P$22^2))</f>
        <v>-4.85634654134091</v>
      </c>
      <c r="D1190" s="124" t="n">
        <f aca="false">SQRT(B1190^2+C1190^2)</f>
        <v>23.8928954849386</v>
      </c>
      <c r="E1190" s="125" t="n">
        <f aca="false">20*LOG10(MAX(D1190,0.000000000001)/$K$3)</f>
        <v>27.5653756671892</v>
      </c>
    </row>
    <row r="1191" customFormat="false" ht="15" hidden="false" customHeight="false" outlineLevel="0" collapsed="false">
      <c r="A1191" s="126" t="n">
        <f aca="false">A1190+$F$3</f>
        <v>11850</v>
      </c>
      <c r="B1191" s="127" t="n">
        <f aca="false">SUMPRODUCT(固有振動数!$Q$6:$Q$22*(1-($A1191/固有振動数!$O$6:$O$22)^2)/((1-($A1191/固有振動数!$O$6:$O$22)^2)^2+固有振動数!$P$6:$P$22^2))</f>
        <v>23.6781462307408</v>
      </c>
      <c r="C1191" s="127" t="n">
        <f aca="false">-SUMPRODUCT(固有振動数!$Q$6:$Q$22*固有振動数!$P$6:$P$22/((1-($A1191/固有振動数!$O$6:$O$22)^2)^2+固有振動数!$P$6:$P$22^2))</f>
        <v>-5.01662791304172</v>
      </c>
      <c r="D1191" s="128" t="n">
        <f aca="false">SQRT(B1191^2+C1191^2)</f>
        <v>24.2037427796251</v>
      </c>
      <c r="E1191" s="129" t="n">
        <f aca="false">20*LOG10(MAX(D1191,0.000000000001)/$K$3)</f>
        <v>27.6776505781651</v>
      </c>
    </row>
    <row r="1192" customFormat="false" ht="15" hidden="false" customHeight="false" outlineLevel="0" collapsed="false">
      <c r="A1192" s="122" t="n">
        <f aca="false">A1191+$F$3</f>
        <v>11860</v>
      </c>
      <c r="B1192" s="123" t="n">
        <f aca="false">SUMPRODUCT(固有振動数!$Q$6:$Q$22*(1-($A1192/固有振動数!$O$6:$O$22)^2)/((1-($A1192/固有振動数!$O$6:$O$22)^2)^2+固有振動数!$P$6:$P$22^2))</f>
        <v>23.9697621964147</v>
      </c>
      <c r="C1192" s="123" t="n">
        <f aca="false">-SUMPRODUCT(固有振動数!$Q$6:$Q$22*固有振動数!$P$6:$P$22/((1-($A1192/固有振動数!$O$6:$O$22)^2)^2+固有振動数!$P$6:$P$22^2))</f>
        <v>-5.18642054387193</v>
      </c>
      <c r="D1192" s="124" t="n">
        <f aca="false">SQRT(B1192^2+C1192^2)</f>
        <v>24.524446126479</v>
      </c>
      <c r="E1192" s="125" t="n">
        <f aca="false">20*LOG10(MAX(D1192,0.000000000001)/$K$3)</f>
        <v>27.7919841563668</v>
      </c>
    </row>
    <row r="1193" customFormat="false" ht="15" hidden="false" customHeight="false" outlineLevel="0" collapsed="false">
      <c r="A1193" s="126" t="n">
        <f aca="false">A1192+$F$3</f>
        <v>11870</v>
      </c>
      <c r="B1193" s="127" t="n">
        <f aca="false">SUMPRODUCT(固有振動数!$Q$6:$Q$22*(1-($A1193/固有振動数!$O$6:$O$22)^2)/((1-($A1193/固有振動数!$O$6:$O$22)^2)^2+固有振動数!$P$6:$P$22^2))</f>
        <v>24.2692853579216</v>
      </c>
      <c r="C1193" s="127" t="n">
        <f aca="false">-SUMPRODUCT(固有振動数!$Q$6:$Q$22*固有振動数!$P$6:$P$22/((1-($A1193/固有振動数!$O$6:$O$22)^2)^2+固有振動数!$P$6:$P$22^2))</f>
        <v>-5.36647287492562</v>
      </c>
      <c r="D1193" s="128" t="n">
        <f aca="false">SQRT(B1193^2+C1193^2)</f>
        <v>24.855527411454</v>
      </c>
      <c r="E1193" s="129" t="n">
        <f aca="false">20*LOG10(MAX(D1193,0.000000000001)/$K$3)</f>
        <v>27.9084596580532</v>
      </c>
    </row>
    <row r="1194" customFormat="false" ht="15" hidden="false" customHeight="false" outlineLevel="0" collapsed="false">
      <c r="A1194" s="122" t="n">
        <f aca="false">A1193+$F$3</f>
        <v>11880</v>
      </c>
      <c r="B1194" s="123" t="n">
        <f aca="false">SUMPRODUCT(固有振動数!$Q$6:$Q$22*(1-($A1194/固有振動数!$O$6:$O$22)^2)/((1-($A1194/固有振動数!$O$6:$O$22)^2)^2+固有振動数!$P$6:$P$22^2))</f>
        <v>24.5770039292323</v>
      </c>
      <c r="C1194" s="123" t="n">
        <f aca="false">-SUMPRODUCT(固有振動数!$Q$6:$Q$22*固有振動数!$P$6:$P$22/((1-($A1194/固有振動数!$O$6:$O$22)^2)^2+固有振動数!$P$6:$P$22^2))</f>
        <v>-5.55760563169011</v>
      </c>
      <c r="D1194" s="124" t="n">
        <f aca="false">SQRT(B1194^2+C1194^2)</f>
        <v>25.1975415962529</v>
      </c>
      <c r="E1194" s="125" t="n">
        <f aca="false">20*LOG10(MAX(D1194,0.000000000001)/$K$3)</f>
        <v>28.0271634162152</v>
      </c>
    </row>
    <row r="1195" customFormat="false" ht="15" hidden="false" customHeight="false" outlineLevel="0" collapsed="false">
      <c r="A1195" s="126" t="n">
        <f aca="false">A1194+$F$3</f>
        <v>11890</v>
      </c>
      <c r="B1195" s="127" t="n">
        <f aca="false">SUMPRODUCT(固有振動数!$Q$6:$Q$22*(1-($A1195/固有振動数!$O$6:$O$22)^2)/((1-($A1195/固有振動数!$O$6:$O$22)^2)^2+固有振動数!$P$6:$P$22^2))</f>
        <v>24.8932066158359</v>
      </c>
      <c r="C1195" s="127" t="n">
        <f aca="false">-SUMPRODUCT(固有振動数!$Q$6:$Q$22*固有振動数!$P$6:$P$22/((1-($A1195/固有振動数!$O$6:$O$22)^2)^2+固有振動数!$P$6:$P$22^2))</f>
        <v>-5.76071986510151</v>
      </c>
      <c r="D1195" s="128" t="n">
        <f aca="false">SQRT(B1195^2+C1195^2)</f>
        <v>25.5510788222899</v>
      </c>
      <c r="E1195" s="129" t="n">
        <f aca="false">20*LOG10(MAX(D1195,0.000000000001)/$K$3)</f>
        <v>28.1481848343667</v>
      </c>
    </row>
    <row r="1196" customFormat="false" ht="15" hidden="false" customHeight="false" outlineLevel="0" collapsed="false">
      <c r="A1196" s="122" t="n">
        <f aca="false">A1195+$F$3</f>
        <v>11900</v>
      </c>
      <c r="B1196" s="123" t="n">
        <f aca="false">SUMPRODUCT(固有振動数!$Q$6:$Q$22*(1-($A1196/固有振動数!$O$6:$O$22)^2)/((1-($A1196/固有振動数!$O$6:$O$22)^2)^2+固有振動数!$P$6:$P$22^2))</f>
        <v>25.218179550343</v>
      </c>
      <c r="C1196" s="123" t="n">
        <f aca="false">-SUMPRODUCT(固有振動数!$Q$6:$Q$22*固有振動数!$P$6:$P$22/((1-($A1196/固有振動数!$O$6:$O$22)^2)^2+固有振動数!$P$6:$P$22^2))</f>
        <v>-5.97680596383643</v>
      </c>
      <c r="D1196" s="124" t="n">
        <f aca="false">SQRT(B1196^2+C1196^2)</f>
        <v>25.9167665684338</v>
      </c>
      <c r="E1196" s="125" t="n">
        <f aca="false">20*LOG10(MAX(D1196,0.000000000001)/$K$3)</f>
        <v>28.271616341284</v>
      </c>
    </row>
    <row r="1197" customFormat="false" ht="15" hidden="false" customHeight="false" outlineLevel="0" collapsed="false">
      <c r="A1197" s="126" t="n">
        <f aca="false">A1196+$F$3</f>
        <v>11910</v>
      </c>
      <c r="B1197" s="127" t="n">
        <f aca="false">SUMPRODUCT(固有振動数!$Q$6:$Q$22*(1-($A1197/固有振動数!$O$6:$O$22)^2)/((1-($A1197/固有振動数!$O$6:$O$22)^2)^2+固有振動数!$P$6:$P$22^2))</f>
        <v>25.5522023686331</v>
      </c>
      <c r="C1197" s="127" t="n">
        <f aca="false">-SUMPRODUCT(固有振動数!$Q$6:$Q$22*固有振動数!$P$6:$P$22/((1-($A1197/固有振動数!$O$6:$O$22)^2)^2+固有振動数!$P$6:$P$22^2))</f>
        <v>-6.20695375400954</v>
      </c>
      <c r="D1197" s="128" t="n">
        <f aca="false">SQRT(B1197^2+C1197^2)</f>
        <v>26.2952718333922</v>
      </c>
      <c r="E1197" s="129" t="n">
        <f aca="false">20*LOG10(MAX(D1197,0.000000000001)/$K$3)</f>
        <v>28.3975532958262</v>
      </c>
    </row>
    <row r="1198" customFormat="false" ht="15" hidden="false" customHeight="false" outlineLevel="0" collapsed="false">
      <c r="A1198" s="122" t="n">
        <f aca="false">A1197+$F$3</f>
        <v>11920</v>
      </c>
      <c r="B1198" s="123" t="n">
        <f aca="false">SUMPRODUCT(固有振動数!$Q$6:$Q$22*(1-($A1198/固有振動数!$O$6:$O$22)^2)/((1-($A1198/固有振動数!$O$6:$O$22)^2)^2+固有振動数!$P$6:$P$22^2))</f>
        <v>25.8955432214693</v>
      </c>
      <c r="C1198" s="123" t="n">
        <f aca="false">-SUMPRODUCT(固有振動数!$Q$6:$Q$22*固有振動数!$P$6:$P$22/((1-($A1198/固有振動数!$O$6:$O$22)^2)^2+固有振動数!$P$6:$P$22^2))</f>
        <v>-6.45236381285454</v>
      </c>
      <c r="D1198" s="124" t="n">
        <f aca="false">SQRT(B1198^2+C1198^2)</f>
        <v>26.6873033015406</v>
      </c>
      <c r="E1198" s="125" t="n">
        <f aca="false">20*LOG10(MAX(D1198,0.000000000001)/$K$3)</f>
        <v>28.5260938283691</v>
      </c>
    </row>
    <row r="1199" customFormat="false" ht="15" hidden="false" customHeight="false" outlineLevel="0" collapsed="false">
      <c r="A1199" s="126" t="n">
        <f aca="false">A1198+$F$3</f>
        <v>11930</v>
      </c>
      <c r="B1199" s="127" t="n">
        <f aca="false">SUMPRODUCT(固有振動数!$Q$6:$Q$22*(1-($A1199/固有振動数!$O$6:$O$22)^2)/((1-($A1199/固有振動数!$O$6:$O$22)^2)^2+固有振動数!$P$6:$P$22^2))</f>
        <v>26.248452468403</v>
      </c>
      <c r="C1199" s="127" t="n">
        <f aca="false">-SUMPRODUCT(固有振動数!$Q$6:$Q$22*固有振動数!$P$6:$P$22/((1-($A1199/固有振動数!$O$6:$O$22)^2)^2+固有振動数!$P$6:$P$22^2))</f>
        <v>-6.71436013248926</v>
      </c>
      <c r="D1199" s="128" t="n">
        <f aca="false">SQRT(B1199^2+C1199^2)</f>
        <v>27.0936134351764</v>
      </c>
      <c r="E1199" s="129" t="n">
        <f aca="false">20*LOG10(MAX(D1199,0.000000000001)/$K$3)</f>
        <v>28.6573386021812</v>
      </c>
    </row>
    <row r="1200" customFormat="false" ht="15" hidden="false" customHeight="false" outlineLevel="0" collapsed="false">
      <c r="A1200" s="122" t="n">
        <f aca="false">A1199+$F$3</f>
        <v>11940</v>
      </c>
      <c r="B1200" s="123" t="n">
        <f aca="false">SUMPRODUCT(固有振動数!$Q$6:$Q$22*(1-($A1200/固有振動数!$O$6:$O$22)^2)/((1-($A1200/固有振動数!$O$6:$O$22)^2)^2+固有振動数!$P$6:$P$22^2))</f>
        <v>26.6111547413605</v>
      </c>
      <c r="C1200" s="123" t="n">
        <f aca="false">-SUMPRODUCT(固有振動数!$Q$6:$Q$22*固有振動数!$P$6:$P$22/((1-($A1200/固有振動数!$O$6:$O$22)^2)^2+固有振動数!$P$6:$P$22^2))</f>
        <v>-6.99440427742617</v>
      </c>
      <c r="D1200" s="124" t="n">
        <f aca="false">SQRT(B1200^2+C1200^2)</f>
        <v>27.5150004154953</v>
      </c>
      <c r="E1200" s="125" t="n">
        <f aca="false">20*LOG10(MAX(D1200,0.000000000001)/$K$3)</f>
        <v>28.7913904741064</v>
      </c>
    </row>
    <row r="1201" customFormat="false" ht="15" hidden="false" customHeight="false" outlineLevel="0" collapsed="false">
      <c r="A1201" s="126" t="n">
        <f aca="false">A1200+$F$3</f>
        <v>11950</v>
      </c>
      <c r="B1201" s="127" t="n">
        <f aca="false">SUMPRODUCT(固有振動数!$Q$6:$Q$22*(1-($A1201/固有振動数!$O$6:$O$22)^2)/((1-($A1201/固有振動数!$O$6:$O$22)^2)^2+固有振動数!$P$6:$P$22^2))</f>
        <v>26.9838389919275</v>
      </c>
      <c r="C1201" s="127" t="n">
        <f aca="false">-SUMPRODUCT(固有振動数!$Q$6:$Q$22*固有振動数!$P$6:$P$22/((1-($A1201/固有振動数!$O$6:$O$22)^2)^2+固有振動数!$P$6:$P$22^2))</f>
        <v>-7.29411118349794</v>
      </c>
      <c r="D1201" s="128" t="n">
        <f aca="false">SQRT(B1201^2+C1201^2)</f>
        <v>27.9523098276242</v>
      </c>
      <c r="E1201" s="129" t="n">
        <f aca="false">20*LOG10(MAX(D1201,0.000000000001)/$K$3)</f>
        <v>28.9283540290234</v>
      </c>
    </row>
    <row r="1202" customFormat="false" ht="15" hidden="false" customHeight="false" outlineLevel="0" collapsed="false">
      <c r="A1202" s="122" t="n">
        <f aca="false">A1201+$F$3</f>
        <v>11960</v>
      </c>
      <c r="B1202" s="123" t="n">
        <f aca="false">SUMPRODUCT(固有振動数!$Q$6:$Q$22*(1-($A1202/固有振動数!$O$6:$O$22)^2)/((1-($A1202/固有振動数!$O$6:$O$22)^2)^2+固有振動数!$P$6:$P$22^2))</f>
        <v>27.3666460458487</v>
      </c>
      <c r="C1202" s="123" t="n">
        <f aca="false">-SUMPRODUCT(固有振動数!$Q$6:$Q$22*固有振動数!$P$6:$P$22/((1-($A1202/固有振動数!$O$6:$O$22)^2)^2+固有振動数!$P$6:$P$22^2))</f>
        <v>-7.61526674397702</v>
      </c>
      <c r="D1202" s="124" t="n">
        <f aca="false">SQRT(B1202^2+C1202^2)</f>
        <v>28.4064359499865</v>
      </c>
      <c r="E1202" s="125" t="n">
        <f aca="false">20*LOG10(MAX(D1202,0.000000000001)/$K$3)</f>
        <v>29.0683349565064</v>
      </c>
    </row>
    <row r="1203" customFormat="false" ht="15" hidden="false" customHeight="false" outlineLevel="0" collapsed="false">
      <c r="A1203" s="126" t="n">
        <f aca="false">A1202+$F$3</f>
        <v>11970</v>
      </c>
      <c r="B1203" s="127" t="n">
        <f aca="false">SUMPRODUCT(固有振動数!$Q$6:$Q$22*(1-($A1203/固有振動数!$O$6:$O$22)^2)/((1-($A1203/固有振動数!$O$6:$O$22)^2)^2+固有振動数!$P$6:$P$22^2))</f>
        <v>27.7596530768394</v>
      </c>
      <c r="C1203" s="127" t="n">
        <f aca="false">-SUMPRODUCT(固有振動数!$Q$6:$Q$22*固有振動数!$P$6:$P$22/((1-($A1203/固有振動数!$O$6:$O$22)^2)^2+固有振動数!$P$6:$P$22^2))</f>
        <v>-7.9598473174923</v>
      </c>
      <c r="D1203" s="128" t="n">
        <f aca="false">SQRT(B1203^2+C1203^2)</f>
        <v>28.8783224627794</v>
      </c>
      <c r="E1203" s="129" t="n">
        <f aca="false">20*LOG10(MAX(D1203,0.000000000001)/$K$3)</f>
        <v>29.2114392306402</v>
      </c>
    </row>
    <row r="1204" customFormat="false" ht="15" hidden="false" customHeight="false" outlineLevel="0" collapsed="false">
      <c r="A1204" s="122" t="n">
        <f aca="false">A1203+$F$3</f>
        <v>11980</v>
      </c>
      <c r="B1204" s="123" t="n">
        <f aca="false">SUMPRODUCT(固有振動数!$Q$6:$Q$22*(1-($A1204/固有振動数!$O$6:$O$22)^2)/((1-($A1204/固有振動数!$O$6:$O$22)^2)^2+固有振動数!$P$6:$P$22^2))</f>
        <v>28.162854275006</v>
      </c>
      <c r="C1204" s="123" t="n">
        <f aca="false">-SUMPRODUCT(固有振動数!$Q$6:$Q$22*固有振動数!$P$6:$P$22/((1-($A1204/固有振動数!$O$6:$O$22)^2)^2+固有振動数!$P$6:$P$22^2))</f>
        <v>-8.3300412670391</v>
      </c>
      <c r="D1204" s="124" t="n">
        <f aca="false">SQRT(B1204^2+C1204^2)</f>
        <v>29.3689623314444</v>
      </c>
      <c r="E1204" s="125" t="n">
        <f aca="false">20*LOG10(MAX(D1204,0.000000000001)/$K$3)</f>
        <v>29.3577720447298</v>
      </c>
    </row>
    <row r="1205" customFormat="false" ht="15" hidden="false" customHeight="false" outlineLevel="0" collapsed="false">
      <c r="A1205" s="126" t="n">
        <f aca="false">A1204+$F$3</f>
        <v>11990</v>
      </c>
      <c r="B1205" s="127" t="n">
        <f aca="false">SUMPRODUCT(固有振動数!$Q$6:$Q$22*(1-($A1205/固有振動数!$O$6:$O$22)^2)/((1-($A1205/固有振動数!$O$6:$O$22)^2)^2+固有振動数!$P$6:$P$22^2))</f>
        <v>28.5761368178106</v>
      </c>
      <c r="C1205" s="127" t="n">
        <f aca="false">-SUMPRODUCT(固有振動数!$Q$6:$Q$22*固有振動数!$P$6:$P$22/((1-($A1205/固有振動数!$O$6:$O$22)^2)^2+固有振動数!$P$6:$P$22^2))</f>
        <v>-8.72827259304786</v>
      </c>
      <c r="D1205" s="128" t="n">
        <f aca="false">SQRT(B1205^2+C1205^2)</f>
        <v>29.8793965449234</v>
      </c>
      <c r="E1205" s="129" t="n">
        <f aca="false">20*LOG10(MAX(D1205,0.000000000001)/$K$3)</f>
        <v>29.5074364412766</v>
      </c>
    </row>
    <row r="1206" customFormat="false" ht="15" hidden="false" customHeight="false" outlineLevel="0" collapsed="false">
      <c r="A1206" s="122" t="n">
        <f aca="false">A1205+$F$3</f>
        <v>12000</v>
      </c>
      <c r="B1206" s="123" t="n">
        <f aca="false">SUMPRODUCT(固有振動数!$Q$6:$Q$22*(1-($A1206/固有振動数!$O$6:$O$22)^2)/((1-($A1206/固有振動数!$O$6:$O$22)^2)^2+固有振動数!$P$6:$P$22^2))</f>
        <v>28.9992510478427</v>
      </c>
      <c r="C1206" s="123" t="n">
        <f aca="false">-SUMPRODUCT(固有振動数!$Q$6:$Q$22*固有振動数!$P$6:$P$22/((1-($A1206/固有振動数!$O$6:$O$22)^2)^2+固有振動数!$P$6:$P$22^2))</f>
        <v>-9.15722664642231</v>
      </c>
      <c r="D1206" s="124" t="n">
        <f aca="false">SQRT(B1206^2+C1206^2)</f>
        <v>30.4107112904278</v>
      </c>
      <c r="E1206" s="125" t="n">
        <f aca="false">20*LOG10(MAX(D1206,0.000000000001)/$K$3)</f>
        <v>29.6605315636161</v>
      </c>
    </row>
    <row r="1207" customFormat="false" ht="15" hidden="false" customHeight="false" outlineLevel="0" collapsed="false">
      <c r="A1207" s="126" t="n">
        <f aca="false">A1206+$F$3</f>
        <v>12010</v>
      </c>
      <c r="B1207" s="127" t="n">
        <f aca="false">SUMPRODUCT(固有振動数!$Q$6:$Q$22*(1-($A1207/固有振動数!$O$6:$O$22)^2)/((1-($A1207/固有振動数!$O$6:$O$22)^2)^2+固有振動数!$P$6:$P$22^2))</f>
        <v>29.4317735155551</v>
      </c>
      <c r="C1207" s="127" t="n">
        <f aca="false">-SUMPRODUCT(固有振動数!$Q$6:$Q$22*固有振動数!$P$6:$P$22/((1-($A1207/固有振動数!$O$6:$O$22)^2)^2+固有振動数!$P$6:$P$22^2))</f>
        <v>-9.61987778609983</v>
      </c>
      <c r="D1207" s="128" t="n">
        <f aca="false">SQRT(B1207^2+C1207^2)</f>
        <v>30.9640330204324</v>
      </c>
      <c r="E1207" s="129" t="n">
        <f aca="false">20*LOG10(MAX(D1207,0.000000000001)/$K$3)</f>
        <v>29.8171504384392</v>
      </c>
    </row>
    <row r="1208" customFormat="false" ht="15" hidden="false" customHeight="false" outlineLevel="0" collapsed="false">
      <c r="A1208" s="122" t="n">
        <f aca="false">A1207+$F$3</f>
        <v>12020</v>
      </c>
      <c r="B1208" s="123" t="n">
        <f aca="false">SUMPRODUCT(固有振動数!$Q$6:$Q$22*(1-($A1208/固有振動数!$O$6:$O$22)^2)/((1-($A1208/固有振動数!$O$6:$O$22)^2)^2+固有振動数!$P$6:$P$22^2))</f>
        <v>29.8730612506526</v>
      </c>
      <c r="C1208" s="123" t="n">
        <f aca="false">-SUMPRODUCT(固有振動数!$Q$6:$Q$22*固有振動数!$P$6:$P$22/((1-($A1208/固有振動数!$O$6:$O$22)^2)^2+固有振動数!$P$6:$P$22^2))</f>
        <v>-10.1195186611814</v>
      </c>
      <c r="D1208" s="124" t="n">
        <f aca="false">SQRT(B1208^2+C1208^2)</f>
        <v>31.540520706216</v>
      </c>
      <c r="E1208" s="125" t="n">
        <f aca="false">20*LOG10(MAX(D1208,0.000000000001)/$K$3)</f>
        <v>29.9773771774288</v>
      </c>
    </row>
    <row r="1209" customFormat="false" ht="15" hidden="false" customHeight="false" outlineLevel="0" collapsed="false">
      <c r="A1209" s="126" t="n">
        <f aca="false">A1208+$F$3</f>
        <v>12030</v>
      </c>
      <c r="B1209" s="127" t="n">
        <f aca="false">SUMPRODUCT(固有振動数!$Q$6:$Q$22*(1-($A1209/固有振動数!$O$6:$O$22)^2)/((1-($A1209/固有振動数!$O$6:$O$22)^2)^2+固有振動数!$P$6:$P$22^2))</f>
        <v>30.3221952782785</v>
      </c>
      <c r="C1209" s="127" t="n">
        <f aca="false">-SUMPRODUCT(固有振動数!$Q$6:$Q$22*固有振動数!$P$6:$P$22/((1-($A1209/固有振動数!$O$6:$O$22)^2)^2+固有振動数!$P$6:$P$22^2))</f>
        <v>-10.6597905240748</v>
      </c>
      <c r="D1209" s="128" t="n">
        <f aca="false">SQRT(B1209^2+C1209^2)</f>
        <v>32.1413543664733</v>
      </c>
      <c r="E1209" s="129" t="n">
        <f aca="false">20*LOG10(MAX(D1209,0.000000000001)/$K$3)</f>
        <v>30.1412834606766</v>
      </c>
    </row>
    <row r="1210" customFormat="false" ht="15" hidden="false" customHeight="false" outlineLevel="0" collapsed="false">
      <c r="A1210" s="122" t="n">
        <f aca="false">A1209+$F$3</f>
        <v>12040</v>
      </c>
      <c r="B1210" s="123" t="n">
        <f aca="false">SUMPRODUCT(固有振動数!$Q$6:$Q$22*(1-($A1210/固有振動数!$O$6:$O$22)^2)/((1-($A1210/固有振動数!$O$6:$O$22)^2)^2+固有振動数!$P$6:$P$22^2))</f>
        <v>30.7779109938291</v>
      </c>
      <c r="C1210" s="123" t="n">
        <f aca="false">-SUMPRODUCT(固有振動数!$Q$6:$Q$22*固有振動数!$P$6:$P$22/((1-($A1210/固有振動数!$O$6:$O$22)^2)^2+固有振動数!$P$6:$P$22^2))</f>
        <v>-11.244713582996</v>
      </c>
      <c r="D1210" s="124" t="n">
        <f aca="false">SQRT(B1210^2+C1210^2)</f>
        <v>32.7677186985557</v>
      </c>
      <c r="E1210" s="125" t="n">
        <f aca="false">20*LOG10(MAX(D1210,0.000000000001)/$K$3)</f>
        <v>30.3089241336491</v>
      </c>
    </row>
    <row r="1211" customFormat="false" ht="15" hidden="false" customHeight="false" outlineLevel="0" collapsed="false">
      <c r="A1211" s="126" t="n">
        <f aca="false">A1210+$F$3</f>
        <v>12050</v>
      </c>
      <c r="B1211" s="127" t="n">
        <f aca="false">SUMPRODUCT(固有振動数!$Q$6:$Q$22*(1-($A1211/固有振動数!$O$6:$O$22)^2)/((1-($A1211/固有振動数!$O$6:$O$22)^2)^2+固有振動数!$P$6:$P$22^2))</f>
        <v>31.2385125575164</v>
      </c>
      <c r="C1211" s="127" t="n">
        <f aca="false">-SUMPRODUCT(固有振動数!$Q$6:$Q$22*固有振動数!$P$6:$P$22/((1-($A1211/固有振動数!$O$6:$O$22)^2)^2+固有振動数!$P$6:$P$22^2))</f>
        <v>-11.8787158318789</v>
      </c>
      <c r="D1211" s="128" t="n">
        <f aca="false">SQRT(B1211^2+C1211^2)</f>
        <v>33.4207803113668</v>
      </c>
      <c r="E1211" s="129" t="n">
        <f aca="false">20*LOG10(MAX(D1211,0.000000000001)/$K$3)</f>
        <v>30.4803317124428</v>
      </c>
    </row>
    <row r="1212" customFormat="false" ht="15" hidden="false" customHeight="false" outlineLevel="0" collapsed="false">
      <c r="A1212" s="122" t="n">
        <f aca="false">A1211+$F$3</f>
        <v>12060</v>
      </c>
      <c r="B1212" s="123" t="n">
        <f aca="false">SUMPRODUCT(固有振動数!$Q$6:$Q$22*(1-($A1212/固有振動数!$O$6:$O$22)^2)/((1-($A1212/固有振動数!$O$6:$O$22)^2)^2+固有振動数!$P$6:$P$22^2))</f>
        <v>31.7017679821233</v>
      </c>
      <c r="C1212" s="123" t="n">
        <f aca="false">-SUMPRODUCT(固有振動数!$Q$6:$Q$22*固有振動数!$P$6:$P$22/((1-($A1212/固有振動数!$O$6:$O$22)^2)^2+固有振動数!$P$6:$P$22^2))</f>
        <v>-12.5666579899113</v>
      </c>
      <c r="D1212" s="124" t="n">
        <f aca="false">SQRT(B1212^2+C1212^2)</f>
        <v>34.1016566493151</v>
      </c>
      <c r="E1212" s="125" t="n">
        <f aca="false">20*LOG10(MAX(D1212,0.000000000001)/$K$3)</f>
        <v>30.6555095482839</v>
      </c>
    </row>
    <row r="1213" customFormat="false" ht="15" hidden="false" customHeight="false" outlineLevel="0" collapsed="false">
      <c r="A1213" s="126" t="n">
        <f aca="false">A1212+$F$3</f>
        <v>12070</v>
      </c>
      <c r="B1213" s="127" t="n">
        <f aca="false">SUMPRODUCT(固有振動数!$Q$6:$Q$22*(1-($A1213/固有振動数!$O$6:$O$22)^2)/((1-($A1213/固有振動数!$O$6:$O$22)^2)^2+固有振動数!$P$6:$P$22^2))</f>
        <v>32.1647810991142</v>
      </c>
      <c r="C1213" s="127" t="n">
        <f aca="false">-SUMPRODUCT(固有振動数!$Q$6:$Q$22*固有振動数!$P$6:$P$22/((1-($A1213/固有振動数!$O$6:$O$22)^2)^2+固有振動数!$P$6:$P$22^2))</f>
        <v>-13.3138510590867</v>
      </c>
      <c r="D1213" s="128" t="n">
        <f aca="false">SQRT(B1213^2+C1213^2)</f>
        <v>34.8113741926037</v>
      </c>
      <c r="E1213" s="129" t="n">
        <f aca="false">20*LOG10(MAX(D1213,0.000000000001)/$K$3)</f>
        <v>30.8344233513423</v>
      </c>
    </row>
    <row r="1214" customFormat="false" ht="15" hidden="false" customHeight="false" outlineLevel="0" collapsed="false">
      <c r="A1214" s="122" t="n">
        <f aca="false">A1213+$F$3</f>
        <v>12080</v>
      </c>
      <c r="B1214" s="123" t="n">
        <f aca="false">SUMPRODUCT(固有振動数!$Q$6:$Q$22*(1-($A1214/固有振動数!$O$6:$O$22)^2)/((1-($A1214/固有振動数!$O$6:$O$22)^2)^2+固有振動数!$P$6:$P$22^2))</f>
        <v>32.6238361648826</v>
      </c>
      <c r="C1214" s="123" t="n">
        <f aca="false">-SUMPRODUCT(固有振動数!$Q$6:$Q$22*固有振動数!$P$6:$P$22/((1-($A1214/固有振動数!$O$6:$O$22)^2)^2+固有振動数!$P$6:$P$22^2))</f>
        <v>-14.1260614619919</v>
      </c>
      <c r="D1214" s="124" t="n">
        <f aca="false">SQRT(B1214^2+C1214^2)</f>
        <v>35.5508129097082</v>
      </c>
      <c r="E1214" s="125" t="n">
        <f aca="false">20*LOG10(MAX(D1214,0.000000000001)/$K$3)</f>
        <v>31.0169907163166</v>
      </c>
    </row>
    <row r="1215" customFormat="false" ht="15" hidden="false" customHeight="false" outlineLevel="0" collapsed="false">
      <c r="A1215" s="126" t="n">
        <f aca="false">A1214+$F$3</f>
        <v>12090</v>
      </c>
      <c r="B1215" s="127" t="n">
        <f aca="false">SUMPRODUCT(固有振動数!$Q$6:$Q$22*(1-($A1215/固有振動数!$O$6:$O$22)^2)/((1-($A1215/固有振動数!$O$6:$O$22)^2)^2+固有振動数!$P$6:$P$22^2))</f>
        <v>33.0742106253402</v>
      </c>
      <c r="C1215" s="127" t="n">
        <f aca="false">-SUMPRODUCT(固有振動数!$Q$6:$Q$22*固有振動数!$P$6:$P$22/((1-($A1215/固有振動数!$O$6:$O$22)^2)^2+固有振動数!$P$6:$P$22^2))</f>
        <v>-15.0094966266913</v>
      </c>
      <c r="D1215" s="128" t="n">
        <f aca="false">SQRT(B1215^2+C1215^2)</f>
        <v>36.3206332196456</v>
      </c>
      <c r="E1215" s="129" t="n">
        <f aca="false">20*LOG10(MAX(D1215,0.000000000001)/$K$3)</f>
        <v>31.2030682294703</v>
      </c>
    </row>
    <row r="1216" customFormat="false" ht="15" hidden="false" customHeight="false" outlineLevel="0" collapsed="false">
      <c r="A1216" s="122" t="n">
        <f aca="false">A1215+$F$3</f>
        <v>12100</v>
      </c>
      <c r="B1216" s="123" t="n">
        <f aca="false">SUMPRODUCT(固有振動数!$Q$6:$Q$22*(1-($A1216/固有振動数!$O$6:$O$22)^2)/((1-($A1216/固有振動数!$O$6:$O$22)^2)^2+固有振動数!$P$6:$P$22^2))</f>
        <v>33.5099516841705</v>
      </c>
      <c r="C1216" s="123" t="n">
        <f aca="false">-SUMPRODUCT(固有振動数!$Q$6:$Q$22*固有振動数!$P$6:$P$22/((1-($A1216/固有振動数!$O$6:$O$22)^2)^2+固有振動数!$P$6:$P$22^2))</f>
        <v>-15.9707610965574</v>
      </c>
      <c r="D1216" s="124" t="n">
        <f aca="false">SQRT(B1216^2+C1216^2)</f>
        <v>37.1211809063067</v>
      </c>
      <c r="E1216" s="125" t="n">
        <f aca="false">20*LOG10(MAX(D1216,0.000000000001)/$K$3)</f>
        <v>31.3924356725609</v>
      </c>
    </row>
    <row r="1217" customFormat="false" ht="15" hidden="false" customHeight="false" outlineLevel="0" collapsed="false">
      <c r="A1217" s="126" t="n">
        <f aca="false">A1216+$F$3</f>
        <v>12110</v>
      </c>
      <c r="B1217" s="127" t="n">
        <f aca="false">SUMPRODUCT(固有振動数!$Q$6:$Q$22*(1-($A1217/固有振動数!$O$6:$O$22)^2)/((1-($A1217/固有振動数!$O$6:$O$22)^2)^2+固有振動数!$P$6:$P$22^2))</f>
        <v>33.9236131216474</v>
      </c>
      <c r="C1217" s="127" t="n">
        <f aca="false">-SUMPRODUCT(固有振動数!$Q$6:$Q$22*固有振動数!$P$6:$P$22/((1-($A1217/固有振動数!$O$6:$O$22)^2)^2+固有振動数!$P$6:$P$22^2))</f>
        <v>-17.0167696138686</v>
      </c>
      <c r="D1217" s="128" t="n">
        <f aca="false">SQRT(B1217^2+C1217^2)</f>
        <v>37.9523645550404</v>
      </c>
      <c r="E1217" s="129" t="n">
        <f aca="false">20*LOG10(MAX(D1217,0.000000000001)/$K$3)</f>
        <v>31.5847767805011</v>
      </c>
    </row>
    <row r="1218" customFormat="false" ht="15" hidden="false" customHeight="false" outlineLevel="0" collapsed="false">
      <c r="A1218" s="122" t="n">
        <f aca="false">A1217+$F$3</f>
        <v>12120</v>
      </c>
      <c r="B1218" s="123" t="n">
        <f aca="false">SUMPRODUCT(固有振動数!$Q$6:$Q$22*(1-($A1218/固有振動数!$O$6:$O$22)^2)/((1-($A1218/固有振動数!$O$6:$O$22)^2)^2+固有振動数!$P$6:$P$22^2))</f>
        <v>34.305950751831</v>
      </c>
      <c r="C1218" s="123" t="n">
        <f aca="false">-SUMPRODUCT(固有振動数!$Q$6:$Q$22*固有振動数!$P$6:$P$22/((1-($A1218/固有振動数!$O$6:$O$22)^2)^2+固有振動数!$P$6:$P$22^2))</f>
        <v>-18.1545990445675</v>
      </c>
      <c r="D1218" s="124" t="n">
        <f aca="false">SQRT(B1218^2+C1218^2)</f>
        <v>38.8134992426097</v>
      </c>
      <c r="E1218" s="125" t="n">
        <f aca="false">20*LOG10(MAX(D1218,0.000000000001)/$K$3)</f>
        <v>31.7796559690748</v>
      </c>
    </row>
    <row r="1219" customFormat="false" ht="15" hidden="false" customHeight="false" outlineLevel="0" collapsed="false">
      <c r="A1219" s="126" t="n">
        <f aca="false">A1218+$F$3</f>
        <v>12130</v>
      </c>
      <c r="B1219" s="127" t="n">
        <f aca="false">SUMPRODUCT(固有振動数!$Q$6:$Q$22*(1-($A1219/固有振動数!$O$6:$O$22)^2)/((1-($A1219/固有振動数!$O$6:$O$22)^2)^2+固有振動数!$P$6:$P$22^2))</f>
        <v>34.6455786691778</v>
      </c>
      <c r="C1219" s="127" t="n">
        <f aca="false">-SUMPRODUCT(固有振動数!$Q$6:$Q$22*固有振動数!$P$6:$P$22/((1-($A1219/固有振動数!$O$6:$O$22)^2)^2+固有振動数!$P$6:$P$22^2))</f>
        <v>-19.391255470268</v>
      </c>
      <c r="D1219" s="128" t="n">
        <f aca="false">SQRT(B1219^2+C1219^2)</f>
        <v>39.703109576397</v>
      </c>
      <c r="E1219" s="129" t="n">
        <f aca="false">20*LOG10(MAX(D1219,0.000000000001)/$K$3)</f>
        <v>31.976490447093</v>
      </c>
    </row>
    <row r="1220" customFormat="false" ht="15" hidden="false" customHeight="false" outlineLevel="0" collapsed="false">
      <c r="A1220" s="122" t="n">
        <f aca="false">A1219+$F$3</f>
        <v>12140</v>
      </c>
      <c r="B1220" s="123" t="n">
        <f aca="false">SUMPRODUCT(固有振動数!$Q$6:$Q$22*(1-($A1220/固有振動数!$O$6:$O$22)^2)/((1-($A1220/固有振動数!$O$6:$O$22)^2)^2+固有振動数!$P$6:$P$22^2))</f>
        <v>34.9285949769939</v>
      </c>
      <c r="C1220" s="123" t="n">
        <f aca="false">-SUMPRODUCT(固有振動数!$Q$6:$Q$22*固有振動数!$P$6:$P$22/((1-($A1220/固有振動数!$O$6:$O$22)^2)^2+固有振動数!$P$6:$P$22^2))</f>
        <v>-20.7333264968083</v>
      </c>
      <c r="D1220" s="124" t="n">
        <f aca="false">SQRT(B1220^2+C1220^2)</f>
        <v>40.6186850438334</v>
      </c>
      <c r="E1220" s="125" t="n">
        <f aca="false">20*LOG10(MAX(D1220,0.000000000001)/$K$3)</f>
        <v>32.1745171960233</v>
      </c>
    </row>
    <row r="1221" customFormat="false" ht="15" hidden="false" customHeight="false" outlineLevel="0" collapsed="false">
      <c r="A1221" s="126" t="n">
        <f aca="false">A1220+$F$3</f>
        <v>12150</v>
      </c>
      <c r="B1221" s="127" t="n">
        <f aca="false">SUMPRODUCT(固有振動数!$Q$6:$Q$22*(1-($A1221/固有振動数!$O$6:$O$22)^2)/((1-($A1221/固有振動数!$O$6:$O$22)^2)^2+固有振動数!$P$6:$P$22^2))</f>
        <v>35.1381962636446</v>
      </c>
      <c r="C1221" s="127" t="n">
        <f aca="false">-SUMPRODUCT(固有振動数!$Q$6:$Q$22*固有振動数!$P$6:$P$22/((1-($A1221/固有振動数!$O$6:$O$22)^2)^2+固有振動数!$P$6:$P$22^2))</f>
        <v>-22.1864824837006</v>
      </c>
      <c r="D1221" s="128" t="n">
        <f aca="false">SQRT(B1221^2+C1221^2)</f>
        <v>41.5563814794065</v>
      </c>
      <c r="E1221" s="129" t="n">
        <f aca="false">20*LOG10(MAX(D1221,0.000000000001)/$K$3)</f>
        <v>32.3727544870658</v>
      </c>
    </row>
    <row r="1222" customFormat="false" ht="15" hidden="false" customHeight="false" outlineLevel="0" collapsed="false">
      <c r="A1222" s="122" t="n">
        <f aca="false">A1221+$F$3</f>
        <v>12160</v>
      </c>
      <c r="B1222" s="123" t="n">
        <f aca="false">SUMPRODUCT(固有振動数!$Q$6:$Q$22*(1-($A1222/固有振動数!$O$6:$O$22)^2)/((1-($A1222/固有振動数!$O$6:$O$22)^2)^2+固有振動数!$P$6:$P$22^2))</f>
        <v>35.254316187792</v>
      </c>
      <c r="C1222" s="123" t="n">
        <f aca="false">-SUMPRODUCT(固有振動数!$Q$6:$Q$22*固有振動数!$P$6:$P$22/((1-($A1222/固有振動数!$O$6:$O$22)^2)^2+固有振動数!$P$6:$P$22^2))</f>
        <v>-23.7547854182663</v>
      </c>
      <c r="D1222" s="124" t="n">
        <f aca="false">SQRT(B1222^2+C1222^2)</f>
        <v>42.5106650164014</v>
      </c>
      <c r="E1222" s="125" t="n">
        <f aca="false">20*LOG10(MAX(D1222,0.000000000001)/$K$3)</f>
        <v>32.569957978286</v>
      </c>
    </row>
    <row r="1223" customFormat="false" ht="15" hidden="false" customHeight="false" outlineLevel="0" collapsed="false">
      <c r="A1223" s="126" t="n">
        <f aca="false">A1222+$F$3</f>
        <v>12170</v>
      </c>
      <c r="B1223" s="127" t="n">
        <f aca="false">SUMPRODUCT(固有振動数!$Q$6:$Q$22*(1-($A1223/固有振動数!$O$6:$O$22)^2)/((1-($A1223/固有振動数!$O$6:$O$22)^2)^2+固有振動数!$P$6:$P$22^2))</f>
        <v>35.2533466225944</v>
      </c>
      <c r="C1223" s="127" t="n">
        <f aca="false">-SUMPRODUCT(固有振動数!$Q$6:$Q$22*固有振動数!$P$6:$P$22/((1-($A1223/固有振動数!$O$6:$O$22)^2)^2+固有振動数!$P$6:$P$22^2))</f>
        <v>-25.4397631827729</v>
      </c>
      <c r="D1223" s="128" t="n">
        <f aca="false">SQRT(B1223^2+C1223^2)</f>
        <v>43.4739002033215</v>
      </c>
      <c r="E1223" s="129" t="n">
        <f aca="false">20*LOG10(MAX(D1223,0.000000000001)/$K$3)</f>
        <v>32.7645720818468</v>
      </c>
    </row>
    <row r="1224" customFormat="false" ht="15" hidden="false" customHeight="false" outlineLevel="0" collapsed="false">
      <c r="A1224" s="122" t="n">
        <f aca="false">A1223+$F$3</f>
        <v>12180</v>
      </c>
      <c r="B1224" s="123" t="n">
        <f aca="false">SUMPRODUCT(固有振動数!$Q$6:$Q$22*(1-($A1224/固有振動数!$O$6:$O$22)^2)/((1-($A1224/固有振動数!$O$6:$O$22)^2)^2+固有振動数!$P$6:$P$22^2))</f>
        <v>35.1080307301902</v>
      </c>
      <c r="C1224" s="123" t="n">
        <f aca="false">-SUMPRODUCT(固有振動数!$Q$6:$Q$22*固有振動数!$P$6:$P$22/((1-($A1224/固有振動数!$O$6:$O$22)^2)^2+固有振動数!$P$6:$P$22^2))</f>
        <v>-27.2392143530667</v>
      </c>
      <c r="D1224" s="124" t="n">
        <f aca="false">SQRT(B1224^2+C1224^2)</f>
        <v>44.4358933782623</v>
      </c>
      <c r="E1224" s="125" t="n">
        <f aca="false">20*LOG10(MAX(D1224,0.000000000001)/$K$3)</f>
        <v>32.9546783206019</v>
      </c>
    </row>
    <row r="1225" customFormat="false" ht="15" hidden="false" customHeight="false" outlineLevel="0" collapsed="false">
      <c r="A1225" s="126" t="n">
        <f aca="false">A1224+$F$3</f>
        <v>12190</v>
      </c>
      <c r="B1225" s="127" t="n">
        <f aca="false">SUMPRODUCT(固有振動数!$Q$6:$Q$22*(1-($A1225/固有振動数!$O$6:$O$22)^2)/((1-($A1225/固有振動数!$O$6:$O$22)^2)^2+固有振動数!$P$6:$P$22^2))</f>
        <v>34.7876551055615</v>
      </c>
      <c r="C1225" s="127" t="n">
        <f aca="false">-SUMPRODUCT(固有振動数!$Q$6:$Q$22*固有振動数!$P$6:$P$22/((1-($A1225/固有振動数!$O$6:$O$22)^2)^2+固有振動数!$P$6:$P$22^2))</f>
        <v>-29.1457308921647</v>
      </c>
      <c r="D1225" s="128" t="n">
        <f aca="false">SQRT(B1225^2+C1225^2)</f>
        <v>45.3834174229088</v>
      </c>
      <c r="E1225" s="129" t="n">
        <f aca="false">20*LOG10(MAX(D1225,0.000000000001)/$K$3)</f>
        <v>33.1379439129662</v>
      </c>
    </row>
    <row r="1226" customFormat="false" ht="15" hidden="false" customHeight="false" outlineLevel="0" collapsed="false">
      <c r="A1226" s="122" t="n">
        <f aca="false">A1225+$F$3</f>
        <v>12200</v>
      </c>
      <c r="B1226" s="123" t="n">
        <f aca="false">SUMPRODUCT(固有振動数!$Q$6:$Q$22*(1-($A1226/固有振動数!$O$6:$O$22)^2)/((1-($A1226/固有振動数!$O$6:$O$22)^2)^2+固有振動数!$P$6:$P$22^2))</f>
        <v>34.2587079603984</v>
      </c>
      <c r="C1226" s="123" t="n">
        <f aca="false">-SUMPRODUCT(固有振動数!$Q$6:$Q$22*固有振動数!$P$6:$P$22/((1-($A1226/固有振動数!$O$6:$O$22)^2)^2+固有振動数!$P$6:$P$22^2))</f>
        <v>-31.1449715557409</v>
      </c>
      <c r="D1226" s="124" t="n">
        <f aca="false">SQRT(B1226^2+C1226^2)</f>
        <v>46.2997659208313</v>
      </c>
      <c r="E1226" s="125" t="n">
        <f aca="false">20*LOG10(MAX(D1226,0.000000000001)/$K$3)</f>
        <v>33.3115759069473</v>
      </c>
    </row>
    <row r="1227" customFormat="false" ht="15" hidden="false" customHeight="false" outlineLevel="0" collapsed="false">
      <c r="A1227" s="126" t="n">
        <f aca="false">A1226+$F$3</f>
        <v>12210</v>
      </c>
      <c r="B1227" s="127" t="n">
        <f aca="false">SUMPRODUCT(固有振動数!$Q$6:$Q$22*(1-($A1227/固有振動数!$O$6:$O$22)^2)/((1-($A1227/固有振動数!$O$6:$O$22)^2)^2+固有振動数!$P$6:$P$22^2))</f>
        <v>33.4862009402995</v>
      </c>
      <c r="C1227" s="127" t="n">
        <f aca="false">-SUMPRODUCT(固有振動数!$Q$6:$Q$22*固有振動数!$P$6:$P$22/((1-($A1227/固有振動数!$O$6:$O$22)^2)^2+固有振動数!$P$6:$P$22^2))</f>
        <v>-33.2137962452938</v>
      </c>
      <c r="D1227" s="128" t="n">
        <f aca="false">SQRT(B1227^2+C1227^2)</f>
        <v>47.1644136445902</v>
      </c>
      <c r="E1227" s="129" t="n">
        <f aca="false">20*LOG10(MAX(D1227,0.000000000001)/$K$3)</f>
        <v>33.4722887918197</v>
      </c>
    </row>
    <row r="1228" customFormat="false" ht="15" hidden="false" customHeight="false" outlineLevel="0" collapsed="false">
      <c r="A1228" s="122" t="n">
        <f aca="false">A1227+$F$3</f>
        <v>12220</v>
      </c>
      <c r="B1228" s="123" t="n">
        <f aca="false">SUMPRODUCT(固有振動数!$Q$6:$Q$22*(1-($A1228/固有振動数!$O$6:$O$22)^2)/((1-($A1228/固有振動数!$O$6:$O$22)^2)^2+固有振動数!$P$6:$P$22^2))</f>
        <v>32.435853160348</v>
      </c>
      <c r="C1228" s="123" t="n">
        <f aca="false">-SUMPRODUCT(固有振動数!$Q$6:$Q$22*固有振動数!$P$6:$P$22/((1-($A1228/固有振動数!$O$6:$O$22)^2)^2+固有振動数!$P$6:$P$22^2))</f>
        <v>-35.3184858631557</v>
      </c>
      <c r="D1228" s="124" t="n">
        <f aca="false">SQRT(B1228^2+C1228^2)</f>
        <v>47.9528936968937</v>
      </c>
      <c r="E1228" s="125" t="n">
        <f aca="false">20*LOG10(MAX(D1228,0.000000000001)/$K$3)</f>
        <v>33.6162963922502</v>
      </c>
    </row>
    <row r="1229" customFormat="false" ht="15" hidden="false" customHeight="false" outlineLevel="0" collapsed="false">
      <c r="A1229" s="126" t="n">
        <f aca="false">A1228+$F$3</f>
        <v>12230</v>
      </c>
      <c r="B1229" s="127" t="n">
        <f aca="false">SUMPRODUCT(固有振動数!$Q$6:$Q$22*(1-($A1229/固有振動数!$O$6:$O$22)^2)/((1-($A1229/固有振動数!$O$6:$O$22)^2)^2+固有振動数!$P$6:$P$22^2))</f>
        <v>31.0772773144525</v>
      </c>
      <c r="C1229" s="127" t="n">
        <f aca="false">-SUMPRODUCT(固有振動数!$Q$6:$Q$22*固有振動数!$P$6:$P$22/((1-($A1229/固有振動数!$O$6:$O$22)^2)^2+固有振動数!$P$6:$P$22^2))</f>
        <v>-37.4134168509047</v>
      </c>
      <c r="D1229" s="128" t="n">
        <f aca="false">SQRT(B1229^2+C1229^2)</f>
        <v>48.637032452021</v>
      </c>
      <c r="E1229" s="129" t="n">
        <f aca="false">20*LOG10(MAX(D1229,0.000000000001)/$K$3)</f>
        <v>33.739341379147</v>
      </c>
    </row>
    <row r="1230" customFormat="false" ht="15" hidden="false" customHeight="false" outlineLevel="0" collapsed="false">
      <c r="A1230" s="122" t="n">
        <f aca="false">A1229+$F$3</f>
        <v>12240</v>
      </c>
      <c r="B1230" s="123" t="n">
        <f aca="false">SUMPRODUCT(固有振動数!$Q$6:$Q$22*(1-($A1230/固有振動数!$O$6:$O$22)^2)/((1-($A1230/固有振動数!$O$6:$O$22)^2)^2+固有振動数!$P$6:$P$22^2))</f>
        <v>29.3881549935036</v>
      </c>
      <c r="C1230" s="123" t="n">
        <f aca="false">-SUMPRODUCT(固有振動数!$Q$6:$Q$22*固有振動数!$P$6:$P$22/((1-($A1230/固有振動数!$O$6:$O$22)^2)^2+固有振動数!$P$6:$P$22^2))</f>
        <v>-39.4407056550001</v>
      </c>
      <c r="D1230" s="124" t="n">
        <f aca="false">SQRT(B1230^2+C1230^2)</f>
        <v>49.1856982921514</v>
      </c>
      <c r="E1230" s="125" t="n">
        <f aca="false">20*LOG10(MAX(D1230,0.000000000001)/$K$3)</f>
        <v>33.8367768294447</v>
      </c>
    </row>
    <row r="1231" customFormat="false" ht="15" hidden="false" customHeight="false" outlineLevel="0" collapsed="false">
      <c r="A1231" s="126" t="n">
        <f aca="false">A1230+$F$3</f>
        <v>12250</v>
      </c>
      <c r="B1231" s="127" t="n">
        <f aca="false">SUMPRODUCT(固有振動数!$Q$6:$Q$22*(1-($A1231/固有振動数!$O$6:$O$22)^2)/((1-($A1231/固有振動数!$O$6:$O$22)^2)^2+固有振動数!$P$6:$P$22^2))</f>
        <v>27.3591193476709</v>
      </c>
      <c r="C1231" s="127" t="n">
        <f aca="false">-SUMPRODUCT(固有振動数!$Q$6:$Q$22*固有振動数!$P$6:$P$22/((1-($A1231/固有振動数!$O$6:$O$22)^2)^2+固有振動数!$P$6:$P$22^2))</f>
        <v>-41.3314253813653</v>
      </c>
      <c r="D1231" s="128" t="n">
        <f aca="false">SQRT(B1231^2+C1231^2)</f>
        <v>49.5661995268496</v>
      </c>
      <c r="E1231" s="129" t="n">
        <f aca="false">20*LOG10(MAX(D1231,0.000000000001)/$K$3)</f>
        <v>33.9037124157093</v>
      </c>
    </row>
    <row r="1232" customFormat="false" ht="15" hidden="false" customHeight="false" outlineLevel="0" collapsed="false">
      <c r="A1232" s="122" t="n">
        <f aca="false">A1231+$F$3</f>
        <v>12260</v>
      </c>
      <c r="B1232" s="123" t="n">
        <f aca="false">SUMPRODUCT(固有振動数!$Q$6:$Q$22*(1-($A1232/固有振動数!$O$6:$O$22)^2)/((1-($A1232/固有振動数!$O$6:$O$22)^2)^2+固有振動数!$P$6:$P$22^2))</f>
        <v>24.9986959200698</v>
      </c>
      <c r="C1232" s="123" t="n">
        <f aca="false">-SUMPRODUCT(固有振動数!$Q$6:$Q$22*固有振動数!$P$6:$P$22/((1-($A1232/固有振動数!$O$6:$O$22)^2)^2+固有振動数!$P$6:$P$22^2))</f>
        <v>-43.0089353594966</v>
      </c>
      <c r="D1232" s="124" t="n">
        <f aca="false">SQRT(B1232^2+C1232^2)</f>
        <v>49.7463900043156</v>
      </c>
      <c r="E1232" s="125" t="n">
        <f aca="false">20*LOG10(MAX(D1232,0.000000000001)/$K$3)</f>
        <v>33.9352314069253</v>
      </c>
    </row>
    <row r="1233" customFormat="false" ht="15" hidden="false" customHeight="false" outlineLevel="0" collapsed="false">
      <c r="A1233" s="126" t="n">
        <f aca="false">A1232+$F$3</f>
        <v>12270</v>
      </c>
      <c r="B1233" s="127" t="n">
        <f aca="false">SUMPRODUCT(固有振動数!$Q$6:$Q$22*(1-($A1233/固有振動数!$O$6:$O$22)^2)/((1-($A1233/固有振動数!$O$6:$O$22)^2)^2+固有振動数!$P$6:$P$22^2))</f>
        <v>22.3372763220217</v>
      </c>
      <c r="C1233" s="127" t="n">
        <f aca="false">-SUMPRODUCT(固有振動数!$Q$6:$Q$22*固有振動数!$P$6:$P$22/((1-($A1233/固有振動数!$O$6:$O$22)^2)^2+固有振動数!$P$6:$P$22^2))</f>
        <v>-44.3945643661666</v>
      </c>
      <c r="D1233" s="128" t="n">
        <f aca="false">SQRT(B1233^2+C1233^2)</f>
        <v>49.6973969011261</v>
      </c>
      <c r="E1233" s="129" t="n">
        <f aca="false">20*LOG10(MAX(D1233,0.000000000001)/$K$3)</f>
        <v>33.9266728285565</v>
      </c>
    </row>
    <row r="1234" customFormat="false" ht="15" hidden="false" customHeight="false" outlineLevel="0" collapsed="false">
      <c r="A1234" s="122" t="n">
        <f aca="false">A1233+$F$3</f>
        <v>12280</v>
      </c>
      <c r="B1234" s="123" t="n">
        <f aca="false">SUMPRODUCT(固有振動数!$Q$6:$Q$22*(1-($A1234/固有振動数!$O$6:$O$22)^2)/((1-($A1234/固有振動数!$O$6:$O$22)^2)^2+固有振動数!$P$6:$P$22^2))</f>
        <v>19.4288838303863</v>
      </c>
      <c r="C1234" s="123" t="n">
        <f aca="false">-SUMPRODUCT(固有振動数!$Q$6:$Q$22*固有振動数!$P$6:$P$22/((1-($A1234/固有振動数!$O$6:$O$22)^2)^2+固有振動数!$P$6:$P$22^2))</f>
        <v>-45.4153208507991</v>
      </c>
      <c r="D1234" s="124" t="n">
        <f aca="false">SQRT(B1234^2+C1234^2)</f>
        <v>49.3966891084379</v>
      </c>
      <c r="E1234" s="125" t="n">
        <f aca="false">20*LOG10(MAX(D1234,0.000000000001)/$K$3)</f>
        <v>33.8739568124311</v>
      </c>
    </row>
    <row r="1235" customFormat="false" ht="15" hidden="false" customHeight="false" outlineLevel="0" collapsed="false">
      <c r="A1235" s="126" t="n">
        <f aca="false">A1234+$F$3</f>
        <v>12290</v>
      </c>
      <c r="B1235" s="127" t="n">
        <f aca="false">SUMPRODUCT(固有振動数!$Q$6:$Q$22*(1-($A1235/固有振動数!$O$6:$O$22)^2)/((1-($A1235/固有振動数!$O$6:$O$22)^2)^2+固有振動数!$P$6:$P$22^2))</f>
        <v>16.3496356624234</v>
      </c>
      <c r="C1235" s="127" t="n">
        <f aca="false">-SUMPRODUCT(固有振動数!$Q$6:$Q$22*固有振動数!$P$6:$P$22/((1-($A1235/固有振動数!$O$6:$O$22)^2)^2+固有振動数!$P$6:$P$22^2))</f>
        <v>-46.012573193871</v>
      </c>
      <c r="D1235" s="128" t="n">
        <f aca="false">SQRT(B1235^2+C1235^2)</f>
        <v>48.831009391731</v>
      </c>
      <c r="E1235" s="129" t="n">
        <f aca="false">20*LOG10(MAX(D1235,0.000000000001)/$K$3)</f>
        <v>33.7739140346188</v>
      </c>
    </row>
    <row r="1236" customFormat="false" ht="15" hidden="false" customHeight="false" outlineLevel="0" collapsed="false">
      <c r="A1236" s="122" t="n">
        <f aca="false">A1235+$F$3</f>
        <v>12300</v>
      </c>
      <c r="B1236" s="123" t="n">
        <f aca="false">SUMPRODUCT(固有振動数!$Q$6:$Q$22*(1-($A1236/固有振動数!$O$6:$O$22)^2)/((1-($A1236/固有振動数!$O$6:$O$22)^2)^2+固有振動数!$P$6:$P$22^2))</f>
        <v>13.1924288243696</v>
      </c>
      <c r="C1236" s="123" t="n">
        <f aca="false">-SUMPRODUCT(固有振動数!$Q$6:$Q$22*固有振動数!$P$6:$P$22/((1-($A1236/固有振動数!$O$6:$O$22)^2)^2+固有振動数!$P$6:$P$22^2))</f>
        <v>-46.1500137631421</v>
      </c>
      <c r="D1236" s="124" t="n">
        <f aca="false">SQRT(B1236^2+C1236^2)</f>
        <v>47.9985827772473</v>
      </c>
      <c r="E1236" s="125" t="n">
        <f aca="false">20*LOG10(MAX(D1236,0.000000000001)/$K$3)</f>
        <v>33.6245682887169</v>
      </c>
    </row>
    <row r="1237" customFormat="false" ht="15" hidden="false" customHeight="false" outlineLevel="0" collapsed="false">
      <c r="A1237" s="126" t="n">
        <f aca="false">A1236+$F$3</f>
        <v>12310</v>
      </c>
      <c r="B1237" s="127" t="n">
        <f aca="false">SUMPRODUCT(固有振動数!$Q$6:$Q$22*(1-($A1237/固有振動数!$O$6:$O$22)^2)/((1-($A1237/固有振動数!$O$6:$O$22)^2)^2+固有振動数!$P$6:$P$22^2))</f>
        <v>10.0583729820065</v>
      </c>
      <c r="C1237" s="127" t="n">
        <f aca="false">-SUMPRODUCT(固有振動数!$Q$6:$Q$22*固有振動数!$P$6:$P$22/((1-($A1237/固有振動数!$O$6:$O$22)^2)^2+固有振動数!$P$6:$P$22^2))</f>
        <v>-45.819029937656</v>
      </c>
      <c r="D1237" s="128" t="n">
        <f aca="false">SQRT(B1237^2+C1237^2)</f>
        <v>46.9100668457526</v>
      </c>
      <c r="E1237" s="129" t="n">
        <f aca="false">20*LOG10(MAX(D1237,0.000000000001)/$K$3)</f>
        <v>33.4253210361424</v>
      </c>
    </row>
    <row r="1238" customFormat="false" ht="15" hidden="false" customHeight="false" outlineLevel="0" collapsed="false">
      <c r="A1238" s="122" t="n">
        <f aca="false">A1237+$F$3</f>
        <v>12320</v>
      </c>
      <c r="B1238" s="123" t="n">
        <f aca="false">SUMPRODUCT(固有振動数!$Q$6:$Q$22*(1-($A1238/固有振動数!$O$6:$O$22)^2)/((1-($A1238/固有振動数!$O$6:$O$22)^2)^2+固有振動数!$P$6:$P$22^2))</f>
        <v>7.04651186058783</v>
      </c>
      <c r="C1238" s="123" t="n">
        <f aca="false">-SUMPRODUCT(固有振動数!$Q$6:$Q$22*固有振動数!$P$6:$P$22/((1-($A1238/固有振動数!$O$6:$O$22)^2)^2+固有振動数!$P$6:$P$22^2))</f>
        <v>-45.0400698931514</v>
      </c>
      <c r="D1238" s="124" t="n">
        <f aca="false">SQRT(B1238^2+C1238^2)</f>
        <v>45.5879504406742</v>
      </c>
      <c r="E1238" s="125" t="n">
        <f aca="false">20*LOG10(MAX(D1238,0.000000000001)/$K$3)</f>
        <v>33.1770013494947</v>
      </c>
    </row>
    <row r="1239" customFormat="false" ht="15" hidden="false" customHeight="false" outlineLevel="0" collapsed="false">
      <c r="A1239" s="126" t="n">
        <f aca="false">A1238+$F$3</f>
        <v>12330</v>
      </c>
      <c r="B1239" s="127" t="n">
        <f aca="false">SUMPRODUCT(固有振動数!$Q$6:$Q$22*(1-($A1239/固有振動数!$O$6:$O$22)^2)/((1-($A1239/固有振動数!$O$6:$O$22)^2)^2+固有振動数!$P$6:$P$22^2))</f>
        <v>4.24395859046023</v>
      </c>
      <c r="C1239" s="127" t="n">
        <f aca="false">-SUMPRODUCT(固有振動数!$Q$6:$Q$22*固有振動数!$P$6:$P$22/((1-($A1239/固有振動数!$O$6:$O$22)^2)^2+固有振動数!$P$6:$P$22^2))</f>
        <v>-43.859621560317</v>
      </c>
      <c r="D1239" s="128" t="n">
        <f aca="false">SQRT(B1239^2+C1239^2)</f>
        <v>44.0644708118884</v>
      </c>
      <c r="E1239" s="129" t="n">
        <f aca="false">20*LOG10(MAX(D1239,0.000000000001)/$K$3)</f>
        <v>32.8817711774157</v>
      </c>
    </row>
    <row r="1240" customFormat="false" ht="15" hidden="false" customHeight="false" outlineLevel="0" collapsed="false">
      <c r="A1240" s="122" t="n">
        <f aca="false">A1239+$F$3</f>
        <v>12340</v>
      </c>
      <c r="B1240" s="123" t="n">
        <f aca="false">SUMPRODUCT(固有振動数!$Q$6:$Q$22*(1-($A1240/固有振動数!$O$6:$O$22)^2)/((1-($A1240/固有振動数!$O$6:$O$22)^2)^2+固有振動数!$P$6:$P$22^2))</f>
        <v>1.71843089119731</v>
      </c>
      <c r="C1240" s="123" t="n">
        <f aca="false">-SUMPRODUCT(固有振動数!$Q$6:$Q$22*固有振動数!$P$6:$P$22/((1-($A1240/固有振動数!$O$6:$O$22)^2)^2+固有振動数!$P$6:$P$22^2))</f>
        <v>-42.3436166613641</v>
      </c>
      <c r="D1240" s="124" t="n">
        <f aca="false">SQRT(B1240^2+C1240^2)</f>
        <v>42.3784718541428</v>
      </c>
      <c r="E1240" s="125" t="n">
        <f aca="false">20*LOG10(MAX(D1240,0.000000000001)/$K$3)</f>
        <v>32.542905844438</v>
      </c>
    </row>
    <row r="1241" customFormat="false" ht="15" hidden="false" customHeight="false" outlineLevel="0" collapsed="false">
      <c r="A1241" s="126" t="n">
        <f aca="false">A1240+$F$3</f>
        <v>12350</v>
      </c>
      <c r="B1241" s="127" t="n">
        <f aca="false">SUMPRODUCT(固有振動数!$Q$6:$Q$22*(1-($A1241/固有振動数!$O$6:$O$22)^2)/((1-($A1241/固有振動数!$O$6:$O$22)^2)^2+固有振動数!$P$6:$P$22^2))</f>
        <v>-0.485621697801435</v>
      </c>
      <c r="C1241" s="127" t="n">
        <f aca="false">-SUMPRODUCT(固有振動数!$Q$6:$Q$22*固有振動数!$P$6:$P$22/((1-($A1241/固有振動数!$O$6:$O$22)^2)^2+固有振動数!$P$6:$P$22^2))</f>
        <v>-40.5689283452183</v>
      </c>
      <c r="D1241" s="128" t="n">
        <f aca="false">SQRT(B1241^2+C1241^2)</f>
        <v>40.5718347565504</v>
      </c>
      <c r="E1241" s="129" t="n">
        <f aca="false">20*LOG10(MAX(D1241,0.000000000001)/$K$3)</f>
        <v>32.1644929599175</v>
      </c>
    </row>
    <row r="1242" customFormat="false" ht="15" hidden="false" customHeight="false" outlineLevel="0" collapsed="false">
      <c r="A1242" s="122" t="n">
        <f aca="false">A1241+$F$3</f>
        <v>12360</v>
      </c>
      <c r="B1242" s="123" t="n">
        <f aca="false">SUMPRODUCT(固有振動数!$Q$6:$Q$22*(1-($A1242/固有振動数!$O$6:$O$22)^2)/((1-($A1242/固有振動数!$O$6:$O$22)^2)^2+固有振動数!$P$6:$P$22^2))</f>
        <v>-2.34717286890706</v>
      </c>
      <c r="C1242" s="123" t="n">
        <f aca="false">-SUMPRODUCT(固有振動数!$Q$6:$Q$22*固有振動数!$P$6:$P$22/((1-($A1242/固有振動数!$O$6:$O$22)^2)^2+固有振動数!$P$6:$P$22^2))</f>
        <v>-38.6148461391605</v>
      </c>
      <c r="D1242" s="124" t="n">
        <f aca="false">SQRT(B1242^2+C1242^2)</f>
        <v>38.6861158922367</v>
      </c>
      <c r="E1242" s="125" t="n">
        <f aca="false">20*LOG10(MAX(D1242,0.000000000001)/$K$3)</f>
        <v>31.751102570002</v>
      </c>
    </row>
    <row r="1243" customFormat="false" ht="15" hidden="false" customHeight="false" outlineLevel="0" collapsed="false">
      <c r="A1243" s="126" t="n">
        <f aca="false">A1242+$F$3</f>
        <v>12370</v>
      </c>
      <c r="B1243" s="127" t="n">
        <f aca="false">SUMPRODUCT(固有振動数!$Q$6:$Q$22*(1-($A1243/固有振動数!$O$6:$O$22)^2)/((1-($A1243/固有振動数!$O$6:$O$22)^2)^2+固有振動数!$P$6:$P$22^2))</f>
        <v>-3.86582266430424</v>
      </c>
      <c r="C1243" s="127" t="n">
        <f aca="false">-SUMPRODUCT(固有振動数!$Q$6:$Q$22*固有振動数!$P$6:$P$22/((1-($A1243/固有振動数!$O$6:$O$22)^2)^2+固有振動数!$P$6:$P$22^2))</f>
        <v>-36.5560207101579</v>
      </c>
      <c r="D1243" s="128" t="n">
        <f aca="false">SQRT(B1243^2+C1243^2)</f>
        <v>36.7598590181375</v>
      </c>
      <c r="E1243" s="129" t="n">
        <f aca="false">20*LOG10(MAX(D1243,0.000000000001)/$K$3)</f>
        <v>31.3074767421148</v>
      </c>
    </row>
    <row r="1244" customFormat="false" ht="15" hidden="false" customHeight="false" outlineLevel="0" collapsed="false">
      <c r="A1244" s="122" t="n">
        <f aca="false">A1243+$F$3</f>
        <v>12380</v>
      </c>
      <c r="B1244" s="123" t="n">
        <f aca="false">SUMPRODUCT(固有振動数!$Q$6:$Q$22*(1-($A1244/固有振動数!$O$6:$O$22)^2)/((1-($A1244/固有振動数!$O$6:$O$22)^2)^2+固有振動数!$P$6:$P$22^2))</f>
        <v>-5.05726074397596</v>
      </c>
      <c r="C1244" s="123" t="n">
        <f aca="false">-SUMPRODUCT(固有振動数!$Q$6:$Q$22*固有振動数!$P$6:$P$22/((1-($A1244/固有振動数!$O$6:$O$22)^2)^2+固有振動数!$P$6:$P$22^2))</f>
        <v>-34.4576608147942</v>
      </c>
      <c r="D1244" s="124" t="n">
        <f aca="false">SQRT(B1244^2+C1244^2)</f>
        <v>34.8268039742374</v>
      </c>
      <c r="E1244" s="125" t="n">
        <f aca="false">20*LOG10(MAX(D1244,0.000000000001)/$K$3)</f>
        <v>30.8382724291364</v>
      </c>
    </row>
    <row r="1245" customFormat="false" ht="15" hidden="false" customHeight="false" outlineLevel="0" collapsed="false">
      <c r="A1245" s="126" t="n">
        <f aca="false">A1244+$F$3</f>
        <v>12390</v>
      </c>
      <c r="B1245" s="127" t="n">
        <f aca="false">SUMPRODUCT(固有振動数!$Q$6:$Q$22*(1-($A1245/固有振動数!$O$6:$O$22)^2)/((1-($A1245/固有振動数!$O$6:$O$22)^2)^2+固有振動数!$P$6:$P$22^2))</f>
        <v>-5.94819178621805</v>
      </c>
      <c r="C1245" s="127" t="n">
        <f aca="false">-SUMPRODUCT(固有振動数!$Q$6:$Q$22*固有振動数!$P$6:$P$22/((1-($A1245/固有振動数!$O$6:$O$22)^2)^2+固有振動数!$P$6:$P$22^2))</f>
        <v>-32.3730668266306</v>
      </c>
      <c r="D1245" s="128" t="n">
        <f aca="false">SQRT(B1245^2+C1245^2)</f>
        <v>32.9149880948956</v>
      </c>
      <c r="E1245" s="129" t="n">
        <f aca="false">20*LOG10(MAX(D1245,0.000000000001)/$K$3)</f>
        <v>30.3478740469414</v>
      </c>
    </row>
    <row r="1246" customFormat="false" ht="15" hidden="false" customHeight="false" outlineLevel="0" collapsed="false">
      <c r="A1246" s="122" t="n">
        <f aca="false">A1245+$F$3</f>
        <v>12400</v>
      </c>
      <c r="B1246" s="123" t="n">
        <f aca="false">SUMPRODUCT(固有振動数!$Q$6:$Q$22*(1-($A1246/固有振動数!$O$6:$O$22)^2)/((1-($A1246/固有振動数!$O$6:$O$22)^2)^2+固有振動数!$P$6:$P$22^2))</f>
        <v>-6.57162273332871</v>
      </c>
      <c r="C1246" s="123" t="n">
        <f aca="false">-SUMPRODUCT(固有振動数!$Q$6:$Q$22*固有振動数!$P$6:$P$22/((1-($A1246/固有振動数!$O$6:$O$22)^2)^2+固有振動数!$P$6:$P$22^2))</f>
        <v>-30.3431097166066</v>
      </c>
      <c r="D1246" s="124" t="n">
        <f aca="false">SQRT(B1246^2+C1246^2)</f>
        <v>31.0465864890688</v>
      </c>
      <c r="E1246" s="125" t="n">
        <f aca="false">20*LOG10(MAX(D1246,0.000000000001)/$K$3)</f>
        <v>29.8402771463192</v>
      </c>
    </row>
    <row r="1247" customFormat="false" ht="15" hidden="false" customHeight="false" outlineLevel="0" collapsed="false">
      <c r="A1247" s="126" t="n">
        <f aca="false">A1246+$F$3</f>
        <v>12410</v>
      </c>
      <c r="B1247" s="127" t="n">
        <f aca="false">SUMPRODUCT(固有振動数!$Q$6:$Q$22*(1-($A1247/固有振動数!$O$6:$O$22)^2)/((1-($A1247/固有振動数!$O$6:$O$22)^2)^2+固有振動数!$P$6:$P$22^2))</f>
        <v>-6.96301853724418</v>
      </c>
      <c r="C1247" s="127" t="n">
        <f aca="false">-SUMPRODUCT(固有振動数!$Q$6:$Q$22*固有振動数!$P$6:$P$22/((1-($A1247/固有振動数!$O$6:$O$22)^2)^2+固有振動数!$P$6:$P$22^2))</f>
        <v>-28.3970602370031</v>
      </c>
      <c r="D1247" s="128" t="n">
        <f aca="false">SQRT(B1247^2+C1247^2)</f>
        <v>29.238273841901</v>
      </c>
      <c r="E1247" s="129" t="n">
        <f aca="false">20*LOG10(MAX(D1247,0.000000000001)/$K$3)</f>
        <v>29.3190345866016</v>
      </c>
    </row>
    <row r="1248" customFormat="false" ht="15" hidden="false" customHeight="false" outlineLevel="0" collapsed="false">
      <c r="A1248" s="122" t="n">
        <f aca="false">A1247+$F$3</f>
        <v>12420</v>
      </c>
      <c r="B1248" s="123" t="n">
        <f aca="false">SUMPRODUCT(固有振動数!$Q$6:$Q$22*(1-($A1248/固有振動数!$O$6:$O$22)^2)/((1-($A1248/固有振動数!$O$6:$O$22)^2)^2+固有振動数!$P$6:$P$22^2))</f>
        <v>-7.15749264964721</v>
      </c>
      <c r="C1248" s="123" t="n">
        <f aca="false">-SUMPRODUCT(固有振動数!$Q$6:$Q$22*固有振動数!$P$6:$P$22/((1-($A1248/固有振動数!$O$6:$O$22)^2)^2+固有振動数!$P$6:$P$22^2))</f>
        <v>-26.5541794773556</v>
      </c>
      <c r="D1248" s="124" t="n">
        <f aca="false">SQRT(B1248^2+C1248^2)</f>
        <v>27.5018935483608</v>
      </c>
      <c r="E1248" s="125" t="n">
        <f aca="false">20*LOG10(MAX(D1248,0.000000000001)/$K$3)</f>
        <v>28.7872519342731</v>
      </c>
    </row>
    <row r="1249" customFormat="false" ht="15" hidden="false" customHeight="false" outlineLevel="0" collapsed="false">
      <c r="A1249" s="126" t="n">
        <f aca="false">A1248+$F$3</f>
        <v>12430</v>
      </c>
      <c r="B1249" s="127" t="n">
        <f aca="false">SUMPRODUCT(固有振動数!$Q$6:$Q$22*(1-($A1249/固有振動数!$O$6:$O$22)^2)/((1-($A1249/固有振動数!$O$6:$O$22)^2)^2+固有振動数!$P$6:$P$22^2))</f>
        <v>-7.18797150320687</v>
      </c>
      <c r="C1249" s="127" t="n">
        <f aca="false">-SUMPRODUCT(固有振動数!$Q$6:$Q$22*固有振動数!$P$6:$P$22/((1-($A1249/固有振動数!$O$6:$O$22)^2)^2+固有振動数!$P$6:$P$22^2))</f>
        <v>-24.8256025144624</v>
      </c>
      <c r="D1249" s="128" t="n">
        <f aca="false">SQRT(B1249^2+C1249^2)</f>
        <v>25.8452601948016</v>
      </c>
      <c r="E1249" s="129" t="n">
        <f aca="false">20*LOG10(MAX(D1249,0.000000000001)/$K$3)</f>
        <v>28.2476181749167</v>
      </c>
    </row>
    <row r="1250" customFormat="false" ht="15" hidden="false" customHeight="false" outlineLevel="0" collapsed="false">
      <c r="A1250" s="122" t="n">
        <f aca="false">A1249+$F$3</f>
        <v>12440</v>
      </c>
      <c r="B1250" s="123" t="n">
        <f aca="false">SUMPRODUCT(固有振動数!$Q$6:$Q$22*(1-($A1250/固有振動数!$O$6:$O$22)^2)/((1-($A1250/固有振動数!$O$6:$O$22)^2)^2+固有振動数!$P$6:$P$22^2))</f>
        <v>-7.08415771769686</v>
      </c>
      <c r="C1250" s="123" t="n">
        <f aca="false">-SUMPRODUCT(固有振動数!$Q$6:$Q$22*固有振動数!$P$6:$P$22/((1-($A1250/固有振動数!$O$6:$O$22)^2)^2+固有振動数!$P$6:$P$22^2))</f>
        <v>-23.2162000990078</v>
      </c>
      <c r="D1250" s="124" t="n">
        <f aca="false">SQRT(B1250^2+C1250^2)</f>
        <v>24.2729733985429</v>
      </c>
      <c r="E1250" s="125" t="n">
        <f aca="false">20*LOG10(MAX(D1250,0.000000000001)/$K$3)</f>
        <v>27.7024595987306</v>
      </c>
    </row>
    <row r="1251" customFormat="false" ht="15" hidden="false" customHeight="false" outlineLevel="0" collapsed="false">
      <c r="A1251" s="126" t="n">
        <f aca="false">A1250+$F$3</f>
        <v>12450</v>
      </c>
      <c r="B1251" s="127" t="n">
        <f aca="false">SUMPRODUCT(固有振動数!$Q$6:$Q$22*(1-($A1251/固有振動数!$O$6:$O$22)^2)/((1-($A1251/固有振動数!$O$6:$O$22)^2)^2+固有振動数!$P$6:$P$22^2))</f>
        <v>-6.87208477326871</v>
      </c>
      <c r="C1251" s="127" t="n">
        <f aca="false">-SUMPRODUCT(固有振動数!$Q$6:$Q$22*固有振動数!$P$6:$P$22/((1-($A1251/固有振動数!$O$6:$O$22)^2)^2+固有振動数!$P$6:$P$22^2))</f>
        <v>-21.7262404851793</v>
      </c>
      <c r="D1251" s="128" t="n">
        <f aca="false">SQRT(B1251^2+C1251^2)</f>
        <v>22.7871690815432</v>
      </c>
      <c r="E1251" s="129" t="n">
        <f aca="false">20*LOG10(MAX(D1251,0.000000000001)/$K$3)</f>
        <v>27.1538074964723</v>
      </c>
    </row>
    <row r="1252" customFormat="false" ht="15" hidden="false" customHeight="false" outlineLevel="0" collapsed="false">
      <c r="A1252" s="122" t="n">
        <f aca="false">A1251+$F$3</f>
        <v>12460</v>
      </c>
      <c r="B1252" s="123" t="n">
        <f aca="false">SUMPRODUCT(固有振動数!$Q$6:$Q$22*(1-($A1252/固有振動数!$O$6:$O$22)^2)/((1-($A1252/固有振動数!$O$6:$O$22)^2)^2+固有振動数!$P$6:$P$22^2))</f>
        <v>-6.57407191951598</v>
      </c>
      <c r="C1252" s="123" t="n">
        <f aca="false">-SUMPRODUCT(固有振動数!$Q$6:$Q$22*固有振動数!$P$6:$P$22/((1-($A1252/固有振動数!$O$6:$O$22)^2)^2+固有振動数!$P$6:$P$22^2))</f>
        <v>-20.3527751820336</v>
      </c>
      <c r="D1252" s="124" t="n">
        <f aca="false">SQRT(B1252^2+C1252^2)</f>
        <v>21.3881714789594</v>
      </c>
      <c r="E1252" s="125" t="n">
        <f aca="false">20*LOG10(MAX(D1252,0.000000000001)/$K$3)</f>
        <v>26.6034731476789</v>
      </c>
    </row>
    <row r="1253" customFormat="false" ht="15" hidden="false" customHeight="false" outlineLevel="0" collapsed="false">
      <c r="A1253" s="126" t="n">
        <f aca="false">A1252+$F$3</f>
        <v>12470</v>
      </c>
      <c r="B1253" s="127" t="n">
        <f aca="false">SUMPRODUCT(固有振動数!$Q$6:$Q$22*(1-($A1253/固有振動数!$O$6:$O$22)^2)/((1-($A1253/固有振動数!$O$6:$O$22)^2)^2+固有振動数!$P$6:$P$22^2))</f>
        <v>-6.20892501307544</v>
      </c>
      <c r="C1253" s="127" t="n">
        <f aca="false">-SUMPRODUCT(固有振動数!$Q$6:$Q$22*固有振動数!$P$6:$P$22/((1-($A1253/固有振動数!$O$6:$O$22)^2)^2+固有振動数!$P$6:$P$22^2))</f>
        <v>-19.0907375233059</v>
      </c>
      <c r="D1253" s="128" t="n">
        <f aca="false">SQRT(B1253^2+C1253^2)</f>
        <v>20.0750344707488</v>
      </c>
      <c r="E1253" s="129" t="n">
        <f aca="false">20*LOG10(MAX(D1253,0.000000000001)/$K$3)</f>
        <v>26.0531259935281</v>
      </c>
    </row>
    <row r="1254" customFormat="false" ht="15" hidden="false" customHeight="false" outlineLevel="0" collapsed="false">
      <c r="A1254" s="122" t="n">
        <f aca="false">A1253+$F$3</f>
        <v>12480</v>
      </c>
      <c r="B1254" s="123" t="n">
        <f aca="false">SUMPRODUCT(固有振動数!$Q$6:$Q$22*(1-($A1254/固有振動数!$O$6:$O$22)^2)/((1-($A1254/固有振動数!$O$6:$O$22)^2)^2+固有振動数!$P$6:$P$22^2))</f>
        <v>-5.79226980362427</v>
      </c>
      <c r="C1254" s="123" t="n">
        <f aca="false">-SUMPRODUCT(固有振動数!$Q$6:$Q$22*固有振動数!$P$6:$P$22/((1-($A1254/固有振動数!$O$6:$O$22)^2)^2+固有振動数!$P$6:$P$22^2))</f>
        <v>-17.9337787657294</v>
      </c>
      <c r="D1254" s="124" t="n">
        <f aca="false">SQRT(B1254^2+C1254^2)</f>
        <v>18.8459759709097</v>
      </c>
      <c r="E1254" s="125" t="n">
        <f aca="false">20*LOG10(MAX(D1254,0.000000000001)/$K$3)</f>
        <v>25.5043726609237</v>
      </c>
    </row>
    <row r="1255" customFormat="false" ht="15" hidden="false" customHeight="false" outlineLevel="0" collapsed="false">
      <c r="A1255" s="126" t="n">
        <f aca="false">A1254+$F$3</f>
        <v>12490</v>
      </c>
      <c r="B1255" s="127" t="n">
        <f aca="false">SUMPRODUCT(固有振動数!$Q$6:$Q$22*(1-($A1255/固有振動数!$O$6:$O$22)^2)/((1-($A1255/固有振動数!$O$6:$O$22)^2)^2+固有振動数!$P$6:$P$22^2))</f>
        <v>-5.33694033108176</v>
      </c>
      <c r="C1255" s="127" t="n">
        <f aca="false">-SUMPRODUCT(固有振動数!$Q$6:$Q$22*固有振動数!$P$6:$P$22/((1-($A1255/固有振動数!$O$6:$O$22)^2)^2+固有振動数!$P$6:$P$22^2))</f>
        <v>-16.874882059518</v>
      </c>
      <c r="D1255" s="128" t="n">
        <f aca="false">SQRT(B1255^2+C1255^2)</f>
        <v>17.6987168071635</v>
      </c>
      <c r="E1255" s="129" t="n">
        <f aca="false">20*LOG10(MAX(D1255,0.000000000001)/$K$3)</f>
        <v>24.9588356054624</v>
      </c>
    </row>
    <row r="1256" customFormat="false" ht="15" hidden="false" customHeight="false" outlineLevel="0" collapsed="false">
      <c r="A1256" s="122" t="n">
        <f aca="false">A1255+$F$3</f>
        <v>12500</v>
      </c>
      <c r="B1256" s="123" t="n">
        <f aca="false">SUMPRODUCT(固有振動数!$Q$6:$Q$22*(1-($A1256/固有振動数!$O$6:$O$22)^2)/((1-($A1256/固有振動数!$O$6:$O$22)^2)^2+固有振動数!$P$6:$P$22^2))</f>
        <v>-4.85337348177256</v>
      </c>
      <c r="C1256" s="123" t="n">
        <f aca="false">-SUMPRODUCT(固有振動数!$Q$6:$Q$22*固有振動数!$P$6:$P$22/((1-($A1256/固有振動数!$O$6:$O$22)^2)^2+固有振動数!$P$6:$P$22^2))</f>
        <v>-15.9067979978813</v>
      </c>
      <c r="D1256" s="124" t="n">
        <f aca="false">SQRT(B1256^2+C1256^2)</f>
        <v>16.6307383088958</v>
      </c>
      <c r="E1256" s="125" t="n">
        <f aca="false">20*LOG10(MAX(D1256,0.000000000001)/$K$3)</f>
        <v>24.4182305963711</v>
      </c>
    </row>
    <row r="1257" customFormat="false" ht="15" hidden="false" customHeight="false" outlineLevel="0" collapsed="false">
      <c r="A1257" s="126" t="n">
        <f aca="false">A1256+$F$3</f>
        <v>12510</v>
      </c>
      <c r="B1257" s="127" t="n">
        <f aca="false">SUMPRODUCT(固有振動数!$Q$6:$Q$22*(1-($A1257/固有振動数!$O$6:$O$22)^2)/((1-($A1257/固有振動数!$O$6:$O$22)^2)^2+固有振動数!$P$6:$P$22^2))</f>
        <v>-4.34998130564835</v>
      </c>
      <c r="C1257" s="127" t="n">
        <f aca="false">-SUMPRODUCT(固有振動数!$Q$6:$Q$22*固有振動数!$P$6:$P$22/((1-($A1257/固有振動数!$O$6:$O$22)^2)^2+固有振動数!$P$6:$P$22^2))</f>
        <v>-15.0223422951802</v>
      </c>
      <c r="D1257" s="128" t="n">
        <f aca="false">SQRT(B1257^2+C1257^2)</f>
        <v>15.639472669916</v>
      </c>
      <c r="E1257" s="129" t="n">
        <f aca="false">20*LOG10(MAX(D1257,0.000000000001)/$K$3)</f>
        <v>23.8844421095065</v>
      </c>
    </row>
    <row r="1258" customFormat="false" ht="15" hidden="false" customHeight="false" outlineLevel="0" collapsed="false">
      <c r="A1258" s="122" t="n">
        <f aca="false">A1257+$F$3</f>
        <v>12520</v>
      </c>
      <c r="B1258" s="123" t="n">
        <f aca="false">SUMPRODUCT(固有振動数!$Q$6:$Q$22*(1-($A1258/固有振動数!$O$6:$O$22)^2)/((1-($A1258/固有振動数!$O$6:$O$22)^2)^2+固有振動数!$P$6:$P$22^2))</f>
        <v>-3.8334866523639</v>
      </c>
      <c r="C1258" s="123" t="n">
        <f aca="false">-SUMPRODUCT(固有振動数!$Q$6:$Q$22*固有振動数!$P$6:$P$22/((1-($A1258/固有振動数!$O$6:$O$22)^2)^2+固有振動数!$P$6:$P$22^2))</f>
        <v>-14.2145901719539</v>
      </c>
      <c r="D1258" s="124" t="n">
        <f aca="false">SQRT(B1258^2+C1258^2)</f>
        <v>14.7224384417276</v>
      </c>
      <c r="E1258" s="125" t="n">
        <f aca="false">20*LOG10(MAX(D1258,0.000000000001)/$K$3)</f>
        <v>23.3595949419888</v>
      </c>
    </row>
    <row r="1259" customFormat="false" ht="15" hidden="false" customHeight="false" outlineLevel="0" collapsed="false">
      <c r="A1259" s="126" t="n">
        <f aca="false">A1258+$F$3</f>
        <v>12530</v>
      </c>
      <c r="B1259" s="127" t="n">
        <f aca="false">SUMPRODUCT(固有振動数!$Q$6:$Q$22*(1-($A1259/固有振動数!$O$6:$O$22)^2)/((1-($A1259/固有振動数!$O$6:$O$22)^2)^2+固有振動数!$P$6:$P$22^2))</f>
        <v>-3.30921661328747</v>
      </c>
      <c r="C1259" s="127" t="n">
        <f aca="false">-SUMPRODUCT(固有振動数!$Q$6:$Q$22*固有振動数!$P$6:$P$22/((1-($A1259/固有振動数!$O$6:$O$22)^2)^2+固有振動数!$P$6:$P$22^2))</f>
        <v>-13.4769953881238</v>
      </c>
      <c r="D1259" s="128" t="n">
        <f aca="false">SQRT(B1259^2+C1259^2)</f>
        <v>13.8773311297659</v>
      </c>
      <c r="E1259" s="129" t="n">
        <f aca="false">20*LOG10(MAX(D1259,0.000000000001)/$K$3)</f>
        <v>22.846119024013</v>
      </c>
    </row>
    <row r="1260" customFormat="false" ht="15" hidden="false" customHeight="false" outlineLevel="0" collapsed="false">
      <c r="A1260" s="122" t="n">
        <f aca="false">A1259+$F$3</f>
        <v>12540</v>
      </c>
      <c r="B1260" s="123" t="n">
        <f aca="false">SUMPRODUCT(固有振動数!$Q$6:$Q$22*(1-($A1260/固有振動数!$O$6:$O$22)^2)/((1-($A1260/固有振動数!$O$6:$O$22)^2)^2+固有振動数!$P$6:$P$22^2))</f>
        <v>-2.78135361170804</v>
      </c>
      <c r="C1260" s="123" t="n">
        <f aca="false">-SUMPRODUCT(固有振動数!$Q$6:$Q$22*固有振動数!$P$6:$P$22/((1-($A1260/固有振動数!$O$6:$O$22)^2)^2+固有振動数!$P$6:$P$22^2))</f>
        <v>-12.8034556655186</v>
      </c>
      <c r="D1260" s="124" t="n">
        <f aca="false">SQRT(B1260^2+C1260^2)</f>
        <v>13.1020763580534</v>
      </c>
      <c r="E1260" s="125" t="n">
        <f aca="false">20*LOG10(MAX(D1260,0.000000000001)/$K$3)</f>
        <v>22.3468025228688</v>
      </c>
    </row>
    <row r="1261" customFormat="false" ht="15" hidden="false" customHeight="false" outlineLevel="0" collapsed="false">
      <c r="A1261" s="126" t="n">
        <f aca="false">A1260+$F$3</f>
        <v>12550</v>
      </c>
      <c r="B1261" s="127" t="n">
        <f aca="false">SUMPRODUCT(固有振動数!$Q$6:$Q$22*(1-($A1261/固有振動数!$O$6:$O$22)^2)/((1-($A1261/固有振動数!$O$6:$O$22)^2)^2+固有振動数!$P$6:$P$22^2))</f>
        <v>-2.25314693097696</v>
      </c>
      <c r="C1261" s="127" t="n">
        <f aca="false">-SUMPRODUCT(固有振動数!$Q$6:$Q$22*固有振動数!$P$6:$P$22/((1-($A1261/固有振動数!$O$6:$O$22)^2)^2+固有振動数!$P$6:$P$22^2))</f>
        <v>-12.1883409416462</v>
      </c>
      <c r="D1261" s="128" t="n">
        <f aca="false">SQRT(B1261^2+C1261^2)</f>
        <v>12.3948507858054</v>
      </c>
      <c r="E1261" s="129" t="n">
        <f aca="false">20*LOG10(MAX(D1261,0.000000000001)/$K$3)</f>
        <v>21.8648260584763</v>
      </c>
    </row>
    <row r="1262" customFormat="false" ht="15" hidden="false" customHeight="false" outlineLevel="0" collapsed="false">
      <c r="A1262" s="122" t="n">
        <f aca="false">A1261+$F$3</f>
        <v>12560</v>
      </c>
      <c r="B1262" s="123" t="n">
        <f aca="false">SUMPRODUCT(固有振動数!$Q$6:$Q$22*(1-($A1262/固有振動数!$O$6:$O$22)^2)/((1-($A1262/固有振動数!$O$6:$O$22)^2)^2+固有振動数!$P$6:$P$22^2))</f>
        <v>-1.72708887275842</v>
      </c>
      <c r="C1262" s="123" t="n">
        <f aca="false">-SUMPRODUCT(固有振動数!$Q$6:$Q$22*固有振動数!$P$6:$P$22/((1-($A1262/固有振動数!$O$6:$O$22)^2)^2+固有振動数!$P$6:$P$22^2))</f>
        <v>-11.6264966076849</v>
      </c>
      <c r="D1262" s="124" t="n">
        <f aca="false">SQRT(B1262^2+C1262^2)</f>
        <v>11.7540741593251</v>
      </c>
      <c r="E1262" s="125" t="n">
        <f aca="false">20*LOG10(MAX(D1262,0.000000000001)/$K$3)</f>
        <v>21.40376852914</v>
      </c>
    </row>
    <row r="1263" customFormat="false" ht="15" hidden="false" customHeight="false" outlineLevel="0" collapsed="false">
      <c r="A1263" s="126" t="n">
        <f aca="false">A1262+$F$3</f>
        <v>12570</v>
      </c>
      <c r="B1263" s="127" t="n">
        <f aca="false">SUMPRODUCT(固有振動数!$Q$6:$Q$22*(1-($A1263/固有振動数!$O$6:$O$22)^2)/((1-($A1263/固有振動数!$O$6:$O$22)^2)^2+固有振動数!$P$6:$P$22^2))</f>
        <v>-1.20506019748614</v>
      </c>
      <c r="C1263" s="127" t="n">
        <f aca="false">-SUMPRODUCT(固有振動数!$Q$6:$Q$22*固有振動数!$P$6:$P$22/((1-($A1263/固有振動数!$O$6:$O$22)^2)^2+固有振動数!$P$6:$P$22^2))</f>
        <v>-11.1132305382845</v>
      </c>
      <c r="D1263" s="128" t="n">
        <f aca="false">SQRT(B1263^2+C1263^2)</f>
        <v>11.1783747958558</v>
      </c>
      <c r="E1263" s="129" t="n">
        <f aca="false">20*LOG10(MAX(D1263,0.000000000001)/$K$3)</f>
        <v>20.9675733366645</v>
      </c>
    </row>
    <row r="1264" customFormat="false" ht="15" hidden="false" customHeight="false" outlineLevel="0" collapsed="false">
      <c r="A1264" s="122" t="n">
        <f aca="false">A1263+$F$3</f>
        <v>12580</v>
      </c>
      <c r="B1264" s="123" t="n">
        <f aca="false">SUMPRODUCT(固有振動数!$Q$6:$Q$22*(1-($A1264/固有振動数!$O$6:$O$22)^2)/((1-($A1264/固有振動数!$O$6:$O$22)^2)^2+固有振動数!$P$6:$P$22^2))</f>
        <v>-0.688449418799945</v>
      </c>
      <c r="C1264" s="123" t="n">
        <f aca="false">-SUMPRODUCT(固有振動数!$Q$6:$Q$22*固有振動数!$P$6:$P$22/((1-($A1264/固有振動数!$O$6:$O$22)^2)^2+固有振動数!$P$6:$P$22^2))</f>
        <v>-10.6442901804706</v>
      </c>
      <c r="D1264" s="124" t="n">
        <f aca="false">SQRT(B1264^2+C1264^2)</f>
        <v>10.6665306472306</v>
      </c>
      <c r="E1264" s="125" t="n">
        <f aca="false">20*LOG10(MAX(D1264,0.000000000001)/$K$3)</f>
        <v>20.5604637103789</v>
      </c>
    </row>
    <row r="1265" customFormat="false" ht="15" hidden="false" customHeight="false" outlineLevel="0" collapsed="false">
      <c r="A1265" s="126" t="n">
        <f aca="false">A1264+$F$3</f>
        <v>12590</v>
      </c>
      <c r="B1265" s="127" t="n">
        <f aca="false">SUMPRODUCT(固有振動数!$Q$6:$Q$22*(1-($A1265/固有振動数!$O$6:$O$22)^2)/((1-($A1265/固有振動数!$O$6:$O$22)^2)^2+固有振動数!$P$6:$P$22^2))</f>
        <v>-0.178250161195238</v>
      </c>
      <c r="C1265" s="127" t="n">
        <f aca="false">-SUMPRODUCT(固有振動数!$Q$6:$Q$22*固有振動数!$P$6:$P$22/((1-($A1265/固有振動数!$O$6:$O$22)^2)^2+固有振動数!$P$6:$P$22^2))</f>
        <v>-10.2158340794399</v>
      </c>
      <c r="D1265" s="128" t="n">
        <f aca="false">SQRT(B1265^2+C1265^2)</f>
        <v>10.2173890529143</v>
      </c>
      <c r="E1265" s="129" t="n">
        <f aca="false">20*LOG10(MAX(D1265,0.000000000001)/$K$3)</f>
        <v>20.1867986111202</v>
      </c>
    </row>
    <row r="1266" customFormat="false" ht="15" hidden="false" customHeight="false" outlineLevel="0" collapsed="false">
      <c r="A1266" s="122" t="n">
        <f aca="false">A1265+$F$3</f>
        <v>12600</v>
      </c>
      <c r="B1266" s="123" t="n">
        <f aca="false">SUMPRODUCT(固有振動数!$Q$6:$Q$22*(1-($A1266/固有振動数!$O$6:$O$22)^2)/((1-($A1266/固有振動数!$O$6:$O$22)^2)^2+固有振動数!$P$6:$P$22^2))</f>
        <v>0.324859695744983</v>
      </c>
      <c r="C1266" s="123" t="n">
        <f aca="false">-SUMPRODUCT(固有振動数!$Q$6:$Q$22*固有振動数!$P$6:$P$22/((1-($A1266/固有振動数!$O$6:$O$22)^2)^2+固有振動数!$P$6:$P$22^2))</f>
        <v>-9.82440083706342</v>
      </c>
      <c r="D1266" s="124" t="n">
        <f aca="false">SQRT(B1266^2+C1266^2)</f>
        <v>9.82977037520266</v>
      </c>
      <c r="E1266" s="125" t="n">
        <f aca="false">20*LOG10(MAX(D1266,0.000000000001)/$K$3)</f>
        <v>19.8508674554277</v>
      </c>
    </row>
    <row r="1267" customFormat="false" ht="15" hidden="false" customHeight="false" outlineLevel="0" collapsed="false">
      <c r="A1267" s="126" t="n">
        <f aca="false">A1266+$F$3</f>
        <v>12610</v>
      </c>
      <c r="B1267" s="127" t="n">
        <f aca="false">SUMPRODUCT(固有振動数!$Q$6:$Q$22*(1-($A1267/固有振動数!$O$6:$O$22)^2)/((1-($A1267/固有振動数!$O$6:$O$22)^2)^2+固有振動数!$P$6:$P$22^2))</f>
        <v>0.820453879062565</v>
      </c>
      <c r="C1267" s="127" t="n">
        <f aca="false">-SUMPRODUCT(固有振動数!$Q$6:$Q$22*固有振動数!$P$6:$P$22/((1-($A1267/固有振動数!$O$6:$O$22)^2)^2+固有振動数!$P$6:$P$22^2))</f>
        <v>-9.46687750283526</v>
      </c>
      <c r="D1267" s="128" t="n">
        <f aca="false">SQRT(B1267^2+C1267^2)</f>
        <v>9.50236361235231</v>
      </c>
      <c r="E1267" s="129" t="n">
        <f aca="false">20*LOG10(MAX(D1267,0.000000000001)/$K$3)</f>
        <v>19.5566328976199</v>
      </c>
    </row>
    <row r="1268" customFormat="false" ht="15" hidden="false" customHeight="false" outlineLevel="0" collapsed="false">
      <c r="A1268" s="122" t="n">
        <f aca="false">A1267+$F$3</f>
        <v>12620</v>
      </c>
      <c r="B1268" s="123" t="n">
        <f aca="false">SUMPRODUCT(固有振動数!$Q$6:$Q$22*(1-($A1268/固有振動数!$O$6:$O$22)^2)/((1-($A1268/固有振動数!$O$6:$O$22)^2)^2+固有振動数!$P$6:$P$22^2))</f>
        <v>1.30830587727709</v>
      </c>
      <c r="C1268" s="123" t="n">
        <f aca="false">-SUMPRODUCT(固有振動数!$Q$6:$Q$22*固有振動数!$P$6:$P$22/((1-($A1268/固有振動数!$O$6:$O$22)^2)^2+固有振動数!$P$6:$P$22^2))</f>
        <v>-9.14046868876969</v>
      </c>
      <c r="D1268" s="124" t="n">
        <f aca="false">SQRT(B1268^2+C1268^2)</f>
        <v>9.23362508004829</v>
      </c>
      <c r="E1268" s="125" t="n">
        <f aca="false">20*LOG10(MAX(D1268,0.000000000001)/$K$3)</f>
        <v>19.3074447316323</v>
      </c>
    </row>
    <row r="1269" customFormat="false" ht="15" hidden="false" customHeight="false" outlineLevel="0" collapsed="false">
      <c r="A1269" s="126" t="n">
        <f aca="false">A1268+$F$3</f>
        <v>12630</v>
      </c>
      <c r="B1269" s="127" t="n">
        <f aca="false">SUMPRODUCT(固有振動数!$Q$6:$Q$22*(1-($A1269/固有振動数!$O$6:$O$22)^2)/((1-($A1269/固有振動数!$O$6:$O$22)^2)^2+固有振動数!$P$6:$P$22^2))</f>
        <v>1.78834712374389</v>
      </c>
      <c r="C1269" s="127" t="n">
        <f aca="false">-SUMPRODUCT(固有振動数!$Q$6:$Q$22*固有振動数!$P$6:$P$22/((1-($A1269/固有振動数!$O$6:$O$22)^2)^2+固有振動数!$P$6:$P$22^2))</f>
        <v>-8.84266720307868</v>
      </c>
      <c r="D1269" s="128" t="n">
        <f aca="false">SQRT(B1269^2+C1269^2)</f>
        <v>9.02169322795928</v>
      </c>
      <c r="E1269" s="129" t="n">
        <f aca="false">20*LOG10(MAX(D1269,0.000000000001)/$K$3)</f>
        <v>19.1057611068197</v>
      </c>
    </row>
    <row r="1270" customFormat="false" ht="15" hidden="false" customHeight="false" outlineLevel="0" collapsed="false">
      <c r="A1270" s="122" t="n">
        <f aca="false">A1269+$F$3</f>
        <v>12640</v>
      </c>
      <c r="B1270" s="123" t="n">
        <f aca="false">SUMPRODUCT(固有振動数!$Q$6:$Q$22*(1-($A1270/固有振動数!$O$6:$O$22)^2)/((1-($A1270/固有振動数!$O$6:$O$22)^2)^2+固有振動数!$P$6:$P$22^2))</f>
        <v>2.26063333580967</v>
      </c>
      <c r="C1270" s="123" t="n">
        <f aca="false">-SUMPRODUCT(固有振動数!$Q$6:$Q$22*固有振動数!$P$6:$P$22/((1-($A1270/固有振動数!$O$6:$O$22)^2)^2+固有振動数!$P$6:$P$22^2))</f>
        <v>-8.5712266543586</v>
      </c>
      <c r="D1270" s="124" t="n">
        <f aca="false">SQRT(B1270^2+C1270^2)</f>
        <v>8.86433243055343</v>
      </c>
      <c r="E1270" s="125" t="n">
        <f aca="false">20*LOG10(MAX(D1270,0.000000000001)/$K$3)</f>
        <v>18.9529206923798</v>
      </c>
    </row>
    <row r="1271" customFormat="false" ht="15" hidden="false" customHeight="false" outlineLevel="0" collapsed="false">
      <c r="A1271" s="126" t="n">
        <f aca="false">A1270+$F$3</f>
        <v>12650</v>
      </c>
      <c r="B1271" s="127" t="n">
        <f aca="false">SUMPRODUCT(固有振動数!$Q$6:$Q$22*(1-($A1271/固有振動数!$O$6:$O$22)^2)/((1-($A1271/固有振動数!$O$6:$O$22)^2)^2+固有振動数!$P$6:$P$22^2))</f>
        <v>2.72531747179298</v>
      </c>
      <c r="C1271" s="127" t="n">
        <f aca="false">-SUMPRODUCT(固有振動数!$Q$6:$Q$22*固有振動数!$P$6:$P$22/((1-($A1271/固有振動数!$O$6:$O$22)^2)^2+固有振動数!$P$6:$P$22^2))</f>
        <v>-8.32413624519373</v>
      </c>
      <c r="D1271" s="128" t="n">
        <f aca="false">SQRT(B1271^2+C1271^2)</f>
        <v>8.75891543232426</v>
      </c>
      <c r="E1271" s="129" t="n">
        <f aca="false">20*LOG10(MAX(D1271,0.000000000001)/$K$3)</f>
        <v>18.8490066646456</v>
      </c>
    </row>
    <row r="1272" customFormat="false" ht="15" hidden="false" customHeight="false" outlineLevel="0" collapsed="false">
      <c r="A1272" s="122" t="n">
        <f aca="false">A1271+$F$3</f>
        <v>12660</v>
      </c>
      <c r="B1272" s="123" t="n">
        <f aca="false">SUMPRODUCT(固有振動数!$Q$6:$Q$22*(1-($A1272/固有振動数!$O$6:$O$22)^2)/((1-($A1272/固有振動数!$O$6:$O$22)^2)^2+固有振動数!$P$6:$P$22^2))</f>
        <v>3.18262804903554</v>
      </c>
      <c r="C1272" s="123" t="n">
        <f aca="false">-SUMPRODUCT(固有振動数!$Q$6:$Q$22*固有振動数!$P$6:$P$22/((1-($A1272/固有振動数!$O$6:$O$22)^2)^2+固有振動数!$P$6:$P$22^2))</f>
        <v>-8.09959781966724</v>
      </c>
      <c r="D1272" s="124" t="n">
        <f aca="false">SQRT(B1272^2+C1272^2)</f>
        <v>8.70244828418221</v>
      </c>
      <c r="E1272" s="125" t="n">
        <f aca="false">20*LOG10(MAX(D1272,0.000000000001)/$K$3)</f>
        <v>18.7928290218648</v>
      </c>
    </row>
    <row r="1273" customFormat="false" ht="15" hidden="false" customHeight="false" outlineLevel="0" collapsed="false">
      <c r="A1273" s="126" t="n">
        <f aca="false">A1272+$F$3</f>
        <v>12670</v>
      </c>
      <c r="B1273" s="127" t="n">
        <f aca="false">SUMPRODUCT(固有振動数!$Q$6:$Q$22*(1-($A1273/固有振動数!$O$6:$O$22)^2)/((1-($A1273/固有振動数!$O$6:$O$22)^2)^2+固有振動数!$P$6:$P$22^2))</f>
        <v>3.63285179976017</v>
      </c>
      <c r="C1273" s="127" t="n">
        <f aca="false">-SUMPRODUCT(固有振動数!$Q$6:$Q$22*固有振動数!$P$6:$P$22/((1-($A1273/固有振動数!$O$6:$O$22)^2)^2+固有振動数!$P$6:$P$22^2))</f>
        <v>-7.89600513003105</v>
      </c>
      <c r="D1273" s="128" t="n">
        <f aca="false">SQRT(B1273^2+C1273^2)</f>
        <v>8.69163443849874</v>
      </c>
      <c r="E1273" s="129" t="n">
        <f aca="false">20*LOG10(MAX(D1273,0.000000000001)/$K$3)</f>
        <v>18.7820290407714</v>
      </c>
    </row>
    <row r="1274" customFormat="false" ht="15" hidden="false" customHeight="false" outlineLevel="0" collapsed="false">
      <c r="A1274" s="122" t="n">
        <f aca="false">A1273+$F$3</f>
        <v>12680</v>
      </c>
      <c r="B1274" s="123" t="n">
        <f aca="false">SUMPRODUCT(固有振動数!$Q$6:$Q$22*(1-($A1274/固有振動数!$O$6:$O$22)^2)/((1-($A1274/固有振動数!$O$6:$O$22)^2)^2+固有振動数!$P$6:$P$22^2))</f>
        <v>4.07631983368857</v>
      </c>
      <c r="C1274" s="123" t="n">
        <f aca="false">-SUMPRODUCT(固有振動数!$Q$6:$Q$22*固有振動数!$P$6:$P$22/((1-($A1274/固有振動数!$O$6:$O$22)^2)^2+固有振動数!$P$6:$P$22^2))</f>
        <v>-7.71192522695283</v>
      </c>
      <c r="D1274" s="124" t="n">
        <f aca="false">SQRT(B1274^2+C1274^2)</f>
        <v>8.72296819280194</v>
      </c>
      <c r="E1274" s="125" t="n">
        <f aca="false">20*LOG10(MAX(D1274,0.000000000001)/$K$3)</f>
        <v>18.8132857775785</v>
      </c>
    </row>
    <row r="1275" customFormat="false" ht="15" hidden="false" customHeight="false" outlineLevel="0" collapsed="false">
      <c r="A1275" s="126" t="n">
        <f aca="false">A1274+$F$3</f>
        <v>12690</v>
      </c>
      <c r="B1275" s="127" t="n">
        <f aca="false">SUMPRODUCT(固有振動数!$Q$6:$Q$22*(1-($A1275/固有振動数!$O$6:$O$22)^2)/((1-($A1275/固有振動数!$O$6:$O$22)^2)^2+固有振動数!$P$6:$P$22^2))</f>
        <v>4.51339663361728</v>
      </c>
      <c r="C1275" s="127" t="n">
        <f aca="false">-SUMPRODUCT(固有振動数!$Q$6:$Q$22*固有振動数!$P$6:$P$22/((1-($A1275/固有振動数!$O$6:$O$22)^2)^2+固有振動数!$P$6:$P$22^2))</f>
        <v>-7.54608184332937</v>
      </c>
      <c r="D1275" s="128" t="n">
        <f aca="false">SQRT(B1275^2+C1275^2)</f>
        <v>8.79284370147525</v>
      </c>
      <c r="E1275" s="129" t="n">
        <f aca="false">20*LOG10(MAX(D1275,0.000000000001)/$K$3)</f>
        <v>18.8825870671876</v>
      </c>
    </row>
    <row r="1276" customFormat="false" ht="15" hidden="false" customHeight="false" outlineLevel="0" collapsed="false">
      <c r="A1276" s="122" t="n">
        <f aca="false">A1275+$F$3</f>
        <v>12700</v>
      </c>
      <c r="B1276" s="123" t="n">
        <f aca="false">SUMPRODUCT(固有振動数!$Q$6:$Q$22*(1-($A1276/固有振動数!$O$6:$O$22)^2)/((1-($A1276/固有振動数!$O$6:$O$22)^2)^2+固有振動数!$P$6:$P$22^2))</f>
        <v>4.94447133819563</v>
      </c>
      <c r="C1276" s="123" t="n">
        <f aca="false">-SUMPRODUCT(固有振動数!$Q$6:$Q$22*固有振動数!$P$6:$P$22/((1-($A1276/固有振動数!$O$6:$O$22)^2)^2+固有振動数!$P$6:$P$22^2))</f>
        <v>-7.39734062509558</v>
      </c>
      <c r="D1276" s="124" t="n">
        <f aca="false">SQRT(B1276^2+C1276^2)</f>
        <v>8.89766515092176</v>
      </c>
      <c r="E1276" s="125" t="n">
        <f aca="false">20*LOG10(MAX(D1276,0.000000000001)/$K$3)</f>
        <v>18.985521155138</v>
      </c>
    </row>
    <row r="1277" customFormat="false" ht="15" hidden="false" customHeight="false" outlineLevel="0" collapsed="false">
      <c r="A1277" s="126" t="n">
        <f aca="false">A1276+$F$3</f>
        <v>12710</v>
      </c>
      <c r="B1277" s="127" t="n">
        <f aca="false">SUMPRODUCT(固有振動数!$Q$6:$Q$22*(1-($A1277/固有振動数!$O$6:$O$22)^2)/((1-($A1277/固有振動数!$O$6:$O$22)^2)^2+固有振動数!$P$6:$P$22^2))</f>
        <v>5.36995087005847</v>
      </c>
      <c r="C1277" s="127" t="n">
        <f aca="false">-SUMPRODUCT(固有振動数!$Q$6:$Q$22*固有振動数!$P$6:$P$22/((1-($A1277/固有振動数!$O$6:$O$22)^2)^2+固有振動数!$P$6:$P$22^2))</f>
        <v>-7.26469605775322</v>
      </c>
      <c r="D1277" s="128" t="n">
        <f aca="false">SQRT(B1277^2+C1277^2)</f>
        <v>9.03394604579731</v>
      </c>
      <c r="E1277" s="129" t="n">
        <f aca="false">20*LOG10(MAX(D1277,0.000000000001)/$K$3)</f>
        <v>19.1175498491866</v>
      </c>
    </row>
    <row r="1278" customFormat="false" ht="15" hidden="false" customHeight="false" outlineLevel="0" collapsed="false">
      <c r="A1278" s="122" t="n">
        <f aca="false">A1277+$F$3</f>
        <v>12720</v>
      </c>
      <c r="B1278" s="123" t="n">
        <f aca="false">SUMPRODUCT(固有振動数!$Q$6:$Q$22*(1-($A1278/固有振動数!$O$6:$O$22)^2)/((1-($A1278/固有振動数!$O$6:$O$22)^2)^2+固有振動数!$P$6:$P$22^2))</f>
        <v>5.79025455157134</v>
      </c>
      <c r="C1278" s="123" t="n">
        <f aca="false">-SUMPRODUCT(固有振動数!$Q$6:$Q$22*固有振動数!$P$6:$P$22/((1-($A1278/固有振動数!$O$6:$O$22)^2)^2+固有振動数!$P$6:$P$22^2))</f>
        <v>-7.14725994028925</v>
      </c>
      <c r="D1278" s="124" t="n">
        <f aca="false">SQRT(B1278^2+C1278^2)</f>
        <v>9.19838966483026</v>
      </c>
      <c r="E1278" s="125" t="n">
        <f aca="false">20*LOG10(MAX(D1278,0.000000000001)/$K$3)</f>
        <v>19.2742360667109</v>
      </c>
    </row>
    <row r="1279" customFormat="false" ht="15" hidden="false" customHeight="false" outlineLevel="0" collapsed="false">
      <c r="A1279" s="126" t="n">
        <f aca="false">A1278+$F$3</f>
        <v>12730</v>
      </c>
      <c r="B1279" s="127" t="n">
        <f aca="false">SUMPRODUCT(固有振動数!$Q$6:$Q$22*(1-($A1279/固有振動数!$O$6:$O$22)^2)/((1-($A1279/固有振動数!$O$6:$O$22)^2)^2+固有振動数!$P$6:$P$22^2))</f>
        <v>6.20580991838472</v>
      </c>
      <c r="C1279" s="127" t="n">
        <f aca="false">-SUMPRODUCT(固有振動数!$Q$6:$Q$22*固有振動数!$P$6:$P$22/((1-($A1279/固有振動数!$O$6:$O$22)^2)^2+固有振動数!$P$6:$P$22^2))</f>
        <v>-7.04425126583942</v>
      </c>
      <c r="D1279" s="128" t="n">
        <f aca="false">SQRT(B1279^2+C1279^2)</f>
        <v>9.38794720050142</v>
      </c>
      <c r="E1279" s="129" t="n">
        <f aca="false">20*LOG10(MAX(D1279,0.000000000001)/$K$3)</f>
        <v>19.4514127676675</v>
      </c>
    </row>
    <row r="1280" customFormat="false" ht="15" hidden="false" customHeight="false" outlineLevel="0" collapsed="false">
      <c r="A1280" s="122" t="n">
        <f aca="false">A1279+$F$3</f>
        <v>12740</v>
      </c>
      <c r="B1280" s="123" t="n">
        <f aca="false">SUMPRODUCT(固有振動数!$Q$6:$Q$22*(1-($A1280/固有振動数!$O$6:$O$22)^2)/((1-($A1280/固有振動数!$O$6:$O$22)^2)^2+固有振動数!$P$6:$P$22^2))</f>
        <v>6.61704949577101</v>
      </c>
      <c r="C1280" s="123" t="n">
        <f aca="false">-SUMPRODUCT(固有振動数!$Q$6:$Q$22*固有振動数!$P$6:$P$22/((1-($A1280/固有振動数!$O$6:$O$22)^2)^2+固有振動数!$P$6:$P$22^2))</f>
        <v>-6.95498737889759</v>
      </c>
      <c r="D1280" s="124" t="n">
        <f aca="false">SQRT(B1280^2+C1280^2)</f>
        <v>9.59985382545527</v>
      </c>
      <c r="E1280" s="125" t="n">
        <f aca="false">20*LOG10(MAX(D1280,0.000000000001)/$K$3)</f>
        <v>19.6452924039549</v>
      </c>
    </row>
    <row r="1281" customFormat="false" ht="15" hidden="false" customHeight="false" outlineLevel="0" collapsed="false">
      <c r="A1281" s="126" t="n">
        <f aca="false">A1280+$F$3</f>
        <v>12750</v>
      </c>
      <c r="B1281" s="127" t="n">
        <f aca="false">SUMPRODUCT(固有振動数!$Q$6:$Q$22*(1-($A1281/固有振動数!$O$6:$O$22)^2)/((1-($A1281/固有振動数!$O$6:$O$22)^2)^2+固有振動数!$P$6:$P$22^2))</f>
        <v>7.02440834681991</v>
      </c>
      <c r="C1281" s="127" t="n">
        <f aca="false">-SUMPRODUCT(固有振動数!$Q$6:$Q$22*固有振動数!$P$6:$P$22/((1-($A1281/固有振動数!$O$6:$O$22)^2)^2+固有振動数!$P$6:$P$22^2))</f>
        <v>-6.87887629073036</v>
      </c>
      <c r="D1281" s="128" t="n">
        <f aca="false">SQRT(B1281^2+C1281^2)</f>
        <v>9.83164541905603</v>
      </c>
      <c r="E1281" s="129" t="n">
        <f aca="false">20*LOG10(MAX(D1281,0.000000000001)/$K$3)</f>
        <v>19.852524144264</v>
      </c>
    </row>
    <row r="1282" customFormat="false" ht="15" hidden="false" customHeight="false" outlineLevel="0" collapsed="false">
      <c r="A1282" s="122" t="n">
        <f aca="false">A1281+$F$3</f>
        <v>12760</v>
      </c>
      <c r="B1282" s="123" t="n">
        <f aca="false">SUMPRODUCT(固有振動数!$Q$6:$Q$22*(1-($A1282/固有振動数!$O$6:$O$22)^2)/((1-($A1282/固有振動数!$O$6:$O$22)^2)^2+固有振動数!$P$6:$P$22^2))</f>
        <v>7.42832223699191</v>
      </c>
      <c r="C1282" s="123" t="n">
        <f aca="false">-SUMPRODUCT(固有振動数!$Q$6:$Q$22*固有振動数!$P$6:$P$22/((1-($A1282/固有振動数!$O$6:$O$22)^2)^2+固有振動数!$P$6:$P$22^2))</f>
        <v>-6.81541004706104</v>
      </c>
      <c r="D1282" s="124" t="n">
        <f aca="false">SQRT(B1282^2+C1282^2)</f>
        <v>10.0811599216642</v>
      </c>
      <c r="E1282" s="125" t="n">
        <f aca="false">20*LOG10(MAX(D1282,0.000000000001)/$K$3)</f>
        <v>20.0702100838507</v>
      </c>
    </row>
    <row r="1283" customFormat="false" ht="15" hidden="false" customHeight="false" outlineLevel="0" collapsed="false">
      <c r="A1283" s="126" t="n">
        <f aca="false">A1282+$F$3</f>
        <v>12770</v>
      </c>
      <c r="B1283" s="127" t="n">
        <f aca="false">SUMPRODUCT(固有振動数!$Q$6:$Q$22*(1-($A1283/固有振動数!$O$6:$O$22)^2)/((1-($A1283/固有振動数!$O$6:$O$22)^2)^2+固有振動数!$P$6:$P$22^2))</f>
        <v>7.82922628791398</v>
      </c>
      <c r="C1283" s="127" t="n">
        <f aca="false">-SUMPRODUCT(固有振動数!$Q$6:$Q$22*固有振動数!$P$6:$P$22/((1-($A1283/固有振動数!$O$6:$O$22)^2)^2+固有振動数!$P$6:$P$22^2))</f>
        <v>-6.76415905447574</v>
      </c>
      <c r="D1283" s="128" t="n">
        <f aca="false">SQRT(B1283^2+C1283^2)</f>
        <v>10.3465275325401</v>
      </c>
      <c r="E1283" s="129" t="n">
        <f aca="false">20*LOG10(MAX(D1283,0.000000000001)/$K$3)</f>
        <v>20.2958923552878</v>
      </c>
    </row>
    <row r="1284" customFormat="false" ht="15" hidden="false" customHeight="false" outlineLevel="0" collapsed="false">
      <c r="A1284" s="122" t="n">
        <f aca="false">A1283+$F$3</f>
        <v>12780</v>
      </c>
      <c r="B1284" s="123" t="n">
        <f aca="false">SUMPRODUCT(固有振動数!$Q$6:$Q$22*(1-($A1284/固有振動数!$O$6:$O$22)^2)/((1-($A1284/固有振動数!$O$6:$O$22)^2)^2+固有振動数!$P$6:$P$22^2))</f>
        <v>8.22755401595085</v>
      </c>
      <c r="C1284" s="123" t="n">
        <f aca="false">-SUMPRODUCT(固有振動数!$Q$6:$Q$22*固有振動数!$P$6:$P$22/((1-($A1284/固有振動数!$O$6:$O$22)^2)^2+固有振動数!$P$6:$P$22^2))</f>
        <v>-6.72476728404256</v>
      </c>
      <c r="D1284" s="124" t="n">
        <f aca="false">SQRT(B1284^2+C1284^2)</f>
        <v>10.626153589607</v>
      </c>
      <c r="E1284" s="125" t="n">
        <f aca="false">20*LOG10(MAX(D1284,0.000000000001)/$K$3)</f>
        <v>20.5275217775627</v>
      </c>
    </row>
    <row r="1285" customFormat="false" ht="15" hidden="false" customHeight="false" outlineLevel="0" collapsed="false">
      <c r="A1285" s="126" t="n">
        <f aca="false">A1284+$F$3</f>
        <v>12790</v>
      </c>
      <c r="B1285" s="127" t="n">
        <f aca="false">SUMPRODUCT(固有振動数!$Q$6:$Q$22*(1-($A1285/固有振動数!$O$6:$O$22)^2)/((1-($A1285/固有振動数!$O$6:$O$22)^2)^2+固有振動数!$P$6:$P$22^2))</f>
        <v>8.62373666905283</v>
      </c>
      <c r="C1285" s="127" t="n">
        <f aca="false">-SUMPRODUCT(固有振動数!$Q$6:$Q$22*固有振動数!$P$6:$P$22/((1-($A1285/固有振動数!$O$6:$O$22)^2)^2+固有振動数!$P$6:$P$22^2))</f>
        <v>-6.69694828213911</v>
      </c>
      <c r="D1285" s="128" t="n">
        <f aca="false">SQRT(B1285^2+C1285^2)</f>
        <v>10.9186972863438</v>
      </c>
      <c r="E1285" s="129" t="n">
        <f aca="false">20*LOG10(MAX(D1285,0.000000000001)/$K$3)</f>
        <v>20.7634165126095</v>
      </c>
    </row>
    <row r="1286" customFormat="false" ht="15" hidden="false" customHeight="false" outlineLevel="0" collapsed="false">
      <c r="A1286" s="122" t="n">
        <f aca="false">A1285+$F$3</f>
        <v>12800</v>
      </c>
      <c r="B1286" s="123" t="n">
        <f aca="false">SUMPRODUCT(固有振動数!$Q$6:$Q$22*(1-($A1286/固有振動数!$O$6:$O$22)^2)/((1-($A1286/固有振動数!$O$6:$O$22)^2)^2+固有振動数!$P$6:$P$22^2))</f>
        <v>9.01820278948974</v>
      </c>
      <c r="C1286" s="123" t="n">
        <f aca="false">-SUMPRODUCT(固有振動数!$Q$6:$Q$22*固有振動数!$P$6:$P$22/((1-($A1286/固有振動数!$O$6:$O$22)^2)^2+固有振動数!$P$6:$P$22^2))</f>
        <v>-6.68048192937628</v>
      </c>
      <c r="D1286" s="124" t="n">
        <f aca="false">SQRT(B1286^2+C1286^2)</f>
        <v>11.2230486215236</v>
      </c>
      <c r="E1286" s="125" t="n">
        <f aca="false">20*LOG10(MAX(D1286,0.000000000001)/$K$3)</f>
        <v>21.002216888249</v>
      </c>
    </row>
    <row r="1287" customFormat="false" ht="15" hidden="false" customHeight="false" outlineLevel="0" collapsed="false">
      <c r="A1287" s="126" t="n">
        <f aca="false">A1286+$F$3</f>
        <v>12810</v>
      </c>
      <c r="B1287" s="127" t="n">
        <f aca="false">SUMPRODUCT(固有振動数!$Q$6:$Q$22*(1-($A1287/固有振動数!$O$6:$O$22)^2)/((1-($A1287/固有振動数!$O$6:$O$22)^2)^2+固有振動数!$P$6:$P$22^2))</f>
        <v>9.41137794099728</v>
      </c>
      <c r="C1287" s="127" t="n">
        <f aca="false">-SUMPRODUCT(固有振動数!$Q$6:$Q$22*固有振動数!$P$6:$P$22/((1-($A1287/固有振動数!$O$6:$O$22)^2)^2+固有振動数!$P$6:$P$22^2))</f>
        <v>-6.67521189877</v>
      </c>
      <c r="D1287" s="128" t="n">
        <f aca="false">SQRT(B1287^2+C1287^2)</f>
        <v>11.5383052759827</v>
      </c>
      <c r="E1287" s="129" t="n">
        <f aca="false">20*LOG10(MAX(D1287,0.000000000001)/$K$3)</f>
        <v>21.2428405033644</v>
      </c>
    </row>
    <row r="1288" customFormat="false" ht="15" hidden="false" customHeight="false" outlineLevel="0" collapsed="false">
      <c r="A1288" s="122" t="n">
        <f aca="false">A1287+$F$3</f>
        <v>12820</v>
      </c>
      <c r="B1288" s="123" t="n">
        <f aca="false">SUMPRODUCT(固有振動数!$Q$6:$Q$22*(1-($A1288/固有振動数!$O$6:$O$22)^2)/((1-($A1288/固有振動数!$O$6:$O$22)^2)^2+固有振動数!$P$6:$P$22^2))</f>
        <v>9.80368454708592</v>
      </c>
      <c r="C1288" s="123" t="n">
        <f aca="false">-SUMPRODUCT(固有振動数!$Q$6:$Q$22*固有振動数!$P$6:$P$22/((1-($A1288/固有振動数!$O$6:$O$22)^2)^2+固有振動数!$P$6:$P$22^2))</f>
        <v>-6.68104377398743</v>
      </c>
      <c r="D1288" s="124" t="n">
        <f aca="false">SQRT(B1288^2+C1288^2)</f>
        <v>11.8637505287623</v>
      </c>
      <c r="E1288" s="125" t="n">
        <f aca="false">20*LOG10(MAX(D1288,0.000000000001)/$K$3)</f>
        <v>21.484440115226</v>
      </c>
    </row>
    <row r="1289" customFormat="false" ht="15" hidden="false" customHeight="false" outlineLevel="0" collapsed="false">
      <c r="A1289" s="126" t="n">
        <f aca="false">A1288+$F$3</f>
        <v>12830</v>
      </c>
      <c r="B1289" s="127" t="n">
        <f aca="false">SUMPRODUCT(固有振動数!$Q$6:$Q$22*(1-($A1289/固有振動数!$O$6:$O$22)^2)/((1-($A1289/固有振動数!$O$6:$O$22)^2)^2+固有振動数!$P$6:$P$22^2))</f>
        <v>10.1955417931839</v>
      </c>
      <c r="C1289" s="127" t="n">
        <f aca="false">-SUMPRODUCT(固有振動数!$Q$6:$Q$22*固有振動数!$P$6:$P$22/((1-($A1289/固有振動数!$O$6:$O$22)^2)^2+固有振動数!$P$6:$P$22^2))</f>
        <v>-6.69794379763472</v>
      </c>
      <c r="D1289" s="128" t="n">
        <f aca="false">SQRT(B1289^2+C1289^2)</f>
        <v>12.198832877486</v>
      </c>
      <c r="E1289" s="129" t="n">
        <f aca="false">20*LOG10(MAX(D1289,0.000000000001)/$K$3)</f>
        <v>21.7263656313402</v>
      </c>
    </row>
    <row r="1290" customFormat="false" ht="15" hidden="false" customHeight="false" outlineLevel="0" collapsed="false">
      <c r="A1290" s="122" t="n">
        <f aca="false">A1289+$F$3</f>
        <v>12840</v>
      </c>
      <c r="B1290" s="123" t="n">
        <f aca="false">SUMPRODUCT(固有振動数!$Q$6:$Q$22*(1-($A1290/固有振動数!$O$6:$O$22)^2)/((1-($A1290/固有振動数!$O$6:$O$22)^2)^2+固有振動数!$P$6:$P$22^2))</f>
        <v>10.5873655491898</v>
      </c>
      <c r="C1290" s="123" t="n">
        <f aca="false">-SUMPRODUCT(固有振動数!$Q$6:$Q$22*固有振動数!$P$6:$P$22/((1-($A1290/固有振動数!$O$6:$O$22)^2)^2+固有振動数!$P$6:$P$22^2))</f>
        <v>-6.72593822823825</v>
      </c>
      <c r="D1290" s="124" t="n">
        <f aca="false">SQRT(B1290^2+C1290^2)</f>
        <v>12.5431477039158</v>
      </c>
      <c r="E1290" s="125" t="n">
        <f aca="false">20*LOG10(MAX(D1290,0.000000000001)/$K$3)</f>
        <v>21.9681307281376</v>
      </c>
    </row>
    <row r="1291" customFormat="false" ht="15" hidden="false" customHeight="false" outlineLevel="0" collapsed="false">
      <c r="A1291" s="126" t="n">
        <f aca="false">A1290+$F$3</f>
        <v>12850</v>
      </c>
      <c r="B1291" s="127" t="n">
        <f aca="false">SUMPRODUCT(固有振動数!$Q$6:$Q$22*(1-($A1291/固有振動数!$O$6:$O$22)^2)/((1-($A1291/固有振動数!$O$6:$O$22)^2)^2+固有振動数!$P$6:$P$22^2))</f>
        <v>10.9795682710885</v>
      </c>
      <c r="C1291" s="127" t="n">
        <f aca="false">-SUMPRODUCT(固有振動数!$Q$6:$Q$22*固有振動数!$P$6:$P$22/((1-($A1291/固有振動数!$O$6:$O$22)^2)^2+固有振動数!$P$6:$P$22^2))</f>
        <v>-6.76511329288609</v>
      </c>
      <c r="D1291" s="128" t="n">
        <f aca="false">SQRT(B1291^2+C1291^2)</f>
        <v>12.8964211037434</v>
      </c>
      <c r="E1291" s="129" t="n">
        <f aca="false">20*LOG10(MAX(D1291,0.000000000001)/$K$3)</f>
        <v>22.2093841121207</v>
      </c>
    </row>
    <row r="1292" customFormat="false" ht="15" hidden="false" customHeight="false" outlineLevel="0" collapsed="false">
      <c r="A1292" s="122" t="n">
        <f aca="false">A1291+$F$3</f>
        <v>12860</v>
      </c>
      <c r="B1292" s="123" t="n">
        <f aca="false">SUMPRODUCT(固有振動数!$Q$6:$Q$22*(1-($A1292/固有振動数!$O$6:$O$22)^2)/((1-($A1292/固有振動数!$O$6:$O$22)^2)^2+固有振動数!$P$6:$P$22^2))</f>
        <v>11.3725588406528</v>
      </c>
      <c r="C1292" s="123" t="n">
        <f aca="false">-SUMPRODUCT(固有振動数!$Q$6:$Q$22*固有振動数!$P$6:$P$22/((1-($A1292/固有振動数!$O$6:$O$22)^2)^2+固有振動数!$P$6:$P$22^2))</f>
        <v>-6.8156157305216</v>
      </c>
      <c r="D1292" s="124" t="n">
        <f aca="false">SQRT(B1292^2+C1292^2)</f>
        <v>13.2584958562517</v>
      </c>
      <c r="E1292" s="125" t="n">
        <f aca="false">20*LOG10(MAX(D1292,0.000000000001)/$K$3)</f>
        <v>22.4498851444478</v>
      </c>
    </row>
    <row r="1293" customFormat="false" ht="15" hidden="false" customHeight="false" outlineLevel="0" collapsed="false">
      <c r="A1293" s="126" t="n">
        <f aca="false">A1292+$F$3</f>
        <v>12870</v>
      </c>
      <c r="B1293" s="127" t="n">
        <f aca="false">SUMPRODUCT(固有振動数!$Q$6:$Q$22*(1-($A1293/固有振動数!$O$6:$O$22)^2)/((1-($A1293/固有振動数!$O$6:$O$22)^2)^2+固有振動数!$P$6:$P$22^2))</f>
        <v>11.7667423009558</v>
      </c>
      <c r="C1293" s="127" t="n">
        <f aca="false">-SUMPRODUCT(固有振動数!$Q$6:$Q$22*固有振動数!$P$6:$P$22/((1-($A1293/固有振動数!$O$6:$O$22)^2)^2+固有振動数!$P$6:$P$22^2))</f>
        <v>-6.87765392870401</v>
      </c>
      <c r="D1293" s="128" t="n">
        <f aca="false">SQRT(B1293^2+C1293^2)</f>
        <v>13.6293194232185</v>
      </c>
      <c r="E1293" s="129" t="n">
        <f aca="false">20*LOG10(MAX(D1293,0.000000000001)/$K$3)</f>
        <v>22.6894833997159</v>
      </c>
    </row>
    <row r="1294" customFormat="false" ht="15" hidden="false" customHeight="false" outlineLevel="0" collapsed="false">
      <c r="A1294" s="122" t="n">
        <f aca="false">A1293+$F$3</f>
        <v>12880</v>
      </c>
      <c r="B1294" s="123" t="n">
        <f aca="false">SUMPRODUCT(固有振動数!$Q$6:$Q$22*(1-($A1294/固有振動数!$O$6:$O$22)^2)/((1-($A1294/固有振動数!$O$6:$O$22)^2)^2+固有振動数!$P$6:$P$22^2))</f>
        <v>12.16251944243</v>
      </c>
      <c r="C1294" s="123" t="n">
        <f aca="false">-SUMPRODUCT(固有振動数!$Q$6:$Q$22*固有振動数!$P$6:$P$22/((1-($A1294/固有振動数!$O$6:$O$22)^2)^2+固有振動数!$P$6:$P$22^2))</f>
        <v>-6.95149966434044</v>
      </c>
      <c r="D1294" s="124" t="n">
        <f aca="false">SQRT(B1294^2+C1294^2)</f>
        <v>14.008933819917</v>
      </c>
      <c r="E1294" s="125" t="n">
        <f aca="false">20*LOG10(MAX(D1294,0.000000000001)/$K$3)</f>
        <v>22.9281016725299</v>
      </c>
    </row>
    <row r="1295" customFormat="false" ht="15" hidden="false" customHeight="false" outlineLevel="0" collapsed="false">
      <c r="A1295" s="126" t="n">
        <f aca="false">A1294+$F$3</f>
        <v>12890</v>
      </c>
      <c r="B1295" s="127" t="n">
        <f aca="false">SUMPRODUCT(固有振動数!$Q$6:$Q$22*(1-($A1295/固有振動数!$O$6:$O$22)^2)/((1-($A1295/固有振動数!$O$6:$O$22)^2)^2+固有振動数!$P$6:$P$22^2))</f>
        <v>12.5602861894246</v>
      </c>
      <c r="C1295" s="127" t="n">
        <f aca="false">-SUMPRODUCT(固有振動数!$Q$6:$Q$22*固有振動数!$P$6:$P$22/((1-($A1295/固有振動数!$O$6:$O$22)^2)^2+固有振動数!$P$6:$P$22^2))</f>
        <v>-7.03749046651266</v>
      </c>
      <c r="D1295" s="128" t="n">
        <f aca="false">SQRT(B1295^2+C1295^2)</f>
        <v>14.3974671809491</v>
      </c>
      <c r="E1295" s="129" t="n">
        <f aca="false">20*LOG10(MAX(D1295,0.000000000001)/$K$3)</f>
        <v>23.1657219445613</v>
      </c>
    </row>
    <row r="1296" customFormat="false" ht="15" hidden="false" customHeight="false" outlineLevel="0" collapsed="false">
      <c r="A1296" s="122" t="n">
        <f aca="false">A1295+$F$3</f>
        <v>12900</v>
      </c>
      <c r="B1296" s="123" t="n">
        <f aca="false">SUMPRODUCT(固有振動数!$Q$6:$Q$22*(1-($A1296/固有振動数!$O$6:$O$22)^2)/((1-($A1296/固有振動数!$O$6:$O$22)^2)^2+固有振動数!$P$6:$P$22^2))</f>
        <v>12.9604327304785</v>
      </c>
      <c r="C1296" s="123" t="n">
        <f aca="false">-SUMPRODUCT(固有振動数!$Q$6:$Q$22*固有振動数!$P$6:$P$22/((1-($A1296/固有振動数!$O$6:$O$22)^2)^2+固有振動数!$P$6:$P$22^2))</f>
        <v>-7.13603262711037</v>
      </c>
      <c r="D1296" s="124" t="n">
        <f aca="false">SQRT(B1296^2+C1296^2)</f>
        <v>14.7951268401607</v>
      </c>
      <c r="E1296" s="125" t="n">
        <f aca="false">20*LOG10(MAX(D1296,0.000000000001)/$K$3)</f>
        <v>23.4023738552872</v>
      </c>
    </row>
    <row r="1297" customFormat="false" ht="15" hidden="false" customHeight="false" outlineLevel="0" collapsed="false">
      <c r="A1297" s="126" t="n">
        <f aca="false">A1296+$F$3</f>
        <v>12910</v>
      </c>
      <c r="B1297" s="127" t="n">
        <f aca="false">SUMPRODUCT(固有振動数!$Q$6:$Q$22*(1-($A1297/固有振動数!$O$6:$O$22)^2)/((1-($A1297/固有振動数!$O$6:$O$22)^2)^2+固有振動数!$P$6:$P$22^2))</f>
        <v>13.3633423265761</v>
      </c>
      <c r="C1297" s="127" t="n">
        <f aca="false">-SUMPRODUCT(固有振動数!$Q$6:$Q$22*固有振動数!$P$6:$P$22/((1-($A1297/固有振動数!$O$6:$O$22)^2)^2+固有振動数!$P$6:$P$22^2))</f>
        <v>-7.24760489255957</v>
      </c>
      <c r="D1297" s="128" t="n">
        <f aca="false">SQRT(B1297^2+C1297^2)</f>
        <v>15.202193750111</v>
      </c>
      <c r="E1297" s="129" t="n">
        <f aca="false">20*LOG10(MAX(D1297,0.000000000001)/$K$3)</f>
        <v>23.6381252652409</v>
      </c>
    </row>
    <row r="1298" customFormat="false" ht="15" hidden="false" customHeight="false" outlineLevel="0" collapsed="false">
      <c r="A1298" s="122" t="n">
        <f aca="false">A1297+$F$3</f>
        <v>12920</v>
      </c>
      <c r="B1298" s="123" t="n">
        <f aca="false">SUMPRODUCT(固有振動数!$Q$6:$Q$22*(1-($A1298/固有振動数!$O$6:$O$22)^2)/((1-($A1298/固有振動数!$O$6:$O$22)^2)^2+固有振動数!$P$6:$P$22^2))</f>
        <v>13.7693897201712</v>
      </c>
      <c r="C1298" s="123" t="n">
        <f aca="false">-SUMPRODUCT(固有振動数!$Q$6:$Q$22*固有振動数!$P$6:$P$22/((1-($A1298/固有振動数!$O$6:$O$22)^2)^2+固有振動数!$P$6:$P$22^2))</f>
        <v>-7.37276287747161</v>
      </c>
      <c r="D1298" s="124" t="n">
        <f aca="false">SQRT(B1298^2+C1298^2)</f>
        <v>15.6190180777595</v>
      </c>
      <c r="E1298" s="125" t="n">
        <f aca="false">20*LOG10(MAX(D1298,0.000000000001)/$K$3)</f>
        <v>23.8730745513697</v>
      </c>
    </row>
    <row r="1299" customFormat="false" ht="15" hidden="false" customHeight="false" outlineLevel="0" collapsed="false">
      <c r="A1299" s="126" t="n">
        <f aca="false">A1298+$F$3</f>
        <v>12930</v>
      </c>
      <c r="B1299" s="127" t="n">
        <f aca="false">SUMPRODUCT(固有振動数!$Q$6:$Q$22*(1-($A1299/固有振動数!$O$6:$O$22)^2)/((1-($A1299/固有振動数!$O$6:$O$22)^2)^2+固有振動数!$P$6:$P$22^2))</f>
        <v>14.1789390532993</v>
      </c>
      <c r="C1299" s="127" t="n">
        <f aca="false">-SUMPRODUCT(固有振動数!$Q$6:$Q$22*固有振動数!$P$6:$P$22/((1-($A1299/固有振動数!$O$6:$O$22)^2)^2+固有振動数!$P$6:$P$22^2))</f>
        <v>-7.51214424847304</v>
      </c>
      <c r="D1299" s="128" t="n">
        <f aca="false">SQRT(B1299^2+C1299^2)</f>
        <v>16.0460158259626</v>
      </c>
      <c r="E1299" s="129" t="n">
        <f aca="false">20*LOG10(MAX(D1299,0.000000000001)/$K$3)</f>
        <v>24.1073443241061</v>
      </c>
    </row>
    <row r="1300" customFormat="false" ht="15" hidden="false" customHeight="false" outlineLevel="0" collapsed="false">
      <c r="A1300" s="122" t="n">
        <f aca="false">A1299+$F$3</f>
        <v>12940</v>
      </c>
      <c r="B1300" s="123" t="n">
        <f aca="false">SUMPRODUCT(固有振動数!$Q$6:$Q$22*(1-($A1300/固有振動数!$O$6:$O$22)^2)/((1-($A1300/固有振動数!$O$6:$O$22)^2)^2+固有振動数!$P$6:$P$22^2))</f>
        <v>14.592341185117</v>
      </c>
      <c r="C1300" s="123" t="n">
        <f aca="false">-SUMPRODUCT(固有振動数!$Q$6:$Q$22*固有振動数!$P$6:$P$22/((1-($A1300/固有振動数!$O$6:$O$22)^2)^2+固有振動数!$P$6:$P$22^2))</f>
        <v>-7.66647473365747</v>
      </c>
      <c r="D1300" s="124" t="n">
        <f aca="false">SQRT(B1300^2+C1300^2)</f>
        <v>16.4836663429187</v>
      </c>
      <c r="E1300" s="125" t="n">
        <f aca="false">20*LOG10(MAX(D1300,0.000000000001)/$K$3)</f>
        <v>24.3410763018413</v>
      </c>
    </row>
    <row r="1301" customFormat="false" ht="15" hidden="false" customHeight="false" outlineLevel="0" collapsed="false">
      <c r="A1301" s="126" t="n">
        <f aca="false">A1300+$F$3</f>
        <v>12950</v>
      </c>
      <c r="B1301" s="127" t="n">
        <f aca="false">SUMPRODUCT(固有振動数!$Q$6:$Q$22*(1-($A1301/固有振動数!$O$6:$O$22)^2)/((1-($A1301/固有振動数!$O$6:$O$22)^2)^2+固有振動数!$P$6:$P$22^2))</f>
        <v>15.0099302770118</v>
      </c>
      <c r="C1301" s="127" t="n">
        <f aca="false">-SUMPRODUCT(固有振動数!$Q$6:$Q$22*固有振動数!$P$6:$P$22/((1-($A1301/固有振動数!$O$6:$O$22)^2)^2+固有振動数!$P$6:$P$22^2))</f>
        <v>-7.83657501979703</v>
      </c>
      <c r="D1301" s="128" t="n">
        <f aca="false">SQRT(B1301^2+C1301^2)</f>
        <v>16.9325105923977</v>
      </c>
      <c r="E1301" s="129" t="n">
        <f aca="false">20*LOG10(MAX(D1301,0.000000000001)/$K$3)</f>
        <v>24.5744271191643</v>
      </c>
    </row>
    <row r="1302" customFormat="false" ht="15" hidden="false" customHeight="false" outlineLevel="0" collapsed="false">
      <c r="A1302" s="122" t="n">
        <f aca="false">A1301+$F$3</f>
        <v>12960</v>
      </c>
      <c r="B1302" s="123" t="n">
        <f aca="false">SUMPRODUCT(固有振動数!$Q$6:$Q$22*(1-($A1302/固有振動数!$O$6:$O$22)^2)/((1-($A1302/固有振動数!$O$6:$O$22)^2)^2+固有振動数!$P$6:$P$22^2))</f>
        <v>15.4320194861846</v>
      </c>
      <c r="C1302" s="123" t="n">
        <f aca="false">-SUMPRODUCT(固有振動数!$Q$6:$Q$22*固有振動数!$P$6:$P$22/((1-($A1302/固有振動数!$O$6:$O$22)^2)^2+固有振動数!$P$6:$P$22^2))</f>
        <v>-8.02336860528503</v>
      </c>
      <c r="D1302" s="124" t="n">
        <f aca="false">SQRT(B1302^2+C1302^2)</f>
        <v>17.393150065421</v>
      </c>
      <c r="E1302" s="125" t="n">
        <f aca="false">20*LOG10(MAX(D1302,0.000000000001)/$K$3)</f>
        <v>24.8075648800065</v>
      </c>
    </row>
    <row r="1303" customFormat="false" ht="15" hidden="false" customHeight="false" outlineLevel="0" collapsed="false">
      <c r="A1303" s="126" t="n">
        <f aca="false">A1302+$F$3</f>
        <v>12970</v>
      </c>
      <c r="B1303" s="127" t="n">
        <f aca="false">SUMPRODUCT(固有振動数!$Q$6:$Q$22*(1-($A1303/固有振動数!$O$6:$O$22)^2)/((1-($A1303/固有振動数!$O$6:$O$22)^2)^2+固有振動数!$P$6:$P$22^2))</f>
        <v>15.8588955752978</v>
      </c>
      <c r="C1303" s="127" t="n">
        <f aca="false">-SUMPRODUCT(固有振動数!$Q$6:$Q$22*固有振動数!$P$6:$P$22/((1-($A1303/固有振動数!$O$6:$O$22)^2)^2+固有振動数!$P$6:$P$22^2))</f>
        <v>-8.22789068119873</v>
      </c>
      <c r="D1303" s="128" t="n">
        <f aca="false">SQRT(B1303^2+C1303^2)</f>
        <v>17.8662462182171</v>
      </c>
      <c r="E1303" s="129" t="n">
        <f aca="false">20*LOG10(MAX(D1303,0.000000000001)/$K$3)</f>
        <v>25.0406662958165</v>
      </c>
    </row>
    <row r="1304" customFormat="false" ht="15" hidden="false" customHeight="false" outlineLevel="0" collapsed="false">
      <c r="A1304" s="122" t="n">
        <f aca="false">A1303+$F$3</f>
        <v>12980</v>
      </c>
      <c r="B1304" s="123" t="n">
        <f aca="false">SUMPRODUCT(固有振動数!$Q$6:$Q$22*(1-($A1304/固有振動数!$O$6:$O$22)^2)/((1-($A1304/固有振動数!$O$6:$O$22)^2)^2+固有振動数!$P$6:$P$22^2))</f>
        <v>16.2908122051659</v>
      </c>
      <c r="C1304" s="123" t="n">
        <f aca="false">-SUMPRODUCT(固有振動数!$Q$6:$Q$22*固有振動数!$P$6:$P$22/((1-($A1304/固有振動数!$O$6:$O$22)^2)^2+固有振動数!$P$6:$P$22^2))</f>
        <v>-8.45129811506486</v>
      </c>
      <c r="D1304" s="124" t="n">
        <f aca="false">SQRT(B1304^2+C1304^2)</f>
        <v>18.3525203210262</v>
      </c>
      <c r="E1304" s="125" t="n">
        <f aca="false">20*LOG10(MAX(D1304,0.000000000001)/$K$3)</f>
        <v>25.2739142724202</v>
      </c>
    </row>
    <row r="1305" customFormat="false" ht="15" hidden="false" customHeight="false" outlineLevel="0" collapsed="false">
      <c r="A1305" s="126" t="n">
        <f aca="false">A1304+$F$3</f>
        <v>12990</v>
      </c>
      <c r="B1305" s="127" t="n">
        <f aca="false">SUMPRODUCT(固有振動数!$Q$6:$Q$22*(1-($A1305/固有振動数!$O$6:$O$22)^2)/((1-($A1305/固有振動数!$O$6:$O$22)^2)^2+固有振動数!$P$6:$P$22^2))</f>
        <v>16.7279816280808</v>
      </c>
      <c r="C1305" s="127" t="n">
        <f aca="false">-SUMPRODUCT(固有振動数!$Q$6:$Q$22*固有振動数!$P$6:$P$22/((1-($A1305/固有振動数!$O$6:$O$22)^2)^2+固有振動数!$P$6:$P$22^2))</f>
        <v>-8.69488061072024</v>
      </c>
      <c r="D1305" s="128" t="n">
        <f aca="false">SQRT(B1305^2+C1305^2)</f>
        <v>18.8527535968645</v>
      </c>
      <c r="E1305" s="129" t="n">
        <f aca="false">20*LOG10(MAX(D1305,0.000000000001)/$K$3)</f>
        <v>25.5074958277975</v>
      </c>
    </row>
    <row r="1306" customFormat="false" ht="15" hidden="false" customHeight="false" outlineLevel="0" collapsed="false">
      <c r="A1306" s="122" t="n">
        <f aca="false">A1305+$F$3</f>
        <v>13000</v>
      </c>
      <c r="B1306" s="123" t="n">
        <f aca="false">SUMPRODUCT(固有振動数!$Q$6:$Q$22*(1-($A1306/固有振動数!$O$6:$O$22)^2)/((1-($A1306/固有振動数!$O$6:$O$22)^2)^2+固有振動数!$P$6:$P$22^2))</f>
        <v>17.1705644394654</v>
      </c>
      <c r="C1306" s="123" t="n">
        <f aca="false">-SUMPRODUCT(固有振動数!$Q$6:$Q$22*固有振動数!$P$6:$P$22/((1-($A1306/固有振動数!$O$6:$O$22)^2)^2+固有振動数!$P$6:$P$22^2))</f>
        <v>-8.96007311146534</v>
      </c>
      <c r="D1306" s="124" t="n">
        <f aca="false">SQRT(B1306^2+C1306^2)</f>
        <v>19.3677875177481</v>
      </c>
      <c r="E1306" s="125" t="n">
        <f aca="false">20*LOG10(MAX(D1306,0.000000000001)/$K$3)</f>
        <v>25.7416002370836</v>
      </c>
    </row>
    <row r="1307" customFormat="false" ht="15" hidden="false" customHeight="false" outlineLevel="0" collapsed="false">
      <c r="A1307" s="126" t="n">
        <f aca="false">A1306+$F$3</f>
        <v>13010</v>
      </c>
      <c r="B1307" s="127" t="n">
        <f aca="false">SUMPRODUCT(固有振動数!$Q$6:$Q$22*(1-($A1307/固有振動数!$O$6:$O$22)^2)/((1-($A1307/固有振動数!$O$6:$O$22)^2)^2+固有振動数!$P$6:$P$22^2))</f>
        <v>17.6186569731339</v>
      </c>
      <c r="C1307" s="127" t="n">
        <f aca="false">-SUMPRODUCT(固有振動数!$Q$6:$Q$22*固有振動数!$P$6:$P$22/((1-($A1307/固有振動数!$O$6:$O$22)^2)^2+固有振動数!$P$6:$P$22^2))</f>
        <v>-9.24846950023931</v>
      </c>
      <c r="D1307" s="128" t="n">
        <f aca="false">SQRT(B1307^2+C1307^2)</f>
        <v>19.8985241069235</v>
      </c>
      <c r="E1307" s="129" t="n">
        <f aca="false">20*LOG10(MAX(D1307,0.000000000001)/$K$3)</f>
        <v>25.9764173111196</v>
      </c>
    </row>
    <row r="1308" customFormat="false" ht="15" hidden="false" customHeight="false" outlineLevel="0" collapsed="false">
      <c r="A1308" s="122" t="n">
        <f aca="false">A1307+$F$3</f>
        <v>13020</v>
      </c>
      <c r="B1308" s="123" t="n">
        <f aca="false">SUMPRODUCT(固有振動数!$Q$6:$Q$22*(1-($A1308/固有振動数!$O$6:$O$22)^2)/((1-($A1308/固有振動数!$O$6:$O$22)^2)^2+固有振動数!$P$6:$P$22^2))</f>
        <v>18.0722758381934</v>
      </c>
      <c r="C1308" s="123" t="n">
        <f aca="false">-SUMPRODUCT(固有振動数!$Q$6:$Q$22*固有振動数!$P$6:$P$22/((1-($A1308/固有振動数!$O$6:$O$22)^2)^2+固有振動数!$P$6:$P$22^2))</f>
        <v>-9.56183762666608</v>
      </c>
      <c r="D1308" s="124" t="n">
        <f aca="false">SQRT(B1308^2+C1308^2)</f>
        <v>20.4459260678131</v>
      </c>
      <c r="E1308" s="125" t="n">
        <f aca="false">20*LOG10(MAX(D1308,0.000000000001)/$K$3)</f>
        <v>26.21213572117</v>
      </c>
    </row>
    <row r="1309" customFormat="false" ht="15" hidden="false" customHeight="false" outlineLevel="0" collapsed="false">
      <c r="A1309" s="126" t="n">
        <f aca="false">A1308+$F$3</f>
        <v>13030</v>
      </c>
      <c r="B1309" s="127" t="n">
        <f aca="false">SUMPRODUCT(固有振動数!$Q$6:$Q$22*(1-($A1309/固有振動数!$O$6:$O$22)^2)/((1-($A1309/固有振動数!$O$6:$O$22)^2)^2+固有振動数!$P$6:$P$22^2))</f>
        <v>18.5313389910352</v>
      </c>
      <c r="C1309" s="127" t="n">
        <f aca="false">-SUMPRODUCT(固有振動数!$Q$6:$Q$22*固有振動数!$P$6:$P$22/((1-($A1309/固有振動数!$O$6:$O$22)^2)^2+固有振動数!$P$6:$P$22^2))</f>
        <v>-9.902135652232</v>
      </c>
      <c r="D1309" s="128" t="n">
        <f aca="false">SQRT(B1309^2+C1309^2)</f>
        <v>21.011016521717</v>
      </c>
      <c r="E1309" s="129" t="n">
        <f aca="false">20*LOG10(MAX(D1309,0.000000000001)/$K$3)</f>
        <v>26.4489412852376</v>
      </c>
    </row>
    <row r="1310" customFormat="false" ht="15" hidden="false" customHeight="false" outlineLevel="0" collapsed="false">
      <c r="A1310" s="122" t="n">
        <f aca="false">A1309+$F$3</f>
        <v>13040</v>
      </c>
      <c r="B1310" s="123" t="n">
        <f aca="false">SUMPRODUCT(固有振動数!$Q$6:$Q$22*(1-($A1310/固有振動数!$O$6:$O$22)^2)/((1-($A1310/固有振動数!$O$6:$O$22)^2)^2+固有振動数!$P$6:$P$22^2))</f>
        <v>18.9956426112227</v>
      </c>
      <c r="C1310" s="123" t="n">
        <f aca="false">-SUMPRODUCT(固有振動数!$Q$6:$Q$22*固有振動数!$P$6:$P$22/((1-($A1310/固有振動数!$O$6:$O$22)^2)^2+固有振動数!$P$6:$P$22^2))</f>
        <v>-10.2715296456923</v>
      </c>
      <c r="D1310" s="124" t="n">
        <f aca="false">SQRT(B1310^2+C1310^2)</f>
        <v>21.5948780842967</v>
      </c>
      <c r="E1310" s="125" t="n">
        <f aca="false">20*LOG10(MAX(D1310,0.000000000001)/$K$3)</f>
        <v>26.6870151308871</v>
      </c>
    </row>
    <row r="1311" customFormat="false" ht="15" hidden="false" customHeight="false" outlineLevel="0" collapsed="false">
      <c r="A1311" s="126" t="n">
        <f aca="false">A1310+$F$3</f>
        <v>13050</v>
      </c>
      <c r="B1311" s="127" t="n">
        <f aca="false">SUMPRODUCT(固有振動数!$Q$6:$Q$22*(1-($A1311/固有振動数!$O$6:$O$22)^2)/((1-($A1311/固有振動数!$O$6:$O$22)^2)^2+固有振動数!$P$6:$P$22^2))</f>
        <v>19.4648329027779</v>
      </c>
      <c r="C1311" s="127" t="n">
        <f aca="false">-SUMPRODUCT(固有振動数!$Q$6:$Q$22*固有振動数!$P$6:$P$22/((1-($A1311/固有振動数!$O$6:$O$22)^2)^2+固有振動数!$P$6:$P$22^2))</f>
        <v>-10.6724122731175</v>
      </c>
      <c r="D1311" s="128" t="n">
        <f aca="false">SQRT(B1311^2+C1311^2)</f>
        <v>22.1986509423536</v>
      </c>
      <c r="E1311" s="129" t="n">
        <f aca="false">20*LOG10(MAX(D1311,0.000000000001)/$K$3)</f>
        <v>26.9265316456848</v>
      </c>
    </row>
    <row r="1312" customFormat="false" ht="15" hidden="false" customHeight="false" outlineLevel="0" collapsed="false">
      <c r="A1312" s="122" t="n">
        <f aca="false">A1311+$F$3</f>
        <v>13060</v>
      </c>
      <c r="B1312" s="123" t="n">
        <f aca="false">SUMPRODUCT(固有振動数!$Q$6:$Q$22*(1-($A1312/固有振動数!$O$6:$O$22)^2)/((1-($A1312/固有振動数!$O$6:$O$22)^2)^2+固有振動数!$P$6:$P$22^2))</f>
        <v>19.9383717701275</v>
      </c>
      <c r="C1312" s="123" t="n">
        <f aca="false">-SUMPRODUCT(固有振動数!$Q$6:$Q$22*固有振動数!$P$6:$P$22/((1-($A1312/固有振動数!$O$6:$O$22)^2)^2+固有振動数!$P$6:$P$22^2))</f>
        <v>-11.1074223001029</v>
      </c>
      <c r="D1312" s="124" t="n">
        <f aca="false">SQRT(B1312^2+C1312^2)</f>
        <v>22.8235295034892</v>
      </c>
      <c r="E1312" s="125" t="n">
        <f aca="false">20*LOG10(MAX(D1312,0.000000000001)/$K$3)</f>
        <v>27.167656119226</v>
      </c>
    </row>
    <row r="1313" customFormat="false" ht="15" hidden="false" customHeight="false" outlineLevel="0" collapsed="false">
      <c r="A1313" s="126" t="n">
        <f aca="false">A1312+$F$3</f>
        <v>13070</v>
      </c>
      <c r="B1313" s="127" t="n">
        <f aca="false">SUMPRODUCT(固有振動数!$Q$6:$Q$22*(1-($A1313/固有振動数!$O$6:$O$22)^2)/((1-($A1313/固有振動数!$O$6:$O$22)^2)^2+固有振動数!$P$6:$P$22^2))</f>
        <v>20.4154951195775</v>
      </c>
      <c r="C1313" s="127" t="n">
        <f aca="false">-SUMPRODUCT(固有振動数!$Q$6:$Q$22*固有振動数!$P$6:$P$22/((1-($A1313/固有振動数!$O$6:$O$22)^2)^2+固有振動数!$P$6:$P$22^2))</f>
        <v>-11.5794644433204</v>
      </c>
      <c r="D1313" s="128" t="n">
        <f aca="false">SQRT(B1313^2+C1313^2)</f>
        <v>23.4707570770866</v>
      </c>
      <c r="E1313" s="129" t="n">
        <f aca="false">20*LOG10(MAX(D1313,0.000000000001)/$K$3)</f>
        <v>27.4105419701552</v>
      </c>
    </row>
    <row r="1314" customFormat="false" ht="15" hidden="false" customHeight="false" outlineLevel="0" collapsed="false">
      <c r="A1314" s="122" t="n">
        <f aca="false">A1313+$F$3</f>
        <v>13080</v>
      </c>
      <c r="B1314" s="123" t="n">
        <f aca="false">SUMPRODUCT(固有振動数!$Q$6:$Q$22*(1-($A1314/固有振動数!$O$6:$O$22)^2)/((1-($A1314/固有振動数!$O$6:$O$22)^2)^2+固有振動数!$P$6:$P$22^2))</f>
        <v>20.8951623133468</v>
      </c>
      <c r="C1314" s="123" t="n">
        <f aca="false">-SUMPRODUCT(固有振動数!$Q$6:$Q$22*固有振動数!$P$6:$P$22/((1-($A1314/固有振動数!$O$6:$O$22)^2)^2+固有振動数!$P$6:$P$22^2))</f>
        <v>-12.0917288559417</v>
      </c>
      <c r="D1314" s="124" t="n">
        <f aca="false">SQRT(B1314^2+C1314^2)</f>
        <v>24.1416178999404</v>
      </c>
      <c r="E1314" s="125" t="n">
        <f aca="false">20*LOG10(MAX(D1314,0.000000000001)/$K$3)</f>
        <v>27.6553274374066</v>
      </c>
    </row>
    <row r="1315" customFormat="false" ht="15" hidden="false" customHeight="false" outlineLevel="0" collapsed="false">
      <c r="A1315" s="126" t="n">
        <f aca="false">A1314+$F$3</f>
        <v>13090</v>
      </c>
      <c r="B1315" s="127" t="n">
        <f aca="false">SUMPRODUCT(固有振動数!$Q$6:$Q$22*(1-($A1315/固有振動数!$O$6:$O$22)^2)/((1-($A1315/固有振動数!$O$6:$O$22)^2)^2+固有振動数!$P$6:$P$22^2))</f>
        <v>21.3759950581688</v>
      </c>
      <c r="C1315" s="127" t="n">
        <f aca="false">-SUMPRODUCT(固有振動数!$Q$6:$Q$22*固有振動数!$P$6:$P$22/((1-($A1315/固有振動数!$O$6:$O$22)^2)^2+固有振動数!$P$6:$P$22^2))</f>
        <v>-12.6477091818954</v>
      </c>
      <c r="D1315" s="128" t="n">
        <f aca="false">SQRT(B1315^2+C1315^2)</f>
        <v>24.8374256370634</v>
      </c>
      <c r="E1315" s="129" t="n">
        <f aca="false">20*LOG10(MAX(D1315,0.000000000001)/$K$3)</f>
        <v>27.9021315969532</v>
      </c>
    </row>
    <row r="1316" customFormat="false" ht="15" hidden="false" customHeight="false" outlineLevel="0" collapsed="false">
      <c r="A1316" s="122" t="n">
        <f aca="false">A1315+$F$3</f>
        <v>13100</v>
      </c>
      <c r="B1316" s="123" t="n">
        <f aca="false">SUMPRODUCT(固有振動数!$Q$6:$Q$22*(1-($A1316/固有振動数!$O$6:$O$22)^2)/((1-($A1316/固有振動数!$O$6:$O$22)^2)^2+固有振動数!$P$6:$P$22^2))</f>
        <v>21.8562037544428</v>
      </c>
      <c r="C1316" s="123" t="n">
        <f aca="false">-SUMPRODUCT(固有振動数!$Q$6:$Q$22*固有振動数!$P$6:$P$22/((1-($A1316/固有振動数!$O$6:$O$22)^2)^2+固有振動数!$P$6:$P$22^2))</f>
        <v>-13.2512176357253</v>
      </c>
      <c r="D1316" s="124" t="n">
        <f aca="false">SQRT(B1316^2+C1316^2)</f>
        <v>25.5595072602168</v>
      </c>
      <c r="E1316" s="125" t="n">
        <f aca="false">20*LOG10(MAX(D1316,0.000000000001)/$K$3)</f>
        <v>28.1510495435367</v>
      </c>
    </row>
    <row r="1317" customFormat="false" ht="15" hidden="false" customHeight="false" outlineLevel="0" collapsed="false">
      <c r="A1317" s="126" t="n">
        <f aca="false">A1316+$F$3</f>
        <v>13110</v>
      </c>
      <c r="B1317" s="127" t="n">
        <f aca="false">SUMPRODUCT(固有振動数!$Q$6:$Q$22*(1-($A1317/固有振動数!$O$6:$O$22)^2)/((1-($A1317/固有振動数!$O$6:$O$22)^2)^2+固有振動数!$P$6:$P$22^2))</f>
        <v>22.3334990845905</v>
      </c>
      <c r="C1317" s="127" t="n">
        <f aca="false">-SUMPRODUCT(固有振動数!$Q$6:$Q$22*固有振動数!$P$6:$P$22/((1-($A1317/固有振動数!$O$6:$O$22)^2)^2+固有振動数!$P$6:$P$22^2))</f>
        <v>-13.9063949179745</v>
      </c>
      <c r="D1317" s="128" t="n">
        <f aca="false">SQRT(B1317^2+C1317^2)</f>
        <v>26.3091809256022</v>
      </c>
      <c r="E1317" s="129" t="n">
        <f aca="false">20*LOG10(MAX(D1317,0.000000000001)/$K$3)</f>
        <v>28.4021465512021</v>
      </c>
    </row>
    <row r="1318" customFormat="false" ht="15" hidden="false" customHeight="false" outlineLevel="0" collapsed="false">
      <c r="A1318" s="122" t="n">
        <f aca="false">A1317+$F$3</f>
        <v>13120</v>
      </c>
      <c r="B1318" s="123" t="n">
        <f aca="false">SUMPRODUCT(固有振動数!$Q$6:$Q$22*(1-($A1318/固有振動数!$O$6:$O$22)^2)/((1-($A1318/固有振動数!$O$6:$O$22)^2)^2+固有振動数!$P$6:$P$22^2))</f>
        <v>22.8049864152586</v>
      </c>
      <c r="C1318" s="123" t="n">
        <f aca="false">-SUMPRODUCT(固有振動数!$Q$6:$Q$22*固有振動数!$P$6:$P$22/((1-($A1318/固有振動数!$O$6:$O$22)^2)^2+固有振動数!$P$6:$P$22^2))</f>
        <v>-14.6177119113293</v>
      </c>
      <c r="D1318" s="124" t="n">
        <f aca="false">SQRT(B1318^2+C1318^2)</f>
        <v>27.0877261305327</v>
      </c>
      <c r="E1318" s="125" t="n">
        <f aca="false">20*LOG10(MAX(D1318,0.000000000001)/$K$3)</f>
        <v>28.6554509973707</v>
      </c>
    </row>
    <row r="1319" customFormat="false" ht="15" hidden="false" customHeight="false" outlineLevel="0" collapsed="false">
      <c r="A1319" s="126" t="n">
        <f aca="false">A1318+$F$3</f>
        <v>13130</v>
      </c>
      <c r="B1319" s="127" t="n">
        <f aca="false">SUMPRODUCT(固有振動数!$Q$6:$Q$22*(1-($A1319/固有振動数!$O$6:$O$22)^2)/((1-($A1319/固有振動数!$O$6:$O$22)^2)^2+固有振動数!$P$6:$P$22^2))</f>
        <v>23.2670404845009</v>
      </c>
      <c r="C1319" s="127" t="n">
        <f aca="false">-SUMPRODUCT(固有振動数!$Q$6:$Q$22*固有振動数!$P$6:$P$22/((1-($A1319/固有振動数!$O$6:$O$22)^2)^2+固有振動数!$P$6:$P$22^2))</f>
        <v>-15.3899589620951</v>
      </c>
      <c r="D1319" s="128" t="n">
        <f aca="false">SQRT(B1319^2+C1319^2)</f>
        <v>27.8963440214372</v>
      </c>
      <c r="E1319" s="129" t="n">
        <f aca="false">20*LOG10(MAX(D1319,0.000000000001)/$K$3)</f>
        <v>28.910945803569</v>
      </c>
    </row>
    <row r="1320" customFormat="false" ht="15" hidden="false" customHeight="false" outlineLevel="0" collapsed="false">
      <c r="A1320" s="122" t="n">
        <f aca="false">A1319+$F$3</f>
        <v>13140</v>
      </c>
      <c r="B1320" s="123" t="n">
        <f aca="false">SUMPRODUCT(固有振動数!$Q$6:$Q$22*(1-($A1320/固有振動数!$O$6:$O$22)^2)/((1-($A1320/固有振動数!$O$6:$O$22)^2)^2+固有振動数!$P$6:$P$22^2))</f>
        <v>23.7151579326267</v>
      </c>
      <c r="C1320" s="123" t="n">
        <f aca="false">-SUMPRODUCT(固有振動数!$Q$6:$Q$22*固有振動数!$P$6:$P$22/((1-($A1320/固有振動数!$O$6:$O$22)^2)^2+固有振動数!$P$6:$P$22^2))</f>
        <v>-16.2282170703157</v>
      </c>
      <c r="D1320" s="124" t="n">
        <f aca="false">SQRT(B1320^2+C1320^2)</f>
        <v>28.7361052519424</v>
      </c>
      <c r="E1320" s="125" t="n">
        <f aca="false">20*LOG10(MAX(D1320,0.000000000001)/$K$3)</f>
        <v>29.1685581136738</v>
      </c>
    </row>
    <row r="1321" customFormat="false" ht="15" hidden="false" customHeight="false" outlineLevel="0" collapsed="false">
      <c r="A1321" s="126" t="n">
        <f aca="false">A1320+$F$3</f>
        <v>13150</v>
      </c>
      <c r="B1321" s="127" t="n">
        <f aca="false">SUMPRODUCT(固有振動数!$Q$6:$Q$22*(1-($A1321/固有振動数!$O$6:$O$22)^2)/((1-($A1321/固有振動数!$O$6:$O$22)^2)^2+固有振動数!$P$6:$P$22^2))</f>
        <v>24.1437856523938</v>
      </c>
      <c r="C1321" s="127" t="n">
        <f aca="false">-SUMPRODUCT(固有振動数!$Q$6:$Q$22*固有振動数!$P$6:$P$22/((1-($A1321/固有振動数!$O$6:$O$22)^2)^2+固有振動数!$P$6:$P$22^2))</f>
        <v>-17.1378034255871</v>
      </c>
      <c r="D1321" s="128" t="n">
        <f aca="false">SQRT(B1321^2+C1321^2)</f>
        <v>29.6078822593377</v>
      </c>
      <c r="E1321" s="129" t="n">
        <f aca="false">20*LOG10(MAX(D1321,0.000000000001)/$K$3)</f>
        <v>29.4281469009267</v>
      </c>
    </row>
    <row r="1322" customFormat="false" ht="15" hidden="false" customHeight="false" outlineLevel="0" collapsed="false">
      <c r="A1322" s="122" t="n">
        <f aca="false">A1321+$F$3</f>
        <v>13160</v>
      </c>
      <c r="B1322" s="123" t="n">
        <f aca="false">SUMPRODUCT(固有振動数!$Q$6:$Q$22*(1-($A1322/固有振動数!$O$6:$O$22)^2)/((1-($A1322/固有振動数!$O$6:$O$22)^2)^2+固有振動数!$P$6:$P$22^2))</f>
        <v>24.5461238852931</v>
      </c>
      <c r="C1322" s="123" t="n">
        <f aca="false">-SUMPRODUCT(固有振動数!$Q$6:$Q$22*固有振動数!$P$6:$P$22/((1-($A1322/固有振動数!$O$6:$O$22)^2)^2+固有振動数!$P$6:$P$22^2))</f>
        <v>-18.1241813841549</v>
      </c>
      <c r="D1322" s="124" t="n">
        <f aca="false">SQRT(B1322^2+C1322^2)</f>
        <v>30.5122622667986</v>
      </c>
      <c r="E1322" s="125" t="n">
        <f aca="false">20*LOG10(MAX(D1322,0.000000000001)/$K$3)</f>
        <v>29.6894881735391</v>
      </c>
    </row>
    <row r="1323" customFormat="false" ht="15" hidden="false" customHeight="false" outlineLevel="0" collapsed="false">
      <c r="A1323" s="126" t="n">
        <f aca="false">A1322+$F$3</f>
        <v>13170</v>
      </c>
      <c r="B1323" s="127" t="n">
        <f aca="false">SUMPRODUCT(固有振動数!$Q$6:$Q$22*(1-($A1323/固有振動数!$O$6:$O$22)^2)/((1-($A1323/固有振動数!$O$6:$O$22)^2)^2+固有振動数!$P$6:$P$22^2))</f>
        <v>24.9139047681835</v>
      </c>
      <c r="C1323" s="127" t="n">
        <f aca="false">-SUMPRODUCT(固有振動数!$Q$6:$Q$22*固有振動数!$P$6:$P$22/((1-($A1323/固有振動数!$O$6:$O$22)^2)^2+固有振動数!$P$6:$P$22^2))</f>
        <v>-19.1928221765399</v>
      </c>
      <c r="D1323" s="128" t="n">
        <f aca="false">SQRT(B1323^2+C1323^2)</f>
        <v>31.4494367818948</v>
      </c>
      <c r="E1323" s="129" t="n">
        <f aca="false">20*LOG10(MAX(D1323,0.000000000001)/$K$3)</f>
        <v>29.9522574441438</v>
      </c>
    </row>
    <row r="1324" customFormat="false" ht="15" hidden="false" customHeight="false" outlineLevel="0" collapsed="false">
      <c r="A1324" s="122" t="n">
        <f aca="false">A1323+$F$3</f>
        <v>13180</v>
      </c>
      <c r="B1324" s="123" t="n">
        <f aca="false">SUMPRODUCT(固有振動数!$Q$6:$Q$22*(1-($A1324/固有振動数!$O$6:$O$22)^2)/((1-($A1324/固有振動数!$O$6:$O$22)^2)^2+固有振動数!$P$6:$P$22^2))</f>
        <v>25.2371500398323</v>
      </c>
      <c r="C1324" s="123" t="n">
        <f aca="false">-SUMPRODUCT(固有振動数!$Q$6:$Q$22*固有振動数!$P$6:$P$22/((1-($A1324/固有振動数!$O$6:$O$22)^2)^2+固有振動数!$P$6:$P$22^2))</f>
        <v>-20.3490024396153</v>
      </c>
      <c r="D1324" s="124" t="n">
        <f aca="false">SQRT(B1324^2+C1324^2)</f>
        <v>32.4190629479089</v>
      </c>
      <c r="E1324" s="125" t="n">
        <f aca="false">20*LOG10(MAX(D1324,0.000000000001)/$K$3)</f>
        <v>30.2160091538441</v>
      </c>
    </row>
    <row r="1325" customFormat="false" ht="15" hidden="false" customHeight="false" outlineLevel="0" collapsed="false">
      <c r="A1325" s="126" t="n">
        <f aca="false">A1324+$F$3</f>
        <v>13190</v>
      </c>
      <c r="B1325" s="127" t="n">
        <f aca="false">SUMPRODUCT(固有振動数!$Q$6:$Q$22*(1-($A1325/固有振動数!$O$6:$O$22)^2)/((1-($A1325/固有振動数!$O$6:$O$22)^2)^2+固有振動数!$P$6:$P$22^2))</f>
        <v>25.5039163733198</v>
      </c>
      <c r="C1325" s="127" t="n">
        <f aca="false">-SUMPRODUCT(固有振動数!$Q$6:$Q$22*固有振動数!$P$6:$P$22/((1-($A1325/固有振動数!$O$6:$O$22)^2)^2+固有振動数!$P$6:$P$22^2))</f>
        <v>-21.5975183173121</v>
      </c>
      <c r="D1325" s="128" t="n">
        <f aca="false">SQRT(B1325^2+C1325^2)</f>
        <v>33.4200919783881</v>
      </c>
      <c r="E1325" s="129" t="n">
        <f aca="false">20*LOG10(MAX(D1325,0.000000000001)/$K$3)</f>
        <v>30.4801528163847</v>
      </c>
    </row>
    <row r="1326" customFormat="false" ht="15" hidden="false" customHeight="false" outlineLevel="0" collapsed="false">
      <c r="A1326" s="122" t="n">
        <f aca="false">A1325+$F$3</f>
        <v>13200</v>
      </c>
      <c r="B1326" s="123" t="n">
        <f aca="false">SUMPRODUCT(固有振動数!$Q$6:$Q$22*(1-($A1326/固有振動数!$O$6:$O$22)^2)/((1-($A1326/固有振動数!$O$6:$O$22)^2)^2+固有振動数!$P$6:$P$22^2))</f>
        <v>25.7000439417244</v>
      </c>
      <c r="C1326" s="123" t="n">
        <f aca="false">-SUMPRODUCT(固有振動数!$Q$6:$Q$22*固有振動数!$P$6:$P$22/((1-($A1326/固有振動数!$O$6:$O$22)^2)^2+固有振動数!$P$6:$P$22^2))</f>
        <v>-22.9422938729854</v>
      </c>
      <c r="D1326" s="124" t="n">
        <f aca="false">SQRT(B1326^2+C1326^2)</f>
        <v>34.4505603257913</v>
      </c>
      <c r="E1326" s="125" t="n">
        <f aca="false">20*LOG10(MAX(D1326,0.000000000001)/$K$3)</f>
        <v>30.7439257988469</v>
      </c>
    </row>
    <row r="1327" customFormat="false" ht="15" hidden="false" customHeight="false" outlineLevel="0" collapsed="false">
      <c r="A1327" s="126" t="n">
        <f aca="false">A1326+$F$3</f>
        <v>13210</v>
      </c>
      <c r="B1327" s="127" t="n">
        <f aca="false">SUMPRODUCT(固有振動数!$Q$6:$Q$22*(1-($A1327/固有振動数!$O$6:$O$22)^2)/((1-($A1327/固有振動数!$O$6:$O$22)^2)^2+固有振動数!$P$6:$P$22^2))</f>
        <v>25.8089340308385</v>
      </c>
      <c r="C1327" s="127" t="n">
        <f aca="false">-SUMPRODUCT(固有振動数!$Q$6:$Q$22*固有振動数!$P$6:$P$22/((1-($A1327/固有振動数!$O$6:$O$22)^2)^2+固有振動数!$P$6:$P$22^2))</f>
        <v>-24.3858598282068</v>
      </c>
      <c r="D1327" s="128" t="n">
        <f aca="false">SQRT(B1327^2+C1327^2)</f>
        <v>35.507340584295</v>
      </c>
      <c r="E1327" s="129" t="n">
        <f aca="false">20*LOG10(MAX(D1327,0.000000000001)/$K$3)</f>
        <v>31.0063629178335</v>
      </c>
    </row>
    <row r="1328" customFormat="false" ht="15" hidden="false" customHeight="false" outlineLevel="0" collapsed="false">
      <c r="A1328" s="122" t="n">
        <f aca="false">A1327+$F$3</f>
        <v>13220</v>
      </c>
      <c r="B1328" s="123" t="n">
        <f aca="false">SUMPRODUCT(固有振動数!$Q$6:$Q$22*(1-($A1328/固有振動数!$O$6:$O$22)^2)/((1-($A1328/固有振動数!$O$6:$O$22)^2)^2+固有振動数!$P$6:$P$22^2))</f>
        <v>25.8113953450041</v>
      </c>
      <c r="C1328" s="123" t="n">
        <f aca="false">-SUMPRODUCT(固有振動数!$Q$6:$Q$22*固有振動数!$P$6:$P$22/((1-($A1328/固有振動数!$O$6:$O$22)^2)^2+固有振動数!$P$6:$P$22^2))</f>
        <v>-25.9286797214055</v>
      </c>
      <c r="D1328" s="124" t="n">
        <f aca="false">SQRT(B1328^2+C1328^2)</f>
        <v>36.5858519342016</v>
      </c>
      <c r="E1328" s="125" t="n">
        <f aca="false">20*LOG10(MAX(D1328,0.000000000001)/$K$3)</f>
        <v>31.2662634484323</v>
      </c>
    </row>
    <row r="1329" customFormat="false" ht="15" hidden="false" customHeight="false" outlineLevel="0" collapsed="false">
      <c r="A1329" s="126" t="n">
        <f aca="false">A1328+$F$3</f>
        <v>13230</v>
      </c>
      <c r="B1329" s="127" t="n">
        <f aca="false">SUMPRODUCT(固有振動数!$Q$6:$Q$22*(1-($A1329/固有振動数!$O$6:$O$22)^2)/((1-($A1329/固有振動数!$O$6:$O$22)^2)^2+固有振動数!$P$6:$P$22^2))</f>
        <v>25.6856162226556</v>
      </c>
      <c r="C1329" s="127" t="n">
        <f aca="false">-SUMPRODUCT(固有振動数!$Q$6:$Q$22*固有振動数!$P$6:$P$22/((1-($A1329/固有振動数!$O$6:$O$22)^2)^2+固有振動数!$P$6:$P$22^2))</f>
        <v>-27.5683067958172</v>
      </c>
      <c r="D1329" s="128" t="n">
        <f aca="false">SQRT(B1329^2+C1329^2)</f>
        <v>37.6797348760027</v>
      </c>
      <c r="E1329" s="129" t="n">
        <f aca="false">20*LOG10(MAX(D1329,0.000000000001)/$K$3)</f>
        <v>31.5221567665494</v>
      </c>
    </row>
    <row r="1330" customFormat="false" ht="15" hidden="false" customHeight="false" outlineLevel="0" collapsed="false">
      <c r="A1330" s="122" t="n">
        <f aca="false">A1329+$F$3</f>
        <v>13240</v>
      </c>
      <c r="B1330" s="123" t="n">
        <f aca="false">SUMPRODUCT(固有振動数!$Q$6:$Q$22*(1-($A1330/固有振動数!$O$6:$O$22)^2)/((1-($A1330/固有振動数!$O$6:$O$22)^2)^2+固有振動数!$P$6:$P$22^2))</f>
        <v>25.4073403800755</v>
      </c>
      <c r="C1330" s="123" t="n">
        <f aca="false">-SUMPRODUCT(固有振動数!$Q$6:$Q$22*固有振動数!$P$6:$P$22/((1-($A1330/固有振動数!$O$6:$O$22)^2)^2+固有振動数!$P$6:$P$22^2))</f>
        <v>-29.2983694946897</v>
      </c>
      <c r="D1330" s="124" t="n">
        <f aca="false">SQRT(B1330^2+C1330^2)</f>
        <v>38.7805028363014</v>
      </c>
      <c r="E1330" s="125" t="n">
        <f aca="false">20*LOG10(MAX(D1330,0.000000000001)/$K$3)</f>
        <v>31.7722687186883</v>
      </c>
    </row>
    <row r="1331" customFormat="false" ht="15" hidden="false" customHeight="false" outlineLevel="0" collapsed="false">
      <c r="A1331" s="126" t="n">
        <f aca="false">A1330+$F$3</f>
        <v>13250</v>
      </c>
      <c r="B1331" s="127" t="n">
        <f aca="false">SUMPRODUCT(固有振動数!$Q$6:$Q$22*(1-($A1331/固有振動数!$O$6:$O$22)^2)/((1-($A1331/固有振動数!$O$6:$O$22)^2)^2+固有振動数!$P$6:$P$22^2))</f>
        <v>24.9503442537773</v>
      </c>
      <c r="C1331" s="127" t="n">
        <f aca="false">-SUMPRODUCT(固有振動数!$Q$6:$Q$22*固有振動数!$P$6:$P$22/((1-($A1331/固有振動数!$O$6:$O$22)^2)^2+固有振動数!$P$6:$P$22^2))</f>
        <v>-31.1074102605417</v>
      </c>
      <c r="D1331" s="128" t="n">
        <f aca="false">SQRT(B1331^2+C1331^2)</f>
        <v>39.8771946292571</v>
      </c>
      <c r="E1331" s="129" t="n">
        <f aca="false">20*LOG10(MAX(D1331,0.000000000001)/$K$3)</f>
        <v>32.0144919597492</v>
      </c>
    </row>
    <row r="1332" customFormat="false" ht="15" hidden="false" customHeight="false" outlineLevel="0" collapsed="false">
      <c r="A1332" s="122" t="n">
        <f aca="false">A1331+$F$3</f>
        <v>13260</v>
      </c>
      <c r="B1332" s="123" t="n">
        <f aca="false">SUMPRODUCT(固有振動数!$Q$6:$Q$22*(1-($A1332/固有振動数!$O$6:$O$22)^2)/((1-($A1332/固有振動数!$O$6:$O$22)^2)^2+固有振動数!$P$6:$P$22^2))</f>
        <v>24.2873287842822</v>
      </c>
      <c r="C1332" s="123" t="n">
        <f aca="false">-SUMPRODUCT(固有振動数!$Q$6:$Q$22*固有振動数!$P$6:$P$22/((1-($A1332/固有振動数!$O$6:$O$22)^2)^2+固有振動数!$P$6:$P$22^2))</f>
        <v>-32.9776451812931</v>
      </c>
      <c r="D1332" s="124" t="n">
        <f aca="false">SQRT(B1332^2+C1332^2)</f>
        <v>40.9560669642373</v>
      </c>
      <c r="E1332" s="125" t="n">
        <f aca="false">20*LOG10(MAX(D1332,0.000000000001)/$K$3)</f>
        <v>32.2463648881929</v>
      </c>
    </row>
    <row r="1333" customFormat="false" ht="15" hidden="false" customHeight="false" outlineLevel="0" collapsed="false">
      <c r="A1333" s="126" t="n">
        <f aca="false">A1332+$F$3</f>
        <v>13270</v>
      </c>
      <c r="B1333" s="127" t="n">
        <f aca="false">SUMPRODUCT(固有振動数!$Q$6:$Q$22*(1-($A1333/固有振動数!$O$6:$O$22)^2)/((1-($A1333/固有振動数!$O$6:$O$22)^2)^2+固有振動数!$P$6:$P$22^2))</f>
        <v>23.3913379385428</v>
      </c>
      <c r="C1333" s="127" t="n">
        <f aca="false">-SUMPRODUCT(固有振動数!$Q$6:$Q$22*固有振動数!$P$6:$P$22/((1-($A1333/固有振動数!$O$6:$O$22)^2)^2+固有振動数!$P$6:$P$22^2))</f>
        <v>-34.8837727510301</v>
      </c>
      <c r="D1333" s="128" t="n">
        <f aca="false">SQRT(B1333^2+C1333^2)</f>
        <v>42.000384425629</v>
      </c>
      <c r="E1333" s="129" t="n">
        <f aca="false">20*LOG10(MAX(D1333,0.000000000001)/$K$3)</f>
        <v>32.4650653094653</v>
      </c>
    </row>
    <row r="1334" customFormat="false" ht="15" hidden="false" customHeight="false" outlineLevel="0" collapsed="false">
      <c r="A1334" s="122" t="n">
        <f aca="false">A1333+$F$3</f>
        <v>13280</v>
      </c>
      <c r="B1334" s="123" t="n">
        <f aca="false">SUMPRODUCT(固有振動数!$Q$6:$Q$22*(1-($A1334/固有振動数!$O$6:$O$22)^2)/((1-($A1334/固有振動数!$O$6:$O$22)^2)^2+固有振動数!$P$6:$P$22^2))</f>
        <v>22.2377867910327</v>
      </c>
      <c r="C1334" s="123" t="n">
        <f aca="false">-SUMPRODUCT(固有振動数!$Q$6:$Q$22*固有振動数!$P$6:$P$22/((1-($A1334/固有振動数!$O$6:$O$22)^2)^2+固有振動数!$P$6:$P$22^2))</f>
        <v>-36.7920354400216</v>
      </c>
      <c r="D1334" s="124" t="n">
        <f aca="false">SQRT(B1334^2+C1334^2)</f>
        <v>42.9903830313622</v>
      </c>
      <c r="E1334" s="125" t="n">
        <f aca="false">20*LOG10(MAX(D1334,0.000000000001)/$K$3)</f>
        <v>32.667426291345</v>
      </c>
    </row>
    <row r="1335" customFormat="false" ht="15" hidden="false" customHeight="false" outlineLevel="0" collapsed="false">
      <c r="A1335" s="126" t="n">
        <f aca="false">A1334+$F$3</f>
        <v>13290</v>
      </c>
      <c r="B1335" s="127" t="n">
        <f aca="false">SUMPRODUCT(固有振動数!$Q$6:$Q$22*(1-($A1335/固有振動数!$O$6:$O$22)^2)/((1-($A1335/固有振動数!$O$6:$O$22)^2)^2+固有振動数!$P$6:$P$22^2))</f>
        <v>20.8071081374406</v>
      </c>
      <c r="C1335" s="127" t="n">
        <f aca="false">-SUMPRODUCT(固有振動数!$Q$6:$Q$22*固有振動数!$P$6:$P$22/((1-($A1335/固有振動数!$O$6:$O$22)^2)^2+固有振動数!$P$6:$P$22^2))</f>
        <v>-38.6598155251118</v>
      </c>
      <c r="D1335" s="128" t="n">
        <f aca="false">SQRT(B1335^2+C1335^2)</f>
        <v>43.9034974173906</v>
      </c>
      <c r="E1335" s="129" t="n">
        <f aca="false">20*LOG10(MAX(D1335,0.000000000001)/$K$3)</f>
        <v>32.8499823631899</v>
      </c>
    </row>
    <row r="1336" customFormat="false" ht="15" hidden="false" customHeight="false" outlineLevel="0" collapsed="false">
      <c r="A1336" s="122" t="n">
        <f aca="false">A1335+$F$3</f>
        <v>13300</v>
      </c>
      <c r="B1336" s="123" t="n">
        <f aca="false">SUMPRODUCT(固有振動数!$Q$6:$Q$22*(1-($A1336/固有振動数!$O$6:$O$22)^2)/((1-($A1336/固有振動数!$O$6:$O$22)^2)^2+固有振動数!$P$6:$P$22^2))</f>
        <v>19.087897075236</v>
      </c>
      <c r="C1336" s="123" t="n">
        <f aca="false">-SUMPRODUCT(固有振動数!$Q$6:$Q$22*固有振動数!$P$6:$P$22/((1-($A1336/固有振動数!$O$6:$O$22)^2)^2+固有振動数!$P$6:$P$22^2))</f>
        <v>-40.4361013971031</v>
      </c>
      <c r="D1336" s="124" t="n">
        <f aca="false">SQRT(B1336^2+C1336^2)</f>
        <v>44.7149428150322</v>
      </c>
      <c r="E1336" s="125" t="n">
        <f aca="false">20*LOG10(MAX(D1336,0.000000000001)/$K$3)</f>
        <v>33.009053593578</v>
      </c>
    </row>
    <row r="1337" customFormat="false" ht="15" hidden="false" customHeight="false" outlineLevel="0" collapsed="false">
      <c r="A1337" s="126" t="n">
        <f aca="false">A1336+$F$3</f>
        <v>13310</v>
      </c>
      <c r="B1337" s="127" t="n">
        <f aca="false">SUMPRODUCT(固有振動数!$Q$6:$Q$22*(1-($A1337/固有振動数!$O$6:$O$22)^2)/((1-($A1337/固有振動数!$O$6:$O$22)^2)^2+固有振動数!$P$6:$P$22^2))</f>
        <v>17.0802509333551</v>
      </c>
      <c r="C1337" s="127" t="n">
        <f aca="false">-SUMPRODUCT(固有振動数!$Q$6:$Q$22*固有振動数!$P$6:$P$22/((1-($A1337/固有振動数!$O$6:$O$22)^2)^2+固有振動数!$P$6:$P$22^2))</f>
        <v>-42.0631540558856</v>
      </c>
      <c r="D1337" s="128" t="n">
        <f aca="false">SQRT(B1337^2+C1337^2)</f>
        <v>45.3987213594782</v>
      </c>
      <c r="E1337" s="129" t="n">
        <f aca="false">20*LOG10(MAX(D1337,0.000000000001)/$K$3)</f>
        <v>33.140872425273</v>
      </c>
    </row>
    <row r="1338" customFormat="false" ht="15" hidden="false" customHeight="false" outlineLevel="0" collapsed="false">
      <c r="A1338" s="122" t="n">
        <f aca="false">A1337+$F$3</f>
        <v>13320</v>
      </c>
      <c r="B1338" s="123" t="n">
        <f aca="false">SUMPRODUCT(固有振動数!$Q$6:$Q$22*(1-($A1338/固有振動数!$O$6:$O$22)^2)/((1-($A1338/固有振動数!$O$6:$O$22)^2)^2+固有振動数!$P$6:$P$22^2))</f>
        <v>14.7987975998465</v>
      </c>
      <c r="C1338" s="123" t="n">
        <f aca="false">-SUMPRODUCT(固有振動数!$Q$6:$Q$22*固有振動数!$P$6:$P$22/((1-($A1338/固有振動数!$O$6:$O$22)^2)^2+固有振動数!$P$6:$P$22^2))</f>
        <v>-43.4795929753124</v>
      </c>
      <c r="D1338" s="124" t="n">
        <f aca="false">SQRT(B1338^2+C1338^2)</f>
        <v>45.9290693972789</v>
      </c>
      <c r="E1338" s="125" t="n">
        <f aca="false">20*LOG10(MAX(D1338,0.000000000001)/$K$3)</f>
        <v>33.2417529189306</v>
      </c>
    </row>
    <row r="1339" customFormat="false" ht="15" hidden="false" customHeight="false" outlineLevel="0" collapsed="false">
      <c r="A1339" s="126" t="n">
        <f aca="false">A1338+$F$3</f>
        <v>13330</v>
      </c>
      <c r="B1339" s="127" t="n">
        <f aca="false">SUMPRODUCT(固有振動数!$Q$6:$Q$22*(1-($A1339/固有振動数!$O$6:$O$22)^2)/((1-($A1339/固有振動数!$O$6:$O$22)^2)^2+固有振動数!$P$6:$P$22^2))</f>
        <v>12.2747433179414</v>
      </c>
      <c r="C1339" s="127" t="n">
        <f aca="false">-SUMPRODUCT(固有振動数!$Q$6:$Q$22*固有振動数!$P$6:$P$22/((1-($A1339/固有振動数!$O$6:$O$22)^2)^2+固有振動数!$P$6:$P$22^2))</f>
        <v>-44.6248791046414</v>
      </c>
      <c r="D1339" s="128" t="n">
        <f aca="false">SQRT(B1339^2+C1339^2)</f>
        <v>46.2822769386426</v>
      </c>
      <c r="E1339" s="129" t="n">
        <f aca="false">20*LOG10(MAX(D1339,0.000000000001)/$K$3)</f>
        <v>33.3082943338411</v>
      </c>
    </row>
    <row r="1340" customFormat="false" ht="15" hidden="false" customHeight="false" outlineLevel="0" collapsed="false">
      <c r="A1340" s="122" t="n">
        <f aca="false">A1339+$F$3</f>
        <v>13340</v>
      </c>
      <c r="B1340" s="123" t="n">
        <f aca="false">SUMPRODUCT(固有振動数!$Q$6:$Q$22*(1-($A1340/固有振動数!$O$6:$O$22)^2)/((1-($A1340/固有振動数!$O$6:$O$22)^2)^2+固有振動数!$P$6:$P$22^2))</f>
        <v>9.55624107349412</v>
      </c>
      <c r="C1340" s="123" t="n">
        <f aca="false">-SUMPRODUCT(固有振動数!$Q$6:$Q$22*固有振動数!$P$6:$P$22/((1-($A1340/固有振動数!$O$6:$O$22)^2)^2+固有振動数!$P$6:$P$22^2))</f>
        <v>-45.4448182278431</v>
      </c>
      <c r="D1340" s="124" t="n">
        <f aca="false">SQRT(B1340^2+C1340^2)</f>
        <v>46.4387041939849</v>
      </c>
      <c r="E1340" s="125" t="n">
        <f aca="false">20*LOG10(MAX(D1340,0.000000000001)/$K$3)</f>
        <v>33.3376018573112</v>
      </c>
    </row>
    <row r="1341" customFormat="false" ht="15" hidden="false" customHeight="false" outlineLevel="0" collapsed="false">
      <c r="A1341" s="126" t="n">
        <f aca="false">A1340+$F$3</f>
        <v>13350</v>
      </c>
      <c r="B1341" s="127" t="n">
        <f aca="false">SUMPRODUCT(固有振動数!$Q$6:$Q$22*(1-($A1341/固有振動数!$O$6:$O$22)^2)/((1-($A1341/固有振動数!$O$6:$O$22)^2)^2+固有振動数!$P$6:$P$22^2))</f>
        <v>6.70656278622705</v>
      </c>
      <c r="C1341" s="127" t="n">
        <f aca="false">-SUMPRODUCT(固有振動数!$Q$6:$Q$22*固有振動数!$P$6:$P$22/((1-($A1341/固有振動数!$O$6:$O$22)^2)^2+固有振動数!$P$6:$P$22^2))</f>
        <v>-45.8973244818415</v>
      </c>
      <c r="D1341" s="128" t="n">
        <f aca="false">SQRT(B1341^2+C1341^2)</f>
        <v>46.3847213961348</v>
      </c>
      <c r="E1341" s="129" t="n">
        <f aca="false">20*LOG10(MAX(D1341,0.000000000001)/$K$3)</f>
        <v>33.3274990481472</v>
      </c>
    </row>
    <row r="1342" customFormat="false" ht="15" hidden="false" customHeight="false" outlineLevel="0" collapsed="false">
      <c r="A1342" s="122" t="n">
        <f aca="false">A1341+$F$3</f>
        <v>13360</v>
      </c>
      <c r="B1342" s="123" t="n">
        <f aca="false">SUMPRODUCT(固有振動数!$Q$6:$Q$22*(1-($A1342/固有振動数!$O$6:$O$22)^2)/((1-($A1342/固有振動数!$O$6:$O$22)^2)^2+固有振動数!$P$6:$P$22^2))</f>
        <v>3.79996971998531</v>
      </c>
      <c r="C1342" s="123" t="n">
        <f aca="false">-SUMPRODUCT(固有振動数!$Q$6:$Q$22*固有振動数!$P$6:$P$22/((1-($A1342/固有振動数!$O$6:$O$22)^2)^2+固有振動数!$P$6:$P$22^2))</f>
        <v>-45.9574136896518</v>
      </c>
      <c r="D1342" s="124" t="n">
        <f aca="false">SQRT(B1342^2+C1342^2)</f>
        <v>46.1142455529157</v>
      </c>
      <c r="E1342" s="125" t="n">
        <f aca="false">20*LOG10(MAX(D1342,0.000000000001)/$K$3)</f>
        <v>33.2767021560883</v>
      </c>
    </row>
    <row r="1343" customFormat="false" ht="15" hidden="false" customHeight="false" outlineLevel="0" collapsed="false">
      <c r="A1343" s="126" t="n">
        <f aca="false">A1342+$F$3</f>
        <v>13370</v>
      </c>
      <c r="B1343" s="127" t="n">
        <f aca="false">SUMPRODUCT(固有振動数!$Q$6:$Q$22*(1-($A1343/固有振動数!$O$6:$O$22)^2)/((1-($A1343/固有振動数!$O$6:$O$22)^2)^2+固有振動数!$P$6:$P$22^2))</f>
        <v>0.915727969653061</v>
      </c>
      <c r="C1343" s="127" t="n">
        <f aca="false">-SUMPRODUCT(固有振動数!$Q$6:$Q$22*固有振動数!$P$6:$P$22/((1-($A1343/固有振動数!$O$6:$O$22)^2)^2+固有振動数!$P$6:$P$22^2))</f>
        <v>-45.6203853333655</v>
      </c>
      <c r="D1343" s="128" t="n">
        <f aca="false">SQRT(B1343^2+C1343^2)</f>
        <v>45.6295750109417</v>
      </c>
      <c r="E1343" s="129" t="n">
        <f aca="false">20*LOG10(MAX(D1343,0.000000000001)/$K$3)</f>
        <v>33.1849284763682</v>
      </c>
    </row>
    <row r="1344" customFormat="false" ht="15" hidden="false" customHeight="false" outlineLevel="0" collapsed="false">
      <c r="A1344" s="122" t="n">
        <f aca="false">A1343+$F$3</f>
        <v>13380</v>
      </c>
      <c r="B1344" s="123" t="n">
        <f aca="false">SUMPRODUCT(固有振動数!$Q$6:$Q$22*(1-($A1344/固有振動数!$O$6:$O$22)^2)/((1-($A1344/固有振動数!$O$6:$O$22)^2)^2+固有振動数!$P$6:$P$22^2))</f>
        <v>-1.86877398143598</v>
      </c>
      <c r="C1344" s="123" t="n">
        <f aca="false">-SUMPRODUCT(固有振動数!$Q$6:$Q$22*固有振動数!$P$6:$P$22/((1-($A1344/固有振動数!$O$6:$O$22)^2)^2+固有振動数!$P$6:$P$22^2))</f>
        <v>-44.902467521142</v>
      </c>
      <c r="D1344" s="124" t="n">
        <f aca="false">SQRT(B1344^2+C1344^2)</f>
        <v>44.9413384945409</v>
      </c>
      <c r="E1344" s="125" t="n">
        <f aca="false">20*LOG10(MAX(D1344,0.000000000001)/$K$3)</f>
        <v>33.0529200586522</v>
      </c>
    </row>
    <row r="1345" customFormat="false" ht="15" hidden="false" customHeight="false" outlineLevel="0" collapsed="false">
      <c r="A1345" s="126" t="n">
        <f aca="false">A1344+$F$3</f>
        <v>13390</v>
      </c>
      <c r="B1345" s="127" t="n">
        <f aca="false">SUMPRODUCT(固有振動数!$Q$6:$Q$22*(1-($A1345/固有振動数!$O$6:$O$22)^2)/((1-($A1345/固有振動数!$O$6:$O$22)^2)^2+固有振動数!$P$6:$P$22^2))</f>
        <v>-4.4845835518927</v>
      </c>
      <c r="C1345" s="127" t="n">
        <f aca="false">-SUMPRODUCT(固有振動数!$Q$6:$Q$22*固有振動数!$P$6:$P$22/((1-($A1345/固有振動数!$O$6:$O$22)^2)^2+固有振動数!$P$6:$P$22^2))</f>
        <v>-43.8387689838092</v>
      </c>
      <c r="D1345" s="128" t="n">
        <f aca="false">SQRT(B1345^2+C1345^2)</f>
        <v>44.0675521858169</v>
      </c>
      <c r="E1345" s="129" t="n">
        <f aca="false">20*LOG10(MAX(D1345,0.000000000001)/$K$3)</f>
        <v>32.882378549696</v>
      </c>
    </row>
    <row r="1346" customFormat="false" ht="15" hidden="false" customHeight="false" outlineLevel="0" collapsed="false">
      <c r="A1346" s="122" t="n">
        <f aca="false">A1345+$F$3</f>
        <v>13400</v>
      </c>
      <c r="B1346" s="123" t="n">
        <f aca="false">SUMPRODUCT(固有振動数!$Q$6:$Q$22*(1-($A1346/固有振動数!$O$6:$O$22)^2)/((1-($A1346/固有振動数!$O$6:$O$22)^2)^2+固有振動数!$P$6:$P$22^2))</f>
        <v>-6.87629047373588</v>
      </c>
      <c r="C1346" s="123" t="n">
        <f aca="false">-SUMPRODUCT(固有振動数!$Q$6:$Q$22*固有振動数!$P$6:$P$22/((1-($A1346/固有振動数!$O$6:$O$22)^2)^2+固有振動数!$P$6:$P$22^2))</f>
        <v>-42.4790095770645</v>
      </c>
      <c r="D1346" s="124" t="n">
        <f aca="false">SQRT(B1346^2+C1346^2)</f>
        <v>43.0319605099225</v>
      </c>
      <c r="E1346" s="125" t="n">
        <f aca="false">20*LOG10(MAX(D1346,0.000000000001)/$K$3)</f>
        <v>32.6758226545097</v>
      </c>
    </row>
    <row r="1347" customFormat="false" ht="15" hidden="false" customHeight="false" outlineLevel="0" collapsed="false">
      <c r="A1347" s="126" t="n">
        <f aca="false">A1346+$F$3</f>
        <v>13410</v>
      </c>
      <c r="B1347" s="127" t="n">
        <f aca="false">SUMPRODUCT(固有振動数!$Q$6:$Q$22*(1-($A1347/固有振動数!$O$6:$O$22)^2)/((1-($A1347/固有振動数!$O$6:$O$22)^2)^2+固有振動数!$P$6:$P$22^2))</f>
        <v>-9.00496676623949</v>
      </c>
      <c r="C1347" s="127" t="n">
        <f aca="false">-SUMPRODUCT(固有振動数!$Q$6:$Q$22*固有振動数!$P$6:$P$22/((1-($A1347/固有振動数!$O$6:$O$22)^2)^2+固有振動数!$P$6:$P$22^2))</f>
        <v>-40.8819596857028</v>
      </c>
      <c r="D1347" s="128" t="n">
        <f aca="false">SQRT(B1347^2+C1347^2)</f>
        <v>41.861964289848</v>
      </c>
      <c r="E1347" s="129" t="n">
        <f aca="false">20*LOG10(MAX(D1347,0.000000000001)/$K$3)</f>
        <v>32.4363920578016</v>
      </c>
    </row>
    <row r="1348" customFormat="false" ht="15" hidden="false" customHeight="false" outlineLevel="0" collapsed="false">
      <c r="A1348" s="122" t="n">
        <f aca="false">A1347+$F$3</f>
        <v>13420</v>
      </c>
      <c r="B1348" s="123" t="n">
        <f aca="false">SUMPRODUCT(固有振動数!$Q$6:$Q$22*(1-($A1348/固有振動数!$O$6:$O$22)^2)/((1-($A1348/固有振動数!$O$6:$O$22)^2)^2+固有振動数!$P$6:$P$22^2))</f>
        <v>-10.848785840283</v>
      </c>
      <c r="C1348" s="123" t="n">
        <f aca="false">-SUMPRODUCT(固有振動数!$Q$6:$Q$22*固有振動数!$P$6:$P$22/((1-($A1348/固有振動数!$O$6:$O$22)^2)^2+固有振動数!$P$6:$P$22^2))</f>
        <v>-39.1096677089093</v>
      </c>
      <c r="D1348" s="124" t="n">
        <f aca="false">SQRT(B1348^2+C1348^2)</f>
        <v>40.5864788138812</v>
      </c>
      <c r="E1348" s="125" t="n">
        <f aca="false">20*LOG10(MAX(D1348,0.000000000001)/$K$3)</f>
        <v>32.1676274919602</v>
      </c>
    </row>
    <row r="1349" customFormat="false" ht="15" hidden="false" customHeight="false" outlineLevel="0" collapsed="false">
      <c r="A1349" s="126" t="n">
        <f aca="false">A1348+$F$3</f>
        <v>13430</v>
      </c>
      <c r="B1349" s="127" t="n">
        <f aca="false">SUMPRODUCT(固有振動数!$Q$6:$Q$22*(1-($A1349/固有振動数!$O$6:$O$22)^2)/((1-($A1349/固有振動数!$O$6:$O$22)^2)^2+固有振動数!$P$6:$P$22^2))</f>
        <v>-12.4016667054955</v>
      </c>
      <c r="C1349" s="127" t="n">
        <f aca="false">-SUMPRODUCT(固有振動数!$Q$6:$Q$22*固有振動数!$P$6:$P$22/((1-($A1349/固有振動数!$O$6:$O$22)^2)^2+固有振動数!$P$6:$P$22^2))</f>
        <v>-37.2223951872761</v>
      </c>
      <c r="D1349" s="128" t="n">
        <f aca="false">SQRT(B1349^2+C1349^2)</f>
        <v>39.234016370389</v>
      </c>
      <c r="E1349" s="129" t="n">
        <f aca="false">20*LOG10(MAX(D1349,0.000000000001)/$K$3)</f>
        <v>31.8732553791154</v>
      </c>
    </row>
    <row r="1350" customFormat="false" ht="15" hidden="false" customHeight="false" outlineLevel="0" collapsed="false">
      <c r="A1350" s="122" t="n">
        <f aca="false">A1349+$F$3</f>
        <v>13440</v>
      </c>
      <c r="B1350" s="123" t="n">
        <f aca="false">SUMPRODUCT(固有振動数!$Q$6:$Q$22*(1-($A1350/固有振動数!$O$6:$O$22)^2)/((1-($A1350/固有振動数!$O$6:$O$22)^2)^2+固有振動数!$P$6:$P$22^2))</f>
        <v>-13.6705885391049</v>
      </c>
      <c r="C1350" s="123" t="n">
        <f aca="false">-SUMPRODUCT(固有振動数!$Q$6:$Q$22*固有振動数!$P$6:$P$22/((1-($A1350/固有振動数!$O$6:$O$22)^2)^2+固有振動数!$P$6:$P$22^2))</f>
        <v>-35.2748289968887</v>
      </c>
      <c r="D1350" s="124" t="n">
        <f aca="false">SQRT(B1350^2+C1350^2)</f>
        <v>37.8311849109336</v>
      </c>
      <c r="E1350" s="125" t="n">
        <f aca="false">20*LOG10(MAX(D1350,0.000000000001)/$K$3)</f>
        <v>31.5569988809545</v>
      </c>
    </row>
    <row r="1351" customFormat="false" ht="15" hidden="false" customHeight="false" outlineLevel="0" collapsed="false">
      <c r="A1351" s="126" t="n">
        <f aca="false">A1350+$F$3</f>
        <v>13450</v>
      </c>
      <c r="B1351" s="127" t="n">
        <f aca="false">SUMPRODUCT(固有振動数!$Q$6:$Q$22*(1-($A1351/固有振動数!$O$6:$O$22)^2)/((1-($A1351/固有振動数!$O$6:$O$22)^2)^2+固有振動数!$P$6:$P$22^2))</f>
        <v>-14.6722869784662</v>
      </c>
      <c r="C1351" s="127" t="n">
        <f aca="false">-SUMPRODUCT(固有振動数!$Q$6:$Q$22*固有振動数!$P$6:$P$22/((1-($A1351/固有振動数!$O$6:$O$22)^2)^2+固有振動数!$P$6:$P$22^2))</f>
        <v>-33.3137537742848</v>
      </c>
      <c r="D1351" s="128" t="n">
        <f aca="false">SQRT(B1351^2+C1351^2)</f>
        <v>36.4016784738306</v>
      </c>
      <c r="E1351" s="129" t="n">
        <f aca="false">20*LOG10(MAX(D1351,0.000000000001)/$K$3)</f>
        <v>31.2224281867814</v>
      </c>
    </row>
    <row r="1352" customFormat="false" ht="15" hidden="false" customHeight="false" outlineLevel="0" collapsed="false">
      <c r="A1352" s="122" t="n">
        <f aca="false">A1351+$F$3</f>
        <v>13460</v>
      </c>
      <c r="B1352" s="123" t="n">
        <f aca="false">SUMPRODUCT(固有振動数!$Q$6:$Q$22*(1-($A1352/固有振動数!$O$6:$O$22)^2)/((1-($A1352/固有振動数!$O$6:$O$22)^2)^2+固有振動数!$P$6:$P$22^2))</f>
        <v>-15.4299327077216</v>
      </c>
      <c r="C1352" s="123" t="n">
        <f aca="false">-SUMPRODUCT(固有振動数!$Q$6:$Q$22*固有振動数!$P$6:$P$22/((1-($A1352/固有振動数!$O$6:$O$22)^2)^2+固有振動数!$P$6:$P$22^2))</f>
        <v>-31.3770628248238</v>
      </c>
      <c r="D1352" s="124" t="n">
        <f aca="false">SQRT(B1352^2+C1352^2)</f>
        <v>34.965738872184</v>
      </c>
      <c r="E1352" s="125" t="n">
        <f aca="false">20*LOG10(MAX(D1352,0.000000000001)/$K$3)</f>
        <v>30.8728541977696</v>
      </c>
    </row>
    <row r="1353" customFormat="false" ht="15" hidden="false" customHeight="false" outlineLevel="0" collapsed="false">
      <c r="A1353" s="126" t="n">
        <f aca="false">A1352+$F$3</f>
        <v>13470</v>
      </c>
      <c r="B1353" s="127" t="n">
        <f aca="false">SUMPRODUCT(固有振動数!$Q$6:$Q$22*(1-($A1353/固有振動数!$O$6:$O$22)^2)/((1-($A1353/固有振動数!$O$6:$O$22)^2)^2+固有振動数!$P$6:$P$22^2))</f>
        <v>-15.9701968533626</v>
      </c>
      <c r="C1353" s="127" t="n">
        <f aca="false">-SUMPRODUCT(固有振動数!$Q$6:$Q$22*固有振動数!$P$6:$P$22/((1-($A1353/固有振動数!$O$6:$O$22)^2)^2+固有振動数!$P$6:$P$22^2))</f>
        <v>-29.493811680631</v>
      </c>
      <c r="D1353" s="128" t="n">
        <f aca="false">SQRT(B1353^2+C1353^2)</f>
        <v>33.5400076772155</v>
      </c>
      <c r="E1353" s="129" t="n">
        <f aca="false">20*LOG10(MAX(D1353,0.000000000001)/$K$3)</f>
        <v>30.5112631535778</v>
      </c>
    </row>
    <row r="1354" customFormat="false" ht="15" hidden="false" customHeight="false" outlineLevel="0" collapsed="false">
      <c r="A1354" s="122" t="n">
        <f aca="false">A1353+$F$3</f>
        <v>13480</v>
      </c>
      <c r="B1354" s="123" t="n">
        <f aca="false">SUMPRODUCT(固有振動数!$Q$6:$Q$22*(1-($A1354/固有振動数!$O$6:$O$22)^2)/((1-($A1354/固有振動数!$O$6:$O$22)^2)^2+固有振動数!$P$6:$P$22^2))</f>
        <v>-16.3209067565727</v>
      </c>
      <c r="C1354" s="123" t="n">
        <f aca="false">-SUMPRODUCT(固有振動数!$Q$6:$Q$22*固有振動数!$P$6:$P$22/((1-($A1354/固有振動数!$O$6:$O$22)^2)^2+固有振動数!$P$6:$P$22^2))</f>
        <v>-27.6849664605082</v>
      </c>
      <c r="D1354" s="124" t="n">
        <f aca="false">SQRT(B1354^2+C1354^2)</f>
        <v>32.1376627226718</v>
      </c>
      <c r="E1354" s="125" t="n">
        <f aca="false">20*LOG10(MAX(D1354,0.000000000001)/$K$3)</f>
        <v>30.1402857724066</v>
      </c>
    </row>
    <row r="1355" customFormat="false" ht="15" hidden="false" customHeight="false" outlineLevel="0" collapsed="false">
      <c r="A1355" s="126" t="n">
        <f aca="false">A1354+$F$3</f>
        <v>13490</v>
      </c>
      <c r="B1355" s="127" t="n">
        <f aca="false">SUMPRODUCT(固有振動数!$Q$6:$Q$22*(1-($A1355/固有振動数!$O$6:$O$22)^2)/((1-($A1355/固有振動数!$O$6:$O$22)^2)^2+固有振動数!$P$6:$P$22^2))</f>
        <v>-16.5093372525793</v>
      </c>
      <c r="C1355" s="127" t="n">
        <f aca="false">-SUMPRODUCT(固有振動数!$Q$6:$Q$22*固有振動数!$P$6:$P$22/((1-($A1355/固有振動数!$O$6:$O$22)^2)^2+固有振動数!$P$6:$P$22^2))</f>
        <v>-25.9645305352943</v>
      </c>
      <c r="D1355" s="128" t="n">
        <f aca="false">SQRT(B1355^2+C1355^2)</f>
        <v>30.7687351452352</v>
      </c>
      <c r="E1355" s="129" t="n">
        <f aca="false">20*LOG10(MAX(D1355,0.000000000001)/$K$3)</f>
        <v>29.7621928688975</v>
      </c>
    </row>
    <row r="1356" customFormat="false" ht="15" hidden="false" customHeight="false" outlineLevel="0" collapsed="false">
      <c r="A1356" s="122" t="n">
        <f aca="false">A1355+$F$3</f>
        <v>13500</v>
      </c>
      <c r="B1356" s="123" t="n">
        <f aca="false">SUMPRODUCT(固有振動数!$Q$6:$Q$22*(1-($A1356/固有振動数!$O$6:$O$22)^2)/((1-($A1356/固有振動数!$O$6:$O$22)^2)^2+固有振動数!$P$6:$P$22^2))</f>
        <v>-16.5610816986127</v>
      </c>
      <c r="C1356" s="123" t="n">
        <f aca="false">-SUMPRODUCT(固有振動数!$Q$6:$Q$22*固有振動数!$P$6:$P$22/((1-($A1356/固有振動数!$O$6:$O$22)^2)^2+固有振動数!$P$6:$P$22^2))</f>
        <v>-24.3408049474133</v>
      </c>
      <c r="D1356" s="124" t="n">
        <f aca="false">SQRT(B1356^2+C1356^2)</f>
        <v>29.4405199090665</v>
      </c>
      <c r="E1356" s="125" t="n">
        <f aca="false">20*LOG10(MAX(D1356,0.000000000001)/$K$3)</f>
        <v>29.3789095043724</v>
      </c>
    </row>
    <row r="1357" customFormat="false" ht="15" hidden="false" customHeight="false" outlineLevel="0" collapsed="false">
      <c r="A1357" s="126" t="n">
        <f aca="false">A1356+$F$3</f>
        <v>13510</v>
      </c>
      <c r="B1357" s="127" t="n">
        <f aca="false">SUMPRODUCT(固有振動数!$Q$6:$Q$22*(1-($A1357/固有振動数!$O$6:$O$22)^2)/((1-($A1357/固有振動数!$O$6:$O$22)^2)^2+固有振動数!$P$6:$P$22^2))</f>
        <v>-16.4993977214996</v>
      </c>
      <c r="C1357" s="127" t="n">
        <f aca="false">-SUMPRODUCT(固有振動数!$Q$6:$Q$22*固有振動数!$P$6:$P$22/((1-($A1357/固有振動数!$O$6:$O$22)^2)^2+固有振動数!$P$6:$P$22^2))</f>
        <v>-22.8176181115988</v>
      </c>
      <c r="D1357" s="128" t="n">
        <f aca="false">SQRT(B1357^2+C1357^2)</f>
        <v>28.1580152258462</v>
      </c>
      <c r="E1357" s="129" t="n">
        <f aca="false">20*LOG10(MAX(D1357,0.000000000001)/$K$3)</f>
        <v>28.9920407886336</v>
      </c>
    </row>
    <row r="1358" customFormat="false" ht="15" hidden="false" customHeight="false" outlineLevel="0" collapsed="false">
      <c r="A1358" s="122" t="n">
        <f aca="false">A1357+$F$3</f>
        <v>13520</v>
      </c>
      <c r="B1358" s="123" t="n">
        <f aca="false">SUMPRODUCT(固有振動数!$Q$6:$Q$22*(1-($A1358/固有振動数!$O$6:$O$22)^2)/((1-($A1358/固有振動数!$O$6:$O$22)^2)^2+固有振動数!$P$6:$P$22^2))</f>
        <v>-16.3449102889904</v>
      </c>
      <c r="C1358" s="123" t="n">
        <f aca="false">-SUMPRODUCT(固有振動数!$Q$6:$Q$22*固有振動数!$P$6:$P$22/((1-($A1358/固有振動数!$O$6:$O$22)^2)^2+固有振動数!$P$6:$P$22^2))</f>
        <v>-21.3954299815394</v>
      </c>
      <c r="D1358" s="124" t="n">
        <f aca="false">SQRT(B1358^2+C1358^2)</f>
        <v>26.9243480227489</v>
      </c>
      <c r="E1358" s="125" t="n">
        <f aca="false">20*LOG10(MAX(D1358,0.000000000001)/$K$3)</f>
        <v>28.6029039117861</v>
      </c>
    </row>
    <row r="1359" customFormat="false" ht="15" hidden="false" customHeight="false" outlineLevel="0" collapsed="false">
      <c r="A1359" s="126" t="n">
        <f aca="false">A1358+$F$3</f>
        <v>13530</v>
      </c>
      <c r="B1359" s="127" t="n">
        <f aca="false">SUMPRODUCT(固有振動数!$Q$6:$Q$22*(1-($A1359/固有振動数!$O$6:$O$22)^2)/((1-($A1359/固有振動数!$O$6:$O$22)^2)^2+固有振動数!$P$6:$P$22^2))</f>
        <v>-16.1155640311324</v>
      </c>
      <c r="C1359" s="127" t="n">
        <f aca="false">-SUMPRODUCT(固有振動数!$Q$6:$Q$22*固有振動数!$P$6:$P$22/((1-($A1359/固有振動数!$O$6:$O$22)^2)^2+固有振動数!$P$6:$P$22^2))</f>
        <v>-20.0722679582048</v>
      </c>
      <c r="D1359" s="128" t="n">
        <f aca="false">SQRT(B1359^2+C1359^2)</f>
        <v>25.741160522158</v>
      </c>
      <c r="E1359" s="129" t="n">
        <f aca="false">20*LOG10(MAX(D1359,0.000000000001)/$K$3)</f>
        <v>28.212562457434</v>
      </c>
    </row>
    <row r="1360" customFormat="false" ht="15" hidden="false" customHeight="false" outlineLevel="0" collapsed="false">
      <c r="A1360" s="122" t="n">
        <f aca="false">A1359+$F$3</f>
        <v>13540</v>
      </c>
      <c r="B1360" s="123" t="n">
        <f aca="false">SUMPRODUCT(固有振動数!$Q$6:$Q$22*(1-($A1360/固有振動数!$O$6:$O$22)^2)/((1-($A1360/固有振動数!$O$6:$O$22)^2)^2+固有振動数!$P$6:$P$22^2))</f>
        <v>-15.8267359116678</v>
      </c>
      <c r="C1360" s="123" t="n">
        <f aca="false">-SUMPRODUCT(固有振動数!$Q$6:$Q$22*固有振動数!$P$6:$P$22/((1-($A1360/固有振動数!$O$6:$O$22)^2)^2+固有振動数!$P$6:$P$22^2))</f>
        <v>-18.8444862716623</v>
      </c>
      <c r="D1360" s="124" t="n">
        <f aca="false">SQRT(B1360^2+C1360^2)</f>
        <v>24.6089461875259</v>
      </c>
      <c r="E1360" s="125" t="n">
        <f aca="false">20*LOG10(MAX(D1360,0.000000000001)/$K$3)</f>
        <v>27.8218603319663</v>
      </c>
    </row>
    <row r="1361" customFormat="false" ht="15" hidden="false" customHeight="false" outlineLevel="0" collapsed="false">
      <c r="A1361" s="126" t="n">
        <f aca="false">A1360+$F$3</f>
        <v>13550</v>
      </c>
      <c r="B1361" s="127" t="n">
        <f aca="false">SUMPRODUCT(固有振動数!$Q$6:$Q$22*(1-($A1361/固有振動数!$O$6:$O$22)^2)/((1-($A1361/固有振動数!$O$6:$O$22)^2)^2+固有振動数!$P$6:$P$22^2))</f>
        <v>-15.4914407393061</v>
      </c>
      <c r="C1361" s="127" t="n">
        <f aca="false">-SUMPRODUCT(固有振動数!$Q$6:$Q$22*固有振動数!$P$6:$P$22/((1-($A1361/固有振動数!$O$6:$O$22)^2)^2+固有振動数!$P$6:$P$22^2))</f>
        <v>-17.7073606249848</v>
      </c>
      <c r="D1361" s="128" t="n">
        <f aca="false">SQRT(B1361^2+C1361^2)</f>
        <v>23.5273321157052</v>
      </c>
      <c r="E1361" s="129" t="n">
        <f aca="false">20*LOG10(MAX(D1361,0.000000000001)/$K$3)</f>
        <v>27.4314536619925</v>
      </c>
    </row>
    <row r="1362" customFormat="false" ht="15" hidden="false" customHeight="false" outlineLevel="0" collapsed="false">
      <c r="A1362" s="122" t="n">
        <f aca="false">A1361+$F$3</f>
        <v>13560</v>
      </c>
      <c r="B1362" s="123" t="n">
        <f aca="false">SUMPRODUCT(固有振動数!$Q$6:$Q$22*(1-($A1362/固有振動数!$O$6:$O$22)^2)/((1-($A1362/固有振動数!$O$6:$O$22)^2)^2+固有振動数!$P$6:$P$22^2))</f>
        <v>-15.1205815056918</v>
      </c>
      <c r="C1362" s="123" t="n">
        <f aca="false">-SUMPRODUCT(固有振動数!$Q$6:$Q$22*固有振動数!$P$6:$P$22/((1-($A1362/固有振動数!$O$6:$O$22)^2)^2+固有振動数!$P$6:$P$22^2))</f>
        <v>-16.6555396274058</v>
      </c>
      <c r="D1362" s="124" t="n">
        <f aca="false">SQRT(B1362^2+C1362^2)</f>
        <v>22.495310296823</v>
      </c>
      <c r="E1362" s="125" t="n">
        <f aca="false">20*LOG10(MAX(D1362,0.000000000001)/$K$3)</f>
        <v>27.0418397626732</v>
      </c>
    </row>
    <row r="1363" customFormat="false" ht="15" hidden="false" customHeight="false" outlineLevel="0" collapsed="false">
      <c r="A1363" s="126" t="n">
        <f aca="false">A1362+$F$3</f>
        <v>13570</v>
      </c>
      <c r="B1363" s="127" t="n">
        <f aca="false">SUMPRODUCT(固有振動数!$Q$6:$Q$22*(1-($A1363/固有振動数!$O$6:$O$22)^2)/((1-($A1363/固有振動数!$O$6:$O$22)^2)^2+固有振動数!$P$6:$P$22^2))</f>
        <v>-14.7232124502605</v>
      </c>
      <c r="C1363" s="127" t="n">
        <f aca="false">-SUMPRODUCT(固有振動数!$Q$6:$Q$22*固有振動数!$P$6:$P$22/((1-($A1363/固有振動数!$O$6:$O$22)^2)^2+固有振動数!$P$6:$P$22^2))</f>
        <v>-15.6833776331714</v>
      </c>
      <c r="D1363" s="128" t="n">
        <f aca="false">SQRT(B1363^2+C1363^2)</f>
        <v>21.5114229850135</v>
      </c>
      <c r="E1363" s="129" t="n">
        <f aca="false">20*LOG10(MAX(D1363,0.000000000001)/$K$3)</f>
        <v>26.6533828001235</v>
      </c>
    </row>
    <row r="1364" customFormat="false" ht="15" hidden="false" customHeight="false" outlineLevel="0" collapsed="false">
      <c r="A1364" s="122" t="n">
        <f aca="false">A1363+$F$3</f>
        <v>13580</v>
      </c>
      <c r="B1364" s="123" t="n">
        <f aca="false">SUMPRODUCT(固有振動数!$Q$6:$Q$22*(1-($A1364/固有振動数!$O$6:$O$22)^2)/((1-($A1364/固有振動数!$O$6:$O$22)^2)^2+固有振動数!$P$6:$P$22^2))</f>
        <v>-14.3067948076766</v>
      </c>
      <c r="C1364" s="123" t="n">
        <f aca="false">-SUMPRODUCT(固有振動数!$Q$6:$Q$22*固有振動数!$P$6:$P$22/((1-($A1364/固有振動数!$O$6:$O$22)^2)^2+固有振動数!$P$6:$P$22^2))</f>
        <v>-14.7851728485917</v>
      </c>
      <c r="D1364" s="124" t="n">
        <f aca="false">SQRT(B1364^2+C1364^2)</f>
        <v>20.5739085696348</v>
      </c>
      <c r="E1364" s="125" t="n">
        <f aca="false">20*LOG10(MAX(D1364,0.000000000001)/$K$3)</f>
        <v>26.2663361099996</v>
      </c>
    </row>
    <row r="1365" customFormat="false" ht="15" hidden="false" customHeight="false" outlineLevel="0" collapsed="false">
      <c r="A1365" s="126" t="n">
        <f aca="false">A1364+$F$3</f>
        <v>13590</v>
      </c>
      <c r="B1365" s="127" t="n">
        <f aca="false">SUMPRODUCT(固有振動数!$Q$6:$Q$22*(1-($A1365/固有振動数!$O$6:$O$22)^2)/((1-($A1365/固有振動数!$O$6:$O$22)^2)^2+固有振動数!$P$6:$P$22^2))</f>
        <v>-13.8774338131178</v>
      </c>
      <c r="C1365" s="127" t="n">
        <f aca="false">-SUMPRODUCT(固有振動数!$Q$6:$Q$22*固有振動数!$P$6:$P$22/((1-($A1365/固有振動数!$O$6:$O$22)^2)^2+固有振動数!$P$6:$P$22^2))</f>
        <v>-13.9553318979653</v>
      </c>
      <c r="D1365" s="128" t="n">
        <f aca="false">SQRT(B1365^2+C1365^2)</f>
        <v>19.6808144551955</v>
      </c>
      <c r="E1365" s="129" t="n">
        <f aca="false">20*LOG10(MAX(D1365,0.000000000001)/$K$3)</f>
        <v>25.880861339303</v>
      </c>
    </row>
    <row r="1366" customFormat="false" ht="15" hidden="false" customHeight="false" outlineLevel="0" collapsed="false">
      <c r="A1366" s="122" t="n">
        <f aca="false">A1365+$F$3</f>
        <v>13600</v>
      </c>
      <c r="B1366" s="123" t="n">
        <f aca="false">SUMPRODUCT(固有振動数!$Q$6:$Q$22*(1-($A1366/固有振動数!$O$6:$O$22)^2)/((1-($A1366/固有振動数!$O$6:$O$22)^2)^2+固有振動数!$P$6:$P$22^2))</f>
        <v>-13.4400913979095</v>
      </c>
      <c r="C1366" s="123" t="n">
        <f aca="false">-SUMPRODUCT(固有振動数!$Q$6:$Q$22*固有振動数!$P$6:$P$22/((1-($A1366/固有振動数!$O$6:$O$22)^2)^2+固有振動数!$P$6:$P$22^2))</f>
        <v>-13.1884786560411</v>
      </c>
      <c r="D1366" s="124" t="n">
        <f aca="false">SQRT(B1366^2+C1366^2)</f>
        <v>18.830083006854</v>
      </c>
      <c r="E1366" s="125" t="n">
        <f aca="false">20*LOG10(MAX(D1366,0.000000000001)/$K$3)</f>
        <v>25.4970446895943</v>
      </c>
    </row>
    <row r="1367" customFormat="false" ht="15" hidden="false" customHeight="false" outlineLevel="0" collapsed="false">
      <c r="A1367" s="126" t="n">
        <f aca="false">A1366+$F$3</f>
        <v>13610</v>
      </c>
      <c r="B1367" s="127" t="n">
        <f aca="false">SUMPRODUCT(固有振動数!$Q$6:$Q$22*(1-($A1367/固有振動数!$O$6:$O$22)^2)/((1-($A1367/固有振動数!$O$6:$O$22)^2)^2+固有振動数!$P$6:$P$22^2))</f>
        <v>-12.9987727897568</v>
      </c>
      <c r="C1367" s="127" t="n">
        <f aca="false">-SUMPRODUCT(固有振動数!$Q$6:$Q$22*固有振動数!$P$6:$P$22/((1-($A1367/固有振動数!$O$6:$O$22)^2)^2+固有振動数!$P$6:$P$22^2))</f>
        <v>-12.4795217490683</v>
      </c>
      <c r="D1367" s="128" t="n">
        <f aca="false">SQRT(B1367^2+C1367^2)</f>
        <v>18.0196158983811</v>
      </c>
      <c r="E1367" s="129" t="n">
        <f aca="false">20*LOG10(MAX(D1367,0.000000000001)/$K$3)</f>
        <v>25.1149105885863</v>
      </c>
    </row>
    <row r="1368" customFormat="false" ht="15" hidden="false" customHeight="false" outlineLevel="0" collapsed="false">
      <c r="A1368" s="122" t="n">
        <f aca="false">A1367+$F$3</f>
        <v>13620</v>
      </c>
      <c r="B1368" s="123" t="n">
        <f aca="false">SUMPRODUCT(固有振動数!$Q$6:$Q$22*(1-($A1368/固有振動数!$O$6:$O$22)^2)/((1-($A1368/固有振動数!$O$6:$O$22)^2)^2+固有振動数!$P$6:$P$22^2))</f>
        <v>-12.5566875316523</v>
      </c>
      <c r="C1368" s="123" t="n">
        <f aca="false">-SUMPRODUCT(固有振動数!$Q$6:$Q$22*固有振動数!$P$6:$P$22/((1-($A1368/固有振動数!$O$6:$O$22)^2)^2+固有振動数!$P$6:$P$22^2))</f>
        <v>-11.8236920449849</v>
      </c>
      <c r="D1368" s="124" t="n">
        <f aca="false">SQRT(B1368^2+C1368^2)</f>
        <v>17.2473213961528</v>
      </c>
      <c r="E1368" s="125" t="n">
        <f aca="false">20*LOG10(MAX(D1368,0.000000000001)/$K$3)</f>
        <v>24.7344331265058</v>
      </c>
    </row>
    <row r="1369" customFormat="false" ht="15" hidden="false" customHeight="false" outlineLevel="0" collapsed="false">
      <c r="A1369" s="126" t="n">
        <f aca="false">A1368+$F$3</f>
        <v>13630</v>
      </c>
      <c r="B1369" s="127" t="n">
        <f aca="false">SUMPRODUCT(固有振動数!$Q$6:$Q$22*(1-($A1369/固有振動数!$O$6:$O$22)^2)/((1-($A1369/固有振動数!$O$6:$O$22)^2)^2+固有振動数!$P$6:$P$22^2))</f>
        <v>-12.1163867198206</v>
      </c>
      <c r="C1369" s="127" t="n">
        <f aca="false">-SUMPRODUCT(固有振動数!$Q$6:$Q$22*固有振動数!$P$6:$P$22/((1-($A1369/固有振動数!$O$6:$O$22)^2)^2+固有振動数!$P$6:$P$22^2))</f>
        <v>-11.2165588339157</v>
      </c>
      <c r="D1369" s="128" t="n">
        <f aca="false">SQRT(B1369^2+C1369^2)</f>
        <v>16.5111483313226</v>
      </c>
      <c r="E1369" s="129" t="n">
        <f aca="false">20*LOG10(MAX(D1369,0.000000000001)/$K$3)</f>
        <v>24.3555455798699</v>
      </c>
    </row>
    <row r="1370" customFormat="false" ht="15" hidden="false" customHeight="false" outlineLevel="0" collapsed="false">
      <c r="A1370" s="122" t="n">
        <f aca="false">A1369+$F$3</f>
        <v>13640</v>
      </c>
      <c r="B1370" s="123" t="n">
        <f aca="false">SUMPRODUCT(固有振動数!$Q$6:$Q$22*(1-($A1370/固有振動数!$O$6:$O$22)^2)/((1-($A1370/固有振動数!$O$6:$O$22)^2)^2+固有振動数!$P$6:$P$22^2))</f>
        <v>-11.6798788818791</v>
      </c>
      <c r="C1370" s="123" t="n">
        <f aca="false">-SUMPRODUCT(固有振動数!$Q$6:$Q$22*固有振動数!$P$6:$P$22/((1-($A1370/固有振動数!$O$6:$O$22)^2)^2+固有振動数!$P$6:$P$22^2))</f>
        <v>-10.6540312634627</v>
      </c>
      <c r="D1370" s="124" t="n">
        <f aca="false">SQRT(B1370^2+C1370^2)</f>
        <v>15.8091098060013</v>
      </c>
      <c r="E1370" s="125" t="n">
        <f aca="false">20*LOG10(MAX(D1370,0.000000000001)/$K$3)</f>
        <v>23.9781483192944</v>
      </c>
    </row>
    <row r="1371" customFormat="false" ht="15" hidden="false" customHeight="false" outlineLevel="0" collapsed="false">
      <c r="A1371" s="126" t="n">
        <f aca="false">A1370+$F$3</f>
        <v>13650</v>
      </c>
      <c r="B1371" s="127" t="n">
        <f aca="false">SUMPRODUCT(固有振動数!$Q$6:$Q$22*(1-($A1371/固有振動数!$O$6:$O$22)^2)/((1-($A1371/固有振動数!$O$6:$O$22)^2)^2+固有振動数!$P$6:$P$22^2))</f>
        <v>-11.2487271191169</v>
      </c>
      <c r="C1371" s="127" t="n">
        <f aca="false">-SUMPRODUCT(固有振動数!$Q$6:$Q$22*固有振動数!$P$6:$P$22/((1-($A1371/固有振動数!$O$6:$O$22)^2)^2+固有振動数!$P$6:$P$22^2))</f>
        <v>-10.1323499006143</v>
      </c>
      <c r="D1371" s="128" t="n">
        <f aca="false">SQRT(B1371^2+C1371^2)</f>
        <v>15.1392990692712</v>
      </c>
      <c r="E1371" s="129" t="n">
        <f aca="false">20*LOG10(MAX(D1371,0.000000000001)/$K$3)</f>
        <v>23.6021153666965</v>
      </c>
    </row>
    <row r="1372" customFormat="false" ht="15" hidden="false" customHeight="false" outlineLevel="0" collapsed="false">
      <c r="A1372" s="122" t="n">
        <f aca="false">A1371+$F$3</f>
        <v>13660</v>
      </c>
      <c r="B1372" s="123" t="n">
        <f aca="false">SUMPRODUCT(固有振動数!$Q$6:$Q$22*(1-($A1372/固有振動数!$O$6:$O$22)^2)/((1-($A1372/固有振動数!$O$6:$O$22)^2)^2+固有振動数!$P$6:$P$22^2))</f>
        <v>-10.8241300908863</v>
      </c>
      <c r="C1372" s="123" t="n">
        <f aca="false">-SUMPRODUCT(固有振動数!$Q$6:$Q$22*固有振動数!$P$6:$P$22/((1-($A1372/固有振動数!$O$6:$O$22)^2)^2+固有振動数!$P$6:$P$22^2))</f>
        <v>-9.64807198039303</v>
      </c>
      <c r="D1372" s="124" t="n">
        <f aca="false">SQRT(B1372^2+C1372^2)</f>
        <v>14.4998994880405</v>
      </c>
      <c r="E1372" s="125" t="n">
        <f aca="false">20*LOG10(MAX(D1372,0.000000000001)/$K$3)</f>
        <v>23.2272998351261</v>
      </c>
    </row>
    <row r="1373" customFormat="false" ht="15" hidden="false" customHeight="false" outlineLevel="0" collapsed="false">
      <c r="A1373" s="126" t="n">
        <f aca="false">A1372+$F$3</f>
        <v>13670</v>
      </c>
      <c r="B1373" s="127" t="n">
        <f aca="false">SUMPRODUCT(固有振動数!$Q$6:$Q$22*(1-($A1373/固有振動数!$O$6:$O$22)^2)/((1-($A1373/固有振動数!$O$6:$O$22)^2)^2+固有振動数!$P$6:$P$22^2))</f>
        <v>-10.4069892368103</v>
      </c>
      <c r="C1373" s="127" t="n">
        <f aca="false">-SUMPRODUCT(固有振動数!$Q$6:$Q$22*固有振動数!$P$6:$P$22/((1-($A1373/固有振動数!$O$6:$O$22)^2)^2+固有振動数!$P$6:$P$22^2))</f>
        <v>-9.19805290233676</v>
      </c>
      <c r="D1373" s="128" t="n">
        <f aca="false">SQRT(B1373^2+C1373^2)</f>
        <v>13.8891901192715</v>
      </c>
      <c r="E1373" s="129" t="n">
        <f aca="false">20*LOG10(MAX(D1373,0.000000000001)/$K$3)</f>
        <v>22.8535384540096</v>
      </c>
    </row>
    <row r="1374" customFormat="false" ht="15" hidden="false" customHeight="false" outlineLevel="0" collapsed="false">
      <c r="A1374" s="122" t="n">
        <f aca="false">A1373+$F$3</f>
        <v>13680</v>
      </c>
      <c r="B1374" s="123" t="n">
        <f aca="false">SUMPRODUCT(固有振動数!$Q$6:$Q$22*(1-($A1374/固有振動数!$O$6:$O$22)^2)/((1-($A1374/固有振動数!$O$6:$O$22)^2)^2+固有振動数!$P$6:$P$22^2))</f>
        <v>-9.99796438568376</v>
      </c>
      <c r="C1374" s="123" t="n">
        <f aca="false">-SUMPRODUCT(固有振動数!$Q$6:$Q$22*固有振動数!$P$6:$P$22/((1-($A1374/固有振動数!$O$6:$O$22)^2)^2+固有振動数!$P$6:$P$22^2))</f>
        <v>-8.77942578589216</v>
      </c>
      <c r="D1374" s="124" t="n">
        <f aca="false">SQRT(B1374^2+C1374^2)</f>
        <v>13.3055480528759</v>
      </c>
      <c r="E1374" s="125" t="n">
        <f aca="false">20*LOG10(MAX(D1374,0.000000000001)/$K$3)</f>
        <v>22.4806553551819</v>
      </c>
    </row>
    <row r="1375" customFormat="false" ht="15" hidden="false" customHeight="false" outlineLevel="0" collapsed="false">
      <c r="A1375" s="126" t="n">
        <f aca="false">A1374+$F$3</f>
        <v>13690</v>
      </c>
      <c r="B1375" s="127" t="n">
        <f aca="false">SUMPRODUCT(固有振動数!$Q$6:$Q$22*(1-($A1375/固有振動数!$O$6:$O$22)^2)/((1-($A1375/固有振動数!$O$6:$O$22)^2)^2+固有振動数!$P$6:$P$22^2))</f>
        <v>-9.59751963274626</v>
      </c>
      <c r="C1375" s="127" t="n">
        <f aca="false">-SUMPRODUCT(固有振動数!$Q$6:$Q$22*固有振動数!$P$6:$P$22/((1-($A1375/固有振動数!$O$6:$O$22)^2)^2+固有振動数!$P$6:$P$22^2))</f>
        <v>-8.38958033970881</v>
      </c>
      <c r="D1375" s="128" t="n">
        <f aca="false">SQRT(B1375^2+C1375^2)</f>
        <v>12.747448426151</v>
      </c>
      <c r="E1375" s="129" t="n">
        <f aca="false">20*LOG10(MAX(D1375,0.000000000001)/$K$3)</f>
        <v>22.1084652713376</v>
      </c>
    </row>
    <row r="1376" customFormat="false" ht="15" hidden="false" customHeight="false" outlineLevel="0" collapsed="false">
      <c r="A1376" s="122" t="n">
        <f aca="false">A1375+$F$3</f>
        <v>13700</v>
      </c>
      <c r="B1376" s="123" t="n">
        <f aca="false">SUMPRODUCT(固有振動数!$Q$6:$Q$22*(1-($A1376/固有振動数!$O$6:$O$22)^2)/((1-($A1376/固有振動数!$O$6:$O$22)^2)^2+固有振動数!$P$6:$P$22^2))</f>
        <v>-9.20596110520596</v>
      </c>
      <c r="C1376" s="123" t="n">
        <f aca="false">-SUMPRODUCT(固有振動数!$Q$6:$Q$22*固有振動数!$P$6:$P$22/((1-($A1376/固有振動数!$O$6:$O$22)^2)^2+固有振動数!$P$6:$P$22^2))</f>
        <v>-8.02614189228827</v>
      </c>
      <c r="D1376" s="124" t="n">
        <f aca="false">SQRT(B1376^2+C1376^2)</f>
        <v>12.2134627991291</v>
      </c>
      <c r="E1376" s="125" t="n">
        <f aca="false">20*LOG10(MAX(D1376,0.000000000001)/$K$3)</f>
        <v>21.7367762786387</v>
      </c>
    </row>
    <row r="1377" customFormat="false" ht="15" hidden="false" customHeight="false" outlineLevel="0" collapsed="false">
      <c r="A1377" s="126" t="n">
        <f aca="false">A1376+$F$3</f>
        <v>13710</v>
      </c>
      <c r="B1377" s="127" t="n">
        <f aca="false">SUMPRODUCT(固有振動数!$Q$6:$Q$22*(1-($A1377/固有振動数!$O$6:$O$22)^2)/((1-($A1377/固有振動数!$O$6:$O$22)^2)^2+固有振動数!$P$6:$P$22^2))</f>
        <v>-8.82346799335343</v>
      </c>
      <c r="C1377" s="127" t="n">
        <f aca="false">-SUMPRODUCT(固有振動数!$Q$6:$Q$22*固有振動数!$P$6:$P$22/((1-($A1377/固有振動数!$O$6:$O$22)^2)^2+固有振動数!$P$6:$P$22^2))</f>
        <v>-7.68695113615789</v>
      </c>
      <c r="D1377" s="128" t="n">
        <f aca="false">SQRT(B1377^2+C1377^2)</f>
        <v>11.7022564148719</v>
      </c>
      <c r="E1377" s="129" t="n">
        <f aca="false">20*LOG10(MAX(D1377,0.000000000001)/$K$3)</f>
        <v>21.3653921991035</v>
      </c>
    </row>
    <row r="1378" customFormat="false" ht="15" hidden="false" customHeight="false" outlineLevel="0" collapsed="false">
      <c r="A1378" s="122" t="n">
        <f aca="false">A1377+$F$3</f>
        <v>13720</v>
      </c>
      <c r="B1378" s="123" t="n">
        <f aca="false">SUMPRODUCT(固有振動数!$Q$6:$Q$22*(1-($A1378/固有振動数!$O$6:$O$22)^2)/((1-($A1378/固有振動数!$O$6:$O$22)^2)^2+固有振動数!$P$6:$P$22^2))</f>
        <v>-8.4501180076928</v>
      </c>
      <c r="C1378" s="123" t="n">
        <f aca="false">-SUMPRODUCT(固有振動数!$Q$6:$Q$22*固有振動数!$P$6:$P$22/((1-($A1378/固有振動数!$O$6:$O$22)^2)^2+固有振動数!$P$6:$P$22^2))</f>
        <v>-7.37004492637303</v>
      </c>
      <c r="D1378" s="124" t="n">
        <f aca="false">SQRT(B1378^2+C1378^2)</f>
        <v>11.2125847404018</v>
      </c>
      <c r="E1378" s="125" t="n">
        <f aca="false">20*LOG10(MAX(D1378,0.000000000001)/$K$3)</f>
        <v>20.9941147659033</v>
      </c>
    </row>
    <row r="1379" customFormat="false" ht="15" hidden="false" customHeight="false" outlineLevel="0" collapsed="false">
      <c r="A1379" s="126" t="n">
        <f aca="false">A1378+$F$3</f>
        <v>13730</v>
      </c>
      <c r="B1379" s="127" t="n">
        <f aca="false">SUMPRODUCT(固有振動数!$Q$6:$Q$22*(1-($A1379/固有振動数!$O$6:$O$22)^2)/((1-($A1379/固有振動数!$O$6:$O$22)^2)^2+固有振動数!$P$6:$P$22^2))</f>
        <v>-8.08590823310366</v>
      </c>
      <c r="C1379" s="127" t="n">
        <f aca="false">-SUMPRODUCT(固有振動数!$Q$6:$Q$22*固有振動数!$P$6:$P$22/((1-($A1379/固有振動数!$O$6:$O$22)^2)^2+固有振動数!$P$6:$P$22^2))</f>
        <v>-7.0736383249053</v>
      </c>
      <c r="D1379" s="128" t="n">
        <f aca="false">SQRT(B1379^2+C1379^2)</f>
        <v>10.7432895849336</v>
      </c>
      <c r="E1379" s="129" t="n">
        <f aca="false">20*LOG10(MAX(D1379,0.000000000001)/$K$3)</f>
        <v>20.6227456455886</v>
      </c>
    </row>
    <row r="1380" customFormat="false" ht="15" hidden="false" customHeight="false" outlineLevel="0" collapsed="false">
      <c r="A1380" s="122" t="n">
        <f aca="false">A1379+$F$3</f>
        <v>13740</v>
      </c>
      <c r="B1380" s="123" t="n">
        <f aca="false">SUMPRODUCT(固有振動数!$Q$6:$Q$22*(1-($A1380/固有振動数!$O$6:$O$22)^2)/((1-($A1380/固有振動数!$O$6:$O$22)^2)^2+固有振動数!$P$6:$P$22^2))</f>
        <v>-7.73077218839504</v>
      </c>
      <c r="C1380" s="123" t="n">
        <f aca="false">-SUMPRODUCT(固有振動数!$Q$6:$Q$22*固有振動数!$P$6:$P$22/((1-($A1380/固有振動数!$O$6:$O$22)^2)^2+固有振動数!$P$6:$P$22^2))</f>
        <v>-6.7961079788192</v>
      </c>
      <c r="D1380" s="124" t="n">
        <f aca="false">SQRT(B1380^2+C1380^2)</f>
        <v>10.2932950161079</v>
      </c>
      <c r="E1380" s="125" t="n">
        <f aca="false">20*LOG10(MAX(D1380,0.000000000001)/$K$3)</f>
        <v>20.2510884053499</v>
      </c>
    </row>
    <row r="1381" customFormat="false" ht="15" hidden="false" customHeight="false" outlineLevel="0" collapsed="false">
      <c r="A1381" s="126" t="n">
        <f aca="false">A1380+$F$3</f>
        <v>13750</v>
      </c>
      <c r="B1381" s="127" t="n">
        <f aca="false">SUMPRODUCT(固有振動数!$Q$6:$Q$22*(1-($A1381/固有振動数!$O$6:$O$22)^2)/((1-($A1381/固有振動数!$O$6:$O$22)^2)^2+固有振動数!$P$6:$P$22^2))</f>
        <v>-7.38459376163961</v>
      </c>
      <c r="C1381" s="127" t="n">
        <f aca="false">-SUMPRODUCT(固有振動数!$Q$6:$Q$22*固有振動数!$P$6:$P$22/((1-($A1381/固有振動数!$O$6:$O$22)^2)^2+固有振動数!$P$6:$P$22^2))</f>
        <v>-6.53597684966252</v>
      </c>
      <c r="D1381" s="128" t="n">
        <f aca="false">SQRT(B1381^2+C1381^2)</f>
        <v>9.86160323698794</v>
      </c>
      <c r="E1381" s="129" t="n">
        <f aca="false">20*LOG10(MAX(D1381,0.000000000001)/$K$3)</f>
        <v>19.8789505105399</v>
      </c>
    </row>
    <row r="1382" customFormat="false" ht="15" hidden="false" customHeight="false" outlineLevel="0" collapsed="false">
      <c r="A1382" s="122" t="n">
        <f aca="false">A1381+$F$3</f>
        <v>13760</v>
      </c>
      <c r="B1382" s="123" t="n">
        <f aca="false">SUMPRODUCT(固有振動数!$Q$6:$Q$22*(1-($A1382/固有振動数!$O$6:$O$22)^2)/((1-($A1382/固有振動数!$O$6:$O$22)^2)^2+固有振動数!$P$6:$P$22^2))</f>
        <v>-7.0472185756694</v>
      </c>
      <c r="C1382" s="123" t="n">
        <f aca="false">-SUMPRODUCT(固有振動数!$Q$6:$Q$22*固有振動数!$P$6:$P$22/((1-($A1382/固有振動数!$O$6:$O$22)^2)^2+固有振動数!$P$6:$P$22^2))</f>
        <v>-6.29190026493883</v>
      </c>
      <c r="D1382" s="124" t="n">
        <f aca="false">SQRT(B1382^2+C1382^2)</f>
        <v>9.44729054264751</v>
      </c>
      <c r="E1382" s="125" t="n">
        <f aca="false">20*LOG10(MAX(D1382,0.000000000001)/$K$3)</f>
        <v>19.5061454377016</v>
      </c>
    </row>
    <row r="1383" customFormat="false" ht="15" hidden="false" customHeight="false" outlineLevel="0" collapsed="false">
      <c r="A1383" s="126" t="n">
        <f aca="false">A1382+$F$3</f>
        <v>13770</v>
      </c>
      <c r="B1383" s="127" t="n">
        <f aca="false">SUMPRODUCT(固有振動数!$Q$6:$Q$22*(1-($A1383/固有振動数!$O$6:$O$22)^2)/((1-($A1383/固有振動数!$O$6:$O$22)^2)^2+固有振動数!$P$6:$P$22^2))</f>
        <v>-6.71846324124154</v>
      </c>
      <c r="C1383" s="127" t="n">
        <f aca="false">-SUMPRODUCT(固有振動数!$Q$6:$Q$22*固有振動数!$P$6:$P$22/((1-($A1383/固有振動数!$O$6:$O$22)^2)^2+固有振動数!$P$6:$P$22^2))</f>
        <v>-6.06265323307366</v>
      </c>
      <c r="D1383" s="128" t="n">
        <f aca="false">SQRT(B1383^2+C1383^2)</f>
        <v>9.04950344209075</v>
      </c>
      <c r="E1383" s="129" t="n">
        <f aca="false">20*LOG10(MAX(D1383,0.000000000001)/$K$3)</f>
        <v>19.1324949912281</v>
      </c>
    </row>
    <row r="1384" customFormat="false" ht="15" hidden="false" customHeight="false" outlineLevel="0" collapsed="false">
      <c r="A1384" s="122" t="n">
        <f aca="false">A1383+$F$3</f>
        <v>13780</v>
      </c>
      <c r="B1384" s="123" t="n">
        <f aca="false">SUMPRODUCT(固有振動数!$Q$6:$Q$22*(1-($A1384/固有振動数!$O$6:$O$22)^2)/((1-($A1384/固有振動数!$O$6:$O$22)^2)^2+固有振動数!$P$6:$P$22^2))</f>
        <v>-6.39812287487383</v>
      </c>
      <c r="C1384" s="123" t="n">
        <f aca="false">-SUMPRODUCT(固有振動数!$Q$6:$Q$22*固有振動数!$P$6:$P$22/((1-($A1384/固有振動数!$O$6:$O$22)^2)^2+固有振動数!$P$6:$P$22^2))</f>
        <v>-5.84711894589282</v>
      </c>
      <c r="D1384" s="124" t="n">
        <f aca="false">SQRT(B1384^2+C1384^2)</f>
        <v>8.66745500648273</v>
      </c>
      <c r="E1384" s="125" t="n">
        <f aca="false">20*LOG10(MAX(D1384,0.000000000001)/$K$3)</f>
        <v>18.7578319174727</v>
      </c>
    </row>
    <row r="1385" customFormat="false" ht="15" hidden="false" customHeight="false" outlineLevel="0" collapsed="false">
      <c r="A1385" s="126" t="n">
        <f aca="false">A1384+$F$3</f>
        <v>13790</v>
      </c>
      <c r="B1385" s="127" t="n">
        <f aca="false">SUMPRODUCT(固有振動数!$Q$6:$Q$22*(1-($A1385/固有振動数!$O$6:$O$22)^2)/((1-($A1385/固有振動数!$O$6:$O$22)^2)^2+固有振動数!$P$6:$P$22^2))</f>
        <v>-6.08597719169876</v>
      </c>
      <c r="C1385" s="127" t="n">
        <f aca="false">-SUMPRODUCT(固有振動数!$Q$6:$Q$22*固有振動数!$P$6:$P$22/((1-($A1385/固有振動数!$O$6:$O$22)^2)^2+固有振動数!$P$6:$P$22^2))</f>
        <v>-5.64427838365145</v>
      </c>
      <c r="D1385" s="128" t="n">
        <f aca="false">SQRT(B1385^2+C1385^2)</f>
        <v>8.30042148628806</v>
      </c>
      <c r="E1385" s="129" t="n">
        <f aca="false">20*LOG10(MAX(D1385,0.000000000001)/$K$3)</f>
        <v>18.3820029186576</v>
      </c>
    </row>
    <row r="1386" customFormat="false" ht="15" hidden="false" customHeight="false" outlineLevel="0" collapsed="false">
      <c r="A1386" s="122" t="n">
        <f aca="false">A1385+$F$3</f>
        <v>13800</v>
      </c>
      <c r="B1386" s="123" t="n">
        <f aca="false">SUMPRODUCT(固有振動数!$Q$6:$Q$22*(1-($A1386/固有振動数!$O$6:$O$22)^2)/((1-($A1386/固有振動数!$O$6:$O$22)^2)^2+固有振動数!$P$6:$P$22^2))</f>
        <v>-5.78179542864623</v>
      </c>
      <c r="C1386" s="123" t="n">
        <f aca="false">-SUMPRODUCT(固有振動数!$Q$6:$Q$22*固有振動数!$P$6:$P$22/((1-($A1386/固有振動数!$O$6:$O$22)^2)^2+固有振動数!$P$6:$P$22^2))</f>
        <v>-5.45320093442089</v>
      </c>
      <c r="D1386" s="124" t="n">
        <f aca="false">SQRT(B1386^2+C1386^2)</f>
        <v>7.94773922633873</v>
      </c>
      <c r="E1386" s="125" t="n">
        <f aca="false">20*LOG10(MAX(D1386,0.000000000001)/$K$3)</f>
        <v>18.0048721802803</v>
      </c>
    </row>
    <row r="1387" customFormat="false" ht="15" hidden="false" customHeight="false" outlineLevel="0" collapsed="false">
      <c r="A1387" s="126" t="n">
        <f aca="false">A1386+$F$3</f>
        <v>13810</v>
      </c>
      <c r="B1387" s="127" t="n">
        <f aca="false">SUMPRODUCT(固有振動数!$Q$6:$Q$22*(1-($A1387/固有振動数!$O$6:$O$22)^2)/((1-($A1387/固有振動数!$O$6:$O$22)^2)^2+固有振動数!$P$6:$P$22^2))</f>
        <v>-5.4853403079127</v>
      </c>
      <c r="C1387" s="127" t="n">
        <f aca="false">-SUMPRODUCT(固有振動数!$Q$6:$Q$22*固有振動数!$P$6:$P$22/((1-($A1387/固有振動数!$O$6:$O$22)^2)^2+固有振動数!$P$6:$P$22^2))</f>
        <v>-5.27303594025364</v>
      </c>
      <c r="D1387" s="128" t="n">
        <f aca="false">SQRT(B1387^2+C1387^2)</f>
        <v>7.60880189785609</v>
      </c>
      <c r="E1387" s="129" t="n">
        <f aca="false">20*LOG10(MAX(D1387,0.000000000001)/$K$3)</f>
        <v>17.6263255398427</v>
      </c>
    </row>
    <row r="1388" customFormat="false" ht="15" hidden="false" customHeight="false" outlineLevel="0" collapsed="false">
      <c r="A1388" s="122" t="n">
        <f aca="false">A1387+$F$3</f>
        <v>13820</v>
      </c>
      <c r="B1388" s="123" t="n">
        <f aca="false">SUMPRODUCT(固有振動数!$Q$6:$Q$22*(1-($A1388/固有振動数!$O$6:$O$22)^2)/((1-($A1388/固有振動数!$O$6:$O$22)^2)^2+固有振動数!$P$6:$P$22^2))</f>
        <v>-5.19637121334563</v>
      </c>
      <c r="C1388" s="123" t="n">
        <f aca="false">-SUMPRODUCT(固有振動数!$Q$6:$Q$22*固有振動数!$P$6:$P$22/((1-($A1388/固有振動数!$O$6:$O$22)^2)^2+固有振動数!$P$6:$P$22^2))</f>
        <v>-5.10300508563265</v>
      </c>
      <c r="D1388" s="124" t="n">
        <f aca="false">SQRT(B1388^2+C1388^2)</f>
        <v>7.28305805900789</v>
      </c>
      <c r="E1388" s="125" t="n">
        <f aca="false">20*LOG10(MAX(D1388,0.000000000001)/$K$3)</f>
        <v>17.2462754414478</v>
      </c>
    </row>
    <row r="1389" customFormat="false" ht="15" hidden="false" customHeight="false" outlineLevel="0" collapsed="false">
      <c r="A1389" s="126" t="n">
        <f aca="false">A1388+$F$3</f>
        <v>13830</v>
      </c>
      <c r="B1389" s="127" t="n">
        <f aca="false">SUMPRODUCT(固有振動数!$Q$6:$Q$22*(1-($A1389/固有振動数!$O$6:$O$22)^2)/((1-($A1389/固有振動数!$O$6:$O$22)^2)^2+固有振動数!$P$6:$P$22^2))</f>
        <v>-4.91464672168026</v>
      </c>
      <c r="C1389" s="127" t="n">
        <f aca="false">-SUMPRODUCT(固有振動数!$Q$6:$Q$22*固有振動数!$P$6:$P$22/((1-($A1389/固有振動数!$O$6:$O$22)^2)^2+固有振動数!$P$6:$P$22^2))</f>
        <v>-4.94239554830997</v>
      </c>
      <c r="D1389" s="128" t="n">
        <f aca="false">SQRT(B1389^2+C1389^2)</f>
        <v>6.97000904984181</v>
      </c>
      <c r="E1389" s="129" t="n">
        <f aca="false">20*LOG10(MAX(D1389,0.000000000001)/$K$3)</f>
        <v>16.8646668397043</v>
      </c>
    </row>
    <row r="1390" customFormat="false" ht="15" hidden="false" customHeight="false" outlineLevel="0" collapsed="false">
      <c r="A1390" s="122" t="n">
        <f aca="false">A1389+$F$3</f>
        <v>13840</v>
      </c>
      <c r="B1390" s="123" t="n">
        <f aca="false">SUMPRODUCT(固有振動数!$Q$6:$Q$22*(1-($A1390/固有振動数!$O$6:$O$22)^2)/((1-($A1390/固有振動数!$O$6:$O$22)^2)^2+固有振動数!$P$6:$P$22^2))</f>
        <v>-4.63992660534078</v>
      </c>
      <c r="C1390" s="123" t="n">
        <f aca="false">-SUMPRODUCT(固有振動数!$Q$6:$Q$22*固有振動数!$P$6:$P$22/((1-($A1390/固有振動数!$O$6:$O$22)^2)^2+固有振動数!$P$6:$P$22^2))</f>
        <v>-4.79055383807428</v>
      </c>
      <c r="D1390" s="124" t="n">
        <f aca="false">SQRT(B1390^2+C1390^2)</f>
        <v>6.66920722263429</v>
      </c>
      <c r="E1390" s="125" t="n">
        <f aca="false">20*LOG10(MAX(D1390,0.000000000001)/$K$3)</f>
        <v>16.4814842366575</v>
      </c>
    </row>
    <row r="1391" customFormat="false" ht="15" hidden="false" customHeight="false" outlineLevel="0" collapsed="false">
      <c r="A1391" s="126" t="n">
        <f aca="false">A1390+$F$3</f>
        <v>13850</v>
      </c>
      <c r="B1391" s="127" t="n">
        <f aca="false">SUMPRODUCT(固有振動数!$Q$6:$Q$22*(1-($A1391/固有振動数!$O$6:$O$22)^2)/((1-($A1391/固有振動数!$O$6:$O$22)^2)^2+固有振動数!$P$6:$P$22^2))</f>
        <v>-4.37197340279075</v>
      </c>
      <c r="C1391" s="127" t="n">
        <f aca="false">-SUMPRODUCT(固有振動数!$Q$6:$Q$22*固有振動数!$P$6:$P$22/((1-($A1391/固有振動数!$O$6:$O$22)^2)^2+固有振動数!$P$6:$P$22^2))</f>
        <v>-4.64688025479267</v>
      </c>
      <c r="D1391" s="128" t="n">
        <f aca="false">SQRT(B1391^2+C1391^2)</f>
        <v>6.38025450410026</v>
      </c>
      <c r="E1391" s="129" t="n">
        <f aca="false">20*LOG10(MAX(D1391,0.000000000001)/$K$3)</f>
        <v>16.096760055683</v>
      </c>
    </row>
    <row r="1392" customFormat="false" ht="15" hidden="false" customHeight="false" outlineLevel="0" collapsed="false">
      <c r="A1392" s="122" t="n">
        <f aca="false">A1391+$F$3</f>
        <v>13860</v>
      </c>
      <c r="B1392" s="123" t="n">
        <f aca="false">SUMPRODUCT(固有振動数!$Q$6:$Q$22*(1-($A1392/固有振動数!$O$6:$O$22)^2)/((1-($A1392/固有振動数!$O$6:$O$22)^2)^2+固有振動数!$P$6:$P$22^2))</f>
        <v>-4.11055363538617</v>
      </c>
      <c r="C1392" s="123" t="n">
        <f aca="false">-SUMPRODUCT(固有振動数!$Q$6:$Q$22*固有振動数!$P$6:$P$22/((1-($A1392/固有振動数!$O$6:$O$22)^2)^2+固有振動数!$P$6:$P$22^2))</f>
        <v>-4.51082390293791</v>
      </c>
      <c r="D1392" s="124" t="n">
        <f aca="false">SQRT(B1392^2+C1392^2)</f>
        <v>6.10280128078102</v>
      </c>
      <c r="E1392" s="125" t="n">
        <f aca="false">20*LOG10(MAX(D1392,0.000000000001)/$K$3)</f>
        <v>15.7105845740775</v>
      </c>
    </row>
    <row r="1393" customFormat="false" ht="15" hidden="false" customHeight="false" outlineLevel="0" collapsed="false">
      <c r="A1393" s="126" t="n">
        <f aca="false">A1392+$F$3</f>
        <v>13870</v>
      </c>
      <c r="B1393" s="127" t="n">
        <f aca="false">SUMPRODUCT(固有振動数!$Q$6:$Q$22*(1-($A1393/固有振動数!$O$6:$O$22)^2)/((1-($A1393/固有振動数!$O$6:$O$22)^2)^2+固有振動数!$P$6:$P$22^2))</f>
        <v>-3.85543873568839</v>
      </c>
      <c r="C1393" s="127" t="n">
        <f aca="false">-SUMPRODUCT(固有振動数!$Q$6:$Q$22*固有振動数!$P$6:$P$22/((1-($A1393/固有振動数!$O$6:$O$22)^2)^2+固有振動数!$P$6:$P$22^2))</f>
        <v>-4.38187820553316</v>
      </c>
      <c r="D1393" s="128" t="n">
        <f aca="false">SQRT(B1393^2+C1393^2)</f>
        <v>5.83654559245218</v>
      </c>
      <c r="E1393" s="129" t="n">
        <f aca="false">20*LOG10(MAX(D1393,0.000000000001)/$K$3)</f>
        <v>15.3231176476916</v>
      </c>
    </row>
    <row r="1394" customFormat="false" ht="15" hidden="false" customHeight="false" outlineLevel="0" collapsed="false">
      <c r="A1394" s="122" t="n">
        <f aca="false">A1393+$F$3</f>
        <v>13880</v>
      </c>
      <c r="B1394" s="123" t="n">
        <f aca="false">SUMPRODUCT(固有振動数!$Q$6:$Q$22*(1-($A1394/固有振動数!$O$6:$O$22)^2)/((1-($A1394/固有振動数!$O$6:$O$22)^2)^2+固有振動数!$P$6:$P$22^2))</f>
        <v>-3.60640574068534</v>
      </c>
      <c r="C1394" s="123" t="n">
        <f aca="false">-SUMPRODUCT(固有振動数!$Q$6:$Q$22*固有振動数!$P$6:$P$22/((1-($A1394/固有振動数!$O$6:$O$22)^2)^2+固有振動数!$P$6:$P$22^2))</f>
        <v>-4.25957686589205</v>
      </c>
      <c r="D1394" s="124" t="n">
        <f aca="false">SQRT(B1394^2+C1394^2)</f>
        <v>5.58123260963839</v>
      </c>
      <c r="E1394" s="125" t="n">
        <f aca="false">20*LOG10(MAX(D1394,0.000000000001)/$K$3)</f>
        <v>14.934602460644</v>
      </c>
    </row>
    <row r="1395" customFormat="false" ht="15" hidden="false" customHeight="false" outlineLevel="0" collapsed="false">
      <c r="A1395" s="126" t="n">
        <f aca="false">A1394+$F$3</f>
        <v>13890</v>
      </c>
      <c r="B1395" s="127" t="n">
        <f aca="false">SUMPRODUCT(固有振動数!$Q$6:$Q$22*(1-($A1395/固有振動数!$O$6:$O$22)^2)/((1-($A1395/固有振動数!$O$6:$O$22)^2)^2+固有振動数!$P$6:$P$22^2))</f>
        <v>-3.36323779390655</v>
      </c>
      <c r="C1395" s="127" t="n">
        <f aca="false">-SUMPRODUCT(固有振動数!$Q$6:$Q$22*固有振動数!$P$6:$P$22/((1-($A1395/固有振動数!$O$6:$O$22)^2)^2+固有振動数!$P$6:$P$22^2))</f>
        <v>-4.14349023063344</v>
      </c>
      <c r="D1395" s="128" t="n">
        <f aca="false">SQRT(B1395^2+C1395^2)</f>
        <v>5.33665435921385</v>
      </c>
      <c r="E1395" s="129" t="n">
        <f aca="false">20*LOG10(MAX(D1395,0.000000000001)/$K$3)</f>
        <v>14.5453815125186</v>
      </c>
    </row>
    <row r="1396" customFormat="false" ht="15" hidden="false" customHeight="false" outlineLevel="0" collapsed="false">
      <c r="A1396" s="122" t="n">
        <f aca="false">A1395+$F$3</f>
        <v>13900</v>
      </c>
      <c r="B1396" s="123" t="n">
        <f aca="false">SUMPRODUCT(固有振動数!$Q$6:$Q$22*(1-($A1396/固有振動数!$O$6:$O$22)^2)/((1-($A1396/固有振動数!$O$6:$O$22)^2)^2+固有振動数!$P$6:$P$22^2))</f>
        <v>-3.12572449262881</v>
      </c>
      <c r="C1396" s="123" t="n">
        <f aca="false">-SUMPRODUCT(固有振動数!$Q$6:$Q$22*固有振動数!$P$6:$P$22/((1-($A1396/固有振動数!$O$6:$O$22)^2)^2+固有振動数!$P$6:$P$22^2))</f>
        <v>-4.03322201216442</v>
      </c>
      <c r="D1396" s="124" t="n">
        <f aca="false">SQRT(B1396^2+C1396^2)</f>
        <v>5.1026496453536</v>
      </c>
      <c r="E1396" s="125" t="n">
        <f aca="false">20*LOG10(MAX(D1396,0.000000000001)/$K$3)</f>
        <v>14.1559150024934</v>
      </c>
    </row>
    <row r="1397" customFormat="false" ht="15" hidden="false" customHeight="false" outlineLevel="0" collapsed="false">
      <c r="A1397" s="126" t="n">
        <f aca="false">A1396+$F$3</f>
        <v>13910</v>
      </c>
      <c r="B1397" s="127" t="n">
        <f aca="false">SUMPRODUCT(固有振動数!$Q$6:$Q$22*(1-($A1397/固有振動数!$O$6:$O$22)^2)/((1-($A1397/固有振動数!$O$6:$O$22)^2)^2+固有振動数!$P$6:$P$22^2))</f>
        <v>-2.8936621099576</v>
      </c>
      <c r="C1397" s="127" t="n">
        <f aca="false">-SUMPRODUCT(固有振動数!$Q$6:$Q$22*固有振動数!$P$6:$P$22/((1-($A1397/固有振動数!$O$6:$O$22)^2)^2+固有振動数!$P$6:$P$22^2))</f>
        <v>-3.92840633314513</v>
      </c>
      <c r="D1397" s="128" t="n">
        <f aca="false">SQRT(B1397^2+C1397^2)</f>
        <v>4.87910409039396</v>
      </c>
      <c r="E1397" s="129" t="n">
        <f aca="false">20*LOG10(MAX(D1397,0.000000000001)/$K$3)</f>
        <v>13.7668016682568</v>
      </c>
    </row>
    <row r="1398" customFormat="false" ht="15" hidden="false" customHeight="false" outlineLevel="0" collapsed="false">
      <c r="A1398" s="122" t="n">
        <f aca="false">A1397+$F$3</f>
        <v>13920</v>
      </c>
      <c r="B1398" s="123" t="n">
        <f aca="false">SUMPRODUCT(固有振動数!$Q$6:$Q$22*(1-($A1398/固有振動数!$O$6:$O$22)^2)/((1-($A1398/固有振動数!$O$6:$O$22)^2)^2+固有振動数!$P$6:$P$22^2))</f>
        <v>-2.66685371628793</v>
      </c>
      <c r="C1398" s="123" t="n">
        <f aca="false">-SUMPRODUCT(固有振動数!$Q$6:$Q$22*固有振動数!$P$6:$P$22/((1-($A1398/固有振動数!$O$6:$O$22)^2)^2+固有振動数!$P$6:$P$22^2))</f>
        <v>-3.82870505937785</v>
      </c>
      <c r="D1398" s="124" t="n">
        <f aca="false">SQRT(B1398^2+C1398^2)</f>
        <v>4.66595019002392</v>
      </c>
      <c r="E1398" s="125" t="n">
        <f aca="false">20*LOG10(MAX(D1398,0.000000000001)/$K$3)</f>
        <v>13.3788019659947</v>
      </c>
    </row>
    <row r="1399" customFormat="false" ht="15" hidden="false" customHeight="false" outlineLevel="0" collapsed="false">
      <c r="A1399" s="126" t="n">
        <f aca="false">A1398+$F$3</f>
        <v>13930</v>
      </c>
      <c r="B1399" s="127" t="n">
        <f aca="false">SUMPRODUCT(固有振動数!$Q$6:$Q$22*(1-($A1399/固有振動数!$O$6:$O$22)^2)/((1-($A1399/固有振動数!$O$6:$O$22)^2)^2+固有振動数!$P$6:$P$22^2))</f>
        <v>-2.44510922029465</v>
      </c>
      <c r="C1399" s="127" t="n">
        <f aca="false">-SUMPRODUCT(固有振動数!$Q$6:$Q$22*固有振動数!$P$6:$P$22/((1-($A1399/固有振動数!$O$6:$O$22)^2)^2+固有振動数!$P$6:$P$22^2))</f>
        <v>-3.73380539111544</v>
      </c>
      <c r="D1399" s="128" t="n">
        <f aca="false">SQRT(B1399^2+C1399^2)</f>
        <v>4.46316723839614</v>
      </c>
      <c r="E1399" s="129" t="n">
        <f aca="false">20*LOG10(MAX(D1399,0.000000000001)/$K$3)</f>
        <v>12.9928632100431</v>
      </c>
    </row>
    <row r="1400" customFormat="false" ht="15" hidden="false" customHeight="false" outlineLevel="0" collapsed="false">
      <c r="A1400" s="122" t="n">
        <f aca="false">A1399+$F$3</f>
        <v>13940</v>
      </c>
      <c r="B1400" s="123" t="n">
        <f aca="false">SUMPRODUCT(固有振動数!$Q$6:$Q$22*(1-($A1400/固有振動数!$O$6:$O$22)^2)/((1-($A1400/固有振動数!$O$6:$O$22)^2)^2+固有振動数!$P$6:$P$22^2))</f>
        <v>-2.22824534601304</v>
      </c>
      <c r="C1400" s="123" t="n">
        <f aca="false">-SUMPRODUCT(固有振動数!$Q$6:$Q$22*固有振動数!$P$6:$P$22/((1-($A1400/固有振動数!$O$6:$O$22)^2)^2+固有振動数!$P$6:$P$22^2))</f>
        <v>-3.64341768598517</v>
      </c>
      <c r="D1400" s="124" t="n">
        <f aca="false">SQRT(B1400^2+C1400^2)</f>
        <v>4.27078093052995</v>
      </c>
      <c r="E1400" s="125" t="n">
        <f aca="false">20*LOG10(MAX(D1400,0.000000000001)/$K$3)</f>
        <v>12.6101458977377</v>
      </c>
    </row>
    <row r="1401" customFormat="false" ht="15" hidden="false" customHeight="false" outlineLevel="0" collapsed="false">
      <c r="A1401" s="126" t="n">
        <f aca="false">A1400+$F$3</f>
        <v>13950</v>
      </c>
      <c r="B1401" s="127" t="n">
        <f aca="false">SUMPRODUCT(固有振動数!$Q$6:$Q$22*(1-($A1401/固有振動数!$O$6:$O$22)^2)/((1-($A1401/固有振動数!$O$6:$O$22)^2)^2+固有振動数!$P$6:$P$22^2))</f>
        <v>-2.01608555960833</v>
      </c>
      <c r="C1401" s="127" t="n">
        <f aca="false">-SUMPRODUCT(固有振動数!$Q$6:$Q$22*固有振動数!$P$6:$P$22/((1-($A1401/固有振動数!$O$6:$O$22)^2)^2+固有振動数!$P$6:$P$22^2))</f>
        <v>-3.55727348959564</v>
      </c>
      <c r="D1401" s="128" t="n">
        <f aca="false">SQRT(B1401^2+C1401^2)</f>
        <v>4.08886239233374</v>
      </c>
      <c r="E1401" s="129" t="n">
        <f aca="false">20*LOG10(MAX(D1401,0.000000000001)/$K$3)</f>
        <v>12.2320498987573</v>
      </c>
    </row>
    <row r="1402" customFormat="false" ht="15" hidden="false" customHeight="false" outlineLevel="0" collapsed="false">
      <c r="A1402" s="122" t="n">
        <f aca="false">A1401+$F$3</f>
        <v>13960</v>
      </c>
      <c r="B1402" s="123" t="n">
        <f aca="false">SUMPRODUCT(固有振動数!$Q$6:$Q$22*(1-($A1402/固有振動数!$O$6:$O$22)^2)/((1-($A1402/固有振動数!$O$6:$O$22)^2)^2+固有振動数!$P$6:$P$22^2))</f>
        <v>-1.80845995698837</v>
      </c>
      <c r="C1402" s="123" t="n">
        <f aca="false">-SUMPRODUCT(固有振動数!$Q$6:$Q$22*固有振動数!$P$6:$P$22/((1-($A1402/固有振動数!$O$6:$O$22)^2)^2+固有振動数!$P$6:$P$22^2))</f>
        <v>-3.47512375246643</v>
      </c>
      <c r="D1402" s="124" t="n">
        <f aca="false">SQRT(B1402^2+C1402^2)</f>
        <v>3.91752632550015</v>
      </c>
      <c r="E1402" s="125" t="n">
        <f aca="false">20*LOG10(MAX(D1402,0.000000000001)/$K$3)</f>
        <v>11.8602384715734</v>
      </c>
    </row>
    <row r="1403" customFormat="false" ht="15" hidden="false" customHeight="false" outlineLevel="0" collapsed="false">
      <c r="A1403" s="126" t="n">
        <f aca="false">A1402+$F$3</f>
        <v>13970</v>
      </c>
      <c r="B1403" s="127" t="n">
        <f aca="false">SUMPRODUCT(固有振動数!$Q$6:$Q$22*(1-($A1403/固有振動数!$O$6:$O$22)^2)/((1-($A1403/固有振動数!$O$6:$O$22)^2)^2+固有振動数!$P$6:$P$22^2))</f>
        <v>-1.60520512139582</v>
      </c>
      <c r="C1403" s="127" t="n">
        <f aca="false">-SUMPRODUCT(固有振動数!$Q$6:$Q$22*固有振動数!$P$6:$P$22/((1-($A1403/固有振動数!$O$6:$O$22)^2)^2+固有振動数!$P$6:$P$22^2))</f>
        <v>-3.39673721421792</v>
      </c>
      <c r="D1403" s="128" t="n">
        <f aca="false">SQRT(B1403^2+C1403^2)</f>
        <v>3.75692789180313</v>
      </c>
      <c r="E1403" s="129" t="n">
        <f aca="false">20*LOG10(MAX(D1403,0.000000000001)/$K$3)</f>
        <v>11.4966571911664</v>
      </c>
    </row>
    <row r="1404" customFormat="false" ht="15" hidden="false" customHeight="false" outlineLevel="0" collapsed="false">
      <c r="A1404" s="122" t="n">
        <f aca="false">A1403+$F$3</f>
        <v>13980</v>
      </c>
      <c r="B1404" s="123" t="n">
        <f aca="false">SUMPRODUCT(固有振動数!$Q$6:$Q$22*(1-($A1404/固有振動数!$O$6:$O$22)^2)/((1-($A1404/固有振動数!$O$6:$O$22)^2)^2+固有振動数!$P$6:$P$22^2))</f>
        <v>-1.40616395844852</v>
      </c>
      <c r="C1404" s="123" t="n">
        <f aca="false">-SUMPRODUCT(固有振動数!$Q$6:$Q$22*固有振動数!$P$6:$P$22/((1-($A1404/固有振動数!$O$6:$O$22)^2)^2+固有振動数!$P$6:$P$22^2))</f>
        <v>-3.32189893800798</v>
      </c>
      <c r="D1404" s="124" t="n">
        <f aca="false">SQRT(B1404^2+C1404^2)</f>
        <v>3.60725791043255</v>
      </c>
      <c r="E1404" s="125" t="n">
        <f aca="false">20*LOG10(MAX(D1404,0.000000000001)/$K$3)</f>
        <v>11.1435438891917</v>
      </c>
    </row>
    <row r="1405" customFormat="false" ht="15" hidden="false" customHeight="false" outlineLevel="0" collapsed="false">
      <c r="A1405" s="126" t="n">
        <f aca="false">A1404+$F$3</f>
        <v>13990</v>
      </c>
      <c r="B1405" s="127" t="n">
        <f aca="false">SUMPRODUCT(固有振動数!$Q$6:$Q$22*(1-($A1405/固有振動数!$O$6:$O$22)^2)/((1-($A1405/固有振動数!$O$6:$O$22)^2)^2+固有振動数!$P$6:$P$22^2))</f>
        <v>-1.21118551472043</v>
      </c>
      <c r="C1405" s="127" t="n">
        <f aca="false">-SUMPRODUCT(固有振動数!$Q$6:$Q$22*固有振動数!$P$6:$P$22/((1-($A1405/固有振動数!$O$6:$O$22)^2)^2+固有振動数!$P$6:$P$22^2))</f>
        <v>-3.25040898002936</v>
      </c>
      <c r="D1405" s="128" t="n">
        <f aca="false">SQRT(B1405^2+C1405^2)</f>
        <v>3.46873592083977</v>
      </c>
      <c r="E1405" s="129" t="n">
        <f aca="false">20*LOG10(MAX(D1405,0.000000000001)/$K$3)</f>
        <v>10.8034247544795</v>
      </c>
    </row>
    <row r="1406" customFormat="false" ht="15" hidden="false" customHeight="false" outlineLevel="0" collapsed="false">
      <c r="A1406" s="122" t="n">
        <f aca="false">A1405+$F$3</f>
        <v>14000</v>
      </c>
      <c r="B1406" s="123" t="n">
        <f aca="false">SUMPRODUCT(固有振動数!$Q$6:$Q$22*(1-($A1406/固有振動数!$O$6:$O$22)^2)/((1-($A1406/固有振動数!$O$6:$O$22)^2)^2+固有振動数!$P$6:$P$22^2))</f>
        <v>-1.02012478481798</v>
      </c>
      <c r="C1406" s="123" t="n">
        <f aca="false">-SUMPRODUCT(固有振動数!$Q$6:$Q$22*固有振動数!$P$6:$P$22/((1-($A1406/固有振動数!$O$6:$O$22)^2)^2+固有振動数!$P$6:$P$22^2))</f>
        <v>-3.18208118050789</v>
      </c>
      <c r="D1406" s="124" t="n">
        <f aca="false">SQRT(B1406^2+C1406^2)</f>
        <v>3.34160069666356</v>
      </c>
      <c r="E1406" s="125" t="n">
        <f aca="false">20*LOG10(MAX(D1406,0.000000000001)/$K$3)</f>
        <v>10.479091055993</v>
      </c>
    </row>
    <row r="1407" customFormat="false" ht="15" hidden="false" customHeight="false" outlineLevel="0" collapsed="false">
      <c r="A1407" s="126" t="n">
        <f aca="false">A1406+$F$3</f>
        <v>14010</v>
      </c>
      <c r="B1407" s="127" t="n">
        <f aca="false">SUMPRODUCT(固有振動数!$Q$6:$Q$22*(1-($A1407/固有振動数!$O$6:$O$22)^2)/((1-($A1407/固有振動数!$O$6:$O$22)^2)^2+固有振動数!$P$6:$P$22^2))</f>
        <v>-0.832842510966422</v>
      </c>
      <c r="C1407" s="127" t="n">
        <f aca="false">-SUMPRODUCT(固有振動数!$Q$6:$Q$22*固有振動数!$P$6:$P$22/((1-($A1407/固有振動数!$O$6:$O$22)^2)^2+固有振動数!$P$6:$P$22^2))</f>
        <v>-3.11674206408858</v>
      </c>
      <c r="D1407" s="128" t="n">
        <f aca="false">SQRT(B1407^2+C1407^2)</f>
        <v>3.22609791266973</v>
      </c>
      <c r="E1407" s="129" t="n">
        <f aca="false">20*LOG10(MAX(D1407,0.000000000001)/$K$3)</f>
        <v>10.1735508834201</v>
      </c>
    </row>
    <row r="1408" customFormat="false" ht="15" hidden="false" customHeight="false" outlineLevel="0" collapsed="false">
      <c r="A1408" s="122" t="n">
        <f aca="false">A1407+$F$3</f>
        <v>14020</v>
      </c>
      <c r="B1408" s="123" t="n">
        <f aca="false">SUMPRODUCT(固有振動数!$Q$6:$Q$22*(1-($A1408/固有振動数!$O$6:$O$22)^2)/((1-($A1408/固有振動数!$O$6:$O$22)^2)^2+固有振動数!$P$6:$P$22^2))</f>
        <v>-0.649204978346471</v>
      </c>
      <c r="C1408" s="123" t="n">
        <f aca="false">-SUMPRODUCT(固有振動数!$Q$6:$Q$22*固有振動数!$P$6:$P$22/((1-($A1408/固有振動数!$O$6:$O$22)^2)^2+固有振動数!$P$6:$P$22^2))</f>
        <v>-3.05422983878521</v>
      </c>
      <c r="D1408" s="124" t="n">
        <f aca="false">SQRT(B1408^2+C1408^2)</f>
        <v>3.12246489364344</v>
      </c>
      <c r="E1408" s="125" t="n">
        <f aca="false">20*LOG10(MAX(D1408,0.000000000001)/$K$3)</f>
        <v>9.88995128466955</v>
      </c>
    </row>
    <row r="1409" customFormat="false" ht="15" hidden="false" customHeight="false" outlineLevel="0" collapsed="false">
      <c r="A1409" s="126" t="n">
        <f aca="false">A1408+$F$3</f>
        <v>14030</v>
      </c>
      <c r="B1409" s="127" t="n">
        <f aca="false">SUMPRODUCT(固有振動数!$Q$6:$Q$22*(1-($A1409/固有振動数!$O$6:$O$22)^2)/((1-($A1409/固有振動数!$O$6:$O$22)^2)^2+固有振動数!$P$6:$P$22^2))</f>
        <v>-0.469083808779725</v>
      </c>
      <c r="C1409" s="127" t="n">
        <f aca="false">-SUMPRODUCT(固有振動数!$Q$6:$Q$22*固有振動数!$P$6:$P$22/((1-($A1409/固有振動数!$O$6:$O$22)^2)^2+固有振動数!$P$6:$P$22^2))</f>
        <v>-2.9943934838136</v>
      </c>
      <c r="D1409" s="128" t="n">
        <f aca="false">SQRT(B1409^2+C1409^2)</f>
        <v>3.03091272648432</v>
      </c>
      <c r="E1409" s="129" t="n">
        <f aca="false">20*LOG10(MAX(D1409,0.000000000001)/$K$3)</f>
        <v>9.63146862539296</v>
      </c>
    </row>
    <row r="1410" customFormat="false" ht="15" hidden="false" customHeight="false" outlineLevel="0" collapsed="false">
      <c r="A1410" s="122" t="n">
        <f aca="false">A1409+$F$3</f>
        <v>14040</v>
      </c>
      <c r="B1410" s="123" t="n">
        <f aca="false">SUMPRODUCT(固有振動数!$Q$6:$Q$22*(1-($A1410/固有振動数!$O$6:$O$22)^2)/((1-($A1410/固有振動数!$O$6:$O$22)^2)^2+固有振動数!$P$6:$P$22^2))</f>
        <v>-0.292355754834218</v>
      </c>
      <c r="C1410" s="123" t="n">
        <f aca="false">-SUMPRODUCT(固有振動数!$Q$6:$Q$22*固有振動数!$P$6:$P$22/((1-($A1410/固有振動数!$O$6:$O$22)^2)^2+固有振動数!$P$6:$P$22^2))</f>
        <v>-2.93709191764834</v>
      </c>
      <c r="D1410" s="124" t="n">
        <f aca="false">SQRT(B1410^2+C1410^2)</f>
        <v>2.95160648124033</v>
      </c>
      <c r="E1410" s="125" t="n">
        <f aca="false">20*LOG10(MAX(D1410,0.000000000001)/$K$3)</f>
        <v>9.40116910625825</v>
      </c>
    </row>
    <row r="1411" customFormat="false" ht="15" hidden="false" customHeight="false" outlineLevel="0" collapsed="false">
      <c r="A1411" s="126" t="n">
        <f aca="false">A1410+$F$3</f>
        <v>14050</v>
      </c>
      <c r="B1411" s="127" t="n">
        <f aca="false">SUMPRODUCT(固有振動数!$Q$6:$Q$22*(1-($A1411/固有振動数!$O$6:$O$22)^2)/((1-($A1411/固有振動数!$O$6:$O$22)^2)^2+固有振動数!$P$6:$P$22^2))</f>
        <v>-0.118902495985875</v>
      </c>
      <c r="C1411" s="127" t="n">
        <f aca="false">-SUMPRODUCT(固有振動数!$Q$6:$Q$22*固有振動数!$P$6:$P$22/((1-($A1411/固有振動数!$O$6:$O$22)^2)^2+固有振動数!$P$6:$P$22^2))</f>
        <v>-2.88219323854894</v>
      </c>
      <c r="D1411" s="128" t="n">
        <f aca="false">SQRT(B1411^2+C1411^2)</f>
        <v>2.88464480792504</v>
      </c>
      <c r="E1411" s="129" t="n">
        <f aca="false">20*LOG10(MAX(D1411,0.000000000001)/$K$3)</f>
        <v>9.20184690474089</v>
      </c>
    </row>
    <row r="1412" customFormat="false" ht="15" hidden="false" customHeight="false" outlineLevel="0" collapsed="false">
      <c r="A1412" s="122" t="n">
        <f aca="false">A1411+$F$3</f>
        <v>14060</v>
      </c>
      <c r="B1412" s="123" t="n">
        <f aca="false">SUMPRODUCT(固有振動数!$Q$6:$Q$22*(1-($A1412/固有振動数!$O$6:$O$22)^2)/((1-($A1412/固有振動数!$O$6:$O$22)^2)^2+固有振動数!$P$6:$P$22^2))</f>
        <v>0.0513895618867366</v>
      </c>
      <c r="C1412" s="123" t="n">
        <f aca="false">-SUMPRODUCT(固有振動数!$Q$6:$Q$22*固有振動数!$P$6:$P$22/((1-($A1412/固有振動数!$O$6:$O$22)^2)^2+固有振動数!$P$6:$P$22^2))</f>
        <v>-2.82957403060819</v>
      </c>
      <c r="D1412" s="124" t="n">
        <f aca="false">SQRT(B1412^2+C1412^2)</f>
        <v>2.83004065019625</v>
      </c>
      <c r="E1412" s="125" t="n">
        <f aca="false">20*LOG10(MAX(D1412,0.000000000001)/$K$3)</f>
        <v>9.03585347394253</v>
      </c>
    </row>
    <row r="1413" customFormat="false" ht="15" hidden="false" customHeight="false" outlineLevel="0" collapsed="false">
      <c r="A1413" s="126" t="n">
        <f aca="false">A1412+$F$3</f>
        <v>14070</v>
      </c>
      <c r="B1413" s="127" t="n">
        <f aca="false">SUMPRODUCT(固有振動数!$Q$6:$Q$22*(1-($A1413/固有振動数!$O$6:$O$22)^2)/((1-($A1413/固有振動数!$O$6:$O$22)^2)^2+固有振動数!$P$6:$P$22^2))</f>
        <v>0.218629482690669</v>
      </c>
      <c r="C1413" s="127" t="n">
        <f aca="false">-SUMPRODUCT(固有振動数!$Q$6:$Q$22*固有振動数!$P$6:$P$22/((1-($A1413/固有振動数!$O$6:$O$22)^2)^2+固有振動数!$P$6:$P$22^2))</f>
        <v>-2.77911872909419</v>
      </c>
      <c r="D1413" s="128" t="n">
        <f aca="false">SQRT(B1413^2+C1413^2)</f>
        <v>2.78770510655337</v>
      </c>
      <c r="E1413" s="129" t="n">
        <f aca="false">20*LOG10(MAX(D1413,0.000000000001)/$K$3)</f>
        <v>8.90493661254908</v>
      </c>
    </row>
    <row r="1414" customFormat="false" ht="15" hidden="false" customHeight="false" outlineLevel="0" collapsed="false">
      <c r="A1414" s="122" t="n">
        <f aca="false">A1413+$F$3</f>
        <v>14080</v>
      </c>
      <c r="B1414" s="123" t="n">
        <f aca="false">SUMPRODUCT(固有振動数!$Q$6:$Q$22*(1-($A1414/固有振動数!$O$6:$O$22)^2)/((1-($A1414/固有振動数!$O$6:$O$22)^2)^2+固有振動数!$P$6:$P$22^2))</f>
        <v>0.382921991248701</v>
      </c>
      <c r="C1414" s="123" t="n">
        <f aca="false">-SUMPRODUCT(固有振動数!$Q$6:$Q$22*固有振動数!$P$6:$P$22/((1-($A1414/固有振動数!$O$6:$O$22)^2)^2+固有振動数!$P$6:$P$22^2))</f>
        <v>-2.73071903949649</v>
      </c>
      <c r="D1414" s="124" t="n">
        <f aca="false">SQRT(B1414^2+C1414^2)</f>
        <v>2.75743644061845</v>
      </c>
      <c r="E1414" s="125" t="n">
        <f aca="false">20*LOG10(MAX(D1414,0.000000000001)/$K$3)</f>
        <v>8.8101102133103</v>
      </c>
    </row>
    <row r="1415" customFormat="false" ht="15" hidden="false" customHeight="false" outlineLevel="0" collapsed="false">
      <c r="A1415" s="126" t="n">
        <f aca="false">A1414+$F$3</f>
        <v>14090</v>
      </c>
      <c r="B1415" s="127" t="n">
        <f aca="false">SUMPRODUCT(固有振動数!$Q$6:$Q$22*(1-($A1415/固有振動数!$O$6:$O$22)^2)/((1-($A1415/固有振動数!$O$6:$O$22)^2)^2+固有振動数!$P$6:$P$22^2))</f>
        <v>0.544367658826521</v>
      </c>
      <c r="C1415" s="127" t="n">
        <f aca="false">-SUMPRODUCT(固有振動数!$Q$6:$Q$22*固有振動数!$P$6:$P$22/((1-($A1415/固有振動数!$O$6:$O$22)^2)^2+固有振動数!$P$6:$P$22^2))</f>
        <v>-2.68427340525758</v>
      </c>
      <c r="D1415" s="128" t="n">
        <f aca="false">SQRT(B1415^2+C1415^2)</f>
        <v>2.73891581874094</v>
      </c>
      <c r="E1415" s="129" t="n">
        <f aca="false">20*LOG10(MAX(D1415,0.000000000001)/$K$3)</f>
        <v>8.75157368620289</v>
      </c>
    </row>
    <row r="1416" customFormat="false" ht="15" hidden="false" customHeight="false" outlineLevel="0" collapsed="false">
      <c r="A1416" s="122" t="n">
        <f aca="false">A1415+$F$3</f>
        <v>14100</v>
      </c>
      <c r="B1416" s="123" t="n">
        <f aca="false">SUMPRODUCT(固有振動数!$Q$6:$Q$22*(1-($A1416/固有振動数!$O$6:$O$22)^2)/((1-($A1416/固有振動数!$O$6:$O$22)^2)^2+固有振動数!$P$6:$P$22^2))</f>
        <v>0.703063082674059</v>
      </c>
      <c r="C1416" s="123" t="n">
        <f aca="false">-SUMPRODUCT(固有振動数!$Q$6:$Q$22*固有振動数!$P$6:$P$22/((1-($A1416/固有振動数!$O$6:$O$22)^2)^2+固有振動数!$P$6:$P$22^2))</f>
        <v>-2.63968651967891</v>
      </c>
      <c r="D1416" s="124" t="n">
        <f aca="false">SQRT(B1416^2+C1416^2)</f>
        <v>2.73171056673171</v>
      </c>
      <c r="E1416" s="125" t="n">
        <f aca="false">20*LOG10(MAX(D1416,0.000000000001)/$K$3)</f>
        <v>8.72869365179914</v>
      </c>
    </row>
    <row r="1417" customFormat="false" ht="15" hidden="false" customHeight="false" outlineLevel="0" collapsed="false">
      <c r="A1417" s="126" t="n">
        <f aca="false">A1416+$F$3</f>
        <v>14110</v>
      </c>
      <c r="B1417" s="127" t="n">
        <f aca="false">SUMPRODUCT(固有振動数!$Q$6:$Q$22*(1-($A1417/固有振動数!$O$6:$O$22)^2)/((1-($A1417/固有振動数!$O$6:$O$22)^2)^2+固有振動数!$P$6:$P$22^2))</f>
        <v>0.859101059328901</v>
      </c>
      <c r="C1417" s="127" t="n">
        <f aca="false">-SUMPRODUCT(固有振動数!$Q$6:$Q$22*固有振動数!$P$6:$P$22/((1-($A1417/固有振動数!$O$6:$O$22)^2)^2+固有振動数!$P$6:$P$22^2))</f>
        <v>-2.59686887794419</v>
      </c>
      <c r="D1417" s="128" t="n">
        <f aca="false">SQRT(B1417^2+C1417^2)</f>
        <v>2.73528473826312</v>
      </c>
      <c r="E1417" s="129" t="n">
        <f aca="false">20*LOG10(MAX(D1417,0.000000000001)/$K$3)</f>
        <v>8.74005084607514</v>
      </c>
    </row>
    <row r="1418" customFormat="false" ht="15" hidden="false" customHeight="false" outlineLevel="0" collapsed="false">
      <c r="A1418" s="122" t="n">
        <f aca="false">A1417+$F$3</f>
        <v>14120</v>
      </c>
      <c r="B1418" s="123" t="n">
        <f aca="false">SUMPRODUCT(固有振動数!$Q$6:$Q$22*(1-($A1418/固有振動数!$O$6:$O$22)^2)/((1-($A1418/固有振動数!$O$6:$O$22)^2)^2+固有振動数!$P$6:$P$22^2))</f>
        <v>1.01257075153567</v>
      </c>
      <c r="C1418" s="123" t="n">
        <f aca="false">-SUMPRODUCT(固有振動数!$Q$6:$Q$22*固有振動数!$P$6:$P$22/((1-($A1418/固有振動数!$O$6:$O$22)^2)^2+固有振動数!$P$6:$P$22^2))</f>
        <v>-2.55573636560751</v>
      </c>
      <c r="D1418" s="124" t="n">
        <f aca="false">SQRT(B1418^2+C1418^2)</f>
        <v>2.74901580522088</v>
      </c>
      <c r="E1418" s="125" t="n">
        <f aca="false">20*LOG10(MAX(D1418,0.000000000001)/$K$3)</f>
        <v>8.78354473575973</v>
      </c>
    </row>
    <row r="1419" customFormat="false" ht="15" hidden="false" customHeight="false" outlineLevel="0" collapsed="false">
      <c r="A1419" s="126" t="n">
        <f aca="false">A1418+$F$3</f>
        <v>14130</v>
      </c>
      <c r="B1419" s="127" t="n">
        <f aca="false">SUMPRODUCT(固有振動数!$Q$6:$Q$22*(1-($A1419/固有振動数!$O$6:$O$22)^2)/((1-($A1419/固有振動数!$O$6:$O$22)^2)^2+固有振動数!$P$6:$P$22^2))</f>
        <v>1.16355784872013</v>
      </c>
      <c r="C1419" s="127" t="n">
        <f aca="false">-SUMPRODUCT(固有振動数!$Q$6:$Q$22*固有振動数!$P$6:$P$22/((1-($A1419/固有振動数!$O$6:$O$22)^2)^2+固有振動数!$P$6:$P$22^2))</f>
        <v>-2.5162098802558</v>
      </c>
      <c r="D1419" s="128" t="n">
        <f aca="false">SQRT(B1419^2+C1419^2)</f>
        <v>2.7722155451579</v>
      </c>
      <c r="E1419" s="129" t="n">
        <f aca="false">20*LOG10(MAX(D1419,0.000000000001)/$K$3)</f>
        <v>8.85653988988774</v>
      </c>
    </row>
    <row r="1420" customFormat="false" ht="15" hidden="false" customHeight="false" outlineLevel="0" collapsed="false">
      <c r="A1420" s="122" t="n">
        <f aca="false">A1419+$F$3</f>
        <v>14140</v>
      </c>
      <c r="B1420" s="123" t="n">
        <f aca="false">SUMPRODUCT(固有振動数!$Q$6:$Q$22*(1-($A1420/固有振動数!$O$6:$O$22)^2)/((1-($A1420/固有振動数!$O$6:$O$22)^2)^2+固有振動数!$P$6:$P$22^2))</f>
        <v>1.31214472102587</v>
      </c>
      <c r="C1420" s="123" t="n">
        <f aca="false">-SUMPRODUCT(固有振動数!$Q$6:$Q$22*固有振動数!$P$6:$P$22/((1-($A1420/固有振動数!$O$6:$O$22)^2)^2+固有振動数!$P$6:$P$22^2))</f>
        <v>-2.47821498337809</v>
      </c>
      <c r="D1420" s="124" t="n">
        <f aca="false">SQRT(B1420^2+C1420^2)</f>
        <v>2.80415286187393</v>
      </c>
      <c r="E1420" s="125" t="n">
        <f aca="false">20*LOG10(MAX(D1420,0.000000000001)/$K$3)</f>
        <v>8.95603368987844</v>
      </c>
    </row>
    <row r="1421" customFormat="false" ht="15" hidden="false" customHeight="false" outlineLevel="0" collapsed="false">
      <c r="A1421" s="126" t="n">
        <f aca="false">A1420+$F$3</f>
        <v>14150</v>
      </c>
      <c r="B1421" s="127" t="n">
        <f aca="false">SUMPRODUCT(固有振動数!$Q$6:$Q$22*(1-($A1421/固有振動数!$O$6:$O$22)^2)/((1-($A1421/固有振動数!$O$6:$O$22)^2)^2+固有振動数!$P$6:$P$22^2))</f>
        <v>1.45841056697425</v>
      </c>
      <c r="C1421" s="127" t="n">
        <f aca="false">-SUMPRODUCT(固有振動数!$Q$6:$Q$22*固有振動数!$P$6:$P$22/((1-($A1421/固有振動数!$O$6:$O$22)^2)^2+固有振動数!$P$6:$P$22^2))</f>
        <v>-2.44168157976379</v>
      </c>
      <c r="D1421" s="128" t="n">
        <f aca="false">SQRT(B1421^2+C1421^2)</f>
        <v>2.84407635601085</v>
      </c>
      <c r="E1421" s="129" t="n">
        <f aca="false">20*LOG10(MAX(D1421,0.000000000001)/$K$3)</f>
        <v>9.07882503770186</v>
      </c>
    </row>
    <row r="1422" customFormat="false" ht="15" hidden="false" customHeight="false" outlineLevel="0" collapsed="false">
      <c r="A1422" s="122" t="n">
        <f aca="false">A1421+$F$3</f>
        <v>14160</v>
      </c>
      <c r="B1422" s="123" t="n">
        <f aca="false">SUMPRODUCT(固有振動数!$Q$6:$Q$22*(1-($A1422/固有振動数!$O$6:$O$22)^2)/((1-($A1422/固有振動数!$O$6:$O$22)^2)^2+固有振動数!$P$6:$P$22^2))</f>
        <v>1.60243155485149</v>
      </c>
      <c r="C1422" s="123" t="n">
        <f aca="false">-SUMPRODUCT(固有振動数!$Q$6:$Q$22*固有振動数!$P$6:$P$22/((1-($A1422/固有振動数!$O$6:$O$22)^2)^2+固有振動数!$P$6:$P$22^2))</f>
        <v>-2.40654362201088</v>
      </c>
      <c r="D1422" s="124" t="n">
        <f aca="false">SQRT(B1422^2+C1422^2)</f>
        <v>2.89123487330674</v>
      </c>
      <c r="E1422" s="125" t="n">
        <f aca="false">20*LOG10(MAX(D1422,0.000000000001)/$K$3)</f>
        <v>9.22166747186163</v>
      </c>
    </row>
    <row r="1423" customFormat="false" ht="15" hidden="false" customHeight="false" outlineLevel="0" collapsed="false">
      <c r="A1423" s="126" t="n">
        <f aca="false">A1422+$F$3</f>
        <v>14170</v>
      </c>
      <c r="B1423" s="127" t="n">
        <f aca="false">SUMPRODUCT(固有振動数!$Q$6:$Q$22*(1-($A1423/固有振動数!$O$6:$O$22)^2)/((1-($A1423/固有振動数!$O$6:$O$22)^2)^2+固有振動数!$P$6:$P$22^2))</f>
        <v>1.74428095795863</v>
      </c>
      <c r="C1423" s="127" t="n">
        <f aca="false">-SUMPRODUCT(固有振動数!$Q$6:$Q$22*固有振動数!$P$6:$P$22/((1-($A1423/固有振動数!$O$6:$O$22)^2)^2+固有振動数!$P$6:$P$22^2))</f>
        <v>-2.37273883795746</v>
      </c>
      <c r="D1423" s="128" t="n">
        <f aca="false">SQRT(B1423^2+C1423^2)</f>
        <v>2.94489484590686</v>
      </c>
      <c r="E1423" s="129" t="n">
        <f aca="false">20*LOG10(MAX(D1423,0.000000000001)/$K$3)</f>
        <v>9.38139583877664</v>
      </c>
    </row>
    <row r="1424" customFormat="false" ht="15" hidden="false" customHeight="false" outlineLevel="0" collapsed="false">
      <c r="A1424" s="122" t="n">
        <f aca="false">A1423+$F$3</f>
        <v>14180</v>
      </c>
      <c r="B1424" s="123" t="n">
        <f aca="false">SUMPRODUCT(固有振動数!$Q$6:$Q$22*(1-($A1424/固有振動数!$O$6:$O$22)^2)/((1-($A1424/固有振動数!$O$6:$O$22)^2)^2+固有振動数!$P$6:$P$22^2))</f>
        <v>1.88402928388571</v>
      </c>
      <c r="C1424" s="123" t="n">
        <f aca="false">-SUMPRODUCT(固有振動数!$Q$6:$Q$22*固有振動数!$P$6:$P$22/((1-($A1424/固有振動数!$O$6:$O$22)^2)^2+固有振動数!$P$6:$P$22^2))</f>
        <v>-2.34020847905769</v>
      </c>
      <c r="D1424" s="124" t="n">
        <f aca="false">SQRT(B1424^2+C1424^2)</f>
        <v>3.0043538519942</v>
      </c>
      <c r="E1424" s="125" t="n">
        <f aca="false">20*LOG10(MAX(D1424,0.000000000001)/$K$3)</f>
        <v>9.55502164865447</v>
      </c>
    </row>
    <row r="1425" customFormat="false" ht="15" hidden="false" customHeight="false" outlineLevel="0" collapsed="false">
      <c r="A1425" s="126" t="n">
        <f aca="false">A1424+$F$3</f>
        <v>14190</v>
      </c>
      <c r="B1425" s="127" t="n">
        <f aca="false">SUMPRODUCT(固有振動数!$Q$6:$Q$22*(1-($A1425/固有振動数!$O$6:$O$22)^2)/((1-($A1425/固有振動数!$O$6:$O$22)^2)^2+固有振動数!$P$6:$P$22^2))</f>
        <v>2.02174439798853</v>
      </c>
      <c r="C1425" s="127" t="n">
        <f aca="false">-SUMPRODUCT(固有振動数!$Q$6:$Q$22*固有振動数!$P$6:$P$22/((1-($A1425/固有振動数!$O$6:$O$22)^2)^2+固有振動数!$P$6:$P$22^2))</f>
        <v>-2.30889708791074</v>
      </c>
      <c r="D1425" s="128" t="n">
        <f aca="false">SQRT(B1425^2+C1425^2)</f>
        <v>3.0689503373891</v>
      </c>
      <c r="E1425" s="129" t="n">
        <f aca="false">20*LOG10(MAX(D1425,0.000000000001)/$K$3)</f>
        <v>9.73979721228337</v>
      </c>
    </row>
    <row r="1426" customFormat="false" ht="15" hidden="false" customHeight="false" outlineLevel="0" collapsed="false">
      <c r="A1426" s="122" t="n">
        <f aca="false">A1425+$F$3</f>
        <v>14200</v>
      </c>
      <c r="B1426" s="123" t="n">
        <f aca="false">SUMPRODUCT(固有振動数!$Q$6:$Q$22*(1-($A1426/固有振動数!$O$6:$O$22)^2)/((1-($A1426/固有振動数!$O$6:$O$22)^2)^2+固有振動数!$P$6:$P$22^2))</f>
        <v>2.15749164126046</v>
      </c>
      <c r="C1426" s="123" t="n">
        <f aca="false">-SUMPRODUCT(固有振動数!$Q$6:$Q$22*固有振動数!$P$6:$P$22/((1-($A1426/固有振動数!$O$6:$O$22)^2)^2+固有振動数!$P$6:$P$22^2))</f>
        <v>-2.27875228331841</v>
      </c>
      <c r="D1426" s="124" t="n">
        <f aca="false">SQRT(B1426^2+C1426^2)</f>
        <v>3.1380698129324</v>
      </c>
      <c r="E1426" s="125" t="n">
        <f aca="false">20*LOG10(MAX(D1426,0.000000000001)/$K$3)</f>
        <v>9.93325202296639</v>
      </c>
    </row>
    <row r="1427" customFormat="false" ht="15" hidden="false" customHeight="false" outlineLevel="0" collapsed="false">
      <c r="A1427" s="126" t="n">
        <f aca="false">A1426+$F$3</f>
        <v>14210</v>
      </c>
      <c r="B1427" s="127" t="n">
        <f aca="false">SUMPRODUCT(固有振動数!$Q$6:$Q$22*(1-($A1427/固有振動数!$O$6:$O$22)^2)/((1-($A1427/固有振動数!$O$6:$O$22)^2)^2+固有振動数!$P$6:$P$22^2))</f>
        <v>2.29133394279938</v>
      </c>
      <c r="C1427" s="127" t="n">
        <f aca="false">-SUMPRODUCT(固有振動数!$Q$6:$Q$22*固有振動数!$P$6:$P$22/((1-($A1427/固有振動数!$O$6:$O$22)^2)^2+固有振動数!$P$6:$P$22^2))</f>
        <v>-2.24972456139855</v>
      </c>
      <c r="D1427" s="128" t="n">
        <f aca="false">SQRT(B1427^2+C1427^2)</f>
        <v>3.21114805631638</v>
      </c>
      <c r="E1427" s="129" t="n">
        <f aca="false">20*LOG10(MAX(D1427,0.000000000001)/$K$3)</f>
        <v>10.1332066006409</v>
      </c>
    </row>
    <row r="1428" customFormat="false" ht="15" hidden="false" customHeight="false" outlineLevel="0" collapsed="false">
      <c r="A1428" s="122" t="n">
        <f aca="false">A1427+$F$3</f>
        <v>14220</v>
      </c>
      <c r="B1428" s="123" t="n">
        <f aca="false">SUMPRODUCT(固有振動数!$Q$6:$Q$22*(1-($A1428/固有振動数!$O$6:$O$22)^2)/((1-($A1428/固有振動数!$O$6:$O$22)^2)^2+固有振動数!$P$6:$P$22^2))</f>
        <v>2.4233319270754</v>
      </c>
      <c r="C1428" s="123" t="n">
        <f aca="false">-SUMPRODUCT(固有振動数!$Q$6:$Q$22*固有振動数!$P$6:$P$22/((1-($A1428/固有振動数!$O$6:$O$22)^2)^2+固有振動数!$P$6:$P$22^2))</f>
        <v>-2.22176711141681</v>
      </c>
      <c r="D1428" s="124" t="n">
        <f aca="false">SQRT(B1428^2+C1428^2)</f>
        <v>3.28767193104123</v>
      </c>
      <c r="E1428" s="125" t="n">
        <f aca="false">20*LOG10(MAX(D1428,0.000000000001)/$K$3)</f>
        <v>10.3377694763442</v>
      </c>
    </row>
    <row r="1429" customFormat="false" ht="15" hidden="false" customHeight="false" outlineLevel="0" collapsed="false">
      <c r="A1429" s="126" t="n">
        <f aca="false">A1428+$F$3</f>
        <v>14230</v>
      </c>
      <c r="B1429" s="127" t="n">
        <f aca="false">SUMPRODUCT(固有振動数!$Q$6:$Q$22*(1-($A1429/固有振動数!$O$6:$O$22)^2)/((1-($A1429/固有振動数!$O$6:$O$22)^2)^2+固有振動数!$P$6:$P$22^2))</f>
        <v>2.55354401620676</v>
      </c>
      <c r="C1429" s="127" t="n">
        <f aca="false">-SUMPRODUCT(固有振動数!$Q$6:$Q$22*固有振動数!$P$6:$P$22/((1-($A1429/固有振動数!$O$6:$O$22)^2)^2+固有振動数!$P$6:$P$22^2))</f>
        <v>-2.1948356451216</v>
      </c>
      <c r="D1429" s="128" t="n">
        <f aca="false">SQRT(B1429^2+C1429^2)</f>
        <v>3.36717842589336</v>
      </c>
      <c r="E1429" s="129" t="n">
        <f aca="false">20*LOG10(MAX(D1429,0.000000000001)/$K$3)</f>
        <v>10.5453226029492</v>
      </c>
    </row>
    <row r="1430" customFormat="false" ht="15" hidden="false" customHeight="false" outlineLevel="0" collapsed="false">
      <c r="A1430" s="122" t="n">
        <f aca="false">A1429+$F$3</f>
        <v>14240</v>
      </c>
      <c r="B1430" s="123" t="n">
        <f aca="false">SUMPRODUCT(固有振動数!$Q$6:$Q$22*(1-($A1430/固有振動数!$O$6:$O$22)^2)/((1-($A1430/固有振動数!$O$6:$O$22)^2)^2+固有振動数!$P$6:$P$22^2))</f>
        <v>2.68202652745161</v>
      </c>
      <c r="C1430" s="123" t="n">
        <f aca="false">-SUMPRODUCT(固有振動数!$Q$6:$Q$22*固有振動数!$P$6:$P$22/((1-($A1430/固有振動数!$O$6:$O$22)^2)^2+固有振動数!$P$6:$P$22^2))</f>
        <v>-2.16888823847727</v>
      </c>
      <c r="D1430" s="124" t="n">
        <f aca="false">SQRT(B1430^2+C1430^2)</f>
        <v>3.44925245306272</v>
      </c>
      <c r="E1430" s="125" t="n">
        <f aca="false">20*LOG10(MAX(D1430,0.000000000001)/$K$3)</f>
        <v>10.7544996366068</v>
      </c>
    </row>
    <row r="1431" customFormat="false" ht="15" hidden="false" customHeight="false" outlineLevel="0" collapsed="false">
      <c r="A1431" s="126" t="n">
        <f aca="false">A1430+$F$3</f>
        <v>14250</v>
      </c>
      <c r="B1431" s="127" t="n">
        <f aca="false">SUMPRODUCT(固有振動数!$Q$6:$Q$22*(1-($A1431/固有振動数!$O$6:$O$22)^2)/((1-($A1431/固有振動数!$O$6:$O$22)^2)^2+固有振動数!$P$6:$P$22^2))</f>
        <v>2.80883376612141</v>
      </c>
      <c r="C1431" s="127" t="n">
        <f aca="false">-SUMPRODUCT(固有振動数!$Q$6:$Q$22*固有振動数!$P$6:$P$22/((1-($A1431/固有振動数!$O$6:$O$22)^2)^2+固有振動数!$P$6:$P$22^2))</f>
        <v>-2.14388518478977</v>
      </c>
      <c r="D1431" s="128" t="n">
        <f aca="false">SQRT(B1431^2+C1431^2)</f>
        <v>3.53352385180358</v>
      </c>
      <c r="E1431" s="129" t="n">
        <f aca="false">20*LOG10(MAX(D1431,0.000000000001)/$K$3)</f>
        <v>10.9641605442401</v>
      </c>
    </row>
    <row r="1432" customFormat="false" ht="15" hidden="false" customHeight="false" outlineLevel="0" collapsed="false">
      <c r="A1432" s="122" t="n">
        <f aca="false">A1431+$F$3</f>
        <v>14260</v>
      </c>
      <c r="B1432" s="123" t="n">
        <f aca="false">SUMPRODUCT(固有振動数!$Q$6:$Q$22*(1-($A1432/固有振動数!$O$6:$O$22)^2)/((1-($A1432/固有振動数!$O$6:$O$22)^2)^2+固有振動数!$P$6:$P$22^2))</f>
        <v>2.93401811411796</v>
      </c>
      <c r="C1432" s="123" t="n">
        <f aca="false">-SUMPRODUCT(固有振動数!$Q$6:$Q$22*固有振動数!$P$6:$P$22/((1-($A1432/固有振動数!$O$6:$O$22)^2)^2+固有振動数!$P$6:$P$22^2))</f>
        <v>-2.11978885830886</v>
      </c>
      <c r="D1432" s="124" t="n">
        <f aca="false">SQRT(B1432^2+C1432^2)</f>
        <v>3.61966394818396</v>
      </c>
      <c r="E1432" s="125" t="n">
        <f aca="false">20*LOG10(MAX(D1432,0.000000000001)/$K$3)</f>
        <v>11.1733650447851</v>
      </c>
    </row>
    <row r="1433" customFormat="false" ht="15" hidden="false" customHeight="false" outlineLevel="0" collapsed="false">
      <c r="A1433" s="126" t="n">
        <f aca="false">A1432+$F$3</f>
        <v>14270</v>
      </c>
      <c r="B1433" s="127" t="n">
        <f aca="false">SUMPRODUCT(固有振動数!$Q$6:$Q$22*(1-($A1433/固有振動数!$O$6:$O$22)^2)/((1-($A1433/固有振動数!$O$6:$O$22)^2)^2+固有振動数!$P$6:$P$22^2))</f>
        <v>3.05763011429238</v>
      </c>
      <c r="C1433" s="127" t="n">
        <f aca="false">-SUMPRODUCT(固有振動数!$Q$6:$Q$22*固有振動数!$P$6:$P$22/((1-($A1433/固有振動数!$O$6:$O$22)^2)^2+固有振動数!$P$6:$P$22^2))</f>
        <v>-2.09656358747183</v>
      </c>
      <c r="D1433" s="128" t="n">
        <f aca="false">SQRT(B1433^2+C1433^2)</f>
        <v>3.70738193232642</v>
      </c>
      <c r="E1433" s="129" t="n">
        <f aca="false">20*LOG10(MAX(D1433,0.000000000001)/$K$3)</f>
        <v>11.3813465819754</v>
      </c>
    </row>
    <row r="1434" customFormat="false" ht="15" hidden="false" customHeight="false" outlineLevel="0" collapsed="false">
      <c r="A1434" s="122" t="n">
        <f aca="false">A1433+$F$3</f>
        <v>14280</v>
      </c>
      <c r="B1434" s="123" t="n">
        <f aca="false">SUMPRODUCT(固有振動数!$Q$6:$Q$22*(1-($A1434/固有振動数!$O$6:$O$22)^2)/((1-($A1434/固有振動数!$O$6:$O$22)^2)^2+固有振動数!$P$6:$P$22^2))</f>
        <v>3.17971855081845</v>
      </c>
      <c r="C1434" s="123" t="n">
        <f aca="false">-SUMPRODUCT(固有振動数!$Q$6:$Q$22*固有振動数!$P$6:$P$22/((1-($A1434/固有振動数!$O$6:$O$22)^2)^2+固有振動数!$P$6:$P$22^2))</f>
        <v>-2.07417553702695</v>
      </c>
      <c r="D1434" s="124" t="n">
        <f aca="false">SQRT(B1434^2+C1434^2)</f>
        <v>3.79642123859037</v>
      </c>
      <c r="E1434" s="125" t="n">
        <f aca="false">20*LOG10(MAX(D1434,0.000000000001)/$K$3)</f>
        <v>11.5874878867262</v>
      </c>
    </row>
    <row r="1435" customFormat="false" ht="15" hidden="false" customHeight="false" outlineLevel="0" collapsed="false">
      <c r="A1435" s="126" t="n">
        <f aca="false">A1434+$F$3</f>
        <v>14290</v>
      </c>
      <c r="B1435" s="127" t="n">
        <f aca="false">SUMPRODUCT(固有振動数!$Q$6:$Q$22*(1-($A1435/固有振動数!$O$6:$O$22)^2)/((1-($A1435/固有振動数!$O$6:$O$22)^2)^2+固有振動数!$P$6:$P$22^2))</f>
        <v>3.30033052576751</v>
      </c>
      <c r="C1435" s="127" t="n">
        <f aca="false">-SUMPRODUCT(固有振動数!$Q$6:$Q$22*固有振動数!$P$6:$P$22/((1-($A1435/固有振動数!$O$6:$O$22)^2)^2+固有振動数!$P$6:$P$22^2))</f>
        <v>-2.05259259834117</v>
      </c>
      <c r="D1435" s="128" t="n">
        <f aca="false">SQRT(B1435^2+C1435^2)</f>
        <v>3.88655605312439</v>
      </c>
      <c r="E1435" s="129" t="n">
        <f aca="false">20*LOG10(MAX(D1435,0.000000000001)/$K$3)</f>
        <v>11.7912987123447</v>
      </c>
    </row>
    <row r="1436" customFormat="false" ht="15" hidden="false" customHeight="false" outlineLevel="0" collapsed="false">
      <c r="A1436" s="122" t="n">
        <f aca="false">A1435+$F$3</f>
        <v>14300</v>
      </c>
      <c r="B1436" s="123" t="n">
        <f aca="false">SUMPRODUCT(固有振動数!$Q$6:$Q$22*(1-($A1436/固有振動数!$O$6:$O$22)^2)/((1-($A1436/固有振動数!$O$6:$O$22)^2)^2+固有振動数!$P$6:$P$22^2))</f>
        <v>3.41951153206497</v>
      </c>
      <c r="C1436" s="123" t="n">
        <f aca="false">-SUMPRODUCT(固有振動数!$Q$6:$Q$22*固有振動数!$P$6:$P$22/((1-($A1436/固有振動数!$O$6:$O$22)^2)^2+固有振動数!$P$6:$P$22^2))</f>
        <v>-2.03178428725659</v>
      </c>
      <c r="D1436" s="124" t="n">
        <f aca="false">SQRT(B1436^2+C1436^2)</f>
        <v>3.97758802641351</v>
      </c>
      <c r="E1436" s="125" t="n">
        <f aca="false">20*LOG10(MAX(D1436,0.000000000001)/$K$3)</f>
        <v>11.9923959924572</v>
      </c>
    </row>
    <row r="1437" customFormat="false" ht="15" hidden="false" customHeight="false" outlineLevel="0" collapsed="false">
      <c r="A1437" s="126" t="n">
        <f aca="false">A1436+$F$3</f>
        <v>14310</v>
      </c>
      <c r="B1437" s="127" t="n">
        <f aca="false">SUMPRODUCT(固有振動数!$Q$6:$Q$22*(1-($A1437/固有振動数!$O$6:$O$22)^2)/((1-($A1437/固有振動数!$O$6:$O$22)^2)^2+固有振動数!$P$6:$P$22^2))</f>
        <v>3.53730552300315</v>
      </c>
      <c r="C1437" s="127" t="n">
        <f aca="false">-SUMPRODUCT(固有振動数!$Q$6:$Q$22*固有振動数!$P$6:$P$22/((1-($A1437/固有振動数!$O$6:$O$22)^2)^2+固有振動数!$P$6:$P$22^2))</f>
        <v>-2.01172164891458</v>
      </c>
      <c r="D1437" s="128" t="n">
        <f aca="false">SQRT(B1437^2+C1437^2)</f>
        <v>4.06934323396051</v>
      </c>
      <c r="E1437" s="129" t="n">
        <f aca="false">20*LOG10(MAX(D1437,0.000000000001)/$K$3)</f>
        <v>12.1904864504368</v>
      </c>
    </row>
    <row r="1438" customFormat="false" ht="15" hidden="false" customHeight="false" outlineLevel="0" collapsed="false">
      <c r="A1438" s="122" t="n">
        <f aca="false">A1437+$F$3</f>
        <v>14320</v>
      </c>
      <c r="B1438" s="123" t="n">
        <f aca="false">SUMPRODUCT(固有振動数!$Q$6:$Q$22*(1-($A1438/固有振動数!$O$6:$O$22)^2)/((1-($A1438/固有振動数!$O$6:$O$22)^2)^2+固有振動数!$P$6:$P$22^2))</f>
        <v>3.65375497847685</v>
      </c>
      <c r="C1438" s="123" t="n">
        <f aca="false">-SUMPRODUCT(固有振動数!$Q$6:$Q$22*固有振動数!$P$6:$P$22/((1-($A1438/固有振動数!$O$6:$O$22)^2)^2+固有振動数!$P$6:$P$22^2))</f>
        <v>-1.99237716901578</v>
      </c>
      <c r="D1438" s="124" t="n">
        <f aca="false">SQRT(B1438^2+C1438^2)</f>
        <v>4.16166940378014</v>
      </c>
      <c r="E1438" s="125" t="n">
        <f aca="false">20*LOG10(MAX(D1438,0.000000000001)/$K$3)</f>
        <v>12.3853515520311</v>
      </c>
    </row>
    <row r="1439" customFormat="false" ht="15" hidden="false" customHeight="false" outlineLevel="0" collapsed="false">
      <c r="A1439" s="126" t="n">
        <f aca="false">A1438+$F$3</f>
        <v>14330</v>
      </c>
      <c r="B1439" s="127" t="n">
        <f aca="false">SUMPRODUCT(固有振動数!$Q$6:$Q$22*(1-($A1439/固有振動数!$O$6:$O$22)^2)/((1-($A1439/固有振動数!$O$6:$O$22)^2)^2+固有振動数!$P$6:$P$22^2))</f>
        <v>3.76890096810306</v>
      </c>
      <c r="C1439" s="127" t="n">
        <f aca="false">-SUMPRODUCT(固有振動数!$Q$6:$Q$22*固有振動数!$P$6:$P$22/((1-($A1439/固有振動数!$O$6:$O$22)^2)^2+固有振動数!$P$6:$P$22^2))</f>
        <v>-1.97372469102902</v>
      </c>
      <c r="D1439" s="128" t="n">
        <f aca="false">SQRT(B1439^2+C1439^2)</f>
        <v>4.2544334127291</v>
      </c>
      <c r="E1439" s="129" t="n">
        <f aca="false">20*LOG10(MAX(D1439,0.000000000001)/$K$3)</f>
        <v>12.5768346157469</v>
      </c>
    </row>
    <row r="1440" customFormat="false" ht="15" hidden="false" customHeight="false" outlineLevel="0" collapsed="false">
      <c r="A1440" s="122" t="n">
        <f aca="false">A1439+$F$3</f>
        <v>14340</v>
      </c>
      <c r="B1440" s="123" t="n">
        <f aca="false">SUMPRODUCT(固有振動数!$Q$6:$Q$22*(1-($A1440/固有振動数!$O$6:$O$22)^2)/((1-($A1440/固有振動数!$O$6:$O$22)^2)^2+固有振動数!$P$6:$P$22^2))</f>
        <v>3.88278321137748</v>
      </c>
      <c r="C1440" s="123" t="n">
        <f aca="false">-SUMPRODUCT(固有振動数!$Q$6:$Q$22*固有振動数!$P$6:$P$22/((1-($A1440/固有振動数!$O$6:$O$22)^2)^2+固有振動数!$P$6:$P$22^2))</f>
        <v>-1.95573933890275</v>
      </c>
      <c r="D1440" s="124" t="n">
        <f aca="false">SQRT(B1440^2+C1440^2)</f>
        <v>4.34751904288947</v>
      </c>
      <c r="E1440" s="125" t="n">
        <f aca="false">20*LOG10(MAX(D1440,0.000000000001)/$K$3)</f>
        <v>12.7648298592855</v>
      </c>
    </row>
    <row r="1441" customFormat="false" ht="15" hidden="false" customHeight="false" outlineLevel="0" collapsed="false">
      <c r="A1441" s="126" t="n">
        <f aca="false">A1440+$F$3</f>
        <v>14350</v>
      </c>
      <c r="B1441" s="127" t="n">
        <f aca="false">SUMPRODUCT(固有振動数!$Q$6:$Q$22*(1-($A1441/固有振動数!$O$6:$O$22)^2)/((1-($A1441/固有振動数!$O$6:$O$22)^2)^2+固有振動数!$P$6:$P$22^2))</f>
        <v>3.99544013501546</v>
      </c>
      <c r="C1441" s="127" t="n">
        <f aca="false">-SUMPRODUCT(固有振動数!$Q$6:$Q$22*固有振動数!$P$6:$P$22/((1-($A1441/固有振動数!$O$6:$O$22)^2)^2+固有振動数!$P$6:$P$22^2))</f>
        <v>-1.93839744486977</v>
      </c>
      <c r="D1441" s="128" t="n">
        <f aca="false">SQRT(B1441^2+C1441^2)</f>
        <v>4.44082498267721</v>
      </c>
      <c r="E1441" s="129" t="n">
        <f aca="false">20*LOG10(MAX(D1441,0.000000000001)/$K$3)</f>
        <v>12.9492731506823</v>
      </c>
    </row>
    <row r="1442" customFormat="false" ht="15" hidden="false" customHeight="false" outlineLevel="0" collapsed="false">
      <c r="A1442" s="122" t="n">
        <f aca="false">A1441+$F$3</f>
        <v>14360</v>
      </c>
      <c r="B1442" s="123" t="n">
        <f aca="false">SUMPRODUCT(固有振動数!$Q$6:$Q$22*(1-($A1442/固有振動数!$O$6:$O$22)^2)/((1-($A1442/固有振動数!$O$6:$O$22)^2)^2+固有振動数!$P$6:$P$22^2))</f>
        <v>4.10690892761707</v>
      </c>
      <c r="C1442" s="123" t="n">
        <f aca="false">-SUMPRODUCT(固有振動数!$Q$6:$Q$22*固有振動数!$P$6:$P$22/((1-($A1442/固有振動数!$O$6:$O$22)^2)^2+固有振動数!$P$6:$P$22^2))</f>
        <v>-1.92167648196945</v>
      </c>
      <c r="D1442" s="124" t="n">
        <f aca="false">SQRT(B1442^2+C1442^2)</f>
        <v>4.53426305380437</v>
      </c>
      <c r="E1442" s="125" t="n">
        <f aca="false">20*LOG10(MAX(D1442,0.000000000001)/$K$3)</f>
        <v>13.1301342395053</v>
      </c>
    </row>
    <row r="1443" customFormat="false" ht="15" hidden="false" customHeight="false" outlineLevel="0" collapsed="false">
      <c r="A1443" s="126" t="n">
        <f aca="false">A1442+$F$3</f>
        <v>14370</v>
      </c>
      <c r="B1443" s="127" t="n">
        <f aca="false">SUMPRODUCT(固有振動数!$Q$6:$Q$22*(1-($A1443/固有振動数!$O$6:$O$22)^2)/((1-($A1443/固有振動数!$O$6:$O$22)^2)^2+固有振動数!$P$6:$P$22^2))</f>
        <v>4.21722559179029</v>
      </c>
      <c r="C1443" s="127" t="n">
        <f aca="false">-SUMPRODUCT(固有振動数!$Q$6:$Q$22*固有振動数!$P$6:$P$22/((1-($A1443/固有振動数!$O$6:$O$22)^2)^2+固有振動数!$P$6:$P$22^2))</f>
        <v>-1.90555500094242</v>
      </c>
      <c r="D1443" s="128" t="n">
        <f aca="false">SQRT(B1443^2+C1443^2)</f>
        <v>4.62775664373869</v>
      </c>
      <c r="E1443" s="129" t="n">
        <f aca="false">20*LOG10(MAX(D1443,0.000000000001)/$K$3)</f>
        <v>13.3074102594393</v>
      </c>
    </row>
    <row r="1444" customFormat="false" ht="15" hidden="false" customHeight="false" outlineLevel="0" collapsed="false">
      <c r="A1444" s="122" t="n">
        <f aca="false">A1443+$F$3</f>
        <v>14380</v>
      </c>
      <c r="B1444" s="123" t="n">
        <f aca="false">SUMPRODUCT(固有振動数!$Q$6:$Q$22*(1-($A1444/固有振動数!$O$6:$O$22)^2)/((1-($A1444/固有振動数!$O$6:$O$22)^2)^2+固有振動数!$P$6:$P$22^2))</f>
        <v>4.32642499385937</v>
      </c>
      <c r="C1444" s="123" t="n">
        <f aca="false">-SUMPRODUCT(固有振動数!$Q$6:$Q$22*固有振動数!$P$6:$P$22/((1-($A1444/固有振動数!$O$6:$O$22)^2)^2+固有振動数!$P$6:$P$22^2))</f>
        <v>-1.89001257118066</v>
      </c>
      <c r="D1444" s="124" t="n">
        <f aca="false">SQRT(B1444^2+C1444^2)</f>
        <v>4.72123932317691</v>
      </c>
      <c r="E1444" s="125" t="n">
        <f aca="false">20*LOG10(MAX(D1444,0.000000000001)/$K$3)</f>
        <v>13.4811203140721</v>
      </c>
    </row>
    <row r="1445" customFormat="false" ht="15" hidden="false" customHeight="false" outlineLevel="0" collapsed="false">
      <c r="A1445" s="126" t="n">
        <f aca="false">A1444+$F$3</f>
        <v>14390</v>
      </c>
      <c r="B1445" s="127" t="n">
        <f aca="false">SUMPRODUCT(固有振動数!$Q$6:$Q$22*(1-($A1445/固有振動数!$O$6:$O$22)^2)/((1-($A1445/固有振動数!$O$6:$O$22)^2)^2+固有振動数!$P$6:$P$22^2))</f>
        <v>4.43454091128001</v>
      </c>
      <c r="C1445" s="127" t="n">
        <f aca="false">-SUMPRODUCT(固有振動数!$Q$6:$Q$22*固有振動数!$P$6:$P$22/((1-($A1445/固有振動数!$O$6:$O$22)^2)^2+固有振動数!$P$6:$P$22^2))</f>
        <v>-1.87502972544117</v>
      </c>
      <c r="D1445" s="128" t="n">
        <f aca="false">SQRT(B1445^2+C1445^2)</f>
        <v>4.81465362877789</v>
      </c>
      <c r="E1445" s="129" t="n">
        <f aca="false">20*LOG10(MAX(D1445,0.000000000001)/$K$3)</f>
        <v>13.6513009796939</v>
      </c>
    </row>
    <row r="1446" customFormat="false" ht="15" hidden="false" customHeight="false" outlineLevel="0" collapsed="false">
      <c r="A1446" s="122" t="n">
        <f aca="false">A1445+$F$3</f>
        <v>14400</v>
      </c>
      <c r="B1446" s="123" t="n">
        <f aca="false">SUMPRODUCT(固有振動数!$Q$6:$Q$22*(1-($A1446/固有振動数!$O$6:$O$22)^2)/((1-($A1446/固有振動数!$O$6:$O$22)^2)^2+固有振動数!$P$6:$P$22^2))</f>
        <v>4.54160607787626</v>
      </c>
      <c r="C1446" s="123" t="n">
        <f aca="false">-SUMPRODUCT(固有振動数!$Q$6:$Q$22*固有振動数!$P$6:$P$22/((1-($A1446/固有振動数!$O$6:$O$22)^2)^2+固有振動数!$P$6:$P$22^2))</f>
        <v>-1.86058790805481</v>
      </c>
      <c r="D1446" s="124" t="n">
        <f aca="false">SQRT(B1446^2+C1446^2)</f>
        <v>4.90794999263464</v>
      </c>
      <c r="E1446" s="125" t="n">
        <f aca="false">20*LOG10(MAX(D1446,0.000000000001)/$K$3)</f>
        <v>13.8180025805554</v>
      </c>
    </row>
    <row r="1447" customFormat="false" ht="15" hidden="false" customHeight="false" outlineLevel="0" collapsed="false">
      <c r="A1447" s="126" t="n">
        <f aca="false">A1446+$F$3</f>
        <v>14410</v>
      </c>
      <c r="B1447" s="127" t="n">
        <f aca="false">SUMPRODUCT(固有振動数!$Q$6:$Q$22*(1-($A1447/固有振動数!$O$6:$O$22)^2)/((1-($A1447/固有振動数!$O$6:$O$22)^2)^2+固有振動数!$P$6:$P$22^2))</f>
        <v>4.64765222700892</v>
      </c>
      <c r="C1447" s="127" t="n">
        <f aca="false">-SUMPRODUCT(固有振動数!$Q$6:$Q$22*固有振動数!$P$6:$P$22/((1-($A1447/固有振動数!$O$6:$O$22)^2)^2+固有振動数!$P$6:$P$22^2))</f>
        <v>-1.84666942638308</v>
      </c>
      <c r="D1447" s="128" t="n">
        <f aca="false">SQRT(B1447^2+C1447^2)</f>
        <v>5.00108580145942</v>
      </c>
      <c r="E1447" s="129" t="n">
        <f aca="false">20*LOG10(MAX(D1447,0.000000000001)/$K$3)</f>
        <v>13.9812861122719</v>
      </c>
    </row>
    <row r="1448" customFormat="false" ht="15" hidden="false" customHeight="false" outlineLevel="0" collapsed="false">
      <c r="A1448" s="122" t="n">
        <f aca="false">A1447+$F$3</f>
        <v>14420</v>
      </c>
      <c r="B1448" s="123" t="n">
        <f aca="false">SUMPRODUCT(固有振動数!$Q$6:$Q$22*(1-($A1448/固有振動数!$O$6:$O$22)^2)/((1-($A1448/固有振動数!$O$6:$O$22)^2)^2+固有振動数!$P$6:$P$22^2))</f>
        <v>4.75271013277954</v>
      </c>
      <c r="C1448" s="123" t="n">
        <f aca="false">-SUMPRODUCT(固有振動数!$Q$6:$Q$22*固有振動数!$P$6:$P$22/((1-($A1448/固有振動数!$O$6:$O$22)^2)^2+固有振動数!$P$6:$P$22^2))</f>
        <v>-1.83325740529495</v>
      </c>
      <c r="D1448" s="124" t="n">
        <f aca="false">SQRT(B1448^2+C1448^2)</f>
        <v>5.09402457005206</v>
      </c>
      <c r="E1448" s="125" t="n">
        <f aca="false">20*LOG10(MAX(D1448,0.000000000001)/$K$3)</f>
        <v>14.1412207073784</v>
      </c>
    </row>
    <row r="1449" customFormat="false" ht="15" hidden="false" customHeight="false" outlineLevel="0" collapsed="false">
      <c r="A1449" s="126" t="n">
        <f aca="false">A1448+$F$3</f>
        <v>14430</v>
      </c>
      <c r="B1449" s="127" t="n">
        <f aca="false">SUMPRODUCT(固有振動数!$Q$6:$Q$22*(1-($A1449/固有振動数!$O$6:$O$22)^2)/((1-($A1449/固有振動数!$O$6:$O$22)^2)^2+固有振動数!$P$6:$P$22^2))</f>
        <v>4.85680964936875</v>
      </c>
      <c r="C1449" s="127" t="n">
        <f aca="false">-SUMPRODUCT(固有振動数!$Q$6:$Q$22*固有振動数!$P$6:$P$22/((1-($A1449/固有振動数!$O$6:$O$22)^2)^2+固有振動数!$P$6:$P$22^2))</f>
        <v>-1.82033574445356</v>
      </c>
      <c r="D1449" s="128" t="n">
        <f aca="false">SQRT(B1449^2+C1449^2)</f>
        <v>5.18673521521358</v>
      </c>
      <c r="E1449" s="129" t="n">
        <f aca="false">20*LOG10(MAX(D1449,0.000000000001)/$K$3)</f>
        <v>14.2978815532519</v>
      </c>
    </row>
    <row r="1450" customFormat="false" ht="15" hidden="false" customHeight="false" outlineLevel="0" collapsed="false">
      <c r="A1450" s="122" t="n">
        <f aca="false">A1449+$F$3</f>
        <v>14440</v>
      </c>
      <c r="B1450" s="123" t="n">
        <f aca="false">SUMPRODUCT(固有振動数!$Q$6:$Q$22*(1-($A1450/固有振動数!$O$6:$O$22)^2)/((1-($A1450/固有振動数!$O$6:$O$22)^2)^2+固有振動数!$P$6:$P$22^2))</f>
        <v>4.95997974860294</v>
      </c>
      <c r="C1450" s="123" t="n">
        <f aca="false">-SUMPRODUCT(固有振動数!$Q$6:$Q$22*固有振動数!$P$6:$P$22/((1-($A1450/固有振動数!$O$6:$O$22)^2)^2+固有振動数!$P$6:$P$22^2))</f>
        <v>-1.80788907821886</v>
      </c>
      <c r="D1450" s="124" t="n">
        <f aca="false">SQRT(B1450^2+C1450^2)</f>
        <v>5.27919141779253</v>
      </c>
      <c r="E1450" s="125" t="n">
        <f aca="false">20*LOG10(MAX(D1450,0.000000000001)/$K$3)</f>
        <v>14.4513481867283</v>
      </c>
    </row>
    <row r="1451" customFormat="false" ht="15" hidden="false" customHeight="false" outlineLevel="0" collapsed="false">
      <c r="A1451" s="126" t="n">
        <f aca="false">A1450+$F$3</f>
        <v>14450</v>
      </c>
      <c r="B1451" s="127" t="n">
        <f aca="false">SUMPRODUCT(固有振動数!$Q$6:$Q$22*(1-($A1451/固有振動数!$O$6:$O$22)^2)/((1-($A1451/固有振動数!$O$6:$O$22)^2)^2+固有振動数!$P$6:$P$22^2))</f>
        <v>5.0622485558381</v>
      </c>
      <c r="C1451" s="127" t="n">
        <f aca="false">-SUMPRODUCT(固有振動数!$Q$6:$Q$22*固有振動数!$P$6:$P$22/((1-($A1451/固有振動数!$O$6:$O$22)^2)^2+固有振動数!$P$6:$P$22^2))</f>
        <v>-1.79590273798725</v>
      </c>
      <c r="D1451" s="128" t="n">
        <f aca="false">SQRT(B1451^2+C1451^2)</f>
        <v>5.37137106197245</v>
      </c>
      <c r="E1451" s="129" t="n">
        <f aca="false">20*LOG10(MAX(D1451,0.000000000001)/$K$3)</f>
        <v>14.6017031018787</v>
      </c>
    </row>
    <row r="1452" customFormat="false" ht="15" hidden="false" customHeight="false" outlineLevel="0" collapsed="false">
      <c r="A1452" s="122" t="n">
        <f aca="false">A1451+$F$3</f>
        <v>14460</v>
      </c>
      <c r="B1452" s="123" t="n">
        <f aca="false">SUMPRODUCT(固有振動数!$Q$6:$Q$22*(1-($A1452/固有振動数!$O$6:$O$22)^2)/((1-($A1452/固有振動数!$O$6:$O$22)^2)^2+固有振動数!$P$6:$P$22^2))</f>
        <v>5.16364338424544</v>
      </c>
      <c r="C1452" s="123" t="n">
        <f aca="false">-SUMPRODUCT(固有振動数!$Q$6:$Q$22*固有振動数!$P$6:$P$22/((1-($A1452/固有振動数!$O$6:$O$22)^2)^2+固有振動数!$P$6:$P$22^2))</f>
        <v>-1.78436271680256</v>
      </c>
      <c r="D1452" s="124" t="n">
        <f aca="false">SQRT(B1452^2+C1452^2)</f>
        <v>5.46325574220873</v>
      </c>
      <c r="E1452" s="125" t="n">
        <f aca="false">20*LOG10(MAX(D1452,0.000000000001)/$K$3)</f>
        <v>14.7490306177615</v>
      </c>
    </row>
    <row r="1453" customFormat="false" ht="15" hidden="false" customHeight="false" outlineLevel="0" collapsed="false">
      <c r="A1453" s="126" t="n">
        <f aca="false">A1452+$F$3</f>
        <v>14470</v>
      </c>
      <c r="B1453" s="127" t="n">
        <f aca="false">SUMPRODUCT(固有振動数!$Q$6:$Q$22*(1-($A1453/固有振動数!$O$6:$O$22)^2)/((1-($A1453/固有振動数!$O$6:$O$22)^2)^2+固有振動数!$P$6:$P$22^2))</f>
        <v>5.26419076757874</v>
      </c>
      <c r="C1453" s="127" t="n">
        <f aca="false">-SUMPRODUCT(固有振動数!$Q$6:$Q$22*固有振動数!$P$6:$P$22/((1-($A1453/固有振動数!$O$6:$O$22)^2)^2+固有振動数!$P$6:$P$22^2))</f>
        <v>-1.7732556360855</v>
      </c>
      <c r="D1453" s="128" t="n">
        <f aca="false">SQRT(B1453^2+C1453^2)</f>
        <v>5.55483032939533</v>
      </c>
      <c r="E1453" s="129" t="n">
        <f aca="false">20*LOG10(MAX(D1453,0.000000000001)/$K$3)</f>
        <v>14.8934159617296</v>
      </c>
    </row>
    <row r="1454" customFormat="false" ht="15" hidden="false" customHeight="false" outlineLevel="0" collapsed="false">
      <c r="A1454" s="122" t="n">
        <f aca="false">A1453+$F$3</f>
        <v>14480</v>
      </c>
      <c r="B1454" s="123" t="n">
        <f aca="false">SUMPRODUCT(固有振動数!$Q$6:$Q$22*(1-($A1454/固有振動数!$O$6:$O$22)^2)/((1-($A1454/固有振動数!$O$6:$O$22)^2)^2+固有振動数!$P$6:$P$22^2))</f>
        <v>5.36391649149956</v>
      </c>
      <c r="C1454" s="123" t="n">
        <f aca="false">-SUMPRODUCT(固有振動数!$Q$6:$Q$22*固有振動数!$P$6:$P$22/((1-($A1454/固有振動数!$O$6:$O$22)^2)^2+固有振動数!$P$6:$P$22^2))</f>
        <v>-1.76256871434011</v>
      </c>
      <c r="D1454" s="124" t="n">
        <f aca="false">SQRT(B1454^2+C1454^2)</f>
        <v>5.64608258888865</v>
      </c>
      <c r="E1454" s="125" t="n">
        <f aca="false">20*LOG10(MAX(D1454,0.000000000001)/$K$3)</f>
        <v>15.0349445312526</v>
      </c>
    </row>
    <row r="1455" customFormat="false" ht="15" hidden="false" customHeight="false" outlineLevel="0" collapsed="false">
      <c r="A1455" s="126" t="n">
        <f aca="false">A1454+$F$3</f>
        <v>14490</v>
      </c>
      <c r="B1455" s="127" t="n">
        <f aca="false">SUMPRODUCT(固有振動数!$Q$6:$Q$22*(1-($A1455/固有振動数!$O$6:$O$22)^2)/((1-($A1455/固有振動数!$O$6:$O$22)^2)^2+固有振動数!$P$6:$P$22^2))</f>
        <v>5.4628456235321</v>
      </c>
      <c r="C1455" s="127" t="n">
        <f aca="false">-SUMPRODUCT(固有振動数!$Q$6:$Q$22*固有振動数!$P$6:$P$22/((1-($A1455/固有振動数!$O$6:$O$22)^2)^2+固有振動数!$P$6:$P$22^2))</f>
        <v>-1.75228973770609</v>
      </c>
      <c r="D1455" s="128" t="n">
        <f aca="false">SQRT(B1455^2+C1455^2)</f>
        <v>5.73700284394333</v>
      </c>
      <c r="E1455" s="129" t="n">
        <f aca="false">20*LOG10(MAX(D1455,0.000000000001)/$K$3)</f>
        <v>15.1737013034135</v>
      </c>
    </row>
    <row r="1456" customFormat="false" ht="15" hidden="false" customHeight="false" outlineLevel="0" collapsed="false">
      <c r="A1456" s="122" t="n">
        <f aca="false">A1455+$F$3</f>
        <v>14500</v>
      </c>
      <c r="B1456" s="123" t="n">
        <f aca="false">SUMPRODUCT(固有振動数!$Q$6:$Q$22*(1-($A1456/固有振動数!$O$6:$O$22)^2)/((1-($A1456/固有振動数!$O$6:$O$22)^2)^2+固有振動数!$P$6:$P$22^2))</f>
        <v>5.56100254171614</v>
      </c>
      <c r="C1456" s="123" t="n">
        <f aca="false">-SUMPRODUCT(固有振動数!$Q$6:$Q$22*固有振動数!$P$6:$P$22/((1-($A1456/固有振動数!$O$6:$O$22)^2)^2+固有振動数!$P$6:$P$22^2))</f>
        <v>-1.74240703223575</v>
      </c>
      <c r="D1456" s="124" t="n">
        <f aca="false">SQRT(B1456^2+C1456^2)</f>
        <v>5.82758367893229</v>
      </c>
      <c r="E1456" s="125" t="n">
        <f aca="false">20*LOG10(MAX(D1456,0.000000000001)/$K$3)</f>
        <v>15.3097703664181</v>
      </c>
    </row>
    <row r="1457" customFormat="false" ht="15" hidden="false" customHeight="false" outlineLevel="0" collapsed="false">
      <c r="A1457" s="126" t="n">
        <f aca="false">A1456+$F$3</f>
        <v>14510</v>
      </c>
      <c r="B1457" s="127" t="n">
        <f aca="false">SUMPRODUCT(固有振動数!$Q$6:$Q$22*(1-($A1457/固有振動数!$O$6:$O$22)^2)/((1-($A1457/固有振動数!$O$6:$O$22)^2)^2+固有振動数!$P$6:$P$22^2))</f>
        <v>5.65841096202267</v>
      </c>
      <c r="C1457" s="127" t="n">
        <f aca="false">-SUMPRODUCT(固有振動数!$Q$6:$Q$22*固有振動数!$P$6:$P$22/((1-($A1457/固有振動数!$O$6:$O$22)^2)^2+固有振動数!$P$6:$P$22^2))</f>
        <v>-1.73290943778318</v>
      </c>
      <c r="D1457" s="128" t="n">
        <f aca="false">SQRT(B1457^2+C1457^2)</f>
        <v>5.91781967744002</v>
      </c>
      <c r="E1457" s="129" t="n">
        <f aca="false">20*LOG10(MAX(D1457,0.000000000001)/$K$3)</f>
        <v>15.4432345517884</v>
      </c>
    </row>
    <row r="1458" customFormat="false" ht="15" hidden="false" customHeight="false" outlineLevel="0" collapsed="false">
      <c r="A1458" s="122" t="n">
        <f aca="false">A1457+$F$3</f>
        <v>14520</v>
      </c>
      <c r="B1458" s="123" t="n">
        <f aca="false">SUMPRODUCT(固有振動数!$Q$6:$Q$22*(1-($A1458/固有振動数!$O$6:$O$22)^2)/((1-($A1458/固有振動数!$O$6:$O$22)^2)^2+固有振動数!$P$6:$P$22^2))</f>
        <v>5.75509396459364</v>
      </c>
      <c r="C1458" s="123" t="n">
        <f aca="false">-SUMPRODUCT(固有振動数!$Q$6:$Q$22*固有振動数!$P$6:$P$22/((1-($A1458/固有振動数!$O$6:$O$22)^2)^2+固有振動数!$P$6:$P$22^2))</f>
        <v>-1.72378628340116</v>
      </c>
      <c r="D1458" s="124" t="n">
        <f aca="false">SQRT(B1458^2+C1458^2)</f>
        <v>6.00770719094599</v>
      </c>
      <c r="E1458" s="125" t="n">
        <f aca="false">20*LOG10(MAX(D1458,0.000000000001)/$K$3)</f>
        <v>15.5741751495118</v>
      </c>
    </row>
    <row r="1459" customFormat="false" ht="15" hidden="false" customHeight="false" outlineLevel="0" collapsed="false">
      <c r="A1459" s="126" t="n">
        <f aca="false">A1458+$F$3</f>
        <v>14530</v>
      </c>
      <c r="B1459" s="127" t="n">
        <f aca="false">SUMPRODUCT(固有振動数!$Q$6:$Q$22*(1-($A1459/固有振動数!$O$6:$O$22)^2)/((1-($A1459/固有振動数!$O$6:$O$22)^2)^2+固有振動数!$P$6:$P$22^2))</f>
        <v>5.85107401886394</v>
      </c>
      <c r="C1459" s="127" t="n">
        <f aca="false">-SUMPRODUCT(固有振動数!$Q$6:$Q$22*固有振動数!$P$6:$P$22/((1-($A1459/固有振動数!$O$6:$O$22)^2)^2+固有振動数!$P$6:$P$22^2))</f>
        <v>-1.71502736414934</v>
      </c>
      <c r="D1459" s="128" t="n">
        <f aca="false">SQRT(B1459^2+C1459^2)</f>
        <v>6.09724413436149</v>
      </c>
      <c r="E1459" s="129" t="n">
        <f aca="false">20*LOG10(MAX(D1459,0.000000000001)/$K$3)</f>
        <v>15.7026716914286</v>
      </c>
    </row>
    <row r="1460" customFormat="false" ht="15" hidden="false" customHeight="false" outlineLevel="0" collapsed="false">
      <c r="A1460" s="122" t="n">
        <f aca="false">A1459+$F$3</f>
        <v>14540</v>
      </c>
      <c r="B1460" s="123" t="n">
        <f aca="false">SUMPRODUCT(固有振動数!$Q$6:$Q$22*(1-($A1460/固有振動数!$O$6:$O$22)^2)/((1-($A1460/固有振動数!$O$6:$O$22)^2)^2+固有振動数!$P$6:$P$22^2))</f>
        <v>5.94637300762073</v>
      </c>
      <c r="C1460" s="123" t="n">
        <f aca="false">-SUMPRODUCT(固有振動数!$Q$6:$Q$22*固有振動数!$P$6:$P$22/((1-($A1460/固有振動数!$O$6:$O$22)^2)^2+固有振動数!$P$6:$P$22^2))</f>
        <v>-1.70662291922365</v>
      </c>
      <c r="D1460" s="124" t="n">
        <f aca="false">SQRT(B1460^2+C1460^2)</f>
        <v>6.18642980516063</v>
      </c>
      <c r="E1460" s="125" t="n">
        <f aca="false">20*LOG10(MAX(D1460,0.000000000001)/$K$3)</f>
        <v>15.8288017906312</v>
      </c>
    </row>
    <row r="1461" customFormat="false" ht="15" hidden="false" customHeight="false" outlineLevel="0" collapsed="false">
      <c r="A1461" s="126" t="n">
        <f aca="false">A1460+$F$3</f>
        <v>14550</v>
      </c>
      <c r="B1461" s="127" t="n">
        <f aca="false">SUMPRODUCT(固有振動数!$Q$6:$Q$22*(1-($A1461/固有振動数!$O$6:$O$22)^2)/((1-($A1461/固有振動数!$O$6:$O$22)^2)^2+固有振動数!$P$6:$P$22^2))</f>
        <v>6.04101225005243</v>
      </c>
      <c r="C1461" s="127" t="n">
        <f aca="false">-SUMPRODUCT(固有振動数!$Q$6:$Q$22*固有振動数!$P$6:$P$22/((1-($A1461/固有振動数!$O$6:$O$22)^2)^2+固有振動数!$P$6:$P$22^2))</f>
        <v>-1.69856361132364</v>
      </c>
      <c r="D1461" s="128" t="n">
        <f aca="false">SQRT(B1461^2+C1461^2)</f>
        <v>6.27526472326039</v>
      </c>
      <c r="E1461" s="129" t="n">
        <f aca="false">20*LOG10(MAX(D1461,0.000000000001)/$K$3)</f>
        <v>15.9526410267307</v>
      </c>
    </row>
    <row r="1462" customFormat="false" ht="15" hidden="false" customHeight="false" outlineLevel="0" collapsed="false">
      <c r="A1462" s="122" t="n">
        <f aca="false">A1461+$F$3</f>
        <v>14560</v>
      </c>
      <c r="B1462" s="123" t="n">
        <f aca="false">SUMPRODUCT(固有振動数!$Q$6:$Q$22*(1-($A1462/固有振動数!$O$6:$O$22)^2)/((1-($A1462/固有振動数!$O$6:$O$22)^2)^2+固有振動数!$P$6:$P$22^2))</f>
        <v>6.13501252383698</v>
      </c>
      <c r="C1462" s="123" t="n">
        <f aca="false">-SUMPRODUCT(固有振動数!$Q$6:$Q$22*固有振動数!$P$6:$P$22/((1-($A1462/固有振動数!$O$6:$O$22)^2)^2+固有振動数!$P$6:$P$22^2))</f>
        <v>-1.69084050718016</v>
      </c>
      <c r="D1462" s="124" t="n">
        <f aca="false">SQRT(B1462^2+C1462^2)</f>
        <v>6.36375048916579</v>
      </c>
      <c r="E1462" s="125" t="n">
        <f aca="false">20*LOG10(MAX(D1462,0.000000000001)/$K$3)</f>
        <v>16.0742628685708</v>
      </c>
    </row>
    <row r="1463" customFormat="false" ht="15" hidden="false" customHeight="false" outlineLevel="0" collapsed="false">
      <c r="A1463" s="126" t="n">
        <f aca="false">A1462+$F$3</f>
        <v>14570</v>
      </c>
      <c r="B1463" s="127" t="n">
        <f aca="false">SUMPRODUCT(固有振動数!$Q$6:$Q$22*(1-($A1463/固有振動数!$O$6:$O$22)^2)/((1-($A1463/固有振動数!$O$6:$O$22)^2)^2+固有振動数!$P$6:$P$22^2))</f>
        <v>6.2283940863161</v>
      </c>
      <c r="C1463" s="127" t="n">
        <f aca="false">-SUMPRODUCT(固有振動数!$Q$6:$Q$22*固有振動数!$P$6:$P$22/((1-($A1463/固有振動数!$O$6:$O$22)^2)^2+固有振動数!$P$6:$P$22^2))</f>
        <v>-1.68344505917134</v>
      </c>
      <c r="D1463" s="128" t="n">
        <f aca="false">SQRT(B1463^2+C1463^2)</f>
        <v>6.45188965820912</v>
      </c>
      <c r="E1463" s="129" t="n">
        <f aca="false">20*LOG10(MAX(D1463,0.000000000001)/$K$3)</f>
        <v>16.1937386274052</v>
      </c>
    </row>
    <row r="1464" customFormat="false" ht="15" hidden="false" customHeight="false" outlineLevel="0" collapsed="false">
      <c r="A1464" s="122" t="n">
        <f aca="false">A1463+$F$3</f>
        <v>14580</v>
      </c>
      <c r="B1464" s="123" t="n">
        <f aca="false">SUMPRODUCT(固有振動数!$Q$6:$Q$22*(1-($A1464/固有振動数!$O$6:$O$22)^2)/((1-($A1464/固有振動数!$O$6:$O$22)^2)^2+固有振動数!$P$6:$P$22^2))</f>
        <v>6.32117669480055</v>
      </c>
      <c r="C1464" s="123" t="n">
        <f aca="false">-SUMPRODUCT(固有振動数!$Q$6:$Q$22*固有振動数!$P$6:$P$22/((1-($A1464/固有振動数!$O$6:$O$22)^2)^2+固有振動数!$P$6:$P$22^2))</f>
        <v>-1.67636908795977</v>
      </c>
      <c r="D1464" s="124" t="n">
        <f aca="false">SQRT(B1464^2+C1464^2)</f>
        <v>6.53968562898529</v>
      </c>
      <c r="E1464" s="125" t="n">
        <f aca="false">20*LOG10(MAX(D1464,0.000000000001)/$K$3)</f>
        <v>16.3111374347469</v>
      </c>
    </row>
    <row r="1465" customFormat="false" ht="15" hidden="false" customHeight="false" outlineLevel="0" collapsed="false">
      <c r="A1465" s="126" t="n">
        <f aca="false">A1464+$F$3</f>
        <v>14590</v>
      </c>
      <c r="B1465" s="127" t="n">
        <f aca="false">SUMPRODUCT(固有振動数!$Q$6:$Q$22*(1-($A1465/固有振動数!$O$6:$O$22)^2)/((1-($A1465/固有振動数!$O$6:$O$22)^2)^2+固有振動数!$P$6:$P$22^2))</f>
        <v>6.41337962604828</v>
      </c>
      <c r="C1465" s="127" t="n">
        <f aca="false">-SUMPRODUCT(固有振動数!$Q$6:$Q$22*固有振動数!$P$6:$P$22/((1-($A1465/固有振動数!$O$6:$O$22)^2)^2+固有振動数!$P$6:$P$22^2))</f>
        <v>-1.66960476608846</v>
      </c>
      <c r="D1465" s="128" t="n">
        <f aca="false">SQRT(B1465^2+C1465^2)</f>
        <v>6.62714254432153</v>
      </c>
      <c r="E1465" s="129" t="n">
        <f aca="false">20*LOG10(MAX(D1465,0.000000000001)/$K$3)</f>
        <v>16.4265262400896</v>
      </c>
    </row>
    <row r="1466" customFormat="false" ht="15" hidden="false" customHeight="false" outlineLevel="0" collapsed="false">
      <c r="A1466" s="122" t="n">
        <f aca="false">A1465+$F$3</f>
        <v>14600</v>
      </c>
      <c r="B1466" s="123" t="n">
        <f aca="false">SUMPRODUCT(固有振動数!$Q$6:$Q$22*(1-($A1466/固有振動数!$O$6:$O$22)^2)/((1-($A1466/固有振動数!$O$6:$O$22)^2)^2+固有振動数!$P$6:$P$22^2))</f>
        <v>6.50502169495578</v>
      </c>
      <c r="C1466" s="123" t="n">
        <f aca="false">-SUMPRODUCT(固有振動数!$Q$6:$Q$22*固有振動数!$P$6:$P$22/((1-($A1466/固有振動数!$O$6:$O$22)^2)^2+固有振動数!$P$6:$P$22^2))</f>
        <v>-1.66314460247743</v>
      </c>
      <c r="D1466" s="124" t="n">
        <f aca="false">SQRT(B1466^2+C1466^2)</f>
        <v>6.71426520332606</v>
      </c>
      <c r="E1466" s="125" t="n">
        <f aca="false">20*LOG10(MAX(D1466,0.000000000001)/$K$3)</f>
        <v>16.5399698245265</v>
      </c>
    </row>
    <row r="1467" customFormat="false" ht="15" hidden="false" customHeight="false" outlineLevel="0" collapsed="false">
      <c r="A1467" s="126" t="n">
        <f aca="false">A1466+$F$3</f>
        <v>14610</v>
      </c>
      <c r="B1467" s="127" t="n">
        <f aca="false">SUMPRODUCT(固有振動数!$Q$6:$Q$22*(1-($A1467/固有振動数!$O$6:$O$22)^2)/((1-($A1467/固有振動数!$O$6:$O$22)^2)^2+固有振動数!$P$6:$P$22^2))</f>
        <v>6.59612127250059</v>
      </c>
      <c r="C1467" s="127" t="n">
        <f aca="false">-SUMPRODUCT(固有振動数!$Q$6:$Q$22*固有振動数!$P$6:$P$22/((1-($A1467/固有振動数!$O$6:$O$22)^2)^2+固有振動数!$P$6:$P$22^2))</f>
        <v>-1.65698142776686</v>
      </c>
      <c r="D1467" s="128" t="n">
        <f aca="false">SQRT(B1467^2+C1467^2)</f>
        <v>6.80105898323923</v>
      </c>
      <c r="E1467" s="129" t="n">
        <f aca="false">20*LOG10(MAX(D1467,0.000000000001)/$K$3)</f>
        <v>16.6515308269758</v>
      </c>
    </row>
    <row r="1468" customFormat="false" ht="15" hidden="false" customHeight="false" outlineLevel="0" collapsed="false">
      <c r="A1468" s="122" t="n">
        <f aca="false">A1467+$F$3</f>
        <v>14620</v>
      </c>
      <c r="B1468" s="123" t="n">
        <f aca="false">SUMPRODUCT(固有振動数!$Q$6:$Q$22*(1-($A1468/固有振動数!$O$6:$O$22)^2)/((1-($A1468/固有振動数!$O$6:$O$22)^2)^2+固有振動数!$P$6:$P$22^2))</f>
        <v>6.68669630297113</v>
      </c>
      <c r="C1468" s="123" t="n">
        <f aca="false">-SUMPRODUCT(固有振動数!$Q$6:$Q$22*固有振動数!$P$6:$P$22/((1-($A1468/固有振動数!$O$6:$O$22)^2)^2+固有振動数!$P$6:$P$22^2))</f>
        <v>-1.65110838045616</v>
      </c>
      <c r="D1468" s="124" t="n">
        <f aca="false">SQRT(B1468^2+C1468^2)</f>
        <v>6.8875297699669</v>
      </c>
      <c r="E1468" s="125" t="n">
        <f aca="false">20*LOG10(MAX(D1468,0.000000000001)/$K$3)</f>
        <v>16.7612697802949</v>
      </c>
    </row>
    <row r="1469" customFormat="false" ht="15" hidden="false" customHeight="false" outlineLevel="0" collapsed="false">
      <c r="A1469" s="126" t="n">
        <f aca="false">A1468+$F$3</f>
        <v>14630</v>
      </c>
      <c r="B1469" s="127" t="n">
        <f aca="false">SUMPRODUCT(固有振動数!$Q$6:$Q$22*(1-($A1469/固有振動数!$O$6:$O$22)^2)/((1-($A1469/固有振動数!$O$6:$O$22)^2)^2+固有振動数!$P$6:$P$22^2))</f>
        <v>6.77676432051811</v>
      </c>
      <c r="C1469" s="127" t="n">
        <f aca="false">-SUMPRODUCT(固有振動数!$Q$6:$Q$22*固有振動数!$P$6:$P$22/((1-($A1469/固有振動数!$O$6:$O$22)^2)^2+固有振動数!$P$6:$P$22^2))</f>
        <v>-1.64551889379199</v>
      </c>
      <c r="D1469" s="128" t="n">
        <f aca="false">SQRT(B1469^2+C1469^2)</f>
        <v>6.97368389631145</v>
      </c>
      <c r="E1469" s="129" t="n">
        <f aca="false">20*LOG10(MAX(D1469,0.000000000001)/$K$3)</f>
        <v>16.8692451550379</v>
      </c>
    </row>
    <row r="1470" customFormat="false" ht="15" hidden="false" customHeight="false" outlineLevel="0" collapsed="false">
      <c r="A1470" s="122" t="n">
        <f aca="false">A1469+$F$3</f>
        <v>14640</v>
      </c>
      <c r="B1470" s="123" t="n">
        <f aca="false">SUMPRODUCT(固有振動数!$Q$6:$Q$22*(1-($A1470/固有振動数!$O$6:$O$22)^2)/((1-($A1470/固有振動数!$O$6:$O$22)^2)^2+固有振動数!$P$6:$P$22^2))</f>
        <v>6.86634246505995</v>
      </c>
      <c r="C1470" s="123" t="n">
        <f aca="false">-SUMPRODUCT(固有振動数!$Q$6:$Q$22*固有振動数!$P$6:$P$22/((1-($A1470/固有振動数!$O$6:$O$22)^2)^2+固有振動数!$P$6:$P$22^2))</f>
        <v>-1.64020668336131</v>
      </c>
      <c r="D1470" s="124" t="n">
        <f aca="false">SQRT(B1470^2+C1470^2)</f>
        <v>7.05952808703448</v>
      </c>
      <c r="E1470" s="125" t="n">
        <f aca="false">20*LOG10(MAX(D1470,0.000000000001)/$K$3)</f>
        <v>16.9755134090052</v>
      </c>
    </row>
    <row r="1471" customFormat="false" ht="15" hidden="false" customHeight="false" outlineLevel="0" collapsed="false">
      <c r="A1471" s="126" t="n">
        <f aca="false">A1470+$F$3</f>
        <v>14650</v>
      </c>
      <c r="B1471" s="127" t="n">
        <f aca="false">SUMPRODUCT(固有振動数!$Q$6:$Q$22*(1-($A1471/固有振動数!$O$6:$O$22)^2)/((1-($A1471/固有振動数!$O$6:$O$22)^2)^2+固有振動数!$P$6:$P$22^2))</f>
        <v>6.95544749757333</v>
      </c>
      <c r="C1471" s="127" t="n">
        <f aca="false">-SUMPRODUCT(固有振動数!$Q$6:$Q$22*固有振動数!$P$6:$P$22/((1-($A1471/固有振動数!$O$6:$O$22)^2)^2+固有振動数!$P$6:$P$22^2))</f>
        <v>-1.63516573534835</v>
      </c>
      <c r="D1471" s="128" t="n">
        <f aca="false">SQRT(B1471^2+C1471^2)</f>
        <v>7.1450694099887</v>
      </c>
      <c r="E1471" s="129" t="n">
        <f aca="false">20*LOG10(MAX(D1471,0.000000000001)/$K$3)</f>
        <v>17.0801290410665</v>
      </c>
    </row>
    <row r="1472" customFormat="false" ht="15" hidden="false" customHeight="false" outlineLevel="0" collapsed="false">
      <c r="A1472" s="122" t="n">
        <f aca="false">A1471+$F$3</f>
        <v>14660</v>
      </c>
      <c r="B1472" s="123" t="n">
        <f aca="false">SUMPRODUCT(固有振動数!$Q$6:$Q$22*(1-($A1472/固有振動数!$O$6:$O$22)^2)/((1-($A1472/固有振動数!$O$6:$O$22)^2)^2+固有振動数!$P$6:$P$22^2))</f>
        <v>7.04409581479797</v>
      </c>
      <c r="C1472" s="123" t="n">
        <f aca="false">-SUMPRODUCT(固有振動数!$Q$6:$Q$22*固有振動数!$P$6:$P$22/((1-($A1472/固有振動数!$O$6:$O$22)^2)^2+固有振動数!$P$6:$P$22^2))</f>
        <v>-1.63039029541727</v>
      </c>
      <c r="D1472" s="124" t="n">
        <f aca="false">SQRT(B1472^2+C1472^2)</f>
        <v>7.23031523264686</v>
      </c>
      <c r="E1472" s="125" t="n">
        <f aca="false">20*LOG10(MAX(D1472,0.000000000001)/$K$3)</f>
        <v>17.1831446480057</v>
      </c>
    </row>
    <row r="1473" customFormat="false" ht="15" hidden="false" customHeight="false" outlineLevel="0" collapsed="false">
      <c r="A1473" s="126" t="n">
        <f aca="false">A1472+$F$3</f>
        <v>14670</v>
      </c>
      <c r="B1473" s="127" t="n">
        <f aca="false">SUMPRODUCT(固有振動数!$Q$6:$Q$22*(1-($A1473/固有振動数!$O$6:$O$22)^2)/((1-($A1473/固有振動数!$O$6:$O$22)^2)^2+固有振動数!$P$6:$P$22^2))</f>
        <v>7.13230346338371</v>
      </c>
      <c r="C1473" s="127" t="n">
        <f aca="false">-SUMPRODUCT(固有振動数!$Q$6:$Q$22*固有振動数!$P$6:$P$22/((1-($A1473/固有振動数!$O$6:$O$22)^2)^2+固有振動数!$P$6:$P$22^2))</f>
        <v>-1.62587485818477</v>
      </c>
      <c r="D1473" s="128" t="n">
        <f aca="false">SQRT(B1473^2+C1473^2)</f>
        <v>7.31527318343427</v>
      </c>
      <c r="E1473" s="129" t="n">
        <f aca="false">20*LOG10(MAX(D1473,0.000000000001)/$K$3)</f>
        <v>17.2846109833694</v>
      </c>
    </row>
    <row r="1474" customFormat="false" ht="15" hidden="false" customHeight="false" outlineLevel="0" collapsed="false">
      <c r="A1474" s="122" t="n">
        <f aca="false">A1473+$F$3</f>
        <v>14680</v>
      </c>
      <c r="B1474" s="123" t="n">
        <f aca="false">SUMPRODUCT(固有振動数!$Q$6:$Q$22*(1-($A1474/固有振動数!$O$6:$O$22)^2)/((1-($A1474/固有振動数!$O$6:$O$22)^2)^2+固有振動数!$P$6:$P$22^2))</f>
        <v>7.22008615350621</v>
      </c>
      <c r="C1474" s="123" t="n">
        <f aca="false">-SUMPRODUCT(固有振動数!$Q$6:$Q$22*固有振動数!$P$6:$P$22/((1-($A1474/固有振動数!$O$6:$O$22)^2)^2+固有振動数!$P$6:$P$22^2))</f>
        <v>-1.62161415724915</v>
      </c>
      <c r="D1474" s="124" t="n">
        <f aca="false">SQRT(B1474^2+C1474^2)</f>
        <v>7.39995111734145</v>
      </c>
      <c r="E1474" s="125" t="n">
        <f aca="false">20*LOG10(MAX(D1474,0.000000000001)/$K$3)</f>
        <v>17.3845770174871</v>
      </c>
    </row>
    <row r="1475" customFormat="false" ht="15" hidden="false" customHeight="false" outlineLevel="0" collapsed="false">
      <c r="A1475" s="126" t="n">
        <f aca="false">A1474+$F$3</f>
        <v>14690</v>
      </c>
      <c r="B1475" s="127" t="n">
        <f aca="false">SUMPRODUCT(固有振動数!$Q$6:$Q$22*(1-($A1475/固有振動数!$O$6:$O$22)^2)/((1-($A1475/固有振動数!$O$6:$O$22)^2)^2+固有振動数!$P$6:$P$22^2))</f>
        <v>7.30745927197668</v>
      </c>
      <c r="C1475" s="127" t="n">
        <f aca="false">-SUMPRODUCT(固有振動数!$Q$6:$Q$22*固有振動数!$P$6:$P$22/((1-($A1475/固有振動数!$O$6:$O$22)^2)^2+固有振動数!$P$6:$P$22^2))</f>
        <v>-1.61760315574453</v>
      </c>
      <c r="D1475" s="128" t="n">
        <f aca="false">SQRT(B1475^2+C1475^2)</f>
        <v>7.48435708535293</v>
      </c>
      <c r="E1475" s="129" t="n">
        <f aca="false">20*LOG10(MAX(D1475,0.000000000001)/$K$3)</f>
        <v>17.4830899979886</v>
      </c>
    </row>
    <row r="1476" customFormat="false" ht="15" hidden="false" customHeight="false" outlineLevel="0" collapsed="false">
      <c r="A1476" s="122" t="n">
        <f aca="false">A1475+$F$3</f>
        <v>14700</v>
      </c>
      <c r="B1476" s="123" t="n">
        <f aca="false">SUMPRODUCT(固有振動数!$Q$6:$Q$22*(1-($A1476/固有振動数!$O$6:$O$22)^2)/((1-($A1476/固有振動数!$O$6:$O$22)^2)^2+固有振動数!$P$6:$P$22^2))</f>
        <v>7.39443789486927</v>
      </c>
      <c r="C1476" s="123" t="n">
        <f aca="false">-SUMPRODUCT(固有振動数!$Q$6:$Q$22*固有振動数!$P$6:$P$22/((1-($A1476/固有振動数!$O$6:$O$22)^2)^2+固有振動数!$P$6:$P$22^2))</f>
        <v>-1.61383703739113</v>
      </c>
      <c r="D1476" s="124" t="n">
        <f aca="false">SQRT(B1476^2+C1476^2)</f>
        <v>7.56849930728239</v>
      </c>
      <c r="E1476" s="125" t="n">
        <f aca="false">20*LOG10(MAX(D1476,0.000000000001)/$K$3)</f>
        <v>17.5801955102756</v>
      </c>
    </row>
    <row r="1477" customFormat="false" ht="15" hidden="false" customHeight="false" outlineLevel="0" collapsed="false">
      <c r="A1477" s="126" t="n">
        <f aca="false">A1476+$F$3</f>
        <v>14710</v>
      </c>
      <c r="B1477" s="127" t="n">
        <f aca="false">SUMPRODUCT(固有振動数!$Q$6:$Q$22*(1-($A1477/固有振動数!$O$6:$O$22)^2)/((1-($A1477/固有振動数!$O$6:$O$22)^2)^2+固有振動数!$P$6:$P$22^2))</f>
        <v>7.48103679968917</v>
      </c>
      <c r="C1477" s="127" t="n">
        <f aca="false">-SUMPRODUCT(固有振動数!$Q$6:$Q$22*固有振動数!$P$6:$P$22/((1-($A1477/固有振動数!$O$6:$O$22)^2)^2+固有振動数!$P$6:$P$22^2))</f>
        <v>-1.61031119801406</v>
      </c>
      <c r="D1477" s="128" t="n">
        <f aca="false">SQRT(B1477^2+C1477^2)</f>
        <v>7.65238614765049</v>
      </c>
      <c r="E1477" s="129" t="n">
        <f aca="false">20*LOG10(MAX(D1477,0.000000000001)/$K$3)</f>
        <v>17.6759375375143</v>
      </c>
    </row>
    <row r="1478" customFormat="false" ht="15" hidden="false" customHeight="false" outlineLevel="0" collapsed="false">
      <c r="A1478" s="122" t="n">
        <f aca="false">A1477+$F$3</f>
        <v>14720</v>
      </c>
      <c r="B1478" s="123" t="n">
        <f aca="false">SUMPRODUCT(固有振動数!$Q$6:$Q$22*(1-($A1478/固有振動数!$O$6:$O$22)^2)/((1-($A1478/固有振動数!$O$6:$O$22)^2)^2+固有振動数!$P$6:$P$22^2))</f>
        <v>7.56727047710301</v>
      </c>
      <c r="C1478" s="123" t="n">
        <f aca="false">-SUMPRODUCT(固有振動数!$Q$6:$Q$22*固有振動数!$P$6:$P$22/((1-($A1478/固有振動数!$O$6:$O$22)^2)^2+固有振動数!$P$6:$P$22^2))</f>
        <v>-1.60702123750515</v>
      </c>
      <c r="D1478" s="124" t="n">
        <f aca="false">SQRT(B1478^2+C1478^2)</f>
        <v>7.736026094283</v>
      </c>
      <c r="E1478" s="125" t="n">
        <f aca="false">20*LOG10(MAX(D1478,0.000000000001)/$K$3)</f>
        <v>17.7703585198029</v>
      </c>
    </row>
    <row r="1479" customFormat="false" ht="15" hidden="false" customHeight="false" outlineLevel="0" collapsed="false">
      <c r="A1479" s="126" t="n">
        <f aca="false">A1478+$F$3</f>
        <v>14730</v>
      </c>
      <c r="B1479" s="127" t="n">
        <f aca="false">SUMPRODUCT(固有振動数!$Q$6:$Q$22*(1-($A1479/固有振動数!$O$6:$O$22)^2)/((1-($A1479/固有振動数!$O$6:$O$22)^2)^2+固有振動数!$P$6:$P$22^2))</f>
        <v>7.65315314225201</v>
      </c>
      <c r="C1479" s="127" t="n">
        <f aca="false">-SUMPRODUCT(固有振動数!$Q$6:$Q$22*固有振動数!$P$6:$P$22/((1-($A1479/固有振動数!$O$6:$O$22)^2)^2+固有振動数!$P$6:$P$22^2))</f>
        <v>-1.60396295220374</v>
      </c>
      <c r="D1479" s="128" t="n">
        <f aca="false">SQRT(B1479^2+C1479^2)</f>
        <v>7.81942773934282</v>
      </c>
      <c r="E1479" s="129" t="n">
        <f aca="false">20*LOG10(MAX(D1479,0.000000000001)/$K$3)</f>
        <v>17.8634994122464</v>
      </c>
    </row>
    <row r="1480" customFormat="false" ht="15" hidden="false" customHeight="false" outlineLevel="0" collapsed="false">
      <c r="A1480" s="122" t="n">
        <f aca="false">A1479+$F$3</f>
        <v>14740</v>
      </c>
      <c r="B1480" s="123" t="n">
        <f aca="false">SUMPRODUCT(固有振動数!$Q$6:$Q$22*(1-($A1480/固有振動数!$O$6:$O$22)^2)/((1-($A1480/固有振動数!$O$6:$O$22)^2)^2+固有振動数!$P$6:$P$22^2))</f>
        <v>7.73869874566778</v>
      </c>
      <c r="C1480" s="123" t="n">
        <f aca="false">-SUMPRODUCT(固有振動数!$Q$6:$Q$22*固有振動数!$P$6:$P$22/((1-($A1480/固有振動数!$O$6:$O$22)^2)^2+固有振動数!$P$6:$P$22^2))</f>
        <v>-1.60113232767406</v>
      </c>
      <c r="D1480" s="124" t="n">
        <f aca="false">SQRT(B1480^2+C1480^2)</f>
        <v>7.90259976254163</v>
      </c>
      <c r="E1480" s="125" t="n">
        <f aca="false">20*LOG10(MAX(D1480,0.000000000001)/$K$3)</f>
        <v>17.9553997417296</v>
      </c>
    </row>
    <row r="1481" customFormat="false" ht="15" hidden="false" customHeight="false" outlineLevel="0" collapsed="false">
      <c r="A1481" s="126" t="n">
        <f aca="false">A1480+$F$3</f>
        <v>14750</v>
      </c>
      <c r="B1481" s="127" t="n">
        <f aca="false">SUMPRODUCT(固有振動数!$Q$6:$Q$22*(1-($A1481/固有振動数!$O$6:$O$22)^2)/((1-($A1481/固有振動数!$O$6:$O$22)^2)^2+固有振動数!$P$6:$P$22^2))</f>
        <v>7.82392098380921</v>
      </c>
      <c r="C1481" s="127" t="n">
        <f aca="false">-SUMPRODUCT(固有振動数!$Q$6:$Q$22*固有振動数!$P$6:$P$22/((1-($A1481/固有振動数!$O$6:$O$22)^2)^2+固有振動数!$P$6:$P$22^2))</f>
        <v>-1.59852553185799</v>
      </c>
      <c r="D1481" s="128" t="n">
        <f aca="false">SQRT(B1481^2+C1481^2)</f>
        <v>7.98555091630452</v>
      </c>
      <c r="E1481" s="129" t="n">
        <f aca="false">20*LOG10(MAX(D1481,0.000000000001)/$K$3)</f>
        <v>18.0460976622331</v>
      </c>
    </row>
    <row r="1482" customFormat="false" ht="15" hidden="false" customHeight="false" outlineLevel="0" collapsed="false">
      <c r="A1482" s="122" t="n">
        <f aca="false">A1481+$F$3</f>
        <v>14760</v>
      </c>
      <c r="B1482" s="123" t="n">
        <f aca="false">SUMPRODUCT(固有振動数!$Q$6:$Q$22*(1-($A1482/固有振動数!$O$6:$O$22)^2)/((1-($A1482/固有振動数!$O$6:$O$22)^2)^2+固有振動数!$P$6:$P$22^2))</f>
        <v>7.90883330923847</v>
      </c>
      <c r="C1482" s="123" t="n">
        <f aca="false">-SUMPRODUCT(固有振動数!$Q$6:$Q$22*固有振動数!$P$6:$P$22/((1-($A1482/固有振動数!$O$6:$O$22)^2)^2+固有振動数!$P$6:$P$22^2))</f>
        <v>-1.59613890858372</v>
      </c>
      <c r="D1482" s="124" t="n">
        <f aca="false">SQRT(B1482^2+C1482^2)</f>
        <v>8.06829001268638</v>
      </c>
      <c r="E1482" s="125" t="n">
        <f aca="false">20*LOG10(MAX(D1482,0.000000000001)/$K$3)</f>
        <v>18.1356300085778</v>
      </c>
    </row>
    <row r="1483" customFormat="false" ht="15" hidden="false" customHeight="false" outlineLevel="0" collapsed="false">
      <c r="A1483" s="126" t="n">
        <f aca="false">A1482+$F$3</f>
        <v>14770</v>
      </c>
      <c r="B1483" s="127" t="n">
        <f aca="false">SUMPRODUCT(固有振動数!$Q$6:$Q$22*(1-($A1483/固有振動数!$O$6:$O$22)^2)/((1-($A1483/固有振動数!$O$6:$O$22)^2)^2+固有振動数!$P$6:$P$22^2))</f>
        <v>7.99344894045283</v>
      </c>
      <c r="C1483" s="127" t="n">
        <f aca="false">-SUMPRODUCT(固有振動数!$Q$6:$Q$22*固有振動数!$P$6:$P$22/((1-($A1483/固有振動数!$O$6:$O$22)^2)^2+固有振動数!$P$6:$P$22^2))</f>
        <v>-1.59396897141152</v>
      </c>
      <c r="D1483" s="128" t="n">
        <f aca="false">SQRT(B1483^2+C1483^2)</f>
        <v>8.15082591186005</v>
      </c>
      <c r="E1483" s="129" t="n">
        <f aca="false">20*LOG10(MAX(D1483,0.000000000001)/$K$3)</f>
        <v>18.2240323485174</v>
      </c>
    </row>
    <row r="1484" customFormat="false" ht="15" hidden="false" customHeight="false" outlineLevel="0" collapsed="false">
      <c r="A1484" s="122" t="n">
        <f aca="false">A1483+$F$3</f>
        <v>14780</v>
      </c>
      <c r="B1484" s="123" t="n">
        <f aca="false">SUMPRODUCT(固有振動数!$Q$6:$Q$22*(1-($A1484/固有振動数!$O$6:$O$22)^2)/((1-($A1484/固有振動数!$O$6:$O$22)^2)^2+固有振動数!$P$6:$P$22^2))</f>
        <v>8.07778087138882</v>
      </c>
      <c r="C1484" s="123" t="n">
        <f aca="false">-SUMPRODUCT(固有振動数!$Q$6:$Q$22*固有振動数!$P$6:$P$22/((1-($A1484/固有振動数!$O$6:$O$22)^2)^2+固有振動数!$P$6:$P$22^2))</f>
        <v>-1.59201239779952</v>
      </c>
      <c r="D1484" s="124" t="n">
        <f aca="false">SQRT(B1484^2+C1484^2)</f>
        <v>8.23316751201641</v>
      </c>
      <c r="E1484" s="125" t="n">
        <f aca="false">20*LOG10(MAX(D1484,0.000000000001)/$K$3)</f>
        <v>18.3113390331285</v>
      </c>
    </row>
    <row r="1485" customFormat="false" ht="15" hidden="false" customHeight="false" outlineLevel="0" collapsed="false">
      <c r="A1485" s="126" t="n">
        <f aca="false">A1484+$F$3</f>
        <v>14790</v>
      </c>
      <c r="B1485" s="127" t="n">
        <f aca="false">SUMPRODUCT(固有振動数!$Q$6:$Q$22*(1-($A1485/固有振動数!$O$6:$O$22)^2)/((1-($A1485/固有振動数!$O$6:$O$22)^2)^2+固有振動数!$P$6:$P$22^2))</f>
        <v>8.16184188061376</v>
      </c>
      <c r="C1485" s="127" t="n">
        <f aca="false">-SUMPRODUCT(固有振動数!$Q$6:$Q$22*固有振動数!$P$6:$P$22/((1-($A1485/固有振動数!$O$6:$O$22)^2)^2+固有振動数!$P$6:$P$22^2))</f>
        <v>-1.59026602357307</v>
      </c>
      <c r="D1485" s="128" t="n">
        <f aca="false">SQRT(B1485^2+C1485^2)</f>
        <v>8.31532374053299</v>
      </c>
      <c r="E1485" s="129" t="n">
        <f aca="false">20*LOG10(MAX(D1485,0.000000000001)/$K$3)</f>
        <v>18.3975832454705</v>
      </c>
    </row>
    <row r="1486" customFormat="false" ht="15" hidden="false" customHeight="false" outlineLevel="0" collapsed="false">
      <c r="A1486" s="122" t="n">
        <f aca="false">A1485+$F$3</f>
        <v>14800</v>
      </c>
      <c r="B1486" s="123" t="n">
        <f aca="false">SUMPRODUCT(固有振動数!$Q$6:$Q$22*(1-($A1486/固有振動数!$O$6:$O$22)^2)/((1-($A1486/固有振動数!$O$6:$O$22)^2)^2+固有振動数!$P$6:$P$22^2))</f>
        <v>8.24564454021972</v>
      </c>
      <c r="C1486" s="123" t="n">
        <f aca="false">-SUMPRODUCT(固有振動数!$Q$6:$Q$22*固有振動数!$P$6:$P$22/((1-($A1486/固有振動数!$O$6:$O$22)^2)^2+固有振動数!$P$6:$P$22^2))</f>
        <v>-1.58872683768252</v>
      </c>
      <c r="D1486" s="124" t="n">
        <f aca="false">SQRT(B1486^2+C1486^2)</f>
        <v>8.39730354628365</v>
      </c>
      <c r="E1486" s="125" t="n">
        <f aca="false">20*LOG10(MAX(D1486,0.000000000001)/$K$3)</f>
        <v>18.4827970475043</v>
      </c>
    </row>
    <row r="1487" customFormat="false" ht="15" hidden="false" customHeight="false" outlineLevel="0" collapsed="false">
      <c r="A1487" s="126" t="n">
        <f aca="false">A1486+$F$3</f>
        <v>14810</v>
      </c>
      <c r="B1487" s="127" t="n">
        <f aca="false">SUMPRODUCT(固有振動数!$Q$6:$Q$22*(1-($A1487/固有振動数!$O$6:$O$22)^2)/((1-($A1487/固有振動数!$O$6:$O$22)^2)^2+固有振動数!$P$6:$P$22^2))</f>
        <v>8.32920122443378</v>
      </c>
      <c r="C1487" s="127" t="n">
        <f aca="false">-SUMPRODUCT(固有振動数!$Q$6:$Q$22*固有振動数!$P$6:$P$22/((1-($A1487/固有振動数!$O$6:$O$22)^2)^2+固有振動数!$P$6:$P$22^2))</f>
        <v>-1.58739197723501</v>
      </c>
      <c r="D1487" s="128" t="n">
        <f aca="false">SQRT(B1487^2+C1487^2)</f>
        <v>8.47911589297488</v>
      </c>
      <c r="E1487" s="129" t="n">
        <f aca="false">20*LOG10(MAX(D1487,0.000000000001)/$K$3)</f>
        <v>18.5670114252772</v>
      </c>
    </row>
    <row r="1488" customFormat="false" ht="15" hidden="false" customHeight="false" outlineLevel="0" collapsed="false">
      <c r="A1488" s="122" t="n">
        <f aca="false">A1487+$F$3</f>
        <v>14820</v>
      </c>
      <c r="B1488" s="123" t="n">
        <f aca="false">SUMPRODUCT(固有振動数!$Q$6:$Q$22*(1-($A1488/固有振動数!$O$6:$O$22)^2)/((1-($A1488/固有振動数!$O$6:$O$22)^2)^2+固有振動数!$P$6:$P$22^2))</f>
        <v>8.41252411795801</v>
      </c>
      <c r="C1488" s="123" t="n">
        <f aca="false">-SUMPRODUCT(固有振動数!$Q$6:$Q$22*固有振動数!$P$6:$P$22/((1-($A1488/固有振動数!$O$6:$O$22)^2)^2+固有振動数!$P$6:$P$22^2))</f>
        <v>-1.58625872278689</v>
      </c>
      <c r="D1488" s="124" t="n">
        <f aca="false">SQRT(B1488^2+C1488^2)</f>
        <v>8.56076975340669</v>
      </c>
      <c r="E1488" s="125" t="n">
        <f aca="false">20*LOG10(MAX(D1488,0.000000000001)/$K$3)</f>
        <v>18.6502563323912</v>
      </c>
    </row>
    <row r="1489" customFormat="false" ht="15" hidden="false" customHeight="false" outlineLevel="0" collapsed="false">
      <c r="A1489" s="126" t="n">
        <f aca="false">A1488+$F$3</f>
        <v>14830</v>
      </c>
      <c r="B1489" s="127" t="n">
        <f aca="false">SUMPRODUCT(固有振動数!$Q$6:$Q$22*(1-($A1489/固有振動数!$O$6:$O$22)^2)/((1-($A1489/固有振動数!$O$6:$O$22)^2)^2+固有振動数!$P$6:$P$22^2))</f>
        <v>8.49562522405209</v>
      </c>
      <c r="C1489" s="127" t="n">
        <f aca="false">-SUMPRODUCT(固有振動数!$Q$6:$Q$22*固有振動数!$P$6:$P$22/((1-($A1489/固有振動数!$O$6:$O$22)^2)^2+固有振動数!$P$6:$P$22^2))</f>
        <v>-1.58532449388415</v>
      </c>
      <c r="D1489" s="128" t="n">
        <f aca="false">SQRT(B1489^2+C1489^2)</f>
        <v>8.64227410456641</v>
      </c>
      <c r="E1489" s="129" t="n">
        <f aca="false">20*LOG10(MAX(D1489,0.000000000001)/$K$3)</f>
        <v>18.7325607317811</v>
      </c>
    </row>
    <row r="1490" customFormat="false" ht="15" hidden="false" customHeight="false" outlineLevel="0" collapsed="false">
      <c r="A1490" s="122" t="n">
        <f aca="false">A1489+$F$3</f>
        <v>14840</v>
      </c>
      <c r="B1490" s="123" t="n">
        <f aca="false">SUMPRODUCT(固有振動数!$Q$6:$Q$22*(1-($A1490/固有振動数!$O$6:$O$22)^2)/((1-($A1490/固有振動数!$O$6:$O$22)^2)^2+固有振動数!$P$6:$P$22^2))</f>
        <v>8.5785163723706</v>
      </c>
      <c r="C1490" s="123" t="n">
        <f aca="false">-SUMPRODUCT(固有振動数!$Q$6:$Q$22*固有振動数!$P$6:$P$22/((1-($A1490/固有振動数!$O$6:$O$22)^2)^2+固有振動数!$P$6:$P$22^2))</f>
        <v>-1.58458684483893</v>
      </c>
      <c r="D1490" s="124" t="n">
        <f aca="false">SQRT(B1490^2+C1490^2)</f>
        <v>8.72363792347362</v>
      </c>
      <c r="E1490" s="125" t="n">
        <f aca="false">20*LOG10(MAX(D1490,0.000000000001)/$K$3)</f>
        <v>18.8139526358391</v>
      </c>
    </row>
    <row r="1491" customFormat="false" ht="15" hidden="false" customHeight="false" outlineLevel="0" collapsed="false">
      <c r="A1491" s="126" t="n">
        <f aca="false">A1490+$F$3</f>
        <v>14850</v>
      </c>
      <c r="B1491" s="127" t="n">
        <f aca="false">SUMPRODUCT(固有振動数!$Q$6:$Q$22*(1-($A1491/固有振動数!$O$6:$O$22)^2)/((1-($A1491/固有振動数!$O$6:$O$22)^2)^2+固有振動数!$P$6:$P$22^2))</f>
        <v>8.661209226567</v>
      </c>
      <c r="C1491" s="127" t="n">
        <f aca="false">-SUMPRODUCT(固有振動数!$Q$6:$Q$22*固有振動数!$P$6:$P$22/((1-($A1491/固有振動数!$O$6:$O$22)^2)^2+固有振動数!$P$6:$P$22^2))</f>
        <v>-1.58404346073117</v>
      </c>
      <c r="D1491" s="128" t="n">
        <f aca="false">SQRT(B1491^2+C1491^2)</f>
        <v>8.80487018370257</v>
      </c>
      <c r="E1491" s="129" t="n">
        <f aca="false">20*LOG10(MAX(D1491,0.000000000001)/$K$3)</f>
        <v>18.8944591449251</v>
      </c>
    </row>
    <row r="1492" customFormat="false" ht="15" hidden="false" customHeight="false" outlineLevel="0" collapsed="false">
      <c r="A1492" s="122" t="n">
        <f aca="false">A1491+$F$3</f>
        <v>14860</v>
      </c>
      <c r="B1492" s="123" t="n">
        <f aca="false">SUMPRODUCT(固有振動数!$Q$6:$Q$22*(1-($A1492/固有振動数!$O$6:$O$22)^2)/((1-($A1492/固有振動数!$O$6:$O$22)^2)^2+固有振動数!$P$6:$P$22^2))</f>
        <v>8.74371529167526</v>
      </c>
      <c r="C1492" s="123" t="n">
        <f aca="false">-SUMPRODUCT(固有振動数!$Q$6:$Q$22*固有振動数!$P$6:$P$22/((1-($A1492/固有振動数!$O$6:$O$22)^2)^2+固有振動数!$P$6:$P$22^2))</f>
        <v>-1.5836921536247</v>
      </c>
      <c r="D1492" s="124" t="n">
        <f aca="false">SQRT(B1492^2+C1492^2)</f>
        <v>8.88597985251644</v>
      </c>
      <c r="E1492" s="125" t="n">
        <f aca="false">20*LOG10(MAX(D1492,0.000000000001)/$K$3)</f>
        <v>18.9741064843071</v>
      </c>
    </row>
    <row r="1493" customFormat="false" ht="15" hidden="false" customHeight="false" outlineLevel="0" collapsed="false">
      <c r="A1493" s="126" t="n">
        <f aca="false">A1492+$F$3</f>
        <v>14870</v>
      </c>
      <c r="B1493" s="127" t="n">
        <f aca="false">SUMPRODUCT(固有振動数!$Q$6:$Q$22*(1-($A1493/固有振動数!$O$6:$O$22)^2)/((1-($A1493/固有振動数!$O$6:$O$22)^2)^2+固有振動数!$P$6:$P$22^2))</f>
        <v>8.82604592127993</v>
      </c>
      <c r="C1493" s="127" t="n">
        <f aca="false">-SUMPRODUCT(固有振動数!$Q$6:$Q$22*固有振動数!$P$6:$P$22/((1-($A1493/固有振動数!$O$6:$O$22)^2)^2+固有振動数!$P$6:$P$22^2))</f>
        <v>-1.58353085898825</v>
      </c>
      <c r="D1493" s="128" t="n">
        <f aca="false">SQRT(B1493^2+C1493^2)</f>
        <v>8.96697588855408</v>
      </c>
      <c r="E1493" s="129" t="n">
        <f aca="false">20*LOG10(MAX(D1493,0.000000000001)/$K$3)</f>
        <v>19.0529200395817</v>
      </c>
    </row>
    <row r="1494" customFormat="false" ht="15" hidden="false" customHeight="false" outlineLevel="0" collapsed="false">
      <c r="A1494" s="122" t="n">
        <f aca="false">A1493+$F$3</f>
        <v>14880</v>
      </c>
      <c r="B1494" s="123" t="n">
        <f aca="false">SUMPRODUCT(固有振動数!$Q$6:$Q$22*(1-($A1494/固有振動数!$O$6:$O$22)^2)/((1-($A1494/固有振動数!$O$6:$O$22)^2)^2+固有振動数!$P$6:$P$22^2))</f>
        <v>8.90821232448502</v>
      </c>
      <c r="C1494" s="123" t="n">
        <f aca="false">-SUMPRODUCT(固有振動数!$Q$6:$Q$22*固有振動数!$P$6:$P$22/((1-($A1494/固有振動数!$O$6:$O$22)^2)^2+固有振動数!$P$6:$P$22^2))</f>
        <v>-1.583557632312</v>
      </c>
      <c r="D1494" s="124" t="n">
        <f aca="false">SQRT(B1494^2+C1494^2)</f>
        <v>9.04786724001631</v>
      </c>
      <c r="E1494" s="125" t="n">
        <f aca="false">20*LOG10(MAX(D1494,0.000000000001)/$K$3)</f>
        <v>19.1309243906218</v>
      </c>
    </row>
    <row r="1495" customFormat="false" ht="15" hidden="false" customHeight="false" outlineLevel="0" collapsed="false">
      <c r="A1495" s="126" t="n">
        <f aca="false">A1494+$F$3</f>
        <v>14890</v>
      </c>
      <c r="B1495" s="127" t="n">
        <f aca="false">SUMPRODUCT(固有振動数!$Q$6:$Q$22*(1-($A1495/固有振動数!$O$6:$O$22)^2)/((1-($A1495/固有振動数!$O$6:$O$22)^2)^2+固有振動数!$P$6:$P$22^2))</f>
        <v>8.99022557269129</v>
      </c>
      <c r="C1495" s="127" t="n">
        <f aca="false">-SUMPRODUCT(固有振動数!$Q$6:$Q$22*固有振動数!$P$6:$P$22/((1-($A1495/固有振動数!$O$6:$O$22)^2)^2+固有振動数!$P$6:$P$22^2))</f>
        <v>-1.58377064591103</v>
      </c>
      <c r="D1495" s="128" t="n">
        <f aca="false">SQRT(B1495^2+C1495^2)</f>
        <v>9.12866284330416</v>
      </c>
      <c r="E1495" s="129" t="n">
        <f aca="false">20*LOG10(MAX(D1495,0.000000000001)/$K$3)</f>
        <v>19.2081433441055</v>
      </c>
    </row>
    <row r="1496" customFormat="false" ht="15" hidden="false" customHeight="false" outlineLevel="0" collapsed="false">
      <c r="A1496" s="122" t="n">
        <f aca="false">A1495+$F$3</f>
        <v>14900</v>
      </c>
      <c r="B1496" s="123" t="n">
        <f aca="false">SUMPRODUCT(固有振動数!$Q$6:$Q$22*(1-($A1496/固有振動数!$O$6:$O$22)^2)/((1-($A1496/固有振動数!$O$6:$O$22)^2)^2+固有振動数!$P$6:$P$22^2))</f>
        <v>9.07209660619175</v>
      </c>
      <c r="C1496" s="123" t="n">
        <f aca="false">-SUMPRODUCT(固有振動数!$Q$6:$Q$22*固有振動数!$P$6:$P$22/((1-($A1496/固有振動数!$O$6:$O$22)^2)^2+固有振動数!$P$6:$P$22^2))</f>
        <v>-1.58416818590776</v>
      </c>
      <c r="D1496" s="124" t="n">
        <f aca="false">SQRT(B1496^2+C1496^2)</f>
        <v>9.2093716220662</v>
      </c>
      <c r="E1496" s="125" t="n">
        <f aca="false">20*LOG10(MAX(D1496,0.000000000001)/$K$3)</f>
        <v>19.2845999646767</v>
      </c>
    </row>
    <row r="1497" customFormat="false" ht="15" hidden="false" customHeight="false" outlineLevel="0" collapsed="false">
      <c r="A1497" s="126" t="n">
        <f aca="false">A1496+$F$3</f>
        <v>14910</v>
      </c>
      <c r="B1497" s="127" t="n">
        <f aca="false">SUMPRODUCT(固有振動数!$Q$6:$Q$22*(1-($A1497/固有振動数!$O$6:$O$22)^2)/((1-($A1497/固有振動数!$O$6:$O$22)^2)^2+固有振動数!$P$6:$P$22^2))</f>
        <v>9.15383624059405</v>
      </c>
      <c r="C1497" s="127" t="n">
        <f aca="false">-SUMPRODUCT(固有振動数!$Q$6:$Q$22*固有振動数!$P$6:$P$22/((1-($A1497/固有振動数!$O$6:$O$22)^2)^2+固有振動数!$P$6:$P$22^2))</f>
        <v>-1.58474864938545</v>
      </c>
      <c r="D1497" s="128" t="n">
        <f aca="false">SQRT(B1497^2+C1497^2)</f>
        <v>9.29000248661656</v>
      </c>
      <c r="E1497" s="129" t="n">
        <f aca="false">20*LOG10(MAX(D1497,0.000000000001)/$K$3)</f>
        <v>19.3603166047893</v>
      </c>
    </row>
    <row r="1498" customFormat="false" ht="15" hidden="false" customHeight="false" outlineLevel="0" collapsed="false">
      <c r="A1498" s="122" t="n">
        <f aca="false">A1497+$F$3</f>
        <v>14920</v>
      </c>
      <c r="B1498" s="123" t="n">
        <f aca="false">SUMPRODUCT(固有振動数!$Q$6:$Q$22*(1-($A1498/固有振動数!$O$6:$O$22)^2)/((1-($A1498/固有振動数!$O$6:$O$22)^2)^2+固有振動数!$P$6:$P$22^2))</f>
        <v>9.23545517307871</v>
      </c>
      <c r="C1498" s="123" t="n">
        <f aca="false">-SUMPRODUCT(固有振動数!$Q$6:$Q$22*固有振動数!$P$6:$P$22/((1-($A1498/固有振動数!$O$6:$O$22)^2)^2+固有振動数!$P$6:$P$22^2))</f>
        <v>-1.585510541706</v>
      </c>
      <c r="D1498" s="124" t="n">
        <f aca="false">SQRT(B1498^2+C1498^2)</f>
        <v>9.37056433368915</v>
      </c>
      <c r="E1498" s="125" t="n">
        <f aca="false">20*LOG10(MAX(D1498,0.000000000001)/$K$3)</f>
        <v>19.435314933288</v>
      </c>
    </row>
    <row r="1499" customFormat="false" ht="15" hidden="false" customHeight="false" outlineLevel="0" collapsed="false">
      <c r="A1499" s="126" t="n">
        <f aca="false">A1498+$F$3</f>
        <v>14930</v>
      </c>
      <c r="B1499" s="127" t="n">
        <f aca="false">SUMPRODUCT(固有振動数!$Q$6:$Q$22*(1-($A1499/固有振動数!$O$6:$O$22)^2)/((1-($A1499/固有振動数!$O$6:$O$22)^2)^2+固有振動数!$P$6:$P$22^2))</f>
        <v>9.31696398850145</v>
      </c>
      <c r="C1499" s="127" t="n">
        <f aca="false">-SUMPRODUCT(固有振動数!$Q$6:$Q$22*固有振動数!$P$6:$P$22/((1-($A1499/固有振動数!$O$6:$O$22)^2)^2+固有振動数!$P$6:$P$22^2))</f>
        <v>-1.58645247398509</v>
      </c>
      <c r="D1499" s="128" t="n">
        <f aca="false">SQRT(B1499^2+C1499^2)</f>
        <v>9.45106604649689</v>
      </c>
      <c r="E1499" s="129" t="n">
        <f aca="false">20*LOG10(MAX(D1499,0.000000000001)/$K$3)</f>
        <v>19.5096159627756</v>
      </c>
    </row>
    <row r="1500" customFormat="false" ht="15" hidden="false" customHeight="false" outlineLevel="0" collapsed="false">
      <c r="A1500" s="122" t="n">
        <f aca="false">A1499+$F$3</f>
        <v>14940</v>
      </c>
      <c r="B1500" s="123" t="n">
        <f aca="false">SUMPRODUCT(固有振動数!$Q$6:$Q$22*(1-($A1500/固有振動数!$O$6:$O$22)^2)/((1-($A1500/固有振動数!$O$6:$O$22)^2)^2+固有振動数!$P$6:$P$22^2))</f>
        <v>9.39837316534761</v>
      </c>
      <c r="C1500" s="123" t="n">
        <f aca="false">-SUMPRODUCT(固有振動数!$Q$6:$Q$22*固有振動数!$P$6:$P$22/((1-($A1500/固有振動数!$O$6:$O$22)^2)^2+固有振動数!$P$6:$P$22^2))</f>
        <v>-1.58757316071844</v>
      </c>
      <c r="D1500" s="124" t="n">
        <f aca="false">SQRT(B1500^2+C1500^2)</f>
        <v>9.53151649506832</v>
      </c>
      <c r="E1500" s="125" t="n">
        <f aca="false">20*LOG10(MAX(D1500,0.000000000001)/$K$3)</f>
        <v>19.5832400758182</v>
      </c>
    </row>
    <row r="1501" customFormat="false" ht="15" hidden="false" customHeight="false" outlineLevel="0" collapsed="false">
      <c r="A1501" s="126" t="n">
        <f aca="false">A1500+$F$3</f>
        <v>14950</v>
      </c>
      <c r="B1501" s="127" t="n">
        <f aca="false">SUMPRODUCT(固有振動数!$Q$6:$Q$22*(1-($A1501/固有振動数!$O$6:$O$22)^2)/((1-($A1501/固有振動数!$O$6:$O$22)^2)^2+固有振動数!$P$6:$P$22^2))</f>
        <v>9.47969308154647</v>
      </c>
      <c r="C1501" s="127" t="n">
        <f aca="false">-SUMPRODUCT(固有振動数!$Q$6:$Q$22*固有振動数!$P$6:$P$22/((1-($A1501/固有振動数!$O$6:$O$22)^2)^2+固有振動数!$P$6:$P$22^2))</f>
        <v>-1.58887141755348</v>
      </c>
      <c r="D1501" s="128" t="n">
        <f aca="false">SQRT(B1501^2+C1501^2)</f>
        <v>9.61192453683644</v>
      </c>
      <c r="E1501" s="129" t="n">
        <f aca="false">20*LOG10(MAX(D1501,0.000000000001)/$K$3)</f>
        <v>19.656207050036</v>
      </c>
    </row>
    <row r="1502" customFormat="false" ht="15" hidden="false" customHeight="false" outlineLevel="0" collapsed="false">
      <c r="A1502" s="122" t="n">
        <f aca="false">A1501+$F$3</f>
        <v>14960</v>
      </c>
      <c r="B1502" s="123" t="n">
        <f aca="false">SUMPRODUCT(固有振動数!$Q$6:$Q$22*(1-($A1502/固有振動数!$O$6:$O$22)^2)/((1-($A1502/固有振動数!$O$6:$O$22)^2)^2+固有振動数!$P$6:$P$22^2))</f>
        <v>9.56093402015282</v>
      </c>
      <c r="C1502" s="123" t="n">
        <f aca="false">-SUMPRODUCT(固有振動数!$Q$6:$Q$22*固有振動数!$P$6:$P$22/((1-($A1502/固有振動数!$O$6:$O$22)^2)^2+固有振動数!$P$6:$P$22^2))</f>
        <v>-1.59034615920076</v>
      </c>
      <c r="D1502" s="124" t="n">
        <f aca="false">SQRT(B1502^2+C1502^2)</f>
        <v>9.69229901745712</v>
      </c>
      <c r="E1502" s="125" t="n">
        <f aca="false">20*LOG10(MAX(D1502,0.000000000001)/$K$3)</f>
        <v>19.7285360821291</v>
      </c>
    </row>
    <row r="1503" customFormat="false" ht="15" hidden="false" customHeight="false" outlineLevel="0" collapsed="false">
      <c r="A1503" s="126" t="n">
        <f aca="false">A1502+$F$3</f>
        <v>14970</v>
      </c>
      <c r="B1503" s="127" t="n">
        <f aca="false">SUMPRODUCT(固有振動数!$Q$6:$Q$22*(1-($A1503/固有振動数!$O$6:$O$22)^2)/((1-($A1503/固有振動数!$O$6:$O$22)^2)^2+固有振動数!$P$6:$P$22^2))</f>
        <v>9.64210617490297</v>
      </c>
      <c r="C1503" s="127" t="n">
        <f aca="false">-SUMPRODUCT(固有振動数!$Q$6:$Q$22*固有振動数!$P$6:$P$22/((1-($A1503/固有振動数!$O$6:$O$22)^2)^2+固有振動数!$P$6:$P$22^2))</f>
        <v>-1.59199639748003</v>
      </c>
      <c r="D1503" s="128" t="n">
        <f aca="false">SQRT(B1503^2+C1503^2)</f>
        <v>9.77264877183721</v>
      </c>
      <c r="E1503" s="129" t="n">
        <f aca="false">20*LOG10(MAX(D1503,0.000000000001)/$K$3)</f>
        <v>19.8002458108832</v>
      </c>
    </row>
    <row r="1504" customFormat="false" ht="15" hidden="false" customHeight="false" outlineLevel="0" collapsed="false">
      <c r="A1504" s="122" t="n">
        <f aca="false">A1503+$F$3</f>
        <v>14980</v>
      </c>
      <c r="B1504" s="123" t="n">
        <f aca="false">SUMPRODUCT(固有振動数!$Q$6:$Q$22*(1-($A1504/固有振動数!$O$6:$O$22)^2)/((1-($A1504/固有振動数!$O$6:$O$22)^2)^2+固有振動数!$P$6:$P$22^2))</f>
        <v>9.72321965565217</v>
      </c>
      <c r="C1504" s="123" t="n">
        <f aca="false">-SUMPRODUCT(固有振動数!$Q$6:$Q$22*固有振動数!$P$6:$P$22/((1-($A1504/固有振動数!$O$6:$O$22)^2)^2+固有振動数!$P$6:$P$22^2))</f>
        <v>-1.59382123949616</v>
      </c>
      <c r="D1504" s="124" t="n">
        <f aca="false">SQRT(B1504^2+C1504^2)</f>
        <v>9.8529826253541</v>
      </c>
      <c r="E1504" s="125" t="n">
        <f aca="false">20*LOG10(MAX(D1504,0.000000000001)/$K$3)</f>
        <v>19.8713543392017</v>
      </c>
    </row>
    <row r="1505" customFormat="false" ht="15" hidden="false" customHeight="false" outlineLevel="0" collapsed="false">
      <c r="A1505" s="126" t="n">
        <f aca="false">A1504+$F$3</f>
        <v>14990</v>
      </c>
      <c r="B1505" s="127" t="n">
        <f aca="false">SUMPRODUCT(固有振動数!$Q$6:$Q$22*(1-($A1505/固有振動数!$O$6:$O$22)^2)/((1-($A1505/固有振動数!$O$6:$O$22)^2)^2+固有振動数!$P$6:$P$22^2))</f>
        <v>9.80428449369999</v>
      </c>
      <c r="C1505" s="127" t="n">
        <f aca="false">-SUMPRODUCT(固有振動数!$Q$6:$Q$22*固有振動数!$P$6:$P$22/((1-($A1505/固有振動数!$O$6:$O$22)^2)^2+固有振動数!$P$6:$P$22^2))</f>
        <v>-1.59581988594051</v>
      </c>
      <c r="D1505" s="128" t="n">
        <f aca="false">SQRT(B1505^2+C1505^2)</f>
        <v>9.93330939525037</v>
      </c>
      <c r="E1505" s="129" t="n">
        <f aca="false">20*LOG10(MAX(D1505,0.000000000001)/$K$3)</f>
        <v>19.941879255206</v>
      </c>
    </row>
    <row r="1506" customFormat="false" ht="15" hidden="false" customHeight="false" outlineLevel="0" collapsed="false">
      <c r="A1506" s="122" t="n">
        <f aca="false">A1505+$F$3</f>
        <v>15000</v>
      </c>
      <c r="B1506" s="123" t="n">
        <f aca="false">SUMPRODUCT(固有振動数!$Q$6:$Q$22*(1-($A1506/固有振動数!$O$6:$O$22)^2)/((1-($A1506/固有振動数!$O$6:$O$22)^2)^2+固有振動数!$P$6:$P$22^2))</f>
        <v>9.88531064701019</v>
      </c>
      <c r="C1506" s="123" t="n">
        <f aca="false">-SUMPRODUCT(固有振動数!$Q$6:$Q$22*固有振動数!$P$6:$P$22/((1-($A1506/固有振動数!$O$6:$O$22)^2)^2+固有振動数!$P$6:$P$22^2))</f>
        <v>-1.59799162951347</v>
      </c>
      <c r="D1506" s="124" t="n">
        <f aca="false">SQRT(B1506^2+C1506^2)</f>
        <v>10.0136378921892</v>
      </c>
      <c r="E1506" s="125" t="n">
        <f aca="false">20*LOG10(MAX(D1506,0.000000000001)/$K$3)</f>
        <v>20.0118376524473</v>
      </c>
    </row>
    <row r="1507" customFormat="false" ht="15" hidden="false" customHeight="false" outlineLevel="0" collapsed="false">
      <c r="A1507" s="126" t="n">
        <f aca="false">A1506+$F$3</f>
        <v>15010</v>
      </c>
      <c r="B1507" s="127" t="n">
        <f aca="false">SUMPRODUCT(固有振動数!$Q$6:$Q$22*(1-($A1507/固有振動数!$O$6:$O$22)^2)/((1-($A1507/固有振動数!$O$6:$O$22)^2)^2+固有振動数!$P$6:$P$22^2))</f>
        <v>9.96630800533132</v>
      </c>
      <c r="C1507" s="127" t="n">
        <f aca="false">-SUMPRODUCT(固有振動数!$Q$6:$Q$22*固有振動数!$P$6:$P$22/((1-($A1507/固有振動数!$O$6:$O$22)^2)^2+固有振動数!$P$6:$P$22^2))</f>
        <v>-1.60033585346429</v>
      </c>
      <c r="D1507" s="128" t="n">
        <f aca="false">SQRT(B1507^2+C1507^2)</f>
        <v>10.0939769219577</v>
      </c>
      <c r="E1507" s="129" t="n">
        <f aca="false">20*LOG10(MAX(D1507,0.000000000001)/$K$3)</f>
        <v>20.0812461492692</v>
      </c>
    </row>
    <row r="1508" customFormat="false" ht="15" hidden="false" customHeight="false" outlineLevel="0" collapsed="false">
      <c r="A1508" s="122" t="n">
        <f aca="false">A1507+$F$3</f>
        <v>15020</v>
      </c>
      <c r="B1508" s="123" t="n">
        <f aca="false">SUMPRODUCT(固有振動数!$Q$6:$Q$22*(1-($A1508/固有振動数!$O$6:$O$22)^2)/((1-($A1508/固有振動数!$O$6:$O$22)^2)^2+固有振動数!$P$6:$P$22^2))</f>
        <v>10.0472863952239</v>
      </c>
      <c r="C1508" s="123" t="n">
        <f aca="false">-SUMPRODUCT(固有振動数!$Q$6:$Q$22*固有振動数!$P$6:$P$22/((1-($A1508/固有振動数!$O$6:$O$22)^2)^2+固有振動数!$P$6:$P$22^2))</f>
        <v>-1.6028520302447</v>
      </c>
      <c r="D1508" s="124" t="n">
        <f aca="false">SQRT(B1508^2+C1508^2)</f>
        <v>10.1743352873055</v>
      </c>
      <c r="E1508" s="125" t="n">
        <f aca="false">20*LOG10(MAX(D1508,0.000000000001)/$K$3)</f>
        <v>20.1501209073601</v>
      </c>
    </row>
    <row r="1509" customFormat="false" ht="15" hidden="false" customHeight="false" outlineLevel="0" collapsed="false">
      <c r="A1509" s="126" t="n">
        <f aca="false">A1508+$F$3</f>
        <v>15030</v>
      </c>
      <c r="B1509" s="127" t="n">
        <f aca="false">SUMPRODUCT(固有振動数!$Q$6:$Q$22*(1-($A1509/固有振動数!$O$6:$O$22)^2)/((1-($A1509/固有振動数!$O$6:$O$22)^2)^2+固有振動数!$P$6:$P$22^2))</f>
        <v>10.1282555850001</v>
      </c>
      <c r="C1509" s="127" t="n">
        <f aca="false">-SUMPRODUCT(固有振動数!$Q$6:$Q$22*固有振動数!$P$6:$P$22/((1-($A1509/固有振動数!$O$6:$O$22)^2)^2+固有振動数!$P$6:$P$22^2))</f>
        <v>-1.6055397202728</v>
      </c>
      <c r="D1509" s="128" t="n">
        <f aca="false">SQRT(B1509^2+C1509^2)</f>
        <v>10.2547217899103</v>
      </c>
      <c r="E1509" s="129" t="n">
        <f aca="false">20*LOG10(MAX(D1509,0.000000000001)/$K$3)</f>
        <v>20.2184776495323</v>
      </c>
    </row>
    <row r="1510" customFormat="false" ht="15" hidden="false" customHeight="false" outlineLevel="0" collapsed="false">
      <c r="A1510" s="122" t="n">
        <f aca="false">A1509+$F$3</f>
        <v>15040</v>
      </c>
      <c r="B1510" s="123" t="n">
        <f aca="false">SUMPRODUCT(固有振動数!$Q$6:$Q$22*(1-($A1510/固有振動数!$O$6:$O$22)^2)/((1-($A1510/固有振動数!$O$6:$O$22)^2)^2+固有振動数!$P$6:$P$22^2))</f>
        <v>10.2092252895823</v>
      </c>
      <c r="C1510" s="123" t="n">
        <f aca="false">-SUMPRODUCT(固有振動数!$Q$6:$Q$22*固有振動数!$P$6:$P$22/((1-($A1510/固有振動数!$O$6:$O$22)^2)^2+固有振動数!$P$6:$P$22^2))</f>
        <v>-1.60839857080426</v>
      </c>
      <c r="D1510" s="124" t="n">
        <f aca="false">SQRT(B1510^2+C1510^2)</f>
        <v>10.3351452324586</v>
      </c>
      <c r="E1510" s="125" t="n">
        <f aca="false">20*LOG10(MAX(D1510,0.000000000001)/$K$3)</f>
        <v>20.2863316767643</v>
      </c>
    </row>
    <row r="1511" customFormat="false" ht="15" hidden="false" customHeight="false" outlineLevel="0" collapsed="false">
      <c r="A1511" s="126" t="n">
        <f aca="false">A1510+$F$3</f>
        <v>15050</v>
      </c>
      <c r="B1511" s="127" t="n">
        <f aca="false">SUMPRODUCT(固有振動数!$Q$6:$Q$22*(1-($A1511/固有振動数!$O$6:$O$22)^2)/((1-($A1511/固有振動数!$O$6:$O$22)^2)^2+固有振動数!$P$6:$P$22^2))</f>
        <v>10.2902051752838</v>
      </c>
      <c r="C1511" s="127" t="n">
        <f aca="false">-SUMPRODUCT(固有振動数!$Q$6:$Q$22*固有振動数!$P$6:$P$22/((1-($A1511/固有振動数!$O$6:$O$22)^2)^2+固有振動数!$P$6:$P$22^2))</f>
        <v>-1.61142831490795</v>
      </c>
      <c r="D1511" s="128" t="n">
        <f aca="false">SQRT(B1511^2+C1511^2)</f>
        <v>10.4156144208359</v>
      </c>
      <c r="E1511" s="129" t="n">
        <f aca="false">20*LOG10(MAX(D1511,0.000000000001)/$K$3)</f>
        <v>20.3536978845384</v>
      </c>
    </row>
    <row r="1512" customFormat="false" ht="15" hidden="false" customHeight="false" outlineLevel="0" collapsed="false">
      <c r="A1512" s="122" t="n">
        <f aca="false">A1511+$F$3</f>
        <v>15060</v>
      </c>
      <c r="B1512" s="123" t="n">
        <f aca="false">SUMPRODUCT(固有振動数!$Q$6:$Q$22*(1-($A1512/固有振動数!$O$6:$O$22)^2)/((1-($A1512/固有振動数!$O$6:$O$22)^2)^2+固有振動数!$P$6:$P$22^2))</f>
        <v>10.3712048645207</v>
      </c>
      <c r="C1512" s="123" t="n">
        <f aca="false">-SUMPRODUCT(固有振動数!$Q$6:$Q$22*固有振動数!$P$6:$P$22/((1-($A1512/固有振動数!$O$6:$O$22)^2)^2+固有振動数!$P$6:$P$22^2))</f>
        <v>-1.61462877054326</v>
      </c>
      <c r="D1512" s="124" t="n">
        <f aca="false">SQRT(B1512^2+C1512^2)</f>
        <v>10.4961381664174</v>
      </c>
      <c r="E1512" s="125" t="n">
        <f aca="false">20*LOG10(MAX(D1512,0.000000000001)/$K$3)</f>
        <v>20.4205907785084</v>
      </c>
    </row>
    <row r="1513" customFormat="false" ht="15" hidden="false" customHeight="false" outlineLevel="0" collapsed="false">
      <c r="A1513" s="126" t="n">
        <f aca="false">A1512+$F$3</f>
        <v>15070</v>
      </c>
      <c r="B1513" s="127" t="n">
        <f aca="false">SUMPRODUCT(固有振動数!$Q$6:$Q$22*(1-($A1513/固有振動数!$O$6:$O$22)^2)/((1-($A1513/固有振動数!$O$6:$O$22)^2)^2+固有振動数!$P$6:$P$22^2))</f>
        <v>10.4522339404558</v>
      </c>
      <c r="C1513" s="127" t="n">
        <f aca="false">-SUMPRODUCT(固有振動数!$Q$6:$Q$22*固有振動数!$P$6:$P$22/((1-($A1513/固有振動数!$O$6:$O$22)^2)^2+固有振動数!$P$6:$P$22^2))</f>
        <v>-1.61799983973689</v>
      </c>
      <c r="D1513" s="128" t="n">
        <f aca="false">SQRT(B1513^2+C1513^2)</f>
        <v>10.5767252884532</v>
      </c>
      <c r="E1513" s="129" t="n">
        <f aca="false">20*LOG10(MAX(D1513,0.000000000001)/$K$3)</f>
        <v>20.4870244895271</v>
      </c>
    </row>
    <row r="1514" customFormat="false" ht="15" hidden="false" customHeight="false" outlineLevel="0" collapsed="false">
      <c r="A1514" s="122" t="n">
        <f aca="false">A1513+$F$3</f>
        <v>15080</v>
      </c>
      <c r="B1514" s="123" t="n">
        <f aca="false">SUMPRODUCT(固有振動数!$Q$6:$Q$22*(1-($A1514/固有振動数!$O$6:$O$22)^2)/((1-($A1514/固有振動数!$O$6:$O$22)^2)^2+固有振動数!$P$6:$P$22^2))</f>
        <v>10.5333019515836</v>
      </c>
      <c r="C1514" s="123" t="n">
        <f aca="false">-SUMPRODUCT(固有振動数!$Q$6:$Q$22*固有振動数!$P$6:$P$22/((1-($A1514/固有振動数!$O$6:$O$22)^2)^2+固有振動数!$P$6:$P$22^2))</f>
        <v>-1.62154150785673</v>
      </c>
      <c r="D1514" s="124" t="n">
        <f aca="false">SQRT(B1514^2+C1514^2)</f>
        <v>10.6573846165435</v>
      </c>
      <c r="E1514" s="125" t="n">
        <f aca="false">20*LOG10(MAX(D1514,0.000000000001)/$K$3)</f>
        <v>20.5530127880635</v>
      </c>
    </row>
    <row r="1515" customFormat="false" ht="15" hidden="false" customHeight="false" outlineLevel="0" collapsed="false">
      <c r="A1515" s="126" t="n">
        <f aca="false">A1514+$F$3</f>
        <v>15090</v>
      </c>
      <c r="B1515" s="127" t="n">
        <f aca="false">SUMPRODUCT(固有振動数!$Q$6:$Q$22*(1-($A1515/固有振動数!$O$6:$O$22)^2)/((1-($A1515/固有振動数!$O$6:$O$22)^2)^2+固有振動数!$P$6:$P$22^2))</f>
        <v>10.6144184162584</v>
      </c>
      <c r="C1515" s="127" t="n">
        <f aca="false">-SUMPRODUCT(固有振動数!$Q$6:$Q$22*固有振動数!$P$6:$P$22/((1-($A1515/固有振動数!$O$6:$O$22)^2)^2+固有振動数!$P$6:$P$22^2))</f>
        <v>-1.62525384298099</v>
      </c>
      <c r="D1515" s="128" t="n">
        <f aca="false">SQRT(B1515^2+C1515^2)</f>
        <v>10.7381249931974</v>
      </c>
      <c r="E1515" s="129" t="n">
        <f aca="false">20*LOG10(MAX(D1515,0.000000000001)/$K$3)</f>
        <v>20.6185690980388</v>
      </c>
    </row>
    <row r="1516" customFormat="false" ht="15" hidden="false" customHeight="false" outlineLevel="0" collapsed="false">
      <c r="A1516" s="122" t="n">
        <f aca="false">A1515+$F$3</f>
        <v>15100</v>
      </c>
      <c r="B1516" s="123" t="n">
        <f aca="false">SUMPRODUCT(固有振動数!$Q$6:$Q$22*(1-($A1516/固有振動数!$O$6:$O$22)^2)/((1-($A1516/固有振動数!$O$6:$O$22)^2)^2+固有振動数!$P$6:$P$22^2))</f>
        <v>10.695592827172</v>
      </c>
      <c r="C1516" s="123" t="n">
        <f aca="false">-SUMPRODUCT(固有振動数!$Q$6:$Q$22*固有振動数!$P$6:$P$22/((1-($A1516/固有振動数!$O$6:$O$22)^2)^2+固有振動数!$P$6:$P$22^2))</f>
        <v>-1.62913699536069</v>
      </c>
      <c r="D1516" s="124" t="n">
        <f aca="false">SQRT(B1516^2+C1516^2)</f>
        <v>10.8189552764722</v>
      </c>
      <c r="E1516" s="125" t="n">
        <f aca="false">20*LOG10(MAX(D1516,0.000000000001)/$K$3)</f>
        <v>20.6837065101079</v>
      </c>
    </row>
    <row r="1517" customFormat="false" ht="15" hidden="false" customHeight="false" outlineLevel="0" collapsed="false">
      <c r="A1517" s="126" t="n">
        <f aca="false">A1516+$F$3</f>
        <v>15110</v>
      </c>
      <c r="B1517" s="127" t="n">
        <f aca="false">SUMPRODUCT(固有振動数!$Q$6:$Q$22*(1-($A1517/固有振動数!$O$6:$O$22)^2)/((1-($A1517/固有振動数!$O$6:$O$22)^2)^2+固有振動数!$P$6:$P$22^2))</f>
        <v>10.7768346557846</v>
      </c>
      <c r="C1517" s="127" t="n">
        <f aca="false">-SUMPRODUCT(固有振動数!$Q$6:$Q$22*固有振動数!$P$6:$P$22/((1-($A1517/固有振動数!$O$6:$O$22)^2)^2+固有振動数!$P$6:$P$22^2))</f>
        <v>-1.63319119697397</v>
      </c>
      <c r="D1517" s="128" t="n">
        <f aca="false">SQRT(B1517^2+C1517^2)</f>
        <v>10.8998843426888</v>
      </c>
      <c r="E1517" s="129" t="n">
        <f aca="false">20*LOG10(MAX(D1517,0.000000000001)/$K$3)</f>
        <v>20.7484377944115</v>
      </c>
    </row>
    <row r="1518" customFormat="false" ht="15" hidden="false" customHeight="false" outlineLevel="0" collapsed="false">
      <c r="A1518" s="122" t="n">
        <f aca="false">A1517+$F$3</f>
        <v>15120</v>
      </c>
      <c r="B1518" s="123" t="n">
        <f aca="false">SUMPRODUCT(固有振動数!$Q$6:$Q$22*(1-($A1518/固有振動数!$O$6:$O$22)^2)/((1-($A1518/固有振動数!$O$6:$O$22)^2)^2+固有振動数!$P$6:$P$22^2))</f>
        <v>10.8581533567148</v>
      </c>
      <c r="C1518" s="123" t="n">
        <f aca="false">-SUMPRODUCT(固有振動数!$Q$6:$Q$22*固有振動数!$P$6:$P$22/((1-($A1518/固有振動数!$O$6:$O$22)^2)^2+固有振動数!$P$6:$P$22^2))</f>
        <v>-1.63741676117073</v>
      </c>
      <c r="D1518" s="124" t="n">
        <f aca="false">SQRT(B1518^2+C1518^2)</f>
        <v>10.9809210892211</v>
      </c>
      <c r="E1518" s="125" t="n">
        <f aca="false">20*LOG10(MAX(D1518,0.000000000001)/$K$3)</f>
        <v>20.812775412825</v>
      </c>
    </row>
    <row r="1519" customFormat="false" ht="15" hidden="false" customHeight="false" outlineLevel="0" collapsed="false">
      <c r="A1519" s="126" t="n">
        <f aca="false">A1518+$F$3</f>
        <v>15130</v>
      </c>
      <c r="B1519" s="127" t="n">
        <f aca="false">SUMPRODUCT(固有振動数!$Q$6:$Q$22*(1-($A1519/固有振動数!$O$6:$O$22)^2)/((1-($A1519/固有振動数!$O$6:$O$22)^2)^2+固有振動数!$P$6:$P$22^2))</f>
        <v>10.9395583720922</v>
      </c>
      <c r="C1519" s="127" t="n">
        <f aca="false">-SUMPRODUCT(固有振動数!$Q$6:$Q$22*固有振動数!$P$6:$P$22/((1-($A1519/固有振動数!$O$6:$O$22)^2)^2+固有振動数!$P$6:$P$22^2))</f>
        <v>-1.64181408240652</v>
      </c>
      <c r="D1519" s="128" t="n">
        <f aca="false">SQRT(B1519^2+C1519^2)</f>
        <v>11.0620744373559</v>
      </c>
      <c r="E1519" s="129" t="n">
        <f aca="false">20*LOG10(MAX(D1519,0.000000000001)/$K$3)</f>
        <v>20.8767315307268</v>
      </c>
    </row>
    <row r="1520" customFormat="false" ht="15" hidden="false" customHeight="false" outlineLevel="0" collapsed="false">
      <c r="A1520" s="122" t="n">
        <f aca="false">A1519+$F$3</f>
        <v>15140</v>
      </c>
      <c r="B1520" s="123" t="n">
        <f aca="false">SUMPRODUCT(固有振動数!$Q$6:$Q$22*(1-($A1520/固有振動数!$O$6:$O$22)^2)/((1-($A1520/固有振動数!$O$6:$O$22)^2)^2+固有振動数!$P$6:$P$22^2))</f>
        <v>11.0210591358769</v>
      </c>
      <c r="C1520" s="123" t="n">
        <f aca="false">-SUMPRODUCT(固有振動数!$Q$6:$Q$22*固有振動数!$P$6:$P$22/((1-($A1520/固有振動数!$O$6:$O$22)^2)^2+固有振動数!$P$6:$P$22^2))</f>
        <v>-1.64638363606444</v>
      </c>
      <c r="D1520" s="124" t="n">
        <f aca="false">SQRT(B1520^2+C1520^2)</f>
        <v>11.1433533352217</v>
      </c>
      <c r="E1520" s="125" t="n">
        <f aca="false">20*LOG10(MAX(D1520,0.000000000001)/$K$3)</f>
        <v>20.9403180283082</v>
      </c>
    </row>
    <row r="1521" customFormat="false" ht="15" hidden="false" customHeight="false" outlineLevel="0" collapsed="false">
      <c r="A1521" s="126" t="n">
        <f aca="false">A1520+$F$3</f>
        <v>15150</v>
      </c>
      <c r="B1521" s="127" t="n">
        <f aca="false">SUMPRODUCT(固有振動数!$Q$6:$Q$22*(1-($A1521/固有振動数!$O$6:$O$22)^2)/((1-($A1521/固有振動数!$O$6:$O$22)^2)^2+固有振動数!$P$6:$P$22^2))</f>
        <v>11.1026650781512</v>
      </c>
      <c r="C1521" s="127" t="n">
        <f aca="false">-SUMPRODUCT(固有振動数!$Q$6:$Q$22*固有振動数!$P$6:$P$22/((1-($A1521/固有振動数!$O$6:$O$22)^2)^2+固有振動数!$P$6:$P$22^2))</f>
        <v>-1.65112597836425</v>
      </c>
      <c r="D1521" s="128" t="n">
        <f aca="false">SQRT(B1521^2+C1521^2)</f>
        <v>11.2247667607852</v>
      </c>
      <c r="E1521" s="129" t="n">
        <f aca="false">20*LOG10(MAX(D1521,0.000000000001)/$K$3)</f>
        <v>21.0035465114469</v>
      </c>
    </row>
    <row r="1522" customFormat="false" ht="15" hidden="false" customHeight="false" outlineLevel="0" collapsed="false">
      <c r="A1522" s="122" t="n">
        <f aca="false">A1521+$F$3</f>
        <v>15160</v>
      </c>
      <c r="B1522" s="123" t="n">
        <f aca="false">SUMPRODUCT(固有振動数!$Q$6:$Q$22*(1-($A1522/固有振動数!$O$6:$O$22)^2)/((1-($A1522/固有振動数!$O$6:$O$22)^2)^2+固有振動数!$P$6:$P$22^2))</f>
        <v>11.1843856293873</v>
      </c>
      <c r="C1522" s="123" t="n">
        <f aca="false">-SUMPRODUCT(固有振動数!$Q$6:$Q$22*固有振動数!$P$6:$P$22/((1-($A1522/固有振動数!$O$6:$O$22)^2)^2+固有振動数!$P$6:$P$22^2))</f>
        <v>-1.65604174635808</v>
      </c>
      <c r="D1522" s="124" t="n">
        <f aca="false">SQRT(B1522^2+C1522^2)</f>
        <v>11.3063237249128</v>
      </c>
      <c r="E1522" s="125" t="n">
        <f aca="false">20*LOG10(MAX(D1522,0.000000000001)/$K$3)</f>
        <v>21.0664283221645</v>
      </c>
    </row>
    <row r="1523" customFormat="false" ht="15" hidden="false" customHeight="false" outlineLevel="0" collapsed="false">
      <c r="A1523" s="126" t="n">
        <f aca="false">A1522+$F$3</f>
        <v>15170</v>
      </c>
      <c r="B1523" s="127" t="n">
        <f aca="false">SUMPRODUCT(固有振動数!$Q$6:$Q$22*(1-($A1523/固有振動数!$O$6:$O$22)^2)/((1-($A1523/固有振動数!$O$6:$O$22)^2)^2+固有振動数!$P$6:$P$22^2))</f>
        <v>11.2662302246949</v>
      </c>
      <c r="C1523" s="127" t="n">
        <f aca="false">-SUMPRODUCT(固有振動数!$Q$6:$Q$22*固有振動数!$P$6:$P$22/((1-($A1523/固有振動数!$O$6:$O$22)^2)^2+固有振動数!$P$6:$P$22^2))</f>
        <v>-1.66113165801194</v>
      </c>
      <c r="D1523" s="128" t="n">
        <f aca="false">SQRT(B1523^2+C1523^2)</f>
        <v>11.3880332744982</v>
      </c>
      <c r="E1523" s="129" t="n">
        <f aca="false">20*LOG10(MAX(D1523,0.000000000001)/$K$3)</f>
        <v>21.1289745486867</v>
      </c>
    </row>
    <row r="1524" customFormat="false" ht="15" hidden="false" customHeight="false" outlineLevel="0" collapsed="false">
      <c r="A1524" s="122" t="n">
        <f aca="false">A1523+$F$3</f>
        <v>15180</v>
      </c>
      <c r="B1524" s="123" t="n">
        <f aca="false">SUMPRODUCT(固有振動数!$Q$6:$Q$22*(1-($A1524/固有振動数!$O$6:$O$22)^2)/((1-($A1524/固有振動数!$O$6:$O$22)^2)^2+固有振動数!$P$6:$P$22^2))</f>
        <v>11.3482083080538</v>
      </c>
      <c r="C1524" s="123" t="n">
        <f aca="false">-SUMPRODUCT(固有振動数!$Q$6:$Q$22*固有振動数!$P$6:$P$22/((1-($A1524/固有振動数!$O$6:$O$22)^2)^2+固有振動数!$P$6:$P$22^2))</f>
        <v>-1.66639651237287</v>
      </c>
      <c r="D1524" s="124" t="n">
        <f aca="false">SQRT(B1524^2+C1524^2)</f>
        <v>11.4699044956543</v>
      </c>
      <c r="E1524" s="125" t="n">
        <f aca="false">20*LOG10(MAX(D1524,0.000000000001)/$K$3)</f>
        <v>21.1911960351256</v>
      </c>
    </row>
    <row r="1525" customFormat="false" ht="15" hidden="false" customHeight="false" outlineLevel="0" collapsed="false">
      <c r="A1525" s="126" t="n">
        <f aca="false">A1524+$F$3</f>
        <v>15190</v>
      </c>
      <c r="B1525" s="127" t="n">
        <f aca="false">SUMPRODUCT(固有振動数!$Q$6:$Q$22*(1-($A1525/固有振動数!$O$6:$O$22)^2)/((1-($A1525/固有振動数!$O$6:$O$22)^2)^2+固有振動数!$P$6:$P$22^2))</f>
        <v>11.4303293365345</v>
      </c>
      <c r="C1525" s="127" t="n">
        <f aca="false">-SUMPRODUCT(固有振動数!$Q$6:$Q$22*固有振動数!$P$6:$P$22/((1-($A1525/固有振動数!$O$6:$O$22)^2)^2+固有振動数!$P$6:$P$22^2))</f>
        <v>-1.67183718982148</v>
      </c>
      <c r="D1525" s="128" t="n">
        <f aca="false">SQRT(B1525^2+C1525^2)</f>
        <v>11.551946516969</v>
      </c>
      <c r="E1525" s="129" t="n">
        <f aca="false">20*LOG10(MAX(D1525,0.000000000001)/$K$3)</f>
        <v>21.2531033908011</v>
      </c>
    </row>
    <row r="1526" customFormat="false" ht="15" hidden="false" customHeight="false" outlineLevel="0" collapsed="false">
      <c r="A1526" s="122" t="n">
        <f aca="false">A1525+$F$3</f>
        <v>15200</v>
      </c>
      <c r="B1526" s="123" t="n">
        <f aca="false">SUMPRODUCT(固有振動数!$Q$6:$Q$22*(1-($A1526/固有振動数!$O$6:$O$22)^2)/((1-($A1526/固有振動数!$O$6:$O$22)^2)^2+固有振動数!$P$6:$P$22^2))</f>
        <v>11.5126027845118</v>
      </c>
      <c r="C1526" s="123" t="n">
        <f aca="false">-SUMPRODUCT(固有振動数!$Q$6:$Q$22*固有振動数!$P$6:$P$22/((1-($A1526/固有振動数!$O$6:$O$22)^2)^2+固有振動数!$P$6:$P$22^2))</f>
        <v>-1.67745465240961</v>
      </c>
      <c r="D1526" s="124" t="n">
        <f aca="false">SQRT(B1526^2+C1526^2)</f>
        <v>11.6341685128263</v>
      </c>
      <c r="E1526" s="125" t="n">
        <f aca="false">20*LOG10(MAX(D1526,0.000000000001)/$K$3)</f>
        <v>21.3147069992188</v>
      </c>
    </row>
    <row r="1527" customFormat="false" ht="15" hidden="false" customHeight="false" outlineLevel="0" collapsed="false">
      <c r="A1527" s="126" t="n">
        <f aca="false">A1526+$F$3</f>
        <v>15210</v>
      </c>
      <c r="B1527" s="127" t="n">
        <f aca="false">SUMPRODUCT(固有振動数!$Q$6:$Q$22*(1-($A1527/固有振動数!$O$6:$O$22)^2)/((1-($A1527/固有振動数!$O$6:$O$22)^2)^2+固有振動数!$P$6:$P$22^2))</f>
        <v>11.5950381478751</v>
      </c>
      <c r="C1527" s="127" t="n">
        <f aca="false">-SUMPRODUCT(固有振動数!$Q$6:$Q$22*固有振動数!$P$6:$P$22/((1-($A1527/固有振動数!$O$6:$O$22)^2)^2+固有振動数!$P$6:$P$22^2))</f>
        <v>-1.6832499442835</v>
      </c>
      <c r="D1527" s="128" t="n">
        <f aca="false">SQRT(B1527^2+C1527^2)</f>
        <v>11.716579706792</v>
      </c>
      <c r="E1527" s="129" t="n">
        <f aca="false">20*LOG10(MAX(D1527,0.000000000001)/$K$3)</f>
        <v>21.3760170267198</v>
      </c>
    </row>
    <row r="1528" customFormat="false" ht="15" hidden="false" customHeight="false" outlineLevel="0" collapsed="false">
      <c r="A1528" s="122" t="n">
        <f aca="false">A1527+$F$3</f>
        <v>15220</v>
      </c>
      <c r="B1528" s="123" t="n">
        <f aca="false">SUMPRODUCT(固有振動数!$Q$6:$Q$22*(1-($A1528/固有振動数!$O$6:$O$22)^2)/((1-($A1528/固有振動数!$O$6:$O$22)^2)^2+固有振動数!$P$6:$P$22^2))</f>
        <v>11.6776449482398</v>
      </c>
      <c r="C1528" s="123" t="n">
        <f aca="false">-SUMPRODUCT(固有振動数!$Q$6:$Q$22*固有振動数!$P$6:$P$22/((1-($A1528/固有振動数!$O$6:$O$22)^2)^2+固有振動数!$P$6:$P$22^2))</f>
        <v>-1.68922419219246</v>
      </c>
      <c r="D1528" s="124" t="n">
        <f aca="false">SQRT(B1528^2+C1528^2)</f>
        <v>11.7991893750647</v>
      </c>
      <c r="E1528" s="125" t="n">
        <f aca="false">20*LOG10(MAX(D1528,0.000000000001)/$K$3)</f>
        <v>21.4370434308187</v>
      </c>
    </row>
    <row r="1529" customFormat="false" ht="15" hidden="false" customHeight="false" outlineLevel="0" collapsed="false">
      <c r="A1529" s="126" t="n">
        <f aca="false">A1528+$F$3</f>
        <v>15230</v>
      </c>
      <c r="B1529" s="127" t="n">
        <f aca="false">SUMPRODUCT(固有振動数!$Q$6:$Q$22*(1-($A1529/固有振動数!$O$6:$O$22)^2)/((1-($A1529/固有振動数!$O$6:$O$22)^2)^2+固有振動数!$P$6:$P$22^2))</f>
        <v>11.7604327371631</v>
      </c>
      <c r="C1529" s="127" t="n">
        <f aca="false">-SUMPRODUCT(固有振動数!$Q$6:$Q$22*固有振動数!$P$6:$P$22/((1-($A1529/固有振動数!$O$6:$O$22)^2)^2+固有振動数!$P$6:$P$22^2))</f>
        <v>-1.6953786060837</v>
      </c>
      <c r="D1529" s="128" t="n">
        <f aca="false">SQRT(B1529^2+C1529^2)</f>
        <v>11.882006849994</v>
      </c>
      <c r="E1529" s="129" t="n">
        <f aca="false">20*LOG10(MAX(D1529,0.000000000001)/$K$3)</f>
        <v>21.4977959682426</v>
      </c>
    </row>
    <row r="1530" customFormat="false" ht="15" hidden="false" customHeight="false" outlineLevel="0" collapsed="false">
      <c r="A1530" s="122" t="n">
        <f aca="false">A1529+$F$3</f>
        <v>15240</v>
      </c>
      <c r="B1530" s="123" t="n">
        <f aca="false">SUMPRODUCT(固有振動数!$Q$6:$Q$22*(1-($A1530/固有振動数!$O$6:$O$22)^2)/((1-($A1530/固有振動数!$O$6:$O$22)^2)^2+固有振動数!$P$6:$P$22^2))</f>
        <v>11.843411100369</v>
      </c>
      <c r="C1530" s="123" t="n">
        <f aca="false">-SUMPRODUCT(固有振動数!$Q$6:$Q$22*固有振動数!$P$6:$P$22/((1-($A1530/固有振動数!$O$6:$O$22)^2)^2+固有振動数!$P$6:$P$22^2))</f>
        <v>-1.70171447978356</v>
      </c>
      <c r="D1530" s="124" t="n">
        <f aca="false">SQRT(B1530^2+C1530^2)</f>
        <v>11.9650415236659</v>
      </c>
      <c r="E1530" s="125" t="n">
        <f aca="false">20*LOG10(MAX(D1530,0.000000000001)/$K$3)</f>
        <v>21.5582842026877</v>
      </c>
    </row>
    <row r="1531" customFormat="false" ht="15" hidden="false" customHeight="false" outlineLevel="0" collapsed="false">
      <c r="A1531" s="126" t="n">
        <f aca="false">A1530+$F$3</f>
        <v>15250</v>
      </c>
      <c r="B1531" s="127" t="n">
        <f aca="false">SUMPRODUCT(固有振動数!$Q$6:$Q$22*(1-($A1531/固有振動数!$O$6:$O$22)^2)/((1-($A1531/固有振動数!$O$6:$O$22)^2)^2+固有振動数!$P$6:$P$22^2))</f>
        <v>11.9265896619864</v>
      </c>
      <c r="C1531" s="127" t="n">
        <f aca="false">-SUMPRODUCT(固有振動数!$Q$6:$Q$22*固有振動数!$P$6:$P$22/((1-($A1531/固有振動数!$O$6:$O$22)^2)^2+固有振動数!$P$6:$P$22^2))</f>
        <v>-1.70823319176624</v>
      </c>
      <c r="D1531" s="128" t="n">
        <f aca="false">SQRT(B1531^2+C1531^2)</f>
        <v>12.0483028515576</v>
      </c>
      <c r="E1531" s="129" t="n">
        <f aca="false">20*LOG10(MAX(D1531,0.000000000001)/$K$3)</f>
        <v>21.6185175123039</v>
      </c>
    </row>
    <row r="1532" customFormat="false" ht="15" hidden="false" customHeight="false" outlineLevel="0" collapsed="false">
      <c r="A1532" s="122" t="n">
        <f aca="false">A1531+$F$3</f>
        <v>15260</v>
      </c>
      <c r="B1532" s="123" t="n">
        <f aca="false">SUMPRODUCT(固有振動数!$Q$6:$Q$22*(1-($A1532/固有振動数!$O$6:$O$22)^2)/((1-($A1532/固有振動数!$O$6:$O$22)^2)^2+固有振動数!$P$6:$P$22^2))</f>
        <v>12.0099780888033</v>
      </c>
      <c r="C1532" s="123" t="n">
        <f aca="false">-SUMPRODUCT(固有振動数!$Q$6:$Q$22*固有振動数!$P$6:$P$22/((1-($A1532/固有振動数!$O$6:$O$22)^2)^2+固有振動数!$P$6:$P$22^2))</f>
        <v>-1.71493620601064</v>
      </c>
      <c r="D1532" s="124" t="n">
        <f aca="false">SQRT(B1532^2+C1532^2)</f>
        <v>12.1318003562629</v>
      </c>
      <c r="E1532" s="125" t="n">
        <f aca="false">20*LOG10(MAX(D1532,0.000000000001)/$K$3)</f>
        <v>21.6785050969223</v>
      </c>
    </row>
    <row r="1533" customFormat="false" ht="15" hidden="false" customHeight="false" outlineLevel="0" collapsed="false">
      <c r="A1533" s="126" t="n">
        <f aca="false">A1532+$F$3</f>
        <v>15270</v>
      </c>
      <c r="B1533" s="127" t="n">
        <f aca="false">SUMPRODUCT(固有振動数!$Q$6:$Q$22*(1-($A1533/固有振動数!$O$6:$O$22)^2)/((1-($A1533/固有振動数!$O$6:$O$22)^2)^2+固有振動数!$P$6:$P$22^2))</f>
        <v>12.0935860945434</v>
      </c>
      <c r="C1533" s="127" t="n">
        <f aca="false">-SUMPRODUCT(固有振動数!$Q$6:$Q$22*固有振動数!$P$6:$P$22/((1-($A1533/固有振動数!$O$6:$O$22)^2)^2+固有振動数!$P$6:$P$22^2))</f>
        <v>-1.72182507294645</v>
      </c>
      <c r="D1533" s="128" t="n">
        <f aca="false">SQRT(B1533^2+C1533^2)</f>
        <v>12.2155436312904</v>
      </c>
      <c r="E1533" s="129" t="n">
        <f aca="false">20*LOG10(MAX(D1533,0.000000000001)/$K$3)</f>
        <v>21.7382559850364</v>
      </c>
    </row>
    <row r="1534" customFormat="false" ht="15" hidden="false" customHeight="false" outlineLevel="0" collapsed="false">
      <c r="A1534" s="122" t="n">
        <f aca="false">A1533+$F$3</f>
        <v>15280</v>
      </c>
      <c r="B1534" s="123" t="n">
        <f aca="false">SUMPRODUCT(固有振動数!$Q$6:$Q$22*(1-($A1534/固有振動数!$O$6:$O$22)^2)/((1-($A1534/固有振動数!$O$6:$O$22)^2)^2+固有振動数!$P$6:$P$22^2))</f>
        <v>12.177423444166</v>
      </c>
      <c r="C1534" s="123" t="n">
        <f aca="false">-SUMPRODUCT(固有振動数!$Q$6:$Q$22*固有振動数!$P$6:$P$22/((1-($A1534/固有振動数!$O$6:$O$22)^2)^2+固有振動数!$P$6:$P$22^2))</f>
        <v>-1.72890143049073</v>
      </c>
      <c r="D1534" s="124" t="n">
        <f aca="false">SQRT(B1534^2+C1534^2)</f>
        <v>12.2995423449362</v>
      </c>
      <c r="E1534" s="125" t="n">
        <f aca="false">20*LOG10(MAX(D1534,0.000000000001)/$K$3)</f>
        <v>21.7977790405496</v>
      </c>
    </row>
    <row r="1535" customFormat="false" ht="15" hidden="false" customHeight="false" outlineLevel="0" collapsed="false">
      <c r="A1535" s="126" t="n">
        <f aca="false">A1534+$F$3</f>
        <v>15290</v>
      </c>
      <c r="B1535" s="127" t="n">
        <f aca="false">SUMPRODUCT(固有振動数!$Q$6:$Q$22*(1-($A1535/固有振動数!$O$6:$O$22)^2)/((1-($A1535/固有振動数!$O$6:$O$22)^2)^2+固有振動数!$P$6:$P$22^2))</f>
        <v>12.2614999581969</v>
      </c>
      <c r="C1535" s="127" t="n">
        <f aca="false">-SUMPRODUCT(固有振動数!$Q$6:$Q$22*固有振動数!$P$6:$P$22/((1-($A1535/固有振動数!$O$6:$O$22)^2)^2+固有振動数!$P$6:$P$22^2))</f>
        <v>-1.73616700517634</v>
      </c>
      <c r="D1535" s="128" t="n">
        <f aca="false">SQRT(B1535^2+C1535^2)</f>
        <v>12.3838062442338</v>
      </c>
      <c r="E1535" s="129" t="n">
        <f aca="false">20*LOG10(MAX(D1535,0.000000000001)/$K$3)</f>
        <v>21.8570829692984</v>
      </c>
    </row>
    <row r="1536" customFormat="false" ht="15" hidden="false" customHeight="false" outlineLevel="0" collapsed="false">
      <c r="A1536" s="122" t="n">
        <f aca="false">A1535+$F$3</f>
        <v>15300</v>
      </c>
      <c r="B1536" s="123" t="n">
        <f aca="false">SUMPRODUCT(固有振動数!$Q$6:$Q$22*(1-($A1536/固有振動数!$O$6:$O$22)^2)/((1-($A1536/固有振動数!$O$6:$O$22)^2)^2+固有振動数!$P$6:$P$22^2))</f>
        <v>12.3458255170902</v>
      </c>
      <c r="C1536" s="123" t="n">
        <f aca="false">-SUMPRODUCT(固有振動数!$Q$6:$Q$22*固有振動数!$P$6:$P$22/((1-($A1536/固有振動数!$O$6:$O$22)^2)^2+固有振動数!$P$6:$P$22^2))</f>
        <v>-1.74362361337372</v>
      </c>
      <c r="D1536" s="124" t="n">
        <f aca="false">SQRT(B1536^2+C1536^2)</f>
        <v>12.4683451589836</v>
      </c>
      <c r="E1536" s="125" t="n">
        <f aca="false">20*LOG10(MAX(D1536,0.000000000001)/$K$3)</f>
        <v>21.9161763253637</v>
      </c>
    </row>
    <row r="1537" customFormat="false" ht="15" hidden="false" customHeight="false" outlineLevel="0" collapsed="false">
      <c r="A1537" s="126" t="n">
        <f aca="false">A1536+$F$3</f>
        <v>15310</v>
      </c>
      <c r="B1537" s="127" t="n">
        <f aca="false">SUMPRODUCT(固有振動数!$Q$6:$Q$22*(1-($A1537/固有振動数!$O$6:$O$22)^2)/((1-($A1537/固有振動数!$O$6:$O$22)^2)^2+固有振動数!$P$6:$P$22^2))</f>
        <v>12.4304100656297</v>
      </c>
      <c r="C1537" s="127" t="n">
        <f aca="false">-SUMPRODUCT(固有振動数!$Q$6:$Q$22*固有振動数!$P$6:$P$22/((1-($A1537/固有振動数!$O$6:$O$22)^2)^2+固有振動数!$P$6:$P$22^2))</f>
        <v>-1.75127316260785</v>
      </c>
      <c r="D1537" s="128" t="n">
        <f aca="false">SQRT(B1537^2+C1537^2)</f>
        <v>12.5531690058637</v>
      </c>
      <c r="E1537" s="129" t="n">
        <f aca="false">20*LOG10(MAX(D1537,0.000000000001)/$K$3)</f>
        <v>21.9750675171798</v>
      </c>
    </row>
    <row r="1538" customFormat="false" ht="15" hidden="false" customHeight="false" outlineLevel="0" collapsed="false">
      <c r="A1538" s="122" t="n">
        <f aca="false">A1537+$F$3</f>
        <v>15320</v>
      </c>
      <c r="B1538" s="123" t="n">
        <f aca="false">SUMPRODUCT(固有振動数!$Q$6:$Q$22*(1-($A1538/固有振動数!$O$6:$O$22)^2)/((1-($A1538/固有振動数!$O$6:$O$22)^2)^2+固有振動数!$P$6:$P$22^2))</f>
        <v>12.5152636173702</v>
      </c>
      <c r="C1538" s="123" t="n">
        <f aca="false">-SUMPRODUCT(固有振動数!$Q$6:$Q$22*固有振動数!$P$6:$P$22/((1-($A1538/固有振動数!$O$6:$O$22)^2)^2+固有振動数!$P$6:$P$22^2))</f>
        <v>-1.7591176529721</v>
      </c>
      <c r="D1538" s="124" t="n">
        <f aca="false">SQRT(B1538^2+C1538^2)</f>
        <v>12.6382877926271</v>
      </c>
      <c r="E1538" s="125" t="n">
        <f aca="false">20*LOG10(MAX(D1538,0.000000000001)/$K$3)</f>
        <v>22.0337648134488</v>
      </c>
    </row>
    <row r="1539" customFormat="false" ht="15" hidden="false" customHeight="false" outlineLevel="0" collapsed="false">
      <c r="A1539" s="126" t="n">
        <f aca="false">A1538+$F$3</f>
        <v>15330</v>
      </c>
      <c r="B1539" s="127" t="n">
        <f aca="false">SUMPRODUCT(固有振動数!$Q$6:$Q$22*(1-($A1539/固有振動数!$O$6:$O$22)^2)/((1-($A1539/固有振動数!$O$6:$O$22)^2)^2+固有振動数!$P$6:$P$22^2))</f>
        <v>12.6003962591252</v>
      </c>
      <c r="C1539" s="127" t="n">
        <f aca="false">-SUMPRODUCT(固有振動数!$Q$6:$Q$22*固有振動数!$P$6:$P$22/((1-($A1539/固有振動数!$O$6:$O$22)^2)^2+固有振動数!$P$6:$P$22^2))</f>
        <v>-1.76715917864134</v>
      </c>
      <c r="D1539" s="128" t="n">
        <f aca="false">SQRT(B1539^2+C1539^2)</f>
        <v>12.7237116223857</v>
      </c>
      <c r="E1539" s="129" t="n">
        <f aca="false">20*LOG10(MAX(D1539,0.000000000001)/$K$3)</f>
        <v>22.0922763488733</v>
      </c>
    </row>
    <row r="1540" customFormat="false" ht="15" hidden="false" customHeight="false" outlineLevel="0" collapsed="false">
      <c r="A1540" s="122" t="n">
        <f aca="false">A1539+$F$3</f>
        <v>15340</v>
      </c>
      <c r="B1540" s="123" t="n">
        <f aca="false">SUMPRODUCT(固有振動数!$Q$6:$Q$22*(1-($A1540/固有振動数!$O$6:$O$22)^2)/((1-($A1540/固有振動数!$O$6:$O$22)^2)^2+固有振動数!$P$6:$P$22^2))</f>
        <v>12.6858181555042</v>
      </c>
      <c r="C1540" s="123" t="n">
        <f aca="false">-SUMPRODUCT(固有振動数!$Q$6:$Q$22*固有振動数!$P$6:$P$22/((1-($A1540/固有振動数!$O$6:$O$22)^2)^2+固有振動数!$P$6:$P$22^2))</f>
        <v>-1.77539992948625</v>
      </c>
      <c r="D1540" s="124" t="n">
        <f aca="false">SQRT(B1540^2+C1540^2)</f>
        <v>12.8094506979862</v>
      </c>
      <c r="E1540" s="125" t="n">
        <f aca="false">20*LOG10(MAX(D1540,0.000000000001)/$K$3)</f>
        <v>22.1506101297127</v>
      </c>
    </row>
    <row r="1541" customFormat="false" ht="15" hidden="false" customHeight="false" outlineLevel="0" collapsed="false">
      <c r="A1541" s="126" t="n">
        <f aca="false">A1540+$F$3</f>
        <v>15350</v>
      </c>
      <c r="B1541" s="127" t="n">
        <f aca="false">SUMPRODUCT(固有振動数!$Q$6:$Q$22*(1-($A1541/固有振動数!$O$6:$O$22)^2)/((1-($A1541/固有振動数!$O$6:$O$22)^2)^2+固有振動数!$P$6:$P$22^2))</f>
        <v>12.7715395535045</v>
      </c>
      <c r="C1541" s="127" t="n">
        <f aca="false">-SUMPRODUCT(固有振動数!$Q$6:$Q$22*固有振動数!$P$6:$P$22/((1-($A1541/固有振動数!$O$6:$O$22)^2)^2+固有振動数!$P$6:$P$22^2))</f>
        <v>-1.78384219279151</v>
      </c>
      <c r="D1541" s="128" t="n">
        <f aca="false">SQRT(B1541^2+C1541^2)</f>
        <v>12.8955153264813</v>
      </c>
      <c r="E1541" s="129" t="n">
        <f aca="false">20*LOG10(MAX(D1541,0.000000000001)/$K$3)</f>
        <v>22.2087740391734</v>
      </c>
    </row>
    <row r="1542" customFormat="false" ht="15" hidden="false" customHeight="false" outlineLevel="0" collapsed="false">
      <c r="A1542" s="122" t="n">
        <f aca="false">A1541+$F$3</f>
        <v>15360</v>
      </c>
      <c r="B1542" s="123" t="n">
        <f aca="false">SUMPRODUCT(固有振動数!$Q$6:$Q$22*(1-($A1542/固有振動数!$O$6:$O$22)^2)/((1-($A1542/固有振動数!$O$6:$O$22)^2)^2+固有振動数!$P$6:$P$22^2))</f>
        <v>12.8575707871617</v>
      </c>
      <c r="C1542" s="123" t="n">
        <f aca="false">-SUMPRODUCT(固有振動数!$Q$6:$Q$22*固有振動数!$P$6:$P$22/((1-($A1542/固有振動数!$O$6:$O$22)^2)^2+固有振動数!$P$6:$P$22^2))</f>
        <v>-1.7924883550805</v>
      </c>
      <c r="D1542" s="124" t="n">
        <f aca="false">SQRT(B1542^2+C1542^2)</f>
        <v>12.9819159236984</v>
      </c>
      <c r="E1542" s="125" t="n">
        <f aca="false">20*LOG10(MAX(D1542,0.000000000001)/$K$3)</f>
        <v>22.2667758426405</v>
      </c>
    </row>
    <row r="1543" customFormat="false" ht="15" hidden="false" customHeight="false" outlineLevel="0" collapsed="false">
      <c r="A1543" s="126" t="n">
        <f aca="false">A1542+$F$3</f>
        <v>15370</v>
      </c>
      <c r="B1543" s="127" t="n">
        <f aca="false">SUMPRODUCT(固有振動数!$Q$6:$Q$22*(1-($A1543/固有振動数!$O$6:$O$22)^2)/((1-($A1543/固有振動数!$O$6:$O$22)^2)^2+固有振動数!$P$6:$P$22^2))</f>
        <v>12.9439222822631</v>
      </c>
      <c r="C1543" s="127" t="n">
        <f aca="false">-SUMPRODUCT(固有振動数!$Q$6:$Q$22*固有振動数!$P$6:$P$22/((1-($A1543/固有振動数!$O$6:$O$22)^2)^2+固有振動数!$P$6:$P$22^2))</f>
        <v>-1.80134090404925</v>
      </c>
      <c r="D1543" s="128" t="n">
        <f aca="false">SQRT(B1543^2+C1543^2)</f>
        <v>13.0686630189117</v>
      </c>
      <c r="E1543" s="129" t="n">
        <f aca="false">20*LOG10(MAX(D1543,0.000000000001)/$K$3)</f>
        <v>22.3246231927597</v>
      </c>
    </row>
    <row r="1544" customFormat="false" ht="15" hidden="false" customHeight="false" outlineLevel="0" collapsed="false">
      <c r="A1544" s="122" t="n">
        <f aca="false">A1543+$F$3</f>
        <v>15380</v>
      </c>
      <c r="B1544" s="123" t="n">
        <f aca="false">SUMPRODUCT(固有振動数!$Q$6:$Q$22*(1-($A1544/固有振動数!$O$6:$O$22)^2)/((1-($A1544/固有振動数!$O$6:$O$22)^2)^2+固有振動数!$P$6:$P$22^2))</f>
        <v>13.030604561129</v>
      </c>
      <c r="C1544" s="123" t="n">
        <f aca="false">-SUMPRODUCT(固有振動数!$Q$6:$Q$22*固有振動数!$P$6:$P$22/((1-($A1544/固有振動数!$O$6:$O$22)^2)^2+固有振動数!$P$6:$P$22^2))</f>
        <v>-1.81040243061289</v>
      </c>
      <c r="D1544" s="124" t="n">
        <f aca="false">SQRT(B1544^2+C1544^2)</f>
        <v>13.1557672596198</v>
      </c>
      <c r="E1544" s="125" t="n">
        <f aca="false">20*LOG10(MAX(D1544,0.000000000001)/$K$3)</f>
        <v>22.3823236343745</v>
      </c>
    </row>
    <row r="1545" customFormat="false" ht="15" hidden="false" customHeight="false" outlineLevel="0" collapsed="false">
      <c r="A1545" s="126" t="n">
        <f aca="false">A1544+$F$3</f>
        <v>15390</v>
      </c>
      <c r="B1545" s="127" t="n">
        <f aca="false">SUMPRODUCT(固有振動数!$Q$6:$Q$22*(1-($A1545/固有振動数!$O$6:$O$22)^2)/((1-($A1545/固有振動数!$O$6:$O$22)^2)^2+固有振動数!$P$6:$P$22^2))</f>
        <v>13.1176282474662</v>
      </c>
      <c r="C1545" s="127" t="n">
        <f aca="false">-SUMPRODUCT(固有振動数!$Q$6:$Q$22*固有振動数!$P$6:$P$22/((1-($A1545/固有振動数!$O$6:$O$22)^2)^2+固有振動数!$P$6:$P$22^2))</f>
        <v>-1.8196756310677</v>
      </c>
      <c r="D1545" s="128" t="n">
        <f aca="false">SQRT(B1545^2+C1545^2)</f>
        <v>13.2432394164353</v>
      </c>
      <c r="E1545" s="129" t="n">
        <f aca="false">20*LOG10(MAX(D1545,0.000000000001)/$K$3)</f>
        <v>22.4398846093289</v>
      </c>
    </row>
    <row r="1546" customFormat="false" ht="15" hidden="false" customHeight="false" outlineLevel="0" collapsed="false">
      <c r="A1546" s="122" t="n">
        <f aca="false">A1545+$F$3</f>
        <v>15400</v>
      </c>
      <c r="B1546" s="123" t="n">
        <f aca="false">SUMPRODUCT(固有振動数!$Q$6:$Q$22*(1-($A1546/固有振動数!$O$6:$O$22)^2)/((1-($A1546/固有振動数!$O$6:$O$22)^2)^2+固有振動数!$P$6:$P$22^2))</f>
        <v>13.2050040712987</v>
      </c>
      <c r="C1546" s="123" t="n">
        <f aca="false">-SUMPRODUCT(固有振動数!$Q$6:$Q$22*固有振動数!$P$6:$P$22/((1-($A1546/固有振動数!$O$6:$O$22)^2)^2+固有振動数!$P$6:$P$22^2))</f>
        <v>-1.82916330937249</v>
      </c>
      <c r="D1546" s="124" t="n">
        <f aca="false">SQRT(B1546^2+C1546^2)</f>
        <v>13.3310903880879</v>
      </c>
      <c r="E1546" s="125" t="n">
        <f aca="false">20*LOG10(MAX(D1546,0.000000000001)/$K$3)</f>
        <v>22.4973134611394</v>
      </c>
    </row>
    <row r="1547" customFormat="false" ht="15" hidden="false" customHeight="false" outlineLevel="0" collapsed="false">
      <c r="A1547" s="126" t="n">
        <f aca="false">A1546+$F$3</f>
        <v>15410</v>
      </c>
      <c r="B1547" s="127" t="n">
        <f aca="false">SUMPRODUCT(固有振動数!$Q$6:$Q$22*(1-($A1547/固有振動数!$O$6:$O$22)^2)/((1-($A1547/固有振動数!$O$6:$O$22)^2)^2+固有振動数!$P$6:$P$22^2))</f>
        <v>13.29274287398</v>
      </c>
      <c r="C1547" s="127" t="n">
        <f aca="false">-SUMPRODUCT(固有振動数!$Q$6:$Q$22*固有振動数!$P$6:$P$22/((1-($A1547/固有振動数!$O$6:$O$22)^2)^2+固有振動数!$P$6:$P$22^2))</f>
        <v>-1.83886837955293</v>
      </c>
      <c r="D1547" s="128" t="n">
        <f aca="false">SQRT(B1547^2+C1547^2)</f>
        <v>13.4193312065492</v>
      </c>
      <c r="E1547" s="129" t="n">
        <f aca="false">20*LOG10(MAX(D1547,0.000000000001)/$K$3)</f>
        <v>22.5546174395463</v>
      </c>
    </row>
    <row r="1548" customFormat="false" ht="15" hidden="false" customHeight="false" outlineLevel="0" collapsed="false">
      <c r="A1548" s="122" t="n">
        <f aca="false">A1547+$F$3</f>
        <v>15420</v>
      </c>
      <c r="B1548" s="123" t="n">
        <f aca="false">SUMPRODUCT(固有振動数!$Q$6:$Q$22*(1-($A1548/固有振動数!$O$6:$O$22)^2)/((1-($A1548/固有振動数!$O$6:$O$22)^2)^2+固有振動数!$P$6:$P$22^2))</f>
        <v>13.3808556132926</v>
      </c>
      <c r="C1548" s="123" t="n">
        <f aca="false">-SUMPRODUCT(固有振動数!$Q$6:$Q$22*固有振動数!$P$6:$P$22/((1-($A1548/固有振動数!$O$6:$O$22)^2)^2+固有振動数!$P$6:$P$22^2))</f>
        <v>-1.84879386823285</v>
      </c>
      <c r="D1548" s="124" t="n">
        <f aca="false">SQRT(B1548^2+C1548^2)</f>
        <v>13.5079730422814</v>
      </c>
      <c r="E1548" s="125" t="n">
        <f aca="false">20*LOG10(MAX(D1548,0.000000000001)/$K$3)</f>
        <v>22.6118037049469</v>
      </c>
    </row>
    <row r="1549" customFormat="false" ht="15" hidden="false" customHeight="false" outlineLevel="0" collapsed="false">
      <c r="A1549" s="126" t="n">
        <f aca="false">A1548+$F$3</f>
        <v>15430</v>
      </c>
      <c r="B1549" s="127" t="n">
        <f aca="false">SUMPRODUCT(固有振動数!$Q$6:$Q$22*(1-($A1549/固有振動数!$O$6:$O$22)^2)/((1-($A1549/固有振動数!$O$6:$O$22)^2)^2+固有振動数!$P$6:$P$22^2))</f>
        <v>13.4693533686392</v>
      </c>
      <c r="C1549" s="127" t="n">
        <f aca="false">-SUMPRODUCT(固有振動数!$Q$6:$Q$22*固有振動数!$P$6:$P$22/((1-($A1549/固有振動数!$O$6:$O$22)^2)^2+固有振動数!$P$6:$P$22^2))</f>
        <v>-1.85894291729687</v>
      </c>
      <c r="D1549" s="128" t="n">
        <f aca="false">SQRT(B1549^2+C1549^2)</f>
        <v>13.5970272096161</v>
      </c>
      <c r="E1549" s="129" t="n">
        <f aca="false">20*LOG10(MAX(D1549,0.000000000001)/$K$3)</f>
        <v>22.6688793327195</v>
      </c>
    </row>
    <row r="1550" customFormat="false" ht="15" hidden="false" customHeight="false" outlineLevel="0" collapsed="false">
      <c r="A1550" s="122" t="n">
        <f aca="false">A1549+$F$3</f>
        <v>15440</v>
      </c>
      <c r="B1550" s="123" t="n">
        <f aca="false">SUMPRODUCT(固有振動数!$Q$6:$Q$22*(1-($A1550/固有振動数!$O$6:$O$22)^2)/((1-($A1550/固有振動数!$O$6:$O$22)^2)^2+固有振動数!$P$6:$P$22^2))</f>
        <v>13.5582473463306</v>
      </c>
      <c r="C1550" s="123" t="n">
        <f aca="false">-SUMPRODUCT(固有振動数!$Q$6:$Q$22*固有振動数!$P$6:$P$22/((1-($A1550/固有振動数!$O$6:$O$22)^2)^2+固有振動数!$P$6:$P$22^2))</f>
        <v>-1.86931878668881</v>
      </c>
      <c r="D1550" s="124" t="n">
        <f aca="false">SQRT(B1550^2+C1550^2)</f>
        <v>13.6865051722691</v>
      </c>
      <c r="E1550" s="125" t="n">
        <f aca="false">20*LOG10(MAX(D1550,0.000000000001)/$K$3)</f>
        <v>22.7258513174436</v>
      </c>
    </row>
    <row r="1551" customFormat="false" ht="15" hidden="false" customHeight="false" outlineLevel="0" collapsed="false">
      <c r="A1551" s="126" t="n">
        <f aca="false">A1550+$F$3</f>
        <v>15450</v>
      </c>
      <c r="B1551" s="127" t="n">
        <f aca="false">SUMPRODUCT(固有振動数!$Q$6:$Q$22*(1-($A1551/固有振動数!$O$6:$O$22)^2)/((1-($A1551/固有振動数!$O$6:$O$22)^2)^2+固有振動数!$P$6:$P$22^2))</f>
        <v>13.6475488849766</v>
      </c>
      <c r="C1551" s="127" t="n">
        <f aca="false">-SUMPRODUCT(固有振動数!$Q$6:$Q$22*固有振動数!$P$6:$P$22/((1-($A1551/固有振動数!$O$6:$O$22)^2)^2+固有振動数!$P$6:$P$22^2))</f>
        <v>-1.87992485735074</v>
      </c>
      <c r="D1551" s="128" t="n">
        <f aca="false">SQRT(B1551^2+C1551^2)</f>
        <v>13.7764185489957</v>
      </c>
      <c r="E1551" s="129" t="n">
        <f aca="false">20*LOG10(MAX(D1551,0.000000000001)/$K$3)</f>
        <v>22.7827265770201</v>
      </c>
    </row>
    <row r="1552" customFormat="false" ht="15" hidden="false" customHeight="false" outlineLevel="0" collapsed="false">
      <c r="A1552" s="122" t="n">
        <f aca="false">A1551+$F$3</f>
        <v>15460</v>
      </c>
      <c r="B1552" s="123" t="n">
        <f aca="false">SUMPRODUCT(固有振動数!$Q$6:$Q$22*(1-($A1552/固有振動数!$O$6:$O$22)^2)/((1-($A1552/固有振動数!$O$6:$O$22)^2)^2+固有振動数!$P$6:$P$22^2))</f>
        <v>13.7372694609846</v>
      </c>
      <c r="C1552" s="123" t="n">
        <f aca="false">-SUMPRODUCT(固有振動数!$Q$6:$Q$22*固有振動数!$P$6:$P$22/((1-($A1552/固有振動数!$O$6:$O$22)^2)^2+固有振動数!$P$6:$P$22^2))</f>
        <v>-1.89076463430784</v>
      </c>
      <c r="D1552" s="124" t="n">
        <f aca="false">SQRT(B1552^2+C1552^2)</f>
        <v>13.8667791193936</v>
      </c>
      <c r="E1552" s="125" t="n">
        <f aca="false">20*LOG10(MAX(D1552,0.000000000001)/$K$3)</f>
        <v>22.8395119567004</v>
      </c>
    </row>
    <row r="1553" customFormat="false" ht="15" hidden="false" customHeight="false" outlineLevel="0" collapsed="false">
      <c r="A1553" s="126" t="n">
        <f aca="false">A1552+$F$3</f>
        <v>15470</v>
      </c>
      <c r="B1553" s="127" t="n">
        <f aca="false">SUMPRODUCT(固有振動数!$Q$6:$Q$22*(1-($A1553/固有振動数!$O$6:$O$22)^2)/((1-($A1553/固有振動数!$O$6:$O$22)^2)^2+固有振動数!$P$6:$P$22^2))</f>
        <v>13.8274206941712</v>
      </c>
      <c r="C1553" s="127" t="n">
        <f aca="false">-SUMPRODUCT(固有振動数!$Q$6:$Q$22*固有振動数!$P$6:$P$22/((1-($A1553/固有振動数!$O$6:$O$22)^2)^2+固有振動数!$P$6:$P$22^2))</f>
        <v>-1.90184174990438</v>
      </c>
      <c r="D1553" s="128" t="n">
        <f aca="false">SQRT(B1553^2+C1553^2)</f>
        <v>13.9575988298588</v>
      </c>
      <c r="E1553" s="129" t="n">
        <f aca="false">20*LOG10(MAX(D1553,0.000000000001)/$K$3)</f>
        <v>22.8962142330255</v>
      </c>
    </row>
    <row r="1554" customFormat="false" ht="15" hidden="false" customHeight="false" outlineLevel="0" collapsed="false">
      <c r="A1554" s="122" t="n">
        <f aca="false">A1553+$F$3</f>
        <v>15480</v>
      </c>
      <c r="B1554" s="123" t="n">
        <f aca="false">SUMPRODUCT(固有振動数!$Q$6:$Q$22*(1-($A1554/固有振動数!$O$6:$O$22)^2)/((1-($A1554/固有振動数!$O$6:$O$22)^2)^2+固有振動数!$P$6:$P$22^2))</f>
        <v>13.9180143534935</v>
      </c>
      <c r="C1554" s="123" t="n">
        <f aca="false">-SUMPRODUCT(固有振動数!$Q$6:$Q$22*固有振動数!$P$6:$P$22/((1-($A1554/固有振動数!$O$6:$O$22)^2)^2+固有振動数!$P$6:$P$22^2))</f>
        <v>-1.91315996719673</v>
      </c>
      <c r="D1554" s="124" t="n">
        <f aca="false">SQRT(B1554^2+C1554^2)</f>
        <v>14.0488897997008</v>
      </c>
      <c r="E1554" s="125" t="n">
        <f aca="false">20*LOG10(MAX(D1554,0.000000000001)/$K$3)</f>
        <v>22.9528401176844</v>
      </c>
    </row>
    <row r="1555" customFormat="false" ht="15" hidden="false" customHeight="false" outlineLevel="0" collapsed="false">
      <c r="A1555" s="126" t="n">
        <f aca="false">A1554+$F$3</f>
        <v>15490</v>
      </c>
      <c r="B1555" s="127" t="n">
        <f aca="false">SUMPRODUCT(固有振動数!$Q$6:$Q$22*(1-($A1555/固有振動数!$O$6:$O$22)^2)/((1-($A1555/固有振動数!$O$6:$O$22)^2)^2+固有振動数!$P$6:$P$22^2))</f>
        <v>14.0090623629054</v>
      </c>
      <c r="C1555" s="127" t="n">
        <f aca="false">-SUMPRODUCT(固有振動数!$Q$6:$Q$22*固有振動数!$P$6:$P$22/((1-($A1555/固有振動数!$O$6:$O$22)^2)^2+固有振動数!$P$6:$P$22^2))</f>
        <v>-1.9247231835094</v>
      </c>
      <c r="D1555" s="128" t="n">
        <f aca="false">SQRT(B1555^2+C1555^2)</f>
        <v>14.140664327425</v>
      </c>
      <c r="E1555" s="129" t="n">
        <f aca="false">20*LOG10(MAX(D1555,0.000000000001)/$K$3)</f>
        <v>23.0093962612934</v>
      </c>
    </row>
    <row r="1556" customFormat="false" ht="15" hidden="false" customHeight="false" outlineLevel="0" collapsed="false">
      <c r="A1556" s="122" t="n">
        <f aca="false">A1555+$F$3</f>
        <v>15500</v>
      </c>
      <c r="B1556" s="123" t="n">
        <f aca="false">SUMPRODUCT(固有振動数!$Q$6:$Q$22*(1-($A1556/固有振動数!$O$6:$O$22)^2)/((1-($A1556/固有振動数!$O$6:$O$22)^2)^2+固有振動数!$P$6:$P$22^2))</f>
        <v>14.100576807345</v>
      </c>
      <c r="C1556" s="123" t="n">
        <f aca="false">-SUMPRODUCT(固有振動数!$Q$6:$Q$22*固有振動数!$P$6:$P$22/((1-($A1556/固有振動数!$O$6:$O$22)^2)^2+固有振動数!$P$6:$P$22^2))</f>
        <v>-1.93653543416061</v>
      </c>
      <c r="D1556" s="124" t="n">
        <f aca="false">SQRT(B1556^2+C1556^2)</f>
        <v>14.2329348971881</v>
      </c>
      <c r="E1556" s="125" t="n">
        <f aca="false">20*LOG10(MAX(D1556,0.000000000001)/$K$3)</f>
        <v>23.0658892571031</v>
      </c>
    </row>
    <row r="1557" customFormat="false" ht="15" hidden="false" customHeight="false" outlineLevel="0" collapsed="false">
      <c r="A1557" s="126" t="n">
        <f aca="false">A1556+$F$3</f>
        <v>15510</v>
      </c>
      <c r="B1557" s="127" t="n">
        <f aca="false">SUMPRODUCT(固有振動数!$Q$6:$Q$22*(1-($A1557/固有振動数!$O$6:$O$22)^2)/((1-($A1557/固有振動数!$O$6:$O$22)^2)^2+固有振動数!$P$6:$P$22^2))</f>
        <v>14.19256993886</v>
      </c>
      <c r="C1557" s="127" t="n">
        <f aca="false">-SUMPRODUCT(固有振動数!$Q$6:$Q$22*固有振動数!$P$6:$P$22/((1-($A1557/固有振動数!$O$6:$O$22)^2)^2+固有振動数!$P$6:$P$22^2))</f>
        <v>-1.94860089636426</v>
      </c>
      <c r="D1557" s="128" t="n">
        <f aca="false">SQRT(B1557^2+C1557^2)</f>
        <v>14.325714185434</v>
      </c>
      <c r="E1557" s="129" t="n">
        <f aca="false">20*LOG10(MAX(D1557,0.000000000001)/$K$3)</f>
        <v>23.122325644637</v>
      </c>
    </row>
    <row r="1558" customFormat="false" ht="15" hidden="false" customHeight="false" outlineLevel="0" collapsed="false">
      <c r="A1558" s="122" t="n">
        <f aca="false">A1557+$F$3</f>
        <v>15520</v>
      </c>
      <c r="B1558" s="123" t="n">
        <f aca="false">SUMPRODUCT(固有振動数!$Q$6:$Q$22*(1-($A1558/固有振動数!$O$6:$O$22)^2)/((1-($A1558/固有振動数!$O$6:$O$22)^2)^2+固有振動数!$P$6:$P$22^2))</f>
        <v>14.285054182877</v>
      </c>
      <c r="C1558" s="123" t="n">
        <f aca="false">-SUMPRODUCT(固有振動数!$Q$6:$Q$22*固有振動数!$P$6:$P$22/((1-($A1558/固有振動数!$O$6:$O$22)^2)^2+固有振動数!$P$6:$P$22^2))</f>
        <v>-1.96092389331548</v>
      </c>
      <c r="D1558" s="124" t="n">
        <f aca="false">SQRT(B1558^2+C1558^2)</f>
        <v>14.419015067719</v>
      </c>
      <c r="E1558" s="125" t="n">
        <f aca="false">20*LOG10(MAX(D1558,0.000000000001)/$K$3)</f>
        <v>23.1787119132664</v>
      </c>
    </row>
    <row r="1559" customFormat="false" ht="15" hidden="false" customHeight="false" outlineLevel="0" collapsed="false">
      <c r="A1559" s="126" t="n">
        <f aca="false">A1558+$F$3</f>
        <v>15530</v>
      </c>
      <c r="B1559" s="127" t="n">
        <f aca="false">SUMPRODUCT(固有振動数!$Q$6:$Q$22*(1-($A1559/固有振動数!$O$6:$O$22)^2)/((1-($A1559/固有振動数!$O$6:$O$22)^2)^2+固有振動数!$P$6:$P$22^2))</f>
        <v>14.3780421446213</v>
      </c>
      <c r="C1559" s="127" t="n">
        <f aca="false">-SUMPRODUCT(固有振動数!$Q$6:$Q$22*固有振動数!$P$6:$P$22/((1-($A1559/固有振動数!$O$6:$O$22)^2)^2+固有振動数!$P$6:$P$22^2))</f>
        <v>-1.97350889846753</v>
      </c>
      <c r="D1559" s="128" t="n">
        <f aca="false">SQRT(B1559^2+C1559^2)</f>
        <v>14.5128506257329</v>
      </c>
      <c r="E1559" s="129" t="n">
        <f aca="false">20*LOG10(MAX(D1559,0.000000000001)/$K$3)</f>
        <v>23.2350545057254</v>
      </c>
    </row>
    <row r="1560" customFormat="false" ht="15" hidden="false" customHeight="false" outlineLevel="0" collapsed="false">
      <c r="A1560" s="122" t="n">
        <f aca="false">A1559+$F$3</f>
        <v>15540</v>
      </c>
      <c r="B1560" s="123" t="n">
        <f aca="false">SUMPRODUCT(固有振動数!$Q$6:$Q$22*(1-($A1560/固有振動数!$O$6:$O$22)^2)/((1-($A1560/固有振動数!$O$6:$O$22)^2)^2+固有振動数!$P$6:$P$22^2))</f>
        <v>14.4715466156946</v>
      </c>
      <c r="C1560" s="123" t="n">
        <f aca="false">-SUMPRODUCT(固有振動数!$Q$6:$Q$22*固有振動数!$P$6:$P$22/((1-($A1560/固有振動数!$O$6:$O$22)^2)^2+固有振動数!$P$6:$P$22^2))</f>
        <v>-1.98636054000808</v>
      </c>
      <c r="D1560" s="124" t="n">
        <f aca="false">SQRT(B1560^2+C1560^2)</f>
        <v>14.6072341545251</v>
      </c>
      <c r="E1560" s="125" t="n">
        <f aca="false">20*LOG10(MAX(D1560,0.000000000001)/$K$3)</f>
        <v>23.291359821572</v>
      </c>
    </row>
    <row r="1561" customFormat="false" ht="15" hidden="false" customHeight="false" outlineLevel="0" collapsed="false">
      <c r="A1561" s="126" t="n">
        <f aca="false">A1560+$F$3</f>
        <v>15550</v>
      </c>
      <c r="B1561" s="127" t="n">
        <f aca="false">SUMPRODUCT(固有振動数!$Q$6:$Q$22*(1-($A1561/固有振動数!$O$6:$O$22)^2)/((1-($A1561/固有振動数!$O$6:$O$22)^2)^2+固有振動数!$P$6:$P$22^2))</f>
        <v>14.5655805808185</v>
      </c>
      <c r="C1561" s="127" t="n">
        <f aca="false">-SUMPRODUCT(固有振動数!$Q$6:$Q$22*固有振動数!$P$6:$P$22/((1-($A1561/固有振動数!$O$6:$O$22)^2)^2+固有振動数!$P$6:$P$22^2))</f>
        <v>-1.99948360554346</v>
      </c>
      <c r="D1561" s="128" t="n">
        <f aca="false">SQRT(B1561^2+C1561^2)</f>
        <v>14.7021791699446</v>
      </c>
      <c r="E1561" s="129" t="n">
        <f aca="false">20*LOG10(MAX(D1561,0.000000000001)/$K$3)</f>
        <v>23.3476342205967</v>
      </c>
    </row>
    <row r="1562" customFormat="false" ht="15" hidden="false" customHeight="false" outlineLevel="0" collapsed="false">
      <c r="A1562" s="122" t="n">
        <f aca="false">A1561+$F$3</f>
        <v>15560</v>
      </c>
      <c r="B1562" s="123" t="n">
        <f aca="false">SUMPRODUCT(固有振動数!$Q$6:$Q$22*(1-($A1562/固有振動数!$O$6:$O$22)^2)/((1-($A1562/固有振動数!$O$6:$O$22)^2)^2+固有振動数!$P$6:$P$22^2))</f>
        <v>14.6601572247484</v>
      </c>
      <c r="C1562" s="123" t="n">
        <f aca="false">-SUMPRODUCT(固有振動数!$Q$6:$Q$22*固有振動数!$P$6:$P$22/((1-($A1562/固有振動数!$O$6:$O$22)^2)^2+固有振動数!$P$6:$P$22^2))</f>
        <v>-2.01288304700004</v>
      </c>
      <c r="D1562" s="124" t="n">
        <f aca="false">SQRT(B1562^2+C1562^2)</f>
        <v>14.7976994163026</v>
      </c>
      <c r="E1562" s="125" t="n">
        <f aca="false">20*LOG10(MAX(D1562,0.000000000001)/$K$3)</f>
        <v>23.4038840261858</v>
      </c>
    </row>
    <row r="1563" customFormat="false" ht="15" hidden="false" customHeight="false" outlineLevel="0" collapsed="false">
      <c r="A1563" s="126" t="n">
        <f aca="false">A1562+$F$3</f>
        <v>15570</v>
      </c>
      <c r="B1563" s="127" t="n">
        <f aca="false">SUMPRODUCT(固有振動数!$Q$6:$Q$22*(1-($A1563/固有振動数!$O$6:$O$22)^2)/((1-($A1563/固有振動数!$O$6:$O$22)^2)^2+固有振動数!$P$6:$P$22^2))</f>
        <v>14.7552899393696</v>
      </c>
      <c r="C1563" s="127" t="n">
        <f aca="false">-SUMPRODUCT(固有振動数!$Q$6:$Q$22*固有振動数!$P$6:$P$22/((1-($A1563/固有振動数!$O$6:$O$22)^2)^2+固有振動数!$P$6:$P$22^2))</f>
        <v>-2.02656398575222</v>
      </c>
      <c r="D1563" s="128" t="n">
        <f aca="false">SQRT(B1563^2+C1563^2)</f>
        <v>14.8938088742675</v>
      </c>
      <c r="E1563" s="129" t="n">
        <f aca="false">20*LOG10(MAX(D1563,0.000000000001)/$K$3)</f>
        <v>23.460115528641</v>
      </c>
    </row>
    <row r="1564" customFormat="false" ht="15" hidden="false" customHeight="false" outlineLevel="0" collapsed="false">
      <c r="A1564" s="122" t="n">
        <f aca="false">A1563+$F$3</f>
        <v>15580</v>
      </c>
      <c r="B1564" s="123" t="n">
        <f aca="false">SUMPRODUCT(固有振動数!$Q$6:$Q$22*(1-($A1564/固有振動数!$O$6:$O$22)^2)/((1-($A1564/固有振動数!$O$6:$O$22)^2)^2+固有振動数!$P$6:$P$22^2))</f>
        <v>14.8509923309795</v>
      </c>
      <c r="C1564" s="123" t="n">
        <f aca="false">-SUMPRODUCT(固有振動数!$Q$6:$Q$22*固有振動数!$P$6:$P$22/((1-($A1564/固有振動数!$O$6:$O$22)^2)^2+固有振動数!$P$6:$P$22^2))</f>
        <v>-2.04053171798738</v>
      </c>
      <c r="D1564" s="124" t="n">
        <f aca="false">SQRT(B1564^2+C1564^2)</f>
        <v>14.9905217690021</v>
      </c>
      <c r="E1564" s="125" t="n">
        <f aca="false">20*LOG10(MAX(D1564,0.000000000001)/$K$3)</f>
        <v>23.5163349884596</v>
      </c>
    </row>
    <row r="1565" customFormat="false" ht="15" hidden="false" customHeight="false" outlineLevel="0" collapsed="false">
      <c r="A1565" s="126" t="n">
        <f aca="false">A1564+$F$3</f>
        <v>15590</v>
      </c>
      <c r="B1565" s="127" t="n">
        <f aca="false">SUMPRODUCT(固有振動数!$Q$6:$Q$22*(1-($A1565/固有振動数!$O$6:$O$22)^2)/((1-($A1565/固有振動数!$O$6:$O$22)^2)^2+固有振動数!$P$6:$P$22^2))</f>
        <v>14.9472782277672</v>
      </c>
      <c r="C1565" s="127" t="n">
        <f aca="false">-SUMPRODUCT(固有振動数!$Q$6:$Q$22*固有振動数!$P$6:$P$22/((1-($A1565/固有振動数!$O$6:$O$22)^2)^2+固有振動数!$P$6:$P$22^2))</f>
        <v>-2.05479172031826</v>
      </c>
      <c r="D1565" s="128" t="n">
        <f aca="false">SQRT(B1565^2+C1565^2)</f>
        <v>15.0878525785538</v>
      </c>
      <c r="E1565" s="129" t="n">
        <f aca="false">20*LOG10(MAX(D1565,0.000000000001)/$K$3)</f>
        <v>23.5725486395812</v>
      </c>
    </row>
    <row r="1566" customFormat="false" ht="15" hidden="false" customHeight="false" outlineLevel="0" collapsed="false">
      <c r="A1566" s="122" t="n">
        <f aca="false">A1565+$F$3</f>
        <v>15600</v>
      </c>
      <c r="B1566" s="123" t="n">
        <f aca="false">SUMPRODUCT(固有振動数!$Q$6:$Q$22*(1-($A1566/固有振動数!$O$6:$O$22)^2)/((1-($A1566/固有振動数!$O$6:$O$22)^2)^2+固有振動数!$P$6:$P$22^2))</f>
        <v>15.0441616874971</v>
      </c>
      <c r="C1566" s="123" t="n">
        <f aca="false">-SUMPRODUCT(固有振動数!$Q$6:$Q$22*固有振動数!$P$6:$P$22/((1-($A1566/固有振動数!$O$6:$O$22)^2)^2+固有振動数!$P$6:$P$22^2))</f>
        <v>-2.06934965565448</v>
      </c>
      <c r="D1566" s="124" t="n">
        <f aca="false">SQRT(B1566^2+C1566^2)</f>
        <v>15.1858160425087</v>
      </c>
      <c r="E1566" s="125" t="n">
        <f aca="false">20*LOG10(MAX(D1566,0.000000000001)/$K$3)</f>
        <v>23.628762692601</v>
      </c>
    </row>
    <row r="1567" customFormat="false" ht="15" hidden="false" customHeight="false" outlineLevel="0" collapsed="false">
      <c r="A1567" s="126" t="n">
        <f aca="false">A1566+$F$3</f>
        <v>15610</v>
      </c>
      <c r="B1567" s="127" t="n">
        <f aca="false">SUMPRODUCT(固有振動数!$Q$6:$Q$22*(1-($A1567/固有振動数!$O$6:$O$22)^2)/((1-($A1567/固有振動数!$O$6:$O$22)^2)^2+固有振動数!$P$6:$P$22^2))</f>
        <v>15.1416570054061</v>
      </c>
      <c r="C1567" s="127" t="n">
        <f aca="false">-SUMPRODUCT(固有振動数!$Q$6:$Q$22*固有振動数!$P$6:$P$22/((1-($A1567/固有振動数!$O$6:$O$22)^2)^2+固有振動数!$P$6:$P$22^2))</f>
        <v>-2.08421137934491</v>
      </c>
      <c r="D1567" s="128" t="n">
        <f aca="false">SQRT(B1567^2+C1567^2)</f>
        <v>15.2844271709199</v>
      </c>
      <c r="E1567" s="129" t="n">
        <f aca="false">20*LOG10(MAX(D1567,0.000000000001)/$K$3)</f>
        <v>23.6849833379575</v>
      </c>
    </row>
    <row r="1568" customFormat="false" ht="15" hidden="false" customHeight="false" outlineLevel="0" collapsed="false">
      <c r="A1568" s="122" t="n">
        <f aca="false">A1567+$F$3</f>
        <v>15620</v>
      </c>
      <c r="B1568" s="123" t="n">
        <f aca="false">SUMPRODUCT(固有振動数!$Q$6:$Q$22*(1-($A1568/固有振動数!$O$6:$O$22)^2)/((1-($A1568/固有振動数!$O$6:$O$22)^2)^2+固有振動数!$P$6:$P$22^2))</f>
        <v>15.2397787223236</v>
      </c>
      <c r="C1568" s="123" t="n">
        <f aca="false">-SUMPRODUCT(固有振動数!$Q$6:$Q$22*固有振動数!$P$6:$P$22/((1-($A1568/固有振動数!$O$6:$O$22)^2)^2+固有振動数!$P$6:$P$22^2))</f>
        <v>-2.09938294560389</v>
      </c>
      <c r="D1568" s="124" t="n">
        <f aca="false">SQRT(B1568^2+C1568^2)</f>
        <v>15.3837012535241</v>
      </c>
      <c r="E1568" s="125" t="n">
        <f aca="false">20*LOG10(MAX(D1568,0.000000000001)/$K$3)</f>
        <v>23.741216749094</v>
      </c>
    </row>
    <row r="1569" customFormat="false" ht="15" hidden="false" customHeight="false" outlineLevel="0" collapsed="false">
      <c r="A1569" s="126" t="n">
        <f aca="false">A1568+$F$3</f>
        <v>15630</v>
      </c>
      <c r="B1569" s="127" t="n">
        <f aca="false">SUMPRODUCT(固有振動数!$Q$6:$Q$22*(1-($A1569/固有振動数!$O$6:$O$22)^2)/((1-($A1569/固有振動数!$O$6:$O$22)^2)^2+固有振動数!$P$6:$P$22^2))</f>
        <v>15.3385416330236</v>
      </c>
      <c r="C1569" s="127" t="n">
        <f aca="false">-SUMPRODUCT(固有振動数!$Q$6:$Q$22*固有振動数!$P$6:$P$22/((1-($A1569/固有振動数!$O$6:$O$22)^2)^2+固有振動数!$P$6:$P$22^2))</f>
        <v>-2.11487061423457</v>
      </c>
      <c r="D1569" s="128" t="n">
        <f aca="false">SQRT(B1569^2+C1569^2)</f>
        <v>15.4836538692568</v>
      </c>
      <c r="E1569" s="129" t="n">
        <f aca="false">20*LOG10(MAX(D1569,0.000000000001)/$K$3)</f>
        <v>23.7974690856017</v>
      </c>
    </row>
    <row r="1570" customFormat="false" ht="15" hidden="false" customHeight="false" outlineLevel="0" collapsed="false">
      <c r="A1570" s="122" t="n">
        <f aca="false">A1569+$F$3</f>
        <v>15640</v>
      </c>
      <c r="B1570" s="123" t="n">
        <f aca="false">SUMPRODUCT(固有振動数!$Q$6:$Q$22*(1-($A1570/固有振動数!$O$6:$O$22)^2)/((1-($A1570/固有振動数!$O$6:$O$22)^2)^2+固有振動数!$P$6:$P$22^2))</f>
        <v>15.4379607948185</v>
      </c>
      <c r="C1570" s="123" t="n">
        <f aca="false">-SUMPRODUCT(固有振動数!$Q$6:$Q$22*固有振動数!$P$6:$P$22/((1-($A1570/固有振動数!$O$6:$O$22)^2)^2+固有振動数!$P$6:$P$22^2))</f>
        <v>-2.13068085766373</v>
      </c>
      <c r="D1570" s="124" t="n">
        <f aca="false">SQRT(B1570^2+C1570^2)</f>
        <v>15.5843008960803</v>
      </c>
      <c r="E1570" s="125" t="n">
        <f aca="false">20*LOG10(MAX(D1570,0.000000000001)/$K$3)</f>
        <v>23.853746496345</v>
      </c>
    </row>
    <row r="1571" customFormat="false" ht="15" hidden="false" customHeight="false" outlineLevel="0" collapsed="false">
      <c r="A1571" s="126" t="n">
        <f aca="false">A1570+$F$3</f>
        <v>15650</v>
      </c>
      <c r="B1571" s="127" t="n">
        <f aca="false">SUMPRODUCT(固有振動数!$Q$6:$Q$22*(1-($A1571/固有振動数!$O$6:$O$22)^2)/((1-($A1571/固有振動数!$O$6:$O$22)^2)^2+固有振動数!$P$6:$P$22^2))</f>
        <v>15.5380515364058</v>
      </c>
      <c r="C1571" s="127" t="n">
        <f aca="false">-SUMPRODUCT(固有振動数!$Q$6:$Q$22*固有振動数!$P$6:$P$22/((1-($A1571/固有振動数!$O$6:$O$22)^2)^2+固有振動数!$P$6:$P$22^2))</f>
        <v>-2.14682036830317</v>
      </c>
      <c r="D1571" s="128" t="n">
        <f aca="false">SQRT(B1571^2+C1571^2)</f>
        <v>15.6856585211385</v>
      </c>
      <c r="E1571" s="129" t="n">
        <f aca="false">20*LOG10(MAX(D1571,0.000000000001)/$K$3)</f>
        <v>23.910055122573</v>
      </c>
    </row>
    <row r="1572" customFormat="false" ht="15" hidden="false" customHeight="false" outlineLevel="0" collapsed="false">
      <c r="A1572" s="122" t="n">
        <f aca="false">A1571+$F$3</f>
        <v>15660</v>
      </c>
      <c r="B1572" s="123" t="n">
        <f aca="false">SUMPRODUCT(固有振動数!$Q$6:$Q$22*(1-($A1572/固有振動数!$O$6:$O$22)^2)/((1-($A1572/固有振動数!$O$6:$O$22)^2)^2+固有振動数!$P$6:$P$22^2))</f>
        <v>15.6388294669764</v>
      </c>
      <c r="C1572" s="123" t="n">
        <f aca="false">-SUMPRODUCT(固有振動数!$Q$6:$Q$22*固有振動数!$P$6:$P$22/((1-($A1572/固有振動数!$O$6:$O$22)^2)^2+固有振動数!$P$6:$P$22^2))</f>
        <v>-2.16329606625364</v>
      </c>
      <c r="D1572" s="124" t="n">
        <f aca="false">SQRT(B1572^2+C1572^2)</f>
        <v>15.7877432512515</v>
      </c>
      <c r="E1572" s="125" t="n">
        <f aca="false">20*LOG10(MAX(D1572,0.000000000001)/$K$3)</f>
        <v>23.9664011010221</v>
      </c>
    </row>
    <row r="1573" customFormat="false" ht="15" hidden="false" customHeight="false" outlineLevel="0" collapsed="false">
      <c r="A1573" s="126" t="n">
        <f aca="false">A1572+$F$3</f>
        <v>15670</v>
      </c>
      <c r="B1573" s="127" t="n">
        <f aca="false">SUMPRODUCT(固有振動数!$Q$6:$Q$22*(1-($A1573/固有振動数!$O$6:$O$22)^2)/((1-($A1573/固有振動数!$O$6:$O$22)^2)^2+固有振動数!$P$6:$P$22^2))</f>
        <v>15.7403104855978</v>
      </c>
      <c r="C1573" s="127" t="n">
        <f aca="false">-SUMPRODUCT(固有振動数!$Q$6:$Q$22*固有振動数!$P$6:$P$22/((1-($A1573/固有振動数!$O$6:$O$22)^2)^2+固有振動数!$P$6:$P$22^2))</f>
        <v>-2.18011510736819</v>
      </c>
      <c r="D1573" s="128" t="n">
        <f aca="false">SQRT(B1573^2+C1573^2)</f>
        <v>15.8905719237664</v>
      </c>
      <c r="E1573" s="129" t="n">
        <f aca="false">20*LOG10(MAX(D1573,0.000000000001)/$K$3)</f>
        <v>24.0227905670122</v>
      </c>
    </row>
    <row r="1574" customFormat="false" ht="15" hidden="false" customHeight="false" outlineLevel="0" collapsed="false">
      <c r="A1574" s="122" t="n">
        <f aca="false">A1573+$F$3</f>
        <v>15680</v>
      </c>
      <c r="B1574" s="123" t="n">
        <f aca="false">SUMPRODUCT(固有振動数!$Q$6:$Q$22*(1-($A1574/固有振動数!$O$6:$O$22)^2)/((1-($A1574/固有振動数!$O$6:$O$22)^2)^2+固有振動数!$P$6:$P$22^2))</f>
        <v>15.8425107908822</v>
      </c>
      <c r="C1574" s="123" t="n">
        <f aca="false">-SUMPRODUCT(固有振動数!$Q$6:$Q$22*固有振動数!$P$6:$P$22/((1-($A1574/固有振動数!$O$6:$O$22)^2)^2+固有振動数!$P$6:$P$22^2))</f>
        <v>-2.19728489169293</v>
      </c>
      <c r="D1574" s="124" t="n">
        <f aca="false">SQRT(B1574^2+C1574^2)</f>
        <v>15.9941617177794</v>
      </c>
      <c r="E1574" s="125" t="n">
        <f aca="false">20*LOG10(MAX(D1574,0.000000000001)/$K$3)</f>
        <v>24.079229657539</v>
      </c>
    </row>
    <row r="1575" customFormat="false" ht="15" hidden="false" customHeight="false" outlineLevel="0" collapsed="false">
      <c r="A1575" s="126" t="n">
        <f aca="false">A1574+$F$3</f>
        <v>15690</v>
      </c>
      <c r="B1575" s="127" t="n">
        <f aca="false">SUMPRODUCT(固有振動数!$Q$6:$Q$22*(1-($A1575/固有振動数!$O$6:$O$22)^2)/((1-($A1575/固有振動数!$O$6:$O$22)^2)^2+固有振動数!$P$6:$P$22^2))</f>
        <v>15.9454468909515</v>
      </c>
      <c r="C1575" s="127" t="n">
        <f aca="false">-SUMPRODUCT(固有振動数!$Q$6:$Q$22*固有振動数!$P$6:$P$22/((1-($A1575/固有振動数!$O$6:$O$22)^2)^2+固有振動数!$P$6:$P$22^2))</f>
        <v>-2.21481307230419</v>
      </c>
      <c r="D1575" s="128" t="n">
        <f aca="false">SQRT(B1575^2+C1575^2)</f>
        <v>16.0985301657451</v>
      </c>
      <c r="E1575" s="129" t="n">
        <f aca="false">20*LOG10(MAX(D1575,0.000000000001)/$K$3)</f>
        <v>24.1357245143682</v>
      </c>
    </row>
    <row r="1576" customFormat="false" ht="15" hidden="false" customHeight="false" outlineLevel="0" collapsed="false">
      <c r="A1576" s="122" t="n">
        <f aca="false">A1575+$F$3</f>
        <v>15700</v>
      </c>
      <c r="B1576" s="123" t="n">
        <f aca="false">SUMPRODUCT(固有振動数!$Q$6:$Q$22*(1-($A1576/固有振動数!$O$6:$O$22)^2)/((1-($A1576/固有振動数!$O$6:$O$22)^2)^2+固有振動数!$P$6:$P$22^2))</f>
        <v>16.0491356137121</v>
      </c>
      <c r="C1576" s="123" t="n">
        <f aca="false">-SUMPRODUCT(固有振動数!$Q$6:$Q$22*固有振動数!$P$6:$P$22/((1-($A1576/固有振動数!$O$6:$O$22)^2)^2+固有振動数!$P$6:$P$22^2))</f>
        <v>-2.23270756456212</v>
      </c>
      <c r="D1576" s="124" t="n">
        <f aca="false">SQRT(B1576^2+C1576^2)</f>
        <v>16.2036951654916</v>
      </c>
      <c r="E1576" s="125" t="n">
        <f aca="false">20*LOG10(MAX(D1576,0.000000000001)/$K$3)</f>
        <v>24.1922812871328</v>
      </c>
    </row>
    <row r="1577" customFormat="false" ht="15" hidden="false" customHeight="false" outlineLevel="0" collapsed="false">
      <c r="A1577" s="126" t="n">
        <f aca="false">A1576+$F$3</f>
        <v>15710</v>
      </c>
      <c r="B1577" s="127" t="n">
        <f aca="false">SUMPRODUCT(固有振動数!$Q$6:$Q$22*(1-($A1577/固有振動数!$O$6:$O$22)^2)/((1-($A1577/固有振動数!$O$6:$O$22)^2)^2+固有振動数!$P$6:$P$22^2))</f>
        <v>16.1535941174517</v>
      </c>
      <c r="C1577" s="127" t="n">
        <f aca="false">-SUMPRODUCT(固有振動数!$Q$6:$Q$22*固有振動数!$P$6:$P$22/((1-($A1577/固有振動数!$O$6:$O$22)^2)^2+固有振動数!$P$6:$P$22^2))</f>
        <v>-2.25097655580222</v>
      </c>
      <c r="D1577" s="128" t="n">
        <f aca="false">SQRT(B1577^2+C1577^2)</f>
        <v>16.3096749926582</v>
      </c>
      <c r="E1577" s="129" t="n">
        <f aca="false">20*LOG10(MAX(D1577,0.000000000001)/$K$3)</f>
        <v>24.2489061364383</v>
      </c>
    </row>
    <row r="1578" customFormat="false" ht="15" hidden="false" customHeight="false" outlineLevel="0" collapsed="false">
      <c r="A1578" s="122" t="n">
        <f aca="false">A1577+$F$3</f>
        <v>15720</v>
      </c>
      <c r="B1578" s="123" t="n">
        <f aca="false">SUMPRODUCT(固有振動数!$Q$6:$Q$22*(1-($A1578/固有振動数!$O$6:$O$22)^2)/((1-($A1578/固有振動数!$O$6:$O$22)^2)^2+固有振動数!$P$6:$P$22^2))</f>
        <v>16.2588399017717</v>
      </c>
      <c r="C1578" s="123" t="n">
        <f aca="false">-SUMPRODUCT(固有振動数!$Q$6:$Q$22*固有振動数!$P$6:$P$22/((1-($A1578/固有振動数!$O$6:$O$22)^2)^2+固有振動数!$P$6:$P$22^2))</f>
        <v>-2.26962851548725</v>
      </c>
      <c r="D1578" s="124" t="n">
        <f aca="false">SQRT(B1578^2+C1578^2)</f>
        <v>16.4164883135754</v>
      </c>
      <c r="E1578" s="125" t="n">
        <f aca="false">20*LOG10(MAX(D1578,0.000000000001)/$K$3)</f>
        <v>24.3056052369789</v>
      </c>
    </row>
    <row r="1579" customFormat="false" ht="15" hidden="false" customHeight="false" outlineLevel="0" collapsed="false">
      <c r="A1579" s="126" t="n">
        <f aca="false">A1578+$F$3</f>
        <v>15730</v>
      </c>
      <c r="B1579" s="127" t="n">
        <f aca="false">SUMPRODUCT(固有振動数!$Q$6:$Q$22*(1-($A1579/固有振動数!$O$6:$O$22)^2)/((1-($A1579/固有振動数!$O$6:$O$22)^2)^2+固有振動数!$P$6:$P$22^2))</f>
        <v>16.3648908188696</v>
      </c>
      <c r="C1579" s="127" t="n">
        <f aca="false">-SUMPRODUCT(固有振動数!$Q$6:$Q$22*固有振動数!$P$6:$P$22/((1-($A1579/固有振動数!$O$6:$O$22)^2)^2+固有振動数!$P$6:$P$22^2))</f>
        <v>-2.28867220584366</v>
      </c>
      <c r="D1579" s="128" t="n">
        <f aca="false">SQRT(B1579^2+C1579^2)</f>
        <v>16.5241541986065</v>
      </c>
      <c r="E1579" s="129" t="n">
        <f aca="false">20*LOG10(MAX(D1579,0.000000000001)/$K$3)</f>
        <v>24.3623847806679</v>
      </c>
    </row>
    <row r="1580" customFormat="false" ht="15" hidden="false" customHeight="false" outlineLevel="0" collapsed="false">
      <c r="A1580" s="122" t="n">
        <f aca="false">A1579+$F$3</f>
        <v>15740</v>
      </c>
      <c r="B1580" s="123" t="n">
        <f aca="false">SUMPRODUCT(固有振動数!$Q$6:$Q$22*(1-($A1580/固有振動数!$O$6:$O$22)^2)/((1-($A1580/固有振動数!$O$6:$O$22)^2)^2+固有振動数!$P$6:$P$22^2))</f>
        <v>16.4717650851846</v>
      </c>
      <c r="C1580" s="123" t="n">
        <f aca="false">-SUMPRODUCT(固有振動数!$Q$6:$Q$22*固有振動数!$P$6:$P$22/((1-($A1580/固有振動数!$O$6:$O$22)^2)^2+固有振動数!$P$6:$P$22^2))</f>
        <v>-2.3081166930079</v>
      </c>
      <c r="D1580" s="124" t="n">
        <f aca="false">SQRT(B1580^2+C1580^2)</f>
        <v>16.6326921359727</v>
      </c>
      <c r="E1580" s="125" t="n">
        <f aca="false">20*LOG10(MAX(D1580,0.000000000001)/$K$3)</f>
        <v>24.4192509797864</v>
      </c>
    </row>
    <row r="1581" customFormat="false" ht="15" hidden="false" customHeight="false" outlineLevel="0" collapsed="false">
      <c r="A1581" s="126" t="n">
        <f aca="false">A1580+$F$3</f>
        <v>15750</v>
      </c>
      <c r="B1581" s="127" t="n">
        <f aca="false">SUMPRODUCT(固有振動数!$Q$6:$Q$22*(1-($A1581/固有振動数!$O$6:$O$22)^2)/((1-($A1581/固有振動数!$O$6:$O$22)^2)^2+固有振動数!$P$6:$P$22^2))</f>
        <v>16.5794812934226</v>
      </c>
      <c r="C1581" s="127" t="n">
        <f aca="false">-SUMPRODUCT(固有振動数!$Q$6:$Q$22*固有振動数!$P$6:$P$22/((1-($A1581/固有振動数!$O$6:$O$22)^2)^2+固有振動数!$P$6:$P$22^2))</f>
        <v>-2.32797135870968</v>
      </c>
      <c r="D1581" s="128" t="n">
        <f aca="false">SQRT(B1581^2+C1581^2)</f>
        <v>16.7421220460825</v>
      </c>
      <c r="E1581" s="129" t="n">
        <f aca="false">20*LOG10(MAX(D1581,0.000000000001)/$K$3)</f>
        <v>24.4762100701532</v>
      </c>
    </row>
    <row r="1582" customFormat="false" ht="15" hidden="false" customHeight="false" outlineLevel="0" collapsed="false">
      <c r="A1582" s="122" t="n">
        <f aca="false">A1581+$F$3</f>
        <v>15760</v>
      </c>
      <c r="B1582" s="123" t="n">
        <f aca="false">SUMPRODUCT(固有振動数!$Q$6:$Q$22*(1-($A1582/固有振動数!$O$6:$O$22)^2)/((1-($A1582/固有振動数!$O$6:$O$22)^2)^2+固有振動数!$P$6:$P$22^2))</f>
        <v>16.6880584249749</v>
      </c>
      <c r="C1582" s="123" t="n">
        <f aca="false">-SUMPRODUCT(固有振動数!$Q$6:$Q$22*固有振動数!$P$6:$P$22/((1-($A1582/固有振動数!$O$6:$O$22)^2)^2+固有振動数!$P$6:$P$22^2))</f>
        <v>-2.34824591252083</v>
      </c>
      <c r="D1582" s="124" t="n">
        <f aca="false">SQRT(B1582^2+C1582^2)</f>
        <v>16.8524642963885</v>
      </c>
      <c r="E1582" s="125" t="n">
        <f aca="false">20*LOG10(MAX(D1582,0.000000000001)/$K$3)</f>
        <v>24.5332683143202</v>
      </c>
    </row>
    <row r="1583" customFormat="false" ht="15" hidden="false" customHeight="false" outlineLevel="0" collapsed="false">
      <c r="A1583" s="126" t="n">
        <f aca="false">A1582+$F$3</f>
        <v>15770</v>
      </c>
      <c r="B1583" s="127" t="n">
        <f aca="false">SUMPRODUCT(固有振動数!$Q$6:$Q$22*(1-($A1583/固有振動数!$O$6:$O$22)^2)/((1-($A1583/固有振動数!$O$6:$O$22)^2)^2+固有振動数!$P$6:$P$22^2))</f>
        <v>16.7975158627486</v>
      </c>
      <c r="C1583" s="127" t="n">
        <f aca="false">-SUMPRODUCT(固有振動数!$Q$6:$Q$22*固有振動数!$P$6:$P$22/((1-($A1583/固有振動数!$O$6:$O$22)^2)^2+固有振動数!$P$6:$P$22^2))</f>
        <v>-2.36895040470024</v>
      </c>
      <c r="D1583" s="128" t="n">
        <f aca="false">SQRT(B1583^2+C1583^2)</f>
        <v>16.9637397167966</v>
      </c>
      <c r="E1583" s="129" t="n">
        <f aca="false">20*LOG10(MAX(D1583,0.000000000001)/$K$3)</f>
        <v>24.5904320047959</v>
      </c>
    </row>
    <row r="1584" customFormat="false" ht="15" hidden="false" customHeight="false" outlineLevel="0" collapsed="false">
      <c r="A1584" s="122" t="n">
        <f aca="false">A1583+$F$3</f>
        <v>15780</v>
      </c>
      <c r="B1584" s="123" t="n">
        <f aca="false">SUMPRODUCT(固有振動数!$Q$6:$Q$22*(1-($A1584/固有振動数!$O$6:$O$22)^2)/((1-($A1584/固有振動数!$O$6:$O$22)^2)^2+固有振動数!$P$6:$P$22^2))</f>
        <v>16.9078734044231</v>
      </c>
      <c r="C1584" s="123" t="n">
        <f aca="false">-SUMPRODUCT(固有振動数!$Q$6:$Q$22*固有振動数!$P$6:$P$22/((1-($A1584/固有振動数!$O$6:$O$22)^2)^2+固有振動数!$P$6:$P$22^2))</f>
        <v>-2.39009523966726</v>
      </c>
      <c r="D1584" s="124" t="n">
        <f aca="false">SQRT(B1584^2+C1584^2)</f>
        <v>17.0759696156522</v>
      </c>
      <c r="E1584" s="125" t="n">
        <f aca="false">20*LOG10(MAX(D1584,0.000000000001)/$K$3)</f>
        <v>24.6477074673017</v>
      </c>
    </row>
    <row r="1585" customFormat="false" ht="15" hidden="false" customHeight="false" outlineLevel="0" collapsed="false">
      <c r="A1585" s="126" t="n">
        <f aca="false">A1584+$F$3</f>
        <v>15790</v>
      </c>
      <c r="B1585" s="127" t="n">
        <f aca="false">SUMPRODUCT(固有振動数!$Q$6:$Q$22*(1-($A1585/固有振動数!$O$6:$O$22)^2)/((1-($A1585/固有振動数!$O$6:$O$22)^2)^2+固有振動数!$P$6:$P$22^2))</f>
        <v>17.0191512761524</v>
      </c>
      <c r="C1585" s="127" t="n">
        <f aca="false">-SUMPRODUCT(固有振動数!$Q$6:$Q$22*固有振動数!$P$6:$P$22/((1-($A1585/固有振動数!$O$6:$O$22)^2)^2+固有振動数!$P$6:$P$22^2))</f>
        <v>-2.41169119013783</v>
      </c>
      <c r="D1585" s="128" t="n">
        <f aca="false">SQRT(B1585^2+C1585^2)</f>
        <v>17.1891757963303</v>
      </c>
      <c r="E1585" s="129" t="n">
        <f aca="false">20*LOG10(MAX(D1585,0.000000000001)/$K$3)</f>
        <v>24.7051010640643</v>
      </c>
    </row>
    <row r="1586" customFormat="false" ht="15" hidden="false" customHeight="false" outlineLevel="0" collapsed="false">
      <c r="A1586" s="122" t="n">
        <f aca="false">A1585+$F$3</f>
        <v>15800</v>
      </c>
      <c r="B1586" s="123" t="n">
        <f aca="false">SUMPRODUCT(固有振動数!$Q$6:$Q$22*(1-($A1586/固有振動数!$O$6:$O$22)^2)/((1-($A1586/固有振動数!$O$6:$O$22)^2)^2+固有振動数!$P$6:$P$22^2))</f>
        <v>17.1313701467301</v>
      </c>
      <c r="C1586" s="123" t="n">
        <f aca="false">-SUMPRODUCT(固有振動数!$Q$6:$Q$22*固有振動数!$P$6:$P$22/((1-($A1586/固有振動数!$O$6:$O$22)^2)^2+固有振動数!$P$6:$P$22^2))</f>
        <v>-2.43374941196006</v>
      </c>
      <c r="D1586" s="124" t="n">
        <f aca="false">SQRT(B1586^2+C1586^2)</f>
        <v>17.3033805744569</v>
      </c>
      <c r="E1586" s="125" t="n">
        <f aca="false">20*LOG10(MAX(D1586,0.000000000001)/$K$3)</f>
        <v>24.7626191971478</v>
      </c>
    </row>
    <row r="1587" customFormat="false" ht="15" hidden="false" customHeight="false" outlineLevel="0" collapsed="false">
      <c r="A1587" s="126" t="n">
        <f aca="false">A1586+$F$3</f>
        <v>15810</v>
      </c>
      <c r="B1587" s="127" t="n">
        <f aca="false">SUMPRODUCT(固有振動数!$Q$6:$Q$22*(1-($A1587/固有振動数!$O$6:$O$22)^2)/((1-($A1587/固有振動数!$O$6:$O$22)^2)^2+固有振動数!$P$6:$P$22^2))</f>
        <v>17.2445511422365</v>
      </c>
      <c r="C1587" s="127" t="n">
        <f aca="false">-SUMPRODUCT(固有振動数!$Q$6:$Q$22*固有振動数!$P$6:$P$22/((1-($A1587/固有振動数!$O$6:$O$22)^2)^2+固有振動数!$P$6:$P$22^2))</f>
        <v>-2.45628145968803</v>
      </c>
      <c r="D1587" s="128" t="n">
        <f aca="false">SQRT(B1587^2+C1587^2)</f>
        <v>17.4186067957921</v>
      </c>
      <c r="E1587" s="129" t="n">
        <f aca="false">20*LOG10(MAX(D1587,0.000000000001)/$K$3)</f>
        <v>24.8202683118296</v>
      </c>
    </row>
    <row r="1588" customFormat="false" ht="15" hidden="false" customHeight="false" outlineLevel="0" collapsed="false">
      <c r="A1588" s="122" t="n">
        <f aca="false">A1587+$F$3</f>
        <v>15820</v>
      </c>
      <c r="B1588" s="123" t="n">
        <f aca="false">SUMPRODUCT(固有振動数!$Q$6:$Q$22*(1-($A1588/固有振動数!$O$6:$O$22)^2)/((1-($A1588/固有振動数!$O$6:$O$22)^2)^2+固有振動数!$P$6:$P$22^2))</f>
        <v>17.3587158611868</v>
      </c>
      <c r="C1588" s="123" t="n">
        <f aca="false">-SUMPRODUCT(固有振動数!$Q$6:$Q$22*固有振動数!$P$6:$P$22/((1-($A1588/固有振動数!$O$6:$O$22)^2)^2+固有振動数!$P$6:$P$22^2))</f>
        <v>-2.4792993029351</v>
      </c>
      <c r="D1588" s="124" t="n">
        <f aca="false">SQRT(B1588^2+C1588^2)</f>
        <v>17.5348778548056</v>
      </c>
      <c r="E1588" s="125" t="n">
        <f aca="false">20*LOG10(MAX(D1588,0.000000000001)/$K$3)</f>
        <v>24.8780549000235</v>
      </c>
    </row>
    <row r="1589" customFormat="false" ht="15" hidden="false" customHeight="false" outlineLevel="0" collapsed="false">
      <c r="A1589" s="126" t="n">
        <f aca="false">A1588+$F$3</f>
        <v>15830</v>
      </c>
      <c r="B1589" s="127" t="n">
        <f aca="false">SUMPRODUCT(固有振動数!$Q$6:$Q$22*(1-($A1589/固有振動数!$O$6:$O$22)^2)/((1-($A1589/固有振動数!$O$6:$O$22)^2)^2+固有振動数!$P$6:$P$22^2))</f>
        <v>17.4738863902019</v>
      </c>
      <c r="C1589" s="127" t="n">
        <f aca="false">-SUMPRODUCT(固有振動数!$Q$6:$Q$22*固有振動数!$P$6:$P$22/((1-($A1589/固有振動数!$O$6:$O$22)^2)^2+固有振動数!$P$6:$P$22^2))</f>
        <v>-2.50281534355095</v>
      </c>
      <c r="D1589" s="128" t="n">
        <f aca="false">SQRT(B1589^2+C1589^2)</f>
        <v>17.6522177139757</v>
      </c>
      <c r="E1589" s="129" t="n">
        <f aca="false">20*LOG10(MAX(D1589,0.000000000001)/$K$3)</f>
        <v>24.9359855037551</v>
      </c>
    </row>
    <row r="1590" customFormat="false" ht="15" hidden="false" customHeight="false" outlineLevel="0" collapsed="false">
      <c r="A1590" s="122" t="n">
        <f aca="false">A1589+$F$3</f>
        <v>15840</v>
      </c>
      <c r="B1590" s="123" t="n">
        <f aca="false">SUMPRODUCT(固有振動数!$Q$6:$Q$22*(1-($A1590/固有振動数!$O$6:$O$22)^2)/((1-($A1590/固有振動数!$O$6:$O$22)^2)^2+固有振動数!$P$6:$P$22^2))</f>
        <v>17.5900853202217</v>
      </c>
      <c r="C1590" s="123" t="n">
        <f aca="false">-SUMPRODUCT(固有振動数!$Q$6:$Q$22*固有振動数!$P$6:$P$22/((1-($A1590/固有振動数!$O$6:$O$22)^2)^2+固有振動数!$P$6:$P$22^2))</f>
        <v>-2.52684243366896</v>
      </c>
      <c r="D1590" s="124" t="n">
        <f aca="false">SQRT(B1590^2+C1590^2)</f>
        <v>17.7706509238483</v>
      </c>
      <c r="E1590" s="125" t="n">
        <f aca="false">20*LOG10(MAX(D1590,0.000000000001)/$K$3)</f>
        <v>24.9940667186924</v>
      </c>
    </row>
    <row r="1591" customFormat="false" ht="15" hidden="false" customHeight="false" outlineLevel="0" collapsed="false">
      <c r="A1591" s="126" t="n">
        <f aca="false">A1590+$F$3</f>
        <v>15850</v>
      </c>
      <c r="B1591" s="127" t="n">
        <f aca="false">SUMPRODUCT(固有振動数!$Q$6:$Q$22*(1-($A1591/固有振動数!$O$6:$O$22)^2)/((1-($A1591/固有振動数!$O$6:$O$22)^2)^2+固有振動数!$P$6:$P$22^2))</f>
        <v>17.7073357632837</v>
      </c>
      <c r="C1591" s="127" t="n">
        <f aca="false">-SUMPRODUCT(固有振動数!$Q$6:$Q$22*固有振動数!$P$6:$P$22/((1-($A1591/固有振動数!$O$6:$O$22)^2)^2+固有振動数!$P$6:$P$22^2))</f>
        <v>-2.55139389467398</v>
      </c>
      <c r="D1591" s="128" t="n">
        <f aca="false">SQRT(B1591^2+C1591^2)</f>
        <v>17.8902026438899</v>
      </c>
      <c r="E1591" s="129" t="n">
        <f aca="false">20*LOG10(MAX(D1591,0.000000000001)/$K$3)</f>
        <v>25.0523051977362</v>
      </c>
    </row>
    <row r="1592" customFormat="false" ht="15" hidden="false" customHeight="false" outlineLevel="0" collapsed="false">
      <c r="A1592" s="122" t="n">
        <f aca="false">A1591+$F$3</f>
        <v>15860</v>
      </c>
      <c r="B1592" s="123" t="n">
        <f aca="false">SUMPRODUCT(固有振動数!$Q$6:$Q$22*(1-($A1592/固有振動数!$O$6:$O$22)^2)/((1-($A1592/固有振動数!$O$6:$O$22)^2)^2+固有振動数!$P$6:$P$22^2))</f>
        <v>17.8256613698896</v>
      </c>
      <c r="C1592" s="123" t="n">
        <f aca="false">-SUMPRODUCT(固有振動数!$Q$6:$Q$22*固有振動数!$P$6:$P$22/((1-($A1592/固有振動数!$O$6:$O$22)^2)^2+固有振動数!$P$6:$P$22^2))</f>
        <v>-2.57648353714359</v>
      </c>
      <c r="D1592" s="124" t="n">
        <f aca="false">SQRT(B1592^2+C1592^2)</f>
        <v>18.0108986641741</v>
      </c>
      <c r="E1592" s="125" t="n">
        <f aca="false">20*LOG10(MAX(D1592,0.000000000001)/$K$3)</f>
        <v>25.1107076546749</v>
      </c>
    </row>
    <row r="1593" customFormat="false" ht="15" hidden="false" customHeight="false" outlineLevel="0" collapsed="false">
      <c r="A1593" s="126" t="n">
        <f aca="false">A1592+$F$3</f>
        <v>15870</v>
      </c>
      <c r="B1593" s="127" t="n">
        <f aca="false">SUMPRODUCT(固有振動数!$Q$6:$Q$22*(1-($A1593/固有振動数!$O$6:$O$22)^2)/((1-($A1593/固有振動数!$O$6:$O$22)^2)^2+固有振動数!$P$6:$P$22^2))</f>
        <v>17.9450863469833</v>
      </c>
      <c r="C1593" s="127" t="n">
        <f aca="false">-SUMPRODUCT(固有振動数!$Q$6:$Q$22*固有振動数!$P$6:$P$22/((1-($A1593/固有振動数!$O$6:$O$22)^2)^2+固有振動数!$P$6:$P$22^2))</f>
        <v>-2.60212568181962</v>
      </c>
      <c r="D1593" s="128" t="n">
        <f aca="false">SQRT(B1593^2+C1593^2)</f>
        <v>18.1327654279393</v>
      </c>
      <c r="E1593" s="129" t="n">
        <f aca="false">20*LOG10(MAX(D1593,0.000000000001)/$K$3)</f>
        <v>25.1692808679074</v>
      </c>
    </row>
    <row r="1594" customFormat="false" ht="15" hidden="false" customHeight="false" outlineLevel="0" collapsed="false">
      <c r="A1594" s="122" t="n">
        <f aca="false">A1593+$F$3</f>
        <v>15880</v>
      </c>
      <c r="B1594" s="123" t="n">
        <f aca="false">SUMPRODUCT(固有振動数!$Q$6:$Q$22*(1-($A1594/固有振動数!$O$6:$O$22)^2)/((1-($A1594/固有振動数!$O$6:$O$22)^2)^2+固有振動数!$P$6:$P$22^2))</f>
        <v>18.0656354765649</v>
      </c>
      <c r="C1594" s="123" t="n">
        <f aca="false">-SUMPRODUCT(固有振動数!$Q$6:$Q$22*固有振動数!$P$6:$P$22/((1-($A1594/固有振動数!$O$6:$O$22)^2)^2+固有振動数!$P$6:$P$22^2))</f>
        <v>-2.62833518167017</v>
      </c>
      <c r="D1594" s="124" t="n">
        <f aca="false">SQRT(B1594^2+C1594^2)</f>
        <v>18.2558300550626</v>
      </c>
      <c r="E1594" s="125" t="n">
        <f aca="false">20*LOG10(MAX(D1594,0.000000000001)/$K$3)</f>
        <v>25.228031684239</v>
      </c>
    </row>
    <row r="1595" customFormat="false" ht="15" hidden="false" customHeight="false" outlineLevel="0" collapsed="false">
      <c r="A1595" s="126" t="n">
        <f aca="false">A1594+$F$3</f>
        <v>15890</v>
      </c>
      <c r="B1595" s="127" t="n">
        <f aca="false">SUMPRODUCT(固有振動数!$Q$6:$Q$22*(1-($A1595/固有振動数!$O$6:$O$22)^2)/((1-($A1595/固有振動数!$O$6:$O$22)^2)^2+固有振動数!$P$6:$P$22^2))</f>
        <v>18.1873341349667</v>
      </c>
      <c r="C1595" s="127" t="n">
        <f aca="false">-SUMPRODUCT(固有振動数!$Q$6:$Q$22*固有振動数!$P$6:$P$22/((1-($A1595/固有振動数!$O$6:$O$22)^2)^2+固有振動数!$P$6:$P$22^2))</f>
        <v>-2.65512744510679</v>
      </c>
      <c r="D1595" s="128" t="n">
        <f aca="false">SQRT(B1595^2+C1595^2)</f>
        <v>18.3801203664906</v>
      </c>
      <c r="E1595" s="129" t="n">
        <f aca="false">20*LOG10(MAX(D1595,0.000000000001)/$K$3)</f>
        <v>25.2869670227554</v>
      </c>
    </row>
    <row r="1596" customFormat="false" ht="15" hidden="false" customHeight="false" outlineLevel="0" collapsed="false">
      <c r="A1596" s="122" t="n">
        <f aca="false">A1595+$F$3</f>
        <v>15900</v>
      </c>
      <c r="B1596" s="123" t="n">
        <f aca="false">SUMPRODUCT(固有振動数!$Q$6:$Q$22*(1-($A1596/固有振動数!$O$6:$O$22)^2)/((1-($A1596/固有振動数!$O$6:$O$22)^2)^2+固有振動数!$P$6:$P$22^2))</f>
        <v>18.3102083128165</v>
      </c>
      <c r="C1596" s="123" t="n">
        <f aca="false">-SUMPRODUCT(固有振動数!$Q$6:$Q$22*固有振動数!$P$6:$P$22/((1-($A1596/固有振動数!$O$6:$O$22)^2)^2+固有振動数!$P$6:$P$22^2))</f>
        <v>-2.68251846042548</v>
      </c>
      <c r="D1596" s="124" t="n">
        <f aca="false">SQRT(B1596^2+C1596^2)</f>
        <v>18.5056649096772</v>
      </c>
      <c r="E1596" s="125" t="n">
        <f aca="false">20*LOG10(MAX(D1596,0.000000000001)/$K$3)</f>
        <v>25.3460938787777</v>
      </c>
    </row>
    <row r="1597" customFormat="false" ht="15" hidden="false" customHeight="false" outlineLevel="0" collapsed="false">
      <c r="A1597" s="126" t="n">
        <f aca="false">A1596+$F$3</f>
        <v>15910</v>
      </c>
      <c r="B1597" s="127" t="n">
        <f aca="false">SUMPRODUCT(固有振動数!$Q$6:$Q$22*(1-($A1597/固有振動数!$O$6:$O$22)^2)/((1-($A1597/固有振動数!$O$6:$O$22)^2)^2+固有振動数!$P$6:$P$22^2))</f>
        <v>18.4342846357169</v>
      </c>
      <c r="C1597" s="127" t="n">
        <f aca="false">-SUMPRODUCT(固有振動数!$Q$6:$Q$22*固有振動数!$P$6:$P$22/((1-($A1597/固有振動数!$O$6:$O$22)^2)^2+固有振動数!$P$6:$P$22^2))</f>
        <v>-2.71052482154506</v>
      </c>
      <c r="D1597" s="128" t="n">
        <f aca="false">SQRT(B1597^2+C1597^2)</f>
        <v>18.6324929850742</v>
      </c>
      <c r="E1597" s="129" t="n">
        <f aca="false">20*LOG10(MAX(D1597,0.000000000001)/$K$3)</f>
        <v>25.4054193279058</v>
      </c>
    </row>
    <row r="1598" customFormat="false" ht="15" hidden="false" customHeight="false" outlineLevel="0" collapsed="false">
      <c r="A1598" s="122" t="n">
        <f aca="false">A1597+$F$3</f>
        <v>15920</v>
      </c>
      <c r="B1598" s="123" t="n">
        <f aca="false">SUMPRODUCT(固有振動数!$Q$6:$Q$22*(1-($A1598/固有振動数!$O$6:$O$22)^2)/((1-($A1598/固有振動数!$O$6:$O$22)^2)^2+固有振動数!$P$6:$P$22^2))</f>
        <v>18.5595903856673</v>
      </c>
      <c r="C1598" s="123" t="n">
        <f aca="false">-SUMPRODUCT(固有振動数!$Q$6:$Q$22*固有振動数!$P$6:$P$22/((1-($A1598/固有振動数!$O$6:$O$22)^2)^2+固有振動数!$P$6:$P$22^2))</f>
        <v>-2.73916375512127</v>
      </c>
      <c r="D1598" s="124" t="n">
        <f aca="false">SQRT(B1598^2+C1598^2)</f>
        <v>18.7606346737291</v>
      </c>
      <c r="E1598" s="125" t="n">
        <f aca="false">20*LOG10(MAX(D1598,0.000000000001)/$K$3)</f>
        <v>25.4649505301529</v>
      </c>
    </row>
    <row r="1599" customFormat="false" ht="15" hidden="false" customHeight="false" outlineLevel="0" collapsed="false">
      <c r="A1599" s="126" t="n">
        <f aca="false">A1598+$F$3</f>
        <v>15930</v>
      </c>
      <c r="B1599" s="127" t="n">
        <f aca="false">SUMPRODUCT(固有振動数!$Q$6:$Q$22*(1-($A1599/固有振動数!$O$6:$O$22)^2)/((1-($A1599/固有振動数!$O$6:$O$22)^2)^2+固有振動数!$P$6:$P$22^2))</f>
        <v>18.6861535232594</v>
      </c>
      <c r="C1599" s="127" t="n">
        <f aca="false">-SUMPRODUCT(固有振動数!$Q$6:$Q$22*固有振動数!$P$6:$P$22/((1-($A1599/固有振動数!$O$6:$O$22)^2)^2+固有振動数!$P$6:$P$22^2))</f>
        <v>-2.76845314912048</v>
      </c>
      <c r="D1599" s="128" t="n">
        <f aca="false">SQRT(B1599^2+C1599^2)</f>
        <v>18.8901208660425</v>
      </c>
      <c r="E1599" s="129" t="n">
        <f aca="false">20*LOG10(MAX(D1599,0.000000000001)/$K$3)</f>
        <v>25.5246947341777</v>
      </c>
    </row>
    <row r="1600" customFormat="false" ht="15" hidden="false" customHeight="false" outlineLevel="0" collapsed="false">
      <c r="A1600" s="122" t="n">
        <f aca="false">A1599+$F$3</f>
        <v>15940</v>
      </c>
      <c r="B1600" s="123" t="n">
        <f aca="false">SUMPRODUCT(固有振動数!$Q$6:$Q$22*(1-($A1600/固有振動数!$O$6:$O$22)^2)/((1-($A1600/固有振動数!$O$6:$O$22)^2)^2+固有振動数!$P$6:$P$22^2))</f>
        <v>18.8140027106746</v>
      </c>
      <c r="C1600" s="123" t="n">
        <f aca="false">-SUMPRODUCT(固有振動数!$Q$6:$Q$22*固有振動数!$P$6:$P$22/((1-($A1600/固有振動数!$O$6:$O$22)^2)^2+固有振動数!$P$6:$P$22^2))</f>
        <v>-2.79841158294266</v>
      </c>
      <c r="D1600" s="124" t="n">
        <f aca="false">SQRT(B1600^2+C1600^2)</f>
        <v>19.0209832917444</v>
      </c>
      <c r="E1600" s="125" t="n">
        <f aca="false">20*LOG10(MAX(D1600,0.000000000001)/$K$3)</f>
        <v>25.5846592816185</v>
      </c>
    </row>
    <row r="1601" customFormat="false" ht="15" hidden="false" customHeight="false" outlineLevel="0" collapsed="false">
      <c r="A1601" s="126" t="n">
        <f aca="false">A1600+$F$3</f>
        <v>15950</v>
      </c>
      <c r="B1601" s="127" t="n">
        <f aca="false">SUMPRODUCT(固有振動数!$Q$6:$Q$22*(1-($A1601/固有振動数!$O$6:$O$22)^2)/((1-($A1601/固有振動数!$O$6:$O$22)^2)^2+固有振動数!$P$6:$P$22^2))</f>
        <v>18.9431673355165</v>
      </c>
      <c r="C1601" s="127" t="n">
        <f aca="false">-SUMPRODUCT(固有振動数!$Q$6:$Q$22*固有振動数!$P$6:$P$22/((1-($A1601/固有振動数!$O$6:$O$22)^2)^2+固有振動数!$P$6:$P$22^2))</f>
        <v>-2.82905835918942</v>
      </c>
      <c r="D1601" s="128" t="n">
        <f aca="false">SQRT(B1601^2+C1601^2)</f>
        <v>19.1532545511481</v>
      </c>
      <c r="E1601" s="129" t="n">
        <f aca="false">20*LOG10(MAX(D1601,0.000000000001)/$K$3)</f>
        <v>25.6448516115356</v>
      </c>
    </row>
    <row r="1602" customFormat="false" ht="15" hidden="false" customHeight="false" outlineLevel="0" collapsed="false">
      <c r="A1602" s="122" t="n">
        <f aca="false">A1601+$F$3</f>
        <v>15960</v>
      </c>
      <c r="B1602" s="123" t="n">
        <f aca="false">SUMPRODUCT(固有振動数!$Q$6:$Q$22*(1-($A1602/固有振動数!$O$6:$O$22)^2)/((1-($A1602/固有振動数!$O$6:$O$22)^2)^2+固有振動数!$P$6:$P$22^2))</f>
        <v>19.0736775355083</v>
      </c>
      <c r="C1602" s="123" t="n">
        <f aca="false">-SUMPRODUCT(固有振動数!$Q$6:$Q$22*固有振動数!$P$6:$P$22/((1-($A1602/固有振動数!$O$6:$O$22)^2)^2+固有振動数!$P$6:$P$22^2))</f>
        <v>-2.86041353717973</v>
      </c>
      <c r="D1602" s="124" t="n">
        <f aca="false">SQRT(B1602^2+C1602^2)</f>
        <v>19.2869681477477</v>
      </c>
      <c r="E1602" s="125" t="n">
        <f aca="false">20*LOG10(MAX(D1602,0.000000000001)/$K$3)</f>
        <v>25.7052792649673</v>
      </c>
    </row>
    <row r="1603" customFormat="false" ht="15" hidden="false" customHeight="false" outlineLevel="0" collapsed="false">
      <c r="A1603" s="126" t="n">
        <f aca="false">A1602+$F$3</f>
        <v>15970</v>
      </c>
      <c r="B1603" s="127" t="n">
        <f aca="false">SUMPRODUCT(固有振動数!$Q$6:$Q$22*(1-($A1603/固有振動数!$O$6:$O$22)^2)/((1-($A1603/固有振動数!$O$6:$O$22)^2)^2+固有振動数!$P$6:$P$22^2))</f>
        <v>19.2055642240905</v>
      </c>
      <c r="C1603" s="127" t="n">
        <f aca="false">-SUMPRODUCT(固有振動数!$Q$6:$Q$22*固有振動数!$P$6:$P$22/((1-($A1603/固有振動数!$O$6:$O$22)^2)^2+固有振動数!$P$6:$P$22^2))</f>
        <v>-2.89249796832306</v>
      </c>
      <c r="D1603" s="128" t="n">
        <f aca="false">SQRT(B1603^2+C1603^2)</f>
        <v>19.4221585222245</v>
      </c>
      <c r="E1603" s="129" t="n">
        <f aca="false">20*LOG10(MAX(D1603,0.000000000001)/$K$3)</f>
        <v>25.7659498896038</v>
      </c>
    </row>
    <row r="1604" customFormat="false" ht="15" hidden="false" customHeight="false" outlineLevel="0" collapsed="false">
      <c r="A1604" s="122" t="n">
        <f aca="false">A1603+$F$3</f>
        <v>15980</v>
      </c>
      <c r="B1604" s="123" t="n">
        <f aca="false">SUMPRODUCT(固有振動数!$Q$6:$Q$22*(1-($A1604/固有振動数!$O$6:$O$22)^2)/((1-($A1604/固有振動数!$O$6:$O$22)^2)^2+固有振動数!$P$6:$P$22^2))</f>
        <v>19.3388591169503</v>
      </c>
      <c r="C1604" s="123" t="n">
        <f aca="false">-SUMPRODUCT(固有振動数!$Q$6:$Q$22*固有振動数!$P$6:$P$22/((1-($A1604/固有振動数!$O$6:$O$22)^2)^2+固有振動数!$P$6:$P$22^2))</f>
        <v>-2.92533333346763</v>
      </c>
      <c r="D1604" s="124" t="n">
        <f aca="false">SQRT(B1604^2+C1604^2)</f>
        <v>19.5588610879353</v>
      </c>
      <c r="E1604" s="125" t="n">
        <f aca="false">20*LOG10(MAX(D1604,0.000000000001)/$K$3)</f>
        <v>25.8268712445881</v>
      </c>
    </row>
    <row r="1605" customFormat="false" ht="15" hidden="false" customHeight="false" outlineLevel="0" collapsed="false">
      <c r="A1605" s="126" t="n">
        <f aca="false">A1604+$F$3</f>
        <v>15990</v>
      </c>
      <c r="B1605" s="127" t="n">
        <f aca="false">SUMPRODUCT(固有振動数!$Q$6:$Q$22*(1-($A1605/固有振動数!$O$6:$O$22)^2)/((1-($A1605/固有振動数!$O$6:$O$22)^2)^2+固有振動数!$P$6:$P$22^2))</f>
        <v>19.4735947595198</v>
      </c>
      <c r="C1605" s="127" t="n">
        <f aca="false">-SUMPRODUCT(固有振動数!$Q$6:$Q$22*固有振動数!$P$6:$P$22/((1-($A1605/固有振動数!$O$6:$O$22)^2)^2+固有振動数!$P$6:$P$22^2))</f>
        <v>-2.95894218234967</v>
      </c>
      <c r="D1605" s="128" t="n">
        <f aca="false">SQRT(B1605^2+C1605^2)</f>
        <v>19.6971122679566</v>
      </c>
      <c r="E1605" s="129" t="n">
        <f aca="false">20*LOG10(MAX(D1605,0.000000000001)/$K$3)</f>
        <v>25.8880512054461</v>
      </c>
    </row>
    <row r="1606" customFormat="false" ht="15" hidden="false" customHeight="false" outlineLevel="0" collapsed="false">
      <c r="A1606" s="122" t="n">
        <f aca="false">A1605+$F$3</f>
        <v>16000</v>
      </c>
      <c r="B1606" s="123" t="n">
        <f aca="false">SUMPRODUCT(固有振動数!$Q$6:$Q$22*(1-($A1606/固有振動数!$O$6:$O$22)^2)/((1-($A1606/固有振動数!$O$6:$O$22)^2)^2+固有振動数!$P$6:$P$22^2))</f>
        <v>19.609804555477</v>
      </c>
      <c r="C1606" s="123" t="n">
        <f aca="false">-SUMPRODUCT(固有振動数!$Q$6:$Q$22*固有振動数!$P$6:$P$22/((1-($A1606/固有振動数!$O$6:$O$22)^2)^2+固有振動数!$P$6:$P$22^2))</f>
        <v>-2.99334797527889</v>
      </c>
      <c r="D1606" s="124" t="n">
        <f aca="false">SQRT(B1606^2+C1606^2)</f>
        <v>19.8369495337643</v>
      </c>
      <c r="E1606" s="125" t="n">
        <f aca="false">20*LOG10(MAX(D1606,0.000000000001)/$K$3)</f>
        <v>25.9494977691554</v>
      </c>
    </row>
    <row r="1607" customFormat="false" ht="15" hidden="false" customHeight="false" outlineLevel="0" collapsed="false">
      <c r="A1607" s="126" t="n">
        <f aca="false">A1606+$F$3</f>
        <v>16010</v>
      </c>
      <c r="B1607" s="127" t="n">
        <f aca="false">SUMPRODUCT(固有振動数!$Q$6:$Q$22*(1-($A1607/固有振動数!$O$6:$O$22)^2)/((1-($A1607/固有振動数!$O$6:$O$22)^2)^2+固有振動数!$P$6:$P$22^2))</f>
        <v>19.7475227962868</v>
      </c>
      <c r="C1607" s="127" t="n">
        <f aca="false">-SUMPRODUCT(固有振動数!$Q$6:$Q$22*固有振動数!$P$6:$P$22/((1-($A1607/固有振動数!$O$6:$O$22)^2)^2+固有振動数!$P$6:$P$22^2))</f>
        <v>-3.02857512720489</v>
      </c>
      <c r="D1607" s="128" t="n">
        <f aca="false">SQRT(B1607^2+C1607^2)</f>
        <v>19.9784114456328</v>
      </c>
      <c r="E1607" s="129" t="n">
        <f aca="false">20*LOG10(MAX(D1607,0.000000000001)/$K$3)</f>
        <v>26.0112190593575</v>
      </c>
    </row>
    <row r="1608" customFormat="false" ht="15" hidden="false" customHeight="false" outlineLevel="0" collapsed="false">
      <c r="A1608" s="122" t="n">
        <f aca="false">A1607+$F$3</f>
        <v>16020</v>
      </c>
      <c r="B1608" s="123" t="n">
        <f aca="false">SUMPRODUCT(固有振動数!$Q$6:$Q$22*(1-($A1608/固有振動数!$O$6:$O$22)^2)/((1-($A1608/固有振動数!$O$6:$O$22)^2)^2+固有振動数!$P$6:$P$22^2))</f>
        <v>19.8867846918191</v>
      </c>
      <c r="C1608" s="123" t="n">
        <f aca="false">-SUMPRODUCT(固有振動数!$Q$6:$Q$22*固有振動数!$P$6:$P$22/((1-($A1608/固有振動数!$O$6:$O$22)^2)^2+固有振動数!$P$6:$P$22^2))</f>
        <v>-3.06464905432013</v>
      </c>
      <c r="D1608" s="124" t="n">
        <f aca="false">SQRT(B1608^2+C1608^2)</f>
        <v>20.1215376948412</v>
      </c>
      <c r="E1608" s="125" t="n">
        <f aca="false">20*LOG10(MAX(D1608,0.000000000001)/$K$3)</f>
        <v>26.07322333172</v>
      </c>
    </row>
    <row r="1609" customFormat="false" ht="15" hidden="false" customHeight="false" outlineLevel="0" collapsed="false">
      <c r="A1609" s="126" t="n">
        <f aca="false">A1608+$F$3</f>
        <v>16030</v>
      </c>
      <c r="B1609" s="127" t="n">
        <f aca="false">SUMPRODUCT(固有振動数!$Q$6:$Q$22*(1-($A1609/固有振動数!$O$6:$O$22)^2)/((1-($A1609/固有振動数!$O$6:$O$22)^2)^2+固有振動数!$P$6:$P$22^2))</f>
        <v>20.0276264020805</v>
      </c>
      <c r="C1609" s="127" t="n">
        <f aca="false">-SUMPRODUCT(固有振動数!$Q$6:$Q$22*固有振動数!$P$6:$P$22/((1-($A1609/固有振動数!$O$6:$O$22)^2)^2+固有振動数!$P$6:$P$22^2))</f>
        <v>-3.1015962233662</v>
      </c>
      <c r="D1609" s="128" t="n">
        <f aca="false">SQRT(B1609^2+C1609^2)</f>
        <v>20.2663691477805</v>
      </c>
      <c r="E1609" s="129" t="n">
        <f aca="false">20*LOG10(MAX(D1609,0.000000000001)/$K$3)</f>
        <v>26.1355189794572</v>
      </c>
    </row>
    <row r="1610" customFormat="false" ht="15" hidden="false" customHeight="false" outlineLevel="0" collapsed="false">
      <c r="A1610" s="122" t="n">
        <f aca="false">A1609+$F$3</f>
        <v>16040</v>
      </c>
      <c r="B1610" s="123" t="n">
        <f aca="false">SUMPRODUCT(固有振動数!$Q$6:$Q$22*(1-($A1610/固有振動数!$O$6:$O$22)^2)/((1-($A1610/固有振動数!$O$6:$O$22)^2)^2+固有振動数!$P$6:$P$22^2))</f>
        <v>20.1700850701</v>
      </c>
      <c r="C1610" s="123" t="n">
        <f aca="false">-SUMPRODUCT(固有振動数!$Q$6:$Q$22*固有振動数!$P$6:$P$22/((1-($A1610/固有振動数!$O$6:$O$22)^2)^2+固有振動数!$P$6:$P$22^2))</f>
        <v>-3.13944420382275</v>
      </c>
      <c r="D1610" s="124" t="n">
        <f aca="false">SQRT(B1610^2+C1610^2)</f>
        <v>20.4129478920608</v>
      </c>
      <c r="E1610" s="125" t="n">
        <f aca="false">20*LOG10(MAX(D1610,0.000000000001)/$K$3)</f>
        <v>26.1981145390135</v>
      </c>
    </row>
    <row r="1611" customFormat="false" ht="15" hidden="false" customHeight="false" outlineLevel="0" collapsed="false">
      <c r="A1611" s="126" t="n">
        <f aca="false">A1610+$F$3</f>
        <v>16050</v>
      </c>
      <c r="B1611" s="127" t="n">
        <f aca="false">SUMPRODUCT(固有振動数!$Q$6:$Q$22*(1-($A1611/固有振動数!$O$6:$O$22)^2)/((1-($A1611/固有振動数!$O$6:$O$22)^2)^2+固有振動数!$P$6:$P$22^2))</f>
        <v>20.3141988560051</v>
      </c>
      <c r="C1611" s="127" t="n">
        <f aca="false">-SUMPRODUCT(固有振動数!$Q$6:$Q$22*固有振動数!$P$6:$P$22/((1-($A1611/固有振動数!$O$6:$O$22)^2)^2+固有振動数!$P$6:$P$22^2))</f>
        <v>-3.17822172317166</v>
      </c>
      <c r="D1611" s="128" t="n">
        <f aca="false">SQRT(B1611^2+C1611^2)</f>
        <v>20.5613172847209</v>
      </c>
      <c r="E1611" s="129" t="n">
        <f aca="false">20*LOG10(MAX(D1611,0.000000000001)/$K$3)</f>
        <v>26.2610186959192</v>
      </c>
    </row>
    <row r="1612" customFormat="false" ht="15" hidden="false" customHeight="false" outlineLevel="0" collapsed="false">
      <c r="A1612" s="122" t="n">
        <f aca="false">A1611+$F$3</f>
        <v>16060</v>
      </c>
      <c r="B1612" s="123" t="n">
        <f aca="false">SUMPRODUCT(固有振動数!$Q$6:$Q$22*(1-($A1612/固有振動数!$O$6:$O$22)^2)/((1-($A1612/固有振動数!$O$6:$O$22)^2)^2+固有振動数!$P$6:$P$22^2))</f>
        <v>20.4600069723274</v>
      </c>
      <c r="C1612" s="123" t="n">
        <f aca="false">-SUMPRODUCT(固有振動数!$Q$6:$Q$22*固有振動数!$P$6:$P$22/((1-($A1612/固有振動数!$O$6:$O$22)^2)^2+固有振動数!$P$6:$P$22^2))</f>
        <v>-3.21795872544361</v>
      </c>
      <c r="D1612" s="124" t="n">
        <f aca="false">SQRT(B1612^2+C1612^2)</f>
        <v>20.7115220026521</v>
      </c>
      <c r="E1612" s="125" t="n">
        <f aca="false">20*LOG10(MAX(D1612,0.000000000001)/$K$3)</f>
        <v>26.3242402908248</v>
      </c>
    </row>
    <row r="1613" customFormat="false" ht="15" hidden="false" customHeight="false" outlineLevel="0" collapsed="false">
      <c r="A1613" s="126" t="n">
        <f aca="false">A1612+$F$3</f>
        <v>16070</v>
      </c>
      <c r="B1613" s="127" t="n">
        <f aca="false">SUMPRODUCT(固有振動数!$Q$6:$Q$22*(1-($A1613/固有振動数!$O$6:$O$22)^2)/((1-($A1613/固有振動数!$O$6:$O$22)^2)^2+固有振動数!$P$6:$P$22^2))</f>
        <v>20.6075497205767</v>
      </c>
      <c r="C1613" s="127" t="n">
        <f aca="false">-SUMPRODUCT(固有振動数!$Q$6:$Q$22*固有振動数!$P$6:$P$22/((1-($A1613/固有振動数!$O$6:$O$22)^2)^2+固有振動数!$P$6:$P$22^2))</f>
        <v>-3.2586864332697</v>
      </c>
      <c r="D1613" s="128" t="n">
        <f aca="false">SQRT(B1613^2+C1613^2)</f>
        <v>20.8636080953515</v>
      </c>
      <c r="E1613" s="129" t="n">
        <f aca="false">20*LOG10(MAX(D1613,0.000000000001)/$K$3)</f>
        <v>26.3877883257213</v>
      </c>
    </row>
    <row r="1614" customFormat="false" ht="15" hidden="false" customHeight="false" outlineLevel="0" collapsed="false">
      <c r="A1614" s="122" t="n">
        <f aca="false">A1613+$F$3</f>
        <v>16080</v>
      </c>
      <c r="B1614" s="123" t="n">
        <f aca="false">SUMPRODUCT(固有振動数!$Q$6:$Q$22*(1-($A1614/固有振動数!$O$6:$O$22)^2)/((1-($A1614/固有振動数!$O$6:$O$22)^2)^2+固有振動数!$P$6:$P$22^2))</f>
        <v>20.756868529122</v>
      </c>
      <c r="C1614" s="123" t="n">
        <f aca="false">-SUMPRODUCT(固有振動数!$Q$6:$Q$22*固有振動数!$P$6:$P$22/((1-($A1614/固有振動数!$O$6:$O$22)^2)^2+固有振動数!$P$6:$P$22^2))</f>
        <v>-3.30043741367805</v>
      </c>
      <c r="D1614" s="124" t="n">
        <f aca="false">SQRT(B1614^2+C1614^2)</f>
        <v>21.0176230401266</v>
      </c>
      <c r="E1614" s="125" t="n">
        <f aca="false">20*LOG10(MAX(D1614,0.000000000001)/$K$3)</f>
        <v>26.4516719703546</v>
      </c>
    </row>
    <row r="1615" customFormat="false" ht="15" hidden="false" customHeight="false" outlineLevel="0" collapsed="false">
      <c r="A1615" s="126" t="n">
        <f aca="false">A1614+$F$3</f>
        <v>16090</v>
      </c>
      <c r="B1615" s="127" t="n">
        <f aca="false">SUMPRODUCT(固有振動数!$Q$6:$Q$22*(1-($A1615/固有振動数!$O$6:$O$22)^2)/((1-($A1615/固有振動数!$O$6:$O$22)^2)^2+固有振動数!$P$6:$P$22^2))</f>
        <v>20.9080059924162</v>
      </c>
      <c r="C1615" s="127" t="n">
        <f aca="false">-SUMPRODUCT(固有振動数!$Q$6:$Q$22*固有振動数!$P$6:$P$22/((1-($A1615/固有振動数!$O$6:$O$22)^2)^2+固有振動数!$P$6:$P$22^2))</f>
        <v>-3.34324564789344</v>
      </c>
      <c r="D1615" s="128" t="n">
        <f aca="false">SQRT(B1615^2+C1615^2)</f>
        <v>21.1736157998833</v>
      </c>
      <c r="E1615" s="129" t="n">
        <f aca="false">20*LOG10(MAX(D1615,0.000000000001)/$K$3)</f>
        <v>26.5159005688418</v>
      </c>
    </row>
    <row r="1616" customFormat="false" ht="15" hidden="false" customHeight="false" outlineLevel="0" collapsed="false">
      <c r="A1616" s="122" t="n">
        <f aca="false">A1615+$F$3</f>
        <v>16100</v>
      </c>
      <c r="B1616" s="123" t="n">
        <f aca="false">SUMPRODUCT(固有振動数!$Q$6:$Q$22*(1-($A1616/固有振動数!$O$6:$O$22)^2)/((1-($A1616/固有振動数!$O$6:$O$22)^2)^2+固有振動数!$P$6:$P$22^2))</f>
        <v>21.0610059116009</v>
      </c>
      <c r="C1616" s="123" t="n">
        <f aca="false">-SUMPRODUCT(固有振動数!$Q$6:$Q$22*固有振動数!$P$6:$P$22/((1-($A1616/固有振動数!$O$6:$O$22)^2)^2+固有振動数!$P$6:$P$22^2))</f>
        <v>-3.38714660541813</v>
      </c>
      <c r="D1616" s="124" t="n">
        <f aca="false">SQRT(B1616^2+C1616^2)</f>
        <v>21.3316368836309</v>
      </c>
      <c r="E1616" s="125" t="n">
        <f aca="false">20*LOG10(MAX(D1616,0.000000000001)/$K$3)</f>
        <v>26.5804836464969</v>
      </c>
    </row>
    <row r="1617" customFormat="false" ht="15" hidden="false" customHeight="false" outlineLevel="0" collapsed="false">
      <c r="A1617" s="126" t="n">
        <f aca="false">A1616+$F$3</f>
        <v>16110</v>
      </c>
      <c r="B1617" s="127" t="n">
        <f aca="false">SUMPRODUCT(固有振動数!$Q$6:$Q$22*(1-($A1617/固有振動数!$O$6:$O$22)^2)/((1-($A1617/固有振動数!$O$6:$O$22)^2)^2+固有振動数!$P$6:$P$22^2))</f>
        <v>21.2159133365282</v>
      </c>
      <c r="C1617" s="127" t="n">
        <f aca="false">-SUMPRODUCT(固有振動数!$Q$6:$Q$22*固有振動数!$P$6:$P$22/((1-($A1617/固有振動数!$O$6:$O$22)^2)^2+固有振動数!$P$6:$P$22^2))</f>
        <v>-3.43217732269371</v>
      </c>
      <c r="D1617" s="128" t="n">
        <f aca="false">SQRT(B1617^2+C1617^2)</f>
        <v>21.4917384098515</v>
      </c>
      <c r="E1617" s="129" t="n">
        <f aca="false">20*LOG10(MAX(D1617,0.000000000001)/$K$3)</f>
        <v>26.6454309168747</v>
      </c>
    </row>
    <row r="1618" customFormat="false" ht="15" hidden="false" customHeight="false" outlineLevel="0" collapsed="false">
      <c r="A1618" s="122" t="n">
        <f aca="false">A1617+$F$3</f>
        <v>16120</v>
      </c>
      <c r="B1618" s="123" t="n">
        <f aca="false">SUMPRODUCT(固有振動数!$Q$6:$Q$22*(1-($A1618/固有振動数!$O$6:$O$22)^2)/((1-($A1618/固有振動数!$O$6:$O$22)^2)^2+固有振動数!$P$6:$P$22^2))</f>
        <v>21.3727746092305</v>
      </c>
      <c r="C1618" s="123" t="n">
        <f aca="false">-SUMPRODUCT(固有振動数!$Q$6:$Q$22*固有振動数!$P$6:$P$22/((1-($A1618/固有振動数!$O$6:$O$22)^2)^2+固有振動数!$P$6:$P$22^2))</f>
        <v>-3.47837648666723</v>
      </c>
      <c r="D1618" s="124" t="n">
        <f aca="false">SQRT(B1618^2+C1618^2)</f>
        <v>21.6539741728849</v>
      </c>
      <c r="E1618" s="125" t="n">
        <f aca="false">20*LOG10(MAX(D1618,0.000000000001)/$K$3)</f>
        <v>26.7107522890401</v>
      </c>
    </row>
    <row r="1619" customFormat="false" ht="15" hidden="false" customHeight="false" outlineLevel="0" collapsed="false">
      <c r="A1619" s="126" t="n">
        <f aca="false">A1618+$F$3</f>
        <v>16130</v>
      </c>
      <c r="B1619" s="127" t="n">
        <f aca="false">SUMPRODUCT(固有振動数!$Q$6:$Q$22*(1-($A1619/固有振動数!$O$6:$O$22)^2)/((1-($A1619/固有振動数!$O$6:$O$22)^2)^2+固有振動数!$P$6:$P$22^2))</f>
        <v>21.531637408871</v>
      </c>
      <c r="C1619" s="127" t="n">
        <f aca="false">-SUMPRODUCT(固有振動数!$Q$6:$Q$22*固有振動数!$P$6:$P$22/((1-($A1619/固有振動数!$O$6:$O$22)^2)^2+固有振動数!$P$6:$P$22^2))</f>
        <v>-3.52578452361043</v>
      </c>
      <c r="D1619" s="128" t="n">
        <f aca="false">SQRT(B1619^2+C1619^2)</f>
        <v>21.8183997124909</v>
      </c>
      <c r="E1619" s="129" t="n">
        <f aca="false">20*LOG10(MAX(D1619,0.000000000001)/$K$3)</f>
        <v>26.7764578750725</v>
      </c>
    </row>
    <row r="1620" customFormat="false" ht="15" hidden="false" customHeight="false" outlineLevel="0" collapsed="false">
      <c r="A1620" s="122" t="n">
        <f aca="false">A1619+$F$3</f>
        <v>16140</v>
      </c>
      <c r="B1620" s="123" t="n">
        <f aca="false">SUMPRODUCT(固有振動数!$Q$6:$Q$22*(1-($A1620/固有振動数!$O$6:$O$22)^2)/((1-($A1620/固有振動数!$O$6:$O$22)^2)^2+固有振動数!$P$6:$P$22^2))</f>
        <v>21.6925507982016</v>
      </c>
      <c r="C1620" s="123" t="n">
        <f aca="false">-SUMPRODUCT(固有振動数!$Q$6:$Q$22*固有振動数!$P$6:$P$22/((1-($A1620/固有振動数!$O$6:$O$22)^2)^2+固有振動数!$P$6:$P$22^2))</f>
        <v>-3.57444369356879</v>
      </c>
      <c r="D1620" s="124" t="n">
        <f aca="false">SQRT(B1620^2+C1620^2)</f>
        <v>21.9850723867594</v>
      </c>
      <c r="E1620" s="125" t="n">
        <f aca="false">20*LOG10(MAX(D1620,0.000000000001)/$K$3)</f>
        <v>26.8425579978122</v>
      </c>
    </row>
    <row r="1621" customFormat="false" ht="15" hidden="false" customHeight="false" outlineLevel="0" collapsed="false">
      <c r="A1621" s="126" t="n">
        <f aca="false">A1620+$F$3</f>
        <v>16150</v>
      </c>
      <c r="B1621" s="127" t="n">
        <f aca="false">SUMPRODUCT(固有振動数!$Q$6:$Q$22*(1-($A1621/固有振動数!$O$6:$O$22)^2)/((1-($A1621/固有振動数!$O$6:$O$22)^2)^2+固有振動数!$P$6:$P$22^2))</f>
        <v>21.8555652715517</v>
      </c>
      <c r="C1621" s="127" t="n">
        <f aca="false">-SUMPRODUCT(固有振動数!$Q$6:$Q$22*固有振動数!$P$6:$P$22/((1-($A1621/固有振動数!$O$6:$O$22)^2)^2+固有振動数!$P$6:$P$22^2))</f>
        <v>-3.62439819084704</v>
      </c>
      <c r="D1621" s="128" t="n">
        <f aca="false">SQRT(B1621^2+C1621^2)</f>
        <v>22.1540514485471</v>
      </c>
      <c r="E1621" s="129" t="n">
        <f aca="false">20*LOG10(MAX(D1621,0.000000000001)/$K$3)</f>
        <v>26.9090631988573</v>
      </c>
    </row>
    <row r="1622" customFormat="false" ht="15" hidden="false" customHeight="false" outlineLevel="0" collapsed="false">
      <c r="A1622" s="122" t="n">
        <f aca="false">A1621+$F$3</f>
        <v>16160</v>
      </c>
      <c r="B1622" s="123" t="n">
        <f aca="false">SUMPRODUCT(固有振動数!$Q$6:$Q$22*(1-($A1622/固有振動数!$O$6:$O$22)^2)/((1-($A1622/固有振動数!$O$6:$O$22)^2)^2+固有振動数!$P$6:$P$22^2))</f>
        <v>22.0207328043681</v>
      </c>
      <c r="C1622" s="123" t="n">
        <f aca="false">-SUMPRODUCT(固有振動数!$Q$6:$Q$22*固有振動数!$P$6:$P$22/((1-($A1622/固有振動数!$O$6:$O$22)^2)^2+固有振動数!$P$6:$P$22^2))</f>
        <v>-3.67569425097078</v>
      </c>
      <c r="D1622" s="124" t="n">
        <f aca="false">SQRT(B1622^2+C1622^2)</f>
        <v>22.3253981256324</v>
      </c>
      <c r="E1622" s="125" t="n">
        <f aca="false">20*LOG10(MAX(D1622,0.000000000001)/$K$3)</f>
        <v>26.9759842468207</v>
      </c>
    </row>
    <row r="1623" customFormat="false" ht="15" hidden="false" customHeight="false" outlineLevel="0" collapsed="false">
      <c r="A1623" s="126" t="n">
        <f aca="false">A1622+$F$3</f>
        <v>16170</v>
      </c>
      <c r="B1623" s="127" t="n">
        <f aca="false">SUMPRODUCT(固有振動数!$Q$6:$Q$22*(1-($A1623/固有振動数!$O$6:$O$22)^2)/((1-($A1623/固有振動数!$O$6:$O$22)^2)^2+固有振動数!$P$6:$P$22^2))</f>
        <v>22.1881069043168</v>
      </c>
      <c r="C1623" s="127" t="n">
        <f aca="false">-SUMPRODUCT(固有振動数!$Q$6:$Q$22*固有振動数!$P$6:$P$22/((1-($A1623/固有振動数!$O$6:$O$22)^2)^2+固有振動数!$P$6:$P$22^2))</f>
        <v>-3.72838026459948</v>
      </c>
      <c r="D1623" s="128" t="n">
        <f aca="false">SQRT(B1623^2+C1623^2)</f>
        <v>22.4991757047863</v>
      </c>
      <c r="E1623" s="129" t="n">
        <f aca="false">20*LOG10(MAX(D1623,0.000000000001)/$K$3)</f>
        <v>27.0433321458536</v>
      </c>
    </row>
    <row r="1624" customFormat="false" ht="15" hidden="false" customHeight="false" outlineLevel="0" collapsed="false">
      <c r="A1624" s="122" t="n">
        <f aca="false">A1623+$F$3</f>
        <v>16180</v>
      </c>
      <c r="B1624" s="123" t="n">
        <f aca="false">SUMPRODUCT(固有振動数!$Q$6:$Q$22*(1-($A1624/固有振動数!$O$6:$O$22)^2)/((1-($A1624/固有振動数!$O$6:$O$22)^2)^2+固有振動数!$P$6:$P$22^2))</f>
        <v>22.3577426639551</v>
      </c>
      <c r="C1624" s="123" t="n">
        <f aca="false">-SUMPRODUCT(固有振動数!$Q$6:$Q$22*固有振動数!$P$6:$P$22/((1-($A1624/固有振動数!$O$6:$O$22)^2)^2+固有振動数!$P$6:$P$22^2))</f>
        <v>-3.7825068989052</v>
      </c>
      <c r="D1624" s="124" t="n">
        <f aca="false">SQRT(B1624^2+C1624^2)</f>
        <v>22.6754496199723</v>
      </c>
      <c r="E1624" s="125" t="n">
        <f aca="false">20*LOG10(MAX(D1624,0.000000000001)/$K$3)</f>
        <v>27.1111181444438</v>
      </c>
    </row>
    <row r="1625" customFormat="false" ht="15" hidden="false" customHeight="false" outlineLevel="0" collapsed="false">
      <c r="A1625" s="126" t="n">
        <f aca="false">A1624+$F$3</f>
        <v>16190</v>
      </c>
      <c r="B1625" s="127" t="n">
        <f aca="false">SUMPRODUCT(固有振動数!$Q$6:$Q$22*(1-($A1625/固有振動数!$O$6:$O$22)^2)/((1-($A1625/固有振動数!$O$6:$O$22)^2)^2+固有振動数!$P$6:$P$22^2))</f>
        <v>22.5296968149687</v>
      </c>
      <c r="C1625" s="127" t="n">
        <f aca="false">-SUMPRODUCT(固有振動数!$Q$6:$Q$22*固有振動数!$P$6:$P$22/((1-($A1625/固有振動数!$O$6:$O$22)^2)^2+固有振動数!$P$6:$P$22^2))</f>
        <v>-3.83812722697336</v>
      </c>
      <c r="D1625" s="128" t="n">
        <f aca="false">SQRT(B1625^2+C1625^2)</f>
        <v>22.8542875448973</v>
      </c>
      <c r="E1625" s="129" t="n">
        <f aca="false">20*LOG10(MAX(D1625,0.000000000001)/$K$3)</f>
        <v>27.1793537444978</v>
      </c>
    </row>
    <row r="1626" customFormat="false" ht="15" hidden="false" customHeight="false" outlineLevel="0" collapsed="false">
      <c r="A1626" s="122" t="n">
        <f aca="false">A1625+$F$3</f>
        <v>16200</v>
      </c>
      <c r="B1626" s="123" t="n">
        <f aca="false">SUMPRODUCT(固有振動数!$Q$6:$Q$22*(1-($A1626/固有振動数!$O$6:$O$22)^2)/((1-($A1626/固有振動数!$O$6:$O$22)^2)^2+固有振動数!$P$6:$P$22^2))</f>
        <v>22.7040277839627</v>
      </c>
      <c r="C1626" s="123" t="n">
        <f aca="false">-SUMPRODUCT(固有振動数!$Q$6:$Q$22*固有振動数!$P$6:$P$22/((1-($A1626/固有振動数!$O$6:$O$22)^2)^2+固有振動数!$P$6:$P$22^2))</f>
        <v>-3.89529686582843</v>
      </c>
      <c r="D1626" s="124" t="n">
        <f aca="false">SQRT(B1626^2+C1626^2)</f>
        <v>23.0357594901467</v>
      </c>
      <c r="E1626" s="125" t="n">
        <f aca="false">20*LOG10(MAX(D1626,0.000000000001)/$K$3)</f>
        <v>27.2480507107123</v>
      </c>
    </row>
    <row r="1627" customFormat="false" ht="15" hidden="false" customHeight="false" outlineLevel="0" collapsed="false">
      <c r="A1627" s="126" t="n">
        <f aca="false">A1626+$F$3</f>
        <v>16210</v>
      </c>
      <c r="B1627" s="127" t="n">
        <f aca="false">SUMPRODUCT(固有振動数!$Q$6:$Q$22*(1-($A1627/固有振動数!$O$6:$O$22)^2)/((1-($A1627/固有振動数!$O$6:$O$22)^2)^2+固有振動数!$P$6:$P$22^2))</f>
        <v>22.8807957497798</v>
      </c>
      <c r="C1627" s="127" t="n">
        <f aca="false">-SUMPRODUCT(固有振動数!$Q$6:$Q$22*固有振動数!$P$6:$P$22/((1-($A1627/固有振動数!$O$6:$O$22)^2)^2+固有振動数!$P$6:$P$22^2))</f>
        <v>-3.95407412373763</v>
      </c>
      <c r="D1627" s="128" t="n">
        <f aca="false">SQRT(B1627^2+C1627^2)</f>
        <v>23.2199379051529</v>
      </c>
      <c r="E1627" s="129" t="n">
        <f aca="false">20*LOG10(MAX(D1627,0.000000000001)/$K$3)</f>
        <v>27.3172210802427</v>
      </c>
    </row>
    <row r="1628" customFormat="false" ht="15" hidden="false" customHeight="false" outlineLevel="0" collapsed="false">
      <c r="A1628" s="122" t="n">
        <f aca="false">A1627+$F$3</f>
        <v>16220</v>
      </c>
      <c r="B1628" s="123" t="n">
        <f aca="false">SUMPRODUCT(固有振動数!$Q$6:$Q$22*(1-($A1628/固有振動数!$O$6:$O$22)^2)/((1-($A1628/固有振動数!$O$6:$O$22)^2)^2+固有振動数!$P$6:$P$22^2))</f>
        <v>23.0600627023075</v>
      </c>
      <c r="C1628" s="123" t="n">
        <f aca="false">-SUMPRODUCT(固有振動数!$Q$6:$Q$22*固有振動数!$P$6:$P$22/((1-($A1628/固有振動数!$O$6:$O$22)^2)^2+固有振動数!$P$6:$P$22^2))</f>
        <v>-4.01452015750046</v>
      </c>
      <c r="D1628" s="124" t="n">
        <f aca="false">SQRT(B1628^2+C1628^2)</f>
        <v>23.4068977852541</v>
      </c>
      <c r="E1628" s="125" t="n">
        <f aca="false">20*LOG10(MAX(D1628,0.000000000001)/$K$3)</f>
        <v>27.386877172675</v>
      </c>
    </row>
    <row r="1629" customFormat="false" ht="15" hidden="false" customHeight="false" outlineLevel="0" collapsed="false">
      <c r="A1629" s="126" t="n">
        <f aca="false">A1628+$F$3</f>
        <v>16230</v>
      </c>
      <c r="B1629" s="127" t="n">
        <f aca="false">SUMPRODUCT(固有振動数!$Q$6:$Q$22*(1-($A1629/固有振動数!$O$6:$O$22)^2)/((1-($A1629/固有振動数!$O$6:$O$22)^2)^2+固有振動数!$P$6:$P$22^2))</f>
        <v>23.2418925027162</v>
      </c>
      <c r="C1629" s="127" t="n">
        <f aca="false">-SUMPRODUCT(固有振動数!$Q$6:$Q$22*固有振動数!$P$6:$P$22/((1-($A1629/固有振動数!$O$6:$O$22)^2)^2+固有振動数!$P$6:$P$22^2))</f>
        <v>-4.07669914049205</v>
      </c>
      <c r="D1629" s="128" t="n">
        <f aca="false">SQRT(B1629^2+C1629^2)</f>
        <v>23.5967167841186</v>
      </c>
      <c r="E1629" s="129" t="n">
        <f aca="false">20*LOG10(MAX(D1629,0.000000000001)/$K$3)</f>
        <v>27.4570316003061</v>
      </c>
    </row>
    <row r="1630" customFormat="false" ht="15" hidden="false" customHeight="false" outlineLevel="0" collapsed="false">
      <c r="A1630" s="122" t="n">
        <f aca="false">A1629+$F$3</f>
        <v>16240</v>
      </c>
      <c r="B1630" s="123" t="n">
        <f aca="false">SUMPRODUCT(固有振動数!$Q$6:$Q$22*(1-($A1630/固有振動数!$O$6:$O$22)^2)/((1-($A1630/固有振動数!$O$6:$O$22)^2)^2+固有振動数!$P$6:$P$22^2))</f>
        <v>23.426350945053</v>
      </c>
      <c r="C1630" s="123" t="n">
        <f aca="false">-SUMPRODUCT(固有振動数!$Q$6:$Q$22*固有振動数!$P$6:$P$22/((1-($A1630/固有振動数!$O$6:$O$22)^2)^2+固有振動数!$P$6:$P$22^2))</f>
        <v>-4.14067844229358</v>
      </c>
      <c r="D1630" s="124" t="n">
        <f aca="false">SQRT(B1630^2+C1630^2)</f>
        <v>23.7894753318197</v>
      </c>
      <c r="E1630" s="125" t="n">
        <f aca="false">20*LOG10(MAX(D1630,0.000000000001)/$K$3)</f>
        <v>27.5276972787376</v>
      </c>
    </row>
    <row r="1631" customFormat="false" ht="15" hidden="false" customHeight="false" outlineLevel="0" collapsed="false">
      <c r="A1631" s="126" t="n">
        <f aca="false">A1630+$F$3</f>
        <v>16250</v>
      </c>
      <c r="B1631" s="127" t="n">
        <f aca="false">SUMPRODUCT(固有振動数!$Q$6:$Q$22*(1-($A1631/固有振動数!$O$6:$O$22)^2)/((1-($A1631/固有振動数!$O$6:$O$22)^2)^2+固有振動数!$P$6:$P$22^2))</f>
        <v>23.6135058190902</v>
      </c>
      <c r="C1631" s="127" t="n">
        <f aca="false">-SUMPRODUCT(固有振動数!$Q$6:$Q$22*固有振動数!$P$6:$P$22/((1-($A1631/固有振動数!$O$6:$O$22)^2)^2+固有振動数!$P$6:$P$22^2))</f>
        <v>-4.20652882081446</v>
      </c>
      <c r="D1631" s="128" t="n">
        <f aca="false">SQRT(B1631^2+C1631^2)</f>
        <v>23.9852567588623</v>
      </c>
      <c r="E1631" s="129" t="n">
        <f aca="false">20*LOG10(MAX(D1631,0.000000000001)/$K$3)</f>
        <v>27.5988874377854</v>
      </c>
    </row>
    <row r="1632" customFormat="false" ht="15" hidden="false" customHeight="false" outlineLevel="0" collapsed="false">
      <c r="A1632" s="122" t="n">
        <f aca="false">A1631+$F$3</f>
        <v>16260</v>
      </c>
      <c r="B1632" s="123" t="n">
        <f aca="false">SUMPRODUCT(固有振動数!$Q$6:$Q$22*(1-($A1632/固有振動数!$O$6:$O$22)^2)/((1-($A1632/固有振動数!$O$6:$O$22)^2)^2+固有振動数!$P$6:$P$22^2))</f>
        <v>23.8034269743018</v>
      </c>
      <c r="C1632" s="123" t="n">
        <f aca="false">-SUMPRODUCT(固有振動数!$Q$6:$Q$22*固有振動数!$P$6:$P$22/((1-($A1632/固有振動数!$O$6:$O$22)^2)^2+固有振動数!$P$6:$P$22^2))</f>
        <v>-4.27432462788895</v>
      </c>
      <c r="D1632" s="124" t="n">
        <f aca="false">SQRT(B1632^2+C1632^2)</f>
        <v>24.1841474264754</v>
      </c>
      <c r="E1632" s="125" t="n">
        <f aca="false">20*LOG10(MAX(D1632,0.000000000001)/$K$3)</f>
        <v>27.6706156327085</v>
      </c>
    </row>
    <row r="1633" customFormat="false" ht="15" hidden="false" customHeight="false" outlineLevel="0" collapsed="false">
      <c r="A1633" s="126" t="n">
        <f aca="false">A1632+$F$3</f>
        <v>16270</v>
      </c>
      <c r="B1633" s="127" t="n">
        <f aca="false">SUMPRODUCT(固有振動数!$Q$6:$Q$22*(1-($A1633/固有振動数!$O$6:$O$22)^2)/((1-($A1633/固有振動数!$O$6:$O$22)^2)^2+固有振動数!$P$6:$P$22^2))</f>
        <v>23.9961863848087</v>
      </c>
      <c r="C1633" s="127" t="n">
        <f aca="false">-SUMPRODUCT(固有振動数!$Q$6:$Q$22*固有振動数!$P$6:$P$22/((1-($A1633/固有振動数!$O$6:$O$22)^2)^2+固有振動数!$P$6:$P$22^2))</f>
        <v>-4.34414402941549</v>
      </c>
      <c r="D1633" s="128" t="n">
        <f aca="false">SQRT(B1633^2+C1633^2)</f>
        <v>24.3862368635012</v>
      </c>
      <c r="E1633" s="129" t="n">
        <f aca="false">20*LOG10(MAX(D1633,0.000000000001)/$K$3)</f>
        <v>27.7428957557556</v>
      </c>
    </row>
    <row r="1634" customFormat="false" ht="15" hidden="false" customHeight="false" outlineLevel="0" collapsed="false">
      <c r="A1634" s="122" t="n">
        <f aca="false">A1633+$F$3</f>
        <v>16280</v>
      </c>
      <c r="B1634" s="123" t="n">
        <f aca="false">SUMPRODUCT(固有振動数!$Q$6:$Q$22*(1-($A1634/固有振動数!$O$6:$O$22)^2)/((1-($A1634/固有振動数!$O$6:$O$22)^2)^2+固有振動数!$P$6:$P$22^2))</f>
        <v>24.1918582150947</v>
      </c>
      <c r="C1634" s="123" t="n">
        <f aca="false">-SUMPRODUCT(固有振動数!$Q$6:$Q$22*固有振動数!$P$6:$P$22/((1-($A1634/固有振動数!$O$6:$O$22)^2)^2+固有振動数!$P$6:$P$22^2))</f>
        <v>-4.41606924119966</v>
      </c>
      <c r="D1634" s="124" t="n">
        <f aca="false">SQRT(B1634^2+C1634^2)</f>
        <v>24.5916179102213</v>
      </c>
      <c r="E1634" s="125" t="n">
        <f aca="false">20*LOG10(MAX(D1634,0.000000000001)/$K$3)</f>
        <v>27.8157420480291</v>
      </c>
    </row>
    <row r="1635" customFormat="false" ht="15" hidden="false" customHeight="false" outlineLevel="0" collapsed="false">
      <c r="A1635" s="126" t="n">
        <f aca="false">A1634+$F$3</f>
        <v>16290</v>
      </c>
      <c r="B1635" s="127" t="n">
        <f aca="false">SUMPRODUCT(固有振動数!$Q$6:$Q$22*(1-($A1635/固有振動数!$O$6:$O$22)^2)/((1-($A1635/固有振動数!$O$6:$O$22)^2)^2+固有振動数!$P$6:$P$22^2))</f>
        <v>24.3905188862555</v>
      </c>
      <c r="C1635" s="127" t="n">
        <f aca="false">-SUMPRODUCT(固有振動数!$Q$6:$Q$22*固有振動数!$P$6:$P$22/((1-($A1635/固有振動数!$O$6:$O$22)^2)^2+固有振動数!$P$6:$P$22^2))</f>
        <v>-4.49018678176439</v>
      </c>
      <c r="D1635" s="128" t="n">
        <f aca="false">SQRT(B1635^2+C1635^2)</f>
        <v>24.8003868694809</v>
      </c>
      <c r="E1635" s="129" t="n">
        <f aca="false">20*LOG10(MAX(D1635,0.000000000001)/$K$3)</f>
        <v>27.8891691116617</v>
      </c>
    </row>
    <row r="1636" customFormat="false" ht="15" hidden="false" customHeight="false" outlineLevel="0" collapsed="false">
      <c r="A1636" s="122" t="n">
        <f aca="false">A1635+$F$3</f>
        <v>16300</v>
      </c>
      <c r="B1636" s="123" t="n">
        <f aca="false">SUMPRODUCT(固有振動数!$Q$6:$Q$22*(1-($A1636/固有振動数!$O$6:$O$22)^2)/((1-($A1636/固有振動数!$O$6:$O$22)^2)^2+固有振動数!$P$6:$P$22^2))</f>
        <v>24.5922471424875</v>
      </c>
      <c r="C1636" s="123" t="n">
        <f aca="false">-SUMPRODUCT(固有振動数!$Q$6:$Q$22*固有振動数!$P$6:$P$22/((1-($A1636/固有振動数!$O$6:$O$22)^2)^2+固有振動数!$P$6:$P$22^2))</f>
        <v>-4.56658774350186</v>
      </c>
      <c r="D1636" s="124" t="n">
        <f aca="false">SQRT(B1636^2+C1636^2)</f>
        <v>25.0126436654802</v>
      </c>
      <c r="E1636" s="125" t="n">
        <f aca="false">20*LOG10(MAX(D1636,0.000000000001)/$K$3)</f>
        <v>27.9631919222975</v>
      </c>
    </row>
    <row r="1637" customFormat="false" ht="15" hidden="false" customHeight="false" outlineLevel="0" collapsed="false">
      <c r="A1637" s="126" t="n">
        <f aca="false">A1636+$F$3</f>
        <v>16310</v>
      </c>
      <c r="B1637" s="127" t="n">
        <f aca="false">SUMPRODUCT(固有振動数!$Q$6:$Q$22*(1-($A1637/固有振動数!$O$6:$O$22)^2)/((1-($A1637/固有振動数!$O$6:$O$22)^2)^2+固有振動数!$P$6:$P$22^2))</f>
        <v>24.7971241174683</v>
      </c>
      <c r="C1637" s="127" t="n">
        <f aca="false">-SUMPRODUCT(固有振動数!$Q$6:$Q$22*固有振動数!$P$6:$P$22/((1-($A1637/固有振動数!$O$6:$O$22)^2)^2+固有振動数!$P$6:$P$22^2))</f>
        <v>-4.64536808366411</v>
      </c>
      <c r="D1637" s="128" t="n">
        <f aca="false">SQRT(B1637^2+C1637^2)</f>
        <v>25.2284920106187</v>
      </c>
      <c r="E1637" s="129" t="n">
        <f aca="false">20*LOG10(MAX(D1637,0.000000000001)/$K$3)</f>
        <v>28.0378258418697</v>
      </c>
    </row>
    <row r="1638" customFormat="false" ht="15" hidden="false" customHeight="false" outlineLevel="0" collapsed="false">
      <c r="A1638" s="122" t="n">
        <f aca="false">A1637+$F$3</f>
        <v>16320</v>
      </c>
      <c r="B1638" s="123" t="n">
        <f aca="false">SUMPRODUCT(固有振動数!$Q$6:$Q$22*(1-($A1638/固有振動数!$O$6:$O$22)^2)/((1-($A1638/固有振動数!$O$6:$O$22)^2)^2+固有振動数!$P$6:$P$22^2))</f>
        <v>25.005233400211</v>
      </c>
      <c r="C1638" s="123" t="n">
        <f aca="false">-SUMPRODUCT(固有振動数!$Q$6:$Q$22*固有振動数!$P$6:$P$22/((1-($A1638/固有振動数!$O$6:$O$22)^2)^2+固有振動数!$P$6:$P$22^2))</f>
        <v>-4.72662893682277</v>
      </c>
      <c r="D1638" s="124" t="n">
        <f aca="false">SQRT(B1638^2+C1638^2)</f>
        <v>25.4480395807897</v>
      </c>
      <c r="E1638" s="125" t="n">
        <f aca="false">20*LOG10(MAX(D1638,0.000000000001)/$K$3)</f>
        <v>28.113086631657</v>
      </c>
    </row>
    <row r="1639" customFormat="false" ht="15" hidden="false" customHeight="false" outlineLevel="0" collapsed="false">
      <c r="A1639" s="126" t="n">
        <f aca="false">A1638+$F$3</f>
        <v>16330</v>
      </c>
      <c r="B1639" s="127" t="n">
        <f aca="false">SUMPRODUCT(固有振動数!$Q$6:$Q$22*(1-($A1639/固有振動数!$O$6:$O$22)^2)/((1-($A1639/固有振動数!$O$6:$O$22)^2)^2+固有振動数!$P$6:$P$22^2))</f>
        <v>25.216661099895</v>
      </c>
      <c r="C1639" s="127" t="n">
        <f aca="false">-SUMPRODUCT(固有振動数!$Q$6:$Q$22*固有振動数!$P$6:$P$22/((1-($A1639/固有振動数!$O$6:$O$22)^2)^2+固有振動数!$P$6:$P$22^2))</f>
        <v>-4.81047695057408</v>
      </c>
      <c r="D1639" s="128" t="n">
        <f aca="false">SQRT(B1639^2+C1639^2)</f>
        <v>25.6713981995325</v>
      </c>
      <c r="E1639" s="129" t="n">
        <f aca="false">20*LOG10(MAX(D1639,0.000000000001)/$K$3)</f>
        <v>28.1889904656025</v>
      </c>
    </row>
    <row r="1640" customFormat="false" ht="15" hidden="false" customHeight="false" outlineLevel="0" collapsed="false">
      <c r="A1640" s="122" t="n">
        <f aca="false">A1639+$F$3</f>
        <v>16340</v>
      </c>
      <c r="B1640" s="123" t="n">
        <f aca="false">SUMPRODUCT(固有振動数!$Q$6:$Q$22*(1-($A1640/固有振動数!$O$6:$O$22)^2)/((1-($A1640/固有振動数!$O$6:$O$22)^2)^2+固有振動数!$P$6:$P$22^2))</f>
        <v>25.4314959090829</v>
      </c>
      <c r="C1640" s="123" t="n">
        <f aca="false">-SUMPRODUCT(固有振動数!$Q$6:$Q$22*固有振動数!$P$6:$P$22/((1-($A1640/固有振動数!$O$6:$O$22)^2)^2+固有振動数!$P$6:$P$22^2))</f>
        <v>-4.89702464642599</v>
      </c>
      <c r="D1640" s="124" t="n">
        <f aca="false">SQRT(B1640^2+C1640^2)</f>
        <v>25.8986840314601</v>
      </c>
      <c r="E1640" s="125" t="n">
        <f aca="false">20*LOG10(MAX(D1640,0.000000000001)/$K$3)</f>
        <v>28.2655539438683</v>
      </c>
    </row>
    <row r="1641" customFormat="false" ht="15" hidden="false" customHeight="false" outlineLevel="0" collapsed="false">
      <c r="A1641" s="126" t="n">
        <f aca="false">A1640+$F$3</f>
        <v>16350</v>
      </c>
      <c r="B1641" s="127" t="n">
        <f aca="false">SUMPRODUCT(固有振動数!$Q$6:$Q$22*(1-($A1641/固有振動数!$O$6:$O$22)^2)/((1-($A1641/固有振動数!$O$6:$O$22)^2)^2+固有振動数!$P$6:$P$22^2))</f>
        <v>25.6498291646298</v>
      </c>
      <c r="C1641" s="127" t="n">
        <f aca="false">-SUMPRODUCT(固有振動数!$Q$6:$Q$22*固有振動数!$P$6:$P$22/((1-($A1641/固有振動数!$O$6:$O$22)^2)^2+固有振動数!$P$6:$P$22^2))</f>
        <v>-4.9863908079785</v>
      </c>
      <c r="D1641" s="128" t="n">
        <f aca="false">SQRT(B1641^2+C1641^2)</f>
        <v>26.1300177853859</v>
      </c>
      <c r="E1641" s="129" t="n">
        <f aca="false">20*LOG10(MAX(D1641,0.000000000001)/$K$3)</f>
        <v>28.3427941065958</v>
      </c>
    </row>
    <row r="1642" customFormat="false" ht="15" hidden="false" customHeight="false" outlineLevel="0" collapsed="false">
      <c r="A1642" s="122" t="n">
        <f aca="false">A1641+$F$3</f>
        <v>16360</v>
      </c>
      <c r="B1642" s="123" t="n">
        <f aca="false">SUMPRODUCT(固有振動数!$Q$6:$Q$22*(1-($A1642/固有振動数!$O$6:$O$22)^2)/((1-($A1642/固有振動数!$O$6:$O$22)^2)^2+固有振動数!$P$6:$P$22^2))</f>
        <v>25.8717549054626</v>
      </c>
      <c r="C1642" s="123" t="n">
        <f aca="false">-SUMPRODUCT(固有振動数!$Q$6:$Q$22*固有振動数!$P$6:$P$22/((1-($A1642/固有振動数!$O$6:$O$22)^2)^2+固有振動数!$P$6:$P$22^2))</f>
        <v>-5.07870089870066</v>
      </c>
      <c r="D1642" s="124" t="n">
        <f aca="false">SQRT(B1642^2+C1642^2)</f>
        <v>26.3655249275791</v>
      </c>
      <c r="E1642" s="125" t="n">
        <f aca="false">20*LOG10(MAX(D1642,0.000000000001)/$K$3)</f>
        <v>28.4207284478321</v>
      </c>
    </row>
    <row r="1643" customFormat="false" ht="15" hidden="false" customHeight="false" outlineLevel="0" collapsed="false">
      <c r="A1643" s="126" t="n">
        <f aca="false">A1642+$F$3</f>
        <v>16370</v>
      </c>
      <c r="B1643" s="127" t="n">
        <f aca="false">SUMPRODUCT(固有振動数!$Q$6:$Q$22*(1-($A1643/固有振動数!$O$6:$O$22)^2)/((1-($A1643/固有振動数!$O$6:$O$22)^2)^2+固有振動数!$P$6:$P$22^2))</f>
        <v>26.0973699262681</v>
      </c>
      <c r="C1643" s="127" t="n">
        <f aca="false">-SUMPRODUCT(固有振動数!$Q$6:$Q$22*固有振動数!$P$6:$P$22/((1-($A1643/固有振動数!$O$6:$O$22)^2)^2+固有振動数!$P$6:$P$22^2))</f>
        <v>-5.1740875118166</v>
      </c>
      <c r="D1643" s="128" t="n">
        <f aca="false">SQRT(B1643^2+C1643^2)</f>
        <v>26.6053359055739</v>
      </c>
      <c r="E1643" s="129" t="n">
        <f aca="false">20*LOG10(MAX(D1643,0.000000000001)/$K$3)</f>
        <v>28.4993749295759</v>
      </c>
    </row>
    <row r="1644" customFormat="false" ht="15" hidden="false" customHeight="false" outlineLevel="0" collapsed="false">
      <c r="A1644" s="122" t="n">
        <f aca="false">A1643+$F$3</f>
        <v>16380</v>
      </c>
      <c r="B1644" s="123" t="n">
        <f aca="false">SUMPRODUCT(固有振動数!$Q$6:$Q$22*(1-($A1644/固有振動数!$O$6:$O$22)^2)/((1-($A1644/固有振動数!$O$6:$O$22)^2)^2+固有振動数!$P$6:$P$22^2))</f>
        <v>26.3267738259573</v>
      </c>
      <c r="C1644" s="123" t="n">
        <f aca="false">-SUMPRODUCT(固有振動数!$Q$6:$Q$22*固有振動数!$P$6:$P$22/((1-($A1644/固有振動数!$O$6:$O$22)^2)^2+固有振動数!$P$6:$P$22^2))</f>
        <v>-5.2726908550426</v>
      </c>
      <c r="D1644" s="124" t="n">
        <f aca="false">SQRT(B1644^2+C1644^2)</f>
        <v>26.8495863829586</v>
      </c>
      <c r="E1644" s="125" t="n">
        <f aca="false">20*LOG10(MAX(D1644,0.000000000001)/$K$3)</f>
        <v>28.578751995883</v>
      </c>
    </row>
    <row r="1645" customFormat="false" ht="15" hidden="false" customHeight="false" outlineLevel="0" collapsed="false">
      <c r="A1645" s="126" t="n">
        <f aca="false">A1644+$F$3</f>
        <v>16390</v>
      </c>
      <c r="B1645" s="127" t="n">
        <f aca="false">SUMPRODUCT(固有振動数!$Q$6:$Q$22*(1-($A1645/固有振動数!$O$6:$O$22)^2)/((1-($A1645/固有振動数!$O$6:$O$22)^2)^2+固有振動数!$P$6:$P$22^2))</f>
        <v>26.5600690495848</v>
      </c>
      <c r="C1645" s="127" t="n">
        <f aca="false">-SUMPRODUCT(固有振動数!$Q$6:$Q$22*固有振動数!$P$6:$P$22/((1-($A1645/固有振動数!$O$6:$O$22)^2)^2+固有振動数!$P$6:$P$22^2))</f>
        <v>-5.37465927316819</v>
      </c>
      <c r="D1645" s="128" t="n">
        <f aca="false">SQRT(B1645^2+C1645^2)</f>
        <v>27.0984174855538</v>
      </c>
      <c r="E1645" s="129" t="n">
        <f aca="false">20*LOG10(MAX(D1645,0.000000000001)/$K$3)</f>
        <v>28.6588785869647</v>
      </c>
    </row>
    <row r="1646" customFormat="false" ht="15" hidden="false" customHeight="false" outlineLevel="0" collapsed="false">
      <c r="A1646" s="122" t="n">
        <f aca="false">A1645+$F$3</f>
        <v>16400</v>
      </c>
      <c r="B1646" s="123" t="n">
        <f aca="false">SUMPRODUCT(固有振動数!$Q$6:$Q$22*(1-($A1646/固有振動数!$O$6:$O$22)^2)/((1-($A1646/固有振動数!$O$6:$O$22)^2)^2+固有振動数!$P$6:$P$22^2))</f>
        <v>26.7973609221756</v>
      </c>
      <c r="C1646" s="123" t="n">
        <f aca="false">-SUMPRODUCT(固有振動数!$Q$6:$Q$22*固有振動数!$P$6:$P$22/((1-($A1646/固有振動数!$O$6:$O$22)^2)^2+固有振動数!$P$6:$P$22^2))</f>
        <v>-5.48014981174756</v>
      </c>
      <c r="D1646" s="124" t="n">
        <f aca="false">SQRT(B1646^2+C1646^2)</f>
        <v>27.3519760593735</v>
      </c>
      <c r="E1646" s="125" t="n">
        <f aca="false">20*LOG10(MAX(D1646,0.000000000001)/$K$3)</f>
        <v>28.7397741531921</v>
      </c>
    </row>
    <row r="1647" customFormat="false" ht="15" hidden="false" customHeight="false" outlineLevel="0" collapsed="false">
      <c r="A1647" s="126" t="n">
        <f aca="false">A1646+$F$3</f>
        <v>16410</v>
      </c>
      <c r="B1647" s="127" t="n">
        <f aca="false">SUMPRODUCT(固有振動数!$Q$6:$Q$22*(1-($A1647/固有振動数!$O$6:$O$22)^2)/((1-($A1647/固有振動数!$O$6:$O$22)^2)^2+固有振動数!$P$6:$P$22^2))</f>
        <v>27.0387576726509</v>
      </c>
      <c r="C1647" s="127" t="n">
        <f aca="false">-SUMPRODUCT(固有振動数!$Q$6:$Q$22*固有振動数!$P$6:$P$22/((1-($A1647/固有振動数!$O$6:$O$22)^2)^2+固有振動数!$P$6:$P$22^2))</f>
        <v>-5.58932882546775</v>
      </c>
      <c r="D1647" s="128" t="n">
        <f aca="false">SQRT(B1647^2+C1647^2)</f>
        <v>27.6104149407346</v>
      </c>
      <c r="E1647" s="129" t="n">
        <f aca="false">20*LOG10(MAX(D1647,0.000000000001)/$K$3)</f>
        <v>28.8214586689079</v>
      </c>
    </row>
    <row r="1648" customFormat="false" ht="15" hidden="false" customHeight="false" outlineLevel="0" collapsed="false">
      <c r="A1648" s="122" t="n">
        <f aca="false">A1647+$F$3</f>
        <v>16420</v>
      </c>
      <c r="B1648" s="123" t="n">
        <f aca="false">SUMPRODUCT(固有振動数!$Q$6:$Q$22*(1-($A1648/固有振動数!$O$6:$O$22)^2)/((1-($A1648/固有振動数!$O$6:$O$22)^2)^2+固有振動数!$P$6:$P$22^2))</f>
        <v>27.2843704457478</v>
      </c>
      <c r="C1648" s="123" t="n">
        <f aca="false">-SUMPRODUCT(固有振動数!$Q$6:$Q$22*固有振動数!$P$6:$P$22/((1-($A1648/固有振動数!$O$6:$O$22)^2)^2+固有振動数!$P$6:$P$22^2))</f>
        <v>-5.70237263508584</v>
      </c>
      <c r="D1648" s="124" t="n">
        <f aca="false">SQRT(B1648^2+C1648^2)</f>
        <v>27.8738932388386</v>
      </c>
      <c r="E1648" s="125" t="n">
        <f aca="false">20*LOG10(MAX(D1648,0.000000000001)/$K$3)</f>
        <v>28.903952645926</v>
      </c>
    </row>
    <row r="1649" customFormat="false" ht="15" hidden="false" customHeight="false" outlineLevel="0" collapsed="false">
      <c r="A1649" s="126" t="n">
        <f aca="false">A1648+$F$3</f>
        <v>16430</v>
      </c>
      <c r="B1649" s="127" t="n">
        <f aca="false">SUMPRODUCT(固有振動数!$Q$6:$Q$22*(1-($A1649/固有振動数!$O$6:$O$22)^2)/((1-($A1649/固有振動数!$O$6:$O$22)^2)^2+固有振動数!$P$6:$P$22^2))</f>
        <v>27.5343132994726</v>
      </c>
      <c r="C1649" s="127" t="n">
        <f aca="false">-SUMPRODUCT(固有振動数!$Q$6:$Q$22*固有振動数!$P$6:$P$22/((1-($A1649/固有振動数!$O$6:$O$22)^2)^2+固有振動数!$P$6:$P$22^2))</f>
        <v>-5.81946823718379</v>
      </c>
      <c r="D1649" s="128" t="n">
        <f aca="false">SQRT(B1649^2+C1649^2)</f>
        <v>28.1425766310959</v>
      </c>
      <c r="E1649" s="129" t="n">
        <f aca="false">20*LOG10(MAX(D1649,0.000000000001)/$K$3)</f>
        <v>28.9872771465792</v>
      </c>
    </row>
    <row r="1650" customFormat="false" ht="15" hidden="false" customHeight="false" outlineLevel="0" collapsed="false">
      <c r="A1650" s="122" t="n">
        <f aca="false">A1649+$F$3</f>
        <v>16440</v>
      </c>
      <c r="B1650" s="123" t="n">
        <f aca="false">SUMPRODUCT(固有振動数!$Q$6:$Q$22*(1-($A1650/固有振動数!$O$6:$O$22)^2)/((1-($A1650/固有振動数!$O$6:$O$22)^2)^2+固有振動数!$P$6:$P$22^2))</f>
        <v>27.7887031852271</v>
      </c>
      <c r="C1650" s="123" t="n">
        <f aca="false">-SUMPRODUCT(固有振動数!$Q$6:$Q$22*固有振動数!$P$6:$P$22/((1-($A1650/固有振動数!$O$6:$O$22)^2)^2+固有振動数!$P$6:$P$22^2))</f>
        <v>-5.94081407137707</v>
      </c>
      <c r="D1650" s="124" t="n">
        <f aca="false">SQRT(B1650^2+C1650^2)</f>
        <v>28.4166376713946</v>
      </c>
      <c r="E1650" s="125" t="n">
        <f aca="false">20*LOG10(MAX(D1650,0.000000000001)/$K$3)</f>
        <v>29.0714537961457</v>
      </c>
    </row>
    <row r="1651" customFormat="false" ht="15" hidden="false" customHeight="false" outlineLevel="0" collapsed="false">
      <c r="A1651" s="126" t="n">
        <f aca="false">A1650+$F$3</f>
        <v>16450</v>
      </c>
      <c r="B1651" s="127" t="n">
        <f aca="false">SUMPRODUCT(固有振動数!$Q$6:$Q$22*(1-($A1651/固有振動数!$O$6:$O$22)^2)/((1-($A1651/固有振動数!$O$6:$O$22)^2)^2+固有振動数!$P$6:$P$22^2))</f>
        <v>28.0476599072727</v>
      </c>
      <c r="C1651" s="127" t="n">
        <f aca="false">-SUMPRODUCT(固有振動数!$Q$6:$Q$22*固有振動数!$P$6:$P$22/((1-($A1651/固有振動数!$O$6:$O$22)^2)^2+固有振動数!$P$6:$P$22^2))</f>
        <v>-6.06662085003435</v>
      </c>
      <c r="D1651" s="128" t="n">
        <f aca="false">SQRT(B1651^2+C1651^2)</f>
        <v>28.6962561114181</v>
      </c>
      <c r="E1651" s="129" t="n">
        <f aca="false">20*LOG10(MAX(D1651,0.000000000001)/$K$3)</f>
        <v>29.1565047944617</v>
      </c>
    </row>
    <row r="1652" customFormat="false" ht="15" hidden="false" customHeight="false" outlineLevel="0" collapsed="false">
      <c r="A1652" s="122" t="n">
        <f aca="false">A1651+$F$3</f>
        <v>16460</v>
      </c>
      <c r="B1652" s="123" t="n">
        <f aca="false">SUMPRODUCT(固有振動数!$Q$6:$Q$22*(1-($A1652/固有振動数!$O$6:$O$22)^2)/((1-($A1652/固有振動数!$O$6:$O$22)^2)^2+固有振動数!$P$6:$P$22^2))</f>
        <v>28.3113060576546</v>
      </c>
      <c r="C1652" s="123" t="n">
        <f aca="false">-SUMPRODUCT(固有振動数!$Q$6:$Q$22*固有振動数!$P$6:$P$22/((1-($A1652/固有振動数!$O$6:$O$22)^2)^2+固有振動数!$P$6:$P$22^2))</f>
        <v>-6.19711245602228</v>
      </c>
      <c r="D1652" s="124" t="n">
        <f aca="false">SQRT(B1652^2+C1652^2)</f>
        <v>28.9816192350044</v>
      </c>
      <c r="E1652" s="125" t="n">
        <f aca="false">20*LOG10(MAX(D1652,0.000000000001)/$K$3)</f>
        <v>29.2424529264864</v>
      </c>
    </row>
    <row r="1653" customFormat="false" ht="15" hidden="false" customHeight="false" outlineLevel="0" collapsed="false">
      <c r="A1653" s="126" t="n">
        <f aca="false">A1652+$F$3</f>
        <v>16470</v>
      </c>
      <c r="B1653" s="127" t="n">
        <f aca="false">SUMPRODUCT(固有振動数!$Q$6:$Q$22*(1-($A1653/固有振動数!$O$6:$O$22)^2)/((1-($A1653/固有振動数!$O$6:$O$22)^2)^2+固有振動数!$P$6:$P$22^2))</f>
        <v>28.57976692207</v>
      </c>
      <c r="C1653" s="127" t="n">
        <f aca="false">-SUMPRODUCT(固有振動数!$Q$6:$Q$22*固有振動数!$P$6:$P$22/((1-($A1653/固有振動数!$O$6:$O$22)^2)^2+固有振動数!$P$6:$P$22^2))</f>
        <v>-6.33252691448388</v>
      </c>
      <c r="D1653" s="128" t="n">
        <f aca="false">SQRT(B1653^2+C1653^2)</f>
        <v>29.2729222053848</v>
      </c>
      <c r="E1653" s="129" t="n">
        <f aca="false">20*LOG10(MAX(D1653,0.000000000001)/$K$3)</f>
        <v>29.3293215715504</v>
      </c>
    </row>
    <row r="1654" customFormat="false" ht="15" hidden="false" customHeight="false" outlineLevel="0" collapsed="false">
      <c r="A1654" s="122" t="n">
        <f aca="false">A1653+$F$3</f>
        <v>16480</v>
      </c>
      <c r="B1654" s="123" t="n">
        <f aca="false">SUMPRODUCT(固有振動数!$Q$6:$Q$22*(1-($A1654/固有振動数!$O$6:$O$22)^2)/((1-($A1654/固有振動数!$O$6:$O$22)^2)^2+固有振動数!$P$6:$P$22^2))</f>
        <v>28.8531703514303</v>
      </c>
      <c r="C1654" s="123" t="n">
        <f aca="false">-SUMPRODUCT(固有振動数!$Q$6:$Q$22*固有振動数!$P$6:$P$22/((1-($A1654/固有振動数!$O$6:$O$22)^2)^2+固有振動数!$P$6:$P$22^2))</f>
        <v>-6.47311744519255</v>
      </c>
      <c r="D1654" s="124" t="n">
        <f aca="false">SQRT(B1654^2+C1654^2)</f>
        <v>29.5703684249607</v>
      </c>
      <c r="E1654" s="125" t="n">
        <f aca="false">20*LOG10(MAX(D1654,0.000000000001)/$K$3)</f>
        <v>29.4171347109692</v>
      </c>
    </row>
    <row r="1655" customFormat="false" ht="15" hidden="false" customHeight="false" outlineLevel="0" collapsed="false">
      <c r="A1655" s="126" t="n">
        <f aca="false">A1654+$F$3</f>
        <v>16490</v>
      </c>
      <c r="B1655" s="127" t="n">
        <f aca="false">SUMPRODUCT(固有振動数!$Q$6:$Q$22*(1-($A1655/固有振動数!$O$6:$O$22)^2)/((1-($A1655/固有振動数!$O$6:$O$22)^2)^2+固有振動数!$P$6:$P$22^2))</f>
        <v>29.1316465930093</v>
      </c>
      <c r="C1655" s="127" t="n">
        <f aca="false">-SUMPRODUCT(固有振動数!$Q$6:$Q$22*固有振動数!$P$6:$P$22/((1-($A1655/固有振動数!$O$6:$O$22)^2)^2+固有振動数!$P$6:$P$22^2))</f>
        <v>-6.61915360259716</v>
      </c>
      <c r="D1655" s="128" t="n">
        <f aca="false">SQRT(B1655^2+C1655^2)</f>
        <v>29.8741699070412</v>
      </c>
      <c r="E1655" s="129" t="n">
        <f aca="false">20*LOG10(MAX(D1655,0.000000000001)/$K$3)</f>
        <v>29.5059169336511</v>
      </c>
    </row>
    <row r="1656" customFormat="false" ht="15" hidden="false" customHeight="false" outlineLevel="0" collapsed="false">
      <c r="A1656" s="122" t="n">
        <f aca="false">A1655+$F$3</f>
        <v>16500</v>
      </c>
      <c r="B1656" s="123" t="n">
        <f aca="false">SUMPRODUCT(固有振動数!$Q$6:$Q$22*(1-($A1656/固有振動数!$O$6:$O$22)^2)/((1-($A1656/固有振動数!$O$6:$O$22)^2)^2+固有振動数!$P$6:$P$22^2))</f>
        <v>29.4153280740732</v>
      </c>
      <c r="C1656" s="123" t="n">
        <f aca="false">-SUMPRODUCT(固有振動数!$Q$6:$Q$22*固有振動数!$P$6:$P$22/((1-($A1656/固有振動数!$O$6:$O$22)^2)^2+固有振動数!$P$6:$P$22^2))</f>
        <v>-6.77092251128765</v>
      </c>
      <c r="D1656" s="124" t="n">
        <f aca="false">SQRT(B1656^2+C1656^2)</f>
        <v>30.1845476586816</v>
      </c>
      <c r="E1656" s="125" t="n">
        <f aca="false">20*LOG10(MAX(D1656,0.000000000001)/$K$3)</f>
        <v>29.5956934392641</v>
      </c>
    </row>
    <row r="1657" customFormat="false" ht="15" hidden="false" customHeight="false" outlineLevel="0" collapsed="false">
      <c r="A1657" s="126" t="n">
        <f aca="false">A1656+$F$3</f>
        <v>16510</v>
      </c>
      <c r="B1657" s="127" t="n">
        <f aca="false">SUMPRODUCT(固有振動数!$Q$6:$Q$22*(1-($A1657/固有振動数!$O$6:$O$22)^2)/((1-($A1657/固有振動数!$O$6:$O$22)^2)^2+固有振動数!$P$6:$P$22^2))</f>
        <v>29.7043491297313</v>
      </c>
      <c r="C1657" s="127" t="n">
        <f aca="false">-SUMPRODUCT(固有振動数!$Q$6:$Q$22*固有振動数!$P$6:$P$22/((1-($A1657/固有振動数!$O$6:$O$22)^2)^2+固有振動数!$P$6:$P$22^2))</f>
        <v>-6.92873020526422</v>
      </c>
      <c r="D1657" s="128" t="n">
        <f aca="false">SQRT(B1657^2+C1657^2)</f>
        <v>30.5017320734136</v>
      </c>
      <c r="E1657" s="129" t="n">
        <f aca="false">20*LOG10(MAX(D1657,0.000000000001)/$K$3)</f>
        <v>29.6864900384553</v>
      </c>
    </row>
    <row r="1658" customFormat="false" ht="15" hidden="false" customHeight="false" outlineLevel="0" collapsed="false">
      <c r="A1658" s="122" t="n">
        <f aca="false">A1657+$F$3</f>
        <v>16520</v>
      </c>
      <c r="B1658" s="123" t="n">
        <f aca="false">SUMPRODUCT(固有振動数!$Q$6:$Q$22*(1-($A1658/固有振動数!$O$6:$O$22)^2)/((1-($A1658/固有振動数!$O$6:$O$22)^2)^2+固有振動数!$P$6:$P$22^2))</f>
        <v>29.9988456653976</v>
      </c>
      <c r="C1658" s="123" t="n">
        <f aca="false">-SUMPRODUCT(固有振動数!$Q$6:$Q$22*固有振動数!$P$6:$P$22/((1-($A1658/固有振動数!$O$6:$O$22)^2)^2+固有振動数!$P$6:$P$22^2))</f>
        <v>-7.09290308008483</v>
      </c>
      <c r="D1658" s="124" t="n">
        <f aca="false">SQRT(B1658^2+C1658^2)</f>
        <v>30.8259633322273</v>
      </c>
      <c r="E1658" s="125" t="n">
        <f aca="false">20*LOG10(MAX(D1658,0.000000000001)/$K$3)</f>
        <v>29.7783331495295</v>
      </c>
    </row>
    <row r="1659" customFormat="false" ht="15" hidden="false" customHeight="false" outlineLevel="0" collapsed="false">
      <c r="A1659" s="126" t="n">
        <f aca="false">A1658+$F$3</f>
        <v>16530</v>
      </c>
      <c r="B1659" s="127" t="n">
        <f aca="false">SUMPRODUCT(固有振動数!$Q$6:$Q$22*(1-($A1659/固有振動数!$O$6:$O$22)^2)/((1-($A1659/固有振動数!$O$6:$O$22)^2)^2+固有振動数!$P$6:$P$22^2))</f>
        <v>30.2989547426869</v>
      </c>
      <c r="C1659" s="127" t="n">
        <f aca="false">-SUMPRODUCT(固有振動数!$Q$6:$Q$22*固有振動数!$P$6:$P$22/((1-($A1659/固有振動数!$O$6:$O$22)^2)^2+固有振動数!$P$6:$P$22^2))</f>
        <v>-7.26378946769099</v>
      </c>
      <c r="D1659" s="128" t="n">
        <f aca="false">SQRT(B1659^2+C1659^2)</f>
        <v>31.1574918106437</v>
      </c>
      <c r="E1659" s="129" t="n">
        <f aca="false">20*LOG10(MAX(D1659,0.000000000001)/$K$3)</f>
        <v>29.8712497908962</v>
      </c>
    </row>
    <row r="1660" customFormat="false" ht="15" hidden="false" customHeight="false" outlineLevel="0" collapsed="false">
      <c r="A1660" s="122" t="n">
        <f aca="false">A1659+$F$3</f>
        <v>16540</v>
      </c>
      <c r="B1660" s="123" t="n">
        <f aca="false">SUMPRODUCT(固有振動数!$Q$6:$Q$22*(1-($A1660/固有振動数!$O$6:$O$22)^2)/((1-($A1660/固有振動数!$O$6:$O$22)^2)^2+固有振動数!$P$6:$P$22^2))</f>
        <v>30.6048140757442</v>
      </c>
      <c r="C1660" s="123" t="n">
        <f aca="false">-SUMPRODUCT(固有振動数!$Q$6:$Q$22*固有振動数!$P$6:$P$22/((1-($A1660/固有振動数!$O$6:$O$22)^2)^2+固有振動数!$P$6:$P$22^2))</f>
        <v>-7.44176134446443</v>
      </c>
      <c r="D1660" s="124" t="n">
        <f aca="false">SQRT(B1660^2+C1660^2)</f>
        <v>31.496578489081</v>
      </c>
      <c r="E1660" s="125" t="n">
        <f aca="false">20*LOG10(MAX(D1660,0.000000000001)/$K$3)</f>
        <v>29.9652675684784</v>
      </c>
    </row>
    <row r="1661" customFormat="false" ht="15" hidden="false" customHeight="false" outlineLevel="0" collapsed="false">
      <c r="A1661" s="126" t="n">
        <f aca="false">A1660+$F$3</f>
        <v>16550</v>
      </c>
      <c r="B1661" s="127" t="n">
        <f aca="false">SUMPRODUCT(固有振動数!$Q$6:$Q$22*(1-($A1661/固有振動数!$O$6:$O$22)^2)/((1-($A1661/固有振動数!$O$6:$O$22)^2)^2+固有振動数!$P$6:$P$22^2))</f>
        <v>30.9165614228804</v>
      </c>
      <c r="C1661" s="127" t="n">
        <f aca="false">-SUMPRODUCT(固有振動数!$Q$6:$Q$22*固有振動数!$P$6:$P$22/((1-($A1661/固有振動数!$O$6:$O$22)^2)^2+固有振動数!$P$6:$P$22^2))</f>
        <v>-7.627216183838</v>
      </c>
      <c r="D1661" s="128" t="n">
        <f aca="false">SQRT(B1661^2+C1661^2)</f>
        <v>31.8434953629425</v>
      </c>
      <c r="E1661" s="129" t="n">
        <f aca="false">20*LOG10(MAX(D1661,0.000000000001)/$K$3)</f>
        <v>30.0604146571425</v>
      </c>
    </row>
    <row r="1662" customFormat="false" ht="15" hidden="false" customHeight="false" outlineLevel="0" collapsed="false">
      <c r="A1662" s="122" t="n">
        <f aca="false">A1661+$F$3</f>
        <v>16560</v>
      </c>
      <c r="B1662" s="123" t="n">
        <f aca="false">SUMPRODUCT(固有振動数!$Q$6:$Q$22*(1-($A1662/固有振動数!$O$6:$O$22)^2)/((1-($A1662/固有振動数!$O$6:$O$22)^2)^2+固有振動数!$P$6:$P$22^2))</f>
        <v>31.2343338559154</v>
      </c>
      <c r="C1662" s="123" t="n">
        <f aca="false">-SUMPRODUCT(固有振動数!$Q$6:$Q$22*固有振動数!$P$6:$P$22/((1-($A1662/固有振動数!$O$6:$O$22)^2)^2+固有振動数!$P$6:$P$22^2))</f>
        <v>-7.82057896555762</v>
      </c>
      <c r="D1662" s="124" t="n">
        <f aca="false">SQRT(B1662^2+C1662^2)</f>
        <v>32.1985258479221</v>
      </c>
      <c r="E1662" s="125" t="n">
        <f aca="false">20*LOG10(MAX(D1662,0.000000000001)/$K$3)</f>
        <v>30.1567197750543</v>
      </c>
    </row>
    <row r="1663" customFormat="false" ht="15" hidden="false" customHeight="false" outlineLevel="0" collapsed="false">
      <c r="A1663" s="126" t="n">
        <f aca="false">A1662+$F$3</f>
        <v>16570</v>
      </c>
      <c r="B1663" s="127" t="n">
        <f aca="false">SUMPRODUCT(固有振動数!$Q$6:$Q$22*(1-($A1663/固有振動数!$O$6:$O$22)^2)/((1-($A1663/固有振動数!$O$6:$O$22)^2)^2+固有振動数!$P$6:$P$22^2))</f>
        <v>31.5582668867481</v>
      </c>
      <c r="C1663" s="127" t="n">
        <f aca="false">-SUMPRODUCT(固有振動数!$Q$6:$Q$22*固有振動数!$P$6:$P$22/((1-($A1663/固有振動数!$O$6:$O$22)^2)^2+固有振動数!$P$6:$P$22^2))</f>
        <v>-8.02230435444994</v>
      </c>
      <c r="D1663" s="128" t="n">
        <f aca="false">SQRT(B1663^2+C1663^2)</f>
        <v>32.5619651748884</v>
      </c>
      <c r="E1663" s="129" t="n">
        <f aca="false">20*LOG10(MAX(D1663,0.000000000001)/$K$3)</f>
        <v>30.2542121496844</v>
      </c>
    </row>
    <row r="1664" customFormat="false" ht="15" hidden="false" customHeight="false" outlineLevel="0" collapsed="false">
      <c r="A1664" s="122" t="n">
        <f aca="false">A1663+$F$3</f>
        <v>16580</v>
      </c>
      <c r="B1664" s="123" t="n">
        <f aca="false">SUMPRODUCT(固有振動数!$Q$6:$Q$22*(1-($A1664/固有振動数!$O$6:$O$22)^2)/((1-($A1664/固有振動数!$O$6:$O$22)^2)^2+固有振動数!$P$6:$P$22^2))</f>
        <v>31.8884934273172</v>
      </c>
      <c r="C1664" s="123" t="n">
        <f aca="false">-SUMPRODUCT(固有振動数!$Q$6:$Q$22*固有振動数!$P$6:$P$22/((1-($A1664/固有振動数!$O$6:$O$22)^2)^2+固有振動数!$P$6:$P$22^2))</f>
        <v>-8.2328790622636</v>
      </c>
      <c r="D1664" s="124" t="n">
        <f aca="false">SQRT(B1664^2+C1664^2)</f>
        <v>32.9341207673426</v>
      </c>
      <c r="E1664" s="125" t="n">
        <f aca="false">20*LOG10(MAX(D1664,0.000000000001)/$K$3)</f>
        <v>30.3529214739728</v>
      </c>
    </row>
    <row r="1665" customFormat="false" ht="15" hidden="false" customHeight="false" outlineLevel="0" collapsed="false">
      <c r="A1665" s="126" t="n">
        <f aca="false">A1664+$F$3</f>
        <v>16590</v>
      </c>
      <c r="B1665" s="127" t="n">
        <f aca="false">SUMPRODUCT(固有振動数!$Q$6:$Q$22*(1-($A1665/固有振動数!$O$6:$O$22)^2)/((1-($A1665/固有振動数!$O$6:$O$22)^2)^2+固有振動数!$P$6:$P$22^2))</f>
        <v>32.2251425552139</v>
      </c>
      <c r="C1665" s="127" t="n">
        <f aca="false">-SUMPRODUCT(固有振動数!$Q$6:$Q$22*固有振動数!$P$6:$P$22/((1-($A1665/固有振動数!$O$6:$O$22)^2)^2+固有振動数!$P$6:$P$22^2))</f>
        <v>-8.45282440678555</v>
      </c>
      <c r="D1665" s="128" t="n">
        <f aca="false">SQRT(B1665^2+C1665^2)</f>
        <v>33.3153125927974</v>
      </c>
      <c r="E1665" s="129" t="n">
        <f aca="false">20*LOG10(MAX(D1665,0.000000000001)/$K$3)</f>
        <v>30.4528778509215</v>
      </c>
    </row>
    <row r="1666" customFormat="false" ht="15" hidden="false" customHeight="false" outlineLevel="0" collapsed="false">
      <c r="A1666" s="122" t="n">
        <f aca="false">A1665+$F$3</f>
        <v>16600</v>
      </c>
      <c r="B1666" s="123" t="n">
        <f aca="false">SUMPRODUCT(固有振動数!$Q$6:$Q$22*(1-($A1666/固有振動数!$O$6:$O$22)^2)/((1-($A1666/固有振動数!$O$6:$O$22)^2)^2+固有振動数!$P$6:$P$22^2))</f>
        <v>32.5683380526558</v>
      </c>
      <c r="C1666" s="123" t="n">
        <f aca="false">-SUMPRODUCT(固有振動数!$Q$6:$Q$22*固有振動数!$P$6:$P$22/((1-($A1666/固有振動数!$O$6:$O$22)^2)^2+固有振動数!$P$6:$P$22^2))</f>
        <v>-8.68269908293432</v>
      </c>
      <c r="D1666" s="124" t="n">
        <f aca="false">SQRT(B1666^2+C1666^2)</f>
        <v>33.705873477435</v>
      </c>
      <c r="E1666" s="125" t="n">
        <f aca="false">20*LOG10(MAX(D1666,0.000000000001)/$K$3)</f>
        <v>30.5541117245947</v>
      </c>
    </row>
    <row r="1667" customFormat="false" ht="15" hidden="false" customHeight="false" outlineLevel="0" collapsed="false">
      <c r="A1667" s="126" t="n">
        <f aca="false">A1666+$F$3</f>
        <v>16610</v>
      </c>
      <c r="B1667" s="127" t="n">
        <f aca="false">SUMPRODUCT(固有振動数!$Q$6:$Q$22*(1-($A1667/固有振動数!$O$6:$O$22)^2)/((1-($A1667/固有振動数!$O$6:$O$22)^2)^2+固有振動数!$P$6:$P$22^2))</f>
        <v>32.9181966812444</v>
      </c>
      <c r="C1667" s="127" t="n">
        <f aca="false">-SUMPRODUCT(固有振動数!$Q$6:$Q$22*固有振動数!$P$6:$P$22/((1-($A1667/固有振動数!$O$6:$O$22)^2)^2+固有振動数!$P$6:$P$22^2))</f>
        <v>-8.92310216083858</v>
      </c>
      <c r="D1667" s="128" t="n">
        <f aca="false">SQRT(B1667^2+C1667^2)</f>
        <v>34.1061493710131</v>
      </c>
      <c r="E1667" s="129" t="n">
        <f aca="false">20*LOG10(MAX(D1667,0.000000000001)/$K$3)</f>
        <v>30.6566537951722</v>
      </c>
    </row>
    <row r="1668" customFormat="false" ht="15" hidden="false" customHeight="false" outlineLevel="0" collapsed="false">
      <c r="A1668" s="122" t="n">
        <f aca="false">A1667+$F$3</f>
        <v>16620</v>
      </c>
      <c r="B1668" s="123" t="n">
        <f aca="false">SUMPRODUCT(固有振動数!$Q$6:$Q$22*(1-($A1668/固有振動数!$O$6:$O$22)^2)/((1-($A1668/固有振動数!$O$6:$O$22)^2)^2+固有振動数!$P$6:$P$22^2))</f>
        <v>33.2748261487721</v>
      </c>
      <c r="C1668" s="123" t="n">
        <f aca="false">-SUMPRODUCT(固有振動数!$Q$6:$Q$22*固有振動数!$P$6:$P$22/((1-($A1668/固有振動数!$O$6:$O$22)^2)^2+固有振動数!$P$6:$P$22^2))</f>
        <v>-9.17467632593114</v>
      </c>
      <c r="D1668" s="124" t="n">
        <f aca="false">SQRT(B1668^2+C1668^2)</f>
        <v>34.51649954611</v>
      </c>
      <c r="E1668" s="125" t="n">
        <f aca="false">20*LOG10(MAX(D1668,0.000000000001)/$K$3)</f>
        <v>30.7605349153176</v>
      </c>
    </row>
    <row r="1669" customFormat="false" ht="15" hidden="false" customHeight="false" outlineLevel="0" collapsed="false">
      <c r="A1669" s="126" t="n">
        <f aca="false">A1668+$F$3</f>
        <v>16630</v>
      </c>
      <c r="B1669" s="127" t="n">
        <f aca="false">SUMPRODUCT(固有振動数!$Q$6:$Q$22*(1-($A1669/固有振動数!$O$6:$O$22)^2)/((1-($A1669/固有振動数!$O$6:$O$22)^2)^2+固有振動数!$P$6:$P$22^2))</f>
        <v>33.6383227171952</v>
      </c>
      <c r="C1669" s="127" t="n">
        <f aca="false">-SUMPRODUCT(固有振動数!$Q$6:$Q$22*固有振動数!$P$6:$P$22/((1-($A1669/固有振動数!$O$6:$O$22)^2)^2+固有振動数!$P$6:$P$22^2))</f>
        <v>-9.43811137571326</v>
      </c>
      <c r="D1669" s="128" t="n">
        <f aca="false">SQRT(B1669^2+C1669^2)</f>
        <v>34.9372967123465</v>
      </c>
      <c r="E1669" s="129" t="n">
        <f aca="false">20*LOG10(MAX(D1669,0.000000000001)/$K$3)</f>
        <v>30.8657859646669</v>
      </c>
    </row>
    <row r="1670" customFormat="false" ht="15" hidden="false" customHeight="false" outlineLevel="0" collapsed="false">
      <c r="A1670" s="122" t="n">
        <f aca="false">A1669+$F$3</f>
        <v>16640</v>
      </c>
      <c r="B1670" s="123" t="n">
        <f aca="false">SUMPRODUCT(固有振動数!$Q$6:$Q$22*(1-($A1670/固有振動数!$O$6:$O$22)^2)/((1-($A1670/固有振動数!$O$6:$O$22)^2)^2+固有振動数!$P$6:$P$22^2))</f>
        <v>34.0087683925898</v>
      </c>
      <c r="C1670" s="123" t="n">
        <f aca="false">-SUMPRODUCT(固有振動数!$Q$6:$Q$22*固有振動数!$P$6:$P$22/((1-($A1670/固有振動数!$O$6:$O$22)^2)^2+固有振動数!$P$6:$P$22^2))</f>
        <v>-9.71414798692833</v>
      </c>
      <c r="D1670" s="124" t="n">
        <f aca="false">SQRT(B1670^2+C1670^2)</f>
        <v>35.3689270220734</v>
      </c>
      <c r="E1670" s="125" t="n">
        <f aca="false">20*LOG10(MAX(D1670,0.000000000001)/$K$3)</f>
        <v>30.9724376987203</v>
      </c>
    </row>
    <row r="1671" customFormat="false" ht="15" hidden="false" customHeight="false" outlineLevel="0" collapsed="false">
      <c r="A1671" s="126" t="n">
        <f aca="false">A1670+$F$3</f>
        <v>16650</v>
      </c>
      <c r="B1671" s="127" t="n">
        <f aca="false">SUMPRODUCT(固有振動数!$Q$6:$Q$22*(1-($A1671/固有振動数!$O$6:$O$22)^2)/((1-($A1671/固有振動数!$O$6:$O$22)^2)^2+固有振動数!$P$6:$P$22^2))</f>
        <v>34.3862276282846</v>
      </c>
      <c r="C1671" s="127" t="n">
        <f aca="false">-SUMPRODUCT(固有振動数!$Q$6:$Q$22*固有振動数!$P$6:$P$22/((1-($A1671/固有振動数!$O$6:$O$22)^2)^2+固有振動数!$P$6:$P$22^2))</f>
        <v>-10.0035817652306</v>
      </c>
      <c r="D1671" s="128" t="n">
        <f aca="false">SQRT(B1671^2+C1671^2)</f>
        <v>35.8117899390391</v>
      </c>
      <c r="E1671" s="129" t="n">
        <f aca="false">20*LOG10(MAX(D1671,0.000000000001)/$K$3)</f>
        <v>31.080520567806</v>
      </c>
    </row>
    <row r="1672" customFormat="false" ht="15" hidden="false" customHeight="false" outlineLevel="0" collapsed="false">
      <c r="A1672" s="122" t="n">
        <f aca="false">A1671+$F$3</f>
        <v>16660</v>
      </c>
      <c r="B1672" s="123" t="n">
        <f aca="false">SUMPRODUCT(固有振動数!$Q$6:$Q$22*(1-($A1672/固有振動数!$O$6:$O$22)^2)/((1-($A1672/固有振動数!$O$6:$O$22)^2)^2+固有振動数!$P$6:$P$22^2))</f>
        <v>34.7707434612355</v>
      </c>
      <c r="C1672" s="123" t="n">
        <f aca="false">-SUMPRODUCT(固有振動数!$Q$6:$Q$22*固有振動数!$P$6:$P$22/((1-($A1672/固有振動数!$O$6:$O$22)^2)^2+固有振動数!$P$6:$P$22^2))</f>
        <v>-10.3072675868086</v>
      </c>
      <c r="D1672" s="124" t="n">
        <f aca="false">SQRT(B1672^2+C1672^2)</f>
        <v>36.266297935592</v>
      </c>
      <c r="E1672" s="125" t="n">
        <f aca="false">20*LOG10(MAX(D1672,0.000000000001)/$K$3)</f>
        <v>31.1900645010751</v>
      </c>
    </row>
    <row r="1673" customFormat="false" ht="15" hidden="false" customHeight="false" outlineLevel="0" collapsed="false">
      <c r="A1673" s="126" t="n">
        <f aca="false">A1672+$F$3</f>
        <v>16670</v>
      </c>
      <c r="B1673" s="127" t="n">
        <f aca="false">SUMPRODUCT(固有振動数!$Q$6:$Q$22*(1-($A1673/固有振動数!$O$6:$O$22)^2)/((1-($A1673/固有振動数!$O$6:$O$22)^2)^2+固有振動数!$P$6:$P$22^2))</f>
        <v>35.162332988856</v>
      </c>
      <c r="C1673" s="127" t="n">
        <f aca="false">-SUMPRODUCT(固有振動数!$Q$6:$Q$22*固有振動数!$P$6:$P$22/((1-($A1673/固有振動数!$O$6:$O$22)^2)^2+固有振動数!$P$6:$P$22^2))</f>
        <v>-10.6261242375002</v>
      </c>
      <c r="D1673" s="128" t="n">
        <f aca="false">SQRT(B1673^2+C1673^2)</f>
        <v>36.7328759768409</v>
      </c>
      <c r="E1673" s="129" t="n">
        <f aca="false">20*LOG10(MAX(D1673,0.000000000001)/$K$3)</f>
        <v>31.3010986496585</v>
      </c>
    </row>
    <row r="1674" customFormat="false" ht="15" hidden="false" customHeight="false" outlineLevel="0" collapsed="false">
      <c r="A1674" s="122" t="n">
        <f aca="false">A1673+$F$3</f>
        <v>16680</v>
      </c>
      <c r="B1674" s="123" t="n">
        <f aca="false">SUMPRODUCT(固有振動数!$Q$6:$Q$22*(1-($A1674/固有振動数!$O$6:$O$22)^2)/((1-($A1674/固有振動数!$O$6:$O$22)^2)^2+固有振動数!$P$6:$P$22^2))</f>
        <v>35.5609820787327</v>
      </c>
      <c r="C1674" s="123" t="n">
        <f aca="false">-SUMPRODUCT(固有振動数!$Q$6:$Q$22*固有振動数!$P$6:$P$22/((1-($A1674/固有振動数!$O$6:$O$22)^2)^2+固有振動数!$P$6:$P$22^2))</f>
        <v>-10.9611393493306</v>
      </c>
      <c r="D1674" s="124" t="n">
        <f aca="false">SQRT(B1674^2+C1674^2)</f>
        <v>37.2119607416674</v>
      </c>
      <c r="E1674" s="125" t="n">
        <f aca="false">20*LOG10(MAX(D1674,0.000000000001)/$K$3)</f>
        <v>31.413651082157</v>
      </c>
    </row>
    <row r="1675" customFormat="false" ht="15" hidden="false" customHeight="false" outlineLevel="0" collapsed="false">
      <c r="A1675" s="126" t="n">
        <f aca="false">A1674+$F$3</f>
        <v>16690</v>
      </c>
      <c r="B1675" s="127" t="n">
        <f aca="false">SUMPRODUCT(固有振動数!$Q$6:$Q$22*(1-($A1675/固有振動数!$O$6:$O$22)^2)/((1-($A1675/固有振動数!$O$6:$O$22)^2)^2+固有振動数!$P$6:$P$22^2))</f>
        <v>35.966639186693</v>
      </c>
      <c r="C1675" s="127" t="n">
        <f aca="false">-SUMPRODUCT(固有振動数!$Q$6:$Q$22*固有振動数!$P$6:$P$22/((1-($A1675/固有振動数!$O$6:$O$22)^2)^2+固有振動数!$P$6:$P$22^2))</f>
        <v>-11.3133746265874</v>
      </c>
      <c r="D1675" s="128" t="n">
        <f aca="false">SQRT(B1675^2+C1675^2)</f>
        <v>37.7039995203065</v>
      </c>
      <c r="E1675" s="129" t="n">
        <f aca="false">20*LOG10(MAX(D1675,0.000000000001)/$K$3)</f>
        <v>31.5277484245244</v>
      </c>
    </row>
    <row r="1676" customFormat="false" ht="15" hidden="false" customHeight="false" outlineLevel="0" collapsed="false">
      <c r="A1676" s="122" t="n">
        <f aca="false">A1675+$F$3</f>
        <v>16700</v>
      </c>
      <c r="B1676" s="123" t="n">
        <f aca="false">SUMPRODUCT(固有振動数!$Q$6:$Q$22*(1-($A1676/固有振動数!$O$6:$O$22)^2)/((1-($A1676/固有振動数!$O$6:$O$22)^2)^2+固有振動数!$P$6:$P$22^2))</f>
        <v>36.3792081393408</v>
      </c>
      <c r="C1676" s="123" t="n">
        <f aca="false">-SUMPRODUCT(固有振動数!$Q$6:$Q$22*固有振動数!$P$6:$P$22/((1-($A1676/固有振動数!$O$6:$O$22)^2)^2+固有振動数!$P$6:$P$22^2))</f>
        <v>-11.6839713428963</v>
      </c>
      <c r="D1676" s="124" t="n">
        <f aca="false">SQRT(B1676^2+C1676^2)</f>
        <v>38.2094487160846</v>
      </c>
      <c r="E1676" s="125" t="n">
        <f aca="false">20*LOG10(MAX(D1676,0.000000000001)/$K$3)</f>
        <v>31.6434154351136</v>
      </c>
    </row>
    <row r="1677" customFormat="false" ht="15" hidden="false" customHeight="false" outlineLevel="0" collapsed="false">
      <c r="A1677" s="126" t="n">
        <f aca="false">A1676+$F$3</f>
        <v>16710</v>
      </c>
      <c r="B1677" s="127" t="n">
        <f aca="false">SUMPRODUCT(固有振動数!$Q$6:$Q$22*(1-($A1677/固有振動数!$O$6:$O$22)^2)/((1-($A1677/固有振動数!$O$6:$O$22)^2)^2+固有振動数!$P$6:$P$22^2))</f>
        <v>36.7985397152122</v>
      </c>
      <c r="C1677" s="127" t="n">
        <f aca="false">-SUMPRODUCT(固有振動数!$Q$6:$Q$22*固有振動数!$P$6:$P$22/((1-($A1677/固有振動数!$O$6:$O$22)^2)^2+固有振動数!$P$6:$P$22^2))</f>
        <v>-12.0741560764449</v>
      </c>
      <c r="D1677" s="128" t="n">
        <f aca="false">SQRT(B1677^2+C1677^2)</f>
        <v>38.7287718644731</v>
      </c>
      <c r="E1677" s="129" t="n">
        <f aca="false">20*LOG10(MAX(D1677,0.000000000001)/$K$3)</f>
        <v>31.7606745041734</v>
      </c>
    </row>
    <row r="1678" customFormat="false" ht="15" hidden="false" customHeight="false" outlineLevel="0" collapsed="false">
      <c r="A1678" s="122" t="n">
        <f aca="false">A1677+$F$3</f>
        <v>16720</v>
      </c>
      <c r="B1678" s="123" t="n">
        <f aca="false">SUMPRODUCT(固有振動数!$Q$6:$Q$22*(1-($A1678/固有振動数!$O$6:$O$22)^2)/((1-($A1678/固有振動数!$O$6:$O$22)^2)^2+固有振動数!$P$6:$P$22^2))</f>
        <v>37.2244218339682</v>
      </c>
      <c r="C1678" s="123" t="n">
        <f aca="false">-SUMPRODUCT(固有振動数!$Q$6:$Q$22*固有振動数!$P$6:$P$22/((1-($A1678/固有振動数!$O$6:$O$22)^2)^2+固有振動数!$P$6:$P$22^2))</f>
        <v>-12.4852466315022</v>
      </c>
      <c r="D1678" s="124" t="n">
        <f aca="false">SQRT(B1678^2+C1678^2)</f>
        <v>39.2624370655038</v>
      </c>
      <c r="E1678" s="125" t="n">
        <f aca="false">20*LOG10(MAX(D1678,0.000000000001)/$K$3)</f>
        <v>31.8795450653671</v>
      </c>
    </row>
    <row r="1679" customFormat="false" ht="15" hidden="false" customHeight="false" outlineLevel="0" collapsed="false">
      <c r="A1679" s="126" t="n">
        <f aca="false">A1678+$F$3</f>
        <v>16730</v>
      </c>
      <c r="B1679" s="127" t="n">
        <f aca="false">SUMPRODUCT(固有振動数!$Q$6:$Q$22*(1-($A1679/固有振動数!$O$6:$O$22)^2)/((1-($A1679/固有振動数!$O$6:$O$22)^2)^2+固有振動数!$P$6:$P$22^2))</f>
        <v>37.6565681354426</v>
      </c>
      <c r="C1679" s="127" t="n">
        <f aca="false">-SUMPRODUCT(固有振動数!$Q$6:$Q$22*固有振動数!$P$6:$P$22/((1-($A1679/固有振動数!$O$6:$O$22)^2)^2+固有振動数!$P$6:$P$22^2))</f>
        <v>-12.9186580694283</v>
      </c>
      <c r="D1679" s="128" t="n">
        <f aca="false">SQRT(B1679^2+C1679^2)</f>
        <v>39.81091370534</v>
      </c>
      <c r="E1679" s="129" t="n">
        <f aca="false">20*LOG10(MAX(D1679,0.000000000001)/$K$3)</f>
        <v>32.0000429049266</v>
      </c>
    </row>
    <row r="1680" customFormat="false" ht="15" hidden="false" customHeight="false" outlineLevel="0" collapsed="false">
      <c r="A1680" s="122" t="n">
        <f aca="false">A1679+$F$3</f>
        <v>16740</v>
      </c>
      <c r="B1680" s="123" t="n">
        <f aca="false">SUMPRODUCT(固有振動数!$Q$6:$Q$22*(1-($A1680/固有振動数!$O$6:$O$22)^2)/((1-($A1680/固有振動数!$O$6:$O$22)^2)^2+固有振動数!$P$6:$P$22^2))</f>
        <v>38.0946046999628</v>
      </c>
      <c r="C1680" s="123" t="n">
        <f aca="false">-SUMPRODUCT(固有振動数!$Q$6:$Q$22*固有振動数!$P$6:$P$22/((1-($A1680/固有振動数!$O$6:$O$22)^2)^2+固有振動数!$P$6:$P$22^2))</f>
        <v>-13.3759087398546</v>
      </c>
      <c r="D1680" s="124" t="n">
        <f aca="false">SQRT(B1680^2+C1680^2)</f>
        <v>40.3746683189267</v>
      </c>
      <c r="E1680" s="125" t="n">
        <f aca="false">20*LOG10(MAX(D1680,0.000000000001)/$K$3)</f>
        <v>32.1221793518103</v>
      </c>
    </row>
    <row r="1681" customFormat="false" ht="15" hidden="false" customHeight="false" outlineLevel="0" collapsed="false">
      <c r="A1681" s="126" t="n">
        <f aca="false">A1680+$F$3</f>
        <v>16750</v>
      </c>
      <c r="B1681" s="127" t="n">
        <f aca="false">SUMPRODUCT(固有振動数!$Q$6:$Q$22*(1-($A1681/固有振動数!$O$6:$O$22)^2)/((1-($A1681/固有振動数!$O$6:$O$22)^2)^2+固有振動数!$P$6:$P$22^2))</f>
        <v>38.5380546284089</v>
      </c>
      <c r="C1681" s="127" t="n">
        <f aca="false">-SUMPRODUCT(固有振動数!$Q$6:$Q$22*固有振動数!$P$6:$P$22/((1-($A1681/固有振動数!$O$6:$O$22)^2)^2+固有振動数!$P$6:$P$22^2))</f>
        <v>-13.8586261606964</v>
      </c>
      <c r="D1681" s="128" t="n">
        <f aca="false">SQRT(B1681^2+C1681^2)</f>
        <v>40.954159417624</v>
      </c>
      <c r="E1681" s="129" t="n">
        <f aca="false">20*LOG10(MAX(D1681,0.000000000001)/$K$3)</f>
        <v>32.2459603296879</v>
      </c>
    </row>
    <row r="1682" customFormat="false" ht="15" hidden="false" customHeight="false" outlineLevel="0" collapsed="false">
      <c r="A1682" s="122" t="n">
        <f aca="false">A1681+$F$3</f>
        <v>16760</v>
      </c>
      <c r="B1682" s="123" t="n">
        <f aca="false">SUMPRODUCT(固有振動数!$Q$6:$Q$22*(1-($A1682/固有振動数!$O$6:$O$22)^2)/((1-($A1682/固有振動数!$O$6:$O$22)^2)^2+固有振動数!$P$6:$P$22^2))</f>
        <v>38.9863201655734</v>
      </c>
      <c r="C1682" s="123" t="n">
        <f aca="false">-SUMPRODUCT(固有振動数!$Q$6:$Q$22*固有振動数!$P$6:$P$22/((1-($A1682/固有振動数!$O$6:$O$22)^2)^2+固有振動数!$P$6:$P$22^2))</f>
        <v>-14.3685525417172</v>
      </c>
      <c r="D1682" s="124" t="n">
        <f aca="false">SQRT(B1682^2+C1682^2)</f>
        <v>41.5498310730222</v>
      </c>
      <c r="E1682" s="125" t="n">
        <f aca="false">20*LOG10(MAX(D1682,0.000000000001)/$K$3)</f>
        <v>32.3713852487066</v>
      </c>
    </row>
    <row r="1683" customFormat="false" ht="15" hidden="false" customHeight="false" outlineLevel="0" collapsed="false">
      <c r="A1683" s="126" t="n">
        <f aca="false">A1682+$F$3</f>
        <v>16770</v>
      </c>
      <c r="B1683" s="127" t="n">
        <f aca="false">SUMPRODUCT(固有振動数!$Q$6:$Q$22*(1-($A1683/固有振動数!$O$6:$O$22)^2)/((1-($A1683/固有振動数!$O$6:$O$22)^2)^2+固有振動数!$P$6:$P$22^2))</f>
        <v>39.4386620145961</v>
      </c>
      <c r="C1683" s="127" t="n">
        <f aca="false">-SUMPRODUCT(固有振動数!$Q$6:$Q$22*固有振動数!$P$6:$P$22/((1-($A1683/固有振動数!$O$6:$O$22)^2)^2+固有振動数!$P$6:$P$22^2))</f>
        <v>-14.9075496776005</v>
      </c>
      <c r="D1683" s="128" t="n">
        <f aca="false">SQRT(B1683^2+C1683^2)</f>
        <v>42.1621050102064</v>
      </c>
      <c r="E1683" s="129" t="n">
        <f aca="false">20*LOG10(MAX(D1683,0.000000000001)/$K$3)</f>
        <v>32.4984457117821</v>
      </c>
    </row>
    <row r="1684" customFormat="false" ht="15" hidden="false" customHeight="false" outlineLevel="0" collapsed="false">
      <c r="A1684" s="122" t="n">
        <f aca="false">A1683+$F$3</f>
        <v>16780</v>
      </c>
      <c r="B1684" s="123" t="n">
        <f aca="false">SUMPRODUCT(固有振動数!$Q$6:$Q$22*(1-($A1684/固有振動数!$O$6:$O$22)^2)/((1-($A1684/固有振動数!$O$6:$O$22)^2)^2+固有振動数!$P$6:$P$22^2))</f>
        <v>39.8941754553273</v>
      </c>
      <c r="C1684" s="123" t="n">
        <f aca="false">-SUMPRODUCT(固有振動数!$Q$6:$Q$22*固有振動数!$P$6:$P$22/((1-($A1684/固有振動数!$O$6:$O$22)^2)^2+固有振動数!$P$6:$P$22^2))</f>
        <v>-15.4776028493987</v>
      </c>
      <c r="D1684" s="124" t="n">
        <f aca="false">SQRT(B1684^2+C1684^2)</f>
        <v>42.7913709201301</v>
      </c>
      <c r="E1684" s="125" t="n">
        <f aca="false">20*LOG10(MAX(D1684,0.000000000001)/$K$3)</f>
        <v>32.6271240066173</v>
      </c>
    </row>
    <row r="1685" customFormat="false" ht="15" hidden="false" customHeight="false" outlineLevel="0" collapsed="false">
      <c r="A1685" s="126" t="n">
        <f aca="false">A1684+$F$3</f>
        <v>16790</v>
      </c>
      <c r="B1685" s="127" t="n">
        <f aca="false">SUMPRODUCT(固有振動数!$Q$6:$Q$22*(1-($A1685/固有振動数!$O$6:$O$22)^2)/((1-($A1685/固有振動数!$O$6:$O$22)^2)^2+固有振動数!$P$6:$P$22^2))</f>
        <v>40.3517628481677</v>
      </c>
      <c r="C1685" s="127" t="n">
        <f aca="false">-SUMPRODUCT(固有振動数!$Q$6:$Q$22*固有振動数!$P$6:$P$22/((1-($A1685/固有振動数!$O$6:$O$22)^2)^2+固有振動数!$P$6:$P$22^2))</f>
        <v>-16.080823263738</v>
      </c>
      <c r="D1685" s="128" t="n">
        <f aca="false">SQRT(B1685^2+C1685^2)</f>
        <v>43.4379746511545</v>
      </c>
      <c r="E1685" s="129" t="n">
        <f aca="false">20*LOG10(MAX(D1685,0.000000000001)/$K$3)</f>
        <v>32.7573913507993</v>
      </c>
    </row>
    <row r="1686" customFormat="false" ht="15" hidden="false" customHeight="false" outlineLevel="0" collapsed="false">
      <c r="A1686" s="122" t="n">
        <f aca="false">A1685+$F$3</f>
        <v>16800</v>
      </c>
      <c r="B1686" s="123" t="n">
        <f aca="false">SUMPRODUCT(固有振動数!$Q$6:$Q$22*(1-($A1686/固有振動数!$O$6:$O$22)^2)/((1-($A1686/固有振動数!$O$6:$O$22)^2)^2+固有振動数!$P$6:$P$22^2))</f>
        <v>40.8101020813201</v>
      </c>
      <c r="C1686" s="123" t="n">
        <f aca="false">-SUMPRODUCT(固有振動数!$Q$6:$Q$22*固有振動数!$P$6:$P$22/((1-($A1686/固有振動数!$O$6:$O$22)^2)^2+固有振動数!$P$6:$P$22^2))</f>
        <v>-16.7194484225302</v>
      </c>
      <c r="D1686" s="124" t="n">
        <f aca="false">SQRT(B1686^2+C1686^2)</f>
        <v>44.1022038841758</v>
      </c>
      <c r="E1686" s="125" t="n">
        <f aca="false">20*LOG10(MAX(D1686,0.000000000001)/$K$3)</f>
        <v>32.8892058532211</v>
      </c>
    </row>
    <row r="1687" customFormat="false" ht="15" hidden="false" customHeight="false" outlineLevel="0" collapsed="false">
      <c r="A1687" s="126" t="n">
        <f aca="false">A1686+$F$3</f>
        <v>16810</v>
      </c>
      <c r="B1687" s="127" t="n">
        <f aca="false">SUMPRODUCT(固有振動数!$Q$6:$Q$22*(1-($A1687/固有振動数!$O$6:$O$22)^2)/((1-($A1687/固有振動数!$O$6:$O$22)^2)^2+固有振動数!$P$6:$P$22^2))</f>
        <v>41.2676105094274</v>
      </c>
      <c r="C1687" s="127" t="n">
        <f aca="false">-SUMPRODUCT(固有振動数!$Q$6:$Q$22*固有振動数!$P$6:$P$22/((1-($A1687/固有振動数!$O$6:$O$22)^2)^2+固有振動数!$P$6:$P$22^2))</f>
        <v>-17.3958396469132</v>
      </c>
      <c r="D1687" s="128" t="n">
        <f aca="false">SQRT(B1687^2+C1687^2)</f>
        <v>44.784270834512</v>
      </c>
      <c r="E1687" s="129" t="n">
        <f aca="false">20*LOG10(MAX(D1687,0.000000000001)/$K$3)</f>
        <v>33.0225101508351</v>
      </c>
    </row>
    <row r="1688" customFormat="false" ht="15" hidden="false" customHeight="false" outlineLevel="0" collapsed="false">
      <c r="A1688" s="122" t="n">
        <f aca="false">A1687+$F$3</f>
        <v>16820</v>
      </c>
      <c r="B1688" s="123" t="n">
        <f aca="false">SUMPRODUCT(固有振動数!$Q$6:$Q$22*(1-($A1688/固有振動数!$O$6:$O$22)^2)/((1-($A1688/固有振動数!$O$6:$O$22)^2)^2+固有振動数!$P$6:$P$22^2))</f>
        <v>41.7224039437029</v>
      </c>
      <c r="C1688" s="123" t="n">
        <f aca="false">-SUMPRODUCT(固有振動数!$Q$6:$Q$22*固有振動数!$P$6:$P$22/((1-($A1688/固有振動数!$O$6:$O$22)^2)^2+固有振動数!$P$6:$P$22^2))</f>
        <v>-18.1124757721005</v>
      </c>
      <c r="D1688" s="124" t="n">
        <f aca="false">SQRT(B1688^2+C1688^2)</f>
        <v>45.4842914580016</v>
      </c>
      <c r="E1688" s="125" t="n">
        <f aca="false">20*LOG10(MAX(D1688,0.000000000001)/$K$3)</f>
        <v>33.1572286755486</v>
      </c>
    </row>
    <row r="1689" customFormat="false" ht="15" hidden="false" customHeight="false" outlineLevel="0" collapsed="false">
      <c r="A1689" s="126" t="n">
        <f aca="false">A1688+$F$3</f>
        <v>16830</v>
      </c>
      <c r="B1689" s="127" t="n">
        <f aca="false">SUMPRODUCT(固有振動数!$Q$6:$Q$22*(1-($A1689/固有振動数!$O$6:$O$22)^2)/((1-($A1689/固有振動数!$O$6:$O$22)^2)^2+固有振動数!$P$6:$P$22^2))</f>
        <v>42.1722502996195</v>
      </c>
      <c r="C1689" s="127" t="n">
        <f aca="false">-SUMPRODUCT(固有振動数!$Q$6:$Q$22*固有振動数!$P$6:$P$22/((1-($A1689/固有振動数!$O$6:$O$22)^2)^2+固有振動数!$P$6:$P$22^2))</f>
        <v>-18.8719417791804</v>
      </c>
      <c r="D1689" s="128" t="n">
        <f aca="false">SQRT(B1689^2+C1689^2)</f>
        <v>46.202260570783</v>
      </c>
      <c r="E1689" s="129" t="n">
        <f aca="false">20*LOG10(MAX(D1689,0.000000000001)/$K$3)</f>
        <v>33.2932645022044</v>
      </c>
    </row>
    <row r="1690" customFormat="false" ht="15" hidden="false" customHeight="false" outlineLevel="0" collapsed="false">
      <c r="A1690" s="122" t="n">
        <f aca="false">A1689+$F$3</f>
        <v>16840</v>
      </c>
      <c r="B1690" s="123" t="n">
        <f aca="false">SUMPRODUCT(固有振動数!$Q$6:$Q$22*(1-($A1690/固有振動数!$O$6:$O$22)^2)/((1-($A1690/固有振動数!$O$6:$O$22)^2)^2+固有振動数!$P$6:$P$22^2))</f>
        <v>42.6145176040352</v>
      </c>
      <c r="C1690" s="123" t="n">
        <f aca="false">-SUMPRODUCT(固有振動数!$Q$6:$Q$22*固有振動数!$P$6:$P$22/((1-($A1690/固有振動数!$O$6:$O$22)^2)^2+固有振動数!$P$6:$P$22^2))</f>
        <v>-19.6769108308684</v>
      </c>
      <c r="D1690" s="124" t="n">
        <f aca="false">SQRT(B1690^2+C1690^2)</f>
        <v>46.9380222258094</v>
      </c>
      <c r="E1690" s="125" t="n">
        <f aca="false">20*LOG10(MAX(D1690,0.000000000001)/$K$3)</f>
        <v>33.4304957254844</v>
      </c>
    </row>
    <row r="1691" customFormat="false" ht="15" hidden="false" customHeight="false" outlineLevel="0" collapsed="false">
      <c r="A1691" s="126" t="n">
        <f aca="false">A1690+$F$3</f>
        <v>16850</v>
      </c>
      <c r="B1691" s="127" t="n">
        <f aca="false">SUMPRODUCT(固有振動数!$Q$6:$Q$22*(1-($A1691/固有振動数!$O$6:$O$22)^2)/((1-($A1691/固有振動数!$O$6:$O$22)^2)^2+固有振動数!$P$6:$P$22^2))</f>
        <v>43.0461162306482</v>
      </c>
      <c r="C1691" s="127" t="n">
        <f aca="false">-SUMPRODUCT(固有振動数!$Q$6:$Q$22*固有振動数!$P$6:$P$22/((1-($A1691/固有振動数!$O$6:$O$22)^2)^2+固有振動数!$P$6:$P$22^2))</f>
        <v>-20.5301178278774</v>
      </c>
      <c r="D1691" s="128" t="n">
        <f aca="false">SQRT(B1691^2+C1691^2)</f>
        <v>47.69123463037</v>
      </c>
      <c r="E1691" s="129" t="n">
        <f aca="false">20*LOG10(MAX(D1691,0.000000000001)/$K$3)</f>
        <v>33.5687713118421</v>
      </c>
    </row>
    <row r="1692" customFormat="false" ht="15" hidden="false" customHeight="false" outlineLevel="0" collapsed="false">
      <c r="A1692" s="122" t="n">
        <f aca="false">A1691+$F$3</f>
        <v>16860</v>
      </c>
      <c r="B1692" s="123" t="n">
        <f aca="false">SUMPRODUCT(固有振動数!$Q$6:$Q$22*(1-($A1692/固有振動数!$O$6:$O$22)^2)/((1-($A1692/固有振動数!$O$6:$O$22)^2)^2+固有振動数!$P$6:$P$22^2))</f>
        <v>43.4634354988576</v>
      </c>
      <c r="C1692" s="123" t="n">
        <f aca="false">-SUMPRODUCT(固有振動数!$Q$6:$Q$22*固有振動数!$P$6:$P$22/((1-($A1692/固有振動数!$O$6:$O$22)^2)^2+固有振動数!$P$6:$P$22^2))</f>
        <v>-21.4343222018055</v>
      </c>
      <c r="D1692" s="124" t="n">
        <f aca="false">SQRT(B1692^2+C1692^2)</f>
        <v>48.46132884697</v>
      </c>
      <c r="E1692" s="125" t="n">
        <f aca="false">20*LOG10(MAX(D1692,0.000000000001)/$K$3)</f>
        <v>33.7079063730805</v>
      </c>
    </row>
    <row r="1693" customFormat="false" ht="15" hidden="false" customHeight="false" outlineLevel="0" collapsed="false">
      <c r="A1693" s="126" t="n">
        <f aca="false">A1692+$F$3</f>
        <v>16870</v>
      </c>
      <c r="B1693" s="127" t="n">
        <f aca="false">SUMPRODUCT(固有振動数!$Q$6:$Q$22*(1-($A1693/固有振動数!$O$6:$O$22)^2)/((1-($A1693/固有振動数!$O$6:$O$22)^2)^2+固有振動数!$P$6:$P$22^2))</f>
        <v>43.8622751719976</v>
      </c>
      <c r="C1693" s="127" t="n">
        <f aca="false">-SUMPRODUCT(固有振動数!$Q$6:$Q$22*固有振動数!$P$6:$P$22/((1-($A1693/固有振動数!$O$6:$O$22)^2)^2+固有振動数!$P$6:$P$22^2))</f>
        <v>-22.392257216639</v>
      </c>
      <c r="D1693" s="128" t="n">
        <f aca="false">SQRT(B1693^2+C1693^2)</f>
        <v>49.2474605083365</v>
      </c>
      <c r="E1693" s="129" t="n">
        <f aca="false">20*LOG10(MAX(D1693,0.000000000001)/$K$3)</f>
        <v>33.8476768121441</v>
      </c>
    </row>
    <row r="1694" customFormat="false" ht="15" hidden="false" customHeight="false" outlineLevel="0" collapsed="false">
      <c r="A1694" s="122" t="n">
        <f aca="false">A1693+$F$3</f>
        <v>16880</v>
      </c>
      <c r="B1694" s="123" t="n">
        <f aca="false">SUMPRODUCT(固有振動数!$Q$6:$Q$22*(1-($A1694/固有振動数!$O$6:$O$22)^2)/((1-($A1694/固有振動数!$O$6:$O$22)^2)^2+固有振動数!$P$6:$P$22^2))</f>
        <v>44.237772970418</v>
      </c>
      <c r="C1694" s="123" t="n">
        <f aca="false">-SUMPRODUCT(固有振動数!$Q$6:$Q$22*固有振動数!$P$6:$P$22/((1-($A1694/固有振動数!$O$6:$O$22)^2)^2+固有振動数!$P$6:$P$22^2))</f>
        <v>-23.4065625819972</v>
      </c>
      <c r="D1694" s="124" t="n">
        <f aca="false">SQRT(B1694^2+C1694^2)</f>
        <v>50.0484538151499</v>
      </c>
      <c r="E1694" s="125" t="n">
        <f aca="false">20*LOG10(MAX(D1694,0.000000000001)/$K$3)</f>
        <v>33.987813300674</v>
      </c>
    </row>
    <row r="1695" customFormat="false" ht="15" hidden="false" customHeight="false" outlineLevel="0" collapsed="false">
      <c r="A1695" s="126" t="n">
        <f aca="false">A1694+$F$3</f>
        <v>16890</v>
      </c>
      <c r="B1695" s="127" t="n">
        <f aca="false">SUMPRODUCT(固有振動数!$Q$6:$Q$22*(1-($A1695/固有振動数!$O$6:$O$22)^2)/((1-($A1695/固有振動数!$O$6:$O$22)^2)^2+固有振動数!$P$6:$P$22^2))</f>
        <v>44.5843300249221</v>
      </c>
      <c r="C1695" s="127" t="n">
        <f aca="false">-SUMPRODUCT(固有振動数!$Q$6:$Q$22*固有振動数!$P$6:$P$22/((1-($A1695/固有振動数!$O$6:$O$22)^2)^2+固有振動数!$P$6:$P$22^2))</f>
        <v>-24.4796967210131</v>
      </c>
      <c r="D1695" s="128" t="n">
        <f aca="false">SQRT(B1695^2+C1695^2)</f>
        <v>50.8627371985027</v>
      </c>
      <c r="E1695" s="129" t="n">
        <f aca="false">20*LOG10(MAX(D1695,0.000000000001)/$K$3)</f>
        <v>34.1279945639894</v>
      </c>
    </row>
    <row r="1696" customFormat="false" ht="15" hidden="false" customHeight="false" outlineLevel="0" collapsed="false">
      <c r="A1696" s="122" t="n">
        <f aca="false">A1695+$F$3</f>
        <v>16900</v>
      </c>
      <c r="B1696" s="123" t="n">
        <f aca="false">SUMPRODUCT(固有振動数!$Q$6:$Q$22*(1-($A1696/固有振動数!$O$6:$O$22)^2)/((1-($A1696/固有振動数!$O$6:$O$22)^2)^2+固有振動数!$P$6:$P$22^2))</f>
        <v>44.8955372945569</v>
      </c>
      <c r="C1696" s="123" t="n">
        <f aca="false">-SUMPRODUCT(固有振動数!$Q$6:$Q$22*固有振動数!$P$6:$P$22/((1-($A1696/固有振動数!$O$6:$O$22)^2)^2+固有振動数!$P$6:$P$22^2))</f>
        <v>-25.6138246414307</v>
      </c>
      <c r="D1696" s="124" t="n">
        <f aca="false">SQRT(B1696^2+C1696^2)</f>
        <v>51.6882702528234</v>
      </c>
      <c r="E1696" s="125" t="n">
        <f aca="false">20*LOG10(MAX(D1696,0.000000000001)/$K$3)</f>
        <v>34.267839975053</v>
      </c>
    </row>
    <row r="1697" customFormat="false" ht="15" hidden="false" customHeight="false" outlineLevel="0" collapsed="false">
      <c r="A1697" s="126" t="n">
        <f aca="false">A1696+$F$3</f>
        <v>16910</v>
      </c>
      <c r="B1697" s="127" t="n">
        <f aca="false">SUMPRODUCT(固有振動数!$Q$6:$Q$22*(1-($A1697/固有振動数!$O$6:$O$22)^2)/((1-($A1697/固有振動数!$O$6:$O$22)^2)^2+固有振動数!$P$6:$P$22^2))</f>
        <v>45.1641074184286</v>
      </c>
      <c r="C1697" s="127" t="n">
        <f aca="false">-SUMPRODUCT(固有振動数!$Q$6:$Q$22*固有振動数!$P$6:$P$22/((1-($A1697/固有振動数!$O$6:$O$22)^2)^2+固有振動数!$P$6:$P$22^2))</f>
        <v>-26.81067711974</v>
      </c>
      <c r="D1697" s="128" t="n">
        <f aca="false">SQRT(B1697^2+C1697^2)</f>
        <v>52.5224619236599</v>
      </c>
      <c r="E1697" s="129" t="n">
        <f aca="false">20*LOG10(MAX(D1697,0.000000000001)/$K$3)</f>
        <v>34.4069014979304</v>
      </c>
    </row>
    <row r="1698" customFormat="false" ht="15" hidden="false" customHeight="false" outlineLevel="0" collapsed="false">
      <c r="A1698" s="122" t="n">
        <f aca="false">A1697+$F$3</f>
        <v>16920</v>
      </c>
      <c r="B1698" s="123" t="n">
        <f aca="false">SUMPRODUCT(固有振動数!$Q$6:$Q$22*(1-($A1698/固有振動数!$O$6:$O$22)^2)/((1-($A1698/固有振動数!$O$6:$O$22)^2)^2+固有振動数!$P$6:$P$22^2))</f>
        <v>45.3818183136483</v>
      </c>
      <c r="C1698" s="123" t="n">
        <f aca="false">-SUMPRODUCT(固有振動数!$Q$6:$Q$22*固有振動数!$P$6:$P$22/((1-($A1698/固有振動数!$O$6:$O$22)^2)^2+固有振動数!$P$6:$P$22^2))</f>
        <v>-28.0713769573951</v>
      </c>
      <c r="D1698" s="124" t="n">
        <f aca="false">SQRT(B1698^2+C1698^2)</f>
        <v>53.362080522944</v>
      </c>
      <c r="E1698" s="125" t="n">
        <f aca="false">20*LOG10(MAX(D1698,0.000000000001)/$K$3)</f>
        <v>34.5446550770977</v>
      </c>
    </row>
    <row r="1699" customFormat="false" ht="15" hidden="false" customHeight="false" outlineLevel="0" collapsed="false">
      <c r="A1699" s="126" t="n">
        <f aca="false">A1698+$F$3</f>
        <v>16930</v>
      </c>
      <c r="B1699" s="127" t="n">
        <f aca="false">SUMPRODUCT(固有振動数!$Q$6:$Q$22*(1-($A1699/固有振動数!$O$6:$O$22)^2)/((1-($A1699/固有振動数!$O$6:$O$22)^2)^2+固有振動数!$P$6:$P$22^2))</f>
        <v>45.5394770938543</v>
      </c>
      <c r="C1699" s="127" t="n">
        <f aca="false">-SUMPRODUCT(固有振動数!$Q$6:$Q$22*固有振動数!$P$6:$P$22/((1-($A1699/固有振動数!$O$6:$O$22)^2)^2+固有振動数!$P$6:$P$22^2))</f>
        <v>-29.3962285910093</v>
      </c>
      <c r="D1699" s="128" t="n">
        <f aca="false">SQRT(B1699^2+C1699^2)</f>
        <v>54.2031570054416</v>
      </c>
      <c r="E1699" s="129" t="n">
        <f aca="false">20*LOG10(MAX(D1699,0.000000000001)/$K$3)</f>
        <v>34.6804916459388</v>
      </c>
    </row>
    <row r="1700" customFormat="false" ht="15" hidden="false" customHeight="false" outlineLevel="0" collapsed="false">
      <c r="A1700" s="122" t="n">
        <f aca="false">A1699+$F$3</f>
        <v>16940</v>
      </c>
      <c r="B1700" s="123" t="n">
        <f aca="false">SUMPRODUCT(固有振動数!$Q$6:$Q$22*(1-($A1700/固有振動数!$O$6:$O$22)^2)/((1-($A1700/固有振動数!$O$6:$O$22)^2)^2+固有振動数!$P$6:$P$22^2))</f>
        <v>45.6269155348726</v>
      </c>
      <c r="C1700" s="123" t="n">
        <f aca="false">-SUMPRODUCT(固有振動数!$Q$6:$Q$22*固有振動数!$P$6:$P$22/((1-($A1700/固有振動数!$O$6:$O$22)^2)^2+固有振動数!$P$6:$P$22^2))</f>
        <v>-30.7844685808848</v>
      </c>
      <c r="D1700" s="124" t="n">
        <f aca="false">SQRT(B1700^2+C1700^2)</f>
        <v>55.040884141099</v>
      </c>
      <c r="E1700" s="125" t="n">
        <f aca="false">20*LOG10(MAX(D1700,0.000000000001)/$K$3)</f>
        <v>34.8137080301728</v>
      </c>
    </row>
    <row r="1701" customFormat="false" ht="15" hidden="false" customHeight="false" outlineLevel="0" collapsed="false">
      <c r="A1701" s="126" t="n">
        <f aca="false">A1700+$F$3</f>
        <v>16950</v>
      </c>
      <c r="B1701" s="127" t="n">
        <f aca="false">SUMPRODUCT(固有振動数!$Q$6:$Q$22*(1-($A1701/固有振動数!$O$6:$O$22)^2)/((1-($A1701/固有振動数!$O$6:$O$22)^2)^2+固有振動数!$P$6:$P$22^2))</f>
        <v>45.6330312336457</v>
      </c>
      <c r="C1701" s="127" t="n">
        <f aca="false">-SUMPRODUCT(固有振動数!$Q$6:$Q$22*固有振動数!$P$6:$P$22/((1-($A1701/固有振動数!$O$6:$O$22)^2)^2+固有振動数!$P$6:$P$22^2))</f>
        <v>-32.2339767695947</v>
      </c>
      <c r="D1701" s="128" t="n">
        <f aca="false">SQRT(B1701^2+C1701^2)</f>
        <v>55.8695158199323</v>
      </c>
      <c r="E1701" s="129" t="n">
        <f aca="false">20*LOG10(MAX(D1701,0.000000000001)/$K$3)</f>
        <v>34.9434981533021</v>
      </c>
    </row>
    <row r="1702" customFormat="false" ht="15" hidden="false" customHeight="false" outlineLevel="0" collapsed="false">
      <c r="A1702" s="122" t="n">
        <f aca="false">A1701+$F$3</f>
        <v>16960</v>
      </c>
      <c r="B1702" s="123" t="n">
        <f aca="false">SUMPRODUCT(固有振動数!$Q$6:$Q$22*(1-($A1702/固有振動数!$O$6:$O$22)^2)/((1-($A1702/固有振動数!$O$6:$O$22)^2)^2+固有振動数!$P$6:$P$22^2))</f>
        <v>45.5458915280118</v>
      </c>
      <c r="C1702" s="123" t="n">
        <f aca="false">-SUMPRODUCT(固有振動数!$Q$6:$Q$22*固有振動数!$P$6:$P$22/((1-($A1702/固有振動数!$O$6:$O$22)^2)^2+固有振動数!$P$6:$P$22^2))</f>
        <v>-33.7409515411324</v>
      </c>
      <c r="D1702" s="124" t="n">
        <f aca="false">SQRT(B1702^2+C1702^2)</f>
        <v>56.6822727665578</v>
      </c>
      <c r="E1702" s="125" t="n">
        <f aca="false">20*LOG10(MAX(D1702,0.000000000001)/$K$3)</f>
        <v>35.0689451131548</v>
      </c>
    </row>
    <row r="1703" customFormat="false" ht="15" hidden="false" customHeight="false" outlineLevel="0" collapsed="false">
      <c r="A1703" s="126" t="n">
        <f aca="false">A1702+$F$3</f>
        <v>16970</v>
      </c>
      <c r="B1703" s="127" t="n">
        <f aca="false">SUMPRODUCT(固有振動数!$Q$6:$Q$22*(1-($A1703/固有振動数!$O$6:$O$22)^2)/((1-($A1703/固有振動数!$O$6:$O$22)^2)^2+固有振動数!$P$6:$P$22^2))</f>
        <v>45.3529196997315</v>
      </c>
      <c r="C1703" s="127" t="n">
        <f aca="false">-SUMPRODUCT(固有振動数!$Q$6:$Q$22*固有振動数!$P$6:$P$22/((1-($A1703/固有振動数!$O$6:$O$22)^2)^2+固有振動数!$P$6:$P$22^2))</f>
        <v>-35.2995579626931</v>
      </c>
      <c r="D1703" s="128" t="n">
        <f aca="false">SQRT(B1703^2+C1703^2)</f>
        <v>57.4712634074789</v>
      </c>
      <c r="E1703" s="129" t="n">
        <f aca="false">20*LOG10(MAX(D1703,0.000000000001)/$K$3)</f>
        <v>35.1890148892079</v>
      </c>
    </row>
    <row r="1704" customFormat="false" ht="15" hidden="false" customHeight="false" outlineLevel="0" collapsed="false">
      <c r="A1704" s="122" t="n">
        <f aca="false">A1703+$F$3</f>
        <v>16980</v>
      </c>
      <c r="B1704" s="123" t="n">
        <f aca="false">SUMPRODUCT(固有振動数!$Q$6:$Q$22*(1-($A1704/固有振動数!$O$6:$O$22)^2)/((1-($A1704/固有振動数!$O$6:$O$22)^2)^2+固有振動数!$P$6:$P$22^2))</f>
        <v>45.0411842432018</v>
      </c>
      <c r="C1704" s="123" t="n">
        <f aca="false">-SUMPRODUCT(固有振動数!$Q$6:$Q$22*固有振動数!$P$6:$P$22/((1-($A1704/固有振動数!$O$6:$O$22)^2)^2+固有振動数!$P$6:$P$22^2))</f>
        <v>-36.9015649026354</v>
      </c>
      <c r="D1704" s="124" t="n">
        <f aca="false">SQRT(B1704^2+C1704^2)</f>
        <v>58.2274314244881</v>
      </c>
      <c r="E1704" s="125" t="n">
        <f aca="false">20*LOG10(MAX(D1704,0.000000000001)/$K$3)</f>
        <v>35.3025526516281</v>
      </c>
    </row>
    <row r="1705" customFormat="false" ht="15" hidden="false" customHeight="false" outlineLevel="0" collapsed="false">
      <c r="A1705" s="126" t="n">
        <f aca="false">A1704+$F$3</f>
        <v>16990</v>
      </c>
      <c r="B1705" s="127" t="n">
        <f aca="false">SUMPRODUCT(固有振動数!$Q$6:$Q$22*(1-($A1705/固有振動数!$O$6:$O$22)^2)/((1-($A1705/固有振動数!$O$6:$O$22)^2)^2+固有振動数!$P$6:$P$22^2))</f>
        <v>44.5978110293206</v>
      </c>
      <c r="C1705" s="127" t="n">
        <f aca="false">-SUMPRODUCT(固有振動数!$Q$6:$Q$22*固有振動数!$P$6:$P$22/((1-($A1705/固有振動数!$O$6:$O$22)^2)^2+固有振動数!$P$6:$P$22^2))</f>
        <v>-38.5359964986707</v>
      </c>
      <c r="D1705" s="128" t="n">
        <f aca="false">SQRT(B1705^2+C1705^2)</f>
        <v>58.9405444049556</v>
      </c>
      <c r="E1705" s="129" t="n">
        <f aca="false">20*LOG10(MAX(D1705,0.000000000001)/$K$3)</f>
        <v>35.4082828579592</v>
      </c>
    </row>
    <row r="1706" customFormat="false" ht="15" hidden="false" customHeight="false" outlineLevel="0" collapsed="false">
      <c r="A1706" s="122" t="n">
        <f aca="false">A1705+$F$3</f>
        <v>17000</v>
      </c>
      <c r="B1706" s="123" t="n">
        <f aca="false">SUMPRODUCT(固有振動数!$Q$6:$Q$22*(1-($A1706/固有振動数!$O$6:$O$22)^2)/((1-($A1706/固有振動数!$O$6:$O$22)^2)^2+固有振動数!$P$6:$P$22^2))</f>
        <v>44.0105337541725</v>
      </c>
      <c r="C1706" s="123" t="n">
        <f aca="false">-SUMPRODUCT(固有振動数!$Q$6:$Q$22*固有振動数!$P$6:$P$22/((1-($A1706/固有振動数!$O$6:$O$22)^2)^2+固有振動数!$P$6:$P$22^2))</f>
        <v>-40.1888341694716</v>
      </c>
      <c r="D1706" s="124" t="n">
        <f aca="false">SQRT(B1706^2+C1706^2)</f>
        <v>59.5992405423798</v>
      </c>
      <c r="E1706" s="125" t="n">
        <f aca="false">20*LOG10(MAX(D1706,0.000000000001)/$K$3)</f>
        <v>35.5048145134775</v>
      </c>
    </row>
    <row r="1707" customFormat="false" ht="15" hidden="false" customHeight="false" outlineLevel="0" collapsed="false">
      <c r="A1707" s="126" t="n">
        <f aca="false">A1706+$F$3</f>
        <v>17010</v>
      </c>
      <c r="B1707" s="127" t="n">
        <f aca="false">SUMPRODUCT(固有振動数!$Q$6:$Q$22*(1-($A1707/固有振動数!$O$6:$O$22)^2)/((1-($A1707/固有振動数!$O$6:$O$22)^2)^2+固有振動数!$P$6:$P$22^2))</f>
        <v>43.2683887580672</v>
      </c>
      <c r="C1707" s="127" t="n">
        <f aca="false">-SUMPRODUCT(固有振動数!$Q$6:$Q$22*固有振動数!$P$6:$P$22/((1-($A1707/固有振動数!$O$6:$O$22)^2)^2+固有振動数!$P$6:$P$22^2))</f>
        <v>-41.8428166119163</v>
      </c>
      <c r="D1707" s="128" t="n">
        <f aca="false">SQRT(B1707^2+C1707^2)</f>
        <v>60.1911519057219</v>
      </c>
      <c r="E1707" s="129" t="n">
        <f aca="false">20*LOG10(MAX(D1707,0.000000000001)/$K$3)</f>
        <v>35.5906530939461</v>
      </c>
    </row>
    <row r="1708" customFormat="false" ht="15" hidden="false" customHeight="false" outlineLevel="0" collapsed="false">
      <c r="A1708" s="122" t="n">
        <f aca="false">A1707+$F$3</f>
        <v>17020</v>
      </c>
      <c r="B1708" s="123" t="n">
        <f aca="false">SUMPRODUCT(固有振動数!$Q$6:$Q$22*(1-($A1708/固有振動数!$O$6:$O$22)^2)/((1-($A1708/固有振動数!$O$6:$O$22)^2)^2+固有振動数!$P$6:$P$22^2))</f>
        <v>42.3625449755491</v>
      </c>
      <c r="C1708" s="123" t="n">
        <f aca="false">-SUMPRODUCT(固有振動数!$Q$6:$Q$22*固有振動数!$P$6:$P$22/((1-($A1708/固有振動数!$O$6:$O$22)^2)^2+固有振動数!$P$6:$P$22^2))</f>
        <v>-43.4773949019406</v>
      </c>
      <c r="D1708" s="124" t="n">
        <f aca="false">SQRT(B1708^2+C1708^2)</f>
        <v>60.7031225248315</v>
      </c>
      <c r="E1708" s="125" t="n">
        <f aca="false">20*LOG10(MAX(D1708,0.000000000001)/$K$3)</f>
        <v>35.664220628894</v>
      </c>
    </row>
    <row r="1709" customFormat="false" ht="15" hidden="false" customHeight="false" outlineLevel="0" collapsed="false">
      <c r="A1709" s="126" t="n">
        <f aca="false">A1708+$F$3</f>
        <v>17030</v>
      </c>
      <c r="B1709" s="127" t="n">
        <f aca="false">SUMPRODUCT(固有振動数!$Q$6:$Q$22*(1-($A1709/固有振動数!$O$6:$O$22)^2)/((1-($A1709/固有振動数!$O$6:$O$22)^2)^2+固有振動数!$P$6:$P$22^2))</f>
        <v>41.2872380238584</v>
      </c>
      <c r="C1709" s="127" t="n">
        <f aca="false">-SUMPRODUCT(固有振動数!$Q$6:$Q$22*固有振動数!$P$6:$P$22/((1-($A1709/固有振動数!$O$6:$O$22)^2)^2+固有振動数!$P$6:$P$22^2))</f>
        <v>-45.0689049424412</v>
      </c>
      <c r="D1709" s="128" t="n">
        <f aca="false">SQRT(B1709^2+C1709^2)</f>
        <v>61.1215364364275</v>
      </c>
      <c r="E1709" s="129" t="n">
        <f aca="false">20*LOG10(MAX(D1709,0.000000000001)/$K$3)</f>
        <v>35.7238852547674</v>
      </c>
    </row>
    <row r="1710" customFormat="false" ht="15" hidden="false" customHeight="false" outlineLevel="0" collapsed="false">
      <c r="A1710" s="122" t="n">
        <f aca="false">A1709+$F$3</f>
        <v>17040</v>
      </c>
      <c r="B1710" s="123" t="n">
        <f aca="false">SUMPRODUCT(固有振動数!$Q$6:$Q$22*(1-($A1710/固有振動数!$O$6:$O$22)^2)/((1-($A1710/固有振動数!$O$6:$O$22)^2)^2+固有振動数!$P$6:$P$22^2))</f>
        <v>40.0407502875687</v>
      </c>
      <c r="C1710" s="123" t="n">
        <f aca="false">-SUMPRODUCT(固有振動数!$Q$6:$Q$22*固有振動数!$P$6:$P$22/((1-($A1710/固有振動数!$O$6:$O$22)^2)^2+固有振動数!$P$6:$P$22^2))</f>
        <v>-46.5910163466573</v>
      </c>
      <c r="D1710" s="124" t="n">
        <f aca="false">SQRT(B1710^2+C1710^2)</f>
        <v>61.4327639603324</v>
      </c>
      <c r="E1710" s="125" t="n">
        <f aca="false">20*LOG10(MAX(D1710,0.000000000001)/$K$3)</f>
        <v>35.7680011075362</v>
      </c>
    </row>
    <row r="1711" customFormat="false" ht="15" hidden="false" customHeight="false" outlineLevel="0" collapsed="false">
      <c r="A1711" s="126" t="n">
        <f aca="false">A1710+$F$3</f>
        <v>17050</v>
      </c>
      <c r="B1711" s="127" t="n">
        <f aca="false">SUMPRODUCT(固有振動数!$Q$6:$Q$22*(1-($A1711/固有振動数!$O$6:$O$22)^2)/((1-($A1711/固有振動数!$O$6:$O$22)^2)^2+固有振動数!$P$6:$P$22^2))</f>
        <v>38.6263494666437</v>
      </c>
      <c r="C1711" s="127" t="n">
        <f aca="false">-SUMPRODUCT(固有振動数!$Q$6:$Q$22*固有振動数!$P$6:$P$22/((1-($A1711/固有振動数!$O$6:$O$22)^2)^2+固有振動数!$P$6:$P$22^2))</f>
        <v>-48.0155016173299</v>
      </c>
      <c r="D1711" s="128" t="n">
        <f aca="false">SQRT(B1711^2+C1711^2)</f>
        <v>61.6237232620936</v>
      </c>
      <c r="E1711" s="129" t="n">
        <f aca="false">20*LOG10(MAX(D1711,0.000000000001)/$K$3)</f>
        <v>35.7949586908265</v>
      </c>
    </row>
    <row r="1712" customFormat="false" ht="15" hidden="false" customHeight="false" outlineLevel="0" collapsed="false">
      <c r="A1712" s="122" t="n">
        <f aca="false">A1711+$F$3</f>
        <v>17060</v>
      </c>
      <c r="B1712" s="123" t="n">
        <f aca="false">SUMPRODUCT(固有振動数!$Q$6:$Q$22*(1-($A1712/固有振動数!$O$6:$O$22)^2)/((1-($A1712/固有振動数!$O$6:$O$22)^2)^2+固有振動数!$P$6:$P$22^2))</f>
        <v>37.0530720611379</v>
      </c>
      <c r="C1712" s="123" t="n">
        <f aca="false">-SUMPRODUCT(固有振動数!$Q$6:$Q$22*固有振動数!$P$6:$P$22/((1-($A1712/固有振動数!$O$6:$O$22)^2)^2+固有振動数!$P$6:$P$22^2))</f>
        <v>-49.3133395658445</v>
      </c>
      <c r="D1712" s="124" t="n">
        <f aca="false">SQRT(B1712^2+C1712^2)</f>
        <v>61.6825389255677</v>
      </c>
      <c r="E1712" s="125" t="n">
        <f aca="false">20*LOG10(MAX(D1712,0.000000000001)/$K$3)</f>
        <v>35.8032448296098</v>
      </c>
    </row>
    <row r="1713" customFormat="false" ht="15" hidden="false" customHeight="false" outlineLevel="0" collapsed="false">
      <c r="A1713" s="126" t="n">
        <f aca="false">A1712+$F$3</f>
        <v>17070</v>
      </c>
      <c r="B1713" s="127" t="n">
        <f aca="false">SUMPRODUCT(固有振動数!$Q$6:$Q$22*(1-($A1713/固有振動数!$O$6:$O$22)^2)/((1-($A1713/固有振動数!$O$6:$O$22)^2)^2+固有振動数!$P$6:$P$22^2))</f>
        <v>35.3362233822511</v>
      </c>
      <c r="C1713" s="127" t="n">
        <f aca="false">-SUMPRODUCT(固有振動数!$Q$6:$Q$22*固有振動数!$P$6:$P$22/((1-($A1713/固有振動数!$O$6:$O$22)^2)^2+固有振動数!$P$6:$P$22^2))</f>
        <v>-50.4561225125099</v>
      </c>
      <c r="D1713" s="128" t="n">
        <f aca="false">SQRT(B1713^2+C1713^2)</f>
        <v>61.5992612124346</v>
      </c>
      <c r="E1713" s="129" t="n">
        <f aca="false">20*LOG10(MAX(D1713,0.000000000001)/$K$3)</f>
        <v>35.7915100701434</v>
      </c>
    </row>
    <row r="1714" customFormat="false" ht="15" hidden="false" customHeight="false" outlineLevel="0" collapsed="false">
      <c r="A1714" s="122" t="n">
        <f aca="false">A1713+$F$3</f>
        <v>17080</v>
      </c>
      <c r="B1714" s="123" t="n">
        <f aca="false">SUMPRODUCT(固有振動数!$Q$6:$Q$22*(1-($A1714/固有振動数!$O$6:$O$22)^2)/((1-($A1714/固有振動数!$O$6:$O$22)^2)^2+固有振動数!$P$6:$P$22^2))</f>
        <v>33.4974701652349</v>
      </c>
      <c r="C1714" s="123" t="n">
        <f aca="false">-SUMPRODUCT(固有振動数!$Q$6:$Q$22*固有振動数!$P$6:$P$22/((1-($A1714/固有振動数!$O$6:$O$22)^2)^2+固有振動数!$P$6:$P$22^2))</f>
        <v>-51.4176824703377</v>
      </c>
      <c r="D1714" s="124" t="n">
        <f aca="false">SQRT(B1714^2+C1714^2)</f>
        <v>61.3665917099139</v>
      </c>
      <c r="E1714" s="125" t="n">
        <f aca="false">20*LOG10(MAX(D1714,0.000000000001)/$K$3)</f>
        <v>35.7586400662387</v>
      </c>
    </row>
    <row r="1715" customFormat="false" ht="15" hidden="false" customHeight="false" outlineLevel="0" collapsed="false">
      <c r="A1715" s="126" t="n">
        <f aca="false">A1714+$F$3</f>
        <v>17090</v>
      </c>
      <c r="B1715" s="127" t="n">
        <f aca="false">SUMPRODUCT(固有振動数!$Q$6:$Q$22*(1-($A1715/固有振動数!$O$6:$O$22)^2)/((1-($A1715/固有振動数!$O$6:$O$22)^2)^2+固有振動数!$P$6:$P$22^2))</f>
        <v>31.5644318511623</v>
      </c>
      <c r="C1715" s="127" t="n">
        <f aca="false">-SUMPRODUCT(固有振動数!$Q$6:$Q$22*固有振動数!$P$6:$P$22/((1-($A1715/固有振動数!$O$6:$O$22)^2)^2+固有振動数!$P$6:$P$22^2))</f>
        <v>-52.1757967485966</v>
      </c>
      <c r="D1715" s="128" t="n">
        <f aca="false">SQRT(B1715^2+C1715^2)</f>
        <v>60.9805470985423</v>
      </c>
      <c r="E1715" s="129" t="n">
        <f aca="false">20*LOG10(MAX(D1715,0.000000000001)/$K$3)</f>
        <v>35.7038263280428</v>
      </c>
    </row>
    <row r="1716" customFormat="false" ht="15" hidden="false" customHeight="false" outlineLevel="0" collapsed="false">
      <c r="A1716" s="122" t="n">
        <f aca="false">A1715+$F$3</f>
        <v>17100</v>
      </c>
      <c r="B1716" s="123" t="n">
        <f aca="false">SUMPRODUCT(固有振動数!$Q$6:$Q$22*(1-($A1716/固有振動数!$O$6:$O$22)^2)/((1-($A1716/固有振動数!$O$6:$O$22)^2)^2+固有振動数!$P$6:$P$22^2))</f>
        <v>29.5697329527774</v>
      </c>
      <c r="C1716" s="123" t="n">
        <f aca="false">-SUMPRODUCT(固有振動数!$Q$6:$Q$22*固有振動数!$P$6:$P$22/((1-($A1716/固有振動数!$O$6:$O$22)^2)^2+固有振動数!$P$6:$P$22^2))</f>
        <v>-52.7137915035044</v>
      </c>
      <c r="D1716" s="124" t="n">
        <f aca="false">SQRT(B1716^2+C1716^2)</f>
        <v>60.4409870995958</v>
      </c>
      <c r="E1716" s="125" t="n">
        <f aca="false">20*LOG10(MAX(D1716,0.000000000001)/$K$3)</f>
        <v>35.6266309691991</v>
      </c>
    </row>
    <row r="1717" customFormat="false" ht="15" hidden="false" customHeight="false" outlineLevel="0" collapsed="false">
      <c r="A1717" s="126" t="n">
        <f aca="false">A1716+$F$3</f>
        <v>17110</v>
      </c>
      <c r="B1717" s="127" t="n">
        <f aca="false">SUMPRODUCT(固有振動数!$Q$6:$Q$22*(1-($A1717/固有振動数!$O$6:$O$22)^2)/((1-($A1717/固有振動数!$O$6:$O$22)^2)^2+固有振動数!$P$6:$P$22^2))</f>
        <v>27.5495548390478</v>
      </c>
      <c r="C1717" s="127" t="n">
        <f aca="false">-SUMPRODUCT(固有振動数!$Q$6:$Q$22*固有振動数!$P$6:$P$22/((1-($A1717/固有振動数!$O$6:$O$22)^2)^2+固有振動数!$P$6:$P$22^2))</f>
        <v>-53.0218464472346</v>
      </c>
      <c r="D1717" s="128" t="n">
        <f aca="false">SQRT(B1717^2+C1717^2)</f>
        <v>59.7519386505897</v>
      </c>
      <c r="E1717" s="129" t="n">
        <f aca="false">20*LOG10(MAX(D1717,0.000000000001)/$K$3)</f>
        <v>35.5270400105106</v>
      </c>
    </row>
    <row r="1718" customFormat="false" ht="15" hidden="false" customHeight="false" outlineLevel="0" collapsed="false">
      <c r="A1718" s="122" t="n">
        <f aca="false">A1717+$F$3</f>
        <v>17120</v>
      </c>
      <c r="B1718" s="123" t="n">
        <f aca="false">SUMPRODUCT(固有振動数!$Q$6:$Q$22*(1-($A1718/固有振動数!$O$6:$O$22)^2)/((1-($A1718/固有振動数!$O$6:$O$22)^2)^2+固有振動数!$P$6:$P$22^2))</f>
        <v>25.5418063332403</v>
      </c>
      <c r="C1718" s="123" t="n">
        <f aca="false">-SUMPRODUCT(固有振動数!$Q$6:$Q$22*固有振動数!$P$6:$P$22/((1-($A1718/固有振動数!$O$6:$O$22)^2)^2+固有振動数!$P$6:$P$22^2))</f>
        <v>-53.0978246016365</v>
      </c>
      <c r="D1718" s="124" t="n">
        <f aca="false">SQRT(B1718^2+C1718^2)</f>
        <v>58.9216670520353</v>
      </c>
      <c r="E1718" s="125" t="n">
        <f aca="false">20*LOG10(MAX(D1718,0.000000000001)/$K$3)</f>
        <v>35.4055005140086</v>
      </c>
    </row>
    <row r="1719" customFormat="false" ht="15" hidden="false" customHeight="false" outlineLevel="0" collapsed="false">
      <c r="A1719" s="126" t="n">
        <f aca="false">A1718+$F$3</f>
        <v>17130</v>
      </c>
      <c r="B1719" s="127" t="n">
        <f aca="false">SUMPRODUCT(固有振動数!$Q$6:$Q$22*(1-($A1719/固有振動数!$O$6:$O$22)^2)/((1-($A1719/固有振動数!$O$6:$O$22)^2)^2+固有振動数!$P$6:$P$22^2))</f>
        <v>23.5840998497367</v>
      </c>
      <c r="C1719" s="127" t="n">
        <f aca="false">-SUMPRODUCT(固有振動数!$Q$6:$Q$22*固有振動数!$P$6:$P$22/((1-($A1719/固有振動数!$O$6:$O$22)^2)^2+固有振動数!$P$6:$P$22^2))</f>
        <v>-52.9475082699365</v>
      </c>
      <c r="D1719" s="128" t="n">
        <f aca="false">SQRT(B1719^2+C1719^2)</f>
        <v>57.9624740475883</v>
      </c>
      <c r="E1719" s="129" t="n">
        <f aca="false">20*LOG10(MAX(D1719,0.000000000001)/$K$3)</f>
        <v>35.2629382890139</v>
      </c>
    </row>
    <row r="1720" customFormat="false" ht="15" hidden="false" customHeight="false" outlineLevel="0" collapsed="false">
      <c r="A1720" s="122" t="n">
        <f aca="false">A1719+$F$3</f>
        <v>17140</v>
      </c>
      <c r="B1720" s="123" t="n">
        <f aca="false">SUMPRODUCT(固有振動数!$Q$6:$Q$22*(1-($A1720/固有振動数!$O$6:$O$22)^2)/((1-($A1720/固有振動数!$O$6:$O$22)^2)^2+固有振動数!$P$6:$P$22^2))</f>
        <v>21.7117558862731</v>
      </c>
      <c r="C1720" s="123" t="n">
        <f aca="false">-SUMPRODUCT(固有振動数!$Q$6:$Q$22*固有振動数!$P$6:$P$22/((1-($A1720/固有振動数!$O$6:$O$22)^2)^2+固有振動数!$P$6:$P$22^2))</f>
        <v>-52.5842062945309</v>
      </c>
      <c r="D1720" s="124" t="n">
        <f aca="false">SQRT(B1720^2+C1720^2)</f>
        <v>56.8902372581702</v>
      </c>
      <c r="E1720" s="125" t="n">
        <f aca="false">20*LOG10(MAX(D1720,0.000000000001)/$K$3)</f>
        <v>35.1007548995422</v>
      </c>
    </row>
    <row r="1721" customFormat="false" ht="15" hidden="false" customHeight="false" outlineLevel="0" collapsed="false">
      <c r="A1721" s="126" t="n">
        <f aca="false">A1720+$F$3</f>
        <v>17150</v>
      </c>
      <c r="B1721" s="127" t="n">
        <f aca="false">SUMPRODUCT(固有振動数!$Q$6:$Q$22*(1-($A1721/固有振動数!$O$6:$O$22)^2)/((1-($A1721/固有振動数!$O$6:$O$22)^2)^2+固有振動数!$P$6:$P$22^2))</f>
        <v>19.9560535871842</v>
      </c>
      <c r="C1721" s="127" t="n">
        <f aca="false">-SUMPRODUCT(固有振動数!$Q$6:$Q$22*固有振動数!$P$6:$P$22/((1-($A1721/固有振動数!$O$6:$O$22)^2)^2+固有振動数!$P$6:$P$22^2))</f>
        <v>-52.0277897229706</v>
      </c>
      <c r="D1721" s="128" t="n">
        <f aca="false">SQRT(B1721^2+C1721^2)</f>
        <v>55.7237380138142</v>
      </c>
      <c r="E1721" s="129" t="n">
        <f aca="false">20*LOG10(MAX(D1721,0.000000000001)/$K$3)</f>
        <v>34.9208048342639</v>
      </c>
    </row>
    <row r="1722" customFormat="false" ht="15" hidden="false" customHeight="false" outlineLevel="0" collapsed="false">
      <c r="A1722" s="122" t="n">
        <f aca="false">A1721+$F$3</f>
        <v>17160</v>
      </c>
      <c r="B1722" s="123" t="n">
        <f aca="false">SUMPRODUCT(固有振動数!$Q$6:$Q$22*(1-($A1722/固有振動数!$O$6:$O$22)^2)/((1-($A1722/固有振動数!$O$6:$O$22)^2)^2+固有振動数!$P$6:$P$22^2))</f>
        <v>18.3429001676474</v>
      </c>
      <c r="C1722" s="123" t="n">
        <f aca="false">-SUMPRODUCT(固有振動数!$Q$6:$Q$22*固有振動数!$P$6:$P$22/((1-($A1722/固有振動数!$O$6:$O$22)^2)^2+固有振動数!$P$6:$P$22^2))</f>
        <v>-51.3032920624283</v>
      </c>
      <c r="D1722" s="124" t="n">
        <f aca="false">SQRT(B1722^2+C1722^2)</f>
        <v>54.4838486434567</v>
      </c>
      <c r="E1722" s="125" t="n">
        <f aca="false">20*LOG10(MAX(D1722,0.000000000001)/$K$3)</f>
        <v>34.7253555557674</v>
      </c>
    </row>
    <row r="1723" customFormat="false" ht="15" hidden="false" customHeight="false" outlineLevel="0" collapsed="false">
      <c r="A1723" s="126" t="n">
        <f aca="false">A1722+$F$3</f>
        <v>17170</v>
      </c>
      <c r="B1723" s="127" t="n">
        <f aca="false">SUMPRODUCT(固有振動数!$Q$6:$Q$22*(1-($A1723/固有振動数!$O$6:$O$22)^2)/((1-($A1723/固有振動数!$O$6:$O$22)^2)^2+固有振動数!$P$6:$P$22^2))</f>
        <v>16.892019417286</v>
      </c>
      <c r="C1723" s="127" t="n">
        <f aca="false">-SUMPRODUCT(固有振動数!$Q$6:$Q$22*固有振動数!$P$6:$P$22/((1-($A1723/固有振動数!$O$6:$O$22)^2)^2+固有振動数!$P$6:$P$22^2))</f>
        <v>-50.4392594389618</v>
      </c>
      <c r="D1723" s="128" t="n">
        <f aca="false">SQRT(B1723^2+C1723^2)</f>
        <v>53.1926612677432</v>
      </c>
      <c r="E1723" s="129" t="n">
        <f aca="false">20*LOG10(MAX(D1723,0.000000000001)/$K$3)</f>
        <v>34.5170343786933</v>
      </c>
    </row>
    <row r="1724" customFormat="false" ht="15" hidden="false" customHeight="false" outlineLevel="0" collapsed="false">
      <c r="A1724" s="122" t="n">
        <f aca="false">A1723+$F$3</f>
        <v>17180</v>
      </c>
      <c r="B1724" s="123" t="n">
        <f aca="false">SUMPRODUCT(固有振動数!$Q$6:$Q$22*(1-($A1724/固有振動数!$O$6:$O$22)^2)/((1-($A1724/固有振動数!$O$6:$O$22)^2)^2+固有振動数!$P$6:$P$22^2))</f>
        <v>15.6166777328871</v>
      </c>
      <c r="C1724" s="123" t="n">
        <f aca="false">-SUMPRODUCT(固有振動数!$Q$6:$Q$22*固有振動数!$P$6:$P$22/((1-($A1724/固有振動数!$O$6:$O$22)^2)^2+固有振動数!$P$6:$P$22^2))</f>
        <v>-49.4660475881377</v>
      </c>
      <c r="D1724" s="124" t="n">
        <f aca="false">SQRT(B1724^2+C1724^2)</f>
        <v>51.8726371741861</v>
      </c>
      <c r="E1724" s="125" t="n">
        <f aca="false">20*LOG10(MAX(D1724,0.000000000001)/$K$3)</f>
        <v>34.2987665565877</v>
      </c>
    </row>
    <row r="1725" customFormat="false" ht="15" hidden="false" customHeight="false" outlineLevel="0" collapsed="false">
      <c r="A1725" s="126" t="n">
        <f aca="false">A1724+$F$3</f>
        <v>17190</v>
      </c>
      <c r="B1725" s="127" t="n">
        <f aca="false">SUMPRODUCT(固有振動数!$Q$6:$Q$22*(1-($A1725/固有振動数!$O$6:$O$22)^2)/((1-($A1725/固有振動数!$O$6:$O$22)^2)^2+固有振動数!$P$6:$P$22^2))</f>
        <v>14.5238935165199</v>
      </c>
      <c r="C1725" s="127" t="n">
        <f aca="false">-SUMPRODUCT(固有振動数!$Q$6:$Q$22*固有振動数!$P$6:$P$22/((1-($A1725/固有振動数!$O$6:$O$22)^2)^2+固有振動数!$P$6:$P$22^2))</f>
        <v>-48.4142396452915</v>
      </c>
      <c r="D1725" s="128" t="n">
        <f aca="false">SQRT(B1725^2+C1725^2)</f>
        <v>50.5458414047182</v>
      </c>
      <c r="E1725" s="129" t="n">
        <f aca="false">20*LOG10(MAX(D1725,0.000000000001)/$K$3)</f>
        <v>34.073708607333</v>
      </c>
    </row>
    <row r="1726" customFormat="false" ht="15" hidden="false" customHeight="false" outlineLevel="0" collapsed="false">
      <c r="A1726" s="122" t="n">
        <f aca="false">A1725+$F$3</f>
        <v>17200</v>
      </c>
      <c r="B1726" s="123" t="n">
        <f aca="false">SUMPRODUCT(固有振動数!$Q$6:$Q$22*(1-($A1726/固有振動数!$O$6:$O$22)^2)/((1-($A1726/固有振動数!$O$6:$O$22)^2)^2+固有振動数!$P$6:$P$22^2))</f>
        <v>13.6150251943405</v>
      </c>
      <c r="C1726" s="123" t="n">
        <f aca="false">-SUMPRODUCT(固有振動数!$Q$6:$Q$22*固有振動数!$P$6:$P$22/((1-($A1726/固有振動数!$O$6:$O$22)^2)^2+固有振動数!$P$6:$P$22^2))</f>
        <v>-47.3133120788397</v>
      </c>
      <c r="D1726" s="124" t="n">
        <f aca="false">SQRT(B1726^2+C1726^2)</f>
        <v>49.2333059108588</v>
      </c>
      <c r="E1726" s="125" t="n">
        <f aca="false">20*LOG10(MAX(D1726,0.000000000001)/$K$3)</f>
        <v>33.8451799738907</v>
      </c>
    </row>
    <row r="1727" customFormat="false" ht="15" hidden="false" customHeight="false" outlineLevel="0" collapsed="false">
      <c r="A1727" s="126" t="n">
        <f aca="false">A1726+$F$3</f>
        <v>17210</v>
      </c>
      <c r="B1727" s="127" t="n">
        <f aca="false">SUMPRODUCT(固有振動数!$Q$6:$Q$22*(1-($A1727/固有振動数!$O$6:$O$22)^2)/((1-($A1727/固有振動数!$O$6:$O$22)^2)^2+固有振動数!$P$6:$P$22^2))</f>
        <v>12.8866094849424</v>
      </c>
      <c r="C1727" s="127" t="n">
        <f aca="false">-SUMPRODUCT(固有振動数!$Q$6:$Q$22*固有振動数!$P$6:$P$22/((1-($A1727/固有振動数!$O$6:$O$22)^2)^2+固有振動数!$P$6:$P$22^2))</f>
        <v>-46.1906199249156</v>
      </c>
      <c r="D1727" s="128" t="n">
        <f aca="false">SQRT(B1727^2+C1727^2)</f>
        <v>47.9545417355376</v>
      </c>
      <c r="E1727" s="129" t="n">
        <f aca="false">20*LOG10(MAX(D1727,0.000000000001)/$K$3)</f>
        <v>33.6165949026153</v>
      </c>
    </row>
    <row r="1728" customFormat="false" ht="15" hidden="false" customHeight="false" outlineLevel="0" collapsed="false">
      <c r="A1728" s="122" t="n">
        <f aca="false">A1727+$F$3</f>
        <v>17220</v>
      </c>
      <c r="B1728" s="123" t="n">
        <f aca="false">SUMPRODUCT(固有振動数!$Q$6:$Q$22*(1-($A1728/固有振動数!$O$6:$O$22)^2)/((1-($A1728/固有振動数!$O$6:$O$22)^2)^2+固有振動数!$P$6:$P$22^2))</f>
        <v>12.331322501247</v>
      </c>
      <c r="C1728" s="123" t="n">
        <f aca="false">-SUMPRODUCT(固有振動数!$Q$6:$Q$22*固有振動数!$P$6:$P$22/((1-($A1728/固有振動数!$O$6:$O$22)^2)^2+固有振動数!$P$6:$P$22^2))</f>
        <v>-45.0707194423603</v>
      </c>
      <c r="D1728" s="124" t="n">
        <f aca="false">SQRT(B1728^2+C1728^2)</f>
        <v>46.7272004905249</v>
      </c>
      <c r="E1728" s="125" t="n">
        <f aca="false">20*LOG10(MAX(D1728,0.000000000001)/$K$3)</f>
        <v>33.3913952490174</v>
      </c>
    </row>
    <row r="1729" customFormat="false" ht="15" hidden="false" customHeight="false" outlineLevel="0" collapsed="false">
      <c r="A1729" s="126" t="n">
        <f aca="false">A1728+$F$3</f>
        <v>17230</v>
      </c>
      <c r="B1729" s="127" t="n">
        <f aca="false">SUMPRODUCT(固有振動数!$Q$6:$Q$22*(1-($A1729/固有振動数!$O$6:$O$22)^2)/((1-($A1729/固有振動数!$O$6:$O$22)^2)^2+固有振動数!$P$6:$P$22^2))</f>
        <v>11.9389548309296</v>
      </c>
      <c r="C1729" s="127" t="n">
        <f aca="false">-SUMPRODUCT(固有振動数!$Q$6:$Q$22*固有振動数!$P$6:$P$22/((1-($A1729/固有振動数!$O$6:$O$22)^2)^2+固有振動数!$P$6:$P$22^2))</f>
        <v>-43.9750048476568</v>
      </c>
      <c r="D1729" s="128" t="n">
        <f aca="false">SQRT(B1729^2+C1729^2)</f>
        <v>45.566870572889</v>
      </c>
      <c r="E1729" s="129" t="n">
        <f aca="false">20*LOG10(MAX(D1729,0.000000000001)/$K$3)</f>
        <v>33.1729840653534</v>
      </c>
    </row>
    <row r="1730" customFormat="false" ht="15" hidden="false" customHeight="false" outlineLevel="0" collapsed="false">
      <c r="A1730" s="122" t="n">
        <f aca="false">A1729+$F$3</f>
        <v>17240</v>
      </c>
      <c r="B1730" s="123" t="n">
        <f aca="false">SUMPRODUCT(固有振動数!$Q$6:$Q$22*(1-($A1730/固有振動数!$O$6:$O$22)^2)/((1-($A1730/固有振動数!$O$6:$O$22)^2)^2+固有振動数!$P$6:$P$22^2))</f>
        <v>11.6973194978421</v>
      </c>
      <c r="C1730" s="123" t="n">
        <f aca="false">-SUMPRODUCT(固有振動数!$Q$6:$Q$22*固有振動数!$P$6:$P$22/((1-($A1730/固有振動数!$O$6:$O$22)^2)^2+固有振動数!$P$6:$P$22^2))</f>
        <v>-42.921609353824</v>
      </c>
      <c r="D1730" s="124" t="n">
        <f aca="false">SQRT(B1730^2+C1730^2)</f>
        <v>44.4869849838902</v>
      </c>
      <c r="E1730" s="125" t="n">
        <f aca="false">20*LOG10(MAX(D1730,0.000000000001)/$K$3)</f>
        <v>32.9646594661726</v>
      </c>
    </row>
    <row r="1731" customFormat="false" ht="15" hidden="false" customHeight="false" outlineLevel="0" collapsed="false">
      <c r="A1731" s="126" t="n">
        <f aca="false">A1730+$F$3</f>
        <v>17250</v>
      </c>
      <c r="B1731" s="127" t="n">
        <f aca="false">SUMPRODUCT(固有振動数!$Q$6:$Q$22*(1-($A1731/固有振動数!$O$6:$O$22)^2)/((1-($A1731/固有振動数!$O$6:$O$22)^2)^2+固有振動数!$P$6:$P$22^2))</f>
        <v>11.5930412752921</v>
      </c>
      <c r="C1731" s="127" t="n">
        <f aca="false">-SUMPRODUCT(固有振動数!$Q$6:$Q$22*固有振動数!$P$6:$P$22/((1-($A1731/固有振動数!$O$6:$O$22)^2)^2+固有振動数!$P$6:$P$22^2))</f>
        <v>-41.9255086905992</v>
      </c>
      <c r="D1731" s="128" t="n">
        <f aca="false">SQRT(B1731^2+C1731^2)</f>
        <v>43.4988147536934</v>
      </c>
      <c r="E1731" s="129" t="n">
        <f aca="false">20*LOG10(MAX(D1731,0.000000000001)/$K$3)</f>
        <v>32.7695484710728</v>
      </c>
    </row>
    <row r="1732" customFormat="false" ht="15" hidden="false" customHeight="false" outlineLevel="0" collapsed="false">
      <c r="A1732" s="122" t="n">
        <f aca="false">A1731+$F$3</f>
        <v>17260</v>
      </c>
      <c r="B1732" s="123" t="n">
        <f aca="false">SUMPRODUCT(固有振動数!$Q$6:$Q$22*(1-($A1732/固有振動数!$O$6:$O$22)^2)/((1-($A1732/固有振動数!$O$6:$O$22)^2)^2+固有振動数!$P$6:$P$22^2))</f>
        <v>11.6122021041494</v>
      </c>
      <c r="C1732" s="123" t="n">
        <f aca="false">-SUMPRODUCT(固有振動数!$Q$6:$Q$22*固有振動数!$P$6:$P$22/((1-($A1732/固有振動数!$O$6:$O$22)^2)^2+固有振動数!$P$6:$P$22^2))</f>
        <v>-40.9987645499641</v>
      </c>
      <c r="D1732" s="124" t="n">
        <f aca="false">SQRT(B1732^2+C1732^2)</f>
        <v>42.6115234687873</v>
      </c>
      <c r="E1732" s="125" t="n">
        <f aca="false">20*LOG10(MAX(D1732,0.000000000001)/$K$3)</f>
        <v>32.5905412318898</v>
      </c>
    </row>
    <row r="1733" customFormat="false" ht="15" hidden="false" customHeight="false" outlineLevel="0" collapsed="false">
      <c r="A1733" s="126" t="n">
        <f aca="false">A1732+$F$3</f>
        <v>17270</v>
      </c>
      <c r="B1733" s="127" t="n">
        <f aca="false">SUMPRODUCT(固有振動数!$Q$6:$Q$22*(1-($A1733/固有振動数!$O$6:$O$22)^2)/((1-($A1733/固有振動数!$O$6:$O$22)^2)^2+固有振動数!$P$6:$P$22^2))</f>
        <v>11.7408377455241</v>
      </c>
      <c r="C1733" s="127" t="n">
        <f aca="false">-SUMPRODUCT(固有振動数!$Q$6:$Q$22*固有振動数!$P$6:$P$22/((1-($A1733/固有振動数!$O$6:$O$22)^2)^2+固有振動数!$P$6:$P$22^2))</f>
        <v>-40.1508520592457</v>
      </c>
      <c r="D1733" s="128" t="n">
        <f aca="false">SQRT(B1733^2+C1733^2)</f>
        <v>41.8322625738814</v>
      </c>
      <c r="E1733" s="129" t="n">
        <f aca="false">20*LOG10(MAX(D1733,0.000000000001)/$K$3)</f>
        <v>32.430227096431</v>
      </c>
    </row>
    <row r="1734" customFormat="false" ht="15" hidden="false" customHeight="false" outlineLevel="0" collapsed="false">
      <c r="A1734" s="122" t="n">
        <f aca="false">A1733+$F$3</f>
        <v>17280</v>
      </c>
      <c r="B1734" s="123" t="n">
        <f aca="false">SUMPRODUCT(固有振動数!$Q$6:$Q$22*(1-($A1734/固有振動数!$O$6:$O$22)^2)/((1-($A1734/固有振動数!$O$6:$O$22)^2)^2+固有振動数!$P$6:$P$22^2))</f>
        <v>11.9652946518278</v>
      </c>
      <c r="C1734" s="123" t="n">
        <f aca="false">-SUMPRODUCT(固有振動数!$Q$6:$Q$22*固有振動数!$P$6:$P$22/((1-($A1734/固有振動数!$O$6:$O$22)^2)^2+固有振動数!$P$6:$P$22^2))</f>
        <v>-39.3890257926002</v>
      </c>
      <c r="D1734" s="124" t="n">
        <f aca="false">SQRT(B1734^2+C1734^2)</f>
        <v>41.1662923882536</v>
      </c>
      <c r="E1734" s="125" t="n">
        <f aca="false">20*LOG10(MAX(D1734,0.000000000001)/$K$3)</f>
        <v>32.290835086935</v>
      </c>
    </row>
    <row r="1735" customFormat="false" ht="15" hidden="false" customHeight="false" outlineLevel="0" collapsed="false">
      <c r="A1735" s="126" t="n">
        <f aca="false">A1734+$F$3</f>
        <v>17290</v>
      </c>
      <c r="B1735" s="127" t="n">
        <f aca="false">SUMPRODUCT(固有振動数!$Q$6:$Q$22*(1-($A1735/固有振動数!$O$6:$O$22)^2)/((1-($A1735/固有振動数!$O$6:$O$22)^2)^2+固有振動数!$P$6:$P$22^2))</f>
        <v>12.2724640365483</v>
      </c>
      <c r="C1735" s="127" t="n">
        <f aca="false">-SUMPRODUCT(固有振動数!$Q$6:$Q$22*固有振動数!$P$6:$P$22/((1-($A1735/固有振動数!$O$6:$O$22)^2)^2+固有振動数!$P$6:$P$22^2))</f>
        <v>-38.7186902048783</v>
      </c>
      <c r="D1735" s="128" t="n">
        <f aca="false">SQRT(B1735^2+C1735^2)</f>
        <v>40.6171188627371</v>
      </c>
      <c r="E1735" s="129" t="n">
        <f aca="false">20*LOG10(MAX(D1735,0.000000000001)/$K$3)</f>
        <v>32.1741822777852</v>
      </c>
    </row>
    <row r="1736" customFormat="false" ht="15" hidden="false" customHeight="false" outlineLevel="0" collapsed="false">
      <c r="A1736" s="122" t="n">
        <f aca="false">A1735+$F$3</f>
        <v>17300</v>
      </c>
      <c r="B1736" s="123" t="n">
        <f aca="false">SUMPRODUCT(固有振動数!$Q$6:$Q$22*(1-($A1736/固有振動数!$O$6:$O$22)^2)/((1-($A1736/固有振動数!$O$6:$O$22)^2)^2+固有振動数!$P$6:$P$22^2))</f>
        <v>12.6499135395169</v>
      </c>
      <c r="C1736" s="123" t="n">
        <f aca="false">-SUMPRODUCT(固有振動数!$Q$6:$Q$22*固有振動数!$P$6:$P$22/((1-($A1736/固有振動数!$O$6:$O$22)^2)^2+固有振動数!$P$6:$P$22^2))</f>
        <v>-38.143750913852</v>
      </c>
      <c r="D1736" s="124" t="n">
        <f aca="false">SQRT(B1736^2+C1736^2)</f>
        <v>40.1866401473828</v>
      </c>
      <c r="E1736" s="125" t="n">
        <f aca="false">20*LOG10(MAX(D1736,0.000000000001)/$K$3)</f>
        <v>32.0816339598956</v>
      </c>
    </row>
    <row r="1737" customFormat="false" ht="15" hidden="false" customHeight="false" outlineLevel="0" collapsed="false">
      <c r="A1737" s="126" t="n">
        <f aca="false">A1736+$F$3</f>
        <v>17310</v>
      </c>
      <c r="B1737" s="127" t="n">
        <f aca="false">SUMPRODUCT(固有振動数!$Q$6:$Q$22*(1-($A1737/固有振動数!$O$6:$O$22)^2)/((1-($A1737/固有振動数!$O$6:$O$22)^2)^2+固有振動数!$P$6:$P$22^2))</f>
        <v>13.0859371242808</v>
      </c>
      <c r="C1737" s="127" t="n">
        <f aca="false">-SUMPRODUCT(固有振動数!$Q$6:$Q$22*固有振動数!$P$6:$P$22/((1-($A1737/固有振動数!$O$6:$O$22)^2)^2+固有振動数!$P$6:$P$22^2))</f>
        <v>-37.6669320337297</v>
      </c>
      <c r="D1737" s="128" t="n">
        <f aca="false">SQRT(B1737^2+C1737^2)</f>
        <v>39.8752996133477</v>
      </c>
      <c r="E1737" s="129" t="n">
        <f aca="false">20*LOG10(MAX(D1737,0.000000000001)/$K$3)</f>
        <v>32.0140791852219</v>
      </c>
    </row>
    <row r="1738" customFormat="false" ht="15" hidden="false" customHeight="false" outlineLevel="0" collapsed="false">
      <c r="A1738" s="122" t="n">
        <f aca="false">A1737+$F$3</f>
        <v>17320</v>
      </c>
      <c r="B1738" s="123" t="n">
        <f aca="false">SUMPRODUCT(固有振動数!$Q$6:$Q$22*(1-($A1738/固有振動数!$O$6:$O$22)^2)/((1-($A1738/固有振動数!$O$6:$O$22)^2)^2+固有振動数!$P$6:$P$22^2))</f>
        <v>13.5695421545395</v>
      </c>
      <c r="C1738" s="123" t="n">
        <f aca="false">-SUMPRODUCT(固有振動数!$Q$6:$Q$22*固有振動数!$P$6:$P$22/((1-($A1738/固有振動数!$O$6:$O$22)^2)^2+固有振動数!$P$6:$P$22^2))</f>
        <v>-37.2900514695335</v>
      </c>
      <c r="D1738" s="124" t="n">
        <f aca="false">SQRT(B1738^2+C1738^2)</f>
        <v>39.6822430425031</v>
      </c>
      <c r="E1738" s="125" t="n">
        <f aca="false">20*LOG10(MAX(D1738,0.000000000001)/$K$3)</f>
        <v>31.9719242542444</v>
      </c>
    </row>
    <row r="1739" customFormat="false" ht="15" hidden="false" customHeight="false" outlineLevel="0" collapsed="false">
      <c r="A1739" s="126" t="n">
        <f aca="false">A1738+$F$3</f>
        <v>17330</v>
      </c>
      <c r="B1739" s="127" t="n">
        <f aca="false">SUMPRODUCT(固有振動数!$Q$6:$Q$22*(1-($A1739/固有振動数!$O$6:$O$22)^2)/((1-($A1739/固有振動数!$O$6:$O$22)^2)^2+固有振動数!$P$6:$P$22^2))</f>
        <v>14.090389949015</v>
      </c>
      <c r="C1739" s="127" t="n">
        <f aca="false">-SUMPRODUCT(固有振動数!$Q$6:$Q$22*固有振動数!$P$6:$P$22/((1-($A1739/固有振動数!$O$6:$O$22)^2)^2+固有振動数!$P$6:$P$22^2))</f>
        <v>-37.0142508043244</v>
      </c>
      <c r="D1739" s="128" t="n">
        <f aca="false">SQRT(B1739^2+C1739^2)</f>
        <v>39.6054775444097</v>
      </c>
      <c r="E1739" s="129" t="n">
        <f aca="false">20*LOG10(MAX(D1739,0.000000000001)/$K$3)</f>
        <v>31.9551050835618</v>
      </c>
    </row>
    <row r="1740" customFormat="false" ht="15" hidden="false" customHeight="false" outlineLevel="0" collapsed="false">
      <c r="A1740" s="122" t="n">
        <f aca="false">A1739+$F$3</f>
        <v>17340</v>
      </c>
      <c r="B1740" s="123" t="n">
        <f aca="false">SUMPRODUCT(固有振動数!$Q$6:$Q$22*(1-($A1740/固有振動数!$O$6:$O$22)^2)/((1-($A1740/固有振動数!$O$6:$O$22)^2)^2+固有振動数!$P$6:$P$22^2))</f>
        <v>14.6387031913389</v>
      </c>
      <c r="C1740" s="123" t="n">
        <f aca="false">-SUMPRODUCT(固有振動数!$Q$6:$Q$22*固有振動数!$P$6:$P$22/((1-($A1740/固有振動数!$O$6:$O$22)^2)^2+固有振動数!$P$6:$P$22^2))</f>
        <v>-36.8401794358185</v>
      </c>
      <c r="D1740" s="124" t="n">
        <f aca="false">SQRT(B1740^2+C1740^2)</f>
        <v>39.6420288581124</v>
      </c>
      <c r="E1740" s="125" t="n">
        <f aca="false">20*LOG10(MAX(D1740,0.000000000001)/$K$3)</f>
        <v>31.9631174668877</v>
      </c>
    </row>
    <row r="1741" customFormat="false" ht="15" hidden="false" customHeight="false" outlineLevel="0" collapsed="false">
      <c r="A1741" s="126" t="n">
        <f aca="false">A1740+$F$3</f>
        <v>17350</v>
      </c>
      <c r="B1741" s="127" t="n">
        <f aca="false">SUMPRODUCT(固有振動数!$Q$6:$Q$22*(1-($A1741/固有振動数!$O$6:$O$22)^2)/((1-($A1741/固有振動数!$O$6:$O$22)^2)^2+固有振動数!$P$6:$P$22^2))</f>
        <v>15.2051508090765</v>
      </c>
      <c r="C1741" s="127" t="n">
        <f aca="false">-SUMPRODUCT(固有振動数!$Q$6:$Q$22*固有振動数!$P$6:$P$22/((1-($A1741/固有振動数!$O$6:$O$22)^2)^2+固有振動数!$P$6:$P$22^2))</f>
        <v>-36.7681343018639</v>
      </c>
      <c r="D1741" s="128" t="n">
        <f aca="false">SQRT(B1741^2+C1741^2)</f>
        <v>39.7880925801509</v>
      </c>
      <c r="E1741" s="129" t="n">
        <f aca="false">20*LOG10(MAX(D1741,0.000000000001)/$K$3)</f>
        <v>31.995062396011</v>
      </c>
    </row>
    <row r="1742" customFormat="false" ht="15" hidden="false" customHeight="false" outlineLevel="0" collapsed="false">
      <c r="A1742" s="122" t="n">
        <f aca="false">A1741+$F$3</f>
        <v>17360</v>
      </c>
      <c r="B1742" s="123" t="n">
        <f aca="false">SUMPRODUCT(固有振動数!$Q$6:$Q$22*(1-($A1742/固有振動数!$O$6:$O$22)^2)/((1-($A1742/固有振動数!$O$6:$O$22)^2)^2+固有振動数!$P$6:$P$22^2))</f>
        <v>15.7807185835593</v>
      </c>
      <c r="C1742" s="123" t="n">
        <f aca="false">-SUMPRODUCT(固有振動数!$Q$6:$Q$22*固有振動数!$P$6:$P$22/((1-($A1742/固有振動数!$O$6:$O$22)^2)^2+固有振動数!$P$6:$P$22^2))</f>
        <v>-36.7981572245034</v>
      </c>
      <c r="D1742" s="124" t="n">
        <f aca="false">SQRT(B1742^2+C1742^2)</f>
        <v>40.0391739941369</v>
      </c>
      <c r="E1742" s="125" t="n">
        <f aca="false">20*LOG10(MAX(D1742,0.000000000001)/$K$3)</f>
        <v>32.0497021885888</v>
      </c>
    </row>
    <row r="1743" customFormat="false" ht="15" hidden="false" customHeight="false" outlineLevel="0" collapsed="false">
      <c r="A1743" s="126" t="n">
        <f aca="false">A1742+$F$3</f>
        <v>17370</v>
      </c>
      <c r="B1743" s="127" t="n">
        <f aca="false">SUMPRODUCT(固有振動数!$Q$6:$Q$22*(1-($A1743/固有振動数!$O$6:$O$22)^2)/((1-($A1743/固有振動数!$O$6:$O$22)^2)^2+固有振動数!$P$6:$P$22^2))</f>
        <v>16.3565719336278</v>
      </c>
      <c r="C1743" s="127" t="n">
        <f aca="false">-SUMPRODUCT(固有振動数!$Q$6:$Q$22*固有振動数!$P$6:$P$22/((1-($A1743/固有振動数!$O$6:$O$22)^2)^2+固有振動数!$P$6:$P$22^2))</f>
        <v>-36.9300919053597</v>
      </c>
      <c r="D1743" s="128" t="n">
        <f aca="false">SQRT(B1743^2+C1743^2)</f>
        <v>40.3902108630081</v>
      </c>
      <c r="E1743" s="129" t="n">
        <f aca="false">20*LOG10(MAX(D1743,0.000000000001)/$K$3)</f>
        <v>32.1255224094764</v>
      </c>
    </row>
    <row r="1744" customFormat="false" ht="15" hidden="false" customHeight="false" outlineLevel="0" collapsed="false">
      <c r="A1744" s="122" t="n">
        <f aca="false">A1743+$F$3</f>
        <v>17380</v>
      </c>
      <c r="B1744" s="123" t="n">
        <f aca="false">SUMPRODUCT(固有振動数!$Q$6:$Q$22*(1-($A1744/固有振動数!$O$6:$O$22)^2)/((1-($A1744/固有振動数!$O$6:$O$22)^2)^2+固有振動数!$P$6:$P$22^2))</f>
        <v>16.9239160793467</v>
      </c>
      <c r="C1744" s="123" t="n">
        <f aca="false">-SUMPRODUCT(固有振動数!$Q$6:$Q$22*固有振動数!$P$6:$P$22/((1-($A1744/固有振動数!$O$6:$O$22)^2)^2+固有振動数!$P$6:$P$22^2))</f>
        <v>-37.1636021732899</v>
      </c>
      <c r="D1744" s="124" t="n">
        <f aca="false">SQRT(B1744^2+C1744^2)</f>
        <v>40.8356738888356</v>
      </c>
      <c r="E1744" s="125" t="n">
        <f aca="false">20*LOG10(MAX(D1744,0.000000000001)/$K$3)</f>
        <v>32.2207945381686</v>
      </c>
    </row>
    <row r="1745" customFormat="false" ht="15" hidden="false" customHeight="false" outlineLevel="0" collapsed="false">
      <c r="A1745" s="126" t="n">
        <f aca="false">A1744+$F$3</f>
        <v>17390</v>
      </c>
      <c r="B1745" s="127" t="n">
        <f aca="false">SUMPRODUCT(固有振動数!$Q$6:$Q$22*(1-($A1745/固有振動数!$O$6:$O$22)^2)/((1-($A1745/固有振動数!$O$6:$O$22)^2)^2+固有振動数!$P$6:$P$22^2))</f>
        <v>17.4738581433291</v>
      </c>
      <c r="C1745" s="127" t="n">
        <f aca="false">-SUMPRODUCT(固有振動数!$Q$6:$Q$22*固有振動数!$P$6:$P$22/((1-($A1745/固有振動数!$O$6:$O$22)^2)^2+固有振動数!$P$6:$P$22^2))</f>
        <v>-37.4981524240271</v>
      </c>
      <c r="D1745" s="128" t="n">
        <f aca="false">SQRT(B1745^2+C1745^2)</f>
        <v>41.3696404822276</v>
      </c>
      <c r="E1745" s="129" t="n">
        <f aca="false">20*LOG10(MAX(D1745,0.000000000001)/$K$3)</f>
        <v>32.3336349345826</v>
      </c>
    </row>
    <row r="1746" customFormat="false" ht="15" hidden="false" customHeight="false" outlineLevel="0" collapsed="false">
      <c r="A1746" s="122" t="n">
        <f aca="false">A1745+$F$3</f>
        <v>17400</v>
      </c>
      <c r="B1746" s="123" t="n">
        <f aca="false">SUMPRODUCT(固有振動数!$Q$6:$Q$22*(1-($A1746/固有振動数!$O$6:$O$22)^2)/((1-($A1746/固有振動数!$O$6:$O$22)^2)^2+固有振動数!$P$6:$P$22^2))</f>
        <v>17.9972756766596</v>
      </c>
      <c r="C1746" s="123" t="n">
        <f aca="false">-SUMPRODUCT(固有振動数!$Q$6:$Q$22*固有振動数!$P$6:$P$22/((1-($A1746/固有振動数!$O$6:$O$22)^2)^2+固有振動数!$P$6:$P$22^2))</f>
        <v>-37.9329504739509</v>
      </c>
      <c r="D1746" s="124" t="n">
        <f aca="false">SQRT(B1746^2+C1746^2)</f>
        <v>41.9858388440781</v>
      </c>
      <c r="E1746" s="125" t="n">
        <f aca="false">20*LOG10(MAX(D1746,0.000000000001)/$K$3)</f>
        <v>32.4620566894222</v>
      </c>
    </row>
    <row r="1747" customFormat="false" ht="15" hidden="false" customHeight="false" outlineLevel="0" collapsed="false">
      <c r="A1747" s="126" t="n">
        <f aca="false">A1746+$F$3</f>
        <v>17410</v>
      </c>
      <c r="B1747" s="127" t="n">
        <f aca="false">SUMPRODUCT(固有振動数!$Q$6:$Q$22*(1-($A1747/固有振動数!$O$6:$O$22)^2)/((1-($A1747/固有振動数!$O$6:$O$22)^2)^2+固有振動数!$P$6:$P$22^2))</f>
        <v>18.4846965853795</v>
      </c>
      <c r="C1747" s="127" t="n">
        <f aca="false">-SUMPRODUCT(固有振動数!$Q$6:$Q$22*固有振動数!$P$6:$P$22/((1-($A1747/固有振動数!$O$6:$O$22)^2)^2+固有振動数!$P$6:$P$22^2))</f>
        <v>-38.4668524343011</v>
      </c>
      <c r="D1747" s="128" t="n">
        <f aca="false">SQRT(B1747^2+C1747^2)</f>
        <v>42.6776609487427</v>
      </c>
      <c r="E1747" s="129" t="n">
        <f aca="false">20*LOG10(MAX(D1747,0.000000000001)/$K$3)</f>
        <v>32.6040121771428</v>
      </c>
    </row>
    <row r="1748" customFormat="false" ht="15" hidden="false" customHeight="false" outlineLevel="0" collapsed="false">
      <c r="A1748" s="122" t="n">
        <f aca="false">A1747+$F$3</f>
        <v>17420</v>
      </c>
      <c r="B1748" s="123" t="n">
        <f aca="false">SUMPRODUCT(固有振動数!$Q$6:$Q$22*(1-($A1748/固有振動数!$O$6:$O$22)^2)/((1-($A1748/固有振動数!$O$6:$O$22)^2)^2+固有振動数!$P$6:$P$22^2))</f>
        <v>18.9261964568366</v>
      </c>
      <c r="C1748" s="123" t="n">
        <f aca="false">-SUMPRODUCT(固有振動数!$Q$6:$Q$22*固有振動数!$P$6:$P$22/((1-($A1748/固有振動数!$O$6:$O$22)^2)^2+固有振動数!$P$6:$P$22^2))</f>
        <v>-39.0982288595039</v>
      </c>
      <c r="D1748" s="124" t="n">
        <f aca="false">SQRT(B1748^2+C1748^2)</f>
        <v>43.4381446688612</v>
      </c>
      <c r="E1748" s="125" t="n">
        <f aca="false">20*LOG10(MAX(D1748,0.000000000001)/$K$3)</f>
        <v>32.7574253475996</v>
      </c>
    </row>
    <row r="1749" customFormat="false" ht="15" hidden="false" customHeight="false" outlineLevel="0" collapsed="false">
      <c r="A1749" s="126" t="n">
        <f aca="false">A1748+$F$3</f>
        <v>17430</v>
      </c>
      <c r="B1749" s="127" t="n">
        <f aca="false">SUMPRODUCT(固有振動数!$Q$6:$Q$22*(1-($A1749/固有振動数!$O$6:$O$22)^2)/((1-($A1749/固有振動数!$O$6:$O$22)^2)^2+固有振動数!$P$6:$P$22^2))</f>
        <v>19.3113208006571</v>
      </c>
      <c r="C1749" s="127" t="n">
        <f aca="false">-SUMPRODUCT(固有振動数!$Q$6:$Q$22*固有振動数!$P$6:$P$22/((1-($A1749/固有振動数!$O$6:$O$22)^2)^2+固有振動数!$P$6:$P$22^2))</f>
        <v>-39.8247915142341</v>
      </c>
      <c r="D1749" s="128" t="n">
        <f aca="false">SQRT(B1749^2+C1749^2)</f>
        <v>44.2599269115766</v>
      </c>
      <c r="E1749" s="129" t="n">
        <f aca="false">20*LOG10(MAX(D1749,0.000000000001)/$K$3)</f>
        <v>32.9202138484334</v>
      </c>
    </row>
    <row r="1750" customFormat="false" ht="15" hidden="false" customHeight="false" outlineLevel="0" collapsed="false">
      <c r="A1750" s="122" t="n">
        <f aca="false">A1749+$F$3</f>
        <v>17440</v>
      </c>
      <c r="B1750" s="123" t="n">
        <f aca="false">SUMPRODUCT(固有振動数!$Q$6:$Q$22*(1-($A1750/固有振動数!$O$6:$O$22)^2)/((1-($A1750/固有振動数!$O$6:$O$22)^2)^2+固有振動数!$P$6:$P$22^2))</f>
        <v>19.6290416477827</v>
      </c>
      <c r="C1750" s="123" t="n">
        <f aca="false">-SUMPRODUCT(固有振動数!$Q$6:$Q$22*固有振動数!$P$6:$P$22/((1-($A1750/固有振動数!$O$6:$O$22)^2)^2+固有振動数!$P$6:$P$22^2))</f>
        <v>-40.6433808487865</v>
      </c>
      <c r="D1750" s="124" t="n">
        <f aca="false">SQRT(B1750^2+C1750^2)</f>
        <v>45.1351712396208</v>
      </c>
      <c r="E1750" s="125" t="n">
        <f aca="false">20*LOG10(MAX(D1750,0.000000000001)/$K$3)</f>
        <v>33.0903018896236</v>
      </c>
    </row>
    <row r="1751" customFormat="false" ht="15" hidden="false" customHeight="false" outlineLevel="0" collapsed="false">
      <c r="A1751" s="126" t="n">
        <f aca="false">A1750+$F$3</f>
        <v>17450</v>
      </c>
      <c r="B1751" s="127" t="n">
        <f aca="false">SUMPRODUCT(固有振動数!$Q$6:$Q$22*(1-($A1751/固有振動数!$O$6:$O$22)^2)/((1-($A1751/固有振動数!$O$6:$O$22)^2)^2+固有振動数!$P$6:$P$22^2))</f>
        <v>19.867760147519</v>
      </c>
      <c r="C1751" s="127" t="n">
        <f aca="false">-SUMPRODUCT(固有振動数!$Q$6:$Q$22*固有振動数!$P$6:$P$22/((1-($A1751/固有振動数!$O$6:$O$22)^2)^2+固有振動数!$P$6:$P$22^2))</f>
        <v>-41.549715913987</v>
      </c>
      <c r="D1751" s="128" t="n">
        <f aca="false">SQRT(B1751^2+C1751^2)</f>
        <v>46.0554750905076</v>
      </c>
      <c r="E1751" s="129" t="n">
        <f aca="false">20*LOG10(MAX(D1751,0.000000000001)/$K$3)</f>
        <v>33.2656253335467</v>
      </c>
    </row>
    <row r="1752" customFormat="false" ht="15" hidden="false" customHeight="false" outlineLevel="0" collapsed="false">
      <c r="A1752" s="122" t="n">
        <f aca="false">A1751+$F$3</f>
        <v>17460</v>
      </c>
      <c r="B1752" s="123" t="n">
        <f aca="false">SUMPRODUCT(固有振動数!$Q$6:$Q$22*(1-($A1752/固有振動数!$O$6:$O$22)^2)/((1-($A1752/固有振動数!$O$6:$O$22)^2)^2+固有振動数!$P$6:$P$22^2))</f>
        <v>20.0153690162215</v>
      </c>
      <c r="C1752" s="123" t="n">
        <f aca="false">-SUMPRODUCT(固有振動数!$Q$6:$Q$22*固有振動数!$P$6:$P$22/((1-($A1752/固有振動数!$O$6:$O$22)^2)^2+固有振動数!$P$6:$P$22^2))</f>
        <v>-42.5381112475987</v>
      </c>
      <c r="D1752" s="124" t="n">
        <f aca="false">SQRT(B1752^2+C1752^2)</f>
        <v>47.0117634786082</v>
      </c>
      <c r="E1752" s="125" t="n">
        <f aca="false">20*LOG10(MAX(D1752,0.000000000001)/$K$3)</f>
        <v>33.444130850042</v>
      </c>
    </row>
    <row r="1753" customFormat="false" ht="15" hidden="false" customHeight="false" outlineLevel="0" collapsed="false">
      <c r="A1753" s="126" t="n">
        <f aca="false">A1752+$F$3</f>
        <v>17470</v>
      </c>
      <c r="B1753" s="127" t="n">
        <f aca="false">SUMPRODUCT(固有振動数!$Q$6:$Q$22*(1-($A1753/固有振動数!$O$6:$O$22)^2)/((1-($A1753/固有振動数!$O$6:$O$22)^2)^2+固有振動数!$P$6:$P$22^2))</f>
        <v>20.0593905221702</v>
      </c>
      <c r="C1753" s="127" t="n">
        <f aca="false">-SUMPRODUCT(固有振動数!$Q$6:$Q$22*固有振動数!$P$6:$P$22/((1-($A1753/固有振動数!$O$6:$O$22)^2)^2+固有振動数!$P$6:$P$22^2))</f>
        <v>-43.6011694709428</v>
      </c>
      <c r="D1753" s="128" t="n">
        <f aca="false">SQRT(B1753^2+C1753^2)</f>
        <v>47.9941780568728</v>
      </c>
      <c r="E1753" s="129" t="n">
        <f aca="false">20*LOG10(MAX(D1753,0.000000000001)/$K$3)</f>
        <v>33.6237711678766</v>
      </c>
    </row>
    <row r="1754" customFormat="false" ht="15" hidden="false" customHeight="false" outlineLevel="0" collapsed="false">
      <c r="A1754" s="122" t="n">
        <f aca="false">A1753+$F$3</f>
        <v>17480</v>
      </c>
      <c r="B1754" s="123" t="n">
        <f aca="false">SUMPRODUCT(固有振動数!$Q$6:$Q$22*(1-($A1754/固有振動数!$O$6:$O$22)^2)/((1-($A1754/固有振動数!$O$6:$O$22)^2)^2+固有振動数!$P$6:$P$22^2))</f>
        <v>19.987206550112</v>
      </c>
      <c r="C1754" s="123" t="n">
        <f aca="false">-SUMPRODUCT(固有振動数!$Q$6:$Q$22*固有振動数!$P$6:$P$22/((1-($A1754/固有振動数!$O$6:$O$22)^2)^2+固有振動数!$P$6:$P$22^2))</f>
        <v>-44.729464111859</v>
      </c>
      <c r="D1754" s="124" t="n">
        <f aca="false">SQRT(B1754^2+C1754^2)</f>
        <v>48.9919726629876</v>
      </c>
      <c r="E1754" s="125" t="n">
        <f aca="false">20*LOG10(MAX(D1754,0.000000000001)/$K$3)</f>
        <v>33.8024985337284</v>
      </c>
    </row>
    <row r="1755" customFormat="false" ht="15" hidden="false" customHeight="false" outlineLevel="0" collapsed="false">
      <c r="A1755" s="126" t="n">
        <f aca="false">A1754+$F$3</f>
        <v>17490</v>
      </c>
      <c r="B1755" s="127" t="n">
        <f aca="false">SUMPRODUCT(固有振動数!$Q$6:$Q$22*(1-($A1755/固有振動数!$O$6:$O$22)^2)/((1-($A1755/固有振動数!$O$6:$O$22)^2)^2+固有振動数!$P$6:$P$22^2))</f>
        <v>19.7863963784816</v>
      </c>
      <c r="C1755" s="127" t="n">
        <f aca="false">-SUMPRODUCT(固有振動数!$Q$6:$Q$22*固有振動数!$P$6:$P$22/((1-($A1755/固有振動数!$O$6:$O$22)^2)^2+固有振動数!$P$6:$P$22^2))</f>
        <v>-45.9112344940611</v>
      </c>
      <c r="D1755" s="128" t="n">
        <f aca="false">SQRT(B1755^2+C1755^2)</f>
        <v>49.9934289123587</v>
      </c>
      <c r="E1755" s="129" t="n">
        <f aca="false">20*LOG10(MAX(D1755,0.000000000001)/$K$3)</f>
        <v>33.9782584968628</v>
      </c>
    </row>
    <row r="1756" customFormat="false" ht="15" hidden="false" customHeight="false" outlineLevel="0" collapsed="false">
      <c r="A1756" s="122" t="n">
        <f aca="false">A1755+$F$3</f>
        <v>17500</v>
      </c>
      <c r="B1756" s="123" t="n">
        <f aca="false">SUMPRODUCT(固有振動数!$Q$6:$Q$22*(1-($A1756/固有振動数!$O$6:$O$22)^2)/((1-($A1756/固有振動数!$O$6:$O$22)^2)^2+固有振動数!$P$6:$P$22^2))</f>
        <v>19.4451941465343</v>
      </c>
      <c r="C1756" s="123" t="n">
        <f aca="false">-SUMPRODUCT(固有振動数!$Q$6:$Q$22*固有振動数!$P$6:$P$22/((1-($A1756/固有振動数!$O$6:$O$22)^2)^2+固有振動数!$P$6:$P$22^2))</f>
        <v>-47.1321230443821</v>
      </c>
      <c r="D1756" s="124" t="n">
        <f aca="false">SQRT(B1756^2+C1756^2)</f>
        <v>50.9858078102837</v>
      </c>
      <c r="E1756" s="125" t="n">
        <f aca="false">20*LOG10(MAX(D1756,0.000000000001)/$K$3)</f>
        <v>34.1489860915919</v>
      </c>
    </row>
    <row r="1757" customFormat="false" ht="15" hidden="false" customHeight="false" outlineLevel="0" collapsed="false">
      <c r="A1757" s="126" t="n">
        <f aca="false">A1756+$F$3</f>
        <v>17510</v>
      </c>
      <c r="B1757" s="127" t="n">
        <f aca="false">SUMPRODUCT(固有振動数!$Q$6:$Q$22*(1-($A1757/固有振動数!$O$6:$O$22)^2)/((1-($A1757/固有振動数!$O$6:$O$22)^2)^2+固有振動数!$P$6:$P$22^2))</f>
        <v>18.9530705471626</v>
      </c>
      <c r="C1757" s="127" t="n">
        <f aca="false">-SUMPRODUCT(固有振動数!$Q$6:$Q$22*固有振動数!$P$6:$P$22/((1-($A1757/固有振動数!$O$6:$O$22)^2)^2+固有振動数!$P$6:$P$22^2))</f>
        <v>-48.3749942043331</v>
      </c>
      <c r="D1757" s="128" t="n">
        <f aca="false">SQRT(B1757^2+C1757^2)</f>
        <v>51.9553553296961</v>
      </c>
      <c r="E1757" s="129" t="n">
        <f aca="false">20*LOG10(MAX(D1757,0.000000000001)/$K$3)</f>
        <v>34.3126063873406</v>
      </c>
    </row>
    <row r="1758" customFormat="false" ht="15" hidden="false" customHeight="false" outlineLevel="0" collapsed="false">
      <c r="A1758" s="122" t="n">
        <f aca="false">A1757+$F$3</f>
        <v>17520</v>
      </c>
      <c r="B1758" s="123" t="n">
        <f aca="false">SUMPRODUCT(固有振動数!$Q$6:$Q$22*(1-($A1758/固有振動数!$O$6:$O$22)^2)/((1-($A1758/固有振動数!$O$6:$O$22)^2)^2+固有振動数!$P$6:$P$22^2))</f>
        <v>18.3014311850143</v>
      </c>
      <c r="C1758" s="123" t="n">
        <f aca="false">-SUMPRODUCT(固有振動数!$Q$6:$Q$22*固有振動数!$P$6:$P$22/((1-($A1758/固有振動数!$O$6:$O$22)^2)^2+固有振動数!$P$6:$P$22^2))</f>
        <v>-49.619881769625</v>
      </c>
      <c r="D1758" s="124" t="n">
        <f aca="false">SQRT(B1758^2+C1758^2)</f>
        <v>52.8873808223794</v>
      </c>
      <c r="E1758" s="125" t="n">
        <f aca="false">20*LOG10(MAX(D1758,0.000000000001)/$K$3)</f>
        <v>34.4670411938288</v>
      </c>
    </row>
    <row r="1759" customFormat="false" ht="15" hidden="false" customHeight="false" outlineLevel="0" collapsed="false">
      <c r="A1759" s="126" t="n">
        <f aca="false">A1758+$F$3</f>
        <v>17530</v>
      </c>
      <c r="B1759" s="127" t="n">
        <f aca="false">SUMPRODUCT(固有振動数!$Q$6:$Q$22*(1-($A1759/固有振動数!$O$6:$O$22)^2)/((1-($A1759/固有振動数!$O$6:$O$22)^2)^2+固有振動数!$P$6:$P$22^2))</f>
        <v>17.4844069674432</v>
      </c>
      <c r="C1759" s="127" t="n">
        <f aca="false">-SUMPRODUCT(固有振動数!$Q$6:$Q$22*固有振動数!$P$6:$P$22/((1-($A1759/固有振動数!$O$6:$O$22)^2)^2+固有振動数!$P$6:$P$22^2))</f>
        <v>-50.844115687603</v>
      </c>
      <c r="D1759" s="128" t="n">
        <f aca="false">SQRT(B1759^2+C1759^2)</f>
        <v>53.7664262068582</v>
      </c>
      <c r="E1759" s="129" t="n">
        <f aca="false">20*LOG10(MAX(D1759,0.000000000001)/$K$3)</f>
        <v>34.610223407533</v>
      </c>
    </row>
    <row r="1760" customFormat="false" ht="15" hidden="false" customHeight="false" outlineLevel="0" collapsed="false">
      <c r="A1760" s="122" t="n">
        <f aca="false">A1759+$F$3</f>
        <v>17540</v>
      </c>
      <c r="B1760" s="123" t="n">
        <f aca="false">SUMPRODUCT(固有振動数!$Q$6:$Q$22*(1-($A1760/固有振動数!$O$6:$O$22)^2)/((1-($A1760/固有振動数!$O$6:$O$22)^2)^2+固有振動数!$P$6:$P$22^2))</f>
        <v>16.4996905645151</v>
      </c>
      <c r="C1760" s="123" t="n">
        <f aca="false">-SUMPRODUCT(固有振動数!$Q$6:$Q$22*固有振動数!$P$6:$P$22/((1-($A1760/固有振動数!$O$6:$O$22)^2)^2+固有振動数!$P$6:$P$22^2))</f>
        <v>-52.0226773237494</v>
      </c>
      <c r="D1760" s="124" t="n">
        <f aca="false">SQRT(B1760^2+C1760^2)</f>
        <v>54.5765402408004</v>
      </c>
      <c r="E1760" s="125" t="n">
        <f aca="false">20*LOG10(MAX(D1760,0.000000000001)/$K$3)</f>
        <v>34.7401200213446</v>
      </c>
    </row>
    <row r="1761" customFormat="false" ht="15" hidden="false" customHeight="false" outlineLevel="0" collapsed="false">
      <c r="A1761" s="126" t="n">
        <f aca="false">A1760+$F$3</f>
        <v>17550</v>
      </c>
      <c r="B1761" s="127" t="n">
        <f aca="false">SUMPRODUCT(固有振動数!$Q$6:$Q$22*(1-($A1761/固有振動数!$O$6:$O$22)^2)/((1-($A1761/固有振動数!$O$6:$O$22)^2)^2+固有振動数!$P$6:$P$22^2))</f>
        <v>15.3493496309249</v>
      </c>
      <c r="C1761" s="127" t="n">
        <f aca="false">-SUMPRODUCT(固有振動数!$Q$6:$Q$22*固有振動数!$P$6:$P$22/((1-($A1761/固有振動数!$O$6:$O$22)^2)^2+固有振動数!$P$6:$P$22^2))</f>
        <v>-53.1288210839757</v>
      </c>
      <c r="D1761" s="128" t="n">
        <f aca="false">SQRT(B1761^2+C1761^2)</f>
        <v>55.3016651093389</v>
      </c>
      <c r="E1761" s="129" t="n">
        <f aca="false">20*LOG10(MAX(D1761,0.000000000001)/$K$3)</f>
        <v>34.8547641584306</v>
      </c>
    </row>
    <row r="1762" customFormat="false" ht="15" hidden="false" customHeight="false" outlineLevel="0" collapsed="false">
      <c r="A1762" s="122" t="n">
        <f aca="false">A1761+$F$3</f>
        <v>17560</v>
      </c>
      <c r="B1762" s="123" t="n">
        <f aca="false">SUMPRODUCT(固有振動数!$Q$6:$Q$22*(1-($A1762/固有振動数!$O$6:$O$22)^2)/((1-($A1762/固有振動数!$O$6:$O$22)^2)^2+固有振動数!$P$6:$P$22^2))</f>
        <v>14.0405261875854</v>
      </c>
      <c r="C1762" s="123" t="n">
        <f aca="false">-SUMPRODUCT(固有振動数!$Q$6:$Q$22*固有振動数!$P$6:$P$22/((1-($A1762/固有振動数!$O$6:$O$22)^2)^2+固有振動数!$P$6:$P$22^2))</f>
        <v>-54.134977937802</v>
      </c>
      <c r="D1762" s="124" t="n">
        <f aca="false">SQRT(B1762^2+C1762^2)</f>
        <v>55.9261317449238</v>
      </c>
      <c r="E1762" s="125" t="n">
        <f aca="false">20*LOG10(MAX(D1762,0.000000000001)/$K$3)</f>
        <v>34.9522956284988</v>
      </c>
    </row>
    <row r="1763" customFormat="false" ht="15" hidden="false" customHeight="false" outlineLevel="0" collapsed="false">
      <c r="A1763" s="126" t="n">
        <f aca="false">A1762+$F$3</f>
        <v>17570</v>
      </c>
      <c r="B1763" s="127" t="n">
        <f aca="false">SUMPRODUCT(固有振動数!$Q$6:$Q$22*(1-($A1763/固有振動数!$O$6:$O$22)^2)/((1-($A1763/固有振動数!$O$6:$O$22)^2)^2+固有振動数!$P$6:$P$22^2))</f>
        <v>12.5859179693753</v>
      </c>
      <c r="C1763" s="127" t="n">
        <f aca="false">-SUMPRODUCT(固有振動数!$Q$6:$Q$22*固有振動数!$P$6:$P$22/((1-($A1763/固有振動数!$O$6:$O$22)^2)^2+固有振動数!$P$6:$P$22^2))</f>
        <v>-55.0139226375797</v>
      </c>
      <c r="D1763" s="128" t="n">
        <f aca="false">SQRT(B1763^2+C1763^2)</f>
        <v>56.4352462128539</v>
      </c>
      <c r="E1763" s="129" t="n">
        <f aca="false">20*LOG10(MAX(D1763,0.000000000001)/$K$3)</f>
        <v>35.0310084820587</v>
      </c>
    </row>
    <row r="1764" customFormat="false" ht="15" hidden="false" customHeight="false" outlineLevel="0" collapsed="false">
      <c r="A1764" s="122" t="n">
        <f aca="false">A1763+$F$3</f>
        <v>17580</v>
      </c>
      <c r="B1764" s="123" t="n">
        <f aca="false">SUMPRODUCT(固有振動数!$Q$6:$Q$22*(1-($A1764/固有振動数!$O$6:$O$22)^2)/((1-($A1764/固有振動数!$O$6:$O$22)^2)^2+固有振動数!$P$6:$P$22^2))</f>
        <v>11.0039379289114</v>
      </c>
      <c r="C1764" s="123" t="n">
        <f aca="false">-SUMPRODUCT(固有振動数!$Q$6:$Q$22*固有振動数!$P$6:$P$22/((1-($A1764/固有振動数!$O$6:$O$22)^2)^2+固有振動数!$P$6:$P$22^2))</f>
        <v>-55.7401441343502</v>
      </c>
      <c r="D1764" s="124" t="n">
        <f aca="false">SQRT(B1764^2+C1764^2)</f>
        <v>56.8159336635549</v>
      </c>
      <c r="E1764" s="125" t="n">
        <f aca="false">20*LOG10(MAX(D1764,0.000000000001)/$K$3)</f>
        <v>35.0894029577931</v>
      </c>
    </row>
    <row r="1765" customFormat="false" ht="15" hidden="false" customHeight="false" outlineLevel="0" collapsed="false">
      <c r="A1765" s="126" t="n">
        <f aca="false">A1764+$F$3</f>
        <v>17590</v>
      </c>
      <c r="B1765" s="127" t="n">
        <f aca="false">SUMPRODUCT(固有振動数!$Q$6:$Q$22*(1-($A1765/固有振動数!$O$6:$O$22)^2)/((1-($A1765/固有振動数!$O$6:$O$22)^2)^2+固有振動数!$P$6:$P$22^2))</f>
        <v>9.31846753774886</v>
      </c>
      <c r="C1765" s="127" t="n">
        <f aca="false">-SUMPRODUCT(固有振動数!$Q$6:$Q$22*固有振動数!$P$6:$P$22/((1-($A1765/固有振動数!$O$6:$O$22)^2)^2+固有振動数!$P$6:$P$22^2))</f>
        <v>-56.2913143529252</v>
      </c>
      <c r="D1765" s="128" t="n">
        <f aca="false">SQRT(B1765^2+C1765^2)</f>
        <v>57.0573913602079</v>
      </c>
      <c r="E1765" s="129" t="n">
        <f aca="false">20*LOG10(MAX(D1765,0.000000000001)/$K$3)</f>
        <v>35.1262382402996</v>
      </c>
    </row>
    <row r="1766" customFormat="false" ht="15" hidden="false" customHeight="false" outlineLevel="0" collapsed="false">
      <c r="A1766" s="122" t="n">
        <f aca="false">A1765+$F$3</f>
        <v>17600</v>
      </c>
      <c r="B1766" s="123" t="n">
        <f aca="false">SUMPRODUCT(固有振動数!$Q$6:$Q$22*(1-($A1766/固有振動数!$O$6:$O$22)^2)/((1-($A1766/固有振動数!$O$6:$O$22)^2)^2+固有振動数!$P$6:$P$22^2))</f>
        <v>7.55815971015655</v>
      </c>
      <c r="C1766" s="123" t="n">
        <f aca="false">-SUMPRODUCT(固有振動数!$Q$6:$Q$22*固有振動数!$P$6:$P$22/((1-($A1766/固有振動数!$O$6:$O$22)^2)^2+固有振動数!$P$6:$P$22^2))</f>
        <v>-56.6497136758214</v>
      </c>
      <c r="D1766" s="124" t="n">
        <f aca="false">SQRT(B1766^2+C1766^2)</f>
        <v>57.1516914689038</v>
      </c>
      <c r="E1766" s="125" t="n">
        <f aca="false">20*LOG10(MAX(D1766,0.000000000001)/$K$3)</f>
        <v>35.1405817671511</v>
      </c>
    </row>
    <row r="1767" customFormat="false" ht="15" hidden="false" customHeight="false" outlineLevel="0" collapsed="false">
      <c r="A1767" s="126" t="n">
        <f aca="false">A1766+$F$3</f>
        <v>17610</v>
      </c>
      <c r="B1767" s="127" t="n">
        <f aca="false">SUMPRODUCT(固有振動数!$Q$6:$Q$22*(1-($A1767/固有振動数!$O$6:$O$22)^2)/((1-($A1767/固有振動数!$O$6:$O$22)^2)^2+固有振動数!$P$6:$P$22^2))</f>
        <v>5.75530442741598</v>
      </c>
      <c r="C1767" s="127" t="n">
        <f aca="false">-SUMPRODUCT(固有振動数!$Q$6:$Q$22*固有振動数!$P$6:$P$22/((1-($A1767/固有振動数!$O$6:$O$22)^2)^2+固有振動数!$P$6:$P$22^2))</f>
        <v>-56.8034527727671</v>
      </c>
      <c r="D1767" s="128" t="n">
        <f aca="false">SQRT(B1767^2+C1767^2)</f>
        <v>57.0942709556766</v>
      </c>
      <c r="E1767" s="129" t="n">
        <f aca="false">20*LOG10(MAX(D1767,0.000000000001)/$K$3)</f>
        <v>35.1318506352623</v>
      </c>
    </row>
    <row r="1768" customFormat="false" ht="15" hidden="false" customHeight="false" outlineLevel="0" collapsed="false">
      <c r="A1768" s="122" t="n">
        <f aca="false">A1767+$F$3</f>
        <v>17620</v>
      </c>
      <c r="B1768" s="123" t="n">
        <f aca="false">SUMPRODUCT(固有振動数!$Q$6:$Q$22*(1-($A1768/固有振動数!$O$6:$O$22)^2)/((1-($A1768/固有振動数!$O$6:$O$22)^2)^2+固有振動数!$P$6:$P$22^2))</f>
        <v>3.94433497734925</v>
      </c>
      <c r="C1768" s="123" t="n">
        <f aca="false">-SUMPRODUCT(固有振動数!$Q$6:$Q$22*固有振動数!$P$6:$P$22/((1-($A1768/固有振動数!$O$6:$O$22)^2)^2+固有振動数!$P$6:$P$22^2))</f>
        <v>-56.747338118994</v>
      </c>
      <c r="D1768" s="124" t="n">
        <f aca="false">SQRT(B1768^2+C1768^2)</f>
        <v>56.884252319996</v>
      </c>
      <c r="E1768" s="125" t="n">
        <f aca="false">20*LOG10(MAX(D1768,0.000000000001)/$K$3)</f>
        <v>35.0998410828736</v>
      </c>
    </row>
    <row r="1769" customFormat="false" ht="15" hidden="false" customHeight="false" outlineLevel="0" collapsed="false">
      <c r="A1769" s="126" t="n">
        <f aca="false">A1768+$F$3</f>
        <v>17630</v>
      </c>
      <c r="B1769" s="127" t="n">
        <f aca="false">SUMPRODUCT(固有振動数!$Q$6:$Q$22*(1-($A1769/固有振動数!$O$6:$O$22)^2)/((1-($A1769/固有振動数!$O$6:$O$22)^2)^2+固有振動数!$P$6:$P$22^2))</f>
        <v>2.16011150688109</v>
      </c>
      <c r="C1769" s="127" t="n">
        <f aca="false">-SUMPRODUCT(固有振動数!$Q$6:$Q$22*固有振動数!$P$6:$P$22/((1-($A1769/固有振動数!$O$6:$O$22)^2)^2+固有振動数!$P$6:$P$22^2))</f>
        <v>-56.4832653350207</v>
      </c>
      <c r="D1769" s="128" t="n">
        <f aca="false">SQRT(B1769^2+C1769^2)</f>
        <v>56.5245552360079</v>
      </c>
      <c r="E1769" s="129" t="n">
        <f aca="false">20*LOG10(MAX(D1769,0.000000000001)/$K$3)</f>
        <v>35.0447430756129</v>
      </c>
    </row>
    <row r="1770" customFormat="false" ht="15" hidden="false" customHeight="false" outlineLevel="0" collapsed="false">
      <c r="A1770" s="122" t="n">
        <f aca="false">A1769+$F$3</f>
        <v>17640</v>
      </c>
      <c r="B1770" s="123" t="n">
        <f aca="false">SUMPRODUCT(固有振動数!$Q$6:$Q$22*(1-($A1770/固有振動数!$O$6:$O$22)^2)/((1-($A1770/固有振動数!$O$6:$O$22)^2)^2+固有振動数!$P$6:$P$22^2))</f>
        <v>0.436157246441978</v>
      </c>
      <c r="C1770" s="123" t="n">
        <f aca="false">-SUMPRODUCT(固有振動数!$Q$6:$Q$22*固有振動数!$P$6:$P$22/((1-($A1770/固有振動数!$O$6:$O$22)^2)^2+固有振動数!$P$6:$P$22^2))</f>
        <v>-56.0200853446415</v>
      </c>
      <c r="D1770" s="124" t="n">
        <f aca="false">SQRT(B1770^2+C1770^2)</f>
        <v>56.0217832201417</v>
      </c>
      <c r="E1770" s="125" t="n">
        <f aca="false">20*LOG10(MAX(D1770,0.000000000001)/$K$3)</f>
        <v>34.9671385732718</v>
      </c>
    </row>
    <row r="1771" customFormat="false" ht="15" hidden="false" customHeight="false" outlineLevel="0" collapsed="false">
      <c r="A1771" s="126" t="n">
        <f aca="false">A1770+$F$3</f>
        <v>17650</v>
      </c>
      <c r="B1771" s="127" t="n">
        <f aca="false">SUMPRODUCT(固有振動数!$Q$6:$Q$22*(1-($A1771/固有振動数!$O$6:$O$22)^2)/((1-($A1771/固有振動数!$O$6:$O$22)^2)^2+固有振動数!$P$6:$P$22^2))</f>
        <v>-1.1969686355267</v>
      </c>
      <c r="C1771" s="127" t="n">
        <f aca="false">-SUMPRODUCT(固有振動数!$Q$6:$Q$22*固有振動数!$P$6:$P$22/((1-($A1771/固有振動数!$O$6:$O$22)^2)^2+固有振動数!$P$6:$P$22^2))</f>
        <v>-55.3729612027145</v>
      </c>
      <c r="D1771" s="128" t="n">
        <f aca="false">SQRT(B1771^2+C1771^2)</f>
        <v>55.3858968174369</v>
      </c>
      <c r="E1771" s="129" t="n">
        <f aca="false">20*LOG10(MAX(D1771,0.000000000001)/$K$3)</f>
        <v>34.8679838454317</v>
      </c>
    </row>
    <row r="1772" customFormat="false" ht="15" hidden="false" customHeight="false" outlineLevel="0" collapsed="false">
      <c r="A1772" s="122" t="n">
        <f aca="false">A1771+$F$3</f>
        <v>17660</v>
      </c>
      <c r="B1772" s="123" t="n">
        <f aca="false">SUMPRODUCT(固有振動数!$Q$6:$Q$22*(1-($A1772/固有振動数!$O$6:$O$22)^2)/((1-($A1772/固有振動数!$O$6:$O$22)^2)^2+固有振動数!$P$6:$P$22^2))</f>
        <v>-2.71300135609073</v>
      </c>
      <c r="C1772" s="123" t="n">
        <f aca="false">-SUMPRODUCT(固有振動数!$Q$6:$Q$22*固有振動数!$P$6:$P$22/((1-($A1772/固有振動数!$O$6:$O$22)^2)^2+固有振動数!$P$6:$P$22^2))</f>
        <v>-54.5623024844202</v>
      </c>
      <c r="D1772" s="124" t="n">
        <f aca="false">SQRT(B1772^2+C1772^2)</f>
        <v>54.6297101288256</v>
      </c>
      <c r="E1772" s="125" t="n">
        <f aca="false">20*LOG10(MAX(D1772,0.000000000001)/$K$3)</f>
        <v>34.7485779221403</v>
      </c>
    </row>
    <row r="1773" customFormat="false" ht="15" hidden="false" customHeight="false" outlineLevel="0" collapsed="false">
      <c r="A1773" s="126" t="n">
        <f aca="false">A1772+$F$3</f>
        <v>17670</v>
      </c>
      <c r="B1773" s="127" t="n">
        <f aca="false">SUMPRODUCT(固有振動数!$Q$6:$Q$22*(1-($A1773/固有振動数!$O$6:$O$22)^2)/((1-($A1773/固有振動数!$O$6:$O$22)^2)^2+固有振動数!$P$6:$P$22^2))</f>
        <v>-4.09089378131176</v>
      </c>
      <c r="C1773" s="127" t="n">
        <f aca="false">-SUMPRODUCT(固有振動数!$Q$6:$Q$22*固有振動数!$P$6:$P$22/((1-($A1773/固有振動数!$O$6:$O$22)^2)^2+固有振動数!$P$6:$P$22^2))</f>
        <v>-53.6124147204037</v>
      </c>
      <c r="D1773" s="128" t="n">
        <f aca="false">SQRT(B1773^2+C1773^2)</f>
        <v>53.7682659575565</v>
      </c>
      <c r="E1773" s="129" t="n">
        <f aca="false">20*LOG10(MAX(D1773,0.000000000001)/$K$3)</f>
        <v>34.6105206115554</v>
      </c>
    </row>
    <row r="1774" customFormat="false" ht="15" hidden="false" customHeight="false" outlineLevel="0" collapsed="false">
      <c r="A1774" s="122" t="n">
        <f aca="false">A1773+$F$3</f>
        <v>17680</v>
      </c>
      <c r="B1774" s="123" t="n">
        <f aca="false">SUMPRODUCT(固有振動数!$Q$6:$Q$22*(1-($A1774/固有振動数!$O$6:$O$22)^2)/((1-($A1774/固有振動数!$O$6:$O$22)^2)^2+固有振動数!$P$6:$P$22^2))</f>
        <v>-5.31528608892811</v>
      </c>
      <c r="C1774" s="123" t="n">
        <f aca="false">-SUMPRODUCT(固有振動数!$Q$6:$Q$22*固有振動数!$P$6:$P$22/((1-($A1774/固有振動数!$O$6:$O$22)^2)^2+固有振動数!$P$6:$P$22^2))</f>
        <v>-52.5500244585986</v>
      </c>
      <c r="D1774" s="124" t="n">
        <f aca="false">SQRT(B1774^2+C1774^2)</f>
        <v>52.8181534778192</v>
      </c>
      <c r="E1774" s="125" t="n">
        <f aca="false">20*LOG10(MAX(D1774,0.000000000001)/$K$3)</f>
        <v>34.4556642841006</v>
      </c>
    </row>
    <row r="1775" customFormat="false" ht="15" hidden="false" customHeight="false" outlineLevel="0" collapsed="false">
      <c r="A1775" s="126" t="n">
        <f aca="false">A1774+$F$3</f>
        <v>17690</v>
      </c>
      <c r="B1775" s="127" t="n">
        <f aca="false">SUMPRODUCT(固有振動数!$Q$6:$Q$22*(1-($A1775/固有振動数!$O$6:$O$22)^2)/((1-($A1775/固有振動数!$O$6:$O$22)^2)^2+固有振動数!$P$6:$P$22^2))</f>
        <v>-6.37653826412134</v>
      </c>
      <c r="C1775" s="127" t="n">
        <f aca="false">-SUMPRODUCT(固有振動数!$Q$6:$Q$22*固有振動数!$P$6:$P$22/((1-($A1775/固有振動数!$O$6:$O$22)^2)^2+固有振動数!$P$6:$P$22^2))</f>
        <v>-51.4028348224263</v>
      </c>
      <c r="D1775" s="128" t="n">
        <f aca="false">SQRT(B1775^2+C1775^2)</f>
        <v>51.7968306753941</v>
      </c>
      <c r="E1775" s="129" t="n">
        <f aca="false">20*LOG10(MAX(D1775,0.000000000001)/$K$3)</f>
        <v>34.2860637422804</v>
      </c>
    </row>
    <row r="1776" customFormat="false" ht="15" hidden="false" customHeight="false" outlineLevel="0" collapsed="false">
      <c r="A1776" s="122" t="n">
        <f aca="false">A1775+$F$3</f>
        <v>17700</v>
      </c>
      <c r="B1776" s="123" t="n">
        <f aca="false">SUMPRODUCT(固有振動数!$Q$6:$Q$22*(1-($A1776/固有振動数!$O$6:$O$22)^2)/((1-($A1776/固有振動数!$O$6:$O$22)^2)^2+固有振動数!$P$6:$P$22^2))</f>
        <v>-7.27039202296336</v>
      </c>
      <c r="C1776" s="123" t="n">
        <f aca="false">-SUMPRODUCT(固有振動数!$Q$6:$Q$22*固有振動数!$P$6:$P$22/((1-($A1776/固有振動数!$O$6:$O$22)^2)^2+固有振動数!$P$6:$P$22^2))</f>
        <v>-50.1982376304125</v>
      </c>
      <c r="D1776" s="124" t="n">
        <f aca="false">SQRT(B1776^2+C1776^2)</f>
        <v>50.722003719953</v>
      </c>
      <c r="E1776" s="125" t="n">
        <f aca="false">20*LOG10(MAX(D1776,0.000000000001)/$K$3)</f>
        <v>34.1039280312789</v>
      </c>
    </row>
    <row r="1777" customFormat="false" ht="15" hidden="false" customHeight="false" outlineLevel="0" collapsed="false">
      <c r="A1777" s="126" t="n">
        <f aca="false">A1776+$F$3</f>
        <v>17710</v>
      </c>
      <c r="B1777" s="127" t="n">
        <f aca="false">SUMPRODUCT(固有振動数!$Q$6:$Q$22*(1-($A1777/固有振動数!$O$6:$O$22)^2)/((1-($A1777/固有振動数!$O$6:$O$22)^2)^2+固有振動数!$P$6:$P$22^2))</f>
        <v>-7.99735925663346</v>
      </c>
      <c r="C1777" s="127" t="n">
        <f aca="false">-SUMPRODUCT(固有振動数!$Q$6:$Q$22*固有振動数!$P$6:$P$22/((1-($A1777/固有振動数!$O$6:$O$22)^2)^2+固有振動数!$P$6:$P$22^2))</f>
        <v>-48.9622661229883</v>
      </c>
      <c r="D1777" s="128" t="n">
        <f aca="false">SQRT(B1777^2+C1777^2)</f>
        <v>49.6111001589159</v>
      </c>
      <c r="E1777" s="129" t="n">
        <f aca="false">20*LOG10(MAX(D1777,0.000000000001)/$K$3)</f>
        <v>33.9115771581995</v>
      </c>
    </row>
    <row r="1778" customFormat="false" ht="15" hidden="false" customHeight="false" outlineLevel="0" collapsed="false">
      <c r="A1778" s="122" t="n">
        <f aca="false">A1777+$F$3</f>
        <v>17720</v>
      </c>
      <c r="B1778" s="123" t="n">
        <f aca="false">SUMPRODUCT(固有振動数!$Q$6:$Q$22*(1-($A1778/固有振動数!$O$6:$O$22)^2)/((1-($A1778/固有振動数!$O$6:$O$22)^2)^2+固有振動数!$P$6:$P$22^2))</f>
        <v>-8.56194393832735</v>
      </c>
      <c r="C1778" s="123" t="n">
        <f aca="false">-SUMPRODUCT(固有振動数!$Q$6:$Q$22*固有振動数!$P$6:$P$22/((1-($A1778/固有振動数!$O$6:$O$22)^2)^2+固有振動数!$P$6:$P$22^2))</f>
        <v>-47.7188276235767</v>
      </c>
      <c r="D1778" s="124" t="n">
        <f aca="false">SQRT(B1778^2+C1778^2)</f>
        <v>48.4808559513102</v>
      </c>
      <c r="E1778" s="125" t="n">
        <f aca="false">20*LOG10(MAX(D1778,0.000000000001)/$K$3)</f>
        <v>33.7114055778054</v>
      </c>
    </row>
    <row r="1779" customFormat="false" ht="15" hidden="false" customHeight="false" outlineLevel="0" collapsed="false">
      <c r="A1779" s="126" t="n">
        <f aca="false">A1778+$F$3</f>
        <v>17730</v>
      </c>
      <c r="B1779" s="127" t="n">
        <f aca="false">SUMPRODUCT(固有振動数!$Q$6:$Q$22*(1-($A1779/固有振動数!$O$6:$O$22)^2)/((1-($A1779/固有振動数!$O$6:$O$22)^2)^2+固有振動数!$P$6:$P$22^2))</f>
        <v>-8.97179722615367</v>
      </c>
      <c r="C1779" s="127" t="n">
        <f aca="false">-SUMPRODUCT(固有振動数!$Q$6:$Q$22*固有振動数!$P$6:$P$22/((1-($A1779/固有振動数!$O$6:$O$22)^2)^2+固有振動数!$P$6:$P$22^2))</f>
        <v>-46.4892163869363</v>
      </c>
      <c r="D1779" s="128" t="n">
        <f aca="false">SQRT(B1779^2+C1779^2)</f>
        <v>47.3470208750098</v>
      </c>
      <c r="E1779" s="129" t="n">
        <f aca="false">20*LOG10(MAX(D1779,0.000000000001)/$K$3)</f>
        <v>33.5058531585504</v>
      </c>
    </row>
    <row r="1780" customFormat="false" ht="15" hidden="false" customHeight="false" outlineLevel="0" collapsed="false">
      <c r="A1780" s="122" t="n">
        <f aca="false">A1779+$F$3</f>
        <v>17740</v>
      </c>
      <c r="B1780" s="123" t="n">
        <f aca="false">SUMPRODUCT(固有振動数!$Q$6:$Q$22*(1-($A1780/固有振動数!$O$6:$O$22)^2)/((1-($A1780/固有振動数!$O$6:$O$22)^2)^2+固有振動数!$P$6:$P$22^2))</f>
        <v>-9.23688719693871</v>
      </c>
      <c r="C1780" s="123" t="n">
        <f aca="false">-SUMPRODUCT(固有振動数!$Q$6:$Q$22*固有振動数!$P$6:$P$22/((1-($A1780/固有振動数!$O$6:$O$22)^2)^2+固有振動数!$P$6:$P$22^2))</f>
        <v>-45.2918782639793</v>
      </c>
      <c r="D1780" s="124" t="n">
        <f aca="false">SQRT(B1780^2+C1780^2)</f>
        <v>46.2241746466942</v>
      </c>
      <c r="E1780" s="125" t="n">
        <f aca="false">20*LOG10(MAX(D1780,0.000000000001)/$K$3)</f>
        <v>33.2973833075657</v>
      </c>
    </row>
    <row r="1781" customFormat="false" ht="15" hidden="false" customHeight="false" outlineLevel="0" collapsed="false">
      <c r="A1781" s="126" t="n">
        <f aca="false">A1780+$F$3</f>
        <v>17750</v>
      </c>
      <c r="B1781" s="127" t="n">
        <f aca="false">SUMPRODUCT(固有振動数!$Q$6:$Q$22*(1-($A1781/固有振動数!$O$6:$O$22)^2)/((1-($A1781/固有振動数!$O$6:$O$22)^2)^2+固有振動数!$P$6:$P$22^2))</f>
        <v>-9.36874147114112</v>
      </c>
      <c r="C1781" s="127" t="n">
        <f aca="false">-SUMPRODUCT(固有振動数!$Q$6:$Q$22*固有振動数!$P$6:$P$22/((1-($A1781/固有振動数!$O$6:$O$22)^2)^2+固有振動数!$P$6:$P$22^2))</f>
        <v>-44.1423819420238</v>
      </c>
      <c r="D1781" s="128" t="n">
        <f aca="false">SQRT(B1781^2+C1781^2)</f>
        <v>45.1256379486051</v>
      </c>
      <c r="E1781" s="129" t="n">
        <f aca="false">20*LOG10(MAX(D1781,0.000000000001)/$K$3)</f>
        <v>33.0884670930003</v>
      </c>
    </row>
    <row r="1782" customFormat="false" ht="15" hidden="false" customHeight="false" outlineLevel="0" collapsed="false">
      <c r="A1782" s="122" t="n">
        <f aca="false">A1781+$F$3</f>
        <v>17760</v>
      </c>
      <c r="B1782" s="123" t="n">
        <f aca="false">SUMPRODUCT(固有振動数!$Q$6:$Q$22*(1-($A1782/固有振動数!$O$6:$O$22)^2)/((1-($A1782/固有振動数!$O$6:$O$22)^2)^2+固有振動数!$P$6:$P$22^2))</f>
        <v>-9.37979795589917</v>
      </c>
      <c r="C1782" s="123" t="n">
        <f aca="false">-SUMPRODUCT(固有振動数!$Q$6:$Q$22*固有振動数!$P$6:$P$22/((1-($A1782/固有振動数!$O$6:$O$22)^2)^2+固有振動数!$P$6:$P$22^2))</f>
        <v>-43.0535451294464</v>
      </c>
      <c r="D1782" s="124" t="n">
        <f aca="false">SQRT(B1782^2+C1782^2)</f>
        <v>44.0634583062516</v>
      </c>
      <c r="E1782" s="125" t="n">
        <f aca="false">20*LOG10(MAX(D1782,0.000000000001)/$K$3)</f>
        <v>32.8815715922828</v>
      </c>
    </row>
    <row r="1783" customFormat="false" ht="15" hidden="false" customHeight="false" outlineLevel="0" collapsed="false">
      <c r="A1783" s="126" t="n">
        <f aca="false">A1782+$F$3</f>
        <v>17770</v>
      </c>
      <c r="B1783" s="127" t="n">
        <f aca="false">SUMPRODUCT(固有振動数!$Q$6:$Q$22*(1-($A1783/固有振動数!$O$6:$O$22)^2)/((1-($A1783/固有振動数!$O$6:$O$22)^2)^2+固有振動数!$P$6:$P$22^2))</f>
        <v>-9.28287925964023</v>
      </c>
      <c r="C1783" s="127" t="n">
        <f aca="false">-SUMPRODUCT(固有振動数!$Q$6:$Q$22*固有振動数!$P$6:$P$22/((1-($A1783/固有振動数!$O$6:$O$22)^2)^2+固有振動数!$P$6:$P$22^2))</f>
        <v>-42.0356655040383</v>
      </c>
      <c r="D1783" s="128" t="n">
        <f aca="false">SQRT(B1783^2+C1783^2)</f>
        <v>43.0484497016612</v>
      </c>
      <c r="E1783" s="129" t="n">
        <f aca="false">20*LOG10(MAX(D1783,0.000000000001)/$K$3)</f>
        <v>32.679150317588</v>
      </c>
    </row>
    <row r="1784" customFormat="false" ht="15" hidden="false" customHeight="false" outlineLevel="0" collapsed="false">
      <c r="A1784" s="122" t="n">
        <f aca="false">A1783+$F$3</f>
        <v>17780</v>
      </c>
      <c r="B1784" s="123" t="n">
        <f aca="false">SUMPRODUCT(固有振動数!$Q$6:$Q$22*(1-($A1784/固有振動数!$O$6:$O$22)^2)/((1-($A1784/固有振動数!$O$6:$O$22)^2)^2+固有振動数!$P$6:$P$22^2))</f>
        <v>-9.09079149243738</v>
      </c>
      <c r="C1784" s="123" t="n">
        <f aca="false">-SUMPRODUCT(固有振動数!$Q$6:$Q$22*固有振動数!$P$6:$P$22/((1-($A1784/固有振動数!$O$6:$O$22)^2)^2+固有振動数!$P$6:$P$22^2))</f>
        <v>-41.0968125761189</v>
      </c>
      <c r="D1784" s="124" t="n">
        <f aca="false">SQRT(B1784^2+C1784^2)</f>
        <v>42.0902660228659</v>
      </c>
      <c r="E1784" s="125" t="n">
        <f aca="false">20*LOG10(MAX(D1784,0.000000000001)/$K$3)</f>
        <v>32.4836334125122</v>
      </c>
    </row>
    <row r="1785" customFormat="false" ht="15" hidden="false" customHeight="false" outlineLevel="0" collapsed="false">
      <c r="A1785" s="126" t="n">
        <f aca="false">A1784+$F$3</f>
        <v>17790</v>
      </c>
      <c r="B1785" s="127" t="n">
        <f aca="false">SUMPRODUCT(固有振動数!$Q$6:$Q$22*(1-($A1785/固有振動数!$O$6:$O$22)^2)/((1-($A1785/固有振動数!$O$6:$O$22)^2)^2+固有振動数!$P$6:$P$22^2))</f>
        <v>-8.81603831300255</v>
      </c>
      <c r="C1785" s="127" t="n">
        <f aca="false">-SUMPRODUCT(固有振動数!$Q$6:$Q$22*固有振動数!$P$6:$P$22/((1-($A1785/固有振動数!$O$6:$O$22)^2)^2+固有振動数!$P$6:$P$22^2))</f>
        <v>-40.2431452362993</v>
      </c>
      <c r="D1785" s="128" t="n">
        <f aca="false">SQRT(B1785^2+C1785^2)</f>
        <v>41.1974910649448</v>
      </c>
      <c r="E1785" s="129" t="n">
        <f aca="false">20*LOG10(MAX(D1785,0.000000000001)/$K$3)</f>
        <v>32.2974153644354</v>
      </c>
    </row>
    <row r="1786" customFormat="false" ht="15" hidden="false" customHeight="false" outlineLevel="0" collapsed="false">
      <c r="A1786" s="122" t="n">
        <f aca="false">A1785+$F$3</f>
        <v>17800</v>
      </c>
      <c r="B1786" s="123" t="n">
        <f aca="false">SUMPRODUCT(固有振動数!$Q$6:$Q$22*(1-($A1786/固有振動数!$O$6:$O$22)^2)/((1-($A1786/固有振動数!$O$6:$O$22)^2)^2+固有振動数!$P$6:$P$22^2))</f>
        <v>-8.47063556308888</v>
      </c>
      <c r="C1786" s="123" t="n">
        <f aca="false">-SUMPRODUCT(固有振動数!$Q$6:$Q$22*固有振動数!$P$6:$P$22/((1-($A1786/固有振動数!$O$6:$O$22)^2)^2+固有振動数!$P$6:$P$22^2))</f>
        <v>-39.4792287463596</v>
      </c>
      <c r="D1786" s="124" t="n">
        <f aca="false">SQRT(B1786^2+C1786^2)</f>
        <v>40.3777311057723</v>
      </c>
      <c r="E1786" s="125" t="n">
        <f aca="false">20*LOG10(MAX(D1786,0.000000000001)/$K$3)</f>
        <v>32.1228382307719</v>
      </c>
    </row>
    <row r="1787" customFormat="false" ht="15" hidden="false" customHeight="false" outlineLevel="0" collapsed="false">
      <c r="A1787" s="126" t="n">
        <f aca="false">A1786+$F$3</f>
        <v>17810</v>
      </c>
      <c r="B1787" s="127" t="n">
        <f aca="false">SUMPRODUCT(固有振動数!$Q$6:$Q$22*(1-($A1787/固有振動数!$O$6:$O$22)^2)/((1-($A1787/固有振動数!$O$6:$O$22)^2)^2+固有振動数!$P$6:$P$22^2))</f>
        <v>-8.06600963653045</v>
      </c>
      <c r="C1787" s="127" t="n">
        <f aca="false">-SUMPRODUCT(固有振動数!$Q$6:$Q$22*固有振動数!$P$6:$P$22/((1-($A1787/固有振動数!$O$6:$O$22)^2)^2+固有振動数!$P$6:$P$22^2))</f>
        <v>-38.8083330882276</v>
      </c>
      <c r="D1787" s="128" t="n">
        <f aca="false">SQRT(B1787^2+C1787^2)</f>
        <v>39.6376995869264</v>
      </c>
      <c r="E1787" s="129" t="n">
        <f aca="false">20*LOG10(MAX(D1787,0.000000000001)/$K$3)</f>
        <v>31.9621688367017</v>
      </c>
    </row>
    <row r="1788" customFormat="false" ht="15" hidden="false" customHeight="false" outlineLevel="0" collapsed="false">
      <c r="A1788" s="122" t="n">
        <f aca="false">A1787+$F$3</f>
        <v>17820</v>
      </c>
      <c r="B1788" s="123" t="n">
        <f aca="false">SUMPRODUCT(固有振動数!$Q$6:$Q$22*(1-($A1788/固有振動数!$O$6:$O$22)^2)/((1-($A1788/固有振動数!$O$6:$O$22)^2)^2+固有振動数!$P$6:$P$22^2))</f>
        <v>-7.61296281670133</v>
      </c>
      <c r="C1788" s="123" t="n">
        <f aca="false">-SUMPRODUCT(固有振動数!$Q$6:$Q$22*固有振動数!$P$6:$P$22/((1-($A1788/固有振動数!$O$6:$O$22)^2)^2+固有振動数!$P$6:$P$22^2))</f>
        <v>-38.2327013085583</v>
      </c>
      <c r="D1788" s="124" t="n">
        <f aca="false">SQRT(B1788^2+C1788^2)</f>
        <v>38.98328683164</v>
      </c>
      <c r="E1788" s="125" t="n">
        <f aca="false">20*LOG10(MAX(D1788,0.000000000001)/$K$3)</f>
        <v>31.817569067446</v>
      </c>
    </row>
    <row r="1789" customFormat="false" ht="15" hidden="false" customHeight="false" outlineLevel="0" collapsed="false">
      <c r="A1789" s="126" t="n">
        <f aca="false">A1788+$F$3</f>
        <v>17830</v>
      </c>
      <c r="B1789" s="127" t="n">
        <f aca="false">SUMPRODUCT(固有振動数!$Q$6:$Q$22*(1-($A1789/固有振動数!$O$6:$O$22)^2)/((1-($A1789/固有振動数!$O$6:$O$22)^2)^2+固有振動数!$P$6:$P$22^2))</f>
        <v>-7.12169027272574</v>
      </c>
      <c r="C1789" s="127" t="n">
        <f aca="false">-SUMPRODUCT(固有振動数!$Q$6:$Q$22*固有振動数!$P$6:$P$22/((1-($A1789/固有振動数!$O$6:$O$22)^2)^2+固有振動数!$P$6:$P$22^2))</f>
        <v>-37.7537816119996</v>
      </c>
      <c r="D1789" s="128" t="n">
        <f aca="false">SQRT(B1789^2+C1789^2)</f>
        <v>38.4196108562697</v>
      </c>
      <c r="E1789" s="129" t="n">
        <f aca="false">20*LOG10(MAX(D1789,0.000000000001)/$K$3)</f>
        <v>31.6910592335064</v>
      </c>
    </row>
    <row r="1790" customFormat="false" ht="15" hidden="false" customHeight="false" outlineLevel="0" collapsed="false">
      <c r="A1790" s="122" t="n">
        <f aca="false">A1789+$F$3</f>
        <v>17840</v>
      </c>
      <c r="B1790" s="123" t="n">
        <f aca="false">SUMPRODUCT(固有振動数!$Q$6:$Q$22*(1-($A1790/固有振動数!$O$6:$O$22)^2)/((1-($A1790/固有振動数!$O$6:$O$22)^2)^2+固有振動数!$P$6:$P$22^2))</f>
        <v>-6.60183552754576</v>
      </c>
      <c r="C1790" s="123" t="n">
        <f aca="false">-SUMPRODUCT(固有振動数!$Q$6:$Q$22*固有振動数!$P$6:$P$22/((1-($A1790/固有振動数!$O$6:$O$22)^2)^2+固有振動数!$P$6:$P$22^2))</f>
        <v>-37.3724205557787</v>
      </c>
      <c r="D1790" s="124" t="n">
        <f aca="false">SQRT(B1790^2+C1790^2)</f>
        <v>37.9510480821117</v>
      </c>
      <c r="E1790" s="125" t="n">
        <f aca="false">20*LOG10(MAX(D1790,0.000000000001)/$K$3)</f>
        <v>31.5844754834139</v>
      </c>
    </row>
    <row r="1791" customFormat="false" ht="15" hidden="false" customHeight="false" outlineLevel="0" collapsed="false">
      <c r="A1791" s="126" t="n">
        <f aca="false">A1790+$F$3</f>
        <v>17850</v>
      </c>
      <c r="B1791" s="127" t="n">
        <f aca="false">SUMPRODUCT(固有振動数!$Q$6:$Q$22*(1-($A1791/固有振動数!$O$6:$O$22)^2)/((1-($A1791/固有振動数!$O$6:$O$22)^2)^2+固有振動数!$P$6:$P$22^2))</f>
        <v>-6.06257350494984</v>
      </c>
      <c r="C1791" s="127" t="n">
        <f aca="false">-SUMPRODUCT(固有振動数!$Q$6:$Q$22*固有振動数!$P$6:$P$22/((1-($A1791/固有振動数!$O$6:$O$22)^2)^2+固有振動数!$P$6:$P$22^2))</f>
        <v>-37.0890170065402</v>
      </c>
      <c r="D1791" s="128" t="n">
        <f aca="false">SQRT(B1791^2+C1791^2)</f>
        <v>37.5812450567347</v>
      </c>
      <c r="E1791" s="129" t="n">
        <f aca="false">20*LOG10(MAX(D1791,0.000000000001)/$K$3)</f>
        <v>31.4994232812893</v>
      </c>
    </row>
    <row r="1792" customFormat="false" ht="15" hidden="false" customHeight="false" outlineLevel="0" collapsed="false">
      <c r="A1792" s="122" t="n">
        <f aca="false">A1791+$F$3</f>
        <v>17860</v>
      </c>
      <c r="B1792" s="123" t="n">
        <f aca="false">SUMPRODUCT(固有振動数!$Q$6:$Q$22*(1-($A1792/固有振動数!$O$6:$O$22)^2)/((1-($A1792/固有振動数!$O$6:$O$22)^2)^2+固有振動数!$P$6:$P$22^2))</f>
        <v>-5.51271240960386</v>
      </c>
      <c r="C1792" s="123" t="n">
        <f aca="false">-SUMPRODUCT(固有振動数!$Q$6:$Q$22*固有振動数!$P$6:$P$22/((1-($A1792/固有振動数!$O$6:$O$22)^2)^2+固有振動数!$P$6:$P$22^2))</f>
        <v>-36.9036378074321</v>
      </c>
      <c r="D1792" s="124" t="n">
        <f aca="false">SQRT(B1792^2+C1792^2)</f>
        <v>37.3131140690928</v>
      </c>
      <c r="E1792" s="125" t="n">
        <f aca="false">20*LOG10(MAX(D1792,0.000000000001)/$K$3)</f>
        <v>31.437229916001</v>
      </c>
    </row>
    <row r="1793" customFormat="false" ht="15" hidden="false" customHeight="false" outlineLevel="0" collapsed="false">
      <c r="A1793" s="126" t="n">
        <f aca="false">A1792+$F$3</f>
        <v>17870</v>
      </c>
      <c r="B1793" s="127" t="n">
        <f aca="false">SUMPRODUCT(固有振動数!$Q$6:$Q$22*(1-($A1793/固有振動数!$O$6:$O$22)^2)/((1-($A1793/固有振動数!$O$6:$O$22)^2)^2+固有振動数!$P$6:$P$22^2))</f>
        <v>-4.96080750861888</v>
      </c>
      <c r="C1793" s="127" t="n">
        <f aca="false">-SUMPRODUCT(固有振動数!$Q$6:$Q$22*固有振動数!$P$6:$P$22/((1-($A1793/固有振動数!$O$6:$O$22)^2)^2+固有振動数!$P$6:$P$22^2))</f>
        <v>-36.8160966327832</v>
      </c>
      <c r="D1793" s="128" t="n">
        <f aca="false">SQRT(B1793^2+C1793^2)</f>
        <v>37.1488167027161</v>
      </c>
      <c r="E1793" s="129" t="n">
        <f aca="false">20*LOG10(MAX(D1793,0.000000000001)/$K$3)</f>
        <v>31.3988996956248</v>
      </c>
    </row>
    <row r="1794" customFormat="false" ht="15" hidden="false" customHeight="false" outlineLevel="0" collapsed="false">
      <c r="A1794" s="122" t="n">
        <f aca="false">A1793+$F$3</f>
        <v>17880</v>
      </c>
      <c r="B1794" s="123" t="n">
        <f aca="false">SUMPRODUCT(固有振動数!$Q$6:$Q$22*(1-($A1794/固有振動数!$O$6:$O$22)^2)/((1-($A1794/固有振動数!$O$6:$O$22)^2)^2+固有振動数!$P$6:$P$22^2))</f>
        <v>-4.41528127035542</v>
      </c>
      <c r="C1794" s="123" t="n">
        <f aca="false">-SUMPRODUCT(固有振動数!$Q$6:$Q$22*固有振動数!$P$6:$P$22/((1-($A1794/固有振動数!$O$6:$O$22)^2)^2+固有振動数!$P$6:$P$22^2))</f>
        <v>-36.8259975118837</v>
      </c>
      <c r="D1794" s="124" t="n">
        <f aca="false">SQRT(B1794^2+C1794^2)</f>
        <v>37.089739840576</v>
      </c>
      <c r="E1794" s="125" t="n">
        <f aca="false">20*LOG10(MAX(D1794,0.000000000001)/$K$3)</f>
        <v>31.3850757411484</v>
      </c>
    </row>
    <row r="1795" customFormat="false" ht="15" hidden="false" customHeight="false" outlineLevel="0" collapsed="false">
      <c r="A1795" s="126" t="n">
        <f aca="false">A1794+$F$3</f>
        <v>17890</v>
      </c>
      <c r="B1795" s="127" t="n">
        <f aca="false">SUMPRODUCT(固有振動数!$Q$6:$Q$22*(1-($A1795/固有振動数!$O$6:$O$22)^2)/((1-($A1795/固有振動数!$O$6:$O$22)^2)^2+固有振動数!$P$6:$P$22^2))</f>
        <v>-3.88454523700678</v>
      </c>
      <c r="C1795" s="127" t="n">
        <f aca="false">-SUMPRODUCT(固有振動数!$Q$6:$Q$22*固有振動数!$P$6:$P$22/((1-($A1795/固有振動数!$O$6:$O$22)^2)^2+固有振動数!$P$6:$P$22^2))</f>
        <v>-36.9327441779108</v>
      </c>
      <c r="D1795" s="128" t="n">
        <f aca="false">SQRT(B1795^2+C1795^2)</f>
        <v>37.1364683863363</v>
      </c>
      <c r="E1795" s="129" t="n">
        <f aca="false">20*LOG10(MAX(D1795,0.000000000001)/$K$3)</f>
        <v>31.3960120143256</v>
      </c>
    </row>
    <row r="1796" customFormat="false" ht="15" hidden="false" customHeight="false" outlineLevel="0" collapsed="false">
      <c r="A1796" s="122" t="n">
        <f aca="false">A1795+$F$3</f>
        <v>17900</v>
      </c>
      <c r="B1796" s="123" t="n">
        <f aca="false">SUMPRODUCT(固有振動数!$Q$6:$Q$22*(1-($A1796/固有振動数!$O$6:$O$22)^2)/((1-($A1796/固有振動数!$O$6:$O$22)^2)^2+固有振動数!$P$6:$P$22^2))</f>
        <v>-3.37711945385385</v>
      </c>
      <c r="C1796" s="123" t="n">
        <f aca="false">-SUMPRODUCT(固有振動数!$Q$6:$Q$22*固有振動数!$P$6:$P$22/((1-($A1796/固有振動数!$O$6:$O$22)^2)^2+固有振動数!$P$6:$P$22^2))</f>
        <v>-37.135515906154</v>
      </c>
      <c r="D1796" s="124" t="n">
        <f aca="false">SQRT(B1796^2+C1796^2)</f>
        <v>37.2887580568436</v>
      </c>
      <c r="E1796" s="125" t="n">
        <f aca="false">20*LOG10(MAX(D1796,0.000000000001)/$K$3)</f>
        <v>31.4315583789227</v>
      </c>
    </row>
    <row r="1797" customFormat="false" ht="15" hidden="false" customHeight="false" outlineLevel="0" collapsed="false">
      <c r="A1797" s="126" t="n">
        <f aca="false">A1796+$F$3</f>
        <v>17910</v>
      </c>
      <c r="B1797" s="127" t="n">
        <f aca="false">SUMPRODUCT(固有振動数!$Q$6:$Q$22*(1-($A1797/固有振動数!$O$6:$O$22)^2)/((1-($A1797/固有振動数!$O$6:$O$22)^2)^2+固有振動数!$P$6:$P$22^2))</f>
        <v>-2.90174525719674</v>
      </c>
      <c r="C1797" s="127" t="n">
        <f aca="false">-SUMPRODUCT(固有振動数!$Q$6:$Q$22*固有振動数!$P$6:$P$22/((1-($A1797/固有振動数!$O$6:$O$22)^2)^2+固有振動数!$P$6:$P$22^2))</f>
        <v>-37.433209989027</v>
      </c>
      <c r="D1797" s="128" t="n">
        <f aca="false">SQRT(B1797^2+C1797^2)</f>
        <v>37.5455101925684</v>
      </c>
      <c r="E1797" s="129" t="n">
        <f aca="false">20*LOG10(MAX(D1797,0.000000000001)/$K$3)</f>
        <v>31.4911602035413</v>
      </c>
    </row>
    <row r="1798" customFormat="false" ht="15" hidden="false" customHeight="false" outlineLevel="0" collapsed="false">
      <c r="A1798" s="122" t="n">
        <f aca="false">A1797+$F$3</f>
        <v>17920</v>
      </c>
      <c r="B1798" s="123" t="n">
        <f aca="false">SUMPRODUCT(固有振動数!$Q$6:$Q$22*(1-($A1798/固有振動数!$O$6:$O$22)^2)/((1-($A1798/固有振動数!$O$6:$O$22)^2)^2+固有振動数!$P$6:$P$22^2))</f>
        <v>-2.46748675072366</v>
      </c>
      <c r="C1798" s="123" t="n">
        <f aca="false">-SUMPRODUCT(固有振動数!$Q$6:$Q$22*固有振動数!$P$6:$P$22/((1-($A1798/固有振動数!$O$6:$O$22)^2)^2+固有振動数!$P$6:$P$22^2))</f>
        <v>-37.8243505867101</v>
      </c>
      <c r="D1798" s="124" t="n">
        <f aca="false">SQRT(B1798^2+C1798^2)</f>
        <v>37.9047488867999</v>
      </c>
      <c r="E1798" s="125" t="n">
        <f aca="false">20*LOG10(MAX(D1798,0.000000000001)/$K$3)</f>
        <v>31.5738724770039</v>
      </c>
    </row>
    <row r="1799" customFormat="false" ht="15" hidden="false" customHeight="false" outlineLevel="0" collapsed="false">
      <c r="A1799" s="126" t="n">
        <f aca="false">A1798+$F$3</f>
        <v>17930</v>
      </c>
      <c r="B1799" s="127" t="n">
        <f aca="false">SUMPRODUCT(固有振動数!$Q$6:$Q$22*(1-($A1799/固有振動数!$O$6:$O$22)^2)/((1-($A1799/固有振動数!$O$6:$O$22)^2)^2+固有振動数!$P$6:$P$22^2))</f>
        <v>-2.08381540215903</v>
      </c>
      <c r="C1799" s="127" t="n">
        <f aca="false">-SUMPRODUCT(固有振動数!$Q$6:$Q$22*固有振動数!$P$6:$P$22/((1-($A1799/固有振動数!$O$6:$O$22)^2)^2+固有振動数!$P$6:$P$22^2))</f>
        <v>-38.3069635284247</v>
      </c>
      <c r="D1799" s="128" t="n">
        <f aca="false">SQRT(B1799^2+C1799^2)</f>
        <v>38.3635991715889</v>
      </c>
      <c r="E1799" s="129" t="n">
        <f aca="false">20*LOG10(MAX(D1799,0.000000000001)/$K$3)</f>
        <v>31.6783868954341</v>
      </c>
    </row>
    <row r="1800" customFormat="false" ht="15" hidden="false" customHeight="false" outlineLevel="0" collapsed="false">
      <c r="A1800" s="122" t="n">
        <f aca="false">A1799+$F$3</f>
        <v>17940</v>
      </c>
      <c r="B1800" s="123" t="n">
        <f aca="false">SUMPRODUCT(固有振動数!$Q$6:$Q$22*(1-($A1800/固有振動数!$O$6:$O$22)^2)/((1-($A1800/固有振動数!$O$6:$O$22)^2)^2+固有振動数!$P$6:$P$22^2))</f>
        <v>-1.76067091271193</v>
      </c>
      <c r="C1800" s="123" t="n">
        <f aca="false">-SUMPRODUCT(固有振動数!$Q$6:$Q$22*固有振動数!$P$6:$P$22/((1-($A1800/固有振動数!$O$6:$O$22)^2)^2+固有振動数!$P$6:$P$22^2))</f>
        <v>-38.8784168719883</v>
      </c>
      <c r="D1800" s="124" t="n">
        <f aca="false">SQRT(B1800^2+C1800^2)</f>
        <v>38.9182638427638</v>
      </c>
      <c r="E1800" s="125" t="n">
        <f aca="false">20*LOG10(MAX(D1800,0.000000000001)/$K$3)</f>
        <v>31.8030691600222</v>
      </c>
    </row>
    <row r="1801" customFormat="false" ht="15" hidden="false" customHeight="false" outlineLevel="0" collapsed="false">
      <c r="A1801" s="126" t="n">
        <f aca="false">A1800+$F$3</f>
        <v>17950</v>
      </c>
      <c r="B1801" s="127" t="n">
        <f aca="false">SUMPRODUCT(固有振動数!$Q$6:$Q$22*(1-($A1801/固有振動数!$O$6:$O$22)^2)/((1-($A1801/固有振動数!$O$6:$O$22)^2)^2+固有振動数!$P$6:$P$22^2))</f>
        <v>-1.50848993012739</v>
      </c>
      <c r="C1801" s="127" t="n">
        <f aca="false">-SUMPRODUCT(固有振動数!$Q$6:$Q$22*固有振動数!$P$6:$P$22/((1-($A1801/固有振動数!$O$6:$O$22)^2)^2+固有振動数!$P$6:$P$22^2))</f>
        <v>-39.5352278312136</v>
      </c>
      <c r="D1801" s="128" t="n">
        <f aca="false">SQRT(B1801^2+C1801^2)</f>
        <v>39.5639960258725</v>
      </c>
      <c r="E1801" s="129" t="n">
        <f aca="false">20*LOG10(MAX(D1801,0.000000000001)/$K$3)</f>
        <v>31.9460029913347</v>
      </c>
    </row>
    <row r="1802" customFormat="false" ht="15" hidden="false" customHeight="false" outlineLevel="0" collapsed="false">
      <c r="A1802" s="122" t="n">
        <f aca="false">A1801+$F$3</f>
        <v>17960</v>
      </c>
      <c r="B1802" s="123" t="n">
        <f aca="false">SUMPRODUCT(固有振動数!$Q$6:$Q$22*(1-($A1802/固有振動数!$O$6:$O$22)^2)/((1-($A1802/固有振動数!$O$6:$O$22)^2)^2+固有振動数!$P$6:$P$22^2))</f>
        <v>-1.33819242919761</v>
      </c>
      <c r="C1802" s="123" t="n">
        <f aca="false">-SUMPRODUCT(固有振動数!$Q$6:$Q$22*固有振動数!$P$6:$P$22/((1-($A1802/固有振動数!$O$6:$O$22)^2)^2+固有振動数!$P$6:$P$22^2))</f>
        <v>-40.272838244886</v>
      </c>
      <c r="D1802" s="124" t="n">
        <f aca="false">SQRT(B1802^2+C1802^2)</f>
        <v>40.2950649493994</v>
      </c>
      <c r="E1802" s="125" t="n">
        <f aca="false">20*LOG10(MAX(D1802,0.000000000001)/$K$3)</f>
        <v>32.1050372024826</v>
      </c>
    </row>
    <row r="1803" customFormat="false" ht="15" hidden="false" customHeight="false" outlineLevel="0" collapsed="false">
      <c r="A1803" s="126" t="n">
        <f aca="false">A1802+$F$3</f>
        <v>17970</v>
      </c>
      <c r="B1803" s="127" t="n">
        <f aca="false">SUMPRODUCT(固有振動数!$Q$6:$Q$22*(1-($A1803/固有振動数!$O$6:$O$22)^2)/((1-($A1803/固有振動数!$O$6:$O$22)^2)^2+固有振動数!$P$6:$P$22^2))</f>
        <v>-1.26111389594537</v>
      </c>
      <c r="C1803" s="127" t="n">
        <f aca="false">-SUMPRODUCT(固有振動数!$Q$6:$Q$22*固有振動数!$P$6:$P$22/((1-($A1803/固有振動数!$O$6:$O$22)^2)^2+固有振動数!$P$6:$P$22^2))</f>
        <v>-41.0853632871432</v>
      </c>
      <c r="D1803" s="128" t="n">
        <f aca="false">SQRT(B1803^2+C1803^2)</f>
        <v>41.1047136554323</v>
      </c>
      <c r="E1803" s="129" t="n">
        <f aca="false">20*LOG10(MAX(D1803,0.000000000001)/$K$3)</f>
        <v>32.2778325431971</v>
      </c>
    </row>
    <row r="1804" customFormat="false" ht="15" hidden="false" customHeight="false" outlineLevel="0" collapsed="false">
      <c r="A1804" s="122" t="n">
        <f aca="false">A1803+$F$3</f>
        <v>17980</v>
      </c>
      <c r="B1804" s="123" t="n">
        <f aca="false">SUMPRODUCT(固有振動数!$Q$6:$Q$22*(1-($A1804/固有振動数!$O$6:$O$22)^2)/((1-($A1804/固有振動数!$O$6:$O$22)^2)^2+固有振動数!$P$6:$P$22^2))</f>
        <v>-1.28887016663523</v>
      </c>
      <c r="C1804" s="123" t="n">
        <f aca="false">-SUMPRODUCT(固有振動数!$Q$6:$Q$22*固有振動数!$P$6:$P$22/((1-($A1804/固有振動数!$O$6:$O$22)^2)^2+固有振動数!$P$6:$P$22^2))</f>
        <v>-41.9653217823855</v>
      </c>
      <c r="D1804" s="124" t="n">
        <f aca="false">SQRT(B1804^2+C1804^2)</f>
        <v>41.9851094866454</v>
      </c>
      <c r="E1804" s="125" t="n">
        <f aca="false">20*LOG10(MAX(D1804,0.000000000001)/$K$3)</f>
        <v>32.4619058010902</v>
      </c>
    </row>
    <row r="1805" customFormat="false" ht="15" hidden="false" customHeight="false" outlineLevel="0" collapsed="false">
      <c r="A1805" s="126" t="n">
        <f aca="false">A1804+$F$3</f>
        <v>17990</v>
      </c>
      <c r="B1805" s="127" t="n">
        <f aca="false">SUMPRODUCT(固有振動数!$Q$6:$Q$22*(1-($A1805/固有振動数!$O$6:$O$22)^2)/((1-($A1805/固有振動数!$O$6:$O$22)^2)^2+固有振動数!$P$6:$P$22^2))</f>
        <v>-1.43314137808887</v>
      </c>
      <c r="C1805" s="127" t="n">
        <f aca="false">-SUMPRODUCT(固有振動数!$Q$6:$Q$22*固有振動数!$P$6:$P$22/((1-($A1805/固有振動数!$O$6:$O$22)^2)^2+固有振動数!$P$6:$P$22^2))</f>
        <v>-42.9033613840189</v>
      </c>
      <c r="D1805" s="128" t="n">
        <f aca="false">SQRT(B1805^2+C1805^2)</f>
        <v>42.9272909960239</v>
      </c>
      <c r="E1805" s="129" t="n">
        <f aca="false">20*LOG10(MAX(D1805,0.000000000001)/$K$3)</f>
        <v>32.6546696481817</v>
      </c>
    </row>
    <row r="1806" customFormat="false" ht="15" hidden="false" customHeight="false" outlineLevel="0" collapsed="false">
      <c r="A1806" s="122" t="n">
        <f aca="false">A1805+$F$3</f>
        <v>18000</v>
      </c>
      <c r="B1806" s="123" t="n">
        <f aca="false">SUMPRODUCT(固有振動数!$Q$6:$Q$22*(1-($A1806/固有振動数!$O$6:$O$22)^2)/((1-($A1806/固有振動数!$O$6:$O$22)^2)^2+固有振動数!$P$6:$P$22^2))</f>
        <v>-1.70536262040796</v>
      </c>
      <c r="C1806" s="123" t="n">
        <f aca="false">-SUMPRODUCT(固有振動数!$Q$6:$Q$22*固有振動数!$P$6:$P$22/((1-($A1806/固有振動数!$O$6:$O$22)^2)^2+固有振動数!$P$6:$P$22^2))</f>
        <v>-43.8879979378708</v>
      </c>
      <c r="D1806" s="124" t="n">
        <f aca="false">SQRT(B1806^2+C1806^2)</f>
        <v>43.9211182082336</v>
      </c>
      <c r="E1806" s="125" t="n">
        <f aca="false">20*LOG10(MAX(D1806,0.000000000001)/$K$3)</f>
        <v>32.8534677697712</v>
      </c>
    </row>
    <row r="1807" customFormat="false" ht="15" hidden="false" customHeight="false" outlineLevel="0" collapsed="false">
      <c r="A1807" s="126" t="n">
        <f aca="false">A1806+$F$3</f>
        <v>18010</v>
      </c>
      <c r="B1807" s="127" t="n">
        <f aca="false">SUMPRODUCT(固有振動数!$Q$6:$Q$22*(1-($A1807/固有振動数!$O$6:$O$22)^2)/((1-($A1807/固有振動数!$O$6:$O$22)^2)^2+固有振動数!$P$6:$P$22^2))</f>
        <v>-2.1163123044594</v>
      </c>
      <c r="C1807" s="127" t="n">
        <f aca="false">-SUMPRODUCT(固有振動数!$Q$6:$Q$22*固有振動数!$P$6:$P$22/((1-($A1807/固有振動数!$O$6:$O$22)^2)^2+固有振動数!$P$6:$P$22^2))</f>
        <v>-44.905395237634</v>
      </c>
      <c r="D1807" s="128" t="n">
        <f aca="false">SQRT(B1807^2+C1807^2)</f>
        <v>44.9552366161956</v>
      </c>
      <c r="E1807" s="129" t="n">
        <f aca="false">20*LOG10(MAX(D1807,0.000000000001)/$K$3)</f>
        <v>33.0556057572271</v>
      </c>
    </row>
    <row r="1808" customFormat="false" ht="15" hidden="false" customHeight="false" outlineLevel="0" collapsed="false">
      <c r="A1808" s="122" t="n">
        <f aca="false">A1807+$F$3</f>
        <v>18020</v>
      </c>
      <c r="B1808" s="123" t="n">
        <f aca="false">SUMPRODUCT(固有振動数!$Q$6:$Q$22*(1-($A1808/固有振動数!$O$6:$O$22)^2)/((1-($A1808/固有振動数!$O$6:$O$22)^2)^2+固有振動数!$P$6:$P$22^2))</f>
        <v>-2.67559574274347</v>
      </c>
      <c r="C1808" s="123" t="n">
        <f aca="false">-SUMPRODUCT(固有振動数!$Q$6:$Q$22*固有振動数!$P$6:$P$22/((1-($A1808/固有振動数!$O$6:$O$22)^2)^2+固有振動数!$P$6:$P$22^2))</f>
        <v>-45.9392183557568</v>
      </c>
      <c r="D1808" s="124" t="n">
        <f aca="false">SQRT(B1808^2+C1808^2)</f>
        <v>46.0170685258903</v>
      </c>
      <c r="E1808" s="125" t="n">
        <f aca="false">20*LOG10(MAX(D1808,0.000000000001)/$K$3)</f>
        <v>33.2583789778388</v>
      </c>
    </row>
    <row r="1809" customFormat="false" ht="15" hidden="false" customHeight="false" outlineLevel="0" collapsed="false">
      <c r="A1809" s="126" t="n">
        <f aca="false">A1808+$F$3</f>
        <v>18030</v>
      </c>
      <c r="B1809" s="127" t="n">
        <f aca="false">SUMPRODUCT(固有振動数!$Q$6:$Q$22*(1-($A1809/固有振動数!$O$6:$O$22)^2)/((1-($A1809/固有振動数!$O$6:$O$22)^2)^2+固有振動数!$P$6:$P$22^2))</f>
        <v>-3.39103160707188</v>
      </c>
      <c r="C1809" s="127" t="n">
        <f aca="false">-SUMPRODUCT(固有振動数!$Q$6:$Q$22*固有振動数!$P$6:$P$22/((1-($A1809/固有振動数!$O$6:$O$22)^2)^2+固有振動数!$P$6:$P$22^2))</f>
        <v>-46.9705995673058</v>
      </c>
      <c r="D1809" s="128" t="n">
        <f aca="false">SQRT(B1809^2+C1809^2)</f>
        <v>47.0928478547682</v>
      </c>
      <c r="E1809" s="129" t="n">
        <f aca="false">20*LOG10(MAX(D1809,0.000000000001)/$K$3)</f>
        <v>33.4590990881976</v>
      </c>
    </row>
    <row r="1810" customFormat="false" ht="15" hidden="false" customHeight="false" outlineLevel="0" collapsed="false">
      <c r="A1810" s="122" t="n">
        <f aca="false">A1809+$F$3</f>
        <v>18040</v>
      </c>
      <c r="B1810" s="123" t="n">
        <f aca="false">SUMPRODUCT(固有振動数!$Q$6:$Q$22*(1-($A1810/固有振動数!$O$6:$O$22)^2)/((1-($A1810/固有振動数!$O$6:$O$22)^2)^2+固有振動数!$P$6:$P$22^2))</f>
        <v>-4.2679629347299</v>
      </c>
      <c r="C1810" s="123" t="n">
        <f aca="false">-SUMPRODUCT(固有振動数!$Q$6:$Q$22*固有振動数!$P$6:$P$22/((1-($A1810/固有振動数!$O$6:$O$22)^2)^2+固有振動数!$P$6:$P$22^2))</f>
        <v>-47.978258826205</v>
      </c>
      <c r="D1810" s="124" t="n">
        <f aca="false">SQRT(B1810^2+C1810^2)</f>
        <v>48.1677156154052</v>
      </c>
      <c r="E1810" s="125" t="n">
        <f aca="false">20*LOG10(MAX(D1810,0.000000000001)/$K$3)</f>
        <v>33.6551210022077</v>
      </c>
    </row>
    <row r="1811" customFormat="false" ht="15" hidden="false" customHeight="false" outlineLevel="0" collapsed="false">
      <c r="A1811" s="126" t="n">
        <f aca="false">A1810+$F$3</f>
        <v>18050</v>
      </c>
      <c r="B1811" s="127" t="n">
        <f aca="false">SUMPRODUCT(固有振動数!$Q$6:$Q$22*(1-($A1811/固有振動数!$O$6:$O$22)^2)/((1-($A1811/固有振動数!$O$6:$O$22)^2)^2+固有振動数!$P$6:$P$22^2))</f>
        <v>-5.3085315665515</v>
      </c>
      <c r="C1811" s="127" t="n">
        <f aca="false">-SUMPRODUCT(固有振動数!$Q$6:$Q$22*固有振動数!$P$6:$P$22/((1-($A1811/固有振動数!$O$6:$O$22)^2)^2+固有振動数!$P$6:$P$22^2))</f>
        <v>-48.9388186662901</v>
      </c>
      <c r="D1811" s="128" t="n">
        <f aca="false">SQRT(B1811^2+C1811^2)</f>
        <v>49.2258923722577</v>
      </c>
      <c r="E1811" s="129" t="n">
        <f aca="false">20*LOG10(MAX(D1811,0.000000000001)/$K$3)</f>
        <v>33.8438719563695</v>
      </c>
    </row>
    <row r="1812" customFormat="false" ht="15" hidden="false" customHeight="false" outlineLevel="0" collapsed="false">
      <c r="A1812" s="122" t="n">
        <f aca="false">A1811+$F$3</f>
        <v>18060</v>
      </c>
      <c r="B1812" s="123" t="n">
        <f aca="false">SUMPRODUCT(固有振動数!$Q$6:$Q$22*(1-($A1812/固有振動数!$O$6:$O$22)^2)/((1-($A1812/固有振動数!$O$6:$O$22)^2)^2+固有振動数!$P$6:$P$22^2))</f>
        <v>-6.51097352488145</v>
      </c>
      <c r="C1812" s="123" t="n">
        <f aca="false">-SUMPRODUCT(固有振動数!$Q$6:$Q$22*固有振動数!$P$6:$P$22/((1-($A1812/固有振動数!$O$6:$O$22)^2)^2+固有振動数!$P$6:$P$22^2))</f>
        <v>-49.8273441252444</v>
      </c>
      <c r="D1812" s="124" t="n">
        <f aca="false">SQRT(B1812^2+C1812^2)</f>
        <v>50.2509402779414</v>
      </c>
      <c r="E1812" s="125" t="n">
        <f aca="false">20*LOG10(MAX(D1812,0.000000000001)/$K$3)</f>
        <v>34.0228838506867</v>
      </c>
    </row>
    <row r="1813" customFormat="false" ht="15" hidden="false" customHeight="false" outlineLevel="0" collapsed="false">
      <c r="A1813" s="126" t="n">
        <f aca="false">A1812+$F$3</f>
        <v>18070</v>
      </c>
      <c r="B1813" s="127" t="n">
        <f aca="false">SUMPRODUCT(固有振動数!$Q$6:$Q$22*(1-($A1813/固有振動数!$O$6:$O$22)^2)/((1-($A1813/固有振動数!$O$6:$O$22)^2)^2+固有振動数!$P$6:$P$22^2))</f>
        <v>-7.8690097502983</v>
      </c>
      <c r="C1813" s="127" t="n">
        <f aca="false">-SUMPRODUCT(固有振動数!$Q$6:$Q$22*固有振動数!$P$6:$P$22/((1-($A1813/固有振動数!$O$6:$O$22)^2)^2+固有振動数!$P$6:$P$22^2))</f>
        <v>-50.6181202772585</v>
      </c>
      <c r="D1813" s="128" t="n">
        <f aca="false">SQRT(B1813^2+C1813^2)</f>
        <v>51.2261204353141</v>
      </c>
      <c r="E1813" s="129" t="n">
        <f aca="false">20*LOG10(MAX(D1813,0.000000000001)/$K$3)</f>
        <v>34.1898293243061</v>
      </c>
    </row>
    <row r="1814" customFormat="false" ht="15" hidden="false" customHeight="false" outlineLevel="0" collapsed="false">
      <c r="A1814" s="122" t="n">
        <f aca="false">A1813+$F$3</f>
        <v>18080</v>
      </c>
      <c r="B1814" s="123" t="n">
        <f aca="false">SUMPRODUCT(固有振動数!$Q$6:$Q$22*(1-($A1814/固有振動数!$O$6:$O$22)^2)/((1-($A1814/固有振動数!$O$6:$O$22)^2)^2+固有振動数!$P$6:$P$22^2))</f>
        <v>-9.37141752565325</v>
      </c>
      <c r="C1814" s="123" t="n">
        <f aca="false">-SUMPRODUCT(固有振動数!$Q$6:$Q$22*固有振動数!$P$6:$P$22/((1-($A1814/固有振動数!$O$6:$O$22)^2)^2+固有振動数!$P$6:$P$22^2))</f>
        <v>-51.2856530969793</v>
      </c>
      <c r="D1814" s="124" t="n">
        <f aca="false">SQRT(B1814^2+C1814^2)</f>
        <v>52.1348413253922</v>
      </c>
      <c r="E1814" s="125" t="n">
        <f aca="false">20*LOG10(MAX(D1814,0.000000000001)/$K$3)</f>
        <v>34.3425611217041</v>
      </c>
    </row>
    <row r="1815" customFormat="false" ht="15" hidden="false" customHeight="false" outlineLevel="0" collapsed="false">
      <c r="A1815" s="126" t="n">
        <f aca="false">A1814+$F$3</f>
        <v>18090</v>
      </c>
      <c r="B1815" s="127" t="n">
        <f aca="false">SUMPRODUCT(固有振動数!$Q$6:$Q$22*(1-($A1815/固有振動数!$O$6:$O$22)^2)/((1-($A1815/固有振動数!$O$6:$O$22)^2)^2+固有振動数!$P$6:$P$22^2))</f>
        <v>-11.0018680850836</v>
      </c>
      <c r="C1815" s="127" t="n">
        <f aca="false">-SUMPRODUCT(固有振動数!$Q$6:$Q$22*固有振動数!$P$6:$P$22/((1-($A1815/固有振動数!$O$6:$O$22)^2)^2+固有振動数!$P$6:$P$22^2))</f>
        <v>-51.8058457973783</v>
      </c>
      <c r="D1815" s="128" t="n">
        <f aca="false">SQRT(B1815^2+C1815^2)</f>
        <v>52.9611816346966</v>
      </c>
      <c r="E1815" s="129" t="n">
        <f aca="false">20*LOG10(MAX(D1815,0.000000000001)/$K$3)</f>
        <v>34.4791533245934</v>
      </c>
    </row>
    <row r="1816" customFormat="false" ht="15" hidden="false" customHeight="false" outlineLevel="0" collapsed="false">
      <c r="A1816" s="122" t="n">
        <f aca="false">A1815+$F$3</f>
        <v>18100</v>
      </c>
      <c r="B1816" s="123" t="n">
        <f aca="false">SUMPRODUCT(固有振動数!$Q$6:$Q$22*(1-($A1816/固有振動数!$O$6:$O$22)^2)/((1-($A1816/固有振動数!$O$6:$O$22)^2)^2+固有振動数!$P$6:$P$22^2))</f>
        <v>-12.7391014197296</v>
      </c>
      <c r="C1816" s="123" t="n">
        <f aca="false">-SUMPRODUCT(固有振動数!$Q$6:$Q$22*固有振動数!$P$6:$P$22/((1-($A1816/固有振動数!$O$6:$O$22)^2)^2+固有振動数!$P$6:$P$22^2))</f>
        <v>-52.1572672958905</v>
      </c>
      <c r="D1816" s="124" t="n">
        <f aca="false">SQRT(B1816^2+C1816^2)</f>
        <v>53.6904575949687</v>
      </c>
      <c r="E1816" s="125" t="n">
        <f aca="false">20*LOG10(MAX(D1816,0.000000000001)/$K$3)</f>
        <v>34.5979421079937</v>
      </c>
    </row>
    <row r="1817" customFormat="false" ht="15" hidden="false" customHeight="false" outlineLevel="0" collapsed="false">
      <c r="A1817" s="126" t="n">
        <f aca="false">A1816+$F$3</f>
        <v>18110</v>
      </c>
      <c r="B1817" s="127" t="n">
        <f aca="false">SUMPRODUCT(固有振動数!$Q$6:$Q$22*(1-($A1817/固有振動数!$O$6:$O$22)^2)/((1-($A1817/固有振動数!$O$6:$O$22)^2)^2+固有振動数!$P$6:$P$22^2))</f>
        <v>-14.5574786712251</v>
      </c>
      <c r="C1817" s="127" t="n">
        <f aca="false">-SUMPRODUCT(固有振動数!$Q$6:$Q$22*固有振動数!$P$6:$P$22/((1-($A1817/固有振動数!$O$6:$O$22)^2)^2+固有振動数!$P$6:$P$22^2))</f>
        <v>-52.3223991820019</v>
      </c>
      <c r="D1817" s="128" t="n">
        <f aca="false">SQRT(B1817^2+C1817^2)</f>
        <v>54.3097932367997</v>
      </c>
      <c r="E1817" s="129" t="n">
        <f aca="false">20*LOG10(MAX(D1817,0.000000000001)/$K$3)</f>
        <v>34.6975629878032</v>
      </c>
    </row>
    <row r="1818" customFormat="false" ht="15" hidden="false" customHeight="false" outlineLevel="0" collapsed="false">
      <c r="A1818" s="122" t="n">
        <f aca="false">A1817+$F$3</f>
        <v>18120</v>
      </c>
      <c r="B1818" s="123" t="n">
        <f aca="false">SUMPRODUCT(固有振動数!$Q$6:$Q$22*(1-($A1818/固有振動数!$O$6:$O$22)^2)/((1-($A1818/固有振動数!$O$6:$O$22)^2)^2+固有振動数!$P$6:$P$22^2))</f>
        <v>-16.4279081054813</v>
      </c>
      <c r="C1818" s="123" t="n">
        <f aca="false">-SUMPRODUCT(固有振動数!$Q$6:$Q$22*固有振動数!$P$6:$P$22/((1-($A1818/固有振動数!$O$6:$O$22)^2)^2+固有振動数!$P$6:$P$22^2))</f>
        <v>-52.2887305036633</v>
      </c>
      <c r="D1818" s="124" t="n">
        <f aca="false">SQRT(B1818^2+C1818^2)</f>
        <v>54.8086444131477</v>
      </c>
      <c r="E1818" s="125" t="n">
        <f aca="false">20*LOG10(MAX(D1818,0.000000000001)/$K$3)</f>
        <v>34.7769812152553</v>
      </c>
    </row>
    <row r="1819" customFormat="false" ht="15" hidden="false" customHeight="false" outlineLevel="0" collapsed="false">
      <c r="A1819" s="126" t="n">
        <f aca="false">A1818+$F$3</f>
        <v>18130</v>
      </c>
      <c r="B1819" s="127" t="n">
        <f aca="false">SUMPRODUCT(固有振動数!$Q$6:$Q$22*(1-($A1819/固有振動数!$O$6:$O$22)^2)/((1-($A1819/固有振動数!$O$6:$O$22)^2)^2+固有振動数!$P$6:$P$22^2))</f>
        <v>-18.3190891574146</v>
      </c>
      <c r="C1819" s="127" t="n">
        <f aca="false">-SUMPRODUCT(固有振動数!$Q$6:$Q$22*固有振動数!$P$6:$P$22/((1-($A1819/固有振動数!$O$6:$O$22)^2)^2+固有振動数!$P$6:$P$22^2))</f>
        <v>-52.0495724990894</v>
      </c>
      <c r="D1819" s="128" t="n">
        <f aca="false">SQRT(B1819^2+C1819^2)</f>
        <v>55.1792263890612</v>
      </c>
      <c r="E1819" s="129" t="n">
        <f aca="false">20*LOG10(MAX(D1819,0.000000000001)/$K$3)</f>
        <v>34.83551214783</v>
      </c>
    </row>
    <row r="1820" customFormat="false" ht="15" hidden="false" customHeight="false" outlineLevel="0" collapsed="false">
      <c r="A1820" s="122" t="n">
        <f aca="false">A1819+$F$3</f>
        <v>18140</v>
      </c>
      <c r="B1820" s="123" t="n">
        <f aca="false">SUMPRODUCT(固有振動数!$Q$6:$Q$22*(1-($A1820/固有振動数!$O$6:$O$22)^2)/((1-($A1820/固有振動数!$O$6:$O$22)^2)^2+固有振動数!$P$6:$P$22^2))</f>
        <v>-20.1989704283553</v>
      </c>
      <c r="C1820" s="123" t="n">
        <f aca="false">-SUMPRODUCT(固有振動数!$Q$6:$Q$22*固有振動数!$P$6:$P$22/((1-($A1820/固有振動数!$O$6:$O$22)^2)^2+固有振動数!$P$6:$P$22^2))</f>
        <v>-51.6044908528225</v>
      </c>
      <c r="D1820" s="124" t="n">
        <f aca="false">SQRT(B1820^2+C1820^2)</f>
        <v>55.4168014463539</v>
      </c>
      <c r="E1820" s="125" t="n">
        <f aca="false">20*LOG10(MAX(D1820,0.000000000001)/$K$3)</f>
        <v>34.8728291101634</v>
      </c>
    </row>
    <row r="1821" customFormat="false" ht="15" hidden="false" customHeight="false" outlineLevel="0" collapsed="false">
      <c r="A1821" s="126" t="n">
        <f aca="false">A1820+$F$3</f>
        <v>18150</v>
      </c>
      <c r="B1821" s="127" t="n">
        <f aca="false">SUMPRODUCT(固有振動数!$Q$6:$Q$22*(1-($A1821/固有振動数!$O$6:$O$22)^2)/((1-($A1821/固有振動数!$O$6:$O$22)^2)^2+固有振動数!$P$6:$P$22^2))</f>
        <v>-22.0362826323589</v>
      </c>
      <c r="C1821" s="127" t="n">
        <f aca="false">-SUMPRODUCT(固有振動数!$Q$6:$Q$22*固有振動数!$P$6:$P$22/((1-($A1821/固有振動数!$O$6:$O$22)^2)^2+固有振動数!$P$6:$P$22^2))</f>
        <v>-50.9592984045874</v>
      </c>
      <c r="D1821" s="128" t="n">
        <f aca="false">SQRT(B1821^2+C1821^2)</f>
        <v>55.519796884904</v>
      </c>
      <c r="E1821" s="129" t="n">
        <f aca="false">20*LOG10(MAX(D1821,0.000000000001)/$K$3)</f>
        <v>34.8889573723053</v>
      </c>
    </row>
    <row r="1822" customFormat="false" ht="15" hidden="false" customHeight="false" outlineLevel="0" collapsed="false">
      <c r="A1822" s="122" t="n">
        <f aca="false">A1821+$F$3</f>
        <v>18160</v>
      </c>
      <c r="B1822" s="123" t="n">
        <f aca="false">SUMPRODUCT(固有振動数!$Q$6:$Q$22*(1-($A1822/固有振動数!$O$6:$O$22)^2)/((1-($A1822/固有振動数!$O$6:$O$22)^2)^2+固有振動数!$P$6:$P$22^2))</f>
        <v>-23.8019947320969</v>
      </c>
      <c r="C1822" s="123" t="n">
        <f aca="false">-SUMPRODUCT(固有振動数!$Q$6:$Q$22*固有振動数!$P$6:$P$22/((1-($A1822/固有振動数!$O$6:$O$22)^2)^2+固有振動数!$P$6:$P$22^2))</f>
        <v>-50.1256082806551</v>
      </c>
      <c r="D1822" s="124" t="n">
        <f aca="false">SQRT(B1822^2+C1822^2)</f>
        <v>55.4897428245297</v>
      </c>
      <c r="E1822" s="125" t="n">
        <f aca="false">20*LOG10(MAX(D1822,0.000000000001)/$K$3)</f>
        <v>34.8842542403286</v>
      </c>
    </row>
    <row r="1823" customFormat="false" ht="15" hidden="false" customHeight="false" outlineLevel="0" collapsed="false">
      <c r="A1823" s="126" t="n">
        <f aca="false">A1822+$F$3</f>
        <v>18170</v>
      </c>
      <c r="B1823" s="127" t="n">
        <f aca="false">SUMPRODUCT(固有振動数!$Q$6:$Q$22*(1-($A1823/固有振動数!$O$6:$O$22)^2)/((1-($A1823/固有振動数!$O$6:$O$22)^2)^2+固有振動数!$P$6:$P$22^2))</f>
        <v>-25.4705540827152</v>
      </c>
      <c r="C1823" s="127" t="n">
        <f aca="false">-SUMPRODUCT(固有振動数!$Q$6:$Q$22*固有振動数!$P$6:$P$22/((1-($A1823/固有振動数!$O$6:$O$22)^2)^2+固有振動数!$P$6:$P$22^2))</f>
        <v>-49.120004531523</v>
      </c>
      <c r="D1823" s="128" t="n">
        <f aca="false">SQRT(B1823^2+C1823^2)</f>
        <v>55.3310398461602</v>
      </c>
      <c r="E1823" s="129" t="n">
        <f aca="false">20*LOG10(MAX(D1823,0.000000000001)/$K$3)</f>
        <v>34.8593766412994</v>
      </c>
    </row>
    <row r="1824" customFormat="false" ht="15" hidden="false" customHeight="false" outlineLevel="0" collapsed="false">
      <c r="A1824" s="122" t="n">
        <f aca="false">A1823+$F$3</f>
        <v>18180</v>
      </c>
      <c r="B1824" s="123" t="n">
        <f aca="false">SUMPRODUCT(固有振動数!$Q$6:$Q$22*(1-($A1824/固有振動数!$O$6:$O$22)^2)/((1-($A1824/固有振動数!$O$6:$O$22)^2)^2+固有振動数!$P$6:$P$22^2))</f>
        <v>-27.0208062045617</v>
      </c>
      <c r="C1824" s="123" t="n">
        <f aca="false">-SUMPRODUCT(固有振動数!$Q$6:$Q$22*固有振動数!$P$6:$P$22/((1-($A1824/固有振動数!$O$6:$O$22)^2)^2+固有振動数!$P$6:$P$22^2))</f>
        <v>-47.9629328932903</v>
      </c>
      <c r="D1824" s="124" t="n">
        <f aca="false">SQRT(B1824^2+C1824^2)</f>
        <v>55.0505849166996</v>
      </c>
      <c r="E1824" s="125" t="n">
        <f aca="false">20*LOG10(MAX(D1824,0.000000000001)/$K$3)</f>
        <v>34.8152387548913</v>
      </c>
    </row>
    <row r="1825" customFormat="false" ht="15" hidden="false" customHeight="false" outlineLevel="0" collapsed="false">
      <c r="A1825" s="126" t="n">
        <f aca="false">A1824+$F$3</f>
        <v>18190</v>
      </c>
      <c r="B1825" s="127" t="n">
        <f aca="false">SUMPRODUCT(固有振動数!$Q$6:$Q$22*(1-($A1825/固有振動数!$O$6:$O$22)^2)/((1-($A1825/固有振動数!$O$6:$O$22)^2)^2+固有振動数!$P$6:$P$22^2))</f>
        <v>-28.4365384759758</v>
      </c>
      <c r="C1825" s="127" t="n">
        <f aca="false">-SUMPRODUCT(固有振動数!$Q$6:$Q$22*固有振動数!$P$6:$P$22/((1-($A1825/固有振動数!$O$6:$O$22)^2)^2+固有振動数!$P$6:$P$22^2))</f>
        <v>-46.6774399506144</v>
      </c>
      <c r="D1825" s="128" t="n">
        <f aca="false">SQRT(B1825^2+C1825^2)</f>
        <v>54.6572970502463</v>
      </c>
      <c r="E1825" s="129" t="n">
        <f aca="false">20*LOG10(MAX(D1825,0.000000000001)/$K$3)</f>
        <v>34.7529630172433</v>
      </c>
    </row>
    <row r="1826" customFormat="false" ht="15" hidden="false" customHeight="false" outlineLevel="0" collapsed="false">
      <c r="A1826" s="122" t="n">
        <f aca="false">A1825+$F$3</f>
        <v>18200</v>
      </c>
      <c r="B1826" s="123" t="n">
        <f aca="false">SUMPRODUCT(固有振動数!$Q$6:$Q$22*(1-($A1826/固有振動数!$O$6:$O$22)^2)/((1-($A1826/固有振動数!$O$6:$O$22)^2)^2+固有振動数!$P$6:$P$22^2))</f>
        <v>-29.7066437282099</v>
      </c>
      <c r="C1826" s="123" t="n">
        <f aca="false">-SUMPRODUCT(固有振動数!$Q$6:$Q$22*固有振動数!$P$6:$P$22/((1-($A1826/固有振動数!$O$6:$O$22)^2)^2+固有振動数!$P$6:$P$22^2))</f>
        <v>-45.2878919245885</v>
      </c>
      <c r="D1826" s="124" t="n">
        <f aca="false">SQRT(B1826^2+C1826^2)</f>
        <v>54.1615900483728</v>
      </c>
      <c r="E1826" s="125" t="n">
        <f aca="false">20*LOG10(MAX(D1826,0.000000000001)/$K$3)</f>
        <v>34.6738281132086</v>
      </c>
    </row>
    <row r="1827" customFormat="false" ht="15" hidden="false" customHeight="false" outlineLevel="0" collapsed="false">
      <c r="A1827" s="126" t="n">
        <f aca="false">A1826+$F$3</f>
        <v>18210</v>
      </c>
      <c r="B1827" s="127" t="n">
        <f aca="false">SUMPRODUCT(固有振動数!$Q$6:$Q$22*(1-($A1827/固有振動数!$O$6:$O$22)^2)/((1-($A1827/固有振動数!$O$6:$O$22)^2)^2+固有振動数!$P$6:$P$22^2))</f>
        <v>-30.8249443690857</v>
      </c>
      <c r="C1827" s="127" t="n">
        <f aca="false">-SUMPRODUCT(固有振動数!$Q$6:$Q$22*固有振動数!$P$6:$P$22/((1-($A1827/固有振動数!$O$6:$O$22)^2)^2+固有振動数!$P$6:$P$22^2))</f>
        <v>-43.8187872551548</v>
      </c>
      <c r="D1827" s="128" t="n">
        <f aca="false">SQRT(B1827^2+C1827^2)</f>
        <v>53.5748384213126</v>
      </c>
      <c r="E1827" s="129" t="n">
        <f aca="false">20*LOG10(MAX(D1827,0.000000000001)/$K$3)</f>
        <v>34.5792173981641</v>
      </c>
    </row>
    <row r="1828" customFormat="false" ht="15" hidden="false" customHeight="false" outlineLevel="0" collapsed="false">
      <c r="A1828" s="122" t="n">
        <f aca="false">A1827+$F$3</f>
        <v>18220</v>
      </c>
      <c r="B1828" s="123" t="n">
        <f aca="false">SUMPRODUCT(固有振動数!$Q$6:$Q$22*(1-($A1828/固有振動数!$O$6:$O$22)^2)/((1-($A1828/固有振動数!$O$6:$O$22)^2)^2+固有振動数!$P$6:$P$22^2))</f>
        <v>-31.7897484961701</v>
      </c>
      <c r="C1828" s="123" t="n">
        <f aca="false">-SUMPRODUCT(固有振動数!$Q$6:$Q$22*固有振動数!$P$6:$P$22/((1-($A1828/固有振動数!$O$6:$O$22)^2)^2+固有振動数!$P$6:$P$22^2))</f>
        <v>-42.2937467287739</v>
      </c>
      <c r="D1828" s="124" t="n">
        <f aca="false">SQRT(B1828^2+C1828^2)</f>
        <v>52.9088756430093</v>
      </c>
      <c r="E1828" s="125" t="n">
        <f aca="false">20*LOG10(MAX(D1828,0.000000000001)/$K$3)</f>
        <v>34.4705706503255</v>
      </c>
    </row>
    <row r="1829" customFormat="false" ht="15" hidden="false" customHeight="false" outlineLevel="0" collapsed="false">
      <c r="A1829" s="126" t="n">
        <f aca="false">A1828+$F$3</f>
        <v>18230</v>
      </c>
      <c r="B1829" s="127" t="n">
        <f aca="false">SUMPRODUCT(固有振動数!$Q$6:$Q$22*(1-($A1829/固有振動数!$O$6:$O$22)^2)/((1-($A1829/固有振動数!$O$6:$O$22)^2)^2+固有振動数!$P$6:$P$22^2))</f>
        <v>-32.603224057016</v>
      </c>
      <c r="C1829" s="127" t="n">
        <f aca="false">-SUMPRODUCT(固有振動数!$Q$6:$Q$22*固有振動数!$P$6:$P$22/((1-($A1829/固有振動数!$O$6:$O$22)^2)^2+固有振動数!$P$6:$P$22^2))</f>
        <v>-40.7347291815396</v>
      </c>
      <c r="D1829" s="128" t="n">
        <f aca="false">SQRT(B1829^2+C1829^2)</f>
        <v>52.175553474835</v>
      </c>
      <c r="E1829" s="129" t="n">
        <f aca="false">20*LOG10(MAX(D1829,0.000000000001)/$K$3)</f>
        <v>34.3493412945838</v>
      </c>
    </row>
    <row r="1830" customFormat="false" ht="15" hidden="false" customHeight="false" outlineLevel="0" collapsed="false">
      <c r="A1830" s="122" t="n">
        <f aca="false">A1829+$F$3</f>
        <v>18240</v>
      </c>
      <c r="B1830" s="123" t="n">
        <f aca="false">SUMPRODUCT(固有振動数!$Q$6:$Q$22*(1-($A1830/固有振動数!$O$6:$O$22)^2)/((1-($A1830/固有振動数!$O$6:$O$22)^2)^2+固有振動数!$P$6:$P$22^2))</f>
        <v>-33.2706769240169</v>
      </c>
      <c r="C1830" s="123" t="n">
        <f aca="false">-SUMPRODUCT(固有振動数!$Q$6:$Q$22*固有振動数!$P$6:$P$22/((1-($A1830/固有振動数!$O$6:$O$22)^2)^2+固有振動数!$P$6:$P$22^2))</f>
        <v>-39.1614869724532</v>
      </c>
      <c r="D1830" s="124" t="n">
        <f aca="false">SQRT(B1830^2+C1830^2)</f>
        <v>51.3863795657559</v>
      </c>
      <c r="E1830" s="125" t="n">
        <f aca="false">20*LOG10(MAX(D1830,0.000000000001)/$K$3)</f>
        <v>34.2169604097445</v>
      </c>
    </row>
    <row r="1831" customFormat="false" ht="15" hidden="false" customHeight="false" outlineLevel="0" collapsed="false">
      <c r="A1831" s="126" t="n">
        <f aca="false">A1830+$F$3</f>
        <v>18250</v>
      </c>
      <c r="B1831" s="127" t="n">
        <f aca="false">SUMPRODUCT(固有振動数!$Q$6:$Q$22*(1-($A1831/固有振動数!$O$6:$O$22)^2)/((1-($A1831/固有振動数!$O$6:$O$22)^2)^2+固有振動数!$P$6:$P$22^2))</f>
        <v>-33.7998077028709</v>
      </c>
      <c r="C1831" s="127" t="n">
        <f aca="false">-SUMPRODUCT(固有振動数!$Q$6:$Q$22*固有振動数!$P$6:$P$22/((1-($A1831/固有振動数!$O$6:$O$22)^2)^2+固有振動数!$P$6:$P$22^2))</f>
        <v>-37.5912483471793</v>
      </c>
      <c r="D1831" s="128" t="n">
        <f aca="false">SQRT(B1831^2+C1831^2)</f>
        <v>50.5522398420719</v>
      </c>
      <c r="E1831" s="129" t="n">
        <f aca="false">20*LOG10(MAX(D1831,0.000000000001)/$K$3)</f>
        <v>34.0748080568992</v>
      </c>
    </row>
    <row r="1832" customFormat="false" ht="15" hidden="false" customHeight="false" outlineLevel="0" collapsed="false">
      <c r="A1832" s="122" t="n">
        <f aca="false">A1831+$F$3</f>
        <v>18260</v>
      </c>
      <c r="B1832" s="123" t="n">
        <f aca="false">SUMPRODUCT(固有振動数!$Q$6:$Q$22*(1-($A1832/固有振動数!$O$6:$O$22)^2)/((1-($A1832/固有振動数!$O$6:$O$22)^2)^2+固有振動数!$P$6:$P$22^2))</f>
        <v>-34.2000049677443</v>
      </c>
      <c r="C1832" s="123" t="n">
        <f aca="false">-SUMPRODUCT(固有振動数!$Q$6:$Q$22*固有振動数!$P$6:$P$22/((1-($A1832/固有振動数!$O$6:$O$22)^2)^2+固有振動数!$P$6:$P$22^2))</f>
        <v>-36.0385956780177</v>
      </c>
      <c r="D1832" s="124" t="n">
        <f aca="false">SQRT(B1832^2+C1832^2)</f>
        <v>49.6832035826734</v>
      </c>
      <c r="E1832" s="125" t="n">
        <f aca="false">20*LOG10(MAX(D1832,0.000000000001)/$K$3)</f>
        <v>33.9241918292887</v>
      </c>
    </row>
    <row r="1833" customFormat="false" ht="15" hidden="false" customHeight="false" outlineLevel="0" collapsed="false">
      <c r="A1833" s="126" t="n">
        <f aca="false">A1832+$F$3</f>
        <v>18270</v>
      </c>
      <c r="B1833" s="127" t="n">
        <f aca="false">SUMPRODUCT(固有振動数!$Q$6:$Q$22*(1-($A1833/固有振動数!$O$6:$O$22)^2)/((1-($A1833/固有振動数!$O$6:$O$22)^2)^2+固有振動数!$P$6:$P$22^2))</f>
        <v>-34.4817137510082</v>
      </c>
      <c r="C1833" s="127" t="n">
        <f aca="false">-SUMPRODUCT(固有振動数!$Q$6:$Q$22*固有振動数!$P$6:$P$22/((1-($A1833/固有振動数!$O$6:$O$22)^2)^2+固有振動数!$P$6:$P$22^2))</f>
        <v>-34.5154992723423</v>
      </c>
      <c r="D1833" s="128" t="n">
        <f aca="false">SQRT(B1833^2+C1833^2)</f>
        <v>48.7884030608251</v>
      </c>
      <c r="E1833" s="129" t="n">
        <f aca="false">20*LOG10(MAX(D1833,0.000000000001)/$K$3)</f>
        <v>33.7663320608631</v>
      </c>
    </row>
    <row r="1834" customFormat="false" ht="15" hidden="false" customHeight="false" outlineLevel="0" collapsed="false">
      <c r="A1834" s="122" t="n">
        <f aca="false">A1833+$F$3</f>
        <v>18280</v>
      </c>
      <c r="B1834" s="123" t="n">
        <f aca="false">SUMPRODUCT(固有振動数!$Q$6:$Q$22*(1-($A1834/固有振動数!$O$6:$O$22)^2)/((1-($A1834/固有振動数!$O$6:$O$22)^2)^2+固有振動数!$P$6:$P$22^2))</f>
        <v>-34.6559006803077</v>
      </c>
      <c r="C1834" s="123" t="n">
        <f aca="false">-SUMPRODUCT(固有振動数!$Q$6:$Q$22*固有振動数!$P$6:$P$22/((1-($A1834/固有振動数!$O$6:$O$22)^2)^2+固有振動数!$P$6:$P$22^2))</f>
        <v>-33.0314644292728</v>
      </c>
      <c r="D1834" s="124" t="n">
        <f aca="false">SQRT(B1834^2+C1834^2)</f>
        <v>47.875976170786</v>
      </c>
      <c r="E1834" s="125" t="n">
        <f aca="false">20*LOG10(MAX(D1834,0.000000000001)/$K$3)</f>
        <v>33.6023528429335</v>
      </c>
    </row>
    <row r="1835" customFormat="false" ht="15" hidden="false" customHeight="false" outlineLevel="0" collapsed="false">
      <c r="A1835" s="126" t="n">
        <f aca="false">A1834+$F$3</f>
        <v>18290</v>
      </c>
      <c r="B1835" s="127" t="n">
        <f aca="false">SUMPRODUCT(固有振動数!$Q$6:$Q$22*(1-($A1835/固有振動数!$O$6:$O$22)^2)/((1-($A1835/固有振動数!$O$6:$O$22)^2)^2+固有振動数!$P$6:$P$22^2))</f>
        <v>-34.7336229689271</v>
      </c>
      <c r="C1835" s="127" t="n">
        <f aca="false">-SUMPRODUCT(固有振動数!$Q$6:$Q$22*固有振動数!$P$6:$P$22/((1-($A1835/固有振動数!$O$6:$O$22)^2)^2+固有振動数!$P$6:$P$22^2))</f>
        <v>-31.5937525108699</v>
      </c>
      <c r="D1835" s="128" t="n">
        <f aca="false">SQRT(B1835^2+C1835^2)</f>
        <v>46.9530591363936</v>
      </c>
      <c r="E1835" s="129" t="n">
        <f aca="false">20*LOG10(MAX(D1835,0.000000000001)/$K$3)</f>
        <v>33.4332778629368</v>
      </c>
    </row>
    <row r="1836" customFormat="false" ht="15" hidden="false" customHeight="false" outlineLevel="0" collapsed="false">
      <c r="A1836" s="122" t="n">
        <f aca="false">A1835+$F$3</f>
        <v>18300</v>
      </c>
      <c r="B1836" s="123" t="n">
        <f aca="false">SUMPRODUCT(固有振動数!$Q$6:$Q$22*(1-($A1836/固有振動数!$O$6:$O$22)^2)/((1-($A1836/固有振動数!$O$6:$O$22)^2)^2+固有振動数!$P$6:$P$22^2))</f>
        <v>-34.7256981781009</v>
      </c>
      <c r="C1836" s="123" t="n">
        <f aca="false">-SUMPRODUCT(固有振動数!$Q$6:$Q$22*固有振動数!$P$6:$P$22/((1-($A1836/固有振動数!$O$6:$O$22)^2)^2+固有振動数!$P$6:$P$22^2))</f>
        <v>-30.2076428169565</v>
      </c>
      <c r="D1836" s="124" t="n">
        <f aca="false">SQRT(B1836^2+C1836^2)</f>
        <v>46.0258166523244</v>
      </c>
      <c r="E1836" s="125" t="n">
        <f aca="false">20*LOG10(MAX(D1836,0.000000000001)/$K$3)</f>
        <v>33.2600300616966</v>
      </c>
    </row>
    <row r="1837" customFormat="false" ht="15" hidden="false" customHeight="false" outlineLevel="0" collapsed="false">
      <c r="A1837" s="126" t="n">
        <f aca="false">A1836+$F$3</f>
        <v>18310</v>
      </c>
      <c r="B1837" s="127" t="n">
        <f aca="false">SUMPRODUCT(固有振動数!$Q$6:$Q$22*(1-($A1837/固有振動数!$O$6:$O$22)^2)/((1-($A1837/固有振動数!$O$6:$O$22)^2)^2+固有振動数!$P$6:$P$22^2))</f>
        <v>-34.6424651161889</v>
      </c>
      <c r="C1837" s="127" t="n">
        <f aca="false">-SUMPRODUCT(固有振動数!$Q$6:$Q$22*固有振動数!$P$6:$P$22/((1-($A1837/固有振動数!$O$6:$O$22)^2)^2+固有振動数!$P$6:$P$22^2))</f>
        <v>-28.8767092400224</v>
      </c>
      <c r="D1837" s="128" t="n">
        <f aca="false">SQRT(B1837^2+C1837^2)</f>
        <v>45.0994980665989</v>
      </c>
      <c r="E1837" s="129" t="n">
        <f aca="false">20*LOG10(MAX(D1837,0.000000000001)/$K$3)</f>
        <v>33.0834341687701</v>
      </c>
    </row>
    <row r="1838" customFormat="false" ht="15" hidden="false" customHeight="false" outlineLevel="0" collapsed="false">
      <c r="A1838" s="122" t="n">
        <f aca="false">A1837+$F$3</f>
        <v>18320</v>
      </c>
      <c r="B1838" s="123" t="n">
        <f aca="false">SUMPRODUCT(固有振動数!$Q$6:$Q$22*(1-($A1838/固有振動数!$O$6:$O$22)^2)/((1-($A1838/固有振動数!$O$6:$O$22)^2)^2+固有振動数!$P$6:$P$22^2))</f>
        <v>-34.4936227985423</v>
      </c>
      <c r="C1838" s="123" t="n">
        <f aca="false">-SUMPRODUCT(固有振動数!$Q$6:$Q$22*固有振動数!$P$6:$P$22/((1-($A1838/固有振動数!$O$6:$O$22)^2)^2+固有振動数!$P$6:$P$22^2))</f>
        <v>-27.6030927836813</v>
      </c>
      <c r="D1838" s="124" t="n">
        <f aca="false">SQRT(B1838^2+C1838^2)</f>
        <v>44.1785099906351</v>
      </c>
      <c r="E1838" s="125" t="n">
        <f aca="false">20*LOG10(MAX(D1838,0.000000000001)/$K$3)</f>
        <v>32.9042212864994</v>
      </c>
    </row>
    <row r="1839" customFormat="false" ht="15" hidden="false" customHeight="false" outlineLevel="0" collapsed="false">
      <c r="A1839" s="126" t="n">
        <f aca="false">A1838+$F$3</f>
        <v>18330</v>
      </c>
      <c r="B1839" s="127" t="n">
        <f aca="false">SUMPRODUCT(固有振動数!$Q$6:$Q$22*(1-($A1839/固有振動数!$O$6:$O$22)^2)/((1-($A1839/固有振動数!$O$6:$O$22)^2)^2+固有振動数!$P$6:$P$22^2))</f>
        <v>-34.2881332763933</v>
      </c>
      <c r="C1839" s="127" t="n">
        <f aca="false">-SUMPRODUCT(固有振動数!$Q$6:$Q$22*固有振動数!$P$6:$P$22/((1-($A1839/固有振動数!$O$6:$O$22)^2)^2+固有振動数!$P$6:$P$22^2))</f>
        <v>-26.3877573144657</v>
      </c>
      <c r="D1839" s="128" t="n">
        <f aca="false">SQRT(B1839^2+C1839^2)</f>
        <v>43.2664976588913</v>
      </c>
      <c r="E1839" s="129" t="n">
        <f aca="false">20*LOG10(MAX(D1839,0.000000000001)/$K$3)</f>
        <v>32.7230348261013</v>
      </c>
    </row>
    <row r="1840" customFormat="false" ht="15" hidden="false" customHeight="false" outlineLevel="0" collapsed="false">
      <c r="A1840" s="122" t="n">
        <f aca="false">A1839+$F$3</f>
        <v>18340</v>
      </c>
      <c r="B1840" s="123" t="n">
        <f aca="false">SUMPRODUCT(固有振動数!$Q$6:$Q$22*(1-($A1840/固有振動数!$O$6:$O$22)^2)/((1-($A1840/固有振動数!$O$6:$O$22)^2)^2+固有振動数!$P$6:$P$22^2))</f>
        <v>-34.0341745899487</v>
      </c>
      <c r="C1840" s="123" t="n">
        <f aca="false">-SUMPRODUCT(固有振動数!$Q$6:$Q$22*固有振動数!$P$6:$P$22/((1-($A1840/固有振動数!$O$6:$O$22)^2)^2+固有振動数!$P$6:$P$22^2))</f>
        <v>-25.2307210437123</v>
      </c>
      <c r="D1840" s="124" t="n">
        <f aca="false">SQRT(B1840^2+C1840^2)</f>
        <v>42.3664292147065</v>
      </c>
      <c r="E1840" s="125" t="n">
        <f aca="false">20*LOG10(MAX(D1840,0.000000000001)/$K$3)</f>
        <v>32.5404372348466</v>
      </c>
    </row>
    <row r="1841" customFormat="false" ht="15" hidden="false" customHeight="false" outlineLevel="0" collapsed="false">
      <c r="A1841" s="126" t="n">
        <f aca="false">A1840+$F$3</f>
        <v>18350</v>
      </c>
      <c r="B1841" s="127" t="n">
        <f aca="false">SUMPRODUCT(固有振動数!$Q$6:$Q$22*(1-($A1841/固有振動数!$O$6:$O$22)^2)/((1-($A1841/固有振動数!$O$6:$O$22)^2)^2+固有振動数!$P$6:$P$22^2))</f>
        <v>-33.7391314702849</v>
      </c>
      <c r="C1841" s="127" t="n">
        <f aca="false">-SUMPRODUCT(固有振動数!$Q$6:$Q$22*固有振動数!$P$6:$P$22/((1-($A1841/固有振動数!$O$6:$O$22)^2)^2+固有振動数!$P$6:$P$22^2))</f>
        <v>-24.1312601424447</v>
      </c>
      <c r="D1841" s="128" t="n">
        <f aca="false">SQRT(B1841^2+C1841^2)</f>
        <v>41.480678736389</v>
      </c>
      <c r="E1841" s="129" t="n">
        <f aca="false">20*LOG10(MAX(D1841,0.000000000001)/$K$3)</f>
        <v>32.3569170802112</v>
      </c>
    </row>
    <row r="1842" customFormat="false" ht="15" hidden="false" customHeight="false" outlineLevel="0" collapsed="false">
      <c r="A1842" s="122" t="n">
        <f aca="false">A1841+$F$3</f>
        <v>18360</v>
      </c>
      <c r="B1842" s="123" t="n">
        <f aca="false">SUMPRODUCT(固有振動数!$Q$6:$Q$22*(1-($A1842/固有振動数!$O$6:$O$22)^2)/((1-($A1842/固有振動数!$O$6:$O$22)^2)^2+固有振動数!$P$6:$P$22^2))</f>
        <v>-33.409613224247</v>
      </c>
      <c r="C1842" s="123" t="n">
        <f aca="false">-SUMPRODUCT(固有振動数!$Q$6:$Q$22*固有振動数!$P$6:$P$22/((1-($A1842/固有振動数!$O$6:$O$22)^2)^2+固有振動数!$P$6:$P$22^2))</f>
        <v>-23.0880836808973</v>
      </c>
      <c r="D1842" s="124" t="n">
        <f aca="false">SQRT(B1842^2+C1842^2)</f>
        <v>40.6111051788781</v>
      </c>
      <c r="E1842" s="125" t="n">
        <f aca="false">20*LOG10(MAX(D1842,0.000000000001)/$K$3)</f>
        <v>32.1728961683072</v>
      </c>
    </row>
    <row r="1843" customFormat="false" ht="15" hidden="false" customHeight="false" outlineLevel="0" collapsed="false">
      <c r="A1843" s="126" t="n">
        <f aca="false">A1842+$F$3</f>
        <v>18370</v>
      </c>
      <c r="B1843" s="127" t="n">
        <f aca="false">SUMPRODUCT(固有振動数!$Q$6:$Q$22*(1-($A1843/固有振動数!$O$6:$O$22)^2)/((1-($A1843/固有振動数!$O$6:$O$22)^2)^2+固有振動数!$P$6:$P$22^2))</f>
        <v>-33.0514901553904</v>
      </c>
      <c r="C1843" s="127" t="n">
        <f aca="false">-SUMPRODUCT(固有振動数!$Q$6:$Q$22*固有振動数!$P$6:$P$22/((1-($A1843/固有振動数!$O$6:$O$22)^2)^2+固有振動数!$P$6:$P$22^2))</f>
        <v>-22.0994809379862</v>
      </c>
      <c r="D1843" s="128" t="n">
        <f aca="false">SQRT(B1843^2+C1843^2)</f>
        <v>39.7591254835954</v>
      </c>
      <c r="E1843" s="129" t="n">
        <f aca="false">20*LOG10(MAX(D1843,0.000000000001)/$K$3)</f>
        <v>31.9887364673095</v>
      </c>
    </row>
    <row r="1844" customFormat="false" ht="15" hidden="false" customHeight="false" outlineLevel="0" collapsed="false">
      <c r="A1844" s="122" t="n">
        <f aca="false">A1843+$F$3</f>
        <v>18380</v>
      </c>
      <c r="B1844" s="123" t="n">
        <f aca="false">SUMPRODUCT(固有振動数!$Q$6:$Q$22*(1-($A1844/固有振動数!$O$6:$O$22)^2)/((1-($A1844/固有振動数!$O$6:$O$22)^2)^2+固有振動数!$P$6:$P$22^2))</f>
        <v>-32.6699416969365</v>
      </c>
      <c r="C1844" s="123" t="n">
        <f aca="false">-SUMPRODUCT(固有振動数!$Q$6:$Q$22*固有振動数!$P$6:$P$22/((1-($A1844/固有振動数!$O$6:$O$22)^2)^2+固有振動数!$P$6:$P$22^2))</f>
        <v>-21.1634432484059</v>
      </c>
      <c r="D1844" s="124" t="n">
        <f aca="false">SQRT(B1844^2+C1844^2)</f>
        <v>38.9257809248541</v>
      </c>
      <c r="E1844" s="125" t="n">
        <f aca="false">20*LOG10(MAX(D1844,0.000000000001)/$K$3)</f>
        <v>31.8047466819401</v>
      </c>
    </row>
    <row r="1845" customFormat="false" ht="15" hidden="false" customHeight="false" outlineLevel="0" collapsed="false">
      <c r="A1845" s="126" t="n">
        <f aca="false">A1844+$F$3</f>
        <v>18390</v>
      </c>
      <c r="B1845" s="127" t="n">
        <f aca="false">SUMPRODUCT(固有振動数!$Q$6:$Q$22*(1-($A1845/固有振動数!$O$6:$O$22)^2)/((1-($A1845/固有振動数!$O$6:$O$22)^2)^2+固有振動数!$P$6:$P$22^2))</f>
        <v>-32.2695110492221</v>
      </c>
      <c r="C1845" s="127" t="n">
        <f aca="false">-SUMPRODUCT(固有振動数!$Q$6:$Q$22*固有振動数!$P$6:$P$22/((1-($A1845/固有振動数!$O$6:$O$22)^2)^2+固有振動数!$P$6:$P$22^2))</f>
        <v>-20.277763137735</v>
      </c>
      <c r="D1845" s="128" t="n">
        <f aca="false">SQRT(B1845^2+C1845^2)</f>
        <v>38.1117963526511</v>
      </c>
      <c r="E1845" s="129" t="n">
        <f aca="false">20*LOG10(MAX(D1845,0.000000000001)/$K$3)</f>
        <v>31.6211883838181</v>
      </c>
    </row>
    <row r="1846" customFormat="false" ht="15" hidden="false" customHeight="false" outlineLevel="0" collapsed="false">
      <c r="A1846" s="122" t="n">
        <f aca="false">A1845+$F$3</f>
        <v>18400</v>
      </c>
      <c r="B1846" s="123" t="n">
        <f aca="false">SUMPRODUCT(固有振動数!$Q$6:$Q$22*(1-($A1846/固有振動数!$O$6:$O$22)^2)/((1-($A1846/固有振動数!$O$6:$O$22)^2)^2+固有振動数!$P$6:$P$22^2))</f>
        <v>-31.8541624789774</v>
      </c>
      <c r="C1846" s="123" t="n">
        <f aca="false">-SUMPRODUCT(固有振動数!$Q$6:$Q$22*固有振動数!$P$6:$P$22/((1-($A1846/固有振動数!$O$6:$O$22)^2)^2+固有振動数!$P$6:$P$22^2))</f>
        <v>-19.4401137019849</v>
      </c>
      <c r="D1846" s="124" t="n">
        <f aca="false">SQRT(B1846^2+C1846^2)</f>
        <v>37.3176324005582</v>
      </c>
      <c r="E1846" s="125" t="n">
        <f aca="false">20*LOG10(MAX(D1846,0.000000000001)/$K$3)</f>
        <v>31.4382816468321</v>
      </c>
    </row>
    <row r="1847" customFormat="false" ht="15" hidden="false" customHeight="false" outlineLevel="0" collapsed="false">
      <c r="A1847" s="126" t="n">
        <f aca="false">A1846+$F$3</f>
        <v>18410</v>
      </c>
      <c r="B1847" s="127" t="n">
        <f aca="false">SUMPRODUCT(固有振動数!$Q$6:$Q$22*(1-($A1847/固有振動数!$O$6:$O$22)^2)/((1-($A1847/固有振動数!$O$6:$O$22)^2)^2+固有振動数!$P$6:$P$22^2))</f>
        <v>-31.4273385471195</v>
      </c>
      <c r="C1847" s="127" t="n">
        <f aca="false">-SUMPRODUCT(固有振動数!$Q$6:$Q$22*固有振動数!$P$6:$P$22/((1-($A1847/固有振動数!$O$6:$O$22)^2)^2+固有振動数!$P$6:$P$22^2))</f>
        <v>-18.6481111470152</v>
      </c>
      <c r="D1847" s="128" t="n">
        <f aca="false">SQRT(B1847^2+C1847^2)</f>
        <v>36.5435309939625</v>
      </c>
      <c r="E1847" s="129" t="n">
        <f aca="false">20*LOG10(MAX(D1847,0.000000000001)/$K$3)</f>
        <v>31.2562101690906</v>
      </c>
    </row>
    <row r="1848" customFormat="false" ht="15" hidden="false" customHeight="false" outlineLevel="0" collapsed="false">
      <c r="A1848" s="122" t="n">
        <f aca="false">A1847+$F$3</f>
        <v>18420</v>
      </c>
      <c r="B1848" s="123" t="n">
        <f aca="false">SUMPRODUCT(固有振動数!$Q$6:$Q$22*(1-($A1848/固有振動数!$O$6:$O$22)^2)/((1-($A1848/固有振動数!$O$6:$O$22)^2)^2+固有振動数!$P$6:$P$22^2))</f>
        <v>-30.992015405272</v>
      </c>
      <c r="C1848" s="123" t="n">
        <f aca="false">-SUMPRODUCT(固有振動数!$Q$6:$Q$22*固有振動数!$P$6:$P$22/((1-($A1848/固有振動数!$O$6:$O$22)^2)^2+固有振動数!$P$6:$P$22^2))</f>
        <v>-17.8993632125025</v>
      </c>
      <c r="D1848" s="124" t="n">
        <f aca="false">SQRT(B1848^2+C1848^2)</f>
        <v>35.7895546534699</v>
      </c>
      <c r="E1848" s="125" t="n">
        <f aca="false">20*LOG10(MAX(D1848,0.000000000001)/$K$3)</f>
        <v>31.0751258857973</v>
      </c>
    </row>
    <row r="1849" customFormat="false" ht="15" hidden="false" customHeight="false" outlineLevel="0" collapsed="false">
      <c r="A1849" s="126" t="n">
        <f aca="false">A1848+$F$3</f>
        <v>18430</v>
      </c>
      <c r="B1849" s="127" t="n">
        <f aca="false">SUMPRODUCT(固有振動数!$Q$6:$Q$22*(1-($A1849/固有振動数!$O$6:$O$22)^2)/((1-($A1849/固有振動数!$O$6:$O$22)^2)^2+固有振動数!$P$6:$P$22^2))</f>
        <v>-30.5507549699139</v>
      </c>
      <c r="C1849" s="127" t="n">
        <f aca="false">-SUMPRODUCT(固有振動数!$Q$6:$Q$22*固有振動数!$P$6:$P$22/((1-($A1849/固有振動数!$O$6:$O$22)^2)^2+固有振動数!$P$6:$P$22^2))</f>
        <v>-17.1915059344688</v>
      </c>
      <c r="D1849" s="128" t="n">
        <f aca="false">SQRT(B1849^2+C1849^2)</f>
        <v>35.0556201703321</v>
      </c>
      <c r="E1849" s="129" t="n">
        <f aca="false">20*LOG10(MAX(D1849,0.000000000001)/$K$3)</f>
        <v>30.8951530927269</v>
      </c>
    </row>
    <row r="1850" customFormat="false" ht="15" hidden="false" customHeight="false" outlineLevel="0" collapsed="false">
      <c r="A1850" s="122" t="n">
        <f aca="false">A1849+$F$3</f>
        <v>18440</v>
      </c>
      <c r="B1850" s="123" t="n">
        <f aca="false">SUMPRODUCT(固有振動数!$Q$6:$Q$22*(1-($A1850/固有振動数!$O$6:$O$22)^2)/((1-($A1850/固有振動数!$O$6:$O$22)^2)^2+固有振動数!$P$6:$P$22^2))</f>
        <v>-30.1057532813439</v>
      </c>
      <c r="C1850" s="123" t="n">
        <f aca="false">-SUMPRODUCT(固有振動数!$Q$6:$Q$22*固有振動数!$P$6:$P$22/((1-($A1850/固有振動数!$O$6:$O$22)^2)^2+固有振動数!$P$6:$P$22^2))</f>
        <v>-16.5222308973236</v>
      </c>
      <c r="D1850" s="124" t="n">
        <f aca="false">SQRT(B1850^2+C1850^2)</f>
        <v>34.3415272587232</v>
      </c>
      <c r="E1850" s="125" t="n">
        <f aca="false">20*LOG10(MAX(D1850,0.000000000001)/$K$3)</f>
        <v>30.7163921096178</v>
      </c>
    </row>
    <row r="1851" customFormat="false" ht="15" hidden="false" customHeight="false" outlineLevel="0" collapsed="false">
      <c r="A1851" s="126" t="n">
        <f aca="false">A1850+$F$3</f>
        <v>18450</v>
      </c>
      <c r="B1851" s="127" t="n">
        <f aca="false">SUMPRODUCT(固有振動数!$Q$6:$Q$22*(1-($A1851/固有振動数!$O$6:$O$22)^2)/((1-($A1851/固有振動数!$O$6:$O$22)^2)^2+固有振動数!$P$6:$P$22^2))</f>
        <v>-29.6588847157976</v>
      </c>
      <c r="C1851" s="127" t="n">
        <f aca="false">-SUMPRODUCT(固有振動数!$Q$6:$Q$22*固有振動数!$P$6:$P$22/((1-($A1851/固有振動数!$O$6:$O$22)^2)^2+固有振動数!$P$6:$P$22^2))</f>
        <v>-15.8893048217033</v>
      </c>
      <c r="D1851" s="128" t="n">
        <f aca="false">SQRT(B1851^2+C1851^2)</f>
        <v>33.6469827815509</v>
      </c>
      <c r="E1851" s="129" t="n">
        <f aca="false">20*LOG10(MAX(D1851,0.000000000001)/$K$3)</f>
        <v>30.5389225182589</v>
      </c>
    </row>
    <row r="1852" customFormat="false" ht="15" hidden="false" customHeight="false" outlineLevel="0" collapsed="false">
      <c r="A1852" s="122" t="n">
        <f aca="false">A1851+$F$3</f>
        <v>18460</v>
      </c>
      <c r="B1852" s="123" t="n">
        <f aca="false">SUMPRODUCT(固有振動数!$Q$6:$Q$22*(1-($A1852/固有振動数!$O$6:$O$22)^2)/((1-($A1852/固有振動数!$O$6:$O$22)^2)^2+固有振動数!$P$6:$P$22^2))</f>
        <v>-29.211741972841</v>
      </c>
      <c r="C1852" s="123" t="n">
        <f aca="false">-SUMPRODUCT(固有振動数!$Q$6:$Q$22*固有振動数!$P$6:$P$22/((1-($A1852/固有振動数!$O$6:$O$22)^2)^2+固有振動数!$P$6:$P$22^2))</f>
        <v>-15.2905830466176</v>
      </c>
      <c r="D1852" s="124" t="n">
        <f aca="false">SQRT(B1852^2+C1852^2)</f>
        <v>32.9716211156405</v>
      </c>
      <c r="E1852" s="125" t="n">
        <f aca="false">20*LOG10(MAX(D1852,0.000000000001)/$K$3)</f>
        <v>30.3628060124834</v>
      </c>
    </row>
    <row r="1853" customFormat="false" ht="15" hidden="false" customHeight="false" outlineLevel="0" collapsed="false">
      <c r="A1853" s="126" t="n">
        <f aca="false">A1852+$F$3</f>
        <v>18470</v>
      </c>
      <c r="B1853" s="127" t="n">
        <f aca="false">SUMPRODUCT(固有振動数!$Q$6:$Q$22*(1-($A1853/固有振動数!$O$6:$O$22)^2)/((1-($A1853/固有振動数!$O$6:$O$22)^2)^2+固有振動数!$P$6:$P$22^2))</f>
        <v>-28.7656719318587</v>
      </c>
      <c r="C1853" s="127" t="n">
        <f aca="false">-SUMPRODUCT(固有振動数!$Q$6:$Q$22*固有振動数!$P$6:$P$22/((1-($A1853/固有振動数!$O$6:$O$22)^2)^2+固有振動数!$P$6:$P$22^2))</f>
        <v>-14.7240182034964</v>
      </c>
      <c r="D1853" s="128" t="n">
        <f aca="false">SQRT(B1853^2+C1853^2)</f>
        <v>32.3150211782109</v>
      </c>
      <c r="E1853" s="129" t="n">
        <f aca="false">20*LOG10(MAX(D1853,0.000000000001)/$K$3)</f>
        <v>30.1880888976245</v>
      </c>
    </row>
    <row r="1854" customFormat="false" ht="15" hidden="false" customHeight="false" outlineLevel="0" collapsed="false">
      <c r="A1854" s="122" t="n">
        <f aca="false">A1853+$F$3</f>
        <v>18480</v>
      </c>
      <c r="B1854" s="123" t="n">
        <f aca="false">SUMPRODUCT(固有振動数!$Q$6:$Q$22*(1-($A1854/固有振動数!$O$6:$O$22)^2)/((1-($A1854/固有振動数!$O$6:$O$22)^2)^2+固有振動数!$P$6:$P$22^2))</f>
        <v>-28.3218075817759</v>
      </c>
      <c r="C1854" s="123" t="n">
        <f aca="false">-SUMPRODUCT(固有振動数!$Q$6:$Q$22*固有振動数!$P$6:$P$22/((1-($A1854/固有振動数!$O$6:$O$22)^2)^2+固有振動数!$P$6:$P$22^2))</f>
        <v>-14.1876651499548</v>
      </c>
      <c r="D1854" s="124" t="n">
        <f aca="false">SQRT(B1854^2+C1854^2)</f>
        <v>31.6767205863609</v>
      </c>
      <c r="E1854" s="125" t="n">
        <f aca="false">20*LOG10(MAX(D1854,0.000000000001)/$K$3)</f>
        <v>30.0148042759196</v>
      </c>
    </row>
    <row r="1855" customFormat="false" ht="15" hidden="false" customHeight="false" outlineLevel="0" collapsed="false">
      <c r="A1855" s="126" t="n">
        <f aca="false">A1854+$F$3</f>
        <v>18490</v>
      </c>
      <c r="B1855" s="127" t="n">
        <f aca="false">SUMPRODUCT(固有振動数!$Q$6:$Q$22*(1-($A1855/固有振動数!$O$6:$O$22)^2)/((1-($A1855/固有振動数!$O$6:$O$22)^2)^2+固有振動数!$P$6:$P$22^2))</f>
        <v>-27.8810962935775</v>
      </c>
      <c r="C1855" s="127" t="n">
        <f aca="false">-SUMPRODUCT(固有振動数!$Q$6:$Q$22*固有振動数!$P$6:$P$22/((1-($A1855/固有振動数!$O$6:$O$22)^2)^2+固有振動数!$P$6:$P$22^2))</f>
        <v>-13.6796830330621</v>
      </c>
      <c r="D1855" s="128" t="n">
        <f aca="false">SQRT(B1855^2+C1855^2)</f>
        <v>31.0562273693504</v>
      </c>
      <c r="E1855" s="129" t="n">
        <f aca="false">20*LOG10(MAX(D1855,0.000000000001)/$K$3)</f>
        <v>29.8429739523932</v>
      </c>
    </row>
    <row r="1856" customFormat="false" ht="15" hidden="false" customHeight="false" outlineLevel="0" collapsed="false">
      <c r="A1856" s="122" t="n">
        <f aca="false">A1855+$F$3</f>
        <v>18500</v>
      </c>
      <c r="B1856" s="123" t="n">
        <f aca="false">SUMPRODUCT(固有振動数!$Q$6:$Q$22*(1-($A1856/固有振動数!$O$6:$O$22)^2)/((1-($A1856/固有振動数!$O$6:$O$22)^2)^2+固有振動数!$P$6:$P$22^2))</f>
        <v>-27.44432473853</v>
      </c>
      <c r="C1856" s="123" t="n">
        <f aca="false">-SUMPRODUCT(固有振動数!$Q$6:$Q$22*固有振動数!$P$6:$P$22/((1-($A1856/固有振動数!$O$6:$O$22)^2)^2+固有振動数!$P$6:$P$22^2))</f>
        <v>-13.1983351840956</v>
      </c>
      <c r="D1856" s="124" t="n">
        <f aca="false">SQRT(B1856^2+C1856^2)</f>
        <v>30.4530296027444</v>
      </c>
      <c r="E1856" s="125" t="n">
        <f aca="false">20*LOG10(MAX(D1856,0.000000000001)/$K$3)</f>
        <v>29.6726100932723</v>
      </c>
    </row>
    <row r="1857" customFormat="false" ht="15" hidden="false" customHeight="false" outlineLevel="0" collapsed="false">
      <c r="A1857" s="126" t="n">
        <f aca="false">A1856+$F$3</f>
        <v>18510</v>
      </c>
      <c r="B1857" s="127" t="n">
        <f aca="false">SUMPRODUCT(固有振動数!$Q$6:$Q$22*(1-($A1857/固有振動数!$O$6:$O$22)^2)/((1-($A1857/固有振動数!$O$6:$O$22)^2)^2+固有振動数!$P$6:$P$22^2))</f>
        <v>-27.0121407660452</v>
      </c>
      <c r="C1857" s="127" t="n">
        <f aca="false">-SUMPRODUCT(固有振動数!$Q$6:$Q$22*固有振動数!$P$6:$P$22/((1-($A1857/固有振動数!$O$6:$O$22)^2)^2+固有振動数!$P$6:$P$22^2))</f>
        <v>-12.7419874064559</v>
      </c>
      <c r="D1857" s="128" t="n">
        <f aca="false">SQRT(B1857^2+C1857^2)</f>
        <v>29.8666032857926</v>
      </c>
      <c r="E1857" s="129" t="n">
        <f aca="false">20*LOG10(MAX(D1857,0.000000000001)/$K$3)</f>
        <v>29.5037166662646</v>
      </c>
    </row>
    <row r="1858" customFormat="false" ht="15" hidden="false" customHeight="false" outlineLevel="0" collapsed="false">
      <c r="A1858" s="122" t="n">
        <f aca="false">A1857+$F$3</f>
        <v>18520</v>
      </c>
      <c r="B1858" s="123" t="n">
        <f aca="false">SUMPRODUCT(固有振動数!$Q$6:$Q$22*(1-($A1858/固有振動数!$O$6:$O$22)^2)/((1-($A1858/固有振動数!$O$6:$O$22)^2)^2+固有振動数!$P$6:$P$22^2))</f>
        <v>-26.5850725511518</v>
      </c>
      <c r="C1858" s="123" t="n">
        <f aca="false">-SUMPRODUCT(固有振動数!$Q$6:$Q$22*固有振動数!$P$6:$P$22/((1-($A1858/固有振動数!$O$6:$O$22)^2)^2+固有振動数!$P$6:$P$22^2))</f>
        <v>-12.3091051024165</v>
      </c>
      <c r="D1858" s="124" t="n">
        <f aca="false">SQRT(B1858^2+C1858^2)</f>
        <v>29.2964187397085</v>
      </c>
      <c r="E1858" s="125" t="n">
        <f aca="false">20*LOG10(MAX(D1858,0.000000000001)/$K$3)</f>
        <v>29.3362906892378</v>
      </c>
    </row>
    <row r="1859" customFormat="false" ht="15" hidden="false" customHeight="false" outlineLevel="0" collapsed="false">
      <c r="A1859" s="126" t="n">
        <f aca="false">A1858+$F$3</f>
        <v>18530</v>
      </c>
      <c r="B1859" s="127" t="n">
        <f aca="false">SUMPRODUCT(固有振動数!$Q$6:$Q$22*(1-($A1859/固有振動数!$O$6:$O$22)^2)/((1-($A1859/固有振動数!$O$6:$O$22)^2)^2+固有振動数!$P$6:$P$22^2))</f>
        <v>-26.1635453079305</v>
      </c>
      <c r="C1859" s="127" t="n">
        <f aca="false">-SUMPRODUCT(固有振動数!$Q$6:$Q$22*固有振動数!$P$6:$P$22/((1-($A1859/固有振動数!$O$6:$O$22)^2)^2+固有振動数!$P$6:$P$22^2))</f>
        <v>-11.8982495893485</v>
      </c>
      <c r="D1859" s="128" t="n">
        <f aca="false">SQRT(B1859^2+C1859^2)</f>
        <v>28.741945765215</v>
      </c>
      <c r="E1859" s="129" t="n">
        <f aca="false">20*LOG10(MAX(D1859,0.000000000001)/$K$3)</f>
        <v>29.1703233111011</v>
      </c>
    </row>
    <row r="1860" customFormat="false" ht="15" hidden="false" customHeight="false" outlineLevel="0" collapsed="false">
      <c r="A1860" s="122" t="n">
        <f aca="false">A1859+$F$3</f>
        <v>18540</v>
      </c>
      <c r="B1860" s="123" t="n">
        <f aca="false">SUMPRODUCT(固有振動数!$Q$6:$Q$22*(1-($A1860/固有振動数!$O$6:$O$22)^2)/((1-($A1860/固有振動数!$O$6:$O$22)^2)^2+固有振動数!$P$6:$P$22^2))</f>
        <v>-25.7478958458983</v>
      </c>
      <c r="C1860" s="123" t="n">
        <f aca="false">-SUMPRODUCT(固有振動数!$Q$6:$Q$22*固有振動数!$P$6:$P$22/((1-($A1860/固有振動数!$O$6:$O$22)^2)^2+固有振動数!$P$6:$P$22^2))</f>
        <v>-11.5080738788546</v>
      </c>
      <c r="D1860" s="124" t="n">
        <f aca="false">SQRT(B1860^2+C1860^2)</f>
        <v>28.2026577629202</v>
      </c>
      <c r="E1860" s="125" t="n">
        <f aca="false">20*LOG10(MAX(D1860,0.000000000001)/$K$3)</f>
        <v>29.0058007460904</v>
      </c>
    </row>
    <row r="1861" customFormat="false" ht="15" hidden="false" customHeight="false" outlineLevel="0" collapsed="false">
      <c r="A1861" s="126" t="n">
        <f aca="false">A1860+$F$3</f>
        <v>18550</v>
      </c>
      <c r="B1861" s="127" t="n">
        <f aca="false">SUMPRODUCT(固有振動数!$Q$6:$Q$22*(1-($A1861/固有振動数!$O$6:$O$22)^2)/((1-($A1861/固有振動数!$O$6:$O$22)^2)^2+固有振動数!$P$6:$P$22^2))</f>
        <v>-25.3383852239227</v>
      </c>
      <c r="C1861" s="127" t="n">
        <f aca="false">-SUMPRODUCT(固有振動数!$Q$6:$Q$22*固有振動数!$P$6:$P$22/((1-($A1861/固有振動数!$O$6:$O$22)^2)^2+固有振動数!$P$6:$P$22^2))</f>
        <v>-11.1373181299475</v>
      </c>
      <c r="D1861" s="128" t="n">
        <f aca="false">SQRT(B1861^2+C1861^2)</f>
        <v>27.6780349895646</v>
      </c>
      <c r="E1861" s="129" t="n">
        <f aca="false">20*LOG10(MAX(D1861,0.000000000001)/$K$3)</f>
        <v>28.8427050802307</v>
      </c>
    </row>
    <row r="1862" customFormat="false" ht="15" hidden="false" customHeight="false" outlineLevel="0" collapsed="false">
      <c r="A1862" s="122" t="n">
        <f aca="false">A1861+$F$3</f>
        <v>18560</v>
      </c>
      <c r="B1862" s="123" t="n">
        <f aca="false">SUMPRODUCT(固有振動数!$Q$6:$Q$22*(1-($A1862/固有振動数!$O$6:$O$22)^2)/((1-($A1862/固有振動数!$O$6:$O$22)^2)^2+固有振動数!$P$6:$P$22^2))</f>
        <v>-24.9352097327152</v>
      </c>
      <c r="C1862" s="123" t="n">
        <f aca="false">-SUMPRODUCT(固有振動数!$Q$6:$Q$22*固有振動数!$P$6:$P$22/((1-($A1862/固有振動数!$O$6:$O$22)^2)^2+固有振動数!$P$6:$P$22^2))</f>
        <v>-10.7848049374991</v>
      </c>
      <c r="D1862" s="124" t="n">
        <f aca="false">SQRT(B1862^2+C1862^2)</f>
        <v>27.167567096713</v>
      </c>
      <c r="E1862" s="125" t="n">
        <f aca="false">20*LOG10(MAX(D1862,0.000000000001)/$K$3)</f>
        <v>28.6810149665314</v>
      </c>
    </row>
    <row r="1863" customFormat="false" ht="15" hidden="false" customHeight="false" outlineLevel="0" collapsed="false">
      <c r="A1863" s="126" t="n">
        <f aca="false">A1862+$F$3</f>
        <v>18570</v>
      </c>
      <c r="B1863" s="127" t="n">
        <f aca="false">SUMPRODUCT(固有振動数!$Q$6:$Q$22*(1-($A1863/固有振動数!$O$6:$O$22)^2)/((1-($A1863/固有振動数!$O$6:$O$22)^2)^2+固有振動数!$P$6:$P$22^2))</f>
        <v>-24.538510413534</v>
      </c>
      <c r="C1863" s="127" t="n">
        <f aca="false">-SUMPRODUCT(固有振動数!$Q$6:$Q$22*固有振動数!$P$6:$P$22/((1-($A1863/固有振動数!$O$6:$O$22)^2)^2+固有振動数!$P$6:$P$22^2))</f>
        <v>-10.4494345774338</v>
      </c>
      <c r="D1863" s="128" t="n">
        <f aca="false">SQRT(B1863^2+C1863^2)</f>
        <v>26.6707550756102</v>
      </c>
      <c r="E1863" s="129" t="n">
        <f aca="false">20*LOG10(MAX(D1863,0.000000000001)/$K$3)</f>
        <v>28.5207062234555</v>
      </c>
    </row>
    <row r="1864" customFormat="false" ht="15" hidden="false" customHeight="false" outlineLevel="0" collapsed="false">
      <c r="A1864" s="122" t="n">
        <f aca="false">A1863+$F$3</f>
        <v>18580</v>
      </c>
      <c r="B1864" s="123" t="n">
        <f aca="false">SUMPRODUCT(固有振動数!$Q$6:$Q$22*(1-($A1864/固有振動数!$O$6:$O$22)^2)/((1-($A1864/固有振動数!$O$6:$O$22)^2)^2+固有振動数!$P$6:$P$22^2))</f>
        <v>-24.1483812982491</v>
      </c>
      <c r="C1864" s="123" t="n">
        <f aca="false">-SUMPRODUCT(固有振動数!$Q$6:$Q$22*固有振動数!$P$6:$P$22/((1-($A1864/固有振動数!$O$6:$O$22)^2)^2+固有振動数!$P$6:$P$22^2))</f>
        <v>-10.1301802986737</v>
      </c>
      <c r="D1864" s="124" t="n">
        <f aca="false">SQRT(B1864^2+C1864^2)</f>
        <v>26.1871127123489</v>
      </c>
      <c r="E1864" s="125" t="n">
        <f aca="false">20*LOG10(MAX(D1864,0.000000000001)/$K$3)</f>
        <v>28.361752349399</v>
      </c>
    </row>
    <row r="1865" customFormat="false" ht="15" hidden="false" customHeight="false" outlineLevel="0" collapsed="false">
      <c r="A1865" s="126" t="n">
        <f aca="false">A1864+$F$3</f>
        <v>18590</v>
      </c>
      <c r="B1865" s="127" t="n">
        <f aca="false">SUMPRODUCT(固有振動数!$Q$6:$Q$22*(1-($A1865/固有振動数!$O$6:$O$22)^2)/((1-($A1865/固有振動数!$O$6:$O$22)^2)^2+固有振動数!$P$6:$P$22^2))</f>
        <v>-23.7648765348616</v>
      </c>
      <c r="C1865" s="127" t="n">
        <f aca="false">-SUMPRODUCT(固有振動数!$Q$6:$Q$22*固有振動数!$P$6:$P$22/((1-($A1865/固有振動数!$O$6:$O$22)^2)^2+固有振動数!$P$6:$P$22^2))</f>
        <v>-9.82608372710659</v>
      </c>
      <c r="D1865" s="128" t="n">
        <f aca="false">SQRT(B1865^2+C1865^2)</f>
        <v>25.7161676407921</v>
      </c>
      <c r="E1865" s="129" t="n">
        <f aca="false">20*LOG10(MAX(D1865,0.000000000001)/$K$3)</f>
        <v>28.2041249643071</v>
      </c>
    </row>
    <row r="1866" customFormat="false" ht="15" hidden="false" customHeight="false" outlineLevel="0" collapsed="false">
      <c r="A1866" s="122" t="n">
        <f aca="false">A1865+$F$3</f>
        <v>18600</v>
      </c>
      <c r="B1866" s="123" t="n">
        <f aca="false">SUMPRODUCT(固有振動数!$Q$6:$Q$22*(1-($A1866/固有振動数!$O$6:$O$22)^2)/((1-($A1866/固有振動数!$O$6:$O$22)^2)^2+固有振動数!$P$6:$P$22^2))</f>
        <v>-23.3880165431864</v>
      </c>
      <c r="C1866" s="123" t="n">
        <f aca="false">-SUMPRODUCT(固有振動数!$Q$6:$Q$22*固有振動数!$P$6:$P$22/((1-($A1866/固有振動数!$O$6:$O$22)^2)^2+固有振動数!$P$6:$P$22^2))</f>
        <v>-9.53625042750953</v>
      </c>
      <c r="D1866" s="124" t="n">
        <f aca="false">SQRT(B1866^2+C1866^2)</f>
        <v>25.2574620664971</v>
      </c>
      <c r="E1866" s="125" t="n">
        <f aca="false">20*LOG10(MAX(D1866,0.000000000001)/$K$3)</f>
        <v>28.047794188131</v>
      </c>
    </row>
    <row r="1867" customFormat="false" ht="15" hidden="false" customHeight="false" outlineLevel="0" collapsed="false">
      <c r="A1867" s="126" t="n">
        <f aca="false">A1866+$F$3</f>
        <v>18610</v>
      </c>
      <c r="B1867" s="127" t="n">
        <f aca="false">SUMPRODUCT(固有振動数!$Q$6:$Q$22*(1-($A1867/固有振動数!$O$6:$O$22)^2)/((1-($A1867/固有振動数!$O$6:$O$22)^2)^2+固有振動数!$P$6:$P$22^2))</f>
        <v>-23.0177933278071</v>
      </c>
      <c r="C1867" s="127" t="n">
        <f aca="false">-SUMPRODUCT(固有振動数!$Q$6:$Q$22*固有振動数!$P$6:$P$22/((1-($A1867/固有振動数!$O$6:$O$22)^2)^2+固有振動数!$P$6:$P$22^2))</f>
        <v>-9.25984565437472</v>
      </c>
      <c r="D1867" s="128" t="n">
        <f aca="false">SQRT(B1867^2+C1867^2)</f>
        <v>24.8105532228623</v>
      </c>
      <c r="E1867" s="129" t="n">
        <f aca="false">20*LOG10(MAX(D1867,0.000000000001)/$K$3)</f>
        <v>27.8927289645717</v>
      </c>
    </row>
    <row r="1868" customFormat="false" ht="15" hidden="false" customHeight="false" outlineLevel="0" collapsed="false">
      <c r="A1868" s="122" t="n">
        <f aca="false">A1867+$F$3</f>
        <v>18620</v>
      </c>
      <c r="B1868" s="123" t="n">
        <f aca="false">SUMPRODUCT(固有振動数!$Q$6:$Q$22*(1-($A1868/固有振動数!$O$6:$O$22)^2)/((1-($A1868/固有振動数!$O$6:$O$22)^2)^2+固有振動数!$P$6:$P$22^2))</f>
        <v>-22.6541750595931</v>
      </c>
      <c r="C1868" s="123" t="n">
        <f aca="false">-SUMPRODUCT(固有振動数!$Q$6:$Q$22*固有振動数!$P$6:$P$22/((1-($A1868/固有振動数!$O$6:$O$22)^2)^2+固有振動数!$P$6:$P$22^2))</f>
        <v>-8.99609031105057</v>
      </c>
      <c r="D1868" s="124" t="n">
        <f aca="false">SQRT(B1868^2+C1868^2)</f>
        <v>24.3750136105658</v>
      </c>
      <c r="E1868" s="125" t="n">
        <f aca="false">20*LOG10(MAX(D1868,0.000000000001)/$K$3)</f>
        <v>27.7388973374562</v>
      </c>
    </row>
    <row r="1869" customFormat="false" ht="15" hidden="false" customHeight="false" outlineLevel="0" collapsed="false">
      <c r="A1869" s="126" t="n">
        <f aca="false">A1868+$F$3</f>
        <v>18630</v>
      </c>
      <c r="B1869" s="127" t="n">
        <f aca="false">SUMPRODUCT(固有振動数!$Q$6:$Q$22*(1-($A1869/固有振動数!$O$6:$O$22)^2)/((1-($A1869/固有振動数!$O$6:$O$22)^2)^2+固有振動数!$P$6:$P$22^2))</f>
        <v>-22.2971100229636</v>
      </c>
      <c r="C1869" s="127" t="n">
        <f aca="false">-SUMPRODUCT(固有振動数!$Q$6:$Q$22*固有振動数!$P$6:$P$22/((1-($A1869/固有振動数!$O$6:$O$22)^2)^2+固有振動数!$P$6:$P$22^2))</f>
        <v>-8.74425712782789</v>
      </c>
      <c r="D1869" s="128" t="n">
        <f aca="false">SQRT(B1869^2+C1869^2)</f>
        <v>23.9504310627953</v>
      </c>
      <c r="E1869" s="129" t="n">
        <f aca="false">20*LOG10(MAX(D1869,0.000000000001)/$K$3)</f>
        <v>27.5862666861253</v>
      </c>
    </row>
    <row r="1870" customFormat="false" ht="15" hidden="false" customHeight="false" outlineLevel="0" collapsed="false">
      <c r="A1870" s="122" t="n">
        <f aca="false">A1869+$F$3</f>
        <v>18640</v>
      </c>
      <c r="B1870" s="123" t="n">
        <f aca="false">SUMPRODUCT(固有振動数!$Q$6:$Q$22*(1-($A1870/固有振動数!$O$6:$O$22)^2)/((1-($A1870/固有振動数!$O$6:$O$22)^2)^2+固有振動数!$P$6:$P$22^2))</f>
        <v>-21.9465300135898</v>
      </c>
      <c r="C1870" s="123" t="n">
        <f aca="false">-SUMPRODUCT(固有振動数!$Q$6:$Q$22*固有振動数!$P$6:$P$22/((1-($A1870/固有振動数!$O$6:$O$22)^2)^2+固有振動数!$P$6:$P$22^2))</f>
        <v>-8.50366706299497</v>
      </c>
      <c r="D1870" s="124" t="n">
        <f aca="false">SQRT(B1870^2+C1870^2)</f>
        <v>23.5364086715808</v>
      </c>
      <c r="E1870" s="125" t="n">
        <f aca="false">20*LOG10(MAX(D1870,0.000000000001)/$K$3)</f>
        <v>27.434803925371</v>
      </c>
    </row>
    <row r="1871" customFormat="false" ht="15" hidden="false" customHeight="false" outlineLevel="0" collapsed="false">
      <c r="A1871" s="126" t="n">
        <f aca="false">A1870+$F$3</f>
        <v>18650</v>
      </c>
      <c r="B1871" s="127" t="n">
        <f aca="false">SUMPRODUCT(固有振動数!$Q$6:$Q$22*(1-($A1871/固有振動数!$O$6:$O$22)^2)/((1-($A1871/固有振動数!$O$6:$O$22)^2)^2+固有振動数!$P$6:$P$22^2))</f>
        <v>-21.6023532602109</v>
      </c>
      <c r="C1871" s="127" t="n">
        <f aca="false">-SUMPRODUCT(固有振動数!$Q$6:$Q$22*固有振動数!$P$6:$P$22/((1-($A1871/固有振動数!$O$6:$O$22)^2)^2+固有振動数!$P$6:$P$22^2))</f>
        <v>-8.27368592598055</v>
      </c>
      <c r="D1871" s="128" t="n">
        <f aca="false">SQRT(B1871^2+C1871^2)</f>
        <v>23.1325646044859</v>
      </c>
      <c r="E1871" s="129" t="n">
        <f aca="false">20*LOG10(MAX(D1871,0.000000000001)/$K$3)</f>
        <v>27.2844756747237</v>
      </c>
    </row>
    <row r="1872" customFormat="false" ht="15" hidden="false" customHeight="false" outlineLevel="0" collapsed="false">
      <c r="A1872" s="122" t="n">
        <f aca="false">A1871+$F$3</f>
        <v>18660</v>
      </c>
      <c r="B1872" s="123" t="n">
        <f aca="false">SUMPRODUCT(固有振動数!$Q$6:$Q$22*(1-($A1872/固有振動数!$O$6:$O$22)^2)/((1-($A1872/固有振動数!$O$6:$O$22)^2)^2+固有振動数!$P$6:$P$22^2))</f>
        <v>-21.2644869345742</v>
      </c>
      <c r="C1872" s="123" t="n">
        <f aca="false">-SUMPRODUCT(固有振動数!$Q$6:$Q$22*固有振動数!$P$6:$P$22/((1-($A1872/固有振動数!$O$6:$O$22)^2)^2+固有振動数!$P$6:$P$22^2))</f>
        <v>-8.05372121814462</v>
      </c>
      <c r="D1872" s="124" t="n">
        <f aca="false">SQRT(B1872^2+C1872^2)</f>
        <v>22.7385318358567</v>
      </c>
      <c r="E1872" s="125" t="n">
        <f aca="false">20*LOG10(MAX(D1872,0.000000000001)/$K$3)</f>
        <v>27.1352484012559</v>
      </c>
    </row>
    <row r="1873" customFormat="false" ht="15" hidden="false" customHeight="false" outlineLevel="0" collapsed="false">
      <c r="A1873" s="126" t="n">
        <f aca="false">A1872+$F$3</f>
        <v>18670</v>
      </c>
      <c r="B1873" s="127" t="n">
        <f aca="false">SUMPRODUCT(固有振動数!$Q$6:$Q$22*(1-($A1873/固有振動数!$O$6:$O$22)^2)/((1-($A1873/固有振動数!$O$6:$O$22)^2)^2+固有振動数!$P$6:$P$22^2))</f>
        <v>-20.9328293050483</v>
      </c>
      <c r="C1873" s="127" t="n">
        <f aca="false">-SUMPRODUCT(固有振動数!$Q$6:$Q$22*固有振動数!$P$6:$P$22/((1-($A1873/固有振動数!$O$6:$O$22)^2)^2+固有振動数!$P$6:$P$22^2))</f>
        <v>-7.84321918425143</v>
      </c>
      <c r="D1873" s="128" t="n">
        <f aca="false">SQRT(B1873^2+C1873^2)</f>
        <v>22.3539578125776</v>
      </c>
      <c r="E1873" s="129" t="n">
        <f aca="false">20*LOG10(MAX(D1873,0.000000000001)/$K$3)</f>
        <v>26.9870885395071</v>
      </c>
    </row>
    <row r="1874" customFormat="false" ht="15" hidden="false" customHeight="false" outlineLevel="0" collapsed="false">
      <c r="A1874" s="122" t="n">
        <f aca="false">A1873+$F$3</f>
        <v>18680</v>
      </c>
      <c r="B1874" s="123" t="n">
        <f aca="false">SUMPRODUCT(固有振動数!$Q$6:$Q$22*(1-($A1874/固有振動数!$O$6:$O$22)^2)/((1-($A1874/固有振動数!$O$6:$O$22)^2)^2+固有振動数!$P$6:$P$22^2))</f>
        <v>-20.6072715820787</v>
      </c>
      <c r="C1874" s="123" t="n">
        <f aca="false">-SUMPRODUCT(固有振動数!$Q$6:$Q$22*固有振動数!$P$6:$P$22/((1-($A1874/固有振動数!$O$6:$O$22)^2)^2+固有振動数!$P$6:$P$22^2))</f>
        <v>-7.64166206594484</v>
      </c>
      <c r="D1874" s="124" t="n">
        <f aca="false">SQRT(B1874^2+C1874^2)</f>
        <v>21.9785040707426</v>
      </c>
      <c r="E1874" s="125" t="n">
        <f aca="false">20*LOG10(MAX(D1874,0.000000000001)/$K$3)</f>
        <v>26.8399625916578</v>
      </c>
    </row>
    <row r="1875" customFormat="false" ht="15" hidden="false" customHeight="false" outlineLevel="0" collapsed="false">
      <c r="A1875" s="126" t="n">
        <f aca="false">A1874+$F$3</f>
        <v>18690</v>
      </c>
      <c r="B1875" s="127" t="n">
        <f aca="false">SUMPRODUCT(固有振動数!$Q$6:$Q$22*(1-($A1875/固有振動数!$O$6:$O$22)^2)/((1-($A1875/固有振動数!$O$6:$O$22)^2)^2+固有振動数!$P$6:$P$22^2))</f>
        <v>-20.2876994972284</v>
      </c>
      <c r="C1875" s="127" t="n">
        <f aca="false">-SUMPRODUCT(固有振動数!$Q$6:$Q$22*固有振動数!$P$6:$P$22/((1-($A1875/固有振動数!$O$6:$O$22)^2)^2+固有振動数!$P$6:$P$22^2))</f>
        <v>-7.44856554744544</v>
      </c>
      <c r="D1875" s="128" t="n">
        <f aca="false">SQRT(B1875^2+C1875^2)</f>
        <v>21.6118458166912</v>
      </c>
      <c r="E1875" s="129" t="n">
        <f aca="false">20*LOG10(MAX(D1875,0.000000000001)/$K$3)</f>
        <v>26.6938372106589</v>
      </c>
    </row>
    <row r="1876" customFormat="false" ht="15" hidden="false" customHeight="false" outlineLevel="0" collapsed="false">
      <c r="A1876" s="122" t="n">
        <f aca="false">A1875+$F$3</f>
        <v>18700</v>
      </c>
      <c r="B1876" s="123" t="n">
        <f aca="false">SUMPRODUCT(固有振動数!$Q$6:$Q$22*(1-($A1876/固有振動数!$O$6:$O$22)^2)/((1-($A1876/固有振動数!$O$6:$O$22)^2)^2+固有振動数!$P$6:$P$22^2))</f>
        <v>-19.9739946519547</v>
      </c>
      <c r="C1876" s="123" t="n">
        <f aca="false">-SUMPRODUCT(固有振動数!$Q$6:$Q$22*固有振動数!$P$6:$P$22/((1-($A1876/固有振動数!$O$6:$O$22)^2)^2+固有振動数!$P$6:$P$22^2))</f>
        <v>-7.26347638306023</v>
      </c>
      <c r="D1876" s="124" t="n">
        <f aca="false">SQRT(B1876^2+C1876^2)</f>
        <v>21.2536714833835</v>
      </c>
      <c r="E1876" s="125" t="n">
        <f aca="false">20*LOG10(MAX(D1876,0.000000000001)/$K$3)</f>
        <v>26.548679268662</v>
      </c>
    </row>
    <row r="1877" customFormat="false" ht="15" hidden="false" customHeight="false" outlineLevel="0" collapsed="false">
      <c r="A1877" s="126" t="n">
        <f aca="false">A1876+$F$3</f>
        <v>18710</v>
      </c>
      <c r="B1877" s="127" t="n">
        <f aca="false">SUMPRODUCT(固有振動数!$Q$6:$Q$22*(1-($A1877/固有振動数!$O$6:$O$22)^2)/((1-($A1877/固有振動数!$O$6:$O$22)^2)^2+固有振動数!$P$6:$P$22^2))</f>
        <v>-19.6660356674306</v>
      </c>
      <c r="C1877" s="127" t="n">
        <f aca="false">-SUMPRODUCT(固有振動数!$Q$6:$Q$22*固有振動数!$P$6:$P$22/((1-($A1877/固有振動数!$O$6:$O$22)^2)^2+固有振動数!$P$6:$P$22^2))</f>
        <v>-7.0859701958221</v>
      </c>
      <c r="D1877" s="128" t="n">
        <f aca="false">SQRT(B1877^2+C1877^2)</f>
        <v>20.9036822710433</v>
      </c>
      <c r="E1877" s="129" t="n">
        <f aca="false">20*LOG10(MAX(D1877,0.000000000001)/$K$3)</f>
        <v>26.4044559127806</v>
      </c>
    </row>
    <row r="1878" customFormat="false" ht="15" hidden="false" customHeight="false" outlineLevel="0" collapsed="false">
      <c r="A1878" s="122" t="n">
        <f aca="false">A1877+$F$3</f>
        <v>18720</v>
      </c>
      <c r="B1878" s="123" t="n">
        <f aca="false">SUMPRODUCT(固有振動数!$Q$6:$Q$22*(1-($A1878/固有振動数!$O$6:$O$22)^2)/((1-($A1878/固有振動数!$O$6:$O$22)^2)^2+固有振動数!$P$6:$P$22^2))</f>
        <v>-19.3636991625048</v>
      </c>
      <c r="C1878" s="123" t="n">
        <f aca="false">-SUMPRODUCT(固有振動数!$Q$6:$Q$22*固有振動数!$P$6:$P$22/((1-($A1878/固有振動数!$O$6:$O$22)^2)^2+固有振動数!$P$6:$P$22^2))</f>
        <v>-6.91564943656093</v>
      </c>
      <c r="D1878" s="124" t="n">
        <f aca="false">SQRT(B1878^2+C1878^2)</f>
        <v>20.561591679279</v>
      </c>
      <c r="E1878" s="125" t="n">
        <f aca="false">20*LOG10(MAX(D1878,0.000000000001)/$K$3)</f>
        <v>26.2611346099394</v>
      </c>
    </row>
    <row r="1879" customFormat="false" ht="15" hidden="false" customHeight="false" outlineLevel="0" collapsed="false">
      <c r="A1879" s="126" t="n">
        <f aca="false">A1878+$F$3</f>
        <v>18730</v>
      </c>
      <c r="B1879" s="127" t="n">
        <f aca="false">SUMPRODUCT(固有振動数!$Q$6:$Q$22*(1-($A1879/固有振動数!$O$6:$O$22)^2)/((1-($A1879/固有振動数!$O$6:$O$22)^2)^2+固有振動数!$P$6:$P$22^2))</f>
        <v>-19.0668605832565</v>
      </c>
      <c r="C1879" s="127" t="n">
        <f aca="false">-SUMPRODUCT(固有振動数!$Q$6:$Q$22*固有振動数!$P$6:$P$22/((1-($A1879/固有振動数!$O$6:$O$22)^2)^2+固有振動数!$P$6:$P$22^2))</f>
        <v>-6.75214149288982</v>
      </c>
      <c r="D1879" s="128" t="n">
        <f aca="false">SQRT(B1879^2+C1879^2)</f>
        <v>20.2271250364787</v>
      </c>
      <c r="E1879" s="129" t="n">
        <f aca="false">20*LOG10(MAX(D1879,0.000000000001)/$K$3)</f>
        <v>26.1186831823348</v>
      </c>
    </row>
    <row r="1880" customFormat="false" ht="15" hidden="false" customHeight="false" outlineLevel="0" collapsed="false">
      <c r="A1880" s="122" t="n">
        <f aca="false">A1879+$F$3</f>
        <v>18740</v>
      </c>
      <c r="B1880" s="123" t="n">
        <f aca="false">SUMPRODUCT(固有振動数!$Q$6:$Q$22*(1-($A1880/固有振動数!$O$6:$O$22)^2)/((1-($A1880/固有振動数!$O$6:$O$22)^2)^2+固有振動数!$P$6:$P$22^2))</f>
        <v>-18.7753949044406</v>
      </c>
      <c r="C1880" s="123" t="n">
        <f aca="false">-SUMPRODUCT(固有振動数!$Q$6:$Q$22*固有振動数!$P$6:$P$22/((1-($A1880/固有振動数!$O$6:$O$22)^2)^2+固有振動数!$P$6:$P$22^2))</f>
        <v>-6.59509693790322</v>
      </c>
      <c r="D1880" s="124" t="n">
        <f aca="false">SQRT(B1880^2+C1880^2)</f>
        <v>19.9000190310973</v>
      </c>
      <c r="E1880" s="125" t="n">
        <f aca="false">20*LOG10(MAX(D1880,0.000000000001)/$K$3)</f>
        <v>25.9770698348239</v>
      </c>
    </row>
    <row r="1881" customFormat="false" ht="15" hidden="false" customHeight="false" outlineLevel="0" collapsed="false">
      <c r="A1881" s="126" t="n">
        <f aca="false">A1880+$F$3</f>
        <v>18750</v>
      </c>
      <c r="B1881" s="127" t="n">
        <f aca="false">SUMPRODUCT(固有振動数!$Q$6:$Q$22*(1-($A1881/固有振動数!$O$6:$O$22)^2)/((1-($A1881/固有振動数!$O$6:$O$22)^2)^2+固有振動数!$P$6:$P$22^2))</f>
        <v>-18.4891772203899</v>
      </c>
      <c r="C1881" s="127" t="n">
        <f aca="false">-SUMPRODUCT(固有振動数!$Q$6:$Q$22*固有振動数!$P$6:$P$22/((1-($A1881/固有振動数!$O$6:$O$22)^2)^2+固有振動数!$P$6:$P$22^2))</f>
        <v>-6.44418790879221</v>
      </c>
      <c r="D1881" s="128" t="n">
        <f aca="false">SQRT(B1881^2+C1881^2)</f>
        <v>19.580021248477</v>
      </c>
      <c r="E1881" s="129" t="n">
        <f aca="false">20*LOG10(MAX(D1881,0.000000000001)/$K$3)</f>
        <v>25.8362631753805</v>
      </c>
    </row>
    <row r="1882" customFormat="false" ht="15" hidden="false" customHeight="false" outlineLevel="0" collapsed="false">
      <c r="A1882" s="122" t="n">
        <f aca="false">A1881+$F$3</f>
        <v>18760</v>
      </c>
      <c r="B1882" s="123" t="n">
        <f aca="false">SUMPRODUCT(固有振動数!$Q$6:$Q$22*(1-($A1882/固有振動数!$O$6:$O$22)^2)/((1-($A1882/固有振動数!$O$6:$O$22)^2)^2+固有振動数!$P$6:$P$22^2))</f>
        <v>-18.2080832405756</v>
      </c>
      <c r="C1882" s="123" t="n">
        <f aca="false">-SUMPRODUCT(固有振動数!$Q$6:$Q$22*固有振動数!$P$6:$P$22/((1-($A1882/固有振動数!$O$6:$O$22)^2)^2+固有振動数!$P$6:$P$22^2))</f>
        <v>-6.29910660605084</v>
      </c>
      <c r="D1882" s="124" t="n">
        <f aca="false">SQRT(B1882^2+C1882^2)</f>
        <v>19.266889716042</v>
      </c>
      <c r="E1882" s="125" t="n">
        <f aca="false">20*LOG10(MAX(D1882,0.000000000001)/$K$3)</f>
        <v>25.6962322296078</v>
      </c>
    </row>
    <row r="1883" customFormat="false" ht="15" hidden="false" customHeight="false" outlineLevel="0" collapsed="false">
      <c r="A1883" s="126" t="n">
        <f aca="false">A1882+$F$3</f>
        <v>18770</v>
      </c>
      <c r="B1883" s="127" t="n">
        <f aca="false">SUMPRODUCT(固有振動数!$Q$6:$Q$22*(1-($A1883/固有振動数!$O$6:$O$22)^2)/((1-($A1883/固有振動数!$O$6:$O$22)^2)^2+固有振動数!$P$6:$P$22^2))</f>
        <v>-17.9319897029829</v>
      </c>
      <c r="C1883" s="127" t="n">
        <f aca="false">-SUMPRODUCT(固有振動数!$Q$6:$Q$22*固有振動数!$P$6:$P$22/((1-($A1883/固有振動数!$O$6:$O$22)^2)^2+固有振動数!$P$6:$P$22^2))</f>
        <v>-6.15956390445222</v>
      </c>
      <c r="D1883" s="128" t="n">
        <f aca="false">SQRT(B1883^2+C1883^2)</f>
        <v>18.9603924590425</v>
      </c>
      <c r="E1883" s="129" t="n">
        <f aca="false">20*LOG10(MAX(D1883,0.000000000001)/$K$3)</f>
        <v>25.5569464501597</v>
      </c>
    </row>
    <row r="1884" customFormat="false" ht="15" hidden="false" customHeight="false" outlineLevel="0" collapsed="false">
      <c r="A1884" s="122" t="n">
        <f aca="false">A1883+$F$3</f>
        <v>18780</v>
      </c>
      <c r="B1884" s="123" t="n">
        <f aca="false">SUMPRODUCT(固有振動数!$Q$6:$Q$22*(1-($A1884/固有振動数!$O$6:$O$22)^2)/((1-($A1884/固有振動数!$O$6:$O$22)^2)^2+固有振動数!$P$6:$P$22^2))</f>
        <v>-17.6607747166873</v>
      </c>
      <c r="C1884" s="123" t="n">
        <f aca="false">-SUMPRODUCT(固有振動数!$Q$6:$Q$22*固有振動数!$P$6:$P$22/((1-($A1884/固有振動数!$O$6:$O$22)^2)^2+固有振動数!$P$6:$P$22^2))</f>
        <v>-6.02528806749269</v>
      </c>
      <c r="D1884" s="124" t="n">
        <f aca="false">SQRT(B1884^2+C1884^2)</f>
        <v>18.660307068477</v>
      </c>
      <c r="E1884" s="125" t="n">
        <f aca="false">20*LOG10(MAX(D1884,0.000000000001)/$K$3)</f>
        <v>25.4183757218086</v>
      </c>
    </row>
    <row r="1885" customFormat="false" ht="15" hidden="false" customHeight="false" outlineLevel="0" collapsed="false">
      <c r="A1885" s="126" t="n">
        <f aca="false">A1884+$F$3</f>
        <v>18790</v>
      </c>
      <c r="B1885" s="127" t="n">
        <f aca="false">SUMPRODUCT(固有振動数!$Q$6:$Q$22*(1-($A1885/固有振動数!$O$6:$O$22)^2)/((1-($A1885/固有振動数!$O$6:$O$22)^2)^2+固有振動数!$P$6:$P$22^2))</f>
        <v>-17.3943180434907</v>
      </c>
      <c r="C1885" s="127" t="n">
        <f aca="false">-SUMPRODUCT(固有振動数!$Q$6:$Q$22*固有振動数!$P$6:$P$22/((1-($A1885/固有振動数!$O$6:$O$22)^2)^2+固有振動数!$P$6:$P$22^2))</f>
        <v>-5.89602355752877</v>
      </c>
      <c r="D1885" s="128" t="n">
        <f aca="false">SQRT(B1885^2+C1885^2)</f>
        <v>18.3664202823806</v>
      </c>
      <c r="E1885" s="129" t="n">
        <f aca="false">20*LOG10(MAX(D1885,0.000000000001)/$K$3)</f>
        <v>25.2804903628019</v>
      </c>
    </row>
    <row r="1886" customFormat="false" ht="15" hidden="false" customHeight="false" outlineLevel="0" collapsed="false">
      <c r="A1886" s="122" t="n">
        <f aca="false">A1885+$F$3</f>
        <v>18800</v>
      </c>
      <c r="B1886" s="123" t="n">
        <f aca="false">SUMPRODUCT(固有振動数!$Q$6:$Q$22*(1-($A1886/固有振動数!$O$6:$O$22)^2)/((1-($A1886/固有振動数!$O$6:$O$22)^2)^2+固有振動数!$P$6:$P$22^2))</f>
        <v>-17.1325013271451</v>
      </c>
      <c r="C1886" s="123" t="n">
        <f aca="false">-SUMPRODUCT(固有振動数!$Q$6:$Q$22*固有振動数!$P$6:$P$22/((1-($A1886/固有振動数!$O$6:$O$22)^2)^2+固有振動数!$P$6:$P$22^2))</f>
        <v>-5.77152993434515</v>
      </c>
      <c r="D1886" s="124" t="n">
        <f aca="false">SQRT(B1886^2+C1886^2)</f>
        <v>18.0785275812957</v>
      </c>
      <c r="E1886" s="125" t="n">
        <f aca="false">20*LOG10(MAX(D1886,0.000000000001)/$K$3)</f>
        <v>25.1432611230542</v>
      </c>
    </row>
    <row r="1887" customFormat="false" ht="15" hidden="false" customHeight="false" outlineLevel="0" collapsed="false">
      <c r="A1887" s="126" t="n">
        <f aca="false">A1886+$F$3</f>
        <v>18810</v>
      </c>
      <c r="B1887" s="127" t="n">
        <f aca="false">SUMPRODUCT(固有振動数!$Q$6:$Q$22*(1-($A1887/固有振動数!$O$6:$O$22)^2)/((1-($A1887/固有振動数!$O$6:$O$22)^2)^2+固有振動数!$P$6:$P$22^2))</f>
        <v>-16.875208277553</v>
      </c>
      <c r="C1887" s="127" t="n">
        <f aca="false">-SUMPRODUCT(固有振動数!$Q$6:$Q$22*固有振動数!$P$6:$P$22/((1-($A1887/固有振動数!$O$6:$O$22)^2)^2+固有振動数!$P$6:$P$22^2))</f>
        <v>-5.65158083539705</v>
      </c>
      <c r="D1887" s="128" t="n">
        <f aca="false">SQRT(B1887^2+C1887^2)</f>
        <v>17.796432798452</v>
      </c>
      <c r="E1887" s="129" t="n">
        <f aca="false">20*LOG10(MAX(D1887,0.000000000001)/$K$3)</f>
        <v>25.0066591796567</v>
      </c>
    </row>
    <row r="1888" customFormat="false" ht="15" hidden="false" customHeight="false" outlineLevel="0" collapsed="false">
      <c r="A1888" s="122" t="n">
        <f aca="false">A1887+$F$3</f>
        <v>18820</v>
      </c>
      <c r="B1888" s="123" t="n">
        <f aca="false">SUMPRODUCT(固有振動数!$Q$6:$Q$22*(1-($A1888/固有振動数!$O$6:$O$22)^2)/((1-($A1888/固有振動数!$O$6:$O$22)^2)^2+固有振動数!$P$6:$P$22^2))</f>
        <v>-16.6223248163359</v>
      </c>
      <c r="C1888" s="123" t="n">
        <f aca="false">-SUMPRODUCT(固有振動数!$Q$6:$Q$22*固有振動数!$P$6:$P$22/((1-($A1888/固有振動数!$O$6:$O$22)^2)^2+固有振動数!$P$6:$P$22^2))</f>
        <v>-5.53596303145073</v>
      </c>
      <c r="D1888" s="124" t="n">
        <f aca="false">SQRT(B1888^2+C1888^2)</f>
        <v>17.5199477449382</v>
      </c>
      <c r="E1888" s="125" t="n">
        <f aca="false">20*LOG10(MAX(D1888,0.000000000001)/$K$3)</f>
        <v>24.8706561301129</v>
      </c>
    </row>
    <row r="1889" customFormat="false" ht="15" hidden="false" customHeight="false" outlineLevel="0" collapsed="false">
      <c r="A1889" s="126" t="n">
        <f aca="false">A1888+$F$3</f>
        <v>18830</v>
      </c>
      <c r="B1889" s="127" t="n">
        <f aca="false">SUMPRODUCT(固有振動数!$Q$6:$Q$22*(1-($A1889/固有振動数!$O$6:$O$22)^2)/((1-($A1889/固有振動数!$O$6:$O$22)^2)^2+固有振動数!$P$6:$P$22^2))</f>
        <v>-16.3737391893072</v>
      </c>
      <c r="C1889" s="127" t="n">
        <f aca="false">-SUMPRODUCT(固有振動数!$Q$6:$Q$22*固有振動数!$P$6:$P$22/((1-($A1889/固有振動数!$O$6:$O$22)^2)^2+固有振動数!$P$6:$P$22^2))</f>
        <v>-5.42447555180685</v>
      </c>
      <c r="D1889" s="128" t="n">
        <f aca="false">SQRT(B1889^2+C1889^2)</f>
        <v>17.2488918499597</v>
      </c>
      <c r="E1889" s="129" t="n">
        <f aca="false">20*LOG10(MAX(D1889,0.000000000001)/$K$3)</f>
        <v>24.7352239836564</v>
      </c>
    </row>
    <row r="1890" customFormat="false" ht="15" hidden="false" customHeight="false" outlineLevel="0" collapsed="false">
      <c r="A1890" s="122" t="n">
        <f aca="false">A1889+$F$3</f>
        <v>18840</v>
      </c>
      <c r="B1890" s="123" t="n">
        <f aca="false">SUMPRODUCT(固有振動数!$Q$6:$Q$22*(1-($A1890/固有振動数!$O$6:$O$22)^2)/((1-($A1890/固有振動数!$O$6:$O$22)^2)^2+固有振動数!$P$6:$P$22^2))</f>
        <v>-16.1293420506393</v>
      </c>
      <c r="C1890" s="123" t="n">
        <f aca="false">-SUMPRODUCT(固有振動数!$Q$6:$Q$22*固有振動数!$P$6:$P$22/((1-($A1890/固有振動数!$O$6:$O$22)^2)^2+固有振動数!$P$6:$P$22^2))</f>
        <v>-5.31692887372528</v>
      </c>
      <c r="D1890" s="124" t="n">
        <f aca="false">SQRT(B1890^2+C1890^2)</f>
        <v>16.9830918161204</v>
      </c>
      <c r="E1890" s="125" t="n">
        <f aca="false">20*LOG10(MAX(D1890,0.000000000001)/$K$3)</f>
        <v>24.6003351509577</v>
      </c>
    </row>
    <row r="1891" customFormat="false" ht="15" hidden="false" customHeight="false" outlineLevel="0" collapsed="false">
      <c r="A1891" s="126" t="n">
        <f aca="false">A1890+$F$3</f>
        <v>18850</v>
      </c>
      <c r="B1891" s="127" t="n">
        <f aca="false">SUMPRODUCT(固有振動数!$Q$6:$Q$22*(1-($A1891/固有振動数!$O$6:$O$22)^2)/((1-($A1891/固有振動数!$O$6:$O$22)^2)^2+固有振動数!$P$6:$P$22^2))</f>
        <v>-15.8890265228739</v>
      </c>
      <c r="C1891" s="127" t="n">
        <f aca="false">-SUMPRODUCT(固有振動数!$Q$6:$Q$22*固有振動数!$P$6:$P$22/((1-($A1891/固有振動数!$O$6:$O$22)^2)^2+固有振動数!$P$6:$P$22^2))</f>
        <v>-5.21314417107984</v>
      </c>
      <c r="D1891" s="128" t="n">
        <f aca="false">SQRT(B1891^2+C1891^2)</f>
        <v>16.7223812895489</v>
      </c>
      <c r="E1891" s="129" t="n">
        <f aca="false">20*LOG10(MAX(D1891,0.000000000001)/$K$3)</f>
        <v>24.4659624324822</v>
      </c>
    </row>
    <row r="1892" customFormat="false" ht="15" hidden="false" customHeight="false" outlineLevel="0" collapsed="false">
      <c r="A1892" s="122" t="n">
        <f aca="false">A1891+$F$3</f>
        <v>18860</v>
      </c>
      <c r="B1892" s="123" t="n">
        <f aca="false">SUMPRODUCT(固有振動数!$Q$6:$Q$22*(1-($A1892/固有振動数!$O$6:$O$22)^2)/((1-($A1892/固有振動数!$O$6:$O$22)^2)^2+固有振動数!$P$6:$P$22^2))</f>
        <v>-15.6526882363629</v>
      </c>
      <c r="C1892" s="123" t="n">
        <f aca="false">-SUMPRODUCT(固有振動数!$Q$6:$Q$22*固有振動数!$P$6:$P$22/((1-($A1892/固有振動数!$O$6:$O$22)^2)^2+固有振動数!$P$6:$P$22^2))</f>
        <v>-5.11295261765396</v>
      </c>
      <c r="D1892" s="124" t="n">
        <f aca="false">SQRT(B1892^2+C1892^2)</f>
        <v>16.4666005445917</v>
      </c>
      <c r="E1892" s="125" t="n">
        <f aca="false">20*LOG10(MAX(D1892,0.000000000001)/$K$3)</f>
        <v>24.3320790057275</v>
      </c>
    </row>
    <row r="1893" customFormat="false" ht="15" hidden="false" customHeight="false" outlineLevel="0" collapsed="false">
      <c r="A1893" s="126" t="n">
        <f aca="false">A1892+$F$3</f>
        <v>18870</v>
      </c>
      <c r="B1893" s="127" t="n">
        <f aca="false">SUMPRODUCT(固有振動数!$Q$6:$Q$22*(1-($A1893/固有振動数!$O$6:$O$22)^2)/((1-($A1893/固有振動数!$O$6:$O$22)^2)^2+固有振動数!$P$6:$P$22^2))</f>
        <v>-15.4202253512482</v>
      </c>
      <c r="C1893" s="127" t="n">
        <f aca="false">-SUMPRODUCT(固有振動数!$Q$6:$Q$22*固有振動数!$P$6:$P$22/((1-($A1893/固有振動数!$O$6:$O$22)^2)^2+固有振動数!$P$6:$P$22^2))</f>
        <v>-5.0161947408461</v>
      </c>
      <c r="D1893" s="128" t="n">
        <f aca="false">SQRT(B1893^2+C1893^2)</f>
        <v>16.2155961827301</v>
      </c>
      <c r="E1893" s="129" t="n">
        <f aca="false">20*LOG10(MAX(D1893,0.000000000001)/$K$3)</f>
        <v>24.1986584115337</v>
      </c>
    </row>
    <row r="1894" customFormat="false" ht="15" hidden="false" customHeight="false" outlineLevel="0" collapsed="false">
      <c r="A1894" s="122" t="n">
        <f aca="false">A1893+$F$3</f>
        <v>18880</v>
      </c>
      <c r="B1894" s="123" t="n">
        <f aca="false">SUMPRODUCT(固有振動数!$Q$6:$Q$22*(1-($A1894/固有振動数!$O$6:$O$22)^2)/((1-($A1894/固有振動数!$O$6:$O$22)^2)^2+固有振動数!$P$6:$P$22^2))</f>
        <v>-15.1915385646639</v>
      </c>
      <c r="C1894" s="123" t="n">
        <f aca="false">-SUMPRODUCT(固有振動数!$Q$6:$Q$22*固有振動数!$P$6:$P$22/((1-($A1894/固有振動数!$O$6:$O$22)^2)^2+固有振動数!$P$6:$P$22^2))</f>
        <v>-4.92271982188506</v>
      </c>
      <c r="D1894" s="124" t="n">
        <f aca="false">SQRT(B1894^2+C1894^2)</f>
        <v>15.9692208453152</v>
      </c>
      <c r="E1894" s="125" t="n">
        <f aca="false">20*LOG10(MAX(D1894,0.000000000001)/$K$3)</f>
        <v>24.0656745396325</v>
      </c>
    </row>
    <row r="1895" customFormat="false" ht="15" hidden="false" customHeight="false" outlineLevel="0" collapsed="false">
      <c r="A1895" s="126" t="n">
        <f aca="false">A1894+$F$3</f>
        <v>18890</v>
      </c>
      <c r="B1895" s="127" t="n">
        <f aca="false">SUMPRODUCT(固有振動数!$Q$6:$Q$22*(1-($A1895/固有振動数!$O$6:$O$22)^2)/((1-($A1895/固有振動数!$O$6:$O$22)^2)^2+固有振動数!$P$6:$P$22^2))</f>
        <v>-14.9665311054865</v>
      </c>
      <c r="C1895" s="127" t="n">
        <f aca="false">-SUMPRODUCT(固有振動数!$Q$6:$Q$22*固有振動数!$P$6:$P$22/((1-($A1895/固有振動数!$O$6:$O$22)^2)^2+固有振動数!$P$6:$P$22^2))</f>
        <v>-4.83238533896484</v>
      </c>
      <c r="D1895" s="128" t="n">
        <f aca="false">SQRT(B1895^2+C1895^2)</f>
        <v>15.7273329396862</v>
      </c>
      <c r="E1895" s="129" t="n">
        <f aca="false">20*LOG10(MAX(D1895,0.000000000001)/$K$3)</f>
        <v>23.9331016135799</v>
      </c>
    </row>
    <row r="1896" customFormat="false" ht="15" hidden="false" customHeight="false" outlineLevel="0" collapsed="false">
      <c r="A1896" s="122" t="n">
        <f aca="false">A1895+$F$3</f>
        <v>18900</v>
      </c>
      <c r="B1896" s="123" t="n">
        <f aca="false">SUMPRODUCT(固有振動数!$Q$6:$Q$22*(1-($A1896/固有振動数!$O$6:$O$22)^2)/((1-($A1896/固有振動数!$O$6:$O$22)^2)^2+固有振動数!$P$6:$P$22^2))</f>
        <v>-14.7451087186407</v>
      </c>
      <c r="C1896" s="123" t="n">
        <f aca="false">-SUMPRODUCT(固有振動数!$Q$6:$Q$22*固有振動数!$P$6:$P$22/((1-($A1896/固有振動数!$O$6:$O$22)^2)^2+固有振動数!$P$6:$P$22^2))</f>
        <v>-4.74505644999289</v>
      </c>
      <c r="D1896" s="124" t="n">
        <f aca="false">SQRT(B1896^2+C1896^2)</f>
        <v>15.4897963782018</v>
      </c>
      <c r="E1896" s="125" t="n">
        <f aca="false">20*LOG10(MAX(D1896,0.000000000001)/$K$3)</f>
        <v>23.8009141751911</v>
      </c>
    </row>
    <row r="1897" customFormat="false" ht="15" hidden="false" customHeight="false" outlineLevel="0" collapsed="false">
      <c r="A1897" s="126" t="n">
        <f aca="false">A1896+$F$3</f>
        <v>18910</v>
      </c>
      <c r="B1897" s="127" t="n">
        <f aca="false">SUMPRODUCT(固有振動数!$Q$6:$Q$22*(1-($A1897/固有振動数!$O$6:$O$22)^2)/((1-($A1897/固有振動数!$O$6:$O$22)^2)^2+固有振動数!$P$6:$P$22^2))</f>
        <v>-14.5271796406941</v>
      </c>
      <c r="C1897" s="127" t="n">
        <f aca="false">-SUMPRODUCT(固有振動数!$Q$6:$Q$22*固有振動数!$P$6:$P$22/((1-($A1897/固有振動数!$O$6:$O$22)^2)^2+固有振動数!$P$6:$P$22^2))</f>
        <v>-4.66060551190961</v>
      </c>
      <c r="D1897" s="128" t="n">
        <f aca="false">SQRT(B1897^2+C1897^2)</f>
        <v>15.2564803297038</v>
      </c>
      <c r="E1897" s="129" t="n">
        <f aca="false">20*LOG10(MAX(D1897,0.000000000001)/$K$3)</f>
        <v>23.6690870685828</v>
      </c>
    </row>
    <row r="1898" customFormat="false" ht="15" hidden="false" customHeight="false" outlineLevel="0" collapsed="false">
      <c r="A1898" s="122" t="n">
        <f aca="false">A1897+$F$3</f>
        <v>18920</v>
      </c>
      <c r="B1898" s="123" t="n">
        <f aca="false">SUMPRODUCT(固有振動数!$Q$6:$Q$22*(1-($A1898/固有振動数!$O$6:$O$22)^2)/((1-($A1898/固有振動数!$O$6:$O$22)^2)^2+固有振動数!$P$6:$P$22^2))</f>
        <v>-14.3126545682397</v>
      </c>
      <c r="C1898" s="123" t="n">
        <f aca="false">-SUMPRODUCT(固有振動数!$Q$6:$Q$22*固有振動数!$P$6:$P$22/((1-($A1898/固有振動数!$O$6:$O$22)^2)^2+固有振動数!$P$6:$P$22^2))</f>
        <v>-4.57891163377996</v>
      </c>
      <c r="D1898" s="124" t="n">
        <f aca="false">SQRT(B1898^2+C1898^2)</f>
        <v>15.027258982919</v>
      </c>
      <c r="E1898" s="125" t="n">
        <f aca="false">20*LOG10(MAX(D1898,0.000000000001)/$K$3)</f>
        <v>23.5375954239091</v>
      </c>
    </row>
    <row r="1899" customFormat="false" ht="15" hidden="false" customHeight="false" outlineLevel="0" collapsed="false">
      <c r="A1899" s="126" t="n">
        <f aca="false">A1898+$F$3</f>
        <v>18930</v>
      </c>
      <c r="B1899" s="127" t="n">
        <f aca="false">SUMPRODUCT(固有振動数!$Q$6:$Q$22*(1-($A1899/固有振動数!$O$6:$O$22)^2)/((1-($A1899/固有振動数!$O$6:$O$22)^2)^2+固有振動数!$P$6:$P$22^2))</f>
        <v>-14.1014466203568</v>
      </c>
      <c r="C1899" s="127" t="n">
        <f aca="false">-SUMPRODUCT(固有振動数!$Q$6:$Q$22*固有振動数!$P$6:$P$22/((1-($A1899/固有振動数!$O$6:$O$22)^2)^2+固有振動数!$P$6:$P$22^2))</f>
        <v>-4.49986026108213</v>
      </c>
      <c r="D1899" s="128" t="n">
        <f aca="false">SQRT(B1899^2+C1899^2)</f>
        <v>14.8020113213049</v>
      </c>
      <c r="E1899" s="129" t="n">
        <f aca="false">20*LOG10(MAX(D1899,0.000000000001)/$K$3)</f>
        <v>23.4064146408649</v>
      </c>
    </row>
    <row r="1900" customFormat="false" ht="15" hidden="false" customHeight="false" outlineLevel="0" collapsed="false">
      <c r="A1900" s="122" t="n">
        <f aca="false">A1899+$F$3</f>
        <v>18940</v>
      </c>
      <c r="B1900" s="123" t="n">
        <f aca="false">SUMPRODUCT(固有振動数!$Q$6:$Q$22*(1-($A1900/固有振動数!$O$6:$O$22)^2)/((1-($A1900/固有振動数!$O$6:$O$22)^2)^2+固有振動数!$P$6:$P$22^2))</f>
        <v>-13.8934712962631</v>
      </c>
      <c r="C1900" s="123" t="n">
        <f aca="false">-SUMPRODUCT(固有振動数!$Q$6:$Q$22*固有振動数!$P$6:$P$22/((1-($A1900/固有振動数!$O$6:$O$22)^2)^2+固有振動数!$P$6:$P$22^2))</f>
        <v>-4.42334278882423</v>
      </c>
      <c r="D1900" s="124" t="n">
        <f aca="false">SQRT(B1900^2+C1900^2)</f>
        <v>14.5806209088478</v>
      </c>
      <c r="E1900" s="125" t="n">
        <f aca="false">20*LOG10(MAX(D1900,0.000000000001)/$K$3)</f>
        <v>23.2755203720187</v>
      </c>
    </row>
    <row r="1901" customFormat="false" ht="15" hidden="false" customHeight="false" outlineLevel="0" collapsed="false">
      <c r="A1901" s="126" t="n">
        <f aca="false">A1900+$F$3</f>
        <v>18950</v>
      </c>
      <c r="B1901" s="127" t="n">
        <f aca="false">SUMPRODUCT(固有振動数!$Q$6:$Q$22*(1-($A1901/固有振動数!$O$6:$O$22)^2)/((1-($A1901/固有振動数!$O$6:$O$22)^2)^2+固有振動数!$P$6:$P$22^2))</f>
        <v>-13.6886464291165</v>
      </c>
      <c r="C1901" s="127" t="n">
        <f aca="false">-SUMPRODUCT(固有振動数!$Q$6:$Q$22*固有振動数!$P$6:$P$22/((1-($A1901/固有振動数!$O$6:$O$22)^2)^2+固有振動数!$P$6:$P$22^2))</f>
        <v>-4.34925620130962</v>
      </c>
      <c r="D1901" s="128" t="n">
        <f aca="false">SQRT(B1901^2+C1901^2)</f>
        <v>14.362975686326</v>
      </c>
      <c r="E1901" s="129" t="n">
        <f aca="false">20*LOG10(MAX(D1901,0.000000000001)/$K$3)</f>
        <v>23.144888506025</v>
      </c>
    </row>
    <row r="1902" customFormat="false" ht="15" hidden="false" customHeight="false" outlineLevel="0" collapsed="false">
      <c r="A1902" s="122" t="n">
        <f aca="false">A1901+$F$3</f>
        <v>18960</v>
      </c>
      <c r="B1902" s="123" t="n">
        <f aca="false">SUMPRODUCT(固有振動数!$Q$6:$Q$22*(1-($A1902/固有振動数!$O$6:$O$22)^2)/((1-($A1902/固有振動数!$O$6:$O$22)^2)^2+固有振動数!$P$6:$P$22^2))</f>
        <v>-13.4868921367881</v>
      </c>
      <c r="C1902" s="123" t="n">
        <f aca="false">-SUMPRODUCT(固有振動数!$Q$6:$Q$22*固有振動数!$P$6:$P$22/((1-($A1902/固有振動数!$O$6:$O$22)^2)^2+固有振動数!$P$6:$P$22^2))</f>
        <v>-4.2775027365462</v>
      </c>
      <c r="D1902" s="124" t="n">
        <f aca="false">SQRT(B1902^2+C1902^2)</f>
        <v>14.1489677775631</v>
      </c>
      <c r="E1902" s="125" t="n">
        <f aca="false">20*LOG10(MAX(D1902,0.000000000001)/$K$3)</f>
        <v>23.0144951507606</v>
      </c>
    </row>
    <row r="1903" customFormat="false" ht="15" hidden="false" customHeight="false" outlineLevel="0" collapsed="false">
      <c r="A1903" s="126" t="n">
        <f aca="false">A1902+$F$3</f>
        <v>18970</v>
      </c>
      <c r="B1903" s="127" t="n">
        <f aca="false">SUMPRODUCT(固有振動数!$Q$6:$Q$22*(1-($A1903/固有振動数!$O$6:$O$22)^2)/((1-($A1903/固有振動数!$O$6:$O$22)^2)^2+固有振動数!$P$6:$P$22^2))</f>
        <v>-13.2881307703145</v>
      </c>
      <c r="C1903" s="127" t="n">
        <f aca="false">-SUMPRODUCT(固有振動数!$Q$6:$Q$22*固有振動数!$P$6:$P$22/((1-($A1903/固有振動数!$O$6:$O$22)^2)^2+固有振動数!$P$6:$P$22^2))</f>
        <v>-4.20798957345412</v>
      </c>
      <c r="D1903" s="128" t="n">
        <f aca="false">SQRT(B1903^2+C1903^2)</f>
        <v>13.9384933052062</v>
      </c>
      <c r="E1903" s="129" t="n">
        <f aca="false">20*LOG10(MAX(D1903,0.000000000001)/$K$3)</f>
        <v>22.8843166164165</v>
      </c>
    </row>
    <row r="1904" customFormat="false" ht="15" hidden="false" customHeight="false" outlineLevel="0" collapsed="false">
      <c r="A1904" s="122" t="n">
        <f aca="false">A1903+$F$3</f>
        <v>18980</v>
      </c>
      <c r="B1904" s="123" t="n">
        <f aca="false">SUMPRODUCT(固有振動数!$Q$6:$Q$22*(1-($A1904/固有振動数!$O$6:$O$22)^2)/((1-($A1904/固有振動数!$O$6:$O$22)^2)^2+固有振動数!$P$6:$P$22^2))</f>
        <v>-13.0922868606323</v>
      </c>
      <c r="C1904" s="123" t="n">
        <f aca="false">-SUMPRODUCT(固有振動数!$Q$6:$Q$22*固有振動数!$P$6:$P$22/((1-($A1904/固有振動数!$O$6:$O$22)^2)^2+固有振動数!$P$6:$P$22^2))</f>
        <v>-4.14062854017469</v>
      </c>
      <c r="D1904" s="124" t="n">
        <f aca="false">SQRT(B1904^2+C1904^2)</f>
        <v>13.7314522155814</v>
      </c>
      <c r="E1904" s="125" t="n">
        <f aca="false">20*LOG10(MAX(D1904,0.000000000001)/$K$3)</f>
        <v>22.7543293985764</v>
      </c>
    </row>
    <row r="1905" customFormat="false" ht="15" hidden="false" customHeight="false" outlineLevel="0" collapsed="false">
      <c r="A1905" s="126" t="n">
        <f aca="false">A1904+$F$3</f>
        <v>18990</v>
      </c>
      <c r="B1905" s="127" t="n">
        <f aca="false">SUMPRODUCT(固有振動数!$Q$6:$Q$22*(1-($A1905/固有振動数!$O$6:$O$22)^2)/((1-($A1905/固有振動数!$O$6:$O$22)^2)^2+固有振動数!$P$6:$P$22^2))</f>
        <v>-12.8992870641123</v>
      </c>
      <c r="C1905" s="127" t="n">
        <f aca="false">-SUMPRODUCT(固有振動数!$Q$6:$Q$22*固有振動数!$P$6:$P$22/((1-($A1905/固有振動数!$O$6:$O$22)^2)^2+固有振動数!$P$6:$P$22^2))</f>
        <v>-4.07533584191689</v>
      </c>
      <c r="D1905" s="128" t="n">
        <f aca="false">SQRT(B1905^2+C1905^2)</f>
        <v>13.5277481121873</v>
      </c>
      <c r="E1905" s="129" t="n">
        <f aca="false">20*LOG10(MAX(D1905,0.000000000001)/$K$3)</f>
        <v>22.6245101613006</v>
      </c>
    </row>
    <row r="1906" customFormat="false" ht="15" hidden="false" customHeight="false" outlineLevel="0" collapsed="false">
      <c r="A1906" s="122" t="n">
        <f aca="false">A1905+$F$3</f>
        <v>19000</v>
      </c>
      <c r="B1906" s="123" t="n">
        <f aca="false">SUMPRODUCT(固有振動数!$Q$6:$Q$22*(1-($A1906/固有振動数!$O$6:$O$22)^2)/((1-($A1906/固有振動数!$O$6:$O$22)^2)^2+固有振動数!$P$6:$P$22^2))</f>
        <v>-12.7090601073342</v>
      </c>
      <c r="C1906" s="123" t="n">
        <f aca="false">-SUMPRODUCT(固有振動数!$Q$6:$Q$22*固有振動数!$P$6:$P$22/((1-($A1906/固有振動数!$O$6:$O$22)^2)^2+固有振動数!$P$6:$P$22^2))</f>
        <v>-4.01203180690293</v>
      </c>
      <c r="D1906" s="124" t="n">
        <f aca="false">SQRT(B1906^2+C1906^2)</f>
        <v>13.3272880974126</v>
      </c>
      <c r="E1906" s="125" t="n">
        <f aca="false">20*LOG10(MAX(D1906,0.000000000001)/$K$3)</f>
        <v>22.4948357202356</v>
      </c>
    </row>
    <row r="1907" customFormat="false" ht="15" hidden="false" customHeight="false" outlineLevel="0" collapsed="false">
      <c r="A1907" s="126" t="n">
        <f aca="false">A1906+$F$3</f>
        <v>19010</v>
      </c>
      <c r="B1907" s="127" t="n">
        <f aca="false">SUMPRODUCT(固有振動数!$Q$6:$Q$22*(1-($A1907/固有振動数!$O$6:$O$22)^2)/((1-($A1907/固有振動数!$O$6:$O$22)^2)^2+固有振動数!$P$6:$P$22^2))</f>
        <v>-12.5215367314747</v>
      </c>
      <c r="C1907" s="127" t="n">
        <f aca="false">-SUMPRODUCT(固有振動数!$Q$6:$Q$22*固有振動数!$P$6:$P$22/((1-($A1907/固有振動数!$O$6:$O$22)^2)^2+固有振動数!$P$6:$P$22^2))</f>
        <v>-3.95064064908705</v>
      </c>
      <c r="D1907" s="128" t="n">
        <f aca="false">SQRT(B1907^2+C1907^2)</f>
        <v>13.1299826220711</v>
      </c>
      <c r="E1907" s="129" t="n">
        <f aca="false">20*LOG10(MAX(D1907,0.000000000001)/$K$3)</f>
        <v>22.3652830257597</v>
      </c>
    </row>
    <row r="1908" customFormat="false" ht="15" hidden="false" customHeight="false" outlineLevel="0" collapsed="false">
      <c r="A1908" s="122" t="n">
        <f aca="false">A1907+$F$3</f>
        <v>19020</v>
      </c>
      <c r="B1908" s="123" t="n">
        <f aca="false">SUMPRODUCT(固有振動数!$Q$6:$Q$22*(1-($A1908/固有振動数!$O$6:$O$22)^2)/((1-($A1908/固有振動数!$O$6:$O$22)^2)^2+固有振動数!$P$6:$P$22^2))</f>
        <v>-12.3366496366259</v>
      </c>
      <c r="C1908" s="123" t="n">
        <f aca="false">-SUMPRODUCT(固有振動数!$Q$6:$Q$22*固有振動数!$P$6:$P$22/((1-($A1908/固有振動数!$O$6:$O$22)^2)^2+固有振動数!$P$6:$P$22^2))</f>
        <v>-3.89109024642675</v>
      </c>
      <c r="D1908" s="124" t="n">
        <f aca="false">SQRT(B1908^2+C1908^2)</f>
        <v>12.935745342372</v>
      </c>
      <c r="E1908" s="125" t="n">
        <f aca="false">20*LOG10(MAX(D1908,0.000000000001)/$K$3)</f>
        <v>22.2358291461747</v>
      </c>
    </row>
    <row r="1909" customFormat="false" ht="15" hidden="false" customHeight="false" outlineLevel="0" collapsed="false">
      <c r="A1909" s="126" t="n">
        <f aca="false">A1908+$F$3</f>
        <v>19030</v>
      </c>
      <c r="B1909" s="127" t="n">
        <f aca="false">SUMPRODUCT(固有振動数!$Q$6:$Q$22*(1-($A1909/固有振動数!$O$6:$O$22)^2)/((1-($A1909/固有振動数!$O$6:$O$22)^2)^2+固有振動数!$P$6:$P$22^2))</f>
        <v>-12.1543334263109</v>
      </c>
      <c r="C1909" s="127" t="n">
        <f aca="false">-SUMPRODUCT(固有振動数!$Q$6:$Q$22*固有振動数!$P$6:$P$22/((1-($A1909/固有振動数!$O$6:$O$22)^2)^2+固有振動数!$P$6:$P$22^2))</f>
        <v>-3.83331193358087</v>
      </c>
      <c r="D1909" s="128" t="n">
        <f aca="false">SQRT(B1909^2+C1909^2)</f>
        <v>12.7444929839547</v>
      </c>
      <c r="E1909" s="129" t="n">
        <f aca="false">20*LOG10(MAX(D1909,0.000000000001)/$K$3)</f>
        <v>22.1064512509497</v>
      </c>
    </row>
    <row r="1910" customFormat="false" ht="15" hidden="false" customHeight="false" outlineLevel="0" collapsed="false">
      <c r="A1910" s="122" t="n">
        <f aca="false">A1909+$F$3</f>
        <v>19040</v>
      </c>
      <c r="B1910" s="123" t="n">
        <f aca="false">SUMPRODUCT(固有振動数!$Q$6:$Q$22*(1-($A1910/固有振動数!$O$6:$O$22)^2)/((1-($A1910/固有振動数!$O$6:$O$22)^2)^2+固有振動数!$P$6:$P$22^2))</f>
        <v>-11.9745245524199</v>
      </c>
      <c r="C1910" s="123" t="n">
        <f aca="false">-SUMPRODUCT(固有振動数!$Q$6:$Q$22*固有振動数!$P$6:$P$22/((1-($A1910/固有振動数!$O$6:$O$22)^2)^2+固有振動数!$P$6:$P$22^2))</f>
        <v>-3.77724030799722</v>
      </c>
      <c r="D1910" s="124" t="n">
        <f aca="false">SQRT(B1910^2+C1910^2)</f>
        <v>12.5561452126386</v>
      </c>
      <c r="E1910" s="125" t="n">
        <f aca="false">20*LOG10(MAX(D1910,0.000000000001)/$K$3)</f>
        <v>21.9771265940213</v>
      </c>
    </row>
    <row r="1911" customFormat="false" ht="15" hidden="false" customHeight="false" outlineLevel="0" collapsed="false">
      <c r="A1911" s="126" t="n">
        <f aca="false">A1910+$F$3</f>
        <v>19050</v>
      </c>
      <c r="B1911" s="127" t="n">
        <f aca="false">SUMPRODUCT(固有振動数!$Q$6:$Q$22*(1-($A1911/固有振動数!$O$6:$O$22)^2)/((1-($A1911/固有振動数!$O$6:$O$22)^2)^2+固有振動数!$P$6:$P$22^2))</f>
        <v>-11.7971612607533</v>
      </c>
      <c r="C1911" s="127" t="n">
        <f aca="false">-SUMPRODUCT(固有振動数!$Q$6:$Q$22*固有振動数!$P$6:$P$22/((1-($A1911/固有振動数!$O$6:$O$22)^2)^2+固有振動数!$P$6:$P$22^2))</f>
        <v>-3.72281304843271</v>
      </c>
      <c r="D1911" s="128" t="n">
        <f aca="false">SQRT(B1911^2+C1911^2)</f>
        <v>12.3706245115515</v>
      </c>
      <c r="E1911" s="129" t="n">
        <f aca="false">20*LOG10(MAX(D1911,0.000000000001)/$K$3)</f>
        <v>21.8478324971491</v>
      </c>
    </row>
    <row r="1912" customFormat="false" ht="15" hidden="false" customHeight="false" outlineLevel="0" collapsed="false">
      <c r="A1912" s="122" t="n">
        <f aca="false">A1911+$F$3</f>
        <v>19060</v>
      </c>
      <c r="B1912" s="123" t="n">
        <f aca="false">SUMPRODUCT(固有振動数!$Q$6:$Q$22*(1-($A1912/固有振動数!$O$6:$O$22)^2)/((1-($A1912/固有振動数!$O$6:$O$22)^2)^2+固有振動数!$P$6:$P$22^2))</f>
        <v>-11.6221835373242</v>
      </c>
      <c r="C1912" s="123" t="n">
        <f aca="false">-SUMPRODUCT(固有振動数!$Q$6:$Q$22*固有振動数!$P$6:$P$22/((1-($A1912/固有振動数!$O$6:$O$22)^2)^2+固有振動数!$P$6:$P$22^2))</f>
        <v>-3.66997074502319</v>
      </c>
      <c r="D1912" s="124" t="n">
        <f aca="false">SQRT(B1912^2+C1912^2)</f>
        <v>12.1878560643197</v>
      </c>
      <c r="E1912" s="125" t="n">
        <f aca="false">20*LOG10(MAX(D1912,0.000000000001)/$K$3)</f>
        <v>21.7185463333284</v>
      </c>
    </row>
    <row r="1913" customFormat="false" ht="15" hidden="false" customHeight="false" outlineLevel="0" collapsed="false">
      <c r="A1913" s="126" t="n">
        <f aca="false">A1912+$F$3</f>
        <v>19070</v>
      </c>
      <c r="B1913" s="127" t="n">
        <f aca="false">SUMPRODUCT(固有振動数!$Q$6:$Q$22*(1-($A1913/固有振動数!$O$6:$O$22)^2)/((1-($A1913/固有振動数!$O$6:$O$22)^2)^2+固有振動数!$P$6:$P$22^2))</f>
        <v>-11.4495330555484</v>
      </c>
      <c r="C1913" s="127" t="n">
        <f aca="false">-SUMPRODUCT(固有振動数!$Q$6:$Q$22*固有振動数!$P$6:$P$22/((1-($A1913/固有振動数!$O$6:$O$22)^2)^2+固有振動数!$P$6:$P$22^2))</f>
        <v>-3.61865674008825</v>
      </c>
      <c r="D1913" s="128" t="n">
        <f aca="false">SQRT(B1913^2+C1913^2)</f>
        <v>12.0077676440162</v>
      </c>
      <c r="E1913" s="129" t="n">
        <f aca="false">20*LOG10(MAX(D1913,0.000000000001)/$K$3)</f>
        <v>21.5892455102573</v>
      </c>
    </row>
    <row r="1914" customFormat="false" ht="15" hidden="false" customHeight="false" outlineLevel="0" collapsed="false">
      <c r="A1914" s="122" t="n">
        <f aca="false">A1913+$F$3</f>
        <v>19080</v>
      </c>
      <c r="B1914" s="123" t="n">
        <f aca="false">SUMPRODUCT(固有振動数!$Q$6:$Q$22*(1-($A1914/固有振動数!$O$6:$O$22)^2)/((1-($A1914/固有振動数!$O$6:$O$22)^2)^2+固有振動数!$P$6:$P$22^2))</f>
        <v>-11.2791531244219</v>
      </c>
      <c r="C1914" s="123" t="n">
        <f aca="false">-SUMPRODUCT(固有振動数!$Q$6:$Q$22*固有振動数!$P$6:$P$22/((1-($A1914/固有振動数!$O$6:$O$22)^2)^2+固有振動数!$P$6:$P$22^2))</f>
        <v>-3.5688169789183</v>
      </c>
      <c r="D1914" s="124" t="n">
        <f aca="false">SQRT(B1914^2+C1914^2)</f>
        <v>11.8302895075806</v>
      </c>
      <c r="E1914" s="125" t="n">
        <f aca="false">20*LOG10(MAX(D1914,0.000000000001)/$K$3)</f>
        <v>21.4599074538541</v>
      </c>
    </row>
    <row r="1915" customFormat="false" ht="15" hidden="false" customHeight="false" outlineLevel="0" collapsed="false">
      <c r="A1915" s="126" t="n">
        <f aca="false">A1914+$F$3</f>
        <v>19090</v>
      </c>
      <c r="B1915" s="127" t="n">
        <f aca="false">SUMPRODUCT(固有振動数!$Q$6:$Q$22*(1-($A1915/固有振動数!$O$6:$O$22)^2)/((1-($A1915/固有振動数!$O$6:$O$22)^2)^2+固有振動数!$P$6:$P$22^2))</f>
        <v>-11.1109886377674</v>
      </c>
      <c r="C1915" s="127" t="n">
        <f aca="false">-SUMPRODUCT(固有振動数!$Q$6:$Q$22*固有振動数!$P$6:$P$22/((1-($A1915/固有振動数!$O$6:$O$22)^2)^2+固有振動数!$P$6:$P$22^2))</f>
        <v>-3.52039986984904</v>
      </c>
      <c r="D1915" s="128" t="n">
        <f aca="false">SQRT(B1915^2+C1915^2)</f>
        <v>11.6553542954399</v>
      </c>
      <c r="E1915" s="129" t="n">
        <f aca="false">20*LOG10(MAX(D1915,0.000000000001)/$K$3)</f>
        <v>21.3305095918224</v>
      </c>
    </row>
    <row r="1916" customFormat="false" ht="15" hidden="false" customHeight="false" outlineLevel="0" collapsed="false">
      <c r="A1916" s="122" t="n">
        <f aca="false">A1915+$F$3</f>
        <v>19100</v>
      </c>
      <c r="B1916" s="123" t="n">
        <f aca="false">SUMPRODUCT(固有振動数!$Q$6:$Q$22*(1-($A1916/固有振動数!$O$6:$O$22)^2)/((1-($A1916/固有振動数!$O$6:$O$22)^2)^2+固有振動数!$P$6:$P$22^2))</f>
        <v>-10.9449860246133</v>
      </c>
      <c r="C1916" s="123" t="n">
        <f aca="false">-SUMPRODUCT(固有振動数!$Q$6:$Q$22*固有振動数!$P$6:$P$22/((1-($A1916/固有振動数!$O$6:$O$22)^2)^2+固有振動数!$P$6:$P$22^2))</f>
        <v>-3.47335615298077</v>
      </c>
      <c r="D1916" s="124" t="n">
        <f aca="false">SQRT(B1916^2+C1916^2)</f>
        <v>11.482896936071</v>
      </c>
      <c r="E1916" s="125" t="n">
        <f aca="false">20*LOG10(MAX(D1916,0.000000000001)/$K$3)</f>
        <v>21.2010293372589</v>
      </c>
    </row>
    <row r="1917" customFormat="false" ht="15" hidden="false" customHeight="false" outlineLevel="0" collapsed="false">
      <c r="A1917" s="126" t="n">
        <f aca="false">A1916+$F$3</f>
        <v>19110</v>
      </c>
      <c r="B1917" s="127" t="n">
        <f aca="false">SUMPRODUCT(固有振動数!$Q$6:$Q$22*(1-($A1917/固有振動数!$O$6:$O$22)^2)/((1-($A1917/固有振動数!$O$6:$O$22)^2)^2+固有振動数!$P$6:$P$22^2))</f>
        <v>-10.7810932007519</v>
      </c>
      <c r="C1917" s="127" t="n">
        <f aca="false">-SUMPRODUCT(固有振動数!$Q$6:$Q$22*固有振動数!$P$6:$P$22/((1-($A1917/固有振動数!$O$6:$O$22)^2)^2+固有振動数!$P$6:$P$22^2))</f>
        <v>-3.42763877694863</v>
      </c>
      <c r="D1917" s="128" t="n">
        <f aca="false">SQRT(B1917^2+C1917^2)</f>
        <v>11.3128545552633</v>
      </c>
      <c r="E1917" s="129" t="n">
        <f aca="false">20*LOG10(MAX(D1917,0.000000000001)/$K$3)</f>
        <v>21.0714440722986</v>
      </c>
    </row>
    <row r="1918" customFormat="false" ht="15" hidden="false" customHeight="false" outlineLevel="0" collapsed="false">
      <c r="A1918" s="122" t="n">
        <f aca="false">A1917+$F$3</f>
        <v>19120</v>
      </c>
      <c r="B1918" s="123" t="n">
        <f aca="false">SUMPRODUCT(固有振動数!$Q$6:$Q$22*(1-($A1918/固有振動数!$O$6:$O$22)^2)/((1-($A1918/固有振動数!$O$6:$O$22)^2)^2+固有振動数!$P$6:$P$22^2))</f>
        <v>-10.6192595215131</v>
      </c>
      <c r="C1918" s="123" t="n">
        <f aca="false">-SUMPRODUCT(固有振動数!$Q$6:$Q$22*固有振動数!$P$6:$P$22/((1-($A1918/固有振動数!$O$6:$O$22)^2)^2+固有振動数!$P$6:$P$22^2))</f>
        <v>-3.38320278319443</v>
      </c>
      <c r="D1918" s="124" t="n">
        <f aca="false">SQRT(B1918^2+C1918^2)</f>
        <v>11.1451663898508</v>
      </c>
      <c r="E1918" s="125" t="n">
        <f aca="false">20*LOG10(MAX(D1918,0.000000000001)/$K$3)</f>
        <v>20.9417311317933</v>
      </c>
    </row>
    <row r="1919" customFormat="false" ht="15" hidden="false" customHeight="false" outlineLevel="0" collapsed="false">
      <c r="A1919" s="126" t="n">
        <f aca="false">A1918+$F$3</f>
        <v>19130</v>
      </c>
      <c r="B1919" s="127" t="n">
        <f aca="false">SUMPRODUCT(固有振動数!$Q$6:$Q$22*(1-($A1919/固有振動数!$O$6:$O$22)^2)/((1-($A1919/固有振動数!$O$6:$O$22)^2)^2+固有振動数!$P$6:$P$22^2))</f>
        <v>-10.4594357357745</v>
      </c>
      <c r="C1919" s="127" t="n">
        <f aca="false">-SUMPRODUCT(固有振動数!$Q$6:$Q$22*固有振動数!$P$6:$P$22/((1-($A1919/固有振動数!$O$6:$O$22)^2)^2+固有振動数!$P$6:$P$22^2))</f>
        <v>-3.3400051972313</v>
      </c>
      <c r="D1919" s="128" t="n">
        <f aca="false">SQRT(B1919^2+C1919^2)</f>
        <v>10.9797737056976</v>
      </c>
      <c r="E1919" s="129" t="n">
        <f aca="false">20*LOG10(MAX(D1919,0.000000000001)/$K$3)</f>
        <v>20.8118677870182</v>
      </c>
    </row>
    <row r="1920" customFormat="false" ht="15" hidden="false" customHeight="false" outlineLevel="0" collapsed="false">
      <c r="A1920" s="122" t="n">
        <f aca="false">A1919+$F$3</f>
        <v>19140</v>
      </c>
      <c r="B1920" s="123" t="n">
        <f aca="false">SUMPRODUCT(固有振動数!$Q$6:$Q$22*(1-($A1920/固有振動数!$O$6:$O$22)^2)/((1-($A1920/固有振動数!$O$6:$O$22)^2)^2+固有振動数!$P$6:$P$22^2))</f>
        <v>-10.3015739412241</v>
      </c>
      <c r="C1920" s="123" t="n">
        <f aca="false">-SUMPRODUCT(固有振動数!$Q$6:$Q$22*固有振動数!$P$6:$P$22/((1-($A1920/固有振動数!$O$6:$O$22)^2)^2+固有振動数!$P$6:$P$22^2))</f>
        <v>-3.29800492643074</v>
      </c>
      <c r="D1920" s="124" t="n">
        <f aca="false">SQRT(B1920^2+C1920^2)</f>
        <v>10.8166197197308</v>
      </c>
      <c r="E1920" s="125" t="n">
        <f aca="false">20*LOG10(MAX(D1920,0.000000000001)/$K$3)</f>
        <v>20.6818312294018</v>
      </c>
    </row>
    <row r="1921" customFormat="false" ht="15" hidden="false" customHeight="false" outlineLevel="0" collapsed="false">
      <c r="A1921" s="126" t="n">
        <f aca="false">A1920+$F$3</f>
        <v>19150</v>
      </c>
      <c r="B1921" s="127" t="n">
        <f aca="false">SUMPRODUCT(固有振動数!$Q$6:$Q$22*(1-($A1921/固有振動数!$O$6:$O$22)^2)/((1-($A1921/固有振動数!$O$6:$O$22)^2)^2+固有振動数!$P$6:$P$22^2))</f>
        <v>-10.145627540879</v>
      </c>
      <c r="C1921" s="127" t="n">
        <f aca="false">-SUMPRODUCT(固有振動数!$Q$6:$Q$22*固有振動数!$P$6:$P$22/((1-($A1921/固有振動数!$O$6:$O$22)^2)^2+固有振動数!$P$6:$P$22^2))</f>
        <v>-3.25716266389587</v>
      </c>
      <c r="D1921" s="128" t="n">
        <f aca="false">SQRT(B1921^2+C1921^2)</f>
        <v>10.65564952583</v>
      </c>
      <c r="E1921" s="129" t="n">
        <f aca="false">20*LOG10(MAX(D1921,0.000000000001)/$K$3)</f>
        <v>20.5515985542775</v>
      </c>
    </row>
    <row r="1922" customFormat="false" ht="15" hidden="false" customHeight="false" outlineLevel="0" collapsed="false">
      <c r="A1922" s="122" t="n">
        <f aca="false">A1921+$F$3</f>
        <v>19160</v>
      </c>
      <c r="B1922" s="123" t="n">
        <f aca="false">SUMPRODUCT(固有振動数!$Q$6:$Q$22*(1-($A1922/固有振動数!$O$6:$O$22)^2)/((1-($A1922/固有振動数!$O$6:$O$22)^2)^2+固有振動数!$P$6:$P$22^2))</f>
        <v>-9.99155120086018</v>
      </c>
      <c r="C1922" s="123" t="n">
        <f aca="false">-SUMPRODUCT(固有振動数!$Q$6:$Q$22*固有振動数!$P$6:$P$22/((1-($A1922/固有振動数!$O$6:$O$22)^2)^2+固有振動数!$P$6:$P$22^2))</f>
        <v>-3.21744079801659</v>
      </c>
      <c r="D1922" s="124" t="n">
        <f aca="false">SQRT(B1922^2+C1922^2)</f>
        <v>10.4968100243908</v>
      </c>
      <c r="E1922" s="125" t="n">
        <f aca="false">20*LOG10(MAX(D1922,0.000000000001)/$K$3)</f>
        <v>20.4211467446509</v>
      </c>
    </row>
    <row r="1923" customFormat="false" ht="15" hidden="false" customHeight="false" outlineLevel="0" collapsed="false">
      <c r="A1923" s="126" t="n">
        <f aca="false">A1922+$F$3</f>
        <v>19170</v>
      </c>
      <c r="B1923" s="127" t="n">
        <f aca="false">SUMPRODUCT(固有振動数!$Q$6:$Q$22*(1-($A1923/固有振動数!$O$6:$O$22)^2)/((1-($A1923/固有振動数!$O$6:$O$22)^2)^2+固有振動数!$P$6:$P$22^2))</f>
        <v>-9.83930080941545</v>
      </c>
      <c r="C1923" s="127" t="n">
        <f aca="false">-SUMPRODUCT(固有振動数!$Q$6:$Q$22*固有振動数!$P$6:$P$22/((1-($A1923/固有振動数!$O$6:$O$22)^2)^2+固有振動数!$P$6:$P$22^2))</f>
        <v>-3.17880332733235</v>
      </c>
      <c r="D1923" s="128" t="n">
        <f aca="false">SQRT(B1923^2+C1923^2)</f>
        <v>10.3400498553935</v>
      </c>
      <c r="E1923" s="129" t="n">
        <f aca="false">20*LOG10(MAX(D1923,0.000000000001)/$K$3)</f>
        <v>20.2904526549846</v>
      </c>
    </row>
    <row r="1924" customFormat="false" ht="15" hidden="false" customHeight="false" outlineLevel="0" collapsed="false">
      <c r="A1924" s="122" t="n">
        <f aca="false">A1923+$F$3</f>
        <v>19180</v>
      </c>
      <c r="B1924" s="123" t="n">
        <f aca="false">SUMPRODUCT(固有振動数!$Q$6:$Q$22*(1-($A1924/固有振動数!$O$6:$O$22)^2)/((1-($A1924/固有振動数!$O$6:$O$22)^2)^2+固有振動数!$P$6:$P$22^2))</f>
        <v>-9.68883343717895</v>
      </c>
      <c r="C1924" s="123" t="n">
        <f aca="false">-SUMPRODUCT(固有振動数!$Q$6:$Q$22*固有振動数!$P$6:$P$22/((1-($A1924/固有振動数!$O$6:$O$22)^2)^2+固有振動数!$P$6:$P$22^2))</f>
        <v>-3.1412157803546</v>
      </c>
      <c r="D1924" s="124" t="n">
        <f aca="false">SQRT(B1924^2+C1924^2)</f>
        <v>10.1853193348145</v>
      </c>
      <c r="E1924" s="125" t="n">
        <f aca="false">20*LOG10(MAX(D1924,0.000000000001)/$K$3)</f>
        <v>20.159492994998</v>
      </c>
    </row>
    <row r="1925" customFormat="false" ht="15" hidden="false" customHeight="false" outlineLevel="0" collapsed="false">
      <c r="A1925" s="126" t="n">
        <f aca="false">A1924+$F$3</f>
        <v>19190</v>
      </c>
      <c r="B1925" s="127" t="n">
        <f aca="false">SUMPRODUCT(固有振動数!$Q$6:$Q$22*(1-($A1925/固有振動数!$O$6:$O$22)^2)/((1-($A1925/固有振動数!$O$6:$O$22)^2)^2+固有振動数!$P$6:$P$22^2))</f>
        <v>-9.54010729865062</v>
      </c>
      <c r="C1925" s="127" t="n">
        <f aca="false">-SUMPRODUCT(固有振動数!$Q$6:$Q$22*固有振動数!$P$6:$P$22/((1-($A1925/固有振動数!$O$6:$O$22)^2)^2+固有振動数!$P$6:$P$22^2))</f>
        <v>-3.10464514002662</v>
      </c>
      <c r="D1925" s="128" t="n">
        <f aca="false">SQRT(B1925^2+C1925^2)</f>
        <v>10.0325703942339</v>
      </c>
      <c r="E1925" s="129" t="n">
        <f aca="false">20*LOG10(MAX(D1925,0.000000000001)/$K$3)</f>
        <v>20.0282443134852</v>
      </c>
    </row>
    <row r="1926" customFormat="false" ht="15" hidden="false" customHeight="false" outlineLevel="0" collapsed="false">
      <c r="A1926" s="122" t="n">
        <f aca="false">A1925+$F$3</f>
        <v>19200</v>
      </c>
      <c r="B1926" s="123" t="n">
        <f aca="false">SUMPRODUCT(固有振動数!$Q$6:$Q$22*(1-($A1926/固有振動数!$O$6:$O$22)^2)/((1-($A1926/固有振動数!$O$6:$O$22)^2)^2+固有振動数!$P$6:$P$22^2))</f>
        <v>-9.39308171487669</v>
      </c>
      <c r="C1926" s="123" t="n">
        <f aca="false">-SUMPRODUCT(固有振動数!$Q$6:$Q$22*固有振動数!$P$6:$P$22/((1-($A1926/固有振動数!$O$6:$O$22)^2)^2+固有振動数!$P$6:$P$22^2))</f>
        <v>-3.06905977252124</v>
      </c>
      <c r="D1926" s="124" t="n">
        <f aca="false">SQRT(B1926^2+C1926^2)</f>
        <v>9.88175652349616</v>
      </c>
      <c r="E1926" s="125" t="n">
        <f aca="false">20*LOG10(MAX(D1926,0.000000000001)/$K$3)</f>
        <v>19.8966829821533</v>
      </c>
    </row>
    <row r="1927" customFormat="false" ht="15" hidden="false" customHeight="false" outlineLevel="0" collapsed="false">
      <c r="A1927" s="126" t="n">
        <f aca="false">A1926+$F$3</f>
        <v>19210</v>
      </c>
      <c r="B1927" s="127" t="n">
        <f aca="false">SUMPRODUCT(固有振動数!$Q$6:$Q$22*(1-($A1927/固有振動数!$O$6:$O$22)^2)/((1-($A1927/固有振動数!$O$6:$O$22)^2)^2+固有振動数!$P$6:$P$22^2))</f>
        <v>-9.24771707730892</v>
      </c>
      <c r="C1927" s="127" t="n">
        <f aca="false">-SUMPRODUCT(固有振動数!$Q$6:$Q$22*固有振動数!$P$6:$P$22/((1-($A1927/固有振動数!$O$6:$O$22)^2)^2+固有振動数!$P$6:$P$22^2))</f>
        <v>-3.03442936009828</v>
      </c>
      <c r="D1927" s="128" t="n">
        <f aca="false">SQRT(B1927^2+C1927^2)</f>
        <v>9.73283271629476</v>
      </c>
      <c r="E1927" s="129" t="n">
        <f aca="false">20*LOG10(MAX(D1927,0.000000000001)/$K$3)</f>
        <v>19.7647851794886</v>
      </c>
    </row>
    <row r="1928" customFormat="false" ht="15" hidden="false" customHeight="false" outlineLevel="0" collapsed="false">
      <c r="A1928" s="122" t="n">
        <f aca="false">A1927+$F$3</f>
        <v>19220</v>
      </c>
      <c r="B1928" s="123" t="n">
        <f aca="false">SUMPRODUCT(固有振動数!$Q$6:$Q$22*(1-($A1928/固有振動数!$O$6:$O$22)^2)/((1-($A1928/固有振動数!$O$6:$O$22)^2)^2+固有振動数!$P$6:$P$22^2))</f>
        <v>-9.10397481281804</v>
      </c>
      <c r="C1928" s="123" t="n">
        <f aca="false">-SUMPRODUCT(固有振動数!$Q$6:$Q$22*固有振動数!$P$6:$P$22/((1-($A1928/固有振動数!$O$6:$O$22)^2)^2+固有振動数!$P$6:$P$22^2))</f>
        <v>-3.00072483776314</v>
      </c>
      <c r="D1928" s="124" t="n">
        <f aca="false">SQRT(B1928^2+C1928^2)</f>
        <v>9.58575541855694</v>
      </c>
      <c r="E1928" s="125" t="n">
        <f aca="false">20*LOG10(MAX(D1928,0.000000000001)/$K$3)</f>
        <v>19.6325268746589</v>
      </c>
    </row>
    <row r="1929" customFormat="false" ht="15" hidden="false" customHeight="false" outlineLevel="0" collapsed="false">
      <c r="A1929" s="126" t="n">
        <f aca="false">A1928+$F$3</f>
        <v>19230</v>
      </c>
      <c r="B1929" s="127" t="n">
        <f aca="false">SUMPRODUCT(固有振動数!$Q$6:$Q$22*(1-($A1929/固有振動数!$O$6:$O$22)^2)/((1-($A1929/固有振動数!$O$6:$O$22)^2)^2+固有振動数!$P$6:$P$22^2))</f>
        <v>-8.9618173498357</v>
      </c>
      <c r="C1929" s="127" t="n">
        <f aca="false">-SUMPRODUCT(固有振動数!$Q$6:$Q$22*固有振動数!$P$6:$P$22/((1-($A1929/固有振動数!$O$6:$O$22)^2)^2+固有振動数!$P$6:$P$22^2))</f>
        <v>-2.9679183334863</v>
      </c>
      <c r="D1929" s="128" t="n">
        <f aca="false">SQRT(B1929^2+C1929^2)</f>
        <v>9.44048247951662</v>
      </c>
      <c r="E1929" s="129" t="n">
        <f aca="false">20*LOG10(MAX(D1929,0.000000000001)/$K$3)</f>
        <v>19.4998838114638</v>
      </c>
    </row>
    <row r="1930" customFormat="false" ht="15" hidden="false" customHeight="false" outlineLevel="0" collapsed="false">
      <c r="A1930" s="122" t="n">
        <f aca="false">A1929+$F$3</f>
        <v>19240</v>
      </c>
      <c r="B1930" s="123" t="n">
        <f aca="false">SUMPRODUCT(固有振動数!$Q$6:$Q$22*(1-($A1930/固有振動数!$O$6:$O$22)^2)/((1-($A1930/固有振動数!$O$6:$O$22)^2)^2+固有振動数!$P$6:$P$22^2))</f>
        <v>-8.82120808559738</v>
      </c>
      <c r="C1930" s="123" t="n">
        <f aca="false">-SUMPRODUCT(固有振動数!$Q$6:$Q$22*固有振動数!$P$6:$P$22/((1-($A1930/固有振動数!$O$6:$O$22)^2)^2+固有振動数!$P$6:$P$22^2))</f>
        <v>-2.93598311176016</v>
      </c>
      <c r="D1930" s="124" t="n">
        <f aca="false">SQRT(B1930^2+C1930^2)</f>
        <v>9.29697310536873</v>
      </c>
      <c r="E1930" s="125" t="n">
        <f aca="false">20*LOG10(MAX(D1930,0.000000000001)/$K$3)</f>
        <v>19.3668314923491</v>
      </c>
    </row>
    <row r="1931" customFormat="false" ht="15" hidden="false" customHeight="false" outlineLevel="0" collapsed="false">
      <c r="A1931" s="126" t="n">
        <f aca="false">A1930+$F$3</f>
        <v>19250</v>
      </c>
      <c r="B1931" s="127" t="n">
        <f aca="false">SUMPRODUCT(固有振動数!$Q$6:$Q$22*(1-($A1931/固有振動数!$O$6:$O$22)^2)/((1-($A1931/固有振動数!$O$6:$O$22)^2)^2+固有振動数!$P$6:$P$22^2))</f>
        <v>-8.68211135445775</v>
      </c>
      <c r="C1931" s="127" t="n">
        <f aca="false">-SUMPRODUCT(固有振動数!$Q$6:$Q$22*固有振動数!$P$6:$P$22/((1-($A1931/固有振動数!$O$6:$O$22)^2)^2+固有振動数!$P$6:$P$22^2))</f>
        <v>-2.90489352028506</v>
      </c>
      <c r="D1931" s="128" t="n">
        <f aca="false">SQRT(B1931^2+C1931^2)</f>
        <v>9.15518781540818</v>
      </c>
      <c r="E1931" s="129" t="n">
        <f aca="false">20*LOG10(MAX(D1931,0.000000000001)/$K$3)</f>
        <v>19.2333451625057</v>
      </c>
    </row>
    <row r="1932" customFormat="false" ht="15" hidden="false" customHeight="false" outlineLevel="0" collapsed="false">
      <c r="A1932" s="122" t="n">
        <f aca="false">A1931+$F$3</f>
        <v>19260</v>
      </c>
      <c r="B1932" s="123" t="n">
        <f aca="false">SUMPRODUCT(固有振動数!$Q$6:$Q$22*(1-($A1932/固有振動数!$O$6:$O$22)^2)/((1-($A1932/固有振動数!$O$6:$O$22)^2)^2+固有振動数!$P$6:$P$22^2))</f>
        <v>-8.54449239724995</v>
      </c>
      <c r="C1932" s="123" t="n">
        <f aca="false">-SUMPRODUCT(固有振動数!$Q$6:$Q$22*固有振動数!$P$6:$P$22/((1-($A1932/固有振動数!$O$6:$O$22)^2)^2+固有振動数!$P$6:$P$22^2))</f>
        <v>-2.87462493959091</v>
      </c>
      <c r="D1932" s="124" t="n">
        <f aca="false">SQRT(B1932^2+C1932^2)</f>
        <v>9.01508840056381</v>
      </c>
      <c r="E1932" s="125" t="n">
        <f aca="false">20*LOG10(MAX(D1932,0.000000000001)/$K$3)</f>
        <v>19.0993997940776</v>
      </c>
    </row>
    <row r="1933" customFormat="false" ht="15" hidden="false" customHeight="false" outlineLevel="0" collapsed="false">
      <c r="A1933" s="126" t="n">
        <f aca="false">A1932+$F$3</f>
        <v>19270</v>
      </c>
      <c r="B1933" s="127" t="n">
        <f aca="false">SUMPRODUCT(固有振動数!$Q$6:$Q$22*(1-($A1933/固有振動数!$O$6:$O$22)^2)/((1-($A1933/固有振動数!$O$6:$O$22)^2)^2+固有振動数!$P$6:$P$22^2))</f>
        <v>-8.4083173316583</v>
      </c>
      <c r="C1933" s="127" t="n">
        <f aca="false">-SUMPRODUCT(固有振動数!$Q$6:$Q$22*固有振動数!$P$6:$P$22/((1-($A1933/固有振動数!$O$6:$O$22)^2)^2+固有振動数!$P$6:$P$22^2))</f>
        <v>-2.84515373541392</v>
      </c>
      <c r="D1933" s="128" t="n">
        <f aca="false">SQRT(B1933^2+C1933^2)</f>
        <v>8.87663788424452</v>
      </c>
      <c r="E1933" s="129" t="n">
        <f aca="false">20*LOG10(MAX(D1933,0.000000000001)/$K$3)</f>
        <v>18.9649700705086</v>
      </c>
    </row>
    <row r="1934" customFormat="false" ht="15" hidden="false" customHeight="false" outlineLevel="0" collapsed="false">
      <c r="A1934" s="122" t="n">
        <f aca="false">A1933+$F$3</f>
        <v>19280</v>
      </c>
      <c r="B1934" s="123" t="n">
        <f aca="false">SUMPRODUCT(固有振動数!$Q$6:$Q$22*(1-($A1934/固有振動数!$O$6:$O$22)^2)/((1-($A1934/固有振動数!$O$6:$O$22)^2)^2+固有振動数!$P$6:$P$22^2))</f>
        <v>-8.27355312357594</v>
      </c>
      <c r="C1934" s="123" t="n">
        <f aca="false">-SUMPRODUCT(固有振動数!$Q$6:$Q$22*固有振動数!$P$6:$P$22/((1-($A1934/固有振動数!$O$6:$O$22)^2)^2+固有振動数!$P$6:$P$22^2))</f>
        <v>-2.81645721366028</v>
      </c>
      <c r="D1934" s="124" t="n">
        <f aca="false">SQRT(B1934^2+C1934^2)</f>
        <v>8.7398004854237</v>
      </c>
      <c r="E1934" s="125" t="n">
        <f aca="false">20*LOG10(MAX(D1934,0.000000000001)/$K$3)</f>
        <v>18.8300303710667</v>
      </c>
    </row>
    <row r="1935" customFormat="false" ht="15" hidden="false" customHeight="false" outlineLevel="0" collapsed="false">
      <c r="A1935" s="126" t="n">
        <f aca="false">A1934+$F$3</f>
        <v>19290</v>
      </c>
      <c r="B1935" s="127" t="n">
        <f aca="false">SUMPRODUCT(固有振動数!$Q$6:$Q$22*(1-($A1935/固有振動数!$O$6:$O$22)^2)/((1-($A1935/固有振動数!$O$6:$O$22)^2)^2+固有振動数!$P$6:$P$22^2))</f>
        <v>-8.1401675594166</v>
      </c>
      <c r="C1935" s="127" t="n">
        <f aca="false">-SUMPRODUCT(固有振動数!$Q$6:$Q$22*固有振動数!$P$6:$P$22/((1-($A1935/固有振動数!$O$6:$O$22)^2)^2+固有振動数!$P$6:$P$22^2))</f>
        <v>-2.78851357780014</v>
      </c>
      <c r="D1935" s="128" t="n">
        <f aca="false">SQRT(B1935^2+C1935^2)</f>
        <v>8.6045415838936</v>
      </c>
      <c r="E1935" s="129" t="n">
        <f aca="false">20*LOG10(MAX(D1935,0.000000000001)/$K$3)</f>
        <v>18.6945547555874</v>
      </c>
    </row>
    <row r="1936" customFormat="false" ht="15" hidden="false" customHeight="false" outlineLevel="0" collapsed="false">
      <c r="A1936" s="122" t="n">
        <f aca="false">A1935+$F$3</f>
        <v>19300</v>
      </c>
      <c r="B1936" s="123" t="n">
        <f aca="false">SUMPRODUCT(固有振動数!$Q$6:$Q$22*(1-($A1936/固有振動数!$O$6:$O$22)^2)/((1-($A1936/固有振動数!$O$6:$O$22)^2)^2+固有振動数!$P$6:$P$22^2))</f>
        <v>-8.00812921935117</v>
      </c>
      <c r="C1936" s="123" t="n">
        <f aca="false">-SUMPRODUCT(固有振動数!$Q$6:$Q$22*固有振動数!$P$6:$P$22/((1-($A1936/固有振動数!$O$6:$O$22)^2)^2+固有振動数!$P$6:$P$22^2))</f>
        <v>-2.76130188854551</v>
      </c>
      <c r="D1936" s="124" t="n">
        <f aca="false">SQRT(B1936^2+C1936^2)</f>
        <v>8.47082768762952</v>
      </c>
      <c r="E1936" s="125" t="n">
        <f aca="false">20*LOG10(MAX(D1936,0.000000000001)/$K$3)</f>
        <v>18.5585169494906</v>
      </c>
    </row>
    <row r="1937" customFormat="false" ht="15" hidden="false" customHeight="false" outlineLevel="0" collapsed="false">
      <c r="A1937" s="126" t="n">
        <f aca="false">A1936+$F$3</f>
        <v>19310</v>
      </c>
      <c r="B1937" s="127" t="n">
        <f aca="false">SUMPRODUCT(固有振動数!$Q$6:$Q$22*(1-($A1937/固有振動数!$O$6:$O$22)^2)/((1-($A1937/固有振動数!$O$6:$O$22)^2)^2+固有振動数!$P$6:$P$22^2))</f>
        <v>-7.87740745143952</v>
      </c>
      <c r="C1937" s="127" t="n">
        <f aca="false">-SUMPRODUCT(固有振動数!$Q$6:$Q$22*固有振動数!$P$6:$P$22/((1-($A1937/固有振動数!$O$6:$O$22)^2)^2+固有振動数!$P$6:$P$22^2))</f>
        <v>-2.73480202567576</v>
      </c>
      <c r="D1937" s="128" t="n">
        <f aca="false">SQRT(B1937^2+C1937^2)</f>
        <v>8.33862640221009</v>
      </c>
      <c r="E1937" s="129" t="n">
        <f aca="false">20*LOG10(MAX(D1937,0.000000000001)/$K$3)</f>
        <v>18.4218903291302</v>
      </c>
    </row>
    <row r="1938" customFormat="false" ht="15" hidden="false" customHeight="false" outlineLevel="0" collapsed="false">
      <c r="A1938" s="122" t="n">
        <f aca="false">A1937+$F$3</f>
        <v>19320</v>
      </c>
      <c r="B1938" s="123" t="n">
        <f aca="false">SUMPRODUCT(固有振動数!$Q$6:$Q$22*(1-($A1938/固有振動数!$O$6:$O$22)^2)/((1-($A1938/固有振動数!$O$6:$O$22)^2)^2+固有振動数!$P$6:$P$22^2))</f>
        <v>-7.74797234662868</v>
      </c>
      <c r="C1938" s="123" t="n">
        <f aca="false">-SUMPRODUCT(固有振動数!$Q$6:$Q$22*固有振動数!$P$6:$P$22/((1-($A1938/固有振動数!$O$6:$O$22)^2)^2+固有振動数!$P$6:$P$22^2))</f>
        <v>-2.70899465188332</v>
      </c>
      <c r="D1938" s="124" t="n">
        <f aca="false">SQRT(B1938^2+C1938^2)</f>
        <v>8.20790640224747</v>
      </c>
      <c r="E1938" s="125" t="n">
        <f aca="false">20*LOG10(MAX(D1938,0.000000000001)/$K$3)</f>
        <v>18.2846479075497</v>
      </c>
    </row>
    <row r="1939" customFormat="false" ht="15" hidden="false" customHeight="false" outlineLevel="0" collapsed="false">
      <c r="A1939" s="126" t="n">
        <f aca="false">A1938+$F$3</f>
        <v>19330</v>
      </c>
      <c r="B1939" s="127" t="n">
        <f aca="false">SUMPRODUCT(固有振動数!$Q$6:$Q$22*(1-($A1939/固有振動数!$O$6:$O$22)^2)/((1-($A1939/固有振動数!$O$6:$O$22)^2)^2+固有振動数!$P$6:$P$22^2))</f>
        <v>-7.61979471458807</v>
      </c>
      <c r="C1939" s="127" t="n">
        <f aca="false">-SUMPRODUCT(固有振動数!$Q$6:$Q$22*固有振動数!$P$6:$P$22/((1-($A1939/固有振動数!$O$6:$O$22)^2)^2+固有振動数!$P$6:$P$22^2))</f>
        <v>-2.68386117852059</v>
      </c>
      <c r="D1939" s="128" t="n">
        <f aca="false">SQRT(B1939^2+C1939^2)</f>
        <v>8.07863740478766</v>
      </c>
      <c r="E1939" s="129" t="n">
        <f aca="false">20*LOG10(MAX(D1939,0.000000000001)/$K$3)</f>
        <v>18.1467623207277</v>
      </c>
    </row>
    <row r="1940" customFormat="false" ht="15" hidden="false" customHeight="false" outlineLevel="0" collapsed="false">
      <c r="A1940" s="122" t="n">
        <f aca="false">A1939+$F$3</f>
        <v>19340</v>
      </c>
      <c r="B1940" s="123" t="n">
        <f aca="false">SUMPRODUCT(固有振動数!$Q$6:$Q$22*(1-($A1940/固有振動数!$O$6:$O$22)^2)/((1-($A1940/固有振動数!$O$6:$O$22)^2)^2+固有振動数!$P$6:$P$22^2))</f>
        <v>-7.49284606035409</v>
      </c>
      <c r="C1940" s="123" t="n">
        <f aca="false">-SUMPRODUCT(固有振動数!$Q$6:$Q$22*固有振動数!$P$6:$P$22/((1-($A1940/固有振動数!$O$6:$O$22)^2)^2+固有振動数!$P$6:$P$22^2))</f>
        <v>-2.65938373313701</v>
      </c>
      <c r="D1940" s="124" t="n">
        <f aca="false">SQRT(B1940^2+C1940^2)</f>
        <v>7.95079014464837</v>
      </c>
      <c r="E1940" s="125" t="n">
        <f aca="false">20*LOG10(MAX(D1940,0.000000000001)/$K$3)</f>
        <v>18.0082058144095</v>
      </c>
    </row>
    <row r="1941" customFormat="false" ht="15" hidden="false" customHeight="false" outlineLevel="0" collapsed="false">
      <c r="A1941" s="126" t="n">
        <f aca="false">A1940+$F$3</f>
        <v>19350</v>
      </c>
      <c r="B1941" s="127" t="n">
        <f aca="false">SUMPRODUCT(固有振動数!$Q$6:$Q$22*(1-($A1941/固有振動数!$O$6:$O$22)^2)/((1-($A1941/固有振動数!$O$6:$O$22)^2)^2+固有振動数!$P$6:$P$22^2))</f>
        <v>-7.36709856175605</v>
      </c>
      <c r="C1941" s="127" t="n">
        <f aca="false">-SUMPRODUCT(固有振動数!$Q$6:$Q$22*固有振動数!$P$6:$P$22/((1-($A1941/固有振動数!$O$6:$O$22)^2)^2+固有振動数!$P$6:$P$22^2))</f>
        <v>-2.63554512870222</v>
      </c>
      <c r="D1941" s="128" t="n">
        <f aca="false">SQRT(B1941^2+C1941^2)</f>
        <v>7.82433635166932</v>
      </c>
      <c r="E1941" s="129" t="n">
        <f aca="false">20*LOG10(MAX(D1941,0.000000000001)/$K$3)</f>
        <v>17.8689502316394</v>
      </c>
    </row>
    <row r="1942" customFormat="false" ht="15" hidden="false" customHeight="false" outlineLevel="0" collapsed="false">
      <c r="A1942" s="122" t="n">
        <f aca="false">A1941+$F$3</f>
        <v>19360</v>
      </c>
      <c r="B1942" s="123" t="n">
        <f aca="false">SUMPRODUCT(固有振動数!$Q$6:$Q$22*(1-($A1942/固有振動数!$O$6:$O$22)^2)/((1-($A1942/固有振動数!$O$6:$O$22)^2)^2+固有振動数!$P$6:$P$22^2))</f>
        <v>-7.24252504759646</v>
      </c>
      <c r="C1942" s="123" t="n">
        <f aca="false">-SUMPRODUCT(固有振動数!$Q$6:$Q$22*固有振動数!$P$6:$P$22/((1-($A1942/固有振動数!$O$6:$O$22)^2)^2+固有振動数!$P$6:$P$22^2))</f>
        <v>-2.61232883441832</v>
      </c>
      <c r="D1942" s="124" t="n">
        <f aca="false">SQRT(B1942^2+C1942^2)</f>
        <v>7.6992487298564</v>
      </c>
      <c r="E1942" s="125" t="n">
        <f aca="false">20*LOG10(MAX(D1942,0.000000000001)/$K$3)</f>
        <v>17.7289670011233</v>
      </c>
    </row>
    <row r="1943" customFormat="false" ht="15" hidden="false" customHeight="false" outlineLevel="0" collapsed="false">
      <c r="A1943" s="126" t="n">
        <f aca="false">A1942+$F$3</f>
        <v>19370</v>
      </c>
      <c r="B1943" s="127" t="n">
        <f aca="false">SUMPRODUCT(固有振動数!$Q$6:$Q$22*(1-($A1943/固有振動数!$O$6:$O$22)^2)/((1-($A1943/固有振動数!$O$6:$O$22)^2)^2+固有振動数!$P$6:$P$22^2))</f>
        <v>-7.11909897655907</v>
      </c>
      <c r="C1943" s="127" t="n">
        <f aca="false">-SUMPRODUCT(固有振動数!$Q$6:$Q$22*固有振動数!$P$6:$P$22/((1-($A1943/固有振動数!$O$6:$O$22)^2)^2+固有振動数!$P$6:$P$22^2))</f>
        <v>-2.58971894803023</v>
      </c>
      <c r="D1943" s="128" t="n">
        <f aca="false">SQRT(B1943^2+C1943^2)</f>
        <v>7.57550093840871</v>
      </c>
      <c r="E1943" s="129" t="n">
        <f aca="false">20*LOG10(MAX(D1943,0.000000000001)/$K$3)</f>
        <v>17.588227126572</v>
      </c>
    </row>
    <row r="1944" customFormat="false" ht="15" hidden="false" customHeight="false" outlineLevel="0" collapsed="false">
      <c r="A1944" s="122" t="n">
        <f aca="false">A1943+$F$3</f>
        <v>19380</v>
      </c>
      <c r="B1944" s="123" t="n">
        <f aca="false">SUMPRODUCT(固有振動数!$Q$6:$Q$22*(1-($A1944/固有振動数!$O$6:$O$22)^2)/((1-($A1944/固有振動数!$O$6:$O$22)^2)^2+固有振動数!$P$6:$P$22^2))</f>
        <v>-6.9967944168192</v>
      </c>
      <c r="C1944" s="123" t="n">
        <f aca="false">-SUMPRODUCT(固有振動数!$Q$6:$Q$22*固有振動数!$P$6:$P$22/((1-($A1944/固有振動数!$O$6:$O$22)^2)^2+固有振動数!$P$6:$P$22^2))</f>
        <v>-2.56770016954918</v>
      </c>
      <c r="D1944" s="124" t="n">
        <f aca="false">SQRT(B1944^2+C1944^2)</f>
        <v>7.45306757462558</v>
      </c>
      <c r="E1944" s="125" t="n">
        <f aca="false">20*LOG10(MAX(D1944,0.000000000001)/$K$3)</f>
        <v>17.4467011771985</v>
      </c>
    </row>
    <row r="1945" customFormat="false" ht="15" hidden="false" customHeight="false" outlineLevel="0" collapsed="false">
      <c r="A1945" s="126" t="n">
        <f aca="false">A1944+$F$3</f>
        <v>19390</v>
      </c>
      <c r="B1945" s="127" t="n">
        <f aca="false">SUMPRODUCT(固有振動数!$Q$6:$Q$22*(1-($A1945/固有振動数!$O$6:$O$22)^2)/((1-($A1945/固有振動数!$O$6:$O$22)^2)^2+固有振動数!$P$6:$P$22^2))</f>
        <v>-6.87558602633078</v>
      </c>
      <c r="C1945" s="127" t="n">
        <f aca="false">-SUMPRODUCT(固有振動数!$Q$6:$Q$22*固有振動数!$P$6:$P$22/((1-($A1945/固有振動数!$O$6:$O$22)^2)^2+固有振動数!$P$6:$P$22^2))</f>
        <v>-2.54625777630957</v>
      </c>
      <c r="D1945" s="128" t="n">
        <f aca="false">SQRT(B1945^2+C1945^2)</f>
        <v>7.3319241586975</v>
      </c>
      <c r="E1945" s="129" t="n">
        <f aca="false">20*LOG10(MAX(D1945,0.000000000001)/$K$3)</f>
        <v>17.3043592795692</v>
      </c>
    </row>
    <row r="1946" customFormat="false" ht="15" hidden="false" customHeight="false" outlineLevel="0" collapsed="false">
      <c r="A1946" s="122" t="n">
        <f aca="false">A1945+$F$3</f>
        <v>19400</v>
      </c>
      <c r="B1946" s="123" t="n">
        <f aca="false">SUMPRODUCT(固有振動数!$Q$6:$Q$22*(1-($A1946/固有振動数!$O$6:$O$22)^2)/((1-($A1946/固有振動数!$O$6:$O$22)^2)^2+固有振動数!$P$6:$P$22^2))</f>
        <v>-6.75544903376582</v>
      </c>
      <c r="C1946" s="123" t="n">
        <f aca="false">-SUMPRODUCT(固有振動数!$Q$6:$Q$22*固有振動数!$P$6:$P$22/((1-($A1946/固有振動数!$O$6:$O$22)^2)^2+固有振動数!$P$6:$P$22^2))</f>
        <v>-2.52537759928463</v>
      </c>
      <c r="D1946" s="124" t="n">
        <f aca="false">SQRT(B1946^2+C1946^2)</f>
        <v>7.2120471203935</v>
      </c>
      <c r="E1946" s="125" t="n">
        <f aca="false">20*LOG10(MAX(D1946,0.000000000001)/$K$3)</f>
        <v>17.1611711110351</v>
      </c>
    </row>
    <row r="1947" customFormat="false" ht="15" hidden="false" customHeight="false" outlineLevel="0" collapsed="false">
      <c r="A1947" s="126" t="n">
        <f aca="false">A1946+$F$3</f>
        <v>19410</v>
      </c>
      <c r="B1947" s="127" t="n">
        <f aca="false">SUMPRODUCT(固有振動数!$Q$6:$Q$22*(1-($A1947/固有振動数!$O$6:$O$22)^2)/((1-($A1947/固有振動数!$O$6:$O$22)^2)^2+固有振動数!$P$6:$P$22^2))</f>
        <v>-6.63635922008294</v>
      </c>
      <c r="C1947" s="127" t="n">
        <f aca="false">-SUMPRODUCT(固有振動数!$Q$6:$Q$22*固有振動数!$P$6:$P$22/((1-($A1947/固有振動数!$O$6:$O$22)^2)^2+固有振動数!$P$6:$P$22^2))</f>
        <v>-2.50504600059105</v>
      </c>
      <c r="D1947" s="128" t="n">
        <f aca="false">SQRT(B1947^2+C1947^2)</f>
        <v>7.09341378766649</v>
      </c>
      <c r="E1947" s="129" t="n">
        <f aca="false">20*LOG10(MAX(D1947,0.000000000001)/$K$3)</f>
        <v>17.0171058950071</v>
      </c>
    </row>
    <row r="1948" customFormat="false" ht="15" hidden="false" customHeight="false" outlineLevel="0" collapsed="false">
      <c r="A1948" s="122" t="n">
        <f aca="false">A1947+$F$3</f>
        <v>19420</v>
      </c>
      <c r="B1948" s="123" t="n">
        <f aca="false">SUMPRODUCT(固有振動数!$Q$6:$Q$22*(1-($A1948/固有振動数!$O$6:$O$22)^2)/((1-($A1948/固有振動数!$O$6:$O$22)^2)^2+固有振動数!$P$6:$P$22^2))</f>
        <v>-6.51829290070126</v>
      </c>
      <c r="C1948" s="123" t="n">
        <f aca="false">-SUMPRODUCT(固有振動数!$Q$6:$Q$22*固有振動数!$P$6:$P$22/((1-($A1948/固有振動数!$O$6:$O$22)^2)^2+固有振動数!$P$6:$P$22^2))</f>
        <v>-2.485249852117</v>
      </c>
      <c r="D1948" s="124" t="n">
        <f aca="false">SQRT(B1948^2+C1948^2)</f>
        <v>6.97600237720573</v>
      </c>
      <c r="E1948" s="125" t="n">
        <f aca="false">20*LOG10(MAX(D1948,0.000000000001)/$K$3)</f>
        <v>16.8721323983731</v>
      </c>
    </row>
    <row r="1949" customFormat="false" ht="15" hidden="false" customHeight="false" outlineLevel="0" collapsed="false">
      <c r="A1949" s="126" t="n">
        <f aca="false">A1948+$F$3</f>
        <v>19430</v>
      </c>
      <c r="B1949" s="127" t="n">
        <f aca="false">SUMPRODUCT(固有振動数!$Q$6:$Q$22*(1-($A1949/固有振動数!$O$6:$O$22)^2)/((1-($A1949/固有振動数!$O$6:$O$22)^2)^2+固有振動数!$P$6:$P$22^2))</f>
        <v>-6.40122690825794</v>
      </c>
      <c r="C1949" s="127" t="n">
        <f aca="false">-SUMPRODUCT(固有振動数!$Q$6:$Q$22*固有振動数!$P$6:$P$22/((1-($A1949/固有振動数!$O$6:$O$22)^2)^2+固有振動数!$P$6:$P$22^2))</f>
        <v>-2.46597651521201</v>
      </c>
      <c r="D1949" s="128" t="n">
        <f aca="false">SQRT(B1949^2+C1949^2)</f>
        <v>6.85979198697618</v>
      </c>
      <c r="E1949" s="129" t="n">
        <f aca="false">20*LOG10(MAX(D1949,0.000000000001)/$K$3)</f>
        <v>16.7262189314001</v>
      </c>
    </row>
    <row r="1950" customFormat="false" ht="15" hidden="false" customHeight="false" outlineLevel="0" collapsed="false">
      <c r="A1950" s="122" t="n">
        <f aca="false">A1949+$F$3</f>
        <v>19440</v>
      </c>
      <c r="B1950" s="123" t="n">
        <f aca="false">SUMPRODUCT(固有振動数!$Q$6:$Q$22*(1-($A1950/固有振動数!$O$6:$O$22)^2)/((1-($A1950/固有振動数!$O$6:$O$22)^2)^2+固有振動数!$P$6:$P$22^2))</f>
        <v>-6.28513857592739</v>
      </c>
      <c r="C1950" s="123" t="n">
        <f aca="false">-SUMPRODUCT(固有振動数!$Q$6:$Q$22*固有振動数!$P$6:$P$22/((1-($A1950/固有振動数!$O$6:$O$22)^2)^2+固有振動数!$P$6:$P$22^2))</f>
        <v>-2.44721382138123</v>
      </c>
      <c r="D1950" s="124" t="n">
        <f aca="false">SQRT(B1950^2+C1950^2)</f>
        <v>6.74476259079368</v>
      </c>
      <c r="E1950" s="125" t="n">
        <f aca="false">20*LOG10(MAX(D1950,0.000000000001)/$K$3)</f>
        <v>16.5793333505133</v>
      </c>
    </row>
    <row r="1951" customFormat="false" ht="15" hidden="false" customHeight="false" outlineLevel="0" collapsed="false">
      <c r="A1951" s="126" t="n">
        <f aca="false">A1950+$F$3</f>
        <v>19450</v>
      </c>
      <c r="B1951" s="127" t="n">
        <f aca="false">SUMPRODUCT(固有振動数!$Q$6:$Q$22*(1-($A1951/固有振動数!$O$6:$O$22)^2)/((1-($A1951/固有振動数!$O$6:$O$22)^2)^2+固有振動数!$P$6:$P$22^2))</f>
        <v>-6.17000572128127</v>
      </c>
      <c r="C1951" s="127" t="n">
        <f aca="false">-SUMPRODUCT(固有振動数!$Q$6:$Q$22*固有振動数!$P$6:$P$22/((1-($A1951/固有振動数!$O$6:$O$22)^2)^2+固有振動数!$P$6:$P$22^2))</f>
        <v>-2.42895005392988</v>
      </c>
      <c r="D1951" s="128" t="n">
        <f aca="false">SQRT(B1951^2+C1951^2)</f>
        <v>6.63089503499562</v>
      </c>
      <c r="E1951" s="129" t="n">
        <f aca="false">20*LOG10(MAX(D1951,0.000000000001)/$K$3)</f>
        <v>16.4314430643991</v>
      </c>
    </row>
    <row r="1952" customFormat="false" ht="15" hidden="false" customHeight="false" outlineLevel="0" collapsed="false">
      <c r="A1952" s="122" t="n">
        <f aca="false">A1951+$F$3</f>
        <v>19460</v>
      </c>
      <c r="B1952" s="123" t="n">
        <f aca="false">SUMPRODUCT(固有振動数!$Q$6:$Q$22*(1-($A1952/固有振動数!$O$6:$O$22)^2)/((1-($A1952/固有振動数!$O$6:$O$22)^2)^2+固有振動数!$P$6:$P$22^2))</f>
        <v>-6.05580663066934</v>
      </c>
      <c r="C1952" s="123" t="n">
        <f aca="false">-SUMPRODUCT(固有振動数!$Q$6:$Q$22*固有振動数!$P$6:$P$22/((1-($A1952/固有振動数!$O$6:$O$22)^2)^2+固有振動数!$P$6:$P$22^2))</f>
        <v>-2.41117393050712</v>
      </c>
      <c r="D1952" s="124" t="n">
        <f aca="false">SQRT(B1952^2+C1952^2)</f>
        <v>6.51817103727847</v>
      </c>
      <c r="E1952" s="125" t="n">
        <f aca="false">20*LOG10(MAX(D1952,0.000000000001)/$K$3)</f>
        <v>16.2825150439439</v>
      </c>
    </row>
    <row r="1953" customFormat="false" ht="15" hidden="false" customHeight="false" outlineLevel="0" collapsed="false">
      <c r="A1953" s="126" t="n">
        <f aca="false">A1952+$F$3</f>
        <v>19470</v>
      </c>
      <c r="B1953" s="127" t="n">
        <f aca="false">SUMPRODUCT(固有振動数!$Q$6:$Q$22*(1-($A1953/固有振動数!$O$6:$O$22)^2)/((1-($A1953/固有振動数!$O$6:$O$22)^2)^2+固有振動数!$P$6:$P$22^2))</f>
        <v>-5.942520044101</v>
      </c>
      <c r="C1953" s="127" t="n">
        <f aca="false">-SUMPRODUCT(固有振動数!$Q$6:$Q$22*固有振動数!$P$6:$P$22/((1-($A1953/固有振動数!$O$6:$O$22)^2)^2+固有振動数!$P$6:$P$22^2))</f>
        <v>-2.39387458650165</v>
      </c>
      <c r="D1953" s="128" t="n">
        <f aca="false">SQRT(B1953^2+C1953^2)</f>
        <v>6.40657318778461</v>
      </c>
      <c r="E1953" s="129" t="n">
        <f aca="false">20*LOG10(MAX(D1953,0.000000000001)/$K$3)</f>
        <v>16.1325158365898</v>
      </c>
    </row>
    <row r="1954" customFormat="false" ht="15" hidden="false" customHeight="false" outlineLevel="0" collapsed="false">
      <c r="A1954" s="122" t="n">
        <f aca="false">A1953+$F$3</f>
        <v>19480</v>
      </c>
      <c r="B1954" s="123" t="n">
        <f aca="false">SUMPRODUCT(固有振動数!$Q$6:$Q$22*(1-($A1954/固有振動数!$O$6:$O$22)^2)/((1-($A1954/固有振動数!$O$6:$O$22)^2)^2+固有振動数!$P$6:$P$22^2))</f>
        <v>-5.83012514060908</v>
      </c>
      <c r="C1954" s="123" t="n">
        <f aca="false">-SUMPRODUCT(固有振動数!$Q$6:$Q$22*固有振動数!$P$6:$P$22/((1-($A1954/固有振動数!$O$6:$O$22)^2)^2+固有振動数!$P$6:$P$22^2))</f>
        <v>-2.37704155924427</v>
      </c>
      <c r="D1954" s="124" t="n">
        <f aca="false">SQRT(B1954^2+C1954^2)</f>
        <v>6.2960849525349</v>
      </c>
      <c r="E1954" s="125" t="n">
        <f aca="false">20*LOG10(MAX(D1954,0.000000000001)/$K$3)</f>
        <v>15.9814115857756</v>
      </c>
    </row>
    <row r="1955" customFormat="false" ht="15" hidden="false" customHeight="false" outlineLevel="0" collapsed="false">
      <c r="A1955" s="126" t="n">
        <f aca="false">A1954+$F$3</f>
        <v>19490</v>
      </c>
      <c r="B1955" s="127" t="n">
        <f aca="false">SUMPRODUCT(固有振動数!$Q$6:$Q$22*(1-($A1955/固有振動数!$O$6:$O$22)^2)/((1-($A1955/固有振動数!$O$6:$O$22)^2)^2+固有振動数!$P$6:$P$22^2))</f>
        <v>-5.71860152407753</v>
      </c>
      <c r="C1955" s="127" t="n">
        <f aca="false">-SUMPRODUCT(固有振動数!$Q$6:$Q$22*固有振動数!$P$6:$P$22/((1-($A1955/固有振動数!$O$6:$O$22)^2)^2+固有振動数!$P$6:$P$22^2))</f>
        <v>-2.36066477297534</v>
      </c>
      <c r="D1955" s="128" t="n">
        <f aca="false">SQRT(B1955^2+C1955^2)</f>
        <v>6.18669067931706</v>
      </c>
      <c r="E1955" s="129" t="n">
        <f aca="false">20*LOG10(MAX(D1955,0.000000000001)/$K$3)</f>
        <v>15.8291680562205</v>
      </c>
    </row>
    <row r="1956" customFormat="false" ht="15" hidden="false" customHeight="false" outlineLevel="0" collapsed="false">
      <c r="A1956" s="122" t="n">
        <f aca="false">A1955+$F$3</f>
        <v>19500</v>
      </c>
      <c r="B1956" s="123" t="n">
        <f aca="false">SUMPRODUCT(固有振動数!$Q$6:$Q$22*(1-($A1956/固有振動数!$O$6:$O$22)^2)/((1-($A1956/固有振動数!$O$6:$O$22)^2)^2+固有振動数!$P$6:$P$22^2))</f>
        <v>-5.60792920951514</v>
      </c>
      <c r="C1956" s="123" t="n">
        <f aca="false">-SUMPRODUCT(固有振動数!$Q$6:$Q$22*固有振動数!$P$6:$P$22/((1-($A1956/固有振動数!$O$6:$O$22)^2)^2+固有振動数!$P$6:$P$22^2))</f>
        <v>-2.34473452453748</v>
      </c>
      <c r="D1956" s="124" t="n">
        <f aca="false">SQRT(B1956^2+C1956^2)</f>
        <v>6.07837560615426</v>
      </c>
      <c r="E1956" s="125" t="n">
        <f aca="false">20*LOG10(MAX(D1956,0.000000000001)/$K$3)</f>
        <v>15.6757506659151</v>
      </c>
    </row>
    <row r="1957" customFormat="false" ht="15" hidden="false" customHeight="false" outlineLevel="0" collapsed="false">
      <c r="A1957" s="126" t="n">
        <f aca="false">A1956+$F$3</f>
        <v>19510</v>
      </c>
      <c r="B1957" s="127" t="n">
        <f aca="false">SUMPRODUCT(固有振動数!$Q$6:$Q$22*(1-($A1957/固有振動数!$O$6:$O$22)^2)/((1-($A1957/固有振動数!$O$6:$O$22)^2)^2+固有振動数!$P$6:$P$22^2))</f>
        <v>-5.49808860975852</v>
      </c>
      <c r="C1957" s="127" t="n">
        <f aca="false">-SUMPRODUCT(固有振動数!$Q$6:$Q$22*固有振動数!$P$6:$P$22/((1-($A1957/固有振動数!$O$6:$O$22)^2)^2+固有振動数!$P$6:$P$22^2))</f>
        <v>-2.32924146975638</v>
      </c>
      <c r="D1957" s="128" t="n">
        <f aca="false">SQRT(B1957^2+C1957^2)</f>
        <v>5.97112587249584</v>
      </c>
      <c r="E1957" s="129" t="n">
        <f aca="false">20*LOG10(MAX(D1957,0.000000000001)/$K$3)</f>
        <v>15.52112452581</v>
      </c>
    </row>
    <row r="1958" customFormat="false" ht="15" hidden="false" customHeight="false" outlineLevel="0" collapsed="false">
      <c r="A1958" s="122" t="n">
        <f aca="false">A1957+$F$3</f>
        <v>19520</v>
      </c>
      <c r="B1958" s="123" t="n">
        <f aca="false">SUMPRODUCT(固有振動数!$Q$6:$Q$22*(1-($A1958/固有振動数!$O$6:$O$22)^2)/((1-($A1958/固有振動数!$O$6:$O$22)^2)^2+固有振動数!$P$6:$P$22^2))</f>
        <v>-5.3890605225877</v>
      </c>
      <c r="C1958" s="123" t="n">
        <f aca="false">-SUMPRODUCT(固有振動数!$Q$6:$Q$22*固有振動数!$P$6:$P$22/((1-($A1958/固有振動数!$O$6:$O$22)^2)^2+固有振動数!$P$6:$P$22^2))</f>
        <v>-2.31417661047476</v>
      </c>
      <c r="D1958" s="124" t="n">
        <f aca="false">SQRT(B1958^2+C1958^2)</f>
        <v>5.8649285332885</v>
      </c>
      <c r="E1958" s="125" t="n">
        <f aca="false">20*LOG10(MAX(D1958,0.000000000001)/$K$3)</f>
        <v>15.3652544883232</v>
      </c>
    </row>
    <row r="1959" customFormat="false" ht="15" hidden="false" customHeight="false" outlineLevel="0" collapsed="false">
      <c r="A1959" s="126" t="n">
        <f aca="false">A1958+$F$3</f>
        <v>19530</v>
      </c>
      <c r="B1959" s="127" t="n">
        <f aca="false">SUMPRODUCT(固有振動数!$Q$6:$Q$22*(1-($A1959/固有振動数!$O$6:$O$22)^2)/((1-($A1959/固有振動数!$O$6:$O$22)^2)^2+固有振動数!$P$6:$P$22^2))</f>
        <v>-5.28082611823848</v>
      </c>
      <c r="C1959" s="127" t="n">
        <f aca="false">-SUMPRODUCT(固有振動数!$Q$6:$Q$22*固有振動数!$P$6:$P$22/((1-($A1959/固有振動数!$O$6:$O$22)^2)^2+固有振動数!$P$6:$P$22^2))</f>
        <v>-2.29953128220637</v>
      </c>
      <c r="D1959" s="128" t="n">
        <f aca="false">SQRT(B1959^2+C1959^2)</f>
        <v>5.75977157610572</v>
      </c>
      <c r="E1959" s="129" t="n">
        <f aca="false">20*LOG10(MAX(D1959,0.000000000001)/$K$3)</f>
        <v>15.2081052059506</v>
      </c>
    </row>
    <row r="1960" customFormat="false" ht="15" hidden="false" customHeight="false" outlineLevel="0" collapsed="false">
      <c r="A1960" s="122" t="n">
        <f aca="false">A1959+$F$3</f>
        <v>19540</v>
      </c>
      <c r="B1960" s="123" t="n">
        <f aca="false">SUMPRODUCT(固有振動数!$Q$6:$Q$22*(1-($A1960/固有振動数!$O$6:$O$22)^2)/((1-($A1960/固有振動数!$O$6:$O$22)^2)^2+固有振動数!$P$6:$P$22^2))</f>
        <v>-5.17336692729664</v>
      </c>
      <c r="C1960" s="123" t="n">
        <f aca="false">-SUMPRODUCT(固有振動数!$Q$6:$Q$22*固有振動数!$P$6:$P$22/((1-($A1960/固有振動数!$O$6:$O$22)^2)^2+固有振動数!$P$6:$P$22^2))</f>
        <v>-2.28529714237945</v>
      </c>
      <c r="D1960" s="124" t="n">
        <f aca="false">SQRT(B1960^2+C1960^2)</f>
        <v>5.65564394153436</v>
      </c>
      <c r="E1960" s="125" t="n">
        <f aca="false">20*LOG10(MAX(D1960,0.000000000001)/$K$3)</f>
        <v>15.0496412014404</v>
      </c>
    </row>
    <row r="1961" customFormat="false" ht="15" hidden="false" customHeight="false" outlineLevel="0" collapsed="false">
      <c r="A1961" s="126" t="n">
        <f aca="false">A1960+$F$3</f>
        <v>19550</v>
      </c>
      <c r="B1961" s="127" t="n">
        <f aca="false">SUMPRODUCT(固有振動数!$Q$6:$Q$22*(1-($A1961/固有振動数!$O$6:$O$22)^2)/((1-($A1961/固有振動数!$O$6:$O$22)^2)^2+固有振動数!$P$6:$P$22^2))</f>
        <v>-5.06666482895845</v>
      </c>
      <c r="C1961" s="127" t="n">
        <f aca="false">-SUMPRODUCT(固有振動数!$Q$6:$Q$22*固有振動数!$P$6:$P$22/((1-($A1961/固有振動数!$O$6:$O$22)^2)^2+固有振動数!$P$6:$P$22^2))</f>
        <v>-2.27146615913993</v>
      </c>
      <c r="D1961" s="128" t="n">
        <f aca="false">SQRT(B1961^2+C1961^2)</f>
        <v>5.55253554703817</v>
      </c>
      <c r="E1961" s="129" t="n">
        <f aca="false">20*LOG10(MAX(D1961,0.000000000001)/$K$3)</f>
        <v>14.8898269511932</v>
      </c>
    </row>
    <row r="1962" customFormat="false" ht="15" hidden="false" customHeight="false" outlineLevel="0" collapsed="false">
      <c r="A1962" s="122" t="n">
        <f aca="false">A1961+$F$3</f>
        <v>19560</v>
      </c>
      <c r="B1962" s="123" t="n">
        <f aca="false">SUMPRODUCT(固有振動数!$Q$6:$Q$22*(1-($A1962/固有振動数!$O$6:$O$22)^2)/((1-($A1962/固有振動数!$O$6:$O$22)^2)^2+固有振動数!$P$6:$P$22^2))</f>
        <v>-4.96070203964416</v>
      </c>
      <c r="C1962" s="123" t="n">
        <f aca="false">-SUMPRODUCT(固有振動数!$Q$6:$Q$22*固有振動数!$P$6:$P$22/((1-($A1962/固有振動数!$O$6:$O$22)^2)^2+固有振動数!$P$6:$P$22^2))</f>
        <v>-2.25803060068753</v>
      </c>
      <c r="D1962" s="124" t="n">
        <f aca="false">SQRT(B1962^2+C1962^2)</f>
        <v>5.45043731454376</v>
      </c>
      <c r="E1962" s="125" t="n">
        <f aca="false">20*LOG10(MAX(D1962,0.000000000001)/$K$3)</f>
        <v>14.7286269837853</v>
      </c>
    </row>
    <row r="1963" customFormat="false" ht="15" hidden="false" customHeight="false" outlineLevel="0" collapsed="false">
      <c r="A1963" s="126" t="n">
        <f aca="false">A1962+$F$3</f>
        <v>19570</v>
      </c>
      <c r="B1963" s="127" t="n">
        <f aca="false">SUMPRODUCT(固有振動数!$Q$6:$Q$22*(1-($A1963/固有振動数!$O$6:$O$22)^2)/((1-($A1963/固有振動数!$O$6:$O$22)^2)^2+固有振動数!$P$6:$P$22^2))</f>
        <v>-4.8554611019499</v>
      </c>
      <c r="C1963" s="127" t="n">
        <f aca="false">-SUMPRODUCT(固有振動数!$Q$6:$Q$22*固有振動数!$P$6:$P$22/((1-($A1963/固有振動数!$O$6:$O$22)^2)^2+固有振動数!$P$6:$P$22^2))</f>
        <v>-2.24498302511831</v>
      </c>
      <c r="D1963" s="128" t="n">
        <f aca="false">SQRT(B1963^2+C1963^2)</f>
        <v>5.34934120201898</v>
      </c>
      <c r="E1963" s="129" t="n">
        <f aca="false">20*LOG10(MAX(D1963,0.000000000001)/$K$3)</f>
        <v>14.5660059957696</v>
      </c>
    </row>
    <row r="1964" customFormat="false" ht="15" hidden="false" customHeight="false" outlineLevel="0" collapsed="false">
      <c r="A1964" s="122" t="n">
        <f aca="false">A1963+$F$3</f>
        <v>19580</v>
      </c>
      <c r="B1964" s="123" t="n">
        <f aca="false">SUMPRODUCT(固有振動数!$Q$6:$Q$22*(1-($A1964/固有振動数!$O$6:$O$22)^2)/((1-($A1964/固有振動数!$O$6:$O$22)^2)^2+固有振動数!$P$6:$P$22^2))</f>
        <v>-4.75092487392534</v>
      </c>
      <c r="C1964" s="123" t="n">
        <f aca="false">-SUMPRODUCT(固有振動数!$Q$6:$Q$22*固有振動数!$P$6:$P$22/((1-($A1964/固有振動数!$O$6:$O$22)^2)^2+固有振動数!$P$6:$P$22^2))</f>
        <v>-2.23231627074984</v>
      </c>
      <c r="D1964" s="124" t="n">
        <f aca="false">SQRT(B1964^2+C1964^2)</f>
        <v>5.24924023934293</v>
      </c>
      <c r="E1964" s="125" t="n">
        <f aca="false">20*LOG10(MAX(D1964,0.000000000001)/$K$3)</f>
        <v>14.4019289872105</v>
      </c>
    </row>
    <row r="1965" customFormat="false" ht="15" hidden="false" customHeight="false" outlineLevel="0" collapsed="false">
      <c r="A1965" s="126" t="n">
        <f aca="false">A1964+$F$3</f>
        <v>19590</v>
      </c>
      <c r="B1965" s="127" t="n">
        <f aca="false">SUMPRODUCT(固有振動数!$Q$6:$Q$22*(1-($A1965/固有振動数!$O$6:$O$22)^2)/((1-($A1965/固有振動数!$O$6:$O$22)^2)^2+固有振動数!$P$6:$P$22^2))</f>
        <v>-4.6470765186642</v>
      </c>
      <c r="C1965" s="127" t="n">
        <f aca="false">-SUMPRODUCT(固有振動数!$Q$6:$Q$22*固有振動数!$P$6:$P$22/((1-($A1965/固有振動数!$O$6:$O$22)^2)^2+固有振動数!$P$6:$P$22^2))</f>
        <v>-2.22002344690572</v>
      </c>
      <c r="D1965" s="128" t="n">
        <f aca="false">SQRT(B1965^2+C1965^2)</f>
        <v>5.15012856879625</v>
      </c>
      <c r="E1965" s="129" t="n">
        <f aca="false">20*LOG10(MAX(D1965,0.000000000001)/$K$3)</f>
        <v>14.2363614197434</v>
      </c>
    </row>
    <row r="1966" customFormat="false" ht="15" hidden="false" customHeight="false" outlineLevel="0" collapsed="false">
      <c r="A1966" s="122" t="n">
        <f aca="false">A1965+$F$3</f>
        <v>19600</v>
      </c>
      <c r="B1966" s="123" t="n">
        <f aca="false">SUMPRODUCT(固有振動数!$Q$6:$Q$22*(1-($A1966/固有振動数!$O$6:$O$22)^2)/((1-($A1966/固有振動数!$O$6:$O$22)^2)^2+固有振動数!$P$6:$P$22^2))</f>
        <v>-4.54389949419495</v>
      </c>
      <c r="C1966" s="123" t="n">
        <f aca="false">-SUMPRODUCT(固有振動数!$Q$6:$Q$22*固有振動数!$P$6:$P$22/((1-($A1966/固有振動数!$O$6:$O$22)^2)^2+固有振動数!$P$6:$P$22^2))</f>
        <v>-2.2080979251379</v>
      </c>
      <c r="D1966" s="124" t="n">
        <f aca="false">SQRT(B1966^2+C1966^2)</f>
        <v>5.05200149053258</v>
      </c>
      <c r="E1966" s="125" t="n">
        <f aca="false">20*LOG10(MAX(D1966,0.000000000001)/$K$3)</f>
        <v>14.069269400334</v>
      </c>
    </row>
    <row r="1967" customFormat="false" ht="15" hidden="false" customHeight="false" outlineLevel="0" collapsed="false">
      <c r="A1967" s="126" t="n">
        <f aca="false">A1966+$F$3</f>
        <v>19610</v>
      </c>
      <c r="B1967" s="127" t="n">
        <f aca="false">SUMPRODUCT(固有振動数!$Q$6:$Q$22*(1-($A1967/固有振動数!$O$6:$O$22)^2)/((1-($A1967/固有振動数!$O$6:$O$22)^2)^2+固有振動数!$P$6:$P$22^2))</f>
        <v>-4.44137754366035</v>
      </c>
      <c r="C1967" s="127" t="n">
        <f aca="false">-SUMPRODUCT(固有振動数!$Q$6:$Q$22*固有振動数!$P$6:$P$22/((1-($A1967/固有振動数!$O$6:$O$22)^2)^2+固有振動数!$P$6:$P$22^2))</f>
        <v>-2.19653333086653</v>
      </c>
      <c r="D1967" s="128" t="n">
        <f aca="false">SQRT(B1967^2+C1967^2)</f>
        <v>4.95485551342701</v>
      </c>
      <c r="E1967" s="129" t="n">
        <f aca="false">20*LOG10(MAX(D1967,0.000000000001)/$K$3)</f>
        <v>13.9006198943421</v>
      </c>
    </row>
    <row r="1968" customFormat="false" ht="15" hidden="false" customHeight="false" outlineLevel="0" collapsed="false">
      <c r="A1968" s="122" t="n">
        <f aca="false">A1967+$F$3</f>
        <v>19620</v>
      </c>
      <c r="B1968" s="123" t="n">
        <f aca="false">SUMPRODUCT(固有振動数!$Q$6:$Q$22*(1-($A1968/固有振動数!$O$6:$O$22)^2)/((1-($A1968/固有振動数!$O$6:$O$22)^2)^2+固有振動数!$P$6:$P$22^2))</f>
        <v>-4.33949468577395</v>
      </c>
      <c r="C1968" s="123" t="n">
        <f aca="false">-SUMPRODUCT(固有振動数!$Q$6:$Q$22*固有振動数!$P$6:$P$22/((1-($A1968/固有振動数!$O$6:$O$22)^2)^2+固有振動数!$P$6:$P$22^2))</f>
        <v>-2.18532353541801</v>
      </c>
      <c r="D1968" s="124" t="n">
        <f aca="false">SQRT(B1968^2+C1968^2)</f>
        <v>4.85868841173337</v>
      </c>
      <c r="E1968" s="125" t="n">
        <f aca="false">20*LOG10(MAX(D1968,0.000000000001)/$K$3)</f>
        <v>13.7303809719833</v>
      </c>
    </row>
    <row r="1969" customFormat="false" ht="15" hidden="false" customHeight="false" outlineLevel="0" collapsed="false">
      <c r="A1969" s="126" t="n">
        <f aca="false">A1968+$F$3</f>
        <v>19630</v>
      </c>
      <c r="B1969" s="127" t="n">
        <f aca="false">SUMPRODUCT(固有振動数!$Q$6:$Q$22*(1-($A1969/固有振動数!$O$6:$O$22)^2)/((1-($A1969/固有振動数!$O$6:$O$22)^2)^2+固有振動数!$P$6:$P$22^2))</f>
        <v>-4.23823520554273</v>
      </c>
      <c r="C1969" s="127" t="n">
        <f aca="false">-SUMPRODUCT(固有振動数!$Q$6:$Q$22*固有振動数!$P$6:$P$22/((1-($A1969/固有振動数!$O$6:$O$22)^2)^2+固有振動数!$P$6:$P$22^2))</f>
        <v>-2.17446264844327</v>
      </c>
      <c r="D1969" s="128" t="n">
        <f aca="false">SQRT(B1969^2+C1969^2)</f>
        <v>4.76349928802102</v>
      </c>
      <c r="E1969" s="129" t="n">
        <f aca="false">20*LOG10(MAX(D1969,0.000000000001)/$K$3)</f>
        <v>13.5585220928311</v>
      </c>
    </row>
    <row r="1970" customFormat="false" ht="15" hidden="false" customHeight="false" outlineLevel="0" collapsed="false">
      <c r="A1970" s="122" t="n">
        <f aca="false">A1969+$F$3</f>
        <v>19640</v>
      </c>
      <c r="B1970" s="123" t="n">
        <f aca="false">SUMPRODUCT(固有振動数!$Q$6:$Q$22*(1-($A1970/固有振動数!$O$6:$O$22)^2)/((1-($A1970/固有振動数!$O$6:$O$22)^2)^2+固有振動数!$P$6:$P$22^2))</f>
        <v>-4.13758364524516</v>
      </c>
      <c r="C1970" s="123" t="n">
        <f aca="false">-SUMPRODUCT(固有振動数!$Q$6:$Q$22*固有振動数!$P$6:$P$22/((1-($A1970/固有振動数!$O$6:$O$22)^2)^2+固有振動数!$P$6:$P$22^2))</f>
        <v>-2.16394501069914</v>
      </c>
      <c r="D1970" s="124" t="n">
        <f aca="false">SQRT(B1970^2+C1970^2)</f>
        <v>4.66928864290161</v>
      </c>
      <c r="E1970" s="125" t="n">
        <f aca="false">20*LOG10(MAX(D1970,0.000000000001)/$K$3)</f>
        <v>13.3850144336161</v>
      </c>
    </row>
    <row r="1971" customFormat="false" ht="15" hidden="false" customHeight="false" outlineLevel="0" collapsed="false">
      <c r="A1971" s="126" t="n">
        <f aca="false">A1970+$F$3</f>
        <v>19650</v>
      </c>
      <c r="B1971" s="127" t="n">
        <f aca="false">SUMPRODUCT(固有振動数!$Q$6:$Q$22*(1-($A1971/固有振動数!$O$6:$O$22)^2)/((1-($A1971/固有振動数!$O$6:$O$22)^2)^2+固有振動数!$P$6:$P$22^2))</f>
        <v>-4.03752479565421</v>
      </c>
      <c r="C1971" s="127" t="n">
        <f aca="false">-SUMPRODUCT(固有振動数!$Q$6:$Q$22*固有振動数!$P$6:$P$22/((1-($A1971/固有振動数!$O$6:$O$22)^2)^2+固有振動数!$P$6:$P$22^2))</f>
        <v>-2.15376518717667</v>
      </c>
      <c r="D1971" s="128" t="n">
        <f aca="false">SQRT(B1971^2+C1971^2)</f>
        <v>4.57605845209791</v>
      </c>
      <c r="E1971" s="129" t="n">
        <f aca="false">20*LOG10(MAX(D1971,0.000000000001)/$K$3)</f>
        <v>13.2098312652686</v>
      </c>
    </row>
    <row r="1972" customFormat="false" ht="15" hidden="false" customHeight="false" outlineLevel="0" collapsed="false">
      <c r="A1972" s="122" t="n">
        <f aca="false">A1971+$F$3</f>
        <v>19660</v>
      </c>
      <c r="B1972" s="123" t="n">
        <f aca="false">SUMPRODUCT(固有振動数!$Q$6:$Q$22*(1-($A1972/固有振動数!$O$6:$O$22)^2)/((1-($A1972/固有振動数!$O$6:$O$22)^2)^2+固有振動数!$P$6:$P$22^2))</f>
        <v>-3.93804368749569</v>
      </c>
      <c r="C1972" s="123" t="n">
        <f aca="false">-SUMPRODUCT(固有振動数!$Q$6:$Q$22*固有振動数!$P$6:$P$22/((1-($A1972/固有振動数!$O$6:$O$22)^2)^2+固有振動数!$P$6:$P$22^2))</f>
        <v>-2.14391796056147</v>
      </c>
      <c r="D1972" s="124" t="n">
        <f aca="false">SQRT(B1972^2+C1972^2)</f>
        <v>4.48381225144884</v>
      </c>
      <c r="E1972" s="125" t="n">
        <f aca="false">20*LOG10(MAX(D1972,0.000000000001)/$K$3)</f>
        <v>13.0329483859215</v>
      </c>
    </row>
    <row r="1973" customFormat="false" ht="15" hidden="false" customHeight="false" outlineLevel="0" collapsed="false">
      <c r="A1973" s="126" t="n">
        <f aca="false">A1972+$F$3</f>
        <v>19670</v>
      </c>
      <c r="B1973" s="127" t="n">
        <f aca="false">SUMPRODUCT(固有振動数!$Q$6:$Q$22*(1-($A1973/固有振動数!$O$6:$O$22)^2)/((1-($A1973/固有振動数!$O$6:$O$22)^2)^2+固有振動数!$P$6:$P$22^2))</f>
        <v>-3.83912558313212</v>
      </c>
      <c r="C1973" s="127" t="n">
        <f aca="false">-SUMPRODUCT(固有振動数!$Q$6:$Q$22*固有振動数!$P$6:$P$22/((1-($A1973/固有振動数!$O$6:$O$22)^2)^2+固有振動数!$P$6:$P$22^2))</f>
        <v>-2.1343983250115</v>
      </c>
      <c r="D1973" s="128" t="n">
        <f aca="false">SQRT(B1973^2+C1973^2)</f>
        <v>4.39255523048617</v>
      </c>
      <c r="E1973" s="129" t="n">
        <f aca="false">20*LOG10(MAX(D1973,0.000000000001)/$K$3)</f>
        <v>12.8543446174369</v>
      </c>
    </row>
    <row r="1974" customFormat="false" ht="15" hidden="false" customHeight="false" outlineLevel="0" collapsed="false">
      <c r="A1974" s="122" t="n">
        <f aca="false">A1973+$F$3</f>
        <v>19680</v>
      </c>
      <c r="B1974" s="123" t="n">
        <f aca="false">SUMPRODUCT(固有振動数!$Q$6:$Q$22*(1-($A1974/固有振動数!$O$6:$O$22)^2)/((1-($A1974/固有振動数!$O$6:$O$22)^2)^2+固有振動数!$P$6:$P$22^2))</f>
        <v>-3.74075596846283</v>
      </c>
      <c r="C1974" s="123" t="n">
        <f aca="false">-SUMPRODUCT(固有振動数!$Q$6:$Q$22*固有振動数!$P$6:$P$22/((1-($A1974/固有振動数!$O$6:$O$22)^2)^2+固有振動数!$P$6:$P$22^2))</f>
        <v>-2.12520148023905</v>
      </c>
      <c r="D1974" s="124" t="n">
        <f aca="false">SQRT(B1974^2+C1974^2)</f>
        <v>4.30229433525887</v>
      </c>
      <c r="E1974" s="125" t="n">
        <f aca="false">20*LOG10(MAX(D1974,0.000000000001)/$K$3)</f>
        <v>12.6740023739627</v>
      </c>
    </row>
    <row r="1975" customFormat="false" ht="15" hidden="false" customHeight="false" outlineLevel="0" collapsed="false">
      <c r="A1975" s="126" t="n">
        <f aca="false">A1974+$F$3</f>
        <v>19690</v>
      </c>
      <c r="B1975" s="127" t="n">
        <f aca="false">SUMPRODUCT(固有振動数!$Q$6:$Q$22*(1-($A1975/固有振動数!$O$6:$O$22)^2)/((1-($A1975/固有振動数!$O$6:$O$22)^2)^2+固有振動数!$P$6:$P$22^2))</f>
        <v>-3.64292054503152</v>
      </c>
      <c r="C1975" s="127" t="n">
        <f aca="false">-SUMPRODUCT(固有振動数!$Q$6:$Q$22*固有振動数!$P$6:$P$22/((1-($A1975/固有振動数!$O$6:$O$22)^2)^2+固有振動数!$P$6:$P$22^2))</f>
        <v>-2.11632282588419</v>
      </c>
      <c r="D1975" s="128" t="n">
        <f aca="false">SQRT(B1975^2+C1975^2)</f>
        <v>4.21303838111774</v>
      </c>
      <c r="E1975" s="129" t="n">
        <f aca="false">20*LOG10(MAX(D1975,0.000000000001)/$K$3)</f>
        <v>12.491908312049</v>
      </c>
    </row>
    <row r="1976" customFormat="false" ht="15" hidden="false" customHeight="false" outlineLevel="0" collapsed="false">
      <c r="A1976" s="122" t="n">
        <f aca="false">A1975+$F$3</f>
        <v>19700</v>
      </c>
      <c r="B1976" s="123" t="n">
        <f aca="false">SUMPRODUCT(固有振動数!$Q$6:$Q$22*(1-($A1976/固有振動数!$O$6:$O$22)^2)/((1-($A1976/固有振動数!$O$6:$O$22)^2)^2+固有振動数!$P$6:$P$22^2))</f>
        <v>-3.54560522233245</v>
      </c>
      <c r="C1976" s="123" t="n">
        <f aca="false">-SUMPRODUCT(固有振動数!$Q$6:$Q$22*固有振動数!$P$6:$P$22/((1-($A1976/固有振動数!$O$6:$O$22)^2)^2+固有振動数!$P$6:$P$22^2))</f>
        <v>-2.10775795616753</v>
      </c>
      <c r="D1976" s="124" t="n">
        <f aca="false">SQRT(B1976^2+C1976^2)</f>
        <v>4.12479817620434</v>
      </c>
      <c r="E1976" s="125" t="n">
        <f aca="false">20*LOG10(MAX(D1976,0.000000000001)/$K$3)</f>
        <v>12.3080540729669</v>
      </c>
    </row>
    <row r="1977" customFormat="false" ht="15" hidden="false" customHeight="false" outlineLevel="0" collapsed="false">
      <c r="A1977" s="126" t="n">
        <f aca="false">A1976+$F$3</f>
        <v>19710</v>
      </c>
      <c r="B1977" s="127" t="n">
        <f aca="false">SUMPRODUCT(固有振動数!$Q$6:$Q$22*(1-($A1977/固有振動数!$O$6:$O$22)^2)/((1-($A1977/固有振動数!$O$6:$O$22)^2)^2+固有振動数!$P$6:$P$22^2))</f>
        <v>-3.44879611030706</v>
      </c>
      <c r="C1977" s="127" t="n">
        <f aca="false">-SUMPRODUCT(固有振動数!$Q$6:$Q$22*固有振動数!$P$6:$P$22/((1-($A1977/固有振動数!$O$6:$O$22)^2)^2+固有振動数!$P$6:$P$22^2))</f>
        <v>-2.0995026548114</v>
      </c>
      <c r="D1977" s="128" t="n">
        <f aca="false">SQRT(B1977^2+C1977^2)</f>
        <v>4.03758665641113</v>
      </c>
      <c r="E1977" s="129" t="n">
        <f aca="false">20*LOG10(MAX(D1977,0.000000000001)/$K$3)</f>
        <v>12.1224371290609</v>
      </c>
    </row>
    <row r="1978" customFormat="false" ht="15" hidden="false" customHeight="false" outlineLevel="0" collapsed="false">
      <c r="A1978" s="122" t="n">
        <f aca="false">A1977+$F$3</f>
        <v>19720</v>
      </c>
      <c r="B1978" s="123" t="n">
        <f aca="false">SUMPRODUCT(固有振動数!$Q$6:$Q$22*(1-($A1978/固有振動数!$O$6:$O$22)^2)/((1-($A1978/固有振動数!$O$6:$O$22)^2)^2+固有振動数!$P$6:$P$22^2))</f>
        <v>-3.35247951202287</v>
      </c>
      <c r="C1978" s="123" t="n">
        <f aca="false">-SUMPRODUCT(固有振動数!$Q$6:$Q$22*固有振動数!$P$6:$P$22/((1-($A1978/固有振動数!$O$6:$O$22)^2)^2+固有振動数!$P$6:$P$22^2))</f>
        <v>-2.09155289021849</v>
      </c>
      <c r="D1978" s="124" t="n">
        <f aca="false">SQRT(B1978^2+C1978^2)</f>
        <v>3.95141903258999</v>
      </c>
      <c r="E1978" s="125" t="n">
        <f aca="false">20*LOG10(MAX(D1978,0.000000000001)/$K$3)</f>
        <v>11.9350617472199</v>
      </c>
    </row>
    <row r="1979" customFormat="false" ht="15" hidden="false" customHeight="false" outlineLevel="0" collapsed="false">
      <c r="A1979" s="126" t="n">
        <f aca="false">A1978+$F$3</f>
        <v>19730</v>
      </c>
      <c r="B1979" s="127" t="n">
        <f aca="false">SUMPRODUCT(固有振動数!$Q$6:$Q$22*(1-($A1979/固有振動数!$O$6:$O$22)^2)/((1-($A1979/固有振動数!$O$6:$O$22)^2)^2+固有振動数!$P$6:$P$22^2))</f>
        <v>-3.25664191652673</v>
      </c>
      <c r="C1979" s="127" t="n">
        <f aca="false">-SUMPRODUCT(固有振動数!$Q$6:$Q$22*固有振動数!$P$6:$P$22/((1-($A1979/固有振動数!$O$6:$O$22)^2)^2+固有振動数!$P$6:$P$22^2))</f>
        <v>-2.08390481089814</v>
      </c>
      <c r="D1979" s="128" t="n">
        <f aca="false">SQRT(B1979^2+C1979^2)</f>
        <v>3.86631295077925</v>
      </c>
      <c r="E1979" s="129" t="n">
        <f aca="false">20*LOG10(MAX(D1979,0.000000000001)/$K$3)</f>
        <v>11.7459400838444</v>
      </c>
    </row>
    <row r="1980" customFormat="false" ht="15" hidden="false" customHeight="false" outlineLevel="0" collapsed="false">
      <c r="A1980" s="122" t="n">
        <f aca="false">A1979+$F$3</f>
        <v>19740</v>
      </c>
      <c r="B1980" s="123" t="n">
        <f aca="false">SUMPRODUCT(固有振動数!$Q$6:$Q$22*(1-($A1980/固有振動数!$O$6:$O$22)^2)/((1-($A1980/固有振動数!$O$6:$O$22)^2)^2+固有振動数!$P$6:$P$22^2))</f>
        <v>-3.1612699918651</v>
      </c>
      <c r="C1980" s="123" t="n">
        <f aca="false">-SUMPRODUCT(固有振動数!$Q$6:$Q$22*固有振動数!$P$6:$P$22/((1-($A1980/固有振動数!$O$6:$O$22)^2)^2+固有振動数!$P$6:$P$22^2))</f>
        <v>-2.07655474113087</v>
      </c>
      <c r="D1980" s="124" t="n">
        <f aca="false">SQRT(B1980^2+C1980^2)</f>
        <v>3.78228866618875</v>
      </c>
      <c r="E1980" s="125" t="n">
        <f aca="false">20*LOG10(MAX(D1980,0.000000000001)/$K$3)</f>
        <v>11.5550934269798</v>
      </c>
    </row>
    <row r="1981" customFormat="false" ht="15" hidden="false" customHeight="false" outlineLevel="0" collapsed="false">
      <c r="A1981" s="126" t="n">
        <f aca="false">A1980+$F$3</f>
        <v>19750</v>
      </c>
      <c r="B1981" s="127" t="n">
        <f aca="false">SUMPRODUCT(固有振動数!$Q$6:$Q$22*(1-($A1981/固有振動数!$O$6:$O$22)^2)/((1-($A1981/固有振動数!$O$6:$O$22)^2)^2+固有振動数!$P$6:$P$22^2))</f>
        <v>-3.06635057826382</v>
      </c>
      <c r="C1981" s="127" t="n">
        <f aca="false">-SUMPRODUCT(固有振動数!$Q$6:$Q$22*固有振動数!$P$6:$P$22/((1-($A1981/固有振動数!$O$6:$O$22)^2)^2+固有振動数!$P$6:$P$22^2))</f>
        <v>-2.06949917686227</v>
      </c>
      <c r="D1981" s="128" t="n">
        <f aca="false">SQRT(B1981^2+C1981^2)</f>
        <v>3.69936923161942</v>
      </c>
      <c r="E1981" s="129" t="n">
        <f aca="false">20*LOG10(MAX(D1981,0.000000000001)/$K$3)</f>
        <v>11.3625536025291</v>
      </c>
    </row>
    <row r="1982" customFormat="false" ht="15" hidden="false" customHeight="false" outlineLevel="0" collapsed="false">
      <c r="A1982" s="122" t="n">
        <f aca="false">A1981+$F$3</f>
        <v>19760</v>
      </c>
      <c r="B1982" s="123" t="n">
        <f aca="false">SUMPRODUCT(固有振動数!$Q$6:$Q$22*(1-($A1982/固有振動数!$O$6:$O$22)^2)/((1-($A1982/固有振動数!$O$6:$O$22)^2)^2+固有振動数!$P$6:$P$22^2))</f>
        <v>-2.97187068146044</v>
      </c>
      <c r="C1982" s="123" t="n">
        <f aca="false">-SUMPRODUCT(固有振動数!$Q$6:$Q$22*固有振動数!$P$6:$P$22/((1-($A1982/固有振動数!$O$6:$O$22)^2)^2+固有振動数!$P$6:$P$22^2))</f>
        <v>-2.06273478181799</v>
      </c>
      <c r="D1982" s="124" t="n">
        <f aca="false">SQRT(B1982^2+C1982^2)</f>
        <v>3.61758070088918</v>
      </c>
      <c r="E1982" s="125" t="n">
        <f aca="false">20*LOG10(MAX(D1982,0.000000000001)/$K$3)</f>
        <v>11.1683645625661</v>
      </c>
    </row>
    <row r="1983" customFormat="false" ht="15" hidden="false" customHeight="false" outlineLevel="0" collapsed="false">
      <c r="A1983" s="126" t="n">
        <f aca="false">A1982+$F$3</f>
        <v>19770</v>
      </c>
      <c r="B1983" s="127" t="n">
        <f aca="false">SUMPRODUCT(固有振動数!$Q$6:$Q$22*(1-($A1983/固有振動数!$O$6:$O$22)^2)/((1-($A1983/固有振動数!$O$6:$O$22)^2)^2+固有振動数!$P$6:$P$22^2))</f>
        <v>-2.87781746618211</v>
      </c>
      <c r="C1983" s="127" t="n">
        <f aca="false">-SUMPRODUCT(固有振動数!$Q$6:$Q$22*固有振動数!$P$6:$P$22/((1-($A1983/固有振動数!$O$6:$O$22)^2)^2+固有振動数!$P$6:$P$22^2))</f>
        <v>-2.05625838383196</v>
      </c>
      <c r="D1983" s="128" t="n">
        <f aca="false">SQRT(B1983^2+C1983^2)</f>
        <v>3.53695234767759</v>
      </c>
      <c r="E1983" s="129" t="n">
        <f aca="false">20*LOG10(MAX(D1983,0.000000000001)/$K$3)</f>
        <v>10.9725841746378</v>
      </c>
    </row>
    <row r="1984" customFormat="false" ht="15" hidden="false" customHeight="false" outlineLevel="0" collapsed="false">
      <c r="A1984" s="122" t="n">
        <f aca="false">A1983+$F$3</f>
        <v>19780</v>
      </c>
      <c r="B1984" s="123" t="n">
        <f aca="false">SUMPRODUCT(固有振動数!$Q$6:$Q$22*(1-($A1984/固有振動数!$O$6:$O$22)^2)/((1-($A1984/固有振動数!$O$6:$O$22)^2)^2+固有振動数!$P$6:$P$22^2))</f>
        <v>-2.78417824976231</v>
      </c>
      <c r="C1984" s="123" t="n">
        <f aca="false">-SUMPRODUCT(固有振動数!$Q$6:$Q$22*固有振動数!$P$6:$P$22/((1-($A1984/固有振動数!$O$6:$O$22)^2)^2+固有振動数!$P$6:$P$22^2))</f>
        <v>-2.05006697138063</v>
      </c>
      <c r="D1984" s="124" t="n">
        <f aca="false">SQRT(B1984^2+C1984^2)</f>
        <v>3.45751689997247</v>
      </c>
      <c r="E1984" s="125" t="n">
        <f aca="false">20*LOG10(MAX(D1984,0.000000000001)/$K$3)</f>
        <v>10.7752862314294</v>
      </c>
    </row>
    <row r="1985" customFormat="false" ht="15" hidden="false" customHeight="false" outlineLevel="0" collapsed="false">
      <c r="A1985" s="126" t="n">
        <f aca="false">A1984+$F$3</f>
        <v>19790</v>
      </c>
      <c r="B1985" s="127" t="n">
        <f aca="false">SUMPRODUCT(固有振動数!$Q$6:$Q$22*(1-($A1985/固有振動数!$O$6:$O$22)^2)/((1-($A1985/固有振動数!$O$6:$O$22)^2)^2+固有振動数!$P$6:$P$22^2))</f>
        <v>-2.69094049589037</v>
      </c>
      <c r="C1985" s="127" t="n">
        <f aca="false">-SUMPRODUCT(固有振動数!$Q$6:$Q$22*固有振動数!$P$6:$P$22/((1-($A1985/固有振動数!$O$6:$O$22)^2)^2+固有振動数!$P$6:$P$22^2))</f>
        <v>-2.04415769031627</v>
      </c>
      <c r="D1985" s="128" t="n">
        <f aca="false">SQRT(B1985^2+C1985^2)</f>
        <v>3.37931078998394</v>
      </c>
      <c r="E1985" s="129" t="n">
        <f aca="false">20*LOG10(MAX(D1985,0.000000000001)/$K$3)</f>
        <v>10.5765627000624</v>
      </c>
    </row>
    <row r="1986" customFormat="false" ht="15" hidden="false" customHeight="false" outlineLevel="0" collapsed="false">
      <c r="A1986" s="122" t="n">
        <f aca="false">A1985+$F$3</f>
        <v>19800</v>
      </c>
      <c r="B1986" s="123" t="n">
        <f aca="false">SUMPRODUCT(固有振動数!$Q$6:$Q$22*(1-($A1986/固有振動数!$O$6:$O$22)^2)/((1-($A1986/固有振動数!$O$6:$O$22)^2)^2+固有振動数!$P$6:$P$22^2))</f>
        <v>-2.59809180848687</v>
      </c>
      <c r="C1986" s="123" t="n">
        <f aca="false">-SUMPRODUCT(固有振動数!$Q$6:$Q$22*固有振動数!$P$6:$P$22/((1-($A1986/固有振動数!$O$6:$O$22)^2)^2+固有振動数!$P$6:$P$22^2))</f>
        <v>-2.03852784079296</v>
      </c>
      <c r="D1986" s="124" t="n">
        <f aca="false">SQRT(B1986^2+C1986^2)</f>
        <v>3.302374418962</v>
      </c>
      <c r="E1986" s="125" t="n">
        <f aca="false">20*LOG10(MAX(D1986,0.000000000001)/$K$3)</f>
        <v>10.3765262293569</v>
      </c>
    </row>
    <row r="1987" customFormat="false" ht="15" hidden="false" customHeight="false" outlineLevel="0" collapsed="false">
      <c r="A1987" s="126" t="n">
        <f aca="false">A1986+$F$3</f>
        <v>19810</v>
      </c>
      <c r="B1987" s="127" t="n">
        <f aca="false">SUMPRODUCT(固有振動数!$Q$6:$Q$22*(1-($A1987/固有振動数!$O$6:$O$22)^2)/((1-($A1987/固有振動数!$O$6:$O$22)^2)^2+固有振動数!$P$6:$P$22^2))</f>
        <v>-2.50561992569931</v>
      </c>
      <c r="C1987" s="127" t="n">
        <f aca="false">-SUMPRODUCT(固有振動数!$Q$6:$Q$22*固有振動数!$P$6:$P$22/((1-($A1987/固有振動数!$O$6:$O$22)^2)^2+固有振動数!$P$6:$P$22^2))</f>
        <v>-2.0331748743792</v>
      </c>
      <c r="D1987" s="128" t="n">
        <f aca="false">SQRT(B1987^2+C1987^2)</f>
        <v>3.2267524357887</v>
      </c>
      <c r="E1987" s="129" t="n">
        <f aca="false">20*LOG10(MAX(D1987,0.000000000001)/$K$3)</f>
        <v>10.1753129312872</v>
      </c>
    </row>
    <row r="1988" customFormat="false" ht="15" hidden="false" customHeight="false" outlineLevel="0" collapsed="false">
      <c r="A1988" s="122" t="n">
        <f aca="false">A1987+$F$3</f>
        <v>19820</v>
      </c>
      <c r="B1988" s="123" t="n">
        <f aca="false">SUMPRODUCT(固有振動数!$Q$6:$Q$22*(1-($A1988/固有振動数!$O$6:$O$22)^2)/((1-($A1988/固有振動数!$O$6:$O$22)^2)^2+固有振動数!$P$6:$P$22^2))</f>
        <v>-2.41351271401199</v>
      </c>
      <c r="C1988" s="123" t="n">
        <f aca="false">-SUMPRODUCT(固有振動数!$Q$6:$Q$22*固有振動数!$P$6:$P$22/((1-($A1988/固有振動数!$O$6:$O$22)^2)^2+固有振動数!$P$6:$P$22^2))</f>
        <v>-2.02809639135164</v>
      </c>
      <c r="D1988" s="124" t="n">
        <f aca="false">SQRT(B1988^2+C1988^2)</f>
        <v>3.15249402748222</v>
      </c>
      <c r="E1988" s="125" t="n">
        <f aca="false">20*LOG10(MAX(D1988,0.000000000001)/$K$3)</f>
        <v>9.97308544917536</v>
      </c>
    </row>
    <row r="1989" customFormat="false" ht="15" hidden="false" customHeight="false" outlineLevel="0" collapsed="false">
      <c r="A1989" s="126" t="n">
        <f aca="false">A1988+$F$3</f>
        <v>19830</v>
      </c>
      <c r="B1989" s="127" t="n">
        <f aca="false">SUMPRODUCT(固有振動数!$Q$6:$Q$22*(1-($A1989/固有振動数!$O$6:$O$22)^2)/((1-($A1989/固有振動数!$O$6:$O$22)^2)^2+固有振動数!$P$6:$P$22^2))</f>
        <v>-2.3217581624642</v>
      </c>
      <c r="C1989" s="127" t="n">
        <f aca="false">-SUMPRODUCT(固有振動数!$Q$6:$Q$22*固有振動数!$P$6:$P$22/((1-($A1989/固有振動数!$O$6:$O$22)^2)^2+固有振動数!$P$6:$P$22^2))</f>
        <v>-2.02329013816459</v>
      </c>
      <c r="D1989" s="128" t="n">
        <f aca="false">SQRT(B1989^2+C1989^2)</f>
        <v>3.07965321881592</v>
      </c>
      <c r="E1989" s="129" t="n">
        <f aca="false">20*LOG10(MAX(D1989,0.000000000001)/$K$3)</f>
        <v>9.77003631940027</v>
      </c>
    </row>
    <row r="1990" customFormat="false" ht="15" hidden="false" customHeight="false" outlineLevel="0" collapsed="false">
      <c r="A1990" s="122" t="n">
        <f aca="false">A1989+$F$3</f>
        <v>19840</v>
      </c>
      <c r="B1990" s="123" t="n">
        <f aca="false">SUMPRODUCT(固有振動数!$Q$6:$Q$22*(1-($A1990/固有振動数!$O$6:$O$22)^2)/((1-($A1990/固有振動数!$O$6:$O$22)^2)^2+固有振動数!$P$6:$P$22^2))</f>
        <v>-2.2303443769714</v>
      </c>
      <c r="C1990" s="123" t="n">
        <f aca="false">-SUMPRODUCT(固有振動数!$Q$6:$Q$22*固有振動数!$P$6:$P$22/((1-($A1990/固有振動数!$O$6:$O$22)^2)^2+固有振動数!$P$6:$P$22^2))</f>
        <v>-2.01875400509054</v>
      </c>
      <c r="D1990" s="124" t="n">
        <f aca="false">SQRT(B1990^2+C1990^2)</f>
        <v>3.00828917708338</v>
      </c>
      <c r="E1990" s="125" t="n">
        <f aca="false">20*LOG10(MAX(D1990,0.000000000001)/$K$3)</f>
        <v>9.56639162492952</v>
      </c>
    </row>
    <row r="1991" customFormat="false" ht="15" hidden="false" customHeight="false" outlineLevel="0" collapsed="false">
      <c r="A1991" s="126" t="n">
        <f aca="false">A1990+$F$3</f>
        <v>19850</v>
      </c>
      <c r="B1991" s="127" t="n">
        <f aca="false">SUMPRODUCT(固有振動数!$Q$6:$Q$22*(1-($A1991/固有振動数!$O$6:$O$22)^2)/((1-($A1991/固有振動数!$O$6:$O$22)^2)^2+固有振動数!$P$6:$P$22^2))</f>
        <v>-2.1392595747436</v>
      </c>
      <c r="C1991" s="127" t="n">
        <f aca="false">-SUMPRODUCT(固有振動数!$Q$6:$Q$22*固有振動数!$P$6:$P$22/((1-($A1991/固有振動数!$O$6:$O$22)^2)^2+固有振動数!$P$6:$P$22^2))</f>
        <v>-2.0144860240271</v>
      </c>
      <c r="D1991" s="128" t="n">
        <f aca="false">SQRT(B1991^2+C1991^2)</f>
        <v>2.93846651659206</v>
      </c>
      <c r="E1991" s="129" t="n">
        <f aca="false">20*LOG10(MAX(D1991,0.000000000001)/$K$3)</f>
        <v>9.36241492709545</v>
      </c>
    </row>
    <row r="1992" customFormat="false" ht="15" hidden="false" customHeight="false" outlineLevel="0" collapsed="false">
      <c r="A1992" s="122" t="n">
        <f aca="false">A1991+$F$3</f>
        <v>19860</v>
      </c>
      <c r="B1992" s="123" t="n">
        <f aca="false">SUMPRODUCT(固有振動数!$Q$6:$Q$22*(1-($A1992/固有振動数!$O$6:$O$22)^2)/((1-($A1992/固有振動数!$O$6:$O$22)^2)^2+固有振動数!$P$6:$P$22^2))</f>
        <v>-2.04849207879584</v>
      </c>
      <c r="C1992" s="123" t="n">
        <f aca="false">-SUMPRODUCT(固有振動数!$Q$6:$Q$22*固有振動数!$P$6:$P$22/((1-($A1992/固有振動数!$O$6:$O$22)^2)^2+固有振動数!$P$6:$P$22^2))</f>
        <v>-2.01048436646628</v>
      </c>
      <c r="D1992" s="124" t="n">
        <f aca="false">SQRT(B1992^2+C1992^2)</f>
        <v>2.87025559570827</v>
      </c>
      <c r="E1992" s="125" t="n">
        <f aca="false">20*LOG10(MAX(D1992,0.000000000001)/$K$3)</f>
        <v>9.15841144592108</v>
      </c>
    </row>
    <row r="1993" customFormat="false" ht="15" hidden="false" customHeight="false" outlineLevel="0" collapsed="false">
      <c r="A1993" s="126" t="n">
        <f aca="false">A1992+$F$3</f>
        <v>19870</v>
      </c>
      <c r="B1993" s="127" t="n">
        <f aca="false">SUMPRODUCT(固有振動数!$Q$6:$Q$22*(1-($A1993/固有振動数!$O$6:$O$22)^2)/((1-($A1993/固有振動数!$O$6:$O$22)^2)^2+固有振動数!$P$6:$P$22^2))</f>
        <v>-1.9580303125455</v>
      </c>
      <c r="C1993" s="127" t="n">
        <f aca="false">-SUMPRODUCT(固有振動数!$Q$6:$Q$22*固有振動数!$P$6:$P$22/((1-($A1993/固有振動数!$O$6:$O$22)^2)^2+固有振動数!$P$6:$P$22^2))</f>
        <v>-2.00674734162218</v>
      </c>
      <c r="D1993" s="128" t="n">
        <f aca="false">SQRT(B1993^2+C1993^2)</f>
        <v>2.80373279717499</v>
      </c>
      <c r="E1993" s="129" t="n">
        <f aca="false">20*LOG10(MAX(D1993,0.000000000001)/$K$3)</f>
        <v>8.95473243808963</v>
      </c>
    </row>
    <row r="1994" customFormat="false" ht="15" hidden="false" customHeight="false" outlineLevel="0" collapsed="false">
      <c r="A1994" s="122" t="n">
        <f aca="false">A1993+$F$3</f>
        <v>19880</v>
      </c>
      <c r="B1994" s="123" t="n">
        <f aca="false">SUMPRODUCT(固有振動数!$Q$6:$Q$22*(1-($A1994/固有振動数!$O$6:$O$22)^2)/((1-($A1994/固有振動数!$O$6:$O$22)^2)^2+固有振動数!$P$6:$P$22^2))</f>
        <v>-1.86786279449143</v>
      </c>
      <c r="C1994" s="123" t="n">
        <f aca="false">-SUMPRODUCT(固有振動数!$Q$6:$Q$22*固有振動数!$P$6:$P$22/((1-($A1994/固有振動数!$O$6:$O$22)^2)^2+固有振動数!$P$6:$P$22^2))</f>
        <v>-2.00327339471363</v>
      </c>
      <c r="D1994" s="124" t="n">
        <f aca="false">SQRT(B1994^2+C1994^2)</f>
        <v>2.73898077996411</v>
      </c>
      <c r="E1994" s="125" t="n">
        <f aca="false">20*LOG10(MAX(D1994,0.000000000001)/$K$3)</f>
        <v>8.75177969447816</v>
      </c>
    </row>
    <row r="1995" customFormat="false" ht="15" hidden="false" customHeight="false" outlineLevel="0" collapsed="false">
      <c r="A1995" s="126" t="n">
        <f aca="false">A1994+$F$3</f>
        <v>19890</v>
      </c>
      <c r="B1995" s="127" t="n">
        <f aca="false">SUMPRODUCT(固有振動数!$Q$6:$Q$22*(1-($A1995/固有振動数!$O$6:$O$22)^2)/((1-($A1995/固有振動数!$O$6:$O$22)^2)^2+固有振動数!$P$6:$P$22^2))</f>
        <v>-1.77797813296982</v>
      </c>
      <c r="C1995" s="127" t="n">
        <f aca="false">-SUMPRODUCT(固有振動数!$Q$6:$Q$22*固有振動数!$P$6:$P$22/((1-($A1995/固有振動数!$O$6:$O$22)^2)^2+固有振動数!$P$6:$P$22^2))</f>
        <v>-2.0000611053985</v>
      </c>
      <c r="D1995" s="128" t="n">
        <f aca="false">SQRT(B1995^2+C1995^2)</f>
        <v>2.67608868811307</v>
      </c>
      <c r="E1995" s="129" t="n">
        <f aca="false">20*LOG10(MAX(D1995,0.000000000001)/$K$3)</f>
        <v>8.5500100452929</v>
      </c>
    </row>
    <row r="1996" customFormat="false" ht="15" hidden="false" customHeight="false" outlineLevel="0" collapsed="false">
      <c r="A1996" s="122" t="n">
        <f aca="false">A1995+$F$3</f>
        <v>19900</v>
      </c>
      <c r="B1996" s="123" t="n">
        <f aca="false">SUMPRODUCT(固有振動数!$Q$6:$Q$22*(1-($A1996/固有振動数!$O$6:$O$22)^2)/((1-($A1996/固有振動数!$O$6:$O$22)^2)^2+固有振動数!$P$6:$P$22^2))</f>
        <v>-1.68836502098207</v>
      </c>
      <c r="C1996" s="123" t="n">
        <f aca="false">-SUMPRODUCT(固有振動数!$Q$6:$Q$22*固有振動数!$P$6:$P$22/((1-($A1996/固有振動数!$O$6:$O$22)^2)^2+固有振動数!$P$6:$P$22^2))</f>
        <v>-1.99710918635685</v>
      </c>
      <c r="D1996" s="124" t="n">
        <f aca="false">SQRT(B1996^2+C1996^2)</f>
        <v>2.61515229887414</v>
      </c>
      <c r="E1996" s="125" t="n">
        <f aca="false">20*LOG10(MAX(D1996,0.000000000001)/$K$3)</f>
        <v>8.34993971978002</v>
      </c>
    </row>
    <row r="1997" customFormat="false" ht="15" hidden="false" customHeight="false" outlineLevel="0" collapsed="false">
      <c r="A1997" s="126" t="n">
        <f aca="false">A1996+$F$3</f>
        <v>19910</v>
      </c>
      <c r="B1997" s="127" t="n">
        <f aca="false">SUMPRODUCT(固有振動数!$Q$6:$Q$22*(1-($A1997/固有振動数!$O$6:$O$22)^2)/((1-($A1997/固有振動数!$O$6:$O$22)^2)^2+固有振動数!$P$6:$P$22^2))</f>
        <v>-1.59901223108985</v>
      </c>
      <c r="C1997" s="127" t="n">
        <f aca="false">-SUMPRODUCT(固有振動数!$Q$6:$Q$22*固有振動数!$P$6:$P$22/((1-($A1997/固有振動数!$O$6:$O$22)^2)^2+固有振動数!$P$6:$P$22^2))</f>
        <v>-1.99441648202007</v>
      </c>
      <c r="D1997" s="128" t="n">
        <f aca="false">SQRT(B1997^2+C1997^2)</f>
        <v>2.55627408916342</v>
      </c>
      <c r="E1997" s="129" t="n">
        <f aca="false">20*LOG10(MAX(D1997,0.000000000001)/$K$3)</f>
        <v>8.1521483592842</v>
      </c>
    </row>
    <row r="1998" customFormat="false" ht="15" hidden="false" customHeight="false" outlineLevel="0" collapsed="false">
      <c r="A1998" s="122" t="n">
        <f aca="false">A1997+$F$3</f>
        <v>19920</v>
      </c>
      <c r="B1998" s="123" t="n">
        <f aca="false">SUMPRODUCT(固有振動数!$Q$6:$Q$22*(1-($A1998/固有振動数!$O$6:$O$22)^2)/((1-($A1998/固有振動数!$O$6:$O$22)^2)^2+固有振動数!$P$6:$P$22^2))</f>
        <v>-1.50990861037274</v>
      </c>
      <c r="C1998" s="123" t="n">
        <f aca="false">-SUMPRODUCT(固有振動数!$Q$6:$Q$22*固有振動数!$P$6:$P$22/((1-($A1998/固有振動数!$O$6:$O$22)^2)^2+固有振動数!$P$6:$P$22^2))</f>
        <v>-1.99198196744397</v>
      </c>
      <c r="D1998" s="124" t="n">
        <f aca="false">SQRT(B1998^2+C1998^2)</f>
        <v>2.49956319590037</v>
      </c>
      <c r="E1998" s="125" t="n">
        <f aca="false">20*LOG10(MAX(D1998,0.000000000001)/$K$3)</f>
        <v>7.95728242796428</v>
      </c>
    </row>
    <row r="1999" customFormat="false" ht="15" hidden="false" customHeight="false" outlineLevel="0" collapsed="false">
      <c r="A1999" s="126" t="n">
        <f aca="false">A1998+$F$3</f>
        <v>19930</v>
      </c>
      <c r="B1999" s="127" t="n">
        <f aca="false">SUMPRODUCT(固有振動数!$Q$6:$Q$22*(1-($A1999/固有振動数!$O$6:$O$22)^2)/((1-($A1999/固有振動数!$O$6:$O$22)^2)^2+固有振動数!$P$6:$P$22^2))</f>
        <v>-1.42104307544394</v>
      </c>
      <c r="C1999" s="127" t="n">
        <f aca="false">-SUMPRODUCT(固有振動数!$Q$6:$Q$22*固有振動数!$P$6:$P$22/((1-($A1999/固有振動数!$O$6:$O$22)^2)^2+固有振動数!$P$6:$P$22^2))</f>
        <v>-1.98980474732338</v>
      </c>
      <c r="D1999" s="128" t="n">
        <f aca="false">SQRT(B1999^2+C1999^2)</f>
        <v>2.44513524262725</v>
      </c>
      <c r="E1999" s="129" t="n">
        <f aca="false">20*LOG10(MAX(D1999,0.000000000001)/$K$3)</f>
        <v>7.76605770683986</v>
      </c>
    </row>
    <row r="2000" customFormat="false" ht="15" hidden="false" customHeight="false" outlineLevel="0" collapsed="false">
      <c r="A2000" s="122" t="n">
        <f aca="false">A1999+$F$3</f>
        <v>19940</v>
      </c>
      <c r="B2000" s="123" t="n">
        <f aca="false">SUMPRODUCT(固有振動数!$Q$6:$Q$22*(1-($A2000/固有振動数!$O$6:$O$22)^2)/((1-($A2000/固有振動数!$O$6:$O$22)^2)^2+固有振動数!$P$6:$P$22^2))</f>
        <v>-1.33240460751938</v>
      </c>
      <c r="C2000" s="123" t="n">
        <f aca="false">-SUMPRODUCT(固有振動数!$Q$6:$Q$22*固有振動数!$P$6:$P$22/((1-($A2000/固有振動数!$O$6:$O$22)^2)^2+固有振動数!$P$6:$P$22^2))</f>
        <v>-1.98788405514667</v>
      </c>
      <c r="D2000" s="124" t="n">
        <f aca="false">SQRT(B2000^2+C2000^2)</f>
        <v>2.39311200215227</v>
      </c>
      <c r="E2000" s="125" t="n">
        <f aca="false">20*LOG10(MAX(D2000,0.000000000001)/$K$3)</f>
        <v>7.57926049778825</v>
      </c>
    </row>
    <row r="2001" customFormat="false" ht="15" hidden="false" customHeight="false" outlineLevel="0" collapsed="false">
      <c r="A2001" s="126" t="n">
        <f aca="false">A2000+$F$3</f>
        <v>19950</v>
      </c>
      <c r="B2001" s="127" t="n">
        <f aca="false">SUMPRODUCT(固有振動数!$Q$6:$Q$22*(1-($A2001/固有振動数!$O$6:$O$22)^2)/((1-($A2001/固有振動数!$O$6:$O$22)^2)^2+固有振動数!$P$6:$P$22^2))</f>
        <v>-1.243982247536</v>
      </c>
      <c r="C2001" s="127" t="n">
        <f aca="false">-SUMPRODUCT(固有振動数!$Q$6:$Q$22*固有振動数!$P$6:$P$22/((1-($A2001/固有振動数!$O$6:$O$22)^2)^2+固有振動数!$P$6:$P$22^2))</f>
        <v>-1.98621925248858</v>
      </c>
      <c r="D2001" s="128" t="n">
        <f aca="false">SQRT(B2001^2+C2001^2)</f>
        <v>2.34362086335248</v>
      </c>
      <c r="E2001" s="129" t="n">
        <f aca="false">20*LOG10(MAX(D2001,0.000000000001)/$K$3)</f>
        <v>7.39774711047238</v>
      </c>
    </row>
    <row r="2002" customFormat="false" ht="15" hidden="false" customHeight="false" outlineLevel="0" collapsed="false">
      <c r="A2002" s="122" t="n">
        <f aca="false">A2001+$F$3</f>
        <v>19960</v>
      </c>
      <c r="B2002" s="123" t="n">
        <f aca="false">SUMPRODUCT(固有振動数!$Q$6:$Q$22*(1-($A2002/固有振動数!$O$6:$O$22)^2)/((1-($A2002/固有振動数!$O$6:$O$22)^2)^2+固有振動数!$P$6:$P$22^2))</f>
        <v>-1.15576509131484</v>
      </c>
      <c r="C2002" s="123" t="n">
        <f aca="false">-SUMPRODUCT(固有振動数!$Q$6:$Q$22*固有振動数!$P$6:$P$22/((1-($A2002/固有振動数!$O$6:$O$22)^2)^2+固有振動数!$P$6:$P$22^2))</f>
        <v>-1.98480982843998</v>
      </c>
      <c r="D2002" s="124" t="n">
        <f aca="false">SQRT(B2002^2+C2002^2)</f>
        <v>2.2967940703019</v>
      </c>
      <c r="E2002" s="125" t="n">
        <f aca="false">20*LOG10(MAX(D2002,0.000000000001)/$K$3)</f>
        <v>7.2224411651914</v>
      </c>
    </row>
    <row r="2003" customFormat="false" ht="15" hidden="false" customHeight="false" outlineLevel="0" collapsed="false">
      <c r="A2003" s="126" t="n">
        <f aca="false">A2002+$F$3</f>
        <v>19970</v>
      </c>
      <c r="B2003" s="127" t="n">
        <f aca="false">SUMPRODUCT(固有振動数!$Q$6:$Q$22*(1-($A2003/固有振動数!$O$6:$O$22)^2)/((1-($A2003/固有振動数!$O$6:$O$22)^2)^2+固有振動数!$P$6:$P$22^2))</f>
        <v>-1.06774228476465</v>
      </c>
      <c r="C2003" s="127" t="n">
        <f aca="false">-SUMPRODUCT(固有振動数!$Q$6:$Q$22*固有振動数!$P$6:$P$22/((1-($A2003/固有振動数!$O$6:$O$22)^2)^2+固有振動数!$P$6:$P$22^2))</f>
        <v>-1.98365539917354</v>
      </c>
      <c r="D2003" s="128" t="n">
        <f aca="false">SQRT(B2003^2+C2003^2)</f>
        <v>2.25276770425732</v>
      </c>
      <c r="E2003" s="129" t="n">
        <f aca="false">20*LOG10(MAX(D2003,0.000000000001)/$K$3)</f>
        <v>7.05432822896894</v>
      </c>
    </row>
    <row r="2004" customFormat="false" ht="15" hidden="false" customHeight="false" outlineLevel="0" collapsed="false">
      <c r="A2004" s="122" t="n">
        <f aca="false">A2003+$F$3</f>
        <v>19980</v>
      </c>
      <c r="B2004" s="123" t="n">
        <f aca="false">SUMPRODUCT(固有振動数!$Q$6:$Q$22*(1-($A2004/固有振動数!$O$6:$O$22)^2)/((1-($A2004/固有振動数!$O$6:$O$22)^2)^2+固有振動数!$P$6:$P$22^2))</f>
        <v>-0.979903019121712</v>
      </c>
      <c r="C2004" s="123" t="n">
        <f aca="false">-SUMPRODUCT(固有振動数!$Q$6:$Q$22*固有振動数!$P$6:$P$22/((1-($A2004/固有振動数!$O$6:$O$22)^2)^2+固有振動数!$P$6:$P$22^2))</f>
        <v>-1.98275570764456</v>
      </c>
      <c r="D2004" s="124" t="n">
        <f aca="false">SQRT(B2004^2+C2004^2)</f>
        <v>2.21168038447713</v>
      </c>
      <c r="E2004" s="125" t="n">
        <f aca="false">20*LOG10(MAX(D2004,0.000000000001)/$K$3)</f>
        <v>6.89444732347488</v>
      </c>
    </row>
    <row r="2005" customFormat="false" ht="15" hidden="false" customHeight="false" outlineLevel="0" collapsed="false">
      <c r="A2005" s="126" t="n">
        <f aca="false">A2004+$F$3</f>
        <v>19990</v>
      </c>
      <c r="B2005" s="127" t="n">
        <f aca="false">SUMPRODUCT(固有振動数!$Q$6:$Q$22*(1-($A2005/固有振動数!$O$6:$O$22)^2)/((1-($A2005/固有振動数!$O$6:$O$22)^2)^2+固有振動数!$P$6:$P$22^2))</f>
        <v>-0.892236526221841</v>
      </c>
      <c r="C2005" s="127" t="n">
        <f aca="false">-SUMPRODUCT(固有振動数!$Q$6:$Q$22*固有振動数!$P$6:$P$22/((1-($A2005/固有振動数!$O$6:$O$22)^2)^2+固有振動数!$P$6:$P$22^2))</f>
        <v>-1.9821106234263</v>
      </c>
      <c r="D2005" s="128" t="n">
        <f aca="false">SQRT(B2005^2+C2005^2)</f>
        <v>2.17367167305088</v>
      </c>
      <c r="E2005" s="129" t="n">
        <f aca="false">20*LOG10(MAX(D2005,0.000000000001)/$K$3)</f>
        <v>6.74387891505452</v>
      </c>
    </row>
    <row r="2006" customFormat="false" ht="15" hidden="false" customHeight="false" outlineLevel="0" collapsed="false">
      <c r="A2006" s="122" t="n">
        <f aca="false">A2005+$F$3</f>
        <v>20000</v>
      </c>
      <c r="B2006" s="123" t="n">
        <f aca="false">SUMPRODUCT(固有振動数!$Q$6:$Q$22*(1-($A2006/固有振動数!$O$6:$O$22)^2)/((1-($A2006/固有振動数!$O$6:$O$22)^2)^2+固有振動数!$P$6:$P$22^2))</f>
        <v>-0.804732073800479</v>
      </c>
      <c r="C2006" s="123" t="n">
        <f aca="false">-SUMPRODUCT(固有振動数!$Q$6:$Q$22*固有振動数!$P$6:$P$22/((1-($A2006/固有振動数!$O$6:$O$22)^2)^2+固有振動数!$P$6:$P$22^2))</f>
        <v>-1.98172014267958</v>
      </c>
      <c r="D2006" s="124" t="n">
        <f aca="false">SQRT(B2006^2+C2006^2)</f>
        <v>2.138880182363</v>
      </c>
      <c r="E2006" s="125" t="n">
        <f aca="false">20*LOG10(MAX(D2006,0.000000000001)/$K$3)</f>
        <v>6.60372913139261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41" activeCellId="0" sqref="D4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39" min="12" style="0" width="6"/>
  </cols>
  <sheetData>
    <row r="1" customFormat="false" ht="19.7" hidden="false" customHeight="false" outlineLevel="0" collapsed="false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customFormat="false" ht="15" hidden="false" customHeight="false" outlineLevel="0" collapsed="false">
      <c r="A2" s="11" t="s">
        <v>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customFormat="false" ht="17.15" hidden="false" customHeight="false" outlineLevel="0" collapsed="false">
      <c r="A3" s="57" t="s">
        <v>336</v>
      </c>
      <c r="B3" s="4"/>
      <c r="C3" s="72" t="n">
        <v>1250</v>
      </c>
      <c r="D3" s="57" t="s">
        <v>337</v>
      </c>
      <c r="E3" s="4"/>
      <c r="F3" s="72" t="n">
        <v>16000</v>
      </c>
      <c r="G3" s="57" t="s">
        <v>338</v>
      </c>
      <c r="H3" s="4"/>
      <c r="I3" s="118" t="n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19.4" hidden="false" customHeight="false" outlineLevel="0" collapsed="false">
      <c r="A5" s="5" t="s">
        <v>339</v>
      </c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false" ht="15" hidden="false" customHeight="false" outlineLevel="0" collapsed="false">
      <c r="A6" s="47" t="s">
        <v>340</v>
      </c>
      <c r="B6" s="72" t="n">
        <v>1800</v>
      </c>
      <c r="C6" s="133" t="s">
        <v>341</v>
      </c>
      <c r="D6" s="133"/>
      <c r="E6" s="133"/>
      <c r="F6" s="13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customFormat="false" ht="15" hidden="false" customHeight="false" outlineLevel="0" collapsed="false">
      <c r="A7" s="47" t="s">
        <v>342</v>
      </c>
      <c r="B7" s="72" t="n">
        <v>3200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customFormat="false" ht="15" hidden="false" customHeight="false" outlineLevel="0" collapsed="false">
      <c r="A8" s="47" t="s">
        <v>343</v>
      </c>
      <c r="B8" s="72" t="n">
        <v>5000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customFormat="false" ht="15" hidden="false" customHeight="false" outlineLevel="0" collapsed="false">
      <c r="A9" s="47" t="s">
        <v>344</v>
      </c>
      <c r="B9" s="72" t="n">
        <v>7100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customFormat="false" ht="15" hidden="false" customHeight="false" outlineLevel="0" collapsed="false">
      <c r="A10" s="47" t="s">
        <v>345</v>
      </c>
      <c r="B10" s="72" t="n">
        <v>9400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customFormat="false" ht="15" hidden="false" customHeight="false" outlineLevel="0" collapsed="false">
      <c r="A11" s="47" t="s">
        <v>346</v>
      </c>
      <c r="B11" s="7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false" ht="15" hidden="false" customHeight="false" outlineLevel="0" collapsed="false">
      <c r="A12" s="47" t="s">
        <v>347</v>
      </c>
      <c r="B12" s="7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false" ht="15" hidden="false" customHeight="false" outlineLevel="0" collapsed="false">
      <c r="A13" s="47" t="s">
        <v>348</v>
      </c>
      <c r="B13" s="7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false" ht="15" hidden="false" customHeight="false" outlineLevel="0" collapsed="false">
      <c r="A14" s="47" t="s">
        <v>349</v>
      </c>
      <c r="B14" s="7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15" hidden="false" customHeight="false" outlineLevel="0" collapsed="false">
      <c r="A15" s="47" t="s">
        <v>350</v>
      </c>
      <c r="B15" s="7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15" hidden="false" customHeight="false" outlineLevel="0" collapsed="false">
      <c r="A17" s="13" t="s">
        <v>265</v>
      </c>
      <c r="B17" s="12" t="s">
        <v>280</v>
      </c>
      <c r="C17" s="13" t="s">
        <v>278</v>
      </c>
      <c r="D17" s="12" t="s">
        <v>351</v>
      </c>
      <c r="E17" s="12" t="s">
        <v>352</v>
      </c>
      <c r="F17" s="12" t="s">
        <v>353</v>
      </c>
      <c r="G17" s="12" t="s">
        <v>354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false" ht="17.15" hidden="false" customHeight="false" outlineLevel="0" collapsed="false">
      <c r="A18" s="38" t="n">
        <v>1</v>
      </c>
      <c r="B18" s="21" t="str">
        <f aca="false">固有振動数!$R$6</f>
        <v>面外曲げ 1次</v>
      </c>
      <c r="C18" s="58" t="n">
        <f aca="false">固有振動数!$I$6</f>
        <v>2135.70392475568</v>
      </c>
      <c r="D18" s="45" t="str">
        <f aca="false">IF(AND(C18&gt;=$C$3,C18&lt;=$F$3),"○ 帯域内","− 帯域外")</f>
        <v>○ 帯域内</v>
      </c>
      <c r="E18" s="134" t="n">
        <f aca="false">MIN(L18:AB18)</f>
        <v>43.9521498828995</v>
      </c>
      <c r="F18" s="135" t="n">
        <f aca="false">MIN(AD18:AM18)</f>
        <v>15.7186546723271</v>
      </c>
      <c r="G18" s="136" t="str">
        <f aca="false">IF(D18="− 帯域外","− 対象外",IF(OR(E18&lt;$I$3,F18&lt;$I$3),"🔴 高リスク",IF(OR(E18&lt;$I$3*2,F18&lt;$I$3*2),"🟡 中リスク","🟢 低リスク")))</f>
        <v>🟢 低リスク</v>
      </c>
      <c r="H18" s="4"/>
      <c r="I18" s="4"/>
      <c r="J18" s="4"/>
      <c r="K18" s="4"/>
      <c r="L18" s="137" t="n">
        <f aca="false">IF(OR(0=0,$C18&lt;=0,$C$18&lt;=0),1000000,ABS($C18-$C$18)/$C18*100)</f>
        <v>1000000</v>
      </c>
      <c r="M18" s="137" t="n">
        <f aca="false">IF(OR(1=0,$C18&lt;=0,$C$19&lt;=0),1000000,ABS($C18-$C$19)/$C18*100)</f>
        <v>148.51657696452</v>
      </c>
      <c r="N18" s="137" t="n">
        <f aca="false">IF(OR(2=0,$C18&lt;=0,$C$20&lt;=0),1000000,ABS($C18-$C$20)/$C18*100)</f>
        <v>330.260812463692</v>
      </c>
      <c r="O18" s="137" t="n">
        <f aca="false">IF(OR(3=0,$C18&lt;=0,$C$21&lt;=0),1000000,ABS($C18-$C$21)/$C18*100)</f>
        <v>525.405231484193</v>
      </c>
      <c r="P18" s="137" t="n">
        <f aca="false">IF(OR(4=0,$C18&lt;=0,$C$22&lt;=0),1000000,ABS($C18-$C$22)/$C18*100)</f>
        <v>724.635008791116</v>
      </c>
      <c r="Q18" s="137" t="n">
        <f aca="false">IF(OR(5=0,$C18&lt;=0,$C$23&lt;=0),1000000,ABS($C18-$C$23)/$C18*100)</f>
        <v>924.015326734556</v>
      </c>
      <c r="R18" s="137" t="n">
        <f aca="false">IF(OR(6=0,$C18&lt;=0,$C$24&lt;=0),1000000,ABS($C18-$C$24)/$C18*100)</f>
        <v>43.9521498828995</v>
      </c>
      <c r="S18" s="137" t="n">
        <f aca="false">IF(OR(7=0,$C18&lt;=0,$C$25&lt;=0),1000000,ABS($C18-$C$25)/$C18*100)</f>
        <v>187.904299765799</v>
      </c>
      <c r="T18" s="137" t="n">
        <f aca="false">IF(OR(8=0,$C18&lt;=0,$C$26&lt;=0),1000000,ABS($C18-$C$26)/$C18*100)</f>
        <v>331.856449648699</v>
      </c>
      <c r="U18" s="137" t="n">
        <f aca="false">IF(OR(9=0,$C18&lt;=0,$C$27&lt;=0),1000000,ABS($C18-$C$27)/$C18*100)</f>
        <v>475.808599531598</v>
      </c>
      <c r="V18" s="137" t="n">
        <f aca="false">IF(OR(10=0,$C18&lt;=0,$C$28&lt;=0),1000000,ABS($C18-$C$28)/$C18*100)</f>
        <v>323.296004046735</v>
      </c>
      <c r="W18" s="137" t="n">
        <f aca="false">IF(OR(11=0,$C18&lt;=0,$C$29&lt;=0),1000000,ABS($C18-$C$29)/$C18*100)</f>
        <v>748.626800127542</v>
      </c>
      <c r="X18" s="137" t="n">
        <f aca="false">IF(OR(12=0,$C18&lt;=0,$C$30&lt;=0),1000000,ABS($C18-$C$30)/$C18*100)</f>
        <v>1172.24488743532</v>
      </c>
      <c r="Y18" s="137" t="n">
        <f aca="false">IF(OR(13=0,$C18&lt;=0,$C$31&lt;=0),1000000,ABS($C18-$C$31)/$C18*100)</f>
        <v>1587.36015994442</v>
      </c>
      <c r="Z18" s="137" t="n">
        <f aca="false">IF(OR(14=0,$C18&lt;=0,$C$32&lt;=0),1000000,ABS($C18-$C$32)/$C18*100)</f>
        <v>701.046191245103</v>
      </c>
      <c r="AA18" s="137" t="n">
        <f aca="false">IF(OR(15=0,$C18&lt;=0,$C$33&lt;=0),1000000,ABS($C18-$C$33)/$C18*100)</f>
        <v>1502.09238249021</v>
      </c>
      <c r="AB18" s="137" t="n">
        <f aca="false">IF(OR(16=0,$C18&lt;=0,$C$34&lt;=0),1000000,ABS($C18-$C$34)/$C18*100)</f>
        <v>2303.13857373531</v>
      </c>
      <c r="AC18" s="4"/>
      <c r="AD18" s="137" t="n">
        <f aca="false">IF(OR($B$6="",$B$6&lt;=0,$C18&lt;=0),1000000,ABS($C18-$B$6)/$C18*100)</f>
        <v>15.7186546723271</v>
      </c>
      <c r="AE18" s="137" t="n">
        <f aca="false">IF(OR($B$7="",$B$7&lt;=0,$C18&lt;=0),1000000,ABS($C18-$B$7)/$C18*100)</f>
        <v>49.8335028047518</v>
      </c>
      <c r="AF18" s="137" t="n">
        <f aca="false">IF(OR($B$8="",$B$8&lt;=0,$C18&lt;=0),1000000,ABS($C18-$B$8)/$C18*100)</f>
        <v>134.114848132425</v>
      </c>
      <c r="AG18" s="137" t="n">
        <f aca="false">IF(OR($B$9="",$B$9&lt;=0,$C18&lt;=0),1000000,ABS($C18-$B$9)/$C18*100)</f>
        <v>232.443084348043</v>
      </c>
      <c r="AH18" s="137" t="n">
        <f aca="false">IF(OR($B$10="",$B$10&lt;=0,$C18&lt;=0),1000000,ABS($C18-$B$10)/$C18*100)</f>
        <v>340.135914488958</v>
      </c>
      <c r="AI18" s="137" t="n">
        <f aca="false">IF(OR($B$11="",$B$11&lt;=0,$C18&lt;=0),1000000,ABS($C18-$B$11)/$C18*100)</f>
        <v>1000000</v>
      </c>
      <c r="AJ18" s="137" t="n">
        <f aca="false">IF(OR($B$12="",$B$12&lt;=0,$C18&lt;=0),1000000,ABS($C18-$B$12)/$C18*100)</f>
        <v>1000000</v>
      </c>
      <c r="AK18" s="137" t="n">
        <f aca="false">IF(OR($B$13="",$B$13&lt;=0,$C18&lt;=0),1000000,ABS($C18-$B$13)/$C18*100)</f>
        <v>1000000</v>
      </c>
      <c r="AL18" s="137" t="n">
        <f aca="false">IF(OR($B$14="",$B$14&lt;=0,$C18&lt;=0),1000000,ABS($C18-$B$14)/$C18*100)</f>
        <v>1000000</v>
      </c>
      <c r="AM18" s="137" t="n">
        <f aca="false">IF(OR($B$15="",$B$15&lt;=0,$C18&lt;=0),1000000,ABS($C18-$B$15)/$C18*100)</f>
        <v>1000000</v>
      </c>
      <c r="AN18" s="4"/>
    </row>
    <row r="19" customFormat="false" ht="17.15" hidden="false" customHeight="false" outlineLevel="0" collapsed="false">
      <c r="A19" s="47" t="n">
        <v>2</v>
      </c>
      <c r="B19" s="6" t="str">
        <f aca="false">固有振動数!$R$7</f>
        <v>面外曲げ 2次</v>
      </c>
      <c r="C19" s="58" t="n">
        <f aca="false">固有振動数!$I$7</f>
        <v>5307.57828789974</v>
      </c>
      <c r="D19" s="53" t="str">
        <f aca="false">IF(AND(C19&gt;=$C$3,C19&lt;=$F$3),"○ 帯域内","− 帯域外")</f>
        <v>○ 帯域内</v>
      </c>
      <c r="E19" s="138" t="n">
        <f aca="false">MIN(L19:AB19)</f>
        <v>15.8491329964285</v>
      </c>
      <c r="F19" s="139" t="n">
        <f aca="false">MIN(AD19:AM19)</f>
        <v>5.79507774008646</v>
      </c>
      <c r="G19" s="140" t="str">
        <f aca="false">IF(D19="− 帯域外","− 対象外",IF(OR(E19&lt;$I$3,F19&lt;$I$3),"🔴 高リスク",IF(OR(E19&lt;$I$3*2,F19&lt;$I$3*2),"🟡 中リスク","🟢 低リスク")))</f>
        <v>🟡 中リスク</v>
      </c>
      <c r="H19" s="4"/>
      <c r="I19" s="4"/>
      <c r="J19" s="4"/>
      <c r="K19" s="4"/>
      <c r="L19" s="141" t="n">
        <f aca="false">IF(OR(0=1,$C19&lt;=0,$C$18&lt;=0),1000000,ABS($C19-$C$18)/$C19*100)</f>
        <v>59.7612355596397</v>
      </c>
      <c r="M19" s="141" t="n">
        <f aca="false">IF(OR(1=1,$C19&lt;=0,$C$19&lt;=0),1000000,ABS($C19-$C$19)/$C19*100)</f>
        <v>1000000</v>
      </c>
      <c r="N19" s="141" t="n">
        <f aca="false">IF(OR(2=1,$C19&lt;=0,$C$20&lt;=0),1000000,ABS($C19-$C$20)/$C19*100)</f>
        <v>73.1316348064454</v>
      </c>
      <c r="O19" s="141" t="n">
        <f aca="false">IF(OR(3=1,$C19&lt;=0,$C$21&lt;=0),1000000,ABS($C19-$C$21)/$C19*100)</f>
        <v>151.655337894614</v>
      </c>
      <c r="P19" s="141" t="n">
        <f aca="false">IF(OR(4=1,$C19&lt;=0,$C$22&lt;=0),1000000,ABS($C19-$C$22)/$C19*100)</f>
        <v>231.822938680201</v>
      </c>
      <c r="Q19" s="141" t="n">
        <f aca="false">IF(OR(5=1,$C19&lt;=0,$C$23&lt;=0),1000000,ABS($C19-$C$23)/$C19*100)</f>
        <v>312.051115157903</v>
      </c>
      <c r="R19" s="141" t="n">
        <f aca="false">IF(OR(6=1,$C19&lt;=0,$C$24&lt;=0),1000000,ABS($C19-$C$24)/$C19*100)</f>
        <v>42.0754335017857</v>
      </c>
      <c r="S19" s="141" t="n">
        <f aca="false">IF(OR(7=1,$C19&lt;=0,$C$25&lt;=0),1000000,ABS($C19-$C$25)/$C19*100)</f>
        <v>15.8491329964285</v>
      </c>
      <c r="T19" s="141" t="n">
        <f aca="false">IF(OR(8=1,$C19&lt;=0,$C$26&lt;=0),1000000,ABS($C19-$C$26)/$C19*100)</f>
        <v>73.7736994946428</v>
      </c>
      <c r="U19" s="141" t="n">
        <f aca="false">IF(OR(9=1,$C19&lt;=0,$C$27&lt;=0),1000000,ABS($C19-$C$27)/$C19*100)</f>
        <v>131.698265992857</v>
      </c>
      <c r="V19" s="141" t="n">
        <f aca="false">IF(OR(10=1,$C19&lt;=0,$C$28&lt;=0),1000000,ABS($C19-$C$28)/$C19*100)</f>
        <v>70.3290819538236</v>
      </c>
      <c r="W19" s="141" t="n">
        <f aca="false">IF(OR(11=1,$C19&lt;=0,$C$29&lt;=0),1000000,ABS($C19-$C$29)/$C19*100)</f>
        <v>241.476939081088</v>
      </c>
      <c r="X19" s="141" t="n">
        <f aca="false">IF(OR(12=1,$C19&lt;=0,$C$30&lt;=0),1000000,ABS($C19-$C$30)/$C19*100)</f>
        <v>411.935623359626</v>
      </c>
      <c r="Y19" s="141" t="n">
        <f aca="false">IF(OR(13=1,$C19&lt;=0,$C$31&lt;=0),1000000,ABS($C19-$C$31)/$C19*100)</f>
        <v>578.972880020522</v>
      </c>
      <c r="Z19" s="141" t="n">
        <f aca="false">IF(OR(14=1,$C19&lt;=0,$C$32&lt;=0),1000000,ABS($C19-$C$32)/$C19*100)</f>
        <v>222.331089953595</v>
      </c>
      <c r="AA19" s="141" t="n">
        <f aca="false">IF(OR(15=1,$C19&lt;=0,$C$33&lt;=0),1000000,ABS($C19-$C$33)/$C19*100)</f>
        <v>544.66217990719</v>
      </c>
      <c r="AB19" s="141" t="n">
        <f aca="false">IF(OR(16=1,$C19&lt;=0,$C$34&lt;=0),1000000,ABS($C19-$C$34)/$C19*100)</f>
        <v>866.993269860785</v>
      </c>
      <c r="AC19" s="4"/>
      <c r="AD19" s="141" t="n">
        <f aca="false">IF(OR($B$6="",$B$6&lt;=0,$C19&lt;=0),1000000,ABS($C19-$B$6)/$C19*100)</f>
        <v>66.0862279864311</v>
      </c>
      <c r="AE19" s="141" t="n">
        <f aca="false">IF(OR($B$7="",$B$7&lt;=0,$C19&lt;=0),1000000,ABS($C19-$B$7)/$C19*100)</f>
        <v>39.7088497536553</v>
      </c>
      <c r="AF19" s="141" t="n">
        <f aca="false">IF(OR($B$8="",$B$8&lt;=0,$C19&lt;=0),1000000,ABS($C19-$B$8)/$C19*100)</f>
        <v>5.79507774008646</v>
      </c>
      <c r="AG19" s="141" t="n">
        <f aca="false">IF(OR($B$9="",$B$9&lt;=0,$C19&lt;=0),1000000,ABS($C19-$B$9)/$C19*100)</f>
        <v>33.7709896090772</v>
      </c>
      <c r="AH19" s="141" t="n">
        <f aca="false">IF(OR($B$10="",$B$10&lt;=0,$C19&lt;=0),1000000,ABS($C19-$B$10)/$C19*100)</f>
        <v>77.1052538486375</v>
      </c>
      <c r="AI19" s="141" t="n">
        <f aca="false">IF(OR($B$11="",$B$11&lt;=0,$C19&lt;=0),1000000,ABS($C19-$B$11)/$C19*100)</f>
        <v>1000000</v>
      </c>
      <c r="AJ19" s="141" t="n">
        <f aca="false">IF(OR($B$12="",$B$12&lt;=0,$C19&lt;=0),1000000,ABS($C19-$B$12)/$C19*100)</f>
        <v>1000000</v>
      </c>
      <c r="AK19" s="141" t="n">
        <f aca="false">IF(OR($B$13="",$B$13&lt;=0,$C19&lt;=0),1000000,ABS($C19-$B$13)/$C19*100)</f>
        <v>1000000</v>
      </c>
      <c r="AL19" s="141" t="n">
        <f aca="false">IF(OR($B$14="",$B$14&lt;=0,$C19&lt;=0),1000000,ABS($C19-$B$14)/$C19*100)</f>
        <v>1000000</v>
      </c>
      <c r="AM19" s="141" t="n">
        <f aca="false">IF(OR($B$15="",$B$15&lt;=0,$C19&lt;=0),1000000,ABS($C19-$B$15)/$C19*100)</f>
        <v>1000000</v>
      </c>
      <c r="AN19" s="4"/>
    </row>
    <row r="20" customFormat="false" ht="17.15" hidden="false" customHeight="false" outlineLevel="0" collapsed="false">
      <c r="A20" s="38" t="n">
        <v>3</v>
      </c>
      <c r="B20" s="21" t="str">
        <f aca="false">固有振動数!$R$8</f>
        <v>面外曲げ 3次</v>
      </c>
      <c r="C20" s="58" t="n">
        <f aca="false">固有振動数!$I$8</f>
        <v>9189.09705847277</v>
      </c>
      <c r="D20" s="45" t="str">
        <f aca="false">IF(AND(C20&gt;=$C$3,C20&lt;=$F$3),"○ 帯域内","− 帯域外")</f>
        <v>○ 帯域内</v>
      </c>
      <c r="E20" s="134" t="n">
        <f aca="false">MIN(L20:AB20)</f>
        <v>0.370853477422102</v>
      </c>
      <c r="F20" s="135" t="n">
        <f aca="false">MIN(AD20:AM20)</f>
        <v>2.29514325711441</v>
      </c>
      <c r="G20" s="136" t="str">
        <f aca="false">IF(D20="− 帯域外","− 対象外",IF(OR(E20&lt;$I$3,F20&lt;$I$3),"🔴 高リスク",IF(OR(E20&lt;$I$3*2,F20&lt;$I$3*2),"🟡 中リスク","🟢 低リスク")))</f>
        <v>🔴 高リスク</v>
      </c>
      <c r="H20" s="4"/>
      <c r="I20" s="4"/>
      <c r="J20" s="4"/>
      <c r="K20" s="4"/>
      <c r="L20" s="137" t="n">
        <f aca="false">IF(OR(0=2,$C20&lt;=0,$C$18&lt;=0),1000000,ABS($C20-$C$18)/$C20*100)</f>
        <v>76.7582830917379</v>
      </c>
      <c r="M20" s="137" t="n">
        <f aca="false">IF(OR(1=2,$C20&lt;=0,$C$19&lt;=0),1000000,ABS($C20-$C$19)/$C20*100)</f>
        <v>42.2404807118028</v>
      </c>
      <c r="N20" s="137" t="n">
        <f aca="false">IF(OR(2=2,$C20&lt;=0,$C$20&lt;=0),1000000,ABS($C20-$C$20)/$C20*100)</f>
        <v>1000000</v>
      </c>
      <c r="O20" s="137" t="n">
        <f aca="false">IF(OR(3=2,$C20&lt;=0,$C$21&lt;=0),1000000,ABS($C20-$C$21)/$C20*100)</f>
        <v>45.3549134310176</v>
      </c>
      <c r="P20" s="137" t="n">
        <f aca="false">IF(OR(4=2,$C20&lt;=0,$C$22&lt;=0),1000000,ABS($C20-$C$22)/$C20*100)</f>
        <v>91.6593342696536</v>
      </c>
      <c r="Q20" s="137" t="n">
        <f aca="false">IF(OR(5=2,$C20&lt;=0,$C$23&lt;=0),1000000,ABS($C20-$C$23)/$C20*100)</f>
        <v>137.998743336861</v>
      </c>
      <c r="R20" s="137" t="n">
        <f aca="false">IF(OR(6=2,$C20&lt;=0,$C$24&lt;=0),1000000,ABS($C20-$C$24)/$C20*100)</f>
        <v>66.5430488408593</v>
      </c>
      <c r="S20" s="137" t="n">
        <f aca="false">IF(OR(7=2,$C20&lt;=0,$C$25&lt;=0),1000000,ABS($C20-$C$25)/$C20*100)</f>
        <v>33.0860976817186</v>
      </c>
      <c r="T20" s="137" t="n">
        <f aca="false">IF(OR(8=2,$C20&lt;=0,$C$26&lt;=0),1000000,ABS($C20-$C$26)/$C20*100)</f>
        <v>0.370853477422102</v>
      </c>
      <c r="U20" s="137" t="n">
        <f aca="false">IF(OR(9=2,$C20&lt;=0,$C$27&lt;=0),1000000,ABS($C20-$C$27)/$C20*100)</f>
        <v>33.8278046365628</v>
      </c>
      <c r="V20" s="137" t="n">
        <f aca="false">IF(OR(10=2,$C20&lt;=0,$C$28&lt;=0),1000000,ABS($C20-$C$28)/$C20*100)</f>
        <v>1.61874105547199</v>
      </c>
      <c r="W20" s="137" t="n">
        <f aca="false">IF(OR(11=2,$C20&lt;=0,$C$29&lt;=0),1000000,ABS($C20-$C$29)/$C20*100)</f>
        <v>97.2354384932867</v>
      </c>
      <c r="X20" s="137" t="n">
        <f aca="false">IF(OR(12=2,$C20&lt;=0,$C$30&lt;=0),1000000,ABS($C20-$C$30)/$C20*100)</f>
        <v>195.691555117556</v>
      </c>
      <c r="Y20" s="137" t="n">
        <f aca="false">IF(OR(13=2,$C20&lt;=0,$C$31&lt;=0),1000000,ABS($C20-$C$31)/$C20*100)</f>
        <v>292.171471597082</v>
      </c>
      <c r="Z20" s="137" t="n">
        <f aca="false">IF(OR(14=2,$C20&lt;=0,$C$32&lt;=0),1000000,ABS($C20-$C$32)/$C20*100)</f>
        <v>86.176888073603</v>
      </c>
      <c r="AA20" s="137" t="n">
        <f aca="false">IF(OR(15=2,$C20&lt;=0,$C$33&lt;=0),1000000,ABS($C20-$C$33)/$C20*100)</f>
        <v>272.353776147206</v>
      </c>
      <c r="AB20" s="137" t="n">
        <f aca="false">IF(OR(16=2,$C20&lt;=0,$C$34&lt;=0),1000000,ABS($C20-$C$34)/$C20*100)</f>
        <v>458.530664220809</v>
      </c>
      <c r="AC20" s="4"/>
      <c r="AD20" s="137" t="n">
        <f aca="false">IF(OR($B$6="",$B$6&lt;=0,$C20&lt;=0),1000000,ABS($C20-$B$6)/$C20*100)</f>
        <v>80.4115683124675</v>
      </c>
      <c r="AE20" s="137" t="n">
        <f aca="false">IF(OR($B$7="",$B$7&lt;=0,$C20&lt;=0),1000000,ABS($C20-$B$7)/$C20*100)</f>
        <v>65.1761214443866</v>
      </c>
      <c r="AF20" s="137" t="n">
        <f aca="false">IF(OR($B$8="",$B$8&lt;=0,$C20&lt;=0),1000000,ABS($C20-$B$8)/$C20*100)</f>
        <v>45.587689756854</v>
      </c>
      <c r="AG20" s="137" t="n">
        <f aca="false">IF(OR($B$9="",$B$9&lt;=0,$C20&lt;=0),1000000,ABS($C20-$B$9)/$C20*100)</f>
        <v>22.7345194547327</v>
      </c>
      <c r="AH20" s="137" t="n">
        <f aca="false">IF(OR($B$10="",$B$10&lt;=0,$C20&lt;=0),1000000,ABS($C20-$B$10)/$C20*100)</f>
        <v>2.29514325711441</v>
      </c>
      <c r="AI20" s="137" t="n">
        <f aca="false">IF(OR($B$11="",$B$11&lt;=0,$C20&lt;=0),1000000,ABS($C20-$B$11)/$C20*100)</f>
        <v>1000000</v>
      </c>
      <c r="AJ20" s="137" t="n">
        <f aca="false">IF(OR($B$12="",$B$12&lt;=0,$C20&lt;=0),1000000,ABS($C20-$B$12)/$C20*100)</f>
        <v>1000000</v>
      </c>
      <c r="AK20" s="137" t="n">
        <f aca="false">IF(OR($B$13="",$B$13&lt;=0,$C20&lt;=0),1000000,ABS($C20-$B$13)/$C20*100)</f>
        <v>1000000</v>
      </c>
      <c r="AL20" s="137" t="n">
        <f aca="false">IF(OR($B$14="",$B$14&lt;=0,$C20&lt;=0),1000000,ABS($C20-$B$14)/$C20*100)</f>
        <v>1000000</v>
      </c>
      <c r="AM20" s="137" t="n">
        <f aca="false">IF(OR($B$15="",$B$15&lt;=0,$C20&lt;=0),1000000,ABS($C20-$B$15)/$C20*100)</f>
        <v>1000000</v>
      </c>
      <c r="AN20" s="4"/>
    </row>
    <row r="21" customFormat="false" ht="17.15" hidden="false" customHeight="false" outlineLevel="0" collapsed="false">
      <c r="A21" s="47" t="n">
        <v>4</v>
      </c>
      <c r="B21" s="6" t="str">
        <f aca="false">固有振動数!$R$9</f>
        <v>面外曲げ 4次</v>
      </c>
      <c r="C21" s="58" t="n">
        <f aca="false">固有振動数!$I$9</f>
        <v>13356.8040744353</v>
      </c>
      <c r="D21" s="53" t="str">
        <f aca="false">IF(AND(C21&gt;=$C$3,C21&lt;=$F$3),"○ 帯域内","− 帯域外")</f>
        <v>○ 帯域内</v>
      </c>
      <c r="E21" s="138" t="n">
        <f aca="false">MIN(L21:AB21)</f>
        <v>7.93031932830072</v>
      </c>
      <c r="F21" s="139" t="n">
        <f aca="false">MIN(AD21:AM21)</f>
        <v>29.6238834708112</v>
      </c>
      <c r="G21" s="140" t="str">
        <f aca="false">IF(D21="− 帯域外","− 対象外",IF(OR(E21&lt;$I$3,F21&lt;$I$3),"🔴 高リスク",IF(OR(E21&lt;$I$3*2,F21&lt;$I$3*2),"🟡 中リスク","🟢 低リスク")))</f>
        <v>🟢 低リスク</v>
      </c>
      <c r="H21" s="4"/>
      <c r="I21" s="4"/>
      <c r="J21" s="4"/>
      <c r="K21" s="4"/>
      <c r="L21" s="141" t="n">
        <f aca="false">IF(OR(0=3,$C21&lt;=0,$C$18&lt;=0),1000000,ABS($C21-$C$18)/$C21*100)</f>
        <v>84.0103672042073</v>
      </c>
      <c r="M21" s="141" t="n">
        <f aca="false">IF(OR(1=3,$C21&lt;=0,$C$19&lt;=0),1000000,ABS($C21-$C$19)/$C21*100)</f>
        <v>60.2631119066995</v>
      </c>
      <c r="N21" s="141" t="n">
        <f aca="false">IF(OR(2=3,$C21&lt;=0,$C$20&lt;=0),1000000,ABS($C21-$C$20)/$C21*100)</f>
        <v>31.2028760228612</v>
      </c>
      <c r="O21" s="141" t="n">
        <f aca="false">IF(OR(3=3,$C21&lt;=0,$C$21&lt;=0),1000000,ABS($C21-$C$21)/$C21*100)</f>
        <v>1000000</v>
      </c>
      <c r="P21" s="141" t="n">
        <f aca="false">IF(OR(4=3,$C21&lt;=0,$C$22&lt;=0),1000000,ABS($C21-$C$22)/$C21*100)</f>
        <v>31.8561098112526</v>
      </c>
      <c r="Q21" s="141" t="n">
        <f aca="false">IF(OR(5=3,$C21&lt;=0,$C$23&lt;=0),1000000,ABS($C21-$C$23)/$C21*100)</f>
        <v>63.7362905174927</v>
      </c>
      <c r="R21" s="141" t="n">
        <f aca="false">IF(OR(6=3,$C21&lt;=0,$C$24&lt;=0),1000000,ABS($C21-$C$24)/$C21*100)</f>
        <v>76.9825798320752</v>
      </c>
      <c r="S21" s="141" t="n">
        <f aca="false">IF(OR(7=3,$C21&lt;=0,$C$25&lt;=0),1000000,ABS($C21-$C$25)/$C21*100)</f>
        <v>53.9651596641504</v>
      </c>
      <c r="T21" s="141" t="n">
        <f aca="false">IF(OR(8=3,$C21&lt;=0,$C$26&lt;=0),1000000,ABS($C21-$C$26)/$C21*100)</f>
        <v>30.9477394962255</v>
      </c>
      <c r="U21" s="141" t="n">
        <f aca="false">IF(OR(9=3,$C21&lt;=0,$C$27&lt;=0),1000000,ABS($C21-$C$27)/$C21*100)</f>
        <v>7.93031932830072</v>
      </c>
      <c r="V21" s="141" t="n">
        <f aca="false">IF(OR(10=3,$C21&lt;=0,$C$28&lt;=0),1000000,ABS($C21-$C$28)/$C21*100)</f>
        <v>32.3165233136631</v>
      </c>
      <c r="W21" s="141" t="n">
        <f aca="false">IF(OR(11=3,$C21&lt;=0,$C$29&lt;=0),1000000,ABS($C21-$C$29)/$C21*100)</f>
        <v>35.6923091470799</v>
      </c>
      <c r="X21" s="141" t="n">
        <f aca="false">IF(OR(12=3,$C21&lt;=0,$C$30&lt;=0),1000000,ABS($C21-$C$30)/$C21*100)</f>
        <v>103.427285764155</v>
      </c>
      <c r="Y21" s="141" t="n">
        <f aca="false">IF(OR(13=3,$C21&lt;=0,$C$31&lt;=0),1000000,ABS($C21-$C$31)/$C21*100)</f>
        <v>169.802693517614</v>
      </c>
      <c r="Z21" s="141" t="n">
        <f aca="false">IF(OR(14=3,$C21&lt;=0,$C$32&lt;=0),1000000,ABS($C21-$C$32)/$C21*100)</f>
        <v>28.0843445047757</v>
      </c>
      <c r="AA21" s="141" t="n">
        <f aca="false">IF(OR(15=3,$C21&lt;=0,$C$33&lt;=0),1000000,ABS($C21-$C$33)/$C21*100)</f>
        <v>156.168689009551</v>
      </c>
      <c r="AB21" s="141" t="n">
        <f aca="false">IF(OR(16=3,$C21&lt;=0,$C$34&lt;=0),1000000,ABS($C21-$C$34)/$C21*100)</f>
        <v>284.253033514327</v>
      </c>
      <c r="AC21" s="4"/>
      <c r="AD21" s="141" t="n">
        <f aca="false">IF(OR($B$6="",$B$6&lt;=0,$C21&lt;=0),1000000,ABS($C21-$B$6)/$C21*100)</f>
        <v>86.5237223667511</v>
      </c>
      <c r="AE21" s="141" t="n">
        <f aca="false">IF(OR($B$7="",$B$7&lt;=0,$C21&lt;=0),1000000,ABS($C21-$B$7)/$C21*100)</f>
        <v>76.0421730964464</v>
      </c>
      <c r="AF21" s="141" t="n">
        <f aca="false">IF(OR($B$8="",$B$8&lt;=0,$C21&lt;=0),1000000,ABS($C21-$B$8)/$C21*100)</f>
        <v>62.5658954631975</v>
      </c>
      <c r="AG21" s="141" t="n">
        <f aca="false">IF(OR($B$9="",$B$9&lt;=0,$C21&lt;=0),1000000,ABS($C21-$B$9)/$C21*100)</f>
        <v>46.8435715577404</v>
      </c>
      <c r="AH21" s="141" t="n">
        <f aca="false">IF(OR($B$10="",$B$10&lt;=0,$C21&lt;=0),1000000,ABS($C21-$B$10)/$C21*100)</f>
        <v>29.6238834708112</v>
      </c>
      <c r="AI21" s="141" t="n">
        <f aca="false">IF(OR($B$11="",$B$11&lt;=0,$C21&lt;=0),1000000,ABS($C21-$B$11)/$C21*100)</f>
        <v>1000000</v>
      </c>
      <c r="AJ21" s="141" t="n">
        <f aca="false">IF(OR($B$12="",$B$12&lt;=0,$C21&lt;=0),1000000,ABS($C21-$B$12)/$C21*100)</f>
        <v>1000000</v>
      </c>
      <c r="AK21" s="141" t="n">
        <f aca="false">IF(OR($B$13="",$B$13&lt;=0,$C21&lt;=0),1000000,ABS($C21-$B$13)/$C21*100)</f>
        <v>1000000</v>
      </c>
      <c r="AL21" s="141" t="n">
        <f aca="false">IF(OR($B$14="",$B$14&lt;=0,$C21&lt;=0),1000000,ABS($C21-$B$14)/$C21*100)</f>
        <v>1000000</v>
      </c>
      <c r="AM21" s="141" t="n">
        <f aca="false">IF(OR($B$15="",$B$15&lt;=0,$C21&lt;=0),1000000,ABS($C21-$B$15)/$C21*100)</f>
        <v>1000000</v>
      </c>
      <c r="AN21" s="4"/>
    </row>
    <row r="22" customFormat="false" ht="17.15" hidden="false" customHeight="false" outlineLevel="0" collapsed="false">
      <c r="A22" s="38" t="n">
        <v>5</v>
      </c>
      <c r="B22" s="21" t="str">
        <f aca="false">固有振動数!$R$10</f>
        <v>面外曲げ 5次</v>
      </c>
      <c r="C22" s="58" t="n">
        <f aca="false">固有振動数!$I$10</f>
        <v>17611.7622476612</v>
      </c>
      <c r="D22" s="45" t="str">
        <f aca="false">IF(AND(C22&gt;=$C$3,C22&lt;=$F$3),"○ 帯域内","− 帯域外")</f>
        <v>− 帯域外</v>
      </c>
      <c r="E22" s="134" t="n">
        <f aca="false">MIN(L22:AB22)</f>
        <v>2.86051614284393</v>
      </c>
      <c r="F22" s="135" t="n">
        <f aca="false">MIN(AD22:AM22)</f>
        <v>46.6265790565718</v>
      </c>
      <c r="G22" s="136" t="str">
        <f aca="false">IF(D22="− 帯域外","− 対象外",IF(OR(E22&lt;$I$3,F22&lt;$I$3),"🔴 高リスク",IF(OR(E22&lt;$I$3*2,F22&lt;$I$3*2),"🟡 中リスク","🟢 低リスク")))</f>
        <v>− 対象外</v>
      </c>
      <c r="H22" s="4"/>
      <c r="I22" s="4"/>
      <c r="J22" s="4"/>
      <c r="K22" s="4"/>
      <c r="L22" s="137" t="n">
        <f aca="false">IF(OR(0=4,$C22&lt;=0,$C$18&lt;=0),1000000,ABS($C22-$C$18)/$C22*100)</f>
        <v>87.873422916328</v>
      </c>
      <c r="M22" s="137" t="n">
        <f aca="false">IF(OR(1=4,$C22&lt;=0,$C$19&lt;=0),1000000,ABS($C22-$C$19)/$C22*100)</f>
        <v>69.8634457286944</v>
      </c>
      <c r="N22" s="137" t="n">
        <f aca="false">IF(OR(2=4,$C22&lt;=0,$C$20&lt;=0),1000000,ABS($C22-$C$20)/$C22*100)</f>
        <v>47.8240909157569</v>
      </c>
      <c r="O22" s="137" t="n">
        <f aca="false">IF(OR(3=4,$C22&lt;=0,$C$21&lt;=0),1000000,ABS($C22-$C$21)/$C22*100)</f>
        <v>24.1597525187521</v>
      </c>
      <c r="P22" s="137" t="n">
        <f aca="false">IF(OR(4=4,$C22&lt;=0,$C$22&lt;=0),1000000,ABS($C22-$C$22)/$C22*100)</f>
        <v>1000000</v>
      </c>
      <c r="Q22" s="137" t="n">
        <f aca="false">IF(OR(5=4,$C22&lt;=0,$C$23&lt;=0),1000000,ABS($C22-$C$23)/$C22*100)</f>
        <v>24.1780079450816</v>
      </c>
      <c r="R22" s="137" t="n">
        <f aca="false">IF(OR(6=4,$C22&lt;=0,$C$24&lt;=0),1000000,ABS($C22-$C$24)/$C22*100)</f>
        <v>82.5435315808472</v>
      </c>
      <c r="S22" s="137" t="n">
        <f aca="false">IF(OR(7=4,$C22&lt;=0,$C$25&lt;=0),1000000,ABS($C22-$C$25)/$C22*100)</f>
        <v>65.0870631616943</v>
      </c>
      <c r="T22" s="137" t="n">
        <f aca="false">IF(OR(8=4,$C22&lt;=0,$C$26&lt;=0),1000000,ABS($C22-$C$26)/$C22*100)</f>
        <v>47.6305947425414</v>
      </c>
      <c r="U22" s="137" t="n">
        <f aca="false">IF(OR(9=4,$C22&lt;=0,$C$27&lt;=0),1000000,ABS($C22-$C$27)/$C22*100)</f>
        <v>30.1741263233886</v>
      </c>
      <c r="V22" s="137" t="n">
        <f aca="false">IF(OR(10=4,$C22&lt;=0,$C$28&lt;=0),1000000,ABS($C22-$C$28)/$C22*100)</f>
        <v>48.6686837771693</v>
      </c>
      <c r="W22" s="137" t="n">
        <f aca="false">IF(OR(11=4,$C22&lt;=0,$C$29&lt;=0),1000000,ABS($C22-$C$29)/$C22*100)</f>
        <v>2.90938307016544</v>
      </c>
      <c r="X22" s="137" t="n">
        <f aca="false">IF(OR(12=4,$C22&lt;=0,$C$30&lt;=0),1000000,ABS($C22-$C$30)/$C22*100)</f>
        <v>54.2797569679204</v>
      </c>
      <c r="Y22" s="137" t="n">
        <f aca="false">IF(OR(13=4,$C22&lt;=0,$C$31&lt;=0),1000000,ABS($C22-$C$31)/$C22*100)</f>
        <v>104.619030474832</v>
      </c>
      <c r="Z22" s="137" t="n">
        <f aca="false">IF(OR(14=4,$C22&lt;=0,$C$32&lt;=0),1000000,ABS($C22-$C$32)/$C22*100)</f>
        <v>2.86051614284393</v>
      </c>
      <c r="AA22" s="137" t="n">
        <f aca="false">IF(OR(15=4,$C22&lt;=0,$C$33&lt;=0),1000000,ABS($C22-$C$33)/$C22*100)</f>
        <v>94.2789677143121</v>
      </c>
      <c r="AB22" s="137" t="n">
        <f aca="false">IF(OR(16=4,$C22&lt;=0,$C$34&lt;=0),1000000,ABS($C22-$C$34)/$C22*100)</f>
        <v>191.418451571468</v>
      </c>
      <c r="AC22" s="4"/>
      <c r="AD22" s="137" t="n">
        <f aca="false">IF(OR($B$6="",$B$6&lt;=0,$C22&lt;=0),1000000,ABS($C22-$B$6)/$C22*100)</f>
        <v>89.7795576916839</v>
      </c>
      <c r="AE22" s="137" t="n">
        <f aca="false">IF(OR($B$7="",$B$7&lt;=0,$C22&lt;=0),1000000,ABS($C22-$B$7)/$C22*100)</f>
        <v>81.8303247852159</v>
      </c>
      <c r="AF22" s="137" t="n">
        <f aca="false">IF(OR($B$8="",$B$8&lt;=0,$C22&lt;=0),1000000,ABS($C22-$B$8)/$C22*100)</f>
        <v>71.6098824768999</v>
      </c>
      <c r="AG22" s="137" t="n">
        <f aca="false">IF(OR($B$9="",$B$9&lt;=0,$C22&lt;=0),1000000,ABS($C22-$B$9)/$C22*100)</f>
        <v>59.6860331171978</v>
      </c>
      <c r="AH22" s="137" t="n">
        <f aca="false">IF(OR($B$10="",$B$10&lt;=0,$C22&lt;=0),1000000,ABS($C22-$B$10)/$C22*100)</f>
        <v>46.6265790565718</v>
      </c>
      <c r="AI22" s="137" t="n">
        <f aca="false">IF(OR($B$11="",$B$11&lt;=0,$C22&lt;=0),1000000,ABS($C22-$B$11)/$C22*100)</f>
        <v>1000000</v>
      </c>
      <c r="AJ22" s="137" t="n">
        <f aca="false">IF(OR($B$12="",$B$12&lt;=0,$C22&lt;=0),1000000,ABS($C22-$B$12)/$C22*100)</f>
        <v>1000000</v>
      </c>
      <c r="AK22" s="137" t="n">
        <f aca="false">IF(OR($B$13="",$B$13&lt;=0,$C22&lt;=0),1000000,ABS($C22-$B$13)/$C22*100)</f>
        <v>1000000</v>
      </c>
      <c r="AL22" s="137" t="n">
        <f aca="false">IF(OR($B$14="",$B$14&lt;=0,$C22&lt;=0),1000000,ABS($C22-$B$14)/$C22*100)</f>
        <v>1000000</v>
      </c>
      <c r="AM22" s="137" t="n">
        <f aca="false">IF(OR($B$15="",$B$15&lt;=0,$C22&lt;=0),1000000,ABS($C22-$B$15)/$C22*100)</f>
        <v>1000000</v>
      </c>
      <c r="AN22" s="4"/>
    </row>
    <row r="23" customFormat="false" ht="17.15" hidden="false" customHeight="false" outlineLevel="0" collapsed="false">
      <c r="A23" s="47" t="n">
        <v>6</v>
      </c>
      <c r="B23" s="6" t="str">
        <f aca="false">固有振動数!$R$11</f>
        <v>面外曲げ 6次</v>
      </c>
      <c r="C23" s="58" t="n">
        <f aca="false">固有振動数!$I$11</f>
        <v>21869.9355231696</v>
      </c>
      <c r="D23" s="53" t="str">
        <f aca="false">IF(AND(C23&gt;=$C$3,C23&lt;=$F$3),"○ 帯域内","− 帯域外")</f>
        <v>− 帯域外</v>
      </c>
      <c r="E23" s="138" t="n">
        <f aca="false">MIN(L23:AB23)</f>
        <v>17.1275294449258</v>
      </c>
      <c r="F23" s="139" t="n">
        <f aca="false">MIN(AD23:AM23)</f>
        <v>57.0186204250974</v>
      </c>
      <c r="G23" s="140" t="str">
        <f aca="false">IF(D23="− 帯域外","− 対象外",IF(OR(E23&lt;$I$3,F23&lt;$I$3),"🔴 高リスク",IF(OR(E23&lt;$I$3*2,F23&lt;$I$3*2),"🟡 中リスク","🟢 低リスク")))</f>
        <v>− 対象外</v>
      </c>
      <c r="H23" s="4"/>
      <c r="I23" s="4"/>
      <c r="J23" s="4"/>
      <c r="K23" s="4"/>
      <c r="L23" s="141" t="n">
        <f aca="false">IF(OR(0=5,$C23&lt;=0,$C$18&lt;=0),1000000,ABS($C23-$C$18)/$C23*100)</f>
        <v>90.2345211649433</v>
      </c>
      <c r="M23" s="141" t="n">
        <f aca="false">IF(OR(1=5,$C23&lt;=0,$C$19&lt;=0),1000000,ABS($C23-$C$19)/$C23*100)</f>
        <v>75.7311662749223</v>
      </c>
      <c r="N23" s="141" t="n">
        <f aca="false">IF(OR(2=5,$C23&lt;=0,$C$20&lt;=0),1000000,ABS($C23-$C$20)/$C23*100)</f>
        <v>57.982971423315</v>
      </c>
      <c r="O23" s="141" t="n">
        <f aca="false">IF(OR(3=5,$C23&lt;=0,$C$21&lt;=0),1000000,ABS($C23-$C$21)/$C23*100)</f>
        <v>38.9261844860736</v>
      </c>
      <c r="P23" s="141" t="n">
        <f aca="false">IF(OR(4=5,$C23&lt;=0,$C$22&lt;=0),1000000,ABS($C23-$C$22)/$C23*100)</f>
        <v>19.4704427500354</v>
      </c>
      <c r="Q23" s="141" t="n">
        <f aca="false">IF(OR(5=5,$C23&lt;=0,$C$23&lt;=0),1000000,ABS($C23-$C$23)/$C23*100)</f>
        <v>1000000</v>
      </c>
      <c r="R23" s="141" t="n">
        <f aca="false">IF(OR(6=5,$C23&lt;=0,$C$24&lt;=0),1000000,ABS($C23-$C$24)/$C23*100)</f>
        <v>85.9423832705763</v>
      </c>
      <c r="S23" s="141" t="n">
        <f aca="false">IF(OR(7=5,$C23&lt;=0,$C$25&lt;=0),1000000,ABS($C23-$C$25)/$C23*100)</f>
        <v>71.8847665411526</v>
      </c>
      <c r="T23" s="141" t="n">
        <f aca="false">IF(OR(8=5,$C23&lt;=0,$C$26&lt;=0),1000000,ABS($C23-$C$26)/$C23*100)</f>
        <v>57.8271498117289</v>
      </c>
      <c r="U23" s="141" t="n">
        <f aca="false">IF(OR(9=5,$C23&lt;=0,$C$27&lt;=0),1000000,ABS($C23-$C$27)/$C23*100)</f>
        <v>43.7695330823053</v>
      </c>
      <c r="V23" s="141" t="n">
        <f aca="false">IF(OR(10=5,$C23&lt;=0,$C$28&lt;=0),1000000,ABS($C23-$C$28)/$C23*100)</f>
        <v>58.6631183151752</v>
      </c>
      <c r="W23" s="141" t="n">
        <f aca="false">IF(OR(11=5,$C23&lt;=0,$C$29&lt;=0),1000000,ABS($C23-$C$29)/$C23*100)</f>
        <v>17.1275294449258</v>
      </c>
      <c r="X23" s="141" t="n">
        <f aca="false">IF(OR(12=5,$C23&lt;=0,$C$30&lt;=0),1000000,ABS($C23-$C$30)/$C23*100)</f>
        <v>24.2408052125876</v>
      </c>
      <c r="Y23" s="141" t="n">
        <f aca="false">IF(OR(13=5,$C23&lt;=0,$C$31&lt;=0),1000000,ABS($C23-$C$31)/$C23*100)</f>
        <v>64.7787992905519</v>
      </c>
      <c r="Z23" s="141" t="n">
        <f aca="false">IF(OR(14=5,$C23&lt;=0,$C$32&lt;=0),1000000,ABS($C23-$C$32)/$C23*100)</f>
        <v>21.7740037349314</v>
      </c>
      <c r="AA23" s="141" t="n">
        <f aca="false">IF(OR(15=5,$C23&lt;=0,$C$33&lt;=0),1000000,ABS($C23-$C$33)/$C23*100)</f>
        <v>56.4519925301372</v>
      </c>
      <c r="AB23" s="141" t="n">
        <f aca="false">IF(OR(16=5,$C23&lt;=0,$C$34&lt;=0),1000000,ABS($C23-$C$34)/$C23*100)</f>
        <v>134.677988795206</v>
      </c>
      <c r="AC23" s="4"/>
      <c r="AD23" s="141" t="n">
        <f aca="false">IF(OR($B$6="",$B$6&lt;=0,$C23&lt;=0),1000000,ABS($C23-$B$6)/$C23*100)</f>
        <v>91.769523060125</v>
      </c>
      <c r="AE23" s="141" t="n">
        <f aca="false">IF(OR($B$7="",$B$7&lt;=0,$C23&lt;=0),1000000,ABS($C23-$B$7)/$C23*100)</f>
        <v>85.3680409957778</v>
      </c>
      <c r="AF23" s="141" t="n">
        <f aca="false">IF(OR($B$8="",$B$8&lt;=0,$C23&lt;=0),1000000,ABS($C23-$B$8)/$C23*100)</f>
        <v>77.1375640559029</v>
      </c>
      <c r="AG23" s="141" t="n">
        <f aca="false">IF(OR($B$9="",$B$9&lt;=0,$C23&lt;=0),1000000,ABS($C23-$B$9)/$C23*100)</f>
        <v>67.5353409593821</v>
      </c>
      <c r="AH23" s="141" t="n">
        <f aca="false">IF(OR($B$10="",$B$10&lt;=0,$C23&lt;=0),1000000,ABS($C23-$B$10)/$C23*100)</f>
        <v>57.0186204250974</v>
      </c>
      <c r="AI23" s="141" t="n">
        <f aca="false">IF(OR($B$11="",$B$11&lt;=0,$C23&lt;=0),1000000,ABS($C23-$B$11)/$C23*100)</f>
        <v>1000000</v>
      </c>
      <c r="AJ23" s="141" t="n">
        <f aca="false">IF(OR($B$12="",$B$12&lt;=0,$C23&lt;=0),1000000,ABS($C23-$B$12)/$C23*100)</f>
        <v>1000000</v>
      </c>
      <c r="AK23" s="141" t="n">
        <f aca="false">IF(OR($B$13="",$B$13&lt;=0,$C23&lt;=0),1000000,ABS($C23-$B$13)/$C23*100)</f>
        <v>1000000</v>
      </c>
      <c r="AL23" s="141" t="n">
        <f aca="false">IF(OR($B$14="",$B$14&lt;=0,$C23&lt;=0),1000000,ABS($C23-$B$14)/$C23*100)</f>
        <v>1000000</v>
      </c>
      <c r="AM23" s="141" t="n">
        <f aca="false">IF(OR($B$15="",$B$15&lt;=0,$C23&lt;=0),1000000,ABS($C23-$B$15)/$C23*100)</f>
        <v>1000000</v>
      </c>
      <c r="AN23" s="4"/>
    </row>
    <row r="24" customFormat="false" ht="17.15" hidden="false" customHeight="false" outlineLevel="0" collapsed="false">
      <c r="A24" s="38" t="n">
        <v>7</v>
      </c>
      <c r="B24" s="21" t="str">
        <f aca="false">固有振動数!$R$12</f>
        <v>ねじり 1次</v>
      </c>
      <c r="C24" s="58" t="n">
        <f aca="false">固有振動数!$I$12</f>
        <v>3074.39171481927</v>
      </c>
      <c r="D24" s="45" t="str">
        <f aca="false">IF(AND(C24&gt;=$C$3,C24&lt;=$F$3),"○ 帯域内","− 帯域外")</f>
        <v>○ 帯域内</v>
      </c>
      <c r="E24" s="134" t="n">
        <f aca="false">MIN(L24:AB24)</f>
        <v>30.5324720184125</v>
      </c>
      <c r="F24" s="135" t="n">
        <f aca="false">MIN(AD24:AM24)</f>
        <v>4.08563048668367</v>
      </c>
      <c r="G24" s="136" t="str">
        <f aca="false">IF(D24="− 帯域外","− 対象外",IF(OR(E24&lt;$I$3,F24&lt;$I$3),"🔴 高リスク",IF(OR(E24&lt;$I$3*2,F24&lt;$I$3*2),"🟡 中リスク","🟢 低リスク")))</f>
        <v>🟡 中リスク</v>
      </c>
      <c r="H24" s="4"/>
      <c r="I24" s="4"/>
      <c r="J24" s="4"/>
      <c r="K24" s="4"/>
      <c r="L24" s="137" t="n">
        <f aca="false">IF(OR(0=6,$C24&lt;=0,$C$18&lt;=0),1000000,ABS($C24-$C$18)/$C24*100)</f>
        <v>30.5324720184125</v>
      </c>
      <c r="M24" s="137" t="n">
        <f aca="false">IF(OR(1=6,$C24&lt;=0,$C$19&lt;=0),1000000,ABS($C24-$C$19)/$C24*100)</f>
        <v>72.6383226417117</v>
      </c>
      <c r="N24" s="137" t="n">
        <f aca="false">IF(OR(2=6,$C24&lt;=0,$C$20&lt;=0),1000000,ABS($C24-$C$20)/$C24*100)</f>
        <v>198.891550292021</v>
      </c>
      <c r="O24" s="137" t="n">
        <f aca="false">IF(OR(3=6,$C24&lt;=0,$C$21&lt;=0),1000000,ABS($C24-$C$21)/$C24*100)</f>
        <v>334.453554179594</v>
      </c>
      <c r="P24" s="137" t="n">
        <f aca="false">IF(OR(4=6,$C24&lt;=0,$C$22&lt;=0),1000000,ABS($C24-$C$22)/$C24*100)</f>
        <v>472.853555477935</v>
      </c>
      <c r="Q24" s="137" t="n">
        <f aca="false">IF(OR(5=6,$C24&lt;=0,$C$23&lt;=0),1000000,ABS($C24-$C$23)/$C24*100)</f>
        <v>611.358133635072</v>
      </c>
      <c r="R24" s="137" t="n">
        <f aca="false">IF(OR(6=6,$C24&lt;=0,$C$24&lt;=0),1000000,ABS($C24-$C$24)/$C24*100)</f>
        <v>1000000</v>
      </c>
      <c r="S24" s="137" t="n">
        <f aca="false">IF(OR(7=6,$C24&lt;=0,$C$25&lt;=0),1000000,ABS($C24-$C$25)/$C24*100)</f>
        <v>100</v>
      </c>
      <c r="T24" s="137" t="n">
        <f aca="false">IF(OR(8=6,$C24&lt;=0,$C$26&lt;=0),1000000,ABS($C24-$C$26)/$C24*100)</f>
        <v>200</v>
      </c>
      <c r="U24" s="137" t="n">
        <f aca="false">IF(OR(9=6,$C24&lt;=0,$C$27&lt;=0),1000000,ABS($C24-$C$27)/$C24*100)</f>
        <v>300</v>
      </c>
      <c r="V24" s="137" t="n">
        <f aca="false">IF(OR(10=6,$C24&lt;=0,$C$28&lt;=0),1000000,ABS($C24-$C$28)/$C24*100)</f>
        <v>194.053270056108</v>
      </c>
      <c r="W24" s="137" t="n">
        <f aca="false">IF(OR(11=6,$C24&lt;=0,$C$29&lt;=0),1000000,ABS($C24-$C$29)/$C24*100)</f>
        <v>489.520059837851</v>
      </c>
      <c r="X24" s="137" t="n">
        <f aca="false">IF(OR(12=6,$C24&lt;=0,$C$30&lt;=0),1000000,ABS($C24-$C$30)/$C24*100)</f>
        <v>783.797073173449</v>
      </c>
      <c r="Y24" s="137" t="n">
        <f aca="false">IF(OR(13=6,$C24&lt;=0,$C$31&lt;=0),1000000,ABS($C24-$C$31)/$C24*100)</f>
        <v>1072.16739125955</v>
      </c>
      <c r="Z24" s="137" t="n">
        <f aca="false">IF(OR(14=6,$C24&lt;=0,$C$32&lt;=0),1000000,ABS($C24-$C$32)/$C24*100)</f>
        <v>456.466987048633</v>
      </c>
      <c r="AA24" s="137" t="n">
        <f aca="false">IF(OR(15=6,$C24&lt;=0,$C$33&lt;=0),1000000,ABS($C24-$C$33)/$C24*100)</f>
        <v>1012.93397409727</v>
      </c>
      <c r="AB24" s="137" t="n">
        <f aca="false">IF(OR(16=6,$C24&lt;=0,$C$34&lt;=0),1000000,ABS($C24-$C$34)/$C24*100)</f>
        <v>1569.4009611459</v>
      </c>
      <c r="AC24" s="4"/>
      <c r="AD24" s="137" t="n">
        <f aca="false">IF(OR($B$6="",$B$6&lt;=0,$C24&lt;=0),1000000,ABS($C24-$B$6)/$C24*100)</f>
        <v>41.4518328512404</v>
      </c>
      <c r="AE24" s="137" t="n">
        <f aca="false">IF(OR($B$7="",$B$7&lt;=0,$C24&lt;=0),1000000,ABS($C24-$B$7)/$C24*100)</f>
        <v>4.08563048668367</v>
      </c>
      <c r="AF24" s="137" t="n">
        <f aca="false">IF(OR($B$8="",$B$8&lt;=0,$C24&lt;=0),1000000,ABS($C24-$B$8)/$C24*100)</f>
        <v>62.6337976354432</v>
      </c>
      <c r="AG24" s="137" t="n">
        <f aca="false">IF(OR($B$9="",$B$9&lt;=0,$C24&lt;=0),1000000,ABS($C24-$B$9)/$C24*100)</f>
        <v>130.939992642329</v>
      </c>
      <c r="AH24" s="137" t="n">
        <f aca="false">IF(OR($B$10="",$B$10&lt;=0,$C24&lt;=0),1000000,ABS($C24-$B$10)/$C24*100)</f>
        <v>205.751539554633</v>
      </c>
      <c r="AI24" s="137" t="n">
        <f aca="false">IF(OR($B$11="",$B$11&lt;=0,$C24&lt;=0),1000000,ABS($C24-$B$11)/$C24*100)</f>
        <v>1000000</v>
      </c>
      <c r="AJ24" s="137" t="n">
        <f aca="false">IF(OR($B$12="",$B$12&lt;=0,$C24&lt;=0),1000000,ABS($C24-$B$12)/$C24*100)</f>
        <v>1000000</v>
      </c>
      <c r="AK24" s="137" t="n">
        <f aca="false">IF(OR($B$13="",$B$13&lt;=0,$C24&lt;=0),1000000,ABS($C24-$B$13)/$C24*100)</f>
        <v>1000000</v>
      </c>
      <c r="AL24" s="137" t="n">
        <f aca="false">IF(OR($B$14="",$B$14&lt;=0,$C24&lt;=0),1000000,ABS($C24-$B$14)/$C24*100)</f>
        <v>1000000</v>
      </c>
      <c r="AM24" s="137" t="n">
        <f aca="false">IF(OR($B$15="",$B$15&lt;=0,$C24&lt;=0),1000000,ABS($C24-$B$15)/$C24*100)</f>
        <v>1000000</v>
      </c>
      <c r="AN24" s="4"/>
    </row>
    <row r="25" customFormat="false" ht="17.15" hidden="false" customHeight="false" outlineLevel="0" collapsed="false">
      <c r="A25" s="47" t="n">
        <v>8</v>
      </c>
      <c r="B25" s="6" t="str">
        <f aca="false">固有振動数!$R$13</f>
        <v>ねじり 2次</v>
      </c>
      <c r="C25" s="58" t="n">
        <f aca="false">固有振動数!$I$13</f>
        <v>6148.78342963853</v>
      </c>
      <c r="D25" s="53" t="str">
        <f aca="false">IF(AND(C25&gt;=$C$3,C25&lt;=$F$3),"○ 帯域内","− 帯域外")</f>
        <v>○ 帯域内</v>
      </c>
      <c r="E25" s="138" t="n">
        <f aca="false">MIN(L25:AB25)</f>
        <v>13.6808386791441</v>
      </c>
      <c r="F25" s="139" t="n">
        <f aca="false">MIN(AD25:AM25)</f>
        <v>15.4699963211647</v>
      </c>
      <c r="G25" s="140" t="str">
        <f aca="false">IF(D25="− 帯域外","− 対象外",IF(OR(E25&lt;$I$3,F25&lt;$I$3),"🔴 高リスク",IF(OR(E25&lt;$I$3*2,F25&lt;$I$3*2),"🟡 中リスク","🟢 低リスク")))</f>
        <v>🟢 低リスク</v>
      </c>
      <c r="H25" s="4"/>
      <c r="I25" s="4"/>
      <c r="J25" s="4"/>
      <c r="K25" s="4"/>
      <c r="L25" s="141" t="n">
        <f aca="false">IF(OR(0=7,$C25&lt;=0,$C$18&lt;=0),1000000,ABS($C25-$C$18)/$C25*100)</f>
        <v>65.2662360092063</v>
      </c>
      <c r="M25" s="141" t="n">
        <f aca="false">IF(OR(1=7,$C25&lt;=0,$C$19&lt;=0),1000000,ABS($C25-$C$19)/$C25*100)</f>
        <v>13.6808386791441</v>
      </c>
      <c r="N25" s="141" t="n">
        <f aca="false">IF(OR(2=7,$C25&lt;=0,$C$20&lt;=0),1000000,ABS($C25-$C$20)/$C25*100)</f>
        <v>49.4457751460106</v>
      </c>
      <c r="O25" s="141" t="n">
        <f aca="false">IF(OR(3=7,$C25&lt;=0,$C$21&lt;=0),1000000,ABS($C25-$C$21)/$C25*100)</f>
        <v>117.226777089797</v>
      </c>
      <c r="P25" s="141" t="n">
        <f aca="false">IF(OR(4=7,$C25&lt;=0,$C$22&lt;=0),1000000,ABS($C25-$C$22)/$C25*100)</f>
        <v>186.426777738967</v>
      </c>
      <c r="Q25" s="141" t="n">
        <f aca="false">IF(OR(5=7,$C25&lt;=0,$C$23&lt;=0),1000000,ABS($C25-$C$23)/$C25*100)</f>
        <v>255.679066817536</v>
      </c>
      <c r="R25" s="141" t="n">
        <f aca="false">IF(OR(6=7,$C25&lt;=0,$C$24&lt;=0),1000000,ABS($C25-$C$24)/$C25*100)</f>
        <v>50</v>
      </c>
      <c r="S25" s="141" t="n">
        <f aca="false">IF(OR(7=7,$C25&lt;=0,$C$25&lt;=0),1000000,ABS($C25-$C$25)/$C25*100)</f>
        <v>1000000</v>
      </c>
      <c r="T25" s="141" t="n">
        <f aca="false">IF(OR(8=7,$C25&lt;=0,$C$26&lt;=0),1000000,ABS($C25-$C$26)/$C25*100)</f>
        <v>50</v>
      </c>
      <c r="U25" s="141" t="n">
        <f aca="false">IF(OR(9=7,$C25&lt;=0,$C$27&lt;=0),1000000,ABS($C25-$C$27)/$C25*100)</f>
        <v>100</v>
      </c>
      <c r="V25" s="141" t="n">
        <f aca="false">IF(OR(10=7,$C25&lt;=0,$C$28&lt;=0),1000000,ABS($C25-$C$28)/$C25*100)</f>
        <v>47.0266350280538</v>
      </c>
      <c r="W25" s="141" t="n">
        <f aca="false">IF(OR(11=7,$C25&lt;=0,$C$29&lt;=0),1000000,ABS($C25-$C$29)/$C25*100)</f>
        <v>194.760029918925</v>
      </c>
      <c r="X25" s="141" t="n">
        <f aca="false">IF(OR(12=7,$C25&lt;=0,$C$30&lt;=0),1000000,ABS($C25-$C$30)/$C25*100)</f>
        <v>341.898536586724</v>
      </c>
      <c r="Y25" s="141" t="n">
        <f aca="false">IF(OR(13=7,$C25&lt;=0,$C$31&lt;=0),1000000,ABS($C25-$C$31)/$C25*100)</f>
        <v>486.083695629776</v>
      </c>
      <c r="Z25" s="141" t="n">
        <f aca="false">IF(OR(14=7,$C25&lt;=0,$C$32&lt;=0),1000000,ABS($C25-$C$32)/$C25*100)</f>
        <v>178.233493524317</v>
      </c>
      <c r="AA25" s="141" t="n">
        <f aca="false">IF(OR(15=7,$C25&lt;=0,$C$33&lt;=0),1000000,ABS($C25-$C$33)/$C25*100)</f>
        <v>456.466987048633</v>
      </c>
      <c r="AB25" s="141" t="n">
        <f aca="false">IF(OR(16=7,$C25&lt;=0,$C$34&lt;=0),1000000,ABS($C25-$C$34)/$C25*100)</f>
        <v>734.70048057295</v>
      </c>
      <c r="AC25" s="4"/>
      <c r="AD25" s="141" t="n">
        <f aca="false">IF(OR($B$6="",$B$6&lt;=0,$C25&lt;=0),1000000,ABS($C25-$B$6)/$C25*100)</f>
        <v>70.7259164256202</v>
      </c>
      <c r="AE25" s="141" t="n">
        <f aca="false">IF(OR($B$7="",$B$7&lt;=0,$C25&lt;=0),1000000,ABS($C25-$B$7)/$C25*100)</f>
        <v>47.9571847566582</v>
      </c>
      <c r="AF25" s="141" t="n">
        <f aca="false">IF(OR($B$8="",$B$8&lt;=0,$C25&lt;=0),1000000,ABS($C25-$B$8)/$C25*100)</f>
        <v>18.6831011822784</v>
      </c>
      <c r="AG25" s="141" t="n">
        <f aca="false">IF(OR($B$9="",$B$9&lt;=0,$C25&lt;=0),1000000,ABS($C25-$B$9)/$C25*100)</f>
        <v>15.4699963211647</v>
      </c>
      <c r="AH25" s="141" t="n">
        <f aca="false">IF(OR($B$10="",$B$10&lt;=0,$C25&lt;=0),1000000,ABS($C25-$B$10)/$C25*100)</f>
        <v>52.8757697773166</v>
      </c>
      <c r="AI25" s="141" t="n">
        <f aca="false">IF(OR($B$11="",$B$11&lt;=0,$C25&lt;=0),1000000,ABS($C25-$B$11)/$C25*100)</f>
        <v>1000000</v>
      </c>
      <c r="AJ25" s="141" t="n">
        <f aca="false">IF(OR($B$12="",$B$12&lt;=0,$C25&lt;=0),1000000,ABS($C25-$B$12)/$C25*100)</f>
        <v>1000000</v>
      </c>
      <c r="AK25" s="141" t="n">
        <f aca="false">IF(OR($B$13="",$B$13&lt;=0,$C25&lt;=0),1000000,ABS($C25-$B$13)/$C25*100)</f>
        <v>1000000</v>
      </c>
      <c r="AL25" s="141" t="n">
        <f aca="false">IF(OR($B$14="",$B$14&lt;=0,$C25&lt;=0),1000000,ABS($C25-$B$14)/$C25*100)</f>
        <v>1000000</v>
      </c>
      <c r="AM25" s="141" t="n">
        <f aca="false">IF(OR($B$15="",$B$15&lt;=0,$C25&lt;=0),1000000,ABS($C25-$B$15)/$C25*100)</f>
        <v>1000000</v>
      </c>
      <c r="AN25" s="4"/>
    </row>
    <row r="26" customFormat="false" ht="17.15" hidden="false" customHeight="false" outlineLevel="0" collapsed="false">
      <c r="A26" s="38" t="n">
        <v>9</v>
      </c>
      <c r="B26" s="21" t="str">
        <f aca="false">固有振動数!$R$14</f>
        <v>ねじり 3次</v>
      </c>
      <c r="C26" s="58" t="n">
        <f aca="false">固有振動数!$I$14</f>
        <v>9223.1751444578</v>
      </c>
      <c r="D26" s="45" t="str">
        <f aca="false">IF(AND(C26&gt;=$C$3,C26&lt;=$F$3),"○ 帯域内","− 帯域外")</f>
        <v>○ 帯域内</v>
      </c>
      <c r="E26" s="134" t="n">
        <f aca="false">MIN(L26:AB26)</f>
        <v>0.369483235992931</v>
      </c>
      <c r="F26" s="135" t="n">
        <f aca="false">MIN(AD26:AM26)</f>
        <v>1.91717985154442</v>
      </c>
      <c r="G26" s="136" t="str">
        <f aca="false">IF(D26="− 帯域外","− 対象外",IF(OR(E26&lt;$I$3,F26&lt;$I$3),"🔴 高リスク",IF(OR(E26&lt;$I$3*2,F26&lt;$I$3*2),"🟡 中リスク","🟢 低リスク")))</f>
        <v>🔴 高リスク</v>
      </c>
      <c r="H26" s="4"/>
      <c r="I26" s="4"/>
      <c r="J26" s="4"/>
      <c r="K26" s="4"/>
      <c r="L26" s="137" t="n">
        <f aca="false">IF(OR(0=8,$C26&lt;=0,$C$18&lt;=0),1000000,ABS($C26-$C$18)/$C26*100)</f>
        <v>76.8441573394708</v>
      </c>
      <c r="M26" s="137" t="n">
        <f aca="false">IF(OR(1=8,$C26&lt;=0,$C$19&lt;=0),1000000,ABS($C26-$C$19)/$C26*100)</f>
        <v>42.4538924527628</v>
      </c>
      <c r="N26" s="137" t="n">
        <f aca="false">IF(OR(2=8,$C26&lt;=0,$C$20&lt;=0),1000000,ABS($C26-$C$20)/$C26*100)</f>
        <v>0.369483235992931</v>
      </c>
      <c r="O26" s="137" t="n">
        <f aca="false">IF(OR(3=8,$C26&lt;=0,$C$21&lt;=0),1000000,ABS($C26-$C$21)/$C26*100)</f>
        <v>44.8178513931979</v>
      </c>
      <c r="P26" s="137" t="n">
        <f aca="false">IF(OR(4=8,$C26&lt;=0,$C$22&lt;=0),1000000,ABS($C26-$C$22)/$C26*100)</f>
        <v>90.9511851593116</v>
      </c>
      <c r="Q26" s="137" t="n">
        <f aca="false">IF(OR(5=8,$C26&lt;=0,$C$23&lt;=0),1000000,ABS($C26-$C$23)/$C26*100)</f>
        <v>137.119377878357</v>
      </c>
      <c r="R26" s="137" t="n">
        <f aca="false">IF(OR(6=8,$C26&lt;=0,$C$24&lt;=0),1000000,ABS($C26-$C$24)/$C26*100)</f>
        <v>66.6666666666667</v>
      </c>
      <c r="S26" s="137" t="n">
        <f aca="false">IF(OR(7=8,$C26&lt;=0,$C$25&lt;=0),1000000,ABS($C26-$C$25)/$C26*100)</f>
        <v>33.3333333333333</v>
      </c>
      <c r="T26" s="137" t="n">
        <f aca="false">IF(OR(8=8,$C26&lt;=0,$C$26&lt;=0),1000000,ABS($C26-$C$26)/$C26*100)</f>
        <v>1000000</v>
      </c>
      <c r="U26" s="137" t="n">
        <f aca="false">IF(OR(9=8,$C26&lt;=0,$C$27&lt;=0),1000000,ABS($C26-$C$27)/$C26*100)</f>
        <v>33.3333333333333</v>
      </c>
      <c r="V26" s="137" t="n">
        <f aca="false">IF(OR(10=8,$C26&lt;=0,$C$28&lt;=0),1000000,ABS($C26-$C$28)/$C26*100)</f>
        <v>1.98224331463082</v>
      </c>
      <c r="W26" s="137" t="n">
        <f aca="false">IF(OR(11=8,$C26&lt;=0,$C$29&lt;=0),1000000,ABS($C26-$C$29)/$C26*100)</f>
        <v>96.5066866126169</v>
      </c>
      <c r="X26" s="137" t="n">
        <f aca="false">IF(OR(12=8,$C26&lt;=0,$C$30&lt;=0),1000000,ABS($C26-$C$30)/$C26*100)</f>
        <v>194.59902439115</v>
      </c>
      <c r="Y26" s="137" t="n">
        <f aca="false">IF(OR(13=8,$C26&lt;=0,$C$31&lt;=0),1000000,ABS($C26-$C$31)/$C26*100)</f>
        <v>290.722463753184</v>
      </c>
      <c r="Z26" s="137" t="n">
        <f aca="false">IF(OR(14=8,$C26&lt;=0,$C$32&lt;=0),1000000,ABS($C26-$C$32)/$C26*100)</f>
        <v>85.4889956828777</v>
      </c>
      <c r="AA26" s="137" t="n">
        <f aca="false">IF(OR(15=8,$C26&lt;=0,$C$33&lt;=0),1000000,ABS($C26-$C$33)/$C26*100)</f>
        <v>270.977991365755</v>
      </c>
      <c r="AB26" s="137" t="n">
        <f aca="false">IF(OR(16=8,$C26&lt;=0,$C$34&lt;=0),1000000,ABS($C26-$C$34)/$C26*100)</f>
        <v>456.466987048633</v>
      </c>
      <c r="AC26" s="4"/>
      <c r="AD26" s="137" t="n">
        <f aca="false">IF(OR($B$6="",$B$6&lt;=0,$C26&lt;=0),1000000,ABS($C26-$B$6)/$C26*100)</f>
        <v>80.4839442837468</v>
      </c>
      <c r="AE26" s="137" t="n">
        <f aca="false">IF(OR($B$7="",$B$7&lt;=0,$C26&lt;=0),1000000,ABS($C26-$B$7)/$C26*100)</f>
        <v>65.3047898377721</v>
      </c>
      <c r="AF26" s="137" t="n">
        <f aca="false">IF(OR($B$8="",$B$8&lt;=0,$C26&lt;=0),1000000,ABS($C26-$B$8)/$C26*100)</f>
        <v>45.7887341215189</v>
      </c>
      <c r="AG26" s="137" t="n">
        <f aca="false">IF(OR($B$9="",$B$9&lt;=0,$C26&lt;=0),1000000,ABS($C26-$B$9)/$C26*100)</f>
        <v>23.0200024525569</v>
      </c>
      <c r="AH26" s="137" t="n">
        <f aca="false">IF(OR($B$10="",$B$10&lt;=0,$C26&lt;=0),1000000,ABS($C26-$B$10)/$C26*100)</f>
        <v>1.91717985154442</v>
      </c>
      <c r="AI26" s="137" t="n">
        <f aca="false">IF(OR($B$11="",$B$11&lt;=0,$C26&lt;=0),1000000,ABS($C26-$B$11)/$C26*100)</f>
        <v>1000000</v>
      </c>
      <c r="AJ26" s="137" t="n">
        <f aca="false">IF(OR($B$12="",$B$12&lt;=0,$C26&lt;=0),1000000,ABS($C26-$B$12)/$C26*100)</f>
        <v>1000000</v>
      </c>
      <c r="AK26" s="137" t="n">
        <f aca="false">IF(OR($B$13="",$B$13&lt;=0,$C26&lt;=0),1000000,ABS($C26-$B$13)/$C26*100)</f>
        <v>1000000</v>
      </c>
      <c r="AL26" s="137" t="n">
        <f aca="false">IF(OR($B$14="",$B$14&lt;=0,$C26&lt;=0),1000000,ABS($C26-$B$14)/$C26*100)</f>
        <v>1000000</v>
      </c>
      <c r="AM26" s="137" t="n">
        <f aca="false">IF(OR($B$15="",$B$15&lt;=0,$C26&lt;=0),1000000,ABS($C26-$B$15)/$C26*100)</f>
        <v>1000000</v>
      </c>
      <c r="AN26" s="4"/>
    </row>
    <row r="27" customFormat="false" ht="17.15" hidden="false" customHeight="false" outlineLevel="0" collapsed="false">
      <c r="A27" s="47" t="n">
        <v>10</v>
      </c>
      <c r="B27" s="6" t="str">
        <f aca="false">固有振動数!$R$15</f>
        <v>ねじり 4次</v>
      </c>
      <c r="C27" s="58" t="n">
        <f aca="false">固有振動数!$I$15</f>
        <v>12297.5668592771</v>
      </c>
      <c r="D27" s="53" t="str">
        <f aca="false">IF(AND(C27&gt;=$C$3,C27&lt;=$F$3),"○ 帯域内","− 帯域外")</f>
        <v>○ 帯域内</v>
      </c>
      <c r="E27" s="138" t="n">
        <f aca="false">MIN(L27:AB27)</f>
        <v>8.61338854489845</v>
      </c>
      <c r="F27" s="139" t="n">
        <f aca="false">MIN(AD27:AM27)</f>
        <v>23.5621151113417</v>
      </c>
      <c r="G27" s="140" t="str">
        <f aca="false">IF(D27="− 帯域外","− 対象外",IF(OR(E27&lt;$I$3,F27&lt;$I$3),"🔴 高リスク",IF(OR(E27&lt;$I$3*2,F27&lt;$I$3*2),"🟡 中リスク","🟢 低リスク")))</f>
        <v>🟢 低リスク</v>
      </c>
      <c r="H27" s="4"/>
      <c r="I27" s="4"/>
      <c r="J27" s="4"/>
      <c r="K27" s="4"/>
      <c r="L27" s="141" t="n">
        <f aca="false">IF(OR(0=9,$C27&lt;=0,$C$18&lt;=0),1000000,ABS($C27-$C$18)/$C27*100)</f>
        <v>82.6331180046031</v>
      </c>
      <c r="M27" s="141" t="n">
        <f aca="false">IF(OR(1=9,$C27&lt;=0,$C$19&lt;=0),1000000,ABS($C27-$C$19)/$C27*100)</f>
        <v>56.8404193395721</v>
      </c>
      <c r="N27" s="141" t="n">
        <f aca="false">IF(OR(2=9,$C27&lt;=0,$C$20&lt;=0),1000000,ABS($C27-$C$20)/$C27*100)</f>
        <v>25.2771124269947</v>
      </c>
      <c r="O27" s="141" t="n">
        <f aca="false">IF(OR(3=9,$C27&lt;=0,$C$21&lt;=0),1000000,ABS($C27-$C$21)/$C27*100)</f>
        <v>8.61338854489845</v>
      </c>
      <c r="P27" s="141" t="n">
        <f aca="false">IF(OR(4=9,$C27&lt;=0,$C$22&lt;=0),1000000,ABS($C27-$C$22)/$C27*100)</f>
        <v>43.2133888694837</v>
      </c>
      <c r="Q27" s="141" t="n">
        <f aca="false">IF(OR(5=9,$C27&lt;=0,$C$23&lt;=0),1000000,ABS($C27-$C$23)/$C27*100)</f>
        <v>77.839533408768</v>
      </c>
      <c r="R27" s="141" t="n">
        <f aca="false">IF(OR(6=9,$C27&lt;=0,$C$24&lt;=0),1000000,ABS($C27-$C$24)/$C27*100)</f>
        <v>75</v>
      </c>
      <c r="S27" s="141" t="n">
        <f aca="false">IF(OR(7=9,$C27&lt;=0,$C$25&lt;=0),1000000,ABS($C27-$C$25)/$C27*100)</f>
        <v>50</v>
      </c>
      <c r="T27" s="141" t="n">
        <f aca="false">IF(OR(8=9,$C27&lt;=0,$C$26&lt;=0),1000000,ABS($C27-$C$26)/$C27*100)</f>
        <v>25</v>
      </c>
      <c r="U27" s="141" t="n">
        <f aca="false">IF(OR(9=9,$C27&lt;=0,$C$27&lt;=0),1000000,ABS($C27-$C$27)/$C27*100)</f>
        <v>1000000</v>
      </c>
      <c r="V27" s="141" t="n">
        <f aca="false">IF(OR(10=9,$C27&lt;=0,$C$28&lt;=0),1000000,ABS($C27-$C$28)/$C27*100)</f>
        <v>26.4866824859731</v>
      </c>
      <c r="W27" s="141" t="n">
        <f aca="false">IF(OR(11=9,$C27&lt;=0,$C$29&lt;=0),1000000,ABS($C27-$C$29)/$C27*100)</f>
        <v>47.3800149594627</v>
      </c>
      <c r="X27" s="141" t="n">
        <f aca="false">IF(OR(12=9,$C27&lt;=0,$C$30&lt;=0),1000000,ABS($C27-$C$30)/$C27*100)</f>
        <v>120.949268293362</v>
      </c>
      <c r="Y27" s="141" t="n">
        <f aca="false">IF(OR(13=9,$C27&lt;=0,$C$31&lt;=0),1000000,ABS($C27-$C$31)/$C27*100)</f>
        <v>193.041847814888</v>
      </c>
      <c r="Z27" s="141" t="n">
        <f aca="false">IF(OR(14=9,$C27&lt;=0,$C$32&lt;=0),1000000,ABS($C27-$C$32)/$C27*100)</f>
        <v>39.1167467621583</v>
      </c>
      <c r="AA27" s="141" t="n">
        <f aca="false">IF(OR(15=9,$C27&lt;=0,$C$33&lt;=0),1000000,ABS($C27-$C$33)/$C27*100)</f>
        <v>178.233493524317</v>
      </c>
      <c r="AB27" s="141" t="n">
        <f aca="false">IF(OR(16=9,$C27&lt;=0,$C$34&lt;=0),1000000,ABS($C27-$C$34)/$C27*100)</f>
        <v>317.350240286475</v>
      </c>
      <c r="AC27" s="4"/>
      <c r="AD27" s="141" t="n">
        <f aca="false">IF(OR($B$6="",$B$6&lt;=0,$C27&lt;=0),1000000,ABS($C27-$B$6)/$C27*100)</f>
        <v>85.3629582128101</v>
      </c>
      <c r="AE27" s="141" t="n">
        <f aca="false">IF(OR($B$7="",$B$7&lt;=0,$C27&lt;=0),1000000,ABS($C27-$B$7)/$C27*100)</f>
        <v>73.9785923783291</v>
      </c>
      <c r="AF27" s="141" t="n">
        <f aca="false">IF(OR($B$8="",$B$8&lt;=0,$C27&lt;=0),1000000,ABS($C27-$B$8)/$C27*100)</f>
        <v>59.3415505911392</v>
      </c>
      <c r="AG27" s="141" t="n">
        <f aca="false">IF(OR($B$9="",$B$9&lt;=0,$C27&lt;=0),1000000,ABS($C27-$B$9)/$C27*100)</f>
        <v>42.2650018394177</v>
      </c>
      <c r="AH27" s="141" t="n">
        <f aca="false">IF(OR($B$10="",$B$10&lt;=0,$C27&lt;=0),1000000,ABS($C27-$B$10)/$C27*100)</f>
        <v>23.5621151113417</v>
      </c>
      <c r="AI27" s="141" t="n">
        <f aca="false">IF(OR($B$11="",$B$11&lt;=0,$C27&lt;=0),1000000,ABS($C27-$B$11)/$C27*100)</f>
        <v>1000000</v>
      </c>
      <c r="AJ27" s="141" t="n">
        <f aca="false">IF(OR($B$12="",$B$12&lt;=0,$C27&lt;=0),1000000,ABS($C27-$B$12)/$C27*100)</f>
        <v>1000000</v>
      </c>
      <c r="AK27" s="141" t="n">
        <f aca="false">IF(OR($B$13="",$B$13&lt;=0,$C27&lt;=0),1000000,ABS($C27-$B$13)/$C27*100)</f>
        <v>1000000</v>
      </c>
      <c r="AL27" s="141" t="n">
        <f aca="false">IF(OR($B$14="",$B$14&lt;=0,$C27&lt;=0),1000000,ABS($C27-$B$14)/$C27*100)</f>
        <v>1000000</v>
      </c>
      <c r="AM27" s="141" t="n">
        <f aca="false">IF(OR($B$15="",$B$15&lt;=0,$C27&lt;=0),1000000,ABS($C27-$B$15)/$C27*100)</f>
        <v>1000000</v>
      </c>
      <c r="AN27" s="4"/>
    </row>
    <row r="28" customFormat="false" ht="17.15" hidden="false" customHeight="false" outlineLevel="0" collapsed="false">
      <c r="A28" s="38" t="n">
        <v>11</v>
      </c>
      <c r="B28" s="21" t="str">
        <f aca="false">固有振動数!$R$16</f>
        <v>面内曲げ 1次</v>
      </c>
      <c r="C28" s="58" t="n">
        <f aca="false">固有振動数!$I$16</f>
        <v>9040.3493717601</v>
      </c>
      <c r="D28" s="45" t="str">
        <f aca="false">IF(AND(C28&gt;=$C$3,C28&lt;=$F$3),"○ 帯域内","− 帯域外")</f>
        <v>○ 帯域内</v>
      </c>
      <c r="E28" s="134" t="n">
        <f aca="false">MIN(L28:AB28)</f>
        <v>1.64537542296009</v>
      </c>
      <c r="F28" s="135" t="n">
        <f aca="false">MIN(AD28:AM28)</f>
        <v>3.97828240314879</v>
      </c>
      <c r="G28" s="136" t="str">
        <f aca="false">IF(D28="− 帯域外","− 対象外",IF(OR(E28&lt;$I$3,F28&lt;$I$3),"🔴 高リスク",IF(OR(E28&lt;$I$3*2,F28&lt;$I$3*2),"🟡 中リスク","🟢 低リスク")))</f>
        <v>🔴 高リスク</v>
      </c>
      <c r="H28" s="4"/>
      <c r="I28" s="4"/>
      <c r="J28" s="4"/>
      <c r="K28" s="4"/>
      <c r="L28" s="137" t="n">
        <f aca="false">IF(OR(0=10,$C28&lt;=0,$C$18&lt;=0),1000000,ABS($C28-$C$18)/$C28*100)</f>
        <v>76.3758695938554</v>
      </c>
      <c r="M28" s="137" t="n">
        <f aca="false">IF(OR(1=10,$C28&lt;=0,$C$19&lt;=0),1000000,ABS($C28-$C$19)/$C28*100)</f>
        <v>41.2901197770149</v>
      </c>
      <c r="N28" s="137" t="n">
        <f aca="false">IF(OR(2=10,$C28&lt;=0,$C$20&lt;=0),1000000,ABS($C28-$C$20)/$C28*100)</f>
        <v>1.64537542296009</v>
      </c>
      <c r="O28" s="137" t="n">
        <f aca="false">IF(OR(3=10,$C28&lt;=0,$C$21&lt;=0),1000000,ABS($C28-$C$21)/$C28*100)</f>
        <v>47.7465474526765</v>
      </c>
      <c r="P28" s="137" t="n">
        <f aca="false">IF(OR(4=10,$C28&lt;=0,$C$22&lt;=0),1000000,ABS($C28-$C$22)/$C28*100)</f>
        <v>94.8128498515355</v>
      </c>
      <c r="Q28" s="137" t="n">
        <f aca="false">IF(OR(5=10,$C28&lt;=0,$C$23&lt;=0),1000000,ABS($C28-$C$23)/$C28*100)</f>
        <v>141.914716166679</v>
      </c>
      <c r="R28" s="137" t="n">
        <f aca="false">IF(OR(6=10,$C28&lt;=0,$C$24&lt;=0),1000000,ABS($C28-$C$24)/$C28*100)</f>
        <v>65.992556389215</v>
      </c>
      <c r="S28" s="137" t="n">
        <f aca="false">IF(OR(7=10,$C28&lt;=0,$C$25&lt;=0),1000000,ABS($C28-$C$25)/$C28*100)</f>
        <v>31.9851127784301</v>
      </c>
      <c r="T28" s="137" t="n">
        <f aca="false">IF(OR(8=10,$C28&lt;=0,$C$26&lt;=0),1000000,ABS($C28-$C$26)/$C28*100)</f>
        <v>2.02233083235489</v>
      </c>
      <c r="U28" s="137" t="n">
        <f aca="false">IF(OR(9=10,$C28&lt;=0,$C$27&lt;=0),1000000,ABS($C28-$C$27)/$C28*100)</f>
        <v>36.0297744431398</v>
      </c>
      <c r="V28" s="137" t="n">
        <f aca="false">IF(OR(10=10,$C28&lt;=0,$C$28&lt;=0),1000000,ABS($C28-$C$28)/$C28*100)</f>
        <v>1000000</v>
      </c>
      <c r="W28" s="137" t="n">
        <f aca="false">IF(OR(11=10,$C28&lt;=0,$C$29&lt;=0),1000000,ABS($C28-$C$29)/$C28*100)</f>
        <v>100.480701923623</v>
      </c>
      <c r="X28" s="137" t="n">
        <f aca="false">IF(OR(12=10,$C28&lt;=0,$C$30&lt;=0),1000000,ABS($C28-$C$30)/$C28*100)</f>
        <v>200.556791293228</v>
      </c>
      <c r="Y28" s="137" t="n">
        <f aca="false">IF(OR(13=10,$C28&lt;=0,$C$31&lt;=0),1000000,ABS($C28-$C$31)/$C28*100)</f>
        <v>298.624164606601</v>
      </c>
      <c r="Z28" s="137" t="n">
        <f aca="false">IF(OR(14=10,$C28&lt;=0,$C$32&lt;=0),1000000,ABS($C28-$C$32)/$C28*100)</f>
        <v>89.240196833198</v>
      </c>
      <c r="AA28" s="137" t="n">
        <f aca="false">IF(OR(15=10,$C28&lt;=0,$C$33&lt;=0),1000000,ABS($C28-$C$33)/$C28*100)</f>
        <v>278.480393666396</v>
      </c>
      <c r="AB28" s="137" t="n">
        <f aca="false">IF(OR(16=10,$C28&lt;=0,$C$34&lt;=0),1000000,ABS($C28-$C$34)/$C28*100)</f>
        <v>467.720590499594</v>
      </c>
      <c r="AC28" s="4"/>
      <c r="AD28" s="137" t="n">
        <f aca="false">IF(OR($B$6="",$B$6&lt;=0,$C28&lt;=0),1000000,ABS($C28-$B$6)/$C28*100)</f>
        <v>80.0892650717375</v>
      </c>
      <c r="AE28" s="137" t="n">
        <f aca="false">IF(OR($B$7="",$B$7&lt;=0,$C28&lt;=0),1000000,ABS($C28-$B$7)/$C28*100)</f>
        <v>64.6031379053111</v>
      </c>
      <c r="AF28" s="137" t="n">
        <f aca="false">IF(OR($B$8="",$B$8&lt;=0,$C28&lt;=0),1000000,ABS($C28-$B$8)/$C28*100)</f>
        <v>44.6924029770485</v>
      </c>
      <c r="AG28" s="137" t="n">
        <f aca="false">IF(OR($B$9="",$B$9&lt;=0,$C28&lt;=0),1000000,ABS($C28-$B$9)/$C28*100)</f>
        <v>21.4632122274089</v>
      </c>
      <c r="AH28" s="137" t="n">
        <f aca="false">IF(OR($B$10="",$B$10&lt;=0,$C28&lt;=0),1000000,ABS($C28-$B$10)/$C28*100)</f>
        <v>3.97828240314879</v>
      </c>
      <c r="AI28" s="137" t="n">
        <f aca="false">IF(OR($B$11="",$B$11&lt;=0,$C28&lt;=0),1000000,ABS($C28-$B$11)/$C28*100)</f>
        <v>1000000</v>
      </c>
      <c r="AJ28" s="137" t="n">
        <f aca="false">IF(OR($B$12="",$B$12&lt;=0,$C28&lt;=0),1000000,ABS($C28-$B$12)/$C28*100)</f>
        <v>1000000</v>
      </c>
      <c r="AK28" s="137" t="n">
        <f aca="false">IF(OR($B$13="",$B$13&lt;=0,$C28&lt;=0),1000000,ABS($C28-$B$13)/$C28*100)</f>
        <v>1000000</v>
      </c>
      <c r="AL28" s="137" t="n">
        <f aca="false">IF(OR($B$14="",$B$14&lt;=0,$C28&lt;=0),1000000,ABS($C28-$B$14)/$C28*100)</f>
        <v>1000000</v>
      </c>
      <c r="AM28" s="137" t="n">
        <f aca="false">IF(OR($B$15="",$B$15&lt;=0,$C28&lt;=0),1000000,ABS($C28-$B$15)/$C28*100)</f>
        <v>1000000</v>
      </c>
      <c r="AN28" s="4"/>
    </row>
    <row r="29" customFormat="false" ht="17.15" hidden="false" customHeight="false" outlineLevel="0" collapsed="false">
      <c r="A29" s="47" t="n">
        <v>12</v>
      </c>
      <c r="B29" s="6" t="str">
        <f aca="false">固有振動数!$R$17</f>
        <v>面内曲げ 2次</v>
      </c>
      <c r="C29" s="58" t="n">
        <f aca="false">固有振動数!$I$17</f>
        <v>18124.1558768525</v>
      </c>
      <c r="D29" s="53" t="str">
        <f aca="false">IF(AND(C29&gt;=$C$3,C29&lt;=$F$3),"○ 帯域内","− 帯域外")</f>
        <v>− 帯域外</v>
      </c>
      <c r="E29" s="138" t="n">
        <f aca="false">MIN(L29:AB29)</f>
        <v>2.82713099949474</v>
      </c>
      <c r="F29" s="139" t="n">
        <f aca="false">MIN(AD29:AM29)</f>
        <v>48.1355155855543</v>
      </c>
      <c r="G29" s="140" t="str">
        <f aca="false">IF(D29="− 帯域外","− 対象外",IF(OR(E29&lt;$I$3,F29&lt;$I$3),"🔴 高リスク",IF(OR(E29&lt;$I$3*2,F29&lt;$I$3*2),"🟡 中リスク","🟢 低リスク")))</f>
        <v>− 対象外</v>
      </c>
      <c r="H29" s="4"/>
      <c r="I29" s="4"/>
      <c r="J29" s="4"/>
      <c r="K29" s="4"/>
      <c r="L29" s="141" t="n">
        <f aca="false">IF(OR(0=11,$C29&lt;=0,$C$18&lt;=0),1000000,ABS($C29-$C$18)/$C29*100)</f>
        <v>88.2162571362381</v>
      </c>
      <c r="M29" s="141" t="n">
        <f aca="false">IF(OR(1=11,$C29&lt;=0,$C$19&lt;=0),1000000,ABS($C29-$C$19)/$C29*100)</f>
        <v>70.715445596678</v>
      </c>
      <c r="N29" s="141" t="n">
        <f aca="false">IF(OR(2=11,$C29&lt;=0,$C$20&lt;=0),1000000,ABS($C29-$C$20)/$C29*100)</f>
        <v>49.2991722157458</v>
      </c>
      <c r="O29" s="141" t="n">
        <f aca="false">IF(OR(3=11,$C29&lt;=0,$C$21&lt;=0),1000000,ABS($C29-$C$21)/$C29*100)</f>
        <v>26.3038556653879</v>
      </c>
      <c r="P29" s="141" t="n">
        <f aca="false">IF(OR(4=11,$C29&lt;=0,$C$22&lt;=0),1000000,ABS($C29-$C$22)/$C29*100)</f>
        <v>2.82713099949474</v>
      </c>
      <c r="Q29" s="141" t="n">
        <f aca="false">IF(OR(5=11,$C29&lt;=0,$C$23&lt;=0),1000000,ABS($C29-$C$23)/$C29*100)</f>
        <v>20.6673329879111</v>
      </c>
      <c r="R29" s="141" t="n">
        <f aca="false">IF(OR(6=11,$C29&lt;=0,$C$24&lt;=0),1000000,ABS($C29-$C$24)/$C29*100)</f>
        <v>83.037048810942</v>
      </c>
      <c r="S29" s="141" t="n">
        <f aca="false">IF(OR(7=11,$C29&lt;=0,$C$25&lt;=0),1000000,ABS($C29-$C$25)/$C29*100)</f>
        <v>66.074097621884</v>
      </c>
      <c r="T29" s="141" t="n">
        <f aca="false">IF(OR(8=11,$C29&lt;=0,$C$26&lt;=0),1000000,ABS($C29-$C$26)/$C29*100)</f>
        <v>49.1111464328261</v>
      </c>
      <c r="U29" s="141" t="n">
        <f aca="false">IF(OR(9=11,$C29&lt;=0,$C$27&lt;=0),1000000,ABS($C29-$C$27)/$C29*100)</f>
        <v>32.1481952437681</v>
      </c>
      <c r="V29" s="141" t="n">
        <f aca="false">IF(OR(10=11,$C29&lt;=0,$C$28&lt;=0),1000000,ABS($C29-$C$28)/$C29*100)</f>
        <v>50.1198873305536</v>
      </c>
      <c r="W29" s="141" t="n">
        <f aca="false">IF(OR(11=11,$C29&lt;=0,$C$29&lt;=0),1000000,ABS($C29-$C$29)/$C29*100)</f>
        <v>1000000</v>
      </c>
      <c r="X29" s="141" t="n">
        <f aca="false">IF(OR(12=11,$C29&lt;=0,$C$30&lt;=0),1000000,ABS($C29-$C$30)/$C29*100)</f>
        <v>49.9180661327351</v>
      </c>
      <c r="Y29" s="141" t="n">
        <f aca="false">IF(OR(13=11,$C29&lt;=0,$C$31&lt;=0),1000000,ABS($C29-$C$31)/$C29*100)</f>
        <v>98.834182433412</v>
      </c>
      <c r="Z29" s="141" t="n">
        <f aca="false">IF(OR(14=11,$C29&lt;=0,$C$32&lt;=0),1000000,ABS($C29-$C$32)/$C29*100)</f>
        <v>5.60677660371877</v>
      </c>
      <c r="AA29" s="141" t="n">
        <f aca="false">IF(OR(15=11,$C29&lt;=0,$C$33&lt;=0),1000000,ABS($C29-$C$33)/$C29*100)</f>
        <v>88.7864467925625</v>
      </c>
      <c r="AB29" s="141" t="n">
        <f aca="false">IF(OR(16=11,$C29&lt;=0,$C$34&lt;=0),1000000,ABS($C29-$C$34)/$C29*100)</f>
        <v>183.179670188844</v>
      </c>
      <c r="AC29" s="4"/>
      <c r="AD29" s="141" t="n">
        <f aca="false">IF(OR($B$6="",$B$6&lt;=0,$C29&lt;=0),1000000,ABS($C29-$B$6)/$C29*100)</f>
        <v>90.0685029844678</v>
      </c>
      <c r="AE29" s="141" t="n">
        <f aca="false">IF(OR($B$7="",$B$7&lt;=0,$C29&lt;=0),1000000,ABS($C29-$B$7)/$C29*100)</f>
        <v>82.3440053057206</v>
      </c>
      <c r="AF29" s="141" t="n">
        <f aca="false">IF(OR($B$8="",$B$8&lt;=0,$C29&lt;=0),1000000,ABS($C29-$B$8)/$C29*100)</f>
        <v>72.4125082901884</v>
      </c>
      <c r="AG29" s="141" t="n">
        <f aca="false">IF(OR($B$9="",$B$9&lt;=0,$C29&lt;=0),1000000,ABS($C29-$B$9)/$C29*100)</f>
        <v>60.8257617720676</v>
      </c>
      <c r="AH29" s="141" t="n">
        <f aca="false">IF(OR($B$10="",$B$10&lt;=0,$C29&lt;=0),1000000,ABS($C29-$B$10)/$C29*100)</f>
        <v>48.1355155855543</v>
      </c>
      <c r="AI29" s="141" t="n">
        <f aca="false">IF(OR($B$11="",$B$11&lt;=0,$C29&lt;=0),1000000,ABS($C29-$B$11)/$C29*100)</f>
        <v>1000000</v>
      </c>
      <c r="AJ29" s="141" t="n">
        <f aca="false">IF(OR($B$12="",$B$12&lt;=0,$C29&lt;=0),1000000,ABS($C29-$B$12)/$C29*100)</f>
        <v>1000000</v>
      </c>
      <c r="AK29" s="141" t="n">
        <f aca="false">IF(OR($B$13="",$B$13&lt;=0,$C29&lt;=0),1000000,ABS($C29-$B$13)/$C29*100)</f>
        <v>1000000</v>
      </c>
      <c r="AL29" s="141" t="n">
        <f aca="false">IF(OR($B$14="",$B$14&lt;=0,$C29&lt;=0),1000000,ABS($C29-$B$14)/$C29*100)</f>
        <v>1000000</v>
      </c>
      <c r="AM29" s="141" t="n">
        <f aca="false">IF(OR($B$15="",$B$15&lt;=0,$C29&lt;=0),1000000,ABS($C29-$B$15)/$C29*100)</f>
        <v>1000000</v>
      </c>
      <c r="AN29" s="4"/>
    </row>
    <row r="30" customFormat="false" ht="17.15" hidden="false" customHeight="false" outlineLevel="0" collapsed="false">
      <c r="A30" s="38" t="n">
        <v>13</v>
      </c>
      <c r="B30" s="21" t="str">
        <f aca="false">固有振動数!$R$18</f>
        <v>面内曲げ 3次</v>
      </c>
      <c r="C30" s="58" t="n">
        <f aca="false">固有振動数!$I$18</f>
        <v>27171.3839934597</v>
      </c>
      <c r="D30" s="45" t="str">
        <f aca="false">IF(AND(C30&gt;=$C$3,C30&lt;=$F$3),"○ 帯域内","− 帯域外")</f>
        <v>− 帯域外</v>
      </c>
      <c r="E30" s="134" t="n">
        <f aca="false">MIN(L30:AB30)</f>
        <v>19.5111462543319</v>
      </c>
      <c r="F30" s="135" t="n">
        <f aca="false">MIN(AD30:AM30)</f>
        <v>65.4047802560862</v>
      </c>
      <c r="G30" s="136" t="str">
        <f aca="false">IF(D30="− 帯域外","− 対象外",IF(OR(E30&lt;$I$3,F30&lt;$I$3),"🔴 高リスク",IF(OR(E30&lt;$I$3*2,F30&lt;$I$3*2),"🟡 中リスク","🟢 低リスク")))</f>
        <v>− 対象外</v>
      </c>
      <c r="H30" s="4"/>
      <c r="I30" s="4"/>
      <c r="J30" s="4"/>
      <c r="K30" s="4"/>
      <c r="L30" s="137" t="n">
        <f aca="false">IF(OR(0=12,$C30&lt;=0,$C$18&lt;=0),1000000,ABS($C30-$C$18)/$C30*100)</f>
        <v>92.139878022887</v>
      </c>
      <c r="M30" s="137" t="n">
        <f aca="false">IF(OR(1=12,$C30&lt;=0,$C$19&lt;=0),1000000,ABS($C30-$C$19)/$C30*100)</f>
        <v>80.4662939172428</v>
      </c>
      <c r="N30" s="137" t="n">
        <f aca="false">IF(OR(2=12,$C30&lt;=0,$C$20&lt;=0),1000000,ABS($C30-$C$20)/$C30*100)</f>
        <v>66.1809753206365</v>
      </c>
      <c r="O30" s="137" t="n">
        <f aca="false">IF(OR(3=12,$C30&lt;=0,$C$21&lt;=0),1000000,ABS($C30-$C$21)/$C30*100)</f>
        <v>50.8423859540967</v>
      </c>
      <c r="P30" s="137" t="n">
        <f aca="false">IF(OR(4=12,$C30&lt;=0,$C$22&lt;=0),1000000,ABS($C30-$C$22)/$C30*100)</f>
        <v>35.182682443042</v>
      </c>
      <c r="Q30" s="137" t="n">
        <f aca="false">IF(OR(5=12,$C30&lt;=0,$C$23&lt;=0),1000000,ABS($C30-$C$23)/$C30*100)</f>
        <v>19.5111462543319</v>
      </c>
      <c r="R30" s="137" t="n">
        <f aca="false">IF(OR(6=12,$C30&lt;=0,$C$24&lt;=0),1000000,ABS($C30-$C$24)/$C30*100)</f>
        <v>88.6851854305276</v>
      </c>
      <c r="S30" s="137" t="n">
        <f aca="false">IF(OR(7=12,$C30&lt;=0,$C$25&lt;=0),1000000,ABS($C30-$C$25)/$C30*100)</f>
        <v>77.3703708610552</v>
      </c>
      <c r="T30" s="137" t="n">
        <f aca="false">IF(OR(8=12,$C30&lt;=0,$C$26&lt;=0),1000000,ABS($C30-$C$26)/$C30*100)</f>
        <v>66.0555562915828</v>
      </c>
      <c r="U30" s="137" t="n">
        <f aca="false">IF(OR(9=12,$C30&lt;=0,$C$27&lt;=0),1000000,ABS($C30-$C$27)/$C30*100)</f>
        <v>54.7407417221104</v>
      </c>
      <c r="V30" s="137" t="n">
        <f aca="false">IF(OR(10=12,$C30&lt;=0,$C$28&lt;=0),1000000,ABS($C30-$C$28)/$C30*100)</f>
        <v>66.7284177576815</v>
      </c>
      <c r="W30" s="137" t="n">
        <f aca="false">IF(OR(11=12,$C30&lt;=0,$C$29&lt;=0),1000000,ABS($C30-$C$29)/$C30*100)</f>
        <v>33.2968983795045</v>
      </c>
      <c r="X30" s="137" t="n">
        <f aca="false">IF(OR(12=12,$C30&lt;=0,$C$30&lt;=0),1000000,ABS($C30-$C$30)/$C30*100)</f>
        <v>1000000</v>
      </c>
      <c r="Y30" s="137" t="n">
        <f aca="false">IF(OR(13=12,$C30&lt;=0,$C$31&lt;=0),1000000,ABS($C30-$C$31)/$C30*100)</f>
        <v>32.6285667648402</v>
      </c>
      <c r="Z30" s="137" t="n">
        <f aca="false">IF(OR(14=12,$C30&lt;=0,$C$32&lt;=0),1000000,ABS($C30-$C$32)/$C30*100)</f>
        <v>37.0367922751172</v>
      </c>
      <c r="AA30" s="137" t="n">
        <f aca="false">IF(OR(15=12,$C30&lt;=0,$C$33&lt;=0),1000000,ABS($C30-$C$33)/$C30*100)</f>
        <v>25.9264154497656</v>
      </c>
      <c r="AB30" s="137" t="n">
        <f aca="false">IF(OR(16=12,$C30&lt;=0,$C$34&lt;=0),1000000,ABS($C30-$C$34)/$C30*100)</f>
        <v>88.8896231746485</v>
      </c>
      <c r="AC30" s="4"/>
      <c r="AD30" s="137" t="n">
        <f aca="false">IF(OR($B$6="",$B$6&lt;=0,$C30&lt;=0),1000000,ABS($C30-$B$6)/$C30*100)</f>
        <v>93.3753834532931</v>
      </c>
      <c r="AE30" s="137" t="n">
        <f aca="false">IF(OR($B$7="",$B$7&lt;=0,$C30&lt;=0),1000000,ABS($C30-$B$7)/$C30*100)</f>
        <v>88.2229039169655</v>
      </c>
      <c r="AF30" s="137" t="n">
        <f aca="false">IF(OR($B$8="",$B$8&lt;=0,$C30&lt;=0),1000000,ABS($C30-$B$8)/$C30*100)</f>
        <v>81.5982873702586</v>
      </c>
      <c r="AG30" s="137" t="n">
        <f aca="false">IF(OR($B$9="",$B$9&lt;=0,$C30&lt;=0),1000000,ABS($C30-$B$9)/$C30*100)</f>
        <v>73.8695680657672</v>
      </c>
      <c r="AH30" s="137" t="n">
        <f aca="false">IF(OR($B$10="",$B$10&lt;=0,$C30&lt;=0),1000000,ABS($C30-$B$10)/$C30*100)</f>
        <v>65.4047802560862</v>
      </c>
      <c r="AI30" s="137" t="n">
        <f aca="false">IF(OR($B$11="",$B$11&lt;=0,$C30&lt;=0),1000000,ABS($C30-$B$11)/$C30*100)</f>
        <v>1000000</v>
      </c>
      <c r="AJ30" s="137" t="n">
        <f aca="false">IF(OR($B$12="",$B$12&lt;=0,$C30&lt;=0),1000000,ABS($C30-$B$12)/$C30*100)</f>
        <v>1000000</v>
      </c>
      <c r="AK30" s="137" t="n">
        <f aca="false">IF(OR($B$13="",$B$13&lt;=0,$C30&lt;=0),1000000,ABS($C30-$B$13)/$C30*100)</f>
        <v>1000000</v>
      </c>
      <c r="AL30" s="137" t="n">
        <f aca="false">IF(OR($B$14="",$B$14&lt;=0,$C30&lt;=0),1000000,ABS($C30-$B$14)/$C30*100)</f>
        <v>1000000</v>
      </c>
      <c r="AM30" s="137" t="n">
        <f aca="false">IF(OR($B$15="",$B$15&lt;=0,$C30&lt;=0),1000000,ABS($C30-$B$15)/$C30*100)</f>
        <v>1000000</v>
      </c>
      <c r="AN30" s="4"/>
    </row>
    <row r="31" customFormat="false" ht="17.15" hidden="false" customHeight="false" outlineLevel="0" collapsed="false">
      <c r="A31" s="47" t="n">
        <v>14</v>
      </c>
      <c r="B31" s="6" t="str">
        <f aca="false">固有振動数!$R$19</f>
        <v>面内曲げ 4次</v>
      </c>
      <c r="C31" s="58" t="n">
        <f aca="false">固有振動数!$I$19</f>
        <v>36037.0171606968</v>
      </c>
      <c r="D31" s="53" t="str">
        <f aca="false">IF(AND(C31&gt;=$C$3,C31&lt;=$F$3),"○ 帯域内","− 帯域外")</f>
        <v>− 帯域外</v>
      </c>
      <c r="E31" s="138" t="n">
        <f aca="false">MIN(L31:AB31)</f>
        <v>5.05332409039599</v>
      </c>
      <c r="F31" s="139" t="n">
        <f aca="false">MIN(AD31:AM31)</f>
        <v>73.9157101763351</v>
      </c>
      <c r="G31" s="140" t="str">
        <f aca="false">IF(D31="− 帯域外","− 対象外",IF(OR(E31&lt;$I$3,F31&lt;$I$3),"🔴 高リスク",IF(OR(E31&lt;$I$3*2,F31&lt;$I$3*2),"🟡 中リスク","🟢 低リスク")))</f>
        <v>− 対象外</v>
      </c>
      <c r="H31" s="4"/>
      <c r="I31" s="4"/>
      <c r="J31" s="4"/>
      <c r="K31" s="4"/>
      <c r="L31" s="141" t="n">
        <f aca="false">IF(OR(0=13,$C31&lt;=0,$C$18&lt;=0),1000000,ABS($C31-$C$18)/$C31*100)</f>
        <v>94.0735829626739</v>
      </c>
      <c r="M31" s="141" t="n">
        <f aca="false">IF(OR(1=13,$C31&lt;=0,$C$19&lt;=0),1000000,ABS($C31-$C$19)/$C31*100)</f>
        <v>85.2718712421949</v>
      </c>
      <c r="N31" s="141" t="n">
        <f aca="false">IF(OR(2=13,$C31&lt;=0,$C$20&lt;=0),1000000,ABS($C31-$C$20)/$C31*100)</f>
        <v>74.5009499052138</v>
      </c>
      <c r="O31" s="141" t="n">
        <f aca="false">IF(OR(3=13,$C31&lt;=0,$C$21&lt;=0),1000000,ABS($C31-$C$21)/$C31*100)</f>
        <v>62.9358778089918</v>
      </c>
      <c r="P31" s="141" t="n">
        <f aca="false">IF(OR(4=13,$C31&lt;=0,$C$22&lt;=0),1000000,ABS($C31-$C$22)/$C31*100)</f>
        <v>51.1286903432473</v>
      </c>
      <c r="Q31" s="141" t="n">
        <f aca="false">IF(OR(5=13,$C31&lt;=0,$C$23&lt;=0),1000000,ABS($C31-$C$23)/$C31*100)</f>
        <v>39.3125812115723</v>
      </c>
      <c r="R31" s="141" t="n">
        <f aca="false">IF(OR(6=13,$C31&lt;=0,$C$24&lt;=0),1000000,ABS($C31-$C$24)/$C31*100)</f>
        <v>91.4687952637426</v>
      </c>
      <c r="S31" s="141" t="n">
        <f aca="false">IF(OR(7=13,$C31&lt;=0,$C$25&lt;=0),1000000,ABS($C31-$C$25)/$C31*100)</f>
        <v>82.9375905274852</v>
      </c>
      <c r="T31" s="141" t="n">
        <f aca="false">IF(OR(8=13,$C31&lt;=0,$C$26&lt;=0),1000000,ABS($C31-$C$26)/$C31*100)</f>
        <v>74.4063857912277</v>
      </c>
      <c r="U31" s="141" t="n">
        <f aca="false">IF(OR(9=13,$C31&lt;=0,$C$27&lt;=0),1000000,ABS($C31-$C$27)/$C31*100)</f>
        <v>65.8751810549703</v>
      </c>
      <c r="V31" s="141" t="n">
        <f aca="false">IF(OR(10=13,$C31&lt;=0,$C$28&lt;=0),1000000,ABS($C31-$C$28)/$C31*100)</f>
        <v>74.9137134978535</v>
      </c>
      <c r="W31" s="141" t="n">
        <f aca="false">IF(OR(11=13,$C31&lt;=0,$C$29&lt;=0),1000000,ABS($C31-$C$29)/$C31*100)</f>
        <v>49.7068367339257</v>
      </c>
      <c r="X31" s="141" t="n">
        <f aca="false">IF(OR(12=13,$C31&lt;=0,$C$30&lt;=0),1000000,ABS($C31-$C$30)/$C31*100)</f>
        <v>24.6014622345222</v>
      </c>
      <c r="Y31" s="141" t="n">
        <f aca="false">IF(OR(13=13,$C31&lt;=0,$C$31&lt;=0),1000000,ABS($C31-$C$31)/$C31*100)</f>
        <v>1000000</v>
      </c>
      <c r="Z31" s="141" t="n">
        <f aca="false">IF(OR(14=13,$C31&lt;=0,$C$32&lt;=0),1000000,ABS($C31-$C$32)/$C31*100)</f>
        <v>52.526662045198</v>
      </c>
      <c r="AA31" s="141" t="n">
        <f aca="false">IF(OR(15=13,$C31&lt;=0,$C$33&lt;=0),1000000,ABS($C31-$C$33)/$C31*100)</f>
        <v>5.05332409039599</v>
      </c>
      <c r="AB31" s="141" t="n">
        <f aca="false">IF(OR(16=13,$C31&lt;=0,$C$34&lt;=0),1000000,ABS($C31-$C$34)/$C31*100)</f>
        <v>42.420013864406</v>
      </c>
      <c r="AC31" s="4"/>
      <c r="AD31" s="141" t="n">
        <f aca="false">IF(OR($B$6="",$B$6&lt;=0,$C31&lt;=0),1000000,ABS($C31-$B$6)/$C31*100)</f>
        <v>95.0051359912131</v>
      </c>
      <c r="AE31" s="141" t="n">
        <f aca="false">IF(OR($B$7="",$B$7&lt;=0,$C31&lt;=0),1000000,ABS($C31-$B$7)/$C31*100)</f>
        <v>91.1202417621566</v>
      </c>
      <c r="AF31" s="141" t="n">
        <f aca="false">IF(OR($B$8="",$B$8&lt;=0,$C31&lt;=0),1000000,ABS($C31-$B$8)/$C31*100)</f>
        <v>86.1253777533698</v>
      </c>
      <c r="AG31" s="141" t="n">
        <f aca="false">IF(OR($B$9="",$B$9&lt;=0,$C31&lt;=0),1000000,ABS($C31-$B$9)/$C31*100)</f>
        <v>80.298036409785</v>
      </c>
      <c r="AH31" s="141" t="n">
        <f aca="false">IF(OR($B$10="",$B$10&lt;=0,$C31&lt;=0),1000000,ABS($C31-$B$10)/$C31*100)</f>
        <v>73.9157101763351</v>
      </c>
      <c r="AI31" s="141" t="n">
        <f aca="false">IF(OR($B$11="",$B$11&lt;=0,$C31&lt;=0),1000000,ABS($C31-$B$11)/$C31*100)</f>
        <v>1000000</v>
      </c>
      <c r="AJ31" s="141" t="n">
        <f aca="false">IF(OR($B$12="",$B$12&lt;=0,$C31&lt;=0),1000000,ABS($C31-$B$12)/$C31*100)</f>
        <v>1000000</v>
      </c>
      <c r="AK31" s="141" t="n">
        <f aca="false">IF(OR($B$13="",$B$13&lt;=0,$C31&lt;=0),1000000,ABS($C31-$B$13)/$C31*100)</f>
        <v>1000000</v>
      </c>
      <c r="AL31" s="141" t="n">
        <f aca="false">IF(OR($B$14="",$B$14&lt;=0,$C31&lt;=0),1000000,ABS($C31-$B$14)/$C31*100)</f>
        <v>1000000</v>
      </c>
      <c r="AM31" s="141" t="n">
        <f aca="false">IF(OR($B$15="",$B$15&lt;=0,$C31&lt;=0),1000000,ABS($C31-$B$15)/$C31*100)</f>
        <v>1000000</v>
      </c>
      <c r="AN31" s="4"/>
    </row>
    <row r="32" customFormat="false" ht="17.15" hidden="false" customHeight="false" outlineLevel="0" collapsed="false">
      <c r="A32" s="38" t="n">
        <v>15</v>
      </c>
      <c r="B32" s="21" t="str">
        <f aca="false">固有振動数!$R$20</f>
        <v>面内伸縮 1次</v>
      </c>
      <c r="C32" s="58" t="n">
        <f aca="false">固有振動数!$I$20</f>
        <v>17107.9749455276</v>
      </c>
      <c r="D32" s="45" t="str">
        <f aca="false">IF(AND(C32&gt;=$C$3,C32&lt;=$F$3),"○ 帯域内","− 帯域外")</f>
        <v>− 帯域外</v>
      </c>
      <c r="E32" s="134" t="n">
        <f aca="false">MIN(L32:AB32)</f>
        <v>2.94475122706059</v>
      </c>
      <c r="F32" s="135" t="n">
        <f aca="false">MIN(AD32:AM32)</f>
        <v>45.054864588416</v>
      </c>
      <c r="G32" s="136" t="str">
        <f aca="false">IF(D32="− 帯域外","− 対象外",IF(OR(E32&lt;$I$3,F32&lt;$I$3),"🔴 高リスク",IF(OR(E32&lt;$I$3*2,F32&lt;$I$3*2),"🟡 中リスク","🟢 低リスク")))</f>
        <v>− 対象外</v>
      </c>
      <c r="H32" s="4"/>
      <c r="I32" s="4"/>
      <c r="J32" s="4"/>
      <c r="K32" s="4"/>
      <c r="L32" s="137" t="n">
        <f aca="false">IF(OR(0=14,$C32&lt;=0,$C$18&lt;=0),1000000,ABS($C32-$C$18)/$C32*100)</f>
        <v>87.5163253888561</v>
      </c>
      <c r="M32" s="137" t="n">
        <f aca="false">IF(OR(1=14,$C32&lt;=0,$C$19&lt;=0),1000000,ABS($C32-$C$19)/$C32*100)</f>
        <v>68.9759991769963</v>
      </c>
      <c r="N32" s="137" t="n">
        <f aca="false">IF(OR(2=14,$C32&lt;=0,$C$20&lt;=0),1000000,ABS($C32-$C$20)/$C32*100)</f>
        <v>46.2876401927687</v>
      </c>
      <c r="O32" s="137" t="n">
        <f aca="false">IF(OR(3=14,$C32&lt;=0,$C$21&lt;=0),1000000,ABS($C32-$C$21)/$C32*100)</f>
        <v>21.9264459004422</v>
      </c>
      <c r="P32" s="137" t="n">
        <f aca="false">IF(OR(4=14,$C32&lt;=0,$C$22&lt;=0),1000000,ABS($C32-$C$22)/$C32*100)</f>
        <v>2.94475122706059</v>
      </c>
      <c r="Q32" s="137" t="n">
        <f aca="false">IF(OR(5=14,$C32&lt;=0,$C$23&lt;=0),1000000,ABS($C32-$C$23)/$C32*100)</f>
        <v>27.8347413577837</v>
      </c>
      <c r="R32" s="137" t="n">
        <f aca="false">IF(OR(6=14,$C32&lt;=0,$C$24&lt;=0),1000000,ABS($C32-$C$24)/$C32*100)</f>
        <v>82.0294820128727</v>
      </c>
      <c r="S32" s="137" t="n">
        <f aca="false">IF(OR(7=14,$C32&lt;=0,$C$25&lt;=0),1000000,ABS($C32-$C$25)/$C32*100)</f>
        <v>64.0589640257454</v>
      </c>
      <c r="T32" s="137" t="n">
        <f aca="false">IF(OR(8=14,$C32&lt;=0,$C$26&lt;=0),1000000,ABS($C32-$C$26)/$C32*100)</f>
        <v>46.0884460386181</v>
      </c>
      <c r="U32" s="137" t="n">
        <f aca="false">IF(OR(9=14,$C32&lt;=0,$C$27&lt;=0),1000000,ABS($C32-$C$27)/$C32*100)</f>
        <v>28.1179280514908</v>
      </c>
      <c r="V32" s="137" t="n">
        <f aca="false">IF(OR(10=14,$C32&lt;=0,$C$28&lt;=0),1000000,ABS($C32-$C$28)/$C32*100)</f>
        <v>47.1571042128312</v>
      </c>
      <c r="W32" s="137" t="n">
        <f aca="false">IF(OR(11=14,$C32&lt;=0,$C$29&lt;=0),1000000,ABS($C32-$C$29)/$C32*100)</f>
        <v>5.93980839088462</v>
      </c>
      <c r="X32" s="137" t="n">
        <f aca="false">IF(OR(12=14,$C32&lt;=0,$C$30&lt;=0),1000000,ABS($C32-$C$30)/$C32*100)</f>
        <v>58.8229120043393</v>
      </c>
      <c r="Y32" s="137" t="n">
        <f aca="false">IF(OR(13=14,$C32&lt;=0,$C$31&lt;=0),1000000,ABS($C32-$C$31)/$C32*100)</f>
        <v>110.644551885539</v>
      </c>
      <c r="Z32" s="137" t="n">
        <f aca="false">IF(OR(14=14,$C32&lt;=0,$C$32&lt;=0),1000000,ABS($C32-$C$32)/$C32*100)</f>
        <v>1000000</v>
      </c>
      <c r="AA32" s="137" t="n">
        <f aca="false">IF(OR(15=14,$C32&lt;=0,$C$33&lt;=0),1000000,ABS($C32-$C$33)/$C32*100)</f>
        <v>100</v>
      </c>
      <c r="AB32" s="137" t="n">
        <f aca="false">IF(OR(16=14,$C32&lt;=0,$C$34&lt;=0),1000000,ABS($C32-$C$34)/$C32*100)</f>
        <v>200</v>
      </c>
      <c r="AC32" s="4"/>
      <c r="AD32" s="137" t="n">
        <f aca="false">IF(OR($B$6="",$B$6&lt;=0,$C32&lt;=0),1000000,ABS($C32-$B$6)/$C32*100)</f>
        <v>89.4785910913988</v>
      </c>
      <c r="AE32" s="137" t="n">
        <f aca="false">IF(OR($B$7="",$B$7&lt;=0,$C32&lt;=0),1000000,ABS($C32-$B$7)/$C32*100)</f>
        <v>81.2952730513756</v>
      </c>
      <c r="AF32" s="137" t="n">
        <f aca="false">IF(OR($B$8="",$B$8&lt;=0,$C32&lt;=0),1000000,ABS($C32-$B$8)/$C32*100)</f>
        <v>70.7738641427744</v>
      </c>
      <c r="AG32" s="137" t="n">
        <f aca="false">IF(OR($B$9="",$B$9&lt;=0,$C32&lt;=0),1000000,ABS($C32-$B$9)/$C32*100)</f>
        <v>58.4988870827397</v>
      </c>
      <c r="AH32" s="137" t="n">
        <f aca="false">IF(OR($B$10="",$B$10&lt;=0,$C32&lt;=0),1000000,ABS($C32-$B$10)/$C32*100)</f>
        <v>45.054864588416</v>
      </c>
      <c r="AI32" s="137" t="n">
        <f aca="false">IF(OR($B$11="",$B$11&lt;=0,$C32&lt;=0),1000000,ABS($C32-$B$11)/$C32*100)</f>
        <v>1000000</v>
      </c>
      <c r="AJ32" s="137" t="n">
        <f aca="false">IF(OR($B$12="",$B$12&lt;=0,$C32&lt;=0),1000000,ABS($C32-$B$12)/$C32*100)</f>
        <v>1000000</v>
      </c>
      <c r="AK32" s="137" t="n">
        <f aca="false">IF(OR($B$13="",$B$13&lt;=0,$C32&lt;=0),1000000,ABS($C32-$B$13)/$C32*100)</f>
        <v>1000000</v>
      </c>
      <c r="AL32" s="137" t="n">
        <f aca="false">IF(OR($B$14="",$B$14&lt;=0,$C32&lt;=0),1000000,ABS($C32-$B$14)/$C32*100)</f>
        <v>1000000</v>
      </c>
      <c r="AM32" s="137" t="n">
        <f aca="false">IF(OR($B$15="",$B$15&lt;=0,$C32&lt;=0),1000000,ABS($C32-$B$15)/$C32*100)</f>
        <v>1000000</v>
      </c>
      <c r="AN32" s="4"/>
    </row>
    <row r="33" customFormat="false" ht="17.15" hidden="false" customHeight="false" outlineLevel="0" collapsed="false">
      <c r="A33" s="47" t="n">
        <v>16</v>
      </c>
      <c r="B33" s="6" t="str">
        <f aca="false">固有振動数!$R$21</f>
        <v>面内伸縮 2次</v>
      </c>
      <c r="C33" s="58" t="n">
        <f aca="false">固有振動数!$I$21</f>
        <v>34215.9498910552</v>
      </c>
      <c r="D33" s="53" t="str">
        <f aca="false">IF(AND(C33&gt;=$C$3,C33&lt;=$F$3),"○ 帯域内","− 帯域外")</f>
        <v>− 帯域外</v>
      </c>
      <c r="E33" s="138" t="n">
        <f aca="false">MIN(L33:AB33)</f>
        <v>5.32227594276931</v>
      </c>
      <c r="F33" s="139" t="n">
        <f aca="false">MIN(AD33:AM33)</f>
        <v>72.527432294208</v>
      </c>
      <c r="G33" s="140" t="str">
        <f aca="false">IF(D33="− 帯域外","− 対象外",IF(OR(E33&lt;$I$3,F33&lt;$I$3),"🔴 高リスク",IF(OR(E33&lt;$I$3*2,F33&lt;$I$3*2),"🟡 中リスク","🟢 低リスク")))</f>
        <v>− 対象外</v>
      </c>
      <c r="H33" s="4"/>
      <c r="I33" s="4"/>
      <c r="J33" s="4"/>
      <c r="K33" s="4"/>
      <c r="L33" s="141" t="n">
        <f aca="false">IF(OR(0=15,$C33&lt;=0,$C$18&lt;=0),1000000,ABS($C33-$C$18)/$C33*100)</f>
        <v>93.7581626944281</v>
      </c>
      <c r="M33" s="141" t="n">
        <f aca="false">IF(OR(1=15,$C33&lt;=0,$C$19&lt;=0),1000000,ABS($C33-$C$19)/$C33*100)</f>
        <v>84.4879995884982</v>
      </c>
      <c r="N33" s="141" t="n">
        <f aca="false">IF(OR(2=15,$C33&lt;=0,$C$20&lt;=0),1000000,ABS($C33-$C$20)/$C33*100)</f>
        <v>73.1438200963843</v>
      </c>
      <c r="O33" s="141" t="n">
        <f aca="false">IF(OR(3=15,$C33&lt;=0,$C$21&lt;=0),1000000,ABS($C33-$C$21)/$C33*100)</f>
        <v>60.9632229502211</v>
      </c>
      <c r="P33" s="141" t="n">
        <f aca="false">IF(OR(4=15,$C33&lt;=0,$C$22&lt;=0),1000000,ABS($C33-$C$22)/$C33*100)</f>
        <v>48.5276243864697</v>
      </c>
      <c r="Q33" s="141" t="n">
        <f aca="false">IF(OR(5=15,$C33&lt;=0,$C$23&lt;=0),1000000,ABS($C33-$C$23)/$C33*100)</f>
        <v>36.0826293211081</v>
      </c>
      <c r="R33" s="141" t="n">
        <f aca="false">IF(OR(6=15,$C33&lt;=0,$C$24&lt;=0),1000000,ABS($C33-$C$24)/$C33*100)</f>
        <v>91.0147410064364</v>
      </c>
      <c r="S33" s="141" t="n">
        <f aca="false">IF(OR(7=15,$C33&lt;=0,$C$25&lt;=0),1000000,ABS($C33-$C$25)/$C33*100)</f>
        <v>82.0294820128727</v>
      </c>
      <c r="T33" s="141" t="n">
        <f aca="false">IF(OR(8=15,$C33&lt;=0,$C$26&lt;=0),1000000,ABS($C33-$C$26)/$C33*100)</f>
        <v>73.044223019309</v>
      </c>
      <c r="U33" s="141" t="n">
        <f aca="false">IF(OR(9=15,$C33&lt;=0,$C$27&lt;=0),1000000,ABS($C33-$C$27)/$C33*100)</f>
        <v>64.0589640257454</v>
      </c>
      <c r="V33" s="141" t="n">
        <f aca="false">IF(OR(10=15,$C33&lt;=0,$C$28&lt;=0),1000000,ABS($C33-$C$28)/$C33*100)</f>
        <v>73.5785521064156</v>
      </c>
      <c r="W33" s="141" t="n">
        <f aca="false">IF(OR(11=15,$C33&lt;=0,$C$29&lt;=0),1000000,ABS($C33-$C$29)/$C33*100)</f>
        <v>47.0300958045577</v>
      </c>
      <c r="X33" s="141" t="n">
        <f aca="false">IF(OR(12=15,$C33&lt;=0,$C$30&lt;=0),1000000,ABS($C33-$C$30)/$C33*100)</f>
        <v>20.5885439978304</v>
      </c>
      <c r="Y33" s="141" t="n">
        <f aca="false">IF(OR(13=15,$C33&lt;=0,$C$31&lt;=0),1000000,ABS($C33-$C$31)/$C33*100)</f>
        <v>5.32227594276931</v>
      </c>
      <c r="Z33" s="141" t="n">
        <f aca="false">IF(OR(14=15,$C33&lt;=0,$C$32&lt;=0),1000000,ABS($C33-$C$32)/$C33*100)</f>
        <v>50</v>
      </c>
      <c r="AA33" s="141" t="n">
        <f aca="false">IF(OR(15=15,$C33&lt;=0,$C$33&lt;=0),1000000,ABS($C33-$C$33)/$C33*100)</f>
        <v>1000000</v>
      </c>
      <c r="AB33" s="141" t="n">
        <f aca="false">IF(OR(16=15,$C33&lt;=0,$C$34&lt;=0),1000000,ABS($C33-$C$34)/$C33*100)</f>
        <v>50</v>
      </c>
      <c r="AC33" s="4"/>
      <c r="AD33" s="141" t="n">
        <f aca="false">IF(OR($B$6="",$B$6&lt;=0,$C33&lt;=0),1000000,ABS($C33-$B$6)/$C33*100)</f>
        <v>94.7392955456994</v>
      </c>
      <c r="AE33" s="141" t="n">
        <f aca="false">IF(OR($B$7="",$B$7&lt;=0,$C33&lt;=0),1000000,ABS($C33-$B$7)/$C33*100)</f>
        <v>90.6476365256878</v>
      </c>
      <c r="AF33" s="141" t="n">
        <f aca="false">IF(OR($B$8="",$B$8&lt;=0,$C33&lt;=0),1000000,ABS($C33-$B$8)/$C33*100)</f>
        <v>85.3869320713872</v>
      </c>
      <c r="AG33" s="141" t="n">
        <f aca="false">IF(OR($B$9="",$B$9&lt;=0,$C33&lt;=0),1000000,ABS($C33-$B$9)/$C33*100)</f>
        <v>79.2494435413699</v>
      </c>
      <c r="AH33" s="141" t="n">
        <f aca="false">IF(OR($B$10="",$B$10&lt;=0,$C33&lt;=0),1000000,ABS($C33-$B$10)/$C33*100)</f>
        <v>72.527432294208</v>
      </c>
      <c r="AI33" s="141" t="n">
        <f aca="false">IF(OR($B$11="",$B$11&lt;=0,$C33&lt;=0),1000000,ABS($C33-$B$11)/$C33*100)</f>
        <v>1000000</v>
      </c>
      <c r="AJ33" s="141" t="n">
        <f aca="false">IF(OR($B$12="",$B$12&lt;=0,$C33&lt;=0),1000000,ABS($C33-$B$12)/$C33*100)</f>
        <v>1000000</v>
      </c>
      <c r="AK33" s="141" t="n">
        <f aca="false">IF(OR($B$13="",$B$13&lt;=0,$C33&lt;=0),1000000,ABS($C33-$B$13)/$C33*100)</f>
        <v>1000000</v>
      </c>
      <c r="AL33" s="141" t="n">
        <f aca="false">IF(OR($B$14="",$B$14&lt;=0,$C33&lt;=0),1000000,ABS($C33-$B$14)/$C33*100)</f>
        <v>1000000</v>
      </c>
      <c r="AM33" s="141" t="n">
        <f aca="false">IF(OR($B$15="",$B$15&lt;=0,$C33&lt;=0),1000000,ABS($C33-$B$15)/$C33*100)</f>
        <v>1000000</v>
      </c>
      <c r="AN33" s="4"/>
    </row>
    <row r="34" customFormat="false" ht="17.15" hidden="false" customHeight="false" outlineLevel="0" collapsed="false">
      <c r="A34" s="38" t="n">
        <v>17</v>
      </c>
      <c r="B34" s="21" t="str">
        <f aca="false">固有振動数!$R$22</f>
        <v>面内伸縮 3次</v>
      </c>
      <c r="C34" s="58" t="n">
        <f aca="false">固有振動数!$I$22</f>
        <v>51323.9248365827</v>
      </c>
      <c r="D34" s="45" t="str">
        <f aca="false">IF(AND(C34&gt;=$C$3,C34&lt;=$F$3),"○ 帯域内","− 帯域外")</f>
        <v>− 帯域外</v>
      </c>
      <c r="E34" s="134" t="n">
        <f aca="false">MIN(L34:AB34)</f>
        <v>29.7851493714871</v>
      </c>
      <c r="F34" s="135" t="n">
        <f aca="false">MIN(AD34:AM34)</f>
        <v>81.6849548628053</v>
      </c>
      <c r="G34" s="136" t="str">
        <f aca="false">IF(D34="− 帯域外","− 対象外",IF(OR(E34&lt;$I$3,F34&lt;$I$3),"🔴 高リスク",IF(OR(E34&lt;$I$3*2,F34&lt;$I$3*2),"🟡 中リスク","🟢 低リスク")))</f>
        <v>− 対象外</v>
      </c>
      <c r="H34" s="4"/>
      <c r="I34" s="4"/>
      <c r="J34" s="4"/>
      <c r="K34" s="4"/>
      <c r="L34" s="137" t="n">
        <f aca="false">IF(OR(0=16,$C34&lt;=0,$C$18&lt;=0),1000000,ABS($C34-$C$18)/$C34*100)</f>
        <v>95.8387751296187</v>
      </c>
      <c r="M34" s="137" t="n">
        <f aca="false">IF(OR(1=16,$C34&lt;=0,$C$19&lt;=0),1000000,ABS($C34-$C$19)/$C34*100)</f>
        <v>89.6586663923321</v>
      </c>
      <c r="N34" s="137" t="n">
        <f aca="false">IF(OR(2=16,$C34&lt;=0,$C$20&lt;=0),1000000,ABS($C34-$C$20)/$C34*100)</f>
        <v>82.0958800642562</v>
      </c>
      <c r="O34" s="137" t="n">
        <f aca="false">IF(OR(3=16,$C34&lt;=0,$C$21&lt;=0),1000000,ABS($C34-$C$21)/$C34*100)</f>
        <v>73.9754819668141</v>
      </c>
      <c r="P34" s="137" t="n">
        <f aca="false">IF(OR(4=16,$C34&lt;=0,$C$22&lt;=0),1000000,ABS($C34-$C$22)/$C34*100)</f>
        <v>65.6850829243131</v>
      </c>
      <c r="Q34" s="137" t="n">
        <f aca="false">IF(OR(5=16,$C34&lt;=0,$C$23&lt;=0),1000000,ABS($C34-$C$23)/$C34*100)</f>
        <v>57.3884195474054</v>
      </c>
      <c r="R34" s="137" t="n">
        <f aca="false">IF(OR(6=16,$C34&lt;=0,$C$24&lt;=0),1000000,ABS($C34-$C$24)/$C34*100)</f>
        <v>94.0098273376242</v>
      </c>
      <c r="S34" s="137" t="n">
        <f aca="false">IF(OR(7=16,$C34&lt;=0,$C$25&lt;=0),1000000,ABS($C34-$C$25)/$C34*100)</f>
        <v>88.0196546752485</v>
      </c>
      <c r="T34" s="137" t="n">
        <f aca="false">IF(OR(8=16,$C34&lt;=0,$C$26&lt;=0),1000000,ABS($C34-$C$26)/$C34*100)</f>
        <v>82.0294820128727</v>
      </c>
      <c r="U34" s="137" t="n">
        <f aca="false">IF(OR(9=16,$C34&lt;=0,$C$27&lt;=0),1000000,ABS($C34-$C$27)/$C34*100)</f>
        <v>76.0393093504969</v>
      </c>
      <c r="V34" s="137" t="n">
        <f aca="false">IF(OR(10=16,$C34&lt;=0,$C$28&lt;=0),1000000,ABS($C34-$C$28)/$C34*100)</f>
        <v>82.3857014042771</v>
      </c>
      <c r="W34" s="137" t="n">
        <f aca="false">IF(OR(11=16,$C34&lt;=0,$C$29&lt;=0),1000000,ABS($C34-$C$29)/$C34*100)</f>
        <v>64.6867305363718</v>
      </c>
      <c r="X34" s="137" t="n">
        <f aca="false">IF(OR(12=16,$C34&lt;=0,$C$30&lt;=0),1000000,ABS($C34-$C$30)/$C34*100)</f>
        <v>47.0590293318869</v>
      </c>
      <c r="Y34" s="137" t="n">
        <f aca="false">IF(OR(13=16,$C34&lt;=0,$C$31&lt;=0),1000000,ABS($C34-$C$31)/$C34*100)</f>
        <v>29.7851493714871</v>
      </c>
      <c r="Z34" s="137" t="n">
        <f aca="false">IF(OR(14=16,$C34&lt;=0,$C$32&lt;=0),1000000,ABS($C34-$C$32)/$C34*100)</f>
        <v>66.6666666666667</v>
      </c>
      <c r="AA34" s="137" t="n">
        <f aca="false">IF(OR(15=16,$C34&lt;=0,$C$33&lt;=0),1000000,ABS($C34-$C$33)/$C34*100)</f>
        <v>33.3333333333333</v>
      </c>
      <c r="AB34" s="137" t="n">
        <f aca="false">IF(OR(16=16,$C34&lt;=0,$C$34&lt;=0),1000000,ABS($C34-$C$34)/$C34*100)</f>
        <v>1000000</v>
      </c>
      <c r="AC34" s="4"/>
      <c r="AD34" s="137" t="n">
        <f aca="false">IF(OR($B$6="",$B$6&lt;=0,$C34&lt;=0),1000000,ABS($C34-$B$6)/$C34*100)</f>
        <v>96.4928636971329</v>
      </c>
      <c r="AE34" s="137" t="n">
        <f aca="false">IF(OR($B$7="",$B$7&lt;=0,$C34&lt;=0),1000000,ABS($C34-$B$7)/$C34*100)</f>
        <v>93.7650910171252</v>
      </c>
      <c r="AF34" s="137" t="n">
        <f aca="false">IF(OR($B$8="",$B$8&lt;=0,$C34&lt;=0),1000000,ABS($C34-$B$8)/$C34*100)</f>
        <v>90.2579547142581</v>
      </c>
      <c r="AG34" s="137" t="n">
        <f aca="false">IF(OR($B$9="",$B$9&lt;=0,$C34&lt;=0),1000000,ABS($C34-$B$9)/$C34*100)</f>
        <v>86.1662956942466</v>
      </c>
      <c r="AH34" s="137" t="n">
        <f aca="false">IF(OR($B$10="",$B$10&lt;=0,$C34&lt;=0),1000000,ABS($C34-$B$10)/$C34*100)</f>
        <v>81.6849548628053</v>
      </c>
      <c r="AI34" s="137" t="n">
        <f aca="false">IF(OR($B$11="",$B$11&lt;=0,$C34&lt;=0),1000000,ABS($C34-$B$11)/$C34*100)</f>
        <v>1000000</v>
      </c>
      <c r="AJ34" s="137" t="n">
        <f aca="false">IF(OR($B$12="",$B$12&lt;=0,$C34&lt;=0),1000000,ABS($C34-$B$12)/$C34*100)</f>
        <v>1000000</v>
      </c>
      <c r="AK34" s="137" t="n">
        <f aca="false">IF(OR($B$13="",$B$13&lt;=0,$C34&lt;=0),1000000,ABS($C34-$B$13)/$C34*100)</f>
        <v>1000000</v>
      </c>
      <c r="AL34" s="137" t="n">
        <f aca="false">IF(OR($B$14="",$B$14&lt;=0,$C34&lt;=0),1000000,ABS($C34-$B$14)/$C34*100)</f>
        <v>1000000</v>
      </c>
      <c r="AM34" s="137" t="n">
        <f aca="false">IF(OR($B$15="",$B$15&lt;=0,$C34&lt;=0),1000000,ABS($C34-$B$15)/$C34*100)</f>
        <v>1000000</v>
      </c>
      <c r="AN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customFormat="false" ht="15" hidden="false" customHeight="false" outlineLevel="0" collapsed="false">
      <c r="A36" s="56" t="s">
        <v>355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customFormat="false" ht="15" hidden="false" customHeight="false" outlineLevel="0" collapsed="false">
      <c r="A37" s="57" t="s">
        <v>356</v>
      </c>
      <c r="B37" s="57"/>
      <c r="C37" s="36" t="n">
        <f aca="false">COUNTIF($D$18:$D$34,"○ 帯域内")</f>
        <v>9</v>
      </c>
      <c r="D37" s="30" t="s">
        <v>357</v>
      </c>
      <c r="E37" s="30"/>
      <c r="F37" s="30"/>
      <c r="G37" s="30"/>
      <c r="H37" s="30"/>
      <c r="I37" s="30"/>
      <c r="J37" s="3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customFormat="false" ht="17.15" hidden="false" customHeight="false" outlineLevel="0" collapsed="false">
      <c r="A38" s="59" t="s">
        <v>358</v>
      </c>
      <c r="B38" s="59"/>
      <c r="C38" s="64" t="n">
        <f aca="false">IF($F$3-$C$3&lt;=0,0,$C$37/(($F$3-$C$3)/1000))</f>
        <v>0.610169491525424</v>
      </c>
      <c r="D38" s="28" t="s">
        <v>359</v>
      </c>
      <c r="E38" s="28"/>
      <c r="F38" s="28"/>
      <c r="G38" s="28"/>
      <c r="H38" s="28"/>
      <c r="I38" s="28"/>
      <c r="J38" s="2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customFormat="false" ht="15" hidden="false" customHeight="false" outlineLevel="0" collapsed="false">
      <c r="A39" s="57" t="s">
        <v>360</v>
      </c>
      <c r="B39" s="57"/>
      <c r="C39" s="36" t="n">
        <f aca="false">COUNTIF($G$18:$G$34,"🔴 高リスク")</f>
        <v>3</v>
      </c>
      <c r="D39" s="30" t="s">
        <v>361</v>
      </c>
      <c r="E39" s="30"/>
      <c r="F39" s="30"/>
      <c r="G39" s="30"/>
      <c r="H39" s="30"/>
      <c r="I39" s="30"/>
      <c r="J39" s="3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customFormat="false" ht="15" hidden="false" customHeight="false" outlineLevel="0" collapsed="false">
      <c r="A40" s="59" t="s">
        <v>362</v>
      </c>
      <c r="B40" s="59"/>
      <c r="C40" s="36" t="n">
        <f aca="false">COUNTIF($G$18:$G$34,"🟡 中リスク")</f>
        <v>2</v>
      </c>
      <c r="D40" s="29"/>
      <c r="E40" s="29"/>
      <c r="F40" s="29"/>
      <c r="G40" s="29"/>
      <c r="H40" s="29"/>
      <c r="I40" s="29"/>
      <c r="J40" s="2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customFormat="false" ht="17.15" hidden="false" customHeight="false" outlineLevel="0" collapsed="false">
      <c r="A41" s="57" t="s">
        <v>363</v>
      </c>
      <c r="B41" s="57"/>
      <c r="C41" s="64" t="n">
        <f aca="false">MIN($E$18:$E$34)</f>
        <v>0.369483235992931</v>
      </c>
      <c r="D41" s="30" t="s">
        <v>364</v>
      </c>
      <c r="E41" s="30"/>
      <c r="F41" s="30"/>
      <c r="G41" s="30"/>
      <c r="H41" s="30"/>
      <c r="I41" s="30"/>
      <c r="J41" s="3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customFormat="false" ht="17.15" hidden="false" customHeight="false" outlineLevel="0" collapsed="false">
      <c r="A42" s="59" t="s">
        <v>365</v>
      </c>
      <c r="B42" s="59"/>
      <c r="C42" s="64" t="n">
        <f aca="false">MIN($F$18:$F$34)</f>
        <v>1.91717985154442</v>
      </c>
      <c r="D42" s="28" t="s">
        <v>366</v>
      </c>
      <c r="E42" s="28"/>
      <c r="F42" s="28"/>
      <c r="G42" s="28"/>
      <c r="H42" s="28"/>
      <c r="I42" s="28"/>
      <c r="J42" s="2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customFormat="false" ht="17.15" hidden="false" customHeight="false" outlineLevel="0" collapsed="false">
      <c r="A43" s="57" t="s">
        <v>367</v>
      </c>
      <c r="B43" s="57"/>
      <c r="C43" s="36" t="n">
        <f aca="false">MAX(0,MIN(100,ROUND(12*$C$39+5*$C$40+MAX(0,15-3*$C$41)+MAX(0,15-3*$C$42)+MIN(15,$C$38*3),0)))</f>
        <v>71</v>
      </c>
      <c r="D43" s="20" t="s">
        <v>368</v>
      </c>
      <c r="E43" s="20"/>
      <c r="F43" s="20"/>
      <c r="G43" s="20"/>
      <c r="H43" s="20"/>
      <c r="I43" s="20"/>
      <c r="J43" s="2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customFormat="false" ht="19.4" hidden="false" customHeight="false" outlineLevel="0" collapsed="false">
      <c r="A44" s="59" t="s">
        <v>369</v>
      </c>
      <c r="B44" s="59"/>
      <c r="C44" s="67" t="str">
        <f aca="false">IF($C$43&gt;=70,"🔴 A：鳴きやすい設計",IF($C$43&gt;=40,"🟡 B：条件次第で鳴く","🟢 C：比較的おとなしい"))</f>
        <v>🔴 A：鳴きやすい設計</v>
      </c>
      <c r="D44" s="29"/>
      <c r="E44" s="29"/>
      <c r="F44" s="29"/>
      <c r="G44" s="29"/>
      <c r="H44" s="29"/>
      <c r="I44" s="29"/>
      <c r="J44" s="2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customFormat="false" ht="15" hidden="false" customHeight="false" outlineLevel="0" collapsed="false">
      <c r="A46" s="56" t="s">
        <v>370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customFormat="false" ht="17.15" hidden="false" customHeight="false" outlineLevel="0" collapsed="false">
      <c r="A47" s="93" t="s">
        <v>371</v>
      </c>
      <c r="B47" s="93"/>
      <c r="C47" s="93"/>
      <c r="D47" s="93"/>
      <c r="E47" s="93"/>
      <c r="F47" s="93"/>
      <c r="G47" s="93"/>
      <c r="H47" s="93"/>
      <c r="I47" s="93"/>
      <c r="J47" s="9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customFormat="false" ht="17.15" hidden="false" customHeight="false" outlineLevel="0" collapsed="false">
      <c r="A48" s="114" t="s">
        <v>372</v>
      </c>
      <c r="B48" s="114"/>
      <c r="C48" s="114"/>
      <c r="D48" s="114"/>
      <c r="E48" s="114"/>
      <c r="F48" s="114"/>
      <c r="G48" s="114"/>
      <c r="H48" s="114"/>
      <c r="I48" s="114"/>
      <c r="J48" s="11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customFormat="false" ht="17.15" hidden="false" customHeight="false" outlineLevel="0" collapsed="false">
      <c r="A49" s="142" t="s">
        <v>373</v>
      </c>
      <c r="B49" s="142"/>
      <c r="C49" s="142"/>
      <c r="D49" s="142"/>
      <c r="E49" s="142"/>
      <c r="F49" s="142"/>
      <c r="G49" s="142"/>
      <c r="H49" s="142"/>
      <c r="I49" s="142"/>
      <c r="J49" s="14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customFormat="false" ht="15" hidden="false" customHeight="false" outlineLevel="0" collapsed="false">
      <c r="A50" s="115" t="s">
        <v>374</v>
      </c>
      <c r="B50" s="115"/>
      <c r="C50" s="115"/>
      <c r="D50" s="115"/>
      <c r="E50" s="115"/>
      <c r="F50" s="115"/>
      <c r="G50" s="115"/>
      <c r="H50" s="115"/>
      <c r="I50" s="115"/>
      <c r="J50" s="11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customFormat="false" ht="15" hidden="false" customHeight="false" outlineLevel="0" collapsed="false">
      <c r="A51" s="116" t="s">
        <v>375</v>
      </c>
      <c r="B51" s="116"/>
      <c r="C51" s="116"/>
      <c r="D51" s="116"/>
      <c r="E51" s="116"/>
      <c r="F51" s="116"/>
      <c r="G51" s="116"/>
      <c r="H51" s="116"/>
      <c r="I51" s="116"/>
      <c r="J51" s="11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customFormat="false" ht="17.15" hidden="false" customHeight="false" outlineLevel="0" collapsed="false">
      <c r="A52" s="117" t="s">
        <v>376</v>
      </c>
      <c r="B52" s="117"/>
      <c r="C52" s="117"/>
      <c r="D52" s="117"/>
      <c r="E52" s="117"/>
      <c r="F52" s="117"/>
      <c r="G52" s="117"/>
      <c r="H52" s="117"/>
      <c r="I52" s="117"/>
      <c r="J52" s="11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customFormat="false" ht="17.15" hidden="false" customHeight="false" outlineLevel="0" collapsed="false">
      <c r="A53" s="117" t="s">
        <v>377</v>
      </c>
      <c r="B53" s="117"/>
      <c r="C53" s="117"/>
      <c r="D53" s="117"/>
      <c r="E53" s="117"/>
      <c r="F53" s="117"/>
      <c r="G53" s="117"/>
      <c r="H53" s="117"/>
      <c r="I53" s="117"/>
      <c r="J53" s="11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</sheetData>
  <mergeCells count="25">
    <mergeCell ref="A5:F5"/>
    <mergeCell ref="C6:F6"/>
    <mergeCell ref="A37:B37"/>
    <mergeCell ref="D37:J37"/>
    <mergeCell ref="A38:B38"/>
    <mergeCell ref="D38:J38"/>
    <mergeCell ref="A39:B39"/>
    <mergeCell ref="D39:J39"/>
    <mergeCell ref="A40:B40"/>
    <mergeCell ref="D40:J40"/>
    <mergeCell ref="A41:B41"/>
    <mergeCell ref="D41:J41"/>
    <mergeCell ref="A42:B42"/>
    <mergeCell ref="D42:J42"/>
    <mergeCell ref="A43:B43"/>
    <mergeCell ref="D43:J43"/>
    <mergeCell ref="A44:B44"/>
    <mergeCell ref="D44:J44"/>
    <mergeCell ref="A47:J47"/>
    <mergeCell ref="A48:J48"/>
    <mergeCell ref="A49:J49"/>
    <mergeCell ref="A50:J50"/>
    <mergeCell ref="A51:J51"/>
    <mergeCell ref="A52:J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101"/>
  <sheetViews>
    <sheetView showFormulas="false" showGridLines="fals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11" min="5" style="0" width="14"/>
  </cols>
  <sheetData>
    <row r="1" customFormat="false" ht="23.85" hidden="false" customHeight="false" outlineLevel="0" collapsed="false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379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9.4" hidden="false" customHeight="false" outlineLevel="0" collapsed="false">
      <c r="A3" s="143" t="s">
        <v>380</v>
      </c>
      <c r="B3" s="143"/>
      <c r="C3" s="143"/>
      <c r="D3" s="143"/>
      <c r="E3" s="143"/>
      <c r="F3" s="143"/>
      <c r="G3" s="143"/>
      <c r="H3" s="143"/>
      <c r="I3" s="4"/>
      <c r="J3" s="4"/>
      <c r="K3" s="4"/>
      <c r="L3" s="4"/>
      <c r="M3" s="4"/>
    </row>
    <row r="4" customFormat="false" ht="15" hidden="false" customHeight="false" outlineLevel="0" collapsed="false">
      <c r="A4" s="12" t="s">
        <v>381</v>
      </c>
      <c r="B4" s="13" t="s">
        <v>382</v>
      </c>
      <c r="C4" s="13" t="s">
        <v>269</v>
      </c>
      <c r="D4" s="12" t="s">
        <v>383</v>
      </c>
      <c r="E4" s="13" t="s">
        <v>384</v>
      </c>
      <c r="F4" s="13" t="s">
        <v>385</v>
      </c>
      <c r="G4" s="12" t="s">
        <v>386</v>
      </c>
      <c r="H4" s="12" t="s">
        <v>387</v>
      </c>
      <c r="I4" s="4"/>
      <c r="J4" s="4"/>
      <c r="K4" s="4"/>
      <c r="L4" s="4"/>
      <c r="M4" s="4"/>
    </row>
    <row r="5" customFormat="false" ht="15" hidden="false" customHeight="false" outlineLevel="0" collapsed="false">
      <c r="A5" s="38" t="n">
        <v>1</v>
      </c>
      <c r="B5" s="99" t="n">
        <v>4.730041</v>
      </c>
      <c r="C5" s="100" t="n">
        <f aca="false">B5^2</f>
        <v>22.373287861681</v>
      </c>
      <c r="D5" s="144" t="n">
        <v>1650</v>
      </c>
      <c r="E5" s="91" t="n">
        <f aca="false">IF(OR($D$5="",$D$5=0,D5=""),"",D5/$D$5)</f>
        <v>1</v>
      </c>
      <c r="F5" s="22" t="n">
        <f aca="false">C5/$C$5</f>
        <v>1</v>
      </c>
      <c r="G5" s="134" t="n">
        <f aca="false">IF(E5="","",(E5/F5-1)*100)</f>
        <v>0</v>
      </c>
      <c r="H5" s="45" t="str">
        <f aca="false">IF(G5="","",IF(ABS(G5)&lt;5,"🟢 曲げモードで整合",IF(ABS(G5)&lt;15,"🟡 せん断/曲率の影響","🔴 別種のモードの可能性")))</f>
        <v>🟢 曲げモードで整合</v>
      </c>
      <c r="I5" s="4"/>
      <c r="J5" s="4"/>
      <c r="K5" s="4"/>
      <c r="L5" s="4"/>
      <c r="M5" s="4"/>
    </row>
    <row r="6" customFormat="false" ht="15" hidden="false" customHeight="false" outlineLevel="0" collapsed="false">
      <c r="A6" s="47" t="n">
        <v>2</v>
      </c>
      <c r="B6" s="106" t="n">
        <v>7.853205</v>
      </c>
      <c r="C6" s="98" t="n">
        <f aca="false">B6^2</f>
        <v>61.672828772025</v>
      </c>
      <c r="D6" s="144" t="n">
        <v>4550</v>
      </c>
      <c r="E6" s="91" t="n">
        <f aca="false">IF(OR($D$5="",$D$5=0,D6=""),"",D6/$D$5)</f>
        <v>2.75757575757576</v>
      </c>
      <c r="F6" s="14" t="n">
        <f aca="false">C6/$C$5</f>
        <v>2.75653847361669</v>
      </c>
      <c r="G6" s="138" t="n">
        <f aca="false">IF(E6="","",(E6/F6-1)*100)</f>
        <v>0.0376299467246488</v>
      </c>
      <c r="H6" s="53" t="str">
        <f aca="false">IF(G6="","",IF(ABS(G6)&lt;5,"🟢 曲げモードで整合",IF(ABS(G6)&lt;15,"🟡 せん断/曲率の影響","🔴 別種のモードの可能性")))</f>
        <v>🟢 曲げモードで整合</v>
      </c>
      <c r="I6" s="4"/>
      <c r="J6" s="4"/>
      <c r="K6" s="4"/>
      <c r="L6" s="4"/>
      <c r="M6" s="4"/>
    </row>
    <row r="7" customFormat="false" ht="15" hidden="false" customHeight="false" outlineLevel="0" collapsed="false">
      <c r="A7" s="38" t="n">
        <v>3</v>
      </c>
      <c r="B7" s="99" t="n">
        <v>10.995608</v>
      </c>
      <c r="C7" s="100" t="n">
        <f aca="false">B7^2</f>
        <v>120.903395289664</v>
      </c>
      <c r="D7" s="144" t="n">
        <v>8900</v>
      </c>
      <c r="E7" s="91" t="n">
        <f aca="false">IF(OR($D$5="",$D$5=0,D7=""),"",D7/$D$5)</f>
        <v>5.39393939393939</v>
      </c>
      <c r="F7" s="22" t="n">
        <f aca="false">C7/$C$5</f>
        <v>5.40391720864311</v>
      </c>
      <c r="G7" s="134" t="n">
        <f aca="false">IF(E7="","",(E7/F7-1)*100)</f>
        <v>-0.184640406551018</v>
      </c>
      <c r="H7" s="45" t="str">
        <f aca="false">IF(G7="","",IF(ABS(G7)&lt;5,"🟢 曲げモードで整合",IF(ABS(G7)&lt;15,"🟡 せん断/曲率の影響","🔴 別種のモードの可能性")))</f>
        <v>🟢 曲げモードで整合</v>
      </c>
      <c r="I7" s="4"/>
      <c r="J7" s="4"/>
      <c r="K7" s="4"/>
      <c r="L7" s="4"/>
      <c r="M7" s="4"/>
    </row>
    <row r="8" customFormat="false" ht="15" hidden="false" customHeight="false" outlineLevel="0" collapsed="false">
      <c r="A8" s="47" t="n">
        <v>4</v>
      </c>
      <c r="B8" s="106" t="n">
        <v>14.137165</v>
      </c>
      <c r="C8" s="98" t="n">
        <f aca="false">B8^2</f>
        <v>199.859434237225</v>
      </c>
      <c r="D8" s="144"/>
      <c r="E8" s="91" t="str">
        <f aca="false">IF(OR($D$5="",$D$5=0,D8=""),"",D8/$D$5)</f>
        <v/>
      </c>
      <c r="F8" s="14" t="n">
        <f aca="false">C8/$C$5</f>
        <v>8.93294876787093</v>
      </c>
      <c r="G8" s="138" t="str">
        <f aca="false">IF(E8="","",(E8/F8-1)*100)</f>
        <v/>
      </c>
      <c r="H8" s="53" t="str">
        <f aca="false">IF(G8="","",IF(ABS(G8)&lt;5,"🟢 曲げモードで整合",IF(ABS(G8)&lt;15,"🟡 せん断/曲率の影響","🔴 別種のモードの可能性")))</f>
        <v/>
      </c>
      <c r="I8" s="4"/>
      <c r="J8" s="4"/>
      <c r="K8" s="4"/>
      <c r="L8" s="4"/>
      <c r="M8" s="4"/>
    </row>
    <row r="9" customFormat="false" ht="15" hidden="false" customHeight="false" outlineLevel="0" collapsed="false">
      <c r="A9" s="38" t="n">
        <v>5</v>
      </c>
      <c r="B9" s="99" t="n">
        <v>17.27876</v>
      </c>
      <c r="C9" s="100" t="n">
        <f aca="false">B9^2</f>
        <v>298.5555471376</v>
      </c>
      <c r="D9" s="144"/>
      <c r="E9" s="91" t="str">
        <f aca="false">IF(OR($D$5="",$D$5=0,D9=""),"",D9/$D$5)</f>
        <v/>
      </c>
      <c r="F9" s="22" t="n">
        <f aca="false">C9/$C$5</f>
        <v>13.3442857832683</v>
      </c>
      <c r="G9" s="134" t="str">
        <f aca="false">IF(E9="","",(E9/F9-1)*100)</f>
        <v/>
      </c>
      <c r="H9" s="45" t="str">
        <f aca="false">IF(G9="","",IF(ABS(G9)&lt;5,"🟢 曲げモードで整合",IF(ABS(G9)&lt;15,"🟡 せん断/曲率の影響","🔴 別種のモードの可能性")))</f>
        <v/>
      </c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133" t="s">
        <v>388</v>
      </c>
      <c r="B11" s="133"/>
      <c r="C11" s="133"/>
      <c r="D11" s="133"/>
      <c r="E11" s="133"/>
      <c r="F11" s="133"/>
      <c r="G11" s="133"/>
      <c r="H11" s="133"/>
      <c r="I11" s="4"/>
      <c r="J11" s="4"/>
      <c r="K11" s="4"/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9.4" hidden="false" customHeight="false" outlineLevel="0" collapsed="false">
      <c r="A13" s="143" t="s">
        <v>389</v>
      </c>
      <c r="B13" s="143"/>
      <c r="C13" s="143"/>
      <c r="D13" s="143"/>
      <c r="E13" s="143"/>
      <c r="F13" s="143"/>
      <c r="G13" s="143"/>
      <c r="H13" s="143"/>
      <c r="I13" s="4"/>
      <c r="J13" s="4"/>
      <c r="K13" s="4"/>
      <c r="L13" s="4"/>
      <c r="M13" s="4"/>
    </row>
    <row r="14" customFormat="false" ht="17.15" hidden="false" customHeight="false" outlineLevel="0" collapsed="false">
      <c r="A14" s="59" t="s">
        <v>390</v>
      </c>
      <c r="B14" s="59"/>
      <c r="C14" s="145" t="n">
        <f aca="false">形状!$B$45</f>
        <v>115.52</v>
      </c>
      <c r="D14" s="29" t="s">
        <v>391</v>
      </c>
      <c r="E14" s="29"/>
      <c r="F14" s="29"/>
      <c r="G14" s="29"/>
      <c r="H14" s="29"/>
      <c r="I14" s="4"/>
      <c r="J14" s="4"/>
      <c r="K14" s="4"/>
      <c r="L14" s="4"/>
      <c r="M14" s="4"/>
    </row>
    <row r="15" customFormat="false" ht="17.15" hidden="false" customHeight="false" outlineLevel="0" collapsed="false">
      <c r="A15" s="57" t="s">
        <v>392</v>
      </c>
      <c r="B15" s="57"/>
      <c r="C15" s="145" t="n">
        <f aca="false">形状!$B$46</f>
        <v>42.2884314404432</v>
      </c>
      <c r="D15" s="30" t="s">
        <v>106</v>
      </c>
      <c r="E15" s="30"/>
      <c r="F15" s="30"/>
      <c r="G15" s="30"/>
      <c r="H15" s="30"/>
      <c r="I15" s="4"/>
      <c r="J15" s="4"/>
      <c r="K15" s="4"/>
      <c r="L15" s="4"/>
      <c r="M15" s="4"/>
    </row>
    <row r="16" customFormat="false" ht="17.15" hidden="false" customHeight="false" outlineLevel="0" collapsed="false">
      <c r="A16" s="59" t="s">
        <v>393</v>
      </c>
      <c r="B16" s="59"/>
      <c r="C16" s="145" t="n">
        <v>5</v>
      </c>
      <c r="D16" s="29" t="s">
        <v>394</v>
      </c>
      <c r="E16" s="29"/>
      <c r="F16" s="29"/>
      <c r="G16" s="29"/>
      <c r="H16" s="29"/>
      <c r="I16" s="4"/>
      <c r="J16" s="4"/>
      <c r="K16" s="4"/>
      <c r="L16" s="4"/>
      <c r="M16" s="4"/>
    </row>
    <row r="17" customFormat="false" ht="17.15" hidden="false" customHeight="false" outlineLevel="0" collapsed="false">
      <c r="A17" s="57" t="s">
        <v>395</v>
      </c>
      <c r="B17" s="57"/>
      <c r="C17" s="145" t="n">
        <v>205</v>
      </c>
      <c r="D17" s="30" t="s">
        <v>396</v>
      </c>
      <c r="E17" s="30"/>
      <c r="F17" s="30"/>
      <c r="G17" s="30"/>
      <c r="H17" s="30"/>
      <c r="I17" s="4"/>
      <c r="J17" s="4"/>
      <c r="K17" s="4"/>
      <c r="L17" s="4"/>
      <c r="M17" s="4"/>
    </row>
    <row r="18" customFormat="false" ht="17.15" hidden="false" customHeight="false" outlineLevel="0" collapsed="false">
      <c r="A18" s="59" t="s">
        <v>397</v>
      </c>
      <c r="B18" s="59"/>
      <c r="C18" s="146" t="n">
        <v>7850</v>
      </c>
      <c r="D18" s="29" t="s">
        <v>398</v>
      </c>
      <c r="E18" s="29"/>
      <c r="F18" s="29"/>
      <c r="G18" s="29"/>
      <c r="H18" s="29"/>
      <c r="I18" s="4"/>
      <c r="J18" s="4"/>
      <c r="K18" s="4"/>
      <c r="L18" s="4"/>
      <c r="M18" s="4"/>
    </row>
    <row r="19" customFormat="false" ht="17.15" hidden="false" customHeight="false" outlineLevel="0" collapsed="false">
      <c r="A19" s="57" t="s">
        <v>399</v>
      </c>
      <c r="B19" s="57"/>
      <c r="C19" s="145" t="n">
        <v>11</v>
      </c>
      <c r="D19" s="30" t="s">
        <v>400</v>
      </c>
      <c r="E19" s="30"/>
      <c r="F19" s="30"/>
      <c r="G19" s="30"/>
      <c r="H19" s="30"/>
      <c r="I19" s="4"/>
      <c r="J19" s="4"/>
      <c r="K19" s="4"/>
      <c r="L19" s="4"/>
      <c r="M19" s="4"/>
    </row>
    <row r="20" customFormat="false" ht="17.15" hidden="false" customHeight="false" outlineLevel="0" collapsed="false">
      <c r="A20" s="59" t="s">
        <v>401</v>
      </c>
      <c r="B20" s="59"/>
      <c r="C20" s="146" t="n">
        <v>2600</v>
      </c>
      <c r="D20" s="29" t="s">
        <v>402</v>
      </c>
      <c r="E20" s="29"/>
      <c r="F20" s="29"/>
      <c r="G20" s="29"/>
      <c r="H20" s="29"/>
      <c r="I20" s="4"/>
      <c r="J20" s="4"/>
      <c r="K20" s="4"/>
      <c r="L20" s="4"/>
      <c r="M20" s="4"/>
    </row>
    <row r="21" customFormat="false" ht="19.4" hidden="false" customHeight="false" outlineLevel="0" collapsed="false">
      <c r="A21" s="143" t="s">
        <v>403</v>
      </c>
      <c r="B21" s="143"/>
      <c r="C21" s="143"/>
      <c r="D21" s="143"/>
      <c r="E21" s="143"/>
      <c r="F21" s="143"/>
      <c r="G21" s="143"/>
      <c r="H21" s="143"/>
      <c r="I21" s="4"/>
      <c r="J21" s="4"/>
      <c r="K21" s="4"/>
      <c r="L21" s="4"/>
      <c r="M21" s="4"/>
    </row>
    <row r="22" customFormat="false" ht="15" hidden="false" customHeight="false" outlineLevel="0" collapsed="false">
      <c r="A22" s="61" t="s">
        <v>404</v>
      </c>
      <c r="B22" s="61"/>
      <c r="C22" s="147" t="n">
        <f aca="false">$C$14/1000</f>
        <v>0.11552</v>
      </c>
      <c r="D22" s="29"/>
      <c r="E22" s="29"/>
      <c r="F22" s="29"/>
      <c r="G22" s="29"/>
      <c r="H22" s="29"/>
      <c r="I22" s="4"/>
      <c r="J22" s="4"/>
      <c r="K22" s="4"/>
      <c r="L22" s="4"/>
      <c r="M22" s="4"/>
    </row>
    <row r="23" customFormat="false" ht="15" hidden="false" customHeight="false" outlineLevel="0" collapsed="false">
      <c r="A23" s="63" t="s">
        <v>405</v>
      </c>
      <c r="B23" s="63"/>
      <c r="C23" s="147" t="n">
        <f aca="false">$C$15/1000</f>
        <v>0.0422884314404432</v>
      </c>
      <c r="D23" s="30"/>
      <c r="E23" s="30"/>
      <c r="F23" s="30"/>
      <c r="G23" s="30"/>
      <c r="H23" s="30"/>
      <c r="I23" s="4"/>
      <c r="J23" s="4"/>
      <c r="K23" s="4"/>
      <c r="L23" s="4"/>
      <c r="M23" s="4"/>
    </row>
    <row r="24" customFormat="false" ht="15" hidden="false" customHeight="false" outlineLevel="0" collapsed="false">
      <c r="A24" s="61" t="s">
        <v>406</v>
      </c>
      <c r="B24" s="61"/>
      <c r="C24" s="147" t="n">
        <f aca="false">$C$16/1000</f>
        <v>0.005</v>
      </c>
      <c r="D24" s="29"/>
      <c r="E24" s="29"/>
      <c r="F24" s="29"/>
      <c r="G24" s="29"/>
      <c r="H24" s="29"/>
      <c r="I24" s="4"/>
      <c r="J24" s="4"/>
      <c r="K24" s="4"/>
      <c r="L24" s="4"/>
      <c r="M24" s="4"/>
    </row>
    <row r="25" customFormat="false" ht="15" hidden="false" customHeight="false" outlineLevel="0" collapsed="false">
      <c r="A25" s="63" t="s">
        <v>407</v>
      </c>
      <c r="B25" s="63"/>
      <c r="C25" s="147" t="n">
        <f aca="false">$C$19/1000</f>
        <v>0.011</v>
      </c>
      <c r="D25" s="30"/>
      <c r="E25" s="30"/>
      <c r="F25" s="30"/>
      <c r="G25" s="30"/>
      <c r="H25" s="30"/>
      <c r="I25" s="4"/>
      <c r="J25" s="4"/>
      <c r="K25" s="4"/>
      <c r="L25" s="4"/>
      <c r="M25" s="4"/>
    </row>
    <row r="26" customFormat="false" ht="17.15" hidden="false" customHeight="false" outlineLevel="0" collapsed="false">
      <c r="A26" s="61" t="s">
        <v>408</v>
      </c>
      <c r="B26" s="61"/>
      <c r="C26" s="148" t="n">
        <f aca="false">($C$18*$C$23*$C$24)+($C$20*$C$23*$C$25)</f>
        <v>2.86927007323407</v>
      </c>
      <c r="D26" s="28" t="s">
        <v>409</v>
      </c>
      <c r="E26" s="28"/>
      <c r="F26" s="28"/>
      <c r="G26" s="28"/>
      <c r="H26" s="28"/>
      <c r="I26" s="4"/>
      <c r="J26" s="4"/>
      <c r="K26" s="4"/>
      <c r="L26" s="4"/>
      <c r="M26" s="4"/>
    </row>
    <row r="27" customFormat="false" ht="17.15" hidden="false" customHeight="false" outlineLevel="0" collapsed="false">
      <c r="A27" s="57" t="s">
        <v>260</v>
      </c>
      <c r="B27" s="57"/>
      <c r="C27" s="146" t="n">
        <v>1</v>
      </c>
      <c r="D27" s="30" t="s">
        <v>410</v>
      </c>
      <c r="E27" s="30"/>
      <c r="F27" s="30"/>
      <c r="G27" s="30"/>
      <c r="H27" s="30"/>
      <c r="I27" s="4"/>
      <c r="J27" s="4"/>
      <c r="K27" s="4"/>
      <c r="L27" s="4"/>
      <c r="M27" s="4"/>
    </row>
    <row r="28" customFormat="false" ht="17.15" hidden="false" customHeight="false" outlineLevel="0" collapsed="false">
      <c r="A28" s="59" t="s">
        <v>411</v>
      </c>
      <c r="B28" s="59"/>
      <c r="C28" s="145" t="n">
        <v>0.3</v>
      </c>
      <c r="D28" s="29" t="s">
        <v>412</v>
      </c>
      <c r="E28" s="29"/>
      <c r="F28" s="29"/>
      <c r="G28" s="29"/>
      <c r="H28" s="29"/>
      <c r="I28" s="4"/>
      <c r="J28" s="4"/>
      <c r="K28" s="4"/>
      <c r="L28" s="4"/>
      <c r="M28" s="4"/>
    </row>
    <row r="29" customFormat="false" ht="17.15" hidden="false" customHeight="false" outlineLevel="0" collapsed="false">
      <c r="A29" s="57" t="s">
        <v>413</v>
      </c>
      <c r="B29" s="57"/>
      <c r="C29" s="147" t="n">
        <f aca="false">($C$24+$C$25)/SQRT(12)</f>
        <v>0.00461880215351701</v>
      </c>
      <c r="D29" s="20" t="s">
        <v>414</v>
      </c>
      <c r="E29" s="20"/>
      <c r="F29" s="20"/>
      <c r="G29" s="20"/>
      <c r="H29" s="20"/>
      <c r="I29" s="4"/>
      <c r="J29" s="4"/>
      <c r="K29" s="4"/>
      <c r="L29" s="4"/>
      <c r="M29" s="4"/>
    </row>
    <row r="30" customFormat="false" ht="17.15" hidden="false" customHeight="false" outlineLevel="0" collapsed="false">
      <c r="A30" s="59" t="s">
        <v>415</v>
      </c>
      <c r="B30" s="59"/>
      <c r="C30" s="148" t="n">
        <f aca="false">1+$C$5*($C$29/$C$22)^2*(1+2*(1+$C$28)/(5/6))</f>
        <v>1.14735720833897</v>
      </c>
      <c r="D30" s="28" t="s">
        <v>416</v>
      </c>
      <c r="E30" s="28"/>
      <c r="F30" s="28"/>
      <c r="G30" s="28"/>
      <c r="H30" s="28"/>
      <c r="I30" s="4"/>
      <c r="J30" s="4"/>
      <c r="K30" s="4"/>
      <c r="L30" s="4"/>
      <c r="M30" s="4"/>
    </row>
    <row r="31" customFormat="false" ht="17.15" hidden="false" customHeight="false" outlineLevel="0" collapsed="false">
      <c r="A31" s="63" t="s">
        <v>417</v>
      </c>
      <c r="B31" s="63"/>
      <c r="C31" s="65" t="n">
        <f aca="false">IF(OR($D$5="",$D$5=0),0,$D$5*IF($C$27=1,SQRT($C$30),1))</f>
        <v>1767.3935610675</v>
      </c>
      <c r="D31" s="30" t="s">
        <v>418</v>
      </c>
      <c r="E31" s="30"/>
      <c r="F31" s="30"/>
      <c r="G31" s="30"/>
      <c r="H31" s="30"/>
      <c r="I31" s="4"/>
      <c r="J31" s="4"/>
      <c r="K31" s="4"/>
      <c r="L31" s="4"/>
      <c r="M31" s="4"/>
    </row>
    <row r="32" customFormat="false" ht="15" hidden="false" customHeight="false" outlineLevel="0" collapsed="false">
      <c r="A32" s="61" t="s">
        <v>419</v>
      </c>
      <c r="B32" s="61"/>
      <c r="C32" s="148" t="n">
        <f aca="false">IF($C$31=0,0,(2*PI()*$C$31*$C$22^2/$C$5)^2)</f>
        <v>43.8728021515862</v>
      </c>
      <c r="D32" s="28" t="s">
        <v>420</v>
      </c>
      <c r="E32" s="28"/>
      <c r="F32" s="28"/>
      <c r="G32" s="28"/>
      <c r="H32" s="28"/>
      <c r="I32" s="4"/>
      <c r="J32" s="4"/>
      <c r="K32" s="4"/>
      <c r="L32" s="4"/>
      <c r="M32" s="4"/>
    </row>
    <row r="33" customFormat="false" ht="17.15" hidden="false" customHeight="false" outlineLevel="0" collapsed="false">
      <c r="A33" s="57" t="s">
        <v>421</v>
      </c>
      <c r="B33" s="57"/>
      <c r="C33" s="148" t="n">
        <f aca="false">$C$32*$C$26</f>
        <v>125.882918242465</v>
      </c>
      <c r="D33" s="20" t="s">
        <v>422</v>
      </c>
      <c r="E33" s="20"/>
      <c r="F33" s="20"/>
      <c r="G33" s="20"/>
      <c r="H33" s="20"/>
      <c r="I33" s="4"/>
      <c r="J33" s="4"/>
      <c r="K33" s="4"/>
      <c r="L33" s="4"/>
      <c r="M33" s="4"/>
    </row>
    <row r="34" customFormat="false" ht="17.15" hidden="false" customHeight="false" outlineLevel="0" collapsed="false">
      <c r="A34" s="59" t="s">
        <v>423</v>
      </c>
      <c r="B34" s="59"/>
      <c r="C34" s="148" t="n">
        <f aca="false">$C$17*1000000000*$C$23*$C$24^3/12</f>
        <v>90.3034213051131</v>
      </c>
      <c r="D34" s="29" t="s">
        <v>424</v>
      </c>
      <c r="E34" s="29"/>
      <c r="F34" s="29"/>
      <c r="G34" s="29"/>
      <c r="H34" s="29"/>
      <c r="I34" s="4"/>
      <c r="J34" s="4"/>
      <c r="K34" s="4"/>
      <c r="L34" s="4"/>
      <c r="M34" s="4"/>
    </row>
    <row r="35" customFormat="false" ht="15" hidden="false" customHeight="false" outlineLevel="0" collapsed="false">
      <c r="A35" s="57" t="s">
        <v>425</v>
      </c>
      <c r="B35" s="57"/>
      <c r="C35" s="67" t="str">
        <f aca="false">IF($C$33&lt;$C$34,"🔴 解なし：f1が低すぎ or 寸法/密度を疑う","🟢 解あり")</f>
        <v>🟢 解あり</v>
      </c>
      <c r="D35" s="30"/>
      <c r="E35" s="30"/>
      <c r="F35" s="30"/>
      <c r="G35" s="30"/>
      <c r="H35" s="30"/>
      <c r="I35" s="4"/>
      <c r="J35" s="4"/>
      <c r="K35" s="4"/>
      <c r="L35" s="4"/>
      <c r="M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9.4" hidden="false" customHeight="false" outlineLevel="0" collapsed="false">
      <c r="A37" s="143" t="s">
        <v>426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4"/>
      <c r="M37" s="4"/>
    </row>
    <row r="38" customFormat="false" ht="15" hidden="false" customHeight="false" outlineLevel="0" collapsed="false">
      <c r="A38" s="12" t="s">
        <v>427</v>
      </c>
      <c r="B38" s="12" t="s">
        <v>428</v>
      </c>
      <c r="C38" s="12" t="s">
        <v>429</v>
      </c>
      <c r="D38" s="12" t="s">
        <v>430</v>
      </c>
      <c r="E38" s="13" t="s">
        <v>431</v>
      </c>
      <c r="F38" s="13" t="s">
        <v>432</v>
      </c>
      <c r="G38" s="12" t="s">
        <v>433</v>
      </c>
      <c r="H38" s="13" t="s">
        <v>434</v>
      </c>
      <c r="I38" s="13" t="s">
        <v>435</v>
      </c>
      <c r="J38" s="4"/>
      <c r="K38" s="4"/>
      <c r="L38" s="4"/>
      <c r="M38" s="4"/>
    </row>
    <row r="39" customFormat="false" ht="15" hidden="false" customHeight="false" outlineLevel="0" collapsed="false">
      <c r="A39" s="149" t="n">
        <v>1</v>
      </c>
      <c r="B39" s="150" t="n">
        <v>0.001</v>
      </c>
      <c r="C39" s="150" t="n">
        <v>300</v>
      </c>
      <c r="D39" s="151" t="n">
        <f aca="false">($B39+$C39)/2</f>
        <v>150.0005</v>
      </c>
      <c r="E39" s="79" t="n">
        <f aca="false">$C$17*1000000000*$C$23*$C$24</f>
        <v>43345642.2264543</v>
      </c>
      <c r="F39" s="79" t="n">
        <f aca="false">$D39*1000000000*$C$23*$C$25</f>
        <v>69776144.4631042</v>
      </c>
      <c r="G39" s="78" t="n">
        <f aca="false">IF($E39+$F39=0,0,($E39*($C$24/2)+$F39*($C$24+$C$25/2))/($E39+$F39))</f>
        <v>0.00743458574197324</v>
      </c>
      <c r="H39" s="80" t="n">
        <f aca="false">$C$17*1000000000*$C$23*($C$24^3/12+$C$24*($C$24/2-$G39)^2)+$D39*1000000000*$C$23*($C$25^3/12+$C$25*($C$24+$C$25/2-$G39)^2)</f>
        <v>2505.02184950009</v>
      </c>
      <c r="I39" s="80" t="n">
        <f aca="false">$H39-$C$33</f>
        <v>2379.13893125762</v>
      </c>
      <c r="J39" s="4"/>
      <c r="K39" s="4"/>
      <c r="L39" s="4"/>
      <c r="M39" s="4"/>
    </row>
    <row r="40" customFormat="false" ht="15" hidden="false" customHeight="false" outlineLevel="0" collapsed="false">
      <c r="A40" s="152" t="n">
        <v>2</v>
      </c>
      <c r="B40" s="153" t="n">
        <f aca="false">IF($I39&lt;0,$D39,$B39)</f>
        <v>0.001</v>
      </c>
      <c r="C40" s="153" t="n">
        <f aca="false">IF($I39&lt;0,$C39,$D39)</f>
        <v>150.0005</v>
      </c>
      <c r="D40" s="154" t="n">
        <f aca="false">($B40+$C40)/2</f>
        <v>75.00075</v>
      </c>
      <c r="E40" s="86" t="n">
        <f aca="false">$C$17*1000000000*$C$23*$C$24</f>
        <v>43345642.2264543</v>
      </c>
      <c r="F40" s="86" t="n">
        <f aca="false">$D40*1000000000*$C$23*$C$25</f>
        <v>34888304.817925</v>
      </c>
      <c r="G40" s="85" t="n">
        <f aca="false">IF($E40+$F40=0,0,($E40*($C$24/2)+$F40*($C$24+$C$25/2))/($E40+$F40))</f>
        <v>0.00606758733373216</v>
      </c>
      <c r="H40" s="87" t="n">
        <f aca="false">$C$17*1000000000*$C$23*($C$24^3/12+$C$24*($C$24/2-$G40)^2)+$D40*1000000000*$C$23*($C$25^3/12+$C$25*($C$24+$C$25/2-$G40)^2)</f>
        <v>1679.20874165586</v>
      </c>
      <c r="I40" s="87" t="n">
        <f aca="false">$H40-$C$33</f>
        <v>1553.3258234134</v>
      </c>
      <c r="J40" s="4"/>
      <c r="K40" s="4"/>
      <c r="L40" s="4"/>
      <c r="M40" s="4"/>
    </row>
    <row r="41" customFormat="false" ht="15" hidden="false" customHeight="false" outlineLevel="0" collapsed="false">
      <c r="A41" s="149" t="n">
        <v>3</v>
      </c>
      <c r="B41" s="150" t="n">
        <f aca="false">IF($I40&lt;0,$D40,$B40)</f>
        <v>0.001</v>
      </c>
      <c r="C41" s="150" t="n">
        <f aca="false">IF($I40&lt;0,$C40,$D40)</f>
        <v>75.00075</v>
      </c>
      <c r="D41" s="151" t="n">
        <f aca="false">($B41+$C41)/2</f>
        <v>37.500875</v>
      </c>
      <c r="E41" s="79" t="n">
        <f aca="false">$C$17*1000000000*$C$23*$C$24</f>
        <v>43345642.2264543</v>
      </c>
      <c r="F41" s="79" t="n">
        <f aca="false">$D41*1000000000*$C$23*$C$25</f>
        <v>17444384.9953354</v>
      </c>
      <c r="G41" s="78" t="n">
        <f aca="false">IF($E41+$F41=0,0,($E41*($C$24/2)+$F41*($C$24+$C$25/2))/($E41+$F41))</f>
        <v>0.00479569036798623</v>
      </c>
      <c r="H41" s="80" t="n">
        <f aca="false">$C$17*1000000000*$C$23*($C$24^3/12+$C$24*($C$24/2-$G41)^2)+$D41*1000000000*$C$23*($C$25^3/12+$C$25*($C$24+$C$25/2-$G41)^2)</f>
        <v>1062.26635683567</v>
      </c>
      <c r="I41" s="80" t="n">
        <f aca="false">$H41-$C$33</f>
        <v>936.3834385932</v>
      </c>
      <c r="J41" s="4"/>
      <c r="K41" s="4"/>
      <c r="L41" s="4"/>
      <c r="M41" s="4"/>
    </row>
    <row r="42" customFormat="false" ht="15" hidden="false" customHeight="false" outlineLevel="0" collapsed="false">
      <c r="A42" s="152" t="n">
        <v>4</v>
      </c>
      <c r="B42" s="153" t="n">
        <f aca="false">IF($I41&lt;0,$D41,$B41)</f>
        <v>0.001</v>
      </c>
      <c r="C42" s="153" t="n">
        <f aca="false">IF($I41&lt;0,$C41,$D41)</f>
        <v>37.500875</v>
      </c>
      <c r="D42" s="154" t="n">
        <f aca="false">($B42+$C42)/2</f>
        <v>18.7509375</v>
      </c>
      <c r="E42" s="86" t="n">
        <f aca="false">$C$17*1000000000*$C$23*$C$24</f>
        <v>43345642.2264543</v>
      </c>
      <c r="F42" s="86" t="n">
        <f aca="false">$D42*1000000000*$C$23*$C$25</f>
        <v>8722425.08404064</v>
      </c>
      <c r="G42" s="85" t="n">
        <f aca="false">IF($E42+$F42=0,0,($E42*($C$24/2)+$F42*($C$24+$C$25/2))/($E42+$F42))</f>
        <v>0.00384015730325101</v>
      </c>
      <c r="H42" s="87" t="n">
        <f aca="false">$C$17*1000000000*$C$23*($C$24^3/12+$C$24*($C$24/2-$G42)^2)+$D42*1000000000*$C$23*($C$25^3/12+$C$25*($C$24+$C$25/2-$G42)^2)</f>
        <v>642.974372853628</v>
      </c>
      <c r="I42" s="87" t="n">
        <f aca="false">$H42-$C$33</f>
        <v>517.091454611163</v>
      </c>
      <c r="J42" s="4"/>
      <c r="K42" s="4"/>
      <c r="L42" s="4"/>
      <c r="M42" s="4"/>
    </row>
    <row r="43" customFormat="false" ht="15" hidden="false" customHeight="false" outlineLevel="0" collapsed="false">
      <c r="A43" s="149" t="n">
        <v>5</v>
      </c>
      <c r="B43" s="150" t="n">
        <f aca="false">IF($I42&lt;0,$D42,$B42)</f>
        <v>0.001</v>
      </c>
      <c r="C43" s="150" t="n">
        <f aca="false">IF($I42&lt;0,$C42,$D42)</f>
        <v>18.7509375</v>
      </c>
      <c r="D43" s="151" t="n">
        <f aca="false">($B43+$C43)/2</f>
        <v>9.37596875</v>
      </c>
      <c r="E43" s="79" t="n">
        <f aca="false">$C$17*1000000000*$C$23*$C$24</f>
        <v>43345642.2264543</v>
      </c>
      <c r="F43" s="79" t="n">
        <f aca="false">$D43*1000000000*$C$23*$C$25</f>
        <v>4361445.12839324</v>
      </c>
      <c r="G43" s="78" t="n">
        <f aca="false">IF($E43+$F43=0,0,($E43*($C$24/2)+$F43*($C$24+$C$25/2))/($E43+$F43))</f>
        <v>0.00323137059841069</v>
      </c>
      <c r="H43" s="80" t="n">
        <f aca="false">$C$17*1000000000*$C$23*($C$24^3/12+$C$24*($C$24/2-$G43)^2)+$D43*1000000000*$C$23*($C$25^3/12+$C$25*($C$24+$C$25/2-$G43)^2)</f>
        <v>387.895152699005</v>
      </c>
      <c r="I43" s="80" t="n">
        <f aca="false">$H43-$C$33</f>
        <v>262.01223445654</v>
      </c>
      <c r="J43" s="4"/>
      <c r="K43" s="4"/>
      <c r="L43" s="4"/>
      <c r="M43" s="4"/>
    </row>
    <row r="44" customFormat="false" ht="15" hidden="false" customHeight="false" outlineLevel="0" collapsed="false">
      <c r="A44" s="152" t="n">
        <v>6</v>
      </c>
      <c r="B44" s="153" t="n">
        <f aca="false">IF($I43&lt;0,$D43,$B43)</f>
        <v>0.001</v>
      </c>
      <c r="C44" s="153" t="n">
        <f aca="false">IF($I43&lt;0,$C43,$D43)</f>
        <v>9.37596875</v>
      </c>
      <c r="D44" s="154" t="n">
        <f aca="false">($B44+$C44)/2</f>
        <v>4.688484375</v>
      </c>
      <c r="E44" s="86" t="n">
        <f aca="false">$C$17*1000000000*$C$23*$C$24</f>
        <v>43345642.2264543</v>
      </c>
      <c r="F44" s="86" t="n">
        <f aca="false">$D44*1000000000*$C$23*$C$25</f>
        <v>2180955.15056954</v>
      </c>
      <c r="G44" s="85" t="n">
        <f aca="false">IF($E44+$F44=0,0,($E44*($C$24/2)+$F44*($C$24+$C$25/2))/($E44+$F44))</f>
        <v>0.00288324061559149</v>
      </c>
      <c r="H44" s="87" t="n">
        <f aca="false">$C$17*1000000000*$C$23*($C$24^3/12+$C$24*($C$24/2-$G44)^2)+$D44*1000000000*$C$23*($C$25^3/12+$C$25*($C$24+$C$25/2-$G44)^2)</f>
        <v>245.189203953953</v>
      </c>
      <c r="I44" s="87" t="n">
        <f aca="false">$H44-$C$33</f>
        <v>119.306285711488</v>
      </c>
      <c r="J44" s="4"/>
      <c r="K44" s="4"/>
      <c r="L44" s="4"/>
      <c r="M44" s="4"/>
    </row>
    <row r="45" customFormat="false" ht="15" hidden="false" customHeight="false" outlineLevel="0" collapsed="false">
      <c r="A45" s="149" t="n">
        <v>7</v>
      </c>
      <c r="B45" s="150" t="n">
        <f aca="false">IF($I44&lt;0,$D44,$B44)</f>
        <v>0.001</v>
      </c>
      <c r="C45" s="150" t="n">
        <f aca="false">IF($I44&lt;0,$C44,$D44)</f>
        <v>4.688484375</v>
      </c>
      <c r="D45" s="151" t="n">
        <f aca="false">($B45+$C45)/2</f>
        <v>2.3447421875</v>
      </c>
      <c r="E45" s="79" t="n">
        <f aca="false">$C$17*1000000000*$C$23*$C$24</f>
        <v>43345642.2264543</v>
      </c>
      <c r="F45" s="79" t="n">
        <f aca="false">$D45*1000000000*$C$23*$C$25</f>
        <v>1090710.16165769</v>
      </c>
      <c r="G45" s="78" t="n">
        <f aca="false">IF($E45+$F45=0,0,($E45*($C$24/2)+$F45*($C$24+$C$25/2))/($E45+$F45))</f>
        <v>0.00269636358126451</v>
      </c>
      <c r="H45" s="80" t="n">
        <f aca="false">$C$17*1000000000*$C$23*($C$24^3/12+$C$24*($C$24/2-$G45)^2)+$D45*1000000000*$C$23*($C$25^3/12+$C$25*($C$24+$C$25/2-$G45)^2)</f>
        <v>169.393459753536</v>
      </c>
      <c r="I45" s="80" t="n">
        <f aca="false">$H45-$C$33</f>
        <v>43.5105415110709</v>
      </c>
      <c r="J45" s="4"/>
      <c r="K45" s="4"/>
      <c r="L45" s="4"/>
      <c r="M45" s="4"/>
    </row>
    <row r="46" customFormat="false" ht="15" hidden="false" customHeight="false" outlineLevel="0" collapsed="false">
      <c r="A46" s="152" t="n">
        <v>8</v>
      </c>
      <c r="B46" s="153" t="n">
        <f aca="false">IF($I45&lt;0,$D45,$B45)</f>
        <v>0.001</v>
      </c>
      <c r="C46" s="153" t="n">
        <f aca="false">IF($I45&lt;0,$C45,$D45)</f>
        <v>2.3447421875</v>
      </c>
      <c r="D46" s="154" t="n">
        <f aca="false">($B46+$C46)/2</f>
        <v>1.17287109375</v>
      </c>
      <c r="E46" s="86" t="n">
        <f aca="false">$C$17*1000000000*$C$23*$C$24</f>
        <v>43345642.2264543</v>
      </c>
      <c r="F46" s="86" t="n">
        <f aca="false">$D46*1000000000*$C$23*$C$25</f>
        <v>545587.66720177</v>
      </c>
      <c r="G46" s="85" t="n">
        <f aca="false">IF($E46+$F46=0,0,($E46*($C$24/2)+$F46*($C$24+$C$25/2))/($E46+$F46))</f>
        <v>0.00259944358698057</v>
      </c>
      <c r="H46" s="87" t="n">
        <f aca="false">$C$17*1000000000*$C$23*($C$24^3/12+$C$24*($C$24/2-$G46)^2)+$D46*1000000000*$C$23*($C$25^3/12+$C$25*($C$24+$C$25/2-$G46)^2)</f>
        <v>130.288332759866</v>
      </c>
      <c r="I46" s="87" t="n">
        <f aca="false">$H46-$C$33</f>
        <v>4.40541451740079</v>
      </c>
      <c r="J46" s="4"/>
      <c r="K46" s="4"/>
      <c r="L46" s="4"/>
      <c r="M46" s="4"/>
    </row>
    <row r="47" customFormat="false" ht="15" hidden="false" customHeight="false" outlineLevel="0" collapsed="false">
      <c r="A47" s="149" t="n">
        <v>9</v>
      </c>
      <c r="B47" s="150" t="n">
        <f aca="false">IF($I46&lt;0,$D46,$B46)</f>
        <v>0.001</v>
      </c>
      <c r="C47" s="150" t="n">
        <f aca="false">IF($I46&lt;0,$C46,$D46)</f>
        <v>1.17287109375</v>
      </c>
      <c r="D47" s="151" t="n">
        <f aca="false">($B47+$C47)/2</f>
        <v>0.586935546875</v>
      </c>
      <c r="E47" s="79" t="n">
        <f aca="false">$C$17*1000000000*$C$23*$C$24</f>
        <v>43345642.2264543</v>
      </c>
      <c r="F47" s="79" t="n">
        <f aca="false">$D47*1000000000*$C$23*$C$25</f>
        <v>273026.419973807</v>
      </c>
      <c r="G47" s="78" t="n">
        <f aca="false">IF($E47+$F47=0,0,($E47*($C$24/2)+$F47*($C$24+$C$25/2))/($E47+$F47))</f>
        <v>0.00255007514964511</v>
      </c>
      <c r="H47" s="80" t="n">
        <f aca="false">$C$17*1000000000*$C$23*($C$24^3/12+$C$24*($C$24/2-$G47)^2)+$D47*1000000000*$C$23*($C$25^3/12+$C$25*($C$24+$C$25/2-$G47)^2)</f>
        <v>110.420753874141</v>
      </c>
      <c r="I47" s="80" t="n">
        <f aca="false">$H47-$C$33</f>
        <v>-15.4621643683242</v>
      </c>
      <c r="J47" s="4"/>
      <c r="K47" s="4"/>
      <c r="L47" s="4"/>
      <c r="M47" s="4"/>
    </row>
    <row r="48" customFormat="false" ht="15" hidden="false" customHeight="false" outlineLevel="0" collapsed="false">
      <c r="A48" s="152" t="n">
        <v>10</v>
      </c>
      <c r="B48" s="153" t="n">
        <f aca="false">IF($I47&lt;0,$D47,$B47)</f>
        <v>0.586935546875</v>
      </c>
      <c r="C48" s="153" t="n">
        <f aca="false">IF($I47&lt;0,$C47,$D47)</f>
        <v>1.17287109375</v>
      </c>
      <c r="D48" s="154" t="n">
        <f aca="false">($B48+$C48)/2</f>
        <v>0.8799033203125</v>
      </c>
      <c r="E48" s="86" t="n">
        <f aca="false">$C$17*1000000000*$C$23*$C$24</f>
        <v>43345642.2264543</v>
      </c>
      <c r="F48" s="86" t="n">
        <f aca="false">$D48*1000000000*$C$23*$C$25</f>
        <v>409307.043587788</v>
      </c>
      <c r="G48" s="85" t="n">
        <f aca="false">IF($E48+$F48=0,0,($E48*($C$24/2)+$F48*($C$24+$C$25/2))/($E48+$F48))</f>
        <v>0.00257483625060318</v>
      </c>
      <c r="H48" s="87" t="n">
        <f aca="false">$C$17*1000000000*$C$23*($C$24^3/12+$C$24*($C$24/2-$G48)^2)+$D48*1000000000*$C$23*($C$25^3/12+$C$25*($C$24+$C$25/2-$G48)^2)</f>
        <v>120.381203415008</v>
      </c>
      <c r="I48" s="87" t="n">
        <f aca="false">$H48-$C$33</f>
        <v>-5.50171482745772</v>
      </c>
      <c r="J48" s="4"/>
      <c r="K48" s="4"/>
      <c r="L48" s="4"/>
      <c r="M48" s="4"/>
    </row>
    <row r="49" customFormat="false" ht="15" hidden="false" customHeight="false" outlineLevel="0" collapsed="false">
      <c r="A49" s="149" t="n">
        <v>11</v>
      </c>
      <c r="B49" s="150" t="n">
        <f aca="false">IF($I48&lt;0,$D48,$B48)</f>
        <v>0.8799033203125</v>
      </c>
      <c r="C49" s="150" t="n">
        <f aca="false">IF($I48&lt;0,$C48,$D48)</f>
        <v>1.17287109375</v>
      </c>
      <c r="D49" s="151" t="n">
        <f aca="false">($B49+$C49)/2</f>
        <v>1.02638720703125</v>
      </c>
      <c r="E49" s="79" t="n">
        <f aca="false">$C$17*1000000000*$C$23*$C$24</f>
        <v>43345642.2264543</v>
      </c>
      <c r="F49" s="79" t="n">
        <f aca="false">$D49*1000000000*$C$23*$C$25</f>
        <v>477447.355394779</v>
      </c>
      <c r="G49" s="78" t="n">
        <f aca="false">IF($E49+$F49=0,0,($E49*($C$24/2)+$F49*($C$24+$C$25/2))/($E49+$F49))</f>
        <v>0.00258715904970653</v>
      </c>
      <c r="H49" s="80" t="n">
        <f aca="false">$C$17*1000000000*$C$23*($C$24^3/12+$C$24*($C$24/2-$G49)^2)+$D49*1000000000*$C$23*($C$25^3/12+$C$25*($C$24+$C$25/2-$G49)^2)</f>
        <v>125.341402021694</v>
      </c>
      <c r="I49" s="80" t="n">
        <f aca="false">$H49-$C$33</f>
        <v>-0.541516220771356</v>
      </c>
      <c r="J49" s="4"/>
      <c r="K49" s="4"/>
      <c r="L49" s="4"/>
      <c r="M49" s="4"/>
    </row>
    <row r="50" customFormat="false" ht="15" hidden="false" customHeight="false" outlineLevel="0" collapsed="false">
      <c r="A50" s="152" t="n">
        <v>12</v>
      </c>
      <c r="B50" s="153" t="n">
        <f aca="false">IF($I49&lt;0,$D49,$B49)</f>
        <v>1.02638720703125</v>
      </c>
      <c r="C50" s="153" t="n">
        <f aca="false">IF($I49&lt;0,$C49,$D49)</f>
        <v>1.17287109375</v>
      </c>
      <c r="D50" s="154" t="n">
        <f aca="false">($B50+$C50)/2</f>
        <v>1.09962915039063</v>
      </c>
      <c r="E50" s="86" t="n">
        <f aca="false">$C$17*1000000000*$C$23*$C$24</f>
        <v>43345642.2264543</v>
      </c>
      <c r="F50" s="86" t="n">
        <f aca="false">$D50*1000000000*$C$23*$C$25</f>
        <v>511517.511298274</v>
      </c>
      <c r="G50" s="85" t="n">
        <f aca="false">IF($E50+$F50=0,0,($E50*($C$24/2)+$F50*($C$24+$C$25/2))/($E50+$F50))</f>
        <v>0.00259330608992592</v>
      </c>
      <c r="H50" s="87" t="n">
        <f aca="false">$C$17*1000000000*$C$23*($C$24^3/12+$C$24*($C$24/2-$G50)^2)+$D50*1000000000*$C$23*($C$25^3/12+$C$25*($C$24+$C$25/2-$G50)^2)</f>
        <v>127.816522009197</v>
      </c>
      <c r="I50" s="87" t="n">
        <f aca="false">$H50-$C$33</f>
        <v>1.93360376673174</v>
      </c>
      <c r="J50" s="4"/>
      <c r="K50" s="4"/>
      <c r="L50" s="4"/>
      <c r="M50" s="4"/>
    </row>
    <row r="51" customFormat="false" ht="15" hidden="false" customHeight="false" outlineLevel="0" collapsed="false">
      <c r="A51" s="149" t="n">
        <v>13</v>
      </c>
      <c r="B51" s="150" t="n">
        <f aca="false">IF($I50&lt;0,$D50,$B50)</f>
        <v>1.02638720703125</v>
      </c>
      <c r="C51" s="150" t="n">
        <f aca="false">IF($I50&lt;0,$C50,$D50)</f>
        <v>1.09962915039063</v>
      </c>
      <c r="D51" s="151" t="n">
        <f aca="false">($B51+$C51)/2</f>
        <v>1.06300817871094</v>
      </c>
      <c r="E51" s="79" t="n">
        <f aca="false">$C$17*1000000000*$C$23*$C$24</f>
        <v>43345642.2264543</v>
      </c>
      <c r="F51" s="79" t="n">
        <f aca="false">$D51*1000000000*$C$23*$C$25</f>
        <v>494482.433346527</v>
      </c>
      <c r="G51" s="78" t="n">
        <f aca="false">IF($E51+$F51=0,0,($E51*($C$24/2)+$F51*($C$24+$C$25/2))/($E51+$F51))</f>
        <v>0.0025902337641024</v>
      </c>
      <c r="H51" s="80" t="n">
        <f aca="false">$C$17*1000000000*$C$23*($C$24^3/12+$C$24*($C$24/2-$G51)^2)+$D51*1000000000*$C$23*($C$25^3/12+$C$25*($C$24+$C$25/2-$G51)^2)</f>
        <v>126.579376152255</v>
      </c>
      <c r="I51" s="80" t="n">
        <f aca="false">$H51-$C$33</f>
        <v>0.696457909789174</v>
      </c>
      <c r="J51" s="4"/>
      <c r="K51" s="4"/>
      <c r="L51" s="4"/>
      <c r="M51" s="4"/>
    </row>
    <row r="52" customFormat="false" ht="15" hidden="false" customHeight="false" outlineLevel="0" collapsed="false">
      <c r="A52" s="152" t="n">
        <v>14</v>
      </c>
      <c r="B52" s="153" t="n">
        <f aca="false">IF($I51&lt;0,$D51,$B51)</f>
        <v>1.02638720703125</v>
      </c>
      <c r="C52" s="153" t="n">
        <f aca="false">IF($I51&lt;0,$C51,$D51)</f>
        <v>1.06300817871094</v>
      </c>
      <c r="D52" s="154" t="n">
        <f aca="false">($B52+$C52)/2</f>
        <v>1.04469769287109</v>
      </c>
      <c r="E52" s="86" t="n">
        <f aca="false">$C$17*1000000000*$C$23*$C$24</f>
        <v>43345642.2264543</v>
      </c>
      <c r="F52" s="86" t="n">
        <f aca="false">$D52*1000000000*$C$23*$C$25</f>
        <v>485964.894370653</v>
      </c>
      <c r="G52" s="85" t="n">
        <f aca="false">IF($E52+$F52=0,0,($E52*($C$24/2)+$F52*($C$24+$C$25/2))/($E52+$F52))</f>
        <v>0.00258869670565007</v>
      </c>
      <c r="H52" s="87" t="n">
        <f aca="false">$C$17*1000000000*$C$23*($C$24^3/12+$C$24*($C$24/2-$G52)^2)+$D52*1000000000*$C$23*($C$25^3/12+$C$25*($C$24+$C$25/2-$G52)^2)</f>
        <v>125.960492681534</v>
      </c>
      <c r="I52" s="87" t="n">
        <f aca="false">$H52-$C$33</f>
        <v>0.0775744390687407</v>
      </c>
      <c r="J52" s="4"/>
      <c r="K52" s="4"/>
      <c r="L52" s="4"/>
      <c r="M52" s="4"/>
    </row>
    <row r="53" customFormat="false" ht="15" hidden="false" customHeight="false" outlineLevel="0" collapsed="false">
      <c r="A53" s="149" t="n">
        <v>15</v>
      </c>
      <c r="B53" s="150" t="n">
        <f aca="false">IF($I52&lt;0,$D52,$B52)</f>
        <v>1.02638720703125</v>
      </c>
      <c r="C53" s="150" t="n">
        <f aca="false">IF($I52&lt;0,$C52,$D52)</f>
        <v>1.04469769287109</v>
      </c>
      <c r="D53" s="151" t="n">
        <f aca="false">($B53+$C53)/2</f>
        <v>1.03554244995117</v>
      </c>
      <c r="E53" s="79" t="n">
        <f aca="false">$C$17*1000000000*$C$23*$C$24</f>
        <v>43345642.2264543</v>
      </c>
      <c r="F53" s="79" t="n">
        <f aca="false">$D53*1000000000*$C$23*$C$25</f>
        <v>481706.124882716</v>
      </c>
      <c r="G53" s="78" t="n">
        <f aca="false">IF($E53+$F53=0,0,($E53*($C$24/2)+$F53*($C$24+$C$25/2))/($E53+$F53))</f>
        <v>0.00258792795238647</v>
      </c>
      <c r="H53" s="80" t="n">
        <f aca="false">$C$17*1000000000*$C$23*($C$24^3/12+$C$24*($C$24/2-$G53)^2)+$D53*1000000000*$C$23*($C$25^3/12+$C$25*($C$24+$C$25/2-$G53)^2)</f>
        <v>125.650973257804</v>
      </c>
      <c r="I53" s="80" t="n">
        <f aca="false">$H53-$C$33</f>
        <v>-0.231944984661524</v>
      </c>
      <c r="J53" s="4"/>
      <c r="K53" s="4"/>
      <c r="L53" s="4"/>
      <c r="M53" s="4"/>
    </row>
    <row r="54" customFormat="false" ht="15" hidden="false" customHeight="false" outlineLevel="0" collapsed="false">
      <c r="A54" s="152" t="n">
        <v>16</v>
      </c>
      <c r="B54" s="153" t="n">
        <f aca="false">IF($I53&lt;0,$D53,$B53)</f>
        <v>1.03554244995117</v>
      </c>
      <c r="C54" s="153" t="n">
        <f aca="false">IF($I53&lt;0,$C53,$D53)</f>
        <v>1.04469769287109</v>
      </c>
      <c r="D54" s="154" t="n">
        <f aca="false">($B54+$C54)/2</f>
        <v>1.04012007141113</v>
      </c>
      <c r="E54" s="86" t="n">
        <f aca="false">$C$17*1000000000*$C$23*$C$24</f>
        <v>43345642.2264543</v>
      </c>
      <c r="F54" s="86" t="n">
        <f aca="false">$D54*1000000000*$C$23*$C$25</f>
        <v>483835.509626684</v>
      </c>
      <c r="G54" s="85" t="n">
        <f aca="false">IF($E54+$F54=0,0,($E54*($C$24/2)+$F54*($C$24+$C$25/2))/($E54+$F54))</f>
        <v>0.00258831234769259</v>
      </c>
      <c r="H54" s="87" t="n">
        <f aca="false">$C$17*1000000000*$C$23*($C$24^3/12+$C$24*($C$24/2-$G54)^2)+$D54*1000000000*$C$23*($C$25^3/12+$C$25*($C$24+$C$25/2-$G54)^2)</f>
        <v>125.805739445273</v>
      </c>
      <c r="I54" s="87" t="n">
        <f aca="false">$H54-$C$33</f>
        <v>-0.0771787971929001</v>
      </c>
      <c r="J54" s="4"/>
      <c r="K54" s="4"/>
      <c r="L54" s="4"/>
      <c r="M54" s="4"/>
    </row>
    <row r="55" customFormat="false" ht="15" hidden="false" customHeight="false" outlineLevel="0" collapsed="false">
      <c r="A55" s="149" t="n">
        <v>17</v>
      </c>
      <c r="B55" s="150" t="n">
        <f aca="false">IF($I54&lt;0,$D54,$B54)</f>
        <v>1.04012007141113</v>
      </c>
      <c r="C55" s="150" t="n">
        <f aca="false">IF($I54&lt;0,$C54,$D54)</f>
        <v>1.04469769287109</v>
      </c>
      <c r="D55" s="151" t="n">
        <f aca="false">($B55+$C55)/2</f>
        <v>1.04240888214111</v>
      </c>
      <c r="E55" s="79" t="n">
        <f aca="false">$C$17*1000000000*$C$23*$C$24</f>
        <v>43345642.2264543</v>
      </c>
      <c r="F55" s="79" t="n">
        <f aca="false">$D55*1000000000*$C$23*$C$25</f>
        <v>484900.201998669</v>
      </c>
      <c r="G55" s="78" t="n">
        <f aca="false">IF($E55+$F55=0,0,($E55*($C$24/2)+$F55*($C$24+$C$25/2))/($E55+$F55))</f>
        <v>0.00258850453133957</v>
      </c>
      <c r="H55" s="80" t="n">
        <f aca="false">$C$17*1000000000*$C$23*($C$24^3/12+$C$24*($C$24/2-$G55)^2)+$D55*1000000000*$C$23*($C$25^3/12+$C$25*($C$24+$C$25/2-$G55)^2)</f>
        <v>125.883117682186</v>
      </c>
      <c r="I55" s="80" t="n">
        <f aca="false">$H55-$C$33</f>
        <v>0.000199439720816486</v>
      </c>
      <c r="J55" s="4"/>
      <c r="K55" s="4"/>
      <c r="L55" s="4"/>
      <c r="M55" s="4"/>
    </row>
    <row r="56" customFormat="false" ht="15" hidden="false" customHeight="false" outlineLevel="0" collapsed="false">
      <c r="A56" s="152" t="n">
        <v>18</v>
      </c>
      <c r="B56" s="153" t="n">
        <f aca="false">IF($I55&lt;0,$D55,$B55)</f>
        <v>1.04012007141113</v>
      </c>
      <c r="C56" s="153" t="n">
        <f aca="false">IF($I55&lt;0,$C55,$D55)</f>
        <v>1.04240888214111</v>
      </c>
      <c r="D56" s="154" t="n">
        <f aca="false">($B56+$C56)/2</f>
        <v>1.04126447677612</v>
      </c>
      <c r="E56" s="86" t="n">
        <f aca="false">$C$17*1000000000*$C$23*$C$24</f>
        <v>43345642.2264543</v>
      </c>
      <c r="F56" s="86" t="n">
        <f aca="false">$D56*1000000000*$C$23*$C$25</f>
        <v>484367.855812676</v>
      </c>
      <c r="G56" s="85" t="n">
        <f aca="false">IF($E56+$F56=0,0,($E56*($C$24/2)+$F56*($C$24+$C$25/2))/($E56+$F56))</f>
        <v>0.00258840844068318</v>
      </c>
      <c r="H56" s="87" t="n">
        <f aca="false">$C$17*1000000000*$C$23*($C$24^3/12+$C$24*($C$24/2-$G56)^2)+$D56*1000000000*$C$23*($C$25^3/12+$C$25*($C$24+$C$25/2-$G56)^2)</f>
        <v>125.84442896844</v>
      </c>
      <c r="I56" s="87" t="n">
        <f aca="false">$H56-$C$33</f>
        <v>-0.0384892740255651</v>
      </c>
      <c r="J56" s="4"/>
      <c r="K56" s="4"/>
      <c r="L56" s="4"/>
      <c r="M56" s="4"/>
    </row>
    <row r="57" customFormat="false" ht="15" hidden="false" customHeight="false" outlineLevel="0" collapsed="false">
      <c r="A57" s="149" t="n">
        <v>19</v>
      </c>
      <c r="B57" s="150" t="n">
        <f aca="false">IF($I56&lt;0,$D56,$B56)</f>
        <v>1.04126447677612</v>
      </c>
      <c r="C57" s="150" t="n">
        <f aca="false">IF($I56&lt;0,$C56,$D56)</f>
        <v>1.04240888214111</v>
      </c>
      <c r="D57" s="151" t="n">
        <f aca="false">($B57+$C57)/2</f>
        <v>1.04183667945862</v>
      </c>
      <c r="E57" s="79" t="n">
        <f aca="false">$C$17*1000000000*$C$23*$C$24</f>
        <v>43345642.2264543</v>
      </c>
      <c r="F57" s="79" t="n">
        <f aca="false">$D57*1000000000*$C$23*$C$25</f>
        <v>484634.028905673</v>
      </c>
      <c r="G57" s="78" t="n">
        <f aca="false">IF($E57+$F57=0,0,($E57*($C$24/2)+$F57*($C$24+$C$25/2))/($E57+$F57))</f>
        <v>0.00258845648630315</v>
      </c>
      <c r="H57" s="80" t="n">
        <f aca="false">$C$17*1000000000*$C$23*($C$24^3/12+$C$24*($C$24/2-$G57)^2)+$D57*1000000000*$C$23*($C$25^3/12+$C$25*($C$24+$C$25/2-$G57)^2)</f>
        <v>125.863773426489</v>
      </c>
      <c r="I57" s="80" t="n">
        <f aca="false">$H57-$C$33</f>
        <v>-0.0191448159766026</v>
      </c>
      <c r="J57" s="4"/>
      <c r="K57" s="4"/>
      <c r="L57" s="4"/>
      <c r="M57" s="4"/>
    </row>
    <row r="58" customFormat="false" ht="15" hidden="false" customHeight="false" outlineLevel="0" collapsed="false">
      <c r="A58" s="152" t="n">
        <v>20</v>
      </c>
      <c r="B58" s="153" t="n">
        <f aca="false">IF($I57&lt;0,$D57,$B57)</f>
        <v>1.04183667945862</v>
      </c>
      <c r="C58" s="153" t="n">
        <f aca="false">IF($I57&lt;0,$C57,$D57)</f>
        <v>1.04240888214111</v>
      </c>
      <c r="D58" s="154" t="n">
        <f aca="false">($B58+$C58)/2</f>
        <v>1.04212278079987</v>
      </c>
      <c r="E58" s="86" t="n">
        <f aca="false">$C$17*1000000000*$C$23*$C$24</f>
        <v>43345642.2264543</v>
      </c>
      <c r="F58" s="86" t="n">
        <f aca="false">$D58*1000000000*$C$23*$C$25</f>
        <v>484767.115452171</v>
      </c>
      <c r="G58" s="85" t="n">
        <f aca="false">IF($E58+$F58=0,0,($E58*($C$24/2)+$F58*($C$24+$C$25/2))/($E58+$F58))</f>
        <v>0.0025884805088943</v>
      </c>
      <c r="H58" s="87" t="n">
        <f aca="false">$C$17*1000000000*$C$23*($C$24^3/12+$C$24*($C$24/2-$G58)^2)+$D58*1000000000*$C$23*($C$25^3/12+$C$25*($C$24+$C$25/2-$G58)^2)</f>
        <v>125.873445579631</v>
      </c>
      <c r="I58" s="87" t="n">
        <f aca="false">$H58-$C$33</f>
        <v>-0.00947266283418458</v>
      </c>
      <c r="J58" s="4"/>
      <c r="K58" s="4"/>
      <c r="L58" s="4"/>
      <c r="M58" s="4"/>
    </row>
    <row r="59" customFormat="false" ht="15" hidden="false" customHeight="false" outlineLevel="0" collapsed="false">
      <c r="A59" s="149" t="n">
        <v>21</v>
      </c>
      <c r="B59" s="150" t="n">
        <f aca="false">IF($I58&lt;0,$D58,$B58)</f>
        <v>1.04212278079987</v>
      </c>
      <c r="C59" s="150" t="n">
        <f aca="false">IF($I58&lt;0,$C58,$D58)</f>
        <v>1.04240888214111</v>
      </c>
      <c r="D59" s="151" t="n">
        <f aca="false">($B59+$C59)/2</f>
        <v>1.04226583147049</v>
      </c>
      <c r="E59" s="79" t="n">
        <f aca="false">$C$17*1000000000*$C$23*$C$24</f>
        <v>43345642.2264543</v>
      </c>
      <c r="F59" s="79" t="n">
        <f aca="false">$D59*1000000000*$C$23*$C$25</f>
        <v>484833.65872542</v>
      </c>
      <c r="G59" s="78" t="n">
        <f aca="false">IF($E59+$F59=0,0,($E59*($C$24/2)+$F59*($C$24+$C$25/2))/($E59+$F59))</f>
        <v>0.00258849252013517</v>
      </c>
      <c r="H59" s="80" t="n">
        <f aca="false">$C$17*1000000000*$C$23*($C$24^3/12+$C$24*($C$24/2-$G59)^2)+$D59*1000000000*$C$23*($C$25^3/12+$C$25*($C$24+$C$25/2-$G59)^2)</f>
        <v>125.878281637232</v>
      </c>
      <c r="I59" s="80" t="n">
        <f aca="false">$H59-$C$33</f>
        <v>-0.00463660523328713</v>
      </c>
      <c r="J59" s="4"/>
      <c r="K59" s="4"/>
      <c r="L59" s="4"/>
      <c r="M59" s="4"/>
    </row>
    <row r="60" customFormat="false" ht="15" hidden="false" customHeight="false" outlineLevel="0" collapsed="false">
      <c r="A60" s="152" t="n">
        <v>22</v>
      </c>
      <c r="B60" s="153" t="n">
        <f aca="false">IF($I59&lt;0,$D59,$B59)</f>
        <v>1.04226583147049</v>
      </c>
      <c r="C60" s="153" t="n">
        <f aca="false">IF($I59&lt;0,$C59,$D59)</f>
        <v>1.04240888214111</v>
      </c>
      <c r="D60" s="154" t="n">
        <f aca="false">($B60+$C60)/2</f>
        <v>1.0423373568058</v>
      </c>
      <c r="E60" s="86" t="n">
        <f aca="false">$C$17*1000000000*$C$23*$C$24</f>
        <v>43345642.2264543</v>
      </c>
      <c r="F60" s="86" t="n">
        <f aca="false">$D60*1000000000*$C$23*$C$25</f>
        <v>484866.930362044</v>
      </c>
      <c r="G60" s="85" t="n">
        <f aca="false">IF($E60+$F60=0,0,($E60*($C$24/2)+$F60*($C$24+$C$25/2))/($E60+$F60))</f>
        <v>0.00258849852574193</v>
      </c>
      <c r="H60" s="87" t="n">
        <f aca="false">$C$17*1000000000*$C$23*($C$24^3/12+$C$24*($C$24/2-$G60)^2)+$D60*1000000000*$C$23*($C$25^3/12+$C$25*($C$24+$C$25/2-$G60)^2)</f>
        <v>125.88069966129</v>
      </c>
      <c r="I60" s="87" t="n">
        <f aca="false">$H60-$C$33</f>
        <v>-0.00221858117539853</v>
      </c>
      <c r="J60" s="4"/>
      <c r="K60" s="4"/>
      <c r="L60" s="4"/>
      <c r="M60" s="4"/>
    </row>
    <row r="61" customFormat="false" ht="15" hidden="false" customHeight="false" outlineLevel="0" collapsed="false">
      <c r="A61" s="149" t="n">
        <v>23</v>
      </c>
      <c r="B61" s="150" t="n">
        <f aca="false">IF($I60&lt;0,$D60,$B60)</f>
        <v>1.0423373568058</v>
      </c>
      <c r="C61" s="150" t="n">
        <f aca="false">IF($I60&lt;0,$C60,$D60)</f>
        <v>1.04240888214111</v>
      </c>
      <c r="D61" s="151" t="n">
        <f aca="false">($B61+$C61)/2</f>
        <v>1.04237311947346</v>
      </c>
      <c r="E61" s="79" t="n">
        <f aca="false">$C$17*1000000000*$C$23*$C$24</f>
        <v>43345642.2264543</v>
      </c>
      <c r="F61" s="79" t="n">
        <f aca="false">$D61*1000000000*$C$23*$C$25</f>
        <v>484883.566180356</v>
      </c>
      <c r="G61" s="78" t="n">
        <f aca="false">IF($E61+$F61=0,0,($E61*($C$24/2)+$F61*($C$24+$C$25/2))/($E61+$F61))</f>
        <v>0.00258850152854189</v>
      </c>
      <c r="H61" s="80" t="n">
        <f aca="false">$C$17*1000000000*$C$23*($C$24^3/12+$C$24*($C$24/2-$G61)^2)+$D61*1000000000*$C$23*($C$25^3/12+$C$25*($C$24+$C$25/2-$G61)^2)</f>
        <v>125.881908672133</v>
      </c>
      <c r="I61" s="80" t="n">
        <f aca="false">$H61-$C$33</f>
        <v>-0.00100957033207294</v>
      </c>
      <c r="J61" s="4"/>
      <c r="K61" s="4"/>
      <c r="L61" s="4"/>
      <c r="M61" s="4"/>
    </row>
    <row r="62" customFormat="false" ht="15" hidden="false" customHeight="false" outlineLevel="0" collapsed="false">
      <c r="A62" s="152" t="n">
        <v>24</v>
      </c>
      <c r="B62" s="153" t="n">
        <f aca="false">IF($I61&lt;0,$D61,$B61)</f>
        <v>1.04237311947346</v>
      </c>
      <c r="C62" s="153" t="n">
        <f aca="false">IF($I61&lt;0,$C61,$D61)</f>
        <v>1.04240888214111</v>
      </c>
      <c r="D62" s="154" t="n">
        <f aca="false">($B62+$C62)/2</f>
        <v>1.04239100080729</v>
      </c>
      <c r="E62" s="86" t="n">
        <f aca="false">$C$17*1000000000*$C$23*$C$24</f>
        <v>43345642.2264543</v>
      </c>
      <c r="F62" s="86" t="n">
        <f aca="false">$D62*1000000000*$C$23*$C$25</f>
        <v>484891.884089513</v>
      </c>
      <c r="G62" s="85" t="n">
        <f aca="false">IF($E62+$F62=0,0,($E62*($C$24/2)+$F62*($C$24+$C$25/2))/($E62+$F62))</f>
        <v>0.00258850302994101</v>
      </c>
      <c r="H62" s="87" t="n">
        <f aca="false">$C$17*1000000000*$C$23*($C$24^3/12+$C$24*($C$24/2-$G62)^2)+$D62*1000000000*$C$23*($C$25^3/12+$C$25*($C$24+$C$25/2-$G62)^2)</f>
        <v>125.882513177259</v>
      </c>
      <c r="I62" s="87" t="n">
        <f aca="false">$H62-$C$33</f>
        <v>-0.000405065206820154</v>
      </c>
      <c r="J62" s="4"/>
      <c r="K62" s="4"/>
      <c r="L62" s="4"/>
      <c r="M62" s="4"/>
    </row>
    <row r="63" customFormat="false" ht="15" hidden="false" customHeight="false" outlineLevel="0" collapsed="false">
      <c r="A63" s="149" t="n">
        <v>25</v>
      </c>
      <c r="B63" s="150" t="n">
        <f aca="false">IF($I62&lt;0,$D62,$B62)</f>
        <v>1.04239100080729</v>
      </c>
      <c r="C63" s="150" t="n">
        <f aca="false">IF($I62&lt;0,$C62,$D62)</f>
        <v>1.04240888214111</v>
      </c>
      <c r="D63" s="151" t="n">
        <f aca="false">($B63+$C63)/2</f>
        <v>1.0423999414742</v>
      </c>
      <c r="E63" s="79" t="n">
        <f aca="false">$C$17*1000000000*$C$23*$C$24</f>
        <v>43345642.2264543</v>
      </c>
      <c r="F63" s="79" t="n">
        <f aca="false">$D63*1000000000*$C$23*$C$25</f>
        <v>484896.043044091</v>
      </c>
      <c r="G63" s="78" t="n">
        <f aca="false">IF($E63+$F63=0,0,($E63*($C$24/2)+$F63*($C$24+$C$25/2))/($E63+$F63))</f>
        <v>0.00258850378064036</v>
      </c>
      <c r="H63" s="80" t="n">
        <f aca="false">$C$17*1000000000*$C$23*($C$24^3/12+$C$24*($C$24/2-$G63)^2)+$D63*1000000000*$C$23*($C$25^3/12+$C$25*($C$24+$C$25/2-$G63)^2)</f>
        <v>125.882815429747</v>
      </c>
      <c r="I63" s="80" t="n">
        <f aca="false">$H63-$C$33</f>
        <v>-0.000102812718310474</v>
      </c>
      <c r="J63" s="4"/>
      <c r="K63" s="4"/>
      <c r="L63" s="4"/>
      <c r="M63" s="4"/>
    </row>
    <row r="64" customFormat="false" ht="15" hidden="false" customHeight="false" outlineLevel="0" collapsed="false">
      <c r="A64" s="152" t="n">
        <v>26</v>
      </c>
      <c r="B64" s="153" t="n">
        <f aca="false">IF($I63&lt;0,$D63,$B63)</f>
        <v>1.0423999414742</v>
      </c>
      <c r="C64" s="153" t="n">
        <f aca="false">IF($I63&lt;0,$C63,$D63)</f>
        <v>1.04240888214111</v>
      </c>
      <c r="D64" s="154" t="n">
        <f aca="false">($B64+$C64)/2</f>
        <v>1.04240441180766</v>
      </c>
      <c r="E64" s="86" t="n">
        <f aca="false">$C$17*1000000000*$C$23*$C$24</f>
        <v>43345642.2264543</v>
      </c>
      <c r="F64" s="86" t="n">
        <f aca="false">$D64*1000000000*$C$23*$C$25</f>
        <v>484898.12252138</v>
      </c>
      <c r="G64" s="85" t="n">
        <f aca="false">IF($E64+$F64=0,0,($E64*($C$24/2)+$F64*($C$24+$C$25/2))/($E64+$F64))</f>
        <v>0.00258850415598998</v>
      </c>
      <c r="H64" s="87" t="n">
        <f aca="false">$C$17*1000000000*$C$23*($C$24^3/12+$C$24*($C$24/2-$G64)^2)+$D64*1000000000*$C$23*($C$25^3/12+$C$25*($C$24+$C$25/2-$G64)^2)</f>
        <v>125.882966555973</v>
      </c>
      <c r="I64" s="87" t="n">
        <f aca="false">$H64-$C$33</f>
        <v>4.83135074489383E-005</v>
      </c>
      <c r="J64" s="4"/>
      <c r="K64" s="4"/>
      <c r="L64" s="4"/>
      <c r="M64" s="4"/>
    </row>
    <row r="65" customFormat="false" ht="15" hidden="false" customHeight="false" outlineLevel="0" collapsed="false">
      <c r="A65" s="149" t="n">
        <v>27</v>
      </c>
      <c r="B65" s="150" t="n">
        <f aca="false">IF($I64&lt;0,$D64,$B64)</f>
        <v>1.0423999414742</v>
      </c>
      <c r="C65" s="150" t="n">
        <f aca="false">IF($I64&lt;0,$C64,$D64)</f>
        <v>1.04240441180766</v>
      </c>
      <c r="D65" s="151" t="n">
        <f aca="false">($B65+$C65)/2</f>
        <v>1.04240217664093</v>
      </c>
      <c r="E65" s="79" t="n">
        <f aca="false">$C$17*1000000000*$C$23*$C$24</f>
        <v>43345642.2264543</v>
      </c>
      <c r="F65" s="79" t="n">
        <f aca="false">$D65*1000000000*$C$23*$C$25</f>
        <v>484897.082782735</v>
      </c>
      <c r="G65" s="78" t="n">
        <f aca="false">IF($E65+$F65=0,0,($E65*($C$24/2)+$F65*($C$24+$C$25/2))/($E65+$F65))</f>
        <v>0.00258850396831518</v>
      </c>
      <c r="H65" s="80" t="n">
        <f aca="false">$C$17*1000000000*$C$23*($C$24^3/12+$C$24*($C$24/2-$G65)^2)+$D65*1000000000*$C$23*($C$25^3/12+$C$25*($C$24+$C$25/2-$G65)^2)</f>
        <v>125.882890992862</v>
      </c>
      <c r="I65" s="80" t="n">
        <f aca="false">$H65-$C$33</f>
        <v>-2.72496038888903E-005</v>
      </c>
      <c r="J65" s="4"/>
      <c r="K65" s="4"/>
      <c r="L65" s="4"/>
      <c r="M65" s="4"/>
    </row>
    <row r="66" customFormat="false" ht="15" hidden="false" customHeight="false" outlineLevel="0" collapsed="false">
      <c r="A66" s="152" t="n">
        <v>28</v>
      </c>
      <c r="B66" s="153" t="n">
        <f aca="false">IF($I65&lt;0,$D65,$B65)</f>
        <v>1.04240217664093</v>
      </c>
      <c r="C66" s="153" t="n">
        <f aca="false">IF($I65&lt;0,$C65,$D65)</f>
        <v>1.04240441180766</v>
      </c>
      <c r="D66" s="154" t="n">
        <f aca="false">($B66+$C66)/2</f>
        <v>1.04240329422429</v>
      </c>
      <c r="E66" s="86" t="n">
        <f aca="false">$C$17*1000000000*$C$23*$C$24</f>
        <v>43345642.2264543</v>
      </c>
      <c r="F66" s="86" t="n">
        <f aca="false">$D66*1000000000*$C$23*$C$25</f>
        <v>484897.602652057</v>
      </c>
      <c r="G66" s="85" t="n">
        <f aca="false">IF($E66+$F66=0,0,($E66*($C$24/2)+$F66*($C$24+$C$25/2))/($E66+$F66))</f>
        <v>0.00258850406215258</v>
      </c>
      <c r="H66" s="87" t="n">
        <f aca="false">$C$17*1000000000*$C$23*($C$24^3/12+$C$24*($C$24/2-$G66)^2)+$D66*1000000000*$C$23*($C$25^3/12+$C$25*($C$24+$C$25/2-$G66)^2)</f>
        <v>125.882928774418</v>
      </c>
      <c r="I66" s="87" t="n">
        <f aca="false">$H66-$C$33</f>
        <v>1.05319521566116E-005</v>
      </c>
      <c r="J66" s="4"/>
      <c r="K66" s="4"/>
      <c r="L66" s="4"/>
      <c r="M66" s="4"/>
    </row>
    <row r="67" customFormat="false" ht="15" hidden="false" customHeight="false" outlineLevel="0" collapsed="false">
      <c r="A67" s="149" t="n">
        <v>29</v>
      </c>
      <c r="B67" s="150" t="n">
        <f aca="false">IF($I66&lt;0,$D66,$B66)</f>
        <v>1.04240217664093</v>
      </c>
      <c r="C67" s="150" t="n">
        <f aca="false">IF($I66&lt;0,$C66,$D66)</f>
        <v>1.04240329422429</v>
      </c>
      <c r="D67" s="151" t="n">
        <f aca="false">($B67+$C67)/2</f>
        <v>1.04240273543261</v>
      </c>
      <c r="E67" s="79" t="n">
        <f aca="false">$C$17*1000000000*$C$23*$C$24</f>
        <v>43345642.2264543</v>
      </c>
      <c r="F67" s="79" t="n">
        <f aca="false">$D67*1000000000*$C$23*$C$25</f>
        <v>484897.342717396</v>
      </c>
      <c r="G67" s="78" t="n">
        <f aca="false">IF($E67+$F67=0,0,($E67*($C$24/2)+$F67*($C$24+$C$25/2))/($E67+$F67))</f>
        <v>0.00258850401523388</v>
      </c>
      <c r="H67" s="80" t="n">
        <f aca="false">$C$17*1000000000*$C$23*($C$24^3/12+$C$24*($C$24/2-$G67)^2)+$D67*1000000000*$C$23*($C$25^3/12+$C$25*($C$24+$C$25/2-$G67)^2)</f>
        <v>125.88290988364</v>
      </c>
      <c r="I67" s="80" t="n">
        <f aca="false">$H67-$C$33</f>
        <v>-8.35882576666336E-006</v>
      </c>
      <c r="J67" s="4"/>
      <c r="K67" s="4"/>
      <c r="L67" s="4"/>
      <c r="M67" s="4"/>
    </row>
    <row r="68" customFormat="false" ht="15" hidden="false" customHeight="false" outlineLevel="0" collapsed="false">
      <c r="A68" s="152" t="n">
        <v>30</v>
      </c>
      <c r="B68" s="153" t="n">
        <f aca="false">IF($I67&lt;0,$D67,$B67)</f>
        <v>1.04240273543261</v>
      </c>
      <c r="C68" s="153" t="n">
        <f aca="false">IF($I67&lt;0,$C67,$D67)</f>
        <v>1.04240329422429</v>
      </c>
      <c r="D68" s="154" t="n">
        <f aca="false">($B68+$C68)/2</f>
        <v>1.04240301482845</v>
      </c>
      <c r="E68" s="86" t="n">
        <f aca="false">$C$17*1000000000*$C$23*$C$24</f>
        <v>43345642.2264543</v>
      </c>
      <c r="F68" s="86" t="n">
        <f aca="false">$D68*1000000000*$C$23*$C$25</f>
        <v>484897.472684727</v>
      </c>
      <c r="G68" s="85" t="n">
        <f aca="false">IF($E68+$F68=0,0,($E68*($C$24/2)+$F68*($C$24+$C$25/2))/($E68+$F68))</f>
        <v>0.00258850403869323</v>
      </c>
      <c r="H68" s="87" t="n">
        <f aca="false">$C$17*1000000000*$C$23*($C$24^3/12+$C$24*($C$24/2-$G68)^2)+$D68*1000000000*$C$23*($C$25^3/12+$C$25*($C$24+$C$25/2-$G68)^2)</f>
        <v>125.882919329029</v>
      </c>
      <c r="I68" s="87" t="n">
        <f aca="false">$H68-$C$33</f>
        <v>1.08656321629041E-006</v>
      </c>
      <c r="J68" s="4"/>
      <c r="K68" s="4"/>
      <c r="L68" s="4"/>
      <c r="M68" s="4"/>
    </row>
    <row r="69" customFormat="false" ht="15" hidden="false" customHeight="false" outlineLevel="0" collapsed="false">
      <c r="A69" s="149" t="n">
        <v>31</v>
      </c>
      <c r="B69" s="150" t="n">
        <f aca="false">IF($I68&lt;0,$D68,$B68)</f>
        <v>1.04240273543261</v>
      </c>
      <c r="C69" s="150" t="n">
        <f aca="false">IF($I68&lt;0,$C68,$D68)</f>
        <v>1.04240301482845</v>
      </c>
      <c r="D69" s="151" t="n">
        <f aca="false">($B69+$C69)/2</f>
        <v>1.04240287513053</v>
      </c>
      <c r="E69" s="79" t="n">
        <f aca="false">$C$17*1000000000*$C$23*$C$24</f>
        <v>43345642.2264543</v>
      </c>
      <c r="F69" s="79" t="n">
        <f aca="false">$D69*1000000000*$C$23*$C$25</f>
        <v>484897.407701062</v>
      </c>
      <c r="G69" s="78" t="n">
        <f aca="false">IF($E69+$F69=0,0,($E69*($C$24/2)+$F69*($C$24+$C$25/2))/($E69+$F69))</f>
        <v>0.00258850402696356</v>
      </c>
      <c r="H69" s="80" t="n">
        <f aca="false">$C$17*1000000000*$C$23*($C$24^3/12+$C$24*($C$24/2-$G69)^2)+$D69*1000000000*$C$23*($C$25^3/12+$C$25*($C$24+$C$25/2-$G69)^2)</f>
        <v>125.882914606334</v>
      </c>
      <c r="I69" s="80" t="n">
        <f aca="false">$H69-$C$33</f>
        <v>-3.6361312822919E-006</v>
      </c>
      <c r="J69" s="4"/>
      <c r="K69" s="4"/>
      <c r="L69" s="4"/>
      <c r="M69" s="4"/>
    </row>
    <row r="70" customFormat="false" ht="15" hidden="false" customHeight="false" outlineLevel="0" collapsed="false">
      <c r="A70" s="152" t="n">
        <v>32</v>
      </c>
      <c r="B70" s="153" t="n">
        <f aca="false">IF($I69&lt;0,$D69,$B69)</f>
        <v>1.04240287513053</v>
      </c>
      <c r="C70" s="153" t="n">
        <f aca="false">IF($I69&lt;0,$C69,$D69)</f>
        <v>1.04240301482845</v>
      </c>
      <c r="D70" s="154" t="n">
        <f aca="false">($B70+$C70)/2</f>
        <v>1.04240294497949</v>
      </c>
      <c r="E70" s="86" t="n">
        <f aca="false">$C$17*1000000000*$C$23*$C$24</f>
        <v>43345642.2264543</v>
      </c>
      <c r="F70" s="86" t="n">
        <f aca="false">$D70*1000000000*$C$23*$C$25</f>
        <v>484897.440192894</v>
      </c>
      <c r="G70" s="85" t="n">
        <f aca="false">IF($E70+$F70=0,0,($E70*($C$24/2)+$F70*($C$24+$C$25/2))/($E70+$F70))</f>
        <v>0.00258850403282839</v>
      </c>
      <c r="H70" s="87" t="n">
        <f aca="false">$C$17*1000000000*$C$23*($C$24^3/12+$C$24*($C$24/2-$G70)^2)+$D70*1000000000*$C$23*($C$25^3/12+$C$25*($C$24+$C$25/2-$G70)^2)</f>
        <v>125.882916967681</v>
      </c>
      <c r="I70" s="87" t="n">
        <f aca="false">$H70-$C$33</f>
        <v>-1.27478402589531E-006</v>
      </c>
      <c r="J70" s="4"/>
      <c r="K70" s="4"/>
      <c r="L70" s="4"/>
      <c r="M70" s="4"/>
    </row>
    <row r="71" customFormat="false" ht="15" hidden="false" customHeight="false" outlineLevel="0" collapsed="false">
      <c r="A71" s="149" t="n">
        <v>33</v>
      </c>
      <c r="B71" s="150" t="n">
        <f aca="false">IF($I70&lt;0,$D70,$B70)</f>
        <v>1.04240294497949</v>
      </c>
      <c r="C71" s="150" t="n">
        <f aca="false">IF($I70&lt;0,$C70,$D70)</f>
        <v>1.04240301482845</v>
      </c>
      <c r="D71" s="151" t="n">
        <f aca="false">($B71+$C71)/2</f>
        <v>1.04240297990397</v>
      </c>
      <c r="E71" s="79" t="n">
        <f aca="false">$C$17*1000000000*$C$23*$C$24</f>
        <v>43345642.2264543</v>
      </c>
      <c r="F71" s="79" t="n">
        <f aca="false">$D71*1000000000*$C$23*$C$25</f>
        <v>484897.45643881</v>
      </c>
      <c r="G71" s="78" t="n">
        <f aca="false">IF($E71+$F71=0,0,($E71*($C$24/2)+$F71*($C$24+$C$25/2))/($E71+$F71))</f>
        <v>0.00258850403576081</v>
      </c>
      <c r="H71" s="80" t="n">
        <f aca="false">$C$17*1000000000*$C$23*($C$24^3/12+$C$24*($C$24/2-$G71)^2)+$D71*1000000000*$C$23*($C$25^3/12+$C$25*($C$24+$C$25/2-$G71)^2)</f>
        <v>125.882918148355</v>
      </c>
      <c r="I71" s="80" t="n">
        <f aca="false">$H71-$C$33</f>
        <v>-9.41104048024499E-008</v>
      </c>
      <c r="J71" s="4"/>
      <c r="K71" s="4"/>
      <c r="L71" s="4"/>
      <c r="M71" s="4"/>
    </row>
    <row r="72" customFormat="false" ht="15" hidden="false" customHeight="false" outlineLevel="0" collapsed="false">
      <c r="A72" s="152" t="n">
        <v>34</v>
      </c>
      <c r="B72" s="153" t="n">
        <f aca="false">IF($I71&lt;0,$D71,$B71)</f>
        <v>1.04240297990397</v>
      </c>
      <c r="C72" s="153" t="n">
        <f aca="false">IF($I71&lt;0,$C71,$D71)</f>
        <v>1.04240301482845</v>
      </c>
      <c r="D72" s="154" t="n">
        <f aca="false">($B72+$C72)/2</f>
        <v>1.04240299736621</v>
      </c>
      <c r="E72" s="86" t="n">
        <f aca="false">$C$17*1000000000*$C$23*$C$24</f>
        <v>43345642.2264543</v>
      </c>
      <c r="F72" s="86" t="n">
        <f aca="false">$D72*1000000000*$C$23*$C$25</f>
        <v>484897.464561769</v>
      </c>
      <c r="G72" s="85" t="n">
        <f aca="false">IF($E72+$F72=0,0,($E72*($C$24/2)+$F72*($C$24+$C$25/2))/($E72+$F72))</f>
        <v>0.00258850403722702</v>
      </c>
      <c r="H72" s="87" t="n">
        <f aca="false">$C$17*1000000000*$C$23*($C$24^3/12+$C$24*($C$24/2-$G72)^2)+$D72*1000000000*$C$23*($C$25^3/12+$C$25*($C$24+$C$25/2-$G72)^2)</f>
        <v>125.882918738692</v>
      </c>
      <c r="I72" s="87" t="n">
        <f aca="false">$H72-$C$33</f>
        <v>4.96226405743983E-007</v>
      </c>
      <c r="J72" s="4"/>
      <c r="K72" s="4"/>
      <c r="L72" s="4"/>
      <c r="M72" s="4"/>
    </row>
    <row r="73" customFormat="false" ht="15" hidden="false" customHeight="false" outlineLevel="0" collapsed="false">
      <c r="A73" s="149" t="n">
        <v>35</v>
      </c>
      <c r="B73" s="150" t="n">
        <f aca="false">IF($I72&lt;0,$D72,$B72)</f>
        <v>1.04240297990397</v>
      </c>
      <c r="C73" s="150" t="n">
        <f aca="false">IF($I72&lt;0,$C72,$D72)</f>
        <v>1.04240299736621</v>
      </c>
      <c r="D73" s="151" t="n">
        <f aca="false">($B73+$C73)/2</f>
        <v>1.04240298863509</v>
      </c>
      <c r="E73" s="79" t="n">
        <f aca="false">$C$17*1000000000*$C$23*$C$24</f>
        <v>43345642.2264543</v>
      </c>
      <c r="F73" s="79" t="n">
        <f aca="false">$D73*1000000000*$C$23*$C$25</f>
        <v>484897.460500289</v>
      </c>
      <c r="G73" s="78" t="n">
        <f aca="false">IF($E73+$F73=0,0,($E73*($C$24/2)+$F73*($C$24+$C$25/2))/($E73+$F73))</f>
        <v>0.00258850403649392</v>
      </c>
      <c r="H73" s="80" t="n">
        <f aca="false">$C$17*1000000000*$C$23*($C$24^3/12+$C$24*($C$24/2-$G73)^2)+$D73*1000000000*$C$23*($C$25^3/12+$C$25*($C$24+$C$25/2-$G73)^2)</f>
        <v>125.882918443523</v>
      </c>
      <c r="I73" s="80" t="n">
        <f aca="false">$H73-$C$33</f>
        <v>2.01058000470766E-007</v>
      </c>
      <c r="J73" s="4"/>
      <c r="K73" s="4"/>
      <c r="L73" s="4"/>
      <c r="M73" s="4"/>
    </row>
    <row r="74" customFormat="false" ht="15" hidden="false" customHeight="false" outlineLevel="0" collapsed="false">
      <c r="A74" s="152" t="n">
        <v>36</v>
      </c>
      <c r="B74" s="153" t="n">
        <f aca="false">IF($I73&lt;0,$D73,$B73)</f>
        <v>1.04240297990397</v>
      </c>
      <c r="C74" s="153" t="n">
        <f aca="false">IF($I73&lt;0,$C73,$D73)</f>
        <v>1.04240298863509</v>
      </c>
      <c r="D74" s="154" t="n">
        <f aca="false">($B74+$C74)/2</f>
        <v>1.04240298426953</v>
      </c>
      <c r="E74" s="86" t="n">
        <f aca="false">$C$17*1000000000*$C$23*$C$24</f>
        <v>43345642.2264543</v>
      </c>
      <c r="F74" s="86" t="n">
        <f aca="false">$D74*1000000000*$C$23*$C$25</f>
        <v>484897.45846955</v>
      </c>
      <c r="G74" s="85" t="n">
        <f aca="false">IF($E74+$F74=0,0,($E74*($C$24/2)+$F74*($C$24+$C$25/2))/($E74+$F74))</f>
        <v>0.00258850403612736</v>
      </c>
      <c r="H74" s="87" t="n">
        <f aca="false">$C$17*1000000000*$C$23*($C$24^3/12+$C$24*($C$24/2-$G74)^2)+$D74*1000000000*$C$23*($C$25^3/12+$C$25*($C$24+$C$25/2-$G74)^2)</f>
        <v>125.882918295939</v>
      </c>
      <c r="I74" s="87" t="n">
        <f aca="false">$H74-$C$33</f>
        <v>5.34737836233035E-008</v>
      </c>
      <c r="J74" s="4"/>
      <c r="K74" s="4"/>
      <c r="L74" s="4"/>
      <c r="M74" s="4"/>
    </row>
    <row r="75" customFormat="false" ht="15" hidden="false" customHeight="false" outlineLevel="0" collapsed="false">
      <c r="A75" s="149" t="n">
        <v>37</v>
      </c>
      <c r="B75" s="150" t="n">
        <f aca="false">IF($I74&lt;0,$D74,$B74)</f>
        <v>1.04240297990397</v>
      </c>
      <c r="C75" s="150" t="n">
        <f aca="false">IF($I74&lt;0,$C74,$D74)</f>
        <v>1.04240298426953</v>
      </c>
      <c r="D75" s="151" t="n">
        <f aca="false">($B75+$C75)/2</f>
        <v>1.04240298208675</v>
      </c>
      <c r="E75" s="79" t="n">
        <f aca="false">$C$17*1000000000*$C$23*$C$24</f>
        <v>43345642.2264543</v>
      </c>
      <c r="F75" s="79" t="n">
        <f aca="false">$D75*1000000000*$C$23*$C$25</f>
        <v>484897.45745418</v>
      </c>
      <c r="G75" s="78" t="n">
        <f aca="false">IF($E75+$F75=0,0,($E75*($C$24/2)+$F75*($C$24+$C$25/2))/($E75+$F75))</f>
        <v>0.00258850403594409</v>
      </c>
      <c r="H75" s="80" t="n">
        <f aca="false">$C$17*1000000000*$C$23*($C$24^3/12+$C$24*($C$24/2-$G75)^2)+$D75*1000000000*$C$23*($C$25^3/12+$C$25*($C$24+$C$25/2-$G75)^2)</f>
        <v>125.882918222147</v>
      </c>
      <c r="I75" s="80" t="n">
        <f aca="false">$H75-$C$33</f>
        <v>-2.03183105895732E-008</v>
      </c>
      <c r="J75" s="4"/>
      <c r="K75" s="4"/>
      <c r="L75" s="4"/>
      <c r="M75" s="4"/>
    </row>
    <row r="76" customFormat="false" ht="15" hidden="false" customHeight="false" outlineLevel="0" collapsed="false">
      <c r="A76" s="152" t="n">
        <v>38</v>
      </c>
      <c r="B76" s="153" t="n">
        <f aca="false">IF($I75&lt;0,$D75,$B75)</f>
        <v>1.04240298208675</v>
      </c>
      <c r="C76" s="153" t="n">
        <f aca="false">IF($I75&lt;0,$C75,$D75)</f>
        <v>1.04240298426953</v>
      </c>
      <c r="D76" s="154" t="n">
        <f aca="false">($B76+$C76)/2</f>
        <v>1.04240298317814</v>
      </c>
      <c r="E76" s="86" t="n">
        <f aca="false">$C$17*1000000000*$C$23*$C$24</f>
        <v>43345642.2264543</v>
      </c>
      <c r="F76" s="86" t="n">
        <f aca="false">$D76*1000000000*$C$23*$C$25</f>
        <v>484897.457961865</v>
      </c>
      <c r="G76" s="85" t="n">
        <f aca="false">IF($E76+$F76=0,0,($E76*($C$24/2)+$F76*($C$24+$C$25/2))/($E76+$F76))</f>
        <v>0.00258850403603573</v>
      </c>
      <c r="H76" s="87" t="n">
        <f aca="false">$C$17*1000000000*$C$23*($C$24^3/12+$C$24*($C$24/2-$G76)^2)+$D76*1000000000*$C$23*($C$25^3/12+$C$25*($C$24+$C$25/2-$G76)^2)</f>
        <v>125.882918259043</v>
      </c>
      <c r="I76" s="87" t="n">
        <f aca="false">$H76-$C$33</f>
        <v>1.65777436222925E-008</v>
      </c>
      <c r="J76" s="4"/>
      <c r="K76" s="4"/>
      <c r="L76" s="4"/>
      <c r="M76" s="4"/>
    </row>
    <row r="77" customFormat="false" ht="15" hidden="false" customHeight="false" outlineLevel="0" collapsed="false">
      <c r="A77" s="149" t="n">
        <v>39</v>
      </c>
      <c r="B77" s="150" t="n">
        <f aca="false">IF($I76&lt;0,$D76,$B76)</f>
        <v>1.04240298208675</v>
      </c>
      <c r="C77" s="150" t="n">
        <f aca="false">IF($I76&lt;0,$C76,$D76)</f>
        <v>1.04240298317814</v>
      </c>
      <c r="D77" s="151" t="n">
        <f aca="false">($B77+$C77)/2</f>
        <v>1.04240298263245</v>
      </c>
      <c r="E77" s="79" t="n">
        <f aca="false">$C$17*1000000000*$C$23*$C$24</f>
        <v>43345642.2264543</v>
      </c>
      <c r="F77" s="79" t="n">
        <f aca="false">$D77*1000000000*$C$23*$C$25</f>
        <v>484897.457708022</v>
      </c>
      <c r="G77" s="78" t="n">
        <f aca="false">IF($E77+$F77=0,0,($E77*($C$24/2)+$F77*($C$24+$C$25/2))/($E77+$F77))</f>
        <v>0.00258850403598991</v>
      </c>
      <c r="H77" s="80" t="n">
        <f aca="false">$C$17*1000000000*$C$23*($C$24^3/12+$C$24*($C$24/2-$G77)^2)+$D77*1000000000*$C$23*($C$25^3/12+$C$25*($C$24+$C$25/2-$G77)^2)</f>
        <v>125.882918240595</v>
      </c>
      <c r="I77" s="80" t="n">
        <f aca="false">$H77-$C$33</f>
        <v>-1.87030479992245E-009</v>
      </c>
      <c r="J77" s="4"/>
      <c r="K77" s="4"/>
      <c r="L77" s="4"/>
      <c r="M77" s="4"/>
    </row>
    <row r="78" customFormat="false" ht="15" hidden="false" customHeight="false" outlineLevel="0" collapsed="false">
      <c r="A78" s="152" t="n">
        <v>40</v>
      </c>
      <c r="B78" s="153" t="n">
        <f aca="false">IF($I77&lt;0,$D77,$B77)</f>
        <v>1.04240298263245</v>
      </c>
      <c r="C78" s="153" t="n">
        <f aca="false">IF($I77&lt;0,$C77,$D77)</f>
        <v>1.04240298317814</v>
      </c>
      <c r="D78" s="154" t="n">
        <f aca="false">($B78+$C78)/2</f>
        <v>1.04240298290529</v>
      </c>
      <c r="E78" s="86" t="n">
        <f aca="false">$C$17*1000000000*$C$23*$C$24</f>
        <v>43345642.2264543</v>
      </c>
      <c r="F78" s="86" t="n">
        <f aca="false">$D78*1000000000*$C$23*$C$25</f>
        <v>484897.457834944</v>
      </c>
      <c r="G78" s="85" t="n">
        <f aca="false">IF($E78+$F78=0,0,($E78*($C$24/2)+$F78*($C$24+$C$25/2))/($E78+$F78))</f>
        <v>0.00258850403601282</v>
      </c>
      <c r="H78" s="87" t="n">
        <f aca="false">$C$17*1000000000*$C$23*($C$24^3/12+$C$24*($C$24/2-$G78)^2)+$D78*1000000000*$C$23*($C$25^3/12+$C$25*($C$24+$C$25/2-$G78)^2)</f>
        <v>125.882918249819</v>
      </c>
      <c r="I78" s="87" t="n">
        <f aca="false">$H78-$C$33</f>
        <v>7.35373362203973E-009</v>
      </c>
      <c r="J78" s="4"/>
      <c r="K78" s="4"/>
      <c r="L78" s="4"/>
      <c r="M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9.4" hidden="false" customHeight="false" outlineLevel="0" collapsed="false">
      <c r="A81" s="143" t="s">
        <v>436</v>
      </c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4"/>
      <c r="M81" s="4"/>
    </row>
    <row r="82" customFormat="false" ht="17.15" hidden="false" customHeight="false" outlineLevel="0" collapsed="false">
      <c r="A82" s="59" t="s">
        <v>437</v>
      </c>
      <c r="B82" s="59"/>
      <c r="C82" s="155" t="n">
        <f aca="false">$D$78</f>
        <v>1.04240298290529</v>
      </c>
      <c r="D82" s="29" t="s">
        <v>438</v>
      </c>
      <c r="E82" s="29"/>
      <c r="F82" s="29"/>
      <c r="G82" s="29"/>
      <c r="H82" s="29"/>
      <c r="I82" s="29"/>
      <c r="J82" s="29"/>
      <c r="K82" s="29"/>
      <c r="L82" s="4"/>
      <c r="M82" s="4"/>
    </row>
    <row r="83" customFormat="false" ht="17.15" hidden="false" customHeight="false" outlineLevel="0" collapsed="false">
      <c r="A83" s="57" t="s">
        <v>439</v>
      </c>
      <c r="B83" s="57"/>
      <c r="C83" s="156" t="n">
        <f aca="false">ABS($I$78)</f>
        <v>7.35373362203973E-009</v>
      </c>
      <c r="D83" s="20" t="s">
        <v>440</v>
      </c>
      <c r="E83" s="20"/>
      <c r="F83" s="20"/>
      <c r="G83" s="20"/>
      <c r="H83" s="20"/>
      <c r="I83" s="20"/>
      <c r="J83" s="20"/>
      <c r="K83" s="20"/>
      <c r="L83" s="4"/>
      <c r="M83" s="4"/>
    </row>
    <row r="84" customFormat="false" ht="17.15" hidden="false" customHeight="false" outlineLevel="0" collapsed="false">
      <c r="A84" s="59" t="s">
        <v>441</v>
      </c>
      <c r="B84" s="59"/>
      <c r="C84" s="156" t="n">
        <f aca="false">IF($C$33=0,0,ABS($I$78)/$C$33*100)</f>
        <v>5.84172477466368E-009</v>
      </c>
      <c r="D84" s="28" t="s">
        <v>442</v>
      </c>
      <c r="E84" s="28"/>
      <c r="F84" s="28"/>
      <c r="G84" s="28"/>
      <c r="H84" s="28"/>
      <c r="I84" s="28"/>
      <c r="J84" s="28"/>
      <c r="K84" s="28"/>
      <c r="L84" s="4"/>
      <c r="M84" s="4"/>
    </row>
    <row r="85" customFormat="false" ht="17.15" hidden="false" customHeight="false" outlineLevel="0" collapsed="false">
      <c r="A85" s="57" t="s">
        <v>443</v>
      </c>
      <c r="B85" s="57"/>
      <c r="C85" s="157" t="n">
        <f aca="false">IF(($C$16+$C$19)=0,0,12*$C$32/(($C$16+$C$19)/1000)^2)</f>
        <v>2056537.6008556</v>
      </c>
      <c r="D85" s="20" t="s">
        <v>444</v>
      </c>
      <c r="E85" s="20"/>
      <c r="F85" s="20"/>
      <c r="G85" s="20"/>
      <c r="H85" s="20"/>
      <c r="I85" s="20"/>
      <c r="J85" s="20"/>
      <c r="K85" s="20"/>
      <c r="L85" s="4"/>
      <c r="M85" s="4"/>
    </row>
    <row r="86" customFormat="false" ht="17.15" hidden="false" customHeight="false" outlineLevel="0" collapsed="false">
      <c r="A86" s="59" t="s">
        <v>445</v>
      </c>
      <c r="B86" s="59"/>
      <c r="C86" s="65" t="n">
        <f aca="false">SQRT(MAX($C$85,0))</f>
        <v>1434.06331828675</v>
      </c>
      <c r="D86" s="29" t="s">
        <v>446</v>
      </c>
      <c r="E86" s="29"/>
      <c r="F86" s="29"/>
      <c r="G86" s="29"/>
      <c r="H86" s="29"/>
      <c r="I86" s="29"/>
      <c r="J86" s="29"/>
      <c r="K86" s="29"/>
      <c r="L86" s="4"/>
      <c r="M86" s="4"/>
    </row>
    <row r="87" customFormat="false" ht="17.15" hidden="false" customHeight="false" outlineLevel="0" collapsed="false">
      <c r="A87" s="57" t="s">
        <v>447</v>
      </c>
      <c r="B87" s="57"/>
      <c r="C87" s="65" t="n">
        <f aca="false">IF($C$26=0,0,$C$5/(2*PI()*$C$22^2)*SQRT($H$78/$C$26)/IF($C$27=1,SQRT($C$30),1))</f>
        <v>1650.00000004819</v>
      </c>
      <c r="D87" s="30" t="s">
        <v>448</v>
      </c>
      <c r="E87" s="30"/>
      <c r="F87" s="30"/>
      <c r="G87" s="30"/>
      <c r="H87" s="30"/>
      <c r="I87" s="30"/>
      <c r="J87" s="30"/>
      <c r="K87" s="30"/>
      <c r="L87" s="4"/>
      <c r="M87" s="4"/>
    </row>
    <row r="88" customFormat="false" ht="17.15" hidden="false" customHeight="false" outlineLevel="0" collapsed="false">
      <c r="A88" s="59" t="s">
        <v>449</v>
      </c>
      <c r="B88" s="59"/>
      <c r="C88" s="148" t="n">
        <f aca="false">IF(OR($D$5="",$D$5=0),0,($C$87/$D$5-1)*100)</f>
        <v>2.92086355102583E-009</v>
      </c>
      <c r="D88" s="28" t="s">
        <v>450</v>
      </c>
      <c r="E88" s="28"/>
      <c r="F88" s="28"/>
      <c r="G88" s="28"/>
      <c r="H88" s="28"/>
      <c r="I88" s="28"/>
      <c r="J88" s="28"/>
      <c r="K88" s="28"/>
      <c r="L88" s="4"/>
      <c r="M88" s="4"/>
    </row>
    <row r="89" customFormat="false" ht="17.15" hidden="false" customHeight="false" outlineLevel="0" collapsed="false">
      <c r="A89" s="57" t="s">
        <v>451</v>
      </c>
      <c r="B89" s="57"/>
      <c r="C89" s="65" t="n">
        <f aca="false">IF($C$26=0,0,$C$6/(2*PI()*$C$22^2)*SQRT($H$78/$C$26)/IF($C$27=1,SQRT((1+$C$6*($C$29/$C$22)^2*(1+2*(1+$C$28)/(5/6)))),1))</f>
        <v>4108.41613774397</v>
      </c>
      <c r="D89" s="30" t="s">
        <v>452</v>
      </c>
      <c r="E89" s="30"/>
      <c r="F89" s="30"/>
      <c r="G89" s="30"/>
      <c r="H89" s="30"/>
      <c r="I89" s="30"/>
      <c r="J89" s="30"/>
      <c r="K89" s="30"/>
      <c r="L89" s="4"/>
      <c r="M89" s="4"/>
    </row>
    <row r="90" customFormat="false" ht="17.15" hidden="false" customHeight="false" outlineLevel="0" collapsed="false">
      <c r="A90" s="61" t="s">
        <v>453</v>
      </c>
      <c r="B90" s="61"/>
      <c r="C90" s="65" t="n">
        <f aca="false">IF(OR($D$6="",$D$6=0),0,($C$89/$D$6-1)*100)</f>
        <v>-9.70513982980277</v>
      </c>
      <c r="D90" s="28" t="s">
        <v>454</v>
      </c>
      <c r="E90" s="28"/>
      <c r="F90" s="28"/>
      <c r="G90" s="28"/>
      <c r="H90" s="28"/>
      <c r="I90" s="28"/>
      <c r="J90" s="28"/>
      <c r="K90" s="28"/>
      <c r="L90" s="4"/>
      <c r="M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Format="false" ht="15" hidden="false" customHeight="false" outlineLevel="0" collapsed="false">
      <c r="A92" s="5" t="s">
        <v>455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4"/>
      <c r="M92" s="4"/>
    </row>
    <row r="93" customFormat="false" ht="17.15" hidden="false" customHeight="false" outlineLevel="0" collapsed="false">
      <c r="A93" s="93" t="s">
        <v>456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4"/>
      <c r="M93" s="4"/>
    </row>
    <row r="94" customFormat="false" ht="17.15" hidden="false" customHeight="false" outlineLevel="0" collapsed="false">
      <c r="A94" s="114" t="s">
        <v>457</v>
      </c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4"/>
      <c r="M94" s="4"/>
    </row>
    <row r="95" customFormat="false" ht="17.15" hidden="false" customHeight="false" outlineLevel="0" collapsed="false">
      <c r="A95" s="116" t="s">
        <v>458</v>
      </c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4"/>
      <c r="M95" s="4"/>
    </row>
    <row r="96" customFormat="false" ht="17.15" hidden="false" customHeight="false" outlineLevel="0" collapsed="false">
      <c r="A96" s="117" t="s">
        <v>459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4"/>
      <c r="M96" s="4"/>
    </row>
    <row r="97" customFormat="false" ht="15" hidden="false" customHeight="false" outlineLevel="0" collapsed="false">
      <c r="A97" s="115" t="s">
        <v>460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4"/>
      <c r="M97" s="4"/>
    </row>
    <row r="98" customFormat="false" ht="15" hidden="false" customHeight="false" outlineLevel="0" collapsed="false">
      <c r="A98" s="142" t="s">
        <v>461</v>
      </c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4"/>
      <c r="M98" s="4"/>
    </row>
    <row r="99" customFormat="false" ht="17.15" hidden="false" customHeight="false" outlineLevel="0" collapsed="false">
      <c r="A99" s="158" t="s">
        <v>462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4"/>
      <c r="M99" s="4"/>
    </row>
    <row r="100" customFormat="false" ht="17.15" hidden="false" customHeight="false" outlineLevel="0" collapsed="false">
      <c r="A100" s="117" t="s">
        <v>463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4"/>
      <c r="M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</sheetData>
  <mergeCells count="75">
    <mergeCell ref="A3:H3"/>
    <mergeCell ref="A11:H11"/>
    <mergeCell ref="A13:H13"/>
    <mergeCell ref="A14:B14"/>
    <mergeCell ref="D14:H14"/>
    <mergeCell ref="A15:B15"/>
    <mergeCell ref="D15:H15"/>
    <mergeCell ref="A16:B16"/>
    <mergeCell ref="D16:H16"/>
    <mergeCell ref="A17:B17"/>
    <mergeCell ref="D17:H17"/>
    <mergeCell ref="A18:B18"/>
    <mergeCell ref="D18:H18"/>
    <mergeCell ref="A19:B19"/>
    <mergeCell ref="D19:H19"/>
    <mergeCell ref="A20:B20"/>
    <mergeCell ref="D20:H20"/>
    <mergeCell ref="A21:H21"/>
    <mergeCell ref="A22:B22"/>
    <mergeCell ref="D22:H22"/>
    <mergeCell ref="A23:B23"/>
    <mergeCell ref="D23:H23"/>
    <mergeCell ref="A24:B24"/>
    <mergeCell ref="D24:H24"/>
    <mergeCell ref="A25:B25"/>
    <mergeCell ref="D25:H25"/>
    <mergeCell ref="A26:B26"/>
    <mergeCell ref="D26:H26"/>
    <mergeCell ref="A27:B27"/>
    <mergeCell ref="D27:H27"/>
    <mergeCell ref="A28:B28"/>
    <mergeCell ref="D28:H28"/>
    <mergeCell ref="A29:B29"/>
    <mergeCell ref="D29:H29"/>
    <mergeCell ref="A30:B30"/>
    <mergeCell ref="D30:H30"/>
    <mergeCell ref="A31:B31"/>
    <mergeCell ref="D31:H31"/>
    <mergeCell ref="A32:B32"/>
    <mergeCell ref="D32:H32"/>
    <mergeCell ref="A33:B33"/>
    <mergeCell ref="D33:H33"/>
    <mergeCell ref="A34:B34"/>
    <mergeCell ref="D34:H34"/>
    <mergeCell ref="A35:B35"/>
    <mergeCell ref="D35:H35"/>
    <mergeCell ref="A37:K37"/>
    <mergeCell ref="A81:K81"/>
    <mergeCell ref="A82:B82"/>
    <mergeCell ref="D82:K82"/>
    <mergeCell ref="A83:B83"/>
    <mergeCell ref="D83:K83"/>
    <mergeCell ref="A84:B84"/>
    <mergeCell ref="D84:K84"/>
    <mergeCell ref="A85:B85"/>
    <mergeCell ref="D85:K85"/>
    <mergeCell ref="A86:B86"/>
    <mergeCell ref="D86:K86"/>
    <mergeCell ref="A87:B87"/>
    <mergeCell ref="D87:K87"/>
    <mergeCell ref="A88:B88"/>
    <mergeCell ref="D88:K88"/>
    <mergeCell ref="A89:B89"/>
    <mergeCell ref="D89:K89"/>
    <mergeCell ref="A90:B90"/>
    <mergeCell ref="D90:K90"/>
    <mergeCell ref="A92:K92"/>
    <mergeCell ref="A93:K93"/>
    <mergeCell ref="A94:K94"/>
    <mergeCell ref="A95:K95"/>
    <mergeCell ref="A96:K96"/>
    <mergeCell ref="A97:K97"/>
    <mergeCell ref="A98:K98"/>
    <mergeCell ref="A99:K99"/>
    <mergeCell ref="A100:K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3A5C"/>
    <pageSetUpPr fitToPage="false"/>
  </sheetPr>
  <dimension ref="A1:A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465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12" t="s">
        <v>67</v>
      </c>
      <c r="B4" s="12" t="s">
        <v>466</v>
      </c>
      <c r="C4" s="12" t="s">
        <v>467</v>
      </c>
      <c r="D4" s="13" t="s">
        <v>468</v>
      </c>
      <c r="E4" s="12" t="s">
        <v>469</v>
      </c>
      <c r="F4" s="12" t="s">
        <v>68</v>
      </c>
      <c r="G4" s="4"/>
      <c r="H4" s="4"/>
    </row>
    <row r="5" customFormat="false" ht="15" hidden="false" customHeight="false" outlineLevel="0" collapsed="false">
      <c r="A5" s="159" t="s">
        <v>470</v>
      </c>
      <c r="B5" s="160" t="s">
        <v>471</v>
      </c>
      <c r="C5" s="161" t="s">
        <v>472</v>
      </c>
      <c r="D5" s="162" t="s">
        <v>473</v>
      </c>
      <c r="E5" s="163" t="s">
        <v>474</v>
      </c>
      <c r="F5" s="164" t="s">
        <v>51</v>
      </c>
      <c r="G5" s="4"/>
      <c r="H5" s="4"/>
    </row>
    <row r="6" customFormat="false" ht="17.15" hidden="false" customHeight="false" outlineLevel="0" collapsed="false">
      <c r="A6" s="165" t="s">
        <v>470</v>
      </c>
      <c r="B6" s="166" t="s">
        <v>475</v>
      </c>
      <c r="C6" s="167" t="s">
        <v>476</v>
      </c>
      <c r="D6" s="168" t="s">
        <v>477</v>
      </c>
      <c r="E6" s="169" t="s">
        <v>478</v>
      </c>
      <c r="F6" s="170" t="s">
        <v>51</v>
      </c>
      <c r="G6" s="4"/>
      <c r="H6" s="4"/>
    </row>
    <row r="7" customFormat="false" ht="15" hidden="false" customHeight="false" outlineLevel="0" collapsed="false">
      <c r="A7" s="159" t="s">
        <v>470</v>
      </c>
      <c r="B7" s="160" t="s">
        <v>479</v>
      </c>
      <c r="C7" s="161" t="s">
        <v>480</v>
      </c>
      <c r="D7" s="162" t="s">
        <v>481</v>
      </c>
      <c r="E7" s="163" t="s">
        <v>482</v>
      </c>
      <c r="F7" s="164" t="s">
        <v>51</v>
      </c>
      <c r="G7" s="4"/>
      <c r="H7" s="4"/>
    </row>
    <row r="8" customFormat="false" ht="17.15" hidden="false" customHeight="false" outlineLevel="0" collapsed="false">
      <c r="A8" s="165" t="s">
        <v>470</v>
      </c>
      <c r="B8" s="166" t="s">
        <v>483</v>
      </c>
      <c r="C8" s="171" t="s">
        <v>484</v>
      </c>
      <c r="D8" s="168" t="s">
        <v>485</v>
      </c>
      <c r="E8" s="169" t="s">
        <v>109</v>
      </c>
      <c r="F8" s="170" t="s">
        <v>51</v>
      </c>
      <c r="G8" s="4"/>
      <c r="H8" s="4"/>
    </row>
    <row r="9" customFormat="false" ht="15" hidden="false" customHeight="false" outlineLevel="0" collapsed="false">
      <c r="A9" s="159" t="s">
        <v>470</v>
      </c>
      <c r="B9" s="160" t="s">
        <v>486</v>
      </c>
      <c r="C9" s="161" t="s">
        <v>487</v>
      </c>
      <c r="D9" s="162" t="s">
        <v>488</v>
      </c>
      <c r="E9" s="163" t="s">
        <v>482</v>
      </c>
      <c r="F9" s="164" t="s">
        <v>51</v>
      </c>
      <c r="G9" s="4"/>
      <c r="H9" s="4"/>
    </row>
    <row r="10" customFormat="false" ht="17.15" hidden="false" customHeight="false" outlineLevel="0" collapsed="false">
      <c r="A10" s="165" t="s">
        <v>470</v>
      </c>
      <c r="B10" s="166" t="s">
        <v>489</v>
      </c>
      <c r="C10" s="167" t="s">
        <v>490</v>
      </c>
      <c r="D10" s="168" t="s">
        <v>491</v>
      </c>
      <c r="E10" s="169" t="s">
        <v>492</v>
      </c>
      <c r="F10" s="170" t="s">
        <v>51</v>
      </c>
      <c r="G10" s="4"/>
      <c r="H10" s="4"/>
    </row>
    <row r="11" customFormat="false" ht="15" hidden="false" customHeight="false" outlineLevel="0" collapsed="false">
      <c r="A11" s="159" t="s">
        <v>470</v>
      </c>
      <c r="B11" s="160" t="s">
        <v>493</v>
      </c>
      <c r="C11" s="161" t="s">
        <v>494</v>
      </c>
      <c r="D11" s="162" t="s">
        <v>495</v>
      </c>
      <c r="E11" s="163" t="s">
        <v>478</v>
      </c>
      <c r="F11" s="164" t="s">
        <v>54</v>
      </c>
      <c r="G11" s="4"/>
      <c r="H11" s="4"/>
    </row>
    <row r="12" customFormat="false" ht="15" hidden="false" customHeight="false" outlineLevel="0" collapsed="false">
      <c r="A12" s="165" t="s">
        <v>496</v>
      </c>
      <c r="B12" s="166" t="s">
        <v>497</v>
      </c>
      <c r="C12" s="167" t="s">
        <v>498</v>
      </c>
      <c r="D12" s="168" t="s">
        <v>499</v>
      </c>
      <c r="E12" s="169" t="s">
        <v>500</v>
      </c>
      <c r="F12" s="170" t="s">
        <v>51</v>
      </c>
      <c r="G12" s="4"/>
      <c r="H12" s="4"/>
    </row>
    <row r="13" customFormat="false" ht="15" hidden="false" customHeight="false" outlineLevel="0" collapsed="false">
      <c r="A13" s="159" t="s">
        <v>496</v>
      </c>
      <c r="B13" s="160" t="s">
        <v>501</v>
      </c>
      <c r="C13" s="161" t="s">
        <v>502</v>
      </c>
      <c r="D13" s="162" t="s">
        <v>503</v>
      </c>
      <c r="E13" s="163" t="s">
        <v>504</v>
      </c>
      <c r="F13" s="164" t="s">
        <v>51</v>
      </c>
      <c r="G13" s="4"/>
      <c r="H13" s="4"/>
    </row>
    <row r="14" customFormat="false" ht="15" hidden="false" customHeight="false" outlineLevel="0" collapsed="false">
      <c r="A14" s="165" t="s">
        <v>496</v>
      </c>
      <c r="B14" s="166" t="s">
        <v>505</v>
      </c>
      <c r="C14" s="167" t="s">
        <v>506</v>
      </c>
      <c r="D14" s="168" t="s">
        <v>507</v>
      </c>
      <c r="E14" s="169" t="s">
        <v>504</v>
      </c>
      <c r="F14" s="170" t="s">
        <v>51</v>
      </c>
      <c r="G14" s="4"/>
      <c r="H14" s="4"/>
    </row>
    <row r="15" customFormat="false" ht="15" hidden="false" customHeight="false" outlineLevel="0" collapsed="false">
      <c r="A15" s="159" t="s">
        <v>496</v>
      </c>
      <c r="B15" s="160" t="s">
        <v>508</v>
      </c>
      <c r="C15" s="161" t="s">
        <v>509</v>
      </c>
      <c r="D15" s="162" t="s">
        <v>510</v>
      </c>
      <c r="E15" s="163" t="s">
        <v>511</v>
      </c>
      <c r="F15" s="164" t="s">
        <v>51</v>
      </c>
      <c r="G15" s="4"/>
      <c r="H15" s="4"/>
    </row>
    <row r="16" customFormat="false" ht="15" hidden="false" customHeight="false" outlineLevel="0" collapsed="false">
      <c r="A16" s="165" t="s">
        <v>496</v>
      </c>
      <c r="B16" s="166" t="s">
        <v>512</v>
      </c>
      <c r="C16" s="167" t="s">
        <v>513</v>
      </c>
      <c r="D16" s="168" t="s">
        <v>514</v>
      </c>
      <c r="E16" s="169" t="s">
        <v>515</v>
      </c>
      <c r="F16" s="170" t="s">
        <v>51</v>
      </c>
      <c r="G16" s="4"/>
      <c r="H16" s="4"/>
    </row>
    <row r="17" customFormat="false" ht="15" hidden="false" customHeight="false" outlineLevel="0" collapsed="false">
      <c r="A17" s="159" t="s">
        <v>496</v>
      </c>
      <c r="B17" s="160" t="s">
        <v>516</v>
      </c>
      <c r="C17" s="161" t="s">
        <v>517</v>
      </c>
      <c r="D17" s="162" t="s">
        <v>518</v>
      </c>
      <c r="E17" s="163" t="s">
        <v>519</v>
      </c>
      <c r="F17" s="164" t="s">
        <v>51</v>
      </c>
      <c r="G17" s="4"/>
      <c r="H17" s="4"/>
    </row>
    <row r="18" customFormat="false" ht="17.15" hidden="false" customHeight="false" outlineLevel="0" collapsed="false">
      <c r="A18" s="165" t="s">
        <v>496</v>
      </c>
      <c r="B18" s="166" t="s">
        <v>520</v>
      </c>
      <c r="C18" s="167" t="s">
        <v>521</v>
      </c>
      <c r="D18" s="168" t="s">
        <v>522</v>
      </c>
      <c r="E18" s="169" t="s">
        <v>109</v>
      </c>
      <c r="F18" s="170" t="s">
        <v>51</v>
      </c>
      <c r="G18" s="4"/>
      <c r="H18" s="4"/>
    </row>
    <row r="19" customFormat="false" ht="15" hidden="false" customHeight="false" outlineLevel="0" collapsed="false">
      <c r="A19" s="159" t="s">
        <v>496</v>
      </c>
      <c r="B19" s="160" t="s">
        <v>523</v>
      </c>
      <c r="C19" s="161" t="s">
        <v>524</v>
      </c>
      <c r="D19" s="162" t="s">
        <v>525</v>
      </c>
      <c r="E19" s="163" t="s">
        <v>504</v>
      </c>
      <c r="F19" s="164" t="s">
        <v>54</v>
      </c>
      <c r="G19" s="4"/>
      <c r="H19" s="4"/>
    </row>
    <row r="20" customFormat="false" ht="15" hidden="false" customHeight="false" outlineLevel="0" collapsed="false">
      <c r="A20" s="165" t="s">
        <v>496</v>
      </c>
      <c r="B20" s="166" t="s">
        <v>526</v>
      </c>
      <c r="C20" s="167" t="s">
        <v>527</v>
      </c>
      <c r="D20" s="168" t="s">
        <v>528</v>
      </c>
      <c r="E20" s="169" t="s">
        <v>529</v>
      </c>
      <c r="F20" s="170" t="s">
        <v>54</v>
      </c>
      <c r="G20" s="4"/>
      <c r="H20" s="4"/>
    </row>
    <row r="21" customFormat="false" ht="15" hidden="false" customHeight="false" outlineLevel="0" collapsed="false">
      <c r="A21" s="159" t="s">
        <v>530</v>
      </c>
      <c r="B21" s="160" t="s">
        <v>531</v>
      </c>
      <c r="C21" s="161" t="s">
        <v>532</v>
      </c>
      <c r="D21" s="162" t="s">
        <v>533</v>
      </c>
      <c r="E21" s="163" t="s">
        <v>534</v>
      </c>
      <c r="F21" s="164" t="s">
        <v>51</v>
      </c>
      <c r="G21" s="4"/>
      <c r="H21" s="4"/>
    </row>
    <row r="22" customFormat="false" ht="26.85" hidden="false" customHeight="false" outlineLevel="0" collapsed="false">
      <c r="A22" s="165" t="s">
        <v>530</v>
      </c>
      <c r="B22" s="172" t="s">
        <v>535</v>
      </c>
      <c r="C22" s="167" t="s">
        <v>536</v>
      </c>
      <c r="D22" s="173" t="s">
        <v>537</v>
      </c>
      <c r="E22" s="169" t="s">
        <v>109</v>
      </c>
      <c r="F22" s="170" t="s">
        <v>51</v>
      </c>
      <c r="G22" s="4"/>
      <c r="H22" s="4"/>
    </row>
    <row r="23" customFormat="false" ht="15" hidden="false" customHeight="false" outlineLevel="0" collapsed="false">
      <c r="A23" s="159" t="s">
        <v>530</v>
      </c>
      <c r="B23" s="160" t="s">
        <v>538</v>
      </c>
      <c r="C23" s="161" t="s">
        <v>539</v>
      </c>
      <c r="D23" s="162" t="s">
        <v>540</v>
      </c>
      <c r="E23" s="163" t="s">
        <v>109</v>
      </c>
      <c r="F23" s="164" t="s">
        <v>51</v>
      </c>
      <c r="G23" s="4"/>
      <c r="H23" s="4"/>
    </row>
    <row r="24" customFormat="false" ht="15" hidden="false" customHeight="false" outlineLevel="0" collapsed="false">
      <c r="A24" s="165" t="s">
        <v>530</v>
      </c>
      <c r="B24" s="166" t="s">
        <v>541</v>
      </c>
      <c r="C24" s="167" t="s">
        <v>542</v>
      </c>
      <c r="D24" s="168" t="s">
        <v>543</v>
      </c>
      <c r="E24" s="169" t="s">
        <v>534</v>
      </c>
      <c r="F24" s="170" t="s">
        <v>51</v>
      </c>
      <c r="G24" s="4"/>
      <c r="H24" s="4"/>
    </row>
    <row r="25" customFormat="false" ht="15" hidden="false" customHeight="false" outlineLevel="0" collapsed="false">
      <c r="A25" s="159" t="s">
        <v>530</v>
      </c>
      <c r="B25" s="160" t="s">
        <v>544</v>
      </c>
      <c r="C25" s="161" t="s">
        <v>545</v>
      </c>
      <c r="D25" s="162" t="s">
        <v>546</v>
      </c>
      <c r="E25" s="163" t="s">
        <v>534</v>
      </c>
      <c r="F25" s="164" t="s">
        <v>51</v>
      </c>
      <c r="G25" s="4"/>
      <c r="H25" s="4"/>
    </row>
    <row r="26" customFormat="false" ht="15" hidden="false" customHeight="false" outlineLevel="0" collapsed="false">
      <c r="A26" s="165" t="s">
        <v>530</v>
      </c>
      <c r="B26" s="166" t="s">
        <v>547</v>
      </c>
      <c r="C26" s="167" t="s">
        <v>548</v>
      </c>
      <c r="D26" s="168" t="s">
        <v>549</v>
      </c>
      <c r="E26" s="169" t="s">
        <v>478</v>
      </c>
      <c r="F26" s="170" t="s">
        <v>51</v>
      </c>
      <c r="G26" s="4"/>
      <c r="H26" s="4"/>
    </row>
    <row r="27" customFormat="false" ht="17.15" hidden="false" customHeight="false" outlineLevel="0" collapsed="false">
      <c r="A27" s="159" t="s">
        <v>530</v>
      </c>
      <c r="B27" s="174" t="s">
        <v>550</v>
      </c>
      <c r="C27" s="161" t="s">
        <v>551</v>
      </c>
      <c r="D27" s="162" t="s">
        <v>552</v>
      </c>
      <c r="E27" s="163" t="s">
        <v>109</v>
      </c>
      <c r="F27" s="164" t="s">
        <v>51</v>
      </c>
      <c r="G27" s="4"/>
      <c r="H27" s="4"/>
    </row>
    <row r="28" customFormat="false" ht="15" hidden="false" customHeight="false" outlineLevel="0" collapsed="false">
      <c r="A28" s="165" t="s">
        <v>530</v>
      </c>
      <c r="B28" s="166" t="s">
        <v>553</v>
      </c>
      <c r="C28" s="167" t="s">
        <v>554</v>
      </c>
      <c r="D28" s="168" t="s">
        <v>109</v>
      </c>
      <c r="E28" s="169" t="s">
        <v>534</v>
      </c>
      <c r="F28" s="170" t="s">
        <v>51</v>
      </c>
      <c r="G28" s="4"/>
      <c r="H28" s="4"/>
    </row>
    <row r="29" customFormat="false" ht="17.15" hidden="false" customHeight="false" outlineLevel="0" collapsed="false">
      <c r="A29" s="159" t="s">
        <v>555</v>
      </c>
      <c r="B29" s="174" t="s">
        <v>556</v>
      </c>
      <c r="C29" s="161" t="s">
        <v>557</v>
      </c>
      <c r="D29" s="162" t="s">
        <v>558</v>
      </c>
      <c r="E29" s="163" t="s">
        <v>109</v>
      </c>
      <c r="F29" s="164" t="s">
        <v>51</v>
      </c>
      <c r="G29" s="4"/>
      <c r="H29" s="4"/>
    </row>
    <row r="30" customFormat="false" ht="17.15" hidden="false" customHeight="false" outlineLevel="0" collapsed="false">
      <c r="A30" s="165" t="s">
        <v>555</v>
      </c>
      <c r="B30" s="172" t="s">
        <v>559</v>
      </c>
      <c r="C30" s="167" t="s">
        <v>560</v>
      </c>
      <c r="D30" s="168" t="s">
        <v>561</v>
      </c>
      <c r="E30" s="169" t="s">
        <v>109</v>
      </c>
      <c r="F30" s="170" t="s">
        <v>51</v>
      </c>
      <c r="G30" s="4"/>
      <c r="H30" s="4"/>
    </row>
    <row r="31" customFormat="false" ht="15" hidden="false" customHeight="false" outlineLevel="0" collapsed="false">
      <c r="A31" s="159" t="s">
        <v>555</v>
      </c>
      <c r="B31" s="160" t="s">
        <v>562</v>
      </c>
      <c r="C31" s="161" t="s">
        <v>563</v>
      </c>
      <c r="D31" s="162" t="s">
        <v>564</v>
      </c>
      <c r="E31" s="163" t="s">
        <v>109</v>
      </c>
      <c r="F31" s="164" t="s">
        <v>51</v>
      </c>
      <c r="G31" s="4"/>
      <c r="H31" s="4"/>
    </row>
    <row r="32" customFormat="false" ht="15" hidden="false" customHeight="false" outlineLevel="0" collapsed="false">
      <c r="A32" s="165" t="s">
        <v>555</v>
      </c>
      <c r="B32" s="166" t="s">
        <v>565</v>
      </c>
      <c r="C32" s="167" t="s">
        <v>566</v>
      </c>
      <c r="D32" s="168" t="s">
        <v>567</v>
      </c>
      <c r="E32" s="169" t="s">
        <v>568</v>
      </c>
      <c r="F32" s="170" t="s">
        <v>51</v>
      </c>
      <c r="G32" s="4"/>
      <c r="H32" s="4"/>
    </row>
    <row r="33" customFormat="false" ht="15" hidden="false" customHeight="false" outlineLevel="0" collapsed="false">
      <c r="A33" s="159" t="s">
        <v>555</v>
      </c>
      <c r="B33" s="160" t="s">
        <v>569</v>
      </c>
      <c r="C33" s="161" t="s">
        <v>570</v>
      </c>
      <c r="D33" s="162" t="s">
        <v>571</v>
      </c>
      <c r="E33" s="163" t="s">
        <v>534</v>
      </c>
      <c r="F33" s="164" t="s">
        <v>51</v>
      </c>
      <c r="G33" s="4"/>
      <c r="H33" s="4"/>
    </row>
    <row r="34" customFormat="false" ht="15" hidden="false" customHeight="false" outlineLevel="0" collapsed="false">
      <c r="A34" s="165" t="s">
        <v>555</v>
      </c>
      <c r="B34" s="166" t="s">
        <v>572</v>
      </c>
      <c r="C34" s="167" t="s">
        <v>573</v>
      </c>
      <c r="D34" s="168" t="s">
        <v>574</v>
      </c>
      <c r="E34" s="169" t="s">
        <v>109</v>
      </c>
      <c r="F34" s="170" t="s">
        <v>51</v>
      </c>
      <c r="G34" s="4"/>
      <c r="H34" s="4"/>
    </row>
    <row r="35" customFormat="false" ht="15" hidden="false" customHeight="false" outlineLevel="0" collapsed="false">
      <c r="A35" s="159" t="s">
        <v>575</v>
      </c>
      <c r="B35" s="160" t="s">
        <v>576</v>
      </c>
      <c r="C35" s="161" t="s">
        <v>577</v>
      </c>
      <c r="D35" s="162" t="s">
        <v>578</v>
      </c>
      <c r="E35" s="163" t="s">
        <v>579</v>
      </c>
      <c r="F35" s="164" t="s">
        <v>51</v>
      </c>
      <c r="G35" s="4"/>
      <c r="H35" s="4"/>
    </row>
    <row r="36" customFormat="false" ht="17.15" hidden="false" customHeight="false" outlineLevel="0" collapsed="false">
      <c r="A36" s="165" t="s">
        <v>575</v>
      </c>
      <c r="B36" s="166" t="s">
        <v>580</v>
      </c>
      <c r="C36" s="167" t="s">
        <v>581</v>
      </c>
      <c r="D36" s="168" t="s">
        <v>582</v>
      </c>
      <c r="E36" s="175" t="s">
        <v>583</v>
      </c>
      <c r="F36" s="170" t="s">
        <v>54</v>
      </c>
      <c r="G36" s="4"/>
      <c r="H36" s="4"/>
    </row>
    <row r="37" customFormat="false" ht="17.15" hidden="false" customHeight="false" outlineLevel="0" collapsed="false">
      <c r="A37" s="159" t="s">
        <v>575</v>
      </c>
      <c r="B37" s="174" t="s">
        <v>584</v>
      </c>
      <c r="C37" s="161" t="s">
        <v>585</v>
      </c>
      <c r="D37" s="162" t="s">
        <v>586</v>
      </c>
      <c r="E37" s="163" t="s">
        <v>534</v>
      </c>
      <c r="F37" s="164" t="s">
        <v>51</v>
      </c>
      <c r="G37" s="4"/>
      <c r="H37" s="4"/>
    </row>
    <row r="38" customFormat="false" ht="17.15" hidden="false" customHeight="false" outlineLevel="0" collapsed="false">
      <c r="A38" s="165" t="s">
        <v>587</v>
      </c>
      <c r="B38" s="172" t="s">
        <v>588</v>
      </c>
      <c r="C38" s="167" t="s">
        <v>589</v>
      </c>
      <c r="D38" s="168" t="s">
        <v>590</v>
      </c>
      <c r="E38" s="169" t="s">
        <v>591</v>
      </c>
      <c r="F38" s="170" t="s">
        <v>51</v>
      </c>
      <c r="G38" s="4"/>
      <c r="H38" s="4"/>
    </row>
    <row r="39" customFormat="false" ht="17.15" hidden="false" customHeight="false" outlineLevel="0" collapsed="false">
      <c r="A39" s="159" t="s">
        <v>587</v>
      </c>
      <c r="B39" s="160" t="s">
        <v>592</v>
      </c>
      <c r="C39" s="161" t="s">
        <v>593</v>
      </c>
      <c r="D39" s="162" t="s">
        <v>594</v>
      </c>
      <c r="E39" s="163" t="s">
        <v>504</v>
      </c>
      <c r="F39" s="164" t="s">
        <v>51</v>
      </c>
      <c r="G39" s="4"/>
      <c r="H39" s="4"/>
    </row>
    <row r="40" customFormat="false" ht="17.15" hidden="false" customHeight="false" outlineLevel="0" collapsed="false">
      <c r="A40" s="165" t="s">
        <v>587</v>
      </c>
      <c r="B40" s="166" t="s">
        <v>595</v>
      </c>
      <c r="C40" s="167" t="s">
        <v>596</v>
      </c>
      <c r="D40" s="168" t="s">
        <v>597</v>
      </c>
      <c r="E40" s="169" t="s">
        <v>598</v>
      </c>
      <c r="F40" s="170" t="s">
        <v>54</v>
      </c>
      <c r="G40" s="4"/>
      <c r="H40" s="4"/>
    </row>
    <row r="41" customFormat="false" ht="17.15" hidden="false" customHeight="false" outlineLevel="0" collapsed="false">
      <c r="A41" s="159" t="s">
        <v>587</v>
      </c>
      <c r="B41" s="160" t="s">
        <v>599</v>
      </c>
      <c r="C41" s="161" t="s">
        <v>600</v>
      </c>
      <c r="D41" s="162" t="s">
        <v>601</v>
      </c>
      <c r="E41" s="163" t="s">
        <v>109</v>
      </c>
      <c r="F41" s="164" t="s">
        <v>51</v>
      </c>
      <c r="G41" s="4"/>
      <c r="H41" s="4"/>
    </row>
    <row r="42" customFormat="false" ht="17.15" hidden="false" customHeight="false" outlineLevel="0" collapsed="false">
      <c r="A42" s="165" t="s">
        <v>587</v>
      </c>
      <c r="B42" s="166" t="s">
        <v>602</v>
      </c>
      <c r="C42" s="167" t="s">
        <v>603</v>
      </c>
      <c r="D42" s="168" t="s">
        <v>109</v>
      </c>
      <c r="E42" s="169" t="s">
        <v>109</v>
      </c>
      <c r="F42" s="170" t="s">
        <v>51</v>
      </c>
      <c r="G42" s="4"/>
      <c r="H42" s="4"/>
    </row>
    <row r="43" customFormat="false" ht="15" hidden="false" customHeight="false" outlineLevel="0" collapsed="false">
      <c r="A43" s="159" t="s">
        <v>587</v>
      </c>
      <c r="B43" s="160" t="s">
        <v>604</v>
      </c>
      <c r="C43" s="161" t="s">
        <v>605</v>
      </c>
      <c r="D43" s="162" t="s">
        <v>109</v>
      </c>
      <c r="E43" s="163" t="s">
        <v>109</v>
      </c>
      <c r="F43" s="164" t="s">
        <v>51</v>
      </c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9.4" hidden="false" customHeight="false" outlineLevel="0" collapsed="false">
      <c r="A45" s="176" t="s">
        <v>606</v>
      </c>
      <c r="B45" s="4"/>
      <c r="C45" s="4"/>
      <c r="D45" s="4"/>
      <c r="E45" s="4"/>
      <c r="F45" s="4"/>
      <c r="G45" s="4"/>
      <c r="H45" s="4"/>
    </row>
    <row r="46" customFormat="false" ht="17.15" hidden="false" customHeight="false" outlineLevel="0" collapsed="false">
      <c r="A46" s="142" t="s">
        <v>607</v>
      </c>
      <c r="B46" s="142"/>
      <c r="C46" s="142"/>
      <c r="D46" s="142"/>
      <c r="E46" s="142"/>
      <c r="F46" s="142"/>
      <c r="G46" s="4"/>
      <c r="H46" s="4"/>
    </row>
    <row r="47" customFormat="false" ht="17.15" hidden="false" customHeight="false" outlineLevel="0" collapsed="false">
      <c r="A47" s="142" t="s">
        <v>608</v>
      </c>
      <c r="B47" s="142"/>
      <c r="C47" s="142"/>
      <c r="D47" s="142"/>
      <c r="E47" s="142"/>
      <c r="F47" s="142"/>
      <c r="G47" s="4"/>
      <c r="H47" s="4"/>
    </row>
    <row r="48" customFormat="false" ht="17.15" hidden="false" customHeight="false" outlineLevel="0" collapsed="false">
      <c r="A48" s="142" t="s">
        <v>609</v>
      </c>
      <c r="B48" s="142"/>
      <c r="C48" s="142"/>
      <c r="D48" s="142"/>
      <c r="E48" s="142"/>
      <c r="F48" s="142"/>
      <c r="G48" s="4"/>
      <c r="H48" s="4"/>
    </row>
    <row r="49" customFormat="false" ht="17.15" hidden="false" customHeight="false" outlineLevel="0" collapsed="false">
      <c r="A49" s="93" t="s">
        <v>610</v>
      </c>
      <c r="B49" s="93"/>
      <c r="C49" s="93"/>
      <c r="D49" s="93"/>
      <c r="E49" s="93"/>
      <c r="F49" s="93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</row>
  </sheetData>
  <mergeCells count="4"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2026-07-25T22:42:39Z</dcterms:created>
  <dc:creator>openpyxl</dc:creator>
  <dc:description/>
  <dc:language>en-US</dc:language>
  <cp:lastModifiedBy/>
  <dcterms:modified xsi:type="dcterms:W3CDTF">2026-07-26T22:49:55Z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