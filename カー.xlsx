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2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はじめに" sheetId="1" state="visible" r:id="rId3"/>
    <sheet name="01_測定条件の設計" sheetId="2" state="visible" r:id="rId4"/>
    <sheet name="02_窓関数の選定" sheetId="3" state="visible" r:id="rId5"/>
    <sheet name="03_FRFデータ貼付" sheetId="4" state="visible" r:id="rId6"/>
    <sheet name="04_モード数の確認" sheetId="5" state="visible" r:id="rId7"/>
    <sheet name="05_半値幅法_SDOF" sheetId="6" state="visible" r:id="rId8"/>
    <sheet name="06_RFP設計行列" sheetId="7" state="visible" r:id="rId9"/>
    <sheet name="07_RFP係数の解" sheetId="8" state="visible" r:id="rId10"/>
    <sheet name="08_極の分離_ニュートン法" sheetId="9" state="visible" r:id="rId11"/>
    <sheet name="09_モーダル諸元" sheetId="10" state="visible" r:id="rId12"/>
    <sheet name="10_レジデュー_MEscope" sheetId="11" state="visible" r:id="rId13"/>
    <sheet name="11_合成FRFの照合" sheetId="12" state="visible" r:id="rId14"/>
    <sheet name="12_MEscope数式集" sheetId="13" state="visible" r:id="rId15"/>
    <sheet name="13_手法の比較" sheetId="14" state="visible" r:id="rId16"/>
    <sheet name="14_用語集" sheetId="15" state="visible" r:id="rId17"/>
    <sheet name="15_よくあるミス" sheetId="16" state="visible" r:id="rId18"/>
    <sheet name="16_検算用サンプルデータ" sheetId="17" state="visible" r:id="rId19"/>
    <sheet name="17_FRF単位換算" sheetId="18" state="visible" r:id="rId20"/>
    <sheet name="18_測定記録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<sst xmlns="http://schemas.openxmlformats.org/spreadsheetml/2006/main" count="1125" uniqueCount="1039">
  <si>
    <r>
      <rPr>
        <b val="true"/>
        <sz val="15"/>
        <color rgb="FF5AD4FF"/>
        <rFont val="Noto Sans CJK SC"/>
        <family val="2"/>
      </rPr>
      <t xml:space="preserve">🔬 ブレーキパッド </t>
    </r>
    <r>
      <rPr>
        <b val="true"/>
        <sz val="15"/>
        <color rgb="FF5AD4FF"/>
        <rFont val="Arial"/>
        <family val="0"/>
        <charset val="1"/>
      </rPr>
      <t xml:space="preserve">EMA</t>
    </r>
    <r>
      <rPr>
        <b val="true"/>
        <sz val="15"/>
        <color rgb="FF5AD4FF"/>
        <rFont val="Noto Sans CJK SC"/>
        <family val="2"/>
      </rPr>
      <t xml:space="preserve">｜カーブフィット・窓関数・</t>
    </r>
    <r>
      <rPr>
        <b val="true"/>
        <sz val="15"/>
        <color rgb="FF5AD4FF"/>
        <rFont val="Arial"/>
        <family val="0"/>
        <charset val="1"/>
      </rPr>
      <t xml:space="preserve">Excel</t>
    </r>
    <r>
      <rPr>
        <b val="true"/>
        <sz val="15"/>
        <color rgb="FF5AD4FF"/>
        <rFont val="Noto Sans CJK SC"/>
        <family val="2"/>
      </rPr>
      <t xml:space="preserve">解析ブック</t>
    </r>
  </si>
  <si>
    <r>
      <rPr>
        <sz val="9"/>
        <color rgb="FF9AA7B5"/>
        <rFont val="Noto Sans CJK SC"/>
        <family val="2"/>
      </rPr>
      <t xml:space="preserve">ハンマリング </t>
    </r>
    <r>
      <rPr>
        <sz val="9"/>
        <color rgb="FF9AA7B5"/>
        <rFont val="Arial"/>
        <family val="0"/>
        <charset val="1"/>
      </rPr>
      <t xml:space="preserve">/ PSV-400 / RION SA-01A4  →  RFP</t>
    </r>
    <r>
      <rPr>
        <sz val="9"/>
        <color rgb="FF9AA7B5"/>
        <rFont val="Noto Sans CJK SC"/>
        <family val="2"/>
      </rPr>
      <t xml:space="preserve">法によるモード分離（双子モード対応）  ｜  </t>
    </r>
    <r>
      <rPr>
        <sz val="9"/>
        <color rgb="FF9AA7B5"/>
        <rFont val="Arial"/>
        <family val="0"/>
        <charset val="1"/>
      </rPr>
      <t xml:space="preserve">ME'scopeVES </t>
    </r>
    <r>
      <rPr>
        <sz val="9"/>
        <color rgb="FF9AA7B5"/>
        <rFont val="Noto Sans CJK SC"/>
        <family val="2"/>
      </rPr>
      <t xml:space="preserve">準拠の数式つき</t>
    </r>
  </si>
  <si>
    <r>
      <rPr>
        <b val="true"/>
        <sz val="11.5"/>
        <color rgb="FFFFB454"/>
        <rFont val="Noto Sans CJK SC"/>
        <family val="2"/>
      </rPr>
      <t xml:space="preserve">■ このブックの使い方（</t>
    </r>
    <r>
      <rPr>
        <b val="true"/>
        <sz val="11.5"/>
        <color rgb="FFFFB454"/>
        <rFont val="Arial"/>
        <family val="0"/>
        <charset val="1"/>
      </rPr>
      <t xml:space="preserve">3</t>
    </r>
    <r>
      <rPr>
        <b val="true"/>
        <sz val="11.5"/>
        <color rgb="FFFFB454"/>
        <rFont val="Noto Sans CJK SC"/>
        <family val="2"/>
      </rPr>
      <t xml:space="preserve">行で）</t>
    </r>
  </si>
  <si>
    <t xml:space="preserve">①</t>
  </si>
  <si>
    <t xml:space="preserve">黄色いセルにだけ数字を入れる。緑のセルが答え。白（灰）のセルは触らない。</t>
  </si>
  <si>
    <t xml:space="preserve">②</t>
  </si>
  <si>
    <t xml:space="preserve">シートは左から右へ、番号順に進めば必ず答えにたどり着きます。</t>
  </si>
  <si>
    <t xml:space="preserve">③</t>
  </si>
  <si>
    <r>
      <rPr>
        <sz val="10"/>
        <color rgb="FFDBE2EA"/>
        <rFont val="Noto Sans CJK SC"/>
        <family val="2"/>
      </rPr>
      <t xml:space="preserve">まず「</t>
    </r>
    <r>
      <rPr>
        <sz val="10"/>
        <color rgb="FFDBE2EA"/>
        <rFont val="Arial"/>
        <family val="0"/>
        <charset val="1"/>
      </rPr>
      <t xml:space="preserve">16_</t>
    </r>
    <r>
      <rPr>
        <sz val="10"/>
        <color rgb="FFDBE2EA"/>
        <rFont val="Noto Sans CJK SC"/>
        <family val="2"/>
      </rPr>
      <t xml:space="preserve">検算用サンプルデータ」で練習 → 正解が出たら本番データに差し替え。</t>
    </r>
  </si>
  <si>
    <t xml:space="preserve">■ セルの色のルール（これだけ覚えれば迷いません）</t>
  </si>
  <si>
    <t xml:space="preserve">色</t>
  </si>
  <si>
    <t xml:space="preserve">意味</t>
  </si>
  <si>
    <t xml:space="preserve">やること</t>
  </si>
  <si>
    <t xml:space="preserve">黄色（濃い金色の背景）</t>
  </si>
  <si>
    <t xml:space="preserve">あなたが入力する場所</t>
  </si>
  <si>
    <t xml:space="preserve">測定値・推定値をここに打ち込む</t>
  </si>
  <si>
    <t xml:space="preserve">緑（深緑の背景）</t>
  </si>
  <si>
    <t xml:space="preserve">最終的な答え</t>
  </si>
  <si>
    <t xml:space="preserve">読むだけ。書き換えない</t>
  </si>
  <si>
    <t xml:space="preserve">灰色（濃紺の背景）</t>
  </si>
  <si>
    <t xml:space="preserve">途中計算</t>
  </si>
  <si>
    <t xml:space="preserve">読むだけ。書き換えると壊れます</t>
  </si>
  <si>
    <t xml:space="preserve">赤（暗赤の背景）</t>
  </si>
  <si>
    <t xml:space="preserve">警告・注意</t>
  </si>
  <si>
    <t xml:space="preserve">出たら必ず本文の指示に従う</t>
  </si>
  <si>
    <t xml:space="preserve">■ 作業の流れ（シート順＝作業順です）</t>
  </si>
  <si>
    <t xml:space="preserve">#</t>
  </si>
  <si>
    <t xml:space="preserve">シート名</t>
  </si>
  <si>
    <t xml:space="preserve">そこで何をするか</t>
  </si>
  <si>
    <t xml:space="preserve">入力するもの</t>
  </si>
  <si>
    <t xml:space="preserve">出てくるもの</t>
  </si>
  <si>
    <t xml:space="preserve">01</t>
  </si>
  <si>
    <r>
      <rPr>
        <b val="true"/>
        <sz val="9.5"/>
        <color rgb="FF5AD4FF"/>
        <rFont val="Arial"/>
        <family val="0"/>
        <charset val="1"/>
      </rPr>
      <t xml:space="preserve">01_</t>
    </r>
    <r>
      <rPr>
        <b val="true"/>
        <sz val="9.5"/>
        <color rgb="FF5AD4FF"/>
        <rFont val="Noto Sans CJK SC"/>
        <family val="2"/>
      </rPr>
      <t xml:space="preserve">測定条件の設計</t>
    </r>
  </si>
  <si>
    <t xml:space="preserve">窓を使わずに済む測定条件（記録時間・点数）を決める</t>
  </si>
  <si>
    <r>
      <rPr>
        <sz val="9.5"/>
        <color rgb="FFDBE2EA"/>
        <rFont val="Noto Sans CJK SC"/>
        <family val="2"/>
      </rPr>
      <t xml:space="preserve">予想 </t>
    </r>
    <r>
      <rPr>
        <sz val="9.5"/>
        <color rgb="FFDBE2EA"/>
        <rFont val="Arial"/>
        <family val="0"/>
        <charset val="1"/>
      </rPr>
      <t xml:space="preserve">fn</t>
    </r>
    <r>
      <rPr>
        <sz val="9.5"/>
        <color rgb="FFDBE2EA"/>
        <rFont val="Noto Sans CJK SC"/>
        <family val="2"/>
      </rPr>
      <t xml:space="preserve">・予想 </t>
    </r>
    <r>
      <rPr>
        <sz val="9.5"/>
        <color rgb="FFDBE2EA"/>
        <rFont val="Arial"/>
        <family val="0"/>
        <charset val="1"/>
      </rPr>
      <t xml:space="preserve">η</t>
    </r>
    <r>
      <rPr>
        <sz val="9.5"/>
        <color rgb="FFDBE2EA"/>
        <rFont val="Noto Sans CJK SC"/>
        <family val="2"/>
      </rPr>
      <t xml:space="preserve">・解析レンジ</t>
    </r>
  </si>
  <si>
    <r>
      <rPr>
        <sz val="9.5"/>
        <color rgb="FFDBE2EA"/>
        <rFont val="Noto Sans CJK SC"/>
        <family val="2"/>
      </rPr>
      <t xml:space="preserve">必要記録時間 </t>
    </r>
    <r>
      <rPr>
        <sz val="9.5"/>
        <color rgb="FFDBE2EA"/>
        <rFont val="Arial"/>
        <family val="0"/>
        <charset val="1"/>
      </rPr>
      <t xml:space="preserve">t</t>
    </r>
    <r>
      <rPr>
        <sz val="9.5"/>
        <color rgb="FFDBE2EA"/>
        <rFont val="Noto Sans CJK SC"/>
        <family val="2"/>
      </rPr>
      <t xml:space="preserve">、選ぶべき </t>
    </r>
    <r>
      <rPr>
        <sz val="9.5"/>
        <color rgb="FFDBE2EA"/>
        <rFont val="Arial"/>
        <family val="0"/>
        <charset val="1"/>
      </rPr>
      <t xml:space="preserve">N</t>
    </r>
    <r>
      <rPr>
        <sz val="9.5"/>
        <color rgb="FFDBE2EA"/>
        <rFont val="Noto Sans CJK SC"/>
        <family val="2"/>
      </rPr>
      <t xml:space="preserve">、</t>
    </r>
    <r>
      <rPr>
        <sz val="9.5"/>
        <color rgb="FFDBE2EA"/>
        <rFont val="Arial"/>
        <family val="0"/>
        <charset val="1"/>
      </rPr>
      <t xml:space="preserve">Δf</t>
    </r>
  </si>
  <si>
    <t xml:space="preserve">02</t>
  </si>
  <si>
    <r>
      <rPr>
        <b val="true"/>
        <sz val="9.5"/>
        <color rgb="FF5AD4FF"/>
        <rFont val="Arial"/>
        <family val="0"/>
        <charset val="1"/>
      </rPr>
      <t xml:space="preserve">02_</t>
    </r>
    <r>
      <rPr>
        <b val="true"/>
        <sz val="9.5"/>
        <color rgb="FF5AD4FF"/>
        <rFont val="Noto Sans CJK SC"/>
        <family val="2"/>
      </rPr>
      <t xml:space="preserve">窓関数の選定</t>
    </r>
  </si>
  <si>
    <t xml:space="preserve">窓が要るか要らないかを判定し、要る場合の補正量を出す</t>
  </si>
  <si>
    <t xml:space="preserve">時間波形の終端の様子、指数窓の終端減衰値</t>
  </si>
  <si>
    <t xml:space="preserve">窓の種類、振幅補正係数、減衰の上乗せ量</t>
  </si>
  <si>
    <t xml:space="preserve">03</t>
  </si>
  <si>
    <r>
      <rPr>
        <b val="true"/>
        <sz val="9.5"/>
        <color rgb="FF5AD4FF"/>
        <rFont val="Arial"/>
        <family val="0"/>
        <charset val="1"/>
      </rPr>
      <t xml:space="preserve">03_FRF</t>
    </r>
    <r>
      <rPr>
        <b val="true"/>
        <sz val="9.5"/>
        <color rgb="FF5AD4FF"/>
        <rFont val="Noto Sans CJK SC"/>
        <family val="2"/>
      </rPr>
      <t xml:space="preserve">データ貼付</t>
    </r>
  </si>
  <si>
    <r>
      <rPr>
        <sz val="9.5"/>
        <color rgb="FFDBE2EA"/>
        <rFont val="Noto Sans CJK SC"/>
        <family val="2"/>
      </rPr>
      <t xml:space="preserve">測った</t>
    </r>
    <r>
      <rPr>
        <sz val="9.5"/>
        <color rgb="FFDBE2EA"/>
        <rFont val="Arial"/>
        <family val="0"/>
        <charset val="1"/>
      </rPr>
      <t xml:space="preserve">FRF</t>
    </r>
    <r>
      <rPr>
        <sz val="9.5"/>
        <color rgb="FFDBE2EA"/>
        <rFont val="Noto Sans CJK SC"/>
        <family val="2"/>
      </rPr>
      <t xml:space="preserve">を貼る（ここが全ての出発点）</t>
    </r>
  </si>
  <si>
    <r>
      <rPr>
        <sz val="9.5"/>
        <color rgb="FFDBE2EA"/>
        <rFont val="Arial"/>
        <family val="0"/>
        <charset val="1"/>
      </rPr>
      <t xml:space="preserve">f [Hz]</t>
    </r>
    <r>
      <rPr>
        <sz val="9.5"/>
        <color rgb="FFDBE2EA"/>
        <rFont val="Noto Sans CJK SC"/>
        <family val="2"/>
      </rPr>
      <t xml:space="preserve">、</t>
    </r>
    <r>
      <rPr>
        <sz val="9.5"/>
        <color rgb="FFDBE2EA"/>
        <rFont val="Arial"/>
        <family val="0"/>
        <charset val="1"/>
      </rPr>
      <t xml:space="preserve">Re(H)</t>
    </r>
    <r>
      <rPr>
        <sz val="9.5"/>
        <color rgb="FFDBE2EA"/>
        <rFont val="Noto Sans CJK SC"/>
        <family val="2"/>
      </rPr>
      <t xml:space="preserve">、</t>
    </r>
    <r>
      <rPr>
        <sz val="9.5"/>
        <color rgb="FFDBE2EA"/>
        <rFont val="Arial"/>
        <family val="0"/>
        <charset val="1"/>
      </rPr>
      <t xml:space="preserve">Im(H) </t>
    </r>
    <r>
      <rPr>
        <sz val="9.5"/>
        <color rgb="FFDBE2EA"/>
        <rFont val="Noto Sans CJK SC"/>
        <family val="2"/>
      </rPr>
      <t xml:space="preserve">の</t>
    </r>
    <r>
      <rPr>
        <sz val="9.5"/>
        <color rgb="FFDBE2EA"/>
        <rFont val="Arial"/>
        <family val="0"/>
        <charset val="1"/>
      </rPr>
      <t xml:space="preserve">3</t>
    </r>
    <r>
      <rPr>
        <sz val="9.5"/>
        <color rgb="FFDBE2EA"/>
        <rFont val="Noto Sans CJK SC"/>
        <family val="2"/>
      </rPr>
      <t xml:space="preserve">列</t>
    </r>
  </si>
  <si>
    <r>
      <rPr>
        <sz val="9.5"/>
        <color rgb="FFDBE2EA"/>
        <rFont val="Noto Sans CJK SC"/>
        <family val="2"/>
      </rPr>
      <t xml:space="preserve">正規化された </t>
    </r>
    <r>
      <rPr>
        <sz val="9.5"/>
        <color rgb="FFDBE2EA"/>
        <rFont val="Arial"/>
        <family val="0"/>
        <charset val="1"/>
      </rPr>
      <t xml:space="preserve">Ω</t>
    </r>
    <r>
      <rPr>
        <sz val="9.5"/>
        <color rgb="FFDBE2EA"/>
        <rFont val="Noto Sans CJK SC"/>
        <family val="2"/>
      </rPr>
      <t xml:space="preserve">・</t>
    </r>
    <r>
      <rPr>
        <sz val="9.5"/>
        <color rgb="FFDBE2EA"/>
        <rFont val="Arial"/>
        <family val="0"/>
        <charset val="1"/>
      </rPr>
      <t xml:space="preserve">Hn</t>
    </r>
    <r>
      <rPr>
        <sz val="9.5"/>
        <color rgb="FFDBE2EA"/>
        <rFont val="Noto Sans CJK SC"/>
        <family val="2"/>
      </rPr>
      <t xml:space="preserve">（自動）</t>
    </r>
  </si>
  <si>
    <t xml:space="preserve">04</t>
  </si>
  <si>
    <r>
      <rPr>
        <b val="true"/>
        <sz val="9.5"/>
        <color rgb="FF5AD4FF"/>
        <rFont val="Arial"/>
        <family val="0"/>
        <charset val="1"/>
      </rPr>
      <t xml:space="preserve">04_</t>
    </r>
    <r>
      <rPr>
        <b val="true"/>
        <sz val="9.5"/>
        <color rgb="FF5AD4FF"/>
        <rFont val="Noto Sans CJK SC"/>
        <family val="2"/>
      </rPr>
      <t xml:space="preserve">モード数の確認</t>
    </r>
  </si>
  <si>
    <t xml:space="preserve">山がいくつあるか数える（＝モード数の決定）</t>
  </si>
  <si>
    <t xml:space="preserve">ピーク判定のしきい値</t>
  </si>
  <si>
    <t xml:space="preserve">ピーク位置と本数</t>
  </si>
  <si>
    <t xml:space="preserve">05</t>
  </si>
  <si>
    <r>
      <rPr>
        <b val="true"/>
        <sz val="9.5"/>
        <color rgb="FF5AD4FF"/>
        <rFont val="Arial"/>
        <family val="0"/>
        <charset val="1"/>
      </rPr>
      <t xml:space="preserve">05_</t>
    </r>
    <r>
      <rPr>
        <b val="true"/>
        <sz val="9.5"/>
        <color rgb="FF5AD4FF"/>
        <rFont val="Noto Sans CJK SC"/>
        <family val="2"/>
      </rPr>
      <t xml:space="preserve">半値幅法</t>
    </r>
    <r>
      <rPr>
        <b val="true"/>
        <sz val="9.5"/>
        <color rgb="FF5AD4FF"/>
        <rFont val="Arial"/>
        <family val="0"/>
        <charset val="1"/>
      </rPr>
      <t xml:space="preserve">_SDOF</t>
    </r>
  </si>
  <si>
    <t xml:space="preserve">一番簡単な方法で当たりを付ける（初期値づくり）</t>
  </si>
  <si>
    <t xml:space="preserve">（自動）</t>
  </si>
  <si>
    <r>
      <rPr>
        <sz val="9.5"/>
        <color rgb="FFDBE2EA"/>
        <rFont val="Noto Sans CJK SC"/>
        <family val="2"/>
      </rPr>
      <t xml:space="preserve">ピーク周波数・</t>
    </r>
    <r>
      <rPr>
        <sz val="9.5"/>
        <color rgb="FFDBE2EA"/>
        <rFont val="Arial"/>
        <family val="0"/>
        <charset val="1"/>
      </rPr>
      <t xml:space="preserve">η</t>
    </r>
    <r>
      <rPr>
        <sz val="9.5"/>
        <color rgb="FFDBE2EA"/>
        <rFont val="Noto Sans CJK SC"/>
        <family val="2"/>
      </rPr>
      <t xml:space="preserve">・</t>
    </r>
    <r>
      <rPr>
        <sz val="9.5"/>
        <color rgb="FFDBE2EA"/>
        <rFont val="Arial"/>
        <family val="0"/>
        <charset val="1"/>
      </rPr>
      <t xml:space="preserve">Q</t>
    </r>
    <r>
      <rPr>
        <sz val="9.5"/>
        <color rgb="FFDBE2EA"/>
        <rFont val="Noto Sans CJK SC"/>
        <family val="2"/>
      </rPr>
      <t xml:space="preserve">・妥当性の警告</t>
    </r>
  </si>
  <si>
    <t xml:space="preserve">06</t>
  </si>
  <si>
    <r>
      <rPr>
        <b val="true"/>
        <sz val="9.5"/>
        <color rgb="FF5AD4FF"/>
        <rFont val="Arial"/>
        <family val="0"/>
        <charset val="1"/>
      </rPr>
      <t xml:space="preserve">06_RFP</t>
    </r>
    <r>
      <rPr>
        <b val="true"/>
        <sz val="9.5"/>
        <color rgb="FF5AD4FF"/>
        <rFont val="Noto Sans CJK SC"/>
        <family val="2"/>
      </rPr>
      <t xml:space="preserve">設計行列</t>
    </r>
  </si>
  <si>
    <t xml:space="preserve">連立方程式の材料をつくる（自動）</t>
  </si>
  <si>
    <t xml:space="preserve">なし</t>
  </si>
  <si>
    <r>
      <rPr>
        <sz val="9.5"/>
        <color rgb="FFDBE2EA"/>
        <rFont val="Arial"/>
        <family val="0"/>
        <charset val="1"/>
      </rPr>
      <t xml:space="preserve">240</t>
    </r>
    <r>
      <rPr>
        <sz val="9.5"/>
        <color rgb="FFDBE2EA"/>
        <rFont val="Noto Sans CJK SC"/>
        <family val="2"/>
      </rPr>
      <t xml:space="preserve">行</t>
    </r>
    <r>
      <rPr>
        <sz val="9.5"/>
        <color rgb="FFDBE2EA"/>
        <rFont val="Arial"/>
        <family val="0"/>
        <charset val="1"/>
      </rPr>
      <t xml:space="preserve">×8</t>
    </r>
    <r>
      <rPr>
        <sz val="9.5"/>
        <color rgb="FFDBE2EA"/>
        <rFont val="Noto Sans CJK SC"/>
        <family val="2"/>
      </rPr>
      <t xml:space="preserve">列の係数行列</t>
    </r>
  </si>
  <si>
    <t xml:space="preserve">07</t>
  </si>
  <si>
    <r>
      <rPr>
        <b val="true"/>
        <sz val="9.5"/>
        <color rgb="FF5AD4FF"/>
        <rFont val="Arial"/>
        <family val="0"/>
        <charset val="1"/>
      </rPr>
      <t xml:space="preserve">07_RFP</t>
    </r>
    <r>
      <rPr>
        <b val="true"/>
        <sz val="9.5"/>
        <color rgb="FF5AD4FF"/>
        <rFont val="Noto Sans CJK SC"/>
        <family val="2"/>
      </rPr>
      <t xml:space="preserve">係数の解</t>
    </r>
  </si>
  <si>
    <r>
      <rPr>
        <sz val="9.5"/>
        <color rgb="FFDBE2EA"/>
        <rFont val="Noto Sans CJK SC"/>
        <family val="2"/>
      </rPr>
      <t xml:space="preserve">最小二乗法で分子</t>
    </r>
    <r>
      <rPr>
        <sz val="9.5"/>
        <color rgb="FFDBE2EA"/>
        <rFont val="Arial"/>
        <family val="0"/>
        <charset val="1"/>
      </rPr>
      <t xml:space="preserve">b</t>
    </r>
    <r>
      <rPr>
        <sz val="9.5"/>
        <color rgb="FFDBE2EA"/>
        <rFont val="Noto Sans CJK SC"/>
        <family val="2"/>
      </rPr>
      <t xml:space="preserve">・分母</t>
    </r>
    <r>
      <rPr>
        <sz val="9.5"/>
        <color rgb="FFDBE2EA"/>
        <rFont val="Arial"/>
        <family val="0"/>
        <charset val="1"/>
      </rPr>
      <t xml:space="preserve">a</t>
    </r>
    <r>
      <rPr>
        <sz val="9.5"/>
        <color rgb="FFDBE2EA"/>
        <rFont val="Noto Sans CJK SC"/>
        <family val="2"/>
      </rPr>
      <t xml:space="preserve">を解く（自動）</t>
    </r>
  </si>
  <si>
    <t xml:space="preserve">リッジ係数（通常そのまま）</t>
  </si>
  <si>
    <r>
      <rPr>
        <sz val="9.5"/>
        <color rgb="FFDBE2EA"/>
        <rFont val="Arial"/>
        <family val="0"/>
        <charset val="1"/>
      </rPr>
      <t xml:space="preserve">b0</t>
    </r>
    <r>
      <rPr>
        <sz val="9.5"/>
        <color rgb="FFDBE2EA"/>
        <rFont val="Noto Sans CJK SC"/>
        <family val="2"/>
      </rPr>
      <t xml:space="preserve">〜</t>
    </r>
    <r>
      <rPr>
        <sz val="9.5"/>
        <color rgb="FFDBE2EA"/>
        <rFont val="Arial"/>
        <family val="0"/>
        <charset val="1"/>
      </rPr>
      <t xml:space="preserve">b3</t>
    </r>
    <r>
      <rPr>
        <sz val="9.5"/>
        <color rgb="FFDBE2EA"/>
        <rFont val="Noto Sans CJK SC"/>
        <family val="2"/>
      </rPr>
      <t xml:space="preserve">、</t>
    </r>
    <r>
      <rPr>
        <sz val="9.5"/>
        <color rgb="FFDBE2EA"/>
        <rFont val="Arial"/>
        <family val="0"/>
        <charset val="1"/>
      </rPr>
      <t xml:space="preserve">a0</t>
    </r>
    <r>
      <rPr>
        <sz val="9.5"/>
        <color rgb="FFDBE2EA"/>
        <rFont val="Noto Sans CJK SC"/>
        <family val="2"/>
      </rPr>
      <t xml:space="preserve">〜</t>
    </r>
    <r>
      <rPr>
        <sz val="9.5"/>
        <color rgb="FFDBE2EA"/>
        <rFont val="Arial"/>
        <family val="0"/>
        <charset val="1"/>
      </rPr>
      <t xml:space="preserve">a3</t>
    </r>
  </si>
  <si>
    <t xml:space="preserve">08</t>
  </si>
  <si>
    <r>
      <rPr>
        <b val="true"/>
        <sz val="9.5"/>
        <color rgb="FF5AD4FF"/>
        <rFont val="Arial"/>
        <family val="0"/>
        <charset val="1"/>
      </rPr>
      <t xml:space="preserve">08_</t>
    </r>
    <r>
      <rPr>
        <b val="true"/>
        <sz val="9.5"/>
        <color rgb="FF5AD4FF"/>
        <rFont val="Noto Sans CJK SC"/>
        <family val="2"/>
      </rPr>
      <t xml:space="preserve">極の分離</t>
    </r>
    <r>
      <rPr>
        <b val="true"/>
        <sz val="9.5"/>
        <color rgb="FF5AD4FF"/>
        <rFont val="Arial"/>
        <family val="0"/>
        <charset val="1"/>
      </rPr>
      <t xml:space="preserve">_</t>
    </r>
    <r>
      <rPr>
        <b val="true"/>
        <sz val="9.5"/>
        <color rgb="FF5AD4FF"/>
        <rFont val="Noto Sans CJK SC"/>
        <family val="2"/>
      </rPr>
      <t xml:space="preserve">ニュートン法</t>
    </r>
  </si>
  <si>
    <r>
      <rPr>
        <sz val="9.5"/>
        <color rgb="FFDBE2EA"/>
        <rFont val="Arial"/>
        <family val="0"/>
        <charset val="1"/>
      </rPr>
      <t xml:space="preserve">4</t>
    </r>
    <r>
      <rPr>
        <sz val="9.5"/>
        <color rgb="FFDBE2EA"/>
        <rFont val="Noto Sans CJK SC"/>
        <family val="2"/>
      </rPr>
      <t xml:space="preserve">次方程式を</t>
    </r>
    <r>
      <rPr>
        <sz val="9.5"/>
        <color rgb="FFDBE2EA"/>
        <rFont val="Arial"/>
        <family val="0"/>
        <charset val="1"/>
      </rPr>
      <t xml:space="preserve">2</t>
    </r>
    <r>
      <rPr>
        <sz val="9.5"/>
        <color rgb="FFDBE2EA"/>
        <rFont val="Noto Sans CJK SC"/>
        <family val="2"/>
      </rPr>
      <t xml:space="preserve">つに割って双子モードを分離</t>
    </r>
  </si>
  <si>
    <r>
      <rPr>
        <sz val="9.5"/>
        <color rgb="FFDBE2EA"/>
        <rFont val="Noto Sans CJK SC"/>
        <family val="2"/>
      </rPr>
      <t xml:space="preserve">山</t>
    </r>
    <r>
      <rPr>
        <sz val="9.5"/>
        <color rgb="FFDBE2EA"/>
        <rFont val="Arial"/>
        <family val="0"/>
        <charset val="1"/>
      </rPr>
      <t xml:space="preserve">1</t>
    </r>
    <r>
      <rPr>
        <sz val="9.5"/>
        <color rgb="FFDBE2EA"/>
        <rFont val="Noto Sans CJK SC"/>
        <family val="2"/>
      </rPr>
      <t xml:space="preserve">・山</t>
    </r>
    <r>
      <rPr>
        <sz val="9.5"/>
        <color rgb="FFDBE2EA"/>
        <rFont val="Arial"/>
        <family val="0"/>
        <charset val="1"/>
      </rPr>
      <t xml:space="preserve">2</t>
    </r>
    <r>
      <rPr>
        <sz val="9.5"/>
        <color rgb="FFDBE2EA"/>
        <rFont val="Noto Sans CJK SC"/>
        <family val="2"/>
      </rPr>
      <t xml:space="preserve">の目視周波数、</t>
    </r>
    <r>
      <rPr>
        <sz val="9.5"/>
        <color rgb="FFDBE2EA"/>
        <rFont val="Arial"/>
        <family val="0"/>
        <charset val="1"/>
      </rPr>
      <t xml:space="preserve">η</t>
    </r>
    <r>
      <rPr>
        <sz val="9.5"/>
        <color rgb="FFDBE2EA"/>
        <rFont val="Noto Sans CJK SC"/>
        <family val="2"/>
      </rPr>
      <t xml:space="preserve">の粗推定</t>
    </r>
  </si>
  <si>
    <r>
      <rPr>
        <sz val="9.5"/>
        <color rgb="FFDBE2EA"/>
        <rFont val="Arial"/>
        <family val="0"/>
        <charset val="1"/>
      </rPr>
      <t xml:space="preserve">p1,q1,p2,q2</t>
    </r>
    <r>
      <rPr>
        <sz val="9.5"/>
        <color rgb="FFDBE2EA"/>
        <rFont val="Noto Sans CJK SC"/>
        <family val="2"/>
      </rPr>
      <t xml:space="preserve">（＝</t>
    </r>
    <r>
      <rPr>
        <sz val="9.5"/>
        <color rgb="FFDBE2EA"/>
        <rFont val="Arial"/>
        <family val="0"/>
        <charset val="1"/>
      </rPr>
      <t xml:space="preserve">2</t>
    </r>
    <r>
      <rPr>
        <sz val="9.5"/>
        <color rgb="FFDBE2EA"/>
        <rFont val="Noto Sans CJK SC"/>
        <family val="2"/>
      </rPr>
      <t xml:space="preserve">つのモード）</t>
    </r>
  </si>
  <si>
    <t xml:space="preserve">09</t>
  </si>
  <si>
    <r>
      <rPr>
        <b val="true"/>
        <sz val="9.5"/>
        <color rgb="FF5AD4FF"/>
        <rFont val="Arial"/>
        <family val="0"/>
        <charset val="1"/>
      </rPr>
      <t xml:space="preserve">09_</t>
    </r>
    <r>
      <rPr>
        <b val="true"/>
        <sz val="9.5"/>
        <color rgb="FF5AD4FF"/>
        <rFont val="Noto Sans CJK SC"/>
        <family val="2"/>
      </rPr>
      <t xml:space="preserve">モーダル諸元</t>
    </r>
  </si>
  <si>
    <t xml:space="preserve">固有振動数・減衰を工学単位に変換</t>
  </si>
  <si>
    <r>
      <rPr>
        <sz val="9.5"/>
        <color rgb="FFDBE2EA"/>
        <rFont val="Arial"/>
        <family val="0"/>
        <charset val="1"/>
      </rPr>
      <t xml:space="preserve">fn, fd, ζ, η, Q, </t>
    </r>
    <r>
      <rPr>
        <sz val="9.5"/>
        <color rgb="FFDBE2EA"/>
        <rFont val="Noto Sans CJK SC"/>
        <family val="2"/>
      </rPr>
      <t xml:space="preserve">半値幅、指数窓補正後の値</t>
    </r>
  </si>
  <si>
    <t xml:space="preserve">10</t>
  </si>
  <si>
    <r>
      <rPr>
        <b val="true"/>
        <sz val="9.5"/>
        <color rgb="FF5AD4FF"/>
        <rFont val="Arial"/>
        <family val="0"/>
        <charset val="1"/>
      </rPr>
      <t xml:space="preserve">10_</t>
    </r>
    <r>
      <rPr>
        <b val="true"/>
        <sz val="9.5"/>
        <color rgb="FF5AD4FF"/>
        <rFont val="Noto Sans CJK SC"/>
        <family val="2"/>
      </rPr>
      <t xml:space="preserve">レジデュー</t>
    </r>
    <r>
      <rPr>
        <b val="true"/>
        <sz val="9.5"/>
        <color rgb="FF5AD4FF"/>
        <rFont val="Arial"/>
        <family val="0"/>
        <charset val="1"/>
      </rPr>
      <t xml:space="preserve">_MEscope</t>
    </r>
  </si>
  <si>
    <r>
      <rPr>
        <sz val="9.5"/>
        <color rgb="FFDBE2EA"/>
        <rFont val="Arial"/>
        <family val="0"/>
        <charset val="1"/>
      </rPr>
      <t xml:space="preserve">ME'scope</t>
    </r>
    <r>
      <rPr>
        <sz val="9.5"/>
        <color rgb="FFDBE2EA"/>
        <rFont val="Noto Sans CJK SC"/>
        <family val="2"/>
      </rPr>
      <t xml:space="preserve">手順③に相当。残差＝モード形状の成分を出す</t>
    </r>
  </si>
  <si>
    <r>
      <rPr>
        <sz val="9.5"/>
        <color rgb="FFDBE2EA"/>
        <rFont val="Noto Sans CJK SC"/>
        <family val="2"/>
      </rPr>
      <t xml:space="preserve">レジデュー </t>
    </r>
    <r>
      <rPr>
        <sz val="9.5"/>
        <color rgb="FFDBE2EA"/>
        <rFont val="Arial"/>
        <family val="0"/>
        <charset val="1"/>
      </rPr>
      <t xml:space="preserve">r</t>
    </r>
    <r>
      <rPr>
        <sz val="9.5"/>
        <color rgb="FFDBE2EA"/>
        <rFont val="Noto Sans CJK SC"/>
        <family val="2"/>
      </rPr>
      <t xml:space="preserve">、モーダル質量、有効質量</t>
    </r>
  </si>
  <si>
    <t xml:space="preserve">11</t>
  </si>
  <si>
    <r>
      <rPr>
        <b val="true"/>
        <sz val="9.5"/>
        <color rgb="FF5AD4FF"/>
        <rFont val="Arial"/>
        <family val="0"/>
        <charset val="1"/>
      </rPr>
      <t xml:space="preserve">11_</t>
    </r>
    <r>
      <rPr>
        <b val="true"/>
        <sz val="9.5"/>
        <color rgb="FF5AD4FF"/>
        <rFont val="Noto Sans CJK SC"/>
        <family val="2"/>
      </rPr>
      <t xml:space="preserve">合成</t>
    </r>
    <r>
      <rPr>
        <b val="true"/>
        <sz val="9.5"/>
        <color rgb="FF5AD4FF"/>
        <rFont val="Arial"/>
        <family val="0"/>
        <charset val="1"/>
      </rPr>
      <t xml:space="preserve">FRF</t>
    </r>
    <r>
      <rPr>
        <b val="true"/>
        <sz val="9.5"/>
        <color rgb="FF5AD4FF"/>
        <rFont val="Noto Sans CJK SC"/>
        <family val="2"/>
      </rPr>
      <t xml:space="preserve">の照合</t>
    </r>
  </si>
  <si>
    <t xml:space="preserve">当てはめが成功したかをグラフで目視確認</t>
  </si>
  <si>
    <r>
      <rPr>
        <sz val="9.5"/>
        <color rgb="FFDBE2EA"/>
        <rFont val="Noto Sans CJK SC"/>
        <family val="2"/>
      </rPr>
      <t xml:space="preserve">合成</t>
    </r>
    <r>
      <rPr>
        <sz val="9.5"/>
        <color rgb="FFDBE2EA"/>
        <rFont val="Arial"/>
        <family val="0"/>
        <charset val="1"/>
      </rPr>
      <t xml:space="preserve">FRF</t>
    </r>
    <r>
      <rPr>
        <sz val="9.5"/>
        <color rgb="FFDBE2EA"/>
        <rFont val="Noto Sans CJK SC"/>
        <family val="2"/>
      </rPr>
      <t xml:space="preserve">、相対誤差 </t>
    </r>
    <r>
      <rPr>
        <sz val="9.5"/>
        <color rgb="FFDBE2EA"/>
        <rFont val="Arial"/>
        <family val="0"/>
        <charset val="1"/>
      </rPr>
      <t xml:space="preserve">[%]</t>
    </r>
    <r>
      <rPr>
        <sz val="9.5"/>
        <color rgb="FFDBE2EA"/>
        <rFont val="Noto Sans CJK SC"/>
        <family val="2"/>
      </rPr>
      <t xml:space="preserve">、比較グラフ</t>
    </r>
  </si>
  <si>
    <t xml:space="preserve">12</t>
  </si>
  <si>
    <r>
      <rPr>
        <b val="true"/>
        <sz val="9.5"/>
        <color rgb="FF5AD4FF"/>
        <rFont val="Arial"/>
        <family val="0"/>
        <charset val="1"/>
      </rPr>
      <t xml:space="preserve">12_MEscope</t>
    </r>
    <r>
      <rPr>
        <b val="true"/>
        <sz val="9.5"/>
        <color rgb="FF5AD4FF"/>
        <rFont val="Noto Sans CJK SC"/>
        <family val="2"/>
      </rPr>
      <t xml:space="preserve">数式集</t>
    </r>
  </si>
  <si>
    <r>
      <rPr>
        <sz val="9.5"/>
        <color rgb="FFDBE2EA"/>
        <rFont val="Arial"/>
        <family val="0"/>
        <charset val="1"/>
      </rPr>
      <t xml:space="preserve">ME'scopeVES</t>
    </r>
    <r>
      <rPr>
        <sz val="9.5"/>
        <color rgb="FFDBE2EA"/>
        <rFont val="Noto Sans CJK SC"/>
        <family val="2"/>
      </rPr>
      <t xml:space="preserve">の定義式一覧（一次情報の出典つき）</t>
    </r>
  </si>
  <si>
    <t xml:space="preserve">－</t>
  </si>
  <si>
    <t xml:space="preserve">読み物</t>
  </si>
  <si>
    <t xml:space="preserve">13</t>
  </si>
  <si>
    <r>
      <rPr>
        <b val="true"/>
        <sz val="9.5"/>
        <color rgb="FF5AD4FF"/>
        <rFont val="Arial"/>
        <family val="0"/>
        <charset val="1"/>
      </rPr>
      <t xml:space="preserve">13_</t>
    </r>
    <r>
      <rPr>
        <b val="true"/>
        <sz val="9.5"/>
        <color rgb="FF5AD4FF"/>
        <rFont val="Noto Sans CJK SC"/>
        <family val="2"/>
      </rPr>
      <t xml:space="preserve">手法の比較</t>
    </r>
  </si>
  <si>
    <r>
      <rPr>
        <sz val="9.5"/>
        <color rgb="FFDBE2EA"/>
        <rFont val="Noto Sans CJK SC"/>
        <family val="2"/>
      </rPr>
      <t xml:space="preserve">半値幅／サークルフィット／</t>
    </r>
    <r>
      <rPr>
        <sz val="9.5"/>
        <color rgb="FFDBE2EA"/>
        <rFont val="Arial"/>
        <family val="0"/>
        <charset val="1"/>
      </rPr>
      <t xml:space="preserve">RFP</t>
    </r>
    <r>
      <rPr>
        <sz val="9.5"/>
        <color rgb="FFDBE2EA"/>
        <rFont val="Noto Sans CJK SC"/>
        <family val="2"/>
      </rPr>
      <t xml:space="preserve">／ポリリファレンスの長短所</t>
    </r>
  </si>
  <si>
    <t xml:space="preserve">14</t>
  </si>
  <si>
    <r>
      <rPr>
        <b val="true"/>
        <sz val="9.5"/>
        <color rgb="FF5AD4FF"/>
        <rFont val="Arial"/>
        <family val="0"/>
        <charset val="1"/>
      </rPr>
      <t xml:space="preserve">14_</t>
    </r>
    <r>
      <rPr>
        <b val="true"/>
        <sz val="9.5"/>
        <color rgb="FF5AD4FF"/>
        <rFont val="Noto Sans CJK SC"/>
        <family val="2"/>
      </rPr>
      <t xml:space="preserve">用語集</t>
    </r>
  </si>
  <si>
    <t xml:space="preserve">専門用語をふりがな付きで噛み砕いた辞書</t>
  </si>
  <si>
    <t xml:space="preserve">15</t>
  </si>
  <si>
    <r>
      <rPr>
        <b val="true"/>
        <sz val="9.5"/>
        <color rgb="FF5AD4FF"/>
        <rFont val="Arial"/>
        <family val="0"/>
        <charset val="1"/>
      </rPr>
      <t xml:space="preserve">15_</t>
    </r>
    <r>
      <rPr>
        <b val="true"/>
        <sz val="9.5"/>
        <color rgb="FF5AD4FF"/>
        <rFont val="Noto Sans CJK SC"/>
        <family val="2"/>
      </rPr>
      <t xml:space="preserve">よくあるミス</t>
    </r>
  </si>
  <si>
    <t xml:space="preserve">作業前・作業後のチェックリスト</t>
  </si>
  <si>
    <t xml:space="preserve">チェック欄</t>
  </si>
  <si>
    <t xml:space="preserve">抜け漏れ防止</t>
  </si>
  <si>
    <t xml:space="preserve">16</t>
  </si>
  <si>
    <r>
      <rPr>
        <b val="true"/>
        <sz val="9.5"/>
        <color rgb="FF5AD4FF"/>
        <rFont val="Arial"/>
        <family val="0"/>
        <charset val="1"/>
      </rPr>
      <t xml:space="preserve">16_</t>
    </r>
    <r>
      <rPr>
        <b val="true"/>
        <sz val="9.5"/>
        <color rgb="FF5AD4FF"/>
        <rFont val="Noto Sans CJK SC"/>
        <family val="2"/>
      </rPr>
      <t xml:space="preserve">検算用サンプルデータ</t>
    </r>
  </si>
  <si>
    <t xml:space="preserve">答えの分かっているデータで練習</t>
  </si>
  <si>
    <r>
      <rPr>
        <sz val="9.5"/>
        <color rgb="FFDBE2EA"/>
        <rFont val="Arial"/>
        <family val="0"/>
        <charset val="1"/>
      </rPr>
      <t xml:space="preserve">3480.0Hz/η=0.0060</t>
    </r>
    <r>
      <rPr>
        <sz val="9.5"/>
        <color rgb="FFDBE2EA"/>
        <rFont val="Noto Sans CJK SC"/>
        <family val="2"/>
      </rPr>
      <t xml:space="preserve">、</t>
    </r>
    <r>
      <rPr>
        <sz val="9.5"/>
        <color rgb="FFDBE2EA"/>
        <rFont val="Arial"/>
        <family val="0"/>
        <charset val="1"/>
      </rPr>
      <t xml:space="preserve">3520.0Hz/η=0.0080</t>
    </r>
  </si>
  <si>
    <t xml:space="preserve">17</t>
  </si>
  <si>
    <r>
      <rPr>
        <b val="true"/>
        <sz val="9.5"/>
        <color rgb="FF5AD4FF"/>
        <rFont val="Arial"/>
        <family val="0"/>
        <charset val="1"/>
      </rPr>
      <t xml:space="preserve">17_FRF</t>
    </r>
    <r>
      <rPr>
        <b val="true"/>
        <sz val="9.5"/>
        <color rgb="FF5AD4FF"/>
        <rFont val="Noto Sans CJK SC"/>
        <family val="2"/>
      </rPr>
      <t xml:space="preserve">単位換算</t>
    </r>
  </si>
  <si>
    <r>
      <rPr>
        <sz val="9.5"/>
        <color rgb="FFDBE2EA"/>
        <rFont val="Noto Sans CJK SC"/>
        <family val="2"/>
      </rPr>
      <t xml:space="preserve">速度⇔変位⇔加速度の換算と</t>
    </r>
    <r>
      <rPr>
        <sz val="9.5"/>
        <color rgb="FFDBE2EA"/>
        <rFont val="Arial"/>
        <family val="0"/>
        <charset val="1"/>
      </rPr>
      <t xml:space="preserve">dB</t>
    </r>
    <r>
      <rPr>
        <sz val="9.5"/>
        <color rgb="FFDBE2EA"/>
        <rFont val="Noto Sans CJK SC"/>
        <family val="2"/>
      </rPr>
      <t xml:space="preserve">の戻し方</t>
    </r>
  </si>
  <si>
    <r>
      <rPr>
        <sz val="9.5"/>
        <color rgb="FFDBE2EA"/>
        <rFont val="Arial"/>
        <family val="0"/>
        <charset val="1"/>
      </rPr>
      <t xml:space="preserve">FRF</t>
    </r>
    <r>
      <rPr>
        <sz val="9.5"/>
        <color rgb="FFDBE2EA"/>
        <rFont val="Noto Sans CJK SC"/>
        <family val="2"/>
      </rPr>
      <t xml:space="preserve">の値と種類</t>
    </r>
  </si>
  <si>
    <r>
      <rPr>
        <sz val="9.5"/>
        <color rgb="FFDBE2EA"/>
        <rFont val="Noto Sans CJK SC"/>
        <family val="2"/>
      </rPr>
      <t xml:space="preserve">他形式の</t>
    </r>
    <r>
      <rPr>
        <sz val="9.5"/>
        <color rgb="FFDBE2EA"/>
        <rFont val="Arial"/>
        <family val="0"/>
        <charset val="1"/>
      </rPr>
      <t xml:space="preserve">FRF</t>
    </r>
  </si>
  <si>
    <t xml:space="preserve">18</t>
  </si>
  <si>
    <r>
      <rPr>
        <b val="true"/>
        <sz val="9.5"/>
        <color rgb="FF5AD4FF"/>
        <rFont val="Arial"/>
        <family val="0"/>
        <charset val="1"/>
      </rPr>
      <t xml:space="preserve">18_</t>
    </r>
    <r>
      <rPr>
        <b val="true"/>
        <sz val="9.5"/>
        <color rgb="FF5AD4FF"/>
        <rFont val="Noto Sans CJK SC"/>
        <family val="2"/>
      </rPr>
      <t xml:space="preserve">測定記録</t>
    </r>
  </si>
  <si>
    <r>
      <rPr>
        <sz val="9.5"/>
        <color rgb="FFDBE2EA"/>
        <rFont val="Noto Sans CJK SC"/>
        <family val="2"/>
      </rPr>
      <t xml:space="preserve">測定条件を</t>
    </r>
    <r>
      <rPr>
        <sz val="9.5"/>
        <color rgb="FFDBE2EA"/>
        <rFont val="Arial"/>
        <family val="0"/>
        <charset val="1"/>
      </rPr>
      <t xml:space="preserve">1</t>
    </r>
    <r>
      <rPr>
        <sz val="9.5"/>
        <color rgb="FFDBE2EA"/>
        <rFont val="Noto Sans CJK SC"/>
        <family val="2"/>
      </rPr>
      <t xml:space="preserve">枚に記録（再現性の担保）</t>
    </r>
  </si>
  <si>
    <t xml:space="preserve">測定条件</t>
  </si>
  <si>
    <t xml:space="preserve">解析結果の自動転記</t>
  </si>
  <si>
    <t xml:space="preserve">■ 最短ルート（時間がないとき）</t>
  </si>
  <si>
    <r>
      <rPr>
        <b val="true"/>
        <sz val="10"/>
        <color rgb="FF5EE6A0"/>
        <rFont val="Arial"/>
        <family val="0"/>
        <charset val="1"/>
      </rPr>
      <t xml:space="preserve">03 </t>
    </r>
    <r>
      <rPr>
        <b val="true"/>
        <sz val="10"/>
        <color rgb="FF5EE6A0"/>
        <rFont val="Noto Sans CJK SC"/>
        <family val="2"/>
      </rPr>
      <t xml:space="preserve">にデータを貼る → </t>
    </r>
    <r>
      <rPr>
        <b val="true"/>
        <sz val="10"/>
        <color rgb="FF5EE6A0"/>
        <rFont val="Arial"/>
        <family val="0"/>
        <charset val="1"/>
      </rPr>
      <t xml:space="preserve">05 </t>
    </r>
    <r>
      <rPr>
        <b val="true"/>
        <sz val="10"/>
        <color rgb="FF5EE6A0"/>
        <rFont val="Noto Sans CJK SC"/>
        <family val="2"/>
      </rPr>
      <t xml:space="preserve">で山の周波数を読む → </t>
    </r>
    <r>
      <rPr>
        <b val="true"/>
        <sz val="10"/>
        <color rgb="FF5EE6A0"/>
        <rFont val="Arial"/>
        <family val="0"/>
        <charset val="1"/>
      </rPr>
      <t xml:space="preserve">08 </t>
    </r>
    <r>
      <rPr>
        <b val="true"/>
        <sz val="10"/>
        <color rgb="FF5EE6A0"/>
        <rFont val="Noto Sans CJK SC"/>
        <family val="2"/>
      </rPr>
      <t xml:space="preserve">にその</t>
    </r>
    <r>
      <rPr>
        <b val="true"/>
        <sz val="10"/>
        <color rgb="FF5EE6A0"/>
        <rFont val="Arial"/>
        <family val="0"/>
        <charset val="1"/>
      </rPr>
      <t xml:space="preserve">2</t>
    </r>
    <r>
      <rPr>
        <b val="true"/>
        <sz val="10"/>
        <color rgb="FF5EE6A0"/>
        <rFont val="Noto Sans CJK SC"/>
        <family val="2"/>
      </rPr>
      <t xml:space="preserve">つを打ち込む → </t>
    </r>
    <r>
      <rPr>
        <b val="true"/>
        <sz val="10"/>
        <color rgb="FF5EE6A0"/>
        <rFont val="Arial"/>
        <family val="0"/>
        <charset val="1"/>
      </rPr>
      <t xml:space="preserve">09 </t>
    </r>
    <r>
      <rPr>
        <b val="true"/>
        <sz val="10"/>
        <color rgb="FF5EE6A0"/>
        <rFont val="Noto Sans CJK SC"/>
        <family val="2"/>
      </rPr>
      <t xml:space="preserve">で答えを読む → </t>
    </r>
    <r>
      <rPr>
        <b val="true"/>
        <sz val="10"/>
        <color rgb="FF5EE6A0"/>
        <rFont val="Arial"/>
        <family val="0"/>
        <charset val="1"/>
      </rPr>
      <t xml:space="preserve">11 </t>
    </r>
    <r>
      <rPr>
        <b val="true"/>
        <sz val="10"/>
        <color rgb="FF5EE6A0"/>
        <rFont val="Noto Sans CJK SC"/>
        <family val="2"/>
      </rPr>
      <t xml:space="preserve">で誤差を確認。以上</t>
    </r>
    <r>
      <rPr>
        <b val="true"/>
        <sz val="10"/>
        <color rgb="FF5EE6A0"/>
        <rFont val="Arial"/>
        <family val="0"/>
        <charset val="1"/>
      </rPr>
      <t xml:space="preserve">5</t>
    </r>
    <r>
      <rPr>
        <b val="true"/>
        <sz val="10"/>
        <color rgb="FF5EE6A0"/>
        <rFont val="Noto Sans CJK SC"/>
        <family val="2"/>
      </rPr>
      <t xml:space="preserve">手です。</t>
    </r>
  </si>
  <si>
    <t xml:space="preserve">■ 注意（必ず読んでください）</t>
  </si>
  <si>
    <r>
      <rPr>
        <sz val="9.5"/>
        <color rgb="FF9AA7B5"/>
        <rFont val="Noto Sans CJK SC"/>
        <family val="2"/>
      </rPr>
      <t xml:space="preserve">・このブックは「</t>
    </r>
    <r>
      <rPr>
        <sz val="9.5"/>
        <color rgb="FF9AA7B5"/>
        <rFont val="Arial"/>
        <family val="0"/>
        <charset val="1"/>
      </rPr>
      <t xml:space="preserve">2</t>
    </r>
    <r>
      <rPr>
        <sz val="9.5"/>
        <color rgb="FF9AA7B5"/>
        <rFont val="Noto Sans CJK SC"/>
        <family val="2"/>
      </rPr>
      <t xml:space="preserve">つのモードが重なった帯域（双子モード）」を分離するために作ってあります。</t>
    </r>
    <r>
      <rPr>
        <sz val="9.5"/>
        <color rgb="FF9AA7B5"/>
        <rFont val="Arial"/>
        <family val="0"/>
        <charset val="1"/>
      </rPr>
      <t xml:space="preserve">1</t>
    </r>
    <r>
      <rPr>
        <sz val="9.5"/>
        <color rgb="FF9AA7B5"/>
        <rFont val="Noto Sans CJK SC"/>
        <family val="2"/>
      </rPr>
      <t xml:space="preserve">本しか山がない時は </t>
    </r>
    <r>
      <rPr>
        <sz val="9.5"/>
        <color rgb="FF9AA7B5"/>
        <rFont val="Arial"/>
        <family val="0"/>
        <charset val="1"/>
      </rPr>
      <t xml:space="preserve">05 </t>
    </r>
    <r>
      <rPr>
        <sz val="9.5"/>
        <color rgb="FF9AA7B5"/>
        <rFont val="Noto Sans CJK SC"/>
        <family val="2"/>
      </rPr>
      <t xml:space="preserve">の半値幅法だけで十分です。</t>
    </r>
  </si>
  <si>
    <r>
      <rPr>
        <sz val="9.5"/>
        <color rgb="FF9AA7B5"/>
        <rFont val="Noto Sans CJK SC"/>
        <family val="2"/>
      </rPr>
      <t xml:space="preserve">・</t>
    </r>
    <r>
      <rPr>
        <sz val="9.5"/>
        <color rgb="FF9AA7B5"/>
        <rFont val="Arial"/>
        <family val="0"/>
        <charset val="1"/>
      </rPr>
      <t xml:space="preserve">3</t>
    </r>
    <r>
      <rPr>
        <sz val="9.5"/>
        <color rgb="FF9AA7B5"/>
        <rFont val="Noto Sans CJK SC"/>
        <family val="2"/>
      </rPr>
      <t xml:space="preserve">本以上のモードが重なる帯域には、このブックの </t>
    </r>
    <r>
      <rPr>
        <sz val="9.5"/>
        <color rgb="FF9AA7B5"/>
        <rFont val="Arial"/>
        <family val="0"/>
        <charset val="1"/>
      </rPr>
      <t xml:space="preserve">RFP</t>
    </r>
    <r>
      <rPr>
        <sz val="9.5"/>
        <color rgb="FF9AA7B5"/>
        <rFont val="Noto Sans CJK SC"/>
        <family val="2"/>
      </rPr>
      <t xml:space="preserve">（分母</t>
    </r>
    <r>
      <rPr>
        <sz val="9.5"/>
        <color rgb="FF9AA7B5"/>
        <rFont val="Arial"/>
        <family val="0"/>
        <charset val="1"/>
      </rPr>
      <t xml:space="preserve">4</t>
    </r>
    <r>
      <rPr>
        <sz val="9.5"/>
        <color rgb="FF9AA7B5"/>
        <rFont val="Noto Sans CJK SC"/>
        <family val="2"/>
      </rPr>
      <t xml:space="preserve">次）は使えません。</t>
    </r>
    <r>
      <rPr>
        <sz val="9.5"/>
        <color rgb="FF9AA7B5"/>
        <rFont val="Arial"/>
        <family val="0"/>
        <charset val="1"/>
      </rPr>
      <t xml:space="preserve">Python</t>
    </r>
    <r>
      <rPr>
        <sz val="9.5"/>
        <color rgb="FF9AA7B5"/>
        <rFont val="Noto Sans CJK SC"/>
        <family val="2"/>
      </rPr>
      <t xml:space="preserve">（</t>
    </r>
    <r>
      <rPr>
        <sz val="9.5"/>
        <color rgb="FF9AA7B5"/>
        <rFont val="Arial"/>
        <family val="0"/>
        <charset val="1"/>
      </rPr>
      <t xml:space="preserve">scipy</t>
    </r>
    <r>
      <rPr>
        <sz val="9.5"/>
        <color rgb="FF9AA7B5"/>
        <rFont val="Noto Sans CJK SC"/>
        <family val="2"/>
      </rPr>
      <t xml:space="preserve">）へ移行してください。</t>
    </r>
  </si>
  <si>
    <r>
      <rPr>
        <sz val="9.5"/>
        <color rgb="FF9AA7B5"/>
        <rFont val="Noto Sans CJK SC"/>
        <family val="2"/>
      </rPr>
      <t xml:space="preserve">・</t>
    </r>
    <r>
      <rPr>
        <sz val="9.5"/>
        <color rgb="FF9AA7B5"/>
        <rFont val="Arial"/>
        <family val="0"/>
        <charset val="1"/>
      </rPr>
      <t xml:space="preserve">Excel</t>
    </r>
    <r>
      <rPr>
        <sz val="9.5"/>
        <color rgb="FF9AA7B5"/>
        <rFont val="Noto Sans CJK SC"/>
        <family val="2"/>
      </rPr>
      <t xml:space="preserve">は複素数の固有値分解ができないため、本物の </t>
    </r>
    <r>
      <rPr>
        <sz val="9.5"/>
        <color rgb="FF9AA7B5"/>
        <rFont val="Arial"/>
        <family val="0"/>
        <charset val="1"/>
      </rPr>
      <t xml:space="preserve">PolyMAX</t>
    </r>
    <r>
      <rPr>
        <sz val="9.5"/>
        <color rgb="FF9AA7B5"/>
        <rFont val="Noto Sans CJK SC"/>
        <family val="2"/>
      </rPr>
      <t xml:space="preserve">（多参照の多項式固有値問題）そのものは組めません。ここで組んでいるのは、考え方が同じ </t>
    </r>
    <r>
      <rPr>
        <sz val="9.5"/>
        <color rgb="FF9AA7B5"/>
        <rFont val="Arial"/>
        <family val="0"/>
        <charset val="1"/>
      </rPr>
      <t xml:space="preserve">RFP</t>
    </r>
    <r>
      <rPr>
        <sz val="9.5"/>
        <color rgb="FF9AA7B5"/>
        <rFont val="Noto Sans CJK SC"/>
        <family val="2"/>
      </rPr>
      <t xml:space="preserve">法（有理多項式法）です。</t>
    </r>
  </si>
  <si>
    <r>
      <rPr>
        <sz val="9.5"/>
        <color rgb="FF9AA7B5"/>
        <rFont val="Noto Sans CJK SC"/>
        <family val="2"/>
      </rPr>
      <t xml:space="preserve">・数値は必ず </t>
    </r>
    <r>
      <rPr>
        <sz val="9.5"/>
        <color rgb="FF9AA7B5"/>
        <rFont val="Arial"/>
        <family val="0"/>
        <charset val="1"/>
      </rPr>
      <t xml:space="preserve">11_</t>
    </r>
    <r>
      <rPr>
        <sz val="9.5"/>
        <color rgb="FF9AA7B5"/>
        <rFont val="Noto Sans CJK SC"/>
        <family val="2"/>
      </rPr>
      <t xml:space="preserve">合成</t>
    </r>
    <r>
      <rPr>
        <sz val="9.5"/>
        <color rgb="FF9AA7B5"/>
        <rFont val="Arial"/>
        <family val="0"/>
        <charset val="1"/>
      </rPr>
      <t xml:space="preserve">FRF</t>
    </r>
    <r>
      <rPr>
        <sz val="9.5"/>
        <color rgb="FF9AA7B5"/>
        <rFont val="Noto Sans CJK SC"/>
        <family val="2"/>
      </rPr>
      <t xml:space="preserve">の照合 のグラフで「実測と合っているか」を目で確認してください。数字だけを信じないこと。</t>
    </r>
  </si>
  <si>
    <t xml:space="preserve">① 測定条件の設計｜窓を使わずに済ませるための記録時間を決める</t>
  </si>
  <si>
    <r>
      <rPr>
        <sz val="9"/>
        <color rgb="FF9AA7B5"/>
        <rFont val="Noto Sans CJK SC"/>
        <family val="2"/>
      </rPr>
      <t xml:space="preserve">考え方：叩いた後の揺れが「</t>
    </r>
    <r>
      <rPr>
        <sz val="9"/>
        <color rgb="FF9AA7B5"/>
        <rFont val="Arial"/>
        <family val="0"/>
        <charset val="1"/>
      </rPr>
      <t xml:space="preserve">1</t>
    </r>
    <r>
      <rPr>
        <sz val="9"/>
        <color rgb="FF9AA7B5"/>
        <rFont val="Noto Sans CJK SC"/>
        <family val="2"/>
      </rPr>
      <t xml:space="preserve">コマの中で消えきる」なら窓は不要。消えきらないなら窓が必要になる。</t>
    </r>
  </si>
  <si>
    <r>
      <rPr>
        <b val="true"/>
        <sz val="11.5"/>
        <color rgb="FFFFB454"/>
        <rFont val="Arial"/>
        <family val="0"/>
        <charset val="1"/>
      </rPr>
      <t xml:space="preserve">■ Step1</t>
    </r>
    <r>
      <rPr>
        <b val="true"/>
        <sz val="11.5"/>
        <color rgb="FFFFB454"/>
        <rFont val="Noto Sans CJK SC"/>
        <family val="2"/>
      </rPr>
      <t xml:space="preserve">｜叩いた揺れが消えるまでの時間 </t>
    </r>
    <r>
      <rPr>
        <b val="true"/>
        <sz val="11.5"/>
        <color rgb="FFFFB454"/>
        <rFont val="Arial"/>
        <family val="0"/>
        <charset val="1"/>
      </rPr>
      <t xml:space="preserve">t </t>
    </r>
    <r>
      <rPr>
        <b val="true"/>
        <sz val="11.5"/>
        <color rgb="FFFFB454"/>
        <rFont val="Noto Sans CJK SC"/>
        <family val="2"/>
      </rPr>
      <t xml:space="preserve">を見積もる</t>
    </r>
  </si>
  <si>
    <r>
      <rPr>
        <sz val="10"/>
        <color rgb="FFDBE2EA"/>
        <rFont val="Noto Sans CJK SC"/>
        <family val="2"/>
      </rPr>
      <t xml:space="preserve">予想される固有振動数 </t>
    </r>
    <r>
      <rPr>
        <sz val="10"/>
        <color rgb="FFDBE2EA"/>
        <rFont val="Arial"/>
        <family val="0"/>
        <charset val="1"/>
      </rPr>
      <t xml:space="preserve">fn [Hz]</t>
    </r>
  </si>
  <si>
    <r>
      <rPr>
        <sz val="9"/>
        <color rgb="FF9AA7B5"/>
        <rFont val="Noto Sans CJK SC"/>
        <family val="2"/>
      </rPr>
      <t xml:space="preserve">← 見たい山のだいたいの周波数。未知なら粗い測定の結果で</t>
    </r>
    <r>
      <rPr>
        <sz val="9"/>
        <color rgb="FF9AA7B5"/>
        <rFont val="Arial"/>
        <family val="0"/>
        <charset val="1"/>
      </rPr>
      <t xml:space="preserve">OK</t>
    </r>
  </si>
  <si>
    <r>
      <rPr>
        <sz val="10"/>
        <color rgb="FFDBE2EA"/>
        <rFont val="Noto Sans CJK SC"/>
        <family val="2"/>
      </rPr>
      <t xml:space="preserve">予想される損失係数 </t>
    </r>
    <r>
      <rPr>
        <sz val="10"/>
        <color rgb="FFDBE2EA"/>
        <rFont val="Arial"/>
        <family val="0"/>
        <charset val="1"/>
      </rPr>
      <t xml:space="preserve">η</t>
    </r>
    <r>
      <rPr>
        <sz val="10"/>
        <color rgb="FFDBE2EA"/>
        <rFont val="Noto Sans CJK SC"/>
        <family val="2"/>
      </rPr>
      <t xml:space="preserve">（イータ）</t>
    </r>
  </si>
  <si>
    <r>
      <rPr>
        <sz val="9"/>
        <color rgb="FF9AA7B5"/>
        <rFont val="Noto Sans CJK SC"/>
        <family val="2"/>
      </rPr>
      <t xml:space="preserve">← ブレーキパッド摩擦材なら </t>
    </r>
    <r>
      <rPr>
        <sz val="9"/>
        <color rgb="FF9AA7B5"/>
        <rFont val="Arial"/>
        <family val="0"/>
        <charset val="1"/>
      </rPr>
      <t xml:space="preserve">0.005</t>
    </r>
    <r>
      <rPr>
        <sz val="9"/>
        <color rgb="FF9AA7B5"/>
        <rFont val="Noto Sans CJK SC"/>
        <family val="2"/>
      </rPr>
      <t xml:space="preserve">〜</t>
    </r>
    <r>
      <rPr>
        <sz val="9"/>
        <color rgb="FF9AA7B5"/>
        <rFont val="Arial"/>
        <family val="0"/>
        <charset val="1"/>
      </rPr>
      <t xml:space="preserve">0.02 </t>
    </r>
    <r>
      <rPr>
        <sz val="9"/>
        <color rgb="FF9AA7B5"/>
        <rFont val="Noto Sans CJK SC"/>
        <family val="2"/>
      </rPr>
      <t xml:space="preserve">が目安（🟡推定・文献値）</t>
    </r>
  </si>
  <si>
    <r>
      <rPr>
        <sz val="10"/>
        <color rgb="FFDBE2EA"/>
        <rFont val="Noto Sans CJK SC"/>
        <family val="2"/>
      </rPr>
      <t xml:space="preserve">目標の減衰量 </t>
    </r>
    <r>
      <rPr>
        <sz val="10"/>
        <color rgb="FFDBE2EA"/>
        <rFont val="Arial"/>
        <family val="0"/>
        <charset val="1"/>
      </rPr>
      <t xml:space="preserve">[dB]</t>
    </r>
  </si>
  <si>
    <r>
      <rPr>
        <sz val="9"/>
        <color rgb="FF9AA7B5"/>
        <rFont val="Arial"/>
        <family val="0"/>
        <charset val="1"/>
      </rPr>
      <t xml:space="preserve">← 60dB</t>
    </r>
    <r>
      <rPr>
        <sz val="9"/>
        <color rgb="FF9AA7B5"/>
        <rFont val="Noto Sans CJK SC"/>
        <family val="2"/>
      </rPr>
      <t xml:space="preserve">＝振幅が</t>
    </r>
    <r>
      <rPr>
        <sz val="9"/>
        <color rgb="FF9AA7B5"/>
        <rFont val="Arial"/>
        <family val="0"/>
        <charset val="1"/>
      </rPr>
      <t xml:space="preserve">1/1000</t>
    </r>
    <r>
      <rPr>
        <sz val="9"/>
        <color rgb="FF9AA7B5"/>
        <rFont val="Noto Sans CJK SC"/>
        <family val="2"/>
      </rPr>
      <t xml:space="preserve">。これだけ小さくなればゼロ扱いしてよい</t>
    </r>
  </si>
  <si>
    <r>
      <rPr>
        <sz val="10"/>
        <color rgb="FFDBE2EA"/>
        <rFont val="Noto Sans CJK SC"/>
        <family val="2"/>
      </rPr>
      <t xml:space="preserve">必要な最低記録時間 </t>
    </r>
    <r>
      <rPr>
        <sz val="10"/>
        <color rgb="FFDBE2EA"/>
        <rFont val="Arial"/>
        <family val="0"/>
        <charset val="1"/>
      </rPr>
      <t xml:space="preserve">t [</t>
    </r>
    <r>
      <rPr>
        <sz val="10"/>
        <color rgb="FFDBE2EA"/>
        <rFont val="Noto Sans CJK SC"/>
        <family val="2"/>
      </rPr>
      <t xml:space="preserve">秒</t>
    </r>
    <r>
      <rPr>
        <sz val="10"/>
        <color rgb="FFDBE2EA"/>
        <rFont val="Arial"/>
        <family val="0"/>
        <charset val="1"/>
      </rPr>
      <t xml:space="preserve">]</t>
    </r>
  </si>
  <si>
    <r>
      <rPr>
        <sz val="9"/>
        <color rgb="FFC792EA"/>
        <rFont val="Noto Sans CJK SC"/>
        <family val="2"/>
      </rPr>
      <t xml:space="preserve">式： </t>
    </r>
    <r>
      <rPr>
        <sz val="9"/>
        <color rgb="FFC792EA"/>
        <rFont val="Arial"/>
        <family val="0"/>
        <charset val="1"/>
      </rPr>
      <t xml:space="preserve">t = (dB×ln10/20) ÷ (π</t>
    </r>
    <r>
      <rPr>
        <sz val="9"/>
        <color rgb="FFC792EA"/>
        <rFont val="Noto Sans CJK SC"/>
        <family val="2"/>
      </rPr>
      <t xml:space="preserve">・</t>
    </r>
    <r>
      <rPr>
        <sz val="9"/>
        <color rgb="FFC792EA"/>
        <rFont val="Arial"/>
        <family val="0"/>
        <charset val="1"/>
      </rPr>
      <t xml:space="preserve">fn</t>
    </r>
    <r>
      <rPr>
        <sz val="9"/>
        <color rgb="FFC792EA"/>
        <rFont val="Noto Sans CJK SC"/>
        <family val="2"/>
      </rPr>
      <t xml:space="preserve">・</t>
    </r>
    <r>
      <rPr>
        <sz val="9"/>
        <color rgb="FFC792EA"/>
        <rFont val="Arial"/>
        <family val="0"/>
        <charset val="1"/>
      </rPr>
      <t xml:space="preserve">η)</t>
    </r>
  </si>
  <si>
    <r>
      <rPr>
        <b val="true"/>
        <sz val="11.5"/>
        <color rgb="FFFFB454"/>
        <rFont val="Arial"/>
        <family val="0"/>
        <charset val="1"/>
      </rPr>
      <t xml:space="preserve">■ Step2</t>
    </r>
    <r>
      <rPr>
        <b val="true"/>
        <sz val="11.5"/>
        <color rgb="FFFFB454"/>
        <rFont val="Noto Sans CJK SC"/>
        <family val="2"/>
      </rPr>
      <t xml:space="preserve">｜アナライザの設定を決める（</t>
    </r>
    <r>
      <rPr>
        <b val="true"/>
        <sz val="11.5"/>
        <color rgb="FFFFB454"/>
        <rFont val="Arial"/>
        <family val="0"/>
        <charset val="1"/>
      </rPr>
      <t xml:space="preserve">RION SA-01A4</t>
    </r>
    <r>
      <rPr>
        <b val="true"/>
        <sz val="11.5"/>
        <color rgb="FFFFB454"/>
        <rFont val="Noto Sans CJK SC"/>
        <family val="2"/>
      </rPr>
      <t xml:space="preserve">）</t>
    </r>
  </si>
  <si>
    <r>
      <rPr>
        <sz val="10"/>
        <color rgb="FFDBE2EA"/>
        <rFont val="Noto Sans CJK SC"/>
        <family val="2"/>
      </rPr>
      <t xml:space="preserve">解析周波数レンジ </t>
    </r>
    <r>
      <rPr>
        <sz val="10"/>
        <color rgb="FFDBE2EA"/>
        <rFont val="Arial"/>
        <family val="0"/>
        <charset val="1"/>
      </rPr>
      <t xml:space="preserve">[Hz]</t>
    </r>
  </si>
  <si>
    <r>
      <rPr>
        <sz val="9"/>
        <color rgb="FF9AA7B5"/>
        <rFont val="Arial"/>
        <family val="0"/>
        <charset val="1"/>
      </rPr>
      <t xml:space="preserve">← RION</t>
    </r>
    <r>
      <rPr>
        <sz val="9"/>
        <color rgb="FF9AA7B5"/>
        <rFont val="Noto Sans CJK SC"/>
        <family val="2"/>
      </rPr>
      <t xml:space="preserve">の［解析周波数］設定値</t>
    </r>
  </si>
  <si>
    <t xml:space="preserve">サンプリング係数</t>
  </si>
  <si>
    <r>
      <rPr>
        <sz val="9"/>
        <color rgb="FF9AA7B5"/>
        <rFont val="Arial"/>
        <family val="0"/>
        <charset val="1"/>
      </rPr>
      <t xml:space="preserve">← 20kHz</t>
    </r>
    <r>
      <rPr>
        <sz val="9"/>
        <color rgb="FF9AA7B5"/>
        <rFont val="Noto Sans CJK SC"/>
        <family val="2"/>
      </rPr>
      <t xml:space="preserve">レンジ以下＝</t>
    </r>
    <r>
      <rPr>
        <sz val="9"/>
        <color rgb="FF9AA7B5"/>
        <rFont val="Arial"/>
        <family val="0"/>
        <charset val="1"/>
      </rPr>
      <t xml:space="preserve">2.56</t>
    </r>
    <r>
      <rPr>
        <sz val="9"/>
        <color rgb="FF9AA7B5"/>
        <rFont val="Noto Sans CJK SC"/>
        <family val="2"/>
      </rPr>
      <t xml:space="preserve">／</t>
    </r>
    <r>
      <rPr>
        <sz val="9"/>
        <color rgb="FF9AA7B5"/>
        <rFont val="Arial"/>
        <family val="0"/>
        <charset val="1"/>
      </rPr>
      <t xml:space="preserve">40kHz</t>
    </r>
    <r>
      <rPr>
        <sz val="9"/>
        <color rgb="FF9AA7B5"/>
        <rFont val="Noto Sans CJK SC"/>
        <family val="2"/>
      </rPr>
      <t xml:space="preserve">レンジ＝</t>
    </r>
    <r>
      <rPr>
        <sz val="9"/>
        <color rgb="FF9AA7B5"/>
        <rFont val="Arial"/>
        <family val="0"/>
        <charset val="1"/>
      </rPr>
      <t xml:space="preserve">2.4</t>
    </r>
    <r>
      <rPr>
        <sz val="9"/>
        <color rgb="FF9AA7B5"/>
        <rFont val="Noto Sans CJK SC"/>
        <family val="2"/>
      </rPr>
      <t xml:space="preserve">（🟢ハードウェアマニュアル）</t>
    </r>
  </si>
  <si>
    <r>
      <rPr>
        <sz val="10"/>
        <color rgb="FFDBE2EA"/>
        <rFont val="Noto Sans CJK SC"/>
        <family val="2"/>
      </rPr>
      <t xml:space="preserve">サンプリング周波数 </t>
    </r>
    <r>
      <rPr>
        <sz val="10"/>
        <color rgb="FFDBE2EA"/>
        <rFont val="Arial"/>
        <family val="0"/>
        <charset val="1"/>
      </rPr>
      <t xml:space="preserve">fs [Hz]</t>
    </r>
  </si>
  <si>
    <t xml:space="preserve">必要な最低点数</t>
  </si>
  <si>
    <r>
      <rPr>
        <sz val="10"/>
        <color rgb="FFDBE2EA"/>
        <rFont val="Noto Sans CJK SC"/>
        <family val="2"/>
      </rPr>
      <t xml:space="preserve">選ぶべき解析点数 </t>
    </r>
    <r>
      <rPr>
        <sz val="10"/>
        <color rgb="FFDBE2EA"/>
        <rFont val="Arial"/>
        <family val="0"/>
        <charset val="1"/>
      </rPr>
      <t xml:space="preserve">N</t>
    </r>
    <r>
      <rPr>
        <sz val="10"/>
        <color rgb="FFDBE2EA"/>
        <rFont val="Noto Sans CJK SC"/>
        <family val="2"/>
      </rPr>
      <t xml:space="preserve">（</t>
    </r>
    <r>
      <rPr>
        <sz val="10"/>
        <color rgb="FFDBE2EA"/>
        <rFont val="Arial"/>
        <family val="0"/>
        <charset val="1"/>
      </rPr>
      <t xml:space="preserve">2</t>
    </r>
    <r>
      <rPr>
        <sz val="10"/>
        <color rgb="FFDBE2EA"/>
        <rFont val="Noto Sans CJK SC"/>
        <family val="2"/>
      </rPr>
      <t xml:space="preserve">の累乗）</t>
    </r>
  </si>
  <si>
    <r>
      <rPr>
        <sz val="9"/>
        <color rgb="FF9AA7B5"/>
        <rFont val="Arial"/>
        <family val="0"/>
        <charset val="1"/>
      </rPr>
      <t xml:space="preserve">← RION</t>
    </r>
    <r>
      <rPr>
        <sz val="9"/>
        <color rgb="FF9AA7B5"/>
        <rFont val="Noto Sans CJK SC"/>
        <family val="2"/>
      </rPr>
      <t xml:space="preserve">の選択肢は </t>
    </r>
    <r>
      <rPr>
        <sz val="9"/>
        <color rgb="FF9AA7B5"/>
        <rFont val="Arial"/>
        <family val="0"/>
        <charset val="1"/>
      </rPr>
      <t xml:space="preserve">64</t>
    </r>
    <r>
      <rPr>
        <sz val="9"/>
        <color rgb="FF9AA7B5"/>
        <rFont val="Noto Sans CJK SC"/>
        <family val="2"/>
      </rPr>
      <t xml:space="preserve">〜</t>
    </r>
    <r>
      <rPr>
        <sz val="9"/>
        <color rgb="FF9AA7B5"/>
        <rFont val="Arial"/>
        <family val="0"/>
        <charset val="1"/>
      </rPr>
      <t xml:space="preserve">32768 </t>
    </r>
    <r>
      <rPr>
        <sz val="9"/>
        <color rgb="FF9AA7B5"/>
        <rFont val="Noto Sans CJK SC"/>
        <family val="2"/>
      </rPr>
      <t xml:space="preserve">点（</t>
    </r>
    <r>
      <rPr>
        <sz val="9"/>
        <color rgb="FF9AA7B5"/>
        <rFont val="Arial"/>
        <family val="0"/>
        <charset val="1"/>
      </rPr>
      <t xml:space="preserve">2^6</t>
    </r>
    <r>
      <rPr>
        <sz val="9"/>
        <color rgb="FF9AA7B5"/>
        <rFont val="Noto Sans CJK SC"/>
        <family val="2"/>
      </rPr>
      <t xml:space="preserve">〜</t>
    </r>
    <r>
      <rPr>
        <sz val="9"/>
        <color rgb="FF9AA7B5"/>
        <rFont val="Arial"/>
        <family val="0"/>
        <charset val="1"/>
      </rPr>
      <t xml:space="preserve">2^15</t>
    </r>
    <r>
      <rPr>
        <sz val="9"/>
        <color rgb="FF9AA7B5"/>
        <rFont val="Noto Sans CJK SC"/>
        <family val="2"/>
      </rPr>
      <t xml:space="preserve">）</t>
    </r>
  </si>
  <si>
    <r>
      <rPr>
        <sz val="10"/>
        <color rgb="FFDBE2EA"/>
        <rFont val="Noto Sans CJK SC"/>
        <family val="2"/>
      </rPr>
      <t xml:space="preserve">実際の記録時間 </t>
    </r>
    <r>
      <rPr>
        <sz val="10"/>
        <color rgb="FFDBE2EA"/>
        <rFont val="Arial"/>
        <family val="0"/>
        <charset val="1"/>
      </rPr>
      <t xml:space="preserve">T [</t>
    </r>
    <r>
      <rPr>
        <sz val="10"/>
        <color rgb="FFDBE2EA"/>
        <rFont val="Noto Sans CJK SC"/>
        <family val="2"/>
      </rPr>
      <t xml:space="preserve">秒</t>
    </r>
    <r>
      <rPr>
        <sz val="10"/>
        <color rgb="FFDBE2EA"/>
        <rFont val="Arial"/>
        <family val="0"/>
        <charset val="1"/>
      </rPr>
      <t xml:space="preserve">]</t>
    </r>
  </si>
  <si>
    <r>
      <rPr>
        <sz val="10"/>
        <color rgb="FFDBE2EA"/>
        <rFont val="Noto Sans CJK SC"/>
        <family val="2"/>
      </rPr>
      <t xml:space="preserve">周波数分解能 </t>
    </r>
    <r>
      <rPr>
        <sz val="10"/>
        <color rgb="FFDBE2EA"/>
        <rFont val="Arial"/>
        <family val="0"/>
        <charset val="1"/>
      </rPr>
      <t xml:space="preserve">Δf [Hz]</t>
    </r>
  </si>
  <si>
    <r>
      <rPr>
        <b val="true"/>
        <sz val="10"/>
        <color rgb="FF5AD4FF"/>
        <rFont val="Noto Sans CJK SC"/>
        <family val="2"/>
      </rPr>
      <t xml:space="preserve">推奨 </t>
    </r>
    <r>
      <rPr>
        <b val="true"/>
        <sz val="10"/>
        <color rgb="FF5AD4FF"/>
        <rFont val="Arial"/>
        <family val="0"/>
        <charset val="1"/>
      </rPr>
      <t xml:space="preserve">N</t>
    </r>
    <r>
      <rPr>
        <b val="true"/>
        <sz val="10"/>
        <color rgb="FF5AD4FF"/>
        <rFont val="Noto Sans CJK SC"/>
        <family val="2"/>
      </rPr>
      <t xml:space="preserve">（窓なし＋分解能を両方満たす最小値）</t>
    </r>
  </si>
  <si>
    <r>
      <rPr>
        <sz val="9"/>
        <color rgb="FF9AA7B5"/>
        <rFont val="Noto Sans CJK SC"/>
        <family val="2"/>
      </rPr>
      <t xml:space="preserve">← この </t>
    </r>
    <r>
      <rPr>
        <sz val="9"/>
        <color rgb="FF9AA7B5"/>
        <rFont val="Arial"/>
        <family val="0"/>
        <charset val="1"/>
      </rPr>
      <t xml:space="preserve">N </t>
    </r>
    <r>
      <rPr>
        <sz val="9"/>
        <color rgb="FF9AA7B5"/>
        <rFont val="Noto Sans CJK SC"/>
        <family val="2"/>
      </rPr>
      <t xml:space="preserve">を </t>
    </r>
    <r>
      <rPr>
        <sz val="9"/>
        <color rgb="FF9AA7B5"/>
        <rFont val="Arial"/>
        <family val="0"/>
        <charset val="1"/>
      </rPr>
      <t xml:space="preserve">RION </t>
    </r>
    <r>
      <rPr>
        <sz val="9"/>
        <color rgb="FF9AA7B5"/>
        <rFont val="Noto Sans CJK SC"/>
        <family val="2"/>
      </rPr>
      <t xml:space="preserve">に設定すれば、窓なし条件と双子分離の分解能を同時に満たせます</t>
    </r>
  </si>
  <si>
    <r>
      <rPr>
        <b val="true"/>
        <sz val="11.5"/>
        <color rgb="FFFFB454"/>
        <rFont val="Arial"/>
        <family val="0"/>
        <charset val="1"/>
      </rPr>
      <t xml:space="preserve">■ Step3</t>
    </r>
    <r>
      <rPr>
        <b val="true"/>
        <sz val="11.5"/>
        <color rgb="FFFFB454"/>
        <rFont val="Noto Sans CJK SC"/>
        <family val="2"/>
      </rPr>
      <t xml:space="preserve">｜判定</t>
    </r>
  </si>
  <si>
    <r>
      <rPr>
        <b val="true"/>
        <sz val="10"/>
        <color rgb="FF5AD4FF"/>
        <rFont val="Noto Sans CJK SC"/>
        <family val="2"/>
      </rPr>
      <t xml:space="preserve">そのときの </t>
    </r>
    <r>
      <rPr>
        <b val="true"/>
        <sz val="10"/>
        <color rgb="FF5AD4FF"/>
        <rFont val="Arial"/>
        <family val="0"/>
        <charset val="1"/>
      </rPr>
      <t xml:space="preserve">T [</t>
    </r>
    <r>
      <rPr>
        <b val="true"/>
        <sz val="10"/>
        <color rgb="FF5AD4FF"/>
        <rFont val="Noto Sans CJK SC"/>
        <family val="2"/>
      </rPr>
      <t xml:space="preserve">秒</t>
    </r>
    <r>
      <rPr>
        <b val="true"/>
        <sz val="10"/>
        <color rgb="FF5AD4FF"/>
        <rFont val="Arial"/>
        <family val="0"/>
        <charset val="1"/>
      </rPr>
      <t xml:space="preserve">] / Δf [Hz]</t>
    </r>
  </si>
  <si>
    <r>
      <rPr>
        <sz val="9"/>
        <color rgb="FF9AA7B5"/>
        <rFont val="Noto Sans CJK SC"/>
        <family val="2"/>
      </rPr>
      <t xml:space="preserve">← 左が</t>
    </r>
    <r>
      <rPr>
        <sz val="9"/>
        <color rgb="FF9AA7B5"/>
        <rFont val="Arial"/>
        <family val="0"/>
        <charset val="1"/>
      </rPr>
      <t xml:space="preserve">T[</t>
    </r>
    <r>
      <rPr>
        <sz val="9"/>
        <color rgb="FF9AA7B5"/>
        <rFont val="Noto Sans CJK SC"/>
        <family val="2"/>
      </rPr>
      <t xml:space="preserve">秒</t>
    </r>
    <r>
      <rPr>
        <sz val="9"/>
        <color rgb="FF9AA7B5"/>
        <rFont val="Arial"/>
        <family val="0"/>
        <charset val="1"/>
      </rPr>
      <t xml:space="preserve">]</t>
    </r>
    <r>
      <rPr>
        <sz val="9"/>
        <color rgb="FF9AA7B5"/>
        <rFont val="Noto Sans CJK SC"/>
        <family val="2"/>
      </rPr>
      <t xml:space="preserve">、右が</t>
    </r>
    <r>
      <rPr>
        <sz val="9"/>
        <color rgb="FF9AA7B5"/>
        <rFont val="Arial"/>
        <family val="0"/>
        <charset val="1"/>
      </rPr>
      <t xml:space="preserve">Δf[Hz]</t>
    </r>
  </si>
  <si>
    <t xml:space="preserve">窓は必要？</t>
  </si>
  <si>
    <r>
      <rPr>
        <sz val="9"/>
        <color rgb="FF9AA7B5"/>
        <rFont val="Arial"/>
        <family val="0"/>
        <charset val="1"/>
      </rPr>
      <t xml:space="preserve">T ≧ t </t>
    </r>
    <r>
      <rPr>
        <sz val="9"/>
        <color rgb="FF9AA7B5"/>
        <rFont val="Noto Sans CJK SC"/>
        <family val="2"/>
      </rPr>
      <t xml:space="preserve">なら、フレーム内で揺れが消えきっている＝窓は要らない</t>
    </r>
  </si>
  <si>
    <r>
      <rPr>
        <sz val="10"/>
        <color rgb="FFDBE2EA"/>
        <rFont val="Noto Sans CJK SC"/>
        <family val="2"/>
      </rPr>
      <t xml:space="preserve">分けたい</t>
    </r>
    <r>
      <rPr>
        <sz val="10"/>
        <color rgb="FFDBE2EA"/>
        <rFont val="Arial"/>
        <family val="0"/>
        <charset val="1"/>
      </rPr>
      <t xml:space="preserve">2</t>
    </r>
    <r>
      <rPr>
        <sz val="10"/>
        <color rgb="FFDBE2EA"/>
        <rFont val="Noto Sans CJK SC"/>
        <family val="2"/>
      </rPr>
      <t xml:space="preserve">つのモードの間隔 </t>
    </r>
    <r>
      <rPr>
        <sz val="10"/>
        <color rgb="FFDBE2EA"/>
        <rFont val="Arial"/>
        <family val="0"/>
        <charset val="1"/>
      </rPr>
      <t xml:space="preserve">[Hz]</t>
    </r>
  </si>
  <si>
    <r>
      <rPr>
        <sz val="10"/>
        <color rgb="FFDBE2EA"/>
        <rFont val="Arial"/>
        <family val="0"/>
        <charset val="1"/>
      </rPr>
      <t xml:space="preserve">Δf </t>
    </r>
    <r>
      <rPr>
        <sz val="10"/>
        <color rgb="FFDBE2EA"/>
        <rFont val="Noto Sans CJK SC"/>
        <family val="2"/>
      </rPr>
      <t xml:space="preserve">は間隔の何分の</t>
    </r>
    <r>
      <rPr>
        <sz val="10"/>
        <color rgb="FFDBE2EA"/>
        <rFont val="Arial"/>
        <family val="0"/>
        <charset val="1"/>
      </rPr>
      <t xml:space="preserve">1</t>
    </r>
    <r>
      <rPr>
        <sz val="10"/>
        <color rgb="FFDBE2EA"/>
        <rFont val="Noto Sans CJK SC"/>
        <family val="2"/>
      </rPr>
      <t xml:space="preserve">？</t>
    </r>
  </si>
  <si>
    <t xml:space="preserve">分解能の判定</t>
  </si>
  <si>
    <r>
      <rPr>
        <sz val="9"/>
        <color rgb="FF9AA7B5"/>
        <rFont val="Noto Sans CJK SC"/>
        <family val="2"/>
      </rPr>
      <t xml:space="preserve">目安：</t>
    </r>
    <r>
      <rPr>
        <sz val="9"/>
        <color rgb="FF9AA7B5"/>
        <rFont val="Arial"/>
        <family val="0"/>
        <charset val="1"/>
      </rPr>
      <t xml:space="preserve">Δf </t>
    </r>
    <r>
      <rPr>
        <sz val="9"/>
        <color rgb="FF9AA7B5"/>
        <rFont val="Noto Sans CJK SC"/>
        <family val="2"/>
      </rPr>
      <t xml:space="preserve">はモード間隔の</t>
    </r>
    <r>
      <rPr>
        <sz val="9"/>
        <color rgb="FF9AA7B5"/>
        <rFont val="Arial"/>
        <family val="0"/>
        <charset val="1"/>
      </rPr>
      <t xml:space="preserve">1/5</t>
    </r>
    <r>
      <rPr>
        <sz val="9"/>
        <color rgb="FF9AA7B5"/>
        <rFont val="Noto Sans CJK SC"/>
        <family val="2"/>
      </rPr>
      <t xml:space="preserve">以下が望ましい（🟡実務上の目安）</t>
    </r>
  </si>
  <si>
    <r>
      <rPr>
        <b val="true"/>
        <sz val="11.5"/>
        <color rgb="FFFFB454"/>
        <rFont val="Arial"/>
        <family val="0"/>
        <charset val="1"/>
      </rPr>
      <t xml:space="preserve">■ N </t>
    </r>
    <r>
      <rPr>
        <b val="true"/>
        <sz val="11.5"/>
        <color rgb="FFFFB454"/>
        <rFont val="Noto Sans CJK SC"/>
        <family val="2"/>
      </rPr>
      <t xml:space="preserve">の候補早見表（今の </t>
    </r>
    <r>
      <rPr>
        <b val="true"/>
        <sz val="11.5"/>
        <color rgb="FFFFB454"/>
        <rFont val="Arial"/>
        <family val="0"/>
        <charset val="1"/>
      </rPr>
      <t xml:space="preserve">fs </t>
    </r>
    <r>
      <rPr>
        <b val="true"/>
        <sz val="11.5"/>
        <color rgb="FFFFB454"/>
        <rFont val="Noto Sans CJK SC"/>
        <family val="2"/>
      </rPr>
      <t xml:space="preserve">で自動計算）</t>
    </r>
  </si>
  <si>
    <r>
      <rPr>
        <b val="true"/>
        <sz val="9.5"/>
        <color rgb="FFFFB454"/>
        <rFont val="Arial"/>
        <family val="0"/>
        <charset val="1"/>
      </rPr>
      <t xml:space="preserve">N</t>
    </r>
    <r>
      <rPr>
        <b val="true"/>
        <sz val="9.5"/>
        <color rgb="FFFFB454"/>
        <rFont val="Noto Sans CJK SC"/>
        <family val="2"/>
      </rPr>
      <t xml:space="preserve">（点）</t>
    </r>
  </si>
  <si>
    <r>
      <rPr>
        <b val="true"/>
        <sz val="9.5"/>
        <color rgb="FFFFB454"/>
        <rFont val="Noto Sans CJK SC"/>
        <family val="2"/>
      </rPr>
      <t xml:space="preserve">記録時間 </t>
    </r>
    <r>
      <rPr>
        <b val="true"/>
        <sz val="9.5"/>
        <color rgb="FFFFB454"/>
        <rFont val="Arial"/>
        <family val="0"/>
        <charset val="1"/>
      </rPr>
      <t xml:space="preserve">T [</t>
    </r>
    <r>
      <rPr>
        <b val="true"/>
        <sz val="9.5"/>
        <color rgb="FFFFB454"/>
        <rFont val="Noto Sans CJK SC"/>
        <family val="2"/>
      </rPr>
      <t xml:space="preserve">秒</t>
    </r>
    <r>
      <rPr>
        <b val="true"/>
        <sz val="9.5"/>
        <color rgb="FFFFB454"/>
        <rFont val="Arial"/>
        <family val="0"/>
        <charset val="1"/>
      </rPr>
      <t xml:space="preserve">]</t>
    </r>
  </si>
  <si>
    <r>
      <rPr>
        <b val="true"/>
        <sz val="9.5"/>
        <color rgb="FFFFB454"/>
        <rFont val="Noto Sans CJK SC"/>
        <family val="2"/>
      </rPr>
      <t xml:space="preserve">分解能 </t>
    </r>
    <r>
      <rPr>
        <b val="true"/>
        <sz val="9.5"/>
        <color rgb="FFFFB454"/>
        <rFont val="Arial"/>
        <family val="0"/>
        <charset val="1"/>
      </rPr>
      <t xml:space="preserve">Δf [Hz]</t>
    </r>
  </si>
  <si>
    <t xml:space="preserve">窓なしで足りる？</t>
  </si>
  <si>
    <t xml:space="preserve">双子分離に足りる？</t>
  </si>
  <si>
    <t xml:space="preserve">■ うれしい副産物</t>
  </si>
  <si>
    <r>
      <rPr>
        <sz val="10"/>
        <color rgb="FF5EE6A0"/>
        <rFont val="Noto Sans CJK SC"/>
        <family val="2"/>
      </rPr>
      <t xml:space="preserve">記録時間 </t>
    </r>
    <r>
      <rPr>
        <sz val="10"/>
        <color rgb="FF5EE6A0"/>
        <rFont val="Arial"/>
        <family val="0"/>
        <charset val="1"/>
      </rPr>
      <t xml:space="preserve">T </t>
    </r>
    <r>
      <rPr>
        <sz val="10"/>
        <color rgb="FF5EE6A0"/>
        <rFont val="Noto Sans CJK SC"/>
        <family val="2"/>
      </rPr>
      <t xml:space="preserve">を長くすると、周波数分解能 </t>
    </r>
    <r>
      <rPr>
        <sz val="10"/>
        <color rgb="FF5EE6A0"/>
        <rFont val="Arial"/>
        <family val="0"/>
        <charset val="1"/>
      </rPr>
      <t xml:space="preserve">Δf</t>
    </r>
    <r>
      <rPr>
        <sz val="10"/>
        <color rgb="FF5EE6A0"/>
        <rFont val="Noto Sans CJK SC"/>
        <family val="2"/>
      </rPr>
      <t xml:space="preserve">（＝</t>
    </r>
    <r>
      <rPr>
        <sz val="10"/>
        <color rgb="FF5EE6A0"/>
        <rFont val="Arial"/>
        <family val="0"/>
        <charset val="1"/>
      </rPr>
      <t xml:space="preserve">fs/N</t>
    </r>
    <r>
      <rPr>
        <sz val="10"/>
        <color rgb="FF5EE6A0"/>
        <rFont val="Noto Sans CJK SC"/>
        <family val="2"/>
      </rPr>
      <t xml:space="preserve">）も同時に細かくなります。つまり「窓なしにするため長く録る」＝「双子モードを見分けやすくする」。</t>
    </r>
  </si>
  <si>
    <r>
      <rPr>
        <sz val="9.5"/>
        <color rgb="FF9AA7B5"/>
        <rFont val="Noto Sans CJK SC"/>
        <family val="2"/>
      </rPr>
      <t xml:space="preserve">この</t>
    </r>
    <r>
      <rPr>
        <sz val="9.5"/>
        <color rgb="FF9AA7B5"/>
        <rFont val="Arial"/>
        <family val="0"/>
        <charset val="1"/>
      </rPr>
      <t xml:space="preserve">2</t>
    </r>
    <r>
      <rPr>
        <sz val="9.5"/>
        <color rgb="FF9AA7B5"/>
        <rFont val="Noto Sans CJK SC"/>
        <family val="2"/>
      </rPr>
      <t xml:space="preserve">つは珍しく“両取り”できる関係です。トレードオフではありません。</t>
    </r>
  </si>
  <si>
    <t xml:space="preserve">■ 出典</t>
  </si>
  <si>
    <r>
      <rPr>
        <sz val="9"/>
        <color rgb="FF9AA7B5"/>
        <rFont val="Arial"/>
        <family val="0"/>
        <charset val="1"/>
      </rPr>
      <t xml:space="preserve">🟢 RION SA-01/SA-01A2/SA-01A4 </t>
    </r>
    <r>
      <rPr>
        <sz val="9"/>
        <color rgb="FF9AA7B5"/>
        <rFont val="Noto Sans CJK SC"/>
        <family val="2"/>
      </rPr>
      <t xml:space="preserve">ハードウェアマニュアル（プロジェクト添付）：</t>
    </r>
    <r>
      <rPr>
        <sz val="9"/>
        <color rgb="FF9AA7B5"/>
        <rFont val="Arial"/>
        <family val="0"/>
        <charset val="1"/>
      </rPr>
      <t xml:space="preserve">FFT</t>
    </r>
    <r>
      <rPr>
        <sz val="9"/>
        <color rgb="FF9AA7B5"/>
        <rFont val="Noto Sans CJK SC"/>
        <family val="2"/>
      </rPr>
      <t xml:space="preserve">解析長 </t>
    </r>
    <r>
      <rPr>
        <sz val="9"/>
        <color rgb="FF9AA7B5"/>
        <rFont val="Arial"/>
        <family val="0"/>
        <charset val="1"/>
      </rPr>
      <t xml:space="preserve">2^N</t>
    </r>
    <r>
      <rPr>
        <sz val="9"/>
        <color rgb="FF9AA7B5"/>
        <rFont val="Noto Sans CJK SC"/>
        <family val="2"/>
      </rPr>
      <t xml:space="preserve">（</t>
    </r>
    <r>
      <rPr>
        <sz val="9"/>
        <color rgb="FF9AA7B5"/>
        <rFont val="Arial"/>
        <family val="0"/>
        <charset val="1"/>
      </rPr>
      <t xml:space="preserve">N=6</t>
    </r>
    <r>
      <rPr>
        <sz val="9"/>
        <color rgb="FF9AA7B5"/>
        <rFont val="Noto Sans CJK SC"/>
        <family val="2"/>
      </rPr>
      <t xml:space="preserve">〜</t>
    </r>
    <r>
      <rPr>
        <sz val="9"/>
        <color rgb="FF9AA7B5"/>
        <rFont val="Arial"/>
        <family val="0"/>
        <charset val="1"/>
      </rPr>
      <t xml:space="preserve">15</t>
    </r>
    <r>
      <rPr>
        <sz val="9"/>
        <color rgb="FF9AA7B5"/>
        <rFont val="Noto Sans CJK SC"/>
        <family val="2"/>
      </rPr>
      <t xml:space="preserve">）／サンプリング周波数 </t>
    </r>
    <r>
      <rPr>
        <sz val="9"/>
        <color rgb="FF9AA7B5"/>
        <rFont val="Arial"/>
        <family val="0"/>
        <charset val="1"/>
      </rPr>
      <t xml:space="preserve">= </t>
    </r>
    <r>
      <rPr>
        <sz val="9"/>
        <color rgb="FF9AA7B5"/>
        <rFont val="Noto Sans CJK SC"/>
        <family val="2"/>
      </rPr>
      <t xml:space="preserve">レンジ</t>
    </r>
    <r>
      <rPr>
        <sz val="9"/>
        <color rgb="FF9AA7B5"/>
        <rFont val="Arial"/>
        <family val="0"/>
        <charset val="1"/>
      </rPr>
      <t xml:space="preserve">×2.56</t>
    </r>
    <r>
      <rPr>
        <sz val="9"/>
        <color rgb="FF9AA7B5"/>
        <rFont val="Noto Sans CJK SC"/>
        <family val="2"/>
      </rPr>
      <t xml:space="preserve">（</t>
    </r>
    <r>
      <rPr>
        <sz val="9"/>
        <color rgb="FF9AA7B5"/>
        <rFont val="Arial"/>
        <family val="0"/>
        <charset val="1"/>
      </rPr>
      <t xml:space="preserve">40kHz</t>
    </r>
    <r>
      <rPr>
        <sz val="9"/>
        <color rgb="FF9AA7B5"/>
        <rFont val="Noto Sans CJK SC"/>
        <family val="2"/>
      </rPr>
      <t xml:space="preserve">レンジは</t>
    </r>
    <r>
      <rPr>
        <sz val="9"/>
        <color rgb="FF9AA7B5"/>
        <rFont val="Arial"/>
        <family val="0"/>
        <charset val="1"/>
      </rPr>
      <t xml:space="preserve">×2.4</t>
    </r>
    <r>
      <rPr>
        <sz val="9"/>
        <color rgb="FF9AA7B5"/>
        <rFont val="Noto Sans CJK SC"/>
        <family val="2"/>
      </rPr>
      <t xml:space="preserve">）</t>
    </r>
  </si>
  <si>
    <t xml:space="preserve">② 窓関数（まどかんすう）の選定と補正</t>
  </si>
  <si>
    <r>
      <rPr>
        <sz val="9"/>
        <color rgb="FF9AA7B5"/>
        <rFont val="Noto Sans CJK SC"/>
        <family val="2"/>
      </rPr>
      <t xml:space="preserve">窓関数＝</t>
    </r>
    <r>
      <rPr>
        <sz val="9"/>
        <color rgb="FF9AA7B5"/>
        <rFont val="Arial"/>
        <family val="0"/>
        <charset val="1"/>
      </rPr>
      <t xml:space="preserve">1</t>
    </r>
    <r>
      <rPr>
        <sz val="9"/>
        <color rgb="FF9AA7B5"/>
        <rFont val="Noto Sans CJK SC"/>
        <family val="2"/>
      </rPr>
      <t xml:space="preserve">コマの波形の端っこを滑らかにゼロへ落とす“のりしろ”。使うと必ず代償（振幅の目減り・減衰の水増し）が出る。</t>
    </r>
  </si>
  <si>
    <r>
      <rPr>
        <b val="true"/>
        <sz val="11.5"/>
        <color rgb="FFFFB454"/>
        <rFont val="Noto Sans CJK SC"/>
        <family val="2"/>
      </rPr>
      <t xml:space="preserve">■ 判定はたった</t>
    </r>
    <r>
      <rPr>
        <b val="true"/>
        <sz val="11.5"/>
        <color rgb="FFFFB454"/>
        <rFont val="Arial"/>
        <family val="0"/>
        <charset val="1"/>
      </rPr>
      <t xml:space="preserve">1</t>
    </r>
    <r>
      <rPr>
        <b val="true"/>
        <sz val="11.5"/>
        <color rgb="FFFFB454"/>
        <rFont val="Noto Sans CJK SC"/>
        <family val="2"/>
      </rPr>
      <t xml:space="preserve">つ：フレーム終端で揺れがゼロになっているか</t>
    </r>
  </si>
  <si>
    <r>
      <rPr>
        <b val="true"/>
        <sz val="10"/>
        <color rgb="FF5EE6A0"/>
        <rFont val="Arial"/>
        <family val="0"/>
        <charset val="1"/>
      </rPr>
      <t xml:space="preserve">YES → </t>
    </r>
    <r>
      <rPr>
        <b val="true"/>
        <sz val="10"/>
        <color rgb="FF5EE6A0"/>
        <rFont val="Noto Sans CJK SC"/>
        <family val="2"/>
      </rPr>
      <t xml:space="preserve">［無し］（方形窓）。何も足さない＝一番正確。</t>
    </r>
  </si>
  <si>
    <r>
      <rPr>
        <b val="true"/>
        <sz val="10"/>
        <color rgb="FFFF7A7A"/>
        <rFont val="Arial"/>
        <family val="0"/>
        <charset val="1"/>
      </rPr>
      <t xml:space="preserve">NO  → </t>
    </r>
    <r>
      <rPr>
        <b val="true"/>
        <sz val="10"/>
        <color rgb="FFFF7A7A"/>
        <rFont val="Noto Sans CJK SC"/>
        <family val="2"/>
      </rPr>
      <t xml:space="preserve">［フォース・指数］（基準</t>
    </r>
    <r>
      <rPr>
        <b val="true"/>
        <sz val="10"/>
        <color rgb="FFFF7A7A"/>
        <rFont val="Arial"/>
        <family val="0"/>
        <charset val="1"/>
      </rPr>
      <t xml:space="preserve">ch</t>
    </r>
    <r>
      <rPr>
        <b val="true"/>
        <sz val="10"/>
        <color rgb="FFFF7A7A"/>
        <rFont val="Noto Sans CJK SC"/>
        <family val="2"/>
      </rPr>
      <t xml:space="preserve">＝ハンマーにフォース窓、応答</t>
    </r>
    <r>
      <rPr>
        <b val="true"/>
        <sz val="10"/>
        <color rgb="FFFF7A7A"/>
        <rFont val="Arial"/>
        <family val="0"/>
        <charset val="1"/>
      </rPr>
      <t xml:space="preserve">ch</t>
    </r>
    <r>
      <rPr>
        <b val="true"/>
        <sz val="10"/>
        <color rgb="FFFF7A7A"/>
        <rFont val="Noto Sans CJK SC"/>
        <family val="2"/>
      </rPr>
      <t xml:space="preserve">に指数窓）。ただし減衰の補正が必須。</t>
    </r>
  </si>
  <si>
    <r>
      <rPr>
        <sz val="9.5"/>
        <color rgb="FFFFB454"/>
        <rFont val="Arial"/>
        <family val="0"/>
        <charset val="1"/>
      </rPr>
      <t xml:space="preserve">🟢 RION</t>
    </r>
    <r>
      <rPr>
        <sz val="9.5"/>
        <color rgb="FFFFB454"/>
        <rFont val="Noto Sans CJK SC"/>
        <family val="2"/>
      </rPr>
      <t xml:space="preserve">ソフトウェアマニュアル記載：解析モードが「</t>
    </r>
    <r>
      <rPr>
        <sz val="9.5"/>
        <color rgb="FFFFB454"/>
        <rFont val="Arial"/>
        <family val="0"/>
        <charset val="1"/>
      </rPr>
      <t xml:space="preserve">FFT</t>
    </r>
    <r>
      <rPr>
        <sz val="9.5"/>
        <color rgb="FFFFB454"/>
        <rFont val="Noto Sans CJK SC"/>
        <family val="2"/>
      </rPr>
      <t xml:space="preserve">」のとき［フォース・指数］は選択できません（［</t>
    </r>
    <r>
      <rPr>
        <sz val="9.5"/>
        <color rgb="FFFFB454"/>
        <rFont val="Arial"/>
        <family val="0"/>
        <charset val="1"/>
      </rPr>
      <t xml:space="preserve">FFT&amp;1/N</t>
    </r>
    <r>
      <rPr>
        <sz val="9.5"/>
        <color rgb="FFFFB454"/>
        <rFont val="Noto Sans CJK SC"/>
        <family val="2"/>
      </rPr>
      <t xml:space="preserve">オクターブ］モード時のみ選択可）。</t>
    </r>
    <r>
      <rPr>
        <sz val="9.5"/>
        <color rgb="FFFFB454"/>
        <rFont val="Arial"/>
        <family val="0"/>
        <charset val="1"/>
      </rPr>
      <t xml:space="preserve">FFT</t>
    </r>
    <r>
      <rPr>
        <sz val="9.5"/>
        <color rgb="FFFFB454"/>
        <rFont val="Noto Sans CJK SC"/>
        <family val="2"/>
      </rPr>
      <t xml:space="preserve">モードでは［指数・指数］を使います。</t>
    </r>
  </si>
  <si>
    <t xml:space="preserve">🟡 推定：フォース窓は「打撃位置を基準に範囲を切る」操作のため、記録済み波形が必要＝オフライン系モード限定、という理屈と整合します（要実機確認）。</t>
  </si>
  <si>
    <r>
      <rPr>
        <b val="true"/>
        <sz val="11.5"/>
        <color rgb="FFFFB454"/>
        <rFont val="Noto Sans CJK SC"/>
        <family val="2"/>
      </rPr>
      <t xml:space="preserve">■ 窓関数の性能比較表（</t>
    </r>
    <r>
      <rPr>
        <b val="true"/>
        <sz val="11.5"/>
        <color rgb="FFFFB454"/>
        <rFont val="Arial"/>
        <family val="0"/>
        <charset val="1"/>
      </rPr>
      <t xml:space="preserve">Harris 1978 </t>
    </r>
    <r>
      <rPr>
        <b val="true"/>
        <sz val="11.5"/>
        <color rgb="FFFFB454"/>
        <rFont val="Noto Sans CJK SC"/>
        <family val="2"/>
      </rPr>
      <t xml:space="preserve">に基づく標準値）</t>
    </r>
  </si>
  <si>
    <t xml:space="preserve">窓関数</t>
  </si>
  <si>
    <r>
      <rPr>
        <b val="true"/>
        <sz val="9.5"/>
        <color rgb="FFFFB454"/>
        <rFont val="Noto Sans CJK SC"/>
        <family val="2"/>
      </rPr>
      <t xml:space="preserve">コヒーレント
ゲイン </t>
    </r>
    <r>
      <rPr>
        <b val="true"/>
        <sz val="9.5"/>
        <color rgb="FFFFB454"/>
        <rFont val="Arial"/>
        <family val="0"/>
        <charset val="1"/>
      </rPr>
      <t xml:space="preserve">CG</t>
    </r>
  </si>
  <si>
    <r>
      <rPr>
        <b val="true"/>
        <sz val="9.5"/>
        <color rgb="FFFFB454"/>
        <rFont val="Noto Sans CJK SC"/>
        <family val="2"/>
      </rPr>
      <t xml:space="preserve">振幅補正
係数 </t>
    </r>
    <r>
      <rPr>
        <b val="true"/>
        <sz val="9.5"/>
        <color rgb="FFFFB454"/>
        <rFont val="Arial"/>
        <family val="0"/>
        <charset val="1"/>
      </rPr>
      <t xml:space="preserve">1/CG</t>
    </r>
  </si>
  <si>
    <t xml:space="preserve">ENBW
[bin]</t>
  </si>
  <si>
    <t xml:space="preserve">エネルギー
補正係数</t>
  </si>
  <si>
    <r>
      <rPr>
        <b val="true"/>
        <sz val="9.5"/>
        <color rgb="FFFFB454"/>
        <rFont val="Noto Sans CJK SC"/>
        <family val="2"/>
      </rPr>
      <t xml:space="preserve">最大振幅誤差
（スキャロップ損失）</t>
    </r>
    <r>
      <rPr>
        <b val="true"/>
        <sz val="9.5"/>
        <color rgb="FFFFB454"/>
        <rFont val="Arial"/>
        <family val="0"/>
        <charset val="1"/>
      </rPr>
      <t xml:space="preserve">[dB]</t>
    </r>
  </si>
  <si>
    <r>
      <rPr>
        <b val="true"/>
        <sz val="9.5"/>
        <color rgb="FFFFB454"/>
        <rFont val="Noto Sans CJK SC"/>
        <family val="2"/>
      </rPr>
      <t xml:space="preserve">最大サイド
ローブ </t>
    </r>
    <r>
      <rPr>
        <b val="true"/>
        <sz val="9.5"/>
        <color rgb="FFFFB454"/>
        <rFont val="Arial"/>
        <family val="0"/>
        <charset val="1"/>
      </rPr>
      <t xml:space="preserve">[dB]</t>
    </r>
  </si>
  <si>
    <r>
      <rPr>
        <b val="true"/>
        <sz val="9.5"/>
        <color rgb="FFFFB454"/>
        <rFont val="Noto Sans CJK SC"/>
        <family val="2"/>
      </rPr>
      <t xml:space="preserve">主な用途 </t>
    </r>
    <r>
      <rPr>
        <b val="true"/>
        <sz val="9.5"/>
        <color rgb="FFFFB454"/>
        <rFont val="Arial"/>
        <family val="0"/>
        <charset val="1"/>
      </rPr>
      <t xml:space="preserve">/ </t>
    </r>
    <r>
      <rPr>
        <b val="true"/>
        <sz val="9.5"/>
        <color rgb="FFFFB454"/>
        <rFont val="Noto Sans CJK SC"/>
        <family val="2"/>
      </rPr>
      <t xml:space="preserve">性格</t>
    </r>
  </si>
  <si>
    <t xml:space="preserve">無し（方形／レクタングラ）</t>
  </si>
  <si>
    <t xml:space="preserve">ハンマリングで揺れが消えきる時。歪みゼロ・最良</t>
  </si>
  <si>
    <r>
      <rPr>
        <b val="true"/>
        <sz val="9.5"/>
        <color rgb="FF5AD4FF"/>
        <rFont val="Noto Sans CJK SC"/>
        <family val="2"/>
      </rPr>
      <t xml:space="preserve">ハニング（</t>
    </r>
    <r>
      <rPr>
        <b val="true"/>
        <sz val="9.5"/>
        <color rgb="FF5AD4FF"/>
        <rFont val="Arial"/>
        <family val="0"/>
        <charset val="1"/>
      </rPr>
      <t xml:space="preserve">Hann</t>
    </r>
    <r>
      <rPr>
        <b val="true"/>
        <sz val="9.5"/>
        <color rgb="FF5AD4FF"/>
        <rFont val="Noto Sans CJK SC"/>
        <family val="2"/>
      </rPr>
      <t xml:space="preserve">）</t>
    </r>
  </si>
  <si>
    <t xml:space="preserve">連続ランダム加振の標準。ハンマリングには不向き</t>
  </si>
  <si>
    <r>
      <rPr>
        <b val="true"/>
        <sz val="9.5"/>
        <color rgb="FF5AD4FF"/>
        <rFont val="Noto Sans CJK SC"/>
        <family val="2"/>
      </rPr>
      <t xml:space="preserve">ハミング（</t>
    </r>
    <r>
      <rPr>
        <b val="true"/>
        <sz val="9.5"/>
        <color rgb="FF5AD4FF"/>
        <rFont val="Arial"/>
        <family val="0"/>
        <charset val="1"/>
      </rPr>
      <t xml:space="preserve">Hamming</t>
    </r>
    <r>
      <rPr>
        <b val="true"/>
        <sz val="9.5"/>
        <color rgb="FF5AD4FF"/>
        <rFont val="Noto Sans CJK SC"/>
        <family val="2"/>
      </rPr>
      <t xml:space="preserve">）</t>
    </r>
  </si>
  <si>
    <t xml:space="preserve">サイドローブ重視。汎用</t>
  </si>
  <si>
    <t xml:space="preserve">フラットトップ</t>
  </si>
  <si>
    <t xml:space="preserve">振幅を正確に読む用途（校正・床衝撃音）</t>
  </si>
  <si>
    <r>
      <rPr>
        <b val="true"/>
        <sz val="9.5"/>
        <color rgb="FF5AD4FF"/>
        <rFont val="Noto Sans CJK SC"/>
        <family val="2"/>
      </rPr>
      <t xml:space="preserve">ブラックマン・ハリス</t>
    </r>
    <r>
      <rPr>
        <b val="true"/>
        <sz val="9.5"/>
        <color rgb="FF5AD4FF"/>
        <rFont val="Arial"/>
        <family val="0"/>
        <charset val="1"/>
      </rPr>
      <t xml:space="preserve">4</t>
    </r>
    <r>
      <rPr>
        <b val="true"/>
        <sz val="9.5"/>
        <color rgb="FF5AD4FF"/>
        <rFont val="Noto Sans CJK SC"/>
        <family val="2"/>
      </rPr>
      <t xml:space="preserve">項</t>
    </r>
  </si>
  <si>
    <t xml:space="preserve">ダイナミックレンジ最重視</t>
  </si>
  <si>
    <t xml:space="preserve">フォース窓（力側）</t>
  </si>
  <si>
    <t xml:space="preserve">ハンマー信号専用。打撃前後だけ残す＝歪まない</t>
  </si>
  <si>
    <t xml:space="preserve">指数窓（応答側）</t>
  </si>
  <si>
    <t xml:space="preserve">減衰を人工的に足す。必ず下の補正が必要</t>
  </si>
  <si>
    <r>
      <rPr>
        <sz val="9"/>
        <color rgb="FF9AA7B5"/>
        <rFont val="Noto Sans CJK SC"/>
        <family val="2"/>
      </rPr>
      <t xml:space="preserve">※ 用語：</t>
    </r>
    <r>
      <rPr>
        <sz val="9"/>
        <color rgb="FF9AA7B5"/>
        <rFont val="Arial"/>
        <family val="0"/>
        <charset val="1"/>
      </rPr>
      <t xml:space="preserve">CG</t>
    </r>
    <r>
      <rPr>
        <sz val="9"/>
        <color rgb="FF9AA7B5"/>
        <rFont val="Noto Sans CJK SC"/>
        <family val="2"/>
      </rPr>
      <t xml:space="preserve">＝窓の平均値（振幅がどれだけ目減りするか）。</t>
    </r>
    <r>
      <rPr>
        <sz val="9"/>
        <color rgb="FF9AA7B5"/>
        <rFont val="Arial"/>
        <family val="0"/>
        <charset val="1"/>
      </rPr>
      <t xml:space="preserve">ENBW</t>
    </r>
    <r>
      <rPr>
        <sz val="9"/>
        <color rgb="FF9AA7B5"/>
        <rFont val="Noto Sans CJK SC"/>
        <family val="2"/>
      </rPr>
      <t xml:space="preserve">＝等価雑音帯域幅（</t>
    </r>
    <r>
      <rPr>
        <sz val="9"/>
        <color rgb="FF9AA7B5"/>
        <rFont val="Arial"/>
        <family val="0"/>
        <charset val="1"/>
      </rPr>
      <t xml:space="preserve">1</t>
    </r>
    <r>
      <rPr>
        <sz val="9"/>
        <color rgb="FF9AA7B5"/>
        <rFont val="Noto Sans CJK SC"/>
        <family val="2"/>
      </rPr>
      <t xml:space="preserve">本の線が実質何本分に広がるか）。スキャロップ損失＝山の頂点が線と線の間に落ちたときの最大読み損じ。</t>
    </r>
  </si>
  <si>
    <r>
      <rPr>
        <sz val="9"/>
        <color rgb="FF9AA7B5"/>
        <rFont val="Noto Sans CJK SC"/>
        <family val="2"/>
      </rPr>
      <t xml:space="preserve">🟡 フラットトップの数値は定義がメーカーごとに違います。</t>
    </r>
    <r>
      <rPr>
        <sz val="9"/>
        <color rgb="FF9AA7B5"/>
        <rFont val="Arial"/>
        <family val="0"/>
        <charset val="1"/>
      </rPr>
      <t xml:space="preserve">RION</t>
    </r>
    <r>
      <rPr>
        <sz val="9"/>
        <color rgb="FF9AA7B5"/>
        <rFont val="Noto Sans CJK SC"/>
        <family val="2"/>
      </rPr>
      <t xml:space="preserve">の実装値は要確認。上表は </t>
    </r>
    <r>
      <rPr>
        <sz val="9"/>
        <color rgb="FF9AA7B5"/>
        <rFont val="Arial"/>
        <family val="0"/>
        <charset val="1"/>
      </rPr>
      <t xml:space="preserve">Harris(1978) </t>
    </r>
    <r>
      <rPr>
        <sz val="9"/>
        <color rgb="FF9AA7B5"/>
        <rFont val="Noto Sans CJK SC"/>
        <family val="2"/>
      </rPr>
      <t xml:space="preserve">の代表的な </t>
    </r>
    <r>
      <rPr>
        <sz val="9"/>
        <color rgb="FF9AA7B5"/>
        <rFont val="Arial"/>
        <family val="0"/>
        <charset val="1"/>
      </rPr>
      <t xml:space="preserve">flat-top </t>
    </r>
    <r>
      <rPr>
        <sz val="9"/>
        <color rgb="FF9AA7B5"/>
        <rFont val="Noto Sans CJK SC"/>
        <family val="2"/>
      </rPr>
      <t xml:space="preserve">定義に基づく値です。</t>
    </r>
  </si>
  <si>
    <t xml:space="preserve">■ 指数窓を使ってしまった時の“減衰の水増し”を取り消す計算</t>
  </si>
  <si>
    <r>
      <rPr>
        <sz val="10"/>
        <color rgb="FFDBE2EA"/>
        <rFont val="Noto Sans CJK SC"/>
        <family val="2"/>
      </rPr>
      <t xml:space="preserve">フレーム長 </t>
    </r>
    <r>
      <rPr>
        <sz val="10"/>
        <color rgb="FFDBE2EA"/>
        <rFont val="Arial"/>
        <family val="0"/>
        <charset val="1"/>
      </rPr>
      <t xml:space="preserve">T [</t>
    </r>
    <r>
      <rPr>
        <sz val="10"/>
        <color rgb="FFDBE2EA"/>
        <rFont val="Noto Sans CJK SC"/>
        <family val="2"/>
      </rPr>
      <t xml:space="preserve">秒</t>
    </r>
    <r>
      <rPr>
        <sz val="10"/>
        <color rgb="FFDBE2EA"/>
        <rFont val="Arial"/>
        <family val="0"/>
        <charset val="1"/>
      </rPr>
      <t xml:space="preserve">]</t>
    </r>
  </si>
  <si>
    <r>
      <rPr>
        <sz val="9"/>
        <color rgb="FF9AA7B5"/>
        <rFont val="Arial"/>
        <family val="0"/>
        <charset val="1"/>
      </rPr>
      <t xml:space="preserve">← 01</t>
    </r>
    <r>
      <rPr>
        <sz val="9"/>
        <color rgb="FF9AA7B5"/>
        <rFont val="Noto Sans CJK SC"/>
        <family val="2"/>
      </rPr>
      <t xml:space="preserve">シートから自動</t>
    </r>
  </si>
  <si>
    <r>
      <rPr>
        <sz val="10"/>
        <color rgb="FFDBE2EA"/>
        <rFont val="Noto Sans CJK SC"/>
        <family val="2"/>
      </rPr>
      <t xml:space="preserve">フレーム終端での減衰値（</t>
    </r>
    <r>
      <rPr>
        <sz val="10"/>
        <color rgb="FFDBE2EA"/>
        <rFont val="Arial"/>
        <family val="0"/>
        <charset val="1"/>
      </rPr>
      <t xml:space="preserve">RION</t>
    </r>
    <r>
      <rPr>
        <sz val="10"/>
        <color rgb="FFDBE2EA"/>
        <rFont val="Noto Sans CJK SC"/>
        <family val="2"/>
      </rPr>
      <t xml:space="preserve">入力値）</t>
    </r>
  </si>
  <si>
    <r>
      <rPr>
        <sz val="9"/>
        <color rgb="FF9AA7B5"/>
        <rFont val="Arial"/>
        <family val="0"/>
        <charset val="1"/>
      </rPr>
      <t xml:space="preserve">🟢 RION</t>
    </r>
    <r>
      <rPr>
        <sz val="9"/>
        <color rgb="FF9AA7B5"/>
        <rFont val="Noto Sans CJK SC"/>
        <family val="2"/>
      </rPr>
      <t xml:space="preserve">ソフトマニュアル：［指数ウィンド設定］＝「フレームの終端での減衰値を入力します」。</t>
    </r>
    <r>
      <rPr>
        <sz val="9"/>
        <color rgb="FF9AA7B5"/>
        <rFont val="Arial"/>
        <family val="0"/>
        <charset val="1"/>
      </rPr>
      <t xml:space="preserve">0.01</t>
    </r>
    <r>
      <rPr>
        <sz val="9"/>
        <color rgb="FF9AA7B5"/>
        <rFont val="Noto Sans CJK SC"/>
        <family val="2"/>
      </rPr>
      <t xml:space="preserve">＝</t>
    </r>
    <r>
      <rPr>
        <sz val="9"/>
        <color rgb="FF9AA7B5"/>
        <rFont val="Arial"/>
        <family val="0"/>
        <charset val="1"/>
      </rPr>
      <t xml:space="preserve">1%</t>
    </r>
    <r>
      <rPr>
        <sz val="9"/>
        <color rgb="FF9AA7B5"/>
        <rFont val="Noto Sans CJK SC"/>
        <family val="2"/>
      </rPr>
      <t xml:space="preserve">（</t>
    </r>
    <r>
      <rPr>
        <sz val="9"/>
        <color rgb="FF9AA7B5"/>
        <rFont val="Arial"/>
        <family val="0"/>
        <charset val="1"/>
      </rPr>
      <t xml:space="preserve">-40dB</t>
    </r>
    <r>
      <rPr>
        <sz val="9"/>
        <color rgb="FF9AA7B5"/>
        <rFont val="Noto Sans CJK SC"/>
        <family val="2"/>
      </rPr>
      <t xml:space="preserve">）</t>
    </r>
  </si>
  <si>
    <r>
      <rPr>
        <sz val="10"/>
        <color rgb="FFDBE2EA"/>
        <rFont val="Noto Sans CJK SC"/>
        <family val="2"/>
      </rPr>
      <t xml:space="preserve">指数窓の時定数 </t>
    </r>
    <r>
      <rPr>
        <sz val="10"/>
        <color rgb="FFDBE2EA"/>
        <rFont val="Arial"/>
        <family val="0"/>
        <charset val="1"/>
      </rPr>
      <t xml:space="preserve">τ</t>
    </r>
    <r>
      <rPr>
        <sz val="10"/>
        <color rgb="FFDBE2EA"/>
        <rFont val="Noto Sans CJK SC"/>
        <family val="2"/>
      </rPr>
      <t xml:space="preserve">（タウ）</t>
    </r>
    <r>
      <rPr>
        <sz val="10"/>
        <color rgb="FFDBE2EA"/>
        <rFont val="Arial"/>
        <family val="0"/>
        <charset val="1"/>
      </rPr>
      <t xml:space="preserve">[</t>
    </r>
    <r>
      <rPr>
        <sz val="10"/>
        <color rgb="FFDBE2EA"/>
        <rFont val="Noto Sans CJK SC"/>
        <family val="2"/>
      </rPr>
      <t xml:space="preserve">秒</t>
    </r>
    <r>
      <rPr>
        <sz val="10"/>
        <color rgb="FFDBE2EA"/>
        <rFont val="Arial"/>
        <family val="0"/>
        <charset val="1"/>
      </rPr>
      <t xml:space="preserve">]</t>
    </r>
  </si>
  <si>
    <r>
      <rPr>
        <sz val="9"/>
        <color rgb="FFC792EA"/>
        <rFont val="Noto Sans CJK SC"/>
        <family val="2"/>
      </rPr>
      <t xml:space="preserve">式： </t>
    </r>
    <r>
      <rPr>
        <sz val="9"/>
        <color rgb="FFC792EA"/>
        <rFont val="Arial"/>
        <family val="0"/>
        <charset val="1"/>
      </rPr>
      <t xml:space="preserve">τ = -T / ln(</t>
    </r>
    <r>
      <rPr>
        <sz val="9"/>
        <color rgb="FFC792EA"/>
        <rFont val="Noto Sans CJK SC"/>
        <family val="2"/>
      </rPr>
      <t xml:space="preserve">終端減衰値</t>
    </r>
    <r>
      <rPr>
        <sz val="9"/>
        <color rgb="FFC792EA"/>
        <rFont val="Arial"/>
        <family val="0"/>
        <charset val="1"/>
      </rPr>
      <t xml:space="preserve">)</t>
    </r>
  </si>
  <si>
    <r>
      <rPr>
        <sz val="10"/>
        <color rgb="FFDBE2EA"/>
        <rFont val="Noto Sans CJK SC"/>
        <family val="2"/>
      </rPr>
      <t xml:space="preserve">付加される減衰（減衰係数）</t>
    </r>
    <r>
      <rPr>
        <sz val="10"/>
        <color rgb="FFDBE2EA"/>
        <rFont val="Arial"/>
        <family val="0"/>
        <charset val="1"/>
      </rPr>
      <t xml:space="preserve">σadd [rad/s]</t>
    </r>
  </si>
  <si>
    <r>
      <rPr>
        <sz val="10"/>
        <color rgb="FFDBE2EA"/>
        <rFont val="Noto Sans CJK SC"/>
        <family val="2"/>
      </rPr>
      <t xml:space="preserve">対象モードの固有振動数 </t>
    </r>
    <r>
      <rPr>
        <sz val="10"/>
        <color rgb="FFDBE2EA"/>
        <rFont val="Arial"/>
        <family val="0"/>
        <charset val="1"/>
      </rPr>
      <t xml:space="preserve">fn [Hz]</t>
    </r>
  </si>
  <si>
    <r>
      <rPr>
        <sz val="10"/>
        <color rgb="FFDBE2EA"/>
        <rFont val="Noto Sans CJK SC"/>
        <family val="2"/>
      </rPr>
      <t xml:space="preserve">損失係数への上乗せ量 </t>
    </r>
    <r>
      <rPr>
        <sz val="10"/>
        <color rgb="FFDBE2EA"/>
        <rFont val="Arial"/>
        <family val="0"/>
        <charset val="1"/>
      </rPr>
      <t xml:space="preserve">Δη</t>
    </r>
  </si>
  <si>
    <r>
      <rPr>
        <sz val="9"/>
        <color rgb="FFC792EA"/>
        <rFont val="Noto Sans CJK SC"/>
        <family val="2"/>
      </rPr>
      <t xml:space="preserve">式： </t>
    </r>
    <r>
      <rPr>
        <sz val="9"/>
        <color rgb="FFC792EA"/>
        <rFont val="Arial"/>
        <family val="0"/>
        <charset val="1"/>
      </rPr>
      <t xml:space="preserve">Δη = 1 / (π</t>
    </r>
    <r>
      <rPr>
        <sz val="9"/>
        <color rgb="FFC792EA"/>
        <rFont val="Noto Sans CJK SC"/>
        <family val="2"/>
      </rPr>
      <t xml:space="preserve">・</t>
    </r>
    <r>
      <rPr>
        <sz val="9"/>
        <color rgb="FFC792EA"/>
        <rFont val="Arial"/>
        <family val="0"/>
        <charset val="1"/>
      </rPr>
      <t xml:space="preserve">fn</t>
    </r>
    <r>
      <rPr>
        <sz val="9"/>
        <color rgb="FFC792EA"/>
        <rFont val="Noto Sans CJK SC"/>
        <family val="2"/>
      </rPr>
      <t xml:space="preserve">・</t>
    </r>
    <r>
      <rPr>
        <sz val="9"/>
        <color rgb="FFC792EA"/>
        <rFont val="Arial"/>
        <family val="0"/>
        <charset val="1"/>
      </rPr>
      <t xml:space="preserve">τ)</t>
    </r>
    <r>
      <rPr>
        <sz val="9"/>
        <color rgb="FFC792EA"/>
        <rFont val="Noto Sans CJK SC"/>
        <family val="2"/>
      </rPr>
      <t xml:space="preserve">　←これを実測</t>
    </r>
    <r>
      <rPr>
        <sz val="9"/>
        <color rgb="FFC792EA"/>
        <rFont val="Arial"/>
        <family val="0"/>
        <charset val="1"/>
      </rPr>
      <t xml:space="preserve">η</t>
    </r>
    <r>
      <rPr>
        <sz val="9"/>
        <color rgb="FFC792EA"/>
        <rFont val="Noto Sans CJK SC"/>
        <family val="2"/>
      </rPr>
      <t xml:space="preserve">から引く</t>
    </r>
  </si>
  <si>
    <r>
      <rPr>
        <sz val="10"/>
        <color rgb="FFDBE2EA"/>
        <rFont val="Noto Sans CJK SC"/>
        <family val="2"/>
      </rPr>
      <t xml:space="preserve">減衰比への上乗せ量 </t>
    </r>
    <r>
      <rPr>
        <sz val="10"/>
        <color rgb="FFDBE2EA"/>
        <rFont val="Arial"/>
        <family val="0"/>
        <charset val="1"/>
      </rPr>
      <t xml:space="preserve">Δζ</t>
    </r>
  </si>
  <si>
    <r>
      <rPr>
        <sz val="10"/>
        <color rgb="FFDBE2EA"/>
        <rFont val="Noto Sans CJK SC"/>
        <family val="2"/>
      </rPr>
      <t xml:space="preserve">実測した損失係数 </t>
    </r>
    <r>
      <rPr>
        <sz val="10"/>
        <color rgb="FFDBE2EA"/>
        <rFont val="Arial"/>
        <family val="0"/>
        <charset val="1"/>
      </rPr>
      <t xml:space="preserve">η_meas</t>
    </r>
  </si>
  <si>
    <r>
      <rPr>
        <sz val="10"/>
        <color rgb="FFDBE2EA"/>
        <rFont val="Noto Sans CJK SC"/>
        <family val="2"/>
      </rPr>
      <t xml:space="preserve">補正後の真の損失係数 </t>
    </r>
    <r>
      <rPr>
        <sz val="10"/>
        <color rgb="FFDBE2EA"/>
        <rFont val="Arial"/>
        <family val="0"/>
        <charset val="1"/>
      </rPr>
      <t xml:space="preserve">η_true</t>
    </r>
  </si>
  <si>
    <t xml:space="preserve">補正の重み</t>
  </si>
  <si>
    <t xml:space="preserve">■ 振幅・エネルギー補正の使い方（ハンマリングでは通常不要ですが念のため）</t>
  </si>
  <si>
    <r>
      <rPr>
        <sz val="10"/>
        <color rgb="FFDBE2EA"/>
        <rFont val="Noto Sans CJK SC"/>
        <family val="2"/>
      </rPr>
      <t xml:space="preserve">選んだ窓（上の表の行番号 </t>
    </r>
    <r>
      <rPr>
        <sz val="10"/>
        <color rgb="FFDBE2EA"/>
        <rFont val="Arial"/>
        <family val="0"/>
        <charset val="1"/>
      </rPr>
      <t xml:space="preserve">1</t>
    </r>
    <r>
      <rPr>
        <sz val="10"/>
        <color rgb="FFDBE2EA"/>
        <rFont val="Noto Sans CJK SC"/>
        <family val="2"/>
      </rPr>
      <t xml:space="preserve">〜</t>
    </r>
    <r>
      <rPr>
        <sz val="10"/>
        <color rgb="FFDBE2EA"/>
        <rFont val="Arial"/>
        <family val="0"/>
        <charset val="1"/>
      </rPr>
      <t xml:space="preserve">7</t>
    </r>
    <r>
      <rPr>
        <sz val="10"/>
        <color rgb="FFDBE2EA"/>
        <rFont val="Noto Sans CJK SC"/>
        <family val="2"/>
      </rPr>
      <t xml:space="preserve">）</t>
    </r>
  </si>
  <si>
    <t xml:space="preserve">→ 振幅補正係数</t>
  </si>
  <si>
    <t xml:space="preserve">→ エネルギー補正係数</t>
  </si>
  <si>
    <t xml:space="preserve">窓をかけた後のスペクトル振幅</t>
  </si>
  <si>
    <t xml:space="preserve">補正後の振幅（正弦波など単一周波数）</t>
  </si>
  <si>
    <r>
      <rPr>
        <sz val="9"/>
        <color rgb="FF9AA7B5"/>
        <rFont val="Noto Sans CJK SC"/>
        <family val="2"/>
      </rPr>
      <t xml:space="preserve">単一周波数成分の高さを読む → 振幅補正係数（</t>
    </r>
    <r>
      <rPr>
        <sz val="9"/>
        <color rgb="FF9AA7B5"/>
        <rFont val="Arial"/>
        <family val="0"/>
        <charset val="1"/>
      </rPr>
      <t xml:space="preserve">1/CG</t>
    </r>
    <r>
      <rPr>
        <sz val="9"/>
        <color rgb="FF9AA7B5"/>
        <rFont val="Noto Sans CJK SC"/>
        <family val="2"/>
      </rPr>
      <t xml:space="preserve">）を掛ける</t>
    </r>
  </si>
  <si>
    <t xml:space="preserve">補正後の実効値（ランダム信号）</t>
  </si>
  <si>
    <t xml:space="preserve">広帯域ノイズのパワーを読む → エネルギー補正係数を掛ける</t>
  </si>
  <si>
    <t xml:space="preserve">■ なぜ窓が要るのか（小学生にもわかる説明）</t>
  </si>
  <si>
    <r>
      <rPr>
        <sz val="9.5"/>
        <color rgb="FFDBE2EA"/>
        <rFont val="Arial"/>
        <family val="0"/>
        <charset val="1"/>
      </rPr>
      <t xml:space="preserve">1. FFT</t>
    </r>
    <r>
      <rPr>
        <sz val="9.5"/>
        <color rgb="FFDBE2EA"/>
        <rFont val="Noto Sans CJK SC"/>
        <family val="2"/>
      </rPr>
      <t xml:space="preserve">は「切り取った</t>
    </r>
    <r>
      <rPr>
        <sz val="9.5"/>
        <color rgb="FFDBE2EA"/>
        <rFont val="Arial"/>
        <family val="0"/>
        <charset val="1"/>
      </rPr>
      <t xml:space="preserve">1</t>
    </r>
    <r>
      <rPr>
        <sz val="9.5"/>
        <color rgb="FFDBE2EA"/>
        <rFont val="Noto Sans CJK SC"/>
        <family val="2"/>
      </rPr>
      <t xml:space="preserve">コマが、そのまま無限にループして繰り返される」と思い込んで計算します。</t>
    </r>
  </si>
  <si>
    <r>
      <rPr>
        <sz val="9.5"/>
        <color rgb="FFDBE2EA"/>
        <rFont val="Arial"/>
        <family val="0"/>
        <charset val="1"/>
      </rPr>
      <t xml:space="preserve">2. </t>
    </r>
    <r>
      <rPr>
        <sz val="9.5"/>
        <color rgb="FFDBE2EA"/>
        <rFont val="Noto Sans CJK SC"/>
        <family val="2"/>
      </rPr>
      <t xml:space="preserve">コマの終わりとコマの始まりで波の高さが違うと、つなぎ目に“段差”ができます。</t>
    </r>
  </si>
  <si>
    <r>
      <rPr>
        <sz val="9.5"/>
        <color rgb="FFDBE2EA"/>
        <rFont val="Arial"/>
        <family val="0"/>
        <charset val="1"/>
      </rPr>
      <t xml:space="preserve">3. </t>
    </r>
    <r>
      <rPr>
        <sz val="9.5"/>
        <color rgb="FFDBE2EA"/>
        <rFont val="Noto Sans CJK SC"/>
        <family val="2"/>
      </rPr>
      <t xml:space="preserve">段差は、ギザギザした鋭い音（＝本当は無いはずの高い周波数）を生みます。これが漏れ（リーケージ）です。</t>
    </r>
  </si>
  <si>
    <r>
      <rPr>
        <sz val="9.5"/>
        <color rgb="FFDBE2EA"/>
        <rFont val="Arial"/>
        <family val="0"/>
        <charset val="1"/>
      </rPr>
      <t xml:space="preserve">4. </t>
    </r>
    <r>
      <rPr>
        <sz val="9.5"/>
        <color rgb="FFDBE2EA"/>
        <rFont val="Noto Sans CJK SC"/>
        <family val="2"/>
      </rPr>
      <t xml:space="preserve">漏れが混ざると山がなまって太くなり、減衰（</t>
    </r>
    <r>
      <rPr>
        <sz val="9.5"/>
        <color rgb="FFDBE2EA"/>
        <rFont val="Arial"/>
        <family val="0"/>
        <charset val="1"/>
      </rPr>
      <t xml:space="preserve">η</t>
    </r>
    <r>
      <rPr>
        <sz val="9.5"/>
        <color rgb="FFDBE2EA"/>
        <rFont val="Noto Sans CJK SC"/>
        <family val="2"/>
      </rPr>
      <t xml:space="preserve">）を実際より大きく見積もってしまいます。</t>
    </r>
  </si>
  <si>
    <r>
      <rPr>
        <sz val="9.5"/>
        <color rgb="FFDBE2EA"/>
        <rFont val="Arial"/>
        <family val="0"/>
        <charset val="1"/>
      </rPr>
      <t xml:space="preserve">5. </t>
    </r>
    <r>
      <rPr>
        <sz val="9.5"/>
        <color rgb="FFDBE2EA"/>
        <rFont val="Noto Sans CJK SC"/>
        <family val="2"/>
      </rPr>
      <t xml:space="preserve">窓関数は、コマの両端をなだらかにゼロへ落として段差を消す“のりしろ”です。ただし端の情報を捨てるので、代償として振幅が目減りし、山も少し太ります。</t>
    </r>
  </si>
  <si>
    <r>
      <rPr>
        <sz val="9.5"/>
        <color rgb="FF5EE6A0"/>
        <rFont val="Arial"/>
        <family val="0"/>
        <charset val="1"/>
      </rPr>
      <t xml:space="preserve">6. </t>
    </r>
    <r>
      <rPr>
        <sz val="9.5"/>
        <color rgb="FF5EE6A0"/>
        <rFont val="Noto Sans CJK SC"/>
        <family val="2"/>
      </rPr>
      <t xml:space="preserve">だから一番良いのは「そもそも段差ができないように、揺れが消えきるまで長く録る」＝窓なしです。</t>
    </r>
  </si>
  <si>
    <r>
      <rPr>
        <b val="true"/>
        <sz val="15"/>
        <color rgb="FF5AD4FF"/>
        <rFont val="Arial"/>
        <family val="0"/>
        <charset val="1"/>
      </rPr>
      <t xml:space="preserve">③ FRF</t>
    </r>
    <r>
      <rPr>
        <b val="true"/>
        <sz val="15"/>
        <color rgb="FF5AD4FF"/>
        <rFont val="Noto Sans CJK SC"/>
        <family val="2"/>
      </rPr>
      <t xml:space="preserve">データの貼り付け（ここが出発点）</t>
    </r>
  </si>
  <si>
    <r>
      <rPr>
        <sz val="9"/>
        <color rgb="FF9AA7B5"/>
        <rFont val="Arial"/>
        <family val="0"/>
        <charset val="1"/>
      </rPr>
      <t xml:space="preserve">RION </t>
    </r>
    <r>
      <rPr>
        <sz val="9"/>
        <color rgb="FF9AA7B5"/>
        <rFont val="Noto Sans CJK SC"/>
        <family val="2"/>
      </rPr>
      <t xml:space="preserve">または </t>
    </r>
    <r>
      <rPr>
        <sz val="9"/>
        <color rgb="FF9AA7B5"/>
        <rFont val="Arial"/>
        <family val="0"/>
        <charset val="1"/>
      </rPr>
      <t xml:space="preserve">PSV </t>
    </r>
    <r>
      <rPr>
        <sz val="9"/>
        <color rgb="FF9AA7B5"/>
        <rFont val="Noto Sans CJK SC"/>
        <family val="2"/>
      </rPr>
      <t xml:space="preserve">から書き出した「周波数・実部・虚部」の</t>
    </r>
    <r>
      <rPr>
        <sz val="9"/>
        <color rgb="FF9AA7B5"/>
        <rFont val="Arial"/>
        <family val="0"/>
        <charset val="1"/>
      </rPr>
      <t xml:space="preserve">3</t>
    </r>
    <r>
      <rPr>
        <sz val="9"/>
        <color rgb="FF9AA7B5"/>
        <rFont val="Noto Sans CJK SC"/>
        <family val="2"/>
      </rPr>
      <t xml:space="preserve">列を、下の黄色い範囲に貼るだけ。行数は何点でも</t>
    </r>
    <r>
      <rPr>
        <sz val="9"/>
        <color rgb="FF9AA7B5"/>
        <rFont val="Arial"/>
        <family val="0"/>
        <charset val="1"/>
      </rPr>
      <t xml:space="preserve">OK</t>
    </r>
    <r>
      <rPr>
        <sz val="9"/>
        <color rgb="FF9AA7B5"/>
        <rFont val="Noto Sans CJK SC"/>
        <family val="2"/>
      </rPr>
      <t xml:space="preserve">（最大</t>
    </r>
    <r>
      <rPr>
        <sz val="9"/>
        <color rgb="FF9AA7B5"/>
        <rFont val="Arial"/>
        <family val="0"/>
        <charset val="1"/>
      </rPr>
      <t xml:space="preserve">120</t>
    </r>
    <r>
      <rPr>
        <sz val="9"/>
        <color rgb="FF9AA7B5"/>
        <rFont val="Noto Sans CJK SC"/>
        <family val="2"/>
      </rPr>
      <t xml:space="preserve">点）。</t>
    </r>
  </si>
  <si>
    <r>
      <rPr>
        <b val="true"/>
        <sz val="10"/>
        <color rgb="FF5AD4FF"/>
        <rFont val="Noto Sans CJK SC"/>
        <family val="2"/>
      </rPr>
      <t xml:space="preserve">基準周波数 </t>
    </r>
    <r>
      <rPr>
        <b val="true"/>
        <sz val="10"/>
        <color rgb="FF5AD4FF"/>
        <rFont val="Arial"/>
        <family val="0"/>
        <charset val="1"/>
      </rPr>
      <t xml:space="preserve">fref [Hz]</t>
    </r>
  </si>
  <si>
    <t xml:space="preserve">手動指定→</t>
  </si>
  <si>
    <r>
      <rPr>
        <sz val="9"/>
        <color rgb="FF9AA7B5"/>
        <rFont val="Noto Sans CJK SC"/>
        <family val="2"/>
      </rPr>
      <t xml:space="preserve">空欄なら帯域の中心を自動採用。ふつうは空欄のままで</t>
    </r>
    <r>
      <rPr>
        <sz val="9"/>
        <color rgb="FF9AA7B5"/>
        <rFont val="Arial"/>
        <family val="0"/>
        <charset val="1"/>
      </rPr>
      <t xml:space="preserve">OK</t>
    </r>
    <r>
      <rPr>
        <sz val="9"/>
        <color rgb="FF9AA7B5"/>
        <rFont val="Noto Sans CJK SC"/>
        <family val="2"/>
      </rPr>
      <t xml:space="preserve">。</t>
    </r>
  </si>
  <si>
    <t xml:space="preserve">データ点数</t>
  </si>
  <si>
    <r>
      <rPr>
        <b val="true"/>
        <sz val="10"/>
        <color rgb="FF5AD4FF"/>
        <rFont val="Noto Sans CJK SC"/>
        <family val="2"/>
      </rPr>
      <t xml:space="preserve">基準角周波数 </t>
    </r>
    <r>
      <rPr>
        <b val="true"/>
        <sz val="10"/>
        <color rgb="FF5AD4FF"/>
        <rFont val="Arial"/>
        <family val="0"/>
        <charset val="1"/>
      </rPr>
      <t xml:space="preserve">ωref [rad/s]</t>
    </r>
  </si>
  <si>
    <r>
      <rPr>
        <sz val="9"/>
        <color rgb="FF9AA7B5"/>
        <rFont val="Noto Sans CJK SC"/>
        <family val="2"/>
      </rPr>
      <t xml:space="preserve">周波数をこの値で割って“</t>
    </r>
    <r>
      <rPr>
        <sz val="9"/>
        <color rgb="FF9AA7B5"/>
        <rFont val="Arial"/>
        <family val="0"/>
        <charset val="1"/>
      </rPr>
      <t xml:space="preserve">1</t>
    </r>
    <r>
      <rPr>
        <sz val="9"/>
        <color rgb="FF9AA7B5"/>
        <rFont val="Noto Sans CJK SC"/>
        <family val="2"/>
      </rPr>
      <t xml:space="preserve">前後の数”にします＝正規化。これをやらないと双子の分離に失敗します。</t>
    </r>
  </si>
  <si>
    <r>
      <rPr>
        <b val="true"/>
        <sz val="10"/>
        <color rgb="FF5AD4FF"/>
        <rFont val="Noto Sans CJK SC"/>
        <family val="2"/>
      </rPr>
      <t xml:space="preserve">周波数分解能 </t>
    </r>
    <r>
      <rPr>
        <b val="true"/>
        <sz val="10"/>
        <color rgb="FF5AD4FF"/>
        <rFont val="Arial"/>
        <family val="0"/>
        <charset val="1"/>
      </rPr>
      <t xml:space="preserve">Δf [Hz]</t>
    </r>
  </si>
  <si>
    <r>
      <rPr>
        <b val="true"/>
        <sz val="10"/>
        <color rgb="FF5AD4FF"/>
        <rFont val="Noto Sans CJK SC"/>
        <family val="2"/>
      </rPr>
      <t xml:space="preserve">振幅基準 </t>
    </r>
    <r>
      <rPr>
        <b val="true"/>
        <sz val="10"/>
        <color rgb="FF5AD4FF"/>
        <rFont val="Arial"/>
        <family val="0"/>
        <charset val="1"/>
      </rPr>
      <t xml:space="preserve">Href</t>
    </r>
  </si>
  <si>
    <r>
      <rPr>
        <sz val="9"/>
        <color rgb="FF9AA7B5"/>
        <rFont val="Noto Sans CJK SC"/>
        <family val="2"/>
      </rPr>
      <t xml:space="preserve">帯域内 </t>
    </r>
    <r>
      <rPr>
        <sz val="9"/>
        <color rgb="FF9AA7B5"/>
        <rFont val="Arial"/>
        <family val="0"/>
        <charset val="1"/>
      </rPr>
      <t xml:space="preserve">|H| </t>
    </r>
    <r>
      <rPr>
        <sz val="9"/>
        <color rgb="FF9AA7B5"/>
        <rFont val="Noto Sans CJK SC"/>
        <family val="2"/>
      </rPr>
      <t xml:space="preserve">の最大値。振幅も</t>
    </r>
    <r>
      <rPr>
        <sz val="9"/>
        <color rgb="FF9AA7B5"/>
        <rFont val="Arial"/>
        <family val="0"/>
        <charset val="1"/>
      </rPr>
      <t xml:space="preserve">1</t>
    </r>
    <r>
      <rPr>
        <sz val="9"/>
        <color rgb="FF9AA7B5"/>
        <rFont val="Noto Sans CJK SC"/>
        <family val="2"/>
      </rPr>
      <t xml:space="preserve">前後に正規化して、桁の大小による計算誤差を抑えます。</t>
    </r>
  </si>
  <si>
    <r>
      <rPr>
        <b val="true"/>
        <sz val="10"/>
        <color rgb="FF5AD4FF"/>
        <rFont val="Noto Sans CJK SC"/>
        <family val="2"/>
      </rPr>
      <t xml:space="preserve">解析帯域 </t>
    </r>
    <r>
      <rPr>
        <b val="true"/>
        <sz val="10"/>
        <color rgb="FF5AD4FF"/>
        <rFont val="Arial"/>
        <family val="0"/>
        <charset val="1"/>
      </rPr>
      <t xml:space="preserve">[Hz]</t>
    </r>
  </si>
  <si>
    <t xml:space="preserve">No.</t>
  </si>
  <si>
    <r>
      <rPr>
        <b val="true"/>
        <sz val="9.5"/>
        <color rgb="FFFFB454"/>
        <rFont val="Noto Sans CJK SC"/>
        <family val="2"/>
      </rPr>
      <t xml:space="preserve">周波数 </t>
    </r>
    <r>
      <rPr>
        <b val="true"/>
        <sz val="9.5"/>
        <color rgb="FFFFB454"/>
        <rFont val="Arial"/>
        <family val="0"/>
        <charset val="1"/>
      </rPr>
      <t xml:space="preserve">f [Hz]
★</t>
    </r>
    <r>
      <rPr>
        <b val="true"/>
        <sz val="9.5"/>
        <color rgb="FFFFB454"/>
        <rFont val="Noto Sans CJK SC"/>
        <family val="2"/>
      </rPr>
      <t xml:space="preserve">入力</t>
    </r>
  </si>
  <si>
    <r>
      <rPr>
        <b val="true"/>
        <sz val="9.5"/>
        <color rgb="FFFFB454"/>
        <rFont val="Noto Sans CJK SC"/>
        <family val="2"/>
      </rPr>
      <t xml:space="preserve">実部 </t>
    </r>
    <r>
      <rPr>
        <b val="true"/>
        <sz val="9.5"/>
        <color rgb="FFFFB454"/>
        <rFont val="Arial"/>
        <family val="0"/>
        <charset val="1"/>
      </rPr>
      <t xml:space="preserve">Re(H)
★</t>
    </r>
    <r>
      <rPr>
        <b val="true"/>
        <sz val="9.5"/>
        <color rgb="FFFFB454"/>
        <rFont val="Noto Sans CJK SC"/>
        <family val="2"/>
      </rPr>
      <t xml:space="preserve">入力</t>
    </r>
  </si>
  <si>
    <r>
      <rPr>
        <b val="true"/>
        <sz val="9.5"/>
        <color rgb="FFFFB454"/>
        <rFont val="Noto Sans CJK SC"/>
        <family val="2"/>
      </rPr>
      <t xml:space="preserve">虚部 </t>
    </r>
    <r>
      <rPr>
        <b val="true"/>
        <sz val="9.5"/>
        <color rgb="FFFFB454"/>
        <rFont val="Arial"/>
        <family val="0"/>
        <charset val="1"/>
      </rPr>
      <t xml:space="preserve">Im(H)
★</t>
    </r>
    <r>
      <rPr>
        <b val="true"/>
        <sz val="9.5"/>
        <color rgb="FFFFB454"/>
        <rFont val="Noto Sans CJK SC"/>
        <family val="2"/>
      </rPr>
      <t xml:space="preserve">入力</t>
    </r>
  </si>
  <si>
    <r>
      <rPr>
        <b val="true"/>
        <sz val="9.5"/>
        <color rgb="FFFFB454"/>
        <rFont val="Noto Sans CJK SC"/>
        <family val="2"/>
      </rPr>
      <t xml:space="preserve">振幅 </t>
    </r>
    <r>
      <rPr>
        <b val="true"/>
        <sz val="9.5"/>
        <color rgb="FFFFB454"/>
        <rFont val="Arial"/>
        <family val="0"/>
        <charset val="1"/>
      </rPr>
      <t xml:space="preserve">|H|</t>
    </r>
  </si>
  <si>
    <r>
      <rPr>
        <b val="true"/>
        <sz val="9.5"/>
        <color rgb="FFFFB454"/>
        <rFont val="Noto Sans CJK SC"/>
        <family val="2"/>
      </rPr>
      <t xml:space="preserve">位相 </t>
    </r>
    <r>
      <rPr>
        <b val="true"/>
        <sz val="9.5"/>
        <color rgb="FFFFB454"/>
        <rFont val="Arial"/>
        <family val="0"/>
        <charset val="1"/>
      </rPr>
      <t xml:space="preserve">[deg]</t>
    </r>
  </si>
  <si>
    <t xml:space="preserve">ω [rad/s]</t>
  </si>
  <si>
    <r>
      <rPr>
        <b val="true"/>
        <sz val="9.5"/>
        <color rgb="FFFFB454"/>
        <rFont val="Arial"/>
        <family val="0"/>
        <charset val="1"/>
      </rPr>
      <t xml:space="preserve">Ω </t>
    </r>
    <r>
      <rPr>
        <b val="true"/>
        <sz val="9.5"/>
        <color rgb="FFFFB454"/>
        <rFont val="Noto Sans CJK SC"/>
        <family val="2"/>
      </rPr>
      <t xml:space="preserve">正規化
角周波数</t>
    </r>
  </si>
  <si>
    <r>
      <rPr>
        <b val="true"/>
        <sz val="9.5"/>
        <color rgb="FFFFB454"/>
        <rFont val="Arial"/>
        <family val="0"/>
        <charset val="1"/>
      </rPr>
      <t xml:space="preserve">Re(Hn)
</t>
    </r>
    <r>
      <rPr>
        <b val="true"/>
        <sz val="9.5"/>
        <color rgb="FFFFB454"/>
        <rFont val="Noto Sans CJK SC"/>
        <family val="2"/>
      </rPr>
      <t xml:space="preserve">正規化実部</t>
    </r>
  </si>
  <si>
    <r>
      <rPr>
        <b val="true"/>
        <sz val="9.5"/>
        <color rgb="FFFFB454"/>
        <rFont val="Arial"/>
        <family val="0"/>
        <charset val="1"/>
      </rPr>
      <t xml:space="preserve">Im(Hn)
</t>
    </r>
    <r>
      <rPr>
        <b val="true"/>
        <sz val="9.5"/>
        <color rgb="FFFFB454"/>
        <rFont val="Noto Sans CJK SC"/>
        <family val="2"/>
      </rPr>
      <t xml:space="preserve">正規化虚部</t>
    </r>
  </si>
  <si>
    <t xml:space="preserve">コヒーレンス
（任意）</t>
  </si>
  <si>
    <r>
      <rPr>
        <sz val="9"/>
        <color rgb="FF9AA7B5"/>
        <rFont val="Noto Sans CJK SC"/>
        <family val="2"/>
      </rPr>
      <t xml:space="preserve">← コヒーレンス（</t>
    </r>
    <r>
      <rPr>
        <sz val="9"/>
        <color rgb="FF9AA7B5"/>
        <rFont val="Arial"/>
        <family val="0"/>
        <charset val="1"/>
      </rPr>
      <t xml:space="preserve">0</t>
    </r>
    <r>
      <rPr>
        <sz val="9"/>
        <color rgb="FF9AA7B5"/>
        <rFont val="Noto Sans CJK SC"/>
        <family val="2"/>
      </rPr>
      <t xml:space="preserve">〜</t>
    </r>
    <r>
      <rPr>
        <sz val="9"/>
        <color rgb="FF9AA7B5"/>
        <rFont val="Arial"/>
        <family val="0"/>
        <charset val="1"/>
      </rPr>
      <t xml:space="preserve">1</t>
    </r>
    <r>
      <rPr>
        <sz val="9"/>
        <color rgb="FF9AA7B5"/>
        <rFont val="Noto Sans CJK SC"/>
        <family val="2"/>
      </rPr>
      <t xml:space="preserve">）は任意入力。</t>
    </r>
    <r>
      <rPr>
        <sz val="9"/>
        <color rgb="FF9AA7B5"/>
        <rFont val="Arial"/>
        <family val="0"/>
        <charset val="1"/>
      </rPr>
      <t xml:space="preserve">0.9</t>
    </r>
    <r>
      <rPr>
        <sz val="9"/>
        <color rgb="FF9AA7B5"/>
        <rFont val="Noto Sans CJK SC"/>
        <family val="2"/>
      </rPr>
      <t xml:space="preserve">未満の点はデータ品質が悪い＝カーブフィットから外す判断材料になります。</t>
    </r>
  </si>
  <si>
    <t xml:space="preserve">④ モード数の確認（山はいくつ？）</t>
  </si>
  <si>
    <r>
      <rPr>
        <sz val="9"/>
        <color rgb="FF9AA7B5"/>
        <rFont val="Arial"/>
        <family val="0"/>
        <charset val="1"/>
      </rPr>
      <t xml:space="preserve">ME'scope </t>
    </r>
    <r>
      <rPr>
        <sz val="9"/>
        <color rgb="FF9AA7B5"/>
        <rFont val="Noto Sans CJK SC"/>
        <family val="2"/>
      </rPr>
      <t xml:space="preserve">の手順①「</t>
    </r>
    <r>
      <rPr>
        <sz val="9"/>
        <color rgb="FF9AA7B5"/>
        <rFont val="Arial"/>
        <family val="0"/>
        <charset val="1"/>
      </rPr>
      <t xml:space="preserve">Mode Indicator </t>
    </r>
    <r>
      <rPr>
        <sz val="9"/>
        <color rgb="FF9AA7B5"/>
        <rFont val="Noto Sans CJK SC"/>
        <family val="2"/>
      </rPr>
      <t xml:space="preserve">で山を数える」に相当。ここで決めたモード数が、後段の全ての前提になります。</t>
    </r>
  </si>
  <si>
    <t xml:space="preserve">■ しきい値の設定と判定</t>
  </si>
  <si>
    <r>
      <rPr>
        <sz val="10"/>
        <color rgb="FFDBE2EA"/>
        <rFont val="Noto Sans CJK SC"/>
        <family val="2"/>
      </rPr>
      <t xml:space="preserve">ピーク判定のしきい値（</t>
    </r>
    <r>
      <rPr>
        <sz val="10"/>
        <color rgb="FFDBE2EA"/>
        <rFont val="Arial"/>
        <family val="0"/>
        <charset val="1"/>
      </rPr>
      <t xml:space="preserve">|H|</t>
    </r>
    <r>
      <rPr>
        <sz val="10"/>
        <color rgb="FFDBE2EA"/>
        <rFont val="Noto Sans CJK SC"/>
        <family val="2"/>
      </rPr>
      <t xml:space="preserve">最大値に対する割合）</t>
    </r>
  </si>
  <si>
    <r>
      <rPr>
        <sz val="9"/>
        <color rgb="FF9AA7B5"/>
        <rFont val="Arial"/>
        <family val="0"/>
        <charset val="1"/>
      </rPr>
      <t xml:space="preserve">← 0.10</t>
    </r>
    <r>
      <rPr>
        <sz val="9"/>
        <color rgb="FF9AA7B5"/>
        <rFont val="Noto Sans CJK SC"/>
        <family val="2"/>
      </rPr>
      <t xml:space="preserve">＝最大の</t>
    </r>
    <r>
      <rPr>
        <sz val="9"/>
        <color rgb="FF9AA7B5"/>
        <rFont val="Arial"/>
        <family val="0"/>
        <charset val="1"/>
      </rPr>
      <t xml:space="preserve">10%</t>
    </r>
    <r>
      <rPr>
        <sz val="9"/>
        <color rgb="FF9AA7B5"/>
        <rFont val="Noto Sans CJK SC"/>
        <family val="2"/>
      </rPr>
      <t xml:space="preserve">以上の高さを持つ山だけを数える</t>
    </r>
  </si>
  <si>
    <r>
      <rPr>
        <sz val="10"/>
        <color rgb="FFDBE2EA"/>
        <rFont val="Noto Sans CJK SC"/>
        <family val="2"/>
      </rPr>
      <t xml:space="preserve">→ 実際のしきい値 </t>
    </r>
    <r>
      <rPr>
        <sz val="10"/>
        <color rgb="FFDBE2EA"/>
        <rFont val="Arial"/>
        <family val="0"/>
        <charset val="1"/>
      </rPr>
      <t xml:space="preserve">|H|</t>
    </r>
  </si>
  <si>
    <t xml:space="preserve">検出されたピークの本数</t>
  </si>
  <si>
    <t xml:space="preserve">判定</t>
  </si>
  <si>
    <r>
      <rPr>
        <sz val="9"/>
        <color rgb="FF9AA7B5"/>
        <rFont val="Arial"/>
        <family val="0"/>
        <charset val="1"/>
      </rPr>
      <t xml:space="preserve">← 3</t>
    </r>
    <r>
      <rPr>
        <sz val="9"/>
        <color rgb="FF9AA7B5"/>
        <rFont val="Noto Sans CJK SC"/>
        <family val="2"/>
      </rPr>
      <t xml:space="preserve">本以上のときは帯域を狭くして「</t>
    </r>
    <r>
      <rPr>
        <sz val="9"/>
        <color rgb="FF9AA7B5"/>
        <rFont val="Arial"/>
        <family val="0"/>
        <charset val="1"/>
      </rPr>
      <t xml:space="preserve">2</t>
    </r>
    <r>
      <rPr>
        <sz val="9"/>
        <color rgb="FF9AA7B5"/>
        <rFont val="Noto Sans CJK SC"/>
        <family val="2"/>
      </rPr>
      <t xml:space="preserve">本ずつ」に区切るのが実務的な逃げ道です</t>
    </r>
  </si>
  <si>
    <t xml:space="preserve">ピークの周波数一覧</t>
  </si>
  <si>
    <r>
      <rPr>
        <b val="true"/>
        <sz val="11.5"/>
        <color rgb="FFFFB454"/>
        <rFont val="Noto Sans CJK SC"/>
        <family val="2"/>
      </rPr>
      <t xml:space="preserve">■ 単一</t>
    </r>
    <r>
      <rPr>
        <b val="true"/>
        <sz val="11.5"/>
        <color rgb="FFFFB454"/>
        <rFont val="Arial"/>
        <family val="0"/>
        <charset val="1"/>
      </rPr>
      <t xml:space="preserve">FRF</t>
    </r>
    <r>
      <rPr>
        <b val="true"/>
        <sz val="11.5"/>
        <color rgb="FFFFB454"/>
        <rFont val="Noto Sans CJK SC"/>
        <family val="2"/>
      </rPr>
      <t xml:space="preserve">用モードインジケータ（</t>
    </r>
    <r>
      <rPr>
        <b val="true"/>
        <sz val="11.5"/>
        <color rgb="FFFFB454"/>
        <rFont val="Arial"/>
        <family val="0"/>
        <charset val="1"/>
      </rPr>
      <t xml:space="preserve">MIF</t>
    </r>
    <r>
      <rPr>
        <b val="true"/>
        <sz val="11.5"/>
        <color rgb="FFFFB454"/>
        <rFont val="Noto Sans CJK SC"/>
        <family val="2"/>
      </rPr>
      <t xml:space="preserve">）</t>
    </r>
  </si>
  <si>
    <r>
      <rPr>
        <sz val="9.5"/>
        <color rgb="FF9AA7B5"/>
        <rFont val="Arial"/>
        <family val="0"/>
        <charset val="1"/>
      </rPr>
      <t xml:space="preserve">MIF = |Im(H)| ÷ |H| </t>
    </r>
    <r>
      <rPr>
        <sz val="9.5"/>
        <color rgb="FF9AA7B5"/>
        <rFont val="Noto Sans CJK SC"/>
        <family val="2"/>
      </rPr>
      <t xml:space="preserve">は共振でほぼ</t>
    </r>
    <r>
      <rPr>
        <sz val="9.5"/>
        <color rgb="FF9AA7B5"/>
        <rFont val="Arial"/>
        <family val="0"/>
        <charset val="1"/>
      </rPr>
      <t xml:space="preserve">1</t>
    </r>
    <r>
      <rPr>
        <sz val="9.5"/>
        <color rgb="FF9AA7B5"/>
        <rFont val="Noto Sans CJK SC"/>
        <family val="2"/>
      </rPr>
      <t xml:space="preserve">に近づき、共振から外れると小さくなります。振幅の大小に左右されない山の数え方です。</t>
    </r>
  </si>
  <si>
    <r>
      <rPr>
        <sz val="9.5"/>
        <color rgb="FFFF7A7A"/>
        <rFont val="Noto Sans CJK SC"/>
        <family val="2"/>
      </rPr>
      <t xml:space="preserve">🔴 本物の </t>
    </r>
    <r>
      <rPr>
        <sz val="9.5"/>
        <color rgb="FFFF7A7A"/>
        <rFont val="Arial"/>
        <family val="0"/>
        <charset val="1"/>
      </rPr>
      <t xml:space="preserve">CMIF</t>
    </r>
    <r>
      <rPr>
        <sz val="9.5"/>
        <color rgb="FFFF7A7A"/>
        <rFont val="Noto Sans CJK SC"/>
        <family val="2"/>
      </rPr>
      <t xml:space="preserve">（複素モードインジケータ関数）は「複数参照の</t>
    </r>
    <r>
      <rPr>
        <sz val="9.5"/>
        <color rgb="FFFF7A7A"/>
        <rFont val="Arial"/>
        <family val="0"/>
        <charset val="1"/>
      </rPr>
      <t xml:space="preserve">FRF</t>
    </r>
    <r>
      <rPr>
        <sz val="9.5"/>
        <color rgb="FFFF7A7A"/>
        <rFont val="Noto Sans CJK SC"/>
        <family val="2"/>
      </rPr>
      <t xml:space="preserve">行列を各周波数で特異値分解する」もので、</t>
    </r>
    <r>
      <rPr>
        <sz val="9.5"/>
        <color rgb="FFFF7A7A"/>
        <rFont val="Arial"/>
        <family val="0"/>
        <charset val="1"/>
      </rPr>
      <t xml:space="preserve">Excel</t>
    </r>
    <r>
      <rPr>
        <sz val="9.5"/>
        <color rgb="FFFF7A7A"/>
        <rFont val="Noto Sans CJK SC"/>
        <family val="2"/>
      </rPr>
      <t xml:space="preserve">単体では組めません。ここは</t>
    </r>
    <r>
      <rPr>
        <sz val="9.5"/>
        <color rgb="FFFF7A7A"/>
        <rFont val="Arial"/>
        <family val="0"/>
        <charset val="1"/>
      </rPr>
      <t xml:space="preserve">1</t>
    </r>
    <r>
      <rPr>
        <sz val="9.5"/>
        <color rgb="FFFF7A7A"/>
        <rFont val="Noto Sans CJK SC"/>
        <family val="2"/>
      </rPr>
      <t xml:space="preserve">点加振用の簡易版です。</t>
    </r>
  </si>
  <si>
    <r>
      <rPr>
        <b val="true"/>
        <sz val="9"/>
        <color rgb="FFFFB454"/>
        <rFont val="Noto Sans CJK SC"/>
        <family val="2"/>
      </rPr>
      <t xml:space="preserve">周波数 </t>
    </r>
    <r>
      <rPr>
        <b val="true"/>
        <sz val="9"/>
        <color rgb="FFFFB454"/>
        <rFont val="Arial"/>
        <family val="0"/>
        <charset val="1"/>
      </rPr>
      <t xml:space="preserve">f [Hz]</t>
    </r>
  </si>
  <si>
    <r>
      <rPr>
        <b val="true"/>
        <sz val="9"/>
        <color rgb="FFFFB454"/>
        <rFont val="Noto Sans CJK SC"/>
        <family val="2"/>
      </rPr>
      <t xml:space="preserve">振幅 </t>
    </r>
    <r>
      <rPr>
        <b val="true"/>
        <sz val="9"/>
        <color rgb="FFFFB454"/>
        <rFont val="Arial"/>
        <family val="0"/>
        <charset val="1"/>
      </rPr>
      <t xml:space="preserve">|H|</t>
    </r>
  </si>
  <si>
    <r>
      <rPr>
        <b val="true"/>
        <sz val="9"/>
        <color rgb="FFFFB454"/>
        <rFont val="Noto Sans CJK SC"/>
        <family val="2"/>
      </rPr>
      <t xml:space="preserve">位相 </t>
    </r>
    <r>
      <rPr>
        <b val="true"/>
        <sz val="9"/>
        <color rgb="FFFFB454"/>
        <rFont val="Arial"/>
        <family val="0"/>
        <charset val="1"/>
      </rPr>
      <t xml:space="preserve">[deg]</t>
    </r>
  </si>
  <si>
    <t xml:space="preserve">MIF
|Im|/|H|</t>
  </si>
  <si>
    <t xml:space="preserve">ピーク判定</t>
  </si>
  <si>
    <t xml:space="preserve">ピーク周波数</t>
  </si>
  <si>
    <r>
      <rPr>
        <b val="true"/>
        <sz val="9"/>
        <color rgb="FFFFB454"/>
        <rFont val="Noto Sans CJK SC"/>
        <family val="2"/>
      </rPr>
      <t xml:space="preserve">参考：</t>
    </r>
    <r>
      <rPr>
        <b val="true"/>
        <sz val="9"/>
        <color rgb="FFFFB454"/>
        <rFont val="Arial"/>
        <family val="0"/>
        <charset val="1"/>
      </rPr>
      <t xml:space="preserve">Re(H)</t>
    </r>
  </si>
  <si>
    <r>
      <rPr>
        <b val="true"/>
        <sz val="9"/>
        <color rgb="FFFFB454"/>
        <rFont val="Noto Sans CJK SC"/>
        <family val="2"/>
      </rPr>
      <t xml:space="preserve">参考：</t>
    </r>
    <r>
      <rPr>
        <b val="true"/>
        <sz val="9"/>
        <color rgb="FFFFB454"/>
        <rFont val="Arial"/>
        <family val="0"/>
        <charset val="1"/>
      </rPr>
      <t xml:space="preserve">Im(H)</t>
    </r>
  </si>
  <si>
    <t xml:space="preserve">【使い方】</t>
  </si>
  <si>
    <r>
      <rPr>
        <sz val="9"/>
        <color rgb="FFDBE2EA"/>
        <rFont val="Noto Sans CJK SC"/>
        <family val="2"/>
      </rPr>
      <t xml:space="preserve">① まず </t>
    </r>
    <r>
      <rPr>
        <sz val="9"/>
        <color rgb="FFDBE2EA"/>
        <rFont val="Arial"/>
        <family val="0"/>
        <charset val="1"/>
      </rPr>
      <t xml:space="preserve">E5 </t>
    </r>
    <r>
      <rPr>
        <sz val="9"/>
        <color rgb="FFDBE2EA"/>
        <rFont val="Noto Sans CJK SC"/>
        <family val="2"/>
      </rPr>
      <t xml:space="preserve">を </t>
    </r>
    <r>
      <rPr>
        <sz val="9"/>
        <color rgb="FFDBE2EA"/>
        <rFont val="Arial"/>
        <family val="0"/>
        <charset val="1"/>
      </rPr>
      <t xml:space="preserve">0.10 </t>
    </r>
    <r>
      <rPr>
        <sz val="9"/>
        <color rgb="FFDBE2EA"/>
        <rFont val="Noto Sans CJK SC"/>
        <family val="2"/>
      </rPr>
      <t xml:space="preserve">のままで本数を見る。</t>
    </r>
  </si>
  <si>
    <r>
      <rPr>
        <sz val="9"/>
        <color rgb="FFDBE2EA"/>
        <rFont val="Noto Sans CJK SC"/>
        <family val="2"/>
      </rPr>
      <t xml:space="preserve">② ノイズを山と誤検出しているようなら </t>
    </r>
    <r>
      <rPr>
        <sz val="9"/>
        <color rgb="FFDBE2EA"/>
        <rFont val="Arial"/>
        <family val="0"/>
        <charset val="1"/>
      </rPr>
      <t xml:space="preserve">E5 </t>
    </r>
    <r>
      <rPr>
        <sz val="9"/>
        <color rgb="FFDBE2EA"/>
        <rFont val="Noto Sans CJK SC"/>
        <family val="2"/>
      </rPr>
      <t xml:space="preserve">を </t>
    </r>
    <r>
      <rPr>
        <sz val="9"/>
        <color rgb="FFDBE2EA"/>
        <rFont val="Arial"/>
        <family val="0"/>
        <charset val="1"/>
      </rPr>
      <t xml:space="preserve">0.2</t>
    </r>
    <r>
      <rPr>
        <sz val="9"/>
        <color rgb="FFDBE2EA"/>
        <rFont val="Noto Sans CJK SC"/>
        <family val="2"/>
      </rPr>
      <t xml:space="preserve">〜</t>
    </r>
    <r>
      <rPr>
        <sz val="9"/>
        <color rgb="FFDBE2EA"/>
        <rFont val="Arial"/>
        <family val="0"/>
        <charset val="1"/>
      </rPr>
      <t xml:space="preserve">0.3 </t>
    </r>
    <r>
      <rPr>
        <sz val="9"/>
        <color rgb="FFDBE2EA"/>
        <rFont val="Noto Sans CJK SC"/>
        <family val="2"/>
      </rPr>
      <t xml:space="preserve">に上げる。</t>
    </r>
  </si>
  <si>
    <r>
      <rPr>
        <sz val="9"/>
        <color rgb="FFDBE2EA"/>
        <rFont val="Noto Sans CJK SC"/>
        <family val="2"/>
      </rPr>
      <t xml:space="preserve">③ 小さい方の山を拾えていないなら </t>
    </r>
    <r>
      <rPr>
        <sz val="9"/>
        <color rgb="FFDBE2EA"/>
        <rFont val="Arial"/>
        <family val="0"/>
        <charset val="1"/>
      </rPr>
      <t xml:space="preserve">0.03</t>
    </r>
    <r>
      <rPr>
        <sz val="9"/>
        <color rgb="FFDBE2EA"/>
        <rFont val="Noto Sans CJK SC"/>
        <family val="2"/>
      </rPr>
      <t xml:space="preserve">〜</t>
    </r>
    <r>
      <rPr>
        <sz val="9"/>
        <color rgb="FFDBE2EA"/>
        <rFont val="Arial"/>
        <family val="0"/>
        <charset val="1"/>
      </rPr>
      <t xml:space="preserve">0.05 </t>
    </r>
    <r>
      <rPr>
        <sz val="9"/>
        <color rgb="FFDBE2EA"/>
        <rFont val="Noto Sans CJK SC"/>
        <family val="2"/>
      </rPr>
      <t xml:space="preserve">に下げる。</t>
    </r>
  </si>
  <si>
    <r>
      <rPr>
        <sz val="9"/>
        <color rgb="FFDBE2EA"/>
        <rFont val="Noto Sans CJK SC"/>
        <family val="2"/>
      </rPr>
      <t xml:space="preserve">④ 本数が確定したら、</t>
    </r>
    <r>
      <rPr>
        <sz val="9"/>
        <color rgb="FFDBE2EA"/>
        <rFont val="Arial"/>
        <family val="0"/>
        <charset val="1"/>
      </rPr>
      <t xml:space="preserve">G</t>
    </r>
    <r>
      <rPr>
        <sz val="9"/>
        <color rgb="FFDBE2EA"/>
        <rFont val="Noto Sans CJK SC"/>
        <family val="2"/>
      </rPr>
      <t xml:space="preserve">列に出た周波数を </t>
    </r>
    <r>
      <rPr>
        <sz val="9"/>
        <color rgb="FFDBE2EA"/>
        <rFont val="Arial"/>
        <family val="0"/>
        <charset val="1"/>
      </rPr>
      <t xml:space="preserve">08</t>
    </r>
    <r>
      <rPr>
        <sz val="9"/>
        <color rgb="FFDBE2EA"/>
        <rFont val="Noto Sans CJK SC"/>
        <family val="2"/>
      </rPr>
      <t xml:space="preserve">シートの </t>
    </r>
    <r>
      <rPr>
        <sz val="9"/>
        <color rgb="FFDBE2EA"/>
        <rFont val="Arial"/>
        <family val="0"/>
        <charset val="1"/>
      </rPr>
      <t xml:space="preserve">B11</t>
    </r>
    <r>
      <rPr>
        <sz val="9"/>
        <color rgb="FFDBE2EA"/>
        <rFont val="Noto Sans CJK SC"/>
        <family val="2"/>
      </rPr>
      <t xml:space="preserve">・</t>
    </r>
    <r>
      <rPr>
        <sz val="9"/>
        <color rgb="FFDBE2EA"/>
        <rFont val="Arial"/>
        <family val="0"/>
        <charset val="1"/>
      </rPr>
      <t xml:space="preserve">B12 </t>
    </r>
    <r>
      <rPr>
        <sz val="9"/>
        <color rgb="FFDBE2EA"/>
        <rFont val="Noto Sans CJK SC"/>
        <family val="2"/>
      </rPr>
      <t xml:space="preserve">に写す。</t>
    </r>
  </si>
  <si>
    <t xml:space="preserve">【なぜ本数が全ての前提なのか】</t>
  </si>
  <si>
    <r>
      <rPr>
        <sz val="9"/>
        <color rgb="FFDBE2EA"/>
        <rFont val="Arial"/>
        <family val="0"/>
        <charset val="1"/>
      </rPr>
      <t xml:space="preserve">RFP</t>
    </r>
    <r>
      <rPr>
        <sz val="9"/>
        <color rgb="FFDBE2EA"/>
        <rFont val="Noto Sans CJK SC"/>
        <family val="2"/>
      </rPr>
      <t xml:space="preserve">法は『分母を何次にするか』でモードの本数を決め打ちします。</t>
    </r>
  </si>
  <si>
    <t xml:space="preserve">本数を間違えると、存在しないモードをでっち上げたり、</t>
  </si>
  <si>
    <r>
      <rPr>
        <sz val="9"/>
        <color rgb="FFDBE2EA"/>
        <rFont val="Noto Sans CJK SC"/>
        <family val="2"/>
      </rPr>
      <t xml:space="preserve">実在するモードを</t>
    </r>
    <r>
      <rPr>
        <sz val="9"/>
        <color rgb="FFDBE2EA"/>
        <rFont val="Arial"/>
        <family val="0"/>
        <charset val="1"/>
      </rPr>
      <t xml:space="preserve">1</t>
    </r>
    <r>
      <rPr>
        <sz val="9"/>
        <color rgb="FFDBE2EA"/>
        <rFont val="Noto Sans CJK SC"/>
        <family val="2"/>
      </rPr>
      <t xml:space="preserve">本に融合させたりします。</t>
    </r>
  </si>
  <si>
    <t xml:space="preserve">しかも“それらしい数字”は必ず出てしまうので、</t>
  </si>
  <si>
    <r>
      <rPr>
        <sz val="9"/>
        <color rgb="FFDBE2EA"/>
        <rFont val="Arial"/>
        <family val="0"/>
        <charset val="1"/>
      </rPr>
      <t xml:space="preserve">11</t>
    </r>
    <r>
      <rPr>
        <sz val="9"/>
        <color rgb="FFDBE2EA"/>
        <rFont val="Noto Sans CJK SC"/>
        <family val="2"/>
      </rPr>
      <t xml:space="preserve">シートの重ね描きで必ず検算してください。</t>
    </r>
  </si>
  <si>
    <t xml:space="preserve">⑤ 半値幅法（はんちはばほう）｜一番簡単な方法で“当たり”を付ける</t>
  </si>
  <si>
    <r>
      <rPr>
        <sz val="9"/>
        <color rgb="FF9AA7B5"/>
        <rFont val="Noto Sans CJK SC"/>
        <family val="2"/>
      </rPr>
      <t xml:space="preserve">定規で山の幅を測るだけの方法。</t>
    </r>
    <r>
      <rPr>
        <sz val="9"/>
        <color rgb="FF9AA7B5"/>
        <rFont val="Arial"/>
        <family val="0"/>
        <charset val="1"/>
      </rPr>
      <t xml:space="preserve">08</t>
    </r>
    <r>
      <rPr>
        <sz val="9"/>
        <color rgb="FF9AA7B5"/>
        <rFont val="Noto Sans CJK SC"/>
        <family val="2"/>
      </rPr>
      <t xml:space="preserve">シートのニュートン法に渡す初期値づくりとして使います。山が</t>
    </r>
    <r>
      <rPr>
        <sz val="9"/>
        <color rgb="FF9AA7B5"/>
        <rFont val="Arial"/>
        <family val="0"/>
        <charset val="1"/>
      </rPr>
      <t xml:space="preserve">1</t>
    </r>
    <r>
      <rPr>
        <sz val="9"/>
        <color rgb="FF9AA7B5"/>
        <rFont val="Noto Sans CJK SC"/>
        <family val="2"/>
      </rPr>
      <t xml:space="preserve">本なら、これが最終答えでも構いません。</t>
    </r>
  </si>
  <si>
    <r>
      <rPr>
        <b val="true"/>
        <sz val="11.5"/>
        <color rgb="FFFFB454"/>
        <rFont val="Noto Sans CJK SC"/>
        <family val="2"/>
      </rPr>
      <t xml:space="preserve">■ 自動計算（貼ったデータから最大ピークを</t>
    </r>
    <r>
      <rPr>
        <b val="true"/>
        <sz val="11.5"/>
        <color rgb="FFFFB454"/>
        <rFont val="Arial"/>
        <family val="0"/>
        <charset val="1"/>
      </rPr>
      <t xml:space="preserve">1</t>
    </r>
    <r>
      <rPr>
        <b val="true"/>
        <sz val="11.5"/>
        <color rgb="FFFFB454"/>
        <rFont val="Noto Sans CJK SC"/>
        <family val="2"/>
      </rPr>
      <t xml:space="preserve">本だけ拾います）</t>
    </r>
  </si>
  <si>
    <r>
      <rPr>
        <sz val="10"/>
        <color rgb="FFDBE2EA"/>
        <rFont val="Noto Sans CJK SC"/>
        <family val="2"/>
      </rPr>
      <t xml:space="preserve">ピークの振幅 </t>
    </r>
    <r>
      <rPr>
        <sz val="10"/>
        <color rgb="FFDBE2EA"/>
        <rFont val="Arial"/>
        <family val="0"/>
        <charset val="1"/>
      </rPr>
      <t xml:space="preserve">|H|max</t>
    </r>
  </si>
  <si>
    <r>
      <rPr>
        <sz val="10"/>
        <color rgb="FFDBE2EA"/>
        <rFont val="Noto Sans CJK SC"/>
        <family val="2"/>
      </rPr>
      <t xml:space="preserve">ピーク周波数 </t>
    </r>
    <r>
      <rPr>
        <sz val="10"/>
        <color rgb="FFDBE2EA"/>
        <rFont val="Arial"/>
        <family val="0"/>
        <charset val="1"/>
      </rPr>
      <t xml:space="preserve">fpeak [Hz]</t>
    </r>
  </si>
  <si>
    <r>
      <rPr>
        <sz val="10"/>
        <color rgb="FFDBE2EA"/>
        <rFont val="Noto Sans CJK SC"/>
        <family val="2"/>
      </rPr>
      <t xml:space="preserve">半値レベル（</t>
    </r>
    <r>
      <rPr>
        <sz val="10"/>
        <color rgb="FFDBE2EA"/>
        <rFont val="Arial"/>
        <family val="0"/>
        <charset val="1"/>
      </rPr>
      <t xml:space="preserve">-3dB</t>
    </r>
    <r>
      <rPr>
        <sz val="10"/>
        <color rgb="FFDBE2EA"/>
        <rFont val="Noto Sans CJK SC"/>
        <family val="2"/>
      </rPr>
      <t xml:space="preserve">）</t>
    </r>
    <r>
      <rPr>
        <sz val="10"/>
        <color rgb="FFDBE2EA"/>
        <rFont val="Arial"/>
        <family val="0"/>
        <charset val="1"/>
      </rPr>
      <t xml:space="preserve">= |H|max ÷ √2</t>
    </r>
  </si>
  <si>
    <r>
      <rPr>
        <sz val="10"/>
        <color rgb="FFDBE2EA"/>
        <rFont val="Noto Sans CJK SC"/>
        <family val="2"/>
      </rPr>
      <t xml:space="preserve">下側交点 </t>
    </r>
    <r>
      <rPr>
        <sz val="10"/>
        <color rgb="FFDBE2EA"/>
        <rFont val="Arial"/>
        <family val="0"/>
        <charset val="1"/>
      </rPr>
      <t xml:space="preserve">f1 [Hz]</t>
    </r>
  </si>
  <si>
    <r>
      <rPr>
        <sz val="10"/>
        <color rgb="FFDBE2EA"/>
        <rFont val="Noto Sans CJK SC"/>
        <family val="2"/>
      </rPr>
      <t xml:space="preserve">上側交点 </t>
    </r>
    <r>
      <rPr>
        <sz val="10"/>
        <color rgb="FFDBE2EA"/>
        <rFont val="Arial"/>
        <family val="0"/>
        <charset val="1"/>
      </rPr>
      <t xml:space="preserve">f2 [Hz]</t>
    </r>
  </si>
  <si>
    <r>
      <rPr>
        <sz val="10"/>
        <color rgb="FFDBE2EA"/>
        <rFont val="Noto Sans CJK SC"/>
        <family val="2"/>
      </rPr>
      <t xml:space="preserve">半値幅 </t>
    </r>
    <r>
      <rPr>
        <sz val="10"/>
        <color rgb="FFDBE2EA"/>
        <rFont val="Arial"/>
        <family val="0"/>
        <charset val="1"/>
      </rPr>
      <t xml:space="preserve">Δf3dB [Hz]</t>
    </r>
  </si>
  <si>
    <r>
      <rPr>
        <sz val="10"/>
        <color rgb="FFDBE2EA"/>
        <rFont val="Noto Sans CJK SC"/>
        <family val="2"/>
      </rPr>
      <t xml:space="preserve">損失係数 </t>
    </r>
    <r>
      <rPr>
        <sz val="10"/>
        <color rgb="FFDBE2EA"/>
        <rFont val="Arial"/>
        <family val="0"/>
        <charset val="1"/>
      </rPr>
      <t xml:space="preserve">η = Δf3dB ÷ fpeak</t>
    </r>
  </si>
  <si>
    <r>
      <rPr>
        <sz val="10"/>
        <color rgb="FFDBE2EA"/>
        <rFont val="Noto Sans CJK SC"/>
        <family val="2"/>
      </rPr>
      <t xml:space="preserve">減衰比 </t>
    </r>
    <r>
      <rPr>
        <sz val="10"/>
        <color rgb="FFDBE2EA"/>
        <rFont val="Arial"/>
        <family val="0"/>
        <charset val="1"/>
      </rPr>
      <t xml:space="preserve">ζ = η ÷ 2</t>
    </r>
  </si>
  <si>
    <r>
      <rPr>
        <sz val="10"/>
        <color rgb="FFDBE2EA"/>
        <rFont val="Arial"/>
        <family val="0"/>
        <charset val="1"/>
      </rPr>
      <t xml:space="preserve">Q</t>
    </r>
    <r>
      <rPr>
        <sz val="10"/>
        <color rgb="FFDBE2EA"/>
        <rFont val="Noto Sans CJK SC"/>
        <family val="2"/>
      </rPr>
      <t xml:space="preserve">値 </t>
    </r>
    <r>
      <rPr>
        <sz val="10"/>
        <color rgb="FFDBE2EA"/>
        <rFont val="Arial"/>
        <family val="0"/>
        <charset val="1"/>
      </rPr>
      <t xml:space="preserve">= 1 ÷ η</t>
    </r>
  </si>
  <si>
    <r>
      <rPr>
        <sz val="10"/>
        <color rgb="FFDBE2EA"/>
        <rFont val="Noto Sans CJK SC"/>
        <family val="2"/>
      </rPr>
      <t xml:space="preserve">減衰係数 </t>
    </r>
    <r>
      <rPr>
        <sz val="10"/>
        <color rgb="FFDBE2EA"/>
        <rFont val="Arial"/>
        <family val="0"/>
        <charset val="1"/>
      </rPr>
      <t xml:space="preserve">σ [Hz]</t>
    </r>
    <r>
      <rPr>
        <sz val="10"/>
        <color rgb="FFDBE2EA"/>
        <rFont val="Noto Sans CJK SC"/>
        <family val="2"/>
      </rPr>
      <t xml:space="preserve">（＝半値幅の半分）</t>
    </r>
  </si>
  <si>
    <r>
      <rPr>
        <sz val="10"/>
        <color rgb="FFDBE2EA"/>
        <rFont val="Noto Sans CJK SC"/>
        <family val="2"/>
      </rPr>
      <t xml:space="preserve">減衰係数 </t>
    </r>
    <r>
      <rPr>
        <sz val="10"/>
        <color rgb="FFDBE2EA"/>
        <rFont val="Arial"/>
        <family val="0"/>
        <charset val="1"/>
      </rPr>
      <t xml:space="preserve">σ [rad/s]</t>
    </r>
  </si>
  <si>
    <t xml:space="preserve">■ 妥当性チェック（ここが一番大事）</t>
  </si>
  <si>
    <t xml:space="preserve">検出されたピーク本数</t>
  </si>
  <si>
    <t xml:space="preserve">半値幅法は使ってよい？</t>
  </si>
  <si>
    <r>
      <rPr>
        <sz val="10"/>
        <color rgb="FFDBE2EA"/>
        <rFont val="Noto Sans CJK SC"/>
        <family val="2"/>
      </rPr>
      <t xml:space="preserve">半値幅と </t>
    </r>
    <r>
      <rPr>
        <sz val="10"/>
        <color rgb="FFDBE2EA"/>
        <rFont val="Arial"/>
        <family val="0"/>
        <charset val="1"/>
      </rPr>
      <t xml:space="preserve">Δf </t>
    </r>
    <r>
      <rPr>
        <sz val="10"/>
        <color rgb="FFDBE2EA"/>
        <rFont val="Noto Sans CJK SC"/>
        <family val="2"/>
      </rPr>
      <t xml:space="preserve">の比</t>
    </r>
  </si>
  <si>
    <r>
      <rPr>
        <b val="true"/>
        <sz val="11.5"/>
        <color rgb="FFFFB454"/>
        <rFont val="Arial"/>
        <family val="0"/>
        <charset val="1"/>
      </rPr>
      <t xml:space="preserve">■ 08</t>
    </r>
    <r>
      <rPr>
        <b val="true"/>
        <sz val="11.5"/>
        <color rgb="FFFFB454"/>
        <rFont val="Noto Sans CJK SC"/>
        <family val="2"/>
      </rPr>
      <t xml:space="preserve">シートへ渡す初期値（ここをそのまま写してください）</t>
    </r>
  </si>
  <si>
    <r>
      <rPr>
        <sz val="10"/>
        <color rgb="FFDBE2EA"/>
        <rFont val="Noto Sans CJK SC"/>
        <family val="2"/>
      </rPr>
      <t xml:space="preserve">山①のおよその周波数 </t>
    </r>
    <r>
      <rPr>
        <sz val="10"/>
        <color rgb="FFDBE2EA"/>
        <rFont val="Arial"/>
        <family val="0"/>
        <charset val="1"/>
      </rPr>
      <t xml:space="preserve">[Hz]</t>
    </r>
  </si>
  <si>
    <r>
      <rPr>
        <sz val="9"/>
        <color rgb="FF9AA7B5"/>
        <rFont val="Arial"/>
        <family val="0"/>
        <charset val="1"/>
      </rPr>
      <t xml:space="preserve">2</t>
    </r>
    <r>
      <rPr>
        <sz val="9"/>
        <color rgb="FF9AA7B5"/>
        <rFont val="Noto Sans CJK SC"/>
        <family val="2"/>
      </rPr>
      <t xml:space="preserve">本ある時は </t>
    </r>
    <r>
      <rPr>
        <sz val="9"/>
        <color rgb="FF9AA7B5"/>
        <rFont val="Arial"/>
        <family val="0"/>
        <charset val="1"/>
      </rPr>
      <t xml:space="preserve">04</t>
    </r>
    <r>
      <rPr>
        <sz val="9"/>
        <color rgb="FF9AA7B5"/>
        <rFont val="Noto Sans CJK SC"/>
        <family val="2"/>
      </rPr>
      <t xml:space="preserve">シートの「◀ ピーク」が付いた行の周波数を</t>
    </r>
    <r>
      <rPr>
        <sz val="9"/>
        <color rgb="FF9AA7B5"/>
        <rFont val="Arial"/>
        <family val="0"/>
        <charset val="1"/>
      </rPr>
      <t xml:space="preserve">2</t>
    </r>
    <r>
      <rPr>
        <sz val="9"/>
        <color rgb="FF9AA7B5"/>
        <rFont val="Noto Sans CJK SC"/>
        <family val="2"/>
      </rPr>
      <t xml:space="preserve">つ読み取り、</t>
    </r>
    <r>
      <rPr>
        <sz val="9"/>
        <color rgb="FF9AA7B5"/>
        <rFont val="Arial"/>
        <family val="0"/>
        <charset val="1"/>
      </rPr>
      <t xml:space="preserve">08</t>
    </r>
    <r>
      <rPr>
        <sz val="9"/>
        <color rgb="FF9AA7B5"/>
        <rFont val="Noto Sans CJK SC"/>
        <family val="2"/>
      </rPr>
      <t xml:space="preserve">シートに手入力してください。</t>
    </r>
  </si>
  <si>
    <r>
      <rPr>
        <sz val="10"/>
        <color rgb="FFDBE2EA"/>
        <rFont val="Noto Sans CJK SC"/>
        <family val="2"/>
      </rPr>
      <t xml:space="preserve">粗い </t>
    </r>
    <r>
      <rPr>
        <sz val="10"/>
        <color rgb="FFDBE2EA"/>
        <rFont val="Arial"/>
        <family val="0"/>
        <charset val="1"/>
      </rPr>
      <t xml:space="preserve">η </t>
    </r>
    <r>
      <rPr>
        <sz val="10"/>
        <color rgb="FFDBE2EA"/>
        <rFont val="Noto Sans CJK SC"/>
        <family val="2"/>
      </rPr>
      <t xml:space="preserve">の推定値</t>
    </r>
  </si>
  <si>
    <r>
      <rPr>
        <b val="true"/>
        <sz val="9.5"/>
        <color rgb="FFFFB454"/>
        <rFont val="Noto Sans CJK SC"/>
        <family val="2"/>
      </rPr>
      <t xml:space="preserve">周波数 </t>
    </r>
    <r>
      <rPr>
        <b val="true"/>
        <sz val="9.5"/>
        <color rgb="FFFFB454"/>
        <rFont val="Arial"/>
        <family val="0"/>
        <charset val="1"/>
      </rPr>
      <t xml:space="preserve">f [Hz]</t>
    </r>
  </si>
  <si>
    <r>
      <rPr>
        <b val="true"/>
        <sz val="9.5"/>
        <color rgb="FFFFB454"/>
        <rFont val="Noto Sans CJK SC"/>
        <family val="2"/>
      </rPr>
      <t xml:space="preserve">半値レベル比
</t>
    </r>
    <r>
      <rPr>
        <b val="true"/>
        <sz val="9.5"/>
        <color rgb="FFFFB454"/>
        <rFont val="Arial"/>
        <family val="0"/>
        <charset val="1"/>
      </rPr>
      <t xml:space="preserve">|H|/</t>
    </r>
    <r>
      <rPr>
        <b val="true"/>
        <sz val="9.5"/>
        <color rgb="FFFFB454"/>
        <rFont val="Noto Sans CJK SC"/>
        <family val="2"/>
      </rPr>
      <t xml:space="preserve">半値</t>
    </r>
  </si>
  <si>
    <r>
      <rPr>
        <b val="true"/>
        <sz val="9.5"/>
        <color rgb="FFFFB454"/>
        <rFont val="Noto Sans CJK SC"/>
        <family val="2"/>
      </rPr>
      <t xml:space="preserve">上り</t>
    </r>
    <r>
      <rPr>
        <b val="true"/>
        <sz val="9.5"/>
        <color rgb="FFFFB454"/>
        <rFont val="Arial"/>
        <family val="0"/>
        <charset val="1"/>
      </rPr>
      <t xml:space="preserve">/</t>
    </r>
    <r>
      <rPr>
        <b val="true"/>
        <sz val="9.5"/>
        <color rgb="FFFFB454"/>
        <rFont val="Noto Sans CJK SC"/>
        <family val="2"/>
      </rPr>
      <t xml:space="preserve">下り</t>
    </r>
  </si>
  <si>
    <r>
      <rPr>
        <b val="true"/>
        <sz val="9.5"/>
        <color rgb="FFFFB454"/>
        <rFont val="Noto Sans CJK SC"/>
        <family val="2"/>
      </rPr>
      <t xml:space="preserve">下側交点 </t>
    </r>
    <r>
      <rPr>
        <b val="true"/>
        <sz val="9.5"/>
        <color rgb="FFFFB454"/>
        <rFont val="Arial"/>
        <family val="0"/>
        <charset val="1"/>
      </rPr>
      <t xml:space="preserve">f1
</t>
    </r>
    <r>
      <rPr>
        <b val="true"/>
        <sz val="9.5"/>
        <color rgb="FFFFB454"/>
        <rFont val="Noto Sans CJK SC"/>
        <family val="2"/>
      </rPr>
      <t xml:space="preserve">（内挿）</t>
    </r>
  </si>
  <si>
    <r>
      <rPr>
        <b val="true"/>
        <sz val="9.5"/>
        <color rgb="FFFFB454"/>
        <rFont val="Noto Sans CJK SC"/>
        <family val="2"/>
      </rPr>
      <t xml:space="preserve">上側交点 </t>
    </r>
    <r>
      <rPr>
        <b val="true"/>
        <sz val="9.5"/>
        <color rgb="FFFFB454"/>
        <rFont val="Arial"/>
        <family val="0"/>
        <charset val="1"/>
      </rPr>
      <t xml:space="preserve">f2
</t>
    </r>
    <r>
      <rPr>
        <b val="true"/>
        <sz val="9.5"/>
        <color rgb="FFFFB454"/>
        <rFont val="Noto Sans CJK SC"/>
        <family val="2"/>
      </rPr>
      <t xml:space="preserve">（内挿）</t>
    </r>
  </si>
  <si>
    <t xml:space="preserve">備考</t>
  </si>
  <si>
    <r>
      <rPr>
        <b val="true"/>
        <sz val="15"/>
        <color rgb="FF5AD4FF"/>
        <rFont val="Arial"/>
        <family val="0"/>
        <charset val="1"/>
      </rPr>
      <t xml:space="preserve">⑥ RFP</t>
    </r>
    <r>
      <rPr>
        <b val="true"/>
        <sz val="15"/>
        <color rgb="FF5AD4FF"/>
        <rFont val="Noto Sans CJK SC"/>
        <family val="2"/>
      </rPr>
      <t xml:space="preserve">（有理多項式）法の設計行列｜自動生成・入力不要</t>
    </r>
  </si>
  <si>
    <r>
      <rPr>
        <sz val="9"/>
        <color rgb="FF9AA7B5"/>
        <rFont val="Arial"/>
        <family val="0"/>
        <charset val="1"/>
      </rPr>
      <t xml:space="preserve">FRF</t>
    </r>
    <r>
      <rPr>
        <sz val="9"/>
        <color rgb="FF9AA7B5"/>
        <rFont val="Noto Sans CJK SC"/>
        <family val="2"/>
      </rPr>
      <t xml:space="preserve">を『分子の多項式 </t>
    </r>
    <r>
      <rPr>
        <sz val="9"/>
        <color rgb="FF9AA7B5"/>
        <rFont val="Arial"/>
        <family val="0"/>
        <charset val="1"/>
      </rPr>
      <t xml:space="preserve">÷ </t>
    </r>
    <r>
      <rPr>
        <sz val="9"/>
        <color rgb="FF9AA7B5"/>
        <rFont val="Noto Sans CJK SC"/>
        <family val="2"/>
      </rPr>
      <t xml:space="preserve">分母の多項式』に当てはめる連立方程式の“材料”です。</t>
    </r>
    <r>
      <rPr>
        <sz val="9"/>
        <color rgb="FF9AA7B5"/>
        <rFont val="Arial"/>
        <family val="0"/>
        <charset val="1"/>
      </rPr>
      <t xml:space="preserve">1</t>
    </r>
    <r>
      <rPr>
        <sz val="9"/>
        <color rgb="FF9AA7B5"/>
        <rFont val="Noto Sans CJK SC"/>
        <family val="2"/>
      </rPr>
      <t xml:space="preserve">点につき実部・虚部の</t>
    </r>
    <r>
      <rPr>
        <sz val="9"/>
        <color rgb="FF9AA7B5"/>
        <rFont val="Arial"/>
        <family val="0"/>
        <charset val="1"/>
      </rPr>
      <t xml:space="preserve">2</t>
    </r>
    <r>
      <rPr>
        <sz val="9"/>
        <color rgb="FF9AA7B5"/>
        <rFont val="Noto Sans CJK SC"/>
        <family val="2"/>
      </rPr>
      <t xml:space="preserve">本の式ができます。</t>
    </r>
  </si>
  <si>
    <t xml:space="preserve">■ 当てはめるモデル式</t>
  </si>
  <si>
    <t xml:space="preserve">H(Ω) = [ b0 + b1(jΩ) + b2(jΩ)² + b3(jΩ)³ ] ÷ [ a0 + a1(jΩ) + a2(jΩ)² + a3(jΩ)³ + (jΩ)⁴ ]</t>
  </si>
  <si>
    <r>
      <rPr>
        <sz val="9.5"/>
        <color rgb="FFDBE2EA"/>
        <rFont val="Noto Sans CJK SC"/>
        <family val="2"/>
      </rPr>
      <t xml:space="preserve">分母を</t>
    </r>
    <r>
      <rPr>
        <sz val="9.5"/>
        <color rgb="FFDBE2EA"/>
        <rFont val="Arial"/>
        <family val="0"/>
        <charset val="1"/>
      </rPr>
      <t xml:space="preserve">4</t>
    </r>
    <r>
      <rPr>
        <sz val="9.5"/>
        <color rgb="FFDBE2EA"/>
        <rFont val="Noto Sans CJK SC"/>
        <family val="2"/>
      </rPr>
      <t xml:space="preserve">次にするのが肝。</t>
    </r>
    <r>
      <rPr>
        <sz val="9.5"/>
        <color rgb="FFDBE2EA"/>
        <rFont val="Arial"/>
        <family val="0"/>
        <charset val="1"/>
      </rPr>
      <t xml:space="preserve">4</t>
    </r>
    <r>
      <rPr>
        <sz val="9.5"/>
        <color rgb="FFDBE2EA"/>
        <rFont val="Noto Sans CJK SC"/>
        <family val="2"/>
      </rPr>
      <t xml:space="preserve">次方程式の根は</t>
    </r>
    <r>
      <rPr>
        <sz val="9.5"/>
        <color rgb="FFDBE2EA"/>
        <rFont val="Arial"/>
        <family val="0"/>
        <charset val="1"/>
      </rPr>
      <t xml:space="preserve">4</t>
    </r>
    <r>
      <rPr>
        <sz val="9.5"/>
        <color rgb="FFDBE2EA"/>
        <rFont val="Noto Sans CJK SC"/>
        <family val="2"/>
      </rPr>
      <t xml:space="preserve">つ＝複素共役ペアが</t>
    </r>
    <r>
      <rPr>
        <sz val="9.5"/>
        <color rgb="FFDBE2EA"/>
        <rFont val="Arial"/>
        <family val="0"/>
        <charset val="1"/>
      </rPr>
      <t xml:space="preserve">2</t>
    </r>
    <r>
      <rPr>
        <sz val="9.5"/>
        <color rgb="FFDBE2EA"/>
        <rFont val="Noto Sans CJK SC"/>
        <family val="2"/>
      </rPr>
      <t xml:space="preserve">組＝モードが</t>
    </r>
    <r>
      <rPr>
        <sz val="9.5"/>
        <color rgb="FFDBE2EA"/>
        <rFont val="Arial"/>
        <family val="0"/>
        <charset val="1"/>
      </rPr>
      <t xml:space="preserve">2</t>
    </r>
    <r>
      <rPr>
        <sz val="9.5"/>
        <color rgb="FFDBE2EA"/>
        <rFont val="Noto Sans CJK SC"/>
        <family val="2"/>
      </rPr>
      <t xml:space="preserve">つ。だから“双子モード”を数式ごと分離できます。</t>
    </r>
  </si>
  <si>
    <r>
      <rPr>
        <sz val="9.5"/>
        <color rgb="FF5EE6A0"/>
        <rFont val="Noto Sans CJK SC"/>
        <family val="2"/>
      </rPr>
      <t xml:space="preserve">両辺に分母を掛けると、未知数 </t>
    </r>
    <r>
      <rPr>
        <sz val="9.5"/>
        <color rgb="FF5EE6A0"/>
        <rFont val="Arial"/>
        <family val="0"/>
        <charset val="1"/>
      </rPr>
      <t xml:space="preserve">b0</t>
    </r>
    <r>
      <rPr>
        <sz val="9.5"/>
        <color rgb="FF5EE6A0"/>
        <rFont val="Noto Sans CJK SC"/>
        <family val="2"/>
      </rPr>
      <t xml:space="preserve">〜</t>
    </r>
    <r>
      <rPr>
        <sz val="9.5"/>
        <color rgb="FF5EE6A0"/>
        <rFont val="Arial"/>
        <family val="0"/>
        <charset val="1"/>
      </rPr>
      <t xml:space="preserve">b3, a0</t>
    </r>
    <r>
      <rPr>
        <sz val="9.5"/>
        <color rgb="FF5EE6A0"/>
        <rFont val="Noto Sans CJK SC"/>
        <family val="2"/>
      </rPr>
      <t xml:space="preserve">〜</t>
    </r>
    <r>
      <rPr>
        <sz val="9.5"/>
        <color rgb="FF5EE6A0"/>
        <rFont val="Arial"/>
        <family val="0"/>
        <charset val="1"/>
      </rPr>
      <t xml:space="preserve">a3 </t>
    </r>
    <r>
      <rPr>
        <sz val="9.5"/>
        <color rgb="FF5EE6A0"/>
        <rFont val="Noto Sans CJK SC"/>
        <family val="2"/>
      </rPr>
      <t xml:space="preserve">について完全に</t>
    </r>
    <r>
      <rPr>
        <sz val="9.5"/>
        <color rgb="FF5EE6A0"/>
        <rFont val="Arial"/>
        <family val="0"/>
        <charset val="1"/>
      </rPr>
      <t xml:space="preserve">1</t>
    </r>
    <r>
      <rPr>
        <sz val="9.5"/>
        <color rgb="FF5EE6A0"/>
        <rFont val="Noto Sans CJK SC"/>
        <family val="2"/>
      </rPr>
      <t xml:space="preserve">次（線形）の式になります。だから最小二乗法で一発で解けます。</t>
    </r>
  </si>
  <si>
    <r>
      <rPr>
        <sz val="9.5"/>
        <color rgb="FF5AD4FF"/>
        <rFont val="Noto Sans CJK SC"/>
        <family val="2"/>
      </rPr>
      <t xml:space="preserve">空白行（データ未入力の行）は係数も右辺も全部</t>
    </r>
    <r>
      <rPr>
        <sz val="9.5"/>
        <color rgb="FF5AD4FF"/>
        <rFont val="Arial"/>
        <family val="0"/>
        <charset val="1"/>
      </rPr>
      <t xml:space="preserve">0</t>
    </r>
    <r>
      <rPr>
        <sz val="9.5"/>
        <color rgb="FF5AD4FF"/>
        <rFont val="Noto Sans CJK SC"/>
        <family val="2"/>
      </rPr>
      <t xml:space="preserve">にしてあるので、何点貼っても範囲を書き換える必要はありません。</t>
    </r>
  </si>
  <si>
    <t xml:space="preserve">種別</t>
  </si>
  <si>
    <t xml:space="preserve">点番号</t>
  </si>
  <si>
    <t xml:space="preserve">有効</t>
  </si>
  <si>
    <r>
      <rPr>
        <b val="true"/>
        <sz val="9"/>
        <color rgb="FFFFB454"/>
        <rFont val="Arial"/>
        <family val="0"/>
        <charset val="1"/>
      </rPr>
      <t xml:space="preserve">Ω
</t>
    </r>
    <r>
      <rPr>
        <b val="true"/>
        <sz val="9"/>
        <color rgb="FFFFB454"/>
        <rFont val="Noto Sans CJK SC"/>
        <family val="2"/>
      </rPr>
      <t xml:space="preserve">正規化角周波数</t>
    </r>
  </si>
  <si>
    <t xml:space="preserve">Re(Hn)</t>
  </si>
  <si>
    <t xml:space="preserve">Im(Hn)</t>
  </si>
  <si>
    <r>
      <rPr>
        <b val="true"/>
        <sz val="9"/>
        <color rgb="FFFFB454"/>
        <rFont val="Arial"/>
        <family val="0"/>
        <charset val="1"/>
      </rPr>
      <t xml:space="preserve">b0</t>
    </r>
    <r>
      <rPr>
        <b val="true"/>
        <sz val="9"/>
        <color rgb="FFFFB454"/>
        <rFont val="Noto Sans CJK SC"/>
        <family val="2"/>
      </rPr>
      <t xml:space="preserve">の係数</t>
    </r>
  </si>
  <si>
    <r>
      <rPr>
        <b val="true"/>
        <sz val="9"/>
        <color rgb="FFFFB454"/>
        <rFont val="Arial"/>
        <family val="0"/>
        <charset val="1"/>
      </rPr>
      <t xml:space="preserve">b1</t>
    </r>
    <r>
      <rPr>
        <b val="true"/>
        <sz val="9"/>
        <color rgb="FFFFB454"/>
        <rFont val="Noto Sans CJK SC"/>
        <family val="2"/>
      </rPr>
      <t xml:space="preserve">の係数</t>
    </r>
  </si>
  <si>
    <r>
      <rPr>
        <b val="true"/>
        <sz val="9"/>
        <color rgb="FFFFB454"/>
        <rFont val="Arial"/>
        <family val="0"/>
        <charset val="1"/>
      </rPr>
      <t xml:space="preserve">b2</t>
    </r>
    <r>
      <rPr>
        <b val="true"/>
        <sz val="9"/>
        <color rgb="FFFFB454"/>
        <rFont val="Noto Sans CJK SC"/>
        <family val="2"/>
      </rPr>
      <t xml:space="preserve">の係数</t>
    </r>
  </si>
  <si>
    <r>
      <rPr>
        <b val="true"/>
        <sz val="9"/>
        <color rgb="FFFFB454"/>
        <rFont val="Arial"/>
        <family val="0"/>
        <charset val="1"/>
      </rPr>
      <t xml:space="preserve">b3</t>
    </r>
    <r>
      <rPr>
        <b val="true"/>
        <sz val="9"/>
        <color rgb="FFFFB454"/>
        <rFont val="Noto Sans CJK SC"/>
        <family val="2"/>
      </rPr>
      <t xml:space="preserve">の係数</t>
    </r>
  </si>
  <si>
    <r>
      <rPr>
        <b val="true"/>
        <sz val="9"/>
        <color rgb="FFFFB454"/>
        <rFont val="Arial"/>
        <family val="0"/>
        <charset val="1"/>
      </rPr>
      <t xml:space="preserve">a0</t>
    </r>
    <r>
      <rPr>
        <b val="true"/>
        <sz val="9"/>
        <color rgb="FFFFB454"/>
        <rFont val="Noto Sans CJK SC"/>
        <family val="2"/>
      </rPr>
      <t xml:space="preserve">の係数</t>
    </r>
  </si>
  <si>
    <r>
      <rPr>
        <b val="true"/>
        <sz val="9"/>
        <color rgb="FFFFB454"/>
        <rFont val="Arial"/>
        <family val="0"/>
        <charset val="1"/>
      </rPr>
      <t xml:space="preserve">a1</t>
    </r>
    <r>
      <rPr>
        <b val="true"/>
        <sz val="9"/>
        <color rgb="FFFFB454"/>
        <rFont val="Noto Sans CJK SC"/>
        <family val="2"/>
      </rPr>
      <t xml:space="preserve">の係数</t>
    </r>
  </si>
  <si>
    <r>
      <rPr>
        <b val="true"/>
        <sz val="9"/>
        <color rgb="FFFFB454"/>
        <rFont val="Arial"/>
        <family val="0"/>
        <charset val="1"/>
      </rPr>
      <t xml:space="preserve">a2</t>
    </r>
    <r>
      <rPr>
        <b val="true"/>
        <sz val="9"/>
        <color rgb="FFFFB454"/>
        <rFont val="Noto Sans CJK SC"/>
        <family val="2"/>
      </rPr>
      <t xml:space="preserve">の係数</t>
    </r>
  </si>
  <si>
    <r>
      <rPr>
        <b val="true"/>
        <sz val="9"/>
        <color rgb="FFFFB454"/>
        <rFont val="Arial"/>
        <family val="0"/>
        <charset val="1"/>
      </rPr>
      <t xml:space="preserve">a3</t>
    </r>
    <r>
      <rPr>
        <b val="true"/>
        <sz val="9"/>
        <color rgb="FFFFB454"/>
        <rFont val="Noto Sans CJK SC"/>
        <family val="2"/>
      </rPr>
      <t xml:space="preserve">の係数</t>
    </r>
  </si>
  <si>
    <r>
      <rPr>
        <b val="true"/>
        <sz val="9"/>
        <color rgb="FFFFB454"/>
        <rFont val="Noto Sans CJK SC"/>
        <family val="2"/>
      </rPr>
      <t xml:space="preserve">右辺 </t>
    </r>
    <r>
      <rPr>
        <b val="true"/>
        <sz val="9"/>
        <color rgb="FFFFB454"/>
        <rFont val="Arial"/>
        <family val="0"/>
        <charset val="1"/>
      </rPr>
      <t xml:space="preserve">RHS</t>
    </r>
  </si>
  <si>
    <r>
      <rPr>
        <sz val="9.5"/>
        <color rgb="FFC792EA"/>
        <rFont val="Noto Sans CJK SC"/>
        <family val="2"/>
      </rPr>
      <t xml:space="preserve">【実部の式】</t>
    </r>
    <r>
      <rPr>
        <sz val="9.5"/>
        <color rgb="FFC792EA"/>
        <rFont val="Arial"/>
        <family val="0"/>
        <charset val="1"/>
      </rPr>
      <t xml:space="preserve">b0 −b2Ω² −a0·Re −(−a1Ω·Im) + a2Ω²Re − a3Ω³Im = Ω⁴·Re</t>
    </r>
  </si>
  <si>
    <r>
      <rPr>
        <sz val="9.5"/>
        <color rgb="FFC792EA"/>
        <rFont val="Noto Sans CJK SC"/>
        <family val="2"/>
      </rPr>
      <t xml:space="preserve">【虚部の式】</t>
    </r>
    <r>
      <rPr>
        <sz val="9.5"/>
        <color rgb="FFC792EA"/>
        <rFont val="Arial"/>
        <family val="0"/>
        <charset val="1"/>
      </rPr>
      <t xml:space="preserve">b1Ω −b3Ω³ −a0·Im −a1Ω·Re + a2Ω²Im + a3Ω³Re = Ω⁴·Im</t>
    </r>
  </si>
  <si>
    <r>
      <rPr>
        <sz val="9"/>
        <color rgb="FF9AA7B5"/>
        <rFont val="Arial"/>
        <family val="0"/>
        <charset val="1"/>
      </rPr>
      <t xml:space="preserve">※ Ω</t>
    </r>
    <r>
      <rPr>
        <sz val="9"/>
        <color rgb="FF9AA7B5"/>
        <rFont val="Noto Sans CJK SC"/>
        <family val="2"/>
      </rPr>
      <t xml:space="preserve">＝</t>
    </r>
    <r>
      <rPr>
        <sz val="9"/>
        <color rgb="FF9AA7B5"/>
        <rFont val="Arial"/>
        <family val="0"/>
        <charset val="1"/>
      </rPr>
      <t xml:space="preserve">2πf/ωref</t>
    </r>
    <r>
      <rPr>
        <sz val="9"/>
        <color rgb="FF9AA7B5"/>
        <rFont val="Noto Sans CJK SC"/>
        <family val="2"/>
      </rPr>
      <t xml:space="preserve">（正規化角周波数）、</t>
    </r>
    <r>
      <rPr>
        <sz val="9"/>
        <color rgb="FF9AA7B5"/>
        <rFont val="Arial"/>
        <family val="0"/>
        <charset val="1"/>
      </rPr>
      <t xml:space="preserve">Hn</t>
    </r>
    <r>
      <rPr>
        <sz val="9"/>
        <color rgb="FF9AA7B5"/>
        <rFont val="Noto Sans CJK SC"/>
        <family val="2"/>
      </rPr>
      <t xml:space="preserve">＝</t>
    </r>
    <r>
      <rPr>
        <sz val="9"/>
        <color rgb="FF9AA7B5"/>
        <rFont val="Arial"/>
        <family val="0"/>
        <charset val="1"/>
      </rPr>
      <t xml:space="preserve">H/Href</t>
    </r>
    <r>
      <rPr>
        <sz val="9"/>
        <color rgb="FF9AA7B5"/>
        <rFont val="Noto Sans CJK SC"/>
        <family val="2"/>
      </rPr>
      <t xml:space="preserve">（正規化</t>
    </r>
    <r>
      <rPr>
        <sz val="9"/>
        <color rgb="FF9AA7B5"/>
        <rFont val="Arial"/>
        <family val="0"/>
        <charset val="1"/>
      </rPr>
      <t xml:space="preserve">FRF</t>
    </r>
    <r>
      <rPr>
        <sz val="9"/>
        <color rgb="FF9AA7B5"/>
        <rFont val="Noto Sans CJK SC"/>
        <family val="2"/>
      </rPr>
      <t xml:space="preserve">）。</t>
    </r>
  </si>
  <si>
    <r>
      <rPr>
        <sz val="9"/>
        <color rgb="FF5EE6A0"/>
        <rFont val="Noto Sans CJK SC"/>
        <family val="2"/>
      </rPr>
      <t xml:space="preserve">※ 周波数と振幅の両方を</t>
    </r>
    <r>
      <rPr>
        <sz val="9"/>
        <color rgb="FF5EE6A0"/>
        <rFont val="Arial"/>
        <family val="0"/>
        <charset val="1"/>
      </rPr>
      <t xml:space="preserve">1</t>
    </r>
    <r>
      <rPr>
        <sz val="9"/>
        <color rgb="FF5EE6A0"/>
        <rFont val="Noto Sans CJK SC"/>
        <family val="2"/>
      </rPr>
      <t xml:space="preserve">前後に正規化することで、行列の条件数が約</t>
    </r>
    <r>
      <rPr>
        <sz val="9"/>
        <color rgb="FF5EE6A0"/>
        <rFont val="Arial"/>
        <family val="0"/>
        <charset val="1"/>
      </rPr>
      <t xml:space="preserve">1.6×10⁹ → 5.8×10⁵ </t>
    </r>
    <r>
      <rPr>
        <sz val="9"/>
        <color rgb="FF5EE6A0"/>
        <rFont val="Noto Sans CJK SC"/>
        <family val="2"/>
      </rPr>
      <t xml:space="preserve">に改善します（</t>
    </r>
    <r>
      <rPr>
        <sz val="9"/>
        <color rgb="FF5EE6A0"/>
        <rFont val="Arial"/>
        <family val="0"/>
        <charset val="1"/>
      </rPr>
      <t xml:space="preserve">Python</t>
    </r>
    <r>
      <rPr>
        <sz val="9"/>
        <color rgb="FF5EE6A0"/>
        <rFont val="Noto Sans CJK SC"/>
        <family val="2"/>
      </rPr>
      <t xml:space="preserve">で検証済み🟢）。</t>
    </r>
  </si>
  <si>
    <r>
      <rPr>
        <b val="true"/>
        <sz val="15"/>
        <color rgb="FF5AD4FF"/>
        <rFont val="Noto Sans CJK SC"/>
        <family val="2"/>
      </rPr>
      <t xml:space="preserve">⑦ 最小二乗法で分子</t>
    </r>
    <r>
      <rPr>
        <b val="true"/>
        <sz val="15"/>
        <color rgb="FF5AD4FF"/>
        <rFont val="Arial"/>
        <family val="0"/>
        <charset val="1"/>
      </rPr>
      <t xml:space="preserve">b</t>
    </r>
    <r>
      <rPr>
        <b val="true"/>
        <sz val="15"/>
        <color rgb="FF5AD4FF"/>
        <rFont val="Noto Sans CJK SC"/>
        <family val="2"/>
      </rPr>
      <t xml:space="preserve">・分母</t>
    </r>
    <r>
      <rPr>
        <b val="true"/>
        <sz val="15"/>
        <color rgb="FF5AD4FF"/>
        <rFont val="Arial"/>
        <family val="0"/>
        <charset val="1"/>
      </rPr>
      <t xml:space="preserve">a</t>
    </r>
    <r>
      <rPr>
        <b val="true"/>
        <sz val="15"/>
        <color rgb="FF5AD4FF"/>
        <rFont val="Noto Sans CJK SC"/>
        <family val="2"/>
      </rPr>
      <t xml:space="preserve">を解く｜自動計算</t>
    </r>
  </si>
  <si>
    <r>
      <rPr>
        <sz val="9"/>
        <color rgb="FF9AA7B5"/>
        <rFont val="Noto Sans CJK SC"/>
        <family val="2"/>
      </rPr>
      <t xml:space="preserve">行列</t>
    </r>
    <r>
      <rPr>
        <sz val="9"/>
        <color rgb="FF9AA7B5"/>
        <rFont val="Arial"/>
        <family val="0"/>
        <charset val="1"/>
      </rPr>
      <t xml:space="preserve">A</t>
    </r>
    <r>
      <rPr>
        <sz val="9"/>
        <color rgb="FF9AA7B5"/>
        <rFont val="Noto Sans CJK SC"/>
        <family val="2"/>
      </rPr>
      <t xml:space="preserve">と右辺</t>
    </r>
    <r>
      <rPr>
        <sz val="9"/>
        <color rgb="FF9AA7B5"/>
        <rFont val="Arial"/>
        <family val="0"/>
        <charset val="1"/>
      </rPr>
      <t xml:space="preserve">c</t>
    </r>
    <r>
      <rPr>
        <sz val="9"/>
        <color rgb="FF9AA7B5"/>
        <rFont val="Noto Sans CJK SC"/>
        <family val="2"/>
      </rPr>
      <t xml:space="preserve">から、誤差の二乗和が最小になる解 </t>
    </r>
    <r>
      <rPr>
        <sz val="9"/>
        <color rgb="FF9AA7B5"/>
        <rFont val="Arial"/>
        <family val="0"/>
        <charset val="1"/>
      </rPr>
      <t xml:space="preserve">x </t>
    </r>
    <r>
      <rPr>
        <sz val="9"/>
        <color rgb="FF9AA7B5"/>
        <rFont val="Noto Sans CJK SC"/>
        <family val="2"/>
      </rPr>
      <t xml:space="preserve">を求めます。式は </t>
    </r>
    <r>
      <rPr>
        <sz val="9"/>
        <color rgb="FF9AA7B5"/>
        <rFont val="Arial"/>
        <family val="0"/>
        <charset val="1"/>
      </rPr>
      <t xml:space="preserve">x = (AᵀA + λI)⁻¹ Aᵀc </t>
    </r>
    <r>
      <rPr>
        <sz val="9"/>
        <color rgb="FF9AA7B5"/>
        <rFont val="Noto Sans CJK SC"/>
        <family val="2"/>
      </rPr>
      <t xml:space="preserve">の</t>
    </r>
    <r>
      <rPr>
        <sz val="9"/>
        <color rgb="FF9AA7B5"/>
        <rFont val="Arial"/>
        <family val="0"/>
        <charset val="1"/>
      </rPr>
      <t xml:space="preserve">1</t>
    </r>
    <r>
      <rPr>
        <sz val="9"/>
        <color rgb="FF9AA7B5"/>
        <rFont val="Noto Sans CJK SC"/>
        <family val="2"/>
      </rPr>
      <t xml:space="preserve">本だけ。</t>
    </r>
  </si>
  <si>
    <t xml:space="preserve">■ 数値安定化（リッジ正則化）</t>
  </si>
  <si>
    <t xml:space="preserve">リッジ係数</t>
  </si>
  <si>
    <r>
      <rPr>
        <sz val="9"/>
        <color rgb="FF9AA7B5"/>
        <rFont val="Noto Sans CJK SC"/>
        <family val="2"/>
      </rPr>
      <t xml:space="preserve">← 通常このまま。行列がほぼ特異になった時だけ </t>
    </r>
    <r>
      <rPr>
        <sz val="9"/>
        <color rgb="FF9AA7B5"/>
        <rFont val="Arial"/>
        <family val="0"/>
        <charset val="1"/>
      </rPr>
      <t xml:space="preserve">1E-10 </t>
    </r>
    <r>
      <rPr>
        <sz val="9"/>
        <color rgb="FF9AA7B5"/>
        <rFont val="Noto Sans CJK SC"/>
        <family val="2"/>
      </rPr>
      <t xml:space="preserve">に上げる（🟢</t>
    </r>
    <r>
      <rPr>
        <sz val="9"/>
        <color rgb="FF9AA7B5"/>
        <rFont val="Arial"/>
        <family val="0"/>
        <charset val="1"/>
      </rPr>
      <t xml:space="preserve">1E-12</t>
    </r>
    <r>
      <rPr>
        <sz val="9"/>
        <color rgb="FF9AA7B5"/>
        <rFont val="Noto Sans CJK SC"/>
        <family val="2"/>
      </rPr>
      <t xml:space="preserve">までは</t>
    </r>
    <r>
      <rPr>
        <sz val="9"/>
        <color rgb="FF9AA7B5"/>
        <rFont val="Arial"/>
        <family val="0"/>
        <charset val="1"/>
      </rPr>
      <t xml:space="preserve">6</t>
    </r>
    <r>
      <rPr>
        <sz val="9"/>
        <color rgb="FF9AA7B5"/>
        <rFont val="Noto Sans CJK SC"/>
        <family val="2"/>
      </rPr>
      <t xml:space="preserve">桁一致を検証済み）</t>
    </r>
  </si>
  <si>
    <t xml:space="preserve">対角平均</t>
  </si>
  <si>
    <r>
      <rPr>
        <sz val="10"/>
        <color rgb="FFDBE2EA"/>
        <rFont val="Arial"/>
        <family val="0"/>
        <charset val="1"/>
      </rPr>
      <t xml:space="preserve">λ</t>
    </r>
    <r>
      <rPr>
        <sz val="10"/>
        <color rgb="FFDBE2EA"/>
        <rFont val="Noto Sans CJK SC"/>
        <family val="2"/>
      </rPr>
      <t xml:space="preserve">（実際に足す量）</t>
    </r>
  </si>
  <si>
    <r>
      <rPr>
        <b val="true"/>
        <sz val="11.5"/>
        <color rgb="FFFFB454"/>
        <rFont val="Arial"/>
        <family val="0"/>
        <charset val="1"/>
      </rPr>
      <t xml:space="preserve">■ AᵀA</t>
    </r>
    <r>
      <rPr>
        <b val="true"/>
        <sz val="11.5"/>
        <color rgb="FFFFB454"/>
        <rFont val="Noto Sans CJK SC"/>
        <family val="2"/>
      </rPr>
      <t xml:space="preserve">（</t>
    </r>
    <r>
      <rPr>
        <b val="true"/>
        <sz val="11.5"/>
        <color rgb="FFFFB454"/>
        <rFont val="Arial"/>
        <family val="0"/>
        <charset val="1"/>
      </rPr>
      <t xml:space="preserve">8×8</t>
    </r>
    <r>
      <rPr>
        <b val="true"/>
        <sz val="11.5"/>
        <color rgb="FFFFB454"/>
        <rFont val="Noto Sans CJK SC"/>
        <family val="2"/>
      </rPr>
      <t xml:space="preserve">）</t>
    </r>
  </si>
  <si>
    <r>
      <rPr>
        <sz val="9"/>
        <color rgb="FF9AA7B5"/>
        <rFont val="Arial"/>
        <family val="0"/>
        <charset val="1"/>
      </rPr>
      <t xml:space="preserve">AᵀA </t>
    </r>
    <r>
      <rPr>
        <sz val="9"/>
        <color rgb="FF9AA7B5"/>
        <rFont val="Noto Sans CJK SC"/>
        <family val="2"/>
      </rPr>
      <t xml:space="preserve">は『各未知数どうしがどれくらい似ているか』を並べた表。ここが特異（逆行列が作れない）になると解が求まらないので、対角にごく小さな </t>
    </r>
    <r>
      <rPr>
        <sz val="9"/>
        <color rgb="FF9AA7B5"/>
        <rFont val="Arial"/>
        <family val="0"/>
        <charset val="1"/>
      </rPr>
      <t xml:space="preserve">λ </t>
    </r>
    <r>
      <rPr>
        <sz val="9"/>
        <color rgb="FF9AA7B5"/>
        <rFont val="Noto Sans CJK SC"/>
        <family val="2"/>
      </rPr>
      <t xml:space="preserve">を足して必ず解けるようにしています。これがリッジ正則化です。</t>
    </r>
  </si>
  <si>
    <r>
      <rPr>
        <b val="true"/>
        <sz val="11.5"/>
        <color rgb="FFFFB454"/>
        <rFont val="Arial"/>
        <family val="0"/>
        <charset val="1"/>
      </rPr>
      <t xml:space="preserve">■ AᵀA + λI</t>
    </r>
    <r>
      <rPr>
        <b val="true"/>
        <sz val="11.5"/>
        <color rgb="FFFFB454"/>
        <rFont val="Noto Sans CJK SC"/>
        <family val="2"/>
      </rPr>
      <t xml:space="preserve">（</t>
    </r>
    <r>
      <rPr>
        <b val="true"/>
        <sz val="11.5"/>
        <color rgb="FFFFB454"/>
        <rFont val="Arial"/>
        <family val="0"/>
        <charset val="1"/>
      </rPr>
      <t xml:space="preserve">8×8</t>
    </r>
    <r>
      <rPr>
        <b val="true"/>
        <sz val="11.5"/>
        <color rgb="FFFFB454"/>
        <rFont val="Noto Sans CJK SC"/>
        <family val="2"/>
      </rPr>
      <t xml:space="preserve">）</t>
    </r>
  </si>
  <si>
    <r>
      <rPr>
        <sz val="9"/>
        <color rgb="FF9AA7B5"/>
        <rFont val="Arial"/>
        <family val="0"/>
        <charset val="1"/>
      </rPr>
      <t xml:space="preserve">λ </t>
    </r>
    <r>
      <rPr>
        <sz val="9"/>
        <color rgb="FF9AA7B5"/>
        <rFont val="Noto Sans CJK SC"/>
        <family val="2"/>
      </rPr>
      <t xml:space="preserve">は対角平均の </t>
    </r>
    <r>
      <rPr>
        <sz val="9"/>
        <color rgb="FF9AA7B5"/>
        <rFont val="Arial"/>
        <family val="0"/>
        <charset val="1"/>
      </rPr>
      <t xml:space="preserve">1</t>
    </r>
    <r>
      <rPr>
        <sz val="9"/>
        <color rgb="FF9AA7B5"/>
        <rFont val="Noto Sans CJK SC"/>
        <family val="2"/>
      </rPr>
      <t xml:space="preserve">兆分の</t>
    </r>
    <r>
      <rPr>
        <sz val="9"/>
        <color rgb="FF9AA7B5"/>
        <rFont val="Arial"/>
        <family val="0"/>
        <charset val="1"/>
      </rPr>
      <t xml:space="preserve">1</t>
    </r>
    <r>
      <rPr>
        <sz val="9"/>
        <color rgb="FF9AA7B5"/>
        <rFont val="Noto Sans CJK SC"/>
        <family val="2"/>
      </rPr>
      <t xml:space="preserve">。答えを歪ませない程度に小さく、しかし計算を必ず成立させる大きさです。</t>
    </r>
  </si>
  <si>
    <r>
      <rPr>
        <b val="true"/>
        <sz val="11.5"/>
        <color rgb="FFFFB454"/>
        <rFont val="Arial"/>
        <family val="0"/>
        <charset val="1"/>
      </rPr>
      <t xml:space="preserve">■ (AᵀA+λI)⁻¹</t>
    </r>
    <r>
      <rPr>
        <b val="true"/>
        <sz val="11.5"/>
        <color rgb="FFFFB454"/>
        <rFont val="Noto Sans CJK SC"/>
        <family val="2"/>
      </rPr>
      <t xml:space="preserve">（</t>
    </r>
    <r>
      <rPr>
        <b val="true"/>
        <sz val="11.5"/>
        <color rgb="FFFFB454"/>
        <rFont val="Arial"/>
        <family val="0"/>
        <charset val="1"/>
      </rPr>
      <t xml:space="preserve">8×8</t>
    </r>
    <r>
      <rPr>
        <b val="true"/>
        <sz val="11.5"/>
        <color rgb="FFFFB454"/>
        <rFont val="Noto Sans CJK SC"/>
        <family val="2"/>
      </rPr>
      <t xml:space="preserve">）</t>
    </r>
  </si>
  <si>
    <r>
      <rPr>
        <b val="true"/>
        <sz val="11.5"/>
        <color rgb="FFFFB454"/>
        <rFont val="Arial"/>
        <family val="0"/>
        <charset val="1"/>
      </rPr>
      <t xml:space="preserve">■ Aᵀc</t>
    </r>
    <r>
      <rPr>
        <b val="true"/>
        <sz val="11.5"/>
        <color rgb="FFFFB454"/>
        <rFont val="Noto Sans CJK SC"/>
        <family val="2"/>
      </rPr>
      <t xml:space="preserve">（</t>
    </r>
    <r>
      <rPr>
        <b val="true"/>
        <sz val="11.5"/>
        <color rgb="FFFFB454"/>
        <rFont val="Arial"/>
        <family val="0"/>
        <charset val="1"/>
      </rPr>
      <t xml:space="preserve">8×1</t>
    </r>
    <r>
      <rPr>
        <b val="true"/>
        <sz val="11.5"/>
        <color rgb="FFFFB454"/>
        <rFont val="Noto Sans CJK SC"/>
        <family val="2"/>
      </rPr>
      <t xml:space="preserve">）と 解 </t>
    </r>
    <r>
      <rPr>
        <b val="true"/>
        <sz val="11.5"/>
        <color rgb="FFFFB454"/>
        <rFont val="Arial"/>
        <family val="0"/>
        <charset val="1"/>
      </rPr>
      <t xml:space="preserve">x</t>
    </r>
    <r>
      <rPr>
        <b val="true"/>
        <sz val="11.5"/>
        <color rgb="FFFFB454"/>
        <rFont val="Noto Sans CJK SC"/>
        <family val="2"/>
      </rPr>
      <t xml:space="preserve">（</t>
    </r>
    <r>
      <rPr>
        <b val="true"/>
        <sz val="11.5"/>
        <color rgb="FFFFB454"/>
        <rFont val="Arial"/>
        <family val="0"/>
        <charset val="1"/>
      </rPr>
      <t xml:space="preserve">8×1</t>
    </r>
    <r>
      <rPr>
        <b val="true"/>
        <sz val="11.5"/>
        <color rgb="FFFFB454"/>
        <rFont val="Noto Sans CJK SC"/>
        <family val="2"/>
      </rPr>
      <t xml:space="preserve">）</t>
    </r>
  </si>
  <si>
    <t xml:space="preserve">未知数</t>
  </si>
  <si>
    <t xml:space="preserve">Aᵀc</t>
  </si>
  <si>
    <r>
      <rPr>
        <b val="true"/>
        <sz val="9"/>
        <color rgb="FFFFB454"/>
        <rFont val="Noto Sans CJK SC"/>
        <family val="2"/>
      </rPr>
      <t xml:space="preserve">解 </t>
    </r>
    <r>
      <rPr>
        <b val="true"/>
        <sz val="9"/>
        <color rgb="FFFFB454"/>
        <rFont val="Arial"/>
        <family val="0"/>
        <charset val="1"/>
      </rPr>
      <t xml:space="preserve">x</t>
    </r>
    <r>
      <rPr>
        <b val="true"/>
        <sz val="9"/>
        <color rgb="FFFFB454"/>
        <rFont val="Noto Sans CJK SC"/>
        <family val="2"/>
      </rPr>
      <t xml:space="preserve">（＝答え）</t>
    </r>
  </si>
  <si>
    <t xml:space="preserve">b0</t>
  </si>
  <si>
    <t xml:space="preserve">分子 定数項</t>
  </si>
  <si>
    <r>
      <rPr>
        <sz val="9.5"/>
        <color rgb="FF5EE6A0"/>
        <rFont val="Arial"/>
        <family val="0"/>
        <charset val="1"/>
      </rPr>
      <t xml:space="preserve">a0</t>
    </r>
    <r>
      <rPr>
        <sz val="9.5"/>
        <color rgb="FF5EE6A0"/>
        <rFont val="Noto Sans CJK SC"/>
        <family val="2"/>
      </rPr>
      <t xml:space="preserve">〜</t>
    </r>
    <r>
      <rPr>
        <sz val="9.5"/>
        <color rgb="FF5EE6A0"/>
        <rFont val="Arial"/>
        <family val="0"/>
        <charset val="1"/>
      </rPr>
      <t xml:space="preserve">a3 </t>
    </r>
    <r>
      <rPr>
        <sz val="9.5"/>
        <color rgb="FF5EE6A0"/>
        <rFont val="Noto Sans CJK SC"/>
        <family val="2"/>
      </rPr>
      <t xml:space="preserve">が分母の</t>
    </r>
    <r>
      <rPr>
        <sz val="9.5"/>
        <color rgb="FF5EE6A0"/>
        <rFont val="Arial"/>
        <family val="0"/>
        <charset val="1"/>
      </rPr>
      <t xml:space="preserve">4</t>
    </r>
    <r>
      <rPr>
        <sz val="9.5"/>
        <color rgb="FF5EE6A0"/>
        <rFont val="Noto Sans CJK SC"/>
        <family val="2"/>
      </rPr>
      <t xml:space="preserve">次方程式 </t>
    </r>
    <r>
      <rPr>
        <sz val="9.5"/>
        <color rgb="FF5EE6A0"/>
        <rFont val="Arial"/>
        <family val="0"/>
        <charset val="1"/>
      </rPr>
      <t xml:space="preserve">s⁴+a3s³+a2s²+a1s+a0 </t>
    </r>
    <r>
      <rPr>
        <sz val="9.5"/>
        <color rgb="FF5EE6A0"/>
        <rFont val="Noto Sans CJK SC"/>
        <family val="2"/>
      </rPr>
      <t xml:space="preserve">の係数です。次の </t>
    </r>
    <r>
      <rPr>
        <sz val="9.5"/>
        <color rgb="FF5EE6A0"/>
        <rFont val="Arial"/>
        <family val="0"/>
        <charset val="1"/>
      </rPr>
      <t xml:space="preserve">08</t>
    </r>
    <r>
      <rPr>
        <sz val="9.5"/>
        <color rgb="FF5EE6A0"/>
        <rFont val="Noto Sans CJK SC"/>
        <family val="2"/>
      </rPr>
      <t xml:space="preserve">シートでこれを</t>
    </r>
    <r>
      <rPr>
        <sz val="9.5"/>
        <color rgb="FF5EE6A0"/>
        <rFont val="Arial"/>
        <family val="0"/>
        <charset val="1"/>
      </rPr>
      <t xml:space="preserve">2</t>
    </r>
    <r>
      <rPr>
        <sz val="9.5"/>
        <color rgb="FF5EE6A0"/>
        <rFont val="Noto Sans CJK SC"/>
        <family val="2"/>
      </rPr>
      <t xml:space="preserve">つの</t>
    </r>
    <r>
      <rPr>
        <sz val="9.5"/>
        <color rgb="FF5EE6A0"/>
        <rFont val="Arial"/>
        <family val="0"/>
        <charset val="1"/>
      </rPr>
      <t xml:space="preserve">2</t>
    </r>
    <r>
      <rPr>
        <sz val="9.5"/>
        <color rgb="FF5EE6A0"/>
        <rFont val="Noto Sans CJK SC"/>
        <family val="2"/>
      </rPr>
      <t xml:space="preserve">次式に割ります。</t>
    </r>
  </si>
  <si>
    <t xml:space="preserve">b1</t>
  </si>
  <si>
    <r>
      <rPr>
        <sz val="9"/>
        <color rgb="FF9AA7B5"/>
        <rFont val="Noto Sans CJK SC"/>
        <family val="2"/>
      </rPr>
      <t xml:space="preserve">分子 </t>
    </r>
    <r>
      <rPr>
        <sz val="9"/>
        <color rgb="FF9AA7B5"/>
        <rFont val="Arial"/>
        <family val="0"/>
        <charset val="1"/>
      </rPr>
      <t xml:space="preserve">1</t>
    </r>
    <r>
      <rPr>
        <sz val="9"/>
        <color rgb="FF9AA7B5"/>
        <rFont val="Noto Sans CJK SC"/>
        <family val="2"/>
      </rPr>
      <t xml:space="preserve">次</t>
    </r>
  </si>
  <si>
    <t xml:space="preserve">b2</t>
  </si>
  <si>
    <r>
      <rPr>
        <sz val="9"/>
        <color rgb="FF9AA7B5"/>
        <rFont val="Noto Sans CJK SC"/>
        <family val="2"/>
      </rPr>
      <t xml:space="preserve">分子 </t>
    </r>
    <r>
      <rPr>
        <sz val="9"/>
        <color rgb="FF9AA7B5"/>
        <rFont val="Arial"/>
        <family val="0"/>
        <charset val="1"/>
      </rPr>
      <t xml:space="preserve">2</t>
    </r>
    <r>
      <rPr>
        <sz val="9"/>
        <color rgb="FF9AA7B5"/>
        <rFont val="Noto Sans CJK SC"/>
        <family val="2"/>
      </rPr>
      <t xml:space="preserve">次</t>
    </r>
  </si>
  <si>
    <t xml:space="preserve">b3</t>
  </si>
  <si>
    <r>
      <rPr>
        <sz val="9"/>
        <color rgb="FF9AA7B5"/>
        <rFont val="Noto Sans CJK SC"/>
        <family val="2"/>
      </rPr>
      <t xml:space="preserve">分子 </t>
    </r>
    <r>
      <rPr>
        <sz val="9"/>
        <color rgb="FF9AA7B5"/>
        <rFont val="Arial"/>
        <family val="0"/>
        <charset val="1"/>
      </rPr>
      <t xml:space="preserve">3</t>
    </r>
    <r>
      <rPr>
        <sz val="9"/>
        <color rgb="FF9AA7B5"/>
        <rFont val="Noto Sans CJK SC"/>
        <family val="2"/>
      </rPr>
      <t xml:space="preserve">次</t>
    </r>
  </si>
  <si>
    <t xml:space="preserve">a0</t>
  </si>
  <si>
    <t xml:space="preserve">分母 定数項（極を決める）</t>
  </si>
  <si>
    <t xml:space="preserve">a1</t>
  </si>
  <si>
    <r>
      <rPr>
        <sz val="9"/>
        <color rgb="FF9AA7B5"/>
        <rFont val="Noto Sans CJK SC"/>
        <family val="2"/>
      </rPr>
      <t xml:space="preserve">分母 </t>
    </r>
    <r>
      <rPr>
        <sz val="9"/>
        <color rgb="FF9AA7B5"/>
        <rFont val="Arial"/>
        <family val="0"/>
        <charset val="1"/>
      </rPr>
      <t xml:space="preserve">1</t>
    </r>
    <r>
      <rPr>
        <sz val="9"/>
        <color rgb="FF9AA7B5"/>
        <rFont val="Noto Sans CJK SC"/>
        <family val="2"/>
      </rPr>
      <t xml:space="preserve">次（極を決める）</t>
    </r>
  </si>
  <si>
    <t xml:space="preserve">a2</t>
  </si>
  <si>
    <r>
      <rPr>
        <sz val="9"/>
        <color rgb="FF9AA7B5"/>
        <rFont val="Noto Sans CJK SC"/>
        <family val="2"/>
      </rPr>
      <t xml:space="preserve">分母 </t>
    </r>
    <r>
      <rPr>
        <sz val="9"/>
        <color rgb="FF9AA7B5"/>
        <rFont val="Arial"/>
        <family val="0"/>
        <charset val="1"/>
      </rPr>
      <t xml:space="preserve">2</t>
    </r>
    <r>
      <rPr>
        <sz val="9"/>
        <color rgb="FF9AA7B5"/>
        <rFont val="Noto Sans CJK SC"/>
        <family val="2"/>
      </rPr>
      <t xml:space="preserve">次（極を決める）</t>
    </r>
  </si>
  <si>
    <t xml:space="preserve">a3</t>
  </si>
  <si>
    <r>
      <rPr>
        <sz val="9"/>
        <color rgb="FF9AA7B5"/>
        <rFont val="Noto Sans CJK SC"/>
        <family val="2"/>
      </rPr>
      <t xml:space="preserve">分母 </t>
    </r>
    <r>
      <rPr>
        <sz val="9"/>
        <color rgb="FF9AA7B5"/>
        <rFont val="Arial"/>
        <family val="0"/>
        <charset val="1"/>
      </rPr>
      <t xml:space="preserve">3</t>
    </r>
    <r>
      <rPr>
        <sz val="9"/>
        <color rgb="FF9AA7B5"/>
        <rFont val="Noto Sans CJK SC"/>
        <family val="2"/>
      </rPr>
      <t xml:space="preserve">次（極を決める）</t>
    </r>
  </si>
  <si>
    <r>
      <rPr>
        <b val="true"/>
        <sz val="15"/>
        <color rgb="FF5AD4FF"/>
        <rFont val="Arial"/>
        <family val="0"/>
        <charset val="1"/>
      </rPr>
      <t xml:space="preserve">⑧ 4</t>
    </r>
    <r>
      <rPr>
        <b val="true"/>
        <sz val="15"/>
        <color rgb="FF5AD4FF"/>
        <rFont val="Noto Sans CJK SC"/>
        <family val="2"/>
      </rPr>
      <t xml:space="preserve">次方程式を</t>
    </r>
    <r>
      <rPr>
        <b val="true"/>
        <sz val="15"/>
        <color rgb="FF5AD4FF"/>
        <rFont val="Arial"/>
        <family val="0"/>
        <charset val="1"/>
      </rPr>
      <t xml:space="preserve">2</t>
    </r>
    <r>
      <rPr>
        <b val="true"/>
        <sz val="15"/>
        <color rgb="FF5AD4FF"/>
        <rFont val="Noto Sans CJK SC"/>
        <family val="2"/>
      </rPr>
      <t xml:space="preserve">つに割って“双子”を分離｜ソルバー不要・完全自動</t>
    </r>
  </si>
  <si>
    <r>
      <rPr>
        <sz val="9"/>
        <color rgb="FF9AA7B5"/>
        <rFont val="Arial"/>
        <family val="0"/>
        <charset val="1"/>
      </rPr>
      <t xml:space="preserve">s⁴+a3s³+a2s²+a1s+a0 = (s²+p1s+q1)(s²+p2s+q2) </t>
    </r>
    <r>
      <rPr>
        <sz val="9"/>
        <color rgb="FF9AA7B5"/>
        <rFont val="Noto Sans CJK SC"/>
        <family val="2"/>
      </rPr>
      <t xml:space="preserve">に分解します。ニュートン法を</t>
    </r>
    <r>
      <rPr>
        <sz val="9"/>
        <color rgb="FF9AA7B5"/>
        <rFont val="Arial"/>
        <family val="0"/>
        <charset val="1"/>
      </rPr>
      <t xml:space="preserve">20</t>
    </r>
    <r>
      <rPr>
        <sz val="9"/>
        <color rgb="FF9AA7B5"/>
        <rFont val="Noto Sans CJK SC"/>
        <family val="2"/>
      </rPr>
      <t xml:space="preserve">回まわすだけなので、アドインも手作業も不要です。</t>
    </r>
  </si>
  <si>
    <r>
      <rPr>
        <b val="true"/>
        <sz val="11.5"/>
        <color rgb="FFFFB454"/>
        <rFont val="Noto Sans CJK SC"/>
        <family val="2"/>
      </rPr>
      <t xml:space="preserve">■ 材料（</t>
    </r>
    <r>
      <rPr>
        <b val="true"/>
        <sz val="11.5"/>
        <color rgb="FFFFB454"/>
        <rFont val="Arial"/>
        <family val="0"/>
        <charset val="1"/>
      </rPr>
      <t xml:space="preserve">07</t>
    </r>
    <r>
      <rPr>
        <b val="true"/>
        <sz val="11.5"/>
        <color rgb="FFFFB454"/>
        <rFont val="Noto Sans CJK SC"/>
        <family val="2"/>
      </rPr>
      <t xml:space="preserve">シートから自動取得）</t>
    </r>
  </si>
  <si>
    <t xml:space="preserve">■ 初期値（ここだけ入力）</t>
  </si>
  <si>
    <r>
      <rPr>
        <sz val="9"/>
        <color rgb="FF9AA7B5"/>
        <rFont val="Arial"/>
        <family val="0"/>
        <charset val="1"/>
      </rPr>
      <t xml:space="preserve">← 04</t>
    </r>
    <r>
      <rPr>
        <sz val="9"/>
        <color rgb="FF9AA7B5"/>
        <rFont val="Noto Sans CJK SC"/>
        <family val="2"/>
      </rPr>
      <t xml:space="preserve">シートの「◀ ピーク」行を目視で読む。多少ずれても収束します（</t>
    </r>
    <r>
      <rPr>
        <sz val="9"/>
        <color rgb="FF9AA7B5"/>
        <rFont val="Arial"/>
        <family val="0"/>
        <charset val="1"/>
      </rPr>
      <t xml:space="preserve">±5%</t>
    </r>
    <r>
      <rPr>
        <sz val="9"/>
        <color rgb="FF9AA7B5"/>
        <rFont val="Noto Sans CJK SC"/>
        <family val="2"/>
      </rPr>
      <t xml:space="preserve">程度で</t>
    </r>
    <r>
      <rPr>
        <sz val="9"/>
        <color rgb="FF9AA7B5"/>
        <rFont val="Arial"/>
        <family val="0"/>
        <charset val="1"/>
      </rPr>
      <t xml:space="preserve">OK</t>
    </r>
    <r>
      <rPr>
        <sz val="9"/>
        <color rgb="FF9AA7B5"/>
        <rFont val="Noto Sans CJK SC"/>
        <family val="2"/>
      </rPr>
      <t xml:space="preserve">）</t>
    </r>
  </si>
  <si>
    <r>
      <rPr>
        <sz val="10"/>
        <color rgb="FFDBE2EA"/>
        <rFont val="Noto Sans CJK SC"/>
        <family val="2"/>
      </rPr>
      <t xml:space="preserve">山②のおよその周波数 </t>
    </r>
    <r>
      <rPr>
        <sz val="10"/>
        <color rgb="FFDBE2EA"/>
        <rFont val="Arial"/>
        <family val="0"/>
        <charset val="1"/>
      </rPr>
      <t xml:space="preserve">[Hz]</t>
    </r>
  </si>
  <si>
    <r>
      <rPr>
        <sz val="9"/>
        <color rgb="FF9AA7B5"/>
        <rFont val="Noto Sans CJK SC"/>
        <family val="2"/>
      </rPr>
      <t xml:space="preserve">← 山が</t>
    </r>
    <r>
      <rPr>
        <sz val="9"/>
        <color rgb="FF9AA7B5"/>
        <rFont val="Arial"/>
        <family val="0"/>
        <charset val="1"/>
      </rPr>
      <t xml:space="preserve">1</t>
    </r>
    <r>
      <rPr>
        <sz val="9"/>
        <color rgb="FF9AA7B5"/>
        <rFont val="Noto Sans CJK SC"/>
        <family val="2"/>
      </rPr>
      <t xml:space="preserve">本にしか見えない時は、その周波数の </t>
    </r>
    <r>
      <rPr>
        <sz val="9"/>
        <color rgb="FF9AA7B5"/>
        <rFont val="Arial"/>
        <family val="0"/>
        <charset val="1"/>
      </rPr>
      <t xml:space="preserve">±</t>
    </r>
    <r>
      <rPr>
        <sz val="9"/>
        <color rgb="FF9AA7B5"/>
        <rFont val="Noto Sans CJK SC"/>
        <family val="2"/>
      </rPr>
      <t xml:space="preserve">（</t>
    </r>
    <r>
      <rPr>
        <sz val="9"/>
        <color rgb="FF9AA7B5"/>
        <rFont val="Arial"/>
        <family val="0"/>
        <charset val="1"/>
      </rPr>
      <t xml:space="preserve">Δf×3</t>
    </r>
    <r>
      <rPr>
        <sz val="9"/>
        <color rgb="FF9AA7B5"/>
        <rFont val="Noto Sans CJK SC"/>
        <family val="2"/>
      </rPr>
      <t xml:space="preserve">）程度を</t>
    </r>
    <r>
      <rPr>
        <sz val="9"/>
        <color rgb="FF9AA7B5"/>
        <rFont val="Arial"/>
        <family val="0"/>
        <charset val="1"/>
      </rPr>
      <t xml:space="preserve">2</t>
    </r>
    <r>
      <rPr>
        <sz val="9"/>
        <color rgb="FF9AA7B5"/>
        <rFont val="Noto Sans CJK SC"/>
        <family val="2"/>
      </rPr>
      <t xml:space="preserve">つ入れる</t>
    </r>
  </si>
  <si>
    <r>
      <rPr>
        <sz val="10"/>
        <color rgb="FFDBE2EA"/>
        <rFont val="Noto Sans CJK SC"/>
        <family val="2"/>
      </rPr>
      <t xml:space="preserve">損失係数 </t>
    </r>
    <r>
      <rPr>
        <sz val="10"/>
        <color rgb="FFDBE2EA"/>
        <rFont val="Arial"/>
        <family val="0"/>
        <charset val="1"/>
      </rPr>
      <t xml:space="preserve">η </t>
    </r>
    <r>
      <rPr>
        <sz val="10"/>
        <color rgb="FFDBE2EA"/>
        <rFont val="Noto Sans CJK SC"/>
        <family val="2"/>
      </rPr>
      <t xml:space="preserve">の粗い推定</t>
    </r>
  </si>
  <si>
    <r>
      <rPr>
        <sz val="9"/>
        <color rgb="FF9AA7B5"/>
        <rFont val="Arial"/>
        <family val="0"/>
        <charset val="1"/>
      </rPr>
      <t xml:space="preserve">← 05</t>
    </r>
    <r>
      <rPr>
        <sz val="9"/>
        <color rgb="FF9AA7B5"/>
        <rFont val="Noto Sans CJK SC"/>
        <family val="2"/>
      </rPr>
      <t xml:space="preserve">シートの半値幅法の値で</t>
    </r>
    <r>
      <rPr>
        <sz val="9"/>
        <color rgb="FF9AA7B5"/>
        <rFont val="Arial"/>
        <family val="0"/>
        <charset val="1"/>
      </rPr>
      <t xml:space="preserve">OK</t>
    </r>
  </si>
  <si>
    <r>
      <rPr>
        <sz val="10"/>
        <color rgb="FFDBE2EA"/>
        <rFont val="Arial"/>
        <family val="0"/>
        <charset val="1"/>
      </rPr>
      <t xml:space="preserve">u </t>
    </r>
    <r>
      <rPr>
        <sz val="10"/>
        <color rgb="FFDBE2EA"/>
        <rFont val="Noto Sans CJK SC"/>
        <family val="2"/>
      </rPr>
      <t xml:space="preserve">の初期値</t>
    </r>
  </si>
  <si>
    <r>
      <rPr>
        <sz val="10"/>
        <color rgb="FFDBE2EA"/>
        <rFont val="Arial"/>
        <family val="0"/>
        <charset val="1"/>
      </rPr>
      <t xml:space="preserve">v </t>
    </r>
    <r>
      <rPr>
        <sz val="10"/>
        <color rgb="FFDBE2EA"/>
        <rFont val="Noto Sans CJK SC"/>
        <family val="2"/>
      </rPr>
      <t xml:space="preserve">の初期値</t>
    </r>
  </si>
  <si>
    <r>
      <rPr>
        <b val="true"/>
        <sz val="11.5"/>
        <color rgb="FFFFB454"/>
        <rFont val="Noto Sans CJK SC"/>
        <family val="2"/>
      </rPr>
      <t xml:space="preserve">■ ニュートン法の反復（</t>
    </r>
    <r>
      <rPr>
        <b val="true"/>
        <sz val="11.5"/>
        <color rgb="FFFFB454"/>
        <rFont val="Arial"/>
        <family val="0"/>
        <charset val="1"/>
      </rPr>
      <t xml:space="preserve">20</t>
    </r>
    <r>
      <rPr>
        <b val="true"/>
        <sz val="11.5"/>
        <color rgb="FFFFB454"/>
        <rFont val="Noto Sans CJK SC"/>
        <family val="2"/>
      </rPr>
      <t xml:space="preserve">回・自動）</t>
    </r>
  </si>
  <si>
    <t xml:space="preserve">回</t>
  </si>
  <si>
    <t xml:space="preserve">u</t>
  </si>
  <si>
    <t xml:space="preserve">v</t>
  </si>
  <si>
    <t xml:space="preserve">c1</t>
  </si>
  <si>
    <t xml:space="preserve">c0</t>
  </si>
  <si>
    <r>
      <rPr>
        <b val="true"/>
        <sz val="9"/>
        <color rgb="FFFFB454"/>
        <rFont val="Noto Sans CJK SC"/>
        <family val="2"/>
      </rPr>
      <t xml:space="preserve">残差 </t>
    </r>
    <r>
      <rPr>
        <b val="true"/>
        <sz val="9"/>
        <color rgb="FFFFB454"/>
        <rFont val="Arial"/>
        <family val="0"/>
        <charset val="1"/>
      </rPr>
      <t xml:space="preserve">r1</t>
    </r>
  </si>
  <si>
    <r>
      <rPr>
        <b val="true"/>
        <sz val="9"/>
        <color rgb="FFFFB454"/>
        <rFont val="Noto Sans CJK SC"/>
        <family val="2"/>
      </rPr>
      <t xml:space="preserve">残差 </t>
    </r>
    <r>
      <rPr>
        <b val="true"/>
        <sz val="9"/>
        <color rgb="FFFFB454"/>
        <rFont val="Arial"/>
        <family val="0"/>
        <charset val="1"/>
      </rPr>
      <t xml:space="preserve">r0</t>
    </r>
  </si>
  <si>
    <t xml:space="preserve">J11</t>
  </si>
  <si>
    <t xml:space="preserve">J12</t>
  </si>
  <si>
    <t xml:space="preserve">J21</t>
  </si>
  <si>
    <t xml:space="preserve">J22</t>
  </si>
  <si>
    <r>
      <rPr>
        <b val="true"/>
        <sz val="9"/>
        <color rgb="FFFFB454"/>
        <rFont val="Noto Sans CJK SC"/>
        <family val="2"/>
      </rPr>
      <t xml:space="preserve">行列式 </t>
    </r>
    <r>
      <rPr>
        <b val="true"/>
        <sz val="9"/>
        <color rgb="FFFFB454"/>
        <rFont val="Arial"/>
        <family val="0"/>
        <charset val="1"/>
      </rPr>
      <t xml:space="preserve">det</t>
    </r>
  </si>
  <si>
    <t xml:space="preserve">Δu</t>
  </si>
  <si>
    <t xml:space="preserve">Δv</t>
  </si>
  <si>
    <t xml:space="preserve">残差の大きさ</t>
  </si>
  <si>
    <r>
      <rPr>
        <sz val="9.5"/>
        <color rgb="FFDBE2EA"/>
        <rFont val="Noto Sans CJK SC"/>
        <family val="2"/>
      </rPr>
      <t xml:space="preserve">【何をしているか】</t>
    </r>
    <r>
      <rPr>
        <sz val="9.5"/>
        <color rgb="FFDBE2EA"/>
        <rFont val="Arial"/>
        <family val="0"/>
        <charset val="1"/>
      </rPr>
      <t xml:space="preserve">4</t>
    </r>
    <r>
      <rPr>
        <sz val="9.5"/>
        <color rgb="FFDBE2EA"/>
        <rFont val="Noto Sans CJK SC"/>
        <family val="2"/>
      </rPr>
      <t xml:space="preserve">次式を「試しの</t>
    </r>
    <r>
      <rPr>
        <sz val="9.5"/>
        <color rgb="FFDBE2EA"/>
        <rFont val="Arial"/>
        <family val="0"/>
        <charset val="1"/>
      </rPr>
      <t xml:space="preserve">2</t>
    </r>
    <r>
      <rPr>
        <sz val="9.5"/>
        <color rgb="FFDBE2EA"/>
        <rFont val="Noto Sans CJK SC"/>
        <family val="2"/>
      </rPr>
      <t xml:space="preserve">次式 </t>
    </r>
    <r>
      <rPr>
        <sz val="9.5"/>
        <color rgb="FFDBE2EA"/>
        <rFont val="Arial"/>
        <family val="0"/>
        <charset val="1"/>
      </rPr>
      <t xml:space="preserve">(s²+us+v)</t>
    </r>
    <r>
      <rPr>
        <sz val="9.5"/>
        <color rgb="FFDBE2EA"/>
        <rFont val="Noto Sans CJK SC"/>
        <family val="2"/>
      </rPr>
      <t xml:space="preserve">」で割り算し、余り（</t>
    </r>
    <r>
      <rPr>
        <sz val="9.5"/>
        <color rgb="FFDBE2EA"/>
        <rFont val="Arial"/>
        <family val="0"/>
        <charset val="1"/>
      </rPr>
      <t xml:space="preserve">r1</t>
    </r>
    <r>
      <rPr>
        <sz val="9.5"/>
        <color rgb="FFDBE2EA"/>
        <rFont val="Noto Sans CJK SC"/>
        <family val="2"/>
      </rPr>
      <t xml:space="preserve">・</t>
    </r>
    <r>
      <rPr>
        <sz val="9.5"/>
        <color rgb="FFDBE2EA"/>
        <rFont val="Arial"/>
        <family val="0"/>
        <charset val="1"/>
      </rPr>
      <t xml:space="preserve">r0</t>
    </r>
    <r>
      <rPr>
        <sz val="9.5"/>
        <color rgb="FFDBE2EA"/>
        <rFont val="Noto Sans CJK SC"/>
        <family val="2"/>
      </rPr>
      <t xml:space="preserve">）がゼロになる </t>
    </r>
    <r>
      <rPr>
        <sz val="9.5"/>
        <color rgb="FFDBE2EA"/>
        <rFont val="Arial"/>
        <family val="0"/>
        <charset val="1"/>
      </rPr>
      <t xml:space="preserve">u</t>
    </r>
    <r>
      <rPr>
        <sz val="9.5"/>
        <color rgb="FFDBE2EA"/>
        <rFont val="Noto Sans CJK SC"/>
        <family val="2"/>
      </rPr>
      <t xml:space="preserve">・</t>
    </r>
    <r>
      <rPr>
        <sz val="9.5"/>
        <color rgb="FFDBE2EA"/>
        <rFont val="Arial"/>
        <family val="0"/>
        <charset val="1"/>
      </rPr>
      <t xml:space="preserve">v </t>
    </r>
    <r>
      <rPr>
        <sz val="9.5"/>
        <color rgb="FFDBE2EA"/>
        <rFont val="Noto Sans CJK SC"/>
        <family val="2"/>
      </rPr>
      <t xml:space="preserve">を探しています。</t>
    </r>
  </si>
  <si>
    <r>
      <rPr>
        <sz val="9.5"/>
        <color rgb="FFDBE2EA"/>
        <rFont val="Noto Sans CJK SC"/>
        <family val="2"/>
      </rPr>
      <t xml:space="preserve">【ニュートン法とは】坂道を下るとき、今いる場所の傾きを見て『あと何歩でゼロに着くか』を計算して一気に進む方法。</t>
    </r>
    <r>
      <rPr>
        <sz val="9.5"/>
        <color rgb="FFDBE2EA"/>
        <rFont val="Arial"/>
        <family val="0"/>
        <charset val="1"/>
      </rPr>
      <t xml:space="preserve">1</t>
    </r>
    <r>
      <rPr>
        <sz val="9.5"/>
        <color rgb="FFDBE2EA"/>
        <rFont val="Noto Sans CJK SC"/>
        <family val="2"/>
      </rPr>
      <t xml:space="preserve">回ごとに正しい桁数が倍になるので、数回で答えが確定します。</t>
    </r>
  </si>
  <si>
    <r>
      <rPr>
        <sz val="9.5"/>
        <color rgb="FF5EE6A0"/>
        <rFont val="Noto Sans CJK SC"/>
        <family val="2"/>
      </rPr>
      <t xml:space="preserve">【</t>
    </r>
    <r>
      <rPr>
        <sz val="9.5"/>
        <color rgb="FF5EE6A0"/>
        <rFont val="Arial"/>
        <family val="0"/>
        <charset val="1"/>
      </rPr>
      <t xml:space="preserve">Solver</t>
    </r>
    <r>
      <rPr>
        <sz val="9.5"/>
        <color rgb="FF5EE6A0"/>
        <rFont val="Noto Sans CJK SC"/>
        <family val="2"/>
      </rPr>
      <t xml:space="preserve">を使わない理由】ソルバーはアドインの有効化が必要で、初期値によっては収束しないことがあります。ニュートン法を表に展開しておけば、開くだけで常に同じ答えが出ます。</t>
    </r>
  </si>
  <si>
    <r>
      <rPr>
        <sz val="9.5"/>
        <color rgb="FFC792EA"/>
        <rFont val="Noto Sans CJK SC"/>
        <family val="2"/>
      </rPr>
      <t xml:space="preserve">【割り算の中身】</t>
    </r>
    <r>
      <rPr>
        <sz val="9.5"/>
        <color rgb="FFC792EA"/>
        <rFont val="Arial"/>
        <family val="0"/>
        <charset val="1"/>
      </rPr>
      <t xml:space="preserve">c1 = a3 − u </t>
    </r>
    <r>
      <rPr>
        <sz val="9.5"/>
        <color rgb="FFC792EA"/>
        <rFont val="Noto Sans CJK SC"/>
        <family val="2"/>
      </rPr>
      <t xml:space="preserve">／ </t>
    </r>
    <r>
      <rPr>
        <sz val="9.5"/>
        <color rgb="FFC792EA"/>
        <rFont val="Arial"/>
        <family val="0"/>
        <charset val="1"/>
      </rPr>
      <t xml:space="preserve">c0 = a2 − v − u·c1 </t>
    </r>
    <r>
      <rPr>
        <sz val="9.5"/>
        <color rgb="FFC792EA"/>
        <rFont val="Noto Sans CJK SC"/>
        <family val="2"/>
      </rPr>
      <t xml:space="preserve">／ 余り </t>
    </r>
    <r>
      <rPr>
        <sz val="9.5"/>
        <color rgb="FFC792EA"/>
        <rFont val="Arial"/>
        <family val="0"/>
        <charset val="1"/>
      </rPr>
      <t xml:space="preserve">r1 = a1 − (u·c0 + v·c1) </t>
    </r>
    <r>
      <rPr>
        <sz val="9.5"/>
        <color rgb="FFC792EA"/>
        <rFont val="Noto Sans CJK SC"/>
        <family val="2"/>
      </rPr>
      <t xml:space="preserve">／ 余り </t>
    </r>
    <r>
      <rPr>
        <sz val="9.5"/>
        <color rgb="FFC792EA"/>
        <rFont val="Arial"/>
        <family val="0"/>
        <charset val="1"/>
      </rPr>
      <t xml:space="preserve">r0 = a0 − v·c0</t>
    </r>
  </si>
  <si>
    <r>
      <rPr>
        <sz val="9.5"/>
        <color rgb="FFC792EA"/>
        <rFont val="Noto Sans CJK SC"/>
        <family val="2"/>
      </rPr>
      <t xml:space="preserve">【もう片方の</t>
    </r>
    <r>
      <rPr>
        <sz val="9.5"/>
        <color rgb="FFC792EA"/>
        <rFont val="Arial"/>
        <family val="0"/>
        <charset val="1"/>
      </rPr>
      <t xml:space="preserve">2</t>
    </r>
    <r>
      <rPr>
        <sz val="9.5"/>
        <color rgb="FFC792EA"/>
        <rFont val="Noto Sans CJK SC"/>
        <family val="2"/>
      </rPr>
      <t xml:space="preserve">次式】</t>
    </r>
    <r>
      <rPr>
        <sz val="9.5"/>
        <color rgb="FFC792EA"/>
        <rFont val="Arial"/>
        <family val="0"/>
        <charset val="1"/>
      </rPr>
      <t xml:space="preserve">p2 = a3 − p1 </t>
    </r>
    <r>
      <rPr>
        <sz val="9.5"/>
        <color rgb="FFC792EA"/>
        <rFont val="Noto Sans CJK SC"/>
        <family val="2"/>
      </rPr>
      <t xml:space="preserve">／ </t>
    </r>
    <r>
      <rPr>
        <sz val="9.5"/>
        <color rgb="FFC792EA"/>
        <rFont val="Arial"/>
        <family val="0"/>
        <charset val="1"/>
      </rPr>
      <t xml:space="preserve">q2 = a2 − q1 − p1·p2</t>
    </r>
    <r>
      <rPr>
        <sz val="9.5"/>
        <color rgb="FFC792EA"/>
        <rFont val="Noto Sans CJK SC"/>
        <family val="2"/>
      </rPr>
      <t xml:space="preserve">（割り算の商そのもの）</t>
    </r>
  </si>
  <si>
    <t xml:space="preserve">■ 収束結果</t>
  </si>
  <si>
    <r>
      <rPr>
        <sz val="10"/>
        <color rgb="FFDBE2EA"/>
        <rFont val="Arial"/>
        <family val="0"/>
        <charset val="1"/>
      </rPr>
      <t xml:space="preserve">p1</t>
    </r>
    <r>
      <rPr>
        <sz val="10"/>
        <color rgb="FFDBE2EA"/>
        <rFont val="Noto Sans CJK SC"/>
        <family val="2"/>
      </rPr>
      <t xml:space="preserve">（モード</t>
    </r>
    <r>
      <rPr>
        <sz val="10"/>
        <color rgb="FFDBE2EA"/>
        <rFont val="Arial"/>
        <family val="0"/>
        <charset val="1"/>
      </rPr>
      <t xml:space="preserve">A</t>
    </r>
    <r>
      <rPr>
        <sz val="10"/>
        <color rgb="FFDBE2EA"/>
        <rFont val="Noto Sans CJK SC"/>
        <family val="2"/>
      </rPr>
      <t xml:space="preserve">）</t>
    </r>
  </si>
  <si>
    <r>
      <rPr>
        <sz val="10"/>
        <color rgb="FFDBE2EA"/>
        <rFont val="Arial"/>
        <family val="0"/>
        <charset val="1"/>
      </rPr>
      <t xml:space="preserve">q1</t>
    </r>
    <r>
      <rPr>
        <sz val="10"/>
        <color rgb="FFDBE2EA"/>
        <rFont val="Noto Sans CJK SC"/>
        <family val="2"/>
      </rPr>
      <t xml:space="preserve">（モード</t>
    </r>
    <r>
      <rPr>
        <sz val="10"/>
        <color rgb="FFDBE2EA"/>
        <rFont val="Arial"/>
        <family val="0"/>
        <charset val="1"/>
      </rPr>
      <t xml:space="preserve">A</t>
    </r>
    <r>
      <rPr>
        <sz val="10"/>
        <color rgb="FFDBE2EA"/>
        <rFont val="Noto Sans CJK SC"/>
        <family val="2"/>
      </rPr>
      <t xml:space="preserve">）</t>
    </r>
  </si>
  <si>
    <r>
      <rPr>
        <sz val="10"/>
        <color rgb="FFDBE2EA"/>
        <rFont val="Arial"/>
        <family val="0"/>
        <charset val="1"/>
      </rPr>
      <t xml:space="preserve">p2</t>
    </r>
    <r>
      <rPr>
        <sz val="10"/>
        <color rgb="FFDBE2EA"/>
        <rFont val="Noto Sans CJK SC"/>
        <family val="2"/>
      </rPr>
      <t xml:space="preserve">（モード</t>
    </r>
    <r>
      <rPr>
        <sz val="10"/>
        <color rgb="FFDBE2EA"/>
        <rFont val="Arial"/>
        <family val="0"/>
        <charset val="1"/>
      </rPr>
      <t xml:space="preserve">B</t>
    </r>
    <r>
      <rPr>
        <sz val="10"/>
        <color rgb="FFDBE2EA"/>
        <rFont val="Noto Sans CJK SC"/>
        <family val="2"/>
      </rPr>
      <t xml:space="preserve">）</t>
    </r>
  </si>
  <si>
    <r>
      <rPr>
        <sz val="10"/>
        <color rgb="FFDBE2EA"/>
        <rFont val="Arial"/>
        <family val="0"/>
        <charset val="1"/>
      </rPr>
      <t xml:space="preserve">q2</t>
    </r>
    <r>
      <rPr>
        <sz val="10"/>
        <color rgb="FFDBE2EA"/>
        <rFont val="Noto Sans CJK SC"/>
        <family val="2"/>
      </rPr>
      <t xml:space="preserve">（モード</t>
    </r>
    <r>
      <rPr>
        <sz val="10"/>
        <color rgb="FFDBE2EA"/>
        <rFont val="Arial"/>
        <family val="0"/>
        <charset val="1"/>
      </rPr>
      <t xml:space="preserve">B</t>
    </r>
    <r>
      <rPr>
        <sz val="10"/>
        <color rgb="FFDBE2EA"/>
        <rFont val="Noto Sans CJK SC"/>
        <family val="2"/>
      </rPr>
      <t xml:space="preserve">）</t>
    </r>
  </si>
  <si>
    <t xml:space="preserve">最終残差</t>
  </si>
  <si>
    <t xml:space="preserve">収束判定</t>
  </si>
  <si>
    <t xml:space="preserve">物理的な妥当性</t>
  </si>
  <si>
    <t xml:space="preserve">⑨ モーダル諸元（固有振動数・減衰）｜最終的な答え</t>
  </si>
  <si>
    <r>
      <rPr>
        <sz val="9"/>
        <color rgb="FF9AA7B5"/>
        <rFont val="Noto Sans CJK SC"/>
        <family val="2"/>
      </rPr>
      <t xml:space="preserve">ここが読み取るべき結果です。</t>
    </r>
    <r>
      <rPr>
        <sz val="9"/>
        <color rgb="FF9AA7B5"/>
        <rFont val="Arial"/>
        <family val="0"/>
        <charset val="1"/>
      </rPr>
      <t xml:space="preserve">ME'scope </t>
    </r>
    <r>
      <rPr>
        <sz val="9"/>
        <color rgb="FF9AA7B5"/>
        <rFont val="Noto Sans CJK SC"/>
        <family val="2"/>
      </rPr>
      <t xml:space="preserve">の </t>
    </r>
    <r>
      <rPr>
        <sz val="9"/>
        <color rgb="FF9AA7B5"/>
        <rFont val="Arial"/>
        <family val="0"/>
        <charset val="1"/>
      </rPr>
      <t xml:space="preserve">Modal Parameters </t>
    </r>
    <r>
      <rPr>
        <sz val="9"/>
        <color rgb="FF9AA7B5"/>
        <rFont val="Noto Sans CJK SC"/>
        <family val="2"/>
      </rPr>
      <t xml:space="preserve">スプレッドシートと同じ項目を並べてあります。</t>
    </r>
  </si>
  <si>
    <t xml:space="preserve">項目</t>
  </si>
  <si>
    <r>
      <rPr>
        <b val="true"/>
        <sz val="9"/>
        <color rgb="FFFFB454"/>
        <rFont val="Noto Sans CJK SC"/>
        <family val="2"/>
      </rPr>
      <t xml:space="preserve">モード</t>
    </r>
    <r>
      <rPr>
        <b val="true"/>
        <sz val="9"/>
        <color rgb="FFFFB454"/>
        <rFont val="Arial"/>
        <family val="0"/>
        <charset val="1"/>
      </rPr>
      <t xml:space="preserve">A</t>
    </r>
  </si>
  <si>
    <r>
      <rPr>
        <b val="true"/>
        <sz val="9"/>
        <color rgb="FFFFB454"/>
        <rFont val="Noto Sans CJK SC"/>
        <family val="2"/>
      </rPr>
      <t xml:space="preserve">モード</t>
    </r>
    <r>
      <rPr>
        <b val="true"/>
        <sz val="9"/>
        <color rgb="FFFFB454"/>
        <rFont val="Arial"/>
        <family val="0"/>
        <charset val="1"/>
      </rPr>
      <t xml:space="preserve">B</t>
    </r>
  </si>
  <si>
    <t xml:space="preserve">単位</t>
  </si>
  <si>
    <t xml:space="preserve">計算式・意味</t>
  </si>
  <si>
    <r>
      <rPr>
        <b val="true"/>
        <sz val="9.5"/>
        <color rgb="FF5AD4FF"/>
        <rFont val="Arial"/>
        <family val="0"/>
        <charset val="1"/>
      </rPr>
      <t xml:space="preserve">p</t>
    </r>
    <r>
      <rPr>
        <b val="true"/>
        <sz val="9.5"/>
        <color rgb="FF5AD4FF"/>
        <rFont val="Noto Sans CJK SC"/>
        <family val="2"/>
      </rPr>
      <t xml:space="preserve">（正規化</t>
    </r>
    <r>
      <rPr>
        <b val="true"/>
        <sz val="9.5"/>
        <color rgb="FF5AD4FF"/>
        <rFont val="Arial"/>
        <family val="0"/>
        <charset val="1"/>
      </rPr>
      <t xml:space="preserve">2</t>
    </r>
    <r>
      <rPr>
        <b val="true"/>
        <sz val="9.5"/>
        <color rgb="FF5AD4FF"/>
        <rFont val="Noto Sans CJK SC"/>
        <family val="2"/>
      </rPr>
      <t xml:space="preserve">次式の</t>
    </r>
    <r>
      <rPr>
        <b val="true"/>
        <sz val="9.5"/>
        <color rgb="FF5AD4FF"/>
        <rFont val="Arial"/>
        <family val="0"/>
        <charset val="1"/>
      </rPr>
      <t xml:space="preserve">1</t>
    </r>
    <r>
      <rPr>
        <b val="true"/>
        <sz val="9.5"/>
        <color rgb="FF5AD4FF"/>
        <rFont val="Noto Sans CJK SC"/>
        <family val="2"/>
      </rPr>
      <t xml:space="preserve">次係数）</t>
    </r>
  </si>
  <si>
    <r>
      <rPr>
        <sz val="9"/>
        <color rgb="FF9AA7B5"/>
        <rFont val="Noto Sans CJK SC"/>
        <family val="2"/>
      </rPr>
      <t xml:space="preserve">割り算で出た値。</t>
    </r>
    <r>
      <rPr>
        <sz val="9"/>
        <color rgb="FF9AA7B5"/>
        <rFont val="Arial"/>
        <family val="0"/>
        <charset val="1"/>
      </rPr>
      <t xml:space="preserve">2ζΩn </t>
    </r>
    <r>
      <rPr>
        <sz val="9"/>
        <color rgb="FF9AA7B5"/>
        <rFont val="Noto Sans CJK SC"/>
        <family val="2"/>
      </rPr>
      <t xml:space="preserve">に相当</t>
    </r>
  </si>
  <si>
    <r>
      <rPr>
        <b val="true"/>
        <sz val="9.5"/>
        <color rgb="FF5AD4FF"/>
        <rFont val="Arial"/>
        <family val="0"/>
        <charset val="1"/>
      </rPr>
      <t xml:space="preserve">q</t>
    </r>
    <r>
      <rPr>
        <b val="true"/>
        <sz val="9.5"/>
        <color rgb="FF5AD4FF"/>
        <rFont val="Noto Sans CJK SC"/>
        <family val="2"/>
      </rPr>
      <t xml:space="preserve">（正規化</t>
    </r>
    <r>
      <rPr>
        <b val="true"/>
        <sz val="9.5"/>
        <color rgb="FF5AD4FF"/>
        <rFont val="Arial"/>
        <family val="0"/>
        <charset val="1"/>
      </rPr>
      <t xml:space="preserve">2</t>
    </r>
    <r>
      <rPr>
        <b val="true"/>
        <sz val="9.5"/>
        <color rgb="FF5AD4FF"/>
        <rFont val="Noto Sans CJK SC"/>
        <family val="2"/>
      </rPr>
      <t xml:space="preserve">次式の定数項）</t>
    </r>
  </si>
  <si>
    <r>
      <rPr>
        <sz val="9"/>
        <color rgb="FF9AA7B5"/>
        <rFont val="Noto Sans CJK SC"/>
        <family val="2"/>
      </rPr>
      <t xml:space="preserve">割り算で出た値。</t>
    </r>
    <r>
      <rPr>
        <sz val="9"/>
        <color rgb="FF9AA7B5"/>
        <rFont val="Arial"/>
        <family val="0"/>
        <charset val="1"/>
      </rPr>
      <t xml:space="preserve">Ωn² </t>
    </r>
    <r>
      <rPr>
        <sz val="9"/>
        <color rgb="FF9AA7B5"/>
        <rFont val="Noto Sans CJK SC"/>
        <family val="2"/>
      </rPr>
      <t xml:space="preserve">に相当</t>
    </r>
  </si>
  <si>
    <r>
      <rPr>
        <b val="true"/>
        <sz val="9.5"/>
        <color rgb="FF5AD4FF"/>
        <rFont val="Arial"/>
        <family val="0"/>
        <charset val="1"/>
      </rPr>
      <t xml:space="preserve">Ωn</t>
    </r>
    <r>
      <rPr>
        <b val="true"/>
        <sz val="9.5"/>
        <color rgb="FF5AD4FF"/>
        <rFont val="Noto Sans CJK SC"/>
        <family val="2"/>
      </rPr>
      <t xml:space="preserve">（正規化不減衰固有角周波数）</t>
    </r>
  </si>
  <si>
    <t xml:space="preserve">Ωn = √q</t>
  </si>
  <si>
    <r>
      <rPr>
        <b val="true"/>
        <sz val="9.5"/>
        <color rgb="FF5AD4FF"/>
        <rFont val="Arial"/>
        <family val="0"/>
        <charset val="1"/>
      </rPr>
      <t xml:space="preserve">ζ</t>
    </r>
    <r>
      <rPr>
        <b val="true"/>
        <sz val="9.5"/>
        <color rgb="FF5AD4FF"/>
        <rFont val="Noto Sans CJK SC"/>
        <family val="2"/>
      </rPr>
      <t xml:space="preserve">（ゼータ）減衰比</t>
    </r>
  </si>
  <si>
    <r>
      <rPr>
        <sz val="9"/>
        <color rgb="FF9AA7B5"/>
        <rFont val="Arial"/>
        <family val="0"/>
        <charset val="1"/>
      </rPr>
      <t xml:space="preserve">ζ = p ÷ (2Ωn)</t>
    </r>
    <r>
      <rPr>
        <sz val="9"/>
        <color rgb="FF9AA7B5"/>
        <rFont val="Noto Sans CJK SC"/>
        <family val="2"/>
      </rPr>
      <t xml:space="preserve">　※臨界減衰に対する割合</t>
    </r>
  </si>
  <si>
    <r>
      <rPr>
        <b val="true"/>
        <sz val="9.5"/>
        <color rgb="FF5AD4FF"/>
        <rFont val="Arial"/>
        <family val="0"/>
        <charset val="1"/>
      </rPr>
      <t xml:space="preserve">fn </t>
    </r>
    <r>
      <rPr>
        <b val="true"/>
        <sz val="9.5"/>
        <color rgb="FF5AD4FF"/>
        <rFont val="Noto Sans CJK SC"/>
        <family val="2"/>
      </rPr>
      <t xml:space="preserve">不減衰固有振動数</t>
    </r>
  </si>
  <si>
    <t xml:space="preserve">Hz</t>
  </si>
  <si>
    <r>
      <rPr>
        <sz val="9"/>
        <color rgb="FF9AA7B5"/>
        <rFont val="Arial"/>
        <family val="0"/>
        <charset val="1"/>
      </rPr>
      <t xml:space="preserve">fn = Ωn × ωref ÷ 2π</t>
    </r>
    <r>
      <rPr>
        <sz val="9"/>
        <color rgb="FF9AA7B5"/>
        <rFont val="Noto Sans CJK SC"/>
        <family val="2"/>
      </rPr>
      <t xml:space="preserve">　←</t>
    </r>
    <r>
      <rPr>
        <sz val="9"/>
        <color rgb="FF9AA7B5"/>
        <rFont val="Arial"/>
        <family val="0"/>
        <charset val="1"/>
      </rPr>
      <t xml:space="preserve">FEM</t>
    </r>
    <r>
      <rPr>
        <sz val="9"/>
        <color rgb="FF9AA7B5"/>
        <rFont val="Noto Sans CJK SC"/>
        <family val="2"/>
      </rPr>
      <t xml:space="preserve">と比べるのはこの値</t>
    </r>
  </si>
  <si>
    <r>
      <rPr>
        <b val="true"/>
        <sz val="9.5"/>
        <color rgb="FF5AD4FF"/>
        <rFont val="Arial"/>
        <family val="0"/>
        <charset val="1"/>
      </rPr>
      <t xml:space="preserve">fd </t>
    </r>
    <r>
      <rPr>
        <b val="true"/>
        <sz val="9.5"/>
        <color rgb="FF5AD4FF"/>
        <rFont val="Noto Sans CJK SC"/>
        <family val="2"/>
      </rPr>
      <t xml:space="preserve">減衰固有振動数</t>
    </r>
  </si>
  <si>
    <r>
      <rPr>
        <sz val="9"/>
        <color rgb="FF9AA7B5"/>
        <rFont val="Arial"/>
        <family val="0"/>
        <charset val="1"/>
      </rPr>
      <t xml:space="preserve">fd = fn√(1−ζ²)</t>
    </r>
    <r>
      <rPr>
        <sz val="9"/>
        <color rgb="FF9AA7B5"/>
        <rFont val="Noto Sans CJK SC"/>
        <family val="2"/>
      </rPr>
      <t xml:space="preserve">　←実際に</t>
    </r>
    <r>
      <rPr>
        <sz val="9"/>
        <color rgb="FF9AA7B5"/>
        <rFont val="Arial"/>
        <family val="0"/>
        <charset val="1"/>
      </rPr>
      <t xml:space="preserve">FRF</t>
    </r>
    <r>
      <rPr>
        <sz val="9"/>
        <color rgb="FF9AA7B5"/>
        <rFont val="Noto Sans CJK SC"/>
        <family val="2"/>
      </rPr>
      <t xml:space="preserve">の山が立つ位置。</t>
    </r>
    <r>
      <rPr>
        <sz val="9"/>
        <color rgb="FF9AA7B5"/>
        <rFont val="Arial"/>
        <family val="0"/>
        <charset val="1"/>
      </rPr>
      <t xml:space="preserve">ME'scope</t>
    </r>
    <r>
      <rPr>
        <sz val="9"/>
        <color rgb="FF9AA7B5"/>
        <rFont val="Noto Sans CJK SC"/>
        <family val="2"/>
      </rPr>
      <t xml:space="preserve">の </t>
    </r>
    <r>
      <rPr>
        <sz val="9"/>
        <color rgb="FF9AA7B5"/>
        <rFont val="Arial"/>
        <family val="0"/>
        <charset val="1"/>
      </rPr>
      <t xml:space="preserve">Frequency </t>
    </r>
    <r>
      <rPr>
        <sz val="9"/>
        <color rgb="FF9AA7B5"/>
        <rFont val="Noto Sans CJK SC"/>
        <family val="2"/>
      </rPr>
      <t xml:space="preserve">はこれ</t>
    </r>
  </si>
  <si>
    <r>
      <rPr>
        <b val="true"/>
        <sz val="9.5"/>
        <color rgb="FF5AD4FF"/>
        <rFont val="Arial"/>
        <family val="0"/>
        <charset val="1"/>
      </rPr>
      <t xml:space="preserve">ωn </t>
    </r>
    <r>
      <rPr>
        <b val="true"/>
        <sz val="9.5"/>
        <color rgb="FF5AD4FF"/>
        <rFont val="Noto Sans CJK SC"/>
        <family val="2"/>
      </rPr>
      <t xml:space="preserve">不減衰固有角周波数</t>
    </r>
  </si>
  <si>
    <t xml:space="preserve">rad/s</t>
  </si>
  <si>
    <t xml:space="preserve">ωn = 2π·fn</t>
  </si>
  <si>
    <r>
      <rPr>
        <b val="true"/>
        <sz val="9.5"/>
        <color rgb="FF5AD4FF"/>
        <rFont val="Arial"/>
        <family val="0"/>
        <charset val="1"/>
      </rPr>
      <t xml:space="preserve">ωd </t>
    </r>
    <r>
      <rPr>
        <b val="true"/>
        <sz val="9.5"/>
        <color rgb="FF5AD4FF"/>
        <rFont val="Noto Sans CJK SC"/>
        <family val="2"/>
      </rPr>
      <t xml:space="preserve">減衰固有角周波数</t>
    </r>
  </si>
  <si>
    <t xml:space="preserve">ωd = 2π·fd</t>
  </si>
  <si>
    <r>
      <rPr>
        <b val="true"/>
        <sz val="9.5"/>
        <color rgb="FF5AD4FF"/>
        <rFont val="Arial"/>
        <family val="0"/>
        <charset val="1"/>
      </rPr>
      <t xml:space="preserve">σ</t>
    </r>
    <r>
      <rPr>
        <b val="true"/>
        <sz val="9.5"/>
        <color rgb="FF5AD4FF"/>
        <rFont val="Noto Sans CJK SC"/>
        <family val="2"/>
      </rPr>
      <t xml:space="preserve">（シグマ）減衰係数</t>
    </r>
  </si>
  <si>
    <r>
      <rPr>
        <sz val="9"/>
        <color rgb="FF9AA7B5"/>
        <rFont val="Arial"/>
        <family val="0"/>
        <charset val="1"/>
      </rPr>
      <t xml:space="preserve">σ = ζ·ωn</t>
    </r>
    <r>
      <rPr>
        <sz val="9"/>
        <color rgb="FF9AA7B5"/>
        <rFont val="Noto Sans CJK SC"/>
        <family val="2"/>
      </rPr>
      <t xml:space="preserve">　←揺れが </t>
    </r>
    <r>
      <rPr>
        <sz val="9"/>
        <color rgb="FF9AA7B5"/>
        <rFont val="Arial"/>
        <family val="0"/>
        <charset val="1"/>
      </rPr>
      <t xml:space="preserve">e^(−σt) </t>
    </r>
    <r>
      <rPr>
        <sz val="9"/>
        <color rgb="FF9AA7B5"/>
        <rFont val="Noto Sans CJK SC"/>
        <family val="2"/>
      </rPr>
      <t xml:space="preserve">で消える速さ</t>
    </r>
  </si>
  <si>
    <r>
      <rPr>
        <b val="true"/>
        <sz val="9.5"/>
        <color rgb="FF5AD4FF"/>
        <rFont val="Arial"/>
        <family val="0"/>
        <charset val="1"/>
      </rPr>
      <t xml:space="preserve">σ </t>
    </r>
    <r>
      <rPr>
        <b val="true"/>
        <sz val="9.5"/>
        <color rgb="FF5AD4FF"/>
        <rFont val="Noto Sans CJK SC"/>
        <family val="2"/>
      </rPr>
      <t xml:space="preserve">減衰係数（</t>
    </r>
    <r>
      <rPr>
        <b val="true"/>
        <sz val="9.5"/>
        <color rgb="FF5AD4FF"/>
        <rFont val="Arial"/>
        <family val="0"/>
        <charset val="1"/>
      </rPr>
      <t xml:space="preserve">Hz</t>
    </r>
    <r>
      <rPr>
        <b val="true"/>
        <sz val="9.5"/>
        <color rgb="FF5AD4FF"/>
        <rFont val="Noto Sans CJK SC"/>
        <family val="2"/>
      </rPr>
      <t xml:space="preserve">表記）</t>
    </r>
  </si>
  <si>
    <r>
      <rPr>
        <sz val="9"/>
        <color rgb="FF9AA7B5"/>
        <rFont val="Arial"/>
        <family val="0"/>
        <charset val="1"/>
      </rPr>
      <t xml:space="preserve">ME'scope </t>
    </r>
    <r>
      <rPr>
        <sz val="9"/>
        <color rgb="FF9AA7B5"/>
        <rFont val="Noto Sans CJK SC"/>
        <family val="2"/>
      </rPr>
      <t xml:space="preserve">の </t>
    </r>
    <r>
      <rPr>
        <sz val="9"/>
        <color rgb="FF9AA7B5"/>
        <rFont val="Arial"/>
        <family val="0"/>
        <charset val="1"/>
      </rPr>
      <t xml:space="preserve">Damping </t>
    </r>
    <r>
      <rPr>
        <sz val="9"/>
        <color rgb="FF9AA7B5"/>
        <rFont val="Noto Sans CJK SC"/>
        <family val="2"/>
      </rPr>
      <t xml:space="preserve">欄はこの</t>
    </r>
    <r>
      <rPr>
        <sz val="9"/>
        <color rgb="FF9AA7B5"/>
        <rFont val="Arial"/>
        <family val="0"/>
        <charset val="1"/>
      </rPr>
      <t xml:space="preserve">Hz</t>
    </r>
    <r>
      <rPr>
        <sz val="9"/>
        <color rgb="FF9AA7B5"/>
        <rFont val="Noto Sans CJK SC"/>
        <family val="2"/>
      </rPr>
      <t xml:space="preserve">表記（</t>
    </r>
    <r>
      <rPr>
        <sz val="9"/>
        <color rgb="FF9AA7B5"/>
        <rFont val="Arial"/>
        <family val="0"/>
        <charset val="1"/>
      </rPr>
      <t xml:space="preserve">Decay Constant</t>
    </r>
    <r>
      <rPr>
        <sz val="9"/>
        <color rgb="FF9AA7B5"/>
        <rFont val="Noto Sans CJK SC"/>
        <family val="2"/>
      </rPr>
      <t xml:space="preserve">）</t>
    </r>
  </si>
  <si>
    <r>
      <rPr>
        <b val="true"/>
        <sz val="9.5"/>
        <color rgb="FF5AD4FF"/>
        <rFont val="Arial"/>
        <family val="0"/>
        <charset val="1"/>
      </rPr>
      <t xml:space="preserve">η</t>
    </r>
    <r>
      <rPr>
        <b val="true"/>
        <sz val="9.5"/>
        <color rgb="FF5AD4FF"/>
        <rFont val="Noto Sans CJK SC"/>
        <family val="2"/>
      </rPr>
      <t xml:space="preserve">（イータ）損失係数</t>
    </r>
  </si>
  <si>
    <r>
      <rPr>
        <sz val="9"/>
        <color rgb="FF9AA7B5"/>
        <rFont val="Arial"/>
        <family val="0"/>
        <charset val="1"/>
      </rPr>
      <t xml:space="preserve">η = 2ζ</t>
    </r>
    <r>
      <rPr>
        <sz val="9"/>
        <color rgb="FF9AA7B5"/>
        <rFont val="Noto Sans CJK SC"/>
        <family val="2"/>
      </rPr>
      <t xml:space="preserve">　🟢</t>
    </r>
    <r>
      <rPr>
        <sz val="9"/>
        <color rgb="FF9AA7B5"/>
        <rFont val="Arial"/>
        <family val="0"/>
        <charset val="1"/>
      </rPr>
      <t xml:space="preserve">ME'scope</t>
    </r>
    <r>
      <rPr>
        <sz val="9"/>
        <color rgb="FF9AA7B5"/>
        <rFont val="Noto Sans CJK SC"/>
        <family val="2"/>
      </rPr>
      <t xml:space="preserve">公式ヘルプ：</t>
    </r>
    <r>
      <rPr>
        <sz val="9"/>
        <color rgb="FF9AA7B5"/>
        <rFont val="Arial"/>
        <family val="0"/>
        <charset val="1"/>
      </rPr>
      <t xml:space="preserve">Loss factor </t>
    </r>
    <r>
      <rPr>
        <sz val="9"/>
        <color rgb="FF9AA7B5"/>
        <rFont val="Noto Sans CJK SC"/>
        <family val="2"/>
      </rPr>
      <t xml:space="preserve">は臨界減衰比の</t>
    </r>
    <r>
      <rPr>
        <sz val="9"/>
        <color rgb="FF9AA7B5"/>
        <rFont val="Arial"/>
        <family val="0"/>
        <charset val="1"/>
      </rPr>
      <t xml:space="preserve">2</t>
    </r>
    <r>
      <rPr>
        <sz val="9"/>
        <color rgb="FF9AA7B5"/>
        <rFont val="Noto Sans CJK SC"/>
        <family val="2"/>
      </rPr>
      <t xml:space="preserve">倍</t>
    </r>
  </si>
  <si>
    <r>
      <rPr>
        <b val="true"/>
        <sz val="9.5"/>
        <color rgb="FF5AD4FF"/>
        <rFont val="Arial"/>
        <family val="0"/>
        <charset val="1"/>
      </rPr>
      <t xml:space="preserve">Q</t>
    </r>
    <r>
      <rPr>
        <b val="true"/>
        <sz val="9.5"/>
        <color rgb="FF5AD4FF"/>
        <rFont val="Noto Sans CJK SC"/>
        <family val="2"/>
      </rPr>
      <t xml:space="preserve">値（尖り具合）</t>
    </r>
  </si>
  <si>
    <r>
      <rPr>
        <sz val="9"/>
        <color rgb="FF9AA7B5"/>
        <rFont val="Arial"/>
        <family val="0"/>
        <charset val="1"/>
      </rPr>
      <t xml:space="preserve">Q = 1 ÷ η</t>
    </r>
    <r>
      <rPr>
        <sz val="9"/>
        <color rgb="FF9AA7B5"/>
        <rFont val="Noto Sans CJK SC"/>
        <family val="2"/>
      </rPr>
      <t xml:space="preserve">　🟢</t>
    </r>
    <r>
      <rPr>
        <sz val="9"/>
        <color rgb="FF9AA7B5"/>
        <rFont val="Arial"/>
        <family val="0"/>
        <charset val="1"/>
      </rPr>
      <t xml:space="preserve">ME'scope</t>
    </r>
    <r>
      <rPr>
        <sz val="9"/>
        <color rgb="FF9AA7B5"/>
        <rFont val="Noto Sans CJK SC"/>
        <family val="2"/>
      </rPr>
      <t xml:space="preserve">：</t>
    </r>
    <r>
      <rPr>
        <sz val="9"/>
        <color rgb="FF9AA7B5"/>
        <rFont val="Arial"/>
        <family val="0"/>
        <charset val="1"/>
      </rPr>
      <t xml:space="preserve">Quality factor </t>
    </r>
    <r>
      <rPr>
        <sz val="9"/>
        <color rgb="FF9AA7B5"/>
        <rFont val="Noto Sans CJK SC"/>
        <family val="2"/>
      </rPr>
      <t xml:space="preserve">は </t>
    </r>
    <r>
      <rPr>
        <sz val="9"/>
        <color rgb="FF9AA7B5"/>
        <rFont val="Arial"/>
        <family val="0"/>
        <charset val="1"/>
      </rPr>
      <t xml:space="preserve">Loss factor </t>
    </r>
    <r>
      <rPr>
        <sz val="9"/>
        <color rgb="FF9AA7B5"/>
        <rFont val="Noto Sans CJK SC"/>
        <family val="2"/>
      </rPr>
      <t xml:space="preserve">の逆数</t>
    </r>
  </si>
  <si>
    <r>
      <rPr>
        <b val="true"/>
        <sz val="9.5"/>
        <color rgb="FF5AD4FF"/>
        <rFont val="Noto Sans CJK SC"/>
        <family val="2"/>
      </rPr>
      <t xml:space="preserve">半値幅（</t>
    </r>
    <r>
      <rPr>
        <b val="true"/>
        <sz val="9.5"/>
        <color rgb="FF5AD4FF"/>
        <rFont val="Arial"/>
        <family val="0"/>
        <charset val="1"/>
      </rPr>
      <t xml:space="preserve">3dB</t>
    </r>
    <r>
      <rPr>
        <b val="true"/>
        <sz val="9.5"/>
        <color rgb="FF5AD4FF"/>
        <rFont val="Noto Sans CJK SC"/>
        <family val="2"/>
      </rPr>
      <t xml:space="preserve">帯域幅）</t>
    </r>
  </si>
  <si>
    <r>
      <rPr>
        <sz val="9"/>
        <color rgb="FF9AA7B5"/>
        <rFont val="Arial"/>
        <family val="0"/>
        <charset val="1"/>
      </rPr>
      <t xml:space="preserve">🟢ME'scope</t>
    </r>
    <r>
      <rPr>
        <sz val="9"/>
        <color rgb="FF9AA7B5"/>
        <rFont val="Noto Sans CJK SC"/>
        <family val="2"/>
      </rPr>
      <t xml:space="preserve">：山の幅は減衰係数</t>
    </r>
    <r>
      <rPr>
        <sz val="9"/>
        <color rgb="FF9AA7B5"/>
        <rFont val="Arial"/>
        <family val="0"/>
        <charset val="1"/>
      </rPr>
      <t xml:space="preserve">σ</t>
    </r>
    <r>
      <rPr>
        <sz val="9"/>
        <color rgb="FF9AA7B5"/>
        <rFont val="Noto Sans CJK SC"/>
        <family val="2"/>
      </rPr>
      <t xml:space="preserve">の</t>
    </r>
    <r>
      <rPr>
        <sz val="9"/>
        <color rgb="FF9AA7B5"/>
        <rFont val="Arial"/>
        <family val="0"/>
        <charset val="1"/>
      </rPr>
      <t xml:space="preserve">2</t>
    </r>
    <r>
      <rPr>
        <sz val="9"/>
        <color rgb="FF9AA7B5"/>
        <rFont val="Noto Sans CJK SC"/>
        <family val="2"/>
      </rPr>
      <t xml:space="preserve">倍</t>
    </r>
  </si>
  <si>
    <t xml:space="preserve">減衰比（％表記）</t>
  </si>
  <si>
    <t xml:space="preserve">%</t>
  </si>
  <si>
    <r>
      <rPr>
        <sz val="9"/>
        <color rgb="FF9AA7B5"/>
        <rFont val="Arial"/>
        <family val="0"/>
        <charset val="1"/>
      </rPr>
      <t xml:space="preserve">ME'scope </t>
    </r>
    <r>
      <rPr>
        <sz val="9"/>
        <color rgb="FF9AA7B5"/>
        <rFont val="Noto Sans CJK SC"/>
        <family val="2"/>
      </rPr>
      <t xml:space="preserve">の </t>
    </r>
    <r>
      <rPr>
        <sz val="9"/>
        <color rgb="FF9AA7B5"/>
        <rFont val="Arial"/>
        <family val="0"/>
        <charset val="1"/>
      </rPr>
      <t xml:space="preserve">Damping(%) </t>
    </r>
    <r>
      <rPr>
        <sz val="9"/>
        <color rgb="FF9AA7B5"/>
        <rFont val="Noto Sans CJK SC"/>
        <family val="2"/>
      </rPr>
      <t xml:space="preserve">欄</t>
    </r>
  </si>
  <si>
    <r>
      <rPr>
        <b val="true"/>
        <sz val="9.5"/>
        <color rgb="FF5AD4FF"/>
        <rFont val="Noto Sans CJK SC"/>
        <family val="2"/>
      </rPr>
      <t xml:space="preserve">極 </t>
    </r>
    <r>
      <rPr>
        <b val="true"/>
        <sz val="9.5"/>
        <color rgb="FF5AD4FF"/>
        <rFont val="Arial"/>
        <family val="0"/>
        <charset val="1"/>
      </rPr>
      <t xml:space="preserve">p = −σ + jωd</t>
    </r>
    <r>
      <rPr>
        <b val="true"/>
        <sz val="9.5"/>
        <color rgb="FF5AD4FF"/>
        <rFont val="Noto Sans CJK SC"/>
        <family val="2"/>
      </rPr>
      <t xml:space="preserve">（実部）</t>
    </r>
  </si>
  <si>
    <r>
      <rPr>
        <sz val="9"/>
        <color rgb="FF9AA7B5"/>
        <rFont val="Arial"/>
        <family val="0"/>
        <charset val="1"/>
      </rPr>
      <t xml:space="preserve">s</t>
    </r>
    <r>
      <rPr>
        <sz val="9"/>
        <color rgb="FF9AA7B5"/>
        <rFont val="Noto Sans CJK SC"/>
        <family val="2"/>
      </rPr>
      <t xml:space="preserve">平面上の位置（左半面にあれば安定）</t>
    </r>
  </si>
  <si>
    <r>
      <rPr>
        <b val="true"/>
        <sz val="9.5"/>
        <color rgb="FF5AD4FF"/>
        <rFont val="Noto Sans CJK SC"/>
        <family val="2"/>
      </rPr>
      <t xml:space="preserve">極 </t>
    </r>
    <r>
      <rPr>
        <b val="true"/>
        <sz val="9.5"/>
        <color rgb="FF5AD4FF"/>
        <rFont val="Arial"/>
        <family val="0"/>
        <charset val="1"/>
      </rPr>
      <t xml:space="preserve">p = −σ + jωd</t>
    </r>
    <r>
      <rPr>
        <b val="true"/>
        <sz val="9.5"/>
        <color rgb="FF5AD4FF"/>
        <rFont val="Noto Sans CJK SC"/>
        <family val="2"/>
      </rPr>
      <t xml:space="preserve">（虚部）</t>
    </r>
  </si>
  <si>
    <r>
      <rPr>
        <b val="true"/>
        <sz val="11.5"/>
        <color rgb="FFFFB454"/>
        <rFont val="Noto Sans CJK SC"/>
        <family val="2"/>
      </rPr>
      <t xml:space="preserve">■ 指数窓を使った場合の減衰補正（</t>
    </r>
    <r>
      <rPr>
        <b val="true"/>
        <sz val="11.5"/>
        <color rgb="FFFFB454"/>
        <rFont val="Arial"/>
        <family val="0"/>
        <charset val="1"/>
      </rPr>
      <t xml:space="preserve">02</t>
    </r>
    <r>
      <rPr>
        <b val="true"/>
        <sz val="11.5"/>
        <color rgb="FFFFB454"/>
        <rFont val="Noto Sans CJK SC"/>
        <family val="2"/>
      </rPr>
      <t xml:space="preserve">シートと連動）</t>
    </r>
  </si>
  <si>
    <r>
      <rPr>
        <sz val="10"/>
        <color rgb="FFDBE2EA"/>
        <rFont val="Noto Sans CJK SC"/>
        <family val="2"/>
      </rPr>
      <t xml:space="preserve">指数窓を使いましたか？（</t>
    </r>
    <r>
      <rPr>
        <sz val="10"/>
        <color rgb="FFDBE2EA"/>
        <rFont val="Arial"/>
        <family val="0"/>
        <charset val="1"/>
      </rPr>
      <t xml:space="preserve">1=</t>
    </r>
    <r>
      <rPr>
        <sz val="10"/>
        <color rgb="FFDBE2EA"/>
        <rFont val="Noto Sans CJK SC"/>
        <family val="2"/>
      </rPr>
      <t xml:space="preserve">はい </t>
    </r>
    <r>
      <rPr>
        <sz val="10"/>
        <color rgb="FFDBE2EA"/>
        <rFont val="Arial"/>
        <family val="0"/>
        <charset val="1"/>
      </rPr>
      <t xml:space="preserve">/ 0=</t>
    </r>
    <r>
      <rPr>
        <sz val="10"/>
        <color rgb="FFDBE2EA"/>
        <rFont val="Noto Sans CJK SC"/>
        <family val="2"/>
      </rPr>
      <t xml:space="preserve">いいえ）</t>
    </r>
  </si>
  <si>
    <r>
      <rPr>
        <sz val="9"/>
        <color rgb="FF9AA7B5"/>
        <rFont val="Noto Sans CJK SC"/>
        <family val="2"/>
      </rPr>
      <t xml:space="preserve">指数窓は </t>
    </r>
    <r>
      <rPr>
        <sz val="9"/>
        <color rgb="FF9AA7B5"/>
        <rFont val="Arial"/>
        <family val="0"/>
        <charset val="1"/>
      </rPr>
      <t xml:space="preserve">e^(−t/τ) </t>
    </r>
    <r>
      <rPr>
        <sz val="9"/>
        <color rgb="FF9AA7B5"/>
        <rFont val="Noto Sans CJK SC"/>
        <family val="2"/>
      </rPr>
      <t xml:space="preserve">を掛けるので、測った減衰係数は </t>
    </r>
    <r>
      <rPr>
        <sz val="9"/>
        <color rgb="FF9AA7B5"/>
        <rFont val="Arial"/>
        <family val="0"/>
        <charset val="1"/>
      </rPr>
      <t xml:space="preserve">σ_meas = σ_true + 1/τ </t>
    </r>
    <r>
      <rPr>
        <sz val="9"/>
        <color rgb="FF9AA7B5"/>
        <rFont val="Noto Sans CJK SC"/>
        <family val="2"/>
      </rPr>
      <t xml:space="preserve">になります。だから引き算で戻せます。</t>
    </r>
  </si>
  <si>
    <r>
      <rPr>
        <sz val="10"/>
        <color rgb="FFDBE2EA"/>
        <rFont val="Noto Sans CJK SC"/>
        <family val="2"/>
      </rPr>
      <t xml:space="preserve">窓による損失係数の上乗せ </t>
    </r>
    <r>
      <rPr>
        <sz val="10"/>
        <color rgb="FFDBE2EA"/>
        <rFont val="Arial"/>
        <family val="0"/>
        <charset val="1"/>
      </rPr>
      <t xml:space="preserve">Δη</t>
    </r>
  </si>
  <si>
    <r>
      <rPr>
        <sz val="10"/>
        <color rgb="FFDBE2EA"/>
        <rFont val="Noto Sans CJK SC"/>
        <family val="2"/>
      </rPr>
      <t xml:space="preserve">補正後の損失係数 </t>
    </r>
    <r>
      <rPr>
        <sz val="10"/>
        <color rgb="FFDBE2EA"/>
        <rFont val="Arial"/>
        <family val="0"/>
        <charset val="1"/>
      </rPr>
      <t xml:space="preserve">η_true</t>
    </r>
  </si>
  <si>
    <r>
      <rPr>
        <sz val="9"/>
        <color rgb="FF9AA7B5"/>
        <rFont val="Arial"/>
        <family val="0"/>
        <charset val="1"/>
      </rPr>
      <t xml:space="preserve">Δη = 1/(π·fn·τ)</t>
    </r>
    <r>
      <rPr>
        <sz val="9"/>
        <color rgb="FF9AA7B5"/>
        <rFont val="Noto Sans CJK SC"/>
        <family val="2"/>
      </rPr>
      <t xml:space="preserve">。窓なし測定なら </t>
    </r>
    <r>
      <rPr>
        <sz val="9"/>
        <color rgb="FF9AA7B5"/>
        <rFont val="Arial"/>
        <family val="0"/>
        <charset val="1"/>
      </rPr>
      <t xml:space="preserve">B24 </t>
    </r>
    <r>
      <rPr>
        <sz val="9"/>
        <color rgb="FF9AA7B5"/>
        <rFont val="Noto Sans CJK SC"/>
        <family val="2"/>
      </rPr>
      <t xml:space="preserve">は </t>
    </r>
    <r>
      <rPr>
        <sz val="9"/>
        <color rgb="FF9AA7B5"/>
        <rFont val="Arial"/>
        <family val="0"/>
        <charset val="1"/>
      </rPr>
      <t xml:space="preserve">0 </t>
    </r>
    <r>
      <rPr>
        <sz val="9"/>
        <color rgb="FF9AA7B5"/>
        <rFont val="Noto Sans CJK SC"/>
        <family val="2"/>
      </rPr>
      <t xml:space="preserve">のままで</t>
    </r>
    <r>
      <rPr>
        <sz val="9"/>
        <color rgb="FF9AA7B5"/>
        <rFont val="Arial"/>
        <family val="0"/>
        <charset val="1"/>
      </rPr>
      <t xml:space="preserve">OK</t>
    </r>
    <r>
      <rPr>
        <sz val="9"/>
        <color rgb="FF9AA7B5"/>
        <rFont val="Noto Sans CJK SC"/>
        <family val="2"/>
      </rPr>
      <t xml:space="preserve">。</t>
    </r>
  </si>
  <si>
    <r>
      <rPr>
        <sz val="10"/>
        <color rgb="FFDBE2EA"/>
        <rFont val="Noto Sans CJK SC"/>
        <family val="2"/>
      </rPr>
      <t xml:space="preserve">補正後の減衰比 </t>
    </r>
    <r>
      <rPr>
        <sz val="10"/>
        <color rgb="FFDBE2EA"/>
        <rFont val="Arial"/>
        <family val="0"/>
        <charset val="1"/>
      </rPr>
      <t xml:space="preserve">ζ_true</t>
    </r>
  </si>
  <si>
    <r>
      <rPr>
        <sz val="10"/>
        <color rgb="FFDBE2EA"/>
        <rFont val="Noto Sans CJK SC"/>
        <family val="2"/>
      </rPr>
      <t xml:space="preserve">補正後の</t>
    </r>
    <r>
      <rPr>
        <sz val="10"/>
        <color rgb="FFDBE2EA"/>
        <rFont val="Arial"/>
        <family val="0"/>
        <charset val="1"/>
      </rPr>
      <t xml:space="preserve">Q</t>
    </r>
    <r>
      <rPr>
        <sz val="10"/>
        <color rgb="FFDBE2EA"/>
        <rFont val="Noto Sans CJK SC"/>
        <family val="2"/>
      </rPr>
      <t xml:space="preserve">値</t>
    </r>
  </si>
  <si>
    <r>
      <rPr>
        <b val="true"/>
        <sz val="11.5"/>
        <color rgb="FFFFB454"/>
        <rFont val="Arial"/>
        <family val="0"/>
        <charset val="1"/>
      </rPr>
      <t xml:space="preserve">■ 2</t>
    </r>
    <r>
      <rPr>
        <b val="true"/>
        <sz val="11.5"/>
        <color rgb="FFFFB454"/>
        <rFont val="Noto Sans CJK SC"/>
        <family val="2"/>
      </rPr>
      <t xml:space="preserve">つのモードの分離度チェック</t>
    </r>
  </si>
  <si>
    <r>
      <rPr>
        <sz val="10"/>
        <color rgb="FFDBE2EA"/>
        <rFont val="Noto Sans CJK SC"/>
        <family val="2"/>
      </rPr>
      <t xml:space="preserve">周波数の差 </t>
    </r>
    <r>
      <rPr>
        <sz val="10"/>
        <color rgb="FFDBE2EA"/>
        <rFont val="Arial"/>
        <family val="0"/>
        <charset val="1"/>
      </rPr>
      <t xml:space="preserve">|fA − fB|</t>
    </r>
  </si>
  <si>
    <r>
      <rPr>
        <sz val="9"/>
        <color rgb="FF9AA7B5"/>
        <rFont val="Noto Sans CJK SC"/>
        <family val="2"/>
      </rPr>
      <t xml:space="preserve">この比が</t>
    </r>
    <r>
      <rPr>
        <sz val="9"/>
        <color rgb="FF9AA7B5"/>
        <rFont val="Arial"/>
        <family val="0"/>
        <charset val="1"/>
      </rPr>
      <t xml:space="preserve">1</t>
    </r>
    <r>
      <rPr>
        <sz val="9"/>
        <color rgb="FF9AA7B5"/>
        <rFont val="Noto Sans CJK SC"/>
        <family val="2"/>
      </rPr>
      <t xml:space="preserve">を切ると、目で見て山は</t>
    </r>
    <r>
      <rPr>
        <sz val="9"/>
        <color rgb="FF9AA7B5"/>
        <rFont val="Arial"/>
        <family val="0"/>
        <charset val="1"/>
      </rPr>
      <t xml:space="preserve">1</t>
    </r>
    <r>
      <rPr>
        <sz val="9"/>
        <color rgb="FF9AA7B5"/>
        <rFont val="Noto Sans CJK SC"/>
        <family val="2"/>
      </rPr>
      <t xml:space="preserve">本にしか見えません。それでも数式は</t>
    </r>
    <r>
      <rPr>
        <sz val="9"/>
        <color rgb="FF9AA7B5"/>
        <rFont val="Arial"/>
        <family val="0"/>
        <charset val="1"/>
      </rPr>
      <t xml:space="preserve">2</t>
    </r>
    <r>
      <rPr>
        <sz val="9"/>
        <color rgb="FF9AA7B5"/>
        <rFont val="Noto Sans CJK SC"/>
        <family val="2"/>
      </rPr>
      <t xml:space="preserve">本に分けられます。</t>
    </r>
  </si>
  <si>
    <t xml:space="preserve">半値幅の平均</t>
  </si>
  <si>
    <r>
      <rPr>
        <sz val="10"/>
        <color rgb="FFDBE2EA"/>
        <rFont val="Noto Sans CJK SC"/>
        <family val="2"/>
      </rPr>
      <t xml:space="preserve">分離度（差 </t>
    </r>
    <r>
      <rPr>
        <sz val="10"/>
        <color rgb="FFDBE2EA"/>
        <rFont val="Arial"/>
        <family val="0"/>
        <charset val="1"/>
      </rPr>
      <t xml:space="preserve">÷ </t>
    </r>
    <r>
      <rPr>
        <sz val="10"/>
        <color rgb="FFDBE2EA"/>
        <rFont val="Noto Sans CJK SC"/>
        <family val="2"/>
      </rPr>
      <t xml:space="preserve">半値幅）</t>
    </r>
  </si>
  <si>
    <r>
      <rPr>
        <sz val="9"/>
        <color rgb="FF9AA7B5"/>
        <rFont val="Noto Sans CJK SC"/>
        <family val="2"/>
      </rPr>
      <t xml:space="preserve">🟡 経験則：比が</t>
    </r>
    <r>
      <rPr>
        <sz val="9"/>
        <color rgb="FF9AA7B5"/>
        <rFont val="Arial"/>
        <family val="0"/>
        <charset val="1"/>
      </rPr>
      <t xml:space="preserve">0.3</t>
    </r>
    <r>
      <rPr>
        <sz val="9"/>
        <color rgb="FF9AA7B5"/>
        <rFont val="Noto Sans CJK SC"/>
        <family val="2"/>
      </rPr>
      <t xml:space="preserve">を下回ると</t>
    </r>
    <r>
      <rPr>
        <sz val="9"/>
        <color rgb="FF9AA7B5"/>
        <rFont val="Arial"/>
        <family val="0"/>
        <charset val="1"/>
      </rPr>
      <t xml:space="preserve">1</t>
    </r>
    <r>
      <rPr>
        <sz val="9"/>
        <color rgb="FF9AA7B5"/>
        <rFont val="Noto Sans CJK SC"/>
        <family val="2"/>
      </rPr>
      <t xml:space="preserve">点加振での</t>
    </r>
    <r>
      <rPr>
        <sz val="9"/>
        <color rgb="FF9AA7B5"/>
        <rFont val="Arial"/>
        <family val="0"/>
        <charset val="1"/>
      </rPr>
      <t xml:space="preserve">RFP</t>
    </r>
    <r>
      <rPr>
        <sz val="9"/>
        <color rgb="FF9AA7B5"/>
        <rFont val="Noto Sans CJK SC"/>
        <family val="2"/>
      </rPr>
      <t xml:space="preserve">は不安定になりやすく、加振点を変えた</t>
    </r>
    <r>
      <rPr>
        <sz val="9"/>
        <color rgb="FF9AA7B5"/>
        <rFont val="Arial"/>
        <family val="0"/>
        <charset val="1"/>
      </rPr>
      <t xml:space="preserve">2</t>
    </r>
    <r>
      <rPr>
        <sz val="9"/>
        <color rgb="FF9AA7B5"/>
        <rFont val="Noto Sans CJK SC"/>
        <family val="2"/>
      </rPr>
      <t xml:space="preserve">組目のデータ（相反性を使った疑似</t>
    </r>
    <r>
      <rPr>
        <sz val="9"/>
        <color rgb="FF9AA7B5"/>
        <rFont val="Arial"/>
        <family val="0"/>
        <charset val="1"/>
      </rPr>
      <t xml:space="preserve">MIMO</t>
    </r>
    <r>
      <rPr>
        <sz val="9"/>
        <color rgb="FF9AA7B5"/>
        <rFont val="Noto Sans CJK SC"/>
        <family val="2"/>
      </rPr>
      <t xml:space="preserve">）が欲しくなります。</t>
    </r>
  </si>
  <si>
    <r>
      <rPr>
        <b val="true"/>
        <sz val="15"/>
        <color rgb="FF5AD4FF"/>
        <rFont val="Noto Sans CJK SC"/>
        <family val="2"/>
      </rPr>
      <t xml:space="preserve">⑩ レジデュー（残差）＝モード形状の成分｜</t>
    </r>
    <r>
      <rPr>
        <b val="true"/>
        <sz val="15"/>
        <color rgb="FF5AD4FF"/>
        <rFont val="Arial"/>
        <family val="0"/>
        <charset val="1"/>
      </rPr>
      <t xml:space="preserve">ME'scope </t>
    </r>
    <r>
      <rPr>
        <b val="true"/>
        <sz val="15"/>
        <color rgb="FF5AD4FF"/>
        <rFont val="Noto Sans CJK SC"/>
        <family val="2"/>
      </rPr>
      <t xml:space="preserve">手順③に相当</t>
    </r>
  </si>
  <si>
    <r>
      <rPr>
        <sz val="9"/>
        <color rgb="FF9AA7B5"/>
        <rFont val="Noto Sans CJK SC"/>
        <family val="2"/>
      </rPr>
      <t xml:space="preserve">極（固有振動数・減衰）が決まったら、あとは『山の高さ』を線形最小二乗で求めるだけ。</t>
    </r>
    <r>
      <rPr>
        <sz val="9"/>
        <color rgb="FF9AA7B5"/>
        <rFont val="Arial"/>
        <family val="0"/>
        <charset val="1"/>
      </rPr>
      <t xml:space="preserve">ME'scope </t>
    </r>
    <r>
      <rPr>
        <sz val="9"/>
        <color rgb="FF9AA7B5"/>
        <rFont val="Noto Sans CJK SC"/>
        <family val="2"/>
      </rPr>
      <t xml:space="preserve">の </t>
    </r>
    <r>
      <rPr>
        <sz val="9"/>
        <color rgb="FF9AA7B5"/>
        <rFont val="Arial"/>
        <family val="0"/>
        <charset val="1"/>
      </rPr>
      <t xml:space="preserve">Residue curve fitting </t>
    </r>
    <r>
      <rPr>
        <sz val="9"/>
        <color rgb="FF9AA7B5"/>
        <rFont val="Noto Sans CJK SC"/>
        <family val="2"/>
      </rPr>
      <t xml:space="preserve">と同じ工程です。</t>
    </r>
  </si>
  <si>
    <r>
      <rPr>
        <b val="true"/>
        <sz val="11.5"/>
        <color rgb="FFFFB454"/>
        <rFont val="Arial"/>
        <family val="0"/>
        <charset val="1"/>
      </rPr>
      <t xml:space="preserve">■ ME'scope </t>
    </r>
    <r>
      <rPr>
        <b val="true"/>
        <sz val="11.5"/>
        <color rgb="FFFFB454"/>
        <rFont val="Noto Sans CJK SC"/>
        <family val="2"/>
      </rPr>
      <t xml:space="preserve">が使っている部分分数モデル（🟢一次情報：</t>
    </r>
    <r>
      <rPr>
        <b val="true"/>
        <sz val="11.5"/>
        <color rgb="FFFFB454"/>
        <rFont val="Arial"/>
        <family val="0"/>
        <charset val="1"/>
      </rPr>
      <t xml:space="preserve">Richardson, Vibrant Technology, 2000, </t>
    </r>
    <r>
      <rPr>
        <b val="true"/>
        <sz val="11.5"/>
        <color rgb="FFFFB454"/>
        <rFont val="Noto Sans CJK SC"/>
        <family val="2"/>
      </rPr>
      <t xml:space="preserve">式</t>
    </r>
    <r>
      <rPr>
        <b val="true"/>
        <sz val="11.5"/>
        <color rgb="FFFFB454"/>
        <rFont val="Arial"/>
        <family val="0"/>
        <charset val="1"/>
      </rPr>
      <t xml:space="preserve">(13)</t>
    </r>
    <r>
      <rPr>
        <b val="true"/>
        <sz val="11.5"/>
        <color rgb="FFFFB454"/>
        <rFont val="Noto Sans CJK SC"/>
        <family val="2"/>
      </rPr>
      <t xml:space="preserve">）</t>
    </r>
  </si>
  <si>
    <t xml:space="preserve">σA [rad/s]</t>
  </si>
  <si>
    <t xml:space="preserve">H(s) = Σ [ r(k) ÷ (2j(s − p(k))) − r(k)* ÷ (2j(s − p(k)*)) ]</t>
  </si>
  <si>
    <t xml:space="preserve">ωdA [rad/s]</t>
  </si>
  <si>
    <r>
      <rPr>
        <sz val="9"/>
        <color rgb="FF9AA7B5"/>
        <rFont val="Arial"/>
        <family val="0"/>
        <charset val="1"/>
      </rPr>
      <t xml:space="preserve">p(k) = −σ(k) + jω(k)</t>
    </r>
    <r>
      <rPr>
        <sz val="9"/>
        <color rgb="FF9AA7B5"/>
        <rFont val="Noto Sans CJK SC"/>
        <family val="2"/>
      </rPr>
      <t xml:space="preserve">（極）、</t>
    </r>
    <r>
      <rPr>
        <sz val="9"/>
        <color rgb="FF9AA7B5"/>
        <rFont val="Arial"/>
        <family val="0"/>
        <charset val="1"/>
      </rPr>
      <t xml:space="preserve">r(k)</t>
    </r>
    <r>
      <rPr>
        <sz val="9"/>
        <color rgb="FF9AA7B5"/>
        <rFont val="Noto Sans CJK SC"/>
        <family val="2"/>
      </rPr>
      <t xml:space="preserve">＝レジデュー、</t>
    </r>
    <r>
      <rPr>
        <sz val="9"/>
        <color rgb="FF9AA7B5"/>
        <rFont val="Arial"/>
        <family val="0"/>
        <charset val="1"/>
      </rPr>
      <t xml:space="preserve">*</t>
    </r>
    <r>
      <rPr>
        <sz val="9"/>
        <color rgb="FF9AA7B5"/>
        <rFont val="Noto Sans CJK SC"/>
        <family val="2"/>
      </rPr>
      <t xml:space="preserve">＝複素共役。ここでは扱いやすい等価形 </t>
    </r>
    <r>
      <rPr>
        <sz val="9"/>
        <color rgb="FF9AA7B5"/>
        <rFont val="Arial"/>
        <family val="0"/>
        <charset val="1"/>
      </rPr>
      <t xml:space="preserve">H = Σ [ A/(jω−p) + A*/(jω−p*) ] </t>
    </r>
    <r>
      <rPr>
        <sz val="9"/>
        <color rgb="FF9AA7B5"/>
        <rFont val="Noto Sans CJK SC"/>
        <family val="2"/>
      </rPr>
      <t xml:space="preserve">で解き、最後に </t>
    </r>
    <r>
      <rPr>
        <sz val="9"/>
        <color rgb="FF9AA7B5"/>
        <rFont val="Arial"/>
        <family val="0"/>
        <charset val="1"/>
      </rPr>
      <t xml:space="preserve">r = 2j·A </t>
    </r>
    <r>
      <rPr>
        <sz val="9"/>
        <color rgb="FF9AA7B5"/>
        <rFont val="Noto Sans CJK SC"/>
        <family val="2"/>
      </rPr>
      <t xml:space="preserve">に直します。</t>
    </r>
  </si>
  <si>
    <t xml:space="preserve">σB [rad/s]</t>
  </si>
  <si>
    <r>
      <rPr>
        <sz val="9"/>
        <color rgb="FF5EE6A0"/>
        <rFont val="Noto Sans CJK SC"/>
        <family val="2"/>
      </rPr>
      <t xml:space="preserve">さらに帯域外モードの影響を吸収する残余項を</t>
    </r>
    <r>
      <rPr>
        <sz val="9"/>
        <color rgb="FF5EE6A0"/>
        <rFont val="Arial"/>
        <family val="0"/>
        <charset val="1"/>
      </rPr>
      <t xml:space="preserve">2</t>
    </r>
    <r>
      <rPr>
        <sz val="9"/>
        <color rgb="FF5EE6A0"/>
        <rFont val="Noto Sans CJK SC"/>
        <family val="2"/>
      </rPr>
      <t xml:space="preserve">つ足します：下側残余 </t>
    </r>
    <r>
      <rPr>
        <sz val="9"/>
        <color rgb="FF5EE6A0"/>
        <rFont val="Arial"/>
        <family val="0"/>
        <charset val="1"/>
      </rPr>
      <t xml:space="preserve">RL</t>
    </r>
    <r>
      <rPr>
        <sz val="9"/>
        <color rgb="FF5EE6A0"/>
        <rFont val="Noto Sans CJK SC"/>
        <family val="2"/>
      </rPr>
      <t xml:space="preserve">（帯域より下のモードの効き＝−</t>
    </r>
    <r>
      <rPr>
        <sz val="9"/>
        <color rgb="FF5EE6A0"/>
        <rFont val="Arial"/>
        <family val="0"/>
        <charset val="1"/>
      </rPr>
      <t xml:space="preserve">RL/ω²</t>
    </r>
    <r>
      <rPr>
        <sz val="9"/>
        <color rgb="FF5EE6A0"/>
        <rFont val="Noto Sans CJK SC"/>
        <family val="2"/>
      </rPr>
      <t xml:space="preserve">）と 上側残余 </t>
    </r>
    <r>
      <rPr>
        <sz val="9"/>
        <color rgb="FF5EE6A0"/>
        <rFont val="Arial"/>
        <family val="0"/>
        <charset val="1"/>
      </rPr>
      <t xml:space="preserve">RU</t>
    </r>
    <r>
      <rPr>
        <sz val="9"/>
        <color rgb="FF5EE6A0"/>
        <rFont val="Noto Sans CJK SC"/>
        <family val="2"/>
      </rPr>
      <t xml:space="preserve">（帯域より上のモードの効き＝定数）。</t>
    </r>
  </si>
  <si>
    <t xml:space="preserve">ωdB [rad/s]</t>
  </si>
  <si>
    <t xml:space="preserve">点</t>
  </si>
  <si>
    <r>
      <rPr>
        <b val="true"/>
        <sz val="9"/>
        <color rgb="FFFFB454"/>
        <rFont val="Arial"/>
        <family val="0"/>
        <charset val="1"/>
      </rPr>
      <t xml:space="preserve">Re(H) </t>
    </r>
    <r>
      <rPr>
        <b val="true"/>
        <sz val="9"/>
        <color rgb="FFFFB454"/>
        <rFont val="Noto Sans CJK SC"/>
        <family val="2"/>
      </rPr>
      <t xml:space="preserve">実測</t>
    </r>
  </si>
  <si>
    <r>
      <rPr>
        <b val="true"/>
        <sz val="9"/>
        <color rgb="FFFFB454"/>
        <rFont val="Arial"/>
        <family val="0"/>
        <charset val="1"/>
      </rPr>
      <t xml:space="preserve">Im(H) </t>
    </r>
    <r>
      <rPr>
        <b val="true"/>
        <sz val="9"/>
        <color rgb="FFFFB454"/>
        <rFont val="Noto Sans CJK SC"/>
        <family val="2"/>
      </rPr>
      <t xml:space="preserve">実測</t>
    </r>
  </si>
  <si>
    <t xml:space="preserve">g1r</t>
  </si>
  <si>
    <t xml:space="preserve">g1i</t>
  </si>
  <si>
    <t xml:space="preserve">h1r</t>
  </si>
  <si>
    <t xml:space="preserve">h1i</t>
  </si>
  <si>
    <t xml:space="preserve">g2r</t>
  </si>
  <si>
    <t xml:space="preserve">g2i</t>
  </si>
  <si>
    <t xml:space="preserve">h2r</t>
  </si>
  <si>
    <t xml:space="preserve">h2i</t>
  </si>
  <si>
    <r>
      <rPr>
        <b val="true"/>
        <sz val="9"/>
        <color rgb="FFFFB454"/>
        <rFont val="Noto Sans CJK SC"/>
        <family val="2"/>
      </rPr>
      <t xml:space="preserve">列</t>
    </r>
    <r>
      <rPr>
        <b val="true"/>
        <sz val="9"/>
        <color rgb="FFFFB454"/>
        <rFont val="Arial"/>
        <family val="0"/>
        <charset val="1"/>
      </rPr>
      <t xml:space="preserve">α1</t>
    </r>
  </si>
  <si>
    <r>
      <rPr>
        <b val="true"/>
        <sz val="9"/>
        <color rgb="FFFFB454"/>
        <rFont val="Noto Sans CJK SC"/>
        <family val="2"/>
      </rPr>
      <t xml:space="preserve">列</t>
    </r>
    <r>
      <rPr>
        <b val="true"/>
        <sz val="9"/>
        <color rgb="FFFFB454"/>
        <rFont val="Arial"/>
        <family val="0"/>
        <charset val="1"/>
      </rPr>
      <t xml:space="preserve">β1</t>
    </r>
  </si>
  <si>
    <r>
      <rPr>
        <b val="true"/>
        <sz val="9"/>
        <color rgb="FFFFB454"/>
        <rFont val="Noto Sans CJK SC"/>
        <family val="2"/>
      </rPr>
      <t xml:space="preserve">列</t>
    </r>
    <r>
      <rPr>
        <b val="true"/>
        <sz val="9"/>
        <color rgb="FFFFB454"/>
        <rFont val="Arial"/>
        <family val="0"/>
        <charset val="1"/>
      </rPr>
      <t xml:space="preserve">α2</t>
    </r>
  </si>
  <si>
    <r>
      <rPr>
        <b val="true"/>
        <sz val="9"/>
        <color rgb="FFFFB454"/>
        <rFont val="Noto Sans CJK SC"/>
        <family val="2"/>
      </rPr>
      <t xml:space="preserve">列</t>
    </r>
    <r>
      <rPr>
        <b val="true"/>
        <sz val="9"/>
        <color rgb="FFFFB454"/>
        <rFont val="Arial"/>
        <family val="0"/>
        <charset val="1"/>
      </rPr>
      <t xml:space="preserve">β2</t>
    </r>
  </si>
  <si>
    <r>
      <rPr>
        <b val="true"/>
        <sz val="9"/>
        <color rgb="FFFFB454"/>
        <rFont val="Noto Sans CJK SC"/>
        <family val="2"/>
      </rPr>
      <t xml:space="preserve">列</t>
    </r>
    <r>
      <rPr>
        <b val="true"/>
        <sz val="9"/>
        <color rgb="FFFFB454"/>
        <rFont val="Arial"/>
        <family val="0"/>
        <charset val="1"/>
      </rPr>
      <t xml:space="preserve">RL</t>
    </r>
  </si>
  <si>
    <r>
      <rPr>
        <b val="true"/>
        <sz val="9"/>
        <color rgb="FFFFB454"/>
        <rFont val="Noto Sans CJK SC"/>
        <family val="2"/>
      </rPr>
      <t xml:space="preserve">列</t>
    </r>
    <r>
      <rPr>
        <b val="true"/>
        <sz val="9"/>
        <color rgb="FFFFB454"/>
        <rFont val="Arial"/>
        <family val="0"/>
        <charset val="1"/>
      </rPr>
      <t xml:space="preserve">RU</t>
    </r>
  </si>
  <si>
    <t xml:space="preserve">右辺</t>
  </si>
  <si>
    <r>
      <rPr>
        <b val="true"/>
        <sz val="10"/>
        <color rgb="FFFFB454"/>
        <rFont val="Arial"/>
        <family val="0"/>
        <charset val="1"/>
      </rPr>
      <t xml:space="preserve">MᵀM</t>
    </r>
    <r>
      <rPr>
        <b val="true"/>
        <sz val="10"/>
        <color rgb="FFFFB454"/>
        <rFont val="Noto Sans CJK SC"/>
        <family val="2"/>
      </rPr>
      <t xml:space="preserve">（</t>
    </r>
    <r>
      <rPr>
        <b val="true"/>
        <sz val="10"/>
        <color rgb="FFFFB454"/>
        <rFont val="Arial"/>
        <family val="0"/>
        <charset val="1"/>
      </rPr>
      <t xml:space="preserve">6×6</t>
    </r>
    <r>
      <rPr>
        <b val="true"/>
        <sz val="10"/>
        <color rgb="FFFFB454"/>
        <rFont val="Noto Sans CJK SC"/>
        <family val="2"/>
      </rPr>
      <t xml:space="preserve">）</t>
    </r>
  </si>
  <si>
    <t xml:space="preserve">λ</t>
  </si>
  <si>
    <r>
      <rPr>
        <b val="true"/>
        <sz val="10"/>
        <color rgb="FFFFB454"/>
        <rFont val="Arial"/>
        <family val="0"/>
        <charset val="1"/>
      </rPr>
      <t xml:space="preserve">MᵀM</t>
    </r>
    <r>
      <rPr>
        <b val="true"/>
        <sz val="10"/>
        <color rgb="FFFFB454"/>
        <rFont val="Noto Sans CJK SC"/>
        <family val="2"/>
      </rPr>
      <t xml:space="preserve">＋</t>
    </r>
    <r>
      <rPr>
        <b val="true"/>
        <sz val="10"/>
        <color rgb="FFFFB454"/>
        <rFont val="Arial"/>
        <family val="0"/>
        <charset val="1"/>
      </rPr>
      <t xml:space="preserve">λI</t>
    </r>
  </si>
  <si>
    <t xml:space="preserve">逆行列</t>
  </si>
  <si>
    <r>
      <rPr>
        <b val="true"/>
        <sz val="10"/>
        <color rgb="FFFFB454"/>
        <rFont val="Arial"/>
        <family val="0"/>
        <charset val="1"/>
      </rPr>
      <t xml:space="preserve">Mᵀy </t>
    </r>
    <r>
      <rPr>
        <b val="true"/>
        <sz val="10"/>
        <color rgb="FFFFB454"/>
        <rFont val="Noto Sans CJK SC"/>
        <family val="2"/>
      </rPr>
      <t xml:space="preserve">と 解</t>
    </r>
  </si>
  <si>
    <r>
      <rPr>
        <b val="true"/>
        <sz val="9"/>
        <color rgb="FF5AD4FF"/>
        <rFont val="Arial"/>
        <family val="0"/>
        <charset val="1"/>
      </rPr>
      <t xml:space="preserve">α1</t>
    </r>
    <r>
      <rPr>
        <b val="true"/>
        <sz val="9"/>
        <color rgb="FF5AD4FF"/>
        <rFont val="Noto Sans CJK SC"/>
        <family val="2"/>
      </rPr>
      <t xml:space="preserve">（モード</t>
    </r>
    <r>
      <rPr>
        <b val="true"/>
        <sz val="9"/>
        <color rgb="FF5AD4FF"/>
        <rFont val="Arial"/>
        <family val="0"/>
        <charset val="1"/>
      </rPr>
      <t xml:space="preserve">A </t>
    </r>
    <r>
      <rPr>
        <b val="true"/>
        <sz val="9"/>
        <color rgb="FF5AD4FF"/>
        <rFont val="Noto Sans CJK SC"/>
        <family val="2"/>
      </rPr>
      <t xml:space="preserve">レジデュー実部相当）</t>
    </r>
  </si>
  <si>
    <r>
      <rPr>
        <b val="true"/>
        <sz val="9"/>
        <color rgb="FF5AD4FF"/>
        <rFont val="Arial"/>
        <family val="0"/>
        <charset val="1"/>
      </rPr>
      <t xml:space="preserve">β1</t>
    </r>
    <r>
      <rPr>
        <b val="true"/>
        <sz val="9"/>
        <color rgb="FF5AD4FF"/>
        <rFont val="Noto Sans CJK SC"/>
        <family val="2"/>
      </rPr>
      <t xml:space="preserve">（モード</t>
    </r>
    <r>
      <rPr>
        <b val="true"/>
        <sz val="9"/>
        <color rgb="FF5AD4FF"/>
        <rFont val="Arial"/>
        <family val="0"/>
        <charset val="1"/>
      </rPr>
      <t xml:space="preserve">A </t>
    </r>
    <r>
      <rPr>
        <b val="true"/>
        <sz val="9"/>
        <color rgb="FF5AD4FF"/>
        <rFont val="Noto Sans CJK SC"/>
        <family val="2"/>
      </rPr>
      <t xml:space="preserve">レジデュー虚部相当）</t>
    </r>
  </si>
  <si>
    <r>
      <rPr>
        <b val="true"/>
        <sz val="9"/>
        <color rgb="FF5AD4FF"/>
        <rFont val="Arial"/>
        <family val="0"/>
        <charset val="1"/>
      </rPr>
      <t xml:space="preserve">α2</t>
    </r>
    <r>
      <rPr>
        <b val="true"/>
        <sz val="9"/>
        <color rgb="FF5AD4FF"/>
        <rFont val="Noto Sans CJK SC"/>
        <family val="2"/>
      </rPr>
      <t xml:space="preserve">（モード</t>
    </r>
    <r>
      <rPr>
        <b val="true"/>
        <sz val="9"/>
        <color rgb="FF5AD4FF"/>
        <rFont val="Arial"/>
        <family val="0"/>
        <charset val="1"/>
      </rPr>
      <t xml:space="preserve">B </t>
    </r>
    <r>
      <rPr>
        <b val="true"/>
        <sz val="9"/>
        <color rgb="FF5AD4FF"/>
        <rFont val="Noto Sans CJK SC"/>
        <family val="2"/>
      </rPr>
      <t xml:space="preserve">レジデュー実部相当）</t>
    </r>
  </si>
  <si>
    <r>
      <rPr>
        <b val="true"/>
        <sz val="9"/>
        <color rgb="FF5AD4FF"/>
        <rFont val="Arial"/>
        <family val="0"/>
        <charset val="1"/>
      </rPr>
      <t xml:space="preserve">β2</t>
    </r>
    <r>
      <rPr>
        <b val="true"/>
        <sz val="9"/>
        <color rgb="FF5AD4FF"/>
        <rFont val="Noto Sans CJK SC"/>
        <family val="2"/>
      </rPr>
      <t xml:space="preserve">（モード</t>
    </r>
    <r>
      <rPr>
        <b val="true"/>
        <sz val="9"/>
        <color rgb="FF5AD4FF"/>
        <rFont val="Arial"/>
        <family val="0"/>
        <charset val="1"/>
      </rPr>
      <t xml:space="preserve">B </t>
    </r>
    <r>
      <rPr>
        <b val="true"/>
        <sz val="9"/>
        <color rgb="FF5AD4FF"/>
        <rFont val="Noto Sans CJK SC"/>
        <family val="2"/>
      </rPr>
      <t xml:space="preserve">レジデュー虚部相当）</t>
    </r>
  </si>
  <si>
    <r>
      <rPr>
        <b val="true"/>
        <sz val="9"/>
        <color rgb="FF5AD4FF"/>
        <rFont val="Arial"/>
        <family val="0"/>
        <charset val="1"/>
      </rPr>
      <t xml:space="preserve">RL</t>
    </r>
    <r>
      <rPr>
        <b val="true"/>
        <sz val="9"/>
        <color rgb="FF5AD4FF"/>
        <rFont val="Noto Sans CJK SC"/>
        <family val="2"/>
      </rPr>
      <t xml:space="preserve">（下側残余：帯域より下のモードの効き）</t>
    </r>
  </si>
  <si>
    <r>
      <rPr>
        <b val="true"/>
        <sz val="9"/>
        <color rgb="FF5AD4FF"/>
        <rFont val="Arial"/>
        <family val="0"/>
        <charset val="1"/>
      </rPr>
      <t xml:space="preserve">RU</t>
    </r>
    <r>
      <rPr>
        <b val="true"/>
        <sz val="9"/>
        <color rgb="FF5AD4FF"/>
        <rFont val="Noto Sans CJK SC"/>
        <family val="2"/>
      </rPr>
      <t xml:space="preserve">（上側残余：帯域より上のモードの効き）</t>
    </r>
  </si>
  <si>
    <r>
      <rPr>
        <b val="true"/>
        <sz val="11.5"/>
        <color rgb="FFFFB454"/>
        <rFont val="Arial"/>
        <family val="0"/>
        <charset val="1"/>
      </rPr>
      <t xml:space="preserve">■ ME'scope </t>
    </r>
    <r>
      <rPr>
        <b val="true"/>
        <sz val="11.5"/>
        <color rgb="FFFFB454"/>
        <rFont val="Noto Sans CJK SC"/>
        <family val="2"/>
      </rPr>
      <t xml:space="preserve">形式のレジデュー</t>
    </r>
  </si>
  <si>
    <t xml:space="preserve">単位・意味</t>
  </si>
  <si>
    <r>
      <rPr>
        <b val="true"/>
        <sz val="9"/>
        <color rgb="FF5AD4FF"/>
        <rFont val="Arial"/>
        <family val="0"/>
        <charset val="1"/>
      </rPr>
      <t xml:space="preserve">A = α + jβ</t>
    </r>
    <r>
      <rPr>
        <b val="true"/>
        <sz val="9"/>
        <color rgb="FF5AD4FF"/>
        <rFont val="Noto Sans CJK SC"/>
        <family val="2"/>
      </rPr>
      <t xml:space="preserve">（実部）</t>
    </r>
  </si>
  <si>
    <t xml:space="preserve">解いた値そのもの</t>
  </si>
  <si>
    <r>
      <rPr>
        <b val="true"/>
        <sz val="9"/>
        <color rgb="FF5AD4FF"/>
        <rFont val="Arial"/>
        <family val="0"/>
        <charset val="1"/>
      </rPr>
      <t xml:space="preserve">A = α + jβ</t>
    </r>
    <r>
      <rPr>
        <b val="true"/>
        <sz val="9"/>
        <color rgb="FF5AD4FF"/>
        <rFont val="Noto Sans CJK SC"/>
        <family val="2"/>
      </rPr>
      <t xml:space="preserve">（虚部）</t>
    </r>
  </si>
  <si>
    <r>
      <rPr>
        <b val="true"/>
        <sz val="9"/>
        <color rgb="FF5AD4FF"/>
        <rFont val="Arial"/>
        <family val="0"/>
        <charset val="1"/>
      </rPr>
      <t xml:space="preserve">ME'scope </t>
    </r>
    <r>
      <rPr>
        <b val="true"/>
        <sz val="9"/>
        <color rgb="FF5AD4FF"/>
        <rFont val="Noto Sans CJK SC"/>
        <family val="2"/>
      </rPr>
      <t xml:space="preserve">レジデュー </t>
    </r>
    <r>
      <rPr>
        <b val="true"/>
        <sz val="9"/>
        <color rgb="FF5AD4FF"/>
        <rFont val="Arial"/>
        <family val="0"/>
        <charset val="1"/>
      </rPr>
      <t xml:space="preserve">r</t>
    </r>
    <r>
      <rPr>
        <b val="true"/>
        <sz val="9"/>
        <color rgb="FF5AD4FF"/>
        <rFont val="Noto Sans CJK SC"/>
        <family val="2"/>
      </rPr>
      <t xml:space="preserve">（実部）</t>
    </r>
  </si>
  <si>
    <r>
      <rPr>
        <sz val="8.5"/>
        <color rgb="FF9AA7B5"/>
        <rFont val="Arial"/>
        <family val="0"/>
        <charset val="1"/>
      </rPr>
      <t xml:space="preserve">r = 2j·A </t>
    </r>
    <r>
      <rPr>
        <sz val="8.5"/>
        <color rgb="FF9AA7B5"/>
        <rFont val="Noto Sans CJK SC"/>
        <family val="2"/>
      </rPr>
      <t xml:space="preserve">なので </t>
    </r>
    <r>
      <rPr>
        <sz val="8.5"/>
        <color rgb="FF9AA7B5"/>
        <rFont val="Arial"/>
        <family val="0"/>
        <charset val="1"/>
      </rPr>
      <t xml:space="preserve">Re(r) = −2β</t>
    </r>
  </si>
  <si>
    <r>
      <rPr>
        <b val="true"/>
        <sz val="9"/>
        <color rgb="FF5AD4FF"/>
        <rFont val="Arial"/>
        <family val="0"/>
        <charset val="1"/>
      </rPr>
      <t xml:space="preserve">ME'scope </t>
    </r>
    <r>
      <rPr>
        <b val="true"/>
        <sz val="9"/>
        <color rgb="FF5AD4FF"/>
        <rFont val="Noto Sans CJK SC"/>
        <family val="2"/>
      </rPr>
      <t xml:space="preserve">レジデュー </t>
    </r>
    <r>
      <rPr>
        <b val="true"/>
        <sz val="9"/>
        <color rgb="FF5AD4FF"/>
        <rFont val="Arial"/>
        <family val="0"/>
        <charset val="1"/>
      </rPr>
      <t xml:space="preserve">r</t>
    </r>
    <r>
      <rPr>
        <b val="true"/>
        <sz val="9"/>
        <color rgb="FF5AD4FF"/>
        <rFont val="Noto Sans CJK SC"/>
        <family val="2"/>
      </rPr>
      <t xml:space="preserve">（虚部）</t>
    </r>
  </si>
  <si>
    <t xml:space="preserve">Im(r) = 2α</t>
  </si>
  <si>
    <r>
      <rPr>
        <b val="true"/>
        <sz val="9"/>
        <color rgb="FF5AD4FF"/>
        <rFont val="Noto Sans CJK SC"/>
        <family val="2"/>
      </rPr>
      <t xml:space="preserve">レジデューの大きさ </t>
    </r>
    <r>
      <rPr>
        <b val="true"/>
        <sz val="9"/>
        <color rgb="FF5AD4FF"/>
        <rFont val="Arial"/>
        <family val="0"/>
        <charset val="1"/>
      </rPr>
      <t xml:space="preserve">|r|</t>
    </r>
  </si>
  <si>
    <t xml:space="preserve">山の高さ＝モード形状の成分の大きさ</t>
  </si>
  <si>
    <r>
      <rPr>
        <b val="true"/>
        <sz val="9"/>
        <color rgb="FF5AD4FF"/>
        <rFont val="Noto Sans CJK SC"/>
        <family val="2"/>
      </rPr>
      <t xml:space="preserve">レジデューの位相 </t>
    </r>
    <r>
      <rPr>
        <b val="true"/>
        <sz val="9"/>
        <color rgb="FF5AD4FF"/>
        <rFont val="Arial"/>
        <family val="0"/>
        <charset val="1"/>
      </rPr>
      <t xml:space="preserve">[deg]</t>
    </r>
  </si>
  <si>
    <r>
      <rPr>
        <sz val="8.5"/>
        <color rgb="FF9AA7B5"/>
        <rFont val="Arial"/>
        <family val="0"/>
        <charset val="1"/>
      </rPr>
      <t xml:space="preserve">±90°</t>
    </r>
    <r>
      <rPr>
        <sz val="8.5"/>
        <color rgb="FF9AA7B5"/>
        <rFont val="Noto Sans CJK SC"/>
        <family val="2"/>
      </rPr>
      <t xml:space="preserve">付近なら正規モードに近い（良好）</t>
    </r>
  </si>
  <si>
    <t xml:space="preserve">正規モード性チェック</t>
  </si>
  <si>
    <r>
      <rPr>
        <sz val="8.5"/>
        <color rgb="FF9AA7B5"/>
        <rFont val="Noto Sans CJK SC"/>
        <family val="2"/>
      </rPr>
      <t xml:space="preserve">位相が</t>
    </r>
    <r>
      <rPr>
        <sz val="8.5"/>
        <color rgb="FF9AA7B5"/>
        <rFont val="Arial"/>
        <family val="0"/>
        <charset val="1"/>
      </rPr>
      <t xml:space="preserve">±90°</t>
    </r>
    <r>
      <rPr>
        <sz val="8.5"/>
        <color rgb="FF9AA7B5"/>
        <rFont val="Noto Sans CJK SC"/>
        <family val="2"/>
      </rPr>
      <t xml:space="preserve">から</t>
    </r>
    <r>
      <rPr>
        <sz val="8.5"/>
        <color rgb="FF9AA7B5"/>
        <rFont val="Arial"/>
        <family val="0"/>
        <charset val="1"/>
      </rPr>
      <t xml:space="preserve">20°</t>
    </r>
    <r>
      <rPr>
        <sz val="8.5"/>
        <color rgb="FF9AA7B5"/>
        <rFont val="Noto Sans CJK SC"/>
        <family val="2"/>
      </rPr>
      <t xml:space="preserve">以上ずれると要注意</t>
    </r>
  </si>
  <si>
    <r>
      <rPr>
        <b val="true"/>
        <sz val="11.5"/>
        <color rgb="FFFFB454"/>
        <rFont val="Noto Sans CJK SC"/>
        <family val="2"/>
      </rPr>
      <t xml:space="preserve">■ 単位換算とモーダル質量（🟢</t>
    </r>
    <r>
      <rPr>
        <b val="true"/>
        <sz val="11.5"/>
        <color rgb="FFFFB454"/>
        <rFont val="Arial"/>
        <family val="0"/>
        <charset val="1"/>
      </rPr>
      <t xml:space="preserve">Richardson 2000 </t>
    </r>
    <r>
      <rPr>
        <b val="true"/>
        <sz val="11.5"/>
        <color rgb="FFFFB454"/>
        <rFont val="Noto Sans CJK SC"/>
        <family val="2"/>
      </rPr>
      <t xml:space="preserve">式</t>
    </r>
    <r>
      <rPr>
        <b val="true"/>
        <sz val="11.5"/>
        <color rgb="FFFFB454"/>
        <rFont val="Arial"/>
        <family val="0"/>
        <charset val="1"/>
      </rPr>
      <t xml:space="preserve">(15)(16)(20)(21)(25)</t>
    </r>
    <r>
      <rPr>
        <b val="true"/>
        <sz val="11.5"/>
        <color rgb="FFFFB454"/>
        <rFont val="Noto Sans CJK SC"/>
        <family val="2"/>
      </rPr>
      <t xml:space="preserve">）</t>
    </r>
  </si>
  <si>
    <r>
      <rPr>
        <b val="true"/>
        <sz val="9"/>
        <color rgb="FF5AD4FF"/>
        <rFont val="Noto Sans CJK SC"/>
        <family val="2"/>
      </rPr>
      <t xml:space="preserve">測定量（</t>
    </r>
    <r>
      <rPr>
        <b val="true"/>
        <sz val="9"/>
        <color rgb="FF5AD4FF"/>
        <rFont val="Arial"/>
        <family val="0"/>
        <charset val="1"/>
      </rPr>
      <t xml:space="preserve">1=</t>
    </r>
    <r>
      <rPr>
        <b val="true"/>
        <sz val="9"/>
        <color rgb="FF5AD4FF"/>
        <rFont val="Noto Sans CJK SC"/>
        <family val="2"/>
      </rPr>
      <t xml:space="preserve">変位 </t>
    </r>
    <r>
      <rPr>
        <b val="true"/>
        <sz val="9"/>
        <color rgb="FF5AD4FF"/>
        <rFont val="Arial"/>
        <family val="0"/>
        <charset val="1"/>
      </rPr>
      <t xml:space="preserve">/ 2=</t>
    </r>
    <r>
      <rPr>
        <b val="true"/>
        <sz val="9"/>
        <color rgb="FF5AD4FF"/>
        <rFont val="Noto Sans CJK SC"/>
        <family val="2"/>
      </rPr>
      <t xml:space="preserve">速度 </t>
    </r>
    <r>
      <rPr>
        <b val="true"/>
        <sz val="9"/>
        <color rgb="FF5AD4FF"/>
        <rFont val="Arial"/>
        <family val="0"/>
        <charset val="1"/>
      </rPr>
      <t xml:space="preserve">/ 3=</t>
    </r>
    <r>
      <rPr>
        <b val="true"/>
        <sz val="9"/>
        <color rgb="FF5AD4FF"/>
        <rFont val="Noto Sans CJK SC"/>
        <family val="2"/>
      </rPr>
      <t xml:space="preserve">加速度）</t>
    </r>
  </si>
  <si>
    <r>
      <rPr>
        <sz val="8.5"/>
        <color rgb="FF9AA7B5"/>
        <rFont val="Arial"/>
        <family val="0"/>
        <charset val="1"/>
      </rPr>
      <t xml:space="preserve">← LDV</t>
    </r>
    <r>
      <rPr>
        <sz val="8.5"/>
        <color rgb="FF9AA7B5"/>
        <rFont val="Noto Sans CJK SC"/>
        <family val="2"/>
      </rPr>
      <t xml:space="preserve">（</t>
    </r>
    <r>
      <rPr>
        <sz val="8.5"/>
        <color rgb="FF9AA7B5"/>
        <rFont val="Arial"/>
        <family val="0"/>
        <charset val="1"/>
      </rPr>
      <t xml:space="preserve">PSV-400</t>
    </r>
    <r>
      <rPr>
        <sz val="8.5"/>
        <color rgb="FF9AA7B5"/>
        <rFont val="Noto Sans CJK SC"/>
        <family val="2"/>
      </rPr>
      <t xml:space="preserve">）は速度なので </t>
    </r>
    <r>
      <rPr>
        <sz val="8.5"/>
        <color rgb="FF9AA7B5"/>
        <rFont val="Arial"/>
        <family val="0"/>
        <charset val="1"/>
      </rPr>
      <t xml:space="preserve">2</t>
    </r>
    <r>
      <rPr>
        <sz val="8.5"/>
        <color rgb="FF9AA7B5"/>
        <rFont val="Noto Sans CJK SC"/>
        <family val="2"/>
      </rPr>
      <t xml:space="preserve">。加速度ピックアップなら </t>
    </r>
    <r>
      <rPr>
        <sz val="8.5"/>
        <color rgb="FF9AA7B5"/>
        <rFont val="Arial"/>
        <family val="0"/>
        <charset val="1"/>
      </rPr>
      <t xml:space="preserve">3</t>
    </r>
  </si>
  <si>
    <r>
      <rPr>
        <b val="true"/>
        <sz val="9"/>
        <color rgb="FF5AD4FF"/>
        <rFont val="Noto Sans CJK SC"/>
        <family val="2"/>
      </rPr>
      <t xml:space="preserve">駆動点（加振点＝応答点）ですか（</t>
    </r>
    <r>
      <rPr>
        <b val="true"/>
        <sz val="9"/>
        <color rgb="FF5AD4FF"/>
        <rFont val="Arial"/>
        <family val="0"/>
        <charset val="1"/>
      </rPr>
      <t xml:space="preserve">1=</t>
    </r>
    <r>
      <rPr>
        <b val="true"/>
        <sz val="9"/>
        <color rgb="FF5AD4FF"/>
        <rFont val="Noto Sans CJK SC"/>
        <family val="2"/>
      </rPr>
      <t xml:space="preserve">はい</t>
    </r>
    <r>
      <rPr>
        <b val="true"/>
        <sz val="9"/>
        <color rgb="FF5AD4FF"/>
        <rFont val="Arial"/>
        <family val="0"/>
        <charset val="1"/>
      </rPr>
      <t xml:space="preserve">/0=</t>
    </r>
    <r>
      <rPr>
        <b val="true"/>
        <sz val="9"/>
        <color rgb="FF5AD4FF"/>
        <rFont val="Noto Sans CJK SC"/>
        <family val="2"/>
      </rPr>
      <t xml:space="preserve">いいえ）</t>
    </r>
  </si>
  <si>
    <t xml:space="preserve">← 駆動点でないとモーダル質量・有効質量は計算できません</t>
  </si>
  <si>
    <r>
      <rPr>
        <b val="true"/>
        <sz val="9"/>
        <color rgb="FF5AD4FF"/>
        <rFont val="Noto Sans CJK SC"/>
        <family val="2"/>
      </rPr>
      <t xml:space="preserve">換算係数 </t>
    </r>
    <r>
      <rPr>
        <b val="true"/>
        <sz val="9"/>
        <color rgb="FF5AD4FF"/>
        <rFont val="Arial"/>
        <family val="0"/>
        <charset val="1"/>
      </rPr>
      <t xml:space="preserve">F = ω/(σ²+ω²) [s]</t>
    </r>
  </si>
  <si>
    <r>
      <rPr>
        <b val="true"/>
        <sz val="9"/>
        <color rgb="FF5AD4FF"/>
        <rFont val="Noto Sans CJK SC"/>
        <family val="2"/>
      </rPr>
      <t xml:space="preserve">変位系レジデュー </t>
    </r>
    <r>
      <rPr>
        <b val="true"/>
        <sz val="9"/>
        <color rgb="FF5AD4FF"/>
        <rFont val="Arial"/>
        <family val="0"/>
        <charset val="1"/>
      </rPr>
      <t xml:space="preserve">r_d</t>
    </r>
  </si>
  <si>
    <r>
      <rPr>
        <sz val="8.5"/>
        <color rgb="FF9AA7B5"/>
        <rFont val="Noto Sans CJK SC"/>
        <family val="2"/>
      </rPr>
      <t xml:space="preserve">加速度→変位は </t>
    </r>
    <r>
      <rPr>
        <sz val="8.5"/>
        <color rgb="FF9AA7B5"/>
        <rFont val="Arial"/>
        <family val="0"/>
        <charset val="1"/>
      </rPr>
      <t xml:space="preserve">F²</t>
    </r>
    <r>
      <rPr>
        <sz val="8.5"/>
        <color rgb="FF9AA7B5"/>
        <rFont val="Noto Sans CJK SC"/>
        <family val="2"/>
      </rPr>
      <t xml:space="preserve">倍、速度→変位は </t>
    </r>
    <r>
      <rPr>
        <sz val="8.5"/>
        <color rgb="FF9AA7B5"/>
        <rFont val="Arial"/>
        <family val="0"/>
        <charset val="1"/>
      </rPr>
      <t xml:space="preserve">F</t>
    </r>
    <r>
      <rPr>
        <sz val="8.5"/>
        <color rgb="FF9AA7B5"/>
        <rFont val="Noto Sans CJK SC"/>
        <family val="2"/>
      </rPr>
      <t xml:space="preserve">倍（🟢</t>
    </r>
    <r>
      <rPr>
        <sz val="8.5"/>
        <color rgb="FF9AA7B5"/>
        <rFont val="Arial"/>
        <family val="0"/>
        <charset val="1"/>
      </rPr>
      <t xml:space="preserve">Richardson 2000 Table 1</t>
    </r>
    <r>
      <rPr>
        <sz val="8.5"/>
        <color rgb="FF9AA7B5"/>
        <rFont val="Noto Sans CJK SC"/>
        <family val="2"/>
      </rPr>
      <t xml:space="preserve">）</t>
    </r>
  </si>
  <si>
    <r>
      <rPr>
        <b val="true"/>
        <sz val="9"/>
        <color rgb="FF5AD4FF"/>
        <rFont val="Arial"/>
        <family val="0"/>
        <charset val="1"/>
      </rPr>
      <t xml:space="preserve">UMM</t>
    </r>
    <r>
      <rPr>
        <b val="true"/>
        <sz val="9"/>
        <color rgb="FF5AD4FF"/>
        <rFont val="Noto Sans CJK SC"/>
        <family val="2"/>
      </rPr>
      <t xml:space="preserve">モード形状成分 </t>
    </r>
    <r>
      <rPr>
        <b val="true"/>
        <sz val="9"/>
        <color rgb="FF5AD4FF"/>
        <rFont val="Arial"/>
        <family val="0"/>
        <charset val="1"/>
      </rPr>
      <t xml:space="preserve">u</t>
    </r>
    <r>
      <rPr>
        <b val="true"/>
        <sz val="9"/>
        <color rgb="FF5AD4FF"/>
        <rFont val="Noto Sans CJK SC"/>
        <family val="2"/>
      </rPr>
      <t xml:space="preserve">（駆動点）</t>
    </r>
  </si>
  <si>
    <r>
      <rPr>
        <sz val="8.5"/>
        <color rgb="FF9AA7B5"/>
        <rFont val="Arial"/>
        <family val="0"/>
        <charset val="1"/>
      </rPr>
      <t xml:space="preserve">u = √(ωk × r_jj)</t>
    </r>
    <r>
      <rPr>
        <sz val="8.5"/>
        <color rgb="FF9AA7B5"/>
        <rFont val="Noto Sans CJK SC"/>
        <family val="2"/>
      </rPr>
      <t xml:space="preserve">　🟢</t>
    </r>
    <r>
      <rPr>
        <sz val="8.5"/>
        <color rgb="FF9AA7B5"/>
        <rFont val="Arial"/>
        <family val="0"/>
        <charset val="1"/>
      </rPr>
      <t xml:space="preserve">Richardson 2000 </t>
    </r>
    <r>
      <rPr>
        <sz val="8.5"/>
        <color rgb="FF9AA7B5"/>
        <rFont val="Noto Sans CJK SC"/>
        <family val="2"/>
      </rPr>
      <t xml:space="preserve">式</t>
    </r>
    <r>
      <rPr>
        <sz val="8.5"/>
        <color rgb="FF9AA7B5"/>
        <rFont val="Arial"/>
        <family val="0"/>
        <charset val="1"/>
      </rPr>
      <t xml:space="preserve">(16)</t>
    </r>
    <r>
      <rPr>
        <sz val="8.5"/>
        <color rgb="FF9AA7B5"/>
        <rFont val="Noto Sans CJK SC"/>
        <family val="2"/>
      </rPr>
      <t xml:space="preserve">（単位モーダル質量スケーリング）</t>
    </r>
  </si>
  <si>
    <r>
      <rPr>
        <b val="true"/>
        <sz val="9"/>
        <color rgb="FF5AD4FF"/>
        <rFont val="Noto Sans CJK SC"/>
        <family val="2"/>
      </rPr>
      <t xml:space="preserve">有効質量 </t>
    </r>
    <r>
      <rPr>
        <b val="true"/>
        <sz val="9"/>
        <color rgb="FF5AD4FF"/>
        <rFont val="Arial"/>
        <family val="0"/>
        <charset val="1"/>
      </rPr>
      <t xml:space="preserve">[kg </t>
    </r>
    <r>
      <rPr>
        <b val="true"/>
        <sz val="9"/>
        <color rgb="FF5AD4FF"/>
        <rFont val="Noto Sans CJK SC"/>
        <family val="2"/>
      </rPr>
      <t xml:space="preserve">相当</t>
    </r>
    <r>
      <rPr>
        <b val="true"/>
        <sz val="9"/>
        <color rgb="FF5AD4FF"/>
        <rFont val="Arial"/>
        <family val="0"/>
        <charset val="1"/>
      </rPr>
      <t xml:space="preserve">]</t>
    </r>
  </si>
  <si>
    <r>
      <rPr>
        <sz val="8.5"/>
        <color rgb="FF9AA7B5"/>
        <rFont val="Noto Sans CJK SC"/>
        <family val="2"/>
      </rPr>
      <t xml:space="preserve">有効質量 </t>
    </r>
    <r>
      <rPr>
        <sz val="8.5"/>
        <color rgb="FF9AA7B5"/>
        <rFont val="Arial"/>
        <family val="0"/>
        <charset val="1"/>
      </rPr>
      <t xml:space="preserve">= 1/(ωk·r_jj)</t>
    </r>
    <r>
      <rPr>
        <sz val="8.5"/>
        <color rgb="FF9AA7B5"/>
        <rFont val="Noto Sans CJK SC"/>
        <family val="2"/>
      </rPr>
      <t xml:space="preserve">　🟢</t>
    </r>
    <r>
      <rPr>
        <sz val="8.5"/>
        <color rgb="FF9AA7B5"/>
        <rFont val="Arial"/>
        <family val="0"/>
        <charset val="1"/>
      </rPr>
      <t xml:space="preserve">Richardson 2000 </t>
    </r>
    <r>
      <rPr>
        <sz val="8.5"/>
        <color rgb="FF9AA7B5"/>
        <rFont val="Noto Sans CJK SC"/>
        <family val="2"/>
      </rPr>
      <t xml:space="preserve">式</t>
    </r>
    <r>
      <rPr>
        <sz val="8.5"/>
        <color rgb="FF9AA7B5"/>
        <rFont val="Arial"/>
        <family val="0"/>
        <charset val="1"/>
      </rPr>
      <t xml:space="preserve">(25)</t>
    </r>
  </si>
  <si>
    <r>
      <rPr>
        <b val="true"/>
        <sz val="9"/>
        <color rgb="FF5AD4FF"/>
        <rFont val="Noto Sans CJK SC"/>
        <family val="2"/>
      </rPr>
      <t xml:space="preserve">モーダル剛性（</t>
    </r>
    <r>
      <rPr>
        <b val="true"/>
        <sz val="9"/>
        <color rgb="FF5AD4FF"/>
        <rFont val="Arial"/>
        <family val="0"/>
        <charset val="1"/>
      </rPr>
      <t xml:space="preserve">UMM</t>
    </r>
    <r>
      <rPr>
        <b val="true"/>
        <sz val="9"/>
        <color rgb="FF5AD4FF"/>
        <rFont val="Noto Sans CJK SC"/>
        <family val="2"/>
      </rPr>
      <t xml:space="preserve">換算）</t>
    </r>
  </si>
  <si>
    <r>
      <rPr>
        <sz val="8.5"/>
        <color rgb="FF9AA7B5"/>
        <rFont val="Arial"/>
        <family val="0"/>
        <charset val="1"/>
      </rPr>
      <t xml:space="preserve">k = (σ²+ω²)·m</t>
    </r>
    <r>
      <rPr>
        <sz val="8.5"/>
        <color rgb="FF9AA7B5"/>
        <rFont val="Noto Sans CJK SC"/>
        <family val="2"/>
      </rPr>
      <t xml:space="preserve">　🟢</t>
    </r>
    <r>
      <rPr>
        <sz val="8.5"/>
        <color rgb="FF9AA7B5"/>
        <rFont val="Arial"/>
        <family val="0"/>
        <charset val="1"/>
      </rPr>
      <t xml:space="preserve">Richardson 2000 </t>
    </r>
    <r>
      <rPr>
        <sz val="8.5"/>
        <color rgb="FF9AA7B5"/>
        <rFont val="Noto Sans CJK SC"/>
        <family val="2"/>
      </rPr>
      <t xml:space="preserve">式</t>
    </r>
    <r>
      <rPr>
        <sz val="8.5"/>
        <color rgb="FF9AA7B5"/>
        <rFont val="Arial"/>
        <family val="0"/>
        <charset val="1"/>
      </rPr>
      <t xml:space="preserve">(10)</t>
    </r>
  </si>
  <si>
    <r>
      <rPr>
        <b val="true"/>
        <sz val="9"/>
        <color rgb="FF5AD4FF"/>
        <rFont val="Noto Sans CJK SC"/>
        <family val="2"/>
      </rPr>
      <t xml:space="preserve">モーダル減衰（</t>
    </r>
    <r>
      <rPr>
        <b val="true"/>
        <sz val="9"/>
        <color rgb="FF5AD4FF"/>
        <rFont val="Arial"/>
        <family val="0"/>
        <charset val="1"/>
      </rPr>
      <t xml:space="preserve">UMM</t>
    </r>
    <r>
      <rPr>
        <b val="true"/>
        <sz val="9"/>
        <color rgb="FF5AD4FF"/>
        <rFont val="Noto Sans CJK SC"/>
        <family val="2"/>
      </rPr>
      <t xml:space="preserve">換算）</t>
    </r>
  </si>
  <si>
    <r>
      <rPr>
        <sz val="8.5"/>
        <color rgb="FF9AA7B5"/>
        <rFont val="Arial"/>
        <family val="0"/>
        <charset val="1"/>
      </rPr>
      <t xml:space="preserve">c = 2σ·m</t>
    </r>
    <r>
      <rPr>
        <sz val="8.5"/>
        <color rgb="FF9AA7B5"/>
        <rFont val="Noto Sans CJK SC"/>
        <family val="2"/>
      </rPr>
      <t xml:space="preserve">　🟢</t>
    </r>
    <r>
      <rPr>
        <sz val="8.5"/>
        <color rgb="FF9AA7B5"/>
        <rFont val="Arial"/>
        <family val="0"/>
        <charset val="1"/>
      </rPr>
      <t xml:space="preserve">Richardson 2000 </t>
    </r>
    <r>
      <rPr>
        <sz val="8.5"/>
        <color rgb="FF9AA7B5"/>
        <rFont val="Noto Sans CJK SC"/>
        <family val="2"/>
      </rPr>
      <t xml:space="preserve">式</t>
    </r>
    <r>
      <rPr>
        <sz val="8.5"/>
        <color rgb="FF9AA7B5"/>
        <rFont val="Arial"/>
        <family val="0"/>
        <charset val="1"/>
      </rPr>
      <t xml:space="preserve">(11)</t>
    </r>
  </si>
  <si>
    <r>
      <rPr>
        <sz val="9"/>
        <color rgb="FFFF7A7A"/>
        <rFont val="Noto Sans CJK SC"/>
        <family val="2"/>
      </rPr>
      <t xml:space="preserve">⚠ モーダル質量・有効質量は『駆動点</t>
    </r>
    <r>
      <rPr>
        <sz val="9"/>
        <color rgb="FFFF7A7A"/>
        <rFont val="Arial"/>
        <family val="0"/>
        <charset val="1"/>
      </rPr>
      <t xml:space="preserve">FRF</t>
    </r>
    <r>
      <rPr>
        <sz val="9"/>
        <color rgb="FFFF7A7A"/>
        <rFont val="Noto Sans CJK SC"/>
        <family val="2"/>
      </rPr>
      <t xml:space="preserve">』でしか出せません。ローピングハンマー（加振点固定・応答点移動、またはその逆）の</t>
    </r>
    <r>
      <rPr>
        <sz val="9"/>
        <color rgb="FFFF7A7A"/>
        <rFont val="Arial"/>
        <family val="0"/>
        <charset val="1"/>
      </rPr>
      <t xml:space="preserve">1</t>
    </r>
    <r>
      <rPr>
        <sz val="9"/>
        <color rgb="FFFF7A7A"/>
        <rFont val="Noto Sans CJK SC"/>
        <family val="2"/>
      </rPr>
      <t xml:space="preserve">点データでは、上の欄は参考値になりません。</t>
    </r>
  </si>
  <si>
    <r>
      <rPr>
        <b val="true"/>
        <sz val="15"/>
        <color rgb="FF5AD4FF"/>
        <rFont val="Noto Sans CJK SC"/>
        <family val="2"/>
      </rPr>
      <t xml:space="preserve">⑪ 合成</t>
    </r>
    <r>
      <rPr>
        <b val="true"/>
        <sz val="15"/>
        <color rgb="FF5AD4FF"/>
        <rFont val="Arial"/>
        <family val="0"/>
        <charset val="1"/>
      </rPr>
      <t xml:space="preserve">FRF</t>
    </r>
    <r>
      <rPr>
        <b val="true"/>
        <sz val="15"/>
        <color rgb="FF5AD4FF"/>
        <rFont val="Noto Sans CJK SC"/>
        <family val="2"/>
      </rPr>
      <t xml:space="preserve">との照合｜“当てはまったか”を目で確認する</t>
    </r>
  </si>
  <si>
    <r>
      <rPr>
        <sz val="9"/>
        <color rgb="FF9AA7B5"/>
        <rFont val="Noto Sans CJK SC"/>
        <family val="2"/>
      </rPr>
      <t xml:space="preserve">求めたモーダル諸元から理論</t>
    </r>
    <r>
      <rPr>
        <sz val="9"/>
        <color rgb="FF9AA7B5"/>
        <rFont val="Arial"/>
        <family val="0"/>
        <charset val="1"/>
      </rPr>
      <t xml:space="preserve">FRF</t>
    </r>
    <r>
      <rPr>
        <sz val="9"/>
        <color rgb="FF9AA7B5"/>
        <rFont val="Noto Sans CJK SC"/>
        <family val="2"/>
      </rPr>
      <t xml:space="preserve">を作り直し、実測に重ねます。</t>
    </r>
    <r>
      <rPr>
        <sz val="9"/>
        <color rgb="FF9AA7B5"/>
        <rFont val="Arial"/>
        <family val="0"/>
        <charset val="1"/>
      </rPr>
      <t xml:space="preserve">ME'scope </t>
    </r>
    <r>
      <rPr>
        <sz val="9"/>
        <color rgb="FF9AA7B5"/>
        <rFont val="Noto Sans CJK SC"/>
        <family val="2"/>
      </rPr>
      <t xml:space="preserve">の </t>
    </r>
    <r>
      <rPr>
        <sz val="9"/>
        <color rgb="FF9AA7B5"/>
        <rFont val="Arial"/>
        <family val="0"/>
        <charset val="1"/>
      </rPr>
      <t xml:space="preserve">Fit Function </t>
    </r>
    <r>
      <rPr>
        <sz val="9"/>
        <color rgb="FF9AA7B5"/>
        <rFont val="Noto Sans CJK SC"/>
        <family val="2"/>
      </rPr>
      <t xml:space="preserve">表示に相当。ここが合っていなければ答えは信用できません。</t>
    </r>
  </si>
  <si>
    <t xml:space="preserve">■ 総合評価（当てはめ精度）</t>
  </si>
  <si>
    <r>
      <rPr>
        <b val="true"/>
        <sz val="10"/>
        <color rgb="FF5AD4FF"/>
        <rFont val="Noto Sans CJK SC"/>
        <family val="2"/>
      </rPr>
      <t xml:space="preserve">相対誤差（</t>
    </r>
    <r>
      <rPr>
        <b val="true"/>
        <sz val="10"/>
        <color rgb="FF5AD4FF"/>
        <rFont val="Arial"/>
        <family val="0"/>
        <charset val="1"/>
      </rPr>
      <t xml:space="preserve">RMS</t>
    </r>
    <r>
      <rPr>
        <b val="true"/>
        <sz val="10"/>
        <color rgb="FF5AD4FF"/>
        <rFont val="Noto Sans CJK SC"/>
        <family val="2"/>
      </rPr>
      <t xml:space="preserve">）</t>
    </r>
  </si>
  <si>
    <r>
      <rPr>
        <sz val="9"/>
        <color rgb="FF9AA7B5"/>
        <rFont val="Arial"/>
        <family val="0"/>
        <charset val="1"/>
      </rPr>
      <t xml:space="preserve">%   ← </t>
    </r>
    <r>
      <rPr>
        <sz val="9"/>
        <color rgb="FF9AA7B5"/>
        <rFont val="Noto Sans CJK SC"/>
        <family val="2"/>
      </rPr>
      <t xml:space="preserve">実測とのズレを全点まとめて評価した値</t>
    </r>
  </si>
  <si>
    <t xml:space="preserve">有効データ点数</t>
  </si>
  <si>
    <r>
      <rPr>
        <b val="true"/>
        <sz val="9"/>
        <color rgb="FFFFB454"/>
        <rFont val="Noto Sans CJK SC"/>
        <family val="2"/>
      </rPr>
      <t xml:space="preserve">実測 </t>
    </r>
    <r>
      <rPr>
        <b val="true"/>
        <sz val="9"/>
        <color rgb="FFFFB454"/>
        <rFont val="Arial"/>
        <family val="0"/>
        <charset val="1"/>
      </rPr>
      <t xml:space="preserve">Re</t>
    </r>
  </si>
  <si>
    <r>
      <rPr>
        <b val="true"/>
        <sz val="9"/>
        <color rgb="FFFFB454"/>
        <rFont val="Noto Sans CJK SC"/>
        <family val="2"/>
      </rPr>
      <t xml:space="preserve">誤差 </t>
    </r>
    <r>
      <rPr>
        <b val="true"/>
        <sz val="9"/>
        <color rgb="FFFFB454"/>
        <rFont val="Arial"/>
        <family val="0"/>
        <charset val="1"/>
      </rPr>
      <t xml:space="preserve">Re</t>
    </r>
  </si>
  <si>
    <r>
      <rPr>
        <b val="true"/>
        <sz val="9"/>
        <color rgb="FFFFB454"/>
        <rFont val="Noto Sans CJK SC"/>
        <family val="2"/>
      </rPr>
      <t xml:space="preserve">誤差 </t>
    </r>
    <r>
      <rPr>
        <b val="true"/>
        <sz val="9"/>
        <color rgb="FFFFB454"/>
        <rFont val="Arial"/>
        <family val="0"/>
        <charset val="1"/>
      </rPr>
      <t xml:space="preserve">Im</t>
    </r>
  </si>
  <si>
    <r>
      <rPr>
        <b val="true"/>
        <sz val="9"/>
        <color rgb="FFFFB454"/>
        <rFont val="Noto Sans CJK SC"/>
        <family val="2"/>
      </rPr>
      <t xml:space="preserve">実測 </t>
    </r>
    <r>
      <rPr>
        <b val="true"/>
        <sz val="9"/>
        <color rgb="FFFFB454"/>
        <rFont val="Arial"/>
        <family val="0"/>
        <charset val="1"/>
      </rPr>
      <t xml:space="preserve">|H|</t>
    </r>
  </si>
  <si>
    <r>
      <rPr>
        <b val="true"/>
        <sz val="9"/>
        <color rgb="FFFFB454"/>
        <rFont val="Noto Sans CJK SC"/>
        <family val="2"/>
      </rPr>
      <t xml:space="preserve">合成 </t>
    </r>
    <r>
      <rPr>
        <b val="true"/>
        <sz val="9"/>
        <color rgb="FFFFB454"/>
        <rFont val="Arial"/>
        <family val="0"/>
        <charset val="1"/>
      </rPr>
      <t xml:space="preserve">|H|</t>
    </r>
  </si>
  <si>
    <r>
      <rPr>
        <b val="true"/>
        <sz val="9"/>
        <color rgb="FFFFB454"/>
        <rFont val="Noto Sans CJK SC"/>
        <family val="2"/>
      </rPr>
      <t xml:space="preserve">合成 </t>
    </r>
    <r>
      <rPr>
        <b val="true"/>
        <sz val="9"/>
        <color rgb="FFFFB454"/>
        <rFont val="Arial"/>
        <family val="0"/>
        <charset val="1"/>
      </rPr>
      <t xml:space="preserve">Re</t>
    </r>
  </si>
  <si>
    <r>
      <rPr>
        <b val="true"/>
        <sz val="9"/>
        <color rgb="FFFFB454"/>
        <rFont val="Noto Sans CJK SC"/>
        <family val="2"/>
      </rPr>
      <t xml:space="preserve">合成 </t>
    </r>
    <r>
      <rPr>
        <b val="true"/>
        <sz val="9"/>
        <color rgb="FFFFB454"/>
        <rFont val="Arial"/>
        <family val="0"/>
        <charset val="1"/>
      </rPr>
      <t xml:space="preserve">Im</t>
    </r>
  </si>
  <si>
    <t xml:space="preserve">【見るべきポイント】</t>
  </si>
  <si>
    <r>
      <rPr>
        <sz val="9"/>
        <color rgb="FFDBE2EA"/>
        <rFont val="Arial"/>
        <family val="0"/>
        <charset val="1"/>
      </rPr>
      <t xml:space="preserve">① 2</t>
    </r>
    <r>
      <rPr>
        <sz val="9"/>
        <color rgb="FFDBE2EA"/>
        <rFont val="Noto Sans CJK SC"/>
        <family val="2"/>
      </rPr>
      <t xml:space="preserve">つの山の高さと位置が合っているか（合っていなければモード数か初期値が違う）</t>
    </r>
  </si>
  <si>
    <r>
      <rPr>
        <sz val="9"/>
        <color rgb="FFDBE2EA"/>
        <rFont val="Noto Sans CJK SC"/>
        <family val="2"/>
      </rPr>
      <t xml:space="preserve">② 山と山の“谷”が合っているか。谷は</t>
    </r>
    <r>
      <rPr>
        <sz val="9"/>
        <color rgb="FFDBE2EA"/>
        <rFont val="Arial"/>
        <family val="0"/>
        <charset val="1"/>
      </rPr>
      <t xml:space="preserve">2</t>
    </r>
    <r>
      <rPr>
        <sz val="9"/>
        <color rgb="FFDBE2EA"/>
        <rFont val="Noto Sans CJK SC"/>
        <family val="2"/>
      </rPr>
      <t xml:space="preserve">つのモードの位相関係で決まるので、ここが合えば分離は正しい</t>
    </r>
  </si>
  <si>
    <r>
      <rPr>
        <sz val="9"/>
        <color rgb="FFDBE2EA"/>
        <rFont val="Noto Sans CJK SC"/>
        <family val="2"/>
      </rPr>
      <t xml:space="preserve">③ 帯域の両端が合っているか。端がずれる＝帯域外モードの影響。</t>
    </r>
    <r>
      <rPr>
        <sz val="9"/>
        <color rgb="FFDBE2EA"/>
        <rFont val="Arial"/>
        <family val="0"/>
        <charset val="1"/>
      </rPr>
      <t xml:space="preserve">RL/RU</t>
    </r>
    <r>
      <rPr>
        <sz val="9"/>
        <color rgb="FFDBE2EA"/>
        <rFont val="Noto Sans CJK SC"/>
        <family val="2"/>
      </rPr>
      <t xml:space="preserve">（残余項）が効いている証拠</t>
    </r>
  </si>
  <si>
    <t xml:space="preserve">④ 虚部のピークの符号（上向き／下向き）。双子モードでは片方が逆向きになることがあり、それがモード形状の違いです</t>
  </si>
  <si>
    <r>
      <rPr>
        <b val="true"/>
        <sz val="15"/>
        <color rgb="FF5AD4FF"/>
        <rFont val="Arial"/>
        <family val="0"/>
        <charset val="1"/>
      </rPr>
      <t xml:space="preserve">⑫ ME'scopeVES </t>
    </r>
    <r>
      <rPr>
        <b val="true"/>
        <sz val="15"/>
        <color rgb="FF5AD4FF"/>
        <rFont val="Noto Sans CJK SC"/>
        <family val="2"/>
      </rPr>
      <t xml:space="preserve">の数式集｜公式ヘルプ・論文からの一次情報</t>
    </r>
  </si>
  <si>
    <r>
      <rPr>
        <sz val="9"/>
        <color rgb="FF9AA7B5"/>
        <rFont val="Noto Sans CJK SC"/>
        <family val="2"/>
      </rPr>
      <t xml:space="preserve">このブックの計算は、下の定義とすべて一致させてあります。</t>
    </r>
    <r>
      <rPr>
        <sz val="9"/>
        <color rgb="FF9AA7B5"/>
        <rFont val="Arial"/>
        <family val="0"/>
        <charset val="1"/>
      </rPr>
      <t xml:space="preserve">ME'scope </t>
    </r>
    <r>
      <rPr>
        <sz val="9"/>
        <color rgb="FF9AA7B5"/>
        <rFont val="Noto Sans CJK SC"/>
        <family val="2"/>
      </rPr>
      <t xml:space="preserve">の画面に出る数字と直接見比べられます。</t>
    </r>
  </si>
  <si>
    <r>
      <rPr>
        <b val="true"/>
        <sz val="11.5"/>
        <color rgb="FFFFB454"/>
        <rFont val="Noto Sans CJK SC"/>
        <family val="2"/>
      </rPr>
      <t xml:space="preserve">■ 周波数と減衰の</t>
    </r>
    <r>
      <rPr>
        <b val="true"/>
        <sz val="11.5"/>
        <color rgb="FFFFB454"/>
        <rFont val="Arial"/>
        <family val="0"/>
        <charset val="1"/>
      </rPr>
      <t xml:space="preserve">4</t>
    </r>
    <r>
      <rPr>
        <b val="true"/>
        <sz val="11.5"/>
        <color rgb="FFFFB454"/>
        <rFont val="Noto Sans CJK SC"/>
        <family val="2"/>
      </rPr>
      <t xml:space="preserve">通りの表し方（出典：</t>
    </r>
    <r>
      <rPr>
        <b val="true"/>
        <sz val="11.5"/>
        <color rgb="FFFFB454"/>
        <rFont val="Arial"/>
        <family val="0"/>
        <charset val="1"/>
      </rPr>
      <t xml:space="preserve">ME'scope </t>
    </r>
    <r>
      <rPr>
        <b val="true"/>
        <sz val="11.5"/>
        <color rgb="FFFFB454"/>
        <rFont val="Noto Sans CJK SC"/>
        <family val="2"/>
      </rPr>
      <t xml:space="preserve">公式ヘルプ </t>
    </r>
    <r>
      <rPr>
        <b val="true"/>
        <sz val="11.5"/>
        <color rgb="FFFFB454"/>
        <rFont val="Arial"/>
        <family val="0"/>
        <charset val="1"/>
      </rPr>
      <t xml:space="preserve">Frequency &amp; Damping Terminology</t>
    </r>
    <r>
      <rPr>
        <b val="true"/>
        <sz val="11.5"/>
        <color rgb="FFFFB454"/>
        <rFont val="Noto Sans CJK SC"/>
        <family val="2"/>
      </rPr>
      <t xml:space="preserve">）</t>
    </r>
  </si>
  <si>
    <r>
      <rPr>
        <b val="true"/>
        <sz val="9"/>
        <color rgb="FFFFB454"/>
        <rFont val="Arial"/>
        <family val="0"/>
        <charset val="1"/>
      </rPr>
      <t xml:space="preserve">ME'scope </t>
    </r>
    <r>
      <rPr>
        <b val="true"/>
        <sz val="9"/>
        <color rgb="FFFFB454"/>
        <rFont val="Noto Sans CJK SC"/>
        <family val="2"/>
      </rPr>
      <t xml:space="preserve">の表記</t>
    </r>
  </si>
  <si>
    <t xml:space="preserve">定義式</t>
  </si>
  <si>
    <t xml:space="preserve">噛み砕くと</t>
  </si>
  <si>
    <t xml:space="preserve">このブックの場所</t>
  </si>
  <si>
    <r>
      <rPr>
        <b val="true"/>
        <sz val="9"/>
        <color rgb="FF5AD4FF"/>
        <rFont val="Noto Sans CJK SC"/>
        <family val="2"/>
      </rPr>
      <t xml:space="preserve">極 </t>
    </r>
    <r>
      <rPr>
        <b val="true"/>
        <sz val="9"/>
        <color rgb="FF5AD4FF"/>
        <rFont val="Arial"/>
        <family val="0"/>
        <charset val="1"/>
      </rPr>
      <t xml:space="preserve">p(k)</t>
    </r>
  </si>
  <si>
    <t xml:space="preserve">p(k) = −σ(k) + j·ω(k)</t>
  </si>
  <si>
    <r>
      <rPr>
        <sz val="9"/>
        <color rgb="FFDBE2EA"/>
        <rFont val="Noto Sans CJK SC"/>
        <family val="2"/>
      </rPr>
      <t xml:space="preserve">モードの居場所。</t>
    </r>
    <r>
      <rPr>
        <sz val="9"/>
        <color rgb="FFDBE2EA"/>
        <rFont val="Arial"/>
        <family val="0"/>
        <charset val="1"/>
      </rPr>
      <t xml:space="preserve">s</t>
    </r>
    <r>
      <rPr>
        <sz val="9"/>
        <color rgb="FFDBE2EA"/>
        <rFont val="Noto Sans CJK SC"/>
        <family val="2"/>
      </rPr>
      <t xml:space="preserve">平面という地図の座標。実部が“消える速さ”、虚部が“揺れる速さ”</t>
    </r>
  </si>
  <si>
    <r>
      <rPr>
        <sz val="9"/>
        <color rgb="FFDBE2EA"/>
        <rFont val="Arial"/>
        <family val="0"/>
        <charset val="1"/>
      </rPr>
      <t xml:space="preserve">09</t>
    </r>
    <r>
      <rPr>
        <sz val="9"/>
        <color rgb="FFDBE2EA"/>
        <rFont val="Noto Sans CJK SC"/>
        <family val="2"/>
      </rPr>
      <t xml:space="preserve">シート </t>
    </r>
    <r>
      <rPr>
        <sz val="9"/>
        <color rgb="FFDBE2EA"/>
        <rFont val="Arial"/>
        <family val="0"/>
        <charset val="1"/>
      </rPr>
      <t xml:space="preserve">19</t>
    </r>
    <r>
      <rPr>
        <sz val="9"/>
        <color rgb="FFDBE2EA"/>
        <rFont val="Noto Sans CJK SC"/>
        <family val="2"/>
      </rPr>
      <t xml:space="preserve">・</t>
    </r>
    <r>
      <rPr>
        <sz val="9"/>
        <color rgb="FFDBE2EA"/>
        <rFont val="Arial"/>
        <family val="0"/>
        <charset val="1"/>
      </rPr>
      <t xml:space="preserve">20</t>
    </r>
    <r>
      <rPr>
        <sz val="9"/>
        <color rgb="FFDBE2EA"/>
        <rFont val="Noto Sans CJK SC"/>
        <family val="2"/>
      </rPr>
      <t xml:space="preserve">行</t>
    </r>
  </si>
  <si>
    <t xml:space="preserve">Damped Natural Frequency ω(k)</t>
  </si>
  <si>
    <r>
      <rPr>
        <sz val="9"/>
        <color rgb="FFDBE2EA"/>
        <rFont val="Arial"/>
        <family val="0"/>
        <charset val="1"/>
      </rPr>
      <t xml:space="preserve">FRF</t>
    </r>
    <r>
      <rPr>
        <sz val="9"/>
        <color rgb="FFDBE2EA"/>
        <rFont val="Noto Sans CJK SC"/>
        <family val="2"/>
      </rPr>
      <t xml:space="preserve">の山が立つ周波数 </t>
    </r>
    <r>
      <rPr>
        <sz val="9"/>
        <color rgb="FFDBE2EA"/>
        <rFont val="Arial"/>
        <family val="0"/>
        <charset val="1"/>
      </rPr>
      <t xml:space="preserve">[Hz]</t>
    </r>
  </si>
  <si>
    <r>
      <rPr>
        <sz val="9"/>
        <color rgb="FFDBE2EA"/>
        <rFont val="Noto Sans CJK SC"/>
        <family val="2"/>
      </rPr>
      <t xml:space="preserve">実際に測ると山が見える位置。</t>
    </r>
    <r>
      <rPr>
        <sz val="9"/>
        <color rgb="FFDBE2EA"/>
        <rFont val="Arial"/>
        <family val="0"/>
        <charset val="1"/>
      </rPr>
      <t xml:space="preserve">ME'scope </t>
    </r>
    <r>
      <rPr>
        <sz val="9"/>
        <color rgb="FFDBE2EA"/>
        <rFont val="Noto Sans CJK SC"/>
        <family val="2"/>
      </rPr>
      <t xml:space="preserve">の </t>
    </r>
    <r>
      <rPr>
        <sz val="9"/>
        <color rgb="FFDBE2EA"/>
        <rFont val="Arial"/>
        <family val="0"/>
        <charset val="1"/>
      </rPr>
      <t xml:space="preserve">Frequency </t>
    </r>
    <r>
      <rPr>
        <sz val="9"/>
        <color rgb="FFDBE2EA"/>
        <rFont val="Noto Sans CJK SC"/>
        <family val="2"/>
      </rPr>
      <t xml:space="preserve">欄はこれ</t>
    </r>
  </si>
  <si>
    <r>
      <rPr>
        <sz val="9"/>
        <color rgb="FFDBE2EA"/>
        <rFont val="Arial"/>
        <family val="0"/>
        <charset val="1"/>
      </rPr>
      <t xml:space="preserve">09</t>
    </r>
    <r>
      <rPr>
        <sz val="9"/>
        <color rgb="FFDBE2EA"/>
        <rFont val="Noto Sans CJK SC"/>
        <family val="2"/>
      </rPr>
      <t xml:space="preserve">シート </t>
    </r>
    <r>
      <rPr>
        <sz val="9"/>
        <color rgb="FFDBE2EA"/>
        <rFont val="Arial"/>
        <family val="0"/>
        <charset val="1"/>
      </rPr>
      <t xml:space="preserve">fd</t>
    </r>
  </si>
  <si>
    <t xml:space="preserve">Damping Decay Constant σ(k)</t>
  </si>
  <si>
    <r>
      <rPr>
        <sz val="9"/>
        <color rgb="FFDBE2EA"/>
        <rFont val="Noto Sans CJK SC"/>
        <family val="2"/>
      </rPr>
      <t xml:space="preserve">半値幅（</t>
    </r>
    <r>
      <rPr>
        <sz val="9"/>
        <color rgb="FFDBE2EA"/>
        <rFont val="Arial"/>
        <family val="0"/>
        <charset val="1"/>
      </rPr>
      <t xml:space="preserve">3dB</t>
    </r>
    <r>
      <rPr>
        <sz val="9"/>
        <color rgb="FFDBE2EA"/>
        <rFont val="Noto Sans CJK SC"/>
        <family val="2"/>
      </rPr>
      <t xml:space="preserve">帯域幅）の半分 </t>
    </r>
    <r>
      <rPr>
        <sz val="9"/>
        <color rgb="FFDBE2EA"/>
        <rFont val="Arial"/>
        <family val="0"/>
        <charset val="1"/>
      </rPr>
      <t xml:space="preserve">[Hz]</t>
    </r>
  </si>
  <si>
    <r>
      <rPr>
        <sz val="9"/>
        <color rgb="FFDBE2EA"/>
        <rFont val="Noto Sans CJK SC"/>
        <family val="2"/>
      </rPr>
      <t xml:space="preserve">揺れが </t>
    </r>
    <r>
      <rPr>
        <sz val="9"/>
        <color rgb="FFDBE2EA"/>
        <rFont val="Arial"/>
        <family val="0"/>
        <charset val="1"/>
      </rPr>
      <t xml:space="preserve">e^(−σt) </t>
    </r>
    <r>
      <rPr>
        <sz val="9"/>
        <color rgb="FFDBE2EA"/>
        <rFont val="Noto Sans CJK SC"/>
        <family val="2"/>
      </rPr>
      <t xml:space="preserve">で細っていく速さ。</t>
    </r>
    <r>
      <rPr>
        <sz val="9"/>
        <color rgb="FFDBE2EA"/>
        <rFont val="Arial"/>
        <family val="0"/>
        <charset val="1"/>
      </rPr>
      <t xml:space="preserve">ME'scope </t>
    </r>
    <r>
      <rPr>
        <sz val="9"/>
        <color rgb="FFDBE2EA"/>
        <rFont val="Noto Sans CJK SC"/>
        <family val="2"/>
      </rPr>
      <t xml:space="preserve">の </t>
    </r>
    <r>
      <rPr>
        <sz val="9"/>
        <color rgb="FFDBE2EA"/>
        <rFont val="Arial"/>
        <family val="0"/>
        <charset val="1"/>
      </rPr>
      <t xml:space="preserve">Damping </t>
    </r>
    <r>
      <rPr>
        <sz val="9"/>
        <color rgb="FFDBE2EA"/>
        <rFont val="Noto Sans CJK SC"/>
        <family val="2"/>
      </rPr>
      <t xml:space="preserve">欄はこの</t>
    </r>
    <r>
      <rPr>
        <sz val="9"/>
        <color rgb="FFDBE2EA"/>
        <rFont val="Arial"/>
        <family val="0"/>
        <charset val="1"/>
      </rPr>
      <t xml:space="preserve">Hz</t>
    </r>
    <r>
      <rPr>
        <sz val="9"/>
        <color rgb="FFDBE2EA"/>
        <rFont val="Noto Sans CJK SC"/>
        <family val="2"/>
      </rPr>
      <t xml:space="preserve">表記</t>
    </r>
  </si>
  <si>
    <r>
      <rPr>
        <sz val="9"/>
        <color rgb="FFDBE2EA"/>
        <rFont val="Arial"/>
        <family val="0"/>
        <charset val="1"/>
      </rPr>
      <t xml:space="preserve">09</t>
    </r>
    <r>
      <rPr>
        <sz val="9"/>
        <color rgb="FFDBE2EA"/>
        <rFont val="Noto Sans CJK SC"/>
        <family val="2"/>
      </rPr>
      <t xml:space="preserve">シート </t>
    </r>
    <r>
      <rPr>
        <sz val="9"/>
        <color rgb="FFDBE2EA"/>
        <rFont val="Arial"/>
        <family val="0"/>
        <charset val="1"/>
      </rPr>
      <t xml:space="preserve">σ(Hz)</t>
    </r>
  </si>
  <si>
    <t xml:space="preserve">Damping Ratio ζ(k)</t>
  </si>
  <si>
    <r>
      <rPr>
        <sz val="9"/>
        <color rgb="FFDBE2EA"/>
        <rFont val="Arial"/>
        <family val="0"/>
        <charset val="1"/>
      </rPr>
      <t xml:space="preserve">ζ = σ ÷ Ω</t>
    </r>
    <r>
      <rPr>
        <sz val="9"/>
        <color rgb="FFDBE2EA"/>
        <rFont val="Noto Sans CJK SC"/>
        <family val="2"/>
      </rPr>
      <t xml:space="preserve">　（</t>
    </r>
    <r>
      <rPr>
        <sz val="9"/>
        <color rgb="FFDBE2EA"/>
        <rFont val="Arial"/>
        <family val="0"/>
        <charset val="1"/>
      </rPr>
      <t xml:space="preserve">Ω</t>
    </r>
    <r>
      <rPr>
        <sz val="9"/>
        <color rgb="FFDBE2EA"/>
        <rFont val="Noto Sans CJK SC"/>
        <family val="2"/>
      </rPr>
      <t xml:space="preserve">＝√</t>
    </r>
    <r>
      <rPr>
        <sz val="9"/>
        <color rgb="FFDBE2EA"/>
        <rFont val="Arial"/>
        <family val="0"/>
        <charset val="1"/>
      </rPr>
      <t xml:space="preserve">(σ²+ω²)</t>
    </r>
    <r>
      <rPr>
        <sz val="9"/>
        <color rgb="FFDBE2EA"/>
        <rFont val="Noto Sans CJK SC"/>
        <family val="2"/>
      </rPr>
      <t xml:space="preserve">）</t>
    </r>
  </si>
  <si>
    <r>
      <rPr>
        <sz val="9"/>
        <color rgb="FFDBE2EA"/>
        <rFont val="Noto Sans CJK SC"/>
        <family val="2"/>
      </rPr>
      <t xml:space="preserve">臨界減衰を</t>
    </r>
    <r>
      <rPr>
        <sz val="9"/>
        <color rgb="FFDBE2EA"/>
        <rFont val="Arial"/>
        <family val="0"/>
        <charset val="1"/>
      </rPr>
      <t xml:space="preserve">100%</t>
    </r>
    <r>
      <rPr>
        <sz val="9"/>
        <color rgb="FFDBE2EA"/>
        <rFont val="Noto Sans CJK SC"/>
        <family val="2"/>
      </rPr>
      <t xml:space="preserve">としたときの割合。</t>
    </r>
    <r>
      <rPr>
        <sz val="9"/>
        <color rgb="FFDBE2EA"/>
        <rFont val="Arial"/>
        <family val="0"/>
        <charset val="1"/>
      </rPr>
      <t xml:space="preserve">%</t>
    </r>
    <r>
      <rPr>
        <sz val="9"/>
        <color rgb="FFDBE2EA"/>
        <rFont val="Noto Sans CJK SC"/>
        <family val="2"/>
      </rPr>
      <t xml:space="preserve">表記もこれ</t>
    </r>
  </si>
  <si>
    <r>
      <rPr>
        <sz val="9"/>
        <color rgb="FFDBE2EA"/>
        <rFont val="Arial"/>
        <family val="0"/>
        <charset val="1"/>
      </rPr>
      <t xml:space="preserve">09</t>
    </r>
    <r>
      <rPr>
        <sz val="9"/>
        <color rgb="FFDBE2EA"/>
        <rFont val="Noto Sans CJK SC"/>
        <family val="2"/>
      </rPr>
      <t xml:space="preserve">シート </t>
    </r>
    <r>
      <rPr>
        <sz val="9"/>
        <color rgb="FFDBE2EA"/>
        <rFont val="Arial"/>
        <family val="0"/>
        <charset val="1"/>
      </rPr>
      <t xml:space="preserve">ζ</t>
    </r>
  </si>
  <si>
    <t xml:space="preserve">Undamped Natural Frequency Ω(k)</t>
  </si>
  <si>
    <t xml:space="preserve">Ω = √(σ² + ω²)</t>
  </si>
  <si>
    <r>
      <rPr>
        <sz val="9"/>
        <color rgb="FFDBE2EA"/>
        <rFont val="Noto Sans CJK SC"/>
        <family val="2"/>
      </rPr>
      <t xml:space="preserve">減衰がゼロだったらこの周波数で揺れる、という理論値。</t>
    </r>
    <r>
      <rPr>
        <sz val="9"/>
        <color rgb="FFDBE2EA"/>
        <rFont val="Arial"/>
        <family val="0"/>
        <charset val="1"/>
      </rPr>
      <t xml:space="preserve">FEM</t>
    </r>
    <r>
      <rPr>
        <sz val="9"/>
        <color rgb="FFDBE2EA"/>
        <rFont val="Noto Sans CJK SC"/>
        <family val="2"/>
      </rPr>
      <t xml:space="preserve">と比べるのはこちら</t>
    </r>
  </si>
  <si>
    <r>
      <rPr>
        <sz val="9"/>
        <color rgb="FFDBE2EA"/>
        <rFont val="Arial"/>
        <family val="0"/>
        <charset val="1"/>
      </rPr>
      <t xml:space="preserve">09</t>
    </r>
    <r>
      <rPr>
        <sz val="9"/>
        <color rgb="FFDBE2EA"/>
        <rFont val="Noto Sans CJK SC"/>
        <family val="2"/>
      </rPr>
      <t xml:space="preserve">シート </t>
    </r>
    <r>
      <rPr>
        <sz val="9"/>
        <color rgb="FFDBE2EA"/>
        <rFont val="Arial"/>
        <family val="0"/>
        <charset val="1"/>
      </rPr>
      <t xml:space="preserve">fn</t>
    </r>
  </si>
  <si>
    <t xml:space="preserve">Half Power Point Bandwidth</t>
  </si>
  <si>
    <r>
      <rPr>
        <sz val="9"/>
        <color rgb="FFDBE2EA"/>
        <rFont val="Noto Sans CJK SC"/>
        <family val="2"/>
      </rPr>
      <t xml:space="preserve">山の幅 </t>
    </r>
    <r>
      <rPr>
        <sz val="9"/>
        <color rgb="FFDBE2EA"/>
        <rFont val="Arial"/>
        <family val="0"/>
        <charset val="1"/>
      </rPr>
      <t xml:space="preserve">= 2σ</t>
    </r>
  </si>
  <si>
    <r>
      <rPr>
        <sz val="9"/>
        <color rgb="FFDBE2EA"/>
        <rFont val="Noto Sans CJK SC"/>
        <family val="2"/>
      </rPr>
      <t xml:space="preserve">振幅が最大の</t>
    </r>
    <r>
      <rPr>
        <sz val="9"/>
        <color rgb="FFDBE2EA"/>
        <rFont val="Arial"/>
        <family val="0"/>
        <charset val="1"/>
      </rPr>
      <t xml:space="preserve">70.7%</t>
    </r>
    <r>
      <rPr>
        <sz val="9"/>
        <color rgb="FFDBE2EA"/>
        <rFont val="Noto Sans CJK SC"/>
        <family val="2"/>
      </rPr>
      <t xml:space="preserve">（−</t>
    </r>
    <r>
      <rPr>
        <sz val="9"/>
        <color rgb="FFDBE2EA"/>
        <rFont val="Arial"/>
        <family val="0"/>
        <charset val="1"/>
      </rPr>
      <t xml:space="preserve">3dB</t>
    </r>
    <r>
      <rPr>
        <sz val="9"/>
        <color rgb="FFDBE2EA"/>
        <rFont val="Noto Sans CJK SC"/>
        <family val="2"/>
      </rPr>
      <t xml:space="preserve">）まで落ちる</t>
    </r>
    <r>
      <rPr>
        <sz val="9"/>
        <color rgb="FFDBE2EA"/>
        <rFont val="Arial"/>
        <family val="0"/>
        <charset val="1"/>
      </rPr>
      <t xml:space="preserve">2</t>
    </r>
    <r>
      <rPr>
        <sz val="9"/>
        <color rgb="FFDBE2EA"/>
        <rFont val="Noto Sans CJK SC"/>
        <family val="2"/>
      </rPr>
      <t xml:space="preserve">点の間隔</t>
    </r>
  </si>
  <si>
    <r>
      <rPr>
        <sz val="9"/>
        <color rgb="FFDBE2EA"/>
        <rFont val="Arial"/>
        <family val="0"/>
        <charset val="1"/>
      </rPr>
      <t xml:space="preserve">09</t>
    </r>
    <r>
      <rPr>
        <sz val="9"/>
        <color rgb="FFDBE2EA"/>
        <rFont val="Noto Sans CJK SC"/>
        <family val="2"/>
      </rPr>
      <t xml:space="preserve">シート 半値幅</t>
    </r>
  </si>
  <si>
    <t xml:space="preserve">Loss Factor η(k)</t>
  </si>
  <si>
    <r>
      <rPr>
        <sz val="9"/>
        <color rgb="FFDBE2EA"/>
        <rFont val="Arial"/>
        <family val="0"/>
        <charset val="1"/>
      </rPr>
      <t xml:space="preserve">η = 2ζ</t>
    </r>
    <r>
      <rPr>
        <sz val="9"/>
        <color rgb="FFDBE2EA"/>
        <rFont val="Noto Sans CJK SC"/>
        <family val="2"/>
      </rPr>
      <t xml:space="preserve">　（臨界減衰比の</t>
    </r>
    <r>
      <rPr>
        <sz val="9"/>
        <color rgb="FFDBE2EA"/>
        <rFont val="Arial"/>
        <family val="0"/>
        <charset val="1"/>
      </rPr>
      <t xml:space="preserve">2</t>
    </r>
    <r>
      <rPr>
        <sz val="9"/>
        <color rgb="FFDBE2EA"/>
        <rFont val="Noto Sans CJK SC"/>
        <family val="2"/>
      </rPr>
      <t xml:space="preserve">倍）</t>
    </r>
  </si>
  <si>
    <t xml:space="preserve">材料の“ねばり”。ブレーキパッドで最重要の指標</t>
  </si>
  <si>
    <r>
      <rPr>
        <sz val="9"/>
        <color rgb="FFDBE2EA"/>
        <rFont val="Arial"/>
        <family val="0"/>
        <charset val="1"/>
      </rPr>
      <t xml:space="preserve">09</t>
    </r>
    <r>
      <rPr>
        <sz val="9"/>
        <color rgb="FFDBE2EA"/>
        <rFont val="Noto Sans CJK SC"/>
        <family val="2"/>
      </rPr>
      <t xml:space="preserve">シート </t>
    </r>
    <r>
      <rPr>
        <sz val="9"/>
        <color rgb="FFDBE2EA"/>
        <rFont val="Arial"/>
        <family val="0"/>
        <charset val="1"/>
      </rPr>
      <t xml:space="preserve">η</t>
    </r>
  </si>
  <si>
    <t xml:space="preserve">Quality Factor Q(k)</t>
  </si>
  <si>
    <t xml:space="preserve">Q = 1 ÷ η</t>
  </si>
  <si>
    <r>
      <rPr>
        <sz val="9"/>
        <color rgb="FFDBE2EA"/>
        <rFont val="Noto Sans CJK SC"/>
        <family val="2"/>
      </rPr>
      <t xml:space="preserve">山の鋭さ。</t>
    </r>
    <r>
      <rPr>
        <sz val="9"/>
        <color rgb="FFDBE2EA"/>
        <rFont val="Arial"/>
        <family val="0"/>
        <charset val="1"/>
      </rPr>
      <t xml:space="preserve">Q</t>
    </r>
    <r>
      <rPr>
        <sz val="9"/>
        <color rgb="FFDBE2EA"/>
        <rFont val="Noto Sans CJK SC"/>
        <family val="2"/>
      </rPr>
      <t xml:space="preserve">が大きい＝よく響く＝減衰が小さい</t>
    </r>
  </si>
  <si>
    <r>
      <rPr>
        <sz val="9"/>
        <color rgb="FFDBE2EA"/>
        <rFont val="Arial"/>
        <family val="0"/>
        <charset val="1"/>
      </rPr>
      <t xml:space="preserve">09</t>
    </r>
    <r>
      <rPr>
        <sz val="9"/>
        <color rgb="FFDBE2EA"/>
        <rFont val="Noto Sans CJK SC"/>
        <family val="2"/>
      </rPr>
      <t xml:space="preserve">シート </t>
    </r>
    <r>
      <rPr>
        <sz val="9"/>
        <color rgb="FFDBE2EA"/>
        <rFont val="Arial"/>
        <family val="0"/>
        <charset val="1"/>
      </rPr>
      <t xml:space="preserve">Q</t>
    </r>
  </si>
  <si>
    <r>
      <rPr>
        <sz val="9"/>
        <color rgb="FF9AA7B5"/>
        <rFont val="Noto Sans CJK SC"/>
        <family val="2"/>
      </rPr>
      <t xml:space="preserve">出典</t>
    </r>
    <r>
      <rPr>
        <sz val="9"/>
        <color rgb="FF9AA7B5"/>
        <rFont val="Arial"/>
        <family val="0"/>
        <charset val="1"/>
      </rPr>
      <t xml:space="preserve">URL</t>
    </r>
    <r>
      <rPr>
        <sz val="9"/>
        <color rgb="FF9AA7B5"/>
        <rFont val="Noto Sans CJK SC"/>
        <family val="2"/>
      </rPr>
      <t xml:space="preserve">：</t>
    </r>
    <r>
      <rPr>
        <sz val="9"/>
        <color rgb="FF9AA7B5"/>
        <rFont val="Arial"/>
        <family val="0"/>
        <charset val="1"/>
      </rPr>
      <t xml:space="preserve">http://help.vibetech.com/Damping_Terminology.htm</t>
    </r>
    <r>
      <rPr>
        <sz val="9"/>
        <color rgb="FF9AA7B5"/>
        <rFont val="Noto Sans CJK SC"/>
        <family val="2"/>
      </rPr>
      <t xml:space="preserve">　（🟢</t>
    </r>
    <r>
      <rPr>
        <sz val="9"/>
        <color rgb="FF9AA7B5"/>
        <rFont val="Arial"/>
        <family val="0"/>
        <charset val="1"/>
      </rPr>
      <t xml:space="preserve">2026</t>
    </r>
    <r>
      <rPr>
        <sz val="9"/>
        <color rgb="FF9AA7B5"/>
        <rFont val="Noto Sans CJK SC"/>
        <family val="2"/>
      </rPr>
      <t xml:space="preserve">年</t>
    </r>
    <r>
      <rPr>
        <sz val="9"/>
        <color rgb="FF9AA7B5"/>
        <rFont val="Arial"/>
        <family val="0"/>
        <charset val="1"/>
      </rPr>
      <t xml:space="preserve">7</t>
    </r>
    <r>
      <rPr>
        <sz val="9"/>
        <color rgb="FF9AA7B5"/>
        <rFont val="Noto Sans CJK SC"/>
        <family val="2"/>
      </rPr>
      <t xml:space="preserve">月時点で内容確認済み）</t>
    </r>
  </si>
  <si>
    <r>
      <rPr>
        <b val="true"/>
        <sz val="11.5"/>
        <color rgb="FFFFB454"/>
        <rFont val="Noto Sans CJK SC"/>
        <family val="2"/>
      </rPr>
      <t xml:space="preserve">■ レジデューとモード形状（出典：</t>
    </r>
    <r>
      <rPr>
        <b val="true"/>
        <sz val="11.5"/>
        <color rgb="FFFFB454"/>
        <rFont val="Arial"/>
        <family val="0"/>
        <charset val="1"/>
      </rPr>
      <t xml:space="preserve">M.H.Richardson, "Modal Mass, Stiffness and Damping", Vibrant Technology, 2000</t>
    </r>
    <r>
      <rPr>
        <b val="true"/>
        <sz val="11.5"/>
        <color rgb="FFFFB454"/>
        <rFont val="Noto Sans CJK SC"/>
        <family val="2"/>
      </rPr>
      <t xml:space="preserve">）</t>
    </r>
  </si>
  <si>
    <t xml:space="preserve">式番号</t>
  </si>
  <si>
    <t xml:space="preserve">式</t>
  </si>
  <si>
    <t xml:space="preserve">(13)</t>
  </si>
  <si>
    <t xml:space="preserve">H(s) = Σ [ r(k)/(2j(s−p(k))) − r(k)*/(2j(s−p(k)*)) ]</t>
  </si>
  <si>
    <r>
      <rPr>
        <sz val="9"/>
        <color rgb="FFDBE2EA"/>
        <rFont val="Noto Sans CJK SC"/>
        <family val="2"/>
      </rPr>
      <t xml:space="preserve">伝達関数を『部分分数』に分けた形。分子の定数 </t>
    </r>
    <r>
      <rPr>
        <sz val="9"/>
        <color rgb="FFDBE2EA"/>
        <rFont val="Arial"/>
        <family val="0"/>
        <charset val="1"/>
      </rPr>
      <t xml:space="preserve">r(k) </t>
    </r>
    <r>
      <rPr>
        <sz val="9"/>
        <color rgb="FFDBE2EA"/>
        <rFont val="Noto Sans CJK SC"/>
        <family val="2"/>
      </rPr>
      <t xml:space="preserve">がレジデュー</t>
    </r>
  </si>
  <si>
    <r>
      <rPr>
        <sz val="9"/>
        <color rgb="FFDBE2EA"/>
        <rFont val="Arial"/>
        <family val="0"/>
        <charset val="1"/>
      </rPr>
      <t xml:space="preserve">10</t>
    </r>
    <r>
      <rPr>
        <sz val="9"/>
        <color rgb="FFDBE2EA"/>
        <rFont val="Noto Sans CJK SC"/>
        <family val="2"/>
      </rPr>
      <t xml:space="preserve">シート </t>
    </r>
    <r>
      <rPr>
        <sz val="9"/>
        <color rgb="FFDBE2EA"/>
        <rFont val="Arial"/>
        <family val="0"/>
        <charset val="1"/>
      </rPr>
      <t xml:space="preserve">4</t>
    </r>
    <r>
      <rPr>
        <sz val="9"/>
        <color rgb="FFDBE2EA"/>
        <rFont val="Noto Sans CJK SC"/>
        <family val="2"/>
      </rPr>
      <t xml:space="preserve">〜</t>
    </r>
    <r>
      <rPr>
        <sz val="9"/>
        <color rgb="FFDBE2EA"/>
        <rFont val="Arial"/>
        <family val="0"/>
        <charset val="1"/>
      </rPr>
      <t xml:space="preserve">7</t>
    </r>
    <r>
      <rPr>
        <sz val="9"/>
        <color rgb="FFDBE2EA"/>
        <rFont val="Noto Sans CJK SC"/>
        <family val="2"/>
      </rPr>
      <t xml:space="preserve">行</t>
    </r>
  </si>
  <si>
    <t xml:space="preserve">(12)</t>
  </si>
  <si>
    <t xml:space="preserve">[r(k)] = A(k)·{u(k)}{u(k)}ᵀ</t>
  </si>
  <si>
    <t xml:space="preserve">レジデュー行列は、モード形状ベクトルの外積にスケール定数を掛けたもの</t>
  </si>
  <si>
    <t xml:space="preserve">(5)</t>
  </si>
  <si>
    <r>
      <rPr>
        <sz val="9"/>
        <color rgb="FFDBE2EA"/>
        <rFont val="Noto Sans CJK SC"/>
        <family val="2"/>
      </rPr>
      <t xml:space="preserve">モーダル質量 </t>
    </r>
    <r>
      <rPr>
        <sz val="9"/>
        <color rgb="FFDBE2EA"/>
        <rFont val="Arial"/>
        <family val="0"/>
        <charset val="1"/>
      </rPr>
      <t xml:space="preserve">m(k) = 1 ÷ (A(k)·ω(k))</t>
    </r>
  </si>
  <si>
    <r>
      <rPr>
        <sz val="9"/>
        <color rgb="FFDBE2EA"/>
        <rFont val="Noto Sans CJK SC"/>
        <family val="2"/>
      </rPr>
      <t xml:space="preserve">モード</t>
    </r>
    <r>
      <rPr>
        <sz val="9"/>
        <color rgb="FFDBE2EA"/>
        <rFont val="Arial"/>
        <family val="0"/>
        <charset val="1"/>
      </rPr>
      <t xml:space="preserve">1</t>
    </r>
    <r>
      <rPr>
        <sz val="9"/>
        <color rgb="FFDBE2EA"/>
        <rFont val="Noto Sans CJK SC"/>
        <family val="2"/>
      </rPr>
      <t xml:space="preserve">本ぶんを『</t>
    </r>
    <r>
      <rPr>
        <sz val="9"/>
        <color rgb="FFDBE2EA"/>
        <rFont val="Arial"/>
        <family val="0"/>
        <charset val="1"/>
      </rPr>
      <t xml:space="preserve">1</t>
    </r>
    <r>
      <rPr>
        <sz val="9"/>
        <color rgb="FFDBE2EA"/>
        <rFont val="Noto Sans CJK SC"/>
        <family val="2"/>
      </rPr>
      <t xml:space="preserve">個のバネと重り』に置き換えたときの重さ</t>
    </r>
  </si>
  <si>
    <r>
      <rPr>
        <sz val="9"/>
        <color rgb="FFDBE2EA"/>
        <rFont val="Arial"/>
        <family val="0"/>
        <charset val="1"/>
      </rPr>
      <t xml:space="preserve">10</t>
    </r>
    <r>
      <rPr>
        <sz val="9"/>
        <color rgb="FFDBE2EA"/>
        <rFont val="Noto Sans CJK SC"/>
        <family val="2"/>
      </rPr>
      <t xml:space="preserve">シート</t>
    </r>
  </si>
  <si>
    <t xml:space="preserve">(7)</t>
  </si>
  <si>
    <r>
      <rPr>
        <sz val="9"/>
        <color rgb="FFDBE2EA"/>
        <rFont val="Noto Sans CJK SC"/>
        <family val="2"/>
      </rPr>
      <t xml:space="preserve">モーダル剛性 </t>
    </r>
    <r>
      <rPr>
        <sz val="9"/>
        <color rgb="FFDBE2EA"/>
        <rFont val="Arial"/>
        <family val="0"/>
        <charset val="1"/>
      </rPr>
      <t xml:space="preserve">k(k) = (σ²+ω²) ÷ (A(k)·ω(k))</t>
    </r>
  </si>
  <si>
    <t xml:space="preserve">同じく、そのバネの硬さ</t>
  </si>
  <si>
    <r>
      <rPr>
        <sz val="9"/>
        <color rgb="FFDBE2EA"/>
        <rFont val="Arial"/>
        <family val="0"/>
        <charset val="1"/>
      </rPr>
      <t xml:space="preserve">10</t>
    </r>
    <r>
      <rPr>
        <sz val="9"/>
        <color rgb="FFDBE2EA"/>
        <rFont val="Noto Sans CJK SC"/>
        <family val="2"/>
      </rPr>
      <t xml:space="preserve">シート </t>
    </r>
    <r>
      <rPr>
        <sz val="9"/>
        <color rgb="FFDBE2EA"/>
        <rFont val="Arial"/>
        <family val="0"/>
        <charset val="1"/>
      </rPr>
      <t xml:space="preserve">63</t>
    </r>
    <r>
      <rPr>
        <sz val="9"/>
        <color rgb="FFDBE2EA"/>
        <rFont val="Noto Sans CJK SC"/>
        <family val="2"/>
      </rPr>
      <t xml:space="preserve">行</t>
    </r>
  </si>
  <si>
    <t xml:space="preserve">(9)</t>
  </si>
  <si>
    <r>
      <rPr>
        <sz val="9"/>
        <color rgb="FFDBE2EA"/>
        <rFont val="Noto Sans CJK SC"/>
        <family val="2"/>
      </rPr>
      <t xml:space="preserve">モーダル減衰 </t>
    </r>
    <r>
      <rPr>
        <sz val="9"/>
        <color rgb="FFDBE2EA"/>
        <rFont val="Arial"/>
        <family val="0"/>
        <charset val="1"/>
      </rPr>
      <t xml:space="preserve">c(k) = 2σ ÷ (A(k)·ω(k))</t>
    </r>
  </si>
  <si>
    <t xml:space="preserve">同じく、そのダンパーの効き</t>
  </si>
  <si>
    <r>
      <rPr>
        <sz val="9"/>
        <color rgb="FFDBE2EA"/>
        <rFont val="Arial"/>
        <family val="0"/>
        <charset val="1"/>
      </rPr>
      <t xml:space="preserve">10</t>
    </r>
    <r>
      <rPr>
        <sz val="9"/>
        <color rgb="FFDBE2EA"/>
        <rFont val="Noto Sans CJK SC"/>
        <family val="2"/>
      </rPr>
      <t xml:space="preserve">シート </t>
    </r>
    <r>
      <rPr>
        <sz val="9"/>
        <color rgb="FFDBE2EA"/>
        <rFont val="Arial"/>
        <family val="0"/>
        <charset val="1"/>
      </rPr>
      <t xml:space="preserve">64</t>
    </r>
    <r>
      <rPr>
        <sz val="9"/>
        <color rgb="FFDBE2EA"/>
        <rFont val="Noto Sans CJK SC"/>
        <family val="2"/>
      </rPr>
      <t xml:space="preserve">行</t>
    </r>
  </si>
  <si>
    <t xml:space="preserve">(15)</t>
  </si>
  <si>
    <r>
      <rPr>
        <sz val="9"/>
        <color rgb="FFDBE2EA"/>
        <rFont val="Arial"/>
        <family val="0"/>
        <charset val="1"/>
      </rPr>
      <t xml:space="preserve">UMM</t>
    </r>
    <r>
      <rPr>
        <sz val="9"/>
        <color rgb="FFDBE2EA"/>
        <rFont val="Noto Sans CJK SC"/>
        <family val="2"/>
      </rPr>
      <t xml:space="preserve">スケーリング： </t>
    </r>
    <r>
      <rPr>
        <sz val="9"/>
        <color rgb="FFDBE2EA"/>
        <rFont val="Arial"/>
        <family val="0"/>
        <charset val="1"/>
      </rPr>
      <t xml:space="preserve">A(k) = 1 ÷ ω(k)</t>
    </r>
  </si>
  <si>
    <r>
      <rPr>
        <sz val="9"/>
        <color rgb="FFDBE2EA"/>
        <rFont val="Noto Sans CJK SC"/>
        <family val="2"/>
      </rPr>
      <t xml:space="preserve">モーダル質量を</t>
    </r>
    <r>
      <rPr>
        <sz val="9"/>
        <color rgb="FFDBE2EA"/>
        <rFont val="Arial"/>
        <family val="0"/>
        <charset val="1"/>
      </rPr>
      <t xml:space="preserve">1</t>
    </r>
    <r>
      <rPr>
        <sz val="9"/>
        <color rgb="FFDBE2EA"/>
        <rFont val="Noto Sans CJK SC"/>
        <family val="2"/>
      </rPr>
      <t xml:space="preserve">に揃える約束。実験ではこれが標準</t>
    </r>
  </si>
  <si>
    <t xml:space="preserve">(16)</t>
  </si>
  <si>
    <t xml:space="preserve">u(jk) = √( ω(k) × r(jj)(k) )</t>
  </si>
  <si>
    <t xml:space="preserve">駆動点レジデューからモード形状の絶対値を決める（校正の要）</t>
  </si>
  <si>
    <r>
      <rPr>
        <sz val="9"/>
        <color rgb="FFDBE2EA"/>
        <rFont val="Arial"/>
        <family val="0"/>
        <charset val="1"/>
      </rPr>
      <t xml:space="preserve">10</t>
    </r>
    <r>
      <rPr>
        <sz val="9"/>
        <color rgb="FFDBE2EA"/>
        <rFont val="Noto Sans CJK SC"/>
        <family val="2"/>
      </rPr>
      <t xml:space="preserve">シート </t>
    </r>
    <r>
      <rPr>
        <sz val="9"/>
        <color rgb="FFDBE2EA"/>
        <rFont val="Arial"/>
        <family val="0"/>
        <charset val="1"/>
      </rPr>
      <t xml:space="preserve">61</t>
    </r>
    <r>
      <rPr>
        <sz val="9"/>
        <color rgb="FFDBE2EA"/>
        <rFont val="Noto Sans CJK SC"/>
        <family val="2"/>
      </rPr>
      <t xml:space="preserve">行</t>
    </r>
  </si>
  <si>
    <t xml:space="preserve">(17)</t>
  </si>
  <si>
    <t xml:space="preserve">u(jk) = √( r(jp)·r(jq) ÷ (A(k)·r(pq)) )</t>
  </si>
  <si>
    <t xml:space="preserve">駆動点が測れない時の代替（三角測定）</t>
  </si>
  <si>
    <t xml:space="preserve">－（参考）</t>
  </si>
  <si>
    <t xml:space="preserve">(20)(21)</t>
  </si>
  <si>
    <r>
      <rPr>
        <sz val="9"/>
        <color rgb="FFDBE2EA"/>
        <rFont val="Arial"/>
        <family val="0"/>
        <charset val="1"/>
      </rPr>
      <t xml:space="preserve">r_</t>
    </r>
    <r>
      <rPr>
        <sz val="9"/>
        <color rgb="FFDBE2EA"/>
        <rFont val="Noto Sans CJK SC"/>
        <family val="2"/>
      </rPr>
      <t xml:space="preserve">変位 </t>
    </r>
    <r>
      <rPr>
        <sz val="9"/>
        <color rgb="FFDBE2EA"/>
        <rFont val="Arial"/>
        <family val="0"/>
        <charset val="1"/>
      </rPr>
      <t xml:space="preserve">= F·r_</t>
    </r>
    <r>
      <rPr>
        <sz val="9"/>
        <color rgb="FFDBE2EA"/>
        <rFont val="Noto Sans CJK SC"/>
        <family val="2"/>
      </rPr>
      <t xml:space="preserve">速度 </t>
    </r>
    <r>
      <rPr>
        <sz val="9"/>
        <color rgb="FFDBE2EA"/>
        <rFont val="Arial"/>
        <family val="0"/>
        <charset val="1"/>
      </rPr>
      <t xml:space="preserve">= F²·r_</t>
    </r>
    <r>
      <rPr>
        <sz val="9"/>
        <color rgb="FFDBE2EA"/>
        <rFont val="Noto Sans CJK SC"/>
        <family val="2"/>
      </rPr>
      <t xml:space="preserve">加速度、</t>
    </r>
    <r>
      <rPr>
        <sz val="9"/>
        <color rgb="FFDBE2EA"/>
        <rFont val="Arial"/>
        <family val="0"/>
        <charset val="1"/>
      </rPr>
      <t xml:space="preserve">F = ω ÷ (σ²+ω²)</t>
    </r>
  </si>
  <si>
    <r>
      <rPr>
        <sz val="9"/>
        <color rgb="FFDBE2EA"/>
        <rFont val="Arial"/>
        <family val="0"/>
        <charset val="1"/>
      </rPr>
      <t xml:space="preserve">LDV</t>
    </r>
    <r>
      <rPr>
        <sz val="9"/>
        <color rgb="FFDBE2EA"/>
        <rFont val="Noto Sans CJK SC"/>
        <family val="2"/>
      </rPr>
      <t xml:space="preserve">は速度、加速度計は加速度。変位系に直してからスケーリングする</t>
    </r>
  </si>
  <si>
    <r>
      <rPr>
        <sz val="9"/>
        <color rgb="FFDBE2EA"/>
        <rFont val="Arial"/>
        <family val="0"/>
        <charset val="1"/>
      </rPr>
      <t xml:space="preserve">10</t>
    </r>
    <r>
      <rPr>
        <sz val="9"/>
        <color rgb="FFDBE2EA"/>
        <rFont val="Noto Sans CJK SC"/>
        <family val="2"/>
      </rPr>
      <t xml:space="preserve">シート </t>
    </r>
    <r>
      <rPr>
        <sz val="9"/>
        <color rgb="FFDBE2EA"/>
        <rFont val="Arial"/>
        <family val="0"/>
        <charset val="1"/>
      </rPr>
      <t xml:space="preserve">59</t>
    </r>
    <r>
      <rPr>
        <sz val="9"/>
        <color rgb="FFDBE2EA"/>
        <rFont val="Noto Sans CJK SC"/>
        <family val="2"/>
      </rPr>
      <t xml:space="preserve">・</t>
    </r>
    <r>
      <rPr>
        <sz val="9"/>
        <color rgb="FFDBE2EA"/>
        <rFont val="Arial"/>
        <family val="0"/>
        <charset val="1"/>
      </rPr>
      <t xml:space="preserve">60</t>
    </r>
    <r>
      <rPr>
        <sz val="9"/>
        <color rgb="FFDBE2EA"/>
        <rFont val="Noto Sans CJK SC"/>
        <family val="2"/>
      </rPr>
      <t xml:space="preserve">行</t>
    </r>
  </si>
  <si>
    <t xml:space="preserve">(25)</t>
  </si>
  <si>
    <r>
      <rPr>
        <sz val="9"/>
        <color rgb="FFDBE2EA"/>
        <rFont val="Noto Sans CJK SC"/>
        <family val="2"/>
      </rPr>
      <t xml:space="preserve">有効質量 </t>
    </r>
    <r>
      <rPr>
        <sz val="9"/>
        <color rgb="FFDBE2EA"/>
        <rFont val="Arial"/>
        <family val="0"/>
        <charset val="1"/>
      </rPr>
      <t xml:space="preserve">= 1 ÷ (ω(k) × r(jj))</t>
    </r>
  </si>
  <si>
    <r>
      <rPr>
        <sz val="9"/>
        <color rgb="FFDBE2EA"/>
        <rFont val="Noto Sans CJK SC"/>
        <family val="2"/>
      </rPr>
      <t xml:space="preserve">その点にオモリを付けたら何</t>
    </r>
    <r>
      <rPr>
        <sz val="9"/>
        <color rgb="FFDBE2EA"/>
        <rFont val="Arial"/>
        <family val="0"/>
        <charset val="1"/>
      </rPr>
      <t xml:space="preserve">kg</t>
    </r>
    <r>
      <rPr>
        <sz val="9"/>
        <color rgb="FFDBE2EA"/>
        <rFont val="Noto Sans CJK SC"/>
        <family val="2"/>
      </rPr>
      <t xml:space="preserve">相当か。制振設計に直結</t>
    </r>
  </si>
  <si>
    <r>
      <rPr>
        <sz val="9"/>
        <color rgb="FFDBE2EA"/>
        <rFont val="Arial"/>
        <family val="0"/>
        <charset val="1"/>
      </rPr>
      <t xml:space="preserve">10</t>
    </r>
    <r>
      <rPr>
        <sz val="9"/>
        <color rgb="FFDBE2EA"/>
        <rFont val="Noto Sans CJK SC"/>
        <family val="2"/>
      </rPr>
      <t xml:space="preserve">シート </t>
    </r>
    <r>
      <rPr>
        <sz val="9"/>
        <color rgb="FFDBE2EA"/>
        <rFont val="Arial"/>
        <family val="0"/>
        <charset val="1"/>
      </rPr>
      <t xml:space="preserve">62</t>
    </r>
    <r>
      <rPr>
        <sz val="9"/>
        <color rgb="FFDBE2EA"/>
        <rFont val="Noto Sans CJK SC"/>
        <family val="2"/>
      </rPr>
      <t xml:space="preserve">行</t>
    </r>
  </si>
  <si>
    <r>
      <rPr>
        <sz val="9"/>
        <color rgb="FF9AA7B5"/>
        <rFont val="Noto Sans CJK SC"/>
        <family val="2"/>
      </rPr>
      <t xml:space="preserve">出典</t>
    </r>
    <r>
      <rPr>
        <sz val="9"/>
        <color rgb="FF9AA7B5"/>
        <rFont val="Arial"/>
        <family val="0"/>
        <charset val="1"/>
      </rPr>
      <t xml:space="preserve">URL</t>
    </r>
    <r>
      <rPr>
        <sz val="9"/>
        <color rgb="FF9AA7B5"/>
        <rFont val="Noto Sans CJK SC"/>
        <family val="2"/>
      </rPr>
      <t xml:space="preserve">：</t>
    </r>
    <r>
      <rPr>
        <sz val="9"/>
        <color rgb="FF9AA7B5"/>
        <rFont val="Arial"/>
        <family val="0"/>
        <charset val="1"/>
      </rPr>
      <t xml:space="preserve">http://papers.vibetech.com/Paper31.pdf</t>
    </r>
    <r>
      <rPr>
        <sz val="9"/>
        <color rgb="FF9AA7B5"/>
        <rFont val="Noto Sans CJK SC"/>
        <family val="2"/>
      </rPr>
      <t xml:space="preserve">　（🟢</t>
    </r>
    <r>
      <rPr>
        <sz val="9"/>
        <color rgb="FF9AA7B5"/>
        <rFont val="Arial"/>
        <family val="0"/>
        <charset val="1"/>
      </rPr>
      <t xml:space="preserve">2026</t>
    </r>
    <r>
      <rPr>
        <sz val="9"/>
        <color rgb="FF9AA7B5"/>
        <rFont val="Noto Sans CJK SC"/>
        <family val="2"/>
      </rPr>
      <t xml:space="preserve">年</t>
    </r>
    <r>
      <rPr>
        <sz val="9"/>
        <color rgb="FF9AA7B5"/>
        <rFont val="Arial"/>
        <family val="0"/>
        <charset val="1"/>
      </rPr>
      <t xml:space="preserve">7</t>
    </r>
    <r>
      <rPr>
        <sz val="9"/>
        <color rgb="FF9AA7B5"/>
        <rFont val="Noto Sans CJK SC"/>
        <family val="2"/>
      </rPr>
      <t xml:space="preserve">月時点で全文確認済み）</t>
    </r>
  </si>
  <si>
    <r>
      <rPr>
        <b val="true"/>
        <sz val="11.5"/>
        <color rgb="FFFFB454"/>
        <rFont val="Arial"/>
        <family val="0"/>
        <charset val="1"/>
      </rPr>
      <t xml:space="preserve">■ ME'scope </t>
    </r>
    <r>
      <rPr>
        <b val="true"/>
        <sz val="11.5"/>
        <color rgb="FFFFB454"/>
        <rFont val="Noto Sans CJK SC"/>
        <family val="2"/>
      </rPr>
      <t xml:space="preserve">のカーブフィット</t>
    </r>
    <r>
      <rPr>
        <b val="true"/>
        <sz val="11.5"/>
        <color rgb="FFFFB454"/>
        <rFont val="Arial"/>
        <family val="0"/>
        <charset val="1"/>
      </rPr>
      <t xml:space="preserve">3</t>
    </r>
    <r>
      <rPr>
        <b val="true"/>
        <sz val="11.5"/>
        <color rgb="FFFFB454"/>
        <rFont val="Noto Sans CJK SC"/>
        <family val="2"/>
      </rPr>
      <t xml:space="preserve">工程（出典：</t>
    </r>
    <r>
      <rPr>
        <b val="true"/>
        <sz val="11.5"/>
        <color rgb="FFFFB454"/>
        <rFont val="Arial"/>
        <family val="0"/>
        <charset val="1"/>
      </rPr>
      <t xml:space="preserve">MEscope Application Note 13</t>
    </r>
    <r>
      <rPr>
        <b val="true"/>
        <sz val="11.5"/>
        <color rgb="FFFFB454"/>
        <rFont val="Noto Sans CJK SC"/>
        <family val="2"/>
      </rPr>
      <t xml:space="preserve">）</t>
    </r>
  </si>
  <si>
    <t xml:space="preserve">工程</t>
  </si>
  <si>
    <r>
      <rPr>
        <b val="true"/>
        <sz val="9"/>
        <color rgb="FFFFB454"/>
        <rFont val="Arial"/>
        <family val="0"/>
        <charset val="1"/>
      </rPr>
      <t xml:space="preserve">ME'scope </t>
    </r>
    <r>
      <rPr>
        <b val="true"/>
        <sz val="9"/>
        <color rgb="FFFFB454"/>
        <rFont val="Noto Sans CJK SC"/>
        <family val="2"/>
      </rPr>
      <t xml:space="preserve">でやること</t>
    </r>
  </si>
  <si>
    <t xml:space="preserve">このブックの対応</t>
  </si>
  <si>
    <t xml:space="preserve">補足</t>
  </si>
  <si>
    <t xml:space="preserve">① モード数を数える</t>
  </si>
  <si>
    <r>
      <rPr>
        <sz val="9"/>
        <color rgb="FFDBE2EA"/>
        <rFont val="Arial"/>
        <family val="0"/>
        <charset val="1"/>
      </rPr>
      <t xml:space="preserve">Mode Indicator</t>
    </r>
    <r>
      <rPr>
        <sz val="9"/>
        <color rgb="FFDBE2EA"/>
        <rFont val="Noto Sans CJK SC"/>
        <family val="2"/>
      </rPr>
      <t xml:space="preserve">（</t>
    </r>
    <r>
      <rPr>
        <sz val="9"/>
        <color rgb="FFDBE2EA"/>
        <rFont val="Arial"/>
        <family val="0"/>
        <charset val="1"/>
      </rPr>
      <t xml:space="preserve">CMIF </t>
    </r>
    <r>
      <rPr>
        <sz val="9"/>
        <color rgb="FFDBE2EA"/>
        <rFont val="Noto Sans CJK SC"/>
        <family val="2"/>
      </rPr>
      <t xml:space="preserve">または </t>
    </r>
    <r>
      <rPr>
        <sz val="9"/>
        <color rgb="FFDBE2EA"/>
        <rFont val="Arial"/>
        <family val="0"/>
        <charset val="1"/>
      </rPr>
      <t xml:space="preserve">MMIF</t>
    </r>
    <r>
      <rPr>
        <sz val="9"/>
        <color rgb="FFDBE2EA"/>
        <rFont val="Noto Sans CJK SC"/>
        <family val="2"/>
      </rPr>
      <t xml:space="preserve">）を計算し、ノイズしきい値を超えた山を数える</t>
    </r>
  </si>
  <si>
    <r>
      <rPr>
        <sz val="9"/>
        <color rgb="FFDBE2EA"/>
        <rFont val="Arial"/>
        <family val="0"/>
        <charset val="1"/>
      </rPr>
      <t xml:space="preserve">04</t>
    </r>
    <r>
      <rPr>
        <sz val="9"/>
        <color rgb="FFDBE2EA"/>
        <rFont val="Noto Sans CJK SC"/>
        <family val="2"/>
      </rPr>
      <t xml:space="preserve">シート（単一</t>
    </r>
    <r>
      <rPr>
        <sz val="9"/>
        <color rgb="FFDBE2EA"/>
        <rFont val="Arial"/>
        <family val="0"/>
        <charset val="1"/>
      </rPr>
      <t xml:space="preserve">FRF</t>
    </r>
    <r>
      <rPr>
        <sz val="9"/>
        <color rgb="FFDBE2EA"/>
        <rFont val="Noto Sans CJK SC"/>
        <family val="2"/>
      </rPr>
      <t xml:space="preserve">用の簡易</t>
    </r>
    <r>
      <rPr>
        <sz val="9"/>
        <color rgb="FFDBE2EA"/>
        <rFont val="Arial"/>
        <family val="0"/>
        <charset val="1"/>
      </rPr>
      <t xml:space="preserve">MIF</t>
    </r>
    <r>
      <rPr>
        <sz val="9"/>
        <color rgb="FFDBE2EA"/>
        <rFont val="Noto Sans CJK SC"/>
        <family val="2"/>
      </rPr>
      <t xml:space="preserve">）</t>
    </r>
  </si>
  <si>
    <r>
      <rPr>
        <sz val="9"/>
        <color rgb="FFDBE2EA"/>
        <rFont val="Noto Sans CJK SC"/>
        <family val="2"/>
      </rPr>
      <t xml:space="preserve">本物の</t>
    </r>
    <r>
      <rPr>
        <sz val="9"/>
        <color rgb="FFDBE2EA"/>
        <rFont val="Arial"/>
        <family val="0"/>
        <charset val="1"/>
      </rPr>
      <t xml:space="preserve">CMIF</t>
    </r>
    <r>
      <rPr>
        <sz val="9"/>
        <color rgb="FFDBE2EA"/>
        <rFont val="Noto Sans CJK SC"/>
        <family val="2"/>
      </rPr>
      <t xml:space="preserve">は</t>
    </r>
    <r>
      <rPr>
        <sz val="9"/>
        <color rgb="FFDBE2EA"/>
        <rFont val="Arial"/>
        <family val="0"/>
        <charset val="1"/>
      </rPr>
      <t xml:space="preserve">FRF</t>
    </r>
    <r>
      <rPr>
        <sz val="9"/>
        <color rgb="FFDBE2EA"/>
        <rFont val="Noto Sans CJK SC"/>
        <family val="2"/>
      </rPr>
      <t xml:space="preserve">行列の特異値分解。複数参照が必要</t>
    </r>
  </si>
  <si>
    <t xml:space="preserve">② 固有振動数と減衰を推定</t>
  </si>
  <si>
    <r>
      <rPr>
        <sz val="9"/>
        <color rgb="FFDBE2EA"/>
        <rFont val="Arial"/>
        <family val="0"/>
        <charset val="1"/>
      </rPr>
      <t xml:space="preserve">Local </t>
    </r>
    <r>
      <rPr>
        <sz val="9"/>
        <color rgb="FFDBE2EA"/>
        <rFont val="Noto Sans CJK SC"/>
        <family val="2"/>
      </rPr>
      <t xml:space="preserve">または </t>
    </r>
    <r>
      <rPr>
        <sz val="9"/>
        <color rgb="FFDBE2EA"/>
        <rFont val="Arial"/>
        <family val="0"/>
        <charset val="1"/>
      </rPr>
      <t xml:space="preserve">Global </t>
    </r>
    <r>
      <rPr>
        <sz val="9"/>
        <color rgb="FFDBE2EA"/>
        <rFont val="Noto Sans CJK SC"/>
        <family val="2"/>
      </rPr>
      <t xml:space="preserve">の直交多項式（</t>
    </r>
    <r>
      <rPr>
        <sz val="9"/>
        <color rgb="FFDBE2EA"/>
        <rFont val="Arial"/>
        <family val="0"/>
        <charset val="1"/>
      </rPr>
      <t xml:space="preserve">Orthogonal Polynomial</t>
    </r>
    <r>
      <rPr>
        <sz val="9"/>
        <color rgb="FFDBE2EA"/>
        <rFont val="Noto Sans CJK SC"/>
        <family val="2"/>
      </rPr>
      <t xml:space="preserve">＝</t>
    </r>
    <r>
      <rPr>
        <sz val="9"/>
        <color rgb="FFDBE2EA"/>
        <rFont val="Arial"/>
        <family val="0"/>
        <charset val="1"/>
      </rPr>
      <t xml:space="preserve">RFP</t>
    </r>
    <r>
      <rPr>
        <sz val="9"/>
        <color rgb="FFDBE2EA"/>
        <rFont val="Noto Sans CJK SC"/>
        <family val="2"/>
      </rPr>
      <t xml:space="preserve">）法で全</t>
    </r>
    <r>
      <rPr>
        <sz val="9"/>
        <color rgb="FFDBE2EA"/>
        <rFont val="Arial"/>
        <family val="0"/>
        <charset val="1"/>
      </rPr>
      <t xml:space="preserve">FRF</t>
    </r>
    <r>
      <rPr>
        <sz val="9"/>
        <color rgb="FFDBE2EA"/>
        <rFont val="Noto Sans CJK SC"/>
        <family val="2"/>
      </rPr>
      <t xml:space="preserve">をまとめて曲線適合</t>
    </r>
  </si>
  <si>
    <r>
      <rPr>
        <sz val="9"/>
        <color rgb="FFDBE2EA"/>
        <rFont val="Arial"/>
        <family val="0"/>
        <charset val="1"/>
      </rPr>
      <t xml:space="preserve">06</t>
    </r>
    <r>
      <rPr>
        <sz val="9"/>
        <color rgb="FFDBE2EA"/>
        <rFont val="Noto Sans CJK SC"/>
        <family val="2"/>
      </rPr>
      <t xml:space="preserve">〜</t>
    </r>
    <r>
      <rPr>
        <sz val="9"/>
        <color rgb="FFDBE2EA"/>
        <rFont val="Arial"/>
        <family val="0"/>
        <charset val="1"/>
      </rPr>
      <t xml:space="preserve">09</t>
    </r>
    <r>
      <rPr>
        <sz val="9"/>
        <color rgb="FFDBE2EA"/>
        <rFont val="Noto Sans CJK SC"/>
        <family val="2"/>
      </rPr>
      <t xml:space="preserve">シート（</t>
    </r>
    <r>
      <rPr>
        <sz val="9"/>
        <color rgb="FFDBE2EA"/>
        <rFont val="Arial"/>
        <family val="0"/>
        <charset val="1"/>
      </rPr>
      <t xml:space="preserve">RFP</t>
    </r>
    <r>
      <rPr>
        <sz val="9"/>
        <color rgb="FFDBE2EA"/>
        <rFont val="Noto Sans CJK SC"/>
        <family val="2"/>
      </rPr>
      <t xml:space="preserve">法）</t>
    </r>
  </si>
  <si>
    <r>
      <rPr>
        <sz val="9"/>
        <color rgb="FFDBE2EA"/>
        <rFont val="Arial"/>
        <family val="0"/>
        <charset val="1"/>
      </rPr>
      <t xml:space="preserve">“Global”</t>
    </r>
    <r>
      <rPr>
        <sz val="9"/>
        <color rgb="FFDBE2EA"/>
        <rFont val="Noto Sans CJK SC"/>
        <family val="2"/>
      </rPr>
      <t xml:space="preserve">＝どの</t>
    </r>
    <r>
      <rPr>
        <sz val="9"/>
        <color rgb="FFDBE2EA"/>
        <rFont val="Arial"/>
        <family val="0"/>
        <charset val="1"/>
      </rPr>
      <t xml:space="preserve">FRF</t>
    </r>
    <r>
      <rPr>
        <sz val="9"/>
        <color rgb="FFDBE2EA"/>
        <rFont val="Noto Sans CJK SC"/>
        <family val="2"/>
      </rPr>
      <t xml:space="preserve">でも周波数・減衰は同じはず、という前提</t>
    </r>
  </si>
  <si>
    <t xml:space="preserve">③ レジデューを推定</t>
  </si>
  <si>
    <r>
      <rPr>
        <sz val="9"/>
        <color rgb="FFDBE2EA"/>
        <rFont val="Noto Sans CJK SC"/>
        <family val="2"/>
      </rPr>
      <t xml:space="preserve">①②で決めた極を固定し、各</t>
    </r>
    <r>
      <rPr>
        <sz val="9"/>
        <color rgb="FFDBE2EA"/>
        <rFont val="Arial"/>
        <family val="0"/>
        <charset val="1"/>
      </rPr>
      <t xml:space="preserve">FRF</t>
    </r>
    <r>
      <rPr>
        <sz val="9"/>
        <color rgb="FFDBE2EA"/>
        <rFont val="Noto Sans CJK SC"/>
        <family val="2"/>
      </rPr>
      <t xml:space="preserve">ごとに山の高さ（レジデュー）を求めてモード形状として保存</t>
    </r>
  </si>
  <si>
    <t xml:space="preserve">ここだけは測定点ごとに違う値になる</t>
  </si>
  <si>
    <r>
      <rPr>
        <b val="true"/>
        <sz val="9"/>
        <color rgb="FF5AD4FF"/>
        <rFont val="Noto Sans CJK SC"/>
        <family val="2"/>
      </rPr>
      <t xml:space="preserve">（付）</t>
    </r>
    <r>
      <rPr>
        <b val="true"/>
        <sz val="9"/>
        <color rgb="FF5AD4FF"/>
        <rFont val="Arial"/>
        <family val="0"/>
        <charset val="1"/>
      </rPr>
      <t xml:space="preserve">Quick Fit</t>
    </r>
  </si>
  <si>
    <t xml:space="preserve">①〜③を一括自動実行</t>
  </si>
  <si>
    <r>
      <rPr>
        <sz val="9"/>
        <color rgb="FFDBE2EA"/>
        <rFont val="Noto Sans CJK SC"/>
        <family val="2"/>
      </rPr>
      <t xml:space="preserve">このブックは </t>
    </r>
    <r>
      <rPr>
        <sz val="9"/>
        <color rgb="FFDBE2EA"/>
        <rFont val="Arial"/>
        <family val="0"/>
        <charset val="1"/>
      </rPr>
      <t xml:space="preserve">03</t>
    </r>
    <r>
      <rPr>
        <sz val="9"/>
        <color rgb="FFDBE2EA"/>
        <rFont val="Noto Sans CJK SC"/>
        <family val="2"/>
      </rPr>
      <t xml:space="preserve">に貼る→</t>
    </r>
    <r>
      <rPr>
        <sz val="9"/>
        <color rgb="FFDBE2EA"/>
        <rFont val="Arial"/>
        <family val="0"/>
        <charset val="1"/>
      </rPr>
      <t xml:space="preserve">08</t>
    </r>
    <r>
      <rPr>
        <sz val="9"/>
        <color rgb="FFDBE2EA"/>
        <rFont val="Noto Sans CJK SC"/>
        <family val="2"/>
      </rPr>
      <t xml:space="preserve">に初期値→完了 が相当</t>
    </r>
  </si>
  <si>
    <r>
      <rPr>
        <b val="true"/>
        <sz val="9"/>
        <color rgb="FF5AD4FF"/>
        <rFont val="Noto Sans CJK SC"/>
        <family val="2"/>
      </rPr>
      <t xml:space="preserve">（付）</t>
    </r>
    <r>
      <rPr>
        <b val="true"/>
        <sz val="9"/>
        <color rgb="FF5AD4FF"/>
        <rFont val="Arial"/>
        <family val="0"/>
        <charset val="1"/>
      </rPr>
      <t xml:space="preserve">Fit Function </t>
    </r>
    <r>
      <rPr>
        <b val="true"/>
        <sz val="9"/>
        <color rgb="FF5AD4FF"/>
        <rFont val="Noto Sans CJK SC"/>
        <family val="2"/>
      </rPr>
      <t xml:space="preserve">重ね描き</t>
    </r>
  </si>
  <si>
    <r>
      <rPr>
        <sz val="9"/>
        <color rgb="FFDBE2EA"/>
        <rFont val="Noto Sans CJK SC"/>
        <family val="2"/>
      </rPr>
      <t xml:space="preserve">合成</t>
    </r>
    <r>
      <rPr>
        <sz val="9"/>
        <color rgb="FFDBE2EA"/>
        <rFont val="Arial"/>
        <family val="0"/>
        <charset val="1"/>
      </rPr>
      <t xml:space="preserve">FRF</t>
    </r>
    <r>
      <rPr>
        <sz val="9"/>
        <color rgb="FFDBE2EA"/>
        <rFont val="Noto Sans CJK SC"/>
        <family val="2"/>
      </rPr>
      <t xml:space="preserve">を実測に重ねて成否を目視確認</t>
    </r>
  </si>
  <si>
    <r>
      <rPr>
        <sz val="9"/>
        <color rgb="FFDBE2EA"/>
        <rFont val="Arial"/>
        <family val="0"/>
        <charset val="1"/>
      </rPr>
      <t xml:space="preserve">11</t>
    </r>
    <r>
      <rPr>
        <sz val="9"/>
        <color rgb="FFDBE2EA"/>
        <rFont val="Noto Sans CJK SC"/>
        <family val="2"/>
      </rPr>
      <t xml:space="preserve">シート</t>
    </r>
  </si>
  <si>
    <t xml:space="preserve">ここを見ないで数字だけ信じるのが最大のミス</t>
  </si>
  <si>
    <r>
      <rPr>
        <sz val="9"/>
        <color rgb="FF9AA7B5"/>
        <rFont val="Noto Sans CJK SC"/>
        <family val="2"/>
      </rPr>
      <t xml:space="preserve">出典</t>
    </r>
    <r>
      <rPr>
        <sz val="9"/>
        <color rgb="FF9AA7B5"/>
        <rFont val="Arial"/>
        <family val="0"/>
        <charset val="1"/>
      </rPr>
      <t xml:space="preserve">URL</t>
    </r>
    <r>
      <rPr>
        <sz val="9"/>
        <color rgb="FF9AA7B5"/>
        <rFont val="Noto Sans CJK SC"/>
        <family val="2"/>
      </rPr>
      <t xml:space="preserve">：</t>
    </r>
    <r>
      <rPr>
        <sz val="9"/>
        <color rgb="FF9AA7B5"/>
        <rFont val="Arial"/>
        <family val="0"/>
        <charset val="1"/>
      </rPr>
      <t xml:space="preserve">http://appnotes.vibetech.com/AppNote13.pdf</t>
    </r>
    <r>
      <rPr>
        <sz val="9"/>
        <color rgb="FF9AA7B5"/>
        <rFont val="Noto Sans CJK SC"/>
        <family val="2"/>
      </rPr>
      <t xml:space="preserve">　（🟢</t>
    </r>
    <r>
      <rPr>
        <sz val="9"/>
        <color rgb="FF9AA7B5"/>
        <rFont val="Arial"/>
        <family val="0"/>
        <charset val="1"/>
      </rPr>
      <t xml:space="preserve">2026</t>
    </r>
    <r>
      <rPr>
        <sz val="9"/>
        <color rgb="FF9AA7B5"/>
        <rFont val="Noto Sans CJK SC"/>
        <family val="2"/>
      </rPr>
      <t xml:space="preserve">年</t>
    </r>
    <r>
      <rPr>
        <sz val="9"/>
        <color rgb="FF9AA7B5"/>
        <rFont val="Arial"/>
        <family val="0"/>
        <charset val="1"/>
      </rPr>
      <t xml:space="preserve">7</t>
    </r>
    <r>
      <rPr>
        <sz val="9"/>
        <color rgb="FF9AA7B5"/>
        <rFont val="Noto Sans CJK SC"/>
        <family val="2"/>
      </rPr>
      <t xml:space="preserve">月時点で全文確認済み）</t>
    </r>
  </si>
  <si>
    <r>
      <rPr>
        <b val="true"/>
        <sz val="11.5"/>
        <color rgb="FFFFB454"/>
        <rFont val="Arial"/>
        <family val="0"/>
        <charset val="1"/>
      </rPr>
      <t xml:space="preserve">■ ME'scope </t>
    </r>
    <r>
      <rPr>
        <b val="true"/>
        <sz val="11.5"/>
        <color rgb="FFFFB454"/>
        <rFont val="Noto Sans CJK SC"/>
        <family val="2"/>
      </rPr>
      <t xml:space="preserve">が備える曲線適合法の一覧と、このブックとの関係</t>
    </r>
  </si>
  <si>
    <r>
      <rPr>
        <b val="true"/>
        <sz val="9"/>
        <color rgb="FFFFB454"/>
        <rFont val="Arial"/>
        <family val="0"/>
        <charset val="1"/>
      </rPr>
      <t xml:space="preserve">ME'scope </t>
    </r>
    <r>
      <rPr>
        <b val="true"/>
        <sz val="9"/>
        <color rgb="FFFFB454"/>
        <rFont val="Noto Sans CJK SC"/>
        <family val="2"/>
      </rPr>
      <t xml:space="preserve">の手法名</t>
    </r>
  </si>
  <si>
    <t xml:space="preserve">中身</t>
  </si>
  <si>
    <t xml:space="preserve">このブックで再現できるか</t>
  </si>
  <si>
    <r>
      <rPr>
        <b val="true"/>
        <sz val="9"/>
        <color rgb="FF5AD4FF"/>
        <rFont val="Arial"/>
        <family val="0"/>
        <charset val="1"/>
      </rPr>
      <t xml:space="preserve">Orthogonal Polynomial</t>
    </r>
    <r>
      <rPr>
        <b val="true"/>
        <sz val="9"/>
        <color rgb="FF5AD4FF"/>
        <rFont val="Noto Sans CJK SC"/>
        <family val="2"/>
      </rPr>
      <t xml:space="preserve">（直交多項式）</t>
    </r>
  </si>
  <si>
    <r>
      <rPr>
        <sz val="9"/>
        <color rgb="FFDBE2EA"/>
        <rFont val="Arial"/>
        <family val="0"/>
        <charset val="1"/>
      </rPr>
      <t xml:space="preserve">Forsythe</t>
    </r>
    <r>
      <rPr>
        <sz val="9"/>
        <color rgb="FFDBE2EA"/>
        <rFont val="Noto Sans CJK SC"/>
        <family val="2"/>
      </rPr>
      <t xml:space="preserve">直交多項式を使った</t>
    </r>
    <r>
      <rPr>
        <sz val="9"/>
        <color rgb="FFDBE2EA"/>
        <rFont val="Arial"/>
        <family val="0"/>
        <charset val="1"/>
      </rPr>
      <t xml:space="preserve">RFP</t>
    </r>
    <r>
      <rPr>
        <sz val="9"/>
        <color rgb="FFDBE2EA"/>
        <rFont val="Noto Sans CJK SC"/>
        <family val="2"/>
      </rPr>
      <t xml:space="preserve">法。</t>
    </r>
    <r>
      <rPr>
        <sz val="9"/>
        <color rgb="FFDBE2EA"/>
        <rFont val="Arial"/>
        <family val="0"/>
        <charset val="1"/>
      </rPr>
      <t xml:space="preserve">Local</t>
    </r>
    <r>
      <rPr>
        <sz val="9"/>
        <color rgb="FFDBE2EA"/>
        <rFont val="Noto Sans CJK SC"/>
        <family val="2"/>
      </rPr>
      <t xml:space="preserve">版と</t>
    </r>
    <r>
      <rPr>
        <sz val="9"/>
        <color rgb="FFDBE2EA"/>
        <rFont val="Arial"/>
        <family val="0"/>
        <charset val="1"/>
      </rPr>
      <t xml:space="preserve">Global</t>
    </r>
    <r>
      <rPr>
        <sz val="9"/>
        <color rgb="FFDBE2EA"/>
        <rFont val="Noto Sans CJK SC"/>
        <family val="2"/>
      </rPr>
      <t xml:space="preserve">版がある</t>
    </r>
  </si>
  <si>
    <r>
      <rPr>
        <sz val="9"/>
        <color rgb="FFDBE2EA"/>
        <rFont val="Noto Sans CJK SC"/>
        <family val="2"/>
      </rPr>
      <t xml:space="preserve">△ 数学的な中身は同じ</t>
    </r>
    <r>
      <rPr>
        <sz val="9"/>
        <color rgb="FFDBE2EA"/>
        <rFont val="Arial"/>
        <family val="0"/>
        <charset val="1"/>
      </rPr>
      <t xml:space="preserve">RFP</t>
    </r>
    <r>
      <rPr>
        <sz val="9"/>
        <color rgb="FFDBE2EA"/>
        <rFont val="Noto Sans CJK SC"/>
        <family val="2"/>
      </rPr>
      <t xml:space="preserve">法を実装。ただし直交多項式化はしていない（正規化とリッジで代用）</t>
    </r>
  </si>
  <si>
    <r>
      <rPr>
        <sz val="9"/>
        <color rgb="FFDBE2EA"/>
        <rFont val="Arial"/>
        <family val="0"/>
        <charset val="1"/>
      </rPr>
      <t xml:space="preserve">🟢Richardson &amp; Formenti (1982) </t>
    </r>
    <r>
      <rPr>
        <sz val="9"/>
        <color rgb="FFDBE2EA"/>
        <rFont val="Noto Sans CJK SC"/>
        <family val="2"/>
      </rPr>
      <t xml:space="preserve">が原典</t>
    </r>
  </si>
  <si>
    <r>
      <rPr>
        <b val="true"/>
        <sz val="9"/>
        <color rgb="FF5AD4FF"/>
        <rFont val="Arial"/>
        <family val="0"/>
        <charset val="1"/>
      </rPr>
      <t xml:space="preserve">Peak Cursor</t>
    </r>
    <r>
      <rPr>
        <b val="true"/>
        <sz val="9"/>
        <color rgb="FF5AD4FF"/>
        <rFont val="Noto Sans CJK SC"/>
        <family val="2"/>
      </rPr>
      <t xml:space="preserve">（</t>
    </r>
    <r>
      <rPr>
        <b val="true"/>
        <sz val="9"/>
        <color rgb="FF5AD4FF"/>
        <rFont val="Arial"/>
        <family val="0"/>
        <charset val="1"/>
      </rPr>
      <t xml:space="preserve">SDOF</t>
    </r>
    <r>
      <rPr>
        <b val="true"/>
        <sz val="9"/>
        <color rgb="FF5AD4FF"/>
        <rFont val="Noto Sans CJK SC"/>
        <family val="2"/>
      </rPr>
      <t xml:space="preserve">）</t>
    </r>
  </si>
  <si>
    <t xml:space="preserve">カーソルで山の頂点を拾うだけ</t>
  </si>
  <si>
    <r>
      <rPr>
        <sz val="9"/>
        <color rgb="FFDBE2EA"/>
        <rFont val="Arial"/>
        <family val="0"/>
        <charset val="1"/>
      </rPr>
      <t xml:space="preserve">○ 05</t>
    </r>
    <r>
      <rPr>
        <sz val="9"/>
        <color rgb="FFDBE2EA"/>
        <rFont val="Noto Sans CJK SC"/>
        <family val="2"/>
      </rPr>
      <t xml:space="preserve">シートの半値幅法が相当</t>
    </r>
  </si>
  <si>
    <t xml:space="preserve">孤立モード専用</t>
  </si>
  <si>
    <t xml:space="preserve">Z-Polynomial</t>
  </si>
  <si>
    <r>
      <rPr>
        <sz val="9"/>
        <color rgb="FFDBE2EA"/>
        <rFont val="Noto Sans CJK SC"/>
        <family val="2"/>
      </rPr>
      <t xml:space="preserve">離散時間（</t>
    </r>
    <r>
      <rPr>
        <sz val="9"/>
        <color rgb="FFDBE2EA"/>
        <rFont val="Arial"/>
        <family val="0"/>
        <charset val="1"/>
      </rPr>
      <t xml:space="preserve">z</t>
    </r>
    <r>
      <rPr>
        <sz val="9"/>
        <color rgb="FFDBE2EA"/>
        <rFont val="Noto Sans CJK SC"/>
        <family val="2"/>
      </rPr>
      <t xml:space="preserve">領域）で多項式適合</t>
    </r>
  </si>
  <si>
    <r>
      <rPr>
        <sz val="9"/>
        <color rgb="FFDBE2EA"/>
        <rFont val="Arial"/>
        <family val="0"/>
        <charset val="1"/>
      </rPr>
      <t xml:space="preserve">× Excel</t>
    </r>
    <r>
      <rPr>
        <sz val="9"/>
        <color rgb="FFDBE2EA"/>
        <rFont val="Noto Sans CJK SC"/>
        <family val="2"/>
      </rPr>
      <t xml:space="preserve">不可</t>
    </r>
  </si>
  <si>
    <t xml:space="preserve">安定化線図とセットで使う</t>
  </si>
  <si>
    <t xml:space="preserve">Complex Exponential</t>
  </si>
  <si>
    <t xml:space="preserve">時間領域（インパルス応答）で指数関数の和に適合</t>
  </si>
  <si>
    <r>
      <rPr>
        <sz val="9"/>
        <color rgb="FFDBE2EA"/>
        <rFont val="Arial"/>
        <family val="0"/>
        <charset val="1"/>
      </rPr>
      <t xml:space="preserve">Prony</t>
    </r>
    <r>
      <rPr>
        <sz val="9"/>
        <color rgb="FFDBE2EA"/>
        <rFont val="Noto Sans CJK SC"/>
        <family val="2"/>
      </rPr>
      <t xml:space="preserve">法系。多モードに強い</t>
    </r>
  </si>
  <si>
    <r>
      <rPr>
        <b val="true"/>
        <sz val="9"/>
        <color rgb="FF5AD4FF"/>
        <rFont val="Arial"/>
        <family val="0"/>
        <charset val="1"/>
      </rPr>
      <t xml:space="preserve">AF Polynomial</t>
    </r>
    <r>
      <rPr>
        <b val="true"/>
        <sz val="9"/>
        <color rgb="FF5AD4FF"/>
        <rFont val="Noto Sans CJK SC"/>
        <family val="2"/>
      </rPr>
      <t xml:space="preserve">（</t>
    </r>
    <r>
      <rPr>
        <b val="true"/>
        <sz val="9"/>
        <color rgb="FF5AD4FF"/>
        <rFont val="Arial"/>
        <family val="0"/>
        <charset val="1"/>
      </rPr>
      <t xml:space="preserve">Alias-Free</t>
    </r>
    <r>
      <rPr>
        <b val="true"/>
        <sz val="9"/>
        <color rgb="FF5AD4FF"/>
        <rFont val="Noto Sans CJK SC"/>
        <family val="2"/>
      </rPr>
      <t xml:space="preserve">）</t>
    </r>
  </si>
  <si>
    <t xml:space="preserve">エイリアス影響を除いた多項式法</t>
  </si>
  <si>
    <r>
      <rPr>
        <b val="true"/>
        <sz val="9"/>
        <color rgb="FF5AD4FF"/>
        <rFont val="Arial"/>
        <family val="0"/>
        <charset val="1"/>
      </rPr>
      <t xml:space="preserve">Multi-Reference</t>
    </r>
    <r>
      <rPr>
        <b val="true"/>
        <sz val="9"/>
        <color rgb="FF5AD4FF"/>
        <rFont val="Noto Sans CJK SC"/>
        <family val="2"/>
      </rPr>
      <t xml:space="preserve">（多参照）</t>
    </r>
  </si>
  <si>
    <r>
      <rPr>
        <sz val="9"/>
        <color rgb="FFDBE2EA"/>
        <rFont val="Noto Sans CJK SC"/>
        <family val="2"/>
      </rPr>
      <t xml:space="preserve">複数の加振点</t>
    </r>
    <r>
      <rPr>
        <sz val="9"/>
        <color rgb="FFDBE2EA"/>
        <rFont val="Arial"/>
        <family val="0"/>
        <charset val="1"/>
      </rPr>
      <t xml:space="preserve">/</t>
    </r>
    <r>
      <rPr>
        <sz val="9"/>
        <color rgb="FFDBE2EA"/>
        <rFont val="Noto Sans CJK SC"/>
        <family val="2"/>
      </rPr>
      <t xml:space="preserve">応答点をまとめて</t>
    </r>
    <r>
      <rPr>
        <sz val="9"/>
        <color rgb="FFDBE2EA"/>
        <rFont val="Arial"/>
        <family val="0"/>
        <charset val="1"/>
      </rPr>
      <t xml:space="preserve">1</t>
    </r>
    <r>
      <rPr>
        <sz val="9"/>
        <color rgb="FFDBE2EA"/>
        <rFont val="Noto Sans CJK SC"/>
        <family val="2"/>
      </rPr>
      <t xml:space="preserve">つの分母で解く</t>
    </r>
  </si>
  <si>
    <t xml:space="preserve">△ 原理的には分母共通・分子別で拡張可（下の説明参照）</t>
  </si>
  <si>
    <r>
      <rPr>
        <sz val="9"/>
        <color rgb="FFDBE2EA"/>
        <rFont val="Noto Sans CJK SC"/>
        <family val="2"/>
      </rPr>
      <t xml:space="preserve">本物の</t>
    </r>
    <r>
      <rPr>
        <sz val="9"/>
        <color rgb="FFDBE2EA"/>
        <rFont val="Arial"/>
        <family val="0"/>
        <charset val="1"/>
      </rPr>
      <t xml:space="preserve">PolyMAX</t>
    </r>
    <r>
      <rPr>
        <sz val="9"/>
        <color rgb="FFDBE2EA"/>
        <rFont val="Noto Sans CJK SC"/>
        <family val="2"/>
      </rPr>
      <t xml:space="preserve">相当は行列多項式の固有値分解が必要で</t>
    </r>
    <r>
      <rPr>
        <sz val="9"/>
        <color rgb="FFDBE2EA"/>
        <rFont val="Arial"/>
        <family val="0"/>
        <charset val="1"/>
      </rPr>
      <t xml:space="preserve">Excel</t>
    </r>
    <r>
      <rPr>
        <sz val="9"/>
        <color rgb="FFDBE2EA"/>
        <rFont val="Noto Sans CJK SC"/>
        <family val="2"/>
      </rPr>
      <t xml:space="preserve">不可 🔴</t>
    </r>
  </si>
  <si>
    <t xml:space="preserve">CMIF / MMIF</t>
  </si>
  <si>
    <r>
      <rPr>
        <sz val="9"/>
        <color rgb="FFDBE2EA"/>
        <rFont val="Arial"/>
        <family val="0"/>
        <charset val="1"/>
      </rPr>
      <t xml:space="preserve">FRF</t>
    </r>
    <r>
      <rPr>
        <sz val="9"/>
        <color rgb="FFDBE2EA"/>
        <rFont val="Noto Sans CJK SC"/>
        <family val="2"/>
      </rPr>
      <t xml:space="preserve">行列の特異値分解でモードを数える</t>
    </r>
  </si>
  <si>
    <r>
      <rPr>
        <sz val="9"/>
        <color rgb="FFDBE2EA"/>
        <rFont val="Arial"/>
        <family val="0"/>
        <charset val="1"/>
      </rPr>
      <t xml:space="preserve">× Excel</t>
    </r>
    <r>
      <rPr>
        <sz val="9"/>
        <color rgb="FFDBE2EA"/>
        <rFont val="Noto Sans CJK SC"/>
        <family val="2"/>
      </rPr>
      <t xml:space="preserve">不可（特異値分解の組込関数が無い）</t>
    </r>
  </si>
  <si>
    <t xml:space="preserve">縮退モードの本数を確実に数える決定打</t>
  </si>
  <si>
    <r>
      <rPr>
        <b val="true"/>
        <sz val="9"/>
        <color rgb="FF5AD4FF"/>
        <rFont val="Arial"/>
        <family val="0"/>
        <charset val="1"/>
      </rPr>
      <t xml:space="preserve">Stability Diagram</t>
    </r>
    <r>
      <rPr>
        <b val="true"/>
        <sz val="9"/>
        <color rgb="FF5AD4FF"/>
        <rFont val="Noto Sans CJK SC"/>
        <family val="2"/>
      </rPr>
      <t xml:space="preserve">（安定化線図）</t>
    </r>
  </si>
  <si>
    <r>
      <rPr>
        <sz val="9"/>
        <color rgb="FFDBE2EA"/>
        <rFont val="Noto Sans CJK SC"/>
        <family val="2"/>
      </rPr>
      <t xml:space="preserve">モデル次数を</t>
    </r>
    <r>
      <rPr>
        <sz val="9"/>
        <color rgb="FFDBE2EA"/>
        <rFont val="Arial"/>
        <family val="0"/>
        <charset val="1"/>
      </rPr>
      <t xml:space="preserve">1</t>
    </r>
    <r>
      <rPr>
        <sz val="9"/>
        <color rgb="FFDBE2EA"/>
        <rFont val="Noto Sans CJK SC"/>
        <family val="2"/>
      </rPr>
      <t xml:space="preserve">〜</t>
    </r>
    <r>
      <rPr>
        <sz val="9"/>
        <color rgb="FFDBE2EA"/>
        <rFont val="Arial"/>
        <family val="0"/>
        <charset val="1"/>
      </rPr>
      <t xml:space="preserve">N</t>
    </r>
    <r>
      <rPr>
        <sz val="9"/>
        <color rgb="FFDBE2EA"/>
        <rFont val="Noto Sans CJK SC"/>
        <family val="2"/>
      </rPr>
      <t xml:space="preserve">まで変えて、動かない極だけを本物と判定</t>
    </r>
  </si>
  <si>
    <r>
      <rPr>
        <sz val="9"/>
        <color rgb="FFDBE2EA"/>
        <rFont val="Arial"/>
        <family val="0"/>
        <charset val="1"/>
      </rPr>
      <t xml:space="preserve">× </t>
    </r>
    <r>
      <rPr>
        <sz val="9"/>
        <color rgb="FFDBE2EA"/>
        <rFont val="Noto Sans CJK SC"/>
        <family val="2"/>
      </rPr>
      <t xml:space="preserve">手作業なら可（</t>
    </r>
    <r>
      <rPr>
        <sz val="9"/>
        <color rgb="FFDBE2EA"/>
        <rFont val="Arial"/>
        <family val="0"/>
        <charset val="1"/>
      </rPr>
      <t xml:space="preserve">08</t>
    </r>
    <r>
      <rPr>
        <sz val="9"/>
        <color rgb="FFDBE2EA"/>
        <rFont val="Noto Sans CJK SC"/>
        <family val="2"/>
      </rPr>
      <t xml:space="preserve">シートの次数を変えて比較）</t>
    </r>
  </si>
  <si>
    <t xml:space="preserve">次数依存性の確認に有効</t>
  </si>
  <si>
    <r>
      <rPr>
        <b val="true"/>
        <sz val="11.5"/>
        <color rgb="FFFFB454"/>
        <rFont val="Noto Sans CJK SC"/>
        <family val="2"/>
      </rPr>
      <t xml:space="preserve">■ 多参照（疑似</t>
    </r>
    <r>
      <rPr>
        <b val="true"/>
        <sz val="11.5"/>
        <color rgb="FFFFB454"/>
        <rFont val="Arial"/>
        <family val="0"/>
        <charset val="1"/>
      </rPr>
      <t xml:space="preserve">MIMO</t>
    </r>
    <r>
      <rPr>
        <b val="true"/>
        <sz val="11.5"/>
        <color rgb="FFFFB454"/>
        <rFont val="Noto Sans CJK SC"/>
        <family val="2"/>
      </rPr>
      <t xml:space="preserve">）へ広げる方法</t>
    </r>
  </si>
  <si>
    <r>
      <rPr>
        <sz val="9.5"/>
        <color rgb="FFDBE2EA"/>
        <rFont val="Noto Sans CJK SC"/>
        <family val="2"/>
      </rPr>
      <t xml:space="preserve">・ハンマーで角①と角②の</t>
    </r>
    <r>
      <rPr>
        <sz val="9.5"/>
        <color rgb="FFDBE2EA"/>
        <rFont val="Arial"/>
        <family val="0"/>
        <charset val="1"/>
      </rPr>
      <t xml:space="preserve">2</t>
    </r>
    <r>
      <rPr>
        <sz val="9.5"/>
        <color rgb="FFDBE2EA"/>
        <rFont val="Noto Sans CJK SC"/>
        <family val="2"/>
      </rPr>
      <t xml:space="preserve">箇所を順番に叩き、応答は同じ</t>
    </r>
    <r>
      <rPr>
        <sz val="9.5"/>
        <color rgb="FFDBE2EA"/>
        <rFont val="Arial"/>
        <family val="0"/>
        <charset val="1"/>
      </rPr>
      <t xml:space="preserve">1</t>
    </r>
    <r>
      <rPr>
        <sz val="9.5"/>
        <color rgb="FFDBE2EA"/>
        <rFont val="Noto Sans CJK SC"/>
        <family val="2"/>
      </rPr>
      <t xml:space="preserve">点で固定して測ります。相反性（</t>
    </r>
    <r>
      <rPr>
        <sz val="9.5"/>
        <color rgb="FFDBE2EA"/>
        <rFont val="Arial"/>
        <family val="0"/>
        <charset val="1"/>
      </rPr>
      <t xml:space="preserve">H_ij = H_ji</t>
    </r>
    <r>
      <rPr>
        <sz val="9.5"/>
        <color rgb="FFDBE2EA"/>
        <rFont val="Noto Sans CJK SC"/>
        <family val="2"/>
      </rPr>
      <t xml:space="preserve">）により、実質</t>
    </r>
    <r>
      <rPr>
        <sz val="9.5"/>
        <color rgb="FFDBE2EA"/>
        <rFont val="Arial"/>
        <family val="0"/>
        <charset val="1"/>
      </rPr>
      <t xml:space="preserve">2</t>
    </r>
    <r>
      <rPr>
        <sz val="9.5"/>
        <color rgb="FFDBE2EA"/>
        <rFont val="Noto Sans CJK SC"/>
        <family val="2"/>
      </rPr>
      <t xml:space="preserve">参照のデータセットになります。シェーカー</t>
    </r>
    <r>
      <rPr>
        <sz val="9.5"/>
        <color rgb="FFDBE2EA"/>
        <rFont val="Arial"/>
        <family val="0"/>
        <charset val="1"/>
      </rPr>
      <t xml:space="preserve">2</t>
    </r>
    <r>
      <rPr>
        <sz val="9.5"/>
        <color rgb="FFDBE2EA"/>
        <rFont val="Noto Sans CJK SC"/>
        <family val="2"/>
      </rPr>
      <t xml:space="preserve">台は不要です。</t>
    </r>
  </si>
  <si>
    <r>
      <rPr>
        <sz val="9.5"/>
        <color rgb="FFDBE2EA"/>
        <rFont val="Noto Sans CJK SC"/>
        <family val="2"/>
      </rPr>
      <t xml:space="preserve">・</t>
    </r>
    <r>
      <rPr>
        <sz val="9.5"/>
        <color rgb="FFDBE2EA"/>
        <rFont val="Arial"/>
        <family val="0"/>
        <charset val="1"/>
      </rPr>
      <t xml:space="preserve">Excel</t>
    </r>
    <r>
      <rPr>
        <sz val="9.5"/>
        <color rgb="FFDBE2EA"/>
        <rFont val="Noto Sans CJK SC"/>
        <family val="2"/>
      </rPr>
      <t xml:space="preserve">上の拡張：分母 </t>
    </r>
    <r>
      <rPr>
        <sz val="9.5"/>
        <color rgb="FFDBE2EA"/>
        <rFont val="Arial"/>
        <family val="0"/>
        <charset val="1"/>
      </rPr>
      <t xml:space="preserve">a0</t>
    </r>
    <r>
      <rPr>
        <sz val="9.5"/>
        <color rgb="FFDBE2EA"/>
        <rFont val="Noto Sans CJK SC"/>
        <family val="2"/>
      </rPr>
      <t xml:space="preserve">〜</t>
    </r>
    <r>
      <rPr>
        <sz val="9.5"/>
        <color rgb="FFDBE2EA"/>
        <rFont val="Arial"/>
        <family val="0"/>
        <charset val="1"/>
      </rPr>
      <t xml:space="preserve">a3 </t>
    </r>
    <r>
      <rPr>
        <sz val="9.5"/>
        <color rgb="FFDBE2EA"/>
        <rFont val="Noto Sans CJK SC"/>
        <family val="2"/>
      </rPr>
      <t xml:space="preserve">は</t>
    </r>
    <r>
      <rPr>
        <sz val="9.5"/>
        <color rgb="FFDBE2EA"/>
        <rFont val="Arial"/>
        <family val="0"/>
        <charset val="1"/>
      </rPr>
      <t xml:space="preserve">2</t>
    </r>
    <r>
      <rPr>
        <sz val="9.5"/>
        <color rgb="FFDBE2EA"/>
        <rFont val="Noto Sans CJK SC"/>
        <family val="2"/>
      </rPr>
      <t xml:space="preserve">組で共通のまま。分子 </t>
    </r>
    <r>
      <rPr>
        <sz val="9.5"/>
        <color rgb="FFDBE2EA"/>
        <rFont val="Arial"/>
        <family val="0"/>
        <charset val="1"/>
      </rPr>
      <t xml:space="preserve">b0</t>
    </r>
    <r>
      <rPr>
        <sz val="9.5"/>
        <color rgb="FFDBE2EA"/>
        <rFont val="Noto Sans CJK SC"/>
        <family val="2"/>
      </rPr>
      <t xml:space="preserve">〜</t>
    </r>
    <r>
      <rPr>
        <sz val="9.5"/>
        <color rgb="FFDBE2EA"/>
        <rFont val="Arial"/>
        <family val="0"/>
        <charset val="1"/>
      </rPr>
      <t xml:space="preserve">b3 </t>
    </r>
    <r>
      <rPr>
        <sz val="9.5"/>
        <color rgb="FFDBE2EA"/>
        <rFont val="Noto Sans CJK SC"/>
        <family val="2"/>
      </rPr>
      <t xml:space="preserve">を参照ごとに別に用意します（</t>
    </r>
    <r>
      <rPr>
        <sz val="9.5"/>
        <color rgb="FFDBE2EA"/>
        <rFont val="Arial"/>
        <family val="0"/>
        <charset val="1"/>
      </rPr>
      <t xml:space="preserve">b0'</t>
    </r>
    <r>
      <rPr>
        <sz val="9.5"/>
        <color rgb="FFDBE2EA"/>
        <rFont val="Noto Sans CJK SC"/>
        <family val="2"/>
      </rPr>
      <t xml:space="preserve">〜</t>
    </r>
    <r>
      <rPr>
        <sz val="9.5"/>
        <color rgb="FFDBE2EA"/>
        <rFont val="Arial"/>
        <family val="0"/>
        <charset val="1"/>
      </rPr>
      <t xml:space="preserve">b3'</t>
    </r>
    <r>
      <rPr>
        <sz val="9.5"/>
        <color rgb="FFDBE2EA"/>
        <rFont val="Noto Sans CJK SC"/>
        <family val="2"/>
      </rPr>
      <t xml:space="preserve">を追加）。</t>
    </r>
  </si>
  <si>
    <r>
      <rPr>
        <sz val="9.5"/>
        <color rgb="FFDBE2EA"/>
        <rFont val="Noto Sans CJK SC"/>
        <family val="2"/>
      </rPr>
      <t xml:space="preserve">・設計行列の列数は </t>
    </r>
    <r>
      <rPr>
        <sz val="9.5"/>
        <color rgb="FFDBE2EA"/>
        <rFont val="Arial"/>
        <family val="0"/>
        <charset val="1"/>
      </rPr>
      <t xml:space="preserve">4(</t>
    </r>
    <r>
      <rPr>
        <sz val="9.5"/>
        <color rgb="FFDBE2EA"/>
        <rFont val="Noto Sans CJK SC"/>
        <family val="2"/>
      </rPr>
      <t xml:space="preserve">参照</t>
    </r>
    <r>
      <rPr>
        <sz val="9.5"/>
        <color rgb="FFDBE2EA"/>
        <rFont val="Arial"/>
        <family val="0"/>
        <charset val="1"/>
      </rPr>
      <t xml:space="preserve">1</t>
    </r>
    <r>
      <rPr>
        <sz val="9.5"/>
        <color rgb="FFDBE2EA"/>
        <rFont val="Noto Sans CJK SC"/>
        <family val="2"/>
      </rPr>
      <t xml:space="preserve">の</t>
    </r>
    <r>
      <rPr>
        <sz val="9.5"/>
        <color rgb="FFDBE2EA"/>
        <rFont val="Arial"/>
        <family val="0"/>
        <charset val="1"/>
      </rPr>
      <t xml:space="preserve">b) + 4(</t>
    </r>
    <r>
      <rPr>
        <sz val="9.5"/>
        <color rgb="FFDBE2EA"/>
        <rFont val="Noto Sans CJK SC"/>
        <family val="2"/>
      </rPr>
      <t xml:space="preserve">参照</t>
    </r>
    <r>
      <rPr>
        <sz val="9.5"/>
        <color rgb="FFDBE2EA"/>
        <rFont val="Arial"/>
        <family val="0"/>
        <charset val="1"/>
      </rPr>
      <t xml:space="preserve">2</t>
    </r>
    <r>
      <rPr>
        <sz val="9.5"/>
        <color rgb="FFDBE2EA"/>
        <rFont val="Noto Sans CJK SC"/>
        <family val="2"/>
      </rPr>
      <t xml:space="preserve">の</t>
    </r>
    <r>
      <rPr>
        <sz val="9.5"/>
        <color rgb="FFDBE2EA"/>
        <rFont val="Arial"/>
        <family val="0"/>
        <charset val="1"/>
      </rPr>
      <t xml:space="preserve">b) + 4(</t>
    </r>
    <r>
      <rPr>
        <sz val="9.5"/>
        <color rgb="FFDBE2EA"/>
        <rFont val="Noto Sans CJK SC"/>
        <family val="2"/>
      </rPr>
      <t xml:space="preserve">共通の</t>
    </r>
    <r>
      <rPr>
        <sz val="9.5"/>
        <color rgb="FFDBE2EA"/>
        <rFont val="Arial"/>
        <family val="0"/>
        <charset val="1"/>
      </rPr>
      <t xml:space="preserve">a) = 12</t>
    </r>
    <r>
      <rPr>
        <sz val="9.5"/>
        <color rgb="FFDBE2EA"/>
        <rFont val="Noto Sans CJK SC"/>
        <family val="2"/>
      </rPr>
      <t xml:space="preserve">列。行数は 点数</t>
    </r>
    <r>
      <rPr>
        <sz val="9.5"/>
        <color rgb="FFDBE2EA"/>
        <rFont val="Arial"/>
        <family val="0"/>
        <charset val="1"/>
      </rPr>
      <t xml:space="preserve">×2×2 </t>
    </r>
    <r>
      <rPr>
        <sz val="9.5"/>
        <color rgb="FFDBE2EA"/>
        <rFont val="Noto Sans CJK SC"/>
        <family val="2"/>
      </rPr>
      <t xml:space="preserve">になります。</t>
    </r>
  </si>
  <si>
    <r>
      <rPr>
        <sz val="9.5"/>
        <color rgb="FFDBE2EA"/>
        <rFont val="Noto Sans CJK SC"/>
        <family val="2"/>
      </rPr>
      <t xml:space="preserve">・</t>
    </r>
    <r>
      <rPr>
        <sz val="9.5"/>
        <color rgb="FFDBE2EA"/>
        <rFont val="Arial"/>
        <family val="0"/>
        <charset val="1"/>
      </rPr>
      <t xml:space="preserve">06</t>
    </r>
    <r>
      <rPr>
        <sz val="9.5"/>
        <color rgb="FFDBE2EA"/>
        <rFont val="Noto Sans CJK SC"/>
        <family val="2"/>
      </rPr>
      <t xml:space="preserve">シートの右側に同じ形で列を足し、</t>
    </r>
    <r>
      <rPr>
        <sz val="9.5"/>
        <color rgb="FFDBE2EA"/>
        <rFont val="Arial"/>
        <family val="0"/>
        <charset val="1"/>
      </rPr>
      <t xml:space="preserve">07</t>
    </r>
    <r>
      <rPr>
        <sz val="9.5"/>
        <color rgb="FFDBE2EA"/>
        <rFont val="Noto Sans CJK SC"/>
        <family val="2"/>
      </rPr>
      <t xml:space="preserve">シートの行列サイズを</t>
    </r>
    <r>
      <rPr>
        <sz val="9.5"/>
        <color rgb="FFDBE2EA"/>
        <rFont val="Arial"/>
        <family val="0"/>
        <charset val="1"/>
      </rPr>
      <t xml:space="preserve">12×12</t>
    </r>
    <r>
      <rPr>
        <sz val="9.5"/>
        <color rgb="FFDBE2EA"/>
        <rFont val="Noto Sans CJK SC"/>
        <family val="2"/>
      </rPr>
      <t xml:space="preserve">に広げれば成立します（</t>
    </r>
    <r>
      <rPr>
        <sz val="9.5"/>
        <color rgb="FFDBE2EA"/>
        <rFont val="Arial"/>
        <family val="0"/>
        <charset val="1"/>
      </rPr>
      <t xml:space="preserve">08</t>
    </r>
    <r>
      <rPr>
        <sz val="9.5"/>
        <color rgb="FFDBE2EA"/>
        <rFont val="Noto Sans CJK SC"/>
        <family val="2"/>
      </rPr>
      <t xml:space="preserve">シート以降は変更不要）。</t>
    </r>
  </si>
  <si>
    <r>
      <rPr>
        <sz val="9.5"/>
        <color rgb="FFFF7A7A"/>
        <rFont val="Noto Sans CJK SC"/>
        <family val="2"/>
      </rPr>
      <t xml:space="preserve">🔴 正直な限界：参照</t>
    </r>
    <r>
      <rPr>
        <sz val="9.5"/>
        <color rgb="FFFF7A7A"/>
        <rFont val="Arial"/>
        <family val="0"/>
        <charset val="1"/>
      </rPr>
      <t xml:space="preserve">3</t>
    </r>
    <r>
      <rPr>
        <sz val="9.5"/>
        <color rgb="FFFF7A7A"/>
        <rFont val="Noto Sans CJK SC"/>
        <family val="2"/>
      </rPr>
      <t xml:space="preserve">点以上・モード</t>
    </r>
    <r>
      <rPr>
        <sz val="9.5"/>
        <color rgb="FFFF7A7A"/>
        <rFont val="Arial"/>
        <family val="0"/>
        <charset val="1"/>
      </rPr>
      <t xml:space="preserve">3</t>
    </r>
    <r>
      <rPr>
        <sz val="9.5"/>
        <color rgb="FFFF7A7A"/>
        <rFont val="Noto Sans CJK SC"/>
        <family val="2"/>
      </rPr>
      <t xml:space="preserve">本以上になると行列が急に大きくなり、</t>
    </r>
    <r>
      <rPr>
        <sz val="9.5"/>
        <color rgb="FFFF7A7A"/>
        <rFont val="Arial"/>
        <family val="0"/>
        <charset val="1"/>
      </rPr>
      <t xml:space="preserve">Excel</t>
    </r>
    <r>
      <rPr>
        <sz val="9.5"/>
        <color rgb="FFFF7A7A"/>
        <rFont val="Noto Sans CJK SC"/>
        <family val="2"/>
      </rPr>
      <t xml:space="preserve">では非効率です。</t>
    </r>
    <r>
      <rPr>
        <sz val="9.5"/>
        <color rgb="FFFF7A7A"/>
        <rFont val="Arial"/>
        <family val="0"/>
        <charset val="1"/>
      </rPr>
      <t xml:space="preserve">Python</t>
    </r>
    <r>
      <rPr>
        <sz val="9.5"/>
        <color rgb="FFFF7A7A"/>
        <rFont val="Noto Sans CJK SC"/>
        <family val="2"/>
      </rPr>
      <t xml:space="preserve">（</t>
    </r>
    <r>
      <rPr>
        <sz val="9.5"/>
        <color rgb="FFFF7A7A"/>
        <rFont val="Arial"/>
        <family val="0"/>
        <charset val="1"/>
      </rPr>
      <t xml:space="preserve">numpy/scipy</t>
    </r>
    <r>
      <rPr>
        <sz val="9.5"/>
        <color rgb="FFFF7A7A"/>
        <rFont val="Noto Sans CJK SC"/>
        <family val="2"/>
      </rPr>
      <t xml:space="preserve">）へ移行してください。</t>
    </r>
  </si>
  <si>
    <t xml:space="preserve">⑬ カーブフィット手法の特徴・利点・欠点・注意点</t>
  </si>
  <si>
    <t xml:space="preserve">プロとして使い分けるための一覧。『どれが偉いか』ではなく『いつどれを使うか』です。</t>
  </si>
  <si>
    <t xml:space="preserve">手法</t>
  </si>
  <si>
    <t xml:space="preserve">仕組み（たとえ話つき）</t>
  </si>
  <si>
    <t xml:space="preserve">利点</t>
  </si>
  <si>
    <t xml:space="preserve">欠点・限界</t>
  </si>
  <si>
    <t xml:space="preserve">使うべき場面／注意点</t>
  </si>
  <si>
    <r>
      <rPr>
        <b val="true"/>
        <sz val="9"/>
        <color rgb="FF5AD4FF"/>
        <rFont val="Noto Sans CJK SC"/>
        <family val="2"/>
      </rPr>
      <t xml:space="preserve">半値幅法
（</t>
    </r>
    <r>
      <rPr>
        <b val="true"/>
        <sz val="9"/>
        <color rgb="FF5AD4FF"/>
        <rFont val="Arial"/>
        <family val="0"/>
        <charset val="1"/>
      </rPr>
      <t xml:space="preserve">3dB</t>
    </r>
    <r>
      <rPr>
        <b val="true"/>
        <sz val="9"/>
        <color rgb="FF5AD4FF"/>
        <rFont val="Noto Sans CJK SC"/>
        <family val="2"/>
      </rPr>
      <t xml:space="preserve">法）</t>
    </r>
  </si>
  <si>
    <r>
      <rPr>
        <sz val="9"/>
        <color rgb="FFDBE2EA"/>
        <rFont val="Noto Sans CJK SC"/>
        <family val="2"/>
      </rPr>
      <t xml:space="preserve">山の高さの</t>
    </r>
    <r>
      <rPr>
        <sz val="9"/>
        <color rgb="FFDBE2EA"/>
        <rFont val="Arial"/>
        <family val="0"/>
        <charset val="1"/>
      </rPr>
      <t xml:space="preserve">70.7%</t>
    </r>
    <r>
      <rPr>
        <sz val="9"/>
        <color rgb="FFDBE2EA"/>
        <rFont val="Noto Sans CJK SC"/>
        <family val="2"/>
      </rPr>
      <t xml:space="preserve">のところで幅を測るだけ。定規で山幅を測るイメージ</t>
    </r>
  </si>
  <si>
    <r>
      <rPr>
        <sz val="9"/>
        <color rgb="FFDBE2EA"/>
        <rFont val="Noto Sans CJK SC"/>
        <family val="2"/>
      </rPr>
      <t xml:space="preserve">・計算が一瞬
・原理が明快で説明しやすい
・</t>
    </r>
    <r>
      <rPr>
        <sz val="9"/>
        <color rgb="FFDBE2EA"/>
        <rFont val="Arial"/>
        <family val="0"/>
        <charset val="1"/>
      </rPr>
      <t xml:space="preserve">Excel</t>
    </r>
    <r>
      <rPr>
        <sz val="9"/>
        <color rgb="FFDBE2EA"/>
        <rFont val="Noto Sans CJK SC"/>
        <family val="2"/>
      </rPr>
      <t xml:space="preserve">どころか手計算でも可</t>
    </r>
  </si>
  <si>
    <r>
      <rPr>
        <sz val="9"/>
        <color rgb="FFDBE2EA"/>
        <rFont val="Noto Sans CJK SC"/>
        <family val="2"/>
      </rPr>
      <t xml:space="preserve">・山が</t>
    </r>
    <r>
      <rPr>
        <sz val="9"/>
        <color rgb="FFDBE2EA"/>
        <rFont val="Arial"/>
        <family val="0"/>
        <charset val="1"/>
      </rPr>
      <t xml:space="preserve">2</t>
    </r>
    <r>
      <rPr>
        <sz val="9"/>
        <color rgb="FFDBE2EA"/>
        <rFont val="Noto Sans CJK SC"/>
        <family val="2"/>
      </rPr>
      <t xml:space="preserve">本重なると完全に破綻（幅を過大評価→</t>
    </r>
    <r>
      <rPr>
        <sz val="9"/>
        <color rgb="FFDBE2EA"/>
        <rFont val="Arial"/>
        <family val="0"/>
        <charset val="1"/>
      </rPr>
      <t xml:space="preserve">η</t>
    </r>
    <r>
      <rPr>
        <sz val="9"/>
        <color rgb="FFDBE2EA"/>
        <rFont val="Noto Sans CJK SC"/>
        <family val="2"/>
      </rPr>
      <t xml:space="preserve">を過大評価）
・山の中に点が少ないと誤差が大きい
・ノイズにそのまま引きずられる</t>
    </r>
  </si>
  <si>
    <r>
      <rPr>
        <sz val="9"/>
        <color rgb="FFDBE2EA"/>
        <rFont val="Noto Sans CJK SC"/>
        <family val="2"/>
      </rPr>
      <t xml:space="preserve">孤立した</t>
    </r>
    <r>
      <rPr>
        <sz val="9"/>
        <color rgb="FFDBE2EA"/>
        <rFont val="Arial"/>
        <family val="0"/>
        <charset val="1"/>
      </rPr>
      <t xml:space="preserve">1</t>
    </r>
    <r>
      <rPr>
        <sz val="9"/>
        <color rgb="FFDBE2EA"/>
        <rFont val="Noto Sans CJK SC"/>
        <family val="2"/>
      </rPr>
      <t xml:space="preserve">本の山のみ。半値幅の中に最低</t>
    </r>
    <r>
      <rPr>
        <sz val="9"/>
        <color rgb="FFDBE2EA"/>
        <rFont val="Arial"/>
        <family val="0"/>
        <charset val="1"/>
      </rPr>
      <t xml:space="preserve">8</t>
    </r>
    <r>
      <rPr>
        <sz val="9"/>
        <color rgb="FFDBE2EA"/>
        <rFont val="Noto Sans CJK SC"/>
        <family val="2"/>
      </rPr>
      <t xml:space="preserve">点は欲しい。双子モードでは絶対に使わない</t>
    </r>
  </si>
  <si>
    <t xml:space="preserve">ピークピック法</t>
  </si>
  <si>
    <t xml:space="preserve">山の頂点の周波数を読むだけ</t>
  </si>
  <si>
    <t xml:space="preserve">・最速
・モード数の当たりを付けるのに最適</t>
  </si>
  <si>
    <r>
      <rPr>
        <sz val="9"/>
        <color rgb="FFDBE2EA"/>
        <rFont val="Noto Sans CJK SC"/>
        <family val="2"/>
      </rPr>
      <t xml:space="preserve">・減衰が全く出ない
・分解能</t>
    </r>
    <r>
      <rPr>
        <sz val="9"/>
        <color rgb="FFDBE2EA"/>
        <rFont val="Arial"/>
        <family val="0"/>
        <charset val="1"/>
      </rPr>
      <t xml:space="preserve">Δf</t>
    </r>
    <r>
      <rPr>
        <sz val="9"/>
        <color rgb="FFDBE2EA"/>
        <rFont val="Noto Sans CJK SC"/>
        <family val="2"/>
      </rPr>
      <t xml:space="preserve">より細かくは読めない</t>
    </r>
  </si>
  <si>
    <t xml:space="preserve">初期値づくり専用。最終値にはしない</t>
  </si>
  <si>
    <t xml:space="preserve">サークルフィット
（ナイキスト円適合）</t>
  </si>
  <si>
    <r>
      <rPr>
        <sz val="9"/>
        <color rgb="FFDBE2EA"/>
        <rFont val="Noto Sans CJK SC"/>
        <family val="2"/>
      </rPr>
      <t xml:space="preserve">実部</t>
    </r>
    <r>
      <rPr>
        <sz val="9"/>
        <color rgb="FFDBE2EA"/>
        <rFont val="Arial"/>
        <family val="0"/>
        <charset val="1"/>
      </rPr>
      <t xml:space="preserve">-</t>
    </r>
    <r>
      <rPr>
        <sz val="9"/>
        <color rgb="FFDBE2EA"/>
        <rFont val="Noto Sans CJK SC"/>
        <family val="2"/>
      </rPr>
      <t xml:space="preserve">虚部平面に描くと共振は円になる。その円をコンパスで当てはめる</t>
    </r>
  </si>
  <si>
    <t xml:space="preserve">・半値幅法より格段に精度が高い
・データ点が円から外れる＝ノイズ、が一目でわかる
・隣接モードの影響をある程度吸収できる</t>
  </si>
  <si>
    <r>
      <rPr>
        <sz val="9"/>
        <color rgb="FFDBE2EA"/>
        <rFont val="Noto Sans CJK SC"/>
        <family val="2"/>
      </rPr>
      <t xml:space="preserve">・</t>
    </r>
    <r>
      <rPr>
        <sz val="9"/>
        <color rgb="FFDBE2EA"/>
        <rFont val="Arial"/>
        <family val="0"/>
        <charset val="1"/>
      </rPr>
      <t xml:space="preserve">1</t>
    </r>
    <r>
      <rPr>
        <sz val="9"/>
        <color rgb="FFDBE2EA"/>
        <rFont val="Noto Sans CJK SC"/>
        <family val="2"/>
      </rPr>
      <t xml:space="preserve">モードずつしか処理できない
・円弧が短い（点が少ない）と不安定
・複素モード性が強いと円が歪む</t>
    </r>
  </si>
  <si>
    <t xml:space="preserve">孤立モードを精密に測りたい時。減衰の精度検証にも有効</t>
  </si>
  <si>
    <r>
      <rPr>
        <b val="true"/>
        <sz val="9"/>
        <color rgb="FF5AD4FF"/>
        <rFont val="Arial"/>
        <family val="0"/>
        <charset val="1"/>
      </rPr>
      <t xml:space="preserve">MDOF</t>
    </r>
    <r>
      <rPr>
        <b val="true"/>
        <sz val="9"/>
        <color rgb="FF5AD4FF"/>
        <rFont val="Noto Sans CJK SC"/>
        <family val="2"/>
      </rPr>
      <t xml:space="preserve">カーブフィット
（</t>
    </r>
    <r>
      <rPr>
        <b val="true"/>
        <sz val="9"/>
        <color rgb="FF5AD4FF"/>
        <rFont val="Arial"/>
        <family val="0"/>
        <charset val="1"/>
      </rPr>
      <t xml:space="preserve">RFP</t>
    </r>
    <r>
      <rPr>
        <b val="true"/>
        <sz val="9"/>
        <color rgb="FF5AD4FF"/>
        <rFont val="Noto Sans CJK SC"/>
        <family val="2"/>
      </rPr>
      <t xml:space="preserve">法・このブック）</t>
    </r>
  </si>
  <si>
    <r>
      <rPr>
        <sz val="9"/>
        <color rgb="FFDBE2EA"/>
        <rFont val="Arial"/>
        <family val="0"/>
        <charset val="1"/>
      </rPr>
      <t xml:space="preserve">FRF</t>
    </r>
    <r>
      <rPr>
        <sz val="9"/>
        <color rgb="FFDBE2EA"/>
        <rFont val="Noto Sans CJK SC"/>
        <family val="2"/>
      </rPr>
      <t xml:space="preserve">全体を『分子多項式</t>
    </r>
    <r>
      <rPr>
        <sz val="9"/>
        <color rgb="FFDBE2EA"/>
        <rFont val="Arial"/>
        <family val="0"/>
        <charset val="1"/>
      </rPr>
      <t xml:space="preserve">÷</t>
    </r>
    <r>
      <rPr>
        <sz val="9"/>
        <color rgb="FFDBE2EA"/>
        <rFont val="Noto Sans CJK SC"/>
        <family val="2"/>
      </rPr>
      <t xml:space="preserve">分母多項式』で表し、分母の根＝モードとして一気に取り出す</t>
    </r>
  </si>
  <si>
    <r>
      <rPr>
        <sz val="9"/>
        <color rgb="FFDBE2EA"/>
        <rFont val="Noto Sans CJK SC"/>
        <family val="2"/>
      </rPr>
      <t xml:space="preserve">・重なった山を数式ごと分離できる（双子モード対応）
・帯域外モードの影響を残余項で吸収できる
・全点を使うのでノイズに強い
・</t>
    </r>
    <r>
      <rPr>
        <sz val="9"/>
        <color rgb="FFDBE2EA"/>
        <rFont val="Arial"/>
        <family val="0"/>
        <charset val="1"/>
      </rPr>
      <t xml:space="preserve">Excel</t>
    </r>
    <r>
      <rPr>
        <sz val="9"/>
        <color rgb="FFDBE2EA"/>
        <rFont val="Noto Sans CJK SC"/>
        <family val="2"/>
      </rPr>
      <t xml:space="preserve">で実装可能</t>
    </r>
  </si>
  <si>
    <r>
      <rPr>
        <sz val="9"/>
        <color rgb="FFDBE2EA"/>
        <rFont val="Noto Sans CJK SC"/>
        <family val="2"/>
      </rPr>
      <t xml:space="preserve">・帯域とモード数を人が決める必要がある
・正規化を怠ると数値が破綻する
・</t>
    </r>
    <r>
      <rPr>
        <sz val="9"/>
        <color rgb="FFDBE2EA"/>
        <rFont val="Arial"/>
        <family val="0"/>
        <charset val="1"/>
      </rPr>
      <t xml:space="preserve">3</t>
    </r>
    <r>
      <rPr>
        <sz val="9"/>
        <color rgb="FFDBE2EA"/>
        <rFont val="Noto Sans CJK SC"/>
        <family val="2"/>
      </rPr>
      <t xml:space="preserve">本以上重なると分母次数が上がり不安定
・初期値が悪いと根の分離に失敗しうる</t>
    </r>
  </si>
  <si>
    <r>
      <rPr>
        <sz val="9"/>
        <color rgb="FFDBE2EA"/>
        <rFont val="Noto Sans CJK SC"/>
        <family val="2"/>
      </rPr>
      <t xml:space="preserve">本ブックの本命。帯域は『分けたい</t>
    </r>
    <r>
      <rPr>
        <sz val="9"/>
        <color rgb="FFDBE2EA"/>
        <rFont val="Arial"/>
        <family val="0"/>
        <charset val="1"/>
      </rPr>
      <t xml:space="preserve">2</t>
    </r>
    <r>
      <rPr>
        <sz val="9"/>
        <color rgb="FFDBE2EA"/>
        <rFont val="Noto Sans CJK SC"/>
        <family val="2"/>
      </rPr>
      <t xml:space="preserve">本＋その裾』だけに絞る。必ず</t>
    </r>
    <r>
      <rPr>
        <sz val="9"/>
        <color rgb="FFDBE2EA"/>
        <rFont val="Arial"/>
        <family val="0"/>
        <charset val="1"/>
      </rPr>
      <t xml:space="preserve">11</t>
    </r>
    <r>
      <rPr>
        <sz val="9"/>
        <color rgb="FFDBE2EA"/>
        <rFont val="Noto Sans CJK SC"/>
        <family val="2"/>
      </rPr>
      <t xml:space="preserve">シートで重ね描き確認</t>
    </r>
  </si>
  <si>
    <r>
      <rPr>
        <b val="true"/>
        <sz val="9"/>
        <color rgb="FF5AD4FF"/>
        <rFont val="Noto Sans CJK SC"/>
        <family val="2"/>
      </rPr>
      <t xml:space="preserve">ポリリファレンス法
（</t>
    </r>
    <r>
      <rPr>
        <b val="true"/>
        <sz val="9"/>
        <color rgb="FF5AD4FF"/>
        <rFont val="Arial"/>
        <family val="0"/>
        <charset val="1"/>
      </rPr>
      <t xml:space="preserve">PolyMAX / LSCF</t>
    </r>
    <r>
      <rPr>
        <b val="true"/>
        <sz val="9"/>
        <color rgb="FF5AD4FF"/>
        <rFont val="Noto Sans CJK SC"/>
        <family val="2"/>
      </rPr>
      <t xml:space="preserve">等）</t>
    </r>
  </si>
  <si>
    <r>
      <rPr>
        <sz val="9"/>
        <color rgb="FFDBE2EA"/>
        <rFont val="Noto Sans CJK SC"/>
        <family val="2"/>
      </rPr>
      <t xml:space="preserve">複数の加振点のデータを</t>
    </r>
    <r>
      <rPr>
        <sz val="9"/>
        <color rgb="FFDBE2EA"/>
        <rFont val="Arial"/>
        <family val="0"/>
        <charset val="1"/>
      </rPr>
      <t xml:space="preserve">1</t>
    </r>
    <r>
      <rPr>
        <sz val="9"/>
        <color rgb="FFDBE2EA"/>
        <rFont val="Noto Sans CJK SC"/>
        <family val="2"/>
      </rPr>
      <t xml:space="preserve">つの分母で同時に解く。行列の多項式固有値問題</t>
    </r>
  </si>
  <si>
    <t xml:space="preserve">・完全に縮退したモードでも分離できる
・安定化線図でニセの極を除去できる
・現在の商用ソフトの標準</t>
  </si>
  <si>
    <r>
      <rPr>
        <sz val="9"/>
        <color rgb="FFDBE2EA"/>
        <rFont val="Noto Sans CJK SC"/>
        <family val="2"/>
      </rPr>
      <t xml:space="preserve">・</t>
    </r>
    <r>
      <rPr>
        <sz val="9"/>
        <color rgb="FFDBE2EA"/>
        <rFont val="Arial"/>
        <family val="0"/>
        <charset val="1"/>
      </rPr>
      <t xml:space="preserve">Excel</t>
    </r>
    <r>
      <rPr>
        <sz val="9"/>
        <color rgb="FFDBE2EA"/>
        <rFont val="Noto Sans CJK SC"/>
        <family val="2"/>
      </rPr>
      <t xml:space="preserve">単体では原理的に組めない（複素固有値分解が必要）🔴
・複数参照の測定が必要
・計算がブラックボックス化しやすい</t>
    </r>
  </si>
  <si>
    <r>
      <rPr>
        <sz val="9"/>
        <color rgb="FFDBE2EA"/>
        <rFont val="Noto Sans CJK SC"/>
        <family val="2"/>
      </rPr>
      <t xml:space="preserve">対称構造の縮退モードの決定打。</t>
    </r>
    <r>
      <rPr>
        <sz val="9"/>
        <color rgb="FFDBE2EA"/>
        <rFont val="Arial"/>
        <family val="0"/>
        <charset val="1"/>
      </rPr>
      <t xml:space="preserve">ME'scope Visual Modal Pro / Python(scipy)</t>
    </r>
    <r>
      <rPr>
        <sz val="9"/>
        <color rgb="FFDBE2EA"/>
        <rFont val="Noto Sans CJK SC"/>
        <family val="2"/>
      </rPr>
      <t xml:space="preserve">で実施</t>
    </r>
  </si>
  <si>
    <r>
      <rPr>
        <b val="true"/>
        <sz val="9"/>
        <color rgb="FF5AD4FF"/>
        <rFont val="Noto Sans CJK SC"/>
        <family val="2"/>
      </rPr>
      <t xml:space="preserve">時間領域法
（</t>
    </r>
    <r>
      <rPr>
        <b val="true"/>
        <sz val="9"/>
        <color rgb="FF5AD4FF"/>
        <rFont val="Arial"/>
        <family val="0"/>
        <charset val="1"/>
      </rPr>
      <t xml:space="preserve">Complex Exponential / ERA</t>
    </r>
    <r>
      <rPr>
        <b val="true"/>
        <sz val="9"/>
        <color rgb="FF5AD4FF"/>
        <rFont val="Noto Sans CJK SC"/>
        <family val="2"/>
      </rPr>
      <t xml:space="preserve">）</t>
    </r>
  </si>
  <si>
    <t xml:space="preserve">インパルス応答（時間波形）を減衰する正弦波の足し算に分解する</t>
  </si>
  <si>
    <t xml:space="preserve">・広帯域を一度に処理できる
・多モードに強い</t>
  </si>
  <si>
    <r>
      <rPr>
        <sz val="9"/>
        <color rgb="FFDBE2EA"/>
        <rFont val="Noto Sans CJK SC"/>
        <family val="2"/>
      </rPr>
      <t xml:space="preserve">・窓関数の影響を強く受ける
・ノイズに弱い場合がある
・</t>
    </r>
    <r>
      <rPr>
        <sz val="9"/>
        <color rgb="FFDBE2EA"/>
        <rFont val="Arial"/>
        <family val="0"/>
        <charset val="1"/>
      </rPr>
      <t xml:space="preserve">Excel</t>
    </r>
    <r>
      <rPr>
        <sz val="9"/>
        <color rgb="FFDBE2EA"/>
        <rFont val="Noto Sans CJK SC"/>
        <family val="2"/>
      </rPr>
      <t xml:space="preserve">不可</t>
    </r>
  </si>
  <si>
    <r>
      <rPr>
        <sz val="9"/>
        <color rgb="FFDBE2EA"/>
        <rFont val="Noto Sans CJK SC"/>
        <family val="2"/>
      </rPr>
      <t xml:space="preserve">モードが非常に多い構造。</t>
    </r>
    <r>
      <rPr>
        <sz val="9"/>
        <color rgb="FFDBE2EA"/>
        <rFont val="Arial"/>
        <family val="0"/>
        <charset val="1"/>
      </rPr>
      <t xml:space="preserve">ME'scope / Python</t>
    </r>
  </si>
  <si>
    <t xml:space="preserve">■ 手法選択のフローチャート（文章版）</t>
  </si>
  <si>
    <r>
      <rPr>
        <b val="true"/>
        <sz val="10"/>
        <color rgb="FF5EE6A0"/>
        <rFont val="Arial"/>
        <family val="0"/>
        <charset val="1"/>
      </rPr>
      <t xml:space="preserve">Q1. 04</t>
    </r>
    <r>
      <rPr>
        <b val="true"/>
        <sz val="10"/>
        <color rgb="FF5EE6A0"/>
        <rFont val="Noto Sans CJK SC"/>
        <family val="2"/>
      </rPr>
      <t xml:space="preserve">シートで数えた山は何本？</t>
    </r>
  </si>
  <si>
    <r>
      <rPr>
        <sz val="9.5"/>
        <color rgb="FFDBE2EA"/>
        <rFont val="Noto Sans CJK SC"/>
        <family val="2"/>
      </rPr>
      <t xml:space="preserve">　→ </t>
    </r>
    <r>
      <rPr>
        <sz val="9.5"/>
        <color rgb="FFDBE2EA"/>
        <rFont val="Arial"/>
        <family val="0"/>
        <charset val="1"/>
      </rPr>
      <t xml:space="preserve">1</t>
    </r>
    <r>
      <rPr>
        <sz val="9.5"/>
        <color rgb="FFDBE2EA"/>
        <rFont val="Noto Sans CJK SC"/>
        <family val="2"/>
      </rPr>
      <t xml:space="preserve">本 … </t>
    </r>
    <r>
      <rPr>
        <sz val="9.5"/>
        <color rgb="FFDBE2EA"/>
        <rFont val="Arial"/>
        <family val="0"/>
        <charset val="1"/>
      </rPr>
      <t xml:space="preserve">05</t>
    </r>
    <r>
      <rPr>
        <sz val="9.5"/>
        <color rgb="FFDBE2EA"/>
        <rFont val="Noto Sans CJK SC"/>
        <family val="2"/>
      </rPr>
      <t xml:space="preserve">シートの半値幅法で完了。もっと精度が欲しければサークルフィット。</t>
    </r>
  </si>
  <si>
    <r>
      <rPr>
        <sz val="9.5"/>
        <color rgb="FFDBE2EA"/>
        <rFont val="Noto Sans CJK SC"/>
        <family val="2"/>
      </rPr>
      <t xml:space="preserve">　→ </t>
    </r>
    <r>
      <rPr>
        <sz val="9.5"/>
        <color rgb="FFDBE2EA"/>
        <rFont val="Arial"/>
        <family val="0"/>
        <charset val="1"/>
      </rPr>
      <t xml:space="preserve">2</t>
    </r>
    <r>
      <rPr>
        <sz val="9.5"/>
        <color rgb="FFDBE2EA"/>
        <rFont val="Noto Sans CJK SC"/>
        <family val="2"/>
      </rPr>
      <t xml:space="preserve">本 … このブックの本命。</t>
    </r>
    <r>
      <rPr>
        <sz val="9.5"/>
        <color rgb="FFDBE2EA"/>
        <rFont val="Arial"/>
        <family val="0"/>
        <charset val="1"/>
      </rPr>
      <t xml:space="preserve">06</t>
    </r>
    <r>
      <rPr>
        <sz val="9.5"/>
        <color rgb="FFDBE2EA"/>
        <rFont val="Noto Sans CJK SC"/>
        <family val="2"/>
      </rPr>
      <t xml:space="preserve">〜</t>
    </r>
    <r>
      <rPr>
        <sz val="9.5"/>
        <color rgb="FFDBE2EA"/>
        <rFont val="Arial"/>
        <family val="0"/>
        <charset val="1"/>
      </rPr>
      <t xml:space="preserve">11</t>
    </r>
    <r>
      <rPr>
        <sz val="9.5"/>
        <color rgb="FFDBE2EA"/>
        <rFont val="Noto Sans CJK SC"/>
        <family val="2"/>
      </rPr>
      <t xml:space="preserve">シートへ。</t>
    </r>
  </si>
  <si>
    <r>
      <rPr>
        <sz val="9.5"/>
        <color rgb="FFDBE2EA"/>
        <rFont val="Noto Sans CJK SC"/>
        <family val="2"/>
      </rPr>
      <t xml:space="preserve">　→ </t>
    </r>
    <r>
      <rPr>
        <sz val="9.5"/>
        <color rgb="FFDBE2EA"/>
        <rFont val="Arial"/>
        <family val="0"/>
        <charset val="1"/>
      </rPr>
      <t xml:space="preserve">3</t>
    </r>
    <r>
      <rPr>
        <sz val="9.5"/>
        <color rgb="FFDBE2EA"/>
        <rFont val="Noto Sans CJK SC"/>
        <family val="2"/>
      </rPr>
      <t xml:space="preserve">本以上 … 帯域を狭めて</t>
    </r>
    <r>
      <rPr>
        <sz val="9.5"/>
        <color rgb="FFDBE2EA"/>
        <rFont val="Arial"/>
        <family val="0"/>
        <charset val="1"/>
      </rPr>
      <t xml:space="preserve">2</t>
    </r>
    <r>
      <rPr>
        <sz val="9.5"/>
        <color rgb="FFDBE2EA"/>
        <rFont val="Noto Sans CJK SC"/>
        <family val="2"/>
      </rPr>
      <t xml:space="preserve">本ずつに分ける。それが無理なら</t>
    </r>
    <r>
      <rPr>
        <sz val="9.5"/>
        <color rgb="FFDBE2EA"/>
        <rFont val="Arial"/>
        <family val="0"/>
        <charset val="1"/>
      </rPr>
      <t xml:space="preserve">Python</t>
    </r>
    <r>
      <rPr>
        <sz val="9.5"/>
        <color rgb="FFDBE2EA"/>
        <rFont val="Noto Sans CJK SC"/>
        <family val="2"/>
      </rPr>
      <t xml:space="preserve">へ。</t>
    </r>
  </si>
  <si>
    <r>
      <rPr>
        <b val="true"/>
        <sz val="10"/>
        <color rgb="FF5EE6A0"/>
        <rFont val="Arial"/>
        <family val="0"/>
        <charset val="1"/>
      </rPr>
      <t xml:space="preserve">Q2. 09</t>
    </r>
    <r>
      <rPr>
        <b val="true"/>
        <sz val="10"/>
        <color rgb="FF5EE6A0"/>
        <rFont val="Noto Sans CJK SC"/>
        <family val="2"/>
      </rPr>
      <t xml:space="preserve">シートの『分離度』はいくつ？</t>
    </r>
  </si>
  <si>
    <r>
      <rPr>
        <sz val="9.5"/>
        <color rgb="FFDBE2EA"/>
        <rFont val="Noto Sans CJK SC"/>
        <family val="2"/>
      </rPr>
      <t xml:space="preserve">　→ </t>
    </r>
    <r>
      <rPr>
        <sz val="9.5"/>
        <color rgb="FFDBE2EA"/>
        <rFont val="Arial"/>
        <family val="0"/>
        <charset val="1"/>
      </rPr>
      <t xml:space="preserve">2</t>
    </r>
    <r>
      <rPr>
        <sz val="9.5"/>
        <color rgb="FFDBE2EA"/>
        <rFont val="Noto Sans CJK SC"/>
        <family val="2"/>
      </rPr>
      <t xml:space="preserve">以上 … 半値幅法と</t>
    </r>
    <r>
      <rPr>
        <sz val="9.5"/>
        <color rgb="FFDBE2EA"/>
        <rFont val="Arial"/>
        <family val="0"/>
        <charset val="1"/>
      </rPr>
      <t xml:space="preserve">RFP</t>
    </r>
    <r>
      <rPr>
        <sz val="9.5"/>
        <color rgb="FFDBE2EA"/>
        <rFont val="Noto Sans CJK SC"/>
        <family val="2"/>
      </rPr>
      <t xml:space="preserve">の答えが近いはず。両方出して照合すると安心。</t>
    </r>
  </si>
  <si>
    <r>
      <rPr>
        <sz val="9.5"/>
        <color rgb="FFDBE2EA"/>
        <rFont val="Noto Sans CJK SC"/>
        <family val="2"/>
      </rPr>
      <t xml:space="preserve">　→ </t>
    </r>
    <r>
      <rPr>
        <sz val="9.5"/>
        <color rgb="FFDBE2EA"/>
        <rFont val="Arial"/>
        <family val="0"/>
        <charset val="1"/>
      </rPr>
      <t xml:space="preserve">0.5</t>
    </r>
    <r>
      <rPr>
        <sz val="9.5"/>
        <color rgb="FFDBE2EA"/>
        <rFont val="Noto Sans CJK SC"/>
        <family val="2"/>
      </rPr>
      <t xml:space="preserve">〜</t>
    </r>
    <r>
      <rPr>
        <sz val="9.5"/>
        <color rgb="FFDBE2EA"/>
        <rFont val="Arial"/>
        <family val="0"/>
        <charset val="1"/>
      </rPr>
      <t xml:space="preserve">2 … RFP</t>
    </r>
    <r>
      <rPr>
        <sz val="9.5"/>
        <color rgb="FFDBE2EA"/>
        <rFont val="Noto Sans CJK SC"/>
        <family val="2"/>
      </rPr>
      <t xml:space="preserve">法でないと正しく分離できない領域。まさにここが本ブックの守備範囲。</t>
    </r>
  </si>
  <si>
    <r>
      <rPr>
        <sz val="9.5"/>
        <color rgb="FFDBE2EA"/>
        <rFont val="Noto Sans CJK SC"/>
        <family val="2"/>
      </rPr>
      <t xml:space="preserve">　→ </t>
    </r>
    <r>
      <rPr>
        <sz val="9.5"/>
        <color rgb="FFDBE2EA"/>
        <rFont val="Arial"/>
        <family val="0"/>
        <charset val="1"/>
      </rPr>
      <t xml:space="preserve">0.5</t>
    </r>
    <r>
      <rPr>
        <sz val="9.5"/>
        <color rgb="FFDBE2EA"/>
        <rFont val="Noto Sans CJK SC"/>
        <family val="2"/>
      </rPr>
      <t xml:space="preserve">未満 … ほぼ完全な縮退。</t>
    </r>
    <r>
      <rPr>
        <sz val="9.5"/>
        <color rgb="FFDBE2EA"/>
        <rFont val="Arial"/>
        <family val="0"/>
        <charset val="1"/>
      </rPr>
      <t xml:space="preserve">1</t>
    </r>
    <r>
      <rPr>
        <sz val="9.5"/>
        <color rgb="FFDBE2EA"/>
        <rFont val="Noto Sans CJK SC"/>
        <family val="2"/>
      </rPr>
      <t xml:space="preserve">点加振では信頼性が落ちるので、加振点を変えた</t>
    </r>
    <r>
      <rPr>
        <sz val="9.5"/>
        <color rgb="FFDBE2EA"/>
        <rFont val="Arial"/>
        <family val="0"/>
        <charset val="1"/>
      </rPr>
      <t xml:space="preserve">2</t>
    </r>
    <r>
      <rPr>
        <sz val="9.5"/>
        <color rgb="FFDBE2EA"/>
        <rFont val="Noto Sans CJK SC"/>
        <family val="2"/>
      </rPr>
      <t xml:space="preserve">組目のデータを取る（疑似</t>
    </r>
    <r>
      <rPr>
        <sz val="9.5"/>
        <color rgb="FFDBE2EA"/>
        <rFont val="Arial"/>
        <family val="0"/>
        <charset val="1"/>
      </rPr>
      <t xml:space="preserve">MIMO</t>
    </r>
    <r>
      <rPr>
        <sz val="9.5"/>
        <color rgb="FFDBE2EA"/>
        <rFont val="Noto Sans CJK SC"/>
        <family val="2"/>
      </rPr>
      <t xml:space="preserve">）。</t>
    </r>
  </si>
  <si>
    <r>
      <rPr>
        <b val="true"/>
        <sz val="10"/>
        <color rgb="FF5EE6A0"/>
        <rFont val="Arial"/>
        <family val="0"/>
        <charset val="1"/>
      </rPr>
      <t xml:space="preserve">Q3. 11</t>
    </r>
    <r>
      <rPr>
        <b val="true"/>
        <sz val="10"/>
        <color rgb="FF5EE6A0"/>
        <rFont val="Noto Sans CJK SC"/>
        <family val="2"/>
      </rPr>
      <t xml:space="preserve">シートの相対誤差は？</t>
    </r>
  </si>
  <si>
    <r>
      <rPr>
        <sz val="9.5"/>
        <color rgb="FFDBE2EA"/>
        <rFont val="Noto Sans CJK SC"/>
        <family val="2"/>
      </rPr>
      <t xml:space="preserve">　→ </t>
    </r>
    <r>
      <rPr>
        <sz val="9.5"/>
        <color rgb="FFDBE2EA"/>
        <rFont val="Arial"/>
        <family val="0"/>
        <charset val="1"/>
      </rPr>
      <t xml:space="preserve">5%</t>
    </r>
    <r>
      <rPr>
        <sz val="9.5"/>
        <color rgb="FFDBE2EA"/>
        <rFont val="Noto Sans CJK SC"/>
        <family val="2"/>
      </rPr>
      <t xml:space="preserve">未満 … 採用してよい。</t>
    </r>
  </si>
  <si>
    <r>
      <rPr>
        <sz val="9.5"/>
        <color rgb="FFDBE2EA"/>
        <rFont val="Noto Sans CJK SC"/>
        <family val="2"/>
      </rPr>
      <t xml:space="preserve">　→ </t>
    </r>
    <r>
      <rPr>
        <sz val="9.5"/>
        <color rgb="FFDBE2EA"/>
        <rFont val="Arial"/>
        <family val="0"/>
        <charset val="1"/>
      </rPr>
      <t xml:space="preserve">5%</t>
    </r>
    <r>
      <rPr>
        <sz val="9.5"/>
        <color rgb="FFDBE2EA"/>
        <rFont val="Noto Sans CJK SC"/>
        <family val="2"/>
      </rPr>
      <t xml:space="preserve">以上 … 帯域の取り方、モード数、データ品質（コヒーレンス）を順に見直す。</t>
    </r>
  </si>
  <si>
    <t xml:space="preserve">⑭ 用語集｜専門用語をふりがな付きで噛み砕く</t>
  </si>
  <si>
    <t xml:space="preserve">『わかったつもり』を潰すための辞書。読み方と、日常のたとえ話をセットにしてあります。</t>
  </si>
  <si>
    <t xml:space="preserve">用語</t>
  </si>
  <si>
    <t xml:space="preserve">読み方</t>
  </si>
  <si>
    <t xml:space="preserve">意味（小学生にもわかる言い方）</t>
  </si>
  <si>
    <t xml:space="preserve">このブックでの居場所</t>
  </si>
  <si>
    <r>
      <rPr>
        <b val="true"/>
        <sz val="9"/>
        <color rgb="FF5AD4FF"/>
        <rFont val="Noto Sans CJK SC"/>
        <family val="2"/>
      </rPr>
      <t xml:space="preserve">周波数応答関数 </t>
    </r>
    <r>
      <rPr>
        <b val="true"/>
        <sz val="9"/>
        <color rgb="FF5AD4FF"/>
        <rFont val="Arial"/>
        <family val="0"/>
        <charset val="1"/>
      </rPr>
      <t xml:space="preserve">FRF</t>
    </r>
  </si>
  <si>
    <t xml:space="preserve">しゅうはすうおうとうかんすう</t>
  </si>
  <si>
    <r>
      <rPr>
        <sz val="9"/>
        <color rgb="FFDBE2EA"/>
        <rFont val="Noto Sans CJK SC"/>
        <family val="2"/>
      </rPr>
      <t xml:space="preserve">『どの高さの音で叩いたら、どれくらい揺れるか』の一覧表。叩く力</t>
    </r>
    <r>
      <rPr>
        <sz val="9"/>
        <color rgb="FFDBE2EA"/>
        <rFont val="Arial"/>
        <family val="0"/>
        <charset val="1"/>
      </rPr>
      <t xml:space="preserve">1</t>
    </r>
    <r>
      <rPr>
        <sz val="9"/>
        <color rgb="FFDBE2EA"/>
        <rFont val="Noto Sans CJK SC"/>
        <family val="2"/>
      </rPr>
      <t xml:space="preserve">に対する揺れの大きさ</t>
    </r>
  </si>
  <si>
    <r>
      <rPr>
        <sz val="9"/>
        <color rgb="FFDBE2EA"/>
        <rFont val="Arial"/>
        <family val="0"/>
        <charset val="1"/>
      </rPr>
      <t xml:space="preserve">03</t>
    </r>
    <r>
      <rPr>
        <sz val="9"/>
        <color rgb="FFDBE2EA"/>
        <rFont val="Noto Sans CJK SC"/>
        <family val="2"/>
      </rPr>
      <t xml:space="preserve">シート</t>
    </r>
  </si>
  <si>
    <r>
      <rPr>
        <b val="true"/>
        <sz val="9"/>
        <color rgb="FF5AD4FF"/>
        <rFont val="Noto Sans CJK SC"/>
        <family val="2"/>
      </rPr>
      <t xml:space="preserve">実部 </t>
    </r>
    <r>
      <rPr>
        <b val="true"/>
        <sz val="9"/>
        <color rgb="FF5AD4FF"/>
        <rFont val="Arial"/>
        <family val="0"/>
        <charset val="1"/>
      </rPr>
      <t xml:space="preserve">/ </t>
    </r>
    <r>
      <rPr>
        <b val="true"/>
        <sz val="9"/>
        <color rgb="FF5AD4FF"/>
        <rFont val="Noto Sans CJK SC"/>
        <family val="2"/>
      </rPr>
      <t xml:space="preserve">虚部</t>
    </r>
  </si>
  <si>
    <r>
      <rPr>
        <sz val="9"/>
        <color rgb="FFDBE2EA"/>
        <rFont val="Noto Sans CJK SC"/>
        <family val="2"/>
      </rPr>
      <t xml:space="preserve">じつぶ </t>
    </r>
    <r>
      <rPr>
        <sz val="9"/>
        <color rgb="FFDBE2EA"/>
        <rFont val="Arial"/>
        <family val="0"/>
        <charset val="1"/>
      </rPr>
      <t xml:space="preserve">/ </t>
    </r>
    <r>
      <rPr>
        <sz val="9"/>
        <color rgb="FFDBE2EA"/>
        <rFont val="Noto Sans CJK SC"/>
        <family val="2"/>
      </rPr>
      <t xml:space="preserve">きょぶ</t>
    </r>
  </si>
  <si>
    <r>
      <rPr>
        <sz val="9"/>
        <color rgb="FFDBE2EA"/>
        <rFont val="Noto Sans CJK SC"/>
        <family val="2"/>
      </rPr>
      <t xml:space="preserve">揺れの『大きさ』と『タイミングのズレ』を、</t>
    </r>
    <r>
      <rPr>
        <sz val="9"/>
        <color rgb="FFDBE2EA"/>
        <rFont val="Arial"/>
        <family val="0"/>
        <charset val="1"/>
      </rPr>
      <t xml:space="preserve">2</t>
    </r>
    <r>
      <rPr>
        <sz val="9"/>
        <color rgb="FFDBE2EA"/>
        <rFont val="Noto Sans CJK SC"/>
        <family val="2"/>
      </rPr>
      <t xml:space="preserve">つの数字で表したもの。時計の針の位置を</t>
    </r>
    <r>
      <rPr>
        <sz val="9"/>
        <color rgb="FFDBE2EA"/>
        <rFont val="Arial"/>
        <family val="0"/>
        <charset val="1"/>
      </rPr>
      <t xml:space="preserve">(x,y)</t>
    </r>
    <r>
      <rPr>
        <sz val="9"/>
        <color rgb="FFDBE2EA"/>
        <rFont val="Noto Sans CJK SC"/>
        <family val="2"/>
      </rPr>
      <t xml:space="preserve">で書くのと同じ</t>
    </r>
  </si>
  <si>
    <r>
      <rPr>
        <sz val="9"/>
        <color rgb="FFDBE2EA"/>
        <rFont val="Arial"/>
        <family val="0"/>
        <charset val="1"/>
      </rPr>
      <t xml:space="preserve">03</t>
    </r>
    <r>
      <rPr>
        <sz val="9"/>
        <color rgb="FFDBE2EA"/>
        <rFont val="Noto Sans CJK SC"/>
        <family val="2"/>
      </rPr>
      <t xml:space="preserve">シート </t>
    </r>
    <r>
      <rPr>
        <sz val="9"/>
        <color rgb="FFDBE2EA"/>
        <rFont val="Arial"/>
        <family val="0"/>
        <charset val="1"/>
      </rPr>
      <t xml:space="preserve">C</t>
    </r>
    <r>
      <rPr>
        <sz val="9"/>
        <color rgb="FFDBE2EA"/>
        <rFont val="Noto Sans CJK SC"/>
        <family val="2"/>
      </rPr>
      <t xml:space="preserve">・</t>
    </r>
    <r>
      <rPr>
        <sz val="9"/>
        <color rgb="FFDBE2EA"/>
        <rFont val="Arial"/>
        <family val="0"/>
        <charset val="1"/>
      </rPr>
      <t xml:space="preserve">D</t>
    </r>
    <r>
      <rPr>
        <sz val="9"/>
        <color rgb="FFDBE2EA"/>
        <rFont val="Noto Sans CJK SC"/>
        <family val="2"/>
      </rPr>
      <t xml:space="preserve">列</t>
    </r>
  </si>
  <si>
    <t xml:space="preserve">固有振動数</t>
  </si>
  <si>
    <t xml:space="preserve">こゆうしんどうすう</t>
  </si>
  <si>
    <t xml:space="preserve">その物が一番揺れやすい周波数。ワイングラスが特定の高さの声だけで鳴るのと同じ</t>
  </si>
  <si>
    <r>
      <rPr>
        <sz val="9"/>
        <color rgb="FFDBE2EA"/>
        <rFont val="Arial"/>
        <family val="0"/>
        <charset val="1"/>
      </rPr>
      <t xml:space="preserve">09</t>
    </r>
    <r>
      <rPr>
        <sz val="9"/>
        <color rgb="FFDBE2EA"/>
        <rFont val="Noto Sans CJK SC"/>
        <family val="2"/>
      </rPr>
      <t xml:space="preserve">シート </t>
    </r>
    <r>
      <rPr>
        <sz val="9"/>
        <color rgb="FFDBE2EA"/>
        <rFont val="Arial"/>
        <family val="0"/>
        <charset val="1"/>
      </rPr>
      <t xml:space="preserve">fn</t>
    </r>
    <r>
      <rPr>
        <sz val="9"/>
        <color rgb="FFDBE2EA"/>
        <rFont val="Noto Sans CJK SC"/>
        <family val="2"/>
      </rPr>
      <t xml:space="preserve">・</t>
    </r>
    <r>
      <rPr>
        <sz val="9"/>
        <color rgb="FFDBE2EA"/>
        <rFont val="Arial"/>
        <family val="0"/>
        <charset val="1"/>
      </rPr>
      <t xml:space="preserve">fd</t>
    </r>
  </si>
  <si>
    <r>
      <rPr>
        <b val="true"/>
        <sz val="9"/>
        <color rgb="FF5AD4FF"/>
        <rFont val="Noto Sans CJK SC"/>
        <family val="2"/>
      </rPr>
      <t xml:space="preserve">減衰比 </t>
    </r>
    <r>
      <rPr>
        <b val="true"/>
        <sz val="9"/>
        <color rgb="FF5AD4FF"/>
        <rFont val="Arial"/>
        <family val="0"/>
        <charset val="1"/>
      </rPr>
      <t xml:space="preserve">ζ</t>
    </r>
  </si>
  <si>
    <t xml:space="preserve">げんすいひ（ゼータ）</t>
  </si>
  <si>
    <r>
      <rPr>
        <sz val="9"/>
        <color rgb="FFDBE2EA"/>
        <rFont val="Noto Sans CJK SC"/>
        <family val="2"/>
      </rPr>
      <t xml:space="preserve">揺れが止まるまでの『ブレーキの効き』。</t>
    </r>
    <r>
      <rPr>
        <sz val="9"/>
        <color rgb="FFDBE2EA"/>
        <rFont val="Arial"/>
        <family val="0"/>
        <charset val="1"/>
      </rPr>
      <t xml:space="preserve">0</t>
    </r>
    <r>
      <rPr>
        <sz val="9"/>
        <color rgb="FFDBE2EA"/>
        <rFont val="Noto Sans CJK SC"/>
        <family val="2"/>
      </rPr>
      <t xml:space="preserve">なら永久に揺れ続け、</t>
    </r>
    <r>
      <rPr>
        <sz val="9"/>
        <color rgb="FFDBE2EA"/>
        <rFont val="Arial"/>
        <family val="0"/>
        <charset val="1"/>
      </rPr>
      <t xml:space="preserve">1</t>
    </r>
    <r>
      <rPr>
        <sz val="9"/>
        <color rgb="FFDBE2EA"/>
        <rFont val="Noto Sans CJK SC"/>
        <family val="2"/>
      </rPr>
      <t xml:space="preserve">で揺れずに戻る</t>
    </r>
  </si>
  <si>
    <r>
      <rPr>
        <sz val="9"/>
        <color rgb="FFDBE2EA"/>
        <rFont val="Arial"/>
        <family val="0"/>
        <charset val="1"/>
      </rPr>
      <t xml:space="preserve">09</t>
    </r>
    <r>
      <rPr>
        <sz val="9"/>
        <color rgb="FFDBE2EA"/>
        <rFont val="Noto Sans CJK SC"/>
        <family val="2"/>
      </rPr>
      <t xml:space="preserve">シート</t>
    </r>
  </si>
  <si>
    <r>
      <rPr>
        <b val="true"/>
        <sz val="9"/>
        <color rgb="FF5AD4FF"/>
        <rFont val="Noto Sans CJK SC"/>
        <family val="2"/>
      </rPr>
      <t xml:space="preserve">損失係数 </t>
    </r>
    <r>
      <rPr>
        <b val="true"/>
        <sz val="9"/>
        <color rgb="FF5AD4FF"/>
        <rFont val="Arial"/>
        <family val="0"/>
        <charset val="1"/>
      </rPr>
      <t xml:space="preserve">η</t>
    </r>
  </si>
  <si>
    <t xml:space="preserve">そんしつけいすう（イータ）</t>
  </si>
  <si>
    <r>
      <rPr>
        <sz val="9"/>
        <color rgb="FFDBE2EA"/>
        <rFont val="Arial"/>
        <family val="0"/>
        <charset val="1"/>
      </rPr>
      <t xml:space="preserve">1</t>
    </r>
    <r>
      <rPr>
        <sz val="9"/>
        <color rgb="FFDBE2EA"/>
        <rFont val="Noto Sans CJK SC"/>
        <family val="2"/>
      </rPr>
      <t xml:space="preserve">往復ごとに失われるエネルギーの割合。ブレーキ鳴きではこれが命綱。</t>
    </r>
    <r>
      <rPr>
        <sz val="9"/>
        <color rgb="FFDBE2EA"/>
        <rFont val="Arial"/>
        <family val="0"/>
        <charset val="1"/>
      </rPr>
      <t xml:space="preserve">η = 2ζ</t>
    </r>
  </si>
  <si>
    <r>
      <rPr>
        <b val="true"/>
        <sz val="9"/>
        <color rgb="FF5AD4FF"/>
        <rFont val="Arial"/>
        <family val="0"/>
        <charset val="1"/>
      </rPr>
      <t xml:space="preserve">Q</t>
    </r>
    <r>
      <rPr>
        <b val="true"/>
        <sz val="9"/>
        <color rgb="FF5AD4FF"/>
        <rFont val="Noto Sans CJK SC"/>
        <family val="2"/>
      </rPr>
      <t xml:space="preserve">値</t>
    </r>
  </si>
  <si>
    <t xml:space="preserve">キューち</t>
  </si>
  <si>
    <r>
      <rPr>
        <sz val="9"/>
        <color rgb="FFDBE2EA"/>
        <rFont val="Noto Sans CJK SC"/>
        <family val="2"/>
      </rPr>
      <t xml:space="preserve">山の鋭さ。</t>
    </r>
    <r>
      <rPr>
        <sz val="9"/>
        <color rgb="FFDBE2EA"/>
        <rFont val="Arial"/>
        <family val="0"/>
        <charset val="1"/>
      </rPr>
      <t xml:space="preserve">Q</t>
    </r>
    <r>
      <rPr>
        <sz val="9"/>
        <color rgb="FFDBE2EA"/>
        <rFont val="Noto Sans CJK SC"/>
        <family val="2"/>
      </rPr>
      <t xml:space="preserve">が大きいほど『よく響く』。</t>
    </r>
    <r>
      <rPr>
        <sz val="9"/>
        <color rgb="FFDBE2EA"/>
        <rFont val="Arial"/>
        <family val="0"/>
        <charset val="1"/>
      </rPr>
      <t xml:space="preserve">η </t>
    </r>
    <r>
      <rPr>
        <sz val="9"/>
        <color rgb="FFDBE2EA"/>
        <rFont val="Noto Sans CJK SC"/>
        <family val="2"/>
      </rPr>
      <t xml:space="preserve">の逆数</t>
    </r>
  </si>
  <si>
    <r>
      <rPr>
        <b val="true"/>
        <sz val="9"/>
        <color rgb="FF5AD4FF"/>
        <rFont val="Noto Sans CJK SC"/>
        <family val="2"/>
      </rPr>
      <t xml:space="preserve">極 </t>
    </r>
    <r>
      <rPr>
        <b val="true"/>
        <sz val="9"/>
        <color rgb="FF5AD4FF"/>
        <rFont val="Arial"/>
        <family val="0"/>
        <charset val="1"/>
      </rPr>
      <t xml:space="preserve">/ </t>
    </r>
    <r>
      <rPr>
        <b val="true"/>
        <sz val="9"/>
        <color rgb="FF5AD4FF"/>
        <rFont val="Noto Sans CJK SC"/>
        <family val="2"/>
      </rPr>
      <t xml:space="preserve">ポール</t>
    </r>
  </si>
  <si>
    <t xml:space="preserve">きょく</t>
  </si>
  <si>
    <t xml:space="preserve">モードの居場所を示す複素数の座標。実部＝消える速さ、虚部＝揺れる速さ</t>
  </si>
  <si>
    <r>
      <rPr>
        <sz val="9"/>
        <color rgb="FFDBE2EA"/>
        <rFont val="Arial"/>
        <family val="0"/>
        <charset val="1"/>
      </rPr>
      <t xml:space="preserve">08</t>
    </r>
    <r>
      <rPr>
        <sz val="9"/>
        <color rgb="FFDBE2EA"/>
        <rFont val="Noto Sans CJK SC"/>
        <family val="2"/>
      </rPr>
      <t xml:space="preserve">・</t>
    </r>
    <r>
      <rPr>
        <sz val="9"/>
        <color rgb="FFDBE2EA"/>
        <rFont val="Arial"/>
        <family val="0"/>
        <charset val="1"/>
      </rPr>
      <t xml:space="preserve">09</t>
    </r>
    <r>
      <rPr>
        <sz val="9"/>
        <color rgb="FFDBE2EA"/>
        <rFont val="Noto Sans CJK SC"/>
        <family val="2"/>
      </rPr>
      <t xml:space="preserve">シート</t>
    </r>
  </si>
  <si>
    <t xml:space="preserve">レジデュー（残差）</t>
  </si>
  <si>
    <t xml:space="preserve">共振の山の『高さ』。モード形状の成分そのもの。単位を持つ唯一の量</t>
  </si>
  <si>
    <t xml:space="preserve">モード形状</t>
  </si>
  <si>
    <t xml:space="preserve">そのモードで物がどんな形にたわむか。太鼓の皮の膨らみ方の型</t>
  </si>
  <si>
    <r>
      <rPr>
        <sz val="9"/>
        <color rgb="FFDBE2EA"/>
        <rFont val="Arial"/>
        <family val="0"/>
        <charset val="1"/>
      </rPr>
      <t xml:space="preserve">10</t>
    </r>
    <r>
      <rPr>
        <sz val="9"/>
        <color rgb="FFDBE2EA"/>
        <rFont val="Noto Sans CJK SC"/>
        <family val="2"/>
      </rPr>
      <t xml:space="preserve">シートのレジデューから作る</t>
    </r>
  </si>
  <si>
    <r>
      <rPr>
        <b val="true"/>
        <sz val="9"/>
        <color rgb="FF5AD4FF"/>
        <rFont val="Noto Sans CJK SC"/>
        <family val="2"/>
      </rPr>
      <t xml:space="preserve">縮退モード </t>
    </r>
    <r>
      <rPr>
        <b val="true"/>
        <sz val="9"/>
        <color rgb="FF5AD4FF"/>
        <rFont val="Arial"/>
        <family val="0"/>
        <charset val="1"/>
      </rPr>
      <t xml:space="preserve">/ </t>
    </r>
    <r>
      <rPr>
        <b val="true"/>
        <sz val="9"/>
        <color rgb="FF5AD4FF"/>
        <rFont val="Noto Sans CJK SC"/>
        <family val="2"/>
      </rPr>
      <t xml:space="preserve">双子モード</t>
    </r>
  </si>
  <si>
    <t xml:space="preserve">しゅくたいモード</t>
  </si>
  <si>
    <r>
      <rPr>
        <sz val="9"/>
        <color rgb="FFDBE2EA"/>
        <rFont val="Noto Sans CJK SC"/>
        <family val="2"/>
      </rPr>
      <t xml:space="preserve">形が対称なせいで、周波数がほぼ同じ</t>
    </r>
    <r>
      <rPr>
        <sz val="9"/>
        <color rgb="FFDBE2EA"/>
        <rFont val="Arial"/>
        <family val="0"/>
        <charset val="1"/>
      </rPr>
      <t xml:space="preserve">2</t>
    </r>
    <r>
      <rPr>
        <sz val="9"/>
        <color rgb="FFDBE2EA"/>
        <rFont val="Noto Sans CJK SC"/>
        <family val="2"/>
      </rPr>
      <t xml:space="preserve">つのモードが重なって出ること。ブレーキパッドの穴で崩れた対称性から生じる</t>
    </r>
  </si>
  <si>
    <t xml:space="preserve">本ブックの主目的</t>
  </si>
  <si>
    <t xml:space="preserve">まどかんすう</t>
  </si>
  <si>
    <r>
      <rPr>
        <sz val="9"/>
        <color rgb="FFDBE2EA"/>
        <rFont val="Noto Sans CJK SC"/>
        <family val="2"/>
      </rPr>
      <t xml:space="preserve">切り取った</t>
    </r>
    <r>
      <rPr>
        <sz val="9"/>
        <color rgb="FFDBE2EA"/>
        <rFont val="Arial"/>
        <family val="0"/>
        <charset val="1"/>
      </rPr>
      <t xml:space="preserve">1</t>
    </r>
    <r>
      <rPr>
        <sz val="9"/>
        <color rgb="FFDBE2EA"/>
        <rFont val="Noto Sans CJK SC"/>
        <family val="2"/>
      </rPr>
      <t xml:space="preserve">コマの両端をなだらかにゼロへ落とす『のりしろ』。段差から出るニセの音を防ぐ</t>
    </r>
  </si>
  <si>
    <r>
      <rPr>
        <sz val="9"/>
        <color rgb="FFDBE2EA"/>
        <rFont val="Arial"/>
        <family val="0"/>
        <charset val="1"/>
      </rPr>
      <t xml:space="preserve">02</t>
    </r>
    <r>
      <rPr>
        <sz val="9"/>
        <color rgb="FFDBE2EA"/>
        <rFont val="Noto Sans CJK SC"/>
        <family val="2"/>
      </rPr>
      <t xml:space="preserve">シート</t>
    </r>
  </si>
  <si>
    <t xml:space="preserve">リーケージ（漏れ）</t>
  </si>
  <si>
    <t xml:space="preserve">コマの端の段差が生む、本当は無いはずの周波数成分。これが山を太らせ、減衰を水増しする</t>
  </si>
  <si>
    <t xml:space="preserve">フォース窓</t>
  </si>
  <si>
    <t xml:space="preserve">ハンマーの力信号だけに使う窓。打撃の瞬間以外は物理的に本当にゼロなので、切っても嘘にならない</t>
  </si>
  <si>
    <t xml:space="preserve">指数窓</t>
  </si>
  <si>
    <t xml:space="preserve">しすうまど</t>
  </si>
  <si>
    <r>
      <rPr>
        <sz val="9"/>
        <color rgb="FFDBE2EA"/>
        <rFont val="Noto Sans CJK SC"/>
        <family val="2"/>
      </rPr>
      <t xml:space="preserve">応答側を </t>
    </r>
    <r>
      <rPr>
        <sz val="9"/>
        <color rgb="FFDBE2EA"/>
        <rFont val="Arial"/>
        <family val="0"/>
        <charset val="1"/>
      </rPr>
      <t xml:space="preserve">e^(−t/τ) </t>
    </r>
    <r>
      <rPr>
        <sz val="9"/>
        <color rgb="FFDBE2EA"/>
        <rFont val="Noto Sans CJK SC"/>
        <family val="2"/>
      </rPr>
      <t xml:space="preserve">で強制的に減衰させる窓。減衰を人工的に足すので、必ず引き算で戻す必要がある</t>
    </r>
  </si>
  <si>
    <r>
      <rPr>
        <sz val="9"/>
        <color rgb="FFDBE2EA"/>
        <rFont val="Arial"/>
        <family val="0"/>
        <charset val="1"/>
      </rPr>
      <t xml:space="preserve">02</t>
    </r>
    <r>
      <rPr>
        <sz val="9"/>
        <color rgb="FFDBE2EA"/>
        <rFont val="Noto Sans CJK SC"/>
        <family val="2"/>
      </rPr>
      <t xml:space="preserve">・</t>
    </r>
    <r>
      <rPr>
        <sz val="9"/>
        <color rgb="FFDBE2EA"/>
        <rFont val="Arial"/>
        <family val="0"/>
        <charset val="1"/>
      </rPr>
      <t xml:space="preserve">09</t>
    </r>
    <r>
      <rPr>
        <sz val="9"/>
        <color rgb="FFDBE2EA"/>
        <rFont val="Noto Sans CJK SC"/>
        <family val="2"/>
      </rPr>
      <t xml:space="preserve">シート</t>
    </r>
  </si>
  <si>
    <t xml:space="preserve">コヒーレンス</t>
  </si>
  <si>
    <r>
      <rPr>
        <sz val="9"/>
        <color rgb="FFDBE2EA"/>
        <rFont val="Noto Sans CJK SC"/>
        <family val="2"/>
      </rPr>
      <t xml:space="preserve">入力と出力がどれくらい素直に対応しているかの点数（</t>
    </r>
    <r>
      <rPr>
        <sz val="9"/>
        <color rgb="FFDBE2EA"/>
        <rFont val="Arial"/>
        <family val="0"/>
        <charset val="1"/>
      </rPr>
      <t xml:space="preserve">0</t>
    </r>
    <r>
      <rPr>
        <sz val="9"/>
        <color rgb="FFDBE2EA"/>
        <rFont val="Noto Sans CJK SC"/>
        <family val="2"/>
      </rPr>
      <t xml:space="preserve">〜</t>
    </r>
    <r>
      <rPr>
        <sz val="9"/>
        <color rgb="FFDBE2EA"/>
        <rFont val="Arial"/>
        <family val="0"/>
        <charset val="1"/>
      </rPr>
      <t xml:space="preserve">1</t>
    </r>
    <r>
      <rPr>
        <sz val="9"/>
        <color rgb="FFDBE2EA"/>
        <rFont val="Noto Sans CJK SC"/>
        <family val="2"/>
      </rPr>
      <t xml:space="preserve">）。</t>
    </r>
    <r>
      <rPr>
        <sz val="9"/>
        <color rgb="FFDBE2EA"/>
        <rFont val="Arial"/>
        <family val="0"/>
        <charset val="1"/>
      </rPr>
      <t xml:space="preserve">0.9</t>
    </r>
    <r>
      <rPr>
        <sz val="9"/>
        <color rgb="FFDBE2EA"/>
        <rFont val="Noto Sans CJK SC"/>
        <family val="2"/>
      </rPr>
      <t xml:space="preserve">未満は測り直しのサイン</t>
    </r>
  </si>
  <si>
    <r>
      <rPr>
        <sz val="9"/>
        <color rgb="FFDBE2EA"/>
        <rFont val="Arial"/>
        <family val="0"/>
        <charset val="1"/>
      </rPr>
      <t xml:space="preserve">03</t>
    </r>
    <r>
      <rPr>
        <sz val="9"/>
        <color rgb="FFDBE2EA"/>
        <rFont val="Noto Sans CJK SC"/>
        <family val="2"/>
      </rPr>
      <t xml:space="preserve">シート </t>
    </r>
    <r>
      <rPr>
        <sz val="9"/>
        <color rgb="FFDBE2EA"/>
        <rFont val="Arial"/>
        <family val="0"/>
        <charset val="1"/>
      </rPr>
      <t xml:space="preserve">K</t>
    </r>
    <r>
      <rPr>
        <sz val="9"/>
        <color rgb="FFDBE2EA"/>
        <rFont val="Noto Sans CJK SC"/>
        <family val="2"/>
      </rPr>
      <t xml:space="preserve">列</t>
    </r>
  </si>
  <si>
    <r>
      <rPr>
        <b val="true"/>
        <sz val="9"/>
        <color rgb="FF5AD4FF"/>
        <rFont val="Noto Sans CJK SC"/>
        <family val="2"/>
      </rPr>
      <t xml:space="preserve">周波数分解能 </t>
    </r>
    <r>
      <rPr>
        <b val="true"/>
        <sz val="9"/>
        <color rgb="FF5AD4FF"/>
        <rFont val="Arial"/>
        <family val="0"/>
        <charset val="1"/>
      </rPr>
      <t xml:space="preserve">Δf</t>
    </r>
  </si>
  <si>
    <r>
      <rPr>
        <sz val="9"/>
        <color rgb="FFDBE2EA"/>
        <rFont val="Noto Sans CJK SC"/>
        <family val="2"/>
      </rPr>
      <t xml:space="preserve">目盛りの細かさ。</t>
    </r>
    <r>
      <rPr>
        <sz val="9"/>
        <color rgb="FFDBE2EA"/>
        <rFont val="Arial"/>
        <family val="0"/>
        <charset val="1"/>
      </rPr>
      <t xml:space="preserve">Δf = fs/N</t>
    </r>
    <r>
      <rPr>
        <sz val="9"/>
        <color rgb="FFDBE2EA"/>
        <rFont val="Noto Sans CJK SC"/>
        <family val="2"/>
      </rPr>
      <t xml:space="preserve">。細かいほど近い</t>
    </r>
    <r>
      <rPr>
        <sz val="9"/>
        <color rgb="FFDBE2EA"/>
        <rFont val="Arial"/>
        <family val="0"/>
        <charset val="1"/>
      </rPr>
      <t xml:space="preserve">2</t>
    </r>
    <r>
      <rPr>
        <sz val="9"/>
        <color rgb="FFDBE2EA"/>
        <rFont val="Noto Sans CJK SC"/>
        <family val="2"/>
      </rPr>
      <t xml:space="preserve">本の山を見分けられる</t>
    </r>
  </si>
  <si>
    <r>
      <rPr>
        <sz val="9"/>
        <color rgb="FFDBE2EA"/>
        <rFont val="Arial"/>
        <family val="0"/>
        <charset val="1"/>
      </rPr>
      <t xml:space="preserve">01</t>
    </r>
    <r>
      <rPr>
        <sz val="9"/>
        <color rgb="FFDBE2EA"/>
        <rFont val="Noto Sans CJK SC"/>
        <family val="2"/>
      </rPr>
      <t xml:space="preserve">・</t>
    </r>
    <r>
      <rPr>
        <sz val="9"/>
        <color rgb="FFDBE2EA"/>
        <rFont val="Arial"/>
        <family val="0"/>
        <charset val="1"/>
      </rPr>
      <t xml:space="preserve">03</t>
    </r>
    <r>
      <rPr>
        <sz val="9"/>
        <color rgb="FFDBE2EA"/>
        <rFont val="Noto Sans CJK SC"/>
        <family val="2"/>
      </rPr>
      <t xml:space="preserve">シート</t>
    </r>
  </si>
  <si>
    <t xml:space="preserve">正規化</t>
  </si>
  <si>
    <t xml:space="preserve">せいきか</t>
  </si>
  <si>
    <r>
      <rPr>
        <sz val="9"/>
        <color rgb="FFDBE2EA"/>
        <rFont val="Noto Sans CJK SC"/>
        <family val="2"/>
      </rPr>
      <t xml:space="preserve">数字を『</t>
    </r>
    <r>
      <rPr>
        <sz val="9"/>
        <color rgb="FFDBE2EA"/>
        <rFont val="Arial"/>
        <family val="0"/>
        <charset val="1"/>
      </rPr>
      <t xml:space="preserve">1</t>
    </r>
    <r>
      <rPr>
        <sz val="9"/>
        <color rgb="FFDBE2EA"/>
        <rFont val="Noto Sans CJK SC"/>
        <family val="2"/>
      </rPr>
      <t xml:space="preserve">前後』に揃えて、桁の大小による計算誤差を防ぐこと。これを怠ると双子分離に失敗する</t>
    </r>
  </si>
  <si>
    <r>
      <rPr>
        <sz val="9"/>
        <color rgb="FFDBE2EA"/>
        <rFont val="Arial"/>
        <family val="0"/>
        <charset val="1"/>
      </rPr>
      <t xml:space="preserve">03</t>
    </r>
    <r>
      <rPr>
        <sz val="9"/>
        <color rgb="FFDBE2EA"/>
        <rFont val="Noto Sans CJK SC"/>
        <family val="2"/>
      </rPr>
      <t xml:space="preserve">・</t>
    </r>
    <r>
      <rPr>
        <sz val="9"/>
        <color rgb="FFDBE2EA"/>
        <rFont val="Arial"/>
        <family val="0"/>
        <charset val="1"/>
      </rPr>
      <t xml:space="preserve">06</t>
    </r>
    <r>
      <rPr>
        <sz val="9"/>
        <color rgb="FFDBE2EA"/>
        <rFont val="Noto Sans CJK SC"/>
        <family val="2"/>
      </rPr>
      <t xml:space="preserve">シート</t>
    </r>
  </si>
  <si>
    <t xml:space="preserve">最小二乗法</t>
  </si>
  <si>
    <t xml:space="preserve">さいしょうにじょうほう</t>
  </si>
  <si>
    <t xml:space="preserve">点々からのズレの二乗を合計し、それが一番小さくなる線を選ぶやり方</t>
  </si>
  <si>
    <r>
      <rPr>
        <sz val="9"/>
        <color rgb="FFDBE2EA"/>
        <rFont val="Arial"/>
        <family val="0"/>
        <charset val="1"/>
      </rPr>
      <t xml:space="preserve">07</t>
    </r>
    <r>
      <rPr>
        <sz val="9"/>
        <color rgb="FFDBE2EA"/>
        <rFont val="Noto Sans CJK SC"/>
        <family val="2"/>
      </rPr>
      <t xml:space="preserve">・</t>
    </r>
    <r>
      <rPr>
        <sz val="9"/>
        <color rgb="FFDBE2EA"/>
        <rFont val="Arial"/>
        <family val="0"/>
        <charset val="1"/>
      </rPr>
      <t xml:space="preserve">10</t>
    </r>
    <r>
      <rPr>
        <sz val="9"/>
        <color rgb="FFDBE2EA"/>
        <rFont val="Noto Sans CJK SC"/>
        <family val="2"/>
      </rPr>
      <t xml:space="preserve">シート</t>
    </r>
  </si>
  <si>
    <t xml:space="preserve">リッジ正則化</t>
  </si>
  <si>
    <t xml:space="preserve">逆行列が作れないほど行列が“ペチャンコ”になるのを防ぐため、対角にごく小さな数を足す保険</t>
  </si>
  <si>
    <t xml:space="preserve">ニュートン法</t>
  </si>
  <si>
    <r>
      <rPr>
        <sz val="9"/>
        <color rgb="FFDBE2EA"/>
        <rFont val="Noto Sans CJK SC"/>
        <family val="2"/>
      </rPr>
      <t xml:space="preserve">今いる場所の傾きを見て『あと何歩でゼロか』を計算して一気に進む解き方。</t>
    </r>
    <r>
      <rPr>
        <sz val="9"/>
        <color rgb="FFDBE2EA"/>
        <rFont val="Arial"/>
        <family val="0"/>
        <charset val="1"/>
      </rPr>
      <t xml:space="preserve">1</t>
    </r>
    <r>
      <rPr>
        <sz val="9"/>
        <color rgb="FFDBE2EA"/>
        <rFont val="Noto Sans CJK SC"/>
        <family val="2"/>
      </rPr>
      <t xml:space="preserve">回で正しい桁数が倍になる</t>
    </r>
  </si>
  <si>
    <r>
      <rPr>
        <sz val="9"/>
        <color rgb="FFDBE2EA"/>
        <rFont val="Arial"/>
        <family val="0"/>
        <charset val="1"/>
      </rPr>
      <t xml:space="preserve">08</t>
    </r>
    <r>
      <rPr>
        <sz val="9"/>
        <color rgb="FFDBE2EA"/>
        <rFont val="Noto Sans CJK SC"/>
        <family val="2"/>
      </rPr>
      <t xml:space="preserve">シート</t>
    </r>
  </si>
  <si>
    <r>
      <rPr>
        <b val="true"/>
        <sz val="9"/>
        <color rgb="FF5AD4FF"/>
        <rFont val="Noto Sans CJK SC"/>
        <family val="2"/>
      </rPr>
      <t xml:space="preserve">残余項 </t>
    </r>
    <r>
      <rPr>
        <b val="true"/>
        <sz val="9"/>
        <color rgb="FF5AD4FF"/>
        <rFont val="Arial"/>
        <family val="0"/>
        <charset val="1"/>
      </rPr>
      <t xml:space="preserve">RL / RU</t>
    </r>
  </si>
  <si>
    <t xml:space="preserve">ざんよこう</t>
  </si>
  <si>
    <r>
      <rPr>
        <sz val="9"/>
        <color rgb="FFDBE2EA"/>
        <rFont val="Noto Sans CJK SC"/>
        <family val="2"/>
      </rPr>
      <t xml:space="preserve">見ている帯域の外にあるモードの『しみ出し』を吸収する補正項。下側は−</t>
    </r>
    <r>
      <rPr>
        <sz val="9"/>
        <color rgb="FFDBE2EA"/>
        <rFont val="Arial"/>
        <family val="0"/>
        <charset val="1"/>
      </rPr>
      <t xml:space="preserve">RL/ω²</t>
    </r>
    <r>
      <rPr>
        <sz val="9"/>
        <color rgb="FFDBE2EA"/>
        <rFont val="Noto Sans CJK SC"/>
        <family val="2"/>
      </rPr>
      <t xml:space="preserve">、上側は定数</t>
    </r>
  </si>
  <si>
    <r>
      <rPr>
        <b val="true"/>
        <sz val="9"/>
        <color rgb="FF5AD4FF"/>
        <rFont val="Arial"/>
        <family val="0"/>
        <charset val="1"/>
      </rPr>
      <t xml:space="preserve">UMM </t>
    </r>
    <r>
      <rPr>
        <b val="true"/>
        <sz val="9"/>
        <color rgb="FF5AD4FF"/>
        <rFont val="Noto Sans CJK SC"/>
        <family val="2"/>
      </rPr>
      <t xml:space="preserve">スケーリング</t>
    </r>
  </si>
  <si>
    <t xml:space="preserve">ユーエムエム</t>
  </si>
  <si>
    <r>
      <rPr>
        <sz val="9"/>
        <color rgb="FFDBE2EA"/>
        <rFont val="Noto Sans CJK SC"/>
        <family val="2"/>
      </rPr>
      <t xml:space="preserve">モーダル質量を</t>
    </r>
    <r>
      <rPr>
        <sz val="9"/>
        <color rgb="FFDBE2EA"/>
        <rFont val="Arial"/>
        <family val="0"/>
        <charset val="1"/>
      </rPr>
      <t xml:space="preserve">1</t>
    </r>
    <r>
      <rPr>
        <sz val="9"/>
        <color rgb="FFDBE2EA"/>
        <rFont val="Noto Sans CJK SC"/>
        <family val="2"/>
      </rPr>
      <t xml:space="preserve">に揃えるモード形状の決め方。実験モーダル解析の標準</t>
    </r>
  </si>
  <si>
    <r>
      <rPr>
        <sz val="9"/>
        <color rgb="FFDBE2EA"/>
        <rFont val="Arial"/>
        <family val="0"/>
        <charset val="1"/>
      </rPr>
      <t xml:space="preserve">10</t>
    </r>
    <r>
      <rPr>
        <sz val="9"/>
        <color rgb="FFDBE2EA"/>
        <rFont val="Noto Sans CJK SC"/>
        <family val="2"/>
      </rPr>
      <t xml:space="preserve">・</t>
    </r>
    <r>
      <rPr>
        <sz val="9"/>
        <color rgb="FFDBE2EA"/>
        <rFont val="Arial"/>
        <family val="0"/>
        <charset val="1"/>
      </rPr>
      <t xml:space="preserve">12</t>
    </r>
    <r>
      <rPr>
        <sz val="9"/>
        <color rgb="FFDBE2EA"/>
        <rFont val="Noto Sans CJK SC"/>
        <family val="2"/>
      </rPr>
      <t xml:space="preserve">シート</t>
    </r>
  </si>
  <si>
    <r>
      <rPr>
        <b val="true"/>
        <sz val="9"/>
        <color rgb="FF5AD4FF"/>
        <rFont val="Noto Sans CJK SC"/>
        <family val="2"/>
      </rPr>
      <t xml:space="preserve">駆動点</t>
    </r>
    <r>
      <rPr>
        <b val="true"/>
        <sz val="9"/>
        <color rgb="FF5AD4FF"/>
        <rFont val="Arial"/>
        <family val="0"/>
        <charset val="1"/>
      </rPr>
      <t xml:space="preserve">FRF</t>
    </r>
  </si>
  <si>
    <t xml:space="preserve">くどうてんエフアールエフ</t>
  </si>
  <si>
    <r>
      <rPr>
        <sz val="9"/>
        <color rgb="FFDBE2EA"/>
        <rFont val="Noto Sans CJK SC"/>
        <family val="2"/>
      </rPr>
      <t xml:space="preserve">叩いた場所と測った場所が同じ</t>
    </r>
    <r>
      <rPr>
        <sz val="9"/>
        <color rgb="FFDBE2EA"/>
        <rFont val="Arial"/>
        <family val="0"/>
        <charset val="1"/>
      </rPr>
      <t xml:space="preserve">FRF</t>
    </r>
    <r>
      <rPr>
        <sz val="9"/>
        <color rgb="FFDBE2EA"/>
        <rFont val="Noto Sans CJK SC"/>
        <family val="2"/>
      </rPr>
      <t xml:space="preserve">。モーダル質量を出すにはこれが必須</t>
    </r>
  </si>
  <si>
    <t xml:space="preserve">CMIF</t>
  </si>
  <si>
    <t xml:space="preserve">シーミフ</t>
  </si>
  <si>
    <r>
      <rPr>
        <sz val="9"/>
        <color rgb="FFDBE2EA"/>
        <rFont val="Arial"/>
        <family val="0"/>
        <charset val="1"/>
      </rPr>
      <t xml:space="preserve">FRF</t>
    </r>
    <r>
      <rPr>
        <sz val="9"/>
        <color rgb="FFDBE2EA"/>
        <rFont val="Noto Sans CJK SC"/>
        <family val="2"/>
      </rPr>
      <t xml:space="preserve">を行列にして特異値分解し、山を数える方法。縮退モードの本数を確実に当てられる</t>
    </r>
  </si>
  <si>
    <r>
      <rPr>
        <sz val="9"/>
        <color rgb="FFDBE2EA"/>
        <rFont val="Arial"/>
        <family val="0"/>
        <charset val="1"/>
      </rPr>
      <t xml:space="preserve">12</t>
    </r>
    <r>
      <rPr>
        <sz val="9"/>
        <color rgb="FFDBE2EA"/>
        <rFont val="Noto Sans CJK SC"/>
        <family val="2"/>
      </rPr>
      <t xml:space="preserve">シート（</t>
    </r>
    <r>
      <rPr>
        <sz val="9"/>
        <color rgb="FFDBE2EA"/>
        <rFont val="Arial"/>
        <family val="0"/>
        <charset val="1"/>
      </rPr>
      <t xml:space="preserve">Excel</t>
    </r>
    <r>
      <rPr>
        <sz val="9"/>
        <color rgb="FFDBE2EA"/>
        <rFont val="Noto Sans CJK SC"/>
        <family val="2"/>
      </rPr>
      <t xml:space="preserve">不可）</t>
    </r>
  </si>
  <si>
    <t xml:space="preserve">安定化線図</t>
  </si>
  <si>
    <t xml:space="preserve">あんていかせんず</t>
  </si>
  <si>
    <t xml:space="preserve">モデルの次数を変えても動かない極だけを『本物』と判定する図</t>
  </si>
  <si>
    <r>
      <rPr>
        <sz val="9"/>
        <color rgb="FFDBE2EA"/>
        <rFont val="Arial"/>
        <family val="0"/>
        <charset val="1"/>
      </rPr>
      <t xml:space="preserve">12</t>
    </r>
    <r>
      <rPr>
        <sz val="9"/>
        <color rgb="FFDBE2EA"/>
        <rFont val="Noto Sans CJK SC"/>
        <family val="2"/>
      </rPr>
      <t xml:space="preserve">シート</t>
    </r>
  </si>
  <si>
    <t xml:space="preserve">MAC</t>
  </si>
  <si>
    <t xml:space="preserve">マック</t>
  </si>
  <si>
    <r>
      <rPr>
        <sz val="9"/>
        <color rgb="FFDBE2EA"/>
        <rFont val="Arial"/>
        <family val="0"/>
        <charset val="1"/>
      </rPr>
      <t xml:space="preserve">2</t>
    </r>
    <r>
      <rPr>
        <sz val="9"/>
        <color rgb="FFDBE2EA"/>
        <rFont val="Noto Sans CJK SC"/>
        <family val="2"/>
      </rPr>
      <t xml:space="preserve">つのモード形状がどれくらい似ているかの点数（</t>
    </r>
    <r>
      <rPr>
        <sz val="9"/>
        <color rgb="FFDBE2EA"/>
        <rFont val="Arial"/>
        <family val="0"/>
        <charset val="1"/>
      </rPr>
      <t xml:space="preserve">0</t>
    </r>
    <r>
      <rPr>
        <sz val="9"/>
        <color rgb="FFDBE2EA"/>
        <rFont val="Noto Sans CJK SC"/>
        <family val="2"/>
      </rPr>
      <t xml:space="preserve">〜</t>
    </r>
    <r>
      <rPr>
        <sz val="9"/>
        <color rgb="FFDBE2EA"/>
        <rFont val="Arial"/>
        <family val="0"/>
        <charset val="1"/>
      </rPr>
      <t xml:space="preserve">1</t>
    </r>
    <r>
      <rPr>
        <sz val="9"/>
        <color rgb="FFDBE2EA"/>
        <rFont val="Noto Sans CJK SC"/>
        <family val="2"/>
      </rPr>
      <t xml:space="preserve">）。</t>
    </r>
    <r>
      <rPr>
        <sz val="9"/>
        <color rgb="FFDBE2EA"/>
        <rFont val="Arial"/>
        <family val="0"/>
        <charset val="1"/>
      </rPr>
      <t xml:space="preserve">0.9</t>
    </r>
    <r>
      <rPr>
        <sz val="9"/>
        <color rgb="FFDBE2EA"/>
        <rFont val="Noto Sans CJK SC"/>
        <family val="2"/>
      </rPr>
      <t xml:space="preserve">超なら同じ形とみなす</t>
    </r>
  </si>
  <si>
    <t xml:space="preserve">⑮ よくあるミスと事前チェックリスト</t>
  </si>
  <si>
    <t xml:space="preserve">チェック欄に『✓』を打ちながら進めてください。ここを飛ばすと、きれいな数字が出ても中身は嘘になります。</t>
  </si>
  <si>
    <t xml:space="preserve">■ 測定の前に</t>
  </si>
  <si>
    <t xml:space="preserve">✓</t>
  </si>
  <si>
    <t xml:space="preserve">なぜ大事か</t>
  </si>
  <si>
    <t xml:space="preserve">確認方法</t>
  </si>
  <si>
    <t xml:space="preserve">ハンマーの二度打ちが無いか</t>
  </si>
  <si>
    <r>
      <rPr>
        <sz val="9"/>
        <color rgb="FFDBE2EA"/>
        <rFont val="Arial"/>
        <family val="0"/>
        <charset val="1"/>
      </rPr>
      <t xml:space="preserve">2</t>
    </r>
    <r>
      <rPr>
        <sz val="9"/>
        <color rgb="FFDBE2EA"/>
        <rFont val="Noto Sans CJK SC"/>
        <family val="2"/>
      </rPr>
      <t xml:space="preserve">回叩くと</t>
    </r>
    <r>
      <rPr>
        <sz val="9"/>
        <color rgb="FFDBE2EA"/>
        <rFont val="Arial"/>
        <family val="0"/>
        <charset val="1"/>
      </rPr>
      <t xml:space="preserve">FRF</t>
    </r>
    <r>
      <rPr>
        <sz val="9"/>
        <color rgb="FFDBE2EA"/>
        <rFont val="Noto Sans CJK SC"/>
        <family val="2"/>
      </rPr>
      <t xml:space="preserve">に周期的なうねりが乗り、カーブフィットが全部狂う</t>
    </r>
  </si>
  <si>
    <r>
      <rPr>
        <sz val="9"/>
        <color rgb="FFDBE2EA"/>
        <rFont val="Noto Sans CJK SC"/>
        <family val="2"/>
      </rPr>
      <t xml:space="preserve">時間波形を目視。力信号の山が</t>
    </r>
    <r>
      <rPr>
        <sz val="9"/>
        <color rgb="FFDBE2EA"/>
        <rFont val="Arial"/>
        <family val="0"/>
        <charset val="1"/>
      </rPr>
      <t xml:space="preserve">1</t>
    </r>
    <r>
      <rPr>
        <sz val="9"/>
        <color rgb="FFDBE2EA"/>
        <rFont val="Noto Sans CJK SC"/>
        <family val="2"/>
      </rPr>
      <t xml:space="preserve">つだけか</t>
    </r>
  </si>
  <si>
    <t xml:space="preserve">加振点が節（ふし）に乗っていないか</t>
  </si>
  <si>
    <t xml:space="preserve">節を叩くとそのモードが全測定から消える。存在自体に気づけない</t>
  </si>
  <si>
    <t xml:space="preserve">角を叩く。角は曲げにもねじりにも節が来にくい</t>
  </si>
  <si>
    <t xml:space="preserve">吊り（ピアノ線）の位置は節の近くか</t>
  </si>
  <si>
    <t xml:space="preserve">吊り点が腹にあると自由自由条件が崩れ、減衰も汚染される</t>
  </si>
  <si>
    <r>
      <rPr>
        <sz val="9"/>
        <color rgb="FFDBE2EA"/>
        <rFont val="Noto Sans CJK SC"/>
        <family val="2"/>
      </rPr>
      <t xml:space="preserve">バウンスモードが</t>
    </r>
    <r>
      <rPr>
        <sz val="9"/>
        <color rgb="FFDBE2EA"/>
        <rFont val="Arial"/>
        <family val="0"/>
        <charset val="1"/>
      </rPr>
      <t xml:space="preserve">1</t>
    </r>
    <r>
      <rPr>
        <sz val="9"/>
        <color rgb="FFDBE2EA"/>
        <rFont val="Noto Sans CJK SC"/>
        <family val="2"/>
      </rPr>
      <t xml:space="preserve">次弾性モードの</t>
    </r>
    <r>
      <rPr>
        <sz val="9"/>
        <color rgb="FFDBE2EA"/>
        <rFont val="Arial"/>
        <family val="0"/>
        <charset val="1"/>
      </rPr>
      <t xml:space="preserve">1/10</t>
    </r>
    <r>
      <rPr>
        <sz val="9"/>
        <color rgb="FFDBE2EA"/>
        <rFont val="Noto Sans CJK SC"/>
        <family val="2"/>
      </rPr>
      <t xml:space="preserve">以下か</t>
    </r>
  </si>
  <si>
    <t xml:space="preserve">センサの質量付加は無視できるか</t>
  </si>
  <si>
    <r>
      <rPr>
        <sz val="9"/>
        <color rgb="FFDBE2EA"/>
        <rFont val="Noto Sans CJK SC"/>
        <family val="2"/>
      </rPr>
      <t xml:space="preserve">パッド程度の質量だと加速度計は重い。</t>
    </r>
    <r>
      <rPr>
        <sz val="9"/>
        <color rgb="FFDBE2EA"/>
        <rFont val="Arial"/>
        <family val="0"/>
        <charset val="1"/>
      </rPr>
      <t xml:space="preserve">LDV</t>
    </r>
    <r>
      <rPr>
        <sz val="9"/>
        <color rgb="FFDBE2EA"/>
        <rFont val="Noto Sans CJK SC"/>
        <family val="2"/>
      </rPr>
      <t xml:space="preserve">なら非接触で問題なし</t>
    </r>
  </si>
  <si>
    <r>
      <rPr>
        <sz val="9"/>
        <color rgb="FFDBE2EA"/>
        <rFont val="Noto Sans CJK SC"/>
        <family val="2"/>
      </rPr>
      <t xml:space="preserve">質量比</t>
    </r>
    <r>
      <rPr>
        <sz val="9"/>
        <color rgb="FFDBE2EA"/>
        <rFont val="Arial"/>
        <family val="0"/>
        <charset val="1"/>
      </rPr>
      <t xml:space="preserve">1%</t>
    </r>
    <r>
      <rPr>
        <sz val="9"/>
        <color rgb="FFDBE2EA"/>
        <rFont val="Noto Sans CJK SC"/>
        <family val="2"/>
      </rPr>
      <t xml:space="preserve">以下が目安</t>
    </r>
  </si>
  <si>
    <t xml:space="preserve">フレーム終端で揺れが消えているか</t>
  </si>
  <si>
    <t xml:space="preserve">消えていないのに窓なしにするとリーケージで減衰を過大評価</t>
  </si>
  <si>
    <r>
      <rPr>
        <sz val="9"/>
        <color rgb="FFDBE2EA"/>
        <rFont val="Arial"/>
        <family val="0"/>
        <charset val="1"/>
      </rPr>
      <t xml:space="preserve">01</t>
    </r>
    <r>
      <rPr>
        <sz val="9"/>
        <color rgb="FFDBE2EA"/>
        <rFont val="Noto Sans CJK SC"/>
        <family val="2"/>
      </rPr>
      <t xml:space="preserve">・</t>
    </r>
    <r>
      <rPr>
        <sz val="9"/>
        <color rgb="FFDBE2EA"/>
        <rFont val="Arial"/>
        <family val="0"/>
        <charset val="1"/>
      </rPr>
      <t xml:space="preserve">02</t>
    </r>
    <r>
      <rPr>
        <sz val="9"/>
        <color rgb="FFDBE2EA"/>
        <rFont val="Noto Sans CJK SC"/>
        <family val="2"/>
      </rPr>
      <t xml:space="preserve">シートの計算と時間波形で確認</t>
    </r>
  </si>
  <si>
    <r>
      <rPr>
        <sz val="9"/>
        <color rgb="FFDBE2EA"/>
        <rFont val="Noto Sans CJK SC"/>
        <family val="2"/>
      </rPr>
      <t xml:space="preserve">コヒーレンスは共振点で</t>
    </r>
    <r>
      <rPr>
        <sz val="9"/>
        <color rgb="FFDBE2EA"/>
        <rFont val="Arial"/>
        <family val="0"/>
        <charset val="1"/>
      </rPr>
      <t xml:space="preserve">0.9</t>
    </r>
    <r>
      <rPr>
        <sz val="9"/>
        <color rgb="FFDBE2EA"/>
        <rFont val="Noto Sans CJK SC"/>
        <family val="2"/>
      </rPr>
      <t xml:space="preserve">以上か</t>
    </r>
  </si>
  <si>
    <r>
      <rPr>
        <sz val="9"/>
        <color rgb="FFDBE2EA"/>
        <rFont val="Arial"/>
        <family val="0"/>
        <charset val="1"/>
      </rPr>
      <t xml:space="preserve">0.9</t>
    </r>
    <r>
      <rPr>
        <sz val="9"/>
        <color rgb="FFDBE2EA"/>
        <rFont val="Noto Sans CJK SC"/>
        <family val="2"/>
      </rPr>
      <t xml:space="preserve">未満は入出力の対応が悪い＝データが信用できない</t>
    </r>
  </si>
  <si>
    <t xml:space="preserve">アナライザのコヒーレンス表示</t>
  </si>
  <si>
    <t xml:space="preserve">■ 解析の最中に</t>
  </si>
  <si>
    <t xml:space="preserve">よくあるミス</t>
  </si>
  <si>
    <t xml:space="preserve">何が起きるか</t>
  </si>
  <si>
    <t xml:space="preserve">対策</t>
  </si>
  <si>
    <r>
      <rPr>
        <sz val="9"/>
        <color rgb="FFDBE2EA"/>
        <rFont val="Noto Sans CJK SC"/>
        <family val="2"/>
      </rPr>
      <t xml:space="preserve">正規化を忘れる（生の</t>
    </r>
    <r>
      <rPr>
        <sz val="9"/>
        <color rgb="FFDBE2EA"/>
        <rFont val="Arial"/>
        <family val="0"/>
        <charset val="1"/>
      </rPr>
      <t xml:space="preserve">Hz</t>
    </r>
    <r>
      <rPr>
        <sz val="9"/>
        <color rgb="FFDBE2EA"/>
        <rFont val="Noto Sans CJK SC"/>
        <family val="2"/>
      </rPr>
      <t xml:space="preserve">のまま計算）</t>
    </r>
  </si>
  <si>
    <r>
      <rPr>
        <sz val="9"/>
        <color rgb="FFDBE2EA"/>
        <rFont val="Noto Sans CJK SC"/>
        <family val="2"/>
      </rPr>
      <t xml:space="preserve">行列の条件数が</t>
    </r>
    <r>
      <rPr>
        <sz val="9"/>
        <color rgb="FFDBE2EA"/>
        <rFont val="Arial"/>
        <family val="0"/>
        <charset val="1"/>
      </rPr>
      <t xml:space="preserve">10⁹</t>
    </r>
    <r>
      <rPr>
        <sz val="9"/>
        <color rgb="FFDBE2EA"/>
        <rFont val="Noto Sans CJK SC"/>
        <family val="2"/>
      </rPr>
      <t xml:space="preserve">級になり、双子の分離に失敗する</t>
    </r>
  </si>
  <si>
    <r>
      <rPr>
        <sz val="9"/>
        <color rgb="FFDBE2EA"/>
        <rFont val="Arial"/>
        <family val="0"/>
        <charset val="1"/>
      </rPr>
      <t xml:space="preserve">03</t>
    </r>
    <r>
      <rPr>
        <sz val="9"/>
        <color rgb="FFDBE2EA"/>
        <rFont val="Noto Sans CJK SC"/>
        <family val="2"/>
      </rPr>
      <t xml:space="preserve">シートが自動で正規化。手で作り直さない</t>
    </r>
  </si>
  <si>
    <t xml:space="preserve">帯域が広すぎる</t>
  </si>
  <si>
    <r>
      <rPr>
        <sz val="9"/>
        <color rgb="FFDBE2EA"/>
        <rFont val="Noto Sans CJK SC"/>
        <family val="2"/>
      </rPr>
      <t xml:space="preserve">帯域内に</t>
    </r>
    <r>
      <rPr>
        <sz val="9"/>
        <color rgb="FFDBE2EA"/>
        <rFont val="Arial"/>
        <family val="0"/>
        <charset val="1"/>
      </rPr>
      <t xml:space="preserve">3</t>
    </r>
    <r>
      <rPr>
        <sz val="9"/>
        <color rgb="FFDBE2EA"/>
        <rFont val="Noto Sans CJK SC"/>
        <family val="2"/>
      </rPr>
      <t xml:space="preserve">本目のモードが入り、分母</t>
    </r>
    <r>
      <rPr>
        <sz val="9"/>
        <color rgb="FFDBE2EA"/>
        <rFont val="Arial"/>
        <family val="0"/>
        <charset val="1"/>
      </rPr>
      <t xml:space="preserve">4</t>
    </r>
    <r>
      <rPr>
        <sz val="9"/>
        <color rgb="FFDBE2EA"/>
        <rFont val="Noto Sans CJK SC"/>
        <family val="2"/>
      </rPr>
      <t xml:space="preserve">次では表せなくなる</t>
    </r>
  </si>
  <si>
    <r>
      <rPr>
        <sz val="9"/>
        <color rgb="FFDBE2EA"/>
        <rFont val="Noto Sans CJK SC"/>
        <family val="2"/>
      </rPr>
      <t xml:space="preserve">分けたい</t>
    </r>
    <r>
      <rPr>
        <sz val="9"/>
        <color rgb="FFDBE2EA"/>
        <rFont val="Arial"/>
        <family val="0"/>
        <charset val="1"/>
      </rPr>
      <t xml:space="preserve">2</t>
    </r>
    <r>
      <rPr>
        <sz val="9"/>
        <color rgb="FFDBE2EA"/>
        <rFont val="Noto Sans CJK SC"/>
        <family val="2"/>
      </rPr>
      <t xml:space="preserve">本＋裾だけに絞る。</t>
    </r>
    <r>
      <rPr>
        <sz val="9"/>
        <color rgb="FFDBE2EA"/>
        <rFont val="Arial"/>
        <family val="0"/>
        <charset val="1"/>
      </rPr>
      <t xml:space="preserve">20</t>
    </r>
    <r>
      <rPr>
        <sz val="9"/>
        <color rgb="FFDBE2EA"/>
        <rFont val="Noto Sans CJK SC"/>
        <family val="2"/>
      </rPr>
      <t xml:space="preserve">〜</t>
    </r>
    <r>
      <rPr>
        <sz val="9"/>
        <color rgb="FFDBE2EA"/>
        <rFont val="Arial"/>
        <family val="0"/>
        <charset val="1"/>
      </rPr>
      <t xml:space="preserve">80</t>
    </r>
    <r>
      <rPr>
        <sz val="9"/>
        <color rgb="FFDBE2EA"/>
        <rFont val="Noto Sans CJK SC"/>
        <family val="2"/>
      </rPr>
      <t xml:space="preserve">点が目安</t>
    </r>
  </si>
  <si>
    <t xml:space="preserve">帯域が狭すぎる</t>
  </si>
  <si>
    <t xml:space="preserve">山の裾が切れて残余項が効かず、減衰が合わなくなる</t>
  </si>
  <si>
    <r>
      <rPr>
        <sz val="9"/>
        <color rgb="FFDBE2EA"/>
        <rFont val="Noto Sans CJK SC"/>
        <family val="2"/>
      </rPr>
      <t xml:space="preserve">半値幅の</t>
    </r>
    <r>
      <rPr>
        <sz val="9"/>
        <color rgb="FFDBE2EA"/>
        <rFont val="Arial"/>
        <family val="0"/>
        <charset val="1"/>
      </rPr>
      <t xml:space="preserve">5</t>
    </r>
    <r>
      <rPr>
        <sz val="9"/>
        <color rgb="FFDBE2EA"/>
        <rFont val="Noto Sans CJK SC"/>
        <family val="2"/>
      </rPr>
      <t xml:space="preserve">倍以上は左右に余裕を持たせる</t>
    </r>
  </si>
  <si>
    <t xml:space="preserve">初期値が山から離れすぎ</t>
  </si>
  <si>
    <t xml:space="preserve">ニュートン法が別の根に収束したり発散する</t>
  </si>
  <si>
    <r>
      <rPr>
        <sz val="9"/>
        <color rgb="FFDBE2EA"/>
        <rFont val="Arial"/>
        <family val="0"/>
        <charset val="1"/>
      </rPr>
      <t xml:space="preserve">04</t>
    </r>
    <r>
      <rPr>
        <sz val="9"/>
        <color rgb="FFDBE2EA"/>
        <rFont val="Noto Sans CJK SC"/>
        <family val="2"/>
      </rPr>
      <t xml:space="preserve">シートのピーク位置をそのまま使う</t>
    </r>
  </si>
  <si>
    <r>
      <rPr>
        <sz val="9"/>
        <color rgb="FFDBE2EA"/>
        <rFont val="Arial"/>
        <family val="0"/>
        <charset val="1"/>
      </rPr>
      <t xml:space="preserve">2</t>
    </r>
    <r>
      <rPr>
        <sz val="9"/>
        <color rgb="FFDBE2EA"/>
        <rFont val="Noto Sans CJK SC"/>
        <family val="2"/>
      </rPr>
      <t xml:space="preserve">度打ち・叩き損じデータを混ぜる</t>
    </r>
  </si>
  <si>
    <r>
      <rPr>
        <sz val="9"/>
        <color rgb="FFDBE2EA"/>
        <rFont val="Noto Sans CJK SC"/>
        <family val="2"/>
      </rPr>
      <t xml:space="preserve">平均</t>
    </r>
    <r>
      <rPr>
        <sz val="9"/>
        <color rgb="FFDBE2EA"/>
        <rFont val="Arial"/>
        <family val="0"/>
        <charset val="1"/>
      </rPr>
      <t xml:space="preserve">FRF</t>
    </r>
    <r>
      <rPr>
        <sz val="9"/>
        <color rgb="FFDBE2EA"/>
        <rFont val="Noto Sans CJK SC"/>
        <family val="2"/>
      </rPr>
      <t xml:space="preserve">が汚れ、何をやっても誤差が減らない</t>
    </r>
  </si>
  <si>
    <r>
      <rPr>
        <sz val="9"/>
        <color rgb="FFDBE2EA"/>
        <rFont val="Noto Sans CJK SC"/>
        <family val="2"/>
      </rPr>
      <t xml:space="preserve">加算平均する前に</t>
    </r>
    <r>
      <rPr>
        <sz val="9"/>
        <color rgb="FFDBE2EA"/>
        <rFont val="Arial"/>
        <family val="0"/>
        <charset val="1"/>
      </rPr>
      <t xml:space="preserve">1</t>
    </r>
    <r>
      <rPr>
        <sz val="9"/>
        <color rgb="FFDBE2EA"/>
        <rFont val="Noto Sans CJK SC"/>
        <family val="2"/>
      </rPr>
      <t xml:space="preserve">打ごとに目視で選別</t>
    </r>
  </si>
  <si>
    <t xml:space="preserve">指数窓の補正を忘れる</t>
  </si>
  <si>
    <r>
      <rPr>
        <sz val="9"/>
        <color rgb="FFDBE2EA"/>
        <rFont val="Noto Sans CJK SC"/>
        <family val="2"/>
      </rPr>
      <t xml:space="preserve">損失係数を大幅に過大評価する（例：真値</t>
    </r>
    <r>
      <rPr>
        <sz val="9"/>
        <color rgb="FFDBE2EA"/>
        <rFont val="Arial"/>
        <family val="0"/>
        <charset val="1"/>
      </rPr>
      <t xml:space="preserve">0.006→</t>
    </r>
    <r>
      <rPr>
        <sz val="9"/>
        <color rgb="FFDBE2EA"/>
        <rFont val="Noto Sans CJK SC"/>
        <family val="2"/>
      </rPr>
      <t xml:space="preserve">測定</t>
    </r>
    <r>
      <rPr>
        <sz val="9"/>
        <color rgb="FFDBE2EA"/>
        <rFont val="Arial"/>
        <family val="0"/>
        <charset val="1"/>
      </rPr>
      <t xml:space="preserve">0.009</t>
    </r>
    <r>
      <rPr>
        <sz val="9"/>
        <color rgb="FFDBE2EA"/>
        <rFont val="Noto Sans CJK SC"/>
        <family val="2"/>
      </rPr>
      <t xml:space="preserve">）</t>
    </r>
  </si>
  <si>
    <r>
      <rPr>
        <sz val="9"/>
        <color rgb="FFDBE2EA"/>
        <rFont val="Arial"/>
        <family val="0"/>
        <charset val="1"/>
      </rPr>
      <t xml:space="preserve">09</t>
    </r>
    <r>
      <rPr>
        <sz val="9"/>
        <color rgb="FFDBE2EA"/>
        <rFont val="Noto Sans CJK SC"/>
        <family val="2"/>
      </rPr>
      <t xml:space="preserve">シート</t>
    </r>
    <r>
      <rPr>
        <sz val="9"/>
        <color rgb="FFDBE2EA"/>
        <rFont val="Arial"/>
        <family val="0"/>
        <charset val="1"/>
      </rPr>
      <t xml:space="preserve">B24</t>
    </r>
    <r>
      <rPr>
        <sz val="9"/>
        <color rgb="FFDBE2EA"/>
        <rFont val="Noto Sans CJK SC"/>
        <family val="2"/>
      </rPr>
      <t xml:space="preserve">を</t>
    </r>
    <r>
      <rPr>
        <sz val="9"/>
        <color rgb="FFDBE2EA"/>
        <rFont val="Arial"/>
        <family val="0"/>
        <charset val="1"/>
      </rPr>
      <t xml:space="preserve">1</t>
    </r>
    <r>
      <rPr>
        <sz val="9"/>
        <color rgb="FFDBE2EA"/>
        <rFont val="Noto Sans CJK SC"/>
        <family val="2"/>
      </rPr>
      <t xml:space="preserve">にして自動補正</t>
    </r>
  </si>
  <si>
    <r>
      <rPr>
        <sz val="9"/>
        <color rgb="FFDBE2EA"/>
        <rFont val="Noto Sans CJK SC"/>
        <family val="2"/>
      </rPr>
      <t xml:space="preserve">合成</t>
    </r>
    <r>
      <rPr>
        <sz val="9"/>
        <color rgb="FFDBE2EA"/>
        <rFont val="Arial"/>
        <family val="0"/>
        <charset val="1"/>
      </rPr>
      <t xml:space="preserve">FRF</t>
    </r>
    <r>
      <rPr>
        <sz val="9"/>
        <color rgb="FFDBE2EA"/>
        <rFont val="Noto Sans CJK SC"/>
        <family val="2"/>
      </rPr>
      <t xml:space="preserve">を確認せずに数字だけ採用</t>
    </r>
  </si>
  <si>
    <t xml:space="preserve">モード数を間違えていても“それらしい数字”は必ず出る</t>
  </si>
  <si>
    <r>
      <rPr>
        <sz val="9"/>
        <color rgb="FFDBE2EA"/>
        <rFont val="Arial"/>
        <family val="0"/>
        <charset val="1"/>
      </rPr>
      <t xml:space="preserve">11</t>
    </r>
    <r>
      <rPr>
        <sz val="9"/>
        <color rgb="FFDBE2EA"/>
        <rFont val="Noto Sans CJK SC"/>
        <family val="2"/>
      </rPr>
      <t xml:space="preserve">シートのグラフを必ず目視</t>
    </r>
  </si>
  <si>
    <t xml:space="preserve">半値幅法の値を双子モードに使う</t>
  </si>
  <si>
    <r>
      <rPr>
        <sz val="9"/>
        <color rgb="FFDBE2EA"/>
        <rFont val="Arial"/>
        <family val="0"/>
        <charset val="1"/>
      </rPr>
      <t xml:space="preserve">2</t>
    </r>
    <r>
      <rPr>
        <sz val="9"/>
        <color rgb="FFDBE2EA"/>
        <rFont val="Noto Sans CJK SC"/>
        <family val="2"/>
      </rPr>
      <t xml:space="preserve">つの山の合成幅を</t>
    </r>
    <r>
      <rPr>
        <sz val="9"/>
        <color rgb="FFDBE2EA"/>
        <rFont val="Arial"/>
        <family val="0"/>
        <charset val="1"/>
      </rPr>
      <t xml:space="preserve">1</t>
    </r>
    <r>
      <rPr>
        <sz val="9"/>
        <color rgb="FFDBE2EA"/>
        <rFont val="Noto Sans CJK SC"/>
        <family val="2"/>
      </rPr>
      <t xml:space="preserve">本ぶんと誤読し、</t>
    </r>
    <r>
      <rPr>
        <sz val="9"/>
        <color rgb="FFDBE2EA"/>
        <rFont val="Arial"/>
        <family val="0"/>
        <charset val="1"/>
      </rPr>
      <t xml:space="preserve">η</t>
    </r>
    <r>
      <rPr>
        <sz val="9"/>
        <color rgb="FFDBE2EA"/>
        <rFont val="Noto Sans CJK SC"/>
        <family val="2"/>
      </rPr>
      <t xml:space="preserve">が数倍ずれる</t>
    </r>
  </si>
  <si>
    <r>
      <rPr>
        <sz val="9"/>
        <color rgb="FFDBE2EA"/>
        <rFont val="Arial"/>
        <family val="0"/>
        <charset val="1"/>
      </rPr>
      <t xml:space="preserve">05</t>
    </r>
    <r>
      <rPr>
        <sz val="9"/>
        <color rgb="FFDBE2EA"/>
        <rFont val="Noto Sans CJK SC"/>
        <family val="2"/>
      </rPr>
      <t xml:space="preserve">シートの警告メッセージに従う</t>
    </r>
  </si>
  <si>
    <t xml:space="preserve">■ 結果を出した後に</t>
  </si>
  <si>
    <t xml:space="preserve">合格ライン</t>
  </si>
  <si>
    <t xml:space="preserve">不合格なら</t>
  </si>
  <si>
    <r>
      <rPr>
        <sz val="9"/>
        <color rgb="FFDBE2EA"/>
        <rFont val="Arial"/>
        <family val="0"/>
        <charset val="1"/>
      </rPr>
      <t xml:space="preserve">11</t>
    </r>
    <r>
      <rPr>
        <sz val="9"/>
        <color rgb="FFDBE2EA"/>
        <rFont val="Noto Sans CJK SC"/>
        <family val="2"/>
      </rPr>
      <t xml:space="preserve">シートの相対誤差</t>
    </r>
  </si>
  <si>
    <r>
      <rPr>
        <sz val="9"/>
        <color rgb="FFDBE2EA"/>
        <rFont val="Arial"/>
        <family val="0"/>
        <charset val="1"/>
      </rPr>
      <t xml:space="preserve">5%</t>
    </r>
    <r>
      <rPr>
        <sz val="9"/>
        <color rgb="FFDBE2EA"/>
        <rFont val="Noto Sans CJK SC"/>
        <family val="2"/>
      </rPr>
      <t xml:space="preserve">未満</t>
    </r>
  </si>
  <si>
    <t xml:space="preserve">帯域・モード数・データ品質を順に見直す</t>
  </si>
  <si>
    <r>
      <rPr>
        <sz val="9"/>
        <color rgb="FFDBE2EA"/>
        <rFont val="Arial"/>
        <family val="0"/>
        <charset val="1"/>
      </rPr>
      <t xml:space="preserve">09</t>
    </r>
    <r>
      <rPr>
        <sz val="9"/>
        <color rgb="FFDBE2EA"/>
        <rFont val="Noto Sans CJK SC"/>
        <family val="2"/>
      </rPr>
      <t xml:space="preserve">シートの物理的妥当性</t>
    </r>
  </si>
  <si>
    <r>
      <rPr>
        <sz val="9"/>
        <color rgb="FFDBE2EA"/>
        <rFont val="Arial"/>
        <family val="0"/>
        <charset val="1"/>
      </rPr>
      <t xml:space="preserve">p</t>
    </r>
    <r>
      <rPr>
        <sz val="9"/>
        <color rgb="FFDBE2EA"/>
        <rFont val="Noto Sans CJK SC"/>
        <family val="2"/>
      </rPr>
      <t xml:space="preserve">・</t>
    </r>
    <r>
      <rPr>
        <sz val="9"/>
        <color rgb="FFDBE2EA"/>
        <rFont val="Arial"/>
        <family val="0"/>
        <charset val="1"/>
      </rPr>
      <t xml:space="preserve">q </t>
    </r>
    <r>
      <rPr>
        <sz val="9"/>
        <color rgb="FFDBE2EA"/>
        <rFont val="Noto Sans CJK SC"/>
        <family val="2"/>
      </rPr>
      <t xml:space="preserve">が両方とも正</t>
    </r>
  </si>
  <si>
    <t xml:space="preserve">帯域を変える。負減衰はノイズか帯域外モードの影響</t>
  </si>
  <si>
    <r>
      <rPr>
        <sz val="9"/>
        <color rgb="FFDBE2EA"/>
        <rFont val="Arial"/>
        <family val="0"/>
        <charset val="1"/>
      </rPr>
      <t xml:space="preserve">10</t>
    </r>
    <r>
      <rPr>
        <sz val="9"/>
        <color rgb="FFDBE2EA"/>
        <rFont val="Noto Sans CJK SC"/>
        <family val="2"/>
      </rPr>
      <t xml:space="preserve">シートのレジデュー位相</t>
    </r>
  </si>
  <si>
    <r>
      <rPr>
        <sz val="9"/>
        <color rgb="FFDBE2EA"/>
        <rFont val="Arial"/>
        <family val="0"/>
        <charset val="1"/>
      </rPr>
      <t xml:space="preserve">±90°</t>
    </r>
    <r>
      <rPr>
        <sz val="9"/>
        <color rgb="FFDBE2EA"/>
        <rFont val="Noto Sans CJK SC"/>
        <family val="2"/>
      </rPr>
      <t xml:space="preserve">から</t>
    </r>
    <r>
      <rPr>
        <sz val="9"/>
        <color rgb="FFDBE2EA"/>
        <rFont val="Arial"/>
        <family val="0"/>
        <charset val="1"/>
      </rPr>
      <t xml:space="preserve">20°</t>
    </r>
    <r>
      <rPr>
        <sz val="9"/>
        <color rgb="FFDBE2EA"/>
        <rFont val="Noto Sans CJK SC"/>
        <family val="2"/>
      </rPr>
      <t xml:space="preserve">以内</t>
    </r>
  </si>
  <si>
    <t xml:space="preserve">大きくずれる＝複素モード性が強い。非比例減衰を疑う</t>
  </si>
  <si>
    <r>
      <rPr>
        <sz val="9"/>
        <color rgb="FFDBE2EA"/>
        <rFont val="Arial"/>
        <family val="0"/>
        <charset val="1"/>
      </rPr>
      <t xml:space="preserve">2</t>
    </r>
    <r>
      <rPr>
        <sz val="9"/>
        <color rgb="FFDBE2EA"/>
        <rFont val="Noto Sans CJK SC"/>
        <family val="2"/>
      </rPr>
      <t xml:space="preserve">つのモードの分離度</t>
    </r>
  </si>
  <si>
    <r>
      <rPr>
        <sz val="9"/>
        <color rgb="FFDBE2EA"/>
        <rFont val="Arial"/>
        <family val="0"/>
        <charset val="1"/>
      </rPr>
      <t xml:space="preserve">0.5</t>
    </r>
    <r>
      <rPr>
        <sz val="9"/>
        <color rgb="FFDBE2EA"/>
        <rFont val="Noto Sans CJK SC"/>
        <family val="2"/>
      </rPr>
      <t xml:space="preserve">以上</t>
    </r>
  </si>
  <si>
    <r>
      <rPr>
        <sz val="9"/>
        <color rgb="FFDBE2EA"/>
        <rFont val="Arial"/>
        <family val="0"/>
        <charset val="1"/>
      </rPr>
      <t xml:space="preserve">0.5</t>
    </r>
    <r>
      <rPr>
        <sz val="9"/>
        <color rgb="FFDBE2EA"/>
        <rFont val="Noto Sans CJK SC"/>
        <family val="2"/>
      </rPr>
      <t xml:space="preserve">未満なら加振点を変えた</t>
    </r>
    <r>
      <rPr>
        <sz val="9"/>
        <color rgb="FFDBE2EA"/>
        <rFont val="Arial"/>
        <family val="0"/>
        <charset val="1"/>
      </rPr>
      <t xml:space="preserve">2</t>
    </r>
    <r>
      <rPr>
        <sz val="9"/>
        <color rgb="FFDBE2EA"/>
        <rFont val="Noto Sans CJK SC"/>
        <family val="2"/>
      </rPr>
      <t xml:space="preserve">組目のデータを取る</t>
    </r>
  </si>
  <si>
    <t xml:space="preserve">別の手法との照合</t>
  </si>
  <si>
    <r>
      <rPr>
        <sz val="9"/>
        <color rgb="FFDBE2EA"/>
        <rFont val="Noto Sans CJK SC"/>
        <family val="2"/>
      </rPr>
      <t xml:space="preserve">半値幅法・</t>
    </r>
    <r>
      <rPr>
        <sz val="9"/>
        <color rgb="FFDBE2EA"/>
        <rFont val="Arial"/>
        <family val="0"/>
        <charset val="1"/>
      </rPr>
      <t xml:space="preserve">RFP</t>
    </r>
    <r>
      <rPr>
        <sz val="9"/>
        <color rgb="FFDBE2EA"/>
        <rFont val="Noto Sans CJK SC"/>
        <family val="2"/>
      </rPr>
      <t xml:space="preserve">で大きく矛盾しない</t>
    </r>
  </si>
  <si>
    <r>
      <rPr>
        <sz val="9"/>
        <color rgb="FFDBE2EA"/>
        <rFont val="Noto Sans CJK SC"/>
        <family val="2"/>
      </rPr>
      <t xml:space="preserve">矛盾するときは必ず</t>
    </r>
    <r>
      <rPr>
        <sz val="9"/>
        <color rgb="FFDBE2EA"/>
        <rFont val="Arial"/>
        <family val="0"/>
        <charset val="1"/>
      </rPr>
      <t xml:space="preserve">RFP</t>
    </r>
    <r>
      <rPr>
        <sz val="9"/>
        <color rgb="FFDBE2EA"/>
        <rFont val="Noto Sans CJK SC"/>
        <family val="2"/>
      </rPr>
      <t xml:space="preserve">側の帯域設定を疑う</t>
    </r>
  </si>
  <si>
    <t xml:space="preserve">繰り返し再現性</t>
  </si>
  <si>
    <r>
      <rPr>
        <sz val="9"/>
        <color rgb="FFDBE2EA"/>
        <rFont val="Noto Sans CJK SC"/>
        <family val="2"/>
      </rPr>
      <t xml:space="preserve">別の日に測っても</t>
    </r>
    <r>
      <rPr>
        <sz val="9"/>
        <color rgb="FFDBE2EA"/>
        <rFont val="Arial"/>
        <family val="0"/>
        <charset val="1"/>
      </rPr>
      <t xml:space="preserve">±1%</t>
    </r>
    <r>
      <rPr>
        <sz val="9"/>
        <color rgb="FFDBE2EA"/>
        <rFont val="Noto Sans CJK SC"/>
        <family val="2"/>
      </rPr>
      <t xml:space="preserve">以内</t>
    </r>
  </si>
  <si>
    <t xml:space="preserve">治具・吊り・接触状態を疑う</t>
  </si>
  <si>
    <t xml:space="preserve">⑯ 検算用サンプルデータ（答えが分かっているデータ）</t>
  </si>
  <si>
    <r>
      <rPr>
        <sz val="9"/>
        <color rgb="FF9AA7B5"/>
        <rFont val="Noto Sans CJK SC"/>
        <family val="2"/>
      </rPr>
      <t xml:space="preserve">初期状態では、このデータが </t>
    </r>
    <r>
      <rPr>
        <sz val="9"/>
        <color rgb="FF9AA7B5"/>
        <rFont val="Arial"/>
        <family val="0"/>
        <charset val="1"/>
      </rPr>
      <t xml:space="preserve">03</t>
    </r>
    <r>
      <rPr>
        <sz val="9"/>
        <color rgb="FF9AA7B5"/>
        <rFont val="Noto Sans CJK SC"/>
        <family val="2"/>
      </rPr>
      <t xml:space="preserve">シート に入れてあります。まずこれで正解が出ることを確かめてから、自分のデータに差し替えてください。</t>
    </r>
  </si>
  <si>
    <r>
      <rPr>
        <b val="true"/>
        <sz val="11.5"/>
        <color rgb="FFFFB454"/>
        <rFont val="Noto Sans CJK SC"/>
        <family val="2"/>
      </rPr>
      <t xml:space="preserve">■ 正解（</t>
    </r>
    <r>
      <rPr>
        <b val="true"/>
        <sz val="11.5"/>
        <color rgb="FFFFB454"/>
        <rFont val="Arial"/>
        <family val="0"/>
        <charset val="1"/>
      </rPr>
      <t xml:space="preserve">Python</t>
    </r>
    <r>
      <rPr>
        <b val="true"/>
        <sz val="11.5"/>
        <color rgb="FFFFB454"/>
        <rFont val="Noto Sans CJK SC"/>
        <family val="2"/>
      </rPr>
      <t xml:space="preserve">で二重計算して確認済み 🟢）</t>
    </r>
  </si>
  <si>
    <t xml:space="preserve">■ 自分のデータに差し替える手順</t>
  </si>
  <si>
    <r>
      <rPr>
        <b val="true"/>
        <sz val="9"/>
        <color rgb="FFFFB454"/>
        <rFont val="Noto Sans CJK SC"/>
        <family val="2"/>
      </rPr>
      <t xml:space="preserve">固有振動数 </t>
    </r>
    <r>
      <rPr>
        <b val="true"/>
        <sz val="9"/>
        <color rgb="FFFFB454"/>
        <rFont val="Arial"/>
        <family val="0"/>
        <charset val="1"/>
      </rPr>
      <t xml:space="preserve">fn</t>
    </r>
  </si>
  <si>
    <r>
      <rPr>
        <b val="true"/>
        <sz val="9"/>
        <color rgb="FFFFB454"/>
        <rFont val="Noto Sans CJK SC"/>
        <family val="2"/>
      </rPr>
      <t xml:space="preserve">損失係数 </t>
    </r>
    <r>
      <rPr>
        <b val="true"/>
        <sz val="9"/>
        <color rgb="FFFFB454"/>
        <rFont val="Arial"/>
        <family val="0"/>
        <charset val="1"/>
      </rPr>
      <t xml:space="preserve">η</t>
    </r>
  </si>
  <si>
    <r>
      <rPr>
        <b val="true"/>
        <sz val="9"/>
        <color rgb="FFFFB454"/>
        <rFont val="Noto Sans CJK SC"/>
        <family val="2"/>
      </rPr>
      <t xml:space="preserve">減衰比 </t>
    </r>
    <r>
      <rPr>
        <b val="true"/>
        <sz val="9"/>
        <color rgb="FFFFB454"/>
        <rFont val="Arial"/>
        <family val="0"/>
        <charset val="1"/>
      </rPr>
      <t xml:space="preserve">ζ</t>
    </r>
  </si>
  <si>
    <r>
      <rPr>
        <b val="true"/>
        <sz val="9"/>
        <color rgb="FFFFB454"/>
        <rFont val="Arial"/>
        <family val="0"/>
        <charset val="1"/>
      </rPr>
      <t xml:space="preserve">Q</t>
    </r>
    <r>
      <rPr>
        <b val="true"/>
        <sz val="9"/>
        <color rgb="FFFFB454"/>
        <rFont val="Noto Sans CJK SC"/>
        <family val="2"/>
      </rPr>
      <t xml:space="preserve">値</t>
    </r>
  </si>
  <si>
    <r>
      <rPr>
        <b val="true"/>
        <sz val="9"/>
        <color rgb="FF5AD4FF"/>
        <rFont val="Noto Sans CJK SC"/>
        <family val="2"/>
      </rPr>
      <t xml:space="preserve">モード</t>
    </r>
    <r>
      <rPr>
        <b val="true"/>
        <sz val="9"/>
        <color rgb="FF5AD4FF"/>
        <rFont val="Arial"/>
        <family val="0"/>
        <charset val="1"/>
      </rPr>
      <t xml:space="preserve">A</t>
    </r>
  </si>
  <si>
    <t xml:space="preserve">3480.0 Hz</t>
  </si>
  <si>
    <t xml:space="preserve">0.00600</t>
  </si>
  <si>
    <t xml:space="preserve">0.00300</t>
  </si>
  <si>
    <t xml:space="preserve">166.7</t>
  </si>
  <si>
    <r>
      <rPr>
        <sz val="9.5"/>
        <color rgb="FFDBE2EA"/>
        <rFont val="Arial"/>
        <family val="0"/>
        <charset val="1"/>
      </rPr>
      <t xml:space="preserve">1. 03</t>
    </r>
    <r>
      <rPr>
        <sz val="9.5"/>
        <color rgb="FFDBE2EA"/>
        <rFont val="Noto Sans CJK SC"/>
        <family val="2"/>
      </rPr>
      <t xml:space="preserve">シートの </t>
    </r>
    <r>
      <rPr>
        <sz val="9.5"/>
        <color rgb="FFDBE2EA"/>
        <rFont val="Arial"/>
        <family val="0"/>
        <charset val="1"/>
      </rPr>
      <t xml:space="preserve">B8:D127 </t>
    </r>
    <r>
      <rPr>
        <sz val="9.5"/>
        <color rgb="FFDBE2EA"/>
        <rFont val="Noto Sans CJK SC"/>
        <family val="2"/>
      </rPr>
      <t xml:space="preserve">を範囲選択して </t>
    </r>
    <r>
      <rPr>
        <sz val="9.5"/>
        <color rgb="FFDBE2EA"/>
        <rFont val="Arial"/>
        <family val="0"/>
        <charset val="1"/>
      </rPr>
      <t xml:space="preserve">Delete</t>
    </r>
    <r>
      <rPr>
        <sz val="9.5"/>
        <color rgb="FFDBE2EA"/>
        <rFont val="Noto Sans CJK SC"/>
        <family val="2"/>
      </rPr>
      <t xml:space="preserve">（黄色いセルの中身だけ消す）。</t>
    </r>
  </si>
  <si>
    <r>
      <rPr>
        <b val="true"/>
        <sz val="9"/>
        <color rgb="FF5AD4FF"/>
        <rFont val="Noto Sans CJK SC"/>
        <family val="2"/>
      </rPr>
      <t xml:space="preserve">モード</t>
    </r>
    <r>
      <rPr>
        <b val="true"/>
        <sz val="9"/>
        <color rgb="FF5AD4FF"/>
        <rFont val="Arial"/>
        <family val="0"/>
        <charset val="1"/>
      </rPr>
      <t xml:space="preserve">B</t>
    </r>
  </si>
  <si>
    <t xml:space="preserve">3520.0 Hz</t>
  </si>
  <si>
    <t xml:space="preserve">0.00800</t>
  </si>
  <si>
    <t xml:space="preserve">0.00400</t>
  </si>
  <si>
    <t xml:space="preserve">125.0</t>
  </si>
  <si>
    <r>
      <rPr>
        <sz val="9.5"/>
        <color rgb="FFDBE2EA"/>
        <rFont val="Arial"/>
        <family val="0"/>
        <charset val="1"/>
      </rPr>
      <t xml:space="preserve">2. </t>
    </r>
    <r>
      <rPr>
        <sz val="9.5"/>
        <color rgb="FFDBE2EA"/>
        <rFont val="Noto Sans CJK SC"/>
        <family val="2"/>
      </rPr>
      <t xml:space="preserve">アナライザから出した『周波数・実部・虚部』の</t>
    </r>
    <r>
      <rPr>
        <sz val="9.5"/>
        <color rgb="FFDBE2EA"/>
        <rFont val="Arial"/>
        <family val="0"/>
        <charset val="1"/>
      </rPr>
      <t xml:space="preserve">3</t>
    </r>
    <r>
      <rPr>
        <sz val="9.5"/>
        <color rgb="FFDBE2EA"/>
        <rFont val="Noto Sans CJK SC"/>
        <family val="2"/>
      </rPr>
      <t xml:space="preserve">列をコピー。</t>
    </r>
  </si>
  <si>
    <r>
      <rPr>
        <sz val="9.5"/>
        <color rgb="FFDBE2EA"/>
        <rFont val="Arial"/>
        <family val="0"/>
        <charset val="1"/>
      </rPr>
      <t xml:space="preserve">3. 03</t>
    </r>
    <r>
      <rPr>
        <sz val="9.5"/>
        <color rgb="FFDBE2EA"/>
        <rFont val="Noto Sans CJK SC"/>
        <family val="2"/>
      </rPr>
      <t xml:space="preserve">シートの </t>
    </r>
    <r>
      <rPr>
        <sz val="9.5"/>
        <color rgb="FFDBE2EA"/>
        <rFont val="Arial"/>
        <family val="0"/>
        <charset val="1"/>
      </rPr>
      <t xml:space="preserve">B8 </t>
    </r>
    <r>
      <rPr>
        <sz val="9.5"/>
        <color rgb="FFDBE2EA"/>
        <rFont val="Noto Sans CJK SC"/>
        <family val="2"/>
      </rPr>
      <t xml:space="preserve">を選んで貼り付け（形式を選択して貼り付け→値のみ が安全）。</t>
    </r>
  </si>
  <si>
    <r>
      <rPr>
        <sz val="10"/>
        <color rgb="FF5EE6A0"/>
        <rFont val="Noto Sans CJK SC"/>
        <family val="2"/>
      </rPr>
      <t xml:space="preserve">このブックで計算すると </t>
    </r>
    <r>
      <rPr>
        <sz val="10"/>
        <color rgb="FF5EE6A0"/>
        <rFont val="Arial"/>
        <family val="0"/>
        <charset val="1"/>
      </rPr>
      <t xml:space="preserve">fn=3480.007 / 3520.003 Hz</t>
    </r>
    <r>
      <rPr>
        <sz val="10"/>
        <color rgb="FF5EE6A0"/>
        <rFont val="Noto Sans CJK SC"/>
        <family val="2"/>
      </rPr>
      <t xml:space="preserve">、</t>
    </r>
    <r>
      <rPr>
        <sz val="10"/>
        <color rgb="FF5EE6A0"/>
        <rFont val="Arial"/>
        <family val="0"/>
        <charset val="1"/>
      </rPr>
      <t xml:space="preserve">η=0.006003 / 0.007993 </t>
    </r>
    <r>
      <rPr>
        <sz val="10"/>
        <color rgb="FF5EE6A0"/>
        <rFont val="Noto Sans CJK SC"/>
        <family val="2"/>
      </rPr>
      <t xml:space="preserve">が出れば正常です（誤差は丸めによるもの）。</t>
    </r>
  </si>
  <si>
    <r>
      <rPr>
        <sz val="9.5"/>
        <color rgb="FFDBE2EA"/>
        <rFont val="Arial"/>
        <family val="0"/>
        <charset val="1"/>
      </rPr>
      <t xml:space="preserve">4. 04</t>
    </r>
    <r>
      <rPr>
        <sz val="9.5"/>
        <color rgb="FFDBE2EA"/>
        <rFont val="Noto Sans CJK SC"/>
        <family val="2"/>
      </rPr>
      <t xml:space="preserve">シートで山の位置を読み、</t>
    </r>
    <r>
      <rPr>
        <sz val="9.5"/>
        <color rgb="FFDBE2EA"/>
        <rFont val="Arial"/>
        <family val="0"/>
        <charset val="1"/>
      </rPr>
      <t xml:space="preserve">08</t>
    </r>
    <r>
      <rPr>
        <sz val="9.5"/>
        <color rgb="FFDBE2EA"/>
        <rFont val="Noto Sans CJK SC"/>
        <family val="2"/>
      </rPr>
      <t xml:space="preserve">シートの </t>
    </r>
    <r>
      <rPr>
        <sz val="9.5"/>
        <color rgb="FFDBE2EA"/>
        <rFont val="Arial"/>
        <family val="0"/>
        <charset val="1"/>
      </rPr>
      <t xml:space="preserve">B11</t>
    </r>
    <r>
      <rPr>
        <sz val="9.5"/>
        <color rgb="FFDBE2EA"/>
        <rFont val="Noto Sans CJK SC"/>
        <family val="2"/>
      </rPr>
      <t xml:space="preserve">・</t>
    </r>
    <r>
      <rPr>
        <sz val="9.5"/>
        <color rgb="FFDBE2EA"/>
        <rFont val="Arial"/>
        <family val="0"/>
        <charset val="1"/>
      </rPr>
      <t xml:space="preserve">B12</t>
    </r>
    <r>
      <rPr>
        <sz val="9.5"/>
        <color rgb="FFDBE2EA"/>
        <rFont val="Noto Sans CJK SC"/>
        <family val="2"/>
      </rPr>
      <t xml:space="preserve">・</t>
    </r>
    <r>
      <rPr>
        <sz val="9.5"/>
        <color rgb="FFDBE2EA"/>
        <rFont val="Arial"/>
        <family val="0"/>
        <charset val="1"/>
      </rPr>
      <t xml:space="preserve">B13 </t>
    </r>
    <r>
      <rPr>
        <sz val="9.5"/>
        <color rgb="FFDBE2EA"/>
        <rFont val="Noto Sans CJK SC"/>
        <family val="2"/>
      </rPr>
      <t xml:space="preserve">に入力。</t>
    </r>
  </si>
  <si>
    <r>
      <rPr>
        <sz val="9.5"/>
        <color rgb="FF9AA7B5"/>
        <rFont val="Arial"/>
        <family val="0"/>
        <charset val="1"/>
      </rPr>
      <t xml:space="preserve">08</t>
    </r>
    <r>
      <rPr>
        <sz val="9.5"/>
        <color rgb="FF9AA7B5"/>
        <rFont val="Noto Sans CJK SC"/>
        <family val="2"/>
      </rPr>
      <t xml:space="preserve">シートの初期値は </t>
    </r>
    <r>
      <rPr>
        <sz val="9.5"/>
        <color rgb="FF9AA7B5"/>
        <rFont val="Arial"/>
        <family val="0"/>
        <charset val="1"/>
      </rPr>
      <t xml:space="preserve">3480 / 3520 / 0.007 </t>
    </r>
    <r>
      <rPr>
        <sz val="9.5"/>
        <color rgb="FF9AA7B5"/>
        <rFont val="Noto Sans CJK SC"/>
        <family val="2"/>
      </rPr>
      <t xml:space="preserve">を入れてください。</t>
    </r>
  </si>
  <si>
    <r>
      <rPr>
        <sz val="9.5"/>
        <color rgb="FFDBE2EA"/>
        <rFont val="Arial"/>
        <family val="0"/>
        <charset val="1"/>
      </rPr>
      <t xml:space="preserve">5. 09</t>
    </r>
    <r>
      <rPr>
        <sz val="9.5"/>
        <color rgb="FFDBE2EA"/>
        <rFont val="Noto Sans CJK SC"/>
        <family val="2"/>
      </rPr>
      <t xml:space="preserve">シートで答えを読み、</t>
    </r>
    <r>
      <rPr>
        <sz val="9.5"/>
        <color rgb="FFDBE2EA"/>
        <rFont val="Arial"/>
        <family val="0"/>
        <charset val="1"/>
      </rPr>
      <t xml:space="preserve">11</t>
    </r>
    <r>
      <rPr>
        <sz val="9.5"/>
        <color rgb="FFDBE2EA"/>
        <rFont val="Noto Sans CJK SC"/>
        <family val="2"/>
      </rPr>
      <t xml:space="preserve">シートのグラフで重なりを確認。</t>
    </r>
  </si>
  <si>
    <r>
      <rPr>
        <b val="true"/>
        <sz val="11.5"/>
        <color rgb="FFFFB454"/>
        <rFont val="Noto Sans CJK SC"/>
        <family val="2"/>
      </rPr>
      <t xml:space="preserve">■ データ（</t>
    </r>
    <r>
      <rPr>
        <b val="true"/>
        <sz val="11.5"/>
        <color rgb="FFFFB454"/>
        <rFont val="Arial"/>
        <family val="0"/>
        <charset val="1"/>
      </rPr>
      <t xml:space="preserve">f, Re(H), Im(H)</t>
    </r>
    <r>
      <rPr>
        <b val="true"/>
        <sz val="11.5"/>
        <color rgb="FFFFB454"/>
        <rFont val="Noto Sans CJK SC"/>
        <family val="2"/>
      </rPr>
      <t xml:space="preserve">）</t>
    </r>
  </si>
  <si>
    <t xml:space="preserve">※ 振幅・位相の形式でしか出せない場合：</t>
  </si>
  <si>
    <t xml:space="preserve">f [Hz]</t>
  </si>
  <si>
    <t xml:space="preserve">Re(H)</t>
  </si>
  <si>
    <t xml:space="preserve">Im(H)</t>
  </si>
  <si>
    <r>
      <rPr>
        <sz val="9.5"/>
        <color rgb="FFFFB454"/>
        <rFont val="Noto Sans CJK SC"/>
        <family val="2"/>
      </rPr>
      <t xml:space="preserve">　 </t>
    </r>
    <r>
      <rPr>
        <sz val="9.5"/>
        <color rgb="FFFFB454"/>
        <rFont val="Arial"/>
        <family val="0"/>
        <charset val="1"/>
      </rPr>
      <t xml:space="preserve">Re = |H|×COS(RADIANS(</t>
    </r>
    <r>
      <rPr>
        <sz val="9.5"/>
        <color rgb="FFFFB454"/>
        <rFont val="Noto Sans CJK SC"/>
        <family val="2"/>
      </rPr>
      <t xml:space="preserve">位相</t>
    </r>
    <r>
      <rPr>
        <sz val="9.5"/>
        <color rgb="FFFFB454"/>
        <rFont val="Arial"/>
        <family val="0"/>
        <charset val="1"/>
      </rPr>
      <t xml:space="preserve">deg))</t>
    </r>
  </si>
  <si>
    <r>
      <rPr>
        <sz val="9.5"/>
        <color rgb="FFFFB454"/>
        <rFont val="Noto Sans CJK SC"/>
        <family val="2"/>
      </rPr>
      <t xml:space="preserve">　 </t>
    </r>
    <r>
      <rPr>
        <sz val="9.5"/>
        <color rgb="FFFFB454"/>
        <rFont val="Arial"/>
        <family val="0"/>
        <charset val="1"/>
      </rPr>
      <t xml:space="preserve">Im = |H|×SIN(RADIANS(</t>
    </r>
    <r>
      <rPr>
        <sz val="9.5"/>
        <color rgb="FFFFB454"/>
        <rFont val="Noto Sans CJK SC"/>
        <family val="2"/>
      </rPr>
      <t xml:space="preserve">位相</t>
    </r>
    <r>
      <rPr>
        <sz val="9.5"/>
        <color rgb="FFFFB454"/>
        <rFont val="Arial"/>
        <family val="0"/>
        <charset val="1"/>
      </rPr>
      <t xml:space="preserve">deg))</t>
    </r>
  </si>
  <si>
    <t xml:space="preserve">　 で変換してから貼ってください。</t>
  </si>
  <si>
    <r>
      <rPr>
        <b val="true"/>
        <sz val="15"/>
        <color rgb="FF5AD4FF"/>
        <rFont val="Arial"/>
        <family val="0"/>
        <charset val="1"/>
      </rPr>
      <t xml:space="preserve">⑰ FRF</t>
    </r>
    <r>
      <rPr>
        <b val="true"/>
        <sz val="15"/>
        <color rgb="FF5AD4FF"/>
        <rFont val="Noto Sans CJK SC"/>
        <family val="2"/>
      </rPr>
      <t xml:space="preserve">の種類と単位換算｜</t>
    </r>
    <r>
      <rPr>
        <b val="true"/>
        <sz val="15"/>
        <color rgb="FF5AD4FF"/>
        <rFont val="Arial"/>
        <family val="0"/>
        <charset val="1"/>
      </rPr>
      <t xml:space="preserve">PSV(</t>
    </r>
    <r>
      <rPr>
        <b val="true"/>
        <sz val="15"/>
        <color rgb="FF5AD4FF"/>
        <rFont val="Noto Sans CJK SC"/>
        <family val="2"/>
      </rPr>
      <t xml:space="preserve">速度</t>
    </r>
    <r>
      <rPr>
        <b val="true"/>
        <sz val="15"/>
        <color rgb="FF5AD4FF"/>
        <rFont val="Arial"/>
        <family val="0"/>
        <charset val="1"/>
      </rPr>
      <t xml:space="preserve">)</t>
    </r>
    <r>
      <rPr>
        <b val="true"/>
        <sz val="15"/>
        <color rgb="FF5AD4FF"/>
        <rFont val="Noto Sans CJK SC"/>
        <family val="2"/>
      </rPr>
      <t xml:space="preserve">・加速度計・変位を行き来する</t>
    </r>
  </si>
  <si>
    <r>
      <rPr>
        <sz val="9"/>
        <color rgb="FF9AA7B5"/>
        <rFont val="Arial"/>
        <family val="0"/>
        <charset val="1"/>
      </rPr>
      <t xml:space="preserve">PSV-400 </t>
    </r>
    <r>
      <rPr>
        <sz val="9"/>
        <color rgb="FF9AA7B5"/>
        <rFont val="Noto Sans CJK SC"/>
        <family val="2"/>
      </rPr>
      <t xml:space="preserve">は速度（</t>
    </r>
    <r>
      <rPr>
        <sz val="9"/>
        <color rgb="FF9AA7B5"/>
        <rFont val="Arial"/>
        <family val="0"/>
        <charset val="1"/>
      </rPr>
      <t xml:space="preserve">m/s</t>
    </r>
    <r>
      <rPr>
        <sz val="9"/>
        <color rgb="FF9AA7B5"/>
        <rFont val="Noto Sans CJK SC"/>
        <family val="2"/>
      </rPr>
      <t xml:space="preserve">）を測ります。</t>
    </r>
    <r>
      <rPr>
        <sz val="9"/>
        <color rgb="FF9AA7B5"/>
        <rFont val="Arial"/>
        <family val="0"/>
        <charset val="1"/>
      </rPr>
      <t xml:space="preserve">FEM </t>
    </r>
    <r>
      <rPr>
        <sz val="9"/>
        <color rgb="FF9AA7B5"/>
        <rFont val="Noto Sans CJK SC"/>
        <family val="2"/>
      </rPr>
      <t xml:space="preserve">や剛性の議論は変位（</t>
    </r>
    <r>
      <rPr>
        <sz val="9"/>
        <color rgb="FF9AA7B5"/>
        <rFont val="Arial"/>
        <family val="0"/>
        <charset val="1"/>
      </rPr>
      <t xml:space="preserve">m</t>
    </r>
    <r>
      <rPr>
        <sz val="9"/>
        <color rgb="FF9AA7B5"/>
        <rFont val="Noto Sans CJK SC"/>
        <family val="2"/>
      </rPr>
      <t xml:space="preserve">）です。ここで確実に橋渡しします。</t>
    </r>
  </si>
  <si>
    <r>
      <rPr>
        <b val="true"/>
        <sz val="11.5"/>
        <color rgb="FFFFB454"/>
        <rFont val="Arial"/>
        <family val="0"/>
        <charset val="1"/>
      </rPr>
      <t xml:space="preserve">■ FRF</t>
    </r>
    <r>
      <rPr>
        <b val="true"/>
        <sz val="11.5"/>
        <color rgb="FFFFB454"/>
        <rFont val="Noto Sans CJK SC"/>
        <family val="2"/>
      </rPr>
      <t xml:space="preserve">の</t>
    </r>
    <r>
      <rPr>
        <b val="true"/>
        <sz val="11.5"/>
        <color rgb="FFFFB454"/>
        <rFont val="Arial"/>
        <family val="0"/>
        <charset val="1"/>
      </rPr>
      <t xml:space="preserve">3</t>
    </r>
    <r>
      <rPr>
        <b val="true"/>
        <sz val="11.5"/>
        <color rgb="FFFFB454"/>
        <rFont val="Noto Sans CJK SC"/>
        <family val="2"/>
      </rPr>
      <t xml:space="preserve">つの呼び名</t>
    </r>
  </si>
  <si>
    <t xml:space="preserve">名称</t>
  </si>
  <si>
    <t xml:space="preserve">分子（応答）</t>
  </si>
  <si>
    <t xml:space="preserve">記号</t>
  </si>
  <si>
    <r>
      <rPr>
        <b val="true"/>
        <sz val="9"/>
        <color rgb="FFFFB454"/>
        <rFont val="Noto Sans CJK SC"/>
        <family val="2"/>
      </rPr>
      <t xml:space="preserve">換算式（角周波数 </t>
    </r>
    <r>
      <rPr>
        <b val="true"/>
        <sz val="9"/>
        <color rgb="FFFFB454"/>
        <rFont val="Arial"/>
        <family val="0"/>
        <charset val="1"/>
      </rPr>
      <t xml:space="preserve">ω = 2πf</t>
    </r>
    <r>
      <rPr>
        <b val="true"/>
        <sz val="9"/>
        <color rgb="FFFFB454"/>
        <rFont val="Noto Sans CJK SC"/>
        <family val="2"/>
      </rPr>
      <t xml:space="preserve">）</t>
    </r>
  </si>
  <si>
    <t xml:space="preserve">このブックでの扱い</t>
  </si>
  <si>
    <t xml:space="preserve">コンプライアンス／レセプタンス</t>
  </si>
  <si>
    <r>
      <rPr>
        <sz val="9"/>
        <color rgb="FFDBE2EA"/>
        <rFont val="Noto Sans CJK SC"/>
        <family val="2"/>
      </rPr>
      <t xml:space="preserve">変位 </t>
    </r>
    <r>
      <rPr>
        <sz val="9"/>
        <color rgb="FFDBE2EA"/>
        <rFont val="Arial"/>
        <family val="0"/>
        <charset val="1"/>
      </rPr>
      <t xml:space="preserve">[m]</t>
    </r>
  </si>
  <si>
    <t xml:space="preserve">H_d = X/F</t>
  </si>
  <si>
    <t xml:space="preserve">H_d = H_v / (jω) = −H_a / ω²</t>
  </si>
  <si>
    <t xml:space="preserve">剛性・モーダル質量の議論はこれ</t>
  </si>
  <si>
    <t xml:space="preserve">モビリティ（可動度）</t>
  </si>
  <si>
    <r>
      <rPr>
        <sz val="9"/>
        <color rgb="FFDBE2EA"/>
        <rFont val="Noto Sans CJK SC"/>
        <family val="2"/>
      </rPr>
      <t xml:space="preserve">速度 </t>
    </r>
    <r>
      <rPr>
        <sz val="9"/>
        <color rgb="FFDBE2EA"/>
        <rFont val="Arial"/>
        <family val="0"/>
        <charset val="1"/>
      </rPr>
      <t xml:space="preserve">[m/s]</t>
    </r>
  </si>
  <si>
    <t xml:space="preserve">H_v = V/F</t>
  </si>
  <si>
    <t xml:space="preserve">H_v = jω·H_d = H_a / (jω)</t>
  </si>
  <si>
    <r>
      <rPr>
        <sz val="9"/>
        <color rgb="FFDBE2EA"/>
        <rFont val="Arial"/>
        <family val="0"/>
        <charset val="1"/>
      </rPr>
      <t xml:space="preserve">PSV-400</t>
    </r>
    <r>
      <rPr>
        <sz val="9"/>
        <color rgb="FFDBE2EA"/>
        <rFont val="Noto Sans CJK SC"/>
        <family val="2"/>
      </rPr>
      <t xml:space="preserve">（</t>
    </r>
    <r>
      <rPr>
        <sz val="9"/>
        <color rgb="FFDBE2EA"/>
        <rFont val="Arial"/>
        <family val="0"/>
        <charset val="1"/>
      </rPr>
      <t xml:space="preserve">LDV</t>
    </r>
    <r>
      <rPr>
        <sz val="9"/>
        <color rgb="FFDBE2EA"/>
        <rFont val="Noto Sans CJK SC"/>
        <family val="2"/>
      </rPr>
      <t xml:space="preserve">）の生データ</t>
    </r>
  </si>
  <si>
    <t xml:space="preserve">イナータンス／アクセレランス</t>
  </si>
  <si>
    <r>
      <rPr>
        <sz val="9"/>
        <color rgb="FFDBE2EA"/>
        <rFont val="Noto Sans CJK SC"/>
        <family val="2"/>
      </rPr>
      <t xml:space="preserve">加速度 </t>
    </r>
    <r>
      <rPr>
        <sz val="9"/>
        <color rgb="FFDBE2EA"/>
        <rFont val="Arial"/>
        <family val="0"/>
        <charset val="1"/>
      </rPr>
      <t xml:space="preserve">[m/s²]</t>
    </r>
  </si>
  <si>
    <t xml:space="preserve">H_a = A/F</t>
  </si>
  <si>
    <t xml:space="preserve">H_a = jω·H_v = −ω²·H_d</t>
  </si>
  <si>
    <t xml:space="preserve">加速度ピックアップの生データ</t>
  </si>
  <si>
    <r>
      <rPr>
        <sz val="9.5"/>
        <color rgb="FF5EE6A0"/>
        <rFont val="Noto Sans CJK SC"/>
        <family val="2"/>
      </rPr>
      <t xml:space="preserve">※ 固有振動数と減衰（</t>
    </r>
    <r>
      <rPr>
        <sz val="9.5"/>
        <color rgb="FF5EE6A0"/>
        <rFont val="Arial"/>
        <family val="0"/>
        <charset val="1"/>
      </rPr>
      <t xml:space="preserve">η</t>
    </r>
    <r>
      <rPr>
        <sz val="9.5"/>
        <color rgb="FF5EE6A0"/>
        <rFont val="Noto Sans CJK SC"/>
        <family val="2"/>
      </rPr>
      <t xml:space="preserve">・</t>
    </r>
    <r>
      <rPr>
        <sz val="9.5"/>
        <color rgb="FF5EE6A0"/>
        <rFont val="Arial"/>
        <family val="0"/>
        <charset val="1"/>
      </rPr>
      <t xml:space="preserve">ζ</t>
    </r>
    <r>
      <rPr>
        <sz val="9.5"/>
        <color rgb="FF5EE6A0"/>
        <rFont val="Noto Sans CJK SC"/>
        <family val="2"/>
      </rPr>
      <t xml:space="preserve">）は、どの種類の</t>
    </r>
    <r>
      <rPr>
        <sz val="9.5"/>
        <color rgb="FF5EE6A0"/>
        <rFont val="Arial"/>
        <family val="0"/>
        <charset val="1"/>
      </rPr>
      <t xml:space="preserve">FRF</t>
    </r>
    <r>
      <rPr>
        <sz val="9.5"/>
        <color rgb="FF5EE6A0"/>
        <rFont val="Noto Sans CJK SC"/>
        <family val="2"/>
      </rPr>
      <t xml:space="preserve">で解いても同じ値になります。変わるのは『レジデューの単位と大きさ』だけです。</t>
    </r>
  </si>
  <si>
    <r>
      <rPr>
        <sz val="9.5"/>
        <color rgb="FF9AA7B5"/>
        <rFont val="Noto Sans CJK SC"/>
        <family val="2"/>
      </rPr>
      <t xml:space="preserve">※ つまり </t>
    </r>
    <r>
      <rPr>
        <sz val="9.5"/>
        <color rgb="FF9AA7B5"/>
        <rFont val="Arial"/>
        <family val="0"/>
        <charset val="1"/>
      </rPr>
      <t xml:space="preserve">09</t>
    </r>
    <r>
      <rPr>
        <sz val="9.5"/>
        <color rgb="FF9AA7B5"/>
        <rFont val="Noto Sans CJK SC"/>
        <family val="2"/>
      </rPr>
      <t xml:space="preserve">シートの答えは単位換算をしなくても正しい。</t>
    </r>
    <r>
      <rPr>
        <sz val="9.5"/>
        <color rgb="FF9AA7B5"/>
        <rFont val="Arial"/>
        <family val="0"/>
        <charset val="1"/>
      </rPr>
      <t xml:space="preserve">10</t>
    </r>
    <r>
      <rPr>
        <sz val="9.5"/>
        <color rgb="FF9AA7B5"/>
        <rFont val="Noto Sans CJK SC"/>
        <family val="2"/>
      </rPr>
      <t xml:space="preserve">シートのモーダル質量だけが換算を必要とします。</t>
    </r>
  </si>
  <si>
    <t xml:space="preserve">■ 換算電卓</t>
  </si>
  <si>
    <r>
      <rPr>
        <sz val="10"/>
        <color rgb="FFDBE2EA"/>
        <rFont val="Noto Sans CJK SC"/>
        <family val="2"/>
      </rPr>
      <t xml:space="preserve">周波数 </t>
    </r>
    <r>
      <rPr>
        <sz val="10"/>
        <color rgb="FFDBE2EA"/>
        <rFont val="Arial"/>
        <family val="0"/>
        <charset val="1"/>
      </rPr>
      <t xml:space="preserve">f [Hz]</t>
    </r>
  </si>
  <si>
    <r>
      <rPr>
        <sz val="10"/>
        <color rgb="FFDBE2EA"/>
        <rFont val="Noto Sans CJK SC"/>
        <family val="2"/>
      </rPr>
      <t xml:space="preserve">角周波数 </t>
    </r>
    <r>
      <rPr>
        <sz val="10"/>
        <color rgb="FFDBE2EA"/>
        <rFont val="Arial"/>
        <family val="0"/>
        <charset val="1"/>
      </rPr>
      <t xml:space="preserve">ω [rad/s]</t>
    </r>
  </si>
  <si>
    <r>
      <rPr>
        <sz val="10"/>
        <color rgb="FFDBE2EA"/>
        <rFont val="Noto Sans CJK SC"/>
        <family val="2"/>
      </rPr>
      <t xml:space="preserve">入力する</t>
    </r>
    <r>
      <rPr>
        <sz val="10"/>
        <color rgb="FFDBE2EA"/>
        <rFont val="Arial"/>
        <family val="0"/>
        <charset val="1"/>
      </rPr>
      <t xml:space="preserve">FRF</t>
    </r>
    <r>
      <rPr>
        <sz val="10"/>
        <color rgb="FFDBE2EA"/>
        <rFont val="Noto Sans CJK SC"/>
        <family val="2"/>
      </rPr>
      <t xml:space="preserve">の実部</t>
    </r>
  </si>
  <si>
    <r>
      <rPr>
        <sz val="10"/>
        <color rgb="FFDBE2EA"/>
        <rFont val="Noto Sans CJK SC"/>
        <family val="2"/>
      </rPr>
      <t xml:space="preserve">入力する</t>
    </r>
    <r>
      <rPr>
        <sz val="10"/>
        <color rgb="FFDBE2EA"/>
        <rFont val="Arial"/>
        <family val="0"/>
        <charset val="1"/>
      </rPr>
      <t xml:space="preserve">FRF</t>
    </r>
    <r>
      <rPr>
        <sz val="10"/>
        <color rgb="FFDBE2EA"/>
        <rFont val="Noto Sans CJK SC"/>
        <family val="2"/>
      </rPr>
      <t xml:space="preserve">の虚部</t>
    </r>
  </si>
  <si>
    <r>
      <rPr>
        <sz val="10"/>
        <color rgb="FFDBE2EA"/>
        <rFont val="Noto Sans CJK SC"/>
        <family val="2"/>
      </rPr>
      <t xml:space="preserve">入力の種類（</t>
    </r>
    <r>
      <rPr>
        <sz val="10"/>
        <color rgb="FFDBE2EA"/>
        <rFont val="Arial"/>
        <family val="0"/>
        <charset val="1"/>
      </rPr>
      <t xml:space="preserve">1=</t>
    </r>
    <r>
      <rPr>
        <sz val="10"/>
        <color rgb="FFDBE2EA"/>
        <rFont val="Noto Sans CJK SC"/>
        <family val="2"/>
      </rPr>
      <t xml:space="preserve">変位 </t>
    </r>
    <r>
      <rPr>
        <sz val="10"/>
        <color rgb="FFDBE2EA"/>
        <rFont val="Arial"/>
        <family val="0"/>
        <charset val="1"/>
      </rPr>
      <t xml:space="preserve">2=</t>
    </r>
    <r>
      <rPr>
        <sz val="10"/>
        <color rgb="FFDBE2EA"/>
        <rFont val="Noto Sans CJK SC"/>
        <family val="2"/>
      </rPr>
      <t xml:space="preserve">速度 </t>
    </r>
    <r>
      <rPr>
        <sz val="10"/>
        <color rgb="FFDBE2EA"/>
        <rFont val="Arial"/>
        <family val="0"/>
        <charset val="1"/>
      </rPr>
      <t xml:space="preserve">3=</t>
    </r>
    <r>
      <rPr>
        <sz val="10"/>
        <color rgb="FFDBE2EA"/>
        <rFont val="Noto Sans CJK SC"/>
        <family val="2"/>
      </rPr>
      <t xml:space="preserve">加速度）</t>
    </r>
  </si>
  <si>
    <t xml:space="preserve">→ 変位系 実部</t>
  </si>
  <si>
    <r>
      <rPr>
        <sz val="9"/>
        <color rgb="FF9AA7B5"/>
        <rFont val="Arial"/>
        <family val="0"/>
        <charset val="1"/>
      </rPr>
      <t xml:space="preserve">1/(jω) </t>
    </r>
    <r>
      <rPr>
        <sz val="9"/>
        <color rgb="FF9AA7B5"/>
        <rFont val="Noto Sans CJK SC"/>
        <family val="2"/>
      </rPr>
      <t xml:space="preserve">を掛ける＝実部と虚部を入れ替えて符号を調整する操作です（虚数で割ると</t>
    </r>
    <r>
      <rPr>
        <sz val="9"/>
        <color rgb="FF9AA7B5"/>
        <rFont val="Arial"/>
        <family val="0"/>
        <charset val="1"/>
      </rPr>
      <t xml:space="preserve">90°</t>
    </r>
    <r>
      <rPr>
        <sz val="9"/>
        <color rgb="FF9AA7B5"/>
        <rFont val="Noto Sans CJK SC"/>
        <family val="2"/>
      </rPr>
      <t xml:space="preserve">回る）。</t>
    </r>
  </si>
  <si>
    <t xml:space="preserve">→ 変位系 虚部</t>
  </si>
  <si>
    <t xml:space="preserve">→ 速度系 実部</t>
  </si>
  <si>
    <t xml:space="preserve">→ 速度系 虚部</t>
  </si>
  <si>
    <t xml:space="preserve">→ 加速度系 実部</t>
  </si>
  <si>
    <t xml:space="preserve">→ 加速度系 虚部</t>
  </si>
  <si>
    <t xml:space="preserve">■ よくある単位のつまずき</t>
  </si>
  <si>
    <t xml:space="preserve">症状</t>
  </si>
  <si>
    <t xml:space="preserve">原因</t>
  </si>
  <si>
    <t xml:space="preserve">直し方</t>
  </si>
  <si>
    <r>
      <rPr>
        <b val="true"/>
        <sz val="9"/>
        <color rgb="FF5AD4FF"/>
        <rFont val="Arial"/>
        <family val="0"/>
        <charset val="1"/>
      </rPr>
      <t xml:space="preserve">FRF</t>
    </r>
    <r>
      <rPr>
        <b val="true"/>
        <sz val="9"/>
        <color rgb="FF5AD4FF"/>
        <rFont val="Noto Sans CJK SC"/>
        <family val="2"/>
      </rPr>
      <t xml:space="preserve">の値が</t>
    </r>
    <r>
      <rPr>
        <b val="true"/>
        <sz val="9"/>
        <color rgb="FF5AD4FF"/>
        <rFont val="Arial"/>
        <family val="0"/>
        <charset val="1"/>
      </rPr>
      <t xml:space="preserve">10⁶</t>
    </r>
    <r>
      <rPr>
        <b val="true"/>
        <sz val="9"/>
        <color rgb="FF5AD4FF"/>
        <rFont val="Noto Sans CJK SC"/>
        <family val="2"/>
      </rPr>
      <t xml:space="preserve">倍ずれる</t>
    </r>
  </si>
  <si>
    <r>
      <rPr>
        <sz val="9"/>
        <color rgb="FFDBE2EA"/>
        <rFont val="Arial"/>
        <family val="0"/>
        <charset val="1"/>
      </rPr>
      <t xml:space="preserve">PSV</t>
    </r>
    <r>
      <rPr>
        <sz val="9"/>
        <color rgb="FFDBE2EA"/>
        <rFont val="Noto Sans CJK SC"/>
        <family val="2"/>
      </rPr>
      <t xml:space="preserve">の出力が </t>
    </r>
    <r>
      <rPr>
        <sz val="9"/>
        <color rgb="FFDBE2EA"/>
        <rFont val="Arial"/>
        <family val="0"/>
        <charset val="1"/>
      </rPr>
      <t xml:space="preserve">mm/s</t>
    </r>
    <r>
      <rPr>
        <sz val="9"/>
        <color rgb="FFDBE2EA"/>
        <rFont val="Noto Sans CJK SC"/>
        <family val="2"/>
      </rPr>
      <t xml:space="preserve">、力が </t>
    </r>
    <r>
      <rPr>
        <sz val="9"/>
        <color rgb="FFDBE2EA"/>
        <rFont val="Arial"/>
        <family val="0"/>
        <charset val="1"/>
      </rPr>
      <t xml:space="preserve">N </t>
    </r>
    <r>
      <rPr>
        <sz val="9"/>
        <color rgb="FFDBE2EA"/>
        <rFont val="Noto Sans CJK SC"/>
        <family val="2"/>
      </rPr>
      <t xml:space="preserve">のまま</t>
    </r>
  </si>
  <si>
    <r>
      <rPr>
        <sz val="9"/>
        <color rgb="FFDBE2EA"/>
        <rFont val="Arial"/>
        <family val="0"/>
        <charset val="1"/>
      </rPr>
      <t xml:space="preserve">1000</t>
    </r>
    <r>
      <rPr>
        <sz val="9"/>
        <color rgb="FFDBE2EA"/>
        <rFont val="Noto Sans CJK SC"/>
        <family val="2"/>
      </rPr>
      <t xml:space="preserve">で割って </t>
    </r>
    <r>
      <rPr>
        <sz val="9"/>
        <color rgb="FFDBE2EA"/>
        <rFont val="Arial"/>
        <family val="0"/>
        <charset val="1"/>
      </rPr>
      <t xml:space="preserve">m/s </t>
    </r>
    <r>
      <rPr>
        <sz val="9"/>
        <color rgb="FFDBE2EA"/>
        <rFont val="Noto Sans CJK SC"/>
        <family val="2"/>
      </rPr>
      <t xml:space="preserve">に統一</t>
    </r>
  </si>
  <si>
    <r>
      <rPr>
        <b val="true"/>
        <sz val="9"/>
        <color rgb="FF5AD4FF"/>
        <rFont val="Noto Sans CJK SC"/>
        <family val="2"/>
      </rPr>
      <t xml:space="preserve">加速度計の</t>
    </r>
    <r>
      <rPr>
        <b val="true"/>
        <sz val="9"/>
        <color rgb="FF5AD4FF"/>
        <rFont val="Arial"/>
        <family val="0"/>
        <charset val="1"/>
      </rPr>
      <t xml:space="preserve">FRF</t>
    </r>
    <r>
      <rPr>
        <b val="true"/>
        <sz val="9"/>
        <color rgb="FF5AD4FF"/>
        <rFont val="Noto Sans CJK SC"/>
        <family val="2"/>
      </rPr>
      <t xml:space="preserve">で </t>
    </r>
    <r>
      <rPr>
        <b val="true"/>
        <sz val="9"/>
        <color rgb="FF5AD4FF"/>
        <rFont val="Arial"/>
        <family val="0"/>
        <charset val="1"/>
      </rPr>
      <t xml:space="preserve">G </t>
    </r>
    <r>
      <rPr>
        <b val="true"/>
        <sz val="9"/>
        <color rgb="FF5AD4FF"/>
        <rFont val="Noto Sans CJK SC"/>
        <family val="2"/>
      </rPr>
      <t xml:space="preserve">単位が混ざる</t>
    </r>
  </si>
  <si>
    <r>
      <rPr>
        <sz val="9"/>
        <color rgb="FFDBE2EA"/>
        <rFont val="Arial"/>
        <family val="0"/>
        <charset val="1"/>
      </rPr>
      <t xml:space="preserve">1 G = 9.80665 m/s²</t>
    </r>
    <r>
      <rPr>
        <sz val="9"/>
        <color rgb="FFDBE2EA"/>
        <rFont val="Noto Sans CJK SC"/>
        <family val="2"/>
      </rPr>
      <t xml:space="preserve">（重力加速度）</t>
    </r>
  </si>
  <si>
    <r>
      <rPr>
        <sz val="9"/>
        <color rgb="FFDBE2EA"/>
        <rFont val="Arial"/>
        <family val="0"/>
        <charset val="1"/>
      </rPr>
      <t xml:space="preserve">9.80665 </t>
    </r>
    <r>
      <rPr>
        <sz val="9"/>
        <color rgb="FFDBE2EA"/>
        <rFont val="Noto Sans CJK SC"/>
        <family val="2"/>
      </rPr>
      <t xml:space="preserve">を掛けて </t>
    </r>
    <r>
      <rPr>
        <sz val="9"/>
        <color rgb="FFDBE2EA"/>
        <rFont val="Arial"/>
        <family val="0"/>
        <charset val="1"/>
      </rPr>
      <t xml:space="preserve">m/s² </t>
    </r>
    <r>
      <rPr>
        <sz val="9"/>
        <color rgb="FFDBE2EA"/>
        <rFont val="Noto Sans CJK SC"/>
        <family val="2"/>
      </rPr>
      <t xml:space="preserve">に統一</t>
    </r>
  </si>
  <si>
    <r>
      <rPr>
        <b val="true"/>
        <sz val="9"/>
        <color rgb="FF5AD4FF"/>
        <rFont val="Noto Sans CJK SC"/>
        <family val="2"/>
      </rPr>
      <t xml:space="preserve">位相が</t>
    </r>
    <r>
      <rPr>
        <b val="true"/>
        <sz val="9"/>
        <color rgb="FF5AD4FF"/>
        <rFont val="Arial"/>
        <family val="0"/>
        <charset val="1"/>
      </rPr>
      <t xml:space="preserve">180°</t>
    </r>
    <r>
      <rPr>
        <b val="true"/>
        <sz val="9"/>
        <color rgb="FF5AD4FF"/>
        <rFont val="Noto Sans CJK SC"/>
        <family val="2"/>
      </rPr>
      <t xml:space="preserve">ずれている</t>
    </r>
  </si>
  <si>
    <t xml:space="preserve">センサの向き（＋方向）が逆</t>
  </si>
  <si>
    <t xml:space="preserve">符号を反転。モード形状の向きも反転する</t>
  </si>
  <si>
    <r>
      <rPr>
        <b val="true"/>
        <sz val="9"/>
        <color rgb="FF5AD4FF"/>
        <rFont val="Arial"/>
        <family val="0"/>
        <charset val="1"/>
      </rPr>
      <t xml:space="preserve">dB</t>
    </r>
    <r>
      <rPr>
        <b val="true"/>
        <sz val="9"/>
        <color rgb="FF5AD4FF"/>
        <rFont val="Noto Sans CJK SC"/>
        <family val="2"/>
      </rPr>
      <t xml:space="preserve">表記のまま貼っている</t>
    </r>
  </si>
  <si>
    <r>
      <rPr>
        <sz val="9"/>
        <color rgb="FFDBE2EA"/>
        <rFont val="Arial"/>
        <family val="0"/>
        <charset val="1"/>
      </rPr>
      <t xml:space="preserve">dB = 20·log10(|H|/</t>
    </r>
    <r>
      <rPr>
        <sz val="9"/>
        <color rgb="FFDBE2EA"/>
        <rFont val="Noto Sans CJK SC"/>
        <family val="2"/>
      </rPr>
      <t xml:space="preserve">基準値</t>
    </r>
    <r>
      <rPr>
        <sz val="9"/>
        <color rgb="FFDBE2EA"/>
        <rFont val="Arial"/>
        <family val="0"/>
        <charset val="1"/>
      </rPr>
      <t xml:space="preserve">)</t>
    </r>
  </si>
  <si>
    <r>
      <rPr>
        <sz val="9"/>
        <color rgb="FFDBE2EA"/>
        <rFont val="Arial"/>
        <family val="0"/>
        <charset val="1"/>
      </rPr>
      <t xml:space="preserve">|H| = </t>
    </r>
    <r>
      <rPr>
        <sz val="9"/>
        <color rgb="FFDBE2EA"/>
        <rFont val="Noto Sans CJK SC"/>
        <family val="2"/>
      </rPr>
      <t xml:space="preserve">基準値 </t>
    </r>
    <r>
      <rPr>
        <sz val="9"/>
        <color rgb="FFDBE2EA"/>
        <rFont val="Arial"/>
        <family val="0"/>
        <charset val="1"/>
      </rPr>
      <t xml:space="preserve">× 10^(dB/20) </t>
    </r>
    <r>
      <rPr>
        <sz val="9"/>
        <color rgb="FFDBE2EA"/>
        <rFont val="Noto Sans CJK SC"/>
        <family val="2"/>
      </rPr>
      <t xml:space="preserve">に戻してから実部・虚部へ</t>
    </r>
  </si>
  <si>
    <t xml:space="preserve">⑱ 測定記録シート｜半年後の自分のために</t>
  </si>
  <si>
    <r>
      <rPr>
        <sz val="9"/>
        <color rgb="FF9AA7B5"/>
        <rFont val="Noto Sans CJK SC"/>
        <family val="2"/>
      </rPr>
      <t xml:space="preserve">解析結果は測定条件とセットでないと再現できません。</t>
    </r>
    <r>
      <rPr>
        <sz val="9"/>
        <color rgb="FF9AA7B5"/>
        <rFont val="Arial"/>
        <family val="0"/>
        <charset val="1"/>
      </rPr>
      <t xml:space="preserve">1</t>
    </r>
    <r>
      <rPr>
        <sz val="9"/>
        <color rgb="FF9AA7B5"/>
        <rFont val="Noto Sans CJK SC"/>
        <family val="2"/>
      </rPr>
      <t xml:space="preserve">回の測定につき</t>
    </r>
    <r>
      <rPr>
        <sz val="9"/>
        <color rgb="FF9AA7B5"/>
        <rFont val="Arial"/>
        <family val="0"/>
        <charset val="1"/>
      </rPr>
      <t xml:space="preserve">1</t>
    </r>
    <r>
      <rPr>
        <sz val="9"/>
        <color rgb="FF9AA7B5"/>
        <rFont val="Noto Sans CJK SC"/>
        <family val="2"/>
      </rPr>
      <t xml:space="preserve">枚、埋めてから解析に入ってください。</t>
    </r>
  </si>
  <si>
    <t xml:space="preserve">記録項目</t>
  </si>
  <si>
    <t xml:space="preserve">記入欄</t>
  </si>
  <si>
    <t xml:space="preserve">測定日時</t>
  </si>
  <si>
    <r>
      <rPr>
        <b val="true"/>
        <sz val="9"/>
        <color rgb="FF5AD4FF"/>
        <rFont val="Noto Sans CJK SC"/>
        <family val="2"/>
      </rPr>
      <t xml:space="preserve">解析点数 </t>
    </r>
    <r>
      <rPr>
        <b val="true"/>
        <sz val="9"/>
        <color rgb="FF5AD4FF"/>
        <rFont val="Arial"/>
        <family val="0"/>
        <charset val="1"/>
      </rPr>
      <t xml:space="preserve">N</t>
    </r>
  </si>
  <si>
    <t xml:space="preserve">試験体名（パッド型番・材質）</t>
  </si>
  <si>
    <r>
      <rPr>
        <b val="true"/>
        <sz val="9"/>
        <color rgb="FF5AD4FF"/>
        <rFont val="Noto Sans CJK SC"/>
        <family val="2"/>
      </rPr>
      <t xml:space="preserve">フレーム長 </t>
    </r>
    <r>
      <rPr>
        <b val="true"/>
        <sz val="9"/>
        <color rgb="FF5AD4FF"/>
        <rFont val="Arial"/>
        <family val="0"/>
        <charset val="1"/>
      </rPr>
      <t xml:space="preserve">T [</t>
    </r>
    <r>
      <rPr>
        <b val="true"/>
        <sz val="9"/>
        <color rgb="FF5AD4FF"/>
        <rFont val="Noto Sans CJK SC"/>
        <family val="2"/>
      </rPr>
      <t xml:space="preserve">秒</t>
    </r>
    <r>
      <rPr>
        <b val="true"/>
        <sz val="9"/>
        <color rgb="FF5AD4FF"/>
        <rFont val="Arial"/>
        <family val="0"/>
        <charset val="1"/>
      </rPr>
      <t xml:space="preserve">]</t>
    </r>
  </si>
  <si>
    <r>
      <rPr>
        <b val="true"/>
        <sz val="9"/>
        <color rgb="FF5AD4FF"/>
        <rFont val="Noto Sans CJK SC"/>
        <family val="2"/>
      </rPr>
      <t xml:space="preserve">試験体の状態（バックプレートのみ </t>
    </r>
    <r>
      <rPr>
        <b val="true"/>
        <sz val="9"/>
        <color rgb="FF5AD4FF"/>
        <rFont val="Arial"/>
        <family val="0"/>
        <charset val="1"/>
      </rPr>
      <t xml:space="preserve">/ </t>
    </r>
    <r>
      <rPr>
        <b val="true"/>
        <sz val="9"/>
        <color rgb="FF5AD4FF"/>
        <rFont val="Noto Sans CJK SC"/>
        <family val="2"/>
      </rPr>
      <t xml:space="preserve">シム付き </t>
    </r>
    <r>
      <rPr>
        <b val="true"/>
        <sz val="9"/>
        <color rgb="FF5AD4FF"/>
        <rFont val="Arial"/>
        <family val="0"/>
        <charset val="1"/>
      </rPr>
      <t xml:space="preserve">/ </t>
    </r>
    <r>
      <rPr>
        <b val="true"/>
        <sz val="9"/>
        <color rgb="FF5AD4FF"/>
        <rFont val="Noto Sans CJK SC"/>
        <family val="2"/>
      </rPr>
      <t xml:space="preserve">摩擦材付き）</t>
    </r>
  </si>
  <si>
    <r>
      <rPr>
        <b val="true"/>
        <sz val="9"/>
        <color rgb="FF5AD4FF"/>
        <rFont val="Noto Sans CJK SC"/>
        <family val="2"/>
      </rPr>
      <t xml:space="preserve">周波数分解能 </t>
    </r>
    <r>
      <rPr>
        <b val="true"/>
        <sz val="9"/>
        <color rgb="FF5AD4FF"/>
        <rFont val="Arial"/>
        <family val="0"/>
        <charset val="1"/>
      </rPr>
      <t xml:space="preserve">Δf [Hz]</t>
    </r>
  </si>
  <si>
    <t xml:space="preserve">温度・湿度</t>
  </si>
  <si>
    <r>
      <rPr>
        <b val="true"/>
        <sz val="9"/>
        <color rgb="FF5AD4FF"/>
        <rFont val="Noto Sans CJK SC"/>
        <family val="2"/>
      </rPr>
      <t xml:space="preserve">窓関数（無し </t>
    </r>
    <r>
      <rPr>
        <b val="true"/>
        <sz val="9"/>
        <color rgb="FF5AD4FF"/>
        <rFont val="Arial"/>
        <family val="0"/>
        <charset val="1"/>
      </rPr>
      <t xml:space="preserve">/ </t>
    </r>
    <r>
      <rPr>
        <b val="true"/>
        <sz val="9"/>
        <color rgb="FF5AD4FF"/>
        <rFont val="Noto Sans CJK SC"/>
        <family val="2"/>
      </rPr>
      <t xml:space="preserve">ハニング </t>
    </r>
    <r>
      <rPr>
        <b val="true"/>
        <sz val="9"/>
        <color rgb="FF5AD4FF"/>
        <rFont val="Arial"/>
        <family val="0"/>
        <charset val="1"/>
      </rPr>
      <t xml:space="preserve">/ </t>
    </r>
    <r>
      <rPr>
        <b val="true"/>
        <sz val="9"/>
        <color rgb="FF5AD4FF"/>
        <rFont val="Noto Sans CJK SC"/>
        <family val="2"/>
      </rPr>
      <t xml:space="preserve">フォース・指数 </t>
    </r>
    <r>
      <rPr>
        <b val="true"/>
        <sz val="9"/>
        <color rgb="FF5AD4FF"/>
        <rFont val="Arial"/>
        <family val="0"/>
        <charset val="1"/>
      </rPr>
      <t xml:space="preserve">/ </t>
    </r>
    <r>
      <rPr>
        <b val="true"/>
        <sz val="9"/>
        <color rgb="FF5AD4FF"/>
        <rFont val="Noto Sans CJK SC"/>
        <family val="2"/>
      </rPr>
      <t xml:space="preserve">指数・指数 </t>
    </r>
    <r>
      <rPr>
        <b val="true"/>
        <sz val="9"/>
        <color rgb="FF5AD4FF"/>
        <rFont val="Arial"/>
        <family val="0"/>
        <charset val="1"/>
      </rPr>
      <t xml:space="preserve">/ </t>
    </r>
    <r>
      <rPr>
        <b val="true"/>
        <sz val="9"/>
        <color rgb="FF5AD4FF"/>
        <rFont val="Noto Sans CJK SC"/>
        <family val="2"/>
      </rPr>
      <t xml:space="preserve">フラットトップ）</t>
    </r>
  </si>
  <si>
    <t xml:space="preserve">支持方法（ピアノ線径・長さ・本数・吊り位置）</t>
  </si>
  <si>
    <t xml:space="preserve">指数窓の終端減衰値</t>
  </si>
  <si>
    <r>
      <rPr>
        <b val="true"/>
        <sz val="9"/>
        <color rgb="FF5AD4FF"/>
        <rFont val="Noto Sans CJK SC"/>
        <family val="2"/>
      </rPr>
      <t xml:space="preserve">加振方法（ハンマー </t>
    </r>
    <r>
      <rPr>
        <b val="true"/>
        <sz val="9"/>
        <color rgb="FF5AD4FF"/>
        <rFont val="Arial"/>
        <family val="0"/>
        <charset val="1"/>
      </rPr>
      <t xml:space="preserve">/ </t>
    </r>
    <r>
      <rPr>
        <b val="true"/>
        <sz val="9"/>
        <color rgb="FF5AD4FF"/>
        <rFont val="Noto Sans CJK SC"/>
        <family val="2"/>
      </rPr>
      <t xml:space="preserve">シェーカー </t>
    </r>
    <r>
      <rPr>
        <b val="true"/>
        <sz val="9"/>
        <color rgb="FF5AD4FF"/>
        <rFont val="Arial"/>
        <family val="0"/>
        <charset val="1"/>
      </rPr>
      <t xml:space="preserve">/ PZT / </t>
    </r>
    <r>
      <rPr>
        <b val="true"/>
        <sz val="9"/>
        <color rgb="FF5AD4FF"/>
        <rFont val="Noto Sans CJK SC"/>
        <family val="2"/>
      </rPr>
      <t xml:space="preserve">電磁）</t>
    </r>
  </si>
  <si>
    <t xml:space="preserve">平均回数</t>
  </si>
  <si>
    <t xml:space="preserve">ハンマーチップ（硬さ）</t>
  </si>
  <si>
    <t xml:space="preserve">トリガ設定（レベル・プリトリガ）</t>
  </si>
  <si>
    <t xml:space="preserve">加振点（座標・番号）</t>
  </si>
  <si>
    <t xml:space="preserve">共振点でのコヒーレンス</t>
  </si>
  <si>
    <r>
      <rPr>
        <b val="true"/>
        <sz val="9"/>
        <color rgb="FF5AD4FF"/>
        <rFont val="Noto Sans CJK SC"/>
        <family val="2"/>
      </rPr>
      <t xml:space="preserve">応答計測（</t>
    </r>
    <r>
      <rPr>
        <b val="true"/>
        <sz val="9"/>
        <color rgb="FF5AD4FF"/>
        <rFont val="Arial"/>
        <family val="0"/>
        <charset val="1"/>
      </rPr>
      <t xml:space="preserve">PSV / </t>
    </r>
    <r>
      <rPr>
        <b val="true"/>
        <sz val="9"/>
        <color rgb="FF5AD4FF"/>
        <rFont val="Noto Sans CJK SC"/>
        <family val="2"/>
      </rPr>
      <t xml:space="preserve">加速度計・測定点）</t>
    </r>
  </si>
  <si>
    <t xml:space="preserve">二度打ちの除外有無</t>
  </si>
  <si>
    <t xml:space="preserve">アナライザ</t>
  </si>
  <si>
    <r>
      <rPr>
        <b val="true"/>
        <sz val="9"/>
        <color rgb="FF5AD4FF"/>
        <rFont val="Noto Sans CJK SC"/>
        <family val="2"/>
      </rPr>
      <t xml:space="preserve">解析帯域 </t>
    </r>
    <r>
      <rPr>
        <b val="true"/>
        <sz val="9"/>
        <color rgb="FF5AD4FF"/>
        <rFont val="Arial"/>
        <family val="0"/>
        <charset val="1"/>
      </rPr>
      <t xml:space="preserve">[Hz]</t>
    </r>
  </si>
  <si>
    <r>
      <rPr>
        <b val="true"/>
        <sz val="9"/>
        <color rgb="FF5AD4FF"/>
        <rFont val="Noto Sans CJK SC"/>
        <family val="2"/>
      </rPr>
      <t xml:space="preserve">解析周波数レンジ </t>
    </r>
    <r>
      <rPr>
        <b val="true"/>
        <sz val="9"/>
        <color rgb="FF5AD4FF"/>
        <rFont val="Arial"/>
        <family val="0"/>
        <charset val="1"/>
      </rPr>
      <t xml:space="preserve">[Hz]</t>
    </r>
  </si>
  <si>
    <t xml:space="preserve">推定モード数</t>
  </si>
  <si>
    <r>
      <rPr>
        <b val="true"/>
        <sz val="9"/>
        <color rgb="FF5AD4FF"/>
        <rFont val="Noto Sans CJK SC"/>
        <family val="2"/>
      </rPr>
      <t xml:space="preserve">サンプリング周波数 </t>
    </r>
    <r>
      <rPr>
        <b val="true"/>
        <sz val="9"/>
        <color rgb="FF5AD4FF"/>
        <rFont val="Arial"/>
        <family val="0"/>
        <charset val="1"/>
      </rPr>
      <t xml:space="preserve">fs [Hz]</t>
    </r>
  </si>
  <si>
    <t xml:space="preserve">備考（異常・気づき）</t>
  </si>
  <si>
    <t xml:space="preserve">■ 解析結果の記録</t>
  </si>
  <si>
    <t xml:space="preserve">モード</t>
  </si>
  <si>
    <t xml:space="preserve">fn [Hz]</t>
  </si>
  <si>
    <t xml:space="preserve">fd [Hz]</t>
  </si>
  <si>
    <t xml:space="preserve">η</t>
  </si>
  <si>
    <t xml:space="preserve">ζ</t>
  </si>
  <si>
    <t xml:space="preserve">Q</t>
  </si>
  <si>
    <r>
      <rPr>
        <b val="true"/>
        <sz val="9"/>
        <color rgb="FFFFB454"/>
        <rFont val="Noto Sans CJK SC"/>
        <family val="2"/>
      </rPr>
      <t xml:space="preserve">相対誤差 </t>
    </r>
    <r>
      <rPr>
        <b val="true"/>
        <sz val="9"/>
        <color rgb="FFFFB454"/>
        <rFont val="Arial"/>
        <family val="0"/>
        <charset val="1"/>
      </rPr>
      <t xml:space="preserve">[%]</t>
    </r>
  </si>
  <si>
    <r>
      <rPr>
        <b val="true"/>
        <sz val="9.5"/>
        <color rgb="FF5AD4FF"/>
        <rFont val="Noto Sans CJK SC"/>
        <family val="2"/>
      </rPr>
      <t xml:space="preserve">モード</t>
    </r>
    <r>
      <rPr>
        <b val="true"/>
        <sz val="9.5"/>
        <color rgb="FF5AD4FF"/>
        <rFont val="Arial"/>
        <family val="0"/>
        <charset val="1"/>
      </rPr>
      <t xml:space="preserve">A</t>
    </r>
  </si>
  <si>
    <r>
      <rPr>
        <b val="true"/>
        <sz val="9.5"/>
        <color rgb="FF5AD4FF"/>
        <rFont val="Noto Sans CJK SC"/>
        <family val="2"/>
      </rPr>
      <t xml:space="preserve">モード</t>
    </r>
    <r>
      <rPr>
        <b val="true"/>
        <sz val="9.5"/>
        <color rgb="FF5AD4FF"/>
        <rFont val="Arial"/>
        <family val="0"/>
        <charset val="1"/>
      </rPr>
      <t xml:space="preserve">B</t>
    </r>
  </si>
  <si>
    <r>
      <rPr>
        <sz val="9"/>
        <color rgb="FF9AA7B5"/>
        <rFont val="Arial"/>
        <family val="0"/>
        <charset val="1"/>
      </rPr>
      <t xml:space="preserve">※ η</t>
    </r>
    <r>
      <rPr>
        <sz val="9"/>
        <color rgb="FF9AA7B5"/>
        <rFont val="Noto Sans CJK SC"/>
        <family val="2"/>
      </rPr>
      <t xml:space="preserve">・</t>
    </r>
    <r>
      <rPr>
        <sz val="9"/>
        <color rgb="FF9AA7B5"/>
        <rFont val="Arial"/>
        <family val="0"/>
        <charset val="1"/>
      </rPr>
      <t xml:space="preserve">ζ</t>
    </r>
    <r>
      <rPr>
        <sz val="9"/>
        <color rgb="FF9AA7B5"/>
        <rFont val="Noto Sans CJK SC"/>
        <family val="2"/>
      </rPr>
      <t xml:space="preserve">・</t>
    </r>
    <r>
      <rPr>
        <sz val="9"/>
        <color rgb="FF9AA7B5"/>
        <rFont val="Arial"/>
        <family val="0"/>
        <charset val="1"/>
      </rPr>
      <t xml:space="preserve">Q </t>
    </r>
    <r>
      <rPr>
        <sz val="9"/>
        <color rgb="FF9AA7B5"/>
        <rFont val="Noto Sans CJK SC"/>
        <family val="2"/>
      </rPr>
      <t xml:space="preserve">は『指数窓補正後』の値を自動で拾っています（</t>
    </r>
    <r>
      <rPr>
        <sz val="9"/>
        <color rgb="FF9AA7B5"/>
        <rFont val="Arial"/>
        <family val="0"/>
        <charset val="1"/>
      </rPr>
      <t xml:space="preserve">09</t>
    </r>
    <r>
      <rPr>
        <sz val="9"/>
        <color rgb="FF9AA7B5"/>
        <rFont val="Noto Sans CJK SC"/>
        <family val="2"/>
      </rPr>
      <t xml:space="preserve">シート</t>
    </r>
    <r>
      <rPr>
        <sz val="9"/>
        <color rgb="FF9AA7B5"/>
        <rFont val="Arial"/>
        <family val="0"/>
        <charset val="1"/>
      </rPr>
      <t xml:space="preserve">26</t>
    </r>
    <r>
      <rPr>
        <sz val="9"/>
        <color rgb="FF9AA7B5"/>
        <rFont val="Noto Sans CJK SC"/>
        <family val="2"/>
      </rPr>
      <t xml:space="preserve">〜</t>
    </r>
    <r>
      <rPr>
        <sz val="9"/>
        <color rgb="FF9AA7B5"/>
        <rFont val="Arial"/>
        <family val="0"/>
        <charset val="1"/>
      </rPr>
      <t xml:space="preserve">28</t>
    </r>
    <r>
      <rPr>
        <sz val="9"/>
        <color rgb="FF9AA7B5"/>
        <rFont val="Noto Sans CJK SC"/>
        <family val="2"/>
      </rPr>
      <t xml:space="preserve">行）。窓なし測定なら </t>
    </r>
    <r>
      <rPr>
        <sz val="9"/>
        <color rgb="FF9AA7B5"/>
        <rFont val="Arial"/>
        <family val="0"/>
        <charset val="1"/>
      </rPr>
      <t xml:space="preserve">09</t>
    </r>
    <r>
      <rPr>
        <sz val="9"/>
        <color rgb="FF9AA7B5"/>
        <rFont val="Noto Sans CJK SC"/>
        <family val="2"/>
      </rPr>
      <t xml:space="preserve">シート</t>
    </r>
    <r>
      <rPr>
        <sz val="9"/>
        <color rgb="FF9AA7B5"/>
        <rFont val="Arial"/>
        <family val="0"/>
        <charset val="1"/>
      </rPr>
      <t xml:space="preserve">B24 </t>
    </r>
    <r>
      <rPr>
        <sz val="9"/>
        <color rgb="FF9AA7B5"/>
        <rFont val="Noto Sans CJK SC"/>
        <family val="2"/>
      </rPr>
      <t xml:space="preserve">を </t>
    </r>
    <r>
      <rPr>
        <sz val="9"/>
        <color rgb="FF9AA7B5"/>
        <rFont val="Arial"/>
        <family val="0"/>
        <charset val="1"/>
      </rPr>
      <t xml:space="preserve">0 </t>
    </r>
    <r>
      <rPr>
        <sz val="9"/>
        <color rgb="FF9AA7B5"/>
        <rFont val="Noto Sans CJK SC"/>
        <family val="2"/>
      </rPr>
      <t xml:space="preserve">のままに。</t>
    </r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</si>
</sst>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"/>
    <numFmt numFmtId="166" formatCode="0.0000"/>
    <numFmt numFmtId="167" formatCode="0.00000"/>
    <numFmt numFmtId="168" formatCode="0.00"/>
    <numFmt numFmtId="169" formatCode="0.0"/>
    <numFmt numFmtId="170" formatCode="0.000000"/>
    <numFmt numFmtId="171" formatCode="0.000"/>
    <numFmt numFmtId="172" formatCode="0.00E+00"/>
    <numFmt numFmtId="173" formatCode="0.000E+00"/>
    <numFmt numFmtId="174" formatCode="0.00000000"/>
    <numFmt numFmtId="175" formatCode="0.00000E+00"/>
  </numFmts>
  <fonts count="6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5AD4FF"/>
      <name val="Noto Sans CJK SC"/>
      <family val="2"/>
    </font>
    <font>
      <b val="true"/>
      <sz val="15"/>
      <color rgb="FF5AD4FF"/>
      <name val="Arial"/>
      <family val="0"/>
      <charset val="1"/>
    </font>
    <font>
      <sz val="10"/>
      <color rgb="FFDBE2EA"/>
      <name val="Arial"/>
      <family val="0"/>
      <charset val="1"/>
    </font>
    <font>
      <sz val="9"/>
      <color rgb="FF9AA7B5"/>
      <name val="Noto Sans CJK SC"/>
      <family val="2"/>
    </font>
    <font>
      <sz val="9"/>
      <color rgb="FF9AA7B5"/>
      <name val="Arial"/>
      <family val="0"/>
      <charset val="1"/>
    </font>
    <font>
      <b val="true"/>
      <sz val="11.5"/>
      <color rgb="FFFFB454"/>
      <name val="Noto Sans CJK SC"/>
      <family val="2"/>
    </font>
    <font>
      <b val="true"/>
      <sz val="11.5"/>
      <color rgb="FFFFB454"/>
      <name val="Arial"/>
      <family val="0"/>
      <charset val="1"/>
    </font>
    <font>
      <b val="true"/>
      <sz val="11"/>
      <color rgb="FF5AD4FF"/>
      <name val="Arial"/>
      <family val="0"/>
      <charset val="1"/>
    </font>
    <font>
      <sz val="10"/>
      <color rgb="FFDBE2EA"/>
      <name val="Noto Sans CJK SC"/>
      <family val="2"/>
    </font>
    <font>
      <b val="true"/>
      <sz val="9.5"/>
      <color rgb="FFFFB454"/>
      <name val="Noto Sans CJK SC"/>
      <family val="2"/>
    </font>
    <font>
      <b val="true"/>
      <sz val="10"/>
      <color rgb="FFF4E04D"/>
      <name val="Noto Sans CJK SC"/>
      <family val="2"/>
    </font>
    <font>
      <sz val="10"/>
      <color rgb="FF9AA7B5"/>
      <name val="Noto Sans CJK SC"/>
      <family val="2"/>
    </font>
    <font>
      <b val="true"/>
      <sz val="10"/>
      <color rgb="FF5EE6A0"/>
      <name val="Noto Sans CJK SC"/>
      <family val="2"/>
    </font>
    <font>
      <b val="true"/>
      <sz val="10"/>
      <color rgb="FFDBE2EA"/>
      <name val="Noto Sans CJK SC"/>
      <family val="2"/>
    </font>
    <font>
      <b val="true"/>
      <sz val="10"/>
      <color rgb="FFFF7A7A"/>
      <name val="Noto Sans CJK SC"/>
      <family val="2"/>
    </font>
    <font>
      <b val="true"/>
      <sz val="9.5"/>
      <color rgb="FFFFB454"/>
      <name val="Arial"/>
      <family val="0"/>
      <charset val="1"/>
    </font>
    <font>
      <sz val="9.5"/>
      <color rgb="FFDBE2EA"/>
      <name val="Arial"/>
      <family val="0"/>
      <charset val="1"/>
    </font>
    <font>
      <b val="true"/>
      <sz val="9.5"/>
      <color rgb="FF5AD4FF"/>
      <name val="Arial"/>
      <family val="0"/>
      <charset val="1"/>
    </font>
    <font>
      <b val="true"/>
      <sz val="9.5"/>
      <color rgb="FF5AD4FF"/>
      <name val="Noto Sans CJK SC"/>
      <family val="2"/>
    </font>
    <font>
      <sz val="9.5"/>
      <color rgb="FFDBE2EA"/>
      <name val="Noto Sans CJK SC"/>
      <family val="2"/>
    </font>
    <font>
      <b val="true"/>
      <sz val="10"/>
      <color rgb="FF5EE6A0"/>
      <name val="Arial"/>
      <family val="0"/>
      <charset val="1"/>
    </font>
    <font>
      <sz val="9.5"/>
      <color rgb="FF9AA7B5"/>
      <name val="Noto Sans CJK SC"/>
      <family val="2"/>
    </font>
    <font>
      <sz val="9.5"/>
      <color rgb="FF9AA7B5"/>
      <name val="Arial"/>
      <family val="0"/>
      <charset val="1"/>
    </font>
    <font>
      <b val="true"/>
      <sz val="10"/>
      <color rgb="FFF4E04D"/>
      <name val="Arial"/>
      <family val="0"/>
      <charset val="1"/>
    </font>
    <font>
      <sz val="9"/>
      <color rgb="FFC792EA"/>
      <name val="Noto Sans CJK SC"/>
      <family val="2"/>
    </font>
    <font>
      <sz val="9"/>
      <color rgb="FFC792EA"/>
      <name val="Arial"/>
      <family val="0"/>
      <charset val="1"/>
    </font>
    <font>
      <b val="true"/>
      <sz val="10"/>
      <color rgb="FF5AD4FF"/>
      <name val="Noto Sans CJK SC"/>
      <family val="2"/>
    </font>
    <font>
      <b val="true"/>
      <sz val="10"/>
      <color rgb="FF5AD4FF"/>
      <name val="Arial"/>
      <family val="0"/>
      <charset val="1"/>
    </font>
    <font>
      <sz val="10"/>
      <color rgb="FF5EE6A0"/>
      <name val="Arial"/>
      <family val="0"/>
      <charset val="1"/>
    </font>
    <font>
      <sz val="10"/>
      <color rgb="FF5EE6A0"/>
      <name val="Noto Sans CJK SC"/>
      <family val="2"/>
    </font>
    <font>
      <b val="true"/>
      <sz val="10"/>
      <color rgb="FFFF7A7A"/>
      <name val="Arial"/>
      <family val="0"/>
      <charset val="1"/>
    </font>
    <font>
      <sz val="9.5"/>
      <color rgb="FFFFB454"/>
      <name val="Arial"/>
      <family val="0"/>
      <charset val="1"/>
    </font>
    <font>
      <sz val="9.5"/>
      <color rgb="FFFFB454"/>
      <name val="Noto Sans CJK SC"/>
      <family val="2"/>
    </font>
    <font>
      <sz val="10"/>
      <color rgb="FFFF7A7A"/>
      <name val="Noto Sans CJK SC"/>
      <family val="2"/>
    </font>
    <font>
      <sz val="9.5"/>
      <color rgb="FF5EE6A0"/>
      <name val="Arial"/>
      <family val="0"/>
      <charset val="1"/>
    </font>
    <font>
      <sz val="9.5"/>
      <color rgb="FF5EE6A0"/>
      <name val="Noto Sans CJK SC"/>
      <family val="2"/>
    </font>
    <font>
      <sz val="9.5"/>
      <color rgb="FFF4E04D"/>
      <name val="Arial"/>
      <family val="0"/>
      <charset val="1"/>
    </font>
    <font>
      <sz val="9.5"/>
      <color rgb="FFFF7A7A"/>
      <name val="Noto Sans CJK SC"/>
      <family val="2"/>
    </font>
    <font>
      <sz val="9.5"/>
      <color rgb="FFFF7A7A"/>
      <name val="Arial"/>
      <family val="0"/>
      <charset val="1"/>
    </font>
    <font>
      <b val="true"/>
      <sz val="9"/>
      <color rgb="FFFFB454"/>
      <name val="Arial"/>
      <family val="0"/>
      <charset val="1"/>
    </font>
    <font>
      <b val="true"/>
      <sz val="9"/>
      <color rgb="FFFFB454"/>
      <name val="Noto Sans CJK SC"/>
      <family val="2"/>
    </font>
    <font>
      <b val="true"/>
      <sz val="10"/>
      <color rgb="FFFFB454"/>
      <name val="Noto Sans CJK SC"/>
      <family val="2"/>
    </font>
    <font>
      <sz val="9.5"/>
      <color rgb="FF5AD4FF"/>
      <name val="Arial"/>
      <family val="0"/>
      <charset val="1"/>
    </font>
    <font>
      <sz val="9"/>
      <color rgb="FFDBE2EA"/>
      <name val="Noto Sans CJK SC"/>
      <family val="2"/>
    </font>
    <font>
      <sz val="9"/>
      <color rgb="FFDBE2EA"/>
      <name val="Arial"/>
      <family val="0"/>
      <charset val="1"/>
    </font>
    <font>
      <sz val="10"/>
      <color rgb="FF5AD4FF"/>
      <name val="Arial"/>
      <family val="0"/>
      <charset val="1"/>
    </font>
    <font>
      <b val="true"/>
      <sz val="11"/>
      <color rgb="FFC792EA"/>
      <name val="Arial"/>
      <family val="0"/>
      <charset val="1"/>
    </font>
    <font>
      <sz val="9.5"/>
      <color rgb="FF5AD4FF"/>
      <name val="Noto Sans CJK SC"/>
      <family val="2"/>
    </font>
    <font>
      <sz val="9.5"/>
      <color rgb="FFC792EA"/>
      <name val="Noto Sans CJK SC"/>
      <family val="2"/>
    </font>
    <font>
      <sz val="9.5"/>
      <color rgb="FFC792EA"/>
      <name val="Arial"/>
      <family val="0"/>
      <charset val="1"/>
    </font>
    <font>
      <sz val="9"/>
      <color rgb="FF5EE6A0"/>
      <name val="Noto Sans CJK SC"/>
      <family val="2"/>
    </font>
    <font>
      <sz val="9"/>
      <color rgb="FF5EE6A0"/>
      <name val="Arial"/>
      <family val="0"/>
      <charset val="1"/>
    </font>
    <font>
      <b val="true"/>
      <sz val="9"/>
      <color rgb="FF5AD4FF"/>
      <name val="Arial"/>
      <family val="0"/>
      <charset val="1"/>
    </font>
    <font>
      <b val="true"/>
      <sz val="9"/>
      <color rgb="FF5AD4FF"/>
      <name val="Noto Sans CJK SC"/>
      <family val="2"/>
    </font>
    <font>
      <b val="true"/>
      <sz val="10"/>
      <color rgb="FFFFB454"/>
      <name val="Arial"/>
      <family val="0"/>
      <charset val="1"/>
    </font>
    <font>
      <b val="true"/>
      <sz val="9.5"/>
      <color rgb="FF5EE6A0"/>
      <name val="Arial"/>
      <family val="0"/>
      <charset val="1"/>
    </font>
    <font>
      <sz val="8.5"/>
      <color rgb="FF9AA7B5"/>
      <name val="Noto Sans CJK SC"/>
      <family val="2"/>
    </font>
    <font>
      <sz val="8.5"/>
      <color rgb="FF9AA7B5"/>
      <name val="Arial"/>
      <family val="0"/>
      <charset val="1"/>
    </font>
    <font>
      <b val="true"/>
      <sz val="9.5"/>
      <color rgb="FF5EE6A0"/>
      <name val="Noto Sans CJK SC"/>
      <family val="2"/>
    </font>
    <font>
      <sz val="9"/>
      <color rgb="FFFF7A7A"/>
      <name val="Noto Sans CJK SC"/>
      <family val="2"/>
    </font>
    <font>
      <sz val="9"/>
      <color rgb="FFFF7A7A"/>
      <name val="Arial"/>
      <family val="0"/>
      <charset val="1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D1117"/>
        <bgColor rgb="FF151B23"/>
      </patternFill>
    </fill>
    <fill>
      <patternFill patternType="solid">
        <fgColor rgb="FF1E2733"/>
        <bgColor rgb="FF1A212B"/>
      </patternFill>
    </fill>
    <fill>
      <patternFill patternType="solid">
        <fgColor rgb="FF3A3110"/>
        <bgColor rgb="FF2A3441"/>
      </patternFill>
    </fill>
    <fill>
      <patternFill patternType="solid">
        <fgColor rgb="FF151B23"/>
        <bgColor rgb="FF1A212B"/>
      </patternFill>
    </fill>
    <fill>
      <patternFill patternType="solid">
        <fgColor rgb="FF10261B"/>
        <bgColor rgb="FF1A212B"/>
      </patternFill>
    </fill>
    <fill>
      <patternFill patternType="solid">
        <fgColor rgb="FF2E1414"/>
        <bgColor rgb="FF151B23"/>
      </patternFill>
    </fill>
    <fill>
      <patternFill patternType="solid">
        <fgColor rgb="FF1A212B"/>
        <bgColor rgb="FF1E27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A3441"/>
      </left>
      <right style="thin">
        <color rgb="FF2A3441"/>
      </right>
      <top style="thin">
        <color rgb="FF2A3441"/>
      </top>
      <bottom style="thin">
        <color rgb="FF2A344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2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4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2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6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41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4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3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9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2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5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3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3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1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D1117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2E1414"/>
      <rgbColor rgb="FFFF7A7A"/>
      <rgbColor rgb="FF0066CC"/>
      <rgbColor rgb="FFDBE2EA"/>
      <rgbColor rgb="FF151B23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5EE6A0"/>
      <rgbColor rgb="FFFF99CC"/>
      <rgbColor rgb="FFC792EA"/>
      <rgbColor rgb="FFFFB454"/>
      <rgbColor rgb="FF3366FF"/>
      <rgbColor rgb="FF5AD4FF"/>
      <rgbColor rgb="FF99CC00"/>
      <rgbColor rgb="FFF4E04D"/>
      <rgbColor rgb="FFFF9900"/>
      <rgbColor rgb="FFFF6600"/>
      <rgbColor rgb="FF666699"/>
      <rgbColor rgb="FF9AA7B5"/>
      <rgbColor rgb="FF1E2733"/>
      <rgbColor rgb="FF339966"/>
      <rgbColor rgb="FF10261B"/>
      <rgbColor rgb="FF3A3110"/>
      <rgbColor rgb="FF993300"/>
      <rgbColor rgb="FF993366"/>
      <rgbColor rgb="FF1A212B"/>
      <rgbColor rgb="FF2A34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実測（橙）と 合成カーブフィット（緑）の重ね合わせ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11_合成FRFの照合!G7</c:f>
              <c:strCache>
                <c:ptCount val="1"/>
                <c:pt idx="0">
                  <c:v>実測 |H|</c:v>
                </c:pt>
              </c:strCache>
            </c:strRef>
          </c:tx>
          <c:spPr>
            <a:solidFill>
              <a:srgbClr val="ffb454"/>
            </a:solidFill>
            <a:ln w="21960">
              <a:solidFill>
                <a:srgbClr val="ffb45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11_合成FRFの照合!$B$8:$B$127</c:f>
              <c:strCache>
                <c:ptCount val="120"/>
                <c:pt idx="0">
                  <c:v>3400.00</c:v>
                </c:pt>
                <c:pt idx="1">
                  <c:v>3410.00</c:v>
                </c:pt>
                <c:pt idx="2">
                  <c:v>3420.00</c:v>
                </c:pt>
                <c:pt idx="3">
                  <c:v>3430.00</c:v>
                </c:pt>
                <c:pt idx="4">
                  <c:v>3440.00</c:v>
                </c:pt>
                <c:pt idx="5">
                  <c:v>3450.00</c:v>
                </c:pt>
                <c:pt idx="6">
                  <c:v>3460.00</c:v>
                </c:pt>
                <c:pt idx="7">
                  <c:v>3470.00</c:v>
                </c:pt>
                <c:pt idx="8">
                  <c:v>3480.00</c:v>
                </c:pt>
                <c:pt idx="9">
                  <c:v>3490.00</c:v>
                </c:pt>
                <c:pt idx="10">
                  <c:v>3500.00</c:v>
                </c:pt>
                <c:pt idx="11">
                  <c:v>3510.00</c:v>
                </c:pt>
                <c:pt idx="12">
                  <c:v>3520.00</c:v>
                </c:pt>
                <c:pt idx="13">
                  <c:v>3530.00</c:v>
                </c:pt>
                <c:pt idx="14">
                  <c:v>3540.00</c:v>
                </c:pt>
                <c:pt idx="15">
                  <c:v>3550.00</c:v>
                </c:pt>
                <c:pt idx="16">
                  <c:v>3560.00</c:v>
                </c:pt>
                <c:pt idx="17">
                  <c:v>3570.00</c:v>
                </c:pt>
                <c:pt idx="18">
                  <c:v>3580.00</c:v>
                </c:pt>
                <c:pt idx="19">
                  <c:v>3590.00</c:v>
                </c:pt>
                <c:pt idx="20">
                  <c:v>3600.00</c:v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</c:strCache>
            </c:strRef>
          </c:cat>
          <c:val>
            <c:numRef>
              <c:f>11_合成FRFの照合!$G$8:$G$127</c:f>
              <c:numCache>
                <c:formatCode>0.000000</c:formatCode>
                <c:ptCount val="120"/>
                <c:pt idx="0">
                  <c:v>0.00301043202879587</c:v>
                </c:pt>
                <c:pt idx="1">
                  <c:v>0.00339227504781083</c:v>
                </c:pt>
                <c:pt idx="2">
                  <c:v>0.0038793839717151</c:v>
                </c:pt>
                <c:pt idx="3">
                  <c:v>0.00452467192180825</c:v>
                </c:pt>
                <c:pt idx="4">
                  <c:v>0.0054869402220181</c:v>
                </c:pt>
                <c:pt idx="5">
                  <c:v>0.00692889399543679</c:v>
                </c:pt>
                <c:pt idx="6">
                  <c:v>0.00938218759138827</c:v>
                </c:pt>
                <c:pt idx="7">
                  <c:v>0.0140101021409553</c:v>
                </c:pt>
                <c:pt idx="8">
                  <c:v>0.0183931733259924</c:v>
                </c:pt>
                <c:pt idx="9">
                  <c:v>0.0129225119075201</c:v>
                </c:pt>
                <c:pt idx="10">
                  <c:v>0.00937656850878828</c:v>
                </c:pt>
                <c:pt idx="11">
                  <c:v>0.010275049586255</c:v>
                </c:pt>
                <c:pt idx="12">
                  <c:v>0.0125052468988021</c:v>
                </c:pt>
                <c:pt idx="13">
                  <c:v>0.0108220166789744</c:v>
                </c:pt>
                <c:pt idx="14">
                  <c:v>0.00810850103286668</c:v>
                </c:pt>
                <c:pt idx="15">
                  <c:v>0.00630628392954202</c:v>
                </c:pt>
                <c:pt idx="16">
                  <c:v>0.00512565937221739</c:v>
                </c:pt>
                <c:pt idx="17">
                  <c:v>0.00432015335375956</c:v>
                </c:pt>
                <c:pt idx="18">
                  <c:v>0.00373680986939395</c:v>
                </c:pt>
                <c:pt idx="19">
                  <c:v>0.00330178330603327</c:v>
                </c:pt>
                <c:pt idx="20">
                  <c:v>0.002959212395216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11_合成FRFの照合!H7</c:f>
              <c:strCache>
                <c:ptCount val="1"/>
                <c:pt idx="0">
                  <c:v>合成 |H|</c:v>
                </c:pt>
              </c:strCache>
            </c:strRef>
          </c:tx>
          <c:spPr>
            <a:solidFill>
              <a:srgbClr val="5ee6a0"/>
            </a:solidFill>
            <a:ln w="21960">
              <a:solidFill>
                <a:srgbClr val="5ee6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11_合成FRFの照合!$B$8:$B$127</c:f>
              <c:strCache>
                <c:ptCount val="120"/>
                <c:pt idx="0">
                  <c:v>3400.00</c:v>
                </c:pt>
                <c:pt idx="1">
                  <c:v>3410.00</c:v>
                </c:pt>
                <c:pt idx="2">
                  <c:v>3420.00</c:v>
                </c:pt>
                <c:pt idx="3">
                  <c:v>3430.00</c:v>
                </c:pt>
                <c:pt idx="4">
                  <c:v>3440.00</c:v>
                </c:pt>
                <c:pt idx="5">
                  <c:v>3450.00</c:v>
                </c:pt>
                <c:pt idx="6">
                  <c:v>3460.00</c:v>
                </c:pt>
                <c:pt idx="7">
                  <c:v>3470.00</c:v>
                </c:pt>
                <c:pt idx="8">
                  <c:v>3480.00</c:v>
                </c:pt>
                <c:pt idx="9">
                  <c:v>3490.00</c:v>
                </c:pt>
                <c:pt idx="10">
                  <c:v>3500.00</c:v>
                </c:pt>
                <c:pt idx="11">
                  <c:v>3510.00</c:v>
                </c:pt>
                <c:pt idx="12">
                  <c:v>3520.00</c:v>
                </c:pt>
                <c:pt idx="13">
                  <c:v>3530.00</c:v>
                </c:pt>
                <c:pt idx="14">
                  <c:v>3540.00</c:v>
                </c:pt>
                <c:pt idx="15">
                  <c:v>3550.00</c:v>
                </c:pt>
                <c:pt idx="16">
                  <c:v>3560.00</c:v>
                </c:pt>
                <c:pt idx="17">
                  <c:v>3570.00</c:v>
                </c:pt>
                <c:pt idx="18">
                  <c:v>3580.00</c:v>
                </c:pt>
                <c:pt idx="19">
                  <c:v>3590.00</c:v>
                </c:pt>
                <c:pt idx="20">
                  <c:v>3600.00</c:v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</c:strCache>
            </c:strRef>
          </c:cat>
          <c:val>
            <c:numRef>
              <c:f>11_合成FRFの照合!$H$8:$H$127</c:f>
              <c:numCache>
                <c:formatCode>0.000000</c:formatCode>
                <c:ptCount val="120"/>
                <c:pt idx="0">
                  <c:v>0.00300931094594618</c:v>
                </c:pt>
                <c:pt idx="1">
                  <c:v>0.0033880357884948</c:v>
                </c:pt>
                <c:pt idx="2">
                  <c:v>0.003878202291105</c:v>
                </c:pt>
                <c:pt idx="3">
                  <c:v>0.0045388787670298</c:v>
                </c:pt>
                <c:pt idx="4">
                  <c:v>0.00547971538527304</c:v>
                </c:pt>
                <c:pt idx="5">
                  <c:v>0.00692627624928469</c:v>
                </c:pt>
                <c:pt idx="6">
                  <c:v>0.00939665997244774</c:v>
                </c:pt>
                <c:pt idx="7">
                  <c:v>0.0139978683469713</c:v>
                </c:pt>
                <c:pt idx="8">
                  <c:v>0.0183882804643352</c:v>
                </c:pt>
                <c:pt idx="9">
                  <c:v>0.0129274407508551</c:v>
                </c:pt>
                <c:pt idx="10">
                  <c:v>0.00937836085284975</c:v>
                </c:pt>
                <c:pt idx="11">
                  <c:v>0.0102591028806407</c:v>
                </c:pt>
                <c:pt idx="12">
                  <c:v>0.0125218603466034</c:v>
                </c:pt>
                <c:pt idx="13">
                  <c:v>0.0108234975116308</c:v>
                </c:pt>
                <c:pt idx="14">
                  <c:v>0.00811410242376498</c:v>
                </c:pt>
                <c:pt idx="15">
                  <c:v>0.00629627788070905</c:v>
                </c:pt>
                <c:pt idx="16">
                  <c:v>0.00512341508286983</c:v>
                </c:pt>
                <c:pt idx="17">
                  <c:v>0.00432173717493381</c:v>
                </c:pt>
                <c:pt idx="18">
                  <c:v>0.00374180898938978</c:v>
                </c:pt>
                <c:pt idx="19">
                  <c:v>0.00330294614937852</c:v>
                </c:pt>
                <c:pt idx="20">
                  <c:v>0.00295900167854019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0132394"/>
        <c:axId val="4090685"/>
      </c:lineChart>
      <c:catAx>
        <c:axId val="801323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周波数 [Hz]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9aa7b5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90685"/>
        <c:crosses val="autoZero"/>
        <c:auto val="1"/>
        <c:lblAlgn val="ctr"/>
        <c:lblOffset val="100"/>
        <c:noMultiLvlLbl val="0"/>
      </c:catAx>
      <c:valAx>
        <c:axId val="409068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|H| 振幅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1"/>
        <c:majorTickMark val="none"/>
        <c:minorTickMark val="none"/>
        <c:tickLblPos val="nextTo"/>
        <c:spPr>
          <a:ln w="9360">
            <a:solidFill>
              <a:srgbClr val="9aa7b5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1323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151b23"/>
    </a:solidFill>
    <a:ln w="9360">
      <a:solidFill>
        <a:srgbClr val="2a3441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実部の照合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11_合成FRFの照合!C7</c:f>
              <c:strCache>
                <c:ptCount val="1"/>
                <c:pt idx="0">
                  <c:v>実測 Re</c:v>
                </c:pt>
              </c:strCache>
            </c:strRef>
          </c:tx>
          <c:spPr>
            <a:solidFill>
              <a:srgbClr val="ffb454"/>
            </a:solidFill>
            <a:ln w="20160">
              <a:solidFill>
                <a:srgbClr val="ffb45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11_合成FRFの照合!$B$8:$B$127</c:f>
              <c:strCache>
                <c:ptCount val="120"/>
                <c:pt idx="0">
                  <c:v>3400.00</c:v>
                </c:pt>
                <c:pt idx="1">
                  <c:v>3410.00</c:v>
                </c:pt>
                <c:pt idx="2">
                  <c:v>3420.00</c:v>
                </c:pt>
                <c:pt idx="3">
                  <c:v>3430.00</c:v>
                </c:pt>
                <c:pt idx="4">
                  <c:v>3440.00</c:v>
                </c:pt>
                <c:pt idx="5">
                  <c:v>3450.00</c:v>
                </c:pt>
                <c:pt idx="6">
                  <c:v>3460.00</c:v>
                </c:pt>
                <c:pt idx="7">
                  <c:v>3470.00</c:v>
                </c:pt>
                <c:pt idx="8">
                  <c:v>3480.00</c:v>
                </c:pt>
                <c:pt idx="9">
                  <c:v>3490.00</c:v>
                </c:pt>
                <c:pt idx="10">
                  <c:v>3500.00</c:v>
                </c:pt>
                <c:pt idx="11">
                  <c:v>3510.00</c:v>
                </c:pt>
                <c:pt idx="12">
                  <c:v>3520.00</c:v>
                </c:pt>
                <c:pt idx="13">
                  <c:v>3530.00</c:v>
                </c:pt>
                <c:pt idx="14">
                  <c:v>3540.00</c:v>
                </c:pt>
                <c:pt idx="15">
                  <c:v>3550.00</c:v>
                </c:pt>
                <c:pt idx="16">
                  <c:v>3560.00</c:v>
                </c:pt>
                <c:pt idx="17">
                  <c:v>3570.00</c:v>
                </c:pt>
                <c:pt idx="18">
                  <c:v>3580.00</c:v>
                </c:pt>
                <c:pt idx="19">
                  <c:v>3590.00</c:v>
                </c:pt>
                <c:pt idx="20">
                  <c:v>3600.00</c:v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</c:strCache>
            </c:strRef>
          </c:cat>
          <c:val>
            <c:numRef>
              <c:f>11_合成FRFの照合!$C$8:$C$127</c:f>
              <c:numCache>
                <c:formatCode>0.000000</c:formatCode>
                <c:ptCount val="120"/>
                <c:pt idx="0">
                  <c:v>5.1E-005</c:v>
                </c:pt>
                <c:pt idx="1">
                  <c:v>9.3E-005</c:v>
                </c:pt>
                <c:pt idx="2">
                  <c:v>0.000162</c:v>
                </c:pt>
                <c:pt idx="3">
                  <c:v>0.00028</c:v>
                </c:pt>
                <c:pt idx="4">
                  <c:v>0.000512</c:v>
                </c:pt>
                <c:pt idx="5">
                  <c:v>0.001016</c:v>
                </c:pt>
                <c:pt idx="6">
                  <c:v>0.002362</c:v>
                </c:pt>
                <c:pt idx="7">
                  <c:v>0.006939</c:v>
                </c:pt>
                <c:pt idx="8">
                  <c:v>0.016968</c:v>
                </c:pt>
                <c:pt idx="9">
                  <c:v>0.012733</c:v>
                </c:pt>
                <c:pt idx="10">
                  <c:v>0.009201</c:v>
                </c:pt>
                <c:pt idx="11">
                  <c:v>0.010162</c:v>
                </c:pt>
                <c:pt idx="12">
                  <c:v>0.011108</c:v>
                </c:pt>
                <c:pt idx="13">
                  <c:v>0.006478</c:v>
                </c:pt>
                <c:pt idx="14">
                  <c:v>0.003142</c:v>
                </c:pt>
                <c:pt idx="15">
                  <c:v>0.001759</c:v>
                </c:pt>
                <c:pt idx="16">
                  <c:v>0.001128</c:v>
                </c:pt>
                <c:pt idx="17">
                  <c:v>0.000797</c:v>
                </c:pt>
                <c:pt idx="18">
                  <c:v>0.000602</c:v>
                </c:pt>
                <c:pt idx="19">
                  <c:v>0.000478</c:v>
                </c:pt>
                <c:pt idx="20">
                  <c:v>0.000393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11_合成FRFの照合!I7</c:f>
              <c:strCache>
                <c:ptCount val="1"/>
                <c:pt idx="0">
                  <c:v>合成 Re</c:v>
                </c:pt>
              </c:strCache>
            </c:strRef>
          </c:tx>
          <c:spPr>
            <a:solidFill>
              <a:srgbClr val="5ee6a0"/>
            </a:solidFill>
            <a:ln w="20160">
              <a:solidFill>
                <a:srgbClr val="5ee6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11_合成FRFの照合!$B$8:$B$127</c:f>
              <c:strCache>
                <c:ptCount val="120"/>
                <c:pt idx="0">
                  <c:v>3400.00</c:v>
                </c:pt>
                <c:pt idx="1">
                  <c:v>3410.00</c:v>
                </c:pt>
                <c:pt idx="2">
                  <c:v>3420.00</c:v>
                </c:pt>
                <c:pt idx="3">
                  <c:v>3430.00</c:v>
                </c:pt>
                <c:pt idx="4">
                  <c:v>3440.00</c:v>
                </c:pt>
                <c:pt idx="5">
                  <c:v>3450.00</c:v>
                </c:pt>
                <c:pt idx="6">
                  <c:v>3460.00</c:v>
                </c:pt>
                <c:pt idx="7">
                  <c:v>3470.00</c:v>
                </c:pt>
                <c:pt idx="8">
                  <c:v>3480.00</c:v>
                </c:pt>
                <c:pt idx="9">
                  <c:v>3490.00</c:v>
                </c:pt>
                <c:pt idx="10">
                  <c:v>3500.00</c:v>
                </c:pt>
                <c:pt idx="11">
                  <c:v>3510.00</c:v>
                </c:pt>
                <c:pt idx="12">
                  <c:v>3520.00</c:v>
                </c:pt>
                <c:pt idx="13">
                  <c:v>3530.00</c:v>
                </c:pt>
                <c:pt idx="14">
                  <c:v>3540.00</c:v>
                </c:pt>
                <c:pt idx="15">
                  <c:v>3550.00</c:v>
                </c:pt>
                <c:pt idx="16">
                  <c:v>3560.00</c:v>
                </c:pt>
                <c:pt idx="17">
                  <c:v>3570.00</c:v>
                </c:pt>
                <c:pt idx="18">
                  <c:v>3580.00</c:v>
                </c:pt>
                <c:pt idx="19">
                  <c:v>3590.00</c:v>
                </c:pt>
                <c:pt idx="20">
                  <c:v>3600.00</c:v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</c:strCache>
            </c:strRef>
          </c:cat>
          <c:val>
            <c:numRef>
              <c:f>11_合成FRFの照合!$I$8:$I$127</c:f>
              <c:numCache>
                <c:formatCode>0.000000</c:formatCode>
                <c:ptCount val="120"/>
                <c:pt idx="0">
                  <c:v>5.01187194225884E-005</c:v>
                </c:pt>
                <c:pt idx="1">
                  <c:v>9.21777517218494E-005</c:v>
                </c:pt>
                <c:pt idx="2">
                  <c:v>0.000160799732215373</c:v>
                </c:pt>
                <c:pt idx="3">
                  <c:v>0.000280570023305723</c:v>
                </c:pt>
                <c:pt idx="4">
                  <c:v>0.000510293440701708</c:v>
                </c:pt>
                <c:pt idx="5">
                  <c:v>0.00101498737453388</c:v>
                </c:pt>
                <c:pt idx="6">
                  <c:v>0.00236584776965108</c:v>
                </c:pt>
                <c:pt idx="7">
                  <c:v>0.00693318142794195</c:v>
                </c:pt>
                <c:pt idx="8">
                  <c:v>0.0169613867757557</c:v>
                </c:pt>
                <c:pt idx="9">
                  <c:v>0.0127372608095346</c:v>
                </c:pt>
                <c:pt idx="10">
                  <c:v>0.00920117857854149</c:v>
                </c:pt>
                <c:pt idx="11">
                  <c:v>0.0101457234405557</c:v>
                </c:pt>
                <c:pt idx="12">
                  <c:v>0.0111229902654747</c:v>
                </c:pt>
                <c:pt idx="13">
                  <c:v>0.00647809951910693</c:v>
                </c:pt>
                <c:pt idx="14">
                  <c:v>0.00314439934581131</c:v>
                </c:pt>
                <c:pt idx="15">
                  <c:v>0.00175794123560371</c:v>
                </c:pt>
                <c:pt idx="16">
                  <c:v>0.00112891710006998</c:v>
                </c:pt>
                <c:pt idx="17">
                  <c:v>0.000799089715182644</c:v>
                </c:pt>
                <c:pt idx="18">
                  <c:v>0.000604797645872862</c:v>
                </c:pt>
                <c:pt idx="19">
                  <c:v>0.000479942903617379</c:v>
                </c:pt>
                <c:pt idx="20">
                  <c:v>0.000394296425378932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7895340"/>
        <c:axId val="598857"/>
      </c:lineChart>
      <c:catAx>
        <c:axId val="778953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周波数 [Hz]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9aa7b5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8857"/>
        <c:crosses val="autoZero"/>
        <c:auto val="1"/>
        <c:lblAlgn val="ctr"/>
        <c:lblOffset val="100"/>
        <c:noMultiLvlLbl val="0"/>
      </c:catAx>
      <c:valAx>
        <c:axId val="59885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Re(H)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1"/>
        <c:majorTickMark val="none"/>
        <c:minorTickMark val="none"/>
        <c:tickLblPos val="nextTo"/>
        <c:spPr>
          <a:ln w="9360">
            <a:solidFill>
              <a:srgbClr val="9aa7b5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8953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151b23"/>
    </a:solidFill>
    <a:ln w="9360">
      <a:solidFill>
        <a:srgbClr val="2a3441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虚部の照合（モード形状の情報はここに出ます）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11_合成FRFの照合!D7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b454"/>
            </a:solidFill>
            <a:ln w="20160">
              <a:solidFill>
                <a:srgbClr val="ffb45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11_合成FRFの照合!$B$8:$B$127</c:f>
              <c:strCache>
                <c:ptCount val="120"/>
                <c:pt idx="0">
                  <c:v>3400.00</c:v>
                </c:pt>
                <c:pt idx="1">
                  <c:v>3410.00</c:v>
                </c:pt>
                <c:pt idx="2">
                  <c:v>3420.00</c:v>
                </c:pt>
                <c:pt idx="3">
                  <c:v>3430.00</c:v>
                </c:pt>
                <c:pt idx="4">
                  <c:v>3440.00</c:v>
                </c:pt>
                <c:pt idx="5">
                  <c:v>3450.00</c:v>
                </c:pt>
                <c:pt idx="6">
                  <c:v>3460.00</c:v>
                </c:pt>
                <c:pt idx="7">
                  <c:v>3470.00</c:v>
                </c:pt>
                <c:pt idx="8">
                  <c:v>3480.00</c:v>
                </c:pt>
                <c:pt idx="9">
                  <c:v>3490.00</c:v>
                </c:pt>
                <c:pt idx="10">
                  <c:v>3500.00</c:v>
                </c:pt>
                <c:pt idx="11">
                  <c:v>3510.00</c:v>
                </c:pt>
                <c:pt idx="12">
                  <c:v>3520.00</c:v>
                </c:pt>
                <c:pt idx="13">
                  <c:v>3530.00</c:v>
                </c:pt>
                <c:pt idx="14">
                  <c:v>3540.00</c:v>
                </c:pt>
                <c:pt idx="15">
                  <c:v>3550.00</c:v>
                </c:pt>
                <c:pt idx="16">
                  <c:v>3560.00</c:v>
                </c:pt>
                <c:pt idx="17">
                  <c:v>3570.00</c:v>
                </c:pt>
                <c:pt idx="18">
                  <c:v>3580.00</c:v>
                </c:pt>
                <c:pt idx="19">
                  <c:v>3590.00</c:v>
                </c:pt>
                <c:pt idx="20">
                  <c:v>3600.00</c:v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</c:strCache>
            </c:strRef>
          </c:cat>
          <c:val>
            <c:numRef>
              <c:f>11_合成FRFの照合!$D$8:$D$127</c:f>
              <c:numCache>
                <c:formatCode>0.000000</c:formatCode>
                <c:ptCount val="120"/>
                <c:pt idx="0">
                  <c:v>0.00301</c:v>
                </c:pt>
                <c:pt idx="1">
                  <c:v>0.003391</c:v>
                </c:pt>
                <c:pt idx="2">
                  <c:v>0.003876</c:v>
                </c:pt>
                <c:pt idx="3">
                  <c:v>0.004516</c:v>
                </c:pt>
                <c:pt idx="4">
                  <c:v>0.005463</c:v>
                </c:pt>
                <c:pt idx="5">
                  <c:v>0.006854</c:v>
                </c:pt>
                <c:pt idx="6">
                  <c:v>0.00908</c:v>
                </c:pt>
                <c:pt idx="7">
                  <c:v>0.012171</c:v>
                </c:pt>
                <c:pt idx="8">
                  <c:v>0.007099</c:v>
                </c:pt>
                <c:pt idx="9">
                  <c:v>-0.002205</c:v>
                </c:pt>
                <c:pt idx="10">
                  <c:v>-0.001806</c:v>
                </c:pt>
                <c:pt idx="11">
                  <c:v>-0.00152</c:v>
                </c:pt>
                <c:pt idx="12">
                  <c:v>-0.005744</c:v>
                </c:pt>
                <c:pt idx="13">
                  <c:v>-0.008669</c:v>
                </c:pt>
                <c:pt idx="14">
                  <c:v>-0.007475</c:v>
                </c:pt>
                <c:pt idx="15">
                  <c:v>-0.006056</c:v>
                </c:pt>
                <c:pt idx="16">
                  <c:v>-0.005</c:v>
                </c:pt>
                <c:pt idx="17">
                  <c:v>-0.004246</c:v>
                </c:pt>
                <c:pt idx="18">
                  <c:v>-0.003688</c:v>
                </c:pt>
                <c:pt idx="19">
                  <c:v>-0.003267</c:v>
                </c:pt>
                <c:pt idx="20">
                  <c:v>-0.002933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11_合成FRFの照合!J7</c:f>
              <c:strCache>
                <c:ptCount val="1"/>
                <c:pt idx="0">
                  <c:v>合成 Im</c:v>
                </c:pt>
              </c:strCache>
            </c:strRef>
          </c:tx>
          <c:spPr>
            <a:solidFill>
              <a:srgbClr val="5ad4ff"/>
            </a:solidFill>
            <a:ln w="20160">
              <a:solidFill>
                <a:srgbClr val="5ad4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11_合成FRFの照合!$B$8:$B$127</c:f>
              <c:strCache>
                <c:ptCount val="120"/>
                <c:pt idx="0">
                  <c:v>3400.00</c:v>
                </c:pt>
                <c:pt idx="1">
                  <c:v>3410.00</c:v>
                </c:pt>
                <c:pt idx="2">
                  <c:v>3420.00</c:v>
                </c:pt>
                <c:pt idx="3">
                  <c:v>3430.00</c:v>
                </c:pt>
                <c:pt idx="4">
                  <c:v>3440.00</c:v>
                </c:pt>
                <c:pt idx="5">
                  <c:v>3450.00</c:v>
                </c:pt>
                <c:pt idx="6">
                  <c:v>3460.00</c:v>
                </c:pt>
                <c:pt idx="7">
                  <c:v>3470.00</c:v>
                </c:pt>
                <c:pt idx="8">
                  <c:v>3480.00</c:v>
                </c:pt>
                <c:pt idx="9">
                  <c:v>3490.00</c:v>
                </c:pt>
                <c:pt idx="10">
                  <c:v>3500.00</c:v>
                </c:pt>
                <c:pt idx="11">
                  <c:v>3510.00</c:v>
                </c:pt>
                <c:pt idx="12">
                  <c:v>3520.00</c:v>
                </c:pt>
                <c:pt idx="13">
                  <c:v>3530.00</c:v>
                </c:pt>
                <c:pt idx="14">
                  <c:v>3540.00</c:v>
                </c:pt>
                <c:pt idx="15">
                  <c:v>3550.00</c:v>
                </c:pt>
                <c:pt idx="16">
                  <c:v>3560.00</c:v>
                </c:pt>
                <c:pt idx="17">
                  <c:v>3570.00</c:v>
                </c:pt>
                <c:pt idx="18">
                  <c:v>3580.00</c:v>
                </c:pt>
                <c:pt idx="19">
                  <c:v>3590.00</c:v>
                </c:pt>
                <c:pt idx="20">
                  <c:v>3600.00</c:v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</c:strCache>
            </c:strRef>
          </c:cat>
          <c:val>
            <c:numRef>
              <c:f>11_合成FRFの照合!$J$8:$J$127</c:f>
              <c:numCache>
                <c:formatCode>0.000000</c:formatCode>
                <c:ptCount val="120"/>
                <c:pt idx="0">
                  <c:v>0.00300889356464381</c:v>
                </c:pt>
                <c:pt idx="1">
                  <c:v>0.00338678162363756</c:v>
                </c:pt>
                <c:pt idx="2">
                  <c:v>0.00387486728248227</c:v>
                </c:pt>
                <c:pt idx="3">
                  <c:v>0.00453019877310214</c:v>
                </c:pt>
                <c:pt idx="4">
                  <c:v>0.00545590334481605</c:v>
                </c:pt>
                <c:pt idx="5">
                  <c:v>0.00685150372625908</c:v>
                </c:pt>
                <c:pt idx="6">
                  <c:v>0.00909395309910044</c:v>
                </c:pt>
                <c:pt idx="7">
                  <c:v>0.0121602349297364</c:v>
                </c:pt>
                <c:pt idx="8">
                  <c:v>0.00710212764446491</c:v>
                </c:pt>
                <c:pt idx="9">
                  <c:v>-0.00220927848782432</c:v>
                </c:pt>
                <c:pt idx="10">
                  <c:v>-0.00181437731799481</c:v>
                </c:pt>
                <c:pt idx="11">
                  <c:v>-0.00152101537905784</c:v>
                </c:pt>
                <c:pt idx="12">
                  <c:v>-0.00575118023487298</c:v>
                </c:pt>
                <c:pt idx="13">
                  <c:v>-0.00867077418716601</c:v>
                </c:pt>
                <c:pt idx="14">
                  <c:v>-0.00748006757305107</c:v>
                </c:pt>
                <c:pt idx="15">
                  <c:v>-0.00604588767372254</c:v>
                </c:pt>
                <c:pt idx="16">
                  <c:v>-0.00499749220034886</c:v>
                </c:pt>
                <c:pt idx="17">
                  <c:v>-0.00424721883546094</c:v>
                </c:pt>
                <c:pt idx="18">
                  <c:v>-0.003692608064854</c:v>
                </c:pt>
                <c:pt idx="19">
                  <c:v>-0.00326789046250968</c:v>
                </c:pt>
                <c:pt idx="20">
                  <c:v>-0.00293261338442984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5488334"/>
        <c:axId val="16970881"/>
      </c:lineChart>
      <c:catAx>
        <c:axId val="954883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周波数 [Hz]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9aa7b5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970881"/>
        <c:crosses val="autoZero"/>
        <c:auto val="1"/>
        <c:lblAlgn val="ctr"/>
        <c:lblOffset val="100"/>
        <c:noMultiLvlLbl val="0"/>
      </c:catAx>
      <c:valAx>
        <c:axId val="1697088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Im(H)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1"/>
        <c:majorTickMark val="none"/>
        <c:minorTickMark val="none"/>
        <c:tickLblPos val="nextTo"/>
        <c:spPr>
          <a:ln w="9360">
            <a:solidFill>
              <a:srgbClr val="9aa7b5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4883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151b23"/>
    </a:solidFill>
    <a:ln w="9360">
      <a:solidFill>
        <a:srgbClr val="2a3441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2</xdr:row>
      <xdr:rowOff>87840</xdr:rowOff>
    </xdr:from>
    <xdr:to>
      <xdr:col>22</xdr:col>
      <xdr:colOff>473040</xdr:colOff>
      <xdr:row>18</xdr:row>
      <xdr:rowOff>30960</xdr:rowOff>
    </xdr:to>
    <xdr:graphicFrame>
      <xdr:nvGraphicFramePr>
        <xdr:cNvPr id="0" name="Chart 1"/>
        <xdr:cNvGraphicFramePr/>
      </xdr:nvGraphicFramePr>
      <xdr:xfrm>
        <a:off x="11418480" y="571680"/>
        <a:ext cx="71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22</xdr:row>
      <xdr:rowOff>87480</xdr:rowOff>
    </xdr:from>
    <xdr:to>
      <xdr:col>22</xdr:col>
      <xdr:colOff>473040</xdr:colOff>
      <xdr:row>40</xdr:row>
      <xdr:rowOff>78120</xdr:rowOff>
    </xdr:to>
    <xdr:graphicFrame>
      <xdr:nvGraphicFramePr>
        <xdr:cNvPr id="1" name="Chart 2"/>
        <xdr:cNvGraphicFramePr/>
      </xdr:nvGraphicFramePr>
      <xdr:xfrm>
        <a:off x="11418480" y="4809960"/>
        <a:ext cx="71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42</xdr:row>
      <xdr:rowOff>87840</xdr:rowOff>
    </xdr:from>
    <xdr:to>
      <xdr:col>22</xdr:col>
      <xdr:colOff>473040</xdr:colOff>
      <xdr:row>60</xdr:row>
      <xdr:rowOff>78480</xdr:rowOff>
    </xdr:to>
    <xdr:graphicFrame>
      <xdr:nvGraphicFramePr>
        <xdr:cNvPr id="2" name="Chart 3"/>
        <xdr:cNvGraphicFramePr/>
      </xdr:nvGraphicFramePr>
      <xdr:xfrm>
        <a:off x="11418480" y="8620200"/>
        <a:ext cx="71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AD4FF"/>
    <pageSetUpPr fitToPage="false"/>
  </sheetPr>
  <dimension ref="A1:N1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58"/>
    <col collapsed="false" customWidth="true" hidden="false" outlineLevel="0" max="4" min="4" style="0" width="40"/>
    <col collapsed="false" customWidth="true" hidden="false" outlineLevel="0" max="5" min="5" style="0" width="22"/>
    <col collapsed="false" customWidth="true" hidden="false" outlineLevel="0" max="8" min="6" style="0" width="18"/>
  </cols>
  <sheetData>
    <row r="1" customFormat="false" ht="23.1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7.15" hidden="false" customHeight="false" outlineLevel="0" collapsed="false">
      <c r="A4" s="4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15" hidden="false" customHeight="false" outlineLevel="0" collapsed="false">
      <c r="A5" s="2"/>
      <c r="B5" s="5" t="s">
        <v>3</v>
      </c>
      <c r="C5" s="6" t="s">
        <v>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customFormat="false" ht="15" hidden="false" customHeight="false" outlineLevel="0" collapsed="false">
      <c r="A6" s="2"/>
      <c r="B6" s="5" t="s">
        <v>5</v>
      </c>
      <c r="C6" s="6" t="s">
        <v>6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customFormat="false" ht="15" hidden="false" customHeight="false" outlineLevel="0" collapsed="false">
      <c r="A7" s="2"/>
      <c r="B7" s="5" t="s">
        <v>7</v>
      </c>
      <c r="C7" s="6" t="s">
        <v>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customFormat="false" ht="15" hidden="false" customHeight="false" outlineLevel="0" collapsed="false">
      <c r="A9" s="4" t="s">
        <v>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customFormat="false" ht="15" hidden="false" customHeight="false" outlineLevel="0" collapsed="false">
      <c r="A10" s="2"/>
      <c r="B10" s="7" t="s">
        <v>10</v>
      </c>
      <c r="C10" s="7" t="s">
        <v>11</v>
      </c>
      <c r="D10" s="7" t="s">
        <v>12</v>
      </c>
      <c r="E10" s="2"/>
      <c r="F10" s="2"/>
      <c r="G10" s="2"/>
      <c r="H10" s="2"/>
      <c r="I10" s="2"/>
      <c r="J10" s="2"/>
      <c r="K10" s="2"/>
      <c r="L10" s="2"/>
      <c r="M10" s="2"/>
      <c r="N10" s="2"/>
    </row>
    <row r="11" customFormat="false" ht="15" hidden="false" customHeight="false" outlineLevel="0" collapsed="false">
      <c r="A11" s="2"/>
      <c r="B11" s="8" t="s">
        <v>13</v>
      </c>
      <c r="C11" s="9" t="s">
        <v>14</v>
      </c>
      <c r="D11" s="10" t="s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</row>
    <row r="12" customFormat="false" ht="15" hidden="false" customHeight="false" outlineLevel="0" collapsed="false">
      <c r="A12" s="2"/>
      <c r="B12" s="11" t="s">
        <v>16</v>
      </c>
      <c r="C12" s="9" t="s">
        <v>17</v>
      </c>
      <c r="D12" s="10" t="s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</row>
    <row r="13" customFormat="false" ht="15" hidden="false" customHeight="false" outlineLevel="0" collapsed="false">
      <c r="A13" s="2"/>
      <c r="B13" s="12" t="s">
        <v>19</v>
      </c>
      <c r="C13" s="9" t="s">
        <v>20</v>
      </c>
      <c r="D13" s="10" t="s">
        <v>21</v>
      </c>
      <c r="E13" s="2"/>
      <c r="F13" s="2"/>
      <c r="G13" s="2"/>
      <c r="H13" s="2"/>
      <c r="I13" s="2"/>
      <c r="J13" s="2"/>
      <c r="K13" s="2"/>
      <c r="L13" s="2"/>
      <c r="M13" s="2"/>
      <c r="N13" s="2"/>
    </row>
    <row r="14" customFormat="false" ht="15" hidden="false" customHeight="false" outlineLevel="0" collapsed="false">
      <c r="A14" s="2"/>
      <c r="B14" s="13" t="s">
        <v>22</v>
      </c>
      <c r="C14" s="9" t="s">
        <v>23</v>
      </c>
      <c r="D14" s="10" t="s">
        <v>24</v>
      </c>
      <c r="E14" s="2"/>
      <c r="F14" s="2"/>
      <c r="G14" s="2"/>
      <c r="H14" s="2"/>
      <c r="I14" s="2"/>
      <c r="J14" s="2"/>
      <c r="K14" s="2"/>
      <c r="L14" s="2"/>
      <c r="M14" s="2"/>
      <c r="N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customFormat="false" ht="15" hidden="false" customHeight="false" outlineLevel="0" collapsed="false">
      <c r="A17" s="4" t="s">
        <v>25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customFormat="false" ht="15" hidden="false" customHeight="false" outlineLevel="0" collapsed="false">
      <c r="A18" s="2"/>
      <c r="B18" s="14" t="s">
        <v>26</v>
      </c>
      <c r="C18" s="7" t="s">
        <v>27</v>
      </c>
      <c r="D18" s="7" t="s">
        <v>28</v>
      </c>
      <c r="E18" s="7" t="s">
        <v>29</v>
      </c>
      <c r="F18" s="7" t="s">
        <v>30</v>
      </c>
      <c r="G18" s="2"/>
      <c r="H18" s="2"/>
      <c r="I18" s="2"/>
      <c r="J18" s="2"/>
      <c r="K18" s="2"/>
      <c r="L18" s="2"/>
      <c r="M18" s="2"/>
      <c r="N18" s="2"/>
    </row>
    <row r="19" customFormat="false" ht="25.5" hidden="false" customHeight="true" outlineLevel="0" collapsed="false">
      <c r="A19" s="2"/>
      <c r="B19" s="15" t="s">
        <v>31</v>
      </c>
      <c r="C19" s="16" t="s">
        <v>32</v>
      </c>
      <c r="D19" s="17" t="s">
        <v>33</v>
      </c>
      <c r="E19" s="17" t="s">
        <v>34</v>
      </c>
      <c r="F19" s="17" t="s">
        <v>35</v>
      </c>
      <c r="G19" s="2"/>
      <c r="H19" s="2"/>
      <c r="I19" s="2"/>
      <c r="J19" s="2"/>
      <c r="K19" s="2"/>
      <c r="L19" s="2"/>
      <c r="M19" s="2"/>
      <c r="N19" s="2"/>
    </row>
    <row r="20" customFormat="false" ht="25.5" hidden="false" customHeight="true" outlineLevel="0" collapsed="false">
      <c r="A20" s="2"/>
      <c r="B20" s="18" t="s">
        <v>36</v>
      </c>
      <c r="C20" s="19" t="s">
        <v>37</v>
      </c>
      <c r="D20" s="20" t="s">
        <v>38</v>
      </c>
      <c r="E20" s="20" t="s">
        <v>39</v>
      </c>
      <c r="F20" s="20" t="s">
        <v>40</v>
      </c>
      <c r="G20" s="2"/>
      <c r="H20" s="2"/>
      <c r="I20" s="2"/>
      <c r="J20" s="2"/>
      <c r="K20" s="2"/>
      <c r="L20" s="2"/>
      <c r="M20" s="2"/>
      <c r="N20" s="2"/>
    </row>
    <row r="21" customFormat="false" ht="25.5" hidden="false" customHeight="true" outlineLevel="0" collapsed="false">
      <c r="A21" s="2"/>
      <c r="B21" s="15" t="s">
        <v>41</v>
      </c>
      <c r="C21" s="16" t="s">
        <v>42</v>
      </c>
      <c r="D21" s="17" t="s">
        <v>43</v>
      </c>
      <c r="E21" s="15" t="s">
        <v>44</v>
      </c>
      <c r="F21" s="17" t="s">
        <v>45</v>
      </c>
      <c r="G21" s="2"/>
      <c r="H21" s="2"/>
      <c r="I21" s="2"/>
      <c r="J21" s="2"/>
      <c r="K21" s="2"/>
      <c r="L21" s="2"/>
      <c r="M21" s="2"/>
      <c r="N21" s="2"/>
    </row>
    <row r="22" customFormat="false" ht="25.5" hidden="false" customHeight="true" outlineLevel="0" collapsed="false">
      <c r="A22" s="2"/>
      <c r="B22" s="18" t="s">
        <v>46</v>
      </c>
      <c r="C22" s="19" t="s">
        <v>47</v>
      </c>
      <c r="D22" s="20" t="s">
        <v>48</v>
      </c>
      <c r="E22" s="20" t="s">
        <v>49</v>
      </c>
      <c r="F22" s="20" t="s">
        <v>50</v>
      </c>
      <c r="G22" s="2"/>
      <c r="H22" s="2"/>
      <c r="I22" s="2"/>
      <c r="J22" s="2"/>
      <c r="K22" s="2"/>
      <c r="L22" s="2"/>
      <c r="M22" s="2"/>
      <c r="N22" s="2"/>
    </row>
    <row r="23" customFormat="false" ht="25.5" hidden="false" customHeight="true" outlineLevel="0" collapsed="false">
      <c r="A23" s="2"/>
      <c r="B23" s="15" t="s">
        <v>51</v>
      </c>
      <c r="C23" s="16" t="s">
        <v>52</v>
      </c>
      <c r="D23" s="17" t="s">
        <v>53</v>
      </c>
      <c r="E23" s="17" t="s">
        <v>54</v>
      </c>
      <c r="F23" s="17" t="s">
        <v>55</v>
      </c>
      <c r="G23" s="2"/>
      <c r="H23" s="2"/>
      <c r="I23" s="2"/>
      <c r="J23" s="2"/>
      <c r="K23" s="2"/>
      <c r="L23" s="2"/>
      <c r="M23" s="2"/>
      <c r="N23" s="2"/>
    </row>
    <row r="24" customFormat="false" ht="25.5" hidden="false" customHeight="true" outlineLevel="0" collapsed="false">
      <c r="A24" s="2"/>
      <c r="B24" s="18" t="s">
        <v>56</v>
      </c>
      <c r="C24" s="19" t="s">
        <v>57</v>
      </c>
      <c r="D24" s="20" t="s">
        <v>58</v>
      </c>
      <c r="E24" s="20" t="s">
        <v>59</v>
      </c>
      <c r="F24" s="18" t="s">
        <v>60</v>
      </c>
      <c r="G24" s="2"/>
      <c r="H24" s="2"/>
      <c r="I24" s="2"/>
      <c r="J24" s="2"/>
      <c r="K24" s="2"/>
      <c r="L24" s="2"/>
      <c r="M24" s="2"/>
      <c r="N24" s="2"/>
    </row>
    <row r="25" customFormat="false" ht="25.5" hidden="false" customHeight="true" outlineLevel="0" collapsed="false">
      <c r="A25" s="2"/>
      <c r="B25" s="15" t="s">
        <v>61</v>
      </c>
      <c r="C25" s="16" t="s">
        <v>62</v>
      </c>
      <c r="D25" s="17" t="s">
        <v>63</v>
      </c>
      <c r="E25" s="17" t="s">
        <v>64</v>
      </c>
      <c r="F25" s="15" t="s">
        <v>65</v>
      </c>
      <c r="G25" s="2"/>
      <c r="H25" s="2"/>
      <c r="I25" s="2"/>
      <c r="J25" s="2"/>
      <c r="K25" s="2"/>
      <c r="L25" s="2"/>
      <c r="M25" s="2"/>
      <c r="N25" s="2"/>
    </row>
    <row r="26" customFormat="false" ht="25.5" hidden="false" customHeight="true" outlineLevel="0" collapsed="false">
      <c r="A26" s="2"/>
      <c r="B26" s="18" t="s">
        <v>66</v>
      </c>
      <c r="C26" s="19" t="s">
        <v>67</v>
      </c>
      <c r="D26" s="18" t="s">
        <v>68</v>
      </c>
      <c r="E26" s="20" t="s">
        <v>69</v>
      </c>
      <c r="F26" s="18" t="s">
        <v>70</v>
      </c>
      <c r="G26" s="2"/>
      <c r="H26" s="2"/>
      <c r="I26" s="2"/>
      <c r="J26" s="2"/>
      <c r="K26" s="2"/>
      <c r="L26" s="2"/>
      <c r="M26" s="2"/>
      <c r="N26" s="2"/>
    </row>
    <row r="27" customFormat="false" ht="25.5" hidden="false" customHeight="true" outlineLevel="0" collapsed="false">
      <c r="A27" s="2"/>
      <c r="B27" s="15" t="s">
        <v>71</v>
      </c>
      <c r="C27" s="16" t="s">
        <v>72</v>
      </c>
      <c r="D27" s="17" t="s">
        <v>73</v>
      </c>
      <c r="E27" s="17" t="s">
        <v>54</v>
      </c>
      <c r="F27" s="15" t="s">
        <v>74</v>
      </c>
      <c r="G27" s="2"/>
      <c r="H27" s="2"/>
      <c r="I27" s="2"/>
      <c r="J27" s="2"/>
      <c r="K27" s="2"/>
      <c r="L27" s="2"/>
      <c r="M27" s="2"/>
      <c r="N27" s="2"/>
    </row>
    <row r="28" customFormat="false" ht="25.5" hidden="false" customHeight="true" outlineLevel="0" collapsed="false">
      <c r="A28" s="2"/>
      <c r="B28" s="18" t="s">
        <v>75</v>
      </c>
      <c r="C28" s="19" t="s">
        <v>76</v>
      </c>
      <c r="D28" s="18" t="s">
        <v>77</v>
      </c>
      <c r="E28" s="20" t="s">
        <v>54</v>
      </c>
      <c r="F28" s="20" t="s">
        <v>78</v>
      </c>
      <c r="G28" s="2"/>
      <c r="H28" s="2"/>
      <c r="I28" s="2"/>
      <c r="J28" s="2"/>
      <c r="K28" s="2"/>
      <c r="L28" s="2"/>
      <c r="M28" s="2"/>
      <c r="N28" s="2"/>
    </row>
    <row r="29" customFormat="false" ht="25.5" hidden="false" customHeight="true" outlineLevel="0" collapsed="false">
      <c r="A29" s="2"/>
      <c r="B29" s="15" t="s">
        <v>79</v>
      </c>
      <c r="C29" s="16" t="s">
        <v>80</v>
      </c>
      <c r="D29" s="17" t="s">
        <v>81</v>
      </c>
      <c r="E29" s="17" t="s">
        <v>54</v>
      </c>
      <c r="F29" s="17" t="s">
        <v>82</v>
      </c>
      <c r="G29" s="2"/>
      <c r="H29" s="2"/>
      <c r="I29" s="2"/>
      <c r="J29" s="2"/>
      <c r="K29" s="2"/>
      <c r="L29" s="2"/>
      <c r="M29" s="2"/>
      <c r="N29" s="2"/>
    </row>
    <row r="30" customFormat="false" ht="25.5" hidden="false" customHeight="true" outlineLevel="0" collapsed="false">
      <c r="A30" s="2"/>
      <c r="B30" s="18" t="s">
        <v>83</v>
      </c>
      <c r="C30" s="19" t="s">
        <v>84</v>
      </c>
      <c r="D30" s="18" t="s">
        <v>85</v>
      </c>
      <c r="E30" s="20" t="s">
        <v>86</v>
      </c>
      <c r="F30" s="20" t="s">
        <v>87</v>
      </c>
      <c r="G30" s="2"/>
      <c r="H30" s="2"/>
      <c r="I30" s="2"/>
      <c r="J30" s="2"/>
      <c r="K30" s="2"/>
      <c r="L30" s="2"/>
      <c r="M30" s="2"/>
      <c r="N30" s="2"/>
    </row>
    <row r="31" customFormat="false" ht="25.5" hidden="false" customHeight="true" outlineLevel="0" collapsed="false">
      <c r="A31" s="2"/>
      <c r="B31" s="15" t="s">
        <v>88</v>
      </c>
      <c r="C31" s="16" t="s">
        <v>89</v>
      </c>
      <c r="D31" s="17" t="s">
        <v>90</v>
      </c>
      <c r="E31" s="17" t="s">
        <v>86</v>
      </c>
      <c r="F31" s="17" t="s">
        <v>87</v>
      </c>
      <c r="G31" s="2"/>
      <c r="H31" s="2"/>
      <c r="I31" s="2"/>
      <c r="J31" s="2"/>
      <c r="K31" s="2"/>
      <c r="L31" s="2"/>
      <c r="M31" s="2"/>
      <c r="N31" s="2"/>
    </row>
    <row r="32" customFormat="false" ht="25.5" hidden="false" customHeight="true" outlineLevel="0" collapsed="false">
      <c r="A32" s="2"/>
      <c r="B32" s="18" t="s">
        <v>91</v>
      </c>
      <c r="C32" s="19" t="s">
        <v>92</v>
      </c>
      <c r="D32" s="20" t="s">
        <v>93</v>
      </c>
      <c r="E32" s="20" t="s">
        <v>86</v>
      </c>
      <c r="F32" s="20" t="s">
        <v>87</v>
      </c>
      <c r="G32" s="2"/>
      <c r="H32" s="2"/>
      <c r="I32" s="2"/>
      <c r="J32" s="2"/>
      <c r="K32" s="2"/>
      <c r="L32" s="2"/>
      <c r="M32" s="2"/>
      <c r="N32" s="2"/>
    </row>
    <row r="33" customFormat="false" ht="25.5" hidden="false" customHeight="true" outlineLevel="0" collapsed="false">
      <c r="A33" s="2"/>
      <c r="B33" s="15" t="s">
        <v>94</v>
      </c>
      <c r="C33" s="16" t="s">
        <v>95</v>
      </c>
      <c r="D33" s="17" t="s">
        <v>96</v>
      </c>
      <c r="E33" s="17" t="s">
        <v>97</v>
      </c>
      <c r="F33" s="17" t="s">
        <v>98</v>
      </c>
      <c r="G33" s="2"/>
      <c r="H33" s="2"/>
      <c r="I33" s="2"/>
      <c r="J33" s="2"/>
      <c r="K33" s="2"/>
      <c r="L33" s="2"/>
      <c r="M33" s="2"/>
      <c r="N33" s="2"/>
    </row>
    <row r="34" customFormat="false" ht="25.5" hidden="false" customHeight="true" outlineLevel="0" collapsed="false">
      <c r="A34" s="2"/>
      <c r="B34" s="18" t="s">
        <v>99</v>
      </c>
      <c r="C34" s="19" t="s">
        <v>100</v>
      </c>
      <c r="D34" s="20" t="s">
        <v>101</v>
      </c>
      <c r="E34" s="20" t="s">
        <v>86</v>
      </c>
      <c r="F34" s="18" t="s">
        <v>102</v>
      </c>
      <c r="G34" s="2"/>
      <c r="H34" s="2"/>
      <c r="I34" s="2"/>
      <c r="J34" s="2"/>
      <c r="K34" s="2"/>
      <c r="L34" s="2"/>
      <c r="M34" s="2"/>
      <c r="N34" s="2"/>
    </row>
    <row r="35" customFormat="false" ht="25.5" hidden="false" customHeight="true" outlineLevel="0" collapsed="false">
      <c r="A35" s="2"/>
      <c r="B35" s="15" t="s">
        <v>103</v>
      </c>
      <c r="C35" s="16" t="s">
        <v>104</v>
      </c>
      <c r="D35" s="17" t="s">
        <v>105</v>
      </c>
      <c r="E35" s="15" t="s">
        <v>106</v>
      </c>
      <c r="F35" s="17" t="s">
        <v>107</v>
      </c>
      <c r="G35" s="2"/>
      <c r="H35" s="2"/>
      <c r="I35" s="2"/>
      <c r="J35" s="2"/>
      <c r="K35" s="2"/>
      <c r="L35" s="2"/>
      <c r="M35" s="2"/>
      <c r="N35" s="2"/>
    </row>
    <row r="36" customFormat="false" ht="25.5" hidden="false" customHeight="true" outlineLevel="0" collapsed="false">
      <c r="A36" s="2"/>
      <c r="B36" s="15" t="s">
        <v>108</v>
      </c>
      <c r="C36" s="16" t="s">
        <v>109</v>
      </c>
      <c r="D36" s="17" t="s">
        <v>110</v>
      </c>
      <c r="E36" s="17" t="s">
        <v>111</v>
      </c>
      <c r="F36" s="17" t="s">
        <v>112</v>
      </c>
      <c r="G36" s="2"/>
      <c r="H36" s="2"/>
      <c r="I36" s="2"/>
      <c r="J36" s="2"/>
      <c r="K36" s="2"/>
      <c r="L36" s="2"/>
      <c r="M36" s="2"/>
      <c r="N36" s="2"/>
    </row>
    <row r="37" customFormat="false" ht="15" hidden="false" customHeight="false" outlineLevel="0" collapsed="false">
      <c r="A37" s="4" t="s">
        <v>113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customFormat="false" ht="15" hidden="false" customHeight="false" outlineLevel="0" collapsed="false">
      <c r="A38" s="2"/>
      <c r="B38" s="21" t="s">
        <v>114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customFormat="false" ht="15" hidden="false" customHeight="false" outlineLevel="0" collapsed="false">
      <c r="A40" s="4" t="s">
        <v>115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customFormat="false" ht="15" hidden="false" customHeight="false" outlineLevel="0" collapsed="false">
      <c r="A41" s="2"/>
      <c r="B41" s="22" t="s">
        <v>116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customFormat="false" ht="15" hidden="false" customHeight="false" outlineLevel="0" collapsed="false">
      <c r="A42" s="2"/>
      <c r="B42" s="22" t="s">
        <v>117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customFormat="false" ht="15" hidden="false" customHeight="false" outlineLevel="0" collapsed="false">
      <c r="A43" s="2"/>
      <c r="B43" s="22" t="s">
        <v>118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customFormat="false" ht="15" hidden="false" customHeight="false" outlineLevel="0" collapsed="false">
      <c r="A44" s="2"/>
      <c r="B44" s="22" t="s">
        <v>119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B454"/>
    <pageSetUpPr fitToPage="false"/>
  </sheetPr>
  <dimension ref="A1:P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50"/>
    <col collapsed="false" customWidth="true" hidden="false" outlineLevel="0" max="9" min="5" style="0" width="14"/>
    <col collapsed="false" customWidth="true" hidden="false" outlineLevel="0" max="10" min="10" style="0" width="30"/>
  </cols>
  <sheetData>
    <row r="1" customFormat="false" ht="18.55" hidden="false" customHeight="false" outlineLevel="0" collapsed="false">
      <c r="A1" s="1" t="s">
        <v>120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3" t="s">
        <v>121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17.15" hidden="false" customHeight="false" outlineLevel="0" collapsed="false">
      <c r="A4" s="23" t="s">
        <v>122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customFormat="false" ht="15" hidden="false" customHeight="false" outlineLevel="0" collapsed="false">
      <c r="A5" s="2"/>
      <c r="B5" s="6" t="s">
        <v>123</v>
      </c>
      <c r="C5" s="24" t="n">
        <v>3500</v>
      </c>
      <c r="D5" s="3" t="s">
        <v>124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customFormat="false" ht="15" hidden="false" customHeight="false" outlineLevel="0" collapsed="false">
      <c r="A6" s="2"/>
      <c r="B6" s="6" t="s">
        <v>125</v>
      </c>
      <c r="C6" s="25" t="n">
        <v>0.008</v>
      </c>
      <c r="D6" s="3" t="s">
        <v>126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customFormat="false" ht="15" hidden="false" customHeight="false" outlineLevel="0" collapsed="false">
      <c r="A7" s="2"/>
      <c r="B7" s="6" t="s">
        <v>127</v>
      </c>
      <c r="C7" s="24" t="n">
        <v>60</v>
      </c>
      <c r="D7" s="26" t="s">
        <v>128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customFormat="false" ht="15" hidden="false" customHeight="false" outlineLevel="0" collapsed="false">
      <c r="A8" s="2"/>
      <c r="B8" s="6" t="s">
        <v>129</v>
      </c>
      <c r="C8" s="27" t="n">
        <f aca="false">(C7*LN(10)/20)/(PI()*C5*C6)</f>
        <v>0.078528814165653</v>
      </c>
      <c r="D8" s="28" t="s">
        <v>130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customFormat="false" ht="17.15" hidden="false" customHeight="false" outlineLevel="0" collapsed="false">
      <c r="A10" s="23" t="s">
        <v>131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customFormat="false" ht="15" hidden="false" customHeight="false" outlineLevel="0" collapsed="false">
      <c r="A11" s="2"/>
      <c r="B11" s="6" t="s">
        <v>132</v>
      </c>
      <c r="C11" s="24" t="n">
        <v>20000</v>
      </c>
      <c r="D11" s="26" t="s">
        <v>133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customFormat="false" ht="15" hidden="false" customHeight="false" outlineLevel="0" collapsed="false">
      <c r="A12" s="2"/>
      <c r="B12" s="6" t="s">
        <v>134</v>
      </c>
      <c r="C12" s="29" t="n">
        <v>2.56</v>
      </c>
      <c r="D12" s="26" t="s">
        <v>135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customFormat="false" ht="15" hidden="false" customHeight="false" outlineLevel="0" collapsed="false">
      <c r="A13" s="2"/>
      <c r="B13" s="6" t="s">
        <v>136</v>
      </c>
      <c r="C13" s="30" t="n">
        <f aca="false">C11*C12</f>
        <v>51200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customFormat="false" ht="15" hidden="false" customHeight="false" outlineLevel="0" collapsed="false">
      <c r="A14" s="2"/>
      <c r="B14" s="6" t="s">
        <v>137</v>
      </c>
      <c r="C14" s="30" t="n">
        <f aca="false">C13*C8</f>
        <v>4020.67528528143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customFormat="false" ht="15" hidden="false" customHeight="false" outlineLevel="0" collapsed="false">
      <c r="A15" s="2"/>
      <c r="B15" s="6" t="s">
        <v>138</v>
      </c>
      <c r="C15" s="31" t="n">
        <f aca="false">MIN(32768,2^ROUNDUP(LOG(MAX(C14,64),2),0))</f>
        <v>4096</v>
      </c>
      <c r="D15" s="26" t="s">
        <v>139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customFormat="false" ht="15" hidden="false" customHeight="false" outlineLevel="0" collapsed="false">
      <c r="A16" s="2"/>
      <c r="B16" s="6" t="s">
        <v>140</v>
      </c>
      <c r="C16" s="27" t="n">
        <f aca="false">C15/C13</f>
        <v>0.08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customFormat="false" ht="15" hidden="false" customHeight="false" outlineLevel="0" collapsed="false">
      <c r="A17" s="2"/>
      <c r="B17" s="6" t="s">
        <v>141</v>
      </c>
      <c r="C17" s="32" t="n">
        <f aca="false">C13/C15</f>
        <v>12.5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customFormat="false" ht="15" hidden="false" customHeight="false" outlineLevel="0" collapsed="false">
      <c r="A18" s="2"/>
      <c r="B18" s="33" t="s">
        <v>142</v>
      </c>
      <c r="C18" s="31" t="n">
        <f aca="false">MIN(32768,2^ROUNDUP(LOG(MAX(64,C13*C8,5*C13/MAX(C21,0.0001)),2),0))</f>
        <v>8192</v>
      </c>
      <c r="D18" s="3" t="s">
        <v>143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customFormat="false" ht="17.15" hidden="false" customHeight="false" outlineLevel="0" collapsed="false">
      <c r="A19" s="23" t="s">
        <v>144</v>
      </c>
      <c r="B19" s="33" t="s">
        <v>145</v>
      </c>
      <c r="C19" s="34" t="n">
        <f aca="false">IFERROR(C18/C13,"")</f>
        <v>0.16</v>
      </c>
      <c r="D19" s="35" t="n">
        <f aca="false">IFERROR(C13/C18,"")</f>
        <v>6.25</v>
      </c>
      <c r="E19" s="3" t="s">
        <v>146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customFormat="false" ht="15" hidden="false" customHeight="false" outlineLevel="0" collapsed="false">
      <c r="A20" s="2"/>
      <c r="B20" s="6" t="s">
        <v>147</v>
      </c>
      <c r="C20" s="11" t="str">
        <f aca="false">IF(C16&gt;=C8,"不要（窓＝［無し］でOK）","必要（フォース・指数窓へ）")</f>
        <v>不要（窓＝［無し］でOK）</v>
      </c>
      <c r="D20" s="26" t="s">
        <v>148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customFormat="false" ht="15" hidden="false" customHeight="false" outlineLevel="0" collapsed="false">
      <c r="A21" s="2"/>
      <c r="B21" s="6" t="s">
        <v>149</v>
      </c>
      <c r="C21" s="24" t="n">
        <v>40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customFormat="false" ht="15" hidden="false" customHeight="false" outlineLevel="0" collapsed="false">
      <c r="A22" s="2"/>
      <c r="B22" s="2" t="s">
        <v>150</v>
      </c>
      <c r="C22" s="36" t="n">
        <f aca="false">IFERROR(C21/C17,"")</f>
        <v>3.2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customFormat="false" ht="15" hidden="false" customHeight="false" outlineLevel="0" collapsed="false">
      <c r="A23" s="2"/>
      <c r="B23" s="6" t="s">
        <v>151</v>
      </c>
      <c r="C23" s="11" t="str">
        <f aca="false">IF(C22&gt;=5,"OK（5倍以上とれている）","要改善（Nを増やすか帯域を狭く）")</f>
        <v>要改善（Nを増やすか帯域を狭く）</v>
      </c>
      <c r="D23" s="3" t="s">
        <v>152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customFormat="false" ht="17.15" hidden="false" customHeight="false" outlineLevel="0" collapsed="false">
      <c r="A25" s="23" t="s">
        <v>153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customFormat="false" ht="29.85" hidden="false" customHeight="false" outlineLevel="0" collapsed="false">
      <c r="A26" s="2"/>
      <c r="B26" s="14" t="s">
        <v>154</v>
      </c>
      <c r="C26" s="7" t="s">
        <v>155</v>
      </c>
      <c r="D26" s="7" t="s">
        <v>156</v>
      </c>
      <c r="E26" s="7" t="s">
        <v>157</v>
      </c>
      <c r="F26" s="7" t="s">
        <v>158</v>
      </c>
      <c r="G26" s="2"/>
      <c r="H26" s="2"/>
      <c r="I26" s="2"/>
      <c r="J26" s="2"/>
      <c r="K26" s="2"/>
      <c r="L26" s="2"/>
      <c r="M26" s="2"/>
      <c r="N26" s="2"/>
      <c r="O26" s="2"/>
      <c r="P26" s="2"/>
    </row>
    <row r="27" customFormat="false" ht="15" hidden="false" customHeight="false" outlineLevel="0" collapsed="false">
      <c r="A27" s="2"/>
      <c r="B27" s="37" t="n">
        <v>64</v>
      </c>
      <c r="C27" s="38" t="n">
        <f aca="false">IF($C$13=0,"",64/$C$13)</f>
        <v>0.00125</v>
      </c>
      <c r="D27" s="39" t="n">
        <f aca="false">IF($C$13=0,"",$C$13/64)</f>
        <v>800</v>
      </c>
      <c r="E27" s="40" t="str">
        <f aca="false">IF(C27="","",IF(C27&gt;=$C$8,"○ 足りる","× 足りない"))</f>
        <v>× 足りない</v>
      </c>
      <c r="F27" s="40" t="str">
        <f aca="false">IF(D27="","",IF($C$21/D27&gt;=5,"○ 足りる","× 足りない"))</f>
        <v>× 足りない</v>
      </c>
      <c r="G27" s="2"/>
      <c r="H27" s="2"/>
      <c r="I27" s="2"/>
      <c r="J27" s="2"/>
      <c r="K27" s="2"/>
      <c r="L27" s="2"/>
      <c r="M27" s="2"/>
      <c r="N27" s="2"/>
      <c r="O27" s="2"/>
      <c r="P27" s="2"/>
    </row>
    <row r="28" customFormat="false" ht="15" hidden="false" customHeight="false" outlineLevel="0" collapsed="false">
      <c r="A28" s="2"/>
      <c r="B28" s="37" t="n">
        <v>128</v>
      </c>
      <c r="C28" s="38" t="n">
        <f aca="false">IF($C$13=0,"",128/$C$13)</f>
        <v>0.0025</v>
      </c>
      <c r="D28" s="39" t="n">
        <f aca="false">IF($C$13=0,"",$C$13/128)</f>
        <v>400</v>
      </c>
      <c r="E28" s="40" t="str">
        <f aca="false">IF(C28="","",IF(C28&gt;=$C$8,"○ 足りる","× 足りない"))</f>
        <v>× 足りない</v>
      </c>
      <c r="F28" s="40" t="str">
        <f aca="false">IF(D28="","",IF($C$21/D28&gt;=5,"○ 足りる","× 足りない"))</f>
        <v>× 足りない</v>
      </c>
      <c r="G28" s="2"/>
      <c r="H28" s="2"/>
      <c r="I28" s="2"/>
      <c r="J28" s="2"/>
      <c r="K28" s="2"/>
      <c r="L28" s="2"/>
      <c r="M28" s="2"/>
      <c r="N28" s="2"/>
      <c r="O28" s="2"/>
      <c r="P28" s="2"/>
    </row>
    <row r="29" customFormat="false" ht="15" hidden="false" customHeight="false" outlineLevel="0" collapsed="false">
      <c r="A29" s="2"/>
      <c r="B29" s="37" t="n">
        <v>256</v>
      </c>
      <c r="C29" s="38" t="n">
        <f aca="false">IF($C$13=0,"",256/$C$13)</f>
        <v>0.005</v>
      </c>
      <c r="D29" s="39" t="n">
        <f aca="false">IF($C$13=0,"",$C$13/256)</f>
        <v>200</v>
      </c>
      <c r="E29" s="40" t="str">
        <f aca="false">IF(C29="","",IF(C29&gt;=$C$8,"○ 足りる","× 足りない"))</f>
        <v>× 足りない</v>
      </c>
      <c r="F29" s="40" t="str">
        <f aca="false">IF(D29="","",IF($C$21/D29&gt;=5,"○ 足りる","× 足りない"))</f>
        <v>× 足りない</v>
      </c>
      <c r="G29" s="2"/>
      <c r="H29" s="2"/>
      <c r="I29" s="2"/>
      <c r="J29" s="2"/>
      <c r="K29" s="2"/>
      <c r="L29" s="2"/>
      <c r="M29" s="2"/>
      <c r="N29" s="2"/>
      <c r="O29" s="2"/>
      <c r="P29" s="2"/>
    </row>
    <row r="30" customFormat="false" ht="15" hidden="false" customHeight="false" outlineLevel="0" collapsed="false">
      <c r="A30" s="2"/>
      <c r="B30" s="37" t="n">
        <v>512</v>
      </c>
      <c r="C30" s="38" t="n">
        <f aca="false">IF($C$13=0,"",512/$C$13)</f>
        <v>0.01</v>
      </c>
      <c r="D30" s="39" t="n">
        <f aca="false">IF($C$13=0,"",$C$13/512)</f>
        <v>100</v>
      </c>
      <c r="E30" s="40" t="str">
        <f aca="false">IF(C30="","",IF(C30&gt;=$C$8,"○ 足りる","× 足りない"))</f>
        <v>× 足りない</v>
      </c>
      <c r="F30" s="40" t="str">
        <f aca="false">IF(D30="","",IF($C$21/D30&gt;=5,"○ 足りる","× 足りない"))</f>
        <v>× 足りない</v>
      </c>
      <c r="G30" s="2"/>
      <c r="H30" s="2"/>
      <c r="I30" s="2"/>
      <c r="J30" s="2"/>
      <c r="K30" s="2"/>
      <c r="L30" s="2"/>
      <c r="M30" s="2"/>
      <c r="N30" s="2"/>
      <c r="O30" s="2"/>
      <c r="P30" s="2"/>
    </row>
    <row r="31" customFormat="false" ht="15" hidden="false" customHeight="false" outlineLevel="0" collapsed="false">
      <c r="A31" s="2"/>
      <c r="B31" s="37" t="n">
        <v>1024</v>
      </c>
      <c r="C31" s="38" t="n">
        <f aca="false">IF($C$13=0,"",1024/$C$13)</f>
        <v>0.02</v>
      </c>
      <c r="D31" s="39" t="n">
        <f aca="false">IF($C$13=0,"",$C$13/1024)</f>
        <v>50</v>
      </c>
      <c r="E31" s="40" t="str">
        <f aca="false">IF(C31="","",IF(C31&gt;=$C$8,"○ 足りる","× 足りない"))</f>
        <v>× 足りない</v>
      </c>
      <c r="F31" s="40" t="str">
        <f aca="false">IF(D31="","",IF($C$21/D31&gt;=5,"○ 足りる","× 足りない"))</f>
        <v>× 足りない</v>
      </c>
      <c r="G31" s="2"/>
      <c r="H31" s="2"/>
      <c r="I31" s="2"/>
      <c r="J31" s="2"/>
      <c r="K31" s="2"/>
      <c r="L31" s="2"/>
      <c r="M31" s="2"/>
      <c r="N31" s="2"/>
      <c r="O31" s="2"/>
      <c r="P31" s="2"/>
    </row>
    <row r="32" customFormat="false" ht="15" hidden="false" customHeight="false" outlineLevel="0" collapsed="false">
      <c r="A32" s="2"/>
      <c r="B32" s="37" t="n">
        <v>2048</v>
      </c>
      <c r="C32" s="38" t="n">
        <f aca="false">IF($C$13=0,"",2048/$C$13)</f>
        <v>0.04</v>
      </c>
      <c r="D32" s="39" t="n">
        <f aca="false">IF($C$13=0,"",$C$13/2048)</f>
        <v>25</v>
      </c>
      <c r="E32" s="40" t="str">
        <f aca="false">IF(C32="","",IF(C32&gt;=$C$8,"○ 足りる","× 足りない"))</f>
        <v>× 足りない</v>
      </c>
      <c r="F32" s="40" t="str">
        <f aca="false">IF(D32="","",IF($C$21/D32&gt;=5,"○ 足りる","× 足りない"))</f>
        <v>× 足りない</v>
      </c>
      <c r="G32" s="2"/>
      <c r="H32" s="2"/>
      <c r="I32" s="2"/>
      <c r="J32" s="2"/>
      <c r="K32" s="2"/>
      <c r="L32" s="2"/>
      <c r="M32" s="2"/>
      <c r="N32" s="2"/>
      <c r="O32" s="2"/>
      <c r="P32" s="2"/>
    </row>
    <row r="33" customFormat="false" ht="15" hidden="false" customHeight="false" outlineLevel="0" collapsed="false">
      <c r="A33" s="2"/>
      <c r="B33" s="37" t="n">
        <v>4096</v>
      </c>
      <c r="C33" s="38" t="n">
        <f aca="false">IF($C$13=0,"",4096/$C$13)</f>
        <v>0.08</v>
      </c>
      <c r="D33" s="39" t="n">
        <f aca="false">IF($C$13=0,"",$C$13/4096)</f>
        <v>12.5</v>
      </c>
      <c r="E33" s="40" t="str">
        <f aca="false">IF(C33="","",IF(C33&gt;=$C$8,"○ 足りる","× 足りない"))</f>
        <v>○ 足りる</v>
      </c>
      <c r="F33" s="40" t="str">
        <f aca="false">IF(D33="","",IF($C$21/D33&gt;=5,"○ 足りる","× 足りない"))</f>
        <v>× 足りない</v>
      </c>
      <c r="G33" s="2"/>
      <c r="H33" s="2"/>
      <c r="I33" s="2"/>
      <c r="J33" s="2"/>
      <c r="K33" s="2"/>
      <c r="L33" s="2"/>
      <c r="M33" s="2"/>
      <c r="N33" s="2"/>
      <c r="O33" s="2"/>
      <c r="P33" s="2"/>
    </row>
    <row r="34" customFormat="false" ht="15" hidden="false" customHeight="false" outlineLevel="0" collapsed="false">
      <c r="A34" s="2"/>
      <c r="B34" s="37" t="n">
        <v>8192</v>
      </c>
      <c r="C34" s="38" t="n">
        <f aca="false">IF($C$13=0,"",8192/$C$13)</f>
        <v>0.16</v>
      </c>
      <c r="D34" s="39" t="n">
        <f aca="false">IF($C$13=0,"",$C$13/8192)</f>
        <v>6.25</v>
      </c>
      <c r="E34" s="40" t="str">
        <f aca="false">IF(C34="","",IF(C34&gt;=$C$8,"○ 足りる","× 足りない"))</f>
        <v>○ 足りる</v>
      </c>
      <c r="F34" s="40" t="str">
        <f aca="false">IF(D34="","",IF($C$21/D34&gt;=5,"○ 足りる","× 足りない"))</f>
        <v>○ 足りる</v>
      </c>
      <c r="G34" s="2"/>
      <c r="H34" s="2"/>
      <c r="I34" s="2"/>
      <c r="J34" s="2"/>
      <c r="K34" s="2"/>
      <c r="L34" s="2"/>
      <c r="M34" s="2"/>
      <c r="N34" s="2"/>
      <c r="O34" s="2"/>
      <c r="P34" s="2"/>
    </row>
    <row r="35" customFormat="false" ht="15" hidden="false" customHeight="false" outlineLevel="0" collapsed="false">
      <c r="A35" s="2"/>
      <c r="B35" s="37" t="n">
        <v>16384</v>
      </c>
      <c r="C35" s="38" t="n">
        <f aca="false">IF($C$13=0,"",16384/$C$13)</f>
        <v>0.32</v>
      </c>
      <c r="D35" s="39" t="n">
        <f aca="false">IF($C$13=0,"",$C$13/16384)</f>
        <v>3.125</v>
      </c>
      <c r="E35" s="40" t="str">
        <f aca="false">IF(C35="","",IF(C35&gt;=$C$8,"○ 足りる","× 足りない"))</f>
        <v>○ 足りる</v>
      </c>
      <c r="F35" s="40" t="str">
        <f aca="false">IF(D35="","",IF($C$21/D35&gt;=5,"○ 足りる","× 足りない"))</f>
        <v>○ 足りる</v>
      </c>
      <c r="G35" s="2"/>
      <c r="H35" s="2"/>
      <c r="I35" s="2"/>
      <c r="J35" s="2"/>
      <c r="K35" s="2"/>
      <c r="L35" s="2"/>
      <c r="M35" s="2"/>
      <c r="N35" s="2"/>
      <c r="O35" s="2"/>
      <c r="P35" s="2"/>
    </row>
    <row r="36" customFormat="false" ht="15" hidden="false" customHeight="false" outlineLevel="0" collapsed="false">
      <c r="A36" s="2"/>
      <c r="B36" s="37" t="n">
        <v>32768</v>
      </c>
      <c r="C36" s="38" t="n">
        <f aca="false">IF($C$13=0,"",32768/$C$13)</f>
        <v>0.64</v>
      </c>
      <c r="D36" s="39" t="n">
        <f aca="false">IF($C$13=0,"",$C$13/32768)</f>
        <v>1.5625</v>
      </c>
      <c r="E36" s="40" t="str">
        <f aca="false">IF(C36="","",IF(C36&gt;=$C$8,"○ 足りる","× 足りない"))</f>
        <v>○ 足りる</v>
      </c>
      <c r="F36" s="40" t="str">
        <f aca="false">IF(D36="","",IF($C$21/D36&gt;=5,"○ 足りる","× 足りない"))</f>
        <v>○ 足りる</v>
      </c>
      <c r="G36" s="2"/>
      <c r="H36" s="2"/>
      <c r="I36" s="2"/>
      <c r="J36" s="2"/>
      <c r="K36" s="2"/>
      <c r="L36" s="2"/>
      <c r="M36" s="2"/>
      <c r="N36" s="2"/>
      <c r="O36" s="2"/>
      <c r="P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customFormat="false" ht="15" hidden="false" customHeight="false" outlineLevel="0" collapsed="false">
      <c r="A38" s="4" t="s">
        <v>159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customFormat="false" ht="15" hidden="false" customHeight="false" outlineLevel="0" collapsed="false">
      <c r="A39" s="2"/>
      <c r="B39" s="41" t="s">
        <v>160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customFormat="false" ht="15" hidden="false" customHeight="false" outlineLevel="0" collapsed="false">
      <c r="A40" s="2"/>
      <c r="B40" s="22" t="s">
        <v>161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customFormat="false" ht="15" hidden="false" customHeight="false" outlineLevel="0" collapsed="false">
      <c r="A42" s="4" t="s">
        <v>162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customFormat="false" ht="15" hidden="false" customHeight="false" outlineLevel="0" collapsed="false">
      <c r="A43" s="2"/>
      <c r="B43" s="26" t="s">
        <v>163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B454"/>
    <pageSetUpPr fitToPage="false"/>
  </sheetPr>
  <dimension ref="A1:P1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9" min="4" style="0" width="13"/>
    <col collapsed="false" customWidth="true" hidden="false" outlineLevel="0" max="10" min="10" style="0" width="40"/>
  </cols>
  <sheetData>
    <row r="1" customFormat="false" ht="18.55" hidden="false" customHeight="false" outlineLevel="0" collapsed="false">
      <c r="A1" s="1" t="s">
        <v>164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3" t="s">
        <v>165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17.15" hidden="false" customHeight="false" outlineLevel="0" collapsed="false">
      <c r="A4" s="4" t="s">
        <v>166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customFormat="false" ht="15" hidden="false" customHeight="false" outlineLevel="0" collapsed="false">
      <c r="A5" s="2"/>
      <c r="B5" s="21" t="s">
        <v>167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customFormat="false" ht="15" hidden="false" customHeight="false" outlineLevel="0" collapsed="false">
      <c r="A6" s="2"/>
      <c r="B6" s="42" t="s">
        <v>168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customFormat="false" ht="25.5" hidden="false" customHeight="true" outlineLevel="0" collapsed="false">
      <c r="A7" s="2"/>
      <c r="B7" s="43" t="s">
        <v>169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customFormat="false" ht="15" hidden="false" customHeight="false" outlineLevel="0" collapsed="false">
      <c r="A8" s="2"/>
      <c r="B8" s="3" t="s">
        <v>170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customFormat="false" ht="17.15" hidden="false" customHeight="false" outlineLevel="0" collapsed="false">
      <c r="A10" s="4" t="s">
        <v>171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customFormat="false" ht="44" hidden="false" customHeight="false" outlineLevel="0" collapsed="false">
      <c r="A11" s="2"/>
      <c r="B11" s="7" t="s">
        <v>172</v>
      </c>
      <c r="C11" s="7" t="s">
        <v>173</v>
      </c>
      <c r="D11" s="7" t="s">
        <v>174</v>
      </c>
      <c r="E11" s="14" t="s">
        <v>175</v>
      </c>
      <c r="F11" s="7" t="s">
        <v>176</v>
      </c>
      <c r="G11" s="7" t="s">
        <v>177</v>
      </c>
      <c r="H11" s="7" t="s">
        <v>178</v>
      </c>
      <c r="I11" s="7" t="s">
        <v>179</v>
      </c>
      <c r="J11" s="2"/>
      <c r="K11" s="2"/>
      <c r="L11" s="2"/>
      <c r="M11" s="2"/>
      <c r="N11" s="2"/>
      <c r="O11" s="2"/>
      <c r="P11" s="2"/>
    </row>
    <row r="12" customFormat="false" ht="15" hidden="false" customHeight="false" outlineLevel="0" collapsed="false">
      <c r="A12" s="2"/>
      <c r="B12" s="44" t="s">
        <v>180</v>
      </c>
      <c r="C12" s="45" t="n">
        <v>1</v>
      </c>
      <c r="D12" s="45" t="n">
        <v>1</v>
      </c>
      <c r="E12" s="45" t="n">
        <v>1</v>
      </c>
      <c r="F12" s="45" t="n">
        <v>1</v>
      </c>
      <c r="G12" s="46" t="n">
        <v>3.92</v>
      </c>
      <c r="H12" s="46" t="n">
        <v>-13.3</v>
      </c>
      <c r="I12" s="47" t="s">
        <v>181</v>
      </c>
      <c r="J12" s="2"/>
      <c r="K12" s="2"/>
      <c r="L12" s="2"/>
      <c r="M12" s="2"/>
      <c r="N12" s="2"/>
      <c r="O12" s="2"/>
      <c r="P12" s="2"/>
    </row>
    <row r="13" customFormat="false" ht="15" hidden="false" customHeight="false" outlineLevel="0" collapsed="false">
      <c r="A13" s="2"/>
      <c r="B13" s="44" t="s">
        <v>182</v>
      </c>
      <c r="C13" s="45" t="n">
        <v>0.5</v>
      </c>
      <c r="D13" s="45" t="n">
        <v>2</v>
      </c>
      <c r="E13" s="45" t="n">
        <v>1.5</v>
      </c>
      <c r="F13" s="45" t="n">
        <v>1.63299</v>
      </c>
      <c r="G13" s="46" t="n">
        <v>1.42</v>
      </c>
      <c r="H13" s="46" t="n">
        <v>-31.5</v>
      </c>
      <c r="I13" s="47" t="s">
        <v>183</v>
      </c>
      <c r="J13" s="2"/>
      <c r="K13" s="2"/>
      <c r="L13" s="2"/>
      <c r="M13" s="2"/>
      <c r="N13" s="2"/>
      <c r="O13" s="2"/>
      <c r="P13" s="2"/>
    </row>
    <row r="14" customFormat="false" ht="15" hidden="false" customHeight="false" outlineLevel="0" collapsed="false">
      <c r="A14" s="2"/>
      <c r="B14" s="44" t="s">
        <v>184</v>
      </c>
      <c r="C14" s="45" t="n">
        <v>0.54</v>
      </c>
      <c r="D14" s="45" t="n">
        <v>1.85185</v>
      </c>
      <c r="E14" s="45" t="n">
        <v>1.36279</v>
      </c>
      <c r="F14" s="45" t="n">
        <v>1.58614</v>
      </c>
      <c r="G14" s="46" t="n">
        <v>1.75</v>
      </c>
      <c r="H14" s="46" t="n">
        <v>-42.7</v>
      </c>
      <c r="I14" s="47" t="s">
        <v>185</v>
      </c>
      <c r="J14" s="2"/>
      <c r="K14" s="2"/>
      <c r="L14" s="2"/>
      <c r="M14" s="2"/>
      <c r="N14" s="2"/>
      <c r="O14" s="2"/>
      <c r="P14" s="2"/>
    </row>
    <row r="15" customFormat="false" ht="15" hidden="false" customHeight="false" outlineLevel="0" collapsed="false">
      <c r="A15" s="2"/>
      <c r="B15" s="44" t="s">
        <v>186</v>
      </c>
      <c r="C15" s="45" t="n">
        <v>0.21557</v>
      </c>
      <c r="D15" s="45" t="n">
        <v>4.63886</v>
      </c>
      <c r="E15" s="45" t="n">
        <v>3.77</v>
      </c>
      <c r="F15" s="45" t="n">
        <v>1.96</v>
      </c>
      <c r="G15" s="46" t="n">
        <v>0.01</v>
      </c>
      <c r="H15" s="46" t="n">
        <v>-93.6</v>
      </c>
      <c r="I15" s="47" t="s">
        <v>187</v>
      </c>
      <c r="J15" s="2"/>
      <c r="K15" s="2"/>
      <c r="L15" s="2"/>
      <c r="M15" s="2"/>
      <c r="N15" s="2"/>
      <c r="O15" s="2"/>
      <c r="P15" s="2"/>
    </row>
    <row r="16" customFormat="false" ht="15" hidden="false" customHeight="false" outlineLevel="0" collapsed="false">
      <c r="A16" s="2"/>
      <c r="B16" s="44" t="s">
        <v>188</v>
      </c>
      <c r="C16" s="45" t="n">
        <v>0.35875</v>
      </c>
      <c r="D16" s="45" t="n">
        <v>2.78746</v>
      </c>
      <c r="E16" s="45" t="n">
        <v>2.00442</v>
      </c>
      <c r="F16" s="45" t="n">
        <v>1.96884</v>
      </c>
      <c r="G16" s="46" t="n">
        <v>0.83</v>
      </c>
      <c r="H16" s="46" t="n">
        <v>-92</v>
      </c>
      <c r="I16" s="47" t="s">
        <v>189</v>
      </c>
      <c r="J16" s="2"/>
      <c r="K16" s="2"/>
      <c r="L16" s="2"/>
      <c r="M16" s="2"/>
      <c r="N16" s="2"/>
      <c r="O16" s="2"/>
      <c r="P16" s="2"/>
    </row>
    <row r="17" customFormat="false" ht="15" hidden="false" customHeight="false" outlineLevel="0" collapsed="false">
      <c r="A17" s="2"/>
      <c r="B17" s="44" t="s">
        <v>190</v>
      </c>
      <c r="C17" s="45" t="n">
        <v>1</v>
      </c>
      <c r="D17" s="45" t="n">
        <v>1</v>
      </c>
      <c r="E17" s="45" t="n">
        <v>1</v>
      </c>
      <c r="F17" s="45" t="n">
        <v>1</v>
      </c>
      <c r="G17" s="48" t="s">
        <v>86</v>
      </c>
      <c r="H17" s="48" t="s">
        <v>86</v>
      </c>
      <c r="I17" s="47" t="s">
        <v>191</v>
      </c>
      <c r="J17" s="2"/>
      <c r="K17" s="2"/>
      <c r="L17" s="2"/>
      <c r="M17" s="2"/>
      <c r="N17" s="2"/>
      <c r="O17" s="2"/>
      <c r="P17" s="2"/>
    </row>
    <row r="18" customFormat="false" ht="15" hidden="false" customHeight="false" outlineLevel="0" collapsed="false">
      <c r="A18" s="2"/>
      <c r="B18" s="44" t="s">
        <v>192</v>
      </c>
      <c r="C18" s="49" t="s">
        <v>86</v>
      </c>
      <c r="D18" s="49" t="s">
        <v>86</v>
      </c>
      <c r="E18" s="49" t="s">
        <v>86</v>
      </c>
      <c r="F18" s="49" t="s">
        <v>86</v>
      </c>
      <c r="G18" s="48" t="s">
        <v>86</v>
      </c>
      <c r="H18" s="48" t="s">
        <v>86</v>
      </c>
      <c r="I18" s="47" t="s">
        <v>193</v>
      </c>
      <c r="J18" s="2"/>
      <c r="K18" s="2"/>
      <c r="L18" s="2"/>
      <c r="M18" s="2"/>
      <c r="N18" s="2"/>
      <c r="O18" s="2"/>
      <c r="P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customFormat="false" ht="25.5" hidden="false" customHeight="true" outlineLevel="0" collapsed="false">
      <c r="A20" s="2"/>
      <c r="B20" s="50" t="s">
        <v>194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customFormat="false" ht="52.2" hidden="false" customHeight="false" outlineLevel="0" collapsed="false">
      <c r="A21" s="2"/>
      <c r="B21" s="50" t="s">
        <v>195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customFormat="false" ht="15" hidden="false" customHeight="false" outlineLevel="0" collapsed="false">
      <c r="A23" s="4" t="s">
        <v>196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customFormat="false" ht="15" hidden="false" customHeight="false" outlineLevel="0" collapsed="false">
      <c r="A24" s="2"/>
      <c r="B24" s="6" t="s">
        <v>197</v>
      </c>
      <c r="C24" s="38" t="n">
        <f aca="false">01_測定条件の設計!C16</f>
        <v>0.08</v>
      </c>
      <c r="D24" s="26" t="s">
        <v>198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customFormat="false" ht="24" hidden="false" customHeight="true" outlineLevel="0" collapsed="false">
      <c r="A25" s="2"/>
      <c r="B25" s="6" t="s">
        <v>199</v>
      </c>
      <c r="C25" s="25" t="n">
        <v>0.01</v>
      </c>
      <c r="D25" s="51" t="s">
        <v>200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customFormat="false" ht="15" hidden="false" customHeight="false" outlineLevel="0" collapsed="false">
      <c r="A26" s="2"/>
      <c r="B26" s="6" t="s">
        <v>201</v>
      </c>
      <c r="C26" s="52" t="n">
        <f aca="false">IFERROR(-C24/LN(C25),"")</f>
        <v>0.0173717792761301</v>
      </c>
      <c r="D26" s="28" t="s">
        <v>202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customFormat="false" ht="15" hidden="false" customHeight="false" outlineLevel="0" collapsed="false">
      <c r="A27" s="2"/>
      <c r="B27" s="6" t="s">
        <v>203</v>
      </c>
      <c r="C27" s="53" t="n">
        <f aca="false">IFERROR(1/C26,"")</f>
        <v>57.5646273248511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customFormat="false" ht="15" hidden="false" customHeight="false" outlineLevel="0" collapsed="false">
      <c r="A28" s="2"/>
      <c r="B28" s="6" t="s">
        <v>204</v>
      </c>
      <c r="C28" s="29" t="n">
        <v>3500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customFormat="false" ht="15" hidden="false" customHeight="false" outlineLevel="0" collapsed="false">
      <c r="A29" s="2"/>
      <c r="B29" s="6" t="s">
        <v>205</v>
      </c>
      <c r="C29" s="52" t="n">
        <f aca="false">IFERROR(1/(PI()*C28*C26),"")</f>
        <v>0.0052352542777102</v>
      </c>
      <c r="D29" s="28" t="s">
        <v>206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customFormat="false" ht="15" hidden="false" customHeight="false" outlineLevel="0" collapsed="false">
      <c r="A30" s="2"/>
      <c r="B30" s="6" t="s">
        <v>207</v>
      </c>
      <c r="C30" s="54" t="n">
        <f aca="false">IFERROR(C29/2,"")</f>
        <v>0.0026176271388551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customFormat="false" ht="15" hidden="false" customHeight="false" outlineLevel="0" collapsed="false">
      <c r="A31" s="2"/>
      <c r="B31" s="6" t="s">
        <v>208</v>
      </c>
      <c r="C31" s="55" t="n">
        <v>0.009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customFormat="false" ht="15" hidden="false" customHeight="false" outlineLevel="0" collapsed="false">
      <c r="A32" s="2"/>
      <c r="B32" s="6" t="s">
        <v>209</v>
      </c>
      <c r="C32" s="52" t="n">
        <f aca="false">IFERROR(C31-C29,"")</f>
        <v>0.0037647457222898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customFormat="false" ht="15" hidden="false" customHeight="false" outlineLevel="0" collapsed="false">
      <c r="A33" s="2"/>
      <c r="B33" s="6" t="s">
        <v>210</v>
      </c>
      <c r="C33" s="56" t="str">
        <f aca="false">IFERROR(IF(C29/C31&gt;0.3,"⚠ 補正量が実測値の30%超。窓なし測定に切り替えるべき","OK（補正量は許容範囲）"),"")</f>
        <v>⚠ 補正量が実測値の30%超。窓なし測定に切り替えるべき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customFormat="false" ht="15" hidden="false" customHeight="false" outlineLevel="0" collapsed="false">
      <c r="A35" s="4" t="s">
        <v>211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customFormat="false" ht="15" hidden="false" customHeight="false" outlineLevel="0" collapsed="false">
      <c r="A36" s="2"/>
      <c r="B36" s="6" t="s">
        <v>212</v>
      </c>
      <c r="C36" s="24" t="n">
        <v>1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customFormat="false" ht="15" hidden="false" customHeight="false" outlineLevel="0" collapsed="false">
      <c r="A37" s="2"/>
      <c r="B37" s="6" t="s">
        <v>213</v>
      </c>
      <c r="C37" s="39" t="n">
        <f aca="false">INDEX($D$12:$D$18,$C$36)</f>
        <v>1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customFormat="false" ht="15" hidden="false" customHeight="false" outlineLevel="0" collapsed="false">
      <c r="A38" s="2"/>
      <c r="B38" s="6" t="s">
        <v>214</v>
      </c>
      <c r="C38" s="39" t="n">
        <f aca="false">INDEX($F$12:$F$18,$C$36)</f>
        <v>1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customFormat="false" ht="15" hidden="false" customHeight="false" outlineLevel="0" collapsed="false">
      <c r="A39" s="2"/>
      <c r="B39" s="6" t="s">
        <v>215</v>
      </c>
      <c r="C39" s="55" t="n">
        <v>1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customFormat="false" ht="15" hidden="false" customHeight="false" outlineLevel="0" collapsed="false">
      <c r="A40" s="2"/>
      <c r="B40" s="6" t="s">
        <v>216</v>
      </c>
      <c r="C40" s="52" t="n">
        <f aca="false">C39*C37</f>
        <v>1</v>
      </c>
      <c r="D40" s="3" t="s">
        <v>217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customFormat="false" ht="15" hidden="false" customHeight="false" outlineLevel="0" collapsed="false">
      <c r="A41" s="2"/>
      <c r="B41" s="6" t="s">
        <v>218</v>
      </c>
      <c r="C41" s="52" t="n">
        <f aca="false">C39*C38</f>
        <v>1</v>
      </c>
      <c r="D41" s="3" t="s">
        <v>219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customFormat="false" ht="15" hidden="false" customHeight="false" outlineLevel="0" collapsed="false">
      <c r="A43" s="4" t="s">
        <v>220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customFormat="false" ht="15" hidden="false" customHeight="false" outlineLevel="0" collapsed="false">
      <c r="A44" s="2"/>
      <c r="B44" s="57" t="s">
        <v>221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customFormat="false" ht="15" hidden="false" customHeight="false" outlineLevel="0" collapsed="false">
      <c r="A45" s="2"/>
      <c r="B45" s="57" t="s">
        <v>222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customFormat="false" ht="15" hidden="false" customHeight="false" outlineLevel="0" collapsed="false">
      <c r="A46" s="2"/>
      <c r="B46" s="57" t="s">
        <v>223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customFormat="false" ht="15" hidden="false" customHeight="false" outlineLevel="0" collapsed="false">
      <c r="A47" s="2"/>
      <c r="B47" s="57" t="s">
        <v>224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customFormat="false" ht="15" hidden="false" customHeight="false" outlineLevel="0" collapsed="false">
      <c r="A48" s="2"/>
      <c r="B48" s="57" t="s">
        <v>225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customFormat="false" ht="15" hidden="false" customHeight="false" outlineLevel="0" collapsed="false">
      <c r="A49" s="2"/>
      <c r="B49" s="58" t="s">
        <v>226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E6A0"/>
    <pageSetUpPr fitToPage="false"/>
  </sheetPr>
  <dimension ref="A1:N1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4" min="3" style="0" width="15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10" min="9" style="0" width="13"/>
    <col collapsed="false" customWidth="true" hidden="false" outlineLevel="0" max="11" min="11" style="0" width="12"/>
    <col collapsed="false" customWidth="true" hidden="false" outlineLevel="0" max="12" min="12" style="0" width="40"/>
  </cols>
  <sheetData>
    <row r="1" customFormat="false" ht="23.1" hidden="false" customHeight="false" outlineLevel="0" collapsed="false">
      <c r="A1" s="59" t="s">
        <v>227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26" t="s">
        <v>228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33" t="s">
        <v>229</v>
      </c>
      <c r="B4" s="60" t="n">
        <f aca="false">IF(D4&lt;&gt;"",D4,IF(COUNT(B8:B127)=0,1,(MIN(B8:B127)+MAX(B8:B127))/2))</f>
        <v>3500</v>
      </c>
      <c r="C4" s="3" t="s">
        <v>230</v>
      </c>
      <c r="D4" s="29"/>
      <c r="E4" s="3" t="s">
        <v>231</v>
      </c>
      <c r="F4" s="2"/>
      <c r="G4" s="33" t="s">
        <v>232</v>
      </c>
      <c r="H4" s="30" t="n">
        <f aca="false">COUNT(B8:B127)</f>
        <v>21</v>
      </c>
      <c r="I4" s="2"/>
      <c r="J4" s="2"/>
      <c r="K4" s="2"/>
      <c r="L4" s="2"/>
      <c r="M4" s="2"/>
      <c r="N4" s="2"/>
    </row>
    <row r="5" customFormat="false" ht="15" hidden="false" customHeight="false" outlineLevel="0" collapsed="false">
      <c r="A5" s="33" t="s">
        <v>233</v>
      </c>
      <c r="B5" s="61" t="n">
        <f aca="false">2*PI()*B4</f>
        <v>21991.1485751286</v>
      </c>
      <c r="C5" s="2"/>
      <c r="D5" s="2"/>
      <c r="E5" s="3" t="s">
        <v>234</v>
      </c>
      <c r="F5" s="2"/>
      <c r="G5" s="33" t="s">
        <v>235</v>
      </c>
      <c r="H5" s="39" t="n">
        <f aca="false">IF(H4&gt;1,(MAX(B8:B127)-MIN(B8:B127))/(H4-1),"")</f>
        <v>10</v>
      </c>
      <c r="I5" s="2"/>
      <c r="J5" s="2"/>
      <c r="K5" s="2"/>
      <c r="L5" s="2"/>
      <c r="M5" s="2"/>
      <c r="N5" s="2"/>
    </row>
    <row r="6" customFormat="false" ht="15" hidden="false" customHeight="false" outlineLevel="0" collapsed="false">
      <c r="A6" s="33" t="s">
        <v>236</v>
      </c>
      <c r="B6" s="62" t="n">
        <f aca="false">IF(MAX(E8:E127)=0,1,MAX(E8:E127))</f>
        <v>0.0183931733259924</v>
      </c>
      <c r="C6" s="2"/>
      <c r="D6" s="2"/>
      <c r="E6" s="3" t="s">
        <v>237</v>
      </c>
      <c r="F6" s="2"/>
      <c r="G6" s="33" t="s">
        <v>238</v>
      </c>
      <c r="H6" s="9" t="str">
        <f aca="false">IF(H4&gt;0,TEXT(MIN(B8:B127),"0.0")&amp;"  〜  "&amp;TEXT(MAX(B8:B127),"0.0"),"")</f>
        <v>3400.0  〜  3600.0</v>
      </c>
      <c r="I6" s="2"/>
      <c r="J6" s="2"/>
      <c r="K6" s="2"/>
      <c r="L6" s="2"/>
      <c r="M6" s="2"/>
      <c r="N6" s="2"/>
    </row>
    <row r="7" customFormat="false" ht="29.85" hidden="false" customHeight="false" outlineLevel="0" collapsed="false">
      <c r="A7" s="14" t="s">
        <v>239</v>
      </c>
      <c r="B7" s="7" t="s">
        <v>240</v>
      </c>
      <c r="C7" s="7" t="s">
        <v>241</v>
      </c>
      <c r="D7" s="7" t="s">
        <v>242</v>
      </c>
      <c r="E7" s="7" t="s">
        <v>243</v>
      </c>
      <c r="F7" s="7" t="s">
        <v>244</v>
      </c>
      <c r="G7" s="14" t="s">
        <v>245</v>
      </c>
      <c r="H7" s="14" t="s">
        <v>246</v>
      </c>
      <c r="I7" s="14" t="s">
        <v>247</v>
      </c>
      <c r="J7" s="14" t="s">
        <v>248</v>
      </c>
      <c r="K7" s="7" t="s">
        <v>249</v>
      </c>
      <c r="L7" s="2"/>
      <c r="M7" s="2"/>
      <c r="N7" s="2"/>
    </row>
    <row r="8" customFormat="false" ht="39.55" hidden="false" customHeight="false" outlineLevel="0" collapsed="false">
      <c r="A8" s="47" t="n">
        <v>1</v>
      </c>
      <c r="B8" s="63" t="n">
        <v>3400</v>
      </c>
      <c r="C8" s="64" t="n">
        <v>5.1E-005</v>
      </c>
      <c r="D8" s="64" t="n">
        <v>0.00301</v>
      </c>
      <c r="E8" s="54" t="n">
        <f aca="false">IF($B8="","",SQRT($C8^2+$D8^2))</f>
        <v>0.00301043202879587</v>
      </c>
      <c r="F8" s="36" t="n">
        <f aca="false">IF($B8="","",IFERROR(DEGREES(ATAN2($C8,$D8)),0))</f>
        <v>89.0293006058324</v>
      </c>
      <c r="G8" s="61" t="n">
        <f aca="false">IF($B8="","",2*PI()*$B8)</f>
        <v>21362.8300444106</v>
      </c>
      <c r="H8" s="54" t="n">
        <f aca="false">IF($B8="","",2*PI()*$B8/$B$5)</f>
        <v>0.971428571428571</v>
      </c>
      <c r="I8" s="54" t="n">
        <f aca="false">IF($B8="","",$C8/$B$6)</f>
        <v>0.0027727678686053</v>
      </c>
      <c r="J8" s="54" t="n">
        <f aca="false">IF($B8="","",$D8/$B$6)</f>
        <v>0.163647672245137</v>
      </c>
      <c r="K8" s="65"/>
      <c r="L8" s="50" t="s">
        <v>250</v>
      </c>
      <c r="M8" s="2"/>
      <c r="N8" s="2"/>
    </row>
    <row r="9" customFormat="false" ht="15" hidden="false" customHeight="false" outlineLevel="0" collapsed="false">
      <c r="A9" s="47" t="n">
        <v>2</v>
      </c>
      <c r="B9" s="63" t="n">
        <v>3410</v>
      </c>
      <c r="C9" s="64" t="n">
        <v>9.3E-005</v>
      </c>
      <c r="D9" s="64" t="n">
        <v>0.003391</v>
      </c>
      <c r="E9" s="54" t="n">
        <f aca="false">IF($B9="","",SQRT($C9^2+$D9^2))</f>
        <v>0.00339227504781083</v>
      </c>
      <c r="F9" s="36" t="n">
        <f aca="false">IF($B9="","",IFERROR(DEGREES(ATAN2($C9,$D9)),0))</f>
        <v>88.4290262065316</v>
      </c>
      <c r="G9" s="61" t="n">
        <f aca="false">IF($B9="","",2*PI()*$B9)</f>
        <v>21425.6618974824</v>
      </c>
      <c r="H9" s="54" t="n">
        <f aca="false">IF($B9="","",2*PI()*$B9/$B$5)</f>
        <v>0.974285714285714</v>
      </c>
      <c r="I9" s="54" t="n">
        <f aca="false">IF($B9="","",$C9/$B$6)</f>
        <v>0.00505622376039791</v>
      </c>
      <c r="J9" s="54" t="n">
        <f aca="false">IF($B9="","",$D9/$B$6)</f>
        <v>0.184361879263541</v>
      </c>
      <c r="K9" s="65"/>
      <c r="L9" s="2"/>
      <c r="M9" s="2"/>
      <c r="N9" s="2"/>
    </row>
    <row r="10" customFormat="false" ht="15" hidden="false" customHeight="false" outlineLevel="0" collapsed="false">
      <c r="A10" s="47" t="n">
        <v>3</v>
      </c>
      <c r="B10" s="63" t="n">
        <v>3420</v>
      </c>
      <c r="C10" s="64" t="n">
        <v>0.000162</v>
      </c>
      <c r="D10" s="64" t="n">
        <v>0.003876</v>
      </c>
      <c r="E10" s="54" t="n">
        <f aca="false">IF($B10="","",SQRT($C10^2+$D10^2))</f>
        <v>0.0038793839717151</v>
      </c>
      <c r="F10" s="36" t="n">
        <f aca="false">IF($B10="","",IFERROR(DEGREES(ATAN2($C10,$D10)),0))</f>
        <v>87.6066777223385</v>
      </c>
      <c r="G10" s="61" t="n">
        <f aca="false">IF($B10="","",2*PI()*$B10)</f>
        <v>21488.4937505542</v>
      </c>
      <c r="H10" s="54" t="n">
        <f aca="false">IF($B10="","",2*PI()*$B10/$B$5)</f>
        <v>0.977142857142857</v>
      </c>
      <c r="I10" s="54" t="n">
        <f aca="false">IF($B10="","",$C10/$B$6)</f>
        <v>0.00880761558262861</v>
      </c>
      <c r="J10" s="54" t="n">
        <f aca="false">IF($B10="","",$D10/$B$6)</f>
        <v>0.210730358014003</v>
      </c>
      <c r="K10" s="65"/>
      <c r="L10" s="2"/>
      <c r="M10" s="2"/>
      <c r="N10" s="2"/>
    </row>
    <row r="11" customFormat="false" ht="15" hidden="false" customHeight="false" outlineLevel="0" collapsed="false">
      <c r="A11" s="47" t="n">
        <v>4</v>
      </c>
      <c r="B11" s="63" t="n">
        <v>3430</v>
      </c>
      <c r="C11" s="64" t="n">
        <v>0.00028</v>
      </c>
      <c r="D11" s="64" t="n">
        <v>0.004516</v>
      </c>
      <c r="E11" s="54" t="n">
        <f aca="false">IF($B11="","",SQRT($C11^2+$D11^2))</f>
        <v>0.00452467192180825</v>
      </c>
      <c r="F11" s="36" t="n">
        <f aca="false">IF($B11="","",IFERROR(DEGREES(ATAN2($C11,$D11)),0))</f>
        <v>86.4521018207277</v>
      </c>
      <c r="G11" s="61" t="n">
        <f aca="false">IF($B11="","",2*PI()*$B11)</f>
        <v>21551.325603626</v>
      </c>
      <c r="H11" s="54" t="n">
        <f aca="false">IF($B11="","",2*PI()*$B11/$B$5)</f>
        <v>0.98</v>
      </c>
      <c r="I11" s="54" t="n">
        <f aca="false">IF($B11="","",$C11/$B$6)</f>
        <v>0.0152230392786174</v>
      </c>
      <c r="J11" s="54" t="n">
        <f aca="false">IF($B11="","",$D11/$B$6)</f>
        <v>0.245525876365128</v>
      </c>
      <c r="K11" s="65"/>
      <c r="L11" s="2"/>
      <c r="M11" s="2"/>
      <c r="N11" s="2"/>
    </row>
    <row r="12" customFormat="false" ht="15" hidden="false" customHeight="false" outlineLevel="0" collapsed="false">
      <c r="A12" s="47" t="n">
        <v>5</v>
      </c>
      <c r="B12" s="63" t="n">
        <v>3440</v>
      </c>
      <c r="C12" s="64" t="n">
        <v>0.000512</v>
      </c>
      <c r="D12" s="64" t="n">
        <v>0.005463</v>
      </c>
      <c r="E12" s="54" t="n">
        <f aca="false">IF($B12="","",SQRT($C12^2+$D12^2))</f>
        <v>0.0054869402220181</v>
      </c>
      <c r="F12" s="36" t="n">
        <f aca="false">IF($B12="","",IFERROR(DEGREES(ATAN2($C12,$D12)),0))</f>
        <v>84.6457994292091</v>
      </c>
      <c r="G12" s="61" t="n">
        <f aca="false">IF($B12="","",2*PI()*$B12)</f>
        <v>21614.1574566978</v>
      </c>
      <c r="H12" s="54" t="n">
        <f aca="false">IF($B12="","",2*PI()*$B12/$B$5)</f>
        <v>0.982857142857143</v>
      </c>
      <c r="I12" s="54" t="n">
        <f aca="false">IF($B12="","",$C12/$B$6)</f>
        <v>0.0278364146809003</v>
      </c>
      <c r="J12" s="54" t="n">
        <f aca="false">IF($B12="","",$D12/$B$6)</f>
        <v>0.297012369925309</v>
      </c>
      <c r="K12" s="65"/>
      <c r="L12" s="2"/>
      <c r="M12" s="2"/>
      <c r="N12" s="2"/>
    </row>
    <row r="13" customFormat="false" ht="15" hidden="false" customHeight="false" outlineLevel="0" collapsed="false">
      <c r="A13" s="47" t="n">
        <v>6</v>
      </c>
      <c r="B13" s="63" t="n">
        <v>3450</v>
      </c>
      <c r="C13" s="64" t="n">
        <v>0.001016</v>
      </c>
      <c r="D13" s="64" t="n">
        <v>0.006854</v>
      </c>
      <c r="E13" s="54" t="n">
        <f aca="false">IF($B13="","",SQRT($C13^2+$D13^2))</f>
        <v>0.00692889399543679</v>
      </c>
      <c r="F13" s="36" t="n">
        <f aca="false">IF($B13="","",IFERROR(DEGREES(ATAN2($C13,$D13)),0))</f>
        <v>81.5681836711198</v>
      </c>
      <c r="G13" s="61" t="n">
        <f aca="false">IF($B13="","",2*PI()*$B13)</f>
        <v>21676.9893097696</v>
      </c>
      <c r="H13" s="54" t="n">
        <f aca="false">IF($B13="","",2*PI()*$B13/$B$5)</f>
        <v>0.985714285714286</v>
      </c>
      <c r="I13" s="54" t="n">
        <f aca="false">IF($B13="","",$C13/$B$6)</f>
        <v>0.0552378853824115</v>
      </c>
      <c r="J13" s="54" t="n">
        <f aca="false">IF($B13="","",$D13/$B$6)</f>
        <v>0.372638254341583</v>
      </c>
      <c r="K13" s="65"/>
      <c r="L13" s="2"/>
      <c r="M13" s="2"/>
      <c r="N13" s="2"/>
    </row>
    <row r="14" customFormat="false" ht="15" hidden="false" customHeight="false" outlineLevel="0" collapsed="false">
      <c r="A14" s="47" t="n">
        <v>7</v>
      </c>
      <c r="B14" s="63" t="n">
        <v>3460</v>
      </c>
      <c r="C14" s="64" t="n">
        <v>0.002362</v>
      </c>
      <c r="D14" s="64" t="n">
        <v>0.00908</v>
      </c>
      <c r="E14" s="54" t="n">
        <f aca="false">IF($B14="","",SQRT($C14^2+$D14^2))</f>
        <v>0.00938218759138827</v>
      </c>
      <c r="F14" s="36" t="n">
        <f aca="false">IF($B14="","",IFERROR(DEGREES(ATAN2($C14,$D14)),0))</f>
        <v>75.4186913649928</v>
      </c>
      <c r="G14" s="61" t="n">
        <f aca="false">IF($B14="","",2*PI()*$B14)</f>
        <v>21739.8211628414</v>
      </c>
      <c r="H14" s="54" t="n">
        <f aca="false">IF($B14="","",2*PI()*$B14/$B$5)</f>
        <v>0.988571428571429</v>
      </c>
      <c r="I14" s="54" t="n">
        <f aca="false">IF($B14="","",$C14/$B$6)</f>
        <v>0.128417209914622</v>
      </c>
      <c r="J14" s="54" t="n">
        <f aca="false">IF($B14="","",$D14/$B$6)</f>
        <v>0.493661416606591</v>
      </c>
      <c r="K14" s="65"/>
      <c r="L14" s="2"/>
      <c r="M14" s="2"/>
      <c r="N14" s="2"/>
    </row>
    <row r="15" customFormat="false" ht="15" hidden="false" customHeight="false" outlineLevel="0" collapsed="false">
      <c r="A15" s="47" t="n">
        <v>8</v>
      </c>
      <c r="B15" s="63" t="n">
        <v>3470</v>
      </c>
      <c r="C15" s="64" t="n">
        <v>0.006939</v>
      </c>
      <c r="D15" s="64" t="n">
        <v>0.012171</v>
      </c>
      <c r="E15" s="54" t="n">
        <f aca="false">IF($B15="","",SQRT($C15^2+$D15^2))</f>
        <v>0.0140101021409553</v>
      </c>
      <c r="F15" s="36" t="n">
        <f aca="false">IF($B15="","",IFERROR(DEGREES(ATAN2($C15,$D15)),0))</f>
        <v>60.3114237987939</v>
      </c>
      <c r="G15" s="61" t="n">
        <f aca="false">IF($B15="","",2*PI()*$B15)</f>
        <v>21802.6530159132</v>
      </c>
      <c r="H15" s="54" t="n">
        <f aca="false">IF($B15="","",2*PI()*$B15/$B$5)</f>
        <v>0.991428571428572</v>
      </c>
      <c r="I15" s="54" t="n">
        <f aca="false">IF($B15="","",$C15/$B$6)</f>
        <v>0.377259534122592</v>
      </c>
      <c r="J15" s="54" t="n">
        <f aca="false">IF($B15="","",$D15/$B$6)</f>
        <v>0.661712896643042</v>
      </c>
      <c r="K15" s="65"/>
      <c r="L15" s="2"/>
      <c r="M15" s="2"/>
      <c r="N15" s="2"/>
    </row>
    <row r="16" customFormat="false" ht="15" hidden="false" customHeight="false" outlineLevel="0" collapsed="false">
      <c r="A16" s="47" t="n">
        <v>9</v>
      </c>
      <c r="B16" s="63" t="n">
        <v>3480</v>
      </c>
      <c r="C16" s="64" t="n">
        <v>0.016968</v>
      </c>
      <c r="D16" s="64" t="n">
        <v>0.007099</v>
      </c>
      <c r="E16" s="54" t="n">
        <f aca="false">IF($B16="","",SQRT($C16^2+$D16^2))</f>
        <v>0.0183931733259924</v>
      </c>
      <c r="F16" s="36" t="n">
        <f aca="false">IF($B16="","",IFERROR(DEGREES(ATAN2($C16,$D16)),0))</f>
        <v>22.7032526516283</v>
      </c>
      <c r="G16" s="61" t="n">
        <f aca="false">IF($B16="","",2*PI()*$B16)</f>
        <v>21865.484868985</v>
      </c>
      <c r="H16" s="54" t="n">
        <f aca="false">IF($B16="","",2*PI()*$B16/$B$5)</f>
        <v>0.994285714285714</v>
      </c>
      <c r="I16" s="54" t="n">
        <f aca="false">IF($B16="","",$C16/$B$6)</f>
        <v>0.922516180284212</v>
      </c>
      <c r="J16" s="54" t="n">
        <f aca="false">IF($B16="","",$D16/$B$6)</f>
        <v>0.385958413710374</v>
      </c>
      <c r="K16" s="65"/>
      <c r="L16" s="2"/>
      <c r="M16" s="2"/>
      <c r="N16" s="2"/>
    </row>
    <row r="17" customFormat="false" ht="15" hidden="false" customHeight="false" outlineLevel="0" collapsed="false">
      <c r="A17" s="47" t="n">
        <v>10</v>
      </c>
      <c r="B17" s="63" t="n">
        <v>3490</v>
      </c>
      <c r="C17" s="64" t="n">
        <v>0.012733</v>
      </c>
      <c r="D17" s="64" t="n">
        <v>-0.002205</v>
      </c>
      <c r="E17" s="54" t="n">
        <f aca="false">IF($B17="","",SQRT($C17^2+$D17^2))</f>
        <v>0.0129225119075201</v>
      </c>
      <c r="F17" s="36" t="n">
        <f aca="false">IF($B17="","",IFERROR(DEGREES(ATAN2($C17,$D17)),0))</f>
        <v>-9.82459366005832</v>
      </c>
      <c r="G17" s="61" t="n">
        <f aca="false">IF($B17="","",2*PI()*$B17)</f>
        <v>21928.3167220568</v>
      </c>
      <c r="H17" s="54" t="n">
        <f aca="false">IF($B17="","",2*PI()*$B17/$B$5)</f>
        <v>0.997142857142857</v>
      </c>
      <c r="I17" s="54" t="n">
        <f aca="false">IF($B17="","",$C17/$B$6)</f>
        <v>0.692267711195124</v>
      </c>
      <c r="J17" s="54" t="n">
        <f aca="false">IF($B17="","",$D17/$B$6)</f>
        <v>-0.119881434319112</v>
      </c>
      <c r="K17" s="65"/>
      <c r="L17" s="2"/>
      <c r="M17" s="2"/>
      <c r="N17" s="2"/>
    </row>
    <row r="18" customFormat="false" ht="15" hidden="false" customHeight="false" outlineLevel="0" collapsed="false">
      <c r="A18" s="47" t="n">
        <v>11</v>
      </c>
      <c r="B18" s="63" t="n">
        <v>3500</v>
      </c>
      <c r="C18" s="64" t="n">
        <v>0.009201</v>
      </c>
      <c r="D18" s="64" t="n">
        <v>-0.001806</v>
      </c>
      <c r="E18" s="54" t="n">
        <f aca="false">IF($B18="","",SQRT($C18^2+$D18^2))</f>
        <v>0.00937656850878828</v>
      </c>
      <c r="F18" s="36" t="n">
        <f aca="false">IF($B18="","",IFERROR(DEGREES(ATAN2($C18,$D18)),0))</f>
        <v>-11.1050102485833</v>
      </c>
      <c r="G18" s="61" t="n">
        <f aca="false">IF($B18="","",2*PI()*$B18)</f>
        <v>21991.1485751286</v>
      </c>
      <c r="H18" s="54" t="n">
        <f aca="false">IF($B18="","",2*PI()*$B18/$B$5)</f>
        <v>1</v>
      </c>
      <c r="I18" s="54" t="n">
        <f aca="false">IF($B18="","",$C18/$B$6)</f>
        <v>0.500239944294851</v>
      </c>
      <c r="J18" s="54" t="n">
        <f aca="false">IF($B18="","",$D18/$B$6)</f>
        <v>-0.0981886033470819</v>
      </c>
      <c r="K18" s="65"/>
      <c r="L18" s="2"/>
      <c r="M18" s="2"/>
      <c r="N18" s="2"/>
    </row>
    <row r="19" customFormat="false" ht="15" hidden="false" customHeight="false" outlineLevel="0" collapsed="false">
      <c r="A19" s="47" t="n">
        <v>12</v>
      </c>
      <c r="B19" s="63" t="n">
        <v>3510</v>
      </c>
      <c r="C19" s="64" t="n">
        <v>0.010162</v>
      </c>
      <c r="D19" s="64" t="n">
        <v>-0.00152</v>
      </c>
      <c r="E19" s="54" t="n">
        <f aca="false">IF($B19="","",SQRT($C19^2+$D19^2))</f>
        <v>0.010275049586255</v>
      </c>
      <c r="F19" s="36" t="n">
        <f aca="false">IF($B19="","",IFERROR(DEGREES(ATAN2($C19,$D19)),0))</f>
        <v>-8.50705320977103</v>
      </c>
      <c r="G19" s="61" t="n">
        <f aca="false">IF($B19="","",2*PI()*$B19)</f>
        <v>22053.9804282003</v>
      </c>
      <c r="H19" s="54" t="n">
        <f aca="false">IF($B19="","",2*PI()*$B19/$B$5)</f>
        <v>1.00285714285714</v>
      </c>
      <c r="I19" s="54" t="n">
        <f aca="false">IF($B19="","",$C19/$B$6)</f>
        <v>0.552487589818963</v>
      </c>
      <c r="J19" s="54" t="n">
        <f aca="false">IF($B19="","",$D19/$B$6)</f>
        <v>-0.0826393560839228</v>
      </c>
      <c r="K19" s="65"/>
      <c r="L19" s="2"/>
      <c r="M19" s="2"/>
      <c r="N19" s="2"/>
    </row>
    <row r="20" customFormat="false" ht="15" hidden="false" customHeight="false" outlineLevel="0" collapsed="false">
      <c r="A20" s="47" t="n">
        <v>13</v>
      </c>
      <c r="B20" s="63" t="n">
        <v>3520</v>
      </c>
      <c r="C20" s="64" t="n">
        <v>0.011108</v>
      </c>
      <c r="D20" s="64" t="n">
        <v>-0.005744</v>
      </c>
      <c r="E20" s="54" t="n">
        <f aca="false">IF($B20="","",SQRT($C20^2+$D20^2))</f>
        <v>0.0125052468988021</v>
      </c>
      <c r="F20" s="36" t="n">
        <f aca="false">IF($B20="","",IFERROR(DEGREES(ATAN2($C20,$D20)),0))</f>
        <v>-27.3437012425114</v>
      </c>
      <c r="G20" s="61" t="n">
        <f aca="false">IF($B20="","",2*PI()*$B20)</f>
        <v>22116.8122812721</v>
      </c>
      <c r="H20" s="54" t="n">
        <f aca="false">IF($B20="","",2*PI()*$B20/$B$5)</f>
        <v>1.00571428571429</v>
      </c>
      <c r="I20" s="54" t="n">
        <f aca="false">IF($B20="","",$C20/$B$6)</f>
        <v>0.60391971538172</v>
      </c>
      <c r="J20" s="54" t="n">
        <f aca="false">IF($B20="","",$D20/$B$6)</f>
        <v>-0.31228977720135</v>
      </c>
      <c r="K20" s="65"/>
      <c r="L20" s="2"/>
      <c r="M20" s="2"/>
      <c r="N20" s="2"/>
    </row>
    <row r="21" customFormat="false" ht="15" hidden="false" customHeight="false" outlineLevel="0" collapsed="false">
      <c r="A21" s="47" t="n">
        <v>14</v>
      </c>
      <c r="B21" s="63" t="n">
        <v>3530</v>
      </c>
      <c r="C21" s="64" t="n">
        <v>0.006478</v>
      </c>
      <c r="D21" s="64" t="n">
        <v>-0.008669</v>
      </c>
      <c r="E21" s="54" t="n">
        <f aca="false">IF($B21="","",SQRT($C21^2+$D21^2))</f>
        <v>0.0108220166789744</v>
      </c>
      <c r="F21" s="36" t="n">
        <f aca="false">IF($B21="","",IFERROR(DEGREES(ATAN2($C21,$D21)),0))</f>
        <v>-53.2306954693123</v>
      </c>
      <c r="G21" s="61" t="n">
        <f aca="false">IF($B21="","",2*PI()*$B21)</f>
        <v>22179.6441343439</v>
      </c>
      <c r="H21" s="54" t="n">
        <f aca="false">IF($B21="","",2*PI()*$B21/$B$5)</f>
        <v>1.00857142857143</v>
      </c>
      <c r="I21" s="54" t="n">
        <f aca="false">IF($B21="","",$C21/$B$6)</f>
        <v>0.352195887310297</v>
      </c>
      <c r="J21" s="54" t="n">
        <f aca="false">IF($B21="","",$D21/$B$6)</f>
        <v>-0.471316169665478</v>
      </c>
      <c r="K21" s="65"/>
      <c r="L21" s="2"/>
      <c r="M21" s="2"/>
      <c r="N21" s="2"/>
    </row>
    <row r="22" customFormat="false" ht="15" hidden="false" customHeight="false" outlineLevel="0" collapsed="false">
      <c r="A22" s="47" t="n">
        <v>15</v>
      </c>
      <c r="B22" s="63" t="n">
        <v>3540</v>
      </c>
      <c r="C22" s="64" t="n">
        <v>0.003142</v>
      </c>
      <c r="D22" s="64" t="n">
        <v>-0.007475</v>
      </c>
      <c r="E22" s="54" t="n">
        <f aca="false">IF($B22="","",SQRT($C22^2+$D22^2))</f>
        <v>0.00810850103286668</v>
      </c>
      <c r="F22" s="36" t="n">
        <f aca="false">IF($B22="","",IFERROR(DEGREES(ATAN2($C22,$D22)),0))</f>
        <v>-67.201307139525</v>
      </c>
      <c r="G22" s="61" t="n">
        <f aca="false">IF($B22="","",2*PI()*$B22)</f>
        <v>22242.4759874157</v>
      </c>
      <c r="H22" s="54" t="n">
        <f aca="false">IF($B22="","",2*PI()*$B22/$B$5)</f>
        <v>1.01142857142857</v>
      </c>
      <c r="I22" s="54" t="n">
        <f aca="false">IF($B22="","",$C22/$B$6)</f>
        <v>0.170824247905056</v>
      </c>
      <c r="J22" s="54" t="n">
        <f aca="false">IF($B22="","",$D22/$B$6)</f>
        <v>-0.40640078074166</v>
      </c>
      <c r="K22" s="65"/>
      <c r="L22" s="2"/>
      <c r="M22" s="2"/>
      <c r="N22" s="2"/>
    </row>
    <row r="23" customFormat="false" ht="15" hidden="false" customHeight="false" outlineLevel="0" collapsed="false">
      <c r="A23" s="47" t="n">
        <v>16</v>
      </c>
      <c r="B23" s="63" t="n">
        <v>3550</v>
      </c>
      <c r="C23" s="64" t="n">
        <v>0.001759</v>
      </c>
      <c r="D23" s="64" t="n">
        <v>-0.006056</v>
      </c>
      <c r="E23" s="54" t="n">
        <f aca="false">IF($B23="","",SQRT($C23^2+$D23^2))</f>
        <v>0.00630628392954202</v>
      </c>
      <c r="F23" s="36" t="n">
        <f aca="false">IF($B23="","",IFERROR(DEGREES(ATAN2($C23,$D23)),0))</f>
        <v>-73.8037572661343</v>
      </c>
      <c r="G23" s="61" t="n">
        <f aca="false">IF($B23="","",2*PI()*$B23)</f>
        <v>22305.3078404875</v>
      </c>
      <c r="H23" s="54" t="n">
        <f aca="false">IF($B23="","",2*PI()*$B23/$B$5)</f>
        <v>1.01428571428571</v>
      </c>
      <c r="I23" s="54" t="n">
        <f aca="false">IF($B23="","",$C23/$B$6)</f>
        <v>0.0956333074681712</v>
      </c>
      <c r="J23" s="54" t="n">
        <f aca="false">IF($B23="","",$D23/$B$6)</f>
        <v>-0.329252592397524</v>
      </c>
      <c r="K23" s="65"/>
      <c r="L23" s="2"/>
      <c r="M23" s="2"/>
      <c r="N23" s="2"/>
    </row>
    <row r="24" customFormat="false" ht="15" hidden="false" customHeight="false" outlineLevel="0" collapsed="false">
      <c r="A24" s="47" t="n">
        <v>17</v>
      </c>
      <c r="B24" s="63" t="n">
        <v>3560</v>
      </c>
      <c r="C24" s="64" t="n">
        <v>0.001128</v>
      </c>
      <c r="D24" s="64" t="n">
        <v>-0.005</v>
      </c>
      <c r="E24" s="54" t="n">
        <f aca="false">IF($B24="","",SQRT($C24^2+$D24^2))</f>
        <v>0.00512565937221739</v>
      </c>
      <c r="F24" s="36" t="n">
        <f aca="false">IF($B24="","",IFERROR(DEGREES(ATAN2($C24,$D24)),0))</f>
        <v>-77.2868997470059</v>
      </c>
      <c r="G24" s="61" t="n">
        <f aca="false">IF($B24="","",2*PI()*$B24)</f>
        <v>22368.1396935593</v>
      </c>
      <c r="H24" s="54" t="n">
        <f aca="false">IF($B24="","",2*PI()*$B24/$B$5)</f>
        <v>1.01714285714286</v>
      </c>
      <c r="I24" s="54" t="n">
        <f aca="false">IF($B24="","",$C24/$B$6)</f>
        <v>0.0613271010938585</v>
      </c>
      <c r="J24" s="54" t="n">
        <f aca="false">IF($B24="","",$D24/$B$6)</f>
        <v>-0.271839987118167</v>
      </c>
      <c r="K24" s="65"/>
      <c r="L24" s="2"/>
      <c r="M24" s="2"/>
      <c r="N24" s="2"/>
    </row>
    <row r="25" customFormat="false" ht="15" hidden="false" customHeight="false" outlineLevel="0" collapsed="false">
      <c r="A25" s="47" t="n">
        <v>18</v>
      </c>
      <c r="B25" s="63" t="n">
        <v>3570</v>
      </c>
      <c r="C25" s="64" t="n">
        <v>0.000797</v>
      </c>
      <c r="D25" s="64" t="n">
        <v>-0.004246</v>
      </c>
      <c r="E25" s="54" t="n">
        <f aca="false">IF($B25="","",SQRT($C25^2+$D25^2))</f>
        <v>0.00432015335375956</v>
      </c>
      <c r="F25" s="36" t="n">
        <f aca="false">IF($B25="","",IFERROR(DEGREES(ATAN2($C25,$D25)),0))</f>
        <v>-79.3689388498194</v>
      </c>
      <c r="G25" s="61" t="n">
        <f aca="false">IF($B25="","",2*PI()*$B25)</f>
        <v>22430.9715466311</v>
      </c>
      <c r="H25" s="54" t="n">
        <f aca="false">IF($B25="","",2*PI()*$B25/$B$5)</f>
        <v>1.02</v>
      </c>
      <c r="I25" s="54" t="n">
        <f aca="false">IF($B25="","",$C25/$B$6)</f>
        <v>0.0433312939466358</v>
      </c>
      <c r="J25" s="54" t="n">
        <f aca="false">IF($B25="","",$D25/$B$6)</f>
        <v>-0.230846517060747</v>
      </c>
      <c r="K25" s="65"/>
      <c r="L25" s="2"/>
      <c r="M25" s="2"/>
      <c r="N25" s="2"/>
    </row>
    <row r="26" customFormat="false" ht="15" hidden="false" customHeight="false" outlineLevel="0" collapsed="false">
      <c r="A26" s="47" t="n">
        <v>19</v>
      </c>
      <c r="B26" s="63" t="n">
        <v>3580</v>
      </c>
      <c r="C26" s="64" t="n">
        <v>0.000602</v>
      </c>
      <c r="D26" s="64" t="n">
        <v>-0.003688</v>
      </c>
      <c r="E26" s="54" t="n">
        <f aca="false">IF($B26="","",SQRT($C26^2+$D26^2))</f>
        <v>0.00373680986939395</v>
      </c>
      <c r="F26" s="36" t="n">
        <f aca="false">IF($B26="","",IFERROR(DEGREES(ATAN2($C26,$D26)),0))</f>
        <v>-80.7292511758686</v>
      </c>
      <c r="G26" s="61" t="n">
        <f aca="false">IF($B26="","",2*PI()*$B26)</f>
        <v>22493.8033997029</v>
      </c>
      <c r="H26" s="54" t="n">
        <f aca="false">IF($B26="","",2*PI()*$B26/$B$5)</f>
        <v>1.02285714285714</v>
      </c>
      <c r="I26" s="54" t="n">
        <f aca="false">IF($B26="","",$C26/$B$6)</f>
        <v>0.0327295344490273</v>
      </c>
      <c r="J26" s="54" t="n">
        <f aca="false">IF($B26="","",$D26/$B$6)</f>
        <v>-0.20050917449836</v>
      </c>
      <c r="K26" s="65"/>
      <c r="L26" s="2"/>
      <c r="M26" s="2"/>
      <c r="N26" s="2"/>
    </row>
    <row r="27" customFormat="false" ht="15" hidden="false" customHeight="false" outlineLevel="0" collapsed="false">
      <c r="A27" s="47" t="n">
        <v>20</v>
      </c>
      <c r="B27" s="63" t="n">
        <v>3590</v>
      </c>
      <c r="C27" s="64" t="n">
        <v>0.000478</v>
      </c>
      <c r="D27" s="64" t="n">
        <v>-0.003267</v>
      </c>
      <c r="E27" s="54" t="n">
        <f aca="false">IF($B27="","",SQRT($C27^2+$D27^2))</f>
        <v>0.00330178330603327</v>
      </c>
      <c r="F27" s="36" t="n">
        <f aca="false">IF($B27="","",IFERROR(DEGREES(ATAN2($C27,$D27)),0))</f>
        <v>-81.6760248010864</v>
      </c>
      <c r="G27" s="61" t="n">
        <f aca="false">IF($B27="","",2*PI()*$B27)</f>
        <v>22556.6352527747</v>
      </c>
      <c r="H27" s="54" t="n">
        <f aca="false">IF($B27="","",2*PI()*$B27/$B$5)</f>
        <v>1.02571428571429</v>
      </c>
      <c r="I27" s="54" t="n">
        <f aca="false">IF($B27="","",$C27/$B$6)</f>
        <v>0.0259879027684968</v>
      </c>
      <c r="J27" s="54" t="n">
        <f aca="false">IF($B27="","",$D27/$B$6)</f>
        <v>-0.17762024758301</v>
      </c>
      <c r="K27" s="65"/>
      <c r="L27" s="2"/>
      <c r="M27" s="2"/>
      <c r="N27" s="2"/>
    </row>
    <row r="28" customFormat="false" ht="15" hidden="false" customHeight="false" outlineLevel="0" collapsed="false">
      <c r="A28" s="47" t="n">
        <v>21</v>
      </c>
      <c r="B28" s="63" t="n">
        <v>3600</v>
      </c>
      <c r="C28" s="64" t="n">
        <v>0.000393</v>
      </c>
      <c r="D28" s="64" t="n">
        <v>-0.002933</v>
      </c>
      <c r="E28" s="54" t="n">
        <f aca="false">IF($B28="","",SQRT($C28^2+$D28^2))</f>
        <v>0.002959212395216</v>
      </c>
      <c r="F28" s="36" t="n">
        <f aca="false">IF($B28="","",IFERROR(DEGREES(ATAN2($C28,$D28)),0))</f>
        <v>-82.3682521144571</v>
      </c>
      <c r="G28" s="61" t="n">
        <f aca="false">IF($B28="","",2*PI()*$B28)</f>
        <v>22619.4671058465</v>
      </c>
      <c r="H28" s="54" t="n">
        <f aca="false">IF($B28="","",2*PI()*$B28/$B$5)</f>
        <v>1.02857142857143</v>
      </c>
      <c r="I28" s="54" t="n">
        <f aca="false">IF($B28="","",$C28/$B$6)</f>
        <v>0.0213666229874879</v>
      </c>
      <c r="J28" s="54" t="n">
        <f aca="false">IF($B28="","",$D28/$B$6)</f>
        <v>-0.159461336443517</v>
      </c>
      <c r="K28" s="65"/>
      <c r="L28" s="2"/>
      <c r="M28" s="2"/>
      <c r="N28" s="2"/>
    </row>
    <row r="29" customFormat="false" ht="15" hidden="false" customHeight="false" outlineLevel="0" collapsed="false">
      <c r="A29" s="47" t="n">
        <v>22</v>
      </c>
      <c r="B29" s="63"/>
      <c r="C29" s="64"/>
      <c r="D29" s="64"/>
      <c r="E29" s="54" t="str">
        <f aca="false">IF($B29="","",SQRT($C29^2+$D29^2))</f>
        <v/>
      </c>
      <c r="F29" s="36" t="str">
        <f aca="false">IF($B29="","",IFERROR(DEGREES(ATAN2($C29,$D29)),0))</f>
        <v/>
      </c>
      <c r="G29" s="61" t="str">
        <f aca="false">IF($B29="","",2*PI()*$B29)</f>
        <v/>
      </c>
      <c r="H29" s="54" t="str">
        <f aca="false">IF($B29="","",2*PI()*$B29/$B$5)</f>
        <v/>
      </c>
      <c r="I29" s="54" t="str">
        <f aca="false">IF($B29="","",$C29/$B$6)</f>
        <v/>
      </c>
      <c r="J29" s="54" t="str">
        <f aca="false">IF($B29="","",$D29/$B$6)</f>
        <v/>
      </c>
      <c r="K29" s="65"/>
      <c r="L29" s="2"/>
      <c r="M29" s="2"/>
      <c r="N29" s="2"/>
    </row>
    <row r="30" customFormat="false" ht="15" hidden="false" customHeight="false" outlineLevel="0" collapsed="false">
      <c r="A30" s="47" t="n">
        <v>23</v>
      </c>
      <c r="B30" s="63"/>
      <c r="C30" s="64"/>
      <c r="D30" s="64"/>
      <c r="E30" s="54" t="str">
        <f aca="false">IF($B30="","",SQRT($C30^2+$D30^2))</f>
        <v/>
      </c>
      <c r="F30" s="36" t="str">
        <f aca="false">IF($B30="","",IFERROR(DEGREES(ATAN2($C30,$D30)),0))</f>
        <v/>
      </c>
      <c r="G30" s="61" t="str">
        <f aca="false">IF($B30="","",2*PI()*$B30)</f>
        <v/>
      </c>
      <c r="H30" s="54" t="str">
        <f aca="false">IF($B30="","",2*PI()*$B30/$B$5)</f>
        <v/>
      </c>
      <c r="I30" s="54" t="str">
        <f aca="false">IF($B30="","",$C30/$B$6)</f>
        <v/>
      </c>
      <c r="J30" s="54" t="str">
        <f aca="false">IF($B30="","",$D30/$B$6)</f>
        <v/>
      </c>
      <c r="K30" s="65"/>
      <c r="L30" s="2"/>
      <c r="M30" s="2"/>
      <c r="N30" s="2"/>
    </row>
    <row r="31" customFormat="false" ht="15" hidden="false" customHeight="false" outlineLevel="0" collapsed="false">
      <c r="A31" s="47" t="n">
        <v>24</v>
      </c>
      <c r="B31" s="63"/>
      <c r="C31" s="64"/>
      <c r="D31" s="64"/>
      <c r="E31" s="54" t="str">
        <f aca="false">IF($B31="","",SQRT($C31^2+$D31^2))</f>
        <v/>
      </c>
      <c r="F31" s="36" t="str">
        <f aca="false">IF($B31="","",IFERROR(DEGREES(ATAN2($C31,$D31)),0))</f>
        <v/>
      </c>
      <c r="G31" s="61" t="str">
        <f aca="false">IF($B31="","",2*PI()*$B31)</f>
        <v/>
      </c>
      <c r="H31" s="54" t="str">
        <f aca="false">IF($B31="","",2*PI()*$B31/$B$5)</f>
        <v/>
      </c>
      <c r="I31" s="54" t="str">
        <f aca="false">IF($B31="","",$C31/$B$6)</f>
        <v/>
      </c>
      <c r="J31" s="54" t="str">
        <f aca="false">IF($B31="","",$D31/$B$6)</f>
        <v/>
      </c>
      <c r="K31" s="65"/>
      <c r="L31" s="2"/>
      <c r="M31" s="2"/>
      <c r="N31" s="2"/>
    </row>
    <row r="32" customFormat="false" ht="15" hidden="false" customHeight="false" outlineLevel="0" collapsed="false">
      <c r="A32" s="47" t="n">
        <v>25</v>
      </c>
      <c r="B32" s="63"/>
      <c r="C32" s="64"/>
      <c r="D32" s="64"/>
      <c r="E32" s="54" t="str">
        <f aca="false">IF($B32="","",SQRT($C32^2+$D32^2))</f>
        <v/>
      </c>
      <c r="F32" s="36" t="str">
        <f aca="false">IF($B32="","",IFERROR(DEGREES(ATAN2($C32,$D32)),0))</f>
        <v/>
      </c>
      <c r="G32" s="61" t="str">
        <f aca="false">IF($B32="","",2*PI()*$B32)</f>
        <v/>
      </c>
      <c r="H32" s="54" t="str">
        <f aca="false">IF($B32="","",2*PI()*$B32/$B$5)</f>
        <v/>
      </c>
      <c r="I32" s="54" t="str">
        <f aca="false">IF($B32="","",$C32/$B$6)</f>
        <v/>
      </c>
      <c r="J32" s="54" t="str">
        <f aca="false">IF($B32="","",$D32/$B$6)</f>
        <v/>
      </c>
      <c r="K32" s="65"/>
      <c r="L32" s="2"/>
      <c r="M32" s="2"/>
      <c r="N32" s="2"/>
    </row>
    <row r="33" customFormat="false" ht="15" hidden="false" customHeight="false" outlineLevel="0" collapsed="false">
      <c r="A33" s="47" t="n">
        <v>26</v>
      </c>
      <c r="B33" s="63"/>
      <c r="C33" s="64"/>
      <c r="D33" s="64"/>
      <c r="E33" s="54" t="str">
        <f aca="false">IF($B33="","",SQRT($C33^2+$D33^2))</f>
        <v/>
      </c>
      <c r="F33" s="36" t="str">
        <f aca="false">IF($B33="","",IFERROR(DEGREES(ATAN2($C33,$D33)),0))</f>
        <v/>
      </c>
      <c r="G33" s="61" t="str">
        <f aca="false">IF($B33="","",2*PI()*$B33)</f>
        <v/>
      </c>
      <c r="H33" s="54" t="str">
        <f aca="false">IF($B33="","",2*PI()*$B33/$B$5)</f>
        <v/>
      </c>
      <c r="I33" s="54" t="str">
        <f aca="false">IF($B33="","",$C33/$B$6)</f>
        <v/>
      </c>
      <c r="J33" s="54" t="str">
        <f aca="false">IF($B33="","",$D33/$B$6)</f>
        <v/>
      </c>
      <c r="K33" s="65"/>
      <c r="L33" s="2"/>
      <c r="M33" s="2"/>
      <c r="N33" s="2"/>
    </row>
    <row r="34" customFormat="false" ht="15" hidden="false" customHeight="false" outlineLevel="0" collapsed="false">
      <c r="A34" s="47" t="n">
        <v>27</v>
      </c>
      <c r="B34" s="63"/>
      <c r="C34" s="64"/>
      <c r="D34" s="64"/>
      <c r="E34" s="54" t="str">
        <f aca="false">IF($B34="","",SQRT($C34^2+$D34^2))</f>
        <v/>
      </c>
      <c r="F34" s="36" t="str">
        <f aca="false">IF($B34="","",IFERROR(DEGREES(ATAN2($C34,$D34)),0))</f>
        <v/>
      </c>
      <c r="G34" s="61" t="str">
        <f aca="false">IF($B34="","",2*PI()*$B34)</f>
        <v/>
      </c>
      <c r="H34" s="54" t="str">
        <f aca="false">IF($B34="","",2*PI()*$B34/$B$5)</f>
        <v/>
      </c>
      <c r="I34" s="54" t="str">
        <f aca="false">IF($B34="","",$C34/$B$6)</f>
        <v/>
      </c>
      <c r="J34" s="54" t="str">
        <f aca="false">IF($B34="","",$D34/$B$6)</f>
        <v/>
      </c>
      <c r="K34" s="65"/>
      <c r="L34" s="2"/>
      <c r="M34" s="2"/>
      <c r="N34" s="2"/>
    </row>
    <row r="35" customFormat="false" ht="15" hidden="false" customHeight="false" outlineLevel="0" collapsed="false">
      <c r="A35" s="47" t="n">
        <v>28</v>
      </c>
      <c r="B35" s="63"/>
      <c r="C35" s="64"/>
      <c r="D35" s="64"/>
      <c r="E35" s="54" t="str">
        <f aca="false">IF($B35="","",SQRT($C35^2+$D35^2))</f>
        <v/>
      </c>
      <c r="F35" s="36" t="str">
        <f aca="false">IF($B35="","",IFERROR(DEGREES(ATAN2($C35,$D35)),0))</f>
        <v/>
      </c>
      <c r="G35" s="61" t="str">
        <f aca="false">IF($B35="","",2*PI()*$B35)</f>
        <v/>
      </c>
      <c r="H35" s="54" t="str">
        <f aca="false">IF($B35="","",2*PI()*$B35/$B$5)</f>
        <v/>
      </c>
      <c r="I35" s="54" t="str">
        <f aca="false">IF($B35="","",$C35/$B$6)</f>
        <v/>
      </c>
      <c r="J35" s="54" t="str">
        <f aca="false">IF($B35="","",$D35/$B$6)</f>
        <v/>
      </c>
      <c r="K35" s="65"/>
      <c r="L35" s="2"/>
      <c r="M35" s="2"/>
      <c r="N35" s="2"/>
    </row>
    <row r="36" customFormat="false" ht="15" hidden="false" customHeight="false" outlineLevel="0" collapsed="false">
      <c r="A36" s="47" t="n">
        <v>29</v>
      </c>
      <c r="B36" s="63"/>
      <c r="C36" s="64"/>
      <c r="D36" s="64"/>
      <c r="E36" s="54" t="str">
        <f aca="false">IF($B36="","",SQRT($C36^2+$D36^2))</f>
        <v/>
      </c>
      <c r="F36" s="36" t="str">
        <f aca="false">IF($B36="","",IFERROR(DEGREES(ATAN2($C36,$D36)),0))</f>
        <v/>
      </c>
      <c r="G36" s="61" t="str">
        <f aca="false">IF($B36="","",2*PI()*$B36)</f>
        <v/>
      </c>
      <c r="H36" s="54" t="str">
        <f aca="false">IF($B36="","",2*PI()*$B36/$B$5)</f>
        <v/>
      </c>
      <c r="I36" s="54" t="str">
        <f aca="false">IF($B36="","",$C36/$B$6)</f>
        <v/>
      </c>
      <c r="J36" s="54" t="str">
        <f aca="false">IF($B36="","",$D36/$B$6)</f>
        <v/>
      </c>
      <c r="K36" s="65"/>
      <c r="L36" s="2"/>
      <c r="M36" s="2"/>
      <c r="N36" s="2"/>
    </row>
    <row r="37" customFormat="false" ht="15" hidden="false" customHeight="false" outlineLevel="0" collapsed="false">
      <c r="A37" s="47" t="n">
        <v>30</v>
      </c>
      <c r="B37" s="63"/>
      <c r="C37" s="64"/>
      <c r="D37" s="64"/>
      <c r="E37" s="54" t="str">
        <f aca="false">IF($B37="","",SQRT($C37^2+$D37^2))</f>
        <v/>
      </c>
      <c r="F37" s="36" t="str">
        <f aca="false">IF($B37="","",IFERROR(DEGREES(ATAN2($C37,$D37)),0))</f>
        <v/>
      </c>
      <c r="G37" s="61" t="str">
        <f aca="false">IF($B37="","",2*PI()*$B37)</f>
        <v/>
      </c>
      <c r="H37" s="54" t="str">
        <f aca="false">IF($B37="","",2*PI()*$B37/$B$5)</f>
        <v/>
      </c>
      <c r="I37" s="54" t="str">
        <f aca="false">IF($B37="","",$C37/$B$6)</f>
        <v/>
      </c>
      <c r="J37" s="54" t="str">
        <f aca="false">IF($B37="","",$D37/$B$6)</f>
        <v/>
      </c>
      <c r="K37" s="65"/>
      <c r="L37" s="2"/>
      <c r="M37" s="2"/>
      <c r="N37" s="2"/>
    </row>
    <row r="38" customFormat="false" ht="15" hidden="false" customHeight="false" outlineLevel="0" collapsed="false">
      <c r="A38" s="47" t="n">
        <v>31</v>
      </c>
      <c r="B38" s="63"/>
      <c r="C38" s="64"/>
      <c r="D38" s="64"/>
      <c r="E38" s="54" t="str">
        <f aca="false">IF($B38="","",SQRT($C38^2+$D38^2))</f>
        <v/>
      </c>
      <c r="F38" s="36" t="str">
        <f aca="false">IF($B38="","",IFERROR(DEGREES(ATAN2($C38,$D38)),0))</f>
        <v/>
      </c>
      <c r="G38" s="61" t="str">
        <f aca="false">IF($B38="","",2*PI()*$B38)</f>
        <v/>
      </c>
      <c r="H38" s="54" t="str">
        <f aca="false">IF($B38="","",2*PI()*$B38/$B$5)</f>
        <v/>
      </c>
      <c r="I38" s="54" t="str">
        <f aca="false">IF($B38="","",$C38/$B$6)</f>
        <v/>
      </c>
      <c r="J38" s="54" t="str">
        <f aca="false">IF($B38="","",$D38/$B$6)</f>
        <v/>
      </c>
      <c r="K38" s="65"/>
      <c r="L38" s="2"/>
      <c r="M38" s="2"/>
      <c r="N38" s="2"/>
    </row>
    <row r="39" customFormat="false" ht="15" hidden="false" customHeight="false" outlineLevel="0" collapsed="false">
      <c r="A39" s="47" t="n">
        <v>32</v>
      </c>
      <c r="B39" s="63"/>
      <c r="C39" s="64"/>
      <c r="D39" s="64"/>
      <c r="E39" s="54" t="str">
        <f aca="false">IF($B39="","",SQRT($C39^2+$D39^2))</f>
        <v/>
      </c>
      <c r="F39" s="36" t="str">
        <f aca="false">IF($B39="","",IFERROR(DEGREES(ATAN2($C39,$D39)),0))</f>
        <v/>
      </c>
      <c r="G39" s="61" t="str">
        <f aca="false">IF($B39="","",2*PI()*$B39)</f>
        <v/>
      </c>
      <c r="H39" s="54" t="str">
        <f aca="false">IF($B39="","",2*PI()*$B39/$B$5)</f>
        <v/>
      </c>
      <c r="I39" s="54" t="str">
        <f aca="false">IF($B39="","",$C39/$B$6)</f>
        <v/>
      </c>
      <c r="J39" s="54" t="str">
        <f aca="false">IF($B39="","",$D39/$B$6)</f>
        <v/>
      </c>
      <c r="K39" s="65"/>
      <c r="L39" s="2"/>
      <c r="M39" s="2"/>
      <c r="N39" s="2"/>
    </row>
    <row r="40" customFormat="false" ht="15" hidden="false" customHeight="false" outlineLevel="0" collapsed="false">
      <c r="A40" s="47" t="n">
        <v>33</v>
      </c>
      <c r="B40" s="63"/>
      <c r="C40" s="64"/>
      <c r="D40" s="64"/>
      <c r="E40" s="54" t="str">
        <f aca="false">IF($B40="","",SQRT($C40^2+$D40^2))</f>
        <v/>
      </c>
      <c r="F40" s="36" t="str">
        <f aca="false">IF($B40="","",IFERROR(DEGREES(ATAN2($C40,$D40)),0))</f>
        <v/>
      </c>
      <c r="G40" s="61" t="str">
        <f aca="false">IF($B40="","",2*PI()*$B40)</f>
        <v/>
      </c>
      <c r="H40" s="54" t="str">
        <f aca="false">IF($B40="","",2*PI()*$B40/$B$5)</f>
        <v/>
      </c>
      <c r="I40" s="54" t="str">
        <f aca="false">IF($B40="","",$C40/$B$6)</f>
        <v/>
      </c>
      <c r="J40" s="54" t="str">
        <f aca="false">IF($B40="","",$D40/$B$6)</f>
        <v/>
      </c>
      <c r="K40" s="65"/>
      <c r="L40" s="2"/>
      <c r="M40" s="2"/>
      <c r="N40" s="2"/>
    </row>
    <row r="41" customFormat="false" ht="15" hidden="false" customHeight="false" outlineLevel="0" collapsed="false">
      <c r="A41" s="47" t="n">
        <v>34</v>
      </c>
      <c r="B41" s="63"/>
      <c r="C41" s="64"/>
      <c r="D41" s="64"/>
      <c r="E41" s="54" t="str">
        <f aca="false">IF($B41="","",SQRT($C41^2+$D41^2))</f>
        <v/>
      </c>
      <c r="F41" s="36" t="str">
        <f aca="false">IF($B41="","",IFERROR(DEGREES(ATAN2($C41,$D41)),0))</f>
        <v/>
      </c>
      <c r="G41" s="61" t="str">
        <f aca="false">IF($B41="","",2*PI()*$B41)</f>
        <v/>
      </c>
      <c r="H41" s="54" t="str">
        <f aca="false">IF($B41="","",2*PI()*$B41/$B$5)</f>
        <v/>
      </c>
      <c r="I41" s="54" t="str">
        <f aca="false">IF($B41="","",$C41/$B$6)</f>
        <v/>
      </c>
      <c r="J41" s="54" t="str">
        <f aca="false">IF($B41="","",$D41/$B$6)</f>
        <v/>
      </c>
      <c r="K41" s="65"/>
      <c r="L41" s="2"/>
      <c r="M41" s="2"/>
      <c r="N41" s="2"/>
    </row>
    <row r="42" customFormat="false" ht="15" hidden="false" customHeight="false" outlineLevel="0" collapsed="false">
      <c r="A42" s="47" t="n">
        <v>35</v>
      </c>
      <c r="B42" s="63"/>
      <c r="C42" s="64"/>
      <c r="D42" s="64"/>
      <c r="E42" s="54" t="str">
        <f aca="false">IF($B42="","",SQRT($C42^2+$D42^2))</f>
        <v/>
      </c>
      <c r="F42" s="36" t="str">
        <f aca="false">IF($B42="","",IFERROR(DEGREES(ATAN2($C42,$D42)),0))</f>
        <v/>
      </c>
      <c r="G42" s="61" t="str">
        <f aca="false">IF($B42="","",2*PI()*$B42)</f>
        <v/>
      </c>
      <c r="H42" s="54" t="str">
        <f aca="false">IF($B42="","",2*PI()*$B42/$B$5)</f>
        <v/>
      </c>
      <c r="I42" s="54" t="str">
        <f aca="false">IF($B42="","",$C42/$B$6)</f>
        <v/>
      </c>
      <c r="J42" s="54" t="str">
        <f aca="false">IF($B42="","",$D42/$B$6)</f>
        <v/>
      </c>
      <c r="K42" s="65"/>
      <c r="L42" s="2"/>
      <c r="M42" s="2"/>
      <c r="N42" s="2"/>
    </row>
    <row r="43" customFormat="false" ht="15" hidden="false" customHeight="false" outlineLevel="0" collapsed="false">
      <c r="A43" s="47" t="n">
        <v>36</v>
      </c>
      <c r="B43" s="63"/>
      <c r="C43" s="64"/>
      <c r="D43" s="64"/>
      <c r="E43" s="54" t="str">
        <f aca="false">IF($B43="","",SQRT($C43^2+$D43^2))</f>
        <v/>
      </c>
      <c r="F43" s="36" t="str">
        <f aca="false">IF($B43="","",IFERROR(DEGREES(ATAN2($C43,$D43)),0))</f>
        <v/>
      </c>
      <c r="G43" s="61" t="str">
        <f aca="false">IF($B43="","",2*PI()*$B43)</f>
        <v/>
      </c>
      <c r="H43" s="54" t="str">
        <f aca="false">IF($B43="","",2*PI()*$B43/$B$5)</f>
        <v/>
      </c>
      <c r="I43" s="54" t="str">
        <f aca="false">IF($B43="","",$C43/$B$6)</f>
        <v/>
      </c>
      <c r="J43" s="54" t="str">
        <f aca="false">IF($B43="","",$D43/$B$6)</f>
        <v/>
      </c>
      <c r="K43" s="65"/>
      <c r="L43" s="2"/>
      <c r="M43" s="2"/>
      <c r="N43" s="2"/>
    </row>
    <row r="44" customFormat="false" ht="15" hidden="false" customHeight="false" outlineLevel="0" collapsed="false">
      <c r="A44" s="47" t="n">
        <v>37</v>
      </c>
      <c r="B44" s="63"/>
      <c r="C44" s="64"/>
      <c r="D44" s="64"/>
      <c r="E44" s="54" t="str">
        <f aca="false">IF($B44="","",SQRT($C44^2+$D44^2))</f>
        <v/>
      </c>
      <c r="F44" s="36" t="str">
        <f aca="false">IF($B44="","",IFERROR(DEGREES(ATAN2($C44,$D44)),0))</f>
        <v/>
      </c>
      <c r="G44" s="61" t="str">
        <f aca="false">IF($B44="","",2*PI()*$B44)</f>
        <v/>
      </c>
      <c r="H44" s="54" t="str">
        <f aca="false">IF($B44="","",2*PI()*$B44/$B$5)</f>
        <v/>
      </c>
      <c r="I44" s="54" t="str">
        <f aca="false">IF($B44="","",$C44/$B$6)</f>
        <v/>
      </c>
      <c r="J44" s="54" t="str">
        <f aca="false">IF($B44="","",$D44/$B$6)</f>
        <v/>
      </c>
      <c r="K44" s="65"/>
      <c r="L44" s="2"/>
      <c r="M44" s="2"/>
      <c r="N44" s="2"/>
    </row>
    <row r="45" customFormat="false" ht="15" hidden="false" customHeight="false" outlineLevel="0" collapsed="false">
      <c r="A45" s="47" t="n">
        <v>38</v>
      </c>
      <c r="B45" s="63"/>
      <c r="C45" s="64"/>
      <c r="D45" s="64"/>
      <c r="E45" s="54" t="str">
        <f aca="false">IF($B45="","",SQRT($C45^2+$D45^2))</f>
        <v/>
      </c>
      <c r="F45" s="36" t="str">
        <f aca="false">IF($B45="","",IFERROR(DEGREES(ATAN2($C45,$D45)),0))</f>
        <v/>
      </c>
      <c r="G45" s="61" t="str">
        <f aca="false">IF($B45="","",2*PI()*$B45)</f>
        <v/>
      </c>
      <c r="H45" s="54" t="str">
        <f aca="false">IF($B45="","",2*PI()*$B45/$B$5)</f>
        <v/>
      </c>
      <c r="I45" s="54" t="str">
        <f aca="false">IF($B45="","",$C45/$B$6)</f>
        <v/>
      </c>
      <c r="J45" s="54" t="str">
        <f aca="false">IF($B45="","",$D45/$B$6)</f>
        <v/>
      </c>
      <c r="K45" s="65"/>
      <c r="L45" s="2"/>
      <c r="M45" s="2"/>
      <c r="N45" s="2"/>
    </row>
    <row r="46" customFormat="false" ht="15" hidden="false" customHeight="false" outlineLevel="0" collapsed="false">
      <c r="A46" s="47" t="n">
        <v>39</v>
      </c>
      <c r="B46" s="63"/>
      <c r="C46" s="64"/>
      <c r="D46" s="64"/>
      <c r="E46" s="54" t="str">
        <f aca="false">IF($B46="","",SQRT($C46^2+$D46^2))</f>
        <v/>
      </c>
      <c r="F46" s="36" t="str">
        <f aca="false">IF($B46="","",IFERROR(DEGREES(ATAN2($C46,$D46)),0))</f>
        <v/>
      </c>
      <c r="G46" s="61" t="str">
        <f aca="false">IF($B46="","",2*PI()*$B46)</f>
        <v/>
      </c>
      <c r="H46" s="54" t="str">
        <f aca="false">IF($B46="","",2*PI()*$B46/$B$5)</f>
        <v/>
      </c>
      <c r="I46" s="54" t="str">
        <f aca="false">IF($B46="","",$C46/$B$6)</f>
        <v/>
      </c>
      <c r="J46" s="54" t="str">
        <f aca="false">IF($B46="","",$D46/$B$6)</f>
        <v/>
      </c>
      <c r="K46" s="65"/>
      <c r="L46" s="2"/>
      <c r="M46" s="2"/>
      <c r="N46" s="2"/>
    </row>
    <row r="47" customFormat="false" ht="15" hidden="false" customHeight="false" outlineLevel="0" collapsed="false">
      <c r="A47" s="47" t="n">
        <v>40</v>
      </c>
      <c r="B47" s="63"/>
      <c r="C47" s="64"/>
      <c r="D47" s="64"/>
      <c r="E47" s="54" t="str">
        <f aca="false">IF($B47="","",SQRT($C47^2+$D47^2))</f>
        <v/>
      </c>
      <c r="F47" s="36" t="str">
        <f aca="false">IF($B47="","",IFERROR(DEGREES(ATAN2($C47,$D47)),0))</f>
        <v/>
      </c>
      <c r="G47" s="61" t="str">
        <f aca="false">IF($B47="","",2*PI()*$B47)</f>
        <v/>
      </c>
      <c r="H47" s="54" t="str">
        <f aca="false">IF($B47="","",2*PI()*$B47/$B$5)</f>
        <v/>
      </c>
      <c r="I47" s="54" t="str">
        <f aca="false">IF($B47="","",$C47/$B$6)</f>
        <v/>
      </c>
      <c r="J47" s="54" t="str">
        <f aca="false">IF($B47="","",$D47/$B$6)</f>
        <v/>
      </c>
      <c r="K47" s="65"/>
      <c r="L47" s="2"/>
      <c r="M47" s="2"/>
      <c r="N47" s="2"/>
    </row>
    <row r="48" customFormat="false" ht="15" hidden="false" customHeight="false" outlineLevel="0" collapsed="false">
      <c r="A48" s="47" t="n">
        <v>41</v>
      </c>
      <c r="B48" s="63"/>
      <c r="C48" s="64"/>
      <c r="D48" s="64"/>
      <c r="E48" s="54" t="str">
        <f aca="false">IF($B48="","",SQRT($C48^2+$D48^2))</f>
        <v/>
      </c>
      <c r="F48" s="36" t="str">
        <f aca="false">IF($B48="","",IFERROR(DEGREES(ATAN2($C48,$D48)),0))</f>
        <v/>
      </c>
      <c r="G48" s="61" t="str">
        <f aca="false">IF($B48="","",2*PI()*$B48)</f>
        <v/>
      </c>
      <c r="H48" s="54" t="str">
        <f aca="false">IF($B48="","",2*PI()*$B48/$B$5)</f>
        <v/>
      </c>
      <c r="I48" s="54" t="str">
        <f aca="false">IF($B48="","",$C48/$B$6)</f>
        <v/>
      </c>
      <c r="J48" s="54" t="str">
        <f aca="false">IF($B48="","",$D48/$B$6)</f>
        <v/>
      </c>
      <c r="K48" s="65"/>
      <c r="L48" s="2"/>
      <c r="M48" s="2"/>
      <c r="N48" s="2"/>
    </row>
    <row r="49" customFormat="false" ht="15" hidden="false" customHeight="false" outlineLevel="0" collapsed="false">
      <c r="A49" s="47" t="n">
        <v>42</v>
      </c>
      <c r="B49" s="63"/>
      <c r="C49" s="64"/>
      <c r="D49" s="64"/>
      <c r="E49" s="54" t="str">
        <f aca="false">IF($B49="","",SQRT($C49^2+$D49^2))</f>
        <v/>
      </c>
      <c r="F49" s="36" t="str">
        <f aca="false">IF($B49="","",IFERROR(DEGREES(ATAN2($C49,$D49)),0))</f>
        <v/>
      </c>
      <c r="G49" s="61" t="str">
        <f aca="false">IF($B49="","",2*PI()*$B49)</f>
        <v/>
      </c>
      <c r="H49" s="54" t="str">
        <f aca="false">IF($B49="","",2*PI()*$B49/$B$5)</f>
        <v/>
      </c>
      <c r="I49" s="54" t="str">
        <f aca="false">IF($B49="","",$C49/$B$6)</f>
        <v/>
      </c>
      <c r="J49" s="54" t="str">
        <f aca="false">IF($B49="","",$D49/$B$6)</f>
        <v/>
      </c>
      <c r="K49" s="65"/>
      <c r="L49" s="2"/>
      <c r="M49" s="2"/>
      <c r="N49" s="2"/>
    </row>
    <row r="50" customFormat="false" ht="15" hidden="false" customHeight="false" outlineLevel="0" collapsed="false">
      <c r="A50" s="47" t="n">
        <v>43</v>
      </c>
      <c r="B50" s="63"/>
      <c r="C50" s="64"/>
      <c r="D50" s="64"/>
      <c r="E50" s="54" t="str">
        <f aca="false">IF($B50="","",SQRT($C50^2+$D50^2))</f>
        <v/>
      </c>
      <c r="F50" s="36" t="str">
        <f aca="false">IF($B50="","",IFERROR(DEGREES(ATAN2($C50,$D50)),0))</f>
        <v/>
      </c>
      <c r="G50" s="61" t="str">
        <f aca="false">IF($B50="","",2*PI()*$B50)</f>
        <v/>
      </c>
      <c r="H50" s="54" t="str">
        <f aca="false">IF($B50="","",2*PI()*$B50/$B$5)</f>
        <v/>
      </c>
      <c r="I50" s="54" t="str">
        <f aca="false">IF($B50="","",$C50/$B$6)</f>
        <v/>
      </c>
      <c r="J50" s="54" t="str">
        <f aca="false">IF($B50="","",$D50/$B$6)</f>
        <v/>
      </c>
      <c r="K50" s="65"/>
      <c r="L50" s="2"/>
      <c r="M50" s="2"/>
      <c r="N50" s="2"/>
    </row>
    <row r="51" customFormat="false" ht="15" hidden="false" customHeight="false" outlineLevel="0" collapsed="false">
      <c r="A51" s="47" t="n">
        <v>44</v>
      </c>
      <c r="B51" s="63"/>
      <c r="C51" s="64"/>
      <c r="D51" s="64"/>
      <c r="E51" s="54" t="str">
        <f aca="false">IF($B51="","",SQRT($C51^2+$D51^2))</f>
        <v/>
      </c>
      <c r="F51" s="36" t="str">
        <f aca="false">IF($B51="","",IFERROR(DEGREES(ATAN2($C51,$D51)),0))</f>
        <v/>
      </c>
      <c r="G51" s="61" t="str">
        <f aca="false">IF($B51="","",2*PI()*$B51)</f>
        <v/>
      </c>
      <c r="H51" s="54" t="str">
        <f aca="false">IF($B51="","",2*PI()*$B51/$B$5)</f>
        <v/>
      </c>
      <c r="I51" s="54" t="str">
        <f aca="false">IF($B51="","",$C51/$B$6)</f>
        <v/>
      </c>
      <c r="J51" s="54" t="str">
        <f aca="false">IF($B51="","",$D51/$B$6)</f>
        <v/>
      </c>
      <c r="K51" s="65"/>
      <c r="L51" s="2"/>
      <c r="M51" s="2"/>
      <c r="N51" s="2"/>
    </row>
    <row r="52" customFormat="false" ht="15" hidden="false" customHeight="false" outlineLevel="0" collapsed="false">
      <c r="A52" s="47" t="n">
        <v>45</v>
      </c>
      <c r="B52" s="63"/>
      <c r="C52" s="64"/>
      <c r="D52" s="64"/>
      <c r="E52" s="54" t="str">
        <f aca="false">IF($B52="","",SQRT($C52^2+$D52^2))</f>
        <v/>
      </c>
      <c r="F52" s="36" t="str">
        <f aca="false">IF($B52="","",IFERROR(DEGREES(ATAN2($C52,$D52)),0))</f>
        <v/>
      </c>
      <c r="G52" s="61" t="str">
        <f aca="false">IF($B52="","",2*PI()*$B52)</f>
        <v/>
      </c>
      <c r="H52" s="54" t="str">
        <f aca="false">IF($B52="","",2*PI()*$B52/$B$5)</f>
        <v/>
      </c>
      <c r="I52" s="54" t="str">
        <f aca="false">IF($B52="","",$C52/$B$6)</f>
        <v/>
      </c>
      <c r="J52" s="54" t="str">
        <f aca="false">IF($B52="","",$D52/$B$6)</f>
        <v/>
      </c>
      <c r="K52" s="65"/>
      <c r="L52" s="2"/>
      <c r="M52" s="2"/>
      <c r="N52" s="2"/>
    </row>
    <row r="53" customFormat="false" ht="15" hidden="false" customHeight="false" outlineLevel="0" collapsed="false">
      <c r="A53" s="47" t="n">
        <v>46</v>
      </c>
      <c r="B53" s="63"/>
      <c r="C53" s="64"/>
      <c r="D53" s="64"/>
      <c r="E53" s="54" t="str">
        <f aca="false">IF($B53="","",SQRT($C53^2+$D53^2))</f>
        <v/>
      </c>
      <c r="F53" s="36" t="str">
        <f aca="false">IF($B53="","",IFERROR(DEGREES(ATAN2($C53,$D53)),0))</f>
        <v/>
      </c>
      <c r="G53" s="61" t="str">
        <f aca="false">IF($B53="","",2*PI()*$B53)</f>
        <v/>
      </c>
      <c r="H53" s="54" t="str">
        <f aca="false">IF($B53="","",2*PI()*$B53/$B$5)</f>
        <v/>
      </c>
      <c r="I53" s="54" t="str">
        <f aca="false">IF($B53="","",$C53/$B$6)</f>
        <v/>
      </c>
      <c r="J53" s="54" t="str">
        <f aca="false">IF($B53="","",$D53/$B$6)</f>
        <v/>
      </c>
      <c r="K53" s="65"/>
      <c r="L53" s="2"/>
      <c r="M53" s="2"/>
      <c r="N53" s="2"/>
    </row>
    <row r="54" customFormat="false" ht="15" hidden="false" customHeight="false" outlineLevel="0" collapsed="false">
      <c r="A54" s="47" t="n">
        <v>47</v>
      </c>
      <c r="B54" s="63"/>
      <c r="C54" s="64"/>
      <c r="D54" s="64"/>
      <c r="E54" s="54" t="str">
        <f aca="false">IF($B54="","",SQRT($C54^2+$D54^2))</f>
        <v/>
      </c>
      <c r="F54" s="36" t="str">
        <f aca="false">IF($B54="","",IFERROR(DEGREES(ATAN2($C54,$D54)),0))</f>
        <v/>
      </c>
      <c r="G54" s="61" t="str">
        <f aca="false">IF($B54="","",2*PI()*$B54)</f>
        <v/>
      </c>
      <c r="H54" s="54" t="str">
        <f aca="false">IF($B54="","",2*PI()*$B54/$B$5)</f>
        <v/>
      </c>
      <c r="I54" s="54" t="str">
        <f aca="false">IF($B54="","",$C54/$B$6)</f>
        <v/>
      </c>
      <c r="J54" s="54" t="str">
        <f aca="false">IF($B54="","",$D54/$B$6)</f>
        <v/>
      </c>
      <c r="K54" s="65"/>
      <c r="L54" s="2"/>
      <c r="M54" s="2"/>
      <c r="N54" s="2"/>
    </row>
    <row r="55" customFormat="false" ht="15" hidden="false" customHeight="false" outlineLevel="0" collapsed="false">
      <c r="A55" s="47" t="n">
        <v>48</v>
      </c>
      <c r="B55" s="63"/>
      <c r="C55" s="64"/>
      <c r="D55" s="64"/>
      <c r="E55" s="54" t="str">
        <f aca="false">IF($B55="","",SQRT($C55^2+$D55^2))</f>
        <v/>
      </c>
      <c r="F55" s="36" t="str">
        <f aca="false">IF($B55="","",IFERROR(DEGREES(ATAN2($C55,$D55)),0))</f>
        <v/>
      </c>
      <c r="G55" s="61" t="str">
        <f aca="false">IF($B55="","",2*PI()*$B55)</f>
        <v/>
      </c>
      <c r="H55" s="54" t="str">
        <f aca="false">IF($B55="","",2*PI()*$B55/$B$5)</f>
        <v/>
      </c>
      <c r="I55" s="54" t="str">
        <f aca="false">IF($B55="","",$C55/$B$6)</f>
        <v/>
      </c>
      <c r="J55" s="54" t="str">
        <f aca="false">IF($B55="","",$D55/$B$6)</f>
        <v/>
      </c>
      <c r="K55" s="65"/>
      <c r="L55" s="2"/>
      <c r="M55" s="2"/>
      <c r="N55" s="2"/>
    </row>
    <row r="56" customFormat="false" ht="15" hidden="false" customHeight="false" outlineLevel="0" collapsed="false">
      <c r="A56" s="47" t="n">
        <v>49</v>
      </c>
      <c r="B56" s="63"/>
      <c r="C56" s="64"/>
      <c r="D56" s="64"/>
      <c r="E56" s="54" t="str">
        <f aca="false">IF($B56="","",SQRT($C56^2+$D56^2))</f>
        <v/>
      </c>
      <c r="F56" s="36" t="str">
        <f aca="false">IF($B56="","",IFERROR(DEGREES(ATAN2($C56,$D56)),0))</f>
        <v/>
      </c>
      <c r="G56" s="61" t="str">
        <f aca="false">IF($B56="","",2*PI()*$B56)</f>
        <v/>
      </c>
      <c r="H56" s="54" t="str">
        <f aca="false">IF($B56="","",2*PI()*$B56/$B$5)</f>
        <v/>
      </c>
      <c r="I56" s="54" t="str">
        <f aca="false">IF($B56="","",$C56/$B$6)</f>
        <v/>
      </c>
      <c r="J56" s="54" t="str">
        <f aca="false">IF($B56="","",$D56/$B$6)</f>
        <v/>
      </c>
      <c r="K56" s="65"/>
      <c r="L56" s="2"/>
      <c r="M56" s="2"/>
      <c r="N56" s="2"/>
    </row>
    <row r="57" customFormat="false" ht="15" hidden="false" customHeight="false" outlineLevel="0" collapsed="false">
      <c r="A57" s="47" t="n">
        <v>50</v>
      </c>
      <c r="B57" s="63"/>
      <c r="C57" s="64"/>
      <c r="D57" s="64"/>
      <c r="E57" s="54" t="str">
        <f aca="false">IF($B57="","",SQRT($C57^2+$D57^2))</f>
        <v/>
      </c>
      <c r="F57" s="36" t="str">
        <f aca="false">IF($B57="","",IFERROR(DEGREES(ATAN2($C57,$D57)),0))</f>
        <v/>
      </c>
      <c r="G57" s="61" t="str">
        <f aca="false">IF($B57="","",2*PI()*$B57)</f>
        <v/>
      </c>
      <c r="H57" s="54" t="str">
        <f aca="false">IF($B57="","",2*PI()*$B57/$B$5)</f>
        <v/>
      </c>
      <c r="I57" s="54" t="str">
        <f aca="false">IF($B57="","",$C57/$B$6)</f>
        <v/>
      </c>
      <c r="J57" s="54" t="str">
        <f aca="false">IF($B57="","",$D57/$B$6)</f>
        <v/>
      </c>
      <c r="K57" s="65"/>
      <c r="L57" s="2"/>
      <c r="M57" s="2"/>
      <c r="N57" s="2"/>
    </row>
    <row r="58" customFormat="false" ht="15" hidden="false" customHeight="false" outlineLevel="0" collapsed="false">
      <c r="A58" s="47" t="n">
        <v>51</v>
      </c>
      <c r="B58" s="63"/>
      <c r="C58" s="64"/>
      <c r="D58" s="64"/>
      <c r="E58" s="54" t="str">
        <f aca="false">IF($B58="","",SQRT($C58^2+$D58^2))</f>
        <v/>
      </c>
      <c r="F58" s="36" t="str">
        <f aca="false">IF($B58="","",IFERROR(DEGREES(ATAN2($C58,$D58)),0))</f>
        <v/>
      </c>
      <c r="G58" s="61" t="str">
        <f aca="false">IF($B58="","",2*PI()*$B58)</f>
        <v/>
      </c>
      <c r="H58" s="54" t="str">
        <f aca="false">IF($B58="","",2*PI()*$B58/$B$5)</f>
        <v/>
      </c>
      <c r="I58" s="54" t="str">
        <f aca="false">IF($B58="","",$C58/$B$6)</f>
        <v/>
      </c>
      <c r="J58" s="54" t="str">
        <f aca="false">IF($B58="","",$D58/$B$6)</f>
        <v/>
      </c>
      <c r="K58" s="65"/>
      <c r="L58" s="2"/>
      <c r="M58" s="2"/>
      <c r="N58" s="2"/>
    </row>
    <row r="59" customFormat="false" ht="15" hidden="false" customHeight="false" outlineLevel="0" collapsed="false">
      <c r="A59" s="47" t="n">
        <v>52</v>
      </c>
      <c r="B59" s="63"/>
      <c r="C59" s="64"/>
      <c r="D59" s="64"/>
      <c r="E59" s="54" t="str">
        <f aca="false">IF($B59="","",SQRT($C59^2+$D59^2))</f>
        <v/>
      </c>
      <c r="F59" s="36" t="str">
        <f aca="false">IF($B59="","",IFERROR(DEGREES(ATAN2($C59,$D59)),0))</f>
        <v/>
      </c>
      <c r="G59" s="61" t="str">
        <f aca="false">IF($B59="","",2*PI()*$B59)</f>
        <v/>
      </c>
      <c r="H59" s="54" t="str">
        <f aca="false">IF($B59="","",2*PI()*$B59/$B$5)</f>
        <v/>
      </c>
      <c r="I59" s="54" t="str">
        <f aca="false">IF($B59="","",$C59/$B$6)</f>
        <v/>
      </c>
      <c r="J59" s="54" t="str">
        <f aca="false">IF($B59="","",$D59/$B$6)</f>
        <v/>
      </c>
      <c r="K59" s="65"/>
      <c r="L59" s="2"/>
      <c r="M59" s="2"/>
      <c r="N59" s="2"/>
    </row>
    <row r="60" customFormat="false" ht="15" hidden="false" customHeight="false" outlineLevel="0" collapsed="false">
      <c r="A60" s="47" t="n">
        <v>53</v>
      </c>
      <c r="B60" s="63"/>
      <c r="C60" s="64"/>
      <c r="D60" s="64"/>
      <c r="E60" s="54" t="str">
        <f aca="false">IF($B60="","",SQRT($C60^2+$D60^2))</f>
        <v/>
      </c>
      <c r="F60" s="36" t="str">
        <f aca="false">IF($B60="","",IFERROR(DEGREES(ATAN2($C60,$D60)),0))</f>
        <v/>
      </c>
      <c r="G60" s="61" t="str">
        <f aca="false">IF($B60="","",2*PI()*$B60)</f>
        <v/>
      </c>
      <c r="H60" s="54" t="str">
        <f aca="false">IF($B60="","",2*PI()*$B60/$B$5)</f>
        <v/>
      </c>
      <c r="I60" s="54" t="str">
        <f aca="false">IF($B60="","",$C60/$B$6)</f>
        <v/>
      </c>
      <c r="J60" s="54" t="str">
        <f aca="false">IF($B60="","",$D60/$B$6)</f>
        <v/>
      </c>
      <c r="K60" s="65"/>
      <c r="L60" s="2"/>
      <c r="M60" s="2"/>
      <c r="N60" s="2"/>
    </row>
    <row r="61" customFormat="false" ht="15" hidden="false" customHeight="false" outlineLevel="0" collapsed="false">
      <c r="A61" s="47" t="n">
        <v>54</v>
      </c>
      <c r="B61" s="63"/>
      <c r="C61" s="64"/>
      <c r="D61" s="64"/>
      <c r="E61" s="54" t="str">
        <f aca="false">IF($B61="","",SQRT($C61^2+$D61^2))</f>
        <v/>
      </c>
      <c r="F61" s="36" t="str">
        <f aca="false">IF($B61="","",IFERROR(DEGREES(ATAN2($C61,$D61)),0))</f>
        <v/>
      </c>
      <c r="G61" s="61" t="str">
        <f aca="false">IF($B61="","",2*PI()*$B61)</f>
        <v/>
      </c>
      <c r="H61" s="54" t="str">
        <f aca="false">IF($B61="","",2*PI()*$B61/$B$5)</f>
        <v/>
      </c>
      <c r="I61" s="54" t="str">
        <f aca="false">IF($B61="","",$C61/$B$6)</f>
        <v/>
      </c>
      <c r="J61" s="54" t="str">
        <f aca="false">IF($B61="","",$D61/$B$6)</f>
        <v/>
      </c>
      <c r="K61" s="65"/>
      <c r="L61" s="2"/>
      <c r="M61" s="2"/>
      <c r="N61" s="2"/>
    </row>
    <row r="62" customFormat="false" ht="15" hidden="false" customHeight="false" outlineLevel="0" collapsed="false">
      <c r="A62" s="47" t="n">
        <v>55</v>
      </c>
      <c r="B62" s="63"/>
      <c r="C62" s="64"/>
      <c r="D62" s="64"/>
      <c r="E62" s="54" t="str">
        <f aca="false">IF($B62="","",SQRT($C62^2+$D62^2))</f>
        <v/>
      </c>
      <c r="F62" s="36" t="str">
        <f aca="false">IF($B62="","",IFERROR(DEGREES(ATAN2($C62,$D62)),0))</f>
        <v/>
      </c>
      <c r="G62" s="61" t="str">
        <f aca="false">IF($B62="","",2*PI()*$B62)</f>
        <v/>
      </c>
      <c r="H62" s="54" t="str">
        <f aca="false">IF($B62="","",2*PI()*$B62/$B$5)</f>
        <v/>
      </c>
      <c r="I62" s="54" t="str">
        <f aca="false">IF($B62="","",$C62/$B$6)</f>
        <v/>
      </c>
      <c r="J62" s="54" t="str">
        <f aca="false">IF($B62="","",$D62/$B$6)</f>
        <v/>
      </c>
      <c r="K62" s="65"/>
      <c r="L62" s="2"/>
      <c r="M62" s="2"/>
      <c r="N62" s="2"/>
    </row>
    <row r="63" customFormat="false" ht="15" hidden="false" customHeight="false" outlineLevel="0" collapsed="false">
      <c r="A63" s="47" t="n">
        <v>56</v>
      </c>
      <c r="B63" s="63"/>
      <c r="C63" s="64"/>
      <c r="D63" s="64"/>
      <c r="E63" s="54" t="str">
        <f aca="false">IF($B63="","",SQRT($C63^2+$D63^2))</f>
        <v/>
      </c>
      <c r="F63" s="36" t="str">
        <f aca="false">IF($B63="","",IFERROR(DEGREES(ATAN2($C63,$D63)),0))</f>
        <v/>
      </c>
      <c r="G63" s="61" t="str">
        <f aca="false">IF($B63="","",2*PI()*$B63)</f>
        <v/>
      </c>
      <c r="H63" s="54" t="str">
        <f aca="false">IF($B63="","",2*PI()*$B63/$B$5)</f>
        <v/>
      </c>
      <c r="I63" s="54" t="str">
        <f aca="false">IF($B63="","",$C63/$B$6)</f>
        <v/>
      </c>
      <c r="J63" s="54" t="str">
        <f aca="false">IF($B63="","",$D63/$B$6)</f>
        <v/>
      </c>
      <c r="K63" s="65"/>
      <c r="L63" s="2"/>
      <c r="M63" s="2"/>
      <c r="N63" s="2"/>
    </row>
    <row r="64" customFormat="false" ht="15" hidden="false" customHeight="false" outlineLevel="0" collapsed="false">
      <c r="A64" s="47" t="n">
        <v>57</v>
      </c>
      <c r="B64" s="63"/>
      <c r="C64" s="64"/>
      <c r="D64" s="64"/>
      <c r="E64" s="54" t="str">
        <f aca="false">IF($B64="","",SQRT($C64^2+$D64^2))</f>
        <v/>
      </c>
      <c r="F64" s="36" t="str">
        <f aca="false">IF($B64="","",IFERROR(DEGREES(ATAN2($C64,$D64)),0))</f>
        <v/>
      </c>
      <c r="G64" s="61" t="str">
        <f aca="false">IF($B64="","",2*PI()*$B64)</f>
        <v/>
      </c>
      <c r="H64" s="54" t="str">
        <f aca="false">IF($B64="","",2*PI()*$B64/$B$5)</f>
        <v/>
      </c>
      <c r="I64" s="54" t="str">
        <f aca="false">IF($B64="","",$C64/$B$6)</f>
        <v/>
      </c>
      <c r="J64" s="54" t="str">
        <f aca="false">IF($B64="","",$D64/$B$6)</f>
        <v/>
      </c>
      <c r="K64" s="65"/>
      <c r="L64" s="2"/>
      <c r="M64" s="2"/>
      <c r="N64" s="2"/>
    </row>
    <row r="65" customFormat="false" ht="15" hidden="false" customHeight="false" outlineLevel="0" collapsed="false">
      <c r="A65" s="47" t="n">
        <v>58</v>
      </c>
      <c r="B65" s="63"/>
      <c r="C65" s="64"/>
      <c r="D65" s="64"/>
      <c r="E65" s="54" t="str">
        <f aca="false">IF($B65="","",SQRT($C65^2+$D65^2))</f>
        <v/>
      </c>
      <c r="F65" s="36" t="str">
        <f aca="false">IF($B65="","",IFERROR(DEGREES(ATAN2($C65,$D65)),0))</f>
        <v/>
      </c>
      <c r="G65" s="61" t="str">
        <f aca="false">IF($B65="","",2*PI()*$B65)</f>
        <v/>
      </c>
      <c r="H65" s="54" t="str">
        <f aca="false">IF($B65="","",2*PI()*$B65/$B$5)</f>
        <v/>
      </c>
      <c r="I65" s="54" t="str">
        <f aca="false">IF($B65="","",$C65/$B$6)</f>
        <v/>
      </c>
      <c r="J65" s="54" t="str">
        <f aca="false">IF($B65="","",$D65/$B$6)</f>
        <v/>
      </c>
      <c r="K65" s="65"/>
      <c r="L65" s="2"/>
      <c r="M65" s="2"/>
      <c r="N65" s="2"/>
    </row>
    <row r="66" customFormat="false" ht="15" hidden="false" customHeight="false" outlineLevel="0" collapsed="false">
      <c r="A66" s="47" t="n">
        <v>59</v>
      </c>
      <c r="B66" s="63"/>
      <c r="C66" s="64"/>
      <c r="D66" s="64"/>
      <c r="E66" s="54" t="str">
        <f aca="false">IF($B66="","",SQRT($C66^2+$D66^2))</f>
        <v/>
      </c>
      <c r="F66" s="36" t="str">
        <f aca="false">IF($B66="","",IFERROR(DEGREES(ATAN2($C66,$D66)),0))</f>
        <v/>
      </c>
      <c r="G66" s="61" t="str">
        <f aca="false">IF($B66="","",2*PI()*$B66)</f>
        <v/>
      </c>
      <c r="H66" s="54" t="str">
        <f aca="false">IF($B66="","",2*PI()*$B66/$B$5)</f>
        <v/>
      </c>
      <c r="I66" s="54" t="str">
        <f aca="false">IF($B66="","",$C66/$B$6)</f>
        <v/>
      </c>
      <c r="J66" s="54" t="str">
        <f aca="false">IF($B66="","",$D66/$B$6)</f>
        <v/>
      </c>
      <c r="K66" s="65"/>
      <c r="L66" s="2"/>
      <c r="M66" s="2"/>
      <c r="N66" s="2"/>
    </row>
    <row r="67" customFormat="false" ht="15" hidden="false" customHeight="false" outlineLevel="0" collapsed="false">
      <c r="A67" s="47" t="n">
        <v>60</v>
      </c>
      <c r="B67" s="63"/>
      <c r="C67" s="64"/>
      <c r="D67" s="64"/>
      <c r="E67" s="54" t="str">
        <f aca="false">IF($B67="","",SQRT($C67^2+$D67^2))</f>
        <v/>
      </c>
      <c r="F67" s="36" t="str">
        <f aca="false">IF($B67="","",IFERROR(DEGREES(ATAN2($C67,$D67)),0))</f>
        <v/>
      </c>
      <c r="G67" s="61" t="str">
        <f aca="false">IF($B67="","",2*PI()*$B67)</f>
        <v/>
      </c>
      <c r="H67" s="54" t="str">
        <f aca="false">IF($B67="","",2*PI()*$B67/$B$5)</f>
        <v/>
      </c>
      <c r="I67" s="54" t="str">
        <f aca="false">IF($B67="","",$C67/$B$6)</f>
        <v/>
      </c>
      <c r="J67" s="54" t="str">
        <f aca="false">IF($B67="","",$D67/$B$6)</f>
        <v/>
      </c>
      <c r="K67" s="65"/>
      <c r="L67" s="2"/>
      <c r="M67" s="2"/>
      <c r="N67" s="2"/>
    </row>
    <row r="68" customFormat="false" ht="15" hidden="false" customHeight="false" outlineLevel="0" collapsed="false">
      <c r="A68" s="47" t="n">
        <v>61</v>
      </c>
      <c r="B68" s="63"/>
      <c r="C68" s="64"/>
      <c r="D68" s="64"/>
      <c r="E68" s="54" t="str">
        <f aca="false">IF($B68="","",SQRT($C68^2+$D68^2))</f>
        <v/>
      </c>
      <c r="F68" s="36" t="str">
        <f aca="false">IF($B68="","",IFERROR(DEGREES(ATAN2($C68,$D68)),0))</f>
        <v/>
      </c>
      <c r="G68" s="61" t="str">
        <f aca="false">IF($B68="","",2*PI()*$B68)</f>
        <v/>
      </c>
      <c r="H68" s="54" t="str">
        <f aca="false">IF($B68="","",2*PI()*$B68/$B$5)</f>
        <v/>
      </c>
      <c r="I68" s="54" t="str">
        <f aca="false">IF($B68="","",$C68/$B$6)</f>
        <v/>
      </c>
      <c r="J68" s="54" t="str">
        <f aca="false">IF($B68="","",$D68/$B$6)</f>
        <v/>
      </c>
      <c r="K68" s="65"/>
      <c r="L68" s="2"/>
      <c r="M68" s="2"/>
      <c r="N68" s="2"/>
    </row>
    <row r="69" customFormat="false" ht="15" hidden="false" customHeight="false" outlineLevel="0" collapsed="false">
      <c r="A69" s="47" t="n">
        <v>62</v>
      </c>
      <c r="B69" s="63"/>
      <c r="C69" s="64"/>
      <c r="D69" s="64"/>
      <c r="E69" s="54" t="str">
        <f aca="false">IF($B69="","",SQRT($C69^2+$D69^2))</f>
        <v/>
      </c>
      <c r="F69" s="36" t="str">
        <f aca="false">IF($B69="","",IFERROR(DEGREES(ATAN2($C69,$D69)),0))</f>
        <v/>
      </c>
      <c r="G69" s="61" t="str">
        <f aca="false">IF($B69="","",2*PI()*$B69)</f>
        <v/>
      </c>
      <c r="H69" s="54" t="str">
        <f aca="false">IF($B69="","",2*PI()*$B69/$B$5)</f>
        <v/>
      </c>
      <c r="I69" s="54" t="str">
        <f aca="false">IF($B69="","",$C69/$B$6)</f>
        <v/>
      </c>
      <c r="J69" s="54" t="str">
        <f aca="false">IF($B69="","",$D69/$B$6)</f>
        <v/>
      </c>
      <c r="K69" s="65"/>
      <c r="L69" s="2"/>
      <c r="M69" s="2"/>
      <c r="N69" s="2"/>
    </row>
    <row r="70" customFormat="false" ht="15" hidden="false" customHeight="false" outlineLevel="0" collapsed="false">
      <c r="A70" s="47" t="n">
        <v>63</v>
      </c>
      <c r="B70" s="63"/>
      <c r="C70" s="64"/>
      <c r="D70" s="64"/>
      <c r="E70" s="54" t="str">
        <f aca="false">IF($B70="","",SQRT($C70^2+$D70^2))</f>
        <v/>
      </c>
      <c r="F70" s="36" t="str">
        <f aca="false">IF($B70="","",IFERROR(DEGREES(ATAN2($C70,$D70)),0))</f>
        <v/>
      </c>
      <c r="G70" s="61" t="str">
        <f aca="false">IF($B70="","",2*PI()*$B70)</f>
        <v/>
      </c>
      <c r="H70" s="54" t="str">
        <f aca="false">IF($B70="","",2*PI()*$B70/$B$5)</f>
        <v/>
      </c>
      <c r="I70" s="54" t="str">
        <f aca="false">IF($B70="","",$C70/$B$6)</f>
        <v/>
      </c>
      <c r="J70" s="54" t="str">
        <f aca="false">IF($B70="","",$D70/$B$6)</f>
        <v/>
      </c>
      <c r="K70" s="65"/>
      <c r="L70" s="2"/>
      <c r="M70" s="2"/>
      <c r="N70" s="2"/>
    </row>
    <row r="71" customFormat="false" ht="15" hidden="false" customHeight="false" outlineLevel="0" collapsed="false">
      <c r="A71" s="47" t="n">
        <v>64</v>
      </c>
      <c r="B71" s="63"/>
      <c r="C71" s="64"/>
      <c r="D71" s="64"/>
      <c r="E71" s="54" t="str">
        <f aca="false">IF($B71="","",SQRT($C71^2+$D71^2))</f>
        <v/>
      </c>
      <c r="F71" s="36" t="str">
        <f aca="false">IF($B71="","",IFERROR(DEGREES(ATAN2($C71,$D71)),0))</f>
        <v/>
      </c>
      <c r="G71" s="61" t="str">
        <f aca="false">IF($B71="","",2*PI()*$B71)</f>
        <v/>
      </c>
      <c r="H71" s="54" t="str">
        <f aca="false">IF($B71="","",2*PI()*$B71/$B$5)</f>
        <v/>
      </c>
      <c r="I71" s="54" t="str">
        <f aca="false">IF($B71="","",$C71/$B$6)</f>
        <v/>
      </c>
      <c r="J71" s="54" t="str">
        <f aca="false">IF($B71="","",$D71/$B$6)</f>
        <v/>
      </c>
      <c r="K71" s="65"/>
      <c r="L71" s="2"/>
      <c r="M71" s="2"/>
      <c r="N71" s="2"/>
    </row>
    <row r="72" customFormat="false" ht="15" hidden="false" customHeight="false" outlineLevel="0" collapsed="false">
      <c r="A72" s="47" t="n">
        <v>65</v>
      </c>
      <c r="B72" s="63"/>
      <c r="C72" s="64"/>
      <c r="D72" s="64"/>
      <c r="E72" s="54" t="str">
        <f aca="false">IF($B72="","",SQRT($C72^2+$D72^2))</f>
        <v/>
      </c>
      <c r="F72" s="36" t="str">
        <f aca="false">IF($B72="","",IFERROR(DEGREES(ATAN2($C72,$D72)),0))</f>
        <v/>
      </c>
      <c r="G72" s="61" t="str">
        <f aca="false">IF($B72="","",2*PI()*$B72)</f>
        <v/>
      </c>
      <c r="H72" s="54" t="str">
        <f aca="false">IF($B72="","",2*PI()*$B72/$B$5)</f>
        <v/>
      </c>
      <c r="I72" s="54" t="str">
        <f aca="false">IF($B72="","",$C72/$B$6)</f>
        <v/>
      </c>
      <c r="J72" s="54" t="str">
        <f aca="false">IF($B72="","",$D72/$B$6)</f>
        <v/>
      </c>
      <c r="K72" s="65"/>
      <c r="L72" s="2"/>
      <c r="M72" s="2"/>
      <c r="N72" s="2"/>
    </row>
    <row r="73" customFormat="false" ht="15" hidden="false" customHeight="false" outlineLevel="0" collapsed="false">
      <c r="A73" s="47" t="n">
        <v>66</v>
      </c>
      <c r="B73" s="63"/>
      <c r="C73" s="64"/>
      <c r="D73" s="64"/>
      <c r="E73" s="54" t="str">
        <f aca="false">IF($B73="","",SQRT($C73^2+$D73^2))</f>
        <v/>
      </c>
      <c r="F73" s="36" t="str">
        <f aca="false">IF($B73="","",IFERROR(DEGREES(ATAN2($C73,$D73)),0))</f>
        <v/>
      </c>
      <c r="G73" s="61" t="str">
        <f aca="false">IF($B73="","",2*PI()*$B73)</f>
        <v/>
      </c>
      <c r="H73" s="54" t="str">
        <f aca="false">IF($B73="","",2*PI()*$B73/$B$5)</f>
        <v/>
      </c>
      <c r="I73" s="54" t="str">
        <f aca="false">IF($B73="","",$C73/$B$6)</f>
        <v/>
      </c>
      <c r="J73" s="54" t="str">
        <f aca="false">IF($B73="","",$D73/$B$6)</f>
        <v/>
      </c>
      <c r="K73" s="65"/>
      <c r="L73" s="2"/>
      <c r="M73" s="2"/>
      <c r="N73" s="2"/>
    </row>
    <row r="74" customFormat="false" ht="15" hidden="false" customHeight="false" outlineLevel="0" collapsed="false">
      <c r="A74" s="47" t="n">
        <v>67</v>
      </c>
      <c r="B74" s="63"/>
      <c r="C74" s="64"/>
      <c r="D74" s="64"/>
      <c r="E74" s="54" t="str">
        <f aca="false">IF($B74="","",SQRT($C74^2+$D74^2))</f>
        <v/>
      </c>
      <c r="F74" s="36" t="str">
        <f aca="false">IF($B74="","",IFERROR(DEGREES(ATAN2($C74,$D74)),0))</f>
        <v/>
      </c>
      <c r="G74" s="61" t="str">
        <f aca="false">IF($B74="","",2*PI()*$B74)</f>
        <v/>
      </c>
      <c r="H74" s="54" t="str">
        <f aca="false">IF($B74="","",2*PI()*$B74/$B$5)</f>
        <v/>
      </c>
      <c r="I74" s="54" t="str">
        <f aca="false">IF($B74="","",$C74/$B$6)</f>
        <v/>
      </c>
      <c r="J74" s="54" t="str">
        <f aca="false">IF($B74="","",$D74/$B$6)</f>
        <v/>
      </c>
      <c r="K74" s="65"/>
      <c r="L74" s="2"/>
      <c r="M74" s="2"/>
      <c r="N74" s="2"/>
    </row>
    <row r="75" customFormat="false" ht="15" hidden="false" customHeight="false" outlineLevel="0" collapsed="false">
      <c r="A75" s="47" t="n">
        <v>68</v>
      </c>
      <c r="B75" s="63"/>
      <c r="C75" s="64"/>
      <c r="D75" s="64"/>
      <c r="E75" s="54" t="str">
        <f aca="false">IF($B75="","",SQRT($C75^2+$D75^2))</f>
        <v/>
      </c>
      <c r="F75" s="36" t="str">
        <f aca="false">IF($B75="","",IFERROR(DEGREES(ATAN2($C75,$D75)),0))</f>
        <v/>
      </c>
      <c r="G75" s="61" t="str">
        <f aca="false">IF($B75="","",2*PI()*$B75)</f>
        <v/>
      </c>
      <c r="H75" s="54" t="str">
        <f aca="false">IF($B75="","",2*PI()*$B75/$B$5)</f>
        <v/>
      </c>
      <c r="I75" s="54" t="str">
        <f aca="false">IF($B75="","",$C75/$B$6)</f>
        <v/>
      </c>
      <c r="J75" s="54" t="str">
        <f aca="false">IF($B75="","",$D75/$B$6)</f>
        <v/>
      </c>
      <c r="K75" s="65"/>
      <c r="L75" s="2"/>
      <c r="M75" s="2"/>
      <c r="N75" s="2"/>
    </row>
    <row r="76" customFormat="false" ht="15" hidden="false" customHeight="false" outlineLevel="0" collapsed="false">
      <c r="A76" s="47" t="n">
        <v>69</v>
      </c>
      <c r="B76" s="63"/>
      <c r="C76" s="64"/>
      <c r="D76" s="64"/>
      <c r="E76" s="54" t="str">
        <f aca="false">IF($B76="","",SQRT($C76^2+$D76^2))</f>
        <v/>
      </c>
      <c r="F76" s="36" t="str">
        <f aca="false">IF($B76="","",IFERROR(DEGREES(ATAN2($C76,$D76)),0))</f>
        <v/>
      </c>
      <c r="G76" s="61" t="str">
        <f aca="false">IF($B76="","",2*PI()*$B76)</f>
        <v/>
      </c>
      <c r="H76" s="54" t="str">
        <f aca="false">IF($B76="","",2*PI()*$B76/$B$5)</f>
        <v/>
      </c>
      <c r="I76" s="54" t="str">
        <f aca="false">IF($B76="","",$C76/$B$6)</f>
        <v/>
      </c>
      <c r="J76" s="54" t="str">
        <f aca="false">IF($B76="","",$D76/$B$6)</f>
        <v/>
      </c>
      <c r="K76" s="65"/>
      <c r="L76" s="2"/>
      <c r="M76" s="2"/>
      <c r="N76" s="2"/>
    </row>
    <row r="77" customFormat="false" ht="15" hidden="false" customHeight="false" outlineLevel="0" collapsed="false">
      <c r="A77" s="47" t="n">
        <v>70</v>
      </c>
      <c r="B77" s="63"/>
      <c r="C77" s="64"/>
      <c r="D77" s="64"/>
      <c r="E77" s="54" t="str">
        <f aca="false">IF($B77="","",SQRT($C77^2+$D77^2))</f>
        <v/>
      </c>
      <c r="F77" s="36" t="str">
        <f aca="false">IF($B77="","",IFERROR(DEGREES(ATAN2($C77,$D77)),0))</f>
        <v/>
      </c>
      <c r="G77" s="61" t="str">
        <f aca="false">IF($B77="","",2*PI()*$B77)</f>
        <v/>
      </c>
      <c r="H77" s="54" t="str">
        <f aca="false">IF($B77="","",2*PI()*$B77/$B$5)</f>
        <v/>
      </c>
      <c r="I77" s="54" t="str">
        <f aca="false">IF($B77="","",$C77/$B$6)</f>
        <v/>
      </c>
      <c r="J77" s="54" t="str">
        <f aca="false">IF($B77="","",$D77/$B$6)</f>
        <v/>
      </c>
      <c r="K77" s="65"/>
      <c r="L77" s="2"/>
      <c r="M77" s="2"/>
      <c r="N77" s="2"/>
    </row>
    <row r="78" customFormat="false" ht="15" hidden="false" customHeight="false" outlineLevel="0" collapsed="false">
      <c r="A78" s="47" t="n">
        <v>71</v>
      </c>
      <c r="B78" s="63"/>
      <c r="C78" s="64"/>
      <c r="D78" s="64"/>
      <c r="E78" s="54" t="str">
        <f aca="false">IF($B78="","",SQRT($C78^2+$D78^2))</f>
        <v/>
      </c>
      <c r="F78" s="36" t="str">
        <f aca="false">IF($B78="","",IFERROR(DEGREES(ATAN2($C78,$D78)),0))</f>
        <v/>
      </c>
      <c r="G78" s="61" t="str">
        <f aca="false">IF($B78="","",2*PI()*$B78)</f>
        <v/>
      </c>
      <c r="H78" s="54" t="str">
        <f aca="false">IF($B78="","",2*PI()*$B78/$B$5)</f>
        <v/>
      </c>
      <c r="I78" s="54" t="str">
        <f aca="false">IF($B78="","",$C78/$B$6)</f>
        <v/>
      </c>
      <c r="J78" s="54" t="str">
        <f aca="false">IF($B78="","",$D78/$B$6)</f>
        <v/>
      </c>
      <c r="K78" s="65"/>
      <c r="L78" s="2"/>
      <c r="M78" s="2"/>
      <c r="N78" s="2"/>
    </row>
    <row r="79" customFormat="false" ht="15" hidden="false" customHeight="false" outlineLevel="0" collapsed="false">
      <c r="A79" s="47" t="n">
        <v>72</v>
      </c>
      <c r="B79" s="63"/>
      <c r="C79" s="64"/>
      <c r="D79" s="64"/>
      <c r="E79" s="54" t="str">
        <f aca="false">IF($B79="","",SQRT($C79^2+$D79^2))</f>
        <v/>
      </c>
      <c r="F79" s="36" t="str">
        <f aca="false">IF($B79="","",IFERROR(DEGREES(ATAN2($C79,$D79)),0))</f>
        <v/>
      </c>
      <c r="G79" s="61" t="str">
        <f aca="false">IF($B79="","",2*PI()*$B79)</f>
        <v/>
      </c>
      <c r="H79" s="54" t="str">
        <f aca="false">IF($B79="","",2*PI()*$B79/$B$5)</f>
        <v/>
      </c>
      <c r="I79" s="54" t="str">
        <f aca="false">IF($B79="","",$C79/$B$6)</f>
        <v/>
      </c>
      <c r="J79" s="54" t="str">
        <f aca="false">IF($B79="","",$D79/$B$6)</f>
        <v/>
      </c>
      <c r="K79" s="65"/>
      <c r="L79" s="2"/>
      <c r="M79" s="2"/>
      <c r="N79" s="2"/>
    </row>
    <row r="80" customFormat="false" ht="15" hidden="false" customHeight="false" outlineLevel="0" collapsed="false">
      <c r="A80" s="47" t="n">
        <v>73</v>
      </c>
      <c r="B80" s="63"/>
      <c r="C80" s="64"/>
      <c r="D80" s="64"/>
      <c r="E80" s="54" t="str">
        <f aca="false">IF($B80="","",SQRT($C80^2+$D80^2))</f>
        <v/>
      </c>
      <c r="F80" s="36" t="str">
        <f aca="false">IF($B80="","",IFERROR(DEGREES(ATAN2($C80,$D80)),0))</f>
        <v/>
      </c>
      <c r="G80" s="61" t="str">
        <f aca="false">IF($B80="","",2*PI()*$B80)</f>
        <v/>
      </c>
      <c r="H80" s="54" t="str">
        <f aca="false">IF($B80="","",2*PI()*$B80/$B$5)</f>
        <v/>
      </c>
      <c r="I80" s="54" t="str">
        <f aca="false">IF($B80="","",$C80/$B$6)</f>
        <v/>
      </c>
      <c r="J80" s="54" t="str">
        <f aca="false">IF($B80="","",$D80/$B$6)</f>
        <v/>
      </c>
      <c r="K80" s="65"/>
      <c r="L80" s="2"/>
      <c r="M80" s="2"/>
      <c r="N80" s="2"/>
    </row>
    <row r="81" customFormat="false" ht="15" hidden="false" customHeight="false" outlineLevel="0" collapsed="false">
      <c r="A81" s="47" t="n">
        <v>74</v>
      </c>
      <c r="B81" s="63"/>
      <c r="C81" s="64"/>
      <c r="D81" s="64"/>
      <c r="E81" s="54" t="str">
        <f aca="false">IF($B81="","",SQRT($C81^2+$D81^2))</f>
        <v/>
      </c>
      <c r="F81" s="36" t="str">
        <f aca="false">IF($B81="","",IFERROR(DEGREES(ATAN2($C81,$D81)),0))</f>
        <v/>
      </c>
      <c r="G81" s="61" t="str">
        <f aca="false">IF($B81="","",2*PI()*$B81)</f>
        <v/>
      </c>
      <c r="H81" s="54" t="str">
        <f aca="false">IF($B81="","",2*PI()*$B81/$B$5)</f>
        <v/>
      </c>
      <c r="I81" s="54" t="str">
        <f aca="false">IF($B81="","",$C81/$B$6)</f>
        <v/>
      </c>
      <c r="J81" s="54" t="str">
        <f aca="false">IF($B81="","",$D81/$B$6)</f>
        <v/>
      </c>
      <c r="K81" s="65"/>
      <c r="L81" s="2"/>
      <c r="M81" s="2"/>
      <c r="N81" s="2"/>
    </row>
    <row r="82" customFormat="false" ht="15" hidden="false" customHeight="false" outlineLevel="0" collapsed="false">
      <c r="A82" s="47" t="n">
        <v>75</v>
      </c>
      <c r="B82" s="63"/>
      <c r="C82" s="64"/>
      <c r="D82" s="64"/>
      <c r="E82" s="54" t="str">
        <f aca="false">IF($B82="","",SQRT($C82^2+$D82^2))</f>
        <v/>
      </c>
      <c r="F82" s="36" t="str">
        <f aca="false">IF($B82="","",IFERROR(DEGREES(ATAN2($C82,$D82)),0))</f>
        <v/>
      </c>
      <c r="G82" s="61" t="str">
        <f aca="false">IF($B82="","",2*PI()*$B82)</f>
        <v/>
      </c>
      <c r="H82" s="54" t="str">
        <f aca="false">IF($B82="","",2*PI()*$B82/$B$5)</f>
        <v/>
      </c>
      <c r="I82" s="54" t="str">
        <f aca="false">IF($B82="","",$C82/$B$6)</f>
        <v/>
      </c>
      <c r="J82" s="54" t="str">
        <f aca="false">IF($B82="","",$D82/$B$6)</f>
        <v/>
      </c>
      <c r="K82" s="65"/>
      <c r="L82" s="2"/>
      <c r="M82" s="2"/>
      <c r="N82" s="2"/>
    </row>
    <row r="83" customFormat="false" ht="15" hidden="false" customHeight="false" outlineLevel="0" collapsed="false">
      <c r="A83" s="47" t="n">
        <v>76</v>
      </c>
      <c r="B83" s="63"/>
      <c r="C83" s="64"/>
      <c r="D83" s="64"/>
      <c r="E83" s="54" t="str">
        <f aca="false">IF($B83="","",SQRT($C83^2+$D83^2))</f>
        <v/>
      </c>
      <c r="F83" s="36" t="str">
        <f aca="false">IF($B83="","",IFERROR(DEGREES(ATAN2($C83,$D83)),0))</f>
        <v/>
      </c>
      <c r="G83" s="61" t="str">
        <f aca="false">IF($B83="","",2*PI()*$B83)</f>
        <v/>
      </c>
      <c r="H83" s="54" t="str">
        <f aca="false">IF($B83="","",2*PI()*$B83/$B$5)</f>
        <v/>
      </c>
      <c r="I83" s="54" t="str">
        <f aca="false">IF($B83="","",$C83/$B$6)</f>
        <v/>
      </c>
      <c r="J83" s="54" t="str">
        <f aca="false">IF($B83="","",$D83/$B$6)</f>
        <v/>
      </c>
      <c r="K83" s="65"/>
      <c r="L83" s="2"/>
      <c r="M83" s="2"/>
      <c r="N83" s="2"/>
    </row>
    <row r="84" customFormat="false" ht="15" hidden="false" customHeight="false" outlineLevel="0" collapsed="false">
      <c r="A84" s="47" t="n">
        <v>77</v>
      </c>
      <c r="B84" s="63"/>
      <c r="C84" s="64"/>
      <c r="D84" s="64"/>
      <c r="E84" s="54" t="str">
        <f aca="false">IF($B84="","",SQRT($C84^2+$D84^2))</f>
        <v/>
      </c>
      <c r="F84" s="36" t="str">
        <f aca="false">IF($B84="","",IFERROR(DEGREES(ATAN2($C84,$D84)),0))</f>
        <v/>
      </c>
      <c r="G84" s="61" t="str">
        <f aca="false">IF($B84="","",2*PI()*$B84)</f>
        <v/>
      </c>
      <c r="H84" s="54" t="str">
        <f aca="false">IF($B84="","",2*PI()*$B84/$B$5)</f>
        <v/>
      </c>
      <c r="I84" s="54" t="str">
        <f aca="false">IF($B84="","",$C84/$B$6)</f>
        <v/>
      </c>
      <c r="J84" s="54" t="str">
        <f aca="false">IF($B84="","",$D84/$B$6)</f>
        <v/>
      </c>
      <c r="K84" s="65"/>
      <c r="L84" s="2"/>
      <c r="M84" s="2"/>
      <c r="N84" s="2"/>
    </row>
    <row r="85" customFormat="false" ht="15" hidden="false" customHeight="false" outlineLevel="0" collapsed="false">
      <c r="A85" s="47" t="n">
        <v>78</v>
      </c>
      <c r="B85" s="63"/>
      <c r="C85" s="64"/>
      <c r="D85" s="64"/>
      <c r="E85" s="54" t="str">
        <f aca="false">IF($B85="","",SQRT($C85^2+$D85^2))</f>
        <v/>
      </c>
      <c r="F85" s="36" t="str">
        <f aca="false">IF($B85="","",IFERROR(DEGREES(ATAN2($C85,$D85)),0))</f>
        <v/>
      </c>
      <c r="G85" s="61" t="str">
        <f aca="false">IF($B85="","",2*PI()*$B85)</f>
        <v/>
      </c>
      <c r="H85" s="54" t="str">
        <f aca="false">IF($B85="","",2*PI()*$B85/$B$5)</f>
        <v/>
      </c>
      <c r="I85" s="54" t="str">
        <f aca="false">IF($B85="","",$C85/$B$6)</f>
        <v/>
      </c>
      <c r="J85" s="54" t="str">
        <f aca="false">IF($B85="","",$D85/$B$6)</f>
        <v/>
      </c>
      <c r="K85" s="65"/>
      <c r="L85" s="2"/>
      <c r="M85" s="2"/>
      <c r="N85" s="2"/>
    </row>
    <row r="86" customFormat="false" ht="15" hidden="false" customHeight="false" outlineLevel="0" collapsed="false">
      <c r="A86" s="47" t="n">
        <v>79</v>
      </c>
      <c r="B86" s="63"/>
      <c r="C86" s="64"/>
      <c r="D86" s="64"/>
      <c r="E86" s="54" t="str">
        <f aca="false">IF($B86="","",SQRT($C86^2+$D86^2))</f>
        <v/>
      </c>
      <c r="F86" s="36" t="str">
        <f aca="false">IF($B86="","",IFERROR(DEGREES(ATAN2($C86,$D86)),0))</f>
        <v/>
      </c>
      <c r="G86" s="61" t="str">
        <f aca="false">IF($B86="","",2*PI()*$B86)</f>
        <v/>
      </c>
      <c r="H86" s="54" t="str">
        <f aca="false">IF($B86="","",2*PI()*$B86/$B$5)</f>
        <v/>
      </c>
      <c r="I86" s="54" t="str">
        <f aca="false">IF($B86="","",$C86/$B$6)</f>
        <v/>
      </c>
      <c r="J86" s="54" t="str">
        <f aca="false">IF($B86="","",$D86/$B$6)</f>
        <v/>
      </c>
      <c r="K86" s="65"/>
      <c r="L86" s="2"/>
      <c r="M86" s="2"/>
      <c r="N86" s="2"/>
    </row>
    <row r="87" customFormat="false" ht="15" hidden="false" customHeight="false" outlineLevel="0" collapsed="false">
      <c r="A87" s="47" t="n">
        <v>80</v>
      </c>
      <c r="B87" s="63"/>
      <c r="C87" s="64"/>
      <c r="D87" s="64"/>
      <c r="E87" s="54" t="str">
        <f aca="false">IF($B87="","",SQRT($C87^2+$D87^2))</f>
        <v/>
      </c>
      <c r="F87" s="36" t="str">
        <f aca="false">IF($B87="","",IFERROR(DEGREES(ATAN2($C87,$D87)),0))</f>
        <v/>
      </c>
      <c r="G87" s="61" t="str">
        <f aca="false">IF($B87="","",2*PI()*$B87)</f>
        <v/>
      </c>
      <c r="H87" s="54" t="str">
        <f aca="false">IF($B87="","",2*PI()*$B87/$B$5)</f>
        <v/>
      </c>
      <c r="I87" s="54" t="str">
        <f aca="false">IF($B87="","",$C87/$B$6)</f>
        <v/>
      </c>
      <c r="J87" s="54" t="str">
        <f aca="false">IF($B87="","",$D87/$B$6)</f>
        <v/>
      </c>
      <c r="K87" s="65"/>
      <c r="L87" s="2"/>
      <c r="M87" s="2"/>
      <c r="N87" s="2"/>
    </row>
    <row r="88" customFormat="false" ht="15" hidden="false" customHeight="false" outlineLevel="0" collapsed="false">
      <c r="A88" s="47" t="n">
        <v>81</v>
      </c>
      <c r="B88" s="63"/>
      <c r="C88" s="64"/>
      <c r="D88" s="64"/>
      <c r="E88" s="54" t="str">
        <f aca="false">IF($B88="","",SQRT($C88^2+$D88^2))</f>
        <v/>
      </c>
      <c r="F88" s="36" t="str">
        <f aca="false">IF($B88="","",IFERROR(DEGREES(ATAN2($C88,$D88)),0))</f>
        <v/>
      </c>
      <c r="G88" s="61" t="str">
        <f aca="false">IF($B88="","",2*PI()*$B88)</f>
        <v/>
      </c>
      <c r="H88" s="54" t="str">
        <f aca="false">IF($B88="","",2*PI()*$B88/$B$5)</f>
        <v/>
      </c>
      <c r="I88" s="54" t="str">
        <f aca="false">IF($B88="","",$C88/$B$6)</f>
        <v/>
      </c>
      <c r="J88" s="54" t="str">
        <f aca="false">IF($B88="","",$D88/$B$6)</f>
        <v/>
      </c>
      <c r="K88" s="65"/>
      <c r="L88" s="2"/>
      <c r="M88" s="2"/>
      <c r="N88" s="2"/>
    </row>
    <row r="89" customFormat="false" ht="15" hidden="false" customHeight="false" outlineLevel="0" collapsed="false">
      <c r="A89" s="47" t="n">
        <v>82</v>
      </c>
      <c r="B89" s="63"/>
      <c r="C89" s="64"/>
      <c r="D89" s="64"/>
      <c r="E89" s="54" t="str">
        <f aca="false">IF($B89="","",SQRT($C89^2+$D89^2))</f>
        <v/>
      </c>
      <c r="F89" s="36" t="str">
        <f aca="false">IF($B89="","",IFERROR(DEGREES(ATAN2($C89,$D89)),0))</f>
        <v/>
      </c>
      <c r="G89" s="61" t="str">
        <f aca="false">IF($B89="","",2*PI()*$B89)</f>
        <v/>
      </c>
      <c r="H89" s="54" t="str">
        <f aca="false">IF($B89="","",2*PI()*$B89/$B$5)</f>
        <v/>
      </c>
      <c r="I89" s="54" t="str">
        <f aca="false">IF($B89="","",$C89/$B$6)</f>
        <v/>
      </c>
      <c r="J89" s="54" t="str">
        <f aca="false">IF($B89="","",$D89/$B$6)</f>
        <v/>
      </c>
      <c r="K89" s="65"/>
      <c r="L89" s="2"/>
      <c r="M89" s="2"/>
      <c r="N89" s="2"/>
    </row>
    <row r="90" customFormat="false" ht="15" hidden="false" customHeight="false" outlineLevel="0" collapsed="false">
      <c r="A90" s="47" t="n">
        <v>83</v>
      </c>
      <c r="B90" s="63"/>
      <c r="C90" s="64"/>
      <c r="D90" s="64"/>
      <c r="E90" s="54" t="str">
        <f aca="false">IF($B90="","",SQRT($C90^2+$D90^2))</f>
        <v/>
      </c>
      <c r="F90" s="36" t="str">
        <f aca="false">IF($B90="","",IFERROR(DEGREES(ATAN2($C90,$D90)),0))</f>
        <v/>
      </c>
      <c r="G90" s="61" t="str">
        <f aca="false">IF($B90="","",2*PI()*$B90)</f>
        <v/>
      </c>
      <c r="H90" s="54" t="str">
        <f aca="false">IF($B90="","",2*PI()*$B90/$B$5)</f>
        <v/>
      </c>
      <c r="I90" s="54" t="str">
        <f aca="false">IF($B90="","",$C90/$B$6)</f>
        <v/>
      </c>
      <c r="J90" s="54" t="str">
        <f aca="false">IF($B90="","",$D90/$B$6)</f>
        <v/>
      </c>
      <c r="K90" s="65"/>
      <c r="L90" s="2"/>
      <c r="M90" s="2"/>
      <c r="N90" s="2"/>
    </row>
    <row r="91" customFormat="false" ht="15" hidden="false" customHeight="false" outlineLevel="0" collapsed="false">
      <c r="A91" s="47" t="n">
        <v>84</v>
      </c>
      <c r="B91" s="63"/>
      <c r="C91" s="64"/>
      <c r="D91" s="64"/>
      <c r="E91" s="54" t="str">
        <f aca="false">IF($B91="","",SQRT($C91^2+$D91^2))</f>
        <v/>
      </c>
      <c r="F91" s="36" t="str">
        <f aca="false">IF($B91="","",IFERROR(DEGREES(ATAN2($C91,$D91)),0))</f>
        <v/>
      </c>
      <c r="G91" s="61" t="str">
        <f aca="false">IF($B91="","",2*PI()*$B91)</f>
        <v/>
      </c>
      <c r="H91" s="54" t="str">
        <f aca="false">IF($B91="","",2*PI()*$B91/$B$5)</f>
        <v/>
      </c>
      <c r="I91" s="54" t="str">
        <f aca="false">IF($B91="","",$C91/$B$6)</f>
        <v/>
      </c>
      <c r="J91" s="54" t="str">
        <f aca="false">IF($B91="","",$D91/$B$6)</f>
        <v/>
      </c>
      <c r="K91" s="65"/>
      <c r="L91" s="2"/>
      <c r="M91" s="2"/>
      <c r="N91" s="2"/>
    </row>
    <row r="92" customFormat="false" ht="15" hidden="false" customHeight="false" outlineLevel="0" collapsed="false">
      <c r="A92" s="47" t="n">
        <v>85</v>
      </c>
      <c r="B92" s="63"/>
      <c r="C92" s="64"/>
      <c r="D92" s="64"/>
      <c r="E92" s="54" t="str">
        <f aca="false">IF($B92="","",SQRT($C92^2+$D92^2))</f>
        <v/>
      </c>
      <c r="F92" s="36" t="str">
        <f aca="false">IF($B92="","",IFERROR(DEGREES(ATAN2($C92,$D92)),0))</f>
        <v/>
      </c>
      <c r="G92" s="61" t="str">
        <f aca="false">IF($B92="","",2*PI()*$B92)</f>
        <v/>
      </c>
      <c r="H92" s="54" t="str">
        <f aca="false">IF($B92="","",2*PI()*$B92/$B$5)</f>
        <v/>
      </c>
      <c r="I92" s="54" t="str">
        <f aca="false">IF($B92="","",$C92/$B$6)</f>
        <v/>
      </c>
      <c r="J92" s="54" t="str">
        <f aca="false">IF($B92="","",$D92/$B$6)</f>
        <v/>
      </c>
      <c r="K92" s="65"/>
      <c r="L92" s="2"/>
      <c r="M92" s="2"/>
      <c r="N92" s="2"/>
    </row>
    <row r="93" customFormat="false" ht="15" hidden="false" customHeight="false" outlineLevel="0" collapsed="false">
      <c r="A93" s="47" t="n">
        <v>86</v>
      </c>
      <c r="B93" s="63"/>
      <c r="C93" s="64"/>
      <c r="D93" s="64"/>
      <c r="E93" s="54" t="str">
        <f aca="false">IF($B93="","",SQRT($C93^2+$D93^2))</f>
        <v/>
      </c>
      <c r="F93" s="36" t="str">
        <f aca="false">IF($B93="","",IFERROR(DEGREES(ATAN2($C93,$D93)),0))</f>
        <v/>
      </c>
      <c r="G93" s="61" t="str">
        <f aca="false">IF($B93="","",2*PI()*$B93)</f>
        <v/>
      </c>
      <c r="H93" s="54" t="str">
        <f aca="false">IF($B93="","",2*PI()*$B93/$B$5)</f>
        <v/>
      </c>
      <c r="I93" s="54" t="str">
        <f aca="false">IF($B93="","",$C93/$B$6)</f>
        <v/>
      </c>
      <c r="J93" s="54" t="str">
        <f aca="false">IF($B93="","",$D93/$B$6)</f>
        <v/>
      </c>
      <c r="K93" s="65"/>
      <c r="L93" s="2"/>
      <c r="M93" s="2"/>
      <c r="N93" s="2"/>
    </row>
    <row r="94" customFormat="false" ht="15" hidden="false" customHeight="false" outlineLevel="0" collapsed="false">
      <c r="A94" s="47" t="n">
        <v>87</v>
      </c>
      <c r="B94" s="63"/>
      <c r="C94" s="64"/>
      <c r="D94" s="64"/>
      <c r="E94" s="54" t="str">
        <f aca="false">IF($B94="","",SQRT($C94^2+$D94^2))</f>
        <v/>
      </c>
      <c r="F94" s="36" t="str">
        <f aca="false">IF($B94="","",IFERROR(DEGREES(ATAN2($C94,$D94)),0))</f>
        <v/>
      </c>
      <c r="G94" s="61" t="str">
        <f aca="false">IF($B94="","",2*PI()*$B94)</f>
        <v/>
      </c>
      <c r="H94" s="54" t="str">
        <f aca="false">IF($B94="","",2*PI()*$B94/$B$5)</f>
        <v/>
      </c>
      <c r="I94" s="54" t="str">
        <f aca="false">IF($B94="","",$C94/$B$6)</f>
        <v/>
      </c>
      <c r="J94" s="54" t="str">
        <f aca="false">IF($B94="","",$D94/$B$6)</f>
        <v/>
      </c>
      <c r="K94" s="65"/>
      <c r="L94" s="2"/>
      <c r="M94" s="2"/>
      <c r="N94" s="2"/>
    </row>
    <row r="95" customFormat="false" ht="15" hidden="false" customHeight="false" outlineLevel="0" collapsed="false">
      <c r="A95" s="47" t="n">
        <v>88</v>
      </c>
      <c r="B95" s="63"/>
      <c r="C95" s="64"/>
      <c r="D95" s="64"/>
      <c r="E95" s="54" t="str">
        <f aca="false">IF($B95="","",SQRT($C95^2+$D95^2))</f>
        <v/>
      </c>
      <c r="F95" s="36" t="str">
        <f aca="false">IF($B95="","",IFERROR(DEGREES(ATAN2($C95,$D95)),0))</f>
        <v/>
      </c>
      <c r="G95" s="61" t="str">
        <f aca="false">IF($B95="","",2*PI()*$B95)</f>
        <v/>
      </c>
      <c r="H95" s="54" t="str">
        <f aca="false">IF($B95="","",2*PI()*$B95/$B$5)</f>
        <v/>
      </c>
      <c r="I95" s="54" t="str">
        <f aca="false">IF($B95="","",$C95/$B$6)</f>
        <v/>
      </c>
      <c r="J95" s="54" t="str">
        <f aca="false">IF($B95="","",$D95/$B$6)</f>
        <v/>
      </c>
      <c r="K95" s="65"/>
      <c r="L95" s="2"/>
      <c r="M95" s="2"/>
      <c r="N95" s="2"/>
    </row>
    <row r="96" customFormat="false" ht="15" hidden="false" customHeight="false" outlineLevel="0" collapsed="false">
      <c r="A96" s="47" t="n">
        <v>89</v>
      </c>
      <c r="B96" s="63"/>
      <c r="C96" s="64"/>
      <c r="D96" s="64"/>
      <c r="E96" s="54" t="str">
        <f aca="false">IF($B96="","",SQRT($C96^2+$D96^2))</f>
        <v/>
      </c>
      <c r="F96" s="36" t="str">
        <f aca="false">IF($B96="","",IFERROR(DEGREES(ATAN2($C96,$D96)),0))</f>
        <v/>
      </c>
      <c r="G96" s="61" t="str">
        <f aca="false">IF($B96="","",2*PI()*$B96)</f>
        <v/>
      </c>
      <c r="H96" s="54" t="str">
        <f aca="false">IF($B96="","",2*PI()*$B96/$B$5)</f>
        <v/>
      </c>
      <c r="I96" s="54" t="str">
        <f aca="false">IF($B96="","",$C96/$B$6)</f>
        <v/>
      </c>
      <c r="J96" s="54" t="str">
        <f aca="false">IF($B96="","",$D96/$B$6)</f>
        <v/>
      </c>
      <c r="K96" s="65"/>
      <c r="L96" s="2"/>
      <c r="M96" s="2"/>
      <c r="N96" s="2"/>
    </row>
    <row r="97" customFormat="false" ht="15" hidden="false" customHeight="false" outlineLevel="0" collapsed="false">
      <c r="A97" s="47" t="n">
        <v>90</v>
      </c>
      <c r="B97" s="63"/>
      <c r="C97" s="64"/>
      <c r="D97" s="64"/>
      <c r="E97" s="54" t="str">
        <f aca="false">IF($B97="","",SQRT($C97^2+$D97^2))</f>
        <v/>
      </c>
      <c r="F97" s="36" t="str">
        <f aca="false">IF($B97="","",IFERROR(DEGREES(ATAN2($C97,$D97)),0))</f>
        <v/>
      </c>
      <c r="G97" s="61" t="str">
        <f aca="false">IF($B97="","",2*PI()*$B97)</f>
        <v/>
      </c>
      <c r="H97" s="54" t="str">
        <f aca="false">IF($B97="","",2*PI()*$B97/$B$5)</f>
        <v/>
      </c>
      <c r="I97" s="54" t="str">
        <f aca="false">IF($B97="","",$C97/$B$6)</f>
        <v/>
      </c>
      <c r="J97" s="54" t="str">
        <f aca="false">IF($B97="","",$D97/$B$6)</f>
        <v/>
      </c>
      <c r="K97" s="65"/>
      <c r="L97" s="2"/>
      <c r="M97" s="2"/>
      <c r="N97" s="2"/>
    </row>
    <row r="98" customFormat="false" ht="15" hidden="false" customHeight="false" outlineLevel="0" collapsed="false">
      <c r="A98" s="47" t="n">
        <v>91</v>
      </c>
      <c r="B98" s="63"/>
      <c r="C98" s="64"/>
      <c r="D98" s="64"/>
      <c r="E98" s="54" t="str">
        <f aca="false">IF($B98="","",SQRT($C98^2+$D98^2))</f>
        <v/>
      </c>
      <c r="F98" s="36" t="str">
        <f aca="false">IF($B98="","",IFERROR(DEGREES(ATAN2($C98,$D98)),0))</f>
        <v/>
      </c>
      <c r="G98" s="61" t="str">
        <f aca="false">IF($B98="","",2*PI()*$B98)</f>
        <v/>
      </c>
      <c r="H98" s="54" t="str">
        <f aca="false">IF($B98="","",2*PI()*$B98/$B$5)</f>
        <v/>
      </c>
      <c r="I98" s="54" t="str">
        <f aca="false">IF($B98="","",$C98/$B$6)</f>
        <v/>
      </c>
      <c r="J98" s="54" t="str">
        <f aca="false">IF($B98="","",$D98/$B$6)</f>
        <v/>
      </c>
      <c r="K98" s="65"/>
      <c r="L98" s="2"/>
      <c r="M98" s="2"/>
      <c r="N98" s="2"/>
    </row>
    <row r="99" customFormat="false" ht="15" hidden="false" customHeight="false" outlineLevel="0" collapsed="false">
      <c r="A99" s="47" t="n">
        <v>92</v>
      </c>
      <c r="B99" s="63"/>
      <c r="C99" s="64"/>
      <c r="D99" s="64"/>
      <c r="E99" s="54" t="str">
        <f aca="false">IF($B99="","",SQRT($C99^2+$D99^2))</f>
        <v/>
      </c>
      <c r="F99" s="36" t="str">
        <f aca="false">IF($B99="","",IFERROR(DEGREES(ATAN2($C99,$D99)),0))</f>
        <v/>
      </c>
      <c r="G99" s="61" t="str">
        <f aca="false">IF($B99="","",2*PI()*$B99)</f>
        <v/>
      </c>
      <c r="H99" s="54" t="str">
        <f aca="false">IF($B99="","",2*PI()*$B99/$B$5)</f>
        <v/>
      </c>
      <c r="I99" s="54" t="str">
        <f aca="false">IF($B99="","",$C99/$B$6)</f>
        <v/>
      </c>
      <c r="J99" s="54" t="str">
        <f aca="false">IF($B99="","",$D99/$B$6)</f>
        <v/>
      </c>
      <c r="K99" s="65"/>
      <c r="L99" s="2"/>
      <c r="M99" s="2"/>
      <c r="N99" s="2"/>
    </row>
    <row r="100" customFormat="false" ht="15" hidden="false" customHeight="false" outlineLevel="0" collapsed="false">
      <c r="A100" s="47" t="n">
        <v>93</v>
      </c>
      <c r="B100" s="63"/>
      <c r="C100" s="64"/>
      <c r="D100" s="64"/>
      <c r="E100" s="54" t="str">
        <f aca="false">IF($B100="","",SQRT($C100^2+$D100^2))</f>
        <v/>
      </c>
      <c r="F100" s="36" t="str">
        <f aca="false">IF($B100="","",IFERROR(DEGREES(ATAN2($C100,$D100)),0))</f>
        <v/>
      </c>
      <c r="G100" s="61" t="str">
        <f aca="false">IF($B100="","",2*PI()*$B100)</f>
        <v/>
      </c>
      <c r="H100" s="54" t="str">
        <f aca="false">IF($B100="","",2*PI()*$B100/$B$5)</f>
        <v/>
      </c>
      <c r="I100" s="54" t="str">
        <f aca="false">IF($B100="","",$C100/$B$6)</f>
        <v/>
      </c>
      <c r="J100" s="54" t="str">
        <f aca="false">IF($B100="","",$D100/$B$6)</f>
        <v/>
      </c>
      <c r="K100" s="65"/>
      <c r="L100" s="2"/>
      <c r="M100" s="2"/>
      <c r="N100" s="2"/>
    </row>
    <row r="101" customFormat="false" ht="15" hidden="false" customHeight="false" outlineLevel="0" collapsed="false">
      <c r="A101" s="47" t="n">
        <v>94</v>
      </c>
      <c r="B101" s="63"/>
      <c r="C101" s="64"/>
      <c r="D101" s="64"/>
      <c r="E101" s="54" t="str">
        <f aca="false">IF($B101="","",SQRT($C101^2+$D101^2))</f>
        <v/>
      </c>
      <c r="F101" s="36" t="str">
        <f aca="false">IF($B101="","",IFERROR(DEGREES(ATAN2($C101,$D101)),0))</f>
        <v/>
      </c>
      <c r="G101" s="61" t="str">
        <f aca="false">IF($B101="","",2*PI()*$B101)</f>
        <v/>
      </c>
      <c r="H101" s="54" t="str">
        <f aca="false">IF($B101="","",2*PI()*$B101/$B$5)</f>
        <v/>
      </c>
      <c r="I101" s="54" t="str">
        <f aca="false">IF($B101="","",$C101/$B$6)</f>
        <v/>
      </c>
      <c r="J101" s="54" t="str">
        <f aca="false">IF($B101="","",$D101/$B$6)</f>
        <v/>
      </c>
      <c r="K101" s="65"/>
      <c r="L101" s="2"/>
      <c r="M101" s="2"/>
      <c r="N101" s="2"/>
    </row>
    <row r="102" customFormat="false" ht="15" hidden="false" customHeight="false" outlineLevel="0" collapsed="false">
      <c r="A102" s="47" t="n">
        <v>95</v>
      </c>
      <c r="B102" s="63"/>
      <c r="C102" s="64"/>
      <c r="D102" s="64"/>
      <c r="E102" s="54" t="str">
        <f aca="false">IF($B102="","",SQRT($C102^2+$D102^2))</f>
        <v/>
      </c>
      <c r="F102" s="36" t="str">
        <f aca="false">IF($B102="","",IFERROR(DEGREES(ATAN2($C102,$D102)),0))</f>
        <v/>
      </c>
      <c r="G102" s="61" t="str">
        <f aca="false">IF($B102="","",2*PI()*$B102)</f>
        <v/>
      </c>
      <c r="H102" s="54" t="str">
        <f aca="false">IF($B102="","",2*PI()*$B102/$B$5)</f>
        <v/>
      </c>
      <c r="I102" s="54" t="str">
        <f aca="false">IF($B102="","",$C102/$B$6)</f>
        <v/>
      </c>
      <c r="J102" s="54" t="str">
        <f aca="false">IF($B102="","",$D102/$B$6)</f>
        <v/>
      </c>
      <c r="K102" s="65"/>
      <c r="L102" s="2"/>
      <c r="M102" s="2"/>
      <c r="N102" s="2"/>
    </row>
    <row r="103" customFormat="false" ht="15" hidden="false" customHeight="false" outlineLevel="0" collapsed="false">
      <c r="A103" s="47" t="n">
        <v>96</v>
      </c>
      <c r="B103" s="63"/>
      <c r="C103" s="64"/>
      <c r="D103" s="64"/>
      <c r="E103" s="54" t="str">
        <f aca="false">IF($B103="","",SQRT($C103^2+$D103^2))</f>
        <v/>
      </c>
      <c r="F103" s="36" t="str">
        <f aca="false">IF($B103="","",IFERROR(DEGREES(ATAN2($C103,$D103)),0))</f>
        <v/>
      </c>
      <c r="G103" s="61" t="str">
        <f aca="false">IF($B103="","",2*PI()*$B103)</f>
        <v/>
      </c>
      <c r="H103" s="54" t="str">
        <f aca="false">IF($B103="","",2*PI()*$B103/$B$5)</f>
        <v/>
      </c>
      <c r="I103" s="54" t="str">
        <f aca="false">IF($B103="","",$C103/$B$6)</f>
        <v/>
      </c>
      <c r="J103" s="54" t="str">
        <f aca="false">IF($B103="","",$D103/$B$6)</f>
        <v/>
      </c>
      <c r="K103" s="65"/>
      <c r="L103" s="2"/>
      <c r="M103" s="2"/>
      <c r="N103" s="2"/>
    </row>
    <row r="104" customFormat="false" ht="15" hidden="false" customHeight="false" outlineLevel="0" collapsed="false">
      <c r="A104" s="47" t="n">
        <v>97</v>
      </c>
      <c r="B104" s="63"/>
      <c r="C104" s="64"/>
      <c r="D104" s="64"/>
      <c r="E104" s="54" t="str">
        <f aca="false">IF($B104="","",SQRT($C104^2+$D104^2))</f>
        <v/>
      </c>
      <c r="F104" s="36" t="str">
        <f aca="false">IF($B104="","",IFERROR(DEGREES(ATAN2($C104,$D104)),0))</f>
        <v/>
      </c>
      <c r="G104" s="61" t="str">
        <f aca="false">IF($B104="","",2*PI()*$B104)</f>
        <v/>
      </c>
      <c r="H104" s="54" t="str">
        <f aca="false">IF($B104="","",2*PI()*$B104/$B$5)</f>
        <v/>
      </c>
      <c r="I104" s="54" t="str">
        <f aca="false">IF($B104="","",$C104/$B$6)</f>
        <v/>
      </c>
      <c r="J104" s="54" t="str">
        <f aca="false">IF($B104="","",$D104/$B$6)</f>
        <v/>
      </c>
      <c r="K104" s="65"/>
      <c r="L104" s="2"/>
      <c r="M104" s="2"/>
      <c r="N104" s="2"/>
    </row>
    <row r="105" customFormat="false" ht="15" hidden="false" customHeight="false" outlineLevel="0" collapsed="false">
      <c r="A105" s="47" t="n">
        <v>98</v>
      </c>
      <c r="B105" s="63"/>
      <c r="C105" s="64"/>
      <c r="D105" s="64"/>
      <c r="E105" s="54" t="str">
        <f aca="false">IF($B105="","",SQRT($C105^2+$D105^2))</f>
        <v/>
      </c>
      <c r="F105" s="36" t="str">
        <f aca="false">IF($B105="","",IFERROR(DEGREES(ATAN2($C105,$D105)),0))</f>
        <v/>
      </c>
      <c r="G105" s="61" t="str">
        <f aca="false">IF($B105="","",2*PI()*$B105)</f>
        <v/>
      </c>
      <c r="H105" s="54" t="str">
        <f aca="false">IF($B105="","",2*PI()*$B105/$B$5)</f>
        <v/>
      </c>
      <c r="I105" s="54" t="str">
        <f aca="false">IF($B105="","",$C105/$B$6)</f>
        <v/>
      </c>
      <c r="J105" s="54" t="str">
        <f aca="false">IF($B105="","",$D105/$B$6)</f>
        <v/>
      </c>
      <c r="K105" s="65"/>
      <c r="L105" s="2"/>
      <c r="M105" s="2"/>
      <c r="N105" s="2"/>
    </row>
    <row r="106" customFormat="false" ht="15" hidden="false" customHeight="false" outlineLevel="0" collapsed="false">
      <c r="A106" s="47" t="n">
        <v>99</v>
      </c>
      <c r="B106" s="63"/>
      <c r="C106" s="64"/>
      <c r="D106" s="64"/>
      <c r="E106" s="54" t="str">
        <f aca="false">IF($B106="","",SQRT($C106^2+$D106^2))</f>
        <v/>
      </c>
      <c r="F106" s="36" t="str">
        <f aca="false">IF($B106="","",IFERROR(DEGREES(ATAN2($C106,$D106)),0))</f>
        <v/>
      </c>
      <c r="G106" s="61" t="str">
        <f aca="false">IF($B106="","",2*PI()*$B106)</f>
        <v/>
      </c>
      <c r="H106" s="54" t="str">
        <f aca="false">IF($B106="","",2*PI()*$B106/$B$5)</f>
        <v/>
      </c>
      <c r="I106" s="54" t="str">
        <f aca="false">IF($B106="","",$C106/$B$6)</f>
        <v/>
      </c>
      <c r="J106" s="54" t="str">
        <f aca="false">IF($B106="","",$D106/$B$6)</f>
        <v/>
      </c>
      <c r="K106" s="65"/>
      <c r="L106" s="2"/>
      <c r="M106" s="2"/>
      <c r="N106" s="2"/>
    </row>
    <row r="107" customFormat="false" ht="15" hidden="false" customHeight="false" outlineLevel="0" collapsed="false">
      <c r="A107" s="47" t="n">
        <v>100</v>
      </c>
      <c r="B107" s="63"/>
      <c r="C107" s="64"/>
      <c r="D107" s="64"/>
      <c r="E107" s="54" t="str">
        <f aca="false">IF($B107="","",SQRT($C107^2+$D107^2))</f>
        <v/>
      </c>
      <c r="F107" s="36" t="str">
        <f aca="false">IF($B107="","",IFERROR(DEGREES(ATAN2($C107,$D107)),0))</f>
        <v/>
      </c>
      <c r="G107" s="61" t="str">
        <f aca="false">IF($B107="","",2*PI()*$B107)</f>
        <v/>
      </c>
      <c r="H107" s="54" t="str">
        <f aca="false">IF($B107="","",2*PI()*$B107/$B$5)</f>
        <v/>
      </c>
      <c r="I107" s="54" t="str">
        <f aca="false">IF($B107="","",$C107/$B$6)</f>
        <v/>
      </c>
      <c r="J107" s="54" t="str">
        <f aca="false">IF($B107="","",$D107/$B$6)</f>
        <v/>
      </c>
      <c r="K107" s="65"/>
      <c r="L107" s="2"/>
      <c r="M107" s="2"/>
      <c r="N107" s="2"/>
    </row>
    <row r="108" customFormat="false" ht="15" hidden="false" customHeight="false" outlineLevel="0" collapsed="false">
      <c r="A108" s="47" t="n">
        <v>101</v>
      </c>
      <c r="B108" s="63"/>
      <c r="C108" s="64"/>
      <c r="D108" s="64"/>
      <c r="E108" s="54" t="str">
        <f aca="false">IF($B108="","",SQRT($C108^2+$D108^2))</f>
        <v/>
      </c>
      <c r="F108" s="36" t="str">
        <f aca="false">IF($B108="","",IFERROR(DEGREES(ATAN2($C108,$D108)),0))</f>
        <v/>
      </c>
      <c r="G108" s="61" t="str">
        <f aca="false">IF($B108="","",2*PI()*$B108)</f>
        <v/>
      </c>
      <c r="H108" s="54" t="str">
        <f aca="false">IF($B108="","",2*PI()*$B108/$B$5)</f>
        <v/>
      </c>
      <c r="I108" s="54" t="str">
        <f aca="false">IF($B108="","",$C108/$B$6)</f>
        <v/>
      </c>
      <c r="J108" s="54" t="str">
        <f aca="false">IF($B108="","",$D108/$B$6)</f>
        <v/>
      </c>
      <c r="K108" s="65"/>
      <c r="L108" s="2"/>
      <c r="M108" s="2"/>
      <c r="N108" s="2"/>
    </row>
    <row r="109" customFormat="false" ht="15" hidden="false" customHeight="false" outlineLevel="0" collapsed="false">
      <c r="A109" s="47" t="n">
        <v>102</v>
      </c>
      <c r="B109" s="63"/>
      <c r="C109" s="64"/>
      <c r="D109" s="64"/>
      <c r="E109" s="54" t="str">
        <f aca="false">IF($B109="","",SQRT($C109^2+$D109^2))</f>
        <v/>
      </c>
      <c r="F109" s="36" t="str">
        <f aca="false">IF($B109="","",IFERROR(DEGREES(ATAN2($C109,$D109)),0))</f>
        <v/>
      </c>
      <c r="G109" s="61" t="str">
        <f aca="false">IF($B109="","",2*PI()*$B109)</f>
        <v/>
      </c>
      <c r="H109" s="54" t="str">
        <f aca="false">IF($B109="","",2*PI()*$B109/$B$5)</f>
        <v/>
      </c>
      <c r="I109" s="54" t="str">
        <f aca="false">IF($B109="","",$C109/$B$6)</f>
        <v/>
      </c>
      <c r="J109" s="54" t="str">
        <f aca="false">IF($B109="","",$D109/$B$6)</f>
        <v/>
      </c>
      <c r="K109" s="65"/>
      <c r="L109" s="2"/>
      <c r="M109" s="2"/>
      <c r="N109" s="2"/>
    </row>
    <row r="110" customFormat="false" ht="15" hidden="false" customHeight="false" outlineLevel="0" collapsed="false">
      <c r="A110" s="47" t="n">
        <v>103</v>
      </c>
      <c r="B110" s="63"/>
      <c r="C110" s="64"/>
      <c r="D110" s="64"/>
      <c r="E110" s="54" t="str">
        <f aca="false">IF($B110="","",SQRT($C110^2+$D110^2))</f>
        <v/>
      </c>
      <c r="F110" s="36" t="str">
        <f aca="false">IF($B110="","",IFERROR(DEGREES(ATAN2($C110,$D110)),0))</f>
        <v/>
      </c>
      <c r="G110" s="61" t="str">
        <f aca="false">IF($B110="","",2*PI()*$B110)</f>
        <v/>
      </c>
      <c r="H110" s="54" t="str">
        <f aca="false">IF($B110="","",2*PI()*$B110/$B$5)</f>
        <v/>
      </c>
      <c r="I110" s="54" t="str">
        <f aca="false">IF($B110="","",$C110/$B$6)</f>
        <v/>
      </c>
      <c r="J110" s="54" t="str">
        <f aca="false">IF($B110="","",$D110/$B$6)</f>
        <v/>
      </c>
      <c r="K110" s="65"/>
      <c r="L110" s="2"/>
      <c r="M110" s="2"/>
      <c r="N110" s="2"/>
    </row>
    <row r="111" customFormat="false" ht="15" hidden="false" customHeight="false" outlineLevel="0" collapsed="false">
      <c r="A111" s="47" t="n">
        <v>104</v>
      </c>
      <c r="B111" s="63"/>
      <c r="C111" s="64"/>
      <c r="D111" s="64"/>
      <c r="E111" s="54" t="str">
        <f aca="false">IF($B111="","",SQRT($C111^2+$D111^2))</f>
        <v/>
      </c>
      <c r="F111" s="36" t="str">
        <f aca="false">IF($B111="","",IFERROR(DEGREES(ATAN2($C111,$D111)),0))</f>
        <v/>
      </c>
      <c r="G111" s="61" t="str">
        <f aca="false">IF($B111="","",2*PI()*$B111)</f>
        <v/>
      </c>
      <c r="H111" s="54" t="str">
        <f aca="false">IF($B111="","",2*PI()*$B111/$B$5)</f>
        <v/>
      </c>
      <c r="I111" s="54" t="str">
        <f aca="false">IF($B111="","",$C111/$B$6)</f>
        <v/>
      </c>
      <c r="J111" s="54" t="str">
        <f aca="false">IF($B111="","",$D111/$B$6)</f>
        <v/>
      </c>
      <c r="K111" s="65"/>
      <c r="L111" s="2"/>
      <c r="M111" s="2"/>
      <c r="N111" s="2"/>
    </row>
    <row r="112" customFormat="false" ht="15" hidden="false" customHeight="false" outlineLevel="0" collapsed="false">
      <c r="A112" s="47" t="n">
        <v>105</v>
      </c>
      <c r="B112" s="63"/>
      <c r="C112" s="64"/>
      <c r="D112" s="64"/>
      <c r="E112" s="54" t="str">
        <f aca="false">IF($B112="","",SQRT($C112^2+$D112^2))</f>
        <v/>
      </c>
      <c r="F112" s="36" t="str">
        <f aca="false">IF($B112="","",IFERROR(DEGREES(ATAN2($C112,$D112)),0))</f>
        <v/>
      </c>
      <c r="G112" s="61" t="str">
        <f aca="false">IF($B112="","",2*PI()*$B112)</f>
        <v/>
      </c>
      <c r="H112" s="54" t="str">
        <f aca="false">IF($B112="","",2*PI()*$B112/$B$5)</f>
        <v/>
      </c>
      <c r="I112" s="54" t="str">
        <f aca="false">IF($B112="","",$C112/$B$6)</f>
        <v/>
      </c>
      <c r="J112" s="54" t="str">
        <f aca="false">IF($B112="","",$D112/$B$6)</f>
        <v/>
      </c>
      <c r="K112" s="65"/>
      <c r="L112" s="2"/>
      <c r="M112" s="2"/>
      <c r="N112" s="2"/>
    </row>
    <row r="113" customFormat="false" ht="15" hidden="false" customHeight="false" outlineLevel="0" collapsed="false">
      <c r="A113" s="47" t="n">
        <v>106</v>
      </c>
      <c r="B113" s="63"/>
      <c r="C113" s="64"/>
      <c r="D113" s="64"/>
      <c r="E113" s="54" t="str">
        <f aca="false">IF($B113="","",SQRT($C113^2+$D113^2))</f>
        <v/>
      </c>
      <c r="F113" s="36" t="str">
        <f aca="false">IF($B113="","",IFERROR(DEGREES(ATAN2($C113,$D113)),0))</f>
        <v/>
      </c>
      <c r="G113" s="61" t="str">
        <f aca="false">IF($B113="","",2*PI()*$B113)</f>
        <v/>
      </c>
      <c r="H113" s="54" t="str">
        <f aca="false">IF($B113="","",2*PI()*$B113/$B$5)</f>
        <v/>
      </c>
      <c r="I113" s="54" t="str">
        <f aca="false">IF($B113="","",$C113/$B$6)</f>
        <v/>
      </c>
      <c r="J113" s="54" t="str">
        <f aca="false">IF($B113="","",$D113/$B$6)</f>
        <v/>
      </c>
      <c r="K113" s="65"/>
      <c r="L113" s="2"/>
      <c r="M113" s="2"/>
      <c r="N113" s="2"/>
    </row>
    <row r="114" customFormat="false" ht="15" hidden="false" customHeight="false" outlineLevel="0" collapsed="false">
      <c r="A114" s="47" t="n">
        <v>107</v>
      </c>
      <c r="B114" s="63"/>
      <c r="C114" s="64"/>
      <c r="D114" s="64"/>
      <c r="E114" s="54" t="str">
        <f aca="false">IF($B114="","",SQRT($C114^2+$D114^2))</f>
        <v/>
      </c>
      <c r="F114" s="36" t="str">
        <f aca="false">IF($B114="","",IFERROR(DEGREES(ATAN2($C114,$D114)),0))</f>
        <v/>
      </c>
      <c r="G114" s="61" t="str">
        <f aca="false">IF($B114="","",2*PI()*$B114)</f>
        <v/>
      </c>
      <c r="H114" s="54" t="str">
        <f aca="false">IF($B114="","",2*PI()*$B114/$B$5)</f>
        <v/>
      </c>
      <c r="I114" s="54" t="str">
        <f aca="false">IF($B114="","",$C114/$B$6)</f>
        <v/>
      </c>
      <c r="J114" s="54" t="str">
        <f aca="false">IF($B114="","",$D114/$B$6)</f>
        <v/>
      </c>
      <c r="K114" s="65"/>
      <c r="L114" s="2"/>
      <c r="M114" s="2"/>
      <c r="N114" s="2"/>
    </row>
    <row r="115" customFormat="false" ht="15" hidden="false" customHeight="false" outlineLevel="0" collapsed="false">
      <c r="A115" s="47" t="n">
        <v>108</v>
      </c>
      <c r="B115" s="63"/>
      <c r="C115" s="64"/>
      <c r="D115" s="64"/>
      <c r="E115" s="54" t="str">
        <f aca="false">IF($B115="","",SQRT($C115^2+$D115^2))</f>
        <v/>
      </c>
      <c r="F115" s="36" t="str">
        <f aca="false">IF($B115="","",IFERROR(DEGREES(ATAN2($C115,$D115)),0))</f>
        <v/>
      </c>
      <c r="G115" s="61" t="str">
        <f aca="false">IF($B115="","",2*PI()*$B115)</f>
        <v/>
      </c>
      <c r="H115" s="54" t="str">
        <f aca="false">IF($B115="","",2*PI()*$B115/$B$5)</f>
        <v/>
      </c>
      <c r="I115" s="54" t="str">
        <f aca="false">IF($B115="","",$C115/$B$6)</f>
        <v/>
      </c>
      <c r="J115" s="54" t="str">
        <f aca="false">IF($B115="","",$D115/$B$6)</f>
        <v/>
      </c>
      <c r="K115" s="65"/>
      <c r="L115" s="2"/>
      <c r="M115" s="2"/>
      <c r="N115" s="2"/>
    </row>
    <row r="116" customFormat="false" ht="15" hidden="false" customHeight="false" outlineLevel="0" collapsed="false">
      <c r="A116" s="47" t="n">
        <v>109</v>
      </c>
      <c r="B116" s="63"/>
      <c r="C116" s="64"/>
      <c r="D116" s="64"/>
      <c r="E116" s="54" t="str">
        <f aca="false">IF($B116="","",SQRT($C116^2+$D116^2))</f>
        <v/>
      </c>
      <c r="F116" s="36" t="str">
        <f aca="false">IF($B116="","",IFERROR(DEGREES(ATAN2($C116,$D116)),0))</f>
        <v/>
      </c>
      <c r="G116" s="61" t="str">
        <f aca="false">IF($B116="","",2*PI()*$B116)</f>
        <v/>
      </c>
      <c r="H116" s="54" t="str">
        <f aca="false">IF($B116="","",2*PI()*$B116/$B$5)</f>
        <v/>
      </c>
      <c r="I116" s="54" t="str">
        <f aca="false">IF($B116="","",$C116/$B$6)</f>
        <v/>
      </c>
      <c r="J116" s="54" t="str">
        <f aca="false">IF($B116="","",$D116/$B$6)</f>
        <v/>
      </c>
      <c r="K116" s="65"/>
      <c r="L116" s="2"/>
      <c r="M116" s="2"/>
      <c r="N116" s="2"/>
    </row>
    <row r="117" customFormat="false" ht="15" hidden="false" customHeight="false" outlineLevel="0" collapsed="false">
      <c r="A117" s="47" t="n">
        <v>110</v>
      </c>
      <c r="B117" s="63"/>
      <c r="C117" s="64"/>
      <c r="D117" s="64"/>
      <c r="E117" s="54" t="str">
        <f aca="false">IF($B117="","",SQRT($C117^2+$D117^2))</f>
        <v/>
      </c>
      <c r="F117" s="36" t="str">
        <f aca="false">IF($B117="","",IFERROR(DEGREES(ATAN2($C117,$D117)),0))</f>
        <v/>
      </c>
      <c r="G117" s="61" t="str">
        <f aca="false">IF($B117="","",2*PI()*$B117)</f>
        <v/>
      </c>
      <c r="H117" s="54" t="str">
        <f aca="false">IF($B117="","",2*PI()*$B117/$B$5)</f>
        <v/>
      </c>
      <c r="I117" s="54" t="str">
        <f aca="false">IF($B117="","",$C117/$B$6)</f>
        <v/>
      </c>
      <c r="J117" s="54" t="str">
        <f aca="false">IF($B117="","",$D117/$B$6)</f>
        <v/>
      </c>
      <c r="K117" s="65"/>
      <c r="L117" s="2"/>
      <c r="M117" s="2"/>
      <c r="N117" s="2"/>
    </row>
    <row r="118" customFormat="false" ht="15" hidden="false" customHeight="false" outlineLevel="0" collapsed="false">
      <c r="A118" s="47" t="n">
        <v>111</v>
      </c>
      <c r="B118" s="63"/>
      <c r="C118" s="64"/>
      <c r="D118" s="64"/>
      <c r="E118" s="54" t="str">
        <f aca="false">IF($B118="","",SQRT($C118^2+$D118^2))</f>
        <v/>
      </c>
      <c r="F118" s="36" t="str">
        <f aca="false">IF($B118="","",IFERROR(DEGREES(ATAN2($C118,$D118)),0))</f>
        <v/>
      </c>
      <c r="G118" s="61" t="str">
        <f aca="false">IF($B118="","",2*PI()*$B118)</f>
        <v/>
      </c>
      <c r="H118" s="54" t="str">
        <f aca="false">IF($B118="","",2*PI()*$B118/$B$5)</f>
        <v/>
      </c>
      <c r="I118" s="54" t="str">
        <f aca="false">IF($B118="","",$C118/$B$6)</f>
        <v/>
      </c>
      <c r="J118" s="54" t="str">
        <f aca="false">IF($B118="","",$D118/$B$6)</f>
        <v/>
      </c>
      <c r="K118" s="65"/>
      <c r="L118" s="2"/>
      <c r="M118" s="2"/>
      <c r="N118" s="2"/>
    </row>
    <row r="119" customFormat="false" ht="15" hidden="false" customHeight="false" outlineLevel="0" collapsed="false">
      <c r="A119" s="47" t="n">
        <v>112</v>
      </c>
      <c r="B119" s="63"/>
      <c r="C119" s="64"/>
      <c r="D119" s="64"/>
      <c r="E119" s="54" t="str">
        <f aca="false">IF($B119="","",SQRT($C119^2+$D119^2))</f>
        <v/>
      </c>
      <c r="F119" s="36" t="str">
        <f aca="false">IF($B119="","",IFERROR(DEGREES(ATAN2($C119,$D119)),0))</f>
        <v/>
      </c>
      <c r="G119" s="61" t="str">
        <f aca="false">IF($B119="","",2*PI()*$B119)</f>
        <v/>
      </c>
      <c r="H119" s="54" t="str">
        <f aca="false">IF($B119="","",2*PI()*$B119/$B$5)</f>
        <v/>
      </c>
      <c r="I119" s="54" t="str">
        <f aca="false">IF($B119="","",$C119/$B$6)</f>
        <v/>
      </c>
      <c r="J119" s="54" t="str">
        <f aca="false">IF($B119="","",$D119/$B$6)</f>
        <v/>
      </c>
      <c r="K119" s="65"/>
      <c r="L119" s="2"/>
      <c r="M119" s="2"/>
      <c r="N119" s="2"/>
    </row>
    <row r="120" customFormat="false" ht="15" hidden="false" customHeight="false" outlineLevel="0" collapsed="false">
      <c r="A120" s="47" t="n">
        <v>113</v>
      </c>
      <c r="B120" s="63"/>
      <c r="C120" s="64"/>
      <c r="D120" s="64"/>
      <c r="E120" s="54" t="str">
        <f aca="false">IF($B120="","",SQRT($C120^2+$D120^2))</f>
        <v/>
      </c>
      <c r="F120" s="36" t="str">
        <f aca="false">IF($B120="","",IFERROR(DEGREES(ATAN2($C120,$D120)),0))</f>
        <v/>
      </c>
      <c r="G120" s="61" t="str">
        <f aca="false">IF($B120="","",2*PI()*$B120)</f>
        <v/>
      </c>
      <c r="H120" s="54" t="str">
        <f aca="false">IF($B120="","",2*PI()*$B120/$B$5)</f>
        <v/>
      </c>
      <c r="I120" s="54" t="str">
        <f aca="false">IF($B120="","",$C120/$B$6)</f>
        <v/>
      </c>
      <c r="J120" s="54" t="str">
        <f aca="false">IF($B120="","",$D120/$B$6)</f>
        <v/>
      </c>
      <c r="K120" s="65"/>
      <c r="L120" s="2"/>
      <c r="M120" s="2"/>
      <c r="N120" s="2"/>
    </row>
    <row r="121" customFormat="false" ht="15" hidden="false" customHeight="false" outlineLevel="0" collapsed="false">
      <c r="A121" s="47" t="n">
        <v>114</v>
      </c>
      <c r="B121" s="63"/>
      <c r="C121" s="64"/>
      <c r="D121" s="64"/>
      <c r="E121" s="54" t="str">
        <f aca="false">IF($B121="","",SQRT($C121^2+$D121^2))</f>
        <v/>
      </c>
      <c r="F121" s="36" t="str">
        <f aca="false">IF($B121="","",IFERROR(DEGREES(ATAN2($C121,$D121)),0))</f>
        <v/>
      </c>
      <c r="G121" s="61" t="str">
        <f aca="false">IF($B121="","",2*PI()*$B121)</f>
        <v/>
      </c>
      <c r="H121" s="54" t="str">
        <f aca="false">IF($B121="","",2*PI()*$B121/$B$5)</f>
        <v/>
      </c>
      <c r="I121" s="54" t="str">
        <f aca="false">IF($B121="","",$C121/$B$6)</f>
        <v/>
      </c>
      <c r="J121" s="54" t="str">
        <f aca="false">IF($B121="","",$D121/$B$6)</f>
        <v/>
      </c>
      <c r="K121" s="65"/>
      <c r="L121" s="2"/>
      <c r="M121" s="2"/>
      <c r="N121" s="2"/>
    </row>
    <row r="122" customFormat="false" ht="15" hidden="false" customHeight="false" outlineLevel="0" collapsed="false">
      <c r="A122" s="47" t="n">
        <v>115</v>
      </c>
      <c r="B122" s="63"/>
      <c r="C122" s="64"/>
      <c r="D122" s="64"/>
      <c r="E122" s="54" t="str">
        <f aca="false">IF($B122="","",SQRT($C122^2+$D122^2))</f>
        <v/>
      </c>
      <c r="F122" s="36" t="str">
        <f aca="false">IF($B122="","",IFERROR(DEGREES(ATAN2($C122,$D122)),0))</f>
        <v/>
      </c>
      <c r="G122" s="61" t="str">
        <f aca="false">IF($B122="","",2*PI()*$B122)</f>
        <v/>
      </c>
      <c r="H122" s="54" t="str">
        <f aca="false">IF($B122="","",2*PI()*$B122/$B$5)</f>
        <v/>
      </c>
      <c r="I122" s="54" t="str">
        <f aca="false">IF($B122="","",$C122/$B$6)</f>
        <v/>
      </c>
      <c r="J122" s="54" t="str">
        <f aca="false">IF($B122="","",$D122/$B$6)</f>
        <v/>
      </c>
      <c r="K122" s="65"/>
      <c r="L122" s="2"/>
      <c r="M122" s="2"/>
      <c r="N122" s="2"/>
    </row>
    <row r="123" customFormat="false" ht="15" hidden="false" customHeight="false" outlineLevel="0" collapsed="false">
      <c r="A123" s="47" t="n">
        <v>116</v>
      </c>
      <c r="B123" s="63"/>
      <c r="C123" s="64"/>
      <c r="D123" s="64"/>
      <c r="E123" s="54" t="str">
        <f aca="false">IF($B123="","",SQRT($C123^2+$D123^2))</f>
        <v/>
      </c>
      <c r="F123" s="36" t="str">
        <f aca="false">IF($B123="","",IFERROR(DEGREES(ATAN2($C123,$D123)),0))</f>
        <v/>
      </c>
      <c r="G123" s="61" t="str">
        <f aca="false">IF($B123="","",2*PI()*$B123)</f>
        <v/>
      </c>
      <c r="H123" s="54" t="str">
        <f aca="false">IF($B123="","",2*PI()*$B123/$B$5)</f>
        <v/>
      </c>
      <c r="I123" s="54" t="str">
        <f aca="false">IF($B123="","",$C123/$B$6)</f>
        <v/>
      </c>
      <c r="J123" s="54" t="str">
        <f aca="false">IF($B123="","",$D123/$B$6)</f>
        <v/>
      </c>
      <c r="K123" s="65"/>
      <c r="L123" s="2"/>
      <c r="M123" s="2"/>
      <c r="N123" s="2"/>
    </row>
    <row r="124" customFormat="false" ht="15" hidden="false" customHeight="false" outlineLevel="0" collapsed="false">
      <c r="A124" s="47" t="n">
        <v>117</v>
      </c>
      <c r="B124" s="63"/>
      <c r="C124" s="64"/>
      <c r="D124" s="64"/>
      <c r="E124" s="54" t="str">
        <f aca="false">IF($B124="","",SQRT($C124^2+$D124^2))</f>
        <v/>
      </c>
      <c r="F124" s="36" t="str">
        <f aca="false">IF($B124="","",IFERROR(DEGREES(ATAN2($C124,$D124)),0))</f>
        <v/>
      </c>
      <c r="G124" s="61" t="str">
        <f aca="false">IF($B124="","",2*PI()*$B124)</f>
        <v/>
      </c>
      <c r="H124" s="54" t="str">
        <f aca="false">IF($B124="","",2*PI()*$B124/$B$5)</f>
        <v/>
      </c>
      <c r="I124" s="54" t="str">
        <f aca="false">IF($B124="","",$C124/$B$6)</f>
        <v/>
      </c>
      <c r="J124" s="54" t="str">
        <f aca="false">IF($B124="","",$D124/$B$6)</f>
        <v/>
      </c>
      <c r="K124" s="65"/>
      <c r="L124" s="2"/>
      <c r="M124" s="2"/>
      <c r="N124" s="2"/>
    </row>
    <row r="125" customFormat="false" ht="15" hidden="false" customHeight="false" outlineLevel="0" collapsed="false">
      <c r="A125" s="47" t="n">
        <v>118</v>
      </c>
      <c r="B125" s="63"/>
      <c r="C125" s="64"/>
      <c r="D125" s="64"/>
      <c r="E125" s="54" t="str">
        <f aca="false">IF($B125="","",SQRT($C125^2+$D125^2))</f>
        <v/>
      </c>
      <c r="F125" s="36" t="str">
        <f aca="false">IF($B125="","",IFERROR(DEGREES(ATAN2($C125,$D125)),0))</f>
        <v/>
      </c>
      <c r="G125" s="61" t="str">
        <f aca="false">IF($B125="","",2*PI()*$B125)</f>
        <v/>
      </c>
      <c r="H125" s="54" t="str">
        <f aca="false">IF($B125="","",2*PI()*$B125/$B$5)</f>
        <v/>
      </c>
      <c r="I125" s="54" t="str">
        <f aca="false">IF($B125="","",$C125/$B$6)</f>
        <v/>
      </c>
      <c r="J125" s="54" t="str">
        <f aca="false">IF($B125="","",$D125/$B$6)</f>
        <v/>
      </c>
      <c r="K125" s="65"/>
      <c r="L125" s="2"/>
      <c r="M125" s="2"/>
      <c r="N125" s="2"/>
    </row>
    <row r="126" customFormat="false" ht="15" hidden="false" customHeight="false" outlineLevel="0" collapsed="false">
      <c r="A126" s="47" t="n">
        <v>119</v>
      </c>
      <c r="B126" s="63"/>
      <c r="C126" s="64"/>
      <c r="D126" s="64"/>
      <c r="E126" s="54" t="str">
        <f aca="false">IF($B126="","",SQRT($C126^2+$D126^2))</f>
        <v/>
      </c>
      <c r="F126" s="36" t="str">
        <f aca="false">IF($B126="","",IFERROR(DEGREES(ATAN2($C126,$D126)),0))</f>
        <v/>
      </c>
      <c r="G126" s="61" t="str">
        <f aca="false">IF($B126="","",2*PI()*$B126)</f>
        <v/>
      </c>
      <c r="H126" s="54" t="str">
        <f aca="false">IF($B126="","",2*PI()*$B126/$B$5)</f>
        <v/>
      </c>
      <c r="I126" s="54" t="str">
        <f aca="false">IF($B126="","",$C126/$B$6)</f>
        <v/>
      </c>
      <c r="J126" s="54" t="str">
        <f aca="false">IF($B126="","",$D126/$B$6)</f>
        <v/>
      </c>
      <c r="K126" s="65"/>
      <c r="L126" s="2"/>
      <c r="M126" s="2"/>
      <c r="N126" s="2"/>
    </row>
    <row r="127" customFormat="false" ht="15" hidden="false" customHeight="false" outlineLevel="0" collapsed="false">
      <c r="A127" s="47" t="n">
        <v>120</v>
      </c>
      <c r="B127" s="63"/>
      <c r="C127" s="64"/>
      <c r="D127" s="64"/>
      <c r="E127" s="54" t="str">
        <f aca="false">IF($B127="","",SQRT($C127^2+$D127^2))</f>
        <v/>
      </c>
      <c r="F127" s="36" t="str">
        <f aca="false">IF($B127="","",IFERROR(DEGREES(ATAN2($C127,$D127)),0))</f>
        <v/>
      </c>
      <c r="G127" s="61" t="str">
        <f aca="false">IF($B127="","",2*PI()*$B127)</f>
        <v/>
      </c>
      <c r="H127" s="54" t="str">
        <f aca="false">IF($B127="","",2*PI()*$B127/$B$5)</f>
        <v/>
      </c>
      <c r="I127" s="54" t="str">
        <f aca="false">IF($B127="","",$C127/$B$6)</f>
        <v/>
      </c>
      <c r="J127" s="54" t="str">
        <f aca="false">IF($B127="","",$D127/$B$6)</f>
        <v/>
      </c>
      <c r="K127" s="65"/>
      <c r="L127" s="2"/>
      <c r="M127" s="2"/>
      <c r="N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E6A0"/>
    <pageSetUpPr fitToPage="false"/>
  </sheetPr>
  <dimension ref="A1:N1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4" min="2" style="0" width="13"/>
    <col collapsed="false" customWidth="true" hidden="false" outlineLevel="0" max="6" min="5" style="0" width="15"/>
    <col collapsed="false" customWidth="true" hidden="false" outlineLevel="0" max="7" min="7" style="0" width="18"/>
    <col collapsed="false" customWidth="true" hidden="false" outlineLevel="0" max="9" min="8" style="0" width="14"/>
    <col collapsed="false" customWidth="true" hidden="false" outlineLevel="0" max="10" min="10" style="0" width="4"/>
    <col collapsed="false" customWidth="true" hidden="false" outlineLevel="0" max="11" min="11" style="0" width="50"/>
  </cols>
  <sheetData>
    <row r="1" customFormat="false" ht="18.55" hidden="false" customHeight="false" outlineLevel="0" collapsed="false">
      <c r="A1" s="66" t="s">
        <v>251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2"/>
      <c r="N1" s="2"/>
    </row>
    <row r="2" customFormat="false" ht="15" hidden="false" customHeight="false" outlineLevel="0" collapsed="false">
      <c r="A2" s="68" t="s">
        <v>252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2"/>
      <c r="N2" s="2"/>
    </row>
    <row r="3" customFormat="false" ht="15" hidden="false" customHeight="false" outlineLevel="0" collapsed="false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2"/>
      <c r="N3" s="2"/>
    </row>
    <row r="4" customFormat="false" ht="15" hidden="false" customHeight="false" outlineLevel="0" collapsed="false">
      <c r="A4" s="69" t="s">
        <v>253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2"/>
      <c r="N4" s="2"/>
    </row>
    <row r="5" customFormat="false" ht="15" hidden="false" customHeight="false" outlineLevel="0" collapsed="false">
      <c r="A5" s="67"/>
      <c r="B5" s="70" t="s">
        <v>254</v>
      </c>
      <c r="C5" s="67"/>
      <c r="D5" s="67"/>
      <c r="E5" s="29" t="n">
        <v>0.1</v>
      </c>
      <c r="F5" s="67"/>
      <c r="G5" s="68" t="s">
        <v>255</v>
      </c>
      <c r="H5" s="67"/>
      <c r="I5" s="67"/>
      <c r="J5" s="67"/>
      <c r="K5" s="67"/>
      <c r="L5" s="67"/>
      <c r="M5" s="2"/>
      <c r="N5" s="2"/>
    </row>
    <row r="6" customFormat="false" ht="15" hidden="false" customHeight="false" outlineLevel="0" collapsed="false">
      <c r="A6" s="67"/>
      <c r="B6" s="70" t="s">
        <v>256</v>
      </c>
      <c r="C6" s="67"/>
      <c r="D6" s="67"/>
      <c r="E6" s="71" t="n">
        <f aca="false">E5*MAX(C15:C134)</f>
        <v>0.00183931733259924</v>
      </c>
      <c r="F6" s="67"/>
      <c r="G6" s="67"/>
      <c r="H6" s="67"/>
      <c r="I6" s="67"/>
      <c r="J6" s="67"/>
      <c r="K6" s="67"/>
      <c r="L6" s="67"/>
      <c r="M6" s="2"/>
      <c r="N6" s="2"/>
    </row>
    <row r="7" customFormat="false" ht="15" hidden="false" customHeight="false" outlineLevel="0" collapsed="false">
      <c r="A7" s="67"/>
      <c r="B7" s="70" t="s">
        <v>257</v>
      </c>
      <c r="C7" s="67"/>
      <c r="D7" s="67"/>
      <c r="E7" s="31" t="n">
        <f aca="false">COUNTIF(F15:F134,"◀ ピーク")</f>
        <v>2</v>
      </c>
      <c r="F7" s="67"/>
      <c r="G7" s="67"/>
      <c r="H7" s="67"/>
      <c r="I7" s="67"/>
      <c r="J7" s="67"/>
      <c r="K7" s="67"/>
      <c r="L7" s="67"/>
      <c r="M7" s="2"/>
      <c r="N7" s="2"/>
    </row>
    <row r="8" customFormat="false" ht="21.75" hidden="false" customHeight="true" outlineLevel="0" collapsed="false">
      <c r="A8" s="72"/>
      <c r="B8" s="73" t="s">
        <v>258</v>
      </c>
      <c r="C8" s="74"/>
      <c r="D8" s="75"/>
      <c r="E8" s="76" t="str">
        <f aca="false">IF(E7=0,"山なし。しきい値を下げてください",IF(E7=1,"1本 → 05の半値幅法で十分",IF(E7=2,"2本 → このブックの本命。06以降へ進む","3本以上 → 分母4次のRFPでは足りません。帯域を狭めるかPythonへ")))</f>
        <v>2本 → このブックの本命。06以降へ進む</v>
      </c>
      <c r="F8" s="67"/>
      <c r="G8" s="68" t="s">
        <v>259</v>
      </c>
      <c r="H8" s="74"/>
      <c r="I8" s="74"/>
      <c r="J8" s="67"/>
      <c r="K8" s="67"/>
      <c r="L8" s="67"/>
      <c r="M8" s="2"/>
      <c r="N8" s="2"/>
    </row>
    <row r="9" customFormat="false" ht="15" hidden="false" customHeight="false" outlineLevel="0" collapsed="false">
      <c r="A9" s="72"/>
      <c r="B9" s="73" t="s">
        <v>260</v>
      </c>
      <c r="C9" s="74"/>
      <c r="D9" s="75"/>
      <c r="E9" s="77" t="str">
        <f aca="false">IF(E7=0,"－",_xlfn.TEXTJOIN("  /  ",TRUE(),G15:G134))</f>
        <v>3480.0 Hz  /  3520.0 Hz</v>
      </c>
      <c r="F9" s="67"/>
      <c r="G9" s="67"/>
      <c r="H9" s="74"/>
      <c r="I9" s="74"/>
      <c r="J9" s="67"/>
      <c r="K9" s="67"/>
      <c r="L9" s="67"/>
      <c r="M9" s="2"/>
      <c r="N9" s="2"/>
    </row>
    <row r="10" customFormat="false" ht="15" hidden="false" customHeight="false" outlineLevel="0" collapsed="false">
      <c r="A10" s="72"/>
      <c r="B10" s="73"/>
      <c r="C10" s="74"/>
      <c r="D10" s="75"/>
      <c r="E10" s="78"/>
      <c r="F10" s="67"/>
      <c r="G10" s="67"/>
      <c r="H10" s="74"/>
      <c r="I10" s="74"/>
      <c r="J10" s="67"/>
      <c r="K10" s="67"/>
      <c r="L10" s="67"/>
      <c r="M10" s="2"/>
      <c r="N10" s="2"/>
    </row>
    <row r="11" customFormat="false" ht="17.15" hidden="false" customHeight="false" outlineLevel="0" collapsed="false">
      <c r="A11" s="79" t="s">
        <v>261</v>
      </c>
      <c r="B11" s="73"/>
      <c r="C11" s="74"/>
      <c r="D11" s="75"/>
      <c r="E11" s="78"/>
      <c r="F11" s="67"/>
      <c r="G11" s="67"/>
      <c r="H11" s="74"/>
      <c r="I11" s="74"/>
      <c r="J11" s="67"/>
      <c r="K11" s="67"/>
      <c r="L11" s="67"/>
      <c r="M11" s="2"/>
      <c r="N11" s="2"/>
    </row>
    <row r="12" customFormat="false" ht="24" hidden="false" customHeight="true" outlineLevel="0" collapsed="false">
      <c r="A12" s="72"/>
      <c r="B12" s="80" t="s">
        <v>262</v>
      </c>
      <c r="C12" s="74"/>
      <c r="D12" s="75"/>
      <c r="E12" s="78"/>
      <c r="F12" s="67"/>
      <c r="G12" s="67"/>
      <c r="H12" s="74"/>
      <c r="I12" s="74"/>
      <c r="J12" s="67"/>
      <c r="K12" s="67"/>
      <c r="L12" s="67"/>
      <c r="M12" s="2"/>
      <c r="N12" s="2"/>
    </row>
    <row r="13" customFormat="false" ht="24" hidden="false" customHeight="true" outlineLevel="0" collapsed="false">
      <c r="A13" s="72"/>
      <c r="B13" s="81" t="s">
        <v>263</v>
      </c>
      <c r="C13" s="74"/>
      <c r="D13" s="75"/>
      <c r="E13" s="78"/>
      <c r="F13" s="67"/>
      <c r="G13" s="67"/>
      <c r="H13" s="74"/>
      <c r="I13" s="74"/>
      <c r="J13" s="67"/>
      <c r="K13" s="67"/>
      <c r="L13" s="67"/>
      <c r="M13" s="2"/>
      <c r="N13" s="2"/>
    </row>
    <row r="14" customFormat="false" ht="31.5" hidden="false" customHeight="true" outlineLevel="0" collapsed="false">
      <c r="A14" s="82" t="s">
        <v>239</v>
      </c>
      <c r="B14" s="83" t="s">
        <v>264</v>
      </c>
      <c r="C14" s="84" t="s">
        <v>265</v>
      </c>
      <c r="D14" s="85" t="s">
        <v>266</v>
      </c>
      <c r="E14" s="86" t="s">
        <v>267</v>
      </c>
      <c r="F14" s="87" t="s">
        <v>268</v>
      </c>
      <c r="G14" s="87" t="s">
        <v>269</v>
      </c>
      <c r="H14" s="84" t="s">
        <v>270</v>
      </c>
      <c r="I14" s="84" t="s">
        <v>271</v>
      </c>
      <c r="J14" s="67"/>
      <c r="K14" s="67"/>
      <c r="L14" s="67"/>
      <c r="M14" s="2"/>
      <c r="N14" s="2"/>
    </row>
    <row r="15" customFormat="false" ht="15" hidden="false" customHeight="false" outlineLevel="0" collapsed="false">
      <c r="A15" s="88" t="n">
        <f aca="false">IF(03_FRFデータ貼付!B8="","",03_FRFデータ貼付!A8)</f>
        <v>1</v>
      </c>
      <c r="B15" s="89" t="n">
        <f aca="false">IF(03_FRFデータ貼付!B8="","",03_FRFデータ貼付!B8)</f>
        <v>3400</v>
      </c>
      <c r="C15" s="71" t="n">
        <f aca="false">IF(03_FRFデータ貼付!B8="","",03_FRFデータ貼付!E8)</f>
        <v>0.00301043202879587</v>
      </c>
      <c r="D15" s="90" t="n">
        <f aca="false">IF(03_FRFデータ貼付!B8="","",03_FRFデータ貼付!F8)</f>
        <v>89.0293006058324</v>
      </c>
      <c r="E15" s="91" t="n">
        <f aca="false">IF(OR(03_FRFデータ貼付!B8="",03_FRFデータ貼付!E8=0),"",ABS(03_FRFデータ貼付!D8)/03_FRFデータ貼付!E8)</f>
        <v>0.99985648943682</v>
      </c>
      <c r="F15" s="92" t="str">
        <f aca="false">""</f>
        <v/>
      </c>
      <c r="G15" s="92" t="str">
        <f aca="false">""</f>
        <v/>
      </c>
      <c r="H15" s="71" t="n">
        <f aca="false">IF(03_FRFデータ貼付!B8="","",03_FRFデータ貼付!C8)</f>
        <v>5.1E-005</v>
      </c>
      <c r="I15" s="71" t="n">
        <f aca="false">IF(03_FRFデータ貼付!B8="","",03_FRFデータ貼付!D8)</f>
        <v>0.00301</v>
      </c>
      <c r="J15" s="67"/>
      <c r="K15" s="93" t="s">
        <v>272</v>
      </c>
      <c r="L15" s="67"/>
      <c r="M15" s="2"/>
      <c r="N15" s="2"/>
    </row>
    <row r="16" customFormat="false" ht="15" hidden="false" customHeight="false" outlineLevel="0" collapsed="false">
      <c r="A16" s="88" t="n">
        <f aca="false">IF(03_FRFデータ貼付!B9="","",03_FRFデータ貼付!A9)</f>
        <v>2</v>
      </c>
      <c r="B16" s="89" t="n">
        <f aca="false">IF(03_FRFデータ貼付!B9="","",03_FRFデータ貼付!B9)</f>
        <v>3410</v>
      </c>
      <c r="C16" s="71" t="n">
        <f aca="false">IF(03_FRFデータ貼付!B9="","",03_FRFデータ貼付!E9)</f>
        <v>0.00339227504781083</v>
      </c>
      <c r="D16" s="90" t="n">
        <f aca="false">IF(03_FRFデータ貼付!B9="","",03_FRFデータ貼付!F9)</f>
        <v>88.4290262065316</v>
      </c>
      <c r="E16" s="91" t="n">
        <f aca="false">IF(OR(03_FRFデータ貼付!B9="",03_FRFデータ貼付!E9=0),"",ABS(03_FRFデータ貼付!D9)/03_FRFデータ貼付!E9)</f>
        <v>0.999624131948954</v>
      </c>
      <c r="F16" s="94" t="str">
        <f aca="false">IF(OR(C16="",C15="",C17=""),"",IF(AND(C16&gt;C15,C16&gt;=C17,C16&gt;=$E$6),"◀ ピーク",""))</f>
        <v/>
      </c>
      <c r="G16" s="95" t="str">
        <f aca="false">IF(F16="◀ ピーク",TEXT(B16,"0.0")&amp;" Hz","")</f>
        <v/>
      </c>
      <c r="H16" s="71" t="n">
        <f aca="false">IF(03_FRFデータ貼付!B9="","",03_FRFデータ貼付!C9)</f>
        <v>9.3E-005</v>
      </c>
      <c r="I16" s="71" t="n">
        <f aca="false">IF(03_FRFデータ貼付!B9="","",03_FRFデータ貼付!D9)</f>
        <v>0.003391</v>
      </c>
      <c r="J16" s="67"/>
      <c r="K16" s="96" t="s">
        <v>273</v>
      </c>
      <c r="L16" s="67"/>
      <c r="M16" s="2"/>
      <c r="N16" s="2"/>
    </row>
    <row r="17" customFormat="false" ht="15" hidden="false" customHeight="false" outlineLevel="0" collapsed="false">
      <c r="A17" s="88" t="n">
        <f aca="false">IF(03_FRFデータ貼付!B10="","",03_FRFデータ貼付!A10)</f>
        <v>3</v>
      </c>
      <c r="B17" s="89" t="n">
        <f aca="false">IF(03_FRFデータ貼付!B10="","",03_FRFデータ貼付!B10)</f>
        <v>3420</v>
      </c>
      <c r="C17" s="71" t="n">
        <f aca="false">IF(03_FRFデータ貼付!B10="","",03_FRFデータ貼付!E10)</f>
        <v>0.0038793839717151</v>
      </c>
      <c r="D17" s="90" t="n">
        <f aca="false">IF(03_FRFデータ貼付!B10="","",03_FRFデータ貼付!F10)</f>
        <v>87.6066777223385</v>
      </c>
      <c r="E17" s="91" t="n">
        <f aca="false">IF(OR(03_FRFデータ貼付!B10="",03_FRFデータ貼付!E10=0),"",ABS(03_FRFデータ貼付!D10)/03_FRFデータ貼付!E10)</f>
        <v>0.999127703846856</v>
      </c>
      <c r="F17" s="94" t="str">
        <f aca="false">IF(OR(C17="",C16="",C18=""),"",IF(AND(C17&gt;C16,C17&gt;=C18,C17&gt;=$E$6),"◀ ピーク",""))</f>
        <v/>
      </c>
      <c r="G17" s="95" t="str">
        <f aca="false">IF(F17="◀ ピーク",TEXT(B17,"0.0")&amp;" Hz","")</f>
        <v/>
      </c>
      <c r="H17" s="71" t="n">
        <f aca="false">IF(03_FRFデータ貼付!B10="","",03_FRFデータ貼付!C10)</f>
        <v>0.000162</v>
      </c>
      <c r="I17" s="71" t="n">
        <f aca="false">IF(03_FRFデータ貼付!B10="","",03_FRFデータ貼付!D10)</f>
        <v>0.003876</v>
      </c>
      <c r="J17" s="67"/>
      <c r="K17" s="96" t="s">
        <v>274</v>
      </c>
      <c r="L17" s="67"/>
      <c r="M17" s="2"/>
      <c r="N17" s="2"/>
    </row>
    <row r="18" customFormat="false" ht="15" hidden="false" customHeight="false" outlineLevel="0" collapsed="false">
      <c r="A18" s="88" t="n">
        <f aca="false">IF(03_FRFデータ貼付!B11="","",03_FRFデータ貼付!A11)</f>
        <v>4</v>
      </c>
      <c r="B18" s="89" t="n">
        <f aca="false">IF(03_FRFデータ貼付!B11="","",03_FRFデータ貼付!B11)</f>
        <v>3430</v>
      </c>
      <c r="C18" s="71" t="n">
        <f aca="false">IF(03_FRFデータ貼付!B11="","",03_FRFデータ貼付!E11)</f>
        <v>0.00452467192180825</v>
      </c>
      <c r="D18" s="90" t="n">
        <f aca="false">IF(03_FRFデータ貼付!B11="","",03_FRFデータ貼付!F11)</f>
        <v>86.4521018207277</v>
      </c>
      <c r="E18" s="91" t="n">
        <f aca="false">IF(OR(03_FRFデータ貼付!B11="",03_FRFデータ貼付!E11=0),"",ABS(03_FRFデータ貼付!D11)/03_FRFデータ貼付!E11)</f>
        <v>0.998083414232432</v>
      </c>
      <c r="F18" s="94" t="str">
        <f aca="false">IF(OR(C18="",C17="",C19=""),"",IF(AND(C18&gt;C17,C18&gt;=C19,C18&gt;=$E$6),"◀ ピーク",""))</f>
        <v/>
      </c>
      <c r="G18" s="95" t="str">
        <f aca="false">IF(F18="◀ ピーク",TEXT(B18,"0.0")&amp;" Hz","")</f>
        <v/>
      </c>
      <c r="H18" s="71" t="n">
        <f aca="false">IF(03_FRFデータ貼付!B11="","",03_FRFデータ貼付!C11)</f>
        <v>0.00028</v>
      </c>
      <c r="I18" s="71" t="n">
        <f aca="false">IF(03_FRFデータ貼付!B11="","",03_FRFデータ貼付!D11)</f>
        <v>0.004516</v>
      </c>
      <c r="J18" s="67"/>
      <c r="K18" s="96" t="s">
        <v>275</v>
      </c>
      <c r="L18" s="67"/>
      <c r="M18" s="2"/>
      <c r="N18" s="2"/>
    </row>
    <row r="19" customFormat="false" ht="15" hidden="false" customHeight="false" outlineLevel="0" collapsed="false">
      <c r="A19" s="88" t="n">
        <f aca="false">IF(03_FRFデータ貼付!B12="","",03_FRFデータ貼付!A12)</f>
        <v>5</v>
      </c>
      <c r="B19" s="89" t="n">
        <f aca="false">IF(03_FRFデータ貼付!B12="","",03_FRFデータ貼付!B12)</f>
        <v>3440</v>
      </c>
      <c r="C19" s="71" t="n">
        <f aca="false">IF(03_FRFデータ貼付!B12="","",03_FRFデータ貼付!E12)</f>
        <v>0.0054869402220181</v>
      </c>
      <c r="D19" s="90" t="n">
        <f aca="false">IF(03_FRFデータ貼付!B12="","",03_FRFデータ貼付!F12)</f>
        <v>84.6457994292091</v>
      </c>
      <c r="E19" s="91" t="n">
        <f aca="false">IF(OR(03_FRFデータ貼付!B12="",03_FRFデータ貼付!E12=0),"",ABS(03_FRFデータ貼付!D12)/03_FRFデータ貼付!E12)</f>
        <v>0.995636872090928</v>
      </c>
      <c r="F19" s="94" t="str">
        <f aca="false">IF(OR(C19="",C18="",C20=""),"",IF(AND(C19&gt;C18,C19&gt;=C20,C19&gt;=$E$6),"◀ ピーク",""))</f>
        <v/>
      </c>
      <c r="G19" s="95" t="str">
        <f aca="false">IF(F19="◀ ピーク",TEXT(B19,"0.0")&amp;" Hz","")</f>
        <v/>
      </c>
      <c r="H19" s="71" t="n">
        <f aca="false">IF(03_FRFデータ貼付!B12="","",03_FRFデータ貼付!C12)</f>
        <v>0.000512</v>
      </c>
      <c r="I19" s="71" t="n">
        <f aca="false">IF(03_FRFデータ貼付!B12="","",03_FRFデータ貼付!D12)</f>
        <v>0.005463</v>
      </c>
      <c r="J19" s="67"/>
      <c r="K19" s="96" t="s">
        <v>276</v>
      </c>
      <c r="L19" s="67"/>
      <c r="M19" s="2"/>
      <c r="N19" s="2"/>
    </row>
    <row r="20" customFormat="false" ht="15" hidden="false" customHeight="false" outlineLevel="0" collapsed="false">
      <c r="A20" s="88" t="n">
        <f aca="false">IF(03_FRFデータ貼付!B13="","",03_FRFデータ貼付!A13)</f>
        <v>6</v>
      </c>
      <c r="B20" s="89" t="n">
        <f aca="false">IF(03_FRFデータ貼付!B13="","",03_FRFデータ貼付!B13)</f>
        <v>3450</v>
      </c>
      <c r="C20" s="71" t="n">
        <f aca="false">IF(03_FRFデータ貼付!B13="","",03_FRFデータ貼付!E13)</f>
        <v>0.00692889399543679</v>
      </c>
      <c r="D20" s="90" t="n">
        <f aca="false">IF(03_FRFデータ貼付!B13="","",03_FRFデータ貼付!F13)</f>
        <v>81.5681836711198</v>
      </c>
      <c r="E20" s="91" t="n">
        <f aca="false">IF(OR(03_FRFデータ貼付!B13="",03_FRFデータ貼付!E13=0),"",ABS(03_FRFデータ貼付!D13)/03_FRFデータ貼付!E13)</f>
        <v>0.989191060581081</v>
      </c>
      <c r="F20" s="94" t="str">
        <f aca="false">IF(OR(C20="",C19="",C21=""),"",IF(AND(C20&gt;C19,C20&gt;=C21,C20&gt;=$E$6),"◀ ピーク",""))</f>
        <v/>
      </c>
      <c r="G20" s="95" t="str">
        <f aca="false">IF(F20="◀ ピーク",TEXT(B20,"0.0")&amp;" Hz","")</f>
        <v/>
      </c>
      <c r="H20" s="71" t="n">
        <f aca="false">IF(03_FRFデータ貼付!B13="","",03_FRFデータ貼付!C13)</f>
        <v>0.001016</v>
      </c>
      <c r="I20" s="71" t="n">
        <f aca="false">IF(03_FRFデータ貼付!B13="","",03_FRFデータ貼付!D13)</f>
        <v>0.006854</v>
      </c>
      <c r="J20" s="67"/>
      <c r="K20" s="96"/>
      <c r="L20" s="67"/>
      <c r="M20" s="2"/>
      <c r="N20" s="2"/>
    </row>
    <row r="21" customFormat="false" ht="15" hidden="false" customHeight="false" outlineLevel="0" collapsed="false">
      <c r="A21" s="88" t="n">
        <f aca="false">IF(03_FRFデータ貼付!B14="","",03_FRFデータ貼付!A14)</f>
        <v>7</v>
      </c>
      <c r="B21" s="89" t="n">
        <f aca="false">IF(03_FRFデータ貼付!B14="","",03_FRFデータ貼付!B14)</f>
        <v>3460</v>
      </c>
      <c r="C21" s="71" t="n">
        <f aca="false">IF(03_FRFデータ貼付!B14="","",03_FRFデータ貼付!E14)</f>
        <v>0.00938218759138827</v>
      </c>
      <c r="D21" s="90" t="n">
        <f aca="false">IF(03_FRFデータ貼付!B14="","",03_FRFデータ貼付!F14)</f>
        <v>75.4186913649928</v>
      </c>
      <c r="E21" s="91" t="n">
        <f aca="false">IF(OR(03_FRFデータ貼付!B14="",03_FRFデータ貼付!E14=0),"",ABS(03_FRFデータ貼付!D14)/03_FRFデータ貼付!E14)</f>
        <v>0.967791350530484</v>
      </c>
      <c r="F21" s="94" t="str">
        <f aca="false">IF(OR(C21="",C20="",C22=""),"",IF(AND(C21&gt;C20,C21&gt;=C22,C21&gt;=$E$6),"◀ ピーク",""))</f>
        <v/>
      </c>
      <c r="G21" s="95" t="str">
        <f aca="false">IF(F21="◀ ピーク",TEXT(B21,"0.0")&amp;" Hz","")</f>
        <v/>
      </c>
      <c r="H21" s="71" t="n">
        <f aca="false">IF(03_FRFデータ貼付!B14="","",03_FRFデータ貼付!C14)</f>
        <v>0.002362</v>
      </c>
      <c r="I21" s="71" t="n">
        <f aca="false">IF(03_FRFデータ貼付!B14="","",03_FRFデータ貼付!D14)</f>
        <v>0.00908</v>
      </c>
      <c r="J21" s="67"/>
      <c r="K21" s="97" t="s">
        <v>277</v>
      </c>
      <c r="L21" s="67"/>
      <c r="M21" s="2"/>
      <c r="N21" s="2"/>
    </row>
    <row r="22" customFormat="false" ht="15" hidden="false" customHeight="false" outlineLevel="0" collapsed="false">
      <c r="A22" s="88" t="n">
        <f aca="false">IF(03_FRFデータ貼付!B15="","",03_FRFデータ貼付!A15)</f>
        <v>8</v>
      </c>
      <c r="B22" s="89" t="n">
        <f aca="false">IF(03_FRFデータ貼付!B15="","",03_FRFデータ貼付!B15)</f>
        <v>3470</v>
      </c>
      <c r="C22" s="71" t="n">
        <f aca="false">IF(03_FRFデータ貼付!B15="","",03_FRFデータ貼付!E15)</f>
        <v>0.0140101021409553</v>
      </c>
      <c r="D22" s="90" t="n">
        <f aca="false">IF(03_FRFデータ貼付!B15="","",03_FRFデータ貼付!F15)</f>
        <v>60.3114237987939</v>
      </c>
      <c r="E22" s="91" t="n">
        <f aca="false">IF(OR(03_FRFデータ貼付!B15="",03_FRFデータ貼付!E15=0),"",ABS(03_FRFデータ貼付!D15)/03_FRFデータ貼付!E15)</f>
        <v>0.8687302831591</v>
      </c>
      <c r="F22" s="94" t="str">
        <f aca="false">IF(OR(C22="",C21="",C23=""),"",IF(AND(C22&gt;C21,C22&gt;=C23,C22&gt;=$E$6),"◀ ピーク",""))</f>
        <v/>
      </c>
      <c r="G22" s="95" t="str">
        <f aca="false">IF(F22="◀ ピーク",TEXT(B22,"0.0")&amp;" Hz","")</f>
        <v/>
      </c>
      <c r="H22" s="71" t="n">
        <f aca="false">IF(03_FRFデータ貼付!B15="","",03_FRFデータ貼付!C15)</f>
        <v>0.006939</v>
      </c>
      <c r="I22" s="71" t="n">
        <f aca="false">IF(03_FRFデータ貼付!B15="","",03_FRFデータ貼付!D15)</f>
        <v>0.012171</v>
      </c>
      <c r="J22" s="67"/>
      <c r="K22" s="98" t="s">
        <v>278</v>
      </c>
      <c r="L22" s="67"/>
      <c r="M22" s="2"/>
      <c r="N22" s="2"/>
    </row>
    <row r="23" customFormat="false" ht="15" hidden="false" customHeight="false" outlineLevel="0" collapsed="false">
      <c r="A23" s="88" t="n">
        <f aca="false">IF(03_FRFデータ貼付!B16="","",03_FRFデータ貼付!A16)</f>
        <v>9</v>
      </c>
      <c r="B23" s="89" t="n">
        <f aca="false">IF(03_FRFデータ貼付!B16="","",03_FRFデータ貼付!B16)</f>
        <v>3480</v>
      </c>
      <c r="C23" s="71" t="n">
        <f aca="false">IF(03_FRFデータ貼付!B16="","",03_FRFデータ貼付!E16)</f>
        <v>0.0183931733259924</v>
      </c>
      <c r="D23" s="90" t="n">
        <f aca="false">IF(03_FRFデータ貼付!B16="","",03_FRFデータ貼付!F16)</f>
        <v>22.7032526516283</v>
      </c>
      <c r="E23" s="91" t="n">
        <f aca="false">IF(OR(03_FRFデータ貼付!B16="",03_FRFデータ貼付!E16=0),"",ABS(03_FRFデータ貼付!D16)/03_FRFデータ貼付!E16)</f>
        <v>0.385958413710374</v>
      </c>
      <c r="F23" s="94" t="str">
        <f aca="false">IF(OR(C23="",C22="",C24=""),"",IF(AND(C23&gt;C22,C23&gt;=C24,C23&gt;=$E$6),"◀ ピーク",""))</f>
        <v>◀ ピーク</v>
      </c>
      <c r="G23" s="95" t="str">
        <f aca="false">IF(F23="◀ ピーク",TEXT(B23,"0.0")&amp;" Hz","")</f>
        <v>3480.0 Hz</v>
      </c>
      <c r="H23" s="71" t="n">
        <f aca="false">IF(03_FRFデータ貼付!B16="","",03_FRFデータ貼付!C16)</f>
        <v>0.016968</v>
      </c>
      <c r="I23" s="71" t="n">
        <f aca="false">IF(03_FRFデータ貼付!B16="","",03_FRFデータ貼付!D16)</f>
        <v>0.007099</v>
      </c>
      <c r="J23" s="67"/>
      <c r="K23" s="96" t="s">
        <v>279</v>
      </c>
      <c r="L23" s="67"/>
      <c r="M23" s="2"/>
      <c r="N23" s="2"/>
    </row>
    <row r="24" customFormat="false" ht="15" hidden="false" customHeight="false" outlineLevel="0" collapsed="false">
      <c r="A24" s="88" t="n">
        <f aca="false">IF(03_FRFデータ貼付!B17="","",03_FRFデータ貼付!A17)</f>
        <v>10</v>
      </c>
      <c r="B24" s="89" t="n">
        <f aca="false">IF(03_FRFデータ貼付!B17="","",03_FRFデータ貼付!B17)</f>
        <v>3490</v>
      </c>
      <c r="C24" s="71" t="n">
        <f aca="false">IF(03_FRFデータ貼付!B17="","",03_FRFデータ貼付!E17)</f>
        <v>0.0129225119075201</v>
      </c>
      <c r="D24" s="90" t="n">
        <f aca="false">IF(03_FRFデータ貼付!B17="","",03_FRFデータ貼付!F17)</f>
        <v>-9.82459366005832</v>
      </c>
      <c r="E24" s="91" t="n">
        <f aca="false">IF(OR(03_FRFデータ貼付!B17="",03_FRFデータ貼付!E17=0),"",ABS(03_FRFデータ貼付!D17)/03_FRFデータ貼付!E17)</f>
        <v>0.170632460297198</v>
      </c>
      <c r="F24" s="94" t="str">
        <f aca="false">IF(OR(C24="",C23="",C25=""),"",IF(AND(C24&gt;C23,C24&gt;=C25,C24&gt;=$E$6),"◀ ピーク",""))</f>
        <v/>
      </c>
      <c r="G24" s="95" t="str">
        <f aca="false">IF(F24="◀ ピーク",TEXT(B24,"0.0")&amp;" Hz","")</f>
        <v/>
      </c>
      <c r="H24" s="71" t="n">
        <f aca="false">IF(03_FRFデータ貼付!B17="","",03_FRFデータ貼付!C17)</f>
        <v>0.012733</v>
      </c>
      <c r="I24" s="71" t="n">
        <f aca="false">IF(03_FRFデータ貼付!B17="","",03_FRFデータ貼付!D17)</f>
        <v>-0.002205</v>
      </c>
      <c r="J24" s="67"/>
      <c r="K24" s="96" t="s">
        <v>280</v>
      </c>
      <c r="L24" s="67"/>
      <c r="M24" s="2"/>
      <c r="N24" s="2"/>
    </row>
    <row r="25" customFormat="false" ht="15" hidden="false" customHeight="false" outlineLevel="0" collapsed="false">
      <c r="A25" s="88" t="n">
        <f aca="false">IF(03_FRFデータ貼付!B18="","",03_FRFデータ貼付!A18)</f>
        <v>11</v>
      </c>
      <c r="B25" s="89" t="n">
        <f aca="false">IF(03_FRFデータ貼付!B18="","",03_FRFデータ貼付!B18)</f>
        <v>3500</v>
      </c>
      <c r="C25" s="71" t="n">
        <f aca="false">IF(03_FRFデータ貼付!B18="","",03_FRFデータ貼付!E18)</f>
        <v>0.00937656850878828</v>
      </c>
      <c r="D25" s="90" t="n">
        <f aca="false">IF(03_FRFデータ貼付!B18="","",03_FRFデータ貼付!F18)</f>
        <v>-11.1050102485833</v>
      </c>
      <c r="E25" s="91" t="n">
        <f aca="false">IF(OR(03_FRFデータ貼付!B18="",03_FRFデータ貼付!E18=0),"",ABS(03_FRFデータ貼付!D18)/03_FRFデータ貼付!E18)</f>
        <v>0.192607775254594</v>
      </c>
      <c r="F25" s="94" t="str">
        <f aca="false">IF(OR(C25="",C24="",C26=""),"",IF(AND(C25&gt;C24,C25&gt;=C26,C25&gt;=$E$6),"◀ ピーク",""))</f>
        <v/>
      </c>
      <c r="G25" s="95" t="str">
        <f aca="false">IF(F25="◀ ピーク",TEXT(B25,"0.0")&amp;" Hz","")</f>
        <v/>
      </c>
      <c r="H25" s="71" t="n">
        <f aca="false">IF(03_FRFデータ貼付!B18="","",03_FRFデータ貼付!C18)</f>
        <v>0.009201</v>
      </c>
      <c r="I25" s="71" t="n">
        <f aca="false">IF(03_FRFデータ貼付!B18="","",03_FRFデータ貼付!D18)</f>
        <v>-0.001806</v>
      </c>
      <c r="J25" s="67"/>
      <c r="K25" s="96" t="s">
        <v>281</v>
      </c>
      <c r="L25" s="67"/>
      <c r="M25" s="2"/>
      <c r="N25" s="2"/>
    </row>
    <row r="26" customFormat="false" ht="15" hidden="false" customHeight="false" outlineLevel="0" collapsed="false">
      <c r="A26" s="88" t="n">
        <f aca="false">IF(03_FRFデータ貼付!B19="","",03_FRFデータ貼付!A19)</f>
        <v>12</v>
      </c>
      <c r="B26" s="89" t="n">
        <f aca="false">IF(03_FRFデータ貼付!B19="","",03_FRFデータ貼付!B19)</f>
        <v>3510</v>
      </c>
      <c r="C26" s="71" t="n">
        <f aca="false">IF(03_FRFデータ貼付!B19="","",03_FRFデータ貼付!E19)</f>
        <v>0.010275049586255</v>
      </c>
      <c r="D26" s="90" t="n">
        <f aca="false">IF(03_FRFデータ貼付!B19="","",03_FRFデータ貼付!F19)</f>
        <v>-8.50705320977103</v>
      </c>
      <c r="E26" s="91" t="n">
        <f aca="false">IF(OR(03_FRFデータ貼付!B19="",03_FRFデータ貼付!E19=0),"",ABS(03_FRFデータ貼付!D19)/03_FRFデータ貼付!E19)</f>
        <v>0.147931159576427</v>
      </c>
      <c r="F26" s="94" t="str">
        <f aca="false">IF(OR(C26="",C25="",C27=""),"",IF(AND(C26&gt;C25,C26&gt;=C27,C26&gt;=$E$6),"◀ ピーク",""))</f>
        <v/>
      </c>
      <c r="G26" s="95" t="str">
        <f aca="false">IF(F26="◀ ピーク",TEXT(B26,"0.0")&amp;" Hz","")</f>
        <v/>
      </c>
      <c r="H26" s="71" t="n">
        <f aca="false">IF(03_FRFデータ貼付!B19="","",03_FRFデータ貼付!C19)</f>
        <v>0.010162</v>
      </c>
      <c r="I26" s="71" t="n">
        <f aca="false">IF(03_FRFデータ貼付!B19="","",03_FRFデータ貼付!D19)</f>
        <v>-0.00152</v>
      </c>
      <c r="J26" s="67"/>
      <c r="K26" s="98" t="s">
        <v>282</v>
      </c>
      <c r="L26" s="67"/>
      <c r="M26" s="2"/>
      <c r="N26" s="2"/>
    </row>
    <row r="27" customFormat="false" ht="15" hidden="false" customHeight="false" outlineLevel="0" collapsed="false">
      <c r="A27" s="88" t="n">
        <f aca="false">IF(03_FRFデータ貼付!B20="","",03_FRFデータ貼付!A20)</f>
        <v>13</v>
      </c>
      <c r="B27" s="89" t="n">
        <f aca="false">IF(03_FRFデータ貼付!B20="","",03_FRFデータ貼付!B20)</f>
        <v>3520</v>
      </c>
      <c r="C27" s="71" t="n">
        <f aca="false">IF(03_FRFデータ貼付!B20="","",03_FRFデータ貼付!E20)</f>
        <v>0.0125052468988021</v>
      </c>
      <c r="D27" s="90" t="n">
        <f aca="false">IF(03_FRFデータ貼付!B20="","",03_FRFデータ貼付!F20)</f>
        <v>-27.3437012425114</v>
      </c>
      <c r="E27" s="91" t="n">
        <f aca="false">IF(OR(03_FRFデータ貼付!B20="",03_FRFデータ貼付!E20=0),"",ABS(03_FRFデータ貼付!D20)/03_FRFデータ貼付!E20)</f>
        <v>0.459327196534618</v>
      </c>
      <c r="F27" s="94" t="str">
        <f aca="false">IF(OR(C27="",C26="",C28=""),"",IF(AND(C27&gt;C26,C27&gt;=C28,C27&gt;=$E$6),"◀ ピーク",""))</f>
        <v>◀ ピーク</v>
      </c>
      <c r="G27" s="95" t="str">
        <f aca="false">IF(F27="◀ ピーク",TEXT(B27,"0.0")&amp;" Hz","")</f>
        <v>3520.0 Hz</v>
      </c>
      <c r="H27" s="71" t="n">
        <f aca="false">IF(03_FRFデータ貼付!B20="","",03_FRFデータ貼付!C20)</f>
        <v>0.011108</v>
      </c>
      <c r="I27" s="71" t="n">
        <f aca="false">IF(03_FRFデータ貼付!B20="","",03_FRFデータ貼付!D20)</f>
        <v>-0.005744</v>
      </c>
      <c r="J27" s="67"/>
      <c r="K27" s="67"/>
      <c r="L27" s="67"/>
      <c r="M27" s="2"/>
      <c r="N27" s="2"/>
    </row>
    <row r="28" customFormat="false" ht="15" hidden="false" customHeight="false" outlineLevel="0" collapsed="false">
      <c r="A28" s="88" t="n">
        <f aca="false">IF(03_FRFデータ貼付!B21="","",03_FRFデータ貼付!A21)</f>
        <v>14</v>
      </c>
      <c r="B28" s="89" t="n">
        <f aca="false">IF(03_FRFデータ貼付!B21="","",03_FRFデータ貼付!B21)</f>
        <v>3530</v>
      </c>
      <c r="C28" s="71" t="n">
        <f aca="false">IF(03_FRFデータ貼付!B21="","",03_FRFデータ貼付!E21)</f>
        <v>0.0108220166789744</v>
      </c>
      <c r="D28" s="90" t="n">
        <f aca="false">IF(03_FRFデータ貼付!B21="","",03_FRFデータ貼付!F21)</f>
        <v>-53.2306954693123</v>
      </c>
      <c r="E28" s="91" t="n">
        <f aca="false">IF(OR(03_FRFデータ貼付!B21="",03_FRFデータ貼付!E21=0),"",ABS(03_FRFデータ貼付!D21)/03_FRFデータ貼付!E21)</f>
        <v>0.801052175131333</v>
      </c>
      <c r="F28" s="94" t="str">
        <f aca="false">IF(OR(C28="",C27="",C29=""),"",IF(AND(C28&gt;C27,C28&gt;=C29,C28&gt;=$E$6),"◀ ピーク",""))</f>
        <v/>
      </c>
      <c r="G28" s="95" t="str">
        <f aca="false">IF(F28="◀ ピーク",TEXT(B28,"0.0")&amp;" Hz","")</f>
        <v/>
      </c>
      <c r="H28" s="71" t="n">
        <f aca="false">IF(03_FRFデータ貼付!B21="","",03_FRFデータ貼付!C21)</f>
        <v>0.006478</v>
      </c>
      <c r="I28" s="71" t="n">
        <f aca="false">IF(03_FRFデータ貼付!B21="","",03_FRFデータ貼付!D21)</f>
        <v>-0.008669</v>
      </c>
      <c r="J28" s="67"/>
      <c r="K28" s="67"/>
      <c r="L28" s="67"/>
      <c r="M28" s="2"/>
      <c r="N28" s="2"/>
    </row>
    <row r="29" customFormat="false" ht="15" hidden="false" customHeight="false" outlineLevel="0" collapsed="false">
      <c r="A29" s="88" t="n">
        <f aca="false">IF(03_FRFデータ貼付!B22="","",03_FRFデータ貼付!A22)</f>
        <v>15</v>
      </c>
      <c r="B29" s="89" t="n">
        <f aca="false">IF(03_FRFデータ貼付!B22="","",03_FRFデータ貼付!B22)</f>
        <v>3540</v>
      </c>
      <c r="C29" s="71" t="n">
        <f aca="false">IF(03_FRFデータ貼付!B22="","",03_FRFデータ貼付!E22)</f>
        <v>0.00810850103286668</v>
      </c>
      <c r="D29" s="90" t="n">
        <f aca="false">IF(03_FRFデータ貼付!B22="","",03_FRFデータ貼付!F22)</f>
        <v>-67.201307139525</v>
      </c>
      <c r="E29" s="91" t="n">
        <f aca="false">IF(OR(03_FRFデータ貼付!B22="",03_FRFデータ貼付!E22=0),"",ABS(03_FRFデータ貼付!D22)/03_FRFデータ貼付!E22)</f>
        <v>0.921871992085976</v>
      </c>
      <c r="F29" s="94" t="str">
        <f aca="false">IF(OR(C29="",C28="",C30=""),"",IF(AND(C29&gt;C28,C29&gt;=C30,C29&gt;=$E$6),"◀ ピーク",""))</f>
        <v/>
      </c>
      <c r="G29" s="95" t="str">
        <f aca="false">IF(F29="◀ ピーク",TEXT(B29,"0.0")&amp;" Hz","")</f>
        <v/>
      </c>
      <c r="H29" s="71" t="n">
        <f aca="false">IF(03_FRFデータ貼付!B22="","",03_FRFデータ貼付!C22)</f>
        <v>0.003142</v>
      </c>
      <c r="I29" s="71" t="n">
        <f aca="false">IF(03_FRFデータ貼付!B22="","",03_FRFデータ貼付!D22)</f>
        <v>-0.007475</v>
      </c>
      <c r="J29" s="67"/>
      <c r="K29" s="67"/>
      <c r="L29" s="67"/>
      <c r="M29" s="2"/>
      <c r="N29" s="2"/>
    </row>
    <row r="30" customFormat="false" ht="15" hidden="false" customHeight="false" outlineLevel="0" collapsed="false">
      <c r="A30" s="88" t="n">
        <f aca="false">IF(03_FRFデータ貼付!B23="","",03_FRFデータ貼付!A23)</f>
        <v>16</v>
      </c>
      <c r="B30" s="89" t="n">
        <f aca="false">IF(03_FRFデータ貼付!B23="","",03_FRFデータ貼付!B23)</f>
        <v>3550</v>
      </c>
      <c r="C30" s="71" t="n">
        <f aca="false">IF(03_FRFデータ貼付!B23="","",03_FRFデータ貼付!E23)</f>
        <v>0.00630628392954202</v>
      </c>
      <c r="D30" s="90" t="n">
        <f aca="false">IF(03_FRFデータ貼付!B23="","",03_FRFデータ貼付!F23)</f>
        <v>-73.8037572661343</v>
      </c>
      <c r="E30" s="91" t="n">
        <f aca="false">IF(OR(03_FRFデータ貼付!B23="",03_FRFデータ貼付!E23=0),"",ABS(03_FRFデータ貼付!D23)/03_FRFデータ貼付!E23)</f>
        <v>0.960311978918431</v>
      </c>
      <c r="F30" s="94" t="str">
        <f aca="false">IF(OR(C30="",C29="",C31=""),"",IF(AND(C30&gt;C29,C30&gt;=C31,C30&gt;=$E$6),"◀ ピーク",""))</f>
        <v/>
      </c>
      <c r="G30" s="95" t="str">
        <f aca="false">IF(F30="◀ ピーク",TEXT(B30,"0.0")&amp;" Hz","")</f>
        <v/>
      </c>
      <c r="H30" s="71" t="n">
        <f aca="false">IF(03_FRFデータ貼付!B23="","",03_FRFデータ貼付!C23)</f>
        <v>0.001759</v>
      </c>
      <c r="I30" s="71" t="n">
        <f aca="false">IF(03_FRFデータ貼付!B23="","",03_FRFデータ貼付!D23)</f>
        <v>-0.006056</v>
      </c>
      <c r="J30" s="67"/>
      <c r="K30" s="67"/>
      <c r="L30" s="67"/>
      <c r="M30" s="2"/>
      <c r="N30" s="2"/>
    </row>
    <row r="31" customFormat="false" ht="15" hidden="false" customHeight="false" outlineLevel="0" collapsed="false">
      <c r="A31" s="88" t="n">
        <f aca="false">IF(03_FRFデータ貼付!B24="","",03_FRFデータ貼付!A24)</f>
        <v>17</v>
      </c>
      <c r="B31" s="89" t="n">
        <f aca="false">IF(03_FRFデータ貼付!B24="","",03_FRFデータ貼付!B24)</f>
        <v>3560</v>
      </c>
      <c r="C31" s="71" t="n">
        <f aca="false">IF(03_FRFデータ貼付!B24="","",03_FRFデータ貼付!E24)</f>
        <v>0.00512565937221739</v>
      </c>
      <c r="D31" s="90" t="n">
        <f aca="false">IF(03_FRFデータ貼付!B24="","",03_FRFデータ貼付!F24)</f>
        <v>-77.2868997470059</v>
      </c>
      <c r="E31" s="91" t="n">
        <f aca="false">IF(OR(03_FRFデータ貼付!B24="",03_FRFデータ貼付!E24=0),"",ABS(03_FRFデータ貼付!D24)/03_FRFデータ貼付!E24)</f>
        <v>0.975484252250841</v>
      </c>
      <c r="F31" s="94" t="str">
        <f aca="false">IF(OR(C31="",C30="",C32=""),"",IF(AND(C31&gt;C30,C31&gt;=C32,C31&gt;=$E$6),"◀ ピーク",""))</f>
        <v/>
      </c>
      <c r="G31" s="95" t="str">
        <f aca="false">IF(F31="◀ ピーク",TEXT(B31,"0.0")&amp;" Hz","")</f>
        <v/>
      </c>
      <c r="H31" s="71" t="n">
        <f aca="false">IF(03_FRFデータ貼付!B24="","",03_FRFデータ貼付!C24)</f>
        <v>0.001128</v>
      </c>
      <c r="I31" s="71" t="n">
        <f aca="false">IF(03_FRFデータ貼付!B24="","",03_FRFデータ貼付!D24)</f>
        <v>-0.005</v>
      </c>
      <c r="J31" s="67"/>
      <c r="K31" s="67"/>
      <c r="L31" s="67"/>
      <c r="M31" s="2"/>
      <c r="N31" s="2"/>
    </row>
    <row r="32" customFormat="false" ht="15" hidden="false" customHeight="false" outlineLevel="0" collapsed="false">
      <c r="A32" s="88" t="n">
        <f aca="false">IF(03_FRFデータ貼付!B25="","",03_FRFデータ貼付!A25)</f>
        <v>18</v>
      </c>
      <c r="B32" s="89" t="n">
        <f aca="false">IF(03_FRFデータ貼付!B25="","",03_FRFデータ貼付!B25)</f>
        <v>3570</v>
      </c>
      <c r="C32" s="71" t="n">
        <f aca="false">IF(03_FRFデータ貼付!B25="","",03_FRFデータ貼付!E25)</f>
        <v>0.00432015335375956</v>
      </c>
      <c r="D32" s="90" t="n">
        <f aca="false">IF(03_FRFデータ貼付!B25="","",03_FRFデータ貼付!F25)</f>
        <v>-79.3689388498194</v>
      </c>
      <c r="E32" s="91" t="n">
        <f aca="false">IF(OR(03_FRFデータ貼付!B25="",03_FRFデータ貼付!E25=0),"",ABS(03_FRFデータ貼付!D25)/03_FRFデータ貼付!E25)</f>
        <v>0.982835481130541</v>
      </c>
      <c r="F32" s="94" t="str">
        <f aca="false">IF(OR(C32="",C31="",C33=""),"",IF(AND(C32&gt;C31,C32&gt;=C33,C32&gt;=$E$6),"◀ ピーク",""))</f>
        <v/>
      </c>
      <c r="G32" s="95" t="str">
        <f aca="false">IF(F32="◀ ピーク",TEXT(B32,"0.0")&amp;" Hz","")</f>
        <v/>
      </c>
      <c r="H32" s="71" t="n">
        <f aca="false">IF(03_FRFデータ貼付!B25="","",03_FRFデータ貼付!C25)</f>
        <v>0.000797</v>
      </c>
      <c r="I32" s="71" t="n">
        <f aca="false">IF(03_FRFデータ貼付!B25="","",03_FRFデータ貼付!D25)</f>
        <v>-0.004246</v>
      </c>
      <c r="J32" s="67"/>
      <c r="K32" s="67"/>
      <c r="L32" s="67"/>
      <c r="M32" s="2"/>
      <c r="N32" s="2"/>
    </row>
    <row r="33" customFormat="false" ht="15" hidden="false" customHeight="false" outlineLevel="0" collapsed="false">
      <c r="A33" s="88" t="n">
        <f aca="false">IF(03_FRFデータ貼付!B26="","",03_FRFデータ貼付!A26)</f>
        <v>19</v>
      </c>
      <c r="B33" s="89" t="n">
        <f aca="false">IF(03_FRFデータ貼付!B26="","",03_FRFデータ貼付!B26)</f>
        <v>3580</v>
      </c>
      <c r="C33" s="71" t="n">
        <f aca="false">IF(03_FRFデータ貼付!B26="","",03_FRFデータ貼付!E26)</f>
        <v>0.00373680986939395</v>
      </c>
      <c r="D33" s="90" t="n">
        <f aca="false">IF(03_FRFデータ貼付!B26="","",03_FRFデータ貼付!F26)</f>
        <v>-80.7292511758686</v>
      </c>
      <c r="E33" s="91" t="n">
        <f aca="false">IF(OR(03_FRFデータ貼付!B26="",03_FRFデータ貼付!E26=0),"",ABS(03_FRFデータ貼付!D26)/03_FRFデータ貼付!E26)</f>
        <v>0.986938091286442</v>
      </c>
      <c r="F33" s="94" t="str">
        <f aca="false">IF(OR(C33="",C32="",C34=""),"",IF(AND(C33&gt;C32,C33&gt;=C34,C33&gt;=$E$6),"◀ ピーク",""))</f>
        <v/>
      </c>
      <c r="G33" s="95" t="str">
        <f aca="false">IF(F33="◀ ピーク",TEXT(B33,"0.0")&amp;" Hz","")</f>
        <v/>
      </c>
      <c r="H33" s="71" t="n">
        <f aca="false">IF(03_FRFデータ貼付!B26="","",03_FRFデータ貼付!C26)</f>
        <v>0.000602</v>
      </c>
      <c r="I33" s="71" t="n">
        <f aca="false">IF(03_FRFデータ貼付!B26="","",03_FRFデータ貼付!D26)</f>
        <v>-0.003688</v>
      </c>
      <c r="J33" s="67"/>
      <c r="K33" s="67"/>
      <c r="L33" s="67"/>
      <c r="M33" s="2"/>
      <c r="N33" s="2"/>
    </row>
    <row r="34" customFormat="false" ht="15" hidden="false" customHeight="false" outlineLevel="0" collapsed="false">
      <c r="A34" s="88" t="n">
        <f aca="false">IF(03_FRFデータ貼付!B27="","",03_FRFデータ貼付!A27)</f>
        <v>20</v>
      </c>
      <c r="B34" s="89" t="n">
        <f aca="false">IF(03_FRFデータ貼付!B27="","",03_FRFデータ貼付!B27)</f>
        <v>3590</v>
      </c>
      <c r="C34" s="71" t="n">
        <f aca="false">IF(03_FRFデータ貼付!B27="","",03_FRFデータ貼付!E27)</f>
        <v>0.00330178330603327</v>
      </c>
      <c r="D34" s="90" t="n">
        <f aca="false">IF(03_FRFデータ貼付!B27="","",03_FRFデータ貼付!F27)</f>
        <v>-81.6760248010864</v>
      </c>
      <c r="E34" s="91" t="n">
        <f aca="false">IF(OR(03_FRFデータ貼付!B27="",03_FRFデータ貼付!E27=0),"",ABS(03_FRFデータ貼付!D27)/03_FRFデータ貼付!E27)</f>
        <v>0.98946529714118</v>
      </c>
      <c r="F34" s="94" t="str">
        <f aca="false">IF(OR(C34="",C33="",C35=""),"",IF(AND(C34&gt;C33,C34&gt;=C35,C34&gt;=$E$6),"◀ ピーク",""))</f>
        <v/>
      </c>
      <c r="G34" s="95" t="str">
        <f aca="false">IF(F34="◀ ピーク",TEXT(B34,"0.0")&amp;" Hz","")</f>
        <v/>
      </c>
      <c r="H34" s="71" t="n">
        <f aca="false">IF(03_FRFデータ貼付!B27="","",03_FRFデータ貼付!C27)</f>
        <v>0.000478</v>
      </c>
      <c r="I34" s="71" t="n">
        <f aca="false">IF(03_FRFデータ貼付!B27="","",03_FRFデータ貼付!D27)</f>
        <v>-0.003267</v>
      </c>
      <c r="J34" s="67"/>
      <c r="K34" s="67"/>
      <c r="L34" s="67"/>
      <c r="M34" s="2"/>
      <c r="N34" s="2"/>
    </row>
    <row r="35" customFormat="false" ht="15" hidden="false" customHeight="false" outlineLevel="0" collapsed="false">
      <c r="A35" s="88" t="n">
        <f aca="false">IF(03_FRFデータ貼付!B28="","",03_FRFデータ貼付!A28)</f>
        <v>21</v>
      </c>
      <c r="B35" s="89" t="n">
        <f aca="false">IF(03_FRFデータ貼付!B28="","",03_FRFデータ貼付!B28)</f>
        <v>3600</v>
      </c>
      <c r="C35" s="71" t="n">
        <f aca="false">IF(03_FRFデータ貼付!B28="","",03_FRFデータ貼付!E28)</f>
        <v>0.002959212395216</v>
      </c>
      <c r="D35" s="90" t="n">
        <f aca="false">IF(03_FRFデータ貼付!B28="","",03_FRFデータ貼付!F28)</f>
        <v>-82.3682521144571</v>
      </c>
      <c r="E35" s="91" t="n">
        <f aca="false">IF(OR(03_FRFデータ貼付!B28="",03_FRFデータ貼付!E28=0),"",ABS(03_FRFデータ貼付!D28)/03_FRFデータ貼付!E28)</f>
        <v>0.991142104142855</v>
      </c>
      <c r="F35" s="94" t="str">
        <f aca="false">IF(OR(C35="",C34="",C36=""),"",IF(AND(C35&gt;C34,C35&gt;=C36,C35&gt;=$E$6),"◀ ピーク",""))</f>
        <v/>
      </c>
      <c r="G35" s="95" t="str">
        <f aca="false">IF(F35="◀ ピーク",TEXT(B35,"0.0")&amp;" Hz","")</f>
        <v/>
      </c>
      <c r="H35" s="71" t="n">
        <f aca="false">IF(03_FRFデータ貼付!B28="","",03_FRFデータ貼付!C28)</f>
        <v>0.000393</v>
      </c>
      <c r="I35" s="71" t="n">
        <f aca="false">IF(03_FRFデータ貼付!B28="","",03_FRFデータ貼付!D28)</f>
        <v>-0.002933</v>
      </c>
      <c r="J35" s="67"/>
      <c r="K35" s="67"/>
      <c r="L35" s="67"/>
      <c r="M35" s="2"/>
      <c r="N35" s="2"/>
    </row>
    <row r="36" customFormat="false" ht="15" hidden="false" customHeight="false" outlineLevel="0" collapsed="false">
      <c r="A36" s="88" t="str">
        <f aca="false">IF(03_FRFデータ貼付!B29="","",03_FRFデータ貼付!A29)</f>
        <v/>
      </c>
      <c r="B36" s="89" t="str">
        <f aca="false">IF(03_FRFデータ貼付!B29="","",03_FRFデータ貼付!B29)</f>
        <v/>
      </c>
      <c r="C36" s="71" t="str">
        <f aca="false">IF(03_FRFデータ貼付!B29="","",03_FRFデータ貼付!E29)</f>
        <v/>
      </c>
      <c r="D36" s="90" t="str">
        <f aca="false">IF(03_FRFデータ貼付!B29="","",03_FRFデータ貼付!F29)</f>
        <v/>
      </c>
      <c r="E36" s="91" t="str">
        <f aca="false">IF(OR(03_FRFデータ貼付!B29="",03_FRFデータ貼付!E29=0),"",ABS(03_FRFデータ貼付!D29)/03_FRFデータ貼付!E29)</f>
        <v/>
      </c>
      <c r="F36" s="94" t="str">
        <f aca="false">IF(OR(C36="",C35="",C37=""),"",IF(AND(C36&gt;C35,C36&gt;=C37,C36&gt;=$E$6),"◀ ピーク",""))</f>
        <v/>
      </c>
      <c r="G36" s="95" t="str">
        <f aca="false">IF(F36="◀ ピーク",TEXT(B36,"0.0")&amp;" Hz","")</f>
        <v/>
      </c>
      <c r="H36" s="71" t="str">
        <f aca="false">IF(03_FRFデータ貼付!B29="","",03_FRFデータ貼付!C29)</f>
        <v/>
      </c>
      <c r="I36" s="71" t="str">
        <f aca="false">IF(03_FRFデータ貼付!B29="","",03_FRFデータ貼付!D29)</f>
        <v/>
      </c>
      <c r="J36" s="67"/>
      <c r="K36" s="67"/>
      <c r="L36" s="67"/>
      <c r="M36" s="2"/>
      <c r="N36" s="2"/>
    </row>
    <row r="37" customFormat="false" ht="15" hidden="false" customHeight="false" outlineLevel="0" collapsed="false">
      <c r="A37" s="88" t="str">
        <f aca="false">IF(03_FRFデータ貼付!B30="","",03_FRFデータ貼付!A30)</f>
        <v/>
      </c>
      <c r="B37" s="89" t="str">
        <f aca="false">IF(03_FRFデータ貼付!B30="","",03_FRFデータ貼付!B30)</f>
        <v/>
      </c>
      <c r="C37" s="71" t="str">
        <f aca="false">IF(03_FRFデータ貼付!B30="","",03_FRFデータ貼付!E30)</f>
        <v/>
      </c>
      <c r="D37" s="90" t="str">
        <f aca="false">IF(03_FRFデータ貼付!B30="","",03_FRFデータ貼付!F30)</f>
        <v/>
      </c>
      <c r="E37" s="91" t="str">
        <f aca="false">IF(OR(03_FRFデータ貼付!B30="",03_FRFデータ貼付!E30=0),"",ABS(03_FRFデータ貼付!D30)/03_FRFデータ貼付!E30)</f>
        <v/>
      </c>
      <c r="F37" s="94" t="str">
        <f aca="false">IF(OR(C37="",C36="",C38=""),"",IF(AND(C37&gt;C36,C37&gt;=C38,C37&gt;=$E$6),"◀ ピーク",""))</f>
        <v/>
      </c>
      <c r="G37" s="95" t="str">
        <f aca="false">IF(F37="◀ ピーク",TEXT(B37,"0.0")&amp;" Hz","")</f>
        <v/>
      </c>
      <c r="H37" s="71" t="str">
        <f aca="false">IF(03_FRFデータ貼付!B30="","",03_FRFデータ貼付!C30)</f>
        <v/>
      </c>
      <c r="I37" s="71" t="str">
        <f aca="false">IF(03_FRFデータ貼付!B30="","",03_FRFデータ貼付!D30)</f>
        <v/>
      </c>
      <c r="J37" s="67"/>
      <c r="K37" s="67"/>
      <c r="L37" s="67"/>
      <c r="M37" s="2"/>
      <c r="N37" s="2"/>
    </row>
    <row r="38" customFormat="false" ht="15" hidden="false" customHeight="false" outlineLevel="0" collapsed="false">
      <c r="A38" s="88" t="str">
        <f aca="false">IF(03_FRFデータ貼付!B31="","",03_FRFデータ貼付!A31)</f>
        <v/>
      </c>
      <c r="B38" s="89" t="str">
        <f aca="false">IF(03_FRFデータ貼付!B31="","",03_FRFデータ貼付!B31)</f>
        <v/>
      </c>
      <c r="C38" s="71" t="str">
        <f aca="false">IF(03_FRFデータ貼付!B31="","",03_FRFデータ貼付!E31)</f>
        <v/>
      </c>
      <c r="D38" s="90" t="str">
        <f aca="false">IF(03_FRFデータ貼付!B31="","",03_FRFデータ貼付!F31)</f>
        <v/>
      </c>
      <c r="E38" s="91" t="str">
        <f aca="false">IF(OR(03_FRFデータ貼付!B31="",03_FRFデータ貼付!E31=0),"",ABS(03_FRFデータ貼付!D31)/03_FRFデータ貼付!E31)</f>
        <v/>
      </c>
      <c r="F38" s="94" t="str">
        <f aca="false">IF(OR(C38="",C37="",C39=""),"",IF(AND(C38&gt;C37,C38&gt;=C39,C38&gt;=$E$6),"◀ ピーク",""))</f>
        <v/>
      </c>
      <c r="G38" s="95" t="str">
        <f aca="false">IF(F38="◀ ピーク",TEXT(B38,"0.0")&amp;" Hz","")</f>
        <v/>
      </c>
      <c r="H38" s="71" t="str">
        <f aca="false">IF(03_FRFデータ貼付!B31="","",03_FRFデータ貼付!C31)</f>
        <v/>
      </c>
      <c r="I38" s="71" t="str">
        <f aca="false">IF(03_FRFデータ貼付!B31="","",03_FRFデータ貼付!D31)</f>
        <v/>
      </c>
      <c r="J38" s="67"/>
      <c r="K38" s="67"/>
      <c r="L38" s="67"/>
      <c r="M38" s="2"/>
      <c r="N38" s="2"/>
    </row>
    <row r="39" customFormat="false" ht="15" hidden="false" customHeight="false" outlineLevel="0" collapsed="false">
      <c r="A39" s="88" t="str">
        <f aca="false">IF(03_FRFデータ貼付!B32="","",03_FRFデータ貼付!A32)</f>
        <v/>
      </c>
      <c r="B39" s="89" t="str">
        <f aca="false">IF(03_FRFデータ貼付!B32="","",03_FRFデータ貼付!B32)</f>
        <v/>
      </c>
      <c r="C39" s="71" t="str">
        <f aca="false">IF(03_FRFデータ貼付!B32="","",03_FRFデータ貼付!E32)</f>
        <v/>
      </c>
      <c r="D39" s="90" t="str">
        <f aca="false">IF(03_FRFデータ貼付!B32="","",03_FRFデータ貼付!F32)</f>
        <v/>
      </c>
      <c r="E39" s="91" t="str">
        <f aca="false">IF(OR(03_FRFデータ貼付!B32="",03_FRFデータ貼付!E32=0),"",ABS(03_FRFデータ貼付!D32)/03_FRFデータ貼付!E32)</f>
        <v/>
      </c>
      <c r="F39" s="94" t="str">
        <f aca="false">IF(OR(C39="",C38="",C40=""),"",IF(AND(C39&gt;C38,C39&gt;=C40,C39&gt;=$E$6),"◀ ピーク",""))</f>
        <v/>
      </c>
      <c r="G39" s="95" t="str">
        <f aca="false">IF(F39="◀ ピーク",TEXT(B39,"0.0")&amp;" Hz","")</f>
        <v/>
      </c>
      <c r="H39" s="71" t="str">
        <f aca="false">IF(03_FRFデータ貼付!B32="","",03_FRFデータ貼付!C32)</f>
        <v/>
      </c>
      <c r="I39" s="71" t="str">
        <f aca="false">IF(03_FRFデータ貼付!B32="","",03_FRFデータ貼付!D32)</f>
        <v/>
      </c>
      <c r="J39" s="67"/>
      <c r="K39" s="67"/>
      <c r="L39" s="67"/>
      <c r="M39" s="2"/>
      <c r="N39" s="2"/>
    </row>
    <row r="40" customFormat="false" ht="15" hidden="false" customHeight="false" outlineLevel="0" collapsed="false">
      <c r="A40" s="88" t="str">
        <f aca="false">IF(03_FRFデータ貼付!B33="","",03_FRFデータ貼付!A33)</f>
        <v/>
      </c>
      <c r="B40" s="89" t="str">
        <f aca="false">IF(03_FRFデータ貼付!B33="","",03_FRFデータ貼付!B33)</f>
        <v/>
      </c>
      <c r="C40" s="71" t="str">
        <f aca="false">IF(03_FRFデータ貼付!B33="","",03_FRFデータ貼付!E33)</f>
        <v/>
      </c>
      <c r="D40" s="90" t="str">
        <f aca="false">IF(03_FRFデータ貼付!B33="","",03_FRFデータ貼付!F33)</f>
        <v/>
      </c>
      <c r="E40" s="91" t="str">
        <f aca="false">IF(OR(03_FRFデータ貼付!B33="",03_FRFデータ貼付!E33=0),"",ABS(03_FRFデータ貼付!D33)/03_FRFデータ貼付!E33)</f>
        <v/>
      </c>
      <c r="F40" s="94" t="str">
        <f aca="false">IF(OR(C40="",C39="",C41=""),"",IF(AND(C40&gt;C39,C40&gt;=C41,C40&gt;=$E$6),"◀ ピーク",""))</f>
        <v/>
      </c>
      <c r="G40" s="95" t="str">
        <f aca="false">IF(F40="◀ ピーク",TEXT(B40,"0.0")&amp;" Hz","")</f>
        <v/>
      </c>
      <c r="H40" s="71" t="str">
        <f aca="false">IF(03_FRFデータ貼付!B33="","",03_FRFデータ貼付!C33)</f>
        <v/>
      </c>
      <c r="I40" s="71" t="str">
        <f aca="false">IF(03_FRFデータ貼付!B33="","",03_FRFデータ貼付!D33)</f>
        <v/>
      </c>
      <c r="J40" s="67"/>
      <c r="K40" s="67"/>
      <c r="L40" s="67"/>
      <c r="M40" s="2"/>
      <c r="N40" s="2"/>
    </row>
    <row r="41" customFormat="false" ht="15" hidden="false" customHeight="false" outlineLevel="0" collapsed="false">
      <c r="A41" s="88" t="str">
        <f aca="false">IF(03_FRFデータ貼付!B34="","",03_FRFデータ貼付!A34)</f>
        <v/>
      </c>
      <c r="B41" s="89" t="str">
        <f aca="false">IF(03_FRFデータ貼付!B34="","",03_FRFデータ貼付!B34)</f>
        <v/>
      </c>
      <c r="C41" s="71" t="str">
        <f aca="false">IF(03_FRFデータ貼付!B34="","",03_FRFデータ貼付!E34)</f>
        <v/>
      </c>
      <c r="D41" s="90" t="str">
        <f aca="false">IF(03_FRFデータ貼付!B34="","",03_FRFデータ貼付!F34)</f>
        <v/>
      </c>
      <c r="E41" s="91" t="str">
        <f aca="false">IF(OR(03_FRFデータ貼付!B34="",03_FRFデータ貼付!E34=0),"",ABS(03_FRFデータ貼付!D34)/03_FRFデータ貼付!E34)</f>
        <v/>
      </c>
      <c r="F41" s="94" t="str">
        <f aca="false">IF(OR(C41="",C40="",C42=""),"",IF(AND(C41&gt;C40,C41&gt;=C42,C41&gt;=$E$6),"◀ ピーク",""))</f>
        <v/>
      </c>
      <c r="G41" s="95" t="str">
        <f aca="false">IF(F41="◀ ピーク",TEXT(B41,"0.0")&amp;" Hz","")</f>
        <v/>
      </c>
      <c r="H41" s="71" t="str">
        <f aca="false">IF(03_FRFデータ貼付!B34="","",03_FRFデータ貼付!C34)</f>
        <v/>
      </c>
      <c r="I41" s="71" t="str">
        <f aca="false">IF(03_FRFデータ貼付!B34="","",03_FRFデータ貼付!D34)</f>
        <v/>
      </c>
      <c r="J41" s="67"/>
      <c r="K41" s="67"/>
      <c r="L41" s="67"/>
      <c r="M41" s="2"/>
      <c r="N41" s="2"/>
    </row>
    <row r="42" customFormat="false" ht="15" hidden="false" customHeight="false" outlineLevel="0" collapsed="false">
      <c r="A42" s="88" t="str">
        <f aca="false">IF(03_FRFデータ貼付!B35="","",03_FRFデータ貼付!A35)</f>
        <v/>
      </c>
      <c r="B42" s="89" t="str">
        <f aca="false">IF(03_FRFデータ貼付!B35="","",03_FRFデータ貼付!B35)</f>
        <v/>
      </c>
      <c r="C42" s="71" t="str">
        <f aca="false">IF(03_FRFデータ貼付!B35="","",03_FRFデータ貼付!E35)</f>
        <v/>
      </c>
      <c r="D42" s="90" t="str">
        <f aca="false">IF(03_FRFデータ貼付!B35="","",03_FRFデータ貼付!F35)</f>
        <v/>
      </c>
      <c r="E42" s="91" t="str">
        <f aca="false">IF(OR(03_FRFデータ貼付!B35="",03_FRFデータ貼付!E35=0),"",ABS(03_FRFデータ貼付!D35)/03_FRFデータ貼付!E35)</f>
        <v/>
      </c>
      <c r="F42" s="94" t="str">
        <f aca="false">IF(OR(C42="",C41="",C43=""),"",IF(AND(C42&gt;C41,C42&gt;=C43,C42&gt;=$E$6),"◀ ピーク",""))</f>
        <v/>
      </c>
      <c r="G42" s="95" t="str">
        <f aca="false">IF(F42="◀ ピーク",TEXT(B42,"0.0")&amp;" Hz","")</f>
        <v/>
      </c>
      <c r="H42" s="71" t="str">
        <f aca="false">IF(03_FRFデータ貼付!B35="","",03_FRFデータ貼付!C35)</f>
        <v/>
      </c>
      <c r="I42" s="71" t="str">
        <f aca="false">IF(03_FRFデータ貼付!B35="","",03_FRFデータ貼付!D35)</f>
        <v/>
      </c>
      <c r="J42" s="67"/>
      <c r="K42" s="67"/>
      <c r="L42" s="67"/>
      <c r="M42" s="2"/>
      <c r="N42" s="2"/>
    </row>
    <row r="43" customFormat="false" ht="15" hidden="false" customHeight="false" outlineLevel="0" collapsed="false">
      <c r="A43" s="88" t="str">
        <f aca="false">IF(03_FRFデータ貼付!B36="","",03_FRFデータ貼付!A36)</f>
        <v/>
      </c>
      <c r="B43" s="89" t="str">
        <f aca="false">IF(03_FRFデータ貼付!B36="","",03_FRFデータ貼付!B36)</f>
        <v/>
      </c>
      <c r="C43" s="71" t="str">
        <f aca="false">IF(03_FRFデータ貼付!B36="","",03_FRFデータ貼付!E36)</f>
        <v/>
      </c>
      <c r="D43" s="90" t="str">
        <f aca="false">IF(03_FRFデータ貼付!B36="","",03_FRFデータ貼付!F36)</f>
        <v/>
      </c>
      <c r="E43" s="91" t="str">
        <f aca="false">IF(OR(03_FRFデータ貼付!B36="",03_FRFデータ貼付!E36=0),"",ABS(03_FRFデータ貼付!D36)/03_FRFデータ貼付!E36)</f>
        <v/>
      </c>
      <c r="F43" s="94" t="str">
        <f aca="false">IF(OR(C43="",C42="",C44=""),"",IF(AND(C43&gt;C42,C43&gt;=C44,C43&gt;=$E$6),"◀ ピーク",""))</f>
        <v/>
      </c>
      <c r="G43" s="95" t="str">
        <f aca="false">IF(F43="◀ ピーク",TEXT(B43,"0.0")&amp;" Hz","")</f>
        <v/>
      </c>
      <c r="H43" s="71" t="str">
        <f aca="false">IF(03_FRFデータ貼付!B36="","",03_FRFデータ貼付!C36)</f>
        <v/>
      </c>
      <c r="I43" s="71" t="str">
        <f aca="false">IF(03_FRFデータ貼付!B36="","",03_FRFデータ貼付!D36)</f>
        <v/>
      </c>
      <c r="J43" s="67"/>
      <c r="K43" s="67"/>
      <c r="L43" s="67"/>
      <c r="M43" s="2"/>
      <c r="N43" s="2"/>
    </row>
    <row r="44" customFormat="false" ht="15" hidden="false" customHeight="false" outlineLevel="0" collapsed="false">
      <c r="A44" s="88" t="str">
        <f aca="false">IF(03_FRFデータ貼付!B37="","",03_FRFデータ貼付!A37)</f>
        <v/>
      </c>
      <c r="B44" s="89" t="str">
        <f aca="false">IF(03_FRFデータ貼付!B37="","",03_FRFデータ貼付!B37)</f>
        <v/>
      </c>
      <c r="C44" s="71" t="str">
        <f aca="false">IF(03_FRFデータ貼付!B37="","",03_FRFデータ貼付!E37)</f>
        <v/>
      </c>
      <c r="D44" s="90" t="str">
        <f aca="false">IF(03_FRFデータ貼付!B37="","",03_FRFデータ貼付!F37)</f>
        <v/>
      </c>
      <c r="E44" s="91" t="str">
        <f aca="false">IF(OR(03_FRFデータ貼付!B37="",03_FRFデータ貼付!E37=0),"",ABS(03_FRFデータ貼付!D37)/03_FRFデータ貼付!E37)</f>
        <v/>
      </c>
      <c r="F44" s="94" t="str">
        <f aca="false">IF(OR(C44="",C43="",C45=""),"",IF(AND(C44&gt;C43,C44&gt;=C45,C44&gt;=$E$6),"◀ ピーク",""))</f>
        <v/>
      </c>
      <c r="G44" s="95" t="str">
        <f aca="false">IF(F44="◀ ピーク",TEXT(B44,"0.0")&amp;" Hz","")</f>
        <v/>
      </c>
      <c r="H44" s="71" t="str">
        <f aca="false">IF(03_FRFデータ貼付!B37="","",03_FRFデータ貼付!C37)</f>
        <v/>
      </c>
      <c r="I44" s="71" t="str">
        <f aca="false">IF(03_FRFデータ貼付!B37="","",03_FRFデータ貼付!D37)</f>
        <v/>
      </c>
      <c r="J44" s="67"/>
      <c r="K44" s="67"/>
      <c r="L44" s="67"/>
      <c r="M44" s="2"/>
      <c r="N44" s="2"/>
    </row>
    <row r="45" customFormat="false" ht="15" hidden="false" customHeight="false" outlineLevel="0" collapsed="false">
      <c r="A45" s="88" t="str">
        <f aca="false">IF(03_FRFデータ貼付!B38="","",03_FRFデータ貼付!A38)</f>
        <v/>
      </c>
      <c r="B45" s="89" t="str">
        <f aca="false">IF(03_FRFデータ貼付!B38="","",03_FRFデータ貼付!B38)</f>
        <v/>
      </c>
      <c r="C45" s="71" t="str">
        <f aca="false">IF(03_FRFデータ貼付!B38="","",03_FRFデータ貼付!E38)</f>
        <v/>
      </c>
      <c r="D45" s="90" t="str">
        <f aca="false">IF(03_FRFデータ貼付!B38="","",03_FRFデータ貼付!F38)</f>
        <v/>
      </c>
      <c r="E45" s="91" t="str">
        <f aca="false">IF(OR(03_FRFデータ貼付!B38="",03_FRFデータ貼付!E38=0),"",ABS(03_FRFデータ貼付!D38)/03_FRFデータ貼付!E38)</f>
        <v/>
      </c>
      <c r="F45" s="94" t="str">
        <f aca="false">IF(OR(C45="",C44="",C46=""),"",IF(AND(C45&gt;C44,C45&gt;=C46,C45&gt;=$E$6),"◀ ピーク",""))</f>
        <v/>
      </c>
      <c r="G45" s="95" t="str">
        <f aca="false">IF(F45="◀ ピーク",TEXT(B45,"0.0")&amp;" Hz","")</f>
        <v/>
      </c>
      <c r="H45" s="71" t="str">
        <f aca="false">IF(03_FRFデータ貼付!B38="","",03_FRFデータ貼付!C38)</f>
        <v/>
      </c>
      <c r="I45" s="71" t="str">
        <f aca="false">IF(03_FRFデータ貼付!B38="","",03_FRFデータ貼付!D38)</f>
        <v/>
      </c>
      <c r="J45" s="67"/>
      <c r="K45" s="67"/>
      <c r="L45" s="67"/>
      <c r="M45" s="2"/>
      <c r="N45" s="2"/>
    </row>
    <row r="46" customFormat="false" ht="15" hidden="false" customHeight="false" outlineLevel="0" collapsed="false">
      <c r="A46" s="88" t="str">
        <f aca="false">IF(03_FRFデータ貼付!B39="","",03_FRFデータ貼付!A39)</f>
        <v/>
      </c>
      <c r="B46" s="89" t="str">
        <f aca="false">IF(03_FRFデータ貼付!B39="","",03_FRFデータ貼付!B39)</f>
        <v/>
      </c>
      <c r="C46" s="71" t="str">
        <f aca="false">IF(03_FRFデータ貼付!B39="","",03_FRFデータ貼付!E39)</f>
        <v/>
      </c>
      <c r="D46" s="90" t="str">
        <f aca="false">IF(03_FRFデータ貼付!B39="","",03_FRFデータ貼付!F39)</f>
        <v/>
      </c>
      <c r="E46" s="91" t="str">
        <f aca="false">IF(OR(03_FRFデータ貼付!B39="",03_FRFデータ貼付!E39=0),"",ABS(03_FRFデータ貼付!D39)/03_FRFデータ貼付!E39)</f>
        <v/>
      </c>
      <c r="F46" s="94" t="str">
        <f aca="false">IF(OR(C46="",C45="",C47=""),"",IF(AND(C46&gt;C45,C46&gt;=C47,C46&gt;=$E$6),"◀ ピーク",""))</f>
        <v/>
      </c>
      <c r="G46" s="95" t="str">
        <f aca="false">IF(F46="◀ ピーク",TEXT(B46,"0.0")&amp;" Hz","")</f>
        <v/>
      </c>
      <c r="H46" s="71" t="str">
        <f aca="false">IF(03_FRFデータ貼付!B39="","",03_FRFデータ貼付!C39)</f>
        <v/>
      </c>
      <c r="I46" s="71" t="str">
        <f aca="false">IF(03_FRFデータ貼付!B39="","",03_FRFデータ貼付!D39)</f>
        <v/>
      </c>
      <c r="J46" s="67"/>
      <c r="K46" s="67"/>
      <c r="L46" s="67"/>
      <c r="M46" s="2"/>
      <c r="N46" s="2"/>
    </row>
    <row r="47" customFormat="false" ht="15" hidden="false" customHeight="false" outlineLevel="0" collapsed="false">
      <c r="A47" s="88" t="str">
        <f aca="false">IF(03_FRFデータ貼付!B40="","",03_FRFデータ貼付!A40)</f>
        <v/>
      </c>
      <c r="B47" s="89" t="str">
        <f aca="false">IF(03_FRFデータ貼付!B40="","",03_FRFデータ貼付!B40)</f>
        <v/>
      </c>
      <c r="C47" s="71" t="str">
        <f aca="false">IF(03_FRFデータ貼付!B40="","",03_FRFデータ貼付!E40)</f>
        <v/>
      </c>
      <c r="D47" s="90" t="str">
        <f aca="false">IF(03_FRFデータ貼付!B40="","",03_FRFデータ貼付!F40)</f>
        <v/>
      </c>
      <c r="E47" s="91" t="str">
        <f aca="false">IF(OR(03_FRFデータ貼付!B40="",03_FRFデータ貼付!E40=0),"",ABS(03_FRFデータ貼付!D40)/03_FRFデータ貼付!E40)</f>
        <v/>
      </c>
      <c r="F47" s="94" t="str">
        <f aca="false">IF(OR(C47="",C46="",C48=""),"",IF(AND(C47&gt;C46,C47&gt;=C48,C47&gt;=$E$6),"◀ ピーク",""))</f>
        <v/>
      </c>
      <c r="G47" s="95" t="str">
        <f aca="false">IF(F47="◀ ピーク",TEXT(B47,"0.0")&amp;" Hz","")</f>
        <v/>
      </c>
      <c r="H47" s="71" t="str">
        <f aca="false">IF(03_FRFデータ貼付!B40="","",03_FRFデータ貼付!C40)</f>
        <v/>
      </c>
      <c r="I47" s="71" t="str">
        <f aca="false">IF(03_FRFデータ貼付!B40="","",03_FRFデータ貼付!D40)</f>
        <v/>
      </c>
      <c r="J47" s="67"/>
      <c r="K47" s="67"/>
      <c r="L47" s="67"/>
      <c r="M47" s="2"/>
      <c r="N47" s="2"/>
    </row>
    <row r="48" customFormat="false" ht="15" hidden="false" customHeight="false" outlineLevel="0" collapsed="false">
      <c r="A48" s="88" t="str">
        <f aca="false">IF(03_FRFデータ貼付!B41="","",03_FRFデータ貼付!A41)</f>
        <v/>
      </c>
      <c r="B48" s="89" t="str">
        <f aca="false">IF(03_FRFデータ貼付!B41="","",03_FRFデータ貼付!B41)</f>
        <v/>
      </c>
      <c r="C48" s="71" t="str">
        <f aca="false">IF(03_FRFデータ貼付!B41="","",03_FRFデータ貼付!E41)</f>
        <v/>
      </c>
      <c r="D48" s="90" t="str">
        <f aca="false">IF(03_FRFデータ貼付!B41="","",03_FRFデータ貼付!F41)</f>
        <v/>
      </c>
      <c r="E48" s="91" t="str">
        <f aca="false">IF(OR(03_FRFデータ貼付!B41="",03_FRFデータ貼付!E41=0),"",ABS(03_FRFデータ貼付!D41)/03_FRFデータ貼付!E41)</f>
        <v/>
      </c>
      <c r="F48" s="94" t="str">
        <f aca="false">IF(OR(C48="",C47="",C49=""),"",IF(AND(C48&gt;C47,C48&gt;=C49,C48&gt;=$E$6),"◀ ピーク",""))</f>
        <v/>
      </c>
      <c r="G48" s="95" t="str">
        <f aca="false">IF(F48="◀ ピーク",TEXT(B48,"0.0")&amp;" Hz","")</f>
        <v/>
      </c>
      <c r="H48" s="71" t="str">
        <f aca="false">IF(03_FRFデータ貼付!B41="","",03_FRFデータ貼付!C41)</f>
        <v/>
      </c>
      <c r="I48" s="71" t="str">
        <f aca="false">IF(03_FRFデータ貼付!B41="","",03_FRFデータ貼付!D41)</f>
        <v/>
      </c>
      <c r="J48" s="67"/>
      <c r="K48" s="67"/>
      <c r="L48" s="67"/>
      <c r="M48" s="2"/>
      <c r="N48" s="2"/>
    </row>
    <row r="49" customFormat="false" ht="15" hidden="false" customHeight="false" outlineLevel="0" collapsed="false">
      <c r="A49" s="88" t="str">
        <f aca="false">IF(03_FRFデータ貼付!B42="","",03_FRFデータ貼付!A42)</f>
        <v/>
      </c>
      <c r="B49" s="89" t="str">
        <f aca="false">IF(03_FRFデータ貼付!B42="","",03_FRFデータ貼付!B42)</f>
        <v/>
      </c>
      <c r="C49" s="71" t="str">
        <f aca="false">IF(03_FRFデータ貼付!B42="","",03_FRFデータ貼付!E42)</f>
        <v/>
      </c>
      <c r="D49" s="90" t="str">
        <f aca="false">IF(03_FRFデータ貼付!B42="","",03_FRFデータ貼付!F42)</f>
        <v/>
      </c>
      <c r="E49" s="91" t="str">
        <f aca="false">IF(OR(03_FRFデータ貼付!B42="",03_FRFデータ貼付!E42=0),"",ABS(03_FRFデータ貼付!D42)/03_FRFデータ貼付!E42)</f>
        <v/>
      </c>
      <c r="F49" s="94" t="str">
        <f aca="false">IF(OR(C49="",C48="",C50=""),"",IF(AND(C49&gt;C48,C49&gt;=C50,C49&gt;=$E$6),"◀ ピーク",""))</f>
        <v/>
      </c>
      <c r="G49" s="95" t="str">
        <f aca="false">IF(F49="◀ ピーク",TEXT(B49,"0.0")&amp;" Hz","")</f>
        <v/>
      </c>
      <c r="H49" s="71" t="str">
        <f aca="false">IF(03_FRFデータ貼付!B42="","",03_FRFデータ貼付!C42)</f>
        <v/>
      </c>
      <c r="I49" s="71" t="str">
        <f aca="false">IF(03_FRFデータ貼付!B42="","",03_FRFデータ貼付!D42)</f>
        <v/>
      </c>
      <c r="J49" s="67"/>
      <c r="K49" s="67"/>
      <c r="L49" s="67"/>
      <c r="M49" s="2"/>
      <c r="N49" s="2"/>
    </row>
    <row r="50" customFormat="false" ht="15" hidden="false" customHeight="false" outlineLevel="0" collapsed="false">
      <c r="A50" s="88" t="str">
        <f aca="false">IF(03_FRFデータ貼付!B43="","",03_FRFデータ貼付!A43)</f>
        <v/>
      </c>
      <c r="B50" s="89" t="str">
        <f aca="false">IF(03_FRFデータ貼付!B43="","",03_FRFデータ貼付!B43)</f>
        <v/>
      </c>
      <c r="C50" s="71" t="str">
        <f aca="false">IF(03_FRFデータ貼付!B43="","",03_FRFデータ貼付!E43)</f>
        <v/>
      </c>
      <c r="D50" s="90" t="str">
        <f aca="false">IF(03_FRFデータ貼付!B43="","",03_FRFデータ貼付!F43)</f>
        <v/>
      </c>
      <c r="E50" s="91" t="str">
        <f aca="false">IF(OR(03_FRFデータ貼付!B43="",03_FRFデータ貼付!E43=0),"",ABS(03_FRFデータ貼付!D43)/03_FRFデータ貼付!E43)</f>
        <v/>
      </c>
      <c r="F50" s="94" t="str">
        <f aca="false">IF(OR(C50="",C49="",C51=""),"",IF(AND(C50&gt;C49,C50&gt;=C51,C50&gt;=$E$6),"◀ ピーク",""))</f>
        <v/>
      </c>
      <c r="G50" s="95" t="str">
        <f aca="false">IF(F50="◀ ピーク",TEXT(B50,"0.0")&amp;" Hz","")</f>
        <v/>
      </c>
      <c r="H50" s="71" t="str">
        <f aca="false">IF(03_FRFデータ貼付!B43="","",03_FRFデータ貼付!C43)</f>
        <v/>
      </c>
      <c r="I50" s="71" t="str">
        <f aca="false">IF(03_FRFデータ貼付!B43="","",03_FRFデータ貼付!D43)</f>
        <v/>
      </c>
      <c r="J50" s="67"/>
      <c r="K50" s="67"/>
      <c r="L50" s="67"/>
      <c r="M50" s="2"/>
      <c r="N50" s="2"/>
    </row>
    <row r="51" customFormat="false" ht="15" hidden="false" customHeight="false" outlineLevel="0" collapsed="false">
      <c r="A51" s="88" t="str">
        <f aca="false">IF(03_FRFデータ貼付!B44="","",03_FRFデータ貼付!A44)</f>
        <v/>
      </c>
      <c r="B51" s="89" t="str">
        <f aca="false">IF(03_FRFデータ貼付!B44="","",03_FRFデータ貼付!B44)</f>
        <v/>
      </c>
      <c r="C51" s="71" t="str">
        <f aca="false">IF(03_FRFデータ貼付!B44="","",03_FRFデータ貼付!E44)</f>
        <v/>
      </c>
      <c r="D51" s="90" t="str">
        <f aca="false">IF(03_FRFデータ貼付!B44="","",03_FRFデータ貼付!F44)</f>
        <v/>
      </c>
      <c r="E51" s="91" t="str">
        <f aca="false">IF(OR(03_FRFデータ貼付!B44="",03_FRFデータ貼付!E44=0),"",ABS(03_FRFデータ貼付!D44)/03_FRFデータ貼付!E44)</f>
        <v/>
      </c>
      <c r="F51" s="94" t="str">
        <f aca="false">IF(OR(C51="",C50="",C52=""),"",IF(AND(C51&gt;C50,C51&gt;=C52,C51&gt;=$E$6),"◀ ピーク",""))</f>
        <v/>
      </c>
      <c r="G51" s="95" t="str">
        <f aca="false">IF(F51="◀ ピーク",TEXT(B51,"0.0")&amp;" Hz","")</f>
        <v/>
      </c>
      <c r="H51" s="71" t="str">
        <f aca="false">IF(03_FRFデータ貼付!B44="","",03_FRFデータ貼付!C44)</f>
        <v/>
      </c>
      <c r="I51" s="71" t="str">
        <f aca="false">IF(03_FRFデータ貼付!B44="","",03_FRFデータ貼付!D44)</f>
        <v/>
      </c>
      <c r="J51" s="67"/>
      <c r="K51" s="67"/>
      <c r="L51" s="67"/>
      <c r="M51" s="2"/>
      <c r="N51" s="2"/>
    </row>
    <row r="52" customFormat="false" ht="15" hidden="false" customHeight="false" outlineLevel="0" collapsed="false">
      <c r="A52" s="88" t="str">
        <f aca="false">IF(03_FRFデータ貼付!B45="","",03_FRFデータ貼付!A45)</f>
        <v/>
      </c>
      <c r="B52" s="89" t="str">
        <f aca="false">IF(03_FRFデータ貼付!B45="","",03_FRFデータ貼付!B45)</f>
        <v/>
      </c>
      <c r="C52" s="71" t="str">
        <f aca="false">IF(03_FRFデータ貼付!B45="","",03_FRFデータ貼付!E45)</f>
        <v/>
      </c>
      <c r="D52" s="90" t="str">
        <f aca="false">IF(03_FRFデータ貼付!B45="","",03_FRFデータ貼付!F45)</f>
        <v/>
      </c>
      <c r="E52" s="91" t="str">
        <f aca="false">IF(OR(03_FRFデータ貼付!B45="",03_FRFデータ貼付!E45=0),"",ABS(03_FRFデータ貼付!D45)/03_FRFデータ貼付!E45)</f>
        <v/>
      </c>
      <c r="F52" s="94" t="str">
        <f aca="false">IF(OR(C52="",C51="",C53=""),"",IF(AND(C52&gt;C51,C52&gt;=C53,C52&gt;=$E$6),"◀ ピーク",""))</f>
        <v/>
      </c>
      <c r="G52" s="95" t="str">
        <f aca="false">IF(F52="◀ ピーク",TEXT(B52,"0.0")&amp;" Hz","")</f>
        <v/>
      </c>
      <c r="H52" s="71" t="str">
        <f aca="false">IF(03_FRFデータ貼付!B45="","",03_FRFデータ貼付!C45)</f>
        <v/>
      </c>
      <c r="I52" s="71" t="str">
        <f aca="false">IF(03_FRFデータ貼付!B45="","",03_FRFデータ貼付!D45)</f>
        <v/>
      </c>
      <c r="J52" s="67"/>
      <c r="K52" s="67"/>
      <c r="L52" s="67"/>
      <c r="M52" s="2"/>
      <c r="N52" s="2"/>
    </row>
    <row r="53" customFormat="false" ht="15" hidden="false" customHeight="false" outlineLevel="0" collapsed="false">
      <c r="A53" s="88" t="str">
        <f aca="false">IF(03_FRFデータ貼付!B46="","",03_FRFデータ貼付!A46)</f>
        <v/>
      </c>
      <c r="B53" s="89" t="str">
        <f aca="false">IF(03_FRFデータ貼付!B46="","",03_FRFデータ貼付!B46)</f>
        <v/>
      </c>
      <c r="C53" s="71" t="str">
        <f aca="false">IF(03_FRFデータ貼付!B46="","",03_FRFデータ貼付!E46)</f>
        <v/>
      </c>
      <c r="D53" s="90" t="str">
        <f aca="false">IF(03_FRFデータ貼付!B46="","",03_FRFデータ貼付!F46)</f>
        <v/>
      </c>
      <c r="E53" s="91" t="str">
        <f aca="false">IF(OR(03_FRFデータ貼付!B46="",03_FRFデータ貼付!E46=0),"",ABS(03_FRFデータ貼付!D46)/03_FRFデータ貼付!E46)</f>
        <v/>
      </c>
      <c r="F53" s="94" t="str">
        <f aca="false">IF(OR(C53="",C52="",C54=""),"",IF(AND(C53&gt;C52,C53&gt;=C54,C53&gt;=$E$6),"◀ ピーク",""))</f>
        <v/>
      </c>
      <c r="G53" s="95" t="str">
        <f aca="false">IF(F53="◀ ピーク",TEXT(B53,"0.0")&amp;" Hz","")</f>
        <v/>
      </c>
      <c r="H53" s="71" t="str">
        <f aca="false">IF(03_FRFデータ貼付!B46="","",03_FRFデータ貼付!C46)</f>
        <v/>
      </c>
      <c r="I53" s="71" t="str">
        <f aca="false">IF(03_FRFデータ貼付!B46="","",03_FRFデータ貼付!D46)</f>
        <v/>
      </c>
      <c r="J53" s="67"/>
      <c r="K53" s="67"/>
      <c r="L53" s="67"/>
      <c r="M53" s="2"/>
      <c r="N53" s="2"/>
    </row>
    <row r="54" customFormat="false" ht="15" hidden="false" customHeight="false" outlineLevel="0" collapsed="false">
      <c r="A54" s="88" t="str">
        <f aca="false">IF(03_FRFデータ貼付!B47="","",03_FRFデータ貼付!A47)</f>
        <v/>
      </c>
      <c r="B54" s="89" t="str">
        <f aca="false">IF(03_FRFデータ貼付!B47="","",03_FRFデータ貼付!B47)</f>
        <v/>
      </c>
      <c r="C54" s="71" t="str">
        <f aca="false">IF(03_FRFデータ貼付!B47="","",03_FRFデータ貼付!E47)</f>
        <v/>
      </c>
      <c r="D54" s="90" t="str">
        <f aca="false">IF(03_FRFデータ貼付!B47="","",03_FRFデータ貼付!F47)</f>
        <v/>
      </c>
      <c r="E54" s="91" t="str">
        <f aca="false">IF(OR(03_FRFデータ貼付!B47="",03_FRFデータ貼付!E47=0),"",ABS(03_FRFデータ貼付!D47)/03_FRFデータ貼付!E47)</f>
        <v/>
      </c>
      <c r="F54" s="94" t="str">
        <f aca="false">IF(OR(C54="",C53="",C55=""),"",IF(AND(C54&gt;C53,C54&gt;=C55,C54&gt;=$E$6),"◀ ピーク",""))</f>
        <v/>
      </c>
      <c r="G54" s="95" t="str">
        <f aca="false">IF(F54="◀ ピーク",TEXT(B54,"0.0")&amp;" Hz","")</f>
        <v/>
      </c>
      <c r="H54" s="71" t="str">
        <f aca="false">IF(03_FRFデータ貼付!B47="","",03_FRFデータ貼付!C47)</f>
        <v/>
      </c>
      <c r="I54" s="71" t="str">
        <f aca="false">IF(03_FRFデータ貼付!B47="","",03_FRFデータ貼付!D47)</f>
        <v/>
      </c>
      <c r="J54" s="67"/>
      <c r="K54" s="67"/>
      <c r="L54" s="67"/>
      <c r="M54" s="2"/>
      <c r="N54" s="2"/>
    </row>
    <row r="55" customFormat="false" ht="15" hidden="false" customHeight="false" outlineLevel="0" collapsed="false">
      <c r="A55" s="88" t="str">
        <f aca="false">IF(03_FRFデータ貼付!B48="","",03_FRFデータ貼付!A48)</f>
        <v/>
      </c>
      <c r="B55" s="89" t="str">
        <f aca="false">IF(03_FRFデータ貼付!B48="","",03_FRFデータ貼付!B48)</f>
        <v/>
      </c>
      <c r="C55" s="71" t="str">
        <f aca="false">IF(03_FRFデータ貼付!B48="","",03_FRFデータ貼付!E48)</f>
        <v/>
      </c>
      <c r="D55" s="90" t="str">
        <f aca="false">IF(03_FRFデータ貼付!B48="","",03_FRFデータ貼付!F48)</f>
        <v/>
      </c>
      <c r="E55" s="91" t="str">
        <f aca="false">IF(OR(03_FRFデータ貼付!B48="",03_FRFデータ貼付!E48=0),"",ABS(03_FRFデータ貼付!D48)/03_FRFデータ貼付!E48)</f>
        <v/>
      </c>
      <c r="F55" s="94" t="str">
        <f aca="false">IF(OR(C55="",C54="",C56=""),"",IF(AND(C55&gt;C54,C55&gt;=C56,C55&gt;=$E$6),"◀ ピーク",""))</f>
        <v/>
      </c>
      <c r="G55" s="95" t="str">
        <f aca="false">IF(F55="◀ ピーク",TEXT(B55,"0.0")&amp;" Hz","")</f>
        <v/>
      </c>
      <c r="H55" s="71" t="str">
        <f aca="false">IF(03_FRFデータ貼付!B48="","",03_FRFデータ貼付!C48)</f>
        <v/>
      </c>
      <c r="I55" s="71" t="str">
        <f aca="false">IF(03_FRFデータ貼付!B48="","",03_FRFデータ貼付!D48)</f>
        <v/>
      </c>
      <c r="J55" s="67"/>
      <c r="K55" s="67"/>
      <c r="L55" s="67"/>
      <c r="M55" s="2"/>
      <c r="N55" s="2"/>
    </row>
    <row r="56" customFormat="false" ht="15" hidden="false" customHeight="false" outlineLevel="0" collapsed="false">
      <c r="A56" s="88" t="str">
        <f aca="false">IF(03_FRFデータ貼付!B49="","",03_FRFデータ貼付!A49)</f>
        <v/>
      </c>
      <c r="B56" s="89" t="str">
        <f aca="false">IF(03_FRFデータ貼付!B49="","",03_FRFデータ貼付!B49)</f>
        <v/>
      </c>
      <c r="C56" s="71" t="str">
        <f aca="false">IF(03_FRFデータ貼付!B49="","",03_FRFデータ貼付!E49)</f>
        <v/>
      </c>
      <c r="D56" s="90" t="str">
        <f aca="false">IF(03_FRFデータ貼付!B49="","",03_FRFデータ貼付!F49)</f>
        <v/>
      </c>
      <c r="E56" s="91" t="str">
        <f aca="false">IF(OR(03_FRFデータ貼付!B49="",03_FRFデータ貼付!E49=0),"",ABS(03_FRFデータ貼付!D49)/03_FRFデータ貼付!E49)</f>
        <v/>
      </c>
      <c r="F56" s="94" t="str">
        <f aca="false">IF(OR(C56="",C55="",C57=""),"",IF(AND(C56&gt;C55,C56&gt;=C57,C56&gt;=$E$6),"◀ ピーク",""))</f>
        <v/>
      </c>
      <c r="G56" s="95" t="str">
        <f aca="false">IF(F56="◀ ピーク",TEXT(B56,"0.0")&amp;" Hz","")</f>
        <v/>
      </c>
      <c r="H56" s="71" t="str">
        <f aca="false">IF(03_FRFデータ貼付!B49="","",03_FRFデータ貼付!C49)</f>
        <v/>
      </c>
      <c r="I56" s="71" t="str">
        <f aca="false">IF(03_FRFデータ貼付!B49="","",03_FRFデータ貼付!D49)</f>
        <v/>
      </c>
      <c r="J56" s="67"/>
      <c r="K56" s="67"/>
      <c r="L56" s="67"/>
      <c r="M56" s="2"/>
      <c r="N56" s="2"/>
    </row>
    <row r="57" customFormat="false" ht="15" hidden="false" customHeight="false" outlineLevel="0" collapsed="false">
      <c r="A57" s="88" t="str">
        <f aca="false">IF(03_FRFデータ貼付!B50="","",03_FRFデータ貼付!A50)</f>
        <v/>
      </c>
      <c r="B57" s="89" t="str">
        <f aca="false">IF(03_FRFデータ貼付!B50="","",03_FRFデータ貼付!B50)</f>
        <v/>
      </c>
      <c r="C57" s="71" t="str">
        <f aca="false">IF(03_FRFデータ貼付!B50="","",03_FRFデータ貼付!E50)</f>
        <v/>
      </c>
      <c r="D57" s="90" t="str">
        <f aca="false">IF(03_FRFデータ貼付!B50="","",03_FRFデータ貼付!F50)</f>
        <v/>
      </c>
      <c r="E57" s="91" t="str">
        <f aca="false">IF(OR(03_FRFデータ貼付!B50="",03_FRFデータ貼付!E50=0),"",ABS(03_FRFデータ貼付!D50)/03_FRFデータ貼付!E50)</f>
        <v/>
      </c>
      <c r="F57" s="94" t="str">
        <f aca="false">IF(OR(C57="",C56="",C58=""),"",IF(AND(C57&gt;C56,C57&gt;=C58,C57&gt;=$E$6),"◀ ピーク",""))</f>
        <v/>
      </c>
      <c r="G57" s="95" t="str">
        <f aca="false">IF(F57="◀ ピーク",TEXT(B57,"0.0")&amp;" Hz","")</f>
        <v/>
      </c>
      <c r="H57" s="71" t="str">
        <f aca="false">IF(03_FRFデータ貼付!B50="","",03_FRFデータ貼付!C50)</f>
        <v/>
      </c>
      <c r="I57" s="71" t="str">
        <f aca="false">IF(03_FRFデータ貼付!B50="","",03_FRFデータ貼付!D50)</f>
        <v/>
      </c>
      <c r="J57" s="67"/>
      <c r="K57" s="67"/>
      <c r="L57" s="67"/>
      <c r="M57" s="2"/>
      <c r="N57" s="2"/>
    </row>
    <row r="58" customFormat="false" ht="15" hidden="false" customHeight="false" outlineLevel="0" collapsed="false">
      <c r="A58" s="88" t="str">
        <f aca="false">IF(03_FRFデータ貼付!B51="","",03_FRFデータ貼付!A51)</f>
        <v/>
      </c>
      <c r="B58" s="89" t="str">
        <f aca="false">IF(03_FRFデータ貼付!B51="","",03_FRFデータ貼付!B51)</f>
        <v/>
      </c>
      <c r="C58" s="71" t="str">
        <f aca="false">IF(03_FRFデータ貼付!B51="","",03_FRFデータ貼付!E51)</f>
        <v/>
      </c>
      <c r="D58" s="90" t="str">
        <f aca="false">IF(03_FRFデータ貼付!B51="","",03_FRFデータ貼付!F51)</f>
        <v/>
      </c>
      <c r="E58" s="91" t="str">
        <f aca="false">IF(OR(03_FRFデータ貼付!B51="",03_FRFデータ貼付!E51=0),"",ABS(03_FRFデータ貼付!D51)/03_FRFデータ貼付!E51)</f>
        <v/>
      </c>
      <c r="F58" s="94" t="str">
        <f aca="false">IF(OR(C58="",C57="",C59=""),"",IF(AND(C58&gt;C57,C58&gt;=C59,C58&gt;=$E$6),"◀ ピーク",""))</f>
        <v/>
      </c>
      <c r="G58" s="95" t="str">
        <f aca="false">IF(F58="◀ ピーク",TEXT(B58,"0.0")&amp;" Hz","")</f>
        <v/>
      </c>
      <c r="H58" s="71" t="str">
        <f aca="false">IF(03_FRFデータ貼付!B51="","",03_FRFデータ貼付!C51)</f>
        <v/>
      </c>
      <c r="I58" s="71" t="str">
        <f aca="false">IF(03_FRFデータ貼付!B51="","",03_FRFデータ貼付!D51)</f>
        <v/>
      </c>
      <c r="J58" s="67"/>
      <c r="K58" s="67"/>
      <c r="L58" s="67"/>
      <c r="M58" s="2"/>
      <c r="N58" s="2"/>
    </row>
    <row r="59" customFormat="false" ht="15" hidden="false" customHeight="false" outlineLevel="0" collapsed="false">
      <c r="A59" s="88" t="str">
        <f aca="false">IF(03_FRFデータ貼付!B52="","",03_FRFデータ貼付!A52)</f>
        <v/>
      </c>
      <c r="B59" s="89" t="str">
        <f aca="false">IF(03_FRFデータ貼付!B52="","",03_FRFデータ貼付!B52)</f>
        <v/>
      </c>
      <c r="C59" s="71" t="str">
        <f aca="false">IF(03_FRFデータ貼付!B52="","",03_FRFデータ貼付!E52)</f>
        <v/>
      </c>
      <c r="D59" s="90" t="str">
        <f aca="false">IF(03_FRFデータ貼付!B52="","",03_FRFデータ貼付!F52)</f>
        <v/>
      </c>
      <c r="E59" s="91" t="str">
        <f aca="false">IF(OR(03_FRFデータ貼付!B52="",03_FRFデータ貼付!E52=0),"",ABS(03_FRFデータ貼付!D52)/03_FRFデータ貼付!E52)</f>
        <v/>
      </c>
      <c r="F59" s="94" t="str">
        <f aca="false">IF(OR(C59="",C58="",C60=""),"",IF(AND(C59&gt;C58,C59&gt;=C60,C59&gt;=$E$6),"◀ ピーク",""))</f>
        <v/>
      </c>
      <c r="G59" s="95" t="str">
        <f aca="false">IF(F59="◀ ピーク",TEXT(B59,"0.0")&amp;" Hz","")</f>
        <v/>
      </c>
      <c r="H59" s="71" t="str">
        <f aca="false">IF(03_FRFデータ貼付!B52="","",03_FRFデータ貼付!C52)</f>
        <v/>
      </c>
      <c r="I59" s="71" t="str">
        <f aca="false">IF(03_FRFデータ貼付!B52="","",03_FRFデータ貼付!D52)</f>
        <v/>
      </c>
      <c r="J59" s="67"/>
      <c r="K59" s="67"/>
      <c r="L59" s="67"/>
      <c r="M59" s="2"/>
      <c r="N59" s="2"/>
    </row>
    <row r="60" customFormat="false" ht="15" hidden="false" customHeight="false" outlineLevel="0" collapsed="false">
      <c r="A60" s="88" t="str">
        <f aca="false">IF(03_FRFデータ貼付!B53="","",03_FRFデータ貼付!A53)</f>
        <v/>
      </c>
      <c r="B60" s="89" t="str">
        <f aca="false">IF(03_FRFデータ貼付!B53="","",03_FRFデータ貼付!B53)</f>
        <v/>
      </c>
      <c r="C60" s="71" t="str">
        <f aca="false">IF(03_FRFデータ貼付!B53="","",03_FRFデータ貼付!E53)</f>
        <v/>
      </c>
      <c r="D60" s="90" t="str">
        <f aca="false">IF(03_FRFデータ貼付!B53="","",03_FRFデータ貼付!F53)</f>
        <v/>
      </c>
      <c r="E60" s="91" t="str">
        <f aca="false">IF(OR(03_FRFデータ貼付!B53="",03_FRFデータ貼付!E53=0),"",ABS(03_FRFデータ貼付!D53)/03_FRFデータ貼付!E53)</f>
        <v/>
      </c>
      <c r="F60" s="94" t="str">
        <f aca="false">IF(OR(C60="",C59="",C61=""),"",IF(AND(C60&gt;C59,C60&gt;=C61,C60&gt;=$E$6),"◀ ピーク",""))</f>
        <v/>
      </c>
      <c r="G60" s="95" t="str">
        <f aca="false">IF(F60="◀ ピーク",TEXT(B60,"0.0")&amp;" Hz","")</f>
        <v/>
      </c>
      <c r="H60" s="71" t="str">
        <f aca="false">IF(03_FRFデータ貼付!B53="","",03_FRFデータ貼付!C53)</f>
        <v/>
      </c>
      <c r="I60" s="71" t="str">
        <f aca="false">IF(03_FRFデータ貼付!B53="","",03_FRFデータ貼付!D53)</f>
        <v/>
      </c>
      <c r="J60" s="67"/>
      <c r="K60" s="67"/>
      <c r="L60" s="67"/>
      <c r="M60" s="2"/>
      <c r="N60" s="2"/>
    </row>
    <row r="61" customFormat="false" ht="15" hidden="false" customHeight="false" outlineLevel="0" collapsed="false">
      <c r="A61" s="88" t="str">
        <f aca="false">IF(03_FRFデータ貼付!B54="","",03_FRFデータ貼付!A54)</f>
        <v/>
      </c>
      <c r="B61" s="89" t="str">
        <f aca="false">IF(03_FRFデータ貼付!B54="","",03_FRFデータ貼付!B54)</f>
        <v/>
      </c>
      <c r="C61" s="71" t="str">
        <f aca="false">IF(03_FRFデータ貼付!B54="","",03_FRFデータ貼付!E54)</f>
        <v/>
      </c>
      <c r="D61" s="90" t="str">
        <f aca="false">IF(03_FRFデータ貼付!B54="","",03_FRFデータ貼付!F54)</f>
        <v/>
      </c>
      <c r="E61" s="91" t="str">
        <f aca="false">IF(OR(03_FRFデータ貼付!B54="",03_FRFデータ貼付!E54=0),"",ABS(03_FRFデータ貼付!D54)/03_FRFデータ貼付!E54)</f>
        <v/>
      </c>
      <c r="F61" s="94" t="str">
        <f aca="false">IF(OR(C61="",C60="",C62=""),"",IF(AND(C61&gt;C60,C61&gt;=C62,C61&gt;=$E$6),"◀ ピーク",""))</f>
        <v/>
      </c>
      <c r="G61" s="95" t="str">
        <f aca="false">IF(F61="◀ ピーク",TEXT(B61,"0.0")&amp;" Hz","")</f>
        <v/>
      </c>
      <c r="H61" s="71" t="str">
        <f aca="false">IF(03_FRFデータ貼付!B54="","",03_FRFデータ貼付!C54)</f>
        <v/>
      </c>
      <c r="I61" s="71" t="str">
        <f aca="false">IF(03_FRFデータ貼付!B54="","",03_FRFデータ貼付!D54)</f>
        <v/>
      </c>
      <c r="J61" s="67"/>
      <c r="K61" s="67"/>
      <c r="L61" s="67"/>
      <c r="M61" s="2"/>
      <c r="N61" s="2"/>
    </row>
    <row r="62" customFormat="false" ht="15" hidden="false" customHeight="false" outlineLevel="0" collapsed="false">
      <c r="A62" s="88" t="str">
        <f aca="false">IF(03_FRFデータ貼付!B55="","",03_FRFデータ貼付!A55)</f>
        <v/>
      </c>
      <c r="B62" s="89" t="str">
        <f aca="false">IF(03_FRFデータ貼付!B55="","",03_FRFデータ貼付!B55)</f>
        <v/>
      </c>
      <c r="C62" s="71" t="str">
        <f aca="false">IF(03_FRFデータ貼付!B55="","",03_FRFデータ貼付!E55)</f>
        <v/>
      </c>
      <c r="D62" s="90" t="str">
        <f aca="false">IF(03_FRFデータ貼付!B55="","",03_FRFデータ貼付!F55)</f>
        <v/>
      </c>
      <c r="E62" s="91" t="str">
        <f aca="false">IF(OR(03_FRFデータ貼付!B55="",03_FRFデータ貼付!E55=0),"",ABS(03_FRFデータ貼付!D55)/03_FRFデータ貼付!E55)</f>
        <v/>
      </c>
      <c r="F62" s="94" t="str">
        <f aca="false">IF(OR(C62="",C61="",C63=""),"",IF(AND(C62&gt;C61,C62&gt;=C63,C62&gt;=$E$6),"◀ ピーク",""))</f>
        <v/>
      </c>
      <c r="G62" s="95" t="str">
        <f aca="false">IF(F62="◀ ピーク",TEXT(B62,"0.0")&amp;" Hz","")</f>
        <v/>
      </c>
      <c r="H62" s="71" t="str">
        <f aca="false">IF(03_FRFデータ貼付!B55="","",03_FRFデータ貼付!C55)</f>
        <v/>
      </c>
      <c r="I62" s="71" t="str">
        <f aca="false">IF(03_FRFデータ貼付!B55="","",03_FRFデータ貼付!D55)</f>
        <v/>
      </c>
      <c r="J62" s="67"/>
      <c r="K62" s="67"/>
      <c r="L62" s="67"/>
      <c r="M62" s="2"/>
      <c r="N62" s="2"/>
    </row>
    <row r="63" customFormat="false" ht="15" hidden="false" customHeight="false" outlineLevel="0" collapsed="false">
      <c r="A63" s="88" t="str">
        <f aca="false">IF(03_FRFデータ貼付!B56="","",03_FRFデータ貼付!A56)</f>
        <v/>
      </c>
      <c r="B63" s="89" t="str">
        <f aca="false">IF(03_FRFデータ貼付!B56="","",03_FRFデータ貼付!B56)</f>
        <v/>
      </c>
      <c r="C63" s="71" t="str">
        <f aca="false">IF(03_FRFデータ貼付!B56="","",03_FRFデータ貼付!E56)</f>
        <v/>
      </c>
      <c r="D63" s="90" t="str">
        <f aca="false">IF(03_FRFデータ貼付!B56="","",03_FRFデータ貼付!F56)</f>
        <v/>
      </c>
      <c r="E63" s="91" t="str">
        <f aca="false">IF(OR(03_FRFデータ貼付!B56="",03_FRFデータ貼付!E56=0),"",ABS(03_FRFデータ貼付!D56)/03_FRFデータ貼付!E56)</f>
        <v/>
      </c>
      <c r="F63" s="94" t="str">
        <f aca="false">IF(OR(C63="",C62="",C64=""),"",IF(AND(C63&gt;C62,C63&gt;=C64,C63&gt;=$E$6),"◀ ピーク",""))</f>
        <v/>
      </c>
      <c r="G63" s="95" t="str">
        <f aca="false">IF(F63="◀ ピーク",TEXT(B63,"0.0")&amp;" Hz","")</f>
        <v/>
      </c>
      <c r="H63" s="71" t="str">
        <f aca="false">IF(03_FRFデータ貼付!B56="","",03_FRFデータ貼付!C56)</f>
        <v/>
      </c>
      <c r="I63" s="71" t="str">
        <f aca="false">IF(03_FRFデータ貼付!B56="","",03_FRFデータ貼付!D56)</f>
        <v/>
      </c>
      <c r="J63" s="67"/>
      <c r="K63" s="67"/>
      <c r="L63" s="67"/>
      <c r="M63" s="2"/>
      <c r="N63" s="2"/>
    </row>
    <row r="64" customFormat="false" ht="15" hidden="false" customHeight="false" outlineLevel="0" collapsed="false">
      <c r="A64" s="88" t="str">
        <f aca="false">IF(03_FRFデータ貼付!B57="","",03_FRFデータ貼付!A57)</f>
        <v/>
      </c>
      <c r="B64" s="89" t="str">
        <f aca="false">IF(03_FRFデータ貼付!B57="","",03_FRFデータ貼付!B57)</f>
        <v/>
      </c>
      <c r="C64" s="71" t="str">
        <f aca="false">IF(03_FRFデータ貼付!B57="","",03_FRFデータ貼付!E57)</f>
        <v/>
      </c>
      <c r="D64" s="90" t="str">
        <f aca="false">IF(03_FRFデータ貼付!B57="","",03_FRFデータ貼付!F57)</f>
        <v/>
      </c>
      <c r="E64" s="91" t="str">
        <f aca="false">IF(OR(03_FRFデータ貼付!B57="",03_FRFデータ貼付!E57=0),"",ABS(03_FRFデータ貼付!D57)/03_FRFデータ貼付!E57)</f>
        <v/>
      </c>
      <c r="F64" s="94" t="str">
        <f aca="false">IF(OR(C64="",C63="",C65=""),"",IF(AND(C64&gt;C63,C64&gt;=C65,C64&gt;=$E$6),"◀ ピーク",""))</f>
        <v/>
      </c>
      <c r="G64" s="95" t="str">
        <f aca="false">IF(F64="◀ ピーク",TEXT(B64,"0.0")&amp;" Hz","")</f>
        <v/>
      </c>
      <c r="H64" s="71" t="str">
        <f aca="false">IF(03_FRFデータ貼付!B57="","",03_FRFデータ貼付!C57)</f>
        <v/>
      </c>
      <c r="I64" s="71" t="str">
        <f aca="false">IF(03_FRFデータ貼付!B57="","",03_FRFデータ貼付!D57)</f>
        <v/>
      </c>
      <c r="J64" s="67"/>
      <c r="K64" s="67"/>
      <c r="L64" s="67"/>
      <c r="M64" s="2"/>
      <c r="N64" s="2"/>
    </row>
    <row r="65" customFormat="false" ht="15" hidden="false" customHeight="false" outlineLevel="0" collapsed="false">
      <c r="A65" s="88" t="str">
        <f aca="false">IF(03_FRFデータ貼付!B58="","",03_FRFデータ貼付!A58)</f>
        <v/>
      </c>
      <c r="B65" s="89" t="str">
        <f aca="false">IF(03_FRFデータ貼付!B58="","",03_FRFデータ貼付!B58)</f>
        <v/>
      </c>
      <c r="C65" s="71" t="str">
        <f aca="false">IF(03_FRFデータ貼付!B58="","",03_FRFデータ貼付!E58)</f>
        <v/>
      </c>
      <c r="D65" s="90" t="str">
        <f aca="false">IF(03_FRFデータ貼付!B58="","",03_FRFデータ貼付!F58)</f>
        <v/>
      </c>
      <c r="E65" s="91" t="str">
        <f aca="false">IF(OR(03_FRFデータ貼付!B58="",03_FRFデータ貼付!E58=0),"",ABS(03_FRFデータ貼付!D58)/03_FRFデータ貼付!E58)</f>
        <v/>
      </c>
      <c r="F65" s="94" t="str">
        <f aca="false">IF(OR(C65="",C64="",C66=""),"",IF(AND(C65&gt;C64,C65&gt;=C66,C65&gt;=$E$6),"◀ ピーク",""))</f>
        <v/>
      </c>
      <c r="G65" s="95" t="str">
        <f aca="false">IF(F65="◀ ピーク",TEXT(B65,"0.0")&amp;" Hz","")</f>
        <v/>
      </c>
      <c r="H65" s="71" t="str">
        <f aca="false">IF(03_FRFデータ貼付!B58="","",03_FRFデータ貼付!C58)</f>
        <v/>
      </c>
      <c r="I65" s="71" t="str">
        <f aca="false">IF(03_FRFデータ貼付!B58="","",03_FRFデータ貼付!D58)</f>
        <v/>
      </c>
      <c r="J65" s="67"/>
      <c r="K65" s="67"/>
      <c r="L65" s="67"/>
      <c r="M65" s="2"/>
      <c r="N65" s="2"/>
    </row>
    <row r="66" customFormat="false" ht="15" hidden="false" customHeight="false" outlineLevel="0" collapsed="false">
      <c r="A66" s="88" t="str">
        <f aca="false">IF(03_FRFデータ貼付!B59="","",03_FRFデータ貼付!A59)</f>
        <v/>
      </c>
      <c r="B66" s="89" t="str">
        <f aca="false">IF(03_FRFデータ貼付!B59="","",03_FRFデータ貼付!B59)</f>
        <v/>
      </c>
      <c r="C66" s="71" t="str">
        <f aca="false">IF(03_FRFデータ貼付!B59="","",03_FRFデータ貼付!E59)</f>
        <v/>
      </c>
      <c r="D66" s="90" t="str">
        <f aca="false">IF(03_FRFデータ貼付!B59="","",03_FRFデータ貼付!F59)</f>
        <v/>
      </c>
      <c r="E66" s="91" t="str">
        <f aca="false">IF(OR(03_FRFデータ貼付!B59="",03_FRFデータ貼付!E59=0),"",ABS(03_FRFデータ貼付!D59)/03_FRFデータ貼付!E59)</f>
        <v/>
      </c>
      <c r="F66" s="94" t="str">
        <f aca="false">IF(OR(C66="",C65="",C67=""),"",IF(AND(C66&gt;C65,C66&gt;=C67,C66&gt;=$E$6),"◀ ピーク",""))</f>
        <v/>
      </c>
      <c r="G66" s="95" t="str">
        <f aca="false">IF(F66="◀ ピーク",TEXT(B66,"0.0")&amp;" Hz","")</f>
        <v/>
      </c>
      <c r="H66" s="71" t="str">
        <f aca="false">IF(03_FRFデータ貼付!B59="","",03_FRFデータ貼付!C59)</f>
        <v/>
      </c>
      <c r="I66" s="71" t="str">
        <f aca="false">IF(03_FRFデータ貼付!B59="","",03_FRFデータ貼付!D59)</f>
        <v/>
      </c>
      <c r="J66" s="67"/>
      <c r="K66" s="67"/>
      <c r="L66" s="67"/>
      <c r="M66" s="2"/>
      <c r="N66" s="2"/>
    </row>
    <row r="67" customFormat="false" ht="15" hidden="false" customHeight="false" outlineLevel="0" collapsed="false">
      <c r="A67" s="88" t="str">
        <f aca="false">IF(03_FRFデータ貼付!B60="","",03_FRFデータ貼付!A60)</f>
        <v/>
      </c>
      <c r="B67" s="89" t="str">
        <f aca="false">IF(03_FRFデータ貼付!B60="","",03_FRFデータ貼付!B60)</f>
        <v/>
      </c>
      <c r="C67" s="71" t="str">
        <f aca="false">IF(03_FRFデータ貼付!B60="","",03_FRFデータ貼付!E60)</f>
        <v/>
      </c>
      <c r="D67" s="90" t="str">
        <f aca="false">IF(03_FRFデータ貼付!B60="","",03_FRFデータ貼付!F60)</f>
        <v/>
      </c>
      <c r="E67" s="91" t="str">
        <f aca="false">IF(OR(03_FRFデータ貼付!B60="",03_FRFデータ貼付!E60=0),"",ABS(03_FRFデータ貼付!D60)/03_FRFデータ貼付!E60)</f>
        <v/>
      </c>
      <c r="F67" s="94" t="str">
        <f aca="false">IF(OR(C67="",C66="",C68=""),"",IF(AND(C67&gt;C66,C67&gt;=C68,C67&gt;=$E$6),"◀ ピーク",""))</f>
        <v/>
      </c>
      <c r="G67" s="95" t="str">
        <f aca="false">IF(F67="◀ ピーク",TEXT(B67,"0.0")&amp;" Hz","")</f>
        <v/>
      </c>
      <c r="H67" s="71" t="str">
        <f aca="false">IF(03_FRFデータ貼付!B60="","",03_FRFデータ貼付!C60)</f>
        <v/>
      </c>
      <c r="I67" s="71" t="str">
        <f aca="false">IF(03_FRFデータ貼付!B60="","",03_FRFデータ貼付!D60)</f>
        <v/>
      </c>
      <c r="J67" s="67"/>
      <c r="K67" s="67"/>
      <c r="L67" s="67"/>
      <c r="M67" s="2"/>
      <c r="N67" s="2"/>
    </row>
    <row r="68" customFormat="false" ht="15" hidden="false" customHeight="false" outlineLevel="0" collapsed="false">
      <c r="A68" s="88" t="str">
        <f aca="false">IF(03_FRFデータ貼付!B61="","",03_FRFデータ貼付!A61)</f>
        <v/>
      </c>
      <c r="B68" s="89" t="str">
        <f aca="false">IF(03_FRFデータ貼付!B61="","",03_FRFデータ貼付!B61)</f>
        <v/>
      </c>
      <c r="C68" s="71" t="str">
        <f aca="false">IF(03_FRFデータ貼付!B61="","",03_FRFデータ貼付!E61)</f>
        <v/>
      </c>
      <c r="D68" s="90" t="str">
        <f aca="false">IF(03_FRFデータ貼付!B61="","",03_FRFデータ貼付!F61)</f>
        <v/>
      </c>
      <c r="E68" s="91" t="str">
        <f aca="false">IF(OR(03_FRFデータ貼付!B61="",03_FRFデータ貼付!E61=0),"",ABS(03_FRFデータ貼付!D61)/03_FRFデータ貼付!E61)</f>
        <v/>
      </c>
      <c r="F68" s="94" t="str">
        <f aca="false">IF(OR(C68="",C67="",C69=""),"",IF(AND(C68&gt;C67,C68&gt;=C69,C68&gt;=$E$6),"◀ ピーク",""))</f>
        <v/>
      </c>
      <c r="G68" s="95" t="str">
        <f aca="false">IF(F68="◀ ピーク",TEXT(B68,"0.0")&amp;" Hz","")</f>
        <v/>
      </c>
      <c r="H68" s="71" t="str">
        <f aca="false">IF(03_FRFデータ貼付!B61="","",03_FRFデータ貼付!C61)</f>
        <v/>
      </c>
      <c r="I68" s="71" t="str">
        <f aca="false">IF(03_FRFデータ貼付!B61="","",03_FRFデータ貼付!D61)</f>
        <v/>
      </c>
      <c r="J68" s="67"/>
      <c r="K68" s="67"/>
      <c r="L68" s="67"/>
      <c r="M68" s="2"/>
      <c r="N68" s="2"/>
    </row>
    <row r="69" customFormat="false" ht="15" hidden="false" customHeight="false" outlineLevel="0" collapsed="false">
      <c r="A69" s="88" t="str">
        <f aca="false">IF(03_FRFデータ貼付!B62="","",03_FRFデータ貼付!A62)</f>
        <v/>
      </c>
      <c r="B69" s="89" t="str">
        <f aca="false">IF(03_FRFデータ貼付!B62="","",03_FRFデータ貼付!B62)</f>
        <v/>
      </c>
      <c r="C69" s="71" t="str">
        <f aca="false">IF(03_FRFデータ貼付!B62="","",03_FRFデータ貼付!E62)</f>
        <v/>
      </c>
      <c r="D69" s="90" t="str">
        <f aca="false">IF(03_FRFデータ貼付!B62="","",03_FRFデータ貼付!F62)</f>
        <v/>
      </c>
      <c r="E69" s="91" t="str">
        <f aca="false">IF(OR(03_FRFデータ貼付!B62="",03_FRFデータ貼付!E62=0),"",ABS(03_FRFデータ貼付!D62)/03_FRFデータ貼付!E62)</f>
        <v/>
      </c>
      <c r="F69" s="94" t="str">
        <f aca="false">IF(OR(C69="",C68="",C70=""),"",IF(AND(C69&gt;C68,C69&gt;=C70,C69&gt;=$E$6),"◀ ピーク",""))</f>
        <v/>
      </c>
      <c r="G69" s="95" t="str">
        <f aca="false">IF(F69="◀ ピーク",TEXT(B69,"0.0")&amp;" Hz","")</f>
        <v/>
      </c>
      <c r="H69" s="71" t="str">
        <f aca="false">IF(03_FRFデータ貼付!B62="","",03_FRFデータ貼付!C62)</f>
        <v/>
      </c>
      <c r="I69" s="71" t="str">
        <f aca="false">IF(03_FRFデータ貼付!B62="","",03_FRFデータ貼付!D62)</f>
        <v/>
      </c>
      <c r="J69" s="67"/>
      <c r="K69" s="67"/>
      <c r="L69" s="67"/>
      <c r="M69" s="2"/>
      <c r="N69" s="2"/>
    </row>
    <row r="70" customFormat="false" ht="15" hidden="false" customHeight="false" outlineLevel="0" collapsed="false">
      <c r="A70" s="88" t="str">
        <f aca="false">IF(03_FRFデータ貼付!B63="","",03_FRFデータ貼付!A63)</f>
        <v/>
      </c>
      <c r="B70" s="89" t="str">
        <f aca="false">IF(03_FRFデータ貼付!B63="","",03_FRFデータ貼付!B63)</f>
        <v/>
      </c>
      <c r="C70" s="71" t="str">
        <f aca="false">IF(03_FRFデータ貼付!B63="","",03_FRFデータ貼付!E63)</f>
        <v/>
      </c>
      <c r="D70" s="90" t="str">
        <f aca="false">IF(03_FRFデータ貼付!B63="","",03_FRFデータ貼付!F63)</f>
        <v/>
      </c>
      <c r="E70" s="91" t="str">
        <f aca="false">IF(OR(03_FRFデータ貼付!B63="",03_FRFデータ貼付!E63=0),"",ABS(03_FRFデータ貼付!D63)/03_FRFデータ貼付!E63)</f>
        <v/>
      </c>
      <c r="F70" s="94" t="str">
        <f aca="false">IF(OR(C70="",C69="",C71=""),"",IF(AND(C70&gt;C69,C70&gt;=C71,C70&gt;=$E$6),"◀ ピーク",""))</f>
        <v/>
      </c>
      <c r="G70" s="95" t="str">
        <f aca="false">IF(F70="◀ ピーク",TEXT(B70,"0.0")&amp;" Hz","")</f>
        <v/>
      </c>
      <c r="H70" s="71" t="str">
        <f aca="false">IF(03_FRFデータ貼付!B63="","",03_FRFデータ貼付!C63)</f>
        <v/>
      </c>
      <c r="I70" s="71" t="str">
        <f aca="false">IF(03_FRFデータ貼付!B63="","",03_FRFデータ貼付!D63)</f>
        <v/>
      </c>
      <c r="J70" s="67"/>
      <c r="K70" s="67"/>
      <c r="L70" s="67"/>
      <c r="M70" s="2"/>
      <c r="N70" s="2"/>
    </row>
    <row r="71" customFormat="false" ht="15" hidden="false" customHeight="false" outlineLevel="0" collapsed="false">
      <c r="A71" s="88" t="str">
        <f aca="false">IF(03_FRFデータ貼付!B64="","",03_FRFデータ貼付!A64)</f>
        <v/>
      </c>
      <c r="B71" s="89" t="str">
        <f aca="false">IF(03_FRFデータ貼付!B64="","",03_FRFデータ貼付!B64)</f>
        <v/>
      </c>
      <c r="C71" s="71" t="str">
        <f aca="false">IF(03_FRFデータ貼付!B64="","",03_FRFデータ貼付!E64)</f>
        <v/>
      </c>
      <c r="D71" s="90" t="str">
        <f aca="false">IF(03_FRFデータ貼付!B64="","",03_FRFデータ貼付!F64)</f>
        <v/>
      </c>
      <c r="E71" s="91" t="str">
        <f aca="false">IF(OR(03_FRFデータ貼付!B64="",03_FRFデータ貼付!E64=0),"",ABS(03_FRFデータ貼付!D64)/03_FRFデータ貼付!E64)</f>
        <v/>
      </c>
      <c r="F71" s="94" t="str">
        <f aca="false">IF(OR(C71="",C70="",C72=""),"",IF(AND(C71&gt;C70,C71&gt;=C72,C71&gt;=$E$6),"◀ ピーク",""))</f>
        <v/>
      </c>
      <c r="G71" s="95" t="str">
        <f aca="false">IF(F71="◀ ピーク",TEXT(B71,"0.0")&amp;" Hz","")</f>
        <v/>
      </c>
      <c r="H71" s="71" t="str">
        <f aca="false">IF(03_FRFデータ貼付!B64="","",03_FRFデータ貼付!C64)</f>
        <v/>
      </c>
      <c r="I71" s="71" t="str">
        <f aca="false">IF(03_FRFデータ貼付!B64="","",03_FRFデータ貼付!D64)</f>
        <v/>
      </c>
      <c r="J71" s="67"/>
      <c r="K71" s="67"/>
      <c r="L71" s="67"/>
      <c r="M71" s="2"/>
      <c r="N71" s="2"/>
    </row>
    <row r="72" customFormat="false" ht="15" hidden="false" customHeight="false" outlineLevel="0" collapsed="false">
      <c r="A72" s="88" t="str">
        <f aca="false">IF(03_FRFデータ貼付!B65="","",03_FRFデータ貼付!A65)</f>
        <v/>
      </c>
      <c r="B72" s="89" t="str">
        <f aca="false">IF(03_FRFデータ貼付!B65="","",03_FRFデータ貼付!B65)</f>
        <v/>
      </c>
      <c r="C72" s="71" t="str">
        <f aca="false">IF(03_FRFデータ貼付!B65="","",03_FRFデータ貼付!E65)</f>
        <v/>
      </c>
      <c r="D72" s="90" t="str">
        <f aca="false">IF(03_FRFデータ貼付!B65="","",03_FRFデータ貼付!F65)</f>
        <v/>
      </c>
      <c r="E72" s="91" t="str">
        <f aca="false">IF(OR(03_FRFデータ貼付!B65="",03_FRFデータ貼付!E65=0),"",ABS(03_FRFデータ貼付!D65)/03_FRFデータ貼付!E65)</f>
        <v/>
      </c>
      <c r="F72" s="94" t="str">
        <f aca="false">IF(OR(C72="",C71="",C73=""),"",IF(AND(C72&gt;C71,C72&gt;=C73,C72&gt;=$E$6),"◀ ピーク",""))</f>
        <v/>
      </c>
      <c r="G72" s="95" t="str">
        <f aca="false">IF(F72="◀ ピーク",TEXT(B72,"0.0")&amp;" Hz","")</f>
        <v/>
      </c>
      <c r="H72" s="71" t="str">
        <f aca="false">IF(03_FRFデータ貼付!B65="","",03_FRFデータ貼付!C65)</f>
        <v/>
      </c>
      <c r="I72" s="71" t="str">
        <f aca="false">IF(03_FRFデータ貼付!B65="","",03_FRFデータ貼付!D65)</f>
        <v/>
      </c>
      <c r="J72" s="67"/>
      <c r="K72" s="67"/>
      <c r="L72" s="67"/>
      <c r="M72" s="2"/>
      <c r="N72" s="2"/>
    </row>
    <row r="73" customFormat="false" ht="15" hidden="false" customHeight="false" outlineLevel="0" collapsed="false">
      <c r="A73" s="88" t="str">
        <f aca="false">IF(03_FRFデータ貼付!B66="","",03_FRFデータ貼付!A66)</f>
        <v/>
      </c>
      <c r="B73" s="89" t="str">
        <f aca="false">IF(03_FRFデータ貼付!B66="","",03_FRFデータ貼付!B66)</f>
        <v/>
      </c>
      <c r="C73" s="71" t="str">
        <f aca="false">IF(03_FRFデータ貼付!B66="","",03_FRFデータ貼付!E66)</f>
        <v/>
      </c>
      <c r="D73" s="90" t="str">
        <f aca="false">IF(03_FRFデータ貼付!B66="","",03_FRFデータ貼付!F66)</f>
        <v/>
      </c>
      <c r="E73" s="91" t="str">
        <f aca="false">IF(OR(03_FRFデータ貼付!B66="",03_FRFデータ貼付!E66=0),"",ABS(03_FRFデータ貼付!D66)/03_FRFデータ貼付!E66)</f>
        <v/>
      </c>
      <c r="F73" s="94" t="str">
        <f aca="false">IF(OR(C73="",C72="",C74=""),"",IF(AND(C73&gt;C72,C73&gt;=C74,C73&gt;=$E$6),"◀ ピーク",""))</f>
        <v/>
      </c>
      <c r="G73" s="95" t="str">
        <f aca="false">IF(F73="◀ ピーク",TEXT(B73,"0.0")&amp;" Hz","")</f>
        <v/>
      </c>
      <c r="H73" s="71" t="str">
        <f aca="false">IF(03_FRFデータ貼付!B66="","",03_FRFデータ貼付!C66)</f>
        <v/>
      </c>
      <c r="I73" s="71" t="str">
        <f aca="false">IF(03_FRFデータ貼付!B66="","",03_FRFデータ貼付!D66)</f>
        <v/>
      </c>
      <c r="J73" s="67"/>
      <c r="K73" s="67"/>
      <c r="L73" s="67"/>
      <c r="M73" s="2"/>
      <c r="N73" s="2"/>
    </row>
    <row r="74" customFormat="false" ht="15" hidden="false" customHeight="false" outlineLevel="0" collapsed="false">
      <c r="A74" s="88" t="str">
        <f aca="false">IF(03_FRFデータ貼付!B67="","",03_FRFデータ貼付!A67)</f>
        <v/>
      </c>
      <c r="B74" s="89" t="str">
        <f aca="false">IF(03_FRFデータ貼付!B67="","",03_FRFデータ貼付!B67)</f>
        <v/>
      </c>
      <c r="C74" s="71" t="str">
        <f aca="false">IF(03_FRFデータ貼付!B67="","",03_FRFデータ貼付!E67)</f>
        <v/>
      </c>
      <c r="D74" s="90" t="str">
        <f aca="false">IF(03_FRFデータ貼付!B67="","",03_FRFデータ貼付!F67)</f>
        <v/>
      </c>
      <c r="E74" s="91" t="str">
        <f aca="false">IF(OR(03_FRFデータ貼付!B67="",03_FRFデータ貼付!E67=0),"",ABS(03_FRFデータ貼付!D67)/03_FRFデータ貼付!E67)</f>
        <v/>
      </c>
      <c r="F74" s="94" t="str">
        <f aca="false">IF(OR(C74="",C73="",C75=""),"",IF(AND(C74&gt;C73,C74&gt;=C75,C74&gt;=$E$6),"◀ ピーク",""))</f>
        <v/>
      </c>
      <c r="G74" s="95" t="str">
        <f aca="false">IF(F74="◀ ピーク",TEXT(B74,"0.0")&amp;" Hz","")</f>
        <v/>
      </c>
      <c r="H74" s="71" t="str">
        <f aca="false">IF(03_FRFデータ貼付!B67="","",03_FRFデータ貼付!C67)</f>
        <v/>
      </c>
      <c r="I74" s="71" t="str">
        <f aca="false">IF(03_FRFデータ貼付!B67="","",03_FRFデータ貼付!D67)</f>
        <v/>
      </c>
      <c r="J74" s="67"/>
      <c r="K74" s="67"/>
      <c r="L74" s="67"/>
      <c r="M74" s="2"/>
      <c r="N74" s="2"/>
    </row>
    <row r="75" customFormat="false" ht="15" hidden="false" customHeight="false" outlineLevel="0" collapsed="false">
      <c r="A75" s="88" t="str">
        <f aca="false">IF(03_FRFデータ貼付!B68="","",03_FRFデータ貼付!A68)</f>
        <v/>
      </c>
      <c r="B75" s="89" t="str">
        <f aca="false">IF(03_FRFデータ貼付!B68="","",03_FRFデータ貼付!B68)</f>
        <v/>
      </c>
      <c r="C75" s="71" t="str">
        <f aca="false">IF(03_FRFデータ貼付!B68="","",03_FRFデータ貼付!E68)</f>
        <v/>
      </c>
      <c r="D75" s="90" t="str">
        <f aca="false">IF(03_FRFデータ貼付!B68="","",03_FRFデータ貼付!F68)</f>
        <v/>
      </c>
      <c r="E75" s="91" t="str">
        <f aca="false">IF(OR(03_FRFデータ貼付!B68="",03_FRFデータ貼付!E68=0),"",ABS(03_FRFデータ貼付!D68)/03_FRFデータ貼付!E68)</f>
        <v/>
      </c>
      <c r="F75" s="94" t="str">
        <f aca="false">IF(OR(C75="",C74="",C76=""),"",IF(AND(C75&gt;C74,C75&gt;=C76,C75&gt;=$E$6),"◀ ピーク",""))</f>
        <v/>
      </c>
      <c r="G75" s="95" t="str">
        <f aca="false">IF(F75="◀ ピーク",TEXT(B75,"0.0")&amp;" Hz","")</f>
        <v/>
      </c>
      <c r="H75" s="71" t="str">
        <f aca="false">IF(03_FRFデータ貼付!B68="","",03_FRFデータ貼付!C68)</f>
        <v/>
      </c>
      <c r="I75" s="71" t="str">
        <f aca="false">IF(03_FRFデータ貼付!B68="","",03_FRFデータ貼付!D68)</f>
        <v/>
      </c>
      <c r="J75" s="67"/>
      <c r="K75" s="67"/>
      <c r="L75" s="67"/>
      <c r="M75" s="2"/>
      <c r="N75" s="2"/>
    </row>
    <row r="76" customFormat="false" ht="15" hidden="false" customHeight="false" outlineLevel="0" collapsed="false">
      <c r="A76" s="88" t="str">
        <f aca="false">IF(03_FRFデータ貼付!B69="","",03_FRFデータ貼付!A69)</f>
        <v/>
      </c>
      <c r="B76" s="89" t="str">
        <f aca="false">IF(03_FRFデータ貼付!B69="","",03_FRFデータ貼付!B69)</f>
        <v/>
      </c>
      <c r="C76" s="71" t="str">
        <f aca="false">IF(03_FRFデータ貼付!B69="","",03_FRFデータ貼付!E69)</f>
        <v/>
      </c>
      <c r="D76" s="90" t="str">
        <f aca="false">IF(03_FRFデータ貼付!B69="","",03_FRFデータ貼付!F69)</f>
        <v/>
      </c>
      <c r="E76" s="91" t="str">
        <f aca="false">IF(OR(03_FRFデータ貼付!B69="",03_FRFデータ貼付!E69=0),"",ABS(03_FRFデータ貼付!D69)/03_FRFデータ貼付!E69)</f>
        <v/>
      </c>
      <c r="F76" s="94" t="str">
        <f aca="false">IF(OR(C76="",C75="",C77=""),"",IF(AND(C76&gt;C75,C76&gt;=C77,C76&gt;=$E$6),"◀ ピーク",""))</f>
        <v/>
      </c>
      <c r="G76" s="95" t="str">
        <f aca="false">IF(F76="◀ ピーク",TEXT(B76,"0.0")&amp;" Hz","")</f>
        <v/>
      </c>
      <c r="H76" s="71" t="str">
        <f aca="false">IF(03_FRFデータ貼付!B69="","",03_FRFデータ貼付!C69)</f>
        <v/>
      </c>
      <c r="I76" s="71" t="str">
        <f aca="false">IF(03_FRFデータ貼付!B69="","",03_FRFデータ貼付!D69)</f>
        <v/>
      </c>
      <c r="J76" s="67"/>
      <c r="K76" s="67"/>
      <c r="L76" s="67"/>
      <c r="M76" s="2"/>
      <c r="N76" s="2"/>
    </row>
    <row r="77" customFormat="false" ht="15" hidden="false" customHeight="false" outlineLevel="0" collapsed="false">
      <c r="A77" s="88" t="str">
        <f aca="false">IF(03_FRFデータ貼付!B70="","",03_FRFデータ貼付!A70)</f>
        <v/>
      </c>
      <c r="B77" s="89" t="str">
        <f aca="false">IF(03_FRFデータ貼付!B70="","",03_FRFデータ貼付!B70)</f>
        <v/>
      </c>
      <c r="C77" s="71" t="str">
        <f aca="false">IF(03_FRFデータ貼付!B70="","",03_FRFデータ貼付!E70)</f>
        <v/>
      </c>
      <c r="D77" s="90" t="str">
        <f aca="false">IF(03_FRFデータ貼付!B70="","",03_FRFデータ貼付!F70)</f>
        <v/>
      </c>
      <c r="E77" s="91" t="str">
        <f aca="false">IF(OR(03_FRFデータ貼付!B70="",03_FRFデータ貼付!E70=0),"",ABS(03_FRFデータ貼付!D70)/03_FRFデータ貼付!E70)</f>
        <v/>
      </c>
      <c r="F77" s="94" t="str">
        <f aca="false">IF(OR(C77="",C76="",C78=""),"",IF(AND(C77&gt;C76,C77&gt;=C78,C77&gt;=$E$6),"◀ ピーク",""))</f>
        <v/>
      </c>
      <c r="G77" s="95" t="str">
        <f aca="false">IF(F77="◀ ピーク",TEXT(B77,"0.0")&amp;" Hz","")</f>
        <v/>
      </c>
      <c r="H77" s="71" t="str">
        <f aca="false">IF(03_FRFデータ貼付!B70="","",03_FRFデータ貼付!C70)</f>
        <v/>
      </c>
      <c r="I77" s="71" t="str">
        <f aca="false">IF(03_FRFデータ貼付!B70="","",03_FRFデータ貼付!D70)</f>
        <v/>
      </c>
      <c r="J77" s="67"/>
      <c r="K77" s="67"/>
      <c r="L77" s="67"/>
      <c r="M77" s="2"/>
      <c r="N77" s="2"/>
    </row>
    <row r="78" customFormat="false" ht="15" hidden="false" customHeight="false" outlineLevel="0" collapsed="false">
      <c r="A78" s="88" t="str">
        <f aca="false">IF(03_FRFデータ貼付!B71="","",03_FRFデータ貼付!A71)</f>
        <v/>
      </c>
      <c r="B78" s="89" t="str">
        <f aca="false">IF(03_FRFデータ貼付!B71="","",03_FRFデータ貼付!B71)</f>
        <v/>
      </c>
      <c r="C78" s="71" t="str">
        <f aca="false">IF(03_FRFデータ貼付!B71="","",03_FRFデータ貼付!E71)</f>
        <v/>
      </c>
      <c r="D78" s="90" t="str">
        <f aca="false">IF(03_FRFデータ貼付!B71="","",03_FRFデータ貼付!F71)</f>
        <v/>
      </c>
      <c r="E78" s="91" t="str">
        <f aca="false">IF(OR(03_FRFデータ貼付!B71="",03_FRFデータ貼付!E71=0),"",ABS(03_FRFデータ貼付!D71)/03_FRFデータ貼付!E71)</f>
        <v/>
      </c>
      <c r="F78" s="94" t="str">
        <f aca="false">IF(OR(C78="",C77="",C79=""),"",IF(AND(C78&gt;C77,C78&gt;=C79,C78&gt;=$E$6),"◀ ピーク",""))</f>
        <v/>
      </c>
      <c r="G78" s="95" t="str">
        <f aca="false">IF(F78="◀ ピーク",TEXT(B78,"0.0")&amp;" Hz","")</f>
        <v/>
      </c>
      <c r="H78" s="71" t="str">
        <f aca="false">IF(03_FRFデータ貼付!B71="","",03_FRFデータ貼付!C71)</f>
        <v/>
      </c>
      <c r="I78" s="71" t="str">
        <f aca="false">IF(03_FRFデータ貼付!B71="","",03_FRFデータ貼付!D71)</f>
        <v/>
      </c>
      <c r="J78" s="67"/>
      <c r="K78" s="67"/>
      <c r="L78" s="67"/>
      <c r="M78" s="2"/>
      <c r="N78" s="2"/>
    </row>
    <row r="79" customFormat="false" ht="15" hidden="false" customHeight="false" outlineLevel="0" collapsed="false">
      <c r="A79" s="88" t="str">
        <f aca="false">IF(03_FRFデータ貼付!B72="","",03_FRFデータ貼付!A72)</f>
        <v/>
      </c>
      <c r="B79" s="89" t="str">
        <f aca="false">IF(03_FRFデータ貼付!B72="","",03_FRFデータ貼付!B72)</f>
        <v/>
      </c>
      <c r="C79" s="71" t="str">
        <f aca="false">IF(03_FRFデータ貼付!B72="","",03_FRFデータ貼付!E72)</f>
        <v/>
      </c>
      <c r="D79" s="90" t="str">
        <f aca="false">IF(03_FRFデータ貼付!B72="","",03_FRFデータ貼付!F72)</f>
        <v/>
      </c>
      <c r="E79" s="91" t="str">
        <f aca="false">IF(OR(03_FRFデータ貼付!B72="",03_FRFデータ貼付!E72=0),"",ABS(03_FRFデータ貼付!D72)/03_FRFデータ貼付!E72)</f>
        <v/>
      </c>
      <c r="F79" s="94" t="str">
        <f aca="false">IF(OR(C79="",C78="",C80=""),"",IF(AND(C79&gt;C78,C79&gt;=C80,C79&gt;=$E$6),"◀ ピーク",""))</f>
        <v/>
      </c>
      <c r="G79" s="95" t="str">
        <f aca="false">IF(F79="◀ ピーク",TEXT(B79,"0.0")&amp;" Hz","")</f>
        <v/>
      </c>
      <c r="H79" s="71" t="str">
        <f aca="false">IF(03_FRFデータ貼付!B72="","",03_FRFデータ貼付!C72)</f>
        <v/>
      </c>
      <c r="I79" s="71" t="str">
        <f aca="false">IF(03_FRFデータ貼付!B72="","",03_FRFデータ貼付!D72)</f>
        <v/>
      </c>
      <c r="J79" s="67"/>
      <c r="K79" s="67"/>
      <c r="L79" s="67"/>
      <c r="M79" s="2"/>
      <c r="N79" s="2"/>
    </row>
    <row r="80" customFormat="false" ht="15" hidden="false" customHeight="false" outlineLevel="0" collapsed="false">
      <c r="A80" s="88" t="str">
        <f aca="false">IF(03_FRFデータ貼付!B73="","",03_FRFデータ貼付!A73)</f>
        <v/>
      </c>
      <c r="B80" s="89" t="str">
        <f aca="false">IF(03_FRFデータ貼付!B73="","",03_FRFデータ貼付!B73)</f>
        <v/>
      </c>
      <c r="C80" s="71" t="str">
        <f aca="false">IF(03_FRFデータ貼付!B73="","",03_FRFデータ貼付!E73)</f>
        <v/>
      </c>
      <c r="D80" s="90" t="str">
        <f aca="false">IF(03_FRFデータ貼付!B73="","",03_FRFデータ貼付!F73)</f>
        <v/>
      </c>
      <c r="E80" s="91" t="str">
        <f aca="false">IF(OR(03_FRFデータ貼付!B73="",03_FRFデータ貼付!E73=0),"",ABS(03_FRFデータ貼付!D73)/03_FRFデータ貼付!E73)</f>
        <v/>
      </c>
      <c r="F80" s="94" t="str">
        <f aca="false">IF(OR(C80="",C79="",C81=""),"",IF(AND(C80&gt;C79,C80&gt;=C81,C80&gt;=$E$6),"◀ ピーク",""))</f>
        <v/>
      </c>
      <c r="G80" s="95" t="str">
        <f aca="false">IF(F80="◀ ピーク",TEXT(B80,"0.0")&amp;" Hz","")</f>
        <v/>
      </c>
      <c r="H80" s="71" t="str">
        <f aca="false">IF(03_FRFデータ貼付!B73="","",03_FRFデータ貼付!C73)</f>
        <v/>
      </c>
      <c r="I80" s="71" t="str">
        <f aca="false">IF(03_FRFデータ貼付!B73="","",03_FRFデータ貼付!D73)</f>
        <v/>
      </c>
      <c r="J80" s="67"/>
      <c r="K80" s="67"/>
      <c r="L80" s="67"/>
      <c r="M80" s="2"/>
      <c r="N80" s="2"/>
    </row>
    <row r="81" customFormat="false" ht="15" hidden="false" customHeight="false" outlineLevel="0" collapsed="false">
      <c r="A81" s="88" t="str">
        <f aca="false">IF(03_FRFデータ貼付!B74="","",03_FRFデータ貼付!A74)</f>
        <v/>
      </c>
      <c r="B81" s="89" t="str">
        <f aca="false">IF(03_FRFデータ貼付!B74="","",03_FRFデータ貼付!B74)</f>
        <v/>
      </c>
      <c r="C81" s="71" t="str">
        <f aca="false">IF(03_FRFデータ貼付!B74="","",03_FRFデータ貼付!E74)</f>
        <v/>
      </c>
      <c r="D81" s="90" t="str">
        <f aca="false">IF(03_FRFデータ貼付!B74="","",03_FRFデータ貼付!F74)</f>
        <v/>
      </c>
      <c r="E81" s="91" t="str">
        <f aca="false">IF(OR(03_FRFデータ貼付!B74="",03_FRFデータ貼付!E74=0),"",ABS(03_FRFデータ貼付!D74)/03_FRFデータ貼付!E74)</f>
        <v/>
      </c>
      <c r="F81" s="94" t="str">
        <f aca="false">IF(OR(C81="",C80="",C82=""),"",IF(AND(C81&gt;C80,C81&gt;=C82,C81&gt;=$E$6),"◀ ピーク",""))</f>
        <v/>
      </c>
      <c r="G81" s="95" t="str">
        <f aca="false">IF(F81="◀ ピーク",TEXT(B81,"0.0")&amp;" Hz","")</f>
        <v/>
      </c>
      <c r="H81" s="71" t="str">
        <f aca="false">IF(03_FRFデータ貼付!B74="","",03_FRFデータ貼付!C74)</f>
        <v/>
      </c>
      <c r="I81" s="71" t="str">
        <f aca="false">IF(03_FRFデータ貼付!B74="","",03_FRFデータ貼付!D74)</f>
        <v/>
      </c>
      <c r="J81" s="67"/>
      <c r="K81" s="67"/>
      <c r="L81" s="67"/>
      <c r="M81" s="2"/>
      <c r="N81" s="2"/>
    </row>
    <row r="82" customFormat="false" ht="15" hidden="false" customHeight="false" outlineLevel="0" collapsed="false">
      <c r="A82" s="88" t="str">
        <f aca="false">IF(03_FRFデータ貼付!B75="","",03_FRFデータ貼付!A75)</f>
        <v/>
      </c>
      <c r="B82" s="89" t="str">
        <f aca="false">IF(03_FRFデータ貼付!B75="","",03_FRFデータ貼付!B75)</f>
        <v/>
      </c>
      <c r="C82" s="71" t="str">
        <f aca="false">IF(03_FRFデータ貼付!B75="","",03_FRFデータ貼付!E75)</f>
        <v/>
      </c>
      <c r="D82" s="90" t="str">
        <f aca="false">IF(03_FRFデータ貼付!B75="","",03_FRFデータ貼付!F75)</f>
        <v/>
      </c>
      <c r="E82" s="91" t="str">
        <f aca="false">IF(OR(03_FRFデータ貼付!B75="",03_FRFデータ貼付!E75=0),"",ABS(03_FRFデータ貼付!D75)/03_FRFデータ貼付!E75)</f>
        <v/>
      </c>
      <c r="F82" s="94" t="str">
        <f aca="false">IF(OR(C82="",C81="",C83=""),"",IF(AND(C82&gt;C81,C82&gt;=C83,C82&gt;=$E$6),"◀ ピーク",""))</f>
        <v/>
      </c>
      <c r="G82" s="95" t="str">
        <f aca="false">IF(F82="◀ ピーク",TEXT(B82,"0.0")&amp;" Hz","")</f>
        <v/>
      </c>
      <c r="H82" s="71" t="str">
        <f aca="false">IF(03_FRFデータ貼付!B75="","",03_FRFデータ貼付!C75)</f>
        <v/>
      </c>
      <c r="I82" s="71" t="str">
        <f aca="false">IF(03_FRFデータ貼付!B75="","",03_FRFデータ貼付!D75)</f>
        <v/>
      </c>
      <c r="J82" s="67"/>
      <c r="K82" s="67"/>
      <c r="L82" s="67"/>
      <c r="M82" s="2"/>
      <c r="N82" s="2"/>
    </row>
    <row r="83" customFormat="false" ht="15" hidden="false" customHeight="false" outlineLevel="0" collapsed="false">
      <c r="A83" s="88" t="str">
        <f aca="false">IF(03_FRFデータ貼付!B76="","",03_FRFデータ貼付!A76)</f>
        <v/>
      </c>
      <c r="B83" s="89" t="str">
        <f aca="false">IF(03_FRFデータ貼付!B76="","",03_FRFデータ貼付!B76)</f>
        <v/>
      </c>
      <c r="C83" s="71" t="str">
        <f aca="false">IF(03_FRFデータ貼付!B76="","",03_FRFデータ貼付!E76)</f>
        <v/>
      </c>
      <c r="D83" s="90" t="str">
        <f aca="false">IF(03_FRFデータ貼付!B76="","",03_FRFデータ貼付!F76)</f>
        <v/>
      </c>
      <c r="E83" s="91" t="str">
        <f aca="false">IF(OR(03_FRFデータ貼付!B76="",03_FRFデータ貼付!E76=0),"",ABS(03_FRFデータ貼付!D76)/03_FRFデータ貼付!E76)</f>
        <v/>
      </c>
      <c r="F83" s="94" t="str">
        <f aca="false">IF(OR(C83="",C82="",C84=""),"",IF(AND(C83&gt;C82,C83&gt;=C84,C83&gt;=$E$6),"◀ ピーク",""))</f>
        <v/>
      </c>
      <c r="G83" s="95" t="str">
        <f aca="false">IF(F83="◀ ピーク",TEXT(B83,"0.0")&amp;" Hz","")</f>
        <v/>
      </c>
      <c r="H83" s="71" t="str">
        <f aca="false">IF(03_FRFデータ貼付!B76="","",03_FRFデータ貼付!C76)</f>
        <v/>
      </c>
      <c r="I83" s="71" t="str">
        <f aca="false">IF(03_FRFデータ貼付!B76="","",03_FRFデータ貼付!D76)</f>
        <v/>
      </c>
      <c r="J83" s="67"/>
      <c r="K83" s="67"/>
      <c r="L83" s="67"/>
      <c r="M83" s="2"/>
      <c r="N83" s="2"/>
    </row>
    <row r="84" customFormat="false" ht="15" hidden="false" customHeight="false" outlineLevel="0" collapsed="false">
      <c r="A84" s="88" t="str">
        <f aca="false">IF(03_FRFデータ貼付!B77="","",03_FRFデータ貼付!A77)</f>
        <v/>
      </c>
      <c r="B84" s="89" t="str">
        <f aca="false">IF(03_FRFデータ貼付!B77="","",03_FRFデータ貼付!B77)</f>
        <v/>
      </c>
      <c r="C84" s="71" t="str">
        <f aca="false">IF(03_FRFデータ貼付!B77="","",03_FRFデータ貼付!E77)</f>
        <v/>
      </c>
      <c r="D84" s="90" t="str">
        <f aca="false">IF(03_FRFデータ貼付!B77="","",03_FRFデータ貼付!F77)</f>
        <v/>
      </c>
      <c r="E84" s="91" t="str">
        <f aca="false">IF(OR(03_FRFデータ貼付!B77="",03_FRFデータ貼付!E77=0),"",ABS(03_FRFデータ貼付!D77)/03_FRFデータ貼付!E77)</f>
        <v/>
      </c>
      <c r="F84" s="94" t="str">
        <f aca="false">IF(OR(C84="",C83="",C85=""),"",IF(AND(C84&gt;C83,C84&gt;=C85,C84&gt;=$E$6),"◀ ピーク",""))</f>
        <v/>
      </c>
      <c r="G84" s="95" t="str">
        <f aca="false">IF(F84="◀ ピーク",TEXT(B84,"0.0")&amp;" Hz","")</f>
        <v/>
      </c>
      <c r="H84" s="71" t="str">
        <f aca="false">IF(03_FRFデータ貼付!B77="","",03_FRFデータ貼付!C77)</f>
        <v/>
      </c>
      <c r="I84" s="71" t="str">
        <f aca="false">IF(03_FRFデータ貼付!B77="","",03_FRFデータ貼付!D77)</f>
        <v/>
      </c>
      <c r="J84" s="67"/>
      <c r="K84" s="67"/>
      <c r="L84" s="67"/>
      <c r="M84" s="2"/>
      <c r="N84" s="2"/>
    </row>
    <row r="85" customFormat="false" ht="15" hidden="false" customHeight="false" outlineLevel="0" collapsed="false">
      <c r="A85" s="88" t="str">
        <f aca="false">IF(03_FRFデータ貼付!B78="","",03_FRFデータ貼付!A78)</f>
        <v/>
      </c>
      <c r="B85" s="89" t="str">
        <f aca="false">IF(03_FRFデータ貼付!B78="","",03_FRFデータ貼付!B78)</f>
        <v/>
      </c>
      <c r="C85" s="71" t="str">
        <f aca="false">IF(03_FRFデータ貼付!B78="","",03_FRFデータ貼付!E78)</f>
        <v/>
      </c>
      <c r="D85" s="90" t="str">
        <f aca="false">IF(03_FRFデータ貼付!B78="","",03_FRFデータ貼付!F78)</f>
        <v/>
      </c>
      <c r="E85" s="91" t="str">
        <f aca="false">IF(OR(03_FRFデータ貼付!B78="",03_FRFデータ貼付!E78=0),"",ABS(03_FRFデータ貼付!D78)/03_FRFデータ貼付!E78)</f>
        <v/>
      </c>
      <c r="F85" s="94" t="str">
        <f aca="false">IF(OR(C85="",C84="",C86=""),"",IF(AND(C85&gt;C84,C85&gt;=C86,C85&gt;=$E$6),"◀ ピーク",""))</f>
        <v/>
      </c>
      <c r="G85" s="95" t="str">
        <f aca="false">IF(F85="◀ ピーク",TEXT(B85,"0.0")&amp;" Hz","")</f>
        <v/>
      </c>
      <c r="H85" s="71" t="str">
        <f aca="false">IF(03_FRFデータ貼付!B78="","",03_FRFデータ貼付!C78)</f>
        <v/>
      </c>
      <c r="I85" s="71" t="str">
        <f aca="false">IF(03_FRFデータ貼付!B78="","",03_FRFデータ貼付!D78)</f>
        <v/>
      </c>
      <c r="J85" s="67"/>
      <c r="K85" s="67"/>
      <c r="L85" s="67"/>
      <c r="M85" s="2"/>
      <c r="N85" s="2"/>
    </row>
    <row r="86" customFormat="false" ht="15" hidden="false" customHeight="false" outlineLevel="0" collapsed="false">
      <c r="A86" s="88" t="str">
        <f aca="false">IF(03_FRFデータ貼付!B79="","",03_FRFデータ貼付!A79)</f>
        <v/>
      </c>
      <c r="B86" s="89" t="str">
        <f aca="false">IF(03_FRFデータ貼付!B79="","",03_FRFデータ貼付!B79)</f>
        <v/>
      </c>
      <c r="C86" s="71" t="str">
        <f aca="false">IF(03_FRFデータ貼付!B79="","",03_FRFデータ貼付!E79)</f>
        <v/>
      </c>
      <c r="D86" s="90" t="str">
        <f aca="false">IF(03_FRFデータ貼付!B79="","",03_FRFデータ貼付!F79)</f>
        <v/>
      </c>
      <c r="E86" s="91" t="str">
        <f aca="false">IF(OR(03_FRFデータ貼付!B79="",03_FRFデータ貼付!E79=0),"",ABS(03_FRFデータ貼付!D79)/03_FRFデータ貼付!E79)</f>
        <v/>
      </c>
      <c r="F86" s="94" t="str">
        <f aca="false">IF(OR(C86="",C85="",C87=""),"",IF(AND(C86&gt;C85,C86&gt;=C87,C86&gt;=$E$6),"◀ ピーク",""))</f>
        <v/>
      </c>
      <c r="G86" s="95" t="str">
        <f aca="false">IF(F86="◀ ピーク",TEXT(B86,"0.0")&amp;" Hz","")</f>
        <v/>
      </c>
      <c r="H86" s="71" t="str">
        <f aca="false">IF(03_FRFデータ貼付!B79="","",03_FRFデータ貼付!C79)</f>
        <v/>
      </c>
      <c r="I86" s="71" t="str">
        <f aca="false">IF(03_FRFデータ貼付!B79="","",03_FRFデータ貼付!D79)</f>
        <v/>
      </c>
      <c r="J86" s="67"/>
      <c r="K86" s="67"/>
      <c r="L86" s="67"/>
      <c r="M86" s="2"/>
      <c r="N86" s="2"/>
    </row>
    <row r="87" customFormat="false" ht="15" hidden="false" customHeight="false" outlineLevel="0" collapsed="false">
      <c r="A87" s="88" t="str">
        <f aca="false">IF(03_FRFデータ貼付!B80="","",03_FRFデータ貼付!A80)</f>
        <v/>
      </c>
      <c r="B87" s="89" t="str">
        <f aca="false">IF(03_FRFデータ貼付!B80="","",03_FRFデータ貼付!B80)</f>
        <v/>
      </c>
      <c r="C87" s="71" t="str">
        <f aca="false">IF(03_FRFデータ貼付!B80="","",03_FRFデータ貼付!E80)</f>
        <v/>
      </c>
      <c r="D87" s="90" t="str">
        <f aca="false">IF(03_FRFデータ貼付!B80="","",03_FRFデータ貼付!F80)</f>
        <v/>
      </c>
      <c r="E87" s="91" t="str">
        <f aca="false">IF(OR(03_FRFデータ貼付!B80="",03_FRFデータ貼付!E80=0),"",ABS(03_FRFデータ貼付!D80)/03_FRFデータ貼付!E80)</f>
        <v/>
      </c>
      <c r="F87" s="94" t="str">
        <f aca="false">IF(OR(C87="",C86="",C88=""),"",IF(AND(C87&gt;C86,C87&gt;=C88,C87&gt;=$E$6),"◀ ピーク",""))</f>
        <v/>
      </c>
      <c r="G87" s="95" t="str">
        <f aca="false">IF(F87="◀ ピーク",TEXT(B87,"0.0")&amp;" Hz","")</f>
        <v/>
      </c>
      <c r="H87" s="71" t="str">
        <f aca="false">IF(03_FRFデータ貼付!B80="","",03_FRFデータ貼付!C80)</f>
        <v/>
      </c>
      <c r="I87" s="71" t="str">
        <f aca="false">IF(03_FRFデータ貼付!B80="","",03_FRFデータ貼付!D80)</f>
        <v/>
      </c>
      <c r="J87" s="67"/>
      <c r="K87" s="67"/>
      <c r="L87" s="67"/>
      <c r="M87" s="2"/>
      <c r="N87" s="2"/>
    </row>
    <row r="88" customFormat="false" ht="15" hidden="false" customHeight="false" outlineLevel="0" collapsed="false">
      <c r="A88" s="88" t="str">
        <f aca="false">IF(03_FRFデータ貼付!B81="","",03_FRFデータ貼付!A81)</f>
        <v/>
      </c>
      <c r="B88" s="89" t="str">
        <f aca="false">IF(03_FRFデータ貼付!B81="","",03_FRFデータ貼付!B81)</f>
        <v/>
      </c>
      <c r="C88" s="71" t="str">
        <f aca="false">IF(03_FRFデータ貼付!B81="","",03_FRFデータ貼付!E81)</f>
        <v/>
      </c>
      <c r="D88" s="90" t="str">
        <f aca="false">IF(03_FRFデータ貼付!B81="","",03_FRFデータ貼付!F81)</f>
        <v/>
      </c>
      <c r="E88" s="91" t="str">
        <f aca="false">IF(OR(03_FRFデータ貼付!B81="",03_FRFデータ貼付!E81=0),"",ABS(03_FRFデータ貼付!D81)/03_FRFデータ貼付!E81)</f>
        <v/>
      </c>
      <c r="F88" s="94" t="str">
        <f aca="false">IF(OR(C88="",C87="",C89=""),"",IF(AND(C88&gt;C87,C88&gt;=C89,C88&gt;=$E$6),"◀ ピーク",""))</f>
        <v/>
      </c>
      <c r="G88" s="95" t="str">
        <f aca="false">IF(F88="◀ ピーク",TEXT(B88,"0.0")&amp;" Hz","")</f>
        <v/>
      </c>
      <c r="H88" s="71" t="str">
        <f aca="false">IF(03_FRFデータ貼付!B81="","",03_FRFデータ貼付!C81)</f>
        <v/>
      </c>
      <c r="I88" s="71" t="str">
        <f aca="false">IF(03_FRFデータ貼付!B81="","",03_FRFデータ貼付!D81)</f>
        <v/>
      </c>
      <c r="J88" s="67"/>
      <c r="K88" s="67"/>
      <c r="L88" s="67"/>
      <c r="M88" s="2"/>
      <c r="N88" s="2"/>
    </row>
    <row r="89" customFormat="false" ht="15" hidden="false" customHeight="false" outlineLevel="0" collapsed="false">
      <c r="A89" s="88" t="str">
        <f aca="false">IF(03_FRFデータ貼付!B82="","",03_FRFデータ貼付!A82)</f>
        <v/>
      </c>
      <c r="B89" s="89" t="str">
        <f aca="false">IF(03_FRFデータ貼付!B82="","",03_FRFデータ貼付!B82)</f>
        <v/>
      </c>
      <c r="C89" s="71" t="str">
        <f aca="false">IF(03_FRFデータ貼付!B82="","",03_FRFデータ貼付!E82)</f>
        <v/>
      </c>
      <c r="D89" s="90" t="str">
        <f aca="false">IF(03_FRFデータ貼付!B82="","",03_FRFデータ貼付!F82)</f>
        <v/>
      </c>
      <c r="E89" s="91" t="str">
        <f aca="false">IF(OR(03_FRFデータ貼付!B82="",03_FRFデータ貼付!E82=0),"",ABS(03_FRFデータ貼付!D82)/03_FRFデータ貼付!E82)</f>
        <v/>
      </c>
      <c r="F89" s="94" t="str">
        <f aca="false">IF(OR(C89="",C88="",C90=""),"",IF(AND(C89&gt;C88,C89&gt;=C90,C89&gt;=$E$6),"◀ ピーク",""))</f>
        <v/>
      </c>
      <c r="G89" s="95" t="str">
        <f aca="false">IF(F89="◀ ピーク",TEXT(B89,"0.0")&amp;" Hz","")</f>
        <v/>
      </c>
      <c r="H89" s="71" t="str">
        <f aca="false">IF(03_FRFデータ貼付!B82="","",03_FRFデータ貼付!C82)</f>
        <v/>
      </c>
      <c r="I89" s="71" t="str">
        <f aca="false">IF(03_FRFデータ貼付!B82="","",03_FRFデータ貼付!D82)</f>
        <v/>
      </c>
      <c r="J89" s="67"/>
      <c r="K89" s="67"/>
      <c r="L89" s="67"/>
      <c r="M89" s="2"/>
      <c r="N89" s="2"/>
    </row>
    <row r="90" customFormat="false" ht="15" hidden="false" customHeight="false" outlineLevel="0" collapsed="false">
      <c r="A90" s="88" t="str">
        <f aca="false">IF(03_FRFデータ貼付!B83="","",03_FRFデータ貼付!A83)</f>
        <v/>
      </c>
      <c r="B90" s="89" t="str">
        <f aca="false">IF(03_FRFデータ貼付!B83="","",03_FRFデータ貼付!B83)</f>
        <v/>
      </c>
      <c r="C90" s="71" t="str">
        <f aca="false">IF(03_FRFデータ貼付!B83="","",03_FRFデータ貼付!E83)</f>
        <v/>
      </c>
      <c r="D90" s="90" t="str">
        <f aca="false">IF(03_FRFデータ貼付!B83="","",03_FRFデータ貼付!F83)</f>
        <v/>
      </c>
      <c r="E90" s="91" t="str">
        <f aca="false">IF(OR(03_FRFデータ貼付!B83="",03_FRFデータ貼付!E83=0),"",ABS(03_FRFデータ貼付!D83)/03_FRFデータ貼付!E83)</f>
        <v/>
      </c>
      <c r="F90" s="94" t="str">
        <f aca="false">IF(OR(C90="",C89="",C91=""),"",IF(AND(C90&gt;C89,C90&gt;=C91,C90&gt;=$E$6),"◀ ピーク",""))</f>
        <v/>
      </c>
      <c r="G90" s="95" t="str">
        <f aca="false">IF(F90="◀ ピーク",TEXT(B90,"0.0")&amp;" Hz","")</f>
        <v/>
      </c>
      <c r="H90" s="71" t="str">
        <f aca="false">IF(03_FRFデータ貼付!B83="","",03_FRFデータ貼付!C83)</f>
        <v/>
      </c>
      <c r="I90" s="71" t="str">
        <f aca="false">IF(03_FRFデータ貼付!B83="","",03_FRFデータ貼付!D83)</f>
        <v/>
      </c>
      <c r="J90" s="67"/>
      <c r="K90" s="67"/>
      <c r="L90" s="67"/>
      <c r="M90" s="2"/>
      <c r="N90" s="2"/>
    </row>
    <row r="91" customFormat="false" ht="15" hidden="false" customHeight="false" outlineLevel="0" collapsed="false">
      <c r="A91" s="88" t="str">
        <f aca="false">IF(03_FRFデータ貼付!B84="","",03_FRFデータ貼付!A84)</f>
        <v/>
      </c>
      <c r="B91" s="89" t="str">
        <f aca="false">IF(03_FRFデータ貼付!B84="","",03_FRFデータ貼付!B84)</f>
        <v/>
      </c>
      <c r="C91" s="71" t="str">
        <f aca="false">IF(03_FRFデータ貼付!B84="","",03_FRFデータ貼付!E84)</f>
        <v/>
      </c>
      <c r="D91" s="90" t="str">
        <f aca="false">IF(03_FRFデータ貼付!B84="","",03_FRFデータ貼付!F84)</f>
        <v/>
      </c>
      <c r="E91" s="91" t="str">
        <f aca="false">IF(OR(03_FRFデータ貼付!B84="",03_FRFデータ貼付!E84=0),"",ABS(03_FRFデータ貼付!D84)/03_FRFデータ貼付!E84)</f>
        <v/>
      </c>
      <c r="F91" s="94" t="str">
        <f aca="false">IF(OR(C91="",C90="",C92=""),"",IF(AND(C91&gt;C90,C91&gt;=C92,C91&gt;=$E$6),"◀ ピーク",""))</f>
        <v/>
      </c>
      <c r="G91" s="95" t="str">
        <f aca="false">IF(F91="◀ ピーク",TEXT(B91,"0.0")&amp;" Hz","")</f>
        <v/>
      </c>
      <c r="H91" s="71" t="str">
        <f aca="false">IF(03_FRFデータ貼付!B84="","",03_FRFデータ貼付!C84)</f>
        <v/>
      </c>
      <c r="I91" s="71" t="str">
        <f aca="false">IF(03_FRFデータ貼付!B84="","",03_FRFデータ貼付!D84)</f>
        <v/>
      </c>
      <c r="J91" s="67"/>
      <c r="K91" s="67"/>
      <c r="L91" s="67"/>
      <c r="M91" s="2"/>
      <c r="N91" s="2"/>
    </row>
    <row r="92" customFormat="false" ht="15" hidden="false" customHeight="false" outlineLevel="0" collapsed="false">
      <c r="A92" s="88" t="str">
        <f aca="false">IF(03_FRFデータ貼付!B85="","",03_FRFデータ貼付!A85)</f>
        <v/>
      </c>
      <c r="B92" s="89" t="str">
        <f aca="false">IF(03_FRFデータ貼付!B85="","",03_FRFデータ貼付!B85)</f>
        <v/>
      </c>
      <c r="C92" s="71" t="str">
        <f aca="false">IF(03_FRFデータ貼付!B85="","",03_FRFデータ貼付!E85)</f>
        <v/>
      </c>
      <c r="D92" s="90" t="str">
        <f aca="false">IF(03_FRFデータ貼付!B85="","",03_FRFデータ貼付!F85)</f>
        <v/>
      </c>
      <c r="E92" s="91" t="str">
        <f aca="false">IF(OR(03_FRFデータ貼付!B85="",03_FRFデータ貼付!E85=0),"",ABS(03_FRFデータ貼付!D85)/03_FRFデータ貼付!E85)</f>
        <v/>
      </c>
      <c r="F92" s="94" t="str">
        <f aca="false">IF(OR(C92="",C91="",C93=""),"",IF(AND(C92&gt;C91,C92&gt;=C93,C92&gt;=$E$6),"◀ ピーク",""))</f>
        <v/>
      </c>
      <c r="G92" s="95" t="str">
        <f aca="false">IF(F92="◀ ピーク",TEXT(B92,"0.0")&amp;" Hz","")</f>
        <v/>
      </c>
      <c r="H92" s="71" t="str">
        <f aca="false">IF(03_FRFデータ貼付!B85="","",03_FRFデータ貼付!C85)</f>
        <v/>
      </c>
      <c r="I92" s="71" t="str">
        <f aca="false">IF(03_FRFデータ貼付!B85="","",03_FRFデータ貼付!D85)</f>
        <v/>
      </c>
      <c r="J92" s="67"/>
      <c r="K92" s="67"/>
      <c r="L92" s="67"/>
      <c r="M92" s="2"/>
      <c r="N92" s="2"/>
    </row>
    <row r="93" customFormat="false" ht="15" hidden="false" customHeight="false" outlineLevel="0" collapsed="false">
      <c r="A93" s="88" t="str">
        <f aca="false">IF(03_FRFデータ貼付!B86="","",03_FRFデータ貼付!A86)</f>
        <v/>
      </c>
      <c r="B93" s="89" t="str">
        <f aca="false">IF(03_FRFデータ貼付!B86="","",03_FRFデータ貼付!B86)</f>
        <v/>
      </c>
      <c r="C93" s="71" t="str">
        <f aca="false">IF(03_FRFデータ貼付!B86="","",03_FRFデータ貼付!E86)</f>
        <v/>
      </c>
      <c r="D93" s="90" t="str">
        <f aca="false">IF(03_FRFデータ貼付!B86="","",03_FRFデータ貼付!F86)</f>
        <v/>
      </c>
      <c r="E93" s="91" t="str">
        <f aca="false">IF(OR(03_FRFデータ貼付!B86="",03_FRFデータ貼付!E86=0),"",ABS(03_FRFデータ貼付!D86)/03_FRFデータ貼付!E86)</f>
        <v/>
      </c>
      <c r="F93" s="94" t="str">
        <f aca="false">IF(OR(C93="",C92="",C94=""),"",IF(AND(C93&gt;C92,C93&gt;=C94,C93&gt;=$E$6),"◀ ピーク",""))</f>
        <v/>
      </c>
      <c r="G93" s="95" t="str">
        <f aca="false">IF(F93="◀ ピーク",TEXT(B93,"0.0")&amp;" Hz","")</f>
        <v/>
      </c>
      <c r="H93" s="71" t="str">
        <f aca="false">IF(03_FRFデータ貼付!B86="","",03_FRFデータ貼付!C86)</f>
        <v/>
      </c>
      <c r="I93" s="71" t="str">
        <f aca="false">IF(03_FRFデータ貼付!B86="","",03_FRFデータ貼付!D86)</f>
        <v/>
      </c>
      <c r="J93" s="67"/>
      <c r="K93" s="67"/>
      <c r="L93" s="67"/>
      <c r="M93" s="2"/>
      <c r="N93" s="2"/>
    </row>
    <row r="94" customFormat="false" ht="15" hidden="false" customHeight="false" outlineLevel="0" collapsed="false">
      <c r="A94" s="88" t="str">
        <f aca="false">IF(03_FRFデータ貼付!B87="","",03_FRFデータ貼付!A87)</f>
        <v/>
      </c>
      <c r="B94" s="89" t="str">
        <f aca="false">IF(03_FRFデータ貼付!B87="","",03_FRFデータ貼付!B87)</f>
        <v/>
      </c>
      <c r="C94" s="71" t="str">
        <f aca="false">IF(03_FRFデータ貼付!B87="","",03_FRFデータ貼付!E87)</f>
        <v/>
      </c>
      <c r="D94" s="90" t="str">
        <f aca="false">IF(03_FRFデータ貼付!B87="","",03_FRFデータ貼付!F87)</f>
        <v/>
      </c>
      <c r="E94" s="91" t="str">
        <f aca="false">IF(OR(03_FRFデータ貼付!B87="",03_FRFデータ貼付!E87=0),"",ABS(03_FRFデータ貼付!D87)/03_FRFデータ貼付!E87)</f>
        <v/>
      </c>
      <c r="F94" s="94" t="str">
        <f aca="false">IF(OR(C94="",C93="",C95=""),"",IF(AND(C94&gt;C93,C94&gt;=C95,C94&gt;=$E$6),"◀ ピーク",""))</f>
        <v/>
      </c>
      <c r="G94" s="95" t="str">
        <f aca="false">IF(F94="◀ ピーク",TEXT(B94,"0.0")&amp;" Hz","")</f>
        <v/>
      </c>
      <c r="H94" s="71" t="str">
        <f aca="false">IF(03_FRFデータ貼付!B87="","",03_FRFデータ貼付!C87)</f>
        <v/>
      </c>
      <c r="I94" s="71" t="str">
        <f aca="false">IF(03_FRFデータ貼付!B87="","",03_FRFデータ貼付!D87)</f>
        <v/>
      </c>
      <c r="J94" s="67"/>
      <c r="K94" s="67"/>
      <c r="L94" s="67"/>
      <c r="M94" s="2"/>
      <c r="N94" s="2"/>
    </row>
    <row r="95" customFormat="false" ht="15" hidden="false" customHeight="false" outlineLevel="0" collapsed="false">
      <c r="A95" s="88" t="str">
        <f aca="false">IF(03_FRFデータ貼付!B88="","",03_FRFデータ貼付!A88)</f>
        <v/>
      </c>
      <c r="B95" s="89" t="str">
        <f aca="false">IF(03_FRFデータ貼付!B88="","",03_FRFデータ貼付!B88)</f>
        <v/>
      </c>
      <c r="C95" s="71" t="str">
        <f aca="false">IF(03_FRFデータ貼付!B88="","",03_FRFデータ貼付!E88)</f>
        <v/>
      </c>
      <c r="D95" s="90" t="str">
        <f aca="false">IF(03_FRFデータ貼付!B88="","",03_FRFデータ貼付!F88)</f>
        <v/>
      </c>
      <c r="E95" s="91" t="str">
        <f aca="false">IF(OR(03_FRFデータ貼付!B88="",03_FRFデータ貼付!E88=0),"",ABS(03_FRFデータ貼付!D88)/03_FRFデータ貼付!E88)</f>
        <v/>
      </c>
      <c r="F95" s="94" t="str">
        <f aca="false">IF(OR(C95="",C94="",C96=""),"",IF(AND(C95&gt;C94,C95&gt;=C96,C95&gt;=$E$6),"◀ ピーク",""))</f>
        <v/>
      </c>
      <c r="G95" s="95" t="str">
        <f aca="false">IF(F95="◀ ピーク",TEXT(B95,"0.0")&amp;" Hz","")</f>
        <v/>
      </c>
      <c r="H95" s="71" t="str">
        <f aca="false">IF(03_FRFデータ貼付!B88="","",03_FRFデータ貼付!C88)</f>
        <v/>
      </c>
      <c r="I95" s="71" t="str">
        <f aca="false">IF(03_FRFデータ貼付!B88="","",03_FRFデータ貼付!D88)</f>
        <v/>
      </c>
      <c r="J95" s="67"/>
      <c r="K95" s="67"/>
      <c r="L95" s="67"/>
      <c r="M95" s="2"/>
      <c r="N95" s="2"/>
    </row>
    <row r="96" customFormat="false" ht="15" hidden="false" customHeight="false" outlineLevel="0" collapsed="false">
      <c r="A96" s="88" t="str">
        <f aca="false">IF(03_FRFデータ貼付!B89="","",03_FRFデータ貼付!A89)</f>
        <v/>
      </c>
      <c r="B96" s="89" t="str">
        <f aca="false">IF(03_FRFデータ貼付!B89="","",03_FRFデータ貼付!B89)</f>
        <v/>
      </c>
      <c r="C96" s="71" t="str">
        <f aca="false">IF(03_FRFデータ貼付!B89="","",03_FRFデータ貼付!E89)</f>
        <v/>
      </c>
      <c r="D96" s="90" t="str">
        <f aca="false">IF(03_FRFデータ貼付!B89="","",03_FRFデータ貼付!F89)</f>
        <v/>
      </c>
      <c r="E96" s="91" t="str">
        <f aca="false">IF(OR(03_FRFデータ貼付!B89="",03_FRFデータ貼付!E89=0),"",ABS(03_FRFデータ貼付!D89)/03_FRFデータ貼付!E89)</f>
        <v/>
      </c>
      <c r="F96" s="94" t="str">
        <f aca="false">IF(OR(C96="",C95="",C97=""),"",IF(AND(C96&gt;C95,C96&gt;=C97,C96&gt;=$E$6),"◀ ピーク",""))</f>
        <v/>
      </c>
      <c r="G96" s="95" t="str">
        <f aca="false">IF(F96="◀ ピーク",TEXT(B96,"0.0")&amp;" Hz","")</f>
        <v/>
      </c>
      <c r="H96" s="71" t="str">
        <f aca="false">IF(03_FRFデータ貼付!B89="","",03_FRFデータ貼付!C89)</f>
        <v/>
      </c>
      <c r="I96" s="71" t="str">
        <f aca="false">IF(03_FRFデータ貼付!B89="","",03_FRFデータ貼付!D89)</f>
        <v/>
      </c>
      <c r="J96" s="67"/>
      <c r="K96" s="67"/>
      <c r="L96" s="67"/>
      <c r="M96" s="2"/>
      <c r="N96" s="2"/>
    </row>
    <row r="97" customFormat="false" ht="15" hidden="false" customHeight="false" outlineLevel="0" collapsed="false">
      <c r="A97" s="88" t="str">
        <f aca="false">IF(03_FRFデータ貼付!B90="","",03_FRFデータ貼付!A90)</f>
        <v/>
      </c>
      <c r="B97" s="89" t="str">
        <f aca="false">IF(03_FRFデータ貼付!B90="","",03_FRFデータ貼付!B90)</f>
        <v/>
      </c>
      <c r="C97" s="71" t="str">
        <f aca="false">IF(03_FRFデータ貼付!B90="","",03_FRFデータ貼付!E90)</f>
        <v/>
      </c>
      <c r="D97" s="90" t="str">
        <f aca="false">IF(03_FRFデータ貼付!B90="","",03_FRFデータ貼付!F90)</f>
        <v/>
      </c>
      <c r="E97" s="91" t="str">
        <f aca="false">IF(OR(03_FRFデータ貼付!B90="",03_FRFデータ貼付!E90=0),"",ABS(03_FRFデータ貼付!D90)/03_FRFデータ貼付!E90)</f>
        <v/>
      </c>
      <c r="F97" s="94" t="str">
        <f aca="false">IF(OR(C97="",C96="",C98=""),"",IF(AND(C97&gt;C96,C97&gt;=C98,C97&gt;=$E$6),"◀ ピーク",""))</f>
        <v/>
      </c>
      <c r="G97" s="95" t="str">
        <f aca="false">IF(F97="◀ ピーク",TEXT(B97,"0.0")&amp;" Hz","")</f>
        <v/>
      </c>
      <c r="H97" s="71" t="str">
        <f aca="false">IF(03_FRFデータ貼付!B90="","",03_FRFデータ貼付!C90)</f>
        <v/>
      </c>
      <c r="I97" s="71" t="str">
        <f aca="false">IF(03_FRFデータ貼付!B90="","",03_FRFデータ貼付!D90)</f>
        <v/>
      </c>
      <c r="J97" s="67"/>
      <c r="K97" s="67"/>
      <c r="L97" s="67"/>
      <c r="M97" s="2"/>
      <c r="N97" s="2"/>
    </row>
    <row r="98" customFormat="false" ht="15" hidden="false" customHeight="false" outlineLevel="0" collapsed="false">
      <c r="A98" s="88" t="str">
        <f aca="false">IF(03_FRFデータ貼付!B91="","",03_FRFデータ貼付!A91)</f>
        <v/>
      </c>
      <c r="B98" s="89" t="str">
        <f aca="false">IF(03_FRFデータ貼付!B91="","",03_FRFデータ貼付!B91)</f>
        <v/>
      </c>
      <c r="C98" s="71" t="str">
        <f aca="false">IF(03_FRFデータ貼付!B91="","",03_FRFデータ貼付!E91)</f>
        <v/>
      </c>
      <c r="D98" s="90" t="str">
        <f aca="false">IF(03_FRFデータ貼付!B91="","",03_FRFデータ貼付!F91)</f>
        <v/>
      </c>
      <c r="E98" s="91" t="str">
        <f aca="false">IF(OR(03_FRFデータ貼付!B91="",03_FRFデータ貼付!E91=0),"",ABS(03_FRFデータ貼付!D91)/03_FRFデータ貼付!E91)</f>
        <v/>
      </c>
      <c r="F98" s="94" t="str">
        <f aca="false">IF(OR(C98="",C97="",C99=""),"",IF(AND(C98&gt;C97,C98&gt;=C99,C98&gt;=$E$6),"◀ ピーク",""))</f>
        <v/>
      </c>
      <c r="G98" s="95" t="str">
        <f aca="false">IF(F98="◀ ピーク",TEXT(B98,"0.0")&amp;" Hz","")</f>
        <v/>
      </c>
      <c r="H98" s="71" t="str">
        <f aca="false">IF(03_FRFデータ貼付!B91="","",03_FRFデータ貼付!C91)</f>
        <v/>
      </c>
      <c r="I98" s="71" t="str">
        <f aca="false">IF(03_FRFデータ貼付!B91="","",03_FRFデータ貼付!D91)</f>
        <v/>
      </c>
      <c r="J98" s="67"/>
      <c r="K98" s="67"/>
      <c r="L98" s="67"/>
      <c r="M98" s="2"/>
      <c r="N98" s="2"/>
    </row>
    <row r="99" customFormat="false" ht="15" hidden="false" customHeight="false" outlineLevel="0" collapsed="false">
      <c r="A99" s="88" t="str">
        <f aca="false">IF(03_FRFデータ貼付!B92="","",03_FRFデータ貼付!A92)</f>
        <v/>
      </c>
      <c r="B99" s="89" t="str">
        <f aca="false">IF(03_FRFデータ貼付!B92="","",03_FRFデータ貼付!B92)</f>
        <v/>
      </c>
      <c r="C99" s="71" t="str">
        <f aca="false">IF(03_FRFデータ貼付!B92="","",03_FRFデータ貼付!E92)</f>
        <v/>
      </c>
      <c r="D99" s="90" t="str">
        <f aca="false">IF(03_FRFデータ貼付!B92="","",03_FRFデータ貼付!F92)</f>
        <v/>
      </c>
      <c r="E99" s="91" t="str">
        <f aca="false">IF(OR(03_FRFデータ貼付!B92="",03_FRFデータ貼付!E92=0),"",ABS(03_FRFデータ貼付!D92)/03_FRFデータ貼付!E92)</f>
        <v/>
      </c>
      <c r="F99" s="94" t="str">
        <f aca="false">IF(OR(C99="",C98="",C100=""),"",IF(AND(C99&gt;C98,C99&gt;=C100,C99&gt;=$E$6),"◀ ピーク",""))</f>
        <v/>
      </c>
      <c r="G99" s="95" t="str">
        <f aca="false">IF(F99="◀ ピーク",TEXT(B99,"0.0")&amp;" Hz","")</f>
        <v/>
      </c>
      <c r="H99" s="71" t="str">
        <f aca="false">IF(03_FRFデータ貼付!B92="","",03_FRFデータ貼付!C92)</f>
        <v/>
      </c>
      <c r="I99" s="71" t="str">
        <f aca="false">IF(03_FRFデータ貼付!B92="","",03_FRFデータ貼付!D92)</f>
        <v/>
      </c>
      <c r="J99" s="67"/>
      <c r="K99" s="67"/>
      <c r="L99" s="67"/>
      <c r="M99" s="2"/>
      <c r="N99" s="2"/>
    </row>
    <row r="100" customFormat="false" ht="15" hidden="false" customHeight="false" outlineLevel="0" collapsed="false">
      <c r="A100" s="88" t="str">
        <f aca="false">IF(03_FRFデータ貼付!B93="","",03_FRFデータ貼付!A93)</f>
        <v/>
      </c>
      <c r="B100" s="89" t="str">
        <f aca="false">IF(03_FRFデータ貼付!B93="","",03_FRFデータ貼付!B93)</f>
        <v/>
      </c>
      <c r="C100" s="71" t="str">
        <f aca="false">IF(03_FRFデータ貼付!B93="","",03_FRFデータ貼付!E93)</f>
        <v/>
      </c>
      <c r="D100" s="90" t="str">
        <f aca="false">IF(03_FRFデータ貼付!B93="","",03_FRFデータ貼付!F93)</f>
        <v/>
      </c>
      <c r="E100" s="91" t="str">
        <f aca="false">IF(OR(03_FRFデータ貼付!B93="",03_FRFデータ貼付!E93=0),"",ABS(03_FRFデータ貼付!D93)/03_FRFデータ貼付!E93)</f>
        <v/>
      </c>
      <c r="F100" s="94" t="str">
        <f aca="false">IF(OR(C100="",C99="",C101=""),"",IF(AND(C100&gt;C99,C100&gt;=C101,C100&gt;=$E$6),"◀ ピーク",""))</f>
        <v/>
      </c>
      <c r="G100" s="95" t="str">
        <f aca="false">IF(F100="◀ ピーク",TEXT(B100,"0.0")&amp;" Hz","")</f>
        <v/>
      </c>
      <c r="H100" s="71" t="str">
        <f aca="false">IF(03_FRFデータ貼付!B93="","",03_FRFデータ貼付!C93)</f>
        <v/>
      </c>
      <c r="I100" s="71" t="str">
        <f aca="false">IF(03_FRFデータ貼付!B93="","",03_FRFデータ貼付!D93)</f>
        <v/>
      </c>
      <c r="J100" s="67"/>
      <c r="K100" s="67"/>
      <c r="L100" s="67"/>
      <c r="M100" s="2"/>
      <c r="N100" s="2"/>
    </row>
    <row r="101" customFormat="false" ht="15" hidden="false" customHeight="false" outlineLevel="0" collapsed="false">
      <c r="A101" s="88" t="str">
        <f aca="false">IF(03_FRFデータ貼付!B94="","",03_FRFデータ貼付!A94)</f>
        <v/>
      </c>
      <c r="B101" s="89" t="str">
        <f aca="false">IF(03_FRFデータ貼付!B94="","",03_FRFデータ貼付!B94)</f>
        <v/>
      </c>
      <c r="C101" s="71" t="str">
        <f aca="false">IF(03_FRFデータ貼付!B94="","",03_FRFデータ貼付!E94)</f>
        <v/>
      </c>
      <c r="D101" s="90" t="str">
        <f aca="false">IF(03_FRFデータ貼付!B94="","",03_FRFデータ貼付!F94)</f>
        <v/>
      </c>
      <c r="E101" s="91" t="str">
        <f aca="false">IF(OR(03_FRFデータ貼付!B94="",03_FRFデータ貼付!E94=0),"",ABS(03_FRFデータ貼付!D94)/03_FRFデータ貼付!E94)</f>
        <v/>
      </c>
      <c r="F101" s="94" t="str">
        <f aca="false">IF(OR(C101="",C100="",C102=""),"",IF(AND(C101&gt;C100,C101&gt;=C102,C101&gt;=$E$6),"◀ ピーク",""))</f>
        <v/>
      </c>
      <c r="G101" s="95" t="str">
        <f aca="false">IF(F101="◀ ピーク",TEXT(B101,"0.0")&amp;" Hz","")</f>
        <v/>
      </c>
      <c r="H101" s="71" t="str">
        <f aca="false">IF(03_FRFデータ貼付!B94="","",03_FRFデータ貼付!C94)</f>
        <v/>
      </c>
      <c r="I101" s="71" t="str">
        <f aca="false">IF(03_FRFデータ貼付!B94="","",03_FRFデータ貼付!D94)</f>
        <v/>
      </c>
      <c r="J101" s="67"/>
      <c r="K101" s="67"/>
      <c r="L101" s="67"/>
      <c r="M101" s="2"/>
      <c r="N101" s="2"/>
    </row>
    <row r="102" customFormat="false" ht="15" hidden="false" customHeight="false" outlineLevel="0" collapsed="false">
      <c r="A102" s="88" t="str">
        <f aca="false">IF(03_FRFデータ貼付!B95="","",03_FRFデータ貼付!A95)</f>
        <v/>
      </c>
      <c r="B102" s="89" t="str">
        <f aca="false">IF(03_FRFデータ貼付!B95="","",03_FRFデータ貼付!B95)</f>
        <v/>
      </c>
      <c r="C102" s="71" t="str">
        <f aca="false">IF(03_FRFデータ貼付!B95="","",03_FRFデータ貼付!E95)</f>
        <v/>
      </c>
      <c r="D102" s="90" t="str">
        <f aca="false">IF(03_FRFデータ貼付!B95="","",03_FRFデータ貼付!F95)</f>
        <v/>
      </c>
      <c r="E102" s="91" t="str">
        <f aca="false">IF(OR(03_FRFデータ貼付!B95="",03_FRFデータ貼付!E95=0),"",ABS(03_FRFデータ貼付!D95)/03_FRFデータ貼付!E95)</f>
        <v/>
      </c>
      <c r="F102" s="94" t="str">
        <f aca="false">IF(OR(C102="",C101="",C103=""),"",IF(AND(C102&gt;C101,C102&gt;=C103,C102&gt;=$E$6),"◀ ピーク",""))</f>
        <v/>
      </c>
      <c r="G102" s="95" t="str">
        <f aca="false">IF(F102="◀ ピーク",TEXT(B102,"0.0")&amp;" Hz","")</f>
        <v/>
      </c>
      <c r="H102" s="71" t="str">
        <f aca="false">IF(03_FRFデータ貼付!B95="","",03_FRFデータ貼付!C95)</f>
        <v/>
      </c>
      <c r="I102" s="71" t="str">
        <f aca="false">IF(03_FRFデータ貼付!B95="","",03_FRFデータ貼付!D95)</f>
        <v/>
      </c>
      <c r="J102" s="67"/>
      <c r="K102" s="67"/>
      <c r="L102" s="67"/>
      <c r="M102" s="2"/>
      <c r="N102" s="2"/>
    </row>
    <row r="103" customFormat="false" ht="15" hidden="false" customHeight="false" outlineLevel="0" collapsed="false">
      <c r="A103" s="88" t="str">
        <f aca="false">IF(03_FRFデータ貼付!B96="","",03_FRFデータ貼付!A96)</f>
        <v/>
      </c>
      <c r="B103" s="89" t="str">
        <f aca="false">IF(03_FRFデータ貼付!B96="","",03_FRFデータ貼付!B96)</f>
        <v/>
      </c>
      <c r="C103" s="71" t="str">
        <f aca="false">IF(03_FRFデータ貼付!B96="","",03_FRFデータ貼付!E96)</f>
        <v/>
      </c>
      <c r="D103" s="90" t="str">
        <f aca="false">IF(03_FRFデータ貼付!B96="","",03_FRFデータ貼付!F96)</f>
        <v/>
      </c>
      <c r="E103" s="91" t="str">
        <f aca="false">IF(OR(03_FRFデータ貼付!B96="",03_FRFデータ貼付!E96=0),"",ABS(03_FRFデータ貼付!D96)/03_FRFデータ貼付!E96)</f>
        <v/>
      </c>
      <c r="F103" s="94" t="str">
        <f aca="false">IF(OR(C103="",C102="",C104=""),"",IF(AND(C103&gt;C102,C103&gt;=C104,C103&gt;=$E$6),"◀ ピーク",""))</f>
        <v/>
      </c>
      <c r="G103" s="95" t="str">
        <f aca="false">IF(F103="◀ ピーク",TEXT(B103,"0.0")&amp;" Hz","")</f>
        <v/>
      </c>
      <c r="H103" s="71" t="str">
        <f aca="false">IF(03_FRFデータ貼付!B96="","",03_FRFデータ貼付!C96)</f>
        <v/>
      </c>
      <c r="I103" s="71" t="str">
        <f aca="false">IF(03_FRFデータ貼付!B96="","",03_FRFデータ貼付!D96)</f>
        <v/>
      </c>
      <c r="J103" s="67"/>
      <c r="K103" s="67"/>
      <c r="L103" s="67"/>
      <c r="M103" s="2"/>
      <c r="N103" s="2"/>
    </row>
    <row r="104" customFormat="false" ht="15" hidden="false" customHeight="false" outlineLevel="0" collapsed="false">
      <c r="A104" s="88" t="str">
        <f aca="false">IF(03_FRFデータ貼付!B97="","",03_FRFデータ貼付!A97)</f>
        <v/>
      </c>
      <c r="B104" s="89" t="str">
        <f aca="false">IF(03_FRFデータ貼付!B97="","",03_FRFデータ貼付!B97)</f>
        <v/>
      </c>
      <c r="C104" s="71" t="str">
        <f aca="false">IF(03_FRFデータ貼付!B97="","",03_FRFデータ貼付!E97)</f>
        <v/>
      </c>
      <c r="D104" s="90" t="str">
        <f aca="false">IF(03_FRFデータ貼付!B97="","",03_FRFデータ貼付!F97)</f>
        <v/>
      </c>
      <c r="E104" s="91" t="str">
        <f aca="false">IF(OR(03_FRFデータ貼付!B97="",03_FRFデータ貼付!E97=0),"",ABS(03_FRFデータ貼付!D97)/03_FRFデータ貼付!E97)</f>
        <v/>
      </c>
      <c r="F104" s="94" t="str">
        <f aca="false">IF(OR(C104="",C103="",C105=""),"",IF(AND(C104&gt;C103,C104&gt;=C105,C104&gt;=$E$6),"◀ ピーク",""))</f>
        <v/>
      </c>
      <c r="G104" s="95" t="str">
        <f aca="false">IF(F104="◀ ピーク",TEXT(B104,"0.0")&amp;" Hz","")</f>
        <v/>
      </c>
      <c r="H104" s="71" t="str">
        <f aca="false">IF(03_FRFデータ貼付!B97="","",03_FRFデータ貼付!C97)</f>
        <v/>
      </c>
      <c r="I104" s="71" t="str">
        <f aca="false">IF(03_FRFデータ貼付!B97="","",03_FRFデータ貼付!D97)</f>
        <v/>
      </c>
      <c r="J104" s="67"/>
      <c r="K104" s="67"/>
      <c r="L104" s="67"/>
      <c r="M104" s="2"/>
      <c r="N104" s="2"/>
    </row>
    <row r="105" customFormat="false" ht="15" hidden="false" customHeight="false" outlineLevel="0" collapsed="false">
      <c r="A105" s="88" t="str">
        <f aca="false">IF(03_FRFデータ貼付!B98="","",03_FRFデータ貼付!A98)</f>
        <v/>
      </c>
      <c r="B105" s="89" t="str">
        <f aca="false">IF(03_FRFデータ貼付!B98="","",03_FRFデータ貼付!B98)</f>
        <v/>
      </c>
      <c r="C105" s="71" t="str">
        <f aca="false">IF(03_FRFデータ貼付!B98="","",03_FRFデータ貼付!E98)</f>
        <v/>
      </c>
      <c r="D105" s="90" t="str">
        <f aca="false">IF(03_FRFデータ貼付!B98="","",03_FRFデータ貼付!F98)</f>
        <v/>
      </c>
      <c r="E105" s="91" t="str">
        <f aca="false">IF(OR(03_FRFデータ貼付!B98="",03_FRFデータ貼付!E98=0),"",ABS(03_FRFデータ貼付!D98)/03_FRFデータ貼付!E98)</f>
        <v/>
      </c>
      <c r="F105" s="94" t="str">
        <f aca="false">IF(OR(C105="",C104="",C106=""),"",IF(AND(C105&gt;C104,C105&gt;=C106,C105&gt;=$E$6),"◀ ピーク",""))</f>
        <v/>
      </c>
      <c r="G105" s="95" t="str">
        <f aca="false">IF(F105="◀ ピーク",TEXT(B105,"0.0")&amp;" Hz","")</f>
        <v/>
      </c>
      <c r="H105" s="71" t="str">
        <f aca="false">IF(03_FRFデータ貼付!B98="","",03_FRFデータ貼付!C98)</f>
        <v/>
      </c>
      <c r="I105" s="71" t="str">
        <f aca="false">IF(03_FRFデータ貼付!B98="","",03_FRFデータ貼付!D98)</f>
        <v/>
      </c>
      <c r="J105" s="67"/>
      <c r="K105" s="67"/>
      <c r="L105" s="67"/>
      <c r="M105" s="2"/>
      <c r="N105" s="2"/>
    </row>
    <row r="106" customFormat="false" ht="15" hidden="false" customHeight="false" outlineLevel="0" collapsed="false">
      <c r="A106" s="88" t="str">
        <f aca="false">IF(03_FRFデータ貼付!B99="","",03_FRFデータ貼付!A99)</f>
        <v/>
      </c>
      <c r="B106" s="89" t="str">
        <f aca="false">IF(03_FRFデータ貼付!B99="","",03_FRFデータ貼付!B99)</f>
        <v/>
      </c>
      <c r="C106" s="71" t="str">
        <f aca="false">IF(03_FRFデータ貼付!B99="","",03_FRFデータ貼付!E99)</f>
        <v/>
      </c>
      <c r="D106" s="90" t="str">
        <f aca="false">IF(03_FRFデータ貼付!B99="","",03_FRFデータ貼付!F99)</f>
        <v/>
      </c>
      <c r="E106" s="91" t="str">
        <f aca="false">IF(OR(03_FRFデータ貼付!B99="",03_FRFデータ貼付!E99=0),"",ABS(03_FRFデータ貼付!D99)/03_FRFデータ貼付!E99)</f>
        <v/>
      </c>
      <c r="F106" s="94" t="str">
        <f aca="false">IF(OR(C106="",C105="",C107=""),"",IF(AND(C106&gt;C105,C106&gt;=C107,C106&gt;=$E$6),"◀ ピーク",""))</f>
        <v/>
      </c>
      <c r="G106" s="95" t="str">
        <f aca="false">IF(F106="◀ ピーク",TEXT(B106,"0.0")&amp;" Hz","")</f>
        <v/>
      </c>
      <c r="H106" s="71" t="str">
        <f aca="false">IF(03_FRFデータ貼付!B99="","",03_FRFデータ貼付!C99)</f>
        <v/>
      </c>
      <c r="I106" s="71" t="str">
        <f aca="false">IF(03_FRFデータ貼付!B99="","",03_FRFデータ貼付!D99)</f>
        <v/>
      </c>
      <c r="J106" s="67"/>
      <c r="K106" s="67"/>
      <c r="L106" s="67"/>
      <c r="M106" s="2"/>
      <c r="N106" s="2"/>
    </row>
    <row r="107" customFormat="false" ht="15" hidden="false" customHeight="false" outlineLevel="0" collapsed="false">
      <c r="A107" s="88" t="str">
        <f aca="false">IF(03_FRFデータ貼付!B100="","",03_FRFデータ貼付!A100)</f>
        <v/>
      </c>
      <c r="B107" s="89" t="str">
        <f aca="false">IF(03_FRFデータ貼付!B100="","",03_FRFデータ貼付!B100)</f>
        <v/>
      </c>
      <c r="C107" s="71" t="str">
        <f aca="false">IF(03_FRFデータ貼付!B100="","",03_FRFデータ貼付!E100)</f>
        <v/>
      </c>
      <c r="D107" s="90" t="str">
        <f aca="false">IF(03_FRFデータ貼付!B100="","",03_FRFデータ貼付!F100)</f>
        <v/>
      </c>
      <c r="E107" s="91" t="str">
        <f aca="false">IF(OR(03_FRFデータ貼付!B100="",03_FRFデータ貼付!E100=0),"",ABS(03_FRFデータ貼付!D100)/03_FRFデータ貼付!E100)</f>
        <v/>
      </c>
      <c r="F107" s="94" t="str">
        <f aca="false">IF(OR(C107="",C106="",C108=""),"",IF(AND(C107&gt;C106,C107&gt;=C108,C107&gt;=$E$6),"◀ ピーク",""))</f>
        <v/>
      </c>
      <c r="G107" s="95" t="str">
        <f aca="false">IF(F107="◀ ピーク",TEXT(B107,"0.0")&amp;" Hz","")</f>
        <v/>
      </c>
      <c r="H107" s="71" t="str">
        <f aca="false">IF(03_FRFデータ貼付!B100="","",03_FRFデータ貼付!C100)</f>
        <v/>
      </c>
      <c r="I107" s="71" t="str">
        <f aca="false">IF(03_FRFデータ貼付!B100="","",03_FRFデータ貼付!D100)</f>
        <v/>
      </c>
      <c r="J107" s="67"/>
      <c r="K107" s="67"/>
      <c r="L107" s="67"/>
      <c r="M107" s="2"/>
      <c r="N107" s="2"/>
    </row>
    <row r="108" customFormat="false" ht="15" hidden="false" customHeight="false" outlineLevel="0" collapsed="false">
      <c r="A108" s="88" t="str">
        <f aca="false">IF(03_FRFデータ貼付!B101="","",03_FRFデータ貼付!A101)</f>
        <v/>
      </c>
      <c r="B108" s="89" t="str">
        <f aca="false">IF(03_FRFデータ貼付!B101="","",03_FRFデータ貼付!B101)</f>
        <v/>
      </c>
      <c r="C108" s="71" t="str">
        <f aca="false">IF(03_FRFデータ貼付!B101="","",03_FRFデータ貼付!E101)</f>
        <v/>
      </c>
      <c r="D108" s="90" t="str">
        <f aca="false">IF(03_FRFデータ貼付!B101="","",03_FRFデータ貼付!F101)</f>
        <v/>
      </c>
      <c r="E108" s="91" t="str">
        <f aca="false">IF(OR(03_FRFデータ貼付!B101="",03_FRFデータ貼付!E101=0),"",ABS(03_FRFデータ貼付!D101)/03_FRFデータ貼付!E101)</f>
        <v/>
      </c>
      <c r="F108" s="94" t="str">
        <f aca="false">IF(OR(C108="",C107="",C109=""),"",IF(AND(C108&gt;C107,C108&gt;=C109,C108&gt;=$E$6),"◀ ピーク",""))</f>
        <v/>
      </c>
      <c r="G108" s="95" t="str">
        <f aca="false">IF(F108="◀ ピーク",TEXT(B108,"0.0")&amp;" Hz","")</f>
        <v/>
      </c>
      <c r="H108" s="71" t="str">
        <f aca="false">IF(03_FRFデータ貼付!B101="","",03_FRFデータ貼付!C101)</f>
        <v/>
      </c>
      <c r="I108" s="71" t="str">
        <f aca="false">IF(03_FRFデータ貼付!B101="","",03_FRFデータ貼付!D101)</f>
        <v/>
      </c>
      <c r="J108" s="67"/>
      <c r="K108" s="67"/>
      <c r="L108" s="67"/>
      <c r="M108" s="2"/>
      <c r="N108" s="2"/>
    </row>
    <row r="109" customFormat="false" ht="15" hidden="false" customHeight="false" outlineLevel="0" collapsed="false">
      <c r="A109" s="88" t="str">
        <f aca="false">IF(03_FRFデータ貼付!B102="","",03_FRFデータ貼付!A102)</f>
        <v/>
      </c>
      <c r="B109" s="89" t="str">
        <f aca="false">IF(03_FRFデータ貼付!B102="","",03_FRFデータ貼付!B102)</f>
        <v/>
      </c>
      <c r="C109" s="71" t="str">
        <f aca="false">IF(03_FRFデータ貼付!B102="","",03_FRFデータ貼付!E102)</f>
        <v/>
      </c>
      <c r="D109" s="90" t="str">
        <f aca="false">IF(03_FRFデータ貼付!B102="","",03_FRFデータ貼付!F102)</f>
        <v/>
      </c>
      <c r="E109" s="91" t="str">
        <f aca="false">IF(OR(03_FRFデータ貼付!B102="",03_FRFデータ貼付!E102=0),"",ABS(03_FRFデータ貼付!D102)/03_FRFデータ貼付!E102)</f>
        <v/>
      </c>
      <c r="F109" s="94" t="str">
        <f aca="false">IF(OR(C109="",C108="",C110=""),"",IF(AND(C109&gt;C108,C109&gt;=C110,C109&gt;=$E$6),"◀ ピーク",""))</f>
        <v/>
      </c>
      <c r="G109" s="95" t="str">
        <f aca="false">IF(F109="◀ ピーク",TEXT(B109,"0.0")&amp;" Hz","")</f>
        <v/>
      </c>
      <c r="H109" s="71" t="str">
        <f aca="false">IF(03_FRFデータ貼付!B102="","",03_FRFデータ貼付!C102)</f>
        <v/>
      </c>
      <c r="I109" s="71" t="str">
        <f aca="false">IF(03_FRFデータ貼付!B102="","",03_FRFデータ貼付!D102)</f>
        <v/>
      </c>
      <c r="J109" s="67"/>
      <c r="K109" s="67"/>
      <c r="L109" s="67"/>
      <c r="M109" s="2"/>
      <c r="N109" s="2"/>
    </row>
    <row r="110" customFormat="false" ht="15" hidden="false" customHeight="false" outlineLevel="0" collapsed="false">
      <c r="A110" s="88" t="str">
        <f aca="false">IF(03_FRFデータ貼付!B103="","",03_FRFデータ貼付!A103)</f>
        <v/>
      </c>
      <c r="B110" s="89" t="str">
        <f aca="false">IF(03_FRFデータ貼付!B103="","",03_FRFデータ貼付!B103)</f>
        <v/>
      </c>
      <c r="C110" s="71" t="str">
        <f aca="false">IF(03_FRFデータ貼付!B103="","",03_FRFデータ貼付!E103)</f>
        <v/>
      </c>
      <c r="D110" s="90" t="str">
        <f aca="false">IF(03_FRFデータ貼付!B103="","",03_FRFデータ貼付!F103)</f>
        <v/>
      </c>
      <c r="E110" s="91" t="str">
        <f aca="false">IF(OR(03_FRFデータ貼付!B103="",03_FRFデータ貼付!E103=0),"",ABS(03_FRFデータ貼付!D103)/03_FRFデータ貼付!E103)</f>
        <v/>
      </c>
      <c r="F110" s="94" t="str">
        <f aca="false">IF(OR(C110="",C109="",C111=""),"",IF(AND(C110&gt;C109,C110&gt;=C111,C110&gt;=$E$6),"◀ ピーク",""))</f>
        <v/>
      </c>
      <c r="G110" s="95" t="str">
        <f aca="false">IF(F110="◀ ピーク",TEXT(B110,"0.0")&amp;" Hz","")</f>
        <v/>
      </c>
      <c r="H110" s="71" t="str">
        <f aca="false">IF(03_FRFデータ貼付!B103="","",03_FRFデータ貼付!C103)</f>
        <v/>
      </c>
      <c r="I110" s="71" t="str">
        <f aca="false">IF(03_FRFデータ貼付!B103="","",03_FRFデータ貼付!D103)</f>
        <v/>
      </c>
      <c r="J110" s="67"/>
      <c r="K110" s="67"/>
      <c r="L110" s="67"/>
      <c r="M110" s="2"/>
      <c r="N110" s="2"/>
    </row>
    <row r="111" customFormat="false" ht="15" hidden="false" customHeight="false" outlineLevel="0" collapsed="false">
      <c r="A111" s="88" t="str">
        <f aca="false">IF(03_FRFデータ貼付!B104="","",03_FRFデータ貼付!A104)</f>
        <v/>
      </c>
      <c r="B111" s="89" t="str">
        <f aca="false">IF(03_FRFデータ貼付!B104="","",03_FRFデータ貼付!B104)</f>
        <v/>
      </c>
      <c r="C111" s="71" t="str">
        <f aca="false">IF(03_FRFデータ貼付!B104="","",03_FRFデータ貼付!E104)</f>
        <v/>
      </c>
      <c r="D111" s="90" t="str">
        <f aca="false">IF(03_FRFデータ貼付!B104="","",03_FRFデータ貼付!F104)</f>
        <v/>
      </c>
      <c r="E111" s="91" t="str">
        <f aca="false">IF(OR(03_FRFデータ貼付!B104="",03_FRFデータ貼付!E104=0),"",ABS(03_FRFデータ貼付!D104)/03_FRFデータ貼付!E104)</f>
        <v/>
      </c>
      <c r="F111" s="94" t="str">
        <f aca="false">IF(OR(C111="",C110="",C112=""),"",IF(AND(C111&gt;C110,C111&gt;=C112,C111&gt;=$E$6),"◀ ピーク",""))</f>
        <v/>
      </c>
      <c r="G111" s="95" t="str">
        <f aca="false">IF(F111="◀ ピーク",TEXT(B111,"0.0")&amp;" Hz","")</f>
        <v/>
      </c>
      <c r="H111" s="71" t="str">
        <f aca="false">IF(03_FRFデータ貼付!B104="","",03_FRFデータ貼付!C104)</f>
        <v/>
      </c>
      <c r="I111" s="71" t="str">
        <f aca="false">IF(03_FRFデータ貼付!B104="","",03_FRFデータ貼付!D104)</f>
        <v/>
      </c>
      <c r="J111" s="67"/>
      <c r="K111" s="67"/>
      <c r="L111" s="67"/>
      <c r="M111" s="2"/>
      <c r="N111" s="2"/>
    </row>
    <row r="112" customFormat="false" ht="15" hidden="false" customHeight="false" outlineLevel="0" collapsed="false">
      <c r="A112" s="88" t="str">
        <f aca="false">IF(03_FRFデータ貼付!B105="","",03_FRFデータ貼付!A105)</f>
        <v/>
      </c>
      <c r="B112" s="89" t="str">
        <f aca="false">IF(03_FRFデータ貼付!B105="","",03_FRFデータ貼付!B105)</f>
        <v/>
      </c>
      <c r="C112" s="71" t="str">
        <f aca="false">IF(03_FRFデータ貼付!B105="","",03_FRFデータ貼付!E105)</f>
        <v/>
      </c>
      <c r="D112" s="90" t="str">
        <f aca="false">IF(03_FRFデータ貼付!B105="","",03_FRFデータ貼付!F105)</f>
        <v/>
      </c>
      <c r="E112" s="91" t="str">
        <f aca="false">IF(OR(03_FRFデータ貼付!B105="",03_FRFデータ貼付!E105=0),"",ABS(03_FRFデータ貼付!D105)/03_FRFデータ貼付!E105)</f>
        <v/>
      </c>
      <c r="F112" s="94" t="str">
        <f aca="false">IF(OR(C112="",C111="",C113=""),"",IF(AND(C112&gt;C111,C112&gt;=C113,C112&gt;=$E$6),"◀ ピーク",""))</f>
        <v/>
      </c>
      <c r="G112" s="95" t="str">
        <f aca="false">IF(F112="◀ ピーク",TEXT(B112,"0.0")&amp;" Hz","")</f>
        <v/>
      </c>
      <c r="H112" s="71" t="str">
        <f aca="false">IF(03_FRFデータ貼付!B105="","",03_FRFデータ貼付!C105)</f>
        <v/>
      </c>
      <c r="I112" s="71" t="str">
        <f aca="false">IF(03_FRFデータ貼付!B105="","",03_FRFデータ貼付!D105)</f>
        <v/>
      </c>
      <c r="J112" s="67"/>
      <c r="K112" s="67"/>
      <c r="L112" s="67"/>
      <c r="M112" s="2"/>
      <c r="N112" s="2"/>
    </row>
    <row r="113" customFormat="false" ht="15" hidden="false" customHeight="false" outlineLevel="0" collapsed="false">
      <c r="A113" s="88" t="str">
        <f aca="false">IF(03_FRFデータ貼付!B106="","",03_FRFデータ貼付!A106)</f>
        <v/>
      </c>
      <c r="B113" s="89" t="str">
        <f aca="false">IF(03_FRFデータ貼付!B106="","",03_FRFデータ貼付!B106)</f>
        <v/>
      </c>
      <c r="C113" s="71" t="str">
        <f aca="false">IF(03_FRFデータ貼付!B106="","",03_FRFデータ貼付!E106)</f>
        <v/>
      </c>
      <c r="D113" s="90" t="str">
        <f aca="false">IF(03_FRFデータ貼付!B106="","",03_FRFデータ貼付!F106)</f>
        <v/>
      </c>
      <c r="E113" s="91" t="str">
        <f aca="false">IF(OR(03_FRFデータ貼付!B106="",03_FRFデータ貼付!E106=0),"",ABS(03_FRFデータ貼付!D106)/03_FRFデータ貼付!E106)</f>
        <v/>
      </c>
      <c r="F113" s="94" t="str">
        <f aca="false">IF(OR(C113="",C112="",C114=""),"",IF(AND(C113&gt;C112,C113&gt;=C114,C113&gt;=$E$6),"◀ ピーク",""))</f>
        <v/>
      </c>
      <c r="G113" s="95" t="str">
        <f aca="false">IF(F113="◀ ピーク",TEXT(B113,"0.0")&amp;" Hz","")</f>
        <v/>
      </c>
      <c r="H113" s="71" t="str">
        <f aca="false">IF(03_FRFデータ貼付!B106="","",03_FRFデータ貼付!C106)</f>
        <v/>
      </c>
      <c r="I113" s="71" t="str">
        <f aca="false">IF(03_FRFデータ貼付!B106="","",03_FRFデータ貼付!D106)</f>
        <v/>
      </c>
      <c r="J113" s="67"/>
      <c r="K113" s="67"/>
      <c r="L113" s="67"/>
      <c r="M113" s="2"/>
      <c r="N113" s="2"/>
    </row>
    <row r="114" customFormat="false" ht="15" hidden="false" customHeight="false" outlineLevel="0" collapsed="false">
      <c r="A114" s="88" t="str">
        <f aca="false">IF(03_FRFデータ貼付!B107="","",03_FRFデータ貼付!A107)</f>
        <v/>
      </c>
      <c r="B114" s="89" t="str">
        <f aca="false">IF(03_FRFデータ貼付!B107="","",03_FRFデータ貼付!B107)</f>
        <v/>
      </c>
      <c r="C114" s="71" t="str">
        <f aca="false">IF(03_FRFデータ貼付!B107="","",03_FRFデータ貼付!E107)</f>
        <v/>
      </c>
      <c r="D114" s="90" t="str">
        <f aca="false">IF(03_FRFデータ貼付!B107="","",03_FRFデータ貼付!F107)</f>
        <v/>
      </c>
      <c r="E114" s="91" t="str">
        <f aca="false">IF(OR(03_FRFデータ貼付!B107="",03_FRFデータ貼付!E107=0),"",ABS(03_FRFデータ貼付!D107)/03_FRFデータ貼付!E107)</f>
        <v/>
      </c>
      <c r="F114" s="94" t="str">
        <f aca="false">IF(OR(C114="",C113="",C115=""),"",IF(AND(C114&gt;C113,C114&gt;=C115,C114&gt;=$E$6),"◀ ピーク",""))</f>
        <v/>
      </c>
      <c r="G114" s="95" t="str">
        <f aca="false">IF(F114="◀ ピーク",TEXT(B114,"0.0")&amp;" Hz","")</f>
        <v/>
      </c>
      <c r="H114" s="71" t="str">
        <f aca="false">IF(03_FRFデータ貼付!B107="","",03_FRFデータ貼付!C107)</f>
        <v/>
      </c>
      <c r="I114" s="71" t="str">
        <f aca="false">IF(03_FRFデータ貼付!B107="","",03_FRFデータ貼付!D107)</f>
        <v/>
      </c>
      <c r="J114" s="67"/>
      <c r="K114" s="67"/>
      <c r="L114" s="67"/>
      <c r="M114" s="2"/>
      <c r="N114" s="2"/>
    </row>
    <row r="115" customFormat="false" ht="15" hidden="false" customHeight="false" outlineLevel="0" collapsed="false">
      <c r="A115" s="88" t="str">
        <f aca="false">IF(03_FRFデータ貼付!B108="","",03_FRFデータ貼付!A108)</f>
        <v/>
      </c>
      <c r="B115" s="89" t="str">
        <f aca="false">IF(03_FRFデータ貼付!B108="","",03_FRFデータ貼付!B108)</f>
        <v/>
      </c>
      <c r="C115" s="71" t="str">
        <f aca="false">IF(03_FRFデータ貼付!B108="","",03_FRFデータ貼付!E108)</f>
        <v/>
      </c>
      <c r="D115" s="90" t="str">
        <f aca="false">IF(03_FRFデータ貼付!B108="","",03_FRFデータ貼付!F108)</f>
        <v/>
      </c>
      <c r="E115" s="91" t="str">
        <f aca="false">IF(OR(03_FRFデータ貼付!B108="",03_FRFデータ貼付!E108=0),"",ABS(03_FRFデータ貼付!D108)/03_FRFデータ貼付!E108)</f>
        <v/>
      </c>
      <c r="F115" s="94" t="str">
        <f aca="false">IF(OR(C115="",C114="",C116=""),"",IF(AND(C115&gt;C114,C115&gt;=C116,C115&gt;=$E$6),"◀ ピーク",""))</f>
        <v/>
      </c>
      <c r="G115" s="95" t="str">
        <f aca="false">IF(F115="◀ ピーク",TEXT(B115,"0.0")&amp;" Hz","")</f>
        <v/>
      </c>
      <c r="H115" s="71" t="str">
        <f aca="false">IF(03_FRFデータ貼付!B108="","",03_FRFデータ貼付!C108)</f>
        <v/>
      </c>
      <c r="I115" s="71" t="str">
        <f aca="false">IF(03_FRFデータ貼付!B108="","",03_FRFデータ貼付!D108)</f>
        <v/>
      </c>
      <c r="J115" s="67"/>
      <c r="K115" s="67"/>
      <c r="L115" s="67"/>
      <c r="M115" s="2"/>
      <c r="N115" s="2"/>
    </row>
    <row r="116" customFormat="false" ht="15" hidden="false" customHeight="false" outlineLevel="0" collapsed="false">
      <c r="A116" s="88" t="str">
        <f aca="false">IF(03_FRFデータ貼付!B109="","",03_FRFデータ貼付!A109)</f>
        <v/>
      </c>
      <c r="B116" s="89" t="str">
        <f aca="false">IF(03_FRFデータ貼付!B109="","",03_FRFデータ貼付!B109)</f>
        <v/>
      </c>
      <c r="C116" s="71" t="str">
        <f aca="false">IF(03_FRFデータ貼付!B109="","",03_FRFデータ貼付!E109)</f>
        <v/>
      </c>
      <c r="D116" s="90" t="str">
        <f aca="false">IF(03_FRFデータ貼付!B109="","",03_FRFデータ貼付!F109)</f>
        <v/>
      </c>
      <c r="E116" s="91" t="str">
        <f aca="false">IF(OR(03_FRFデータ貼付!B109="",03_FRFデータ貼付!E109=0),"",ABS(03_FRFデータ貼付!D109)/03_FRFデータ貼付!E109)</f>
        <v/>
      </c>
      <c r="F116" s="94" t="str">
        <f aca="false">IF(OR(C116="",C115="",C117=""),"",IF(AND(C116&gt;C115,C116&gt;=C117,C116&gt;=$E$6),"◀ ピーク",""))</f>
        <v/>
      </c>
      <c r="G116" s="95" t="str">
        <f aca="false">IF(F116="◀ ピーク",TEXT(B116,"0.0")&amp;" Hz","")</f>
        <v/>
      </c>
      <c r="H116" s="71" t="str">
        <f aca="false">IF(03_FRFデータ貼付!B109="","",03_FRFデータ貼付!C109)</f>
        <v/>
      </c>
      <c r="I116" s="71" t="str">
        <f aca="false">IF(03_FRFデータ貼付!B109="","",03_FRFデータ貼付!D109)</f>
        <v/>
      </c>
      <c r="J116" s="67"/>
      <c r="K116" s="67"/>
      <c r="L116" s="67"/>
      <c r="M116" s="2"/>
      <c r="N116" s="2"/>
    </row>
    <row r="117" customFormat="false" ht="15" hidden="false" customHeight="false" outlineLevel="0" collapsed="false">
      <c r="A117" s="88" t="str">
        <f aca="false">IF(03_FRFデータ貼付!B110="","",03_FRFデータ貼付!A110)</f>
        <v/>
      </c>
      <c r="B117" s="89" t="str">
        <f aca="false">IF(03_FRFデータ貼付!B110="","",03_FRFデータ貼付!B110)</f>
        <v/>
      </c>
      <c r="C117" s="71" t="str">
        <f aca="false">IF(03_FRFデータ貼付!B110="","",03_FRFデータ貼付!E110)</f>
        <v/>
      </c>
      <c r="D117" s="90" t="str">
        <f aca="false">IF(03_FRFデータ貼付!B110="","",03_FRFデータ貼付!F110)</f>
        <v/>
      </c>
      <c r="E117" s="91" t="str">
        <f aca="false">IF(OR(03_FRFデータ貼付!B110="",03_FRFデータ貼付!E110=0),"",ABS(03_FRFデータ貼付!D110)/03_FRFデータ貼付!E110)</f>
        <v/>
      </c>
      <c r="F117" s="94" t="str">
        <f aca="false">IF(OR(C117="",C116="",C118=""),"",IF(AND(C117&gt;C116,C117&gt;=C118,C117&gt;=$E$6),"◀ ピーク",""))</f>
        <v/>
      </c>
      <c r="G117" s="95" t="str">
        <f aca="false">IF(F117="◀ ピーク",TEXT(B117,"0.0")&amp;" Hz","")</f>
        <v/>
      </c>
      <c r="H117" s="71" t="str">
        <f aca="false">IF(03_FRFデータ貼付!B110="","",03_FRFデータ貼付!C110)</f>
        <v/>
      </c>
      <c r="I117" s="71" t="str">
        <f aca="false">IF(03_FRFデータ貼付!B110="","",03_FRFデータ貼付!D110)</f>
        <v/>
      </c>
      <c r="J117" s="67"/>
      <c r="K117" s="67"/>
      <c r="L117" s="67"/>
      <c r="M117" s="2"/>
      <c r="N117" s="2"/>
    </row>
    <row r="118" customFormat="false" ht="15" hidden="false" customHeight="false" outlineLevel="0" collapsed="false">
      <c r="A118" s="88" t="str">
        <f aca="false">IF(03_FRFデータ貼付!B111="","",03_FRFデータ貼付!A111)</f>
        <v/>
      </c>
      <c r="B118" s="89" t="str">
        <f aca="false">IF(03_FRFデータ貼付!B111="","",03_FRFデータ貼付!B111)</f>
        <v/>
      </c>
      <c r="C118" s="71" t="str">
        <f aca="false">IF(03_FRFデータ貼付!B111="","",03_FRFデータ貼付!E111)</f>
        <v/>
      </c>
      <c r="D118" s="90" t="str">
        <f aca="false">IF(03_FRFデータ貼付!B111="","",03_FRFデータ貼付!F111)</f>
        <v/>
      </c>
      <c r="E118" s="91" t="str">
        <f aca="false">IF(OR(03_FRFデータ貼付!B111="",03_FRFデータ貼付!E111=0),"",ABS(03_FRFデータ貼付!D111)/03_FRFデータ貼付!E111)</f>
        <v/>
      </c>
      <c r="F118" s="94" t="str">
        <f aca="false">IF(OR(C118="",C117="",C119=""),"",IF(AND(C118&gt;C117,C118&gt;=C119,C118&gt;=$E$6),"◀ ピーク",""))</f>
        <v/>
      </c>
      <c r="G118" s="95" t="str">
        <f aca="false">IF(F118="◀ ピーク",TEXT(B118,"0.0")&amp;" Hz","")</f>
        <v/>
      </c>
      <c r="H118" s="71" t="str">
        <f aca="false">IF(03_FRFデータ貼付!B111="","",03_FRFデータ貼付!C111)</f>
        <v/>
      </c>
      <c r="I118" s="71" t="str">
        <f aca="false">IF(03_FRFデータ貼付!B111="","",03_FRFデータ貼付!D111)</f>
        <v/>
      </c>
      <c r="J118" s="67"/>
      <c r="K118" s="67"/>
      <c r="L118" s="67"/>
      <c r="M118" s="2"/>
      <c r="N118" s="2"/>
    </row>
    <row r="119" customFormat="false" ht="15" hidden="false" customHeight="false" outlineLevel="0" collapsed="false">
      <c r="A119" s="88" t="str">
        <f aca="false">IF(03_FRFデータ貼付!B112="","",03_FRFデータ貼付!A112)</f>
        <v/>
      </c>
      <c r="B119" s="89" t="str">
        <f aca="false">IF(03_FRFデータ貼付!B112="","",03_FRFデータ貼付!B112)</f>
        <v/>
      </c>
      <c r="C119" s="71" t="str">
        <f aca="false">IF(03_FRFデータ貼付!B112="","",03_FRFデータ貼付!E112)</f>
        <v/>
      </c>
      <c r="D119" s="90" t="str">
        <f aca="false">IF(03_FRFデータ貼付!B112="","",03_FRFデータ貼付!F112)</f>
        <v/>
      </c>
      <c r="E119" s="91" t="str">
        <f aca="false">IF(OR(03_FRFデータ貼付!B112="",03_FRFデータ貼付!E112=0),"",ABS(03_FRFデータ貼付!D112)/03_FRFデータ貼付!E112)</f>
        <v/>
      </c>
      <c r="F119" s="94" t="str">
        <f aca="false">IF(OR(C119="",C118="",C120=""),"",IF(AND(C119&gt;C118,C119&gt;=C120,C119&gt;=$E$6),"◀ ピーク",""))</f>
        <v/>
      </c>
      <c r="G119" s="95" t="str">
        <f aca="false">IF(F119="◀ ピーク",TEXT(B119,"0.0")&amp;" Hz","")</f>
        <v/>
      </c>
      <c r="H119" s="71" t="str">
        <f aca="false">IF(03_FRFデータ貼付!B112="","",03_FRFデータ貼付!C112)</f>
        <v/>
      </c>
      <c r="I119" s="71" t="str">
        <f aca="false">IF(03_FRFデータ貼付!B112="","",03_FRFデータ貼付!D112)</f>
        <v/>
      </c>
      <c r="J119" s="67"/>
      <c r="K119" s="67"/>
      <c r="L119" s="67"/>
      <c r="M119" s="2"/>
      <c r="N119" s="2"/>
    </row>
    <row r="120" customFormat="false" ht="15" hidden="false" customHeight="false" outlineLevel="0" collapsed="false">
      <c r="A120" s="88" t="str">
        <f aca="false">IF(03_FRFデータ貼付!B113="","",03_FRFデータ貼付!A113)</f>
        <v/>
      </c>
      <c r="B120" s="89" t="str">
        <f aca="false">IF(03_FRFデータ貼付!B113="","",03_FRFデータ貼付!B113)</f>
        <v/>
      </c>
      <c r="C120" s="71" t="str">
        <f aca="false">IF(03_FRFデータ貼付!B113="","",03_FRFデータ貼付!E113)</f>
        <v/>
      </c>
      <c r="D120" s="90" t="str">
        <f aca="false">IF(03_FRFデータ貼付!B113="","",03_FRFデータ貼付!F113)</f>
        <v/>
      </c>
      <c r="E120" s="91" t="str">
        <f aca="false">IF(OR(03_FRFデータ貼付!B113="",03_FRFデータ貼付!E113=0),"",ABS(03_FRFデータ貼付!D113)/03_FRFデータ貼付!E113)</f>
        <v/>
      </c>
      <c r="F120" s="94" t="str">
        <f aca="false">IF(OR(C120="",C119="",C121=""),"",IF(AND(C120&gt;C119,C120&gt;=C121,C120&gt;=$E$6),"◀ ピーク",""))</f>
        <v/>
      </c>
      <c r="G120" s="95" t="str">
        <f aca="false">IF(F120="◀ ピーク",TEXT(B120,"0.0")&amp;" Hz","")</f>
        <v/>
      </c>
      <c r="H120" s="71" t="str">
        <f aca="false">IF(03_FRFデータ貼付!B113="","",03_FRFデータ貼付!C113)</f>
        <v/>
      </c>
      <c r="I120" s="71" t="str">
        <f aca="false">IF(03_FRFデータ貼付!B113="","",03_FRFデータ貼付!D113)</f>
        <v/>
      </c>
      <c r="J120" s="67"/>
      <c r="K120" s="67"/>
      <c r="L120" s="67"/>
      <c r="M120" s="2"/>
      <c r="N120" s="2"/>
    </row>
    <row r="121" customFormat="false" ht="15" hidden="false" customHeight="false" outlineLevel="0" collapsed="false">
      <c r="A121" s="88" t="str">
        <f aca="false">IF(03_FRFデータ貼付!B114="","",03_FRFデータ貼付!A114)</f>
        <v/>
      </c>
      <c r="B121" s="89" t="str">
        <f aca="false">IF(03_FRFデータ貼付!B114="","",03_FRFデータ貼付!B114)</f>
        <v/>
      </c>
      <c r="C121" s="71" t="str">
        <f aca="false">IF(03_FRFデータ貼付!B114="","",03_FRFデータ貼付!E114)</f>
        <v/>
      </c>
      <c r="D121" s="90" t="str">
        <f aca="false">IF(03_FRFデータ貼付!B114="","",03_FRFデータ貼付!F114)</f>
        <v/>
      </c>
      <c r="E121" s="91" t="str">
        <f aca="false">IF(OR(03_FRFデータ貼付!B114="",03_FRFデータ貼付!E114=0),"",ABS(03_FRFデータ貼付!D114)/03_FRFデータ貼付!E114)</f>
        <v/>
      </c>
      <c r="F121" s="94" t="str">
        <f aca="false">IF(OR(C121="",C120="",C122=""),"",IF(AND(C121&gt;C120,C121&gt;=C122,C121&gt;=$E$6),"◀ ピーク",""))</f>
        <v/>
      </c>
      <c r="G121" s="95" t="str">
        <f aca="false">IF(F121="◀ ピーク",TEXT(B121,"0.0")&amp;" Hz","")</f>
        <v/>
      </c>
      <c r="H121" s="71" t="str">
        <f aca="false">IF(03_FRFデータ貼付!B114="","",03_FRFデータ貼付!C114)</f>
        <v/>
      </c>
      <c r="I121" s="71" t="str">
        <f aca="false">IF(03_FRFデータ貼付!B114="","",03_FRFデータ貼付!D114)</f>
        <v/>
      </c>
      <c r="J121" s="67"/>
      <c r="K121" s="67"/>
      <c r="L121" s="67"/>
      <c r="M121" s="2"/>
      <c r="N121" s="2"/>
    </row>
    <row r="122" customFormat="false" ht="15" hidden="false" customHeight="false" outlineLevel="0" collapsed="false">
      <c r="A122" s="88" t="str">
        <f aca="false">IF(03_FRFデータ貼付!B115="","",03_FRFデータ貼付!A115)</f>
        <v/>
      </c>
      <c r="B122" s="89" t="str">
        <f aca="false">IF(03_FRFデータ貼付!B115="","",03_FRFデータ貼付!B115)</f>
        <v/>
      </c>
      <c r="C122" s="71" t="str">
        <f aca="false">IF(03_FRFデータ貼付!B115="","",03_FRFデータ貼付!E115)</f>
        <v/>
      </c>
      <c r="D122" s="90" t="str">
        <f aca="false">IF(03_FRFデータ貼付!B115="","",03_FRFデータ貼付!F115)</f>
        <v/>
      </c>
      <c r="E122" s="91" t="str">
        <f aca="false">IF(OR(03_FRFデータ貼付!B115="",03_FRFデータ貼付!E115=0),"",ABS(03_FRFデータ貼付!D115)/03_FRFデータ貼付!E115)</f>
        <v/>
      </c>
      <c r="F122" s="94" t="str">
        <f aca="false">IF(OR(C122="",C121="",C123=""),"",IF(AND(C122&gt;C121,C122&gt;=C123,C122&gt;=$E$6),"◀ ピーク",""))</f>
        <v/>
      </c>
      <c r="G122" s="95" t="str">
        <f aca="false">IF(F122="◀ ピーク",TEXT(B122,"0.0")&amp;" Hz","")</f>
        <v/>
      </c>
      <c r="H122" s="71" t="str">
        <f aca="false">IF(03_FRFデータ貼付!B115="","",03_FRFデータ貼付!C115)</f>
        <v/>
      </c>
      <c r="I122" s="71" t="str">
        <f aca="false">IF(03_FRFデータ貼付!B115="","",03_FRFデータ貼付!D115)</f>
        <v/>
      </c>
      <c r="J122" s="67"/>
      <c r="K122" s="67"/>
      <c r="L122" s="67"/>
      <c r="M122" s="2"/>
      <c r="N122" s="2"/>
    </row>
    <row r="123" customFormat="false" ht="15" hidden="false" customHeight="false" outlineLevel="0" collapsed="false">
      <c r="A123" s="88" t="str">
        <f aca="false">IF(03_FRFデータ貼付!B116="","",03_FRFデータ貼付!A116)</f>
        <v/>
      </c>
      <c r="B123" s="89" t="str">
        <f aca="false">IF(03_FRFデータ貼付!B116="","",03_FRFデータ貼付!B116)</f>
        <v/>
      </c>
      <c r="C123" s="71" t="str">
        <f aca="false">IF(03_FRFデータ貼付!B116="","",03_FRFデータ貼付!E116)</f>
        <v/>
      </c>
      <c r="D123" s="90" t="str">
        <f aca="false">IF(03_FRFデータ貼付!B116="","",03_FRFデータ貼付!F116)</f>
        <v/>
      </c>
      <c r="E123" s="91" t="str">
        <f aca="false">IF(OR(03_FRFデータ貼付!B116="",03_FRFデータ貼付!E116=0),"",ABS(03_FRFデータ貼付!D116)/03_FRFデータ貼付!E116)</f>
        <v/>
      </c>
      <c r="F123" s="94" t="str">
        <f aca="false">IF(OR(C123="",C122="",C124=""),"",IF(AND(C123&gt;C122,C123&gt;=C124,C123&gt;=$E$6),"◀ ピーク",""))</f>
        <v/>
      </c>
      <c r="G123" s="95" t="str">
        <f aca="false">IF(F123="◀ ピーク",TEXT(B123,"0.0")&amp;" Hz","")</f>
        <v/>
      </c>
      <c r="H123" s="71" t="str">
        <f aca="false">IF(03_FRFデータ貼付!B116="","",03_FRFデータ貼付!C116)</f>
        <v/>
      </c>
      <c r="I123" s="71" t="str">
        <f aca="false">IF(03_FRFデータ貼付!B116="","",03_FRFデータ貼付!D116)</f>
        <v/>
      </c>
      <c r="J123" s="67"/>
      <c r="K123" s="67"/>
      <c r="L123" s="67"/>
      <c r="M123" s="2"/>
      <c r="N123" s="2"/>
    </row>
    <row r="124" customFormat="false" ht="15" hidden="false" customHeight="false" outlineLevel="0" collapsed="false">
      <c r="A124" s="88" t="str">
        <f aca="false">IF(03_FRFデータ貼付!B117="","",03_FRFデータ貼付!A117)</f>
        <v/>
      </c>
      <c r="B124" s="89" t="str">
        <f aca="false">IF(03_FRFデータ貼付!B117="","",03_FRFデータ貼付!B117)</f>
        <v/>
      </c>
      <c r="C124" s="71" t="str">
        <f aca="false">IF(03_FRFデータ貼付!B117="","",03_FRFデータ貼付!E117)</f>
        <v/>
      </c>
      <c r="D124" s="90" t="str">
        <f aca="false">IF(03_FRFデータ貼付!B117="","",03_FRFデータ貼付!F117)</f>
        <v/>
      </c>
      <c r="E124" s="91" t="str">
        <f aca="false">IF(OR(03_FRFデータ貼付!B117="",03_FRFデータ貼付!E117=0),"",ABS(03_FRFデータ貼付!D117)/03_FRFデータ貼付!E117)</f>
        <v/>
      </c>
      <c r="F124" s="94" t="str">
        <f aca="false">IF(OR(C124="",C123="",C125=""),"",IF(AND(C124&gt;C123,C124&gt;=C125,C124&gt;=$E$6),"◀ ピーク",""))</f>
        <v/>
      </c>
      <c r="G124" s="95" t="str">
        <f aca="false">IF(F124="◀ ピーク",TEXT(B124,"0.0")&amp;" Hz","")</f>
        <v/>
      </c>
      <c r="H124" s="71" t="str">
        <f aca="false">IF(03_FRFデータ貼付!B117="","",03_FRFデータ貼付!C117)</f>
        <v/>
      </c>
      <c r="I124" s="71" t="str">
        <f aca="false">IF(03_FRFデータ貼付!B117="","",03_FRFデータ貼付!D117)</f>
        <v/>
      </c>
      <c r="J124" s="67"/>
      <c r="K124" s="67"/>
      <c r="L124" s="67"/>
      <c r="M124" s="2"/>
      <c r="N124" s="2"/>
    </row>
    <row r="125" customFormat="false" ht="15" hidden="false" customHeight="false" outlineLevel="0" collapsed="false">
      <c r="A125" s="88" t="str">
        <f aca="false">IF(03_FRFデータ貼付!B118="","",03_FRFデータ貼付!A118)</f>
        <v/>
      </c>
      <c r="B125" s="89" t="str">
        <f aca="false">IF(03_FRFデータ貼付!B118="","",03_FRFデータ貼付!B118)</f>
        <v/>
      </c>
      <c r="C125" s="71" t="str">
        <f aca="false">IF(03_FRFデータ貼付!B118="","",03_FRFデータ貼付!E118)</f>
        <v/>
      </c>
      <c r="D125" s="90" t="str">
        <f aca="false">IF(03_FRFデータ貼付!B118="","",03_FRFデータ貼付!F118)</f>
        <v/>
      </c>
      <c r="E125" s="91" t="str">
        <f aca="false">IF(OR(03_FRFデータ貼付!B118="",03_FRFデータ貼付!E118=0),"",ABS(03_FRFデータ貼付!D118)/03_FRFデータ貼付!E118)</f>
        <v/>
      </c>
      <c r="F125" s="94" t="str">
        <f aca="false">IF(OR(C125="",C124="",C126=""),"",IF(AND(C125&gt;C124,C125&gt;=C126,C125&gt;=$E$6),"◀ ピーク",""))</f>
        <v/>
      </c>
      <c r="G125" s="95" t="str">
        <f aca="false">IF(F125="◀ ピーク",TEXT(B125,"0.0")&amp;" Hz","")</f>
        <v/>
      </c>
      <c r="H125" s="71" t="str">
        <f aca="false">IF(03_FRFデータ貼付!B118="","",03_FRFデータ貼付!C118)</f>
        <v/>
      </c>
      <c r="I125" s="71" t="str">
        <f aca="false">IF(03_FRFデータ貼付!B118="","",03_FRFデータ貼付!D118)</f>
        <v/>
      </c>
      <c r="J125" s="67"/>
      <c r="K125" s="67"/>
      <c r="L125" s="67"/>
      <c r="M125" s="2"/>
      <c r="N125" s="2"/>
    </row>
    <row r="126" customFormat="false" ht="15" hidden="false" customHeight="false" outlineLevel="0" collapsed="false">
      <c r="A126" s="88" t="str">
        <f aca="false">IF(03_FRFデータ貼付!B119="","",03_FRFデータ貼付!A119)</f>
        <v/>
      </c>
      <c r="B126" s="89" t="str">
        <f aca="false">IF(03_FRFデータ貼付!B119="","",03_FRFデータ貼付!B119)</f>
        <v/>
      </c>
      <c r="C126" s="71" t="str">
        <f aca="false">IF(03_FRFデータ貼付!B119="","",03_FRFデータ貼付!E119)</f>
        <v/>
      </c>
      <c r="D126" s="90" t="str">
        <f aca="false">IF(03_FRFデータ貼付!B119="","",03_FRFデータ貼付!F119)</f>
        <v/>
      </c>
      <c r="E126" s="91" t="str">
        <f aca="false">IF(OR(03_FRFデータ貼付!B119="",03_FRFデータ貼付!E119=0),"",ABS(03_FRFデータ貼付!D119)/03_FRFデータ貼付!E119)</f>
        <v/>
      </c>
      <c r="F126" s="94" t="str">
        <f aca="false">IF(OR(C126="",C125="",C127=""),"",IF(AND(C126&gt;C125,C126&gt;=C127,C126&gt;=$E$6),"◀ ピーク",""))</f>
        <v/>
      </c>
      <c r="G126" s="95" t="str">
        <f aca="false">IF(F126="◀ ピーク",TEXT(B126,"0.0")&amp;" Hz","")</f>
        <v/>
      </c>
      <c r="H126" s="71" t="str">
        <f aca="false">IF(03_FRFデータ貼付!B119="","",03_FRFデータ貼付!C119)</f>
        <v/>
      </c>
      <c r="I126" s="71" t="str">
        <f aca="false">IF(03_FRFデータ貼付!B119="","",03_FRFデータ貼付!D119)</f>
        <v/>
      </c>
      <c r="J126" s="67"/>
      <c r="K126" s="67"/>
      <c r="L126" s="67"/>
      <c r="M126" s="2"/>
      <c r="N126" s="2"/>
    </row>
    <row r="127" customFormat="false" ht="15" hidden="false" customHeight="false" outlineLevel="0" collapsed="false">
      <c r="A127" s="88" t="str">
        <f aca="false">IF(03_FRFデータ貼付!B120="","",03_FRFデータ貼付!A120)</f>
        <v/>
      </c>
      <c r="B127" s="89" t="str">
        <f aca="false">IF(03_FRFデータ貼付!B120="","",03_FRFデータ貼付!B120)</f>
        <v/>
      </c>
      <c r="C127" s="71" t="str">
        <f aca="false">IF(03_FRFデータ貼付!B120="","",03_FRFデータ貼付!E120)</f>
        <v/>
      </c>
      <c r="D127" s="90" t="str">
        <f aca="false">IF(03_FRFデータ貼付!B120="","",03_FRFデータ貼付!F120)</f>
        <v/>
      </c>
      <c r="E127" s="91" t="str">
        <f aca="false">IF(OR(03_FRFデータ貼付!B120="",03_FRFデータ貼付!E120=0),"",ABS(03_FRFデータ貼付!D120)/03_FRFデータ貼付!E120)</f>
        <v/>
      </c>
      <c r="F127" s="94" t="str">
        <f aca="false">IF(OR(C127="",C126="",C128=""),"",IF(AND(C127&gt;C126,C127&gt;=C128,C127&gt;=$E$6),"◀ ピーク",""))</f>
        <v/>
      </c>
      <c r="G127" s="95" t="str">
        <f aca="false">IF(F127="◀ ピーク",TEXT(B127,"0.0")&amp;" Hz","")</f>
        <v/>
      </c>
      <c r="H127" s="71" t="str">
        <f aca="false">IF(03_FRFデータ貼付!B120="","",03_FRFデータ貼付!C120)</f>
        <v/>
      </c>
      <c r="I127" s="71" t="str">
        <f aca="false">IF(03_FRFデータ貼付!B120="","",03_FRFデータ貼付!D120)</f>
        <v/>
      </c>
      <c r="J127" s="67"/>
      <c r="K127" s="67"/>
      <c r="L127" s="67"/>
      <c r="M127" s="2"/>
      <c r="N127" s="2"/>
    </row>
    <row r="128" customFormat="false" ht="15" hidden="false" customHeight="false" outlineLevel="0" collapsed="false">
      <c r="A128" s="88" t="str">
        <f aca="false">IF(03_FRFデータ貼付!B121="","",03_FRFデータ貼付!A121)</f>
        <v/>
      </c>
      <c r="B128" s="89" t="str">
        <f aca="false">IF(03_FRFデータ貼付!B121="","",03_FRFデータ貼付!B121)</f>
        <v/>
      </c>
      <c r="C128" s="71" t="str">
        <f aca="false">IF(03_FRFデータ貼付!B121="","",03_FRFデータ貼付!E121)</f>
        <v/>
      </c>
      <c r="D128" s="90" t="str">
        <f aca="false">IF(03_FRFデータ貼付!B121="","",03_FRFデータ貼付!F121)</f>
        <v/>
      </c>
      <c r="E128" s="91" t="str">
        <f aca="false">IF(OR(03_FRFデータ貼付!B121="",03_FRFデータ貼付!E121=0),"",ABS(03_FRFデータ貼付!D121)/03_FRFデータ貼付!E121)</f>
        <v/>
      </c>
      <c r="F128" s="94" t="str">
        <f aca="false">IF(OR(C128="",C127="",C129=""),"",IF(AND(C128&gt;C127,C128&gt;=C129,C128&gt;=$E$6),"◀ ピーク",""))</f>
        <v/>
      </c>
      <c r="G128" s="95" t="str">
        <f aca="false">IF(F128="◀ ピーク",TEXT(B128,"0.0")&amp;" Hz","")</f>
        <v/>
      </c>
      <c r="H128" s="71" t="str">
        <f aca="false">IF(03_FRFデータ貼付!B121="","",03_FRFデータ貼付!C121)</f>
        <v/>
      </c>
      <c r="I128" s="71" t="str">
        <f aca="false">IF(03_FRFデータ貼付!B121="","",03_FRFデータ貼付!D121)</f>
        <v/>
      </c>
      <c r="J128" s="67"/>
      <c r="K128" s="67"/>
      <c r="L128" s="67"/>
      <c r="M128" s="2"/>
      <c r="N128" s="2"/>
    </row>
    <row r="129" customFormat="false" ht="15" hidden="false" customHeight="false" outlineLevel="0" collapsed="false">
      <c r="A129" s="88" t="str">
        <f aca="false">IF(03_FRFデータ貼付!B122="","",03_FRFデータ貼付!A122)</f>
        <v/>
      </c>
      <c r="B129" s="89" t="str">
        <f aca="false">IF(03_FRFデータ貼付!B122="","",03_FRFデータ貼付!B122)</f>
        <v/>
      </c>
      <c r="C129" s="71" t="str">
        <f aca="false">IF(03_FRFデータ貼付!B122="","",03_FRFデータ貼付!E122)</f>
        <v/>
      </c>
      <c r="D129" s="90" t="str">
        <f aca="false">IF(03_FRFデータ貼付!B122="","",03_FRFデータ貼付!F122)</f>
        <v/>
      </c>
      <c r="E129" s="91" t="str">
        <f aca="false">IF(OR(03_FRFデータ貼付!B122="",03_FRFデータ貼付!E122=0),"",ABS(03_FRFデータ貼付!D122)/03_FRFデータ貼付!E122)</f>
        <v/>
      </c>
      <c r="F129" s="94" t="str">
        <f aca="false">IF(OR(C129="",C128="",C130=""),"",IF(AND(C129&gt;C128,C129&gt;=C130,C129&gt;=$E$6),"◀ ピーク",""))</f>
        <v/>
      </c>
      <c r="G129" s="95" t="str">
        <f aca="false">IF(F129="◀ ピーク",TEXT(B129,"0.0")&amp;" Hz","")</f>
        <v/>
      </c>
      <c r="H129" s="71" t="str">
        <f aca="false">IF(03_FRFデータ貼付!B122="","",03_FRFデータ貼付!C122)</f>
        <v/>
      </c>
      <c r="I129" s="71" t="str">
        <f aca="false">IF(03_FRFデータ貼付!B122="","",03_FRFデータ貼付!D122)</f>
        <v/>
      </c>
      <c r="J129" s="67"/>
      <c r="K129" s="67"/>
      <c r="L129" s="67"/>
      <c r="M129" s="2"/>
      <c r="N129" s="2"/>
    </row>
    <row r="130" customFormat="false" ht="15" hidden="false" customHeight="false" outlineLevel="0" collapsed="false">
      <c r="A130" s="88" t="str">
        <f aca="false">IF(03_FRFデータ貼付!B123="","",03_FRFデータ貼付!A123)</f>
        <v/>
      </c>
      <c r="B130" s="89" t="str">
        <f aca="false">IF(03_FRFデータ貼付!B123="","",03_FRFデータ貼付!B123)</f>
        <v/>
      </c>
      <c r="C130" s="71" t="str">
        <f aca="false">IF(03_FRFデータ貼付!B123="","",03_FRFデータ貼付!E123)</f>
        <v/>
      </c>
      <c r="D130" s="90" t="str">
        <f aca="false">IF(03_FRFデータ貼付!B123="","",03_FRFデータ貼付!F123)</f>
        <v/>
      </c>
      <c r="E130" s="91" t="str">
        <f aca="false">IF(OR(03_FRFデータ貼付!B123="",03_FRFデータ貼付!E123=0),"",ABS(03_FRFデータ貼付!D123)/03_FRFデータ貼付!E123)</f>
        <v/>
      </c>
      <c r="F130" s="94" t="str">
        <f aca="false">IF(OR(C130="",C129="",C131=""),"",IF(AND(C130&gt;C129,C130&gt;=C131,C130&gt;=$E$6),"◀ ピーク",""))</f>
        <v/>
      </c>
      <c r="G130" s="95" t="str">
        <f aca="false">IF(F130="◀ ピーク",TEXT(B130,"0.0")&amp;" Hz","")</f>
        <v/>
      </c>
      <c r="H130" s="71" t="str">
        <f aca="false">IF(03_FRFデータ貼付!B123="","",03_FRFデータ貼付!C123)</f>
        <v/>
      </c>
      <c r="I130" s="71" t="str">
        <f aca="false">IF(03_FRFデータ貼付!B123="","",03_FRFデータ貼付!D123)</f>
        <v/>
      </c>
      <c r="J130" s="67"/>
      <c r="K130" s="67"/>
      <c r="L130" s="67"/>
      <c r="M130" s="2"/>
      <c r="N130" s="2"/>
    </row>
    <row r="131" customFormat="false" ht="15" hidden="false" customHeight="false" outlineLevel="0" collapsed="false">
      <c r="A131" s="88" t="str">
        <f aca="false">IF(03_FRFデータ貼付!B124="","",03_FRFデータ貼付!A124)</f>
        <v/>
      </c>
      <c r="B131" s="89" t="str">
        <f aca="false">IF(03_FRFデータ貼付!B124="","",03_FRFデータ貼付!B124)</f>
        <v/>
      </c>
      <c r="C131" s="71" t="str">
        <f aca="false">IF(03_FRFデータ貼付!B124="","",03_FRFデータ貼付!E124)</f>
        <v/>
      </c>
      <c r="D131" s="90" t="str">
        <f aca="false">IF(03_FRFデータ貼付!B124="","",03_FRFデータ貼付!F124)</f>
        <v/>
      </c>
      <c r="E131" s="91" t="str">
        <f aca="false">IF(OR(03_FRFデータ貼付!B124="",03_FRFデータ貼付!E124=0),"",ABS(03_FRFデータ貼付!D124)/03_FRFデータ貼付!E124)</f>
        <v/>
      </c>
      <c r="F131" s="94" t="str">
        <f aca="false">IF(OR(C131="",C130="",C132=""),"",IF(AND(C131&gt;C130,C131&gt;=C132,C131&gt;=$E$6),"◀ ピーク",""))</f>
        <v/>
      </c>
      <c r="G131" s="95" t="str">
        <f aca="false">IF(F131="◀ ピーク",TEXT(B131,"0.0")&amp;" Hz","")</f>
        <v/>
      </c>
      <c r="H131" s="71" t="str">
        <f aca="false">IF(03_FRFデータ貼付!B124="","",03_FRFデータ貼付!C124)</f>
        <v/>
      </c>
      <c r="I131" s="71" t="str">
        <f aca="false">IF(03_FRFデータ貼付!B124="","",03_FRFデータ貼付!D124)</f>
        <v/>
      </c>
      <c r="J131" s="67"/>
      <c r="K131" s="67"/>
      <c r="L131" s="67"/>
      <c r="M131" s="2"/>
      <c r="N131" s="2"/>
    </row>
    <row r="132" customFormat="false" ht="15" hidden="false" customHeight="false" outlineLevel="0" collapsed="false">
      <c r="A132" s="88" t="str">
        <f aca="false">IF(03_FRFデータ貼付!B125="","",03_FRFデータ貼付!A125)</f>
        <v/>
      </c>
      <c r="B132" s="89" t="str">
        <f aca="false">IF(03_FRFデータ貼付!B125="","",03_FRFデータ貼付!B125)</f>
        <v/>
      </c>
      <c r="C132" s="71" t="str">
        <f aca="false">IF(03_FRFデータ貼付!B125="","",03_FRFデータ貼付!E125)</f>
        <v/>
      </c>
      <c r="D132" s="90" t="str">
        <f aca="false">IF(03_FRFデータ貼付!B125="","",03_FRFデータ貼付!F125)</f>
        <v/>
      </c>
      <c r="E132" s="91" t="str">
        <f aca="false">IF(OR(03_FRFデータ貼付!B125="",03_FRFデータ貼付!E125=0),"",ABS(03_FRFデータ貼付!D125)/03_FRFデータ貼付!E125)</f>
        <v/>
      </c>
      <c r="F132" s="94" t="str">
        <f aca="false">IF(OR(C132="",C131="",C133=""),"",IF(AND(C132&gt;C131,C132&gt;=C133,C132&gt;=$E$6),"◀ ピーク",""))</f>
        <v/>
      </c>
      <c r="G132" s="95" t="str">
        <f aca="false">IF(F132="◀ ピーク",TEXT(B132,"0.0")&amp;" Hz","")</f>
        <v/>
      </c>
      <c r="H132" s="71" t="str">
        <f aca="false">IF(03_FRFデータ貼付!B125="","",03_FRFデータ貼付!C125)</f>
        <v/>
      </c>
      <c r="I132" s="71" t="str">
        <f aca="false">IF(03_FRFデータ貼付!B125="","",03_FRFデータ貼付!D125)</f>
        <v/>
      </c>
      <c r="J132" s="67"/>
      <c r="K132" s="67"/>
      <c r="L132" s="67"/>
      <c r="M132" s="2"/>
      <c r="N132" s="2"/>
    </row>
    <row r="133" customFormat="false" ht="15" hidden="false" customHeight="false" outlineLevel="0" collapsed="false">
      <c r="A133" s="88" t="str">
        <f aca="false">IF(03_FRFデータ貼付!B126="","",03_FRFデータ貼付!A126)</f>
        <v/>
      </c>
      <c r="B133" s="89" t="str">
        <f aca="false">IF(03_FRFデータ貼付!B126="","",03_FRFデータ貼付!B126)</f>
        <v/>
      </c>
      <c r="C133" s="71" t="str">
        <f aca="false">IF(03_FRFデータ貼付!B126="","",03_FRFデータ貼付!E126)</f>
        <v/>
      </c>
      <c r="D133" s="90" t="str">
        <f aca="false">IF(03_FRFデータ貼付!B126="","",03_FRFデータ貼付!F126)</f>
        <v/>
      </c>
      <c r="E133" s="91" t="str">
        <f aca="false">IF(OR(03_FRFデータ貼付!B126="",03_FRFデータ貼付!E126=0),"",ABS(03_FRFデータ貼付!D126)/03_FRFデータ貼付!E126)</f>
        <v/>
      </c>
      <c r="F133" s="94" t="str">
        <f aca="false">IF(OR(C133="",C132="",C134=""),"",IF(AND(C133&gt;C132,C133&gt;=C134,C133&gt;=$E$6),"◀ ピーク",""))</f>
        <v/>
      </c>
      <c r="G133" s="95" t="str">
        <f aca="false">IF(F133="◀ ピーク",TEXT(B133,"0.0")&amp;" Hz","")</f>
        <v/>
      </c>
      <c r="H133" s="71" t="str">
        <f aca="false">IF(03_FRFデータ貼付!B126="","",03_FRFデータ貼付!C126)</f>
        <v/>
      </c>
      <c r="I133" s="71" t="str">
        <f aca="false">IF(03_FRFデータ貼付!B126="","",03_FRFデータ貼付!D126)</f>
        <v/>
      </c>
      <c r="J133" s="67"/>
      <c r="K133" s="67"/>
      <c r="L133" s="67"/>
      <c r="M133" s="2"/>
      <c r="N133" s="2"/>
    </row>
    <row r="134" customFormat="false" ht="15" hidden="false" customHeight="false" outlineLevel="0" collapsed="false">
      <c r="A134" s="88" t="str">
        <f aca="false">IF(03_FRFデータ貼付!B127="","",03_FRFデータ貼付!A127)</f>
        <v/>
      </c>
      <c r="B134" s="89" t="str">
        <f aca="false">IF(03_FRFデータ貼付!B127="","",03_FRFデータ貼付!B127)</f>
        <v/>
      </c>
      <c r="C134" s="71" t="str">
        <f aca="false">IF(03_FRFデータ貼付!B127="","",03_FRFデータ貼付!E127)</f>
        <v/>
      </c>
      <c r="D134" s="90" t="str">
        <f aca="false">IF(03_FRFデータ貼付!B127="","",03_FRFデータ貼付!F127)</f>
        <v/>
      </c>
      <c r="E134" s="91" t="str">
        <f aca="false">IF(OR(03_FRFデータ貼付!B127="",03_FRFデータ貼付!E127=0),"",ABS(03_FRFデータ貼付!D127)/03_FRFデータ貼付!E127)</f>
        <v/>
      </c>
      <c r="F134" s="92" t="str">
        <f aca="false">""</f>
        <v/>
      </c>
      <c r="G134" s="92" t="str">
        <f aca="false">""</f>
        <v/>
      </c>
      <c r="H134" s="71" t="str">
        <f aca="false">IF(03_FRFデータ貼付!B127="","",03_FRFデータ貼付!C127)</f>
        <v/>
      </c>
      <c r="I134" s="71" t="str">
        <f aca="false">IF(03_FRFデータ貼付!B127="","",03_FRFデータ貼付!D127)</f>
        <v/>
      </c>
      <c r="J134" s="67"/>
      <c r="K134" s="67"/>
      <c r="L134" s="67"/>
    </row>
    <row r="135" customFormat="false" ht="15" hidden="false" customHeight="false" outlineLevel="0" collapsed="false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</row>
    <row r="136" customFormat="false" ht="15" hidden="false" customHeight="false" outlineLevel="0" collapsed="false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</row>
    <row r="137" customFormat="false" ht="15" hidden="false" customHeight="false" outlineLevel="0" collapsed="false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</row>
    <row r="138" customFormat="false" ht="15" hidden="false" customHeight="false" outlineLevel="0" collapsed="false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</row>
    <row r="139" customFormat="false" ht="15" hidden="false" customHeight="false" outlineLevel="0" collapsed="false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</row>
    <row r="140" customFormat="false" ht="15" hidden="false" customHeight="false" outlineLevel="0" collapsed="false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E6A0"/>
    <pageSetUpPr fitToPage="false"/>
  </sheetPr>
  <dimension ref="A1:N1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7" topLeftCell="A2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5" min="4" style="0" width="18"/>
    <col collapsed="false" customWidth="true" hidden="false" outlineLevel="0" max="8" min="6" style="0" width="16"/>
    <col collapsed="false" customWidth="true" hidden="false" outlineLevel="0" max="9" min="9" style="0" width="44"/>
  </cols>
  <sheetData>
    <row r="1" customFormat="false" ht="18.55" hidden="false" customHeight="false" outlineLevel="0" collapsed="false">
      <c r="A1" s="1" t="s">
        <v>283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3" t="s">
        <v>284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7.15" hidden="false" customHeight="false" outlineLevel="0" collapsed="false">
      <c r="A4" s="4" t="s">
        <v>285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15" hidden="false" customHeight="false" outlineLevel="0" collapsed="false">
      <c r="A5" s="2"/>
      <c r="B5" s="6" t="s">
        <v>286</v>
      </c>
      <c r="C5" s="2"/>
      <c r="D5" s="2"/>
      <c r="E5" s="52" t="n">
        <f aca="false">MAX(03_FRFデータ貼付!E8:E127)</f>
        <v>0.0183931733259924</v>
      </c>
      <c r="F5" s="2"/>
      <c r="G5" s="2"/>
      <c r="H5" s="2"/>
      <c r="I5" s="2"/>
      <c r="J5" s="2"/>
      <c r="K5" s="2"/>
      <c r="L5" s="2"/>
      <c r="M5" s="2"/>
      <c r="N5" s="2"/>
    </row>
    <row r="6" customFormat="false" ht="15" hidden="false" customHeight="false" outlineLevel="0" collapsed="false">
      <c r="A6" s="2"/>
      <c r="B6" s="6" t="s">
        <v>287</v>
      </c>
      <c r="C6" s="2"/>
      <c r="D6" s="2"/>
      <c r="E6" s="60" t="n">
        <f aca="false">INDEX(03_FRFデータ貼付!B8:B127,MATCH(E5,03_FRFデータ貼付!E8:E127,0))</f>
        <v>3480</v>
      </c>
      <c r="F6" s="2"/>
      <c r="G6" s="2"/>
      <c r="H6" s="2"/>
      <c r="I6" s="2"/>
      <c r="J6" s="2"/>
      <c r="K6" s="2"/>
      <c r="L6" s="2"/>
      <c r="M6" s="2"/>
      <c r="N6" s="2"/>
    </row>
    <row r="7" customFormat="false" ht="15" hidden="false" customHeight="false" outlineLevel="0" collapsed="false">
      <c r="A7" s="2"/>
      <c r="B7" s="6" t="s">
        <v>288</v>
      </c>
      <c r="C7" s="2"/>
      <c r="D7" s="2"/>
      <c r="E7" s="54" t="n">
        <f aca="false">E5/SQRT(2)</f>
        <v>0.0130059375863488</v>
      </c>
      <c r="F7" s="2"/>
      <c r="G7" s="2"/>
      <c r="H7" s="2"/>
      <c r="I7" s="2"/>
      <c r="J7" s="2"/>
      <c r="K7" s="2"/>
      <c r="L7" s="2"/>
      <c r="M7" s="2"/>
      <c r="N7" s="2"/>
    </row>
    <row r="8" customFormat="false" ht="15" hidden="false" customHeight="false" outlineLevel="0" collapsed="false">
      <c r="A8" s="2"/>
      <c r="B8" s="6" t="s">
        <v>289</v>
      </c>
      <c r="C8" s="2"/>
      <c r="D8" s="2"/>
      <c r="E8" s="32" t="n">
        <f aca="false">IF(COUNT(F28:F147)=0,"検出できず",MAX(F28:F147))</f>
        <v>3467.83020074409</v>
      </c>
      <c r="F8" s="2"/>
      <c r="G8" s="2"/>
      <c r="H8" s="2"/>
      <c r="I8" s="2"/>
      <c r="J8" s="2"/>
      <c r="K8" s="2"/>
      <c r="L8" s="2"/>
      <c r="M8" s="2"/>
      <c r="N8" s="2"/>
    </row>
    <row r="9" customFormat="false" ht="15" hidden="false" customHeight="false" outlineLevel="0" collapsed="false">
      <c r="A9" s="2"/>
      <c r="B9" s="6" t="s">
        <v>290</v>
      </c>
      <c r="C9" s="2"/>
      <c r="D9" s="2"/>
      <c r="E9" s="32" t="n">
        <f aca="false">IF(COUNT(G28:G147)=0,"検出できず",SMALL(G28:G147,1))</f>
        <v>3489.84750348734</v>
      </c>
      <c r="F9" s="2"/>
      <c r="G9" s="2"/>
      <c r="H9" s="2"/>
      <c r="I9" s="2"/>
      <c r="J9" s="2"/>
      <c r="K9" s="2"/>
      <c r="L9" s="2"/>
      <c r="M9" s="2"/>
      <c r="N9" s="2"/>
    </row>
    <row r="10" customFormat="false" ht="15" hidden="false" customHeight="false" outlineLevel="0" collapsed="false">
      <c r="A10" s="2"/>
      <c r="B10" s="6" t="s">
        <v>291</v>
      </c>
      <c r="C10" s="2"/>
      <c r="D10" s="2"/>
      <c r="E10" s="32" t="n">
        <f aca="false">IFERROR(E9-E8,"")</f>
        <v>22.0173027432452</v>
      </c>
      <c r="F10" s="2"/>
      <c r="G10" s="2"/>
      <c r="H10" s="2"/>
      <c r="I10" s="2"/>
      <c r="J10" s="2"/>
      <c r="K10" s="2"/>
      <c r="L10" s="2"/>
      <c r="M10" s="2"/>
      <c r="N10" s="2"/>
    </row>
    <row r="11" customFormat="false" ht="15" hidden="false" customHeight="false" outlineLevel="0" collapsed="false">
      <c r="A11" s="2"/>
      <c r="B11" s="6" t="s">
        <v>292</v>
      </c>
      <c r="C11" s="2"/>
      <c r="D11" s="2"/>
      <c r="E11" s="52" t="n">
        <f aca="false">IFERROR(E10/E6,"")</f>
        <v>0.00632681113311643</v>
      </c>
      <c r="F11" s="2"/>
      <c r="G11" s="2"/>
      <c r="H11" s="2"/>
      <c r="I11" s="2"/>
      <c r="J11" s="2"/>
      <c r="K11" s="2"/>
      <c r="L11" s="2"/>
      <c r="M11" s="2"/>
      <c r="N11" s="2"/>
    </row>
    <row r="12" customFormat="false" ht="15" hidden="false" customHeight="false" outlineLevel="0" collapsed="false">
      <c r="A12" s="2"/>
      <c r="B12" s="6" t="s">
        <v>293</v>
      </c>
      <c r="C12" s="2"/>
      <c r="D12" s="2"/>
      <c r="E12" s="52" t="n">
        <f aca="false">IFERROR(E11/2,"")</f>
        <v>0.00316340556655822</v>
      </c>
      <c r="F12" s="2"/>
      <c r="G12" s="2"/>
      <c r="H12" s="2"/>
      <c r="I12" s="2"/>
      <c r="J12" s="2"/>
      <c r="K12" s="2"/>
      <c r="L12" s="2"/>
      <c r="M12" s="2"/>
      <c r="N12" s="2"/>
    </row>
    <row r="13" customFormat="false" ht="15" hidden="false" customHeight="false" outlineLevel="0" collapsed="false">
      <c r="A13" s="2"/>
      <c r="B13" s="2" t="s">
        <v>294</v>
      </c>
      <c r="C13" s="2"/>
      <c r="D13" s="2"/>
      <c r="E13" s="99" t="n">
        <f aca="false">IFERROR(1/E11,"")</f>
        <v>158.057507796574</v>
      </c>
      <c r="F13" s="2"/>
      <c r="G13" s="2"/>
      <c r="H13" s="2"/>
      <c r="I13" s="2"/>
      <c r="J13" s="2"/>
      <c r="K13" s="2"/>
      <c r="L13" s="2"/>
      <c r="M13" s="2"/>
      <c r="N13" s="2"/>
    </row>
    <row r="14" customFormat="false" ht="15" hidden="false" customHeight="false" outlineLevel="0" collapsed="false">
      <c r="A14" s="2"/>
      <c r="B14" s="6" t="s">
        <v>295</v>
      </c>
      <c r="C14" s="2"/>
      <c r="D14" s="2"/>
      <c r="E14" s="39" t="n">
        <f aca="false">IFERROR(E10/2,"")</f>
        <v>11.0086513716226</v>
      </c>
      <c r="F14" s="2"/>
      <c r="G14" s="2"/>
      <c r="H14" s="2"/>
      <c r="I14" s="2"/>
      <c r="J14" s="2"/>
      <c r="K14" s="2"/>
      <c r="L14" s="2"/>
      <c r="M14" s="2"/>
      <c r="N14" s="2"/>
    </row>
    <row r="15" customFormat="false" ht="15" hidden="false" customHeight="false" outlineLevel="0" collapsed="false">
      <c r="A15" s="2"/>
      <c r="B15" s="6" t="s">
        <v>296</v>
      </c>
      <c r="C15" s="2"/>
      <c r="D15" s="2"/>
      <c r="E15" s="53" t="n">
        <f aca="false">IFERROR(2*PI()*E14,"")</f>
        <v>69.1693965500415</v>
      </c>
      <c r="F15" s="2"/>
      <c r="G15" s="2"/>
      <c r="H15" s="2"/>
      <c r="I15" s="2"/>
      <c r="J15" s="2"/>
      <c r="K15" s="2"/>
      <c r="L15" s="2"/>
      <c r="M15" s="2"/>
      <c r="N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customFormat="false" ht="15" hidden="false" customHeight="false" outlineLevel="0" collapsed="false">
      <c r="A17" s="4" t="s">
        <v>297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customFormat="false" ht="15" hidden="false" customHeight="false" outlineLevel="0" collapsed="false">
      <c r="A18" s="2"/>
      <c r="B18" s="6" t="s">
        <v>298</v>
      </c>
      <c r="C18" s="2"/>
      <c r="D18" s="2"/>
      <c r="E18" s="30" t="n">
        <f aca="false">04_モード数の確認!E7</f>
        <v>2</v>
      </c>
      <c r="F18" s="2"/>
      <c r="G18" s="2"/>
      <c r="H18" s="2"/>
      <c r="I18" s="2"/>
      <c r="J18" s="2"/>
      <c r="K18" s="2"/>
      <c r="L18" s="2"/>
      <c r="M18" s="2"/>
      <c r="N18" s="2"/>
    </row>
    <row r="19" customFormat="false" ht="42" hidden="false" customHeight="true" outlineLevel="0" collapsed="false">
      <c r="A19" s="2"/>
      <c r="B19" s="6" t="s">
        <v>299</v>
      </c>
      <c r="C19" s="2"/>
      <c r="D19" s="2"/>
      <c r="E19" s="100" t="str">
        <f aca="false">IF(E18&gt;1,"⚠ NG：山が2本以上あります。半値幅法の答えは信用しないでください（2つの山の合成を1本と誤読するため）。06以降のRFP法へ進んでください。","OK：孤立した1本の山なので半値幅法で妥当です。")</f>
        <v>⚠ NG：山が2本以上あります。半値幅法の答えは信用しないでください（2つの山の合成を1本と誤読するため）。06以降のRFP法へ進んでください。</v>
      </c>
      <c r="F19" s="2"/>
      <c r="G19" s="2"/>
      <c r="H19" s="2"/>
      <c r="I19" s="2"/>
      <c r="J19" s="2"/>
      <c r="K19" s="2"/>
      <c r="L19" s="2"/>
      <c r="M19" s="2"/>
      <c r="N19" s="2"/>
    </row>
    <row r="20" customFormat="false" ht="15" hidden="false" customHeight="false" outlineLevel="0" collapsed="false">
      <c r="A20" s="2"/>
      <c r="B20" s="6" t="s">
        <v>300</v>
      </c>
      <c r="C20" s="2"/>
      <c r="D20" s="2"/>
      <c r="E20" s="36" t="n">
        <f aca="false">IFERROR(E10/03_FRFデータ貼付!H5,"")</f>
        <v>2.20173027432452</v>
      </c>
      <c r="F20" s="2"/>
      <c r="G20" s="2"/>
      <c r="H20" s="2"/>
      <c r="I20" s="2"/>
      <c r="J20" s="2"/>
      <c r="K20" s="2"/>
      <c r="L20" s="2"/>
      <c r="M20" s="2"/>
      <c r="N20" s="2"/>
    </row>
    <row r="21" customFormat="false" ht="30" hidden="false" customHeight="true" outlineLevel="0" collapsed="false">
      <c r="A21" s="2"/>
      <c r="B21" s="6" t="s">
        <v>151</v>
      </c>
      <c r="C21" s="2"/>
      <c r="D21" s="2"/>
      <c r="E21" s="100" t="str">
        <f aca="false">IFERROR(IF(E20&gt;=8,"OK（山の中に8点以上ある）","⚠ 点が粗すぎ。半値幅の中に最低8点は欲しい（Nを増やす／ズーム測定）"),"")</f>
        <v>⚠ 点が粗すぎ。半値幅の中に最低8点は欲しい（Nを増やす／ズーム測定）</v>
      </c>
      <c r="F21" s="2"/>
      <c r="G21" s="2"/>
      <c r="H21" s="2"/>
      <c r="I21" s="2"/>
      <c r="J21" s="2"/>
      <c r="K21" s="2"/>
      <c r="L21" s="2"/>
      <c r="M21" s="2"/>
      <c r="N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customFormat="false" ht="17.15" hidden="false" customHeight="false" outlineLevel="0" collapsed="false">
      <c r="A23" s="23" t="s">
        <v>301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customFormat="false" ht="26.85" hidden="false" customHeight="false" outlineLevel="0" collapsed="false">
      <c r="A24" s="2"/>
      <c r="B24" s="6" t="s">
        <v>302</v>
      </c>
      <c r="C24" s="2"/>
      <c r="D24" s="2"/>
      <c r="E24" s="11" t="str">
        <f aca="false">IFERROR(IF(E18&gt;=2,"04シートでピーク行を目視して読み取る",E6),"")</f>
        <v>04シートでピーク行を目視して読み取る</v>
      </c>
      <c r="F24" s="2"/>
      <c r="G24" s="2"/>
      <c r="H24" s="2"/>
      <c r="I24" s="51" t="s">
        <v>303</v>
      </c>
      <c r="J24" s="2"/>
      <c r="K24" s="2"/>
      <c r="L24" s="2"/>
      <c r="M24" s="2"/>
      <c r="N24" s="2"/>
    </row>
    <row r="25" customFormat="false" ht="15" hidden="false" customHeight="false" outlineLevel="0" collapsed="false">
      <c r="A25" s="2"/>
      <c r="B25" s="6" t="s">
        <v>304</v>
      </c>
      <c r="C25" s="2"/>
      <c r="D25" s="2"/>
      <c r="E25" s="52" t="n">
        <f aca="false">IFERROR(E11,"")</f>
        <v>0.00632681113311643</v>
      </c>
      <c r="F25" s="2"/>
      <c r="G25" s="2"/>
      <c r="H25" s="2"/>
      <c r="I25" s="2"/>
      <c r="J25" s="2"/>
      <c r="K25" s="2"/>
      <c r="L25" s="2"/>
      <c r="M25" s="2"/>
      <c r="N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customFormat="false" ht="29.85" hidden="false" customHeight="false" outlineLevel="0" collapsed="false">
      <c r="A27" s="14" t="s">
        <v>239</v>
      </c>
      <c r="B27" s="7" t="s">
        <v>305</v>
      </c>
      <c r="C27" s="7" t="s">
        <v>243</v>
      </c>
      <c r="D27" s="7" t="s">
        <v>306</v>
      </c>
      <c r="E27" s="7" t="s">
        <v>307</v>
      </c>
      <c r="F27" s="7" t="s">
        <v>308</v>
      </c>
      <c r="G27" s="7" t="s">
        <v>309</v>
      </c>
      <c r="H27" s="7" t="s">
        <v>310</v>
      </c>
      <c r="I27" s="2"/>
      <c r="J27" s="2"/>
      <c r="K27" s="2"/>
      <c r="L27" s="2"/>
      <c r="M27" s="2"/>
      <c r="N27" s="2"/>
    </row>
    <row r="28" customFormat="false" ht="15" hidden="false" customHeight="false" outlineLevel="0" collapsed="false">
      <c r="A28" s="30" t="n">
        <f aca="false">IF(03_FRFデータ貼付!B8="","",03_FRFデータ貼付!A8)</f>
        <v>1</v>
      </c>
      <c r="B28" s="61" t="n">
        <f aca="false">IF(03_FRFデータ貼付!B8="","",03_FRFデータ貼付!B8)</f>
        <v>3400</v>
      </c>
      <c r="C28" s="54" t="n">
        <f aca="false">IF(03_FRFデータ貼付!B8="","",03_FRFデータ貼付!E8)</f>
        <v>0.00301043202879587</v>
      </c>
      <c r="D28" s="53" t="n">
        <f aca="false">IF(OR(C28="",$E$7=0),"",C28/$E$7)</f>
        <v>0.231465975352339</v>
      </c>
      <c r="E28" s="9" t="str">
        <f aca="false">IF(C28="","",IF(B28&lt;$E$6,"上り","下り"))</f>
        <v>上り</v>
      </c>
      <c r="F28" s="101" t="str">
        <f aca="false">IF(OR(C28="",C29=""),"",IF(AND(B29&lt;=$E$6,C28&lt;$E$7,C29&gt;=$E$7),B28+(B29-B28)*($E$7-C28)/(C29-C28),""))</f>
        <v/>
      </c>
      <c r="G28" s="101" t="str">
        <f aca="false">IF(OR(C28="",C29=""),"",IF(AND(B28&gt;=$E$6,C28&gt;=$E$7,C29&lt;$E$7),B28+(B29-B28)*($E$7-C28)/(C29-C28),""))</f>
        <v/>
      </c>
      <c r="H28" s="102" t="str">
        <f aca="false">IF(F28&lt;&gt;"","← 下側の半値点",IF(G28&lt;&gt;"","← 上側の半値点",""))</f>
        <v/>
      </c>
      <c r="I28" s="2"/>
      <c r="J28" s="2"/>
      <c r="K28" s="2"/>
      <c r="L28" s="2"/>
      <c r="M28" s="2"/>
      <c r="N28" s="2"/>
    </row>
    <row r="29" customFormat="false" ht="15" hidden="false" customHeight="false" outlineLevel="0" collapsed="false">
      <c r="A29" s="30" t="n">
        <f aca="false">IF(03_FRFデータ貼付!B9="","",03_FRFデータ貼付!A9)</f>
        <v>2</v>
      </c>
      <c r="B29" s="61" t="n">
        <f aca="false">IF(03_FRFデータ貼付!B9="","",03_FRFデータ貼付!B9)</f>
        <v>3410</v>
      </c>
      <c r="C29" s="54" t="n">
        <f aca="false">IF(03_FRFデータ貼付!B9="","",03_FRFデータ貼付!E9)</f>
        <v>0.00339227504781083</v>
      </c>
      <c r="D29" s="53" t="n">
        <f aca="false">IF(OR(C29="",$E$7=0),"",C29/$E$7)</f>
        <v>0.260825105863295</v>
      </c>
      <c r="E29" s="9" t="str">
        <f aca="false">IF(C29="","",IF(B29&lt;$E$6,"上り","下り"))</f>
        <v>上り</v>
      </c>
      <c r="F29" s="101" t="str">
        <f aca="false">IF(OR(C29="",C30=""),"",IF(AND(B30&lt;=$E$6,C29&lt;$E$7,C30&gt;=$E$7),B29+(B30-B29)*($E$7-C29)/(C30-C29),""))</f>
        <v/>
      </c>
      <c r="G29" s="101" t="str">
        <f aca="false">IF(OR(C29="",C30=""),"",IF(AND(B29&gt;=$E$6,C29&gt;=$E$7,C30&lt;$E$7),B29+(B30-B29)*($E$7-C29)/(C30-C29),""))</f>
        <v/>
      </c>
      <c r="H29" s="102" t="str">
        <f aca="false">IF(F29&lt;&gt;"","← 下側の半値点",IF(G29&lt;&gt;"","← 上側の半値点",""))</f>
        <v/>
      </c>
      <c r="I29" s="2"/>
      <c r="J29" s="2"/>
      <c r="K29" s="2"/>
      <c r="L29" s="2"/>
      <c r="M29" s="2"/>
      <c r="N29" s="2"/>
    </row>
    <row r="30" customFormat="false" ht="15" hidden="false" customHeight="false" outlineLevel="0" collapsed="false">
      <c r="A30" s="30" t="n">
        <f aca="false">IF(03_FRFデータ貼付!B10="","",03_FRFデータ貼付!A10)</f>
        <v>3</v>
      </c>
      <c r="B30" s="61" t="n">
        <f aca="false">IF(03_FRFデータ貼付!B10="","",03_FRFデータ貼付!B10)</f>
        <v>3420</v>
      </c>
      <c r="C30" s="54" t="n">
        <f aca="false">IF(03_FRFデータ貼付!B10="","",03_FRFデータ貼付!E10)</f>
        <v>0.0038793839717151</v>
      </c>
      <c r="D30" s="53" t="n">
        <f aca="false">IF(OR(C30="",$E$7=0),"",C30/$E$7)</f>
        <v>0.298277916986696</v>
      </c>
      <c r="E30" s="9" t="str">
        <f aca="false">IF(C30="","",IF(B30&lt;$E$6,"上り","下り"))</f>
        <v>上り</v>
      </c>
      <c r="F30" s="101" t="str">
        <f aca="false">IF(OR(C30="",C31=""),"",IF(AND(B31&lt;=$E$6,C30&lt;$E$7,C31&gt;=$E$7),B30+(B31-B30)*($E$7-C30)/(C31-C30),""))</f>
        <v/>
      </c>
      <c r="G30" s="101" t="str">
        <f aca="false">IF(OR(C30="",C31=""),"",IF(AND(B30&gt;=$E$6,C30&gt;=$E$7,C31&lt;$E$7),B30+(B31-B30)*($E$7-C30)/(C31-C30),""))</f>
        <v/>
      </c>
      <c r="H30" s="102" t="str">
        <f aca="false">IF(F30&lt;&gt;"","← 下側の半値点",IF(G30&lt;&gt;"","← 上側の半値点",""))</f>
        <v/>
      </c>
      <c r="I30" s="2"/>
      <c r="J30" s="2"/>
      <c r="K30" s="2"/>
      <c r="L30" s="2"/>
      <c r="M30" s="2"/>
      <c r="N30" s="2"/>
    </row>
    <row r="31" customFormat="false" ht="15" hidden="false" customHeight="false" outlineLevel="0" collapsed="false">
      <c r="A31" s="30" t="n">
        <f aca="false">IF(03_FRFデータ貼付!B11="","",03_FRFデータ貼付!A11)</f>
        <v>4</v>
      </c>
      <c r="B31" s="61" t="n">
        <f aca="false">IF(03_FRFデータ貼付!B11="","",03_FRFデータ貼付!B11)</f>
        <v>3430</v>
      </c>
      <c r="C31" s="54" t="n">
        <f aca="false">IF(03_FRFデータ貼付!B11="","",03_FRFデータ貼付!E11)</f>
        <v>0.00452467192180825</v>
      </c>
      <c r="D31" s="53" t="n">
        <f aca="false">IF(OR(C31="",$E$7=0),"",C31/$E$7)</f>
        <v>0.347892790640285</v>
      </c>
      <c r="E31" s="9" t="str">
        <f aca="false">IF(C31="","",IF(B31&lt;$E$6,"上り","下り"))</f>
        <v>上り</v>
      </c>
      <c r="F31" s="101" t="str">
        <f aca="false">IF(OR(C31="",C32=""),"",IF(AND(B32&lt;=$E$6,C31&lt;$E$7,C32&gt;=$E$7),B31+(B32-B31)*($E$7-C31)/(C32-C31),""))</f>
        <v/>
      </c>
      <c r="G31" s="101" t="str">
        <f aca="false">IF(OR(C31="",C32=""),"",IF(AND(B31&gt;=$E$6,C31&gt;=$E$7,C32&lt;$E$7),B31+(B32-B31)*($E$7-C31)/(C32-C31),""))</f>
        <v/>
      </c>
      <c r="H31" s="102" t="str">
        <f aca="false">IF(F31&lt;&gt;"","← 下側の半値点",IF(G31&lt;&gt;"","← 上側の半値点",""))</f>
        <v/>
      </c>
      <c r="I31" s="2"/>
      <c r="J31" s="2"/>
      <c r="K31" s="2"/>
      <c r="L31" s="2"/>
      <c r="M31" s="2"/>
      <c r="N31" s="2"/>
    </row>
    <row r="32" customFormat="false" ht="15" hidden="false" customHeight="false" outlineLevel="0" collapsed="false">
      <c r="A32" s="30" t="n">
        <f aca="false">IF(03_FRFデータ貼付!B12="","",03_FRFデータ貼付!A12)</f>
        <v>5</v>
      </c>
      <c r="B32" s="61" t="n">
        <f aca="false">IF(03_FRFデータ貼付!B12="","",03_FRFデータ貼付!B12)</f>
        <v>3440</v>
      </c>
      <c r="C32" s="54" t="n">
        <f aca="false">IF(03_FRFデータ貼付!B12="","",03_FRFデータ貼付!E12)</f>
        <v>0.0054869402220181</v>
      </c>
      <c r="D32" s="53" t="n">
        <f aca="false">IF(OR(C32="",$E$7=0),"",C32/$E$7)</f>
        <v>0.42187963655748</v>
      </c>
      <c r="E32" s="9" t="str">
        <f aca="false">IF(C32="","",IF(B32&lt;$E$6,"上り","下り"))</f>
        <v>上り</v>
      </c>
      <c r="F32" s="101" t="str">
        <f aca="false">IF(OR(C32="",C33=""),"",IF(AND(B33&lt;=$E$6,C32&lt;$E$7,C33&gt;=$E$7),B32+(B33-B32)*($E$7-C32)/(C33-C32),""))</f>
        <v/>
      </c>
      <c r="G32" s="101" t="str">
        <f aca="false">IF(OR(C32="",C33=""),"",IF(AND(B32&gt;=$E$6,C32&gt;=$E$7,C33&lt;$E$7),B32+(B33-B32)*($E$7-C32)/(C33-C32),""))</f>
        <v/>
      </c>
      <c r="H32" s="102" t="str">
        <f aca="false">IF(F32&lt;&gt;"","← 下側の半値点",IF(G32&lt;&gt;"","← 上側の半値点",""))</f>
        <v/>
      </c>
      <c r="I32" s="2"/>
      <c r="J32" s="2"/>
      <c r="K32" s="2"/>
      <c r="L32" s="2"/>
      <c r="M32" s="2"/>
      <c r="N32" s="2"/>
    </row>
    <row r="33" customFormat="false" ht="15" hidden="false" customHeight="false" outlineLevel="0" collapsed="false">
      <c r="A33" s="30" t="n">
        <f aca="false">IF(03_FRFデータ貼付!B13="","",03_FRFデータ貼付!A13)</f>
        <v>6</v>
      </c>
      <c r="B33" s="61" t="n">
        <f aca="false">IF(03_FRFデータ貼付!B13="","",03_FRFデータ貼付!B13)</f>
        <v>3450</v>
      </c>
      <c r="C33" s="54" t="n">
        <f aca="false">IF(03_FRFデータ貼付!B13="","",03_FRFデータ貼付!E13)</f>
        <v>0.00692889399543679</v>
      </c>
      <c r="D33" s="53" t="n">
        <f aca="false">IF(OR(C33="",$E$7=0),"",C33/$E$7)</f>
        <v>0.532748519623026</v>
      </c>
      <c r="E33" s="9" t="str">
        <f aca="false">IF(C33="","",IF(B33&lt;$E$6,"上り","下り"))</f>
        <v>上り</v>
      </c>
      <c r="F33" s="101" t="str">
        <f aca="false">IF(OR(C33="",C34=""),"",IF(AND(B34&lt;=$E$6,C33&lt;$E$7,C34&gt;=$E$7),B33+(B34-B33)*($E$7-C33)/(C34-C33),""))</f>
        <v/>
      </c>
      <c r="G33" s="101" t="str">
        <f aca="false">IF(OR(C33="",C34=""),"",IF(AND(B33&gt;=$E$6,C33&gt;=$E$7,C34&lt;$E$7),B33+(B34-B33)*($E$7-C33)/(C34-C33),""))</f>
        <v/>
      </c>
      <c r="H33" s="102" t="str">
        <f aca="false">IF(F33&lt;&gt;"","← 下側の半値点",IF(G33&lt;&gt;"","← 上側の半値点",""))</f>
        <v/>
      </c>
      <c r="I33" s="2"/>
      <c r="J33" s="2"/>
      <c r="K33" s="2"/>
      <c r="L33" s="2"/>
      <c r="M33" s="2"/>
      <c r="N33" s="2"/>
    </row>
    <row r="34" customFormat="false" ht="15" hidden="false" customHeight="false" outlineLevel="0" collapsed="false">
      <c r="A34" s="30" t="n">
        <f aca="false">IF(03_FRFデータ貼付!B14="","",03_FRFデータ貼付!A14)</f>
        <v>7</v>
      </c>
      <c r="B34" s="61" t="n">
        <f aca="false">IF(03_FRFデータ貼付!B14="","",03_FRFデータ貼付!B14)</f>
        <v>3460</v>
      </c>
      <c r="C34" s="54" t="n">
        <f aca="false">IF(03_FRFデータ貼付!B14="","",03_FRFデータ貼付!E14)</f>
        <v>0.00938218759138827</v>
      </c>
      <c r="D34" s="53" t="n">
        <f aca="false">IF(OR(C34="",$E$7=0),"",C34/$E$7)</f>
        <v>0.721377257817687</v>
      </c>
      <c r="E34" s="9" t="str">
        <f aca="false">IF(C34="","",IF(B34&lt;$E$6,"上り","下り"))</f>
        <v>上り</v>
      </c>
      <c r="F34" s="101" t="n">
        <f aca="false">IF(OR(C34="",C35=""),"",IF(AND(B35&lt;=$E$6,C34&lt;$E$7,C35&gt;=$E$7),B34+(B35-B34)*($E$7-C34)/(C35-C34),""))</f>
        <v>3467.83020074409</v>
      </c>
      <c r="G34" s="101" t="str">
        <f aca="false">IF(OR(C34="",C35=""),"",IF(AND(B34&gt;=$E$6,C34&gt;=$E$7,C35&lt;$E$7),B34+(B35-B34)*($E$7-C34)/(C35-C34),""))</f>
        <v/>
      </c>
      <c r="H34" s="102" t="str">
        <f aca="false">IF(F34&lt;&gt;"","← 下側の半値点",IF(G34&lt;&gt;"","← 上側の半値点",""))</f>
        <v>← 下側の半値点</v>
      </c>
      <c r="I34" s="2"/>
      <c r="J34" s="2"/>
      <c r="K34" s="2"/>
      <c r="L34" s="2"/>
      <c r="M34" s="2"/>
      <c r="N34" s="2"/>
    </row>
    <row r="35" customFormat="false" ht="15" hidden="false" customHeight="false" outlineLevel="0" collapsed="false">
      <c r="A35" s="30" t="n">
        <f aca="false">IF(03_FRFデータ貼付!B15="","",03_FRFデータ貼付!A15)</f>
        <v>8</v>
      </c>
      <c r="B35" s="61" t="n">
        <f aca="false">IF(03_FRFデータ貼付!B15="","",03_FRFデータ貼付!B15)</f>
        <v>3470</v>
      </c>
      <c r="C35" s="54" t="n">
        <f aca="false">IF(03_FRFデータ貼付!B15="","",03_FRFデータ貼付!E15)</f>
        <v>0.0140101021409553</v>
      </c>
      <c r="D35" s="53" t="n">
        <f aca="false">IF(OR(C35="",$E$7=0),"",C35/$E$7)</f>
        <v>1.07720816342072</v>
      </c>
      <c r="E35" s="9" t="str">
        <f aca="false">IF(C35="","",IF(B35&lt;$E$6,"上り","下り"))</f>
        <v>上り</v>
      </c>
      <c r="F35" s="101" t="str">
        <f aca="false">IF(OR(C35="",C36=""),"",IF(AND(B36&lt;=$E$6,C35&lt;$E$7,C36&gt;=$E$7),B35+(B36-B35)*($E$7-C35)/(C36-C35),""))</f>
        <v/>
      </c>
      <c r="G35" s="101" t="str">
        <f aca="false">IF(OR(C35="",C36=""),"",IF(AND(B35&gt;=$E$6,C35&gt;=$E$7,C36&lt;$E$7),B35+(B36-B35)*($E$7-C35)/(C36-C35),""))</f>
        <v/>
      </c>
      <c r="H35" s="102" t="str">
        <f aca="false">IF(F35&lt;&gt;"","← 下側の半値点",IF(G35&lt;&gt;"","← 上側の半値点",""))</f>
        <v/>
      </c>
      <c r="I35" s="2"/>
      <c r="J35" s="2"/>
      <c r="K35" s="2"/>
      <c r="L35" s="2"/>
      <c r="M35" s="2"/>
      <c r="N35" s="2"/>
    </row>
    <row r="36" customFormat="false" ht="15" hidden="false" customHeight="false" outlineLevel="0" collapsed="false">
      <c r="A36" s="30" t="n">
        <f aca="false">IF(03_FRFデータ貼付!B16="","",03_FRFデータ貼付!A16)</f>
        <v>9</v>
      </c>
      <c r="B36" s="61" t="n">
        <f aca="false">IF(03_FRFデータ貼付!B16="","",03_FRFデータ貼付!B16)</f>
        <v>3480</v>
      </c>
      <c r="C36" s="54" t="n">
        <f aca="false">IF(03_FRFデータ貼付!B16="","",03_FRFデータ貼付!E16)</f>
        <v>0.0183931733259924</v>
      </c>
      <c r="D36" s="53" t="n">
        <f aca="false">IF(OR(C36="",$E$7=0),"",C36/$E$7)</f>
        <v>1.4142135623731</v>
      </c>
      <c r="E36" s="9" t="str">
        <f aca="false">IF(C36="","",IF(B36&lt;$E$6,"上り","下り"))</f>
        <v>下り</v>
      </c>
      <c r="F36" s="101" t="str">
        <f aca="false">IF(OR(C36="",C37=""),"",IF(AND(B37&lt;=$E$6,C36&lt;$E$7,C37&gt;=$E$7),B36+(B37-B36)*($E$7-C36)/(C37-C36),""))</f>
        <v/>
      </c>
      <c r="G36" s="101" t="n">
        <f aca="false">IF(OR(C36="",C37=""),"",IF(AND(B36&gt;=$E$6,C36&gt;=$E$7,C37&lt;$E$7),B36+(B37-B36)*($E$7-C36)/(C37-C36),""))</f>
        <v>3489.84750348734</v>
      </c>
      <c r="H36" s="102" t="str">
        <f aca="false">IF(F36&lt;&gt;"","← 下側の半値点",IF(G36&lt;&gt;"","← 上側の半値点",""))</f>
        <v>← 上側の半値点</v>
      </c>
      <c r="I36" s="2"/>
      <c r="J36" s="2"/>
      <c r="K36" s="2"/>
      <c r="L36" s="2"/>
      <c r="M36" s="2"/>
      <c r="N36" s="2"/>
    </row>
    <row r="37" customFormat="false" ht="15" hidden="false" customHeight="false" outlineLevel="0" collapsed="false">
      <c r="A37" s="30" t="n">
        <f aca="false">IF(03_FRFデータ貼付!B17="","",03_FRFデータ貼付!A17)</f>
        <v>10</v>
      </c>
      <c r="B37" s="61" t="n">
        <f aca="false">IF(03_FRFデータ貼付!B17="","",03_FRFデータ貼付!B17)</f>
        <v>3490</v>
      </c>
      <c r="C37" s="54" t="n">
        <f aca="false">IF(03_FRFデータ貼付!B17="","",03_FRFデータ貼付!E17)</f>
        <v>0.0129225119075201</v>
      </c>
      <c r="D37" s="53" t="n">
        <f aca="false">IF(OR(C37="",$E$7=0),"",C37/$E$7)</f>
        <v>0.99358556980035</v>
      </c>
      <c r="E37" s="9" t="str">
        <f aca="false">IF(C37="","",IF(B37&lt;$E$6,"上り","下り"))</f>
        <v>下り</v>
      </c>
      <c r="F37" s="101" t="str">
        <f aca="false">IF(OR(C37="",C38=""),"",IF(AND(B38&lt;=$E$6,C37&lt;$E$7,C38&gt;=$E$7),B37+(B38-B37)*($E$7-C37)/(C38-C37),""))</f>
        <v/>
      </c>
      <c r="G37" s="101" t="str">
        <f aca="false">IF(OR(C37="",C38=""),"",IF(AND(B37&gt;=$E$6,C37&gt;=$E$7,C38&lt;$E$7),B37+(B38-B37)*($E$7-C37)/(C38-C37),""))</f>
        <v/>
      </c>
      <c r="H37" s="102" t="str">
        <f aca="false">IF(F37&lt;&gt;"","← 下側の半値点",IF(G37&lt;&gt;"","← 上側の半値点",""))</f>
        <v/>
      </c>
      <c r="I37" s="2"/>
      <c r="J37" s="2"/>
      <c r="K37" s="2"/>
      <c r="L37" s="2"/>
      <c r="M37" s="2"/>
      <c r="N37" s="2"/>
    </row>
    <row r="38" customFormat="false" ht="15" hidden="false" customHeight="false" outlineLevel="0" collapsed="false">
      <c r="A38" s="30" t="n">
        <f aca="false">IF(03_FRFデータ貼付!B18="","",03_FRFデータ貼付!A18)</f>
        <v>11</v>
      </c>
      <c r="B38" s="61" t="n">
        <f aca="false">IF(03_FRFデータ貼付!B18="","",03_FRFデータ貼付!B18)</f>
        <v>3500</v>
      </c>
      <c r="C38" s="54" t="n">
        <f aca="false">IF(03_FRFデータ貼付!B18="","",03_FRFデータ貼付!E18)</f>
        <v>0.00937656850878828</v>
      </c>
      <c r="D38" s="53" t="n">
        <f aca="false">IF(OR(C38="",$E$7=0),"",C38/$E$7)</f>
        <v>0.720945218023348</v>
      </c>
      <c r="E38" s="9" t="str">
        <f aca="false">IF(C38="","",IF(B38&lt;$E$6,"上り","下り"))</f>
        <v>下り</v>
      </c>
      <c r="F38" s="101" t="str">
        <f aca="false">IF(OR(C38="",C39=""),"",IF(AND(B39&lt;=$E$6,C38&lt;$E$7,C39&gt;=$E$7),B38+(B39-B38)*($E$7-C38)/(C39-C38),""))</f>
        <v/>
      </c>
      <c r="G38" s="101" t="str">
        <f aca="false">IF(OR(C38="",C39=""),"",IF(AND(B38&gt;=$E$6,C38&gt;=$E$7,C39&lt;$E$7),B38+(B39-B38)*($E$7-C38)/(C39-C38),""))</f>
        <v/>
      </c>
      <c r="H38" s="102" t="str">
        <f aca="false">IF(F38&lt;&gt;"","← 下側の半値点",IF(G38&lt;&gt;"","← 上側の半値点",""))</f>
        <v/>
      </c>
      <c r="I38" s="2"/>
      <c r="J38" s="2"/>
      <c r="K38" s="2"/>
      <c r="L38" s="2"/>
      <c r="M38" s="2"/>
      <c r="N38" s="2"/>
    </row>
    <row r="39" customFormat="false" ht="15" hidden="false" customHeight="false" outlineLevel="0" collapsed="false">
      <c r="A39" s="30" t="n">
        <f aca="false">IF(03_FRFデータ貼付!B19="","",03_FRFデータ貼付!A19)</f>
        <v>12</v>
      </c>
      <c r="B39" s="61" t="n">
        <f aca="false">IF(03_FRFデータ貼付!B19="","",03_FRFデータ貼付!B19)</f>
        <v>3510</v>
      </c>
      <c r="C39" s="54" t="n">
        <f aca="false">IF(03_FRFデータ貼付!B19="","",03_FRFデータ貼付!E19)</f>
        <v>0.010275049586255</v>
      </c>
      <c r="D39" s="53" t="n">
        <f aca="false">IF(OR(C39="",$E$7=0),"",C39/$E$7)</f>
        <v>0.79002759455342</v>
      </c>
      <c r="E39" s="9" t="str">
        <f aca="false">IF(C39="","",IF(B39&lt;$E$6,"上り","下り"))</f>
        <v>下り</v>
      </c>
      <c r="F39" s="101" t="str">
        <f aca="false">IF(OR(C39="",C40=""),"",IF(AND(B40&lt;=$E$6,C39&lt;$E$7,C40&gt;=$E$7),B39+(B40-B39)*($E$7-C39)/(C40-C39),""))</f>
        <v/>
      </c>
      <c r="G39" s="101" t="str">
        <f aca="false">IF(OR(C39="",C40=""),"",IF(AND(B39&gt;=$E$6,C39&gt;=$E$7,C40&lt;$E$7),B39+(B40-B39)*($E$7-C39)/(C40-C39),""))</f>
        <v/>
      </c>
      <c r="H39" s="102" t="str">
        <f aca="false">IF(F39&lt;&gt;"","← 下側の半値点",IF(G39&lt;&gt;"","← 上側の半値点",""))</f>
        <v/>
      </c>
      <c r="I39" s="2"/>
      <c r="J39" s="2"/>
      <c r="K39" s="2"/>
      <c r="L39" s="2"/>
      <c r="M39" s="2"/>
      <c r="N39" s="2"/>
    </row>
    <row r="40" customFormat="false" ht="15" hidden="false" customHeight="false" outlineLevel="0" collapsed="false">
      <c r="A40" s="30" t="n">
        <f aca="false">IF(03_FRFデータ貼付!B20="","",03_FRFデータ貼付!A20)</f>
        <v>13</v>
      </c>
      <c r="B40" s="61" t="n">
        <f aca="false">IF(03_FRFデータ貼付!B20="","",03_FRFデータ貼付!B20)</f>
        <v>3520</v>
      </c>
      <c r="C40" s="54" t="n">
        <f aca="false">IF(03_FRFデータ貼付!B20="","",03_FRFデータ貼付!E20)</f>
        <v>0.0125052468988021</v>
      </c>
      <c r="D40" s="53" t="n">
        <f aca="false">IF(OR(C40="",$E$7=0),"",C40/$E$7)</f>
        <v>0.961502914786228</v>
      </c>
      <c r="E40" s="9" t="str">
        <f aca="false">IF(C40="","",IF(B40&lt;$E$6,"上り","下り"))</f>
        <v>下り</v>
      </c>
      <c r="F40" s="101" t="str">
        <f aca="false">IF(OR(C40="",C41=""),"",IF(AND(B41&lt;=$E$6,C40&lt;$E$7,C41&gt;=$E$7),B40+(B41-B40)*($E$7-C40)/(C41-C40),""))</f>
        <v/>
      </c>
      <c r="G40" s="101" t="str">
        <f aca="false">IF(OR(C40="",C41=""),"",IF(AND(B40&gt;=$E$6,C40&gt;=$E$7,C41&lt;$E$7),B40+(B41-B40)*($E$7-C40)/(C41-C40),""))</f>
        <v/>
      </c>
      <c r="H40" s="102" t="str">
        <f aca="false">IF(F40&lt;&gt;"","← 下側の半値点",IF(G40&lt;&gt;"","← 上側の半値点",""))</f>
        <v/>
      </c>
      <c r="I40" s="2"/>
      <c r="J40" s="2"/>
      <c r="K40" s="2"/>
      <c r="L40" s="2"/>
      <c r="M40" s="2"/>
      <c r="N40" s="2"/>
    </row>
    <row r="41" customFormat="false" ht="15" hidden="false" customHeight="false" outlineLevel="0" collapsed="false">
      <c r="A41" s="30" t="n">
        <f aca="false">IF(03_FRFデータ貼付!B21="","",03_FRFデータ貼付!A21)</f>
        <v>14</v>
      </c>
      <c r="B41" s="61" t="n">
        <f aca="false">IF(03_FRFデータ貼付!B21="","",03_FRFデータ貼付!B21)</f>
        <v>3530</v>
      </c>
      <c r="C41" s="54" t="n">
        <f aca="false">IF(03_FRFデータ貼付!B21="","",03_FRFデータ貼付!E21)</f>
        <v>0.0108220166789744</v>
      </c>
      <c r="D41" s="53" t="n">
        <f aca="false">IF(OR(C41="",$E$7=0),"",C41/$E$7)</f>
        <v>0.83208277812538</v>
      </c>
      <c r="E41" s="9" t="str">
        <f aca="false">IF(C41="","",IF(B41&lt;$E$6,"上り","下り"))</f>
        <v>下り</v>
      </c>
      <c r="F41" s="101" t="str">
        <f aca="false">IF(OR(C41="",C42=""),"",IF(AND(B42&lt;=$E$6,C41&lt;$E$7,C42&gt;=$E$7),B41+(B42-B41)*($E$7-C41)/(C42-C41),""))</f>
        <v/>
      </c>
      <c r="G41" s="101" t="str">
        <f aca="false">IF(OR(C41="",C42=""),"",IF(AND(B41&gt;=$E$6,C41&gt;=$E$7,C42&lt;$E$7),B41+(B42-B41)*($E$7-C41)/(C42-C41),""))</f>
        <v/>
      </c>
      <c r="H41" s="102" t="str">
        <f aca="false">IF(F41&lt;&gt;"","← 下側の半値点",IF(G41&lt;&gt;"","← 上側の半値点",""))</f>
        <v/>
      </c>
      <c r="I41" s="2"/>
      <c r="J41" s="2"/>
      <c r="K41" s="2"/>
      <c r="L41" s="2"/>
      <c r="M41" s="2"/>
      <c r="N41" s="2"/>
    </row>
    <row r="42" customFormat="false" ht="15" hidden="false" customHeight="false" outlineLevel="0" collapsed="false">
      <c r="A42" s="30" t="n">
        <f aca="false">IF(03_FRFデータ貼付!B22="","",03_FRFデータ貼付!A22)</f>
        <v>15</v>
      </c>
      <c r="B42" s="61" t="n">
        <f aca="false">IF(03_FRFデータ貼付!B22="","",03_FRFデータ貼付!B22)</f>
        <v>3540</v>
      </c>
      <c r="C42" s="54" t="n">
        <f aca="false">IF(03_FRFデータ貼付!B22="","",03_FRFデータ貼付!E22)</f>
        <v>0.00810850103286668</v>
      </c>
      <c r="D42" s="53" t="n">
        <f aca="false">IF(OR(C42="",$E$7=0),"",C42/$E$7)</f>
        <v>0.623446097525293</v>
      </c>
      <c r="E42" s="9" t="str">
        <f aca="false">IF(C42="","",IF(B42&lt;$E$6,"上り","下り"))</f>
        <v>下り</v>
      </c>
      <c r="F42" s="101" t="str">
        <f aca="false">IF(OR(C42="",C43=""),"",IF(AND(B43&lt;=$E$6,C42&lt;$E$7,C43&gt;=$E$7),B42+(B43-B42)*($E$7-C42)/(C43-C42),""))</f>
        <v/>
      </c>
      <c r="G42" s="101" t="str">
        <f aca="false">IF(OR(C42="",C43=""),"",IF(AND(B42&gt;=$E$6,C42&gt;=$E$7,C43&lt;$E$7),B42+(B43-B42)*($E$7-C42)/(C43-C42),""))</f>
        <v/>
      </c>
      <c r="H42" s="102" t="str">
        <f aca="false">IF(F42&lt;&gt;"","← 下側の半値点",IF(G42&lt;&gt;"","← 上側の半値点",""))</f>
        <v/>
      </c>
      <c r="I42" s="2"/>
      <c r="J42" s="2"/>
      <c r="K42" s="2"/>
      <c r="L42" s="2"/>
      <c r="M42" s="2"/>
      <c r="N42" s="2"/>
    </row>
    <row r="43" customFormat="false" ht="15" hidden="false" customHeight="false" outlineLevel="0" collapsed="false">
      <c r="A43" s="30" t="n">
        <f aca="false">IF(03_FRFデータ貼付!B23="","",03_FRFデータ貼付!A23)</f>
        <v>16</v>
      </c>
      <c r="B43" s="61" t="n">
        <f aca="false">IF(03_FRFデータ貼付!B23="","",03_FRFデータ貼付!B23)</f>
        <v>3550</v>
      </c>
      <c r="C43" s="54" t="n">
        <f aca="false">IF(03_FRFデータ貼付!B23="","",03_FRFデータ貼付!E23)</f>
        <v>0.00630628392954202</v>
      </c>
      <c r="D43" s="53" t="n">
        <f aca="false">IF(OR(C43="",$E$7=0),"",C43/$E$7)</f>
        <v>0.484877302207047</v>
      </c>
      <c r="E43" s="9" t="str">
        <f aca="false">IF(C43="","",IF(B43&lt;$E$6,"上り","下り"))</f>
        <v>下り</v>
      </c>
      <c r="F43" s="101" t="str">
        <f aca="false">IF(OR(C43="",C44=""),"",IF(AND(B44&lt;=$E$6,C43&lt;$E$7,C44&gt;=$E$7),B43+(B44-B43)*($E$7-C43)/(C44-C43),""))</f>
        <v/>
      </c>
      <c r="G43" s="101" t="str">
        <f aca="false">IF(OR(C43="",C44=""),"",IF(AND(B43&gt;=$E$6,C43&gt;=$E$7,C44&lt;$E$7),B43+(B44-B43)*($E$7-C43)/(C44-C43),""))</f>
        <v/>
      </c>
      <c r="H43" s="102" t="str">
        <f aca="false">IF(F43&lt;&gt;"","← 下側の半値点",IF(G43&lt;&gt;"","← 上側の半値点",""))</f>
        <v/>
      </c>
      <c r="I43" s="2"/>
      <c r="J43" s="2"/>
      <c r="K43" s="2"/>
      <c r="L43" s="2"/>
      <c r="M43" s="2"/>
      <c r="N43" s="2"/>
    </row>
    <row r="44" customFormat="false" ht="15" hidden="false" customHeight="false" outlineLevel="0" collapsed="false">
      <c r="A44" s="30" t="n">
        <f aca="false">IF(03_FRFデータ貼付!B24="","",03_FRFデータ貼付!A24)</f>
        <v>17</v>
      </c>
      <c r="B44" s="61" t="n">
        <f aca="false">IF(03_FRFデータ貼付!B24="","",03_FRFデータ貼付!B24)</f>
        <v>3560</v>
      </c>
      <c r="C44" s="54" t="n">
        <f aca="false">IF(03_FRFデータ貼付!B24="","",03_FRFデータ貼付!E24)</f>
        <v>0.00512565937221739</v>
      </c>
      <c r="D44" s="53" t="n">
        <f aca="false">IF(OR(C44="",$E$7=0),"",C44/$E$7)</f>
        <v>0.39410148927651</v>
      </c>
      <c r="E44" s="9" t="str">
        <f aca="false">IF(C44="","",IF(B44&lt;$E$6,"上り","下り"))</f>
        <v>下り</v>
      </c>
      <c r="F44" s="101" t="str">
        <f aca="false">IF(OR(C44="",C45=""),"",IF(AND(B45&lt;=$E$6,C44&lt;$E$7,C45&gt;=$E$7),B44+(B45-B44)*($E$7-C44)/(C45-C44),""))</f>
        <v/>
      </c>
      <c r="G44" s="101" t="str">
        <f aca="false">IF(OR(C44="",C45=""),"",IF(AND(B44&gt;=$E$6,C44&gt;=$E$7,C45&lt;$E$7),B44+(B45-B44)*($E$7-C44)/(C45-C44),""))</f>
        <v/>
      </c>
      <c r="H44" s="102" t="str">
        <f aca="false">IF(F44&lt;&gt;"","← 下側の半値点",IF(G44&lt;&gt;"","← 上側の半値点",""))</f>
        <v/>
      </c>
      <c r="I44" s="2"/>
      <c r="J44" s="2"/>
      <c r="K44" s="2"/>
      <c r="L44" s="2"/>
      <c r="M44" s="2"/>
      <c r="N44" s="2"/>
    </row>
    <row r="45" customFormat="false" ht="15" hidden="false" customHeight="false" outlineLevel="0" collapsed="false">
      <c r="A45" s="30" t="n">
        <f aca="false">IF(03_FRFデータ貼付!B25="","",03_FRFデータ貼付!A25)</f>
        <v>18</v>
      </c>
      <c r="B45" s="61" t="n">
        <f aca="false">IF(03_FRFデータ貼付!B25="","",03_FRFデータ貼付!B25)</f>
        <v>3570</v>
      </c>
      <c r="C45" s="54" t="n">
        <f aca="false">IF(03_FRFデータ貼付!B25="","",03_FRFデータ貼付!E25)</f>
        <v>0.00432015335375956</v>
      </c>
      <c r="D45" s="53" t="n">
        <f aca="false">IF(OR(C45="",$E$7=0),"",C45/$E$7)</f>
        <v>0.332167775300879</v>
      </c>
      <c r="E45" s="9" t="str">
        <f aca="false">IF(C45="","",IF(B45&lt;$E$6,"上り","下り"))</f>
        <v>下り</v>
      </c>
      <c r="F45" s="101" t="str">
        <f aca="false">IF(OR(C45="",C46=""),"",IF(AND(B46&lt;=$E$6,C45&lt;$E$7,C46&gt;=$E$7),B45+(B46-B45)*($E$7-C45)/(C46-C45),""))</f>
        <v/>
      </c>
      <c r="G45" s="101" t="str">
        <f aca="false">IF(OR(C45="",C46=""),"",IF(AND(B45&gt;=$E$6,C45&gt;=$E$7,C46&lt;$E$7),B45+(B46-B45)*($E$7-C45)/(C46-C45),""))</f>
        <v/>
      </c>
      <c r="H45" s="102" t="str">
        <f aca="false">IF(F45&lt;&gt;"","← 下側の半値点",IF(G45&lt;&gt;"","← 上側の半値点",""))</f>
        <v/>
      </c>
      <c r="I45" s="2"/>
      <c r="J45" s="2"/>
      <c r="K45" s="2"/>
      <c r="L45" s="2"/>
      <c r="M45" s="2"/>
      <c r="N45" s="2"/>
    </row>
    <row r="46" customFormat="false" ht="15" hidden="false" customHeight="false" outlineLevel="0" collapsed="false">
      <c r="A46" s="30" t="n">
        <f aca="false">IF(03_FRFデータ貼付!B26="","",03_FRFデータ貼付!A26)</f>
        <v>19</v>
      </c>
      <c r="B46" s="61" t="n">
        <f aca="false">IF(03_FRFデータ貼付!B26="","",03_FRFデータ貼付!B26)</f>
        <v>3580</v>
      </c>
      <c r="C46" s="54" t="n">
        <f aca="false">IF(03_FRFデータ貼付!B26="","",03_FRFデータ貼付!E26)</f>
        <v>0.00373680986939395</v>
      </c>
      <c r="D46" s="53" t="n">
        <f aca="false">IF(OR(C46="",$E$7=0),"",C46/$E$7)</f>
        <v>0.287315685207974</v>
      </c>
      <c r="E46" s="9" t="str">
        <f aca="false">IF(C46="","",IF(B46&lt;$E$6,"上り","下り"))</f>
        <v>下り</v>
      </c>
      <c r="F46" s="101" t="str">
        <f aca="false">IF(OR(C46="",C47=""),"",IF(AND(B47&lt;=$E$6,C46&lt;$E$7,C47&gt;=$E$7),B46+(B47-B46)*($E$7-C46)/(C47-C46),""))</f>
        <v/>
      </c>
      <c r="G46" s="101" t="str">
        <f aca="false">IF(OR(C46="",C47=""),"",IF(AND(B46&gt;=$E$6,C46&gt;=$E$7,C47&lt;$E$7),B46+(B47-B46)*($E$7-C46)/(C47-C46),""))</f>
        <v/>
      </c>
      <c r="H46" s="102" t="str">
        <f aca="false">IF(F46&lt;&gt;"","← 下側の半値点",IF(G46&lt;&gt;"","← 上側の半値点",""))</f>
        <v/>
      </c>
      <c r="I46" s="2"/>
      <c r="J46" s="2"/>
      <c r="K46" s="2"/>
      <c r="L46" s="2"/>
      <c r="M46" s="2"/>
      <c r="N46" s="2"/>
    </row>
    <row r="47" customFormat="false" ht="15" hidden="false" customHeight="false" outlineLevel="0" collapsed="false">
      <c r="A47" s="30" t="n">
        <f aca="false">IF(03_FRFデータ貼付!B27="","",03_FRFデータ貼付!A27)</f>
        <v>20</v>
      </c>
      <c r="B47" s="61" t="n">
        <f aca="false">IF(03_FRFデータ貼付!B27="","",03_FRFデータ貼付!B27)</f>
        <v>3590</v>
      </c>
      <c r="C47" s="54" t="n">
        <f aca="false">IF(03_FRFデータ貼付!B27="","",03_FRFデータ貼付!E27)</f>
        <v>0.00330178330603327</v>
      </c>
      <c r="D47" s="53" t="n">
        <f aca="false">IF(OR(C47="",$E$7=0),"",C47/$E$7)</f>
        <v>0.253867380503107</v>
      </c>
      <c r="E47" s="9" t="str">
        <f aca="false">IF(C47="","",IF(B47&lt;$E$6,"上り","下り"))</f>
        <v>下り</v>
      </c>
      <c r="F47" s="101" t="str">
        <f aca="false">IF(OR(C47="",C48=""),"",IF(AND(B48&lt;=$E$6,C47&lt;$E$7,C48&gt;=$E$7),B47+(B48-B47)*($E$7-C47)/(C48-C47),""))</f>
        <v/>
      </c>
      <c r="G47" s="101" t="str">
        <f aca="false">IF(OR(C47="",C48=""),"",IF(AND(B47&gt;=$E$6,C47&gt;=$E$7,C48&lt;$E$7),B47+(B48-B47)*($E$7-C47)/(C48-C47),""))</f>
        <v/>
      </c>
      <c r="H47" s="102" t="str">
        <f aca="false">IF(F47&lt;&gt;"","← 下側の半値点",IF(G47&lt;&gt;"","← 上側の半値点",""))</f>
        <v/>
      </c>
      <c r="I47" s="2"/>
      <c r="J47" s="2"/>
      <c r="K47" s="2"/>
      <c r="L47" s="2"/>
      <c r="M47" s="2"/>
      <c r="N47" s="2"/>
    </row>
    <row r="48" customFormat="false" ht="15" hidden="false" customHeight="false" outlineLevel="0" collapsed="false">
      <c r="A48" s="30" t="n">
        <f aca="false">IF(03_FRFデータ貼付!B28="","",03_FRFデータ貼付!A28)</f>
        <v>21</v>
      </c>
      <c r="B48" s="61" t="n">
        <f aca="false">IF(03_FRFデータ貼付!B28="","",03_FRFデータ貼付!B28)</f>
        <v>3600</v>
      </c>
      <c r="C48" s="54" t="n">
        <f aca="false">IF(03_FRFデータ貼付!B28="","",03_FRFデータ貼付!E28)</f>
        <v>0.002959212395216</v>
      </c>
      <c r="D48" s="53" t="n">
        <f aca="false">IF(OR(C48="",$E$7=0),"",C48/$E$7)</f>
        <v>0.227527802249492</v>
      </c>
      <c r="E48" s="9" t="str">
        <f aca="false">IF(C48="","",IF(B48&lt;$E$6,"上り","下り"))</f>
        <v>下り</v>
      </c>
      <c r="F48" s="101" t="str">
        <f aca="false">IF(OR(C48="",C49=""),"",IF(AND(B49&lt;=$E$6,C48&lt;$E$7,C49&gt;=$E$7),B48+(B49-B48)*($E$7-C48)/(C49-C48),""))</f>
        <v/>
      </c>
      <c r="G48" s="101" t="str">
        <f aca="false">IF(OR(C48="",C49=""),"",IF(AND(B48&gt;=$E$6,C48&gt;=$E$7,C49&lt;$E$7),B48+(B49-B48)*($E$7-C48)/(C49-C48),""))</f>
        <v/>
      </c>
      <c r="H48" s="102" t="str">
        <f aca="false">IF(F48&lt;&gt;"","← 下側の半値点",IF(G48&lt;&gt;"","← 上側の半値点",""))</f>
        <v/>
      </c>
      <c r="I48" s="2"/>
      <c r="J48" s="2"/>
      <c r="K48" s="2"/>
      <c r="L48" s="2"/>
      <c r="M48" s="2"/>
      <c r="N48" s="2"/>
    </row>
    <row r="49" customFormat="false" ht="15" hidden="false" customHeight="false" outlineLevel="0" collapsed="false">
      <c r="A49" s="30" t="str">
        <f aca="false">IF(03_FRFデータ貼付!B29="","",03_FRFデータ貼付!A29)</f>
        <v/>
      </c>
      <c r="B49" s="61" t="str">
        <f aca="false">IF(03_FRFデータ貼付!B29="","",03_FRFデータ貼付!B29)</f>
        <v/>
      </c>
      <c r="C49" s="54" t="str">
        <f aca="false">IF(03_FRFデータ貼付!B29="","",03_FRFデータ貼付!E29)</f>
        <v/>
      </c>
      <c r="D49" s="53" t="str">
        <f aca="false">IF(OR(C49="",$E$7=0),"",C49/$E$7)</f>
        <v/>
      </c>
      <c r="E49" s="9" t="str">
        <f aca="false">IF(C49="","",IF(B49&lt;$E$6,"上り","下り"))</f>
        <v/>
      </c>
      <c r="F49" s="101" t="str">
        <f aca="false">IF(OR(C49="",C50=""),"",IF(AND(B50&lt;=$E$6,C49&lt;$E$7,C50&gt;=$E$7),B49+(B50-B49)*($E$7-C49)/(C50-C49),""))</f>
        <v/>
      </c>
      <c r="G49" s="101" t="str">
        <f aca="false">IF(OR(C49="",C50=""),"",IF(AND(B49&gt;=$E$6,C49&gt;=$E$7,C50&lt;$E$7),B49+(B50-B49)*($E$7-C49)/(C50-C49),""))</f>
        <v/>
      </c>
      <c r="H49" s="102" t="str">
        <f aca="false">IF(F49&lt;&gt;"","← 下側の半値点",IF(G49&lt;&gt;"","← 上側の半値点",""))</f>
        <v/>
      </c>
      <c r="I49" s="2"/>
      <c r="J49" s="2"/>
      <c r="K49" s="2"/>
      <c r="L49" s="2"/>
      <c r="M49" s="2"/>
      <c r="N49" s="2"/>
    </row>
    <row r="50" customFormat="false" ht="15" hidden="false" customHeight="false" outlineLevel="0" collapsed="false">
      <c r="A50" s="30" t="str">
        <f aca="false">IF(03_FRFデータ貼付!B30="","",03_FRFデータ貼付!A30)</f>
        <v/>
      </c>
      <c r="B50" s="61" t="str">
        <f aca="false">IF(03_FRFデータ貼付!B30="","",03_FRFデータ貼付!B30)</f>
        <v/>
      </c>
      <c r="C50" s="54" t="str">
        <f aca="false">IF(03_FRFデータ貼付!B30="","",03_FRFデータ貼付!E30)</f>
        <v/>
      </c>
      <c r="D50" s="53" t="str">
        <f aca="false">IF(OR(C50="",$E$7=0),"",C50/$E$7)</f>
        <v/>
      </c>
      <c r="E50" s="9" t="str">
        <f aca="false">IF(C50="","",IF(B50&lt;$E$6,"上り","下り"))</f>
        <v/>
      </c>
      <c r="F50" s="101" t="str">
        <f aca="false">IF(OR(C50="",C51=""),"",IF(AND(B51&lt;=$E$6,C50&lt;$E$7,C51&gt;=$E$7),B50+(B51-B50)*($E$7-C50)/(C51-C50),""))</f>
        <v/>
      </c>
      <c r="G50" s="101" t="str">
        <f aca="false">IF(OR(C50="",C51=""),"",IF(AND(B50&gt;=$E$6,C50&gt;=$E$7,C51&lt;$E$7),B50+(B51-B50)*($E$7-C50)/(C51-C50),""))</f>
        <v/>
      </c>
      <c r="H50" s="102" t="str">
        <f aca="false">IF(F50&lt;&gt;"","← 下側の半値点",IF(G50&lt;&gt;"","← 上側の半値点",""))</f>
        <v/>
      </c>
      <c r="I50" s="2"/>
      <c r="J50" s="2"/>
      <c r="K50" s="2"/>
      <c r="L50" s="2"/>
      <c r="M50" s="2"/>
      <c r="N50" s="2"/>
    </row>
    <row r="51" customFormat="false" ht="15" hidden="false" customHeight="false" outlineLevel="0" collapsed="false">
      <c r="A51" s="30" t="str">
        <f aca="false">IF(03_FRFデータ貼付!B31="","",03_FRFデータ貼付!A31)</f>
        <v/>
      </c>
      <c r="B51" s="61" t="str">
        <f aca="false">IF(03_FRFデータ貼付!B31="","",03_FRFデータ貼付!B31)</f>
        <v/>
      </c>
      <c r="C51" s="54" t="str">
        <f aca="false">IF(03_FRFデータ貼付!B31="","",03_FRFデータ貼付!E31)</f>
        <v/>
      </c>
      <c r="D51" s="53" t="str">
        <f aca="false">IF(OR(C51="",$E$7=0),"",C51/$E$7)</f>
        <v/>
      </c>
      <c r="E51" s="9" t="str">
        <f aca="false">IF(C51="","",IF(B51&lt;$E$6,"上り","下り"))</f>
        <v/>
      </c>
      <c r="F51" s="101" t="str">
        <f aca="false">IF(OR(C51="",C52=""),"",IF(AND(B52&lt;=$E$6,C51&lt;$E$7,C52&gt;=$E$7),B51+(B52-B51)*($E$7-C51)/(C52-C51),""))</f>
        <v/>
      </c>
      <c r="G51" s="101" t="str">
        <f aca="false">IF(OR(C51="",C52=""),"",IF(AND(B51&gt;=$E$6,C51&gt;=$E$7,C52&lt;$E$7),B51+(B52-B51)*($E$7-C51)/(C52-C51),""))</f>
        <v/>
      </c>
      <c r="H51" s="102" t="str">
        <f aca="false">IF(F51&lt;&gt;"","← 下側の半値点",IF(G51&lt;&gt;"","← 上側の半値点",""))</f>
        <v/>
      </c>
      <c r="I51" s="2"/>
      <c r="J51" s="2"/>
      <c r="K51" s="2"/>
      <c r="L51" s="2"/>
      <c r="M51" s="2"/>
      <c r="N51" s="2"/>
    </row>
    <row r="52" customFormat="false" ht="15" hidden="false" customHeight="false" outlineLevel="0" collapsed="false">
      <c r="A52" s="30" t="str">
        <f aca="false">IF(03_FRFデータ貼付!B32="","",03_FRFデータ貼付!A32)</f>
        <v/>
      </c>
      <c r="B52" s="61" t="str">
        <f aca="false">IF(03_FRFデータ貼付!B32="","",03_FRFデータ貼付!B32)</f>
        <v/>
      </c>
      <c r="C52" s="54" t="str">
        <f aca="false">IF(03_FRFデータ貼付!B32="","",03_FRFデータ貼付!E32)</f>
        <v/>
      </c>
      <c r="D52" s="53" t="str">
        <f aca="false">IF(OR(C52="",$E$7=0),"",C52/$E$7)</f>
        <v/>
      </c>
      <c r="E52" s="9" t="str">
        <f aca="false">IF(C52="","",IF(B52&lt;$E$6,"上り","下り"))</f>
        <v/>
      </c>
      <c r="F52" s="101" t="str">
        <f aca="false">IF(OR(C52="",C53=""),"",IF(AND(B53&lt;=$E$6,C52&lt;$E$7,C53&gt;=$E$7),B52+(B53-B52)*($E$7-C52)/(C53-C52),""))</f>
        <v/>
      </c>
      <c r="G52" s="101" t="str">
        <f aca="false">IF(OR(C52="",C53=""),"",IF(AND(B52&gt;=$E$6,C52&gt;=$E$7,C53&lt;$E$7),B52+(B53-B52)*($E$7-C52)/(C53-C52),""))</f>
        <v/>
      </c>
      <c r="H52" s="102" t="str">
        <f aca="false">IF(F52&lt;&gt;"","← 下側の半値点",IF(G52&lt;&gt;"","← 上側の半値点",""))</f>
        <v/>
      </c>
      <c r="I52" s="2"/>
      <c r="J52" s="2"/>
      <c r="K52" s="2"/>
      <c r="L52" s="2"/>
      <c r="M52" s="2"/>
      <c r="N52" s="2"/>
    </row>
    <row r="53" customFormat="false" ht="15" hidden="false" customHeight="false" outlineLevel="0" collapsed="false">
      <c r="A53" s="30" t="str">
        <f aca="false">IF(03_FRFデータ貼付!B33="","",03_FRFデータ貼付!A33)</f>
        <v/>
      </c>
      <c r="B53" s="61" t="str">
        <f aca="false">IF(03_FRFデータ貼付!B33="","",03_FRFデータ貼付!B33)</f>
        <v/>
      </c>
      <c r="C53" s="54" t="str">
        <f aca="false">IF(03_FRFデータ貼付!B33="","",03_FRFデータ貼付!E33)</f>
        <v/>
      </c>
      <c r="D53" s="53" t="str">
        <f aca="false">IF(OR(C53="",$E$7=0),"",C53/$E$7)</f>
        <v/>
      </c>
      <c r="E53" s="9" t="str">
        <f aca="false">IF(C53="","",IF(B53&lt;$E$6,"上り","下り"))</f>
        <v/>
      </c>
      <c r="F53" s="101" t="str">
        <f aca="false">IF(OR(C53="",C54=""),"",IF(AND(B54&lt;=$E$6,C53&lt;$E$7,C54&gt;=$E$7),B53+(B54-B53)*($E$7-C53)/(C54-C53),""))</f>
        <v/>
      </c>
      <c r="G53" s="101" t="str">
        <f aca="false">IF(OR(C53="",C54=""),"",IF(AND(B53&gt;=$E$6,C53&gt;=$E$7,C54&lt;$E$7),B53+(B54-B53)*($E$7-C53)/(C54-C53),""))</f>
        <v/>
      </c>
      <c r="H53" s="102" t="str">
        <f aca="false">IF(F53&lt;&gt;"","← 下側の半値点",IF(G53&lt;&gt;"","← 上側の半値点",""))</f>
        <v/>
      </c>
      <c r="I53" s="2"/>
      <c r="J53" s="2"/>
      <c r="K53" s="2"/>
      <c r="L53" s="2"/>
      <c r="M53" s="2"/>
      <c r="N53" s="2"/>
    </row>
    <row r="54" customFormat="false" ht="15" hidden="false" customHeight="false" outlineLevel="0" collapsed="false">
      <c r="A54" s="30" t="str">
        <f aca="false">IF(03_FRFデータ貼付!B34="","",03_FRFデータ貼付!A34)</f>
        <v/>
      </c>
      <c r="B54" s="61" t="str">
        <f aca="false">IF(03_FRFデータ貼付!B34="","",03_FRFデータ貼付!B34)</f>
        <v/>
      </c>
      <c r="C54" s="54" t="str">
        <f aca="false">IF(03_FRFデータ貼付!B34="","",03_FRFデータ貼付!E34)</f>
        <v/>
      </c>
      <c r="D54" s="53" t="str">
        <f aca="false">IF(OR(C54="",$E$7=0),"",C54/$E$7)</f>
        <v/>
      </c>
      <c r="E54" s="9" t="str">
        <f aca="false">IF(C54="","",IF(B54&lt;$E$6,"上り","下り"))</f>
        <v/>
      </c>
      <c r="F54" s="101" t="str">
        <f aca="false">IF(OR(C54="",C55=""),"",IF(AND(B55&lt;=$E$6,C54&lt;$E$7,C55&gt;=$E$7),B54+(B55-B54)*($E$7-C54)/(C55-C54),""))</f>
        <v/>
      </c>
      <c r="G54" s="101" t="str">
        <f aca="false">IF(OR(C54="",C55=""),"",IF(AND(B54&gt;=$E$6,C54&gt;=$E$7,C55&lt;$E$7),B54+(B55-B54)*($E$7-C54)/(C55-C54),""))</f>
        <v/>
      </c>
      <c r="H54" s="102" t="str">
        <f aca="false">IF(F54&lt;&gt;"","← 下側の半値点",IF(G54&lt;&gt;"","← 上側の半値点",""))</f>
        <v/>
      </c>
      <c r="I54" s="2"/>
      <c r="J54" s="2"/>
      <c r="K54" s="2"/>
      <c r="L54" s="2"/>
      <c r="M54" s="2"/>
      <c r="N54" s="2"/>
    </row>
    <row r="55" customFormat="false" ht="15" hidden="false" customHeight="false" outlineLevel="0" collapsed="false">
      <c r="A55" s="30" t="str">
        <f aca="false">IF(03_FRFデータ貼付!B35="","",03_FRFデータ貼付!A35)</f>
        <v/>
      </c>
      <c r="B55" s="61" t="str">
        <f aca="false">IF(03_FRFデータ貼付!B35="","",03_FRFデータ貼付!B35)</f>
        <v/>
      </c>
      <c r="C55" s="54" t="str">
        <f aca="false">IF(03_FRFデータ貼付!B35="","",03_FRFデータ貼付!E35)</f>
        <v/>
      </c>
      <c r="D55" s="53" t="str">
        <f aca="false">IF(OR(C55="",$E$7=0),"",C55/$E$7)</f>
        <v/>
      </c>
      <c r="E55" s="9" t="str">
        <f aca="false">IF(C55="","",IF(B55&lt;$E$6,"上り","下り"))</f>
        <v/>
      </c>
      <c r="F55" s="101" t="str">
        <f aca="false">IF(OR(C55="",C56=""),"",IF(AND(B56&lt;=$E$6,C55&lt;$E$7,C56&gt;=$E$7),B55+(B56-B55)*($E$7-C55)/(C56-C55),""))</f>
        <v/>
      </c>
      <c r="G55" s="101" t="str">
        <f aca="false">IF(OR(C55="",C56=""),"",IF(AND(B55&gt;=$E$6,C55&gt;=$E$7,C56&lt;$E$7),B55+(B56-B55)*($E$7-C55)/(C56-C55),""))</f>
        <v/>
      </c>
      <c r="H55" s="102" t="str">
        <f aca="false">IF(F55&lt;&gt;"","← 下側の半値点",IF(G55&lt;&gt;"","← 上側の半値点",""))</f>
        <v/>
      </c>
      <c r="I55" s="2"/>
      <c r="J55" s="2"/>
      <c r="K55" s="2"/>
      <c r="L55" s="2"/>
      <c r="M55" s="2"/>
      <c r="N55" s="2"/>
    </row>
    <row r="56" customFormat="false" ht="15" hidden="false" customHeight="false" outlineLevel="0" collapsed="false">
      <c r="A56" s="30" t="str">
        <f aca="false">IF(03_FRFデータ貼付!B36="","",03_FRFデータ貼付!A36)</f>
        <v/>
      </c>
      <c r="B56" s="61" t="str">
        <f aca="false">IF(03_FRFデータ貼付!B36="","",03_FRFデータ貼付!B36)</f>
        <v/>
      </c>
      <c r="C56" s="54" t="str">
        <f aca="false">IF(03_FRFデータ貼付!B36="","",03_FRFデータ貼付!E36)</f>
        <v/>
      </c>
      <c r="D56" s="53" t="str">
        <f aca="false">IF(OR(C56="",$E$7=0),"",C56/$E$7)</f>
        <v/>
      </c>
      <c r="E56" s="9" t="str">
        <f aca="false">IF(C56="","",IF(B56&lt;$E$6,"上り","下り"))</f>
        <v/>
      </c>
      <c r="F56" s="101" t="str">
        <f aca="false">IF(OR(C56="",C57=""),"",IF(AND(B57&lt;=$E$6,C56&lt;$E$7,C57&gt;=$E$7),B56+(B57-B56)*($E$7-C56)/(C57-C56),""))</f>
        <v/>
      </c>
      <c r="G56" s="101" t="str">
        <f aca="false">IF(OR(C56="",C57=""),"",IF(AND(B56&gt;=$E$6,C56&gt;=$E$7,C57&lt;$E$7),B56+(B57-B56)*($E$7-C56)/(C57-C56),""))</f>
        <v/>
      </c>
      <c r="H56" s="102" t="str">
        <f aca="false">IF(F56&lt;&gt;"","← 下側の半値点",IF(G56&lt;&gt;"","← 上側の半値点",""))</f>
        <v/>
      </c>
      <c r="I56" s="2"/>
      <c r="J56" s="2"/>
      <c r="K56" s="2"/>
      <c r="L56" s="2"/>
      <c r="M56" s="2"/>
      <c r="N56" s="2"/>
    </row>
    <row r="57" customFormat="false" ht="15" hidden="false" customHeight="false" outlineLevel="0" collapsed="false">
      <c r="A57" s="30" t="str">
        <f aca="false">IF(03_FRFデータ貼付!B37="","",03_FRFデータ貼付!A37)</f>
        <v/>
      </c>
      <c r="B57" s="61" t="str">
        <f aca="false">IF(03_FRFデータ貼付!B37="","",03_FRFデータ貼付!B37)</f>
        <v/>
      </c>
      <c r="C57" s="54" t="str">
        <f aca="false">IF(03_FRFデータ貼付!B37="","",03_FRFデータ貼付!E37)</f>
        <v/>
      </c>
      <c r="D57" s="53" t="str">
        <f aca="false">IF(OR(C57="",$E$7=0),"",C57/$E$7)</f>
        <v/>
      </c>
      <c r="E57" s="9" t="str">
        <f aca="false">IF(C57="","",IF(B57&lt;$E$6,"上り","下り"))</f>
        <v/>
      </c>
      <c r="F57" s="101" t="str">
        <f aca="false">IF(OR(C57="",C58=""),"",IF(AND(B58&lt;=$E$6,C57&lt;$E$7,C58&gt;=$E$7),B57+(B58-B57)*($E$7-C57)/(C58-C57),""))</f>
        <v/>
      </c>
      <c r="G57" s="101" t="str">
        <f aca="false">IF(OR(C57="",C58=""),"",IF(AND(B57&gt;=$E$6,C57&gt;=$E$7,C58&lt;$E$7),B57+(B58-B57)*($E$7-C57)/(C58-C57),""))</f>
        <v/>
      </c>
      <c r="H57" s="102" t="str">
        <f aca="false">IF(F57&lt;&gt;"","← 下側の半値点",IF(G57&lt;&gt;"","← 上側の半値点",""))</f>
        <v/>
      </c>
      <c r="I57" s="2"/>
      <c r="J57" s="2"/>
      <c r="K57" s="2"/>
      <c r="L57" s="2"/>
      <c r="M57" s="2"/>
      <c r="N57" s="2"/>
    </row>
    <row r="58" customFormat="false" ht="15" hidden="false" customHeight="false" outlineLevel="0" collapsed="false">
      <c r="A58" s="30" t="str">
        <f aca="false">IF(03_FRFデータ貼付!B38="","",03_FRFデータ貼付!A38)</f>
        <v/>
      </c>
      <c r="B58" s="61" t="str">
        <f aca="false">IF(03_FRFデータ貼付!B38="","",03_FRFデータ貼付!B38)</f>
        <v/>
      </c>
      <c r="C58" s="54" t="str">
        <f aca="false">IF(03_FRFデータ貼付!B38="","",03_FRFデータ貼付!E38)</f>
        <v/>
      </c>
      <c r="D58" s="53" t="str">
        <f aca="false">IF(OR(C58="",$E$7=0),"",C58/$E$7)</f>
        <v/>
      </c>
      <c r="E58" s="9" t="str">
        <f aca="false">IF(C58="","",IF(B58&lt;$E$6,"上り","下り"))</f>
        <v/>
      </c>
      <c r="F58" s="101" t="str">
        <f aca="false">IF(OR(C58="",C59=""),"",IF(AND(B59&lt;=$E$6,C58&lt;$E$7,C59&gt;=$E$7),B58+(B59-B58)*($E$7-C58)/(C59-C58),""))</f>
        <v/>
      </c>
      <c r="G58" s="101" t="str">
        <f aca="false">IF(OR(C58="",C59=""),"",IF(AND(B58&gt;=$E$6,C58&gt;=$E$7,C59&lt;$E$7),B58+(B59-B58)*($E$7-C58)/(C59-C58),""))</f>
        <v/>
      </c>
      <c r="H58" s="102" t="str">
        <f aca="false">IF(F58&lt;&gt;"","← 下側の半値点",IF(G58&lt;&gt;"","← 上側の半値点",""))</f>
        <v/>
      </c>
      <c r="I58" s="2"/>
      <c r="J58" s="2"/>
      <c r="K58" s="2"/>
      <c r="L58" s="2"/>
      <c r="M58" s="2"/>
      <c r="N58" s="2"/>
    </row>
    <row r="59" customFormat="false" ht="15" hidden="false" customHeight="false" outlineLevel="0" collapsed="false">
      <c r="A59" s="30" t="str">
        <f aca="false">IF(03_FRFデータ貼付!B39="","",03_FRFデータ貼付!A39)</f>
        <v/>
      </c>
      <c r="B59" s="61" t="str">
        <f aca="false">IF(03_FRFデータ貼付!B39="","",03_FRFデータ貼付!B39)</f>
        <v/>
      </c>
      <c r="C59" s="54" t="str">
        <f aca="false">IF(03_FRFデータ貼付!B39="","",03_FRFデータ貼付!E39)</f>
        <v/>
      </c>
      <c r="D59" s="53" t="str">
        <f aca="false">IF(OR(C59="",$E$7=0),"",C59/$E$7)</f>
        <v/>
      </c>
      <c r="E59" s="9" t="str">
        <f aca="false">IF(C59="","",IF(B59&lt;$E$6,"上り","下り"))</f>
        <v/>
      </c>
      <c r="F59" s="101" t="str">
        <f aca="false">IF(OR(C59="",C60=""),"",IF(AND(B60&lt;=$E$6,C59&lt;$E$7,C60&gt;=$E$7),B59+(B60-B59)*($E$7-C59)/(C60-C59),""))</f>
        <v/>
      </c>
      <c r="G59" s="101" t="str">
        <f aca="false">IF(OR(C59="",C60=""),"",IF(AND(B59&gt;=$E$6,C59&gt;=$E$7,C60&lt;$E$7),B59+(B60-B59)*($E$7-C59)/(C60-C59),""))</f>
        <v/>
      </c>
      <c r="H59" s="102" t="str">
        <f aca="false">IF(F59&lt;&gt;"","← 下側の半値点",IF(G59&lt;&gt;"","← 上側の半値点",""))</f>
        <v/>
      </c>
      <c r="I59" s="2"/>
      <c r="J59" s="2"/>
      <c r="K59" s="2"/>
      <c r="L59" s="2"/>
      <c r="M59" s="2"/>
      <c r="N59" s="2"/>
    </row>
    <row r="60" customFormat="false" ht="15" hidden="false" customHeight="false" outlineLevel="0" collapsed="false">
      <c r="A60" s="30" t="str">
        <f aca="false">IF(03_FRFデータ貼付!B40="","",03_FRFデータ貼付!A40)</f>
        <v/>
      </c>
      <c r="B60" s="61" t="str">
        <f aca="false">IF(03_FRFデータ貼付!B40="","",03_FRFデータ貼付!B40)</f>
        <v/>
      </c>
      <c r="C60" s="54" t="str">
        <f aca="false">IF(03_FRFデータ貼付!B40="","",03_FRFデータ貼付!E40)</f>
        <v/>
      </c>
      <c r="D60" s="53" t="str">
        <f aca="false">IF(OR(C60="",$E$7=0),"",C60/$E$7)</f>
        <v/>
      </c>
      <c r="E60" s="9" t="str">
        <f aca="false">IF(C60="","",IF(B60&lt;$E$6,"上り","下り"))</f>
        <v/>
      </c>
      <c r="F60" s="101" t="str">
        <f aca="false">IF(OR(C60="",C61=""),"",IF(AND(B61&lt;=$E$6,C60&lt;$E$7,C61&gt;=$E$7),B60+(B61-B60)*($E$7-C60)/(C61-C60),""))</f>
        <v/>
      </c>
      <c r="G60" s="101" t="str">
        <f aca="false">IF(OR(C60="",C61=""),"",IF(AND(B60&gt;=$E$6,C60&gt;=$E$7,C61&lt;$E$7),B60+(B61-B60)*($E$7-C60)/(C61-C60),""))</f>
        <v/>
      </c>
      <c r="H60" s="102" t="str">
        <f aca="false">IF(F60&lt;&gt;"","← 下側の半値点",IF(G60&lt;&gt;"","← 上側の半値点",""))</f>
        <v/>
      </c>
      <c r="I60" s="2"/>
      <c r="J60" s="2"/>
      <c r="K60" s="2"/>
      <c r="L60" s="2"/>
      <c r="M60" s="2"/>
      <c r="N60" s="2"/>
    </row>
    <row r="61" customFormat="false" ht="15" hidden="false" customHeight="false" outlineLevel="0" collapsed="false">
      <c r="A61" s="30" t="str">
        <f aca="false">IF(03_FRFデータ貼付!B41="","",03_FRFデータ貼付!A41)</f>
        <v/>
      </c>
      <c r="B61" s="61" t="str">
        <f aca="false">IF(03_FRFデータ貼付!B41="","",03_FRFデータ貼付!B41)</f>
        <v/>
      </c>
      <c r="C61" s="54" t="str">
        <f aca="false">IF(03_FRFデータ貼付!B41="","",03_FRFデータ貼付!E41)</f>
        <v/>
      </c>
      <c r="D61" s="53" t="str">
        <f aca="false">IF(OR(C61="",$E$7=0),"",C61/$E$7)</f>
        <v/>
      </c>
      <c r="E61" s="9" t="str">
        <f aca="false">IF(C61="","",IF(B61&lt;$E$6,"上り","下り"))</f>
        <v/>
      </c>
      <c r="F61" s="101" t="str">
        <f aca="false">IF(OR(C61="",C62=""),"",IF(AND(B62&lt;=$E$6,C61&lt;$E$7,C62&gt;=$E$7),B61+(B62-B61)*($E$7-C61)/(C62-C61),""))</f>
        <v/>
      </c>
      <c r="G61" s="101" t="str">
        <f aca="false">IF(OR(C61="",C62=""),"",IF(AND(B61&gt;=$E$6,C61&gt;=$E$7,C62&lt;$E$7),B61+(B62-B61)*($E$7-C61)/(C62-C61),""))</f>
        <v/>
      </c>
      <c r="H61" s="102" t="str">
        <f aca="false">IF(F61&lt;&gt;"","← 下側の半値点",IF(G61&lt;&gt;"","← 上側の半値点",""))</f>
        <v/>
      </c>
      <c r="I61" s="2"/>
      <c r="J61" s="2"/>
      <c r="K61" s="2"/>
      <c r="L61" s="2"/>
      <c r="M61" s="2"/>
      <c r="N61" s="2"/>
    </row>
    <row r="62" customFormat="false" ht="15" hidden="false" customHeight="false" outlineLevel="0" collapsed="false">
      <c r="A62" s="30" t="str">
        <f aca="false">IF(03_FRFデータ貼付!B42="","",03_FRFデータ貼付!A42)</f>
        <v/>
      </c>
      <c r="B62" s="61" t="str">
        <f aca="false">IF(03_FRFデータ貼付!B42="","",03_FRFデータ貼付!B42)</f>
        <v/>
      </c>
      <c r="C62" s="54" t="str">
        <f aca="false">IF(03_FRFデータ貼付!B42="","",03_FRFデータ貼付!E42)</f>
        <v/>
      </c>
      <c r="D62" s="53" t="str">
        <f aca="false">IF(OR(C62="",$E$7=0),"",C62/$E$7)</f>
        <v/>
      </c>
      <c r="E62" s="9" t="str">
        <f aca="false">IF(C62="","",IF(B62&lt;$E$6,"上り","下り"))</f>
        <v/>
      </c>
      <c r="F62" s="101" t="str">
        <f aca="false">IF(OR(C62="",C63=""),"",IF(AND(B63&lt;=$E$6,C62&lt;$E$7,C63&gt;=$E$7),B62+(B63-B62)*($E$7-C62)/(C63-C62),""))</f>
        <v/>
      </c>
      <c r="G62" s="101" t="str">
        <f aca="false">IF(OR(C62="",C63=""),"",IF(AND(B62&gt;=$E$6,C62&gt;=$E$7,C63&lt;$E$7),B62+(B63-B62)*($E$7-C62)/(C63-C62),""))</f>
        <v/>
      </c>
      <c r="H62" s="102" t="str">
        <f aca="false">IF(F62&lt;&gt;"","← 下側の半値点",IF(G62&lt;&gt;"","← 上側の半値点",""))</f>
        <v/>
      </c>
      <c r="I62" s="2"/>
      <c r="J62" s="2"/>
      <c r="K62" s="2"/>
      <c r="L62" s="2"/>
      <c r="M62" s="2"/>
      <c r="N62" s="2"/>
    </row>
    <row r="63" customFormat="false" ht="15" hidden="false" customHeight="false" outlineLevel="0" collapsed="false">
      <c r="A63" s="30" t="str">
        <f aca="false">IF(03_FRFデータ貼付!B43="","",03_FRFデータ貼付!A43)</f>
        <v/>
      </c>
      <c r="B63" s="61" t="str">
        <f aca="false">IF(03_FRFデータ貼付!B43="","",03_FRFデータ貼付!B43)</f>
        <v/>
      </c>
      <c r="C63" s="54" t="str">
        <f aca="false">IF(03_FRFデータ貼付!B43="","",03_FRFデータ貼付!E43)</f>
        <v/>
      </c>
      <c r="D63" s="53" t="str">
        <f aca="false">IF(OR(C63="",$E$7=0),"",C63/$E$7)</f>
        <v/>
      </c>
      <c r="E63" s="9" t="str">
        <f aca="false">IF(C63="","",IF(B63&lt;$E$6,"上り","下り"))</f>
        <v/>
      </c>
      <c r="F63" s="101" t="str">
        <f aca="false">IF(OR(C63="",C64=""),"",IF(AND(B64&lt;=$E$6,C63&lt;$E$7,C64&gt;=$E$7),B63+(B64-B63)*($E$7-C63)/(C64-C63),""))</f>
        <v/>
      </c>
      <c r="G63" s="101" t="str">
        <f aca="false">IF(OR(C63="",C64=""),"",IF(AND(B63&gt;=$E$6,C63&gt;=$E$7,C64&lt;$E$7),B63+(B64-B63)*($E$7-C63)/(C64-C63),""))</f>
        <v/>
      </c>
      <c r="H63" s="102" t="str">
        <f aca="false">IF(F63&lt;&gt;"","← 下側の半値点",IF(G63&lt;&gt;"","← 上側の半値点",""))</f>
        <v/>
      </c>
      <c r="I63" s="2"/>
      <c r="J63" s="2"/>
      <c r="K63" s="2"/>
      <c r="L63" s="2"/>
      <c r="M63" s="2"/>
      <c r="N63" s="2"/>
    </row>
    <row r="64" customFormat="false" ht="15" hidden="false" customHeight="false" outlineLevel="0" collapsed="false">
      <c r="A64" s="30" t="str">
        <f aca="false">IF(03_FRFデータ貼付!B44="","",03_FRFデータ貼付!A44)</f>
        <v/>
      </c>
      <c r="B64" s="61" t="str">
        <f aca="false">IF(03_FRFデータ貼付!B44="","",03_FRFデータ貼付!B44)</f>
        <v/>
      </c>
      <c r="C64" s="54" t="str">
        <f aca="false">IF(03_FRFデータ貼付!B44="","",03_FRFデータ貼付!E44)</f>
        <v/>
      </c>
      <c r="D64" s="53" t="str">
        <f aca="false">IF(OR(C64="",$E$7=0),"",C64/$E$7)</f>
        <v/>
      </c>
      <c r="E64" s="9" t="str">
        <f aca="false">IF(C64="","",IF(B64&lt;$E$6,"上り","下り"))</f>
        <v/>
      </c>
      <c r="F64" s="101" t="str">
        <f aca="false">IF(OR(C64="",C65=""),"",IF(AND(B65&lt;=$E$6,C64&lt;$E$7,C65&gt;=$E$7),B64+(B65-B64)*($E$7-C64)/(C65-C64),""))</f>
        <v/>
      </c>
      <c r="G64" s="101" t="str">
        <f aca="false">IF(OR(C64="",C65=""),"",IF(AND(B64&gt;=$E$6,C64&gt;=$E$7,C65&lt;$E$7),B64+(B65-B64)*($E$7-C64)/(C65-C64),""))</f>
        <v/>
      </c>
      <c r="H64" s="102" t="str">
        <f aca="false">IF(F64&lt;&gt;"","← 下側の半値点",IF(G64&lt;&gt;"","← 上側の半値点",""))</f>
        <v/>
      </c>
      <c r="I64" s="2"/>
      <c r="J64" s="2"/>
      <c r="K64" s="2"/>
      <c r="L64" s="2"/>
      <c r="M64" s="2"/>
      <c r="N64" s="2"/>
    </row>
    <row r="65" customFormat="false" ht="15" hidden="false" customHeight="false" outlineLevel="0" collapsed="false">
      <c r="A65" s="30" t="str">
        <f aca="false">IF(03_FRFデータ貼付!B45="","",03_FRFデータ貼付!A45)</f>
        <v/>
      </c>
      <c r="B65" s="61" t="str">
        <f aca="false">IF(03_FRFデータ貼付!B45="","",03_FRFデータ貼付!B45)</f>
        <v/>
      </c>
      <c r="C65" s="54" t="str">
        <f aca="false">IF(03_FRFデータ貼付!B45="","",03_FRFデータ貼付!E45)</f>
        <v/>
      </c>
      <c r="D65" s="53" t="str">
        <f aca="false">IF(OR(C65="",$E$7=0),"",C65/$E$7)</f>
        <v/>
      </c>
      <c r="E65" s="9" t="str">
        <f aca="false">IF(C65="","",IF(B65&lt;$E$6,"上り","下り"))</f>
        <v/>
      </c>
      <c r="F65" s="101" t="str">
        <f aca="false">IF(OR(C65="",C66=""),"",IF(AND(B66&lt;=$E$6,C65&lt;$E$7,C66&gt;=$E$7),B65+(B66-B65)*($E$7-C65)/(C66-C65),""))</f>
        <v/>
      </c>
      <c r="G65" s="101" t="str">
        <f aca="false">IF(OR(C65="",C66=""),"",IF(AND(B65&gt;=$E$6,C65&gt;=$E$7,C66&lt;$E$7),B65+(B66-B65)*($E$7-C65)/(C66-C65),""))</f>
        <v/>
      </c>
      <c r="H65" s="102" t="str">
        <f aca="false">IF(F65&lt;&gt;"","← 下側の半値点",IF(G65&lt;&gt;"","← 上側の半値点",""))</f>
        <v/>
      </c>
      <c r="I65" s="2"/>
      <c r="J65" s="2"/>
      <c r="K65" s="2"/>
      <c r="L65" s="2"/>
      <c r="M65" s="2"/>
      <c r="N65" s="2"/>
    </row>
    <row r="66" customFormat="false" ht="15" hidden="false" customHeight="false" outlineLevel="0" collapsed="false">
      <c r="A66" s="30" t="str">
        <f aca="false">IF(03_FRFデータ貼付!B46="","",03_FRFデータ貼付!A46)</f>
        <v/>
      </c>
      <c r="B66" s="61" t="str">
        <f aca="false">IF(03_FRFデータ貼付!B46="","",03_FRFデータ貼付!B46)</f>
        <v/>
      </c>
      <c r="C66" s="54" t="str">
        <f aca="false">IF(03_FRFデータ貼付!B46="","",03_FRFデータ貼付!E46)</f>
        <v/>
      </c>
      <c r="D66" s="53" t="str">
        <f aca="false">IF(OR(C66="",$E$7=0),"",C66/$E$7)</f>
        <v/>
      </c>
      <c r="E66" s="9" t="str">
        <f aca="false">IF(C66="","",IF(B66&lt;$E$6,"上り","下り"))</f>
        <v/>
      </c>
      <c r="F66" s="101" t="str">
        <f aca="false">IF(OR(C66="",C67=""),"",IF(AND(B67&lt;=$E$6,C66&lt;$E$7,C67&gt;=$E$7),B66+(B67-B66)*($E$7-C66)/(C67-C66),""))</f>
        <v/>
      </c>
      <c r="G66" s="101" t="str">
        <f aca="false">IF(OR(C66="",C67=""),"",IF(AND(B66&gt;=$E$6,C66&gt;=$E$7,C67&lt;$E$7),B66+(B67-B66)*($E$7-C66)/(C67-C66),""))</f>
        <v/>
      </c>
      <c r="H66" s="102" t="str">
        <f aca="false">IF(F66&lt;&gt;"","← 下側の半値点",IF(G66&lt;&gt;"","← 上側の半値点",""))</f>
        <v/>
      </c>
      <c r="I66" s="2"/>
      <c r="J66" s="2"/>
      <c r="K66" s="2"/>
      <c r="L66" s="2"/>
      <c r="M66" s="2"/>
      <c r="N66" s="2"/>
    </row>
    <row r="67" customFormat="false" ht="15" hidden="false" customHeight="false" outlineLevel="0" collapsed="false">
      <c r="A67" s="30" t="str">
        <f aca="false">IF(03_FRFデータ貼付!B47="","",03_FRFデータ貼付!A47)</f>
        <v/>
      </c>
      <c r="B67" s="61" t="str">
        <f aca="false">IF(03_FRFデータ貼付!B47="","",03_FRFデータ貼付!B47)</f>
        <v/>
      </c>
      <c r="C67" s="54" t="str">
        <f aca="false">IF(03_FRFデータ貼付!B47="","",03_FRFデータ貼付!E47)</f>
        <v/>
      </c>
      <c r="D67" s="53" t="str">
        <f aca="false">IF(OR(C67="",$E$7=0),"",C67/$E$7)</f>
        <v/>
      </c>
      <c r="E67" s="9" t="str">
        <f aca="false">IF(C67="","",IF(B67&lt;$E$6,"上り","下り"))</f>
        <v/>
      </c>
      <c r="F67" s="101" t="str">
        <f aca="false">IF(OR(C67="",C68=""),"",IF(AND(B68&lt;=$E$6,C67&lt;$E$7,C68&gt;=$E$7),B67+(B68-B67)*($E$7-C67)/(C68-C67),""))</f>
        <v/>
      </c>
      <c r="G67" s="101" t="str">
        <f aca="false">IF(OR(C67="",C68=""),"",IF(AND(B67&gt;=$E$6,C67&gt;=$E$7,C68&lt;$E$7),B67+(B68-B67)*($E$7-C67)/(C68-C67),""))</f>
        <v/>
      </c>
      <c r="H67" s="102" t="str">
        <f aca="false">IF(F67&lt;&gt;"","← 下側の半値点",IF(G67&lt;&gt;"","← 上側の半値点",""))</f>
        <v/>
      </c>
      <c r="I67" s="2"/>
      <c r="J67" s="2"/>
      <c r="K67" s="2"/>
      <c r="L67" s="2"/>
      <c r="M67" s="2"/>
      <c r="N67" s="2"/>
    </row>
    <row r="68" customFormat="false" ht="15" hidden="false" customHeight="false" outlineLevel="0" collapsed="false">
      <c r="A68" s="30" t="str">
        <f aca="false">IF(03_FRFデータ貼付!B48="","",03_FRFデータ貼付!A48)</f>
        <v/>
      </c>
      <c r="B68" s="61" t="str">
        <f aca="false">IF(03_FRFデータ貼付!B48="","",03_FRFデータ貼付!B48)</f>
        <v/>
      </c>
      <c r="C68" s="54" t="str">
        <f aca="false">IF(03_FRFデータ貼付!B48="","",03_FRFデータ貼付!E48)</f>
        <v/>
      </c>
      <c r="D68" s="53" t="str">
        <f aca="false">IF(OR(C68="",$E$7=0),"",C68/$E$7)</f>
        <v/>
      </c>
      <c r="E68" s="9" t="str">
        <f aca="false">IF(C68="","",IF(B68&lt;$E$6,"上り","下り"))</f>
        <v/>
      </c>
      <c r="F68" s="101" t="str">
        <f aca="false">IF(OR(C68="",C69=""),"",IF(AND(B69&lt;=$E$6,C68&lt;$E$7,C69&gt;=$E$7),B68+(B69-B68)*($E$7-C68)/(C69-C68),""))</f>
        <v/>
      </c>
      <c r="G68" s="101" t="str">
        <f aca="false">IF(OR(C68="",C69=""),"",IF(AND(B68&gt;=$E$6,C68&gt;=$E$7,C69&lt;$E$7),B68+(B69-B68)*($E$7-C68)/(C69-C68),""))</f>
        <v/>
      </c>
      <c r="H68" s="102" t="str">
        <f aca="false">IF(F68&lt;&gt;"","← 下側の半値点",IF(G68&lt;&gt;"","← 上側の半値点",""))</f>
        <v/>
      </c>
      <c r="I68" s="2"/>
      <c r="J68" s="2"/>
      <c r="K68" s="2"/>
      <c r="L68" s="2"/>
      <c r="M68" s="2"/>
      <c r="N68" s="2"/>
    </row>
    <row r="69" customFormat="false" ht="15" hidden="false" customHeight="false" outlineLevel="0" collapsed="false">
      <c r="A69" s="30" t="str">
        <f aca="false">IF(03_FRFデータ貼付!B49="","",03_FRFデータ貼付!A49)</f>
        <v/>
      </c>
      <c r="B69" s="61" t="str">
        <f aca="false">IF(03_FRFデータ貼付!B49="","",03_FRFデータ貼付!B49)</f>
        <v/>
      </c>
      <c r="C69" s="54" t="str">
        <f aca="false">IF(03_FRFデータ貼付!B49="","",03_FRFデータ貼付!E49)</f>
        <v/>
      </c>
      <c r="D69" s="53" t="str">
        <f aca="false">IF(OR(C69="",$E$7=0),"",C69/$E$7)</f>
        <v/>
      </c>
      <c r="E69" s="9" t="str">
        <f aca="false">IF(C69="","",IF(B69&lt;$E$6,"上り","下り"))</f>
        <v/>
      </c>
      <c r="F69" s="101" t="str">
        <f aca="false">IF(OR(C69="",C70=""),"",IF(AND(B70&lt;=$E$6,C69&lt;$E$7,C70&gt;=$E$7),B69+(B70-B69)*($E$7-C69)/(C70-C69),""))</f>
        <v/>
      </c>
      <c r="G69" s="101" t="str">
        <f aca="false">IF(OR(C69="",C70=""),"",IF(AND(B69&gt;=$E$6,C69&gt;=$E$7,C70&lt;$E$7),B69+(B70-B69)*($E$7-C69)/(C70-C69),""))</f>
        <v/>
      </c>
      <c r="H69" s="102" t="str">
        <f aca="false">IF(F69&lt;&gt;"","← 下側の半値点",IF(G69&lt;&gt;"","← 上側の半値点",""))</f>
        <v/>
      </c>
      <c r="I69" s="2"/>
      <c r="J69" s="2"/>
      <c r="K69" s="2"/>
      <c r="L69" s="2"/>
      <c r="M69" s="2"/>
      <c r="N69" s="2"/>
    </row>
    <row r="70" customFormat="false" ht="15" hidden="false" customHeight="false" outlineLevel="0" collapsed="false">
      <c r="A70" s="30" t="str">
        <f aca="false">IF(03_FRFデータ貼付!B50="","",03_FRFデータ貼付!A50)</f>
        <v/>
      </c>
      <c r="B70" s="61" t="str">
        <f aca="false">IF(03_FRFデータ貼付!B50="","",03_FRFデータ貼付!B50)</f>
        <v/>
      </c>
      <c r="C70" s="54" t="str">
        <f aca="false">IF(03_FRFデータ貼付!B50="","",03_FRFデータ貼付!E50)</f>
        <v/>
      </c>
      <c r="D70" s="53" t="str">
        <f aca="false">IF(OR(C70="",$E$7=0),"",C70/$E$7)</f>
        <v/>
      </c>
      <c r="E70" s="9" t="str">
        <f aca="false">IF(C70="","",IF(B70&lt;$E$6,"上り","下り"))</f>
        <v/>
      </c>
      <c r="F70" s="101" t="str">
        <f aca="false">IF(OR(C70="",C71=""),"",IF(AND(B71&lt;=$E$6,C70&lt;$E$7,C71&gt;=$E$7),B70+(B71-B70)*($E$7-C70)/(C71-C70),""))</f>
        <v/>
      </c>
      <c r="G70" s="101" t="str">
        <f aca="false">IF(OR(C70="",C71=""),"",IF(AND(B70&gt;=$E$6,C70&gt;=$E$7,C71&lt;$E$7),B70+(B71-B70)*($E$7-C70)/(C71-C70),""))</f>
        <v/>
      </c>
      <c r="H70" s="102" t="str">
        <f aca="false">IF(F70&lt;&gt;"","← 下側の半値点",IF(G70&lt;&gt;"","← 上側の半値点",""))</f>
        <v/>
      </c>
      <c r="I70" s="2"/>
      <c r="J70" s="2"/>
      <c r="K70" s="2"/>
      <c r="L70" s="2"/>
      <c r="M70" s="2"/>
      <c r="N70" s="2"/>
    </row>
    <row r="71" customFormat="false" ht="15" hidden="false" customHeight="false" outlineLevel="0" collapsed="false">
      <c r="A71" s="30" t="str">
        <f aca="false">IF(03_FRFデータ貼付!B51="","",03_FRFデータ貼付!A51)</f>
        <v/>
      </c>
      <c r="B71" s="61" t="str">
        <f aca="false">IF(03_FRFデータ貼付!B51="","",03_FRFデータ貼付!B51)</f>
        <v/>
      </c>
      <c r="C71" s="54" t="str">
        <f aca="false">IF(03_FRFデータ貼付!B51="","",03_FRFデータ貼付!E51)</f>
        <v/>
      </c>
      <c r="D71" s="53" t="str">
        <f aca="false">IF(OR(C71="",$E$7=0),"",C71/$E$7)</f>
        <v/>
      </c>
      <c r="E71" s="9" t="str">
        <f aca="false">IF(C71="","",IF(B71&lt;$E$6,"上り","下り"))</f>
        <v/>
      </c>
      <c r="F71" s="101" t="str">
        <f aca="false">IF(OR(C71="",C72=""),"",IF(AND(B72&lt;=$E$6,C71&lt;$E$7,C72&gt;=$E$7),B71+(B72-B71)*($E$7-C71)/(C72-C71),""))</f>
        <v/>
      </c>
      <c r="G71" s="101" t="str">
        <f aca="false">IF(OR(C71="",C72=""),"",IF(AND(B71&gt;=$E$6,C71&gt;=$E$7,C72&lt;$E$7),B71+(B72-B71)*($E$7-C71)/(C72-C71),""))</f>
        <v/>
      </c>
      <c r="H71" s="102" t="str">
        <f aca="false">IF(F71&lt;&gt;"","← 下側の半値点",IF(G71&lt;&gt;"","← 上側の半値点",""))</f>
        <v/>
      </c>
      <c r="I71" s="2"/>
      <c r="J71" s="2"/>
      <c r="K71" s="2"/>
      <c r="L71" s="2"/>
      <c r="M71" s="2"/>
      <c r="N71" s="2"/>
    </row>
    <row r="72" customFormat="false" ht="15" hidden="false" customHeight="false" outlineLevel="0" collapsed="false">
      <c r="A72" s="30" t="str">
        <f aca="false">IF(03_FRFデータ貼付!B52="","",03_FRFデータ貼付!A52)</f>
        <v/>
      </c>
      <c r="B72" s="61" t="str">
        <f aca="false">IF(03_FRFデータ貼付!B52="","",03_FRFデータ貼付!B52)</f>
        <v/>
      </c>
      <c r="C72" s="54" t="str">
        <f aca="false">IF(03_FRFデータ貼付!B52="","",03_FRFデータ貼付!E52)</f>
        <v/>
      </c>
      <c r="D72" s="53" t="str">
        <f aca="false">IF(OR(C72="",$E$7=0),"",C72/$E$7)</f>
        <v/>
      </c>
      <c r="E72" s="9" t="str">
        <f aca="false">IF(C72="","",IF(B72&lt;$E$6,"上り","下り"))</f>
        <v/>
      </c>
      <c r="F72" s="101" t="str">
        <f aca="false">IF(OR(C72="",C73=""),"",IF(AND(B73&lt;=$E$6,C72&lt;$E$7,C73&gt;=$E$7),B72+(B73-B72)*($E$7-C72)/(C73-C72),""))</f>
        <v/>
      </c>
      <c r="G72" s="101" t="str">
        <f aca="false">IF(OR(C72="",C73=""),"",IF(AND(B72&gt;=$E$6,C72&gt;=$E$7,C73&lt;$E$7),B72+(B73-B72)*($E$7-C72)/(C73-C72),""))</f>
        <v/>
      </c>
      <c r="H72" s="102" t="str">
        <f aca="false">IF(F72&lt;&gt;"","← 下側の半値点",IF(G72&lt;&gt;"","← 上側の半値点",""))</f>
        <v/>
      </c>
      <c r="I72" s="2"/>
      <c r="J72" s="2"/>
      <c r="K72" s="2"/>
      <c r="L72" s="2"/>
      <c r="M72" s="2"/>
      <c r="N72" s="2"/>
    </row>
    <row r="73" customFormat="false" ht="15" hidden="false" customHeight="false" outlineLevel="0" collapsed="false">
      <c r="A73" s="30" t="str">
        <f aca="false">IF(03_FRFデータ貼付!B53="","",03_FRFデータ貼付!A53)</f>
        <v/>
      </c>
      <c r="B73" s="61" t="str">
        <f aca="false">IF(03_FRFデータ貼付!B53="","",03_FRFデータ貼付!B53)</f>
        <v/>
      </c>
      <c r="C73" s="54" t="str">
        <f aca="false">IF(03_FRFデータ貼付!B53="","",03_FRFデータ貼付!E53)</f>
        <v/>
      </c>
      <c r="D73" s="53" t="str">
        <f aca="false">IF(OR(C73="",$E$7=0),"",C73/$E$7)</f>
        <v/>
      </c>
      <c r="E73" s="9" t="str">
        <f aca="false">IF(C73="","",IF(B73&lt;$E$6,"上り","下り"))</f>
        <v/>
      </c>
      <c r="F73" s="101" t="str">
        <f aca="false">IF(OR(C73="",C74=""),"",IF(AND(B74&lt;=$E$6,C73&lt;$E$7,C74&gt;=$E$7),B73+(B74-B73)*($E$7-C73)/(C74-C73),""))</f>
        <v/>
      </c>
      <c r="G73" s="101" t="str">
        <f aca="false">IF(OR(C73="",C74=""),"",IF(AND(B73&gt;=$E$6,C73&gt;=$E$7,C74&lt;$E$7),B73+(B74-B73)*($E$7-C73)/(C74-C73),""))</f>
        <v/>
      </c>
      <c r="H73" s="102" t="str">
        <f aca="false">IF(F73&lt;&gt;"","← 下側の半値点",IF(G73&lt;&gt;"","← 上側の半値点",""))</f>
        <v/>
      </c>
      <c r="I73" s="2"/>
      <c r="J73" s="2"/>
      <c r="K73" s="2"/>
      <c r="L73" s="2"/>
      <c r="M73" s="2"/>
      <c r="N73" s="2"/>
    </row>
    <row r="74" customFormat="false" ht="15" hidden="false" customHeight="false" outlineLevel="0" collapsed="false">
      <c r="A74" s="30" t="str">
        <f aca="false">IF(03_FRFデータ貼付!B54="","",03_FRFデータ貼付!A54)</f>
        <v/>
      </c>
      <c r="B74" s="61" t="str">
        <f aca="false">IF(03_FRFデータ貼付!B54="","",03_FRFデータ貼付!B54)</f>
        <v/>
      </c>
      <c r="C74" s="54" t="str">
        <f aca="false">IF(03_FRFデータ貼付!B54="","",03_FRFデータ貼付!E54)</f>
        <v/>
      </c>
      <c r="D74" s="53" t="str">
        <f aca="false">IF(OR(C74="",$E$7=0),"",C74/$E$7)</f>
        <v/>
      </c>
      <c r="E74" s="9" t="str">
        <f aca="false">IF(C74="","",IF(B74&lt;$E$6,"上り","下り"))</f>
        <v/>
      </c>
      <c r="F74" s="101" t="str">
        <f aca="false">IF(OR(C74="",C75=""),"",IF(AND(B75&lt;=$E$6,C74&lt;$E$7,C75&gt;=$E$7),B74+(B75-B74)*($E$7-C74)/(C75-C74),""))</f>
        <v/>
      </c>
      <c r="G74" s="101" t="str">
        <f aca="false">IF(OR(C74="",C75=""),"",IF(AND(B74&gt;=$E$6,C74&gt;=$E$7,C75&lt;$E$7),B74+(B75-B74)*($E$7-C74)/(C75-C74),""))</f>
        <v/>
      </c>
      <c r="H74" s="102" t="str">
        <f aca="false">IF(F74&lt;&gt;"","← 下側の半値点",IF(G74&lt;&gt;"","← 上側の半値点",""))</f>
        <v/>
      </c>
      <c r="I74" s="2"/>
      <c r="J74" s="2"/>
      <c r="K74" s="2"/>
      <c r="L74" s="2"/>
      <c r="M74" s="2"/>
      <c r="N74" s="2"/>
    </row>
    <row r="75" customFormat="false" ht="15" hidden="false" customHeight="false" outlineLevel="0" collapsed="false">
      <c r="A75" s="30" t="str">
        <f aca="false">IF(03_FRFデータ貼付!B55="","",03_FRFデータ貼付!A55)</f>
        <v/>
      </c>
      <c r="B75" s="61" t="str">
        <f aca="false">IF(03_FRFデータ貼付!B55="","",03_FRFデータ貼付!B55)</f>
        <v/>
      </c>
      <c r="C75" s="54" t="str">
        <f aca="false">IF(03_FRFデータ貼付!B55="","",03_FRFデータ貼付!E55)</f>
        <v/>
      </c>
      <c r="D75" s="53" t="str">
        <f aca="false">IF(OR(C75="",$E$7=0),"",C75/$E$7)</f>
        <v/>
      </c>
      <c r="E75" s="9" t="str">
        <f aca="false">IF(C75="","",IF(B75&lt;$E$6,"上り","下り"))</f>
        <v/>
      </c>
      <c r="F75" s="101" t="str">
        <f aca="false">IF(OR(C75="",C76=""),"",IF(AND(B76&lt;=$E$6,C75&lt;$E$7,C76&gt;=$E$7),B75+(B76-B75)*($E$7-C75)/(C76-C75),""))</f>
        <v/>
      </c>
      <c r="G75" s="101" t="str">
        <f aca="false">IF(OR(C75="",C76=""),"",IF(AND(B75&gt;=$E$6,C75&gt;=$E$7,C76&lt;$E$7),B75+(B76-B75)*($E$7-C75)/(C76-C75),""))</f>
        <v/>
      </c>
      <c r="H75" s="102" t="str">
        <f aca="false">IF(F75&lt;&gt;"","← 下側の半値点",IF(G75&lt;&gt;"","← 上側の半値点",""))</f>
        <v/>
      </c>
      <c r="I75" s="2"/>
      <c r="J75" s="2"/>
      <c r="K75" s="2"/>
      <c r="L75" s="2"/>
      <c r="M75" s="2"/>
      <c r="N75" s="2"/>
    </row>
    <row r="76" customFormat="false" ht="15" hidden="false" customHeight="false" outlineLevel="0" collapsed="false">
      <c r="A76" s="30" t="str">
        <f aca="false">IF(03_FRFデータ貼付!B56="","",03_FRFデータ貼付!A56)</f>
        <v/>
      </c>
      <c r="B76" s="61" t="str">
        <f aca="false">IF(03_FRFデータ貼付!B56="","",03_FRFデータ貼付!B56)</f>
        <v/>
      </c>
      <c r="C76" s="54" t="str">
        <f aca="false">IF(03_FRFデータ貼付!B56="","",03_FRFデータ貼付!E56)</f>
        <v/>
      </c>
      <c r="D76" s="53" t="str">
        <f aca="false">IF(OR(C76="",$E$7=0),"",C76/$E$7)</f>
        <v/>
      </c>
      <c r="E76" s="9" t="str">
        <f aca="false">IF(C76="","",IF(B76&lt;$E$6,"上り","下り"))</f>
        <v/>
      </c>
      <c r="F76" s="101" t="str">
        <f aca="false">IF(OR(C76="",C77=""),"",IF(AND(B77&lt;=$E$6,C76&lt;$E$7,C77&gt;=$E$7),B76+(B77-B76)*($E$7-C76)/(C77-C76),""))</f>
        <v/>
      </c>
      <c r="G76" s="101" t="str">
        <f aca="false">IF(OR(C76="",C77=""),"",IF(AND(B76&gt;=$E$6,C76&gt;=$E$7,C77&lt;$E$7),B76+(B77-B76)*($E$7-C76)/(C77-C76),""))</f>
        <v/>
      </c>
      <c r="H76" s="102" t="str">
        <f aca="false">IF(F76&lt;&gt;"","← 下側の半値点",IF(G76&lt;&gt;"","← 上側の半値点",""))</f>
        <v/>
      </c>
      <c r="I76" s="2"/>
      <c r="J76" s="2"/>
      <c r="K76" s="2"/>
      <c r="L76" s="2"/>
      <c r="M76" s="2"/>
      <c r="N76" s="2"/>
    </row>
    <row r="77" customFormat="false" ht="15" hidden="false" customHeight="false" outlineLevel="0" collapsed="false">
      <c r="A77" s="30" t="str">
        <f aca="false">IF(03_FRFデータ貼付!B57="","",03_FRFデータ貼付!A57)</f>
        <v/>
      </c>
      <c r="B77" s="61" t="str">
        <f aca="false">IF(03_FRFデータ貼付!B57="","",03_FRFデータ貼付!B57)</f>
        <v/>
      </c>
      <c r="C77" s="54" t="str">
        <f aca="false">IF(03_FRFデータ貼付!B57="","",03_FRFデータ貼付!E57)</f>
        <v/>
      </c>
      <c r="D77" s="53" t="str">
        <f aca="false">IF(OR(C77="",$E$7=0),"",C77/$E$7)</f>
        <v/>
      </c>
      <c r="E77" s="9" t="str">
        <f aca="false">IF(C77="","",IF(B77&lt;$E$6,"上り","下り"))</f>
        <v/>
      </c>
      <c r="F77" s="101" t="str">
        <f aca="false">IF(OR(C77="",C78=""),"",IF(AND(B78&lt;=$E$6,C77&lt;$E$7,C78&gt;=$E$7),B77+(B78-B77)*($E$7-C77)/(C78-C77),""))</f>
        <v/>
      </c>
      <c r="G77" s="101" t="str">
        <f aca="false">IF(OR(C77="",C78=""),"",IF(AND(B77&gt;=$E$6,C77&gt;=$E$7,C78&lt;$E$7),B77+(B78-B77)*($E$7-C77)/(C78-C77),""))</f>
        <v/>
      </c>
      <c r="H77" s="102" t="str">
        <f aca="false">IF(F77&lt;&gt;"","← 下側の半値点",IF(G77&lt;&gt;"","← 上側の半値点",""))</f>
        <v/>
      </c>
      <c r="I77" s="2"/>
      <c r="J77" s="2"/>
      <c r="K77" s="2"/>
      <c r="L77" s="2"/>
      <c r="M77" s="2"/>
      <c r="N77" s="2"/>
    </row>
    <row r="78" customFormat="false" ht="15" hidden="false" customHeight="false" outlineLevel="0" collapsed="false">
      <c r="A78" s="30" t="str">
        <f aca="false">IF(03_FRFデータ貼付!B58="","",03_FRFデータ貼付!A58)</f>
        <v/>
      </c>
      <c r="B78" s="61" t="str">
        <f aca="false">IF(03_FRFデータ貼付!B58="","",03_FRFデータ貼付!B58)</f>
        <v/>
      </c>
      <c r="C78" s="54" t="str">
        <f aca="false">IF(03_FRFデータ貼付!B58="","",03_FRFデータ貼付!E58)</f>
        <v/>
      </c>
      <c r="D78" s="53" t="str">
        <f aca="false">IF(OR(C78="",$E$7=0),"",C78/$E$7)</f>
        <v/>
      </c>
      <c r="E78" s="9" t="str">
        <f aca="false">IF(C78="","",IF(B78&lt;$E$6,"上り","下り"))</f>
        <v/>
      </c>
      <c r="F78" s="101" t="str">
        <f aca="false">IF(OR(C78="",C79=""),"",IF(AND(B79&lt;=$E$6,C78&lt;$E$7,C79&gt;=$E$7),B78+(B79-B78)*($E$7-C78)/(C79-C78),""))</f>
        <v/>
      </c>
      <c r="G78" s="101" t="str">
        <f aca="false">IF(OR(C78="",C79=""),"",IF(AND(B78&gt;=$E$6,C78&gt;=$E$7,C79&lt;$E$7),B78+(B79-B78)*($E$7-C78)/(C79-C78),""))</f>
        <v/>
      </c>
      <c r="H78" s="102" t="str">
        <f aca="false">IF(F78&lt;&gt;"","← 下側の半値点",IF(G78&lt;&gt;"","← 上側の半値点",""))</f>
        <v/>
      </c>
      <c r="I78" s="2"/>
      <c r="J78" s="2"/>
      <c r="K78" s="2"/>
      <c r="L78" s="2"/>
      <c r="M78" s="2"/>
      <c r="N78" s="2"/>
    </row>
    <row r="79" customFormat="false" ht="15" hidden="false" customHeight="false" outlineLevel="0" collapsed="false">
      <c r="A79" s="30" t="str">
        <f aca="false">IF(03_FRFデータ貼付!B59="","",03_FRFデータ貼付!A59)</f>
        <v/>
      </c>
      <c r="B79" s="61" t="str">
        <f aca="false">IF(03_FRFデータ貼付!B59="","",03_FRFデータ貼付!B59)</f>
        <v/>
      </c>
      <c r="C79" s="54" t="str">
        <f aca="false">IF(03_FRFデータ貼付!B59="","",03_FRFデータ貼付!E59)</f>
        <v/>
      </c>
      <c r="D79" s="53" t="str">
        <f aca="false">IF(OR(C79="",$E$7=0),"",C79/$E$7)</f>
        <v/>
      </c>
      <c r="E79" s="9" t="str">
        <f aca="false">IF(C79="","",IF(B79&lt;$E$6,"上り","下り"))</f>
        <v/>
      </c>
      <c r="F79" s="101" t="str">
        <f aca="false">IF(OR(C79="",C80=""),"",IF(AND(B80&lt;=$E$6,C79&lt;$E$7,C80&gt;=$E$7),B79+(B80-B79)*($E$7-C79)/(C80-C79),""))</f>
        <v/>
      </c>
      <c r="G79" s="101" t="str">
        <f aca="false">IF(OR(C79="",C80=""),"",IF(AND(B79&gt;=$E$6,C79&gt;=$E$7,C80&lt;$E$7),B79+(B80-B79)*($E$7-C79)/(C80-C79),""))</f>
        <v/>
      </c>
      <c r="H79" s="102" t="str">
        <f aca="false">IF(F79&lt;&gt;"","← 下側の半値点",IF(G79&lt;&gt;"","← 上側の半値点",""))</f>
        <v/>
      </c>
      <c r="I79" s="2"/>
      <c r="J79" s="2"/>
      <c r="K79" s="2"/>
      <c r="L79" s="2"/>
      <c r="M79" s="2"/>
      <c r="N79" s="2"/>
    </row>
    <row r="80" customFormat="false" ht="15" hidden="false" customHeight="false" outlineLevel="0" collapsed="false">
      <c r="A80" s="30" t="str">
        <f aca="false">IF(03_FRFデータ貼付!B60="","",03_FRFデータ貼付!A60)</f>
        <v/>
      </c>
      <c r="B80" s="61" t="str">
        <f aca="false">IF(03_FRFデータ貼付!B60="","",03_FRFデータ貼付!B60)</f>
        <v/>
      </c>
      <c r="C80" s="54" t="str">
        <f aca="false">IF(03_FRFデータ貼付!B60="","",03_FRFデータ貼付!E60)</f>
        <v/>
      </c>
      <c r="D80" s="53" t="str">
        <f aca="false">IF(OR(C80="",$E$7=0),"",C80/$E$7)</f>
        <v/>
      </c>
      <c r="E80" s="9" t="str">
        <f aca="false">IF(C80="","",IF(B80&lt;$E$6,"上り","下り"))</f>
        <v/>
      </c>
      <c r="F80" s="101" t="str">
        <f aca="false">IF(OR(C80="",C81=""),"",IF(AND(B81&lt;=$E$6,C80&lt;$E$7,C81&gt;=$E$7),B80+(B81-B80)*($E$7-C80)/(C81-C80),""))</f>
        <v/>
      </c>
      <c r="G80" s="101" t="str">
        <f aca="false">IF(OR(C80="",C81=""),"",IF(AND(B80&gt;=$E$6,C80&gt;=$E$7,C81&lt;$E$7),B80+(B81-B80)*($E$7-C80)/(C81-C80),""))</f>
        <v/>
      </c>
      <c r="H80" s="102" t="str">
        <f aca="false">IF(F80&lt;&gt;"","← 下側の半値点",IF(G80&lt;&gt;"","← 上側の半値点",""))</f>
        <v/>
      </c>
      <c r="I80" s="2"/>
      <c r="J80" s="2"/>
      <c r="K80" s="2"/>
      <c r="L80" s="2"/>
      <c r="M80" s="2"/>
      <c r="N80" s="2"/>
    </row>
    <row r="81" customFormat="false" ht="15" hidden="false" customHeight="false" outlineLevel="0" collapsed="false">
      <c r="A81" s="30" t="str">
        <f aca="false">IF(03_FRFデータ貼付!B61="","",03_FRFデータ貼付!A61)</f>
        <v/>
      </c>
      <c r="B81" s="61" t="str">
        <f aca="false">IF(03_FRFデータ貼付!B61="","",03_FRFデータ貼付!B61)</f>
        <v/>
      </c>
      <c r="C81" s="54" t="str">
        <f aca="false">IF(03_FRFデータ貼付!B61="","",03_FRFデータ貼付!E61)</f>
        <v/>
      </c>
      <c r="D81" s="53" t="str">
        <f aca="false">IF(OR(C81="",$E$7=0),"",C81/$E$7)</f>
        <v/>
      </c>
      <c r="E81" s="9" t="str">
        <f aca="false">IF(C81="","",IF(B81&lt;$E$6,"上り","下り"))</f>
        <v/>
      </c>
      <c r="F81" s="101" t="str">
        <f aca="false">IF(OR(C81="",C82=""),"",IF(AND(B82&lt;=$E$6,C81&lt;$E$7,C82&gt;=$E$7),B81+(B82-B81)*($E$7-C81)/(C82-C81),""))</f>
        <v/>
      </c>
      <c r="G81" s="101" t="str">
        <f aca="false">IF(OR(C81="",C82=""),"",IF(AND(B81&gt;=$E$6,C81&gt;=$E$7,C82&lt;$E$7),B81+(B82-B81)*($E$7-C81)/(C82-C81),""))</f>
        <v/>
      </c>
      <c r="H81" s="102" t="str">
        <f aca="false">IF(F81&lt;&gt;"","← 下側の半値点",IF(G81&lt;&gt;"","← 上側の半値点",""))</f>
        <v/>
      </c>
      <c r="I81" s="2"/>
      <c r="J81" s="2"/>
      <c r="K81" s="2"/>
      <c r="L81" s="2"/>
      <c r="M81" s="2"/>
      <c r="N81" s="2"/>
    </row>
    <row r="82" customFormat="false" ht="15" hidden="false" customHeight="false" outlineLevel="0" collapsed="false">
      <c r="A82" s="30" t="str">
        <f aca="false">IF(03_FRFデータ貼付!B62="","",03_FRFデータ貼付!A62)</f>
        <v/>
      </c>
      <c r="B82" s="61" t="str">
        <f aca="false">IF(03_FRFデータ貼付!B62="","",03_FRFデータ貼付!B62)</f>
        <v/>
      </c>
      <c r="C82" s="54" t="str">
        <f aca="false">IF(03_FRFデータ貼付!B62="","",03_FRFデータ貼付!E62)</f>
        <v/>
      </c>
      <c r="D82" s="53" t="str">
        <f aca="false">IF(OR(C82="",$E$7=0),"",C82/$E$7)</f>
        <v/>
      </c>
      <c r="E82" s="9" t="str">
        <f aca="false">IF(C82="","",IF(B82&lt;$E$6,"上り","下り"))</f>
        <v/>
      </c>
      <c r="F82" s="101" t="str">
        <f aca="false">IF(OR(C82="",C83=""),"",IF(AND(B83&lt;=$E$6,C82&lt;$E$7,C83&gt;=$E$7),B82+(B83-B82)*($E$7-C82)/(C83-C82),""))</f>
        <v/>
      </c>
      <c r="G82" s="101" t="str">
        <f aca="false">IF(OR(C82="",C83=""),"",IF(AND(B82&gt;=$E$6,C82&gt;=$E$7,C83&lt;$E$7),B82+(B83-B82)*($E$7-C82)/(C83-C82),""))</f>
        <v/>
      </c>
      <c r="H82" s="102" t="str">
        <f aca="false">IF(F82&lt;&gt;"","← 下側の半値点",IF(G82&lt;&gt;"","← 上側の半値点",""))</f>
        <v/>
      </c>
      <c r="I82" s="2"/>
      <c r="J82" s="2"/>
      <c r="K82" s="2"/>
      <c r="L82" s="2"/>
      <c r="M82" s="2"/>
      <c r="N82" s="2"/>
    </row>
    <row r="83" customFormat="false" ht="15" hidden="false" customHeight="false" outlineLevel="0" collapsed="false">
      <c r="A83" s="30" t="str">
        <f aca="false">IF(03_FRFデータ貼付!B63="","",03_FRFデータ貼付!A63)</f>
        <v/>
      </c>
      <c r="B83" s="61" t="str">
        <f aca="false">IF(03_FRFデータ貼付!B63="","",03_FRFデータ貼付!B63)</f>
        <v/>
      </c>
      <c r="C83" s="54" t="str">
        <f aca="false">IF(03_FRFデータ貼付!B63="","",03_FRFデータ貼付!E63)</f>
        <v/>
      </c>
      <c r="D83" s="53" t="str">
        <f aca="false">IF(OR(C83="",$E$7=0),"",C83/$E$7)</f>
        <v/>
      </c>
      <c r="E83" s="9" t="str">
        <f aca="false">IF(C83="","",IF(B83&lt;$E$6,"上り","下り"))</f>
        <v/>
      </c>
      <c r="F83" s="101" t="str">
        <f aca="false">IF(OR(C83="",C84=""),"",IF(AND(B84&lt;=$E$6,C83&lt;$E$7,C84&gt;=$E$7),B83+(B84-B83)*($E$7-C83)/(C84-C83),""))</f>
        <v/>
      </c>
      <c r="G83" s="101" t="str">
        <f aca="false">IF(OR(C83="",C84=""),"",IF(AND(B83&gt;=$E$6,C83&gt;=$E$7,C84&lt;$E$7),B83+(B84-B83)*($E$7-C83)/(C84-C83),""))</f>
        <v/>
      </c>
      <c r="H83" s="102" t="str">
        <f aca="false">IF(F83&lt;&gt;"","← 下側の半値点",IF(G83&lt;&gt;"","← 上側の半値点",""))</f>
        <v/>
      </c>
      <c r="I83" s="2"/>
      <c r="J83" s="2"/>
      <c r="K83" s="2"/>
      <c r="L83" s="2"/>
      <c r="M83" s="2"/>
      <c r="N83" s="2"/>
    </row>
    <row r="84" customFormat="false" ht="15" hidden="false" customHeight="false" outlineLevel="0" collapsed="false">
      <c r="A84" s="30" t="str">
        <f aca="false">IF(03_FRFデータ貼付!B64="","",03_FRFデータ貼付!A64)</f>
        <v/>
      </c>
      <c r="B84" s="61" t="str">
        <f aca="false">IF(03_FRFデータ貼付!B64="","",03_FRFデータ貼付!B64)</f>
        <v/>
      </c>
      <c r="C84" s="54" t="str">
        <f aca="false">IF(03_FRFデータ貼付!B64="","",03_FRFデータ貼付!E64)</f>
        <v/>
      </c>
      <c r="D84" s="53" t="str">
        <f aca="false">IF(OR(C84="",$E$7=0),"",C84/$E$7)</f>
        <v/>
      </c>
      <c r="E84" s="9" t="str">
        <f aca="false">IF(C84="","",IF(B84&lt;$E$6,"上り","下り"))</f>
        <v/>
      </c>
      <c r="F84" s="101" t="str">
        <f aca="false">IF(OR(C84="",C85=""),"",IF(AND(B85&lt;=$E$6,C84&lt;$E$7,C85&gt;=$E$7),B84+(B85-B84)*($E$7-C84)/(C85-C84),""))</f>
        <v/>
      </c>
      <c r="G84" s="101" t="str">
        <f aca="false">IF(OR(C84="",C85=""),"",IF(AND(B84&gt;=$E$6,C84&gt;=$E$7,C85&lt;$E$7),B84+(B85-B84)*($E$7-C84)/(C85-C84),""))</f>
        <v/>
      </c>
      <c r="H84" s="102" t="str">
        <f aca="false">IF(F84&lt;&gt;"","← 下側の半値点",IF(G84&lt;&gt;"","← 上側の半値点",""))</f>
        <v/>
      </c>
      <c r="I84" s="2"/>
      <c r="J84" s="2"/>
      <c r="K84" s="2"/>
      <c r="L84" s="2"/>
      <c r="M84" s="2"/>
      <c r="N84" s="2"/>
    </row>
    <row r="85" customFormat="false" ht="15" hidden="false" customHeight="false" outlineLevel="0" collapsed="false">
      <c r="A85" s="30" t="str">
        <f aca="false">IF(03_FRFデータ貼付!B65="","",03_FRFデータ貼付!A65)</f>
        <v/>
      </c>
      <c r="B85" s="61" t="str">
        <f aca="false">IF(03_FRFデータ貼付!B65="","",03_FRFデータ貼付!B65)</f>
        <v/>
      </c>
      <c r="C85" s="54" t="str">
        <f aca="false">IF(03_FRFデータ貼付!B65="","",03_FRFデータ貼付!E65)</f>
        <v/>
      </c>
      <c r="D85" s="53" t="str">
        <f aca="false">IF(OR(C85="",$E$7=0),"",C85/$E$7)</f>
        <v/>
      </c>
      <c r="E85" s="9" t="str">
        <f aca="false">IF(C85="","",IF(B85&lt;$E$6,"上り","下り"))</f>
        <v/>
      </c>
      <c r="F85" s="101" t="str">
        <f aca="false">IF(OR(C85="",C86=""),"",IF(AND(B86&lt;=$E$6,C85&lt;$E$7,C86&gt;=$E$7),B85+(B86-B85)*($E$7-C85)/(C86-C85),""))</f>
        <v/>
      </c>
      <c r="G85" s="101" t="str">
        <f aca="false">IF(OR(C85="",C86=""),"",IF(AND(B85&gt;=$E$6,C85&gt;=$E$7,C86&lt;$E$7),B85+(B86-B85)*($E$7-C85)/(C86-C85),""))</f>
        <v/>
      </c>
      <c r="H85" s="102" t="str">
        <f aca="false">IF(F85&lt;&gt;"","← 下側の半値点",IF(G85&lt;&gt;"","← 上側の半値点",""))</f>
        <v/>
      </c>
      <c r="I85" s="2"/>
      <c r="J85" s="2"/>
      <c r="K85" s="2"/>
      <c r="L85" s="2"/>
      <c r="M85" s="2"/>
      <c r="N85" s="2"/>
    </row>
    <row r="86" customFormat="false" ht="15" hidden="false" customHeight="false" outlineLevel="0" collapsed="false">
      <c r="A86" s="30" t="str">
        <f aca="false">IF(03_FRFデータ貼付!B66="","",03_FRFデータ貼付!A66)</f>
        <v/>
      </c>
      <c r="B86" s="61" t="str">
        <f aca="false">IF(03_FRFデータ貼付!B66="","",03_FRFデータ貼付!B66)</f>
        <v/>
      </c>
      <c r="C86" s="54" t="str">
        <f aca="false">IF(03_FRFデータ貼付!B66="","",03_FRFデータ貼付!E66)</f>
        <v/>
      </c>
      <c r="D86" s="53" t="str">
        <f aca="false">IF(OR(C86="",$E$7=0),"",C86/$E$7)</f>
        <v/>
      </c>
      <c r="E86" s="9" t="str">
        <f aca="false">IF(C86="","",IF(B86&lt;$E$6,"上り","下り"))</f>
        <v/>
      </c>
      <c r="F86" s="101" t="str">
        <f aca="false">IF(OR(C86="",C87=""),"",IF(AND(B87&lt;=$E$6,C86&lt;$E$7,C87&gt;=$E$7),B86+(B87-B86)*($E$7-C86)/(C87-C86),""))</f>
        <v/>
      </c>
      <c r="G86" s="101" t="str">
        <f aca="false">IF(OR(C86="",C87=""),"",IF(AND(B86&gt;=$E$6,C86&gt;=$E$7,C87&lt;$E$7),B86+(B87-B86)*($E$7-C86)/(C87-C86),""))</f>
        <v/>
      </c>
      <c r="H86" s="102" t="str">
        <f aca="false">IF(F86&lt;&gt;"","← 下側の半値点",IF(G86&lt;&gt;"","← 上側の半値点",""))</f>
        <v/>
      </c>
      <c r="I86" s="2"/>
      <c r="J86" s="2"/>
      <c r="K86" s="2"/>
      <c r="L86" s="2"/>
      <c r="M86" s="2"/>
      <c r="N86" s="2"/>
    </row>
    <row r="87" customFormat="false" ht="15" hidden="false" customHeight="false" outlineLevel="0" collapsed="false">
      <c r="A87" s="30" t="str">
        <f aca="false">IF(03_FRFデータ貼付!B67="","",03_FRFデータ貼付!A67)</f>
        <v/>
      </c>
      <c r="B87" s="61" t="str">
        <f aca="false">IF(03_FRFデータ貼付!B67="","",03_FRFデータ貼付!B67)</f>
        <v/>
      </c>
      <c r="C87" s="54" t="str">
        <f aca="false">IF(03_FRFデータ貼付!B67="","",03_FRFデータ貼付!E67)</f>
        <v/>
      </c>
      <c r="D87" s="53" t="str">
        <f aca="false">IF(OR(C87="",$E$7=0),"",C87/$E$7)</f>
        <v/>
      </c>
      <c r="E87" s="9" t="str">
        <f aca="false">IF(C87="","",IF(B87&lt;$E$6,"上り","下り"))</f>
        <v/>
      </c>
      <c r="F87" s="101" t="str">
        <f aca="false">IF(OR(C87="",C88=""),"",IF(AND(B88&lt;=$E$6,C87&lt;$E$7,C88&gt;=$E$7),B87+(B88-B87)*($E$7-C87)/(C88-C87),""))</f>
        <v/>
      </c>
      <c r="G87" s="101" t="str">
        <f aca="false">IF(OR(C87="",C88=""),"",IF(AND(B87&gt;=$E$6,C87&gt;=$E$7,C88&lt;$E$7),B87+(B88-B87)*($E$7-C87)/(C88-C87),""))</f>
        <v/>
      </c>
      <c r="H87" s="102" t="str">
        <f aca="false">IF(F87&lt;&gt;"","← 下側の半値点",IF(G87&lt;&gt;"","← 上側の半値点",""))</f>
        <v/>
      </c>
      <c r="I87" s="2"/>
      <c r="J87" s="2"/>
      <c r="K87" s="2"/>
      <c r="L87" s="2"/>
      <c r="M87" s="2"/>
      <c r="N87" s="2"/>
    </row>
    <row r="88" customFormat="false" ht="15" hidden="false" customHeight="false" outlineLevel="0" collapsed="false">
      <c r="A88" s="30" t="str">
        <f aca="false">IF(03_FRFデータ貼付!B68="","",03_FRFデータ貼付!A68)</f>
        <v/>
      </c>
      <c r="B88" s="61" t="str">
        <f aca="false">IF(03_FRFデータ貼付!B68="","",03_FRFデータ貼付!B68)</f>
        <v/>
      </c>
      <c r="C88" s="54" t="str">
        <f aca="false">IF(03_FRFデータ貼付!B68="","",03_FRFデータ貼付!E68)</f>
        <v/>
      </c>
      <c r="D88" s="53" t="str">
        <f aca="false">IF(OR(C88="",$E$7=0),"",C88/$E$7)</f>
        <v/>
      </c>
      <c r="E88" s="9" t="str">
        <f aca="false">IF(C88="","",IF(B88&lt;$E$6,"上り","下り"))</f>
        <v/>
      </c>
      <c r="F88" s="101" t="str">
        <f aca="false">IF(OR(C88="",C89=""),"",IF(AND(B89&lt;=$E$6,C88&lt;$E$7,C89&gt;=$E$7),B88+(B89-B88)*($E$7-C88)/(C89-C88),""))</f>
        <v/>
      </c>
      <c r="G88" s="101" t="str">
        <f aca="false">IF(OR(C88="",C89=""),"",IF(AND(B88&gt;=$E$6,C88&gt;=$E$7,C89&lt;$E$7),B88+(B89-B88)*($E$7-C88)/(C89-C88),""))</f>
        <v/>
      </c>
      <c r="H88" s="102" t="str">
        <f aca="false">IF(F88&lt;&gt;"","← 下側の半値点",IF(G88&lt;&gt;"","← 上側の半値点",""))</f>
        <v/>
      </c>
      <c r="I88" s="2"/>
      <c r="J88" s="2"/>
      <c r="K88" s="2"/>
      <c r="L88" s="2"/>
      <c r="M88" s="2"/>
      <c r="N88" s="2"/>
    </row>
    <row r="89" customFormat="false" ht="15" hidden="false" customHeight="false" outlineLevel="0" collapsed="false">
      <c r="A89" s="30" t="str">
        <f aca="false">IF(03_FRFデータ貼付!B69="","",03_FRFデータ貼付!A69)</f>
        <v/>
      </c>
      <c r="B89" s="61" t="str">
        <f aca="false">IF(03_FRFデータ貼付!B69="","",03_FRFデータ貼付!B69)</f>
        <v/>
      </c>
      <c r="C89" s="54" t="str">
        <f aca="false">IF(03_FRFデータ貼付!B69="","",03_FRFデータ貼付!E69)</f>
        <v/>
      </c>
      <c r="D89" s="53" t="str">
        <f aca="false">IF(OR(C89="",$E$7=0),"",C89/$E$7)</f>
        <v/>
      </c>
      <c r="E89" s="9" t="str">
        <f aca="false">IF(C89="","",IF(B89&lt;$E$6,"上り","下り"))</f>
        <v/>
      </c>
      <c r="F89" s="101" t="str">
        <f aca="false">IF(OR(C89="",C90=""),"",IF(AND(B90&lt;=$E$6,C89&lt;$E$7,C90&gt;=$E$7),B89+(B90-B89)*($E$7-C89)/(C90-C89),""))</f>
        <v/>
      </c>
      <c r="G89" s="101" t="str">
        <f aca="false">IF(OR(C89="",C90=""),"",IF(AND(B89&gt;=$E$6,C89&gt;=$E$7,C90&lt;$E$7),B89+(B90-B89)*($E$7-C89)/(C90-C89),""))</f>
        <v/>
      </c>
      <c r="H89" s="102" t="str">
        <f aca="false">IF(F89&lt;&gt;"","← 下側の半値点",IF(G89&lt;&gt;"","← 上側の半値点",""))</f>
        <v/>
      </c>
      <c r="I89" s="2"/>
      <c r="J89" s="2"/>
      <c r="K89" s="2"/>
      <c r="L89" s="2"/>
      <c r="M89" s="2"/>
      <c r="N89" s="2"/>
    </row>
    <row r="90" customFormat="false" ht="15" hidden="false" customHeight="false" outlineLevel="0" collapsed="false">
      <c r="A90" s="30" t="str">
        <f aca="false">IF(03_FRFデータ貼付!B70="","",03_FRFデータ貼付!A70)</f>
        <v/>
      </c>
      <c r="B90" s="61" t="str">
        <f aca="false">IF(03_FRFデータ貼付!B70="","",03_FRFデータ貼付!B70)</f>
        <v/>
      </c>
      <c r="C90" s="54" t="str">
        <f aca="false">IF(03_FRFデータ貼付!B70="","",03_FRFデータ貼付!E70)</f>
        <v/>
      </c>
      <c r="D90" s="53" t="str">
        <f aca="false">IF(OR(C90="",$E$7=0),"",C90/$E$7)</f>
        <v/>
      </c>
      <c r="E90" s="9" t="str">
        <f aca="false">IF(C90="","",IF(B90&lt;$E$6,"上り","下り"))</f>
        <v/>
      </c>
      <c r="F90" s="101" t="str">
        <f aca="false">IF(OR(C90="",C91=""),"",IF(AND(B91&lt;=$E$6,C90&lt;$E$7,C91&gt;=$E$7),B90+(B91-B90)*($E$7-C90)/(C91-C90),""))</f>
        <v/>
      </c>
      <c r="G90" s="101" t="str">
        <f aca="false">IF(OR(C90="",C91=""),"",IF(AND(B90&gt;=$E$6,C90&gt;=$E$7,C91&lt;$E$7),B90+(B91-B90)*($E$7-C90)/(C91-C90),""))</f>
        <v/>
      </c>
      <c r="H90" s="102" t="str">
        <f aca="false">IF(F90&lt;&gt;"","← 下側の半値点",IF(G90&lt;&gt;"","← 上側の半値点",""))</f>
        <v/>
      </c>
      <c r="I90" s="2"/>
      <c r="J90" s="2"/>
      <c r="K90" s="2"/>
      <c r="L90" s="2"/>
      <c r="M90" s="2"/>
      <c r="N90" s="2"/>
    </row>
    <row r="91" customFormat="false" ht="15" hidden="false" customHeight="false" outlineLevel="0" collapsed="false">
      <c r="A91" s="30" t="str">
        <f aca="false">IF(03_FRFデータ貼付!B71="","",03_FRFデータ貼付!A71)</f>
        <v/>
      </c>
      <c r="B91" s="61" t="str">
        <f aca="false">IF(03_FRFデータ貼付!B71="","",03_FRFデータ貼付!B71)</f>
        <v/>
      </c>
      <c r="C91" s="54" t="str">
        <f aca="false">IF(03_FRFデータ貼付!B71="","",03_FRFデータ貼付!E71)</f>
        <v/>
      </c>
      <c r="D91" s="53" t="str">
        <f aca="false">IF(OR(C91="",$E$7=0),"",C91/$E$7)</f>
        <v/>
      </c>
      <c r="E91" s="9" t="str">
        <f aca="false">IF(C91="","",IF(B91&lt;$E$6,"上り","下り"))</f>
        <v/>
      </c>
      <c r="F91" s="101" t="str">
        <f aca="false">IF(OR(C91="",C92=""),"",IF(AND(B92&lt;=$E$6,C91&lt;$E$7,C92&gt;=$E$7),B91+(B92-B91)*($E$7-C91)/(C92-C91),""))</f>
        <v/>
      </c>
      <c r="G91" s="101" t="str">
        <f aca="false">IF(OR(C91="",C92=""),"",IF(AND(B91&gt;=$E$6,C91&gt;=$E$7,C92&lt;$E$7),B91+(B92-B91)*($E$7-C91)/(C92-C91),""))</f>
        <v/>
      </c>
      <c r="H91" s="102" t="str">
        <f aca="false">IF(F91&lt;&gt;"","← 下側の半値点",IF(G91&lt;&gt;"","← 上側の半値点",""))</f>
        <v/>
      </c>
      <c r="I91" s="2"/>
      <c r="J91" s="2"/>
      <c r="K91" s="2"/>
      <c r="L91" s="2"/>
      <c r="M91" s="2"/>
      <c r="N91" s="2"/>
    </row>
    <row r="92" customFormat="false" ht="15" hidden="false" customHeight="false" outlineLevel="0" collapsed="false">
      <c r="A92" s="30" t="str">
        <f aca="false">IF(03_FRFデータ貼付!B72="","",03_FRFデータ貼付!A72)</f>
        <v/>
      </c>
      <c r="B92" s="61" t="str">
        <f aca="false">IF(03_FRFデータ貼付!B72="","",03_FRFデータ貼付!B72)</f>
        <v/>
      </c>
      <c r="C92" s="54" t="str">
        <f aca="false">IF(03_FRFデータ貼付!B72="","",03_FRFデータ貼付!E72)</f>
        <v/>
      </c>
      <c r="D92" s="53" t="str">
        <f aca="false">IF(OR(C92="",$E$7=0),"",C92/$E$7)</f>
        <v/>
      </c>
      <c r="E92" s="9" t="str">
        <f aca="false">IF(C92="","",IF(B92&lt;$E$6,"上り","下り"))</f>
        <v/>
      </c>
      <c r="F92" s="101" t="str">
        <f aca="false">IF(OR(C92="",C93=""),"",IF(AND(B93&lt;=$E$6,C92&lt;$E$7,C93&gt;=$E$7),B92+(B93-B92)*($E$7-C92)/(C93-C92),""))</f>
        <v/>
      </c>
      <c r="G92" s="101" t="str">
        <f aca="false">IF(OR(C92="",C93=""),"",IF(AND(B92&gt;=$E$6,C92&gt;=$E$7,C93&lt;$E$7),B92+(B93-B92)*($E$7-C92)/(C93-C92),""))</f>
        <v/>
      </c>
      <c r="H92" s="102" t="str">
        <f aca="false">IF(F92&lt;&gt;"","← 下側の半値点",IF(G92&lt;&gt;"","← 上側の半値点",""))</f>
        <v/>
      </c>
      <c r="I92" s="2"/>
      <c r="J92" s="2"/>
      <c r="K92" s="2"/>
      <c r="L92" s="2"/>
      <c r="M92" s="2"/>
      <c r="N92" s="2"/>
    </row>
    <row r="93" customFormat="false" ht="15" hidden="false" customHeight="false" outlineLevel="0" collapsed="false">
      <c r="A93" s="30" t="str">
        <f aca="false">IF(03_FRFデータ貼付!B73="","",03_FRFデータ貼付!A73)</f>
        <v/>
      </c>
      <c r="B93" s="61" t="str">
        <f aca="false">IF(03_FRFデータ貼付!B73="","",03_FRFデータ貼付!B73)</f>
        <v/>
      </c>
      <c r="C93" s="54" t="str">
        <f aca="false">IF(03_FRFデータ貼付!B73="","",03_FRFデータ貼付!E73)</f>
        <v/>
      </c>
      <c r="D93" s="53" t="str">
        <f aca="false">IF(OR(C93="",$E$7=0),"",C93/$E$7)</f>
        <v/>
      </c>
      <c r="E93" s="9" t="str">
        <f aca="false">IF(C93="","",IF(B93&lt;$E$6,"上り","下り"))</f>
        <v/>
      </c>
      <c r="F93" s="101" t="str">
        <f aca="false">IF(OR(C93="",C94=""),"",IF(AND(B94&lt;=$E$6,C93&lt;$E$7,C94&gt;=$E$7),B93+(B94-B93)*($E$7-C93)/(C94-C93),""))</f>
        <v/>
      </c>
      <c r="G93" s="101" t="str">
        <f aca="false">IF(OR(C93="",C94=""),"",IF(AND(B93&gt;=$E$6,C93&gt;=$E$7,C94&lt;$E$7),B93+(B94-B93)*($E$7-C93)/(C94-C93),""))</f>
        <v/>
      </c>
      <c r="H93" s="102" t="str">
        <f aca="false">IF(F93&lt;&gt;"","← 下側の半値点",IF(G93&lt;&gt;"","← 上側の半値点",""))</f>
        <v/>
      </c>
      <c r="I93" s="2"/>
      <c r="J93" s="2"/>
      <c r="K93" s="2"/>
      <c r="L93" s="2"/>
      <c r="M93" s="2"/>
      <c r="N93" s="2"/>
    </row>
    <row r="94" customFormat="false" ht="15" hidden="false" customHeight="false" outlineLevel="0" collapsed="false">
      <c r="A94" s="30" t="str">
        <f aca="false">IF(03_FRFデータ貼付!B74="","",03_FRFデータ貼付!A74)</f>
        <v/>
      </c>
      <c r="B94" s="61" t="str">
        <f aca="false">IF(03_FRFデータ貼付!B74="","",03_FRFデータ貼付!B74)</f>
        <v/>
      </c>
      <c r="C94" s="54" t="str">
        <f aca="false">IF(03_FRFデータ貼付!B74="","",03_FRFデータ貼付!E74)</f>
        <v/>
      </c>
      <c r="D94" s="53" t="str">
        <f aca="false">IF(OR(C94="",$E$7=0),"",C94/$E$7)</f>
        <v/>
      </c>
      <c r="E94" s="9" t="str">
        <f aca="false">IF(C94="","",IF(B94&lt;$E$6,"上り","下り"))</f>
        <v/>
      </c>
      <c r="F94" s="101" t="str">
        <f aca="false">IF(OR(C94="",C95=""),"",IF(AND(B95&lt;=$E$6,C94&lt;$E$7,C95&gt;=$E$7),B94+(B95-B94)*($E$7-C94)/(C95-C94),""))</f>
        <v/>
      </c>
      <c r="G94" s="101" t="str">
        <f aca="false">IF(OR(C94="",C95=""),"",IF(AND(B94&gt;=$E$6,C94&gt;=$E$7,C95&lt;$E$7),B94+(B95-B94)*($E$7-C94)/(C95-C94),""))</f>
        <v/>
      </c>
      <c r="H94" s="102" t="str">
        <f aca="false">IF(F94&lt;&gt;"","← 下側の半値点",IF(G94&lt;&gt;"","← 上側の半値点",""))</f>
        <v/>
      </c>
      <c r="I94" s="2"/>
      <c r="J94" s="2"/>
      <c r="K94" s="2"/>
      <c r="L94" s="2"/>
      <c r="M94" s="2"/>
      <c r="N94" s="2"/>
    </row>
    <row r="95" customFormat="false" ht="15" hidden="false" customHeight="false" outlineLevel="0" collapsed="false">
      <c r="A95" s="30" t="str">
        <f aca="false">IF(03_FRFデータ貼付!B75="","",03_FRFデータ貼付!A75)</f>
        <v/>
      </c>
      <c r="B95" s="61" t="str">
        <f aca="false">IF(03_FRFデータ貼付!B75="","",03_FRFデータ貼付!B75)</f>
        <v/>
      </c>
      <c r="C95" s="54" t="str">
        <f aca="false">IF(03_FRFデータ貼付!B75="","",03_FRFデータ貼付!E75)</f>
        <v/>
      </c>
      <c r="D95" s="53" t="str">
        <f aca="false">IF(OR(C95="",$E$7=0),"",C95/$E$7)</f>
        <v/>
      </c>
      <c r="E95" s="9" t="str">
        <f aca="false">IF(C95="","",IF(B95&lt;$E$6,"上り","下り"))</f>
        <v/>
      </c>
      <c r="F95" s="101" t="str">
        <f aca="false">IF(OR(C95="",C96=""),"",IF(AND(B96&lt;=$E$6,C95&lt;$E$7,C96&gt;=$E$7),B95+(B96-B95)*($E$7-C95)/(C96-C95),""))</f>
        <v/>
      </c>
      <c r="G95" s="101" t="str">
        <f aca="false">IF(OR(C95="",C96=""),"",IF(AND(B95&gt;=$E$6,C95&gt;=$E$7,C96&lt;$E$7),B95+(B96-B95)*($E$7-C95)/(C96-C95),""))</f>
        <v/>
      </c>
      <c r="H95" s="102" t="str">
        <f aca="false">IF(F95&lt;&gt;"","← 下側の半値点",IF(G95&lt;&gt;"","← 上側の半値点",""))</f>
        <v/>
      </c>
      <c r="I95" s="2"/>
      <c r="J95" s="2"/>
      <c r="K95" s="2"/>
      <c r="L95" s="2"/>
      <c r="M95" s="2"/>
      <c r="N95" s="2"/>
    </row>
    <row r="96" customFormat="false" ht="15" hidden="false" customHeight="false" outlineLevel="0" collapsed="false">
      <c r="A96" s="30" t="str">
        <f aca="false">IF(03_FRFデータ貼付!B76="","",03_FRFデータ貼付!A76)</f>
        <v/>
      </c>
      <c r="B96" s="61" t="str">
        <f aca="false">IF(03_FRFデータ貼付!B76="","",03_FRFデータ貼付!B76)</f>
        <v/>
      </c>
      <c r="C96" s="54" t="str">
        <f aca="false">IF(03_FRFデータ貼付!B76="","",03_FRFデータ貼付!E76)</f>
        <v/>
      </c>
      <c r="D96" s="53" t="str">
        <f aca="false">IF(OR(C96="",$E$7=0),"",C96/$E$7)</f>
        <v/>
      </c>
      <c r="E96" s="9" t="str">
        <f aca="false">IF(C96="","",IF(B96&lt;$E$6,"上り","下り"))</f>
        <v/>
      </c>
      <c r="F96" s="101" t="str">
        <f aca="false">IF(OR(C96="",C97=""),"",IF(AND(B97&lt;=$E$6,C96&lt;$E$7,C97&gt;=$E$7),B96+(B97-B96)*($E$7-C96)/(C97-C96),""))</f>
        <v/>
      </c>
      <c r="G96" s="101" t="str">
        <f aca="false">IF(OR(C96="",C97=""),"",IF(AND(B96&gt;=$E$6,C96&gt;=$E$7,C97&lt;$E$7),B96+(B97-B96)*($E$7-C96)/(C97-C96),""))</f>
        <v/>
      </c>
      <c r="H96" s="102" t="str">
        <f aca="false">IF(F96&lt;&gt;"","← 下側の半値点",IF(G96&lt;&gt;"","← 上側の半値点",""))</f>
        <v/>
      </c>
      <c r="I96" s="2"/>
      <c r="J96" s="2"/>
      <c r="K96" s="2"/>
      <c r="L96" s="2"/>
      <c r="M96" s="2"/>
      <c r="N96" s="2"/>
    </row>
    <row r="97" customFormat="false" ht="15" hidden="false" customHeight="false" outlineLevel="0" collapsed="false">
      <c r="A97" s="30" t="str">
        <f aca="false">IF(03_FRFデータ貼付!B77="","",03_FRFデータ貼付!A77)</f>
        <v/>
      </c>
      <c r="B97" s="61" t="str">
        <f aca="false">IF(03_FRFデータ貼付!B77="","",03_FRFデータ貼付!B77)</f>
        <v/>
      </c>
      <c r="C97" s="54" t="str">
        <f aca="false">IF(03_FRFデータ貼付!B77="","",03_FRFデータ貼付!E77)</f>
        <v/>
      </c>
      <c r="D97" s="53" t="str">
        <f aca="false">IF(OR(C97="",$E$7=0),"",C97/$E$7)</f>
        <v/>
      </c>
      <c r="E97" s="9" t="str">
        <f aca="false">IF(C97="","",IF(B97&lt;$E$6,"上り","下り"))</f>
        <v/>
      </c>
      <c r="F97" s="101" t="str">
        <f aca="false">IF(OR(C97="",C98=""),"",IF(AND(B98&lt;=$E$6,C97&lt;$E$7,C98&gt;=$E$7),B97+(B98-B97)*($E$7-C97)/(C98-C97),""))</f>
        <v/>
      </c>
      <c r="G97" s="101" t="str">
        <f aca="false">IF(OR(C97="",C98=""),"",IF(AND(B97&gt;=$E$6,C97&gt;=$E$7,C98&lt;$E$7),B97+(B98-B97)*($E$7-C97)/(C98-C97),""))</f>
        <v/>
      </c>
      <c r="H97" s="102" t="str">
        <f aca="false">IF(F97&lt;&gt;"","← 下側の半値点",IF(G97&lt;&gt;"","← 上側の半値点",""))</f>
        <v/>
      </c>
      <c r="I97" s="2"/>
      <c r="J97" s="2"/>
      <c r="K97" s="2"/>
      <c r="L97" s="2"/>
      <c r="M97" s="2"/>
      <c r="N97" s="2"/>
    </row>
    <row r="98" customFormat="false" ht="15" hidden="false" customHeight="false" outlineLevel="0" collapsed="false">
      <c r="A98" s="30" t="str">
        <f aca="false">IF(03_FRFデータ貼付!B78="","",03_FRFデータ貼付!A78)</f>
        <v/>
      </c>
      <c r="B98" s="61" t="str">
        <f aca="false">IF(03_FRFデータ貼付!B78="","",03_FRFデータ貼付!B78)</f>
        <v/>
      </c>
      <c r="C98" s="54" t="str">
        <f aca="false">IF(03_FRFデータ貼付!B78="","",03_FRFデータ貼付!E78)</f>
        <v/>
      </c>
      <c r="D98" s="53" t="str">
        <f aca="false">IF(OR(C98="",$E$7=0),"",C98/$E$7)</f>
        <v/>
      </c>
      <c r="E98" s="9" t="str">
        <f aca="false">IF(C98="","",IF(B98&lt;$E$6,"上り","下り"))</f>
        <v/>
      </c>
      <c r="F98" s="101" t="str">
        <f aca="false">IF(OR(C98="",C99=""),"",IF(AND(B99&lt;=$E$6,C98&lt;$E$7,C99&gt;=$E$7),B98+(B99-B98)*($E$7-C98)/(C99-C98),""))</f>
        <v/>
      </c>
      <c r="G98" s="101" t="str">
        <f aca="false">IF(OR(C98="",C99=""),"",IF(AND(B98&gt;=$E$6,C98&gt;=$E$7,C99&lt;$E$7),B98+(B99-B98)*($E$7-C98)/(C99-C98),""))</f>
        <v/>
      </c>
      <c r="H98" s="102" t="str">
        <f aca="false">IF(F98&lt;&gt;"","← 下側の半値点",IF(G98&lt;&gt;"","← 上側の半値点",""))</f>
        <v/>
      </c>
      <c r="I98" s="2"/>
      <c r="J98" s="2"/>
      <c r="K98" s="2"/>
      <c r="L98" s="2"/>
      <c r="M98" s="2"/>
      <c r="N98" s="2"/>
    </row>
    <row r="99" customFormat="false" ht="15" hidden="false" customHeight="false" outlineLevel="0" collapsed="false">
      <c r="A99" s="30" t="str">
        <f aca="false">IF(03_FRFデータ貼付!B79="","",03_FRFデータ貼付!A79)</f>
        <v/>
      </c>
      <c r="B99" s="61" t="str">
        <f aca="false">IF(03_FRFデータ貼付!B79="","",03_FRFデータ貼付!B79)</f>
        <v/>
      </c>
      <c r="C99" s="54" t="str">
        <f aca="false">IF(03_FRFデータ貼付!B79="","",03_FRFデータ貼付!E79)</f>
        <v/>
      </c>
      <c r="D99" s="53" t="str">
        <f aca="false">IF(OR(C99="",$E$7=0),"",C99/$E$7)</f>
        <v/>
      </c>
      <c r="E99" s="9" t="str">
        <f aca="false">IF(C99="","",IF(B99&lt;$E$6,"上り","下り"))</f>
        <v/>
      </c>
      <c r="F99" s="101" t="str">
        <f aca="false">IF(OR(C99="",C100=""),"",IF(AND(B100&lt;=$E$6,C99&lt;$E$7,C100&gt;=$E$7),B99+(B100-B99)*($E$7-C99)/(C100-C99),""))</f>
        <v/>
      </c>
      <c r="G99" s="101" t="str">
        <f aca="false">IF(OR(C99="",C100=""),"",IF(AND(B99&gt;=$E$6,C99&gt;=$E$7,C100&lt;$E$7),B99+(B100-B99)*($E$7-C99)/(C100-C99),""))</f>
        <v/>
      </c>
      <c r="H99" s="102" t="str">
        <f aca="false">IF(F99&lt;&gt;"","← 下側の半値点",IF(G99&lt;&gt;"","← 上側の半値点",""))</f>
        <v/>
      </c>
      <c r="I99" s="2"/>
      <c r="J99" s="2"/>
      <c r="K99" s="2"/>
      <c r="L99" s="2"/>
      <c r="M99" s="2"/>
      <c r="N99" s="2"/>
    </row>
    <row r="100" customFormat="false" ht="15" hidden="false" customHeight="false" outlineLevel="0" collapsed="false">
      <c r="A100" s="30" t="str">
        <f aca="false">IF(03_FRFデータ貼付!B80="","",03_FRFデータ貼付!A80)</f>
        <v/>
      </c>
      <c r="B100" s="61" t="str">
        <f aca="false">IF(03_FRFデータ貼付!B80="","",03_FRFデータ貼付!B80)</f>
        <v/>
      </c>
      <c r="C100" s="54" t="str">
        <f aca="false">IF(03_FRFデータ貼付!B80="","",03_FRFデータ貼付!E80)</f>
        <v/>
      </c>
      <c r="D100" s="53" t="str">
        <f aca="false">IF(OR(C100="",$E$7=0),"",C100/$E$7)</f>
        <v/>
      </c>
      <c r="E100" s="9" t="str">
        <f aca="false">IF(C100="","",IF(B100&lt;$E$6,"上り","下り"))</f>
        <v/>
      </c>
      <c r="F100" s="101" t="str">
        <f aca="false">IF(OR(C100="",C101=""),"",IF(AND(B101&lt;=$E$6,C100&lt;$E$7,C101&gt;=$E$7),B100+(B101-B100)*($E$7-C100)/(C101-C100),""))</f>
        <v/>
      </c>
      <c r="G100" s="101" t="str">
        <f aca="false">IF(OR(C100="",C101=""),"",IF(AND(B100&gt;=$E$6,C100&gt;=$E$7,C101&lt;$E$7),B100+(B101-B100)*($E$7-C100)/(C101-C100),""))</f>
        <v/>
      </c>
      <c r="H100" s="102" t="str">
        <f aca="false">IF(F100&lt;&gt;"","← 下側の半値点",IF(G100&lt;&gt;"","← 上側の半値点",""))</f>
        <v/>
      </c>
      <c r="I100" s="2"/>
      <c r="J100" s="2"/>
      <c r="K100" s="2"/>
      <c r="L100" s="2"/>
      <c r="M100" s="2"/>
      <c r="N100" s="2"/>
    </row>
    <row r="101" customFormat="false" ht="15" hidden="false" customHeight="false" outlineLevel="0" collapsed="false">
      <c r="A101" s="30" t="str">
        <f aca="false">IF(03_FRFデータ貼付!B81="","",03_FRFデータ貼付!A81)</f>
        <v/>
      </c>
      <c r="B101" s="61" t="str">
        <f aca="false">IF(03_FRFデータ貼付!B81="","",03_FRFデータ貼付!B81)</f>
        <v/>
      </c>
      <c r="C101" s="54" t="str">
        <f aca="false">IF(03_FRFデータ貼付!B81="","",03_FRFデータ貼付!E81)</f>
        <v/>
      </c>
      <c r="D101" s="53" t="str">
        <f aca="false">IF(OR(C101="",$E$7=0),"",C101/$E$7)</f>
        <v/>
      </c>
      <c r="E101" s="9" t="str">
        <f aca="false">IF(C101="","",IF(B101&lt;$E$6,"上り","下り"))</f>
        <v/>
      </c>
      <c r="F101" s="101" t="str">
        <f aca="false">IF(OR(C101="",C102=""),"",IF(AND(B102&lt;=$E$6,C101&lt;$E$7,C102&gt;=$E$7),B101+(B102-B101)*($E$7-C101)/(C102-C101),""))</f>
        <v/>
      </c>
      <c r="G101" s="101" t="str">
        <f aca="false">IF(OR(C101="",C102=""),"",IF(AND(B101&gt;=$E$6,C101&gt;=$E$7,C102&lt;$E$7),B101+(B102-B101)*($E$7-C101)/(C102-C101),""))</f>
        <v/>
      </c>
      <c r="H101" s="102" t="str">
        <f aca="false">IF(F101&lt;&gt;"","← 下側の半値点",IF(G101&lt;&gt;"","← 上側の半値点",""))</f>
        <v/>
      </c>
      <c r="I101" s="2"/>
      <c r="J101" s="2"/>
      <c r="K101" s="2"/>
      <c r="L101" s="2"/>
      <c r="M101" s="2"/>
      <c r="N101" s="2"/>
    </row>
    <row r="102" customFormat="false" ht="15" hidden="false" customHeight="false" outlineLevel="0" collapsed="false">
      <c r="A102" s="30" t="str">
        <f aca="false">IF(03_FRFデータ貼付!B82="","",03_FRFデータ貼付!A82)</f>
        <v/>
      </c>
      <c r="B102" s="61" t="str">
        <f aca="false">IF(03_FRFデータ貼付!B82="","",03_FRFデータ貼付!B82)</f>
        <v/>
      </c>
      <c r="C102" s="54" t="str">
        <f aca="false">IF(03_FRFデータ貼付!B82="","",03_FRFデータ貼付!E82)</f>
        <v/>
      </c>
      <c r="D102" s="53" t="str">
        <f aca="false">IF(OR(C102="",$E$7=0),"",C102/$E$7)</f>
        <v/>
      </c>
      <c r="E102" s="9" t="str">
        <f aca="false">IF(C102="","",IF(B102&lt;$E$6,"上り","下り"))</f>
        <v/>
      </c>
      <c r="F102" s="101" t="str">
        <f aca="false">IF(OR(C102="",C103=""),"",IF(AND(B103&lt;=$E$6,C102&lt;$E$7,C103&gt;=$E$7),B102+(B103-B102)*($E$7-C102)/(C103-C102),""))</f>
        <v/>
      </c>
      <c r="G102" s="101" t="str">
        <f aca="false">IF(OR(C102="",C103=""),"",IF(AND(B102&gt;=$E$6,C102&gt;=$E$7,C103&lt;$E$7),B102+(B103-B102)*($E$7-C102)/(C103-C102),""))</f>
        <v/>
      </c>
      <c r="H102" s="102" t="str">
        <f aca="false">IF(F102&lt;&gt;"","← 下側の半値点",IF(G102&lt;&gt;"","← 上側の半値点",""))</f>
        <v/>
      </c>
      <c r="I102" s="2"/>
      <c r="J102" s="2"/>
      <c r="K102" s="2"/>
      <c r="L102" s="2"/>
      <c r="M102" s="2"/>
      <c r="N102" s="2"/>
    </row>
    <row r="103" customFormat="false" ht="15" hidden="false" customHeight="false" outlineLevel="0" collapsed="false">
      <c r="A103" s="30" t="str">
        <f aca="false">IF(03_FRFデータ貼付!B83="","",03_FRFデータ貼付!A83)</f>
        <v/>
      </c>
      <c r="B103" s="61" t="str">
        <f aca="false">IF(03_FRFデータ貼付!B83="","",03_FRFデータ貼付!B83)</f>
        <v/>
      </c>
      <c r="C103" s="54" t="str">
        <f aca="false">IF(03_FRFデータ貼付!B83="","",03_FRFデータ貼付!E83)</f>
        <v/>
      </c>
      <c r="D103" s="53" t="str">
        <f aca="false">IF(OR(C103="",$E$7=0),"",C103/$E$7)</f>
        <v/>
      </c>
      <c r="E103" s="9" t="str">
        <f aca="false">IF(C103="","",IF(B103&lt;$E$6,"上り","下り"))</f>
        <v/>
      </c>
      <c r="F103" s="101" t="str">
        <f aca="false">IF(OR(C103="",C104=""),"",IF(AND(B104&lt;=$E$6,C103&lt;$E$7,C104&gt;=$E$7),B103+(B104-B103)*($E$7-C103)/(C104-C103),""))</f>
        <v/>
      </c>
      <c r="G103" s="101" t="str">
        <f aca="false">IF(OR(C103="",C104=""),"",IF(AND(B103&gt;=$E$6,C103&gt;=$E$7,C104&lt;$E$7),B103+(B104-B103)*($E$7-C103)/(C104-C103),""))</f>
        <v/>
      </c>
      <c r="H103" s="102" t="str">
        <f aca="false">IF(F103&lt;&gt;"","← 下側の半値点",IF(G103&lt;&gt;"","← 上側の半値点",""))</f>
        <v/>
      </c>
      <c r="I103" s="2"/>
      <c r="J103" s="2"/>
      <c r="K103" s="2"/>
      <c r="L103" s="2"/>
      <c r="M103" s="2"/>
      <c r="N103" s="2"/>
    </row>
    <row r="104" customFormat="false" ht="15" hidden="false" customHeight="false" outlineLevel="0" collapsed="false">
      <c r="A104" s="30" t="str">
        <f aca="false">IF(03_FRFデータ貼付!B84="","",03_FRFデータ貼付!A84)</f>
        <v/>
      </c>
      <c r="B104" s="61" t="str">
        <f aca="false">IF(03_FRFデータ貼付!B84="","",03_FRFデータ貼付!B84)</f>
        <v/>
      </c>
      <c r="C104" s="54" t="str">
        <f aca="false">IF(03_FRFデータ貼付!B84="","",03_FRFデータ貼付!E84)</f>
        <v/>
      </c>
      <c r="D104" s="53" t="str">
        <f aca="false">IF(OR(C104="",$E$7=0),"",C104/$E$7)</f>
        <v/>
      </c>
      <c r="E104" s="9" t="str">
        <f aca="false">IF(C104="","",IF(B104&lt;$E$6,"上り","下り"))</f>
        <v/>
      </c>
      <c r="F104" s="101" t="str">
        <f aca="false">IF(OR(C104="",C105=""),"",IF(AND(B105&lt;=$E$6,C104&lt;$E$7,C105&gt;=$E$7),B104+(B105-B104)*($E$7-C104)/(C105-C104),""))</f>
        <v/>
      </c>
      <c r="G104" s="101" t="str">
        <f aca="false">IF(OR(C104="",C105=""),"",IF(AND(B104&gt;=$E$6,C104&gt;=$E$7,C105&lt;$E$7),B104+(B105-B104)*($E$7-C104)/(C105-C104),""))</f>
        <v/>
      </c>
      <c r="H104" s="102" t="str">
        <f aca="false">IF(F104&lt;&gt;"","← 下側の半値点",IF(G104&lt;&gt;"","← 上側の半値点",""))</f>
        <v/>
      </c>
      <c r="I104" s="2"/>
      <c r="J104" s="2"/>
      <c r="K104" s="2"/>
      <c r="L104" s="2"/>
      <c r="M104" s="2"/>
      <c r="N104" s="2"/>
    </row>
    <row r="105" customFormat="false" ht="15" hidden="false" customHeight="false" outlineLevel="0" collapsed="false">
      <c r="A105" s="30" t="str">
        <f aca="false">IF(03_FRFデータ貼付!B85="","",03_FRFデータ貼付!A85)</f>
        <v/>
      </c>
      <c r="B105" s="61" t="str">
        <f aca="false">IF(03_FRFデータ貼付!B85="","",03_FRFデータ貼付!B85)</f>
        <v/>
      </c>
      <c r="C105" s="54" t="str">
        <f aca="false">IF(03_FRFデータ貼付!B85="","",03_FRFデータ貼付!E85)</f>
        <v/>
      </c>
      <c r="D105" s="53" t="str">
        <f aca="false">IF(OR(C105="",$E$7=0),"",C105/$E$7)</f>
        <v/>
      </c>
      <c r="E105" s="9" t="str">
        <f aca="false">IF(C105="","",IF(B105&lt;$E$6,"上り","下り"))</f>
        <v/>
      </c>
      <c r="F105" s="101" t="str">
        <f aca="false">IF(OR(C105="",C106=""),"",IF(AND(B106&lt;=$E$6,C105&lt;$E$7,C106&gt;=$E$7),B105+(B106-B105)*($E$7-C105)/(C106-C105),""))</f>
        <v/>
      </c>
      <c r="G105" s="101" t="str">
        <f aca="false">IF(OR(C105="",C106=""),"",IF(AND(B105&gt;=$E$6,C105&gt;=$E$7,C106&lt;$E$7),B105+(B106-B105)*($E$7-C105)/(C106-C105),""))</f>
        <v/>
      </c>
      <c r="H105" s="102" t="str">
        <f aca="false">IF(F105&lt;&gt;"","← 下側の半値点",IF(G105&lt;&gt;"","← 上側の半値点",""))</f>
        <v/>
      </c>
      <c r="I105" s="2"/>
      <c r="J105" s="2"/>
      <c r="K105" s="2"/>
      <c r="L105" s="2"/>
      <c r="M105" s="2"/>
      <c r="N105" s="2"/>
    </row>
    <row r="106" customFormat="false" ht="15" hidden="false" customHeight="false" outlineLevel="0" collapsed="false">
      <c r="A106" s="30" t="str">
        <f aca="false">IF(03_FRFデータ貼付!B86="","",03_FRFデータ貼付!A86)</f>
        <v/>
      </c>
      <c r="B106" s="61" t="str">
        <f aca="false">IF(03_FRFデータ貼付!B86="","",03_FRFデータ貼付!B86)</f>
        <v/>
      </c>
      <c r="C106" s="54" t="str">
        <f aca="false">IF(03_FRFデータ貼付!B86="","",03_FRFデータ貼付!E86)</f>
        <v/>
      </c>
      <c r="D106" s="53" t="str">
        <f aca="false">IF(OR(C106="",$E$7=0),"",C106/$E$7)</f>
        <v/>
      </c>
      <c r="E106" s="9" t="str">
        <f aca="false">IF(C106="","",IF(B106&lt;$E$6,"上り","下り"))</f>
        <v/>
      </c>
      <c r="F106" s="101" t="str">
        <f aca="false">IF(OR(C106="",C107=""),"",IF(AND(B107&lt;=$E$6,C106&lt;$E$7,C107&gt;=$E$7),B106+(B107-B106)*($E$7-C106)/(C107-C106),""))</f>
        <v/>
      </c>
      <c r="G106" s="101" t="str">
        <f aca="false">IF(OR(C106="",C107=""),"",IF(AND(B106&gt;=$E$6,C106&gt;=$E$7,C107&lt;$E$7),B106+(B107-B106)*($E$7-C106)/(C107-C106),""))</f>
        <v/>
      </c>
      <c r="H106" s="102" t="str">
        <f aca="false">IF(F106&lt;&gt;"","← 下側の半値点",IF(G106&lt;&gt;"","← 上側の半値点",""))</f>
        <v/>
      </c>
      <c r="I106" s="2"/>
      <c r="J106" s="2"/>
      <c r="K106" s="2"/>
      <c r="L106" s="2"/>
      <c r="M106" s="2"/>
      <c r="N106" s="2"/>
    </row>
    <row r="107" customFormat="false" ht="15" hidden="false" customHeight="false" outlineLevel="0" collapsed="false">
      <c r="A107" s="30" t="str">
        <f aca="false">IF(03_FRFデータ貼付!B87="","",03_FRFデータ貼付!A87)</f>
        <v/>
      </c>
      <c r="B107" s="61" t="str">
        <f aca="false">IF(03_FRFデータ貼付!B87="","",03_FRFデータ貼付!B87)</f>
        <v/>
      </c>
      <c r="C107" s="54" t="str">
        <f aca="false">IF(03_FRFデータ貼付!B87="","",03_FRFデータ貼付!E87)</f>
        <v/>
      </c>
      <c r="D107" s="53" t="str">
        <f aca="false">IF(OR(C107="",$E$7=0),"",C107/$E$7)</f>
        <v/>
      </c>
      <c r="E107" s="9" t="str">
        <f aca="false">IF(C107="","",IF(B107&lt;$E$6,"上り","下り"))</f>
        <v/>
      </c>
      <c r="F107" s="101" t="str">
        <f aca="false">IF(OR(C107="",C108=""),"",IF(AND(B108&lt;=$E$6,C107&lt;$E$7,C108&gt;=$E$7),B107+(B108-B107)*($E$7-C107)/(C108-C107),""))</f>
        <v/>
      </c>
      <c r="G107" s="101" t="str">
        <f aca="false">IF(OR(C107="",C108=""),"",IF(AND(B107&gt;=$E$6,C107&gt;=$E$7,C108&lt;$E$7),B107+(B108-B107)*($E$7-C107)/(C108-C107),""))</f>
        <v/>
      </c>
      <c r="H107" s="102" t="str">
        <f aca="false">IF(F107&lt;&gt;"","← 下側の半値点",IF(G107&lt;&gt;"","← 上側の半値点",""))</f>
        <v/>
      </c>
      <c r="I107" s="2"/>
      <c r="J107" s="2"/>
      <c r="K107" s="2"/>
      <c r="L107" s="2"/>
      <c r="M107" s="2"/>
      <c r="N107" s="2"/>
    </row>
    <row r="108" customFormat="false" ht="15" hidden="false" customHeight="false" outlineLevel="0" collapsed="false">
      <c r="A108" s="30" t="str">
        <f aca="false">IF(03_FRFデータ貼付!B88="","",03_FRFデータ貼付!A88)</f>
        <v/>
      </c>
      <c r="B108" s="61" t="str">
        <f aca="false">IF(03_FRFデータ貼付!B88="","",03_FRFデータ貼付!B88)</f>
        <v/>
      </c>
      <c r="C108" s="54" t="str">
        <f aca="false">IF(03_FRFデータ貼付!B88="","",03_FRFデータ貼付!E88)</f>
        <v/>
      </c>
      <c r="D108" s="53" t="str">
        <f aca="false">IF(OR(C108="",$E$7=0),"",C108/$E$7)</f>
        <v/>
      </c>
      <c r="E108" s="9" t="str">
        <f aca="false">IF(C108="","",IF(B108&lt;$E$6,"上り","下り"))</f>
        <v/>
      </c>
      <c r="F108" s="101" t="str">
        <f aca="false">IF(OR(C108="",C109=""),"",IF(AND(B109&lt;=$E$6,C108&lt;$E$7,C109&gt;=$E$7),B108+(B109-B108)*($E$7-C108)/(C109-C108),""))</f>
        <v/>
      </c>
      <c r="G108" s="101" t="str">
        <f aca="false">IF(OR(C108="",C109=""),"",IF(AND(B108&gt;=$E$6,C108&gt;=$E$7,C109&lt;$E$7),B108+(B109-B108)*($E$7-C108)/(C109-C108),""))</f>
        <v/>
      </c>
      <c r="H108" s="102" t="str">
        <f aca="false">IF(F108&lt;&gt;"","← 下側の半値点",IF(G108&lt;&gt;"","← 上側の半値点",""))</f>
        <v/>
      </c>
      <c r="I108" s="2"/>
      <c r="J108" s="2"/>
      <c r="K108" s="2"/>
      <c r="L108" s="2"/>
      <c r="M108" s="2"/>
      <c r="N108" s="2"/>
    </row>
    <row r="109" customFormat="false" ht="15" hidden="false" customHeight="false" outlineLevel="0" collapsed="false">
      <c r="A109" s="30" t="str">
        <f aca="false">IF(03_FRFデータ貼付!B89="","",03_FRFデータ貼付!A89)</f>
        <v/>
      </c>
      <c r="B109" s="61" t="str">
        <f aca="false">IF(03_FRFデータ貼付!B89="","",03_FRFデータ貼付!B89)</f>
        <v/>
      </c>
      <c r="C109" s="54" t="str">
        <f aca="false">IF(03_FRFデータ貼付!B89="","",03_FRFデータ貼付!E89)</f>
        <v/>
      </c>
      <c r="D109" s="53" t="str">
        <f aca="false">IF(OR(C109="",$E$7=0),"",C109/$E$7)</f>
        <v/>
      </c>
      <c r="E109" s="9" t="str">
        <f aca="false">IF(C109="","",IF(B109&lt;$E$6,"上り","下り"))</f>
        <v/>
      </c>
      <c r="F109" s="101" t="str">
        <f aca="false">IF(OR(C109="",C110=""),"",IF(AND(B110&lt;=$E$6,C109&lt;$E$7,C110&gt;=$E$7),B109+(B110-B109)*($E$7-C109)/(C110-C109),""))</f>
        <v/>
      </c>
      <c r="G109" s="101" t="str">
        <f aca="false">IF(OR(C109="",C110=""),"",IF(AND(B109&gt;=$E$6,C109&gt;=$E$7,C110&lt;$E$7),B109+(B110-B109)*($E$7-C109)/(C110-C109),""))</f>
        <v/>
      </c>
      <c r="H109" s="102" t="str">
        <f aca="false">IF(F109&lt;&gt;"","← 下側の半値点",IF(G109&lt;&gt;"","← 上側の半値点",""))</f>
        <v/>
      </c>
      <c r="I109" s="2"/>
      <c r="J109" s="2"/>
      <c r="K109" s="2"/>
      <c r="L109" s="2"/>
      <c r="M109" s="2"/>
      <c r="N109" s="2"/>
    </row>
    <row r="110" customFormat="false" ht="15" hidden="false" customHeight="false" outlineLevel="0" collapsed="false">
      <c r="A110" s="30" t="str">
        <f aca="false">IF(03_FRFデータ貼付!B90="","",03_FRFデータ貼付!A90)</f>
        <v/>
      </c>
      <c r="B110" s="61" t="str">
        <f aca="false">IF(03_FRFデータ貼付!B90="","",03_FRFデータ貼付!B90)</f>
        <v/>
      </c>
      <c r="C110" s="54" t="str">
        <f aca="false">IF(03_FRFデータ貼付!B90="","",03_FRFデータ貼付!E90)</f>
        <v/>
      </c>
      <c r="D110" s="53" t="str">
        <f aca="false">IF(OR(C110="",$E$7=0),"",C110/$E$7)</f>
        <v/>
      </c>
      <c r="E110" s="9" t="str">
        <f aca="false">IF(C110="","",IF(B110&lt;$E$6,"上り","下り"))</f>
        <v/>
      </c>
      <c r="F110" s="101" t="str">
        <f aca="false">IF(OR(C110="",C111=""),"",IF(AND(B111&lt;=$E$6,C110&lt;$E$7,C111&gt;=$E$7),B110+(B111-B110)*($E$7-C110)/(C111-C110),""))</f>
        <v/>
      </c>
      <c r="G110" s="101" t="str">
        <f aca="false">IF(OR(C110="",C111=""),"",IF(AND(B110&gt;=$E$6,C110&gt;=$E$7,C111&lt;$E$7),B110+(B111-B110)*($E$7-C110)/(C111-C110),""))</f>
        <v/>
      </c>
      <c r="H110" s="102" t="str">
        <f aca="false">IF(F110&lt;&gt;"","← 下側の半値点",IF(G110&lt;&gt;"","← 上側の半値点",""))</f>
        <v/>
      </c>
      <c r="I110" s="2"/>
      <c r="J110" s="2"/>
      <c r="K110" s="2"/>
      <c r="L110" s="2"/>
      <c r="M110" s="2"/>
      <c r="N110" s="2"/>
    </row>
    <row r="111" customFormat="false" ht="15" hidden="false" customHeight="false" outlineLevel="0" collapsed="false">
      <c r="A111" s="30" t="str">
        <f aca="false">IF(03_FRFデータ貼付!B91="","",03_FRFデータ貼付!A91)</f>
        <v/>
      </c>
      <c r="B111" s="61" t="str">
        <f aca="false">IF(03_FRFデータ貼付!B91="","",03_FRFデータ貼付!B91)</f>
        <v/>
      </c>
      <c r="C111" s="54" t="str">
        <f aca="false">IF(03_FRFデータ貼付!B91="","",03_FRFデータ貼付!E91)</f>
        <v/>
      </c>
      <c r="D111" s="53" t="str">
        <f aca="false">IF(OR(C111="",$E$7=0),"",C111/$E$7)</f>
        <v/>
      </c>
      <c r="E111" s="9" t="str">
        <f aca="false">IF(C111="","",IF(B111&lt;$E$6,"上り","下り"))</f>
        <v/>
      </c>
      <c r="F111" s="101" t="str">
        <f aca="false">IF(OR(C111="",C112=""),"",IF(AND(B112&lt;=$E$6,C111&lt;$E$7,C112&gt;=$E$7),B111+(B112-B111)*($E$7-C111)/(C112-C111),""))</f>
        <v/>
      </c>
      <c r="G111" s="101" t="str">
        <f aca="false">IF(OR(C111="",C112=""),"",IF(AND(B111&gt;=$E$6,C111&gt;=$E$7,C112&lt;$E$7),B111+(B112-B111)*($E$7-C111)/(C112-C111),""))</f>
        <v/>
      </c>
      <c r="H111" s="102" t="str">
        <f aca="false">IF(F111&lt;&gt;"","← 下側の半値点",IF(G111&lt;&gt;"","← 上側の半値点",""))</f>
        <v/>
      </c>
      <c r="I111" s="2"/>
      <c r="J111" s="2"/>
      <c r="K111" s="2"/>
      <c r="L111" s="2"/>
      <c r="M111" s="2"/>
      <c r="N111" s="2"/>
    </row>
    <row r="112" customFormat="false" ht="15" hidden="false" customHeight="false" outlineLevel="0" collapsed="false">
      <c r="A112" s="30" t="str">
        <f aca="false">IF(03_FRFデータ貼付!B92="","",03_FRFデータ貼付!A92)</f>
        <v/>
      </c>
      <c r="B112" s="61" t="str">
        <f aca="false">IF(03_FRFデータ貼付!B92="","",03_FRFデータ貼付!B92)</f>
        <v/>
      </c>
      <c r="C112" s="54" t="str">
        <f aca="false">IF(03_FRFデータ貼付!B92="","",03_FRFデータ貼付!E92)</f>
        <v/>
      </c>
      <c r="D112" s="53" t="str">
        <f aca="false">IF(OR(C112="",$E$7=0),"",C112/$E$7)</f>
        <v/>
      </c>
      <c r="E112" s="9" t="str">
        <f aca="false">IF(C112="","",IF(B112&lt;$E$6,"上り","下り"))</f>
        <v/>
      </c>
      <c r="F112" s="101" t="str">
        <f aca="false">IF(OR(C112="",C113=""),"",IF(AND(B113&lt;=$E$6,C112&lt;$E$7,C113&gt;=$E$7),B112+(B113-B112)*($E$7-C112)/(C113-C112),""))</f>
        <v/>
      </c>
      <c r="G112" s="101" t="str">
        <f aca="false">IF(OR(C112="",C113=""),"",IF(AND(B112&gt;=$E$6,C112&gt;=$E$7,C113&lt;$E$7),B112+(B113-B112)*($E$7-C112)/(C113-C112),""))</f>
        <v/>
      </c>
      <c r="H112" s="102" t="str">
        <f aca="false">IF(F112&lt;&gt;"","← 下側の半値点",IF(G112&lt;&gt;"","← 上側の半値点",""))</f>
        <v/>
      </c>
      <c r="I112" s="2"/>
      <c r="J112" s="2"/>
      <c r="K112" s="2"/>
      <c r="L112" s="2"/>
      <c r="M112" s="2"/>
      <c r="N112" s="2"/>
    </row>
    <row r="113" customFormat="false" ht="15" hidden="false" customHeight="false" outlineLevel="0" collapsed="false">
      <c r="A113" s="30" t="str">
        <f aca="false">IF(03_FRFデータ貼付!B93="","",03_FRFデータ貼付!A93)</f>
        <v/>
      </c>
      <c r="B113" s="61" t="str">
        <f aca="false">IF(03_FRFデータ貼付!B93="","",03_FRFデータ貼付!B93)</f>
        <v/>
      </c>
      <c r="C113" s="54" t="str">
        <f aca="false">IF(03_FRFデータ貼付!B93="","",03_FRFデータ貼付!E93)</f>
        <v/>
      </c>
      <c r="D113" s="53" t="str">
        <f aca="false">IF(OR(C113="",$E$7=0),"",C113/$E$7)</f>
        <v/>
      </c>
      <c r="E113" s="9" t="str">
        <f aca="false">IF(C113="","",IF(B113&lt;$E$6,"上り","下り"))</f>
        <v/>
      </c>
      <c r="F113" s="101" t="str">
        <f aca="false">IF(OR(C113="",C114=""),"",IF(AND(B114&lt;=$E$6,C113&lt;$E$7,C114&gt;=$E$7),B113+(B114-B113)*($E$7-C113)/(C114-C113),""))</f>
        <v/>
      </c>
      <c r="G113" s="101" t="str">
        <f aca="false">IF(OR(C113="",C114=""),"",IF(AND(B113&gt;=$E$6,C113&gt;=$E$7,C114&lt;$E$7),B113+(B114-B113)*($E$7-C113)/(C114-C113),""))</f>
        <v/>
      </c>
      <c r="H113" s="102" t="str">
        <f aca="false">IF(F113&lt;&gt;"","← 下側の半値点",IF(G113&lt;&gt;"","← 上側の半値点",""))</f>
        <v/>
      </c>
      <c r="I113" s="2"/>
      <c r="J113" s="2"/>
      <c r="K113" s="2"/>
      <c r="L113" s="2"/>
      <c r="M113" s="2"/>
      <c r="N113" s="2"/>
    </row>
    <row r="114" customFormat="false" ht="15" hidden="false" customHeight="false" outlineLevel="0" collapsed="false">
      <c r="A114" s="30" t="str">
        <f aca="false">IF(03_FRFデータ貼付!B94="","",03_FRFデータ貼付!A94)</f>
        <v/>
      </c>
      <c r="B114" s="61" t="str">
        <f aca="false">IF(03_FRFデータ貼付!B94="","",03_FRFデータ貼付!B94)</f>
        <v/>
      </c>
      <c r="C114" s="54" t="str">
        <f aca="false">IF(03_FRFデータ貼付!B94="","",03_FRFデータ貼付!E94)</f>
        <v/>
      </c>
      <c r="D114" s="53" t="str">
        <f aca="false">IF(OR(C114="",$E$7=0),"",C114/$E$7)</f>
        <v/>
      </c>
      <c r="E114" s="9" t="str">
        <f aca="false">IF(C114="","",IF(B114&lt;$E$6,"上り","下り"))</f>
        <v/>
      </c>
      <c r="F114" s="101" t="str">
        <f aca="false">IF(OR(C114="",C115=""),"",IF(AND(B115&lt;=$E$6,C114&lt;$E$7,C115&gt;=$E$7),B114+(B115-B114)*($E$7-C114)/(C115-C114),""))</f>
        <v/>
      </c>
      <c r="G114" s="101" t="str">
        <f aca="false">IF(OR(C114="",C115=""),"",IF(AND(B114&gt;=$E$6,C114&gt;=$E$7,C115&lt;$E$7),B114+(B115-B114)*($E$7-C114)/(C115-C114),""))</f>
        <v/>
      </c>
      <c r="H114" s="102" t="str">
        <f aca="false">IF(F114&lt;&gt;"","← 下側の半値点",IF(G114&lt;&gt;"","← 上側の半値点",""))</f>
        <v/>
      </c>
      <c r="I114" s="2"/>
      <c r="J114" s="2"/>
      <c r="K114" s="2"/>
      <c r="L114" s="2"/>
      <c r="M114" s="2"/>
      <c r="N114" s="2"/>
    </row>
    <row r="115" customFormat="false" ht="15" hidden="false" customHeight="false" outlineLevel="0" collapsed="false">
      <c r="A115" s="30" t="str">
        <f aca="false">IF(03_FRFデータ貼付!B95="","",03_FRFデータ貼付!A95)</f>
        <v/>
      </c>
      <c r="B115" s="61" t="str">
        <f aca="false">IF(03_FRFデータ貼付!B95="","",03_FRFデータ貼付!B95)</f>
        <v/>
      </c>
      <c r="C115" s="54" t="str">
        <f aca="false">IF(03_FRFデータ貼付!B95="","",03_FRFデータ貼付!E95)</f>
        <v/>
      </c>
      <c r="D115" s="53" t="str">
        <f aca="false">IF(OR(C115="",$E$7=0),"",C115/$E$7)</f>
        <v/>
      </c>
      <c r="E115" s="9" t="str">
        <f aca="false">IF(C115="","",IF(B115&lt;$E$6,"上り","下り"))</f>
        <v/>
      </c>
      <c r="F115" s="101" t="str">
        <f aca="false">IF(OR(C115="",C116=""),"",IF(AND(B116&lt;=$E$6,C115&lt;$E$7,C116&gt;=$E$7),B115+(B116-B115)*($E$7-C115)/(C116-C115),""))</f>
        <v/>
      </c>
      <c r="G115" s="101" t="str">
        <f aca="false">IF(OR(C115="",C116=""),"",IF(AND(B115&gt;=$E$6,C115&gt;=$E$7,C116&lt;$E$7),B115+(B116-B115)*($E$7-C115)/(C116-C115),""))</f>
        <v/>
      </c>
      <c r="H115" s="102" t="str">
        <f aca="false">IF(F115&lt;&gt;"","← 下側の半値点",IF(G115&lt;&gt;"","← 上側の半値点",""))</f>
        <v/>
      </c>
      <c r="I115" s="2"/>
      <c r="J115" s="2"/>
      <c r="K115" s="2"/>
      <c r="L115" s="2"/>
      <c r="M115" s="2"/>
      <c r="N115" s="2"/>
    </row>
    <row r="116" customFormat="false" ht="15" hidden="false" customHeight="false" outlineLevel="0" collapsed="false">
      <c r="A116" s="30" t="str">
        <f aca="false">IF(03_FRFデータ貼付!B96="","",03_FRFデータ貼付!A96)</f>
        <v/>
      </c>
      <c r="B116" s="61" t="str">
        <f aca="false">IF(03_FRFデータ貼付!B96="","",03_FRFデータ貼付!B96)</f>
        <v/>
      </c>
      <c r="C116" s="54" t="str">
        <f aca="false">IF(03_FRFデータ貼付!B96="","",03_FRFデータ貼付!E96)</f>
        <v/>
      </c>
      <c r="D116" s="53" t="str">
        <f aca="false">IF(OR(C116="",$E$7=0),"",C116/$E$7)</f>
        <v/>
      </c>
      <c r="E116" s="9" t="str">
        <f aca="false">IF(C116="","",IF(B116&lt;$E$6,"上り","下り"))</f>
        <v/>
      </c>
      <c r="F116" s="101" t="str">
        <f aca="false">IF(OR(C116="",C117=""),"",IF(AND(B117&lt;=$E$6,C116&lt;$E$7,C117&gt;=$E$7),B116+(B117-B116)*($E$7-C116)/(C117-C116),""))</f>
        <v/>
      </c>
      <c r="G116" s="101" t="str">
        <f aca="false">IF(OR(C116="",C117=""),"",IF(AND(B116&gt;=$E$6,C116&gt;=$E$7,C117&lt;$E$7),B116+(B117-B116)*($E$7-C116)/(C117-C116),""))</f>
        <v/>
      </c>
      <c r="H116" s="102" t="str">
        <f aca="false">IF(F116&lt;&gt;"","← 下側の半値点",IF(G116&lt;&gt;"","← 上側の半値点",""))</f>
        <v/>
      </c>
      <c r="I116" s="2"/>
      <c r="J116" s="2"/>
      <c r="K116" s="2"/>
      <c r="L116" s="2"/>
      <c r="M116" s="2"/>
      <c r="N116" s="2"/>
    </row>
    <row r="117" customFormat="false" ht="15" hidden="false" customHeight="false" outlineLevel="0" collapsed="false">
      <c r="A117" s="30" t="str">
        <f aca="false">IF(03_FRFデータ貼付!B97="","",03_FRFデータ貼付!A97)</f>
        <v/>
      </c>
      <c r="B117" s="61" t="str">
        <f aca="false">IF(03_FRFデータ貼付!B97="","",03_FRFデータ貼付!B97)</f>
        <v/>
      </c>
      <c r="C117" s="54" t="str">
        <f aca="false">IF(03_FRFデータ貼付!B97="","",03_FRFデータ貼付!E97)</f>
        <v/>
      </c>
      <c r="D117" s="53" t="str">
        <f aca="false">IF(OR(C117="",$E$7=0),"",C117/$E$7)</f>
        <v/>
      </c>
      <c r="E117" s="9" t="str">
        <f aca="false">IF(C117="","",IF(B117&lt;$E$6,"上り","下り"))</f>
        <v/>
      </c>
      <c r="F117" s="101" t="str">
        <f aca="false">IF(OR(C117="",C118=""),"",IF(AND(B118&lt;=$E$6,C117&lt;$E$7,C118&gt;=$E$7),B117+(B118-B117)*($E$7-C117)/(C118-C117),""))</f>
        <v/>
      </c>
      <c r="G117" s="101" t="str">
        <f aca="false">IF(OR(C117="",C118=""),"",IF(AND(B117&gt;=$E$6,C117&gt;=$E$7,C118&lt;$E$7),B117+(B118-B117)*($E$7-C117)/(C118-C117),""))</f>
        <v/>
      </c>
      <c r="H117" s="102" t="str">
        <f aca="false">IF(F117&lt;&gt;"","← 下側の半値点",IF(G117&lt;&gt;"","← 上側の半値点",""))</f>
        <v/>
      </c>
      <c r="I117" s="2"/>
      <c r="J117" s="2"/>
      <c r="K117" s="2"/>
      <c r="L117" s="2"/>
      <c r="M117" s="2"/>
      <c r="N117" s="2"/>
    </row>
    <row r="118" customFormat="false" ht="15" hidden="false" customHeight="false" outlineLevel="0" collapsed="false">
      <c r="A118" s="30" t="str">
        <f aca="false">IF(03_FRFデータ貼付!B98="","",03_FRFデータ貼付!A98)</f>
        <v/>
      </c>
      <c r="B118" s="61" t="str">
        <f aca="false">IF(03_FRFデータ貼付!B98="","",03_FRFデータ貼付!B98)</f>
        <v/>
      </c>
      <c r="C118" s="54" t="str">
        <f aca="false">IF(03_FRFデータ貼付!B98="","",03_FRFデータ貼付!E98)</f>
        <v/>
      </c>
      <c r="D118" s="53" t="str">
        <f aca="false">IF(OR(C118="",$E$7=0),"",C118/$E$7)</f>
        <v/>
      </c>
      <c r="E118" s="9" t="str">
        <f aca="false">IF(C118="","",IF(B118&lt;$E$6,"上り","下り"))</f>
        <v/>
      </c>
      <c r="F118" s="101" t="str">
        <f aca="false">IF(OR(C118="",C119=""),"",IF(AND(B119&lt;=$E$6,C118&lt;$E$7,C119&gt;=$E$7),B118+(B119-B118)*($E$7-C118)/(C119-C118),""))</f>
        <v/>
      </c>
      <c r="G118" s="101" t="str">
        <f aca="false">IF(OR(C118="",C119=""),"",IF(AND(B118&gt;=$E$6,C118&gt;=$E$7,C119&lt;$E$7),B118+(B119-B118)*($E$7-C118)/(C119-C118),""))</f>
        <v/>
      </c>
      <c r="H118" s="102" t="str">
        <f aca="false">IF(F118&lt;&gt;"","← 下側の半値点",IF(G118&lt;&gt;"","← 上側の半値点",""))</f>
        <v/>
      </c>
      <c r="I118" s="2"/>
      <c r="J118" s="2"/>
      <c r="K118" s="2"/>
      <c r="L118" s="2"/>
      <c r="M118" s="2"/>
      <c r="N118" s="2"/>
    </row>
    <row r="119" customFormat="false" ht="15" hidden="false" customHeight="false" outlineLevel="0" collapsed="false">
      <c r="A119" s="30" t="str">
        <f aca="false">IF(03_FRFデータ貼付!B99="","",03_FRFデータ貼付!A99)</f>
        <v/>
      </c>
      <c r="B119" s="61" t="str">
        <f aca="false">IF(03_FRFデータ貼付!B99="","",03_FRFデータ貼付!B99)</f>
        <v/>
      </c>
      <c r="C119" s="54" t="str">
        <f aca="false">IF(03_FRFデータ貼付!B99="","",03_FRFデータ貼付!E99)</f>
        <v/>
      </c>
      <c r="D119" s="53" t="str">
        <f aca="false">IF(OR(C119="",$E$7=0),"",C119/$E$7)</f>
        <v/>
      </c>
      <c r="E119" s="9" t="str">
        <f aca="false">IF(C119="","",IF(B119&lt;$E$6,"上り","下り"))</f>
        <v/>
      </c>
      <c r="F119" s="101" t="str">
        <f aca="false">IF(OR(C119="",C120=""),"",IF(AND(B120&lt;=$E$6,C119&lt;$E$7,C120&gt;=$E$7),B119+(B120-B119)*($E$7-C119)/(C120-C119),""))</f>
        <v/>
      </c>
      <c r="G119" s="101" t="str">
        <f aca="false">IF(OR(C119="",C120=""),"",IF(AND(B119&gt;=$E$6,C119&gt;=$E$7,C120&lt;$E$7),B119+(B120-B119)*($E$7-C119)/(C120-C119),""))</f>
        <v/>
      </c>
      <c r="H119" s="102" t="str">
        <f aca="false">IF(F119&lt;&gt;"","← 下側の半値点",IF(G119&lt;&gt;"","← 上側の半値点",""))</f>
        <v/>
      </c>
      <c r="I119" s="2"/>
      <c r="J119" s="2"/>
      <c r="K119" s="2"/>
      <c r="L119" s="2"/>
      <c r="M119" s="2"/>
      <c r="N119" s="2"/>
    </row>
    <row r="120" customFormat="false" ht="15" hidden="false" customHeight="false" outlineLevel="0" collapsed="false">
      <c r="A120" s="30" t="str">
        <f aca="false">IF(03_FRFデータ貼付!B100="","",03_FRFデータ貼付!A100)</f>
        <v/>
      </c>
      <c r="B120" s="61" t="str">
        <f aca="false">IF(03_FRFデータ貼付!B100="","",03_FRFデータ貼付!B100)</f>
        <v/>
      </c>
      <c r="C120" s="54" t="str">
        <f aca="false">IF(03_FRFデータ貼付!B100="","",03_FRFデータ貼付!E100)</f>
        <v/>
      </c>
      <c r="D120" s="53" t="str">
        <f aca="false">IF(OR(C120="",$E$7=0),"",C120/$E$7)</f>
        <v/>
      </c>
      <c r="E120" s="9" t="str">
        <f aca="false">IF(C120="","",IF(B120&lt;$E$6,"上り","下り"))</f>
        <v/>
      </c>
      <c r="F120" s="101" t="str">
        <f aca="false">IF(OR(C120="",C121=""),"",IF(AND(B121&lt;=$E$6,C120&lt;$E$7,C121&gt;=$E$7),B120+(B121-B120)*($E$7-C120)/(C121-C120),""))</f>
        <v/>
      </c>
      <c r="G120" s="101" t="str">
        <f aca="false">IF(OR(C120="",C121=""),"",IF(AND(B120&gt;=$E$6,C120&gt;=$E$7,C121&lt;$E$7),B120+(B121-B120)*($E$7-C120)/(C121-C120),""))</f>
        <v/>
      </c>
      <c r="H120" s="102" t="str">
        <f aca="false">IF(F120&lt;&gt;"","← 下側の半値点",IF(G120&lt;&gt;"","← 上側の半値点",""))</f>
        <v/>
      </c>
      <c r="I120" s="2"/>
      <c r="J120" s="2"/>
      <c r="K120" s="2"/>
      <c r="L120" s="2"/>
      <c r="M120" s="2"/>
      <c r="N120" s="2"/>
    </row>
    <row r="121" customFormat="false" ht="15" hidden="false" customHeight="false" outlineLevel="0" collapsed="false">
      <c r="A121" s="30" t="str">
        <f aca="false">IF(03_FRFデータ貼付!B101="","",03_FRFデータ貼付!A101)</f>
        <v/>
      </c>
      <c r="B121" s="61" t="str">
        <f aca="false">IF(03_FRFデータ貼付!B101="","",03_FRFデータ貼付!B101)</f>
        <v/>
      </c>
      <c r="C121" s="54" t="str">
        <f aca="false">IF(03_FRFデータ貼付!B101="","",03_FRFデータ貼付!E101)</f>
        <v/>
      </c>
      <c r="D121" s="53" t="str">
        <f aca="false">IF(OR(C121="",$E$7=0),"",C121/$E$7)</f>
        <v/>
      </c>
      <c r="E121" s="9" t="str">
        <f aca="false">IF(C121="","",IF(B121&lt;$E$6,"上り","下り"))</f>
        <v/>
      </c>
      <c r="F121" s="101" t="str">
        <f aca="false">IF(OR(C121="",C122=""),"",IF(AND(B122&lt;=$E$6,C121&lt;$E$7,C122&gt;=$E$7),B121+(B122-B121)*($E$7-C121)/(C122-C121),""))</f>
        <v/>
      </c>
      <c r="G121" s="101" t="str">
        <f aca="false">IF(OR(C121="",C122=""),"",IF(AND(B121&gt;=$E$6,C121&gt;=$E$7,C122&lt;$E$7),B121+(B122-B121)*($E$7-C121)/(C122-C121),""))</f>
        <v/>
      </c>
      <c r="H121" s="102" t="str">
        <f aca="false">IF(F121&lt;&gt;"","← 下側の半値点",IF(G121&lt;&gt;"","← 上側の半値点",""))</f>
        <v/>
      </c>
      <c r="I121" s="2"/>
      <c r="J121" s="2"/>
      <c r="K121" s="2"/>
      <c r="L121" s="2"/>
      <c r="M121" s="2"/>
      <c r="N121" s="2"/>
    </row>
    <row r="122" customFormat="false" ht="15" hidden="false" customHeight="false" outlineLevel="0" collapsed="false">
      <c r="A122" s="30" t="str">
        <f aca="false">IF(03_FRFデータ貼付!B102="","",03_FRFデータ貼付!A102)</f>
        <v/>
      </c>
      <c r="B122" s="61" t="str">
        <f aca="false">IF(03_FRFデータ貼付!B102="","",03_FRFデータ貼付!B102)</f>
        <v/>
      </c>
      <c r="C122" s="54" t="str">
        <f aca="false">IF(03_FRFデータ貼付!B102="","",03_FRFデータ貼付!E102)</f>
        <v/>
      </c>
      <c r="D122" s="53" t="str">
        <f aca="false">IF(OR(C122="",$E$7=0),"",C122/$E$7)</f>
        <v/>
      </c>
      <c r="E122" s="9" t="str">
        <f aca="false">IF(C122="","",IF(B122&lt;$E$6,"上り","下り"))</f>
        <v/>
      </c>
      <c r="F122" s="101" t="str">
        <f aca="false">IF(OR(C122="",C123=""),"",IF(AND(B123&lt;=$E$6,C122&lt;$E$7,C123&gt;=$E$7),B122+(B123-B122)*($E$7-C122)/(C123-C122),""))</f>
        <v/>
      </c>
      <c r="G122" s="101" t="str">
        <f aca="false">IF(OR(C122="",C123=""),"",IF(AND(B122&gt;=$E$6,C122&gt;=$E$7,C123&lt;$E$7),B122+(B123-B122)*($E$7-C122)/(C123-C122),""))</f>
        <v/>
      </c>
      <c r="H122" s="102" t="str">
        <f aca="false">IF(F122&lt;&gt;"","← 下側の半値点",IF(G122&lt;&gt;"","← 上側の半値点",""))</f>
        <v/>
      </c>
      <c r="I122" s="2"/>
      <c r="J122" s="2"/>
      <c r="K122" s="2"/>
      <c r="L122" s="2"/>
      <c r="M122" s="2"/>
      <c r="N122" s="2"/>
    </row>
    <row r="123" customFormat="false" ht="15" hidden="false" customHeight="false" outlineLevel="0" collapsed="false">
      <c r="A123" s="30" t="str">
        <f aca="false">IF(03_FRFデータ貼付!B103="","",03_FRFデータ貼付!A103)</f>
        <v/>
      </c>
      <c r="B123" s="61" t="str">
        <f aca="false">IF(03_FRFデータ貼付!B103="","",03_FRFデータ貼付!B103)</f>
        <v/>
      </c>
      <c r="C123" s="54" t="str">
        <f aca="false">IF(03_FRFデータ貼付!B103="","",03_FRFデータ貼付!E103)</f>
        <v/>
      </c>
      <c r="D123" s="53" t="str">
        <f aca="false">IF(OR(C123="",$E$7=0),"",C123/$E$7)</f>
        <v/>
      </c>
      <c r="E123" s="9" t="str">
        <f aca="false">IF(C123="","",IF(B123&lt;$E$6,"上り","下り"))</f>
        <v/>
      </c>
      <c r="F123" s="101" t="str">
        <f aca="false">IF(OR(C123="",C124=""),"",IF(AND(B124&lt;=$E$6,C123&lt;$E$7,C124&gt;=$E$7),B123+(B124-B123)*($E$7-C123)/(C124-C123),""))</f>
        <v/>
      </c>
      <c r="G123" s="101" t="str">
        <f aca="false">IF(OR(C123="",C124=""),"",IF(AND(B123&gt;=$E$6,C123&gt;=$E$7,C124&lt;$E$7),B123+(B124-B123)*($E$7-C123)/(C124-C123),""))</f>
        <v/>
      </c>
      <c r="H123" s="102" t="str">
        <f aca="false">IF(F123&lt;&gt;"","← 下側の半値点",IF(G123&lt;&gt;"","← 上側の半値点",""))</f>
        <v/>
      </c>
      <c r="I123" s="2"/>
      <c r="J123" s="2"/>
      <c r="K123" s="2"/>
      <c r="L123" s="2"/>
      <c r="M123" s="2"/>
      <c r="N123" s="2"/>
    </row>
    <row r="124" customFormat="false" ht="15" hidden="false" customHeight="false" outlineLevel="0" collapsed="false">
      <c r="A124" s="30" t="str">
        <f aca="false">IF(03_FRFデータ貼付!B104="","",03_FRFデータ貼付!A104)</f>
        <v/>
      </c>
      <c r="B124" s="61" t="str">
        <f aca="false">IF(03_FRFデータ貼付!B104="","",03_FRFデータ貼付!B104)</f>
        <v/>
      </c>
      <c r="C124" s="54" t="str">
        <f aca="false">IF(03_FRFデータ貼付!B104="","",03_FRFデータ貼付!E104)</f>
        <v/>
      </c>
      <c r="D124" s="53" t="str">
        <f aca="false">IF(OR(C124="",$E$7=0),"",C124/$E$7)</f>
        <v/>
      </c>
      <c r="E124" s="9" t="str">
        <f aca="false">IF(C124="","",IF(B124&lt;$E$6,"上り","下り"))</f>
        <v/>
      </c>
      <c r="F124" s="101" t="str">
        <f aca="false">IF(OR(C124="",C125=""),"",IF(AND(B125&lt;=$E$6,C124&lt;$E$7,C125&gt;=$E$7),B124+(B125-B124)*($E$7-C124)/(C125-C124),""))</f>
        <v/>
      </c>
      <c r="G124" s="101" t="str">
        <f aca="false">IF(OR(C124="",C125=""),"",IF(AND(B124&gt;=$E$6,C124&gt;=$E$7,C125&lt;$E$7),B124+(B125-B124)*($E$7-C124)/(C125-C124),""))</f>
        <v/>
      </c>
      <c r="H124" s="102" t="str">
        <f aca="false">IF(F124&lt;&gt;"","← 下側の半値点",IF(G124&lt;&gt;"","← 上側の半値点",""))</f>
        <v/>
      </c>
      <c r="I124" s="2"/>
      <c r="J124" s="2"/>
      <c r="K124" s="2"/>
      <c r="L124" s="2"/>
      <c r="M124" s="2"/>
      <c r="N124" s="2"/>
    </row>
    <row r="125" customFormat="false" ht="15" hidden="false" customHeight="false" outlineLevel="0" collapsed="false">
      <c r="A125" s="30" t="str">
        <f aca="false">IF(03_FRFデータ貼付!B105="","",03_FRFデータ貼付!A105)</f>
        <v/>
      </c>
      <c r="B125" s="61" t="str">
        <f aca="false">IF(03_FRFデータ貼付!B105="","",03_FRFデータ貼付!B105)</f>
        <v/>
      </c>
      <c r="C125" s="54" t="str">
        <f aca="false">IF(03_FRFデータ貼付!B105="","",03_FRFデータ貼付!E105)</f>
        <v/>
      </c>
      <c r="D125" s="53" t="str">
        <f aca="false">IF(OR(C125="",$E$7=0),"",C125/$E$7)</f>
        <v/>
      </c>
      <c r="E125" s="9" t="str">
        <f aca="false">IF(C125="","",IF(B125&lt;$E$6,"上り","下り"))</f>
        <v/>
      </c>
      <c r="F125" s="101" t="str">
        <f aca="false">IF(OR(C125="",C126=""),"",IF(AND(B126&lt;=$E$6,C125&lt;$E$7,C126&gt;=$E$7),B125+(B126-B125)*($E$7-C125)/(C126-C125),""))</f>
        <v/>
      </c>
      <c r="G125" s="101" t="str">
        <f aca="false">IF(OR(C125="",C126=""),"",IF(AND(B125&gt;=$E$6,C125&gt;=$E$7,C126&lt;$E$7),B125+(B126-B125)*($E$7-C125)/(C126-C125),""))</f>
        <v/>
      </c>
      <c r="H125" s="102" t="str">
        <f aca="false">IF(F125&lt;&gt;"","← 下側の半値点",IF(G125&lt;&gt;"","← 上側の半値点",""))</f>
        <v/>
      </c>
      <c r="I125" s="2"/>
      <c r="J125" s="2"/>
      <c r="K125" s="2"/>
      <c r="L125" s="2"/>
      <c r="M125" s="2"/>
      <c r="N125" s="2"/>
    </row>
    <row r="126" customFormat="false" ht="15" hidden="false" customHeight="false" outlineLevel="0" collapsed="false">
      <c r="A126" s="30" t="str">
        <f aca="false">IF(03_FRFデータ貼付!B106="","",03_FRFデータ貼付!A106)</f>
        <v/>
      </c>
      <c r="B126" s="61" t="str">
        <f aca="false">IF(03_FRFデータ貼付!B106="","",03_FRFデータ貼付!B106)</f>
        <v/>
      </c>
      <c r="C126" s="54" t="str">
        <f aca="false">IF(03_FRFデータ貼付!B106="","",03_FRFデータ貼付!E106)</f>
        <v/>
      </c>
      <c r="D126" s="53" t="str">
        <f aca="false">IF(OR(C126="",$E$7=0),"",C126/$E$7)</f>
        <v/>
      </c>
      <c r="E126" s="9" t="str">
        <f aca="false">IF(C126="","",IF(B126&lt;$E$6,"上り","下り"))</f>
        <v/>
      </c>
      <c r="F126" s="101" t="str">
        <f aca="false">IF(OR(C126="",C127=""),"",IF(AND(B127&lt;=$E$6,C126&lt;$E$7,C127&gt;=$E$7),B126+(B127-B126)*($E$7-C126)/(C127-C126),""))</f>
        <v/>
      </c>
      <c r="G126" s="101" t="str">
        <f aca="false">IF(OR(C126="",C127=""),"",IF(AND(B126&gt;=$E$6,C126&gt;=$E$7,C127&lt;$E$7),B126+(B127-B126)*($E$7-C126)/(C127-C126),""))</f>
        <v/>
      </c>
      <c r="H126" s="102" t="str">
        <f aca="false">IF(F126&lt;&gt;"","← 下側の半値点",IF(G126&lt;&gt;"","← 上側の半値点",""))</f>
        <v/>
      </c>
      <c r="I126" s="2"/>
      <c r="J126" s="2"/>
      <c r="K126" s="2"/>
      <c r="L126" s="2"/>
      <c r="M126" s="2"/>
      <c r="N126" s="2"/>
    </row>
    <row r="127" customFormat="false" ht="15" hidden="false" customHeight="false" outlineLevel="0" collapsed="false">
      <c r="A127" s="30" t="str">
        <f aca="false">IF(03_FRFデータ貼付!B107="","",03_FRFデータ貼付!A107)</f>
        <v/>
      </c>
      <c r="B127" s="61" t="str">
        <f aca="false">IF(03_FRFデータ貼付!B107="","",03_FRFデータ貼付!B107)</f>
        <v/>
      </c>
      <c r="C127" s="54" t="str">
        <f aca="false">IF(03_FRFデータ貼付!B107="","",03_FRFデータ貼付!E107)</f>
        <v/>
      </c>
      <c r="D127" s="53" t="str">
        <f aca="false">IF(OR(C127="",$E$7=0),"",C127/$E$7)</f>
        <v/>
      </c>
      <c r="E127" s="9" t="str">
        <f aca="false">IF(C127="","",IF(B127&lt;$E$6,"上り","下り"))</f>
        <v/>
      </c>
      <c r="F127" s="101" t="str">
        <f aca="false">IF(OR(C127="",C128=""),"",IF(AND(B128&lt;=$E$6,C127&lt;$E$7,C128&gt;=$E$7),B127+(B128-B127)*($E$7-C127)/(C128-C127),""))</f>
        <v/>
      </c>
      <c r="G127" s="101" t="str">
        <f aca="false">IF(OR(C127="",C128=""),"",IF(AND(B127&gt;=$E$6,C127&gt;=$E$7,C128&lt;$E$7),B127+(B128-B127)*($E$7-C127)/(C128-C127),""))</f>
        <v/>
      </c>
      <c r="H127" s="102" t="str">
        <f aca="false">IF(F127&lt;&gt;"","← 下側の半値点",IF(G127&lt;&gt;"","← 上側の半値点",""))</f>
        <v/>
      </c>
      <c r="I127" s="2"/>
      <c r="J127" s="2"/>
      <c r="K127" s="2"/>
      <c r="L127" s="2"/>
      <c r="M127" s="2"/>
      <c r="N127" s="2"/>
    </row>
    <row r="128" customFormat="false" ht="15" hidden="false" customHeight="false" outlineLevel="0" collapsed="false">
      <c r="A128" s="30" t="str">
        <f aca="false">IF(03_FRFデータ貼付!B108="","",03_FRFデータ貼付!A108)</f>
        <v/>
      </c>
      <c r="B128" s="61" t="str">
        <f aca="false">IF(03_FRFデータ貼付!B108="","",03_FRFデータ貼付!B108)</f>
        <v/>
      </c>
      <c r="C128" s="54" t="str">
        <f aca="false">IF(03_FRFデータ貼付!B108="","",03_FRFデータ貼付!E108)</f>
        <v/>
      </c>
      <c r="D128" s="53" t="str">
        <f aca="false">IF(OR(C128="",$E$7=0),"",C128/$E$7)</f>
        <v/>
      </c>
      <c r="E128" s="9" t="str">
        <f aca="false">IF(C128="","",IF(B128&lt;$E$6,"上り","下り"))</f>
        <v/>
      </c>
      <c r="F128" s="101" t="str">
        <f aca="false">IF(OR(C128="",C129=""),"",IF(AND(B129&lt;=$E$6,C128&lt;$E$7,C129&gt;=$E$7),B128+(B129-B128)*($E$7-C128)/(C129-C128),""))</f>
        <v/>
      </c>
      <c r="G128" s="101" t="str">
        <f aca="false">IF(OR(C128="",C129=""),"",IF(AND(B128&gt;=$E$6,C128&gt;=$E$7,C129&lt;$E$7),B128+(B129-B128)*($E$7-C128)/(C129-C128),""))</f>
        <v/>
      </c>
      <c r="H128" s="102" t="str">
        <f aca="false">IF(F128&lt;&gt;"","← 下側の半値点",IF(G128&lt;&gt;"","← 上側の半値点",""))</f>
        <v/>
      </c>
      <c r="I128" s="2"/>
      <c r="J128" s="2"/>
      <c r="K128" s="2"/>
      <c r="L128" s="2"/>
      <c r="M128" s="2"/>
      <c r="N128" s="2"/>
    </row>
    <row r="129" customFormat="false" ht="15" hidden="false" customHeight="false" outlineLevel="0" collapsed="false">
      <c r="A129" s="30" t="str">
        <f aca="false">IF(03_FRFデータ貼付!B109="","",03_FRFデータ貼付!A109)</f>
        <v/>
      </c>
      <c r="B129" s="61" t="str">
        <f aca="false">IF(03_FRFデータ貼付!B109="","",03_FRFデータ貼付!B109)</f>
        <v/>
      </c>
      <c r="C129" s="54" t="str">
        <f aca="false">IF(03_FRFデータ貼付!B109="","",03_FRFデータ貼付!E109)</f>
        <v/>
      </c>
      <c r="D129" s="53" t="str">
        <f aca="false">IF(OR(C129="",$E$7=0),"",C129/$E$7)</f>
        <v/>
      </c>
      <c r="E129" s="9" t="str">
        <f aca="false">IF(C129="","",IF(B129&lt;$E$6,"上り","下り"))</f>
        <v/>
      </c>
      <c r="F129" s="101" t="str">
        <f aca="false">IF(OR(C129="",C130=""),"",IF(AND(B130&lt;=$E$6,C129&lt;$E$7,C130&gt;=$E$7),B129+(B130-B129)*($E$7-C129)/(C130-C129),""))</f>
        <v/>
      </c>
      <c r="G129" s="101" t="str">
        <f aca="false">IF(OR(C129="",C130=""),"",IF(AND(B129&gt;=$E$6,C129&gt;=$E$7,C130&lt;$E$7),B129+(B130-B129)*($E$7-C129)/(C130-C129),""))</f>
        <v/>
      </c>
      <c r="H129" s="102" t="str">
        <f aca="false">IF(F129&lt;&gt;"","← 下側の半値点",IF(G129&lt;&gt;"","← 上側の半値点",""))</f>
        <v/>
      </c>
      <c r="I129" s="2"/>
      <c r="J129" s="2"/>
      <c r="K129" s="2"/>
      <c r="L129" s="2"/>
      <c r="M129" s="2"/>
      <c r="N129" s="2"/>
    </row>
    <row r="130" customFormat="false" ht="15" hidden="false" customHeight="false" outlineLevel="0" collapsed="false">
      <c r="A130" s="30" t="str">
        <f aca="false">IF(03_FRFデータ貼付!B110="","",03_FRFデータ貼付!A110)</f>
        <v/>
      </c>
      <c r="B130" s="61" t="str">
        <f aca="false">IF(03_FRFデータ貼付!B110="","",03_FRFデータ貼付!B110)</f>
        <v/>
      </c>
      <c r="C130" s="54" t="str">
        <f aca="false">IF(03_FRFデータ貼付!B110="","",03_FRFデータ貼付!E110)</f>
        <v/>
      </c>
      <c r="D130" s="53" t="str">
        <f aca="false">IF(OR(C130="",$E$7=0),"",C130/$E$7)</f>
        <v/>
      </c>
      <c r="E130" s="9" t="str">
        <f aca="false">IF(C130="","",IF(B130&lt;$E$6,"上り","下り"))</f>
        <v/>
      </c>
      <c r="F130" s="101" t="str">
        <f aca="false">IF(OR(C130="",C131=""),"",IF(AND(B131&lt;=$E$6,C130&lt;$E$7,C131&gt;=$E$7),B130+(B131-B130)*($E$7-C130)/(C131-C130),""))</f>
        <v/>
      </c>
      <c r="G130" s="101" t="str">
        <f aca="false">IF(OR(C130="",C131=""),"",IF(AND(B130&gt;=$E$6,C130&gt;=$E$7,C131&lt;$E$7),B130+(B131-B130)*($E$7-C130)/(C131-C130),""))</f>
        <v/>
      </c>
      <c r="H130" s="102" t="str">
        <f aca="false">IF(F130&lt;&gt;"","← 下側の半値点",IF(G130&lt;&gt;"","← 上側の半値点",""))</f>
        <v/>
      </c>
      <c r="I130" s="2"/>
      <c r="J130" s="2"/>
      <c r="K130" s="2"/>
      <c r="L130" s="2"/>
      <c r="M130" s="2"/>
      <c r="N130" s="2"/>
    </row>
    <row r="131" customFormat="false" ht="15" hidden="false" customHeight="false" outlineLevel="0" collapsed="false">
      <c r="A131" s="30" t="str">
        <f aca="false">IF(03_FRFデータ貼付!B111="","",03_FRFデータ貼付!A111)</f>
        <v/>
      </c>
      <c r="B131" s="61" t="str">
        <f aca="false">IF(03_FRFデータ貼付!B111="","",03_FRFデータ貼付!B111)</f>
        <v/>
      </c>
      <c r="C131" s="54" t="str">
        <f aca="false">IF(03_FRFデータ貼付!B111="","",03_FRFデータ貼付!E111)</f>
        <v/>
      </c>
      <c r="D131" s="53" t="str">
        <f aca="false">IF(OR(C131="",$E$7=0),"",C131/$E$7)</f>
        <v/>
      </c>
      <c r="E131" s="9" t="str">
        <f aca="false">IF(C131="","",IF(B131&lt;$E$6,"上り","下り"))</f>
        <v/>
      </c>
      <c r="F131" s="101" t="str">
        <f aca="false">IF(OR(C131="",C132=""),"",IF(AND(B132&lt;=$E$6,C131&lt;$E$7,C132&gt;=$E$7),B131+(B132-B131)*($E$7-C131)/(C132-C131),""))</f>
        <v/>
      </c>
      <c r="G131" s="101" t="str">
        <f aca="false">IF(OR(C131="",C132=""),"",IF(AND(B131&gt;=$E$6,C131&gt;=$E$7,C132&lt;$E$7),B131+(B132-B131)*($E$7-C131)/(C132-C131),""))</f>
        <v/>
      </c>
      <c r="H131" s="102" t="str">
        <f aca="false">IF(F131&lt;&gt;"","← 下側の半値点",IF(G131&lt;&gt;"","← 上側の半値点",""))</f>
        <v/>
      </c>
      <c r="I131" s="2"/>
      <c r="J131" s="2"/>
      <c r="K131" s="2"/>
      <c r="L131" s="2"/>
      <c r="M131" s="2"/>
      <c r="N131" s="2"/>
    </row>
    <row r="132" customFormat="false" ht="15" hidden="false" customHeight="false" outlineLevel="0" collapsed="false">
      <c r="A132" s="30" t="str">
        <f aca="false">IF(03_FRFデータ貼付!B112="","",03_FRFデータ貼付!A112)</f>
        <v/>
      </c>
      <c r="B132" s="61" t="str">
        <f aca="false">IF(03_FRFデータ貼付!B112="","",03_FRFデータ貼付!B112)</f>
        <v/>
      </c>
      <c r="C132" s="54" t="str">
        <f aca="false">IF(03_FRFデータ貼付!B112="","",03_FRFデータ貼付!E112)</f>
        <v/>
      </c>
      <c r="D132" s="53" t="str">
        <f aca="false">IF(OR(C132="",$E$7=0),"",C132/$E$7)</f>
        <v/>
      </c>
      <c r="E132" s="9" t="str">
        <f aca="false">IF(C132="","",IF(B132&lt;$E$6,"上り","下り"))</f>
        <v/>
      </c>
      <c r="F132" s="101" t="str">
        <f aca="false">IF(OR(C132="",C133=""),"",IF(AND(B133&lt;=$E$6,C132&lt;$E$7,C133&gt;=$E$7),B132+(B133-B132)*($E$7-C132)/(C133-C132),""))</f>
        <v/>
      </c>
      <c r="G132" s="101" t="str">
        <f aca="false">IF(OR(C132="",C133=""),"",IF(AND(B132&gt;=$E$6,C132&gt;=$E$7,C133&lt;$E$7),B132+(B133-B132)*($E$7-C132)/(C133-C132),""))</f>
        <v/>
      </c>
      <c r="H132" s="102" t="str">
        <f aca="false">IF(F132&lt;&gt;"","← 下側の半値点",IF(G132&lt;&gt;"","← 上側の半値点",""))</f>
        <v/>
      </c>
      <c r="I132" s="2"/>
      <c r="J132" s="2"/>
      <c r="K132" s="2"/>
      <c r="L132" s="2"/>
      <c r="M132" s="2"/>
      <c r="N132" s="2"/>
    </row>
    <row r="133" customFormat="false" ht="15" hidden="false" customHeight="false" outlineLevel="0" collapsed="false">
      <c r="A133" s="30" t="str">
        <f aca="false">IF(03_FRFデータ貼付!B113="","",03_FRFデータ貼付!A113)</f>
        <v/>
      </c>
      <c r="B133" s="61" t="str">
        <f aca="false">IF(03_FRFデータ貼付!B113="","",03_FRFデータ貼付!B113)</f>
        <v/>
      </c>
      <c r="C133" s="54" t="str">
        <f aca="false">IF(03_FRFデータ貼付!B113="","",03_FRFデータ貼付!E113)</f>
        <v/>
      </c>
      <c r="D133" s="53" t="str">
        <f aca="false">IF(OR(C133="",$E$7=0),"",C133/$E$7)</f>
        <v/>
      </c>
      <c r="E133" s="9" t="str">
        <f aca="false">IF(C133="","",IF(B133&lt;$E$6,"上り","下り"))</f>
        <v/>
      </c>
      <c r="F133" s="101" t="str">
        <f aca="false">IF(OR(C133="",C134=""),"",IF(AND(B134&lt;=$E$6,C133&lt;$E$7,C134&gt;=$E$7),B133+(B134-B133)*($E$7-C133)/(C134-C133),""))</f>
        <v/>
      </c>
      <c r="G133" s="101" t="str">
        <f aca="false">IF(OR(C133="",C134=""),"",IF(AND(B133&gt;=$E$6,C133&gt;=$E$7,C134&lt;$E$7),B133+(B134-B133)*($E$7-C133)/(C134-C133),""))</f>
        <v/>
      </c>
      <c r="H133" s="102" t="str">
        <f aca="false">IF(F133&lt;&gt;"","← 下側の半値点",IF(G133&lt;&gt;"","← 上側の半値点",""))</f>
        <v/>
      </c>
      <c r="I133" s="2"/>
      <c r="J133" s="2"/>
      <c r="K133" s="2"/>
      <c r="L133" s="2"/>
      <c r="M133" s="2"/>
      <c r="N133" s="2"/>
    </row>
    <row r="134" customFormat="false" ht="15" hidden="false" customHeight="false" outlineLevel="0" collapsed="false">
      <c r="A134" s="30" t="str">
        <f aca="false">IF(03_FRFデータ貼付!B114="","",03_FRFデータ貼付!A114)</f>
        <v/>
      </c>
      <c r="B134" s="61" t="str">
        <f aca="false">IF(03_FRFデータ貼付!B114="","",03_FRFデータ貼付!B114)</f>
        <v/>
      </c>
      <c r="C134" s="54" t="str">
        <f aca="false">IF(03_FRFデータ貼付!B114="","",03_FRFデータ貼付!E114)</f>
        <v/>
      </c>
      <c r="D134" s="53" t="str">
        <f aca="false">IF(OR(C134="",$E$7=0),"",C134/$E$7)</f>
        <v/>
      </c>
      <c r="E134" s="9" t="str">
        <f aca="false">IF(C134="","",IF(B134&lt;$E$6,"上り","下り"))</f>
        <v/>
      </c>
      <c r="F134" s="101" t="str">
        <f aca="false">IF(OR(C134="",C135=""),"",IF(AND(B135&lt;=$E$6,C134&lt;$E$7,C135&gt;=$E$7),B134+(B135-B134)*($E$7-C134)/(C135-C134),""))</f>
        <v/>
      </c>
      <c r="G134" s="101" t="str">
        <f aca="false">IF(OR(C134="",C135=""),"",IF(AND(B134&gt;=$E$6,C134&gt;=$E$7,C135&lt;$E$7),B134+(B135-B134)*($E$7-C134)/(C135-C134),""))</f>
        <v/>
      </c>
      <c r="H134" s="102" t="str">
        <f aca="false">IF(F134&lt;&gt;"","← 下側の半値点",IF(G134&lt;&gt;"","← 上側の半値点",""))</f>
        <v/>
      </c>
    </row>
    <row r="135" customFormat="false" ht="15" hidden="false" customHeight="false" outlineLevel="0" collapsed="false">
      <c r="A135" s="30" t="str">
        <f aca="false">IF(03_FRFデータ貼付!B115="","",03_FRFデータ貼付!A115)</f>
        <v/>
      </c>
      <c r="B135" s="61" t="str">
        <f aca="false">IF(03_FRFデータ貼付!B115="","",03_FRFデータ貼付!B115)</f>
        <v/>
      </c>
      <c r="C135" s="54" t="str">
        <f aca="false">IF(03_FRFデータ貼付!B115="","",03_FRFデータ貼付!E115)</f>
        <v/>
      </c>
      <c r="D135" s="53" t="str">
        <f aca="false">IF(OR(C135="",$E$7=0),"",C135/$E$7)</f>
        <v/>
      </c>
      <c r="E135" s="9" t="str">
        <f aca="false">IF(C135="","",IF(B135&lt;$E$6,"上り","下り"))</f>
        <v/>
      </c>
      <c r="F135" s="101" t="str">
        <f aca="false">IF(OR(C135="",C136=""),"",IF(AND(B136&lt;=$E$6,C135&lt;$E$7,C136&gt;=$E$7),B135+(B136-B135)*($E$7-C135)/(C136-C135),""))</f>
        <v/>
      </c>
      <c r="G135" s="101" t="str">
        <f aca="false">IF(OR(C135="",C136=""),"",IF(AND(B135&gt;=$E$6,C135&gt;=$E$7,C136&lt;$E$7),B135+(B136-B135)*($E$7-C135)/(C136-C135),""))</f>
        <v/>
      </c>
      <c r="H135" s="102" t="str">
        <f aca="false">IF(F135&lt;&gt;"","← 下側の半値点",IF(G135&lt;&gt;"","← 上側の半値点",""))</f>
        <v/>
      </c>
    </row>
    <row r="136" customFormat="false" ht="15" hidden="false" customHeight="false" outlineLevel="0" collapsed="false">
      <c r="A136" s="30" t="str">
        <f aca="false">IF(03_FRFデータ貼付!B116="","",03_FRFデータ貼付!A116)</f>
        <v/>
      </c>
      <c r="B136" s="61" t="str">
        <f aca="false">IF(03_FRFデータ貼付!B116="","",03_FRFデータ貼付!B116)</f>
        <v/>
      </c>
      <c r="C136" s="54" t="str">
        <f aca="false">IF(03_FRFデータ貼付!B116="","",03_FRFデータ貼付!E116)</f>
        <v/>
      </c>
      <c r="D136" s="53" t="str">
        <f aca="false">IF(OR(C136="",$E$7=0),"",C136/$E$7)</f>
        <v/>
      </c>
      <c r="E136" s="9" t="str">
        <f aca="false">IF(C136="","",IF(B136&lt;$E$6,"上り","下り"))</f>
        <v/>
      </c>
      <c r="F136" s="101" t="str">
        <f aca="false">IF(OR(C136="",C137=""),"",IF(AND(B137&lt;=$E$6,C136&lt;$E$7,C137&gt;=$E$7),B136+(B137-B136)*($E$7-C136)/(C137-C136),""))</f>
        <v/>
      </c>
      <c r="G136" s="101" t="str">
        <f aca="false">IF(OR(C136="",C137=""),"",IF(AND(B136&gt;=$E$6,C136&gt;=$E$7,C137&lt;$E$7),B136+(B137-B136)*($E$7-C136)/(C137-C136),""))</f>
        <v/>
      </c>
      <c r="H136" s="102" t="str">
        <f aca="false">IF(F136&lt;&gt;"","← 下側の半値点",IF(G136&lt;&gt;"","← 上側の半値点",""))</f>
        <v/>
      </c>
    </row>
    <row r="137" customFormat="false" ht="15" hidden="false" customHeight="false" outlineLevel="0" collapsed="false">
      <c r="A137" s="30" t="str">
        <f aca="false">IF(03_FRFデータ貼付!B117="","",03_FRFデータ貼付!A117)</f>
        <v/>
      </c>
      <c r="B137" s="61" t="str">
        <f aca="false">IF(03_FRFデータ貼付!B117="","",03_FRFデータ貼付!B117)</f>
        <v/>
      </c>
      <c r="C137" s="54" t="str">
        <f aca="false">IF(03_FRFデータ貼付!B117="","",03_FRFデータ貼付!E117)</f>
        <v/>
      </c>
      <c r="D137" s="53" t="str">
        <f aca="false">IF(OR(C137="",$E$7=0),"",C137/$E$7)</f>
        <v/>
      </c>
      <c r="E137" s="9" t="str">
        <f aca="false">IF(C137="","",IF(B137&lt;$E$6,"上り","下り"))</f>
        <v/>
      </c>
      <c r="F137" s="101" t="str">
        <f aca="false">IF(OR(C137="",C138=""),"",IF(AND(B138&lt;=$E$6,C137&lt;$E$7,C138&gt;=$E$7),B137+(B138-B137)*($E$7-C137)/(C138-C137),""))</f>
        <v/>
      </c>
      <c r="G137" s="101" t="str">
        <f aca="false">IF(OR(C137="",C138=""),"",IF(AND(B137&gt;=$E$6,C137&gt;=$E$7,C138&lt;$E$7),B137+(B138-B137)*($E$7-C137)/(C138-C137),""))</f>
        <v/>
      </c>
      <c r="H137" s="102" t="str">
        <f aca="false">IF(F137&lt;&gt;"","← 下側の半値点",IF(G137&lt;&gt;"","← 上側の半値点",""))</f>
        <v/>
      </c>
    </row>
    <row r="138" customFormat="false" ht="15" hidden="false" customHeight="false" outlineLevel="0" collapsed="false">
      <c r="A138" s="30" t="str">
        <f aca="false">IF(03_FRFデータ貼付!B118="","",03_FRFデータ貼付!A118)</f>
        <v/>
      </c>
      <c r="B138" s="61" t="str">
        <f aca="false">IF(03_FRFデータ貼付!B118="","",03_FRFデータ貼付!B118)</f>
        <v/>
      </c>
      <c r="C138" s="54" t="str">
        <f aca="false">IF(03_FRFデータ貼付!B118="","",03_FRFデータ貼付!E118)</f>
        <v/>
      </c>
      <c r="D138" s="53" t="str">
        <f aca="false">IF(OR(C138="",$E$7=0),"",C138/$E$7)</f>
        <v/>
      </c>
      <c r="E138" s="9" t="str">
        <f aca="false">IF(C138="","",IF(B138&lt;$E$6,"上り","下り"))</f>
        <v/>
      </c>
      <c r="F138" s="101" t="str">
        <f aca="false">IF(OR(C138="",C139=""),"",IF(AND(B139&lt;=$E$6,C138&lt;$E$7,C139&gt;=$E$7),B138+(B139-B138)*($E$7-C138)/(C139-C138),""))</f>
        <v/>
      </c>
      <c r="G138" s="101" t="str">
        <f aca="false">IF(OR(C138="",C139=""),"",IF(AND(B138&gt;=$E$6,C138&gt;=$E$7,C139&lt;$E$7),B138+(B139-B138)*($E$7-C138)/(C139-C138),""))</f>
        <v/>
      </c>
      <c r="H138" s="102" t="str">
        <f aca="false">IF(F138&lt;&gt;"","← 下側の半値点",IF(G138&lt;&gt;"","← 上側の半値点",""))</f>
        <v/>
      </c>
    </row>
    <row r="139" customFormat="false" ht="15" hidden="false" customHeight="false" outlineLevel="0" collapsed="false">
      <c r="A139" s="30" t="str">
        <f aca="false">IF(03_FRFデータ貼付!B119="","",03_FRFデータ貼付!A119)</f>
        <v/>
      </c>
      <c r="B139" s="61" t="str">
        <f aca="false">IF(03_FRFデータ貼付!B119="","",03_FRFデータ貼付!B119)</f>
        <v/>
      </c>
      <c r="C139" s="54" t="str">
        <f aca="false">IF(03_FRFデータ貼付!B119="","",03_FRFデータ貼付!E119)</f>
        <v/>
      </c>
      <c r="D139" s="53" t="str">
        <f aca="false">IF(OR(C139="",$E$7=0),"",C139/$E$7)</f>
        <v/>
      </c>
      <c r="E139" s="9" t="str">
        <f aca="false">IF(C139="","",IF(B139&lt;$E$6,"上り","下り"))</f>
        <v/>
      </c>
      <c r="F139" s="101" t="str">
        <f aca="false">IF(OR(C139="",C140=""),"",IF(AND(B140&lt;=$E$6,C139&lt;$E$7,C140&gt;=$E$7),B139+(B140-B139)*($E$7-C139)/(C140-C139),""))</f>
        <v/>
      </c>
      <c r="G139" s="101" t="str">
        <f aca="false">IF(OR(C139="",C140=""),"",IF(AND(B139&gt;=$E$6,C139&gt;=$E$7,C140&lt;$E$7),B139+(B140-B139)*($E$7-C139)/(C140-C139),""))</f>
        <v/>
      </c>
      <c r="H139" s="102" t="str">
        <f aca="false">IF(F139&lt;&gt;"","← 下側の半値点",IF(G139&lt;&gt;"","← 上側の半値点",""))</f>
        <v/>
      </c>
    </row>
    <row r="140" customFormat="false" ht="15" hidden="false" customHeight="false" outlineLevel="0" collapsed="false">
      <c r="A140" s="30" t="str">
        <f aca="false">IF(03_FRFデータ貼付!B120="","",03_FRFデータ貼付!A120)</f>
        <v/>
      </c>
      <c r="B140" s="61" t="str">
        <f aca="false">IF(03_FRFデータ貼付!B120="","",03_FRFデータ貼付!B120)</f>
        <v/>
      </c>
      <c r="C140" s="54" t="str">
        <f aca="false">IF(03_FRFデータ貼付!B120="","",03_FRFデータ貼付!E120)</f>
        <v/>
      </c>
      <c r="D140" s="53" t="str">
        <f aca="false">IF(OR(C140="",$E$7=0),"",C140/$E$7)</f>
        <v/>
      </c>
      <c r="E140" s="9" t="str">
        <f aca="false">IF(C140="","",IF(B140&lt;$E$6,"上り","下り"))</f>
        <v/>
      </c>
      <c r="F140" s="101" t="str">
        <f aca="false">IF(OR(C140="",C141=""),"",IF(AND(B141&lt;=$E$6,C140&lt;$E$7,C141&gt;=$E$7),B140+(B141-B140)*($E$7-C140)/(C141-C140),""))</f>
        <v/>
      </c>
      <c r="G140" s="101" t="str">
        <f aca="false">IF(OR(C140="",C141=""),"",IF(AND(B140&gt;=$E$6,C140&gt;=$E$7,C141&lt;$E$7),B140+(B141-B140)*($E$7-C140)/(C141-C140),""))</f>
        <v/>
      </c>
      <c r="H140" s="102" t="str">
        <f aca="false">IF(F140&lt;&gt;"","← 下側の半値点",IF(G140&lt;&gt;"","← 上側の半値点",""))</f>
        <v/>
      </c>
    </row>
    <row r="141" customFormat="false" ht="15" hidden="false" customHeight="false" outlineLevel="0" collapsed="false">
      <c r="A141" s="30" t="str">
        <f aca="false">IF(03_FRFデータ貼付!B121="","",03_FRFデータ貼付!A121)</f>
        <v/>
      </c>
      <c r="B141" s="61" t="str">
        <f aca="false">IF(03_FRFデータ貼付!B121="","",03_FRFデータ貼付!B121)</f>
        <v/>
      </c>
      <c r="C141" s="54" t="str">
        <f aca="false">IF(03_FRFデータ貼付!B121="","",03_FRFデータ貼付!E121)</f>
        <v/>
      </c>
      <c r="D141" s="53" t="str">
        <f aca="false">IF(OR(C141="",$E$7=0),"",C141/$E$7)</f>
        <v/>
      </c>
      <c r="E141" s="9" t="str">
        <f aca="false">IF(C141="","",IF(B141&lt;$E$6,"上り","下り"))</f>
        <v/>
      </c>
      <c r="F141" s="101" t="str">
        <f aca="false">IF(OR(C141="",C142=""),"",IF(AND(B142&lt;=$E$6,C141&lt;$E$7,C142&gt;=$E$7),B141+(B142-B141)*($E$7-C141)/(C142-C141),""))</f>
        <v/>
      </c>
      <c r="G141" s="101" t="str">
        <f aca="false">IF(OR(C141="",C142=""),"",IF(AND(B141&gt;=$E$6,C141&gt;=$E$7,C142&lt;$E$7),B141+(B142-B141)*($E$7-C141)/(C142-C141),""))</f>
        <v/>
      </c>
      <c r="H141" s="102" t="str">
        <f aca="false">IF(F141&lt;&gt;"","← 下側の半値点",IF(G141&lt;&gt;"","← 上側の半値点",""))</f>
        <v/>
      </c>
    </row>
    <row r="142" customFormat="false" ht="15" hidden="false" customHeight="false" outlineLevel="0" collapsed="false">
      <c r="A142" s="30" t="str">
        <f aca="false">IF(03_FRFデータ貼付!B122="","",03_FRFデータ貼付!A122)</f>
        <v/>
      </c>
      <c r="B142" s="61" t="str">
        <f aca="false">IF(03_FRFデータ貼付!B122="","",03_FRFデータ貼付!B122)</f>
        <v/>
      </c>
      <c r="C142" s="54" t="str">
        <f aca="false">IF(03_FRFデータ貼付!B122="","",03_FRFデータ貼付!E122)</f>
        <v/>
      </c>
      <c r="D142" s="53" t="str">
        <f aca="false">IF(OR(C142="",$E$7=0),"",C142/$E$7)</f>
        <v/>
      </c>
      <c r="E142" s="9" t="str">
        <f aca="false">IF(C142="","",IF(B142&lt;$E$6,"上り","下り"))</f>
        <v/>
      </c>
      <c r="F142" s="101" t="str">
        <f aca="false">IF(OR(C142="",C143=""),"",IF(AND(B143&lt;=$E$6,C142&lt;$E$7,C143&gt;=$E$7),B142+(B143-B142)*($E$7-C142)/(C143-C142),""))</f>
        <v/>
      </c>
      <c r="G142" s="101" t="str">
        <f aca="false">IF(OR(C142="",C143=""),"",IF(AND(B142&gt;=$E$6,C142&gt;=$E$7,C143&lt;$E$7),B142+(B143-B142)*($E$7-C142)/(C143-C142),""))</f>
        <v/>
      </c>
      <c r="H142" s="102" t="str">
        <f aca="false">IF(F142&lt;&gt;"","← 下側の半値点",IF(G142&lt;&gt;"","← 上側の半値点",""))</f>
        <v/>
      </c>
    </row>
    <row r="143" customFormat="false" ht="15" hidden="false" customHeight="false" outlineLevel="0" collapsed="false">
      <c r="A143" s="30" t="str">
        <f aca="false">IF(03_FRFデータ貼付!B123="","",03_FRFデータ貼付!A123)</f>
        <v/>
      </c>
      <c r="B143" s="61" t="str">
        <f aca="false">IF(03_FRFデータ貼付!B123="","",03_FRFデータ貼付!B123)</f>
        <v/>
      </c>
      <c r="C143" s="54" t="str">
        <f aca="false">IF(03_FRFデータ貼付!B123="","",03_FRFデータ貼付!E123)</f>
        <v/>
      </c>
      <c r="D143" s="53" t="str">
        <f aca="false">IF(OR(C143="",$E$7=0),"",C143/$E$7)</f>
        <v/>
      </c>
      <c r="E143" s="9" t="str">
        <f aca="false">IF(C143="","",IF(B143&lt;$E$6,"上り","下り"))</f>
        <v/>
      </c>
      <c r="F143" s="101" t="str">
        <f aca="false">IF(OR(C143="",C144=""),"",IF(AND(B144&lt;=$E$6,C143&lt;$E$7,C144&gt;=$E$7),B143+(B144-B143)*($E$7-C143)/(C144-C143),""))</f>
        <v/>
      </c>
      <c r="G143" s="101" t="str">
        <f aca="false">IF(OR(C143="",C144=""),"",IF(AND(B143&gt;=$E$6,C143&gt;=$E$7,C144&lt;$E$7),B143+(B144-B143)*($E$7-C143)/(C144-C143),""))</f>
        <v/>
      </c>
      <c r="H143" s="102" t="str">
        <f aca="false">IF(F143&lt;&gt;"","← 下側の半値点",IF(G143&lt;&gt;"","← 上側の半値点",""))</f>
        <v/>
      </c>
    </row>
    <row r="144" customFormat="false" ht="15" hidden="false" customHeight="false" outlineLevel="0" collapsed="false">
      <c r="A144" s="30" t="str">
        <f aca="false">IF(03_FRFデータ貼付!B124="","",03_FRFデータ貼付!A124)</f>
        <v/>
      </c>
      <c r="B144" s="61" t="str">
        <f aca="false">IF(03_FRFデータ貼付!B124="","",03_FRFデータ貼付!B124)</f>
        <v/>
      </c>
      <c r="C144" s="54" t="str">
        <f aca="false">IF(03_FRFデータ貼付!B124="","",03_FRFデータ貼付!E124)</f>
        <v/>
      </c>
      <c r="D144" s="53" t="str">
        <f aca="false">IF(OR(C144="",$E$7=0),"",C144/$E$7)</f>
        <v/>
      </c>
      <c r="E144" s="9" t="str">
        <f aca="false">IF(C144="","",IF(B144&lt;$E$6,"上り","下り"))</f>
        <v/>
      </c>
      <c r="F144" s="101" t="str">
        <f aca="false">IF(OR(C144="",C145=""),"",IF(AND(B145&lt;=$E$6,C144&lt;$E$7,C145&gt;=$E$7),B144+(B145-B144)*($E$7-C144)/(C145-C144),""))</f>
        <v/>
      </c>
      <c r="G144" s="101" t="str">
        <f aca="false">IF(OR(C144="",C145=""),"",IF(AND(B144&gt;=$E$6,C144&gt;=$E$7,C145&lt;$E$7),B144+(B145-B144)*($E$7-C144)/(C145-C144),""))</f>
        <v/>
      </c>
      <c r="H144" s="102" t="str">
        <f aca="false">IF(F144&lt;&gt;"","← 下側の半値点",IF(G144&lt;&gt;"","← 上側の半値点",""))</f>
        <v/>
      </c>
    </row>
    <row r="145" customFormat="false" ht="15" hidden="false" customHeight="false" outlineLevel="0" collapsed="false">
      <c r="A145" s="30" t="str">
        <f aca="false">IF(03_FRFデータ貼付!B125="","",03_FRFデータ貼付!A125)</f>
        <v/>
      </c>
      <c r="B145" s="61" t="str">
        <f aca="false">IF(03_FRFデータ貼付!B125="","",03_FRFデータ貼付!B125)</f>
        <v/>
      </c>
      <c r="C145" s="54" t="str">
        <f aca="false">IF(03_FRFデータ貼付!B125="","",03_FRFデータ貼付!E125)</f>
        <v/>
      </c>
      <c r="D145" s="53" t="str">
        <f aca="false">IF(OR(C145="",$E$7=0),"",C145/$E$7)</f>
        <v/>
      </c>
      <c r="E145" s="9" t="str">
        <f aca="false">IF(C145="","",IF(B145&lt;$E$6,"上り","下り"))</f>
        <v/>
      </c>
      <c r="F145" s="101" t="str">
        <f aca="false">IF(OR(C145="",C146=""),"",IF(AND(B146&lt;=$E$6,C145&lt;$E$7,C146&gt;=$E$7),B145+(B146-B145)*($E$7-C145)/(C146-C145),""))</f>
        <v/>
      </c>
      <c r="G145" s="101" t="str">
        <f aca="false">IF(OR(C145="",C146=""),"",IF(AND(B145&gt;=$E$6,C145&gt;=$E$7,C146&lt;$E$7),B145+(B146-B145)*($E$7-C145)/(C146-C145),""))</f>
        <v/>
      </c>
      <c r="H145" s="102" t="str">
        <f aca="false">IF(F145&lt;&gt;"","← 下側の半値点",IF(G145&lt;&gt;"","← 上側の半値点",""))</f>
        <v/>
      </c>
    </row>
    <row r="146" customFormat="false" ht="15" hidden="false" customHeight="false" outlineLevel="0" collapsed="false">
      <c r="A146" s="30" t="str">
        <f aca="false">IF(03_FRFデータ貼付!B126="","",03_FRFデータ貼付!A126)</f>
        <v/>
      </c>
      <c r="B146" s="61" t="str">
        <f aca="false">IF(03_FRFデータ貼付!B126="","",03_FRFデータ貼付!B126)</f>
        <v/>
      </c>
      <c r="C146" s="54" t="str">
        <f aca="false">IF(03_FRFデータ貼付!B126="","",03_FRFデータ貼付!E126)</f>
        <v/>
      </c>
      <c r="D146" s="53" t="str">
        <f aca="false">IF(OR(C146="",$E$7=0),"",C146/$E$7)</f>
        <v/>
      </c>
      <c r="E146" s="9" t="str">
        <f aca="false">IF(C146="","",IF(B146&lt;$E$6,"上り","下り"))</f>
        <v/>
      </c>
      <c r="F146" s="101" t="str">
        <f aca="false">IF(OR(C146="",C147=""),"",IF(AND(B147&lt;=$E$6,C146&lt;$E$7,C147&gt;=$E$7),B146+(B147-B146)*($E$7-C146)/(C147-C146),""))</f>
        <v/>
      </c>
      <c r="G146" s="101" t="str">
        <f aca="false">IF(OR(C146="",C147=""),"",IF(AND(B146&gt;=$E$6,C146&gt;=$E$7,C147&lt;$E$7),B146+(B147-B146)*($E$7-C146)/(C147-C146),""))</f>
        <v/>
      </c>
      <c r="H146" s="102" t="str">
        <f aca="false">IF(F146&lt;&gt;"","← 下側の半値点",IF(G146&lt;&gt;"","← 上側の半値点",""))</f>
        <v/>
      </c>
    </row>
    <row r="147" customFormat="false" ht="15" hidden="false" customHeight="false" outlineLevel="0" collapsed="false">
      <c r="A147" s="30" t="str">
        <f aca="false">IF(03_FRFデータ貼付!B127="","",03_FRFデータ貼付!A127)</f>
        <v/>
      </c>
      <c r="B147" s="61" t="str">
        <f aca="false">IF(03_FRFデータ貼付!B127="","",03_FRFデータ貼付!B127)</f>
        <v/>
      </c>
      <c r="C147" s="54" t="str">
        <f aca="false">IF(03_FRFデータ貼付!B127="","",03_FRFデータ貼付!E127)</f>
        <v/>
      </c>
      <c r="D147" s="53" t="str">
        <f aca="false">IF(OR(C147="",$E$7=0),"",C147/$E$7)</f>
        <v/>
      </c>
      <c r="E147" s="9" t="str">
        <f aca="false">IF(C147="","",IF(B147&lt;$E$6,"上り","下り"))</f>
        <v/>
      </c>
      <c r="F147" s="9" t="str">
        <f aca="false">""</f>
        <v/>
      </c>
      <c r="G147" s="9" t="str">
        <f aca="false">""</f>
        <v/>
      </c>
      <c r="H147" s="102" t="str">
        <f aca="false">IF(F147&lt;&gt;"","← 下側の半値点",IF(G147&lt;&gt;"","← 上側の半値点",""))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792EA"/>
    <pageSetUpPr fitToPage="false"/>
  </sheetPr>
  <dimension ref="A1:Q2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8"/>
    <col collapsed="false" customWidth="true" hidden="false" outlineLevel="0" max="6" min="4" style="0" width="12"/>
    <col collapsed="false" customWidth="true" hidden="false" outlineLevel="0" max="7" min="7" style="0" width="10"/>
    <col collapsed="false" customWidth="true" hidden="false" outlineLevel="0" max="14" min="8" style="0" width="11"/>
    <col collapsed="false" customWidth="true" hidden="false" outlineLevel="0" max="15" min="15" style="0" width="12"/>
    <col collapsed="false" customWidth="true" hidden="false" outlineLevel="0" max="16" min="16" style="0" width="3"/>
    <col collapsed="false" customWidth="true" hidden="false" outlineLevel="0" max="17" min="17" style="0" width="60"/>
  </cols>
  <sheetData>
    <row r="1" customFormat="false" ht="23.1" hidden="false" customHeight="false" outlineLevel="0" collapsed="false">
      <c r="A1" s="59" t="s">
        <v>311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5" hidden="false" customHeight="false" outlineLevel="0" collapsed="false">
      <c r="A2" s="26" t="s">
        <v>312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customFormat="false" ht="15" hidden="false" customHeight="false" outlineLevel="0" collapsed="false">
      <c r="A4" s="4" t="s">
        <v>313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customFormat="false" ht="15" hidden="false" customHeight="false" outlineLevel="0" collapsed="false">
      <c r="A5" s="2"/>
      <c r="B5" s="103" t="s">
        <v>314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customFormat="false" ht="15" hidden="false" customHeight="false" outlineLevel="0" collapsed="false">
      <c r="A6" s="2"/>
      <c r="B6" s="104" t="s">
        <v>315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customFormat="false" ht="15" hidden="false" customHeight="false" outlineLevel="0" collapsed="false">
      <c r="A7" s="2"/>
      <c r="B7" s="105" t="s">
        <v>316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customFormat="false" ht="15" hidden="false" customHeight="false" outlineLevel="0" collapsed="false">
      <c r="A8" s="2"/>
      <c r="B8" s="106" t="s">
        <v>317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customFormat="false" ht="31.5" hidden="false" customHeight="true" outlineLevel="0" collapsed="false">
      <c r="A10" s="87" t="s">
        <v>318</v>
      </c>
      <c r="B10" s="87" t="s">
        <v>319</v>
      </c>
      <c r="C10" s="87" t="s">
        <v>320</v>
      </c>
      <c r="D10" s="107" t="s">
        <v>321</v>
      </c>
      <c r="E10" s="107" t="s">
        <v>322</v>
      </c>
      <c r="F10" s="107" t="s">
        <v>323</v>
      </c>
      <c r="G10" s="107" t="s">
        <v>324</v>
      </c>
      <c r="H10" s="107" t="s">
        <v>325</v>
      </c>
      <c r="I10" s="107" t="s">
        <v>326</v>
      </c>
      <c r="J10" s="107" t="s">
        <v>327</v>
      </c>
      <c r="K10" s="107" t="s">
        <v>328</v>
      </c>
      <c r="L10" s="107" t="s">
        <v>329</v>
      </c>
      <c r="M10" s="107" t="s">
        <v>330</v>
      </c>
      <c r="N10" s="107" t="s">
        <v>331</v>
      </c>
      <c r="O10" s="87" t="s">
        <v>332</v>
      </c>
      <c r="P10" s="2"/>
      <c r="Q10" s="2"/>
    </row>
    <row r="11" customFormat="false" ht="15" hidden="false" customHeight="false" outlineLevel="0" collapsed="false">
      <c r="A11" s="95" t="str">
        <f aca="false">"実部"</f>
        <v>実部</v>
      </c>
      <c r="B11" s="88" t="n">
        <f aca="false">IF(03_FRFデータ貼付!B8="","",03_FRFデータ貼付!A8)</f>
        <v>1</v>
      </c>
      <c r="C11" s="88" t="n">
        <f aca="false">IF(AND(03_FRFデータ貼付!B8&lt;&gt;"",03_FRFデータ貼付!C8&lt;&gt;"",03_FRFデータ貼付!D8&lt;&gt;""),1,0)</f>
        <v>1</v>
      </c>
      <c r="D11" s="71" t="n">
        <f aca="false">IF($C11=0,0,03_FRFデータ貼付!H8)</f>
        <v>0.971428571428571</v>
      </c>
      <c r="E11" s="71" t="n">
        <f aca="false">IF($C11=0,0,03_FRFデータ貼付!I8)</f>
        <v>0.0027727678686053</v>
      </c>
      <c r="F11" s="71" t="n">
        <f aca="false">IF($C11=0,0,03_FRFデータ貼付!J8)</f>
        <v>0.163647672245137</v>
      </c>
      <c r="G11" s="71" t="n">
        <f aca="false">$C11*1</f>
        <v>1</v>
      </c>
      <c r="H11" s="71" t="n">
        <f aca="false">0</f>
        <v>0</v>
      </c>
      <c r="I11" s="71" t="n">
        <f aca="false">-$C11*$D11^2</f>
        <v>-0.943673469387755</v>
      </c>
      <c r="J11" s="71" t="n">
        <f aca="false">0</f>
        <v>0</v>
      </c>
      <c r="K11" s="71" t="n">
        <f aca="false">-$C11*$E11</f>
        <v>-0.0027727678686053</v>
      </c>
      <c r="L11" s="71" t="n">
        <f aca="false">$C11*$D11*$F11</f>
        <v>0.158972024466704</v>
      </c>
      <c r="M11" s="71" t="n">
        <f aca="false">$C11*$D11^2*$E11</f>
        <v>0.00261658747437366</v>
      </c>
      <c r="N11" s="71" t="n">
        <f aca="false">-$C11*$D11^3*$F11</f>
        <v>-0.15001768186409</v>
      </c>
      <c r="O11" s="71" t="n">
        <f aca="false">$C11*$D11^4*$E11</f>
        <v>0.00246920417989873</v>
      </c>
      <c r="P11" s="2"/>
      <c r="Q11" s="108" t="s">
        <v>333</v>
      </c>
    </row>
    <row r="12" customFormat="false" ht="15" hidden="false" customHeight="false" outlineLevel="0" collapsed="false">
      <c r="A12" s="95" t="str">
        <f aca="false">"実部"</f>
        <v>実部</v>
      </c>
      <c r="B12" s="88" t="n">
        <f aca="false">IF(03_FRFデータ貼付!B9="","",03_FRFデータ貼付!A9)</f>
        <v>2</v>
      </c>
      <c r="C12" s="88" t="n">
        <f aca="false">IF(AND(03_FRFデータ貼付!B9&lt;&gt;"",03_FRFデータ貼付!C9&lt;&gt;"",03_FRFデータ貼付!D9&lt;&gt;""),1,0)</f>
        <v>1</v>
      </c>
      <c r="D12" s="71" t="n">
        <f aca="false">IF($C12=0,0,03_FRFデータ貼付!H9)</f>
        <v>0.974285714285714</v>
      </c>
      <c r="E12" s="71" t="n">
        <f aca="false">IF($C12=0,0,03_FRFデータ貼付!I9)</f>
        <v>0.00505622376039791</v>
      </c>
      <c r="F12" s="71" t="n">
        <f aca="false">IF($C12=0,0,03_FRFデータ貼付!J9)</f>
        <v>0.184361879263541</v>
      </c>
      <c r="G12" s="71" t="n">
        <f aca="false">$C12*1</f>
        <v>1</v>
      </c>
      <c r="H12" s="71" t="n">
        <f aca="false">0</f>
        <v>0</v>
      </c>
      <c r="I12" s="71" t="n">
        <f aca="false">-$C12*$D12^2</f>
        <v>-0.949232653061225</v>
      </c>
      <c r="J12" s="71" t="n">
        <f aca="false">0</f>
        <v>0</v>
      </c>
      <c r="K12" s="71" t="n">
        <f aca="false">-$C12*$E12</f>
        <v>-0.00505622376039791</v>
      </c>
      <c r="L12" s="71" t="n">
        <f aca="false">$C12*$D12*$F12</f>
        <v>0.179621145225336</v>
      </c>
      <c r="M12" s="71" t="n">
        <f aca="false">$C12*$D12^2*$E12</f>
        <v>0.00479953269455371</v>
      </c>
      <c r="N12" s="71" t="n">
        <f aca="false">-$C12*$D12^3*$F12</f>
        <v>-0.170502256228141</v>
      </c>
      <c r="O12" s="71" t="n">
        <f aca="false">$C12*$D12^4*$E12</f>
        <v>0.0045558731531053</v>
      </c>
      <c r="P12" s="2"/>
      <c r="Q12" s="108" t="s">
        <v>334</v>
      </c>
    </row>
    <row r="13" customFormat="false" ht="15" hidden="false" customHeight="false" outlineLevel="0" collapsed="false">
      <c r="A13" s="95" t="str">
        <f aca="false">"実部"</f>
        <v>実部</v>
      </c>
      <c r="B13" s="88" t="n">
        <f aca="false">IF(03_FRFデータ貼付!B10="","",03_FRFデータ貼付!A10)</f>
        <v>3</v>
      </c>
      <c r="C13" s="88" t="n">
        <f aca="false">IF(AND(03_FRFデータ貼付!B10&lt;&gt;"",03_FRFデータ貼付!C10&lt;&gt;"",03_FRFデータ貼付!D10&lt;&gt;""),1,0)</f>
        <v>1</v>
      </c>
      <c r="D13" s="71" t="n">
        <f aca="false">IF($C13=0,0,03_FRFデータ貼付!H10)</f>
        <v>0.977142857142857</v>
      </c>
      <c r="E13" s="71" t="n">
        <f aca="false">IF($C13=0,0,03_FRFデータ貼付!I10)</f>
        <v>0.00880761558262861</v>
      </c>
      <c r="F13" s="71" t="n">
        <f aca="false">IF($C13=0,0,03_FRFデータ貼付!J10)</f>
        <v>0.210730358014003</v>
      </c>
      <c r="G13" s="71" t="n">
        <f aca="false">$C13*1</f>
        <v>1</v>
      </c>
      <c r="H13" s="71" t="n">
        <f aca="false">0</f>
        <v>0</v>
      </c>
      <c r="I13" s="71" t="n">
        <f aca="false">-$C13*$D13^2</f>
        <v>-0.954808163265306</v>
      </c>
      <c r="J13" s="71" t="n">
        <f aca="false">0</f>
        <v>0</v>
      </c>
      <c r="K13" s="71" t="n">
        <f aca="false">-$C13*$E13</f>
        <v>-0.00880761558262861</v>
      </c>
      <c r="L13" s="71" t="n">
        <f aca="false">$C13*$D13*$F13</f>
        <v>0.20591366411654</v>
      </c>
      <c r="M13" s="71" t="n">
        <f aca="false">$C13*$D13^2*$E13</f>
        <v>0.00840958325719651</v>
      </c>
      <c r="N13" s="71" t="n">
        <f aca="false">-$C13*$D13^3*$F13</f>
        <v>-0.196608047426343</v>
      </c>
      <c r="O13" s="71" t="n">
        <f aca="false">$C13*$D13^4*$E13</f>
        <v>0.00802953874363048</v>
      </c>
      <c r="P13" s="2"/>
      <c r="Q13" s="2"/>
    </row>
    <row r="14" customFormat="false" ht="15" hidden="false" customHeight="false" outlineLevel="0" collapsed="false">
      <c r="A14" s="95" t="str">
        <f aca="false">"実部"</f>
        <v>実部</v>
      </c>
      <c r="B14" s="88" t="n">
        <f aca="false">IF(03_FRFデータ貼付!B11="","",03_FRFデータ貼付!A11)</f>
        <v>4</v>
      </c>
      <c r="C14" s="88" t="n">
        <f aca="false">IF(AND(03_FRFデータ貼付!B11&lt;&gt;"",03_FRFデータ貼付!C11&lt;&gt;"",03_FRFデータ貼付!D11&lt;&gt;""),1,0)</f>
        <v>1</v>
      </c>
      <c r="D14" s="71" t="n">
        <f aca="false">IF($C14=0,0,03_FRFデータ貼付!H11)</f>
        <v>0.98</v>
      </c>
      <c r="E14" s="71" t="n">
        <f aca="false">IF($C14=0,0,03_FRFデータ貼付!I11)</f>
        <v>0.0152230392786174</v>
      </c>
      <c r="F14" s="71" t="n">
        <f aca="false">IF($C14=0,0,03_FRFデータ貼付!J11)</f>
        <v>0.245525876365128</v>
      </c>
      <c r="G14" s="71" t="n">
        <f aca="false">$C14*1</f>
        <v>1</v>
      </c>
      <c r="H14" s="71" t="n">
        <f aca="false">0</f>
        <v>0</v>
      </c>
      <c r="I14" s="71" t="n">
        <f aca="false">-$C14*$D14^2</f>
        <v>-0.9604</v>
      </c>
      <c r="J14" s="71" t="n">
        <f aca="false">0</f>
        <v>0</v>
      </c>
      <c r="K14" s="71" t="n">
        <f aca="false">-$C14*$E14</f>
        <v>-0.0152230392786174</v>
      </c>
      <c r="L14" s="71" t="n">
        <f aca="false">$C14*$D14*$F14</f>
        <v>0.240615358837826</v>
      </c>
      <c r="M14" s="71" t="n">
        <f aca="false">$C14*$D14^2*$E14</f>
        <v>0.0146202069231841</v>
      </c>
      <c r="N14" s="71" t="n">
        <f aca="false">-$C14*$D14^3*$F14</f>
        <v>-0.231086990627848</v>
      </c>
      <c r="O14" s="71" t="n">
        <f aca="false">$C14*$D14^4*$E14</f>
        <v>0.014041246729026</v>
      </c>
      <c r="P14" s="2"/>
      <c r="Q14" s="26" t="s">
        <v>335</v>
      </c>
    </row>
    <row r="15" customFormat="false" ht="26.85" hidden="false" customHeight="false" outlineLevel="0" collapsed="false">
      <c r="A15" s="95" t="str">
        <f aca="false">"実部"</f>
        <v>実部</v>
      </c>
      <c r="B15" s="88" t="n">
        <f aca="false">IF(03_FRFデータ貼付!B12="","",03_FRFデータ貼付!A12)</f>
        <v>5</v>
      </c>
      <c r="C15" s="88" t="n">
        <f aca="false">IF(AND(03_FRFデータ貼付!B12&lt;&gt;"",03_FRFデータ貼付!C12&lt;&gt;"",03_FRFデータ貼付!D12&lt;&gt;""),1,0)</f>
        <v>1</v>
      </c>
      <c r="D15" s="71" t="n">
        <f aca="false">IF($C15=0,0,03_FRFデータ貼付!H12)</f>
        <v>0.982857142857143</v>
      </c>
      <c r="E15" s="71" t="n">
        <f aca="false">IF($C15=0,0,03_FRFデータ貼付!I12)</f>
        <v>0.0278364146809003</v>
      </c>
      <c r="F15" s="71" t="n">
        <f aca="false">IF($C15=0,0,03_FRFデータ貼付!J12)</f>
        <v>0.297012369925309</v>
      </c>
      <c r="G15" s="71" t="n">
        <f aca="false">$C15*1</f>
        <v>1</v>
      </c>
      <c r="H15" s="71" t="n">
        <f aca="false">0</f>
        <v>0</v>
      </c>
      <c r="I15" s="71" t="n">
        <f aca="false">-$C15*$D15^2</f>
        <v>-0.966008163265306</v>
      </c>
      <c r="J15" s="71" t="n">
        <f aca="false">0</f>
        <v>0</v>
      </c>
      <c r="K15" s="71" t="n">
        <f aca="false">-$C15*$E15</f>
        <v>-0.0278364146809003</v>
      </c>
      <c r="L15" s="71" t="n">
        <f aca="false">$C15*$D15*$F15</f>
        <v>0.291920729298018</v>
      </c>
      <c r="M15" s="71" t="n">
        <f aca="false">$C15*$D15^2*$E15</f>
        <v>0.0268902038177879</v>
      </c>
      <c r="N15" s="71" t="n">
        <f aca="false">-$C15*$D15^3*$F15</f>
        <v>-0.281997807528247</v>
      </c>
      <c r="O15" s="71" t="n">
        <f aca="false">$C15*$D15^4*$E15</f>
        <v>0.025976156399851</v>
      </c>
      <c r="P15" s="2"/>
      <c r="Q15" s="109" t="s">
        <v>336</v>
      </c>
    </row>
    <row r="16" customFormat="false" ht="15" hidden="false" customHeight="false" outlineLevel="0" collapsed="false">
      <c r="A16" s="95" t="str">
        <f aca="false">"実部"</f>
        <v>実部</v>
      </c>
      <c r="B16" s="88" t="n">
        <f aca="false">IF(03_FRFデータ貼付!B13="","",03_FRFデータ貼付!A13)</f>
        <v>6</v>
      </c>
      <c r="C16" s="88" t="n">
        <f aca="false">IF(AND(03_FRFデータ貼付!B13&lt;&gt;"",03_FRFデータ貼付!C13&lt;&gt;"",03_FRFデータ貼付!D13&lt;&gt;""),1,0)</f>
        <v>1</v>
      </c>
      <c r="D16" s="71" t="n">
        <f aca="false">IF($C16=0,0,03_FRFデータ貼付!H13)</f>
        <v>0.985714285714286</v>
      </c>
      <c r="E16" s="71" t="n">
        <f aca="false">IF($C16=0,0,03_FRFデータ貼付!I13)</f>
        <v>0.0552378853824115</v>
      </c>
      <c r="F16" s="71" t="n">
        <f aca="false">IF($C16=0,0,03_FRFデータ貼付!J13)</f>
        <v>0.372638254341583</v>
      </c>
      <c r="G16" s="71" t="n">
        <f aca="false">$C16*1</f>
        <v>1</v>
      </c>
      <c r="H16" s="71" t="n">
        <f aca="false">0</f>
        <v>0</v>
      </c>
      <c r="I16" s="71" t="n">
        <f aca="false">-$C16*$D16^2</f>
        <v>-0.971632653061224</v>
      </c>
      <c r="J16" s="71" t="n">
        <f aca="false">0</f>
        <v>0</v>
      </c>
      <c r="K16" s="71" t="n">
        <f aca="false">-$C16*$E16</f>
        <v>-0.0552378853824115</v>
      </c>
      <c r="L16" s="71" t="n">
        <f aca="false">$C16*$D16*$F16</f>
        <v>0.367314850708132</v>
      </c>
      <c r="M16" s="71" t="n">
        <f aca="false">$C16*$D16^2*$E16</f>
        <v>0.0536709331236043</v>
      </c>
      <c r="N16" s="71" t="n">
        <f aca="false">-$C16*$D16^3*$F16</f>
        <v>-0.35689510290233</v>
      </c>
      <c r="O16" s="71" t="n">
        <f aca="false">$C16*$D16^4*$E16</f>
        <v>0.0521484311431592</v>
      </c>
      <c r="P16" s="2"/>
      <c r="Q16" s="2"/>
    </row>
    <row r="17" customFormat="false" ht="15" hidden="false" customHeight="false" outlineLevel="0" collapsed="false">
      <c r="A17" s="95" t="str">
        <f aca="false">"実部"</f>
        <v>実部</v>
      </c>
      <c r="B17" s="88" t="n">
        <f aca="false">IF(03_FRFデータ貼付!B14="","",03_FRFデータ貼付!A14)</f>
        <v>7</v>
      </c>
      <c r="C17" s="88" t="n">
        <f aca="false">IF(AND(03_FRFデータ貼付!B14&lt;&gt;"",03_FRFデータ貼付!C14&lt;&gt;"",03_FRFデータ貼付!D14&lt;&gt;""),1,0)</f>
        <v>1</v>
      </c>
      <c r="D17" s="71" t="n">
        <f aca="false">IF($C17=0,0,03_FRFデータ貼付!H14)</f>
        <v>0.988571428571429</v>
      </c>
      <c r="E17" s="71" t="n">
        <f aca="false">IF($C17=0,0,03_FRFデータ貼付!I14)</f>
        <v>0.128417209914622</v>
      </c>
      <c r="F17" s="71" t="n">
        <f aca="false">IF($C17=0,0,03_FRFデータ貼付!J14)</f>
        <v>0.493661416606591</v>
      </c>
      <c r="G17" s="71" t="n">
        <f aca="false">$C17*1</f>
        <v>1</v>
      </c>
      <c r="H17" s="71" t="n">
        <f aca="false">0</f>
        <v>0</v>
      </c>
      <c r="I17" s="71" t="n">
        <f aca="false">-$C17*$D17^2</f>
        <v>-0.977273469387755</v>
      </c>
      <c r="J17" s="71" t="n">
        <f aca="false">0</f>
        <v>0</v>
      </c>
      <c r="K17" s="71" t="n">
        <f aca="false">-$C17*$E17</f>
        <v>-0.128417209914622</v>
      </c>
      <c r="L17" s="71" t="n">
        <f aca="false">$C17*$D17*$F17</f>
        <v>0.488019571845373</v>
      </c>
      <c r="M17" s="71" t="n">
        <f aca="false">$C17*$D17^2*$E17</f>
        <v>0.125498732262358</v>
      </c>
      <c r="N17" s="71" t="n">
        <f aca="false">-$C17*$D17^3*$F17</f>
        <v>-0.476928580106455</v>
      </c>
      <c r="O17" s="71" t="n">
        <f aca="false">$C17*$D17^4*$E17</f>
        <v>0.1226465814818</v>
      </c>
      <c r="P17" s="2"/>
      <c r="Q17" s="2"/>
    </row>
    <row r="18" customFormat="false" ht="15" hidden="false" customHeight="false" outlineLevel="0" collapsed="false">
      <c r="A18" s="95" t="str">
        <f aca="false">"実部"</f>
        <v>実部</v>
      </c>
      <c r="B18" s="88" t="n">
        <f aca="false">IF(03_FRFデータ貼付!B15="","",03_FRFデータ貼付!A15)</f>
        <v>8</v>
      </c>
      <c r="C18" s="88" t="n">
        <f aca="false">IF(AND(03_FRFデータ貼付!B15&lt;&gt;"",03_FRFデータ貼付!C15&lt;&gt;"",03_FRFデータ貼付!D15&lt;&gt;""),1,0)</f>
        <v>1</v>
      </c>
      <c r="D18" s="71" t="n">
        <f aca="false">IF($C18=0,0,03_FRFデータ貼付!H15)</f>
        <v>0.991428571428572</v>
      </c>
      <c r="E18" s="71" t="n">
        <f aca="false">IF($C18=0,0,03_FRFデータ貼付!I15)</f>
        <v>0.377259534122592</v>
      </c>
      <c r="F18" s="71" t="n">
        <f aca="false">IF($C18=0,0,03_FRFデータ貼付!J15)</f>
        <v>0.661712896643042</v>
      </c>
      <c r="G18" s="71" t="n">
        <f aca="false">$C18*1</f>
        <v>1</v>
      </c>
      <c r="H18" s="71" t="n">
        <f aca="false">0</f>
        <v>0</v>
      </c>
      <c r="I18" s="71" t="n">
        <f aca="false">-$C18*$D18^2</f>
        <v>-0.982930612244898</v>
      </c>
      <c r="J18" s="71" t="n">
        <f aca="false">0</f>
        <v>0</v>
      </c>
      <c r="K18" s="71" t="n">
        <f aca="false">-$C18*$E18</f>
        <v>-0.377259534122592</v>
      </c>
      <c r="L18" s="71" t="n">
        <f aca="false">$C18*$D18*$F18</f>
        <v>0.656041071814673</v>
      </c>
      <c r="M18" s="71" t="n">
        <f aca="false">$C18*$D18^2*$E18</f>
        <v>0.370819944850345</v>
      </c>
      <c r="N18" s="71" t="n">
        <f aca="false">-$C18*$D18^3*$F18</f>
        <v>-0.644842852376596</v>
      </c>
      <c r="O18" s="71" t="n">
        <f aca="false">$C18*$D18^4*$E18</f>
        <v>0.364490275424369</v>
      </c>
      <c r="P18" s="2"/>
      <c r="Q18" s="2"/>
    </row>
    <row r="19" customFormat="false" ht="15" hidden="false" customHeight="false" outlineLevel="0" collapsed="false">
      <c r="A19" s="95" t="str">
        <f aca="false">"実部"</f>
        <v>実部</v>
      </c>
      <c r="B19" s="88" t="n">
        <f aca="false">IF(03_FRFデータ貼付!B16="","",03_FRFデータ貼付!A16)</f>
        <v>9</v>
      </c>
      <c r="C19" s="88" t="n">
        <f aca="false">IF(AND(03_FRFデータ貼付!B16&lt;&gt;"",03_FRFデータ貼付!C16&lt;&gt;"",03_FRFデータ貼付!D16&lt;&gt;""),1,0)</f>
        <v>1</v>
      </c>
      <c r="D19" s="71" t="n">
        <f aca="false">IF($C19=0,0,03_FRFデータ貼付!H16)</f>
        <v>0.994285714285714</v>
      </c>
      <c r="E19" s="71" t="n">
        <f aca="false">IF($C19=0,0,03_FRFデータ貼付!I16)</f>
        <v>0.922516180284212</v>
      </c>
      <c r="F19" s="71" t="n">
        <f aca="false">IF($C19=0,0,03_FRFデータ貼付!J16)</f>
        <v>0.385958413710374</v>
      </c>
      <c r="G19" s="71" t="n">
        <f aca="false">$C19*1</f>
        <v>1</v>
      </c>
      <c r="H19" s="71" t="n">
        <f aca="false">0</f>
        <v>0</v>
      </c>
      <c r="I19" s="71" t="n">
        <f aca="false">-$C19*$D19^2</f>
        <v>-0.988604081632653</v>
      </c>
      <c r="J19" s="71" t="n">
        <f aca="false">0</f>
        <v>0</v>
      </c>
      <c r="K19" s="71" t="n">
        <f aca="false">-$C19*$E19</f>
        <v>-0.922516180284212</v>
      </c>
      <c r="L19" s="71" t="n">
        <f aca="false">$C19*$D19*$F19</f>
        <v>0.3837529370606</v>
      </c>
      <c r="M19" s="71" t="n">
        <f aca="false">$C19*$D19^2*$E19</f>
        <v>0.912003261201136</v>
      </c>
      <c r="N19" s="71" t="n">
        <f aca="false">-$C19*$D19^3*$F19</f>
        <v>-0.379379719916628</v>
      </c>
      <c r="O19" s="71" t="n">
        <f aca="false">$C19*$D19^4*$E19</f>
        <v>0.901610146485734</v>
      </c>
      <c r="P19" s="2"/>
      <c r="Q19" s="2"/>
    </row>
    <row r="20" customFormat="false" ht="15" hidden="false" customHeight="false" outlineLevel="0" collapsed="false">
      <c r="A20" s="95" t="str">
        <f aca="false">"実部"</f>
        <v>実部</v>
      </c>
      <c r="B20" s="88" t="n">
        <f aca="false">IF(03_FRFデータ貼付!B17="","",03_FRFデータ貼付!A17)</f>
        <v>10</v>
      </c>
      <c r="C20" s="88" t="n">
        <f aca="false">IF(AND(03_FRFデータ貼付!B17&lt;&gt;"",03_FRFデータ貼付!C17&lt;&gt;"",03_FRFデータ貼付!D17&lt;&gt;""),1,0)</f>
        <v>1</v>
      </c>
      <c r="D20" s="71" t="n">
        <f aca="false">IF($C20=0,0,03_FRFデータ貼付!H17)</f>
        <v>0.997142857142857</v>
      </c>
      <c r="E20" s="71" t="n">
        <f aca="false">IF($C20=0,0,03_FRFデータ貼付!I17)</f>
        <v>0.692267711195124</v>
      </c>
      <c r="F20" s="71" t="n">
        <f aca="false">IF($C20=0,0,03_FRFデータ貼付!J17)</f>
        <v>-0.119881434319112</v>
      </c>
      <c r="G20" s="71" t="n">
        <f aca="false">$C20*1</f>
        <v>1</v>
      </c>
      <c r="H20" s="71" t="n">
        <f aca="false">0</f>
        <v>0</v>
      </c>
      <c r="I20" s="71" t="n">
        <f aca="false">-$C20*$D20^2</f>
        <v>-0.994293877551021</v>
      </c>
      <c r="J20" s="71" t="n">
        <f aca="false">0</f>
        <v>0</v>
      </c>
      <c r="K20" s="71" t="n">
        <f aca="false">-$C20*$E20</f>
        <v>-0.692267711195124</v>
      </c>
      <c r="L20" s="71" t="n">
        <f aca="false">$C20*$D20*$F20</f>
        <v>-0.119538915935343</v>
      </c>
      <c r="M20" s="71" t="n">
        <f aca="false">$C20*$D20^2*$E20</f>
        <v>0.68831754686757</v>
      </c>
      <c r="N20" s="71" t="n">
        <f aca="false">-$C20*$D20^3*$F20</f>
        <v>0.118856812243597</v>
      </c>
      <c r="O20" s="71" t="n">
        <f aca="false">$C20*$D20^4*$E20</f>
        <v>0.684389922661362</v>
      </c>
      <c r="P20" s="2"/>
      <c r="Q20" s="2"/>
    </row>
    <row r="21" customFormat="false" ht="15" hidden="false" customHeight="false" outlineLevel="0" collapsed="false">
      <c r="A21" s="95" t="str">
        <f aca="false">"実部"</f>
        <v>実部</v>
      </c>
      <c r="B21" s="88" t="n">
        <f aca="false">IF(03_FRFデータ貼付!B18="","",03_FRFデータ貼付!A18)</f>
        <v>11</v>
      </c>
      <c r="C21" s="88" t="n">
        <f aca="false">IF(AND(03_FRFデータ貼付!B18&lt;&gt;"",03_FRFデータ貼付!C18&lt;&gt;"",03_FRFデータ貼付!D18&lt;&gt;""),1,0)</f>
        <v>1</v>
      </c>
      <c r="D21" s="71" t="n">
        <f aca="false">IF($C21=0,0,03_FRFデータ貼付!H18)</f>
        <v>1</v>
      </c>
      <c r="E21" s="71" t="n">
        <f aca="false">IF($C21=0,0,03_FRFデータ貼付!I18)</f>
        <v>0.500239944294851</v>
      </c>
      <c r="F21" s="71" t="n">
        <f aca="false">IF($C21=0,0,03_FRFデータ貼付!J18)</f>
        <v>-0.0981886033470819</v>
      </c>
      <c r="G21" s="71" t="n">
        <f aca="false">$C21*1</f>
        <v>1</v>
      </c>
      <c r="H21" s="71" t="n">
        <f aca="false">0</f>
        <v>0</v>
      </c>
      <c r="I21" s="71" t="n">
        <f aca="false">-$C21*$D21^2</f>
        <v>-1</v>
      </c>
      <c r="J21" s="71" t="n">
        <f aca="false">0</f>
        <v>0</v>
      </c>
      <c r="K21" s="71" t="n">
        <f aca="false">-$C21*$E21</f>
        <v>-0.500239944294851</v>
      </c>
      <c r="L21" s="71" t="n">
        <f aca="false">$C21*$D21*$F21</f>
        <v>-0.0981886033470819</v>
      </c>
      <c r="M21" s="71" t="n">
        <f aca="false">$C21*$D21^2*$E21</f>
        <v>0.500239944294851</v>
      </c>
      <c r="N21" s="71" t="n">
        <f aca="false">-$C21*$D21^3*$F21</f>
        <v>0.0981886033470819</v>
      </c>
      <c r="O21" s="71" t="n">
        <f aca="false">$C21*$D21^4*$E21</f>
        <v>0.500239944294851</v>
      </c>
      <c r="P21" s="2"/>
      <c r="Q21" s="2"/>
    </row>
    <row r="22" customFormat="false" ht="15" hidden="false" customHeight="false" outlineLevel="0" collapsed="false">
      <c r="A22" s="95" t="str">
        <f aca="false">"実部"</f>
        <v>実部</v>
      </c>
      <c r="B22" s="88" t="n">
        <f aca="false">IF(03_FRFデータ貼付!B19="","",03_FRFデータ貼付!A19)</f>
        <v>12</v>
      </c>
      <c r="C22" s="88" t="n">
        <f aca="false">IF(AND(03_FRFデータ貼付!B19&lt;&gt;"",03_FRFデータ貼付!C19&lt;&gt;"",03_FRFデータ貼付!D19&lt;&gt;""),1,0)</f>
        <v>1</v>
      </c>
      <c r="D22" s="71" t="n">
        <f aca="false">IF($C22=0,0,03_FRFデータ貼付!H19)</f>
        <v>1.00285714285714</v>
      </c>
      <c r="E22" s="71" t="n">
        <f aca="false">IF($C22=0,0,03_FRFデータ貼付!I19)</f>
        <v>0.552487589818963</v>
      </c>
      <c r="F22" s="71" t="n">
        <f aca="false">IF($C22=0,0,03_FRFデータ貼付!J19)</f>
        <v>-0.0826393560839228</v>
      </c>
      <c r="G22" s="71" t="n">
        <f aca="false">$C22*1</f>
        <v>1</v>
      </c>
      <c r="H22" s="71" t="n">
        <f aca="false">0</f>
        <v>0</v>
      </c>
      <c r="I22" s="71" t="n">
        <f aca="false">-$C22*$D22^2</f>
        <v>-1.00572244897959</v>
      </c>
      <c r="J22" s="71" t="n">
        <f aca="false">0</f>
        <v>0</v>
      </c>
      <c r="K22" s="71" t="n">
        <f aca="false">-$C22*$E22</f>
        <v>-0.552487589818963</v>
      </c>
      <c r="L22" s="71" t="n">
        <f aca="false">$C22*$D22*$F22</f>
        <v>-0.0828754685298768</v>
      </c>
      <c r="M22" s="71" t="n">
        <f aca="false">$C22*$D22^2*$E22</f>
        <v>0.555649171863559</v>
      </c>
      <c r="N22" s="71" t="n">
        <f aca="false">-$C22*$D22^3*$F22</f>
        <v>0.0833497191701988</v>
      </c>
      <c r="O22" s="71" t="n">
        <f aca="false">$C22*$D22^4*$E22</f>
        <v>0.558828845900101</v>
      </c>
      <c r="P22" s="2"/>
      <c r="Q22" s="2"/>
    </row>
    <row r="23" customFormat="false" ht="15" hidden="false" customHeight="false" outlineLevel="0" collapsed="false">
      <c r="A23" s="95" t="str">
        <f aca="false">"実部"</f>
        <v>実部</v>
      </c>
      <c r="B23" s="88" t="n">
        <f aca="false">IF(03_FRFデータ貼付!B20="","",03_FRFデータ貼付!A20)</f>
        <v>13</v>
      </c>
      <c r="C23" s="88" t="n">
        <f aca="false">IF(AND(03_FRFデータ貼付!B20&lt;&gt;"",03_FRFデータ貼付!C20&lt;&gt;"",03_FRFデータ貼付!D20&lt;&gt;""),1,0)</f>
        <v>1</v>
      </c>
      <c r="D23" s="71" t="n">
        <f aca="false">IF($C23=0,0,03_FRFデータ貼付!H20)</f>
        <v>1.00571428571429</v>
      </c>
      <c r="E23" s="71" t="n">
        <f aca="false">IF($C23=0,0,03_FRFデータ貼付!I20)</f>
        <v>0.60391971538172</v>
      </c>
      <c r="F23" s="71" t="n">
        <f aca="false">IF($C23=0,0,03_FRFデータ貼付!J20)</f>
        <v>-0.31228977720135</v>
      </c>
      <c r="G23" s="71" t="n">
        <f aca="false">$C23*1</f>
        <v>1</v>
      </c>
      <c r="H23" s="71" t="n">
        <f aca="false">0</f>
        <v>0</v>
      </c>
      <c r="I23" s="71" t="n">
        <f aca="false">-$C23*$D23^2</f>
        <v>-1.0114612244898</v>
      </c>
      <c r="J23" s="71" t="n">
        <f aca="false">0</f>
        <v>0</v>
      </c>
      <c r="K23" s="71" t="n">
        <f aca="false">-$C23*$E23</f>
        <v>-0.60391971538172</v>
      </c>
      <c r="L23" s="71" t="n">
        <f aca="false">$C23*$D23*$F23</f>
        <v>-0.314074290213929</v>
      </c>
      <c r="M23" s="71" t="n">
        <f aca="false">$C23*$D23^2*$E23</f>
        <v>0.610841374813523</v>
      </c>
      <c r="N23" s="71" t="n">
        <f aca="false">-$C23*$D23^3*$F23</f>
        <v>0.317673966160545</v>
      </c>
      <c r="O23" s="71" t="n">
        <f aca="false">$C23*$D23^4*$E23</f>
        <v>0.617842364937917</v>
      </c>
      <c r="P23" s="2"/>
      <c r="Q23" s="2"/>
    </row>
    <row r="24" customFormat="false" ht="15" hidden="false" customHeight="false" outlineLevel="0" collapsed="false">
      <c r="A24" s="95" t="str">
        <f aca="false">"実部"</f>
        <v>実部</v>
      </c>
      <c r="B24" s="88" t="n">
        <f aca="false">IF(03_FRFデータ貼付!B21="","",03_FRFデータ貼付!A21)</f>
        <v>14</v>
      </c>
      <c r="C24" s="88" t="n">
        <f aca="false">IF(AND(03_FRFデータ貼付!B21&lt;&gt;"",03_FRFデータ貼付!C21&lt;&gt;"",03_FRFデータ貼付!D21&lt;&gt;""),1,0)</f>
        <v>1</v>
      </c>
      <c r="D24" s="71" t="n">
        <f aca="false">IF($C24=0,0,03_FRFデータ貼付!H21)</f>
        <v>1.00857142857143</v>
      </c>
      <c r="E24" s="71" t="n">
        <f aca="false">IF($C24=0,0,03_FRFデータ貼付!I21)</f>
        <v>0.352195887310297</v>
      </c>
      <c r="F24" s="71" t="n">
        <f aca="false">IF($C24=0,0,03_FRFデータ貼付!J21)</f>
        <v>-0.471316169665478</v>
      </c>
      <c r="G24" s="71" t="n">
        <f aca="false">$C24*1</f>
        <v>1</v>
      </c>
      <c r="H24" s="71" t="n">
        <f aca="false">0</f>
        <v>0</v>
      </c>
      <c r="I24" s="71" t="n">
        <f aca="false">-$C24*$D24^2</f>
        <v>-1.01721632653061</v>
      </c>
      <c r="J24" s="71" t="n">
        <f aca="false">0</f>
        <v>0</v>
      </c>
      <c r="K24" s="71" t="n">
        <f aca="false">-$C24*$E24</f>
        <v>-0.352195887310297</v>
      </c>
      <c r="L24" s="71" t="n">
        <f aca="false">$C24*$D24*$F24</f>
        <v>-0.475356022548325</v>
      </c>
      <c r="M24" s="71" t="n">
        <f aca="false">$C24*$D24^2*$E24</f>
        <v>0.35825940670897</v>
      </c>
      <c r="N24" s="71" t="n">
        <f aca="false">-$C24*$D24^3*$F24</f>
        <v>0.48353990705081</v>
      </c>
      <c r="O24" s="71" t="n">
        <f aca="false">$C24*$D24^4*$E24</f>
        <v>0.364427317637535</v>
      </c>
      <c r="P24" s="2"/>
      <c r="Q24" s="2"/>
    </row>
    <row r="25" customFormat="false" ht="15" hidden="false" customHeight="false" outlineLevel="0" collapsed="false">
      <c r="A25" s="95" t="str">
        <f aca="false">"実部"</f>
        <v>実部</v>
      </c>
      <c r="B25" s="88" t="n">
        <f aca="false">IF(03_FRFデータ貼付!B22="","",03_FRFデータ貼付!A22)</f>
        <v>15</v>
      </c>
      <c r="C25" s="88" t="n">
        <f aca="false">IF(AND(03_FRFデータ貼付!B22&lt;&gt;"",03_FRFデータ貼付!C22&lt;&gt;"",03_FRFデータ貼付!D22&lt;&gt;""),1,0)</f>
        <v>1</v>
      </c>
      <c r="D25" s="71" t="n">
        <f aca="false">IF($C25=0,0,03_FRFデータ貼付!H22)</f>
        <v>1.01142857142857</v>
      </c>
      <c r="E25" s="71" t="n">
        <f aca="false">IF($C25=0,0,03_FRFデータ貼付!I22)</f>
        <v>0.170824247905056</v>
      </c>
      <c r="F25" s="71" t="n">
        <f aca="false">IF($C25=0,0,03_FRFデータ貼付!J22)</f>
        <v>-0.40640078074166</v>
      </c>
      <c r="G25" s="71" t="n">
        <f aca="false">$C25*1</f>
        <v>1</v>
      </c>
      <c r="H25" s="71" t="n">
        <f aca="false">0</f>
        <v>0</v>
      </c>
      <c r="I25" s="71" t="n">
        <f aca="false">-$C25*$D25^2</f>
        <v>-1.02298775510204</v>
      </c>
      <c r="J25" s="71" t="n">
        <f aca="false">0</f>
        <v>0</v>
      </c>
      <c r="K25" s="71" t="n">
        <f aca="false">-$C25*$E25</f>
        <v>-0.170824247905056</v>
      </c>
      <c r="L25" s="71" t="n">
        <f aca="false">$C25*$D25*$F25</f>
        <v>-0.411045361092993</v>
      </c>
      <c r="M25" s="71" t="n">
        <f aca="false">$C25*$D25^2*$E25</f>
        <v>0.174751113881388</v>
      </c>
      <c r="N25" s="71" t="n">
        <f aca="false">-$C25*$D25^3*$F25</f>
        <v>0.420494371189629</v>
      </c>
      <c r="O25" s="71" t="n">
        <f aca="false">$C25*$D25^4*$E25</f>
        <v>0.178768249691102</v>
      </c>
      <c r="P25" s="2"/>
      <c r="Q25" s="2"/>
    </row>
    <row r="26" customFormat="false" ht="15" hidden="false" customHeight="false" outlineLevel="0" collapsed="false">
      <c r="A26" s="95" t="str">
        <f aca="false">"実部"</f>
        <v>実部</v>
      </c>
      <c r="B26" s="88" t="n">
        <f aca="false">IF(03_FRFデータ貼付!B23="","",03_FRFデータ貼付!A23)</f>
        <v>16</v>
      </c>
      <c r="C26" s="88" t="n">
        <f aca="false">IF(AND(03_FRFデータ貼付!B23&lt;&gt;"",03_FRFデータ貼付!C23&lt;&gt;"",03_FRFデータ貼付!D23&lt;&gt;""),1,0)</f>
        <v>1</v>
      </c>
      <c r="D26" s="71" t="n">
        <f aca="false">IF($C26=0,0,03_FRFデータ貼付!H23)</f>
        <v>1.01428571428571</v>
      </c>
      <c r="E26" s="71" t="n">
        <f aca="false">IF($C26=0,0,03_FRFデータ貼付!I23)</f>
        <v>0.0956333074681712</v>
      </c>
      <c r="F26" s="71" t="n">
        <f aca="false">IF($C26=0,0,03_FRFデータ貼付!J23)</f>
        <v>-0.329252592397524</v>
      </c>
      <c r="G26" s="71" t="n">
        <f aca="false">$C26*1</f>
        <v>1</v>
      </c>
      <c r="H26" s="71" t="n">
        <f aca="false">0</f>
        <v>0</v>
      </c>
      <c r="I26" s="71" t="n">
        <f aca="false">-$C26*$D26^2</f>
        <v>-1.02877551020408</v>
      </c>
      <c r="J26" s="71" t="n">
        <f aca="false">0</f>
        <v>0</v>
      </c>
      <c r="K26" s="71" t="n">
        <f aca="false">-$C26*$E26</f>
        <v>-0.0956333074681712</v>
      </c>
      <c r="L26" s="71" t="n">
        <f aca="false">$C26*$D26*$F26</f>
        <v>-0.333956200860346</v>
      </c>
      <c r="M26" s="71" t="n">
        <f aca="false">$C26*$D26^2*$E26</f>
        <v>0.0983852046830716</v>
      </c>
      <c r="N26" s="71" t="n">
        <f aca="false">-$C26*$D26^3*$F26</f>
        <v>0.343565960925919</v>
      </c>
      <c r="O26" s="71" t="n">
        <f aca="false">$C26*$D26^4*$E26</f>
        <v>0.10121628914436</v>
      </c>
      <c r="P26" s="2"/>
      <c r="Q26" s="2"/>
    </row>
    <row r="27" customFormat="false" ht="15" hidden="false" customHeight="false" outlineLevel="0" collapsed="false">
      <c r="A27" s="95" t="str">
        <f aca="false">"実部"</f>
        <v>実部</v>
      </c>
      <c r="B27" s="88" t="n">
        <f aca="false">IF(03_FRFデータ貼付!B24="","",03_FRFデータ貼付!A24)</f>
        <v>17</v>
      </c>
      <c r="C27" s="88" t="n">
        <f aca="false">IF(AND(03_FRFデータ貼付!B24&lt;&gt;"",03_FRFデータ貼付!C24&lt;&gt;"",03_FRFデータ貼付!D24&lt;&gt;""),1,0)</f>
        <v>1</v>
      </c>
      <c r="D27" s="71" t="n">
        <f aca="false">IF($C27=0,0,03_FRFデータ貼付!H24)</f>
        <v>1.01714285714286</v>
      </c>
      <c r="E27" s="71" t="n">
        <f aca="false">IF($C27=0,0,03_FRFデータ貼付!I24)</f>
        <v>0.0613271010938585</v>
      </c>
      <c r="F27" s="71" t="n">
        <f aca="false">IF($C27=0,0,03_FRFデータ貼付!J24)</f>
        <v>-0.271839987118167</v>
      </c>
      <c r="G27" s="71" t="n">
        <f aca="false">$C27*1</f>
        <v>1</v>
      </c>
      <c r="H27" s="71" t="n">
        <f aca="false">0</f>
        <v>0</v>
      </c>
      <c r="I27" s="71" t="n">
        <f aca="false">-$C27*$D27^2</f>
        <v>-1.03457959183673</v>
      </c>
      <c r="J27" s="71" t="n">
        <f aca="false">0</f>
        <v>0</v>
      </c>
      <c r="K27" s="71" t="n">
        <f aca="false">-$C27*$E27</f>
        <v>-0.0613271010938585</v>
      </c>
      <c r="L27" s="71" t="n">
        <f aca="false">$C27*$D27*$F27</f>
        <v>-0.27650010118305</v>
      </c>
      <c r="M27" s="71" t="n">
        <f aca="false">$C27*$D27^2*$E27</f>
        <v>0.0634477672182143</v>
      </c>
      <c r="N27" s="71" t="n">
        <f aca="false">-$C27*$D27^3*$F27</f>
        <v>0.286061361824776</v>
      </c>
      <c r="O27" s="71" t="n">
        <f aca="false">$C27*$D27^4*$E27</f>
        <v>0.0656417651115723</v>
      </c>
      <c r="P27" s="2"/>
      <c r="Q27" s="2"/>
    </row>
    <row r="28" customFormat="false" ht="15" hidden="false" customHeight="false" outlineLevel="0" collapsed="false">
      <c r="A28" s="95" t="str">
        <f aca="false">"実部"</f>
        <v>実部</v>
      </c>
      <c r="B28" s="88" t="n">
        <f aca="false">IF(03_FRFデータ貼付!B25="","",03_FRFデータ貼付!A25)</f>
        <v>18</v>
      </c>
      <c r="C28" s="88" t="n">
        <f aca="false">IF(AND(03_FRFデータ貼付!B25&lt;&gt;"",03_FRFデータ貼付!C25&lt;&gt;"",03_FRFデータ貼付!D25&lt;&gt;""),1,0)</f>
        <v>1</v>
      </c>
      <c r="D28" s="71" t="n">
        <f aca="false">IF($C28=0,0,03_FRFデータ貼付!H25)</f>
        <v>1.02</v>
      </c>
      <c r="E28" s="71" t="n">
        <f aca="false">IF($C28=0,0,03_FRFデータ貼付!I25)</f>
        <v>0.0433312939466358</v>
      </c>
      <c r="F28" s="71" t="n">
        <f aca="false">IF($C28=0,0,03_FRFデータ貼付!J25)</f>
        <v>-0.230846517060747</v>
      </c>
      <c r="G28" s="71" t="n">
        <f aca="false">$C28*1</f>
        <v>1</v>
      </c>
      <c r="H28" s="71" t="n">
        <f aca="false">0</f>
        <v>0</v>
      </c>
      <c r="I28" s="71" t="n">
        <f aca="false">-$C28*$D28^2</f>
        <v>-1.0404</v>
      </c>
      <c r="J28" s="71" t="n">
        <f aca="false">0</f>
        <v>0</v>
      </c>
      <c r="K28" s="71" t="n">
        <f aca="false">-$C28*$E28</f>
        <v>-0.0433312939466358</v>
      </c>
      <c r="L28" s="71" t="n">
        <f aca="false">$C28*$D28*$F28</f>
        <v>-0.235463447401962</v>
      </c>
      <c r="M28" s="71" t="n">
        <f aca="false">$C28*$D28^2*$E28</f>
        <v>0.0450818782220799</v>
      </c>
      <c r="N28" s="71" t="n">
        <f aca="false">-$C28*$D28^3*$F28</f>
        <v>0.244976170677002</v>
      </c>
      <c r="O28" s="71" t="n">
        <f aca="false">$C28*$D28^4*$E28</f>
        <v>0.0469031861022519</v>
      </c>
      <c r="P28" s="2"/>
      <c r="Q28" s="2"/>
    </row>
    <row r="29" customFormat="false" ht="15" hidden="false" customHeight="false" outlineLevel="0" collapsed="false">
      <c r="A29" s="95" t="str">
        <f aca="false">"実部"</f>
        <v>実部</v>
      </c>
      <c r="B29" s="88" t="n">
        <f aca="false">IF(03_FRFデータ貼付!B26="","",03_FRFデータ貼付!A26)</f>
        <v>19</v>
      </c>
      <c r="C29" s="88" t="n">
        <f aca="false">IF(AND(03_FRFデータ貼付!B26&lt;&gt;"",03_FRFデータ貼付!C26&lt;&gt;"",03_FRFデータ貼付!D26&lt;&gt;""),1,0)</f>
        <v>1</v>
      </c>
      <c r="D29" s="71" t="n">
        <f aca="false">IF($C29=0,0,03_FRFデータ貼付!H26)</f>
        <v>1.02285714285714</v>
      </c>
      <c r="E29" s="71" t="n">
        <f aca="false">IF($C29=0,0,03_FRFデータ貼付!I26)</f>
        <v>0.0327295344490273</v>
      </c>
      <c r="F29" s="71" t="n">
        <f aca="false">IF($C29=0,0,03_FRFデータ貼付!J26)</f>
        <v>-0.20050917449836</v>
      </c>
      <c r="G29" s="71" t="n">
        <f aca="false">$C29*1</f>
        <v>1</v>
      </c>
      <c r="H29" s="71" t="n">
        <f aca="false">0</f>
        <v>0</v>
      </c>
      <c r="I29" s="71" t="n">
        <f aca="false">-$C29*$D29^2</f>
        <v>-1.04623673469388</v>
      </c>
      <c r="J29" s="71" t="n">
        <f aca="false">0</f>
        <v>0</v>
      </c>
      <c r="K29" s="71" t="n">
        <f aca="false">-$C29*$E29</f>
        <v>-0.0327295344490273</v>
      </c>
      <c r="L29" s="71" t="n">
        <f aca="false">$C29*$D29*$F29</f>
        <v>-0.205092241344037</v>
      </c>
      <c r="M29" s="71" t="n">
        <f aca="false">$C29*$D29^2*$E29</f>
        <v>0.0342428412500011</v>
      </c>
      <c r="N29" s="71" t="n">
        <f aca="false">-$C29*$D29^3*$F29</f>
        <v>0.214575036894834</v>
      </c>
      <c r="O29" s="71" t="n">
        <f aca="false">$C29*$D29^4*$E29</f>
        <v>0.035826118416042</v>
      </c>
      <c r="P29" s="2"/>
      <c r="Q29" s="2"/>
    </row>
    <row r="30" customFormat="false" ht="15" hidden="false" customHeight="false" outlineLevel="0" collapsed="false">
      <c r="A30" s="95" t="str">
        <f aca="false">"実部"</f>
        <v>実部</v>
      </c>
      <c r="B30" s="88" t="n">
        <f aca="false">IF(03_FRFデータ貼付!B27="","",03_FRFデータ貼付!A27)</f>
        <v>20</v>
      </c>
      <c r="C30" s="88" t="n">
        <f aca="false">IF(AND(03_FRFデータ貼付!B27&lt;&gt;"",03_FRFデータ貼付!C27&lt;&gt;"",03_FRFデータ貼付!D27&lt;&gt;""),1,0)</f>
        <v>1</v>
      </c>
      <c r="D30" s="71" t="n">
        <f aca="false">IF($C30=0,0,03_FRFデータ貼付!H27)</f>
        <v>1.02571428571429</v>
      </c>
      <c r="E30" s="71" t="n">
        <f aca="false">IF($C30=0,0,03_FRFデータ貼付!I27)</f>
        <v>0.0259879027684968</v>
      </c>
      <c r="F30" s="71" t="n">
        <f aca="false">IF($C30=0,0,03_FRFデータ貼付!J27)</f>
        <v>-0.17762024758301</v>
      </c>
      <c r="G30" s="71" t="n">
        <f aca="false">$C30*1</f>
        <v>1</v>
      </c>
      <c r="H30" s="71" t="n">
        <f aca="false">0</f>
        <v>0</v>
      </c>
      <c r="I30" s="71" t="n">
        <f aca="false">-$C30*$D30^2</f>
        <v>-1.05208979591837</v>
      </c>
      <c r="J30" s="71" t="n">
        <f aca="false">0</f>
        <v>0</v>
      </c>
      <c r="K30" s="71" t="n">
        <f aca="false">-$C30*$E30</f>
        <v>-0.0259879027684968</v>
      </c>
      <c r="L30" s="71" t="n">
        <f aca="false">$C30*$D30*$F30</f>
        <v>-0.182187625378002</v>
      </c>
      <c r="M30" s="71" t="n">
        <f aca="false">$C30*$D30^2*$E30</f>
        <v>0.0273416073200541</v>
      </c>
      <c r="N30" s="71" t="n">
        <f aca="false">-$C30*$D30^3*$F30</f>
        <v>0.191677741602794</v>
      </c>
      <c r="O30" s="71" t="n">
        <f aca="false">$C30*$D30^4*$E30</f>
        <v>0.0287658260654359</v>
      </c>
      <c r="P30" s="2"/>
      <c r="Q30" s="2"/>
    </row>
    <row r="31" customFormat="false" ht="15" hidden="false" customHeight="false" outlineLevel="0" collapsed="false">
      <c r="A31" s="95" t="str">
        <f aca="false">"実部"</f>
        <v>実部</v>
      </c>
      <c r="B31" s="88" t="n">
        <f aca="false">IF(03_FRFデータ貼付!B28="","",03_FRFデータ貼付!A28)</f>
        <v>21</v>
      </c>
      <c r="C31" s="88" t="n">
        <f aca="false">IF(AND(03_FRFデータ貼付!B28&lt;&gt;"",03_FRFデータ貼付!C28&lt;&gt;"",03_FRFデータ貼付!D28&lt;&gt;""),1,0)</f>
        <v>1</v>
      </c>
      <c r="D31" s="71" t="n">
        <f aca="false">IF($C31=0,0,03_FRFデータ貼付!H28)</f>
        <v>1.02857142857143</v>
      </c>
      <c r="E31" s="71" t="n">
        <f aca="false">IF($C31=0,0,03_FRFデータ貼付!I28)</f>
        <v>0.0213666229874879</v>
      </c>
      <c r="F31" s="71" t="n">
        <f aca="false">IF($C31=0,0,03_FRFデータ貼付!J28)</f>
        <v>-0.159461336443517</v>
      </c>
      <c r="G31" s="71" t="n">
        <f aca="false">$C31*1</f>
        <v>1</v>
      </c>
      <c r="H31" s="71" t="n">
        <f aca="false">0</f>
        <v>0</v>
      </c>
      <c r="I31" s="71" t="n">
        <f aca="false">-$C31*$D31^2</f>
        <v>-1.05795918367347</v>
      </c>
      <c r="J31" s="71" t="n">
        <f aca="false">0</f>
        <v>0</v>
      </c>
      <c r="K31" s="71" t="n">
        <f aca="false">-$C31*$E31</f>
        <v>-0.0213666229874879</v>
      </c>
      <c r="L31" s="71" t="n">
        <f aca="false">$C31*$D31*$F31</f>
        <v>-0.164017374627617</v>
      </c>
      <c r="M31" s="71" t="n">
        <f aca="false">$C31*$D31^2*$E31</f>
        <v>0.0226050150137015</v>
      </c>
      <c r="N31" s="71" t="n">
        <f aca="false">-$C31*$D31^3*$F31</f>
        <v>0.1735236877693</v>
      </c>
      <c r="O31" s="71" t="n">
        <f aca="false">$C31*$D31^4*$E31</f>
        <v>0.0239151832308222</v>
      </c>
      <c r="P31" s="2"/>
      <c r="Q31" s="2"/>
    </row>
    <row r="32" customFormat="false" ht="15" hidden="false" customHeight="false" outlineLevel="0" collapsed="false">
      <c r="A32" s="95" t="str">
        <f aca="false">"実部"</f>
        <v>実部</v>
      </c>
      <c r="B32" s="88" t="str">
        <f aca="false">IF(03_FRFデータ貼付!B29="","",03_FRFデータ貼付!A29)</f>
        <v/>
      </c>
      <c r="C32" s="88" t="n">
        <f aca="false">IF(AND(03_FRFデータ貼付!B29&lt;&gt;"",03_FRFデータ貼付!C29&lt;&gt;"",03_FRFデータ貼付!D29&lt;&gt;""),1,0)</f>
        <v>0</v>
      </c>
      <c r="D32" s="71" t="n">
        <f aca="false">IF($C32=0,0,03_FRFデータ貼付!H29)</f>
        <v>0</v>
      </c>
      <c r="E32" s="71" t="n">
        <f aca="false">IF($C32=0,0,03_FRFデータ貼付!I29)</f>
        <v>0</v>
      </c>
      <c r="F32" s="71" t="n">
        <f aca="false">IF($C32=0,0,03_FRFデータ貼付!J29)</f>
        <v>0</v>
      </c>
      <c r="G32" s="71" t="n">
        <f aca="false">$C32*1</f>
        <v>0</v>
      </c>
      <c r="H32" s="71" t="n">
        <f aca="false">0</f>
        <v>0</v>
      </c>
      <c r="I32" s="71" t="n">
        <f aca="false">-$C32*$D32^2</f>
        <v>-0</v>
      </c>
      <c r="J32" s="71" t="n">
        <f aca="false">0</f>
        <v>0</v>
      </c>
      <c r="K32" s="71" t="n">
        <f aca="false">-$C32*$E32</f>
        <v>-0</v>
      </c>
      <c r="L32" s="71" t="n">
        <f aca="false">$C32*$D32*$F32</f>
        <v>0</v>
      </c>
      <c r="M32" s="71" t="n">
        <f aca="false">$C32*$D32^2*$E32</f>
        <v>0</v>
      </c>
      <c r="N32" s="71" t="n">
        <f aca="false">-$C32*$D32^3*$F32</f>
        <v>-0</v>
      </c>
      <c r="O32" s="71" t="n">
        <f aca="false">$C32*$D32^4*$E32</f>
        <v>0</v>
      </c>
      <c r="P32" s="2"/>
      <c r="Q32" s="2"/>
    </row>
    <row r="33" customFormat="false" ht="15" hidden="false" customHeight="false" outlineLevel="0" collapsed="false">
      <c r="A33" s="95" t="str">
        <f aca="false">"実部"</f>
        <v>実部</v>
      </c>
      <c r="B33" s="88" t="str">
        <f aca="false">IF(03_FRFデータ貼付!B30="","",03_FRFデータ貼付!A30)</f>
        <v/>
      </c>
      <c r="C33" s="88" t="n">
        <f aca="false">IF(AND(03_FRFデータ貼付!B30&lt;&gt;"",03_FRFデータ貼付!C30&lt;&gt;"",03_FRFデータ貼付!D30&lt;&gt;""),1,0)</f>
        <v>0</v>
      </c>
      <c r="D33" s="71" t="n">
        <f aca="false">IF($C33=0,0,03_FRFデータ貼付!H30)</f>
        <v>0</v>
      </c>
      <c r="E33" s="71" t="n">
        <f aca="false">IF($C33=0,0,03_FRFデータ貼付!I30)</f>
        <v>0</v>
      </c>
      <c r="F33" s="71" t="n">
        <f aca="false">IF($C33=0,0,03_FRFデータ貼付!J30)</f>
        <v>0</v>
      </c>
      <c r="G33" s="71" t="n">
        <f aca="false">$C33*1</f>
        <v>0</v>
      </c>
      <c r="H33" s="71" t="n">
        <f aca="false">0</f>
        <v>0</v>
      </c>
      <c r="I33" s="71" t="n">
        <f aca="false">-$C33*$D33^2</f>
        <v>-0</v>
      </c>
      <c r="J33" s="71" t="n">
        <f aca="false">0</f>
        <v>0</v>
      </c>
      <c r="K33" s="71" t="n">
        <f aca="false">-$C33*$E33</f>
        <v>-0</v>
      </c>
      <c r="L33" s="71" t="n">
        <f aca="false">$C33*$D33*$F33</f>
        <v>0</v>
      </c>
      <c r="M33" s="71" t="n">
        <f aca="false">$C33*$D33^2*$E33</f>
        <v>0</v>
      </c>
      <c r="N33" s="71" t="n">
        <f aca="false">-$C33*$D33^3*$F33</f>
        <v>-0</v>
      </c>
      <c r="O33" s="71" t="n">
        <f aca="false">$C33*$D33^4*$E33</f>
        <v>0</v>
      </c>
      <c r="P33" s="2"/>
      <c r="Q33" s="2"/>
    </row>
    <row r="34" customFormat="false" ht="15" hidden="false" customHeight="false" outlineLevel="0" collapsed="false">
      <c r="A34" s="95" t="str">
        <f aca="false">"実部"</f>
        <v>実部</v>
      </c>
      <c r="B34" s="88" t="str">
        <f aca="false">IF(03_FRFデータ貼付!B31="","",03_FRFデータ貼付!A31)</f>
        <v/>
      </c>
      <c r="C34" s="88" t="n">
        <f aca="false">IF(AND(03_FRFデータ貼付!B31&lt;&gt;"",03_FRFデータ貼付!C31&lt;&gt;"",03_FRFデータ貼付!D31&lt;&gt;""),1,0)</f>
        <v>0</v>
      </c>
      <c r="D34" s="71" t="n">
        <f aca="false">IF($C34=0,0,03_FRFデータ貼付!H31)</f>
        <v>0</v>
      </c>
      <c r="E34" s="71" t="n">
        <f aca="false">IF($C34=0,0,03_FRFデータ貼付!I31)</f>
        <v>0</v>
      </c>
      <c r="F34" s="71" t="n">
        <f aca="false">IF($C34=0,0,03_FRFデータ貼付!J31)</f>
        <v>0</v>
      </c>
      <c r="G34" s="71" t="n">
        <f aca="false">$C34*1</f>
        <v>0</v>
      </c>
      <c r="H34" s="71" t="n">
        <f aca="false">0</f>
        <v>0</v>
      </c>
      <c r="I34" s="71" t="n">
        <f aca="false">-$C34*$D34^2</f>
        <v>-0</v>
      </c>
      <c r="J34" s="71" t="n">
        <f aca="false">0</f>
        <v>0</v>
      </c>
      <c r="K34" s="71" t="n">
        <f aca="false">-$C34*$E34</f>
        <v>-0</v>
      </c>
      <c r="L34" s="71" t="n">
        <f aca="false">$C34*$D34*$F34</f>
        <v>0</v>
      </c>
      <c r="M34" s="71" t="n">
        <f aca="false">$C34*$D34^2*$E34</f>
        <v>0</v>
      </c>
      <c r="N34" s="71" t="n">
        <f aca="false">-$C34*$D34^3*$F34</f>
        <v>-0</v>
      </c>
      <c r="O34" s="71" t="n">
        <f aca="false">$C34*$D34^4*$E34</f>
        <v>0</v>
      </c>
      <c r="P34" s="2"/>
      <c r="Q34" s="2"/>
    </row>
    <row r="35" customFormat="false" ht="15" hidden="false" customHeight="false" outlineLevel="0" collapsed="false">
      <c r="A35" s="95" t="str">
        <f aca="false">"実部"</f>
        <v>実部</v>
      </c>
      <c r="B35" s="88" t="str">
        <f aca="false">IF(03_FRFデータ貼付!B32="","",03_FRFデータ貼付!A32)</f>
        <v/>
      </c>
      <c r="C35" s="88" t="n">
        <f aca="false">IF(AND(03_FRFデータ貼付!B32&lt;&gt;"",03_FRFデータ貼付!C32&lt;&gt;"",03_FRFデータ貼付!D32&lt;&gt;""),1,0)</f>
        <v>0</v>
      </c>
      <c r="D35" s="71" t="n">
        <f aca="false">IF($C35=0,0,03_FRFデータ貼付!H32)</f>
        <v>0</v>
      </c>
      <c r="E35" s="71" t="n">
        <f aca="false">IF($C35=0,0,03_FRFデータ貼付!I32)</f>
        <v>0</v>
      </c>
      <c r="F35" s="71" t="n">
        <f aca="false">IF($C35=0,0,03_FRFデータ貼付!J32)</f>
        <v>0</v>
      </c>
      <c r="G35" s="71" t="n">
        <f aca="false">$C35*1</f>
        <v>0</v>
      </c>
      <c r="H35" s="71" t="n">
        <f aca="false">0</f>
        <v>0</v>
      </c>
      <c r="I35" s="71" t="n">
        <f aca="false">-$C35*$D35^2</f>
        <v>-0</v>
      </c>
      <c r="J35" s="71" t="n">
        <f aca="false">0</f>
        <v>0</v>
      </c>
      <c r="K35" s="71" t="n">
        <f aca="false">-$C35*$E35</f>
        <v>-0</v>
      </c>
      <c r="L35" s="71" t="n">
        <f aca="false">$C35*$D35*$F35</f>
        <v>0</v>
      </c>
      <c r="M35" s="71" t="n">
        <f aca="false">$C35*$D35^2*$E35</f>
        <v>0</v>
      </c>
      <c r="N35" s="71" t="n">
        <f aca="false">-$C35*$D35^3*$F35</f>
        <v>-0</v>
      </c>
      <c r="O35" s="71" t="n">
        <f aca="false">$C35*$D35^4*$E35</f>
        <v>0</v>
      </c>
      <c r="P35" s="2"/>
      <c r="Q35" s="2"/>
    </row>
    <row r="36" customFormat="false" ht="15" hidden="false" customHeight="false" outlineLevel="0" collapsed="false">
      <c r="A36" s="95" t="str">
        <f aca="false">"実部"</f>
        <v>実部</v>
      </c>
      <c r="B36" s="88" t="str">
        <f aca="false">IF(03_FRFデータ貼付!B33="","",03_FRFデータ貼付!A33)</f>
        <v/>
      </c>
      <c r="C36" s="88" t="n">
        <f aca="false">IF(AND(03_FRFデータ貼付!B33&lt;&gt;"",03_FRFデータ貼付!C33&lt;&gt;"",03_FRFデータ貼付!D33&lt;&gt;""),1,0)</f>
        <v>0</v>
      </c>
      <c r="D36" s="71" t="n">
        <f aca="false">IF($C36=0,0,03_FRFデータ貼付!H33)</f>
        <v>0</v>
      </c>
      <c r="E36" s="71" t="n">
        <f aca="false">IF($C36=0,0,03_FRFデータ貼付!I33)</f>
        <v>0</v>
      </c>
      <c r="F36" s="71" t="n">
        <f aca="false">IF($C36=0,0,03_FRFデータ貼付!J33)</f>
        <v>0</v>
      </c>
      <c r="G36" s="71" t="n">
        <f aca="false">$C36*1</f>
        <v>0</v>
      </c>
      <c r="H36" s="71" t="n">
        <f aca="false">0</f>
        <v>0</v>
      </c>
      <c r="I36" s="71" t="n">
        <f aca="false">-$C36*$D36^2</f>
        <v>-0</v>
      </c>
      <c r="J36" s="71" t="n">
        <f aca="false">0</f>
        <v>0</v>
      </c>
      <c r="K36" s="71" t="n">
        <f aca="false">-$C36*$E36</f>
        <v>-0</v>
      </c>
      <c r="L36" s="71" t="n">
        <f aca="false">$C36*$D36*$F36</f>
        <v>0</v>
      </c>
      <c r="M36" s="71" t="n">
        <f aca="false">$C36*$D36^2*$E36</f>
        <v>0</v>
      </c>
      <c r="N36" s="71" t="n">
        <f aca="false">-$C36*$D36^3*$F36</f>
        <v>-0</v>
      </c>
      <c r="O36" s="71" t="n">
        <f aca="false">$C36*$D36^4*$E36</f>
        <v>0</v>
      </c>
      <c r="P36" s="2"/>
      <c r="Q36" s="2"/>
    </row>
    <row r="37" customFormat="false" ht="15" hidden="false" customHeight="false" outlineLevel="0" collapsed="false">
      <c r="A37" s="95" t="str">
        <f aca="false">"実部"</f>
        <v>実部</v>
      </c>
      <c r="B37" s="88" t="str">
        <f aca="false">IF(03_FRFデータ貼付!B34="","",03_FRFデータ貼付!A34)</f>
        <v/>
      </c>
      <c r="C37" s="88" t="n">
        <f aca="false">IF(AND(03_FRFデータ貼付!B34&lt;&gt;"",03_FRFデータ貼付!C34&lt;&gt;"",03_FRFデータ貼付!D34&lt;&gt;""),1,0)</f>
        <v>0</v>
      </c>
      <c r="D37" s="71" t="n">
        <f aca="false">IF($C37=0,0,03_FRFデータ貼付!H34)</f>
        <v>0</v>
      </c>
      <c r="E37" s="71" t="n">
        <f aca="false">IF($C37=0,0,03_FRFデータ貼付!I34)</f>
        <v>0</v>
      </c>
      <c r="F37" s="71" t="n">
        <f aca="false">IF($C37=0,0,03_FRFデータ貼付!J34)</f>
        <v>0</v>
      </c>
      <c r="G37" s="71" t="n">
        <f aca="false">$C37*1</f>
        <v>0</v>
      </c>
      <c r="H37" s="71" t="n">
        <f aca="false">0</f>
        <v>0</v>
      </c>
      <c r="I37" s="71" t="n">
        <f aca="false">-$C37*$D37^2</f>
        <v>-0</v>
      </c>
      <c r="J37" s="71" t="n">
        <f aca="false">0</f>
        <v>0</v>
      </c>
      <c r="K37" s="71" t="n">
        <f aca="false">-$C37*$E37</f>
        <v>-0</v>
      </c>
      <c r="L37" s="71" t="n">
        <f aca="false">$C37*$D37*$F37</f>
        <v>0</v>
      </c>
      <c r="M37" s="71" t="n">
        <f aca="false">$C37*$D37^2*$E37</f>
        <v>0</v>
      </c>
      <c r="N37" s="71" t="n">
        <f aca="false">-$C37*$D37^3*$F37</f>
        <v>-0</v>
      </c>
      <c r="O37" s="71" t="n">
        <f aca="false">$C37*$D37^4*$E37</f>
        <v>0</v>
      </c>
      <c r="P37" s="2"/>
      <c r="Q37" s="2"/>
    </row>
    <row r="38" customFormat="false" ht="15" hidden="false" customHeight="false" outlineLevel="0" collapsed="false">
      <c r="A38" s="95" t="str">
        <f aca="false">"実部"</f>
        <v>実部</v>
      </c>
      <c r="B38" s="88" t="str">
        <f aca="false">IF(03_FRFデータ貼付!B35="","",03_FRFデータ貼付!A35)</f>
        <v/>
      </c>
      <c r="C38" s="88" t="n">
        <f aca="false">IF(AND(03_FRFデータ貼付!B35&lt;&gt;"",03_FRFデータ貼付!C35&lt;&gt;"",03_FRFデータ貼付!D35&lt;&gt;""),1,0)</f>
        <v>0</v>
      </c>
      <c r="D38" s="71" t="n">
        <f aca="false">IF($C38=0,0,03_FRFデータ貼付!H35)</f>
        <v>0</v>
      </c>
      <c r="E38" s="71" t="n">
        <f aca="false">IF($C38=0,0,03_FRFデータ貼付!I35)</f>
        <v>0</v>
      </c>
      <c r="F38" s="71" t="n">
        <f aca="false">IF($C38=0,0,03_FRFデータ貼付!J35)</f>
        <v>0</v>
      </c>
      <c r="G38" s="71" t="n">
        <f aca="false">$C38*1</f>
        <v>0</v>
      </c>
      <c r="H38" s="71" t="n">
        <f aca="false">0</f>
        <v>0</v>
      </c>
      <c r="I38" s="71" t="n">
        <f aca="false">-$C38*$D38^2</f>
        <v>-0</v>
      </c>
      <c r="J38" s="71" t="n">
        <f aca="false">0</f>
        <v>0</v>
      </c>
      <c r="K38" s="71" t="n">
        <f aca="false">-$C38*$E38</f>
        <v>-0</v>
      </c>
      <c r="L38" s="71" t="n">
        <f aca="false">$C38*$D38*$F38</f>
        <v>0</v>
      </c>
      <c r="M38" s="71" t="n">
        <f aca="false">$C38*$D38^2*$E38</f>
        <v>0</v>
      </c>
      <c r="N38" s="71" t="n">
        <f aca="false">-$C38*$D38^3*$F38</f>
        <v>-0</v>
      </c>
      <c r="O38" s="71" t="n">
        <f aca="false">$C38*$D38^4*$E38</f>
        <v>0</v>
      </c>
      <c r="P38" s="2"/>
      <c r="Q38" s="2"/>
    </row>
    <row r="39" customFormat="false" ht="15" hidden="false" customHeight="false" outlineLevel="0" collapsed="false">
      <c r="A39" s="95" t="str">
        <f aca="false">"実部"</f>
        <v>実部</v>
      </c>
      <c r="B39" s="88" t="str">
        <f aca="false">IF(03_FRFデータ貼付!B36="","",03_FRFデータ貼付!A36)</f>
        <v/>
      </c>
      <c r="C39" s="88" t="n">
        <f aca="false">IF(AND(03_FRFデータ貼付!B36&lt;&gt;"",03_FRFデータ貼付!C36&lt;&gt;"",03_FRFデータ貼付!D36&lt;&gt;""),1,0)</f>
        <v>0</v>
      </c>
      <c r="D39" s="71" t="n">
        <f aca="false">IF($C39=0,0,03_FRFデータ貼付!H36)</f>
        <v>0</v>
      </c>
      <c r="E39" s="71" t="n">
        <f aca="false">IF($C39=0,0,03_FRFデータ貼付!I36)</f>
        <v>0</v>
      </c>
      <c r="F39" s="71" t="n">
        <f aca="false">IF($C39=0,0,03_FRFデータ貼付!J36)</f>
        <v>0</v>
      </c>
      <c r="G39" s="71" t="n">
        <f aca="false">$C39*1</f>
        <v>0</v>
      </c>
      <c r="H39" s="71" t="n">
        <f aca="false">0</f>
        <v>0</v>
      </c>
      <c r="I39" s="71" t="n">
        <f aca="false">-$C39*$D39^2</f>
        <v>-0</v>
      </c>
      <c r="J39" s="71" t="n">
        <f aca="false">0</f>
        <v>0</v>
      </c>
      <c r="K39" s="71" t="n">
        <f aca="false">-$C39*$E39</f>
        <v>-0</v>
      </c>
      <c r="L39" s="71" t="n">
        <f aca="false">$C39*$D39*$F39</f>
        <v>0</v>
      </c>
      <c r="M39" s="71" t="n">
        <f aca="false">$C39*$D39^2*$E39</f>
        <v>0</v>
      </c>
      <c r="N39" s="71" t="n">
        <f aca="false">-$C39*$D39^3*$F39</f>
        <v>-0</v>
      </c>
      <c r="O39" s="71" t="n">
        <f aca="false">$C39*$D39^4*$E39</f>
        <v>0</v>
      </c>
      <c r="P39" s="2"/>
      <c r="Q39" s="2"/>
    </row>
    <row r="40" customFormat="false" ht="15" hidden="false" customHeight="false" outlineLevel="0" collapsed="false">
      <c r="A40" s="95" t="str">
        <f aca="false">"実部"</f>
        <v>実部</v>
      </c>
      <c r="B40" s="88" t="str">
        <f aca="false">IF(03_FRFデータ貼付!B37="","",03_FRFデータ貼付!A37)</f>
        <v/>
      </c>
      <c r="C40" s="88" t="n">
        <f aca="false">IF(AND(03_FRFデータ貼付!B37&lt;&gt;"",03_FRFデータ貼付!C37&lt;&gt;"",03_FRFデータ貼付!D37&lt;&gt;""),1,0)</f>
        <v>0</v>
      </c>
      <c r="D40" s="71" t="n">
        <f aca="false">IF($C40=0,0,03_FRFデータ貼付!H37)</f>
        <v>0</v>
      </c>
      <c r="E40" s="71" t="n">
        <f aca="false">IF($C40=0,0,03_FRFデータ貼付!I37)</f>
        <v>0</v>
      </c>
      <c r="F40" s="71" t="n">
        <f aca="false">IF($C40=0,0,03_FRFデータ貼付!J37)</f>
        <v>0</v>
      </c>
      <c r="G40" s="71" t="n">
        <f aca="false">$C40*1</f>
        <v>0</v>
      </c>
      <c r="H40" s="71" t="n">
        <f aca="false">0</f>
        <v>0</v>
      </c>
      <c r="I40" s="71" t="n">
        <f aca="false">-$C40*$D40^2</f>
        <v>-0</v>
      </c>
      <c r="J40" s="71" t="n">
        <f aca="false">0</f>
        <v>0</v>
      </c>
      <c r="K40" s="71" t="n">
        <f aca="false">-$C40*$E40</f>
        <v>-0</v>
      </c>
      <c r="L40" s="71" t="n">
        <f aca="false">$C40*$D40*$F40</f>
        <v>0</v>
      </c>
      <c r="M40" s="71" t="n">
        <f aca="false">$C40*$D40^2*$E40</f>
        <v>0</v>
      </c>
      <c r="N40" s="71" t="n">
        <f aca="false">-$C40*$D40^3*$F40</f>
        <v>-0</v>
      </c>
      <c r="O40" s="71" t="n">
        <f aca="false">$C40*$D40^4*$E40</f>
        <v>0</v>
      </c>
      <c r="P40" s="2"/>
      <c r="Q40" s="2"/>
    </row>
    <row r="41" customFormat="false" ht="15" hidden="false" customHeight="false" outlineLevel="0" collapsed="false">
      <c r="A41" s="95" t="str">
        <f aca="false">"実部"</f>
        <v>実部</v>
      </c>
      <c r="B41" s="88" t="str">
        <f aca="false">IF(03_FRFデータ貼付!B38="","",03_FRFデータ貼付!A38)</f>
        <v/>
      </c>
      <c r="C41" s="88" t="n">
        <f aca="false">IF(AND(03_FRFデータ貼付!B38&lt;&gt;"",03_FRFデータ貼付!C38&lt;&gt;"",03_FRFデータ貼付!D38&lt;&gt;""),1,0)</f>
        <v>0</v>
      </c>
      <c r="D41" s="71" t="n">
        <f aca="false">IF($C41=0,0,03_FRFデータ貼付!H38)</f>
        <v>0</v>
      </c>
      <c r="E41" s="71" t="n">
        <f aca="false">IF($C41=0,0,03_FRFデータ貼付!I38)</f>
        <v>0</v>
      </c>
      <c r="F41" s="71" t="n">
        <f aca="false">IF($C41=0,0,03_FRFデータ貼付!J38)</f>
        <v>0</v>
      </c>
      <c r="G41" s="71" t="n">
        <f aca="false">$C41*1</f>
        <v>0</v>
      </c>
      <c r="H41" s="71" t="n">
        <f aca="false">0</f>
        <v>0</v>
      </c>
      <c r="I41" s="71" t="n">
        <f aca="false">-$C41*$D41^2</f>
        <v>-0</v>
      </c>
      <c r="J41" s="71" t="n">
        <f aca="false">0</f>
        <v>0</v>
      </c>
      <c r="K41" s="71" t="n">
        <f aca="false">-$C41*$E41</f>
        <v>-0</v>
      </c>
      <c r="L41" s="71" t="n">
        <f aca="false">$C41*$D41*$F41</f>
        <v>0</v>
      </c>
      <c r="M41" s="71" t="n">
        <f aca="false">$C41*$D41^2*$E41</f>
        <v>0</v>
      </c>
      <c r="N41" s="71" t="n">
        <f aca="false">-$C41*$D41^3*$F41</f>
        <v>-0</v>
      </c>
      <c r="O41" s="71" t="n">
        <f aca="false">$C41*$D41^4*$E41</f>
        <v>0</v>
      </c>
      <c r="P41" s="2"/>
      <c r="Q41" s="2"/>
    </row>
    <row r="42" customFormat="false" ht="15" hidden="false" customHeight="false" outlineLevel="0" collapsed="false">
      <c r="A42" s="95" t="str">
        <f aca="false">"実部"</f>
        <v>実部</v>
      </c>
      <c r="B42" s="88" t="str">
        <f aca="false">IF(03_FRFデータ貼付!B39="","",03_FRFデータ貼付!A39)</f>
        <v/>
      </c>
      <c r="C42" s="88" t="n">
        <f aca="false">IF(AND(03_FRFデータ貼付!B39&lt;&gt;"",03_FRFデータ貼付!C39&lt;&gt;"",03_FRFデータ貼付!D39&lt;&gt;""),1,0)</f>
        <v>0</v>
      </c>
      <c r="D42" s="71" t="n">
        <f aca="false">IF($C42=0,0,03_FRFデータ貼付!H39)</f>
        <v>0</v>
      </c>
      <c r="E42" s="71" t="n">
        <f aca="false">IF($C42=0,0,03_FRFデータ貼付!I39)</f>
        <v>0</v>
      </c>
      <c r="F42" s="71" t="n">
        <f aca="false">IF($C42=0,0,03_FRFデータ貼付!J39)</f>
        <v>0</v>
      </c>
      <c r="G42" s="71" t="n">
        <f aca="false">$C42*1</f>
        <v>0</v>
      </c>
      <c r="H42" s="71" t="n">
        <f aca="false">0</f>
        <v>0</v>
      </c>
      <c r="I42" s="71" t="n">
        <f aca="false">-$C42*$D42^2</f>
        <v>-0</v>
      </c>
      <c r="J42" s="71" t="n">
        <f aca="false">0</f>
        <v>0</v>
      </c>
      <c r="K42" s="71" t="n">
        <f aca="false">-$C42*$E42</f>
        <v>-0</v>
      </c>
      <c r="L42" s="71" t="n">
        <f aca="false">$C42*$D42*$F42</f>
        <v>0</v>
      </c>
      <c r="M42" s="71" t="n">
        <f aca="false">$C42*$D42^2*$E42</f>
        <v>0</v>
      </c>
      <c r="N42" s="71" t="n">
        <f aca="false">-$C42*$D42^3*$F42</f>
        <v>-0</v>
      </c>
      <c r="O42" s="71" t="n">
        <f aca="false">$C42*$D42^4*$E42</f>
        <v>0</v>
      </c>
      <c r="P42" s="2"/>
      <c r="Q42" s="2"/>
    </row>
    <row r="43" customFormat="false" ht="15" hidden="false" customHeight="false" outlineLevel="0" collapsed="false">
      <c r="A43" s="95" t="str">
        <f aca="false">"実部"</f>
        <v>実部</v>
      </c>
      <c r="B43" s="88" t="str">
        <f aca="false">IF(03_FRFデータ貼付!B40="","",03_FRFデータ貼付!A40)</f>
        <v/>
      </c>
      <c r="C43" s="88" t="n">
        <f aca="false">IF(AND(03_FRFデータ貼付!B40&lt;&gt;"",03_FRFデータ貼付!C40&lt;&gt;"",03_FRFデータ貼付!D40&lt;&gt;""),1,0)</f>
        <v>0</v>
      </c>
      <c r="D43" s="71" t="n">
        <f aca="false">IF($C43=0,0,03_FRFデータ貼付!H40)</f>
        <v>0</v>
      </c>
      <c r="E43" s="71" t="n">
        <f aca="false">IF($C43=0,0,03_FRFデータ貼付!I40)</f>
        <v>0</v>
      </c>
      <c r="F43" s="71" t="n">
        <f aca="false">IF($C43=0,0,03_FRFデータ貼付!J40)</f>
        <v>0</v>
      </c>
      <c r="G43" s="71" t="n">
        <f aca="false">$C43*1</f>
        <v>0</v>
      </c>
      <c r="H43" s="71" t="n">
        <f aca="false">0</f>
        <v>0</v>
      </c>
      <c r="I43" s="71" t="n">
        <f aca="false">-$C43*$D43^2</f>
        <v>-0</v>
      </c>
      <c r="J43" s="71" t="n">
        <f aca="false">0</f>
        <v>0</v>
      </c>
      <c r="K43" s="71" t="n">
        <f aca="false">-$C43*$E43</f>
        <v>-0</v>
      </c>
      <c r="L43" s="71" t="n">
        <f aca="false">$C43*$D43*$F43</f>
        <v>0</v>
      </c>
      <c r="M43" s="71" t="n">
        <f aca="false">$C43*$D43^2*$E43</f>
        <v>0</v>
      </c>
      <c r="N43" s="71" t="n">
        <f aca="false">-$C43*$D43^3*$F43</f>
        <v>-0</v>
      </c>
      <c r="O43" s="71" t="n">
        <f aca="false">$C43*$D43^4*$E43</f>
        <v>0</v>
      </c>
      <c r="P43" s="2"/>
      <c r="Q43" s="2"/>
    </row>
    <row r="44" customFormat="false" ht="15" hidden="false" customHeight="false" outlineLevel="0" collapsed="false">
      <c r="A44" s="95" t="str">
        <f aca="false">"実部"</f>
        <v>実部</v>
      </c>
      <c r="B44" s="88" t="str">
        <f aca="false">IF(03_FRFデータ貼付!B41="","",03_FRFデータ貼付!A41)</f>
        <v/>
      </c>
      <c r="C44" s="88" t="n">
        <f aca="false">IF(AND(03_FRFデータ貼付!B41&lt;&gt;"",03_FRFデータ貼付!C41&lt;&gt;"",03_FRFデータ貼付!D41&lt;&gt;""),1,0)</f>
        <v>0</v>
      </c>
      <c r="D44" s="71" t="n">
        <f aca="false">IF($C44=0,0,03_FRFデータ貼付!H41)</f>
        <v>0</v>
      </c>
      <c r="E44" s="71" t="n">
        <f aca="false">IF($C44=0,0,03_FRFデータ貼付!I41)</f>
        <v>0</v>
      </c>
      <c r="F44" s="71" t="n">
        <f aca="false">IF($C44=0,0,03_FRFデータ貼付!J41)</f>
        <v>0</v>
      </c>
      <c r="G44" s="71" t="n">
        <f aca="false">$C44*1</f>
        <v>0</v>
      </c>
      <c r="H44" s="71" t="n">
        <f aca="false">0</f>
        <v>0</v>
      </c>
      <c r="I44" s="71" t="n">
        <f aca="false">-$C44*$D44^2</f>
        <v>-0</v>
      </c>
      <c r="J44" s="71" t="n">
        <f aca="false">0</f>
        <v>0</v>
      </c>
      <c r="K44" s="71" t="n">
        <f aca="false">-$C44*$E44</f>
        <v>-0</v>
      </c>
      <c r="L44" s="71" t="n">
        <f aca="false">$C44*$D44*$F44</f>
        <v>0</v>
      </c>
      <c r="M44" s="71" t="n">
        <f aca="false">$C44*$D44^2*$E44</f>
        <v>0</v>
      </c>
      <c r="N44" s="71" t="n">
        <f aca="false">-$C44*$D44^3*$F44</f>
        <v>-0</v>
      </c>
      <c r="O44" s="71" t="n">
        <f aca="false">$C44*$D44^4*$E44</f>
        <v>0</v>
      </c>
      <c r="P44" s="2"/>
      <c r="Q44" s="2"/>
    </row>
    <row r="45" customFormat="false" ht="15" hidden="false" customHeight="false" outlineLevel="0" collapsed="false">
      <c r="A45" s="95" t="str">
        <f aca="false">"実部"</f>
        <v>実部</v>
      </c>
      <c r="B45" s="88" t="str">
        <f aca="false">IF(03_FRFデータ貼付!B42="","",03_FRFデータ貼付!A42)</f>
        <v/>
      </c>
      <c r="C45" s="88" t="n">
        <f aca="false">IF(AND(03_FRFデータ貼付!B42&lt;&gt;"",03_FRFデータ貼付!C42&lt;&gt;"",03_FRFデータ貼付!D42&lt;&gt;""),1,0)</f>
        <v>0</v>
      </c>
      <c r="D45" s="71" t="n">
        <f aca="false">IF($C45=0,0,03_FRFデータ貼付!H42)</f>
        <v>0</v>
      </c>
      <c r="E45" s="71" t="n">
        <f aca="false">IF($C45=0,0,03_FRFデータ貼付!I42)</f>
        <v>0</v>
      </c>
      <c r="F45" s="71" t="n">
        <f aca="false">IF($C45=0,0,03_FRFデータ貼付!J42)</f>
        <v>0</v>
      </c>
      <c r="G45" s="71" t="n">
        <f aca="false">$C45*1</f>
        <v>0</v>
      </c>
      <c r="H45" s="71" t="n">
        <f aca="false">0</f>
        <v>0</v>
      </c>
      <c r="I45" s="71" t="n">
        <f aca="false">-$C45*$D45^2</f>
        <v>-0</v>
      </c>
      <c r="J45" s="71" t="n">
        <f aca="false">0</f>
        <v>0</v>
      </c>
      <c r="K45" s="71" t="n">
        <f aca="false">-$C45*$E45</f>
        <v>-0</v>
      </c>
      <c r="L45" s="71" t="n">
        <f aca="false">$C45*$D45*$F45</f>
        <v>0</v>
      </c>
      <c r="M45" s="71" t="n">
        <f aca="false">$C45*$D45^2*$E45</f>
        <v>0</v>
      </c>
      <c r="N45" s="71" t="n">
        <f aca="false">-$C45*$D45^3*$F45</f>
        <v>-0</v>
      </c>
      <c r="O45" s="71" t="n">
        <f aca="false">$C45*$D45^4*$E45</f>
        <v>0</v>
      </c>
      <c r="P45" s="2"/>
      <c r="Q45" s="2"/>
    </row>
    <row r="46" customFormat="false" ht="15" hidden="false" customHeight="false" outlineLevel="0" collapsed="false">
      <c r="A46" s="95" t="str">
        <f aca="false">"実部"</f>
        <v>実部</v>
      </c>
      <c r="B46" s="88" t="str">
        <f aca="false">IF(03_FRFデータ貼付!B43="","",03_FRFデータ貼付!A43)</f>
        <v/>
      </c>
      <c r="C46" s="88" t="n">
        <f aca="false">IF(AND(03_FRFデータ貼付!B43&lt;&gt;"",03_FRFデータ貼付!C43&lt;&gt;"",03_FRFデータ貼付!D43&lt;&gt;""),1,0)</f>
        <v>0</v>
      </c>
      <c r="D46" s="71" t="n">
        <f aca="false">IF($C46=0,0,03_FRFデータ貼付!H43)</f>
        <v>0</v>
      </c>
      <c r="E46" s="71" t="n">
        <f aca="false">IF($C46=0,0,03_FRFデータ貼付!I43)</f>
        <v>0</v>
      </c>
      <c r="F46" s="71" t="n">
        <f aca="false">IF($C46=0,0,03_FRFデータ貼付!J43)</f>
        <v>0</v>
      </c>
      <c r="G46" s="71" t="n">
        <f aca="false">$C46*1</f>
        <v>0</v>
      </c>
      <c r="H46" s="71" t="n">
        <f aca="false">0</f>
        <v>0</v>
      </c>
      <c r="I46" s="71" t="n">
        <f aca="false">-$C46*$D46^2</f>
        <v>-0</v>
      </c>
      <c r="J46" s="71" t="n">
        <f aca="false">0</f>
        <v>0</v>
      </c>
      <c r="K46" s="71" t="n">
        <f aca="false">-$C46*$E46</f>
        <v>-0</v>
      </c>
      <c r="L46" s="71" t="n">
        <f aca="false">$C46*$D46*$F46</f>
        <v>0</v>
      </c>
      <c r="M46" s="71" t="n">
        <f aca="false">$C46*$D46^2*$E46</f>
        <v>0</v>
      </c>
      <c r="N46" s="71" t="n">
        <f aca="false">-$C46*$D46^3*$F46</f>
        <v>-0</v>
      </c>
      <c r="O46" s="71" t="n">
        <f aca="false">$C46*$D46^4*$E46</f>
        <v>0</v>
      </c>
      <c r="P46" s="2"/>
      <c r="Q46" s="2"/>
    </row>
    <row r="47" customFormat="false" ht="15" hidden="false" customHeight="false" outlineLevel="0" collapsed="false">
      <c r="A47" s="95" t="str">
        <f aca="false">"実部"</f>
        <v>実部</v>
      </c>
      <c r="B47" s="88" t="str">
        <f aca="false">IF(03_FRFデータ貼付!B44="","",03_FRFデータ貼付!A44)</f>
        <v/>
      </c>
      <c r="C47" s="88" t="n">
        <f aca="false">IF(AND(03_FRFデータ貼付!B44&lt;&gt;"",03_FRFデータ貼付!C44&lt;&gt;"",03_FRFデータ貼付!D44&lt;&gt;""),1,0)</f>
        <v>0</v>
      </c>
      <c r="D47" s="71" t="n">
        <f aca="false">IF($C47=0,0,03_FRFデータ貼付!H44)</f>
        <v>0</v>
      </c>
      <c r="E47" s="71" t="n">
        <f aca="false">IF($C47=0,0,03_FRFデータ貼付!I44)</f>
        <v>0</v>
      </c>
      <c r="F47" s="71" t="n">
        <f aca="false">IF($C47=0,0,03_FRFデータ貼付!J44)</f>
        <v>0</v>
      </c>
      <c r="G47" s="71" t="n">
        <f aca="false">$C47*1</f>
        <v>0</v>
      </c>
      <c r="H47" s="71" t="n">
        <f aca="false">0</f>
        <v>0</v>
      </c>
      <c r="I47" s="71" t="n">
        <f aca="false">-$C47*$D47^2</f>
        <v>-0</v>
      </c>
      <c r="J47" s="71" t="n">
        <f aca="false">0</f>
        <v>0</v>
      </c>
      <c r="K47" s="71" t="n">
        <f aca="false">-$C47*$E47</f>
        <v>-0</v>
      </c>
      <c r="L47" s="71" t="n">
        <f aca="false">$C47*$D47*$F47</f>
        <v>0</v>
      </c>
      <c r="M47" s="71" t="n">
        <f aca="false">$C47*$D47^2*$E47</f>
        <v>0</v>
      </c>
      <c r="N47" s="71" t="n">
        <f aca="false">-$C47*$D47^3*$F47</f>
        <v>-0</v>
      </c>
      <c r="O47" s="71" t="n">
        <f aca="false">$C47*$D47^4*$E47</f>
        <v>0</v>
      </c>
      <c r="P47" s="2"/>
      <c r="Q47" s="2"/>
    </row>
    <row r="48" customFormat="false" ht="15" hidden="false" customHeight="false" outlineLevel="0" collapsed="false">
      <c r="A48" s="95" t="str">
        <f aca="false">"実部"</f>
        <v>実部</v>
      </c>
      <c r="B48" s="88" t="str">
        <f aca="false">IF(03_FRFデータ貼付!B45="","",03_FRFデータ貼付!A45)</f>
        <v/>
      </c>
      <c r="C48" s="88" t="n">
        <f aca="false">IF(AND(03_FRFデータ貼付!B45&lt;&gt;"",03_FRFデータ貼付!C45&lt;&gt;"",03_FRFデータ貼付!D45&lt;&gt;""),1,0)</f>
        <v>0</v>
      </c>
      <c r="D48" s="71" t="n">
        <f aca="false">IF($C48=0,0,03_FRFデータ貼付!H45)</f>
        <v>0</v>
      </c>
      <c r="E48" s="71" t="n">
        <f aca="false">IF($C48=0,0,03_FRFデータ貼付!I45)</f>
        <v>0</v>
      </c>
      <c r="F48" s="71" t="n">
        <f aca="false">IF($C48=0,0,03_FRFデータ貼付!J45)</f>
        <v>0</v>
      </c>
      <c r="G48" s="71" t="n">
        <f aca="false">$C48*1</f>
        <v>0</v>
      </c>
      <c r="H48" s="71" t="n">
        <f aca="false">0</f>
        <v>0</v>
      </c>
      <c r="I48" s="71" t="n">
        <f aca="false">-$C48*$D48^2</f>
        <v>-0</v>
      </c>
      <c r="J48" s="71" t="n">
        <f aca="false">0</f>
        <v>0</v>
      </c>
      <c r="K48" s="71" t="n">
        <f aca="false">-$C48*$E48</f>
        <v>-0</v>
      </c>
      <c r="L48" s="71" t="n">
        <f aca="false">$C48*$D48*$F48</f>
        <v>0</v>
      </c>
      <c r="M48" s="71" t="n">
        <f aca="false">$C48*$D48^2*$E48</f>
        <v>0</v>
      </c>
      <c r="N48" s="71" t="n">
        <f aca="false">-$C48*$D48^3*$F48</f>
        <v>-0</v>
      </c>
      <c r="O48" s="71" t="n">
        <f aca="false">$C48*$D48^4*$E48</f>
        <v>0</v>
      </c>
      <c r="P48" s="2"/>
      <c r="Q48" s="2"/>
    </row>
    <row r="49" customFormat="false" ht="15" hidden="false" customHeight="false" outlineLevel="0" collapsed="false">
      <c r="A49" s="95" t="str">
        <f aca="false">"実部"</f>
        <v>実部</v>
      </c>
      <c r="B49" s="88" t="str">
        <f aca="false">IF(03_FRFデータ貼付!B46="","",03_FRFデータ貼付!A46)</f>
        <v/>
      </c>
      <c r="C49" s="88" t="n">
        <f aca="false">IF(AND(03_FRFデータ貼付!B46&lt;&gt;"",03_FRFデータ貼付!C46&lt;&gt;"",03_FRFデータ貼付!D46&lt;&gt;""),1,0)</f>
        <v>0</v>
      </c>
      <c r="D49" s="71" t="n">
        <f aca="false">IF($C49=0,0,03_FRFデータ貼付!H46)</f>
        <v>0</v>
      </c>
      <c r="E49" s="71" t="n">
        <f aca="false">IF($C49=0,0,03_FRFデータ貼付!I46)</f>
        <v>0</v>
      </c>
      <c r="F49" s="71" t="n">
        <f aca="false">IF($C49=0,0,03_FRFデータ貼付!J46)</f>
        <v>0</v>
      </c>
      <c r="G49" s="71" t="n">
        <f aca="false">$C49*1</f>
        <v>0</v>
      </c>
      <c r="H49" s="71" t="n">
        <f aca="false">0</f>
        <v>0</v>
      </c>
      <c r="I49" s="71" t="n">
        <f aca="false">-$C49*$D49^2</f>
        <v>-0</v>
      </c>
      <c r="J49" s="71" t="n">
        <f aca="false">0</f>
        <v>0</v>
      </c>
      <c r="K49" s="71" t="n">
        <f aca="false">-$C49*$E49</f>
        <v>-0</v>
      </c>
      <c r="L49" s="71" t="n">
        <f aca="false">$C49*$D49*$F49</f>
        <v>0</v>
      </c>
      <c r="M49" s="71" t="n">
        <f aca="false">$C49*$D49^2*$E49</f>
        <v>0</v>
      </c>
      <c r="N49" s="71" t="n">
        <f aca="false">-$C49*$D49^3*$F49</f>
        <v>-0</v>
      </c>
      <c r="O49" s="71" t="n">
        <f aca="false">$C49*$D49^4*$E49</f>
        <v>0</v>
      </c>
      <c r="P49" s="2"/>
      <c r="Q49" s="2"/>
    </row>
    <row r="50" customFormat="false" ht="15" hidden="false" customHeight="false" outlineLevel="0" collapsed="false">
      <c r="A50" s="95" t="str">
        <f aca="false">"実部"</f>
        <v>実部</v>
      </c>
      <c r="B50" s="88" t="str">
        <f aca="false">IF(03_FRFデータ貼付!B47="","",03_FRFデータ貼付!A47)</f>
        <v/>
      </c>
      <c r="C50" s="88" t="n">
        <f aca="false">IF(AND(03_FRFデータ貼付!B47&lt;&gt;"",03_FRFデータ貼付!C47&lt;&gt;"",03_FRFデータ貼付!D47&lt;&gt;""),1,0)</f>
        <v>0</v>
      </c>
      <c r="D50" s="71" t="n">
        <f aca="false">IF($C50=0,0,03_FRFデータ貼付!H47)</f>
        <v>0</v>
      </c>
      <c r="E50" s="71" t="n">
        <f aca="false">IF($C50=0,0,03_FRFデータ貼付!I47)</f>
        <v>0</v>
      </c>
      <c r="F50" s="71" t="n">
        <f aca="false">IF($C50=0,0,03_FRFデータ貼付!J47)</f>
        <v>0</v>
      </c>
      <c r="G50" s="71" t="n">
        <f aca="false">$C50*1</f>
        <v>0</v>
      </c>
      <c r="H50" s="71" t="n">
        <f aca="false">0</f>
        <v>0</v>
      </c>
      <c r="I50" s="71" t="n">
        <f aca="false">-$C50*$D50^2</f>
        <v>-0</v>
      </c>
      <c r="J50" s="71" t="n">
        <f aca="false">0</f>
        <v>0</v>
      </c>
      <c r="K50" s="71" t="n">
        <f aca="false">-$C50*$E50</f>
        <v>-0</v>
      </c>
      <c r="L50" s="71" t="n">
        <f aca="false">$C50*$D50*$F50</f>
        <v>0</v>
      </c>
      <c r="M50" s="71" t="n">
        <f aca="false">$C50*$D50^2*$E50</f>
        <v>0</v>
      </c>
      <c r="N50" s="71" t="n">
        <f aca="false">-$C50*$D50^3*$F50</f>
        <v>-0</v>
      </c>
      <c r="O50" s="71" t="n">
        <f aca="false">$C50*$D50^4*$E50</f>
        <v>0</v>
      </c>
      <c r="P50" s="2"/>
      <c r="Q50" s="2"/>
    </row>
    <row r="51" customFormat="false" ht="15" hidden="false" customHeight="false" outlineLevel="0" collapsed="false">
      <c r="A51" s="95" t="str">
        <f aca="false">"実部"</f>
        <v>実部</v>
      </c>
      <c r="B51" s="88" t="str">
        <f aca="false">IF(03_FRFデータ貼付!B48="","",03_FRFデータ貼付!A48)</f>
        <v/>
      </c>
      <c r="C51" s="88" t="n">
        <f aca="false">IF(AND(03_FRFデータ貼付!B48&lt;&gt;"",03_FRFデータ貼付!C48&lt;&gt;"",03_FRFデータ貼付!D48&lt;&gt;""),1,0)</f>
        <v>0</v>
      </c>
      <c r="D51" s="71" t="n">
        <f aca="false">IF($C51=0,0,03_FRFデータ貼付!H48)</f>
        <v>0</v>
      </c>
      <c r="E51" s="71" t="n">
        <f aca="false">IF($C51=0,0,03_FRFデータ貼付!I48)</f>
        <v>0</v>
      </c>
      <c r="F51" s="71" t="n">
        <f aca="false">IF($C51=0,0,03_FRFデータ貼付!J48)</f>
        <v>0</v>
      </c>
      <c r="G51" s="71" t="n">
        <f aca="false">$C51*1</f>
        <v>0</v>
      </c>
      <c r="H51" s="71" t="n">
        <f aca="false">0</f>
        <v>0</v>
      </c>
      <c r="I51" s="71" t="n">
        <f aca="false">-$C51*$D51^2</f>
        <v>-0</v>
      </c>
      <c r="J51" s="71" t="n">
        <f aca="false">0</f>
        <v>0</v>
      </c>
      <c r="K51" s="71" t="n">
        <f aca="false">-$C51*$E51</f>
        <v>-0</v>
      </c>
      <c r="L51" s="71" t="n">
        <f aca="false">$C51*$D51*$F51</f>
        <v>0</v>
      </c>
      <c r="M51" s="71" t="n">
        <f aca="false">$C51*$D51^2*$E51</f>
        <v>0</v>
      </c>
      <c r="N51" s="71" t="n">
        <f aca="false">-$C51*$D51^3*$F51</f>
        <v>-0</v>
      </c>
      <c r="O51" s="71" t="n">
        <f aca="false">$C51*$D51^4*$E51</f>
        <v>0</v>
      </c>
      <c r="P51" s="2"/>
      <c r="Q51" s="2"/>
    </row>
    <row r="52" customFormat="false" ht="15" hidden="false" customHeight="false" outlineLevel="0" collapsed="false">
      <c r="A52" s="95" t="str">
        <f aca="false">"実部"</f>
        <v>実部</v>
      </c>
      <c r="B52" s="88" t="str">
        <f aca="false">IF(03_FRFデータ貼付!B49="","",03_FRFデータ貼付!A49)</f>
        <v/>
      </c>
      <c r="C52" s="88" t="n">
        <f aca="false">IF(AND(03_FRFデータ貼付!B49&lt;&gt;"",03_FRFデータ貼付!C49&lt;&gt;"",03_FRFデータ貼付!D49&lt;&gt;""),1,0)</f>
        <v>0</v>
      </c>
      <c r="D52" s="71" t="n">
        <f aca="false">IF($C52=0,0,03_FRFデータ貼付!H49)</f>
        <v>0</v>
      </c>
      <c r="E52" s="71" t="n">
        <f aca="false">IF($C52=0,0,03_FRFデータ貼付!I49)</f>
        <v>0</v>
      </c>
      <c r="F52" s="71" t="n">
        <f aca="false">IF($C52=0,0,03_FRFデータ貼付!J49)</f>
        <v>0</v>
      </c>
      <c r="G52" s="71" t="n">
        <f aca="false">$C52*1</f>
        <v>0</v>
      </c>
      <c r="H52" s="71" t="n">
        <f aca="false">0</f>
        <v>0</v>
      </c>
      <c r="I52" s="71" t="n">
        <f aca="false">-$C52*$D52^2</f>
        <v>-0</v>
      </c>
      <c r="J52" s="71" t="n">
        <f aca="false">0</f>
        <v>0</v>
      </c>
      <c r="K52" s="71" t="n">
        <f aca="false">-$C52*$E52</f>
        <v>-0</v>
      </c>
      <c r="L52" s="71" t="n">
        <f aca="false">$C52*$D52*$F52</f>
        <v>0</v>
      </c>
      <c r="M52" s="71" t="n">
        <f aca="false">$C52*$D52^2*$E52</f>
        <v>0</v>
      </c>
      <c r="N52" s="71" t="n">
        <f aca="false">-$C52*$D52^3*$F52</f>
        <v>-0</v>
      </c>
      <c r="O52" s="71" t="n">
        <f aca="false">$C52*$D52^4*$E52</f>
        <v>0</v>
      </c>
      <c r="P52" s="2"/>
      <c r="Q52" s="2"/>
    </row>
    <row r="53" customFormat="false" ht="15" hidden="false" customHeight="false" outlineLevel="0" collapsed="false">
      <c r="A53" s="95" t="str">
        <f aca="false">"実部"</f>
        <v>実部</v>
      </c>
      <c r="B53" s="88" t="str">
        <f aca="false">IF(03_FRFデータ貼付!B50="","",03_FRFデータ貼付!A50)</f>
        <v/>
      </c>
      <c r="C53" s="88" t="n">
        <f aca="false">IF(AND(03_FRFデータ貼付!B50&lt;&gt;"",03_FRFデータ貼付!C50&lt;&gt;"",03_FRFデータ貼付!D50&lt;&gt;""),1,0)</f>
        <v>0</v>
      </c>
      <c r="D53" s="71" t="n">
        <f aca="false">IF($C53=0,0,03_FRFデータ貼付!H50)</f>
        <v>0</v>
      </c>
      <c r="E53" s="71" t="n">
        <f aca="false">IF($C53=0,0,03_FRFデータ貼付!I50)</f>
        <v>0</v>
      </c>
      <c r="F53" s="71" t="n">
        <f aca="false">IF($C53=0,0,03_FRFデータ貼付!J50)</f>
        <v>0</v>
      </c>
      <c r="G53" s="71" t="n">
        <f aca="false">$C53*1</f>
        <v>0</v>
      </c>
      <c r="H53" s="71" t="n">
        <f aca="false">0</f>
        <v>0</v>
      </c>
      <c r="I53" s="71" t="n">
        <f aca="false">-$C53*$D53^2</f>
        <v>-0</v>
      </c>
      <c r="J53" s="71" t="n">
        <f aca="false">0</f>
        <v>0</v>
      </c>
      <c r="K53" s="71" t="n">
        <f aca="false">-$C53*$E53</f>
        <v>-0</v>
      </c>
      <c r="L53" s="71" t="n">
        <f aca="false">$C53*$D53*$F53</f>
        <v>0</v>
      </c>
      <c r="M53" s="71" t="n">
        <f aca="false">$C53*$D53^2*$E53</f>
        <v>0</v>
      </c>
      <c r="N53" s="71" t="n">
        <f aca="false">-$C53*$D53^3*$F53</f>
        <v>-0</v>
      </c>
      <c r="O53" s="71" t="n">
        <f aca="false">$C53*$D53^4*$E53</f>
        <v>0</v>
      </c>
      <c r="P53" s="2"/>
      <c r="Q53" s="2"/>
    </row>
    <row r="54" customFormat="false" ht="15" hidden="false" customHeight="false" outlineLevel="0" collapsed="false">
      <c r="A54" s="95" t="str">
        <f aca="false">"実部"</f>
        <v>実部</v>
      </c>
      <c r="B54" s="88" t="str">
        <f aca="false">IF(03_FRFデータ貼付!B51="","",03_FRFデータ貼付!A51)</f>
        <v/>
      </c>
      <c r="C54" s="88" t="n">
        <f aca="false">IF(AND(03_FRFデータ貼付!B51&lt;&gt;"",03_FRFデータ貼付!C51&lt;&gt;"",03_FRFデータ貼付!D51&lt;&gt;""),1,0)</f>
        <v>0</v>
      </c>
      <c r="D54" s="71" t="n">
        <f aca="false">IF($C54=0,0,03_FRFデータ貼付!H51)</f>
        <v>0</v>
      </c>
      <c r="E54" s="71" t="n">
        <f aca="false">IF($C54=0,0,03_FRFデータ貼付!I51)</f>
        <v>0</v>
      </c>
      <c r="F54" s="71" t="n">
        <f aca="false">IF($C54=0,0,03_FRFデータ貼付!J51)</f>
        <v>0</v>
      </c>
      <c r="G54" s="71" t="n">
        <f aca="false">$C54*1</f>
        <v>0</v>
      </c>
      <c r="H54" s="71" t="n">
        <f aca="false">0</f>
        <v>0</v>
      </c>
      <c r="I54" s="71" t="n">
        <f aca="false">-$C54*$D54^2</f>
        <v>-0</v>
      </c>
      <c r="J54" s="71" t="n">
        <f aca="false">0</f>
        <v>0</v>
      </c>
      <c r="K54" s="71" t="n">
        <f aca="false">-$C54*$E54</f>
        <v>-0</v>
      </c>
      <c r="L54" s="71" t="n">
        <f aca="false">$C54*$D54*$F54</f>
        <v>0</v>
      </c>
      <c r="M54" s="71" t="n">
        <f aca="false">$C54*$D54^2*$E54</f>
        <v>0</v>
      </c>
      <c r="N54" s="71" t="n">
        <f aca="false">-$C54*$D54^3*$F54</f>
        <v>-0</v>
      </c>
      <c r="O54" s="71" t="n">
        <f aca="false">$C54*$D54^4*$E54</f>
        <v>0</v>
      </c>
      <c r="P54" s="2"/>
      <c r="Q54" s="2"/>
    </row>
    <row r="55" customFormat="false" ht="15" hidden="false" customHeight="false" outlineLevel="0" collapsed="false">
      <c r="A55" s="95" t="str">
        <f aca="false">"実部"</f>
        <v>実部</v>
      </c>
      <c r="B55" s="88" t="str">
        <f aca="false">IF(03_FRFデータ貼付!B52="","",03_FRFデータ貼付!A52)</f>
        <v/>
      </c>
      <c r="C55" s="88" t="n">
        <f aca="false">IF(AND(03_FRFデータ貼付!B52&lt;&gt;"",03_FRFデータ貼付!C52&lt;&gt;"",03_FRFデータ貼付!D52&lt;&gt;""),1,0)</f>
        <v>0</v>
      </c>
      <c r="D55" s="71" t="n">
        <f aca="false">IF($C55=0,0,03_FRFデータ貼付!H52)</f>
        <v>0</v>
      </c>
      <c r="E55" s="71" t="n">
        <f aca="false">IF($C55=0,0,03_FRFデータ貼付!I52)</f>
        <v>0</v>
      </c>
      <c r="F55" s="71" t="n">
        <f aca="false">IF($C55=0,0,03_FRFデータ貼付!J52)</f>
        <v>0</v>
      </c>
      <c r="G55" s="71" t="n">
        <f aca="false">$C55*1</f>
        <v>0</v>
      </c>
      <c r="H55" s="71" t="n">
        <f aca="false">0</f>
        <v>0</v>
      </c>
      <c r="I55" s="71" t="n">
        <f aca="false">-$C55*$D55^2</f>
        <v>-0</v>
      </c>
      <c r="J55" s="71" t="n">
        <f aca="false">0</f>
        <v>0</v>
      </c>
      <c r="K55" s="71" t="n">
        <f aca="false">-$C55*$E55</f>
        <v>-0</v>
      </c>
      <c r="L55" s="71" t="n">
        <f aca="false">$C55*$D55*$F55</f>
        <v>0</v>
      </c>
      <c r="M55" s="71" t="n">
        <f aca="false">$C55*$D55^2*$E55</f>
        <v>0</v>
      </c>
      <c r="N55" s="71" t="n">
        <f aca="false">-$C55*$D55^3*$F55</f>
        <v>-0</v>
      </c>
      <c r="O55" s="71" t="n">
        <f aca="false">$C55*$D55^4*$E55</f>
        <v>0</v>
      </c>
      <c r="P55" s="2"/>
      <c r="Q55" s="2"/>
    </row>
    <row r="56" customFormat="false" ht="15" hidden="false" customHeight="false" outlineLevel="0" collapsed="false">
      <c r="A56" s="95" t="str">
        <f aca="false">"実部"</f>
        <v>実部</v>
      </c>
      <c r="B56" s="88" t="str">
        <f aca="false">IF(03_FRFデータ貼付!B53="","",03_FRFデータ貼付!A53)</f>
        <v/>
      </c>
      <c r="C56" s="88" t="n">
        <f aca="false">IF(AND(03_FRFデータ貼付!B53&lt;&gt;"",03_FRFデータ貼付!C53&lt;&gt;"",03_FRFデータ貼付!D53&lt;&gt;""),1,0)</f>
        <v>0</v>
      </c>
      <c r="D56" s="71" t="n">
        <f aca="false">IF($C56=0,0,03_FRFデータ貼付!H53)</f>
        <v>0</v>
      </c>
      <c r="E56" s="71" t="n">
        <f aca="false">IF($C56=0,0,03_FRFデータ貼付!I53)</f>
        <v>0</v>
      </c>
      <c r="F56" s="71" t="n">
        <f aca="false">IF($C56=0,0,03_FRFデータ貼付!J53)</f>
        <v>0</v>
      </c>
      <c r="G56" s="71" t="n">
        <f aca="false">$C56*1</f>
        <v>0</v>
      </c>
      <c r="H56" s="71" t="n">
        <f aca="false">0</f>
        <v>0</v>
      </c>
      <c r="I56" s="71" t="n">
        <f aca="false">-$C56*$D56^2</f>
        <v>-0</v>
      </c>
      <c r="J56" s="71" t="n">
        <f aca="false">0</f>
        <v>0</v>
      </c>
      <c r="K56" s="71" t="n">
        <f aca="false">-$C56*$E56</f>
        <v>-0</v>
      </c>
      <c r="L56" s="71" t="n">
        <f aca="false">$C56*$D56*$F56</f>
        <v>0</v>
      </c>
      <c r="M56" s="71" t="n">
        <f aca="false">$C56*$D56^2*$E56</f>
        <v>0</v>
      </c>
      <c r="N56" s="71" t="n">
        <f aca="false">-$C56*$D56^3*$F56</f>
        <v>-0</v>
      </c>
      <c r="O56" s="71" t="n">
        <f aca="false">$C56*$D56^4*$E56</f>
        <v>0</v>
      </c>
      <c r="P56" s="2"/>
      <c r="Q56" s="2"/>
    </row>
    <row r="57" customFormat="false" ht="15" hidden="false" customHeight="false" outlineLevel="0" collapsed="false">
      <c r="A57" s="95" t="str">
        <f aca="false">"実部"</f>
        <v>実部</v>
      </c>
      <c r="B57" s="88" t="str">
        <f aca="false">IF(03_FRFデータ貼付!B54="","",03_FRFデータ貼付!A54)</f>
        <v/>
      </c>
      <c r="C57" s="88" t="n">
        <f aca="false">IF(AND(03_FRFデータ貼付!B54&lt;&gt;"",03_FRFデータ貼付!C54&lt;&gt;"",03_FRFデータ貼付!D54&lt;&gt;""),1,0)</f>
        <v>0</v>
      </c>
      <c r="D57" s="71" t="n">
        <f aca="false">IF($C57=0,0,03_FRFデータ貼付!H54)</f>
        <v>0</v>
      </c>
      <c r="E57" s="71" t="n">
        <f aca="false">IF($C57=0,0,03_FRFデータ貼付!I54)</f>
        <v>0</v>
      </c>
      <c r="F57" s="71" t="n">
        <f aca="false">IF($C57=0,0,03_FRFデータ貼付!J54)</f>
        <v>0</v>
      </c>
      <c r="G57" s="71" t="n">
        <f aca="false">$C57*1</f>
        <v>0</v>
      </c>
      <c r="H57" s="71" t="n">
        <f aca="false">0</f>
        <v>0</v>
      </c>
      <c r="I57" s="71" t="n">
        <f aca="false">-$C57*$D57^2</f>
        <v>-0</v>
      </c>
      <c r="J57" s="71" t="n">
        <f aca="false">0</f>
        <v>0</v>
      </c>
      <c r="K57" s="71" t="n">
        <f aca="false">-$C57*$E57</f>
        <v>-0</v>
      </c>
      <c r="L57" s="71" t="n">
        <f aca="false">$C57*$D57*$F57</f>
        <v>0</v>
      </c>
      <c r="M57" s="71" t="n">
        <f aca="false">$C57*$D57^2*$E57</f>
        <v>0</v>
      </c>
      <c r="N57" s="71" t="n">
        <f aca="false">-$C57*$D57^3*$F57</f>
        <v>-0</v>
      </c>
      <c r="O57" s="71" t="n">
        <f aca="false">$C57*$D57^4*$E57</f>
        <v>0</v>
      </c>
      <c r="P57" s="2"/>
      <c r="Q57" s="2"/>
    </row>
    <row r="58" customFormat="false" ht="15" hidden="false" customHeight="false" outlineLevel="0" collapsed="false">
      <c r="A58" s="95" t="str">
        <f aca="false">"実部"</f>
        <v>実部</v>
      </c>
      <c r="B58" s="88" t="str">
        <f aca="false">IF(03_FRFデータ貼付!B55="","",03_FRFデータ貼付!A55)</f>
        <v/>
      </c>
      <c r="C58" s="88" t="n">
        <f aca="false">IF(AND(03_FRFデータ貼付!B55&lt;&gt;"",03_FRFデータ貼付!C55&lt;&gt;"",03_FRFデータ貼付!D55&lt;&gt;""),1,0)</f>
        <v>0</v>
      </c>
      <c r="D58" s="71" t="n">
        <f aca="false">IF($C58=0,0,03_FRFデータ貼付!H55)</f>
        <v>0</v>
      </c>
      <c r="E58" s="71" t="n">
        <f aca="false">IF($C58=0,0,03_FRFデータ貼付!I55)</f>
        <v>0</v>
      </c>
      <c r="F58" s="71" t="n">
        <f aca="false">IF($C58=0,0,03_FRFデータ貼付!J55)</f>
        <v>0</v>
      </c>
      <c r="G58" s="71" t="n">
        <f aca="false">$C58*1</f>
        <v>0</v>
      </c>
      <c r="H58" s="71" t="n">
        <f aca="false">0</f>
        <v>0</v>
      </c>
      <c r="I58" s="71" t="n">
        <f aca="false">-$C58*$D58^2</f>
        <v>-0</v>
      </c>
      <c r="J58" s="71" t="n">
        <f aca="false">0</f>
        <v>0</v>
      </c>
      <c r="K58" s="71" t="n">
        <f aca="false">-$C58*$E58</f>
        <v>-0</v>
      </c>
      <c r="L58" s="71" t="n">
        <f aca="false">$C58*$D58*$F58</f>
        <v>0</v>
      </c>
      <c r="M58" s="71" t="n">
        <f aca="false">$C58*$D58^2*$E58</f>
        <v>0</v>
      </c>
      <c r="N58" s="71" t="n">
        <f aca="false">-$C58*$D58^3*$F58</f>
        <v>-0</v>
      </c>
      <c r="O58" s="71" t="n">
        <f aca="false">$C58*$D58^4*$E58</f>
        <v>0</v>
      </c>
      <c r="P58" s="2"/>
      <c r="Q58" s="2"/>
    </row>
    <row r="59" customFormat="false" ht="15" hidden="false" customHeight="false" outlineLevel="0" collapsed="false">
      <c r="A59" s="95" t="str">
        <f aca="false">"実部"</f>
        <v>実部</v>
      </c>
      <c r="B59" s="88" t="str">
        <f aca="false">IF(03_FRFデータ貼付!B56="","",03_FRFデータ貼付!A56)</f>
        <v/>
      </c>
      <c r="C59" s="88" t="n">
        <f aca="false">IF(AND(03_FRFデータ貼付!B56&lt;&gt;"",03_FRFデータ貼付!C56&lt;&gt;"",03_FRFデータ貼付!D56&lt;&gt;""),1,0)</f>
        <v>0</v>
      </c>
      <c r="D59" s="71" t="n">
        <f aca="false">IF($C59=0,0,03_FRFデータ貼付!H56)</f>
        <v>0</v>
      </c>
      <c r="E59" s="71" t="n">
        <f aca="false">IF($C59=0,0,03_FRFデータ貼付!I56)</f>
        <v>0</v>
      </c>
      <c r="F59" s="71" t="n">
        <f aca="false">IF($C59=0,0,03_FRFデータ貼付!J56)</f>
        <v>0</v>
      </c>
      <c r="G59" s="71" t="n">
        <f aca="false">$C59*1</f>
        <v>0</v>
      </c>
      <c r="H59" s="71" t="n">
        <f aca="false">0</f>
        <v>0</v>
      </c>
      <c r="I59" s="71" t="n">
        <f aca="false">-$C59*$D59^2</f>
        <v>-0</v>
      </c>
      <c r="J59" s="71" t="n">
        <f aca="false">0</f>
        <v>0</v>
      </c>
      <c r="K59" s="71" t="n">
        <f aca="false">-$C59*$E59</f>
        <v>-0</v>
      </c>
      <c r="L59" s="71" t="n">
        <f aca="false">$C59*$D59*$F59</f>
        <v>0</v>
      </c>
      <c r="M59" s="71" t="n">
        <f aca="false">$C59*$D59^2*$E59</f>
        <v>0</v>
      </c>
      <c r="N59" s="71" t="n">
        <f aca="false">-$C59*$D59^3*$F59</f>
        <v>-0</v>
      </c>
      <c r="O59" s="71" t="n">
        <f aca="false">$C59*$D59^4*$E59</f>
        <v>0</v>
      </c>
      <c r="P59" s="2"/>
      <c r="Q59" s="2"/>
    </row>
    <row r="60" customFormat="false" ht="15" hidden="false" customHeight="false" outlineLevel="0" collapsed="false">
      <c r="A60" s="95" t="str">
        <f aca="false">"実部"</f>
        <v>実部</v>
      </c>
      <c r="B60" s="88" t="str">
        <f aca="false">IF(03_FRFデータ貼付!B57="","",03_FRFデータ貼付!A57)</f>
        <v/>
      </c>
      <c r="C60" s="88" t="n">
        <f aca="false">IF(AND(03_FRFデータ貼付!B57&lt;&gt;"",03_FRFデータ貼付!C57&lt;&gt;"",03_FRFデータ貼付!D57&lt;&gt;""),1,0)</f>
        <v>0</v>
      </c>
      <c r="D60" s="71" t="n">
        <f aca="false">IF($C60=0,0,03_FRFデータ貼付!H57)</f>
        <v>0</v>
      </c>
      <c r="E60" s="71" t="n">
        <f aca="false">IF($C60=0,0,03_FRFデータ貼付!I57)</f>
        <v>0</v>
      </c>
      <c r="F60" s="71" t="n">
        <f aca="false">IF($C60=0,0,03_FRFデータ貼付!J57)</f>
        <v>0</v>
      </c>
      <c r="G60" s="71" t="n">
        <f aca="false">$C60*1</f>
        <v>0</v>
      </c>
      <c r="H60" s="71" t="n">
        <f aca="false">0</f>
        <v>0</v>
      </c>
      <c r="I60" s="71" t="n">
        <f aca="false">-$C60*$D60^2</f>
        <v>-0</v>
      </c>
      <c r="J60" s="71" t="n">
        <f aca="false">0</f>
        <v>0</v>
      </c>
      <c r="K60" s="71" t="n">
        <f aca="false">-$C60*$E60</f>
        <v>-0</v>
      </c>
      <c r="L60" s="71" t="n">
        <f aca="false">$C60*$D60*$F60</f>
        <v>0</v>
      </c>
      <c r="M60" s="71" t="n">
        <f aca="false">$C60*$D60^2*$E60</f>
        <v>0</v>
      </c>
      <c r="N60" s="71" t="n">
        <f aca="false">-$C60*$D60^3*$F60</f>
        <v>-0</v>
      </c>
      <c r="O60" s="71" t="n">
        <f aca="false">$C60*$D60^4*$E60</f>
        <v>0</v>
      </c>
      <c r="P60" s="2"/>
      <c r="Q60" s="2"/>
    </row>
    <row r="61" customFormat="false" ht="15" hidden="false" customHeight="false" outlineLevel="0" collapsed="false">
      <c r="A61" s="95" t="str">
        <f aca="false">"実部"</f>
        <v>実部</v>
      </c>
      <c r="B61" s="88" t="str">
        <f aca="false">IF(03_FRFデータ貼付!B58="","",03_FRFデータ貼付!A58)</f>
        <v/>
      </c>
      <c r="C61" s="88" t="n">
        <f aca="false">IF(AND(03_FRFデータ貼付!B58&lt;&gt;"",03_FRFデータ貼付!C58&lt;&gt;"",03_FRFデータ貼付!D58&lt;&gt;""),1,0)</f>
        <v>0</v>
      </c>
      <c r="D61" s="71" t="n">
        <f aca="false">IF($C61=0,0,03_FRFデータ貼付!H58)</f>
        <v>0</v>
      </c>
      <c r="E61" s="71" t="n">
        <f aca="false">IF($C61=0,0,03_FRFデータ貼付!I58)</f>
        <v>0</v>
      </c>
      <c r="F61" s="71" t="n">
        <f aca="false">IF($C61=0,0,03_FRFデータ貼付!J58)</f>
        <v>0</v>
      </c>
      <c r="G61" s="71" t="n">
        <f aca="false">$C61*1</f>
        <v>0</v>
      </c>
      <c r="H61" s="71" t="n">
        <f aca="false">0</f>
        <v>0</v>
      </c>
      <c r="I61" s="71" t="n">
        <f aca="false">-$C61*$D61^2</f>
        <v>-0</v>
      </c>
      <c r="J61" s="71" t="n">
        <f aca="false">0</f>
        <v>0</v>
      </c>
      <c r="K61" s="71" t="n">
        <f aca="false">-$C61*$E61</f>
        <v>-0</v>
      </c>
      <c r="L61" s="71" t="n">
        <f aca="false">$C61*$D61*$F61</f>
        <v>0</v>
      </c>
      <c r="M61" s="71" t="n">
        <f aca="false">$C61*$D61^2*$E61</f>
        <v>0</v>
      </c>
      <c r="N61" s="71" t="n">
        <f aca="false">-$C61*$D61^3*$F61</f>
        <v>-0</v>
      </c>
      <c r="O61" s="71" t="n">
        <f aca="false">$C61*$D61^4*$E61</f>
        <v>0</v>
      </c>
      <c r="P61" s="2"/>
      <c r="Q61" s="2"/>
    </row>
    <row r="62" customFormat="false" ht="15" hidden="false" customHeight="false" outlineLevel="0" collapsed="false">
      <c r="A62" s="95" t="str">
        <f aca="false">"実部"</f>
        <v>実部</v>
      </c>
      <c r="B62" s="88" t="str">
        <f aca="false">IF(03_FRFデータ貼付!B59="","",03_FRFデータ貼付!A59)</f>
        <v/>
      </c>
      <c r="C62" s="88" t="n">
        <f aca="false">IF(AND(03_FRFデータ貼付!B59&lt;&gt;"",03_FRFデータ貼付!C59&lt;&gt;"",03_FRFデータ貼付!D59&lt;&gt;""),1,0)</f>
        <v>0</v>
      </c>
      <c r="D62" s="71" t="n">
        <f aca="false">IF($C62=0,0,03_FRFデータ貼付!H59)</f>
        <v>0</v>
      </c>
      <c r="E62" s="71" t="n">
        <f aca="false">IF($C62=0,0,03_FRFデータ貼付!I59)</f>
        <v>0</v>
      </c>
      <c r="F62" s="71" t="n">
        <f aca="false">IF($C62=0,0,03_FRFデータ貼付!J59)</f>
        <v>0</v>
      </c>
      <c r="G62" s="71" t="n">
        <f aca="false">$C62*1</f>
        <v>0</v>
      </c>
      <c r="H62" s="71" t="n">
        <f aca="false">0</f>
        <v>0</v>
      </c>
      <c r="I62" s="71" t="n">
        <f aca="false">-$C62*$D62^2</f>
        <v>-0</v>
      </c>
      <c r="J62" s="71" t="n">
        <f aca="false">0</f>
        <v>0</v>
      </c>
      <c r="K62" s="71" t="n">
        <f aca="false">-$C62*$E62</f>
        <v>-0</v>
      </c>
      <c r="L62" s="71" t="n">
        <f aca="false">$C62*$D62*$F62</f>
        <v>0</v>
      </c>
      <c r="M62" s="71" t="n">
        <f aca="false">$C62*$D62^2*$E62</f>
        <v>0</v>
      </c>
      <c r="N62" s="71" t="n">
        <f aca="false">-$C62*$D62^3*$F62</f>
        <v>-0</v>
      </c>
      <c r="O62" s="71" t="n">
        <f aca="false">$C62*$D62^4*$E62</f>
        <v>0</v>
      </c>
      <c r="P62" s="2"/>
      <c r="Q62" s="2"/>
    </row>
    <row r="63" customFormat="false" ht="15" hidden="false" customHeight="false" outlineLevel="0" collapsed="false">
      <c r="A63" s="95" t="str">
        <f aca="false">"実部"</f>
        <v>実部</v>
      </c>
      <c r="B63" s="88" t="str">
        <f aca="false">IF(03_FRFデータ貼付!B60="","",03_FRFデータ貼付!A60)</f>
        <v/>
      </c>
      <c r="C63" s="88" t="n">
        <f aca="false">IF(AND(03_FRFデータ貼付!B60&lt;&gt;"",03_FRFデータ貼付!C60&lt;&gt;"",03_FRFデータ貼付!D60&lt;&gt;""),1,0)</f>
        <v>0</v>
      </c>
      <c r="D63" s="71" t="n">
        <f aca="false">IF($C63=0,0,03_FRFデータ貼付!H60)</f>
        <v>0</v>
      </c>
      <c r="E63" s="71" t="n">
        <f aca="false">IF($C63=0,0,03_FRFデータ貼付!I60)</f>
        <v>0</v>
      </c>
      <c r="F63" s="71" t="n">
        <f aca="false">IF($C63=0,0,03_FRFデータ貼付!J60)</f>
        <v>0</v>
      </c>
      <c r="G63" s="71" t="n">
        <f aca="false">$C63*1</f>
        <v>0</v>
      </c>
      <c r="H63" s="71" t="n">
        <f aca="false">0</f>
        <v>0</v>
      </c>
      <c r="I63" s="71" t="n">
        <f aca="false">-$C63*$D63^2</f>
        <v>-0</v>
      </c>
      <c r="J63" s="71" t="n">
        <f aca="false">0</f>
        <v>0</v>
      </c>
      <c r="K63" s="71" t="n">
        <f aca="false">-$C63*$E63</f>
        <v>-0</v>
      </c>
      <c r="L63" s="71" t="n">
        <f aca="false">$C63*$D63*$F63</f>
        <v>0</v>
      </c>
      <c r="M63" s="71" t="n">
        <f aca="false">$C63*$D63^2*$E63</f>
        <v>0</v>
      </c>
      <c r="N63" s="71" t="n">
        <f aca="false">-$C63*$D63^3*$F63</f>
        <v>-0</v>
      </c>
      <c r="O63" s="71" t="n">
        <f aca="false">$C63*$D63^4*$E63</f>
        <v>0</v>
      </c>
      <c r="P63" s="2"/>
      <c r="Q63" s="2"/>
    </row>
    <row r="64" customFormat="false" ht="15" hidden="false" customHeight="false" outlineLevel="0" collapsed="false">
      <c r="A64" s="95" t="str">
        <f aca="false">"実部"</f>
        <v>実部</v>
      </c>
      <c r="B64" s="88" t="str">
        <f aca="false">IF(03_FRFデータ貼付!B61="","",03_FRFデータ貼付!A61)</f>
        <v/>
      </c>
      <c r="C64" s="88" t="n">
        <f aca="false">IF(AND(03_FRFデータ貼付!B61&lt;&gt;"",03_FRFデータ貼付!C61&lt;&gt;"",03_FRFデータ貼付!D61&lt;&gt;""),1,0)</f>
        <v>0</v>
      </c>
      <c r="D64" s="71" t="n">
        <f aca="false">IF($C64=0,0,03_FRFデータ貼付!H61)</f>
        <v>0</v>
      </c>
      <c r="E64" s="71" t="n">
        <f aca="false">IF($C64=0,0,03_FRFデータ貼付!I61)</f>
        <v>0</v>
      </c>
      <c r="F64" s="71" t="n">
        <f aca="false">IF($C64=0,0,03_FRFデータ貼付!J61)</f>
        <v>0</v>
      </c>
      <c r="G64" s="71" t="n">
        <f aca="false">$C64*1</f>
        <v>0</v>
      </c>
      <c r="H64" s="71" t="n">
        <f aca="false">0</f>
        <v>0</v>
      </c>
      <c r="I64" s="71" t="n">
        <f aca="false">-$C64*$D64^2</f>
        <v>-0</v>
      </c>
      <c r="J64" s="71" t="n">
        <f aca="false">0</f>
        <v>0</v>
      </c>
      <c r="K64" s="71" t="n">
        <f aca="false">-$C64*$E64</f>
        <v>-0</v>
      </c>
      <c r="L64" s="71" t="n">
        <f aca="false">$C64*$D64*$F64</f>
        <v>0</v>
      </c>
      <c r="M64" s="71" t="n">
        <f aca="false">$C64*$D64^2*$E64</f>
        <v>0</v>
      </c>
      <c r="N64" s="71" t="n">
        <f aca="false">-$C64*$D64^3*$F64</f>
        <v>-0</v>
      </c>
      <c r="O64" s="71" t="n">
        <f aca="false">$C64*$D64^4*$E64</f>
        <v>0</v>
      </c>
      <c r="P64" s="2"/>
      <c r="Q64" s="2"/>
    </row>
    <row r="65" customFormat="false" ht="15" hidden="false" customHeight="false" outlineLevel="0" collapsed="false">
      <c r="A65" s="95" t="str">
        <f aca="false">"実部"</f>
        <v>実部</v>
      </c>
      <c r="B65" s="88" t="str">
        <f aca="false">IF(03_FRFデータ貼付!B62="","",03_FRFデータ貼付!A62)</f>
        <v/>
      </c>
      <c r="C65" s="88" t="n">
        <f aca="false">IF(AND(03_FRFデータ貼付!B62&lt;&gt;"",03_FRFデータ貼付!C62&lt;&gt;"",03_FRFデータ貼付!D62&lt;&gt;""),1,0)</f>
        <v>0</v>
      </c>
      <c r="D65" s="71" t="n">
        <f aca="false">IF($C65=0,0,03_FRFデータ貼付!H62)</f>
        <v>0</v>
      </c>
      <c r="E65" s="71" t="n">
        <f aca="false">IF($C65=0,0,03_FRFデータ貼付!I62)</f>
        <v>0</v>
      </c>
      <c r="F65" s="71" t="n">
        <f aca="false">IF($C65=0,0,03_FRFデータ貼付!J62)</f>
        <v>0</v>
      </c>
      <c r="G65" s="71" t="n">
        <f aca="false">$C65*1</f>
        <v>0</v>
      </c>
      <c r="H65" s="71" t="n">
        <f aca="false">0</f>
        <v>0</v>
      </c>
      <c r="I65" s="71" t="n">
        <f aca="false">-$C65*$D65^2</f>
        <v>-0</v>
      </c>
      <c r="J65" s="71" t="n">
        <f aca="false">0</f>
        <v>0</v>
      </c>
      <c r="K65" s="71" t="n">
        <f aca="false">-$C65*$E65</f>
        <v>-0</v>
      </c>
      <c r="L65" s="71" t="n">
        <f aca="false">$C65*$D65*$F65</f>
        <v>0</v>
      </c>
      <c r="M65" s="71" t="n">
        <f aca="false">$C65*$D65^2*$E65</f>
        <v>0</v>
      </c>
      <c r="N65" s="71" t="n">
        <f aca="false">-$C65*$D65^3*$F65</f>
        <v>-0</v>
      </c>
      <c r="O65" s="71" t="n">
        <f aca="false">$C65*$D65^4*$E65</f>
        <v>0</v>
      </c>
      <c r="P65" s="2"/>
      <c r="Q65" s="2"/>
    </row>
    <row r="66" customFormat="false" ht="15" hidden="false" customHeight="false" outlineLevel="0" collapsed="false">
      <c r="A66" s="95" t="str">
        <f aca="false">"実部"</f>
        <v>実部</v>
      </c>
      <c r="B66" s="88" t="str">
        <f aca="false">IF(03_FRFデータ貼付!B63="","",03_FRFデータ貼付!A63)</f>
        <v/>
      </c>
      <c r="C66" s="88" t="n">
        <f aca="false">IF(AND(03_FRFデータ貼付!B63&lt;&gt;"",03_FRFデータ貼付!C63&lt;&gt;"",03_FRFデータ貼付!D63&lt;&gt;""),1,0)</f>
        <v>0</v>
      </c>
      <c r="D66" s="71" t="n">
        <f aca="false">IF($C66=0,0,03_FRFデータ貼付!H63)</f>
        <v>0</v>
      </c>
      <c r="E66" s="71" t="n">
        <f aca="false">IF($C66=0,0,03_FRFデータ貼付!I63)</f>
        <v>0</v>
      </c>
      <c r="F66" s="71" t="n">
        <f aca="false">IF($C66=0,0,03_FRFデータ貼付!J63)</f>
        <v>0</v>
      </c>
      <c r="G66" s="71" t="n">
        <f aca="false">$C66*1</f>
        <v>0</v>
      </c>
      <c r="H66" s="71" t="n">
        <f aca="false">0</f>
        <v>0</v>
      </c>
      <c r="I66" s="71" t="n">
        <f aca="false">-$C66*$D66^2</f>
        <v>-0</v>
      </c>
      <c r="J66" s="71" t="n">
        <f aca="false">0</f>
        <v>0</v>
      </c>
      <c r="K66" s="71" t="n">
        <f aca="false">-$C66*$E66</f>
        <v>-0</v>
      </c>
      <c r="L66" s="71" t="n">
        <f aca="false">$C66*$D66*$F66</f>
        <v>0</v>
      </c>
      <c r="M66" s="71" t="n">
        <f aca="false">$C66*$D66^2*$E66</f>
        <v>0</v>
      </c>
      <c r="N66" s="71" t="n">
        <f aca="false">-$C66*$D66^3*$F66</f>
        <v>-0</v>
      </c>
      <c r="O66" s="71" t="n">
        <f aca="false">$C66*$D66^4*$E66</f>
        <v>0</v>
      </c>
      <c r="P66" s="2"/>
      <c r="Q66" s="2"/>
    </row>
    <row r="67" customFormat="false" ht="15" hidden="false" customHeight="false" outlineLevel="0" collapsed="false">
      <c r="A67" s="95" t="str">
        <f aca="false">"実部"</f>
        <v>実部</v>
      </c>
      <c r="B67" s="88" t="str">
        <f aca="false">IF(03_FRFデータ貼付!B64="","",03_FRFデータ貼付!A64)</f>
        <v/>
      </c>
      <c r="C67" s="88" t="n">
        <f aca="false">IF(AND(03_FRFデータ貼付!B64&lt;&gt;"",03_FRFデータ貼付!C64&lt;&gt;"",03_FRFデータ貼付!D64&lt;&gt;""),1,0)</f>
        <v>0</v>
      </c>
      <c r="D67" s="71" t="n">
        <f aca="false">IF($C67=0,0,03_FRFデータ貼付!H64)</f>
        <v>0</v>
      </c>
      <c r="E67" s="71" t="n">
        <f aca="false">IF($C67=0,0,03_FRFデータ貼付!I64)</f>
        <v>0</v>
      </c>
      <c r="F67" s="71" t="n">
        <f aca="false">IF($C67=0,0,03_FRFデータ貼付!J64)</f>
        <v>0</v>
      </c>
      <c r="G67" s="71" t="n">
        <f aca="false">$C67*1</f>
        <v>0</v>
      </c>
      <c r="H67" s="71" t="n">
        <f aca="false">0</f>
        <v>0</v>
      </c>
      <c r="I67" s="71" t="n">
        <f aca="false">-$C67*$D67^2</f>
        <v>-0</v>
      </c>
      <c r="J67" s="71" t="n">
        <f aca="false">0</f>
        <v>0</v>
      </c>
      <c r="K67" s="71" t="n">
        <f aca="false">-$C67*$E67</f>
        <v>-0</v>
      </c>
      <c r="L67" s="71" t="n">
        <f aca="false">$C67*$D67*$F67</f>
        <v>0</v>
      </c>
      <c r="M67" s="71" t="n">
        <f aca="false">$C67*$D67^2*$E67</f>
        <v>0</v>
      </c>
      <c r="N67" s="71" t="n">
        <f aca="false">-$C67*$D67^3*$F67</f>
        <v>-0</v>
      </c>
      <c r="O67" s="71" t="n">
        <f aca="false">$C67*$D67^4*$E67</f>
        <v>0</v>
      </c>
      <c r="P67" s="2"/>
      <c r="Q67" s="2"/>
    </row>
    <row r="68" customFormat="false" ht="15" hidden="false" customHeight="false" outlineLevel="0" collapsed="false">
      <c r="A68" s="95" t="str">
        <f aca="false">"実部"</f>
        <v>実部</v>
      </c>
      <c r="B68" s="88" t="str">
        <f aca="false">IF(03_FRFデータ貼付!B65="","",03_FRFデータ貼付!A65)</f>
        <v/>
      </c>
      <c r="C68" s="88" t="n">
        <f aca="false">IF(AND(03_FRFデータ貼付!B65&lt;&gt;"",03_FRFデータ貼付!C65&lt;&gt;"",03_FRFデータ貼付!D65&lt;&gt;""),1,0)</f>
        <v>0</v>
      </c>
      <c r="D68" s="71" t="n">
        <f aca="false">IF($C68=0,0,03_FRFデータ貼付!H65)</f>
        <v>0</v>
      </c>
      <c r="E68" s="71" t="n">
        <f aca="false">IF($C68=0,0,03_FRFデータ貼付!I65)</f>
        <v>0</v>
      </c>
      <c r="F68" s="71" t="n">
        <f aca="false">IF($C68=0,0,03_FRFデータ貼付!J65)</f>
        <v>0</v>
      </c>
      <c r="G68" s="71" t="n">
        <f aca="false">$C68*1</f>
        <v>0</v>
      </c>
      <c r="H68" s="71" t="n">
        <f aca="false">0</f>
        <v>0</v>
      </c>
      <c r="I68" s="71" t="n">
        <f aca="false">-$C68*$D68^2</f>
        <v>-0</v>
      </c>
      <c r="J68" s="71" t="n">
        <f aca="false">0</f>
        <v>0</v>
      </c>
      <c r="K68" s="71" t="n">
        <f aca="false">-$C68*$E68</f>
        <v>-0</v>
      </c>
      <c r="L68" s="71" t="n">
        <f aca="false">$C68*$D68*$F68</f>
        <v>0</v>
      </c>
      <c r="M68" s="71" t="n">
        <f aca="false">$C68*$D68^2*$E68</f>
        <v>0</v>
      </c>
      <c r="N68" s="71" t="n">
        <f aca="false">-$C68*$D68^3*$F68</f>
        <v>-0</v>
      </c>
      <c r="O68" s="71" t="n">
        <f aca="false">$C68*$D68^4*$E68</f>
        <v>0</v>
      </c>
      <c r="P68" s="2"/>
      <c r="Q68" s="2"/>
    </row>
    <row r="69" customFormat="false" ht="15" hidden="false" customHeight="false" outlineLevel="0" collapsed="false">
      <c r="A69" s="95" t="str">
        <f aca="false">"実部"</f>
        <v>実部</v>
      </c>
      <c r="B69" s="88" t="str">
        <f aca="false">IF(03_FRFデータ貼付!B66="","",03_FRFデータ貼付!A66)</f>
        <v/>
      </c>
      <c r="C69" s="88" t="n">
        <f aca="false">IF(AND(03_FRFデータ貼付!B66&lt;&gt;"",03_FRFデータ貼付!C66&lt;&gt;"",03_FRFデータ貼付!D66&lt;&gt;""),1,0)</f>
        <v>0</v>
      </c>
      <c r="D69" s="71" t="n">
        <f aca="false">IF($C69=0,0,03_FRFデータ貼付!H66)</f>
        <v>0</v>
      </c>
      <c r="E69" s="71" t="n">
        <f aca="false">IF($C69=0,0,03_FRFデータ貼付!I66)</f>
        <v>0</v>
      </c>
      <c r="F69" s="71" t="n">
        <f aca="false">IF($C69=0,0,03_FRFデータ貼付!J66)</f>
        <v>0</v>
      </c>
      <c r="G69" s="71" t="n">
        <f aca="false">$C69*1</f>
        <v>0</v>
      </c>
      <c r="H69" s="71" t="n">
        <f aca="false">0</f>
        <v>0</v>
      </c>
      <c r="I69" s="71" t="n">
        <f aca="false">-$C69*$D69^2</f>
        <v>-0</v>
      </c>
      <c r="J69" s="71" t="n">
        <f aca="false">0</f>
        <v>0</v>
      </c>
      <c r="K69" s="71" t="n">
        <f aca="false">-$C69*$E69</f>
        <v>-0</v>
      </c>
      <c r="L69" s="71" t="n">
        <f aca="false">$C69*$D69*$F69</f>
        <v>0</v>
      </c>
      <c r="M69" s="71" t="n">
        <f aca="false">$C69*$D69^2*$E69</f>
        <v>0</v>
      </c>
      <c r="N69" s="71" t="n">
        <f aca="false">-$C69*$D69^3*$F69</f>
        <v>-0</v>
      </c>
      <c r="O69" s="71" t="n">
        <f aca="false">$C69*$D69^4*$E69</f>
        <v>0</v>
      </c>
      <c r="P69" s="2"/>
      <c r="Q69" s="2"/>
    </row>
    <row r="70" customFormat="false" ht="15" hidden="false" customHeight="false" outlineLevel="0" collapsed="false">
      <c r="A70" s="95" t="str">
        <f aca="false">"実部"</f>
        <v>実部</v>
      </c>
      <c r="B70" s="88" t="str">
        <f aca="false">IF(03_FRFデータ貼付!B67="","",03_FRFデータ貼付!A67)</f>
        <v/>
      </c>
      <c r="C70" s="88" t="n">
        <f aca="false">IF(AND(03_FRFデータ貼付!B67&lt;&gt;"",03_FRFデータ貼付!C67&lt;&gt;"",03_FRFデータ貼付!D67&lt;&gt;""),1,0)</f>
        <v>0</v>
      </c>
      <c r="D70" s="71" t="n">
        <f aca="false">IF($C70=0,0,03_FRFデータ貼付!H67)</f>
        <v>0</v>
      </c>
      <c r="E70" s="71" t="n">
        <f aca="false">IF($C70=0,0,03_FRFデータ貼付!I67)</f>
        <v>0</v>
      </c>
      <c r="F70" s="71" t="n">
        <f aca="false">IF($C70=0,0,03_FRFデータ貼付!J67)</f>
        <v>0</v>
      </c>
      <c r="G70" s="71" t="n">
        <f aca="false">$C70*1</f>
        <v>0</v>
      </c>
      <c r="H70" s="71" t="n">
        <f aca="false">0</f>
        <v>0</v>
      </c>
      <c r="I70" s="71" t="n">
        <f aca="false">-$C70*$D70^2</f>
        <v>-0</v>
      </c>
      <c r="J70" s="71" t="n">
        <f aca="false">0</f>
        <v>0</v>
      </c>
      <c r="K70" s="71" t="n">
        <f aca="false">-$C70*$E70</f>
        <v>-0</v>
      </c>
      <c r="L70" s="71" t="n">
        <f aca="false">$C70*$D70*$F70</f>
        <v>0</v>
      </c>
      <c r="M70" s="71" t="n">
        <f aca="false">$C70*$D70^2*$E70</f>
        <v>0</v>
      </c>
      <c r="N70" s="71" t="n">
        <f aca="false">-$C70*$D70^3*$F70</f>
        <v>-0</v>
      </c>
      <c r="O70" s="71" t="n">
        <f aca="false">$C70*$D70^4*$E70</f>
        <v>0</v>
      </c>
      <c r="P70" s="2"/>
      <c r="Q70" s="2"/>
    </row>
    <row r="71" customFormat="false" ht="15" hidden="false" customHeight="false" outlineLevel="0" collapsed="false">
      <c r="A71" s="95" t="str">
        <f aca="false">"実部"</f>
        <v>実部</v>
      </c>
      <c r="B71" s="88" t="str">
        <f aca="false">IF(03_FRFデータ貼付!B68="","",03_FRFデータ貼付!A68)</f>
        <v/>
      </c>
      <c r="C71" s="88" t="n">
        <f aca="false">IF(AND(03_FRFデータ貼付!B68&lt;&gt;"",03_FRFデータ貼付!C68&lt;&gt;"",03_FRFデータ貼付!D68&lt;&gt;""),1,0)</f>
        <v>0</v>
      </c>
      <c r="D71" s="71" t="n">
        <f aca="false">IF($C71=0,0,03_FRFデータ貼付!H68)</f>
        <v>0</v>
      </c>
      <c r="E71" s="71" t="n">
        <f aca="false">IF($C71=0,0,03_FRFデータ貼付!I68)</f>
        <v>0</v>
      </c>
      <c r="F71" s="71" t="n">
        <f aca="false">IF($C71=0,0,03_FRFデータ貼付!J68)</f>
        <v>0</v>
      </c>
      <c r="G71" s="71" t="n">
        <f aca="false">$C71*1</f>
        <v>0</v>
      </c>
      <c r="H71" s="71" t="n">
        <f aca="false">0</f>
        <v>0</v>
      </c>
      <c r="I71" s="71" t="n">
        <f aca="false">-$C71*$D71^2</f>
        <v>-0</v>
      </c>
      <c r="J71" s="71" t="n">
        <f aca="false">0</f>
        <v>0</v>
      </c>
      <c r="K71" s="71" t="n">
        <f aca="false">-$C71*$E71</f>
        <v>-0</v>
      </c>
      <c r="L71" s="71" t="n">
        <f aca="false">$C71*$D71*$F71</f>
        <v>0</v>
      </c>
      <c r="M71" s="71" t="n">
        <f aca="false">$C71*$D71^2*$E71</f>
        <v>0</v>
      </c>
      <c r="N71" s="71" t="n">
        <f aca="false">-$C71*$D71^3*$F71</f>
        <v>-0</v>
      </c>
      <c r="O71" s="71" t="n">
        <f aca="false">$C71*$D71^4*$E71</f>
        <v>0</v>
      </c>
      <c r="P71" s="2"/>
      <c r="Q71" s="2"/>
    </row>
    <row r="72" customFormat="false" ht="15" hidden="false" customHeight="false" outlineLevel="0" collapsed="false">
      <c r="A72" s="95" t="str">
        <f aca="false">"実部"</f>
        <v>実部</v>
      </c>
      <c r="B72" s="88" t="str">
        <f aca="false">IF(03_FRFデータ貼付!B69="","",03_FRFデータ貼付!A69)</f>
        <v/>
      </c>
      <c r="C72" s="88" t="n">
        <f aca="false">IF(AND(03_FRFデータ貼付!B69&lt;&gt;"",03_FRFデータ貼付!C69&lt;&gt;"",03_FRFデータ貼付!D69&lt;&gt;""),1,0)</f>
        <v>0</v>
      </c>
      <c r="D72" s="71" t="n">
        <f aca="false">IF($C72=0,0,03_FRFデータ貼付!H69)</f>
        <v>0</v>
      </c>
      <c r="E72" s="71" t="n">
        <f aca="false">IF($C72=0,0,03_FRFデータ貼付!I69)</f>
        <v>0</v>
      </c>
      <c r="F72" s="71" t="n">
        <f aca="false">IF($C72=0,0,03_FRFデータ貼付!J69)</f>
        <v>0</v>
      </c>
      <c r="G72" s="71" t="n">
        <f aca="false">$C72*1</f>
        <v>0</v>
      </c>
      <c r="H72" s="71" t="n">
        <f aca="false">0</f>
        <v>0</v>
      </c>
      <c r="I72" s="71" t="n">
        <f aca="false">-$C72*$D72^2</f>
        <v>-0</v>
      </c>
      <c r="J72" s="71" t="n">
        <f aca="false">0</f>
        <v>0</v>
      </c>
      <c r="K72" s="71" t="n">
        <f aca="false">-$C72*$E72</f>
        <v>-0</v>
      </c>
      <c r="L72" s="71" t="n">
        <f aca="false">$C72*$D72*$F72</f>
        <v>0</v>
      </c>
      <c r="M72" s="71" t="n">
        <f aca="false">$C72*$D72^2*$E72</f>
        <v>0</v>
      </c>
      <c r="N72" s="71" t="n">
        <f aca="false">-$C72*$D72^3*$F72</f>
        <v>-0</v>
      </c>
      <c r="O72" s="71" t="n">
        <f aca="false">$C72*$D72^4*$E72</f>
        <v>0</v>
      </c>
      <c r="P72" s="2"/>
      <c r="Q72" s="2"/>
    </row>
    <row r="73" customFormat="false" ht="15" hidden="false" customHeight="false" outlineLevel="0" collapsed="false">
      <c r="A73" s="95" t="str">
        <f aca="false">"実部"</f>
        <v>実部</v>
      </c>
      <c r="B73" s="88" t="str">
        <f aca="false">IF(03_FRFデータ貼付!B70="","",03_FRFデータ貼付!A70)</f>
        <v/>
      </c>
      <c r="C73" s="88" t="n">
        <f aca="false">IF(AND(03_FRFデータ貼付!B70&lt;&gt;"",03_FRFデータ貼付!C70&lt;&gt;"",03_FRFデータ貼付!D70&lt;&gt;""),1,0)</f>
        <v>0</v>
      </c>
      <c r="D73" s="71" t="n">
        <f aca="false">IF($C73=0,0,03_FRFデータ貼付!H70)</f>
        <v>0</v>
      </c>
      <c r="E73" s="71" t="n">
        <f aca="false">IF($C73=0,0,03_FRFデータ貼付!I70)</f>
        <v>0</v>
      </c>
      <c r="F73" s="71" t="n">
        <f aca="false">IF($C73=0,0,03_FRFデータ貼付!J70)</f>
        <v>0</v>
      </c>
      <c r="G73" s="71" t="n">
        <f aca="false">$C73*1</f>
        <v>0</v>
      </c>
      <c r="H73" s="71" t="n">
        <f aca="false">0</f>
        <v>0</v>
      </c>
      <c r="I73" s="71" t="n">
        <f aca="false">-$C73*$D73^2</f>
        <v>-0</v>
      </c>
      <c r="J73" s="71" t="n">
        <f aca="false">0</f>
        <v>0</v>
      </c>
      <c r="K73" s="71" t="n">
        <f aca="false">-$C73*$E73</f>
        <v>-0</v>
      </c>
      <c r="L73" s="71" t="n">
        <f aca="false">$C73*$D73*$F73</f>
        <v>0</v>
      </c>
      <c r="M73" s="71" t="n">
        <f aca="false">$C73*$D73^2*$E73</f>
        <v>0</v>
      </c>
      <c r="N73" s="71" t="n">
        <f aca="false">-$C73*$D73^3*$F73</f>
        <v>-0</v>
      </c>
      <c r="O73" s="71" t="n">
        <f aca="false">$C73*$D73^4*$E73</f>
        <v>0</v>
      </c>
      <c r="P73" s="2"/>
      <c r="Q73" s="2"/>
    </row>
    <row r="74" customFormat="false" ht="15" hidden="false" customHeight="false" outlineLevel="0" collapsed="false">
      <c r="A74" s="95" t="str">
        <f aca="false">"実部"</f>
        <v>実部</v>
      </c>
      <c r="B74" s="88" t="str">
        <f aca="false">IF(03_FRFデータ貼付!B71="","",03_FRFデータ貼付!A71)</f>
        <v/>
      </c>
      <c r="C74" s="88" t="n">
        <f aca="false">IF(AND(03_FRFデータ貼付!B71&lt;&gt;"",03_FRFデータ貼付!C71&lt;&gt;"",03_FRFデータ貼付!D71&lt;&gt;""),1,0)</f>
        <v>0</v>
      </c>
      <c r="D74" s="71" t="n">
        <f aca="false">IF($C74=0,0,03_FRFデータ貼付!H71)</f>
        <v>0</v>
      </c>
      <c r="E74" s="71" t="n">
        <f aca="false">IF($C74=0,0,03_FRFデータ貼付!I71)</f>
        <v>0</v>
      </c>
      <c r="F74" s="71" t="n">
        <f aca="false">IF($C74=0,0,03_FRFデータ貼付!J71)</f>
        <v>0</v>
      </c>
      <c r="G74" s="71" t="n">
        <f aca="false">$C74*1</f>
        <v>0</v>
      </c>
      <c r="H74" s="71" t="n">
        <f aca="false">0</f>
        <v>0</v>
      </c>
      <c r="I74" s="71" t="n">
        <f aca="false">-$C74*$D74^2</f>
        <v>-0</v>
      </c>
      <c r="J74" s="71" t="n">
        <f aca="false">0</f>
        <v>0</v>
      </c>
      <c r="K74" s="71" t="n">
        <f aca="false">-$C74*$E74</f>
        <v>-0</v>
      </c>
      <c r="L74" s="71" t="n">
        <f aca="false">$C74*$D74*$F74</f>
        <v>0</v>
      </c>
      <c r="M74" s="71" t="n">
        <f aca="false">$C74*$D74^2*$E74</f>
        <v>0</v>
      </c>
      <c r="N74" s="71" t="n">
        <f aca="false">-$C74*$D74^3*$F74</f>
        <v>-0</v>
      </c>
      <c r="O74" s="71" t="n">
        <f aca="false">$C74*$D74^4*$E74</f>
        <v>0</v>
      </c>
      <c r="P74" s="2"/>
      <c r="Q74" s="2"/>
    </row>
    <row r="75" customFormat="false" ht="15" hidden="false" customHeight="false" outlineLevel="0" collapsed="false">
      <c r="A75" s="95" t="str">
        <f aca="false">"実部"</f>
        <v>実部</v>
      </c>
      <c r="B75" s="88" t="str">
        <f aca="false">IF(03_FRFデータ貼付!B72="","",03_FRFデータ貼付!A72)</f>
        <v/>
      </c>
      <c r="C75" s="88" t="n">
        <f aca="false">IF(AND(03_FRFデータ貼付!B72&lt;&gt;"",03_FRFデータ貼付!C72&lt;&gt;"",03_FRFデータ貼付!D72&lt;&gt;""),1,0)</f>
        <v>0</v>
      </c>
      <c r="D75" s="71" t="n">
        <f aca="false">IF($C75=0,0,03_FRFデータ貼付!H72)</f>
        <v>0</v>
      </c>
      <c r="E75" s="71" t="n">
        <f aca="false">IF($C75=0,0,03_FRFデータ貼付!I72)</f>
        <v>0</v>
      </c>
      <c r="F75" s="71" t="n">
        <f aca="false">IF($C75=0,0,03_FRFデータ貼付!J72)</f>
        <v>0</v>
      </c>
      <c r="G75" s="71" t="n">
        <f aca="false">$C75*1</f>
        <v>0</v>
      </c>
      <c r="H75" s="71" t="n">
        <f aca="false">0</f>
        <v>0</v>
      </c>
      <c r="I75" s="71" t="n">
        <f aca="false">-$C75*$D75^2</f>
        <v>-0</v>
      </c>
      <c r="J75" s="71" t="n">
        <f aca="false">0</f>
        <v>0</v>
      </c>
      <c r="K75" s="71" t="n">
        <f aca="false">-$C75*$E75</f>
        <v>-0</v>
      </c>
      <c r="L75" s="71" t="n">
        <f aca="false">$C75*$D75*$F75</f>
        <v>0</v>
      </c>
      <c r="M75" s="71" t="n">
        <f aca="false">$C75*$D75^2*$E75</f>
        <v>0</v>
      </c>
      <c r="N75" s="71" t="n">
        <f aca="false">-$C75*$D75^3*$F75</f>
        <v>-0</v>
      </c>
      <c r="O75" s="71" t="n">
        <f aca="false">$C75*$D75^4*$E75</f>
        <v>0</v>
      </c>
      <c r="P75" s="2"/>
      <c r="Q75" s="2"/>
    </row>
    <row r="76" customFormat="false" ht="15" hidden="false" customHeight="false" outlineLevel="0" collapsed="false">
      <c r="A76" s="95" t="str">
        <f aca="false">"実部"</f>
        <v>実部</v>
      </c>
      <c r="B76" s="88" t="str">
        <f aca="false">IF(03_FRFデータ貼付!B73="","",03_FRFデータ貼付!A73)</f>
        <v/>
      </c>
      <c r="C76" s="88" t="n">
        <f aca="false">IF(AND(03_FRFデータ貼付!B73&lt;&gt;"",03_FRFデータ貼付!C73&lt;&gt;"",03_FRFデータ貼付!D73&lt;&gt;""),1,0)</f>
        <v>0</v>
      </c>
      <c r="D76" s="71" t="n">
        <f aca="false">IF($C76=0,0,03_FRFデータ貼付!H73)</f>
        <v>0</v>
      </c>
      <c r="E76" s="71" t="n">
        <f aca="false">IF($C76=0,0,03_FRFデータ貼付!I73)</f>
        <v>0</v>
      </c>
      <c r="F76" s="71" t="n">
        <f aca="false">IF($C76=0,0,03_FRFデータ貼付!J73)</f>
        <v>0</v>
      </c>
      <c r="G76" s="71" t="n">
        <f aca="false">$C76*1</f>
        <v>0</v>
      </c>
      <c r="H76" s="71" t="n">
        <f aca="false">0</f>
        <v>0</v>
      </c>
      <c r="I76" s="71" t="n">
        <f aca="false">-$C76*$D76^2</f>
        <v>-0</v>
      </c>
      <c r="J76" s="71" t="n">
        <f aca="false">0</f>
        <v>0</v>
      </c>
      <c r="K76" s="71" t="n">
        <f aca="false">-$C76*$E76</f>
        <v>-0</v>
      </c>
      <c r="L76" s="71" t="n">
        <f aca="false">$C76*$D76*$F76</f>
        <v>0</v>
      </c>
      <c r="M76" s="71" t="n">
        <f aca="false">$C76*$D76^2*$E76</f>
        <v>0</v>
      </c>
      <c r="N76" s="71" t="n">
        <f aca="false">-$C76*$D76^3*$F76</f>
        <v>-0</v>
      </c>
      <c r="O76" s="71" t="n">
        <f aca="false">$C76*$D76^4*$E76</f>
        <v>0</v>
      </c>
      <c r="P76" s="2"/>
      <c r="Q76" s="2"/>
    </row>
    <row r="77" customFormat="false" ht="15" hidden="false" customHeight="false" outlineLevel="0" collapsed="false">
      <c r="A77" s="95" t="str">
        <f aca="false">"実部"</f>
        <v>実部</v>
      </c>
      <c r="B77" s="88" t="str">
        <f aca="false">IF(03_FRFデータ貼付!B74="","",03_FRFデータ貼付!A74)</f>
        <v/>
      </c>
      <c r="C77" s="88" t="n">
        <f aca="false">IF(AND(03_FRFデータ貼付!B74&lt;&gt;"",03_FRFデータ貼付!C74&lt;&gt;"",03_FRFデータ貼付!D74&lt;&gt;""),1,0)</f>
        <v>0</v>
      </c>
      <c r="D77" s="71" t="n">
        <f aca="false">IF($C77=0,0,03_FRFデータ貼付!H74)</f>
        <v>0</v>
      </c>
      <c r="E77" s="71" t="n">
        <f aca="false">IF($C77=0,0,03_FRFデータ貼付!I74)</f>
        <v>0</v>
      </c>
      <c r="F77" s="71" t="n">
        <f aca="false">IF($C77=0,0,03_FRFデータ貼付!J74)</f>
        <v>0</v>
      </c>
      <c r="G77" s="71" t="n">
        <f aca="false">$C77*1</f>
        <v>0</v>
      </c>
      <c r="H77" s="71" t="n">
        <f aca="false">0</f>
        <v>0</v>
      </c>
      <c r="I77" s="71" t="n">
        <f aca="false">-$C77*$D77^2</f>
        <v>-0</v>
      </c>
      <c r="J77" s="71" t="n">
        <f aca="false">0</f>
        <v>0</v>
      </c>
      <c r="K77" s="71" t="n">
        <f aca="false">-$C77*$E77</f>
        <v>-0</v>
      </c>
      <c r="L77" s="71" t="n">
        <f aca="false">$C77*$D77*$F77</f>
        <v>0</v>
      </c>
      <c r="M77" s="71" t="n">
        <f aca="false">$C77*$D77^2*$E77</f>
        <v>0</v>
      </c>
      <c r="N77" s="71" t="n">
        <f aca="false">-$C77*$D77^3*$F77</f>
        <v>-0</v>
      </c>
      <c r="O77" s="71" t="n">
        <f aca="false">$C77*$D77^4*$E77</f>
        <v>0</v>
      </c>
      <c r="P77" s="2"/>
      <c r="Q77" s="2"/>
    </row>
    <row r="78" customFormat="false" ht="15" hidden="false" customHeight="false" outlineLevel="0" collapsed="false">
      <c r="A78" s="95" t="str">
        <f aca="false">"実部"</f>
        <v>実部</v>
      </c>
      <c r="B78" s="88" t="str">
        <f aca="false">IF(03_FRFデータ貼付!B75="","",03_FRFデータ貼付!A75)</f>
        <v/>
      </c>
      <c r="C78" s="88" t="n">
        <f aca="false">IF(AND(03_FRFデータ貼付!B75&lt;&gt;"",03_FRFデータ貼付!C75&lt;&gt;"",03_FRFデータ貼付!D75&lt;&gt;""),1,0)</f>
        <v>0</v>
      </c>
      <c r="D78" s="71" t="n">
        <f aca="false">IF($C78=0,0,03_FRFデータ貼付!H75)</f>
        <v>0</v>
      </c>
      <c r="E78" s="71" t="n">
        <f aca="false">IF($C78=0,0,03_FRFデータ貼付!I75)</f>
        <v>0</v>
      </c>
      <c r="F78" s="71" t="n">
        <f aca="false">IF($C78=0,0,03_FRFデータ貼付!J75)</f>
        <v>0</v>
      </c>
      <c r="G78" s="71" t="n">
        <f aca="false">$C78*1</f>
        <v>0</v>
      </c>
      <c r="H78" s="71" t="n">
        <f aca="false">0</f>
        <v>0</v>
      </c>
      <c r="I78" s="71" t="n">
        <f aca="false">-$C78*$D78^2</f>
        <v>-0</v>
      </c>
      <c r="J78" s="71" t="n">
        <f aca="false">0</f>
        <v>0</v>
      </c>
      <c r="K78" s="71" t="n">
        <f aca="false">-$C78*$E78</f>
        <v>-0</v>
      </c>
      <c r="L78" s="71" t="n">
        <f aca="false">$C78*$D78*$F78</f>
        <v>0</v>
      </c>
      <c r="M78" s="71" t="n">
        <f aca="false">$C78*$D78^2*$E78</f>
        <v>0</v>
      </c>
      <c r="N78" s="71" t="n">
        <f aca="false">-$C78*$D78^3*$F78</f>
        <v>-0</v>
      </c>
      <c r="O78" s="71" t="n">
        <f aca="false">$C78*$D78^4*$E78</f>
        <v>0</v>
      </c>
      <c r="P78" s="2"/>
      <c r="Q78" s="2"/>
    </row>
    <row r="79" customFormat="false" ht="15" hidden="false" customHeight="false" outlineLevel="0" collapsed="false">
      <c r="A79" s="95" t="str">
        <f aca="false">"実部"</f>
        <v>実部</v>
      </c>
      <c r="B79" s="88" t="str">
        <f aca="false">IF(03_FRFデータ貼付!B76="","",03_FRFデータ貼付!A76)</f>
        <v/>
      </c>
      <c r="C79" s="88" t="n">
        <f aca="false">IF(AND(03_FRFデータ貼付!B76&lt;&gt;"",03_FRFデータ貼付!C76&lt;&gt;"",03_FRFデータ貼付!D76&lt;&gt;""),1,0)</f>
        <v>0</v>
      </c>
      <c r="D79" s="71" t="n">
        <f aca="false">IF($C79=0,0,03_FRFデータ貼付!H76)</f>
        <v>0</v>
      </c>
      <c r="E79" s="71" t="n">
        <f aca="false">IF($C79=0,0,03_FRFデータ貼付!I76)</f>
        <v>0</v>
      </c>
      <c r="F79" s="71" t="n">
        <f aca="false">IF($C79=0,0,03_FRFデータ貼付!J76)</f>
        <v>0</v>
      </c>
      <c r="G79" s="71" t="n">
        <f aca="false">$C79*1</f>
        <v>0</v>
      </c>
      <c r="H79" s="71" t="n">
        <f aca="false">0</f>
        <v>0</v>
      </c>
      <c r="I79" s="71" t="n">
        <f aca="false">-$C79*$D79^2</f>
        <v>-0</v>
      </c>
      <c r="J79" s="71" t="n">
        <f aca="false">0</f>
        <v>0</v>
      </c>
      <c r="K79" s="71" t="n">
        <f aca="false">-$C79*$E79</f>
        <v>-0</v>
      </c>
      <c r="L79" s="71" t="n">
        <f aca="false">$C79*$D79*$F79</f>
        <v>0</v>
      </c>
      <c r="M79" s="71" t="n">
        <f aca="false">$C79*$D79^2*$E79</f>
        <v>0</v>
      </c>
      <c r="N79" s="71" t="n">
        <f aca="false">-$C79*$D79^3*$F79</f>
        <v>-0</v>
      </c>
      <c r="O79" s="71" t="n">
        <f aca="false">$C79*$D79^4*$E79</f>
        <v>0</v>
      </c>
      <c r="P79" s="2"/>
      <c r="Q79" s="2"/>
    </row>
    <row r="80" customFormat="false" ht="15" hidden="false" customHeight="false" outlineLevel="0" collapsed="false">
      <c r="A80" s="95" t="str">
        <f aca="false">"実部"</f>
        <v>実部</v>
      </c>
      <c r="B80" s="88" t="str">
        <f aca="false">IF(03_FRFデータ貼付!B77="","",03_FRFデータ貼付!A77)</f>
        <v/>
      </c>
      <c r="C80" s="88" t="n">
        <f aca="false">IF(AND(03_FRFデータ貼付!B77&lt;&gt;"",03_FRFデータ貼付!C77&lt;&gt;"",03_FRFデータ貼付!D77&lt;&gt;""),1,0)</f>
        <v>0</v>
      </c>
      <c r="D80" s="71" t="n">
        <f aca="false">IF($C80=0,0,03_FRFデータ貼付!H77)</f>
        <v>0</v>
      </c>
      <c r="E80" s="71" t="n">
        <f aca="false">IF($C80=0,0,03_FRFデータ貼付!I77)</f>
        <v>0</v>
      </c>
      <c r="F80" s="71" t="n">
        <f aca="false">IF($C80=0,0,03_FRFデータ貼付!J77)</f>
        <v>0</v>
      </c>
      <c r="G80" s="71" t="n">
        <f aca="false">$C80*1</f>
        <v>0</v>
      </c>
      <c r="H80" s="71" t="n">
        <f aca="false">0</f>
        <v>0</v>
      </c>
      <c r="I80" s="71" t="n">
        <f aca="false">-$C80*$D80^2</f>
        <v>-0</v>
      </c>
      <c r="J80" s="71" t="n">
        <f aca="false">0</f>
        <v>0</v>
      </c>
      <c r="K80" s="71" t="n">
        <f aca="false">-$C80*$E80</f>
        <v>-0</v>
      </c>
      <c r="L80" s="71" t="n">
        <f aca="false">$C80*$D80*$F80</f>
        <v>0</v>
      </c>
      <c r="M80" s="71" t="n">
        <f aca="false">$C80*$D80^2*$E80</f>
        <v>0</v>
      </c>
      <c r="N80" s="71" t="n">
        <f aca="false">-$C80*$D80^3*$F80</f>
        <v>-0</v>
      </c>
      <c r="O80" s="71" t="n">
        <f aca="false">$C80*$D80^4*$E80</f>
        <v>0</v>
      </c>
      <c r="P80" s="2"/>
      <c r="Q80" s="2"/>
    </row>
    <row r="81" customFormat="false" ht="15" hidden="false" customHeight="false" outlineLevel="0" collapsed="false">
      <c r="A81" s="95" t="str">
        <f aca="false">"実部"</f>
        <v>実部</v>
      </c>
      <c r="B81" s="88" t="str">
        <f aca="false">IF(03_FRFデータ貼付!B78="","",03_FRFデータ貼付!A78)</f>
        <v/>
      </c>
      <c r="C81" s="88" t="n">
        <f aca="false">IF(AND(03_FRFデータ貼付!B78&lt;&gt;"",03_FRFデータ貼付!C78&lt;&gt;"",03_FRFデータ貼付!D78&lt;&gt;""),1,0)</f>
        <v>0</v>
      </c>
      <c r="D81" s="71" t="n">
        <f aca="false">IF($C81=0,0,03_FRFデータ貼付!H78)</f>
        <v>0</v>
      </c>
      <c r="E81" s="71" t="n">
        <f aca="false">IF($C81=0,0,03_FRFデータ貼付!I78)</f>
        <v>0</v>
      </c>
      <c r="F81" s="71" t="n">
        <f aca="false">IF($C81=0,0,03_FRFデータ貼付!J78)</f>
        <v>0</v>
      </c>
      <c r="G81" s="71" t="n">
        <f aca="false">$C81*1</f>
        <v>0</v>
      </c>
      <c r="H81" s="71" t="n">
        <f aca="false">0</f>
        <v>0</v>
      </c>
      <c r="I81" s="71" t="n">
        <f aca="false">-$C81*$D81^2</f>
        <v>-0</v>
      </c>
      <c r="J81" s="71" t="n">
        <f aca="false">0</f>
        <v>0</v>
      </c>
      <c r="K81" s="71" t="n">
        <f aca="false">-$C81*$E81</f>
        <v>-0</v>
      </c>
      <c r="L81" s="71" t="n">
        <f aca="false">$C81*$D81*$F81</f>
        <v>0</v>
      </c>
      <c r="M81" s="71" t="n">
        <f aca="false">$C81*$D81^2*$E81</f>
        <v>0</v>
      </c>
      <c r="N81" s="71" t="n">
        <f aca="false">-$C81*$D81^3*$F81</f>
        <v>-0</v>
      </c>
      <c r="O81" s="71" t="n">
        <f aca="false">$C81*$D81^4*$E81</f>
        <v>0</v>
      </c>
      <c r="P81" s="2"/>
      <c r="Q81" s="2"/>
    </row>
    <row r="82" customFormat="false" ht="15" hidden="false" customHeight="false" outlineLevel="0" collapsed="false">
      <c r="A82" s="95" t="str">
        <f aca="false">"実部"</f>
        <v>実部</v>
      </c>
      <c r="B82" s="88" t="str">
        <f aca="false">IF(03_FRFデータ貼付!B79="","",03_FRFデータ貼付!A79)</f>
        <v/>
      </c>
      <c r="C82" s="88" t="n">
        <f aca="false">IF(AND(03_FRFデータ貼付!B79&lt;&gt;"",03_FRFデータ貼付!C79&lt;&gt;"",03_FRFデータ貼付!D79&lt;&gt;""),1,0)</f>
        <v>0</v>
      </c>
      <c r="D82" s="71" t="n">
        <f aca="false">IF($C82=0,0,03_FRFデータ貼付!H79)</f>
        <v>0</v>
      </c>
      <c r="E82" s="71" t="n">
        <f aca="false">IF($C82=0,0,03_FRFデータ貼付!I79)</f>
        <v>0</v>
      </c>
      <c r="F82" s="71" t="n">
        <f aca="false">IF($C82=0,0,03_FRFデータ貼付!J79)</f>
        <v>0</v>
      </c>
      <c r="G82" s="71" t="n">
        <f aca="false">$C82*1</f>
        <v>0</v>
      </c>
      <c r="H82" s="71" t="n">
        <f aca="false">0</f>
        <v>0</v>
      </c>
      <c r="I82" s="71" t="n">
        <f aca="false">-$C82*$D82^2</f>
        <v>-0</v>
      </c>
      <c r="J82" s="71" t="n">
        <f aca="false">0</f>
        <v>0</v>
      </c>
      <c r="K82" s="71" t="n">
        <f aca="false">-$C82*$E82</f>
        <v>-0</v>
      </c>
      <c r="L82" s="71" t="n">
        <f aca="false">$C82*$D82*$F82</f>
        <v>0</v>
      </c>
      <c r="M82" s="71" t="n">
        <f aca="false">$C82*$D82^2*$E82</f>
        <v>0</v>
      </c>
      <c r="N82" s="71" t="n">
        <f aca="false">-$C82*$D82^3*$F82</f>
        <v>-0</v>
      </c>
      <c r="O82" s="71" t="n">
        <f aca="false">$C82*$D82^4*$E82</f>
        <v>0</v>
      </c>
      <c r="P82" s="2"/>
      <c r="Q82" s="2"/>
    </row>
    <row r="83" customFormat="false" ht="15" hidden="false" customHeight="false" outlineLevel="0" collapsed="false">
      <c r="A83" s="95" t="str">
        <f aca="false">"実部"</f>
        <v>実部</v>
      </c>
      <c r="B83" s="88" t="str">
        <f aca="false">IF(03_FRFデータ貼付!B80="","",03_FRFデータ貼付!A80)</f>
        <v/>
      </c>
      <c r="C83" s="88" t="n">
        <f aca="false">IF(AND(03_FRFデータ貼付!B80&lt;&gt;"",03_FRFデータ貼付!C80&lt;&gt;"",03_FRFデータ貼付!D80&lt;&gt;""),1,0)</f>
        <v>0</v>
      </c>
      <c r="D83" s="71" t="n">
        <f aca="false">IF($C83=0,0,03_FRFデータ貼付!H80)</f>
        <v>0</v>
      </c>
      <c r="E83" s="71" t="n">
        <f aca="false">IF($C83=0,0,03_FRFデータ貼付!I80)</f>
        <v>0</v>
      </c>
      <c r="F83" s="71" t="n">
        <f aca="false">IF($C83=0,0,03_FRFデータ貼付!J80)</f>
        <v>0</v>
      </c>
      <c r="G83" s="71" t="n">
        <f aca="false">$C83*1</f>
        <v>0</v>
      </c>
      <c r="H83" s="71" t="n">
        <f aca="false">0</f>
        <v>0</v>
      </c>
      <c r="I83" s="71" t="n">
        <f aca="false">-$C83*$D83^2</f>
        <v>-0</v>
      </c>
      <c r="J83" s="71" t="n">
        <f aca="false">0</f>
        <v>0</v>
      </c>
      <c r="K83" s="71" t="n">
        <f aca="false">-$C83*$E83</f>
        <v>-0</v>
      </c>
      <c r="L83" s="71" t="n">
        <f aca="false">$C83*$D83*$F83</f>
        <v>0</v>
      </c>
      <c r="M83" s="71" t="n">
        <f aca="false">$C83*$D83^2*$E83</f>
        <v>0</v>
      </c>
      <c r="N83" s="71" t="n">
        <f aca="false">-$C83*$D83^3*$F83</f>
        <v>-0</v>
      </c>
      <c r="O83" s="71" t="n">
        <f aca="false">$C83*$D83^4*$E83</f>
        <v>0</v>
      </c>
      <c r="P83" s="2"/>
      <c r="Q83" s="2"/>
    </row>
    <row r="84" customFormat="false" ht="15" hidden="false" customHeight="false" outlineLevel="0" collapsed="false">
      <c r="A84" s="95" t="str">
        <f aca="false">"実部"</f>
        <v>実部</v>
      </c>
      <c r="B84" s="88" t="str">
        <f aca="false">IF(03_FRFデータ貼付!B81="","",03_FRFデータ貼付!A81)</f>
        <v/>
      </c>
      <c r="C84" s="88" t="n">
        <f aca="false">IF(AND(03_FRFデータ貼付!B81&lt;&gt;"",03_FRFデータ貼付!C81&lt;&gt;"",03_FRFデータ貼付!D81&lt;&gt;""),1,0)</f>
        <v>0</v>
      </c>
      <c r="D84" s="71" t="n">
        <f aca="false">IF($C84=0,0,03_FRFデータ貼付!H81)</f>
        <v>0</v>
      </c>
      <c r="E84" s="71" t="n">
        <f aca="false">IF($C84=0,0,03_FRFデータ貼付!I81)</f>
        <v>0</v>
      </c>
      <c r="F84" s="71" t="n">
        <f aca="false">IF($C84=0,0,03_FRFデータ貼付!J81)</f>
        <v>0</v>
      </c>
      <c r="G84" s="71" t="n">
        <f aca="false">$C84*1</f>
        <v>0</v>
      </c>
      <c r="H84" s="71" t="n">
        <f aca="false">0</f>
        <v>0</v>
      </c>
      <c r="I84" s="71" t="n">
        <f aca="false">-$C84*$D84^2</f>
        <v>-0</v>
      </c>
      <c r="J84" s="71" t="n">
        <f aca="false">0</f>
        <v>0</v>
      </c>
      <c r="K84" s="71" t="n">
        <f aca="false">-$C84*$E84</f>
        <v>-0</v>
      </c>
      <c r="L84" s="71" t="n">
        <f aca="false">$C84*$D84*$F84</f>
        <v>0</v>
      </c>
      <c r="M84" s="71" t="n">
        <f aca="false">$C84*$D84^2*$E84</f>
        <v>0</v>
      </c>
      <c r="N84" s="71" t="n">
        <f aca="false">-$C84*$D84^3*$F84</f>
        <v>-0</v>
      </c>
      <c r="O84" s="71" t="n">
        <f aca="false">$C84*$D84^4*$E84</f>
        <v>0</v>
      </c>
      <c r="P84" s="2"/>
      <c r="Q84" s="2"/>
    </row>
    <row r="85" customFormat="false" ht="15" hidden="false" customHeight="false" outlineLevel="0" collapsed="false">
      <c r="A85" s="95" t="str">
        <f aca="false">"実部"</f>
        <v>実部</v>
      </c>
      <c r="B85" s="88" t="str">
        <f aca="false">IF(03_FRFデータ貼付!B82="","",03_FRFデータ貼付!A82)</f>
        <v/>
      </c>
      <c r="C85" s="88" t="n">
        <f aca="false">IF(AND(03_FRFデータ貼付!B82&lt;&gt;"",03_FRFデータ貼付!C82&lt;&gt;"",03_FRFデータ貼付!D82&lt;&gt;""),1,0)</f>
        <v>0</v>
      </c>
      <c r="D85" s="71" t="n">
        <f aca="false">IF($C85=0,0,03_FRFデータ貼付!H82)</f>
        <v>0</v>
      </c>
      <c r="E85" s="71" t="n">
        <f aca="false">IF($C85=0,0,03_FRFデータ貼付!I82)</f>
        <v>0</v>
      </c>
      <c r="F85" s="71" t="n">
        <f aca="false">IF($C85=0,0,03_FRFデータ貼付!J82)</f>
        <v>0</v>
      </c>
      <c r="G85" s="71" t="n">
        <f aca="false">$C85*1</f>
        <v>0</v>
      </c>
      <c r="H85" s="71" t="n">
        <f aca="false">0</f>
        <v>0</v>
      </c>
      <c r="I85" s="71" t="n">
        <f aca="false">-$C85*$D85^2</f>
        <v>-0</v>
      </c>
      <c r="J85" s="71" t="n">
        <f aca="false">0</f>
        <v>0</v>
      </c>
      <c r="K85" s="71" t="n">
        <f aca="false">-$C85*$E85</f>
        <v>-0</v>
      </c>
      <c r="L85" s="71" t="n">
        <f aca="false">$C85*$D85*$F85</f>
        <v>0</v>
      </c>
      <c r="M85" s="71" t="n">
        <f aca="false">$C85*$D85^2*$E85</f>
        <v>0</v>
      </c>
      <c r="N85" s="71" t="n">
        <f aca="false">-$C85*$D85^3*$F85</f>
        <v>-0</v>
      </c>
      <c r="O85" s="71" t="n">
        <f aca="false">$C85*$D85^4*$E85</f>
        <v>0</v>
      </c>
      <c r="P85" s="2"/>
      <c r="Q85" s="2"/>
    </row>
    <row r="86" customFormat="false" ht="15" hidden="false" customHeight="false" outlineLevel="0" collapsed="false">
      <c r="A86" s="95" t="str">
        <f aca="false">"実部"</f>
        <v>実部</v>
      </c>
      <c r="B86" s="88" t="str">
        <f aca="false">IF(03_FRFデータ貼付!B83="","",03_FRFデータ貼付!A83)</f>
        <v/>
      </c>
      <c r="C86" s="88" t="n">
        <f aca="false">IF(AND(03_FRFデータ貼付!B83&lt;&gt;"",03_FRFデータ貼付!C83&lt;&gt;"",03_FRFデータ貼付!D83&lt;&gt;""),1,0)</f>
        <v>0</v>
      </c>
      <c r="D86" s="71" t="n">
        <f aca="false">IF($C86=0,0,03_FRFデータ貼付!H83)</f>
        <v>0</v>
      </c>
      <c r="E86" s="71" t="n">
        <f aca="false">IF($C86=0,0,03_FRFデータ貼付!I83)</f>
        <v>0</v>
      </c>
      <c r="F86" s="71" t="n">
        <f aca="false">IF($C86=0,0,03_FRFデータ貼付!J83)</f>
        <v>0</v>
      </c>
      <c r="G86" s="71" t="n">
        <f aca="false">$C86*1</f>
        <v>0</v>
      </c>
      <c r="H86" s="71" t="n">
        <f aca="false">0</f>
        <v>0</v>
      </c>
      <c r="I86" s="71" t="n">
        <f aca="false">-$C86*$D86^2</f>
        <v>-0</v>
      </c>
      <c r="J86" s="71" t="n">
        <f aca="false">0</f>
        <v>0</v>
      </c>
      <c r="K86" s="71" t="n">
        <f aca="false">-$C86*$E86</f>
        <v>-0</v>
      </c>
      <c r="L86" s="71" t="n">
        <f aca="false">$C86*$D86*$F86</f>
        <v>0</v>
      </c>
      <c r="M86" s="71" t="n">
        <f aca="false">$C86*$D86^2*$E86</f>
        <v>0</v>
      </c>
      <c r="N86" s="71" t="n">
        <f aca="false">-$C86*$D86^3*$F86</f>
        <v>-0</v>
      </c>
      <c r="O86" s="71" t="n">
        <f aca="false">$C86*$D86^4*$E86</f>
        <v>0</v>
      </c>
      <c r="P86" s="2"/>
      <c r="Q86" s="2"/>
    </row>
    <row r="87" customFormat="false" ht="15" hidden="false" customHeight="false" outlineLevel="0" collapsed="false">
      <c r="A87" s="95" t="str">
        <f aca="false">"実部"</f>
        <v>実部</v>
      </c>
      <c r="B87" s="88" t="str">
        <f aca="false">IF(03_FRFデータ貼付!B84="","",03_FRFデータ貼付!A84)</f>
        <v/>
      </c>
      <c r="C87" s="88" t="n">
        <f aca="false">IF(AND(03_FRFデータ貼付!B84&lt;&gt;"",03_FRFデータ貼付!C84&lt;&gt;"",03_FRFデータ貼付!D84&lt;&gt;""),1,0)</f>
        <v>0</v>
      </c>
      <c r="D87" s="71" t="n">
        <f aca="false">IF($C87=0,0,03_FRFデータ貼付!H84)</f>
        <v>0</v>
      </c>
      <c r="E87" s="71" t="n">
        <f aca="false">IF($C87=0,0,03_FRFデータ貼付!I84)</f>
        <v>0</v>
      </c>
      <c r="F87" s="71" t="n">
        <f aca="false">IF($C87=0,0,03_FRFデータ貼付!J84)</f>
        <v>0</v>
      </c>
      <c r="G87" s="71" t="n">
        <f aca="false">$C87*1</f>
        <v>0</v>
      </c>
      <c r="H87" s="71" t="n">
        <f aca="false">0</f>
        <v>0</v>
      </c>
      <c r="I87" s="71" t="n">
        <f aca="false">-$C87*$D87^2</f>
        <v>-0</v>
      </c>
      <c r="J87" s="71" t="n">
        <f aca="false">0</f>
        <v>0</v>
      </c>
      <c r="K87" s="71" t="n">
        <f aca="false">-$C87*$E87</f>
        <v>-0</v>
      </c>
      <c r="L87" s="71" t="n">
        <f aca="false">$C87*$D87*$F87</f>
        <v>0</v>
      </c>
      <c r="M87" s="71" t="n">
        <f aca="false">$C87*$D87^2*$E87</f>
        <v>0</v>
      </c>
      <c r="N87" s="71" t="n">
        <f aca="false">-$C87*$D87^3*$F87</f>
        <v>-0</v>
      </c>
      <c r="O87" s="71" t="n">
        <f aca="false">$C87*$D87^4*$E87</f>
        <v>0</v>
      </c>
      <c r="P87" s="2"/>
      <c r="Q87" s="2"/>
    </row>
    <row r="88" customFormat="false" ht="15" hidden="false" customHeight="false" outlineLevel="0" collapsed="false">
      <c r="A88" s="95" t="str">
        <f aca="false">"実部"</f>
        <v>実部</v>
      </c>
      <c r="B88" s="88" t="str">
        <f aca="false">IF(03_FRFデータ貼付!B85="","",03_FRFデータ貼付!A85)</f>
        <v/>
      </c>
      <c r="C88" s="88" t="n">
        <f aca="false">IF(AND(03_FRFデータ貼付!B85&lt;&gt;"",03_FRFデータ貼付!C85&lt;&gt;"",03_FRFデータ貼付!D85&lt;&gt;""),1,0)</f>
        <v>0</v>
      </c>
      <c r="D88" s="71" t="n">
        <f aca="false">IF($C88=0,0,03_FRFデータ貼付!H85)</f>
        <v>0</v>
      </c>
      <c r="E88" s="71" t="n">
        <f aca="false">IF($C88=0,0,03_FRFデータ貼付!I85)</f>
        <v>0</v>
      </c>
      <c r="F88" s="71" t="n">
        <f aca="false">IF($C88=0,0,03_FRFデータ貼付!J85)</f>
        <v>0</v>
      </c>
      <c r="G88" s="71" t="n">
        <f aca="false">$C88*1</f>
        <v>0</v>
      </c>
      <c r="H88" s="71" t="n">
        <f aca="false">0</f>
        <v>0</v>
      </c>
      <c r="I88" s="71" t="n">
        <f aca="false">-$C88*$D88^2</f>
        <v>-0</v>
      </c>
      <c r="J88" s="71" t="n">
        <f aca="false">0</f>
        <v>0</v>
      </c>
      <c r="K88" s="71" t="n">
        <f aca="false">-$C88*$E88</f>
        <v>-0</v>
      </c>
      <c r="L88" s="71" t="n">
        <f aca="false">$C88*$D88*$F88</f>
        <v>0</v>
      </c>
      <c r="M88" s="71" t="n">
        <f aca="false">$C88*$D88^2*$E88</f>
        <v>0</v>
      </c>
      <c r="N88" s="71" t="n">
        <f aca="false">-$C88*$D88^3*$F88</f>
        <v>-0</v>
      </c>
      <c r="O88" s="71" t="n">
        <f aca="false">$C88*$D88^4*$E88</f>
        <v>0</v>
      </c>
      <c r="P88" s="2"/>
      <c r="Q88" s="2"/>
    </row>
    <row r="89" customFormat="false" ht="15" hidden="false" customHeight="false" outlineLevel="0" collapsed="false">
      <c r="A89" s="95" t="str">
        <f aca="false">"実部"</f>
        <v>実部</v>
      </c>
      <c r="B89" s="88" t="str">
        <f aca="false">IF(03_FRFデータ貼付!B86="","",03_FRFデータ貼付!A86)</f>
        <v/>
      </c>
      <c r="C89" s="88" t="n">
        <f aca="false">IF(AND(03_FRFデータ貼付!B86&lt;&gt;"",03_FRFデータ貼付!C86&lt;&gt;"",03_FRFデータ貼付!D86&lt;&gt;""),1,0)</f>
        <v>0</v>
      </c>
      <c r="D89" s="71" t="n">
        <f aca="false">IF($C89=0,0,03_FRFデータ貼付!H86)</f>
        <v>0</v>
      </c>
      <c r="E89" s="71" t="n">
        <f aca="false">IF($C89=0,0,03_FRFデータ貼付!I86)</f>
        <v>0</v>
      </c>
      <c r="F89" s="71" t="n">
        <f aca="false">IF($C89=0,0,03_FRFデータ貼付!J86)</f>
        <v>0</v>
      </c>
      <c r="G89" s="71" t="n">
        <f aca="false">$C89*1</f>
        <v>0</v>
      </c>
      <c r="H89" s="71" t="n">
        <f aca="false">0</f>
        <v>0</v>
      </c>
      <c r="I89" s="71" t="n">
        <f aca="false">-$C89*$D89^2</f>
        <v>-0</v>
      </c>
      <c r="J89" s="71" t="n">
        <f aca="false">0</f>
        <v>0</v>
      </c>
      <c r="K89" s="71" t="n">
        <f aca="false">-$C89*$E89</f>
        <v>-0</v>
      </c>
      <c r="L89" s="71" t="n">
        <f aca="false">$C89*$D89*$F89</f>
        <v>0</v>
      </c>
      <c r="M89" s="71" t="n">
        <f aca="false">$C89*$D89^2*$E89</f>
        <v>0</v>
      </c>
      <c r="N89" s="71" t="n">
        <f aca="false">-$C89*$D89^3*$F89</f>
        <v>-0</v>
      </c>
      <c r="O89" s="71" t="n">
        <f aca="false">$C89*$D89^4*$E89</f>
        <v>0</v>
      </c>
      <c r="P89" s="2"/>
      <c r="Q89" s="2"/>
    </row>
    <row r="90" customFormat="false" ht="15" hidden="false" customHeight="false" outlineLevel="0" collapsed="false">
      <c r="A90" s="95" t="str">
        <f aca="false">"実部"</f>
        <v>実部</v>
      </c>
      <c r="B90" s="88" t="str">
        <f aca="false">IF(03_FRFデータ貼付!B87="","",03_FRFデータ貼付!A87)</f>
        <v/>
      </c>
      <c r="C90" s="88" t="n">
        <f aca="false">IF(AND(03_FRFデータ貼付!B87&lt;&gt;"",03_FRFデータ貼付!C87&lt;&gt;"",03_FRFデータ貼付!D87&lt;&gt;""),1,0)</f>
        <v>0</v>
      </c>
      <c r="D90" s="71" t="n">
        <f aca="false">IF($C90=0,0,03_FRFデータ貼付!H87)</f>
        <v>0</v>
      </c>
      <c r="E90" s="71" t="n">
        <f aca="false">IF($C90=0,0,03_FRFデータ貼付!I87)</f>
        <v>0</v>
      </c>
      <c r="F90" s="71" t="n">
        <f aca="false">IF($C90=0,0,03_FRFデータ貼付!J87)</f>
        <v>0</v>
      </c>
      <c r="G90" s="71" t="n">
        <f aca="false">$C90*1</f>
        <v>0</v>
      </c>
      <c r="H90" s="71" t="n">
        <f aca="false">0</f>
        <v>0</v>
      </c>
      <c r="I90" s="71" t="n">
        <f aca="false">-$C90*$D90^2</f>
        <v>-0</v>
      </c>
      <c r="J90" s="71" t="n">
        <f aca="false">0</f>
        <v>0</v>
      </c>
      <c r="K90" s="71" t="n">
        <f aca="false">-$C90*$E90</f>
        <v>-0</v>
      </c>
      <c r="L90" s="71" t="n">
        <f aca="false">$C90*$D90*$F90</f>
        <v>0</v>
      </c>
      <c r="M90" s="71" t="n">
        <f aca="false">$C90*$D90^2*$E90</f>
        <v>0</v>
      </c>
      <c r="N90" s="71" t="n">
        <f aca="false">-$C90*$D90^3*$F90</f>
        <v>-0</v>
      </c>
      <c r="O90" s="71" t="n">
        <f aca="false">$C90*$D90^4*$E90</f>
        <v>0</v>
      </c>
      <c r="P90" s="2"/>
      <c r="Q90" s="2"/>
    </row>
    <row r="91" customFormat="false" ht="15" hidden="false" customHeight="false" outlineLevel="0" collapsed="false">
      <c r="A91" s="95" t="str">
        <f aca="false">"実部"</f>
        <v>実部</v>
      </c>
      <c r="B91" s="88" t="str">
        <f aca="false">IF(03_FRFデータ貼付!B88="","",03_FRFデータ貼付!A88)</f>
        <v/>
      </c>
      <c r="C91" s="88" t="n">
        <f aca="false">IF(AND(03_FRFデータ貼付!B88&lt;&gt;"",03_FRFデータ貼付!C88&lt;&gt;"",03_FRFデータ貼付!D88&lt;&gt;""),1,0)</f>
        <v>0</v>
      </c>
      <c r="D91" s="71" t="n">
        <f aca="false">IF($C91=0,0,03_FRFデータ貼付!H88)</f>
        <v>0</v>
      </c>
      <c r="E91" s="71" t="n">
        <f aca="false">IF($C91=0,0,03_FRFデータ貼付!I88)</f>
        <v>0</v>
      </c>
      <c r="F91" s="71" t="n">
        <f aca="false">IF($C91=0,0,03_FRFデータ貼付!J88)</f>
        <v>0</v>
      </c>
      <c r="G91" s="71" t="n">
        <f aca="false">$C91*1</f>
        <v>0</v>
      </c>
      <c r="H91" s="71" t="n">
        <f aca="false">0</f>
        <v>0</v>
      </c>
      <c r="I91" s="71" t="n">
        <f aca="false">-$C91*$D91^2</f>
        <v>-0</v>
      </c>
      <c r="J91" s="71" t="n">
        <f aca="false">0</f>
        <v>0</v>
      </c>
      <c r="K91" s="71" t="n">
        <f aca="false">-$C91*$E91</f>
        <v>-0</v>
      </c>
      <c r="L91" s="71" t="n">
        <f aca="false">$C91*$D91*$F91</f>
        <v>0</v>
      </c>
      <c r="M91" s="71" t="n">
        <f aca="false">$C91*$D91^2*$E91</f>
        <v>0</v>
      </c>
      <c r="N91" s="71" t="n">
        <f aca="false">-$C91*$D91^3*$F91</f>
        <v>-0</v>
      </c>
      <c r="O91" s="71" t="n">
        <f aca="false">$C91*$D91^4*$E91</f>
        <v>0</v>
      </c>
      <c r="P91" s="2"/>
      <c r="Q91" s="2"/>
    </row>
    <row r="92" customFormat="false" ht="15" hidden="false" customHeight="false" outlineLevel="0" collapsed="false">
      <c r="A92" s="95" t="str">
        <f aca="false">"実部"</f>
        <v>実部</v>
      </c>
      <c r="B92" s="88" t="str">
        <f aca="false">IF(03_FRFデータ貼付!B89="","",03_FRFデータ貼付!A89)</f>
        <v/>
      </c>
      <c r="C92" s="88" t="n">
        <f aca="false">IF(AND(03_FRFデータ貼付!B89&lt;&gt;"",03_FRFデータ貼付!C89&lt;&gt;"",03_FRFデータ貼付!D89&lt;&gt;""),1,0)</f>
        <v>0</v>
      </c>
      <c r="D92" s="71" t="n">
        <f aca="false">IF($C92=0,0,03_FRFデータ貼付!H89)</f>
        <v>0</v>
      </c>
      <c r="E92" s="71" t="n">
        <f aca="false">IF($C92=0,0,03_FRFデータ貼付!I89)</f>
        <v>0</v>
      </c>
      <c r="F92" s="71" t="n">
        <f aca="false">IF($C92=0,0,03_FRFデータ貼付!J89)</f>
        <v>0</v>
      </c>
      <c r="G92" s="71" t="n">
        <f aca="false">$C92*1</f>
        <v>0</v>
      </c>
      <c r="H92" s="71" t="n">
        <f aca="false">0</f>
        <v>0</v>
      </c>
      <c r="I92" s="71" t="n">
        <f aca="false">-$C92*$D92^2</f>
        <v>-0</v>
      </c>
      <c r="J92" s="71" t="n">
        <f aca="false">0</f>
        <v>0</v>
      </c>
      <c r="K92" s="71" t="n">
        <f aca="false">-$C92*$E92</f>
        <v>-0</v>
      </c>
      <c r="L92" s="71" t="n">
        <f aca="false">$C92*$D92*$F92</f>
        <v>0</v>
      </c>
      <c r="M92" s="71" t="n">
        <f aca="false">$C92*$D92^2*$E92</f>
        <v>0</v>
      </c>
      <c r="N92" s="71" t="n">
        <f aca="false">-$C92*$D92^3*$F92</f>
        <v>-0</v>
      </c>
      <c r="O92" s="71" t="n">
        <f aca="false">$C92*$D92^4*$E92</f>
        <v>0</v>
      </c>
      <c r="P92" s="2"/>
      <c r="Q92" s="2"/>
    </row>
    <row r="93" customFormat="false" ht="15" hidden="false" customHeight="false" outlineLevel="0" collapsed="false">
      <c r="A93" s="95" t="str">
        <f aca="false">"実部"</f>
        <v>実部</v>
      </c>
      <c r="B93" s="88" t="str">
        <f aca="false">IF(03_FRFデータ貼付!B90="","",03_FRFデータ貼付!A90)</f>
        <v/>
      </c>
      <c r="C93" s="88" t="n">
        <f aca="false">IF(AND(03_FRFデータ貼付!B90&lt;&gt;"",03_FRFデータ貼付!C90&lt;&gt;"",03_FRFデータ貼付!D90&lt;&gt;""),1,0)</f>
        <v>0</v>
      </c>
      <c r="D93" s="71" t="n">
        <f aca="false">IF($C93=0,0,03_FRFデータ貼付!H90)</f>
        <v>0</v>
      </c>
      <c r="E93" s="71" t="n">
        <f aca="false">IF($C93=0,0,03_FRFデータ貼付!I90)</f>
        <v>0</v>
      </c>
      <c r="F93" s="71" t="n">
        <f aca="false">IF($C93=0,0,03_FRFデータ貼付!J90)</f>
        <v>0</v>
      </c>
      <c r="G93" s="71" t="n">
        <f aca="false">$C93*1</f>
        <v>0</v>
      </c>
      <c r="H93" s="71" t="n">
        <f aca="false">0</f>
        <v>0</v>
      </c>
      <c r="I93" s="71" t="n">
        <f aca="false">-$C93*$D93^2</f>
        <v>-0</v>
      </c>
      <c r="J93" s="71" t="n">
        <f aca="false">0</f>
        <v>0</v>
      </c>
      <c r="K93" s="71" t="n">
        <f aca="false">-$C93*$E93</f>
        <v>-0</v>
      </c>
      <c r="L93" s="71" t="n">
        <f aca="false">$C93*$D93*$F93</f>
        <v>0</v>
      </c>
      <c r="M93" s="71" t="n">
        <f aca="false">$C93*$D93^2*$E93</f>
        <v>0</v>
      </c>
      <c r="N93" s="71" t="n">
        <f aca="false">-$C93*$D93^3*$F93</f>
        <v>-0</v>
      </c>
      <c r="O93" s="71" t="n">
        <f aca="false">$C93*$D93^4*$E93</f>
        <v>0</v>
      </c>
      <c r="P93" s="2"/>
      <c r="Q93" s="2"/>
    </row>
    <row r="94" customFormat="false" ht="15" hidden="false" customHeight="false" outlineLevel="0" collapsed="false">
      <c r="A94" s="95" t="str">
        <f aca="false">"実部"</f>
        <v>実部</v>
      </c>
      <c r="B94" s="88" t="str">
        <f aca="false">IF(03_FRFデータ貼付!B91="","",03_FRFデータ貼付!A91)</f>
        <v/>
      </c>
      <c r="C94" s="88" t="n">
        <f aca="false">IF(AND(03_FRFデータ貼付!B91&lt;&gt;"",03_FRFデータ貼付!C91&lt;&gt;"",03_FRFデータ貼付!D91&lt;&gt;""),1,0)</f>
        <v>0</v>
      </c>
      <c r="D94" s="71" t="n">
        <f aca="false">IF($C94=0,0,03_FRFデータ貼付!H91)</f>
        <v>0</v>
      </c>
      <c r="E94" s="71" t="n">
        <f aca="false">IF($C94=0,0,03_FRFデータ貼付!I91)</f>
        <v>0</v>
      </c>
      <c r="F94" s="71" t="n">
        <f aca="false">IF($C94=0,0,03_FRFデータ貼付!J91)</f>
        <v>0</v>
      </c>
      <c r="G94" s="71" t="n">
        <f aca="false">$C94*1</f>
        <v>0</v>
      </c>
      <c r="H94" s="71" t="n">
        <f aca="false">0</f>
        <v>0</v>
      </c>
      <c r="I94" s="71" t="n">
        <f aca="false">-$C94*$D94^2</f>
        <v>-0</v>
      </c>
      <c r="J94" s="71" t="n">
        <f aca="false">0</f>
        <v>0</v>
      </c>
      <c r="K94" s="71" t="n">
        <f aca="false">-$C94*$E94</f>
        <v>-0</v>
      </c>
      <c r="L94" s="71" t="n">
        <f aca="false">$C94*$D94*$F94</f>
        <v>0</v>
      </c>
      <c r="M94" s="71" t="n">
        <f aca="false">$C94*$D94^2*$E94</f>
        <v>0</v>
      </c>
      <c r="N94" s="71" t="n">
        <f aca="false">-$C94*$D94^3*$F94</f>
        <v>-0</v>
      </c>
      <c r="O94" s="71" t="n">
        <f aca="false">$C94*$D94^4*$E94</f>
        <v>0</v>
      </c>
      <c r="P94" s="2"/>
      <c r="Q94" s="2"/>
    </row>
    <row r="95" customFormat="false" ht="15" hidden="false" customHeight="false" outlineLevel="0" collapsed="false">
      <c r="A95" s="95" t="str">
        <f aca="false">"実部"</f>
        <v>実部</v>
      </c>
      <c r="B95" s="88" t="str">
        <f aca="false">IF(03_FRFデータ貼付!B92="","",03_FRFデータ貼付!A92)</f>
        <v/>
      </c>
      <c r="C95" s="88" t="n">
        <f aca="false">IF(AND(03_FRFデータ貼付!B92&lt;&gt;"",03_FRFデータ貼付!C92&lt;&gt;"",03_FRFデータ貼付!D92&lt;&gt;""),1,0)</f>
        <v>0</v>
      </c>
      <c r="D95" s="71" t="n">
        <f aca="false">IF($C95=0,0,03_FRFデータ貼付!H92)</f>
        <v>0</v>
      </c>
      <c r="E95" s="71" t="n">
        <f aca="false">IF($C95=0,0,03_FRFデータ貼付!I92)</f>
        <v>0</v>
      </c>
      <c r="F95" s="71" t="n">
        <f aca="false">IF($C95=0,0,03_FRFデータ貼付!J92)</f>
        <v>0</v>
      </c>
      <c r="G95" s="71" t="n">
        <f aca="false">$C95*1</f>
        <v>0</v>
      </c>
      <c r="H95" s="71" t="n">
        <f aca="false">0</f>
        <v>0</v>
      </c>
      <c r="I95" s="71" t="n">
        <f aca="false">-$C95*$D95^2</f>
        <v>-0</v>
      </c>
      <c r="J95" s="71" t="n">
        <f aca="false">0</f>
        <v>0</v>
      </c>
      <c r="K95" s="71" t="n">
        <f aca="false">-$C95*$E95</f>
        <v>-0</v>
      </c>
      <c r="L95" s="71" t="n">
        <f aca="false">$C95*$D95*$F95</f>
        <v>0</v>
      </c>
      <c r="M95" s="71" t="n">
        <f aca="false">$C95*$D95^2*$E95</f>
        <v>0</v>
      </c>
      <c r="N95" s="71" t="n">
        <f aca="false">-$C95*$D95^3*$F95</f>
        <v>-0</v>
      </c>
      <c r="O95" s="71" t="n">
        <f aca="false">$C95*$D95^4*$E95</f>
        <v>0</v>
      </c>
      <c r="P95" s="2"/>
      <c r="Q95" s="2"/>
    </row>
    <row r="96" customFormat="false" ht="15" hidden="false" customHeight="false" outlineLevel="0" collapsed="false">
      <c r="A96" s="95" t="str">
        <f aca="false">"実部"</f>
        <v>実部</v>
      </c>
      <c r="B96" s="88" t="str">
        <f aca="false">IF(03_FRFデータ貼付!B93="","",03_FRFデータ貼付!A93)</f>
        <v/>
      </c>
      <c r="C96" s="88" t="n">
        <f aca="false">IF(AND(03_FRFデータ貼付!B93&lt;&gt;"",03_FRFデータ貼付!C93&lt;&gt;"",03_FRFデータ貼付!D93&lt;&gt;""),1,0)</f>
        <v>0</v>
      </c>
      <c r="D96" s="71" t="n">
        <f aca="false">IF($C96=0,0,03_FRFデータ貼付!H93)</f>
        <v>0</v>
      </c>
      <c r="E96" s="71" t="n">
        <f aca="false">IF($C96=0,0,03_FRFデータ貼付!I93)</f>
        <v>0</v>
      </c>
      <c r="F96" s="71" t="n">
        <f aca="false">IF($C96=0,0,03_FRFデータ貼付!J93)</f>
        <v>0</v>
      </c>
      <c r="G96" s="71" t="n">
        <f aca="false">$C96*1</f>
        <v>0</v>
      </c>
      <c r="H96" s="71" t="n">
        <f aca="false">0</f>
        <v>0</v>
      </c>
      <c r="I96" s="71" t="n">
        <f aca="false">-$C96*$D96^2</f>
        <v>-0</v>
      </c>
      <c r="J96" s="71" t="n">
        <f aca="false">0</f>
        <v>0</v>
      </c>
      <c r="K96" s="71" t="n">
        <f aca="false">-$C96*$E96</f>
        <v>-0</v>
      </c>
      <c r="L96" s="71" t="n">
        <f aca="false">$C96*$D96*$F96</f>
        <v>0</v>
      </c>
      <c r="M96" s="71" t="n">
        <f aca="false">$C96*$D96^2*$E96</f>
        <v>0</v>
      </c>
      <c r="N96" s="71" t="n">
        <f aca="false">-$C96*$D96^3*$F96</f>
        <v>-0</v>
      </c>
      <c r="O96" s="71" t="n">
        <f aca="false">$C96*$D96^4*$E96</f>
        <v>0</v>
      </c>
      <c r="P96" s="2"/>
      <c r="Q96" s="2"/>
    </row>
    <row r="97" customFormat="false" ht="15" hidden="false" customHeight="false" outlineLevel="0" collapsed="false">
      <c r="A97" s="95" t="str">
        <f aca="false">"実部"</f>
        <v>実部</v>
      </c>
      <c r="B97" s="88" t="str">
        <f aca="false">IF(03_FRFデータ貼付!B94="","",03_FRFデータ貼付!A94)</f>
        <v/>
      </c>
      <c r="C97" s="88" t="n">
        <f aca="false">IF(AND(03_FRFデータ貼付!B94&lt;&gt;"",03_FRFデータ貼付!C94&lt;&gt;"",03_FRFデータ貼付!D94&lt;&gt;""),1,0)</f>
        <v>0</v>
      </c>
      <c r="D97" s="71" t="n">
        <f aca="false">IF($C97=0,0,03_FRFデータ貼付!H94)</f>
        <v>0</v>
      </c>
      <c r="E97" s="71" t="n">
        <f aca="false">IF($C97=0,0,03_FRFデータ貼付!I94)</f>
        <v>0</v>
      </c>
      <c r="F97" s="71" t="n">
        <f aca="false">IF($C97=0,0,03_FRFデータ貼付!J94)</f>
        <v>0</v>
      </c>
      <c r="G97" s="71" t="n">
        <f aca="false">$C97*1</f>
        <v>0</v>
      </c>
      <c r="H97" s="71" t="n">
        <f aca="false">0</f>
        <v>0</v>
      </c>
      <c r="I97" s="71" t="n">
        <f aca="false">-$C97*$D97^2</f>
        <v>-0</v>
      </c>
      <c r="J97" s="71" t="n">
        <f aca="false">0</f>
        <v>0</v>
      </c>
      <c r="K97" s="71" t="n">
        <f aca="false">-$C97*$E97</f>
        <v>-0</v>
      </c>
      <c r="L97" s="71" t="n">
        <f aca="false">$C97*$D97*$F97</f>
        <v>0</v>
      </c>
      <c r="M97" s="71" t="n">
        <f aca="false">$C97*$D97^2*$E97</f>
        <v>0</v>
      </c>
      <c r="N97" s="71" t="n">
        <f aca="false">-$C97*$D97^3*$F97</f>
        <v>-0</v>
      </c>
      <c r="O97" s="71" t="n">
        <f aca="false">$C97*$D97^4*$E97</f>
        <v>0</v>
      </c>
      <c r="P97" s="2"/>
      <c r="Q97" s="2"/>
    </row>
    <row r="98" customFormat="false" ht="15" hidden="false" customHeight="false" outlineLevel="0" collapsed="false">
      <c r="A98" s="95" t="str">
        <f aca="false">"実部"</f>
        <v>実部</v>
      </c>
      <c r="B98" s="88" t="str">
        <f aca="false">IF(03_FRFデータ貼付!B95="","",03_FRFデータ貼付!A95)</f>
        <v/>
      </c>
      <c r="C98" s="88" t="n">
        <f aca="false">IF(AND(03_FRFデータ貼付!B95&lt;&gt;"",03_FRFデータ貼付!C95&lt;&gt;"",03_FRFデータ貼付!D95&lt;&gt;""),1,0)</f>
        <v>0</v>
      </c>
      <c r="D98" s="71" t="n">
        <f aca="false">IF($C98=0,0,03_FRFデータ貼付!H95)</f>
        <v>0</v>
      </c>
      <c r="E98" s="71" t="n">
        <f aca="false">IF($C98=0,0,03_FRFデータ貼付!I95)</f>
        <v>0</v>
      </c>
      <c r="F98" s="71" t="n">
        <f aca="false">IF($C98=0,0,03_FRFデータ貼付!J95)</f>
        <v>0</v>
      </c>
      <c r="G98" s="71" t="n">
        <f aca="false">$C98*1</f>
        <v>0</v>
      </c>
      <c r="H98" s="71" t="n">
        <f aca="false">0</f>
        <v>0</v>
      </c>
      <c r="I98" s="71" t="n">
        <f aca="false">-$C98*$D98^2</f>
        <v>-0</v>
      </c>
      <c r="J98" s="71" t="n">
        <f aca="false">0</f>
        <v>0</v>
      </c>
      <c r="K98" s="71" t="n">
        <f aca="false">-$C98*$E98</f>
        <v>-0</v>
      </c>
      <c r="L98" s="71" t="n">
        <f aca="false">$C98*$D98*$F98</f>
        <v>0</v>
      </c>
      <c r="M98" s="71" t="n">
        <f aca="false">$C98*$D98^2*$E98</f>
        <v>0</v>
      </c>
      <c r="N98" s="71" t="n">
        <f aca="false">-$C98*$D98^3*$F98</f>
        <v>-0</v>
      </c>
      <c r="O98" s="71" t="n">
        <f aca="false">$C98*$D98^4*$E98</f>
        <v>0</v>
      </c>
      <c r="P98" s="2"/>
      <c r="Q98" s="2"/>
    </row>
    <row r="99" customFormat="false" ht="15" hidden="false" customHeight="false" outlineLevel="0" collapsed="false">
      <c r="A99" s="95" t="str">
        <f aca="false">"実部"</f>
        <v>実部</v>
      </c>
      <c r="B99" s="88" t="str">
        <f aca="false">IF(03_FRFデータ貼付!B96="","",03_FRFデータ貼付!A96)</f>
        <v/>
      </c>
      <c r="C99" s="88" t="n">
        <f aca="false">IF(AND(03_FRFデータ貼付!B96&lt;&gt;"",03_FRFデータ貼付!C96&lt;&gt;"",03_FRFデータ貼付!D96&lt;&gt;""),1,0)</f>
        <v>0</v>
      </c>
      <c r="D99" s="71" t="n">
        <f aca="false">IF($C99=0,0,03_FRFデータ貼付!H96)</f>
        <v>0</v>
      </c>
      <c r="E99" s="71" t="n">
        <f aca="false">IF($C99=0,0,03_FRFデータ貼付!I96)</f>
        <v>0</v>
      </c>
      <c r="F99" s="71" t="n">
        <f aca="false">IF($C99=0,0,03_FRFデータ貼付!J96)</f>
        <v>0</v>
      </c>
      <c r="G99" s="71" t="n">
        <f aca="false">$C99*1</f>
        <v>0</v>
      </c>
      <c r="H99" s="71" t="n">
        <f aca="false">0</f>
        <v>0</v>
      </c>
      <c r="I99" s="71" t="n">
        <f aca="false">-$C99*$D99^2</f>
        <v>-0</v>
      </c>
      <c r="J99" s="71" t="n">
        <f aca="false">0</f>
        <v>0</v>
      </c>
      <c r="K99" s="71" t="n">
        <f aca="false">-$C99*$E99</f>
        <v>-0</v>
      </c>
      <c r="L99" s="71" t="n">
        <f aca="false">$C99*$D99*$F99</f>
        <v>0</v>
      </c>
      <c r="M99" s="71" t="n">
        <f aca="false">$C99*$D99^2*$E99</f>
        <v>0</v>
      </c>
      <c r="N99" s="71" t="n">
        <f aca="false">-$C99*$D99^3*$F99</f>
        <v>-0</v>
      </c>
      <c r="O99" s="71" t="n">
        <f aca="false">$C99*$D99^4*$E99</f>
        <v>0</v>
      </c>
      <c r="P99" s="2"/>
      <c r="Q99" s="2"/>
    </row>
    <row r="100" customFormat="false" ht="15" hidden="false" customHeight="false" outlineLevel="0" collapsed="false">
      <c r="A100" s="95" t="str">
        <f aca="false">"実部"</f>
        <v>実部</v>
      </c>
      <c r="B100" s="88" t="str">
        <f aca="false">IF(03_FRFデータ貼付!B97="","",03_FRFデータ貼付!A97)</f>
        <v/>
      </c>
      <c r="C100" s="88" t="n">
        <f aca="false">IF(AND(03_FRFデータ貼付!B97&lt;&gt;"",03_FRFデータ貼付!C97&lt;&gt;"",03_FRFデータ貼付!D97&lt;&gt;""),1,0)</f>
        <v>0</v>
      </c>
      <c r="D100" s="71" t="n">
        <f aca="false">IF($C100=0,0,03_FRFデータ貼付!H97)</f>
        <v>0</v>
      </c>
      <c r="E100" s="71" t="n">
        <f aca="false">IF($C100=0,0,03_FRFデータ貼付!I97)</f>
        <v>0</v>
      </c>
      <c r="F100" s="71" t="n">
        <f aca="false">IF($C100=0,0,03_FRFデータ貼付!J97)</f>
        <v>0</v>
      </c>
      <c r="G100" s="71" t="n">
        <f aca="false">$C100*1</f>
        <v>0</v>
      </c>
      <c r="H100" s="71" t="n">
        <f aca="false">0</f>
        <v>0</v>
      </c>
      <c r="I100" s="71" t="n">
        <f aca="false">-$C100*$D100^2</f>
        <v>-0</v>
      </c>
      <c r="J100" s="71" t="n">
        <f aca="false">0</f>
        <v>0</v>
      </c>
      <c r="K100" s="71" t="n">
        <f aca="false">-$C100*$E100</f>
        <v>-0</v>
      </c>
      <c r="L100" s="71" t="n">
        <f aca="false">$C100*$D100*$F100</f>
        <v>0</v>
      </c>
      <c r="M100" s="71" t="n">
        <f aca="false">$C100*$D100^2*$E100</f>
        <v>0</v>
      </c>
      <c r="N100" s="71" t="n">
        <f aca="false">-$C100*$D100^3*$F100</f>
        <v>-0</v>
      </c>
      <c r="O100" s="71" t="n">
        <f aca="false">$C100*$D100^4*$E100</f>
        <v>0</v>
      </c>
      <c r="P100" s="2"/>
      <c r="Q100" s="2"/>
    </row>
    <row r="101" customFormat="false" ht="15" hidden="false" customHeight="false" outlineLevel="0" collapsed="false">
      <c r="A101" s="95" t="str">
        <f aca="false">"実部"</f>
        <v>実部</v>
      </c>
      <c r="B101" s="88" t="str">
        <f aca="false">IF(03_FRFデータ貼付!B98="","",03_FRFデータ貼付!A98)</f>
        <v/>
      </c>
      <c r="C101" s="88" t="n">
        <f aca="false">IF(AND(03_FRFデータ貼付!B98&lt;&gt;"",03_FRFデータ貼付!C98&lt;&gt;"",03_FRFデータ貼付!D98&lt;&gt;""),1,0)</f>
        <v>0</v>
      </c>
      <c r="D101" s="71" t="n">
        <f aca="false">IF($C101=0,0,03_FRFデータ貼付!H98)</f>
        <v>0</v>
      </c>
      <c r="E101" s="71" t="n">
        <f aca="false">IF($C101=0,0,03_FRFデータ貼付!I98)</f>
        <v>0</v>
      </c>
      <c r="F101" s="71" t="n">
        <f aca="false">IF($C101=0,0,03_FRFデータ貼付!J98)</f>
        <v>0</v>
      </c>
      <c r="G101" s="71" t="n">
        <f aca="false">$C101*1</f>
        <v>0</v>
      </c>
      <c r="H101" s="71" t="n">
        <f aca="false">0</f>
        <v>0</v>
      </c>
      <c r="I101" s="71" t="n">
        <f aca="false">-$C101*$D101^2</f>
        <v>-0</v>
      </c>
      <c r="J101" s="71" t="n">
        <f aca="false">0</f>
        <v>0</v>
      </c>
      <c r="K101" s="71" t="n">
        <f aca="false">-$C101*$E101</f>
        <v>-0</v>
      </c>
      <c r="L101" s="71" t="n">
        <f aca="false">$C101*$D101*$F101</f>
        <v>0</v>
      </c>
      <c r="M101" s="71" t="n">
        <f aca="false">$C101*$D101^2*$E101</f>
        <v>0</v>
      </c>
      <c r="N101" s="71" t="n">
        <f aca="false">-$C101*$D101^3*$F101</f>
        <v>-0</v>
      </c>
      <c r="O101" s="71" t="n">
        <f aca="false">$C101*$D101^4*$E101</f>
        <v>0</v>
      </c>
      <c r="P101" s="2"/>
      <c r="Q101" s="2"/>
    </row>
    <row r="102" customFormat="false" ht="15" hidden="false" customHeight="false" outlineLevel="0" collapsed="false">
      <c r="A102" s="95" t="str">
        <f aca="false">"実部"</f>
        <v>実部</v>
      </c>
      <c r="B102" s="88" t="str">
        <f aca="false">IF(03_FRFデータ貼付!B99="","",03_FRFデータ貼付!A99)</f>
        <v/>
      </c>
      <c r="C102" s="88" t="n">
        <f aca="false">IF(AND(03_FRFデータ貼付!B99&lt;&gt;"",03_FRFデータ貼付!C99&lt;&gt;"",03_FRFデータ貼付!D99&lt;&gt;""),1,0)</f>
        <v>0</v>
      </c>
      <c r="D102" s="71" t="n">
        <f aca="false">IF($C102=0,0,03_FRFデータ貼付!H99)</f>
        <v>0</v>
      </c>
      <c r="E102" s="71" t="n">
        <f aca="false">IF($C102=0,0,03_FRFデータ貼付!I99)</f>
        <v>0</v>
      </c>
      <c r="F102" s="71" t="n">
        <f aca="false">IF($C102=0,0,03_FRFデータ貼付!J99)</f>
        <v>0</v>
      </c>
      <c r="G102" s="71" t="n">
        <f aca="false">$C102*1</f>
        <v>0</v>
      </c>
      <c r="H102" s="71" t="n">
        <f aca="false">0</f>
        <v>0</v>
      </c>
      <c r="I102" s="71" t="n">
        <f aca="false">-$C102*$D102^2</f>
        <v>-0</v>
      </c>
      <c r="J102" s="71" t="n">
        <f aca="false">0</f>
        <v>0</v>
      </c>
      <c r="K102" s="71" t="n">
        <f aca="false">-$C102*$E102</f>
        <v>-0</v>
      </c>
      <c r="L102" s="71" t="n">
        <f aca="false">$C102*$D102*$F102</f>
        <v>0</v>
      </c>
      <c r="M102" s="71" t="n">
        <f aca="false">$C102*$D102^2*$E102</f>
        <v>0</v>
      </c>
      <c r="N102" s="71" t="n">
        <f aca="false">-$C102*$D102^3*$F102</f>
        <v>-0</v>
      </c>
      <c r="O102" s="71" t="n">
        <f aca="false">$C102*$D102^4*$E102</f>
        <v>0</v>
      </c>
      <c r="P102" s="2"/>
      <c r="Q102" s="2"/>
    </row>
    <row r="103" customFormat="false" ht="15" hidden="false" customHeight="false" outlineLevel="0" collapsed="false">
      <c r="A103" s="95" t="str">
        <f aca="false">"実部"</f>
        <v>実部</v>
      </c>
      <c r="B103" s="88" t="str">
        <f aca="false">IF(03_FRFデータ貼付!B100="","",03_FRFデータ貼付!A100)</f>
        <v/>
      </c>
      <c r="C103" s="88" t="n">
        <f aca="false">IF(AND(03_FRFデータ貼付!B100&lt;&gt;"",03_FRFデータ貼付!C100&lt;&gt;"",03_FRFデータ貼付!D100&lt;&gt;""),1,0)</f>
        <v>0</v>
      </c>
      <c r="D103" s="71" t="n">
        <f aca="false">IF($C103=0,0,03_FRFデータ貼付!H100)</f>
        <v>0</v>
      </c>
      <c r="E103" s="71" t="n">
        <f aca="false">IF($C103=0,0,03_FRFデータ貼付!I100)</f>
        <v>0</v>
      </c>
      <c r="F103" s="71" t="n">
        <f aca="false">IF($C103=0,0,03_FRFデータ貼付!J100)</f>
        <v>0</v>
      </c>
      <c r="G103" s="71" t="n">
        <f aca="false">$C103*1</f>
        <v>0</v>
      </c>
      <c r="H103" s="71" t="n">
        <f aca="false">0</f>
        <v>0</v>
      </c>
      <c r="I103" s="71" t="n">
        <f aca="false">-$C103*$D103^2</f>
        <v>-0</v>
      </c>
      <c r="J103" s="71" t="n">
        <f aca="false">0</f>
        <v>0</v>
      </c>
      <c r="K103" s="71" t="n">
        <f aca="false">-$C103*$E103</f>
        <v>-0</v>
      </c>
      <c r="L103" s="71" t="n">
        <f aca="false">$C103*$D103*$F103</f>
        <v>0</v>
      </c>
      <c r="M103" s="71" t="n">
        <f aca="false">$C103*$D103^2*$E103</f>
        <v>0</v>
      </c>
      <c r="N103" s="71" t="n">
        <f aca="false">-$C103*$D103^3*$F103</f>
        <v>-0</v>
      </c>
      <c r="O103" s="71" t="n">
        <f aca="false">$C103*$D103^4*$E103</f>
        <v>0</v>
      </c>
      <c r="P103" s="2"/>
      <c r="Q103" s="2"/>
    </row>
    <row r="104" customFormat="false" ht="15" hidden="false" customHeight="false" outlineLevel="0" collapsed="false">
      <c r="A104" s="95" t="str">
        <f aca="false">"実部"</f>
        <v>実部</v>
      </c>
      <c r="B104" s="88" t="str">
        <f aca="false">IF(03_FRFデータ貼付!B101="","",03_FRFデータ貼付!A101)</f>
        <v/>
      </c>
      <c r="C104" s="88" t="n">
        <f aca="false">IF(AND(03_FRFデータ貼付!B101&lt;&gt;"",03_FRFデータ貼付!C101&lt;&gt;"",03_FRFデータ貼付!D101&lt;&gt;""),1,0)</f>
        <v>0</v>
      </c>
      <c r="D104" s="71" t="n">
        <f aca="false">IF($C104=0,0,03_FRFデータ貼付!H101)</f>
        <v>0</v>
      </c>
      <c r="E104" s="71" t="n">
        <f aca="false">IF($C104=0,0,03_FRFデータ貼付!I101)</f>
        <v>0</v>
      </c>
      <c r="F104" s="71" t="n">
        <f aca="false">IF($C104=0,0,03_FRFデータ貼付!J101)</f>
        <v>0</v>
      </c>
      <c r="G104" s="71" t="n">
        <f aca="false">$C104*1</f>
        <v>0</v>
      </c>
      <c r="H104" s="71" t="n">
        <f aca="false">0</f>
        <v>0</v>
      </c>
      <c r="I104" s="71" t="n">
        <f aca="false">-$C104*$D104^2</f>
        <v>-0</v>
      </c>
      <c r="J104" s="71" t="n">
        <f aca="false">0</f>
        <v>0</v>
      </c>
      <c r="K104" s="71" t="n">
        <f aca="false">-$C104*$E104</f>
        <v>-0</v>
      </c>
      <c r="L104" s="71" t="n">
        <f aca="false">$C104*$D104*$F104</f>
        <v>0</v>
      </c>
      <c r="M104" s="71" t="n">
        <f aca="false">$C104*$D104^2*$E104</f>
        <v>0</v>
      </c>
      <c r="N104" s="71" t="n">
        <f aca="false">-$C104*$D104^3*$F104</f>
        <v>-0</v>
      </c>
      <c r="O104" s="71" t="n">
        <f aca="false">$C104*$D104^4*$E104</f>
        <v>0</v>
      </c>
      <c r="P104" s="2"/>
      <c r="Q104" s="2"/>
    </row>
    <row r="105" customFormat="false" ht="15" hidden="false" customHeight="false" outlineLevel="0" collapsed="false">
      <c r="A105" s="95" t="str">
        <f aca="false">"実部"</f>
        <v>実部</v>
      </c>
      <c r="B105" s="88" t="str">
        <f aca="false">IF(03_FRFデータ貼付!B102="","",03_FRFデータ貼付!A102)</f>
        <v/>
      </c>
      <c r="C105" s="88" t="n">
        <f aca="false">IF(AND(03_FRFデータ貼付!B102&lt;&gt;"",03_FRFデータ貼付!C102&lt;&gt;"",03_FRFデータ貼付!D102&lt;&gt;""),1,0)</f>
        <v>0</v>
      </c>
      <c r="D105" s="71" t="n">
        <f aca="false">IF($C105=0,0,03_FRFデータ貼付!H102)</f>
        <v>0</v>
      </c>
      <c r="E105" s="71" t="n">
        <f aca="false">IF($C105=0,0,03_FRFデータ貼付!I102)</f>
        <v>0</v>
      </c>
      <c r="F105" s="71" t="n">
        <f aca="false">IF($C105=0,0,03_FRFデータ貼付!J102)</f>
        <v>0</v>
      </c>
      <c r="G105" s="71" t="n">
        <f aca="false">$C105*1</f>
        <v>0</v>
      </c>
      <c r="H105" s="71" t="n">
        <f aca="false">0</f>
        <v>0</v>
      </c>
      <c r="I105" s="71" t="n">
        <f aca="false">-$C105*$D105^2</f>
        <v>-0</v>
      </c>
      <c r="J105" s="71" t="n">
        <f aca="false">0</f>
        <v>0</v>
      </c>
      <c r="K105" s="71" t="n">
        <f aca="false">-$C105*$E105</f>
        <v>-0</v>
      </c>
      <c r="L105" s="71" t="n">
        <f aca="false">$C105*$D105*$F105</f>
        <v>0</v>
      </c>
      <c r="M105" s="71" t="n">
        <f aca="false">$C105*$D105^2*$E105</f>
        <v>0</v>
      </c>
      <c r="N105" s="71" t="n">
        <f aca="false">-$C105*$D105^3*$F105</f>
        <v>-0</v>
      </c>
      <c r="O105" s="71" t="n">
        <f aca="false">$C105*$D105^4*$E105</f>
        <v>0</v>
      </c>
      <c r="P105" s="2"/>
      <c r="Q105" s="2"/>
    </row>
    <row r="106" customFormat="false" ht="15" hidden="false" customHeight="false" outlineLevel="0" collapsed="false">
      <c r="A106" s="95" t="str">
        <f aca="false">"実部"</f>
        <v>実部</v>
      </c>
      <c r="B106" s="88" t="str">
        <f aca="false">IF(03_FRFデータ貼付!B103="","",03_FRFデータ貼付!A103)</f>
        <v/>
      </c>
      <c r="C106" s="88" t="n">
        <f aca="false">IF(AND(03_FRFデータ貼付!B103&lt;&gt;"",03_FRFデータ貼付!C103&lt;&gt;"",03_FRFデータ貼付!D103&lt;&gt;""),1,0)</f>
        <v>0</v>
      </c>
      <c r="D106" s="71" t="n">
        <f aca="false">IF($C106=0,0,03_FRFデータ貼付!H103)</f>
        <v>0</v>
      </c>
      <c r="E106" s="71" t="n">
        <f aca="false">IF($C106=0,0,03_FRFデータ貼付!I103)</f>
        <v>0</v>
      </c>
      <c r="F106" s="71" t="n">
        <f aca="false">IF($C106=0,0,03_FRFデータ貼付!J103)</f>
        <v>0</v>
      </c>
      <c r="G106" s="71" t="n">
        <f aca="false">$C106*1</f>
        <v>0</v>
      </c>
      <c r="H106" s="71" t="n">
        <f aca="false">0</f>
        <v>0</v>
      </c>
      <c r="I106" s="71" t="n">
        <f aca="false">-$C106*$D106^2</f>
        <v>-0</v>
      </c>
      <c r="J106" s="71" t="n">
        <f aca="false">0</f>
        <v>0</v>
      </c>
      <c r="K106" s="71" t="n">
        <f aca="false">-$C106*$E106</f>
        <v>-0</v>
      </c>
      <c r="L106" s="71" t="n">
        <f aca="false">$C106*$D106*$F106</f>
        <v>0</v>
      </c>
      <c r="M106" s="71" t="n">
        <f aca="false">$C106*$D106^2*$E106</f>
        <v>0</v>
      </c>
      <c r="N106" s="71" t="n">
        <f aca="false">-$C106*$D106^3*$F106</f>
        <v>-0</v>
      </c>
      <c r="O106" s="71" t="n">
        <f aca="false">$C106*$D106^4*$E106</f>
        <v>0</v>
      </c>
      <c r="P106" s="2"/>
      <c r="Q106" s="2"/>
    </row>
    <row r="107" customFormat="false" ht="15" hidden="false" customHeight="false" outlineLevel="0" collapsed="false">
      <c r="A107" s="95" t="str">
        <f aca="false">"実部"</f>
        <v>実部</v>
      </c>
      <c r="B107" s="88" t="str">
        <f aca="false">IF(03_FRFデータ貼付!B104="","",03_FRFデータ貼付!A104)</f>
        <v/>
      </c>
      <c r="C107" s="88" t="n">
        <f aca="false">IF(AND(03_FRFデータ貼付!B104&lt;&gt;"",03_FRFデータ貼付!C104&lt;&gt;"",03_FRFデータ貼付!D104&lt;&gt;""),1,0)</f>
        <v>0</v>
      </c>
      <c r="D107" s="71" t="n">
        <f aca="false">IF($C107=0,0,03_FRFデータ貼付!H104)</f>
        <v>0</v>
      </c>
      <c r="E107" s="71" t="n">
        <f aca="false">IF($C107=0,0,03_FRFデータ貼付!I104)</f>
        <v>0</v>
      </c>
      <c r="F107" s="71" t="n">
        <f aca="false">IF($C107=0,0,03_FRFデータ貼付!J104)</f>
        <v>0</v>
      </c>
      <c r="G107" s="71" t="n">
        <f aca="false">$C107*1</f>
        <v>0</v>
      </c>
      <c r="H107" s="71" t="n">
        <f aca="false">0</f>
        <v>0</v>
      </c>
      <c r="I107" s="71" t="n">
        <f aca="false">-$C107*$D107^2</f>
        <v>-0</v>
      </c>
      <c r="J107" s="71" t="n">
        <f aca="false">0</f>
        <v>0</v>
      </c>
      <c r="K107" s="71" t="n">
        <f aca="false">-$C107*$E107</f>
        <v>-0</v>
      </c>
      <c r="L107" s="71" t="n">
        <f aca="false">$C107*$D107*$F107</f>
        <v>0</v>
      </c>
      <c r="M107" s="71" t="n">
        <f aca="false">$C107*$D107^2*$E107</f>
        <v>0</v>
      </c>
      <c r="N107" s="71" t="n">
        <f aca="false">-$C107*$D107^3*$F107</f>
        <v>-0</v>
      </c>
      <c r="O107" s="71" t="n">
        <f aca="false">$C107*$D107^4*$E107</f>
        <v>0</v>
      </c>
      <c r="P107" s="2"/>
      <c r="Q107" s="2"/>
    </row>
    <row r="108" customFormat="false" ht="15" hidden="false" customHeight="false" outlineLevel="0" collapsed="false">
      <c r="A108" s="95" t="str">
        <f aca="false">"実部"</f>
        <v>実部</v>
      </c>
      <c r="B108" s="88" t="str">
        <f aca="false">IF(03_FRFデータ貼付!B105="","",03_FRFデータ貼付!A105)</f>
        <v/>
      </c>
      <c r="C108" s="88" t="n">
        <f aca="false">IF(AND(03_FRFデータ貼付!B105&lt;&gt;"",03_FRFデータ貼付!C105&lt;&gt;"",03_FRFデータ貼付!D105&lt;&gt;""),1,0)</f>
        <v>0</v>
      </c>
      <c r="D108" s="71" t="n">
        <f aca="false">IF($C108=0,0,03_FRFデータ貼付!H105)</f>
        <v>0</v>
      </c>
      <c r="E108" s="71" t="n">
        <f aca="false">IF($C108=0,0,03_FRFデータ貼付!I105)</f>
        <v>0</v>
      </c>
      <c r="F108" s="71" t="n">
        <f aca="false">IF($C108=0,0,03_FRFデータ貼付!J105)</f>
        <v>0</v>
      </c>
      <c r="G108" s="71" t="n">
        <f aca="false">$C108*1</f>
        <v>0</v>
      </c>
      <c r="H108" s="71" t="n">
        <f aca="false">0</f>
        <v>0</v>
      </c>
      <c r="I108" s="71" t="n">
        <f aca="false">-$C108*$D108^2</f>
        <v>-0</v>
      </c>
      <c r="J108" s="71" t="n">
        <f aca="false">0</f>
        <v>0</v>
      </c>
      <c r="K108" s="71" t="n">
        <f aca="false">-$C108*$E108</f>
        <v>-0</v>
      </c>
      <c r="L108" s="71" t="n">
        <f aca="false">$C108*$D108*$F108</f>
        <v>0</v>
      </c>
      <c r="M108" s="71" t="n">
        <f aca="false">$C108*$D108^2*$E108</f>
        <v>0</v>
      </c>
      <c r="N108" s="71" t="n">
        <f aca="false">-$C108*$D108^3*$F108</f>
        <v>-0</v>
      </c>
      <c r="O108" s="71" t="n">
        <f aca="false">$C108*$D108^4*$E108</f>
        <v>0</v>
      </c>
      <c r="P108" s="2"/>
      <c r="Q108" s="2"/>
    </row>
    <row r="109" customFormat="false" ht="15" hidden="false" customHeight="false" outlineLevel="0" collapsed="false">
      <c r="A109" s="95" t="str">
        <f aca="false">"実部"</f>
        <v>実部</v>
      </c>
      <c r="B109" s="88" t="str">
        <f aca="false">IF(03_FRFデータ貼付!B106="","",03_FRFデータ貼付!A106)</f>
        <v/>
      </c>
      <c r="C109" s="88" t="n">
        <f aca="false">IF(AND(03_FRFデータ貼付!B106&lt;&gt;"",03_FRFデータ貼付!C106&lt;&gt;"",03_FRFデータ貼付!D106&lt;&gt;""),1,0)</f>
        <v>0</v>
      </c>
      <c r="D109" s="71" t="n">
        <f aca="false">IF($C109=0,0,03_FRFデータ貼付!H106)</f>
        <v>0</v>
      </c>
      <c r="E109" s="71" t="n">
        <f aca="false">IF($C109=0,0,03_FRFデータ貼付!I106)</f>
        <v>0</v>
      </c>
      <c r="F109" s="71" t="n">
        <f aca="false">IF($C109=0,0,03_FRFデータ貼付!J106)</f>
        <v>0</v>
      </c>
      <c r="G109" s="71" t="n">
        <f aca="false">$C109*1</f>
        <v>0</v>
      </c>
      <c r="H109" s="71" t="n">
        <f aca="false">0</f>
        <v>0</v>
      </c>
      <c r="I109" s="71" t="n">
        <f aca="false">-$C109*$D109^2</f>
        <v>-0</v>
      </c>
      <c r="J109" s="71" t="n">
        <f aca="false">0</f>
        <v>0</v>
      </c>
      <c r="K109" s="71" t="n">
        <f aca="false">-$C109*$E109</f>
        <v>-0</v>
      </c>
      <c r="L109" s="71" t="n">
        <f aca="false">$C109*$D109*$F109</f>
        <v>0</v>
      </c>
      <c r="M109" s="71" t="n">
        <f aca="false">$C109*$D109^2*$E109</f>
        <v>0</v>
      </c>
      <c r="N109" s="71" t="n">
        <f aca="false">-$C109*$D109^3*$F109</f>
        <v>-0</v>
      </c>
      <c r="O109" s="71" t="n">
        <f aca="false">$C109*$D109^4*$E109</f>
        <v>0</v>
      </c>
      <c r="P109" s="2"/>
      <c r="Q109" s="2"/>
    </row>
    <row r="110" customFormat="false" ht="15" hidden="false" customHeight="false" outlineLevel="0" collapsed="false">
      <c r="A110" s="95" t="str">
        <f aca="false">"実部"</f>
        <v>実部</v>
      </c>
      <c r="B110" s="88" t="str">
        <f aca="false">IF(03_FRFデータ貼付!B107="","",03_FRFデータ貼付!A107)</f>
        <v/>
      </c>
      <c r="C110" s="88" t="n">
        <f aca="false">IF(AND(03_FRFデータ貼付!B107&lt;&gt;"",03_FRFデータ貼付!C107&lt;&gt;"",03_FRFデータ貼付!D107&lt;&gt;""),1,0)</f>
        <v>0</v>
      </c>
      <c r="D110" s="71" t="n">
        <f aca="false">IF($C110=0,0,03_FRFデータ貼付!H107)</f>
        <v>0</v>
      </c>
      <c r="E110" s="71" t="n">
        <f aca="false">IF($C110=0,0,03_FRFデータ貼付!I107)</f>
        <v>0</v>
      </c>
      <c r="F110" s="71" t="n">
        <f aca="false">IF($C110=0,0,03_FRFデータ貼付!J107)</f>
        <v>0</v>
      </c>
      <c r="G110" s="71" t="n">
        <f aca="false">$C110*1</f>
        <v>0</v>
      </c>
      <c r="H110" s="71" t="n">
        <f aca="false">0</f>
        <v>0</v>
      </c>
      <c r="I110" s="71" t="n">
        <f aca="false">-$C110*$D110^2</f>
        <v>-0</v>
      </c>
      <c r="J110" s="71" t="n">
        <f aca="false">0</f>
        <v>0</v>
      </c>
      <c r="K110" s="71" t="n">
        <f aca="false">-$C110*$E110</f>
        <v>-0</v>
      </c>
      <c r="L110" s="71" t="n">
        <f aca="false">$C110*$D110*$F110</f>
        <v>0</v>
      </c>
      <c r="M110" s="71" t="n">
        <f aca="false">$C110*$D110^2*$E110</f>
        <v>0</v>
      </c>
      <c r="N110" s="71" t="n">
        <f aca="false">-$C110*$D110^3*$F110</f>
        <v>-0</v>
      </c>
      <c r="O110" s="71" t="n">
        <f aca="false">$C110*$D110^4*$E110</f>
        <v>0</v>
      </c>
      <c r="P110" s="2"/>
      <c r="Q110" s="2"/>
    </row>
    <row r="111" customFormat="false" ht="15" hidden="false" customHeight="false" outlineLevel="0" collapsed="false">
      <c r="A111" s="95" t="str">
        <f aca="false">"実部"</f>
        <v>実部</v>
      </c>
      <c r="B111" s="88" t="str">
        <f aca="false">IF(03_FRFデータ貼付!B108="","",03_FRFデータ貼付!A108)</f>
        <v/>
      </c>
      <c r="C111" s="88" t="n">
        <f aca="false">IF(AND(03_FRFデータ貼付!B108&lt;&gt;"",03_FRFデータ貼付!C108&lt;&gt;"",03_FRFデータ貼付!D108&lt;&gt;""),1,0)</f>
        <v>0</v>
      </c>
      <c r="D111" s="71" t="n">
        <f aca="false">IF($C111=0,0,03_FRFデータ貼付!H108)</f>
        <v>0</v>
      </c>
      <c r="E111" s="71" t="n">
        <f aca="false">IF($C111=0,0,03_FRFデータ貼付!I108)</f>
        <v>0</v>
      </c>
      <c r="F111" s="71" t="n">
        <f aca="false">IF($C111=0,0,03_FRFデータ貼付!J108)</f>
        <v>0</v>
      </c>
      <c r="G111" s="71" t="n">
        <f aca="false">$C111*1</f>
        <v>0</v>
      </c>
      <c r="H111" s="71" t="n">
        <f aca="false">0</f>
        <v>0</v>
      </c>
      <c r="I111" s="71" t="n">
        <f aca="false">-$C111*$D111^2</f>
        <v>-0</v>
      </c>
      <c r="J111" s="71" t="n">
        <f aca="false">0</f>
        <v>0</v>
      </c>
      <c r="K111" s="71" t="n">
        <f aca="false">-$C111*$E111</f>
        <v>-0</v>
      </c>
      <c r="L111" s="71" t="n">
        <f aca="false">$C111*$D111*$F111</f>
        <v>0</v>
      </c>
      <c r="M111" s="71" t="n">
        <f aca="false">$C111*$D111^2*$E111</f>
        <v>0</v>
      </c>
      <c r="N111" s="71" t="n">
        <f aca="false">-$C111*$D111^3*$F111</f>
        <v>-0</v>
      </c>
      <c r="O111" s="71" t="n">
        <f aca="false">$C111*$D111^4*$E111</f>
        <v>0</v>
      </c>
      <c r="P111" s="2"/>
      <c r="Q111" s="2"/>
    </row>
    <row r="112" customFormat="false" ht="15" hidden="false" customHeight="false" outlineLevel="0" collapsed="false">
      <c r="A112" s="95" t="str">
        <f aca="false">"実部"</f>
        <v>実部</v>
      </c>
      <c r="B112" s="88" t="str">
        <f aca="false">IF(03_FRFデータ貼付!B109="","",03_FRFデータ貼付!A109)</f>
        <v/>
      </c>
      <c r="C112" s="88" t="n">
        <f aca="false">IF(AND(03_FRFデータ貼付!B109&lt;&gt;"",03_FRFデータ貼付!C109&lt;&gt;"",03_FRFデータ貼付!D109&lt;&gt;""),1,0)</f>
        <v>0</v>
      </c>
      <c r="D112" s="71" t="n">
        <f aca="false">IF($C112=0,0,03_FRFデータ貼付!H109)</f>
        <v>0</v>
      </c>
      <c r="E112" s="71" t="n">
        <f aca="false">IF($C112=0,0,03_FRFデータ貼付!I109)</f>
        <v>0</v>
      </c>
      <c r="F112" s="71" t="n">
        <f aca="false">IF($C112=0,0,03_FRFデータ貼付!J109)</f>
        <v>0</v>
      </c>
      <c r="G112" s="71" t="n">
        <f aca="false">$C112*1</f>
        <v>0</v>
      </c>
      <c r="H112" s="71" t="n">
        <f aca="false">0</f>
        <v>0</v>
      </c>
      <c r="I112" s="71" t="n">
        <f aca="false">-$C112*$D112^2</f>
        <v>-0</v>
      </c>
      <c r="J112" s="71" t="n">
        <f aca="false">0</f>
        <v>0</v>
      </c>
      <c r="K112" s="71" t="n">
        <f aca="false">-$C112*$E112</f>
        <v>-0</v>
      </c>
      <c r="L112" s="71" t="n">
        <f aca="false">$C112*$D112*$F112</f>
        <v>0</v>
      </c>
      <c r="M112" s="71" t="n">
        <f aca="false">$C112*$D112^2*$E112</f>
        <v>0</v>
      </c>
      <c r="N112" s="71" t="n">
        <f aca="false">-$C112*$D112^3*$F112</f>
        <v>-0</v>
      </c>
      <c r="O112" s="71" t="n">
        <f aca="false">$C112*$D112^4*$E112</f>
        <v>0</v>
      </c>
      <c r="P112" s="2"/>
      <c r="Q112" s="2"/>
    </row>
    <row r="113" customFormat="false" ht="15" hidden="false" customHeight="false" outlineLevel="0" collapsed="false">
      <c r="A113" s="95" t="str">
        <f aca="false">"実部"</f>
        <v>実部</v>
      </c>
      <c r="B113" s="88" t="str">
        <f aca="false">IF(03_FRFデータ貼付!B110="","",03_FRFデータ貼付!A110)</f>
        <v/>
      </c>
      <c r="C113" s="88" t="n">
        <f aca="false">IF(AND(03_FRFデータ貼付!B110&lt;&gt;"",03_FRFデータ貼付!C110&lt;&gt;"",03_FRFデータ貼付!D110&lt;&gt;""),1,0)</f>
        <v>0</v>
      </c>
      <c r="D113" s="71" t="n">
        <f aca="false">IF($C113=0,0,03_FRFデータ貼付!H110)</f>
        <v>0</v>
      </c>
      <c r="E113" s="71" t="n">
        <f aca="false">IF($C113=0,0,03_FRFデータ貼付!I110)</f>
        <v>0</v>
      </c>
      <c r="F113" s="71" t="n">
        <f aca="false">IF($C113=0,0,03_FRFデータ貼付!J110)</f>
        <v>0</v>
      </c>
      <c r="G113" s="71" t="n">
        <f aca="false">$C113*1</f>
        <v>0</v>
      </c>
      <c r="H113" s="71" t="n">
        <f aca="false">0</f>
        <v>0</v>
      </c>
      <c r="I113" s="71" t="n">
        <f aca="false">-$C113*$D113^2</f>
        <v>-0</v>
      </c>
      <c r="J113" s="71" t="n">
        <f aca="false">0</f>
        <v>0</v>
      </c>
      <c r="K113" s="71" t="n">
        <f aca="false">-$C113*$E113</f>
        <v>-0</v>
      </c>
      <c r="L113" s="71" t="n">
        <f aca="false">$C113*$D113*$F113</f>
        <v>0</v>
      </c>
      <c r="M113" s="71" t="n">
        <f aca="false">$C113*$D113^2*$E113</f>
        <v>0</v>
      </c>
      <c r="N113" s="71" t="n">
        <f aca="false">-$C113*$D113^3*$F113</f>
        <v>-0</v>
      </c>
      <c r="O113" s="71" t="n">
        <f aca="false">$C113*$D113^4*$E113</f>
        <v>0</v>
      </c>
      <c r="P113" s="2"/>
      <c r="Q113" s="2"/>
    </row>
    <row r="114" customFormat="false" ht="15" hidden="false" customHeight="false" outlineLevel="0" collapsed="false">
      <c r="A114" s="95" t="str">
        <f aca="false">"実部"</f>
        <v>実部</v>
      </c>
      <c r="B114" s="88" t="str">
        <f aca="false">IF(03_FRFデータ貼付!B111="","",03_FRFデータ貼付!A111)</f>
        <v/>
      </c>
      <c r="C114" s="88" t="n">
        <f aca="false">IF(AND(03_FRFデータ貼付!B111&lt;&gt;"",03_FRFデータ貼付!C111&lt;&gt;"",03_FRFデータ貼付!D111&lt;&gt;""),1,0)</f>
        <v>0</v>
      </c>
      <c r="D114" s="71" t="n">
        <f aca="false">IF($C114=0,0,03_FRFデータ貼付!H111)</f>
        <v>0</v>
      </c>
      <c r="E114" s="71" t="n">
        <f aca="false">IF($C114=0,0,03_FRFデータ貼付!I111)</f>
        <v>0</v>
      </c>
      <c r="F114" s="71" t="n">
        <f aca="false">IF($C114=0,0,03_FRFデータ貼付!J111)</f>
        <v>0</v>
      </c>
      <c r="G114" s="71" t="n">
        <f aca="false">$C114*1</f>
        <v>0</v>
      </c>
      <c r="H114" s="71" t="n">
        <f aca="false">0</f>
        <v>0</v>
      </c>
      <c r="I114" s="71" t="n">
        <f aca="false">-$C114*$D114^2</f>
        <v>-0</v>
      </c>
      <c r="J114" s="71" t="n">
        <f aca="false">0</f>
        <v>0</v>
      </c>
      <c r="K114" s="71" t="n">
        <f aca="false">-$C114*$E114</f>
        <v>-0</v>
      </c>
      <c r="L114" s="71" t="n">
        <f aca="false">$C114*$D114*$F114</f>
        <v>0</v>
      </c>
      <c r="M114" s="71" t="n">
        <f aca="false">$C114*$D114^2*$E114</f>
        <v>0</v>
      </c>
      <c r="N114" s="71" t="n">
        <f aca="false">-$C114*$D114^3*$F114</f>
        <v>-0</v>
      </c>
      <c r="O114" s="71" t="n">
        <f aca="false">$C114*$D114^4*$E114</f>
        <v>0</v>
      </c>
      <c r="P114" s="2"/>
      <c r="Q114" s="2"/>
    </row>
    <row r="115" customFormat="false" ht="15" hidden="false" customHeight="false" outlineLevel="0" collapsed="false">
      <c r="A115" s="95" t="str">
        <f aca="false">"実部"</f>
        <v>実部</v>
      </c>
      <c r="B115" s="88" t="str">
        <f aca="false">IF(03_FRFデータ貼付!B112="","",03_FRFデータ貼付!A112)</f>
        <v/>
      </c>
      <c r="C115" s="88" t="n">
        <f aca="false">IF(AND(03_FRFデータ貼付!B112&lt;&gt;"",03_FRFデータ貼付!C112&lt;&gt;"",03_FRFデータ貼付!D112&lt;&gt;""),1,0)</f>
        <v>0</v>
      </c>
      <c r="D115" s="71" t="n">
        <f aca="false">IF($C115=0,0,03_FRFデータ貼付!H112)</f>
        <v>0</v>
      </c>
      <c r="E115" s="71" t="n">
        <f aca="false">IF($C115=0,0,03_FRFデータ貼付!I112)</f>
        <v>0</v>
      </c>
      <c r="F115" s="71" t="n">
        <f aca="false">IF($C115=0,0,03_FRFデータ貼付!J112)</f>
        <v>0</v>
      </c>
      <c r="G115" s="71" t="n">
        <f aca="false">$C115*1</f>
        <v>0</v>
      </c>
      <c r="H115" s="71" t="n">
        <f aca="false">0</f>
        <v>0</v>
      </c>
      <c r="I115" s="71" t="n">
        <f aca="false">-$C115*$D115^2</f>
        <v>-0</v>
      </c>
      <c r="J115" s="71" t="n">
        <f aca="false">0</f>
        <v>0</v>
      </c>
      <c r="K115" s="71" t="n">
        <f aca="false">-$C115*$E115</f>
        <v>-0</v>
      </c>
      <c r="L115" s="71" t="n">
        <f aca="false">$C115*$D115*$F115</f>
        <v>0</v>
      </c>
      <c r="M115" s="71" t="n">
        <f aca="false">$C115*$D115^2*$E115</f>
        <v>0</v>
      </c>
      <c r="N115" s="71" t="n">
        <f aca="false">-$C115*$D115^3*$F115</f>
        <v>-0</v>
      </c>
      <c r="O115" s="71" t="n">
        <f aca="false">$C115*$D115^4*$E115</f>
        <v>0</v>
      </c>
      <c r="P115" s="2"/>
      <c r="Q115" s="2"/>
    </row>
    <row r="116" customFormat="false" ht="15" hidden="false" customHeight="false" outlineLevel="0" collapsed="false">
      <c r="A116" s="95" t="str">
        <f aca="false">"実部"</f>
        <v>実部</v>
      </c>
      <c r="B116" s="88" t="str">
        <f aca="false">IF(03_FRFデータ貼付!B113="","",03_FRFデータ貼付!A113)</f>
        <v/>
      </c>
      <c r="C116" s="88" t="n">
        <f aca="false">IF(AND(03_FRFデータ貼付!B113&lt;&gt;"",03_FRFデータ貼付!C113&lt;&gt;"",03_FRFデータ貼付!D113&lt;&gt;""),1,0)</f>
        <v>0</v>
      </c>
      <c r="D116" s="71" t="n">
        <f aca="false">IF($C116=0,0,03_FRFデータ貼付!H113)</f>
        <v>0</v>
      </c>
      <c r="E116" s="71" t="n">
        <f aca="false">IF($C116=0,0,03_FRFデータ貼付!I113)</f>
        <v>0</v>
      </c>
      <c r="F116" s="71" t="n">
        <f aca="false">IF($C116=0,0,03_FRFデータ貼付!J113)</f>
        <v>0</v>
      </c>
      <c r="G116" s="71" t="n">
        <f aca="false">$C116*1</f>
        <v>0</v>
      </c>
      <c r="H116" s="71" t="n">
        <f aca="false">0</f>
        <v>0</v>
      </c>
      <c r="I116" s="71" t="n">
        <f aca="false">-$C116*$D116^2</f>
        <v>-0</v>
      </c>
      <c r="J116" s="71" t="n">
        <f aca="false">0</f>
        <v>0</v>
      </c>
      <c r="K116" s="71" t="n">
        <f aca="false">-$C116*$E116</f>
        <v>-0</v>
      </c>
      <c r="L116" s="71" t="n">
        <f aca="false">$C116*$D116*$F116</f>
        <v>0</v>
      </c>
      <c r="M116" s="71" t="n">
        <f aca="false">$C116*$D116^2*$E116</f>
        <v>0</v>
      </c>
      <c r="N116" s="71" t="n">
        <f aca="false">-$C116*$D116^3*$F116</f>
        <v>-0</v>
      </c>
      <c r="O116" s="71" t="n">
        <f aca="false">$C116*$D116^4*$E116</f>
        <v>0</v>
      </c>
      <c r="P116" s="2"/>
      <c r="Q116" s="2"/>
    </row>
    <row r="117" customFormat="false" ht="15" hidden="false" customHeight="false" outlineLevel="0" collapsed="false">
      <c r="A117" s="95" t="str">
        <f aca="false">"実部"</f>
        <v>実部</v>
      </c>
      <c r="B117" s="88" t="str">
        <f aca="false">IF(03_FRFデータ貼付!B114="","",03_FRFデータ貼付!A114)</f>
        <v/>
      </c>
      <c r="C117" s="88" t="n">
        <f aca="false">IF(AND(03_FRFデータ貼付!B114&lt;&gt;"",03_FRFデータ貼付!C114&lt;&gt;"",03_FRFデータ貼付!D114&lt;&gt;""),1,0)</f>
        <v>0</v>
      </c>
      <c r="D117" s="71" t="n">
        <f aca="false">IF($C117=0,0,03_FRFデータ貼付!H114)</f>
        <v>0</v>
      </c>
      <c r="E117" s="71" t="n">
        <f aca="false">IF($C117=0,0,03_FRFデータ貼付!I114)</f>
        <v>0</v>
      </c>
      <c r="F117" s="71" t="n">
        <f aca="false">IF($C117=0,0,03_FRFデータ貼付!J114)</f>
        <v>0</v>
      </c>
      <c r="G117" s="71" t="n">
        <f aca="false">$C117*1</f>
        <v>0</v>
      </c>
      <c r="H117" s="71" t="n">
        <f aca="false">0</f>
        <v>0</v>
      </c>
      <c r="I117" s="71" t="n">
        <f aca="false">-$C117*$D117^2</f>
        <v>-0</v>
      </c>
      <c r="J117" s="71" t="n">
        <f aca="false">0</f>
        <v>0</v>
      </c>
      <c r="K117" s="71" t="n">
        <f aca="false">-$C117*$E117</f>
        <v>-0</v>
      </c>
      <c r="L117" s="71" t="n">
        <f aca="false">$C117*$D117*$F117</f>
        <v>0</v>
      </c>
      <c r="M117" s="71" t="n">
        <f aca="false">$C117*$D117^2*$E117</f>
        <v>0</v>
      </c>
      <c r="N117" s="71" t="n">
        <f aca="false">-$C117*$D117^3*$F117</f>
        <v>-0</v>
      </c>
      <c r="O117" s="71" t="n">
        <f aca="false">$C117*$D117^4*$E117</f>
        <v>0</v>
      </c>
      <c r="P117" s="2"/>
      <c r="Q117" s="2"/>
    </row>
    <row r="118" customFormat="false" ht="15" hidden="false" customHeight="false" outlineLevel="0" collapsed="false">
      <c r="A118" s="95" t="str">
        <f aca="false">"実部"</f>
        <v>実部</v>
      </c>
      <c r="B118" s="88" t="str">
        <f aca="false">IF(03_FRFデータ貼付!B115="","",03_FRFデータ貼付!A115)</f>
        <v/>
      </c>
      <c r="C118" s="88" t="n">
        <f aca="false">IF(AND(03_FRFデータ貼付!B115&lt;&gt;"",03_FRFデータ貼付!C115&lt;&gt;"",03_FRFデータ貼付!D115&lt;&gt;""),1,0)</f>
        <v>0</v>
      </c>
      <c r="D118" s="71" t="n">
        <f aca="false">IF($C118=0,0,03_FRFデータ貼付!H115)</f>
        <v>0</v>
      </c>
      <c r="E118" s="71" t="n">
        <f aca="false">IF($C118=0,0,03_FRFデータ貼付!I115)</f>
        <v>0</v>
      </c>
      <c r="F118" s="71" t="n">
        <f aca="false">IF($C118=0,0,03_FRFデータ貼付!J115)</f>
        <v>0</v>
      </c>
      <c r="G118" s="71" t="n">
        <f aca="false">$C118*1</f>
        <v>0</v>
      </c>
      <c r="H118" s="71" t="n">
        <f aca="false">0</f>
        <v>0</v>
      </c>
      <c r="I118" s="71" t="n">
        <f aca="false">-$C118*$D118^2</f>
        <v>-0</v>
      </c>
      <c r="J118" s="71" t="n">
        <f aca="false">0</f>
        <v>0</v>
      </c>
      <c r="K118" s="71" t="n">
        <f aca="false">-$C118*$E118</f>
        <v>-0</v>
      </c>
      <c r="L118" s="71" t="n">
        <f aca="false">$C118*$D118*$F118</f>
        <v>0</v>
      </c>
      <c r="M118" s="71" t="n">
        <f aca="false">$C118*$D118^2*$E118</f>
        <v>0</v>
      </c>
      <c r="N118" s="71" t="n">
        <f aca="false">-$C118*$D118^3*$F118</f>
        <v>-0</v>
      </c>
      <c r="O118" s="71" t="n">
        <f aca="false">$C118*$D118^4*$E118</f>
        <v>0</v>
      </c>
      <c r="P118" s="2"/>
      <c r="Q118" s="2"/>
    </row>
    <row r="119" customFormat="false" ht="15" hidden="false" customHeight="false" outlineLevel="0" collapsed="false">
      <c r="A119" s="95" t="str">
        <f aca="false">"実部"</f>
        <v>実部</v>
      </c>
      <c r="B119" s="88" t="str">
        <f aca="false">IF(03_FRFデータ貼付!B116="","",03_FRFデータ貼付!A116)</f>
        <v/>
      </c>
      <c r="C119" s="88" t="n">
        <f aca="false">IF(AND(03_FRFデータ貼付!B116&lt;&gt;"",03_FRFデータ貼付!C116&lt;&gt;"",03_FRFデータ貼付!D116&lt;&gt;""),1,0)</f>
        <v>0</v>
      </c>
      <c r="D119" s="71" t="n">
        <f aca="false">IF($C119=0,0,03_FRFデータ貼付!H116)</f>
        <v>0</v>
      </c>
      <c r="E119" s="71" t="n">
        <f aca="false">IF($C119=0,0,03_FRFデータ貼付!I116)</f>
        <v>0</v>
      </c>
      <c r="F119" s="71" t="n">
        <f aca="false">IF($C119=0,0,03_FRFデータ貼付!J116)</f>
        <v>0</v>
      </c>
      <c r="G119" s="71" t="n">
        <f aca="false">$C119*1</f>
        <v>0</v>
      </c>
      <c r="H119" s="71" t="n">
        <f aca="false">0</f>
        <v>0</v>
      </c>
      <c r="I119" s="71" t="n">
        <f aca="false">-$C119*$D119^2</f>
        <v>-0</v>
      </c>
      <c r="J119" s="71" t="n">
        <f aca="false">0</f>
        <v>0</v>
      </c>
      <c r="K119" s="71" t="n">
        <f aca="false">-$C119*$E119</f>
        <v>-0</v>
      </c>
      <c r="L119" s="71" t="n">
        <f aca="false">$C119*$D119*$F119</f>
        <v>0</v>
      </c>
      <c r="M119" s="71" t="n">
        <f aca="false">$C119*$D119^2*$E119</f>
        <v>0</v>
      </c>
      <c r="N119" s="71" t="n">
        <f aca="false">-$C119*$D119^3*$F119</f>
        <v>-0</v>
      </c>
      <c r="O119" s="71" t="n">
        <f aca="false">$C119*$D119^4*$E119</f>
        <v>0</v>
      </c>
      <c r="P119" s="2"/>
      <c r="Q119" s="2"/>
    </row>
    <row r="120" customFormat="false" ht="15" hidden="false" customHeight="false" outlineLevel="0" collapsed="false">
      <c r="A120" s="95" t="str">
        <f aca="false">"実部"</f>
        <v>実部</v>
      </c>
      <c r="B120" s="88" t="str">
        <f aca="false">IF(03_FRFデータ貼付!B117="","",03_FRFデータ貼付!A117)</f>
        <v/>
      </c>
      <c r="C120" s="88" t="n">
        <f aca="false">IF(AND(03_FRFデータ貼付!B117&lt;&gt;"",03_FRFデータ貼付!C117&lt;&gt;"",03_FRFデータ貼付!D117&lt;&gt;""),1,0)</f>
        <v>0</v>
      </c>
      <c r="D120" s="71" t="n">
        <f aca="false">IF($C120=0,0,03_FRFデータ貼付!H117)</f>
        <v>0</v>
      </c>
      <c r="E120" s="71" t="n">
        <f aca="false">IF($C120=0,0,03_FRFデータ貼付!I117)</f>
        <v>0</v>
      </c>
      <c r="F120" s="71" t="n">
        <f aca="false">IF($C120=0,0,03_FRFデータ貼付!J117)</f>
        <v>0</v>
      </c>
      <c r="G120" s="71" t="n">
        <f aca="false">$C120*1</f>
        <v>0</v>
      </c>
      <c r="H120" s="71" t="n">
        <f aca="false">0</f>
        <v>0</v>
      </c>
      <c r="I120" s="71" t="n">
        <f aca="false">-$C120*$D120^2</f>
        <v>-0</v>
      </c>
      <c r="J120" s="71" t="n">
        <f aca="false">0</f>
        <v>0</v>
      </c>
      <c r="K120" s="71" t="n">
        <f aca="false">-$C120*$E120</f>
        <v>-0</v>
      </c>
      <c r="L120" s="71" t="n">
        <f aca="false">$C120*$D120*$F120</f>
        <v>0</v>
      </c>
      <c r="M120" s="71" t="n">
        <f aca="false">$C120*$D120^2*$E120</f>
        <v>0</v>
      </c>
      <c r="N120" s="71" t="n">
        <f aca="false">-$C120*$D120^3*$F120</f>
        <v>-0</v>
      </c>
      <c r="O120" s="71" t="n">
        <f aca="false">$C120*$D120^4*$E120</f>
        <v>0</v>
      </c>
      <c r="P120" s="2"/>
      <c r="Q120" s="2"/>
    </row>
    <row r="121" customFormat="false" ht="15" hidden="false" customHeight="false" outlineLevel="0" collapsed="false">
      <c r="A121" s="95" t="str">
        <f aca="false">"実部"</f>
        <v>実部</v>
      </c>
      <c r="B121" s="88" t="str">
        <f aca="false">IF(03_FRFデータ貼付!B118="","",03_FRFデータ貼付!A118)</f>
        <v/>
      </c>
      <c r="C121" s="88" t="n">
        <f aca="false">IF(AND(03_FRFデータ貼付!B118&lt;&gt;"",03_FRFデータ貼付!C118&lt;&gt;"",03_FRFデータ貼付!D118&lt;&gt;""),1,0)</f>
        <v>0</v>
      </c>
      <c r="D121" s="71" t="n">
        <f aca="false">IF($C121=0,0,03_FRFデータ貼付!H118)</f>
        <v>0</v>
      </c>
      <c r="E121" s="71" t="n">
        <f aca="false">IF($C121=0,0,03_FRFデータ貼付!I118)</f>
        <v>0</v>
      </c>
      <c r="F121" s="71" t="n">
        <f aca="false">IF($C121=0,0,03_FRFデータ貼付!J118)</f>
        <v>0</v>
      </c>
      <c r="G121" s="71" t="n">
        <f aca="false">$C121*1</f>
        <v>0</v>
      </c>
      <c r="H121" s="71" t="n">
        <f aca="false">0</f>
        <v>0</v>
      </c>
      <c r="I121" s="71" t="n">
        <f aca="false">-$C121*$D121^2</f>
        <v>-0</v>
      </c>
      <c r="J121" s="71" t="n">
        <f aca="false">0</f>
        <v>0</v>
      </c>
      <c r="K121" s="71" t="n">
        <f aca="false">-$C121*$E121</f>
        <v>-0</v>
      </c>
      <c r="L121" s="71" t="n">
        <f aca="false">$C121*$D121*$F121</f>
        <v>0</v>
      </c>
      <c r="M121" s="71" t="n">
        <f aca="false">$C121*$D121^2*$E121</f>
        <v>0</v>
      </c>
      <c r="N121" s="71" t="n">
        <f aca="false">-$C121*$D121^3*$F121</f>
        <v>-0</v>
      </c>
      <c r="O121" s="71" t="n">
        <f aca="false">$C121*$D121^4*$E121</f>
        <v>0</v>
      </c>
      <c r="P121" s="2"/>
      <c r="Q121" s="2"/>
    </row>
    <row r="122" customFormat="false" ht="15" hidden="false" customHeight="false" outlineLevel="0" collapsed="false">
      <c r="A122" s="95" t="str">
        <f aca="false">"実部"</f>
        <v>実部</v>
      </c>
      <c r="B122" s="88" t="str">
        <f aca="false">IF(03_FRFデータ貼付!B119="","",03_FRFデータ貼付!A119)</f>
        <v/>
      </c>
      <c r="C122" s="88" t="n">
        <f aca="false">IF(AND(03_FRFデータ貼付!B119&lt;&gt;"",03_FRFデータ貼付!C119&lt;&gt;"",03_FRFデータ貼付!D119&lt;&gt;""),1,0)</f>
        <v>0</v>
      </c>
      <c r="D122" s="71" t="n">
        <f aca="false">IF($C122=0,0,03_FRFデータ貼付!H119)</f>
        <v>0</v>
      </c>
      <c r="E122" s="71" t="n">
        <f aca="false">IF($C122=0,0,03_FRFデータ貼付!I119)</f>
        <v>0</v>
      </c>
      <c r="F122" s="71" t="n">
        <f aca="false">IF($C122=0,0,03_FRFデータ貼付!J119)</f>
        <v>0</v>
      </c>
      <c r="G122" s="71" t="n">
        <f aca="false">$C122*1</f>
        <v>0</v>
      </c>
      <c r="H122" s="71" t="n">
        <f aca="false">0</f>
        <v>0</v>
      </c>
      <c r="I122" s="71" t="n">
        <f aca="false">-$C122*$D122^2</f>
        <v>-0</v>
      </c>
      <c r="J122" s="71" t="n">
        <f aca="false">0</f>
        <v>0</v>
      </c>
      <c r="K122" s="71" t="n">
        <f aca="false">-$C122*$E122</f>
        <v>-0</v>
      </c>
      <c r="L122" s="71" t="n">
        <f aca="false">$C122*$D122*$F122</f>
        <v>0</v>
      </c>
      <c r="M122" s="71" t="n">
        <f aca="false">$C122*$D122^2*$E122</f>
        <v>0</v>
      </c>
      <c r="N122" s="71" t="n">
        <f aca="false">-$C122*$D122^3*$F122</f>
        <v>-0</v>
      </c>
      <c r="O122" s="71" t="n">
        <f aca="false">$C122*$D122^4*$E122</f>
        <v>0</v>
      </c>
      <c r="P122" s="2"/>
      <c r="Q122" s="2"/>
    </row>
    <row r="123" customFormat="false" ht="15" hidden="false" customHeight="false" outlineLevel="0" collapsed="false">
      <c r="A123" s="95" t="str">
        <f aca="false">"実部"</f>
        <v>実部</v>
      </c>
      <c r="B123" s="88" t="str">
        <f aca="false">IF(03_FRFデータ貼付!B120="","",03_FRFデータ貼付!A120)</f>
        <v/>
      </c>
      <c r="C123" s="88" t="n">
        <f aca="false">IF(AND(03_FRFデータ貼付!B120&lt;&gt;"",03_FRFデータ貼付!C120&lt;&gt;"",03_FRFデータ貼付!D120&lt;&gt;""),1,0)</f>
        <v>0</v>
      </c>
      <c r="D123" s="71" t="n">
        <f aca="false">IF($C123=0,0,03_FRFデータ貼付!H120)</f>
        <v>0</v>
      </c>
      <c r="E123" s="71" t="n">
        <f aca="false">IF($C123=0,0,03_FRFデータ貼付!I120)</f>
        <v>0</v>
      </c>
      <c r="F123" s="71" t="n">
        <f aca="false">IF($C123=0,0,03_FRFデータ貼付!J120)</f>
        <v>0</v>
      </c>
      <c r="G123" s="71" t="n">
        <f aca="false">$C123*1</f>
        <v>0</v>
      </c>
      <c r="H123" s="71" t="n">
        <f aca="false">0</f>
        <v>0</v>
      </c>
      <c r="I123" s="71" t="n">
        <f aca="false">-$C123*$D123^2</f>
        <v>-0</v>
      </c>
      <c r="J123" s="71" t="n">
        <f aca="false">0</f>
        <v>0</v>
      </c>
      <c r="K123" s="71" t="n">
        <f aca="false">-$C123*$E123</f>
        <v>-0</v>
      </c>
      <c r="L123" s="71" t="n">
        <f aca="false">$C123*$D123*$F123</f>
        <v>0</v>
      </c>
      <c r="M123" s="71" t="n">
        <f aca="false">$C123*$D123^2*$E123</f>
        <v>0</v>
      </c>
      <c r="N123" s="71" t="n">
        <f aca="false">-$C123*$D123^3*$F123</f>
        <v>-0</v>
      </c>
      <c r="O123" s="71" t="n">
        <f aca="false">$C123*$D123^4*$E123</f>
        <v>0</v>
      </c>
      <c r="P123" s="2"/>
      <c r="Q123" s="2"/>
    </row>
    <row r="124" customFormat="false" ht="15" hidden="false" customHeight="false" outlineLevel="0" collapsed="false">
      <c r="A124" s="95" t="str">
        <f aca="false">"実部"</f>
        <v>実部</v>
      </c>
      <c r="B124" s="88" t="str">
        <f aca="false">IF(03_FRFデータ貼付!B121="","",03_FRFデータ貼付!A121)</f>
        <v/>
      </c>
      <c r="C124" s="88" t="n">
        <f aca="false">IF(AND(03_FRFデータ貼付!B121&lt;&gt;"",03_FRFデータ貼付!C121&lt;&gt;"",03_FRFデータ貼付!D121&lt;&gt;""),1,0)</f>
        <v>0</v>
      </c>
      <c r="D124" s="71" t="n">
        <f aca="false">IF($C124=0,0,03_FRFデータ貼付!H121)</f>
        <v>0</v>
      </c>
      <c r="E124" s="71" t="n">
        <f aca="false">IF($C124=0,0,03_FRFデータ貼付!I121)</f>
        <v>0</v>
      </c>
      <c r="F124" s="71" t="n">
        <f aca="false">IF($C124=0,0,03_FRFデータ貼付!J121)</f>
        <v>0</v>
      </c>
      <c r="G124" s="71" t="n">
        <f aca="false">$C124*1</f>
        <v>0</v>
      </c>
      <c r="H124" s="71" t="n">
        <f aca="false">0</f>
        <v>0</v>
      </c>
      <c r="I124" s="71" t="n">
        <f aca="false">-$C124*$D124^2</f>
        <v>-0</v>
      </c>
      <c r="J124" s="71" t="n">
        <f aca="false">0</f>
        <v>0</v>
      </c>
      <c r="K124" s="71" t="n">
        <f aca="false">-$C124*$E124</f>
        <v>-0</v>
      </c>
      <c r="L124" s="71" t="n">
        <f aca="false">$C124*$D124*$F124</f>
        <v>0</v>
      </c>
      <c r="M124" s="71" t="n">
        <f aca="false">$C124*$D124^2*$E124</f>
        <v>0</v>
      </c>
      <c r="N124" s="71" t="n">
        <f aca="false">-$C124*$D124^3*$F124</f>
        <v>-0</v>
      </c>
      <c r="O124" s="71" t="n">
        <f aca="false">$C124*$D124^4*$E124</f>
        <v>0</v>
      </c>
      <c r="P124" s="2"/>
      <c r="Q124" s="2"/>
    </row>
    <row r="125" customFormat="false" ht="15" hidden="false" customHeight="false" outlineLevel="0" collapsed="false">
      <c r="A125" s="95" t="str">
        <f aca="false">"実部"</f>
        <v>実部</v>
      </c>
      <c r="B125" s="88" t="str">
        <f aca="false">IF(03_FRFデータ貼付!B122="","",03_FRFデータ貼付!A122)</f>
        <v/>
      </c>
      <c r="C125" s="88" t="n">
        <f aca="false">IF(AND(03_FRFデータ貼付!B122&lt;&gt;"",03_FRFデータ貼付!C122&lt;&gt;"",03_FRFデータ貼付!D122&lt;&gt;""),1,0)</f>
        <v>0</v>
      </c>
      <c r="D125" s="71" t="n">
        <f aca="false">IF($C125=0,0,03_FRFデータ貼付!H122)</f>
        <v>0</v>
      </c>
      <c r="E125" s="71" t="n">
        <f aca="false">IF($C125=0,0,03_FRFデータ貼付!I122)</f>
        <v>0</v>
      </c>
      <c r="F125" s="71" t="n">
        <f aca="false">IF($C125=0,0,03_FRFデータ貼付!J122)</f>
        <v>0</v>
      </c>
      <c r="G125" s="71" t="n">
        <f aca="false">$C125*1</f>
        <v>0</v>
      </c>
      <c r="H125" s="71" t="n">
        <f aca="false">0</f>
        <v>0</v>
      </c>
      <c r="I125" s="71" t="n">
        <f aca="false">-$C125*$D125^2</f>
        <v>-0</v>
      </c>
      <c r="J125" s="71" t="n">
        <f aca="false">0</f>
        <v>0</v>
      </c>
      <c r="K125" s="71" t="n">
        <f aca="false">-$C125*$E125</f>
        <v>-0</v>
      </c>
      <c r="L125" s="71" t="n">
        <f aca="false">$C125*$D125*$F125</f>
        <v>0</v>
      </c>
      <c r="M125" s="71" t="n">
        <f aca="false">$C125*$D125^2*$E125</f>
        <v>0</v>
      </c>
      <c r="N125" s="71" t="n">
        <f aca="false">-$C125*$D125^3*$F125</f>
        <v>-0</v>
      </c>
      <c r="O125" s="71" t="n">
        <f aca="false">$C125*$D125^4*$E125</f>
        <v>0</v>
      </c>
      <c r="P125" s="2"/>
      <c r="Q125" s="2"/>
    </row>
    <row r="126" customFormat="false" ht="15" hidden="false" customHeight="false" outlineLevel="0" collapsed="false">
      <c r="A126" s="95" t="str">
        <f aca="false">"実部"</f>
        <v>実部</v>
      </c>
      <c r="B126" s="88" t="str">
        <f aca="false">IF(03_FRFデータ貼付!B123="","",03_FRFデータ貼付!A123)</f>
        <v/>
      </c>
      <c r="C126" s="88" t="n">
        <f aca="false">IF(AND(03_FRFデータ貼付!B123&lt;&gt;"",03_FRFデータ貼付!C123&lt;&gt;"",03_FRFデータ貼付!D123&lt;&gt;""),1,0)</f>
        <v>0</v>
      </c>
      <c r="D126" s="71" t="n">
        <f aca="false">IF($C126=0,0,03_FRFデータ貼付!H123)</f>
        <v>0</v>
      </c>
      <c r="E126" s="71" t="n">
        <f aca="false">IF($C126=0,0,03_FRFデータ貼付!I123)</f>
        <v>0</v>
      </c>
      <c r="F126" s="71" t="n">
        <f aca="false">IF($C126=0,0,03_FRFデータ貼付!J123)</f>
        <v>0</v>
      </c>
      <c r="G126" s="71" t="n">
        <f aca="false">$C126*1</f>
        <v>0</v>
      </c>
      <c r="H126" s="71" t="n">
        <f aca="false">0</f>
        <v>0</v>
      </c>
      <c r="I126" s="71" t="n">
        <f aca="false">-$C126*$D126^2</f>
        <v>-0</v>
      </c>
      <c r="J126" s="71" t="n">
        <f aca="false">0</f>
        <v>0</v>
      </c>
      <c r="K126" s="71" t="n">
        <f aca="false">-$C126*$E126</f>
        <v>-0</v>
      </c>
      <c r="L126" s="71" t="n">
        <f aca="false">$C126*$D126*$F126</f>
        <v>0</v>
      </c>
      <c r="M126" s="71" t="n">
        <f aca="false">$C126*$D126^2*$E126</f>
        <v>0</v>
      </c>
      <c r="N126" s="71" t="n">
        <f aca="false">-$C126*$D126^3*$F126</f>
        <v>-0</v>
      </c>
      <c r="O126" s="71" t="n">
        <f aca="false">$C126*$D126^4*$E126</f>
        <v>0</v>
      </c>
      <c r="P126" s="2"/>
      <c r="Q126" s="2"/>
    </row>
    <row r="127" customFormat="false" ht="15" hidden="false" customHeight="false" outlineLevel="0" collapsed="false">
      <c r="A127" s="95" t="str">
        <f aca="false">"実部"</f>
        <v>実部</v>
      </c>
      <c r="B127" s="88" t="str">
        <f aca="false">IF(03_FRFデータ貼付!B124="","",03_FRFデータ貼付!A124)</f>
        <v/>
      </c>
      <c r="C127" s="88" t="n">
        <f aca="false">IF(AND(03_FRFデータ貼付!B124&lt;&gt;"",03_FRFデータ貼付!C124&lt;&gt;"",03_FRFデータ貼付!D124&lt;&gt;""),1,0)</f>
        <v>0</v>
      </c>
      <c r="D127" s="71" t="n">
        <f aca="false">IF($C127=0,0,03_FRFデータ貼付!H124)</f>
        <v>0</v>
      </c>
      <c r="E127" s="71" t="n">
        <f aca="false">IF($C127=0,0,03_FRFデータ貼付!I124)</f>
        <v>0</v>
      </c>
      <c r="F127" s="71" t="n">
        <f aca="false">IF($C127=0,0,03_FRFデータ貼付!J124)</f>
        <v>0</v>
      </c>
      <c r="G127" s="71" t="n">
        <f aca="false">$C127*1</f>
        <v>0</v>
      </c>
      <c r="H127" s="71" t="n">
        <f aca="false">0</f>
        <v>0</v>
      </c>
      <c r="I127" s="71" t="n">
        <f aca="false">-$C127*$D127^2</f>
        <v>-0</v>
      </c>
      <c r="J127" s="71" t="n">
        <f aca="false">0</f>
        <v>0</v>
      </c>
      <c r="K127" s="71" t="n">
        <f aca="false">-$C127*$E127</f>
        <v>-0</v>
      </c>
      <c r="L127" s="71" t="n">
        <f aca="false">$C127*$D127*$F127</f>
        <v>0</v>
      </c>
      <c r="M127" s="71" t="n">
        <f aca="false">$C127*$D127^2*$E127</f>
        <v>0</v>
      </c>
      <c r="N127" s="71" t="n">
        <f aca="false">-$C127*$D127^3*$F127</f>
        <v>-0</v>
      </c>
      <c r="O127" s="71" t="n">
        <f aca="false">$C127*$D127^4*$E127</f>
        <v>0</v>
      </c>
      <c r="P127" s="2"/>
      <c r="Q127" s="2"/>
    </row>
    <row r="128" customFormat="false" ht="15" hidden="false" customHeight="false" outlineLevel="0" collapsed="false">
      <c r="A128" s="95" t="str">
        <f aca="false">"実部"</f>
        <v>実部</v>
      </c>
      <c r="B128" s="88" t="str">
        <f aca="false">IF(03_FRFデータ貼付!B125="","",03_FRFデータ貼付!A125)</f>
        <v/>
      </c>
      <c r="C128" s="88" t="n">
        <f aca="false">IF(AND(03_FRFデータ貼付!B125&lt;&gt;"",03_FRFデータ貼付!C125&lt;&gt;"",03_FRFデータ貼付!D125&lt;&gt;""),1,0)</f>
        <v>0</v>
      </c>
      <c r="D128" s="71" t="n">
        <f aca="false">IF($C128=0,0,03_FRFデータ貼付!H125)</f>
        <v>0</v>
      </c>
      <c r="E128" s="71" t="n">
        <f aca="false">IF($C128=0,0,03_FRFデータ貼付!I125)</f>
        <v>0</v>
      </c>
      <c r="F128" s="71" t="n">
        <f aca="false">IF($C128=0,0,03_FRFデータ貼付!J125)</f>
        <v>0</v>
      </c>
      <c r="G128" s="71" t="n">
        <f aca="false">$C128*1</f>
        <v>0</v>
      </c>
      <c r="H128" s="71" t="n">
        <f aca="false">0</f>
        <v>0</v>
      </c>
      <c r="I128" s="71" t="n">
        <f aca="false">-$C128*$D128^2</f>
        <v>-0</v>
      </c>
      <c r="J128" s="71" t="n">
        <f aca="false">0</f>
        <v>0</v>
      </c>
      <c r="K128" s="71" t="n">
        <f aca="false">-$C128*$E128</f>
        <v>-0</v>
      </c>
      <c r="L128" s="71" t="n">
        <f aca="false">$C128*$D128*$F128</f>
        <v>0</v>
      </c>
      <c r="M128" s="71" t="n">
        <f aca="false">$C128*$D128^2*$E128</f>
        <v>0</v>
      </c>
      <c r="N128" s="71" t="n">
        <f aca="false">-$C128*$D128^3*$F128</f>
        <v>-0</v>
      </c>
      <c r="O128" s="71" t="n">
        <f aca="false">$C128*$D128^4*$E128</f>
        <v>0</v>
      </c>
      <c r="P128" s="2"/>
      <c r="Q128" s="2"/>
    </row>
    <row r="129" customFormat="false" ht="15" hidden="false" customHeight="false" outlineLevel="0" collapsed="false">
      <c r="A129" s="95" t="str">
        <f aca="false">"実部"</f>
        <v>実部</v>
      </c>
      <c r="B129" s="88" t="str">
        <f aca="false">IF(03_FRFデータ貼付!B126="","",03_FRFデータ貼付!A126)</f>
        <v/>
      </c>
      <c r="C129" s="88" t="n">
        <f aca="false">IF(AND(03_FRFデータ貼付!B126&lt;&gt;"",03_FRFデータ貼付!C126&lt;&gt;"",03_FRFデータ貼付!D126&lt;&gt;""),1,0)</f>
        <v>0</v>
      </c>
      <c r="D129" s="71" t="n">
        <f aca="false">IF($C129=0,0,03_FRFデータ貼付!H126)</f>
        <v>0</v>
      </c>
      <c r="E129" s="71" t="n">
        <f aca="false">IF($C129=0,0,03_FRFデータ貼付!I126)</f>
        <v>0</v>
      </c>
      <c r="F129" s="71" t="n">
        <f aca="false">IF($C129=0,0,03_FRFデータ貼付!J126)</f>
        <v>0</v>
      </c>
      <c r="G129" s="71" t="n">
        <f aca="false">$C129*1</f>
        <v>0</v>
      </c>
      <c r="H129" s="71" t="n">
        <f aca="false">0</f>
        <v>0</v>
      </c>
      <c r="I129" s="71" t="n">
        <f aca="false">-$C129*$D129^2</f>
        <v>-0</v>
      </c>
      <c r="J129" s="71" t="n">
        <f aca="false">0</f>
        <v>0</v>
      </c>
      <c r="K129" s="71" t="n">
        <f aca="false">-$C129*$E129</f>
        <v>-0</v>
      </c>
      <c r="L129" s="71" t="n">
        <f aca="false">$C129*$D129*$F129</f>
        <v>0</v>
      </c>
      <c r="M129" s="71" t="n">
        <f aca="false">$C129*$D129^2*$E129</f>
        <v>0</v>
      </c>
      <c r="N129" s="71" t="n">
        <f aca="false">-$C129*$D129^3*$F129</f>
        <v>-0</v>
      </c>
      <c r="O129" s="71" t="n">
        <f aca="false">$C129*$D129^4*$E129</f>
        <v>0</v>
      </c>
      <c r="P129" s="2"/>
      <c r="Q129" s="2"/>
    </row>
    <row r="130" customFormat="false" ht="15" hidden="false" customHeight="false" outlineLevel="0" collapsed="false">
      <c r="A130" s="95" t="str">
        <f aca="false">"実部"</f>
        <v>実部</v>
      </c>
      <c r="B130" s="88" t="str">
        <f aca="false">IF(03_FRFデータ貼付!B127="","",03_FRFデータ貼付!A127)</f>
        <v/>
      </c>
      <c r="C130" s="88" t="n">
        <f aca="false">IF(AND(03_FRFデータ貼付!B127&lt;&gt;"",03_FRFデータ貼付!C127&lt;&gt;"",03_FRFデータ貼付!D127&lt;&gt;""),1,0)</f>
        <v>0</v>
      </c>
      <c r="D130" s="71" t="n">
        <f aca="false">IF($C130=0,0,03_FRFデータ貼付!H127)</f>
        <v>0</v>
      </c>
      <c r="E130" s="71" t="n">
        <f aca="false">IF($C130=0,0,03_FRFデータ貼付!I127)</f>
        <v>0</v>
      </c>
      <c r="F130" s="71" t="n">
        <f aca="false">IF($C130=0,0,03_FRFデータ貼付!J127)</f>
        <v>0</v>
      </c>
      <c r="G130" s="71" t="n">
        <f aca="false">$C130*1</f>
        <v>0</v>
      </c>
      <c r="H130" s="71" t="n">
        <f aca="false">0</f>
        <v>0</v>
      </c>
      <c r="I130" s="71" t="n">
        <f aca="false">-$C130*$D130^2</f>
        <v>-0</v>
      </c>
      <c r="J130" s="71" t="n">
        <f aca="false">0</f>
        <v>0</v>
      </c>
      <c r="K130" s="71" t="n">
        <f aca="false">-$C130*$E130</f>
        <v>-0</v>
      </c>
      <c r="L130" s="71" t="n">
        <f aca="false">$C130*$D130*$F130</f>
        <v>0</v>
      </c>
      <c r="M130" s="71" t="n">
        <f aca="false">$C130*$D130^2*$E130</f>
        <v>0</v>
      </c>
      <c r="N130" s="71" t="n">
        <f aca="false">-$C130*$D130^3*$F130</f>
        <v>-0</v>
      </c>
      <c r="O130" s="71" t="n">
        <f aca="false">$C130*$D130^4*$E130</f>
        <v>0</v>
      </c>
      <c r="P130" s="2"/>
      <c r="Q130" s="2"/>
    </row>
    <row r="131" customFormat="false" ht="15" hidden="false" customHeight="false" outlineLevel="0" collapsed="false">
      <c r="A131" s="110" t="str">
        <f aca="false">"虚部"</f>
        <v>虚部</v>
      </c>
      <c r="B131" s="88" t="n">
        <f aca="false">IF(03_FRFデータ貼付!B8="","",03_FRFデータ貼付!A8)</f>
        <v>1</v>
      </c>
      <c r="C131" s="88" t="n">
        <f aca="false">IF(AND(03_FRFデータ貼付!B8&lt;&gt;"",03_FRFデータ貼付!C8&lt;&gt;"",03_FRFデータ貼付!D8&lt;&gt;""),1,0)</f>
        <v>1</v>
      </c>
      <c r="D131" s="71" t="n">
        <f aca="false">IF($C131=0,0,03_FRFデータ貼付!H8)</f>
        <v>0.971428571428571</v>
      </c>
      <c r="E131" s="71" t="n">
        <f aca="false">IF($C131=0,0,03_FRFデータ貼付!I8)</f>
        <v>0.0027727678686053</v>
      </c>
      <c r="F131" s="71" t="n">
        <f aca="false">IF($C131=0,0,03_FRFデータ貼付!J8)</f>
        <v>0.163647672245137</v>
      </c>
      <c r="G131" s="71" t="n">
        <f aca="false">0</f>
        <v>0</v>
      </c>
      <c r="H131" s="71" t="n">
        <f aca="false">$C131*$D131</f>
        <v>0.971428571428571</v>
      </c>
      <c r="I131" s="71" t="n">
        <f aca="false">0</f>
        <v>0</v>
      </c>
      <c r="J131" s="71" t="n">
        <f aca="false">-$C131*$D131^3</f>
        <v>-0.916711370262391</v>
      </c>
      <c r="K131" s="71" t="n">
        <f aca="false">-$C131*$F131</f>
        <v>-0.163647672245137</v>
      </c>
      <c r="L131" s="71" t="n">
        <f aca="false">-$C131*$D131*$E131</f>
        <v>-0.00269354592950229</v>
      </c>
      <c r="M131" s="71" t="n">
        <f aca="false">$C131*$D131^2*$F131</f>
        <v>0.154429966624798</v>
      </c>
      <c r="N131" s="71" t="n">
        <f aca="false">$C131*$D131^3*$E131</f>
        <v>0.0025418278322487</v>
      </c>
      <c r="O131" s="71" t="n">
        <f aca="false">$C131*$D131^4*$F131</f>
        <v>0.145731462382259</v>
      </c>
      <c r="P131" s="2"/>
      <c r="Q131" s="2"/>
    </row>
    <row r="132" customFormat="false" ht="15" hidden="false" customHeight="false" outlineLevel="0" collapsed="false">
      <c r="A132" s="110" t="str">
        <f aca="false">"虚部"</f>
        <v>虚部</v>
      </c>
      <c r="B132" s="88" t="n">
        <f aca="false">IF(03_FRFデータ貼付!B9="","",03_FRFデータ貼付!A9)</f>
        <v>2</v>
      </c>
      <c r="C132" s="88" t="n">
        <f aca="false">IF(AND(03_FRFデータ貼付!B9&lt;&gt;"",03_FRFデータ貼付!C9&lt;&gt;"",03_FRFデータ貼付!D9&lt;&gt;""),1,0)</f>
        <v>1</v>
      </c>
      <c r="D132" s="71" t="n">
        <f aca="false">IF($C132=0,0,03_FRFデータ貼付!H9)</f>
        <v>0.974285714285714</v>
      </c>
      <c r="E132" s="71" t="n">
        <f aca="false">IF($C132=0,0,03_FRFデータ貼付!I9)</f>
        <v>0.00505622376039791</v>
      </c>
      <c r="F132" s="71" t="n">
        <f aca="false">IF($C132=0,0,03_FRFデータ貼付!J9)</f>
        <v>0.184361879263541</v>
      </c>
      <c r="G132" s="71" t="n">
        <f aca="false">0</f>
        <v>0</v>
      </c>
      <c r="H132" s="71" t="n">
        <f aca="false">$C132*$D132</f>
        <v>0.974285714285714</v>
      </c>
      <c r="I132" s="71" t="n">
        <f aca="false">0</f>
        <v>0</v>
      </c>
      <c r="J132" s="71" t="n">
        <f aca="false">-$C132*$D132^3</f>
        <v>-0.924823813411079</v>
      </c>
      <c r="K132" s="71" t="n">
        <f aca="false">-$C132*$F132</f>
        <v>-0.184361879263541</v>
      </c>
      <c r="L132" s="71" t="n">
        <f aca="false">-$C132*$D132*$E132</f>
        <v>-0.00492620657798768</v>
      </c>
      <c r="M132" s="71" t="n">
        <f aca="false">$C132*$D132^2*$F132</f>
        <v>0.175002315776684</v>
      </c>
      <c r="N132" s="71" t="n">
        <f aca="false">$C132*$D132^3*$E132</f>
        <v>0.0046761161395509</v>
      </c>
      <c r="O132" s="71" t="n">
        <f aca="false">$C132*$D132^4*$F132</f>
        <v>0.16611791249656</v>
      </c>
      <c r="P132" s="2"/>
      <c r="Q132" s="2"/>
    </row>
    <row r="133" customFormat="false" ht="15" hidden="false" customHeight="false" outlineLevel="0" collapsed="false">
      <c r="A133" s="110" t="str">
        <f aca="false">"虚部"</f>
        <v>虚部</v>
      </c>
      <c r="B133" s="88" t="n">
        <f aca="false">IF(03_FRFデータ貼付!B10="","",03_FRFデータ貼付!A10)</f>
        <v>3</v>
      </c>
      <c r="C133" s="88" t="n">
        <f aca="false">IF(AND(03_FRFデータ貼付!B10&lt;&gt;"",03_FRFデータ貼付!C10&lt;&gt;"",03_FRFデータ貼付!D10&lt;&gt;""),1,0)</f>
        <v>1</v>
      </c>
      <c r="D133" s="71" t="n">
        <f aca="false">IF($C133=0,0,03_FRFデータ貼付!H10)</f>
        <v>0.977142857142857</v>
      </c>
      <c r="E133" s="71" t="n">
        <f aca="false">IF($C133=0,0,03_FRFデータ貼付!I10)</f>
        <v>0.00880761558262861</v>
      </c>
      <c r="F133" s="71" t="n">
        <f aca="false">IF($C133=0,0,03_FRFデータ貼付!J10)</f>
        <v>0.210730358014003</v>
      </c>
      <c r="G133" s="71" t="n">
        <f aca="false">0</f>
        <v>0</v>
      </c>
      <c r="H133" s="71" t="n">
        <f aca="false">$C133*$D133</f>
        <v>0.977142857142857</v>
      </c>
      <c r="I133" s="71" t="n">
        <f aca="false">0</f>
        <v>0</v>
      </c>
      <c r="J133" s="71" t="n">
        <f aca="false">-$C133*$D133^3</f>
        <v>-0.932983976676385</v>
      </c>
      <c r="K133" s="71" t="n">
        <f aca="false">-$C133*$F133</f>
        <v>-0.210730358014003</v>
      </c>
      <c r="L133" s="71" t="n">
        <f aca="false">-$C133*$D133*$E133</f>
        <v>-0.00860629865502567</v>
      </c>
      <c r="M133" s="71" t="n">
        <f aca="false">$C133*$D133^2*$F133</f>
        <v>0.201207066079591</v>
      </c>
      <c r="N133" s="71" t="n">
        <f aca="false">$C133*$D133^3*$E133</f>
        <v>0.00821736421131774</v>
      </c>
      <c r="O133" s="71" t="n">
        <f aca="false">$C133*$D133^4*$F133</f>
        <v>0.192114149199455</v>
      </c>
      <c r="P133" s="2"/>
      <c r="Q133" s="2"/>
    </row>
    <row r="134" customFormat="false" ht="15" hidden="false" customHeight="false" outlineLevel="0" collapsed="false">
      <c r="A134" s="110" t="str">
        <f aca="false">"虚部"</f>
        <v>虚部</v>
      </c>
      <c r="B134" s="88" t="n">
        <f aca="false">IF(03_FRFデータ貼付!B11="","",03_FRFデータ貼付!A11)</f>
        <v>4</v>
      </c>
      <c r="C134" s="88" t="n">
        <f aca="false">IF(AND(03_FRFデータ貼付!B11&lt;&gt;"",03_FRFデータ貼付!C11&lt;&gt;"",03_FRFデータ貼付!D11&lt;&gt;""),1,0)</f>
        <v>1</v>
      </c>
      <c r="D134" s="71" t="n">
        <f aca="false">IF($C134=0,0,03_FRFデータ貼付!H11)</f>
        <v>0.98</v>
      </c>
      <c r="E134" s="71" t="n">
        <f aca="false">IF($C134=0,0,03_FRFデータ貼付!I11)</f>
        <v>0.0152230392786174</v>
      </c>
      <c r="F134" s="71" t="n">
        <f aca="false">IF($C134=0,0,03_FRFデータ貼付!J11)</f>
        <v>0.245525876365128</v>
      </c>
      <c r="G134" s="71" t="n">
        <f aca="false">0</f>
        <v>0</v>
      </c>
      <c r="H134" s="71" t="n">
        <f aca="false">$C134*$D134</f>
        <v>0.98</v>
      </c>
      <c r="I134" s="71" t="n">
        <f aca="false">0</f>
        <v>0</v>
      </c>
      <c r="J134" s="71" t="n">
        <f aca="false">-$C134*$D134^3</f>
        <v>-0.941192</v>
      </c>
      <c r="K134" s="71" t="n">
        <f aca="false">-$C134*$F134</f>
        <v>-0.245525876365128</v>
      </c>
      <c r="L134" s="71" t="n">
        <f aca="false">-$C134*$D134*$E134</f>
        <v>-0.014918578493045</v>
      </c>
      <c r="M134" s="71" t="n">
        <f aca="false">$C134*$D134^2*$F134</f>
        <v>0.235803051661069</v>
      </c>
      <c r="N134" s="71" t="n">
        <f aca="false">$C134*$D134^3*$E134</f>
        <v>0.0143278027847204</v>
      </c>
      <c r="O134" s="71" t="n">
        <f aca="false">$C134*$D134^4*$F134</f>
        <v>0.226465250815291</v>
      </c>
      <c r="P134" s="2"/>
      <c r="Q134" s="2"/>
    </row>
    <row r="135" customFormat="false" ht="15" hidden="false" customHeight="false" outlineLevel="0" collapsed="false">
      <c r="A135" s="110" t="str">
        <f aca="false">"虚部"</f>
        <v>虚部</v>
      </c>
      <c r="B135" s="88" t="n">
        <f aca="false">IF(03_FRFデータ貼付!B12="","",03_FRFデータ貼付!A12)</f>
        <v>5</v>
      </c>
      <c r="C135" s="88" t="n">
        <f aca="false">IF(AND(03_FRFデータ貼付!B12&lt;&gt;"",03_FRFデータ貼付!C12&lt;&gt;"",03_FRFデータ貼付!D12&lt;&gt;""),1,0)</f>
        <v>1</v>
      </c>
      <c r="D135" s="71" t="n">
        <f aca="false">IF($C135=0,0,03_FRFデータ貼付!H12)</f>
        <v>0.982857142857143</v>
      </c>
      <c r="E135" s="71" t="n">
        <f aca="false">IF($C135=0,0,03_FRFデータ貼付!I12)</f>
        <v>0.0278364146809003</v>
      </c>
      <c r="F135" s="71" t="n">
        <f aca="false">IF($C135=0,0,03_FRFデータ貼付!J12)</f>
        <v>0.297012369925309</v>
      </c>
      <c r="G135" s="71" t="n">
        <f aca="false">0</f>
        <v>0</v>
      </c>
      <c r="H135" s="71" t="n">
        <f aca="false">$C135*$D135</f>
        <v>0.982857142857143</v>
      </c>
      <c r="I135" s="71" t="n">
        <f aca="false">0</f>
        <v>0</v>
      </c>
      <c r="J135" s="71" t="n">
        <f aca="false">-$C135*$D135^3</f>
        <v>-0.949448023323615</v>
      </c>
      <c r="K135" s="71" t="n">
        <f aca="false">-$C135*$F135</f>
        <v>-0.297012369925309</v>
      </c>
      <c r="L135" s="71" t="n">
        <f aca="false">-$C135*$D135*$E135</f>
        <v>-0.0273592190006563</v>
      </c>
      <c r="M135" s="71" t="n">
        <f aca="false">$C135*$D135^2*$F135</f>
        <v>0.286916373938624</v>
      </c>
      <c r="N135" s="71" t="n">
        <f aca="false">$C135*$D135^3*$E135</f>
        <v>0.0264292288951973</v>
      </c>
      <c r="O135" s="71" t="n">
        <f aca="false">$C135*$D135^4*$F135</f>
        <v>0.277163559399192</v>
      </c>
      <c r="P135" s="2"/>
      <c r="Q135" s="2"/>
    </row>
    <row r="136" customFormat="false" ht="15" hidden="false" customHeight="false" outlineLevel="0" collapsed="false">
      <c r="A136" s="110" t="str">
        <f aca="false">"虚部"</f>
        <v>虚部</v>
      </c>
      <c r="B136" s="88" t="n">
        <f aca="false">IF(03_FRFデータ貼付!B13="","",03_FRFデータ貼付!A13)</f>
        <v>6</v>
      </c>
      <c r="C136" s="88" t="n">
        <f aca="false">IF(AND(03_FRFデータ貼付!B13&lt;&gt;"",03_FRFデータ貼付!C13&lt;&gt;"",03_FRFデータ貼付!D13&lt;&gt;""),1,0)</f>
        <v>1</v>
      </c>
      <c r="D136" s="71" t="n">
        <f aca="false">IF($C136=0,0,03_FRFデータ貼付!H13)</f>
        <v>0.985714285714286</v>
      </c>
      <c r="E136" s="71" t="n">
        <f aca="false">IF($C136=0,0,03_FRFデータ貼付!I13)</f>
        <v>0.0552378853824115</v>
      </c>
      <c r="F136" s="71" t="n">
        <f aca="false">IF($C136=0,0,03_FRFデータ貼付!J13)</f>
        <v>0.372638254341583</v>
      </c>
      <c r="G136" s="71" t="n">
        <f aca="false">0</f>
        <v>0</v>
      </c>
      <c r="H136" s="71" t="n">
        <f aca="false">$C136*$D136</f>
        <v>0.985714285714286</v>
      </c>
      <c r="I136" s="71" t="n">
        <f aca="false">0</f>
        <v>0</v>
      </c>
      <c r="J136" s="71" t="n">
        <f aca="false">-$C136*$D136^3</f>
        <v>-0.957752186588921</v>
      </c>
      <c r="K136" s="71" t="n">
        <f aca="false">-$C136*$F136</f>
        <v>-0.372638254341583</v>
      </c>
      <c r="L136" s="71" t="n">
        <f aca="false">-$C136*$D136*$E136</f>
        <v>-0.0544487727340914</v>
      </c>
      <c r="M136" s="71" t="n">
        <f aca="false">$C136*$D136^2*$F136</f>
        <v>0.362067495698016</v>
      </c>
      <c r="N136" s="71" t="n">
        <f aca="false">$C136*$D136^3*$E136</f>
        <v>0.0529042055075529</v>
      </c>
      <c r="O136" s="71" t="n">
        <f aca="false">$C136*$D136^4*$F136</f>
        <v>0.351796601432297</v>
      </c>
      <c r="P136" s="2"/>
      <c r="Q136" s="2"/>
    </row>
    <row r="137" customFormat="false" ht="15" hidden="false" customHeight="false" outlineLevel="0" collapsed="false">
      <c r="A137" s="110" t="str">
        <f aca="false">"虚部"</f>
        <v>虚部</v>
      </c>
      <c r="B137" s="88" t="n">
        <f aca="false">IF(03_FRFデータ貼付!B14="","",03_FRFデータ貼付!A14)</f>
        <v>7</v>
      </c>
      <c r="C137" s="88" t="n">
        <f aca="false">IF(AND(03_FRFデータ貼付!B14&lt;&gt;"",03_FRFデータ貼付!C14&lt;&gt;"",03_FRFデータ貼付!D14&lt;&gt;""),1,0)</f>
        <v>1</v>
      </c>
      <c r="D137" s="71" t="n">
        <f aca="false">IF($C137=0,0,03_FRFデータ貼付!H14)</f>
        <v>0.988571428571429</v>
      </c>
      <c r="E137" s="71" t="n">
        <f aca="false">IF($C137=0,0,03_FRFデータ貼付!I14)</f>
        <v>0.128417209914622</v>
      </c>
      <c r="F137" s="71" t="n">
        <f aca="false">IF($C137=0,0,03_FRFデータ貼付!J14)</f>
        <v>0.493661416606591</v>
      </c>
      <c r="G137" s="71" t="n">
        <f aca="false">0</f>
        <v>0</v>
      </c>
      <c r="H137" s="71" t="n">
        <f aca="false">$C137*$D137</f>
        <v>0.988571428571429</v>
      </c>
      <c r="I137" s="71" t="n">
        <f aca="false">0</f>
        <v>0</v>
      </c>
      <c r="J137" s="71" t="n">
        <f aca="false">-$C137*$D137^3</f>
        <v>-0.96610462973761</v>
      </c>
      <c r="K137" s="71" t="n">
        <f aca="false">-$C137*$F137</f>
        <v>-0.493661416606591</v>
      </c>
      <c r="L137" s="71" t="n">
        <f aca="false">-$C137*$D137*$E137</f>
        <v>-0.126949584658455</v>
      </c>
      <c r="M137" s="71" t="n">
        <f aca="false">$C137*$D137^2*$F137</f>
        <v>0.482442205309998</v>
      </c>
      <c r="N137" s="71" t="n">
        <f aca="false">$C137*$D137^3*$E137</f>
        <v>0.124064461036503</v>
      </c>
      <c r="O137" s="71" t="n">
        <f aca="false">$C137*$D137^4*$F137</f>
        <v>0.471477967762381</v>
      </c>
      <c r="P137" s="2"/>
      <c r="Q137" s="2"/>
    </row>
    <row r="138" customFormat="false" ht="15" hidden="false" customHeight="false" outlineLevel="0" collapsed="false">
      <c r="A138" s="110" t="str">
        <f aca="false">"虚部"</f>
        <v>虚部</v>
      </c>
      <c r="B138" s="88" t="n">
        <f aca="false">IF(03_FRFデータ貼付!B15="","",03_FRFデータ貼付!A15)</f>
        <v>8</v>
      </c>
      <c r="C138" s="88" t="n">
        <f aca="false">IF(AND(03_FRFデータ貼付!B15&lt;&gt;"",03_FRFデータ貼付!C15&lt;&gt;"",03_FRFデータ貼付!D15&lt;&gt;""),1,0)</f>
        <v>1</v>
      </c>
      <c r="D138" s="71" t="n">
        <f aca="false">IF($C138=0,0,03_FRFデータ貼付!H15)</f>
        <v>0.991428571428572</v>
      </c>
      <c r="E138" s="71" t="n">
        <f aca="false">IF($C138=0,0,03_FRFデータ貼付!I15)</f>
        <v>0.377259534122592</v>
      </c>
      <c r="F138" s="71" t="n">
        <f aca="false">IF($C138=0,0,03_FRFデータ貼付!J15)</f>
        <v>0.661712896643042</v>
      </c>
      <c r="G138" s="71" t="n">
        <f aca="false">0</f>
        <v>0</v>
      </c>
      <c r="H138" s="71" t="n">
        <f aca="false">$C138*$D138</f>
        <v>0.991428571428572</v>
      </c>
      <c r="I138" s="71" t="n">
        <f aca="false">0</f>
        <v>0</v>
      </c>
      <c r="J138" s="71" t="n">
        <f aca="false">-$C138*$D138^3</f>
        <v>-0.974505492711371</v>
      </c>
      <c r="K138" s="71" t="n">
        <f aca="false">-$C138*$F138</f>
        <v>-0.661712896643042</v>
      </c>
      <c r="L138" s="71" t="n">
        <f aca="false">-$C138*$D138*$E138</f>
        <v>-0.37402588097297</v>
      </c>
      <c r="M138" s="71" t="n">
        <f aca="false">$C138*$D138^2*$F138</f>
        <v>0.65041786262769</v>
      </c>
      <c r="N138" s="71" t="n">
        <f aca="false">$C138*$D138^3*$E138</f>
        <v>0.367641488180199</v>
      </c>
      <c r="O138" s="71" t="n">
        <f aca="false">$C138*$D138^4*$F138</f>
        <v>0.639315627927654</v>
      </c>
      <c r="P138" s="2"/>
      <c r="Q138" s="2"/>
    </row>
    <row r="139" customFormat="false" ht="15" hidden="false" customHeight="false" outlineLevel="0" collapsed="false">
      <c r="A139" s="110" t="str">
        <f aca="false">"虚部"</f>
        <v>虚部</v>
      </c>
      <c r="B139" s="88" t="n">
        <f aca="false">IF(03_FRFデータ貼付!B16="","",03_FRFデータ貼付!A16)</f>
        <v>9</v>
      </c>
      <c r="C139" s="88" t="n">
        <f aca="false">IF(AND(03_FRFデータ貼付!B16&lt;&gt;"",03_FRFデータ貼付!C16&lt;&gt;"",03_FRFデータ貼付!D16&lt;&gt;""),1,0)</f>
        <v>1</v>
      </c>
      <c r="D139" s="71" t="n">
        <f aca="false">IF($C139=0,0,03_FRFデータ貼付!H16)</f>
        <v>0.994285714285714</v>
      </c>
      <c r="E139" s="71" t="n">
        <f aca="false">IF($C139=0,0,03_FRFデータ貼付!I16)</f>
        <v>0.922516180284212</v>
      </c>
      <c r="F139" s="71" t="n">
        <f aca="false">IF($C139=0,0,03_FRFデータ貼付!J16)</f>
        <v>0.385958413710374</v>
      </c>
      <c r="G139" s="71" t="n">
        <f aca="false">0</f>
        <v>0</v>
      </c>
      <c r="H139" s="71" t="n">
        <f aca="false">$C139*$D139</f>
        <v>0.994285714285714</v>
      </c>
      <c r="I139" s="71" t="n">
        <f aca="false">0</f>
        <v>0</v>
      </c>
      <c r="J139" s="71" t="n">
        <f aca="false">-$C139*$D139^3</f>
        <v>-0.982954915451895</v>
      </c>
      <c r="K139" s="71" t="n">
        <f aca="false">-$C139*$F139</f>
        <v>-0.385958413710374</v>
      </c>
      <c r="L139" s="71" t="n">
        <f aca="false">-$C139*$D139*$E139</f>
        <v>-0.917244659254016</v>
      </c>
      <c r="M139" s="71" t="n">
        <f aca="false">$C139*$D139^2*$F139</f>
        <v>0.381560063134539</v>
      </c>
      <c r="N139" s="71" t="n">
        <f aca="false">$C139*$D139^3*$E139</f>
        <v>0.906791813994272</v>
      </c>
      <c r="O139" s="71" t="n">
        <f aca="false">$C139*$D139^4*$F139</f>
        <v>0.377211835802819</v>
      </c>
      <c r="P139" s="2"/>
      <c r="Q139" s="2"/>
    </row>
    <row r="140" customFormat="false" ht="15" hidden="false" customHeight="false" outlineLevel="0" collapsed="false">
      <c r="A140" s="110" t="str">
        <f aca="false">"虚部"</f>
        <v>虚部</v>
      </c>
      <c r="B140" s="88" t="n">
        <f aca="false">IF(03_FRFデータ貼付!B17="","",03_FRFデータ貼付!A17)</f>
        <v>10</v>
      </c>
      <c r="C140" s="88" t="n">
        <f aca="false">IF(AND(03_FRFデータ貼付!B17&lt;&gt;"",03_FRFデータ貼付!C17&lt;&gt;"",03_FRFデータ貼付!D17&lt;&gt;""),1,0)</f>
        <v>1</v>
      </c>
      <c r="D140" s="71" t="n">
        <f aca="false">IF($C140=0,0,03_FRFデータ貼付!H17)</f>
        <v>0.997142857142857</v>
      </c>
      <c r="E140" s="71" t="n">
        <f aca="false">IF($C140=0,0,03_FRFデータ貼付!I17)</f>
        <v>0.692267711195124</v>
      </c>
      <c r="F140" s="71" t="n">
        <f aca="false">IF($C140=0,0,03_FRFデータ貼付!J17)</f>
        <v>-0.119881434319112</v>
      </c>
      <c r="G140" s="71" t="n">
        <f aca="false">0</f>
        <v>0</v>
      </c>
      <c r="H140" s="71" t="n">
        <f aca="false">$C140*$D140</f>
        <v>0.997142857142857</v>
      </c>
      <c r="I140" s="71" t="n">
        <f aca="false">0</f>
        <v>0</v>
      </c>
      <c r="J140" s="71" t="n">
        <f aca="false">-$C140*$D140^3</f>
        <v>-0.991453037900875</v>
      </c>
      <c r="K140" s="71" t="n">
        <f aca="false">-$C140*$F140</f>
        <v>0.119881434319112</v>
      </c>
      <c r="L140" s="71" t="n">
        <f aca="false">-$C140*$D140*$E140</f>
        <v>-0.690289803448852</v>
      </c>
      <c r="M140" s="71" t="n">
        <f aca="false">$C140*$D140^2*$F140</f>
        <v>-0.119197376175528</v>
      </c>
      <c r="N140" s="71" t="n">
        <f aca="false">$C140*$D140^3*$E140</f>
        <v>0.686350925305091</v>
      </c>
      <c r="O140" s="71" t="n">
        <f aca="false">$C140*$D140^4*$F140</f>
        <v>-0.118517221351473</v>
      </c>
      <c r="P140" s="2"/>
      <c r="Q140" s="2"/>
    </row>
    <row r="141" customFormat="false" ht="15" hidden="false" customHeight="false" outlineLevel="0" collapsed="false">
      <c r="A141" s="110" t="str">
        <f aca="false">"虚部"</f>
        <v>虚部</v>
      </c>
      <c r="B141" s="88" t="n">
        <f aca="false">IF(03_FRFデータ貼付!B18="","",03_FRFデータ貼付!A18)</f>
        <v>11</v>
      </c>
      <c r="C141" s="88" t="n">
        <f aca="false">IF(AND(03_FRFデータ貼付!B18&lt;&gt;"",03_FRFデータ貼付!C18&lt;&gt;"",03_FRFデータ貼付!D18&lt;&gt;""),1,0)</f>
        <v>1</v>
      </c>
      <c r="D141" s="71" t="n">
        <f aca="false">IF($C141=0,0,03_FRFデータ貼付!H18)</f>
        <v>1</v>
      </c>
      <c r="E141" s="71" t="n">
        <f aca="false">IF($C141=0,0,03_FRFデータ貼付!I18)</f>
        <v>0.500239944294851</v>
      </c>
      <c r="F141" s="71" t="n">
        <f aca="false">IF($C141=0,0,03_FRFデータ貼付!J18)</f>
        <v>-0.0981886033470819</v>
      </c>
      <c r="G141" s="71" t="n">
        <f aca="false">0</f>
        <v>0</v>
      </c>
      <c r="H141" s="71" t="n">
        <f aca="false">$C141*$D141</f>
        <v>1</v>
      </c>
      <c r="I141" s="71" t="n">
        <f aca="false">0</f>
        <v>0</v>
      </c>
      <c r="J141" s="71" t="n">
        <f aca="false">-$C141*$D141^3</f>
        <v>-1</v>
      </c>
      <c r="K141" s="71" t="n">
        <f aca="false">-$C141*$F141</f>
        <v>0.0981886033470819</v>
      </c>
      <c r="L141" s="71" t="n">
        <f aca="false">-$C141*$D141*$E141</f>
        <v>-0.500239944294851</v>
      </c>
      <c r="M141" s="71" t="n">
        <f aca="false">$C141*$D141^2*$F141</f>
        <v>-0.0981886033470819</v>
      </c>
      <c r="N141" s="71" t="n">
        <f aca="false">$C141*$D141^3*$E141</f>
        <v>0.500239944294851</v>
      </c>
      <c r="O141" s="71" t="n">
        <f aca="false">$C141*$D141^4*$F141</f>
        <v>-0.0981886033470819</v>
      </c>
      <c r="P141" s="2"/>
      <c r="Q141" s="2"/>
    </row>
    <row r="142" customFormat="false" ht="15" hidden="false" customHeight="false" outlineLevel="0" collapsed="false">
      <c r="A142" s="110" t="str">
        <f aca="false">"虚部"</f>
        <v>虚部</v>
      </c>
      <c r="B142" s="88" t="n">
        <f aca="false">IF(03_FRFデータ貼付!B19="","",03_FRFデータ貼付!A19)</f>
        <v>12</v>
      </c>
      <c r="C142" s="88" t="n">
        <f aca="false">IF(AND(03_FRFデータ貼付!B19&lt;&gt;"",03_FRFデータ貼付!C19&lt;&gt;"",03_FRFデータ貼付!D19&lt;&gt;""),1,0)</f>
        <v>1</v>
      </c>
      <c r="D142" s="71" t="n">
        <f aca="false">IF($C142=0,0,03_FRFデータ貼付!H19)</f>
        <v>1.00285714285714</v>
      </c>
      <c r="E142" s="71" t="n">
        <f aca="false">IF($C142=0,0,03_FRFデータ貼付!I19)</f>
        <v>0.552487589818963</v>
      </c>
      <c r="F142" s="71" t="n">
        <f aca="false">IF($C142=0,0,03_FRFデータ貼付!J19)</f>
        <v>-0.0826393560839228</v>
      </c>
      <c r="G142" s="71" t="n">
        <f aca="false">0</f>
        <v>0</v>
      </c>
      <c r="H142" s="71" t="n">
        <f aca="false">$C142*$D142</f>
        <v>1.00285714285714</v>
      </c>
      <c r="I142" s="71" t="n">
        <f aca="false">0</f>
        <v>0</v>
      </c>
      <c r="J142" s="71" t="n">
        <f aca="false">-$C142*$D142^3</f>
        <v>-1.00859594169096</v>
      </c>
      <c r="K142" s="71" t="n">
        <f aca="false">-$C142*$F142</f>
        <v>0.0826393560839228</v>
      </c>
      <c r="L142" s="71" t="n">
        <f aca="false">-$C142*$D142*$E142</f>
        <v>-0.554066125789874</v>
      </c>
      <c r="M142" s="71" t="n">
        <f aca="false">$C142*$D142^2*$F142</f>
        <v>-0.0831122555828194</v>
      </c>
      <c r="N142" s="71" t="n">
        <f aca="false">$C142*$D142^3*$E142</f>
        <v>0.557236740926027</v>
      </c>
      <c r="O142" s="71" t="n">
        <f aca="false">$C142*$D142^4*$F142</f>
        <v>-0.0835878612249709</v>
      </c>
      <c r="P142" s="2"/>
      <c r="Q142" s="2"/>
    </row>
    <row r="143" customFormat="false" ht="15" hidden="false" customHeight="false" outlineLevel="0" collapsed="false">
      <c r="A143" s="110" t="str">
        <f aca="false">"虚部"</f>
        <v>虚部</v>
      </c>
      <c r="B143" s="88" t="n">
        <f aca="false">IF(03_FRFデータ貼付!B20="","",03_FRFデータ貼付!A20)</f>
        <v>13</v>
      </c>
      <c r="C143" s="88" t="n">
        <f aca="false">IF(AND(03_FRFデータ貼付!B20&lt;&gt;"",03_FRFデータ貼付!C20&lt;&gt;"",03_FRFデータ貼付!D20&lt;&gt;""),1,0)</f>
        <v>1</v>
      </c>
      <c r="D143" s="71" t="n">
        <f aca="false">IF($C143=0,0,03_FRFデータ貼付!H20)</f>
        <v>1.00571428571429</v>
      </c>
      <c r="E143" s="71" t="n">
        <f aca="false">IF($C143=0,0,03_FRFデータ貼付!I20)</f>
        <v>0.60391971538172</v>
      </c>
      <c r="F143" s="71" t="n">
        <f aca="false">IF($C143=0,0,03_FRFデータ貼付!J20)</f>
        <v>-0.31228977720135</v>
      </c>
      <c r="G143" s="71" t="n">
        <f aca="false">0</f>
        <v>0</v>
      </c>
      <c r="H143" s="71" t="n">
        <f aca="false">$C143*$D143</f>
        <v>1.00571428571429</v>
      </c>
      <c r="I143" s="71" t="n">
        <f aca="false">0</f>
        <v>0</v>
      </c>
      <c r="J143" s="71" t="n">
        <f aca="false">-$C143*$D143^3</f>
        <v>-1.01724100291545</v>
      </c>
      <c r="K143" s="71" t="n">
        <f aca="false">-$C143*$F143</f>
        <v>0.31228977720135</v>
      </c>
      <c r="L143" s="71" t="n">
        <f aca="false">-$C143*$D143*$E143</f>
        <v>-0.607370685183901</v>
      </c>
      <c r="M143" s="71" t="n">
        <f aca="false">$C143*$D143^2*$F143</f>
        <v>-0.315869000443723</v>
      </c>
      <c r="N143" s="71" t="n">
        <f aca="false">$C143*$D143^3*$E143</f>
        <v>0.614331896955315</v>
      </c>
      <c r="O143" s="71" t="n">
        <f aca="false">$C143*$D143^4*$F143</f>
        <v>-0.319489245967176</v>
      </c>
      <c r="P143" s="2"/>
      <c r="Q143" s="2"/>
    </row>
    <row r="144" customFormat="false" ht="15" hidden="false" customHeight="false" outlineLevel="0" collapsed="false">
      <c r="A144" s="110" t="str">
        <f aca="false">"虚部"</f>
        <v>虚部</v>
      </c>
      <c r="B144" s="88" t="n">
        <f aca="false">IF(03_FRFデータ貼付!B21="","",03_FRFデータ貼付!A21)</f>
        <v>14</v>
      </c>
      <c r="C144" s="88" t="n">
        <f aca="false">IF(AND(03_FRFデータ貼付!B21&lt;&gt;"",03_FRFデータ貼付!C21&lt;&gt;"",03_FRFデータ貼付!D21&lt;&gt;""),1,0)</f>
        <v>1</v>
      </c>
      <c r="D144" s="71" t="n">
        <f aca="false">IF($C144=0,0,03_FRFデータ貼付!H21)</f>
        <v>1.00857142857143</v>
      </c>
      <c r="E144" s="71" t="n">
        <f aca="false">IF($C144=0,0,03_FRFデータ貼付!I21)</f>
        <v>0.352195887310297</v>
      </c>
      <c r="F144" s="71" t="n">
        <f aca="false">IF($C144=0,0,03_FRFデータ貼付!J21)</f>
        <v>-0.471316169665478</v>
      </c>
      <c r="G144" s="71" t="n">
        <f aca="false">0</f>
        <v>0</v>
      </c>
      <c r="H144" s="71" t="n">
        <f aca="false">$C144*$D144</f>
        <v>1.00857142857143</v>
      </c>
      <c r="I144" s="71" t="n">
        <f aca="false">0</f>
        <v>0</v>
      </c>
      <c r="J144" s="71" t="n">
        <f aca="false">-$C144*$D144^3</f>
        <v>-1.02593532361516</v>
      </c>
      <c r="K144" s="71" t="n">
        <f aca="false">-$C144*$F144</f>
        <v>0.471316169665478</v>
      </c>
      <c r="L144" s="71" t="n">
        <f aca="false">-$C144*$D144*$E144</f>
        <v>-0.355214709201528</v>
      </c>
      <c r="M144" s="71" t="n">
        <f aca="false">$C144*$D144^2*$F144</f>
        <v>-0.479430502741596</v>
      </c>
      <c r="N144" s="71" t="n">
        <f aca="false">$C144*$D144^3*$E144</f>
        <v>0.361330201623618</v>
      </c>
      <c r="O144" s="71" t="n">
        <f aca="false">$C144*$D144^4*$F144</f>
        <v>-0.487684534825531</v>
      </c>
      <c r="P144" s="2"/>
      <c r="Q144" s="2"/>
    </row>
    <row r="145" customFormat="false" ht="15" hidden="false" customHeight="false" outlineLevel="0" collapsed="false">
      <c r="A145" s="110" t="str">
        <f aca="false">"虚部"</f>
        <v>虚部</v>
      </c>
      <c r="B145" s="88" t="n">
        <f aca="false">IF(03_FRFデータ貼付!B22="","",03_FRFデータ貼付!A22)</f>
        <v>15</v>
      </c>
      <c r="C145" s="88" t="n">
        <f aca="false">IF(AND(03_FRFデータ貼付!B22&lt;&gt;"",03_FRFデータ貼付!C22&lt;&gt;"",03_FRFデータ貼付!D22&lt;&gt;""),1,0)</f>
        <v>1</v>
      </c>
      <c r="D145" s="71" t="n">
        <f aca="false">IF($C145=0,0,03_FRFデータ貼付!H22)</f>
        <v>1.01142857142857</v>
      </c>
      <c r="E145" s="71" t="n">
        <f aca="false">IF($C145=0,0,03_FRFデータ貼付!I22)</f>
        <v>0.170824247905056</v>
      </c>
      <c r="F145" s="71" t="n">
        <f aca="false">IF($C145=0,0,03_FRFデータ貼付!J22)</f>
        <v>-0.40640078074166</v>
      </c>
      <c r="G145" s="71" t="n">
        <f aca="false">0</f>
        <v>0</v>
      </c>
      <c r="H145" s="71" t="n">
        <f aca="false">$C145*$D145</f>
        <v>1.01142857142857</v>
      </c>
      <c r="I145" s="71" t="n">
        <f aca="false">0</f>
        <v>0</v>
      </c>
      <c r="J145" s="71" t="n">
        <f aca="false">-$C145*$D145^3</f>
        <v>-1.03467904373178</v>
      </c>
      <c r="K145" s="71" t="n">
        <f aca="false">-$C145*$F145</f>
        <v>0.40640078074166</v>
      </c>
      <c r="L145" s="71" t="n">
        <f aca="false">-$C145*$D145*$E145</f>
        <v>-0.172776525023971</v>
      </c>
      <c r="M145" s="71" t="n">
        <f aca="false">$C145*$D145^2*$F145</f>
        <v>-0.415743022362627</v>
      </c>
      <c r="N145" s="71" t="n">
        <f aca="false">$C145*$D145^3*$E145</f>
        <v>0.176748269468604</v>
      </c>
      <c r="O145" s="71" t="n">
        <f aca="false">$C145*$D145^4*$F145</f>
        <v>-0.425300021146082</v>
      </c>
      <c r="P145" s="2"/>
      <c r="Q145" s="2"/>
    </row>
    <row r="146" customFormat="false" ht="15" hidden="false" customHeight="false" outlineLevel="0" collapsed="false">
      <c r="A146" s="110" t="str">
        <f aca="false">"虚部"</f>
        <v>虚部</v>
      </c>
      <c r="B146" s="88" t="n">
        <f aca="false">IF(03_FRFデータ貼付!B23="","",03_FRFデータ貼付!A23)</f>
        <v>16</v>
      </c>
      <c r="C146" s="88" t="n">
        <f aca="false">IF(AND(03_FRFデータ貼付!B23&lt;&gt;"",03_FRFデータ貼付!C23&lt;&gt;"",03_FRFデータ貼付!D23&lt;&gt;""),1,0)</f>
        <v>1</v>
      </c>
      <c r="D146" s="71" t="n">
        <f aca="false">IF($C146=0,0,03_FRFデータ貼付!H23)</f>
        <v>1.01428571428571</v>
      </c>
      <c r="E146" s="71" t="n">
        <f aca="false">IF($C146=0,0,03_FRFデータ貼付!I23)</f>
        <v>0.0956333074681712</v>
      </c>
      <c r="F146" s="71" t="n">
        <f aca="false">IF($C146=0,0,03_FRFデータ貼付!J23)</f>
        <v>-0.329252592397524</v>
      </c>
      <c r="G146" s="71" t="n">
        <f aca="false">0</f>
        <v>0</v>
      </c>
      <c r="H146" s="71" t="n">
        <f aca="false">$C146*$D146</f>
        <v>1.01428571428571</v>
      </c>
      <c r="I146" s="71" t="n">
        <f aca="false">0</f>
        <v>0</v>
      </c>
      <c r="J146" s="71" t="n">
        <f aca="false">-$C146*$D146^3</f>
        <v>-1.043472303207</v>
      </c>
      <c r="K146" s="71" t="n">
        <f aca="false">-$C146*$F146</f>
        <v>0.329252592397524</v>
      </c>
      <c r="L146" s="71" t="n">
        <f aca="false">-$C146*$D146*$E146</f>
        <v>-0.0969994975748593</v>
      </c>
      <c r="M146" s="71" t="n">
        <f aca="false">$C146*$D146^2*$F146</f>
        <v>-0.338727003729779</v>
      </c>
      <c r="N146" s="71" t="n">
        <f aca="false">$C146*$D146^3*$E146</f>
        <v>0.0997907076071155</v>
      </c>
      <c r="O146" s="71" t="n">
        <f aca="false">$C146*$D146^4*$F146</f>
        <v>-0.348474046082003</v>
      </c>
      <c r="P146" s="2"/>
      <c r="Q146" s="2"/>
    </row>
    <row r="147" customFormat="false" ht="15" hidden="false" customHeight="false" outlineLevel="0" collapsed="false">
      <c r="A147" s="110" t="str">
        <f aca="false">"虚部"</f>
        <v>虚部</v>
      </c>
      <c r="B147" s="88" t="n">
        <f aca="false">IF(03_FRFデータ貼付!B24="","",03_FRFデータ貼付!A24)</f>
        <v>17</v>
      </c>
      <c r="C147" s="88" t="n">
        <f aca="false">IF(AND(03_FRFデータ貼付!B24&lt;&gt;"",03_FRFデータ貼付!C24&lt;&gt;"",03_FRFデータ貼付!D24&lt;&gt;""),1,0)</f>
        <v>1</v>
      </c>
      <c r="D147" s="71" t="n">
        <f aca="false">IF($C147=0,0,03_FRFデータ貼付!H24)</f>
        <v>1.01714285714286</v>
      </c>
      <c r="E147" s="71" t="n">
        <f aca="false">IF($C147=0,0,03_FRFデータ貼付!I24)</f>
        <v>0.0613271010938585</v>
      </c>
      <c r="F147" s="71" t="n">
        <f aca="false">IF($C147=0,0,03_FRFデータ貼付!J24)</f>
        <v>-0.271839987118167</v>
      </c>
      <c r="G147" s="71" t="n">
        <f aca="false">0</f>
        <v>0</v>
      </c>
      <c r="H147" s="71" t="n">
        <f aca="false">$C147*$D147</f>
        <v>1.01714285714286</v>
      </c>
      <c r="I147" s="71" t="n">
        <f aca="false">0</f>
        <v>0</v>
      </c>
      <c r="J147" s="71" t="n">
        <f aca="false">-$C147*$D147^3</f>
        <v>-1.05231524198251</v>
      </c>
      <c r="K147" s="71" t="n">
        <f aca="false">-$C147*$F147</f>
        <v>0.271839987118167</v>
      </c>
      <c r="L147" s="71" t="n">
        <f aca="false">-$C147*$D147*$E147</f>
        <v>-0.0623784228268961</v>
      </c>
      <c r="M147" s="71" t="n">
        <f aca="false">$C147*$D147^2*$F147</f>
        <v>-0.281240102917617</v>
      </c>
      <c r="N147" s="71" t="n">
        <f aca="false">$C147*$D147^3*$E147</f>
        <v>0.0645354432276694</v>
      </c>
      <c r="O147" s="71" t="n">
        <f aca="false">$C147*$D147^4*$F147</f>
        <v>-0.290965270884629</v>
      </c>
      <c r="P147" s="2"/>
      <c r="Q147" s="2"/>
    </row>
    <row r="148" customFormat="false" ht="15" hidden="false" customHeight="false" outlineLevel="0" collapsed="false">
      <c r="A148" s="110" t="str">
        <f aca="false">"虚部"</f>
        <v>虚部</v>
      </c>
      <c r="B148" s="88" t="n">
        <f aca="false">IF(03_FRFデータ貼付!B25="","",03_FRFデータ貼付!A25)</f>
        <v>18</v>
      </c>
      <c r="C148" s="88" t="n">
        <f aca="false">IF(AND(03_FRFデータ貼付!B25&lt;&gt;"",03_FRFデータ貼付!C25&lt;&gt;"",03_FRFデータ貼付!D25&lt;&gt;""),1,0)</f>
        <v>1</v>
      </c>
      <c r="D148" s="71" t="n">
        <f aca="false">IF($C148=0,0,03_FRFデータ貼付!H25)</f>
        <v>1.02</v>
      </c>
      <c r="E148" s="71" t="n">
        <f aca="false">IF($C148=0,0,03_FRFデータ貼付!I25)</f>
        <v>0.0433312939466358</v>
      </c>
      <c r="F148" s="71" t="n">
        <f aca="false">IF($C148=0,0,03_FRFデータ貼付!J25)</f>
        <v>-0.230846517060747</v>
      </c>
      <c r="G148" s="71" t="n">
        <f aca="false">0</f>
        <v>0</v>
      </c>
      <c r="H148" s="71" t="n">
        <f aca="false">$C148*$D148</f>
        <v>1.02</v>
      </c>
      <c r="I148" s="71" t="n">
        <f aca="false">0</f>
        <v>0</v>
      </c>
      <c r="J148" s="71" t="n">
        <f aca="false">-$C148*$D148^3</f>
        <v>-1.061208</v>
      </c>
      <c r="K148" s="71" t="n">
        <f aca="false">-$C148*$F148</f>
        <v>0.230846517060747</v>
      </c>
      <c r="L148" s="71" t="n">
        <f aca="false">-$C148*$D148*$E148</f>
        <v>-0.0441979198255685</v>
      </c>
      <c r="M148" s="71" t="n">
        <f aca="false">$C148*$D148^2*$F148</f>
        <v>-0.240172716350002</v>
      </c>
      <c r="N148" s="71" t="n">
        <f aca="false">$C148*$D148^3*$E148</f>
        <v>0.0459835157865215</v>
      </c>
      <c r="O148" s="71" t="n">
        <f aca="false">$C148*$D148^4*$F148</f>
        <v>-0.249875694090542</v>
      </c>
      <c r="P148" s="2"/>
      <c r="Q148" s="2"/>
    </row>
    <row r="149" customFormat="false" ht="15" hidden="false" customHeight="false" outlineLevel="0" collapsed="false">
      <c r="A149" s="110" t="str">
        <f aca="false">"虚部"</f>
        <v>虚部</v>
      </c>
      <c r="B149" s="88" t="n">
        <f aca="false">IF(03_FRFデータ貼付!B26="","",03_FRFデータ貼付!A26)</f>
        <v>19</v>
      </c>
      <c r="C149" s="88" t="n">
        <f aca="false">IF(AND(03_FRFデータ貼付!B26&lt;&gt;"",03_FRFデータ貼付!C26&lt;&gt;"",03_FRFデータ貼付!D26&lt;&gt;""),1,0)</f>
        <v>1</v>
      </c>
      <c r="D149" s="71" t="n">
        <f aca="false">IF($C149=0,0,03_FRFデータ貼付!H26)</f>
        <v>1.02285714285714</v>
      </c>
      <c r="E149" s="71" t="n">
        <f aca="false">IF($C149=0,0,03_FRFデータ貼付!I26)</f>
        <v>0.0327295344490273</v>
      </c>
      <c r="F149" s="71" t="n">
        <f aca="false">IF($C149=0,0,03_FRFデータ貼付!J26)</f>
        <v>-0.20050917449836</v>
      </c>
      <c r="G149" s="71" t="n">
        <f aca="false">0</f>
        <v>0</v>
      </c>
      <c r="H149" s="71" t="n">
        <f aca="false">$C149*$D149</f>
        <v>1.02285714285714</v>
      </c>
      <c r="I149" s="71" t="n">
        <f aca="false">0</f>
        <v>0</v>
      </c>
      <c r="J149" s="71" t="n">
        <f aca="false">-$C149*$D149^3</f>
        <v>-1.07015071720117</v>
      </c>
      <c r="K149" s="71" t="n">
        <f aca="false">-$C149*$F149</f>
        <v>0.20050917449836</v>
      </c>
      <c r="L149" s="71" t="n">
        <f aca="false">-$C149*$D149*$E149</f>
        <v>-0.0334776380935765</v>
      </c>
      <c r="M149" s="71" t="n">
        <f aca="false">$C149*$D149^2*$F149</f>
        <v>-0.209780064003329</v>
      </c>
      <c r="N149" s="71" t="n">
        <f aca="false">$C149*$D149^3*$E149</f>
        <v>0.0350255347642869</v>
      </c>
      <c r="O149" s="71" t="n">
        <f aca="false">$C149*$D149^4*$F149</f>
        <v>-0.219479609166716</v>
      </c>
      <c r="P149" s="2"/>
      <c r="Q149" s="2"/>
    </row>
    <row r="150" customFormat="false" ht="15" hidden="false" customHeight="false" outlineLevel="0" collapsed="false">
      <c r="A150" s="110" t="str">
        <f aca="false">"虚部"</f>
        <v>虚部</v>
      </c>
      <c r="B150" s="88" t="n">
        <f aca="false">IF(03_FRFデータ貼付!B27="","",03_FRFデータ貼付!A27)</f>
        <v>20</v>
      </c>
      <c r="C150" s="88" t="n">
        <f aca="false">IF(AND(03_FRFデータ貼付!B27&lt;&gt;"",03_FRFデータ貼付!C27&lt;&gt;"",03_FRFデータ貼付!D27&lt;&gt;""),1,0)</f>
        <v>1</v>
      </c>
      <c r="D150" s="71" t="n">
        <f aca="false">IF($C150=0,0,03_FRFデータ貼付!H27)</f>
        <v>1.02571428571429</v>
      </c>
      <c r="E150" s="71" t="n">
        <f aca="false">IF($C150=0,0,03_FRFデータ貼付!I27)</f>
        <v>0.0259879027684968</v>
      </c>
      <c r="F150" s="71" t="n">
        <f aca="false">IF($C150=0,0,03_FRFデータ貼付!J27)</f>
        <v>-0.17762024758301</v>
      </c>
      <c r="G150" s="71" t="n">
        <f aca="false">0</f>
        <v>0</v>
      </c>
      <c r="H150" s="71" t="n">
        <f aca="false">$C150*$D150</f>
        <v>1.02571428571429</v>
      </c>
      <c r="I150" s="71" t="n">
        <f aca="false">0</f>
        <v>0</v>
      </c>
      <c r="J150" s="71" t="n">
        <f aca="false">-$C150*$D150^3</f>
        <v>-1.0791435335277</v>
      </c>
      <c r="K150" s="71" t="n">
        <f aca="false">-$C150*$F150</f>
        <v>0.17762024758301</v>
      </c>
      <c r="L150" s="71" t="n">
        <f aca="false">-$C150*$D150*$E150</f>
        <v>-0.026656163125401</v>
      </c>
      <c r="M150" s="71" t="n">
        <f aca="false">$C150*$D150^2*$F150</f>
        <v>-0.186872450030579</v>
      </c>
      <c r="N150" s="71" t="n">
        <f aca="false">$C150*$D150^3*$E150</f>
        <v>0.0280446772225698</v>
      </c>
      <c r="O150" s="71" t="n">
        <f aca="false">$C150*$D150^4*$F150</f>
        <v>-0.196606597815437</v>
      </c>
      <c r="P150" s="2"/>
      <c r="Q150" s="2"/>
    </row>
    <row r="151" customFormat="false" ht="15" hidden="false" customHeight="false" outlineLevel="0" collapsed="false">
      <c r="A151" s="110" t="str">
        <f aca="false">"虚部"</f>
        <v>虚部</v>
      </c>
      <c r="B151" s="88" t="n">
        <f aca="false">IF(03_FRFデータ貼付!B28="","",03_FRFデータ貼付!A28)</f>
        <v>21</v>
      </c>
      <c r="C151" s="88" t="n">
        <f aca="false">IF(AND(03_FRFデータ貼付!B28&lt;&gt;"",03_FRFデータ貼付!C28&lt;&gt;"",03_FRFデータ貼付!D28&lt;&gt;""),1,0)</f>
        <v>1</v>
      </c>
      <c r="D151" s="71" t="n">
        <f aca="false">IF($C151=0,0,03_FRFデータ貼付!H28)</f>
        <v>1.02857142857143</v>
      </c>
      <c r="E151" s="71" t="n">
        <f aca="false">IF($C151=0,0,03_FRFデータ貼付!I28)</f>
        <v>0.0213666229874879</v>
      </c>
      <c r="F151" s="71" t="n">
        <f aca="false">IF($C151=0,0,03_FRFデータ貼付!J28)</f>
        <v>-0.159461336443517</v>
      </c>
      <c r="G151" s="71" t="n">
        <f aca="false">0</f>
        <v>0</v>
      </c>
      <c r="H151" s="71" t="n">
        <f aca="false">$C151*$D151</f>
        <v>1.02857142857143</v>
      </c>
      <c r="I151" s="71" t="n">
        <f aca="false">0</f>
        <v>0</v>
      </c>
      <c r="J151" s="71" t="n">
        <f aca="false">-$C151*$D151^3</f>
        <v>-1.08818658892128</v>
      </c>
      <c r="K151" s="71" t="n">
        <f aca="false">-$C151*$F151</f>
        <v>0.159461336443517</v>
      </c>
      <c r="L151" s="71" t="n">
        <f aca="false">-$C151*$D151*$E151</f>
        <v>-0.0219770979299876</v>
      </c>
      <c r="M151" s="71" t="n">
        <f aca="false">$C151*$D151^2*$F151</f>
        <v>-0.168703585331263</v>
      </c>
      <c r="N151" s="71" t="n">
        <f aca="false">$C151*$D151^3*$E151</f>
        <v>0.0232508725855216</v>
      </c>
      <c r="O151" s="71" t="n">
        <f aca="false">$C151*$D151^4*$F151</f>
        <v>-0.178481507419851</v>
      </c>
      <c r="P151" s="2"/>
      <c r="Q151" s="2"/>
    </row>
    <row r="152" customFormat="false" ht="15" hidden="false" customHeight="false" outlineLevel="0" collapsed="false">
      <c r="A152" s="110" t="str">
        <f aca="false">"虚部"</f>
        <v>虚部</v>
      </c>
      <c r="B152" s="88" t="str">
        <f aca="false">IF(03_FRFデータ貼付!B29="","",03_FRFデータ貼付!A29)</f>
        <v/>
      </c>
      <c r="C152" s="88" t="n">
        <f aca="false">IF(AND(03_FRFデータ貼付!B29&lt;&gt;"",03_FRFデータ貼付!C29&lt;&gt;"",03_FRFデータ貼付!D29&lt;&gt;""),1,0)</f>
        <v>0</v>
      </c>
      <c r="D152" s="71" t="n">
        <f aca="false">IF($C152=0,0,03_FRFデータ貼付!H29)</f>
        <v>0</v>
      </c>
      <c r="E152" s="71" t="n">
        <f aca="false">IF($C152=0,0,03_FRFデータ貼付!I29)</f>
        <v>0</v>
      </c>
      <c r="F152" s="71" t="n">
        <f aca="false">IF($C152=0,0,03_FRFデータ貼付!J29)</f>
        <v>0</v>
      </c>
      <c r="G152" s="71" t="n">
        <f aca="false">0</f>
        <v>0</v>
      </c>
      <c r="H152" s="71" t="n">
        <f aca="false">$C152*$D152</f>
        <v>0</v>
      </c>
      <c r="I152" s="71" t="n">
        <f aca="false">0</f>
        <v>0</v>
      </c>
      <c r="J152" s="71" t="n">
        <f aca="false">-$C152*$D152^3</f>
        <v>-0</v>
      </c>
      <c r="K152" s="71" t="n">
        <f aca="false">-$C152*$F152</f>
        <v>-0</v>
      </c>
      <c r="L152" s="71" t="n">
        <f aca="false">-$C152*$D152*$E152</f>
        <v>-0</v>
      </c>
      <c r="M152" s="71" t="n">
        <f aca="false">$C152*$D152^2*$F152</f>
        <v>0</v>
      </c>
      <c r="N152" s="71" t="n">
        <f aca="false">$C152*$D152^3*$E152</f>
        <v>0</v>
      </c>
      <c r="O152" s="71" t="n">
        <f aca="false">$C152*$D152^4*$F152</f>
        <v>0</v>
      </c>
      <c r="P152" s="2"/>
      <c r="Q152" s="2"/>
    </row>
    <row r="153" customFormat="false" ht="15" hidden="false" customHeight="false" outlineLevel="0" collapsed="false">
      <c r="A153" s="110" t="str">
        <f aca="false">"虚部"</f>
        <v>虚部</v>
      </c>
      <c r="B153" s="88" t="str">
        <f aca="false">IF(03_FRFデータ貼付!B30="","",03_FRFデータ貼付!A30)</f>
        <v/>
      </c>
      <c r="C153" s="88" t="n">
        <f aca="false">IF(AND(03_FRFデータ貼付!B30&lt;&gt;"",03_FRFデータ貼付!C30&lt;&gt;"",03_FRFデータ貼付!D30&lt;&gt;""),1,0)</f>
        <v>0</v>
      </c>
      <c r="D153" s="71" t="n">
        <f aca="false">IF($C153=0,0,03_FRFデータ貼付!H30)</f>
        <v>0</v>
      </c>
      <c r="E153" s="71" t="n">
        <f aca="false">IF($C153=0,0,03_FRFデータ貼付!I30)</f>
        <v>0</v>
      </c>
      <c r="F153" s="71" t="n">
        <f aca="false">IF($C153=0,0,03_FRFデータ貼付!J30)</f>
        <v>0</v>
      </c>
      <c r="G153" s="71" t="n">
        <f aca="false">0</f>
        <v>0</v>
      </c>
      <c r="H153" s="71" t="n">
        <f aca="false">$C153*$D153</f>
        <v>0</v>
      </c>
      <c r="I153" s="71" t="n">
        <f aca="false">0</f>
        <v>0</v>
      </c>
      <c r="J153" s="71" t="n">
        <f aca="false">-$C153*$D153^3</f>
        <v>-0</v>
      </c>
      <c r="K153" s="71" t="n">
        <f aca="false">-$C153*$F153</f>
        <v>-0</v>
      </c>
      <c r="L153" s="71" t="n">
        <f aca="false">-$C153*$D153*$E153</f>
        <v>-0</v>
      </c>
      <c r="M153" s="71" t="n">
        <f aca="false">$C153*$D153^2*$F153</f>
        <v>0</v>
      </c>
      <c r="N153" s="71" t="n">
        <f aca="false">$C153*$D153^3*$E153</f>
        <v>0</v>
      </c>
      <c r="O153" s="71" t="n">
        <f aca="false">$C153*$D153^4*$F153</f>
        <v>0</v>
      </c>
      <c r="P153" s="2"/>
      <c r="Q153" s="2"/>
    </row>
    <row r="154" customFormat="false" ht="15" hidden="false" customHeight="false" outlineLevel="0" collapsed="false">
      <c r="A154" s="110" t="str">
        <f aca="false">"虚部"</f>
        <v>虚部</v>
      </c>
      <c r="B154" s="88" t="str">
        <f aca="false">IF(03_FRFデータ貼付!B31="","",03_FRFデータ貼付!A31)</f>
        <v/>
      </c>
      <c r="C154" s="88" t="n">
        <f aca="false">IF(AND(03_FRFデータ貼付!B31&lt;&gt;"",03_FRFデータ貼付!C31&lt;&gt;"",03_FRFデータ貼付!D31&lt;&gt;""),1,0)</f>
        <v>0</v>
      </c>
      <c r="D154" s="71" t="n">
        <f aca="false">IF($C154=0,0,03_FRFデータ貼付!H31)</f>
        <v>0</v>
      </c>
      <c r="E154" s="71" t="n">
        <f aca="false">IF($C154=0,0,03_FRFデータ貼付!I31)</f>
        <v>0</v>
      </c>
      <c r="F154" s="71" t="n">
        <f aca="false">IF($C154=0,0,03_FRFデータ貼付!J31)</f>
        <v>0</v>
      </c>
      <c r="G154" s="71" t="n">
        <f aca="false">0</f>
        <v>0</v>
      </c>
      <c r="H154" s="71" t="n">
        <f aca="false">$C154*$D154</f>
        <v>0</v>
      </c>
      <c r="I154" s="71" t="n">
        <f aca="false">0</f>
        <v>0</v>
      </c>
      <c r="J154" s="71" t="n">
        <f aca="false">-$C154*$D154^3</f>
        <v>-0</v>
      </c>
      <c r="K154" s="71" t="n">
        <f aca="false">-$C154*$F154</f>
        <v>-0</v>
      </c>
      <c r="L154" s="71" t="n">
        <f aca="false">-$C154*$D154*$E154</f>
        <v>-0</v>
      </c>
      <c r="M154" s="71" t="n">
        <f aca="false">$C154*$D154^2*$F154</f>
        <v>0</v>
      </c>
      <c r="N154" s="71" t="n">
        <f aca="false">$C154*$D154^3*$E154</f>
        <v>0</v>
      </c>
      <c r="O154" s="71" t="n">
        <f aca="false">$C154*$D154^4*$F154</f>
        <v>0</v>
      </c>
      <c r="P154" s="2"/>
      <c r="Q154" s="2"/>
    </row>
    <row r="155" customFormat="false" ht="15" hidden="false" customHeight="false" outlineLevel="0" collapsed="false">
      <c r="A155" s="110" t="str">
        <f aca="false">"虚部"</f>
        <v>虚部</v>
      </c>
      <c r="B155" s="88" t="str">
        <f aca="false">IF(03_FRFデータ貼付!B32="","",03_FRFデータ貼付!A32)</f>
        <v/>
      </c>
      <c r="C155" s="88" t="n">
        <f aca="false">IF(AND(03_FRFデータ貼付!B32&lt;&gt;"",03_FRFデータ貼付!C32&lt;&gt;"",03_FRFデータ貼付!D32&lt;&gt;""),1,0)</f>
        <v>0</v>
      </c>
      <c r="D155" s="71" t="n">
        <f aca="false">IF($C155=0,0,03_FRFデータ貼付!H32)</f>
        <v>0</v>
      </c>
      <c r="E155" s="71" t="n">
        <f aca="false">IF($C155=0,0,03_FRFデータ貼付!I32)</f>
        <v>0</v>
      </c>
      <c r="F155" s="71" t="n">
        <f aca="false">IF($C155=0,0,03_FRFデータ貼付!J32)</f>
        <v>0</v>
      </c>
      <c r="G155" s="71" t="n">
        <f aca="false">0</f>
        <v>0</v>
      </c>
      <c r="H155" s="71" t="n">
        <f aca="false">$C155*$D155</f>
        <v>0</v>
      </c>
      <c r="I155" s="71" t="n">
        <f aca="false">0</f>
        <v>0</v>
      </c>
      <c r="J155" s="71" t="n">
        <f aca="false">-$C155*$D155^3</f>
        <v>-0</v>
      </c>
      <c r="K155" s="71" t="n">
        <f aca="false">-$C155*$F155</f>
        <v>-0</v>
      </c>
      <c r="L155" s="71" t="n">
        <f aca="false">-$C155*$D155*$E155</f>
        <v>-0</v>
      </c>
      <c r="M155" s="71" t="n">
        <f aca="false">$C155*$D155^2*$F155</f>
        <v>0</v>
      </c>
      <c r="N155" s="71" t="n">
        <f aca="false">$C155*$D155^3*$E155</f>
        <v>0</v>
      </c>
      <c r="O155" s="71" t="n">
        <f aca="false">$C155*$D155^4*$F155</f>
        <v>0</v>
      </c>
      <c r="P155" s="2"/>
      <c r="Q155" s="2"/>
    </row>
    <row r="156" customFormat="false" ht="15" hidden="false" customHeight="false" outlineLevel="0" collapsed="false">
      <c r="A156" s="110" t="str">
        <f aca="false">"虚部"</f>
        <v>虚部</v>
      </c>
      <c r="B156" s="88" t="str">
        <f aca="false">IF(03_FRFデータ貼付!B33="","",03_FRFデータ貼付!A33)</f>
        <v/>
      </c>
      <c r="C156" s="88" t="n">
        <f aca="false">IF(AND(03_FRFデータ貼付!B33&lt;&gt;"",03_FRFデータ貼付!C33&lt;&gt;"",03_FRFデータ貼付!D33&lt;&gt;""),1,0)</f>
        <v>0</v>
      </c>
      <c r="D156" s="71" t="n">
        <f aca="false">IF($C156=0,0,03_FRFデータ貼付!H33)</f>
        <v>0</v>
      </c>
      <c r="E156" s="71" t="n">
        <f aca="false">IF($C156=0,0,03_FRFデータ貼付!I33)</f>
        <v>0</v>
      </c>
      <c r="F156" s="71" t="n">
        <f aca="false">IF($C156=0,0,03_FRFデータ貼付!J33)</f>
        <v>0</v>
      </c>
      <c r="G156" s="71" t="n">
        <f aca="false">0</f>
        <v>0</v>
      </c>
      <c r="H156" s="71" t="n">
        <f aca="false">$C156*$D156</f>
        <v>0</v>
      </c>
      <c r="I156" s="71" t="n">
        <f aca="false">0</f>
        <v>0</v>
      </c>
      <c r="J156" s="71" t="n">
        <f aca="false">-$C156*$D156^3</f>
        <v>-0</v>
      </c>
      <c r="K156" s="71" t="n">
        <f aca="false">-$C156*$F156</f>
        <v>-0</v>
      </c>
      <c r="L156" s="71" t="n">
        <f aca="false">-$C156*$D156*$E156</f>
        <v>-0</v>
      </c>
      <c r="M156" s="71" t="n">
        <f aca="false">$C156*$D156^2*$F156</f>
        <v>0</v>
      </c>
      <c r="N156" s="71" t="n">
        <f aca="false">$C156*$D156^3*$E156</f>
        <v>0</v>
      </c>
      <c r="O156" s="71" t="n">
        <f aca="false">$C156*$D156^4*$F156</f>
        <v>0</v>
      </c>
      <c r="P156" s="2"/>
      <c r="Q156" s="2"/>
    </row>
    <row r="157" customFormat="false" ht="15" hidden="false" customHeight="false" outlineLevel="0" collapsed="false">
      <c r="A157" s="110" t="str">
        <f aca="false">"虚部"</f>
        <v>虚部</v>
      </c>
      <c r="B157" s="88" t="str">
        <f aca="false">IF(03_FRFデータ貼付!B34="","",03_FRFデータ貼付!A34)</f>
        <v/>
      </c>
      <c r="C157" s="88" t="n">
        <f aca="false">IF(AND(03_FRFデータ貼付!B34&lt;&gt;"",03_FRFデータ貼付!C34&lt;&gt;"",03_FRFデータ貼付!D34&lt;&gt;""),1,0)</f>
        <v>0</v>
      </c>
      <c r="D157" s="71" t="n">
        <f aca="false">IF($C157=0,0,03_FRFデータ貼付!H34)</f>
        <v>0</v>
      </c>
      <c r="E157" s="71" t="n">
        <f aca="false">IF($C157=0,0,03_FRFデータ貼付!I34)</f>
        <v>0</v>
      </c>
      <c r="F157" s="71" t="n">
        <f aca="false">IF($C157=0,0,03_FRFデータ貼付!J34)</f>
        <v>0</v>
      </c>
      <c r="G157" s="71" t="n">
        <f aca="false">0</f>
        <v>0</v>
      </c>
      <c r="H157" s="71" t="n">
        <f aca="false">$C157*$D157</f>
        <v>0</v>
      </c>
      <c r="I157" s="71" t="n">
        <f aca="false">0</f>
        <v>0</v>
      </c>
      <c r="J157" s="71" t="n">
        <f aca="false">-$C157*$D157^3</f>
        <v>-0</v>
      </c>
      <c r="K157" s="71" t="n">
        <f aca="false">-$C157*$F157</f>
        <v>-0</v>
      </c>
      <c r="L157" s="71" t="n">
        <f aca="false">-$C157*$D157*$E157</f>
        <v>-0</v>
      </c>
      <c r="M157" s="71" t="n">
        <f aca="false">$C157*$D157^2*$F157</f>
        <v>0</v>
      </c>
      <c r="N157" s="71" t="n">
        <f aca="false">$C157*$D157^3*$E157</f>
        <v>0</v>
      </c>
      <c r="O157" s="71" t="n">
        <f aca="false">$C157*$D157^4*$F157</f>
        <v>0</v>
      </c>
      <c r="P157" s="2"/>
      <c r="Q157" s="2"/>
    </row>
    <row r="158" customFormat="false" ht="15" hidden="false" customHeight="false" outlineLevel="0" collapsed="false">
      <c r="A158" s="110" t="str">
        <f aca="false">"虚部"</f>
        <v>虚部</v>
      </c>
      <c r="B158" s="88" t="str">
        <f aca="false">IF(03_FRFデータ貼付!B35="","",03_FRFデータ貼付!A35)</f>
        <v/>
      </c>
      <c r="C158" s="88" t="n">
        <f aca="false">IF(AND(03_FRFデータ貼付!B35&lt;&gt;"",03_FRFデータ貼付!C35&lt;&gt;"",03_FRFデータ貼付!D35&lt;&gt;""),1,0)</f>
        <v>0</v>
      </c>
      <c r="D158" s="71" t="n">
        <f aca="false">IF($C158=0,0,03_FRFデータ貼付!H35)</f>
        <v>0</v>
      </c>
      <c r="E158" s="71" t="n">
        <f aca="false">IF($C158=0,0,03_FRFデータ貼付!I35)</f>
        <v>0</v>
      </c>
      <c r="F158" s="71" t="n">
        <f aca="false">IF($C158=0,0,03_FRFデータ貼付!J35)</f>
        <v>0</v>
      </c>
      <c r="G158" s="71" t="n">
        <f aca="false">0</f>
        <v>0</v>
      </c>
      <c r="H158" s="71" t="n">
        <f aca="false">$C158*$D158</f>
        <v>0</v>
      </c>
      <c r="I158" s="71" t="n">
        <f aca="false">0</f>
        <v>0</v>
      </c>
      <c r="J158" s="71" t="n">
        <f aca="false">-$C158*$D158^3</f>
        <v>-0</v>
      </c>
      <c r="K158" s="71" t="n">
        <f aca="false">-$C158*$F158</f>
        <v>-0</v>
      </c>
      <c r="L158" s="71" t="n">
        <f aca="false">-$C158*$D158*$E158</f>
        <v>-0</v>
      </c>
      <c r="M158" s="71" t="n">
        <f aca="false">$C158*$D158^2*$F158</f>
        <v>0</v>
      </c>
      <c r="N158" s="71" t="n">
        <f aca="false">$C158*$D158^3*$E158</f>
        <v>0</v>
      </c>
      <c r="O158" s="71" t="n">
        <f aca="false">$C158*$D158^4*$F158</f>
        <v>0</v>
      </c>
      <c r="P158" s="2"/>
      <c r="Q158" s="2"/>
    </row>
    <row r="159" customFormat="false" ht="15" hidden="false" customHeight="false" outlineLevel="0" collapsed="false">
      <c r="A159" s="110" t="str">
        <f aca="false">"虚部"</f>
        <v>虚部</v>
      </c>
      <c r="B159" s="88" t="str">
        <f aca="false">IF(03_FRFデータ貼付!B36="","",03_FRFデータ貼付!A36)</f>
        <v/>
      </c>
      <c r="C159" s="88" t="n">
        <f aca="false">IF(AND(03_FRFデータ貼付!B36&lt;&gt;"",03_FRFデータ貼付!C36&lt;&gt;"",03_FRFデータ貼付!D36&lt;&gt;""),1,0)</f>
        <v>0</v>
      </c>
      <c r="D159" s="71" t="n">
        <f aca="false">IF($C159=0,0,03_FRFデータ貼付!H36)</f>
        <v>0</v>
      </c>
      <c r="E159" s="71" t="n">
        <f aca="false">IF($C159=0,0,03_FRFデータ貼付!I36)</f>
        <v>0</v>
      </c>
      <c r="F159" s="71" t="n">
        <f aca="false">IF($C159=0,0,03_FRFデータ貼付!J36)</f>
        <v>0</v>
      </c>
      <c r="G159" s="71" t="n">
        <f aca="false">0</f>
        <v>0</v>
      </c>
      <c r="H159" s="71" t="n">
        <f aca="false">$C159*$D159</f>
        <v>0</v>
      </c>
      <c r="I159" s="71" t="n">
        <f aca="false">0</f>
        <v>0</v>
      </c>
      <c r="J159" s="71" t="n">
        <f aca="false">-$C159*$D159^3</f>
        <v>-0</v>
      </c>
      <c r="K159" s="71" t="n">
        <f aca="false">-$C159*$F159</f>
        <v>-0</v>
      </c>
      <c r="L159" s="71" t="n">
        <f aca="false">-$C159*$D159*$E159</f>
        <v>-0</v>
      </c>
      <c r="M159" s="71" t="n">
        <f aca="false">$C159*$D159^2*$F159</f>
        <v>0</v>
      </c>
      <c r="N159" s="71" t="n">
        <f aca="false">$C159*$D159^3*$E159</f>
        <v>0</v>
      </c>
      <c r="O159" s="71" t="n">
        <f aca="false">$C159*$D159^4*$F159</f>
        <v>0</v>
      </c>
      <c r="P159" s="2"/>
      <c r="Q159" s="2"/>
    </row>
    <row r="160" customFormat="false" ht="15" hidden="false" customHeight="false" outlineLevel="0" collapsed="false">
      <c r="A160" s="110" t="str">
        <f aca="false">"虚部"</f>
        <v>虚部</v>
      </c>
      <c r="B160" s="88" t="str">
        <f aca="false">IF(03_FRFデータ貼付!B37="","",03_FRFデータ貼付!A37)</f>
        <v/>
      </c>
      <c r="C160" s="88" t="n">
        <f aca="false">IF(AND(03_FRFデータ貼付!B37&lt;&gt;"",03_FRFデータ貼付!C37&lt;&gt;"",03_FRFデータ貼付!D37&lt;&gt;""),1,0)</f>
        <v>0</v>
      </c>
      <c r="D160" s="71" t="n">
        <f aca="false">IF($C160=0,0,03_FRFデータ貼付!H37)</f>
        <v>0</v>
      </c>
      <c r="E160" s="71" t="n">
        <f aca="false">IF($C160=0,0,03_FRFデータ貼付!I37)</f>
        <v>0</v>
      </c>
      <c r="F160" s="71" t="n">
        <f aca="false">IF($C160=0,0,03_FRFデータ貼付!J37)</f>
        <v>0</v>
      </c>
      <c r="G160" s="71" t="n">
        <f aca="false">0</f>
        <v>0</v>
      </c>
      <c r="H160" s="71" t="n">
        <f aca="false">$C160*$D160</f>
        <v>0</v>
      </c>
      <c r="I160" s="71" t="n">
        <f aca="false">0</f>
        <v>0</v>
      </c>
      <c r="J160" s="71" t="n">
        <f aca="false">-$C160*$D160^3</f>
        <v>-0</v>
      </c>
      <c r="K160" s="71" t="n">
        <f aca="false">-$C160*$F160</f>
        <v>-0</v>
      </c>
      <c r="L160" s="71" t="n">
        <f aca="false">-$C160*$D160*$E160</f>
        <v>-0</v>
      </c>
      <c r="M160" s="71" t="n">
        <f aca="false">$C160*$D160^2*$F160</f>
        <v>0</v>
      </c>
      <c r="N160" s="71" t="n">
        <f aca="false">$C160*$D160^3*$E160</f>
        <v>0</v>
      </c>
      <c r="O160" s="71" t="n">
        <f aca="false">$C160*$D160^4*$F160</f>
        <v>0</v>
      </c>
      <c r="P160" s="2"/>
      <c r="Q160" s="2"/>
    </row>
    <row r="161" customFormat="false" ht="15" hidden="false" customHeight="false" outlineLevel="0" collapsed="false">
      <c r="A161" s="110" t="str">
        <f aca="false">"虚部"</f>
        <v>虚部</v>
      </c>
      <c r="B161" s="88" t="str">
        <f aca="false">IF(03_FRFデータ貼付!B38="","",03_FRFデータ貼付!A38)</f>
        <v/>
      </c>
      <c r="C161" s="88" t="n">
        <f aca="false">IF(AND(03_FRFデータ貼付!B38&lt;&gt;"",03_FRFデータ貼付!C38&lt;&gt;"",03_FRFデータ貼付!D38&lt;&gt;""),1,0)</f>
        <v>0</v>
      </c>
      <c r="D161" s="71" t="n">
        <f aca="false">IF($C161=0,0,03_FRFデータ貼付!H38)</f>
        <v>0</v>
      </c>
      <c r="E161" s="71" t="n">
        <f aca="false">IF($C161=0,0,03_FRFデータ貼付!I38)</f>
        <v>0</v>
      </c>
      <c r="F161" s="71" t="n">
        <f aca="false">IF($C161=0,0,03_FRFデータ貼付!J38)</f>
        <v>0</v>
      </c>
      <c r="G161" s="71" t="n">
        <f aca="false">0</f>
        <v>0</v>
      </c>
      <c r="H161" s="71" t="n">
        <f aca="false">$C161*$D161</f>
        <v>0</v>
      </c>
      <c r="I161" s="71" t="n">
        <f aca="false">0</f>
        <v>0</v>
      </c>
      <c r="J161" s="71" t="n">
        <f aca="false">-$C161*$D161^3</f>
        <v>-0</v>
      </c>
      <c r="K161" s="71" t="n">
        <f aca="false">-$C161*$F161</f>
        <v>-0</v>
      </c>
      <c r="L161" s="71" t="n">
        <f aca="false">-$C161*$D161*$E161</f>
        <v>-0</v>
      </c>
      <c r="M161" s="71" t="n">
        <f aca="false">$C161*$D161^2*$F161</f>
        <v>0</v>
      </c>
      <c r="N161" s="71" t="n">
        <f aca="false">$C161*$D161^3*$E161</f>
        <v>0</v>
      </c>
      <c r="O161" s="71" t="n">
        <f aca="false">$C161*$D161^4*$F161</f>
        <v>0</v>
      </c>
      <c r="P161" s="2"/>
      <c r="Q161" s="2"/>
    </row>
    <row r="162" customFormat="false" ht="15" hidden="false" customHeight="false" outlineLevel="0" collapsed="false">
      <c r="A162" s="110" t="str">
        <f aca="false">"虚部"</f>
        <v>虚部</v>
      </c>
      <c r="B162" s="88" t="str">
        <f aca="false">IF(03_FRFデータ貼付!B39="","",03_FRFデータ貼付!A39)</f>
        <v/>
      </c>
      <c r="C162" s="88" t="n">
        <f aca="false">IF(AND(03_FRFデータ貼付!B39&lt;&gt;"",03_FRFデータ貼付!C39&lt;&gt;"",03_FRFデータ貼付!D39&lt;&gt;""),1,0)</f>
        <v>0</v>
      </c>
      <c r="D162" s="71" t="n">
        <f aca="false">IF($C162=0,0,03_FRFデータ貼付!H39)</f>
        <v>0</v>
      </c>
      <c r="E162" s="71" t="n">
        <f aca="false">IF($C162=0,0,03_FRFデータ貼付!I39)</f>
        <v>0</v>
      </c>
      <c r="F162" s="71" t="n">
        <f aca="false">IF($C162=0,0,03_FRFデータ貼付!J39)</f>
        <v>0</v>
      </c>
      <c r="G162" s="71" t="n">
        <f aca="false">0</f>
        <v>0</v>
      </c>
      <c r="H162" s="71" t="n">
        <f aca="false">$C162*$D162</f>
        <v>0</v>
      </c>
      <c r="I162" s="71" t="n">
        <f aca="false">0</f>
        <v>0</v>
      </c>
      <c r="J162" s="71" t="n">
        <f aca="false">-$C162*$D162^3</f>
        <v>-0</v>
      </c>
      <c r="K162" s="71" t="n">
        <f aca="false">-$C162*$F162</f>
        <v>-0</v>
      </c>
      <c r="L162" s="71" t="n">
        <f aca="false">-$C162*$D162*$E162</f>
        <v>-0</v>
      </c>
      <c r="M162" s="71" t="n">
        <f aca="false">$C162*$D162^2*$F162</f>
        <v>0</v>
      </c>
      <c r="N162" s="71" t="n">
        <f aca="false">$C162*$D162^3*$E162</f>
        <v>0</v>
      </c>
      <c r="O162" s="71" t="n">
        <f aca="false">$C162*$D162^4*$F162</f>
        <v>0</v>
      </c>
      <c r="P162" s="2"/>
      <c r="Q162" s="2"/>
    </row>
    <row r="163" customFormat="false" ht="15" hidden="false" customHeight="false" outlineLevel="0" collapsed="false">
      <c r="A163" s="110" t="str">
        <f aca="false">"虚部"</f>
        <v>虚部</v>
      </c>
      <c r="B163" s="88" t="str">
        <f aca="false">IF(03_FRFデータ貼付!B40="","",03_FRFデータ貼付!A40)</f>
        <v/>
      </c>
      <c r="C163" s="88" t="n">
        <f aca="false">IF(AND(03_FRFデータ貼付!B40&lt;&gt;"",03_FRFデータ貼付!C40&lt;&gt;"",03_FRFデータ貼付!D40&lt;&gt;""),1,0)</f>
        <v>0</v>
      </c>
      <c r="D163" s="71" t="n">
        <f aca="false">IF($C163=0,0,03_FRFデータ貼付!H40)</f>
        <v>0</v>
      </c>
      <c r="E163" s="71" t="n">
        <f aca="false">IF($C163=0,0,03_FRFデータ貼付!I40)</f>
        <v>0</v>
      </c>
      <c r="F163" s="71" t="n">
        <f aca="false">IF($C163=0,0,03_FRFデータ貼付!J40)</f>
        <v>0</v>
      </c>
      <c r="G163" s="71" t="n">
        <f aca="false">0</f>
        <v>0</v>
      </c>
      <c r="H163" s="71" t="n">
        <f aca="false">$C163*$D163</f>
        <v>0</v>
      </c>
      <c r="I163" s="71" t="n">
        <f aca="false">0</f>
        <v>0</v>
      </c>
      <c r="J163" s="71" t="n">
        <f aca="false">-$C163*$D163^3</f>
        <v>-0</v>
      </c>
      <c r="K163" s="71" t="n">
        <f aca="false">-$C163*$F163</f>
        <v>-0</v>
      </c>
      <c r="L163" s="71" t="n">
        <f aca="false">-$C163*$D163*$E163</f>
        <v>-0</v>
      </c>
      <c r="M163" s="71" t="n">
        <f aca="false">$C163*$D163^2*$F163</f>
        <v>0</v>
      </c>
      <c r="N163" s="71" t="n">
        <f aca="false">$C163*$D163^3*$E163</f>
        <v>0</v>
      </c>
      <c r="O163" s="71" t="n">
        <f aca="false">$C163*$D163^4*$F163</f>
        <v>0</v>
      </c>
      <c r="P163" s="2"/>
      <c r="Q163" s="2"/>
    </row>
    <row r="164" customFormat="false" ht="15" hidden="false" customHeight="false" outlineLevel="0" collapsed="false">
      <c r="A164" s="110" t="str">
        <f aca="false">"虚部"</f>
        <v>虚部</v>
      </c>
      <c r="B164" s="88" t="str">
        <f aca="false">IF(03_FRFデータ貼付!B41="","",03_FRFデータ貼付!A41)</f>
        <v/>
      </c>
      <c r="C164" s="88" t="n">
        <f aca="false">IF(AND(03_FRFデータ貼付!B41&lt;&gt;"",03_FRFデータ貼付!C41&lt;&gt;"",03_FRFデータ貼付!D41&lt;&gt;""),1,0)</f>
        <v>0</v>
      </c>
      <c r="D164" s="71" t="n">
        <f aca="false">IF($C164=0,0,03_FRFデータ貼付!H41)</f>
        <v>0</v>
      </c>
      <c r="E164" s="71" t="n">
        <f aca="false">IF($C164=0,0,03_FRFデータ貼付!I41)</f>
        <v>0</v>
      </c>
      <c r="F164" s="71" t="n">
        <f aca="false">IF($C164=0,0,03_FRFデータ貼付!J41)</f>
        <v>0</v>
      </c>
      <c r="G164" s="71" t="n">
        <f aca="false">0</f>
        <v>0</v>
      </c>
      <c r="H164" s="71" t="n">
        <f aca="false">$C164*$D164</f>
        <v>0</v>
      </c>
      <c r="I164" s="71" t="n">
        <f aca="false">0</f>
        <v>0</v>
      </c>
      <c r="J164" s="71" t="n">
        <f aca="false">-$C164*$D164^3</f>
        <v>-0</v>
      </c>
      <c r="K164" s="71" t="n">
        <f aca="false">-$C164*$F164</f>
        <v>-0</v>
      </c>
      <c r="L164" s="71" t="n">
        <f aca="false">-$C164*$D164*$E164</f>
        <v>-0</v>
      </c>
      <c r="M164" s="71" t="n">
        <f aca="false">$C164*$D164^2*$F164</f>
        <v>0</v>
      </c>
      <c r="N164" s="71" t="n">
        <f aca="false">$C164*$D164^3*$E164</f>
        <v>0</v>
      </c>
      <c r="O164" s="71" t="n">
        <f aca="false">$C164*$D164^4*$F164</f>
        <v>0</v>
      </c>
      <c r="P164" s="2"/>
      <c r="Q164" s="2"/>
    </row>
    <row r="165" customFormat="false" ht="15" hidden="false" customHeight="false" outlineLevel="0" collapsed="false">
      <c r="A165" s="110" t="str">
        <f aca="false">"虚部"</f>
        <v>虚部</v>
      </c>
      <c r="B165" s="88" t="str">
        <f aca="false">IF(03_FRFデータ貼付!B42="","",03_FRFデータ貼付!A42)</f>
        <v/>
      </c>
      <c r="C165" s="88" t="n">
        <f aca="false">IF(AND(03_FRFデータ貼付!B42&lt;&gt;"",03_FRFデータ貼付!C42&lt;&gt;"",03_FRFデータ貼付!D42&lt;&gt;""),1,0)</f>
        <v>0</v>
      </c>
      <c r="D165" s="71" t="n">
        <f aca="false">IF($C165=0,0,03_FRFデータ貼付!H42)</f>
        <v>0</v>
      </c>
      <c r="E165" s="71" t="n">
        <f aca="false">IF($C165=0,0,03_FRFデータ貼付!I42)</f>
        <v>0</v>
      </c>
      <c r="F165" s="71" t="n">
        <f aca="false">IF($C165=0,0,03_FRFデータ貼付!J42)</f>
        <v>0</v>
      </c>
      <c r="G165" s="71" t="n">
        <f aca="false">0</f>
        <v>0</v>
      </c>
      <c r="H165" s="71" t="n">
        <f aca="false">$C165*$D165</f>
        <v>0</v>
      </c>
      <c r="I165" s="71" t="n">
        <f aca="false">0</f>
        <v>0</v>
      </c>
      <c r="J165" s="71" t="n">
        <f aca="false">-$C165*$D165^3</f>
        <v>-0</v>
      </c>
      <c r="K165" s="71" t="n">
        <f aca="false">-$C165*$F165</f>
        <v>-0</v>
      </c>
      <c r="L165" s="71" t="n">
        <f aca="false">-$C165*$D165*$E165</f>
        <v>-0</v>
      </c>
      <c r="M165" s="71" t="n">
        <f aca="false">$C165*$D165^2*$F165</f>
        <v>0</v>
      </c>
      <c r="N165" s="71" t="n">
        <f aca="false">$C165*$D165^3*$E165</f>
        <v>0</v>
      </c>
      <c r="O165" s="71" t="n">
        <f aca="false">$C165*$D165^4*$F165</f>
        <v>0</v>
      </c>
      <c r="P165" s="2"/>
      <c r="Q165" s="2"/>
    </row>
    <row r="166" customFormat="false" ht="15" hidden="false" customHeight="false" outlineLevel="0" collapsed="false">
      <c r="A166" s="110" t="str">
        <f aca="false">"虚部"</f>
        <v>虚部</v>
      </c>
      <c r="B166" s="88" t="str">
        <f aca="false">IF(03_FRFデータ貼付!B43="","",03_FRFデータ貼付!A43)</f>
        <v/>
      </c>
      <c r="C166" s="88" t="n">
        <f aca="false">IF(AND(03_FRFデータ貼付!B43&lt;&gt;"",03_FRFデータ貼付!C43&lt;&gt;"",03_FRFデータ貼付!D43&lt;&gt;""),1,0)</f>
        <v>0</v>
      </c>
      <c r="D166" s="71" t="n">
        <f aca="false">IF($C166=0,0,03_FRFデータ貼付!H43)</f>
        <v>0</v>
      </c>
      <c r="E166" s="71" t="n">
        <f aca="false">IF($C166=0,0,03_FRFデータ貼付!I43)</f>
        <v>0</v>
      </c>
      <c r="F166" s="71" t="n">
        <f aca="false">IF($C166=0,0,03_FRFデータ貼付!J43)</f>
        <v>0</v>
      </c>
      <c r="G166" s="71" t="n">
        <f aca="false">0</f>
        <v>0</v>
      </c>
      <c r="H166" s="71" t="n">
        <f aca="false">$C166*$D166</f>
        <v>0</v>
      </c>
      <c r="I166" s="71" t="n">
        <f aca="false">0</f>
        <v>0</v>
      </c>
      <c r="J166" s="71" t="n">
        <f aca="false">-$C166*$D166^3</f>
        <v>-0</v>
      </c>
      <c r="K166" s="71" t="n">
        <f aca="false">-$C166*$F166</f>
        <v>-0</v>
      </c>
      <c r="L166" s="71" t="n">
        <f aca="false">-$C166*$D166*$E166</f>
        <v>-0</v>
      </c>
      <c r="M166" s="71" t="n">
        <f aca="false">$C166*$D166^2*$F166</f>
        <v>0</v>
      </c>
      <c r="N166" s="71" t="n">
        <f aca="false">$C166*$D166^3*$E166</f>
        <v>0</v>
      </c>
      <c r="O166" s="71" t="n">
        <f aca="false">$C166*$D166^4*$F166</f>
        <v>0</v>
      </c>
      <c r="P166" s="2"/>
      <c r="Q166" s="2"/>
    </row>
    <row r="167" customFormat="false" ht="15" hidden="false" customHeight="false" outlineLevel="0" collapsed="false">
      <c r="A167" s="110" t="str">
        <f aca="false">"虚部"</f>
        <v>虚部</v>
      </c>
      <c r="B167" s="88" t="str">
        <f aca="false">IF(03_FRFデータ貼付!B44="","",03_FRFデータ貼付!A44)</f>
        <v/>
      </c>
      <c r="C167" s="88" t="n">
        <f aca="false">IF(AND(03_FRFデータ貼付!B44&lt;&gt;"",03_FRFデータ貼付!C44&lt;&gt;"",03_FRFデータ貼付!D44&lt;&gt;""),1,0)</f>
        <v>0</v>
      </c>
      <c r="D167" s="71" t="n">
        <f aca="false">IF($C167=0,0,03_FRFデータ貼付!H44)</f>
        <v>0</v>
      </c>
      <c r="E167" s="71" t="n">
        <f aca="false">IF($C167=0,0,03_FRFデータ貼付!I44)</f>
        <v>0</v>
      </c>
      <c r="F167" s="71" t="n">
        <f aca="false">IF($C167=0,0,03_FRFデータ貼付!J44)</f>
        <v>0</v>
      </c>
      <c r="G167" s="71" t="n">
        <f aca="false">0</f>
        <v>0</v>
      </c>
      <c r="H167" s="71" t="n">
        <f aca="false">$C167*$D167</f>
        <v>0</v>
      </c>
      <c r="I167" s="71" t="n">
        <f aca="false">0</f>
        <v>0</v>
      </c>
      <c r="J167" s="71" t="n">
        <f aca="false">-$C167*$D167^3</f>
        <v>-0</v>
      </c>
      <c r="K167" s="71" t="n">
        <f aca="false">-$C167*$F167</f>
        <v>-0</v>
      </c>
      <c r="L167" s="71" t="n">
        <f aca="false">-$C167*$D167*$E167</f>
        <v>-0</v>
      </c>
      <c r="M167" s="71" t="n">
        <f aca="false">$C167*$D167^2*$F167</f>
        <v>0</v>
      </c>
      <c r="N167" s="71" t="n">
        <f aca="false">$C167*$D167^3*$E167</f>
        <v>0</v>
      </c>
      <c r="O167" s="71" t="n">
        <f aca="false">$C167*$D167^4*$F167</f>
        <v>0</v>
      </c>
      <c r="P167" s="2"/>
      <c r="Q167" s="2"/>
    </row>
    <row r="168" customFormat="false" ht="15" hidden="false" customHeight="false" outlineLevel="0" collapsed="false">
      <c r="A168" s="110" t="str">
        <f aca="false">"虚部"</f>
        <v>虚部</v>
      </c>
      <c r="B168" s="88" t="str">
        <f aca="false">IF(03_FRFデータ貼付!B45="","",03_FRFデータ貼付!A45)</f>
        <v/>
      </c>
      <c r="C168" s="88" t="n">
        <f aca="false">IF(AND(03_FRFデータ貼付!B45&lt;&gt;"",03_FRFデータ貼付!C45&lt;&gt;"",03_FRFデータ貼付!D45&lt;&gt;""),1,0)</f>
        <v>0</v>
      </c>
      <c r="D168" s="71" t="n">
        <f aca="false">IF($C168=0,0,03_FRFデータ貼付!H45)</f>
        <v>0</v>
      </c>
      <c r="E168" s="71" t="n">
        <f aca="false">IF($C168=0,0,03_FRFデータ貼付!I45)</f>
        <v>0</v>
      </c>
      <c r="F168" s="71" t="n">
        <f aca="false">IF($C168=0,0,03_FRFデータ貼付!J45)</f>
        <v>0</v>
      </c>
      <c r="G168" s="71" t="n">
        <f aca="false">0</f>
        <v>0</v>
      </c>
      <c r="H168" s="71" t="n">
        <f aca="false">$C168*$D168</f>
        <v>0</v>
      </c>
      <c r="I168" s="71" t="n">
        <f aca="false">0</f>
        <v>0</v>
      </c>
      <c r="J168" s="71" t="n">
        <f aca="false">-$C168*$D168^3</f>
        <v>-0</v>
      </c>
      <c r="K168" s="71" t="n">
        <f aca="false">-$C168*$F168</f>
        <v>-0</v>
      </c>
      <c r="L168" s="71" t="n">
        <f aca="false">-$C168*$D168*$E168</f>
        <v>-0</v>
      </c>
      <c r="M168" s="71" t="n">
        <f aca="false">$C168*$D168^2*$F168</f>
        <v>0</v>
      </c>
      <c r="N168" s="71" t="n">
        <f aca="false">$C168*$D168^3*$E168</f>
        <v>0</v>
      </c>
      <c r="O168" s="71" t="n">
        <f aca="false">$C168*$D168^4*$F168</f>
        <v>0</v>
      </c>
      <c r="P168" s="2"/>
      <c r="Q168" s="2"/>
    </row>
    <row r="169" customFormat="false" ht="15" hidden="false" customHeight="false" outlineLevel="0" collapsed="false">
      <c r="A169" s="110" t="str">
        <f aca="false">"虚部"</f>
        <v>虚部</v>
      </c>
      <c r="B169" s="88" t="str">
        <f aca="false">IF(03_FRFデータ貼付!B46="","",03_FRFデータ貼付!A46)</f>
        <v/>
      </c>
      <c r="C169" s="88" t="n">
        <f aca="false">IF(AND(03_FRFデータ貼付!B46&lt;&gt;"",03_FRFデータ貼付!C46&lt;&gt;"",03_FRFデータ貼付!D46&lt;&gt;""),1,0)</f>
        <v>0</v>
      </c>
      <c r="D169" s="71" t="n">
        <f aca="false">IF($C169=0,0,03_FRFデータ貼付!H46)</f>
        <v>0</v>
      </c>
      <c r="E169" s="71" t="n">
        <f aca="false">IF($C169=0,0,03_FRFデータ貼付!I46)</f>
        <v>0</v>
      </c>
      <c r="F169" s="71" t="n">
        <f aca="false">IF($C169=0,0,03_FRFデータ貼付!J46)</f>
        <v>0</v>
      </c>
      <c r="G169" s="71" t="n">
        <f aca="false">0</f>
        <v>0</v>
      </c>
      <c r="H169" s="71" t="n">
        <f aca="false">$C169*$D169</f>
        <v>0</v>
      </c>
      <c r="I169" s="71" t="n">
        <f aca="false">0</f>
        <v>0</v>
      </c>
      <c r="J169" s="71" t="n">
        <f aca="false">-$C169*$D169^3</f>
        <v>-0</v>
      </c>
      <c r="K169" s="71" t="n">
        <f aca="false">-$C169*$F169</f>
        <v>-0</v>
      </c>
      <c r="L169" s="71" t="n">
        <f aca="false">-$C169*$D169*$E169</f>
        <v>-0</v>
      </c>
      <c r="M169" s="71" t="n">
        <f aca="false">$C169*$D169^2*$F169</f>
        <v>0</v>
      </c>
      <c r="N169" s="71" t="n">
        <f aca="false">$C169*$D169^3*$E169</f>
        <v>0</v>
      </c>
      <c r="O169" s="71" t="n">
        <f aca="false">$C169*$D169^4*$F169</f>
        <v>0</v>
      </c>
      <c r="P169" s="2"/>
      <c r="Q169" s="2"/>
    </row>
    <row r="170" customFormat="false" ht="15" hidden="false" customHeight="false" outlineLevel="0" collapsed="false">
      <c r="A170" s="110" t="str">
        <f aca="false">"虚部"</f>
        <v>虚部</v>
      </c>
      <c r="B170" s="88" t="str">
        <f aca="false">IF(03_FRFデータ貼付!B47="","",03_FRFデータ貼付!A47)</f>
        <v/>
      </c>
      <c r="C170" s="88" t="n">
        <f aca="false">IF(AND(03_FRFデータ貼付!B47&lt;&gt;"",03_FRFデータ貼付!C47&lt;&gt;"",03_FRFデータ貼付!D47&lt;&gt;""),1,0)</f>
        <v>0</v>
      </c>
      <c r="D170" s="71" t="n">
        <f aca="false">IF($C170=0,0,03_FRFデータ貼付!H47)</f>
        <v>0</v>
      </c>
      <c r="E170" s="71" t="n">
        <f aca="false">IF($C170=0,0,03_FRFデータ貼付!I47)</f>
        <v>0</v>
      </c>
      <c r="F170" s="71" t="n">
        <f aca="false">IF($C170=0,0,03_FRFデータ貼付!J47)</f>
        <v>0</v>
      </c>
      <c r="G170" s="71" t="n">
        <f aca="false">0</f>
        <v>0</v>
      </c>
      <c r="H170" s="71" t="n">
        <f aca="false">$C170*$D170</f>
        <v>0</v>
      </c>
      <c r="I170" s="71" t="n">
        <f aca="false">0</f>
        <v>0</v>
      </c>
      <c r="J170" s="71" t="n">
        <f aca="false">-$C170*$D170^3</f>
        <v>-0</v>
      </c>
      <c r="K170" s="71" t="n">
        <f aca="false">-$C170*$F170</f>
        <v>-0</v>
      </c>
      <c r="L170" s="71" t="n">
        <f aca="false">-$C170*$D170*$E170</f>
        <v>-0</v>
      </c>
      <c r="M170" s="71" t="n">
        <f aca="false">$C170*$D170^2*$F170</f>
        <v>0</v>
      </c>
      <c r="N170" s="71" t="n">
        <f aca="false">$C170*$D170^3*$E170</f>
        <v>0</v>
      </c>
      <c r="O170" s="71" t="n">
        <f aca="false">$C170*$D170^4*$F170</f>
        <v>0</v>
      </c>
      <c r="P170" s="2"/>
      <c r="Q170" s="2"/>
    </row>
    <row r="171" customFormat="false" ht="15" hidden="false" customHeight="false" outlineLevel="0" collapsed="false">
      <c r="A171" s="110" t="str">
        <f aca="false">"虚部"</f>
        <v>虚部</v>
      </c>
      <c r="B171" s="88" t="str">
        <f aca="false">IF(03_FRFデータ貼付!B48="","",03_FRFデータ貼付!A48)</f>
        <v/>
      </c>
      <c r="C171" s="88" t="n">
        <f aca="false">IF(AND(03_FRFデータ貼付!B48&lt;&gt;"",03_FRFデータ貼付!C48&lt;&gt;"",03_FRFデータ貼付!D48&lt;&gt;""),1,0)</f>
        <v>0</v>
      </c>
      <c r="D171" s="71" t="n">
        <f aca="false">IF($C171=0,0,03_FRFデータ貼付!H48)</f>
        <v>0</v>
      </c>
      <c r="E171" s="71" t="n">
        <f aca="false">IF($C171=0,0,03_FRFデータ貼付!I48)</f>
        <v>0</v>
      </c>
      <c r="F171" s="71" t="n">
        <f aca="false">IF($C171=0,0,03_FRFデータ貼付!J48)</f>
        <v>0</v>
      </c>
      <c r="G171" s="71" t="n">
        <f aca="false">0</f>
        <v>0</v>
      </c>
      <c r="H171" s="71" t="n">
        <f aca="false">$C171*$D171</f>
        <v>0</v>
      </c>
      <c r="I171" s="71" t="n">
        <f aca="false">0</f>
        <v>0</v>
      </c>
      <c r="J171" s="71" t="n">
        <f aca="false">-$C171*$D171^3</f>
        <v>-0</v>
      </c>
      <c r="K171" s="71" t="n">
        <f aca="false">-$C171*$F171</f>
        <v>-0</v>
      </c>
      <c r="L171" s="71" t="n">
        <f aca="false">-$C171*$D171*$E171</f>
        <v>-0</v>
      </c>
      <c r="M171" s="71" t="n">
        <f aca="false">$C171*$D171^2*$F171</f>
        <v>0</v>
      </c>
      <c r="N171" s="71" t="n">
        <f aca="false">$C171*$D171^3*$E171</f>
        <v>0</v>
      </c>
      <c r="O171" s="71" t="n">
        <f aca="false">$C171*$D171^4*$F171</f>
        <v>0</v>
      </c>
      <c r="P171" s="2"/>
      <c r="Q171" s="2"/>
    </row>
    <row r="172" customFormat="false" ht="15" hidden="false" customHeight="false" outlineLevel="0" collapsed="false">
      <c r="A172" s="110" t="str">
        <f aca="false">"虚部"</f>
        <v>虚部</v>
      </c>
      <c r="B172" s="88" t="str">
        <f aca="false">IF(03_FRFデータ貼付!B49="","",03_FRFデータ貼付!A49)</f>
        <v/>
      </c>
      <c r="C172" s="88" t="n">
        <f aca="false">IF(AND(03_FRFデータ貼付!B49&lt;&gt;"",03_FRFデータ貼付!C49&lt;&gt;"",03_FRFデータ貼付!D49&lt;&gt;""),1,0)</f>
        <v>0</v>
      </c>
      <c r="D172" s="71" t="n">
        <f aca="false">IF($C172=0,0,03_FRFデータ貼付!H49)</f>
        <v>0</v>
      </c>
      <c r="E172" s="71" t="n">
        <f aca="false">IF($C172=0,0,03_FRFデータ貼付!I49)</f>
        <v>0</v>
      </c>
      <c r="F172" s="71" t="n">
        <f aca="false">IF($C172=0,0,03_FRFデータ貼付!J49)</f>
        <v>0</v>
      </c>
      <c r="G172" s="71" t="n">
        <f aca="false">0</f>
        <v>0</v>
      </c>
      <c r="H172" s="71" t="n">
        <f aca="false">$C172*$D172</f>
        <v>0</v>
      </c>
      <c r="I172" s="71" t="n">
        <f aca="false">0</f>
        <v>0</v>
      </c>
      <c r="J172" s="71" t="n">
        <f aca="false">-$C172*$D172^3</f>
        <v>-0</v>
      </c>
      <c r="K172" s="71" t="n">
        <f aca="false">-$C172*$F172</f>
        <v>-0</v>
      </c>
      <c r="L172" s="71" t="n">
        <f aca="false">-$C172*$D172*$E172</f>
        <v>-0</v>
      </c>
      <c r="M172" s="71" t="n">
        <f aca="false">$C172*$D172^2*$F172</f>
        <v>0</v>
      </c>
      <c r="N172" s="71" t="n">
        <f aca="false">$C172*$D172^3*$E172</f>
        <v>0</v>
      </c>
      <c r="O172" s="71" t="n">
        <f aca="false">$C172*$D172^4*$F172</f>
        <v>0</v>
      </c>
      <c r="P172" s="2"/>
      <c r="Q172" s="2"/>
    </row>
    <row r="173" customFormat="false" ht="15" hidden="false" customHeight="false" outlineLevel="0" collapsed="false">
      <c r="A173" s="110" t="str">
        <f aca="false">"虚部"</f>
        <v>虚部</v>
      </c>
      <c r="B173" s="88" t="str">
        <f aca="false">IF(03_FRFデータ貼付!B50="","",03_FRFデータ貼付!A50)</f>
        <v/>
      </c>
      <c r="C173" s="88" t="n">
        <f aca="false">IF(AND(03_FRFデータ貼付!B50&lt;&gt;"",03_FRFデータ貼付!C50&lt;&gt;"",03_FRFデータ貼付!D50&lt;&gt;""),1,0)</f>
        <v>0</v>
      </c>
      <c r="D173" s="71" t="n">
        <f aca="false">IF($C173=0,0,03_FRFデータ貼付!H50)</f>
        <v>0</v>
      </c>
      <c r="E173" s="71" t="n">
        <f aca="false">IF($C173=0,0,03_FRFデータ貼付!I50)</f>
        <v>0</v>
      </c>
      <c r="F173" s="71" t="n">
        <f aca="false">IF($C173=0,0,03_FRFデータ貼付!J50)</f>
        <v>0</v>
      </c>
      <c r="G173" s="71" t="n">
        <f aca="false">0</f>
        <v>0</v>
      </c>
      <c r="H173" s="71" t="n">
        <f aca="false">$C173*$D173</f>
        <v>0</v>
      </c>
      <c r="I173" s="71" t="n">
        <f aca="false">0</f>
        <v>0</v>
      </c>
      <c r="J173" s="71" t="n">
        <f aca="false">-$C173*$D173^3</f>
        <v>-0</v>
      </c>
      <c r="K173" s="71" t="n">
        <f aca="false">-$C173*$F173</f>
        <v>-0</v>
      </c>
      <c r="L173" s="71" t="n">
        <f aca="false">-$C173*$D173*$E173</f>
        <v>-0</v>
      </c>
      <c r="M173" s="71" t="n">
        <f aca="false">$C173*$D173^2*$F173</f>
        <v>0</v>
      </c>
      <c r="N173" s="71" t="n">
        <f aca="false">$C173*$D173^3*$E173</f>
        <v>0</v>
      </c>
      <c r="O173" s="71" t="n">
        <f aca="false">$C173*$D173^4*$F173</f>
        <v>0</v>
      </c>
      <c r="P173" s="2"/>
      <c r="Q173" s="2"/>
    </row>
    <row r="174" customFormat="false" ht="15" hidden="false" customHeight="false" outlineLevel="0" collapsed="false">
      <c r="A174" s="110" t="str">
        <f aca="false">"虚部"</f>
        <v>虚部</v>
      </c>
      <c r="B174" s="88" t="str">
        <f aca="false">IF(03_FRFデータ貼付!B51="","",03_FRFデータ貼付!A51)</f>
        <v/>
      </c>
      <c r="C174" s="88" t="n">
        <f aca="false">IF(AND(03_FRFデータ貼付!B51&lt;&gt;"",03_FRFデータ貼付!C51&lt;&gt;"",03_FRFデータ貼付!D51&lt;&gt;""),1,0)</f>
        <v>0</v>
      </c>
      <c r="D174" s="71" t="n">
        <f aca="false">IF($C174=0,0,03_FRFデータ貼付!H51)</f>
        <v>0</v>
      </c>
      <c r="E174" s="71" t="n">
        <f aca="false">IF($C174=0,0,03_FRFデータ貼付!I51)</f>
        <v>0</v>
      </c>
      <c r="F174" s="71" t="n">
        <f aca="false">IF($C174=0,0,03_FRFデータ貼付!J51)</f>
        <v>0</v>
      </c>
      <c r="G174" s="71" t="n">
        <f aca="false">0</f>
        <v>0</v>
      </c>
      <c r="H174" s="71" t="n">
        <f aca="false">$C174*$D174</f>
        <v>0</v>
      </c>
      <c r="I174" s="71" t="n">
        <f aca="false">0</f>
        <v>0</v>
      </c>
      <c r="J174" s="71" t="n">
        <f aca="false">-$C174*$D174^3</f>
        <v>-0</v>
      </c>
      <c r="K174" s="71" t="n">
        <f aca="false">-$C174*$F174</f>
        <v>-0</v>
      </c>
      <c r="L174" s="71" t="n">
        <f aca="false">-$C174*$D174*$E174</f>
        <v>-0</v>
      </c>
      <c r="M174" s="71" t="n">
        <f aca="false">$C174*$D174^2*$F174</f>
        <v>0</v>
      </c>
      <c r="N174" s="71" t="n">
        <f aca="false">$C174*$D174^3*$E174</f>
        <v>0</v>
      </c>
      <c r="O174" s="71" t="n">
        <f aca="false">$C174*$D174^4*$F174</f>
        <v>0</v>
      </c>
      <c r="P174" s="2"/>
      <c r="Q174" s="2"/>
    </row>
    <row r="175" customFormat="false" ht="15" hidden="false" customHeight="false" outlineLevel="0" collapsed="false">
      <c r="A175" s="110" t="str">
        <f aca="false">"虚部"</f>
        <v>虚部</v>
      </c>
      <c r="B175" s="88" t="str">
        <f aca="false">IF(03_FRFデータ貼付!B52="","",03_FRFデータ貼付!A52)</f>
        <v/>
      </c>
      <c r="C175" s="88" t="n">
        <f aca="false">IF(AND(03_FRFデータ貼付!B52&lt;&gt;"",03_FRFデータ貼付!C52&lt;&gt;"",03_FRFデータ貼付!D52&lt;&gt;""),1,0)</f>
        <v>0</v>
      </c>
      <c r="D175" s="71" t="n">
        <f aca="false">IF($C175=0,0,03_FRFデータ貼付!H52)</f>
        <v>0</v>
      </c>
      <c r="E175" s="71" t="n">
        <f aca="false">IF($C175=0,0,03_FRFデータ貼付!I52)</f>
        <v>0</v>
      </c>
      <c r="F175" s="71" t="n">
        <f aca="false">IF($C175=0,0,03_FRFデータ貼付!J52)</f>
        <v>0</v>
      </c>
      <c r="G175" s="71" t="n">
        <f aca="false">0</f>
        <v>0</v>
      </c>
      <c r="H175" s="71" t="n">
        <f aca="false">$C175*$D175</f>
        <v>0</v>
      </c>
      <c r="I175" s="71" t="n">
        <f aca="false">0</f>
        <v>0</v>
      </c>
      <c r="J175" s="71" t="n">
        <f aca="false">-$C175*$D175^3</f>
        <v>-0</v>
      </c>
      <c r="K175" s="71" t="n">
        <f aca="false">-$C175*$F175</f>
        <v>-0</v>
      </c>
      <c r="L175" s="71" t="n">
        <f aca="false">-$C175*$D175*$E175</f>
        <v>-0</v>
      </c>
      <c r="M175" s="71" t="n">
        <f aca="false">$C175*$D175^2*$F175</f>
        <v>0</v>
      </c>
      <c r="N175" s="71" t="n">
        <f aca="false">$C175*$D175^3*$E175</f>
        <v>0</v>
      </c>
      <c r="O175" s="71" t="n">
        <f aca="false">$C175*$D175^4*$F175</f>
        <v>0</v>
      </c>
      <c r="P175" s="2"/>
      <c r="Q175" s="2"/>
    </row>
    <row r="176" customFormat="false" ht="15" hidden="false" customHeight="false" outlineLevel="0" collapsed="false">
      <c r="A176" s="110" t="str">
        <f aca="false">"虚部"</f>
        <v>虚部</v>
      </c>
      <c r="B176" s="88" t="str">
        <f aca="false">IF(03_FRFデータ貼付!B53="","",03_FRFデータ貼付!A53)</f>
        <v/>
      </c>
      <c r="C176" s="88" t="n">
        <f aca="false">IF(AND(03_FRFデータ貼付!B53&lt;&gt;"",03_FRFデータ貼付!C53&lt;&gt;"",03_FRFデータ貼付!D53&lt;&gt;""),1,0)</f>
        <v>0</v>
      </c>
      <c r="D176" s="71" t="n">
        <f aca="false">IF($C176=0,0,03_FRFデータ貼付!H53)</f>
        <v>0</v>
      </c>
      <c r="E176" s="71" t="n">
        <f aca="false">IF($C176=0,0,03_FRFデータ貼付!I53)</f>
        <v>0</v>
      </c>
      <c r="F176" s="71" t="n">
        <f aca="false">IF($C176=0,0,03_FRFデータ貼付!J53)</f>
        <v>0</v>
      </c>
      <c r="G176" s="71" t="n">
        <f aca="false">0</f>
        <v>0</v>
      </c>
      <c r="H176" s="71" t="n">
        <f aca="false">$C176*$D176</f>
        <v>0</v>
      </c>
      <c r="I176" s="71" t="n">
        <f aca="false">0</f>
        <v>0</v>
      </c>
      <c r="J176" s="71" t="n">
        <f aca="false">-$C176*$D176^3</f>
        <v>-0</v>
      </c>
      <c r="K176" s="71" t="n">
        <f aca="false">-$C176*$F176</f>
        <v>-0</v>
      </c>
      <c r="L176" s="71" t="n">
        <f aca="false">-$C176*$D176*$E176</f>
        <v>-0</v>
      </c>
      <c r="M176" s="71" t="n">
        <f aca="false">$C176*$D176^2*$F176</f>
        <v>0</v>
      </c>
      <c r="N176" s="71" t="n">
        <f aca="false">$C176*$D176^3*$E176</f>
        <v>0</v>
      </c>
      <c r="O176" s="71" t="n">
        <f aca="false">$C176*$D176^4*$F176</f>
        <v>0</v>
      </c>
      <c r="P176" s="2"/>
      <c r="Q176" s="2"/>
    </row>
    <row r="177" customFormat="false" ht="15" hidden="false" customHeight="false" outlineLevel="0" collapsed="false">
      <c r="A177" s="110" t="str">
        <f aca="false">"虚部"</f>
        <v>虚部</v>
      </c>
      <c r="B177" s="88" t="str">
        <f aca="false">IF(03_FRFデータ貼付!B54="","",03_FRFデータ貼付!A54)</f>
        <v/>
      </c>
      <c r="C177" s="88" t="n">
        <f aca="false">IF(AND(03_FRFデータ貼付!B54&lt;&gt;"",03_FRFデータ貼付!C54&lt;&gt;"",03_FRFデータ貼付!D54&lt;&gt;""),1,0)</f>
        <v>0</v>
      </c>
      <c r="D177" s="71" t="n">
        <f aca="false">IF($C177=0,0,03_FRFデータ貼付!H54)</f>
        <v>0</v>
      </c>
      <c r="E177" s="71" t="n">
        <f aca="false">IF($C177=0,0,03_FRFデータ貼付!I54)</f>
        <v>0</v>
      </c>
      <c r="F177" s="71" t="n">
        <f aca="false">IF($C177=0,0,03_FRFデータ貼付!J54)</f>
        <v>0</v>
      </c>
      <c r="G177" s="71" t="n">
        <f aca="false">0</f>
        <v>0</v>
      </c>
      <c r="H177" s="71" t="n">
        <f aca="false">$C177*$D177</f>
        <v>0</v>
      </c>
      <c r="I177" s="71" t="n">
        <f aca="false">0</f>
        <v>0</v>
      </c>
      <c r="J177" s="71" t="n">
        <f aca="false">-$C177*$D177^3</f>
        <v>-0</v>
      </c>
      <c r="K177" s="71" t="n">
        <f aca="false">-$C177*$F177</f>
        <v>-0</v>
      </c>
      <c r="L177" s="71" t="n">
        <f aca="false">-$C177*$D177*$E177</f>
        <v>-0</v>
      </c>
      <c r="M177" s="71" t="n">
        <f aca="false">$C177*$D177^2*$F177</f>
        <v>0</v>
      </c>
      <c r="N177" s="71" t="n">
        <f aca="false">$C177*$D177^3*$E177</f>
        <v>0</v>
      </c>
      <c r="O177" s="71" t="n">
        <f aca="false">$C177*$D177^4*$F177</f>
        <v>0</v>
      </c>
      <c r="P177" s="2"/>
      <c r="Q177" s="2"/>
    </row>
    <row r="178" customFormat="false" ht="15" hidden="false" customHeight="false" outlineLevel="0" collapsed="false">
      <c r="A178" s="110" t="str">
        <f aca="false">"虚部"</f>
        <v>虚部</v>
      </c>
      <c r="B178" s="88" t="str">
        <f aca="false">IF(03_FRFデータ貼付!B55="","",03_FRFデータ貼付!A55)</f>
        <v/>
      </c>
      <c r="C178" s="88" t="n">
        <f aca="false">IF(AND(03_FRFデータ貼付!B55&lt;&gt;"",03_FRFデータ貼付!C55&lt;&gt;"",03_FRFデータ貼付!D55&lt;&gt;""),1,0)</f>
        <v>0</v>
      </c>
      <c r="D178" s="71" t="n">
        <f aca="false">IF($C178=0,0,03_FRFデータ貼付!H55)</f>
        <v>0</v>
      </c>
      <c r="E178" s="71" t="n">
        <f aca="false">IF($C178=0,0,03_FRFデータ貼付!I55)</f>
        <v>0</v>
      </c>
      <c r="F178" s="71" t="n">
        <f aca="false">IF($C178=0,0,03_FRFデータ貼付!J55)</f>
        <v>0</v>
      </c>
      <c r="G178" s="71" t="n">
        <f aca="false">0</f>
        <v>0</v>
      </c>
      <c r="H178" s="71" t="n">
        <f aca="false">$C178*$D178</f>
        <v>0</v>
      </c>
      <c r="I178" s="71" t="n">
        <f aca="false">0</f>
        <v>0</v>
      </c>
      <c r="J178" s="71" t="n">
        <f aca="false">-$C178*$D178^3</f>
        <v>-0</v>
      </c>
      <c r="K178" s="71" t="n">
        <f aca="false">-$C178*$F178</f>
        <v>-0</v>
      </c>
      <c r="L178" s="71" t="n">
        <f aca="false">-$C178*$D178*$E178</f>
        <v>-0</v>
      </c>
      <c r="M178" s="71" t="n">
        <f aca="false">$C178*$D178^2*$F178</f>
        <v>0</v>
      </c>
      <c r="N178" s="71" t="n">
        <f aca="false">$C178*$D178^3*$E178</f>
        <v>0</v>
      </c>
      <c r="O178" s="71" t="n">
        <f aca="false">$C178*$D178^4*$F178</f>
        <v>0</v>
      </c>
      <c r="P178" s="2"/>
      <c r="Q178" s="2"/>
    </row>
    <row r="179" customFormat="false" ht="15" hidden="false" customHeight="false" outlineLevel="0" collapsed="false">
      <c r="A179" s="110" t="str">
        <f aca="false">"虚部"</f>
        <v>虚部</v>
      </c>
      <c r="B179" s="88" t="str">
        <f aca="false">IF(03_FRFデータ貼付!B56="","",03_FRFデータ貼付!A56)</f>
        <v/>
      </c>
      <c r="C179" s="88" t="n">
        <f aca="false">IF(AND(03_FRFデータ貼付!B56&lt;&gt;"",03_FRFデータ貼付!C56&lt;&gt;"",03_FRFデータ貼付!D56&lt;&gt;""),1,0)</f>
        <v>0</v>
      </c>
      <c r="D179" s="71" t="n">
        <f aca="false">IF($C179=0,0,03_FRFデータ貼付!H56)</f>
        <v>0</v>
      </c>
      <c r="E179" s="71" t="n">
        <f aca="false">IF($C179=0,0,03_FRFデータ貼付!I56)</f>
        <v>0</v>
      </c>
      <c r="F179" s="71" t="n">
        <f aca="false">IF($C179=0,0,03_FRFデータ貼付!J56)</f>
        <v>0</v>
      </c>
      <c r="G179" s="71" t="n">
        <f aca="false">0</f>
        <v>0</v>
      </c>
      <c r="H179" s="71" t="n">
        <f aca="false">$C179*$D179</f>
        <v>0</v>
      </c>
      <c r="I179" s="71" t="n">
        <f aca="false">0</f>
        <v>0</v>
      </c>
      <c r="J179" s="71" t="n">
        <f aca="false">-$C179*$D179^3</f>
        <v>-0</v>
      </c>
      <c r="K179" s="71" t="n">
        <f aca="false">-$C179*$F179</f>
        <v>-0</v>
      </c>
      <c r="L179" s="71" t="n">
        <f aca="false">-$C179*$D179*$E179</f>
        <v>-0</v>
      </c>
      <c r="M179" s="71" t="n">
        <f aca="false">$C179*$D179^2*$F179</f>
        <v>0</v>
      </c>
      <c r="N179" s="71" t="n">
        <f aca="false">$C179*$D179^3*$E179</f>
        <v>0</v>
      </c>
      <c r="O179" s="71" t="n">
        <f aca="false">$C179*$D179^4*$F179</f>
        <v>0</v>
      </c>
      <c r="P179" s="2"/>
      <c r="Q179" s="2"/>
    </row>
    <row r="180" customFormat="false" ht="15" hidden="false" customHeight="false" outlineLevel="0" collapsed="false">
      <c r="A180" s="110" t="str">
        <f aca="false">"虚部"</f>
        <v>虚部</v>
      </c>
      <c r="B180" s="88" t="str">
        <f aca="false">IF(03_FRFデータ貼付!B57="","",03_FRFデータ貼付!A57)</f>
        <v/>
      </c>
      <c r="C180" s="88" t="n">
        <f aca="false">IF(AND(03_FRFデータ貼付!B57&lt;&gt;"",03_FRFデータ貼付!C57&lt;&gt;"",03_FRFデータ貼付!D57&lt;&gt;""),1,0)</f>
        <v>0</v>
      </c>
      <c r="D180" s="71" t="n">
        <f aca="false">IF($C180=0,0,03_FRFデータ貼付!H57)</f>
        <v>0</v>
      </c>
      <c r="E180" s="71" t="n">
        <f aca="false">IF($C180=0,0,03_FRFデータ貼付!I57)</f>
        <v>0</v>
      </c>
      <c r="F180" s="71" t="n">
        <f aca="false">IF($C180=0,0,03_FRFデータ貼付!J57)</f>
        <v>0</v>
      </c>
      <c r="G180" s="71" t="n">
        <f aca="false">0</f>
        <v>0</v>
      </c>
      <c r="H180" s="71" t="n">
        <f aca="false">$C180*$D180</f>
        <v>0</v>
      </c>
      <c r="I180" s="71" t="n">
        <f aca="false">0</f>
        <v>0</v>
      </c>
      <c r="J180" s="71" t="n">
        <f aca="false">-$C180*$D180^3</f>
        <v>-0</v>
      </c>
      <c r="K180" s="71" t="n">
        <f aca="false">-$C180*$F180</f>
        <v>-0</v>
      </c>
      <c r="L180" s="71" t="n">
        <f aca="false">-$C180*$D180*$E180</f>
        <v>-0</v>
      </c>
      <c r="M180" s="71" t="n">
        <f aca="false">$C180*$D180^2*$F180</f>
        <v>0</v>
      </c>
      <c r="N180" s="71" t="n">
        <f aca="false">$C180*$D180^3*$E180</f>
        <v>0</v>
      </c>
      <c r="O180" s="71" t="n">
        <f aca="false">$C180*$D180^4*$F180</f>
        <v>0</v>
      </c>
      <c r="P180" s="2"/>
      <c r="Q180" s="2"/>
    </row>
    <row r="181" customFormat="false" ht="15" hidden="false" customHeight="false" outlineLevel="0" collapsed="false">
      <c r="A181" s="110" t="str">
        <f aca="false">"虚部"</f>
        <v>虚部</v>
      </c>
      <c r="B181" s="88" t="str">
        <f aca="false">IF(03_FRFデータ貼付!B58="","",03_FRFデータ貼付!A58)</f>
        <v/>
      </c>
      <c r="C181" s="88" t="n">
        <f aca="false">IF(AND(03_FRFデータ貼付!B58&lt;&gt;"",03_FRFデータ貼付!C58&lt;&gt;"",03_FRFデータ貼付!D58&lt;&gt;""),1,0)</f>
        <v>0</v>
      </c>
      <c r="D181" s="71" t="n">
        <f aca="false">IF($C181=0,0,03_FRFデータ貼付!H58)</f>
        <v>0</v>
      </c>
      <c r="E181" s="71" t="n">
        <f aca="false">IF($C181=0,0,03_FRFデータ貼付!I58)</f>
        <v>0</v>
      </c>
      <c r="F181" s="71" t="n">
        <f aca="false">IF($C181=0,0,03_FRFデータ貼付!J58)</f>
        <v>0</v>
      </c>
      <c r="G181" s="71" t="n">
        <f aca="false">0</f>
        <v>0</v>
      </c>
      <c r="H181" s="71" t="n">
        <f aca="false">$C181*$D181</f>
        <v>0</v>
      </c>
      <c r="I181" s="71" t="n">
        <f aca="false">0</f>
        <v>0</v>
      </c>
      <c r="J181" s="71" t="n">
        <f aca="false">-$C181*$D181^3</f>
        <v>-0</v>
      </c>
      <c r="K181" s="71" t="n">
        <f aca="false">-$C181*$F181</f>
        <v>-0</v>
      </c>
      <c r="L181" s="71" t="n">
        <f aca="false">-$C181*$D181*$E181</f>
        <v>-0</v>
      </c>
      <c r="M181" s="71" t="n">
        <f aca="false">$C181*$D181^2*$F181</f>
        <v>0</v>
      </c>
      <c r="N181" s="71" t="n">
        <f aca="false">$C181*$D181^3*$E181</f>
        <v>0</v>
      </c>
      <c r="O181" s="71" t="n">
        <f aca="false">$C181*$D181^4*$F181</f>
        <v>0</v>
      </c>
      <c r="P181" s="2"/>
      <c r="Q181" s="2"/>
    </row>
    <row r="182" customFormat="false" ht="15" hidden="false" customHeight="false" outlineLevel="0" collapsed="false">
      <c r="A182" s="110" t="str">
        <f aca="false">"虚部"</f>
        <v>虚部</v>
      </c>
      <c r="B182" s="88" t="str">
        <f aca="false">IF(03_FRFデータ貼付!B59="","",03_FRFデータ貼付!A59)</f>
        <v/>
      </c>
      <c r="C182" s="88" t="n">
        <f aca="false">IF(AND(03_FRFデータ貼付!B59&lt;&gt;"",03_FRFデータ貼付!C59&lt;&gt;"",03_FRFデータ貼付!D59&lt;&gt;""),1,0)</f>
        <v>0</v>
      </c>
      <c r="D182" s="71" t="n">
        <f aca="false">IF($C182=0,0,03_FRFデータ貼付!H59)</f>
        <v>0</v>
      </c>
      <c r="E182" s="71" t="n">
        <f aca="false">IF($C182=0,0,03_FRFデータ貼付!I59)</f>
        <v>0</v>
      </c>
      <c r="F182" s="71" t="n">
        <f aca="false">IF($C182=0,0,03_FRFデータ貼付!J59)</f>
        <v>0</v>
      </c>
      <c r="G182" s="71" t="n">
        <f aca="false">0</f>
        <v>0</v>
      </c>
      <c r="H182" s="71" t="n">
        <f aca="false">$C182*$D182</f>
        <v>0</v>
      </c>
      <c r="I182" s="71" t="n">
        <f aca="false">0</f>
        <v>0</v>
      </c>
      <c r="J182" s="71" t="n">
        <f aca="false">-$C182*$D182^3</f>
        <v>-0</v>
      </c>
      <c r="K182" s="71" t="n">
        <f aca="false">-$C182*$F182</f>
        <v>-0</v>
      </c>
      <c r="L182" s="71" t="n">
        <f aca="false">-$C182*$D182*$E182</f>
        <v>-0</v>
      </c>
      <c r="M182" s="71" t="n">
        <f aca="false">$C182*$D182^2*$F182</f>
        <v>0</v>
      </c>
      <c r="N182" s="71" t="n">
        <f aca="false">$C182*$D182^3*$E182</f>
        <v>0</v>
      </c>
      <c r="O182" s="71" t="n">
        <f aca="false">$C182*$D182^4*$F182</f>
        <v>0</v>
      </c>
      <c r="P182" s="2"/>
      <c r="Q182" s="2"/>
    </row>
    <row r="183" customFormat="false" ht="15" hidden="false" customHeight="false" outlineLevel="0" collapsed="false">
      <c r="A183" s="110" t="str">
        <f aca="false">"虚部"</f>
        <v>虚部</v>
      </c>
      <c r="B183" s="88" t="str">
        <f aca="false">IF(03_FRFデータ貼付!B60="","",03_FRFデータ貼付!A60)</f>
        <v/>
      </c>
      <c r="C183" s="88" t="n">
        <f aca="false">IF(AND(03_FRFデータ貼付!B60&lt;&gt;"",03_FRFデータ貼付!C60&lt;&gt;"",03_FRFデータ貼付!D60&lt;&gt;""),1,0)</f>
        <v>0</v>
      </c>
      <c r="D183" s="71" t="n">
        <f aca="false">IF($C183=0,0,03_FRFデータ貼付!H60)</f>
        <v>0</v>
      </c>
      <c r="E183" s="71" t="n">
        <f aca="false">IF($C183=0,0,03_FRFデータ貼付!I60)</f>
        <v>0</v>
      </c>
      <c r="F183" s="71" t="n">
        <f aca="false">IF($C183=0,0,03_FRFデータ貼付!J60)</f>
        <v>0</v>
      </c>
      <c r="G183" s="71" t="n">
        <f aca="false">0</f>
        <v>0</v>
      </c>
      <c r="H183" s="71" t="n">
        <f aca="false">$C183*$D183</f>
        <v>0</v>
      </c>
      <c r="I183" s="71" t="n">
        <f aca="false">0</f>
        <v>0</v>
      </c>
      <c r="J183" s="71" t="n">
        <f aca="false">-$C183*$D183^3</f>
        <v>-0</v>
      </c>
      <c r="K183" s="71" t="n">
        <f aca="false">-$C183*$F183</f>
        <v>-0</v>
      </c>
      <c r="L183" s="71" t="n">
        <f aca="false">-$C183*$D183*$E183</f>
        <v>-0</v>
      </c>
      <c r="M183" s="71" t="n">
        <f aca="false">$C183*$D183^2*$F183</f>
        <v>0</v>
      </c>
      <c r="N183" s="71" t="n">
        <f aca="false">$C183*$D183^3*$E183</f>
        <v>0</v>
      </c>
      <c r="O183" s="71" t="n">
        <f aca="false">$C183*$D183^4*$F183</f>
        <v>0</v>
      </c>
      <c r="P183" s="2"/>
      <c r="Q183" s="2"/>
    </row>
    <row r="184" customFormat="false" ht="15" hidden="false" customHeight="false" outlineLevel="0" collapsed="false">
      <c r="A184" s="110" t="str">
        <f aca="false">"虚部"</f>
        <v>虚部</v>
      </c>
      <c r="B184" s="88" t="str">
        <f aca="false">IF(03_FRFデータ貼付!B61="","",03_FRFデータ貼付!A61)</f>
        <v/>
      </c>
      <c r="C184" s="88" t="n">
        <f aca="false">IF(AND(03_FRFデータ貼付!B61&lt;&gt;"",03_FRFデータ貼付!C61&lt;&gt;"",03_FRFデータ貼付!D61&lt;&gt;""),1,0)</f>
        <v>0</v>
      </c>
      <c r="D184" s="71" t="n">
        <f aca="false">IF($C184=0,0,03_FRFデータ貼付!H61)</f>
        <v>0</v>
      </c>
      <c r="E184" s="71" t="n">
        <f aca="false">IF($C184=0,0,03_FRFデータ貼付!I61)</f>
        <v>0</v>
      </c>
      <c r="F184" s="71" t="n">
        <f aca="false">IF($C184=0,0,03_FRFデータ貼付!J61)</f>
        <v>0</v>
      </c>
      <c r="G184" s="71" t="n">
        <f aca="false">0</f>
        <v>0</v>
      </c>
      <c r="H184" s="71" t="n">
        <f aca="false">$C184*$D184</f>
        <v>0</v>
      </c>
      <c r="I184" s="71" t="n">
        <f aca="false">0</f>
        <v>0</v>
      </c>
      <c r="J184" s="71" t="n">
        <f aca="false">-$C184*$D184^3</f>
        <v>-0</v>
      </c>
      <c r="K184" s="71" t="n">
        <f aca="false">-$C184*$F184</f>
        <v>-0</v>
      </c>
      <c r="L184" s="71" t="n">
        <f aca="false">-$C184*$D184*$E184</f>
        <v>-0</v>
      </c>
      <c r="M184" s="71" t="n">
        <f aca="false">$C184*$D184^2*$F184</f>
        <v>0</v>
      </c>
      <c r="N184" s="71" t="n">
        <f aca="false">$C184*$D184^3*$E184</f>
        <v>0</v>
      </c>
      <c r="O184" s="71" t="n">
        <f aca="false">$C184*$D184^4*$F184</f>
        <v>0</v>
      </c>
      <c r="P184" s="2"/>
      <c r="Q184" s="2"/>
    </row>
    <row r="185" customFormat="false" ht="15" hidden="false" customHeight="false" outlineLevel="0" collapsed="false">
      <c r="A185" s="110" t="str">
        <f aca="false">"虚部"</f>
        <v>虚部</v>
      </c>
      <c r="B185" s="88" t="str">
        <f aca="false">IF(03_FRFデータ貼付!B62="","",03_FRFデータ貼付!A62)</f>
        <v/>
      </c>
      <c r="C185" s="88" t="n">
        <f aca="false">IF(AND(03_FRFデータ貼付!B62&lt;&gt;"",03_FRFデータ貼付!C62&lt;&gt;"",03_FRFデータ貼付!D62&lt;&gt;""),1,0)</f>
        <v>0</v>
      </c>
      <c r="D185" s="71" t="n">
        <f aca="false">IF($C185=0,0,03_FRFデータ貼付!H62)</f>
        <v>0</v>
      </c>
      <c r="E185" s="71" t="n">
        <f aca="false">IF($C185=0,0,03_FRFデータ貼付!I62)</f>
        <v>0</v>
      </c>
      <c r="F185" s="71" t="n">
        <f aca="false">IF($C185=0,0,03_FRFデータ貼付!J62)</f>
        <v>0</v>
      </c>
      <c r="G185" s="71" t="n">
        <f aca="false">0</f>
        <v>0</v>
      </c>
      <c r="H185" s="71" t="n">
        <f aca="false">$C185*$D185</f>
        <v>0</v>
      </c>
      <c r="I185" s="71" t="n">
        <f aca="false">0</f>
        <v>0</v>
      </c>
      <c r="J185" s="71" t="n">
        <f aca="false">-$C185*$D185^3</f>
        <v>-0</v>
      </c>
      <c r="K185" s="71" t="n">
        <f aca="false">-$C185*$F185</f>
        <v>-0</v>
      </c>
      <c r="L185" s="71" t="n">
        <f aca="false">-$C185*$D185*$E185</f>
        <v>-0</v>
      </c>
      <c r="M185" s="71" t="n">
        <f aca="false">$C185*$D185^2*$F185</f>
        <v>0</v>
      </c>
      <c r="N185" s="71" t="n">
        <f aca="false">$C185*$D185^3*$E185</f>
        <v>0</v>
      </c>
      <c r="O185" s="71" t="n">
        <f aca="false">$C185*$D185^4*$F185</f>
        <v>0</v>
      </c>
      <c r="P185" s="2"/>
      <c r="Q185" s="2"/>
    </row>
    <row r="186" customFormat="false" ht="15" hidden="false" customHeight="false" outlineLevel="0" collapsed="false">
      <c r="A186" s="110" t="str">
        <f aca="false">"虚部"</f>
        <v>虚部</v>
      </c>
      <c r="B186" s="88" t="str">
        <f aca="false">IF(03_FRFデータ貼付!B63="","",03_FRFデータ貼付!A63)</f>
        <v/>
      </c>
      <c r="C186" s="88" t="n">
        <f aca="false">IF(AND(03_FRFデータ貼付!B63&lt;&gt;"",03_FRFデータ貼付!C63&lt;&gt;"",03_FRFデータ貼付!D63&lt;&gt;""),1,0)</f>
        <v>0</v>
      </c>
      <c r="D186" s="71" t="n">
        <f aca="false">IF($C186=0,0,03_FRFデータ貼付!H63)</f>
        <v>0</v>
      </c>
      <c r="E186" s="71" t="n">
        <f aca="false">IF($C186=0,0,03_FRFデータ貼付!I63)</f>
        <v>0</v>
      </c>
      <c r="F186" s="71" t="n">
        <f aca="false">IF($C186=0,0,03_FRFデータ貼付!J63)</f>
        <v>0</v>
      </c>
      <c r="G186" s="71" t="n">
        <f aca="false">0</f>
        <v>0</v>
      </c>
      <c r="H186" s="71" t="n">
        <f aca="false">$C186*$D186</f>
        <v>0</v>
      </c>
      <c r="I186" s="71" t="n">
        <f aca="false">0</f>
        <v>0</v>
      </c>
      <c r="J186" s="71" t="n">
        <f aca="false">-$C186*$D186^3</f>
        <v>-0</v>
      </c>
      <c r="K186" s="71" t="n">
        <f aca="false">-$C186*$F186</f>
        <v>-0</v>
      </c>
      <c r="L186" s="71" t="n">
        <f aca="false">-$C186*$D186*$E186</f>
        <v>-0</v>
      </c>
      <c r="M186" s="71" t="n">
        <f aca="false">$C186*$D186^2*$F186</f>
        <v>0</v>
      </c>
      <c r="N186" s="71" t="n">
        <f aca="false">$C186*$D186^3*$E186</f>
        <v>0</v>
      </c>
      <c r="O186" s="71" t="n">
        <f aca="false">$C186*$D186^4*$F186</f>
        <v>0</v>
      </c>
      <c r="P186" s="2"/>
      <c r="Q186" s="2"/>
    </row>
    <row r="187" customFormat="false" ht="15" hidden="false" customHeight="false" outlineLevel="0" collapsed="false">
      <c r="A187" s="110" t="str">
        <f aca="false">"虚部"</f>
        <v>虚部</v>
      </c>
      <c r="B187" s="88" t="str">
        <f aca="false">IF(03_FRFデータ貼付!B64="","",03_FRFデータ貼付!A64)</f>
        <v/>
      </c>
      <c r="C187" s="88" t="n">
        <f aca="false">IF(AND(03_FRFデータ貼付!B64&lt;&gt;"",03_FRFデータ貼付!C64&lt;&gt;"",03_FRFデータ貼付!D64&lt;&gt;""),1,0)</f>
        <v>0</v>
      </c>
      <c r="D187" s="71" t="n">
        <f aca="false">IF($C187=0,0,03_FRFデータ貼付!H64)</f>
        <v>0</v>
      </c>
      <c r="E187" s="71" t="n">
        <f aca="false">IF($C187=0,0,03_FRFデータ貼付!I64)</f>
        <v>0</v>
      </c>
      <c r="F187" s="71" t="n">
        <f aca="false">IF($C187=0,0,03_FRFデータ貼付!J64)</f>
        <v>0</v>
      </c>
      <c r="G187" s="71" t="n">
        <f aca="false">0</f>
        <v>0</v>
      </c>
      <c r="H187" s="71" t="n">
        <f aca="false">$C187*$D187</f>
        <v>0</v>
      </c>
      <c r="I187" s="71" t="n">
        <f aca="false">0</f>
        <v>0</v>
      </c>
      <c r="J187" s="71" t="n">
        <f aca="false">-$C187*$D187^3</f>
        <v>-0</v>
      </c>
      <c r="K187" s="71" t="n">
        <f aca="false">-$C187*$F187</f>
        <v>-0</v>
      </c>
      <c r="L187" s="71" t="n">
        <f aca="false">-$C187*$D187*$E187</f>
        <v>-0</v>
      </c>
      <c r="M187" s="71" t="n">
        <f aca="false">$C187*$D187^2*$F187</f>
        <v>0</v>
      </c>
      <c r="N187" s="71" t="n">
        <f aca="false">$C187*$D187^3*$E187</f>
        <v>0</v>
      </c>
      <c r="O187" s="71" t="n">
        <f aca="false">$C187*$D187^4*$F187</f>
        <v>0</v>
      </c>
      <c r="P187" s="2"/>
      <c r="Q187" s="2"/>
    </row>
    <row r="188" customFormat="false" ht="15" hidden="false" customHeight="false" outlineLevel="0" collapsed="false">
      <c r="A188" s="110" t="str">
        <f aca="false">"虚部"</f>
        <v>虚部</v>
      </c>
      <c r="B188" s="88" t="str">
        <f aca="false">IF(03_FRFデータ貼付!B65="","",03_FRFデータ貼付!A65)</f>
        <v/>
      </c>
      <c r="C188" s="88" t="n">
        <f aca="false">IF(AND(03_FRFデータ貼付!B65&lt;&gt;"",03_FRFデータ貼付!C65&lt;&gt;"",03_FRFデータ貼付!D65&lt;&gt;""),1,0)</f>
        <v>0</v>
      </c>
      <c r="D188" s="71" t="n">
        <f aca="false">IF($C188=0,0,03_FRFデータ貼付!H65)</f>
        <v>0</v>
      </c>
      <c r="E188" s="71" t="n">
        <f aca="false">IF($C188=0,0,03_FRFデータ貼付!I65)</f>
        <v>0</v>
      </c>
      <c r="F188" s="71" t="n">
        <f aca="false">IF($C188=0,0,03_FRFデータ貼付!J65)</f>
        <v>0</v>
      </c>
      <c r="G188" s="71" t="n">
        <f aca="false">0</f>
        <v>0</v>
      </c>
      <c r="H188" s="71" t="n">
        <f aca="false">$C188*$D188</f>
        <v>0</v>
      </c>
      <c r="I188" s="71" t="n">
        <f aca="false">0</f>
        <v>0</v>
      </c>
      <c r="J188" s="71" t="n">
        <f aca="false">-$C188*$D188^3</f>
        <v>-0</v>
      </c>
      <c r="K188" s="71" t="n">
        <f aca="false">-$C188*$F188</f>
        <v>-0</v>
      </c>
      <c r="L188" s="71" t="n">
        <f aca="false">-$C188*$D188*$E188</f>
        <v>-0</v>
      </c>
      <c r="M188" s="71" t="n">
        <f aca="false">$C188*$D188^2*$F188</f>
        <v>0</v>
      </c>
      <c r="N188" s="71" t="n">
        <f aca="false">$C188*$D188^3*$E188</f>
        <v>0</v>
      </c>
      <c r="O188" s="71" t="n">
        <f aca="false">$C188*$D188^4*$F188</f>
        <v>0</v>
      </c>
      <c r="P188" s="2"/>
      <c r="Q188" s="2"/>
    </row>
    <row r="189" customFormat="false" ht="15" hidden="false" customHeight="false" outlineLevel="0" collapsed="false">
      <c r="A189" s="110" t="str">
        <f aca="false">"虚部"</f>
        <v>虚部</v>
      </c>
      <c r="B189" s="88" t="str">
        <f aca="false">IF(03_FRFデータ貼付!B66="","",03_FRFデータ貼付!A66)</f>
        <v/>
      </c>
      <c r="C189" s="88" t="n">
        <f aca="false">IF(AND(03_FRFデータ貼付!B66&lt;&gt;"",03_FRFデータ貼付!C66&lt;&gt;"",03_FRFデータ貼付!D66&lt;&gt;""),1,0)</f>
        <v>0</v>
      </c>
      <c r="D189" s="71" t="n">
        <f aca="false">IF($C189=0,0,03_FRFデータ貼付!H66)</f>
        <v>0</v>
      </c>
      <c r="E189" s="71" t="n">
        <f aca="false">IF($C189=0,0,03_FRFデータ貼付!I66)</f>
        <v>0</v>
      </c>
      <c r="F189" s="71" t="n">
        <f aca="false">IF($C189=0,0,03_FRFデータ貼付!J66)</f>
        <v>0</v>
      </c>
      <c r="G189" s="71" t="n">
        <f aca="false">0</f>
        <v>0</v>
      </c>
      <c r="H189" s="71" t="n">
        <f aca="false">$C189*$D189</f>
        <v>0</v>
      </c>
      <c r="I189" s="71" t="n">
        <f aca="false">0</f>
        <v>0</v>
      </c>
      <c r="J189" s="71" t="n">
        <f aca="false">-$C189*$D189^3</f>
        <v>-0</v>
      </c>
      <c r="K189" s="71" t="n">
        <f aca="false">-$C189*$F189</f>
        <v>-0</v>
      </c>
      <c r="L189" s="71" t="n">
        <f aca="false">-$C189*$D189*$E189</f>
        <v>-0</v>
      </c>
      <c r="M189" s="71" t="n">
        <f aca="false">$C189*$D189^2*$F189</f>
        <v>0</v>
      </c>
      <c r="N189" s="71" t="n">
        <f aca="false">$C189*$D189^3*$E189</f>
        <v>0</v>
      </c>
      <c r="O189" s="71" t="n">
        <f aca="false">$C189*$D189^4*$F189</f>
        <v>0</v>
      </c>
      <c r="P189" s="2"/>
      <c r="Q189" s="2"/>
    </row>
    <row r="190" customFormat="false" ht="15" hidden="false" customHeight="false" outlineLevel="0" collapsed="false">
      <c r="A190" s="110" t="str">
        <f aca="false">"虚部"</f>
        <v>虚部</v>
      </c>
      <c r="B190" s="88" t="str">
        <f aca="false">IF(03_FRFデータ貼付!B67="","",03_FRFデータ貼付!A67)</f>
        <v/>
      </c>
      <c r="C190" s="88" t="n">
        <f aca="false">IF(AND(03_FRFデータ貼付!B67&lt;&gt;"",03_FRFデータ貼付!C67&lt;&gt;"",03_FRFデータ貼付!D67&lt;&gt;""),1,0)</f>
        <v>0</v>
      </c>
      <c r="D190" s="71" t="n">
        <f aca="false">IF($C190=0,0,03_FRFデータ貼付!H67)</f>
        <v>0</v>
      </c>
      <c r="E190" s="71" t="n">
        <f aca="false">IF($C190=0,0,03_FRFデータ貼付!I67)</f>
        <v>0</v>
      </c>
      <c r="F190" s="71" t="n">
        <f aca="false">IF($C190=0,0,03_FRFデータ貼付!J67)</f>
        <v>0</v>
      </c>
      <c r="G190" s="71" t="n">
        <f aca="false">0</f>
        <v>0</v>
      </c>
      <c r="H190" s="71" t="n">
        <f aca="false">$C190*$D190</f>
        <v>0</v>
      </c>
      <c r="I190" s="71" t="n">
        <f aca="false">0</f>
        <v>0</v>
      </c>
      <c r="J190" s="71" t="n">
        <f aca="false">-$C190*$D190^3</f>
        <v>-0</v>
      </c>
      <c r="K190" s="71" t="n">
        <f aca="false">-$C190*$F190</f>
        <v>-0</v>
      </c>
      <c r="L190" s="71" t="n">
        <f aca="false">-$C190*$D190*$E190</f>
        <v>-0</v>
      </c>
      <c r="M190" s="71" t="n">
        <f aca="false">$C190*$D190^2*$F190</f>
        <v>0</v>
      </c>
      <c r="N190" s="71" t="n">
        <f aca="false">$C190*$D190^3*$E190</f>
        <v>0</v>
      </c>
      <c r="O190" s="71" t="n">
        <f aca="false">$C190*$D190^4*$F190</f>
        <v>0</v>
      </c>
      <c r="P190" s="2"/>
      <c r="Q190" s="2"/>
    </row>
    <row r="191" customFormat="false" ht="15" hidden="false" customHeight="false" outlineLevel="0" collapsed="false">
      <c r="A191" s="110" t="str">
        <f aca="false">"虚部"</f>
        <v>虚部</v>
      </c>
      <c r="B191" s="88" t="str">
        <f aca="false">IF(03_FRFデータ貼付!B68="","",03_FRFデータ貼付!A68)</f>
        <v/>
      </c>
      <c r="C191" s="88" t="n">
        <f aca="false">IF(AND(03_FRFデータ貼付!B68&lt;&gt;"",03_FRFデータ貼付!C68&lt;&gt;"",03_FRFデータ貼付!D68&lt;&gt;""),1,0)</f>
        <v>0</v>
      </c>
      <c r="D191" s="71" t="n">
        <f aca="false">IF($C191=0,0,03_FRFデータ貼付!H68)</f>
        <v>0</v>
      </c>
      <c r="E191" s="71" t="n">
        <f aca="false">IF($C191=0,0,03_FRFデータ貼付!I68)</f>
        <v>0</v>
      </c>
      <c r="F191" s="71" t="n">
        <f aca="false">IF($C191=0,0,03_FRFデータ貼付!J68)</f>
        <v>0</v>
      </c>
      <c r="G191" s="71" t="n">
        <f aca="false">0</f>
        <v>0</v>
      </c>
      <c r="H191" s="71" t="n">
        <f aca="false">$C191*$D191</f>
        <v>0</v>
      </c>
      <c r="I191" s="71" t="n">
        <f aca="false">0</f>
        <v>0</v>
      </c>
      <c r="J191" s="71" t="n">
        <f aca="false">-$C191*$D191^3</f>
        <v>-0</v>
      </c>
      <c r="K191" s="71" t="n">
        <f aca="false">-$C191*$F191</f>
        <v>-0</v>
      </c>
      <c r="L191" s="71" t="n">
        <f aca="false">-$C191*$D191*$E191</f>
        <v>-0</v>
      </c>
      <c r="M191" s="71" t="n">
        <f aca="false">$C191*$D191^2*$F191</f>
        <v>0</v>
      </c>
      <c r="N191" s="71" t="n">
        <f aca="false">$C191*$D191^3*$E191</f>
        <v>0</v>
      </c>
      <c r="O191" s="71" t="n">
        <f aca="false">$C191*$D191^4*$F191</f>
        <v>0</v>
      </c>
      <c r="P191" s="2"/>
      <c r="Q191" s="2"/>
    </row>
    <row r="192" customFormat="false" ht="15" hidden="false" customHeight="false" outlineLevel="0" collapsed="false">
      <c r="A192" s="110" t="str">
        <f aca="false">"虚部"</f>
        <v>虚部</v>
      </c>
      <c r="B192" s="88" t="str">
        <f aca="false">IF(03_FRFデータ貼付!B69="","",03_FRFデータ貼付!A69)</f>
        <v/>
      </c>
      <c r="C192" s="88" t="n">
        <f aca="false">IF(AND(03_FRFデータ貼付!B69&lt;&gt;"",03_FRFデータ貼付!C69&lt;&gt;"",03_FRFデータ貼付!D69&lt;&gt;""),1,0)</f>
        <v>0</v>
      </c>
      <c r="D192" s="71" t="n">
        <f aca="false">IF($C192=0,0,03_FRFデータ貼付!H69)</f>
        <v>0</v>
      </c>
      <c r="E192" s="71" t="n">
        <f aca="false">IF($C192=0,0,03_FRFデータ貼付!I69)</f>
        <v>0</v>
      </c>
      <c r="F192" s="71" t="n">
        <f aca="false">IF($C192=0,0,03_FRFデータ貼付!J69)</f>
        <v>0</v>
      </c>
      <c r="G192" s="71" t="n">
        <f aca="false">0</f>
        <v>0</v>
      </c>
      <c r="H192" s="71" t="n">
        <f aca="false">$C192*$D192</f>
        <v>0</v>
      </c>
      <c r="I192" s="71" t="n">
        <f aca="false">0</f>
        <v>0</v>
      </c>
      <c r="J192" s="71" t="n">
        <f aca="false">-$C192*$D192^3</f>
        <v>-0</v>
      </c>
      <c r="K192" s="71" t="n">
        <f aca="false">-$C192*$F192</f>
        <v>-0</v>
      </c>
      <c r="L192" s="71" t="n">
        <f aca="false">-$C192*$D192*$E192</f>
        <v>-0</v>
      </c>
      <c r="M192" s="71" t="n">
        <f aca="false">$C192*$D192^2*$F192</f>
        <v>0</v>
      </c>
      <c r="N192" s="71" t="n">
        <f aca="false">$C192*$D192^3*$E192</f>
        <v>0</v>
      </c>
      <c r="O192" s="71" t="n">
        <f aca="false">$C192*$D192^4*$F192</f>
        <v>0</v>
      </c>
      <c r="P192" s="2"/>
      <c r="Q192" s="2"/>
    </row>
    <row r="193" customFormat="false" ht="15" hidden="false" customHeight="false" outlineLevel="0" collapsed="false">
      <c r="A193" s="110" t="str">
        <f aca="false">"虚部"</f>
        <v>虚部</v>
      </c>
      <c r="B193" s="88" t="str">
        <f aca="false">IF(03_FRFデータ貼付!B70="","",03_FRFデータ貼付!A70)</f>
        <v/>
      </c>
      <c r="C193" s="88" t="n">
        <f aca="false">IF(AND(03_FRFデータ貼付!B70&lt;&gt;"",03_FRFデータ貼付!C70&lt;&gt;"",03_FRFデータ貼付!D70&lt;&gt;""),1,0)</f>
        <v>0</v>
      </c>
      <c r="D193" s="71" t="n">
        <f aca="false">IF($C193=0,0,03_FRFデータ貼付!H70)</f>
        <v>0</v>
      </c>
      <c r="E193" s="71" t="n">
        <f aca="false">IF($C193=0,0,03_FRFデータ貼付!I70)</f>
        <v>0</v>
      </c>
      <c r="F193" s="71" t="n">
        <f aca="false">IF($C193=0,0,03_FRFデータ貼付!J70)</f>
        <v>0</v>
      </c>
      <c r="G193" s="71" t="n">
        <f aca="false">0</f>
        <v>0</v>
      </c>
      <c r="H193" s="71" t="n">
        <f aca="false">$C193*$D193</f>
        <v>0</v>
      </c>
      <c r="I193" s="71" t="n">
        <f aca="false">0</f>
        <v>0</v>
      </c>
      <c r="J193" s="71" t="n">
        <f aca="false">-$C193*$D193^3</f>
        <v>-0</v>
      </c>
      <c r="K193" s="71" t="n">
        <f aca="false">-$C193*$F193</f>
        <v>-0</v>
      </c>
      <c r="L193" s="71" t="n">
        <f aca="false">-$C193*$D193*$E193</f>
        <v>-0</v>
      </c>
      <c r="M193" s="71" t="n">
        <f aca="false">$C193*$D193^2*$F193</f>
        <v>0</v>
      </c>
      <c r="N193" s="71" t="n">
        <f aca="false">$C193*$D193^3*$E193</f>
        <v>0</v>
      </c>
      <c r="O193" s="71" t="n">
        <f aca="false">$C193*$D193^4*$F193</f>
        <v>0</v>
      </c>
      <c r="P193" s="2"/>
      <c r="Q193" s="2"/>
    </row>
    <row r="194" customFormat="false" ht="15" hidden="false" customHeight="false" outlineLevel="0" collapsed="false">
      <c r="A194" s="110" t="str">
        <f aca="false">"虚部"</f>
        <v>虚部</v>
      </c>
      <c r="B194" s="88" t="str">
        <f aca="false">IF(03_FRFデータ貼付!B71="","",03_FRFデータ貼付!A71)</f>
        <v/>
      </c>
      <c r="C194" s="88" t="n">
        <f aca="false">IF(AND(03_FRFデータ貼付!B71&lt;&gt;"",03_FRFデータ貼付!C71&lt;&gt;"",03_FRFデータ貼付!D71&lt;&gt;""),1,0)</f>
        <v>0</v>
      </c>
      <c r="D194" s="71" t="n">
        <f aca="false">IF($C194=0,0,03_FRFデータ貼付!H71)</f>
        <v>0</v>
      </c>
      <c r="E194" s="71" t="n">
        <f aca="false">IF($C194=0,0,03_FRFデータ貼付!I71)</f>
        <v>0</v>
      </c>
      <c r="F194" s="71" t="n">
        <f aca="false">IF($C194=0,0,03_FRFデータ貼付!J71)</f>
        <v>0</v>
      </c>
      <c r="G194" s="71" t="n">
        <f aca="false">0</f>
        <v>0</v>
      </c>
      <c r="H194" s="71" t="n">
        <f aca="false">$C194*$D194</f>
        <v>0</v>
      </c>
      <c r="I194" s="71" t="n">
        <f aca="false">0</f>
        <v>0</v>
      </c>
      <c r="J194" s="71" t="n">
        <f aca="false">-$C194*$D194^3</f>
        <v>-0</v>
      </c>
      <c r="K194" s="71" t="n">
        <f aca="false">-$C194*$F194</f>
        <v>-0</v>
      </c>
      <c r="L194" s="71" t="n">
        <f aca="false">-$C194*$D194*$E194</f>
        <v>-0</v>
      </c>
      <c r="M194" s="71" t="n">
        <f aca="false">$C194*$D194^2*$F194</f>
        <v>0</v>
      </c>
      <c r="N194" s="71" t="n">
        <f aca="false">$C194*$D194^3*$E194</f>
        <v>0</v>
      </c>
      <c r="O194" s="71" t="n">
        <f aca="false">$C194*$D194^4*$F194</f>
        <v>0</v>
      </c>
      <c r="P194" s="2"/>
      <c r="Q194" s="2"/>
    </row>
    <row r="195" customFormat="false" ht="15" hidden="false" customHeight="false" outlineLevel="0" collapsed="false">
      <c r="A195" s="110" t="str">
        <f aca="false">"虚部"</f>
        <v>虚部</v>
      </c>
      <c r="B195" s="88" t="str">
        <f aca="false">IF(03_FRFデータ貼付!B72="","",03_FRFデータ貼付!A72)</f>
        <v/>
      </c>
      <c r="C195" s="88" t="n">
        <f aca="false">IF(AND(03_FRFデータ貼付!B72&lt;&gt;"",03_FRFデータ貼付!C72&lt;&gt;"",03_FRFデータ貼付!D72&lt;&gt;""),1,0)</f>
        <v>0</v>
      </c>
      <c r="D195" s="71" t="n">
        <f aca="false">IF($C195=0,0,03_FRFデータ貼付!H72)</f>
        <v>0</v>
      </c>
      <c r="E195" s="71" t="n">
        <f aca="false">IF($C195=0,0,03_FRFデータ貼付!I72)</f>
        <v>0</v>
      </c>
      <c r="F195" s="71" t="n">
        <f aca="false">IF($C195=0,0,03_FRFデータ貼付!J72)</f>
        <v>0</v>
      </c>
      <c r="G195" s="71" t="n">
        <f aca="false">0</f>
        <v>0</v>
      </c>
      <c r="H195" s="71" t="n">
        <f aca="false">$C195*$D195</f>
        <v>0</v>
      </c>
      <c r="I195" s="71" t="n">
        <f aca="false">0</f>
        <v>0</v>
      </c>
      <c r="J195" s="71" t="n">
        <f aca="false">-$C195*$D195^3</f>
        <v>-0</v>
      </c>
      <c r="K195" s="71" t="n">
        <f aca="false">-$C195*$F195</f>
        <v>-0</v>
      </c>
      <c r="L195" s="71" t="n">
        <f aca="false">-$C195*$D195*$E195</f>
        <v>-0</v>
      </c>
      <c r="M195" s="71" t="n">
        <f aca="false">$C195*$D195^2*$F195</f>
        <v>0</v>
      </c>
      <c r="N195" s="71" t="n">
        <f aca="false">$C195*$D195^3*$E195</f>
        <v>0</v>
      </c>
      <c r="O195" s="71" t="n">
        <f aca="false">$C195*$D195^4*$F195</f>
        <v>0</v>
      </c>
      <c r="P195" s="2"/>
      <c r="Q195" s="2"/>
    </row>
    <row r="196" customFormat="false" ht="15" hidden="false" customHeight="false" outlineLevel="0" collapsed="false">
      <c r="A196" s="110" t="str">
        <f aca="false">"虚部"</f>
        <v>虚部</v>
      </c>
      <c r="B196" s="88" t="str">
        <f aca="false">IF(03_FRFデータ貼付!B73="","",03_FRFデータ貼付!A73)</f>
        <v/>
      </c>
      <c r="C196" s="88" t="n">
        <f aca="false">IF(AND(03_FRFデータ貼付!B73&lt;&gt;"",03_FRFデータ貼付!C73&lt;&gt;"",03_FRFデータ貼付!D73&lt;&gt;""),1,0)</f>
        <v>0</v>
      </c>
      <c r="D196" s="71" t="n">
        <f aca="false">IF($C196=0,0,03_FRFデータ貼付!H73)</f>
        <v>0</v>
      </c>
      <c r="E196" s="71" t="n">
        <f aca="false">IF($C196=0,0,03_FRFデータ貼付!I73)</f>
        <v>0</v>
      </c>
      <c r="F196" s="71" t="n">
        <f aca="false">IF($C196=0,0,03_FRFデータ貼付!J73)</f>
        <v>0</v>
      </c>
      <c r="G196" s="71" t="n">
        <f aca="false">0</f>
        <v>0</v>
      </c>
      <c r="H196" s="71" t="n">
        <f aca="false">$C196*$D196</f>
        <v>0</v>
      </c>
      <c r="I196" s="71" t="n">
        <f aca="false">0</f>
        <v>0</v>
      </c>
      <c r="J196" s="71" t="n">
        <f aca="false">-$C196*$D196^3</f>
        <v>-0</v>
      </c>
      <c r="K196" s="71" t="n">
        <f aca="false">-$C196*$F196</f>
        <v>-0</v>
      </c>
      <c r="L196" s="71" t="n">
        <f aca="false">-$C196*$D196*$E196</f>
        <v>-0</v>
      </c>
      <c r="M196" s="71" t="n">
        <f aca="false">$C196*$D196^2*$F196</f>
        <v>0</v>
      </c>
      <c r="N196" s="71" t="n">
        <f aca="false">$C196*$D196^3*$E196</f>
        <v>0</v>
      </c>
      <c r="O196" s="71" t="n">
        <f aca="false">$C196*$D196^4*$F196</f>
        <v>0</v>
      </c>
      <c r="P196" s="2"/>
      <c r="Q196" s="2"/>
    </row>
    <row r="197" customFormat="false" ht="15" hidden="false" customHeight="false" outlineLevel="0" collapsed="false">
      <c r="A197" s="110" t="str">
        <f aca="false">"虚部"</f>
        <v>虚部</v>
      </c>
      <c r="B197" s="88" t="str">
        <f aca="false">IF(03_FRFデータ貼付!B74="","",03_FRFデータ貼付!A74)</f>
        <v/>
      </c>
      <c r="C197" s="88" t="n">
        <f aca="false">IF(AND(03_FRFデータ貼付!B74&lt;&gt;"",03_FRFデータ貼付!C74&lt;&gt;"",03_FRFデータ貼付!D74&lt;&gt;""),1,0)</f>
        <v>0</v>
      </c>
      <c r="D197" s="71" t="n">
        <f aca="false">IF($C197=0,0,03_FRFデータ貼付!H74)</f>
        <v>0</v>
      </c>
      <c r="E197" s="71" t="n">
        <f aca="false">IF($C197=0,0,03_FRFデータ貼付!I74)</f>
        <v>0</v>
      </c>
      <c r="F197" s="71" t="n">
        <f aca="false">IF($C197=0,0,03_FRFデータ貼付!J74)</f>
        <v>0</v>
      </c>
      <c r="G197" s="71" t="n">
        <f aca="false">0</f>
        <v>0</v>
      </c>
      <c r="H197" s="71" t="n">
        <f aca="false">$C197*$D197</f>
        <v>0</v>
      </c>
      <c r="I197" s="71" t="n">
        <f aca="false">0</f>
        <v>0</v>
      </c>
      <c r="J197" s="71" t="n">
        <f aca="false">-$C197*$D197^3</f>
        <v>-0</v>
      </c>
      <c r="K197" s="71" t="n">
        <f aca="false">-$C197*$F197</f>
        <v>-0</v>
      </c>
      <c r="L197" s="71" t="n">
        <f aca="false">-$C197*$D197*$E197</f>
        <v>-0</v>
      </c>
      <c r="M197" s="71" t="n">
        <f aca="false">$C197*$D197^2*$F197</f>
        <v>0</v>
      </c>
      <c r="N197" s="71" t="n">
        <f aca="false">$C197*$D197^3*$E197</f>
        <v>0</v>
      </c>
      <c r="O197" s="71" t="n">
        <f aca="false">$C197*$D197^4*$F197</f>
        <v>0</v>
      </c>
      <c r="P197" s="2"/>
      <c r="Q197" s="2"/>
    </row>
    <row r="198" customFormat="false" ht="15" hidden="false" customHeight="false" outlineLevel="0" collapsed="false">
      <c r="A198" s="110" t="str">
        <f aca="false">"虚部"</f>
        <v>虚部</v>
      </c>
      <c r="B198" s="88" t="str">
        <f aca="false">IF(03_FRFデータ貼付!B75="","",03_FRFデータ貼付!A75)</f>
        <v/>
      </c>
      <c r="C198" s="88" t="n">
        <f aca="false">IF(AND(03_FRFデータ貼付!B75&lt;&gt;"",03_FRFデータ貼付!C75&lt;&gt;"",03_FRFデータ貼付!D75&lt;&gt;""),1,0)</f>
        <v>0</v>
      </c>
      <c r="D198" s="71" t="n">
        <f aca="false">IF($C198=0,0,03_FRFデータ貼付!H75)</f>
        <v>0</v>
      </c>
      <c r="E198" s="71" t="n">
        <f aca="false">IF($C198=0,0,03_FRFデータ貼付!I75)</f>
        <v>0</v>
      </c>
      <c r="F198" s="71" t="n">
        <f aca="false">IF($C198=0,0,03_FRFデータ貼付!J75)</f>
        <v>0</v>
      </c>
      <c r="G198" s="71" t="n">
        <f aca="false">0</f>
        <v>0</v>
      </c>
      <c r="H198" s="71" t="n">
        <f aca="false">$C198*$D198</f>
        <v>0</v>
      </c>
      <c r="I198" s="71" t="n">
        <f aca="false">0</f>
        <v>0</v>
      </c>
      <c r="J198" s="71" t="n">
        <f aca="false">-$C198*$D198^3</f>
        <v>-0</v>
      </c>
      <c r="K198" s="71" t="n">
        <f aca="false">-$C198*$F198</f>
        <v>-0</v>
      </c>
      <c r="L198" s="71" t="n">
        <f aca="false">-$C198*$D198*$E198</f>
        <v>-0</v>
      </c>
      <c r="M198" s="71" t="n">
        <f aca="false">$C198*$D198^2*$F198</f>
        <v>0</v>
      </c>
      <c r="N198" s="71" t="n">
        <f aca="false">$C198*$D198^3*$E198</f>
        <v>0</v>
      </c>
      <c r="O198" s="71" t="n">
        <f aca="false">$C198*$D198^4*$F198</f>
        <v>0</v>
      </c>
      <c r="P198" s="2"/>
      <c r="Q198" s="2"/>
    </row>
    <row r="199" customFormat="false" ht="15" hidden="false" customHeight="false" outlineLevel="0" collapsed="false">
      <c r="A199" s="110" t="str">
        <f aca="false">"虚部"</f>
        <v>虚部</v>
      </c>
      <c r="B199" s="88" t="str">
        <f aca="false">IF(03_FRFデータ貼付!B76="","",03_FRFデータ貼付!A76)</f>
        <v/>
      </c>
      <c r="C199" s="88" t="n">
        <f aca="false">IF(AND(03_FRFデータ貼付!B76&lt;&gt;"",03_FRFデータ貼付!C76&lt;&gt;"",03_FRFデータ貼付!D76&lt;&gt;""),1,0)</f>
        <v>0</v>
      </c>
      <c r="D199" s="71" t="n">
        <f aca="false">IF($C199=0,0,03_FRFデータ貼付!H76)</f>
        <v>0</v>
      </c>
      <c r="E199" s="71" t="n">
        <f aca="false">IF($C199=0,0,03_FRFデータ貼付!I76)</f>
        <v>0</v>
      </c>
      <c r="F199" s="71" t="n">
        <f aca="false">IF($C199=0,0,03_FRFデータ貼付!J76)</f>
        <v>0</v>
      </c>
      <c r="G199" s="71" t="n">
        <f aca="false">0</f>
        <v>0</v>
      </c>
      <c r="H199" s="71" t="n">
        <f aca="false">$C199*$D199</f>
        <v>0</v>
      </c>
      <c r="I199" s="71" t="n">
        <f aca="false">0</f>
        <v>0</v>
      </c>
      <c r="J199" s="71" t="n">
        <f aca="false">-$C199*$D199^3</f>
        <v>-0</v>
      </c>
      <c r="K199" s="71" t="n">
        <f aca="false">-$C199*$F199</f>
        <v>-0</v>
      </c>
      <c r="L199" s="71" t="n">
        <f aca="false">-$C199*$D199*$E199</f>
        <v>-0</v>
      </c>
      <c r="M199" s="71" t="n">
        <f aca="false">$C199*$D199^2*$F199</f>
        <v>0</v>
      </c>
      <c r="N199" s="71" t="n">
        <f aca="false">$C199*$D199^3*$E199</f>
        <v>0</v>
      </c>
      <c r="O199" s="71" t="n">
        <f aca="false">$C199*$D199^4*$F199</f>
        <v>0</v>
      </c>
      <c r="P199" s="2"/>
      <c r="Q199" s="2"/>
    </row>
    <row r="200" customFormat="false" ht="15" hidden="false" customHeight="false" outlineLevel="0" collapsed="false">
      <c r="A200" s="110" t="str">
        <f aca="false">"虚部"</f>
        <v>虚部</v>
      </c>
      <c r="B200" s="88" t="str">
        <f aca="false">IF(03_FRFデータ貼付!B77="","",03_FRFデータ貼付!A77)</f>
        <v/>
      </c>
      <c r="C200" s="88" t="n">
        <f aca="false">IF(AND(03_FRFデータ貼付!B77&lt;&gt;"",03_FRFデータ貼付!C77&lt;&gt;"",03_FRFデータ貼付!D77&lt;&gt;""),1,0)</f>
        <v>0</v>
      </c>
      <c r="D200" s="71" t="n">
        <f aca="false">IF($C200=0,0,03_FRFデータ貼付!H77)</f>
        <v>0</v>
      </c>
      <c r="E200" s="71" t="n">
        <f aca="false">IF($C200=0,0,03_FRFデータ貼付!I77)</f>
        <v>0</v>
      </c>
      <c r="F200" s="71" t="n">
        <f aca="false">IF($C200=0,0,03_FRFデータ貼付!J77)</f>
        <v>0</v>
      </c>
      <c r="G200" s="71" t="n">
        <f aca="false">0</f>
        <v>0</v>
      </c>
      <c r="H200" s="71" t="n">
        <f aca="false">$C200*$D200</f>
        <v>0</v>
      </c>
      <c r="I200" s="71" t="n">
        <f aca="false">0</f>
        <v>0</v>
      </c>
      <c r="J200" s="71" t="n">
        <f aca="false">-$C200*$D200^3</f>
        <v>-0</v>
      </c>
      <c r="K200" s="71" t="n">
        <f aca="false">-$C200*$F200</f>
        <v>-0</v>
      </c>
      <c r="L200" s="71" t="n">
        <f aca="false">-$C200*$D200*$E200</f>
        <v>-0</v>
      </c>
      <c r="M200" s="71" t="n">
        <f aca="false">$C200*$D200^2*$F200</f>
        <v>0</v>
      </c>
      <c r="N200" s="71" t="n">
        <f aca="false">$C200*$D200^3*$E200</f>
        <v>0</v>
      </c>
      <c r="O200" s="71" t="n">
        <f aca="false">$C200*$D200^4*$F200</f>
        <v>0</v>
      </c>
      <c r="P200" s="2"/>
      <c r="Q200" s="2"/>
    </row>
    <row r="201" customFormat="false" ht="15" hidden="false" customHeight="false" outlineLevel="0" collapsed="false">
      <c r="A201" s="110" t="str">
        <f aca="false">"虚部"</f>
        <v>虚部</v>
      </c>
      <c r="B201" s="88" t="str">
        <f aca="false">IF(03_FRFデータ貼付!B78="","",03_FRFデータ貼付!A78)</f>
        <v/>
      </c>
      <c r="C201" s="88" t="n">
        <f aca="false">IF(AND(03_FRFデータ貼付!B78&lt;&gt;"",03_FRFデータ貼付!C78&lt;&gt;"",03_FRFデータ貼付!D78&lt;&gt;""),1,0)</f>
        <v>0</v>
      </c>
      <c r="D201" s="71" t="n">
        <f aca="false">IF($C201=0,0,03_FRFデータ貼付!H78)</f>
        <v>0</v>
      </c>
      <c r="E201" s="71" t="n">
        <f aca="false">IF($C201=0,0,03_FRFデータ貼付!I78)</f>
        <v>0</v>
      </c>
      <c r="F201" s="71" t="n">
        <f aca="false">IF($C201=0,0,03_FRFデータ貼付!J78)</f>
        <v>0</v>
      </c>
      <c r="G201" s="71" t="n">
        <f aca="false">0</f>
        <v>0</v>
      </c>
      <c r="H201" s="71" t="n">
        <f aca="false">$C201*$D201</f>
        <v>0</v>
      </c>
      <c r="I201" s="71" t="n">
        <f aca="false">0</f>
        <v>0</v>
      </c>
      <c r="J201" s="71" t="n">
        <f aca="false">-$C201*$D201^3</f>
        <v>-0</v>
      </c>
      <c r="K201" s="71" t="n">
        <f aca="false">-$C201*$F201</f>
        <v>-0</v>
      </c>
      <c r="L201" s="71" t="n">
        <f aca="false">-$C201*$D201*$E201</f>
        <v>-0</v>
      </c>
      <c r="M201" s="71" t="n">
        <f aca="false">$C201*$D201^2*$F201</f>
        <v>0</v>
      </c>
      <c r="N201" s="71" t="n">
        <f aca="false">$C201*$D201^3*$E201</f>
        <v>0</v>
      </c>
      <c r="O201" s="71" t="n">
        <f aca="false">$C201*$D201^4*$F201</f>
        <v>0</v>
      </c>
      <c r="P201" s="2"/>
      <c r="Q201" s="2"/>
    </row>
    <row r="202" customFormat="false" ht="15" hidden="false" customHeight="false" outlineLevel="0" collapsed="false">
      <c r="A202" s="110" t="str">
        <f aca="false">"虚部"</f>
        <v>虚部</v>
      </c>
      <c r="B202" s="88" t="str">
        <f aca="false">IF(03_FRFデータ貼付!B79="","",03_FRFデータ貼付!A79)</f>
        <v/>
      </c>
      <c r="C202" s="88" t="n">
        <f aca="false">IF(AND(03_FRFデータ貼付!B79&lt;&gt;"",03_FRFデータ貼付!C79&lt;&gt;"",03_FRFデータ貼付!D79&lt;&gt;""),1,0)</f>
        <v>0</v>
      </c>
      <c r="D202" s="71" t="n">
        <f aca="false">IF($C202=0,0,03_FRFデータ貼付!H79)</f>
        <v>0</v>
      </c>
      <c r="E202" s="71" t="n">
        <f aca="false">IF($C202=0,0,03_FRFデータ貼付!I79)</f>
        <v>0</v>
      </c>
      <c r="F202" s="71" t="n">
        <f aca="false">IF($C202=0,0,03_FRFデータ貼付!J79)</f>
        <v>0</v>
      </c>
      <c r="G202" s="71" t="n">
        <f aca="false">0</f>
        <v>0</v>
      </c>
      <c r="H202" s="71" t="n">
        <f aca="false">$C202*$D202</f>
        <v>0</v>
      </c>
      <c r="I202" s="71" t="n">
        <f aca="false">0</f>
        <v>0</v>
      </c>
      <c r="J202" s="71" t="n">
        <f aca="false">-$C202*$D202^3</f>
        <v>-0</v>
      </c>
      <c r="K202" s="71" t="n">
        <f aca="false">-$C202*$F202</f>
        <v>-0</v>
      </c>
      <c r="L202" s="71" t="n">
        <f aca="false">-$C202*$D202*$E202</f>
        <v>-0</v>
      </c>
      <c r="M202" s="71" t="n">
        <f aca="false">$C202*$D202^2*$F202</f>
        <v>0</v>
      </c>
      <c r="N202" s="71" t="n">
        <f aca="false">$C202*$D202^3*$E202</f>
        <v>0</v>
      </c>
      <c r="O202" s="71" t="n">
        <f aca="false">$C202*$D202^4*$F202</f>
        <v>0</v>
      </c>
      <c r="P202" s="2"/>
      <c r="Q202" s="2"/>
    </row>
    <row r="203" customFormat="false" ht="15" hidden="false" customHeight="false" outlineLevel="0" collapsed="false">
      <c r="A203" s="110" t="str">
        <f aca="false">"虚部"</f>
        <v>虚部</v>
      </c>
      <c r="B203" s="88" t="str">
        <f aca="false">IF(03_FRFデータ貼付!B80="","",03_FRFデータ貼付!A80)</f>
        <v/>
      </c>
      <c r="C203" s="88" t="n">
        <f aca="false">IF(AND(03_FRFデータ貼付!B80&lt;&gt;"",03_FRFデータ貼付!C80&lt;&gt;"",03_FRFデータ貼付!D80&lt;&gt;""),1,0)</f>
        <v>0</v>
      </c>
      <c r="D203" s="71" t="n">
        <f aca="false">IF($C203=0,0,03_FRFデータ貼付!H80)</f>
        <v>0</v>
      </c>
      <c r="E203" s="71" t="n">
        <f aca="false">IF($C203=0,0,03_FRFデータ貼付!I80)</f>
        <v>0</v>
      </c>
      <c r="F203" s="71" t="n">
        <f aca="false">IF($C203=0,0,03_FRFデータ貼付!J80)</f>
        <v>0</v>
      </c>
      <c r="G203" s="71" t="n">
        <f aca="false">0</f>
        <v>0</v>
      </c>
      <c r="H203" s="71" t="n">
        <f aca="false">$C203*$D203</f>
        <v>0</v>
      </c>
      <c r="I203" s="71" t="n">
        <f aca="false">0</f>
        <v>0</v>
      </c>
      <c r="J203" s="71" t="n">
        <f aca="false">-$C203*$D203^3</f>
        <v>-0</v>
      </c>
      <c r="K203" s="71" t="n">
        <f aca="false">-$C203*$F203</f>
        <v>-0</v>
      </c>
      <c r="L203" s="71" t="n">
        <f aca="false">-$C203*$D203*$E203</f>
        <v>-0</v>
      </c>
      <c r="M203" s="71" t="n">
        <f aca="false">$C203*$D203^2*$F203</f>
        <v>0</v>
      </c>
      <c r="N203" s="71" t="n">
        <f aca="false">$C203*$D203^3*$E203</f>
        <v>0</v>
      </c>
      <c r="O203" s="71" t="n">
        <f aca="false">$C203*$D203^4*$F203</f>
        <v>0</v>
      </c>
      <c r="P203" s="2"/>
      <c r="Q203" s="2"/>
    </row>
    <row r="204" customFormat="false" ht="15" hidden="false" customHeight="false" outlineLevel="0" collapsed="false">
      <c r="A204" s="110" t="str">
        <f aca="false">"虚部"</f>
        <v>虚部</v>
      </c>
      <c r="B204" s="88" t="str">
        <f aca="false">IF(03_FRFデータ貼付!B81="","",03_FRFデータ貼付!A81)</f>
        <v/>
      </c>
      <c r="C204" s="88" t="n">
        <f aca="false">IF(AND(03_FRFデータ貼付!B81&lt;&gt;"",03_FRFデータ貼付!C81&lt;&gt;"",03_FRFデータ貼付!D81&lt;&gt;""),1,0)</f>
        <v>0</v>
      </c>
      <c r="D204" s="71" t="n">
        <f aca="false">IF($C204=0,0,03_FRFデータ貼付!H81)</f>
        <v>0</v>
      </c>
      <c r="E204" s="71" t="n">
        <f aca="false">IF($C204=0,0,03_FRFデータ貼付!I81)</f>
        <v>0</v>
      </c>
      <c r="F204" s="71" t="n">
        <f aca="false">IF($C204=0,0,03_FRFデータ貼付!J81)</f>
        <v>0</v>
      </c>
      <c r="G204" s="71" t="n">
        <f aca="false">0</f>
        <v>0</v>
      </c>
      <c r="H204" s="71" t="n">
        <f aca="false">$C204*$D204</f>
        <v>0</v>
      </c>
      <c r="I204" s="71" t="n">
        <f aca="false">0</f>
        <v>0</v>
      </c>
      <c r="J204" s="71" t="n">
        <f aca="false">-$C204*$D204^3</f>
        <v>-0</v>
      </c>
      <c r="K204" s="71" t="n">
        <f aca="false">-$C204*$F204</f>
        <v>-0</v>
      </c>
      <c r="L204" s="71" t="n">
        <f aca="false">-$C204*$D204*$E204</f>
        <v>-0</v>
      </c>
      <c r="M204" s="71" t="n">
        <f aca="false">$C204*$D204^2*$F204</f>
        <v>0</v>
      </c>
      <c r="N204" s="71" t="n">
        <f aca="false">$C204*$D204^3*$E204</f>
        <v>0</v>
      </c>
      <c r="O204" s="71" t="n">
        <f aca="false">$C204*$D204^4*$F204</f>
        <v>0</v>
      </c>
      <c r="P204" s="2"/>
      <c r="Q204" s="2"/>
    </row>
    <row r="205" customFormat="false" ht="15" hidden="false" customHeight="false" outlineLevel="0" collapsed="false">
      <c r="A205" s="110" t="str">
        <f aca="false">"虚部"</f>
        <v>虚部</v>
      </c>
      <c r="B205" s="88" t="str">
        <f aca="false">IF(03_FRFデータ貼付!B82="","",03_FRFデータ貼付!A82)</f>
        <v/>
      </c>
      <c r="C205" s="88" t="n">
        <f aca="false">IF(AND(03_FRFデータ貼付!B82&lt;&gt;"",03_FRFデータ貼付!C82&lt;&gt;"",03_FRFデータ貼付!D82&lt;&gt;""),1,0)</f>
        <v>0</v>
      </c>
      <c r="D205" s="71" t="n">
        <f aca="false">IF($C205=0,0,03_FRFデータ貼付!H82)</f>
        <v>0</v>
      </c>
      <c r="E205" s="71" t="n">
        <f aca="false">IF($C205=0,0,03_FRFデータ貼付!I82)</f>
        <v>0</v>
      </c>
      <c r="F205" s="71" t="n">
        <f aca="false">IF($C205=0,0,03_FRFデータ貼付!J82)</f>
        <v>0</v>
      </c>
      <c r="G205" s="71" t="n">
        <f aca="false">0</f>
        <v>0</v>
      </c>
      <c r="H205" s="71" t="n">
        <f aca="false">$C205*$D205</f>
        <v>0</v>
      </c>
      <c r="I205" s="71" t="n">
        <f aca="false">0</f>
        <v>0</v>
      </c>
      <c r="J205" s="71" t="n">
        <f aca="false">-$C205*$D205^3</f>
        <v>-0</v>
      </c>
      <c r="K205" s="71" t="n">
        <f aca="false">-$C205*$F205</f>
        <v>-0</v>
      </c>
      <c r="L205" s="71" t="n">
        <f aca="false">-$C205*$D205*$E205</f>
        <v>-0</v>
      </c>
      <c r="M205" s="71" t="n">
        <f aca="false">$C205*$D205^2*$F205</f>
        <v>0</v>
      </c>
      <c r="N205" s="71" t="n">
        <f aca="false">$C205*$D205^3*$E205</f>
        <v>0</v>
      </c>
      <c r="O205" s="71" t="n">
        <f aca="false">$C205*$D205^4*$F205</f>
        <v>0</v>
      </c>
      <c r="P205" s="2"/>
      <c r="Q205" s="2"/>
    </row>
    <row r="206" customFormat="false" ht="15" hidden="false" customHeight="false" outlineLevel="0" collapsed="false">
      <c r="A206" s="110" t="str">
        <f aca="false">"虚部"</f>
        <v>虚部</v>
      </c>
      <c r="B206" s="88" t="str">
        <f aca="false">IF(03_FRFデータ貼付!B83="","",03_FRFデータ貼付!A83)</f>
        <v/>
      </c>
      <c r="C206" s="88" t="n">
        <f aca="false">IF(AND(03_FRFデータ貼付!B83&lt;&gt;"",03_FRFデータ貼付!C83&lt;&gt;"",03_FRFデータ貼付!D83&lt;&gt;""),1,0)</f>
        <v>0</v>
      </c>
      <c r="D206" s="71" t="n">
        <f aca="false">IF($C206=0,0,03_FRFデータ貼付!H83)</f>
        <v>0</v>
      </c>
      <c r="E206" s="71" t="n">
        <f aca="false">IF($C206=0,0,03_FRFデータ貼付!I83)</f>
        <v>0</v>
      </c>
      <c r="F206" s="71" t="n">
        <f aca="false">IF($C206=0,0,03_FRFデータ貼付!J83)</f>
        <v>0</v>
      </c>
      <c r="G206" s="71" t="n">
        <f aca="false">0</f>
        <v>0</v>
      </c>
      <c r="H206" s="71" t="n">
        <f aca="false">$C206*$D206</f>
        <v>0</v>
      </c>
      <c r="I206" s="71" t="n">
        <f aca="false">0</f>
        <v>0</v>
      </c>
      <c r="J206" s="71" t="n">
        <f aca="false">-$C206*$D206^3</f>
        <v>-0</v>
      </c>
      <c r="K206" s="71" t="n">
        <f aca="false">-$C206*$F206</f>
        <v>-0</v>
      </c>
      <c r="L206" s="71" t="n">
        <f aca="false">-$C206*$D206*$E206</f>
        <v>-0</v>
      </c>
      <c r="M206" s="71" t="n">
        <f aca="false">$C206*$D206^2*$F206</f>
        <v>0</v>
      </c>
      <c r="N206" s="71" t="n">
        <f aca="false">$C206*$D206^3*$E206</f>
        <v>0</v>
      </c>
      <c r="O206" s="71" t="n">
        <f aca="false">$C206*$D206^4*$F206</f>
        <v>0</v>
      </c>
      <c r="P206" s="2"/>
      <c r="Q206" s="2"/>
    </row>
    <row r="207" customFormat="false" ht="15" hidden="false" customHeight="false" outlineLevel="0" collapsed="false">
      <c r="A207" s="110" t="str">
        <f aca="false">"虚部"</f>
        <v>虚部</v>
      </c>
      <c r="B207" s="88" t="str">
        <f aca="false">IF(03_FRFデータ貼付!B84="","",03_FRFデータ貼付!A84)</f>
        <v/>
      </c>
      <c r="C207" s="88" t="n">
        <f aca="false">IF(AND(03_FRFデータ貼付!B84&lt;&gt;"",03_FRFデータ貼付!C84&lt;&gt;"",03_FRFデータ貼付!D84&lt;&gt;""),1,0)</f>
        <v>0</v>
      </c>
      <c r="D207" s="71" t="n">
        <f aca="false">IF($C207=0,0,03_FRFデータ貼付!H84)</f>
        <v>0</v>
      </c>
      <c r="E207" s="71" t="n">
        <f aca="false">IF($C207=0,0,03_FRFデータ貼付!I84)</f>
        <v>0</v>
      </c>
      <c r="F207" s="71" t="n">
        <f aca="false">IF($C207=0,0,03_FRFデータ貼付!J84)</f>
        <v>0</v>
      </c>
      <c r="G207" s="71" t="n">
        <f aca="false">0</f>
        <v>0</v>
      </c>
      <c r="H207" s="71" t="n">
        <f aca="false">$C207*$D207</f>
        <v>0</v>
      </c>
      <c r="I207" s="71" t="n">
        <f aca="false">0</f>
        <v>0</v>
      </c>
      <c r="J207" s="71" t="n">
        <f aca="false">-$C207*$D207^3</f>
        <v>-0</v>
      </c>
      <c r="K207" s="71" t="n">
        <f aca="false">-$C207*$F207</f>
        <v>-0</v>
      </c>
      <c r="L207" s="71" t="n">
        <f aca="false">-$C207*$D207*$E207</f>
        <v>-0</v>
      </c>
      <c r="M207" s="71" t="n">
        <f aca="false">$C207*$D207^2*$F207</f>
        <v>0</v>
      </c>
      <c r="N207" s="71" t="n">
        <f aca="false">$C207*$D207^3*$E207</f>
        <v>0</v>
      </c>
      <c r="O207" s="71" t="n">
        <f aca="false">$C207*$D207^4*$F207</f>
        <v>0</v>
      </c>
      <c r="P207" s="2"/>
      <c r="Q207" s="2"/>
    </row>
    <row r="208" customFormat="false" ht="15" hidden="false" customHeight="false" outlineLevel="0" collapsed="false">
      <c r="A208" s="110" t="str">
        <f aca="false">"虚部"</f>
        <v>虚部</v>
      </c>
      <c r="B208" s="88" t="str">
        <f aca="false">IF(03_FRFデータ貼付!B85="","",03_FRFデータ貼付!A85)</f>
        <v/>
      </c>
      <c r="C208" s="88" t="n">
        <f aca="false">IF(AND(03_FRFデータ貼付!B85&lt;&gt;"",03_FRFデータ貼付!C85&lt;&gt;"",03_FRFデータ貼付!D85&lt;&gt;""),1,0)</f>
        <v>0</v>
      </c>
      <c r="D208" s="71" t="n">
        <f aca="false">IF($C208=0,0,03_FRFデータ貼付!H85)</f>
        <v>0</v>
      </c>
      <c r="E208" s="71" t="n">
        <f aca="false">IF($C208=0,0,03_FRFデータ貼付!I85)</f>
        <v>0</v>
      </c>
      <c r="F208" s="71" t="n">
        <f aca="false">IF($C208=0,0,03_FRFデータ貼付!J85)</f>
        <v>0</v>
      </c>
      <c r="G208" s="71" t="n">
        <f aca="false">0</f>
        <v>0</v>
      </c>
      <c r="H208" s="71" t="n">
        <f aca="false">$C208*$D208</f>
        <v>0</v>
      </c>
      <c r="I208" s="71" t="n">
        <f aca="false">0</f>
        <v>0</v>
      </c>
      <c r="J208" s="71" t="n">
        <f aca="false">-$C208*$D208^3</f>
        <v>-0</v>
      </c>
      <c r="K208" s="71" t="n">
        <f aca="false">-$C208*$F208</f>
        <v>-0</v>
      </c>
      <c r="L208" s="71" t="n">
        <f aca="false">-$C208*$D208*$E208</f>
        <v>-0</v>
      </c>
      <c r="M208" s="71" t="n">
        <f aca="false">$C208*$D208^2*$F208</f>
        <v>0</v>
      </c>
      <c r="N208" s="71" t="n">
        <f aca="false">$C208*$D208^3*$E208</f>
        <v>0</v>
      </c>
      <c r="O208" s="71" t="n">
        <f aca="false">$C208*$D208^4*$F208</f>
        <v>0</v>
      </c>
      <c r="P208" s="2"/>
      <c r="Q208" s="2"/>
    </row>
    <row r="209" customFormat="false" ht="15" hidden="false" customHeight="false" outlineLevel="0" collapsed="false">
      <c r="A209" s="110" t="str">
        <f aca="false">"虚部"</f>
        <v>虚部</v>
      </c>
      <c r="B209" s="88" t="str">
        <f aca="false">IF(03_FRFデータ貼付!B86="","",03_FRFデータ貼付!A86)</f>
        <v/>
      </c>
      <c r="C209" s="88" t="n">
        <f aca="false">IF(AND(03_FRFデータ貼付!B86&lt;&gt;"",03_FRFデータ貼付!C86&lt;&gt;"",03_FRFデータ貼付!D86&lt;&gt;""),1,0)</f>
        <v>0</v>
      </c>
      <c r="D209" s="71" t="n">
        <f aca="false">IF($C209=0,0,03_FRFデータ貼付!H86)</f>
        <v>0</v>
      </c>
      <c r="E209" s="71" t="n">
        <f aca="false">IF($C209=0,0,03_FRFデータ貼付!I86)</f>
        <v>0</v>
      </c>
      <c r="F209" s="71" t="n">
        <f aca="false">IF($C209=0,0,03_FRFデータ貼付!J86)</f>
        <v>0</v>
      </c>
      <c r="G209" s="71" t="n">
        <f aca="false">0</f>
        <v>0</v>
      </c>
      <c r="H209" s="71" t="n">
        <f aca="false">$C209*$D209</f>
        <v>0</v>
      </c>
      <c r="I209" s="71" t="n">
        <f aca="false">0</f>
        <v>0</v>
      </c>
      <c r="J209" s="71" t="n">
        <f aca="false">-$C209*$D209^3</f>
        <v>-0</v>
      </c>
      <c r="K209" s="71" t="n">
        <f aca="false">-$C209*$F209</f>
        <v>-0</v>
      </c>
      <c r="L209" s="71" t="n">
        <f aca="false">-$C209*$D209*$E209</f>
        <v>-0</v>
      </c>
      <c r="M209" s="71" t="n">
        <f aca="false">$C209*$D209^2*$F209</f>
        <v>0</v>
      </c>
      <c r="N209" s="71" t="n">
        <f aca="false">$C209*$D209^3*$E209</f>
        <v>0</v>
      </c>
      <c r="O209" s="71" t="n">
        <f aca="false">$C209*$D209^4*$F209</f>
        <v>0</v>
      </c>
      <c r="P209" s="2"/>
      <c r="Q209" s="2"/>
    </row>
    <row r="210" customFormat="false" ht="15" hidden="false" customHeight="false" outlineLevel="0" collapsed="false">
      <c r="A210" s="110" t="str">
        <f aca="false">"虚部"</f>
        <v>虚部</v>
      </c>
      <c r="B210" s="88" t="str">
        <f aca="false">IF(03_FRFデータ貼付!B87="","",03_FRFデータ貼付!A87)</f>
        <v/>
      </c>
      <c r="C210" s="88" t="n">
        <f aca="false">IF(AND(03_FRFデータ貼付!B87&lt;&gt;"",03_FRFデータ貼付!C87&lt;&gt;"",03_FRFデータ貼付!D87&lt;&gt;""),1,0)</f>
        <v>0</v>
      </c>
      <c r="D210" s="71" t="n">
        <f aca="false">IF($C210=0,0,03_FRFデータ貼付!H87)</f>
        <v>0</v>
      </c>
      <c r="E210" s="71" t="n">
        <f aca="false">IF($C210=0,0,03_FRFデータ貼付!I87)</f>
        <v>0</v>
      </c>
      <c r="F210" s="71" t="n">
        <f aca="false">IF($C210=0,0,03_FRFデータ貼付!J87)</f>
        <v>0</v>
      </c>
      <c r="G210" s="71" t="n">
        <f aca="false">0</f>
        <v>0</v>
      </c>
      <c r="H210" s="71" t="n">
        <f aca="false">$C210*$D210</f>
        <v>0</v>
      </c>
      <c r="I210" s="71" t="n">
        <f aca="false">0</f>
        <v>0</v>
      </c>
      <c r="J210" s="71" t="n">
        <f aca="false">-$C210*$D210^3</f>
        <v>-0</v>
      </c>
      <c r="K210" s="71" t="n">
        <f aca="false">-$C210*$F210</f>
        <v>-0</v>
      </c>
      <c r="L210" s="71" t="n">
        <f aca="false">-$C210*$D210*$E210</f>
        <v>-0</v>
      </c>
      <c r="M210" s="71" t="n">
        <f aca="false">$C210*$D210^2*$F210</f>
        <v>0</v>
      </c>
      <c r="N210" s="71" t="n">
        <f aca="false">$C210*$D210^3*$E210</f>
        <v>0</v>
      </c>
      <c r="O210" s="71" t="n">
        <f aca="false">$C210*$D210^4*$F210</f>
        <v>0</v>
      </c>
      <c r="P210" s="2"/>
      <c r="Q210" s="2"/>
    </row>
    <row r="211" customFormat="false" ht="15" hidden="false" customHeight="false" outlineLevel="0" collapsed="false">
      <c r="A211" s="110" t="str">
        <f aca="false">"虚部"</f>
        <v>虚部</v>
      </c>
      <c r="B211" s="88" t="str">
        <f aca="false">IF(03_FRFデータ貼付!B88="","",03_FRFデータ貼付!A88)</f>
        <v/>
      </c>
      <c r="C211" s="88" t="n">
        <f aca="false">IF(AND(03_FRFデータ貼付!B88&lt;&gt;"",03_FRFデータ貼付!C88&lt;&gt;"",03_FRFデータ貼付!D88&lt;&gt;""),1,0)</f>
        <v>0</v>
      </c>
      <c r="D211" s="71" t="n">
        <f aca="false">IF($C211=0,0,03_FRFデータ貼付!H88)</f>
        <v>0</v>
      </c>
      <c r="E211" s="71" t="n">
        <f aca="false">IF($C211=0,0,03_FRFデータ貼付!I88)</f>
        <v>0</v>
      </c>
      <c r="F211" s="71" t="n">
        <f aca="false">IF($C211=0,0,03_FRFデータ貼付!J88)</f>
        <v>0</v>
      </c>
      <c r="G211" s="71" t="n">
        <f aca="false">0</f>
        <v>0</v>
      </c>
      <c r="H211" s="71" t="n">
        <f aca="false">$C211*$D211</f>
        <v>0</v>
      </c>
      <c r="I211" s="71" t="n">
        <f aca="false">0</f>
        <v>0</v>
      </c>
      <c r="J211" s="71" t="n">
        <f aca="false">-$C211*$D211^3</f>
        <v>-0</v>
      </c>
      <c r="K211" s="71" t="n">
        <f aca="false">-$C211*$F211</f>
        <v>-0</v>
      </c>
      <c r="L211" s="71" t="n">
        <f aca="false">-$C211*$D211*$E211</f>
        <v>-0</v>
      </c>
      <c r="M211" s="71" t="n">
        <f aca="false">$C211*$D211^2*$F211</f>
        <v>0</v>
      </c>
      <c r="N211" s="71" t="n">
        <f aca="false">$C211*$D211^3*$E211</f>
        <v>0</v>
      </c>
      <c r="O211" s="71" t="n">
        <f aca="false">$C211*$D211^4*$F211</f>
        <v>0</v>
      </c>
      <c r="P211" s="2"/>
      <c r="Q211" s="2"/>
    </row>
    <row r="212" customFormat="false" ht="15" hidden="false" customHeight="false" outlineLevel="0" collapsed="false">
      <c r="A212" s="110" t="str">
        <f aca="false">"虚部"</f>
        <v>虚部</v>
      </c>
      <c r="B212" s="88" t="str">
        <f aca="false">IF(03_FRFデータ貼付!B89="","",03_FRFデータ貼付!A89)</f>
        <v/>
      </c>
      <c r="C212" s="88" t="n">
        <f aca="false">IF(AND(03_FRFデータ貼付!B89&lt;&gt;"",03_FRFデータ貼付!C89&lt;&gt;"",03_FRFデータ貼付!D89&lt;&gt;""),1,0)</f>
        <v>0</v>
      </c>
      <c r="D212" s="71" t="n">
        <f aca="false">IF($C212=0,0,03_FRFデータ貼付!H89)</f>
        <v>0</v>
      </c>
      <c r="E212" s="71" t="n">
        <f aca="false">IF($C212=0,0,03_FRFデータ貼付!I89)</f>
        <v>0</v>
      </c>
      <c r="F212" s="71" t="n">
        <f aca="false">IF($C212=0,0,03_FRFデータ貼付!J89)</f>
        <v>0</v>
      </c>
      <c r="G212" s="71" t="n">
        <f aca="false">0</f>
        <v>0</v>
      </c>
      <c r="H212" s="71" t="n">
        <f aca="false">$C212*$D212</f>
        <v>0</v>
      </c>
      <c r="I212" s="71" t="n">
        <f aca="false">0</f>
        <v>0</v>
      </c>
      <c r="J212" s="71" t="n">
        <f aca="false">-$C212*$D212^3</f>
        <v>-0</v>
      </c>
      <c r="K212" s="71" t="n">
        <f aca="false">-$C212*$F212</f>
        <v>-0</v>
      </c>
      <c r="L212" s="71" t="n">
        <f aca="false">-$C212*$D212*$E212</f>
        <v>-0</v>
      </c>
      <c r="M212" s="71" t="n">
        <f aca="false">$C212*$D212^2*$F212</f>
        <v>0</v>
      </c>
      <c r="N212" s="71" t="n">
        <f aca="false">$C212*$D212^3*$E212</f>
        <v>0</v>
      </c>
      <c r="O212" s="71" t="n">
        <f aca="false">$C212*$D212^4*$F212</f>
        <v>0</v>
      </c>
      <c r="P212" s="2"/>
      <c r="Q212" s="2"/>
    </row>
    <row r="213" customFormat="false" ht="15" hidden="false" customHeight="false" outlineLevel="0" collapsed="false">
      <c r="A213" s="110" t="str">
        <f aca="false">"虚部"</f>
        <v>虚部</v>
      </c>
      <c r="B213" s="88" t="str">
        <f aca="false">IF(03_FRFデータ貼付!B90="","",03_FRFデータ貼付!A90)</f>
        <v/>
      </c>
      <c r="C213" s="88" t="n">
        <f aca="false">IF(AND(03_FRFデータ貼付!B90&lt;&gt;"",03_FRFデータ貼付!C90&lt;&gt;"",03_FRFデータ貼付!D90&lt;&gt;""),1,0)</f>
        <v>0</v>
      </c>
      <c r="D213" s="71" t="n">
        <f aca="false">IF($C213=0,0,03_FRFデータ貼付!H90)</f>
        <v>0</v>
      </c>
      <c r="E213" s="71" t="n">
        <f aca="false">IF($C213=0,0,03_FRFデータ貼付!I90)</f>
        <v>0</v>
      </c>
      <c r="F213" s="71" t="n">
        <f aca="false">IF($C213=0,0,03_FRFデータ貼付!J90)</f>
        <v>0</v>
      </c>
      <c r="G213" s="71" t="n">
        <f aca="false">0</f>
        <v>0</v>
      </c>
      <c r="H213" s="71" t="n">
        <f aca="false">$C213*$D213</f>
        <v>0</v>
      </c>
      <c r="I213" s="71" t="n">
        <f aca="false">0</f>
        <v>0</v>
      </c>
      <c r="J213" s="71" t="n">
        <f aca="false">-$C213*$D213^3</f>
        <v>-0</v>
      </c>
      <c r="K213" s="71" t="n">
        <f aca="false">-$C213*$F213</f>
        <v>-0</v>
      </c>
      <c r="L213" s="71" t="n">
        <f aca="false">-$C213*$D213*$E213</f>
        <v>-0</v>
      </c>
      <c r="M213" s="71" t="n">
        <f aca="false">$C213*$D213^2*$F213</f>
        <v>0</v>
      </c>
      <c r="N213" s="71" t="n">
        <f aca="false">$C213*$D213^3*$E213</f>
        <v>0</v>
      </c>
      <c r="O213" s="71" t="n">
        <f aca="false">$C213*$D213^4*$F213</f>
        <v>0</v>
      </c>
      <c r="P213" s="2"/>
      <c r="Q213" s="2"/>
    </row>
    <row r="214" customFormat="false" ht="15" hidden="false" customHeight="false" outlineLevel="0" collapsed="false">
      <c r="A214" s="110" t="str">
        <f aca="false">"虚部"</f>
        <v>虚部</v>
      </c>
      <c r="B214" s="88" t="str">
        <f aca="false">IF(03_FRFデータ貼付!B91="","",03_FRFデータ貼付!A91)</f>
        <v/>
      </c>
      <c r="C214" s="88" t="n">
        <f aca="false">IF(AND(03_FRFデータ貼付!B91&lt;&gt;"",03_FRFデータ貼付!C91&lt;&gt;"",03_FRFデータ貼付!D91&lt;&gt;""),1,0)</f>
        <v>0</v>
      </c>
      <c r="D214" s="71" t="n">
        <f aca="false">IF($C214=0,0,03_FRFデータ貼付!H91)</f>
        <v>0</v>
      </c>
      <c r="E214" s="71" t="n">
        <f aca="false">IF($C214=0,0,03_FRFデータ貼付!I91)</f>
        <v>0</v>
      </c>
      <c r="F214" s="71" t="n">
        <f aca="false">IF($C214=0,0,03_FRFデータ貼付!J91)</f>
        <v>0</v>
      </c>
      <c r="G214" s="71" t="n">
        <f aca="false">0</f>
        <v>0</v>
      </c>
      <c r="H214" s="71" t="n">
        <f aca="false">$C214*$D214</f>
        <v>0</v>
      </c>
      <c r="I214" s="71" t="n">
        <f aca="false">0</f>
        <v>0</v>
      </c>
      <c r="J214" s="71" t="n">
        <f aca="false">-$C214*$D214^3</f>
        <v>-0</v>
      </c>
      <c r="K214" s="71" t="n">
        <f aca="false">-$C214*$F214</f>
        <v>-0</v>
      </c>
      <c r="L214" s="71" t="n">
        <f aca="false">-$C214*$D214*$E214</f>
        <v>-0</v>
      </c>
      <c r="M214" s="71" t="n">
        <f aca="false">$C214*$D214^2*$F214</f>
        <v>0</v>
      </c>
      <c r="N214" s="71" t="n">
        <f aca="false">$C214*$D214^3*$E214</f>
        <v>0</v>
      </c>
      <c r="O214" s="71" t="n">
        <f aca="false">$C214*$D214^4*$F214</f>
        <v>0</v>
      </c>
      <c r="P214" s="2"/>
      <c r="Q214" s="2"/>
    </row>
    <row r="215" customFormat="false" ht="15" hidden="false" customHeight="false" outlineLevel="0" collapsed="false">
      <c r="A215" s="110" t="str">
        <f aca="false">"虚部"</f>
        <v>虚部</v>
      </c>
      <c r="B215" s="88" t="str">
        <f aca="false">IF(03_FRFデータ貼付!B92="","",03_FRFデータ貼付!A92)</f>
        <v/>
      </c>
      <c r="C215" s="88" t="n">
        <f aca="false">IF(AND(03_FRFデータ貼付!B92&lt;&gt;"",03_FRFデータ貼付!C92&lt;&gt;"",03_FRFデータ貼付!D92&lt;&gt;""),1,0)</f>
        <v>0</v>
      </c>
      <c r="D215" s="71" t="n">
        <f aca="false">IF($C215=0,0,03_FRFデータ貼付!H92)</f>
        <v>0</v>
      </c>
      <c r="E215" s="71" t="n">
        <f aca="false">IF($C215=0,0,03_FRFデータ貼付!I92)</f>
        <v>0</v>
      </c>
      <c r="F215" s="71" t="n">
        <f aca="false">IF($C215=0,0,03_FRFデータ貼付!J92)</f>
        <v>0</v>
      </c>
      <c r="G215" s="71" t="n">
        <f aca="false">0</f>
        <v>0</v>
      </c>
      <c r="H215" s="71" t="n">
        <f aca="false">$C215*$D215</f>
        <v>0</v>
      </c>
      <c r="I215" s="71" t="n">
        <f aca="false">0</f>
        <v>0</v>
      </c>
      <c r="J215" s="71" t="n">
        <f aca="false">-$C215*$D215^3</f>
        <v>-0</v>
      </c>
      <c r="K215" s="71" t="n">
        <f aca="false">-$C215*$F215</f>
        <v>-0</v>
      </c>
      <c r="L215" s="71" t="n">
        <f aca="false">-$C215*$D215*$E215</f>
        <v>-0</v>
      </c>
      <c r="M215" s="71" t="n">
        <f aca="false">$C215*$D215^2*$F215</f>
        <v>0</v>
      </c>
      <c r="N215" s="71" t="n">
        <f aca="false">$C215*$D215^3*$E215</f>
        <v>0</v>
      </c>
      <c r="O215" s="71" t="n">
        <f aca="false">$C215*$D215^4*$F215</f>
        <v>0</v>
      </c>
      <c r="P215" s="2"/>
      <c r="Q215" s="2"/>
    </row>
    <row r="216" customFormat="false" ht="15" hidden="false" customHeight="false" outlineLevel="0" collapsed="false">
      <c r="A216" s="110" t="str">
        <f aca="false">"虚部"</f>
        <v>虚部</v>
      </c>
      <c r="B216" s="88" t="str">
        <f aca="false">IF(03_FRFデータ貼付!B93="","",03_FRFデータ貼付!A93)</f>
        <v/>
      </c>
      <c r="C216" s="88" t="n">
        <f aca="false">IF(AND(03_FRFデータ貼付!B93&lt;&gt;"",03_FRFデータ貼付!C93&lt;&gt;"",03_FRFデータ貼付!D93&lt;&gt;""),1,0)</f>
        <v>0</v>
      </c>
      <c r="D216" s="71" t="n">
        <f aca="false">IF($C216=0,0,03_FRFデータ貼付!H93)</f>
        <v>0</v>
      </c>
      <c r="E216" s="71" t="n">
        <f aca="false">IF($C216=0,0,03_FRFデータ貼付!I93)</f>
        <v>0</v>
      </c>
      <c r="F216" s="71" t="n">
        <f aca="false">IF($C216=0,0,03_FRFデータ貼付!J93)</f>
        <v>0</v>
      </c>
      <c r="G216" s="71" t="n">
        <f aca="false">0</f>
        <v>0</v>
      </c>
      <c r="H216" s="71" t="n">
        <f aca="false">$C216*$D216</f>
        <v>0</v>
      </c>
      <c r="I216" s="71" t="n">
        <f aca="false">0</f>
        <v>0</v>
      </c>
      <c r="J216" s="71" t="n">
        <f aca="false">-$C216*$D216^3</f>
        <v>-0</v>
      </c>
      <c r="K216" s="71" t="n">
        <f aca="false">-$C216*$F216</f>
        <v>-0</v>
      </c>
      <c r="L216" s="71" t="n">
        <f aca="false">-$C216*$D216*$E216</f>
        <v>-0</v>
      </c>
      <c r="M216" s="71" t="n">
        <f aca="false">$C216*$D216^2*$F216</f>
        <v>0</v>
      </c>
      <c r="N216" s="71" t="n">
        <f aca="false">$C216*$D216^3*$E216</f>
        <v>0</v>
      </c>
      <c r="O216" s="71" t="n">
        <f aca="false">$C216*$D216^4*$F216</f>
        <v>0</v>
      </c>
      <c r="P216" s="2"/>
      <c r="Q216" s="2"/>
    </row>
    <row r="217" customFormat="false" ht="15" hidden="false" customHeight="false" outlineLevel="0" collapsed="false">
      <c r="A217" s="110" t="str">
        <f aca="false">"虚部"</f>
        <v>虚部</v>
      </c>
      <c r="B217" s="88" t="str">
        <f aca="false">IF(03_FRFデータ貼付!B94="","",03_FRFデータ貼付!A94)</f>
        <v/>
      </c>
      <c r="C217" s="88" t="n">
        <f aca="false">IF(AND(03_FRFデータ貼付!B94&lt;&gt;"",03_FRFデータ貼付!C94&lt;&gt;"",03_FRFデータ貼付!D94&lt;&gt;""),1,0)</f>
        <v>0</v>
      </c>
      <c r="D217" s="71" t="n">
        <f aca="false">IF($C217=0,0,03_FRFデータ貼付!H94)</f>
        <v>0</v>
      </c>
      <c r="E217" s="71" t="n">
        <f aca="false">IF($C217=0,0,03_FRFデータ貼付!I94)</f>
        <v>0</v>
      </c>
      <c r="F217" s="71" t="n">
        <f aca="false">IF($C217=0,0,03_FRFデータ貼付!J94)</f>
        <v>0</v>
      </c>
      <c r="G217" s="71" t="n">
        <f aca="false">0</f>
        <v>0</v>
      </c>
      <c r="H217" s="71" t="n">
        <f aca="false">$C217*$D217</f>
        <v>0</v>
      </c>
      <c r="I217" s="71" t="n">
        <f aca="false">0</f>
        <v>0</v>
      </c>
      <c r="J217" s="71" t="n">
        <f aca="false">-$C217*$D217^3</f>
        <v>-0</v>
      </c>
      <c r="K217" s="71" t="n">
        <f aca="false">-$C217*$F217</f>
        <v>-0</v>
      </c>
      <c r="L217" s="71" t="n">
        <f aca="false">-$C217*$D217*$E217</f>
        <v>-0</v>
      </c>
      <c r="M217" s="71" t="n">
        <f aca="false">$C217*$D217^2*$F217</f>
        <v>0</v>
      </c>
      <c r="N217" s="71" t="n">
        <f aca="false">$C217*$D217^3*$E217</f>
        <v>0</v>
      </c>
      <c r="O217" s="71" t="n">
        <f aca="false">$C217*$D217^4*$F217</f>
        <v>0</v>
      </c>
      <c r="P217" s="2"/>
      <c r="Q217" s="2"/>
    </row>
    <row r="218" customFormat="false" ht="15" hidden="false" customHeight="false" outlineLevel="0" collapsed="false">
      <c r="A218" s="110" t="str">
        <f aca="false">"虚部"</f>
        <v>虚部</v>
      </c>
      <c r="B218" s="88" t="str">
        <f aca="false">IF(03_FRFデータ貼付!B95="","",03_FRFデータ貼付!A95)</f>
        <v/>
      </c>
      <c r="C218" s="88" t="n">
        <f aca="false">IF(AND(03_FRFデータ貼付!B95&lt;&gt;"",03_FRFデータ貼付!C95&lt;&gt;"",03_FRFデータ貼付!D95&lt;&gt;""),1,0)</f>
        <v>0</v>
      </c>
      <c r="D218" s="71" t="n">
        <f aca="false">IF($C218=0,0,03_FRFデータ貼付!H95)</f>
        <v>0</v>
      </c>
      <c r="E218" s="71" t="n">
        <f aca="false">IF($C218=0,0,03_FRFデータ貼付!I95)</f>
        <v>0</v>
      </c>
      <c r="F218" s="71" t="n">
        <f aca="false">IF($C218=0,0,03_FRFデータ貼付!J95)</f>
        <v>0</v>
      </c>
      <c r="G218" s="71" t="n">
        <f aca="false">0</f>
        <v>0</v>
      </c>
      <c r="H218" s="71" t="n">
        <f aca="false">$C218*$D218</f>
        <v>0</v>
      </c>
      <c r="I218" s="71" t="n">
        <f aca="false">0</f>
        <v>0</v>
      </c>
      <c r="J218" s="71" t="n">
        <f aca="false">-$C218*$D218^3</f>
        <v>-0</v>
      </c>
      <c r="K218" s="71" t="n">
        <f aca="false">-$C218*$F218</f>
        <v>-0</v>
      </c>
      <c r="L218" s="71" t="n">
        <f aca="false">-$C218*$D218*$E218</f>
        <v>-0</v>
      </c>
      <c r="M218" s="71" t="n">
        <f aca="false">$C218*$D218^2*$F218</f>
        <v>0</v>
      </c>
      <c r="N218" s="71" t="n">
        <f aca="false">$C218*$D218^3*$E218</f>
        <v>0</v>
      </c>
      <c r="O218" s="71" t="n">
        <f aca="false">$C218*$D218^4*$F218</f>
        <v>0</v>
      </c>
      <c r="P218" s="2"/>
      <c r="Q218" s="2"/>
    </row>
    <row r="219" customFormat="false" ht="15" hidden="false" customHeight="false" outlineLevel="0" collapsed="false">
      <c r="A219" s="110" t="str">
        <f aca="false">"虚部"</f>
        <v>虚部</v>
      </c>
      <c r="B219" s="88" t="str">
        <f aca="false">IF(03_FRFデータ貼付!B96="","",03_FRFデータ貼付!A96)</f>
        <v/>
      </c>
      <c r="C219" s="88" t="n">
        <f aca="false">IF(AND(03_FRFデータ貼付!B96&lt;&gt;"",03_FRFデータ貼付!C96&lt;&gt;"",03_FRFデータ貼付!D96&lt;&gt;""),1,0)</f>
        <v>0</v>
      </c>
      <c r="D219" s="71" t="n">
        <f aca="false">IF($C219=0,0,03_FRFデータ貼付!H96)</f>
        <v>0</v>
      </c>
      <c r="E219" s="71" t="n">
        <f aca="false">IF($C219=0,0,03_FRFデータ貼付!I96)</f>
        <v>0</v>
      </c>
      <c r="F219" s="71" t="n">
        <f aca="false">IF($C219=0,0,03_FRFデータ貼付!J96)</f>
        <v>0</v>
      </c>
      <c r="G219" s="71" t="n">
        <f aca="false">0</f>
        <v>0</v>
      </c>
      <c r="H219" s="71" t="n">
        <f aca="false">$C219*$D219</f>
        <v>0</v>
      </c>
      <c r="I219" s="71" t="n">
        <f aca="false">0</f>
        <v>0</v>
      </c>
      <c r="J219" s="71" t="n">
        <f aca="false">-$C219*$D219^3</f>
        <v>-0</v>
      </c>
      <c r="K219" s="71" t="n">
        <f aca="false">-$C219*$F219</f>
        <v>-0</v>
      </c>
      <c r="L219" s="71" t="n">
        <f aca="false">-$C219*$D219*$E219</f>
        <v>-0</v>
      </c>
      <c r="M219" s="71" t="n">
        <f aca="false">$C219*$D219^2*$F219</f>
        <v>0</v>
      </c>
      <c r="N219" s="71" t="n">
        <f aca="false">$C219*$D219^3*$E219</f>
        <v>0</v>
      </c>
      <c r="O219" s="71" t="n">
        <f aca="false">$C219*$D219^4*$F219</f>
        <v>0</v>
      </c>
      <c r="P219" s="2"/>
      <c r="Q219" s="2"/>
    </row>
    <row r="220" customFormat="false" ht="15" hidden="false" customHeight="false" outlineLevel="0" collapsed="false">
      <c r="A220" s="110" t="str">
        <f aca="false">"虚部"</f>
        <v>虚部</v>
      </c>
      <c r="B220" s="88" t="str">
        <f aca="false">IF(03_FRFデータ貼付!B97="","",03_FRFデータ貼付!A97)</f>
        <v/>
      </c>
      <c r="C220" s="88" t="n">
        <f aca="false">IF(AND(03_FRFデータ貼付!B97&lt;&gt;"",03_FRFデータ貼付!C97&lt;&gt;"",03_FRFデータ貼付!D97&lt;&gt;""),1,0)</f>
        <v>0</v>
      </c>
      <c r="D220" s="71" t="n">
        <f aca="false">IF($C220=0,0,03_FRFデータ貼付!H97)</f>
        <v>0</v>
      </c>
      <c r="E220" s="71" t="n">
        <f aca="false">IF($C220=0,0,03_FRFデータ貼付!I97)</f>
        <v>0</v>
      </c>
      <c r="F220" s="71" t="n">
        <f aca="false">IF($C220=0,0,03_FRFデータ貼付!J97)</f>
        <v>0</v>
      </c>
      <c r="G220" s="71" t="n">
        <f aca="false">0</f>
        <v>0</v>
      </c>
      <c r="H220" s="71" t="n">
        <f aca="false">$C220*$D220</f>
        <v>0</v>
      </c>
      <c r="I220" s="71" t="n">
        <f aca="false">0</f>
        <v>0</v>
      </c>
      <c r="J220" s="71" t="n">
        <f aca="false">-$C220*$D220^3</f>
        <v>-0</v>
      </c>
      <c r="K220" s="71" t="n">
        <f aca="false">-$C220*$F220</f>
        <v>-0</v>
      </c>
      <c r="L220" s="71" t="n">
        <f aca="false">-$C220*$D220*$E220</f>
        <v>-0</v>
      </c>
      <c r="M220" s="71" t="n">
        <f aca="false">$C220*$D220^2*$F220</f>
        <v>0</v>
      </c>
      <c r="N220" s="71" t="n">
        <f aca="false">$C220*$D220^3*$E220</f>
        <v>0</v>
      </c>
      <c r="O220" s="71" t="n">
        <f aca="false">$C220*$D220^4*$F220</f>
        <v>0</v>
      </c>
      <c r="P220" s="2"/>
      <c r="Q220" s="2"/>
    </row>
    <row r="221" customFormat="false" ht="15" hidden="false" customHeight="false" outlineLevel="0" collapsed="false">
      <c r="A221" s="110" t="str">
        <f aca="false">"虚部"</f>
        <v>虚部</v>
      </c>
      <c r="B221" s="88" t="str">
        <f aca="false">IF(03_FRFデータ貼付!B98="","",03_FRFデータ貼付!A98)</f>
        <v/>
      </c>
      <c r="C221" s="88" t="n">
        <f aca="false">IF(AND(03_FRFデータ貼付!B98&lt;&gt;"",03_FRFデータ貼付!C98&lt;&gt;"",03_FRFデータ貼付!D98&lt;&gt;""),1,0)</f>
        <v>0</v>
      </c>
      <c r="D221" s="71" t="n">
        <f aca="false">IF($C221=0,0,03_FRFデータ貼付!H98)</f>
        <v>0</v>
      </c>
      <c r="E221" s="71" t="n">
        <f aca="false">IF($C221=0,0,03_FRFデータ貼付!I98)</f>
        <v>0</v>
      </c>
      <c r="F221" s="71" t="n">
        <f aca="false">IF($C221=0,0,03_FRFデータ貼付!J98)</f>
        <v>0</v>
      </c>
      <c r="G221" s="71" t="n">
        <f aca="false">0</f>
        <v>0</v>
      </c>
      <c r="H221" s="71" t="n">
        <f aca="false">$C221*$D221</f>
        <v>0</v>
      </c>
      <c r="I221" s="71" t="n">
        <f aca="false">0</f>
        <v>0</v>
      </c>
      <c r="J221" s="71" t="n">
        <f aca="false">-$C221*$D221^3</f>
        <v>-0</v>
      </c>
      <c r="K221" s="71" t="n">
        <f aca="false">-$C221*$F221</f>
        <v>-0</v>
      </c>
      <c r="L221" s="71" t="n">
        <f aca="false">-$C221*$D221*$E221</f>
        <v>-0</v>
      </c>
      <c r="M221" s="71" t="n">
        <f aca="false">$C221*$D221^2*$F221</f>
        <v>0</v>
      </c>
      <c r="N221" s="71" t="n">
        <f aca="false">$C221*$D221^3*$E221</f>
        <v>0</v>
      </c>
      <c r="O221" s="71" t="n">
        <f aca="false">$C221*$D221^4*$F221</f>
        <v>0</v>
      </c>
      <c r="P221" s="2"/>
      <c r="Q221" s="2"/>
    </row>
    <row r="222" customFormat="false" ht="15" hidden="false" customHeight="false" outlineLevel="0" collapsed="false">
      <c r="A222" s="110" t="str">
        <f aca="false">"虚部"</f>
        <v>虚部</v>
      </c>
      <c r="B222" s="88" t="str">
        <f aca="false">IF(03_FRFデータ貼付!B99="","",03_FRFデータ貼付!A99)</f>
        <v/>
      </c>
      <c r="C222" s="88" t="n">
        <f aca="false">IF(AND(03_FRFデータ貼付!B99&lt;&gt;"",03_FRFデータ貼付!C99&lt;&gt;"",03_FRFデータ貼付!D99&lt;&gt;""),1,0)</f>
        <v>0</v>
      </c>
      <c r="D222" s="71" t="n">
        <f aca="false">IF($C222=0,0,03_FRFデータ貼付!H99)</f>
        <v>0</v>
      </c>
      <c r="E222" s="71" t="n">
        <f aca="false">IF($C222=0,0,03_FRFデータ貼付!I99)</f>
        <v>0</v>
      </c>
      <c r="F222" s="71" t="n">
        <f aca="false">IF($C222=0,0,03_FRFデータ貼付!J99)</f>
        <v>0</v>
      </c>
      <c r="G222" s="71" t="n">
        <f aca="false">0</f>
        <v>0</v>
      </c>
      <c r="H222" s="71" t="n">
        <f aca="false">$C222*$D222</f>
        <v>0</v>
      </c>
      <c r="I222" s="71" t="n">
        <f aca="false">0</f>
        <v>0</v>
      </c>
      <c r="J222" s="71" t="n">
        <f aca="false">-$C222*$D222^3</f>
        <v>-0</v>
      </c>
      <c r="K222" s="71" t="n">
        <f aca="false">-$C222*$F222</f>
        <v>-0</v>
      </c>
      <c r="L222" s="71" t="n">
        <f aca="false">-$C222*$D222*$E222</f>
        <v>-0</v>
      </c>
      <c r="M222" s="71" t="n">
        <f aca="false">$C222*$D222^2*$F222</f>
        <v>0</v>
      </c>
      <c r="N222" s="71" t="n">
        <f aca="false">$C222*$D222^3*$E222</f>
        <v>0</v>
      </c>
      <c r="O222" s="71" t="n">
        <f aca="false">$C222*$D222^4*$F222</f>
        <v>0</v>
      </c>
      <c r="P222" s="2"/>
      <c r="Q222" s="2"/>
    </row>
    <row r="223" customFormat="false" ht="15" hidden="false" customHeight="false" outlineLevel="0" collapsed="false">
      <c r="A223" s="110" t="str">
        <f aca="false">"虚部"</f>
        <v>虚部</v>
      </c>
      <c r="B223" s="88" t="str">
        <f aca="false">IF(03_FRFデータ貼付!B100="","",03_FRFデータ貼付!A100)</f>
        <v/>
      </c>
      <c r="C223" s="88" t="n">
        <f aca="false">IF(AND(03_FRFデータ貼付!B100&lt;&gt;"",03_FRFデータ貼付!C100&lt;&gt;"",03_FRFデータ貼付!D100&lt;&gt;""),1,0)</f>
        <v>0</v>
      </c>
      <c r="D223" s="71" t="n">
        <f aca="false">IF($C223=0,0,03_FRFデータ貼付!H100)</f>
        <v>0</v>
      </c>
      <c r="E223" s="71" t="n">
        <f aca="false">IF($C223=0,0,03_FRFデータ貼付!I100)</f>
        <v>0</v>
      </c>
      <c r="F223" s="71" t="n">
        <f aca="false">IF($C223=0,0,03_FRFデータ貼付!J100)</f>
        <v>0</v>
      </c>
      <c r="G223" s="71" t="n">
        <f aca="false">0</f>
        <v>0</v>
      </c>
      <c r="H223" s="71" t="n">
        <f aca="false">$C223*$D223</f>
        <v>0</v>
      </c>
      <c r="I223" s="71" t="n">
        <f aca="false">0</f>
        <v>0</v>
      </c>
      <c r="J223" s="71" t="n">
        <f aca="false">-$C223*$D223^3</f>
        <v>-0</v>
      </c>
      <c r="K223" s="71" t="n">
        <f aca="false">-$C223*$F223</f>
        <v>-0</v>
      </c>
      <c r="L223" s="71" t="n">
        <f aca="false">-$C223*$D223*$E223</f>
        <v>-0</v>
      </c>
      <c r="M223" s="71" t="n">
        <f aca="false">$C223*$D223^2*$F223</f>
        <v>0</v>
      </c>
      <c r="N223" s="71" t="n">
        <f aca="false">$C223*$D223^3*$E223</f>
        <v>0</v>
      </c>
      <c r="O223" s="71" t="n">
        <f aca="false">$C223*$D223^4*$F223</f>
        <v>0</v>
      </c>
      <c r="P223" s="2"/>
      <c r="Q223" s="2"/>
    </row>
    <row r="224" customFormat="false" ht="15" hidden="false" customHeight="false" outlineLevel="0" collapsed="false">
      <c r="A224" s="110" t="str">
        <f aca="false">"虚部"</f>
        <v>虚部</v>
      </c>
      <c r="B224" s="88" t="str">
        <f aca="false">IF(03_FRFデータ貼付!B101="","",03_FRFデータ貼付!A101)</f>
        <v/>
      </c>
      <c r="C224" s="88" t="n">
        <f aca="false">IF(AND(03_FRFデータ貼付!B101&lt;&gt;"",03_FRFデータ貼付!C101&lt;&gt;"",03_FRFデータ貼付!D101&lt;&gt;""),1,0)</f>
        <v>0</v>
      </c>
      <c r="D224" s="71" t="n">
        <f aca="false">IF($C224=0,0,03_FRFデータ貼付!H101)</f>
        <v>0</v>
      </c>
      <c r="E224" s="71" t="n">
        <f aca="false">IF($C224=0,0,03_FRFデータ貼付!I101)</f>
        <v>0</v>
      </c>
      <c r="F224" s="71" t="n">
        <f aca="false">IF($C224=0,0,03_FRFデータ貼付!J101)</f>
        <v>0</v>
      </c>
      <c r="G224" s="71" t="n">
        <f aca="false">0</f>
        <v>0</v>
      </c>
      <c r="H224" s="71" t="n">
        <f aca="false">$C224*$D224</f>
        <v>0</v>
      </c>
      <c r="I224" s="71" t="n">
        <f aca="false">0</f>
        <v>0</v>
      </c>
      <c r="J224" s="71" t="n">
        <f aca="false">-$C224*$D224^3</f>
        <v>-0</v>
      </c>
      <c r="K224" s="71" t="n">
        <f aca="false">-$C224*$F224</f>
        <v>-0</v>
      </c>
      <c r="L224" s="71" t="n">
        <f aca="false">-$C224*$D224*$E224</f>
        <v>-0</v>
      </c>
      <c r="M224" s="71" t="n">
        <f aca="false">$C224*$D224^2*$F224</f>
        <v>0</v>
      </c>
      <c r="N224" s="71" t="n">
        <f aca="false">$C224*$D224^3*$E224</f>
        <v>0</v>
      </c>
      <c r="O224" s="71" t="n">
        <f aca="false">$C224*$D224^4*$F224</f>
        <v>0</v>
      </c>
      <c r="P224" s="2"/>
      <c r="Q224" s="2"/>
    </row>
    <row r="225" customFormat="false" ht="15" hidden="false" customHeight="false" outlineLevel="0" collapsed="false">
      <c r="A225" s="110" t="str">
        <f aca="false">"虚部"</f>
        <v>虚部</v>
      </c>
      <c r="B225" s="88" t="str">
        <f aca="false">IF(03_FRFデータ貼付!B102="","",03_FRFデータ貼付!A102)</f>
        <v/>
      </c>
      <c r="C225" s="88" t="n">
        <f aca="false">IF(AND(03_FRFデータ貼付!B102&lt;&gt;"",03_FRFデータ貼付!C102&lt;&gt;"",03_FRFデータ貼付!D102&lt;&gt;""),1,0)</f>
        <v>0</v>
      </c>
      <c r="D225" s="71" t="n">
        <f aca="false">IF($C225=0,0,03_FRFデータ貼付!H102)</f>
        <v>0</v>
      </c>
      <c r="E225" s="71" t="n">
        <f aca="false">IF($C225=0,0,03_FRFデータ貼付!I102)</f>
        <v>0</v>
      </c>
      <c r="F225" s="71" t="n">
        <f aca="false">IF($C225=0,0,03_FRFデータ貼付!J102)</f>
        <v>0</v>
      </c>
      <c r="G225" s="71" t="n">
        <f aca="false">0</f>
        <v>0</v>
      </c>
      <c r="H225" s="71" t="n">
        <f aca="false">$C225*$D225</f>
        <v>0</v>
      </c>
      <c r="I225" s="71" t="n">
        <f aca="false">0</f>
        <v>0</v>
      </c>
      <c r="J225" s="71" t="n">
        <f aca="false">-$C225*$D225^3</f>
        <v>-0</v>
      </c>
      <c r="K225" s="71" t="n">
        <f aca="false">-$C225*$F225</f>
        <v>-0</v>
      </c>
      <c r="L225" s="71" t="n">
        <f aca="false">-$C225*$D225*$E225</f>
        <v>-0</v>
      </c>
      <c r="M225" s="71" t="n">
        <f aca="false">$C225*$D225^2*$F225</f>
        <v>0</v>
      </c>
      <c r="N225" s="71" t="n">
        <f aca="false">$C225*$D225^3*$E225</f>
        <v>0</v>
      </c>
      <c r="O225" s="71" t="n">
        <f aca="false">$C225*$D225^4*$F225</f>
        <v>0</v>
      </c>
      <c r="P225" s="2"/>
      <c r="Q225" s="2"/>
    </row>
    <row r="226" customFormat="false" ht="15" hidden="false" customHeight="false" outlineLevel="0" collapsed="false">
      <c r="A226" s="110" t="str">
        <f aca="false">"虚部"</f>
        <v>虚部</v>
      </c>
      <c r="B226" s="88" t="str">
        <f aca="false">IF(03_FRFデータ貼付!B103="","",03_FRFデータ貼付!A103)</f>
        <v/>
      </c>
      <c r="C226" s="88" t="n">
        <f aca="false">IF(AND(03_FRFデータ貼付!B103&lt;&gt;"",03_FRFデータ貼付!C103&lt;&gt;"",03_FRFデータ貼付!D103&lt;&gt;""),1,0)</f>
        <v>0</v>
      </c>
      <c r="D226" s="71" t="n">
        <f aca="false">IF($C226=0,0,03_FRFデータ貼付!H103)</f>
        <v>0</v>
      </c>
      <c r="E226" s="71" t="n">
        <f aca="false">IF($C226=0,0,03_FRFデータ貼付!I103)</f>
        <v>0</v>
      </c>
      <c r="F226" s="71" t="n">
        <f aca="false">IF($C226=0,0,03_FRFデータ貼付!J103)</f>
        <v>0</v>
      </c>
      <c r="G226" s="71" t="n">
        <f aca="false">0</f>
        <v>0</v>
      </c>
      <c r="H226" s="71" t="n">
        <f aca="false">$C226*$D226</f>
        <v>0</v>
      </c>
      <c r="I226" s="71" t="n">
        <f aca="false">0</f>
        <v>0</v>
      </c>
      <c r="J226" s="71" t="n">
        <f aca="false">-$C226*$D226^3</f>
        <v>-0</v>
      </c>
      <c r="K226" s="71" t="n">
        <f aca="false">-$C226*$F226</f>
        <v>-0</v>
      </c>
      <c r="L226" s="71" t="n">
        <f aca="false">-$C226*$D226*$E226</f>
        <v>-0</v>
      </c>
      <c r="M226" s="71" t="n">
        <f aca="false">$C226*$D226^2*$F226</f>
        <v>0</v>
      </c>
      <c r="N226" s="71" t="n">
        <f aca="false">$C226*$D226^3*$E226</f>
        <v>0</v>
      </c>
      <c r="O226" s="71" t="n">
        <f aca="false">$C226*$D226^4*$F226</f>
        <v>0</v>
      </c>
      <c r="P226" s="2"/>
      <c r="Q226" s="2"/>
    </row>
    <row r="227" customFormat="false" ht="15" hidden="false" customHeight="false" outlineLevel="0" collapsed="false">
      <c r="A227" s="110" t="str">
        <f aca="false">"虚部"</f>
        <v>虚部</v>
      </c>
      <c r="B227" s="88" t="str">
        <f aca="false">IF(03_FRFデータ貼付!B104="","",03_FRFデータ貼付!A104)</f>
        <v/>
      </c>
      <c r="C227" s="88" t="n">
        <f aca="false">IF(AND(03_FRFデータ貼付!B104&lt;&gt;"",03_FRFデータ貼付!C104&lt;&gt;"",03_FRFデータ貼付!D104&lt;&gt;""),1,0)</f>
        <v>0</v>
      </c>
      <c r="D227" s="71" t="n">
        <f aca="false">IF($C227=0,0,03_FRFデータ貼付!H104)</f>
        <v>0</v>
      </c>
      <c r="E227" s="71" t="n">
        <f aca="false">IF($C227=0,0,03_FRFデータ貼付!I104)</f>
        <v>0</v>
      </c>
      <c r="F227" s="71" t="n">
        <f aca="false">IF($C227=0,0,03_FRFデータ貼付!J104)</f>
        <v>0</v>
      </c>
      <c r="G227" s="71" t="n">
        <f aca="false">0</f>
        <v>0</v>
      </c>
      <c r="H227" s="71" t="n">
        <f aca="false">$C227*$D227</f>
        <v>0</v>
      </c>
      <c r="I227" s="71" t="n">
        <f aca="false">0</f>
        <v>0</v>
      </c>
      <c r="J227" s="71" t="n">
        <f aca="false">-$C227*$D227^3</f>
        <v>-0</v>
      </c>
      <c r="K227" s="71" t="n">
        <f aca="false">-$C227*$F227</f>
        <v>-0</v>
      </c>
      <c r="L227" s="71" t="n">
        <f aca="false">-$C227*$D227*$E227</f>
        <v>-0</v>
      </c>
      <c r="M227" s="71" t="n">
        <f aca="false">$C227*$D227^2*$F227</f>
        <v>0</v>
      </c>
      <c r="N227" s="71" t="n">
        <f aca="false">$C227*$D227^3*$E227</f>
        <v>0</v>
      </c>
      <c r="O227" s="71" t="n">
        <f aca="false">$C227*$D227^4*$F227</f>
        <v>0</v>
      </c>
      <c r="P227" s="2"/>
      <c r="Q227" s="2"/>
    </row>
    <row r="228" customFormat="false" ht="15" hidden="false" customHeight="false" outlineLevel="0" collapsed="false">
      <c r="A228" s="110" t="str">
        <f aca="false">"虚部"</f>
        <v>虚部</v>
      </c>
      <c r="B228" s="88" t="str">
        <f aca="false">IF(03_FRFデータ貼付!B105="","",03_FRFデータ貼付!A105)</f>
        <v/>
      </c>
      <c r="C228" s="88" t="n">
        <f aca="false">IF(AND(03_FRFデータ貼付!B105&lt;&gt;"",03_FRFデータ貼付!C105&lt;&gt;"",03_FRFデータ貼付!D105&lt;&gt;""),1,0)</f>
        <v>0</v>
      </c>
      <c r="D228" s="71" t="n">
        <f aca="false">IF($C228=0,0,03_FRFデータ貼付!H105)</f>
        <v>0</v>
      </c>
      <c r="E228" s="71" t="n">
        <f aca="false">IF($C228=0,0,03_FRFデータ貼付!I105)</f>
        <v>0</v>
      </c>
      <c r="F228" s="71" t="n">
        <f aca="false">IF($C228=0,0,03_FRFデータ貼付!J105)</f>
        <v>0</v>
      </c>
      <c r="G228" s="71" t="n">
        <f aca="false">0</f>
        <v>0</v>
      </c>
      <c r="H228" s="71" t="n">
        <f aca="false">$C228*$D228</f>
        <v>0</v>
      </c>
      <c r="I228" s="71" t="n">
        <f aca="false">0</f>
        <v>0</v>
      </c>
      <c r="J228" s="71" t="n">
        <f aca="false">-$C228*$D228^3</f>
        <v>-0</v>
      </c>
      <c r="K228" s="71" t="n">
        <f aca="false">-$C228*$F228</f>
        <v>-0</v>
      </c>
      <c r="L228" s="71" t="n">
        <f aca="false">-$C228*$D228*$E228</f>
        <v>-0</v>
      </c>
      <c r="M228" s="71" t="n">
        <f aca="false">$C228*$D228^2*$F228</f>
        <v>0</v>
      </c>
      <c r="N228" s="71" t="n">
        <f aca="false">$C228*$D228^3*$E228</f>
        <v>0</v>
      </c>
      <c r="O228" s="71" t="n">
        <f aca="false">$C228*$D228^4*$F228</f>
        <v>0</v>
      </c>
      <c r="P228" s="2"/>
      <c r="Q228" s="2"/>
    </row>
    <row r="229" customFormat="false" ht="15" hidden="false" customHeight="false" outlineLevel="0" collapsed="false">
      <c r="A229" s="110" t="str">
        <f aca="false">"虚部"</f>
        <v>虚部</v>
      </c>
      <c r="B229" s="88" t="str">
        <f aca="false">IF(03_FRFデータ貼付!B106="","",03_FRFデータ貼付!A106)</f>
        <v/>
      </c>
      <c r="C229" s="88" t="n">
        <f aca="false">IF(AND(03_FRFデータ貼付!B106&lt;&gt;"",03_FRFデータ貼付!C106&lt;&gt;"",03_FRFデータ貼付!D106&lt;&gt;""),1,0)</f>
        <v>0</v>
      </c>
      <c r="D229" s="71" t="n">
        <f aca="false">IF($C229=0,0,03_FRFデータ貼付!H106)</f>
        <v>0</v>
      </c>
      <c r="E229" s="71" t="n">
        <f aca="false">IF($C229=0,0,03_FRFデータ貼付!I106)</f>
        <v>0</v>
      </c>
      <c r="F229" s="71" t="n">
        <f aca="false">IF($C229=0,0,03_FRFデータ貼付!J106)</f>
        <v>0</v>
      </c>
      <c r="G229" s="71" t="n">
        <f aca="false">0</f>
        <v>0</v>
      </c>
      <c r="H229" s="71" t="n">
        <f aca="false">$C229*$D229</f>
        <v>0</v>
      </c>
      <c r="I229" s="71" t="n">
        <f aca="false">0</f>
        <v>0</v>
      </c>
      <c r="J229" s="71" t="n">
        <f aca="false">-$C229*$D229^3</f>
        <v>-0</v>
      </c>
      <c r="K229" s="71" t="n">
        <f aca="false">-$C229*$F229</f>
        <v>-0</v>
      </c>
      <c r="L229" s="71" t="n">
        <f aca="false">-$C229*$D229*$E229</f>
        <v>-0</v>
      </c>
      <c r="M229" s="71" t="n">
        <f aca="false">$C229*$D229^2*$F229</f>
        <v>0</v>
      </c>
      <c r="N229" s="71" t="n">
        <f aca="false">$C229*$D229^3*$E229</f>
        <v>0</v>
      </c>
      <c r="O229" s="71" t="n">
        <f aca="false">$C229*$D229^4*$F229</f>
        <v>0</v>
      </c>
      <c r="P229" s="2"/>
      <c r="Q229" s="2"/>
    </row>
    <row r="230" customFormat="false" ht="15" hidden="false" customHeight="false" outlineLevel="0" collapsed="false">
      <c r="A230" s="110" t="str">
        <f aca="false">"虚部"</f>
        <v>虚部</v>
      </c>
      <c r="B230" s="88" t="str">
        <f aca="false">IF(03_FRFデータ貼付!B107="","",03_FRFデータ貼付!A107)</f>
        <v/>
      </c>
      <c r="C230" s="88" t="n">
        <f aca="false">IF(AND(03_FRFデータ貼付!B107&lt;&gt;"",03_FRFデータ貼付!C107&lt;&gt;"",03_FRFデータ貼付!D107&lt;&gt;""),1,0)</f>
        <v>0</v>
      </c>
      <c r="D230" s="71" t="n">
        <f aca="false">IF($C230=0,0,03_FRFデータ貼付!H107)</f>
        <v>0</v>
      </c>
      <c r="E230" s="71" t="n">
        <f aca="false">IF($C230=0,0,03_FRFデータ貼付!I107)</f>
        <v>0</v>
      </c>
      <c r="F230" s="71" t="n">
        <f aca="false">IF($C230=0,0,03_FRFデータ貼付!J107)</f>
        <v>0</v>
      </c>
      <c r="G230" s="71" t="n">
        <f aca="false">0</f>
        <v>0</v>
      </c>
      <c r="H230" s="71" t="n">
        <f aca="false">$C230*$D230</f>
        <v>0</v>
      </c>
      <c r="I230" s="71" t="n">
        <f aca="false">0</f>
        <v>0</v>
      </c>
      <c r="J230" s="71" t="n">
        <f aca="false">-$C230*$D230^3</f>
        <v>-0</v>
      </c>
      <c r="K230" s="71" t="n">
        <f aca="false">-$C230*$F230</f>
        <v>-0</v>
      </c>
      <c r="L230" s="71" t="n">
        <f aca="false">-$C230*$D230*$E230</f>
        <v>-0</v>
      </c>
      <c r="M230" s="71" t="n">
        <f aca="false">$C230*$D230^2*$F230</f>
        <v>0</v>
      </c>
      <c r="N230" s="71" t="n">
        <f aca="false">$C230*$D230^3*$E230</f>
        <v>0</v>
      </c>
      <c r="O230" s="71" t="n">
        <f aca="false">$C230*$D230^4*$F230</f>
        <v>0</v>
      </c>
      <c r="P230" s="2"/>
      <c r="Q230" s="2"/>
    </row>
    <row r="231" customFormat="false" ht="15" hidden="false" customHeight="false" outlineLevel="0" collapsed="false">
      <c r="A231" s="110" t="str">
        <f aca="false">"虚部"</f>
        <v>虚部</v>
      </c>
      <c r="B231" s="88" t="str">
        <f aca="false">IF(03_FRFデータ貼付!B108="","",03_FRFデータ貼付!A108)</f>
        <v/>
      </c>
      <c r="C231" s="88" t="n">
        <f aca="false">IF(AND(03_FRFデータ貼付!B108&lt;&gt;"",03_FRFデータ貼付!C108&lt;&gt;"",03_FRFデータ貼付!D108&lt;&gt;""),1,0)</f>
        <v>0</v>
      </c>
      <c r="D231" s="71" t="n">
        <f aca="false">IF($C231=0,0,03_FRFデータ貼付!H108)</f>
        <v>0</v>
      </c>
      <c r="E231" s="71" t="n">
        <f aca="false">IF($C231=0,0,03_FRFデータ貼付!I108)</f>
        <v>0</v>
      </c>
      <c r="F231" s="71" t="n">
        <f aca="false">IF($C231=0,0,03_FRFデータ貼付!J108)</f>
        <v>0</v>
      </c>
      <c r="G231" s="71" t="n">
        <f aca="false">0</f>
        <v>0</v>
      </c>
      <c r="H231" s="71" t="n">
        <f aca="false">$C231*$D231</f>
        <v>0</v>
      </c>
      <c r="I231" s="71" t="n">
        <f aca="false">0</f>
        <v>0</v>
      </c>
      <c r="J231" s="71" t="n">
        <f aca="false">-$C231*$D231^3</f>
        <v>-0</v>
      </c>
      <c r="K231" s="71" t="n">
        <f aca="false">-$C231*$F231</f>
        <v>-0</v>
      </c>
      <c r="L231" s="71" t="n">
        <f aca="false">-$C231*$D231*$E231</f>
        <v>-0</v>
      </c>
      <c r="M231" s="71" t="n">
        <f aca="false">$C231*$D231^2*$F231</f>
        <v>0</v>
      </c>
      <c r="N231" s="71" t="n">
        <f aca="false">$C231*$D231^3*$E231</f>
        <v>0</v>
      </c>
      <c r="O231" s="71" t="n">
        <f aca="false">$C231*$D231^4*$F231</f>
        <v>0</v>
      </c>
      <c r="P231" s="2"/>
      <c r="Q231" s="2"/>
    </row>
    <row r="232" customFormat="false" ht="15" hidden="false" customHeight="false" outlineLevel="0" collapsed="false">
      <c r="A232" s="110" t="str">
        <f aca="false">"虚部"</f>
        <v>虚部</v>
      </c>
      <c r="B232" s="88" t="str">
        <f aca="false">IF(03_FRFデータ貼付!B109="","",03_FRFデータ貼付!A109)</f>
        <v/>
      </c>
      <c r="C232" s="88" t="n">
        <f aca="false">IF(AND(03_FRFデータ貼付!B109&lt;&gt;"",03_FRFデータ貼付!C109&lt;&gt;"",03_FRFデータ貼付!D109&lt;&gt;""),1,0)</f>
        <v>0</v>
      </c>
      <c r="D232" s="71" t="n">
        <f aca="false">IF($C232=0,0,03_FRFデータ貼付!H109)</f>
        <v>0</v>
      </c>
      <c r="E232" s="71" t="n">
        <f aca="false">IF($C232=0,0,03_FRFデータ貼付!I109)</f>
        <v>0</v>
      </c>
      <c r="F232" s="71" t="n">
        <f aca="false">IF($C232=0,0,03_FRFデータ貼付!J109)</f>
        <v>0</v>
      </c>
      <c r="G232" s="71" t="n">
        <f aca="false">0</f>
        <v>0</v>
      </c>
      <c r="H232" s="71" t="n">
        <f aca="false">$C232*$D232</f>
        <v>0</v>
      </c>
      <c r="I232" s="71" t="n">
        <f aca="false">0</f>
        <v>0</v>
      </c>
      <c r="J232" s="71" t="n">
        <f aca="false">-$C232*$D232^3</f>
        <v>-0</v>
      </c>
      <c r="K232" s="71" t="n">
        <f aca="false">-$C232*$F232</f>
        <v>-0</v>
      </c>
      <c r="L232" s="71" t="n">
        <f aca="false">-$C232*$D232*$E232</f>
        <v>-0</v>
      </c>
      <c r="M232" s="71" t="n">
        <f aca="false">$C232*$D232^2*$F232</f>
        <v>0</v>
      </c>
      <c r="N232" s="71" t="n">
        <f aca="false">$C232*$D232^3*$E232</f>
        <v>0</v>
      </c>
      <c r="O232" s="71" t="n">
        <f aca="false">$C232*$D232^4*$F232</f>
        <v>0</v>
      </c>
      <c r="P232" s="2"/>
      <c r="Q232" s="2"/>
    </row>
    <row r="233" customFormat="false" ht="15" hidden="false" customHeight="false" outlineLevel="0" collapsed="false">
      <c r="A233" s="110" t="str">
        <f aca="false">"虚部"</f>
        <v>虚部</v>
      </c>
      <c r="B233" s="88" t="str">
        <f aca="false">IF(03_FRFデータ貼付!B110="","",03_FRFデータ貼付!A110)</f>
        <v/>
      </c>
      <c r="C233" s="88" t="n">
        <f aca="false">IF(AND(03_FRFデータ貼付!B110&lt;&gt;"",03_FRFデータ貼付!C110&lt;&gt;"",03_FRFデータ貼付!D110&lt;&gt;""),1,0)</f>
        <v>0</v>
      </c>
      <c r="D233" s="71" t="n">
        <f aca="false">IF($C233=0,0,03_FRFデータ貼付!H110)</f>
        <v>0</v>
      </c>
      <c r="E233" s="71" t="n">
        <f aca="false">IF($C233=0,0,03_FRFデータ貼付!I110)</f>
        <v>0</v>
      </c>
      <c r="F233" s="71" t="n">
        <f aca="false">IF($C233=0,0,03_FRFデータ貼付!J110)</f>
        <v>0</v>
      </c>
      <c r="G233" s="71" t="n">
        <f aca="false">0</f>
        <v>0</v>
      </c>
      <c r="H233" s="71" t="n">
        <f aca="false">$C233*$D233</f>
        <v>0</v>
      </c>
      <c r="I233" s="71" t="n">
        <f aca="false">0</f>
        <v>0</v>
      </c>
      <c r="J233" s="71" t="n">
        <f aca="false">-$C233*$D233^3</f>
        <v>-0</v>
      </c>
      <c r="K233" s="71" t="n">
        <f aca="false">-$C233*$F233</f>
        <v>-0</v>
      </c>
      <c r="L233" s="71" t="n">
        <f aca="false">-$C233*$D233*$E233</f>
        <v>-0</v>
      </c>
      <c r="M233" s="71" t="n">
        <f aca="false">$C233*$D233^2*$F233</f>
        <v>0</v>
      </c>
      <c r="N233" s="71" t="n">
        <f aca="false">$C233*$D233^3*$E233</f>
        <v>0</v>
      </c>
      <c r="O233" s="71" t="n">
        <f aca="false">$C233*$D233^4*$F233</f>
        <v>0</v>
      </c>
      <c r="P233" s="2"/>
      <c r="Q233" s="2"/>
    </row>
    <row r="234" customFormat="false" ht="15" hidden="false" customHeight="false" outlineLevel="0" collapsed="false">
      <c r="A234" s="110" t="str">
        <f aca="false">"虚部"</f>
        <v>虚部</v>
      </c>
      <c r="B234" s="88" t="str">
        <f aca="false">IF(03_FRFデータ貼付!B111="","",03_FRFデータ貼付!A111)</f>
        <v/>
      </c>
      <c r="C234" s="88" t="n">
        <f aca="false">IF(AND(03_FRFデータ貼付!B111&lt;&gt;"",03_FRFデータ貼付!C111&lt;&gt;"",03_FRFデータ貼付!D111&lt;&gt;""),1,0)</f>
        <v>0</v>
      </c>
      <c r="D234" s="71" t="n">
        <f aca="false">IF($C234=0,0,03_FRFデータ貼付!H111)</f>
        <v>0</v>
      </c>
      <c r="E234" s="71" t="n">
        <f aca="false">IF($C234=0,0,03_FRFデータ貼付!I111)</f>
        <v>0</v>
      </c>
      <c r="F234" s="71" t="n">
        <f aca="false">IF($C234=0,0,03_FRFデータ貼付!J111)</f>
        <v>0</v>
      </c>
      <c r="G234" s="71" t="n">
        <f aca="false">0</f>
        <v>0</v>
      </c>
      <c r="H234" s="71" t="n">
        <f aca="false">$C234*$D234</f>
        <v>0</v>
      </c>
      <c r="I234" s="71" t="n">
        <f aca="false">0</f>
        <v>0</v>
      </c>
      <c r="J234" s="71" t="n">
        <f aca="false">-$C234*$D234^3</f>
        <v>-0</v>
      </c>
      <c r="K234" s="71" t="n">
        <f aca="false">-$C234*$F234</f>
        <v>-0</v>
      </c>
      <c r="L234" s="71" t="n">
        <f aca="false">-$C234*$D234*$E234</f>
        <v>-0</v>
      </c>
      <c r="M234" s="71" t="n">
        <f aca="false">$C234*$D234^2*$F234</f>
        <v>0</v>
      </c>
      <c r="N234" s="71" t="n">
        <f aca="false">$C234*$D234^3*$E234</f>
        <v>0</v>
      </c>
      <c r="O234" s="71" t="n">
        <f aca="false">$C234*$D234^4*$F234</f>
        <v>0</v>
      </c>
      <c r="P234" s="2"/>
      <c r="Q234" s="2"/>
    </row>
    <row r="235" customFormat="false" ht="15" hidden="false" customHeight="false" outlineLevel="0" collapsed="false">
      <c r="A235" s="110" t="str">
        <f aca="false">"虚部"</f>
        <v>虚部</v>
      </c>
      <c r="B235" s="88" t="str">
        <f aca="false">IF(03_FRFデータ貼付!B112="","",03_FRFデータ貼付!A112)</f>
        <v/>
      </c>
      <c r="C235" s="88" t="n">
        <f aca="false">IF(AND(03_FRFデータ貼付!B112&lt;&gt;"",03_FRFデータ貼付!C112&lt;&gt;"",03_FRFデータ貼付!D112&lt;&gt;""),1,0)</f>
        <v>0</v>
      </c>
      <c r="D235" s="71" t="n">
        <f aca="false">IF($C235=0,0,03_FRFデータ貼付!H112)</f>
        <v>0</v>
      </c>
      <c r="E235" s="71" t="n">
        <f aca="false">IF($C235=0,0,03_FRFデータ貼付!I112)</f>
        <v>0</v>
      </c>
      <c r="F235" s="71" t="n">
        <f aca="false">IF($C235=0,0,03_FRFデータ貼付!J112)</f>
        <v>0</v>
      </c>
      <c r="G235" s="71" t="n">
        <f aca="false">0</f>
        <v>0</v>
      </c>
      <c r="H235" s="71" t="n">
        <f aca="false">$C235*$D235</f>
        <v>0</v>
      </c>
      <c r="I235" s="71" t="n">
        <f aca="false">0</f>
        <v>0</v>
      </c>
      <c r="J235" s="71" t="n">
        <f aca="false">-$C235*$D235^3</f>
        <v>-0</v>
      </c>
      <c r="K235" s="71" t="n">
        <f aca="false">-$C235*$F235</f>
        <v>-0</v>
      </c>
      <c r="L235" s="71" t="n">
        <f aca="false">-$C235*$D235*$E235</f>
        <v>-0</v>
      </c>
      <c r="M235" s="71" t="n">
        <f aca="false">$C235*$D235^2*$F235</f>
        <v>0</v>
      </c>
      <c r="N235" s="71" t="n">
        <f aca="false">$C235*$D235^3*$E235</f>
        <v>0</v>
      </c>
      <c r="O235" s="71" t="n">
        <f aca="false">$C235*$D235^4*$F235</f>
        <v>0</v>
      </c>
      <c r="P235" s="2"/>
      <c r="Q235" s="2"/>
    </row>
    <row r="236" customFormat="false" ht="15" hidden="false" customHeight="false" outlineLevel="0" collapsed="false">
      <c r="A236" s="110" t="str">
        <f aca="false">"虚部"</f>
        <v>虚部</v>
      </c>
      <c r="B236" s="88" t="str">
        <f aca="false">IF(03_FRFデータ貼付!B113="","",03_FRFデータ貼付!A113)</f>
        <v/>
      </c>
      <c r="C236" s="88" t="n">
        <f aca="false">IF(AND(03_FRFデータ貼付!B113&lt;&gt;"",03_FRFデータ貼付!C113&lt;&gt;"",03_FRFデータ貼付!D113&lt;&gt;""),1,0)</f>
        <v>0</v>
      </c>
      <c r="D236" s="71" t="n">
        <f aca="false">IF($C236=0,0,03_FRFデータ貼付!H113)</f>
        <v>0</v>
      </c>
      <c r="E236" s="71" t="n">
        <f aca="false">IF($C236=0,0,03_FRFデータ貼付!I113)</f>
        <v>0</v>
      </c>
      <c r="F236" s="71" t="n">
        <f aca="false">IF($C236=0,0,03_FRFデータ貼付!J113)</f>
        <v>0</v>
      </c>
      <c r="G236" s="71" t="n">
        <f aca="false">0</f>
        <v>0</v>
      </c>
      <c r="H236" s="71" t="n">
        <f aca="false">$C236*$D236</f>
        <v>0</v>
      </c>
      <c r="I236" s="71" t="n">
        <f aca="false">0</f>
        <v>0</v>
      </c>
      <c r="J236" s="71" t="n">
        <f aca="false">-$C236*$D236^3</f>
        <v>-0</v>
      </c>
      <c r="K236" s="71" t="n">
        <f aca="false">-$C236*$F236</f>
        <v>-0</v>
      </c>
      <c r="L236" s="71" t="n">
        <f aca="false">-$C236*$D236*$E236</f>
        <v>-0</v>
      </c>
      <c r="M236" s="71" t="n">
        <f aca="false">$C236*$D236^2*$F236</f>
        <v>0</v>
      </c>
      <c r="N236" s="71" t="n">
        <f aca="false">$C236*$D236^3*$E236</f>
        <v>0</v>
      </c>
      <c r="O236" s="71" t="n">
        <f aca="false">$C236*$D236^4*$F236</f>
        <v>0</v>
      </c>
      <c r="P236" s="2"/>
      <c r="Q236" s="2"/>
    </row>
    <row r="237" customFormat="false" ht="15" hidden="false" customHeight="false" outlineLevel="0" collapsed="false">
      <c r="A237" s="110" t="str">
        <f aca="false">"虚部"</f>
        <v>虚部</v>
      </c>
      <c r="B237" s="88" t="str">
        <f aca="false">IF(03_FRFデータ貼付!B114="","",03_FRFデータ貼付!A114)</f>
        <v/>
      </c>
      <c r="C237" s="88" t="n">
        <f aca="false">IF(AND(03_FRFデータ貼付!B114&lt;&gt;"",03_FRFデータ貼付!C114&lt;&gt;"",03_FRFデータ貼付!D114&lt;&gt;""),1,0)</f>
        <v>0</v>
      </c>
      <c r="D237" s="71" t="n">
        <f aca="false">IF($C237=0,0,03_FRFデータ貼付!H114)</f>
        <v>0</v>
      </c>
      <c r="E237" s="71" t="n">
        <f aca="false">IF($C237=0,0,03_FRFデータ貼付!I114)</f>
        <v>0</v>
      </c>
      <c r="F237" s="71" t="n">
        <f aca="false">IF($C237=0,0,03_FRFデータ貼付!J114)</f>
        <v>0</v>
      </c>
      <c r="G237" s="71" t="n">
        <f aca="false">0</f>
        <v>0</v>
      </c>
      <c r="H237" s="71" t="n">
        <f aca="false">$C237*$D237</f>
        <v>0</v>
      </c>
      <c r="I237" s="71" t="n">
        <f aca="false">0</f>
        <v>0</v>
      </c>
      <c r="J237" s="71" t="n">
        <f aca="false">-$C237*$D237^3</f>
        <v>-0</v>
      </c>
      <c r="K237" s="71" t="n">
        <f aca="false">-$C237*$F237</f>
        <v>-0</v>
      </c>
      <c r="L237" s="71" t="n">
        <f aca="false">-$C237*$D237*$E237</f>
        <v>-0</v>
      </c>
      <c r="M237" s="71" t="n">
        <f aca="false">$C237*$D237^2*$F237</f>
        <v>0</v>
      </c>
      <c r="N237" s="71" t="n">
        <f aca="false">$C237*$D237^3*$E237</f>
        <v>0</v>
      </c>
      <c r="O237" s="71" t="n">
        <f aca="false">$C237*$D237^4*$F237</f>
        <v>0</v>
      </c>
      <c r="P237" s="2"/>
      <c r="Q237" s="2"/>
    </row>
    <row r="238" customFormat="false" ht="15" hidden="false" customHeight="false" outlineLevel="0" collapsed="false">
      <c r="A238" s="110" t="str">
        <f aca="false">"虚部"</f>
        <v>虚部</v>
      </c>
      <c r="B238" s="88" t="str">
        <f aca="false">IF(03_FRFデータ貼付!B115="","",03_FRFデータ貼付!A115)</f>
        <v/>
      </c>
      <c r="C238" s="88" t="n">
        <f aca="false">IF(AND(03_FRFデータ貼付!B115&lt;&gt;"",03_FRFデータ貼付!C115&lt;&gt;"",03_FRFデータ貼付!D115&lt;&gt;""),1,0)</f>
        <v>0</v>
      </c>
      <c r="D238" s="71" t="n">
        <f aca="false">IF($C238=0,0,03_FRFデータ貼付!H115)</f>
        <v>0</v>
      </c>
      <c r="E238" s="71" t="n">
        <f aca="false">IF($C238=0,0,03_FRFデータ貼付!I115)</f>
        <v>0</v>
      </c>
      <c r="F238" s="71" t="n">
        <f aca="false">IF($C238=0,0,03_FRFデータ貼付!J115)</f>
        <v>0</v>
      </c>
      <c r="G238" s="71" t="n">
        <f aca="false">0</f>
        <v>0</v>
      </c>
      <c r="H238" s="71" t="n">
        <f aca="false">$C238*$D238</f>
        <v>0</v>
      </c>
      <c r="I238" s="71" t="n">
        <f aca="false">0</f>
        <v>0</v>
      </c>
      <c r="J238" s="71" t="n">
        <f aca="false">-$C238*$D238^3</f>
        <v>-0</v>
      </c>
      <c r="K238" s="71" t="n">
        <f aca="false">-$C238*$F238</f>
        <v>-0</v>
      </c>
      <c r="L238" s="71" t="n">
        <f aca="false">-$C238*$D238*$E238</f>
        <v>-0</v>
      </c>
      <c r="M238" s="71" t="n">
        <f aca="false">$C238*$D238^2*$F238</f>
        <v>0</v>
      </c>
      <c r="N238" s="71" t="n">
        <f aca="false">$C238*$D238^3*$E238</f>
        <v>0</v>
      </c>
      <c r="O238" s="71" t="n">
        <f aca="false">$C238*$D238^4*$F238</f>
        <v>0</v>
      </c>
      <c r="P238" s="2"/>
      <c r="Q238" s="2"/>
    </row>
    <row r="239" customFormat="false" ht="15" hidden="false" customHeight="false" outlineLevel="0" collapsed="false">
      <c r="A239" s="110" t="str">
        <f aca="false">"虚部"</f>
        <v>虚部</v>
      </c>
      <c r="B239" s="88" t="str">
        <f aca="false">IF(03_FRFデータ貼付!B116="","",03_FRFデータ貼付!A116)</f>
        <v/>
      </c>
      <c r="C239" s="88" t="n">
        <f aca="false">IF(AND(03_FRFデータ貼付!B116&lt;&gt;"",03_FRFデータ貼付!C116&lt;&gt;"",03_FRFデータ貼付!D116&lt;&gt;""),1,0)</f>
        <v>0</v>
      </c>
      <c r="D239" s="71" t="n">
        <f aca="false">IF($C239=0,0,03_FRFデータ貼付!H116)</f>
        <v>0</v>
      </c>
      <c r="E239" s="71" t="n">
        <f aca="false">IF($C239=0,0,03_FRFデータ貼付!I116)</f>
        <v>0</v>
      </c>
      <c r="F239" s="71" t="n">
        <f aca="false">IF($C239=0,0,03_FRFデータ貼付!J116)</f>
        <v>0</v>
      </c>
      <c r="G239" s="71" t="n">
        <f aca="false">0</f>
        <v>0</v>
      </c>
      <c r="H239" s="71" t="n">
        <f aca="false">$C239*$D239</f>
        <v>0</v>
      </c>
      <c r="I239" s="71" t="n">
        <f aca="false">0</f>
        <v>0</v>
      </c>
      <c r="J239" s="71" t="n">
        <f aca="false">-$C239*$D239^3</f>
        <v>-0</v>
      </c>
      <c r="K239" s="71" t="n">
        <f aca="false">-$C239*$F239</f>
        <v>-0</v>
      </c>
      <c r="L239" s="71" t="n">
        <f aca="false">-$C239*$D239*$E239</f>
        <v>-0</v>
      </c>
      <c r="M239" s="71" t="n">
        <f aca="false">$C239*$D239^2*$F239</f>
        <v>0</v>
      </c>
      <c r="N239" s="71" t="n">
        <f aca="false">$C239*$D239^3*$E239</f>
        <v>0</v>
      </c>
      <c r="O239" s="71" t="n">
        <f aca="false">$C239*$D239^4*$F239</f>
        <v>0</v>
      </c>
      <c r="P239" s="2"/>
      <c r="Q239" s="2"/>
    </row>
    <row r="240" customFormat="false" ht="15" hidden="false" customHeight="false" outlineLevel="0" collapsed="false">
      <c r="A240" s="110" t="str">
        <f aca="false">"虚部"</f>
        <v>虚部</v>
      </c>
      <c r="B240" s="88" t="str">
        <f aca="false">IF(03_FRFデータ貼付!B117="","",03_FRFデータ貼付!A117)</f>
        <v/>
      </c>
      <c r="C240" s="88" t="n">
        <f aca="false">IF(AND(03_FRFデータ貼付!B117&lt;&gt;"",03_FRFデータ貼付!C117&lt;&gt;"",03_FRFデータ貼付!D117&lt;&gt;""),1,0)</f>
        <v>0</v>
      </c>
      <c r="D240" s="71" t="n">
        <f aca="false">IF($C240=0,0,03_FRFデータ貼付!H117)</f>
        <v>0</v>
      </c>
      <c r="E240" s="71" t="n">
        <f aca="false">IF($C240=0,0,03_FRFデータ貼付!I117)</f>
        <v>0</v>
      </c>
      <c r="F240" s="71" t="n">
        <f aca="false">IF($C240=0,0,03_FRFデータ貼付!J117)</f>
        <v>0</v>
      </c>
      <c r="G240" s="71" t="n">
        <f aca="false">0</f>
        <v>0</v>
      </c>
      <c r="H240" s="71" t="n">
        <f aca="false">$C240*$D240</f>
        <v>0</v>
      </c>
      <c r="I240" s="71" t="n">
        <f aca="false">0</f>
        <v>0</v>
      </c>
      <c r="J240" s="71" t="n">
        <f aca="false">-$C240*$D240^3</f>
        <v>-0</v>
      </c>
      <c r="K240" s="71" t="n">
        <f aca="false">-$C240*$F240</f>
        <v>-0</v>
      </c>
      <c r="L240" s="71" t="n">
        <f aca="false">-$C240*$D240*$E240</f>
        <v>-0</v>
      </c>
      <c r="M240" s="71" t="n">
        <f aca="false">$C240*$D240^2*$F240</f>
        <v>0</v>
      </c>
      <c r="N240" s="71" t="n">
        <f aca="false">$C240*$D240^3*$E240</f>
        <v>0</v>
      </c>
      <c r="O240" s="71" t="n">
        <f aca="false">$C240*$D240^4*$F240</f>
        <v>0</v>
      </c>
      <c r="P240" s="2"/>
      <c r="Q240" s="2"/>
    </row>
    <row r="241" customFormat="false" ht="15" hidden="false" customHeight="false" outlineLevel="0" collapsed="false">
      <c r="A241" s="110" t="str">
        <f aca="false">"虚部"</f>
        <v>虚部</v>
      </c>
      <c r="B241" s="88" t="str">
        <f aca="false">IF(03_FRFデータ貼付!B118="","",03_FRFデータ貼付!A118)</f>
        <v/>
      </c>
      <c r="C241" s="88" t="n">
        <f aca="false">IF(AND(03_FRFデータ貼付!B118&lt;&gt;"",03_FRFデータ貼付!C118&lt;&gt;"",03_FRFデータ貼付!D118&lt;&gt;""),1,0)</f>
        <v>0</v>
      </c>
      <c r="D241" s="71" t="n">
        <f aca="false">IF($C241=0,0,03_FRFデータ貼付!H118)</f>
        <v>0</v>
      </c>
      <c r="E241" s="71" t="n">
        <f aca="false">IF($C241=0,0,03_FRFデータ貼付!I118)</f>
        <v>0</v>
      </c>
      <c r="F241" s="71" t="n">
        <f aca="false">IF($C241=0,0,03_FRFデータ貼付!J118)</f>
        <v>0</v>
      </c>
      <c r="G241" s="71" t="n">
        <f aca="false">0</f>
        <v>0</v>
      </c>
      <c r="H241" s="71" t="n">
        <f aca="false">$C241*$D241</f>
        <v>0</v>
      </c>
      <c r="I241" s="71" t="n">
        <f aca="false">0</f>
        <v>0</v>
      </c>
      <c r="J241" s="71" t="n">
        <f aca="false">-$C241*$D241^3</f>
        <v>-0</v>
      </c>
      <c r="K241" s="71" t="n">
        <f aca="false">-$C241*$F241</f>
        <v>-0</v>
      </c>
      <c r="L241" s="71" t="n">
        <f aca="false">-$C241*$D241*$E241</f>
        <v>-0</v>
      </c>
      <c r="M241" s="71" t="n">
        <f aca="false">$C241*$D241^2*$F241</f>
        <v>0</v>
      </c>
      <c r="N241" s="71" t="n">
        <f aca="false">$C241*$D241^3*$E241</f>
        <v>0</v>
      </c>
      <c r="O241" s="71" t="n">
        <f aca="false">$C241*$D241^4*$F241</f>
        <v>0</v>
      </c>
      <c r="P241" s="2"/>
      <c r="Q241" s="2"/>
    </row>
    <row r="242" customFormat="false" ht="15" hidden="false" customHeight="false" outlineLevel="0" collapsed="false">
      <c r="A242" s="110" t="str">
        <f aca="false">"虚部"</f>
        <v>虚部</v>
      </c>
      <c r="B242" s="88" t="str">
        <f aca="false">IF(03_FRFデータ貼付!B119="","",03_FRFデータ貼付!A119)</f>
        <v/>
      </c>
      <c r="C242" s="88" t="n">
        <f aca="false">IF(AND(03_FRFデータ貼付!B119&lt;&gt;"",03_FRFデータ貼付!C119&lt;&gt;"",03_FRFデータ貼付!D119&lt;&gt;""),1,0)</f>
        <v>0</v>
      </c>
      <c r="D242" s="71" t="n">
        <f aca="false">IF($C242=0,0,03_FRFデータ貼付!H119)</f>
        <v>0</v>
      </c>
      <c r="E242" s="71" t="n">
        <f aca="false">IF($C242=0,0,03_FRFデータ貼付!I119)</f>
        <v>0</v>
      </c>
      <c r="F242" s="71" t="n">
        <f aca="false">IF($C242=0,0,03_FRFデータ貼付!J119)</f>
        <v>0</v>
      </c>
      <c r="G242" s="71" t="n">
        <f aca="false">0</f>
        <v>0</v>
      </c>
      <c r="H242" s="71" t="n">
        <f aca="false">$C242*$D242</f>
        <v>0</v>
      </c>
      <c r="I242" s="71" t="n">
        <f aca="false">0</f>
        <v>0</v>
      </c>
      <c r="J242" s="71" t="n">
        <f aca="false">-$C242*$D242^3</f>
        <v>-0</v>
      </c>
      <c r="K242" s="71" t="n">
        <f aca="false">-$C242*$F242</f>
        <v>-0</v>
      </c>
      <c r="L242" s="71" t="n">
        <f aca="false">-$C242*$D242*$E242</f>
        <v>-0</v>
      </c>
      <c r="M242" s="71" t="n">
        <f aca="false">$C242*$D242^2*$F242</f>
        <v>0</v>
      </c>
      <c r="N242" s="71" t="n">
        <f aca="false">$C242*$D242^3*$E242</f>
        <v>0</v>
      </c>
      <c r="O242" s="71" t="n">
        <f aca="false">$C242*$D242^4*$F242</f>
        <v>0</v>
      </c>
      <c r="P242" s="2"/>
      <c r="Q242" s="2"/>
    </row>
    <row r="243" customFormat="false" ht="15" hidden="false" customHeight="false" outlineLevel="0" collapsed="false">
      <c r="A243" s="110" t="str">
        <f aca="false">"虚部"</f>
        <v>虚部</v>
      </c>
      <c r="B243" s="88" t="str">
        <f aca="false">IF(03_FRFデータ貼付!B120="","",03_FRFデータ貼付!A120)</f>
        <v/>
      </c>
      <c r="C243" s="88" t="n">
        <f aca="false">IF(AND(03_FRFデータ貼付!B120&lt;&gt;"",03_FRFデータ貼付!C120&lt;&gt;"",03_FRFデータ貼付!D120&lt;&gt;""),1,0)</f>
        <v>0</v>
      </c>
      <c r="D243" s="71" t="n">
        <f aca="false">IF($C243=0,0,03_FRFデータ貼付!H120)</f>
        <v>0</v>
      </c>
      <c r="E243" s="71" t="n">
        <f aca="false">IF($C243=0,0,03_FRFデータ貼付!I120)</f>
        <v>0</v>
      </c>
      <c r="F243" s="71" t="n">
        <f aca="false">IF($C243=0,0,03_FRFデータ貼付!J120)</f>
        <v>0</v>
      </c>
      <c r="G243" s="71" t="n">
        <f aca="false">0</f>
        <v>0</v>
      </c>
      <c r="H243" s="71" t="n">
        <f aca="false">$C243*$D243</f>
        <v>0</v>
      </c>
      <c r="I243" s="71" t="n">
        <f aca="false">0</f>
        <v>0</v>
      </c>
      <c r="J243" s="71" t="n">
        <f aca="false">-$C243*$D243^3</f>
        <v>-0</v>
      </c>
      <c r="K243" s="71" t="n">
        <f aca="false">-$C243*$F243</f>
        <v>-0</v>
      </c>
      <c r="L243" s="71" t="n">
        <f aca="false">-$C243*$D243*$E243</f>
        <v>-0</v>
      </c>
      <c r="M243" s="71" t="n">
        <f aca="false">$C243*$D243^2*$F243</f>
        <v>0</v>
      </c>
      <c r="N243" s="71" t="n">
        <f aca="false">$C243*$D243^3*$E243</f>
        <v>0</v>
      </c>
      <c r="O243" s="71" t="n">
        <f aca="false">$C243*$D243^4*$F243</f>
        <v>0</v>
      </c>
      <c r="P243" s="2"/>
      <c r="Q243" s="2"/>
    </row>
    <row r="244" customFormat="false" ht="15" hidden="false" customHeight="false" outlineLevel="0" collapsed="false">
      <c r="A244" s="110" t="str">
        <f aca="false">"虚部"</f>
        <v>虚部</v>
      </c>
      <c r="B244" s="88" t="str">
        <f aca="false">IF(03_FRFデータ貼付!B121="","",03_FRFデータ貼付!A121)</f>
        <v/>
      </c>
      <c r="C244" s="88" t="n">
        <f aca="false">IF(AND(03_FRFデータ貼付!B121&lt;&gt;"",03_FRFデータ貼付!C121&lt;&gt;"",03_FRFデータ貼付!D121&lt;&gt;""),1,0)</f>
        <v>0</v>
      </c>
      <c r="D244" s="71" t="n">
        <f aca="false">IF($C244=0,0,03_FRFデータ貼付!H121)</f>
        <v>0</v>
      </c>
      <c r="E244" s="71" t="n">
        <f aca="false">IF($C244=0,0,03_FRFデータ貼付!I121)</f>
        <v>0</v>
      </c>
      <c r="F244" s="71" t="n">
        <f aca="false">IF($C244=0,0,03_FRFデータ貼付!J121)</f>
        <v>0</v>
      </c>
      <c r="G244" s="71" t="n">
        <f aca="false">0</f>
        <v>0</v>
      </c>
      <c r="H244" s="71" t="n">
        <f aca="false">$C244*$D244</f>
        <v>0</v>
      </c>
      <c r="I244" s="71" t="n">
        <f aca="false">0</f>
        <v>0</v>
      </c>
      <c r="J244" s="71" t="n">
        <f aca="false">-$C244*$D244^3</f>
        <v>-0</v>
      </c>
      <c r="K244" s="71" t="n">
        <f aca="false">-$C244*$F244</f>
        <v>-0</v>
      </c>
      <c r="L244" s="71" t="n">
        <f aca="false">-$C244*$D244*$E244</f>
        <v>-0</v>
      </c>
      <c r="M244" s="71" t="n">
        <f aca="false">$C244*$D244^2*$F244</f>
        <v>0</v>
      </c>
      <c r="N244" s="71" t="n">
        <f aca="false">$C244*$D244^3*$E244</f>
        <v>0</v>
      </c>
      <c r="O244" s="71" t="n">
        <f aca="false">$C244*$D244^4*$F244</f>
        <v>0</v>
      </c>
      <c r="P244" s="2"/>
      <c r="Q244" s="2"/>
    </row>
    <row r="245" customFormat="false" ht="15" hidden="false" customHeight="false" outlineLevel="0" collapsed="false">
      <c r="A245" s="110" t="str">
        <f aca="false">"虚部"</f>
        <v>虚部</v>
      </c>
      <c r="B245" s="88" t="str">
        <f aca="false">IF(03_FRFデータ貼付!B122="","",03_FRFデータ貼付!A122)</f>
        <v/>
      </c>
      <c r="C245" s="88" t="n">
        <f aca="false">IF(AND(03_FRFデータ貼付!B122&lt;&gt;"",03_FRFデータ貼付!C122&lt;&gt;"",03_FRFデータ貼付!D122&lt;&gt;""),1,0)</f>
        <v>0</v>
      </c>
      <c r="D245" s="71" t="n">
        <f aca="false">IF($C245=0,0,03_FRFデータ貼付!H122)</f>
        <v>0</v>
      </c>
      <c r="E245" s="71" t="n">
        <f aca="false">IF($C245=0,0,03_FRFデータ貼付!I122)</f>
        <v>0</v>
      </c>
      <c r="F245" s="71" t="n">
        <f aca="false">IF($C245=0,0,03_FRFデータ貼付!J122)</f>
        <v>0</v>
      </c>
      <c r="G245" s="71" t="n">
        <f aca="false">0</f>
        <v>0</v>
      </c>
      <c r="H245" s="71" t="n">
        <f aca="false">$C245*$D245</f>
        <v>0</v>
      </c>
      <c r="I245" s="71" t="n">
        <f aca="false">0</f>
        <v>0</v>
      </c>
      <c r="J245" s="71" t="n">
        <f aca="false">-$C245*$D245^3</f>
        <v>-0</v>
      </c>
      <c r="K245" s="71" t="n">
        <f aca="false">-$C245*$F245</f>
        <v>-0</v>
      </c>
      <c r="L245" s="71" t="n">
        <f aca="false">-$C245*$D245*$E245</f>
        <v>-0</v>
      </c>
      <c r="M245" s="71" t="n">
        <f aca="false">$C245*$D245^2*$F245</f>
        <v>0</v>
      </c>
      <c r="N245" s="71" t="n">
        <f aca="false">$C245*$D245^3*$E245</f>
        <v>0</v>
      </c>
      <c r="O245" s="71" t="n">
        <f aca="false">$C245*$D245^4*$F245</f>
        <v>0</v>
      </c>
      <c r="P245" s="2"/>
      <c r="Q245" s="2"/>
    </row>
    <row r="246" customFormat="false" ht="15" hidden="false" customHeight="false" outlineLevel="0" collapsed="false">
      <c r="A246" s="110" t="str">
        <f aca="false">"虚部"</f>
        <v>虚部</v>
      </c>
      <c r="B246" s="88" t="str">
        <f aca="false">IF(03_FRFデータ貼付!B123="","",03_FRFデータ貼付!A123)</f>
        <v/>
      </c>
      <c r="C246" s="88" t="n">
        <f aca="false">IF(AND(03_FRFデータ貼付!B123&lt;&gt;"",03_FRFデータ貼付!C123&lt;&gt;"",03_FRFデータ貼付!D123&lt;&gt;""),1,0)</f>
        <v>0</v>
      </c>
      <c r="D246" s="71" t="n">
        <f aca="false">IF($C246=0,0,03_FRFデータ貼付!H123)</f>
        <v>0</v>
      </c>
      <c r="E246" s="71" t="n">
        <f aca="false">IF($C246=0,0,03_FRFデータ貼付!I123)</f>
        <v>0</v>
      </c>
      <c r="F246" s="71" t="n">
        <f aca="false">IF($C246=0,0,03_FRFデータ貼付!J123)</f>
        <v>0</v>
      </c>
      <c r="G246" s="71" t="n">
        <f aca="false">0</f>
        <v>0</v>
      </c>
      <c r="H246" s="71" t="n">
        <f aca="false">$C246*$D246</f>
        <v>0</v>
      </c>
      <c r="I246" s="71" t="n">
        <f aca="false">0</f>
        <v>0</v>
      </c>
      <c r="J246" s="71" t="n">
        <f aca="false">-$C246*$D246^3</f>
        <v>-0</v>
      </c>
      <c r="K246" s="71" t="n">
        <f aca="false">-$C246*$F246</f>
        <v>-0</v>
      </c>
      <c r="L246" s="71" t="n">
        <f aca="false">-$C246*$D246*$E246</f>
        <v>-0</v>
      </c>
      <c r="M246" s="71" t="n">
        <f aca="false">$C246*$D246^2*$F246</f>
        <v>0</v>
      </c>
      <c r="N246" s="71" t="n">
        <f aca="false">$C246*$D246^3*$E246</f>
        <v>0</v>
      </c>
      <c r="O246" s="71" t="n">
        <f aca="false">$C246*$D246^4*$F246</f>
        <v>0</v>
      </c>
      <c r="P246" s="2"/>
      <c r="Q246" s="2"/>
    </row>
    <row r="247" customFormat="false" ht="15" hidden="false" customHeight="false" outlineLevel="0" collapsed="false">
      <c r="A247" s="110" t="str">
        <f aca="false">"虚部"</f>
        <v>虚部</v>
      </c>
      <c r="B247" s="88" t="str">
        <f aca="false">IF(03_FRFデータ貼付!B124="","",03_FRFデータ貼付!A124)</f>
        <v/>
      </c>
      <c r="C247" s="88" t="n">
        <f aca="false">IF(AND(03_FRFデータ貼付!B124&lt;&gt;"",03_FRFデータ貼付!C124&lt;&gt;"",03_FRFデータ貼付!D124&lt;&gt;""),1,0)</f>
        <v>0</v>
      </c>
      <c r="D247" s="71" t="n">
        <f aca="false">IF($C247=0,0,03_FRFデータ貼付!H124)</f>
        <v>0</v>
      </c>
      <c r="E247" s="71" t="n">
        <f aca="false">IF($C247=0,0,03_FRFデータ貼付!I124)</f>
        <v>0</v>
      </c>
      <c r="F247" s="71" t="n">
        <f aca="false">IF($C247=0,0,03_FRFデータ貼付!J124)</f>
        <v>0</v>
      </c>
      <c r="G247" s="71" t="n">
        <f aca="false">0</f>
        <v>0</v>
      </c>
      <c r="H247" s="71" t="n">
        <f aca="false">$C247*$D247</f>
        <v>0</v>
      </c>
      <c r="I247" s="71" t="n">
        <f aca="false">0</f>
        <v>0</v>
      </c>
      <c r="J247" s="71" t="n">
        <f aca="false">-$C247*$D247^3</f>
        <v>-0</v>
      </c>
      <c r="K247" s="71" t="n">
        <f aca="false">-$C247*$F247</f>
        <v>-0</v>
      </c>
      <c r="L247" s="71" t="n">
        <f aca="false">-$C247*$D247*$E247</f>
        <v>-0</v>
      </c>
      <c r="M247" s="71" t="n">
        <f aca="false">$C247*$D247^2*$F247</f>
        <v>0</v>
      </c>
      <c r="N247" s="71" t="n">
        <f aca="false">$C247*$D247^3*$E247</f>
        <v>0</v>
      </c>
      <c r="O247" s="71" t="n">
        <f aca="false">$C247*$D247^4*$F247</f>
        <v>0</v>
      </c>
      <c r="P247" s="2"/>
      <c r="Q247" s="2"/>
    </row>
    <row r="248" customFormat="false" ht="15" hidden="false" customHeight="false" outlineLevel="0" collapsed="false">
      <c r="A248" s="110" t="str">
        <f aca="false">"虚部"</f>
        <v>虚部</v>
      </c>
      <c r="B248" s="88" t="str">
        <f aca="false">IF(03_FRFデータ貼付!B125="","",03_FRFデータ貼付!A125)</f>
        <v/>
      </c>
      <c r="C248" s="88" t="n">
        <f aca="false">IF(AND(03_FRFデータ貼付!B125&lt;&gt;"",03_FRFデータ貼付!C125&lt;&gt;"",03_FRFデータ貼付!D125&lt;&gt;""),1,0)</f>
        <v>0</v>
      </c>
      <c r="D248" s="71" t="n">
        <f aca="false">IF($C248=0,0,03_FRFデータ貼付!H125)</f>
        <v>0</v>
      </c>
      <c r="E248" s="71" t="n">
        <f aca="false">IF($C248=0,0,03_FRFデータ貼付!I125)</f>
        <v>0</v>
      </c>
      <c r="F248" s="71" t="n">
        <f aca="false">IF($C248=0,0,03_FRFデータ貼付!J125)</f>
        <v>0</v>
      </c>
      <c r="G248" s="71" t="n">
        <f aca="false">0</f>
        <v>0</v>
      </c>
      <c r="H248" s="71" t="n">
        <f aca="false">$C248*$D248</f>
        <v>0</v>
      </c>
      <c r="I248" s="71" t="n">
        <f aca="false">0</f>
        <v>0</v>
      </c>
      <c r="J248" s="71" t="n">
        <f aca="false">-$C248*$D248^3</f>
        <v>-0</v>
      </c>
      <c r="K248" s="71" t="n">
        <f aca="false">-$C248*$F248</f>
        <v>-0</v>
      </c>
      <c r="L248" s="71" t="n">
        <f aca="false">-$C248*$D248*$E248</f>
        <v>-0</v>
      </c>
      <c r="M248" s="71" t="n">
        <f aca="false">$C248*$D248^2*$F248</f>
        <v>0</v>
      </c>
      <c r="N248" s="71" t="n">
        <f aca="false">$C248*$D248^3*$E248</f>
        <v>0</v>
      </c>
      <c r="O248" s="71" t="n">
        <f aca="false">$C248*$D248^4*$F248</f>
        <v>0</v>
      </c>
      <c r="P248" s="2"/>
      <c r="Q248" s="2"/>
    </row>
    <row r="249" customFormat="false" ht="15" hidden="false" customHeight="false" outlineLevel="0" collapsed="false">
      <c r="A249" s="110" t="str">
        <f aca="false">"虚部"</f>
        <v>虚部</v>
      </c>
      <c r="B249" s="88" t="str">
        <f aca="false">IF(03_FRFデータ貼付!B126="","",03_FRFデータ貼付!A126)</f>
        <v/>
      </c>
      <c r="C249" s="88" t="n">
        <f aca="false">IF(AND(03_FRFデータ貼付!B126&lt;&gt;"",03_FRFデータ貼付!C126&lt;&gt;"",03_FRFデータ貼付!D126&lt;&gt;""),1,0)</f>
        <v>0</v>
      </c>
      <c r="D249" s="71" t="n">
        <f aca="false">IF($C249=0,0,03_FRFデータ貼付!H126)</f>
        <v>0</v>
      </c>
      <c r="E249" s="71" t="n">
        <f aca="false">IF($C249=0,0,03_FRFデータ貼付!I126)</f>
        <v>0</v>
      </c>
      <c r="F249" s="71" t="n">
        <f aca="false">IF($C249=0,0,03_FRFデータ貼付!J126)</f>
        <v>0</v>
      </c>
      <c r="G249" s="71" t="n">
        <f aca="false">0</f>
        <v>0</v>
      </c>
      <c r="H249" s="71" t="n">
        <f aca="false">$C249*$D249</f>
        <v>0</v>
      </c>
      <c r="I249" s="71" t="n">
        <f aca="false">0</f>
        <v>0</v>
      </c>
      <c r="J249" s="71" t="n">
        <f aca="false">-$C249*$D249^3</f>
        <v>-0</v>
      </c>
      <c r="K249" s="71" t="n">
        <f aca="false">-$C249*$F249</f>
        <v>-0</v>
      </c>
      <c r="L249" s="71" t="n">
        <f aca="false">-$C249*$D249*$E249</f>
        <v>-0</v>
      </c>
      <c r="M249" s="71" t="n">
        <f aca="false">$C249*$D249^2*$F249</f>
        <v>0</v>
      </c>
      <c r="N249" s="71" t="n">
        <f aca="false">$C249*$D249^3*$E249</f>
        <v>0</v>
      </c>
      <c r="O249" s="71" t="n">
        <f aca="false">$C249*$D249^4*$F249</f>
        <v>0</v>
      </c>
      <c r="P249" s="2"/>
      <c r="Q249" s="2"/>
    </row>
    <row r="250" customFormat="false" ht="15" hidden="false" customHeight="false" outlineLevel="0" collapsed="false">
      <c r="A250" s="110" t="str">
        <f aca="false">"虚部"</f>
        <v>虚部</v>
      </c>
      <c r="B250" s="88" t="str">
        <f aca="false">IF(03_FRFデータ貼付!B127="","",03_FRFデータ貼付!A127)</f>
        <v/>
      </c>
      <c r="C250" s="88" t="n">
        <f aca="false">IF(AND(03_FRFデータ貼付!B127&lt;&gt;"",03_FRFデータ貼付!C127&lt;&gt;"",03_FRFデータ貼付!D127&lt;&gt;""),1,0)</f>
        <v>0</v>
      </c>
      <c r="D250" s="71" t="n">
        <f aca="false">IF($C250=0,0,03_FRFデータ貼付!H127)</f>
        <v>0</v>
      </c>
      <c r="E250" s="71" t="n">
        <f aca="false">IF($C250=0,0,03_FRFデータ貼付!I127)</f>
        <v>0</v>
      </c>
      <c r="F250" s="71" t="n">
        <f aca="false">IF($C250=0,0,03_FRFデータ貼付!J127)</f>
        <v>0</v>
      </c>
      <c r="G250" s="71" t="n">
        <f aca="false">0</f>
        <v>0</v>
      </c>
      <c r="H250" s="71" t="n">
        <f aca="false">$C250*$D250</f>
        <v>0</v>
      </c>
      <c r="I250" s="71" t="n">
        <f aca="false">0</f>
        <v>0</v>
      </c>
      <c r="J250" s="71" t="n">
        <f aca="false">-$C250*$D250^3</f>
        <v>-0</v>
      </c>
      <c r="K250" s="71" t="n">
        <f aca="false">-$C250*$F250</f>
        <v>-0</v>
      </c>
      <c r="L250" s="71" t="n">
        <f aca="false">-$C250*$D250*$E250</f>
        <v>-0</v>
      </c>
      <c r="M250" s="71" t="n">
        <f aca="false">$C250*$D250^2*$F250</f>
        <v>0</v>
      </c>
      <c r="N250" s="71" t="n">
        <f aca="false">$C250*$D250^3*$E250</f>
        <v>0</v>
      </c>
      <c r="O250" s="71" t="n">
        <f aca="false">$C250*$D250^4*$F250</f>
        <v>0</v>
      </c>
      <c r="P250" s="2"/>
      <c r="Q250" s="2"/>
    </row>
    <row r="251" customFormat="false" ht="1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 customFormat="false" ht="1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 customFormat="false" ht="1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792EA"/>
    <pageSetUpPr fitToPage="false"/>
  </sheetPr>
  <dimension ref="A1:P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9" min="2" style="0" width="15"/>
    <col collapsed="false" customWidth="true" hidden="false" outlineLevel="0" max="10" min="10" style="0" width="4"/>
    <col collapsed="false" customWidth="true" hidden="false" outlineLevel="0" max="11" min="11" style="0" width="56"/>
  </cols>
  <sheetData>
    <row r="1" customFormat="false" ht="23.1" hidden="false" customHeight="false" outlineLevel="0" collapsed="false">
      <c r="A1" s="1" t="s">
        <v>337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3" t="s">
        <v>338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15" hidden="false" customHeight="false" outlineLevel="0" collapsed="false">
      <c r="A4" s="4" t="s">
        <v>339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customFormat="false" ht="15" hidden="false" customHeight="false" outlineLevel="0" collapsed="false">
      <c r="A5" s="6" t="s">
        <v>340</v>
      </c>
      <c r="B5" s="111" t="n">
        <v>1E-012</v>
      </c>
      <c r="C5" s="3" t="s">
        <v>341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customFormat="false" ht="15" hidden="false" customHeight="false" outlineLevel="0" collapsed="false">
      <c r="A6" s="6" t="s">
        <v>342</v>
      </c>
      <c r="B6" s="112" t="n">
        <f aca="false">(B10+C11+D12+E13+F14+G15+H16+I17)/8</f>
        <v>12.8354309787467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customFormat="false" ht="15" hidden="false" customHeight="false" outlineLevel="0" collapsed="false">
      <c r="A7" s="2" t="s">
        <v>343</v>
      </c>
      <c r="B7" s="112" t="n">
        <f aca="false">B5*B6</f>
        <v>1.28354309787467E-011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customFormat="false" ht="17.15" hidden="false" customHeight="false" outlineLevel="0" collapsed="false">
      <c r="A9" s="23" t="s">
        <v>344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customFormat="false" ht="39.55" hidden="false" customHeight="false" outlineLevel="0" collapsed="false">
      <c r="A10" s="2"/>
      <c r="B10" s="112" t="n">
        <f aca="false">INDEX(MMULT(TRANSPOSE(06_RFP設計行列!$G$11:$N$250),06_RFP設計行列!$G$11:$N$250),1,1)</f>
        <v>21</v>
      </c>
      <c r="C10" s="112" t="n">
        <f aca="false">INDEX(MMULT(TRANSPOSE(06_RFP設計行列!$G$11:$N$250),06_RFP設計行列!$G$11:$N$250),1,2)</f>
        <v>0</v>
      </c>
      <c r="D10" s="112" t="n">
        <f aca="false">INDEX(MMULT(TRANSPOSE(06_RFP設計行列!$G$11:$N$250),06_RFP設計行列!$G$11:$N$250),1,3)</f>
        <v>-21.0062857142857</v>
      </c>
      <c r="E10" s="112" t="n">
        <f aca="false">INDEX(MMULT(TRANSPOSE(06_RFP設計行列!$G$11:$N$250),06_RFP設計行列!$G$11:$N$250),1,4)</f>
        <v>0</v>
      </c>
      <c r="F10" s="112" t="n">
        <f aca="false">INDEX(MMULT(TRANSPOSE(06_RFP設計行列!$G$11:$N$250),06_RFP設計行列!$G$11:$N$250),1,5)</f>
        <v>-4.69543772949468</v>
      </c>
      <c r="G10" s="112" t="n">
        <f aca="false">INDEX(MMULT(TRANSPOSE(06_RFP設計行列!$G$11:$N$250),06_RFP設計行列!$G$11:$N$250),1,6)</f>
        <v>0.0738757009106396</v>
      </c>
      <c r="H10" s="112" t="n">
        <f aca="false">INDEX(MMULT(TRANSPOSE(06_RFP設計行列!$G$11:$N$250),06_RFP設計行列!$G$11:$N$250),1,7)</f>
        <v>4.69849185774152</v>
      </c>
      <c r="I10" s="112" t="n">
        <f aca="false">INDEX(MMULT(TRANSPOSE(06_RFP設計行列!$G$11:$N$250),06_RFP設計行列!$G$11:$N$250),1,8)</f>
        <v>0.0882242998798081</v>
      </c>
      <c r="J10" s="2"/>
      <c r="K10" s="51" t="s">
        <v>345</v>
      </c>
      <c r="L10" s="2"/>
      <c r="M10" s="2"/>
      <c r="N10" s="2"/>
      <c r="O10" s="2"/>
      <c r="P10" s="2"/>
    </row>
    <row r="11" customFormat="false" ht="15" hidden="false" customHeight="false" outlineLevel="0" collapsed="false">
      <c r="A11" s="2"/>
      <c r="B11" s="112" t="n">
        <f aca="false">INDEX(MMULT(TRANSPOSE(06_RFP設計行列!$G$11:$N$250),06_RFP設計行列!$G$11:$N$250),2,1)</f>
        <v>0</v>
      </c>
      <c r="C11" s="112" t="n">
        <f aca="false">INDEX(MMULT(TRANSPOSE(06_RFP設計行列!$G$11:$N$250),06_RFP設計行列!$G$11:$N$250),2,2)</f>
        <v>21.0062857142857</v>
      </c>
      <c r="D11" s="112" t="n">
        <f aca="false">INDEX(MMULT(TRANSPOSE(06_RFP設計行列!$G$11:$N$250),06_RFP設計行列!$G$11:$N$250),2,3)</f>
        <v>0</v>
      </c>
      <c r="E11" s="112" t="n">
        <f aca="false">INDEX(MMULT(TRANSPOSE(06_RFP設計行列!$G$11:$N$250),06_RFP設計行列!$G$11:$N$250),2,4)</f>
        <v>-21.0377176620408</v>
      </c>
      <c r="F11" s="112" t="n">
        <f aca="false">INDEX(MMULT(TRANSPOSE(06_RFP設計行列!$G$11:$N$250),06_RFP設計行列!$G$11:$N$250),2,5)</f>
        <v>-0.0738757009106396</v>
      </c>
      <c r="G11" s="112" t="n">
        <f aca="false">INDEX(MMULT(TRANSPOSE(06_RFP設計行列!$G$11:$N$250),06_RFP設計行列!$G$11:$N$250),2,6)</f>
        <v>-4.69849185774152</v>
      </c>
      <c r="H11" s="112" t="n">
        <f aca="false">INDEX(MMULT(TRANSPOSE(06_RFP設計行列!$G$11:$N$250),06_RFP設計行列!$G$11:$N$250),2,7)</f>
        <v>-0.088224299879808</v>
      </c>
      <c r="I11" s="112" t="n">
        <f aca="false">INDEX(MMULT(TRANSPOSE(06_RFP設計行列!$G$11:$N$250),06_RFP設計行列!$G$11:$N$250),2,8)</f>
        <v>4.70273246693393</v>
      </c>
      <c r="J11" s="2"/>
      <c r="K11" s="2"/>
      <c r="L11" s="2"/>
      <c r="M11" s="2"/>
      <c r="N11" s="2"/>
      <c r="O11" s="2"/>
      <c r="P11" s="2"/>
    </row>
    <row r="12" customFormat="false" ht="15" hidden="false" customHeight="false" outlineLevel="0" collapsed="false">
      <c r="A12" s="2"/>
      <c r="B12" s="112" t="n">
        <f aca="false">INDEX(MMULT(TRANSPOSE(06_RFP設計行列!$G$11:$N$250),06_RFP設計行列!$G$11:$N$250),3,1)</f>
        <v>-21.0062857142857</v>
      </c>
      <c r="C12" s="112" t="n">
        <f aca="false">INDEX(MMULT(TRANSPOSE(06_RFP設計行列!$G$11:$N$250),06_RFP設計行列!$G$11:$N$250),3,2)</f>
        <v>0</v>
      </c>
      <c r="D12" s="112" t="n">
        <f aca="false">INDEX(MMULT(TRANSPOSE(06_RFP設計行列!$G$11:$N$250),06_RFP設計行列!$G$11:$N$250),3,3)</f>
        <v>21.0377176620408</v>
      </c>
      <c r="E12" s="112" t="n">
        <f aca="false">INDEX(MMULT(TRANSPOSE(06_RFP設計行列!$G$11:$N$250),06_RFP設計行列!$G$11:$N$250),3,4)</f>
        <v>0</v>
      </c>
      <c r="F12" s="112" t="n">
        <f aca="false">INDEX(MMULT(TRANSPOSE(06_RFP設計行列!$G$11:$N$250),06_RFP設計行列!$G$11:$N$250),3,5)</f>
        <v>4.69849185774152</v>
      </c>
      <c r="G12" s="112" t="n">
        <f aca="false">INDEX(MMULT(TRANSPOSE(06_RFP設計行列!$G$11:$N$250),06_RFP設計行列!$G$11:$N$250),3,6)</f>
        <v>0.0882242998798079</v>
      </c>
      <c r="H12" s="112" t="n">
        <f aca="false">INDEX(MMULT(TRANSPOSE(06_RFP設計行列!$G$11:$N$250),06_RFP設計行列!$G$11:$N$250),3,7)</f>
        <v>-4.70273246693393</v>
      </c>
      <c r="I12" s="112" t="n">
        <f aca="false">INDEX(MMULT(TRANSPOSE(06_RFP設計行列!$G$11:$N$250),06_RFP設計行列!$G$11:$N$250),3,8)</f>
        <v>-0.250314413071246</v>
      </c>
      <c r="J12" s="2"/>
      <c r="K12" s="2"/>
      <c r="L12" s="2"/>
      <c r="M12" s="2"/>
      <c r="N12" s="2"/>
      <c r="O12" s="2"/>
      <c r="P12" s="2"/>
    </row>
    <row r="13" customFormat="false" ht="15" hidden="false" customHeight="false" outlineLevel="0" collapsed="false">
      <c r="A13" s="2"/>
      <c r="B13" s="112" t="n">
        <f aca="false">INDEX(MMULT(TRANSPOSE(06_RFP設計行列!$G$11:$N$250),06_RFP設計行列!$G$11:$N$250),4,1)</f>
        <v>0</v>
      </c>
      <c r="C13" s="112" t="n">
        <f aca="false">INDEX(MMULT(TRANSPOSE(06_RFP設計行列!$G$11:$N$250),06_RFP設計行列!$G$11:$N$250),4,2)</f>
        <v>-21.0377176620408</v>
      </c>
      <c r="D13" s="112" t="n">
        <f aca="false">INDEX(MMULT(TRANSPOSE(06_RFP設計行列!$G$11:$N$250),06_RFP設計行列!$G$11:$N$250),4,3)</f>
        <v>0</v>
      </c>
      <c r="E13" s="112" t="n">
        <f aca="false">INDEX(MMULT(TRANSPOSE(06_RFP設計行列!$G$11:$N$250),06_RFP設計行列!$G$11:$N$250),4,4)</f>
        <v>21.0943363613362</v>
      </c>
      <c r="F13" s="112" t="n">
        <f aca="false">INDEX(MMULT(TRANSPOSE(06_RFP設計行列!$G$11:$N$250),06_RFP設計行列!$G$11:$N$250),4,5)</f>
        <v>-0.0882242998798081</v>
      </c>
      <c r="G13" s="112" t="n">
        <f aca="false">INDEX(MMULT(TRANSPOSE(06_RFP設計行列!$G$11:$N$250),06_RFP設計行列!$G$11:$N$250),4,6)</f>
        <v>4.70273246693393</v>
      </c>
      <c r="H13" s="112" t="n">
        <f aca="false">INDEX(MMULT(TRANSPOSE(06_RFP設計行列!$G$11:$N$250),06_RFP設計行列!$G$11:$N$250),4,7)</f>
        <v>0.250314413071246</v>
      </c>
      <c r="I13" s="112" t="n">
        <f aca="false">INDEX(MMULT(TRANSPOSE(06_RFP設計行列!$G$11:$N$250),06_RFP設計行列!$G$11:$N$250),4,8)</f>
        <v>-4.70817303510048</v>
      </c>
      <c r="J13" s="2"/>
      <c r="K13" s="2"/>
      <c r="L13" s="2"/>
      <c r="M13" s="2"/>
      <c r="N13" s="2"/>
      <c r="O13" s="2"/>
      <c r="P13" s="2"/>
    </row>
    <row r="14" customFormat="false" ht="15" hidden="false" customHeight="false" outlineLevel="0" collapsed="false">
      <c r="A14" s="2"/>
      <c r="B14" s="112" t="n">
        <f aca="false">INDEX(MMULT(TRANSPOSE(06_RFP設計行列!$G$11:$N$250),06_RFP設計行列!$G$11:$N$250),5,1)</f>
        <v>-4.69543772949468</v>
      </c>
      <c r="C14" s="112" t="n">
        <f aca="false">INDEX(MMULT(TRANSPOSE(06_RFP設計行列!$G$11:$N$250),06_RFP設計行列!$G$11:$N$250),5,2)</f>
        <v>-0.0738757009106396</v>
      </c>
      <c r="D14" s="112" t="n">
        <f aca="false">INDEX(MMULT(TRANSPOSE(06_RFP設計行列!$G$11:$N$250),06_RFP設計行列!$G$11:$N$250),5,3)</f>
        <v>4.69849185774152</v>
      </c>
      <c r="E14" s="112" t="n">
        <f aca="false">INDEX(MMULT(TRANSPOSE(06_RFP設計行列!$G$11:$N$250),06_RFP設計行列!$G$11:$N$250),5,4)</f>
        <v>-0.0882242998798081</v>
      </c>
      <c r="F14" s="112" t="n">
        <f aca="false">INDEX(MMULT(TRANSPOSE(06_RFP設計行列!$G$11:$N$250),06_RFP設計行列!$G$11:$N$250),5,5)</f>
        <v>4.65517456424614</v>
      </c>
      <c r="G14" s="112" t="n">
        <f aca="false">INDEX(MMULT(TRANSPOSE(06_RFP設計行列!$G$11:$N$250),06_RFP設計行列!$G$11:$N$250),5,6)</f>
        <v>0</v>
      </c>
      <c r="H14" s="112" t="n">
        <f aca="false">INDEX(MMULT(TRANSPOSE(06_RFP設計行列!$G$11:$N$250),06_RFP設計行列!$G$11:$N$250),5,7)</f>
        <v>-4.64134745176423</v>
      </c>
      <c r="I14" s="112" t="n">
        <f aca="false">INDEX(MMULT(TRANSPOSE(06_RFP設計行列!$G$11:$N$250),06_RFP設計行列!$G$11:$N$250),5,8)</f>
        <v>-4.92227786308419E-017</v>
      </c>
      <c r="J14" s="2"/>
      <c r="K14" s="2"/>
      <c r="L14" s="2"/>
      <c r="M14" s="2"/>
      <c r="N14" s="2"/>
      <c r="O14" s="2"/>
      <c r="P14" s="2"/>
    </row>
    <row r="15" customFormat="false" ht="15" hidden="false" customHeight="false" outlineLevel="0" collapsed="false">
      <c r="A15" s="2"/>
      <c r="B15" s="112" t="n">
        <f aca="false">INDEX(MMULT(TRANSPOSE(06_RFP設計行列!$G$11:$N$250),06_RFP設計行列!$G$11:$N$250),6,1)</f>
        <v>0.0738757009106396</v>
      </c>
      <c r="C15" s="112" t="n">
        <f aca="false">INDEX(MMULT(TRANSPOSE(06_RFP設計行列!$G$11:$N$250),06_RFP設計行列!$G$11:$N$250),6,2)</f>
        <v>-4.69849185774152</v>
      </c>
      <c r="D15" s="112" t="n">
        <f aca="false">INDEX(MMULT(TRANSPOSE(06_RFP設計行列!$G$11:$N$250),06_RFP設計行列!$G$11:$N$250),6,3)</f>
        <v>0.0882242998798079</v>
      </c>
      <c r="E15" s="112" t="n">
        <f aca="false">INDEX(MMULT(TRANSPOSE(06_RFP設計行列!$G$11:$N$250),06_RFP設計行列!$G$11:$N$250),6,4)</f>
        <v>4.70273246693393</v>
      </c>
      <c r="F15" s="112" t="n">
        <f aca="false">INDEX(MMULT(TRANSPOSE(06_RFP設計行列!$G$11:$N$250),06_RFP設計行列!$G$11:$N$250),6,5)</f>
        <v>0</v>
      </c>
      <c r="G15" s="112" t="n">
        <f aca="false">INDEX(MMULT(TRANSPOSE(06_RFP設計行列!$G$11:$N$250),06_RFP設計行列!$G$11:$N$250),6,6)</f>
        <v>4.64134745176423</v>
      </c>
      <c r="H15" s="112" t="n">
        <f aca="false">INDEX(MMULT(TRANSPOSE(06_RFP設計行列!$G$11:$N$250),06_RFP設計行列!$G$11:$N$250),6,7)</f>
        <v>9.03682510766668E-017</v>
      </c>
      <c r="I15" s="112" t="n">
        <f aca="false">INDEX(MMULT(TRANSPOSE(06_RFP設計行列!$G$11:$N$250),06_RFP設計行列!$G$11:$N$250),6,8)</f>
        <v>-4.62936425232155</v>
      </c>
      <c r="J15" s="2"/>
      <c r="K15" s="2"/>
      <c r="L15" s="2"/>
      <c r="M15" s="2"/>
      <c r="N15" s="2"/>
      <c r="O15" s="2"/>
      <c r="P15" s="2"/>
    </row>
    <row r="16" customFormat="false" ht="15" hidden="false" customHeight="false" outlineLevel="0" collapsed="false">
      <c r="A16" s="2"/>
      <c r="B16" s="112" t="n">
        <f aca="false">INDEX(MMULT(TRANSPOSE(06_RFP設計行列!$G$11:$N$250),06_RFP設計行列!$G$11:$N$250),7,1)</f>
        <v>4.69849185774152</v>
      </c>
      <c r="C16" s="112" t="n">
        <f aca="false">INDEX(MMULT(TRANSPOSE(06_RFP設計行列!$G$11:$N$250),06_RFP設計行列!$G$11:$N$250),7,2)</f>
        <v>-0.088224299879808</v>
      </c>
      <c r="D16" s="112" t="n">
        <f aca="false">INDEX(MMULT(TRANSPOSE(06_RFP設計行列!$G$11:$N$250),06_RFP設計行列!$G$11:$N$250),7,3)</f>
        <v>-4.70273246693393</v>
      </c>
      <c r="E16" s="112" t="n">
        <f aca="false">INDEX(MMULT(TRANSPOSE(06_RFP設計行列!$G$11:$N$250),06_RFP設計行列!$G$11:$N$250),7,4)</f>
        <v>0.250314413071246</v>
      </c>
      <c r="F16" s="112" t="n">
        <f aca="false">INDEX(MMULT(TRANSPOSE(06_RFP設計行列!$G$11:$N$250),06_RFP設計行列!$G$11:$N$250),7,5)</f>
        <v>-4.64134745176423</v>
      </c>
      <c r="G16" s="112" t="n">
        <f aca="false">INDEX(MMULT(TRANSPOSE(06_RFP設計行列!$G$11:$N$250),06_RFP設計行列!$G$11:$N$250),7,6)</f>
        <v>9.03682510766668E-017</v>
      </c>
      <c r="H16" s="112" t="n">
        <f aca="false">INDEX(MMULT(TRANSPOSE(06_RFP設計行列!$G$11:$N$250),06_RFP設計行列!$G$11:$N$250),7,7)</f>
        <v>4.62936425232155</v>
      </c>
      <c r="I16" s="112" t="n">
        <f aca="false">INDEX(MMULT(TRANSPOSE(06_RFP設計行列!$G$11:$N$250),06_RFP設計行列!$G$11:$N$250),7,8)</f>
        <v>0</v>
      </c>
      <c r="J16" s="2"/>
      <c r="K16" s="2"/>
      <c r="L16" s="2"/>
      <c r="M16" s="2"/>
      <c r="N16" s="2"/>
      <c r="O16" s="2"/>
      <c r="P16" s="2"/>
    </row>
    <row r="17" customFormat="false" ht="15" hidden="false" customHeight="false" outlineLevel="0" collapsed="false">
      <c r="A17" s="2"/>
      <c r="B17" s="112" t="n">
        <f aca="false">INDEX(MMULT(TRANSPOSE(06_RFP設計行列!$G$11:$N$250),06_RFP設計行列!$G$11:$N$250),8,1)</f>
        <v>0.0882242998798081</v>
      </c>
      <c r="C17" s="112" t="n">
        <f aca="false">INDEX(MMULT(TRANSPOSE(06_RFP設計行列!$G$11:$N$250),06_RFP設計行列!$G$11:$N$250),8,2)</f>
        <v>4.70273246693393</v>
      </c>
      <c r="D17" s="112" t="n">
        <f aca="false">INDEX(MMULT(TRANSPOSE(06_RFP設計行列!$G$11:$N$250),06_RFP設計行列!$G$11:$N$250),8,3)</f>
        <v>-0.250314413071246</v>
      </c>
      <c r="E17" s="112" t="n">
        <f aca="false">INDEX(MMULT(TRANSPOSE(06_RFP設計行列!$G$11:$N$250),06_RFP設計行列!$G$11:$N$250),8,4)</f>
        <v>-4.70817303510048</v>
      </c>
      <c r="F17" s="112" t="n">
        <f aca="false">INDEX(MMULT(TRANSPOSE(06_RFP設計行列!$G$11:$N$250),06_RFP設計行列!$G$11:$N$250),8,5)</f>
        <v>-4.92227786308419E-017</v>
      </c>
      <c r="G17" s="112" t="n">
        <f aca="false">INDEX(MMULT(TRANSPOSE(06_RFP設計行列!$G$11:$N$250),06_RFP設計行列!$G$11:$N$250),8,6)</f>
        <v>-4.62936425232155</v>
      </c>
      <c r="H17" s="112" t="n">
        <f aca="false">INDEX(MMULT(TRANSPOSE(06_RFP設計行列!$G$11:$N$250),06_RFP設計行列!$G$11:$N$250),8,7)</f>
        <v>0</v>
      </c>
      <c r="I17" s="112" t="n">
        <f aca="false">INDEX(MMULT(TRANSPOSE(06_RFP設計行列!$G$11:$N$250),06_RFP設計行列!$G$11:$N$250),8,8)</f>
        <v>4.61922182397863</v>
      </c>
      <c r="J17" s="2"/>
      <c r="K17" s="2"/>
      <c r="L17" s="2"/>
      <c r="M17" s="2"/>
      <c r="N17" s="2"/>
      <c r="O17" s="2"/>
      <c r="P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customFormat="false" ht="17.15" hidden="false" customHeight="false" outlineLevel="0" collapsed="false">
      <c r="A19" s="23" t="s">
        <v>346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customFormat="false" ht="26.85" hidden="false" customHeight="false" outlineLevel="0" collapsed="false">
      <c r="A20" s="2"/>
      <c r="B20" s="112" t="n">
        <f aca="false">B10+IF(1=1,$B$7,0)</f>
        <v>21.0000000000128</v>
      </c>
      <c r="C20" s="112" t="n">
        <f aca="false">C10+IF(1=2,$B$7,0)</f>
        <v>0</v>
      </c>
      <c r="D20" s="112" t="n">
        <f aca="false">D10+IF(1=3,$B$7,0)</f>
        <v>-21.0062857142857</v>
      </c>
      <c r="E20" s="112" t="n">
        <f aca="false">E10+IF(1=4,$B$7,0)</f>
        <v>0</v>
      </c>
      <c r="F20" s="112" t="n">
        <f aca="false">F10+IF(1=5,$B$7,0)</f>
        <v>-4.69543772949468</v>
      </c>
      <c r="G20" s="112" t="n">
        <f aca="false">G10+IF(1=6,$B$7,0)</f>
        <v>0.0738757009106396</v>
      </c>
      <c r="H20" s="112" t="n">
        <f aca="false">H10+IF(1=7,$B$7,0)</f>
        <v>4.69849185774152</v>
      </c>
      <c r="I20" s="112" t="n">
        <f aca="false">I10+IF(1=8,$B$7,0)</f>
        <v>0.0882242998798081</v>
      </c>
      <c r="J20" s="2"/>
      <c r="K20" s="51" t="s">
        <v>347</v>
      </c>
      <c r="L20" s="2"/>
      <c r="M20" s="2"/>
      <c r="N20" s="2"/>
      <c r="O20" s="2"/>
      <c r="P20" s="2"/>
    </row>
    <row r="21" customFormat="false" ht="15" hidden="false" customHeight="false" outlineLevel="0" collapsed="false">
      <c r="A21" s="2"/>
      <c r="B21" s="112" t="n">
        <f aca="false">B11+IF(2=1,$B$7,0)</f>
        <v>0</v>
      </c>
      <c r="C21" s="112" t="n">
        <f aca="false">C11+IF(2=2,$B$7,0)</f>
        <v>21.0062857142986</v>
      </c>
      <c r="D21" s="112" t="n">
        <f aca="false">D11+IF(2=3,$B$7,0)</f>
        <v>0</v>
      </c>
      <c r="E21" s="112" t="n">
        <f aca="false">E11+IF(2=4,$B$7,0)</f>
        <v>-21.0377176620408</v>
      </c>
      <c r="F21" s="112" t="n">
        <f aca="false">F11+IF(2=5,$B$7,0)</f>
        <v>-0.0738757009106396</v>
      </c>
      <c r="G21" s="112" t="n">
        <f aca="false">G11+IF(2=6,$B$7,0)</f>
        <v>-4.69849185774152</v>
      </c>
      <c r="H21" s="112" t="n">
        <f aca="false">H11+IF(2=7,$B$7,0)</f>
        <v>-0.088224299879808</v>
      </c>
      <c r="I21" s="112" t="n">
        <f aca="false">I11+IF(2=8,$B$7,0)</f>
        <v>4.70273246693393</v>
      </c>
      <c r="J21" s="2"/>
      <c r="K21" s="2"/>
      <c r="L21" s="2"/>
      <c r="M21" s="2"/>
      <c r="N21" s="2"/>
      <c r="O21" s="2"/>
      <c r="P21" s="2"/>
    </row>
    <row r="22" customFormat="false" ht="15" hidden="false" customHeight="false" outlineLevel="0" collapsed="false">
      <c r="A22" s="2"/>
      <c r="B22" s="112" t="n">
        <f aca="false">B12+IF(3=1,$B$7,0)</f>
        <v>-21.0062857142857</v>
      </c>
      <c r="C22" s="112" t="n">
        <f aca="false">C12+IF(3=2,$B$7,0)</f>
        <v>0</v>
      </c>
      <c r="D22" s="112" t="n">
        <f aca="false">D12+IF(3=3,$B$7,0)</f>
        <v>21.0377176620537</v>
      </c>
      <c r="E22" s="112" t="n">
        <f aca="false">E12+IF(3=4,$B$7,0)</f>
        <v>0</v>
      </c>
      <c r="F22" s="112" t="n">
        <f aca="false">F12+IF(3=5,$B$7,0)</f>
        <v>4.69849185774152</v>
      </c>
      <c r="G22" s="112" t="n">
        <f aca="false">G12+IF(3=6,$B$7,0)</f>
        <v>0.0882242998798079</v>
      </c>
      <c r="H22" s="112" t="n">
        <f aca="false">H12+IF(3=7,$B$7,0)</f>
        <v>-4.70273246693393</v>
      </c>
      <c r="I22" s="112" t="n">
        <f aca="false">I12+IF(3=8,$B$7,0)</f>
        <v>-0.250314413071246</v>
      </c>
      <c r="J22" s="2"/>
      <c r="K22" s="2"/>
      <c r="L22" s="2"/>
      <c r="M22" s="2"/>
      <c r="N22" s="2"/>
      <c r="O22" s="2"/>
      <c r="P22" s="2"/>
    </row>
    <row r="23" customFormat="false" ht="15" hidden="false" customHeight="false" outlineLevel="0" collapsed="false">
      <c r="A23" s="2"/>
      <c r="B23" s="112" t="n">
        <f aca="false">B13+IF(4=1,$B$7,0)</f>
        <v>0</v>
      </c>
      <c r="C23" s="112" t="n">
        <f aca="false">C13+IF(4=2,$B$7,0)</f>
        <v>-21.0377176620408</v>
      </c>
      <c r="D23" s="112" t="n">
        <f aca="false">D13+IF(4=3,$B$7,0)</f>
        <v>0</v>
      </c>
      <c r="E23" s="112" t="n">
        <f aca="false">E13+IF(4=4,$B$7,0)</f>
        <v>21.094336361349</v>
      </c>
      <c r="F23" s="112" t="n">
        <f aca="false">F13+IF(4=5,$B$7,0)</f>
        <v>-0.0882242998798081</v>
      </c>
      <c r="G23" s="112" t="n">
        <f aca="false">G13+IF(4=6,$B$7,0)</f>
        <v>4.70273246693393</v>
      </c>
      <c r="H23" s="112" t="n">
        <f aca="false">H13+IF(4=7,$B$7,0)</f>
        <v>0.250314413071246</v>
      </c>
      <c r="I23" s="112" t="n">
        <f aca="false">I13+IF(4=8,$B$7,0)</f>
        <v>-4.70817303510048</v>
      </c>
      <c r="J23" s="2"/>
      <c r="K23" s="2"/>
      <c r="L23" s="2"/>
      <c r="M23" s="2"/>
      <c r="N23" s="2"/>
      <c r="O23" s="2"/>
      <c r="P23" s="2"/>
    </row>
    <row r="24" customFormat="false" ht="15" hidden="false" customHeight="false" outlineLevel="0" collapsed="false">
      <c r="A24" s="2"/>
      <c r="B24" s="112" t="n">
        <f aca="false">B14+IF(5=1,$B$7,0)</f>
        <v>-4.69543772949468</v>
      </c>
      <c r="C24" s="112" t="n">
        <f aca="false">C14+IF(5=2,$B$7,0)</f>
        <v>-0.0738757009106396</v>
      </c>
      <c r="D24" s="112" t="n">
        <f aca="false">D14+IF(5=3,$B$7,0)</f>
        <v>4.69849185774152</v>
      </c>
      <c r="E24" s="112" t="n">
        <f aca="false">E14+IF(5=4,$B$7,0)</f>
        <v>-0.0882242998798081</v>
      </c>
      <c r="F24" s="112" t="n">
        <f aca="false">F14+IF(5=5,$B$7,0)</f>
        <v>4.65517456425898</v>
      </c>
      <c r="G24" s="112" t="n">
        <f aca="false">G14+IF(5=6,$B$7,0)</f>
        <v>0</v>
      </c>
      <c r="H24" s="112" t="n">
        <f aca="false">H14+IF(5=7,$B$7,0)</f>
        <v>-4.64134745176423</v>
      </c>
      <c r="I24" s="112" t="n">
        <f aca="false">I14+IF(5=8,$B$7,0)</f>
        <v>-4.92227786308419E-017</v>
      </c>
      <c r="J24" s="2"/>
      <c r="K24" s="2"/>
      <c r="L24" s="2"/>
      <c r="M24" s="2"/>
      <c r="N24" s="2"/>
      <c r="O24" s="2"/>
      <c r="P24" s="2"/>
    </row>
    <row r="25" customFormat="false" ht="15" hidden="false" customHeight="false" outlineLevel="0" collapsed="false">
      <c r="A25" s="2"/>
      <c r="B25" s="112" t="n">
        <f aca="false">B15+IF(6=1,$B$7,0)</f>
        <v>0.0738757009106396</v>
      </c>
      <c r="C25" s="112" t="n">
        <f aca="false">C15+IF(6=2,$B$7,0)</f>
        <v>-4.69849185774152</v>
      </c>
      <c r="D25" s="112" t="n">
        <f aca="false">D15+IF(6=3,$B$7,0)</f>
        <v>0.0882242998798079</v>
      </c>
      <c r="E25" s="112" t="n">
        <f aca="false">E15+IF(6=4,$B$7,0)</f>
        <v>4.70273246693393</v>
      </c>
      <c r="F25" s="112" t="n">
        <f aca="false">F15+IF(6=5,$B$7,0)</f>
        <v>0</v>
      </c>
      <c r="G25" s="112" t="n">
        <f aca="false">G15+IF(6=6,$B$7,0)</f>
        <v>4.64134745177707</v>
      </c>
      <c r="H25" s="112" t="n">
        <f aca="false">H15+IF(6=7,$B$7,0)</f>
        <v>9.03682510766668E-017</v>
      </c>
      <c r="I25" s="112" t="n">
        <f aca="false">I15+IF(6=8,$B$7,0)</f>
        <v>-4.62936425232155</v>
      </c>
      <c r="J25" s="2"/>
      <c r="K25" s="2"/>
      <c r="L25" s="2"/>
      <c r="M25" s="2"/>
      <c r="N25" s="2"/>
      <c r="O25" s="2"/>
      <c r="P25" s="2"/>
    </row>
    <row r="26" customFormat="false" ht="15" hidden="false" customHeight="false" outlineLevel="0" collapsed="false">
      <c r="A26" s="2"/>
      <c r="B26" s="112" t="n">
        <f aca="false">B16+IF(7=1,$B$7,0)</f>
        <v>4.69849185774152</v>
      </c>
      <c r="C26" s="112" t="n">
        <f aca="false">C16+IF(7=2,$B$7,0)</f>
        <v>-0.088224299879808</v>
      </c>
      <c r="D26" s="112" t="n">
        <f aca="false">D16+IF(7=3,$B$7,0)</f>
        <v>-4.70273246693393</v>
      </c>
      <c r="E26" s="112" t="n">
        <f aca="false">E16+IF(7=4,$B$7,0)</f>
        <v>0.250314413071246</v>
      </c>
      <c r="F26" s="112" t="n">
        <f aca="false">F16+IF(7=5,$B$7,0)</f>
        <v>-4.64134745176423</v>
      </c>
      <c r="G26" s="112" t="n">
        <f aca="false">G16+IF(7=6,$B$7,0)</f>
        <v>9.03682510766668E-017</v>
      </c>
      <c r="H26" s="112" t="n">
        <f aca="false">H16+IF(7=7,$B$7,0)</f>
        <v>4.62936425233438</v>
      </c>
      <c r="I26" s="112" t="n">
        <f aca="false">I16+IF(7=8,$B$7,0)</f>
        <v>0</v>
      </c>
      <c r="J26" s="2"/>
      <c r="K26" s="2"/>
      <c r="L26" s="2"/>
      <c r="M26" s="2"/>
      <c r="N26" s="2"/>
      <c r="O26" s="2"/>
      <c r="P26" s="2"/>
    </row>
    <row r="27" customFormat="false" ht="15" hidden="false" customHeight="false" outlineLevel="0" collapsed="false">
      <c r="A27" s="2"/>
      <c r="B27" s="112" t="n">
        <f aca="false">B17+IF(8=1,$B$7,0)</f>
        <v>0.0882242998798081</v>
      </c>
      <c r="C27" s="112" t="n">
        <f aca="false">C17+IF(8=2,$B$7,0)</f>
        <v>4.70273246693393</v>
      </c>
      <c r="D27" s="112" t="n">
        <f aca="false">D17+IF(8=3,$B$7,0)</f>
        <v>-0.250314413071246</v>
      </c>
      <c r="E27" s="112" t="n">
        <f aca="false">E17+IF(8=4,$B$7,0)</f>
        <v>-4.70817303510048</v>
      </c>
      <c r="F27" s="112" t="n">
        <f aca="false">F17+IF(8=5,$B$7,0)</f>
        <v>-4.92227786308419E-017</v>
      </c>
      <c r="G27" s="112" t="n">
        <f aca="false">G17+IF(8=6,$B$7,0)</f>
        <v>-4.62936425232155</v>
      </c>
      <c r="H27" s="112" t="n">
        <f aca="false">H17+IF(8=7,$B$7,0)</f>
        <v>0</v>
      </c>
      <c r="I27" s="112" t="n">
        <f aca="false">I17+IF(8=8,$B$7,0)</f>
        <v>4.61922182399146</v>
      </c>
      <c r="J27" s="2"/>
      <c r="K27" s="2"/>
      <c r="L27" s="2"/>
      <c r="M27" s="2"/>
      <c r="N27" s="2"/>
      <c r="O27" s="2"/>
      <c r="P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customFormat="false" ht="17.15" hidden="false" customHeight="false" outlineLevel="0" collapsed="false">
      <c r="A29" s="23" t="s">
        <v>348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customFormat="false" ht="15" hidden="false" customHeight="false" outlineLevel="0" collapsed="false">
      <c r="A30" s="2"/>
      <c r="B30" s="112" t="n">
        <f aca="false">INDEX(MINVERSE($B$20:$I$27),1,1)</f>
        <v>62.8623155177957</v>
      </c>
      <c r="C30" s="112" t="n">
        <f aca="false">INDEX(MINVERSE($B$20:$I$27),1,2)</f>
        <v>-2.37135115221896</v>
      </c>
      <c r="D30" s="112" t="n">
        <f aca="false">INDEX(MINVERSE($B$20:$I$27),1,3)</f>
        <v>63.8068476603946</v>
      </c>
      <c r="E30" s="112" t="n">
        <f aca="false">INDEX(MINVERSE($B$20:$I$27),1,4)</f>
        <v>0.0580143130736137</v>
      </c>
      <c r="F30" s="112" t="n">
        <f aca="false">INDEX(MINVERSE($B$20:$I$27),1,5)</f>
        <v>-167.467259747171</v>
      </c>
      <c r="G30" s="112" t="n">
        <f aca="false">INDEX(MINVERSE($B$20:$I$27),1,6)</f>
        <v>115.934527642561</v>
      </c>
      <c r="H30" s="112" t="n">
        <f aca="false">INDEX(MINVERSE($B$20:$I$27),1,7)</f>
        <v>-166.931996120111</v>
      </c>
      <c r="I30" s="112" t="n">
        <f aca="false">INDEX(MINVERSE($B$20:$I$27),1,8)</f>
        <v>120.919483949086</v>
      </c>
      <c r="J30" s="2"/>
      <c r="K30" s="2"/>
      <c r="L30" s="2"/>
      <c r="M30" s="2"/>
      <c r="N30" s="2"/>
      <c r="O30" s="2"/>
      <c r="P30" s="2"/>
    </row>
    <row r="31" customFormat="false" ht="15" hidden="false" customHeight="false" outlineLevel="0" collapsed="false">
      <c r="A31" s="2"/>
      <c r="B31" s="112" t="n">
        <f aca="false">INDEX(MINVERSE($B$20:$I$27),2,1)</f>
        <v>-2.37135115222137</v>
      </c>
      <c r="C31" s="112" t="n">
        <f aca="false">INDEX(MINVERSE($B$20:$I$27),2,2)</f>
        <v>61.5337121848419</v>
      </c>
      <c r="D31" s="112" t="n">
        <f aca="false">INDEX(MINVERSE($B$20:$I$27),2,3)</f>
        <v>-4.78095008125422</v>
      </c>
      <c r="E31" s="112" t="n">
        <f aca="false">INDEX(MINVERSE($B$20:$I$27),2,4)</f>
        <v>61.7361801276552</v>
      </c>
      <c r="F31" s="112" t="n">
        <f aca="false">INDEX(MINVERSE($B$20:$I$27),2,5)</f>
        <v>-55.463140559802</v>
      </c>
      <c r="G31" s="112" t="n">
        <f aca="false">INDEX(MINVERSE($B$20:$I$27),2,6)</f>
        <v>-173.191746598065</v>
      </c>
      <c r="H31" s="112" t="n">
        <f aca="false">INDEX(MINVERSE($B$20:$I$27),2,7)</f>
        <v>-60.2221240357485</v>
      </c>
      <c r="I31" s="112" t="n">
        <f aca="false">INDEX(MINVERSE($B$20:$I$27),2,8)</f>
        <v>-173.506969028713</v>
      </c>
      <c r="J31" s="2"/>
      <c r="K31" s="2"/>
      <c r="L31" s="2"/>
      <c r="M31" s="2"/>
      <c r="N31" s="2"/>
      <c r="O31" s="2"/>
      <c r="P31" s="2"/>
    </row>
    <row r="32" customFormat="false" ht="15" hidden="false" customHeight="false" outlineLevel="0" collapsed="false">
      <c r="A32" s="2"/>
      <c r="B32" s="112" t="n">
        <f aca="false">INDEX(MINVERSE($B$20:$I$27),3,1)</f>
        <v>63.8068476603954</v>
      </c>
      <c r="C32" s="112" t="n">
        <f aca="false">INDEX(MINVERSE($B$20:$I$27),3,2)</f>
        <v>-4.78095008125233</v>
      </c>
      <c r="D32" s="112" t="n">
        <f aca="false">INDEX(MINVERSE($B$20:$I$27),3,3)</f>
        <v>65.5024707880134</v>
      </c>
      <c r="E32" s="112" t="n">
        <f aca="false">INDEX(MINVERSE($B$20:$I$27),3,4)</f>
        <v>-2.35222942841261</v>
      </c>
      <c r="F32" s="112" t="n">
        <f aca="false">INDEX(MINVERSE($B$20:$I$27),3,5)</f>
        <v>-159.440674212095</v>
      </c>
      <c r="G32" s="112" t="n">
        <f aca="false">INDEX(MINVERSE($B$20:$I$27),3,6)</f>
        <v>181.677494488059</v>
      </c>
      <c r="H32" s="112" t="n">
        <f aca="false">INDEX(MINVERSE($B$20:$I$27),3,7)</f>
        <v>-158.036370501456</v>
      </c>
      <c r="I32" s="112" t="n">
        <f aca="false">INDEX(MINVERSE($B$20:$I$27),3,8)</f>
        <v>186.877152775216</v>
      </c>
      <c r="J32" s="2"/>
      <c r="K32" s="2"/>
      <c r="L32" s="2"/>
      <c r="M32" s="2"/>
      <c r="N32" s="2"/>
      <c r="O32" s="2"/>
      <c r="P32" s="2"/>
    </row>
    <row r="33" customFormat="false" ht="15" hidden="false" customHeight="false" outlineLevel="0" collapsed="false">
      <c r="A33" s="2"/>
      <c r="B33" s="112" t="n">
        <f aca="false">INDEX(MINVERSE($B$20:$I$27),4,1)</f>
        <v>0.0580143130690209</v>
      </c>
      <c r="C33" s="112" t="n">
        <f aca="false">INDEX(MINVERSE($B$20:$I$27),4,2)</f>
        <v>61.7361801276556</v>
      </c>
      <c r="D33" s="112" t="n">
        <f aca="false">INDEX(MINVERSE($B$20:$I$27),4,3)</f>
        <v>-2.3522294284168</v>
      </c>
      <c r="E33" s="112" t="n">
        <f aca="false">INDEX(MINVERSE($B$20:$I$27),4,4)</f>
        <v>62.6857760820243</v>
      </c>
      <c r="F33" s="112" t="n">
        <f aca="false">INDEX(MINVERSE($B$20:$I$27),4,5)</f>
        <v>-120.977511055718</v>
      </c>
      <c r="G33" s="112" t="n">
        <f aca="false">INDEX(MINVERSE($B$20:$I$27),4,6)</f>
        <v>-166.169751091155</v>
      </c>
      <c r="H33" s="112" t="n">
        <f aca="false">INDEX(MINVERSE($B$20:$I$27),4,7)</f>
        <v>-125.951996502389</v>
      </c>
      <c r="I33" s="112" t="n">
        <f aca="false">INDEX(MINVERSE($B$20:$I$27),4,8)</f>
        <v>-165.622589238526</v>
      </c>
      <c r="J33" s="2"/>
      <c r="K33" s="2"/>
      <c r="L33" s="2"/>
      <c r="M33" s="2"/>
      <c r="N33" s="2"/>
      <c r="O33" s="2"/>
      <c r="P33" s="2"/>
    </row>
    <row r="34" customFormat="false" ht="15" hidden="false" customHeight="false" outlineLevel="0" collapsed="false">
      <c r="A34" s="2"/>
      <c r="B34" s="112" t="n">
        <f aca="false">INDEX(MINVERSE($B$20:$I$27),5,1)</f>
        <v>-167.467259746985</v>
      </c>
      <c r="C34" s="112" t="n">
        <f aca="false">INDEX(MINVERSE($B$20:$I$27),5,2)</f>
        <v>-55.4631405598401</v>
      </c>
      <c r="D34" s="112" t="n">
        <f aca="false">INDEX(MINVERSE($B$20:$I$27),5,3)</f>
        <v>-159.440674211897</v>
      </c>
      <c r="E34" s="112" t="n">
        <f aca="false">INDEX(MINVERSE($B$20:$I$27),5,4)</f>
        <v>-120.977511055753</v>
      </c>
      <c r="F34" s="112" t="n">
        <f aca="false">INDEX(MINVERSE($B$20:$I$27),5,5)</f>
        <v>6407.22123802909</v>
      </c>
      <c r="G34" s="112" t="n">
        <f aca="false">INDEX(MINVERSE($B$20:$I$27),5,6)</f>
        <v>80.601442773256</v>
      </c>
      <c r="H34" s="112" t="n">
        <f aca="false">INDEX(MINVERSE($B$20:$I$27),5,7)</f>
        <v>6437.29123067211</v>
      </c>
      <c r="I34" s="112" t="n">
        <f aca="false">INDEX(MINVERSE($B$20:$I$27),5,8)</f>
        <v>8.49560353169792</v>
      </c>
      <c r="J34" s="2"/>
      <c r="K34" s="2"/>
      <c r="L34" s="2"/>
      <c r="M34" s="2"/>
      <c r="N34" s="2"/>
      <c r="O34" s="2"/>
      <c r="P34" s="2"/>
    </row>
    <row r="35" customFormat="false" ht="15" hidden="false" customHeight="false" outlineLevel="0" collapsed="false">
      <c r="A35" s="2"/>
      <c r="B35" s="112" t="n">
        <f aca="false">INDEX(MINVERSE($B$20:$I$27),6,1)</f>
        <v>115.9345276426</v>
      </c>
      <c r="C35" s="112" t="n">
        <f aca="false">INDEX(MINVERSE($B$20:$I$27),6,2)</f>
        <v>-173.191746598105</v>
      </c>
      <c r="D35" s="112" t="n">
        <f aca="false">INDEX(MINVERSE($B$20:$I$27),6,3)</f>
        <v>181.677494488097</v>
      </c>
      <c r="E35" s="112" t="n">
        <f aca="false">INDEX(MINVERSE($B$20:$I$27),6,4)</f>
        <v>-166.169751091182</v>
      </c>
      <c r="F35" s="112" t="n">
        <f aca="false">INDEX(MINVERSE($B$20:$I$27),6,5)</f>
        <v>80.6014427720322</v>
      </c>
      <c r="G35" s="112" t="n">
        <f aca="false">INDEX(MINVERSE($B$20:$I$27),6,6)</f>
        <v>6397.26567672368</v>
      </c>
      <c r="H35" s="112" t="n">
        <f aca="false">INDEX(MINVERSE($B$20:$I$27),6,7)</f>
        <v>153.385528362119</v>
      </c>
      <c r="I35" s="112" t="n">
        <f aca="false">INDEX(MINVERSE($B$20:$I$27),6,8)</f>
        <v>6425.89616361883</v>
      </c>
      <c r="J35" s="2"/>
      <c r="K35" s="2"/>
      <c r="L35" s="2"/>
      <c r="M35" s="2"/>
      <c r="N35" s="2"/>
      <c r="O35" s="2"/>
      <c r="P35" s="2"/>
    </row>
    <row r="36" customFormat="false" ht="15" hidden="false" customHeight="false" outlineLevel="0" collapsed="false">
      <c r="A36" s="2"/>
      <c r="B36" s="112" t="n">
        <f aca="false">INDEX(MINVERSE($B$20:$I$27),7,1)</f>
        <v>-166.931996119925</v>
      </c>
      <c r="C36" s="112" t="n">
        <f aca="false">INDEX(MINVERSE($B$20:$I$27),7,2)</f>
        <v>-60.2221240358057</v>
      </c>
      <c r="D36" s="112" t="n">
        <f aca="false">INDEX(MINVERSE($B$20:$I$27),7,3)</f>
        <v>-158.036370501257</v>
      </c>
      <c r="E36" s="112" t="n">
        <f aca="false">INDEX(MINVERSE($B$20:$I$27),7,4)</f>
        <v>-125.951996502443</v>
      </c>
      <c r="F36" s="112" t="n">
        <f aca="false">INDEX(MINVERSE($B$20:$I$27),7,5)</f>
        <v>6437.2912306721</v>
      </c>
      <c r="G36" s="112" t="n">
        <f aca="false">INDEX(MINVERSE($B$20:$I$27),7,6)</f>
        <v>153.385528363346</v>
      </c>
      <c r="H36" s="112" t="n">
        <f aca="false">INDEX(MINVERSE($B$20:$I$27),7,7)</f>
        <v>6468.71665673022</v>
      </c>
      <c r="I36" s="112" t="n">
        <f aca="false">INDEX(MINVERSE($B$20:$I$27),7,8)</f>
        <v>81.2801198069814</v>
      </c>
      <c r="J36" s="2"/>
      <c r="K36" s="2"/>
      <c r="L36" s="2"/>
      <c r="M36" s="2"/>
      <c r="N36" s="2"/>
      <c r="O36" s="2"/>
      <c r="P36" s="2"/>
    </row>
    <row r="37" customFormat="false" ht="15" hidden="false" customHeight="false" outlineLevel="0" collapsed="false">
      <c r="A37" s="2"/>
      <c r="B37" s="112" t="n">
        <f aca="false">INDEX(MINVERSE($B$20:$I$27),8,1)</f>
        <v>120.919483949126</v>
      </c>
      <c r="C37" s="112" t="n">
        <f aca="false">INDEX(MINVERSE($B$20:$I$27),8,2)</f>
        <v>-173.506969028753</v>
      </c>
      <c r="D37" s="112" t="n">
        <f aca="false">INDEX(MINVERSE($B$20:$I$27),8,3)</f>
        <v>186.877152775256</v>
      </c>
      <c r="E37" s="112" t="n">
        <f aca="false">INDEX(MINVERSE($B$20:$I$27),8,4)</f>
        <v>-165.622589238552</v>
      </c>
      <c r="F37" s="112" t="n">
        <f aca="false">INDEX(MINVERSE($B$20:$I$27),8,5)</f>
        <v>8.49560353046101</v>
      </c>
      <c r="G37" s="112" t="n">
        <f aca="false">INDEX(MINVERSE($B$20:$I$27),8,6)</f>
        <v>6425.89616361882</v>
      </c>
      <c r="H37" s="112" t="n">
        <f aca="false">INDEX(MINVERSE($B$20:$I$27),8,7)</f>
        <v>81.2801198057409</v>
      </c>
      <c r="I37" s="112" t="n">
        <f aca="false">INDEX(MINVERSE($B$20:$I$27),8,8)</f>
        <v>6455.87117941291</v>
      </c>
      <c r="J37" s="2"/>
      <c r="K37" s="2"/>
      <c r="L37" s="2"/>
      <c r="M37" s="2"/>
      <c r="N37" s="2"/>
      <c r="O37" s="2"/>
      <c r="P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customFormat="false" ht="17.15" hidden="false" customHeight="false" outlineLevel="0" collapsed="false">
      <c r="A39" s="23" t="s">
        <v>349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customFormat="false" ht="31.5" hidden="false" customHeight="true" outlineLevel="0" collapsed="false">
      <c r="A40" s="87" t="s">
        <v>350</v>
      </c>
      <c r="B40" s="107" t="s">
        <v>351</v>
      </c>
      <c r="C40" s="87" t="s">
        <v>352</v>
      </c>
      <c r="D40" s="87" t="s">
        <v>11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customFormat="false" ht="29.85" hidden="false" customHeight="false" outlineLevel="0" collapsed="false">
      <c r="A41" s="37" t="s">
        <v>353</v>
      </c>
      <c r="B41" s="112" t="n">
        <f aca="false">INDEX(MMULT(TRANSPOSE(06_RFP設計行列!$G$11:$N$250),06_RFP設計行列!$O$11:$O$250),1,1)</f>
        <v>4.70273246693393</v>
      </c>
      <c r="C41" s="113" t="n">
        <f aca="false">INDEX(MMULT($B$30:$I$37,$B$41:$B$48),1,1)</f>
        <v>-0.000479511360499535</v>
      </c>
      <c r="D41" s="3" t="s">
        <v>354</v>
      </c>
      <c r="E41" s="2"/>
      <c r="F41" s="2"/>
      <c r="G41" s="2"/>
      <c r="H41" s="2"/>
      <c r="I41" s="2"/>
      <c r="J41" s="2"/>
      <c r="K41" s="114" t="s">
        <v>355</v>
      </c>
      <c r="L41" s="2"/>
      <c r="M41" s="2"/>
      <c r="N41" s="2"/>
      <c r="O41" s="2"/>
      <c r="P41" s="2"/>
    </row>
    <row r="42" customFormat="false" ht="15" hidden="false" customHeight="false" outlineLevel="0" collapsed="false">
      <c r="A42" s="37" t="s">
        <v>356</v>
      </c>
      <c r="B42" s="112" t="n">
        <f aca="false">INDEX(MMULT(TRANSPOSE(06_RFP設計行列!$G$11:$N$250),06_RFP設計行列!$O$11:$O$250),2,1)</f>
        <v>-0.250314413071246</v>
      </c>
      <c r="C42" s="113" t="n">
        <f aca="false">INDEX(MMULT($B$30:$I$37,$B$41:$B$48),2,1)</f>
        <v>0.00890679491699023</v>
      </c>
      <c r="D42" s="3" t="s">
        <v>357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customFormat="false" ht="15" hidden="false" customHeight="false" outlineLevel="0" collapsed="false">
      <c r="A43" s="37" t="s">
        <v>358</v>
      </c>
      <c r="B43" s="112" t="n">
        <f aca="false">INDEX(MMULT(TRANSPOSE(06_RFP設計行列!$G$11:$N$250),06_RFP設計行列!$O$11:$O$250),3,1)</f>
        <v>-4.70817303510048</v>
      </c>
      <c r="C43" s="113" t="n">
        <f aca="false">INDEX(MMULT($B$30:$I$37,$B$41:$B$48),3,1)</f>
        <v>-0.000387909764191186</v>
      </c>
      <c r="D43" s="3" t="s">
        <v>359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customFormat="false" ht="15" hidden="false" customHeight="false" outlineLevel="0" collapsed="false">
      <c r="A44" s="37" t="s">
        <v>360</v>
      </c>
      <c r="B44" s="112" t="n">
        <f aca="false">INDEX(MMULT(TRANSPOSE(06_RFP設計行列!$G$11:$N$250),06_RFP設計行列!$O$11:$O$250),4,1)</f>
        <v>0.412630664781344</v>
      </c>
      <c r="C44" s="113" t="n">
        <f aca="false">INDEX(MMULT($B$30:$I$37,$B$41:$B$48),4,1)</f>
        <v>0.00890072266645788</v>
      </c>
      <c r="D44" s="3" t="s">
        <v>361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customFormat="false" ht="15" hidden="false" customHeight="false" outlineLevel="0" collapsed="false">
      <c r="A45" s="37" t="s">
        <v>362</v>
      </c>
      <c r="B45" s="112" t="n">
        <f aca="false">INDEX(MMULT(TRANSPOSE(06_RFP設計行列!$G$11:$N$250),06_RFP設計行列!$O$11:$O$250),5,1)</f>
        <v>-4.62936425232155</v>
      </c>
      <c r="C45" s="113" t="n">
        <f aca="false">INDEX(MMULT($B$30:$I$37,$B$41:$B$48),5,1)</f>
        <v>0.999940107469304</v>
      </c>
      <c r="D45" s="3" t="s">
        <v>363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customFormat="false" ht="15" hidden="false" customHeight="false" outlineLevel="0" collapsed="false">
      <c r="A46" s="37" t="s">
        <v>364</v>
      </c>
      <c r="B46" s="112" t="n">
        <f aca="false">INDEX(MMULT(TRANSPOSE(06_RFP設計行列!$G$11:$N$250),06_RFP設計行列!$O$11:$O$250),6,1)</f>
        <v>0</v>
      </c>
      <c r="C46" s="113" t="n">
        <f aca="false">INDEX(MMULT($B$30:$I$37,$B$41:$B$48),6,1)</f>
        <v>0.0139843276190004</v>
      </c>
      <c r="D46" s="3" t="s">
        <v>365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customFormat="false" ht="15" hidden="false" customHeight="false" outlineLevel="0" collapsed="false">
      <c r="A47" s="37" t="s">
        <v>366</v>
      </c>
      <c r="B47" s="112" t="n">
        <f aca="false">INDEX(MMULT(TRANSPOSE(06_RFP設計行列!$G$11:$N$250),06_RFP設計行列!$O$11:$O$250),7,1)</f>
        <v>4.61922182397863</v>
      </c>
      <c r="C47" s="113" t="n">
        <f aca="false">INDEX(MMULT($B$30:$I$37,$B$41:$B$48),7,1)</f>
        <v>2.00011866640022</v>
      </c>
      <c r="D47" s="3" t="s">
        <v>367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customFormat="false" ht="15" hidden="false" customHeight="false" outlineLevel="0" collapsed="false">
      <c r="A48" s="37" t="s">
        <v>368</v>
      </c>
      <c r="B48" s="112" t="n">
        <f aca="false">INDEX(MMULT(TRANSPOSE(06_RFP設計行列!$G$11:$N$250),06_RFP設計行列!$O$11:$O$250),8,1)</f>
        <v>6.32089866559049E-017</v>
      </c>
      <c r="C48" s="113" t="n">
        <f aca="false">INDEX(MMULT($B$30:$I$37,$B$41:$B$48),8,1)</f>
        <v>0.0140074719952099</v>
      </c>
      <c r="D48" s="3" t="s">
        <v>369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792EA"/>
    <pageSetUpPr fitToPage="false"/>
  </sheetPr>
  <dimension ref="A1:T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4"/>
    <col collapsed="false" customWidth="true" hidden="false" outlineLevel="0" max="14" min="4" style="0" width="12"/>
    <col collapsed="false" customWidth="true" hidden="false" outlineLevel="0" max="15" min="15" style="0" width="13"/>
    <col collapsed="false" customWidth="true" hidden="false" outlineLevel="0" max="16" min="16" style="0" width="3"/>
    <col collapsed="false" customWidth="true" hidden="false" outlineLevel="0" max="17" min="17" style="0" width="52"/>
  </cols>
  <sheetData>
    <row r="1" customFormat="false" ht="23.1" hidden="false" customHeight="false" outlineLevel="0" collapsed="false">
      <c r="A1" s="59" t="s">
        <v>370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5" hidden="false" customHeight="false" outlineLevel="0" collapsed="false">
      <c r="A2" s="26" t="s">
        <v>371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customFormat="false" ht="17.15" hidden="false" customHeight="false" outlineLevel="0" collapsed="false">
      <c r="A4" s="4" t="s">
        <v>372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customFormat="false" ht="15" hidden="false" customHeight="false" outlineLevel="0" collapsed="false">
      <c r="A5" s="115" t="s">
        <v>362</v>
      </c>
      <c r="B5" s="116" t="n">
        <f aca="false">07_RFP係数の解!C45</f>
        <v>0.999940107469304</v>
      </c>
      <c r="C5" s="2"/>
      <c r="D5" s="33" t="s">
        <v>233</v>
      </c>
      <c r="E5" s="2"/>
      <c r="F5" s="89" t="n">
        <f aca="false">03_FRFデータ貼付!B5</f>
        <v>21991.1485751286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customFormat="false" ht="15" hidden="false" customHeight="false" outlineLevel="0" collapsed="false">
      <c r="A6" s="115" t="s">
        <v>364</v>
      </c>
      <c r="B6" s="116" t="n">
        <f aca="false">07_RFP係数の解!C46</f>
        <v>0.0139843276190004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customFormat="false" ht="15" hidden="false" customHeight="false" outlineLevel="0" collapsed="false">
      <c r="A7" s="115" t="s">
        <v>366</v>
      </c>
      <c r="B7" s="116" t="n">
        <f aca="false">07_RFP係数の解!C47</f>
        <v>2.00011866640022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customFormat="false" ht="15" hidden="false" customHeight="false" outlineLevel="0" collapsed="false">
      <c r="A8" s="115" t="s">
        <v>368</v>
      </c>
      <c r="B8" s="116" t="n">
        <f aca="false">07_RFP係数の解!C48</f>
        <v>0.0140074719952099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customFormat="false" ht="15" hidden="false" customHeight="false" outlineLevel="0" collapsed="false">
      <c r="A10" s="4" t="s">
        <v>373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customFormat="false" ht="15" hidden="false" customHeight="false" outlineLevel="0" collapsed="false">
      <c r="A11" s="6" t="s">
        <v>302</v>
      </c>
      <c r="B11" s="117" t="n">
        <v>3480</v>
      </c>
      <c r="C11" s="2"/>
      <c r="D11" s="26" t="s">
        <v>374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customFormat="false" ht="15" hidden="false" customHeight="false" outlineLevel="0" collapsed="false">
      <c r="A12" s="6" t="s">
        <v>375</v>
      </c>
      <c r="B12" s="117" t="n">
        <v>3520</v>
      </c>
      <c r="C12" s="2"/>
      <c r="D12" s="3" t="s">
        <v>376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customFormat="false" ht="15" hidden="false" customHeight="false" outlineLevel="0" collapsed="false">
      <c r="A13" s="6" t="s">
        <v>377</v>
      </c>
      <c r="B13" s="25" t="n">
        <v>0.007</v>
      </c>
      <c r="C13" s="2"/>
      <c r="D13" s="26" t="s">
        <v>378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customFormat="false" ht="15" hidden="false" customHeight="false" outlineLevel="0" collapsed="false">
      <c r="A14" s="2" t="s">
        <v>379</v>
      </c>
      <c r="B14" s="116" t="n">
        <f aca="false">B13*(2*PI()*B11)/$F$5</f>
        <v>0.00696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customFormat="false" ht="15" hidden="false" customHeight="false" outlineLevel="0" collapsed="false">
      <c r="A15" s="2" t="s">
        <v>380</v>
      </c>
      <c r="B15" s="116" t="n">
        <f aca="false">((2*PI()*B11)/$F$5)^2</f>
        <v>0.988604081632653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customFormat="false" ht="17.15" hidden="false" customHeight="false" outlineLevel="0" collapsed="false">
      <c r="A17" s="4" t="s">
        <v>381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customFormat="false" ht="31.5" hidden="false" customHeight="true" outlineLevel="0" collapsed="false">
      <c r="A18" s="87" t="s">
        <v>382</v>
      </c>
      <c r="B18" s="107" t="s">
        <v>383</v>
      </c>
      <c r="C18" s="107" t="s">
        <v>384</v>
      </c>
      <c r="D18" s="107" t="s">
        <v>385</v>
      </c>
      <c r="E18" s="107" t="s">
        <v>386</v>
      </c>
      <c r="F18" s="87" t="s">
        <v>387</v>
      </c>
      <c r="G18" s="87" t="s">
        <v>388</v>
      </c>
      <c r="H18" s="107" t="s">
        <v>389</v>
      </c>
      <c r="I18" s="107" t="s">
        <v>390</v>
      </c>
      <c r="J18" s="107" t="s">
        <v>391</v>
      </c>
      <c r="K18" s="107" t="s">
        <v>392</v>
      </c>
      <c r="L18" s="87" t="s">
        <v>393</v>
      </c>
      <c r="M18" s="107" t="s">
        <v>394</v>
      </c>
      <c r="N18" s="107" t="s">
        <v>395</v>
      </c>
      <c r="O18" s="87" t="s">
        <v>396</v>
      </c>
      <c r="P18" s="2"/>
      <c r="Q18" s="2"/>
      <c r="R18" s="2"/>
      <c r="S18" s="2"/>
      <c r="T18" s="2"/>
    </row>
    <row r="19" customFormat="false" ht="29.85" hidden="false" customHeight="false" outlineLevel="0" collapsed="false">
      <c r="A19" s="47" t="n">
        <v>0</v>
      </c>
      <c r="B19" s="116" t="n">
        <f aca="false">$B$14</f>
        <v>0.00696</v>
      </c>
      <c r="C19" s="116" t="n">
        <f aca="false">$B$15</f>
        <v>0.988604081632653</v>
      </c>
      <c r="D19" s="116" t="n">
        <f aca="false">$B$8-B19</f>
        <v>0.00704747199520986</v>
      </c>
      <c r="E19" s="116" t="n">
        <f aca="false">$B$7-C19-B19*D19</f>
        <v>1.01146553436248</v>
      </c>
      <c r="F19" s="118" t="n">
        <f aca="false">$B$6-(B19*E19+C19*D19)</f>
        <v>-2.26320798187261E-005</v>
      </c>
      <c r="G19" s="118" t="n">
        <f aca="false">$B$5-C19*E19</f>
        <v>1.15176780257631E-006</v>
      </c>
      <c r="H19" s="35" t="n">
        <f aca="false">-(E19+B19*(B19-D19)-C19)</f>
        <v>-0.0228608439247413</v>
      </c>
      <c r="I19" s="35" t="n">
        <f aca="false">B19-D19</f>
        <v>-8.74719952098594E-005</v>
      </c>
      <c r="J19" s="35" t="n">
        <f aca="false">-C19*(B19-D19)</f>
        <v>8.64751714930189E-005</v>
      </c>
      <c r="K19" s="35" t="n">
        <f aca="false">C19-E19</f>
        <v>-0.0228614527298279</v>
      </c>
      <c r="L19" s="118" t="n">
        <f aca="false">H19*K19-I19*J19</f>
        <v>0.000522639666905233</v>
      </c>
      <c r="M19" s="118" t="n">
        <f aca="false">IFERROR(IF(ABS(L19)&lt;1E-030,0,(-F19*K19+G19*I19)/L19),0)</f>
        <v>-0.0009901716290414</v>
      </c>
      <c r="N19" s="118" t="n">
        <f aca="false">IFERROR(IF(ABS(L19)&lt;1E-030,0,(-G19*H19+F19*J19)/L19),0)</f>
        <v>4.66349428335502E-005</v>
      </c>
      <c r="O19" s="119" t="n">
        <f aca="false">ABS(F19)+ABS(G19)</f>
        <v>2.37838476213025E-005</v>
      </c>
      <c r="P19" s="2"/>
      <c r="Q19" s="120" t="s">
        <v>397</v>
      </c>
      <c r="R19" s="2"/>
      <c r="S19" s="2"/>
      <c r="T19" s="2"/>
    </row>
    <row r="20" customFormat="false" ht="15" hidden="false" customHeight="false" outlineLevel="0" collapsed="false">
      <c r="A20" s="47" t="n">
        <v>1</v>
      </c>
      <c r="B20" s="116" t="n">
        <f aca="false">IFERROR(IF(O19&lt;1E-015,B19,B19+M19),B19)</f>
        <v>0.0059698283709586</v>
      </c>
      <c r="C20" s="116" t="n">
        <f aca="false">IFERROR(IF(O19&lt;1E-015,C19,C19+N19),C19)</f>
        <v>0.988650716575487</v>
      </c>
      <c r="D20" s="116" t="n">
        <f aca="false">$B$8-B20</f>
        <v>0.00803764362425126</v>
      </c>
      <c r="E20" s="116" t="n">
        <f aca="false">$B$7-C20-B20*D20</f>
        <v>1.01141996647179</v>
      </c>
      <c r="F20" s="118" t="n">
        <f aca="false">$B$6-(B20*E20+C20*D20)</f>
        <v>-9.81204912649941E-008</v>
      </c>
      <c r="G20" s="118" t="n">
        <f aca="false">$B$5-C20*E20</f>
        <v>-9.67141786434311E-007</v>
      </c>
      <c r="H20" s="35" t="n">
        <f aca="false">-(E20+B20*(B20-D20)-C20)</f>
        <v>-0.0227569053941389</v>
      </c>
      <c r="I20" s="35" t="n">
        <f aca="false">B20-D20</f>
        <v>-0.00206781525329266</v>
      </c>
      <c r="J20" s="35" t="n">
        <f aca="false">-C20*(B20-D20)</f>
        <v>0.00204434703191351</v>
      </c>
      <c r="K20" s="35" t="n">
        <f aca="false">C20-E20</f>
        <v>-0.0227692498963038</v>
      </c>
      <c r="L20" s="118" t="n">
        <f aca="false">H20*K20-I20*J20</f>
        <v>0.000522384997761306</v>
      </c>
      <c r="M20" s="118" t="n">
        <f aca="false">IFERROR(IF(ABS(L20)&lt;1E-030,0,(-F20*K20+G20*I20)/L20),0)</f>
        <v>-4.48442142249663E-007</v>
      </c>
      <c r="N20" s="118" t="n">
        <f aca="false">IFERROR(IF(ABS(L20)&lt;1E-030,0,(-G20*H20+F20*J20)/L20),0)</f>
        <v>-4.25160495934454E-005</v>
      </c>
      <c r="O20" s="119" t="n">
        <f aca="false">ABS(F20)+ABS(G20)</f>
        <v>1.06526227769931E-006</v>
      </c>
      <c r="P20" s="2"/>
      <c r="Q20" s="2"/>
      <c r="R20" s="2"/>
      <c r="S20" s="2"/>
      <c r="T20" s="2"/>
    </row>
    <row r="21" customFormat="false" ht="58.2" hidden="false" customHeight="false" outlineLevel="0" collapsed="false">
      <c r="A21" s="47" t="n">
        <v>2</v>
      </c>
      <c r="B21" s="116" t="n">
        <f aca="false">IFERROR(IF(O20&lt;1E-015,B20,B20+M20),B20)</f>
        <v>0.00596937992881635</v>
      </c>
      <c r="C21" s="116" t="n">
        <f aca="false">IFERROR(IF(O20&lt;1E-015,C20,C20+N20),C20)</f>
        <v>0.988608200525893</v>
      </c>
      <c r="D21" s="116" t="n">
        <f aca="false">$B$8-B21</f>
        <v>0.00803809206639351</v>
      </c>
      <c r="E21" s="116" t="n">
        <f aca="false">$B$7-C21-B21*D21</f>
        <v>1.01146248344888</v>
      </c>
      <c r="F21" s="118" t="n">
        <f aca="false">$B$6-(B21*E21+C21*D21)</f>
        <v>3.81311926478389E-011</v>
      </c>
      <c r="G21" s="118" t="n">
        <f aca="false">$B$5-C21*E21</f>
        <v>1.80745507449842E-009</v>
      </c>
      <c r="H21" s="35" t="n">
        <f aca="false">-(E21+B21*(B21-D21)-C21)</f>
        <v>-0.0228419339942749</v>
      </c>
      <c r="I21" s="35" t="n">
        <f aca="false">B21-D21</f>
        <v>-0.00206871213757716</v>
      </c>
      <c r="J21" s="35" t="n">
        <f aca="false">-C21*(B21-D21)</f>
        <v>0.00204514578373623</v>
      </c>
      <c r="K21" s="35" t="n">
        <f aca="false">C21-E21</f>
        <v>-0.0228542829229874</v>
      </c>
      <c r="L21" s="118" t="n">
        <f aca="false">H21*K21-I21*J21</f>
        <v>0.000526266839919293</v>
      </c>
      <c r="M21" s="118" t="n">
        <f aca="false">IFERROR(IF(ABS(L21)&lt;1E-030,0,(-F21*K21+G21*I21)/L21),0)</f>
        <v>-5.44902883528713E-009</v>
      </c>
      <c r="N21" s="118" t="n">
        <f aca="false">IFERROR(IF(ABS(L21)&lt;1E-030,0,(-G21*H21+F21*J21)/L21),0)</f>
        <v>7.85984413601401E-008</v>
      </c>
      <c r="O21" s="119" t="n">
        <f aca="false">ABS(F21)+ABS(G21)</f>
        <v>1.84558626714626E-009</v>
      </c>
      <c r="P21" s="2"/>
      <c r="Q21" s="120" t="s">
        <v>398</v>
      </c>
      <c r="R21" s="2"/>
      <c r="S21" s="2"/>
      <c r="T21" s="2"/>
    </row>
    <row r="22" customFormat="false" ht="15" hidden="false" customHeight="false" outlineLevel="0" collapsed="false">
      <c r="A22" s="47" t="n">
        <v>3</v>
      </c>
      <c r="B22" s="116" t="n">
        <f aca="false">IFERROR(IF(O21&lt;1E-015,B21,B21+M21),B21)</f>
        <v>0.00596937447978752</v>
      </c>
      <c r="C22" s="116" t="n">
        <f aca="false">IFERROR(IF(O21&lt;1E-015,C21,C21+N21),C21)</f>
        <v>0.988608279124335</v>
      </c>
      <c r="D22" s="116" t="n">
        <f aca="false">$B$8-B22</f>
        <v>0.00803809751542235</v>
      </c>
      <c r="E22" s="116" t="n">
        <f aca="false">$B$7-C22-B22*D22</f>
        <v>1.01146240486171</v>
      </c>
      <c r="F22" s="118" t="n">
        <f aca="false">$B$6-(B22*E22+C22*D22)</f>
        <v>-8.56953397132543E-016</v>
      </c>
      <c r="G22" s="118" t="n">
        <f aca="false">$B$5-C22*E22</f>
        <v>6.10622663543836E-015</v>
      </c>
      <c r="H22" s="35" t="n">
        <f aca="false">-(E22+B22*(B22-D22)-C22)</f>
        <v>-0.0228417767548827</v>
      </c>
      <c r="I22" s="35" t="n">
        <f aca="false">B22-D22</f>
        <v>-0.00206872303563483</v>
      </c>
      <c r="J22" s="35" t="n">
        <f aca="false">-C22*(B22-D22)</f>
        <v>0.00204515672024382</v>
      </c>
      <c r="K22" s="35" t="n">
        <f aca="false">C22-E22</f>
        <v>-0.0228541257373773</v>
      </c>
      <c r="L22" s="118" t="n">
        <f aca="false">H22*K22-I22*J22</f>
        <v>0.000526259700839845</v>
      </c>
      <c r="M22" s="118" t="n">
        <f aca="false">IFERROR(IF(ABS(L22)&lt;1E-030,0,(-F22*K22+G22*I22)/L22),0)</f>
        <v>-6.12188475371831E-014</v>
      </c>
      <c r="N22" s="118" t="n">
        <f aca="false">IFERROR(IF(ABS(L22)&lt;1E-030,0,(-G22*H22+F22*J22)/L22),0)</f>
        <v>2.61704366499144E-013</v>
      </c>
      <c r="O22" s="119" t="n">
        <f aca="false">ABS(F22)+ABS(G22)</f>
        <v>6.9631800325709E-015</v>
      </c>
      <c r="P22" s="2"/>
      <c r="Q22" s="2"/>
      <c r="R22" s="2"/>
      <c r="S22" s="2"/>
      <c r="T22" s="2"/>
    </row>
    <row r="23" customFormat="false" ht="15" hidden="false" customHeight="false" outlineLevel="0" collapsed="false">
      <c r="A23" s="47" t="n">
        <v>4</v>
      </c>
      <c r="B23" s="116" t="n">
        <f aca="false">IFERROR(IF(O22&lt;1E-015,B22,B22+M22),B22)</f>
        <v>0.0059693744797263</v>
      </c>
      <c r="C23" s="116" t="n">
        <f aca="false">IFERROR(IF(O22&lt;1E-015,C22,C22+N22),C22)</f>
        <v>0.988608279124596</v>
      </c>
      <c r="D23" s="116" t="n">
        <f aca="false">$B$8-B23</f>
        <v>0.00803809751548356</v>
      </c>
      <c r="E23" s="116" t="n">
        <f aca="false">$B$7-C23-B23*D23</f>
        <v>1.01146240486145</v>
      </c>
      <c r="F23" s="118" t="n">
        <f aca="false">$B$6-(B23*E23+C23*D23)</f>
        <v>0</v>
      </c>
      <c r="G23" s="118" t="n">
        <f aca="false">$B$5-C23*E23</f>
        <v>0</v>
      </c>
      <c r="H23" s="35" t="n">
        <f aca="false">-(E23+B23*(B23-D23)-C23)</f>
        <v>-0.0228417767543588</v>
      </c>
      <c r="I23" s="35" t="n">
        <f aca="false">B23-D23</f>
        <v>-0.00206872303575727</v>
      </c>
      <c r="J23" s="35" t="n">
        <f aca="false">-C23*(B23-D23)</f>
        <v>0.0020451567203654</v>
      </c>
      <c r="K23" s="35" t="n">
        <f aca="false">C23-E23</f>
        <v>-0.0228541257368541</v>
      </c>
      <c r="L23" s="118" t="n">
        <f aca="false">H23*K23-I23*J23</f>
        <v>0.000526259700816421</v>
      </c>
      <c r="M23" s="118" t="n">
        <f aca="false">IFERROR(IF(ABS(L23)&lt;1E-030,0,(-F23*K23+G23*I23)/L23),0)</f>
        <v>0</v>
      </c>
      <c r="N23" s="118" t="n">
        <f aca="false">IFERROR(IF(ABS(L23)&lt;1E-030,0,(-G23*H23+F23*J23)/L23),0)</f>
        <v>0</v>
      </c>
      <c r="O23" s="119" t="n">
        <f aca="false">ABS(F23)+ABS(G23)</f>
        <v>0</v>
      </c>
      <c r="P23" s="2"/>
      <c r="Q23" s="2"/>
      <c r="R23" s="2"/>
      <c r="S23" s="2"/>
      <c r="T23" s="2"/>
    </row>
    <row r="24" customFormat="false" ht="44" hidden="false" customHeight="false" outlineLevel="0" collapsed="false">
      <c r="A24" s="47" t="n">
        <v>5</v>
      </c>
      <c r="B24" s="116" t="n">
        <f aca="false">IFERROR(IF(O23&lt;1E-015,B23,B23+M23),B23)</f>
        <v>0.0059693744797263</v>
      </c>
      <c r="C24" s="116" t="n">
        <f aca="false">IFERROR(IF(O23&lt;1E-015,C23,C23+N23),C23)</f>
        <v>0.988608279124596</v>
      </c>
      <c r="D24" s="116" t="n">
        <f aca="false">$B$8-B24</f>
        <v>0.00803809751548356</v>
      </c>
      <c r="E24" s="116" t="n">
        <f aca="false">$B$7-C24-B24*D24</f>
        <v>1.01146240486145</v>
      </c>
      <c r="F24" s="118" t="n">
        <f aca="false">$B$6-(B24*E24+C24*D24)</f>
        <v>0</v>
      </c>
      <c r="G24" s="118" t="n">
        <f aca="false">$B$5-C24*E24</f>
        <v>0</v>
      </c>
      <c r="H24" s="35" t="n">
        <f aca="false">-(E24+B24*(B24-D24)-C24)</f>
        <v>-0.0228417767543588</v>
      </c>
      <c r="I24" s="35" t="n">
        <f aca="false">B24-D24</f>
        <v>-0.00206872303575727</v>
      </c>
      <c r="J24" s="35" t="n">
        <f aca="false">-C24*(B24-D24)</f>
        <v>0.0020451567203654</v>
      </c>
      <c r="K24" s="35" t="n">
        <f aca="false">C24-E24</f>
        <v>-0.0228541257368541</v>
      </c>
      <c r="L24" s="118" t="n">
        <f aca="false">H24*K24-I24*J24</f>
        <v>0.000526259700816421</v>
      </c>
      <c r="M24" s="118" t="n">
        <f aca="false">IFERROR(IF(ABS(L24)&lt;1E-030,0,(-F24*K24+G24*I24)/L24),0)</f>
        <v>0</v>
      </c>
      <c r="N24" s="118" t="n">
        <f aca="false">IFERROR(IF(ABS(L24)&lt;1E-030,0,(-G24*H24+F24*J24)/L24),0)</f>
        <v>0</v>
      </c>
      <c r="O24" s="119" t="n">
        <f aca="false">ABS(F24)+ABS(G24)</f>
        <v>0</v>
      </c>
      <c r="P24" s="2"/>
      <c r="Q24" s="121" t="s">
        <v>399</v>
      </c>
      <c r="R24" s="2"/>
      <c r="S24" s="2"/>
      <c r="T24" s="2"/>
    </row>
    <row r="25" customFormat="false" ht="15" hidden="false" customHeight="false" outlineLevel="0" collapsed="false">
      <c r="A25" s="47" t="n">
        <v>6</v>
      </c>
      <c r="B25" s="116" t="n">
        <f aca="false">IFERROR(IF(O24&lt;1E-015,B24,B24+M24),B24)</f>
        <v>0.0059693744797263</v>
      </c>
      <c r="C25" s="116" t="n">
        <f aca="false">IFERROR(IF(O24&lt;1E-015,C24,C24+N24),C24)</f>
        <v>0.988608279124596</v>
      </c>
      <c r="D25" s="116" t="n">
        <f aca="false">$B$8-B25</f>
        <v>0.00803809751548356</v>
      </c>
      <c r="E25" s="116" t="n">
        <f aca="false">$B$7-C25-B25*D25</f>
        <v>1.01146240486145</v>
      </c>
      <c r="F25" s="118" t="n">
        <f aca="false">$B$6-(B25*E25+C25*D25)</f>
        <v>0</v>
      </c>
      <c r="G25" s="118" t="n">
        <f aca="false">$B$5-C25*E25</f>
        <v>0</v>
      </c>
      <c r="H25" s="35" t="n">
        <f aca="false">-(E25+B25*(B25-D25)-C25)</f>
        <v>-0.0228417767543588</v>
      </c>
      <c r="I25" s="35" t="n">
        <f aca="false">B25-D25</f>
        <v>-0.00206872303575727</v>
      </c>
      <c r="J25" s="35" t="n">
        <f aca="false">-C25*(B25-D25)</f>
        <v>0.0020451567203654</v>
      </c>
      <c r="K25" s="35" t="n">
        <f aca="false">C25-E25</f>
        <v>-0.0228541257368541</v>
      </c>
      <c r="L25" s="118" t="n">
        <f aca="false">H25*K25-I25*J25</f>
        <v>0.000526259700816421</v>
      </c>
      <c r="M25" s="118" t="n">
        <f aca="false">IFERROR(IF(ABS(L25)&lt;1E-030,0,(-F25*K25+G25*I25)/L25),0)</f>
        <v>0</v>
      </c>
      <c r="N25" s="118" t="n">
        <f aca="false">IFERROR(IF(ABS(L25)&lt;1E-030,0,(-G25*H25+F25*J25)/L25),0)</f>
        <v>0</v>
      </c>
      <c r="O25" s="119" t="n">
        <f aca="false">ABS(F25)+ABS(G25)</f>
        <v>0</v>
      </c>
      <c r="P25" s="2"/>
      <c r="Q25" s="2"/>
      <c r="R25" s="2"/>
      <c r="S25" s="2"/>
      <c r="T25" s="2"/>
    </row>
    <row r="26" customFormat="false" ht="15" hidden="false" customHeight="false" outlineLevel="0" collapsed="false">
      <c r="A26" s="47" t="n">
        <v>7</v>
      </c>
      <c r="B26" s="116" t="n">
        <f aca="false">IFERROR(IF(O25&lt;1E-015,B25,B25+M25),B25)</f>
        <v>0.0059693744797263</v>
      </c>
      <c r="C26" s="116" t="n">
        <f aca="false">IFERROR(IF(O25&lt;1E-015,C25,C25+N25),C25)</f>
        <v>0.988608279124596</v>
      </c>
      <c r="D26" s="116" t="n">
        <f aca="false">$B$8-B26</f>
        <v>0.00803809751548356</v>
      </c>
      <c r="E26" s="116" t="n">
        <f aca="false">$B$7-C26-B26*D26</f>
        <v>1.01146240486145</v>
      </c>
      <c r="F26" s="118" t="n">
        <f aca="false">$B$6-(B26*E26+C26*D26)</f>
        <v>0</v>
      </c>
      <c r="G26" s="118" t="n">
        <f aca="false">$B$5-C26*E26</f>
        <v>0</v>
      </c>
      <c r="H26" s="35" t="n">
        <f aca="false">-(E26+B26*(B26-D26)-C26)</f>
        <v>-0.0228417767543588</v>
      </c>
      <c r="I26" s="35" t="n">
        <f aca="false">B26-D26</f>
        <v>-0.00206872303575727</v>
      </c>
      <c r="J26" s="35" t="n">
        <f aca="false">-C26*(B26-D26)</f>
        <v>0.0020451567203654</v>
      </c>
      <c r="K26" s="35" t="n">
        <f aca="false">C26-E26</f>
        <v>-0.0228541257368541</v>
      </c>
      <c r="L26" s="118" t="n">
        <f aca="false">H26*K26-I26*J26</f>
        <v>0.000526259700816421</v>
      </c>
      <c r="M26" s="118" t="n">
        <f aca="false">IFERROR(IF(ABS(L26)&lt;1E-030,0,(-F26*K26+G26*I26)/L26),0)</f>
        <v>0</v>
      </c>
      <c r="N26" s="118" t="n">
        <f aca="false">IFERROR(IF(ABS(L26)&lt;1E-030,0,(-G26*H26+F26*J26)/L26),0)</f>
        <v>0</v>
      </c>
      <c r="O26" s="119" t="n">
        <f aca="false">ABS(F26)+ABS(G26)</f>
        <v>0</v>
      </c>
      <c r="P26" s="2"/>
      <c r="Q26" s="2"/>
      <c r="R26" s="2"/>
      <c r="S26" s="2"/>
      <c r="T26" s="2"/>
    </row>
    <row r="27" customFormat="false" ht="29.85" hidden="false" customHeight="false" outlineLevel="0" collapsed="false">
      <c r="A27" s="47" t="n">
        <v>8</v>
      </c>
      <c r="B27" s="116" t="n">
        <f aca="false">IFERROR(IF(O26&lt;1E-015,B26,B26+M26),B26)</f>
        <v>0.0059693744797263</v>
      </c>
      <c r="C27" s="116" t="n">
        <f aca="false">IFERROR(IF(O26&lt;1E-015,C26,C26+N26),C26)</f>
        <v>0.988608279124596</v>
      </c>
      <c r="D27" s="116" t="n">
        <f aca="false">$B$8-B27</f>
        <v>0.00803809751548356</v>
      </c>
      <c r="E27" s="116" t="n">
        <f aca="false">$B$7-C27-B27*D27</f>
        <v>1.01146240486145</v>
      </c>
      <c r="F27" s="118" t="n">
        <f aca="false">$B$6-(B27*E27+C27*D27)</f>
        <v>0</v>
      </c>
      <c r="G27" s="118" t="n">
        <f aca="false">$B$5-C27*E27</f>
        <v>0</v>
      </c>
      <c r="H27" s="35" t="n">
        <f aca="false">-(E27+B27*(B27-D27)-C27)</f>
        <v>-0.0228417767543588</v>
      </c>
      <c r="I27" s="35" t="n">
        <f aca="false">B27-D27</f>
        <v>-0.00206872303575727</v>
      </c>
      <c r="J27" s="35" t="n">
        <f aca="false">-C27*(B27-D27)</f>
        <v>0.0020451567203654</v>
      </c>
      <c r="K27" s="35" t="n">
        <f aca="false">C27-E27</f>
        <v>-0.0228541257368541</v>
      </c>
      <c r="L27" s="118" t="n">
        <f aca="false">H27*K27-I27*J27</f>
        <v>0.000526259700816421</v>
      </c>
      <c r="M27" s="118" t="n">
        <f aca="false">IFERROR(IF(ABS(L27)&lt;1E-030,0,(-F27*K27+G27*I27)/L27),0)</f>
        <v>0</v>
      </c>
      <c r="N27" s="118" t="n">
        <f aca="false">IFERROR(IF(ABS(L27)&lt;1E-030,0,(-G27*H27+F27*J27)/L27),0)</f>
        <v>0</v>
      </c>
      <c r="O27" s="119" t="n">
        <f aca="false">ABS(F27)+ABS(G27)</f>
        <v>0</v>
      </c>
      <c r="P27" s="2"/>
      <c r="Q27" s="122" t="s">
        <v>400</v>
      </c>
      <c r="R27" s="2"/>
      <c r="S27" s="2"/>
      <c r="T27" s="2"/>
    </row>
    <row r="28" customFormat="false" ht="15" hidden="false" customHeight="false" outlineLevel="0" collapsed="false">
      <c r="A28" s="47" t="n">
        <v>9</v>
      </c>
      <c r="B28" s="116" t="n">
        <f aca="false">IFERROR(IF(O27&lt;1E-015,B27,B27+M27),B27)</f>
        <v>0.0059693744797263</v>
      </c>
      <c r="C28" s="116" t="n">
        <f aca="false">IFERROR(IF(O27&lt;1E-015,C27,C27+N27),C27)</f>
        <v>0.988608279124596</v>
      </c>
      <c r="D28" s="116" t="n">
        <f aca="false">$B$8-B28</f>
        <v>0.00803809751548356</v>
      </c>
      <c r="E28" s="116" t="n">
        <f aca="false">$B$7-C28-B28*D28</f>
        <v>1.01146240486145</v>
      </c>
      <c r="F28" s="118" t="n">
        <f aca="false">$B$6-(B28*E28+C28*D28)</f>
        <v>0</v>
      </c>
      <c r="G28" s="118" t="n">
        <f aca="false">$B$5-C28*E28</f>
        <v>0</v>
      </c>
      <c r="H28" s="35" t="n">
        <f aca="false">-(E28+B28*(B28-D28)-C28)</f>
        <v>-0.0228417767543588</v>
      </c>
      <c r="I28" s="35" t="n">
        <f aca="false">B28-D28</f>
        <v>-0.00206872303575727</v>
      </c>
      <c r="J28" s="35" t="n">
        <f aca="false">-C28*(B28-D28)</f>
        <v>0.0020451567203654</v>
      </c>
      <c r="K28" s="35" t="n">
        <f aca="false">C28-E28</f>
        <v>-0.0228541257368541</v>
      </c>
      <c r="L28" s="118" t="n">
        <f aca="false">H28*K28-I28*J28</f>
        <v>0.000526259700816421</v>
      </c>
      <c r="M28" s="118" t="n">
        <f aca="false">IFERROR(IF(ABS(L28)&lt;1E-030,0,(-F28*K28+G28*I28)/L28),0)</f>
        <v>0</v>
      </c>
      <c r="N28" s="118" t="n">
        <f aca="false">IFERROR(IF(ABS(L28)&lt;1E-030,0,(-G28*H28+F28*J28)/L28),0)</f>
        <v>0</v>
      </c>
      <c r="O28" s="119" t="n">
        <f aca="false">ABS(F28)+ABS(G28)</f>
        <v>0</v>
      </c>
      <c r="P28" s="2"/>
      <c r="Q28" s="2"/>
      <c r="R28" s="2"/>
      <c r="S28" s="2"/>
      <c r="T28" s="2"/>
    </row>
    <row r="29" customFormat="false" ht="15" hidden="false" customHeight="false" outlineLevel="0" collapsed="false">
      <c r="A29" s="47" t="n">
        <v>10</v>
      </c>
      <c r="B29" s="116" t="n">
        <f aca="false">IFERROR(IF(O28&lt;1E-015,B28,B28+M28),B28)</f>
        <v>0.0059693744797263</v>
      </c>
      <c r="C29" s="116" t="n">
        <f aca="false">IFERROR(IF(O28&lt;1E-015,C28,C28+N28),C28)</f>
        <v>0.988608279124596</v>
      </c>
      <c r="D29" s="116" t="n">
        <f aca="false">$B$8-B29</f>
        <v>0.00803809751548356</v>
      </c>
      <c r="E29" s="116" t="n">
        <f aca="false">$B$7-C29-B29*D29</f>
        <v>1.01146240486145</v>
      </c>
      <c r="F29" s="118" t="n">
        <f aca="false">$B$6-(B29*E29+C29*D29)</f>
        <v>0</v>
      </c>
      <c r="G29" s="118" t="n">
        <f aca="false">$B$5-C29*E29</f>
        <v>0</v>
      </c>
      <c r="H29" s="35" t="n">
        <f aca="false">-(E29+B29*(B29-D29)-C29)</f>
        <v>-0.0228417767543588</v>
      </c>
      <c r="I29" s="35" t="n">
        <f aca="false">B29-D29</f>
        <v>-0.00206872303575727</v>
      </c>
      <c r="J29" s="35" t="n">
        <f aca="false">-C29*(B29-D29)</f>
        <v>0.0020451567203654</v>
      </c>
      <c r="K29" s="35" t="n">
        <f aca="false">C29-E29</f>
        <v>-0.0228541257368541</v>
      </c>
      <c r="L29" s="118" t="n">
        <f aca="false">H29*K29-I29*J29</f>
        <v>0.000526259700816421</v>
      </c>
      <c r="M29" s="118" t="n">
        <f aca="false">IFERROR(IF(ABS(L29)&lt;1E-030,0,(-F29*K29+G29*I29)/L29),0)</f>
        <v>0</v>
      </c>
      <c r="N29" s="118" t="n">
        <f aca="false">IFERROR(IF(ABS(L29)&lt;1E-030,0,(-G29*H29+F29*J29)/L29),0)</f>
        <v>0</v>
      </c>
      <c r="O29" s="119" t="n">
        <f aca="false">ABS(F29)+ABS(G29)</f>
        <v>0</v>
      </c>
      <c r="P29" s="2"/>
      <c r="Q29" s="2"/>
      <c r="R29" s="2"/>
      <c r="S29" s="2"/>
      <c r="T29" s="2"/>
    </row>
    <row r="30" customFormat="false" ht="29.85" hidden="false" customHeight="false" outlineLevel="0" collapsed="false">
      <c r="A30" s="47" t="n">
        <v>11</v>
      </c>
      <c r="B30" s="116" t="n">
        <f aca="false">IFERROR(IF(O29&lt;1E-015,B29,B29+M29),B29)</f>
        <v>0.0059693744797263</v>
      </c>
      <c r="C30" s="116" t="n">
        <f aca="false">IFERROR(IF(O29&lt;1E-015,C29,C29+N29),C29)</f>
        <v>0.988608279124596</v>
      </c>
      <c r="D30" s="116" t="n">
        <f aca="false">$B$8-B30</f>
        <v>0.00803809751548356</v>
      </c>
      <c r="E30" s="116" t="n">
        <f aca="false">$B$7-C30-B30*D30</f>
        <v>1.01146240486145</v>
      </c>
      <c r="F30" s="118" t="n">
        <f aca="false">$B$6-(B30*E30+C30*D30)</f>
        <v>0</v>
      </c>
      <c r="G30" s="118" t="n">
        <f aca="false">$B$5-C30*E30</f>
        <v>0</v>
      </c>
      <c r="H30" s="35" t="n">
        <f aca="false">-(E30+B30*(B30-D30)-C30)</f>
        <v>-0.0228417767543588</v>
      </c>
      <c r="I30" s="35" t="n">
        <f aca="false">B30-D30</f>
        <v>-0.00206872303575727</v>
      </c>
      <c r="J30" s="35" t="n">
        <f aca="false">-C30*(B30-D30)</f>
        <v>0.0020451567203654</v>
      </c>
      <c r="K30" s="35" t="n">
        <f aca="false">C30-E30</f>
        <v>-0.0228541257368541</v>
      </c>
      <c r="L30" s="118" t="n">
        <f aca="false">H30*K30-I30*J30</f>
        <v>0.000526259700816421</v>
      </c>
      <c r="M30" s="118" t="n">
        <f aca="false">IFERROR(IF(ABS(L30)&lt;1E-030,0,(-F30*K30+G30*I30)/L30),0)</f>
        <v>0</v>
      </c>
      <c r="N30" s="118" t="n">
        <f aca="false">IFERROR(IF(ABS(L30)&lt;1E-030,0,(-G30*H30+F30*J30)/L30),0)</f>
        <v>0</v>
      </c>
      <c r="O30" s="119" t="n">
        <f aca="false">ABS(F30)+ABS(G30)</f>
        <v>0</v>
      </c>
      <c r="P30" s="2"/>
      <c r="Q30" s="122" t="s">
        <v>401</v>
      </c>
      <c r="R30" s="2"/>
      <c r="S30" s="2"/>
      <c r="T30" s="2"/>
    </row>
    <row r="31" customFormat="false" ht="15" hidden="false" customHeight="false" outlineLevel="0" collapsed="false">
      <c r="A31" s="47" t="n">
        <v>12</v>
      </c>
      <c r="B31" s="116" t="n">
        <f aca="false">IFERROR(IF(O30&lt;1E-015,B30,B30+M30),B30)</f>
        <v>0.0059693744797263</v>
      </c>
      <c r="C31" s="116" t="n">
        <f aca="false">IFERROR(IF(O30&lt;1E-015,C30,C30+N30),C30)</f>
        <v>0.988608279124596</v>
      </c>
      <c r="D31" s="116" t="n">
        <f aca="false">$B$8-B31</f>
        <v>0.00803809751548356</v>
      </c>
      <c r="E31" s="116" t="n">
        <f aca="false">$B$7-C31-B31*D31</f>
        <v>1.01146240486145</v>
      </c>
      <c r="F31" s="118" t="n">
        <f aca="false">$B$6-(B31*E31+C31*D31)</f>
        <v>0</v>
      </c>
      <c r="G31" s="118" t="n">
        <f aca="false">$B$5-C31*E31</f>
        <v>0</v>
      </c>
      <c r="H31" s="35" t="n">
        <f aca="false">-(E31+B31*(B31-D31)-C31)</f>
        <v>-0.0228417767543588</v>
      </c>
      <c r="I31" s="35" t="n">
        <f aca="false">B31-D31</f>
        <v>-0.00206872303575727</v>
      </c>
      <c r="J31" s="35" t="n">
        <f aca="false">-C31*(B31-D31)</f>
        <v>0.0020451567203654</v>
      </c>
      <c r="K31" s="35" t="n">
        <f aca="false">C31-E31</f>
        <v>-0.0228541257368541</v>
      </c>
      <c r="L31" s="118" t="n">
        <f aca="false">H31*K31-I31*J31</f>
        <v>0.000526259700816421</v>
      </c>
      <c r="M31" s="118" t="n">
        <f aca="false">IFERROR(IF(ABS(L31)&lt;1E-030,0,(-F31*K31+G31*I31)/L31),0)</f>
        <v>0</v>
      </c>
      <c r="N31" s="118" t="n">
        <f aca="false">IFERROR(IF(ABS(L31)&lt;1E-030,0,(-G31*H31+F31*J31)/L31),0)</f>
        <v>0</v>
      </c>
      <c r="O31" s="119" t="n">
        <f aca="false">ABS(F31)+ABS(G31)</f>
        <v>0</v>
      </c>
      <c r="P31" s="2"/>
      <c r="Q31" s="2"/>
      <c r="R31" s="2"/>
      <c r="S31" s="2"/>
      <c r="T31" s="2"/>
    </row>
    <row r="32" customFormat="false" ht="15" hidden="false" customHeight="false" outlineLevel="0" collapsed="false">
      <c r="A32" s="47" t="n">
        <v>13</v>
      </c>
      <c r="B32" s="116" t="n">
        <f aca="false">IFERROR(IF(O31&lt;1E-015,B31,B31+M31),B31)</f>
        <v>0.0059693744797263</v>
      </c>
      <c r="C32" s="116" t="n">
        <f aca="false">IFERROR(IF(O31&lt;1E-015,C31,C31+N31),C31)</f>
        <v>0.988608279124596</v>
      </c>
      <c r="D32" s="116" t="n">
        <f aca="false">$B$8-B32</f>
        <v>0.00803809751548356</v>
      </c>
      <c r="E32" s="116" t="n">
        <f aca="false">$B$7-C32-B32*D32</f>
        <v>1.01146240486145</v>
      </c>
      <c r="F32" s="118" t="n">
        <f aca="false">$B$6-(B32*E32+C32*D32)</f>
        <v>0</v>
      </c>
      <c r="G32" s="118" t="n">
        <f aca="false">$B$5-C32*E32</f>
        <v>0</v>
      </c>
      <c r="H32" s="35" t="n">
        <f aca="false">-(E32+B32*(B32-D32)-C32)</f>
        <v>-0.0228417767543588</v>
      </c>
      <c r="I32" s="35" t="n">
        <f aca="false">B32-D32</f>
        <v>-0.00206872303575727</v>
      </c>
      <c r="J32" s="35" t="n">
        <f aca="false">-C32*(B32-D32)</f>
        <v>0.0020451567203654</v>
      </c>
      <c r="K32" s="35" t="n">
        <f aca="false">C32-E32</f>
        <v>-0.0228541257368541</v>
      </c>
      <c r="L32" s="118" t="n">
        <f aca="false">H32*K32-I32*J32</f>
        <v>0.000526259700816421</v>
      </c>
      <c r="M32" s="118" t="n">
        <f aca="false">IFERROR(IF(ABS(L32)&lt;1E-030,0,(-F32*K32+G32*I32)/L32),0)</f>
        <v>0</v>
      </c>
      <c r="N32" s="118" t="n">
        <f aca="false">IFERROR(IF(ABS(L32)&lt;1E-030,0,(-G32*H32+F32*J32)/L32),0)</f>
        <v>0</v>
      </c>
      <c r="O32" s="119" t="n">
        <f aca="false">ABS(F32)+ABS(G32)</f>
        <v>0</v>
      </c>
      <c r="P32" s="2"/>
      <c r="Q32" s="2"/>
      <c r="R32" s="2"/>
      <c r="S32" s="2"/>
      <c r="T32" s="2"/>
    </row>
    <row r="33" customFormat="false" ht="15" hidden="false" customHeight="false" outlineLevel="0" collapsed="false">
      <c r="A33" s="47" t="n">
        <v>14</v>
      </c>
      <c r="B33" s="116" t="n">
        <f aca="false">IFERROR(IF(O32&lt;1E-015,B32,B32+M32),B32)</f>
        <v>0.0059693744797263</v>
      </c>
      <c r="C33" s="116" t="n">
        <f aca="false">IFERROR(IF(O32&lt;1E-015,C32,C32+N32),C32)</f>
        <v>0.988608279124596</v>
      </c>
      <c r="D33" s="116" t="n">
        <f aca="false">$B$8-B33</f>
        <v>0.00803809751548356</v>
      </c>
      <c r="E33" s="116" t="n">
        <f aca="false">$B$7-C33-B33*D33</f>
        <v>1.01146240486145</v>
      </c>
      <c r="F33" s="118" t="n">
        <f aca="false">$B$6-(B33*E33+C33*D33)</f>
        <v>0</v>
      </c>
      <c r="G33" s="118" t="n">
        <f aca="false">$B$5-C33*E33</f>
        <v>0</v>
      </c>
      <c r="H33" s="35" t="n">
        <f aca="false">-(E33+B33*(B33-D33)-C33)</f>
        <v>-0.0228417767543588</v>
      </c>
      <c r="I33" s="35" t="n">
        <f aca="false">B33-D33</f>
        <v>-0.00206872303575727</v>
      </c>
      <c r="J33" s="35" t="n">
        <f aca="false">-C33*(B33-D33)</f>
        <v>0.0020451567203654</v>
      </c>
      <c r="K33" s="35" t="n">
        <f aca="false">C33-E33</f>
        <v>-0.0228541257368541</v>
      </c>
      <c r="L33" s="118" t="n">
        <f aca="false">H33*K33-I33*J33</f>
        <v>0.000526259700816421</v>
      </c>
      <c r="M33" s="118" t="n">
        <f aca="false">IFERROR(IF(ABS(L33)&lt;1E-030,0,(-F33*K33+G33*I33)/L33),0)</f>
        <v>0</v>
      </c>
      <c r="N33" s="118" t="n">
        <f aca="false">IFERROR(IF(ABS(L33)&lt;1E-030,0,(-G33*H33+F33*J33)/L33),0)</f>
        <v>0</v>
      </c>
      <c r="O33" s="119" t="n">
        <f aca="false">ABS(F33)+ABS(G33)</f>
        <v>0</v>
      </c>
      <c r="P33" s="2"/>
      <c r="Q33" s="2"/>
      <c r="R33" s="2"/>
      <c r="S33" s="2"/>
      <c r="T33" s="2"/>
    </row>
    <row r="34" customFormat="false" ht="15" hidden="false" customHeight="false" outlineLevel="0" collapsed="false">
      <c r="A34" s="47" t="n">
        <v>15</v>
      </c>
      <c r="B34" s="116" t="n">
        <f aca="false">IFERROR(IF(O33&lt;1E-015,B33,B33+M33),B33)</f>
        <v>0.0059693744797263</v>
      </c>
      <c r="C34" s="116" t="n">
        <f aca="false">IFERROR(IF(O33&lt;1E-015,C33,C33+N33),C33)</f>
        <v>0.988608279124596</v>
      </c>
      <c r="D34" s="116" t="n">
        <f aca="false">$B$8-B34</f>
        <v>0.00803809751548356</v>
      </c>
      <c r="E34" s="116" t="n">
        <f aca="false">$B$7-C34-B34*D34</f>
        <v>1.01146240486145</v>
      </c>
      <c r="F34" s="118" t="n">
        <f aca="false">$B$6-(B34*E34+C34*D34)</f>
        <v>0</v>
      </c>
      <c r="G34" s="118" t="n">
        <f aca="false">$B$5-C34*E34</f>
        <v>0</v>
      </c>
      <c r="H34" s="35" t="n">
        <f aca="false">-(E34+B34*(B34-D34)-C34)</f>
        <v>-0.0228417767543588</v>
      </c>
      <c r="I34" s="35" t="n">
        <f aca="false">B34-D34</f>
        <v>-0.00206872303575727</v>
      </c>
      <c r="J34" s="35" t="n">
        <f aca="false">-C34*(B34-D34)</f>
        <v>0.0020451567203654</v>
      </c>
      <c r="K34" s="35" t="n">
        <f aca="false">C34-E34</f>
        <v>-0.0228541257368541</v>
      </c>
      <c r="L34" s="118" t="n">
        <f aca="false">H34*K34-I34*J34</f>
        <v>0.000526259700816421</v>
      </c>
      <c r="M34" s="118" t="n">
        <f aca="false">IFERROR(IF(ABS(L34)&lt;1E-030,0,(-F34*K34+G34*I34)/L34),0)</f>
        <v>0</v>
      </c>
      <c r="N34" s="118" t="n">
        <f aca="false">IFERROR(IF(ABS(L34)&lt;1E-030,0,(-G34*H34+F34*J34)/L34),0)</f>
        <v>0</v>
      </c>
      <c r="O34" s="119" t="n">
        <f aca="false">ABS(F34)+ABS(G34)</f>
        <v>0</v>
      </c>
      <c r="P34" s="2"/>
      <c r="Q34" s="2"/>
      <c r="R34" s="2"/>
      <c r="S34" s="2"/>
      <c r="T34" s="2"/>
    </row>
    <row r="35" customFormat="false" ht="15" hidden="false" customHeight="false" outlineLevel="0" collapsed="false">
      <c r="A35" s="47" t="n">
        <v>16</v>
      </c>
      <c r="B35" s="116" t="n">
        <f aca="false">IFERROR(IF(O34&lt;1E-015,B34,B34+M34),B34)</f>
        <v>0.0059693744797263</v>
      </c>
      <c r="C35" s="116" t="n">
        <f aca="false">IFERROR(IF(O34&lt;1E-015,C34,C34+N34),C34)</f>
        <v>0.988608279124596</v>
      </c>
      <c r="D35" s="116" t="n">
        <f aca="false">$B$8-B35</f>
        <v>0.00803809751548356</v>
      </c>
      <c r="E35" s="116" t="n">
        <f aca="false">$B$7-C35-B35*D35</f>
        <v>1.01146240486145</v>
      </c>
      <c r="F35" s="118" t="n">
        <f aca="false">$B$6-(B35*E35+C35*D35)</f>
        <v>0</v>
      </c>
      <c r="G35" s="118" t="n">
        <f aca="false">$B$5-C35*E35</f>
        <v>0</v>
      </c>
      <c r="H35" s="35" t="n">
        <f aca="false">-(E35+B35*(B35-D35)-C35)</f>
        <v>-0.0228417767543588</v>
      </c>
      <c r="I35" s="35" t="n">
        <f aca="false">B35-D35</f>
        <v>-0.00206872303575727</v>
      </c>
      <c r="J35" s="35" t="n">
        <f aca="false">-C35*(B35-D35)</f>
        <v>0.0020451567203654</v>
      </c>
      <c r="K35" s="35" t="n">
        <f aca="false">C35-E35</f>
        <v>-0.0228541257368541</v>
      </c>
      <c r="L35" s="118" t="n">
        <f aca="false">H35*K35-I35*J35</f>
        <v>0.000526259700816421</v>
      </c>
      <c r="M35" s="118" t="n">
        <f aca="false">IFERROR(IF(ABS(L35)&lt;1E-030,0,(-F35*K35+G35*I35)/L35),0)</f>
        <v>0</v>
      </c>
      <c r="N35" s="118" t="n">
        <f aca="false">IFERROR(IF(ABS(L35)&lt;1E-030,0,(-G35*H35+F35*J35)/L35),0)</f>
        <v>0</v>
      </c>
      <c r="O35" s="119" t="n">
        <f aca="false">ABS(F35)+ABS(G35)</f>
        <v>0</v>
      </c>
      <c r="P35" s="2"/>
      <c r="Q35" s="2"/>
      <c r="R35" s="2"/>
      <c r="S35" s="2"/>
      <c r="T35" s="2"/>
    </row>
    <row r="36" customFormat="false" ht="15" hidden="false" customHeight="false" outlineLevel="0" collapsed="false">
      <c r="A36" s="47" t="n">
        <v>17</v>
      </c>
      <c r="B36" s="116" t="n">
        <f aca="false">IFERROR(IF(O35&lt;1E-015,B35,B35+M35),B35)</f>
        <v>0.0059693744797263</v>
      </c>
      <c r="C36" s="116" t="n">
        <f aca="false">IFERROR(IF(O35&lt;1E-015,C35,C35+N35),C35)</f>
        <v>0.988608279124596</v>
      </c>
      <c r="D36" s="116" t="n">
        <f aca="false">$B$8-B36</f>
        <v>0.00803809751548356</v>
      </c>
      <c r="E36" s="116" t="n">
        <f aca="false">$B$7-C36-B36*D36</f>
        <v>1.01146240486145</v>
      </c>
      <c r="F36" s="118" t="n">
        <f aca="false">$B$6-(B36*E36+C36*D36)</f>
        <v>0</v>
      </c>
      <c r="G36" s="118" t="n">
        <f aca="false">$B$5-C36*E36</f>
        <v>0</v>
      </c>
      <c r="H36" s="35" t="n">
        <f aca="false">-(E36+B36*(B36-D36)-C36)</f>
        <v>-0.0228417767543588</v>
      </c>
      <c r="I36" s="35" t="n">
        <f aca="false">B36-D36</f>
        <v>-0.00206872303575727</v>
      </c>
      <c r="J36" s="35" t="n">
        <f aca="false">-C36*(B36-D36)</f>
        <v>0.0020451567203654</v>
      </c>
      <c r="K36" s="35" t="n">
        <f aca="false">C36-E36</f>
        <v>-0.0228541257368541</v>
      </c>
      <c r="L36" s="118" t="n">
        <f aca="false">H36*K36-I36*J36</f>
        <v>0.000526259700816421</v>
      </c>
      <c r="M36" s="118" t="n">
        <f aca="false">IFERROR(IF(ABS(L36)&lt;1E-030,0,(-F36*K36+G36*I36)/L36),0)</f>
        <v>0</v>
      </c>
      <c r="N36" s="118" t="n">
        <f aca="false">IFERROR(IF(ABS(L36)&lt;1E-030,0,(-G36*H36+F36*J36)/L36),0)</f>
        <v>0</v>
      </c>
      <c r="O36" s="119" t="n">
        <f aca="false">ABS(F36)+ABS(G36)</f>
        <v>0</v>
      </c>
      <c r="P36" s="2"/>
      <c r="Q36" s="2"/>
      <c r="R36" s="2"/>
      <c r="S36" s="2"/>
      <c r="T36" s="2"/>
    </row>
    <row r="37" customFormat="false" ht="15" hidden="false" customHeight="false" outlineLevel="0" collapsed="false">
      <c r="A37" s="47" t="n">
        <v>18</v>
      </c>
      <c r="B37" s="116" t="n">
        <f aca="false">IFERROR(IF(O36&lt;1E-015,B36,B36+M36),B36)</f>
        <v>0.0059693744797263</v>
      </c>
      <c r="C37" s="116" t="n">
        <f aca="false">IFERROR(IF(O36&lt;1E-015,C36,C36+N36),C36)</f>
        <v>0.988608279124596</v>
      </c>
      <c r="D37" s="116" t="n">
        <f aca="false">$B$8-B37</f>
        <v>0.00803809751548356</v>
      </c>
      <c r="E37" s="116" t="n">
        <f aca="false">$B$7-C37-B37*D37</f>
        <v>1.01146240486145</v>
      </c>
      <c r="F37" s="118" t="n">
        <f aca="false">$B$6-(B37*E37+C37*D37)</f>
        <v>0</v>
      </c>
      <c r="G37" s="118" t="n">
        <f aca="false">$B$5-C37*E37</f>
        <v>0</v>
      </c>
      <c r="H37" s="35" t="n">
        <f aca="false">-(E37+B37*(B37-D37)-C37)</f>
        <v>-0.0228417767543588</v>
      </c>
      <c r="I37" s="35" t="n">
        <f aca="false">B37-D37</f>
        <v>-0.00206872303575727</v>
      </c>
      <c r="J37" s="35" t="n">
        <f aca="false">-C37*(B37-D37)</f>
        <v>0.0020451567203654</v>
      </c>
      <c r="K37" s="35" t="n">
        <f aca="false">C37-E37</f>
        <v>-0.0228541257368541</v>
      </c>
      <c r="L37" s="118" t="n">
        <f aca="false">H37*K37-I37*J37</f>
        <v>0.000526259700816421</v>
      </c>
      <c r="M37" s="118" t="n">
        <f aca="false">IFERROR(IF(ABS(L37)&lt;1E-030,0,(-F37*K37+G37*I37)/L37),0)</f>
        <v>0</v>
      </c>
      <c r="N37" s="118" t="n">
        <f aca="false">IFERROR(IF(ABS(L37)&lt;1E-030,0,(-G37*H37+F37*J37)/L37),0)</f>
        <v>0</v>
      </c>
      <c r="O37" s="119" t="n">
        <f aca="false">ABS(F37)+ABS(G37)</f>
        <v>0</v>
      </c>
      <c r="P37" s="2"/>
      <c r="Q37" s="2"/>
      <c r="R37" s="2"/>
      <c r="S37" s="2"/>
      <c r="T37" s="2"/>
    </row>
    <row r="38" customFormat="false" ht="15" hidden="false" customHeight="false" outlineLevel="0" collapsed="false">
      <c r="A38" s="47" t="n">
        <v>19</v>
      </c>
      <c r="B38" s="116" t="n">
        <f aca="false">IFERROR(IF(O37&lt;1E-015,B37,B37+M37),B37)</f>
        <v>0.0059693744797263</v>
      </c>
      <c r="C38" s="116" t="n">
        <f aca="false">IFERROR(IF(O37&lt;1E-015,C37,C37+N37),C37)</f>
        <v>0.988608279124596</v>
      </c>
      <c r="D38" s="116" t="n">
        <f aca="false">$B$8-B38</f>
        <v>0.00803809751548356</v>
      </c>
      <c r="E38" s="116" t="n">
        <f aca="false">$B$7-C38-B38*D38</f>
        <v>1.01146240486145</v>
      </c>
      <c r="F38" s="118" t="n">
        <f aca="false">$B$6-(B38*E38+C38*D38)</f>
        <v>0</v>
      </c>
      <c r="G38" s="118" t="n">
        <f aca="false">$B$5-C38*E38</f>
        <v>0</v>
      </c>
      <c r="H38" s="35" t="n">
        <f aca="false">-(E38+B38*(B38-D38)-C38)</f>
        <v>-0.0228417767543588</v>
      </c>
      <c r="I38" s="35" t="n">
        <f aca="false">B38-D38</f>
        <v>-0.00206872303575727</v>
      </c>
      <c r="J38" s="35" t="n">
        <f aca="false">-C38*(B38-D38)</f>
        <v>0.0020451567203654</v>
      </c>
      <c r="K38" s="35" t="n">
        <f aca="false">C38-E38</f>
        <v>-0.0228541257368541</v>
      </c>
      <c r="L38" s="118" t="n">
        <f aca="false">H38*K38-I38*J38</f>
        <v>0.000526259700816421</v>
      </c>
      <c r="M38" s="118" t="n">
        <f aca="false">IFERROR(IF(ABS(L38)&lt;1E-030,0,(-F38*K38+G38*I38)/L38),0)</f>
        <v>0</v>
      </c>
      <c r="N38" s="118" t="n">
        <f aca="false">IFERROR(IF(ABS(L38)&lt;1E-030,0,(-G38*H38+F38*J38)/L38),0)</f>
        <v>0</v>
      </c>
      <c r="O38" s="119" t="n">
        <f aca="false">ABS(F38)+ABS(G38)</f>
        <v>0</v>
      </c>
      <c r="P38" s="2"/>
      <c r="Q38" s="2"/>
      <c r="R38" s="2"/>
      <c r="S38" s="2"/>
      <c r="T38" s="2"/>
    </row>
    <row r="39" customFormat="false" ht="15" hidden="false" customHeight="false" outlineLevel="0" collapsed="false">
      <c r="A39" s="47" t="n">
        <v>20</v>
      </c>
      <c r="B39" s="116" t="n">
        <f aca="false">IFERROR(IF(O38&lt;1E-015,B38,B38+M38),B38)</f>
        <v>0.0059693744797263</v>
      </c>
      <c r="C39" s="116" t="n">
        <f aca="false">IFERROR(IF(O38&lt;1E-015,C38,C38+N38),C38)</f>
        <v>0.988608279124596</v>
      </c>
      <c r="D39" s="116" t="n">
        <f aca="false">$B$8-B39</f>
        <v>0.00803809751548356</v>
      </c>
      <c r="E39" s="116" t="n">
        <f aca="false">$B$7-C39-B39*D39</f>
        <v>1.01146240486145</v>
      </c>
      <c r="F39" s="118" t="n">
        <f aca="false">$B$6-(B39*E39+C39*D39)</f>
        <v>0</v>
      </c>
      <c r="G39" s="118" t="n">
        <f aca="false">$B$5-C39*E39</f>
        <v>0</v>
      </c>
      <c r="H39" s="35" t="n">
        <f aca="false">-(E39+B39*(B39-D39)-C39)</f>
        <v>-0.0228417767543588</v>
      </c>
      <c r="I39" s="35" t="n">
        <f aca="false">B39-D39</f>
        <v>-0.00206872303575727</v>
      </c>
      <c r="J39" s="35" t="n">
        <f aca="false">-C39*(B39-D39)</f>
        <v>0.0020451567203654</v>
      </c>
      <c r="K39" s="35" t="n">
        <f aca="false">C39-E39</f>
        <v>-0.0228541257368541</v>
      </c>
      <c r="L39" s="118" t="n">
        <f aca="false">H39*K39-I39*J39</f>
        <v>0.000526259700816421</v>
      </c>
      <c r="M39" s="118" t="n">
        <f aca="false">IFERROR(IF(ABS(L39)&lt;1E-030,0,(-F39*K39+G39*I39)/L39),0)</f>
        <v>0</v>
      </c>
      <c r="N39" s="118" t="n">
        <f aca="false">IFERROR(IF(ABS(L39)&lt;1E-030,0,(-G39*H39+F39*J39)/L39),0)</f>
        <v>0</v>
      </c>
      <c r="O39" s="119" t="n">
        <f aca="false">ABS(F39)+ABS(G39)</f>
        <v>0</v>
      </c>
      <c r="P39" s="2"/>
      <c r="Q39" s="2"/>
      <c r="R39" s="2"/>
      <c r="S39" s="2"/>
      <c r="T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customFormat="false" ht="15" hidden="false" customHeight="false" outlineLevel="0" collapsed="false">
      <c r="A42" s="4" t="s">
        <v>402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customFormat="false" ht="15" hidden="false" customHeight="false" outlineLevel="0" collapsed="false">
      <c r="A43" s="2" t="s">
        <v>403</v>
      </c>
      <c r="B43" s="113" t="n">
        <f aca="false">B39</f>
        <v>0.0059693744797263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customFormat="false" ht="15" hidden="false" customHeight="false" outlineLevel="0" collapsed="false">
      <c r="A44" s="2" t="s">
        <v>404</v>
      </c>
      <c r="B44" s="113" t="n">
        <f aca="false">C39</f>
        <v>0.988608279124596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customFormat="false" ht="15" hidden="false" customHeight="false" outlineLevel="0" collapsed="false">
      <c r="A45" s="2" t="s">
        <v>405</v>
      </c>
      <c r="B45" s="113" t="n">
        <f aca="false">$B$8-B43</f>
        <v>0.00803809751548356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customFormat="false" ht="15" hidden="false" customHeight="false" outlineLevel="0" collapsed="false">
      <c r="A46" s="2" t="s">
        <v>406</v>
      </c>
      <c r="B46" s="113" t="n">
        <f aca="false">$B$7-B44-B43*B45</f>
        <v>1.01146240486145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customFormat="false" ht="15" hidden="false" customHeight="false" outlineLevel="0" collapsed="false">
      <c r="A47" s="6" t="s">
        <v>407</v>
      </c>
      <c r="B47" s="118" t="n">
        <f aca="false">O39</f>
        <v>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customFormat="false" ht="27.75" hidden="false" customHeight="true" outlineLevel="0" collapsed="false">
      <c r="A48" s="6" t="s">
        <v>408</v>
      </c>
      <c r="B48" s="100" t="str">
        <f aca="false">IF(B47&lt;0.00000001,"✓ 収束しました","⚠ 未収束。初期値（B11/B12/B13）を山の位置に近づけてください")</f>
        <v>✓ 収束しました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customFormat="false" ht="27.75" hidden="false" customHeight="true" outlineLevel="0" collapsed="false">
      <c r="A49" s="6" t="s">
        <v>409</v>
      </c>
      <c r="B49" s="100" t="str">
        <f aca="false">IF(OR(B44&lt;=0,B46&lt;=0),"⚠ q が負。振動モードとして成立していません。帯域を見直してください",IF(OR(B43&lt;=0,B45&lt;=0),"⚠ p が負（負減衰）。ノイズか帯域外モードの影響です","✓ 2つとも正常な振動モードです"))</f>
        <v>✓ 2つとも正常な振動モードです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E6A0"/>
    <pageSetUpPr fitToPage="false"/>
  </sheetPr>
  <dimension ref="A1:P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56"/>
    <col collapsed="false" customWidth="true" hidden="false" outlineLevel="0" max="6" min="6" style="0" width="3"/>
    <col collapsed="false" customWidth="true" hidden="false" outlineLevel="0" max="7" min="7" style="0" width="30"/>
  </cols>
  <sheetData>
    <row r="1" customFormat="false" ht="18.55" hidden="false" customHeight="false" outlineLevel="0" collapsed="false">
      <c r="A1" s="1" t="s">
        <v>410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3" t="s">
        <v>411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31.5" hidden="false" customHeight="true" outlineLevel="0" collapsed="false">
      <c r="A4" s="87" t="s">
        <v>412</v>
      </c>
      <c r="B4" s="87" t="s">
        <v>413</v>
      </c>
      <c r="C4" s="87" t="s">
        <v>414</v>
      </c>
      <c r="D4" s="87" t="s">
        <v>415</v>
      </c>
      <c r="E4" s="87" t="s">
        <v>416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customFormat="false" ht="15" hidden="false" customHeight="false" outlineLevel="0" collapsed="false">
      <c r="A5" s="123" t="s">
        <v>417</v>
      </c>
      <c r="B5" s="116" t="n">
        <f aca="false">08_極の分離_ニュートン法!B43</f>
        <v>0.0059693744797263</v>
      </c>
      <c r="C5" s="116" t="n">
        <f aca="false">08_極の分離_ニュートン法!B45</f>
        <v>0.00803809751548356</v>
      </c>
      <c r="D5" s="124" t="s">
        <v>86</v>
      </c>
      <c r="E5" s="47" t="s">
        <v>418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customFormat="false" ht="15" hidden="false" customHeight="false" outlineLevel="0" collapsed="false">
      <c r="A6" s="123" t="s">
        <v>419</v>
      </c>
      <c r="B6" s="116" t="n">
        <f aca="false">08_極の分離_ニュートン法!B44</f>
        <v>0.988608279124596</v>
      </c>
      <c r="C6" s="116" t="n">
        <f aca="false">08_極の分離_ニュートン法!B46</f>
        <v>1.01146240486145</v>
      </c>
      <c r="D6" s="124" t="s">
        <v>86</v>
      </c>
      <c r="E6" s="47" t="s">
        <v>420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customFormat="false" ht="15" hidden="false" customHeight="false" outlineLevel="0" collapsed="false">
      <c r="A7" s="123" t="s">
        <v>421</v>
      </c>
      <c r="B7" s="116" t="n">
        <f aca="false">IFERROR(SQRT(B6),"")</f>
        <v>0.994287825091204</v>
      </c>
      <c r="C7" s="116" t="n">
        <f aca="false">IFERROR(SQRT(C6),"")</f>
        <v>1.00571487254661</v>
      </c>
      <c r="D7" s="124" t="s">
        <v>86</v>
      </c>
      <c r="E7" s="125" t="s">
        <v>422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customFormat="false" ht="15" hidden="false" customHeight="false" outlineLevel="0" collapsed="false">
      <c r="A8" s="123" t="s">
        <v>423</v>
      </c>
      <c r="B8" s="113" t="n">
        <f aca="false">IFERROR(B5/(2*B7),"")</f>
        <v>0.00300183424210124</v>
      </c>
      <c r="C8" s="113" t="n">
        <f aca="false">IFERROR(C5/(2*C7),"")</f>
        <v>0.00399621092165514</v>
      </c>
      <c r="D8" s="124" t="s">
        <v>86</v>
      </c>
      <c r="E8" s="125" t="s">
        <v>424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customFormat="false" ht="15" hidden="false" customHeight="false" outlineLevel="0" collapsed="false">
      <c r="A9" s="123" t="s">
        <v>425</v>
      </c>
      <c r="B9" s="32" t="n">
        <f aca="false">IFERROR(B7*08_極の分離_ニュートン法!$F$5/(2*PI()),"")</f>
        <v>3480.00738781921</v>
      </c>
      <c r="C9" s="32" t="n">
        <f aca="false">IFERROR(C7*08_極の分離_ニュートン法!$F$5/(2*PI()),"")</f>
        <v>3520.00205391315</v>
      </c>
      <c r="D9" s="126" t="s">
        <v>426</v>
      </c>
      <c r="E9" s="125" t="s">
        <v>427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customFormat="false" ht="15" hidden="false" customHeight="false" outlineLevel="0" collapsed="false">
      <c r="A10" s="123" t="s">
        <v>428</v>
      </c>
      <c r="B10" s="32" t="n">
        <f aca="false">IFERROR(B9*SQRT(1-B8^2),"")</f>
        <v>3479.99170859526</v>
      </c>
      <c r="C10" s="32" t="n">
        <f aca="false">IFERROR(C9*SQRT(1-C8^2),"")</f>
        <v>3519.97394710949</v>
      </c>
      <c r="D10" s="126" t="s">
        <v>426</v>
      </c>
      <c r="E10" s="125" t="s">
        <v>429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customFormat="false" ht="15" hidden="false" customHeight="false" outlineLevel="0" collapsed="false">
      <c r="A11" s="123" t="s">
        <v>430</v>
      </c>
      <c r="B11" s="89" t="n">
        <f aca="false">IFERROR(2*PI()*B9,"")</f>
        <v>21865.5312880221</v>
      </c>
      <c r="C11" s="89" t="n">
        <f aca="false">IFERROR(2*PI()*C9,"")</f>
        <v>22116.825186389</v>
      </c>
      <c r="D11" s="126" t="s">
        <v>431</v>
      </c>
      <c r="E11" s="125" t="s">
        <v>432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customFormat="false" ht="15" hidden="false" customHeight="false" outlineLevel="0" collapsed="false">
      <c r="A12" s="123" t="s">
        <v>433</v>
      </c>
      <c r="B12" s="89" t="n">
        <f aca="false">IFERROR(2*PI()*B10,"")</f>
        <v>21865.4327725525</v>
      </c>
      <c r="C12" s="89" t="n">
        <f aca="false">IFERROR(2*PI()*C10,"")</f>
        <v>22116.6485861333</v>
      </c>
      <c r="D12" s="126" t="s">
        <v>431</v>
      </c>
      <c r="E12" s="125" t="s">
        <v>434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customFormat="false" ht="15" hidden="false" customHeight="false" outlineLevel="0" collapsed="false">
      <c r="A13" s="123" t="s">
        <v>435</v>
      </c>
      <c r="B13" s="35" t="n">
        <f aca="false">IFERROR(B8*B11,"")</f>
        <v>65.6367005421209</v>
      </c>
      <c r="C13" s="35" t="n">
        <f aca="false">IFERROR(C8*C11,"")</f>
        <v>88.3834983621853</v>
      </c>
      <c r="D13" s="126" t="s">
        <v>431</v>
      </c>
      <c r="E13" s="125" t="s">
        <v>436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customFormat="false" ht="15" hidden="false" customHeight="false" outlineLevel="0" collapsed="false">
      <c r="A14" s="123" t="s">
        <v>437</v>
      </c>
      <c r="B14" s="35" t="n">
        <f aca="false">IFERROR(B13/(2*PI()),"")</f>
        <v>10.446405339521</v>
      </c>
      <c r="C14" s="35" t="n">
        <f aca="false">IFERROR(C13/(2*PI()),"")</f>
        <v>14.0666706520962</v>
      </c>
      <c r="D14" s="126" t="s">
        <v>426</v>
      </c>
      <c r="E14" s="125" t="s">
        <v>438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customFormat="false" ht="15" hidden="false" customHeight="false" outlineLevel="0" collapsed="false">
      <c r="A15" s="123" t="s">
        <v>439</v>
      </c>
      <c r="B15" s="113" t="n">
        <f aca="false">IFERROR(2*B8,"")</f>
        <v>0.00600366848420249</v>
      </c>
      <c r="C15" s="113" t="n">
        <f aca="false">IFERROR(2*C8,"")</f>
        <v>0.00799242184331028</v>
      </c>
      <c r="D15" s="124" t="s">
        <v>86</v>
      </c>
      <c r="E15" s="125" t="s">
        <v>440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customFormat="false" ht="15" hidden="false" customHeight="false" outlineLevel="0" collapsed="false">
      <c r="A16" s="123" t="s">
        <v>441</v>
      </c>
      <c r="B16" s="99" t="n">
        <f aca="false">IFERROR(1/B15,"")</f>
        <v>166.564826594158</v>
      </c>
      <c r="C16" s="99" t="n">
        <f aca="false">IFERROR(1/C15,"")</f>
        <v>125.118520969587</v>
      </c>
      <c r="D16" s="124" t="s">
        <v>86</v>
      </c>
      <c r="E16" s="125" t="s">
        <v>442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customFormat="false" ht="15" hidden="false" customHeight="false" outlineLevel="0" collapsed="false">
      <c r="A17" s="44" t="s">
        <v>443</v>
      </c>
      <c r="B17" s="35" t="n">
        <f aca="false">IFERROR(2*B14,"")</f>
        <v>20.892810679042</v>
      </c>
      <c r="C17" s="35" t="n">
        <f aca="false">IFERROR(2*C14,"")</f>
        <v>28.1333413041925</v>
      </c>
      <c r="D17" s="126" t="s">
        <v>426</v>
      </c>
      <c r="E17" s="125" t="s">
        <v>444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customFormat="false" ht="15" hidden="false" customHeight="false" outlineLevel="0" collapsed="false">
      <c r="A18" s="44" t="s">
        <v>445</v>
      </c>
      <c r="B18" s="35" t="n">
        <f aca="false">IFERROR(B8*100,"")</f>
        <v>0.300183424210124</v>
      </c>
      <c r="C18" s="35" t="n">
        <f aca="false">IFERROR(C8*100,"")</f>
        <v>0.399621092165514</v>
      </c>
      <c r="D18" s="126" t="s">
        <v>446</v>
      </c>
      <c r="E18" s="125" t="s">
        <v>447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customFormat="false" ht="15" hidden="false" customHeight="false" outlineLevel="0" collapsed="false">
      <c r="A19" s="44" t="s">
        <v>448</v>
      </c>
      <c r="B19" s="35" t="n">
        <f aca="false">IFERROR(-B13,"")</f>
        <v>-65.6367005421209</v>
      </c>
      <c r="C19" s="35" t="n">
        <f aca="false">IFERROR(-C13,"")</f>
        <v>-88.3834983621853</v>
      </c>
      <c r="D19" s="126" t="s">
        <v>431</v>
      </c>
      <c r="E19" s="125" t="s">
        <v>449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customFormat="false" ht="15" hidden="false" customHeight="false" outlineLevel="0" collapsed="false">
      <c r="A20" s="44" t="s">
        <v>450</v>
      </c>
      <c r="B20" s="35" t="n">
        <f aca="false">IFERROR(B12,"")</f>
        <v>21865.4327725525</v>
      </c>
      <c r="C20" s="35" t="n">
        <f aca="false">IFERROR(C12,"")</f>
        <v>22116.6485861333</v>
      </c>
      <c r="D20" s="126" t="s">
        <v>431</v>
      </c>
      <c r="E20" s="4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customFormat="false" ht="17.15" hidden="false" customHeight="false" outlineLevel="0" collapsed="false">
      <c r="A23" s="4" t="s">
        <v>451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customFormat="false" ht="15" hidden="false" customHeight="false" outlineLevel="0" collapsed="false">
      <c r="A24" s="6" t="s">
        <v>452</v>
      </c>
      <c r="B24" s="24" t="n">
        <v>0</v>
      </c>
      <c r="C24" s="2"/>
      <c r="D24" s="2"/>
      <c r="E24" s="3" t="s">
        <v>453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customFormat="false" ht="15" hidden="false" customHeight="false" outlineLevel="0" collapsed="false">
      <c r="A25" s="6" t="s">
        <v>454</v>
      </c>
      <c r="B25" s="116" t="n">
        <f aca="false">IF($B$24=1,IFERROR(02_窓関数の選定!C29,0),0)</f>
        <v>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customFormat="false" ht="15" hidden="false" customHeight="false" outlineLevel="0" collapsed="false">
      <c r="A26" s="6" t="s">
        <v>455</v>
      </c>
      <c r="B26" s="113" t="n">
        <f aca="false">IFERROR(B15-$B$25,"")</f>
        <v>0.00600366848420249</v>
      </c>
      <c r="C26" s="113" t="n">
        <f aca="false">IFERROR(C15-$B$25,"")</f>
        <v>0.00799242184331028</v>
      </c>
      <c r="D26" s="2"/>
      <c r="E26" s="26" t="s">
        <v>456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customFormat="false" ht="15" hidden="false" customHeight="false" outlineLevel="0" collapsed="false">
      <c r="A27" s="6" t="s">
        <v>457</v>
      </c>
      <c r="B27" s="113" t="n">
        <f aca="false">IFERROR(B26/2,"")</f>
        <v>0.00300183424210124</v>
      </c>
      <c r="C27" s="113" t="n">
        <f aca="false">IFERROR(C26/2,"")</f>
        <v>0.00399621092165514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customFormat="false" ht="15" hidden="false" customHeight="false" outlineLevel="0" collapsed="false">
      <c r="A28" s="6" t="s">
        <v>458</v>
      </c>
      <c r="B28" s="99" t="n">
        <f aca="false">IFERROR(1/B26,"")</f>
        <v>166.564826594158</v>
      </c>
      <c r="C28" s="99" t="n">
        <f aca="false">IFERROR(1/C26,"")</f>
        <v>125.118520969587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customFormat="false" ht="17.15" hidden="false" customHeight="false" outlineLevel="0" collapsed="false">
      <c r="A30" s="23" t="s">
        <v>459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customFormat="false" ht="15" hidden="false" customHeight="false" outlineLevel="0" collapsed="false">
      <c r="A31" s="6" t="s">
        <v>460</v>
      </c>
      <c r="B31" s="35" t="n">
        <f aca="false">IFERROR(ABS(B9-C9),"")</f>
        <v>39.9946660939331</v>
      </c>
      <c r="C31" s="2"/>
      <c r="D31" s="2"/>
      <c r="E31" s="3" t="s">
        <v>461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customFormat="false" ht="15" hidden="false" customHeight="false" outlineLevel="0" collapsed="false">
      <c r="A32" s="6" t="s">
        <v>462</v>
      </c>
      <c r="B32" s="35" t="n">
        <f aca="false">IFERROR((B17+C17)/2,"")</f>
        <v>24.5130759916173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customFormat="false" ht="39.55" hidden="false" customHeight="false" outlineLevel="0" collapsed="false">
      <c r="A33" s="6" t="s">
        <v>463</v>
      </c>
      <c r="B33" s="60" t="n">
        <f aca="false">IFERROR(B31/B32,"")</f>
        <v>1.63156456201621</v>
      </c>
      <c r="C33" s="2"/>
      <c r="D33" s="2"/>
      <c r="E33" s="50" t="s">
        <v>464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customFormat="false" ht="30" hidden="false" customHeight="true" outlineLevel="0" collapsed="false">
      <c r="A34" s="6" t="s">
        <v>258</v>
      </c>
      <c r="B34" s="100" t="str">
        <f aca="false">IFERROR(IF(B33&gt;2,"完全に分離した2本の山。半値幅法でも近い値が出ます",IF(B33&gt;0.5,"重なった双子モード。RFP法が必須（このブックの本領）","ほぼ完全な縮退。1点加振では分離の信頼性が低い→複数参照（MIMO）が必要")),"")</f>
        <v>重なった双子モード。RFP法が必須（このブックの本領）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B454"/>
    <pageSetUpPr fitToPage="false"/>
  </sheetPr>
  <dimension ref="A1:AF2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"/>
    <col collapsed="false" customWidth="true" hidden="false" outlineLevel="0" max="5" min="3" style="0" width="12"/>
    <col collapsed="false" customWidth="true" hidden="false" outlineLevel="0" max="13" min="6" style="0" width="11"/>
    <col collapsed="false" customWidth="true" hidden="false" outlineLevel="0" max="18" min="14" style="0" width="12"/>
    <col collapsed="false" customWidth="true" hidden="false" outlineLevel="0" max="19" min="19" style="0" width="10"/>
    <col collapsed="false" customWidth="true" hidden="false" outlineLevel="0" max="20" min="20" style="0" width="12"/>
    <col collapsed="false" customWidth="true" hidden="false" outlineLevel="0" max="21" min="21" style="0" width="30"/>
    <col collapsed="false" customWidth="true" hidden="false" outlineLevel="0" max="27" min="22" style="0" width="14"/>
    <col collapsed="false" customWidth="true" hidden="false" outlineLevel="0" max="28" min="28" style="0" width="4"/>
    <col collapsed="false" customWidth="true" hidden="false" outlineLevel="0" max="29" min="29" style="0" width="14"/>
  </cols>
  <sheetData>
    <row r="1" customFormat="false" ht="23.1" hidden="false" customHeight="false" outlineLevel="0" collapsed="false">
      <c r="A1" s="1" t="s">
        <v>465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customFormat="false" ht="15" hidden="false" customHeight="false" outlineLevel="0" collapsed="false">
      <c r="A2" s="3" t="s">
        <v>466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customFormat="false" ht="17.15" hidden="false" customHeight="false" outlineLevel="0" collapsed="false">
      <c r="A4" s="23" t="s">
        <v>467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127" t="s">
        <v>468</v>
      </c>
      <c r="V4" s="91" t="n">
        <f aca="false">09_モーダル諸元!B13</f>
        <v>65.6367005421209</v>
      </c>
      <c r="W4" s="2"/>
      <c r="X4" s="2"/>
      <c r="Y4" s="2"/>
      <c r="Z4" s="2"/>
      <c r="AA4" s="2"/>
      <c r="AB4" s="2"/>
      <c r="AC4" s="2"/>
      <c r="AD4" s="2"/>
      <c r="AE4" s="2"/>
      <c r="AF4" s="2"/>
    </row>
    <row r="5" customFormat="false" ht="15" hidden="false" customHeight="false" outlineLevel="0" collapsed="false">
      <c r="A5" s="2"/>
      <c r="B5" s="103" t="s">
        <v>469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127" t="s">
        <v>470</v>
      </c>
      <c r="V5" s="91" t="n">
        <f aca="false">09_モーダル諸元!B12</f>
        <v>21865.4327725525</v>
      </c>
      <c r="W5" s="2"/>
      <c r="X5" s="2"/>
      <c r="Y5" s="2"/>
      <c r="Z5" s="2"/>
      <c r="AA5" s="2"/>
      <c r="AB5" s="2"/>
      <c r="AC5" s="2"/>
      <c r="AD5" s="2"/>
      <c r="AE5" s="2"/>
      <c r="AF5" s="2"/>
    </row>
    <row r="6" customFormat="false" ht="24" hidden="false" customHeight="true" outlineLevel="0" collapsed="false">
      <c r="A6" s="2"/>
      <c r="B6" s="51" t="s">
        <v>471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127" t="s">
        <v>472</v>
      </c>
      <c r="V6" s="91" t="n">
        <f aca="false">09_モーダル諸元!C13</f>
        <v>88.3834983621853</v>
      </c>
      <c r="W6" s="2"/>
      <c r="X6" s="2"/>
      <c r="Y6" s="2"/>
      <c r="Z6" s="2"/>
      <c r="AA6" s="2"/>
      <c r="AB6" s="2"/>
      <c r="AC6" s="2"/>
      <c r="AD6" s="2"/>
      <c r="AE6" s="2"/>
      <c r="AF6" s="2"/>
    </row>
    <row r="7" customFormat="false" ht="24" hidden="false" customHeight="true" outlineLevel="0" collapsed="false">
      <c r="A7" s="2"/>
      <c r="B7" s="109" t="s">
        <v>473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127" t="s">
        <v>474</v>
      </c>
      <c r="V7" s="91" t="n">
        <f aca="false">09_モーダル諸元!C12</f>
        <v>22116.6485861333</v>
      </c>
      <c r="W7" s="2"/>
      <c r="X7" s="2"/>
      <c r="Y7" s="2"/>
      <c r="Z7" s="2"/>
      <c r="AA7" s="2"/>
      <c r="AB7" s="2"/>
      <c r="AC7" s="2"/>
      <c r="AD7" s="2"/>
      <c r="AE7" s="2"/>
      <c r="AF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128" t="s">
        <v>340</v>
      </c>
      <c r="V8" s="111" t="n">
        <v>1E-012</v>
      </c>
      <c r="W8" s="2"/>
      <c r="X8" s="2"/>
      <c r="Y8" s="2"/>
      <c r="Z8" s="2"/>
      <c r="AA8" s="2"/>
      <c r="AB8" s="2"/>
      <c r="AC8" s="2"/>
      <c r="AD8" s="2"/>
      <c r="AE8" s="2"/>
      <c r="AF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customFormat="false" ht="33.75" hidden="false" customHeight="true" outlineLevel="0" collapsed="false">
      <c r="A10" s="87" t="s">
        <v>318</v>
      </c>
      <c r="B10" s="87" t="s">
        <v>475</v>
      </c>
      <c r="C10" s="107" t="s">
        <v>245</v>
      </c>
      <c r="D10" s="107" t="s">
        <v>476</v>
      </c>
      <c r="E10" s="107" t="s">
        <v>477</v>
      </c>
      <c r="F10" s="107" t="s">
        <v>478</v>
      </c>
      <c r="G10" s="107" t="s">
        <v>479</v>
      </c>
      <c r="H10" s="107" t="s">
        <v>480</v>
      </c>
      <c r="I10" s="107" t="s">
        <v>481</v>
      </c>
      <c r="J10" s="107" t="s">
        <v>482</v>
      </c>
      <c r="K10" s="107" t="s">
        <v>483</v>
      </c>
      <c r="L10" s="107" t="s">
        <v>484</v>
      </c>
      <c r="M10" s="107" t="s">
        <v>485</v>
      </c>
      <c r="N10" s="87" t="s">
        <v>486</v>
      </c>
      <c r="O10" s="87" t="s">
        <v>487</v>
      </c>
      <c r="P10" s="87" t="s">
        <v>488</v>
      </c>
      <c r="Q10" s="87" t="s">
        <v>489</v>
      </c>
      <c r="R10" s="87" t="s">
        <v>490</v>
      </c>
      <c r="S10" s="87" t="s">
        <v>491</v>
      </c>
      <c r="T10" s="87" t="s">
        <v>492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customFormat="false" ht="15" hidden="false" customHeight="false" outlineLevel="0" collapsed="false">
      <c r="A11" s="95" t="str">
        <f aca="false">"実部"</f>
        <v>実部</v>
      </c>
      <c r="B11" s="88" t="n">
        <f aca="false">IF(03_FRFデータ貼付!B8="","",03_FRFデータ貼付!A8)</f>
        <v>1</v>
      </c>
      <c r="C11" s="89" t="n">
        <f aca="false">IF(03_FRFデータ貼付!B8="",0,03_FRFデータ貼付!G8)</f>
        <v>21362.8300444106</v>
      </c>
      <c r="D11" s="71" t="n">
        <f aca="false">IF(03_FRFデータ貼付!C8="",0,03_FRFデータ貼付!C8)</f>
        <v>5.1E-005</v>
      </c>
      <c r="E11" s="71" t="n">
        <f aca="false">IF(03_FRFデータ貼付!D8="",0,03_FRFデータ貼付!D8)</f>
        <v>0.00301</v>
      </c>
      <c r="F11" s="118" t="n">
        <f aca="false">IF($C11=0,0,$V$4/($V$4^2+($C11-$V$5)^2))</f>
        <v>0.000255477555496686</v>
      </c>
      <c r="G11" s="118" t="n">
        <f aca="false">IF($C11=0,0,-($C11-$V$5)/($V$4^2+($C11-$V$5)^2))</f>
        <v>0.00195627926618999</v>
      </c>
      <c r="H11" s="118" t="n">
        <f aca="false">IF($C11=0,0,$V$4/($V$4^2+($C11+$V$5)^2))</f>
        <v>3.51245018765171E-008</v>
      </c>
      <c r="I11" s="118" t="n">
        <f aca="false">IF($C11=0,0,-($C11+$V$5)/($V$4^2+($C11+$V$5)^2))</f>
        <v>-2.31329604610246E-005</v>
      </c>
      <c r="J11" s="118" t="n">
        <f aca="false">IF($C11=0,0,$V$6/($V$6^2+($C11-$V$7)^2))</f>
        <v>0.000153429179803351</v>
      </c>
      <c r="K11" s="118" t="n">
        <f aca="false">IF($C11=0,0,-($C11-$V$7)/($V$6^2+($C11-$V$7)^2))</f>
        <v>0.00130858998252269</v>
      </c>
      <c r="L11" s="118" t="n">
        <f aca="false">IF($C11=0,0,$V$6/($V$6^2+($C11+$V$7)^2))</f>
        <v>4.6752058490334E-008</v>
      </c>
      <c r="M11" s="118" t="n">
        <f aca="false">IF($C11=0,0,-($C11+$V$7)/($V$6^2+($C11+$V$7)^2))</f>
        <v>-2.29992607866054E-005</v>
      </c>
      <c r="N11" s="118" t="n">
        <f aca="false">F11+H11</f>
        <v>0.000255512679998562</v>
      </c>
      <c r="O11" s="118" t="n">
        <f aca="false">I11-G11</f>
        <v>-0.00197941222665101</v>
      </c>
      <c r="P11" s="118" t="n">
        <f aca="false">J11+L11</f>
        <v>0.000153475931861841</v>
      </c>
      <c r="Q11" s="118" t="n">
        <f aca="false">M11-K11</f>
        <v>-0.00133158924330929</v>
      </c>
      <c r="R11" s="118" t="n">
        <f aca="false">IF($C11=0,0,-1/$C11^2)</f>
        <v>-2.19120206838966E-009</v>
      </c>
      <c r="S11" s="88" t="n">
        <f aca="false">IF($C11=0,0,1)</f>
        <v>1</v>
      </c>
      <c r="T11" s="71" t="n">
        <f aca="false">D11</f>
        <v>5.1E-005</v>
      </c>
      <c r="U11" s="129" t="s">
        <v>493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customFormat="false" ht="15" hidden="false" customHeight="false" outlineLevel="0" collapsed="false">
      <c r="A12" s="95" t="str">
        <f aca="false">"実部"</f>
        <v>実部</v>
      </c>
      <c r="B12" s="88" t="n">
        <f aca="false">IF(03_FRFデータ貼付!B9="","",03_FRFデータ貼付!A9)</f>
        <v>2</v>
      </c>
      <c r="C12" s="89" t="n">
        <f aca="false">IF(03_FRFデータ貼付!B9="",0,03_FRFデータ貼付!G9)</f>
        <v>21425.6618974824</v>
      </c>
      <c r="D12" s="71" t="n">
        <f aca="false">IF(03_FRFデータ貼付!C9="",0,03_FRFデータ貼付!C9)</f>
        <v>9.3E-005</v>
      </c>
      <c r="E12" s="71" t="n">
        <f aca="false">IF(03_FRFデータ貼付!D9="",0,03_FRFデータ貼付!D9)</f>
        <v>0.003391</v>
      </c>
      <c r="F12" s="118" t="n">
        <f aca="false">IF($C12=0,0,$V$4/($V$4^2+($C12-$V$5)^2))</f>
        <v>0.000331990438701219</v>
      </c>
      <c r="G12" s="118" t="n">
        <f aca="false">IF($C12=0,0,-($C12-$V$5)/($V$4^2+($C12-$V$5)^2))</f>
        <v>0.00222436113541186</v>
      </c>
      <c r="H12" s="118" t="n">
        <f aca="false">IF($C12=0,0,$V$4/($V$4^2+($C12+$V$5)^2))</f>
        <v>3.50226180625245E-008</v>
      </c>
      <c r="I12" s="118" t="n">
        <f aca="false">IF($C12=0,0,-($C12+$V$5)/($V$4^2+($C12+$V$5)^2))</f>
        <v>-2.30993858864715E-005</v>
      </c>
      <c r="J12" s="118" t="n">
        <f aca="false">IF($C12=0,0,$V$6/($V$6^2+($C12-$V$7)^2))</f>
        <v>0.000182131029964383</v>
      </c>
      <c r="K12" s="118" t="n">
        <f aca="false">IF($C12=0,0,-($C12-$V$7)/($V$6^2+($C12-$V$7)^2))</f>
        <v>0.00142390966218537</v>
      </c>
      <c r="L12" s="118" t="n">
        <f aca="false">IF($C12=0,0,$V$6/($V$6^2+($C12+$V$7)^2))</f>
        <v>4.66172293132329E-008</v>
      </c>
      <c r="M12" s="118" t="n">
        <f aca="false">IF($C12=0,0,-($C12+$V$7)/($V$6^2+($C12+$V$7)^2))</f>
        <v>-2.29660729690142E-005</v>
      </c>
      <c r="N12" s="118" t="n">
        <f aca="false">F12+H12</f>
        <v>0.000332025461319281</v>
      </c>
      <c r="O12" s="118" t="n">
        <f aca="false">I12-G12</f>
        <v>-0.00224746052129833</v>
      </c>
      <c r="P12" s="118" t="n">
        <f aca="false">J12+L12</f>
        <v>0.000182177647193696</v>
      </c>
      <c r="Q12" s="118" t="n">
        <f aca="false">M12-K12</f>
        <v>-0.00144687573515438</v>
      </c>
      <c r="R12" s="118" t="n">
        <f aca="false">IF($C12=0,0,-1/$C12^2)</f>
        <v>-2.17836928738009E-009</v>
      </c>
      <c r="S12" s="88" t="n">
        <f aca="false">IF($C12=0,0,1)</f>
        <v>1</v>
      </c>
      <c r="T12" s="71" t="n">
        <f aca="false">D12</f>
        <v>9.3E-005</v>
      </c>
      <c r="U12" s="2"/>
      <c r="V12" s="118" t="n">
        <f aca="false">INDEX(MMULT(TRANSPOSE($N$11:$S$250),$N$11:$S$250),1,1)</f>
        <v>0.000714367793494695</v>
      </c>
      <c r="W12" s="118" t="n">
        <f aca="false">INDEX(MMULT(TRANSPOSE($N$11:$S$250),$N$11:$S$250),1,2)</f>
        <v>-2.14284879231465E-006</v>
      </c>
      <c r="X12" s="118" t="n">
        <f aca="false">INDEX(MMULT(TRANSPOSE($N$11:$S$250),$N$11:$S$250),1,3)</f>
        <v>0.000129106408601667</v>
      </c>
      <c r="Y12" s="118" t="n">
        <f aca="false">INDEX(MMULT(TRANSPOSE($N$11:$S$250),$N$11:$S$250),1,4)</f>
        <v>-0.000291139426124562</v>
      </c>
      <c r="Z12" s="118" t="n">
        <f aca="false">INDEX(MMULT(TRANSPOSE($N$11:$S$250),$N$11:$S$250),1,5)</f>
        <v>-9.79767086427603E-011</v>
      </c>
      <c r="AA12" s="118" t="n">
        <f aca="false">INDEX(MMULT(TRANSPOSE($N$11:$S$250),$N$11:$S$250),1,6)</f>
        <v>0.0468715305743243</v>
      </c>
      <c r="AB12" s="2"/>
      <c r="AC12" s="2"/>
      <c r="AD12" s="2"/>
      <c r="AE12" s="2"/>
      <c r="AF12" s="2"/>
    </row>
    <row r="13" customFormat="false" ht="15" hidden="false" customHeight="false" outlineLevel="0" collapsed="false">
      <c r="A13" s="95" t="str">
        <f aca="false">"実部"</f>
        <v>実部</v>
      </c>
      <c r="B13" s="88" t="n">
        <f aca="false">IF(03_FRFデータ貼付!B10="","",03_FRFデータ貼付!A10)</f>
        <v>3</v>
      </c>
      <c r="C13" s="89" t="n">
        <f aca="false">IF(03_FRFデータ貼付!B10="",0,03_FRFデータ貼付!G10)</f>
        <v>21488.4937505542</v>
      </c>
      <c r="D13" s="71" t="n">
        <f aca="false">IF(03_FRFデータ貼付!C10="",0,03_FRFデータ貼付!C10)</f>
        <v>0.000162</v>
      </c>
      <c r="E13" s="71" t="n">
        <f aca="false">IF(03_FRFデータ貼付!D10="",0,03_FRFデータ貼付!D10)</f>
        <v>0.003876</v>
      </c>
      <c r="F13" s="118" t="n">
        <f aca="false">IF($C13=0,0,$V$4/($V$4^2+($C13-$V$5)^2))</f>
        <v>0.000448365060900017</v>
      </c>
      <c r="G13" s="118" t="n">
        <f aca="false">IF($C13=0,0,-($C13-$V$5)/($V$4^2+($C13-$V$5)^2))</f>
        <v>0.00257487482091566</v>
      </c>
      <c r="H13" s="118" t="n">
        <f aca="false">IF($C13=0,0,$V$4/($V$4^2+($C13+$V$5)^2))</f>
        <v>3.49211768997412E-008</v>
      </c>
      <c r="I13" s="118" t="n">
        <f aca="false">IF($C13=0,0,-($C13+$V$5)/($V$4^2+($C13+$V$5)^2))</f>
        <v>-2.30659086289725E-005</v>
      </c>
      <c r="J13" s="118" t="n">
        <f aca="false">IF($C13=0,0,$V$6/($V$6^2+($C13-$V$7)^2))</f>
        <v>0.000219646282358132</v>
      </c>
      <c r="K13" s="118" t="n">
        <f aca="false">IF($C13=0,0,-($C13-$V$7)/($V$6^2+($C13-$V$7)^2))</f>
        <v>0.00156105921282764</v>
      </c>
      <c r="L13" s="118" t="n">
        <f aca="false">IF($C13=0,0,$V$6/($V$6^2+($C13+$V$7)^2))</f>
        <v>4.64829825501725E-008</v>
      </c>
      <c r="M13" s="118" t="n">
        <f aca="false">IF($C13=0,0,-($C13+$V$7)/($V$6^2+($C13+$V$7)^2))</f>
        <v>-2.29329807927272E-005</v>
      </c>
      <c r="N13" s="118" t="n">
        <f aca="false">F13+H13</f>
        <v>0.000448399982076917</v>
      </c>
      <c r="O13" s="118" t="n">
        <f aca="false">I13-G13</f>
        <v>-0.00259794072954463</v>
      </c>
      <c r="P13" s="118" t="n">
        <f aca="false">J13+L13</f>
        <v>0.000219692765340682</v>
      </c>
      <c r="Q13" s="118" t="n">
        <f aca="false">M13-K13</f>
        <v>-0.00158399219362037</v>
      </c>
      <c r="R13" s="118" t="n">
        <f aca="false">IF($C13=0,0,-1/$C13^2)</f>
        <v>-2.16564890997097E-009</v>
      </c>
      <c r="S13" s="88" t="n">
        <f aca="false">IF($C13=0,0,1)</f>
        <v>1</v>
      </c>
      <c r="T13" s="71" t="n">
        <f aca="false">D13</f>
        <v>0.000162</v>
      </c>
      <c r="U13" s="2"/>
      <c r="V13" s="118" t="n">
        <f aca="false">INDEX(MMULT(TRANSPOSE($N$11:$S$250),$N$11:$S$250),2,1)</f>
        <v>-2.14284879231465E-006</v>
      </c>
      <c r="W13" s="118" t="n">
        <f aca="false">INDEX(MMULT(TRANSPOSE($N$11:$S$250),$N$11:$S$250),2,2)</f>
        <v>0.000713843258773101</v>
      </c>
      <c r="X13" s="118" t="n">
        <f aca="false">INDEX(MMULT(TRANSPOSE($N$11:$S$250),$N$11:$S$250),2,3)</f>
        <v>0.000286933191804518</v>
      </c>
      <c r="Y13" s="118" t="n">
        <f aca="false">INDEX(MMULT(TRANSPOSE($N$11:$S$250),$N$11:$S$250),2,4)</f>
        <v>0.00012913227401041</v>
      </c>
      <c r="Z13" s="118" t="n">
        <f aca="false">INDEX(MMULT(TRANSPOSE($N$11:$S$250),$N$11:$S$250),2,5)</f>
        <v>-8.31327909407621E-012</v>
      </c>
      <c r="AA13" s="118" t="n">
        <f aca="false">INDEX(MMULT(TRANSPOSE($N$11:$S$250),$N$11:$S$250),2,6)</f>
        <v>0.0055939398214549</v>
      </c>
      <c r="AB13" s="2"/>
      <c r="AC13" s="2"/>
      <c r="AD13" s="2"/>
      <c r="AE13" s="2"/>
      <c r="AF13" s="2"/>
    </row>
    <row r="14" customFormat="false" ht="15" hidden="false" customHeight="false" outlineLevel="0" collapsed="false">
      <c r="A14" s="95" t="str">
        <f aca="false">"実部"</f>
        <v>実部</v>
      </c>
      <c r="B14" s="88" t="n">
        <f aca="false">IF(03_FRFデータ貼付!B11="","",03_FRFデータ貼付!A11)</f>
        <v>4</v>
      </c>
      <c r="C14" s="89" t="n">
        <f aca="false">IF(03_FRFデータ貼付!B11="",0,03_FRFデータ貼付!G11)</f>
        <v>21551.325603626</v>
      </c>
      <c r="D14" s="71" t="n">
        <f aca="false">IF(03_FRFデータ貼付!C11="",0,03_FRFデータ貼付!C11)</f>
        <v>0.00028</v>
      </c>
      <c r="E14" s="71" t="n">
        <f aca="false">IF(03_FRFデータ貼付!D11="",0,03_FRFデータ貼付!D11)</f>
        <v>0.004516</v>
      </c>
      <c r="F14" s="118" t="n">
        <f aca="false">IF($C14=0,0,$V$4/($V$4^2+($C14-$V$5)^2))</f>
        <v>0.00063742595667558</v>
      </c>
      <c r="G14" s="118" t="n">
        <f aca="false">IF($C14=0,0,-($C14-$V$5)/($V$4^2+($C14-$V$5)^2))</f>
        <v>0.00305042851023854</v>
      </c>
      <c r="H14" s="118" t="n">
        <f aca="false">IF($C14=0,0,$V$4/($V$4^2+($C14+$V$5)^2))</f>
        <v>3.48201758276486E-008</v>
      </c>
      <c r="I14" s="118" t="n">
        <f aca="false">IF($C14=0,0,-($C14+$V$5)/($V$4^2+($C14+$V$5)^2))</f>
        <v>-2.30325282660258E-005</v>
      </c>
      <c r="J14" s="118" t="n">
        <f aca="false">IF($C14=0,0,$V$6/($V$6^2+($C14-$V$7)^2))</f>
        <v>0.000269954290655455</v>
      </c>
      <c r="K14" s="118" t="n">
        <f aca="false">IF($C14=0,0,-($C14-$V$7)/($V$6^2+($C14-$V$7)^2))</f>
        <v>0.00172669522662017</v>
      </c>
      <c r="L14" s="118" t="n">
        <f aca="false">IF($C14=0,0,$V$6/($V$6^2+($C14+$V$7)^2))</f>
        <v>4.63493148515525E-008</v>
      </c>
      <c r="M14" s="118" t="n">
        <f aca="false">IF($C14=0,0,-($C14+$V$7)/($V$6^2+($C14+$V$7)^2))</f>
        <v>-2.28999838449094E-005</v>
      </c>
      <c r="N14" s="118" t="n">
        <f aca="false">F14+H14</f>
        <v>0.000637460776851408</v>
      </c>
      <c r="O14" s="118" t="n">
        <f aca="false">I14-G14</f>
        <v>-0.00307346103850456</v>
      </c>
      <c r="P14" s="118" t="n">
        <f aca="false">J14+L14</f>
        <v>0.000270000639970306</v>
      </c>
      <c r="Q14" s="118" t="n">
        <f aca="false">M14-K14</f>
        <v>-0.00174959521046508</v>
      </c>
      <c r="R14" s="118" t="n">
        <f aca="false">IF($C14=0,0,-1/$C14^2)</f>
        <v>-2.15303962724583E-009</v>
      </c>
      <c r="S14" s="88" t="n">
        <f aca="false">IF($C14=0,0,1)</f>
        <v>1</v>
      </c>
      <c r="T14" s="71" t="n">
        <f aca="false">D14</f>
        <v>0.00028</v>
      </c>
      <c r="U14" s="2"/>
      <c r="V14" s="118" t="n">
        <f aca="false">INDEX(MMULT(TRANSPOSE($N$11:$S$250),$N$11:$S$250),3,1)</f>
        <v>0.000129106408601667</v>
      </c>
      <c r="W14" s="118" t="n">
        <f aca="false">INDEX(MMULT(TRANSPOSE($N$11:$S$250),$N$11:$S$250),3,2)</f>
        <v>0.000286933191804518</v>
      </c>
      <c r="X14" s="118" t="n">
        <f aca="false">INDEX(MMULT(TRANSPOSE($N$11:$S$250),$N$11:$S$250),3,3)</f>
        <v>0.00051594194789513</v>
      </c>
      <c r="Y14" s="118" t="n">
        <f aca="false">INDEX(MMULT(TRANSPOSE($N$11:$S$250),$N$11:$S$250),3,4)</f>
        <v>-2.06410752738023E-006</v>
      </c>
      <c r="Z14" s="118" t="n">
        <f aca="false">INDEX(MMULT(TRANSPOSE($N$11:$S$250),$N$11:$S$250),3,5)</f>
        <v>-9.33939431807189E-011</v>
      </c>
      <c r="AA14" s="118" t="n">
        <f aca="false">INDEX(MMULT(TRANSPOSE($N$11:$S$250),$N$11:$S$250),3,6)</f>
        <v>0.0456259475669164</v>
      </c>
      <c r="AB14" s="2"/>
      <c r="AC14" s="2"/>
      <c r="AD14" s="2"/>
      <c r="AE14" s="2"/>
      <c r="AF14" s="2"/>
    </row>
    <row r="15" customFormat="false" ht="15" hidden="false" customHeight="false" outlineLevel="0" collapsed="false">
      <c r="A15" s="95" t="str">
        <f aca="false">"実部"</f>
        <v>実部</v>
      </c>
      <c r="B15" s="88" t="n">
        <f aca="false">IF(03_FRFデータ貼付!B12="","",03_FRFデータ貼付!A12)</f>
        <v>5</v>
      </c>
      <c r="C15" s="89" t="n">
        <f aca="false">IF(03_FRFデータ貼付!B12="",0,03_FRFデータ貼付!G12)</f>
        <v>21614.1574566978</v>
      </c>
      <c r="D15" s="71" t="n">
        <f aca="false">IF(03_FRFデータ貼付!C12="",0,03_FRFデータ貼付!C12)</f>
        <v>0.000512</v>
      </c>
      <c r="E15" s="71" t="n">
        <f aca="false">IF(03_FRFデータ貼付!D12="",0,03_FRFデータ貼付!D12)</f>
        <v>0.005463</v>
      </c>
      <c r="F15" s="118" t="n">
        <f aca="false">IF($C15=0,0,$V$4/($V$4^2+($C15-$V$5)^2))</f>
        <v>0.000973153025303787</v>
      </c>
      <c r="G15" s="118" t="n">
        <f aca="false">IF($C15=0,0,-($C15-$V$5)/($V$4^2+($C15-$V$5)^2))</f>
        <v>0.0037254970434005</v>
      </c>
      <c r="H15" s="118" t="n">
        <f aca="false">IF($C15=0,0,$V$4/($V$4^2+($C15+$V$5)^2))</f>
        <v>3.47196123042155E-008</v>
      </c>
      <c r="I15" s="118" t="n">
        <f aca="false">IF($C15=0,0,-($C15+$V$5)/($V$4^2+($C15+$V$5)^2))</f>
        <v>-2.29992443775716E-005</v>
      </c>
      <c r="J15" s="118" t="n">
        <f aca="false">IF($C15=0,0,$V$6/($V$6^2+($C15-$V$7)^2))</f>
        <v>0.000339533039007097</v>
      </c>
      <c r="K15" s="118" t="n">
        <f aca="false">IF($C15=0,0,-($C15-$V$7)/($V$6^2+($C15-$V$7)^2))</f>
        <v>0.00193036419029474</v>
      </c>
      <c r="L15" s="118" t="n">
        <f aca="false">IF($C15=0,0,$V$6/($V$6^2+($C15+$V$7)^2))</f>
        <v>4.62162228918186E-008</v>
      </c>
      <c r="M15" s="118" t="n">
        <f aca="false">IF($C15=0,0,-($C15+$V$7)/($V$6^2+($C15+$V$7)^2))</f>
        <v>-2.28670817150985E-005</v>
      </c>
      <c r="N15" s="118" t="n">
        <f aca="false">F15+H15</f>
        <v>0.000973187744916091</v>
      </c>
      <c r="O15" s="118" t="n">
        <f aca="false">I15-G15</f>
        <v>-0.00374849628777807</v>
      </c>
      <c r="P15" s="118" t="n">
        <f aca="false">J15+L15</f>
        <v>0.000339579255229989</v>
      </c>
      <c r="Q15" s="118" t="n">
        <f aca="false">M15-K15</f>
        <v>-0.00195323127200984</v>
      </c>
      <c r="R15" s="118" t="n">
        <f aca="false">IF($C15=0,0,-1/$C15^2)</f>
        <v>-2.14054014928546E-009</v>
      </c>
      <c r="S15" s="88" t="n">
        <f aca="false">IF($C15=0,0,1)</f>
        <v>1</v>
      </c>
      <c r="T15" s="71" t="n">
        <f aca="false">D15</f>
        <v>0.000512</v>
      </c>
      <c r="U15" s="2"/>
      <c r="V15" s="118" t="n">
        <f aca="false">INDEX(MMULT(TRANSPOSE($N$11:$S$250),$N$11:$S$250),4,1)</f>
        <v>-0.000291139426124562</v>
      </c>
      <c r="W15" s="118" t="n">
        <f aca="false">INDEX(MMULT(TRANSPOSE($N$11:$S$250),$N$11:$S$250),4,2)</f>
        <v>0.00012913227401041</v>
      </c>
      <c r="X15" s="118" t="n">
        <f aca="false">INDEX(MMULT(TRANSPOSE($N$11:$S$250),$N$11:$S$250),4,3)</f>
        <v>-2.06410752738023E-006</v>
      </c>
      <c r="Y15" s="118" t="n">
        <f aca="false">INDEX(MMULT(TRANSPOSE($N$11:$S$250),$N$11:$S$250),4,4)</f>
        <v>0.000516512037575021</v>
      </c>
      <c r="Z15" s="118" t="n">
        <f aca="false">INDEX(MMULT(TRANSPOSE($N$11:$S$250),$N$11:$S$250),4,5)</f>
        <v>1.64453099047138E-011</v>
      </c>
      <c r="AA15" s="118" t="n">
        <f aca="false">INDEX(MMULT(TRANSPOSE($N$11:$S$250),$N$11:$S$250),4,6)</f>
        <v>-0.00648666960062851</v>
      </c>
      <c r="AB15" s="2"/>
      <c r="AC15" s="2"/>
      <c r="AD15" s="2"/>
      <c r="AE15" s="2"/>
      <c r="AF15" s="2"/>
    </row>
    <row r="16" customFormat="false" ht="15" hidden="false" customHeight="false" outlineLevel="0" collapsed="false">
      <c r="A16" s="95" t="str">
        <f aca="false">"実部"</f>
        <v>実部</v>
      </c>
      <c r="B16" s="88" t="n">
        <f aca="false">IF(03_FRFデータ貼付!B13="","",03_FRFデータ貼付!A13)</f>
        <v>6</v>
      </c>
      <c r="C16" s="89" t="n">
        <f aca="false">IF(03_FRFデータ貼付!B13="",0,03_FRFデータ貼付!G13)</f>
        <v>21676.9893097696</v>
      </c>
      <c r="D16" s="71" t="n">
        <f aca="false">IF(03_FRFデータ貼付!C13="",0,03_FRFデータ貼付!C13)</f>
        <v>0.001016</v>
      </c>
      <c r="E16" s="71" t="n">
        <f aca="false">IF(03_FRFデータ貼付!D13="",0,03_FRFデータ貼付!D13)</f>
        <v>0.006854</v>
      </c>
      <c r="F16" s="118" t="n">
        <f aca="false">IF($C16=0,0,$V$4/($V$4^2+($C16-$V$5)^2))</f>
        <v>0.00164837165110841</v>
      </c>
      <c r="G16" s="118" t="n">
        <f aca="false">IF($C16=0,0,-($C16-$V$5)/($V$4^2+($C16-$V$5)^2))</f>
        <v>0.00473248745477119</v>
      </c>
      <c r="H16" s="118" t="n">
        <f aca="false">IF($C16=0,0,$V$4/($V$4^2+($C16+$V$5)^2))</f>
        <v>3.4619483805738E-008</v>
      </c>
      <c r="I16" s="118" t="n">
        <f aca="false">IF($C16=0,0,-($C16+$V$5)/($V$4^2+($C16+$V$5)^2))</f>
        <v>-2.29660565459747E-005</v>
      </c>
      <c r="J16" s="118" t="n">
        <f aca="false">IF($C16=0,0,$V$6/($V$6^2+($C16-$V$7)^2))</f>
        <v>0.00043947418656294</v>
      </c>
      <c r="K16" s="118" t="n">
        <f aca="false">IF($C16=0,0,-($C16-$V$7)/($V$6^2+($C16-$V$7)^2))</f>
        <v>0.0021861422824993</v>
      </c>
      <c r="L16" s="118" t="n">
        <f aca="false">IF($C16=0,0,$V$6/($V$6^2+($C16+$V$7)^2))</f>
        <v>4.60837033692552E-008</v>
      </c>
      <c r="M16" s="118" t="n">
        <f aca="false">IF($C16=0,0,-($C16+$V$7)/($V$6^2+($C16+$V$7)^2))</f>
        <v>-2.28342739951877E-005</v>
      </c>
      <c r="N16" s="118" t="n">
        <f aca="false">F16+H16</f>
        <v>0.00164840627059222</v>
      </c>
      <c r="O16" s="118" t="n">
        <f aca="false">I16-G16</f>
        <v>-0.00475545351131717</v>
      </c>
      <c r="P16" s="118" t="n">
        <f aca="false">J16+L16</f>
        <v>0.000439520270266309</v>
      </c>
      <c r="Q16" s="118" t="n">
        <f aca="false">M16-K16</f>
        <v>-0.00220897655649448</v>
      </c>
      <c r="R16" s="118" t="n">
        <f aca="false">IF($C16=0,0,-1/$C16^2)</f>
        <v>-2.12814920483801E-009</v>
      </c>
      <c r="S16" s="88" t="n">
        <f aca="false">IF($C16=0,0,1)</f>
        <v>1</v>
      </c>
      <c r="T16" s="71" t="n">
        <f aca="false">D16</f>
        <v>0.001016</v>
      </c>
      <c r="U16" s="2"/>
      <c r="V16" s="118" t="n">
        <f aca="false">INDEX(MMULT(TRANSPOSE($N$11:$S$250),$N$11:$S$250),5,1)</f>
        <v>-9.79767086427603E-011</v>
      </c>
      <c r="W16" s="118" t="n">
        <f aca="false">INDEX(MMULT(TRANSPOSE($N$11:$S$250),$N$11:$S$250),5,2)</f>
        <v>-8.31327909407621E-012</v>
      </c>
      <c r="X16" s="118" t="n">
        <f aca="false">INDEX(MMULT(TRANSPOSE($N$11:$S$250),$N$11:$S$250),5,3)</f>
        <v>-9.33939431807189E-011</v>
      </c>
      <c r="Y16" s="118" t="n">
        <f aca="false">INDEX(MMULT(TRANSPOSE($N$11:$S$250),$N$11:$S$250),5,4)</f>
        <v>1.64453099047138E-011</v>
      </c>
      <c r="Z16" s="118" t="n">
        <f aca="false">INDEX(MMULT(TRANSPOSE($N$11:$S$250),$N$11:$S$250),5,5)</f>
        <v>9.00591972786354E-017</v>
      </c>
      <c r="AA16" s="118" t="n">
        <f aca="false">INDEX(MMULT(TRANSPOSE($N$11:$S$250),$N$11:$S$250),5,6)</f>
        <v>-4.34623917656834E-008</v>
      </c>
      <c r="AB16" s="2"/>
      <c r="AC16" s="2"/>
      <c r="AD16" s="2"/>
      <c r="AE16" s="2"/>
      <c r="AF16" s="2"/>
    </row>
    <row r="17" customFormat="false" ht="15" hidden="false" customHeight="false" outlineLevel="0" collapsed="false">
      <c r="A17" s="95" t="str">
        <f aca="false">"実部"</f>
        <v>実部</v>
      </c>
      <c r="B17" s="88" t="n">
        <f aca="false">IF(03_FRFデータ貼付!B14="","",03_FRFデータ貼付!A14)</f>
        <v>7</v>
      </c>
      <c r="C17" s="89" t="n">
        <f aca="false">IF(03_FRFデータ貼付!B14="",0,03_FRFデータ貼付!G14)</f>
        <v>21739.8211628414</v>
      </c>
      <c r="D17" s="71" t="n">
        <f aca="false">IF(03_FRFデータ貼付!C14="",0,03_FRFデータ貼付!C14)</f>
        <v>0.002362</v>
      </c>
      <c r="E17" s="71" t="n">
        <f aca="false">IF(03_FRFデータ貼付!D14="",0,03_FRFデータ貼付!D14)</f>
        <v>0.00908</v>
      </c>
      <c r="F17" s="118" t="n">
        <f aca="false">IF($C17=0,0,$V$4/($V$4^2+($C17-$V$5)^2))</f>
        <v>0.00326770986883678</v>
      </c>
      <c r="G17" s="118" t="n">
        <f aca="false">IF($C17=0,0,-($C17-$V$5)/($V$4^2+($C17-$V$5)^2))</f>
        <v>0.00625354859862711</v>
      </c>
      <c r="H17" s="118" t="n">
        <f aca="false">IF($C17=0,0,$V$4/($V$4^2+($C17+$V$5)^2))</f>
        <v>3.45197878266814E-008</v>
      </c>
      <c r="I17" s="118" t="n">
        <f aca="false">IF($C17=0,0,-($C17+$V$5)/($V$4^2+($C17+$V$5)^2))</f>
        <v>-2.2932964356007E-005</v>
      </c>
      <c r="J17" s="118" t="n">
        <f aca="false">IF($C17=0,0,$V$6/($V$6^2+($C17-$V$7)^2))</f>
        <v>0.00058996845364314</v>
      </c>
      <c r="K17" s="118" t="n">
        <f aca="false">IF($C17=0,0,-($C17-$V$7)/($V$6^2+($C17-$V$7)^2))</f>
        <v>0.00251535972584855</v>
      </c>
      <c r="L17" s="118" t="n">
        <f aca="false">IF($C17=0,0,$V$6/($V$6^2+($C17+$V$7)^2))</f>
        <v>4.59517530057812E-008</v>
      </c>
      <c r="M17" s="118" t="n">
        <f aca="false">IF($C17=0,0,-($C17+$V$7)/($V$6^2+($C17+$V$7)^2))</f>
        <v>-2.28015602794088E-005</v>
      </c>
      <c r="N17" s="118" t="n">
        <f aca="false">F17+H17</f>
        <v>0.0032677443886246</v>
      </c>
      <c r="O17" s="118" t="n">
        <f aca="false">I17-G17</f>
        <v>-0.00627648156298312</v>
      </c>
      <c r="P17" s="118" t="n">
        <f aca="false">J17+L17</f>
        <v>0.000590014405396146</v>
      </c>
      <c r="Q17" s="118" t="n">
        <f aca="false">M17-K17</f>
        <v>-0.00253816128612796</v>
      </c>
      <c r="R17" s="118" t="n">
        <f aca="false">IF($C17=0,0,-1/$C17^2)</f>
        <v>-2.11586554099573E-009</v>
      </c>
      <c r="S17" s="88" t="n">
        <f aca="false">IF($C17=0,0,1)</f>
        <v>1</v>
      </c>
      <c r="T17" s="71" t="n">
        <f aca="false">D17</f>
        <v>0.002362</v>
      </c>
      <c r="U17" s="2"/>
      <c r="V17" s="118" t="n">
        <f aca="false">INDEX(MMULT(TRANSPOSE($N$11:$S$250),$N$11:$S$250),6,1)</f>
        <v>0.0468715305743243</v>
      </c>
      <c r="W17" s="118" t="n">
        <f aca="false">INDEX(MMULT(TRANSPOSE($N$11:$S$250),$N$11:$S$250),6,2)</f>
        <v>0.0055939398214549</v>
      </c>
      <c r="X17" s="118" t="n">
        <f aca="false">INDEX(MMULT(TRANSPOSE($N$11:$S$250),$N$11:$S$250),6,3)</f>
        <v>0.0456259475669164</v>
      </c>
      <c r="Y17" s="118" t="n">
        <f aca="false">INDEX(MMULT(TRANSPOSE($N$11:$S$250),$N$11:$S$250),6,4)</f>
        <v>-0.00648666960062851</v>
      </c>
      <c r="Z17" s="118" t="n">
        <f aca="false">INDEX(MMULT(TRANSPOSE($N$11:$S$250),$N$11:$S$250),6,5)</f>
        <v>-4.34623917656834E-008</v>
      </c>
      <c r="AA17" s="118" t="n">
        <f aca="false">INDEX(MMULT(TRANSPOSE($N$11:$S$250),$N$11:$S$250),6,6)</f>
        <v>21</v>
      </c>
      <c r="AB17" s="2"/>
      <c r="AC17" s="2"/>
      <c r="AD17" s="2"/>
      <c r="AE17" s="2"/>
      <c r="AF17" s="2"/>
    </row>
    <row r="18" customFormat="false" ht="15" hidden="false" customHeight="false" outlineLevel="0" collapsed="false">
      <c r="A18" s="95" t="str">
        <f aca="false">"実部"</f>
        <v>実部</v>
      </c>
      <c r="B18" s="88" t="n">
        <f aca="false">IF(03_FRFデータ貼付!B15="","",03_FRFデータ貼付!A15)</f>
        <v>8</v>
      </c>
      <c r="C18" s="89" t="n">
        <f aca="false">IF(03_FRFデータ貼付!B15="",0,03_FRFデータ貼付!G15)</f>
        <v>21802.6530159132</v>
      </c>
      <c r="D18" s="71" t="n">
        <f aca="false">IF(03_FRFデータ貼付!C15="",0,03_FRFデータ貼付!C15)</f>
        <v>0.006939</v>
      </c>
      <c r="E18" s="71" t="n">
        <f aca="false">IF(03_FRFデータ貼付!D15="",0,03_FRFデータ貼付!D15)</f>
        <v>0.012171</v>
      </c>
      <c r="F18" s="118" t="n">
        <f aca="false">IF($C18=0,0,$V$4/($V$4^2+($C18-$V$5)^2))</f>
        <v>0.00795647069633864</v>
      </c>
      <c r="G18" s="118" t="n">
        <f aca="false">IF($C18=0,0,-($C18-$V$5)/($V$4^2+($C18-$V$5)^2))</f>
        <v>0.00761015239795559</v>
      </c>
      <c r="H18" s="118" t="n">
        <f aca="false">IF($C18=0,0,$V$4/($V$4^2+($C18+$V$5)^2))</f>
        <v>3.44205218795237E-008</v>
      </c>
      <c r="I18" s="118" t="n">
        <f aca="false">IF($C18=0,0,-($C18+$V$5)/($V$4^2+($C18+$V$5)^2))</f>
        <v>-2.28999673948302E-005</v>
      </c>
      <c r="J18" s="118" t="n">
        <f aca="false">IF($C18=0,0,$V$6/($V$6^2+($C18-$V$7)^2))</f>
        <v>0.000830634029443156</v>
      </c>
      <c r="K18" s="118" t="n">
        <f aca="false">IF($C18=0,0,-($C18-$V$7)/($V$6^2+($C18-$V$7)^2))</f>
        <v>0.00295095137160585</v>
      </c>
      <c r="L18" s="118" t="n">
        <f aca="false">IF($C18=0,0,$V$6/($V$6^2+($C18+$V$7)^2))</f>
        <v>4.58203685467469E-008</v>
      </c>
      <c r="M18" s="118" t="n">
        <f aca="false">IF($C18=0,0,-($C18+$V$7)/($V$6^2+($C18+$V$7)^2))</f>
        <v>-2.27689401643157E-005</v>
      </c>
      <c r="N18" s="118" t="n">
        <f aca="false">F18+H18</f>
        <v>0.00795650511686052</v>
      </c>
      <c r="O18" s="118" t="n">
        <f aca="false">I18-G18</f>
        <v>-0.00763305236535042</v>
      </c>
      <c r="P18" s="118" t="n">
        <f aca="false">J18+L18</f>
        <v>0.000830679849811703</v>
      </c>
      <c r="Q18" s="118" t="n">
        <f aca="false">M18-K18</f>
        <v>-0.00297372031177017</v>
      </c>
      <c r="R18" s="118" t="n">
        <f aca="false">IF($C18=0,0,-1/$C18^2)</f>
        <v>-2.10368792287823E-009</v>
      </c>
      <c r="S18" s="88" t="n">
        <f aca="false">IF($C18=0,0,1)</f>
        <v>1</v>
      </c>
      <c r="T18" s="71" t="n">
        <f aca="false">D18</f>
        <v>0.006939</v>
      </c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customFormat="false" ht="15" hidden="false" customHeight="false" outlineLevel="0" collapsed="false">
      <c r="A19" s="95" t="str">
        <f aca="false">"実部"</f>
        <v>実部</v>
      </c>
      <c r="B19" s="88" t="n">
        <f aca="false">IF(03_FRFデータ貼付!B16="","",03_FRFデータ貼付!A16)</f>
        <v>9</v>
      </c>
      <c r="C19" s="89" t="n">
        <f aca="false">IF(03_FRFデータ貼付!B16="",0,03_FRFデータ貼付!G16)</f>
        <v>21865.484868985</v>
      </c>
      <c r="D19" s="71" t="n">
        <f aca="false">IF(03_FRFデータ貼付!C16="",0,03_FRFデータ貼付!C16)</f>
        <v>0.016968</v>
      </c>
      <c r="E19" s="71" t="n">
        <f aca="false">IF(03_FRFデータ貼付!D16="",0,03_FRFデータ貼付!D16)</f>
        <v>0.007099</v>
      </c>
      <c r="F19" s="118" t="n">
        <f aca="false">IF($C19=0,0,$V$4/($V$4^2+($C19-$V$5)^2))</f>
        <v>0.0152353692639513</v>
      </c>
      <c r="G19" s="118" t="n">
        <f aca="false">IF($C19=0,0,-($C19-$V$5)/($V$4^2+($C19-$V$5)^2))</f>
        <v>-1.20924479535773E-005</v>
      </c>
      <c r="H19" s="118" t="n">
        <f aca="false">IF($C19=0,0,$V$4/($V$4^2+($C19+$V$5)^2))</f>
        <v>3.43216834945996E-008</v>
      </c>
      <c r="I19" s="118" t="n">
        <f aca="false">IF($C19=0,0,-($C19+$V$5)/($V$4^2+($C19+$V$5)^2))</f>
        <v>-2.28670652519786E-005</v>
      </c>
      <c r="J19" s="118" t="n">
        <f aca="false">IF($C19=0,0,$V$6/($V$6^2+($C19-$V$7)^2))</f>
        <v>0.00124668422865168</v>
      </c>
      <c r="K19" s="118" t="n">
        <f aca="false">IF($C19=0,0,-($C19-$V$7)/($V$6^2+($C19-$V$7)^2))</f>
        <v>0.00354276364684247</v>
      </c>
      <c r="L19" s="118" t="n">
        <f aca="false">IF($C19=0,0,$V$6/($V$6^2+($C19+$V$7)^2))</f>
        <v>4.56895467607331E-008</v>
      </c>
      <c r="M19" s="118" t="n">
        <f aca="false">IF($C19=0,0,-($C19+$V$7)/($V$6^2+($C19+$V$7)^2))</f>
        <v>-2.27364132487677E-005</v>
      </c>
      <c r="N19" s="118" t="n">
        <f aca="false">F19+H19</f>
        <v>0.0152354035856348</v>
      </c>
      <c r="O19" s="118" t="n">
        <f aca="false">I19-G19</f>
        <v>-1.07746172984012E-005</v>
      </c>
      <c r="P19" s="118" t="n">
        <f aca="false">J19+L19</f>
        <v>0.00124672991819844</v>
      </c>
      <c r="Q19" s="118" t="n">
        <f aca="false">M19-K19</f>
        <v>-0.00356550006009124</v>
      </c>
      <c r="R19" s="118" t="n">
        <f aca="false">IF($C19=0,0,-1/$C19^2)</f>
        <v>-2.09161513332214E-009</v>
      </c>
      <c r="S19" s="88" t="n">
        <f aca="false">IF($C19=0,0,1)</f>
        <v>1</v>
      </c>
      <c r="T19" s="71" t="n">
        <f aca="false">D19</f>
        <v>0.016968</v>
      </c>
      <c r="U19" s="129" t="s">
        <v>494</v>
      </c>
      <c r="V19" s="118" t="n">
        <f aca="false">$V$8*(V12+W13+X14+Y15+Z16+AA17)/6</f>
        <v>3.50041011083962E-012</v>
      </c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customFormat="false" ht="15" hidden="false" customHeight="false" outlineLevel="0" collapsed="false">
      <c r="A20" s="95" t="str">
        <f aca="false">"実部"</f>
        <v>実部</v>
      </c>
      <c r="B20" s="88" t="n">
        <f aca="false">IF(03_FRFデータ貼付!B17="","",03_FRFデータ貼付!A17)</f>
        <v>10</v>
      </c>
      <c r="C20" s="89" t="n">
        <f aca="false">IF(03_FRFデータ貼付!B17="",0,03_FRFデータ貼付!G17)</f>
        <v>21928.3167220568</v>
      </c>
      <c r="D20" s="71" t="n">
        <f aca="false">IF(03_FRFデータ貼付!C17="",0,03_FRFデータ貼付!C17)</f>
        <v>0.012733</v>
      </c>
      <c r="E20" s="71" t="n">
        <f aca="false">IF(03_FRFデータ貼付!D17="",0,03_FRFデータ貼付!D17)</f>
        <v>-0.002205</v>
      </c>
      <c r="F20" s="118" t="n">
        <f aca="false">IF($C20=0,0,$V$4/($V$4^2+($C20-$V$5)^2))</f>
        <v>0.00794386249059309</v>
      </c>
      <c r="G20" s="118" t="n">
        <f aca="false">IF($C20=0,0,-($C20-$V$5)/($V$4^2+($C20-$V$5)^2))</f>
        <v>-0.00761070321330765</v>
      </c>
      <c r="H20" s="118" t="n">
        <f aca="false">IF($C20=0,0,$V$4/($V$4^2+($C20+$V$5)^2))</f>
        <v>3.42232702199479E-008</v>
      </c>
      <c r="I20" s="118" t="n">
        <f aca="false">IF($C20=0,0,-($C20+$V$5)/($V$4^2+($C20+$V$5)^2))</f>
        <v>-2.2834257519342E-005</v>
      </c>
      <c r="J20" s="118" t="n">
        <f aca="false">IF($C20=0,0,$V$6/($V$6^2+($C20-$V$7)^2))</f>
        <v>0.002042107399869</v>
      </c>
      <c r="K20" s="118" t="n">
        <f aca="false">IF($C20=0,0,-($C20-$V$7)/($V$6^2+($C20-$V$7)^2))</f>
        <v>0.00435142193269744</v>
      </c>
      <c r="L20" s="118" t="n">
        <f aca="false">IF($C20=0,0,$V$6/($V$6^2+($C20+$V$7)^2))</f>
        <v>4.55592844393532E-008</v>
      </c>
      <c r="M20" s="118" t="n">
        <f aca="false">IF($C20=0,0,-($C20+$V$7)/($V$6^2+($C20+$V$7)^2))</f>
        <v>-2.27039791339128E-005</v>
      </c>
      <c r="N20" s="118" t="n">
        <f aca="false">F20+H20</f>
        <v>0.00794389671386331</v>
      </c>
      <c r="O20" s="118" t="n">
        <f aca="false">I20-G20</f>
        <v>0.00758786895578831</v>
      </c>
      <c r="P20" s="118" t="n">
        <f aca="false">J20+L20</f>
        <v>0.00204215295915344</v>
      </c>
      <c r="Q20" s="118" t="n">
        <f aca="false">M20-K20</f>
        <v>-0.00437412591183135</v>
      </c>
      <c r="R20" s="118" t="n">
        <f aca="false">IF($C20=0,0,-1/$C20^2)</f>
        <v>-2.07964597257694E-009</v>
      </c>
      <c r="S20" s="88" t="n">
        <f aca="false">IF($C20=0,0,1)</f>
        <v>1</v>
      </c>
      <c r="T20" s="71" t="n">
        <f aca="false">D20</f>
        <v>0.012733</v>
      </c>
      <c r="U20" s="129" t="s">
        <v>495</v>
      </c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customFormat="false" ht="15" hidden="false" customHeight="false" outlineLevel="0" collapsed="false">
      <c r="A21" s="95" t="str">
        <f aca="false">"実部"</f>
        <v>実部</v>
      </c>
      <c r="B21" s="88" t="n">
        <f aca="false">IF(03_FRFデータ貼付!B18="","",03_FRFデータ貼付!A18)</f>
        <v>11</v>
      </c>
      <c r="C21" s="89" t="n">
        <f aca="false">IF(03_FRFデータ貼付!B18="",0,03_FRFデータ貼付!G18)</f>
        <v>21991.1485751286</v>
      </c>
      <c r="D21" s="71" t="n">
        <f aca="false">IF(03_FRFデータ貼付!C18="",0,03_FRFデータ貼付!C18)</f>
        <v>0.009201</v>
      </c>
      <c r="E21" s="71" t="n">
        <f aca="false">IF(03_FRFデータ貼付!D18="",0,03_FRFデータ貼付!D18)</f>
        <v>-0.001806</v>
      </c>
      <c r="F21" s="118" t="n">
        <f aca="false">IF($C21=0,0,$V$4/($V$4^2+($C21-$V$5)^2))</f>
        <v>0.00326345533227757</v>
      </c>
      <c r="G21" s="118" t="n">
        <f aca="false">IF($C21=0,0,-($C21-$V$5)/($V$4^2+($C21-$V$5)^2))</f>
        <v>-0.00625058698684791</v>
      </c>
      <c r="H21" s="118" t="n">
        <f aca="false">IF($C21=0,0,$V$4/($V$4^2+($C21+$V$5)^2))</f>
        <v>3.41252796211586E-008</v>
      </c>
      <c r="I21" s="118" t="n">
        <f aca="false">IF($C21=0,0,-($C21+$V$5)/($V$4^2+($C21+$V$5)^2))</f>
        <v>-2.2801543791149E-005</v>
      </c>
      <c r="J21" s="118" t="n">
        <f aca="false">IF($C21=0,0,$V$6/($V$6^2+($C21-$V$7)^2))</f>
        <v>0.00375112003164974</v>
      </c>
      <c r="K21" s="118" t="n">
        <f aca="false">IF($C21=0,0,-($C21-$V$7)/($V$6^2+($C21-$V$7)^2))</f>
        <v>0.00532639705347332</v>
      </c>
      <c r="L21" s="118" t="n">
        <f aca="false">IF($C21=0,0,$V$6/($V$6^2+($C21+$V$7)^2))</f>
        <v>4.54295783970554E-008</v>
      </c>
      <c r="M21" s="118" t="n">
        <f aca="false">IF($C21=0,0,-($C21+$V$7)/($V$6^2+($C21+$V$7)^2))</f>
        <v>-2.26716374231718E-005</v>
      </c>
      <c r="N21" s="118" t="n">
        <f aca="false">F21+H21</f>
        <v>0.0032634894575572</v>
      </c>
      <c r="O21" s="118" t="n">
        <f aca="false">I21-G21</f>
        <v>0.00622778544305676</v>
      </c>
      <c r="P21" s="118" t="n">
        <f aca="false">J21+L21</f>
        <v>0.00375116546122814</v>
      </c>
      <c r="Q21" s="118" t="n">
        <f aca="false">M21-K21</f>
        <v>-0.00534906869089649</v>
      </c>
      <c r="R21" s="118" t="n">
        <f aca="false">IF($C21=0,0,-1/$C21^2)</f>
        <v>-2.06777925800689E-009</v>
      </c>
      <c r="S21" s="88" t="n">
        <f aca="false">IF($C21=0,0,1)</f>
        <v>1</v>
      </c>
      <c r="T21" s="71" t="n">
        <f aca="false">D21</f>
        <v>0.009201</v>
      </c>
      <c r="U21" s="2"/>
      <c r="V21" s="118" t="n">
        <f aca="false">V12+IF(1=1,$V$19,0)</f>
        <v>0.000714367796995106</v>
      </c>
      <c r="W21" s="118" t="n">
        <f aca="false">W12+IF(1=2,$V$19,0)</f>
        <v>-2.14284879231465E-006</v>
      </c>
      <c r="X21" s="118" t="n">
        <f aca="false">X12+IF(1=3,$V$19,0)</f>
        <v>0.000129106408601667</v>
      </c>
      <c r="Y21" s="118" t="n">
        <f aca="false">Y12+IF(1=4,$V$19,0)</f>
        <v>-0.000291139426124562</v>
      </c>
      <c r="Z21" s="118" t="n">
        <f aca="false">Z12+IF(1=5,$V$19,0)</f>
        <v>-9.79767086427603E-011</v>
      </c>
      <c r="AA21" s="118" t="n">
        <f aca="false">AA12+IF(1=6,$V$19,0)</f>
        <v>0.0468715305743243</v>
      </c>
      <c r="AB21" s="2"/>
      <c r="AC21" s="2"/>
      <c r="AD21" s="2"/>
      <c r="AE21" s="2"/>
      <c r="AF21" s="2"/>
    </row>
    <row r="22" customFormat="false" ht="15" hidden="false" customHeight="false" outlineLevel="0" collapsed="false">
      <c r="A22" s="95" t="str">
        <f aca="false">"実部"</f>
        <v>実部</v>
      </c>
      <c r="B22" s="88" t="n">
        <f aca="false">IF(03_FRFデータ貼付!B19="","",03_FRFデータ貼付!A19)</f>
        <v>12</v>
      </c>
      <c r="C22" s="89" t="n">
        <f aca="false">IF(03_FRFデータ貼付!B19="",0,03_FRFデータ貼付!G19)</f>
        <v>22053.9804282003</v>
      </c>
      <c r="D22" s="71" t="n">
        <f aca="false">IF(03_FRFデータ貼付!C19="",0,03_FRFデータ貼付!C19)</f>
        <v>0.010162</v>
      </c>
      <c r="E22" s="71" t="n">
        <f aca="false">IF(03_FRFデータ貼付!D19="",0,03_FRFデータ貼付!D19)</f>
        <v>-0.00152</v>
      </c>
      <c r="F22" s="118" t="n">
        <f aca="false">IF($C22=0,0,$V$4/($V$4^2+($C22-$V$5)^2))</f>
        <v>0.00164674720828741</v>
      </c>
      <c r="G22" s="118" t="n">
        <f aca="false">IF($C22=0,0,-($C22-$V$5)/($V$4^2+($C22-$V$5)^2))</f>
        <v>-0.00473043774294989</v>
      </c>
      <c r="H22" s="118" t="n">
        <f aca="false">IF($C22=0,0,$V$4/($V$4^2+($C22+$V$5)^2))</f>
        <v>3.40277092812228E-008</v>
      </c>
      <c r="I22" s="118" t="n">
        <f aca="false">IF($C22=0,0,-($C22+$V$5)/($V$4^2+($C22+$V$5)^2))</f>
        <v>-2.27689236639503E-005</v>
      </c>
      <c r="J22" s="118" t="n">
        <f aca="false">IF($C22=0,0,$V$6/($V$6^2+($C22-$V$7)^2))</f>
        <v>0.00752908629978995</v>
      </c>
      <c r="K22" s="118" t="n">
        <f aca="false">IF($C22=0,0,-($C22-$V$7)/($V$6^2+($C22-$V$7)^2))</f>
        <v>0.00533848487635345</v>
      </c>
      <c r="L22" s="118" t="n">
        <f aca="false">IF($C22=0,0,$V$6/($V$6^2+($C22+$V$7)^2))</f>
        <v>4.5300425470929E-008</v>
      </c>
      <c r="M22" s="118" t="n">
        <f aca="false">IF($C22=0,0,-($C22+$V$7)/($V$6^2+($C22+$V$7)^2))</f>
        <v>-2.26393877222218E-005</v>
      </c>
      <c r="N22" s="118" t="n">
        <f aca="false">F22+H22</f>
        <v>0.00164678123599669</v>
      </c>
      <c r="O22" s="118" t="n">
        <f aca="false">I22-G22</f>
        <v>0.00470766881928594</v>
      </c>
      <c r="P22" s="118" t="n">
        <f aca="false">J22+L22</f>
        <v>0.00752913160021542</v>
      </c>
      <c r="Q22" s="118" t="n">
        <f aca="false">M22-K22</f>
        <v>-0.00536112426407567</v>
      </c>
      <c r="R22" s="118" t="n">
        <f aca="false">IF($C22=0,0,-1/$C22^2)</f>
        <v>-2.05601382379887E-009</v>
      </c>
      <c r="S22" s="88" t="n">
        <f aca="false">IF($C22=0,0,1)</f>
        <v>1</v>
      </c>
      <c r="T22" s="71" t="n">
        <f aca="false">D22</f>
        <v>0.010162</v>
      </c>
      <c r="U22" s="2"/>
      <c r="V22" s="118" t="n">
        <f aca="false">V13+IF(2=1,$V$19,0)</f>
        <v>-2.14284879231465E-006</v>
      </c>
      <c r="W22" s="118" t="n">
        <f aca="false">W13+IF(2=2,$V$19,0)</f>
        <v>0.000713843262273511</v>
      </c>
      <c r="X22" s="118" t="n">
        <f aca="false">X13+IF(2=3,$V$19,0)</f>
        <v>0.000286933191804518</v>
      </c>
      <c r="Y22" s="118" t="n">
        <f aca="false">Y13+IF(2=4,$V$19,0)</f>
        <v>0.00012913227401041</v>
      </c>
      <c r="Z22" s="118" t="n">
        <f aca="false">Z13+IF(2=5,$V$19,0)</f>
        <v>-8.31327909407621E-012</v>
      </c>
      <c r="AA22" s="118" t="n">
        <f aca="false">AA13+IF(2=6,$V$19,0)</f>
        <v>0.0055939398214549</v>
      </c>
      <c r="AB22" s="2"/>
      <c r="AC22" s="2"/>
      <c r="AD22" s="2"/>
      <c r="AE22" s="2"/>
      <c r="AF22" s="2"/>
    </row>
    <row r="23" customFormat="false" ht="15" hidden="false" customHeight="false" outlineLevel="0" collapsed="false">
      <c r="A23" s="95" t="str">
        <f aca="false">"実部"</f>
        <v>実部</v>
      </c>
      <c r="B23" s="88" t="n">
        <f aca="false">IF(03_FRFデータ貼付!B20="","",03_FRFデータ貼付!A20)</f>
        <v>13</v>
      </c>
      <c r="C23" s="89" t="n">
        <f aca="false">IF(03_FRFデータ貼付!B20="",0,03_FRFデータ貼付!G20)</f>
        <v>22116.8122812721</v>
      </c>
      <c r="D23" s="71" t="n">
        <f aca="false">IF(03_FRFデータ貼付!C20="",0,03_FRFデータ貼付!C20)</f>
        <v>0.011108</v>
      </c>
      <c r="E23" s="71" t="n">
        <f aca="false">IF(03_FRFデータ貼付!D20="",0,03_FRFデータ貼付!D20)</f>
        <v>-0.005744</v>
      </c>
      <c r="F23" s="118" t="n">
        <f aca="false">IF($C23=0,0,$V$4/($V$4^2+($C23-$V$5)^2))</f>
        <v>0.00097239795695133</v>
      </c>
      <c r="G23" s="118" t="n">
        <f aca="false">IF($C23=0,0,-($C23-$V$5)/($V$4^2+($C23-$V$5)^2))</f>
        <v>-0.00372415003617529</v>
      </c>
      <c r="H23" s="118" t="n">
        <f aca="false">IF($C23=0,0,$V$4/($V$4^2+($C23+$V$5)^2))</f>
        <v>3.39305568003836E-008</v>
      </c>
      <c r="I23" s="118" t="n">
        <f aca="false">IF($C23=0,0,-($C23+$V$5)/($V$4^2+($C23+$V$5)^2))</f>
        <v>-2.27363967366019E-005</v>
      </c>
      <c r="J23" s="118" t="n">
        <f aca="false">IF($C23=0,0,$V$6/($V$6^2+($C23-$V$7)^2))</f>
        <v>0.0113142904305157</v>
      </c>
      <c r="K23" s="118" t="n">
        <f aca="false">IF($C23=0,0,-($C23-$V$7)/($V$6^2+($C23-$V$7)^2))</f>
        <v>-2.09552051885952E-005</v>
      </c>
      <c r="L23" s="118" t="n">
        <f aca="false">IF($C23=0,0,$V$6/($V$6^2+($C23+$V$7)^2))</f>
        <v>4.51718225205107E-008</v>
      </c>
      <c r="M23" s="118" t="n">
        <f aca="false">IF($C23=0,0,-($C23+$V$7)/($V$6^2+($C23+$V$7)^2))</f>
        <v>-2.26072296389807E-005</v>
      </c>
      <c r="N23" s="118" t="n">
        <f aca="false">F23+H23</f>
        <v>0.000972431887508131</v>
      </c>
      <c r="O23" s="118" t="n">
        <f aca="false">I23-G23</f>
        <v>0.00370141363943869</v>
      </c>
      <c r="P23" s="118" t="n">
        <f aca="false">J23+L23</f>
        <v>0.0113143356023382</v>
      </c>
      <c r="Q23" s="118" t="n">
        <f aca="false">M23-K23</f>
        <v>-1.65202445038549E-006</v>
      </c>
      <c r="R23" s="118" t="n">
        <f aca="false">IF($C23=0,0,-1/$C23^2)</f>
        <v>-2.04434852067604E-009</v>
      </c>
      <c r="S23" s="88" t="n">
        <f aca="false">IF($C23=0,0,1)</f>
        <v>1</v>
      </c>
      <c r="T23" s="71" t="n">
        <f aca="false">D23</f>
        <v>0.011108</v>
      </c>
      <c r="U23" s="2"/>
      <c r="V23" s="118" t="n">
        <f aca="false">V14+IF(3=1,$V$19,0)</f>
        <v>0.000129106408601667</v>
      </c>
      <c r="W23" s="118" t="n">
        <f aca="false">W14+IF(3=2,$V$19,0)</f>
        <v>0.000286933191804518</v>
      </c>
      <c r="X23" s="118" t="n">
        <f aca="false">X14+IF(3=3,$V$19,0)</f>
        <v>0.000515941951395541</v>
      </c>
      <c r="Y23" s="118" t="n">
        <f aca="false">Y14+IF(3=4,$V$19,0)</f>
        <v>-2.06410752738023E-006</v>
      </c>
      <c r="Z23" s="118" t="n">
        <f aca="false">Z14+IF(3=5,$V$19,0)</f>
        <v>-9.33939431807189E-011</v>
      </c>
      <c r="AA23" s="118" t="n">
        <f aca="false">AA14+IF(3=6,$V$19,0)</f>
        <v>0.0456259475669164</v>
      </c>
      <c r="AB23" s="2"/>
      <c r="AC23" s="2"/>
      <c r="AD23" s="2"/>
      <c r="AE23" s="2"/>
      <c r="AF23" s="2"/>
    </row>
    <row r="24" customFormat="false" ht="15" hidden="false" customHeight="false" outlineLevel="0" collapsed="false">
      <c r="A24" s="95" t="str">
        <f aca="false">"実部"</f>
        <v>実部</v>
      </c>
      <c r="B24" s="88" t="n">
        <f aca="false">IF(03_FRFデータ貼付!B21="","",03_FRFデータ貼付!A21)</f>
        <v>14</v>
      </c>
      <c r="C24" s="89" t="n">
        <f aca="false">IF(03_FRFデータ貼付!B21="",0,03_FRFデータ貼付!G21)</f>
        <v>22179.6441343439</v>
      </c>
      <c r="D24" s="71" t="n">
        <f aca="false">IF(03_FRFデータ貼付!C21="",0,03_FRFデータ貼付!C21)</f>
        <v>0.006478</v>
      </c>
      <c r="E24" s="71" t="n">
        <f aca="false">IF(03_FRFデータ貼付!D21="",0,03_FRFデータ貼付!D21)</f>
        <v>-0.008669</v>
      </c>
      <c r="F24" s="118" t="n">
        <f aca="false">IF($C24=0,0,$V$4/($V$4^2+($C24-$V$5)^2))</f>
        <v>0.000637020957097524</v>
      </c>
      <c r="G24" s="118" t="n">
        <f aca="false">IF($C24=0,0,-($C24-$V$5)/($V$4^2+($C24-$V$5)^2))</f>
        <v>-0.0030495015862478</v>
      </c>
      <c r="H24" s="118" t="n">
        <f aca="false">IF($C24=0,0,$V$4/($V$4^2+($C24+$V$5)^2))</f>
        <v>3.38338197959886E-008</v>
      </c>
      <c r="I24" s="118" t="n">
        <f aca="false">IF($C24=0,0,-($C24+$V$5)/($V$4^2+($C24+$V$5)^2))</f>
        <v>-2.27039626102486E-005</v>
      </c>
      <c r="J24" s="118" t="n">
        <f aca="false">IF($C24=0,0,$V$6/($V$6^2+($C24-$V$7)^2))</f>
        <v>0.00750279151573432</v>
      </c>
      <c r="K24" s="118" t="n">
        <f aca="false">IF($C24=0,0,-($C24-$V$7)/($V$6^2+($C24-$V$7)^2))</f>
        <v>-0.00534763245857645</v>
      </c>
      <c r="L24" s="118" t="n">
        <f aca="false">IF($C24=0,0,$V$6/($V$6^2+($C24+$V$7)^2))</f>
        <v>4.50437664275945E-008</v>
      </c>
      <c r="M24" s="118" t="n">
        <f aca="false">IF($C24=0,0,-($C24+$V$7)/($V$6^2+($C24+$V$7)^2))</f>
        <v>-2.25751627835904E-005</v>
      </c>
      <c r="N24" s="118" t="n">
        <f aca="false">F24+H24</f>
        <v>0.00063705479091732</v>
      </c>
      <c r="O24" s="118" t="n">
        <f aca="false">I24-G24</f>
        <v>0.00302679762363755</v>
      </c>
      <c r="P24" s="118" t="n">
        <f aca="false">J24+L24</f>
        <v>0.00750283655950074</v>
      </c>
      <c r="Q24" s="118" t="n">
        <f aca="false">M24-K24</f>
        <v>0.00532505729579286</v>
      </c>
      <c r="R24" s="118" t="n">
        <f aca="false">IF($C24=0,0,-1/$C24^2)</f>
        <v>-2.03278221561721E-009</v>
      </c>
      <c r="S24" s="88" t="n">
        <f aca="false">IF($C24=0,0,1)</f>
        <v>1</v>
      </c>
      <c r="T24" s="71" t="n">
        <f aca="false">D24</f>
        <v>0.006478</v>
      </c>
      <c r="U24" s="2"/>
      <c r="V24" s="118" t="n">
        <f aca="false">V15+IF(4=1,$V$19,0)</f>
        <v>-0.000291139426124562</v>
      </c>
      <c r="W24" s="118" t="n">
        <f aca="false">W15+IF(4=2,$V$19,0)</f>
        <v>0.00012913227401041</v>
      </c>
      <c r="X24" s="118" t="n">
        <f aca="false">X15+IF(4=3,$V$19,0)</f>
        <v>-2.06410752738023E-006</v>
      </c>
      <c r="Y24" s="118" t="n">
        <f aca="false">Y15+IF(4=4,$V$19,0)</f>
        <v>0.000516512041075431</v>
      </c>
      <c r="Z24" s="118" t="n">
        <f aca="false">Z15+IF(4=5,$V$19,0)</f>
        <v>1.64453099047138E-011</v>
      </c>
      <c r="AA24" s="118" t="n">
        <f aca="false">AA15+IF(4=6,$V$19,0)</f>
        <v>-0.00648666960062851</v>
      </c>
      <c r="AB24" s="2"/>
      <c r="AC24" s="2"/>
      <c r="AD24" s="2"/>
      <c r="AE24" s="2"/>
      <c r="AF24" s="2"/>
    </row>
    <row r="25" customFormat="false" ht="15" hidden="false" customHeight="false" outlineLevel="0" collapsed="false">
      <c r="A25" s="95" t="str">
        <f aca="false">"実部"</f>
        <v>実部</v>
      </c>
      <c r="B25" s="88" t="n">
        <f aca="false">IF(03_FRFデータ貼付!B22="","",03_FRFデータ貼付!A22)</f>
        <v>15</v>
      </c>
      <c r="C25" s="89" t="n">
        <f aca="false">IF(03_FRFデータ貼付!B22="",0,03_FRFデータ貼付!G22)</f>
        <v>22242.4759874157</v>
      </c>
      <c r="D25" s="71" t="n">
        <f aca="false">IF(03_FRFデータ貼付!C22="",0,03_FRFデータ貼付!C22)</f>
        <v>0.003142</v>
      </c>
      <c r="E25" s="71" t="n">
        <f aca="false">IF(03_FRFデータ貼付!D22="",0,03_FRFデータ貼付!D22)</f>
        <v>-0.007475</v>
      </c>
      <c r="F25" s="118" t="n">
        <f aca="false">IF($C25=0,0,$V$4/($V$4^2+($C25-$V$5)^2))</f>
        <v>0.000448124578731502</v>
      </c>
      <c r="G25" s="118" t="n">
        <f aca="false">IF($C25=0,0,-($C25-$V$5)/($V$4^2+($C25-$V$5)^2))</f>
        <v>-0.00257420513871976</v>
      </c>
      <c r="H25" s="118" t="n">
        <f aca="false">IF($C25=0,0,$V$4/($V$4^2+($C25+$V$5)^2))</f>
        <v>3.37374959023435E-008</v>
      </c>
      <c r="I25" s="118" t="n">
        <f aca="false">IF($C25=0,0,-($C25+$V$5)/($V$4^2+($C25+$V$5)^2))</f>
        <v>-2.26716208883081E-005</v>
      </c>
      <c r="J25" s="118" t="n">
        <f aca="false">IF($C25=0,0,$V$6/($V$6^2+($C25-$V$7)^2))</f>
        <v>0.00373806606842739</v>
      </c>
      <c r="K25" s="118" t="n">
        <f aca="false">IF($C25=0,0,-($C25-$V$7)/($V$6^2+($C25-$V$7)^2))</f>
        <v>-0.00532170764824213</v>
      </c>
      <c r="L25" s="118" t="n">
        <f aca="false">IF($C25=0,0,$V$6/($V$6^2+($C25+$V$7)^2))</f>
        <v>4.49162540960419E-008</v>
      </c>
      <c r="M25" s="118" t="n">
        <f aca="false">IF($C25=0,0,-($C25+$V$7)/($V$6^2+($C25+$V$7)^2))</f>
        <v>-2.25431867684021E-005</v>
      </c>
      <c r="N25" s="118" t="n">
        <f aca="false">F25+H25</f>
        <v>0.000448158316227405</v>
      </c>
      <c r="O25" s="118" t="n">
        <f aca="false">I25-G25</f>
        <v>0.00255153351783145</v>
      </c>
      <c r="P25" s="118" t="n">
        <f aca="false">J25+L25</f>
        <v>0.00373811098468149</v>
      </c>
      <c r="Q25" s="118" t="n">
        <f aca="false">M25-K25</f>
        <v>0.00529916446147372</v>
      </c>
      <c r="R25" s="118" t="n">
        <f aca="false">IF($C25=0,0,-1/$C25^2)</f>
        <v>-2.02131379158164E-009</v>
      </c>
      <c r="S25" s="88" t="n">
        <f aca="false">IF($C25=0,0,1)</f>
        <v>1</v>
      </c>
      <c r="T25" s="71" t="n">
        <f aca="false">D25</f>
        <v>0.003142</v>
      </c>
      <c r="U25" s="2"/>
      <c r="V25" s="118" t="n">
        <f aca="false">V16+IF(5=1,$V$19,0)</f>
        <v>-9.79767086427603E-011</v>
      </c>
      <c r="W25" s="118" t="n">
        <f aca="false">W16+IF(5=2,$V$19,0)</f>
        <v>-8.31327909407621E-012</v>
      </c>
      <c r="X25" s="118" t="n">
        <f aca="false">X16+IF(5=3,$V$19,0)</f>
        <v>-9.33939431807189E-011</v>
      </c>
      <c r="Y25" s="118" t="n">
        <f aca="false">Y16+IF(5=4,$V$19,0)</f>
        <v>1.64453099047138E-011</v>
      </c>
      <c r="Z25" s="118" t="n">
        <f aca="false">Z16+IF(5=5,$V$19,0)</f>
        <v>3.5005001700369E-012</v>
      </c>
      <c r="AA25" s="118" t="n">
        <f aca="false">AA16+IF(5=6,$V$19,0)</f>
        <v>-4.34623917656834E-008</v>
      </c>
      <c r="AB25" s="2"/>
      <c r="AC25" s="2"/>
      <c r="AD25" s="2"/>
      <c r="AE25" s="2"/>
      <c r="AF25" s="2"/>
    </row>
    <row r="26" customFormat="false" ht="15" hidden="false" customHeight="false" outlineLevel="0" collapsed="false">
      <c r="A26" s="95" t="str">
        <f aca="false">"実部"</f>
        <v>実部</v>
      </c>
      <c r="B26" s="88" t="n">
        <f aca="false">IF(03_FRFデータ貼付!B23="","",03_FRFデータ貼付!A23)</f>
        <v>16</v>
      </c>
      <c r="C26" s="89" t="n">
        <f aca="false">IF(03_FRFデータ貼付!B23="",0,03_FRFデータ貼付!G23)</f>
        <v>22305.3078404875</v>
      </c>
      <c r="D26" s="71" t="n">
        <f aca="false">IF(03_FRFデータ貼付!C23="",0,03_FRFデータ貼付!C23)</f>
        <v>0.001759</v>
      </c>
      <c r="E26" s="71" t="n">
        <f aca="false">IF(03_FRFデータ貼付!D23="",0,03_FRFデータ貼付!D23)</f>
        <v>-0.006056</v>
      </c>
      <c r="F26" s="118" t="n">
        <f aca="false">IF($C26=0,0,$V$4/($V$4^2+($C26-$V$5)^2))</f>
        <v>0.000331836605877963</v>
      </c>
      <c r="G26" s="118" t="n">
        <f aca="false">IF($C26=0,0,-($C26-$V$5)/($V$4^2+($C26-$V$5)^2))</f>
        <v>-0.00222385720714606</v>
      </c>
      <c r="H26" s="118" t="n">
        <f aca="false">IF($C26=0,0,$V$4/($V$4^2+($C26+$V$5)^2))</f>
        <v>3.36415827705677E-008</v>
      </c>
      <c r="I26" s="118" t="n">
        <f aca="false">IF($C26=0,0,-($C26+$V$5)/($V$4^2+($C26+$V$5)^2))</f>
        <v>-2.26393711764545E-005</v>
      </c>
      <c r="J26" s="118" t="n">
        <f aca="false">IF($C26=0,0,$V$6/($V$6^2+($C26-$V$7)^2))</f>
        <v>0.00203630047574626</v>
      </c>
      <c r="K26" s="118" t="n">
        <f aca="false">IF($C26=0,0,-($C26-$V$7)/($V$6^2+($C26-$V$7)^2))</f>
        <v>-0.00434659112294101</v>
      </c>
      <c r="L26" s="118" t="n">
        <f aca="false">IF($C26=0,0,$V$6/($V$6^2+($C26+$V$7)^2))</f>
        <v>4.47892824515953E-008</v>
      </c>
      <c r="M26" s="118" t="n">
        <f aca="false">IF($C26=0,0,-($C26+$V$7)/($V$6^2+($C26+$V$7)^2))</f>
        <v>-2.25113012079598E-005</v>
      </c>
      <c r="N26" s="118" t="n">
        <f aca="false">F26+H26</f>
        <v>0.000331870247460733</v>
      </c>
      <c r="O26" s="118" t="n">
        <f aca="false">I26-G26</f>
        <v>0.0022012178359696</v>
      </c>
      <c r="P26" s="118" t="n">
        <f aca="false">J26+L26</f>
        <v>0.00203634526502871</v>
      </c>
      <c r="Q26" s="118" t="n">
        <f aca="false">M26-K26</f>
        <v>0.00432407982173305</v>
      </c>
      <c r="R26" s="118" t="n">
        <f aca="false">IF($C26=0,0,-1/$C26^2)</f>
        <v>-2.00994214723939E-009</v>
      </c>
      <c r="S26" s="88" t="n">
        <f aca="false">IF($C26=0,0,1)</f>
        <v>1</v>
      </c>
      <c r="T26" s="71" t="n">
        <f aca="false">D26</f>
        <v>0.001759</v>
      </c>
      <c r="U26" s="2"/>
      <c r="V26" s="118" t="n">
        <f aca="false">V17+IF(6=1,$V$19,0)</f>
        <v>0.0468715305743243</v>
      </c>
      <c r="W26" s="118" t="n">
        <f aca="false">W17+IF(6=2,$V$19,0)</f>
        <v>0.0055939398214549</v>
      </c>
      <c r="X26" s="118" t="n">
        <f aca="false">X17+IF(6=3,$V$19,0)</f>
        <v>0.0456259475669164</v>
      </c>
      <c r="Y26" s="118" t="n">
        <f aca="false">Y17+IF(6=4,$V$19,0)</f>
        <v>-0.00648666960062851</v>
      </c>
      <c r="Z26" s="118" t="n">
        <f aca="false">Z17+IF(6=5,$V$19,0)</f>
        <v>-4.34623917656834E-008</v>
      </c>
      <c r="AA26" s="118" t="n">
        <f aca="false">AA17+IF(6=6,$V$19,0)</f>
        <v>21.0000000000035</v>
      </c>
      <c r="AB26" s="2"/>
      <c r="AC26" s="2"/>
      <c r="AD26" s="2"/>
      <c r="AE26" s="2"/>
      <c r="AF26" s="2"/>
    </row>
    <row r="27" customFormat="false" ht="15" hidden="false" customHeight="false" outlineLevel="0" collapsed="false">
      <c r="A27" s="95" t="str">
        <f aca="false">"実部"</f>
        <v>実部</v>
      </c>
      <c r="B27" s="88" t="n">
        <f aca="false">IF(03_FRFデータ貼付!B24="","",03_FRFデータ貼付!A24)</f>
        <v>17</v>
      </c>
      <c r="C27" s="89" t="n">
        <f aca="false">IF(03_FRFデータ貼付!B24="",0,03_FRFデータ貼付!G24)</f>
        <v>22368.1396935593</v>
      </c>
      <c r="D27" s="71" t="n">
        <f aca="false">IF(03_FRFデータ貼付!C24="",0,03_FRFデータ貼付!C24)</f>
        <v>0.001128</v>
      </c>
      <c r="E27" s="71" t="n">
        <f aca="false">IF(03_FRFデータ貼付!D24="",0,03_FRFデータ貼付!D24)</f>
        <v>-0.005</v>
      </c>
      <c r="F27" s="118" t="n">
        <f aca="false">IF($C27=0,0,$V$4/($V$4^2+($C27-$V$5)^2))</f>
        <v>0.000255373438995409</v>
      </c>
      <c r="G27" s="118" t="n">
        <f aca="false">IF($C27=0,0,-($C27-$V$5)/($V$4^2+($C27-$V$5)^2))</f>
        <v>-0.00195588739476493</v>
      </c>
      <c r="H27" s="118" t="n">
        <f aca="false">IF($C27=0,0,$V$4/($V$4^2+($C27+$V$5)^2))</f>
        <v>3.35460780684512E-008</v>
      </c>
      <c r="I27" s="118" t="n">
        <f aca="false">IF($C27=0,0,-($C27+$V$5)/($V$4^2+($C27+$V$5)^2))</f>
        <v>-2.26072130826023E-005</v>
      </c>
      <c r="J27" s="118" t="n">
        <f aca="false">IF($C27=0,0,$V$6/($V$6^2+($C27-$V$7)^2))</f>
        <v>0.00124379707138244</v>
      </c>
      <c r="K27" s="118" t="n">
        <f aca="false">IF($C27=0,0,-($C27-$V$7)/($V$6^2+($C27-$V$7)^2))</f>
        <v>-0.0035391663454352</v>
      </c>
      <c r="L27" s="118" t="n">
        <f aca="false">IF($C27=0,0,$V$6/($V$6^2+($C27+$V$7)^2))</f>
        <v>4.46628484416925E-008</v>
      </c>
      <c r="M27" s="118" t="n">
        <f aca="false">IF($C27=0,0,-($C27+$V$7)/($V$6^2+($C27+$V$7)^2))</f>
        <v>-2.24795057189855E-005</v>
      </c>
      <c r="N27" s="118" t="n">
        <f aca="false">F27+H27</f>
        <v>0.000255406985073478</v>
      </c>
      <c r="O27" s="118" t="n">
        <f aca="false">I27-G27</f>
        <v>0.00193328018168233</v>
      </c>
      <c r="P27" s="118" t="n">
        <f aca="false">J27+L27</f>
        <v>0.00124384173423088</v>
      </c>
      <c r="Q27" s="118" t="n">
        <f aca="false">M27-K27</f>
        <v>0.00351668683971622</v>
      </c>
      <c r="R27" s="118" t="n">
        <f aca="false">IF($C27=0,0,-1/$C27^2)</f>
        <v>-1.99866619670689E-009</v>
      </c>
      <c r="S27" s="88" t="n">
        <f aca="false">IF($C27=0,0,1)</f>
        <v>1</v>
      </c>
      <c r="T27" s="71" t="n">
        <f aca="false">D27</f>
        <v>0.001128</v>
      </c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customFormat="false" ht="15" hidden="false" customHeight="false" outlineLevel="0" collapsed="false">
      <c r="A28" s="95" t="str">
        <f aca="false">"実部"</f>
        <v>実部</v>
      </c>
      <c r="B28" s="88" t="n">
        <f aca="false">IF(03_FRFデータ貼付!B25="","",03_FRFデータ貼付!A25)</f>
        <v>18</v>
      </c>
      <c r="C28" s="89" t="n">
        <f aca="false">IF(03_FRFデータ貼付!B25="",0,03_FRFデータ貼付!G25)</f>
        <v>22430.9715466311</v>
      </c>
      <c r="D28" s="71" t="n">
        <f aca="false">IF(03_FRFデータ貼付!C25="",0,03_FRFデータ貼付!C25)</f>
        <v>0.000797</v>
      </c>
      <c r="E28" s="71" t="n">
        <f aca="false">IF(03_FRFデータ貼付!D25="",0,03_FRFデータ貼付!D25)</f>
        <v>-0.004246</v>
      </c>
      <c r="F28" s="118" t="n">
        <f aca="false">IF($C28=0,0,$V$4/($V$4^2+($C28-$V$5)^2))</f>
        <v>0.00020249348603844</v>
      </c>
      <c r="G28" s="118" t="n">
        <f aca="false">IF($C28=0,0,-($C28-$V$5)/($V$4^2+($C28-$V$5)^2))</f>
        <v>-0.00174472386496009</v>
      </c>
      <c r="H28" s="118" t="n">
        <f aca="false">IF($C28=0,0,$V$4/($V$4^2+($C28+$V$5)^2))</f>
        <v>3.34509794803126E-008</v>
      </c>
      <c r="I28" s="118" t="n">
        <f aca="false">IF($C28=0,0,-($C28+$V$5)/($V$4^2+($C28+$V$5)^2))</f>
        <v>-2.25751462168906E-005</v>
      </c>
      <c r="J28" s="118" t="n">
        <f aca="false">IF($C28=0,0,$V$6/($V$6^2+($C28-$V$7)^2))</f>
        <v>0.000829031318818643</v>
      </c>
      <c r="K28" s="118" t="n">
        <f aca="false">IF($C28=0,0,-($C28-$V$7)/($V$6^2+($C28-$V$7)^2))</f>
        <v>-0.00294832840185492</v>
      </c>
      <c r="L28" s="118" t="n">
        <f aca="false">IF($C28=0,0,$V$6/($V$6^2+($C28+$V$7)^2))</f>
        <v>4.45369490352832E-008</v>
      </c>
      <c r="M28" s="118" t="n">
        <f aca="false">IF($C28=0,0,-($C28+$V$7)/($V$6^2+($C28+$V$7)^2))</f>
        <v>-2.24477999203632E-005</v>
      </c>
      <c r="N28" s="118" t="n">
        <f aca="false">F28+H28</f>
        <v>0.00020252693701792</v>
      </c>
      <c r="O28" s="118" t="n">
        <f aca="false">I28-G28</f>
        <v>0.0017221487187432</v>
      </c>
      <c r="P28" s="118" t="n">
        <f aca="false">J28+L28</f>
        <v>0.000829075855767678</v>
      </c>
      <c r="Q28" s="118" t="n">
        <f aca="false">M28-K28</f>
        <v>0.00292588060193456</v>
      </c>
      <c r="R28" s="118" t="n">
        <f aca="false">IF($C28=0,0,-1/$C28^2)</f>
        <v>-1.98748486928767E-009</v>
      </c>
      <c r="S28" s="88" t="n">
        <f aca="false">IF($C28=0,0,1)</f>
        <v>1</v>
      </c>
      <c r="T28" s="71" t="n">
        <f aca="false">D28</f>
        <v>0.000797</v>
      </c>
      <c r="U28" s="130" t="s">
        <v>496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customFormat="false" ht="15" hidden="false" customHeight="false" outlineLevel="0" collapsed="false">
      <c r="A29" s="95" t="str">
        <f aca="false">"実部"</f>
        <v>実部</v>
      </c>
      <c r="B29" s="88" t="n">
        <f aca="false">IF(03_FRFデータ貼付!B26="","",03_FRFデータ貼付!A26)</f>
        <v>19</v>
      </c>
      <c r="C29" s="89" t="n">
        <f aca="false">IF(03_FRFデータ貼付!B26="",0,03_FRFデータ貼付!G26)</f>
        <v>22493.8033997029</v>
      </c>
      <c r="D29" s="71" t="n">
        <f aca="false">IF(03_FRFデータ貼付!C26="",0,03_FRFデータ貼付!C26)</f>
        <v>0.000602</v>
      </c>
      <c r="E29" s="71" t="n">
        <f aca="false">IF(03_FRFデータ貼付!D26="",0,03_FRFデータ貼付!D26)</f>
        <v>-0.003688</v>
      </c>
      <c r="F29" s="118" t="n">
        <f aca="false">IF($C29=0,0,$V$4/($V$4^2+($C29-$V$5)^2))</f>
        <v>0.000164437966645911</v>
      </c>
      <c r="G29" s="118" t="n">
        <f aca="false">IF($C29=0,0,-($C29-$V$5)/($V$4^2+($C29-$V$5)^2))</f>
        <v>-0.00157424104769427</v>
      </c>
      <c r="H29" s="118" t="n">
        <f aca="false">IF($C29=0,0,$V$4/($V$4^2+($C29+$V$5)^2))</f>
        <v>3.33562847068589E-008</v>
      </c>
      <c r="I29" s="118" t="n">
        <f aca="false">IF($C29=0,0,-($C29+$V$5)/($V$4^2+($C29+$V$5)^2))</f>
        <v>-2.25431701916675E-005</v>
      </c>
      <c r="J29" s="118" t="n">
        <f aca="false">IF($C29=0,0,$V$6/($V$6^2+($C29-$V$7)^2))</f>
        <v>0.000588997947527212</v>
      </c>
      <c r="K29" s="118" t="n">
        <f aca="false">IF($C29=0,0,-($C29-$V$7)/($V$6^2+($C29-$V$7)^2))</f>
        <v>-0.00251340369196774</v>
      </c>
      <c r="L29" s="118" t="n">
        <f aca="false">IF($C29=0,0,$V$6/($V$6^2+($C29+$V$7)^2))</f>
        <v>4.44115812226475E-008</v>
      </c>
      <c r="M29" s="118" t="n">
        <f aca="false">IF($C29=0,0,-($C29+$V$7)/($V$6^2+($C29+$V$7)^2))</f>
        <v>-2.24161834331242E-005</v>
      </c>
      <c r="N29" s="118" t="n">
        <f aca="false">F29+H29</f>
        <v>0.000164471322930618</v>
      </c>
      <c r="O29" s="118" t="n">
        <f aca="false">I29-G29</f>
        <v>0.0015516978775026</v>
      </c>
      <c r="P29" s="118" t="n">
        <f aca="false">J29+L29</f>
        <v>0.000589042359108435</v>
      </c>
      <c r="Q29" s="118" t="n">
        <f aca="false">M29-K29</f>
        <v>0.00249098750853461</v>
      </c>
      <c r="R29" s="118" t="n">
        <f aca="false">IF($C29=0,0,-1/$C29^2)</f>
        <v>-1.97639710921822E-009</v>
      </c>
      <c r="S29" s="88" t="n">
        <f aca="false">IF($C29=0,0,1)</f>
        <v>1</v>
      </c>
      <c r="T29" s="71" t="n">
        <f aca="false">D29</f>
        <v>0.000602</v>
      </c>
      <c r="U29" s="2"/>
      <c r="V29" s="118" t="n">
        <f aca="false">INDEX(MINVERSE($V$21:$AA$26),1,1)</f>
        <v>2193.05210997266</v>
      </c>
      <c r="W29" s="118" t="n">
        <f aca="false">INDEX(MINVERSE($V$21:$AA$26),1,2)</f>
        <v>-147.401732459895</v>
      </c>
      <c r="X29" s="118" t="n">
        <f aca="false">INDEX(MINVERSE($V$21:$AA$26),1,3)</f>
        <v>-81.4794180734405</v>
      </c>
      <c r="Y29" s="118" t="n">
        <f aca="false">INDEX(MINVERSE($V$21:$AA$26),1,4)</f>
        <v>1218.64265038691</v>
      </c>
      <c r="Z29" s="118" t="n">
        <f aca="false">INDEX(MINVERSE($V$21:$AA$26),1,5)</f>
        <v>-282.448976957162</v>
      </c>
      <c r="AA29" s="118" t="n">
        <f aca="false">INDEX(MINVERSE($V$21:$AA$26),1,6)</f>
        <v>-4.30212652321469</v>
      </c>
      <c r="AB29" s="2"/>
      <c r="AC29" s="2"/>
      <c r="AD29" s="2"/>
      <c r="AE29" s="2"/>
      <c r="AF29" s="2"/>
    </row>
    <row r="30" customFormat="false" ht="15" hidden="false" customHeight="false" outlineLevel="0" collapsed="false">
      <c r="A30" s="95" t="str">
        <f aca="false">"実部"</f>
        <v>実部</v>
      </c>
      <c r="B30" s="88" t="n">
        <f aca="false">IF(03_FRFデータ貼付!B27="","",03_FRFデータ貼付!A27)</f>
        <v>20</v>
      </c>
      <c r="C30" s="89" t="n">
        <f aca="false">IF(03_FRFデータ貼付!B27="",0,03_FRFデータ貼付!G27)</f>
        <v>22556.6352527747</v>
      </c>
      <c r="D30" s="71" t="n">
        <f aca="false">IF(03_FRFデータ貼付!C27="",0,03_FRFデータ貼付!C27)</f>
        <v>0.000478</v>
      </c>
      <c r="E30" s="71" t="n">
        <f aca="false">IF(03_FRFデータ貼付!D27="",0,03_FRFデータ貼付!D27)</f>
        <v>-0.003267</v>
      </c>
      <c r="F30" s="118" t="n">
        <f aca="false">IF($C30=0,0,$V$4/($V$4^2+($C30-$V$5)^2))</f>
        <v>0.00013615622327571</v>
      </c>
      <c r="G30" s="118" t="n">
        <f aca="false">IF($C30=0,0,-($C30-$V$5)/($V$4^2+($C30-$V$5)^2))</f>
        <v>-0.00143382465066873</v>
      </c>
      <c r="H30" s="118" t="n">
        <f aca="false">IF($C30=0,0,$V$4/($V$4^2+($C30+$V$5)^2))</f>
        <v>3.32619914650464E-008</v>
      </c>
      <c r="I30" s="118" t="n">
        <f aca="false">IF($C30=0,0,-($C30+$V$5)/($V$4^2+($C30+$V$5)^2))</f>
        <v>-2.25112846214741E-005</v>
      </c>
      <c r="J30" s="118" t="n">
        <f aca="false">IF($C30=0,0,$V$6/($V$6^2+($C30-$V$7)^2))</f>
        <v>0.000438845769769851</v>
      </c>
      <c r="K30" s="118" t="n">
        <f aca="false">IF($C30=0,0,-($C30-$V$7)/($V$6^2+($C30-$V$7)^2))</f>
        <v>-0.00218464182781606</v>
      </c>
      <c r="L30" s="118" t="n">
        <f aca="false">IF($C30=0,0,$V$6/($V$6^2+($C30+$V$7)^2))</f>
        <v>4.42867420152158E-008</v>
      </c>
      <c r="M30" s="118" t="n">
        <f aca="false">IF($C30=0,0,-($C30+$V$7)/($V$6^2+($C30+$V$7)^2))</f>
        <v>-2.23846558804318E-005</v>
      </c>
      <c r="N30" s="118" t="n">
        <f aca="false">F30+H30</f>
        <v>0.000136189485267175</v>
      </c>
      <c r="O30" s="118" t="n">
        <f aca="false">I30-G30</f>
        <v>0.00141131336604725</v>
      </c>
      <c r="P30" s="118" t="n">
        <f aca="false">J30+L30</f>
        <v>0.000438890056511866</v>
      </c>
      <c r="Q30" s="118" t="n">
        <f aca="false">M30-K30</f>
        <v>0.00216225717193563</v>
      </c>
      <c r="R30" s="118" t="n">
        <f aca="false">IF($C30=0,0,-1/$C30^2)</f>
        <v>-1.96540187541875E-009</v>
      </c>
      <c r="S30" s="88" t="n">
        <f aca="false">IF($C30=0,0,1)</f>
        <v>1</v>
      </c>
      <c r="T30" s="71" t="n">
        <f aca="false">D30</f>
        <v>0.000478</v>
      </c>
      <c r="U30" s="2"/>
      <c r="V30" s="118" t="n">
        <f aca="false">INDEX(MINVERSE($V$21:$AA$26),2,1)</f>
        <v>-147.401732459896</v>
      </c>
      <c r="W30" s="118" t="n">
        <f aca="false">INDEX(MINVERSE($V$21:$AA$26),2,2)</f>
        <v>2002.66858736068</v>
      </c>
      <c r="X30" s="118" t="n">
        <f aca="false">INDEX(MINVERSE($V$21:$AA$26),2,3)</f>
        <v>-1294.48229223926</v>
      </c>
      <c r="Y30" s="118" t="n">
        <f aca="false">INDEX(MINVERSE($V$21:$AA$26),2,4)</f>
        <v>-558.354911845348</v>
      </c>
      <c r="Z30" s="118" t="n">
        <f aca="false">INDEX(MINVERSE($V$21:$AA$26),2,5)</f>
        <v>-1043.72420449775</v>
      </c>
      <c r="AA30" s="118" t="n">
        <f aca="false">INDEX(MINVERSE($V$21:$AA$26),2,6)</f>
        <v>2.43553377361483</v>
      </c>
      <c r="AB30" s="2"/>
      <c r="AC30" s="2"/>
      <c r="AD30" s="2"/>
      <c r="AE30" s="2"/>
      <c r="AF30" s="2"/>
    </row>
    <row r="31" customFormat="false" ht="15" hidden="false" customHeight="false" outlineLevel="0" collapsed="false">
      <c r="A31" s="95" t="str">
        <f aca="false">"実部"</f>
        <v>実部</v>
      </c>
      <c r="B31" s="88" t="n">
        <f aca="false">IF(03_FRFデータ貼付!B28="","",03_FRFデータ貼付!A28)</f>
        <v>21</v>
      </c>
      <c r="C31" s="89" t="n">
        <f aca="false">IF(03_FRFデータ貼付!B28="",0,03_FRFデータ貼付!G28)</f>
        <v>22619.4671058465</v>
      </c>
      <c r="D31" s="71" t="n">
        <f aca="false">IF(03_FRFデータ貼付!C28="",0,03_FRFデータ貼付!C28)</f>
        <v>0.000393</v>
      </c>
      <c r="E31" s="71" t="n">
        <f aca="false">IF(03_FRFデータ貼付!D28="",0,03_FRFデータ貼付!D28)</f>
        <v>-0.002933</v>
      </c>
      <c r="F31" s="118" t="n">
        <f aca="false">IF($C31=0,0,$V$4/($V$4^2+($C31-$V$5)^2))</f>
        <v>0.000114574019532505</v>
      </c>
      <c r="G31" s="118" t="n">
        <f aca="false">IF($C31=0,0,-($C31-$V$5)/($V$4^2+($C31-$V$5)^2))</f>
        <v>-0.00131622619231997</v>
      </c>
      <c r="H31" s="118" t="n">
        <f aca="false">IF($C31=0,0,$V$4/($V$4^2+($C31+$V$5)^2))</f>
        <v>3.31680974879433E-008</v>
      </c>
      <c r="I31" s="118" t="n">
        <f aca="false">IF($C31=0,0,-($C31+$V$5)/($V$4^2+($C31+$V$5)^2))</f>
        <v>-2.24794891230293E-005</v>
      </c>
      <c r="J31" s="118" t="n">
        <f aca="false">IF($C31=0,0,$V$6/($V$6^2+($C31-$V$7)^2))</f>
        <v>0.000339104283453826</v>
      </c>
      <c r="K31" s="118" t="n">
        <f aca="false">IF($C31=0,0,-($C31-$V$7)/($V$6^2+($C31-$V$7)^2))</f>
        <v>-0.00192918267543513</v>
      </c>
      <c r="L31" s="118" t="n">
        <f aca="false">IF($C31=0,0,$V$6/($V$6^2+($C31+$V$7)^2))</f>
        <v>4.41624284453908E-008</v>
      </c>
      <c r="M31" s="118" t="n">
        <f aca="false">IF($C31=0,0,-($C31+$V$7)/($V$6^2+($C31+$V$7)^2))</f>
        <v>-2.23532168875662E-005</v>
      </c>
      <c r="N31" s="118" t="n">
        <f aca="false">F31+H31</f>
        <v>0.000114607187629993</v>
      </c>
      <c r="O31" s="118" t="n">
        <f aca="false">I31-G31</f>
        <v>0.00129374670319694</v>
      </c>
      <c r="P31" s="118" t="n">
        <f aca="false">J31+L31</f>
        <v>0.000339148445882272</v>
      </c>
      <c r="Q31" s="118" t="n">
        <f aca="false">M31-K31</f>
        <v>0.00190682945854756</v>
      </c>
      <c r="R31" s="118" t="n">
        <f aca="false">IF($C31=0,0,-1/$C31^2)</f>
        <v>-1.9544981412488E-009</v>
      </c>
      <c r="S31" s="88" t="n">
        <f aca="false">IF($C31=0,0,1)</f>
        <v>1</v>
      </c>
      <c r="T31" s="71" t="n">
        <f aca="false">D31</f>
        <v>0.000393</v>
      </c>
      <c r="U31" s="2"/>
      <c r="V31" s="118" t="n">
        <f aca="false">INDEX(MINVERSE($V$21:$AA$26),3,1)</f>
        <v>-81.4794180734401</v>
      </c>
      <c r="W31" s="118" t="n">
        <f aca="false">INDEX(MINVERSE($V$21:$AA$26),3,2)</f>
        <v>-1294.48229223926</v>
      </c>
      <c r="X31" s="118" t="n">
        <f aca="false">INDEX(MINVERSE($V$21:$AA$26),3,3)</f>
        <v>3251.82551415442</v>
      </c>
      <c r="Y31" s="118" t="n">
        <f aca="false">INDEX(MINVERSE($V$21:$AA$26),3,4)</f>
        <v>209.397891883737</v>
      </c>
      <c r="Z31" s="118" t="n">
        <f aca="false">INDEX(MINVERSE($V$21:$AA$26),3,5)</f>
        <v>42.1468061635573</v>
      </c>
      <c r="AA31" s="118" t="n">
        <f aca="false">INDEX(MINVERSE($V$21:$AA$26),3,6)</f>
        <v>-6.47376202647125</v>
      </c>
      <c r="AB31" s="2"/>
      <c r="AC31" s="2"/>
      <c r="AD31" s="2"/>
      <c r="AE31" s="2"/>
      <c r="AF31" s="2"/>
    </row>
    <row r="32" customFormat="false" ht="15" hidden="false" customHeight="false" outlineLevel="0" collapsed="false">
      <c r="A32" s="95" t="str">
        <f aca="false">"実部"</f>
        <v>実部</v>
      </c>
      <c r="B32" s="88" t="str">
        <f aca="false">IF(03_FRFデータ貼付!B29="","",03_FRFデータ貼付!A29)</f>
        <v/>
      </c>
      <c r="C32" s="89" t="n">
        <f aca="false">IF(03_FRFデータ貼付!B29="",0,03_FRFデータ貼付!G29)</f>
        <v>0</v>
      </c>
      <c r="D32" s="71" t="n">
        <f aca="false">IF(03_FRFデータ貼付!C29="",0,03_FRFデータ貼付!C29)</f>
        <v>0</v>
      </c>
      <c r="E32" s="71" t="n">
        <f aca="false">IF(03_FRFデータ貼付!D29="",0,03_FRFデータ貼付!D29)</f>
        <v>0</v>
      </c>
      <c r="F32" s="118" t="n">
        <f aca="false">IF($C32=0,0,$V$4/($V$4^2+($C32-$V$5)^2))</f>
        <v>0</v>
      </c>
      <c r="G32" s="118" t="n">
        <f aca="false">IF($C32=0,0,-($C32-$V$5)/($V$4^2+($C32-$V$5)^2))</f>
        <v>0</v>
      </c>
      <c r="H32" s="118" t="n">
        <f aca="false">IF($C32=0,0,$V$4/($V$4^2+($C32+$V$5)^2))</f>
        <v>0</v>
      </c>
      <c r="I32" s="118" t="n">
        <f aca="false">IF($C32=0,0,-($C32+$V$5)/($V$4^2+($C32+$V$5)^2))</f>
        <v>0</v>
      </c>
      <c r="J32" s="118" t="n">
        <f aca="false">IF($C32=0,0,$V$6/($V$6^2+($C32-$V$7)^2))</f>
        <v>0</v>
      </c>
      <c r="K32" s="118" t="n">
        <f aca="false">IF($C32=0,0,-($C32-$V$7)/($V$6^2+($C32-$V$7)^2))</f>
        <v>0</v>
      </c>
      <c r="L32" s="118" t="n">
        <f aca="false">IF($C32=0,0,$V$6/($V$6^2+($C32+$V$7)^2))</f>
        <v>0</v>
      </c>
      <c r="M32" s="118" t="n">
        <f aca="false">IF($C32=0,0,-($C32+$V$7)/($V$6^2+($C32+$V$7)^2))</f>
        <v>0</v>
      </c>
      <c r="N32" s="118" t="n">
        <f aca="false">F32+H32</f>
        <v>0</v>
      </c>
      <c r="O32" s="118" t="n">
        <f aca="false">I32-G32</f>
        <v>0</v>
      </c>
      <c r="P32" s="118" t="n">
        <f aca="false">J32+L32</f>
        <v>0</v>
      </c>
      <c r="Q32" s="118" t="n">
        <f aca="false">M32-K32</f>
        <v>0</v>
      </c>
      <c r="R32" s="118" t="n">
        <f aca="false">IF($C32=0,0,-1/$C32^2)</f>
        <v>0</v>
      </c>
      <c r="S32" s="88" t="n">
        <f aca="false">IF($C32=0,0,1)</f>
        <v>0</v>
      </c>
      <c r="T32" s="71" t="n">
        <f aca="false">D32</f>
        <v>0</v>
      </c>
      <c r="U32" s="2"/>
      <c r="V32" s="118" t="n">
        <f aca="false">INDEX(MINVERSE($V$21:$AA$26),4,1)</f>
        <v>1218.64265038691</v>
      </c>
      <c r="W32" s="118" t="n">
        <f aca="false">INDEX(MINVERSE($V$21:$AA$26),4,2)</f>
        <v>-558.354911845348</v>
      </c>
      <c r="X32" s="118" t="n">
        <f aca="false">INDEX(MINVERSE($V$21:$AA$26),4,3)</f>
        <v>209.397891883737</v>
      </c>
      <c r="Y32" s="118" t="n">
        <f aca="false">INDEX(MINVERSE($V$21:$AA$26),4,4)</f>
        <v>2736.00756551962</v>
      </c>
      <c r="Z32" s="118" t="n">
        <f aca="false">INDEX(MINVERSE($V$21:$AA$26),4,5)</f>
        <v>-1564.39888859491</v>
      </c>
      <c r="AA32" s="118" t="n">
        <f aca="false">INDEX(MINVERSE($V$21:$AA$26),4,6)</f>
        <v>-2.18108145698968</v>
      </c>
      <c r="AB32" s="2"/>
      <c r="AC32" s="2"/>
      <c r="AD32" s="2"/>
      <c r="AE32" s="2"/>
      <c r="AF32" s="2"/>
    </row>
    <row r="33" customFormat="false" ht="15" hidden="false" customHeight="false" outlineLevel="0" collapsed="false">
      <c r="A33" s="95" t="str">
        <f aca="false">"実部"</f>
        <v>実部</v>
      </c>
      <c r="B33" s="88" t="str">
        <f aca="false">IF(03_FRFデータ貼付!B30="","",03_FRFデータ貼付!A30)</f>
        <v/>
      </c>
      <c r="C33" s="89" t="n">
        <f aca="false">IF(03_FRFデータ貼付!B30="",0,03_FRFデータ貼付!G30)</f>
        <v>0</v>
      </c>
      <c r="D33" s="71" t="n">
        <f aca="false">IF(03_FRFデータ貼付!C30="",0,03_FRFデータ貼付!C30)</f>
        <v>0</v>
      </c>
      <c r="E33" s="71" t="n">
        <f aca="false">IF(03_FRFデータ貼付!D30="",0,03_FRFデータ貼付!D30)</f>
        <v>0</v>
      </c>
      <c r="F33" s="118" t="n">
        <f aca="false">IF($C33=0,0,$V$4/($V$4^2+($C33-$V$5)^2))</f>
        <v>0</v>
      </c>
      <c r="G33" s="118" t="n">
        <f aca="false">IF($C33=0,0,-($C33-$V$5)/($V$4^2+($C33-$V$5)^2))</f>
        <v>0</v>
      </c>
      <c r="H33" s="118" t="n">
        <f aca="false">IF($C33=0,0,$V$4/($V$4^2+($C33+$V$5)^2))</f>
        <v>0</v>
      </c>
      <c r="I33" s="118" t="n">
        <f aca="false">IF($C33=0,0,-($C33+$V$5)/($V$4^2+($C33+$V$5)^2))</f>
        <v>0</v>
      </c>
      <c r="J33" s="118" t="n">
        <f aca="false">IF($C33=0,0,$V$6/($V$6^2+($C33-$V$7)^2))</f>
        <v>0</v>
      </c>
      <c r="K33" s="118" t="n">
        <f aca="false">IF($C33=0,0,-($C33-$V$7)/($V$6^2+($C33-$V$7)^2))</f>
        <v>0</v>
      </c>
      <c r="L33" s="118" t="n">
        <f aca="false">IF($C33=0,0,$V$6/($V$6^2+($C33+$V$7)^2))</f>
        <v>0</v>
      </c>
      <c r="M33" s="118" t="n">
        <f aca="false">IF($C33=0,0,-($C33+$V$7)/($V$6^2+($C33+$V$7)^2))</f>
        <v>0</v>
      </c>
      <c r="N33" s="118" t="n">
        <f aca="false">F33+H33</f>
        <v>0</v>
      </c>
      <c r="O33" s="118" t="n">
        <f aca="false">I33-G33</f>
        <v>0</v>
      </c>
      <c r="P33" s="118" t="n">
        <f aca="false">J33+L33</f>
        <v>0</v>
      </c>
      <c r="Q33" s="118" t="n">
        <f aca="false">M33-K33</f>
        <v>0</v>
      </c>
      <c r="R33" s="118" t="n">
        <f aca="false">IF($C33=0,0,-1/$C33^2)</f>
        <v>0</v>
      </c>
      <c r="S33" s="88" t="n">
        <f aca="false">IF($C33=0,0,1)</f>
        <v>0</v>
      </c>
      <c r="T33" s="71" t="n">
        <f aca="false">D33</f>
        <v>0</v>
      </c>
      <c r="U33" s="2"/>
      <c r="V33" s="118" t="n">
        <f aca="false">INDEX(MINVERSE($V$21:$AA$26),5,1)</f>
        <v>-282.448977274594</v>
      </c>
      <c r="W33" s="118" t="n">
        <f aca="false">INDEX(MINVERSE($V$21:$AA$26),5,2)</f>
        <v>-1043.72420469753</v>
      </c>
      <c r="X33" s="118" t="n">
        <f aca="false">INDEX(MINVERSE($V$21:$AA$26),5,3)</f>
        <v>42.1468060972002</v>
      </c>
      <c r="Y33" s="118" t="n">
        <f aca="false">INDEX(MINVERSE($V$21:$AA$26),5,4)</f>
        <v>-1564.39888854332</v>
      </c>
      <c r="Z33" s="118" t="n">
        <f aca="false">INDEX(MINVERSE($V$21:$AA$26),5,5)</f>
        <v>285680804635.806</v>
      </c>
      <c r="AA33" s="118" t="n">
        <f aca="false">INDEX(MINVERSE($V$21:$AA$26),5,6)</f>
        <v>591.589412890516</v>
      </c>
      <c r="AB33" s="2"/>
      <c r="AC33" s="2"/>
      <c r="AD33" s="2"/>
      <c r="AE33" s="2"/>
      <c r="AF33" s="2"/>
    </row>
    <row r="34" customFormat="false" ht="15" hidden="false" customHeight="false" outlineLevel="0" collapsed="false">
      <c r="A34" s="95" t="str">
        <f aca="false">"実部"</f>
        <v>実部</v>
      </c>
      <c r="B34" s="88" t="str">
        <f aca="false">IF(03_FRFデータ貼付!B31="","",03_FRFデータ貼付!A31)</f>
        <v/>
      </c>
      <c r="C34" s="89" t="n">
        <f aca="false">IF(03_FRFデータ貼付!B31="",0,03_FRFデータ貼付!G31)</f>
        <v>0</v>
      </c>
      <c r="D34" s="71" t="n">
        <f aca="false">IF(03_FRFデータ貼付!C31="",0,03_FRFデータ貼付!C31)</f>
        <v>0</v>
      </c>
      <c r="E34" s="71" t="n">
        <f aca="false">IF(03_FRFデータ貼付!D31="",0,03_FRFデータ貼付!D31)</f>
        <v>0</v>
      </c>
      <c r="F34" s="118" t="n">
        <f aca="false">IF($C34=0,0,$V$4/($V$4^2+($C34-$V$5)^2))</f>
        <v>0</v>
      </c>
      <c r="G34" s="118" t="n">
        <f aca="false">IF($C34=0,0,-($C34-$V$5)/($V$4^2+($C34-$V$5)^2))</f>
        <v>0</v>
      </c>
      <c r="H34" s="118" t="n">
        <f aca="false">IF($C34=0,0,$V$4/($V$4^2+($C34+$V$5)^2))</f>
        <v>0</v>
      </c>
      <c r="I34" s="118" t="n">
        <f aca="false">IF($C34=0,0,-($C34+$V$5)/($V$4^2+($C34+$V$5)^2))</f>
        <v>0</v>
      </c>
      <c r="J34" s="118" t="n">
        <f aca="false">IF($C34=0,0,$V$6/($V$6^2+($C34-$V$7)^2))</f>
        <v>0</v>
      </c>
      <c r="K34" s="118" t="n">
        <f aca="false">IF($C34=0,0,-($C34-$V$7)/($V$6^2+($C34-$V$7)^2))</f>
        <v>0</v>
      </c>
      <c r="L34" s="118" t="n">
        <f aca="false">IF($C34=0,0,$V$6/($V$6^2+($C34+$V$7)^2))</f>
        <v>0</v>
      </c>
      <c r="M34" s="118" t="n">
        <f aca="false">IF($C34=0,0,-($C34+$V$7)/($V$6^2+($C34+$V$7)^2))</f>
        <v>0</v>
      </c>
      <c r="N34" s="118" t="n">
        <f aca="false">F34+H34</f>
        <v>0</v>
      </c>
      <c r="O34" s="118" t="n">
        <f aca="false">I34-G34</f>
        <v>0</v>
      </c>
      <c r="P34" s="118" t="n">
        <f aca="false">J34+L34</f>
        <v>0</v>
      </c>
      <c r="Q34" s="118" t="n">
        <f aca="false">M34-K34</f>
        <v>0</v>
      </c>
      <c r="R34" s="118" t="n">
        <f aca="false">IF($C34=0,0,-1/$C34^2)</f>
        <v>0</v>
      </c>
      <c r="S34" s="88" t="n">
        <f aca="false">IF($C34=0,0,1)</f>
        <v>0</v>
      </c>
      <c r="T34" s="71" t="n">
        <f aca="false">D34</f>
        <v>0</v>
      </c>
      <c r="U34" s="2"/>
      <c r="V34" s="118" t="n">
        <f aca="false">INDEX(MINVERSE($V$21:$AA$26),6,1)</f>
        <v>-4.30212652321469</v>
      </c>
      <c r="W34" s="118" t="n">
        <f aca="false">INDEX(MINVERSE($V$21:$AA$26),6,2)</f>
        <v>2.43553377361483</v>
      </c>
      <c r="X34" s="118" t="n">
        <f aca="false">INDEX(MINVERSE($V$21:$AA$26),6,3)</f>
        <v>-6.47376202647125</v>
      </c>
      <c r="Y34" s="118" t="n">
        <f aca="false">INDEX(MINVERSE($V$21:$AA$26),6,4)</f>
        <v>-2.18108145698968</v>
      </c>
      <c r="Z34" s="118" t="n">
        <f aca="false">INDEX(MINVERSE($V$21:$AA$26),6,5)</f>
        <v>591.589412884869</v>
      </c>
      <c r="AA34" s="118" t="n">
        <f aca="false">INDEX(MINVERSE($V$21:$AA$26),6,6)</f>
        <v>0.0699653480662977</v>
      </c>
      <c r="AB34" s="2"/>
      <c r="AC34" s="2"/>
      <c r="AD34" s="2"/>
      <c r="AE34" s="2"/>
      <c r="AF34" s="2"/>
    </row>
    <row r="35" customFormat="false" ht="15" hidden="false" customHeight="false" outlineLevel="0" collapsed="false">
      <c r="A35" s="95" t="str">
        <f aca="false">"実部"</f>
        <v>実部</v>
      </c>
      <c r="B35" s="88" t="str">
        <f aca="false">IF(03_FRFデータ貼付!B32="","",03_FRFデータ貼付!A32)</f>
        <v/>
      </c>
      <c r="C35" s="89" t="n">
        <f aca="false">IF(03_FRFデータ貼付!B32="",0,03_FRFデータ貼付!G32)</f>
        <v>0</v>
      </c>
      <c r="D35" s="71" t="n">
        <f aca="false">IF(03_FRFデータ貼付!C32="",0,03_FRFデータ貼付!C32)</f>
        <v>0</v>
      </c>
      <c r="E35" s="71" t="n">
        <f aca="false">IF(03_FRFデータ貼付!D32="",0,03_FRFデータ貼付!D32)</f>
        <v>0</v>
      </c>
      <c r="F35" s="118" t="n">
        <f aca="false">IF($C35=0,0,$V$4/($V$4^2+($C35-$V$5)^2))</f>
        <v>0</v>
      </c>
      <c r="G35" s="118" t="n">
        <f aca="false">IF($C35=0,0,-($C35-$V$5)/($V$4^2+($C35-$V$5)^2))</f>
        <v>0</v>
      </c>
      <c r="H35" s="118" t="n">
        <f aca="false">IF($C35=0,0,$V$4/($V$4^2+($C35+$V$5)^2))</f>
        <v>0</v>
      </c>
      <c r="I35" s="118" t="n">
        <f aca="false">IF($C35=0,0,-($C35+$V$5)/($V$4^2+($C35+$V$5)^2))</f>
        <v>0</v>
      </c>
      <c r="J35" s="118" t="n">
        <f aca="false">IF($C35=0,0,$V$6/($V$6^2+($C35-$V$7)^2))</f>
        <v>0</v>
      </c>
      <c r="K35" s="118" t="n">
        <f aca="false">IF($C35=0,0,-($C35-$V$7)/($V$6^2+($C35-$V$7)^2))</f>
        <v>0</v>
      </c>
      <c r="L35" s="118" t="n">
        <f aca="false">IF($C35=0,0,$V$6/($V$6^2+($C35+$V$7)^2))</f>
        <v>0</v>
      </c>
      <c r="M35" s="118" t="n">
        <f aca="false">IF($C35=0,0,-($C35+$V$7)/($V$6^2+($C35+$V$7)^2))</f>
        <v>0</v>
      </c>
      <c r="N35" s="118" t="n">
        <f aca="false">F35+H35</f>
        <v>0</v>
      </c>
      <c r="O35" s="118" t="n">
        <f aca="false">I35-G35</f>
        <v>0</v>
      </c>
      <c r="P35" s="118" t="n">
        <f aca="false">J35+L35</f>
        <v>0</v>
      </c>
      <c r="Q35" s="118" t="n">
        <f aca="false">M35-K35</f>
        <v>0</v>
      </c>
      <c r="R35" s="118" t="n">
        <f aca="false">IF($C35=0,0,-1/$C35^2)</f>
        <v>0</v>
      </c>
      <c r="S35" s="88" t="n">
        <f aca="false">IF($C35=0,0,1)</f>
        <v>0</v>
      </c>
      <c r="T35" s="71" t="n">
        <f aca="false">D35</f>
        <v>0</v>
      </c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customFormat="false" ht="15" hidden="false" customHeight="false" outlineLevel="0" collapsed="false">
      <c r="A36" s="95" t="str">
        <f aca="false">"実部"</f>
        <v>実部</v>
      </c>
      <c r="B36" s="88" t="str">
        <f aca="false">IF(03_FRFデータ貼付!B33="","",03_FRFデータ貼付!A33)</f>
        <v/>
      </c>
      <c r="C36" s="89" t="n">
        <f aca="false">IF(03_FRFデータ貼付!B33="",0,03_FRFデータ貼付!G33)</f>
        <v>0</v>
      </c>
      <c r="D36" s="71" t="n">
        <f aca="false">IF(03_FRFデータ貼付!C33="",0,03_FRFデータ貼付!C33)</f>
        <v>0</v>
      </c>
      <c r="E36" s="71" t="n">
        <f aca="false">IF(03_FRFデータ貼付!D33="",0,03_FRFデータ貼付!D33)</f>
        <v>0</v>
      </c>
      <c r="F36" s="118" t="n">
        <f aca="false">IF($C36=0,0,$V$4/($V$4^2+($C36-$V$5)^2))</f>
        <v>0</v>
      </c>
      <c r="G36" s="118" t="n">
        <f aca="false">IF($C36=0,0,-($C36-$V$5)/($V$4^2+($C36-$V$5)^2))</f>
        <v>0</v>
      </c>
      <c r="H36" s="118" t="n">
        <f aca="false">IF($C36=0,0,$V$4/($V$4^2+($C36+$V$5)^2))</f>
        <v>0</v>
      </c>
      <c r="I36" s="118" t="n">
        <f aca="false">IF($C36=0,0,-($C36+$V$5)/($V$4^2+($C36+$V$5)^2))</f>
        <v>0</v>
      </c>
      <c r="J36" s="118" t="n">
        <f aca="false">IF($C36=0,0,$V$6/($V$6^2+($C36-$V$7)^2))</f>
        <v>0</v>
      </c>
      <c r="K36" s="118" t="n">
        <f aca="false">IF($C36=0,0,-($C36-$V$7)/($V$6^2+($C36-$V$7)^2))</f>
        <v>0</v>
      </c>
      <c r="L36" s="118" t="n">
        <f aca="false">IF($C36=0,0,$V$6/($V$6^2+($C36+$V$7)^2))</f>
        <v>0</v>
      </c>
      <c r="M36" s="118" t="n">
        <f aca="false">IF($C36=0,0,-($C36+$V$7)/($V$6^2+($C36+$V$7)^2))</f>
        <v>0</v>
      </c>
      <c r="N36" s="118" t="n">
        <f aca="false">F36+H36</f>
        <v>0</v>
      </c>
      <c r="O36" s="118" t="n">
        <f aca="false">I36-G36</f>
        <v>0</v>
      </c>
      <c r="P36" s="118" t="n">
        <f aca="false">J36+L36</f>
        <v>0</v>
      </c>
      <c r="Q36" s="118" t="n">
        <f aca="false">M36-K36</f>
        <v>0</v>
      </c>
      <c r="R36" s="118" t="n">
        <f aca="false">IF($C36=0,0,-1/$C36^2)</f>
        <v>0</v>
      </c>
      <c r="S36" s="88" t="n">
        <f aca="false">IF($C36=0,0,1)</f>
        <v>0</v>
      </c>
      <c r="T36" s="71" t="n">
        <f aca="false">D36</f>
        <v>0</v>
      </c>
      <c r="U36" s="129" t="s">
        <v>497</v>
      </c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customFormat="false" ht="15" hidden="false" customHeight="false" outlineLevel="0" collapsed="false">
      <c r="A37" s="95" t="str">
        <f aca="false">"実部"</f>
        <v>実部</v>
      </c>
      <c r="B37" s="88" t="str">
        <f aca="false">IF(03_FRFデータ貼付!B34="","",03_FRFデータ貼付!A34)</f>
        <v/>
      </c>
      <c r="C37" s="89" t="n">
        <f aca="false">IF(03_FRFデータ貼付!B34="",0,03_FRFデータ貼付!G34)</f>
        <v>0</v>
      </c>
      <c r="D37" s="71" t="n">
        <f aca="false">IF(03_FRFデータ貼付!C34="",0,03_FRFデータ貼付!C34)</f>
        <v>0</v>
      </c>
      <c r="E37" s="71" t="n">
        <f aca="false">IF(03_FRFデータ貼付!D34="",0,03_FRFデータ貼付!D34)</f>
        <v>0</v>
      </c>
      <c r="F37" s="118" t="n">
        <f aca="false">IF($C37=0,0,$V$4/($V$4^2+($C37-$V$5)^2))</f>
        <v>0</v>
      </c>
      <c r="G37" s="118" t="n">
        <f aca="false">IF($C37=0,0,-($C37-$V$5)/($V$4^2+($C37-$V$5)^2))</f>
        <v>0</v>
      </c>
      <c r="H37" s="118" t="n">
        <f aca="false">IF($C37=0,0,$V$4/($V$4^2+($C37+$V$5)^2))</f>
        <v>0</v>
      </c>
      <c r="I37" s="118" t="n">
        <f aca="false">IF($C37=0,0,-($C37+$V$5)/($V$4^2+($C37+$V$5)^2))</f>
        <v>0</v>
      </c>
      <c r="J37" s="118" t="n">
        <f aca="false">IF($C37=0,0,$V$6/($V$6^2+($C37-$V$7)^2))</f>
        <v>0</v>
      </c>
      <c r="K37" s="118" t="n">
        <f aca="false">IF($C37=0,0,-($C37-$V$7)/($V$6^2+($C37-$V$7)^2))</f>
        <v>0</v>
      </c>
      <c r="L37" s="118" t="n">
        <f aca="false">IF($C37=0,0,$V$6/($V$6^2+($C37+$V$7)^2))</f>
        <v>0</v>
      </c>
      <c r="M37" s="118" t="n">
        <f aca="false">IF($C37=0,0,-($C37+$V$7)/($V$6^2+($C37+$V$7)^2))</f>
        <v>0</v>
      </c>
      <c r="N37" s="118" t="n">
        <f aca="false">F37+H37</f>
        <v>0</v>
      </c>
      <c r="O37" s="118" t="n">
        <f aca="false">I37-G37</f>
        <v>0</v>
      </c>
      <c r="P37" s="118" t="n">
        <f aca="false">J37+L37</f>
        <v>0</v>
      </c>
      <c r="Q37" s="118" t="n">
        <f aca="false">M37-K37</f>
        <v>0</v>
      </c>
      <c r="R37" s="118" t="n">
        <f aca="false">IF($C37=0,0,-1/$C37^2)</f>
        <v>0</v>
      </c>
      <c r="S37" s="88" t="n">
        <f aca="false">IF($C37=0,0,1)</f>
        <v>0</v>
      </c>
      <c r="T37" s="71" t="n">
        <f aca="false">D37</f>
        <v>0</v>
      </c>
      <c r="U37" s="131" t="s">
        <v>498</v>
      </c>
      <c r="V37" s="118" t="n">
        <f aca="false">INDEX(MMULT(TRANSPOSE($N$11:$S$250),$T$11:$T$250),1,1)</f>
        <v>0.000875951319406793</v>
      </c>
      <c r="W37" s="132" t="n">
        <f aca="false">INDEX(MMULT($V$29:$AA$34,$V$37:$V$42),1,1)</f>
        <v>1.00144713659179</v>
      </c>
      <c r="X37" s="2"/>
      <c r="Y37" s="2"/>
      <c r="Z37" s="2"/>
      <c r="AA37" s="2"/>
      <c r="AB37" s="2"/>
      <c r="AC37" s="2"/>
      <c r="AD37" s="2"/>
      <c r="AE37" s="2"/>
      <c r="AF37" s="2"/>
    </row>
    <row r="38" customFormat="false" ht="15" hidden="false" customHeight="false" outlineLevel="0" collapsed="false">
      <c r="A38" s="95" t="str">
        <f aca="false">"実部"</f>
        <v>実部</v>
      </c>
      <c r="B38" s="88" t="str">
        <f aca="false">IF(03_FRFデータ貼付!B35="","",03_FRFデータ貼付!A35)</f>
        <v/>
      </c>
      <c r="C38" s="89" t="n">
        <f aca="false">IF(03_FRFデータ貼付!B35="",0,03_FRFデータ貼付!G35)</f>
        <v>0</v>
      </c>
      <c r="D38" s="71" t="n">
        <f aca="false">IF(03_FRFデータ貼付!C35="",0,03_FRFデータ貼付!C35)</f>
        <v>0</v>
      </c>
      <c r="E38" s="71" t="n">
        <f aca="false">IF(03_FRFデータ貼付!D35="",0,03_FRFデータ貼付!D35)</f>
        <v>0</v>
      </c>
      <c r="F38" s="118" t="n">
        <f aca="false">IF($C38=0,0,$V$4/($V$4^2+($C38-$V$5)^2))</f>
        <v>0</v>
      </c>
      <c r="G38" s="118" t="n">
        <f aca="false">IF($C38=0,0,-($C38-$V$5)/($V$4^2+($C38-$V$5)^2))</f>
        <v>0</v>
      </c>
      <c r="H38" s="118" t="n">
        <f aca="false">IF($C38=0,0,$V$4/($V$4^2+($C38+$V$5)^2))</f>
        <v>0</v>
      </c>
      <c r="I38" s="118" t="n">
        <f aca="false">IF($C38=0,0,-($C38+$V$5)/($V$4^2+($C38+$V$5)^2))</f>
        <v>0</v>
      </c>
      <c r="J38" s="118" t="n">
        <f aca="false">IF($C38=0,0,$V$6/($V$6^2+($C38-$V$7)^2))</f>
        <v>0</v>
      </c>
      <c r="K38" s="118" t="n">
        <f aca="false">IF($C38=0,0,-($C38-$V$7)/($V$6^2+($C38-$V$7)^2))</f>
        <v>0</v>
      </c>
      <c r="L38" s="118" t="n">
        <f aca="false">IF($C38=0,0,$V$6/($V$6^2+($C38+$V$7)^2))</f>
        <v>0</v>
      </c>
      <c r="M38" s="118" t="n">
        <f aca="false">IF($C38=0,0,-($C38+$V$7)/($V$6^2+($C38+$V$7)^2))</f>
        <v>0</v>
      </c>
      <c r="N38" s="118" t="n">
        <f aca="false">F38+H38</f>
        <v>0</v>
      </c>
      <c r="O38" s="118" t="n">
        <f aca="false">I38-G38</f>
        <v>0</v>
      </c>
      <c r="P38" s="118" t="n">
        <f aca="false">J38+L38</f>
        <v>0</v>
      </c>
      <c r="Q38" s="118" t="n">
        <f aca="false">M38-K38</f>
        <v>0</v>
      </c>
      <c r="R38" s="118" t="n">
        <f aca="false">IF($C38=0,0,-1/$C38^2)</f>
        <v>0</v>
      </c>
      <c r="S38" s="88" t="n">
        <f aca="false">IF($C38=0,0,1)</f>
        <v>0</v>
      </c>
      <c r="T38" s="71" t="n">
        <f aca="false">D38</f>
        <v>0</v>
      </c>
      <c r="U38" s="131" t="s">
        <v>499</v>
      </c>
      <c r="V38" s="118" t="n">
        <f aca="false">INDEX(MMULT(TRANSPOSE($N$11:$S$250),$T$11:$T$250),2,1)</f>
        <v>0.000415610052708926</v>
      </c>
      <c r="W38" s="132" t="n">
        <f aca="false">INDEX(MMULT($V$29:$AA$34,$V$37:$V$42),2,1)</f>
        <v>0.300233460308753</v>
      </c>
      <c r="X38" s="2"/>
      <c r="Y38" s="2"/>
      <c r="Z38" s="2"/>
      <c r="AA38" s="2"/>
      <c r="AB38" s="2"/>
      <c r="AC38" s="2"/>
      <c r="AD38" s="2"/>
      <c r="AE38" s="2"/>
      <c r="AF38" s="2"/>
    </row>
    <row r="39" customFormat="false" ht="15" hidden="false" customHeight="false" outlineLevel="0" collapsed="false">
      <c r="A39" s="95" t="str">
        <f aca="false">"実部"</f>
        <v>実部</v>
      </c>
      <c r="B39" s="88" t="str">
        <f aca="false">IF(03_FRFデータ貼付!B36="","",03_FRFデータ貼付!A36)</f>
        <v/>
      </c>
      <c r="C39" s="89" t="n">
        <f aca="false">IF(03_FRFデータ貼付!B36="",0,03_FRFデータ貼付!G36)</f>
        <v>0</v>
      </c>
      <c r="D39" s="71" t="n">
        <f aca="false">IF(03_FRFデータ貼付!C36="",0,03_FRFデータ貼付!C36)</f>
        <v>0</v>
      </c>
      <c r="E39" s="71" t="n">
        <f aca="false">IF(03_FRFデータ貼付!D36="",0,03_FRFデータ貼付!D36)</f>
        <v>0</v>
      </c>
      <c r="F39" s="118" t="n">
        <f aca="false">IF($C39=0,0,$V$4/($V$4^2+($C39-$V$5)^2))</f>
        <v>0</v>
      </c>
      <c r="G39" s="118" t="n">
        <f aca="false">IF($C39=0,0,-($C39-$V$5)/($V$4^2+($C39-$V$5)^2))</f>
        <v>0</v>
      </c>
      <c r="H39" s="118" t="n">
        <f aca="false">IF($C39=0,0,$V$4/($V$4^2+($C39+$V$5)^2))</f>
        <v>0</v>
      </c>
      <c r="I39" s="118" t="n">
        <f aca="false">IF($C39=0,0,-($C39+$V$5)/($V$4^2+($C39+$V$5)^2))</f>
        <v>0</v>
      </c>
      <c r="J39" s="118" t="n">
        <f aca="false">IF($C39=0,0,$V$6/($V$6^2+($C39-$V$7)^2))</f>
        <v>0</v>
      </c>
      <c r="K39" s="118" t="n">
        <f aca="false">IF($C39=0,0,-($C39-$V$7)/($V$6^2+($C39-$V$7)^2))</f>
        <v>0</v>
      </c>
      <c r="L39" s="118" t="n">
        <f aca="false">IF($C39=0,0,$V$6/($V$6^2+($C39+$V$7)^2))</f>
        <v>0</v>
      </c>
      <c r="M39" s="118" t="n">
        <f aca="false">IF($C39=0,0,-($C39+$V$7)/($V$6^2+($C39+$V$7)^2))</f>
        <v>0</v>
      </c>
      <c r="N39" s="118" t="n">
        <f aca="false">F39+H39</f>
        <v>0</v>
      </c>
      <c r="O39" s="118" t="n">
        <f aca="false">I39-G39</f>
        <v>0</v>
      </c>
      <c r="P39" s="118" t="n">
        <f aca="false">J39+L39</f>
        <v>0</v>
      </c>
      <c r="Q39" s="118" t="n">
        <f aca="false">M39-K39</f>
        <v>0</v>
      </c>
      <c r="R39" s="118" t="n">
        <f aca="false">IF($C39=0,0,-1/$C39^2)</f>
        <v>0</v>
      </c>
      <c r="S39" s="88" t="n">
        <f aca="false">IF($C39=0,0,1)</f>
        <v>0</v>
      </c>
      <c r="T39" s="71" t="n">
        <f aca="false">D39</f>
        <v>0</v>
      </c>
      <c r="U39" s="131" t="s">
        <v>500</v>
      </c>
      <c r="V39" s="118" t="n">
        <f aca="false">INDEX(MMULT(TRANSPOSE($N$11:$S$250),$T$11:$T$250),3,1)</f>
        <v>0.000627969889303193</v>
      </c>
      <c r="W39" s="132" t="n">
        <f aca="false">INDEX(MMULT($V$29:$AA$34,$V$37:$V$42),3,1)</f>
        <v>0.798731013843148</v>
      </c>
      <c r="X39" s="2"/>
      <c r="Y39" s="2"/>
      <c r="Z39" s="2"/>
      <c r="AA39" s="2"/>
      <c r="AB39" s="2"/>
      <c r="AC39" s="2"/>
      <c r="AD39" s="2"/>
      <c r="AE39" s="2"/>
      <c r="AF39" s="2"/>
    </row>
    <row r="40" customFormat="false" ht="15" hidden="false" customHeight="false" outlineLevel="0" collapsed="false">
      <c r="A40" s="95" t="str">
        <f aca="false">"実部"</f>
        <v>実部</v>
      </c>
      <c r="B40" s="88" t="str">
        <f aca="false">IF(03_FRFデータ貼付!B37="","",03_FRFデータ貼付!A37)</f>
        <v/>
      </c>
      <c r="C40" s="89" t="n">
        <f aca="false">IF(03_FRFデータ貼付!B37="",0,03_FRFデータ貼付!G37)</f>
        <v>0</v>
      </c>
      <c r="D40" s="71" t="n">
        <f aca="false">IF(03_FRFデータ貼付!C37="",0,03_FRFデータ貼付!C37)</f>
        <v>0</v>
      </c>
      <c r="E40" s="71" t="n">
        <f aca="false">IF(03_FRFデータ貼付!D37="",0,03_FRFデータ貼付!D37)</f>
        <v>0</v>
      </c>
      <c r="F40" s="118" t="n">
        <f aca="false">IF($C40=0,0,$V$4/($V$4^2+($C40-$V$5)^2))</f>
        <v>0</v>
      </c>
      <c r="G40" s="118" t="n">
        <f aca="false">IF($C40=0,0,-($C40-$V$5)/($V$4^2+($C40-$V$5)^2))</f>
        <v>0</v>
      </c>
      <c r="H40" s="118" t="n">
        <f aca="false">IF($C40=0,0,$V$4/($V$4^2+($C40+$V$5)^2))</f>
        <v>0</v>
      </c>
      <c r="I40" s="118" t="n">
        <f aca="false">IF($C40=0,0,-($C40+$V$5)/($V$4^2+($C40+$V$5)^2))</f>
        <v>0</v>
      </c>
      <c r="J40" s="118" t="n">
        <f aca="false">IF($C40=0,0,$V$6/($V$6^2+($C40-$V$7)^2))</f>
        <v>0</v>
      </c>
      <c r="K40" s="118" t="n">
        <f aca="false">IF($C40=0,0,-($C40-$V$7)/($V$6^2+($C40-$V$7)^2))</f>
        <v>0</v>
      </c>
      <c r="L40" s="118" t="n">
        <f aca="false">IF($C40=0,0,$V$6/($V$6^2+($C40+$V$7)^2))</f>
        <v>0</v>
      </c>
      <c r="M40" s="118" t="n">
        <f aca="false">IF($C40=0,0,-($C40+$V$7)/($V$6^2+($C40+$V$7)^2))</f>
        <v>0</v>
      </c>
      <c r="N40" s="118" t="n">
        <f aca="false">F40+H40</f>
        <v>0</v>
      </c>
      <c r="O40" s="118" t="n">
        <f aca="false">I40-G40</f>
        <v>0</v>
      </c>
      <c r="P40" s="118" t="n">
        <f aca="false">J40+L40</f>
        <v>0</v>
      </c>
      <c r="Q40" s="118" t="n">
        <f aca="false">M40-K40</f>
        <v>0</v>
      </c>
      <c r="R40" s="118" t="n">
        <f aca="false">IF($C40=0,0,-1/$C40^2)</f>
        <v>0</v>
      </c>
      <c r="S40" s="88" t="n">
        <f aca="false">IF($C40=0,0,1)</f>
        <v>0</v>
      </c>
      <c r="T40" s="71" t="n">
        <f aca="false">D40</f>
        <v>0</v>
      </c>
      <c r="U40" s="131" t="s">
        <v>501</v>
      </c>
      <c r="V40" s="118" t="n">
        <f aca="false">INDEX(MMULT(TRANSPOSE($N$11:$S$250),$T$11:$T$250),4,1)</f>
        <v>-0.000357432660798726</v>
      </c>
      <c r="W40" s="132" t="n">
        <f aca="false">INDEX(MMULT($V$29:$AA$34,$V$37:$V$42),4,1)</f>
        <v>-0.199395809663417</v>
      </c>
      <c r="X40" s="2"/>
      <c r="Y40" s="2"/>
      <c r="Z40" s="2"/>
      <c r="AA40" s="2"/>
      <c r="AB40" s="2"/>
      <c r="AC40" s="2"/>
      <c r="AD40" s="2"/>
      <c r="AE40" s="2"/>
      <c r="AF40" s="2"/>
    </row>
    <row r="41" customFormat="false" ht="15" hidden="false" customHeight="false" outlineLevel="0" collapsed="false">
      <c r="A41" s="95" t="str">
        <f aca="false">"実部"</f>
        <v>実部</v>
      </c>
      <c r="B41" s="88" t="str">
        <f aca="false">IF(03_FRFデータ貼付!B38="","",03_FRFデータ貼付!A38)</f>
        <v/>
      </c>
      <c r="C41" s="89" t="n">
        <f aca="false">IF(03_FRFデータ貼付!B38="",0,03_FRFデータ貼付!G38)</f>
        <v>0</v>
      </c>
      <c r="D41" s="71" t="n">
        <f aca="false">IF(03_FRFデータ貼付!C38="",0,03_FRFデータ貼付!C38)</f>
        <v>0</v>
      </c>
      <c r="E41" s="71" t="n">
        <f aca="false">IF(03_FRFデータ貼付!D38="",0,03_FRFデータ貼付!D38)</f>
        <v>0</v>
      </c>
      <c r="F41" s="118" t="n">
        <f aca="false">IF($C41=0,0,$V$4/($V$4^2+($C41-$V$5)^2))</f>
        <v>0</v>
      </c>
      <c r="G41" s="118" t="n">
        <f aca="false">IF($C41=0,0,-($C41-$V$5)/($V$4^2+($C41-$V$5)^2))</f>
        <v>0</v>
      </c>
      <c r="H41" s="118" t="n">
        <f aca="false">IF($C41=0,0,$V$4/($V$4^2+($C41+$V$5)^2))</f>
        <v>0</v>
      </c>
      <c r="I41" s="118" t="n">
        <f aca="false">IF($C41=0,0,-($C41+$V$5)/($V$4^2+($C41+$V$5)^2))</f>
        <v>0</v>
      </c>
      <c r="J41" s="118" t="n">
        <f aca="false">IF($C41=0,0,$V$6/($V$6^2+($C41-$V$7)^2))</f>
        <v>0</v>
      </c>
      <c r="K41" s="118" t="n">
        <f aca="false">IF($C41=0,0,-($C41-$V$7)/($V$6^2+($C41-$V$7)^2))</f>
        <v>0</v>
      </c>
      <c r="L41" s="118" t="n">
        <f aca="false">IF($C41=0,0,$V$6/($V$6^2+($C41+$V$7)^2))</f>
        <v>0</v>
      </c>
      <c r="M41" s="118" t="n">
        <f aca="false">IF($C41=0,0,-($C41+$V$7)/($V$6^2+($C41+$V$7)^2))</f>
        <v>0</v>
      </c>
      <c r="N41" s="118" t="n">
        <f aca="false">F41+H41</f>
        <v>0</v>
      </c>
      <c r="O41" s="118" t="n">
        <f aca="false">I41-G41</f>
        <v>0</v>
      </c>
      <c r="P41" s="118" t="n">
        <f aca="false">J41+L41</f>
        <v>0</v>
      </c>
      <c r="Q41" s="118" t="n">
        <f aca="false">M41-K41</f>
        <v>0</v>
      </c>
      <c r="R41" s="118" t="n">
        <f aca="false">IF($C41=0,0,-1/$C41^2)</f>
        <v>0</v>
      </c>
      <c r="S41" s="88" t="n">
        <f aca="false">IF($C41=0,0,1)</f>
        <v>0</v>
      </c>
      <c r="T41" s="71" t="n">
        <f aca="false">D41</f>
        <v>0</v>
      </c>
      <c r="U41" s="131" t="s">
        <v>502</v>
      </c>
      <c r="V41" s="118" t="n">
        <f aca="false">INDEX(MMULT(TRANSPOSE($N$11:$S$250),$T$11:$T$250),5,1)</f>
        <v>-1.78510188669889E-010</v>
      </c>
      <c r="W41" s="132" t="n">
        <f aca="false">INDEX(MMULT($V$29:$AA$34,$V$37:$V$42),5,1)</f>
        <v>-0.000465923621566305</v>
      </c>
      <c r="X41" s="2"/>
      <c r="Y41" s="2"/>
      <c r="Z41" s="2"/>
      <c r="AA41" s="2"/>
      <c r="AB41" s="2"/>
      <c r="AC41" s="2"/>
      <c r="AD41" s="2"/>
      <c r="AE41" s="2"/>
      <c r="AF41" s="2"/>
    </row>
    <row r="42" customFormat="false" ht="15" hidden="false" customHeight="false" outlineLevel="0" collapsed="false">
      <c r="A42" s="95" t="str">
        <f aca="false">"実部"</f>
        <v>実部</v>
      </c>
      <c r="B42" s="88" t="str">
        <f aca="false">IF(03_FRFデータ貼付!B39="","",03_FRFデータ貼付!A39)</f>
        <v/>
      </c>
      <c r="C42" s="89" t="n">
        <f aca="false">IF(03_FRFデータ貼付!B39="",0,03_FRFデータ貼付!G39)</f>
        <v>0</v>
      </c>
      <c r="D42" s="71" t="n">
        <f aca="false">IF(03_FRFデータ貼付!C39="",0,03_FRFデータ貼付!C39)</f>
        <v>0</v>
      </c>
      <c r="E42" s="71" t="n">
        <f aca="false">IF(03_FRFデータ貼付!D39="",0,03_FRFデータ貼付!D39)</f>
        <v>0</v>
      </c>
      <c r="F42" s="118" t="n">
        <f aca="false">IF($C42=0,0,$V$4/($V$4^2+($C42-$V$5)^2))</f>
        <v>0</v>
      </c>
      <c r="G42" s="118" t="n">
        <f aca="false">IF($C42=0,0,-($C42-$V$5)/($V$4^2+($C42-$V$5)^2))</f>
        <v>0</v>
      </c>
      <c r="H42" s="118" t="n">
        <f aca="false">IF($C42=0,0,$V$4/($V$4^2+($C42+$V$5)^2))</f>
        <v>0</v>
      </c>
      <c r="I42" s="118" t="n">
        <f aca="false">IF($C42=0,0,-($C42+$V$5)/($V$4^2+($C42+$V$5)^2))</f>
        <v>0</v>
      </c>
      <c r="J42" s="118" t="n">
        <f aca="false">IF($C42=0,0,$V$6/($V$6^2+($C42-$V$7)^2))</f>
        <v>0</v>
      </c>
      <c r="K42" s="118" t="n">
        <f aca="false">IF($C42=0,0,-($C42-$V$7)/($V$6^2+($C42-$V$7)^2))</f>
        <v>0</v>
      </c>
      <c r="L42" s="118" t="n">
        <f aca="false">IF($C42=0,0,$V$6/($V$6^2+($C42+$V$7)^2))</f>
        <v>0</v>
      </c>
      <c r="M42" s="118" t="n">
        <f aca="false">IF($C42=0,0,-($C42+$V$7)/($V$6^2+($C42+$V$7)^2))</f>
        <v>0</v>
      </c>
      <c r="N42" s="118" t="n">
        <f aca="false">F42+H42</f>
        <v>0</v>
      </c>
      <c r="O42" s="118" t="n">
        <f aca="false">I42-G42</f>
        <v>0</v>
      </c>
      <c r="P42" s="118" t="n">
        <f aca="false">J42+L42</f>
        <v>0</v>
      </c>
      <c r="Q42" s="118" t="n">
        <f aca="false">M42-K42</f>
        <v>0</v>
      </c>
      <c r="R42" s="118" t="n">
        <f aca="false">IF($C42=0,0,-1/$C42^2)</f>
        <v>0</v>
      </c>
      <c r="S42" s="88" t="n">
        <f aca="false">IF($C42=0,0,1)</f>
        <v>0</v>
      </c>
      <c r="T42" s="71" t="n">
        <f aca="false">D42</f>
        <v>0</v>
      </c>
      <c r="U42" s="131" t="s">
        <v>503</v>
      </c>
      <c r="V42" s="118" t="n">
        <f aca="false">INDEX(MMULT(TRANSPOSE($N$11:$S$250),$T$11:$T$250),6,1)</f>
        <v>0.086364</v>
      </c>
      <c r="W42" s="132" t="n">
        <f aca="false">INDEX(MMULT($V$29:$AA$34,$V$37:$V$42),6,1)</f>
        <v>4.22756873803322E-007</v>
      </c>
      <c r="X42" s="2"/>
      <c r="Y42" s="2"/>
      <c r="Z42" s="2"/>
      <c r="AA42" s="2"/>
      <c r="AB42" s="2"/>
      <c r="AC42" s="2"/>
      <c r="AD42" s="2"/>
      <c r="AE42" s="2"/>
      <c r="AF42" s="2"/>
    </row>
    <row r="43" customFormat="false" ht="15" hidden="false" customHeight="false" outlineLevel="0" collapsed="false">
      <c r="A43" s="95" t="str">
        <f aca="false">"実部"</f>
        <v>実部</v>
      </c>
      <c r="B43" s="88" t="str">
        <f aca="false">IF(03_FRFデータ貼付!B40="","",03_FRFデータ貼付!A40)</f>
        <v/>
      </c>
      <c r="C43" s="89" t="n">
        <f aca="false">IF(03_FRFデータ貼付!B40="",0,03_FRFデータ貼付!G40)</f>
        <v>0</v>
      </c>
      <c r="D43" s="71" t="n">
        <f aca="false">IF(03_FRFデータ貼付!C40="",0,03_FRFデータ貼付!C40)</f>
        <v>0</v>
      </c>
      <c r="E43" s="71" t="n">
        <f aca="false">IF(03_FRFデータ貼付!D40="",0,03_FRFデータ貼付!D40)</f>
        <v>0</v>
      </c>
      <c r="F43" s="118" t="n">
        <f aca="false">IF($C43=0,0,$V$4/($V$4^2+($C43-$V$5)^2))</f>
        <v>0</v>
      </c>
      <c r="G43" s="118" t="n">
        <f aca="false">IF($C43=0,0,-($C43-$V$5)/($V$4^2+($C43-$V$5)^2))</f>
        <v>0</v>
      </c>
      <c r="H43" s="118" t="n">
        <f aca="false">IF($C43=0,0,$V$4/($V$4^2+($C43+$V$5)^2))</f>
        <v>0</v>
      </c>
      <c r="I43" s="118" t="n">
        <f aca="false">IF($C43=0,0,-($C43+$V$5)/($V$4^2+($C43+$V$5)^2))</f>
        <v>0</v>
      </c>
      <c r="J43" s="118" t="n">
        <f aca="false">IF($C43=0,0,$V$6/($V$6^2+($C43-$V$7)^2))</f>
        <v>0</v>
      </c>
      <c r="K43" s="118" t="n">
        <f aca="false">IF($C43=0,0,-($C43-$V$7)/($V$6^2+($C43-$V$7)^2))</f>
        <v>0</v>
      </c>
      <c r="L43" s="118" t="n">
        <f aca="false">IF($C43=0,0,$V$6/($V$6^2+($C43+$V$7)^2))</f>
        <v>0</v>
      </c>
      <c r="M43" s="118" t="n">
        <f aca="false">IF($C43=0,0,-($C43+$V$7)/($V$6^2+($C43+$V$7)^2))</f>
        <v>0</v>
      </c>
      <c r="N43" s="118" t="n">
        <f aca="false">F43+H43</f>
        <v>0</v>
      </c>
      <c r="O43" s="118" t="n">
        <f aca="false">I43-G43</f>
        <v>0</v>
      </c>
      <c r="P43" s="118" t="n">
        <f aca="false">J43+L43</f>
        <v>0</v>
      </c>
      <c r="Q43" s="118" t="n">
        <f aca="false">M43-K43</f>
        <v>0</v>
      </c>
      <c r="R43" s="118" t="n">
        <f aca="false">IF($C43=0,0,-1/$C43^2)</f>
        <v>0</v>
      </c>
      <c r="S43" s="88" t="n">
        <f aca="false">IF($C43=0,0,1)</f>
        <v>0</v>
      </c>
      <c r="T43" s="71" t="n">
        <f aca="false">D43</f>
        <v>0</v>
      </c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customFormat="false" ht="15" hidden="false" customHeight="false" outlineLevel="0" collapsed="false">
      <c r="A44" s="95" t="str">
        <f aca="false">"実部"</f>
        <v>実部</v>
      </c>
      <c r="B44" s="88" t="str">
        <f aca="false">IF(03_FRFデータ貼付!B41="","",03_FRFデータ貼付!A41)</f>
        <v/>
      </c>
      <c r="C44" s="89" t="n">
        <f aca="false">IF(03_FRFデータ貼付!B41="",0,03_FRFデータ貼付!G41)</f>
        <v>0</v>
      </c>
      <c r="D44" s="71" t="n">
        <f aca="false">IF(03_FRFデータ貼付!C41="",0,03_FRFデータ貼付!C41)</f>
        <v>0</v>
      </c>
      <c r="E44" s="71" t="n">
        <f aca="false">IF(03_FRFデータ貼付!D41="",0,03_FRFデータ貼付!D41)</f>
        <v>0</v>
      </c>
      <c r="F44" s="118" t="n">
        <f aca="false">IF($C44=0,0,$V$4/($V$4^2+($C44-$V$5)^2))</f>
        <v>0</v>
      </c>
      <c r="G44" s="118" t="n">
        <f aca="false">IF($C44=0,0,-($C44-$V$5)/($V$4^2+($C44-$V$5)^2))</f>
        <v>0</v>
      </c>
      <c r="H44" s="118" t="n">
        <f aca="false">IF($C44=0,0,$V$4/($V$4^2+($C44+$V$5)^2))</f>
        <v>0</v>
      </c>
      <c r="I44" s="118" t="n">
        <f aca="false">IF($C44=0,0,-($C44+$V$5)/($V$4^2+($C44+$V$5)^2))</f>
        <v>0</v>
      </c>
      <c r="J44" s="118" t="n">
        <f aca="false">IF($C44=0,0,$V$6/($V$6^2+($C44-$V$7)^2))</f>
        <v>0</v>
      </c>
      <c r="K44" s="118" t="n">
        <f aca="false">IF($C44=0,0,-($C44-$V$7)/($V$6^2+($C44-$V$7)^2))</f>
        <v>0</v>
      </c>
      <c r="L44" s="118" t="n">
        <f aca="false">IF($C44=0,0,$V$6/($V$6^2+($C44+$V$7)^2))</f>
        <v>0</v>
      </c>
      <c r="M44" s="118" t="n">
        <f aca="false">IF($C44=0,0,-($C44+$V$7)/($V$6^2+($C44+$V$7)^2))</f>
        <v>0</v>
      </c>
      <c r="N44" s="118" t="n">
        <f aca="false">F44+H44</f>
        <v>0</v>
      </c>
      <c r="O44" s="118" t="n">
        <f aca="false">I44-G44</f>
        <v>0</v>
      </c>
      <c r="P44" s="118" t="n">
        <f aca="false">J44+L44</f>
        <v>0</v>
      </c>
      <c r="Q44" s="118" t="n">
        <f aca="false">M44-K44</f>
        <v>0</v>
      </c>
      <c r="R44" s="118" t="n">
        <f aca="false">IF($C44=0,0,-1/$C44^2)</f>
        <v>0</v>
      </c>
      <c r="S44" s="88" t="n">
        <f aca="false">IF($C44=0,0,1)</f>
        <v>0</v>
      </c>
      <c r="T44" s="71" t="n">
        <f aca="false">D44</f>
        <v>0</v>
      </c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customFormat="false" ht="17.15" hidden="false" customHeight="false" outlineLevel="0" collapsed="false">
      <c r="A45" s="95" t="str">
        <f aca="false">"実部"</f>
        <v>実部</v>
      </c>
      <c r="B45" s="88" t="str">
        <f aca="false">IF(03_FRFデータ貼付!B42="","",03_FRFデータ貼付!A42)</f>
        <v/>
      </c>
      <c r="C45" s="89" t="n">
        <f aca="false">IF(03_FRFデータ貼付!B42="",0,03_FRFデータ貼付!G42)</f>
        <v>0</v>
      </c>
      <c r="D45" s="71" t="n">
        <f aca="false">IF(03_FRFデータ貼付!C42="",0,03_FRFデータ貼付!C42)</f>
        <v>0</v>
      </c>
      <c r="E45" s="71" t="n">
        <f aca="false">IF(03_FRFデータ貼付!D42="",0,03_FRFデータ貼付!D42)</f>
        <v>0</v>
      </c>
      <c r="F45" s="118" t="n">
        <f aca="false">IF($C45=0,0,$V$4/($V$4^2+($C45-$V$5)^2))</f>
        <v>0</v>
      </c>
      <c r="G45" s="118" t="n">
        <f aca="false">IF($C45=0,0,-($C45-$V$5)/($V$4^2+($C45-$V$5)^2))</f>
        <v>0</v>
      </c>
      <c r="H45" s="118" t="n">
        <f aca="false">IF($C45=0,0,$V$4/($V$4^2+($C45+$V$5)^2))</f>
        <v>0</v>
      </c>
      <c r="I45" s="118" t="n">
        <f aca="false">IF($C45=0,0,-($C45+$V$5)/($V$4^2+($C45+$V$5)^2))</f>
        <v>0</v>
      </c>
      <c r="J45" s="118" t="n">
        <f aca="false">IF($C45=0,0,$V$6/($V$6^2+($C45-$V$7)^2))</f>
        <v>0</v>
      </c>
      <c r="K45" s="118" t="n">
        <f aca="false">IF($C45=0,0,-($C45-$V$7)/($V$6^2+($C45-$V$7)^2))</f>
        <v>0</v>
      </c>
      <c r="L45" s="118" t="n">
        <f aca="false">IF($C45=0,0,$V$6/($V$6^2+($C45+$V$7)^2))</f>
        <v>0</v>
      </c>
      <c r="M45" s="118" t="n">
        <f aca="false">IF($C45=0,0,-($C45+$V$7)/($V$6^2+($C45+$V$7)^2))</f>
        <v>0</v>
      </c>
      <c r="N45" s="118" t="n">
        <f aca="false">F45+H45</f>
        <v>0</v>
      </c>
      <c r="O45" s="118" t="n">
        <f aca="false">I45-G45</f>
        <v>0</v>
      </c>
      <c r="P45" s="118" t="n">
        <f aca="false">J45+L45</f>
        <v>0</v>
      </c>
      <c r="Q45" s="118" t="n">
        <f aca="false">M45-K45</f>
        <v>0</v>
      </c>
      <c r="R45" s="118" t="n">
        <f aca="false">IF($C45=0,0,-1/$C45^2)</f>
        <v>0</v>
      </c>
      <c r="S45" s="88" t="n">
        <f aca="false">IF($C45=0,0,1)</f>
        <v>0</v>
      </c>
      <c r="T45" s="71" t="n">
        <f aca="false">D45</f>
        <v>0</v>
      </c>
      <c r="U45" s="23" t="s">
        <v>504</v>
      </c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customFormat="false" ht="33.75" hidden="false" customHeight="true" outlineLevel="0" collapsed="false">
      <c r="A46" s="95" t="str">
        <f aca="false">"実部"</f>
        <v>実部</v>
      </c>
      <c r="B46" s="88" t="str">
        <f aca="false">IF(03_FRFデータ貼付!B43="","",03_FRFデータ貼付!A43)</f>
        <v/>
      </c>
      <c r="C46" s="89" t="n">
        <f aca="false">IF(03_FRFデータ貼付!B43="",0,03_FRFデータ貼付!G43)</f>
        <v>0</v>
      </c>
      <c r="D46" s="71" t="n">
        <f aca="false">IF(03_FRFデータ貼付!C43="",0,03_FRFデータ貼付!C43)</f>
        <v>0</v>
      </c>
      <c r="E46" s="71" t="n">
        <f aca="false">IF(03_FRFデータ貼付!D43="",0,03_FRFデータ貼付!D43)</f>
        <v>0</v>
      </c>
      <c r="F46" s="118" t="n">
        <f aca="false">IF($C46=0,0,$V$4/($V$4^2+($C46-$V$5)^2))</f>
        <v>0</v>
      </c>
      <c r="G46" s="118" t="n">
        <f aca="false">IF($C46=0,0,-($C46-$V$5)/($V$4^2+($C46-$V$5)^2))</f>
        <v>0</v>
      </c>
      <c r="H46" s="118" t="n">
        <f aca="false">IF($C46=0,0,$V$4/($V$4^2+($C46+$V$5)^2))</f>
        <v>0</v>
      </c>
      <c r="I46" s="118" t="n">
        <f aca="false">IF($C46=0,0,-($C46+$V$5)/($V$4^2+($C46+$V$5)^2))</f>
        <v>0</v>
      </c>
      <c r="J46" s="118" t="n">
        <f aca="false">IF($C46=0,0,$V$6/($V$6^2+($C46-$V$7)^2))</f>
        <v>0</v>
      </c>
      <c r="K46" s="118" t="n">
        <f aca="false">IF($C46=0,0,-($C46-$V$7)/($V$6^2+($C46-$V$7)^2))</f>
        <v>0</v>
      </c>
      <c r="L46" s="118" t="n">
        <f aca="false">IF($C46=0,0,$V$6/($V$6^2+($C46+$V$7)^2))</f>
        <v>0</v>
      </c>
      <c r="M46" s="118" t="n">
        <f aca="false">IF($C46=0,0,-($C46+$V$7)/($V$6^2+($C46+$V$7)^2))</f>
        <v>0</v>
      </c>
      <c r="N46" s="118" t="n">
        <f aca="false">F46+H46</f>
        <v>0</v>
      </c>
      <c r="O46" s="118" t="n">
        <f aca="false">I46-G46</f>
        <v>0</v>
      </c>
      <c r="P46" s="118" t="n">
        <f aca="false">J46+L46</f>
        <v>0</v>
      </c>
      <c r="Q46" s="118" t="n">
        <f aca="false">M46-K46</f>
        <v>0</v>
      </c>
      <c r="R46" s="118" t="n">
        <f aca="false">IF($C46=0,0,-1/$C46^2)</f>
        <v>0</v>
      </c>
      <c r="S46" s="88" t="n">
        <f aca="false">IF($C46=0,0,1)</f>
        <v>0</v>
      </c>
      <c r="T46" s="71" t="n">
        <f aca="false">D46</f>
        <v>0</v>
      </c>
      <c r="U46" s="87" t="s">
        <v>412</v>
      </c>
      <c r="V46" s="87" t="s">
        <v>413</v>
      </c>
      <c r="W46" s="87" t="s">
        <v>414</v>
      </c>
      <c r="X46" s="87" t="s">
        <v>505</v>
      </c>
      <c r="Y46" s="2"/>
      <c r="Z46" s="2"/>
      <c r="AA46" s="2"/>
      <c r="AB46" s="2"/>
      <c r="AC46" s="2"/>
      <c r="AD46" s="2"/>
      <c r="AE46" s="2"/>
      <c r="AF46" s="2"/>
    </row>
    <row r="47" customFormat="false" ht="15" hidden="false" customHeight="false" outlineLevel="0" collapsed="false">
      <c r="A47" s="95" t="str">
        <f aca="false">"実部"</f>
        <v>実部</v>
      </c>
      <c r="B47" s="88" t="str">
        <f aca="false">IF(03_FRFデータ貼付!B44="","",03_FRFデータ貼付!A44)</f>
        <v/>
      </c>
      <c r="C47" s="89" t="n">
        <f aca="false">IF(03_FRFデータ貼付!B44="",0,03_FRFデータ貼付!G44)</f>
        <v>0</v>
      </c>
      <c r="D47" s="71" t="n">
        <f aca="false">IF(03_FRFデータ貼付!C44="",0,03_FRFデータ貼付!C44)</f>
        <v>0</v>
      </c>
      <c r="E47" s="71" t="n">
        <f aca="false">IF(03_FRFデータ貼付!D44="",0,03_FRFデータ貼付!D44)</f>
        <v>0</v>
      </c>
      <c r="F47" s="118" t="n">
        <f aca="false">IF($C47=0,0,$V$4/($V$4^2+($C47-$V$5)^2))</f>
        <v>0</v>
      </c>
      <c r="G47" s="118" t="n">
        <f aca="false">IF($C47=0,0,-($C47-$V$5)/($V$4^2+($C47-$V$5)^2))</f>
        <v>0</v>
      </c>
      <c r="H47" s="118" t="n">
        <f aca="false">IF($C47=0,0,$V$4/($V$4^2+($C47+$V$5)^2))</f>
        <v>0</v>
      </c>
      <c r="I47" s="118" t="n">
        <f aca="false">IF($C47=0,0,-($C47+$V$5)/($V$4^2+($C47+$V$5)^2))</f>
        <v>0</v>
      </c>
      <c r="J47" s="118" t="n">
        <f aca="false">IF($C47=0,0,$V$6/($V$6^2+($C47-$V$7)^2))</f>
        <v>0</v>
      </c>
      <c r="K47" s="118" t="n">
        <f aca="false">IF($C47=0,0,-($C47-$V$7)/($V$6^2+($C47-$V$7)^2))</f>
        <v>0</v>
      </c>
      <c r="L47" s="118" t="n">
        <f aca="false">IF($C47=0,0,$V$6/($V$6^2+($C47+$V$7)^2))</f>
        <v>0</v>
      </c>
      <c r="M47" s="118" t="n">
        <f aca="false">IF($C47=0,0,-($C47+$V$7)/($V$6^2+($C47+$V$7)^2))</f>
        <v>0</v>
      </c>
      <c r="N47" s="118" t="n">
        <f aca="false">F47+H47</f>
        <v>0</v>
      </c>
      <c r="O47" s="118" t="n">
        <f aca="false">I47-G47</f>
        <v>0</v>
      </c>
      <c r="P47" s="118" t="n">
        <f aca="false">J47+L47</f>
        <v>0</v>
      </c>
      <c r="Q47" s="118" t="n">
        <f aca="false">M47-K47</f>
        <v>0</v>
      </c>
      <c r="R47" s="118" t="n">
        <f aca="false">IF($C47=0,0,-1/$C47^2)</f>
        <v>0</v>
      </c>
      <c r="S47" s="88" t="n">
        <f aca="false">IF($C47=0,0,1)</f>
        <v>0</v>
      </c>
      <c r="T47" s="71" t="n">
        <f aca="false">D47</f>
        <v>0</v>
      </c>
      <c r="U47" s="131" t="s">
        <v>506</v>
      </c>
      <c r="V47" s="133" t="n">
        <f aca="false">W37</f>
        <v>1.00144713659179</v>
      </c>
      <c r="W47" s="133" t="n">
        <f aca="false">W39</f>
        <v>0.798731013843148</v>
      </c>
      <c r="X47" s="134" t="s">
        <v>507</v>
      </c>
      <c r="Y47" s="2"/>
      <c r="Z47" s="2"/>
      <c r="AA47" s="2"/>
      <c r="AB47" s="2"/>
      <c r="AC47" s="2"/>
      <c r="AD47" s="2"/>
      <c r="AE47" s="2"/>
      <c r="AF47" s="2"/>
    </row>
    <row r="48" customFormat="false" ht="15" hidden="false" customHeight="false" outlineLevel="0" collapsed="false">
      <c r="A48" s="95" t="str">
        <f aca="false">"実部"</f>
        <v>実部</v>
      </c>
      <c r="B48" s="88" t="str">
        <f aca="false">IF(03_FRFデータ貼付!B45="","",03_FRFデータ貼付!A45)</f>
        <v/>
      </c>
      <c r="C48" s="89" t="n">
        <f aca="false">IF(03_FRFデータ貼付!B45="",0,03_FRFデータ貼付!G45)</f>
        <v>0</v>
      </c>
      <c r="D48" s="71" t="n">
        <f aca="false">IF(03_FRFデータ貼付!C45="",0,03_FRFデータ貼付!C45)</f>
        <v>0</v>
      </c>
      <c r="E48" s="71" t="n">
        <f aca="false">IF(03_FRFデータ貼付!D45="",0,03_FRFデータ貼付!D45)</f>
        <v>0</v>
      </c>
      <c r="F48" s="118" t="n">
        <f aca="false">IF($C48=0,0,$V$4/($V$4^2+($C48-$V$5)^2))</f>
        <v>0</v>
      </c>
      <c r="G48" s="118" t="n">
        <f aca="false">IF($C48=0,0,-($C48-$V$5)/($V$4^2+($C48-$V$5)^2))</f>
        <v>0</v>
      </c>
      <c r="H48" s="118" t="n">
        <f aca="false">IF($C48=0,0,$V$4/($V$4^2+($C48+$V$5)^2))</f>
        <v>0</v>
      </c>
      <c r="I48" s="118" t="n">
        <f aca="false">IF($C48=0,0,-($C48+$V$5)/($V$4^2+($C48+$V$5)^2))</f>
        <v>0</v>
      </c>
      <c r="J48" s="118" t="n">
        <f aca="false">IF($C48=0,0,$V$6/($V$6^2+($C48-$V$7)^2))</f>
        <v>0</v>
      </c>
      <c r="K48" s="118" t="n">
        <f aca="false">IF($C48=0,0,-($C48-$V$7)/($V$6^2+($C48-$V$7)^2))</f>
        <v>0</v>
      </c>
      <c r="L48" s="118" t="n">
        <f aca="false">IF($C48=0,0,$V$6/($V$6^2+($C48+$V$7)^2))</f>
        <v>0</v>
      </c>
      <c r="M48" s="118" t="n">
        <f aca="false">IF($C48=0,0,-($C48+$V$7)/($V$6^2+($C48+$V$7)^2))</f>
        <v>0</v>
      </c>
      <c r="N48" s="118" t="n">
        <f aca="false">F48+H48</f>
        <v>0</v>
      </c>
      <c r="O48" s="118" t="n">
        <f aca="false">I48-G48</f>
        <v>0</v>
      </c>
      <c r="P48" s="118" t="n">
        <f aca="false">J48+L48</f>
        <v>0</v>
      </c>
      <c r="Q48" s="118" t="n">
        <f aca="false">M48-K48</f>
        <v>0</v>
      </c>
      <c r="R48" s="118" t="n">
        <f aca="false">IF($C48=0,0,-1/$C48^2)</f>
        <v>0</v>
      </c>
      <c r="S48" s="88" t="n">
        <f aca="false">IF($C48=0,0,1)</f>
        <v>0</v>
      </c>
      <c r="T48" s="71" t="n">
        <f aca="false">D48</f>
        <v>0</v>
      </c>
      <c r="U48" s="131" t="s">
        <v>508</v>
      </c>
      <c r="V48" s="133" t="n">
        <f aca="false">W38</f>
        <v>0.300233460308753</v>
      </c>
      <c r="W48" s="133" t="n">
        <f aca="false">W40</f>
        <v>-0.199395809663417</v>
      </c>
      <c r="X48" s="134" t="s">
        <v>507</v>
      </c>
      <c r="Y48" s="2"/>
      <c r="Z48" s="2"/>
      <c r="AA48" s="2"/>
      <c r="AB48" s="2"/>
      <c r="AC48" s="2"/>
      <c r="AD48" s="2"/>
      <c r="AE48" s="2"/>
      <c r="AF48" s="2"/>
    </row>
    <row r="49" customFormat="false" ht="15" hidden="false" customHeight="false" outlineLevel="0" collapsed="false">
      <c r="A49" s="95" t="str">
        <f aca="false">"実部"</f>
        <v>実部</v>
      </c>
      <c r="B49" s="88" t="str">
        <f aca="false">IF(03_FRFデータ貼付!B46="","",03_FRFデータ貼付!A46)</f>
        <v/>
      </c>
      <c r="C49" s="89" t="n">
        <f aca="false">IF(03_FRFデータ貼付!B46="",0,03_FRFデータ貼付!G46)</f>
        <v>0</v>
      </c>
      <c r="D49" s="71" t="n">
        <f aca="false">IF(03_FRFデータ貼付!C46="",0,03_FRFデータ貼付!C46)</f>
        <v>0</v>
      </c>
      <c r="E49" s="71" t="n">
        <f aca="false">IF(03_FRFデータ貼付!D46="",0,03_FRFデータ貼付!D46)</f>
        <v>0</v>
      </c>
      <c r="F49" s="118" t="n">
        <f aca="false">IF($C49=0,0,$V$4/($V$4^2+($C49-$V$5)^2))</f>
        <v>0</v>
      </c>
      <c r="G49" s="118" t="n">
        <f aca="false">IF($C49=0,0,-($C49-$V$5)/($V$4^2+($C49-$V$5)^2))</f>
        <v>0</v>
      </c>
      <c r="H49" s="118" t="n">
        <f aca="false">IF($C49=0,0,$V$4/($V$4^2+($C49+$V$5)^2))</f>
        <v>0</v>
      </c>
      <c r="I49" s="118" t="n">
        <f aca="false">IF($C49=0,0,-($C49+$V$5)/($V$4^2+($C49+$V$5)^2))</f>
        <v>0</v>
      </c>
      <c r="J49" s="118" t="n">
        <f aca="false">IF($C49=0,0,$V$6/($V$6^2+($C49-$V$7)^2))</f>
        <v>0</v>
      </c>
      <c r="K49" s="118" t="n">
        <f aca="false">IF($C49=0,0,-($C49-$V$7)/($V$6^2+($C49-$V$7)^2))</f>
        <v>0</v>
      </c>
      <c r="L49" s="118" t="n">
        <f aca="false">IF($C49=0,0,$V$6/($V$6^2+($C49+$V$7)^2))</f>
        <v>0</v>
      </c>
      <c r="M49" s="118" t="n">
        <f aca="false">IF($C49=0,0,-($C49+$V$7)/($V$6^2+($C49+$V$7)^2))</f>
        <v>0</v>
      </c>
      <c r="N49" s="118" t="n">
        <f aca="false">F49+H49</f>
        <v>0</v>
      </c>
      <c r="O49" s="118" t="n">
        <f aca="false">I49-G49</f>
        <v>0</v>
      </c>
      <c r="P49" s="118" t="n">
        <f aca="false">J49+L49</f>
        <v>0</v>
      </c>
      <c r="Q49" s="118" t="n">
        <f aca="false">M49-K49</f>
        <v>0</v>
      </c>
      <c r="R49" s="118" t="n">
        <f aca="false">IF($C49=0,0,-1/$C49^2)</f>
        <v>0</v>
      </c>
      <c r="S49" s="88" t="n">
        <f aca="false">IF($C49=0,0,1)</f>
        <v>0</v>
      </c>
      <c r="T49" s="71" t="n">
        <f aca="false">D49</f>
        <v>0</v>
      </c>
      <c r="U49" s="131" t="s">
        <v>509</v>
      </c>
      <c r="V49" s="133" t="n">
        <f aca="false">-2*W38</f>
        <v>-0.600466920617505</v>
      </c>
      <c r="W49" s="133" t="n">
        <f aca="false">-2*W40</f>
        <v>0.398791619326833</v>
      </c>
      <c r="X49" s="135" t="s">
        <v>510</v>
      </c>
      <c r="Y49" s="2"/>
      <c r="Z49" s="2"/>
      <c r="AA49" s="2"/>
      <c r="AB49" s="2"/>
      <c r="AC49" s="2"/>
      <c r="AD49" s="2"/>
      <c r="AE49" s="2"/>
      <c r="AF49" s="2"/>
    </row>
    <row r="50" customFormat="false" ht="15" hidden="false" customHeight="false" outlineLevel="0" collapsed="false">
      <c r="A50" s="95" t="str">
        <f aca="false">"実部"</f>
        <v>実部</v>
      </c>
      <c r="B50" s="88" t="str">
        <f aca="false">IF(03_FRFデータ貼付!B47="","",03_FRFデータ貼付!A47)</f>
        <v/>
      </c>
      <c r="C50" s="89" t="n">
        <f aca="false">IF(03_FRFデータ貼付!B47="",0,03_FRFデータ貼付!G47)</f>
        <v>0</v>
      </c>
      <c r="D50" s="71" t="n">
        <f aca="false">IF(03_FRFデータ貼付!C47="",0,03_FRFデータ貼付!C47)</f>
        <v>0</v>
      </c>
      <c r="E50" s="71" t="n">
        <f aca="false">IF(03_FRFデータ貼付!D47="",0,03_FRFデータ貼付!D47)</f>
        <v>0</v>
      </c>
      <c r="F50" s="118" t="n">
        <f aca="false">IF($C50=0,0,$V$4/($V$4^2+($C50-$V$5)^2))</f>
        <v>0</v>
      </c>
      <c r="G50" s="118" t="n">
        <f aca="false">IF($C50=0,0,-($C50-$V$5)/($V$4^2+($C50-$V$5)^2))</f>
        <v>0</v>
      </c>
      <c r="H50" s="118" t="n">
        <f aca="false">IF($C50=0,0,$V$4/($V$4^2+($C50+$V$5)^2))</f>
        <v>0</v>
      </c>
      <c r="I50" s="118" t="n">
        <f aca="false">IF($C50=0,0,-($C50+$V$5)/($V$4^2+($C50+$V$5)^2))</f>
        <v>0</v>
      </c>
      <c r="J50" s="118" t="n">
        <f aca="false">IF($C50=0,0,$V$6/($V$6^2+($C50-$V$7)^2))</f>
        <v>0</v>
      </c>
      <c r="K50" s="118" t="n">
        <f aca="false">IF($C50=0,0,-($C50-$V$7)/($V$6^2+($C50-$V$7)^2))</f>
        <v>0</v>
      </c>
      <c r="L50" s="118" t="n">
        <f aca="false">IF($C50=0,0,$V$6/($V$6^2+($C50+$V$7)^2))</f>
        <v>0</v>
      </c>
      <c r="M50" s="118" t="n">
        <f aca="false">IF($C50=0,0,-($C50+$V$7)/($V$6^2+($C50+$V$7)^2))</f>
        <v>0</v>
      </c>
      <c r="N50" s="118" t="n">
        <f aca="false">F50+H50</f>
        <v>0</v>
      </c>
      <c r="O50" s="118" t="n">
        <f aca="false">I50-G50</f>
        <v>0</v>
      </c>
      <c r="P50" s="118" t="n">
        <f aca="false">J50+L50</f>
        <v>0</v>
      </c>
      <c r="Q50" s="118" t="n">
        <f aca="false">M50-K50</f>
        <v>0</v>
      </c>
      <c r="R50" s="118" t="n">
        <f aca="false">IF($C50=0,0,-1/$C50^2)</f>
        <v>0</v>
      </c>
      <c r="S50" s="88" t="n">
        <f aca="false">IF($C50=0,0,1)</f>
        <v>0</v>
      </c>
      <c r="T50" s="71" t="n">
        <f aca="false">D50</f>
        <v>0</v>
      </c>
      <c r="U50" s="131" t="s">
        <v>511</v>
      </c>
      <c r="V50" s="133" t="n">
        <f aca="false">2*W37</f>
        <v>2.00289427318359</v>
      </c>
      <c r="W50" s="133" t="n">
        <f aca="false">2*W39</f>
        <v>1.5974620276863</v>
      </c>
      <c r="X50" s="135" t="s">
        <v>512</v>
      </c>
      <c r="Y50" s="2"/>
      <c r="Z50" s="2"/>
      <c r="AA50" s="2"/>
      <c r="AB50" s="2"/>
      <c r="AC50" s="2"/>
      <c r="AD50" s="2"/>
      <c r="AE50" s="2"/>
      <c r="AF50" s="2"/>
    </row>
    <row r="51" customFormat="false" ht="15" hidden="false" customHeight="false" outlineLevel="0" collapsed="false">
      <c r="A51" s="95" t="str">
        <f aca="false">"実部"</f>
        <v>実部</v>
      </c>
      <c r="B51" s="88" t="str">
        <f aca="false">IF(03_FRFデータ貼付!B48="","",03_FRFデータ貼付!A48)</f>
        <v/>
      </c>
      <c r="C51" s="89" t="n">
        <f aca="false">IF(03_FRFデータ貼付!B48="",0,03_FRFデータ貼付!G48)</f>
        <v>0</v>
      </c>
      <c r="D51" s="71" t="n">
        <f aca="false">IF(03_FRFデータ貼付!C48="",0,03_FRFデータ貼付!C48)</f>
        <v>0</v>
      </c>
      <c r="E51" s="71" t="n">
        <f aca="false">IF(03_FRFデータ貼付!D48="",0,03_FRFデータ貼付!D48)</f>
        <v>0</v>
      </c>
      <c r="F51" s="118" t="n">
        <f aca="false">IF($C51=0,0,$V$4/($V$4^2+($C51-$V$5)^2))</f>
        <v>0</v>
      </c>
      <c r="G51" s="118" t="n">
        <f aca="false">IF($C51=0,0,-($C51-$V$5)/($V$4^2+($C51-$V$5)^2))</f>
        <v>0</v>
      </c>
      <c r="H51" s="118" t="n">
        <f aca="false">IF($C51=0,0,$V$4/($V$4^2+($C51+$V$5)^2))</f>
        <v>0</v>
      </c>
      <c r="I51" s="118" t="n">
        <f aca="false">IF($C51=0,0,-($C51+$V$5)/($V$4^2+($C51+$V$5)^2))</f>
        <v>0</v>
      </c>
      <c r="J51" s="118" t="n">
        <f aca="false">IF($C51=0,0,$V$6/($V$6^2+($C51-$V$7)^2))</f>
        <v>0</v>
      </c>
      <c r="K51" s="118" t="n">
        <f aca="false">IF($C51=0,0,-($C51-$V$7)/($V$6^2+($C51-$V$7)^2))</f>
        <v>0</v>
      </c>
      <c r="L51" s="118" t="n">
        <f aca="false">IF($C51=0,0,$V$6/($V$6^2+($C51+$V$7)^2))</f>
        <v>0</v>
      </c>
      <c r="M51" s="118" t="n">
        <f aca="false">IF($C51=0,0,-($C51+$V$7)/($V$6^2+($C51+$V$7)^2))</f>
        <v>0</v>
      </c>
      <c r="N51" s="118" t="n">
        <f aca="false">F51+H51</f>
        <v>0</v>
      </c>
      <c r="O51" s="118" t="n">
        <f aca="false">I51-G51</f>
        <v>0</v>
      </c>
      <c r="P51" s="118" t="n">
        <f aca="false">J51+L51</f>
        <v>0</v>
      </c>
      <c r="Q51" s="118" t="n">
        <f aca="false">M51-K51</f>
        <v>0</v>
      </c>
      <c r="R51" s="118" t="n">
        <f aca="false">IF($C51=0,0,-1/$C51^2)</f>
        <v>0</v>
      </c>
      <c r="S51" s="88" t="n">
        <f aca="false">IF($C51=0,0,1)</f>
        <v>0</v>
      </c>
      <c r="T51" s="71" t="n">
        <f aca="false">D51</f>
        <v>0</v>
      </c>
      <c r="U51" s="136" t="s">
        <v>513</v>
      </c>
      <c r="V51" s="133" t="n">
        <f aca="false">IFERROR(2*SQRT(W37^2+W38^2),"")</f>
        <v>2.09096771670619</v>
      </c>
      <c r="W51" s="133" t="n">
        <f aca="false">IFERROR(2*SQRT(W39^2+W40^2),"")</f>
        <v>1.64648707421131</v>
      </c>
      <c r="X51" s="134" t="s">
        <v>514</v>
      </c>
      <c r="Y51" s="2"/>
      <c r="Z51" s="2"/>
      <c r="AA51" s="2"/>
      <c r="AB51" s="2"/>
      <c r="AC51" s="2"/>
      <c r="AD51" s="2"/>
      <c r="AE51" s="2"/>
      <c r="AF51" s="2"/>
    </row>
    <row r="52" customFormat="false" ht="15" hidden="false" customHeight="false" outlineLevel="0" collapsed="false">
      <c r="A52" s="95" t="str">
        <f aca="false">"実部"</f>
        <v>実部</v>
      </c>
      <c r="B52" s="88" t="str">
        <f aca="false">IF(03_FRFデータ貼付!B49="","",03_FRFデータ貼付!A49)</f>
        <v/>
      </c>
      <c r="C52" s="89" t="n">
        <f aca="false">IF(03_FRFデータ貼付!B49="",0,03_FRFデータ貼付!G49)</f>
        <v>0</v>
      </c>
      <c r="D52" s="71" t="n">
        <f aca="false">IF(03_FRFデータ貼付!C49="",0,03_FRFデータ貼付!C49)</f>
        <v>0</v>
      </c>
      <c r="E52" s="71" t="n">
        <f aca="false">IF(03_FRFデータ貼付!D49="",0,03_FRFデータ貼付!D49)</f>
        <v>0</v>
      </c>
      <c r="F52" s="118" t="n">
        <f aca="false">IF($C52=0,0,$V$4/($V$4^2+($C52-$V$5)^2))</f>
        <v>0</v>
      </c>
      <c r="G52" s="118" t="n">
        <f aca="false">IF($C52=0,0,-($C52-$V$5)/($V$4^2+($C52-$V$5)^2))</f>
        <v>0</v>
      </c>
      <c r="H52" s="118" t="n">
        <f aca="false">IF($C52=0,0,$V$4/($V$4^2+($C52+$V$5)^2))</f>
        <v>0</v>
      </c>
      <c r="I52" s="118" t="n">
        <f aca="false">IF($C52=0,0,-($C52+$V$5)/($V$4^2+($C52+$V$5)^2))</f>
        <v>0</v>
      </c>
      <c r="J52" s="118" t="n">
        <f aca="false">IF($C52=0,0,$V$6/($V$6^2+($C52-$V$7)^2))</f>
        <v>0</v>
      </c>
      <c r="K52" s="118" t="n">
        <f aca="false">IF($C52=0,0,-($C52-$V$7)/($V$6^2+($C52-$V$7)^2))</f>
        <v>0</v>
      </c>
      <c r="L52" s="118" t="n">
        <f aca="false">IF($C52=0,0,$V$6/($V$6^2+($C52+$V$7)^2))</f>
        <v>0</v>
      </c>
      <c r="M52" s="118" t="n">
        <f aca="false">IF($C52=0,0,-($C52+$V$7)/($V$6^2+($C52+$V$7)^2))</f>
        <v>0</v>
      </c>
      <c r="N52" s="118" t="n">
        <f aca="false">F52+H52</f>
        <v>0</v>
      </c>
      <c r="O52" s="118" t="n">
        <f aca="false">I52-G52</f>
        <v>0</v>
      </c>
      <c r="P52" s="118" t="n">
        <f aca="false">J52+L52</f>
        <v>0</v>
      </c>
      <c r="Q52" s="118" t="n">
        <f aca="false">M52-K52</f>
        <v>0</v>
      </c>
      <c r="R52" s="118" t="n">
        <f aca="false">IF($C52=0,0,-1/$C52^2)</f>
        <v>0</v>
      </c>
      <c r="S52" s="88" t="n">
        <f aca="false">IF($C52=0,0,1)</f>
        <v>0</v>
      </c>
      <c r="T52" s="71" t="n">
        <f aca="false">D52</f>
        <v>0</v>
      </c>
      <c r="U52" s="136" t="s">
        <v>515</v>
      </c>
      <c r="V52" s="137" t="n">
        <f aca="false">IFERROR(DEGREES(ATAN2(-2*W38,2*W37)),"")</f>
        <v>106.68871013019</v>
      </c>
      <c r="W52" s="137" t="n">
        <f aca="false">IFERROR(DEGREES(ATAN2(-2*W40,2*W39)),"")</f>
        <v>75.9831308616286</v>
      </c>
      <c r="X52" s="135" t="s">
        <v>516</v>
      </c>
      <c r="Y52" s="2"/>
      <c r="Z52" s="2"/>
      <c r="AA52" s="2"/>
      <c r="AB52" s="2"/>
      <c r="AC52" s="2"/>
      <c r="AD52" s="2"/>
      <c r="AE52" s="2"/>
      <c r="AF52" s="2"/>
    </row>
    <row r="53" customFormat="false" ht="15" hidden="false" customHeight="false" outlineLevel="0" collapsed="false">
      <c r="A53" s="95" t="str">
        <f aca="false">"実部"</f>
        <v>実部</v>
      </c>
      <c r="B53" s="88" t="str">
        <f aca="false">IF(03_FRFデータ貼付!B50="","",03_FRFデータ貼付!A50)</f>
        <v/>
      </c>
      <c r="C53" s="89" t="n">
        <f aca="false">IF(03_FRFデータ貼付!B50="",0,03_FRFデータ貼付!G50)</f>
        <v>0</v>
      </c>
      <c r="D53" s="71" t="n">
        <f aca="false">IF(03_FRFデータ貼付!C50="",0,03_FRFデータ貼付!C50)</f>
        <v>0</v>
      </c>
      <c r="E53" s="71" t="n">
        <f aca="false">IF(03_FRFデータ貼付!D50="",0,03_FRFデータ貼付!D50)</f>
        <v>0</v>
      </c>
      <c r="F53" s="118" t="n">
        <f aca="false">IF($C53=0,0,$V$4/($V$4^2+($C53-$V$5)^2))</f>
        <v>0</v>
      </c>
      <c r="G53" s="118" t="n">
        <f aca="false">IF($C53=0,0,-($C53-$V$5)/($V$4^2+($C53-$V$5)^2))</f>
        <v>0</v>
      </c>
      <c r="H53" s="118" t="n">
        <f aca="false">IF($C53=0,0,$V$4/($V$4^2+($C53+$V$5)^2))</f>
        <v>0</v>
      </c>
      <c r="I53" s="118" t="n">
        <f aca="false">IF($C53=0,0,-($C53+$V$5)/($V$4^2+($C53+$V$5)^2))</f>
        <v>0</v>
      </c>
      <c r="J53" s="118" t="n">
        <f aca="false">IF($C53=0,0,$V$6/($V$6^2+($C53-$V$7)^2))</f>
        <v>0</v>
      </c>
      <c r="K53" s="118" t="n">
        <f aca="false">IF($C53=0,0,-($C53-$V$7)/($V$6^2+($C53-$V$7)^2))</f>
        <v>0</v>
      </c>
      <c r="L53" s="118" t="n">
        <f aca="false">IF($C53=0,0,$V$6/($V$6^2+($C53+$V$7)^2))</f>
        <v>0</v>
      </c>
      <c r="M53" s="118" t="n">
        <f aca="false">IF($C53=0,0,-($C53+$V$7)/($V$6^2+($C53+$V$7)^2))</f>
        <v>0</v>
      </c>
      <c r="N53" s="118" t="n">
        <f aca="false">F53+H53</f>
        <v>0</v>
      </c>
      <c r="O53" s="118" t="n">
        <f aca="false">I53-G53</f>
        <v>0</v>
      </c>
      <c r="P53" s="118" t="n">
        <f aca="false">J53+L53</f>
        <v>0</v>
      </c>
      <c r="Q53" s="118" t="n">
        <f aca="false">M53-K53</f>
        <v>0</v>
      </c>
      <c r="R53" s="118" t="n">
        <f aca="false">IF($C53=0,0,-1/$C53^2)</f>
        <v>0</v>
      </c>
      <c r="S53" s="88" t="n">
        <f aca="false">IF($C53=0,0,1)</f>
        <v>0</v>
      </c>
      <c r="T53" s="71" t="n">
        <f aca="false">D53</f>
        <v>0</v>
      </c>
      <c r="U53" s="136" t="s">
        <v>517</v>
      </c>
      <c r="V53" s="138" t="str">
        <f aca="false">IFERROR(IF(ABS(ABS(DEGREES(ATAN2(-2*W38,2*W37)))-90)&lt;20,"○ 正規モードに近い","△ 複素モード性が強い"),"")</f>
        <v>○ 正規モードに近い</v>
      </c>
      <c r="W53" s="138" t="str">
        <f aca="false">IFERROR(IF(ABS(ABS(DEGREES(ATAN2(-2*W40,2*W39)))-90)&lt;20,"○ 正規モードに近い","△ 複素モード性が強い"),"")</f>
        <v>○ 正規モードに近い</v>
      </c>
      <c r="X53" s="134" t="s">
        <v>518</v>
      </c>
      <c r="Y53" s="2"/>
      <c r="Z53" s="2"/>
      <c r="AA53" s="2"/>
      <c r="AB53" s="2"/>
      <c r="AC53" s="2"/>
      <c r="AD53" s="2"/>
      <c r="AE53" s="2"/>
      <c r="AF53" s="2"/>
    </row>
    <row r="54" customFormat="false" ht="15" hidden="false" customHeight="false" outlineLevel="0" collapsed="false">
      <c r="A54" s="95" t="str">
        <f aca="false">"実部"</f>
        <v>実部</v>
      </c>
      <c r="B54" s="88" t="str">
        <f aca="false">IF(03_FRFデータ貼付!B51="","",03_FRFデータ貼付!A51)</f>
        <v/>
      </c>
      <c r="C54" s="89" t="n">
        <f aca="false">IF(03_FRFデータ貼付!B51="",0,03_FRFデータ貼付!G51)</f>
        <v>0</v>
      </c>
      <c r="D54" s="71" t="n">
        <f aca="false">IF(03_FRFデータ貼付!C51="",0,03_FRFデータ貼付!C51)</f>
        <v>0</v>
      </c>
      <c r="E54" s="71" t="n">
        <f aca="false">IF(03_FRFデータ貼付!D51="",0,03_FRFデータ貼付!D51)</f>
        <v>0</v>
      </c>
      <c r="F54" s="118" t="n">
        <f aca="false">IF($C54=0,0,$V$4/($V$4^2+($C54-$V$5)^2))</f>
        <v>0</v>
      </c>
      <c r="G54" s="118" t="n">
        <f aca="false">IF($C54=0,0,-($C54-$V$5)/($V$4^2+($C54-$V$5)^2))</f>
        <v>0</v>
      </c>
      <c r="H54" s="118" t="n">
        <f aca="false">IF($C54=0,0,$V$4/($V$4^2+($C54+$V$5)^2))</f>
        <v>0</v>
      </c>
      <c r="I54" s="118" t="n">
        <f aca="false">IF($C54=0,0,-($C54+$V$5)/($V$4^2+($C54+$V$5)^2))</f>
        <v>0</v>
      </c>
      <c r="J54" s="118" t="n">
        <f aca="false">IF($C54=0,0,$V$6/($V$6^2+($C54-$V$7)^2))</f>
        <v>0</v>
      </c>
      <c r="K54" s="118" t="n">
        <f aca="false">IF($C54=0,0,-($C54-$V$7)/($V$6^2+($C54-$V$7)^2))</f>
        <v>0</v>
      </c>
      <c r="L54" s="118" t="n">
        <f aca="false">IF($C54=0,0,$V$6/($V$6^2+($C54+$V$7)^2))</f>
        <v>0</v>
      </c>
      <c r="M54" s="118" t="n">
        <f aca="false">IF($C54=0,0,-($C54+$V$7)/($V$6^2+($C54+$V$7)^2))</f>
        <v>0</v>
      </c>
      <c r="N54" s="118" t="n">
        <f aca="false">F54+H54</f>
        <v>0</v>
      </c>
      <c r="O54" s="118" t="n">
        <f aca="false">I54-G54</f>
        <v>0</v>
      </c>
      <c r="P54" s="118" t="n">
        <f aca="false">J54+L54</f>
        <v>0</v>
      </c>
      <c r="Q54" s="118" t="n">
        <f aca="false">M54-K54</f>
        <v>0</v>
      </c>
      <c r="R54" s="118" t="n">
        <f aca="false">IF($C54=0,0,-1/$C54^2)</f>
        <v>0</v>
      </c>
      <c r="S54" s="88" t="n">
        <f aca="false">IF($C54=0,0,1)</f>
        <v>0</v>
      </c>
      <c r="T54" s="71" t="n">
        <f aca="false">D54</f>
        <v>0</v>
      </c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customFormat="false" ht="15" hidden="false" customHeight="false" outlineLevel="0" collapsed="false">
      <c r="A55" s="95" t="str">
        <f aca="false">"実部"</f>
        <v>実部</v>
      </c>
      <c r="B55" s="88" t="str">
        <f aca="false">IF(03_FRFデータ貼付!B52="","",03_FRFデータ貼付!A52)</f>
        <v/>
      </c>
      <c r="C55" s="89" t="n">
        <f aca="false">IF(03_FRFデータ貼付!B52="",0,03_FRFデータ貼付!G52)</f>
        <v>0</v>
      </c>
      <c r="D55" s="71" t="n">
        <f aca="false">IF(03_FRFデータ貼付!C52="",0,03_FRFデータ貼付!C52)</f>
        <v>0</v>
      </c>
      <c r="E55" s="71" t="n">
        <f aca="false">IF(03_FRFデータ貼付!D52="",0,03_FRFデータ貼付!D52)</f>
        <v>0</v>
      </c>
      <c r="F55" s="118" t="n">
        <f aca="false">IF($C55=0,0,$V$4/($V$4^2+($C55-$V$5)^2))</f>
        <v>0</v>
      </c>
      <c r="G55" s="118" t="n">
        <f aca="false">IF($C55=0,0,-($C55-$V$5)/($V$4^2+($C55-$V$5)^2))</f>
        <v>0</v>
      </c>
      <c r="H55" s="118" t="n">
        <f aca="false">IF($C55=0,0,$V$4/($V$4^2+($C55+$V$5)^2))</f>
        <v>0</v>
      </c>
      <c r="I55" s="118" t="n">
        <f aca="false">IF($C55=0,0,-($C55+$V$5)/($V$4^2+($C55+$V$5)^2))</f>
        <v>0</v>
      </c>
      <c r="J55" s="118" t="n">
        <f aca="false">IF($C55=0,0,$V$6/($V$6^2+($C55-$V$7)^2))</f>
        <v>0</v>
      </c>
      <c r="K55" s="118" t="n">
        <f aca="false">IF($C55=0,0,-($C55-$V$7)/($V$6^2+($C55-$V$7)^2))</f>
        <v>0</v>
      </c>
      <c r="L55" s="118" t="n">
        <f aca="false">IF($C55=0,0,$V$6/($V$6^2+($C55+$V$7)^2))</f>
        <v>0</v>
      </c>
      <c r="M55" s="118" t="n">
        <f aca="false">IF($C55=0,0,-($C55+$V$7)/($V$6^2+($C55+$V$7)^2))</f>
        <v>0</v>
      </c>
      <c r="N55" s="118" t="n">
        <f aca="false">F55+H55</f>
        <v>0</v>
      </c>
      <c r="O55" s="118" t="n">
        <f aca="false">I55-G55</f>
        <v>0</v>
      </c>
      <c r="P55" s="118" t="n">
        <f aca="false">J55+L55</f>
        <v>0</v>
      </c>
      <c r="Q55" s="118" t="n">
        <f aca="false">M55-K55</f>
        <v>0</v>
      </c>
      <c r="R55" s="118" t="n">
        <f aca="false">IF($C55=0,0,-1/$C55^2)</f>
        <v>0</v>
      </c>
      <c r="S55" s="88" t="n">
        <f aca="false">IF($C55=0,0,1)</f>
        <v>0</v>
      </c>
      <c r="T55" s="71" t="n">
        <f aca="false">D55</f>
        <v>0</v>
      </c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customFormat="false" ht="17.15" hidden="false" customHeight="false" outlineLevel="0" collapsed="false">
      <c r="A56" s="95" t="str">
        <f aca="false">"実部"</f>
        <v>実部</v>
      </c>
      <c r="B56" s="88" t="str">
        <f aca="false">IF(03_FRFデータ貼付!B53="","",03_FRFデータ貼付!A53)</f>
        <v/>
      </c>
      <c r="C56" s="89" t="n">
        <f aca="false">IF(03_FRFデータ貼付!B53="",0,03_FRFデータ貼付!G53)</f>
        <v>0</v>
      </c>
      <c r="D56" s="71" t="n">
        <f aca="false">IF(03_FRFデータ貼付!C53="",0,03_FRFデータ貼付!C53)</f>
        <v>0</v>
      </c>
      <c r="E56" s="71" t="n">
        <f aca="false">IF(03_FRFデータ貼付!D53="",0,03_FRFデータ貼付!D53)</f>
        <v>0</v>
      </c>
      <c r="F56" s="118" t="n">
        <f aca="false">IF($C56=0,0,$V$4/($V$4^2+($C56-$V$5)^2))</f>
        <v>0</v>
      </c>
      <c r="G56" s="118" t="n">
        <f aca="false">IF($C56=0,0,-($C56-$V$5)/($V$4^2+($C56-$V$5)^2))</f>
        <v>0</v>
      </c>
      <c r="H56" s="118" t="n">
        <f aca="false">IF($C56=0,0,$V$4/($V$4^2+($C56+$V$5)^2))</f>
        <v>0</v>
      </c>
      <c r="I56" s="118" t="n">
        <f aca="false">IF($C56=0,0,-($C56+$V$5)/($V$4^2+($C56+$V$5)^2))</f>
        <v>0</v>
      </c>
      <c r="J56" s="118" t="n">
        <f aca="false">IF($C56=0,0,$V$6/($V$6^2+($C56-$V$7)^2))</f>
        <v>0</v>
      </c>
      <c r="K56" s="118" t="n">
        <f aca="false">IF($C56=0,0,-($C56-$V$7)/($V$6^2+($C56-$V$7)^2))</f>
        <v>0</v>
      </c>
      <c r="L56" s="118" t="n">
        <f aca="false">IF($C56=0,0,$V$6/($V$6^2+($C56+$V$7)^2))</f>
        <v>0</v>
      </c>
      <c r="M56" s="118" t="n">
        <f aca="false">IF($C56=0,0,-($C56+$V$7)/($V$6^2+($C56+$V$7)^2))</f>
        <v>0</v>
      </c>
      <c r="N56" s="118" t="n">
        <f aca="false">F56+H56</f>
        <v>0</v>
      </c>
      <c r="O56" s="118" t="n">
        <f aca="false">I56-G56</f>
        <v>0</v>
      </c>
      <c r="P56" s="118" t="n">
        <f aca="false">J56+L56</f>
        <v>0</v>
      </c>
      <c r="Q56" s="118" t="n">
        <f aca="false">M56-K56</f>
        <v>0</v>
      </c>
      <c r="R56" s="118" t="n">
        <f aca="false">IF($C56=0,0,-1/$C56^2)</f>
        <v>0</v>
      </c>
      <c r="S56" s="88" t="n">
        <f aca="false">IF($C56=0,0,1)</f>
        <v>0</v>
      </c>
      <c r="T56" s="71" t="n">
        <f aca="false">D56</f>
        <v>0</v>
      </c>
      <c r="U56" s="4" t="s">
        <v>519</v>
      </c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customFormat="false" ht="15" hidden="false" customHeight="false" outlineLevel="0" collapsed="false">
      <c r="A57" s="95" t="str">
        <f aca="false">"実部"</f>
        <v>実部</v>
      </c>
      <c r="B57" s="88" t="str">
        <f aca="false">IF(03_FRFデータ貼付!B54="","",03_FRFデータ貼付!A54)</f>
        <v/>
      </c>
      <c r="C57" s="89" t="n">
        <f aca="false">IF(03_FRFデータ貼付!B54="",0,03_FRFデータ貼付!G54)</f>
        <v>0</v>
      </c>
      <c r="D57" s="71" t="n">
        <f aca="false">IF(03_FRFデータ貼付!C54="",0,03_FRFデータ貼付!C54)</f>
        <v>0</v>
      </c>
      <c r="E57" s="71" t="n">
        <f aca="false">IF(03_FRFデータ貼付!D54="",0,03_FRFデータ貼付!D54)</f>
        <v>0</v>
      </c>
      <c r="F57" s="118" t="n">
        <f aca="false">IF($C57=0,0,$V$4/($V$4^2+($C57-$V$5)^2))</f>
        <v>0</v>
      </c>
      <c r="G57" s="118" t="n">
        <f aca="false">IF($C57=0,0,-($C57-$V$5)/($V$4^2+($C57-$V$5)^2))</f>
        <v>0</v>
      </c>
      <c r="H57" s="118" t="n">
        <f aca="false">IF($C57=0,0,$V$4/($V$4^2+($C57+$V$5)^2))</f>
        <v>0</v>
      </c>
      <c r="I57" s="118" t="n">
        <f aca="false">IF($C57=0,0,-($C57+$V$5)/($V$4^2+($C57+$V$5)^2))</f>
        <v>0</v>
      </c>
      <c r="J57" s="118" t="n">
        <f aca="false">IF($C57=0,0,$V$6/($V$6^2+($C57-$V$7)^2))</f>
        <v>0</v>
      </c>
      <c r="K57" s="118" t="n">
        <f aca="false">IF($C57=0,0,-($C57-$V$7)/($V$6^2+($C57-$V$7)^2))</f>
        <v>0</v>
      </c>
      <c r="L57" s="118" t="n">
        <f aca="false">IF($C57=0,0,$V$6/($V$6^2+($C57+$V$7)^2))</f>
        <v>0</v>
      </c>
      <c r="M57" s="118" t="n">
        <f aca="false">IF($C57=0,0,-($C57+$V$7)/($V$6^2+($C57+$V$7)^2))</f>
        <v>0</v>
      </c>
      <c r="N57" s="118" t="n">
        <f aca="false">F57+H57</f>
        <v>0</v>
      </c>
      <c r="O57" s="118" t="n">
        <f aca="false">I57-G57</f>
        <v>0</v>
      </c>
      <c r="P57" s="118" t="n">
        <f aca="false">J57+L57</f>
        <v>0</v>
      </c>
      <c r="Q57" s="118" t="n">
        <f aca="false">M57-K57</f>
        <v>0</v>
      </c>
      <c r="R57" s="118" t="n">
        <f aca="false">IF($C57=0,0,-1/$C57^2)</f>
        <v>0</v>
      </c>
      <c r="S57" s="88" t="n">
        <f aca="false">IF($C57=0,0,1)</f>
        <v>0</v>
      </c>
      <c r="T57" s="71" t="n">
        <f aca="false">D57</f>
        <v>0</v>
      </c>
      <c r="U57" s="128" t="s">
        <v>520</v>
      </c>
      <c r="V57" s="24" t="n">
        <v>2</v>
      </c>
      <c r="W57" s="2"/>
      <c r="X57" s="139" t="s">
        <v>521</v>
      </c>
      <c r="Y57" s="2"/>
      <c r="Z57" s="2"/>
      <c r="AA57" s="2"/>
      <c r="AB57" s="2"/>
      <c r="AC57" s="2"/>
      <c r="AD57" s="2"/>
      <c r="AE57" s="2"/>
      <c r="AF57" s="2"/>
    </row>
    <row r="58" customFormat="false" ht="15" hidden="false" customHeight="false" outlineLevel="0" collapsed="false">
      <c r="A58" s="95" t="str">
        <f aca="false">"実部"</f>
        <v>実部</v>
      </c>
      <c r="B58" s="88" t="str">
        <f aca="false">IF(03_FRFデータ貼付!B55="","",03_FRFデータ貼付!A55)</f>
        <v/>
      </c>
      <c r="C58" s="89" t="n">
        <f aca="false">IF(03_FRFデータ貼付!B55="",0,03_FRFデータ貼付!G55)</f>
        <v>0</v>
      </c>
      <c r="D58" s="71" t="n">
        <f aca="false">IF(03_FRFデータ貼付!C55="",0,03_FRFデータ貼付!C55)</f>
        <v>0</v>
      </c>
      <c r="E58" s="71" t="n">
        <f aca="false">IF(03_FRFデータ貼付!D55="",0,03_FRFデータ貼付!D55)</f>
        <v>0</v>
      </c>
      <c r="F58" s="118" t="n">
        <f aca="false">IF($C58=0,0,$V$4/($V$4^2+($C58-$V$5)^2))</f>
        <v>0</v>
      </c>
      <c r="G58" s="118" t="n">
        <f aca="false">IF($C58=0,0,-($C58-$V$5)/($V$4^2+($C58-$V$5)^2))</f>
        <v>0</v>
      </c>
      <c r="H58" s="118" t="n">
        <f aca="false">IF($C58=0,0,$V$4/($V$4^2+($C58+$V$5)^2))</f>
        <v>0</v>
      </c>
      <c r="I58" s="118" t="n">
        <f aca="false">IF($C58=0,0,-($C58+$V$5)/($V$4^2+($C58+$V$5)^2))</f>
        <v>0</v>
      </c>
      <c r="J58" s="118" t="n">
        <f aca="false">IF($C58=0,0,$V$6/($V$6^2+($C58-$V$7)^2))</f>
        <v>0</v>
      </c>
      <c r="K58" s="118" t="n">
        <f aca="false">IF($C58=0,0,-($C58-$V$7)/($V$6^2+($C58-$V$7)^2))</f>
        <v>0</v>
      </c>
      <c r="L58" s="118" t="n">
        <f aca="false">IF($C58=0,0,$V$6/($V$6^2+($C58+$V$7)^2))</f>
        <v>0</v>
      </c>
      <c r="M58" s="118" t="n">
        <f aca="false">IF($C58=0,0,-($C58+$V$7)/($V$6^2+($C58+$V$7)^2))</f>
        <v>0</v>
      </c>
      <c r="N58" s="118" t="n">
        <f aca="false">F58+H58</f>
        <v>0</v>
      </c>
      <c r="O58" s="118" t="n">
        <f aca="false">I58-G58</f>
        <v>0</v>
      </c>
      <c r="P58" s="118" t="n">
        <f aca="false">J58+L58</f>
        <v>0</v>
      </c>
      <c r="Q58" s="118" t="n">
        <f aca="false">M58-K58</f>
        <v>0</v>
      </c>
      <c r="R58" s="118" t="n">
        <f aca="false">IF($C58=0,0,-1/$C58^2)</f>
        <v>0</v>
      </c>
      <c r="S58" s="88" t="n">
        <f aca="false">IF($C58=0,0,1)</f>
        <v>0</v>
      </c>
      <c r="T58" s="71" t="n">
        <f aca="false">D58</f>
        <v>0</v>
      </c>
      <c r="U58" s="128" t="s">
        <v>522</v>
      </c>
      <c r="V58" s="24" t="n">
        <v>0</v>
      </c>
      <c r="W58" s="2"/>
      <c r="X58" s="140" t="s">
        <v>523</v>
      </c>
      <c r="Y58" s="2"/>
      <c r="Z58" s="2"/>
      <c r="AA58" s="2"/>
      <c r="AB58" s="2"/>
      <c r="AC58" s="2"/>
      <c r="AD58" s="2"/>
      <c r="AE58" s="2"/>
      <c r="AF58" s="2"/>
    </row>
    <row r="59" customFormat="false" ht="15" hidden="false" customHeight="false" outlineLevel="0" collapsed="false">
      <c r="A59" s="95" t="str">
        <f aca="false">"実部"</f>
        <v>実部</v>
      </c>
      <c r="B59" s="88" t="str">
        <f aca="false">IF(03_FRFデータ貼付!B56="","",03_FRFデータ貼付!A56)</f>
        <v/>
      </c>
      <c r="C59" s="89" t="n">
        <f aca="false">IF(03_FRFデータ貼付!B56="",0,03_FRFデータ貼付!G56)</f>
        <v>0</v>
      </c>
      <c r="D59" s="71" t="n">
        <f aca="false">IF(03_FRFデータ貼付!C56="",0,03_FRFデータ貼付!C56)</f>
        <v>0</v>
      </c>
      <c r="E59" s="71" t="n">
        <f aca="false">IF(03_FRFデータ貼付!D56="",0,03_FRFデータ貼付!D56)</f>
        <v>0</v>
      </c>
      <c r="F59" s="118" t="n">
        <f aca="false">IF($C59=0,0,$V$4/($V$4^2+($C59-$V$5)^2))</f>
        <v>0</v>
      </c>
      <c r="G59" s="118" t="n">
        <f aca="false">IF($C59=0,0,-($C59-$V$5)/($V$4^2+($C59-$V$5)^2))</f>
        <v>0</v>
      </c>
      <c r="H59" s="118" t="n">
        <f aca="false">IF($C59=0,0,$V$4/($V$4^2+($C59+$V$5)^2))</f>
        <v>0</v>
      </c>
      <c r="I59" s="118" t="n">
        <f aca="false">IF($C59=0,0,-($C59+$V$5)/($V$4^2+($C59+$V$5)^2))</f>
        <v>0</v>
      </c>
      <c r="J59" s="118" t="n">
        <f aca="false">IF($C59=0,0,$V$6/($V$6^2+($C59-$V$7)^2))</f>
        <v>0</v>
      </c>
      <c r="K59" s="118" t="n">
        <f aca="false">IF($C59=0,0,-($C59-$V$7)/($V$6^2+($C59-$V$7)^2))</f>
        <v>0</v>
      </c>
      <c r="L59" s="118" t="n">
        <f aca="false">IF($C59=0,0,$V$6/($V$6^2+($C59+$V$7)^2))</f>
        <v>0</v>
      </c>
      <c r="M59" s="118" t="n">
        <f aca="false">IF($C59=0,0,-($C59+$V$7)/($V$6^2+($C59+$V$7)^2))</f>
        <v>0</v>
      </c>
      <c r="N59" s="118" t="n">
        <f aca="false">F59+H59</f>
        <v>0</v>
      </c>
      <c r="O59" s="118" t="n">
        <f aca="false">I59-G59</f>
        <v>0</v>
      </c>
      <c r="P59" s="118" t="n">
        <f aca="false">J59+L59</f>
        <v>0</v>
      </c>
      <c r="Q59" s="118" t="n">
        <f aca="false">M59-K59</f>
        <v>0</v>
      </c>
      <c r="R59" s="118" t="n">
        <f aca="false">IF($C59=0,0,-1/$C59^2)</f>
        <v>0</v>
      </c>
      <c r="S59" s="88" t="n">
        <f aca="false">IF($C59=0,0,1)</f>
        <v>0</v>
      </c>
      <c r="T59" s="71" t="n">
        <f aca="false">D59</f>
        <v>0</v>
      </c>
      <c r="U59" s="128" t="s">
        <v>524</v>
      </c>
      <c r="V59" s="118" t="n">
        <f aca="false">IFERROR(09_モーダル諸元!B12/(09_モーダル諸元!B13^2+09_モーダル諸元!B12^2),"")</f>
        <v>4.57338759032687E-005</v>
      </c>
      <c r="W59" s="118" t="n">
        <f aca="false">IFERROR(09_モーダル諸元!C12/(09_モーダル諸元!C13^2+09_モーダル諸元!C12^2),"")</f>
        <v>4.52140850546968E-005</v>
      </c>
      <c r="X59" s="2"/>
      <c r="Y59" s="2"/>
      <c r="Z59" s="2"/>
      <c r="AA59" s="2"/>
      <c r="AB59" s="2"/>
      <c r="AC59" s="2"/>
      <c r="AD59" s="2"/>
      <c r="AE59" s="2"/>
      <c r="AF59" s="2"/>
    </row>
    <row r="60" customFormat="false" ht="15" hidden="false" customHeight="false" outlineLevel="0" collapsed="false">
      <c r="A60" s="95" t="str">
        <f aca="false">"実部"</f>
        <v>実部</v>
      </c>
      <c r="B60" s="88" t="str">
        <f aca="false">IF(03_FRFデータ貼付!B57="","",03_FRFデータ貼付!A57)</f>
        <v/>
      </c>
      <c r="C60" s="89" t="n">
        <f aca="false">IF(03_FRFデータ貼付!B57="",0,03_FRFデータ貼付!G57)</f>
        <v>0</v>
      </c>
      <c r="D60" s="71" t="n">
        <f aca="false">IF(03_FRFデータ貼付!C57="",0,03_FRFデータ貼付!C57)</f>
        <v>0</v>
      </c>
      <c r="E60" s="71" t="n">
        <f aca="false">IF(03_FRFデータ貼付!D57="",0,03_FRFデータ貼付!D57)</f>
        <v>0</v>
      </c>
      <c r="F60" s="118" t="n">
        <f aca="false">IF($C60=0,0,$V$4/($V$4^2+($C60-$V$5)^2))</f>
        <v>0</v>
      </c>
      <c r="G60" s="118" t="n">
        <f aca="false">IF($C60=0,0,-($C60-$V$5)/($V$4^2+($C60-$V$5)^2))</f>
        <v>0</v>
      </c>
      <c r="H60" s="118" t="n">
        <f aca="false">IF($C60=0,0,$V$4/($V$4^2+($C60+$V$5)^2))</f>
        <v>0</v>
      </c>
      <c r="I60" s="118" t="n">
        <f aca="false">IF($C60=0,0,-($C60+$V$5)/($V$4^2+($C60+$V$5)^2))</f>
        <v>0</v>
      </c>
      <c r="J60" s="118" t="n">
        <f aca="false">IF($C60=0,0,$V$6/($V$6^2+($C60-$V$7)^2))</f>
        <v>0</v>
      </c>
      <c r="K60" s="118" t="n">
        <f aca="false">IF($C60=0,0,-($C60-$V$7)/($V$6^2+($C60-$V$7)^2))</f>
        <v>0</v>
      </c>
      <c r="L60" s="118" t="n">
        <f aca="false">IF($C60=0,0,$V$6/($V$6^2+($C60+$V$7)^2))</f>
        <v>0</v>
      </c>
      <c r="M60" s="118" t="n">
        <f aca="false">IF($C60=0,0,-($C60+$V$7)/($V$6^2+($C60+$V$7)^2))</f>
        <v>0</v>
      </c>
      <c r="N60" s="118" t="n">
        <f aca="false">F60+H60</f>
        <v>0</v>
      </c>
      <c r="O60" s="118" t="n">
        <f aca="false">I60-G60</f>
        <v>0</v>
      </c>
      <c r="P60" s="118" t="n">
        <f aca="false">J60+L60</f>
        <v>0</v>
      </c>
      <c r="Q60" s="118" t="n">
        <f aca="false">M60-K60</f>
        <v>0</v>
      </c>
      <c r="R60" s="118" t="n">
        <f aca="false">IF($C60=0,0,-1/$C60^2)</f>
        <v>0</v>
      </c>
      <c r="S60" s="88" t="n">
        <f aca="false">IF($C60=0,0,1)</f>
        <v>0</v>
      </c>
      <c r="T60" s="71" t="n">
        <f aca="false">D60</f>
        <v>0</v>
      </c>
      <c r="U60" s="128" t="s">
        <v>525</v>
      </c>
      <c r="V60" s="141" t="n">
        <f aca="false">IFERROR(IF($V$57=1,V51,IF($V$57=2,V51*V59,V51*V59^2)),"")</f>
        <v>9.56280580735818E-005</v>
      </c>
      <c r="W60" s="141" t="n">
        <f aca="false">IFERROR(IF($V$57=1,W51,IF($V$57=2,W51*W59,W51*W59^2)),"")</f>
        <v>7.44444066148493E-005</v>
      </c>
      <c r="X60" s="140" t="s">
        <v>526</v>
      </c>
      <c r="Y60" s="2"/>
      <c r="Z60" s="2"/>
      <c r="AA60" s="2"/>
      <c r="AB60" s="2"/>
      <c r="AC60" s="2"/>
      <c r="AD60" s="2"/>
      <c r="AE60" s="2"/>
      <c r="AF60" s="2"/>
    </row>
    <row r="61" customFormat="false" ht="15" hidden="false" customHeight="false" outlineLevel="0" collapsed="false">
      <c r="A61" s="95" t="str">
        <f aca="false">"実部"</f>
        <v>実部</v>
      </c>
      <c r="B61" s="88" t="str">
        <f aca="false">IF(03_FRFデータ貼付!B58="","",03_FRFデータ貼付!A58)</f>
        <v/>
      </c>
      <c r="C61" s="89" t="n">
        <f aca="false">IF(03_FRFデータ貼付!B58="",0,03_FRFデータ貼付!G58)</f>
        <v>0</v>
      </c>
      <c r="D61" s="71" t="n">
        <f aca="false">IF(03_FRFデータ貼付!C58="",0,03_FRFデータ貼付!C58)</f>
        <v>0</v>
      </c>
      <c r="E61" s="71" t="n">
        <f aca="false">IF(03_FRFデータ貼付!D58="",0,03_FRFデータ貼付!D58)</f>
        <v>0</v>
      </c>
      <c r="F61" s="118" t="n">
        <f aca="false">IF($C61=0,0,$V$4/($V$4^2+($C61-$V$5)^2))</f>
        <v>0</v>
      </c>
      <c r="G61" s="118" t="n">
        <f aca="false">IF($C61=0,0,-($C61-$V$5)/($V$4^2+($C61-$V$5)^2))</f>
        <v>0</v>
      </c>
      <c r="H61" s="118" t="n">
        <f aca="false">IF($C61=0,0,$V$4/($V$4^2+($C61+$V$5)^2))</f>
        <v>0</v>
      </c>
      <c r="I61" s="118" t="n">
        <f aca="false">IF($C61=0,0,-($C61+$V$5)/($V$4^2+($C61+$V$5)^2))</f>
        <v>0</v>
      </c>
      <c r="J61" s="118" t="n">
        <f aca="false">IF($C61=0,0,$V$6/($V$6^2+($C61-$V$7)^2))</f>
        <v>0</v>
      </c>
      <c r="K61" s="118" t="n">
        <f aca="false">IF($C61=0,0,-($C61-$V$7)/($V$6^2+($C61-$V$7)^2))</f>
        <v>0</v>
      </c>
      <c r="L61" s="118" t="n">
        <f aca="false">IF($C61=0,0,$V$6/($V$6^2+($C61+$V$7)^2))</f>
        <v>0</v>
      </c>
      <c r="M61" s="118" t="n">
        <f aca="false">IF($C61=0,0,-($C61+$V$7)/($V$6^2+($C61+$V$7)^2))</f>
        <v>0</v>
      </c>
      <c r="N61" s="118" t="n">
        <f aca="false">F61+H61</f>
        <v>0</v>
      </c>
      <c r="O61" s="118" t="n">
        <f aca="false">I61-G61</f>
        <v>0</v>
      </c>
      <c r="P61" s="118" t="n">
        <f aca="false">J61+L61</f>
        <v>0</v>
      </c>
      <c r="Q61" s="118" t="n">
        <f aca="false">M61-K61</f>
        <v>0</v>
      </c>
      <c r="R61" s="118" t="n">
        <f aca="false">IF($C61=0,0,-1/$C61^2)</f>
        <v>0</v>
      </c>
      <c r="S61" s="88" t="n">
        <f aca="false">IF($C61=0,0,1)</f>
        <v>0</v>
      </c>
      <c r="T61" s="71" t="n">
        <f aca="false">D61</f>
        <v>0</v>
      </c>
      <c r="U61" s="127" t="s">
        <v>527</v>
      </c>
      <c r="V61" s="132" t="str">
        <f aca="false">IF($V$58&lt;&gt;1,"駆動点でないため計算不可",IFERROR(SQRT(09_モーダル諸元!B12*V60),""))</f>
        <v>駆動点でないため計算不可</v>
      </c>
      <c r="W61" s="132" t="str">
        <f aca="false">IF($V$58&lt;&gt;1,"－",IFERROR(SQRT(09_モーダル諸元!C12*W60),""))</f>
        <v>－</v>
      </c>
      <c r="X61" s="139" t="s">
        <v>528</v>
      </c>
      <c r="Y61" s="2"/>
      <c r="Z61" s="2"/>
      <c r="AA61" s="2"/>
      <c r="AB61" s="2"/>
      <c r="AC61" s="2"/>
      <c r="AD61" s="2"/>
      <c r="AE61" s="2"/>
      <c r="AF61" s="2"/>
    </row>
    <row r="62" customFormat="false" ht="15" hidden="false" customHeight="false" outlineLevel="0" collapsed="false">
      <c r="A62" s="95" t="str">
        <f aca="false">"実部"</f>
        <v>実部</v>
      </c>
      <c r="B62" s="88" t="str">
        <f aca="false">IF(03_FRFデータ貼付!B59="","",03_FRFデータ貼付!A59)</f>
        <v/>
      </c>
      <c r="C62" s="89" t="n">
        <f aca="false">IF(03_FRFデータ貼付!B59="",0,03_FRFデータ貼付!G59)</f>
        <v>0</v>
      </c>
      <c r="D62" s="71" t="n">
        <f aca="false">IF(03_FRFデータ貼付!C59="",0,03_FRFデータ貼付!C59)</f>
        <v>0</v>
      </c>
      <c r="E62" s="71" t="n">
        <f aca="false">IF(03_FRFデータ貼付!D59="",0,03_FRFデータ貼付!D59)</f>
        <v>0</v>
      </c>
      <c r="F62" s="118" t="n">
        <f aca="false">IF($C62=0,0,$V$4/($V$4^2+($C62-$V$5)^2))</f>
        <v>0</v>
      </c>
      <c r="G62" s="118" t="n">
        <f aca="false">IF($C62=0,0,-($C62-$V$5)/($V$4^2+($C62-$V$5)^2))</f>
        <v>0</v>
      </c>
      <c r="H62" s="118" t="n">
        <f aca="false">IF($C62=0,0,$V$4/($V$4^2+($C62+$V$5)^2))</f>
        <v>0</v>
      </c>
      <c r="I62" s="118" t="n">
        <f aca="false">IF($C62=0,0,-($C62+$V$5)/($V$4^2+($C62+$V$5)^2))</f>
        <v>0</v>
      </c>
      <c r="J62" s="118" t="n">
        <f aca="false">IF($C62=0,0,$V$6/($V$6^2+($C62-$V$7)^2))</f>
        <v>0</v>
      </c>
      <c r="K62" s="118" t="n">
        <f aca="false">IF($C62=0,0,-($C62-$V$7)/($V$6^2+($C62-$V$7)^2))</f>
        <v>0</v>
      </c>
      <c r="L62" s="118" t="n">
        <f aca="false">IF($C62=0,0,$V$6/($V$6^2+($C62+$V$7)^2))</f>
        <v>0</v>
      </c>
      <c r="M62" s="118" t="n">
        <f aca="false">IF($C62=0,0,-($C62+$V$7)/($V$6^2+($C62+$V$7)^2))</f>
        <v>0</v>
      </c>
      <c r="N62" s="118" t="n">
        <f aca="false">F62+H62</f>
        <v>0</v>
      </c>
      <c r="O62" s="118" t="n">
        <f aca="false">I62-G62</f>
        <v>0</v>
      </c>
      <c r="P62" s="118" t="n">
        <f aca="false">J62+L62</f>
        <v>0</v>
      </c>
      <c r="Q62" s="118" t="n">
        <f aca="false">M62-K62</f>
        <v>0</v>
      </c>
      <c r="R62" s="118" t="n">
        <f aca="false">IF($C62=0,0,-1/$C62^2)</f>
        <v>0</v>
      </c>
      <c r="S62" s="88" t="n">
        <f aca="false">IF($C62=0,0,1)</f>
        <v>0</v>
      </c>
      <c r="T62" s="71" t="n">
        <f aca="false">D62</f>
        <v>0</v>
      </c>
      <c r="U62" s="128" t="s">
        <v>529</v>
      </c>
      <c r="V62" s="132" t="str">
        <f aca="false">IF($V$58&lt;&gt;1,"－",IFERROR(1/(09_モーダル諸元!B12*V60),""))</f>
        <v>－</v>
      </c>
      <c r="W62" s="132" t="str">
        <f aca="false">IF($V$58&lt;&gt;1,"－",IFERROR(1/(09_モーダル諸元!C12*W60),""))</f>
        <v>－</v>
      </c>
      <c r="X62" s="140" t="s">
        <v>530</v>
      </c>
      <c r="Y62" s="2"/>
      <c r="Z62" s="2"/>
      <c r="AA62" s="2"/>
      <c r="AB62" s="2"/>
      <c r="AC62" s="2"/>
      <c r="AD62" s="2"/>
      <c r="AE62" s="2"/>
      <c r="AF62" s="2"/>
    </row>
    <row r="63" customFormat="false" ht="15" hidden="false" customHeight="false" outlineLevel="0" collapsed="false">
      <c r="A63" s="95" t="str">
        <f aca="false">"実部"</f>
        <v>実部</v>
      </c>
      <c r="B63" s="88" t="str">
        <f aca="false">IF(03_FRFデータ貼付!B60="","",03_FRFデータ貼付!A60)</f>
        <v/>
      </c>
      <c r="C63" s="89" t="n">
        <f aca="false">IF(03_FRFデータ貼付!B60="",0,03_FRFデータ貼付!G60)</f>
        <v>0</v>
      </c>
      <c r="D63" s="71" t="n">
        <f aca="false">IF(03_FRFデータ貼付!C60="",0,03_FRFデータ貼付!C60)</f>
        <v>0</v>
      </c>
      <c r="E63" s="71" t="n">
        <f aca="false">IF(03_FRFデータ貼付!D60="",0,03_FRFデータ貼付!D60)</f>
        <v>0</v>
      </c>
      <c r="F63" s="118" t="n">
        <f aca="false">IF($C63=0,0,$V$4/($V$4^2+($C63-$V$5)^2))</f>
        <v>0</v>
      </c>
      <c r="G63" s="118" t="n">
        <f aca="false">IF($C63=0,0,-($C63-$V$5)/($V$4^2+($C63-$V$5)^2))</f>
        <v>0</v>
      </c>
      <c r="H63" s="118" t="n">
        <f aca="false">IF($C63=0,0,$V$4/($V$4^2+($C63+$V$5)^2))</f>
        <v>0</v>
      </c>
      <c r="I63" s="118" t="n">
        <f aca="false">IF($C63=0,0,-($C63+$V$5)/($V$4^2+($C63+$V$5)^2))</f>
        <v>0</v>
      </c>
      <c r="J63" s="118" t="n">
        <f aca="false">IF($C63=0,0,$V$6/($V$6^2+($C63-$V$7)^2))</f>
        <v>0</v>
      </c>
      <c r="K63" s="118" t="n">
        <f aca="false">IF($C63=0,0,-($C63-$V$7)/($V$6^2+($C63-$V$7)^2))</f>
        <v>0</v>
      </c>
      <c r="L63" s="118" t="n">
        <f aca="false">IF($C63=0,0,$V$6/($V$6^2+($C63+$V$7)^2))</f>
        <v>0</v>
      </c>
      <c r="M63" s="118" t="n">
        <f aca="false">IF($C63=0,0,-($C63+$V$7)/($V$6^2+($C63+$V$7)^2))</f>
        <v>0</v>
      </c>
      <c r="N63" s="118" t="n">
        <f aca="false">F63+H63</f>
        <v>0</v>
      </c>
      <c r="O63" s="118" t="n">
        <f aca="false">I63-G63</f>
        <v>0</v>
      </c>
      <c r="P63" s="118" t="n">
        <f aca="false">J63+L63</f>
        <v>0</v>
      </c>
      <c r="Q63" s="118" t="n">
        <f aca="false">M63-K63</f>
        <v>0</v>
      </c>
      <c r="R63" s="118" t="n">
        <f aca="false">IF($C63=0,0,-1/$C63^2)</f>
        <v>0</v>
      </c>
      <c r="S63" s="88" t="n">
        <f aca="false">IF($C63=0,0,1)</f>
        <v>0</v>
      </c>
      <c r="T63" s="71" t="n">
        <f aca="false">D63</f>
        <v>0</v>
      </c>
      <c r="U63" s="128" t="s">
        <v>531</v>
      </c>
      <c r="V63" s="141" t="str">
        <f aca="false">IF($V$58&lt;&gt;1,"－",IFERROR((09_モーダル諸元!B13^2+09_モーダル諸元!B12^2)*V62,""))</f>
        <v>－</v>
      </c>
      <c r="W63" s="141" t="str">
        <f aca="false">IF($V$58&lt;&gt;1,"－",IFERROR((09_モーダル諸元!C13^2+09_モーダル諸元!C12^2)*W62,""))</f>
        <v>－</v>
      </c>
      <c r="X63" s="139" t="s">
        <v>532</v>
      </c>
      <c r="Y63" s="2"/>
      <c r="Z63" s="2"/>
      <c r="AA63" s="2"/>
      <c r="AB63" s="2"/>
      <c r="AC63" s="2"/>
      <c r="AD63" s="2"/>
      <c r="AE63" s="2"/>
      <c r="AF63" s="2"/>
    </row>
    <row r="64" customFormat="false" ht="15" hidden="false" customHeight="false" outlineLevel="0" collapsed="false">
      <c r="A64" s="95" t="str">
        <f aca="false">"実部"</f>
        <v>実部</v>
      </c>
      <c r="B64" s="88" t="str">
        <f aca="false">IF(03_FRFデータ貼付!B61="","",03_FRFデータ貼付!A61)</f>
        <v/>
      </c>
      <c r="C64" s="89" t="n">
        <f aca="false">IF(03_FRFデータ貼付!B61="",0,03_FRFデータ貼付!G61)</f>
        <v>0</v>
      </c>
      <c r="D64" s="71" t="n">
        <f aca="false">IF(03_FRFデータ貼付!C61="",0,03_FRFデータ貼付!C61)</f>
        <v>0</v>
      </c>
      <c r="E64" s="71" t="n">
        <f aca="false">IF(03_FRFデータ貼付!D61="",0,03_FRFデータ貼付!D61)</f>
        <v>0</v>
      </c>
      <c r="F64" s="118" t="n">
        <f aca="false">IF($C64=0,0,$V$4/($V$4^2+($C64-$V$5)^2))</f>
        <v>0</v>
      </c>
      <c r="G64" s="118" t="n">
        <f aca="false">IF($C64=0,0,-($C64-$V$5)/($V$4^2+($C64-$V$5)^2))</f>
        <v>0</v>
      </c>
      <c r="H64" s="118" t="n">
        <f aca="false">IF($C64=0,0,$V$4/($V$4^2+($C64+$V$5)^2))</f>
        <v>0</v>
      </c>
      <c r="I64" s="118" t="n">
        <f aca="false">IF($C64=0,0,-($C64+$V$5)/($V$4^2+($C64+$V$5)^2))</f>
        <v>0</v>
      </c>
      <c r="J64" s="118" t="n">
        <f aca="false">IF($C64=0,0,$V$6/($V$6^2+($C64-$V$7)^2))</f>
        <v>0</v>
      </c>
      <c r="K64" s="118" t="n">
        <f aca="false">IF($C64=0,0,-($C64-$V$7)/($V$6^2+($C64-$V$7)^2))</f>
        <v>0</v>
      </c>
      <c r="L64" s="118" t="n">
        <f aca="false">IF($C64=0,0,$V$6/($V$6^2+($C64+$V$7)^2))</f>
        <v>0</v>
      </c>
      <c r="M64" s="118" t="n">
        <f aca="false">IF($C64=0,0,-($C64+$V$7)/($V$6^2+($C64+$V$7)^2))</f>
        <v>0</v>
      </c>
      <c r="N64" s="118" t="n">
        <f aca="false">F64+H64</f>
        <v>0</v>
      </c>
      <c r="O64" s="118" t="n">
        <f aca="false">I64-G64</f>
        <v>0</v>
      </c>
      <c r="P64" s="118" t="n">
        <f aca="false">J64+L64</f>
        <v>0</v>
      </c>
      <c r="Q64" s="118" t="n">
        <f aca="false">M64-K64</f>
        <v>0</v>
      </c>
      <c r="R64" s="118" t="n">
        <f aca="false">IF($C64=0,0,-1/$C64^2)</f>
        <v>0</v>
      </c>
      <c r="S64" s="88" t="n">
        <f aca="false">IF($C64=0,0,1)</f>
        <v>0</v>
      </c>
      <c r="T64" s="71" t="n">
        <f aca="false">D64</f>
        <v>0</v>
      </c>
      <c r="U64" s="128" t="s">
        <v>533</v>
      </c>
      <c r="V64" s="141" t="str">
        <f aca="false">IF($V$58&lt;&gt;1,"－",IFERROR(2*09_モーダル諸元!B13*V62,""))</f>
        <v>－</v>
      </c>
      <c r="W64" s="141" t="str">
        <f aca="false">IF($V$58&lt;&gt;1,"－",IFERROR(2*09_モーダル諸元!C13*W62,""))</f>
        <v>－</v>
      </c>
      <c r="X64" s="139" t="s">
        <v>534</v>
      </c>
      <c r="Y64" s="2"/>
      <c r="Z64" s="2"/>
      <c r="AA64" s="2"/>
      <c r="AB64" s="2"/>
      <c r="AC64" s="2"/>
      <c r="AD64" s="2"/>
      <c r="AE64" s="2"/>
      <c r="AF64" s="2"/>
    </row>
    <row r="65" customFormat="false" ht="15" hidden="false" customHeight="false" outlineLevel="0" collapsed="false">
      <c r="A65" s="95" t="str">
        <f aca="false">"実部"</f>
        <v>実部</v>
      </c>
      <c r="B65" s="88" t="str">
        <f aca="false">IF(03_FRFデータ貼付!B62="","",03_FRFデータ貼付!A62)</f>
        <v/>
      </c>
      <c r="C65" s="89" t="n">
        <f aca="false">IF(03_FRFデータ貼付!B62="",0,03_FRFデータ貼付!G62)</f>
        <v>0</v>
      </c>
      <c r="D65" s="71" t="n">
        <f aca="false">IF(03_FRFデータ貼付!C62="",0,03_FRFデータ貼付!C62)</f>
        <v>0</v>
      </c>
      <c r="E65" s="71" t="n">
        <f aca="false">IF(03_FRFデータ貼付!D62="",0,03_FRFデータ貼付!D62)</f>
        <v>0</v>
      </c>
      <c r="F65" s="118" t="n">
        <f aca="false">IF($C65=0,0,$V$4/($V$4^2+($C65-$V$5)^2))</f>
        <v>0</v>
      </c>
      <c r="G65" s="118" t="n">
        <f aca="false">IF($C65=0,0,-($C65-$V$5)/($V$4^2+($C65-$V$5)^2))</f>
        <v>0</v>
      </c>
      <c r="H65" s="118" t="n">
        <f aca="false">IF($C65=0,0,$V$4/($V$4^2+($C65+$V$5)^2))</f>
        <v>0</v>
      </c>
      <c r="I65" s="118" t="n">
        <f aca="false">IF($C65=0,0,-($C65+$V$5)/($V$4^2+($C65+$V$5)^2))</f>
        <v>0</v>
      </c>
      <c r="J65" s="118" t="n">
        <f aca="false">IF($C65=0,0,$V$6/($V$6^2+($C65-$V$7)^2))</f>
        <v>0</v>
      </c>
      <c r="K65" s="118" t="n">
        <f aca="false">IF($C65=0,0,-($C65-$V$7)/($V$6^2+($C65-$V$7)^2))</f>
        <v>0</v>
      </c>
      <c r="L65" s="118" t="n">
        <f aca="false">IF($C65=0,0,$V$6/($V$6^2+($C65+$V$7)^2))</f>
        <v>0</v>
      </c>
      <c r="M65" s="118" t="n">
        <f aca="false">IF($C65=0,0,-($C65+$V$7)/($V$6^2+($C65+$V$7)^2))</f>
        <v>0</v>
      </c>
      <c r="N65" s="118" t="n">
        <f aca="false">F65+H65</f>
        <v>0</v>
      </c>
      <c r="O65" s="118" t="n">
        <f aca="false">I65-G65</f>
        <v>0</v>
      </c>
      <c r="P65" s="118" t="n">
        <f aca="false">J65+L65</f>
        <v>0</v>
      </c>
      <c r="Q65" s="118" t="n">
        <f aca="false">M65-K65</f>
        <v>0</v>
      </c>
      <c r="R65" s="118" t="n">
        <f aca="false">IF($C65=0,0,-1/$C65^2)</f>
        <v>0</v>
      </c>
      <c r="S65" s="88" t="n">
        <f aca="false">IF($C65=0,0,1)</f>
        <v>0</v>
      </c>
      <c r="T65" s="71" t="n">
        <f aca="false">D65</f>
        <v>0</v>
      </c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customFormat="false" ht="30" hidden="false" customHeight="true" outlineLevel="0" collapsed="false">
      <c r="A66" s="95" t="str">
        <f aca="false">"実部"</f>
        <v>実部</v>
      </c>
      <c r="B66" s="88" t="str">
        <f aca="false">IF(03_FRFデータ貼付!B63="","",03_FRFデータ貼付!A63)</f>
        <v/>
      </c>
      <c r="C66" s="89" t="n">
        <f aca="false">IF(03_FRFデータ貼付!B63="",0,03_FRFデータ貼付!G63)</f>
        <v>0</v>
      </c>
      <c r="D66" s="71" t="n">
        <f aca="false">IF(03_FRFデータ貼付!C63="",0,03_FRFデータ貼付!C63)</f>
        <v>0</v>
      </c>
      <c r="E66" s="71" t="n">
        <f aca="false">IF(03_FRFデータ貼付!D63="",0,03_FRFデータ貼付!D63)</f>
        <v>0</v>
      </c>
      <c r="F66" s="118" t="n">
        <f aca="false">IF($C66=0,0,$V$4/($V$4^2+($C66-$V$5)^2))</f>
        <v>0</v>
      </c>
      <c r="G66" s="118" t="n">
        <f aca="false">IF($C66=0,0,-($C66-$V$5)/($V$4^2+($C66-$V$5)^2))</f>
        <v>0</v>
      </c>
      <c r="H66" s="118" t="n">
        <f aca="false">IF($C66=0,0,$V$4/($V$4^2+($C66+$V$5)^2))</f>
        <v>0</v>
      </c>
      <c r="I66" s="118" t="n">
        <f aca="false">IF($C66=0,0,-($C66+$V$5)/($V$4^2+($C66+$V$5)^2))</f>
        <v>0</v>
      </c>
      <c r="J66" s="118" t="n">
        <f aca="false">IF($C66=0,0,$V$6/($V$6^2+($C66-$V$7)^2))</f>
        <v>0</v>
      </c>
      <c r="K66" s="118" t="n">
        <f aca="false">IF($C66=0,0,-($C66-$V$7)/($V$6^2+($C66-$V$7)^2))</f>
        <v>0</v>
      </c>
      <c r="L66" s="118" t="n">
        <f aca="false">IF($C66=0,0,$V$6/($V$6^2+($C66+$V$7)^2))</f>
        <v>0</v>
      </c>
      <c r="M66" s="118" t="n">
        <f aca="false">IF($C66=0,0,-($C66+$V$7)/($V$6^2+($C66+$V$7)^2))</f>
        <v>0</v>
      </c>
      <c r="N66" s="118" t="n">
        <f aca="false">F66+H66</f>
        <v>0</v>
      </c>
      <c r="O66" s="118" t="n">
        <f aca="false">I66-G66</f>
        <v>0</v>
      </c>
      <c r="P66" s="118" t="n">
        <f aca="false">J66+L66</f>
        <v>0</v>
      </c>
      <c r="Q66" s="118" t="n">
        <f aca="false">M66-K66</f>
        <v>0</v>
      </c>
      <c r="R66" s="118" t="n">
        <f aca="false">IF($C66=0,0,-1/$C66^2)</f>
        <v>0</v>
      </c>
      <c r="S66" s="88" t="n">
        <f aca="false">IF($C66=0,0,1)</f>
        <v>0</v>
      </c>
      <c r="T66" s="71" t="n">
        <f aca="false">D66</f>
        <v>0</v>
      </c>
      <c r="U66" s="142" t="s">
        <v>535</v>
      </c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customFormat="false" ht="15" hidden="false" customHeight="false" outlineLevel="0" collapsed="false">
      <c r="A67" s="95" t="str">
        <f aca="false">"実部"</f>
        <v>実部</v>
      </c>
      <c r="B67" s="88" t="str">
        <f aca="false">IF(03_FRFデータ貼付!B64="","",03_FRFデータ貼付!A64)</f>
        <v/>
      </c>
      <c r="C67" s="89" t="n">
        <f aca="false">IF(03_FRFデータ貼付!B64="",0,03_FRFデータ貼付!G64)</f>
        <v>0</v>
      </c>
      <c r="D67" s="71" t="n">
        <f aca="false">IF(03_FRFデータ貼付!C64="",0,03_FRFデータ貼付!C64)</f>
        <v>0</v>
      </c>
      <c r="E67" s="71" t="n">
        <f aca="false">IF(03_FRFデータ貼付!D64="",0,03_FRFデータ貼付!D64)</f>
        <v>0</v>
      </c>
      <c r="F67" s="118" t="n">
        <f aca="false">IF($C67=0,0,$V$4/($V$4^2+($C67-$V$5)^2))</f>
        <v>0</v>
      </c>
      <c r="G67" s="118" t="n">
        <f aca="false">IF($C67=0,0,-($C67-$V$5)/($V$4^2+($C67-$V$5)^2))</f>
        <v>0</v>
      </c>
      <c r="H67" s="118" t="n">
        <f aca="false">IF($C67=0,0,$V$4/($V$4^2+($C67+$V$5)^2))</f>
        <v>0</v>
      </c>
      <c r="I67" s="118" t="n">
        <f aca="false">IF($C67=0,0,-($C67+$V$5)/($V$4^2+($C67+$V$5)^2))</f>
        <v>0</v>
      </c>
      <c r="J67" s="118" t="n">
        <f aca="false">IF($C67=0,0,$V$6/($V$6^2+($C67-$V$7)^2))</f>
        <v>0</v>
      </c>
      <c r="K67" s="118" t="n">
        <f aca="false">IF($C67=0,0,-($C67-$V$7)/($V$6^2+($C67-$V$7)^2))</f>
        <v>0</v>
      </c>
      <c r="L67" s="118" t="n">
        <f aca="false">IF($C67=0,0,$V$6/($V$6^2+($C67+$V$7)^2))</f>
        <v>0</v>
      </c>
      <c r="M67" s="118" t="n">
        <f aca="false">IF($C67=0,0,-($C67+$V$7)/($V$6^2+($C67+$V$7)^2))</f>
        <v>0</v>
      </c>
      <c r="N67" s="118" t="n">
        <f aca="false">F67+H67</f>
        <v>0</v>
      </c>
      <c r="O67" s="118" t="n">
        <f aca="false">I67-G67</f>
        <v>0</v>
      </c>
      <c r="P67" s="118" t="n">
        <f aca="false">J67+L67</f>
        <v>0</v>
      </c>
      <c r="Q67" s="118" t="n">
        <f aca="false">M67-K67</f>
        <v>0</v>
      </c>
      <c r="R67" s="118" t="n">
        <f aca="false">IF($C67=0,0,-1/$C67^2)</f>
        <v>0</v>
      </c>
      <c r="S67" s="88" t="n">
        <f aca="false">IF($C67=0,0,1)</f>
        <v>0</v>
      </c>
      <c r="T67" s="71" t="n">
        <f aca="false">D67</f>
        <v>0</v>
      </c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customFormat="false" ht="15" hidden="false" customHeight="false" outlineLevel="0" collapsed="false">
      <c r="A68" s="95" t="str">
        <f aca="false">"実部"</f>
        <v>実部</v>
      </c>
      <c r="B68" s="88" t="str">
        <f aca="false">IF(03_FRFデータ貼付!B65="","",03_FRFデータ貼付!A65)</f>
        <v/>
      </c>
      <c r="C68" s="89" t="n">
        <f aca="false">IF(03_FRFデータ貼付!B65="",0,03_FRFデータ貼付!G65)</f>
        <v>0</v>
      </c>
      <c r="D68" s="71" t="n">
        <f aca="false">IF(03_FRFデータ貼付!C65="",0,03_FRFデータ貼付!C65)</f>
        <v>0</v>
      </c>
      <c r="E68" s="71" t="n">
        <f aca="false">IF(03_FRFデータ貼付!D65="",0,03_FRFデータ貼付!D65)</f>
        <v>0</v>
      </c>
      <c r="F68" s="118" t="n">
        <f aca="false">IF($C68=0,0,$V$4/($V$4^2+($C68-$V$5)^2))</f>
        <v>0</v>
      </c>
      <c r="G68" s="118" t="n">
        <f aca="false">IF($C68=0,0,-($C68-$V$5)/($V$4^2+($C68-$V$5)^2))</f>
        <v>0</v>
      </c>
      <c r="H68" s="118" t="n">
        <f aca="false">IF($C68=0,0,$V$4/($V$4^2+($C68+$V$5)^2))</f>
        <v>0</v>
      </c>
      <c r="I68" s="118" t="n">
        <f aca="false">IF($C68=0,0,-($C68+$V$5)/($V$4^2+($C68+$V$5)^2))</f>
        <v>0</v>
      </c>
      <c r="J68" s="118" t="n">
        <f aca="false">IF($C68=0,0,$V$6/($V$6^2+($C68-$V$7)^2))</f>
        <v>0</v>
      </c>
      <c r="K68" s="118" t="n">
        <f aca="false">IF($C68=0,0,-($C68-$V$7)/($V$6^2+($C68-$V$7)^2))</f>
        <v>0</v>
      </c>
      <c r="L68" s="118" t="n">
        <f aca="false">IF($C68=0,0,$V$6/($V$6^2+($C68+$V$7)^2))</f>
        <v>0</v>
      </c>
      <c r="M68" s="118" t="n">
        <f aca="false">IF($C68=0,0,-($C68+$V$7)/($V$6^2+($C68+$V$7)^2))</f>
        <v>0</v>
      </c>
      <c r="N68" s="118" t="n">
        <f aca="false">F68+H68</f>
        <v>0</v>
      </c>
      <c r="O68" s="118" t="n">
        <f aca="false">I68-G68</f>
        <v>0</v>
      </c>
      <c r="P68" s="118" t="n">
        <f aca="false">J68+L68</f>
        <v>0</v>
      </c>
      <c r="Q68" s="118" t="n">
        <f aca="false">M68-K68</f>
        <v>0</v>
      </c>
      <c r="R68" s="118" t="n">
        <f aca="false">IF($C68=0,0,-1/$C68^2)</f>
        <v>0</v>
      </c>
      <c r="S68" s="88" t="n">
        <f aca="false">IF($C68=0,0,1)</f>
        <v>0</v>
      </c>
      <c r="T68" s="71" t="n">
        <f aca="false">D68</f>
        <v>0</v>
      </c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customFormat="false" ht="15" hidden="false" customHeight="false" outlineLevel="0" collapsed="false">
      <c r="A69" s="95" t="str">
        <f aca="false">"実部"</f>
        <v>実部</v>
      </c>
      <c r="B69" s="88" t="str">
        <f aca="false">IF(03_FRFデータ貼付!B66="","",03_FRFデータ貼付!A66)</f>
        <v/>
      </c>
      <c r="C69" s="89" t="n">
        <f aca="false">IF(03_FRFデータ貼付!B66="",0,03_FRFデータ貼付!G66)</f>
        <v>0</v>
      </c>
      <c r="D69" s="71" t="n">
        <f aca="false">IF(03_FRFデータ貼付!C66="",0,03_FRFデータ貼付!C66)</f>
        <v>0</v>
      </c>
      <c r="E69" s="71" t="n">
        <f aca="false">IF(03_FRFデータ貼付!D66="",0,03_FRFデータ貼付!D66)</f>
        <v>0</v>
      </c>
      <c r="F69" s="118" t="n">
        <f aca="false">IF($C69=0,0,$V$4/($V$4^2+($C69-$V$5)^2))</f>
        <v>0</v>
      </c>
      <c r="G69" s="118" t="n">
        <f aca="false">IF($C69=0,0,-($C69-$V$5)/($V$4^2+($C69-$V$5)^2))</f>
        <v>0</v>
      </c>
      <c r="H69" s="118" t="n">
        <f aca="false">IF($C69=0,0,$V$4/($V$4^2+($C69+$V$5)^2))</f>
        <v>0</v>
      </c>
      <c r="I69" s="118" t="n">
        <f aca="false">IF($C69=0,0,-($C69+$V$5)/($V$4^2+($C69+$V$5)^2))</f>
        <v>0</v>
      </c>
      <c r="J69" s="118" t="n">
        <f aca="false">IF($C69=0,0,$V$6/($V$6^2+($C69-$V$7)^2))</f>
        <v>0</v>
      </c>
      <c r="K69" s="118" t="n">
        <f aca="false">IF($C69=0,0,-($C69-$V$7)/($V$6^2+($C69-$V$7)^2))</f>
        <v>0</v>
      </c>
      <c r="L69" s="118" t="n">
        <f aca="false">IF($C69=0,0,$V$6/($V$6^2+($C69+$V$7)^2))</f>
        <v>0</v>
      </c>
      <c r="M69" s="118" t="n">
        <f aca="false">IF($C69=0,0,-($C69+$V$7)/($V$6^2+($C69+$V$7)^2))</f>
        <v>0</v>
      </c>
      <c r="N69" s="118" t="n">
        <f aca="false">F69+H69</f>
        <v>0</v>
      </c>
      <c r="O69" s="118" t="n">
        <f aca="false">I69-G69</f>
        <v>0</v>
      </c>
      <c r="P69" s="118" t="n">
        <f aca="false">J69+L69</f>
        <v>0</v>
      </c>
      <c r="Q69" s="118" t="n">
        <f aca="false">M69-K69</f>
        <v>0</v>
      </c>
      <c r="R69" s="118" t="n">
        <f aca="false">IF($C69=0,0,-1/$C69^2)</f>
        <v>0</v>
      </c>
      <c r="S69" s="88" t="n">
        <f aca="false">IF($C69=0,0,1)</f>
        <v>0</v>
      </c>
      <c r="T69" s="71" t="n">
        <f aca="false">D69</f>
        <v>0</v>
      </c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customFormat="false" ht="15" hidden="false" customHeight="false" outlineLevel="0" collapsed="false">
      <c r="A70" s="95" t="str">
        <f aca="false">"実部"</f>
        <v>実部</v>
      </c>
      <c r="B70" s="88" t="str">
        <f aca="false">IF(03_FRFデータ貼付!B67="","",03_FRFデータ貼付!A67)</f>
        <v/>
      </c>
      <c r="C70" s="89" t="n">
        <f aca="false">IF(03_FRFデータ貼付!B67="",0,03_FRFデータ貼付!G67)</f>
        <v>0</v>
      </c>
      <c r="D70" s="71" t="n">
        <f aca="false">IF(03_FRFデータ貼付!C67="",0,03_FRFデータ貼付!C67)</f>
        <v>0</v>
      </c>
      <c r="E70" s="71" t="n">
        <f aca="false">IF(03_FRFデータ貼付!D67="",0,03_FRFデータ貼付!D67)</f>
        <v>0</v>
      </c>
      <c r="F70" s="118" t="n">
        <f aca="false">IF($C70=0,0,$V$4/($V$4^2+($C70-$V$5)^2))</f>
        <v>0</v>
      </c>
      <c r="G70" s="118" t="n">
        <f aca="false">IF($C70=0,0,-($C70-$V$5)/($V$4^2+($C70-$V$5)^2))</f>
        <v>0</v>
      </c>
      <c r="H70" s="118" t="n">
        <f aca="false">IF($C70=0,0,$V$4/($V$4^2+($C70+$V$5)^2))</f>
        <v>0</v>
      </c>
      <c r="I70" s="118" t="n">
        <f aca="false">IF($C70=0,0,-($C70+$V$5)/($V$4^2+($C70+$V$5)^2))</f>
        <v>0</v>
      </c>
      <c r="J70" s="118" t="n">
        <f aca="false">IF($C70=0,0,$V$6/($V$6^2+($C70-$V$7)^2))</f>
        <v>0</v>
      </c>
      <c r="K70" s="118" t="n">
        <f aca="false">IF($C70=0,0,-($C70-$V$7)/($V$6^2+($C70-$V$7)^2))</f>
        <v>0</v>
      </c>
      <c r="L70" s="118" t="n">
        <f aca="false">IF($C70=0,0,$V$6/($V$6^2+($C70+$V$7)^2))</f>
        <v>0</v>
      </c>
      <c r="M70" s="118" t="n">
        <f aca="false">IF($C70=0,0,-($C70+$V$7)/($V$6^2+($C70+$V$7)^2))</f>
        <v>0</v>
      </c>
      <c r="N70" s="118" t="n">
        <f aca="false">F70+H70</f>
        <v>0</v>
      </c>
      <c r="O70" s="118" t="n">
        <f aca="false">I70-G70</f>
        <v>0</v>
      </c>
      <c r="P70" s="118" t="n">
        <f aca="false">J70+L70</f>
        <v>0</v>
      </c>
      <c r="Q70" s="118" t="n">
        <f aca="false">M70-K70</f>
        <v>0</v>
      </c>
      <c r="R70" s="118" t="n">
        <f aca="false">IF($C70=0,0,-1/$C70^2)</f>
        <v>0</v>
      </c>
      <c r="S70" s="88" t="n">
        <f aca="false">IF($C70=0,0,1)</f>
        <v>0</v>
      </c>
      <c r="T70" s="71" t="n">
        <f aca="false">D70</f>
        <v>0</v>
      </c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customFormat="false" ht="15" hidden="false" customHeight="false" outlineLevel="0" collapsed="false">
      <c r="A71" s="95" t="str">
        <f aca="false">"実部"</f>
        <v>実部</v>
      </c>
      <c r="B71" s="88" t="str">
        <f aca="false">IF(03_FRFデータ貼付!B68="","",03_FRFデータ貼付!A68)</f>
        <v/>
      </c>
      <c r="C71" s="89" t="n">
        <f aca="false">IF(03_FRFデータ貼付!B68="",0,03_FRFデータ貼付!G68)</f>
        <v>0</v>
      </c>
      <c r="D71" s="71" t="n">
        <f aca="false">IF(03_FRFデータ貼付!C68="",0,03_FRFデータ貼付!C68)</f>
        <v>0</v>
      </c>
      <c r="E71" s="71" t="n">
        <f aca="false">IF(03_FRFデータ貼付!D68="",0,03_FRFデータ貼付!D68)</f>
        <v>0</v>
      </c>
      <c r="F71" s="118" t="n">
        <f aca="false">IF($C71=0,0,$V$4/($V$4^2+($C71-$V$5)^2))</f>
        <v>0</v>
      </c>
      <c r="G71" s="118" t="n">
        <f aca="false">IF($C71=0,0,-($C71-$V$5)/($V$4^2+($C71-$V$5)^2))</f>
        <v>0</v>
      </c>
      <c r="H71" s="118" t="n">
        <f aca="false">IF($C71=0,0,$V$4/($V$4^2+($C71+$V$5)^2))</f>
        <v>0</v>
      </c>
      <c r="I71" s="118" t="n">
        <f aca="false">IF($C71=0,0,-($C71+$V$5)/($V$4^2+($C71+$V$5)^2))</f>
        <v>0</v>
      </c>
      <c r="J71" s="118" t="n">
        <f aca="false">IF($C71=0,0,$V$6/($V$6^2+($C71-$V$7)^2))</f>
        <v>0</v>
      </c>
      <c r="K71" s="118" t="n">
        <f aca="false">IF($C71=0,0,-($C71-$V$7)/($V$6^2+($C71-$V$7)^2))</f>
        <v>0</v>
      </c>
      <c r="L71" s="118" t="n">
        <f aca="false">IF($C71=0,0,$V$6/($V$6^2+($C71+$V$7)^2))</f>
        <v>0</v>
      </c>
      <c r="M71" s="118" t="n">
        <f aca="false">IF($C71=0,0,-($C71+$V$7)/($V$6^2+($C71+$V$7)^2))</f>
        <v>0</v>
      </c>
      <c r="N71" s="118" t="n">
        <f aca="false">F71+H71</f>
        <v>0</v>
      </c>
      <c r="O71" s="118" t="n">
        <f aca="false">I71-G71</f>
        <v>0</v>
      </c>
      <c r="P71" s="118" t="n">
        <f aca="false">J71+L71</f>
        <v>0</v>
      </c>
      <c r="Q71" s="118" t="n">
        <f aca="false">M71-K71</f>
        <v>0</v>
      </c>
      <c r="R71" s="118" t="n">
        <f aca="false">IF($C71=0,0,-1/$C71^2)</f>
        <v>0</v>
      </c>
      <c r="S71" s="88" t="n">
        <f aca="false">IF($C71=0,0,1)</f>
        <v>0</v>
      </c>
      <c r="T71" s="71" t="n">
        <f aca="false">D71</f>
        <v>0</v>
      </c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customFormat="false" ht="15" hidden="false" customHeight="false" outlineLevel="0" collapsed="false">
      <c r="A72" s="95" t="str">
        <f aca="false">"実部"</f>
        <v>実部</v>
      </c>
      <c r="B72" s="88" t="str">
        <f aca="false">IF(03_FRFデータ貼付!B69="","",03_FRFデータ貼付!A69)</f>
        <v/>
      </c>
      <c r="C72" s="89" t="n">
        <f aca="false">IF(03_FRFデータ貼付!B69="",0,03_FRFデータ貼付!G69)</f>
        <v>0</v>
      </c>
      <c r="D72" s="71" t="n">
        <f aca="false">IF(03_FRFデータ貼付!C69="",0,03_FRFデータ貼付!C69)</f>
        <v>0</v>
      </c>
      <c r="E72" s="71" t="n">
        <f aca="false">IF(03_FRFデータ貼付!D69="",0,03_FRFデータ貼付!D69)</f>
        <v>0</v>
      </c>
      <c r="F72" s="118" t="n">
        <f aca="false">IF($C72=0,0,$V$4/($V$4^2+($C72-$V$5)^2))</f>
        <v>0</v>
      </c>
      <c r="G72" s="118" t="n">
        <f aca="false">IF($C72=0,0,-($C72-$V$5)/($V$4^2+($C72-$V$5)^2))</f>
        <v>0</v>
      </c>
      <c r="H72" s="118" t="n">
        <f aca="false">IF($C72=0,0,$V$4/($V$4^2+($C72+$V$5)^2))</f>
        <v>0</v>
      </c>
      <c r="I72" s="118" t="n">
        <f aca="false">IF($C72=0,0,-($C72+$V$5)/($V$4^2+($C72+$V$5)^2))</f>
        <v>0</v>
      </c>
      <c r="J72" s="118" t="n">
        <f aca="false">IF($C72=0,0,$V$6/($V$6^2+($C72-$V$7)^2))</f>
        <v>0</v>
      </c>
      <c r="K72" s="118" t="n">
        <f aca="false">IF($C72=0,0,-($C72-$V$7)/($V$6^2+($C72-$V$7)^2))</f>
        <v>0</v>
      </c>
      <c r="L72" s="118" t="n">
        <f aca="false">IF($C72=0,0,$V$6/($V$6^2+($C72+$V$7)^2))</f>
        <v>0</v>
      </c>
      <c r="M72" s="118" t="n">
        <f aca="false">IF($C72=0,0,-($C72+$V$7)/($V$6^2+($C72+$V$7)^2))</f>
        <v>0</v>
      </c>
      <c r="N72" s="118" t="n">
        <f aca="false">F72+H72</f>
        <v>0</v>
      </c>
      <c r="O72" s="118" t="n">
        <f aca="false">I72-G72</f>
        <v>0</v>
      </c>
      <c r="P72" s="118" t="n">
        <f aca="false">J72+L72</f>
        <v>0</v>
      </c>
      <c r="Q72" s="118" t="n">
        <f aca="false">M72-K72</f>
        <v>0</v>
      </c>
      <c r="R72" s="118" t="n">
        <f aca="false">IF($C72=0,0,-1/$C72^2)</f>
        <v>0</v>
      </c>
      <c r="S72" s="88" t="n">
        <f aca="false">IF($C72=0,0,1)</f>
        <v>0</v>
      </c>
      <c r="T72" s="71" t="n">
        <f aca="false">D72</f>
        <v>0</v>
      </c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customFormat="false" ht="15" hidden="false" customHeight="false" outlineLevel="0" collapsed="false">
      <c r="A73" s="95" t="str">
        <f aca="false">"実部"</f>
        <v>実部</v>
      </c>
      <c r="B73" s="88" t="str">
        <f aca="false">IF(03_FRFデータ貼付!B70="","",03_FRFデータ貼付!A70)</f>
        <v/>
      </c>
      <c r="C73" s="89" t="n">
        <f aca="false">IF(03_FRFデータ貼付!B70="",0,03_FRFデータ貼付!G70)</f>
        <v>0</v>
      </c>
      <c r="D73" s="71" t="n">
        <f aca="false">IF(03_FRFデータ貼付!C70="",0,03_FRFデータ貼付!C70)</f>
        <v>0</v>
      </c>
      <c r="E73" s="71" t="n">
        <f aca="false">IF(03_FRFデータ貼付!D70="",0,03_FRFデータ貼付!D70)</f>
        <v>0</v>
      </c>
      <c r="F73" s="118" t="n">
        <f aca="false">IF($C73=0,0,$V$4/($V$4^2+($C73-$V$5)^2))</f>
        <v>0</v>
      </c>
      <c r="G73" s="118" t="n">
        <f aca="false">IF($C73=0,0,-($C73-$V$5)/($V$4^2+($C73-$V$5)^2))</f>
        <v>0</v>
      </c>
      <c r="H73" s="118" t="n">
        <f aca="false">IF($C73=0,0,$V$4/($V$4^2+($C73+$V$5)^2))</f>
        <v>0</v>
      </c>
      <c r="I73" s="118" t="n">
        <f aca="false">IF($C73=0,0,-($C73+$V$5)/($V$4^2+($C73+$V$5)^2))</f>
        <v>0</v>
      </c>
      <c r="J73" s="118" t="n">
        <f aca="false">IF($C73=0,0,$V$6/($V$6^2+($C73-$V$7)^2))</f>
        <v>0</v>
      </c>
      <c r="K73" s="118" t="n">
        <f aca="false">IF($C73=0,0,-($C73-$V$7)/($V$6^2+($C73-$V$7)^2))</f>
        <v>0</v>
      </c>
      <c r="L73" s="118" t="n">
        <f aca="false">IF($C73=0,0,$V$6/($V$6^2+($C73+$V$7)^2))</f>
        <v>0</v>
      </c>
      <c r="M73" s="118" t="n">
        <f aca="false">IF($C73=0,0,-($C73+$V$7)/($V$6^2+($C73+$V$7)^2))</f>
        <v>0</v>
      </c>
      <c r="N73" s="118" t="n">
        <f aca="false">F73+H73</f>
        <v>0</v>
      </c>
      <c r="O73" s="118" t="n">
        <f aca="false">I73-G73</f>
        <v>0</v>
      </c>
      <c r="P73" s="118" t="n">
        <f aca="false">J73+L73</f>
        <v>0</v>
      </c>
      <c r="Q73" s="118" t="n">
        <f aca="false">M73-K73</f>
        <v>0</v>
      </c>
      <c r="R73" s="118" t="n">
        <f aca="false">IF($C73=0,0,-1/$C73^2)</f>
        <v>0</v>
      </c>
      <c r="S73" s="88" t="n">
        <f aca="false">IF($C73=0,0,1)</f>
        <v>0</v>
      </c>
      <c r="T73" s="71" t="n">
        <f aca="false">D73</f>
        <v>0</v>
      </c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customFormat="false" ht="15" hidden="false" customHeight="false" outlineLevel="0" collapsed="false">
      <c r="A74" s="95" t="str">
        <f aca="false">"実部"</f>
        <v>実部</v>
      </c>
      <c r="B74" s="88" t="str">
        <f aca="false">IF(03_FRFデータ貼付!B71="","",03_FRFデータ貼付!A71)</f>
        <v/>
      </c>
      <c r="C74" s="89" t="n">
        <f aca="false">IF(03_FRFデータ貼付!B71="",0,03_FRFデータ貼付!G71)</f>
        <v>0</v>
      </c>
      <c r="D74" s="71" t="n">
        <f aca="false">IF(03_FRFデータ貼付!C71="",0,03_FRFデータ貼付!C71)</f>
        <v>0</v>
      </c>
      <c r="E74" s="71" t="n">
        <f aca="false">IF(03_FRFデータ貼付!D71="",0,03_FRFデータ貼付!D71)</f>
        <v>0</v>
      </c>
      <c r="F74" s="118" t="n">
        <f aca="false">IF($C74=0,0,$V$4/($V$4^2+($C74-$V$5)^2))</f>
        <v>0</v>
      </c>
      <c r="G74" s="118" t="n">
        <f aca="false">IF($C74=0,0,-($C74-$V$5)/($V$4^2+($C74-$V$5)^2))</f>
        <v>0</v>
      </c>
      <c r="H74" s="118" t="n">
        <f aca="false">IF($C74=0,0,$V$4/($V$4^2+($C74+$V$5)^2))</f>
        <v>0</v>
      </c>
      <c r="I74" s="118" t="n">
        <f aca="false">IF($C74=0,0,-($C74+$V$5)/($V$4^2+($C74+$V$5)^2))</f>
        <v>0</v>
      </c>
      <c r="J74" s="118" t="n">
        <f aca="false">IF($C74=0,0,$V$6/($V$6^2+($C74-$V$7)^2))</f>
        <v>0</v>
      </c>
      <c r="K74" s="118" t="n">
        <f aca="false">IF($C74=0,0,-($C74-$V$7)/($V$6^2+($C74-$V$7)^2))</f>
        <v>0</v>
      </c>
      <c r="L74" s="118" t="n">
        <f aca="false">IF($C74=0,0,$V$6/($V$6^2+($C74+$V$7)^2))</f>
        <v>0</v>
      </c>
      <c r="M74" s="118" t="n">
        <f aca="false">IF($C74=0,0,-($C74+$V$7)/($V$6^2+($C74+$V$7)^2))</f>
        <v>0</v>
      </c>
      <c r="N74" s="118" t="n">
        <f aca="false">F74+H74</f>
        <v>0</v>
      </c>
      <c r="O74" s="118" t="n">
        <f aca="false">I74-G74</f>
        <v>0</v>
      </c>
      <c r="P74" s="118" t="n">
        <f aca="false">J74+L74</f>
        <v>0</v>
      </c>
      <c r="Q74" s="118" t="n">
        <f aca="false">M74-K74</f>
        <v>0</v>
      </c>
      <c r="R74" s="118" t="n">
        <f aca="false">IF($C74=0,0,-1/$C74^2)</f>
        <v>0</v>
      </c>
      <c r="S74" s="88" t="n">
        <f aca="false">IF($C74=0,0,1)</f>
        <v>0</v>
      </c>
      <c r="T74" s="71" t="n">
        <f aca="false">D74</f>
        <v>0</v>
      </c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customFormat="false" ht="15" hidden="false" customHeight="false" outlineLevel="0" collapsed="false">
      <c r="A75" s="95" t="str">
        <f aca="false">"実部"</f>
        <v>実部</v>
      </c>
      <c r="B75" s="88" t="str">
        <f aca="false">IF(03_FRFデータ貼付!B72="","",03_FRFデータ貼付!A72)</f>
        <v/>
      </c>
      <c r="C75" s="89" t="n">
        <f aca="false">IF(03_FRFデータ貼付!B72="",0,03_FRFデータ貼付!G72)</f>
        <v>0</v>
      </c>
      <c r="D75" s="71" t="n">
        <f aca="false">IF(03_FRFデータ貼付!C72="",0,03_FRFデータ貼付!C72)</f>
        <v>0</v>
      </c>
      <c r="E75" s="71" t="n">
        <f aca="false">IF(03_FRFデータ貼付!D72="",0,03_FRFデータ貼付!D72)</f>
        <v>0</v>
      </c>
      <c r="F75" s="118" t="n">
        <f aca="false">IF($C75=0,0,$V$4/($V$4^2+($C75-$V$5)^2))</f>
        <v>0</v>
      </c>
      <c r="G75" s="118" t="n">
        <f aca="false">IF($C75=0,0,-($C75-$V$5)/($V$4^2+($C75-$V$5)^2))</f>
        <v>0</v>
      </c>
      <c r="H75" s="118" t="n">
        <f aca="false">IF($C75=0,0,$V$4/($V$4^2+($C75+$V$5)^2))</f>
        <v>0</v>
      </c>
      <c r="I75" s="118" t="n">
        <f aca="false">IF($C75=0,0,-($C75+$V$5)/($V$4^2+($C75+$V$5)^2))</f>
        <v>0</v>
      </c>
      <c r="J75" s="118" t="n">
        <f aca="false">IF($C75=0,0,$V$6/($V$6^2+($C75-$V$7)^2))</f>
        <v>0</v>
      </c>
      <c r="K75" s="118" t="n">
        <f aca="false">IF($C75=0,0,-($C75-$V$7)/($V$6^2+($C75-$V$7)^2))</f>
        <v>0</v>
      </c>
      <c r="L75" s="118" t="n">
        <f aca="false">IF($C75=0,0,$V$6/($V$6^2+($C75+$V$7)^2))</f>
        <v>0</v>
      </c>
      <c r="M75" s="118" t="n">
        <f aca="false">IF($C75=0,0,-($C75+$V$7)/($V$6^2+($C75+$V$7)^2))</f>
        <v>0</v>
      </c>
      <c r="N75" s="118" t="n">
        <f aca="false">F75+H75</f>
        <v>0</v>
      </c>
      <c r="O75" s="118" t="n">
        <f aca="false">I75-G75</f>
        <v>0</v>
      </c>
      <c r="P75" s="118" t="n">
        <f aca="false">J75+L75</f>
        <v>0</v>
      </c>
      <c r="Q75" s="118" t="n">
        <f aca="false">M75-K75</f>
        <v>0</v>
      </c>
      <c r="R75" s="118" t="n">
        <f aca="false">IF($C75=0,0,-1/$C75^2)</f>
        <v>0</v>
      </c>
      <c r="S75" s="88" t="n">
        <f aca="false">IF($C75=0,0,1)</f>
        <v>0</v>
      </c>
      <c r="T75" s="71" t="n">
        <f aca="false">D75</f>
        <v>0</v>
      </c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customFormat="false" ht="15" hidden="false" customHeight="false" outlineLevel="0" collapsed="false">
      <c r="A76" s="95" t="str">
        <f aca="false">"実部"</f>
        <v>実部</v>
      </c>
      <c r="B76" s="88" t="str">
        <f aca="false">IF(03_FRFデータ貼付!B73="","",03_FRFデータ貼付!A73)</f>
        <v/>
      </c>
      <c r="C76" s="89" t="n">
        <f aca="false">IF(03_FRFデータ貼付!B73="",0,03_FRFデータ貼付!G73)</f>
        <v>0</v>
      </c>
      <c r="D76" s="71" t="n">
        <f aca="false">IF(03_FRFデータ貼付!C73="",0,03_FRFデータ貼付!C73)</f>
        <v>0</v>
      </c>
      <c r="E76" s="71" t="n">
        <f aca="false">IF(03_FRFデータ貼付!D73="",0,03_FRFデータ貼付!D73)</f>
        <v>0</v>
      </c>
      <c r="F76" s="118" t="n">
        <f aca="false">IF($C76=0,0,$V$4/($V$4^2+($C76-$V$5)^2))</f>
        <v>0</v>
      </c>
      <c r="G76" s="118" t="n">
        <f aca="false">IF($C76=0,0,-($C76-$V$5)/($V$4^2+($C76-$V$5)^2))</f>
        <v>0</v>
      </c>
      <c r="H76" s="118" t="n">
        <f aca="false">IF($C76=0,0,$V$4/($V$4^2+($C76+$V$5)^2))</f>
        <v>0</v>
      </c>
      <c r="I76" s="118" t="n">
        <f aca="false">IF($C76=0,0,-($C76+$V$5)/($V$4^2+($C76+$V$5)^2))</f>
        <v>0</v>
      </c>
      <c r="J76" s="118" t="n">
        <f aca="false">IF($C76=0,0,$V$6/($V$6^2+($C76-$V$7)^2))</f>
        <v>0</v>
      </c>
      <c r="K76" s="118" t="n">
        <f aca="false">IF($C76=0,0,-($C76-$V$7)/($V$6^2+($C76-$V$7)^2))</f>
        <v>0</v>
      </c>
      <c r="L76" s="118" t="n">
        <f aca="false">IF($C76=0,0,$V$6/($V$6^2+($C76+$V$7)^2))</f>
        <v>0</v>
      </c>
      <c r="M76" s="118" t="n">
        <f aca="false">IF($C76=0,0,-($C76+$V$7)/($V$6^2+($C76+$V$7)^2))</f>
        <v>0</v>
      </c>
      <c r="N76" s="118" t="n">
        <f aca="false">F76+H76</f>
        <v>0</v>
      </c>
      <c r="O76" s="118" t="n">
        <f aca="false">I76-G76</f>
        <v>0</v>
      </c>
      <c r="P76" s="118" t="n">
        <f aca="false">J76+L76</f>
        <v>0</v>
      </c>
      <c r="Q76" s="118" t="n">
        <f aca="false">M76-K76</f>
        <v>0</v>
      </c>
      <c r="R76" s="118" t="n">
        <f aca="false">IF($C76=0,0,-1/$C76^2)</f>
        <v>0</v>
      </c>
      <c r="S76" s="88" t="n">
        <f aca="false">IF($C76=0,0,1)</f>
        <v>0</v>
      </c>
      <c r="T76" s="71" t="n">
        <f aca="false">D76</f>
        <v>0</v>
      </c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customFormat="false" ht="15" hidden="false" customHeight="false" outlineLevel="0" collapsed="false">
      <c r="A77" s="95" t="str">
        <f aca="false">"実部"</f>
        <v>実部</v>
      </c>
      <c r="B77" s="88" t="str">
        <f aca="false">IF(03_FRFデータ貼付!B74="","",03_FRFデータ貼付!A74)</f>
        <v/>
      </c>
      <c r="C77" s="89" t="n">
        <f aca="false">IF(03_FRFデータ貼付!B74="",0,03_FRFデータ貼付!G74)</f>
        <v>0</v>
      </c>
      <c r="D77" s="71" t="n">
        <f aca="false">IF(03_FRFデータ貼付!C74="",0,03_FRFデータ貼付!C74)</f>
        <v>0</v>
      </c>
      <c r="E77" s="71" t="n">
        <f aca="false">IF(03_FRFデータ貼付!D74="",0,03_FRFデータ貼付!D74)</f>
        <v>0</v>
      </c>
      <c r="F77" s="118" t="n">
        <f aca="false">IF($C77=0,0,$V$4/($V$4^2+($C77-$V$5)^2))</f>
        <v>0</v>
      </c>
      <c r="G77" s="118" t="n">
        <f aca="false">IF($C77=0,0,-($C77-$V$5)/($V$4^2+($C77-$V$5)^2))</f>
        <v>0</v>
      </c>
      <c r="H77" s="118" t="n">
        <f aca="false">IF($C77=0,0,$V$4/($V$4^2+($C77+$V$5)^2))</f>
        <v>0</v>
      </c>
      <c r="I77" s="118" t="n">
        <f aca="false">IF($C77=0,0,-($C77+$V$5)/($V$4^2+($C77+$V$5)^2))</f>
        <v>0</v>
      </c>
      <c r="J77" s="118" t="n">
        <f aca="false">IF($C77=0,0,$V$6/($V$6^2+($C77-$V$7)^2))</f>
        <v>0</v>
      </c>
      <c r="K77" s="118" t="n">
        <f aca="false">IF($C77=0,0,-($C77-$V$7)/($V$6^2+($C77-$V$7)^2))</f>
        <v>0</v>
      </c>
      <c r="L77" s="118" t="n">
        <f aca="false">IF($C77=0,0,$V$6/($V$6^2+($C77+$V$7)^2))</f>
        <v>0</v>
      </c>
      <c r="M77" s="118" t="n">
        <f aca="false">IF($C77=0,0,-($C77+$V$7)/($V$6^2+($C77+$V$7)^2))</f>
        <v>0</v>
      </c>
      <c r="N77" s="118" t="n">
        <f aca="false">F77+H77</f>
        <v>0</v>
      </c>
      <c r="O77" s="118" t="n">
        <f aca="false">I77-G77</f>
        <v>0</v>
      </c>
      <c r="P77" s="118" t="n">
        <f aca="false">J77+L77</f>
        <v>0</v>
      </c>
      <c r="Q77" s="118" t="n">
        <f aca="false">M77-K77</f>
        <v>0</v>
      </c>
      <c r="R77" s="118" t="n">
        <f aca="false">IF($C77=0,0,-1/$C77^2)</f>
        <v>0</v>
      </c>
      <c r="S77" s="88" t="n">
        <f aca="false">IF($C77=0,0,1)</f>
        <v>0</v>
      </c>
      <c r="T77" s="71" t="n">
        <f aca="false">D77</f>
        <v>0</v>
      </c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customFormat="false" ht="15" hidden="false" customHeight="false" outlineLevel="0" collapsed="false">
      <c r="A78" s="95" t="str">
        <f aca="false">"実部"</f>
        <v>実部</v>
      </c>
      <c r="B78" s="88" t="str">
        <f aca="false">IF(03_FRFデータ貼付!B75="","",03_FRFデータ貼付!A75)</f>
        <v/>
      </c>
      <c r="C78" s="89" t="n">
        <f aca="false">IF(03_FRFデータ貼付!B75="",0,03_FRFデータ貼付!G75)</f>
        <v>0</v>
      </c>
      <c r="D78" s="71" t="n">
        <f aca="false">IF(03_FRFデータ貼付!C75="",0,03_FRFデータ貼付!C75)</f>
        <v>0</v>
      </c>
      <c r="E78" s="71" t="n">
        <f aca="false">IF(03_FRFデータ貼付!D75="",0,03_FRFデータ貼付!D75)</f>
        <v>0</v>
      </c>
      <c r="F78" s="118" t="n">
        <f aca="false">IF($C78=0,0,$V$4/($V$4^2+($C78-$V$5)^2))</f>
        <v>0</v>
      </c>
      <c r="G78" s="118" t="n">
        <f aca="false">IF($C78=0,0,-($C78-$V$5)/($V$4^2+($C78-$V$5)^2))</f>
        <v>0</v>
      </c>
      <c r="H78" s="118" t="n">
        <f aca="false">IF($C78=0,0,$V$4/($V$4^2+($C78+$V$5)^2))</f>
        <v>0</v>
      </c>
      <c r="I78" s="118" t="n">
        <f aca="false">IF($C78=0,0,-($C78+$V$5)/($V$4^2+($C78+$V$5)^2))</f>
        <v>0</v>
      </c>
      <c r="J78" s="118" t="n">
        <f aca="false">IF($C78=0,0,$V$6/($V$6^2+($C78-$V$7)^2))</f>
        <v>0</v>
      </c>
      <c r="K78" s="118" t="n">
        <f aca="false">IF($C78=0,0,-($C78-$V$7)/($V$6^2+($C78-$V$7)^2))</f>
        <v>0</v>
      </c>
      <c r="L78" s="118" t="n">
        <f aca="false">IF($C78=0,0,$V$6/($V$6^2+($C78+$V$7)^2))</f>
        <v>0</v>
      </c>
      <c r="M78" s="118" t="n">
        <f aca="false">IF($C78=0,0,-($C78+$V$7)/($V$6^2+($C78+$V$7)^2))</f>
        <v>0</v>
      </c>
      <c r="N78" s="118" t="n">
        <f aca="false">F78+H78</f>
        <v>0</v>
      </c>
      <c r="O78" s="118" t="n">
        <f aca="false">I78-G78</f>
        <v>0</v>
      </c>
      <c r="P78" s="118" t="n">
        <f aca="false">J78+L78</f>
        <v>0</v>
      </c>
      <c r="Q78" s="118" t="n">
        <f aca="false">M78-K78</f>
        <v>0</v>
      </c>
      <c r="R78" s="118" t="n">
        <f aca="false">IF($C78=0,0,-1/$C78^2)</f>
        <v>0</v>
      </c>
      <c r="S78" s="88" t="n">
        <f aca="false">IF($C78=0,0,1)</f>
        <v>0</v>
      </c>
      <c r="T78" s="71" t="n">
        <f aca="false">D78</f>
        <v>0</v>
      </c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customFormat="false" ht="15" hidden="false" customHeight="false" outlineLevel="0" collapsed="false">
      <c r="A79" s="95" t="str">
        <f aca="false">"実部"</f>
        <v>実部</v>
      </c>
      <c r="B79" s="88" t="str">
        <f aca="false">IF(03_FRFデータ貼付!B76="","",03_FRFデータ貼付!A76)</f>
        <v/>
      </c>
      <c r="C79" s="89" t="n">
        <f aca="false">IF(03_FRFデータ貼付!B76="",0,03_FRFデータ貼付!G76)</f>
        <v>0</v>
      </c>
      <c r="D79" s="71" t="n">
        <f aca="false">IF(03_FRFデータ貼付!C76="",0,03_FRFデータ貼付!C76)</f>
        <v>0</v>
      </c>
      <c r="E79" s="71" t="n">
        <f aca="false">IF(03_FRFデータ貼付!D76="",0,03_FRFデータ貼付!D76)</f>
        <v>0</v>
      </c>
      <c r="F79" s="118" t="n">
        <f aca="false">IF($C79=0,0,$V$4/($V$4^2+($C79-$V$5)^2))</f>
        <v>0</v>
      </c>
      <c r="G79" s="118" t="n">
        <f aca="false">IF($C79=0,0,-($C79-$V$5)/($V$4^2+($C79-$V$5)^2))</f>
        <v>0</v>
      </c>
      <c r="H79" s="118" t="n">
        <f aca="false">IF($C79=0,0,$V$4/($V$4^2+($C79+$V$5)^2))</f>
        <v>0</v>
      </c>
      <c r="I79" s="118" t="n">
        <f aca="false">IF($C79=0,0,-($C79+$V$5)/($V$4^2+($C79+$V$5)^2))</f>
        <v>0</v>
      </c>
      <c r="J79" s="118" t="n">
        <f aca="false">IF($C79=0,0,$V$6/($V$6^2+($C79-$V$7)^2))</f>
        <v>0</v>
      </c>
      <c r="K79" s="118" t="n">
        <f aca="false">IF($C79=0,0,-($C79-$V$7)/($V$6^2+($C79-$V$7)^2))</f>
        <v>0</v>
      </c>
      <c r="L79" s="118" t="n">
        <f aca="false">IF($C79=0,0,$V$6/($V$6^2+($C79+$V$7)^2))</f>
        <v>0</v>
      </c>
      <c r="M79" s="118" t="n">
        <f aca="false">IF($C79=0,0,-($C79+$V$7)/($V$6^2+($C79+$V$7)^2))</f>
        <v>0</v>
      </c>
      <c r="N79" s="118" t="n">
        <f aca="false">F79+H79</f>
        <v>0</v>
      </c>
      <c r="O79" s="118" t="n">
        <f aca="false">I79-G79</f>
        <v>0</v>
      </c>
      <c r="P79" s="118" t="n">
        <f aca="false">J79+L79</f>
        <v>0</v>
      </c>
      <c r="Q79" s="118" t="n">
        <f aca="false">M79-K79</f>
        <v>0</v>
      </c>
      <c r="R79" s="118" t="n">
        <f aca="false">IF($C79=0,0,-1/$C79^2)</f>
        <v>0</v>
      </c>
      <c r="S79" s="88" t="n">
        <f aca="false">IF($C79=0,0,1)</f>
        <v>0</v>
      </c>
      <c r="T79" s="71" t="n">
        <f aca="false">D79</f>
        <v>0</v>
      </c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customFormat="false" ht="15" hidden="false" customHeight="false" outlineLevel="0" collapsed="false">
      <c r="A80" s="95" t="str">
        <f aca="false">"実部"</f>
        <v>実部</v>
      </c>
      <c r="B80" s="88" t="str">
        <f aca="false">IF(03_FRFデータ貼付!B77="","",03_FRFデータ貼付!A77)</f>
        <v/>
      </c>
      <c r="C80" s="89" t="n">
        <f aca="false">IF(03_FRFデータ貼付!B77="",0,03_FRFデータ貼付!G77)</f>
        <v>0</v>
      </c>
      <c r="D80" s="71" t="n">
        <f aca="false">IF(03_FRFデータ貼付!C77="",0,03_FRFデータ貼付!C77)</f>
        <v>0</v>
      </c>
      <c r="E80" s="71" t="n">
        <f aca="false">IF(03_FRFデータ貼付!D77="",0,03_FRFデータ貼付!D77)</f>
        <v>0</v>
      </c>
      <c r="F80" s="118" t="n">
        <f aca="false">IF($C80=0,0,$V$4/($V$4^2+($C80-$V$5)^2))</f>
        <v>0</v>
      </c>
      <c r="G80" s="118" t="n">
        <f aca="false">IF($C80=0,0,-($C80-$V$5)/($V$4^2+($C80-$V$5)^2))</f>
        <v>0</v>
      </c>
      <c r="H80" s="118" t="n">
        <f aca="false">IF($C80=0,0,$V$4/($V$4^2+($C80+$V$5)^2))</f>
        <v>0</v>
      </c>
      <c r="I80" s="118" t="n">
        <f aca="false">IF($C80=0,0,-($C80+$V$5)/($V$4^2+($C80+$V$5)^2))</f>
        <v>0</v>
      </c>
      <c r="J80" s="118" t="n">
        <f aca="false">IF($C80=0,0,$V$6/($V$6^2+($C80-$V$7)^2))</f>
        <v>0</v>
      </c>
      <c r="K80" s="118" t="n">
        <f aca="false">IF($C80=0,0,-($C80-$V$7)/($V$6^2+($C80-$V$7)^2))</f>
        <v>0</v>
      </c>
      <c r="L80" s="118" t="n">
        <f aca="false">IF($C80=0,0,$V$6/($V$6^2+($C80+$V$7)^2))</f>
        <v>0</v>
      </c>
      <c r="M80" s="118" t="n">
        <f aca="false">IF($C80=0,0,-($C80+$V$7)/($V$6^2+($C80+$V$7)^2))</f>
        <v>0</v>
      </c>
      <c r="N80" s="118" t="n">
        <f aca="false">F80+H80</f>
        <v>0</v>
      </c>
      <c r="O80" s="118" t="n">
        <f aca="false">I80-G80</f>
        <v>0</v>
      </c>
      <c r="P80" s="118" t="n">
        <f aca="false">J80+L80</f>
        <v>0</v>
      </c>
      <c r="Q80" s="118" t="n">
        <f aca="false">M80-K80</f>
        <v>0</v>
      </c>
      <c r="R80" s="118" t="n">
        <f aca="false">IF($C80=0,0,-1/$C80^2)</f>
        <v>0</v>
      </c>
      <c r="S80" s="88" t="n">
        <f aca="false">IF($C80=0,0,1)</f>
        <v>0</v>
      </c>
      <c r="T80" s="71" t="n">
        <f aca="false">D80</f>
        <v>0</v>
      </c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customFormat="false" ht="15" hidden="false" customHeight="false" outlineLevel="0" collapsed="false">
      <c r="A81" s="95" t="str">
        <f aca="false">"実部"</f>
        <v>実部</v>
      </c>
      <c r="B81" s="88" t="str">
        <f aca="false">IF(03_FRFデータ貼付!B78="","",03_FRFデータ貼付!A78)</f>
        <v/>
      </c>
      <c r="C81" s="89" t="n">
        <f aca="false">IF(03_FRFデータ貼付!B78="",0,03_FRFデータ貼付!G78)</f>
        <v>0</v>
      </c>
      <c r="D81" s="71" t="n">
        <f aca="false">IF(03_FRFデータ貼付!C78="",0,03_FRFデータ貼付!C78)</f>
        <v>0</v>
      </c>
      <c r="E81" s="71" t="n">
        <f aca="false">IF(03_FRFデータ貼付!D78="",0,03_FRFデータ貼付!D78)</f>
        <v>0</v>
      </c>
      <c r="F81" s="118" t="n">
        <f aca="false">IF($C81=0,0,$V$4/($V$4^2+($C81-$V$5)^2))</f>
        <v>0</v>
      </c>
      <c r="G81" s="118" t="n">
        <f aca="false">IF($C81=0,0,-($C81-$V$5)/($V$4^2+($C81-$V$5)^2))</f>
        <v>0</v>
      </c>
      <c r="H81" s="118" t="n">
        <f aca="false">IF($C81=0,0,$V$4/($V$4^2+($C81+$V$5)^2))</f>
        <v>0</v>
      </c>
      <c r="I81" s="118" t="n">
        <f aca="false">IF($C81=0,0,-($C81+$V$5)/($V$4^2+($C81+$V$5)^2))</f>
        <v>0</v>
      </c>
      <c r="J81" s="118" t="n">
        <f aca="false">IF($C81=0,0,$V$6/($V$6^2+($C81-$V$7)^2))</f>
        <v>0</v>
      </c>
      <c r="K81" s="118" t="n">
        <f aca="false">IF($C81=0,0,-($C81-$V$7)/($V$6^2+($C81-$V$7)^2))</f>
        <v>0</v>
      </c>
      <c r="L81" s="118" t="n">
        <f aca="false">IF($C81=0,0,$V$6/($V$6^2+($C81+$V$7)^2))</f>
        <v>0</v>
      </c>
      <c r="M81" s="118" t="n">
        <f aca="false">IF($C81=0,0,-($C81+$V$7)/($V$6^2+($C81+$V$7)^2))</f>
        <v>0</v>
      </c>
      <c r="N81" s="118" t="n">
        <f aca="false">F81+H81</f>
        <v>0</v>
      </c>
      <c r="O81" s="118" t="n">
        <f aca="false">I81-G81</f>
        <v>0</v>
      </c>
      <c r="P81" s="118" t="n">
        <f aca="false">J81+L81</f>
        <v>0</v>
      </c>
      <c r="Q81" s="118" t="n">
        <f aca="false">M81-K81</f>
        <v>0</v>
      </c>
      <c r="R81" s="118" t="n">
        <f aca="false">IF($C81=0,0,-1/$C81^2)</f>
        <v>0</v>
      </c>
      <c r="S81" s="88" t="n">
        <f aca="false">IF($C81=0,0,1)</f>
        <v>0</v>
      </c>
      <c r="T81" s="71" t="n">
        <f aca="false">D81</f>
        <v>0</v>
      </c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customFormat="false" ht="15" hidden="false" customHeight="false" outlineLevel="0" collapsed="false">
      <c r="A82" s="95" t="str">
        <f aca="false">"実部"</f>
        <v>実部</v>
      </c>
      <c r="B82" s="88" t="str">
        <f aca="false">IF(03_FRFデータ貼付!B79="","",03_FRFデータ貼付!A79)</f>
        <v/>
      </c>
      <c r="C82" s="89" t="n">
        <f aca="false">IF(03_FRFデータ貼付!B79="",0,03_FRFデータ貼付!G79)</f>
        <v>0</v>
      </c>
      <c r="D82" s="71" t="n">
        <f aca="false">IF(03_FRFデータ貼付!C79="",0,03_FRFデータ貼付!C79)</f>
        <v>0</v>
      </c>
      <c r="E82" s="71" t="n">
        <f aca="false">IF(03_FRFデータ貼付!D79="",0,03_FRFデータ貼付!D79)</f>
        <v>0</v>
      </c>
      <c r="F82" s="118" t="n">
        <f aca="false">IF($C82=0,0,$V$4/($V$4^2+($C82-$V$5)^2))</f>
        <v>0</v>
      </c>
      <c r="G82" s="118" t="n">
        <f aca="false">IF($C82=0,0,-($C82-$V$5)/($V$4^2+($C82-$V$5)^2))</f>
        <v>0</v>
      </c>
      <c r="H82" s="118" t="n">
        <f aca="false">IF($C82=0,0,$V$4/($V$4^2+($C82+$V$5)^2))</f>
        <v>0</v>
      </c>
      <c r="I82" s="118" t="n">
        <f aca="false">IF($C82=0,0,-($C82+$V$5)/($V$4^2+($C82+$V$5)^2))</f>
        <v>0</v>
      </c>
      <c r="J82" s="118" t="n">
        <f aca="false">IF($C82=0,0,$V$6/($V$6^2+($C82-$V$7)^2))</f>
        <v>0</v>
      </c>
      <c r="K82" s="118" t="n">
        <f aca="false">IF($C82=0,0,-($C82-$V$7)/($V$6^2+($C82-$V$7)^2))</f>
        <v>0</v>
      </c>
      <c r="L82" s="118" t="n">
        <f aca="false">IF($C82=0,0,$V$6/($V$6^2+($C82+$V$7)^2))</f>
        <v>0</v>
      </c>
      <c r="M82" s="118" t="n">
        <f aca="false">IF($C82=0,0,-($C82+$V$7)/($V$6^2+($C82+$V$7)^2))</f>
        <v>0</v>
      </c>
      <c r="N82" s="118" t="n">
        <f aca="false">F82+H82</f>
        <v>0</v>
      </c>
      <c r="O82" s="118" t="n">
        <f aca="false">I82-G82</f>
        <v>0</v>
      </c>
      <c r="P82" s="118" t="n">
        <f aca="false">J82+L82</f>
        <v>0</v>
      </c>
      <c r="Q82" s="118" t="n">
        <f aca="false">M82-K82</f>
        <v>0</v>
      </c>
      <c r="R82" s="118" t="n">
        <f aca="false">IF($C82=0,0,-1/$C82^2)</f>
        <v>0</v>
      </c>
      <c r="S82" s="88" t="n">
        <f aca="false">IF($C82=0,0,1)</f>
        <v>0</v>
      </c>
      <c r="T82" s="71" t="n">
        <f aca="false">D82</f>
        <v>0</v>
      </c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customFormat="false" ht="15" hidden="false" customHeight="false" outlineLevel="0" collapsed="false">
      <c r="A83" s="95" t="str">
        <f aca="false">"実部"</f>
        <v>実部</v>
      </c>
      <c r="B83" s="88" t="str">
        <f aca="false">IF(03_FRFデータ貼付!B80="","",03_FRFデータ貼付!A80)</f>
        <v/>
      </c>
      <c r="C83" s="89" t="n">
        <f aca="false">IF(03_FRFデータ貼付!B80="",0,03_FRFデータ貼付!G80)</f>
        <v>0</v>
      </c>
      <c r="D83" s="71" t="n">
        <f aca="false">IF(03_FRFデータ貼付!C80="",0,03_FRFデータ貼付!C80)</f>
        <v>0</v>
      </c>
      <c r="E83" s="71" t="n">
        <f aca="false">IF(03_FRFデータ貼付!D80="",0,03_FRFデータ貼付!D80)</f>
        <v>0</v>
      </c>
      <c r="F83" s="118" t="n">
        <f aca="false">IF($C83=0,0,$V$4/($V$4^2+($C83-$V$5)^2))</f>
        <v>0</v>
      </c>
      <c r="G83" s="118" t="n">
        <f aca="false">IF($C83=0,0,-($C83-$V$5)/($V$4^2+($C83-$V$5)^2))</f>
        <v>0</v>
      </c>
      <c r="H83" s="118" t="n">
        <f aca="false">IF($C83=0,0,$V$4/($V$4^2+($C83+$V$5)^2))</f>
        <v>0</v>
      </c>
      <c r="I83" s="118" t="n">
        <f aca="false">IF($C83=0,0,-($C83+$V$5)/($V$4^2+($C83+$V$5)^2))</f>
        <v>0</v>
      </c>
      <c r="J83" s="118" t="n">
        <f aca="false">IF($C83=0,0,$V$6/($V$6^2+($C83-$V$7)^2))</f>
        <v>0</v>
      </c>
      <c r="K83" s="118" t="n">
        <f aca="false">IF($C83=0,0,-($C83-$V$7)/($V$6^2+($C83-$V$7)^2))</f>
        <v>0</v>
      </c>
      <c r="L83" s="118" t="n">
        <f aca="false">IF($C83=0,0,$V$6/($V$6^2+($C83+$V$7)^2))</f>
        <v>0</v>
      </c>
      <c r="M83" s="118" t="n">
        <f aca="false">IF($C83=0,0,-($C83+$V$7)/($V$6^2+($C83+$V$7)^2))</f>
        <v>0</v>
      </c>
      <c r="N83" s="118" t="n">
        <f aca="false">F83+H83</f>
        <v>0</v>
      </c>
      <c r="O83" s="118" t="n">
        <f aca="false">I83-G83</f>
        <v>0</v>
      </c>
      <c r="P83" s="118" t="n">
        <f aca="false">J83+L83</f>
        <v>0</v>
      </c>
      <c r="Q83" s="118" t="n">
        <f aca="false">M83-K83</f>
        <v>0</v>
      </c>
      <c r="R83" s="118" t="n">
        <f aca="false">IF($C83=0,0,-1/$C83^2)</f>
        <v>0</v>
      </c>
      <c r="S83" s="88" t="n">
        <f aca="false">IF($C83=0,0,1)</f>
        <v>0</v>
      </c>
      <c r="T83" s="71" t="n">
        <f aca="false">D83</f>
        <v>0</v>
      </c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customFormat="false" ht="15" hidden="false" customHeight="false" outlineLevel="0" collapsed="false">
      <c r="A84" s="95" t="str">
        <f aca="false">"実部"</f>
        <v>実部</v>
      </c>
      <c r="B84" s="88" t="str">
        <f aca="false">IF(03_FRFデータ貼付!B81="","",03_FRFデータ貼付!A81)</f>
        <v/>
      </c>
      <c r="C84" s="89" t="n">
        <f aca="false">IF(03_FRFデータ貼付!B81="",0,03_FRFデータ貼付!G81)</f>
        <v>0</v>
      </c>
      <c r="D84" s="71" t="n">
        <f aca="false">IF(03_FRFデータ貼付!C81="",0,03_FRFデータ貼付!C81)</f>
        <v>0</v>
      </c>
      <c r="E84" s="71" t="n">
        <f aca="false">IF(03_FRFデータ貼付!D81="",0,03_FRFデータ貼付!D81)</f>
        <v>0</v>
      </c>
      <c r="F84" s="118" t="n">
        <f aca="false">IF($C84=0,0,$V$4/($V$4^2+($C84-$V$5)^2))</f>
        <v>0</v>
      </c>
      <c r="G84" s="118" t="n">
        <f aca="false">IF($C84=0,0,-($C84-$V$5)/($V$4^2+($C84-$V$5)^2))</f>
        <v>0</v>
      </c>
      <c r="H84" s="118" t="n">
        <f aca="false">IF($C84=0,0,$V$4/($V$4^2+($C84+$V$5)^2))</f>
        <v>0</v>
      </c>
      <c r="I84" s="118" t="n">
        <f aca="false">IF($C84=0,0,-($C84+$V$5)/($V$4^2+($C84+$V$5)^2))</f>
        <v>0</v>
      </c>
      <c r="J84" s="118" t="n">
        <f aca="false">IF($C84=0,0,$V$6/($V$6^2+($C84-$V$7)^2))</f>
        <v>0</v>
      </c>
      <c r="K84" s="118" t="n">
        <f aca="false">IF($C84=0,0,-($C84-$V$7)/($V$6^2+($C84-$V$7)^2))</f>
        <v>0</v>
      </c>
      <c r="L84" s="118" t="n">
        <f aca="false">IF($C84=0,0,$V$6/($V$6^2+($C84+$V$7)^2))</f>
        <v>0</v>
      </c>
      <c r="M84" s="118" t="n">
        <f aca="false">IF($C84=0,0,-($C84+$V$7)/($V$6^2+($C84+$V$7)^2))</f>
        <v>0</v>
      </c>
      <c r="N84" s="118" t="n">
        <f aca="false">F84+H84</f>
        <v>0</v>
      </c>
      <c r="O84" s="118" t="n">
        <f aca="false">I84-G84</f>
        <v>0</v>
      </c>
      <c r="P84" s="118" t="n">
        <f aca="false">J84+L84</f>
        <v>0</v>
      </c>
      <c r="Q84" s="118" t="n">
        <f aca="false">M84-K84</f>
        <v>0</v>
      </c>
      <c r="R84" s="118" t="n">
        <f aca="false">IF($C84=0,0,-1/$C84^2)</f>
        <v>0</v>
      </c>
      <c r="S84" s="88" t="n">
        <f aca="false">IF($C84=0,0,1)</f>
        <v>0</v>
      </c>
      <c r="T84" s="71" t="n">
        <f aca="false">D84</f>
        <v>0</v>
      </c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customFormat="false" ht="15" hidden="false" customHeight="false" outlineLevel="0" collapsed="false">
      <c r="A85" s="95" t="str">
        <f aca="false">"実部"</f>
        <v>実部</v>
      </c>
      <c r="B85" s="88" t="str">
        <f aca="false">IF(03_FRFデータ貼付!B82="","",03_FRFデータ貼付!A82)</f>
        <v/>
      </c>
      <c r="C85" s="89" t="n">
        <f aca="false">IF(03_FRFデータ貼付!B82="",0,03_FRFデータ貼付!G82)</f>
        <v>0</v>
      </c>
      <c r="D85" s="71" t="n">
        <f aca="false">IF(03_FRFデータ貼付!C82="",0,03_FRFデータ貼付!C82)</f>
        <v>0</v>
      </c>
      <c r="E85" s="71" t="n">
        <f aca="false">IF(03_FRFデータ貼付!D82="",0,03_FRFデータ貼付!D82)</f>
        <v>0</v>
      </c>
      <c r="F85" s="118" t="n">
        <f aca="false">IF($C85=0,0,$V$4/($V$4^2+($C85-$V$5)^2))</f>
        <v>0</v>
      </c>
      <c r="G85" s="118" t="n">
        <f aca="false">IF($C85=0,0,-($C85-$V$5)/($V$4^2+($C85-$V$5)^2))</f>
        <v>0</v>
      </c>
      <c r="H85" s="118" t="n">
        <f aca="false">IF($C85=0,0,$V$4/($V$4^2+($C85+$V$5)^2))</f>
        <v>0</v>
      </c>
      <c r="I85" s="118" t="n">
        <f aca="false">IF($C85=0,0,-($C85+$V$5)/($V$4^2+($C85+$V$5)^2))</f>
        <v>0</v>
      </c>
      <c r="J85" s="118" t="n">
        <f aca="false">IF($C85=0,0,$V$6/($V$6^2+($C85-$V$7)^2))</f>
        <v>0</v>
      </c>
      <c r="K85" s="118" t="n">
        <f aca="false">IF($C85=0,0,-($C85-$V$7)/($V$6^2+($C85-$V$7)^2))</f>
        <v>0</v>
      </c>
      <c r="L85" s="118" t="n">
        <f aca="false">IF($C85=0,0,$V$6/($V$6^2+($C85+$V$7)^2))</f>
        <v>0</v>
      </c>
      <c r="M85" s="118" t="n">
        <f aca="false">IF($C85=0,0,-($C85+$V$7)/($V$6^2+($C85+$V$7)^2))</f>
        <v>0</v>
      </c>
      <c r="N85" s="118" t="n">
        <f aca="false">F85+H85</f>
        <v>0</v>
      </c>
      <c r="O85" s="118" t="n">
        <f aca="false">I85-G85</f>
        <v>0</v>
      </c>
      <c r="P85" s="118" t="n">
        <f aca="false">J85+L85</f>
        <v>0</v>
      </c>
      <c r="Q85" s="118" t="n">
        <f aca="false">M85-K85</f>
        <v>0</v>
      </c>
      <c r="R85" s="118" t="n">
        <f aca="false">IF($C85=0,0,-1/$C85^2)</f>
        <v>0</v>
      </c>
      <c r="S85" s="88" t="n">
        <f aca="false">IF($C85=0,0,1)</f>
        <v>0</v>
      </c>
      <c r="T85" s="71" t="n">
        <f aca="false">D85</f>
        <v>0</v>
      </c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customFormat="false" ht="15" hidden="false" customHeight="false" outlineLevel="0" collapsed="false">
      <c r="A86" s="95" t="str">
        <f aca="false">"実部"</f>
        <v>実部</v>
      </c>
      <c r="B86" s="88" t="str">
        <f aca="false">IF(03_FRFデータ貼付!B83="","",03_FRFデータ貼付!A83)</f>
        <v/>
      </c>
      <c r="C86" s="89" t="n">
        <f aca="false">IF(03_FRFデータ貼付!B83="",0,03_FRFデータ貼付!G83)</f>
        <v>0</v>
      </c>
      <c r="D86" s="71" t="n">
        <f aca="false">IF(03_FRFデータ貼付!C83="",0,03_FRFデータ貼付!C83)</f>
        <v>0</v>
      </c>
      <c r="E86" s="71" t="n">
        <f aca="false">IF(03_FRFデータ貼付!D83="",0,03_FRFデータ貼付!D83)</f>
        <v>0</v>
      </c>
      <c r="F86" s="118" t="n">
        <f aca="false">IF($C86=0,0,$V$4/($V$4^2+($C86-$V$5)^2))</f>
        <v>0</v>
      </c>
      <c r="G86" s="118" t="n">
        <f aca="false">IF($C86=0,0,-($C86-$V$5)/($V$4^2+($C86-$V$5)^2))</f>
        <v>0</v>
      </c>
      <c r="H86" s="118" t="n">
        <f aca="false">IF($C86=0,0,$V$4/($V$4^2+($C86+$V$5)^2))</f>
        <v>0</v>
      </c>
      <c r="I86" s="118" t="n">
        <f aca="false">IF($C86=0,0,-($C86+$V$5)/($V$4^2+($C86+$V$5)^2))</f>
        <v>0</v>
      </c>
      <c r="J86" s="118" t="n">
        <f aca="false">IF($C86=0,0,$V$6/($V$6^2+($C86-$V$7)^2))</f>
        <v>0</v>
      </c>
      <c r="K86" s="118" t="n">
        <f aca="false">IF($C86=0,0,-($C86-$V$7)/($V$6^2+($C86-$V$7)^2))</f>
        <v>0</v>
      </c>
      <c r="L86" s="118" t="n">
        <f aca="false">IF($C86=0,0,$V$6/($V$6^2+($C86+$V$7)^2))</f>
        <v>0</v>
      </c>
      <c r="M86" s="118" t="n">
        <f aca="false">IF($C86=0,0,-($C86+$V$7)/($V$6^2+($C86+$V$7)^2))</f>
        <v>0</v>
      </c>
      <c r="N86" s="118" t="n">
        <f aca="false">F86+H86</f>
        <v>0</v>
      </c>
      <c r="O86" s="118" t="n">
        <f aca="false">I86-G86</f>
        <v>0</v>
      </c>
      <c r="P86" s="118" t="n">
        <f aca="false">J86+L86</f>
        <v>0</v>
      </c>
      <c r="Q86" s="118" t="n">
        <f aca="false">M86-K86</f>
        <v>0</v>
      </c>
      <c r="R86" s="118" t="n">
        <f aca="false">IF($C86=0,0,-1/$C86^2)</f>
        <v>0</v>
      </c>
      <c r="S86" s="88" t="n">
        <f aca="false">IF($C86=0,0,1)</f>
        <v>0</v>
      </c>
      <c r="T86" s="71" t="n">
        <f aca="false">D86</f>
        <v>0</v>
      </c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customFormat="false" ht="15" hidden="false" customHeight="false" outlineLevel="0" collapsed="false">
      <c r="A87" s="95" t="str">
        <f aca="false">"実部"</f>
        <v>実部</v>
      </c>
      <c r="B87" s="88" t="str">
        <f aca="false">IF(03_FRFデータ貼付!B84="","",03_FRFデータ貼付!A84)</f>
        <v/>
      </c>
      <c r="C87" s="89" t="n">
        <f aca="false">IF(03_FRFデータ貼付!B84="",0,03_FRFデータ貼付!G84)</f>
        <v>0</v>
      </c>
      <c r="D87" s="71" t="n">
        <f aca="false">IF(03_FRFデータ貼付!C84="",0,03_FRFデータ貼付!C84)</f>
        <v>0</v>
      </c>
      <c r="E87" s="71" t="n">
        <f aca="false">IF(03_FRFデータ貼付!D84="",0,03_FRFデータ貼付!D84)</f>
        <v>0</v>
      </c>
      <c r="F87" s="118" t="n">
        <f aca="false">IF($C87=0,0,$V$4/($V$4^2+($C87-$V$5)^2))</f>
        <v>0</v>
      </c>
      <c r="G87" s="118" t="n">
        <f aca="false">IF($C87=0,0,-($C87-$V$5)/($V$4^2+($C87-$V$5)^2))</f>
        <v>0</v>
      </c>
      <c r="H87" s="118" t="n">
        <f aca="false">IF($C87=0,0,$V$4/($V$4^2+($C87+$V$5)^2))</f>
        <v>0</v>
      </c>
      <c r="I87" s="118" t="n">
        <f aca="false">IF($C87=0,0,-($C87+$V$5)/($V$4^2+($C87+$V$5)^2))</f>
        <v>0</v>
      </c>
      <c r="J87" s="118" t="n">
        <f aca="false">IF($C87=0,0,$V$6/($V$6^2+($C87-$V$7)^2))</f>
        <v>0</v>
      </c>
      <c r="K87" s="118" t="n">
        <f aca="false">IF($C87=0,0,-($C87-$V$7)/($V$6^2+($C87-$V$7)^2))</f>
        <v>0</v>
      </c>
      <c r="L87" s="118" t="n">
        <f aca="false">IF($C87=0,0,$V$6/($V$6^2+($C87+$V$7)^2))</f>
        <v>0</v>
      </c>
      <c r="M87" s="118" t="n">
        <f aca="false">IF($C87=0,0,-($C87+$V$7)/($V$6^2+($C87+$V$7)^2))</f>
        <v>0</v>
      </c>
      <c r="N87" s="118" t="n">
        <f aca="false">F87+H87</f>
        <v>0</v>
      </c>
      <c r="O87" s="118" t="n">
        <f aca="false">I87-G87</f>
        <v>0</v>
      </c>
      <c r="P87" s="118" t="n">
        <f aca="false">J87+L87</f>
        <v>0</v>
      </c>
      <c r="Q87" s="118" t="n">
        <f aca="false">M87-K87</f>
        <v>0</v>
      </c>
      <c r="R87" s="118" t="n">
        <f aca="false">IF($C87=0,0,-1/$C87^2)</f>
        <v>0</v>
      </c>
      <c r="S87" s="88" t="n">
        <f aca="false">IF($C87=0,0,1)</f>
        <v>0</v>
      </c>
      <c r="T87" s="71" t="n">
        <f aca="false">D87</f>
        <v>0</v>
      </c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customFormat="false" ht="15" hidden="false" customHeight="false" outlineLevel="0" collapsed="false">
      <c r="A88" s="95" t="str">
        <f aca="false">"実部"</f>
        <v>実部</v>
      </c>
      <c r="B88" s="88" t="str">
        <f aca="false">IF(03_FRFデータ貼付!B85="","",03_FRFデータ貼付!A85)</f>
        <v/>
      </c>
      <c r="C88" s="89" t="n">
        <f aca="false">IF(03_FRFデータ貼付!B85="",0,03_FRFデータ貼付!G85)</f>
        <v>0</v>
      </c>
      <c r="D88" s="71" t="n">
        <f aca="false">IF(03_FRFデータ貼付!C85="",0,03_FRFデータ貼付!C85)</f>
        <v>0</v>
      </c>
      <c r="E88" s="71" t="n">
        <f aca="false">IF(03_FRFデータ貼付!D85="",0,03_FRFデータ貼付!D85)</f>
        <v>0</v>
      </c>
      <c r="F88" s="118" t="n">
        <f aca="false">IF($C88=0,0,$V$4/($V$4^2+($C88-$V$5)^2))</f>
        <v>0</v>
      </c>
      <c r="G88" s="118" t="n">
        <f aca="false">IF($C88=0,0,-($C88-$V$5)/($V$4^2+($C88-$V$5)^2))</f>
        <v>0</v>
      </c>
      <c r="H88" s="118" t="n">
        <f aca="false">IF($C88=0,0,$V$4/($V$4^2+($C88+$V$5)^2))</f>
        <v>0</v>
      </c>
      <c r="I88" s="118" t="n">
        <f aca="false">IF($C88=0,0,-($C88+$V$5)/($V$4^2+($C88+$V$5)^2))</f>
        <v>0</v>
      </c>
      <c r="J88" s="118" t="n">
        <f aca="false">IF($C88=0,0,$V$6/($V$6^2+($C88-$V$7)^2))</f>
        <v>0</v>
      </c>
      <c r="K88" s="118" t="n">
        <f aca="false">IF($C88=0,0,-($C88-$V$7)/($V$6^2+($C88-$V$7)^2))</f>
        <v>0</v>
      </c>
      <c r="L88" s="118" t="n">
        <f aca="false">IF($C88=0,0,$V$6/($V$6^2+($C88+$V$7)^2))</f>
        <v>0</v>
      </c>
      <c r="M88" s="118" t="n">
        <f aca="false">IF($C88=0,0,-($C88+$V$7)/($V$6^2+($C88+$V$7)^2))</f>
        <v>0</v>
      </c>
      <c r="N88" s="118" t="n">
        <f aca="false">F88+H88</f>
        <v>0</v>
      </c>
      <c r="O88" s="118" t="n">
        <f aca="false">I88-G88</f>
        <v>0</v>
      </c>
      <c r="P88" s="118" t="n">
        <f aca="false">J88+L88</f>
        <v>0</v>
      </c>
      <c r="Q88" s="118" t="n">
        <f aca="false">M88-K88</f>
        <v>0</v>
      </c>
      <c r="R88" s="118" t="n">
        <f aca="false">IF($C88=0,0,-1/$C88^2)</f>
        <v>0</v>
      </c>
      <c r="S88" s="88" t="n">
        <f aca="false">IF($C88=0,0,1)</f>
        <v>0</v>
      </c>
      <c r="T88" s="71" t="n">
        <f aca="false">D88</f>
        <v>0</v>
      </c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customFormat="false" ht="15" hidden="false" customHeight="false" outlineLevel="0" collapsed="false">
      <c r="A89" s="95" t="str">
        <f aca="false">"実部"</f>
        <v>実部</v>
      </c>
      <c r="B89" s="88" t="str">
        <f aca="false">IF(03_FRFデータ貼付!B86="","",03_FRFデータ貼付!A86)</f>
        <v/>
      </c>
      <c r="C89" s="89" t="n">
        <f aca="false">IF(03_FRFデータ貼付!B86="",0,03_FRFデータ貼付!G86)</f>
        <v>0</v>
      </c>
      <c r="D89" s="71" t="n">
        <f aca="false">IF(03_FRFデータ貼付!C86="",0,03_FRFデータ貼付!C86)</f>
        <v>0</v>
      </c>
      <c r="E89" s="71" t="n">
        <f aca="false">IF(03_FRFデータ貼付!D86="",0,03_FRFデータ貼付!D86)</f>
        <v>0</v>
      </c>
      <c r="F89" s="118" t="n">
        <f aca="false">IF($C89=0,0,$V$4/($V$4^2+($C89-$V$5)^2))</f>
        <v>0</v>
      </c>
      <c r="G89" s="118" t="n">
        <f aca="false">IF($C89=0,0,-($C89-$V$5)/($V$4^2+($C89-$V$5)^2))</f>
        <v>0</v>
      </c>
      <c r="H89" s="118" t="n">
        <f aca="false">IF($C89=0,0,$V$4/($V$4^2+($C89+$V$5)^2))</f>
        <v>0</v>
      </c>
      <c r="I89" s="118" t="n">
        <f aca="false">IF($C89=0,0,-($C89+$V$5)/($V$4^2+($C89+$V$5)^2))</f>
        <v>0</v>
      </c>
      <c r="J89" s="118" t="n">
        <f aca="false">IF($C89=0,0,$V$6/($V$6^2+($C89-$V$7)^2))</f>
        <v>0</v>
      </c>
      <c r="K89" s="118" t="n">
        <f aca="false">IF($C89=0,0,-($C89-$V$7)/($V$6^2+($C89-$V$7)^2))</f>
        <v>0</v>
      </c>
      <c r="L89" s="118" t="n">
        <f aca="false">IF($C89=0,0,$V$6/($V$6^2+($C89+$V$7)^2))</f>
        <v>0</v>
      </c>
      <c r="M89" s="118" t="n">
        <f aca="false">IF($C89=0,0,-($C89+$V$7)/($V$6^2+($C89+$V$7)^2))</f>
        <v>0</v>
      </c>
      <c r="N89" s="118" t="n">
        <f aca="false">F89+H89</f>
        <v>0</v>
      </c>
      <c r="O89" s="118" t="n">
        <f aca="false">I89-G89</f>
        <v>0</v>
      </c>
      <c r="P89" s="118" t="n">
        <f aca="false">J89+L89</f>
        <v>0</v>
      </c>
      <c r="Q89" s="118" t="n">
        <f aca="false">M89-K89</f>
        <v>0</v>
      </c>
      <c r="R89" s="118" t="n">
        <f aca="false">IF($C89=0,0,-1/$C89^2)</f>
        <v>0</v>
      </c>
      <c r="S89" s="88" t="n">
        <f aca="false">IF($C89=0,0,1)</f>
        <v>0</v>
      </c>
      <c r="T89" s="71" t="n">
        <f aca="false">D89</f>
        <v>0</v>
      </c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customFormat="false" ht="15" hidden="false" customHeight="false" outlineLevel="0" collapsed="false">
      <c r="A90" s="95" t="str">
        <f aca="false">"実部"</f>
        <v>実部</v>
      </c>
      <c r="B90" s="88" t="str">
        <f aca="false">IF(03_FRFデータ貼付!B87="","",03_FRFデータ貼付!A87)</f>
        <v/>
      </c>
      <c r="C90" s="89" t="n">
        <f aca="false">IF(03_FRFデータ貼付!B87="",0,03_FRFデータ貼付!G87)</f>
        <v>0</v>
      </c>
      <c r="D90" s="71" t="n">
        <f aca="false">IF(03_FRFデータ貼付!C87="",0,03_FRFデータ貼付!C87)</f>
        <v>0</v>
      </c>
      <c r="E90" s="71" t="n">
        <f aca="false">IF(03_FRFデータ貼付!D87="",0,03_FRFデータ貼付!D87)</f>
        <v>0</v>
      </c>
      <c r="F90" s="118" t="n">
        <f aca="false">IF($C90=0,0,$V$4/($V$4^2+($C90-$V$5)^2))</f>
        <v>0</v>
      </c>
      <c r="G90" s="118" t="n">
        <f aca="false">IF($C90=0,0,-($C90-$V$5)/($V$4^2+($C90-$V$5)^2))</f>
        <v>0</v>
      </c>
      <c r="H90" s="118" t="n">
        <f aca="false">IF($C90=0,0,$V$4/($V$4^2+($C90+$V$5)^2))</f>
        <v>0</v>
      </c>
      <c r="I90" s="118" t="n">
        <f aca="false">IF($C90=0,0,-($C90+$V$5)/($V$4^2+($C90+$V$5)^2))</f>
        <v>0</v>
      </c>
      <c r="J90" s="118" t="n">
        <f aca="false">IF($C90=0,0,$V$6/($V$6^2+($C90-$V$7)^2))</f>
        <v>0</v>
      </c>
      <c r="K90" s="118" t="n">
        <f aca="false">IF($C90=0,0,-($C90-$V$7)/($V$6^2+($C90-$V$7)^2))</f>
        <v>0</v>
      </c>
      <c r="L90" s="118" t="n">
        <f aca="false">IF($C90=0,0,$V$6/($V$6^2+($C90+$V$7)^2))</f>
        <v>0</v>
      </c>
      <c r="M90" s="118" t="n">
        <f aca="false">IF($C90=0,0,-($C90+$V$7)/($V$6^2+($C90+$V$7)^2))</f>
        <v>0</v>
      </c>
      <c r="N90" s="118" t="n">
        <f aca="false">F90+H90</f>
        <v>0</v>
      </c>
      <c r="O90" s="118" t="n">
        <f aca="false">I90-G90</f>
        <v>0</v>
      </c>
      <c r="P90" s="118" t="n">
        <f aca="false">J90+L90</f>
        <v>0</v>
      </c>
      <c r="Q90" s="118" t="n">
        <f aca="false">M90-K90</f>
        <v>0</v>
      </c>
      <c r="R90" s="118" t="n">
        <f aca="false">IF($C90=0,0,-1/$C90^2)</f>
        <v>0</v>
      </c>
      <c r="S90" s="88" t="n">
        <f aca="false">IF($C90=0,0,1)</f>
        <v>0</v>
      </c>
      <c r="T90" s="71" t="n">
        <f aca="false">D90</f>
        <v>0</v>
      </c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customFormat="false" ht="15" hidden="false" customHeight="false" outlineLevel="0" collapsed="false">
      <c r="A91" s="95" t="str">
        <f aca="false">"実部"</f>
        <v>実部</v>
      </c>
      <c r="B91" s="88" t="str">
        <f aca="false">IF(03_FRFデータ貼付!B88="","",03_FRFデータ貼付!A88)</f>
        <v/>
      </c>
      <c r="C91" s="89" t="n">
        <f aca="false">IF(03_FRFデータ貼付!B88="",0,03_FRFデータ貼付!G88)</f>
        <v>0</v>
      </c>
      <c r="D91" s="71" t="n">
        <f aca="false">IF(03_FRFデータ貼付!C88="",0,03_FRFデータ貼付!C88)</f>
        <v>0</v>
      </c>
      <c r="E91" s="71" t="n">
        <f aca="false">IF(03_FRFデータ貼付!D88="",0,03_FRFデータ貼付!D88)</f>
        <v>0</v>
      </c>
      <c r="F91" s="118" t="n">
        <f aca="false">IF($C91=0,0,$V$4/($V$4^2+($C91-$V$5)^2))</f>
        <v>0</v>
      </c>
      <c r="G91" s="118" t="n">
        <f aca="false">IF($C91=0,0,-($C91-$V$5)/($V$4^2+($C91-$V$5)^2))</f>
        <v>0</v>
      </c>
      <c r="H91" s="118" t="n">
        <f aca="false">IF($C91=0,0,$V$4/($V$4^2+($C91+$V$5)^2))</f>
        <v>0</v>
      </c>
      <c r="I91" s="118" t="n">
        <f aca="false">IF($C91=0,0,-($C91+$V$5)/($V$4^2+($C91+$V$5)^2))</f>
        <v>0</v>
      </c>
      <c r="J91" s="118" t="n">
        <f aca="false">IF($C91=0,0,$V$6/($V$6^2+($C91-$V$7)^2))</f>
        <v>0</v>
      </c>
      <c r="K91" s="118" t="n">
        <f aca="false">IF($C91=0,0,-($C91-$V$7)/($V$6^2+($C91-$V$7)^2))</f>
        <v>0</v>
      </c>
      <c r="L91" s="118" t="n">
        <f aca="false">IF($C91=0,0,$V$6/($V$6^2+($C91+$V$7)^2))</f>
        <v>0</v>
      </c>
      <c r="M91" s="118" t="n">
        <f aca="false">IF($C91=0,0,-($C91+$V$7)/($V$6^2+($C91+$V$7)^2))</f>
        <v>0</v>
      </c>
      <c r="N91" s="118" t="n">
        <f aca="false">F91+H91</f>
        <v>0</v>
      </c>
      <c r="O91" s="118" t="n">
        <f aca="false">I91-G91</f>
        <v>0</v>
      </c>
      <c r="P91" s="118" t="n">
        <f aca="false">J91+L91</f>
        <v>0</v>
      </c>
      <c r="Q91" s="118" t="n">
        <f aca="false">M91-K91</f>
        <v>0</v>
      </c>
      <c r="R91" s="118" t="n">
        <f aca="false">IF($C91=0,0,-1/$C91^2)</f>
        <v>0</v>
      </c>
      <c r="S91" s="88" t="n">
        <f aca="false">IF($C91=0,0,1)</f>
        <v>0</v>
      </c>
      <c r="T91" s="71" t="n">
        <f aca="false">D91</f>
        <v>0</v>
      </c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customFormat="false" ht="15" hidden="false" customHeight="false" outlineLevel="0" collapsed="false">
      <c r="A92" s="95" t="str">
        <f aca="false">"実部"</f>
        <v>実部</v>
      </c>
      <c r="B92" s="88" t="str">
        <f aca="false">IF(03_FRFデータ貼付!B89="","",03_FRFデータ貼付!A89)</f>
        <v/>
      </c>
      <c r="C92" s="89" t="n">
        <f aca="false">IF(03_FRFデータ貼付!B89="",0,03_FRFデータ貼付!G89)</f>
        <v>0</v>
      </c>
      <c r="D92" s="71" t="n">
        <f aca="false">IF(03_FRFデータ貼付!C89="",0,03_FRFデータ貼付!C89)</f>
        <v>0</v>
      </c>
      <c r="E92" s="71" t="n">
        <f aca="false">IF(03_FRFデータ貼付!D89="",0,03_FRFデータ貼付!D89)</f>
        <v>0</v>
      </c>
      <c r="F92" s="118" t="n">
        <f aca="false">IF($C92=0,0,$V$4/($V$4^2+($C92-$V$5)^2))</f>
        <v>0</v>
      </c>
      <c r="G92" s="118" t="n">
        <f aca="false">IF($C92=0,0,-($C92-$V$5)/($V$4^2+($C92-$V$5)^2))</f>
        <v>0</v>
      </c>
      <c r="H92" s="118" t="n">
        <f aca="false">IF($C92=0,0,$V$4/($V$4^2+($C92+$V$5)^2))</f>
        <v>0</v>
      </c>
      <c r="I92" s="118" t="n">
        <f aca="false">IF($C92=0,0,-($C92+$V$5)/($V$4^2+($C92+$V$5)^2))</f>
        <v>0</v>
      </c>
      <c r="J92" s="118" t="n">
        <f aca="false">IF($C92=0,0,$V$6/($V$6^2+($C92-$V$7)^2))</f>
        <v>0</v>
      </c>
      <c r="K92" s="118" t="n">
        <f aca="false">IF($C92=0,0,-($C92-$V$7)/($V$6^2+($C92-$V$7)^2))</f>
        <v>0</v>
      </c>
      <c r="L92" s="118" t="n">
        <f aca="false">IF($C92=0,0,$V$6/($V$6^2+($C92+$V$7)^2))</f>
        <v>0</v>
      </c>
      <c r="M92" s="118" t="n">
        <f aca="false">IF($C92=0,0,-($C92+$V$7)/($V$6^2+($C92+$V$7)^2))</f>
        <v>0</v>
      </c>
      <c r="N92" s="118" t="n">
        <f aca="false">F92+H92</f>
        <v>0</v>
      </c>
      <c r="O92" s="118" t="n">
        <f aca="false">I92-G92</f>
        <v>0</v>
      </c>
      <c r="P92" s="118" t="n">
        <f aca="false">J92+L92</f>
        <v>0</v>
      </c>
      <c r="Q92" s="118" t="n">
        <f aca="false">M92-K92</f>
        <v>0</v>
      </c>
      <c r="R92" s="118" t="n">
        <f aca="false">IF($C92=0,0,-1/$C92^2)</f>
        <v>0</v>
      </c>
      <c r="S92" s="88" t="n">
        <f aca="false">IF($C92=0,0,1)</f>
        <v>0</v>
      </c>
      <c r="T92" s="71" t="n">
        <f aca="false">D92</f>
        <v>0</v>
      </c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customFormat="false" ht="15" hidden="false" customHeight="false" outlineLevel="0" collapsed="false">
      <c r="A93" s="95" t="str">
        <f aca="false">"実部"</f>
        <v>実部</v>
      </c>
      <c r="B93" s="88" t="str">
        <f aca="false">IF(03_FRFデータ貼付!B90="","",03_FRFデータ貼付!A90)</f>
        <v/>
      </c>
      <c r="C93" s="89" t="n">
        <f aca="false">IF(03_FRFデータ貼付!B90="",0,03_FRFデータ貼付!G90)</f>
        <v>0</v>
      </c>
      <c r="D93" s="71" t="n">
        <f aca="false">IF(03_FRFデータ貼付!C90="",0,03_FRFデータ貼付!C90)</f>
        <v>0</v>
      </c>
      <c r="E93" s="71" t="n">
        <f aca="false">IF(03_FRFデータ貼付!D90="",0,03_FRFデータ貼付!D90)</f>
        <v>0</v>
      </c>
      <c r="F93" s="118" t="n">
        <f aca="false">IF($C93=0,0,$V$4/($V$4^2+($C93-$V$5)^2))</f>
        <v>0</v>
      </c>
      <c r="G93" s="118" t="n">
        <f aca="false">IF($C93=0,0,-($C93-$V$5)/($V$4^2+($C93-$V$5)^2))</f>
        <v>0</v>
      </c>
      <c r="H93" s="118" t="n">
        <f aca="false">IF($C93=0,0,$V$4/($V$4^2+($C93+$V$5)^2))</f>
        <v>0</v>
      </c>
      <c r="I93" s="118" t="n">
        <f aca="false">IF($C93=0,0,-($C93+$V$5)/($V$4^2+($C93+$V$5)^2))</f>
        <v>0</v>
      </c>
      <c r="J93" s="118" t="n">
        <f aca="false">IF($C93=0,0,$V$6/($V$6^2+($C93-$V$7)^2))</f>
        <v>0</v>
      </c>
      <c r="K93" s="118" t="n">
        <f aca="false">IF($C93=0,0,-($C93-$V$7)/($V$6^2+($C93-$V$7)^2))</f>
        <v>0</v>
      </c>
      <c r="L93" s="118" t="n">
        <f aca="false">IF($C93=0,0,$V$6/($V$6^2+($C93+$V$7)^2))</f>
        <v>0</v>
      </c>
      <c r="M93" s="118" t="n">
        <f aca="false">IF($C93=0,0,-($C93+$V$7)/($V$6^2+($C93+$V$7)^2))</f>
        <v>0</v>
      </c>
      <c r="N93" s="118" t="n">
        <f aca="false">F93+H93</f>
        <v>0</v>
      </c>
      <c r="O93" s="118" t="n">
        <f aca="false">I93-G93</f>
        <v>0</v>
      </c>
      <c r="P93" s="118" t="n">
        <f aca="false">J93+L93</f>
        <v>0</v>
      </c>
      <c r="Q93" s="118" t="n">
        <f aca="false">M93-K93</f>
        <v>0</v>
      </c>
      <c r="R93" s="118" t="n">
        <f aca="false">IF($C93=0,0,-1/$C93^2)</f>
        <v>0</v>
      </c>
      <c r="S93" s="88" t="n">
        <f aca="false">IF($C93=0,0,1)</f>
        <v>0</v>
      </c>
      <c r="T93" s="71" t="n">
        <f aca="false">D93</f>
        <v>0</v>
      </c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customFormat="false" ht="15" hidden="false" customHeight="false" outlineLevel="0" collapsed="false">
      <c r="A94" s="95" t="str">
        <f aca="false">"実部"</f>
        <v>実部</v>
      </c>
      <c r="B94" s="88" t="str">
        <f aca="false">IF(03_FRFデータ貼付!B91="","",03_FRFデータ貼付!A91)</f>
        <v/>
      </c>
      <c r="C94" s="89" t="n">
        <f aca="false">IF(03_FRFデータ貼付!B91="",0,03_FRFデータ貼付!G91)</f>
        <v>0</v>
      </c>
      <c r="D94" s="71" t="n">
        <f aca="false">IF(03_FRFデータ貼付!C91="",0,03_FRFデータ貼付!C91)</f>
        <v>0</v>
      </c>
      <c r="E94" s="71" t="n">
        <f aca="false">IF(03_FRFデータ貼付!D91="",0,03_FRFデータ貼付!D91)</f>
        <v>0</v>
      </c>
      <c r="F94" s="118" t="n">
        <f aca="false">IF($C94=0,0,$V$4/($V$4^2+($C94-$V$5)^2))</f>
        <v>0</v>
      </c>
      <c r="G94" s="118" t="n">
        <f aca="false">IF($C94=0,0,-($C94-$V$5)/($V$4^2+($C94-$V$5)^2))</f>
        <v>0</v>
      </c>
      <c r="H94" s="118" t="n">
        <f aca="false">IF($C94=0,0,$V$4/($V$4^2+($C94+$V$5)^2))</f>
        <v>0</v>
      </c>
      <c r="I94" s="118" t="n">
        <f aca="false">IF($C94=0,0,-($C94+$V$5)/($V$4^2+($C94+$V$5)^2))</f>
        <v>0</v>
      </c>
      <c r="J94" s="118" t="n">
        <f aca="false">IF($C94=0,0,$V$6/($V$6^2+($C94-$V$7)^2))</f>
        <v>0</v>
      </c>
      <c r="K94" s="118" t="n">
        <f aca="false">IF($C94=0,0,-($C94-$V$7)/($V$6^2+($C94-$V$7)^2))</f>
        <v>0</v>
      </c>
      <c r="L94" s="118" t="n">
        <f aca="false">IF($C94=0,0,$V$6/($V$6^2+($C94+$V$7)^2))</f>
        <v>0</v>
      </c>
      <c r="M94" s="118" t="n">
        <f aca="false">IF($C94=0,0,-($C94+$V$7)/($V$6^2+($C94+$V$7)^2))</f>
        <v>0</v>
      </c>
      <c r="N94" s="118" t="n">
        <f aca="false">F94+H94</f>
        <v>0</v>
      </c>
      <c r="O94" s="118" t="n">
        <f aca="false">I94-G94</f>
        <v>0</v>
      </c>
      <c r="P94" s="118" t="n">
        <f aca="false">J94+L94</f>
        <v>0</v>
      </c>
      <c r="Q94" s="118" t="n">
        <f aca="false">M94-K94</f>
        <v>0</v>
      </c>
      <c r="R94" s="118" t="n">
        <f aca="false">IF($C94=0,0,-1/$C94^2)</f>
        <v>0</v>
      </c>
      <c r="S94" s="88" t="n">
        <f aca="false">IF($C94=0,0,1)</f>
        <v>0</v>
      </c>
      <c r="T94" s="71" t="n">
        <f aca="false">D94</f>
        <v>0</v>
      </c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customFormat="false" ht="15" hidden="false" customHeight="false" outlineLevel="0" collapsed="false">
      <c r="A95" s="95" t="str">
        <f aca="false">"実部"</f>
        <v>実部</v>
      </c>
      <c r="B95" s="88" t="str">
        <f aca="false">IF(03_FRFデータ貼付!B92="","",03_FRFデータ貼付!A92)</f>
        <v/>
      </c>
      <c r="C95" s="89" t="n">
        <f aca="false">IF(03_FRFデータ貼付!B92="",0,03_FRFデータ貼付!G92)</f>
        <v>0</v>
      </c>
      <c r="D95" s="71" t="n">
        <f aca="false">IF(03_FRFデータ貼付!C92="",0,03_FRFデータ貼付!C92)</f>
        <v>0</v>
      </c>
      <c r="E95" s="71" t="n">
        <f aca="false">IF(03_FRFデータ貼付!D92="",0,03_FRFデータ貼付!D92)</f>
        <v>0</v>
      </c>
      <c r="F95" s="118" t="n">
        <f aca="false">IF($C95=0,0,$V$4/($V$4^2+($C95-$V$5)^2))</f>
        <v>0</v>
      </c>
      <c r="G95" s="118" t="n">
        <f aca="false">IF($C95=0,0,-($C95-$V$5)/($V$4^2+($C95-$V$5)^2))</f>
        <v>0</v>
      </c>
      <c r="H95" s="118" t="n">
        <f aca="false">IF($C95=0,0,$V$4/($V$4^2+($C95+$V$5)^2))</f>
        <v>0</v>
      </c>
      <c r="I95" s="118" t="n">
        <f aca="false">IF($C95=0,0,-($C95+$V$5)/($V$4^2+($C95+$V$5)^2))</f>
        <v>0</v>
      </c>
      <c r="J95" s="118" t="n">
        <f aca="false">IF($C95=0,0,$V$6/($V$6^2+($C95-$V$7)^2))</f>
        <v>0</v>
      </c>
      <c r="K95" s="118" t="n">
        <f aca="false">IF($C95=0,0,-($C95-$V$7)/($V$6^2+($C95-$V$7)^2))</f>
        <v>0</v>
      </c>
      <c r="L95" s="118" t="n">
        <f aca="false">IF($C95=0,0,$V$6/($V$6^2+($C95+$V$7)^2))</f>
        <v>0</v>
      </c>
      <c r="M95" s="118" t="n">
        <f aca="false">IF($C95=0,0,-($C95+$V$7)/($V$6^2+($C95+$V$7)^2))</f>
        <v>0</v>
      </c>
      <c r="N95" s="118" t="n">
        <f aca="false">F95+H95</f>
        <v>0</v>
      </c>
      <c r="O95" s="118" t="n">
        <f aca="false">I95-G95</f>
        <v>0</v>
      </c>
      <c r="P95" s="118" t="n">
        <f aca="false">J95+L95</f>
        <v>0</v>
      </c>
      <c r="Q95" s="118" t="n">
        <f aca="false">M95-K95</f>
        <v>0</v>
      </c>
      <c r="R95" s="118" t="n">
        <f aca="false">IF($C95=0,0,-1/$C95^2)</f>
        <v>0</v>
      </c>
      <c r="S95" s="88" t="n">
        <f aca="false">IF($C95=0,0,1)</f>
        <v>0</v>
      </c>
      <c r="T95" s="71" t="n">
        <f aca="false">D95</f>
        <v>0</v>
      </c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customFormat="false" ht="15" hidden="false" customHeight="false" outlineLevel="0" collapsed="false">
      <c r="A96" s="95" t="str">
        <f aca="false">"実部"</f>
        <v>実部</v>
      </c>
      <c r="B96" s="88" t="str">
        <f aca="false">IF(03_FRFデータ貼付!B93="","",03_FRFデータ貼付!A93)</f>
        <v/>
      </c>
      <c r="C96" s="89" t="n">
        <f aca="false">IF(03_FRFデータ貼付!B93="",0,03_FRFデータ貼付!G93)</f>
        <v>0</v>
      </c>
      <c r="D96" s="71" t="n">
        <f aca="false">IF(03_FRFデータ貼付!C93="",0,03_FRFデータ貼付!C93)</f>
        <v>0</v>
      </c>
      <c r="E96" s="71" t="n">
        <f aca="false">IF(03_FRFデータ貼付!D93="",0,03_FRFデータ貼付!D93)</f>
        <v>0</v>
      </c>
      <c r="F96" s="118" t="n">
        <f aca="false">IF($C96=0,0,$V$4/($V$4^2+($C96-$V$5)^2))</f>
        <v>0</v>
      </c>
      <c r="G96" s="118" t="n">
        <f aca="false">IF($C96=0,0,-($C96-$V$5)/($V$4^2+($C96-$V$5)^2))</f>
        <v>0</v>
      </c>
      <c r="H96" s="118" t="n">
        <f aca="false">IF($C96=0,0,$V$4/($V$4^2+($C96+$V$5)^2))</f>
        <v>0</v>
      </c>
      <c r="I96" s="118" t="n">
        <f aca="false">IF($C96=0,0,-($C96+$V$5)/($V$4^2+($C96+$V$5)^2))</f>
        <v>0</v>
      </c>
      <c r="J96" s="118" t="n">
        <f aca="false">IF($C96=0,0,$V$6/($V$6^2+($C96-$V$7)^2))</f>
        <v>0</v>
      </c>
      <c r="K96" s="118" t="n">
        <f aca="false">IF($C96=0,0,-($C96-$V$7)/($V$6^2+($C96-$V$7)^2))</f>
        <v>0</v>
      </c>
      <c r="L96" s="118" t="n">
        <f aca="false">IF($C96=0,0,$V$6/($V$6^2+($C96+$V$7)^2))</f>
        <v>0</v>
      </c>
      <c r="M96" s="118" t="n">
        <f aca="false">IF($C96=0,0,-($C96+$V$7)/($V$6^2+($C96+$V$7)^2))</f>
        <v>0</v>
      </c>
      <c r="N96" s="118" t="n">
        <f aca="false">F96+H96</f>
        <v>0</v>
      </c>
      <c r="O96" s="118" t="n">
        <f aca="false">I96-G96</f>
        <v>0</v>
      </c>
      <c r="P96" s="118" t="n">
        <f aca="false">J96+L96</f>
        <v>0</v>
      </c>
      <c r="Q96" s="118" t="n">
        <f aca="false">M96-K96</f>
        <v>0</v>
      </c>
      <c r="R96" s="118" t="n">
        <f aca="false">IF($C96=0,0,-1/$C96^2)</f>
        <v>0</v>
      </c>
      <c r="S96" s="88" t="n">
        <f aca="false">IF($C96=0,0,1)</f>
        <v>0</v>
      </c>
      <c r="T96" s="71" t="n">
        <f aca="false">D96</f>
        <v>0</v>
      </c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customFormat="false" ht="15" hidden="false" customHeight="false" outlineLevel="0" collapsed="false">
      <c r="A97" s="95" t="str">
        <f aca="false">"実部"</f>
        <v>実部</v>
      </c>
      <c r="B97" s="88" t="str">
        <f aca="false">IF(03_FRFデータ貼付!B94="","",03_FRFデータ貼付!A94)</f>
        <v/>
      </c>
      <c r="C97" s="89" t="n">
        <f aca="false">IF(03_FRFデータ貼付!B94="",0,03_FRFデータ貼付!G94)</f>
        <v>0</v>
      </c>
      <c r="D97" s="71" t="n">
        <f aca="false">IF(03_FRFデータ貼付!C94="",0,03_FRFデータ貼付!C94)</f>
        <v>0</v>
      </c>
      <c r="E97" s="71" t="n">
        <f aca="false">IF(03_FRFデータ貼付!D94="",0,03_FRFデータ貼付!D94)</f>
        <v>0</v>
      </c>
      <c r="F97" s="118" t="n">
        <f aca="false">IF($C97=0,0,$V$4/($V$4^2+($C97-$V$5)^2))</f>
        <v>0</v>
      </c>
      <c r="G97" s="118" t="n">
        <f aca="false">IF($C97=0,0,-($C97-$V$5)/($V$4^2+($C97-$V$5)^2))</f>
        <v>0</v>
      </c>
      <c r="H97" s="118" t="n">
        <f aca="false">IF($C97=0,0,$V$4/($V$4^2+($C97+$V$5)^2))</f>
        <v>0</v>
      </c>
      <c r="I97" s="118" t="n">
        <f aca="false">IF($C97=0,0,-($C97+$V$5)/($V$4^2+($C97+$V$5)^2))</f>
        <v>0</v>
      </c>
      <c r="J97" s="118" t="n">
        <f aca="false">IF($C97=0,0,$V$6/($V$6^2+($C97-$V$7)^2))</f>
        <v>0</v>
      </c>
      <c r="K97" s="118" t="n">
        <f aca="false">IF($C97=0,0,-($C97-$V$7)/($V$6^2+($C97-$V$7)^2))</f>
        <v>0</v>
      </c>
      <c r="L97" s="118" t="n">
        <f aca="false">IF($C97=0,0,$V$6/($V$6^2+($C97+$V$7)^2))</f>
        <v>0</v>
      </c>
      <c r="M97" s="118" t="n">
        <f aca="false">IF($C97=0,0,-($C97+$V$7)/($V$6^2+($C97+$V$7)^2))</f>
        <v>0</v>
      </c>
      <c r="N97" s="118" t="n">
        <f aca="false">F97+H97</f>
        <v>0</v>
      </c>
      <c r="O97" s="118" t="n">
        <f aca="false">I97-G97</f>
        <v>0</v>
      </c>
      <c r="P97" s="118" t="n">
        <f aca="false">J97+L97</f>
        <v>0</v>
      </c>
      <c r="Q97" s="118" t="n">
        <f aca="false">M97-K97</f>
        <v>0</v>
      </c>
      <c r="R97" s="118" t="n">
        <f aca="false">IF($C97=0,0,-1/$C97^2)</f>
        <v>0</v>
      </c>
      <c r="S97" s="88" t="n">
        <f aca="false">IF($C97=0,0,1)</f>
        <v>0</v>
      </c>
      <c r="T97" s="71" t="n">
        <f aca="false">D97</f>
        <v>0</v>
      </c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customFormat="false" ht="15" hidden="false" customHeight="false" outlineLevel="0" collapsed="false">
      <c r="A98" s="95" t="str">
        <f aca="false">"実部"</f>
        <v>実部</v>
      </c>
      <c r="B98" s="88" t="str">
        <f aca="false">IF(03_FRFデータ貼付!B95="","",03_FRFデータ貼付!A95)</f>
        <v/>
      </c>
      <c r="C98" s="89" t="n">
        <f aca="false">IF(03_FRFデータ貼付!B95="",0,03_FRFデータ貼付!G95)</f>
        <v>0</v>
      </c>
      <c r="D98" s="71" t="n">
        <f aca="false">IF(03_FRFデータ貼付!C95="",0,03_FRFデータ貼付!C95)</f>
        <v>0</v>
      </c>
      <c r="E98" s="71" t="n">
        <f aca="false">IF(03_FRFデータ貼付!D95="",0,03_FRFデータ貼付!D95)</f>
        <v>0</v>
      </c>
      <c r="F98" s="118" t="n">
        <f aca="false">IF($C98=0,0,$V$4/($V$4^2+($C98-$V$5)^2))</f>
        <v>0</v>
      </c>
      <c r="G98" s="118" t="n">
        <f aca="false">IF($C98=0,0,-($C98-$V$5)/($V$4^2+($C98-$V$5)^2))</f>
        <v>0</v>
      </c>
      <c r="H98" s="118" t="n">
        <f aca="false">IF($C98=0,0,$V$4/($V$4^2+($C98+$V$5)^2))</f>
        <v>0</v>
      </c>
      <c r="I98" s="118" t="n">
        <f aca="false">IF($C98=0,0,-($C98+$V$5)/($V$4^2+($C98+$V$5)^2))</f>
        <v>0</v>
      </c>
      <c r="J98" s="118" t="n">
        <f aca="false">IF($C98=0,0,$V$6/($V$6^2+($C98-$V$7)^2))</f>
        <v>0</v>
      </c>
      <c r="K98" s="118" t="n">
        <f aca="false">IF($C98=0,0,-($C98-$V$7)/($V$6^2+($C98-$V$7)^2))</f>
        <v>0</v>
      </c>
      <c r="L98" s="118" t="n">
        <f aca="false">IF($C98=0,0,$V$6/($V$6^2+($C98+$V$7)^2))</f>
        <v>0</v>
      </c>
      <c r="M98" s="118" t="n">
        <f aca="false">IF($C98=0,0,-($C98+$V$7)/($V$6^2+($C98+$V$7)^2))</f>
        <v>0</v>
      </c>
      <c r="N98" s="118" t="n">
        <f aca="false">F98+H98</f>
        <v>0</v>
      </c>
      <c r="O98" s="118" t="n">
        <f aca="false">I98-G98</f>
        <v>0</v>
      </c>
      <c r="P98" s="118" t="n">
        <f aca="false">J98+L98</f>
        <v>0</v>
      </c>
      <c r="Q98" s="118" t="n">
        <f aca="false">M98-K98</f>
        <v>0</v>
      </c>
      <c r="R98" s="118" t="n">
        <f aca="false">IF($C98=0,0,-1/$C98^2)</f>
        <v>0</v>
      </c>
      <c r="S98" s="88" t="n">
        <f aca="false">IF($C98=0,0,1)</f>
        <v>0</v>
      </c>
      <c r="T98" s="71" t="n">
        <f aca="false">D98</f>
        <v>0</v>
      </c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customFormat="false" ht="15" hidden="false" customHeight="false" outlineLevel="0" collapsed="false">
      <c r="A99" s="95" t="str">
        <f aca="false">"実部"</f>
        <v>実部</v>
      </c>
      <c r="B99" s="88" t="str">
        <f aca="false">IF(03_FRFデータ貼付!B96="","",03_FRFデータ貼付!A96)</f>
        <v/>
      </c>
      <c r="C99" s="89" t="n">
        <f aca="false">IF(03_FRFデータ貼付!B96="",0,03_FRFデータ貼付!G96)</f>
        <v>0</v>
      </c>
      <c r="D99" s="71" t="n">
        <f aca="false">IF(03_FRFデータ貼付!C96="",0,03_FRFデータ貼付!C96)</f>
        <v>0</v>
      </c>
      <c r="E99" s="71" t="n">
        <f aca="false">IF(03_FRFデータ貼付!D96="",0,03_FRFデータ貼付!D96)</f>
        <v>0</v>
      </c>
      <c r="F99" s="118" t="n">
        <f aca="false">IF($C99=0,0,$V$4/($V$4^2+($C99-$V$5)^2))</f>
        <v>0</v>
      </c>
      <c r="G99" s="118" t="n">
        <f aca="false">IF($C99=0,0,-($C99-$V$5)/($V$4^2+($C99-$V$5)^2))</f>
        <v>0</v>
      </c>
      <c r="H99" s="118" t="n">
        <f aca="false">IF($C99=0,0,$V$4/($V$4^2+($C99+$V$5)^2))</f>
        <v>0</v>
      </c>
      <c r="I99" s="118" t="n">
        <f aca="false">IF($C99=0,0,-($C99+$V$5)/($V$4^2+($C99+$V$5)^2))</f>
        <v>0</v>
      </c>
      <c r="J99" s="118" t="n">
        <f aca="false">IF($C99=0,0,$V$6/($V$6^2+($C99-$V$7)^2))</f>
        <v>0</v>
      </c>
      <c r="K99" s="118" t="n">
        <f aca="false">IF($C99=0,0,-($C99-$V$7)/($V$6^2+($C99-$V$7)^2))</f>
        <v>0</v>
      </c>
      <c r="L99" s="118" t="n">
        <f aca="false">IF($C99=0,0,$V$6/($V$6^2+($C99+$V$7)^2))</f>
        <v>0</v>
      </c>
      <c r="M99" s="118" t="n">
        <f aca="false">IF($C99=0,0,-($C99+$V$7)/($V$6^2+($C99+$V$7)^2))</f>
        <v>0</v>
      </c>
      <c r="N99" s="118" t="n">
        <f aca="false">F99+H99</f>
        <v>0</v>
      </c>
      <c r="O99" s="118" t="n">
        <f aca="false">I99-G99</f>
        <v>0</v>
      </c>
      <c r="P99" s="118" t="n">
        <f aca="false">J99+L99</f>
        <v>0</v>
      </c>
      <c r="Q99" s="118" t="n">
        <f aca="false">M99-K99</f>
        <v>0</v>
      </c>
      <c r="R99" s="118" t="n">
        <f aca="false">IF($C99=0,0,-1/$C99^2)</f>
        <v>0</v>
      </c>
      <c r="S99" s="88" t="n">
        <f aca="false">IF($C99=0,0,1)</f>
        <v>0</v>
      </c>
      <c r="T99" s="71" t="n">
        <f aca="false">D99</f>
        <v>0</v>
      </c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customFormat="false" ht="15" hidden="false" customHeight="false" outlineLevel="0" collapsed="false">
      <c r="A100" s="95" t="str">
        <f aca="false">"実部"</f>
        <v>実部</v>
      </c>
      <c r="B100" s="88" t="str">
        <f aca="false">IF(03_FRFデータ貼付!B97="","",03_FRFデータ貼付!A97)</f>
        <v/>
      </c>
      <c r="C100" s="89" t="n">
        <f aca="false">IF(03_FRFデータ貼付!B97="",0,03_FRFデータ貼付!G97)</f>
        <v>0</v>
      </c>
      <c r="D100" s="71" t="n">
        <f aca="false">IF(03_FRFデータ貼付!C97="",0,03_FRFデータ貼付!C97)</f>
        <v>0</v>
      </c>
      <c r="E100" s="71" t="n">
        <f aca="false">IF(03_FRFデータ貼付!D97="",0,03_FRFデータ貼付!D97)</f>
        <v>0</v>
      </c>
      <c r="F100" s="118" t="n">
        <f aca="false">IF($C100=0,0,$V$4/($V$4^2+($C100-$V$5)^2))</f>
        <v>0</v>
      </c>
      <c r="G100" s="118" t="n">
        <f aca="false">IF($C100=0,0,-($C100-$V$5)/($V$4^2+($C100-$V$5)^2))</f>
        <v>0</v>
      </c>
      <c r="H100" s="118" t="n">
        <f aca="false">IF($C100=0,0,$V$4/($V$4^2+($C100+$V$5)^2))</f>
        <v>0</v>
      </c>
      <c r="I100" s="118" t="n">
        <f aca="false">IF($C100=0,0,-($C100+$V$5)/($V$4^2+($C100+$V$5)^2))</f>
        <v>0</v>
      </c>
      <c r="J100" s="118" t="n">
        <f aca="false">IF($C100=0,0,$V$6/($V$6^2+($C100-$V$7)^2))</f>
        <v>0</v>
      </c>
      <c r="K100" s="118" t="n">
        <f aca="false">IF($C100=0,0,-($C100-$V$7)/($V$6^2+($C100-$V$7)^2))</f>
        <v>0</v>
      </c>
      <c r="L100" s="118" t="n">
        <f aca="false">IF($C100=0,0,$V$6/($V$6^2+($C100+$V$7)^2))</f>
        <v>0</v>
      </c>
      <c r="M100" s="118" t="n">
        <f aca="false">IF($C100=0,0,-($C100+$V$7)/($V$6^2+($C100+$V$7)^2))</f>
        <v>0</v>
      </c>
      <c r="N100" s="118" t="n">
        <f aca="false">F100+H100</f>
        <v>0</v>
      </c>
      <c r="O100" s="118" t="n">
        <f aca="false">I100-G100</f>
        <v>0</v>
      </c>
      <c r="P100" s="118" t="n">
        <f aca="false">J100+L100</f>
        <v>0</v>
      </c>
      <c r="Q100" s="118" t="n">
        <f aca="false">M100-K100</f>
        <v>0</v>
      </c>
      <c r="R100" s="118" t="n">
        <f aca="false">IF($C100=0,0,-1/$C100^2)</f>
        <v>0</v>
      </c>
      <c r="S100" s="88" t="n">
        <f aca="false">IF($C100=0,0,1)</f>
        <v>0</v>
      </c>
      <c r="T100" s="71" t="n">
        <f aca="false">D100</f>
        <v>0</v>
      </c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customFormat="false" ht="15" hidden="false" customHeight="false" outlineLevel="0" collapsed="false">
      <c r="A101" s="95" t="str">
        <f aca="false">"実部"</f>
        <v>実部</v>
      </c>
      <c r="B101" s="88" t="str">
        <f aca="false">IF(03_FRFデータ貼付!B98="","",03_FRFデータ貼付!A98)</f>
        <v/>
      </c>
      <c r="C101" s="89" t="n">
        <f aca="false">IF(03_FRFデータ貼付!B98="",0,03_FRFデータ貼付!G98)</f>
        <v>0</v>
      </c>
      <c r="D101" s="71" t="n">
        <f aca="false">IF(03_FRFデータ貼付!C98="",0,03_FRFデータ貼付!C98)</f>
        <v>0</v>
      </c>
      <c r="E101" s="71" t="n">
        <f aca="false">IF(03_FRFデータ貼付!D98="",0,03_FRFデータ貼付!D98)</f>
        <v>0</v>
      </c>
      <c r="F101" s="118" t="n">
        <f aca="false">IF($C101=0,0,$V$4/($V$4^2+($C101-$V$5)^2))</f>
        <v>0</v>
      </c>
      <c r="G101" s="118" t="n">
        <f aca="false">IF($C101=0,0,-($C101-$V$5)/($V$4^2+($C101-$V$5)^2))</f>
        <v>0</v>
      </c>
      <c r="H101" s="118" t="n">
        <f aca="false">IF($C101=0,0,$V$4/($V$4^2+($C101+$V$5)^2))</f>
        <v>0</v>
      </c>
      <c r="I101" s="118" t="n">
        <f aca="false">IF($C101=0,0,-($C101+$V$5)/($V$4^2+($C101+$V$5)^2))</f>
        <v>0</v>
      </c>
      <c r="J101" s="118" t="n">
        <f aca="false">IF($C101=0,0,$V$6/($V$6^2+($C101-$V$7)^2))</f>
        <v>0</v>
      </c>
      <c r="K101" s="118" t="n">
        <f aca="false">IF($C101=0,0,-($C101-$V$7)/($V$6^2+($C101-$V$7)^2))</f>
        <v>0</v>
      </c>
      <c r="L101" s="118" t="n">
        <f aca="false">IF($C101=0,0,$V$6/($V$6^2+($C101+$V$7)^2))</f>
        <v>0</v>
      </c>
      <c r="M101" s="118" t="n">
        <f aca="false">IF($C101=0,0,-($C101+$V$7)/($V$6^2+($C101+$V$7)^2))</f>
        <v>0</v>
      </c>
      <c r="N101" s="118" t="n">
        <f aca="false">F101+H101</f>
        <v>0</v>
      </c>
      <c r="O101" s="118" t="n">
        <f aca="false">I101-G101</f>
        <v>0</v>
      </c>
      <c r="P101" s="118" t="n">
        <f aca="false">J101+L101</f>
        <v>0</v>
      </c>
      <c r="Q101" s="118" t="n">
        <f aca="false">M101-K101</f>
        <v>0</v>
      </c>
      <c r="R101" s="118" t="n">
        <f aca="false">IF($C101=0,0,-1/$C101^2)</f>
        <v>0</v>
      </c>
      <c r="S101" s="88" t="n">
        <f aca="false">IF($C101=0,0,1)</f>
        <v>0</v>
      </c>
      <c r="T101" s="71" t="n">
        <f aca="false">D101</f>
        <v>0</v>
      </c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customFormat="false" ht="15" hidden="false" customHeight="false" outlineLevel="0" collapsed="false">
      <c r="A102" s="95" t="str">
        <f aca="false">"実部"</f>
        <v>実部</v>
      </c>
      <c r="B102" s="88" t="str">
        <f aca="false">IF(03_FRFデータ貼付!B99="","",03_FRFデータ貼付!A99)</f>
        <v/>
      </c>
      <c r="C102" s="89" t="n">
        <f aca="false">IF(03_FRFデータ貼付!B99="",0,03_FRFデータ貼付!G99)</f>
        <v>0</v>
      </c>
      <c r="D102" s="71" t="n">
        <f aca="false">IF(03_FRFデータ貼付!C99="",0,03_FRFデータ貼付!C99)</f>
        <v>0</v>
      </c>
      <c r="E102" s="71" t="n">
        <f aca="false">IF(03_FRFデータ貼付!D99="",0,03_FRFデータ貼付!D99)</f>
        <v>0</v>
      </c>
      <c r="F102" s="118" t="n">
        <f aca="false">IF($C102=0,0,$V$4/($V$4^2+($C102-$V$5)^2))</f>
        <v>0</v>
      </c>
      <c r="G102" s="118" t="n">
        <f aca="false">IF($C102=0,0,-($C102-$V$5)/($V$4^2+($C102-$V$5)^2))</f>
        <v>0</v>
      </c>
      <c r="H102" s="118" t="n">
        <f aca="false">IF($C102=0,0,$V$4/($V$4^2+($C102+$V$5)^2))</f>
        <v>0</v>
      </c>
      <c r="I102" s="118" t="n">
        <f aca="false">IF($C102=0,0,-($C102+$V$5)/($V$4^2+($C102+$V$5)^2))</f>
        <v>0</v>
      </c>
      <c r="J102" s="118" t="n">
        <f aca="false">IF($C102=0,0,$V$6/($V$6^2+($C102-$V$7)^2))</f>
        <v>0</v>
      </c>
      <c r="K102" s="118" t="n">
        <f aca="false">IF($C102=0,0,-($C102-$V$7)/($V$6^2+($C102-$V$7)^2))</f>
        <v>0</v>
      </c>
      <c r="L102" s="118" t="n">
        <f aca="false">IF($C102=0,0,$V$6/($V$6^2+($C102+$V$7)^2))</f>
        <v>0</v>
      </c>
      <c r="M102" s="118" t="n">
        <f aca="false">IF($C102=0,0,-($C102+$V$7)/($V$6^2+($C102+$V$7)^2))</f>
        <v>0</v>
      </c>
      <c r="N102" s="118" t="n">
        <f aca="false">F102+H102</f>
        <v>0</v>
      </c>
      <c r="O102" s="118" t="n">
        <f aca="false">I102-G102</f>
        <v>0</v>
      </c>
      <c r="P102" s="118" t="n">
        <f aca="false">J102+L102</f>
        <v>0</v>
      </c>
      <c r="Q102" s="118" t="n">
        <f aca="false">M102-K102</f>
        <v>0</v>
      </c>
      <c r="R102" s="118" t="n">
        <f aca="false">IF($C102=0,0,-1/$C102^2)</f>
        <v>0</v>
      </c>
      <c r="S102" s="88" t="n">
        <f aca="false">IF($C102=0,0,1)</f>
        <v>0</v>
      </c>
      <c r="T102" s="71" t="n">
        <f aca="false">D102</f>
        <v>0</v>
      </c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customFormat="false" ht="15" hidden="false" customHeight="false" outlineLevel="0" collapsed="false">
      <c r="A103" s="95" t="str">
        <f aca="false">"実部"</f>
        <v>実部</v>
      </c>
      <c r="B103" s="88" t="str">
        <f aca="false">IF(03_FRFデータ貼付!B100="","",03_FRFデータ貼付!A100)</f>
        <v/>
      </c>
      <c r="C103" s="89" t="n">
        <f aca="false">IF(03_FRFデータ貼付!B100="",0,03_FRFデータ貼付!G100)</f>
        <v>0</v>
      </c>
      <c r="D103" s="71" t="n">
        <f aca="false">IF(03_FRFデータ貼付!C100="",0,03_FRFデータ貼付!C100)</f>
        <v>0</v>
      </c>
      <c r="E103" s="71" t="n">
        <f aca="false">IF(03_FRFデータ貼付!D100="",0,03_FRFデータ貼付!D100)</f>
        <v>0</v>
      </c>
      <c r="F103" s="118" t="n">
        <f aca="false">IF($C103=0,0,$V$4/($V$4^2+($C103-$V$5)^2))</f>
        <v>0</v>
      </c>
      <c r="G103" s="118" t="n">
        <f aca="false">IF($C103=0,0,-($C103-$V$5)/($V$4^2+($C103-$V$5)^2))</f>
        <v>0</v>
      </c>
      <c r="H103" s="118" t="n">
        <f aca="false">IF($C103=0,0,$V$4/($V$4^2+($C103+$V$5)^2))</f>
        <v>0</v>
      </c>
      <c r="I103" s="118" t="n">
        <f aca="false">IF($C103=0,0,-($C103+$V$5)/($V$4^2+($C103+$V$5)^2))</f>
        <v>0</v>
      </c>
      <c r="J103" s="118" t="n">
        <f aca="false">IF($C103=0,0,$V$6/($V$6^2+($C103-$V$7)^2))</f>
        <v>0</v>
      </c>
      <c r="K103" s="118" t="n">
        <f aca="false">IF($C103=0,0,-($C103-$V$7)/($V$6^2+($C103-$V$7)^2))</f>
        <v>0</v>
      </c>
      <c r="L103" s="118" t="n">
        <f aca="false">IF($C103=0,0,$V$6/($V$6^2+($C103+$V$7)^2))</f>
        <v>0</v>
      </c>
      <c r="M103" s="118" t="n">
        <f aca="false">IF($C103=0,0,-($C103+$V$7)/($V$6^2+($C103+$V$7)^2))</f>
        <v>0</v>
      </c>
      <c r="N103" s="118" t="n">
        <f aca="false">F103+H103</f>
        <v>0</v>
      </c>
      <c r="O103" s="118" t="n">
        <f aca="false">I103-G103</f>
        <v>0</v>
      </c>
      <c r="P103" s="118" t="n">
        <f aca="false">J103+L103</f>
        <v>0</v>
      </c>
      <c r="Q103" s="118" t="n">
        <f aca="false">M103-K103</f>
        <v>0</v>
      </c>
      <c r="R103" s="118" t="n">
        <f aca="false">IF($C103=0,0,-1/$C103^2)</f>
        <v>0</v>
      </c>
      <c r="S103" s="88" t="n">
        <f aca="false">IF($C103=0,0,1)</f>
        <v>0</v>
      </c>
      <c r="T103" s="71" t="n">
        <f aca="false">D103</f>
        <v>0</v>
      </c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customFormat="false" ht="15" hidden="false" customHeight="false" outlineLevel="0" collapsed="false">
      <c r="A104" s="95" t="str">
        <f aca="false">"実部"</f>
        <v>実部</v>
      </c>
      <c r="B104" s="88" t="str">
        <f aca="false">IF(03_FRFデータ貼付!B101="","",03_FRFデータ貼付!A101)</f>
        <v/>
      </c>
      <c r="C104" s="89" t="n">
        <f aca="false">IF(03_FRFデータ貼付!B101="",0,03_FRFデータ貼付!G101)</f>
        <v>0</v>
      </c>
      <c r="D104" s="71" t="n">
        <f aca="false">IF(03_FRFデータ貼付!C101="",0,03_FRFデータ貼付!C101)</f>
        <v>0</v>
      </c>
      <c r="E104" s="71" t="n">
        <f aca="false">IF(03_FRFデータ貼付!D101="",0,03_FRFデータ貼付!D101)</f>
        <v>0</v>
      </c>
      <c r="F104" s="118" t="n">
        <f aca="false">IF($C104=0,0,$V$4/($V$4^2+($C104-$V$5)^2))</f>
        <v>0</v>
      </c>
      <c r="G104" s="118" t="n">
        <f aca="false">IF($C104=0,0,-($C104-$V$5)/($V$4^2+($C104-$V$5)^2))</f>
        <v>0</v>
      </c>
      <c r="H104" s="118" t="n">
        <f aca="false">IF($C104=0,0,$V$4/($V$4^2+($C104+$V$5)^2))</f>
        <v>0</v>
      </c>
      <c r="I104" s="118" t="n">
        <f aca="false">IF($C104=0,0,-($C104+$V$5)/($V$4^2+($C104+$V$5)^2))</f>
        <v>0</v>
      </c>
      <c r="J104" s="118" t="n">
        <f aca="false">IF($C104=0,0,$V$6/($V$6^2+($C104-$V$7)^2))</f>
        <v>0</v>
      </c>
      <c r="K104" s="118" t="n">
        <f aca="false">IF($C104=0,0,-($C104-$V$7)/($V$6^2+($C104-$V$7)^2))</f>
        <v>0</v>
      </c>
      <c r="L104" s="118" t="n">
        <f aca="false">IF($C104=0,0,$V$6/($V$6^2+($C104+$V$7)^2))</f>
        <v>0</v>
      </c>
      <c r="M104" s="118" t="n">
        <f aca="false">IF($C104=0,0,-($C104+$V$7)/($V$6^2+($C104+$V$7)^2))</f>
        <v>0</v>
      </c>
      <c r="N104" s="118" t="n">
        <f aca="false">F104+H104</f>
        <v>0</v>
      </c>
      <c r="O104" s="118" t="n">
        <f aca="false">I104-G104</f>
        <v>0</v>
      </c>
      <c r="P104" s="118" t="n">
        <f aca="false">J104+L104</f>
        <v>0</v>
      </c>
      <c r="Q104" s="118" t="n">
        <f aca="false">M104-K104</f>
        <v>0</v>
      </c>
      <c r="R104" s="118" t="n">
        <f aca="false">IF($C104=0,0,-1/$C104^2)</f>
        <v>0</v>
      </c>
      <c r="S104" s="88" t="n">
        <f aca="false">IF($C104=0,0,1)</f>
        <v>0</v>
      </c>
      <c r="T104" s="71" t="n">
        <f aca="false">D104</f>
        <v>0</v>
      </c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customFormat="false" ht="15" hidden="false" customHeight="false" outlineLevel="0" collapsed="false">
      <c r="A105" s="95" t="str">
        <f aca="false">"実部"</f>
        <v>実部</v>
      </c>
      <c r="B105" s="88" t="str">
        <f aca="false">IF(03_FRFデータ貼付!B102="","",03_FRFデータ貼付!A102)</f>
        <v/>
      </c>
      <c r="C105" s="89" t="n">
        <f aca="false">IF(03_FRFデータ貼付!B102="",0,03_FRFデータ貼付!G102)</f>
        <v>0</v>
      </c>
      <c r="D105" s="71" t="n">
        <f aca="false">IF(03_FRFデータ貼付!C102="",0,03_FRFデータ貼付!C102)</f>
        <v>0</v>
      </c>
      <c r="E105" s="71" t="n">
        <f aca="false">IF(03_FRFデータ貼付!D102="",0,03_FRFデータ貼付!D102)</f>
        <v>0</v>
      </c>
      <c r="F105" s="118" t="n">
        <f aca="false">IF($C105=0,0,$V$4/($V$4^2+($C105-$V$5)^2))</f>
        <v>0</v>
      </c>
      <c r="G105" s="118" t="n">
        <f aca="false">IF($C105=0,0,-($C105-$V$5)/($V$4^2+($C105-$V$5)^2))</f>
        <v>0</v>
      </c>
      <c r="H105" s="118" t="n">
        <f aca="false">IF($C105=0,0,$V$4/($V$4^2+($C105+$V$5)^2))</f>
        <v>0</v>
      </c>
      <c r="I105" s="118" t="n">
        <f aca="false">IF($C105=0,0,-($C105+$V$5)/($V$4^2+($C105+$V$5)^2))</f>
        <v>0</v>
      </c>
      <c r="J105" s="118" t="n">
        <f aca="false">IF($C105=0,0,$V$6/($V$6^2+($C105-$V$7)^2))</f>
        <v>0</v>
      </c>
      <c r="K105" s="118" t="n">
        <f aca="false">IF($C105=0,0,-($C105-$V$7)/($V$6^2+($C105-$V$7)^2))</f>
        <v>0</v>
      </c>
      <c r="L105" s="118" t="n">
        <f aca="false">IF($C105=0,0,$V$6/($V$6^2+($C105+$V$7)^2))</f>
        <v>0</v>
      </c>
      <c r="M105" s="118" t="n">
        <f aca="false">IF($C105=0,0,-($C105+$V$7)/($V$6^2+($C105+$V$7)^2))</f>
        <v>0</v>
      </c>
      <c r="N105" s="118" t="n">
        <f aca="false">F105+H105</f>
        <v>0</v>
      </c>
      <c r="O105" s="118" t="n">
        <f aca="false">I105-G105</f>
        <v>0</v>
      </c>
      <c r="P105" s="118" t="n">
        <f aca="false">J105+L105</f>
        <v>0</v>
      </c>
      <c r="Q105" s="118" t="n">
        <f aca="false">M105-K105</f>
        <v>0</v>
      </c>
      <c r="R105" s="118" t="n">
        <f aca="false">IF($C105=0,0,-1/$C105^2)</f>
        <v>0</v>
      </c>
      <c r="S105" s="88" t="n">
        <f aca="false">IF($C105=0,0,1)</f>
        <v>0</v>
      </c>
      <c r="T105" s="71" t="n">
        <f aca="false">D105</f>
        <v>0</v>
      </c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customFormat="false" ht="15" hidden="false" customHeight="false" outlineLevel="0" collapsed="false">
      <c r="A106" s="95" t="str">
        <f aca="false">"実部"</f>
        <v>実部</v>
      </c>
      <c r="B106" s="88" t="str">
        <f aca="false">IF(03_FRFデータ貼付!B103="","",03_FRFデータ貼付!A103)</f>
        <v/>
      </c>
      <c r="C106" s="89" t="n">
        <f aca="false">IF(03_FRFデータ貼付!B103="",0,03_FRFデータ貼付!G103)</f>
        <v>0</v>
      </c>
      <c r="D106" s="71" t="n">
        <f aca="false">IF(03_FRFデータ貼付!C103="",0,03_FRFデータ貼付!C103)</f>
        <v>0</v>
      </c>
      <c r="E106" s="71" t="n">
        <f aca="false">IF(03_FRFデータ貼付!D103="",0,03_FRFデータ貼付!D103)</f>
        <v>0</v>
      </c>
      <c r="F106" s="118" t="n">
        <f aca="false">IF($C106=0,0,$V$4/($V$4^2+($C106-$V$5)^2))</f>
        <v>0</v>
      </c>
      <c r="G106" s="118" t="n">
        <f aca="false">IF($C106=0,0,-($C106-$V$5)/($V$4^2+($C106-$V$5)^2))</f>
        <v>0</v>
      </c>
      <c r="H106" s="118" t="n">
        <f aca="false">IF($C106=0,0,$V$4/($V$4^2+($C106+$V$5)^2))</f>
        <v>0</v>
      </c>
      <c r="I106" s="118" t="n">
        <f aca="false">IF($C106=0,0,-($C106+$V$5)/($V$4^2+($C106+$V$5)^2))</f>
        <v>0</v>
      </c>
      <c r="J106" s="118" t="n">
        <f aca="false">IF($C106=0,0,$V$6/($V$6^2+($C106-$V$7)^2))</f>
        <v>0</v>
      </c>
      <c r="K106" s="118" t="n">
        <f aca="false">IF($C106=0,0,-($C106-$V$7)/($V$6^2+($C106-$V$7)^2))</f>
        <v>0</v>
      </c>
      <c r="L106" s="118" t="n">
        <f aca="false">IF($C106=0,0,$V$6/($V$6^2+($C106+$V$7)^2))</f>
        <v>0</v>
      </c>
      <c r="M106" s="118" t="n">
        <f aca="false">IF($C106=0,0,-($C106+$V$7)/($V$6^2+($C106+$V$7)^2))</f>
        <v>0</v>
      </c>
      <c r="N106" s="118" t="n">
        <f aca="false">F106+H106</f>
        <v>0</v>
      </c>
      <c r="O106" s="118" t="n">
        <f aca="false">I106-G106</f>
        <v>0</v>
      </c>
      <c r="P106" s="118" t="n">
        <f aca="false">J106+L106</f>
        <v>0</v>
      </c>
      <c r="Q106" s="118" t="n">
        <f aca="false">M106-K106</f>
        <v>0</v>
      </c>
      <c r="R106" s="118" t="n">
        <f aca="false">IF($C106=0,0,-1/$C106^2)</f>
        <v>0</v>
      </c>
      <c r="S106" s="88" t="n">
        <f aca="false">IF($C106=0,0,1)</f>
        <v>0</v>
      </c>
      <c r="T106" s="71" t="n">
        <f aca="false">D106</f>
        <v>0</v>
      </c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customFormat="false" ht="15" hidden="false" customHeight="false" outlineLevel="0" collapsed="false">
      <c r="A107" s="95" t="str">
        <f aca="false">"実部"</f>
        <v>実部</v>
      </c>
      <c r="B107" s="88" t="str">
        <f aca="false">IF(03_FRFデータ貼付!B104="","",03_FRFデータ貼付!A104)</f>
        <v/>
      </c>
      <c r="C107" s="89" t="n">
        <f aca="false">IF(03_FRFデータ貼付!B104="",0,03_FRFデータ貼付!G104)</f>
        <v>0</v>
      </c>
      <c r="D107" s="71" t="n">
        <f aca="false">IF(03_FRFデータ貼付!C104="",0,03_FRFデータ貼付!C104)</f>
        <v>0</v>
      </c>
      <c r="E107" s="71" t="n">
        <f aca="false">IF(03_FRFデータ貼付!D104="",0,03_FRFデータ貼付!D104)</f>
        <v>0</v>
      </c>
      <c r="F107" s="118" t="n">
        <f aca="false">IF($C107=0,0,$V$4/($V$4^2+($C107-$V$5)^2))</f>
        <v>0</v>
      </c>
      <c r="G107" s="118" t="n">
        <f aca="false">IF($C107=0,0,-($C107-$V$5)/($V$4^2+($C107-$V$5)^2))</f>
        <v>0</v>
      </c>
      <c r="H107" s="118" t="n">
        <f aca="false">IF($C107=0,0,$V$4/($V$4^2+($C107+$V$5)^2))</f>
        <v>0</v>
      </c>
      <c r="I107" s="118" t="n">
        <f aca="false">IF($C107=0,0,-($C107+$V$5)/($V$4^2+($C107+$V$5)^2))</f>
        <v>0</v>
      </c>
      <c r="J107" s="118" t="n">
        <f aca="false">IF($C107=0,0,$V$6/($V$6^2+($C107-$V$7)^2))</f>
        <v>0</v>
      </c>
      <c r="K107" s="118" t="n">
        <f aca="false">IF($C107=0,0,-($C107-$V$7)/($V$6^2+($C107-$V$7)^2))</f>
        <v>0</v>
      </c>
      <c r="L107" s="118" t="n">
        <f aca="false">IF($C107=0,0,$V$6/($V$6^2+($C107+$V$7)^2))</f>
        <v>0</v>
      </c>
      <c r="M107" s="118" t="n">
        <f aca="false">IF($C107=0,0,-($C107+$V$7)/($V$6^2+($C107+$V$7)^2))</f>
        <v>0</v>
      </c>
      <c r="N107" s="118" t="n">
        <f aca="false">F107+H107</f>
        <v>0</v>
      </c>
      <c r="O107" s="118" t="n">
        <f aca="false">I107-G107</f>
        <v>0</v>
      </c>
      <c r="P107" s="118" t="n">
        <f aca="false">J107+L107</f>
        <v>0</v>
      </c>
      <c r="Q107" s="118" t="n">
        <f aca="false">M107-K107</f>
        <v>0</v>
      </c>
      <c r="R107" s="118" t="n">
        <f aca="false">IF($C107=0,0,-1/$C107^2)</f>
        <v>0</v>
      </c>
      <c r="S107" s="88" t="n">
        <f aca="false">IF($C107=0,0,1)</f>
        <v>0</v>
      </c>
      <c r="T107" s="71" t="n">
        <f aca="false">D107</f>
        <v>0</v>
      </c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customFormat="false" ht="15" hidden="false" customHeight="false" outlineLevel="0" collapsed="false">
      <c r="A108" s="95" t="str">
        <f aca="false">"実部"</f>
        <v>実部</v>
      </c>
      <c r="B108" s="88" t="str">
        <f aca="false">IF(03_FRFデータ貼付!B105="","",03_FRFデータ貼付!A105)</f>
        <v/>
      </c>
      <c r="C108" s="89" t="n">
        <f aca="false">IF(03_FRFデータ貼付!B105="",0,03_FRFデータ貼付!G105)</f>
        <v>0</v>
      </c>
      <c r="D108" s="71" t="n">
        <f aca="false">IF(03_FRFデータ貼付!C105="",0,03_FRFデータ貼付!C105)</f>
        <v>0</v>
      </c>
      <c r="E108" s="71" t="n">
        <f aca="false">IF(03_FRFデータ貼付!D105="",0,03_FRFデータ貼付!D105)</f>
        <v>0</v>
      </c>
      <c r="F108" s="118" t="n">
        <f aca="false">IF($C108=0,0,$V$4/($V$4^2+($C108-$V$5)^2))</f>
        <v>0</v>
      </c>
      <c r="G108" s="118" t="n">
        <f aca="false">IF($C108=0,0,-($C108-$V$5)/($V$4^2+($C108-$V$5)^2))</f>
        <v>0</v>
      </c>
      <c r="H108" s="118" t="n">
        <f aca="false">IF($C108=0,0,$V$4/($V$4^2+($C108+$V$5)^2))</f>
        <v>0</v>
      </c>
      <c r="I108" s="118" t="n">
        <f aca="false">IF($C108=0,0,-($C108+$V$5)/($V$4^2+($C108+$V$5)^2))</f>
        <v>0</v>
      </c>
      <c r="J108" s="118" t="n">
        <f aca="false">IF($C108=0,0,$V$6/($V$6^2+($C108-$V$7)^2))</f>
        <v>0</v>
      </c>
      <c r="K108" s="118" t="n">
        <f aca="false">IF($C108=0,0,-($C108-$V$7)/($V$6^2+($C108-$V$7)^2))</f>
        <v>0</v>
      </c>
      <c r="L108" s="118" t="n">
        <f aca="false">IF($C108=0,0,$V$6/($V$6^2+($C108+$V$7)^2))</f>
        <v>0</v>
      </c>
      <c r="M108" s="118" t="n">
        <f aca="false">IF($C108=0,0,-($C108+$V$7)/($V$6^2+($C108+$V$7)^2))</f>
        <v>0</v>
      </c>
      <c r="N108" s="118" t="n">
        <f aca="false">F108+H108</f>
        <v>0</v>
      </c>
      <c r="O108" s="118" t="n">
        <f aca="false">I108-G108</f>
        <v>0</v>
      </c>
      <c r="P108" s="118" t="n">
        <f aca="false">J108+L108</f>
        <v>0</v>
      </c>
      <c r="Q108" s="118" t="n">
        <f aca="false">M108-K108</f>
        <v>0</v>
      </c>
      <c r="R108" s="118" t="n">
        <f aca="false">IF($C108=0,0,-1/$C108^2)</f>
        <v>0</v>
      </c>
      <c r="S108" s="88" t="n">
        <f aca="false">IF($C108=0,0,1)</f>
        <v>0</v>
      </c>
      <c r="T108" s="71" t="n">
        <f aca="false">D108</f>
        <v>0</v>
      </c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customFormat="false" ht="15" hidden="false" customHeight="false" outlineLevel="0" collapsed="false">
      <c r="A109" s="95" t="str">
        <f aca="false">"実部"</f>
        <v>実部</v>
      </c>
      <c r="B109" s="88" t="str">
        <f aca="false">IF(03_FRFデータ貼付!B106="","",03_FRFデータ貼付!A106)</f>
        <v/>
      </c>
      <c r="C109" s="89" t="n">
        <f aca="false">IF(03_FRFデータ貼付!B106="",0,03_FRFデータ貼付!G106)</f>
        <v>0</v>
      </c>
      <c r="D109" s="71" t="n">
        <f aca="false">IF(03_FRFデータ貼付!C106="",0,03_FRFデータ貼付!C106)</f>
        <v>0</v>
      </c>
      <c r="E109" s="71" t="n">
        <f aca="false">IF(03_FRFデータ貼付!D106="",0,03_FRFデータ貼付!D106)</f>
        <v>0</v>
      </c>
      <c r="F109" s="118" t="n">
        <f aca="false">IF($C109=0,0,$V$4/($V$4^2+($C109-$V$5)^2))</f>
        <v>0</v>
      </c>
      <c r="G109" s="118" t="n">
        <f aca="false">IF($C109=0,0,-($C109-$V$5)/($V$4^2+($C109-$V$5)^2))</f>
        <v>0</v>
      </c>
      <c r="H109" s="118" t="n">
        <f aca="false">IF($C109=0,0,$V$4/($V$4^2+($C109+$V$5)^2))</f>
        <v>0</v>
      </c>
      <c r="I109" s="118" t="n">
        <f aca="false">IF($C109=0,0,-($C109+$V$5)/($V$4^2+($C109+$V$5)^2))</f>
        <v>0</v>
      </c>
      <c r="J109" s="118" t="n">
        <f aca="false">IF($C109=0,0,$V$6/($V$6^2+($C109-$V$7)^2))</f>
        <v>0</v>
      </c>
      <c r="K109" s="118" t="n">
        <f aca="false">IF($C109=0,0,-($C109-$V$7)/($V$6^2+($C109-$V$7)^2))</f>
        <v>0</v>
      </c>
      <c r="L109" s="118" t="n">
        <f aca="false">IF($C109=0,0,$V$6/($V$6^2+($C109+$V$7)^2))</f>
        <v>0</v>
      </c>
      <c r="M109" s="118" t="n">
        <f aca="false">IF($C109=0,0,-($C109+$V$7)/($V$6^2+($C109+$V$7)^2))</f>
        <v>0</v>
      </c>
      <c r="N109" s="118" t="n">
        <f aca="false">F109+H109</f>
        <v>0</v>
      </c>
      <c r="O109" s="118" t="n">
        <f aca="false">I109-G109</f>
        <v>0</v>
      </c>
      <c r="P109" s="118" t="n">
        <f aca="false">J109+L109</f>
        <v>0</v>
      </c>
      <c r="Q109" s="118" t="n">
        <f aca="false">M109-K109</f>
        <v>0</v>
      </c>
      <c r="R109" s="118" t="n">
        <f aca="false">IF($C109=0,0,-1/$C109^2)</f>
        <v>0</v>
      </c>
      <c r="S109" s="88" t="n">
        <f aca="false">IF($C109=0,0,1)</f>
        <v>0</v>
      </c>
      <c r="T109" s="71" t="n">
        <f aca="false">D109</f>
        <v>0</v>
      </c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customFormat="false" ht="15" hidden="false" customHeight="false" outlineLevel="0" collapsed="false">
      <c r="A110" s="95" t="str">
        <f aca="false">"実部"</f>
        <v>実部</v>
      </c>
      <c r="B110" s="88" t="str">
        <f aca="false">IF(03_FRFデータ貼付!B107="","",03_FRFデータ貼付!A107)</f>
        <v/>
      </c>
      <c r="C110" s="89" t="n">
        <f aca="false">IF(03_FRFデータ貼付!B107="",0,03_FRFデータ貼付!G107)</f>
        <v>0</v>
      </c>
      <c r="D110" s="71" t="n">
        <f aca="false">IF(03_FRFデータ貼付!C107="",0,03_FRFデータ貼付!C107)</f>
        <v>0</v>
      </c>
      <c r="E110" s="71" t="n">
        <f aca="false">IF(03_FRFデータ貼付!D107="",0,03_FRFデータ貼付!D107)</f>
        <v>0</v>
      </c>
      <c r="F110" s="118" t="n">
        <f aca="false">IF($C110=0,0,$V$4/($V$4^2+($C110-$V$5)^2))</f>
        <v>0</v>
      </c>
      <c r="G110" s="118" t="n">
        <f aca="false">IF($C110=0,0,-($C110-$V$5)/($V$4^2+($C110-$V$5)^2))</f>
        <v>0</v>
      </c>
      <c r="H110" s="118" t="n">
        <f aca="false">IF($C110=0,0,$V$4/($V$4^2+($C110+$V$5)^2))</f>
        <v>0</v>
      </c>
      <c r="I110" s="118" t="n">
        <f aca="false">IF($C110=0,0,-($C110+$V$5)/($V$4^2+($C110+$V$5)^2))</f>
        <v>0</v>
      </c>
      <c r="J110" s="118" t="n">
        <f aca="false">IF($C110=0,0,$V$6/($V$6^2+($C110-$V$7)^2))</f>
        <v>0</v>
      </c>
      <c r="K110" s="118" t="n">
        <f aca="false">IF($C110=0,0,-($C110-$V$7)/($V$6^2+($C110-$V$7)^2))</f>
        <v>0</v>
      </c>
      <c r="L110" s="118" t="n">
        <f aca="false">IF($C110=0,0,$V$6/($V$6^2+($C110+$V$7)^2))</f>
        <v>0</v>
      </c>
      <c r="M110" s="118" t="n">
        <f aca="false">IF($C110=0,0,-($C110+$V$7)/($V$6^2+($C110+$V$7)^2))</f>
        <v>0</v>
      </c>
      <c r="N110" s="118" t="n">
        <f aca="false">F110+H110</f>
        <v>0</v>
      </c>
      <c r="O110" s="118" t="n">
        <f aca="false">I110-G110</f>
        <v>0</v>
      </c>
      <c r="P110" s="118" t="n">
        <f aca="false">J110+L110</f>
        <v>0</v>
      </c>
      <c r="Q110" s="118" t="n">
        <f aca="false">M110-K110</f>
        <v>0</v>
      </c>
      <c r="R110" s="118" t="n">
        <f aca="false">IF($C110=0,0,-1/$C110^2)</f>
        <v>0</v>
      </c>
      <c r="S110" s="88" t="n">
        <f aca="false">IF($C110=0,0,1)</f>
        <v>0</v>
      </c>
      <c r="T110" s="71" t="n">
        <f aca="false">D110</f>
        <v>0</v>
      </c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customFormat="false" ht="15" hidden="false" customHeight="false" outlineLevel="0" collapsed="false">
      <c r="A111" s="95" t="str">
        <f aca="false">"実部"</f>
        <v>実部</v>
      </c>
      <c r="B111" s="88" t="str">
        <f aca="false">IF(03_FRFデータ貼付!B108="","",03_FRFデータ貼付!A108)</f>
        <v/>
      </c>
      <c r="C111" s="89" t="n">
        <f aca="false">IF(03_FRFデータ貼付!B108="",0,03_FRFデータ貼付!G108)</f>
        <v>0</v>
      </c>
      <c r="D111" s="71" t="n">
        <f aca="false">IF(03_FRFデータ貼付!C108="",0,03_FRFデータ貼付!C108)</f>
        <v>0</v>
      </c>
      <c r="E111" s="71" t="n">
        <f aca="false">IF(03_FRFデータ貼付!D108="",0,03_FRFデータ貼付!D108)</f>
        <v>0</v>
      </c>
      <c r="F111" s="118" t="n">
        <f aca="false">IF($C111=0,0,$V$4/($V$4^2+($C111-$V$5)^2))</f>
        <v>0</v>
      </c>
      <c r="G111" s="118" t="n">
        <f aca="false">IF($C111=0,0,-($C111-$V$5)/($V$4^2+($C111-$V$5)^2))</f>
        <v>0</v>
      </c>
      <c r="H111" s="118" t="n">
        <f aca="false">IF($C111=0,0,$V$4/($V$4^2+($C111+$V$5)^2))</f>
        <v>0</v>
      </c>
      <c r="I111" s="118" t="n">
        <f aca="false">IF($C111=0,0,-($C111+$V$5)/($V$4^2+($C111+$V$5)^2))</f>
        <v>0</v>
      </c>
      <c r="J111" s="118" t="n">
        <f aca="false">IF($C111=0,0,$V$6/($V$6^2+($C111-$V$7)^2))</f>
        <v>0</v>
      </c>
      <c r="K111" s="118" t="n">
        <f aca="false">IF($C111=0,0,-($C111-$V$7)/($V$6^2+($C111-$V$7)^2))</f>
        <v>0</v>
      </c>
      <c r="L111" s="118" t="n">
        <f aca="false">IF($C111=0,0,$V$6/($V$6^2+($C111+$V$7)^2))</f>
        <v>0</v>
      </c>
      <c r="M111" s="118" t="n">
        <f aca="false">IF($C111=0,0,-($C111+$V$7)/($V$6^2+($C111+$V$7)^2))</f>
        <v>0</v>
      </c>
      <c r="N111" s="118" t="n">
        <f aca="false">F111+H111</f>
        <v>0</v>
      </c>
      <c r="O111" s="118" t="n">
        <f aca="false">I111-G111</f>
        <v>0</v>
      </c>
      <c r="P111" s="118" t="n">
        <f aca="false">J111+L111</f>
        <v>0</v>
      </c>
      <c r="Q111" s="118" t="n">
        <f aca="false">M111-K111</f>
        <v>0</v>
      </c>
      <c r="R111" s="118" t="n">
        <f aca="false">IF($C111=0,0,-1/$C111^2)</f>
        <v>0</v>
      </c>
      <c r="S111" s="88" t="n">
        <f aca="false">IF($C111=0,0,1)</f>
        <v>0</v>
      </c>
      <c r="T111" s="71" t="n">
        <f aca="false">D111</f>
        <v>0</v>
      </c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customFormat="false" ht="15" hidden="false" customHeight="false" outlineLevel="0" collapsed="false">
      <c r="A112" s="95" t="str">
        <f aca="false">"実部"</f>
        <v>実部</v>
      </c>
      <c r="B112" s="88" t="str">
        <f aca="false">IF(03_FRFデータ貼付!B109="","",03_FRFデータ貼付!A109)</f>
        <v/>
      </c>
      <c r="C112" s="89" t="n">
        <f aca="false">IF(03_FRFデータ貼付!B109="",0,03_FRFデータ貼付!G109)</f>
        <v>0</v>
      </c>
      <c r="D112" s="71" t="n">
        <f aca="false">IF(03_FRFデータ貼付!C109="",0,03_FRFデータ貼付!C109)</f>
        <v>0</v>
      </c>
      <c r="E112" s="71" t="n">
        <f aca="false">IF(03_FRFデータ貼付!D109="",0,03_FRFデータ貼付!D109)</f>
        <v>0</v>
      </c>
      <c r="F112" s="118" t="n">
        <f aca="false">IF($C112=0,0,$V$4/($V$4^2+($C112-$V$5)^2))</f>
        <v>0</v>
      </c>
      <c r="G112" s="118" t="n">
        <f aca="false">IF($C112=0,0,-($C112-$V$5)/($V$4^2+($C112-$V$5)^2))</f>
        <v>0</v>
      </c>
      <c r="H112" s="118" t="n">
        <f aca="false">IF($C112=0,0,$V$4/($V$4^2+($C112+$V$5)^2))</f>
        <v>0</v>
      </c>
      <c r="I112" s="118" t="n">
        <f aca="false">IF($C112=0,0,-($C112+$V$5)/($V$4^2+($C112+$V$5)^2))</f>
        <v>0</v>
      </c>
      <c r="J112" s="118" t="n">
        <f aca="false">IF($C112=0,0,$V$6/($V$6^2+($C112-$V$7)^2))</f>
        <v>0</v>
      </c>
      <c r="K112" s="118" t="n">
        <f aca="false">IF($C112=0,0,-($C112-$V$7)/($V$6^2+($C112-$V$7)^2))</f>
        <v>0</v>
      </c>
      <c r="L112" s="118" t="n">
        <f aca="false">IF($C112=0,0,$V$6/($V$6^2+($C112+$V$7)^2))</f>
        <v>0</v>
      </c>
      <c r="M112" s="118" t="n">
        <f aca="false">IF($C112=0,0,-($C112+$V$7)/($V$6^2+($C112+$V$7)^2))</f>
        <v>0</v>
      </c>
      <c r="N112" s="118" t="n">
        <f aca="false">F112+H112</f>
        <v>0</v>
      </c>
      <c r="O112" s="118" t="n">
        <f aca="false">I112-G112</f>
        <v>0</v>
      </c>
      <c r="P112" s="118" t="n">
        <f aca="false">J112+L112</f>
        <v>0</v>
      </c>
      <c r="Q112" s="118" t="n">
        <f aca="false">M112-K112</f>
        <v>0</v>
      </c>
      <c r="R112" s="118" t="n">
        <f aca="false">IF($C112=0,0,-1/$C112^2)</f>
        <v>0</v>
      </c>
      <c r="S112" s="88" t="n">
        <f aca="false">IF($C112=0,0,1)</f>
        <v>0</v>
      </c>
      <c r="T112" s="71" t="n">
        <f aca="false">D112</f>
        <v>0</v>
      </c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customFormat="false" ht="15" hidden="false" customHeight="false" outlineLevel="0" collapsed="false">
      <c r="A113" s="95" t="str">
        <f aca="false">"実部"</f>
        <v>実部</v>
      </c>
      <c r="B113" s="88" t="str">
        <f aca="false">IF(03_FRFデータ貼付!B110="","",03_FRFデータ貼付!A110)</f>
        <v/>
      </c>
      <c r="C113" s="89" t="n">
        <f aca="false">IF(03_FRFデータ貼付!B110="",0,03_FRFデータ貼付!G110)</f>
        <v>0</v>
      </c>
      <c r="D113" s="71" t="n">
        <f aca="false">IF(03_FRFデータ貼付!C110="",0,03_FRFデータ貼付!C110)</f>
        <v>0</v>
      </c>
      <c r="E113" s="71" t="n">
        <f aca="false">IF(03_FRFデータ貼付!D110="",0,03_FRFデータ貼付!D110)</f>
        <v>0</v>
      </c>
      <c r="F113" s="118" t="n">
        <f aca="false">IF($C113=0,0,$V$4/($V$4^2+($C113-$V$5)^2))</f>
        <v>0</v>
      </c>
      <c r="G113" s="118" t="n">
        <f aca="false">IF($C113=0,0,-($C113-$V$5)/($V$4^2+($C113-$V$5)^2))</f>
        <v>0</v>
      </c>
      <c r="H113" s="118" t="n">
        <f aca="false">IF($C113=0,0,$V$4/($V$4^2+($C113+$V$5)^2))</f>
        <v>0</v>
      </c>
      <c r="I113" s="118" t="n">
        <f aca="false">IF($C113=0,0,-($C113+$V$5)/($V$4^2+($C113+$V$5)^2))</f>
        <v>0</v>
      </c>
      <c r="J113" s="118" t="n">
        <f aca="false">IF($C113=0,0,$V$6/($V$6^2+($C113-$V$7)^2))</f>
        <v>0</v>
      </c>
      <c r="K113" s="118" t="n">
        <f aca="false">IF($C113=0,0,-($C113-$V$7)/($V$6^2+($C113-$V$7)^2))</f>
        <v>0</v>
      </c>
      <c r="L113" s="118" t="n">
        <f aca="false">IF($C113=0,0,$V$6/($V$6^2+($C113+$V$7)^2))</f>
        <v>0</v>
      </c>
      <c r="M113" s="118" t="n">
        <f aca="false">IF($C113=0,0,-($C113+$V$7)/($V$6^2+($C113+$V$7)^2))</f>
        <v>0</v>
      </c>
      <c r="N113" s="118" t="n">
        <f aca="false">F113+H113</f>
        <v>0</v>
      </c>
      <c r="O113" s="118" t="n">
        <f aca="false">I113-G113</f>
        <v>0</v>
      </c>
      <c r="P113" s="118" t="n">
        <f aca="false">J113+L113</f>
        <v>0</v>
      </c>
      <c r="Q113" s="118" t="n">
        <f aca="false">M113-K113</f>
        <v>0</v>
      </c>
      <c r="R113" s="118" t="n">
        <f aca="false">IF($C113=0,0,-1/$C113^2)</f>
        <v>0</v>
      </c>
      <c r="S113" s="88" t="n">
        <f aca="false">IF($C113=0,0,1)</f>
        <v>0</v>
      </c>
      <c r="T113" s="71" t="n">
        <f aca="false">D113</f>
        <v>0</v>
      </c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customFormat="false" ht="15" hidden="false" customHeight="false" outlineLevel="0" collapsed="false">
      <c r="A114" s="95" t="str">
        <f aca="false">"実部"</f>
        <v>実部</v>
      </c>
      <c r="B114" s="88" t="str">
        <f aca="false">IF(03_FRFデータ貼付!B111="","",03_FRFデータ貼付!A111)</f>
        <v/>
      </c>
      <c r="C114" s="89" t="n">
        <f aca="false">IF(03_FRFデータ貼付!B111="",0,03_FRFデータ貼付!G111)</f>
        <v>0</v>
      </c>
      <c r="D114" s="71" t="n">
        <f aca="false">IF(03_FRFデータ貼付!C111="",0,03_FRFデータ貼付!C111)</f>
        <v>0</v>
      </c>
      <c r="E114" s="71" t="n">
        <f aca="false">IF(03_FRFデータ貼付!D111="",0,03_FRFデータ貼付!D111)</f>
        <v>0</v>
      </c>
      <c r="F114" s="118" t="n">
        <f aca="false">IF($C114=0,0,$V$4/($V$4^2+($C114-$V$5)^2))</f>
        <v>0</v>
      </c>
      <c r="G114" s="118" t="n">
        <f aca="false">IF($C114=0,0,-($C114-$V$5)/($V$4^2+($C114-$V$5)^2))</f>
        <v>0</v>
      </c>
      <c r="H114" s="118" t="n">
        <f aca="false">IF($C114=0,0,$V$4/($V$4^2+($C114+$V$5)^2))</f>
        <v>0</v>
      </c>
      <c r="I114" s="118" t="n">
        <f aca="false">IF($C114=0,0,-($C114+$V$5)/($V$4^2+($C114+$V$5)^2))</f>
        <v>0</v>
      </c>
      <c r="J114" s="118" t="n">
        <f aca="false">IF($C114=0,0,$V$6/($V$6^2+($C114-$V$7)^2))</f>
        <v>0</v>
      </c>
      <c r="K114" s="118" t="n">
        <f aca="false">IF($C114=0,0,-($C114-$V$7)/($V$6^2+($C114-$V$7)^2))</f>
        <v>0</v>
      </c>
      <c r="L114" s="118" t="n">
        <f aca="false">IF($C114=0,0,$V$6/($V$6^2+($C114+$V$7)^2))</f>
        <v>0</v>
      </c>
      <c r="M114" s="118" t="n">
        <f aca="false">IF($C114=0,0,-($C114+$V$7)/($V$6^2+($C114+$V$7)^2))</f>
        <v>0</v>
      </c>
      <c r="N114" s="118" t="n">
        <f aca="false">F114+H114</f>
        <v>0</v>
      </c>
      <c r="O114" s="118" t="n">
        <f aca="false">I114-G114</f>
        <v>0</v>
      </c>
      <c r="P114" s="118" t="n">
        <f aca="false">J114+L114</f>
        <v>0</v>
      </c>
      <c r="Q114" s="118" t="n">
        <f aca="false">M114-K114</f>
        <v>0</v>
      </c>
      <c r="R114" s="118" t="n">
        <f aca="false">IF($C114=0,0,-1/$C114^2)</f>
        <v>0</v>
      </c>
      <c r="S114" s="88" t="n">
        <f aca="false">IF($C114=0,0,1)</f>
        <v>0</v>
      </c>
      <c r="T114" s="71" t="n">
        <f aca="false">D114</f>
        <v>0</v>
      </c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customFormat="false" ht="15" hidden="false" customHeight="false" outlineLevel="0" collapsed="false">
      <c r="A115" s="95" t="str">
        <f aca="false">"実部"</f>
        <v>実部</v>
      </c>
      <c r="B115" s="88" t="str">
        <f aca="false">IF(03_FRFデータ貼付!B112="","",03_FRFデータ貼付!A112)</f>
        <v/>
      </c>
      <c r="C115" s="89" t="n">
        <f aca="false">IF(03_FRFデータ貼付!B112="",0,03_FRFデータ貼付!G112)</f>
        <v>0</v>
      </c>
      <c r="D115" s="71" t="n">
        <f aca="false">IF(03_FRFデータ貼付!C112="",0,03_FRFデータ貼付!C112)</f>
        <v>0</v>
      </c>
      <c r="E115" s="71" t="n">
        <f aca="false">IF(03_FRFデータ貼付!D112="",0,03_FRFデータ貼付!D112)</f>
        <v>0</v>
      </c>
      <c r="F115" s="118" t="n">
        <f aca="false">IF($C115=0,0,$V$4/($V$4^2+($C115-$V$5)^2))</f>
        <v>0</v>
      </c>
      <c r="G115" s="118" t="n">
        <f aca="false">IF($C115=0,0,-($C115-$V$5)/($V$4^2+($C115-$V$5)^2))</f>
        <v>0</v>
      </c>
      <c r="H115" s="118" t="n">
        <f aca="false">IF($C115=0,0,$V$4/($V$4^2+($C115+$V$5)^2))</f>
        <v>0</v>
      </c>
      <c r="I115" s="118" t="n">
        <f aca="false">IF($C115=0,0,-($C115+$V$5)/($V$4^2+($C115+$V$5)^2))</f>
        <v>0</v>
      </c>
      <c r="J115" s="118" t="n">
        <f aca="false">IF($C115=0,0,$V$6/($V$6^2+($C115-$V$7)^2))</f>
        <v>0</v>
      </c>
      <c r="K115" s="118" t="n">
        <f aca="false">IF($C115=0,0,-($C115-$V$7)/($V$6^2+($C115-$V$7)^2))</f>
        <v>0</v>
      </c>
      <c r="L115" s="118" t="n">
        <f aca="false">IF($C115=0,0,$V$6/($V$6^2+($C115+$V$7)^2))</f>
        <v>0</v>
      </c>
      <c r="M115" s="118" t="n">
        <f aca="false">IF($C115=0,0,-($C115+$V$7)/($V$6^2+($C115+$V$7)^2))</f>
        <v>0</v>
      </c>
      <c r="N115" s="118" t="n">
        <f aca="false">F115+H115</f>
        <v>0</v>
      </c>
      <c r="O115" s="118" t="n">
        <f aca="false">I115-G115</f>
        <v>0</v>
      </c>
      <c r="P115" s="118" t="n">
        <f aca="false">J115+L115</f>
        <v>0</v>
      </c>
      <c r="Q115" s="118" t="n">
        <f aca="false">M115-K115</f>
        <v>0</v>
      </c>
      <c r="R115" s="118" t="n">
        <f aca="false">IF($C115=0,0,-1/$C115^2)</f>
        <v>0</v>
      </c>
      <c r="S115" s="88" t="n">
        <f aca="false">IF($C115=0,0,1)</f>
        <v>0</v>
      </c>
      <c r="T115" s="71" t="n">
        <f aca="false">D115</f>
        <v>0</v>
      </c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customFormat="false" ht="15" hidden="false" customHeight="false" outlineLevel="0" collapsed="false">
      <c r="A116" s="95" t="str">
        <f aca="false">"実部"</f>
        <v>実部</v>
      </c>
      <c r="B116" s="88" t="str">
        <f aca="false">IF(03_FRFデータ貼付!B113="","",03_FRFデータ貼付!A113)</f>
        <v/>
      </c>
      <c r="C116" s="89" t="n">
        <f aca="false">IF(03_FRFデータ貼付!B113="",0,03_FRFデータ貼付!G113)</f>
        <v>0</v>
      </c>
      <c r="D116" s="71" t="n">
        <f aca="false">IF(03_FRFデータ貼付!C113="",0,03_FRFデータ貼付!C113)</f>
        <v>0</v>
      </c>
      <c r="E116" s="71" t="n">
        <f aca="false">IF(03_FRFデータ貼付!D113="",0,03_FRFデータ貼付!D113)</f>
        <v>0</v>
      </c>
      <c r="F116" s="118" t="n">
        <f aca="false">IF($C116=0,0,$V$4/($V$4^2+($C116-$V$5)^2))</f>
        <v>0</v>
      </c>
      <c r="G116" s="118" t="n">
        <f aca="false">IF($C116=0,0,-($C116-$V$5)/($V$4^2+($C116-$V$5)^2))</f>
        <v>0</v>
      </c>
      <c r="H116" s="118" t="n">
        <f aca="false">IF($C116=0,0,$V$4/($V$4^2+($C116+$V$5)^2))</f>
        <v>0</v>
      </c>
      <c r="I116" s="118" t="n">
        <f aca="false">IF($C116=0,0,-($C116+$V$5)/($V$4^2+($C116+$V$5)^2))</f>
        <v>0</v>
      </c>
      <c r="J116" s="118" t="n">
        <f aca="false">IF($C116=0,0,$V$6/($V$6^2+($C116-$V$7)^2))</f>
        <v>0</v>
      </c>
      <c r="K116" s="118" t="n">
        <f aca="false">IF($C116=0,0,-($C116-$V$7)/($V$6^2+($C116-$V$7)^2))</f>
        <v>0</v>
      </c>
      <c r="L116" s="118" t="n">
        <f aca="false">IF($C116=0,0,$V$6/($V$6^2+($C116+$V$7)^2))</f>
        <v>0</v>
      </c>
      <c r="M116" s="118" t="n">
        <f aca="false">IF($C116=0,0,-($C116+$V$7)/($V$6^2+($C116+$V$7)^2))</f>
        <v>0</v>
      </c>
      <c r="N116" s="118" t="n">
        <f aca="false">F116+H116</f>
        <v>0</v>
      </c>
      <c r="O116" s="118" t="n">
        <f aca="false">I116-G116</f>
        <v>0</v>
      </c>
      <c r="P116" s="118" t="n">
        <f aca="false">J116+L116</f>
        <v>0</v>
      </c>
      <c r="Q116" s="118" t="n">
        <f aca="false">M116-K116</f>
        <v>0</v>
      </c>
      <c r="R116" s="118" t="n">
        <f aca="false">IF($C116=0,0,-1/$C116^2)</f>
        <v>0</v>
      </c>
      <c r="S116" s="88" t="n">
        <f aca="false">IF($C116=0,0,1)</f>
        <v>0</v>
      </c>
      <c r="T116" s="71" t="n">
        <f aca="false">D116</f>
        <v>0</v>
      </c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customFormat="false" ht="15" hidden="false" customHeight="false" outlineLevel="0" collapsed="false">
      <c r="A117" s="95" t="str">
        <f aca="false">"実部"</f>
        <v>実部</v>
      </c>
      <c r="B117" s="88" t="str">
        <f aca="false">IF(03_FRFデータ貼付!B114="","",03_FRFデータ貼付!A114)</f>
        <v/>
      </c>
      <c r="C117" s="89" t="n">
        <f aca="false">IF(03_FRFデータ貼付!B114="",0,03_FRFデータ貼付!G114)</f>
        <v>0</v>
      </c>
      <c r="D117" s="71" t="n">
        <f aca="false">IF(03_FRFデータ貼付!C114="",0,03_FRFデータ貼付!C114)</f>
        <v>0</v>
      </c>
      <c r="E117" s="71" t="n">
        <f aca="false">IF(03_FRFデータ貼付!D114="",0,03_FRFデータ貼付!D114)</f>
        <v>0</v>
      </c>
      <c r="F117" s="118" t="n">
        <f aca="false">IF($C117=0,0,$V$4/($V$4^2+($C117-$V$5)^2))</f>
        <v>0</v>
      </c>
      <c r="G117" s="118" t="n">
        <f aca="false">IF($C117=0,0,-($C117-$V$5)/($V$4^2+($C117-$V$5)^2))</f>
        <v>0</v>
      </c>
      <c r="H117" s="118" t="n">
        <f aca="false">IF($C117=0,0,$V$4/($V$4^2+($C117+$V$5)^2))</f>
        <v>0</v>
      </c>
      <c r="I117" s="118" t="n">
        <f aca="false">IF($C117=0,0,-($C117+$V$5)/($V$4^2+($C117+$V$5)^2))</f>
        <v>0</v>
      </c>
      <c r="J117" s="118" t="n">
        <f aca="false">IF($C117=0,0,$V$6/($V$6^2+($C117-$V$7)^2))</f>
        <v>0</v>
      </c>
      <c r="K117" s="118" t="n">
        <f aca="false">IF($C117=0,0,-($C117-$V$7)/($V$6^2+($C117-$V$7)^2))</f>
        <v>0</v>
      </c>
      <c r="L117" s="118" t="n">
        <f aca="false">IF($C117=0,0,$V$6/($V$6^2+($C117+$V$7)^2))</f>
        <v>0</v>
      </c>
      <c r="M117" s="118" t="n">
        <f aca="false">IF($C117=0,0,-($C117+$V$7)/($V$6^2+($C117+$V$7)^2))</f>
        <v>0</v>
      </c>
      <c r="N117" s="118" t="n">
        <f aca="false">F117+H117</f>
        <v>0</v>
      </c>
      <c r="O117" s="118" t="n">
        <f aca="false">I117-G117</f>
        <v>0</v>
      </c>
      <c r="P117" s="118" t="n">
        <f aca="false">J117+L117</f>
        <v>0</v>
      </c>
      <c r="Q117" s="118" t="n">
        <f aca="false">M117-K117</f>
        <v>0</v>
      </c>
      <c r="R117" s="118" t="n">
        <f aca="false">IF($C117=0,0,-1/$C117^2)</f>
        <v>0</v>
      </c>
      <c r="S117" s="88" t="n">
        <f aca="false">IF($C117=0,0,1)</f>
        <v>0</v>
      </c>
      <c r="T117" s="71" t="n">
        <f aca="false">D117</f>
        <v>0</v>
      </c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customFormat="false" ht="15" hidden="false" customHeight="false" outlineLevel="0" collapsed="false">
      <c r="A118" s="95" t="str">
        <f aca="false">"実部"</f>
        <v>実部</v>
      </c>
      <c r="B118" s="88" t="str">
        <f aca="false">IF(03_FRFデータ貼付!B115="","",03_FRFデータ貼付!A115)</f>
        <v/>
      </c>
      <c r="C118" s="89" t="n">
        <f aca="false">IF(03_FRFデータ貼付!B115="",0,03_FRFデータ貼付!G115)</f>
        <v>0</v>
      </c>
      <c r="D118" s="71" t="n">
        <f aca="false">IF(03_FRFデータ貼付!C115="",0,03_FRFデータ貼付!C115)</f>
        <v>0</v>
      </c>
      <c r="E118" s="71" t="n">
        <f aca="false">IF(03_FRFデータ貼付!D115="",0,03_FRFデータ貼付!D115)</f>
        <v>0</v>
      </c>
      <c r="F118" s="118" t="n">
        <f aca="false">IF($C118=0,0,$V$4/($V$4^2+($C118-$V$5)^2))</f>
        <v>0</v>
      </c>
      <c r="G118" s="118" t="n">
        <f aca="false">IF($C118=0,0,-($C118-$V$5)/($V$4^2+($C118-$V$5)^2))</f>
        <v>0</v>
      </c>
      <c r="H118" s="118" t="n">
        <f aca="false">IF($C118=0,0,$V$4/($V$4^2+($C118+$V$5)^2))</f>
        <v>0</v>
      </c>
      <c r="I118" s="118" t="n">
        <f aca="false">IF($C118=0,0,-($C118+$V$5)/($V$4^2+($C118+$V$5)^2))</f>
        <v>0</v>
      </c>
      <c r="J118" s="118" t="n">
        <f aca="false">IF($C118=0,0,$V$6/($V$6^2+($C118-$V$7)^2))</f>
        <v>0</v>
      </c>
      <c r="K118" s="118" t="n">
        <f aca="false">IF($C118=0,0,-($C118-$V$7)/($V$6^2+($C118-$V$7)^2))</f>
        <v>0</v>
      </c>
      <c r="L118" s="118" t="n">
        <f aca="false">IF($C118=0,0,$V$6/($V$6^2+($C118+$V$7)^2))</f>
        <v>0</v>
      </c>
      <c r="M118" s="118" t="n">
        <f aca="false">IF($C118=0,0,-($C118+$V$7)/($V$6^2+($C118+$V$7)^2))</f>
        <v>0</v>
      </c>
      <c r="N118" s="118" t="n">
        <f aca="false">F118+H118</f>
        <v>0</v>
      </c>
      <c r="O118" s="118" t="n">
        <f aca="false">I118-G118</f>
        <v>0</v>
      </c>
      <c r="P118" s="118" t="n">
        <f aca="false">J118+L118</f>
        <v>0</v>
      </c>
      <c r="Q118" s="118" t="n">
        <f aca="false">M118-K118</f>
        <v>0</v>
      </c>
      <c r="R118" s="118" t="n">
        <f aca="false">IF($C118=0,0,-1/$C118^2)</f>
        <v>0</v>
      </c>
      <c r="S118" s="88" t="n">
        <f aca="false">IF($C118=0,0,1)</f>
        <v>0</v>
      </c>
      <c r="T118" s="71" t="n">
        <f aca="false">D118</f>
        <v>0</v>
      </c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customFormat="false" ht="15" hidden="false" customHeight="false" outlineLevel="0" collapsed="false">
      <c r="A119" s="95" t="str">
        <f aca="false">"実部"</f>
        <v>実部</v>
      </c>
      <c r="B119" s="88" t="str">
        <f aca="false">IF(03_FRFデータ貼付!B116="","",03_FRFデータ貼付!A116)</f>
        <v/>
      </c>
      <c r="C119" s="89" t="n">
        <f aca="false">IF(03_FRFデータ貼付!B116="",0,03_FRFデータ貼付!G116)</f>
        <v>0</v>
      </c>
      <c r="D119" s="71" t="n">
        <f aca="false">IF(03_FRFデータ貼付!C116="",0,03_FRFデータ貼付!C116)</f>
        <v>0</v>
      </c>
      <c r="E119" s="71" t="n">
        <f aca="false">IF(03_FRFデータ貼付!D116="",0,03_FRFデータ貼付!D116)</f>
        <v>0</v>
      </c>
      <c r="F119" s="118" t="n">
        <f aca="false">IF($C119=0,0,$V$4/($V$4^2+($C119-$V$5)^2))</f>
        <v>0</v>
      </c>
      <c r="G119" s="118" t="n">
        <f aca="false">IF($C119=0,0,-($C119-$V$5)/($V$4^2+($C119-$V$5)^2))</f>
        <v>0</v>
      </c>
      <c r="H119" s="118" t="n">
        <f aca="false">IF($C119=0,0,$V$4/($V$4^2+($C119+$V$5)^2))</f>
        <v>0</v>
      </c>
      <c r="I119" s="118" t="n">
        <f aca="false">IF($C119=0,0,-($C119+$V$5)/($V$4^2+($C119+$V$5)^2))</f>
        <v>0</v>
      </c>
      <c r="J119" s="118" t="n">
        <f aca="false">IF($C119=0,0,$V$6/($V$6^2+($C119-$V$7)^2))</f>
        <v>0</v>
      </c>
      <c r="K119" s="118" t="n">
        <f aca="false">IF($C119=0,0,-($C119-$V$7)/($V$6^2+($C119-$V$7)^2))</f>
        <v>0</v>
      </c>
      <c r="L119" s="118" t="n">
        <f aca="false">IF($C119=0,0,$V$6/($V$6^2+($C119+$V$7)^2))</f>
        <v>0</v>
      </c>
      <c r="M119" s="118" t="n">
        <f aca="false">IF($C119=0,0,-($C119+$V$7)/($V$6^2+($C119+$V$7)^2))</f>
        <v>0</v>
      </c>
      <c r="N119" s="118" t="n">
        <f aca="false">F119+H119</f>
        <v>0</v>
      </c>
      <c r="O119" s="118" t="n">
        <f aca="false">I119-G119</f>
        <v>0</v>
      </c>
      <c r="P119" s="118" t="n">
        <f aca="false">J119+L119</f>
        <v>0</v>
      </c>
      <c r="Q119" s="118" t="n">
        <f aca="false">M119-K119</f>
        <v>0</v>
      </c>
      <c r="R119" s="118" t="n">
        <f aca="false">IF($C119=0,0,-1/$C119^2)</f>
        <v>0</v>
      </c>
      <c r="S119" s="88" t="n">
        <f aca="false">IF($C119=0,0,1)</f>
        <v>0</v>
      </c>
      <c r="T119" s="71" t="n">
        <f aca="false">D119</f>
        <v>0</v>
      </c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customFormat="false" ht="15" hidden="false" customHeight="false" outlineLevel="0" collapsed="false">
      <c r="A120" s="95" t="str">
        <f aca="false">"実部"</f>
        <v>実部</v>
      </c>
      <c r="B120" s="88" t="str">
        <f aca="false">IF(03_FRFデータ貼付!B117="","",03_FRFデータ貼付!A117)</f>
        <v/>
      </c>
      <c r="C120" s="89" t="n">
        <f aca="false">IF(03_FRFデータ貼付!B117="",0,03_FRFデータ貼付!G117)</f>
        <v>0</v>
      </c>
      <c r="D120" s="71" t="n">
        <f aca="false">IF(03_FRFデータ貼付!C117="",0,03_FRFデータ貼付!C117)</f>
        <v>0</v>
      </c>
      <c r="E120" s="71" t="n">
        <f aca="false">IF(03_FRFデータ貼付!D117="",0,03_FRFデータ貼付!D117)</f>
        <v>0</v>
      </c>
      <c r="F120" s="118" t="n">
        <f aca="false">IF($C120=0,0,$V$4/($V$4^2+($C120-$V$5)^2))</f>
        <v>0</v>
      </c>
      <c r="G120" s="118" t="n">
        <f aca="false">IF($C120=0,0,-($C120-$V$5)/($V$4^2+($C120-$V$5)^2))</f>
        <v>0</v>
      </c>
      <c r="H120" s="118" t="n">
        <f aca="false">IF($C120=0,0,$V$4/($V$4^2+($C120+$V$5)^2))</f>
        <v>0</v>
      </c>
      <c r="I120" s="118" t="n">
        <f aca="false">IF($C120=0,0,-($C120+$V$5)/($V$4^2+($C120+$V$5)^2))</f>
        <v>0</v>
      </c>
      <c r="J120" s="118" t="n">
        <f aca="false">IF($C120=0,0,$V$6/($V$6^2+($C120-$V$7)^2))</f>
        <v>0</v>
      </c>
      <c r="K120" s="118" t="n">
        <f aca="false">IF($C120=0,0,-($C120-$V$7)/($V$6^2+($C120-$V$7)^2))</f>
        <v>0</v>
      </c>
      <c r="L120" s="118" t="n">
        <f aca="false">IF($C120=0,0,$V$6/($V$6^2+($C120+$V$7)^2))</f>
        <v>0</v>
      </c>
      <c r="M120" s="118" t="n">
        <f aca="false">IF($C120=0,0,-($C120+$V$7)/($V$6^2+($C120+$V$7)^2))</f>
        <v>0</v>
      </c>
      <c r="N120" s="118" t="n">
        <f aca="false">F120+H120</f>
        <v>0</v>
      </c>
      <c r="O120" s="118" t="n">
        <f aca="false">I120-G120</f>
        <v>0</v>
      </c>
      <c r="P120" s="118" t="n">
        <f aca="false">J120+L120</f>
        <v>0</v>
      </c>
      <c r="Q120" s="118" t="n">
        <f aca="false">M120-K120</f>
        <v>0</v>
      </c>
      <c r="R120" s="118" t="n">
        <f aca="false">IF($C120=0,0,-1/$C120^2)</f>
        <v>0</v>
      </c>
      <c r="S120" s="88" t="n">
        <f aca="false">IF($C120=0,0,1)</f>
        <v>0</v>
      </c>
      <c r="T120" s="71" t="n">
        <f aca="false">D120</f>
        <v>0</v>
      </c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customFormat="false" ht="15" hidden="false" customHeight="false" outlineLevel="0" collapsed="false">
      <c r="A121" s="95" t="str">
        <f aca="false">"実部"</f>
        <v>実部</v>
      </c>
      <c r="B121" s="88" t="str">
        <f aca="false">IF(03_FRFデータ貼付!B118="","",03_FRFデータ貼付!A118)</f>
        <v/>
      </c>
      <c r="C121" s="89" t="n">
        <f aca="false">IF(03_FRFデータ貼付!B118="",0,03_FRFデータ貼付!G118)</f>
        <v>0</v>
      </c>
      <c r="D121" s="71" t="n">
        <f aca="false">IF(03_FRFデータ貼付!C118="",0,03_FRFデータ貼付!C118)</f>
        <v>0</v>
      </c>
      <c r="E121" s="71" t="n">
        <f aca="false">IF(03_FRFデータ貼付!D118="",0,03_FRFデータ貼付!D118)</f>
        <v>0</v>
      </c>
      <c r="F121" s="118" t="n">
        <f aca="false">IF($C121=0,0,$V$4/($V$4^2+($C121-$V$5)^2))</f>
        <v>0</v>
      </c>
      <c r="G121" s="118" t="n">
        <f aca="false">IF($C121=0,0,-($C121-$V$5)/($V$4^2+($C121-$V$5)^2))</f>
        <v>0</v>
      </c>
      <c r="H121" s="118" t="n">
        <f aca="false">IF($C121=0,0,$V$4/($V$4^2+($C121+$V$5)^2))</f>
        <v>0</v>
      </c>
      <c r="I121" s="118" t="n">
        <f aca="false">IF($C121=0,0,-($C121+$V$5)/($V$4^2+($C121+$V$5)^2))</f>
        <v>0</v>
      </c>
      <c r="J121" s="118" t="n">
        <f aca="false">IF($C121=0,0,$V$6/($V$6^2+($C121-$V$7)^2))</f>
        <v>0</v>
      </c>
      <c r="K121" s="118" t="n">
        <f aca="false">IF($C121=0,0,-($C121-$V$7)/($V$6^2+($C121-$V$7)^2))</f>
        <v>0</v>
      </c>
      <c r="L121" s="118" t="n">
        <f aca="false">IF($C121=0,0,$V$6/($V$6^2+($C121+$V$7)^2))</f>
        <v>0</v>
      </c>
      <c r="M121" s="118" t="n">
        <f aca="false">IF($C121=0,0,-($C121+$V$7)/($V$6^2+($C121+$V$7)^2))</f>
        <v>0</v>
      </c>
      <c r="N121" s="118" t="n">
        <f aca="false">F121+H121</f>
        <v>0</v>
      </c>
      <c r="O121" s="118" t="n">
        <f aca="false">I121-G121</f>
        <v>0</v>
      </c>
      <c r="P121" s="118" t="n">
        <f aca="false">J121+L121</f>
        <v>0</v>
      </c>
      <c r="Q121" s="118" t="n">
        <f aca="false">M121-K121</f>
        <v>0</v>
      </c>
      <c r="R121" s="118" t="n">
        <f aca="false">IF($C121=0,0,-1/$C121^2)</f>
        <v>0</v>
      </c>
      <c r="S121" s="88" t="n">
        <f aca="false">IF($C121=0,0,1)</f>
        <v>0</v>
      </c>
      <c r="T121" s="71" t="n">
        <f aca="false">D121</f>
        <v>0</v>
      </c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customFormat="false" ht="15" hidden="false" customHeight="false" outlineLevel="0" collapsed="false">
      <c r="A122" s="95" t="str">
        <f aca="false">"実部"</f>
        <v>実部</v>
      </c>
      <c r="B122" s="88" t="str">
        <f aca="false">IF(03_FRFデータ貼付!B119="","",03_FRFデータ貼付!A119)</f>
        <v/>
      </c>
      <c r="C122" s="89" t="n">
        <f aca="false">IF(03_FRFデータ貼付!B119="",0,03_FRFデータ貼付!G119)</f>
        <v>0</v>
      </c>
      <c r="D122" s="71" t="n">
        <f aca="false">IF(03_FRFデータ貼付!C119="",0,03_FRFデータ貼付!C119)</f>
        <v>0</v>
      </c>
      <c r="E122" s="71" t="n">
        <f aca="false">IF(03_FRFデータ貼付!D119="",0,03_FRFデータ貼付!D119)</f>
        <v>0</v>
      </c>
      <c r="F122" s="118" t="n">
        <f aca="false">IF($C122=0,0,$V$4/($V$4^2+($C122-$V$5)^2))</f>
        <v>0</v>
      </c>
      <c r="G122" s="118" t="n">
        <f aca="false">IF($C122=0,0,-($C122-$V$5)/($V$4^2+($C122-$V$5)^2))</f>
        <v>0</v>
      </c>
      <c r="H122" s="118" t="n">
        <f aca="false">IF($C122=0,0,$V$4/($V$4^2+($C122+$V$5)^2))</f>
        <v>0</v>
      </c>
      <c r="I122" s="118" t="n">
        <f aca="false">IF($C122=0,0,-($C122+$V$5)/($V$4^2+($C122+$V$5)^2))</f>
        <v>0</v>
      </c>
      <c r="J122" s="118" t="n">
        <f aca="false">IF($C122=0,0,$V$6/($V$6^2+($C122-$V$7)^2))</f>
        <v>0</v>
      </c>
      <c r="K122" s="118" t="n">
        <f aca="false">IF($C122=0,0,-($C122-$V$7)/($V$6^2+($C122-$V$7)^2))</f>
        <v>0</v>
      </c>
      <c r="L122" s="118" t="n">
        <f aca="false">IF($C122=0,0,$V$6/($V$6^2+($C122+$V$7)^2))</f>
        <v>0</v>
      </c>
      <c r="M122" s="118" t="n">
        <f aca="false">IF($C122=0,0,-($C122+$V$7)/($V$6^2+($C122+$V$7)^2))</f>
        <v>0</v>
      </c>
      <c r="N122" s="118" t="n">
        <f aca="false">F122+H122</f>
        <v>0</v>
      </c>
      <c r="O122" s="118" t="n">
        <f aca="false">I122-G122</f>
        <v>0</v>
      </c>
      <c r="P122" s="118" t="n">
        <f aca="false">J122+L122</f>
        <v>0</v>
      </c>
      <c r="Q122" s="118" t="n">
        <f aca="false">M122-K122</f>
        <v>0</v>
      </c>
      <c r="R122" s="118" t="n">
        <f aca="false">IF($C122=0,0,-1/$C122^2)</f>
        <v>0</v>
      </c>
      <c r="S122" s="88" t="n">
        <f aca="false">IF($C122=0,0,1)</f>
        <v>0</v>
      </c>
      <c r="T122" s="71" t="n">
        <f aca="false">D122</f>
        <v>0</v>
      </c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customFormat="false" ht="15" hidden="false" customHeight="false" outlineLevel="0" collapsed="false">
      <c r="A123" s="95" t="str">
        <f aca="false">"実部"</f>
        <v>実部</v>
      </c>
      <c r="B123" s="88" t="str">
        <f aca="false">IF(03_FRFデータ貼付!B120="","",03_FRFデータ貼付!A120)</f>
        <v/>
      </c>
      <c r="C123" s="89" t="n">
        <f aca="false">IF(03_FRFデータ貼付!B120="",0,03_FRFデータ貼付!G120)</f>
        <v>0</v>
      </c>
      <c r="D123" s="71" t="n">
        <f aca="false">IF(03_FRFデータ貼付!C120="",0,03_FRFデータ貼付!C120)</f>
        <v>0</v>
      </c>
      <c r="E123" s="71" t="n">
        <f aca="false">IF(03_FRFデータ貼付!D120="",0,03_FRFデータ貼付!D120)</f>
        <v>0</v>
      </c>
      <c r="F123" s="118" t="n">
        <f aca="false">IF($C123=0,0,$V$4/($V$4^2+($C123-$V$5)^2))</f>
        <v>0</v>
      </c>
      <c r="G123" s="118" t="n">
        <f aca="false">IF($C123=0,0,-($C123-$V$5)/($V$4^2+($C123-$V$5)^2))</f>
        <v>0</v>
      </c>
      <c r="H123" s="118" t="n">
        <f aca="false">IF($C123=0,0,$V$4/($V$4^2+($C123+$V$5)^2))</f>
        <v>0</v>
      </c>
      <c r="I123" s="118" t="n">
        <f aca="false">IF($C123=0,0,-($C123+$V$5)/($V$4^2+($C123+$V$5)^2))</f>
        <v>0</v>
      </c>
      <c r="J123" s="118" t="n">
        <f aca="false">IF($C123=0,0,$V$6/($V$6^2+($C123-$V$7)^2))</f>
        <v>0</v>
      </c>
      <c r="K123" s="118" t="n">
        <f aca="false">IF($C123=0,0,-($C123-$V$7)/($V$6^2+($C123-$V$7)^2))</f>
        <v>0</v>
      </c>
      <c r="L123" s="118" t="n">
        <f aca="false">IF($C123=0,0,$V$6/($V$6^2+($C123+$V$7)^2))</f>
        <v>0</v>
      </c>
      <c r="M123" s="118" t="n">
        <f aca="false">IF($C123=0,0,-($C123+$V$7)/($V$6^2+($C123+$V$7)^2))</f>
        <v>0</v>
      </c>
      <c r="N123" s="118" t="n">
        <f aca="false">F123+H123</f>
        <v>0</v>
      </c>
      <c r="O123" s="118" t="n">
        <f aca="false">I123-G123</f>
        <v>0</v>
      </c>
      <c r="P123" s="118" t="n">
        <f aca="false">J123+L123</f>
        <v>0</v>
      </c>
      <c r="Q123" s="118" t="n">
        <f aca="false">M123-K123</f>
        <v>0</v>
      </c>
      <c r="R123" s="118" t="n">
        <f aca="false">IF($C123=0,0,-1/$C123^2)</f>
        <v>0</v>
      </c>
      <c r="S123" s="88" t="n">
        <f aca="false">IF($C123=0,0,1)</f>
        <v>0</v>
      </c>
      <c r="T123" s="71" t="n">
        <f aca="false">D123</f>
        <v>0</v>
      </c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customFormat="false" ht="15" hidden="false" customHeight="false" outlineLevel="0" collapsed="false">
      <c r="A124" s="95" t="str">
        <f aca="false">"実部"</f>
        <v>実部</v>
      </c>
      <c r="B124" s="88" t="str">
        <f aca="false">IF(03_FRFデータ貼付!B121="","",03_FRFデータ貼付!A121)</f>
        <v/>
      </c>
      <c r="C124" s="89" t="n">
        <f aca="false">IF(03_FRFデータ貼付!B121="",0,03_FRFデータ貼付!G121)</f>
        <v>0</v>
      </c>
      <c r="D124" s="71" t="n">
        <f aca="false">IF(03_FRFデータ貼付!C121="",0,03_FRFデータ貼付!C121)</f>
        <v>0</v>
      </c>
      <c r="E124" s="71" t="n">
        <f aca="false">IF(03_FRFデータ貼付!D121="",0,03_FRFデータ貼付!D121)</f>
        <v>0</v>
      </c>
      <c r="F124" s="118" t="n">
        <f aca="false">IF($C124=0,0,$V$4/($V$4^2+($C124-$V$5)^2))</f>
        <v>0</v>
      </c>
      <c r="G124" s="118" t="n">
        <f aca="false">IF($C124=0,0,-($C124-$V$5)/($V$4^2+($C124-$V$5)^2))</f>
        <v>0</v>
      </c>
      <c r="H124" s="118" t="n">
        <f aca="false">IF($C124=0,0,$V$4/($V$4^2+($C124+$V$5)^2))</f>
        <v>0</v>
      </c>
      <c r="I124" s="118" t="n">
        <f aca="false">IF($C124=0,0,-($C124+$V$5)/($V$4^2+($C124+$V$5)^2))</f>
        <v>0</v>
      </c>
      <c r="J124" s="118" t="n">
        <f aca="false">IF($C124=0,0,$V$6/($V$6^2+($C124-$V$7)^2))</f>
        <v>0</v>
      </c>
      <c r="K124" s="118" t="n">
        <f aca="false">IF($C124=0,0,-($C124-$V$7)/($V$6^2+($C124-$V$7)^2))</f>
        <v>0</v>
      </c>
      <c r="L124" s="118" t="n">
        <f aca="false">IF($C124=0,0,$V$6/($V$6^2+($C124+$V$7)^2))</f>
        <v>0</v>
      </c>
      <c r="M124" s="118" t="n">
        <f aca="false">IF($C124=0,0,-($C124+$V$7)/($V$6^2+($C124+$V$7)^2))</f>
        <v>0</v>
      </c>
      <c r="N124" s="118" t="n">
        <f aca="false">F124+H124</f>
        <v>0</v>
      </c>
      <c r="O124" s="118" t="n">
        <f aca="false">I124-G124</f>
        <v>0</v>
      </c>
      <c r="P124" s="118" t="n">
        <f aca="false">J124+L124</f>
        <v>0</v>
      </c>
      <c r="Q124" s="118" t="n">
        <f aca="false">M124-K124</f>
        <v>0</v>
      </c>
      <c r="R124" s="118" t="n">
        <f aca="false">IF($C124=0,0,-1/$C124^2)</f>
        <v>0</v>
      </c>
      <c r="S124" s="88" t="n">
        <f aca="false">IF($C124=0,0,1)</f>
        <v>0</v>
      </c>
      <c r="T124" s="71" t="n">
        <f aca="false">D124</f>
        <v>0</v>
      </c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customFormat="false" ht="15" hidden="false" customHeight="false" outlineLevel="0" collapsed="false">
      <c r="A125" s="95" t="str">
        <f aca="false">"実部"</f>
        <v>実部</v>
      </c>
      <c r="B125" s="88" t="str">
        <f aca="false">IF(03_FRFデータ貼付!B122="","",03_FRFデータ貼付!A122)</f>
        <v/>
      </c>
      <c r="C125" s="89" t="n">
        <f aca="false">IF(03_FRFデータ貼付!B122="",0,03_FRFデータ貼付!G122)</f>
        <v>0</v>
      </c>
      <c r="D125" s="71" t="n">
        <f aca="false">IF(03_FRFデータ貼付!C122="",0,03_FRFデータ貼付!C122)</f>
        <v>0</v>
      </c>
      <c r="E125" s="71" t="n">
        <f aca="false">IF(03_FRFデータ貼付!D122="",0,03_FRFデータ貼付!D122)</f>
        <v>0</v>
      </c>
      <c r="F125" s="118" t="n">
        <f aca="false">IF($C125=0,0,$V$4/($V$4^2+($C125-$V$5)^2))</f>
        <v>0</v>
      </c>
      <c r="G125" s="118" t="n">
        <f aca="false">IF($C125=0,0,-($C125-$V$5)/($V$4^2+($C125-$V$5)^2))</f>
        <v>0</v>
      </c>
      <c r="H125" s="118" t="n">
        <f aca="false">IF($C125=0,0,$V$4/($V$4^2+($C125+$V$5)^2))</f>
        <v>0</v>
      </c>
      <c r="I125" s="118" t="n">
        <f aca="false">IF($C125=0,0,-($C125+$V$5)/($V$4^2+($C125+$V$5)^2))</f>
        <v>0</v>
      </c>
      <c r="J125" s="118" t="n">
        <f aca="false">IF($C125=0,0,$V$6/($V$6^2+($C125-$V$7)^2))</f>
        <v>0</v>
      </c>
      <c r="K125" s="118" t="n">
        <f aca="false">IF($C125=0,0,-($C125-$V$7)/($V$6^2+($C125-$V$7)^2))</f>
        <v>0</v>
      </c>
      <c r="L125" s="118" t="n">
        <f aca="false">IF($C125=0,0,$V$6/($V$6^2+($C125+$V$7)^2))</f>
        <v>0</v>
      </c>
      <c r="M125" s="118" t="n">
        <f aca="false">IF($C125=0,0,-($C125+$V$7)/($V$6^2+($C125+$V$7)^2))</f>
        <v>0</v>
      </c>
      <c r="N125" s="118" t="n">
        <f aca="false">F125+H125</f>
        <v>0</v>
      </c>
      <c r="O125" s="118" t="n">
        <f aca="false">I125-G125</f>
        <v>0</v>
      </c>
      <c r="P125" s="118" t="n">
        <f aca="false">J125+L125</f>
        <v>0</v>
      </c>
      <c r="Q125" s="118" t="n">
        <f aca="false">M125-K125</f>
        <v>0</v>
      </c>
      <c r="R125" s="118" t="n">
        <f aca="false">IF($C125=0,0,-1/$C125^2)</f>
        <v>0</v>
      </c>
      <c r="S125" s="88" t="n">
        <f aca="false">IF($C125=0,0,1)</f>
        <v>0</v>
      </c>
      <c r="T125" s="71" t="n">
        <f aca="false">D125</f>
        <v>0</v>
      </c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customFormat="false" ht="15" hidden="false" customHeight="false" outlineLevel="0" collapsed="false">
      <c r="A126" s="95" t="str">
        <f aca="false">"実部"</f>
        <v>実部</v>
      </c>
      <c r="B126" s="88" t="str">
        <f aca="false">IF(03_FRFデータ貼付!B123="","",03_FRFデータ貼付!A123)</f>
        <v/>
      </c>
      <c r="C126" s="89" t="n">
        <f aca="false">IF(03_FRFデータ貼付!B123="",0,03_FRFデータ貼付!G123)</f>
        <v>0</v>
      </c>
      <c r="D126" s="71" t="n">
        <f aca="false">IF(03_FRFデータ貼付!C123="",0,03_FRFデータ貼付!C123)</f>
        <v>0</v>
      </c>
      <c r="E126" s="71" t="n">
        <f aca="false">IF(03_FRFデータ貼付!D123="",0,03_FRFデータ貼付!D123)</f>
        <v>0</v>
      </c>
      <c r="F126" s="118" t="n">
        <f aca="false">IF($C126=0,0,$V$4/($V$4^2+($C126-$V$5)^2))</f>
        <v>0</v>
      </c>
      <c r="G126" s="118" t="n">
        <f aca="false">IF($C126=0,0,-($C126-$V$5)/($V$4^2+($C126-$V$5)^2))</f>
        <v>0</v>
      </c>
      <c r="H126" s="118" t="n">
        <f aca="false">IF($C126=0,0,$V$4/($V$4^2+($C126+$V$5)^2))</f>
        <v>0</v>
      </c>
      <c r="I126" s="118" t="n">
        <f aca="false">IF($C126=0,0,-($C126+$V$5)/($V$4^2+($C126+$V$5)^2))</f>
        <v>0</v>
      </c>
      <c r="J126" s="118" t="n">
        <f aca="false">IF($C126=0,0,$V$6/($V$6^2+($C126-$V$7)^2))</f>
        <v>0</v>
      </c>
      <c r="K126" s="118" t="n">
        <f aca="false">IF($C126=0,0,-($C126-$V$7)/($V$6^2+($C126-$V$7)^2))</f>
        <v>0</v>
      </c>
      <c r="L126" s="118" t="n">
        <f aca="false">IF($C126=0,0,$V$6/($V$6^2+($C126+$V$7)^2))</f>
        <v>0</v>
      </c>
      <c r="M126" s="118" t="n">
        <f aca="false">IF($C126=0,0,-($C126+$V$7)/($V$6^2+($C126+$V$7)^2))</f>
        <v>0</v>
      </c>
      <c r="N126" s="118" t="n">
        <f aca="false">F126+H126</f>
        <v>0</v>
      </c>
      <c r="O126" s="118" t="n">
        <f aca="false">I126-G126</f>
        <v>0</v>
      </c>
      <c r="P126" s="118" t="n">
        <f aca="false">J126+L126</f>
        <v>0</v>
      </c>
      <c r="Q126" s="118" t="n">
        <f aca="false">M126-K126</f>
        <v>0</v>
      </c>
      <c r="R126" s="118" t="n">
        <f aca="false">IF($C126=0,0,-1/$C126^2)</f>
        <v>0</v>
      </c>
      <c r="S126" s="88" t="n">
        <f aca="false">IF($C126=0,0,1)</f>
        <v>0</v>
      </c>
      <c r="T126" s="71" t="n">
        <f aca="false">D126</f>
        <v>0</v>
      </c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customFormat="false" ht="15" hidden="false" customHeight="false" outlineLevel="0" collapsed="false">
      <c r="A127" s="95" t="str">
        <f aca="false">"実部"</f>
        <v>実部</v>
      </c>
      <c r="B127" s="88" t="str">
        <f aca="false">IF(03_FRFデータ貼付!B124="","",03_FRFデータ貼付!A124)</f>
        <v/>
      </c>
      <c r="C127" s="89" t="n">
        <f aca="false">IF(03_FRFデータ貼付!B124="",0,03_FRFデータ貼付!G124)</f>
        <v>0</v>
      </c>
      <c r="D127" s="71" t="n">
        <f aca="false">IF(03_FRFデータ貼付!C124="",0,03_FRFデータ貼付!C124)</f>
        <v>0</v>
      </c>
      <c r="E127" s="71" t="n">
        <f aca="false">IF(03_FRFデータ貼付!D124="",0,03_FRFデータ貼付!D124)</f>
        <v>0</v>
      </c>
      <c r="F127" s="118" t="n">
        <f aca="false">IF($C127=0,0,$V$4/($V$4^2+($C127-$V$5)^2))</f>
        <v>0</v>
      </c>
      <c r="G127" s="118" t="n">
        <f aca="false">IF($C127=0,0,-($C127-$V$5)/($V$4^2+($C127-$V$5)^2))</f>
        <v>0</v>
      </c>
      <c r="H127" s="118" t="n">
        <f aca="false">IF($C127=0,0,$V$4/($V$4^2+($C127+$V$5)^2))</f>
        <v>0</v>
      </c>
      <c r="I127" s="118" t="n">
        <f aca="false">IF($C127=0,0,-($C127+$V$5)/($V$4^2+($C127+$V$5)^2))</f>
        <v>0</v>
      </c>
      <c r="J127" s="118" t="n">
        <f aca="false">IF($C127=0,0,$V$6/($V$6^2+($C127-$V$7)^2))</f>
        <v>0</v>
      </c>
      <c r="K127" s="118" t="n">
        <f aca="false">IF($C127=0,0,-($C127-$V$7)/($V$6^2+($C127-$V$7)^2))</f>
        <v>0</v>
      </c>
      <c r="L127" s="118" t="n">
        <f aca="false">IF($C127=0,0,$V$6/($V$6^2+($C127+$V$7)^2))</f>
        <v>0</v>
      </c>
      <c r="M127" s="118" t="n">
        <f aca="false">IF($C127=0,0,-($C127+$V$7)/($V$6^2+($C127+$V$7)^2))</f>
        <v>0</v>
      </c>
      <c r="N127" s="118" t="n">
        <f aca="false">F127+H127</f>
        <v>0</v>
      </c>
      <c r="O127" s="118" t="n">
        <f aca="false">I127-G127</f>
        <v>0</v>
      </c>
      <c r="P127" s="118" t="n">
        <f aca="false">J127+L127</f>
        <v>0</v>
      </c>
      <c r="Q127" s="118" t="n">
        <f aca="false">M127-K127</f>
        <v>0</v>
      </c>
      <c r="R127" s="118" t="n">
        <f aca="false">IF($C127=0,0,-1/$C127^2)</f>
        <v>0</v>
      </c>
      <c r="S127" s="88" t="n">
        <f aca="false">IF($C127=0,0,1)</f>
        <v>0</v>
      </c>
      <c r="T127" s="71" t="n">
        <f aca="false">D127</f>
        <v>0</v>
      </c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customFormat="false" ht="15" hidden="false" customHeight="false" outlineLevel="0" collapsed="false">
      <c r="A128" s="95" t="str">
        <f aca="false">"実部"</f>
        <v>実部</v>
      </c>
      <c r="B128" s="88" t="str">
        <f aca="false">IF(03_FRFデータ貼付!B125="","",03_FRFデータ貼付!A125)</f>
        <v/>
      </c>
      <c r="C128" s="89" t="n">
        <f aca="false">IF(03_FRFデータ貼付!B125="",0,03_FRFデータ貼付!G125)</f>
        <v>0</v>
      </c>
      <c r="D128" s="71" t="n">
        <f aca="false">IF(03_FRFデータ貼付!C125="",0,03_FRFデータ貼付!C125)</f>
        <v>0</v>
      </c>
      <c r="E128" s="71" t="n">
        <f aca="false">IF(03_FRFデータ貼付!D125="",0,03_FRFデータ貼付!D125)</f>
        <v>0</v>
      </c>
      <c r="F128" s="118" t="n">
        <f aca="false">IF($C128=0,0,$V$4/($V$4^2+($C128-$V$5)^2))</f>
        <v>0</v>
      </c>
      <c r="G128" s="118" t="n">
        <f aca="false">IF($C128=0,0,-($C128-$V$5)/($V$4^2+($C128-$V$5)^2))</f>
        <v>0</v>
      </c>
      <c r="H128" s="118" t="n">
        <f aca="false">IF($C128=0,0,$V$4/($V$4^2+($C128+$V$5)^2))</f>
        <v>0</v>
      </c>
      <c r="I128" s="118" t="n">
        <f aca="false">IF($C128=0,0,-($C128+$V$5)/($V$4^2+($C128+$V$5)^2))</f>
        <v>0</v>
      </c>
      <c r="J128" s="118" t="n">
        <f aca="false">IF($C128=0,0,$V$6/($V$6^2+($C128-$V$7)^2))</f>
        <v>0</v>
      </c>
      <c r="K128" s="118" t="n">
        <f aca="false">IF($C128=0,0,-($C128-$V$7)/($V$6^2+($C128-$V$7)^2))</f>
        <v>0</v>
      </c>
      <c r="L128" s="118" t="n">
        <f aca="false">IF($C128=0,0,$V$6/($V$6^2+($C128+$V$7)^2))</f>
        <v>0</v>
      </c>
      <c r="M128" s="118" t="n">
        <f aca="false">IF($C128=0,0,-($C128+$V$7)/($V$6^2+($C128+$V$7)^2))</f>
        <v>0</v>
      </c>
      <c r="N128" s="118" t="n">
        <f aca="false">F128+H128</f>
        <v>0</v>
      </c>
      <c r="O128" s="118" t="n">
        <f aca="false">I128-G128</f>
        <v>0</v>
      </c>
      <c r="P128" s="118" t="n">
        <f aca="false">J128+L128</f>
        <v>0</v>
      </c>
      <c r="Q128" s="118" t="n">
        <f aca="false">M128-K128</f>
        <v>0</v>
      </c>
      <c r="R128" s="118" t="n">
        <f aca="false">IF($C128=0,0,-1/$C128^2)</f>
        <v>0</v>
      </c>
      <c r="S128" s="88" t="n">
        <f aca="false">IF($C128=0,0,1)</f>
        <v>0</v>
      </c>
      <c r="T128" s="71" t="n">
        <f aca="false">D128</f>
        <v>0</v>
      </c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customFormat="false" ht="15" hidden="false" customHeight="false" outlineLevel="0" collapsed="false">
      <c r="A129" s="95" t="str">
        <f aca="false">"実部"</f>
        <v>実部</v>
      </c>
      <c r="B129" s="88" t="str">
        <f aca="false">IF(03_FRFデータ貼付!B126="","",03_FRFデータ貼付!A126)</f>
        <v/>
      </c>
      <c r="C129" s="89" t="n">
        <f aca="false">IF(03_FRFデータ貼付!B126="",0,03_FRFデータ貼付!G126)</f>
        <v>0</v>
      </c>
      <c r="D129" s="71" t="n">
        <f aca="false">IF(03_FRFデータ貼付!C126="",0,03_FRFデータ貼付!C126)</f>
        <v>0</v>
      </c>
      <c r="E129" s="71" t="n">
        <f aca="false">IF(03_FRFデータ貼付!D126="",0,03_FRFデータ貼付!D126)</f>
        <v>0</v>
      </c>
      <c r="F129" s="118" t="n">
        <f aca="false">IF($C129=0,0,$V$4/($V$4^2+($C129-$V$5)^2))</f>
        <v>0</v>
      </c>
      <c r="G129" s="118" t="n">
        <f aca="false">IF($C129=0,0,-($C129-$V$5)/($V$4^2+($C129-$V$5)^2))</f>
        <v>0</v>
      </c>
      <c r="H129" s="118" t="n">
        <f aca="false">IF($C129=0,0,$V$4/($V$4^2+($C129+$V$5)^2))</f>
        <v>0</v>
      </c>
      <c r="I129" s="118" t="n">
        <f aca="false">IF($C129=0,0,-($C129+$V$5)/($V$4^2+($C129+$V$5)^2))</f>
        <v>0</v>
      </c>
      <c r="J129" s="118" t="n">
        <f aca="false">IF($C129=0,0,$V$6/($V$6^2+($C129-$V$7)^2))</f>
        <v>0</v>
      </c>
      <c r="K129" s="118" t="n">
        <f aca="false">IF($C129=0,0,-($C129-$V$7)/($V$6^2+($C129-$V$7)^2))</f>
        <v>0</v>
      </c>
      <c r="L129" s="118" t="n">
        <f aca="false">IF($C129=0,0,$V$6/($V$6^2+($C129+$V$7)^2))</f>
        <v>0</v>
      </c>
      <c r="M129" s="118" t="n">
        <f aca="false">IF($C129=0,0,-($C129+$V$7)/($V$6^2+($C129+$V$7)^2))</f>
        <v>0</v>
      </c>
      <c r="N129" s="118" t="n">
        <f aca="false">F129+H129</f>
        <v>0</v>
      </c>
      <c r="O129" s="118" t="n">
        <f aca="false">I129-G129</f>
        <v>0</v>
      </c>
      <c r="P129" s="118" t="n">
        <f aca="false">J129+L129</f>
        <v>0</v>
      </c>
      <c r="Q129" s="118" t="n">
        <f aca="false">M129-K129</f>
        <v>0</v>
      </c>
      <c r="R129" s="118" t="n">
        <f aca="false">IF($C129=0,0,-1/$C129^2)</f>
        <v>0</v>
      </c>
      <c r="S129" s="88" t="n">
        <f aca="false">IF($C129=0,0,1)</f>
        <v>0</v>
      </c>
      <c r="T129" s="71" t="n">
        <f aca="false">D129</f>
        <v>0</v>
      </c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customFormat="false" ht="15" hidden="false" customHeight="false" outlineLevel="0" collapsed="false">
      <c r="A130" s="95" t="str">
        <f aca="false">"実部"</f>
        <v>実部</v>
      </c>
      <c r="B130" s="88" t="str">
        <f aca="false">IF(03_FRFデータ貼付!B127="","",03_FRFデータ貼付!A127)</f>
        <v/>
      </c>
      <c r="C130" s="89" t="n">
        <f aca="false">IF(03_FRFデータ貼付!B127="",0,03_FRFデータ貼付!G127)</f>
        <v>0</v>
      </c>
      <c r="D130" s="71" t="n">
        <f aca="false">IF(03_FRFデータ貼付!C127="",0,03_FRFデータ貼付!C127)</f>
        <v>0</v>
      </c>
      <c r="E130" s="71" t="n">
        <f aca="false">IF(03_FRFデータ貼付!D127="",0,03_FRFデータ貼付!D127)</f>
        <v>0</v>
      </c>
      <c r="F130" s="118" t="n">
        <f aca="false">IF($C130=0,0,$V$4/($V$4^2+($C130-$V$5)^2))</f>
        <v>0</v>
      </c>
      <c r="G130" s="118" t="n">
        <f aca="false">IF($C130=0,0,-($C130-$V$5)/($V$4^2+($C130-$V$5)^2))</f>
        <v>0</v>
      </c>
      <c r="H130" s="118" t="n">
        <f aca="false">IF($C130=0,0,$V$4/($V$4^2+($C130+$V$5)^2))</f>
        <v>0</v>
      </c>
      <c r="I130" s="118" t="n">
        <f aca="false">IF($C130=0,0,-($C130+$V$5)/($V$4^2+($C130+$V$5)^2))</f>
        <v>0</v>
      </c>
      <c r="J130" s="118" t="n">
        <f aca="false">IF($C130=0,0,$V$6/($V$6^2+($C130-$V$7)^2))</f>
        <v>0</v>
      </c>
      <c r="K130" s="118" t="n">
        <f aca="false">IF($C130=0,0,-($C130-$V$7)/($V$6^2+($C130-$V$7)^2))</f>
        <v>0</v>
      </c>
      <c r="L130" s="118" t="n">
        <f aca="false">IF($C130=0,0,$V$6/($V$6^2+($C130+$V$7)^2))</f>
        <v>0</v>
      </c>
      <c r="M130" s="118" t="n">
        <f aca="false">IF($C130=0,0,-($C130+$V$7)/($V$6^2+($C130+$V$7)^2))</f>
        <v>0</v>
      </c>
      <c r="N130" s="118" t="n">
        <f aca="false">F130+H130</f>
        <v>0</v>
      </c>
      <c r="O130" s="118" t="n">
        <f aca="false">I130-G130</f>
        <v>0</v>
      </c>
      <c r="P130" s="118" t="n">
        <f aca="false">J130+L130</f>
        <v>0</v>
      </c>
      <c r="Q130" s="118" t="n">
        <f aca="false">M130-K130</f>
        <v>0</v>
      </c>
      <c r="R130" s="118" t="n">
        <f aca="false">IF($C130=0,0,-1/$C130^2)</f>
        <v>0</v>
      </c>
      <c r="S130" s="88" t="n">
        <f aca="false">IF($C130=0,0,1)</f>
        <v>0</v>
      </c>
      <c r="T130" s="71" t="n">
        <f aca="false">D130</f>
        <v>0</v>
      </c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customFormat="false" ht="15" hidden="false" customHeight="false" outlineLevel="0" collapsed="false">
      <c r="A131" s="110" t="str">
        <f aca="false">"虚部"</f>
        <v>虚部</v>
      </c>
      <c r="B131" s="88" t="n">
        <f aca="false">IF(03_FRFデータ貼付!B8="","",03_FRFデータ貼付!A8)</f>
        <v>1</v>
      </c>
      <c r="C131" s="89" t="n">
        <f aca="false">IF(03_FRFデータ貼付!B8="",0,03_FRFデータ貼付!G8)</f>
        <v>21362.8300444106</v>
      </c>
      <c r="D131" s="71" t="n">
        <f aca="false">IF(03_FRFデータ貼付!C8="",0,03_FRFデータ貼付!C8)</f>
        <v>5.1E-005</v>
      </c>
      <c r="E131" s="71" t="n">
        <f aca="false">IF(03_FRFデータ貼付!D8="",0,03_FRFデータ貼付!D8)</f>
        <v>0.00301</v>
      </c>
      <c r="F131" s="118" t="n">
        <f aca="false">IF($C131=0,0,$V$4/($V$4^2+($C131-$V$5)^2))</f>
        <v>0.000255477555496686</v>
      </c>
      <c r="G131" s="118" t="n">
        <f aca="false">IF($C131=0,0,-($C131-$V$5)/($V$4^2+($C131-$V$5)^2))</f>
        <v>0.00195627926618999</v>
      </c>
      <c r="H131" s="118" t="n">
        <f aca="false">IF($C131=0,0,$V$4/($V$4^2+($C131+$V$5)^2))</f>
        <v>3.51245018765171E-008</v>
      </c>
      <c r="I131" s="118" t="n">
        <f aca="false">IF($C131=0,0,-($C131+$V$5)/($V$4^2+($C131+$V$5)^2))</f>
        <v>-2.31329604610246E-005</v>
      </c>
      <c r="J131" s="118" t="n">
        <f aca="false">IF($C131=0,0,$V$6/($V$6^2+($C131-$V$7)^2))</f>
        <v>0.000153429179803351</v>
      </c>
      <c r="K131" s="118" t="n">
        <f aca="false">IF($C131=0,0,-($C131-$V$7)/($V$6^2+($C131-$V$7)^2))</f>
        <v>0.00130858998252269</v>
      </c>
      <c r="L131" s="118" t="n">
        <f aca="false">IF($C131=0,0,$V$6/($V$6^2+($C131+$V$7)^2))</f>
        <v>4.6752058490334E-008</v>
      </c>
      <c r="M131" s="118" t="n">
        <f aca="false">IF($C131=0,0,-($C131+$V$7)/($V$6^2+($C131+$V$7)^2))</f>
        <v>-2.29992607866054E-005</v>
      </c>
      <c r="N131" s="118" t="n">
        <f aca="false">G131+I131</f>
        <v>0.00193314630572896</v>
      </c>
      <c r="O131" s="118" t="n">
        <f aca="false">F131-H131</f>
        <v>0.000255442430994809</v>
      </c>
      <c r="P131" s="118" t="n">
        <f aca="false">K131+M131</f>
        <v>0.00128559072173608</v>
      </c>
      <c r="Q131" s="118" t="n">
        <f aca="false">J131-L131</f>
        <v>0.000153382427744861</v>
      </c>
      <c r="R131" s="88" t="n">
        <f aca="false">0</f>
        <v>0</v>
      </c>
      <c r="S131" s="88" t="n">
        <f aca="false">0</f>
        <v>0</v>
      </c>
      <c r="T131" s="71" t="n">
        <f aca="false">E131</f>
        <v>0.00301</v>
      </c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customFormat="false" ht="15" hidden="false" customHeight="false" outlineLevel="0" collapsed="false">
      <c r="A132" s="110" t="str">
        <f aca="false">"虚部"</f>
        <v>虚部</v>
      </c>
      <c r="B132" s="88" t="n">
        <f aca="false">IF(03_FRFデータ貼付!B9="","",03_FRFデータ貼付!A9)</f>
        <v>2</v>
      </c>
      <c r="C132" s="89" t="n">
        <f aca="false">IF(03_FRFデータ貼付!B9="",0,03_FRFデータ貼付!G9)</f>
        <v>21425.6618974824</v>
      </c>
      <c r="D132" s="71" t="n">
        <f aca="false">IF(03_FRFデータ貼付!C9="",0,03_FRFデータ貼付!C9)</f>
        <v>9.3E-005</v>
      </c>
      <c r="E132" s="71" t="n">
        <f aca="false">IF(03_FRFデータ貼付!D9="",0,03_FRFデータ貼付!D9)</f>
        <v>0.003391</v>
      </c>
      <c r="F132" s="118" t="n">
        <f aca="false">IF($C132=0,0,$V$4/($V$4^2+($C132-$V$5)^2))</f>
        <v>0.000331990438701219</v>
      </c>
      <c r="G132" s="118" t="n">
        <f aca="false">IF($C132=0,0,-($C132-$V$5)/($V$4^2+($C132-$V$5)^2))</f>
        <v>0.00222436113541186</v>
      </c>
      <c r="H132" s="118" t="n">
        <f aca="false">IF($C132=0,0,$V$4/($V$4^2+($C132+$V$5)^2))</f>
        <v>3.50226180625245E-008</v>
      </c>
      <c r="I132" s="118" t="n">
        <f aca="false">IF($C132=0,0,-($C132+$V$5)/($V$4^2+($C132+$V$5)^2))</f>
        <v>-2.30993858864715E-005</v>
      </c>
      <c r="J132" s="118" t="n">
        <f aca="false">IF($C132=0,0,$V$6/($V$6^2+($C132-$V$7)^2))</f>
        <v>0.000182131029964383</v>
      </c>
      <c r="K132" s="118" t="n">
        <f aca="false">IF($C132=0,0,-($C132-$V$7)/($V$6^2+($C132-$V$7)^2))</f>
        <v>0.00142390966218537</v>
      </c>
      <c r="L132" s="118" t="n">
        <f aca="false">IF($C132=0,0,$V$6/($V$6^2+($C132+$V$7)^2))</f>
        <v>4.66172293132329E-008</v>
      </c>
      <c r="M132" s="118" t="n">
        <f aca="false">IF($C132=0,0,-($C132+$V$7)/($V$6^2+($C132+$V$7)^2))</f>
        <v>-2.29660729690142E-005</v>
      </c>
      <c r="N132" s="118" t="n">
        <f aca="false">G132+I132</f>
        <v>0.00220126174952539</v>
      </c>
      <c r="O132" s="118" t="n">
        <f aca="false">F132-H132</f>
        <v>0.000331955416083156</v>
      </c>
      <c r="P132" s="118" t="n">
        <f aca="false">K132+M132</f>
        <v>0.00140094358921636</v>
      </c>
      <c r="Q132" s="118" t="n">
        <f aca="false">J132-L132</f>
        <v>0.00018208441273507</v>
      </c>
      <c r="R132" s="88" t="n">
        <f aca="false">0</f>
        <v>0</v>
      </c>
      <c r="S132" s="88" t="n">
        <f aca="false">0</f>
        <v>0</v>
      </c>
      <c r="T132" s="71" t="n">
        <f aca="false">E132</f>
        <v>0.003391</v>
      </c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customFormat="false" ht="15" hidden="false" customHeight="false" outlineLevel="0" collapsed="false">
      <c r="A133" s="110" t="str">
        <f aca="false">"虚部"</f>
        <v>虚部</v>
      </c>
      <c r="B133" s="88" t="n">
        <f aca="false">IF(03_FRFデータ貼付!B10="","",03_FRFデータ貼付!A10)</f>
        <v>3</v>
      </c>
      <c r="C133" s="89" t="n">
        <f aca="false">IF(03_FRFデータ貼付!B10="",0,03_FRFデータ貼付!G10)</f>
        <v>21488.4937505542</v>
      </c>
      <c r="D133" s="71" t="n">
        <f aca="false">IF(03_FRFデータ貼付!C10="",0,03_FRFデータ貼付!C10)</f>
        <v>0.000162</v>
      </c>
      <c r="E133" s="71" t="n">
        <f aca="false">IF(03_FRFデータ貼付!D10="",0,03_FRFデータ貼付!D10)</f>
        <v>0.003876</v>
      </c>
      <c r="F133" s="118" t="n">
        <f aca="false">IF($C133=0,0,$V$4/($V$4^2+($C133-$V$5)^2))</f>
        <v>0.000448365060900017</v>
      </c>
      <c r="G133" s="118" t="n">
        <f aca="false">IF($C133=0,0,-($C133-$V$5)/($V$4^2+($C133-$V$5)^2))</f>
        <v>0.00257487482091566</v>
      </c>
      <c r="H133" s="118" t="n">
        <f aca="false">IF($C133=0,0,$V$4/($V$4^2+($C133+$V$5)^2))</f>
        <v>3.49211768997412E-008</v>
      </c>
      <c r="I133" s="118" t="n">
        <f aca="false">IF($C133=0,0,-($C133+$V$5)/($V$4^2+($C133+$V$5)^2))</f>
        <v>-2.30659086289725E-005</v>
      </c>
      <c r="J133" s="118" t="n">
        <f aca="false">IF($C133=0,0,$V$6/($V$6^2+($C133-$V$7)^2))</f>
        <v>0.000219646282358132</v>
      </c>
      <c r="K133" s="118" t="n">
        <f aca="false">IF($C133=0,0,-($C133-$V$7)/($V$6^2+($C133-$V$7)^2))</f>
        <v>0.00156105921282764</v>
      </c>
      <c r="L133" s="118" t="n">
        <f aca="false">IF($C133=0,0,$V$6/($V$6^2+($C133+$V$7)^2))</f>
        <v>4.64829825501725E-008</v>
      </c>
      <c r="M133" s="118" t="n">
        <f aca="false">IF($C133=0,0,-($C133+$V$7)/($V$6^2+($C133+$V$7)^2))</f>
        <v>-2.29329807927272E-005</v>
      </c>
      <c r="N133" s="118" t="n">
        <f aca="false">G133+I133</f>
        <v>0.00255180891228669</v>
      </c>
      <c r="O133" s="118" t="n">
        <f aca="false">F133-H133</f>
        <v>0.000448330139723118</v>
      </c>
      <c r="P133" s="118" t="n">
        <f aca="false">K133+M133</f>
        <v>0.00153812623203492</v>
      </c>
      <c r="Q133" s="118" t="n">
        <f aca="false">J133-L133</f>
        <v>0.000219599799375582</v>
      </c>
      <c r="R133" s="88" t="n">
        <f aca="false">0</f>
        <v>0</v>
      </c>
      <c r="S133" s="88" t="n">
        <f aca="false">0</f>
        <v>0</v>
      </c>
      <c r="T133" s="71" t="n">
        <f aca="false">E133</f>
        <v>0.003876</v>
      </c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customFormat="false" ht="15" hidden="false" customHeight="false" outlineLevel="0" collapsed="false">
      <c r="A134" s="110" t="str">
        <f aca="false">"虚部"</f>
        <v>虚部</v>
      </c>
      <c r="B134" s="88" t="n">
        <f aca="false">IF(03_FRFデータ貼付!B11="","",03_FRFデータ貼付!A11)</f>
        <v>4</v>
      </c>
      <c r="C134" s="89" t="n">
        <f aca="false">IF(03_FRFデータ貼付!B11="",0,03_FRFデータ貼付!G11)</f>
        <v>21551.325603626</v>
      </c>
      <c r="D134" s="71" t="n">
        <f aca="false">IF(03_FRFデータ貼付!C11="",0,03_FRFデータ貼付!C11)</f>
        <v>0.00028</v>
      </c>
      <c r="E134" s="71" t="n">
        <f aca="false">IF(03_FRFデータ貼付!D11="",0,03_FRFデータ貼付!D11)</f>
        <v>0.004516</v>
      </c>
      <c r="F134" s="118" t="n">
        <f aca="false">IF($C134=0,0,$V$4/($V$4^2+($C134-$V$5)^2))</f>
        <v>0.00063742595667558</v>
      </c>
      <c r="G134" s="118" t="n">
        <f aca="false">IF($C134=0,0,-($C134-$V$5)/($V$4^2+($C134-$V$5)^2))</f>
        <v>0.00305042851023854</v>
      </c>
      <c r="H134" s="118" t="n">
        <f aca="false">IF($C134=0,0,$V$4/($V$4^2+($C134+$V$5)^2))</f>
        <v>3.48201758276486E-008</v>
      </c>
      <c r="I134" s="118" t="n">
        <f aca="false">IF($C134=0,0,-($C134+$V$5)/($V$4^2+($C134+$V$5)^2))</f>
        <v>-2.30325282660258E-005</v>
      </c>
      <c r="J134" s="118" t="n">
        <f aca="false">IF($C134=0,0,$V$6/($V$6^2+($C134-$V$7)^2))</f>
        <v>0.000269954290655455</v>
      </c>
      <c r="K134" s="118" t="n">
        <f aca="false">IF($C134=0,0,-($C134-$V$7)/($V$6^2+($C134-$V$7)^2))</f>
        <v>0.00172669522662017</v>
      </c>
      <c r="L134" s="118" t="n">
        <f aca="false">IF($C134=0,0,$V$6/($V$6^2+($C134+$V$7)^2))</f>
        <v>4.63493148515525E-008</v>
      </c>
      <c r="M134" s="118" t="n">
        <f aca="false">IF($C134=0,0,-($C134+$V$7)/($V$6^2+($C134+$V$7)^2))</f>
        <v>-2.28999838449094E-005</v>
      </c>
      <c r="N134" s="118" t="n">
        <f aca="false">G134+I134</f>
        <v>0.00302739598197251</v>
      </c>
      <c r="O134" s="118" t="n">
        <f aca="false">F134-H134</f>
        <v>0.000637391136499752</v>
      </c>
      <c r="P134" s="118" t="n">
        <f aca="false">K134+M134</f>
        <v>0.00170379524277526</v>
      </c>
      <c r="Q134" s="118" t="n">
        <f aca="false">J134-L134</f>
        <v>0.000269907941340603</v>
      </c>
      <c r="R134" s="88" t="n">
        <f aca="false">0</f>
        <v>0</v>
      </c>
      <c r="S134" s="88" t="n">
        <f aca="false">0</f>
        <v>0</v>
      </c>
      <c r="T134" s="71" t="n">
        <f aca="false">E134</f>
        <v>0.004516</v>
      </c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customFormat="false" ht="15" hidden="false" customHeight="false" outlineLevel="0" collapsed="false">
      <c r="A135" s="110" t="str">
        <f aca="false">"虚部"</f>
        <v>虚部</v>
      </c>
      <c r="B135" s="88" t="n">
        <f aca="false">IF(03_FRFデータ貼付!B12="","",03_FRFデータ貼付!A12)</f>
        <v>5</v>
      </c>
      <c r="C135" s="89" t="n">
        <f aca="false">IF(03_FRFデータ貼付!B12="",0,03_FRFデータ貼付!G12)</f>
        <v>21614.1574566978</v>
      </c>
      <c r="D135" s="71" t="n">
        <f aca="false">IF(03_FRFデータ貼付!C12="",0,03_FRFデータ貼付!C12)</f>
        <v>0.000512</v>
      </c>
      <c r="E135" s="71" t="n">
        <f aca="false">IF(03_FRFデータ貼付!D12="",0,03_FRFデータ貼付!D12)</f>
        <v>0.005463</v>
      </c>
      <c r="F135" s="118" t="n">
        <f aca="false">IF($C135=0,0,$V$4/($V$4^2+($C135-$V$5)^2))</f>
        <v>0.000973153025303787</v>
      </c>
      <c r="G135" s="118" t="n">
        <f aca="false">IF($C135=0,0,-($C135-$V$5)/($V$4^2+($C135-$V$5)^2))</f>
        <v>0.0037254970434005</v>
      </c>
      <c r="H135" s="118" t="n">
        <f aca="false">IF($C135=0,0,$V$4/($V$4^2+($C135+$V$5)^2))</f>
        <v>3.47196123042155E-008</v>
      </c>
      <c r="I135" s="118" t="n">
        <f aca="false">IF($C135=0,0,-($C135+$V$5)/($V$4^2+($C135+$V$5)^2))</f>
        <v>-2.29992443775716E-005</v>
      </c>
      <c r="J135" s="118" t="n">
        <f aca="false">IF($C135=0,0,$V$6/($V$6^2+($C135-$V$7)^2))</f>
        <v>0.000339533039007097</v>
      </c>
      <c r="K135" s="118" t="n">
        <f aca="false">IF($C135=0,0,-($C135-$V$7)/($V$6^2+($C135-$V$7)^2))</f>
        <v>0.00193036419029474</v>
      </c>
      <c r="L135" s="118" t="n">
        <f aca="false">IF($C135=0,0,$V$6/($V$6^2+($C135+$V$7)^2))</f>
        <v>4.62162228918186E-008</v>
      </c>
      <c r="M135" s="118" t="n">
        <f aca="false">IF($C135=0,0,-($C135+$V$7)/($V$6^2+($C135+$V$7)^2))</f>
        <v>-2.28670817150985E-005</v>
      </c>
      <c r="N135" s="118" t="n">
        <f aca="false">G135+I135</f>
        <v>0.00370249779902293</v>
      </c>
      <c r="O135" s="118" t="n">
        <f aca="false">F135-H135</f>
        <v>0.000973118305691483</v>
      </c>
      <c r="P135" s="118" t="n">
        <f aca="false">K135+M135</f>
        <v>0.00190749710857964</v>
      </c>
      <c r="Q135" s="118" t="n">
        <f aca="false">J135-L135</f>
        <v>0.000339486822784205</v>
      </c>
      <c r="R135" s="88" t="n">
        <f aca="false">0</f>
        <v>0</v>
      </c>
      <c r="S135" s="88" t="n">
        <f aca="false">0</f>
        <v>0</v>
      </c>
      <c r="T135" s="71" t="n">
        <f aca="false">E135</f>
        <v>0.005463</v>
      </c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customFormat="false" ht="15" hidden="false" customHeight="false" outlineLevel="0" collapsed="false">
      <c r="A136" s="110" t="str">
        <f aca="false">"虚部"</f>
        <v>虚部</v>
      </c>
      <c r="B136" s="88" t="n">
        <f aca="false">IF(03_FRFデータ貼付!B13="","",03_FRFデータ貼付!A13)</f>
        <v>6</v>
      </c>
      <c r="C136" s="89" t="n">
        <f aca="false">IF(03_FRFデータ貼付!B13="",0,03_FRFデータ貼付!G13)</f>
        <v>21676.9893097696</v>
      </c>
      <c r="D136" s="71" t="n">
        <f aca="false">IF(03_FRFデータ貼付!C13="",0,03_FRFデータ貼付!C13)</f>
        <v>0.001016</v>
      </c>
      <c r="E136" s="71" t="n">
        <f aca="false">IF(03_FRFデータ貼付!D13="",0,03_FRFデータ貼付!D13)</f>
        <v>0.006854</v>
      </c>
      <c r="F136" s="118" t="n">
        <f aca="false">IF($C136=0,0,$V$4/($V$4^2+($C136-$V$5)^2))</f>
        <v>0.00164837165110841</v>
      </c>
      <c r="G136" s="118" t="n">
        <f aca="false">IF($C136=0,0,-($C136-$V$5)/($V$4^2+($C136-$V$5)^2))</f>
        <v>0.00473248745477119</v>
      </c>
      <c r="H136" s="118" t="n">
        <f aca="false">IF($C136=0,0,$V$4/($V$4^2+($C136+$V$5)^2))</f>
        <v>3.4619483805738E-008</v>
      </c>
      <c r="I136" s="118" t="n">
        <f aca="false">IF($C136=0,0,-($C136+$V$5)/($V$4^2+($C136+$V$5)^2))</f>
        <v>-2.29660565459747E-005</v>
      </c>
      <c r="J136" s="118" t="n">
        <f aca="false">IF($C136=0,0,$V$6/($V$6^2+($C136-$V$7)^2))</f>
        <v>0.00043947418656294</v>
      </c>
      <c r="K136" s="118" t="n">
        <f aca="false">IF($C136=0,0,-($C136-$V$7)/($V$6^2+($C136-$V$7)^2))</f>
        <v>0.0021861422824993</v>
      </c>
      <c r="L136" s="118" t="n">
        <f aca="false">IF($C136=0,0,$V$6/($V$6^2+($C136+$V$7)^2))</f>
        <v>4.60837033692552E-008</v>
      </c>
      <c r="M136" s="118" t="n">
        <f aca="false">IF($C136=0,0,-($C136+$V$7)/($V$6^2+($C136+$V$7)^2))</f>
        <v>-2.28342739951877E-005</v>
      </c>
      <c r="N136" s="118" t="n">
        <f aca="false">G136+I136</f>
        <v>0.00470952139822522</v>
      </c>
      <c r="O136" s="118" t="n">
        <f aca="false">F136-H136</f>
        <v>0.00164833703162461</v>
      </c>
      <c r="P136" s="118" t="n">
        <f aca="false">K136+M136</f>
        <v>0.00216330800850411</v>
      </c>
      <c r="Q136" s="118" t="n">
        <f aca="false">J136-L136</f>
        <v>0.000439428102859571</v>
      </c>
      <c r="R136" s="88" t="n">
        <f aca="false">0</f>
        <v>0</v>
      </c>
      <c r="S136" s="88" t="n">
        <f aca="false">0</f>
        <v>0</v>
      </c>
      <c r="T136" s="71" t="n">
        <f aca="false">E136</f>
        <v>0.006854</v>
      </c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customFormat="false" ht="15" hidden="false" customHeight="false" outlineLevel="0" collapsed="false">
      <c r="A137" s="110" t="str">
        <f aca="false">"虚部"</f>
        <v>虚部</v>
      </c>
      <c r="B137" s="88" t="n">
        <f aca="false">IF(03_FRFデータ貼付!B14="","",03_FRFデータ貼付!A14)</f>
        <v>7</v>
      </c>
      <c r="C137" s="89" t="n">
        <f aca="false">IF(03_FRFデータ貼付!B14="",0,03_FRFデータ貼付!G14)</f>
        <v>21739.8211628414</v>
      </c>
      <c r="D137" s="71" t="n">
        <f aca="false">IF(03_FRFデータ貼付!C14="",0,03_FRFデータ貼付!C14)</f>
        <v>0.002362</v>
      </c>
      <c r="E137" s="71" t="n">
        <f aca="false">IF(03_FRFデータ貼付!D14="",0,03_FRFデータ貼付!D14)</f>
        <v>0.00908</v>
      </c>
      <c r="F137" s="118" t="n">
        <f aca="false">IF($C137=0,0,$V$4/($V$4^2+($C137-$V$5)^2))</f>
        <v>0.00326770986883678</v>
      </c>
      <c r="G137" s="118" t="n">
        <f aca="false">IF($C137=0,0,-($C137-$V$5)/($V$4^2+($C137-$V$5)^2))</f>
        <v>0.00625354859862711</v>
      </c>
      <c r="H137" s="118" t="n">
        <f aca="false">IF($C137=0,0,$V$4/($V$4^2+($C137+$V$5)^2))</f>
        <v>3.45197878266814E-008</v>
      </c>
      <c r="I137" s="118" t="n">
        <f aca="false">IF($C137=0,0,-($C137+$V$5)/($V$4^2+($C137+$V$5)^2))</f>
        <v>-2.2932964356007E-005</v>
      </c>
      <c r="J137" s="118" t="n">
        <f aca="false">IF($C137=0,0,$V$6/($V$6^2+($C137-$V$7)^2))</f>
        <v>0.00058996845364314</v>
      </c>
      <c r="K137" s="118" t="n">
        <f aca="false">IF($C137=0,0,-($C137-$V$7)/($V$6^2+($C137-$V$7)^2))</f>
        <v>0.00251535972584855</v>
      </c>
      <c r="L137" s="118" t="n">
        <f aca="false">IF($C137=0,0,$V$6/($V$6^2+($C137+$V$7)^2))</f>
        <v>4.59517530057812E-008</v>
      </c>
      <c r="M137" s="118" t="n">
        <f aca="false">IF($C137=0,0,-($C137+$V$7)/($V$6^2+($C137+$V$7)^2))</f>
        <v>-2.28015602794088E-005</v>
      </c>
      <c r="N137" s="118" t="n">
        <f aca="false">G137+I137</f>
        <v>0.0062306156342711</v>
      </c>
      <c r="O137" s="118" t="n">
        <f aca="false">F137-H137</f>
        <v>0.00326767534904895</v>
      </c>
      <c r="P137" s="118" t="n">
        <f aca="false">K137+M137</f>
        <v>0.00249255816556914</v>
      </c>
      <c r="Q137" s="118" t="n">
        <f aca="false">J137-L137</f>
        <v>0.000589922501890134</v>
      </c>
      <c r="R137" s="88" t="n">
        <f aca="false">0</f>
        <v>0</v>
      </c>
      <c r="S137" s="88" t="n">
        <f aca="false">0</f>
        <v>0</v>
      </c>
      <c r="T137" s="71" t="n">
        <f aca="false">E137</f>
        <v>0.00908</v>
      </c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customFormat="false" ht="15" hidden="false" customHeight="false" outlineLevel="0" collapsed="false">
      <c r="A138" s="110" t="str">
        <f aca="false">"虚部"</f>
        <v>虚部</v>
      </c>
      <c r="B138" s="88" t="n">
        <f aca="false">IF(03_FRFデータ貼付!B15="","",03_FRFデータ貼付!A15)</f>
        <v>8</v>
      </c>
      <c r="C138" s="89" t="n">
        <f aca="false">IF(03_FRFデータ貼付!B15="",0,03_FRFデータ貼付!G15)</f>
        <v>21802.6530159132</v>
      </c>
      <c r="D138" s="71" t="n">
        <f aca="false">IF(03_FRFデータ貼付!C15="",0,03_FRFデータ貼付!C15)</f>
        <v>0.006939</v>
      </c>
      <c r="E138" s="71" t="n">
        <f aca="false">IF(03_FRFデータ貼付!D15="",0,03_FRFデータ貼付!D15)</f>
        <v>0.012171</v>
      </c>
      <c r="F138" s="118" t="n">
        <f aca="false">IF($C138=0,0,$V$4/($V$4^2+($C138-$V$5)^2))</f>
        <v>0.00795647069633864</v>
      </c>
      <c r="G138" s="118" t="n">
        <f aca="false">IF($C138=0,0,-($C138-$V$5)/($V$4^2+($C138-$V$5)^2))</f>
        <v>0.00761015239795559</v>
      </c>
      <c r="H138" s="118" t="n">
        <f aca="false">IF($C138=0,0,$V$4/($V$4^2+($C138+$V$5)^2))</f>
        <v>3.44205218795237E-008</v>
      </c>
      <c r="I138" s="118" t="n">
        <f aca="false">IF($C138=0,0,-($C138+$V$5)/($V$4^2+($C138+$V$5)^2))</f>
        <v>-2.28999673948302E-005</v>
      </c>
      <c r="J138" s="118" t="n">
        <f aca="false">IF($C138=0,0,$V$6/($V$6^2+($C138-$V$7)^2))</f>
        <v>0.000830634029443156</v>
      </c>
      <c r="K138" s="118" t="n">
        <f aca="false">IF($C138=0,0,-($C138-$V$7)/($V$6^2+($C138-$V$7)^2))</f>
        <v>0.00295095137160585</v>
      </c>
      <c r="L138" s="118" t="n">
        <f aca="false">IF($C138=0,0,$V$6/($V$6^2+($C138+$V$7)^2))</f>
        <v>4.58203685467469E-008</v>
      </c>
      <c r="M138" s="118" t="n">
        <f aca="false">IF($C138=0,0,-($C138+$V$7)/($V$6^2+($C138+$V$7)^2))</f>
        <v>-2.27689401643157E-005</v>
      </c>
      <c r="N138" s="118" t="n">
        <f aca="false">G138+I138</f>
        <v>0.00758725243056076</v>
      </c>
      <c r="O138" s="118" t="n">
        <f aca="false">F138-H138</f>
        <v>0.00795643627581676</v>
      </c>
      <c r="P138" s="118" t="n">
        <f aca="false">K138+M138</f>
        <v>0.00292818243144154</v>
      </c>
      <c r="Q138" s="118" t="n">
        <f aca="false">J138-L138</f>
        <v>0.00083058820907461</v>
      </c>
      <c r="R138" s="88" t="n">
        <f aca="false">0</f>
        <v>0</v>
      </c>
      <c r="S138" s="88" t="n">
        <f aca="false">0</f>
        <v>0</v>
      </c>
      <c r="T138" s="71" t="n">
        <f aca="false">E138</f>
        <v>0.012171</v>
      </c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customFormat="false" ht="15" hidden="false" customHeight="false" outlineLevel="0" collapsed="false">
      <c r="A139" s="110" t="str">
        <f aca="false">"虚部"</f>
        <v>虚部</v>
      </c>
      <c r="B139" s="88" t="n">
        <f aca="false">IF(03_FRFデータ貼付!B16="","",03_FRFデータ貼付!A16)</f>
        <v>9</v>
      </c>
      <c r="C139" s="89" t="n">
        <f aca="false">IF(03_FRFデータ貼付!B16="",0,03_FRFデータ貼付!G16)</f>
        <v>21865.484868985</v>
      </c>
      <c r="D139" s="71" t="n">
        <f aca="false">IF(03_FRFデータ貼付!C16="",0,03_FRFデータ貼付!C16)</f>
        <v>0.016968</v>
      </c>
      <c r="E139" s="71" t="n">
        <f aca="false">IF(03_FRFデータ貼付!D16="",0,03_FRFデータ貼付!D16)</f>
        <v>0.007099</v>
      </c>
      <c r="F139" s="118" t="n">
        <f aca="false">IF($C139=0,0,$V$4/($V$4^2+($C139-$V$5)^2))</f>
        <v>0.0152353692639513</v>
      </c>
      <c r="G139" s="118" t="n">
        <f aca="false">IF($C139=0,0,-($C139-$V$5)/($V$4^2+($C139-$V$5)^2))</f>
        <v>-1.20924479535773E-005</v>
      </c>
      <c r="H139" s="118" t="n">
        <f aca="false">IF($C139=0,0,$V$4/($V$4^2+($C139+$V$5)^2))</f>
        <v>3.43216834945996E-008</v>
      </c>
      <c r="I139" s="118" t="n">
        <f aca="false">IF($C139=0,0,-($C139+$V$5)/($V$4^2+($C139+$V$5)^2))</f>
        <v>-2.28670652519786E-005</v>
      </c>
      <c r="J139" s="118" t="n">
        <f aca="false">IF($C139=0,0,$V$6/($V$6^2+($C139-$V$7)^2))</f>
        <v>0.00124668422865168</v>
      </c>
      <c r="K139" s="118" t="n">
        <f aca="false">IF($C139=0,0,-($C139-$V$7)/($V$6^2+($C139-$V$7)^2))</f>
        <v>0.00354276364684247</v>
      </c>
      <c r="L139" s="118" t="n">
        <f aca="false">IF($C139=0,0,$V$6/($V$6^2+($C139+$V$7)^2))</f>
        <v>4.56895467607331E-008</v>
      </c>
      <c r="M139" s="118" t="n">
        <f aca="false">IF($C139=0,0,-($C139+$V$7)/($V$6^2+($C139+$V$7)^2))</f>
        <v>-2.27364132487677E-005</v>
      </c>
      <c r="N139" s="118" t="n">
        <f aca="false">G139+I139</f>
        <v>-3.49595132055559E-005</v>
      </c>
      <c r="O139" s="118" t="n">
        <f aca="false">F139-H139</f>
        <v>0.0152353349422678</v>
      </c>
      <c r="P139" s="118" t="n">
        <f aca="false">K139+M139</f>
        <v>0.0035200272335937</v>
      </c>
      <c r="Q139" s="118" t="n">
        <f aca="false">J139-L139</f>
        <v>0.00124663853910492</v>
      </c>
      <c r="R139" s="88" t="n">
        <f aca="false">0</f>
        <v>0</v>
      </c>
      <c r="S139" s="88" t="n">
        <f aca="false">0</f>
        <v>0</v>
      </c>
      <c r="T139" s="71" t="n">
        <f aca="false">E139</f>
        <v>0.007099</v>
      </c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customFormat="false" ht="15" hidden="false" customHeight="false" outlineLevel="0" collapsed="false">
      <c r="A140" s="110" t="str">
        <f aca="false">"虚部"</f>
        <v>虚部</v>
      </c>
      <c r="B140" s="88" t="n">
        <f aca="false">IF(03_FRFデータ貼付!B17="","",03_FRFデータ貼付!A17)</f>
        <v>10</v>
      </c>
      <c r="C140" s="89" t="n">
        <f aca="false">IF(03_FRFデータ貼付!B17="",0,03_FRFデータ貼付!G17)</f>
        <v>21928.3167220568</v>
      </c>
      <c r="D140" s="71" t="n">
        <f aca="false">IF(03_FRFデータ貼付!C17="",0,03_FRFデータ貼付!C17)</f>
        <v>0.012733</v>
      </c>
      <c r="E140" s="71" t="n">
        <f aca="false">IF(03_FRFデータ貼付!D17="",0,03_FRFデータ貼付!D17)</f>
        <v>-0.002205</v>
      </c>
      <c r="F140" s="118" t="n">
        <f aca="false">IF($C140=0,0,$V$4/($V$4^2+($C140-$V$5)^2))</f>
        <v>0.00794386249059309</v>
      </c>
      <c r="G140" s="118" t="n">
        <f aca="false">IF($C140=0,0,-($C140-$V$5)/($V$4^2+($C140-$V$5)^2))</f>
        <v>-0.00761070321330765</v>
      </c>
      <c r="H140" s="118" t="n">
        <f aca="false">IF($C140=0,0,$V$4/($V$4^2+($C140+$V$5)^2))</f>
        <v>3.42232702199479E-008</v>
      </c>
      <c r="I140" s="118" t="n">
        <f aca="false">IF($C140=0,0,-($C140+$V$5)/($V$4^2+($C140+$V$5)^2))</f>
        <v>-2.2834257519342E-005</v>
      </c>
      <c r="J140" s="118" t="n">
        <f aca="false">IF($C140=0,0,$V$6/($V$6^2+($C140-$V$7)^2))</f>
        <v>0.002042107399869</v>
      </c>
      <c r="K140" s="118" t="n">
        <f aca="false">IF($C140=0,0,-($C140-$V$7)/($V$6^2+($C140-$V$7)^2))</f>
        <v>0.00435142193269744</v>
      </c>
      <c r="L140" s="118" t="n">
        <f aca="false">IF($C140=0,0,$V$6/($V$6^2+($C140+$V$7)^2))</f>
        <v>4.55592844393532E-008</v>
      </c>
      <c r="M140" s="118" t="n">
        <f aca="false">IF($C140=0,0,-($C140+$V$7)/($V$6^2+($C140+$V$7)^2))</f>
        <v>-2.27039791339128E-005</v>
      </c>
      <c r="N140" s="118" t="n">
        <f aca="false">G140+I140</f>
        <v>-0.00763353747082699</v>
      </c>
      <c r="O140" s="118" t="n">
        <f aca="false">F140-H140</f>
        <v>0.00794382826732287</v>
      </c>
      <c r="P140" s="118" t="n">
        <f aca="false">K140+M140</f>
        <v>0.00432871795356353</v>
      </c>
      <c r="Q140" s="118" t="n">
        <f aca="false">J140-L140</f>
        <v>0.00204206184058456</v>
      </c>
      <c r="R140" s="88" t="n">
        <f aca="false">0</f>
        <v>0</v>
      </c>
      <c r="S140" s="88" t="n">
        <f aca="false">0</f>
        <v>0</v>
      </c>
      <c r="T140" s="71" t="n">
        <f aca="false">E140</f>
        <v>-0.002205</v>
      </c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customFormat="false" ht="15" hidden="false" customHeight="false" outlineLevel="0" collapsed="false">
      <c r="A141" s="110" t="str">
        <f aca="false">"虚部"</f>
        <v>虚部</v>
      </c>
      <c r="B141" s="88" t="n">
        <f aca="false">IF(03_FRFデータ貼付!B18="","",03_FRFデータ貼付!A18)</f>
        <v>11</v>
      </c>
      <c r="C141" s="89" t="n">
        <f aca="false">IF(03_FRFデータ貼付!B18="",0,03_FRFデータ貼付!G18)</f>
        <v>21991.1485751286</v>
      </c>
      <c r="D141" s="71" t="n">
        <f aca="false">IF(03_FRFデータ貼付!C18="",0,03_FRFデータ貼付!C18)</f>
        <v>0.009201</v>
      </c>
      <c r="E141" s="71" t="n">
        <f aca="false">IF(03_FRFデータ貼付!D18="",0,03_FRFデータ貼付!D18)</f>
        <v>-0.001806</v>
      </c>
      <c r="F141" s="118" t="n">
        <f aca="false">IF($C141=0,0,$V$4/($V$4^2+($C141-$V$5)^2))</f>
        <v>0.00326345533227757</v>
      </c>
      <c r="G141" s="118" t="n">
        <f aca="false">IF($C141=0,0,-($C141-$V$5)/($V$4^2+($C141-$V$5)^2))</f>
        <v>-0.00625058698684791</v>
      </c>
      <c r="H141" s="118" t="n">
        <f aca="false">IF($C141=0,0,$V$4/($V$4^2+($C141+$V$5)^2))</f>
        <v>3.41252796211586E-008</v>
      </c>
      <c r="I141" s="118" t="n">
        <f aca="false">IF($C141=0,0,-($C141+$V$5)/($V$4^2+($C141+$V$5)^2))</f>
        <v>-2.2801543791149E-005</v>
      </c>
      <c r="J141" s="118" t="n">
        <f aca="false">IF($C141=0,0,$V$6/($V$6^2+($C141-$V$7)^2))</f>
        <v>0.00375112003164974</v>
      </c>
      <c r="K141" s="118" t="n">
        <f aca="false">IF($C141=0,0,-($C141-$V$7)/($V$6^2+($C141-$V$7)^2))</f>
        <v>0.00532639705347332</v>
      </c>
      <c r="L141" s="118" t="n">
        <f aca="false">IF($C141=0,0,$V$6/($V$6^2+($C141+$V$7)^2))</f>
        <v>4.54295783970554E-008</v>
      </c>
      <c r="M141" s="118" t="n">
        <f aca="false">IF($C141=0,0,-($C141+$V$7)/($V$6^2+($C141+$V$7)^2))</f>
        <v>-2.26716374231718E-005</v>
      </c>
      <c r="N141" s="118" t="n">
        <f aca="false">G141+I141</f>
        <v>-0.00627338853063906</v>
      </c>
      <c r="O141" s="118" t="n">
        <f aca="false">F141-H141</f>
        <v>0.00326342120699795</v>
      </c>
      <c r="P141" s="118" t="n">
        <f aca="false">K141+M141</f>
        <v>0.00530372541605015</v>
      </c>
      <c r="Q141" s="118" t="n">
        <f aca="false">J141-L141</f>
        <v>0.00375107460207134</v>
      </c>
      <c r="R141" s="88" t="n">
        <f aca="false">0</f>
        <v>0</v>
      </c>
      <c r="S141" s="88" t="n">
        <f aca="false">0</f>
        <v>0</v>
      </c>
      <c r="T141" s="71" t="n">
        <f aca="false">E141</f>
        <v>-0.001806</v>
      </c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customFormat="false" ht="15" hidden="false" customHeight="false" outlineLevel="0" collapsed="false">
      <c r="A142" s="110" t="str">
        <f aca="false">"虚部"</f>
        <v>虚部</v>
      </c>
      <c r="B142" s="88" t="n">
        <f aca="false">IF(03_FRFデータ貼付!B19="","",03_FRFデータ貼付!A19)</f>
        <v>12</v>
      </c>
      <c r="C142" s="89" t="n">
        <f aca="false">IF(03_FRFデータ貼付!B19="",0,03_FRFデータ貼付!G19)</f>
        <v>22053.9804282003</v>
      </c>
      <c r="D142" s="71" t="n">
        <f aca="false">IF(03_FRFデータ貼付!C19="",0,03_FRFデータ貼付!C19)</f>
        <v>0.010162</v>
      </c>
      <c r="E142" s="71" t="n">
        <f aca="false">IF(03_FRFデータ貼付!D19="",0,03_FRFデータ貼付!D19)</f>
        <v>-0.00152</v>
      </c>
      <c r="F142" s="118" t="n">
        <f aca="false">IF($C142=0,0,$V$4/($V$4^2+($C142-$V$5)^2))</f>
        <v>0.00164674720828741</v>
      </c>
      <c r="G142" s="118" t="n">
        <f aca="false">IF($C142=0,0,-($C142-$V$5)/($V$4^2+($C142-$V$5)^2))</f>
        <v>-0.00473043774294989</v>
      </c>
      <c r="H142" s="118" t="n">
        <f aca="false">IF($C142=0,0,$V$4/($V$4^2+($C142+$V$5)^2))</f>
        <v>3.40277092812228E-008</v>
      </c>
      <c r="I142" s="118" t="n">
        <f aca="false">IF($C142=0,0,-($C142+$V$5)/($V$4^2+($C142+$V$5)^2))</f>
        <v>-2.27689236639503E-005</v>
      </c>
      <c r="J142" s="118" t="n">
        <f aca="false">IF($C142=0,0,$V$6/($V$6^2+($C142-$V$7)^2))</f>
        <v>0.00752908629978995</v>
      </c>
      <c r="K142" s="118" t="n">
        <f aca="false">IF($C142=0,0,-($C142-$V$7)/($V$6^2+($C142-$V$7)^2))</f>
        <v>0.00533848487635345</v>
      </c>
      <c r="L142" s="118" t="n">
        <f aca="false">IF($C142=0,0,$V$6/($V$6^2+($C142+$V$7)^2))</f>
        <v>4.5300425470929E-008</v>
      </c>
      <c r="M142" s="118" t="n">
        <f aca="false">IF($C142=0,0,-($C142+$V$7)/($V$6^2+($C142+$V$7)^2))</f>
        <v>-2.26393877222218E-005</v>
      </c>
      <c r="N142" s="118" t="n">
        <f aca="false">G142+I142</f>
        <v>-0.00475320666661384</v>
      </c>
      <c r="O142" s="118" t="n">
        <f aca="false">F142-H142</f>
        <v>0.00164671318057812</v>
      </c>
      <c r="P142" s="118" t="n">
        <f aca="false">K142+M142</f>
        <v>0.00531584548863123</v>
      </c>
      <c r="Q142" s="118" t="n">
        <f aca="false">J142-L142</f>
        <v>0.00752904099936448</v>
      </c>
      <c r="R142" s="88" t="n">
        <f aca="false">0</f>
        <v>0</v>
      </c>
      <c r="S142" s="88" t="n">
        <f aca="false">0</f>
        <v>0</v>
      </c>
      <c r="T142" s="71" t="n">
        <f aca="false">E142</f>
        <v>-0.00152</v>
      </c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customFormat="false" ht="15" hidden="false" customHeight="false" outlineLevel="0" collapsed="false">
      <c r="A143" s="110" t="str">
        <f aca="false">"虚部"</f>
        <v>虚部</v>
      </c>
      <c r="B143" s="88" t="n">
        <f aca="false">IF(03_FRFデータ貼付!B20="","",03_FRFデータ貼付!A20)</f>
        <v>13</v>
      </c>
      <c r="C143" s="89" t="n">
        <f aca="false">IF(03_FRFデータ貼付!B20="",0,03_FRFデータ貼付!G20)</f>
        <v>22116.8122812721</v>
      </c>
      <c r="D143" s="71" t="n">
        <f aca="false">IF(03_FRFデータ貼付!C20="",0,03_FRFデータ貼付!C20)</f>
        <v>0.011108</v>
      </c>
      <c r="E143" s="71" t="n">
        <f aca="false">IF(03_FRFデータ貼付!D20="",0,03_FRFデータ貼付!D20)</f>
        <v>-0.005744</v>
      </c>
      <c r="F143" s="118" t="n">
        <f aca="false">IF($C143=0,0,$V$4/($V$4^2+($C143-$V$5)^2))</f>
        <v>0.00097239795695133</v>
      </c>
      <c r="G143" s="118" t="n">
        <f aca="false">IF($C143=0,0,-($C143-$V$5)/($V$4^2+($C143-$V$5)^2))</f>
        <v>-0.00372415003617529</v>
      </c>
      <c r="H143" s="118" t="n">
        <f aca="false">IF($C143=0,0,$V$4/($V$4^2+($C143+$V$5)^2))</f>
        <v>3.39305568003836E-008</v>
      </c>
      <c r="I143" s="118" t="n">
        <f aca="false">IF($C143=0,0,-($C143+$V$5)/($V$4^2+($C143+$V$5)^2))</f>
        <v>-2.27363967366019E-005</v>
      </c>
      <c r="J143" s="118" t="n">
        <f aca="false">IF($C143=0,0,$V$6/($V$6^2+($C143-$V$7)^2))</f>
        <v>0.0113142904305157</v>
      </c>
      <c r="K143" s="118" t="n">
        <f aca="false">IF($C143=0,0,-($C143-$V$7)/($V$6^2+($C143-$V$7)^2))</f>
        <v>-2.09552051885952E-005</v>
      </c>
      <c r="L143" s="118" t="n">
        <f aca="false">IF($C143=0,0,$V$6/($V$6^2+($C143+$V$7)^2))</f>
        <v>4.51718225205107E-008</v>
      </c>
      <c r="M143" s="118" t="n">
        <f aca="false">IF($C143=0,0,-($C143+$V$7)/($V$6^2+($C143+$V$7)^2))</f>
        <v>-2.26072296389807E-005</v>
      </c>
      <c r="N143" s="118" t="n">
        <f aca="false">G143+I143</f>
        <v>-0.00374688643291189</v>
      </c>
      <c r="O143" s="118" t="n">
        <f aca="false">F143-H143</f>
        <v>0.00097236402639453</v>
      </c>
      <c r="P143" s="118" t="n">
        <f aca="false">K143+M143</f>
        <v>-4.35624348275758E-005</v>
      </c>
      <c r="Q143" s="118" t="n">
        <f aca="false">J143-L143</f>
        <v>0.0113142452586932</v>
      </c>
      <c r="R143" s="88" t="n">
        <f aca="false">0</f>
        <v>0</v>
      </c>
      <c r="S143" s="88" t="n">
        <f aca="false">0</f>
        <v>0</v>
      </c>
      <c r="T143" s="71" t="n">
        <f aca="false">E143</f>
        <v>-0.005744</v>
      </c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customFormat="false" ht="15" hidden="false" customHeight="false" outlineLevel="0" collapsed="false">
      <c r="A144" s="110" t="str">
        <f aca="false">"虚部"</f>
        <v>虚部</v>
      </c>
      <c r="B144" s="88" t="n">
        <f aca="false">IF(03_FRFデータ貼付!B21="","",03_FRFデータ貼付!A21)</f>
        <v>14</v>
      </c>
      <c r="C144" s="89" t="n">
        <f aca="false">IF(03_FRFデータ貼付!B21="",0,03_FRFデータ貼付!G21)</f>
        <v>22179.6441343439</v>
      </c>
      <c r="D144" s="71" t="n">
        <f aca="false">IF(03_FRFデータ貼付!C21="",0,03_FRFデータ貼付!C21)</f>
        <v>0.006478</v>
      </c>
      <c r="E144" s="71" t="n">
        <f aca="false">IF(03_FRFデータ貼付!D21="",0,03_FRFデータ貼付!D21)</f>
        <v>-0.008669</v>
      </c>
      <c r="F144" s="118" t="n">
        <f aca="false">IF($C144=0,0,$V$4/($V$4^2+($C144-$V$5)^2))</f>
        <v>0.000637020957097524</v>
      </c>
      <c r="G144" s="118" t="n">
        <f aca="false">IF($C144=0,0,-($C144-$V$5)/($V$4^2+($C144-$V$5)^2))</f>
        <v>-0.0030495015862478</v>
      </c>
      <c r="H144" s="118" t="n">
        <f aca="false">IF($C144=0,0,$V$4/($V$4^2+($C144+$V$5)^2))</f>
        <v>3.38338197959886E-008</v>
      </c>
      <c r="I144" s="118" t="n">
        <f aca="false">IF($C144=0,0,-($C144+$V$5)/($V$4^2+($C144+$V$5)^2))</f>
        <v>-2.27039626102486E-005</v>
      </c>
      <c r="J144" s="118" t="n">
        <f aca="false">IF($C144=0,0,$V$6/($V$6^2+($C144-$V$7)^2))</f>
        <v>0.00750279151573432</v>
      </c>
      <c r="K144" s="118" t="n">
        <f aca="false">IF($C144=0,0,-($C144-$V$7)/($V$6^2+($C144-$V$7)^2))</f>
        <v>-0.00534763245857645</v>
      </c>
      <c r="L144" s="118" t="n">
        <f aca="false">IF($C144=0,0,$V$6/($V$6^2+($C144+$V$7)^2))</f>
        <v>4.50437664275945E-008</v>
      </c>
      <c r="M144" s="118" t="n">
        <f aca="false">IF($C144=0,0,-($C144+$V$7)/($V$6^2+($C144+$V$7)^2))</f>
        <v>-2.25751627835904E-005</v>
      </c>
      <c r="N144" s="118" t="n">
        <f aca="false">G144+I144</f>
        <v>-0.00307220554885805</v>
      </c>
      <c r="O144" s="118" t="n">
        <f aca="false">F144-H144</f>
        <v>0.000636987123277728</v>
      </c>
      <c r="P144" s="118" t="n">
        <f aca="false">K144+M144</f>
        <v>-0.00537020762136004</v>
      </c>
      <c r="Q144" s="118" t="n">
        <f aca="false">J144-L144</f>
        <v>0.00750274647196789</v>
      </c>
      <c r="R144" s="88" t="n">
        <f aca="false">0</f>
        <v>0</v>
      </c>
      <c r="S144" s="88" t="n">
        <f aca="false">0</f>
        <v>0</v>
      </c>
      <c r="T144" s="71" t="n">
        <f aca="false">E144</f>
        <v>-0.008669</v>
      </c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customFormat="false" ht="15" hidden="false" customHeight="false" outlineLevel="0" collapsed="false">
      <c r="A145" s="110" t="str">
        <f aca="false">"虚部"</f>
        <v>虚部</v>
      </c>
      <c r="B145" s="88" t="n">
        <f aca="false">IF(03_FRFデータ貼付!B22="","",03_FRFデータ貼付!A22)</f>
        <v>15</v>
      </c>
      <c r="C145" s="89" t="n">
        <f aca="false">IF(03_FRFデータ貼付!B22="",0,03_FRFデータ貼付!G22)</f>
        <v>22242.4759874157</v>
      </c>
      <c r="D145" s="71" t="n">
        <f aca="false">IF(03_FRFデータ貼付!C22="",0,03_FRFデータ貼付!C22)</f>
        <v>0.003142</v>
      </c>
      <c r="E145" s="71" t="n">
        <f aca="false">IF(03_FRFデータ貼付!D22="",0,03_FRFデータ貼付!D22)</f>
        <v>-0.007475</v>
      </c>
      <c r="F145" s="118" t="n">
        <f aca="false">IF($C145=0,0,$V$4/($V$4^2+($C145-$V$5)^2))</f>
        <v>0.000448124578731502</v>
      </c>
      <c r="G145" s="118" t="n">
        <f aca="false">IF($C145=0,0,-($C145-$V$5)/($V$4^2+($C145-$V$5)^2))</f>
        <v>-0.00257420513871976</v>
      </c>
      <c r="H145" s="118" t="n">
        <f aca="false">IF($C145=0,0,$V$4/($V$4^2+($C145+$V$5)^2))</f>
        <v>3.37374959023435E-008</v>
      </c>
      <c r="I145" s="118" t="n">
        <f aca="false">IF($C145=0,0,-($C145+$V$5)/($V$4^2+($C145+$V$5)^2))</f>
        <v>-2.26716208883081E-005</v>
      </c>
      <c r="J145" s="118" t="n">
        <f aca="false">IF($C145=0,0,$V$6/($V$6^2+($C145-$V$7)^2))</f>
        <v>0.00373806606842739</v>
      </c>
      <c r="K145" s="118" t="n">
        <f aca="false">IF($C145=0,0,-($C145-$V$7)/($V$6^2+($C145-$V$7)^2))</f>
        <v>-0.00532170764824213</v>
      </c>
      <c r="L145" s="118" t="n">
        <f aca="false">IF($C145=0,0,$V$6/($V$6^2+($C145+$V$7)^2))</f>
        <v>4.49162540960419E-008</v>
      </c>
      <c r="M145" s="118" t="n">
        <f aca="false">IF($C145=0,0,-($C145+$V$7)/($V$6^2+($C145+$V$7)^2))</f>
        <v>-2.25431867684021E-005</v>
      </c>
      <c r="N145" s="118" t="n">
        <f aca="false">G145+I145</f>
        <v>-0.00259687675960807</v>
      </c>
      <c r="O145" s="118" t="n">
        <f aca="false">F145-H145</f>
        <v>0.0004480908412356</v>
      </c>
      <c r="P145" s="118" t="n">
        <f aca="false">K145+M145</f>
        <v>-0.00534425083501053</v>
      </c>
      <c r="Q145" s="118" t="n">
        <f aca="false">J145-L145</f>
        <v>0.00373802115217329</v>
      </c>
      <c r="R145" s="88" t="n">
        <f aca="false">0</f>
        <v>0</v>
      </c>
      <c r="S145" s="88" t="n">
        <f aca="false">0</f>
        <v>0</v>
      </c>
      <c r="T145" s="71" t="n">
        <f aca="false">E145</f>
        <v>-0.007475</v>
      </c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customFormat="false" ht="15" hidden="false" customHeight="false" outlineLevel="0" collapsed="false">
      <c r="A146" s="110" t="str">
        <f aca="false">"虚部"</f>
        <v>虚部</v>
      </c>
      <c r="B146" s="88" t="n">
        <f aca="false">IF(03_FRFデータ貼付!B23="","",03_FRFデータ貼付!A23)</f>
        <v>16</v>
      </c>
      <c r="C146" s="89" t="n">
        <f aca="false">IF(03_FRFデータ貼付!B23="",0,03_FRFデータ貼付!G23)</f>
        <v>22305.3078404875</v>
      </c>
      <c r="D146" s="71" t="n">
        <f aca="false">IF(03_FRFデータ貼付!C23="",0,03_FRFデータ貼付!C23)</f>
        <v>0.001759</v>
      </c>
      <c r="E146" s="71" t="n">
        <f aca="false">IF(03_FRFデータ貼付!D23="",0,03_FRFデータ貼付!D23)</f>
        <v>-0.006056</v>
      </c>
      <c r="F146" s="118" t="n">
        <f aca="false">IF($C146=0,0,$V$4/($V$4^2+($C146-$V$5)^2))</f>
        <v>0.000331836605877963</v>
      </c>
      <c r="G146" s="118" t="n">
        <f aca="false">IF($C146=0,0,-($C146-$V$5)/($V$4^2+($C146-$V$5)^2))</f>
        <v>-0.00222385720714606</v>
      </c>
      <c r="H146" s="118" t="n">
        <f aca="false">IF($C146=0,0,$V$4/($V$4^2+($C146+$V$5)^2))</f>
        <v>3.36415827705677E-008</v>
      </c>
      <c r="I146" s="118" t="n">
        <f aca="false">IF($C146=0,0,-($C146+$V$5)/($V$4^2+($C146+$V$5)^2))</f>
        <v>-2.26393711764545E-005</v>
      </c>
      <c r="J146" s="118" t="n">
        <f aca="false">IF($C146=0,0,$V$6/($V$6^2+($C146-$V$7)^2))</f>
        <v>0.00203630047574626</v>
      </c>
      <c r="K146" s="118" t="n">
        <f aca="false">IF($C146=0,0,-($C146-$V$7)/($V$6^2+($C146-$V$7)^2))</f>
        <v>-0.00434659112294101</v>
      </c>
      <c r="L146" s="118" t="n">
        <f aca="false">IF($C146=0,0,$V$6/($V$6^2+($C146+$V$7)^2))</f>
        <v>4.47892824515953E-008</v>
      </c>
      <c r="M146" s="118" t="n">
        <f aca="false">IF($C146=0,0,-($C146+$V$7)/($V$6^2+($C146+$V$7)^2))</f>
        <v>-2.25113012079598E-005</v>
      </c>
      <c r="N146" s="118" t="n">
        <f aca="false">G146+I146</f>
        <v>-0.00224649657832251</v>
      </c>
      <c r="O146" s="118" t="n">
        <f aca="false">F146-H146</f>
        <v>0.000331802964295192</v>
      </c>
      <c r="P146" s="118" t="n">
        <f aca="false">K146+M146</f>
        <v>-0.00436910242414897</v>
      </c>
      <c r="Q146" s="118" t="n">
        <f aca="false">J146-L146</f>
        <v>0.00203625568646381</v>
      </c>
      <c r="R146" s="88" t="n">
        <f aca="false">0</f>
        <v>0</v>
      </c>
      <c r="S146" s="88" t="n">
        <f aca="false">0</f>
        <v>0</v>
      </c>
      <c r="T146" s="71" t="n">
        <f aca="false">E146</f>
        <v>-0.006056</v>
      </c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customFormat="false" ht="15" hidden="false" customHeight="false" outlineLevel="0" collapsed="false">
      <c r="A147" s="110" t="str">
        <f aca="false">"虚部"</f>
        <v>虚部</v>
      </c>
      <c r="B147" s="88" t="n">
        <f aca="false">IF(03_FRFデータ貼付!B24="","",03_FRFデータ貼付!A24)</f>
        <v>17</v>
      </c>
      <c r="C147" s="89" t="n">
        <f aca="false">IF(03_FRFデータ貼付!B24="",0,03_FRFデータ貼付!G24)</f>
        <v>22368.1396935593</v>
      </c>
      <c r="D147" s="71" t="n">
        <f aca="false">IF(03_FRFデータ貼付!C24="",0,03_FRFデータ貼付!C24)</f>
        <v>0.001128</v>
      </c>
      <c r="E147" s="71" t="n">
        <f aca="false">IF(03_FRFデータ貼付!D24="",0,03_FRFデータ貼付!D24)</f>
        <v>-0.005</v>
      </c>
      <c r="F147" s="118" t="n">
        <f aca="false">IF($C147=0,0,$V$4/($V$4^2+($C147-$V$5)^2))</f>
        <v>0.000255373438995409</v>
      </c>
      <c r="G147" s="118" t="n">
        <f aca="false">IF($C147=0,0,-($C147-$V$5)/($V$4^2+($C147-$V$5)^2))</f>
        <v>-0.00195588739476493</v>
      </c>
      <c r="H147" s="118" t="n">
        <f aca="false">IF($C147=0,0,$V$4/($V$4^2+($C147+$V$5)^2))</f>
        <v>3.35460780684512E-008</v>
      </c>
      <c r="I147" s="118" t="n">
        <f aca="false">IF($C147=0,0,-($C147+$V$5)/($V$4^2+($C147+$V$5)^2))</f>
        <v>-2.26072130826023E-005</v>
      </c>
      <c r="J147" s="118" t="n">
        <f aca="false">IF($C147=0,0,$V$6/($V$6^2+($C147-$V$7)^2))</f>
        <v>0.00124379707138244</v>
      </c>
      <c r="K147" s="118" t="n">
        <f aca="false">IF($C147=0,0,-($C147-$V$7)/($V$6^2+($C147-$V$7)^2))</f>
        <v>-0.0035391663454352</v>
      </c>
      <c r="L147" s="118" t="n">
        <f aca="false">IF($C147=0,0,$V$6/($V$6^2+($C147+$V$7)^2))</f>
        <v>4.46628484416925E-008</v>
      </c>
      <c r="M147" s="118" t="n">
        <f aca="false">IF($C147=0,0,-($C147+$V$7)/($V$6^2+($C147+$V$7)^2))</f>
        <v>-2.24795057189855E-005</v>
      </c>
      <c r="N147" s="118" t="n">
        <f aca="false">G147+I147</f>
        <v>-0.00197849460784753</v>
      </c>
      <c r="O147" s="118" t="n">
        <f aca="false">F147-H147</f>
        <v>0.000255339892917341</v>
      </c>
      <c r="P147" s="118" t="n">
        <f aca="false">K147+M147</f>
        <v>-0.00356164585115419</v>
      </c>
      <c r="Q147" s="118" t="n">
        <f aca="false">J147-L147</f>
        <v>0.001243752408534</v>
      </c>
      <c r="R147" s="88" t="n">
        <f aca="false">0</f>
        <v>0</v>
      </c>
      <c r="S147" s="88" t="n">
        <f aca="false">0</f>
        <v>0</v>
      </c>
      <c r="T147" s="71" t="n">
        <f aca="false">E147</f>
        <v>-0.005</v>
      </c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customFormat="false" ht="15" hidden="false" customHeight="false" outlineLevel="0" collapsed="false">
      <c r="A148" s="110" t="str">
        <f aca="false">"虚部"</f>
        <v>虚部</v>
      </c>
      <c r="B148" s="88" t="n">
        <f aca="false">IF(03_FRFデータ貼付!B25="","",03_FRFデータ貼付!A25)</f>
        <v>18</v>
      </c>
      <c r="C148" s="89" t="n">
        <f aca="false">IF(03_FRFデータ貼付!B25="",0,03_FRFデータ貼付!G25)</f>
        <v>22430.9715466311</v>
      </c>
      <c r="D148" s="71" t="n">
        <f aca="false">IF(03_FRFデータ貼付!C25="",0,03_FRFデータ貼付!C25)</f>
        <v>0.000797</v>
      </c>
      <c r="E148" s="71" t="n">
        <f aca="false">IF(03_FRFデータ貼付!D25="",0,03_FRFデータ貼付!D25)</f>
        <v>-0.004246</v>
      </c>
      <c r="F148" s="118" t="n">
        <f aca="false">IF($C148=0,0,$V$4/($V$4^2+($C148-$V$5)^2))</f>
        <v>0.00020249348603844</v>
      </c>
      <c r="G148" s="118" t="n">
        <f aca="false">IF($C148=0,0,-($C148-$V$5)/($V$4^2+($C148-$V$5)^2))</f>
        <v>-0.00174472386496009</v>
      </c>
      <c r="H148" s="118" t="n">
        <f aca="false">IF($C148=0,0,$V$4/($V$4^2+($C148+$V$5)^2))</f>
        <v>3.34509794803126E-008</v>
      </c>
      <c r="I148" s="118" t="n">
        <f aca="false">IF($C148=0,0,-($C148+$V$5)/($V$4^2+($C148+$V$5)^2))</f>
        <v>-2.25751462168906E-005</v>
      </c>
      <c r="J148" s="118" t="n">
        <f aca="false">IF($C148=0,0,$V$6/($V$6^2+($C148-$V$7)^2))</f>
        <v>0.000829031318818643</v>
      </c>
      <c r="K148" s="118" t="n">
        <f aca="false">IF($C148=0,0,-($C148-$V$7)/($V$6^2+($C148-$V$7)^2))</f>
        <v>-0.00294832840185492</v>
      </c>
      <c r="L148" s="118" t="n">
        <f aca="false">IF($C148=0,0,$V$6/($V$6^2+($C148+$V$7)^2))</f>
        <v>4.45369490352832E-008</v>
      </c>
      <c r="M148" s="118" t="n">
        <f aca="false">IF($C148=0,0,-($C148+$V$7)/($V$6^2+($C148+$V$7)^2))</f>
        <v>-2.24477999203632E-005</v>
      </c>
      <c r="N148" s="118" t="n">
        <f aca="false">G148+I148</f>
        <v>-0.00176729901117698</v>
      </c>
      <c r="O148" s="118" t="n">
        <f aca="false">F148-H148</f>
        <v>0.00020246003505896</v>
      </c>
      <c r="P148" s="118" t="n">
        <f aca="false">K148+M148</f>
        <v>-0.00297077620177529</v>
      </c>
      <c r="Q148" s="118" t="n">
        <f aca="false">J148-L148</f>
        <v>0.000828986781869608</v>
      </c>
      <c r="R148" s="88" t="n">
        <f aca="false">0</f>
        <v>0</v>
      </c>
      <c r="S148" s="88" t="n">
        <f aca="false">0</f>
        <v>0</v>
      </c>
      <c r="T148" s="71" t="n">
        <f aca="false">E148</f>
        <v>-0.004246</v>
      </c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customFormat="false" ht="15" hidden="false" customHeight="false" outlineLevel="0" collapsed="false">
      <c r="A149" s="110" t="str">
        <f aca="false">"虚部"</f>
        <v>虚部</v>
      </c>
      <c r="B149" s="88" t="n">
        <f aca="false">IF(03_FRFデータ貼付!B26="","",03_FRFデータ貼付!A26)</f>
        <v>19</v>
      </c>
      <c r="C149" s="89" t="n">
        <f aca="false">IF(03_FRFデータ貼付!B26="",0,03_FRFデータ貼付!G26)</f>
        <v>22493.8033997029</v>
      </c>
      <c r="D149" s="71" t="n">
        <f aca="false">IF(03_FRFデータ貼付!C26="",0,03_FRFデータ貼付!C26)</f>
        <v>0.000602</v>
      </c>
      <c r="E149" s="71" t="n">
        <f aca="false">IF(03_FRFデータ貼付!D26="",0,03_FRFデータ貼付!D26)</f>
        <v>-0.003688</v>
      </c>
      <c r="F149" s="118" t="n">
        <f aca="false">IF($C149=0,0,$V$4/($V$4^2+($C149-$V$5)^2))</f>
        <v>0.000164437966645911</v>
      </c>
      <c r="G149" s="118" t="n">
        <f aca="false">IF($C149=0,0,-($C149-$V$5)/($V$4^2+($C149-$V$5)^2))</f>
        <v>-0.00157424104769427</v>
      </c>
      <c r="H149" s="118" t="n">
        <f aca="false">IF($C149=0,0,$V$4/($V$4^2+($C149+$V$5)^2))</f>
        <v>3.33562847068589E-008</v>
      </c>
      <c r="I149" s="118" t="n">
        <f aca="false">IF($C149=0,0,-($C149+$V$5)/($V$4^2+($C149+$V$5)^2))</f>
        <v>-2.25431701916675E-005</v>
      </c>
      <c r="J149" s="118" t="n">
        <f aca="false">IF($C149=0,0,$V$6/($V$6^2+($C149-$V$7)^2))</f>
        <v>0.000588997947527212</v>
      </c>
      <c r="K149" s="118" t="n">
        <f aca="false">IF($C149=0,0,-($C149-$V$7)/($V$6^2+($C149-$V$7)^2))</f>
        <v>-0.00251340369196774</v>
      </c>
      <c r="L149" s="118" t="n">
        <f aca="false">IF($C149=0,0,$V$6/($V$6^2+($C149+$V$7)^2))</f>
        <v>4.44115812226475E-008</v>
      </c>
      <c r="M149" s="118" t="n">
        <f aca="false">IF($C149=0,0,-($C149+$V$7)/($V$6^2+($C149+$V$7)^2))</f>
        <v>-2.24161834331242E-005</v>
      </c>
      <c r="N149" s="118" t="n">
        <f aca="false">G149+I149</f>
        <v>-0.00159678421788594</v>
      </c>
      <c r="O149" s="118" t="n">
        <f aca="false">F149-H149</f>
        <v>0.000164404610361204</v>
      </c>
      <c r="P149" s="118" t="n">
        <f aca="false">K149+M149</f>
        <v>-0.00253581987540086</v>
      </c>
      <c r="Q149" s="118" t="n">
        <f aca="false">J149-L149</f>
        <v>0.000588953535945989</v>
      </c>
      <c r="R149" s="88" t="n">
        <f aca="false">0</f>
        <v>0</v>
      </c>
      <c r="S149" s="88" t="n">
        <f aca="false">0</f>
        <v>0</v>
      </c>
      <c r="T149" s="71" t="n">
        <f aca="false">E149</f>
        <v>-0.003688</v>
      </c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customFormat="false" ht="15" hidden="false" customHeight="false" outlineLevel="0" collapsed="false">
      <c r="A150" s="110" t="str">
        <f aca="false">"虚部"</f>
        <v>虚部</v>
      </c>
      <c r="B150" s="88" t="n">
        <f aca="false">IF(03_FRFデータ貼付!B27="","",03_FRFデータ貼付!A27)</f>
        <v>20</v>
      </c>
      <c r="C150" s="89" t="n">
        <f aca="false">IF(03_FRFデータ貼付!B27="",0,03_FRFデータ貼付!G27)</f>
        <v>22556.6352527747</v>
      </c>
      <c r="D150" s="71" t="n">
        <f aca="false">IF(03_FRFデータ貼付!C27="",0,03_FRFデータ貼付!C27)</f>
        <v>0.000478</v>
      </c>
      <c r="E150" s="71" t="n">
        <f aca="false">IF(03_FRFデータ貼付!D27="",0,03_FRFデータ貼付!D27)</f>
        <v>-0.003267</v>
      </c>
      <c r="F150" s="118" t="n">
        <f aca="false">IF($C150=0,0,$V$4/($V$4^2+($C150-$V$5)^2))</f>
        <v>0.00013615622327571</v>
      </c>
      <c r="G150" s="118" t="n">
        <f aca="false">IF($C150=0,0,-($C150-$V$5)/($V$4^2+($C150-$V$5)^2))</f>
        <v>-0.00143382465066873</v>
      </c>
      <c r="H150" s="118" t="n">
        <f aca="false">IF($C150=0,0,$V$4/($V$4^2+($C150+$V$5)^2))</f>
        <v>3.32619914650464E-008</v>
      </c>
      <c r="I150" s="118" t="n">
        <f aca="false">IF($C150=0,0,-($C150+$V$5)/($V$4^2+($C150+$V$5)^2))</f>
        <v>-2.25112846214741E-005</v>
      </c>
      <c r="J150" s="118" t="n">
        <f aca="false">IF($C150=0,0,$V$6/($V$6^2+($C150-$V$7)^2))</f>
        <v>0.000438845769769851</v>
      </c>
      <c r="K150" s="118" t="n">
        <f aca="false">IF($C150=0,0,-($C150-$V$7)/($V$6^2+($C150-$V$7)^2))</f>
        <v>-0.00218464182781606</v>
      </c>
      <c r="L150" s="118" t="n">
        <f aca="false">IF($C150=0,0,$V$6/($V$6^2+($C150+$V$7)^2))</f>
        <v>4.42867420152158E-008</v>
      </c>
      <c r="M150" s="118" t="n">
        <f aca="false">IF($C150=0,0,-($C150+$V$7)/($V$6^2+($C150+$V$7)^2))</f>
        <v>-2.23846558804318E-005</v>
      </c>
      <c r="N150" s="118" t="n">
        <f aca="false">G150+I150</f>
        <v>-0.0014563359352902</v>
      </c>
      <c r="O150" s="118" t="n">
        <f aca="false">F150-H150</f>
        <v>0.000136122961284245</v>
      </c>
      <c r="P150" s="118" t="n">
        <f aca="false">K150+M150</f>
        <v>-0.00220702648369649</v>
      </c>
      <c r="Q150" s="118" t="n">
        <f aca="false">J150-L150</f>
        <v>0.000438801483027836</v>
      </c>
      <c r="R150" s="88" t="n">
        <f aca="false">0</f>
        <v>0</v>
      </c>
      <c r="S150" s="88" t="n">
        <f aca="false">0</f>
        <v>0</v>
      </c>
      <c r="T150" s="71" t="n">
        <f aca="false">E150</f>
        <v>-0.003267</v>
      </c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customFormat="false" ht="15" hidden="false" customHeight="false" outlineLevel="0" collapsed="false">
      <c r="A151" s="110" t="str">
        <f aca="false">"虚部"</f>
        <v>虚部</v>
      </c>
      <c r="B151" s="88" t="n">
        <f aca="false">IF(03_FRFデータ貼付!B28="","",03_FRFデータ貼付!A28)</f>
        <v>21</v>
      </c>
      <c r="C151" s="89" t="n">
        <f aca="false">IF(03_FRFデータ貼付!B28="",0,03_FRFデータ貼付!G28)</f>
        <v>22619.4671058465</v>
      </c>
      <c r="D151" s="71" t="n">
        <f aca="false">IF(03_FRFデータ貼付!C28="",0,03_FRFデータ貼付!C28)</f>
        <v>0.000393</v>
      </c>
      <c r="E151" s="71" t="n">
        <f aca="false">IF(03_FRFデータ貼付!D28="",0,03_FRFデータ貼付!D28)</f>
        <v>-0.002933</v>
      </c>
      <c r="F151" s="118" t="n">
        <f aca="false">IF($C151=0,0,$V$4/($V$4^2+($C151-$V$5)^2))</f>
        <v>0.000114574019532505</v>
      </c>
      <c r="G151" s="118" t="n">
        <f aca="false">IF($C151=0,0,-($C151-$V$5)/($V$4^2+($C151-$V$5)^2))</f>
        <v>-0.00131622619231997</v>
      </c>
      <c r="H151" s="118" t="n">
        <f aca="false">IF($C151=0,0,$V$4/($V$4^2+($C151+$V$5)^2))</f>
        <v>3.31680974879433E-008</v>
      </c>
      <c r="I151" s="118" t="n">
        <f aca="false">IF($C151=0,0,-($C151+$V$5)/($V$4^2+($C151+$V$5)^2))</f>
        <v>-2.24794891230293E-005</v>
      </c>
      <c r="J151" s="118" t="n">
        <f aca="false">IF($C151=0,0,$V$6/($V$6^2+($C151-$V$7)^2))</f>
        <v>0.000339104283453826</v>
      </c>
      <c r="K151" s="118" t="n">
        <f aca="false">IF($C151=0,0,-($C151-$V$7)/($V$6^2+($C151-$V$7)^2))</f>
        <v>-0.00192918267543513</v>
      </c>
      <c r="L151" s="118" t="n">
        <f aca="false">IF($C151=0,0,$V$6/($V$6^2+($C151+$V$7)^2))</f>
        <v>4.41624284453908E-008</v>
      </c>
      <c r="M151" s="118" t="n">
        <f aca="false">IF($C151=0,0,-($C151+$V$7)/($V$6^2+($C151+$V$7)^2))</f>
        <v>-2.23532168875662E-005</v>
      </c>
      <c r="N151" s="118" t="n">
        <f aca="false">G151+I151</f>
        <v>-0.001338705681443</v>
      </c>
      <c r="O151" s="118" t="n">
        <f aca="false">F151-H151</f>
        <v>0.000114540851435017</v>
      </c>
      <c r="P151" s="118" t="n">
        <f aca="false">K151+M151</f>
        <v>-0.00195153589232269</v>
      </c>
      <c r="Q151" s="118" t="n">
        <f aca="false">J151-L151</f>
        <v>0.000339060121025381</v>
      </c>
      <c r="R151" s="88" t="n">
        <f aca="false">0</f>
        <v>0</v>
      </c>
      <c r="S151" s="88" t="n">
        <f aca="false">0</f>
        <v>0</v>
      </c>
      <c r="T151" s="71" t="n">
        <f aca="false">E151</f>
        <v>-0.002933</v>
      </c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customFormat="false" ht="15" hidden="false" customHeight="false" outlineLevel="0" collapsed="false">
      <c r="A152" s="110" t="str">
        <f aca="false">"虚部"</f>
        <v>虚部</v>
      </c>
      <c r="B152" s="88" t="str">
        <f aca="false">IF(03_FRFデータ貼付!B29="","",03_FRFデータ貼付!A29)</f>
        <v/>
      </c>
      <c r="C152" s="89" t="n">
        <f aca="false">IF(03_FRFデータ貼付!B29="",0,03_FRFデータ貼付!G29)</f>
        <v>0</v>
      </c>
      <c r="D152" s="71" t="n">
        <f aca="false">IF(03_FRFデータ貼付!C29="",0,03_FRFデータ貼付!C29)</f>
        <v>0</v>
      </c>
      <c r="E152" s="71" t="n">
        <f aca="false">IF(03_FRFデータ貼付!D29="",0,03_FRFデータ貼付!D29)</f>
        <v>0</v>
      </c>
      <c r="F152" s="118" t="n">
        <f aca="false">IF($C152=0,0,$V$4/($V$4^2+($C152-$V$5)^2))</f>
        <v>0</v>
      </c>
      <c r="G152" s="118" t="n">
        <f aca="false">IF($C152=0,0,-($C152-$V$5)/($V$4^2+($C152-$V$5)^2))</f>
        <v>0</v>
      </c>
      <c r="H152" s="118" t="n">
        <f aca="false">IF($C152=0,0,$V$4/($V$4^2+($C152+$V$5)^2))</f>
        <v>0</v>
      </c>
      <c r="I152" s="118" t="n">
        <f aca="false">IF($C152=0,0,-($C152+$V$5)/($V$4^2+($C152+$V$5)^2))</f>
        <v>0</v>
      </c>
      <c r="J152" s="118" t="n">
        <f aca="false">IF($C152=0,0,$V$6/($V$6^2+($C152-$V$7)^2))</f>
        <v>0</v>
      </c>
      <c r="K152" s="118" t="n">
        <f aca="false">IF($C152=0,0,-($C152-$V$7)/($V$6^2+($C152-$V$7)^2))</f>
        <v>0</v>
      </c>
      <c r="L152" s="118" t="n">
        <f aca="false">IF($C152=0,0,$V$6/($V$6^2+($C152+$V$7)^2))</f>
        <v>0</v>
      </c>
      <c r="M152" s="118" t="n">
        <f aca="false">IF($C152=0,0,-($C152+$V$7)/($V$6^2+($C152+$V$7)^2))</f>
        <v>0</v>
      </c>
      <c r="N152" s="118" t="n">
        <f aca="false">G152+I152</f>
        <v>0</v>
      </c>
      <c r="O152" s="118" t="n">
        <f aca="false">F152-H152</f>
        <v>0</v>
      </c>
      <c r="P152" s="118" t="n">
        <f aca="false">K152+M152</f>
        <v>0</v>
      </c>
      <c r="Q152" s="118" t="n">
        <f aca="false">J152-L152</f>
        <v>0</v>
      </c>
      <c r="R152" s="88" t="n">
        <f aca="false">0</f>
        <v>0</v>
      </c>
      <c r="S152" s="88" t="n">
        <f aca="false">0</f>
        <v>0</v>
      </c>
      <c r="T152" s="71" t="n">
        <f aca="false">E152</f>
        <v>0</v>
      </c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customFormat="false" ht="15" hidden="false" customHeight="false" outlineLevel="0" collapsed="false">
      <c r="A153" s="110" t="str">
        <f aca="false">"虚部"</f>
        <v>虚部</v>
      </c>
      <c r="B153" s="88" t="str">
        <f aca="false">IF(03_FRFデータ貼付!B30="","",03_FRFデータ貼付!A30)</f>
        <v/>
      </c>
      <c r="C153" s="89" t="n">
        <f aca="false">IF(03_FRFデータ貼付!B30="",0,03_FRFデータ貼付!G30)</f>
        <v>0</v>
      </c>
      <c r="D153" s="71" t="n">
        <f aca="false">IF(03_FRFデータ貼付!C30="",0,03_FRFデータ貼付!C30)</f>
        <v>0</v>
      </c>
      <c r="E153" s="71" t="n">
        <f aca="false">IF(03_FRFデータ貼付!D30="",0,03_FRFデータ貼付!D30)</f>
        <v>0</v>
      </c>
      <c r="F153" s="118" t="n">
        <f aca="false">IF($C153=0,0,$V$4/($V$4^2+($C153-$V$5)^2))</f>
        <v>0</v>
      </c>
      <c r="G153" s="118" t="n">
        <f aca="false">IF($C153=0,0,-($C153-$V$5)/($V$4^2+($C153-$V$5)^2))</f>
        <v>0</v>
      </c>
      <c r="H153" s="118" t="n">
        <f aca="false">IF($C153=0,0,$V$4/($V$4^2+($C153+$V$5)^2))</f>
        <v>0</v>
      </c>
      <c r="I153" s="118" t="n">
        <f aca="false">IF($C153=0,0,-($C153+$V$5)/($V$4^2+($C153+$V$5)^2))</f>
        <v>0</v>
      </c>
      <c r="J153" s="118" t="n">
        <f aca="false">IF($C153=0,0,$V$6/($V$6^2+($C153-$V$7)^2))</f>
        <v>0</v>
      </c>
      <c r="K153" s="118" t="n">
        <f aca="false">IF($C153=0,0,-($C153-$V$7)/($V$6^2+($C153-$V$7)^2))</f>
        <v>0</v>
      </c>
      <c r="L153" s="118" t="n">
        <f aca="false">IF($C153=0,0,$V$6/($V$6^2+($C153+$V$7)^2))</f>
        <v>0</v>
      </c>
      <c r="M153" s="118" t="n">
        <f aca="false">IF($C153=0,0,-($C153+$V$7)/($V$6^2+($C153+$V$7)^2))</f>
        <v>0</v>
      </c>
      <c r="N153" s="118" t="n">
        <f aca="false">G153+I153</f>
        <v>0</v>
      </c>
      <c r="O153" s="118" t="n">
        <f aca="false">F153-H153</f>
        <v>0</v>
      </c>
      <c r="P153" s="118" t="n">
        <f aca="false">K153+M153</f>
        <v>0</v>
      </c>
      <c r="Q153" s="118" t="n">
        <f aca="false">J153-L153</f>
        <v>0</v>
      </c>
      <c r="R153" s="88" t="n">
        <f aca="false">0</f>
        <v>0</v>
      </c>
      <c r="S153" s="88" t="n">
        <f aca="false">0</f>
        <v>0</v>
      </c>
      <c r="T153" s="71" t="n">
        <f aca="false">E153</f>
        <v>0</v>
      </c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customFormat="false" ht="15" hidden="false" customHeight="false" outlineLevel="0" collapsed="false">
      <c r="A154" s="110" t="str">
        <f aca="false">"虚部"</f>
        <v>虚部</v>
      </c>
      <c r="B154" s="88" t="str">
        <f aca="false">IF(03_FRFデータ貼付!B31="","",03_FRFデータ貼付!A31)</f>
        <v/>
      </c>
      <c r="C154" s="89" t="n">
        <f aca="false">IF(03_FRFデータ貼付!B31="",0,03_FRFデータ貼付!G31)</f>
        <v>0</v>
      </c>
      <c r="D154" s="71" t="n">
        <f aca="false">IF(03_FRFデータ貼付!C31="",0,03_FRFデータ貼付!C31)</f>
        <v>0</v>
      </c>
      <c r="E154" s="71" t="n">
        <f aca="false">IF(03_FRFデータ貼付!D31="",0,03_FRFデータ貼付!D31)</f>
        <v>0</v>
      </c>
      <c r="F154" s="118" t="n">
        <f aca="false">IF($C154=0,0,$V$4/($V$4^2+($C154-$V$5)^2))</f>
        <v>0</v>
      </c>
      <c r="G154" s="118" t="n">
        <f aca="false">IF($C154=0,0,-($C154-$V$5)/($V$4^2+($C154-$V$5)^2))</f>
        <v>0</v>
      </c>
      <c r="H154" s="118" t="n">
        <f aca="false">IF($C154=0,0,$V$4/($V$4^2+($C154+$V$5)^2))</f>
        <v>0</v>
      </c>
      <c r="I154" s="118" t="n">
        <f aca="false">IF($C154=0,0,-($C154+$V$5)/($V$4^2+($C154+$V$5)^2))</f>
        <v>0</v>
      </c>
      <c r="J154" s="118" t="n">
        <f aca="false">IF($C154=0,0,$V$6/($V$6^2+($C154-$V$7)^2))</f>
        <v>0</v>
      </c>
      <c r="K154" s="118" t="n">
        <f aca="false">IF($C154=0,0,-($C154-$V$7)/($V$6^2+($C154-$V$7)^2))</f>
        <v>0</v>
      </c>
      <c r="L154" s="118" t="n">
        <f aca="false">IF($C154=0,0,$V$6/($V$6^2+($C154+$V$7)^2))</f>
        <v>0</v>
      </c>
      <c r="M154" s="118" t="n">
        <f aca="false">IF($C154=0,0,-($C154+$V$7)/($V$6^2+($C154+$V$7)^2))</f>
        <v>0</v>
      </c>
      <c r="N154" s="118" t="n">
        <f aca="false">G154+I154</f>
        <v>0</v>
      </c>
      <c r="O154" s="118" t="n">
        <f aca="false">F154-H154</f>
        <v>0</v>
      </c>
      <c r="P154" s="118" t="n">
        <f aca="false">K154+M154</f>
        <v>0</v>
      </c>
      <c r="Q154" s="118" t="n">
        <f aca="false">J154-L154</f>
        <v>0</v>
      </c>
      <c r="R154" s="88" t="n">
        <f aca="false">0</f>
        <v>0</v>
      </c>
      <c r="S154" s="88" t="n">
        <f aca="false">0</f>
        <v>0</v>
      </c>
      <c r="T154" s="71" t="n">
        <f aca="false">E154</f>
        <v>0</v>
      </c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customFormat="false" ht="15" hidden="false" customHeight="false" outlineLevel="0" collapsed="false">
      <c r="A155" s="110" t="str">
        <f aca="false">"虚部"</f>
        <v>虚部</v>
      </c>
      <c r="B155" s="88" t="str">
        <f aca="false">IF(03_FRFデータ貼付!B32="","",03_FRFデータ貼付!A32)</f>
        <v/>
      </c>
      <c r="C155" s="89" t="n">
        <f aca="false">IF(03_FRFデータ貼付!B32="",0,03_FRFデータ貼付!G32)</f>
        <v>0</v>
      </c>
      <c r="D155" s="71" t="n">
        <f aca="false">IF(03_FRFデータ貼付!C32="",0,03_FRFデータ貼付!C32)</f>
        <v>0</v>
      </c>
      <c r="E155" s="71" t="n">
        <f aca="false">IF(03_FRFデータ貼付!D32="",0,03_FRFデータ貼付!D32)</f>
        <v>0</v>
      </c>
      <c r="F155" s="118" t="n">
        <f aca="false">IF($C155=0,0,$V$4/($V$4^2+($C155-$V$5)^2))</f>
        <v>0</v>
      </c>
      <c r="G155" s="118" t="n">
        <f aca="false">IF($C155=0,0,-($C155-$V$5)/($V$4^2+($C155-$V$5)^2))</f>
        <v>0</v>
      </c>
      <c r="H155" s="118" t="n">
        <f aca="false">IF($C155=0,0,$V$4/($V$4^2+($C155+$V$5)^2))</f>
        <v>0</v>
      </c>
      <c r="I155" s="118" t="n">
        <f aca="false">IF($C155=0,0,-($C155+$V$5)/($V$4^2+($C155+$V$5)^2))</f>
        <v>0</v>
      </c>
      <c r="J155" s="118" t="n">
        <f aca="false">IF($C155=0,0,$V$6/($V$6^2+($C155-$V$7)^2))</f>
        <v>0</v>
      </c>
      <c r="K155" s="118" t="n">
        <f aca="false">IF($C155=0,0,-($C155-$V$7)/($V$6^2+($C155-$V$7)^2))</f>
        <v>0</v>
      </c>
      <c r="L155" s="118" t="n">
        <f aca="false">IF($C155=0,0,$V$6/($V$6^2+($C155+$V$7)^2))</f>
        <v>0</v>
      </c>
      <c r="M155" s="118" t="n">
        <f aca="false">IF($C155=0,0,-($C155+$V$7)/($V$6^2+($C155+$V$7)^2))</f>
        <v>0</v>
      </c>
      <c r="N155" s="118" t="n">
        <f aca="false">G155+I155</f>
        <v>0</v>
      </c>
      <c r="O155" s="118" t="n">
        <f aca="false">F155-H155</f>
        <v>0</v>
      </c>
      <c r="P155" s="118" t="n">
        <f aca="false">K155+M155</f>
        <v>0</v>
      </c>
      <c r="Q155" s="118" t="n">
        <f aca="false">J155-L155</f>
        <v>0</v>
      </c>
      <c r="R155" s="88" t="n">
        <f aca="false">0</f>
        <v>0</v>
      </c>
      <c r="S155" s="88" t="n">
        <f aca="false">0</f>
        <v>0</v>
      </c>
      <c r="T155" s="71" t="n">
        <f aca="false">E155</f>
        <v>0</v>
      </c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customFormat="false" ht="15" hidden="false" customHeight="false" outlineLevel="0" collapsed="false">
      <c r="A156" s="110" t="str">
        <f aca="false">"虚部"</f>
        <v>虚部</v>
      </c>
      <c r="B156" s="88" t="str">
        <f aca="false">IF(03_FRFデータ貼付!B33="","",03_FRFデータ貼付!A33)</f>
        <v/>
      </c>
      <c r="C156" s="89" t="n">
        <f aca="false">IF(03_FRFデータ貼付!B33="",0,03_FRFデータ貼付!G33)</f>
        <v>0</v>
      </c>
      <c r="D156" s="71" t="n">
        <f aca="false">IF(03_FRFデータ貼付!C33="",0,03_FRFデータ貼付!C33)</f>
        <v>0</v>
      </c>
      <c r="E156" s="71" t="n">
        <f aca="false">IF(03_FRFデータ貼付!D33="",0,03_FRFデータ貼付!D33)</f>
        <v>0</v>
      </c>
      <c r="F156" s="118" t="n">
        <f aca="false">IF($C156=0,0,$V$4/($V$4^2+($C156-$V$5)^2))</f>
        <v>0</v>
      </c>
      <c r="G156" s="118" t="n">
        <f aca="false">IF($C156=0,0,-($C156-$V$5)/($V$4^2+($C156-$V$5)^2))</f>
        <v>0</v>
      </c>
      <c r="H156" s="118" t="n">
        <f aca="false">IF($C156=0,0,$V$4/($V$4^2+($C156+$V$5)^2))</f>
        <v>0</v>
      </c>
      <c r="I156" s="118" t="n">
        <f aca="false">IF($C156=0,0,-($C156+$V$5)/($V$4^2+($C156+$V$5)^2))</f>
        <v>0</v>
      </c>
      <c r="J156" s="118" t="n">
        <f aca="false">IF($C156=0,0,$V$6/($V$6^2+($C156-$V$7)^2))</f>
        <v>0</v>
      </c>
      <c r="K156" s="118" t="n">
        <f aca="false">IF($C156=0,0,-($C156-$V$7)/($V$6^2+($C156-$V$7)^2))</f>
        <v>0</v>
      </c>
      <c r="L156" s="118" t="n">
        <f aca="false">IF($C156=0,0,$V$6/($V$6^2+($C156+$V$7)^2))</f>
        <v>0</v>
      </c>
      <c r="M156" s="118" t="n">
        <f aca="false">IF($C156=0,0,-($C156+$V$7)/($V$6^2+($C156+$V$7)^2))</f>
        <v>0</v>
      </c>
      <c r="N156" s="118" t="n">
        <f aca="false">G156+I156</f>
        <v>0</v>
      </c>
      <c r="O156" s="118" t="n">
        <f aca="false">F156-H156</f>
        <v>0</v>
      </c>
      <c r="P156" s="118" t="n">
        <f aca="false">K156+M156</f>
        <v>0</v>
      </c>
      <c r="Q156" s="118" t="n">
        <f aca="false">J156-L156</f>
        <v>0</v>
      </c>
      <c r="R156" s="88" t="n">
        <f aca="false">0</f>
        <v>0</v>
      </c>
      <c r="S156" s="88" t="n">
        <f aca="false">0</f>
        <v>0</v>
      </c>
      <c r="T156" s="71" t="n">
        <f aca="false">E156</f>
        <v>0</v>
      </c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customFormat="false" ht="15" hidden="false" customHeight="false" outlineLevel="0" collapsed="false">
      <c r="A157" s="110" t="str">
        <f aca="false">"虚部"</f>
        <v>虚部</v>
      </c>
      <c r="B157" s="88" t="str">
        <f aca="false">IF(03_FRFデータ貼付!B34="","",03_FRFデータ貼付!A34)</f>
        <v/>
      </c>
      <c r="C157" s="89" t="n">
        <f aca="false">IF(03_FRFデータ貼付!B34="",0,03_FRFデータ貼付!G34)</f>
        <v>0</v>
      </c>
      <c r="D157" s="71" t="n">
        <f aca="false">IF(03_FRFデータ貼付!C34="",0,03_FRFデータ貼付!C34)</f>
        <v>0</v>
      </c>
      <c r="E157" s="71" t="n">
        <f aca="false">IF(03_FRFデータ貼付!D34="",0,03_FRFデータ貼付!D34)</f>
        <v>0</v>
      </c>
      <c r="F157" s="118" t="n">
        <f aca="false">IF($C157=0,0,$V$4/($V$4^2+($C157-$V$5)^2))</f>
        <v>0</v>
      </c>
      <c r="G157" s="118" t="n">
        <f aca="false">IF($C157=0,0,-($C157-$V$5)/($V$4^2+($C157-$V$5)^2))</f>
        <v>0</v>
      </c>
      <c r="H157" s="118" t="n">
        <f aca="false">IF($C157=0,0,$V$4/($V$4^2+($C157+$V$5)^2))</f>
        <v>0</v>
      </c>
      <c r="I157" s="118" t="n">
        <f aca="false">IF($C157=0,0,-($C157+$V$5)/($V$4^2+($C157+$V$5)^2))</f>
        <v>0</v>
      </c>
      <c r="J157" s="118" t="n">
        <f aca="false">IF($C157=0,0,$V$6/($V$6^2+($C157-$V$7)^2))</f>
        <v>0</v>
      </c>
      <c r="K157" s="118" t="n">
        <f aca="false">IF($C157=0,0,-($C157-$V$7)/($V$6^2+($C157-$V$7)^2))</f>
        <v>0</v>
      </c>
      <c r="L157" s="118" t="n">
        <f aca="false">IF($C157=0,0,$V$6/($V$6^2+($C157+$V$7)^2))</f>
        <v>0</v>
      </c>
      <c r="M157" s="118" t="n">
        <f aca="false">IF($C157=0,0,-($C157+$V$7)/($V$6^2+($C157+$V$7)^2))</f>
        <v>0</v>
      </c>
      <c r="N157" s="118" t="n">
        <f aca="false">G157+I157</f>
        <v>0</v>
      </c>
      <c r="O157" s="118" t="n">
        <f aca="false">F157-H157</f>
        <v>0</v>
      </c>
      <c r="P157" s="118" t="n">
        <f aca="false">K157+M157</f>
        <v>0</v>
      </c>
      <c r="Q157" s="118" t="n">
        <f aca="false">J157-L157</f>
        <v>0</v>
      </c>
      <c r="R157" s="88" t="n">
        <f aca="false">0</f>
        <v>0</v>
      </c>
      <c r="S157" s="88" t="n">
        <f aca="false">0</f>
        <v>0</v>
      </c>
      <c r="T157" s="71" t="n">
        <f aca="false">E157</f>
        <v>0</v>
      </c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customFormat="false" ht="15" hidden="false" customHeight="false" outlineLevel="0" collapsed="false">
      <c r="A158" s="110" t="str">
        <f aca="false">"虚部"</f>
        <v>虚部</v>
      </c>
      <c r="B158" s="88" t="str">
        <f aca="false">IF(03_FRFデータ貼付!B35="","",03_FRFデータ貼付!A35)</f>
        <v/>
      </c>
      <c r="C158" s="89" t="n">
        <f aca="false">IF(03_FRFデータ貼付!B35="",0,03_FRFデータ貼付!G35)</f>
        <v>0</v>
      </c>
      <c r="D158" s="71" t="n">
        <f aca="false">IF(03_FRFデータ貼付!C35="",0,03_FRFデータ貼付!C35)</f>
        <v>0</v>
      </c>
      <c r="E158" s="71" t="n">
        <f aca="false">IF(03_FRFデータ貼付!D35="",0,03_FRFデータ貼付!D35)</f>
        <v>0</v>
      </c>
      <c r="F158" s="118" t="n">
        <f aca="false">IF($C158=0,0,$V$4/($V$4^2+($C158-$V$5)^2))</f>
        <v>0</v>
      </c>
      <c r="G158" s="118" t="n">
        <f aca="false">IF($C158=0,0,-($C158-$V$5)/($V$4^2+($C158-$V$5)^2))</f>
        <v>0</v>
      </c>
      <c r="H158" s="118" t="n">
        <f aca="false">IF($C158=0,0,$V$4/($V$4^2+($C158+$V$5)^2))</f>
        <v>0</v>
      </c>
      <c r="I158" s="118" t="n">
        <f aca="false">IF($C158=0,0,-($C158+$V$5)/($V$4^2+($C158+$V$5)^2))</f>
        <v>0</v>
      </c>
      <c r="J158" s="118" t="n">
        <f aca="false">IF($C158=0,0,$V$6/($V$6^2+($C158-$V$7)^2))</f>
        <v>0</v>
      </c>
      <c r="K158" s="118" t="n">
        <f aca="false">IF($C158=0,0,-($C158-$V$7)/($V$6^2+($C158-$V$7)^2))</f>
        <v>0</v>
      </c>
      <c r="L158" s="118" t="n">
        <f aca="false">IF($C158=0,0,$V$6/($V$6^2+($C158+$V$7)^2))</f>
        <v>0</v>
      </c>
      <c r="M158" s="118" t="n">
        <f aca="false">IF($C158=0,0,-($C158+$V$7)/($V$6^2+($C158+$V$7)^2))</f>
        <v>0</v>
      </c>
      <c r="N158" s="118" t="n">
        <f aca="false">G158+I158</f>
        <v>0</v>
      </c>
      <c r="O158" s="118" t="n">
        <f aca="false">F158-H158</f>
        <v>0</v>
      </c>
      <c r="P158" s="118" t="n">
        <f aca="false">K158+M158</f>
        <v>0</v>
      </c>
      <c r="Q158" s="118" t="n">
        <f aca="false">J158-L158</f>
        <v>0</v>
      </c>
      <c r="R158" s="88" t="n">
        <f aca="false">0</f>
        <v>0</v>
      </c>
      <c r="S158" s="88" t="n">
        <f aca="false">0</f>
        <v>0</v>
      </c>
      <c r="T158" s="71" t="n">
        <f aca="false">E158</f>
        <v>0</v>
      </c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customFormat="false" ht="15" hidden="false" customHeight="false" outlineLevel="0" collapsed="false">
      <c r="A159" s="110" t="str">
        <f aca="false">"虚部"</f>
        <v>虚部</v>
      </c>
      <c r="B159" s="88" t="str">
        <f aca="false">IF(03_FRFデータ貼付!B36="","",03_FRFデータ貼付!A36)</f>
        <v/>
      </c>
      <c r="C159" s="89" t="n">
        <f aca="false">IF(03_FRFデータ貼付!B36="",0,03_FRFデータ貼付!G36)</f>
        <v>0</v>
      </c>
      <c r="D159" s="71" t="n">
        <f aca="false">IF(03_FRFデータ貼付!C36="",0,03_FRFデータ貼付!C36)</f>
        <v>0</v>
      </c>
      <c r="E159" s="71" t="n">
        <f aca="false">IF(03_FRFデータ貼付!D36="",0,03_FRFデータ貼付!D36)</f>
        <v>0</v>
      </c>
      <c r="F159" s="118" t="n">
        <f aca="false">IF($C159=0,0,$V$4/($V$4^2+($C159-$V$5)^2))</f>
        <v>0</v>
      </c>
      <c r="G159" s="118" t="n">
        <f aca="false">IF($C159=0,0,-($C159-$V$5)/($V$4^2+($C159-$V$5)^2))</f>
        <v>0</v>
      </c>
      <c r="H159" s="118" t="n">
        <f aca="false">IF($C159=0,0,$V$4/($V$4^2+($C159+$V$5)^2))</f>
        <v>0</v>
      </c>
      <c r="I159" s="118" t="n">
        <f aca="false">IF($C159=0,0,-($C159+$V$5)/($V$4^2+($C159+$V$5)^2))</f>
        <v>0</v>
      </c>
      <c r="J159" s="118" t="n">
        <f aca="false">IF($C159=0,0,$V$6/($V$6^2+($C159-$V$7)^2))</f>
        <v>0</v>
      </c>
      <c r="K159" s="118" t="n">
        <f aca="false">IF($C159=0,0,-($C159-$V$7)/($V$6^2+($C159-$V$7)^2))</f>
        <v>0</v>
      </c>
      <c r="L159" s="118" t="n">
        <f aca="false">IF($C159=0,0,$V$6/($V$6^2+($C159+$V$7)^2))</f>
        <v>0</v>
      </c>
      <c r="M159" s="118" t="n">
        <f aca="false">IF($C159=0,0,-($C159+$V$7)/($V$6^2+($C159+$V$7)^2))</f>
        <v>0</v>
      </c>
      <c r="N159" s="118" t="n">
        <f aca="false">G159+I159</f>
        <v>0</v>
      </c>
      <c r="O159" s="118" t="n">
        <f aca="false">F159-H159</f>
        <v>0</v>
      </c>
      <c r="P159" s="118" t="n">
        <f aca="false">K159+M159</f>
        <v>0</v>
      </c>
      <c r="Q159" s="118" t="n">
        <f aca="false">J159-L159</f>
        <v>0</v>
      </c>
      <c r="R159" s="88" t="n">
        <f aca="false">0</f>
        <v>0</v>
      </c>
      <c r="S159" s="88" t="n">
        <f aca="false">0</f>
        <v>0</v>
      </c>
      <c r="T159" s="71" t="n">
        <f aca="false">E159</f>
        <v>0</v>
      </c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customFormat="false" ht="15" hidden="false" customHeight="false" outlineLevel="0" collapsed="false">
      <c r="A160" s="110" t="str">
        <f aca="false">"虚部"</f>
        <v>虚部</v>
      </c>
      <c r="B160" s="88" t="str">
        <f aca="false">IF(03_FRFデータ貼付!B37="","",03_FRFデータ貼付!A37)</f>
        <v/>
      </c>
      <c r="C160" s="89" t="n">
        <f aca="false">IF(03_FRFデータ貼付!B37="",0,03_FRFデータ貼付!G37)</f>
        <v>0</v>
      </c>
      <c r="D160" s="71" t="n">
        <f aca="false">IF(03_FRFデータ貼付!C37="",0,03_FRFデータ貼付!C37)</f>
        <v>0</v>
      </c>
      <c r="E160" s="71" t="n">
        <f aca="false">IF(03_FRFデータ貼付!D37="",0,03_FRFデータ貼付!D37)</f>
        <v>0</v>
      </c>
      <c r="F160" s="118" t="n">
        <f aca="false">IF($C160=0,0,$V$4/($V$4^2+($C160-$V$5)^2))</f>
        <v>0</v>
      </c>
      <c r="G160" s="118" t="n">
        <f aca="false">IF($C160=0,0,-($C160-$V$5)/($V$4^2+($C160-$V$5)^2))</f>
        <v>0</v>
      </c>
      <c r="H160" s="118" t="n">
        <f aca="false">IF($C160=0,0,$V$4/($V$4^2+($C160+$V$5)^2))</f>
        <v>0</v>
      </c>
      <c r="I160" s="118" t="n">
        <f aca="false">IF($C160=0,0,-($C160+$V$5)/($V$4^2+($C160+$V$5)^2))</f>
        <v>0</v>
      </c>
      <c r="J160" s="118" t="n">
        <f aca="false">IF($C160=0,0,$V$6/($V$6^2+($C160-$V$7)^2))</f>
        <v>0</v>
      </c>
      <c r="K160" s="118" t="n">
        <f aca="false">IF($C160=0,0,-($C160-$V$7)/($V$6^2+($C160-$V$7)^2))</f>
        <v>0</v>
      </c>
      <c r="L160" s="118" t="n">
        <f aca="false">IF($C160=0,0,$V$6/($V$6^2+($C160+$V$7)^2))</f>
        <v>0</v>
      </c>
      <c r="M160" s="118" t="n">
        <f aca="false">IF($C160=0,0,-($C160+$V$7)/($V$6^2+($C160+$V$7)^2))</f>
        <v>0</v>
      </c>
      <c r="N160" s="118" t="n">
        <f aca="false">G160+I160</f>
        <v>0</v>
      </c>
      <c r="O160" s="118" t="n">
        <f aca="false">F160-H160</f>
        <v>0</v>
      </c>
      <c r="P160" s="118" t="n">
        <f aca="false">K160+M160</f>
        <v>0</v>
      </c>
      <c r="Q160" s="118" t="n">
        <f aca="false">J160-L160</f>
        <v>0</v>
      </c>
      <c r="R160" s="88" t="n">
        <f aca="false">0</f>
        <v>0</v>
      </c>
      <c r="S160" s="88" t="n">
        <f aca="false">0</f>
        <v>0</v>
      </c>
      <c r="T160" s="71" t="n">
        <f aca="false">E160</f>
        <v>0</v>
      </c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customFormat="false" ht="15" hidden="false" customHeight="false" outlineLevel="0" collapsed="false">
      <c r="A161" s="110" t="str">
        <f aca="false">"虚部"</f>
        <v>虚部</v>
      </c>
      <c r="B161" s="88" t="str">
        <f aca="false">IF(03_FRFデータ貼付!B38="","",03_FRFデータ貼付!A38)</f>
        <v/>
      </c>
      <c r="C161" s="89" t="n">
        <f aca="false">IF(03_FRFデータ貼付!B38="",0,03_FRFデータ貼付!G38)</f>
        <v>0</v>
      </c>
      <c r="D161" s="71" t="n">
        <f aca="false">IF(03_FRFデータ貼付!C38="",0,03_FRFデータ貼付!C38)</f>
        <v>0</v>
      </c>
      <c r="E161" s="71" t="n">
        <f aca="false">IF(03_FRFデータ貼付!D38="",0,03_FRFデータ貼付!D38)</f>
        <v>0</v>
      </c>
      <c r="F161" s="118" t="n">
        <f aca="false">IF($C161=0,0,$V$4/($V$4^2+($C161-$V$5)^2))</f>
        <v>0</v>
      </c>
      <c r="G161" s="118" t="n">
        <f aca="false">IF($C161=0,0,-($C161-$V$5)/($V$4^2+($C161-$V$5)^2))</f>
        <v>0</v>
      </c>
      <c r="H161" s="118" t="n">
        <f aca="false">IF($C161=0,0,$V$4/($V$4^2+($C161+$V$5)^2))</f>
        <v>0</v>
      </c>
      <c r="I161" s="118" t="n">
        <f aca="false">IF($C161=0,0,-($C161+$V$5)/($V$4^2+($C161+$V$5)^2))</f>
        <v>0</v>
      </c>
      <c r="J161" s="118" t="n">
        <f aca="false">IF($C161=0,0,$V$6/($V$6^2+($C161-$V$7)^2))</f>
        <v>0</v>
      </c>
      <c r="K161" s="118" t="n">
        <f aca="false">IF($C161=0,0,-($C161-$V$7)/($V$6^2+($C161-$V$7)^2))</f>
        <v>0</v>
      </c>
      <c r="L161" s="118" t="n">
        <f aca="false">IF($C161=0,0,$V$6/($V$6^2+($C161+$V$7)^2))</f>
        <v>0</v>
      </c>
      <c r="M161" s="118" t="n">
        <f aca="false">IF($C161=0,0,-($C161+$V$7)/($V$6^2+($C161+$V$7)^2))</f>
        <v>0</v>
      </c>
      <c r="N161" s="118" t="n">
        <f aca="false">G161+I161</f>
        <v>0</v>
      </c>
      <c r="O161" s="118" t="n">
        <f aca="false">F161-H161</f>
        <v>0</v>
      </c>
      <c r="P161" s="118" t="n">
        <f aca="false">K161+M161</f>
        <v>0</v>
      </c>
      <c r="Q161" s="118" t="n">
        <f aca="false">J161-L161</f>
        <v>0</v>
      </c>
      <c r="R161" s="88" t="n">
        <f aca="false">0</f>
        <v>0</v>
      </c>
      <c r="S161" s="88" t="n">
        <f aca="false">0</f>
        <v>0</v>
      </c>
      <c r="T161" s="71" t="n">
        <f aca="false">E161</f>
        <v>0</v>
      </c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customFormat="false" ht="15" hidden="false" customHeight="false" outlineLevel="0" collapsed="false">
      <c r="A162" s="110" t="str">
        <f aca="false">"虚部"</f>
        <v>虚部</v>
      </c>
      <c r="B162" s="88" t="str">
        <f aca="false">IF(03_FRFデータ貼付!B39="","",03_FRFデータ貼付!A39)</f>
        <v/>
      </c>
      <c r="C162" s="89" t="n">
        <f aca="false">IF(03_FRFデータ貼付!B39="",0,03_FRFデータ貼付!G39)</f>
        <v>0</v>
      </c>
      <c r="D162" s="71" t="n">
        <f aca="false">IF(03_FRFデータ貼付!C39="",0,03_FRFデータ貼付!C39)</f>
        <v>0</v>
      </c>
      <c r="E162" s="71" t="n">
        <f aca="false">IF(03_FRFデータ貼付!D39="",0,03_FRFデータ貼付!D39)</f>
        <v>0</v>
      </c>
      <c r="F162" s="118" t="n">
        <f aca="false">IF($C162=0,0,$V$4/($V$4^2+($C162-$V$5)^2))</f>
        <v>0</v>
      </c>
      <c r="G162" s="118" t="n">
        <f aca="false">IF($C162=0,0,-($C162-$V$5)/($V$4^2+($C162-$V$5)^2))</f>
        <v>0</v>
      </c>
      <c r="H162" s="118" t="n">
        <f aca="false">IF($C162=0,0,$V$4/($V$4^2+($C162+$V$5)^2))</f>
        <v>0</v>
      </c>
      <c r="I162" s="118" t="n">
        <f aca="false">IF($C162=0,0,-($C162+$V$5)/($V$4^2+($C162+$V$5)^2))</f>
        <v>0</v>
      </c>
      <c r="J162" s="118" t="n">
        <f aca="false">IF($C162=0,0,$V$6/($V$6^2+($C162-$V$7)^2))</f>
        <v>0</v>
      </c>
      <c r="K162" s="118" t="n">
        <f aca="false">IF($C162=0,0,-($C162-$V$7)/($V$6^2+($C162-$V$7)^2))</f>
        <v>0</v>
      </c>
      <c r="L162" s="118" t="n">
        <f aca="false">IF($C162=0,0,$V$6/($V$6^2+($C162+$V$7)^2))</f>
        <v>0</v>
      </c>
      <c r="M162" s="118" t="n">
        <f aca="false">IF($C162=0,0,-($C162+$V$7)/($V$6^2+($C162+$V$7)^2))</f>
        <v>0</v>
      </c>
      <c r="N162" s="118" t="n">
        <f aca="false">G162+I162</f>
        <v>0</v>
      </c>
      <c r="O162" s="118" t="n">
        <f aca="false">F162-H162</f>
        <v>0</v>
      </c>
      <c r="P162" s="118" t="n">
        <f aca="false">K162+M162</f>
        <v>0</v>
      </c>
      <c r="Q162" s="118" t="n">
        <f aca="false">J162-L162</f>
        <v>0</v>
      </c>
      <c r="R162" s="88" t="n">
        <f aca="false">0</f>
        <v>0</v>
      </c>
      <c r="S162" s="88" t="n">
        <f aca="false">0</f>
        <v>0</v>
      </c>
      <c r="T162" s="71" t="n">
        <f aca="false">E162</f>
        <v>0</v>
      </c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customFormat="false" ht="15" hidden="false" customHeight="false" outlineLevel="0" collapsed="false">
      <c r="A163" s="110" t="str">
        <f aca="false">"虚部"</f>
        <v>虚部</v>
      </c>
      <c r="B163" s="88" t="str">
        <f aca="false">IF(03_FRFデータ貼付!B40="","",03_FRFデータ貼付!A40)</f>
        <v/>
      </c>
      <c r="C163" s="89" t="n">
        <f aca="false">IF(03_FRFデータ貼付!B40="",0,03_FRFデータ貼付!G40)</f>
        <v>0</v>
      </c>
      <c r="D163" s="71" t="n">
        <f aca="false">IF(03_FRFデータ貼付!C40="",0,03_FRFデータ貼付!C40)</f>
        <v>0</v>
      </c>
      <c r="E163" s="71" t="n">
        <f aca="false">IF(03_FRFデータ貼付!D40="",0,03_FRFデータ貼付!D40)</f>
        <v>0</v>
      </c>
      <c r="F163" s="118" t="n">
        <f aca="false">IF($C163=0,0,$V$4/($V$4^2+($C163-$V$5)^2))</f>
        <v>0</v>
      </c>
      <c r="G163" s="118" t="n">
        <f aca="false">IF($C163=0,0,-($C163-$V$5)/($V$4^2+($C163-$V$5)^2))</f>
        <v>0</v>
      </c>
      <c r="H163" s="118" t="n">
        <f aca="false">IF($C163=0,0,$V$4/($V$4^2+($C163+$V$5)^2))</f>
        <v>0</v>
      </c>
      <c r="I163" s="118" t="n">
        <f aca="false">IF($C163=0,0,-($C163+$V$5)/($V$4^2+($C163+$V$5)^2))</f>
        <v>0</v>
      </c>
      <c r="J163" s="118" t="n">
        <f aca="false">IF($C163=0,0,$V$6/($V$6^2+($C163-$V$7)^2))</f>
        <v>0</v>
      </c>
      <c r="K163" s="118" t="n">
        <f aca="false">IF($C163=0,0,-($C163-$V$7)/($V$6^2+($C163-$V$7)^2))</f>
        <v>0</v>
      </c>
      <c r="L163" s="118" t="n">
        <f aca="false">IF($C163=0,0,$V$6/($V$6^2+($C163+$V$7)^2))</f>
        <v>0</v>
      </c>
      <c r="M163" s="118" t="n">
        <f aca="false">IF($C163=0,0,-($C163+$V$7)/($V$6^2+($C163+$V$7)^2))</f>
        <v>0</v>
      </c>
      <c r="N163" s="118" t="n">
        <f aca="false">G163+I163</f>
        <v>0</v>
      </c>
      <c r="O163" s="118" t="n">
        <f aca="false">F163-H163</f>
        <v>0</v>
      </c>
      <c r="P163" s="118" t="n">
        <f aca="false">K163+M163</f>
        <v>0</v>
      </c>
      <c r="Q163" s="118" t="n">
        <f aca="false">J163-L163</f>
        <v>0</v>
      </c>
      <c r="R163" s="88" t="n">
        <f aca="false">0</f>
        <v>0</v>
      </c>
      <c r="S163" s="88" t="n">
        <f aca="false">0</f>
        <v>0</v>
      </c>
      <c r="T163" s="71" t="n">
        <f aca="false">E163</f>
        <v>0</v>
      </c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customFormat="false" ht="15" hidden="false" customHeight="false" outlineLevel="0" collapsed="false">
      <c r="A164" s="110" t="str">
        <f aca="false">"虚部"</f>
        <v>虚部</v>
      </c>
      <c r="B164" s="88" t="str">
        <f aca="false">IF(03_FRFデータ貼付!B41="","",03_FRFデータ貼付!A41)</f>
        <v/>
      </c>
      <c r="C164" s="89" t="n">
        <f aca="false">IF(03_FRFデータ貼付!B41="",0,03_FRFデータ貼付!G41)</f>
        <v>0</v>
      </c>
      <c r="D164" s="71" t="n">
        <f aca="false">IF(03_FRFデータ貼付!C41="",0,03_FRFデータ貼付!C41)</f>
        <v>0</v>
      </c>
      <c r="E164" s="71" t="n">
        <f aca="false">IF(03_FRFデータ貼付!D41="",0,03_FRFデータ貼付!D41)</f>
        <v>0</v>
      </c>
      <c r="F164" s="118" t="n">
        <f aca="false">IF($C164=0,0,$V$4/($V$4^2+($C164-$V$5)^2))</f>
        <v>0</v>
      </c>
      <c r="G164" s="118" t="n">
        <f aca="false">IF($C164=0,0,-($C164-$V$5)/($V$4^2+($C164-$V$5)^2))</f>
        <v>0</v>
      </c>
      <c r="H164" s="118" t="n">
        <f aca="false">IF($C164=0,0,$V$4/($V$4^2+($C164+$V$5)^2))</f>
        <v>0</v>
      </c>
      <c r="I164" s="118" t="n">
        <f aca="false">IF($C164=0,0,-($C164+$V$5)/($V$4^2+($C164+$V$5)^2))</f>
        <v>0</v>
      </c>
      <c r="J164" s="118" t="n">
        <f aca="false">IF($C164=0,0,$V$6/($V$6^2+($C164-$V$7)^2))</f>
        <v>0</v>
      </c>
      <c r="K164" s="118" t="n">
        <f aca="false">IF($C164=0,0,-($C164-$V$7)/($V$6^2+($C164-$V$7)^2))</f>
        <v>0</v>
      </c>
      <c r="L164" s="118" t="n">
        <f aca="false">IF($C164=0,0,$V$6/($V$6^2+($C164+$V$7)^2))</f>
        <v>0</v>
      </c>
      <c r="M164" s="118" t="n">
        <f aca="false">IF($C164=0,0,-($C164+$V$7)/($V$6^2+($C164+$V$7)^2))</f>
        <v>0</v>
      </c>
      <c r="N164" s="118" t="n">
        <f aca="false">G164+I164</f>
        <v>0</v>
      </c>
      <c r="O164" s="118" t="n">
        <f aca="false">F164-H164</f>
        <v>0</v>
      </c>
      <c r="P164" s="118" t="n">
        <f aca="false">K164+M164</f>
        <v>0</v>
      </c>
      <c r="Q164" s="118" t="n">
        <f aca="false">J164-L164</f>
        <v>0</v>
      </c>
      <c r="R164" s="88" t="n">
        <f aca="false">0</f>
        <v>0</v>
      </c>
      <c r="S164" s="88" t="n">
        <f aca="false">0</f>
        <v>0</v>
      </c>
      <c r="T164" s="71" t="n">
        <f aca="false">E164</f>
        <v>0</v>
      </c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customFormat="false" ht="15" hidden="false" customHeight="false" outlineLevel="0" collapsed="false">
      <c r="A165" s="110" t="str">
        <f aca="false">"虚部"</f>
        <v>虚部</v>
      </c>
      <c r="B165" s="88" t="str">
        <f aca="false">IF(03_FRFデータ貼付!B42="","",03_FRFデータ貼付!A42)</f>
        <v/>
      </c>
      <c r="C165" s="89" t="n">
        <f aca="false">IF(03_FRFデータ貼付!B42="",0,03_FRFデータ貼付!G42)</f>
        <v>0</v>
      </c>
      <c r="D165" s="71" t="n">
        <f aca="false">IF(03_FRFデータ貼付!C42="",0,03_FRFデータ貼付!C42)</f>
        <v>0</v>
      </c>
      <c r="E165" s="71" t="n">
        <f aca="false">IF(03_FRFデータ貼付!D42="",0,03_FRFデータ貼付!D42)</f>
        <v>0</v>
      </c>
      <c r="F165" s="118" t="n">
        <f aca="false">IF($C165=0,0,$V$4/($V$4^2+($C165-$V$5)^2))</f>
        <v>0</v>
      </c>
      <c r="G165" s="118" t="n">
        <f aca="false">IF($C165=0,0,-($C165-$V$5)/($V$4^2+($C165-$V$5)^2))</f>
        <v>0</v>
      </c>
      <c r="H165" s="118" t="n">
        <f aca="false">IF($C165=0,0,$V$4/($V$4^2+($C165+$V$5)^2))</f>
        <v>0</v>
      </c>
      <c r="I165" s="118" t="n">
        <f aca="false">IF($C165=0,0,-($C165+$V$5)/($V$4^2+($C165+$V$5)^2))</f>
        <v>0</v>
      </c>
      <c r="J165" s="118" t="n">
        <f aca="false">IF($C165=0,0,$V$6/($V$6^2+($C165-$V$7)^2))</f>
        <v>0</v>
      </c>
      <c r="K165" s="118" t="n">
        <f aca="false">IF($C165=0,0,-($C165-$V$7)/($V$6^2+($C165-$V$7)^2))</f>
        <v>0</v>
      </c>
      <c r="L165" s="118" t="n">
        <f aca="false">IF($C165=0,0,$V$6/($V$6^2+($C165+$V$7)^2))</f>
        <v>0</v>
      </c>
      <c r="M165" s="118" t="n">
        <f aca="false">IF($C165=0,0,-($C165+$V$7)/($V$6^2+($C165+$V$7)^2))</f>
        <v>0</v>
      </c>
      <c r="N165" s="118" t="n">
        <f aca="false">G165+I165</f>
        <v>0</v>
      </c>
      <c r="O165" s="118" t="n">
        <f aca="false">F165-H165</f>
        <v>0</v>
      </c>
      <c r="P165" s="118" t="n">
        <f aca="false">K165+M165</f>
        <v>0</v>
      </c>
      <c r="Q165" s="118" t="n">
        <f aca="false">J165-L165</f>
        <v>0</v>
      </c>
      <c r="R165" s="88" t="n">
        <f aca="false">0</f>
        <v>0</v>
      </c>
      <c r="S165" s="88" t="n">
        <f aca="false">0</f>
        <v>0</v>
      </c>
      <c r="T165" s="71" t="n">
        <f aca="false">E165</f>
        <v>0</v>
      </c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customFormat="false" ht="15" hidden="false" customHeight="false" outlineLevel="0" collapsed="false">
      <c r="A166" s="110" t="str">
        <f aca="false">"虚部"</f>
        <v>虚部</v>
      </c>
      <c r="B166" s="88" t="str">
        <f aca="false">IF(03_FRFデータ貼付!B43="","",03_FRFデータ貼付!A43)</f>
        <v/>
      </c>
      <c r="C166" s="89" t="n">
        <f aca="false">IF(03_FRFデータ貼付!B43="",0,03_FRFデータ貼付!G43)</f>
        <v>0</v>
      </c>
      <c r="D166" s="71" t="n">
        <f aca="false">IF(03_FRFデータ貼付!C43="",0,03_FRFデータ貼付!C43)</f>
        <v>0</v>
      </c>
      <c r="E166" s="71" t="n">
        <f aca="false">IF(03_FRFデータ貼付!D43="",0,03_FRFデータ貼付!D43)</f>
        <v>0</v>
      </c>
      <c r="F166" s="118" t="n">
        <f aca="false">IF($C166=0,0,$V$4/($V$4^2+($C166-$V$5)^2))</f>
        <v>0</v>
      </c>
      <c r="G166" s="118" t="n">
        <f aca="false">IF($C166=0,0,-($C166-$V$5)/($V$4^2+($C166-$V$5)^2))</f>
        <v>0</v>
      </c>
      <c r="H166" s="118" t="n">
        <f aca="false">IF($C166=0,0,$V$4/($V$4^2+($C166+$V$5)^2))</f>
        <v>0</v>
      </c>
      <c r="I166" s="118" t="n">
        <f aca="false">IF($C166=0,0,-($C166+$V$5)/($V$4^2+($C166+$V$5)^2))</f>
        <v>0</v>
      </c>
      <c r="J166" s="118" t="n">
        <f aca="false">IF($C166=0,0,$V$6/($V$6^2+($C166-$V$7)^2))</f>
        <v>0</v>
      </c>
      <c r="K166" s="118" t="n">
        <f aca="false">IF($C166=0,0,-($C166-$V$7)/($V$6^2+($C166-$V$7)^2))</f>
        <v>0</v>
      </c>
      <c r="L166" s="118" t="n">
        <f aca="false">IF($C166=0,0,$V$6/($V$6^2+($C166+$V$7)^2))</f>
        <v>0</v>
      </c>
      <c r="M166" s="118" t="n">
        <f aca="false">IF($C166=0,0,-($C166+$V$7)/($V$6^2+($C166+$V$7)^2))</f>
        <v>0</v>
      </c>
      <c r="N166" s="118" t="n">
        <f aca="false">G166+I166</f>
        <v>0</v>
      </c>
      <c r="O166" s="118" t="n">
        <f aca="false">F166-H166</f>
        <v>0</v>
      </c>
      <c r="P166" s="118" t="n">
        <f aca="false">K166+M166</f>
        <v>0</v>
      </c>
      <c r="Q166" s="118" t="n">
        <f aca="false">J166-L166</f>
        <v>0</v>
      </c>
      <c r="R166" s="88" t="n">
        <f aca="false">0</f>
        <v>0</v>
      </c>
      <c r="S166" s="88" t="n">
        <f aca="false">0</f>
        <v>0</v>
      </c>
      <c r="T166" s="71" t="n">
        <f aca="false">E166</f>
        <v>0</v>
      </c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customFormat="false" ht="15" hidden="false" customHeight="false" outlineLevel="0" collapsed="false">
      <c r="A167" s="110" t="str">
        <f aca="false">"虚部"</f>
        <v>虚部</v>
      </c>
      <c r="B167" s="88" t="str">
        <f aca="false">IF(03_FRFデータ貼付!B44="","",03_FRFデータ貼付!A44)</f>
        <v/>
      </c>
      <c r="C167" s="89" t="n">
        <f aca="false">IF(03_FRFデータ貼付!B44="",0,03_FRFデータ貼付!G44)</f>
        <v>0</v>
      </c>
      <c r="D167" s="71" t="n">
        <f aca="false">IF(03_FRFデータ貼付!C44="",0,03_FRFデータ貼付!C44)</f>
        <v>0</v>
      </c>
      <c r="E167" s="71" t="n">
        <f aca="false">IF(03_FRFデータ貼付!D44="",0,03_FRFデータ貼付!D44)</f>
        <v>0</v>
      </c>
      <c r="F167" s="118" t="n">
        <f aca="false">IF($C167=0,0,$V$4/($V$4^2+($C167-$V$5)^2))</f>
        <v>0</v>
      </c>
      <c r="G167" s="118" t="n">
        <f aca="false">IF($C167=0,0,-($C167-$V$5)/($V$4^2+($C167-$V$5)^2))</f>
        <v>0</v>
      </c>
      <c r="H167" s="118" t="n">
        <f aca="false">IF($C167=0,0,$V$4/($V$4^2+($C167+$V$5)^2))</f>
        <v>0</v>
      </c>
      <c r="I167" s="118" t="n">
        <f aca="false">IF($C167=0,0,-($C167+$V$5)/($V$4^2+($C167+$V$5)^2))</f>
        <v>0</v>
      </c>
      <c r="J167" s="118" t="n">
        <f aca="false">IF($C167=0,0,$V$6/($V$6^2+($C167-$V$7)^2))</f>
        <v>0</v>
      </c>
      <c r="K167" s="118" t="n">
        <f aca="false">IF($C167=0,0,-($C167-$V$7)/($V$6^2+($C167-$V$7)^2))</f>
        <v>0</v>
      </c>
      <c r="L167" s="118" t="n">
        <f aca="false">IF($C167=0,0,$V$6/($V$6^2+($C167+$V$7)^2))</f>
        <v>0</v>
      </c>
      <c r="M167" s="118" t="n">
        <f aca="false">IF($C167=0,0,-($C167+$V$7)/($V$6^2+($C167+$V$7)^2))</f>
        <v>0</v>
      </c>
      <c r="N167" s="118" t="n">
        <f aca="false">G167+I167</f>
        <v>0</v>
      </c>
      <c r="O167" s="118" t="n">
        <f aca="false">F167-H167</f>
        <v>0</v>
      </c>
      <c r="P167" s="118" t="n">
        <f aca="false">K167+M167</f>
        <v>0</v>
      </c>
      <c r="Q167" s="118" t="n">
        <f aca="false">J167-L167</f>
        <v>0</v>
      </c>
      <c r="R167" s="88" t="n">
        <f aca="false">0</f>
        <v>0</v>
      </c>
      <c r="S167" s="88" t="n">
        <f aca="false">0</f>
        <v>0</v>
      </c>
      <c r="T167" s="71" t="n">
        <f aca="false">E167</f>
        <v>0</v>
      </c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customFormat="false" ht="15" hidden="false" customHeight="false" outlineLevel="0" collapsed="false">
      <c r="A168" s="110" t="str">
        <f aca="false">"虚部"</f>
        <v>虚部</v>
      </c>
      <c r="B168" s="88" t="str">
        <f aca="false">IF(03_FRFデータ貼付!B45="","",03_FRFデータ貼付!A45)</f>
        <v/>
      </c>
      <c r="C168" s="89" t="n">
        <f aca="false">IF(03_FRFデータ貼付!B45="",0,03_FRFデータ貼付!G45)</f>
        <v>0</v>
      </c>
      <c r="D168" s="71" t="n">
        <f aca="false">IF(03_FRFデータ貼付!C45="",0,03_FRFデータ貼付!C45)</f>
        <v>0</v>
      </c>
      <c r="E168" s="71" t="n">
        <f aca="false">IF(03_FRFデータ貼付!D45="",0,03_FRFデータ貼付!D45)</f>
        <v>0</v>
      </c>
      <c r="F168" s="118" t="n">
        <f aca="false">IF($C168=0,0,$V$4/($V$4^2+($C168-$V$5)^2))</f>
        <v>0</v>
      </c>
      <c r="G168" s="118" t="n">
        <f aca="false">IF($C168=0,0,-($C168-$V$5)/($V$4^2+($C168-$V$5)^2))</f>
        <v>0</v>
      </c>
      <c r="H168" s="118" t="n">
        <f aca="false">IF($C168=0,0,$V$4/($V$4^2+($C168+$V$5)^2))</f>
        <v>0</v>
      </c>
      <c r="I168" s="118" t="n">
        <f aca="false">IF($C168=0,0,-($C168+$V$5)/($V$4^2+($C168+$V$5)^2))</f>
        <v>0</v>
      </c>
      <c r="J168" s="118" t="n">
        <f aca="false">IF($C168=0,0,$V$6/($V$6^2+($C168-$V$7)^2))</f>
        <v>0</v>
      </c>
      <c r="K168" s="118" t="n">
        <f aca="false">IF($C168=0,0,-($C168-$V$7)/($V$6^2+($C168-$V$7)^2))</f>
        <v>0</v>
      </c>
      <c r="L168" s="118" t="n">
        <f aca="false">IF($C168=0,0,$V$6/($V$6^2+($C168+$V$7)^2))</f>
        <v>0</v>
      </c>
      <c r="M168" s="118" t="n">
        <f aca="false">IF($C168=0,0,-($C168+$V$7)/($V$6^2+($C168+$V$7)^2))</f>
        <v>0</v>
      </c>
      <c r="N168" s="118" t="n">
        <f aca="false">G168+I168</f>
        <v>0</v>
      </c>
      <c r="O168" s="118" t="n">
        <f aca="false">F168-H168</f>
        <v>0</v>
      </c>
      <c r="P168" s="118" t="n">
        <f aca="false">K168+M168</f>
        <v>0</v>
      </c>
      <c r="Q168" s="118" t="n">
        <f aca="false">J168-L168</f>
        <v>0</v>
      </c>
      <c r="R168" s="88" t="n">
        <f aca="false">0</f>
        <v>0</v>
      </c>
      <c r="S168" s="88" t="n">
        <f aca="false">0</f>
        <v>0</v>
      </c>
      <c r="T168" s="71" t="n">
        <f aca="false">E168</f>
        <v>0</v>
      </c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customFormat="false" ht="15" hidden="false" customHeight="false" outlineLevel="0" collapsed="false">
      <c r="A169" s="110" t="str">
        <f aca="false">"虚部"</f>
        <v>虚部</v>
      </c>
      <c r="B169" s="88" t="str">
        <f aca="false">IF(03_FRFデータ貼付!B46="","",03_FRFデータ貼付!A46)</f>
        <v/>
      </c>
      <c r="C169" s="89" t="n">
        <f aca="false">IF(03_FRFデータ貼付!B46="",0,03_FRFデータ貼付!G46)</f>
        <v>0</v>
      </c>
      <c r="D169" s="71" t="n">
        <f aca="false">IF(03_FRFデータ貼付!C46="",0,03_FRFデータ貼付!C46)</f>
        <v>0</v>
      </c>
      <c r="E169" s="71" t="n">
        <f aca="false">IF(03_FRFデータ貼付!D46="",0,03_FRFデータ貼付!D46)</f>
        <v>0</v>
      </c>
      <c r="F169" s="118" t="n">
        <f aca="false">IF($C169=0,0,$V$4/($V$4^2+($C169-$V$5)^2))</f>
        <v>0</v>
      </c>
      <c r="G169" s="118" t="n">
        <f aca="false">IF($C169=0,0,-($C169-$V$5)/($V$4^2+($C169-$V$5)^2))</f>
        <v>0</v>
      </c>
      <c r="H169" s="118" t="n">
        <f aca="false">IF($C169=0,0,$V$4/($V$4^2+($C169+$V$5)^2))</f>
        <v>0</v>
      </c>
      <c r="I169" s="118" t="n">
        <f aca="false">IF($C169=0,0,-($C169+$V$5)/($V$4^2+($C169+$V$5)^2))</f>
        <v>0</v>
      </c>
      <c r="J169" s="118" t="n">
        <f aca="false">IF($C169=0,0,$V$6/($V$6^2+($C169-$V$7)^2))</f>
        <v>0</v>
      </c>
      <c r="K169" s="118" t="n">
        <f aca="false">IF($C169=0,0,-($C169-$V$7)/($V$6^2+($C169-$V$7)^2))</f>
        <v>0</v>
      </c>
      <c r="L169" s="118" t="n">
        <f aca="false">IF($C169=0,0,$V$6/($V$6^2+($C169+$V$7)^2))</f>
        <v>0</v>
      </c>
      <c r="M169" s="118" t="n">
        <f aca="false">IF($C169=0,0,-($C169+$V$7)/($V$6^2+($C169+$V$7)^2))</f>
        <v>0</v>
      </c>
      <c r="N169" s="118" t="n">
        <f aca="false">G169+I169</f>
        <v>0</v>
      </c>
      <c r="O169" s="118" t="n">
        <f aca="false">F169-H169</f>
        <v>0</v>
      </c>
      <c r="P169" s="118" t="n">
        <f aca="false">K169+M169</f>
        <v>0</v>
      </c>
      <c r="Q169" s="118" t="n">
        <f aca="false">J169-L169</f>
        <v>0</v>
      </c>
      <c r="R169" s="88" t="n">
        <f aca="false">0</f>
        <v>0</v>
      </c>
      <c r="S169" s="88" t="n">
        <f aca="false">0</f>
        <v>0</v>
      </c>
      <c r="T169" s="71" t="n">
        <f aca="false">E169</f>
        <v>0</v>
      </c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customFormat="false" ht="15" hidden="false" customHeight="false" outlineLevel="0" collapsed="false">
      <c r="A170" s="110" t="str">
        <f aca="false">"虚部"</f>
        <v>虚部</v>
      </c>
      <c r="B170" s="88" t="str">
        <f aca="false">IF(03_FRFデータ貼付!B47="","",03_FRFデータ貼付!A47)</f>
        <v/>
      </c>
      <c r="C170" s="89" t="n">
        <f aca="false">IF(03_FRFデータ貼付!B47="",0,03_FRFデータ貼付!G47)</f>
        <v>0</v>
      </c>
      <c r="D170" s="71" t="n">
        <f aca="false">IF(03_FRFデータ貼付!C47="",0,03_FRFデータ貼付!C47)</f>
        <v>0</v>
      </c>
      <c r="E170" s="71" t="n">
        <f aca="false">IF(03_FRFデータ貼付!D47="",0,03_FRFデータ貼付!D47)</f>
        <v>0</v>
      </c>
      <c r="F170" s="118" t="n">
        <f aca="false">IF($C170=0,0,$V$4/($V$4^2+($C170-$V$5)^2))</f>
        <v>0</v>
      </c>
      <c r="G170" s="118" t="n">
        <f aca="false">IF($C170=0,0,-($C170-$V$5)/($V$4^2+($C170-$V$5)^2))</f>
        <v>0</v>
      </c>
      <c r="H170" s="118" t="n">
        <f aca="false">IF($C170=0,0,$V$4/($V$4^2+($C170+$V$5)^2))</f>
        <v>0</v>
      </c>
      <c r="I170" s="118" t="n">
        <f aca="false">IF($C170=0,0,-($C170+$V$5)/($V$4^2+($C170+$V$5)^2))</f>
        <v>0</v>
      </c>
      <c r="J170" s="118" t="n">
        <f aca="false">IF($C170=0,0,$V$6/($V$6^2+($C170-$V$7)^2))</f>
        <v>0</v>
      </c>
      <c r="K170" s="118" t="n">
        <f aca="false">IF($C170=0,0,-($C170-$V$7)/($V$6^2+($C170-$V$7)^2))</f>
        <v>0</v>
      </c>
      <c r="L170" s="118" t="n">
        <f aca="false">IF($C170=0,0,$V$6/($V$6^2+($C170+$V$7)^2))</f>
        <v>0</v>
      </c>
      <c r="M170" s="118" t="n">
        <f aca="false">IF($C170=0,0,-($C170+$V$7)/($V$6^2+($C170+$V$7)^2))</f>
        <v>0</v>
      </c>
      <c r="N170" s="118" t="n">
        <f aca="false">G170+I170</f>
        <v>0</v>
      </c>
      <c r="O170" s="118" t="n">
        <f aca="false">F170-H170</f>
        <v>0</v>
      </c>
      <c r="P170" s="118" t="n">
        <f aca="false">K170+M170</f>
        <v>0</v>
      </c>
      <c r="Q170" s="118" t="n">
        <f aca="false">J170-L170</f>
        <v>0</v>
      </c>
      <c r="R170" s="88" t="n">
        <f aca="false">0</f>
        <v>0</v>
      </c>
      <c r="S170" s="88" t="n">
        <f aca="false">0</f>
        <v>0</v>
      </c>
      <c r="T170" s="71" t="n">
        <f aca="false">E170</f>
        <v>0</v>
      </c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customFormat="false" ht="15" hidden="false" customHeight="false" outlineLevel="0" collapsed="false">
      <c r="A171" s="110" t="str">
        <f aca="false">"虚部"</f>
        <v>虚部</v>
      </c>
      <c r="B171" s="88" t="str">
        <f aca="false">IF(03_FRFデータ貼付!B48="","",03_FRFデータ貼付!A48)</f>
        <v/>
      </c>
      <c r="C171" s="89" t="n">
        <f aca="false">IF(03_FRFデータ貼付!B48="",0,03_FRFデータ貼付!G48)</f>
        <v>0</v>
      </c>
      <c r="D171" s="71" t="n">
        <f aca="false">IF(03_FRFデータ貼付!C48="",0,03_FRFデータ貼付!C48)</f>
        <v>0</v>
      </c>
      <c r="E171" s="71" t="n">
        <f aca="false">IF(03_FRFデータ貼付!D48="",0,03_FRFデータ貼付!D48)</f>
        <v>0</v>
      </c>
      <c r="F171" s="118" t="n">
        <f aca="false">IF($C171=0,0,$V$4/($V$4^2+($C171-$V$5)^2))</f>
        <v>0</v>
      </c>
      <c r="G171" s="118" t="n">
        <f aca="false">IF($C171=0,0,-($C171-$V$5)/($V$4^2+($C171-$V$5)^2))</f>
        <v>0</v>
      </c>
      <c r="H171" s="118" t="n">
        <f aca="false">IF($C171=0,0,$V$4/($V$4^2+($C171+$V$5)^2))</f>
        <v>0</v>
      </c>
      <c r="I171" s="118" t="n">
        <f aca="false">IF($C171=0,0,-($C171+$V$5)/($V$4^2+($C171+$V$5)^2))</f>
        <v>0</v>
      </c>
      <c r="J171" s="118" t="n">
        <f aca="false">IF($C171=0,0,$V$6/($V$6^2+($C171-$V$7)^2))</f>
        <v>0</v>
      </c>
      <c r="K171" s="118" t="n">
        <f aca="false">IF($C171=0,0,-($C171-$V$7)/($V$6^2+($C171-$V$7)^2))</f>
        <v>0</v>
      </c>
      <c r="L171" s="118" t="n">
        <f aca="false">IF($C171=0,0,$V$6/($V$6^2+($C171+$V$7)^2))</f>
        <v>0</v>
      </c>
      <c r="M171" s="118" t="n">
        <f aca="false">IF($C171=0,0,-($C171+$V$7)/($V$6^2+($C171+$V$7)^2))</f>
        <v>0</v>
      </c>
      <c r="N171" s="118" t="n">
        <f aca="false">G171+I171</f>
        <v>0</v>
      </c>
      <c r="O171" s="118" t="n">
        <f aca="false">F171-H171</f>
        <v>0</v>
      </c>
      <c r="P171" s="118" t="n">
        <f aca="false">K171+M171</f>
        <v>0</v>
      </c>
      <c r="Q171" s="118" t="n">
        <f aca="false">J171-L171</f>
        <v>0</v>
      </c>
      <c r="R171" s="88" t="n">
        <f aca="false">0</f>
        <v>0</v>
      </c>
      <c r="S171" s="88" t="n">
        <f aca="false">0</f>
        <v>0</v>
      </c>
      <c r="T171" s="71" t="n">
        <f aca="false">E171</f>
        <v>0</v>
      </c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customFormat="false" ht="15" hidden="false" customHeight="false" outlineLevel="0" collapsed="false">
      <c r="A172" s="110" t="str">
        <f aca="false">"虚部"</f>
        <v>虚部</v>
      </c>
      <c r="B172" s="88" t="str">
        <f aca="false">IF(03_FRFデータ貼付!B49="","",03_FRFデータ貼付!A49)</f>
        <v/>
      </c>
      <c r="C172" s="89" t="n">
        <f aca="false">IF(03_FRFデータ貼付!B49="",0,03_FRFデータ貼付!G49)</f>
        <v>0</v>
      </c>
      <c r="D172" s="71" t="n">
        <f aca="false">IF(03_FRFデータ貼付!C49="",0,03_FRFデータ貼付!C49)</f>
        <v>0</v>
      </c>
      <c r="E172" s="71" t="n">
        <f aca="false">IF(03_FRFデータ貼付!D49="",0,03_FRFデータ貼付!D49)</f>
        <v>0</v>
      </c>
      <c r="F172" s="118" t="n">
        <f aca="false">IF($C172=0,0,$V$4/($V$4^2+($C172-$V$5)^2))</f>
        <v>0</v>
      </c>
      <c r="G172" s="118" t="n">
        <f aca="false">IF($C172=0,0,-($C172-$V$5)/($V$4^2+($C172-$V$5)^2))</f>
        <v>0</v>
      </c>
      <c r="H172" s="118" t="n">
        <f aca="false">IF($C172=0,0,$V$4/($V$4^2+($C172+$V$5)^2))</f>
        <v>0</v>
      </c>
      <c r="I172" s="118" t="n">
        <f aca="false">IF($C172=0,0,-($C172+$V$5)/($V$4^2+($C172+$V$5)^2))</f>
        <v>0</v>
      </c>
      <c r="J172" s="118" t="n">
        <f aca="false">IF($C172=0,0,$V$6/($V$6^2+($C172-$V$7)^2))</f>
        <v>0</v>
      </c>
      <c r="K172" s="118" t="n">
        <f aca="false">IF($C172=0,0,-($C172-$V$7)/($V$6^2+($C172-$V$7)^2))</f>
        <v>0</v>
      </c>
      <c r="L172" s="118" t="n">
        <f aca="false">IF($C172=0,0,$V$6/($V$6^2+($C172+$V$7)^2))</f>
        <v>0</v>
      </c>
      <c r="M172" s="118" t="n">
        <f aca="false">IF($C172=0,0,-($C172+$V$7)/($V$6^2+($C172+$V$7)^2))</f>
        <v>0</v>
      </c>
      <c r="N172" s="118" t="n">
        <f aca="false">G172+I172</f>
        <v>0</v>
      </c>
      <c r="O172" s="118" t="n">
        <f aca="false">F172-H172</f>
        <v>0</v>
      </c>
      <c r="P172" s="118" t="n">
        <f aca="false">K172+M172</f>
        <v>0</v>
      </c>
      <c r="Q172" s="118" t="n">
        <f aca="false">J172-L172</f>
        <v>0</v>
      </c>
      <c r="R172" s="88" t="n">
        <f aca="false">0</f>
        <v>0</v>
      </c>
      <c r="S172" s="88" t="n">
        <f aca="false">0</f>
        <v>0</v>
      </c>
      <c r="T172" s="71" t="n">
        <f aca="false">E172</f>
        <v>0</v>
      </c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customFormat="false" ht="15" hidden="false" customHeight="false" outlineLevel="0" collapsed="false">
      <c r="A173" s="110" t="str">
        <f aca="false">"虚部"</f>
        <v>虚部</v>
      </c>
      <c r="B173" s="88" t="str">
        <f aca="false">IF(03_FRFデータ貼付!B50="","",03_FRFデータ貼付!A50)</f>
        <v/>
      </c>
      <c r="C173" s="89" t="n">
        <f aca="false">IF(03_FRFデータ貼付!B50="",0,03_FRFデータ貼付!G50)</f>
        <v>0</v>
      </c>
      <c r="D173" s="71" t="n">
        <f aca="false">IF(03_FRFデータ貼付!C50="",0,03_FRFデータ貼付!C50)</f>
        <v>0</v>
      </c>
      <c r="E173" s="71" t="n">
        <f aca="false">IF(03_FRFデータ貼付!D50="",0,03_FRFデータ貼付!D50)</f>
        <v>0</v>
      </c>
      <c r="F173" s="118" t="n">
        <f aca="false">IF($C173=0,0,$V$4/($V$4^2+($C173-$V$5)^2))</f>
        <v>0</v>
      </c>
      <c r="G173" s="118" t="n">
        <f aca="false">IF($C173=0,0,-($C173-$V$5)/($V$4^2+($C173-$V$5)^2))</f>
        <v>0</v>
      </c>
      <c r="H173" s="118" t="n">
        <f aca="false">IF($C173=0,0,$V$4/($V$4^2+($C173+$V$5)^2))</f>
        <v>0</v>
      </c>
      <c r="I173" s="118" t="n">
        <f aca="false">IF($C173=0,0,-($C173+$V$5)/($V$4^2+($C173+$V$5)^2))</f>
        <v>0</v>
      </c>
      <c r="J173" s="118" t="n">
        <f aca="false">IF($C173=0,0,$V$6/($V$6^2+($C173-$V$7)^2))</f>
        <v>0</v>
      </c>
      <c r="K173" s="118" t="n">
        <f aca="false">IF($C173=0,0,-($C173-$V$7)/($V$6^2+($C173-$V$7)^2))</f>
        <v>0</v>
      </c>
      <c r="L173" s="118" t="n">
        <f aca="false">IF($C173=0,0,$V$6/($V$6^2+($C173+$V$7)^2))</f>
        <v>0</v>
      </c>
      <c r="M173" s="118" t="n">
        <f aca="false">IF($C173=0,0,-($C173+$V$7)/($V$6^2+($C173+$V$7)^2))</f>
        <v>0</v>
      </c>
      <c r="N173" s="118" t="n">
        <f aca="false">G173+I173</f>
        <v>0</v>
      </c>
      <c r="O173" s="118" t="n">
        <f aca="false">F173-H173</f>
        <v>0</v>
      </c>
      <c r="P173" s="118" t="n">
        <f aca="false">K173+M173</f>
        <v>0</v>
      </c>
      <c r="Q173" s="118" t="n">
        <f aca="false">J173-L173</f>
        <v>0</v>
      </c>
      <c r="R173" s="88" t="n">
        <f aca="false">0</f>
        <v>0</v>
      </c>
      <c r="S173" s="88" t="n">
        <f aca="false">0</f>
        <v>0</v>
      </c>
      <c r="T173" s="71" t="n">
        <f aca="false">E173</f>
        <v>0</v>
      </c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customFormat="false" ht="15" hidden="false" customHeight="false" outlineLevel="0" collapsed="false">
      <c r="A174" s="110" t="str">
        <f aca="false">"虚部"</f>
        <v>虚部</v>
      </c>
      <c r="B174" s="88" t="str">
        <f aca="false">IF(03_FRFデータ貼付!B51="","",03_FRFデータ貼付!A51)</f>
        <v/>
      </c>
      <c r="C174" s="89" t="n">
        <f aca="false">IF(03_FRFデータ貼付!B51="",0,03_FRFデータ貼付!G51)</f>
        <v>0</v>
      </c>
      <c r="D174" s="71" t="n">
        <f aca="false">IF(03_FRFデータ貼付!C51="",0,03_FRFデータ貼付!C51)</f>
        <v>0</v>
      </c>
      <c r="E174" s="71" t="n">
        <f aca="false">IF(03_FRFデータ貼付!D51="",0,03_FRFデータ貼付!D51)</f>
        <v>0</v>
      </c>
      <c r="F174" s="118" t="n">
        <f aca="false">IF($C174=0,0,$V$4/($V$4^2+($C174-$V$5)^2))</f>
        <v>0</v>
      </c>
      <c r="G174" s="118" t="n">
        <f aca="false">IF($C174=0,0,-($C174-$V$5)/($V$4^2+($C174-$V$5)^2))</f>
        <v>0</v>
      </c>
      <c r="H174" s="118" t="n">
        <f aca="false">IF($C174=0,0,$V$4/($V$4^2+($C174+$V$5)^2))</f>
        <v>0</v>
      </c>
      <c r="I174" s="118" t="n">
        <f aca="false">IF($C174=0,0,-($C174+$V$5)/($V$4^2+($C174+$V$5)^2))</f>
        <v>0</v>
      </c>
      <c r="J174" s="118" t="n">
        <f aca="false">IF($C174=0,0,$V$6/($V$6^2+($C174-$V$7)^2))</f>
        <v>0</v>
      </c>
      <c r="K174" s="118" t="n">
        <f aca="false">IF($C174=0,0,-($C174-$V$7)/($V$6^2+($C174-$V$7)^2))</f>
        <v>0</v>
      </c>
      <c r="L174" s="118" t="n">
        <f aca="false">IF($C174=0,0,$V$6/($V$6^2+($C174+$V$7)^2))</f>
        <v>0</v>
      </c>
      <c r="M174" s="118" t="n">
        <f aca="false">IF($C174=0,0,-($C174+$V$7)/($V$6^2+($C174+$V$7)^2))</f>
        <v>0</v>
      </c>
      <c r="N174" s="118" t="n">
        <f aca="false">G174+I174</f>
        <v>0</v>
      </c>
      <c r="O174" s="118" t="n">
        <f aca="false">F174-H174</f>
        <v>0</v>
      </c>
      <c r="P174" s="118" t="n">
        <f aca="false">K174+M174</f>
        <v>0</v>
      </c>
      <c r="Q174" s="118" t="n">
        <f aca="false">J174-L174</f>
        <v>0</v>
      </c>
      <c r="R174" s="88" t="n">
        <f aca="false">0</f>
        <v>0</v>
      </c>
      <c r="S174" s="88" t="n">
        <f aca="false">0</f>
        <v>0</v>
      </c>
      <c r="T174" s="71" t="n">
        <f aca="false">E174</f>
        <v>0</v>
      </c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customFormat="false" ht="15" hidden="false" customHeight="false" outlineLevel="0" collapsed="false">
      <c r="A175" s="110" t="str">
        <f aca="false">"虚部"</f>
        <v>虚部</v>
      </c>
      <c r="B175" s="88" t="str">
        <f aca="false">IF(03_FRFデータ貼付!B52="","",03_FRFデータ貼付!A52)</f>
        <v/>
      </c>
      <c r="C175" s="89" t="n">
        <f aca="false">IF(03_FRFデータ貼付!B52="",0,03_FRFデータ貼付!G52)</f>
        <v>0</v>
      </c>
      <c r="D175" s="71" t="n">
        <f aca="false">IF(03_FRFデータ貼付!C52="",0,03_FRFデータ貼付!C52)</f>
        <v>0</v>
      </c>
      <c r="E175" s="71" t="n">
        <f aca="false">IF(03_FRFデータ貼付!D52="",0,03_FRFデータ貼付!D52)</f>
        <v>0</v>
      </c>
      <c r="F175" s="118" t="n">
        <f aca="false">IF($C175=0,0,$V$4/($V$4^2+($C175-$V$5)^2))</f>
        <v>0</v>
      </c>
      <c r="G175" s="118" t="n">
        <f aca="false">IF($C175=0,0,-($C175-$V$5)/($V$4^2+($C175-$V$5)^2))</f>
        <v>0</v>
      </c>
      <c r="H175" s="118" t="n">
        <f aca="false">IF($C175=0,0,$V$4/($V$4^2+($C175+$V$5)^2))</f>
        <v>0</v>
      </c>
      <c r="I175" s="118" t="n">
        <f aca="false">IF($C175=0,0,-($C175+$V$5)/($V$4^2+($C175+$V$5)^2))</f>
        <v>0</v>
      </c>
      <c r="J175" s="118" t="n">
        <f aca="false">IF($C175=0,0,$V$6/($V$6^2+($C175-$V$7)^2))</f>
        <v>0</v>
      </c>
      <c r="K175" s="118" t="n">
        <f aca="false">IF($C175=0,0,-($C175-$V$7)/($V$6^2+($C175-$V$7)^2))</f>
        <v>0</v>
      </c>
      <c r="L175" s="118" t="n">
        <f aca="false">IF($C175=0,0,$V$6/($V$6^2+($C175+$V$7)^2))</f>
        <v>0</v>
      </c>
      <c r="M175" s="118" t="n">
        <f aca="false">IF($C175=0,0,-($C175+$V$7)/($V$6^2+($C175+$V$7)^2))</f>
        <v>0</v>
      </c>
      <c r="N175" s="118" t="n">
        <f aca="false">G175+I175</f>
        <v>0</v>
      </c>
      <c r="O175" s="118" t="n">
        <f aca="false">F175-H175</f>
        <v>0</v>
      </c>
      <c r="P175" s="118" t="n">
        <f aca="false">K175+M175</f>
        <v>0</v>
      </c>
      <c r="Q175" s="118" t="n">
        <f aca="false">J175-L175</f>
        <v>0</v>
      </c>
      <c r="R175" s="88" t="n">
        <f aca="false">0</f>
        <v>0</v>
      </c>
      <c r="S175" s="88" t="n">
        <f aca="false">0</f>
        <v>0</v>
      </c>
      <c r="T175" s="71" t="n">
        <f aca="false">E175</f>
        <v>0</v>
      </c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customFormat="false" ht="15" hidden="false" customHeight="false" outlineLevel="0" collapsed="false">
      <c r="A176" s="110" t="str">
        <f aca="false">"虚部"</f>
        <v>虚部</v>
      </c>
      <c r="B176" s="88" t="str">
        <f aca="false">IF(03_FRFデータ貼付!B53="","",03_FRFデータ貼付!A53)</f>
        <v/>
      </c>
      <c r="C176" s="89" t="n">
        <f aca="false">IF(03_FRFデータ貼付!B53="",0,03_FRFデータ貼付!G53)</f>
        <v>0</v>
      </c>
      <c r="D176" s="71" t="n">
        <f aca="false">IF(03_FRFデータ貼付!C53="",0,03_FRFデータ貼付!C53)</f>
        <v>0</v>
      </c>
      <c r="E176" s="71" t="n">
        <f aca="false">IF(03_FRFデータ貼付!D53="",0,03_FRFデータ貼付!D53)</f>
        <v>0</v>
      </c>
      <c r="F176" s="118" t="n">
        <f aca="false">IF($C176=0,0,$V$4/($V$4^2+($C176-$V$5)^2))</f>
        <v>0</v>
      </c>
      <c r="G176" s="118" t="n">
        <f aca="false">IF($C176=0,0,-($C176-$V$5)/($V$4^2+($C176-$V$5)^2))</f>
        <v>0</v>
      </c>
      <c r="H176" s="118" t="n">
        <f aca="false">IF($C176=0,0,$V$4/($V$4^2+($C176+$V$5)^2))</f>
        <v>0</v>
      </c>
      <c r="I176" s="118" t="n">
        <f aca="false">IF($C176=0,0,-($C176+$V$5)/($V$4^2+($C176+$V$5)^2))</f>
        <v>0</v>
      </c>
      <c r="J176" s="118" t="n">
        <f aca="false">IF($C176=0,0,$V$6/($V$6^2+($C176-$V$7)^2))</f>
        <v>0</v>
      </c>
      <c r="K176" s="118" t="n">
        <f aca="false">IF($C176=0,0,-($C176-$V$7)/($V$6^2+($C176-$V$7)^2))</f>
        <v>0</v>
      </c>
      <c r="L176" s="118" t="n">
        <f aca="false">IF($C176=0,0,$V$6/($V$6^2+($C176+$V$7)^2))</f>
        <v>0</v>
      </c>
      <c r="M176" s="118" t="n">
        <f aca="false">IF($C176=0,0,-($C176+$V$7)/($V$6^2+($C176+$V$7)^2))</f>
        <v>0</v>
      </c>
      <c r="N176" s="118" t="n">
        <f aca="false">G176+I176</f>
        <v>0</v>
      </c>
      <c r="O176" s="118" t="n">
        <f aca="false">F176-H176</f>
        <v>0</v>
      </c>
      <c r="P176" s="118" t="n">
        <f aca="false">K176+M176</f>
        <v>0</v>
      </c>
      <c r="Q176" s="118" t="n">
        <f aca="false">J176-L176</f>
        <v>0</v>
      </c>
      <c r="R176" s="88" t="n">
        <f aca="false">0</f>
        <v>0</v>
      </c>
      <c r="S176" s="88" t="n">
        <f aca="false">0</f>
        <v>0</v>
      </c>
      <c r="T176" s="71" t="n">
        <f aca="false">E176</f>
        <v>0</v>
      </c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customFormat="false" ht="15" hidden="false" customHeight="false" outlineLevel="0" collapsed="false">
      <c r="A177" s="110" t="str">
        <f aca="false">"虚部"</f>
        <v>虚部</v>
      </c>
      <c r="B177" s="88" t="str">
        <f aca="false">IF(03_FRFデータ貼付!B54="","",03_FRFデータ貼付!A54)</f>
        <v/>
      </c>
      <c r="C177" s="89" t="n">
        <f aca="false">IF(03_FRFデータ貼付!B54="",0,03_FRFデータ貼付!G54)</f>
        <v>0</v>
      </c>
      <c r="D177" s="71" t="n">
        <f aca="false">IF(03_FRFデータ貼付!C54="",0,03_FRFデータ貼付!C54)</f>
        <v>0</v>
      </c>
      <c r="E177" s="71" t="n">
        <f aca="false">IF(03_FRFデータ貼付!D54="",0,03_FRFデータ貼付!D54)</f>
        <v>0</v>
      </c>
      <c r="F177" s="118" t="n">
        <f aca="false">IF($C177=0,0,$V$4/($V$4^2+($C177-$V$5)^2))</f>
        <v>0</v>
      </c>
      <c r="G177" s="118" t="n">
        <f aca="false">IF($C177=0,0,-($C177-$V$5)/($V$4^2+($C177-$V$5)^2))</f>
        <v>0</v>
      </c>
      <c r="H177" s="118" t="n">
        <f aca="false">IF($C177=0,0,$V$4/($V$4^2+($C177+$V$5)^2))</f>
        <v>0</v>
      </c>
      <c r="I177" s="118" t="n">
        <f aca="false">IF($C177=0,0,-($C177+$V$5)/($V$4^2+($C177+$V$5)^2))</f>
        <v>0</v>
      </c>
      <c r="J177" s="118" t="n">
        <f aca="false">IF($C177=0,0,$V$6/($V$6^2+($C177-$V$7)^2))</f>
        <v>0</v>
      </c>
      <c r="K177" s="118" t="n">
        <f aca="false">IF($C177=0,0,-($C177-$V$7)/($V$6^2+($C177-$V$7)^2))</f>
        <v>0</v>
      </c>
      <c r="L177" s="118" t="n">
        <f aca="false">IF($C177=0,0,$V$6/($V$6^2+($C177+$V$7)^2))</f>
        <v>0</v>
      </c>
      <c r="M177" s="118" t="n">
        <f aca="false">IF($C177=0,0,-($C177+$V$7)/($V$6^2+($C177+$V$7)^2))</f>
        <v>0</v>
      </c>
      <c r="N177" s="118" t="n">
        <f aca="false">G177+I177</f>
        <v>0</v>
      </c>
      <c r="O177" s="118" t="n">
        <f aca="false">F177-H177</f>
        <v>0</v>
      </c>
      <c r="P177" s="118" t="n">
        <f aca="false">K177+M177</f>
        <v>0</v>
      </c>
      <c r="Q177" s="118" t="n">
        <f aca="false">J177-L177</f>
        <v>0</v>
      </c>
      <c r="R177" s="88" t="n">
        <f aca="false">0</f>
        <v>0</v>
      </c>
      <c r="S177" s="88" t="n">
        <f aca="false">0</f>
        <v>0</v>
      </c>
      <c r="T177" s="71" t="n">
        <f aca="false">E177</f>
        <v>0</v>
      </c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customFormat="false" ht="15" hidden="false" customHeight="false" outlineLevel="0" collapsed="false">
      <c r="A178" s="110" t="str">
        <f aca="false">"虚部"</f>
        <v>虚部</v>
      </c>
      <c r="B178" s="88" t="str">
        <f aca="false">IF(03_FRFデータ貼付!B55="","",03_FRFデータ貼付!A55)</f>
        <v/>
      </c>
      <c r="C178" s="89" t="n">
        <f aca="false">IF(03_FRFデータ貼付!B55="",0,03_FRFデータ貼付!G55)</f>
        <v>0</v>
      </c>
      <c r="D178" s="71" t="n">
        <f aca="false">IF(03_FRFデータ貼付!C55="",0,03_FRFデータ貼付!C55)</f>
        <v>0</v>
      </c>
      <c r="E178" s="71" t="n">
        <f aca="false">IF(03_FRFデータ貼付!D55="",0,03_FRFデータ貼付!D55)</f>
        <v>0</v>
      </c>
      <c r="F178" s="118" t="n">
        <f aca="false">IF($C178=0,0,$V$4/($V$4^2+($C178-$V$5)^2))</f>
        <v>0</v>
      </c>
      <c r="G178" s="118" t="n">
        <f aca="false">IF($C178=0,0,-($C178-$V$5)/($V$4^2+($C178-$V$5)^2))</f>
        <v>0</v>
      </c>
      <c r="H178" s="118" t="n">
        <f aca="false">IF($C178=0,0,$V$4/($V$4^2+($C178+$V$5)^2))</f>
        <v>0</v>
      </c>
      <c r="I178" s="118" t="n">
        <f aca="false">IF($C178=0,0,-($C178+$V$5)/($V$4^2+($C178+$V$5)^2))</f>
        <v>0</v>
      </c>
      <c r="J178" s="118" t="n">
        <f aca="false">IF($C178=0,0,$V$6/($V$6^2+($C178-$V$7)^2))</f>
        <v>0</v>
      </c>
      <c r="K178" s="118" t="n">
        <f aca="false">IF($C178=0,0,-($C178-$V$7)/($V$6^2+($C178-$V$7)^2))</f>
        <v>0</v>
      </c>
      <c r="L178" s="118" t="n">
        <f aca="false">IF($C178=0,0,$V$6/($V$6^2+($C178+$V$7)^2))</f>
        <v>0</v>
      </c>
      <c r="M178" s="118" t="n">
        <f aca="false">IF($C178=0,0,-($C178+$V$7)/($V$6^2+($C178+$V$7)^2))</f>
        <v>0</v>
      </c>
      <c r="N178" s="118" t="n">
        <f aca="false">G178+I178</f>
        <v>0</v>
      </c>
      <c r="O178" s="118" t="n">
        <f aca="false">F178-H178</f>
        <v>0</v>
      </c>
      <c r="P178" s="118" t="n">
        <f aca="false">K178+M178</f>
        <v>0</v>
      </c>
      <c r="Q178" s="118" t="n">
        <f aca="false">J178-L178</f>
        <v>0</v>
      </c>
      <c r="R178" s="88" t="n">
        <f aca="false">0</f>
        <v>0</v>
      </c>
      <c r="S178" s="88" t="n">
        <f aca="false">0</f>
        <v>0</v>
      </c>
      <c r="T178" s="71" t="n">
        <f aca="false">E178</f>
        <v>0</v>
      </c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customFormat="false" ht="15" hidden="false" customHeight="false" outlineLevel="0" collapsed="false">
      <c r="A179" s="110" t="str">
        <f aca="false">"虚部"</f>
        <v>虚部</v>
      </c>
      <c r="B179" s="88" t="str">
        <f aca="false">IF(03_FRFデータ貼付!B56="","",03_FRFデータ貼付!A56)</f>
        <v/>
      </c>
      <c r="C179" s="89" t="n">
        <f aca="false">IF(03_FRFデータ貼付!B56="",0,03_FRFデータ貼付!G56)</f>
        <v>0</v>
      </c>
      <c r="D179" s="71" t="n">
        <f aca="false">IF(03_FRFデータ貼付!C56="",0,03_FRFデータ貼付!C56)</f>
        <v>0</v>
      </c>
      <c r="E179" s="71" t="n">
        <f aca="false">IF(03_FRFデータ貼付!D56="",0,03_FRFデータ貼付!D56)</f>
        <v>0</v>
      </c>
      <c r="F179" s="118" t="n">
        <f aca="false">IF($C179=0,0,$V$4/($V$4^2+($C179-$V$5)^2))</f>
        <v>0</v>
      </c>
      <c r="G179" s="118" t="n">
        <f aca="false">IF($C179=0,0,-($C179-$V$5)/($V$4^2+($C179-$V$5)^2))</f>
        <v>0</v>
      </c>
      <c r="H179" s="118" t="n">
        <f aca="false">IF($C179=0,0,$V$4/($V$4^2+($C179+$V$5)^2))</f>
        <v>0</v>
      </c>
      <c r="I179" s="118" t="n">
        <f aca="false">IF($C179=0,0,-($C179+$V$5)/($V$4^2+($C179+$V$5)^2))</f>
        <v>0</v>
      </c>
      <c r="J179" s="118" t="n">
        <f aca="false">IF($C179=0,0,$V$6/($V$6^2+($C179-$V$7)^2))</f>
        <v>0</v>
      </c>
      <c r="K179" s="118" t="n">
        <f aca="false">IF($C179=0,0,-($C179-$V$7)/($V$6^2+($C179-$V$7)^2))</f>
        <v>0</v>
      </c>
      <c r="L179" s="118" t="n">
        <f aca="false">IF($C179=0,0,$V$6/($V$6^2+($C179+$V$7)^2))</f>
        <v>0</v>
      </c>
      <c r="M179" s="118" t="n">
        <f aca="false">IF($C179=0,0,-($C179+$V$7)/($V$6^2+($C179+$V$7)^2))</f>
        <v>0</v>
      </c>
      <c r="N179" s="118" t="n">
        <f aca="false">G179+I179</f>
        <v>0</v>
      </c>
      <c r="O179" s="118" t="n">
        <f aca="false">F179-H179</f>
        <v>0</v>
      </c>
      <c r="P179" s="118" t="n">
        <f aca="false">K179+M179</f>
        <v>0</v>
      </c>
      <c r="Q179" s="118" t="n">
        <f aca="false">J179-L179</f>
        <v>0</v>
      </c>
      <c r="R179" s="88" t="n">
        <f aca="false">0</f>
        <v>0</v>
      </c>
      <c r="S179" s="88" t="n">
        <f aca="false">0</f>
        <v>0</v>
      </c>
      <c r="T179" s="71" t="n">
        <f aca="false">E179</f>
        <v>0</v>
      </c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customFormat="false" ht="15" hidden="false" customHeight="false" outlineLevel="0" collapsed="false">
      <c r="A180" s="110" t="str">
        <f aca="false">"虚部"</f>
        <v>虚部</v>
      </c>
      <c r="B180" s="88" t="str">
        <f aca="false">IF(03_FRFデータ貼付!B57="","",03_FRFデータ貼付!A57)</f>
        <v/>
      </c>
      <c r="C180" s="89" t="n">
        <f aca="false">IF(03_FRFデータ貼付!B57="",0,03_FRFデータ貼付!G57)</f>
        <v>0</v>
      </c>
      <c r="D180" s="71" t="n">
        <f aca="false">IF(03_FRFデータ貼付!C57="",0,03_FRFデータ貼付!C57)</f>
        <v>0</v>
      </c>
      <c r="E180" s="71" t="n">
        <f aca="false">IF(03_FRFデータ貼付!D57="",0,03_FRFデータ貼付!D57)</f>
        <v>0</v>
      </c>
      <c r="F180" s="118" t="n">
        <f aca="false">IF($C180=0,0,$V$4/($V$4^2+($C180-$V$5)^2))</f>
        <v>0</v>
      </c>
      <c r="G180" s="118" t="n">
        <f aca="false">IF($C180=0,0,-($C180-$V$5)/($V$4^2+($C180-$V$5)^2))</f>
        <v>0</v>
      </c>
      <c r="H180" s="118" t="n">
        <f aca="false">IF($C180=0,0,$V$4/($V$4^2+($C180+$V$5)^2))</f>
        <v>0</v>
      </c>
      <c r="I180" s="118" t="n">
        <f aca="false">IF($C180=0,0,-($C180+$V$5)/($V$4^2+($C180+$V$5)^2))</f>
        <v>0</v>
      </c>
      <c r="J180" s="118" t="n">
        <f aca="false">IF($C180=0,0,$V$6/($V$6^2+($C180-$V$7)^2))</f>
        <v>0</v>
      </c>
      <c r="K180" s="118" t="n">
        <f aca="false">IF($C180=0,0,-($C180-$V$7)/($V$6^2+($C180-$V$7)^2))</f>
        <v>0</v>
      </c>
      <c r="L180" s="118" t="n">
        <f aca="false">IF($C180=0,0,$V$6/($V$6^2+($C180+$V$7)^2))</f>
        <v>0</v>
      </c>
      <c r="M180" s="118" t="n">
        <f aca="false">IF($C180=0,0,-($C180+$V$7)/($V$6^2+($C180+$V$7)^2))</f>
        <v>0</v>
      </c>
      <c r="N180" s="118" t="n">
        <f aca="false">G180+I180</f>
        <v>0</v>
      </c>
      <c r="O180" s="118" t="n">
        <f aca="false">F180-H180</f>
        <v>0</v>
      </c>
      <c r="P180" s="118" t="n">
        <f aca="false">K180+M180</f>
        <v>0</v>
      </c>
      <c r="Q180" s="118" t="n">
        <f aca="false">J180-L180</f>
        <v>0</v>
      </c>
      <c r="R180" s="88" t="n">
        <f aca="false">0</f>
        <v>0</v>
      </c>
      <c r="S180" s="88" t="n">
        <f aca="false">0</f>
        <v>0</v>
      </c>
      <c r="T180" s="71" t="n">
        <f aca="false">E180</f>
        <v>0</v>
      </c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customFormat="false" ht="15" hidden="false" customHeight="false" outlineLevel="0" collapsed="false">
      <c r="A181" s="110" t="str">
        <f aca="false">"虚部"</f>
        <v>虚部</v>
      </c>
      <c r="B181" s="88" t="str">
        <f aca="false">IF(03_FRFデータ貼付!B58="","",03_FRFデータ貼付!A58)</f>
        <v/>
      </c>
      <c r="C181" s="89" t="n">
        <f aca="false">IF(03_FRFデータ貼付!B58="",0,03_FRFデータ貼付!G58)</f>
        <v>0</v>
      </c>
      <c r="D181" s="71" t="n">
        <f aca="false">IF(03_FRFデータ貼付!C58="",0,03_FRFデータ貼付!C58)</f>
        <v>0</v>
      </c>
      <c r="E181" s="71" t="n">
        <f aca="false">IF(03_FRFデータ貼付!D58="",0,03_FRFデータ貼付!D58)</f>
        <v>0</v>
      </c>
      <c r="F181" s="118" t="n">
        <f aca="false">IF($C181=0,0,$V$4/($V$4^2+($C181-$V$5)^2))</f>
        <v>0</v>
      </c>
      <c r="G181" s="118" t="n">
        <f aca="false">IF($C181=0,0,-($C181-$V$5)/($V$4^2+($C181-$V$5)^2))</f>
        <v>0</v>
      </c>
      <c r="H181" s="118" t="n">
        <f aca="false">IF($C181=0,0,$V$4/($V$4^2+($C181+$V$5)^2))</f>
        <v>0</v>
      </c>
      <c r="I181" s="118" t="n">
        <f aca="false">IF($C181=0,0,-($C181+$V$5)/($V$4^2+($C181+$V$5)^2))</f>
        <v>0</v>
      </c>
      <c r="J181" s="118" t="n">
        <f aca="false">IF($C181=0,0,$V$6/($V$6^2+($C181-$V$7)^2))</f>
        <v>0</v>
      </c>
      <c r="K181" s="118" t="n">
        <f aca="false">IF($C181=0,0,-($C181-$V$7)/($V$6^2+($C181-$V$7)^2))</f>
        <v>0</v>
      </c>
      <c r="L181" s="118" t="n">
        <f aca="false">IF($C181=0,0,$V$6/($V$6^2+($C181+$V$7)^2))</f>
        <v>0</v>
      </c>
      <c r="M181" s="118" t="n">
        <f aca="false">IF($C181=0,0,-($C181+$V$7)/($V$6^2+($C181+$V$7)^2))</f>
        <v>0</v>
      </c>
      <c r="N181" s="118" t="n">
        <f aca="false">G181+I181</f>
        <v>0</v>
      </c>
      <c r="O181" s="118" t="n">
        <f aca="false">F181-H181</f>
        <v>0</v>
      </c>
      <c r="P181" s="118" t="n">
        <f aca="false">K181+M181</f>
        <v>0</v>
      </c>
      <c r="Q181" s="118" t="n">
        <f aca="false">J181-L181</f>
        <v>0</v>
      </c>
      <c r="R181" s="88" t="n">
        <f aca="false">0</f>
        <v>0</v>
      </c>
      <c r="S181" s="88" t="n">
        <f aca="false">0</f>
        <v>0</v>
      </c>
      <c r="T181" s="71" t="n">
        <f aca="false">E181</f>
        <v>0</v>
      </c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customFormat="false" ht="15" hidden="false" customHeight="false" outlineLevel="0" collapsed="false">
      <c r="A182" s="110" t="str">
        <f aca="false">"虚部"</f>
        <v>虚部</v>
      </c>
      <c r="B182" s="88" t="str">
        <f aca="false">IF(03_FRFデータ貼付!B59="","",03_FRFデータ貼付!A59)</f>
        <v/>
      </c>
      <c r="C182" s="89" t="n">
        <f aca="false">IF(03_FRFデータ貼付!B59="",0,03_FRFデータ貼付!G59)</f>
        <v>0</v>
      </c>
      <c r="D182" s="71" t="n">
        <f aca="false">IF(03_FRFデータ貼付!C59="",0,03_FRFデータ貼付!C59)</f>
        <v>0</v>
      </c>
      <c r="E182" s="71" t="n">
        <f aca="false">IF(03_FRFデータ貼付!D59="",0,03_FRFデータ貼付!D59)</f>
        <v>0</v>
      </c>
      <c r="F182" s="118" t="n">
        <f aca="false">IF($C182=0,0,$V$4/($V$4^2+($C182-$V$5)^2))</f>
        <v>0</v>
      </c>
      <c r="G182" s="118" t="n">
        <f aca="false">IF($C182=0,0,-($C182-$V$5)/($V$4^2+($C182-$V$5)^2))</f>
        <v>0</v>
      </c>
      <c r="H182" s="118" t="n">
        <f aca="false">IF($C182=0,0,$V$4/($V$4^2+($C182+$V$5)^2))</f>
        <v>0</v>
      </c>
      <c r="I182" s="118" t="n">
        <f aca="false">IF($C182=0,0,-($C182+$V$5)/($V$4^2+($C182+$V$5)^2))</f>
        <v>0</v>
      </c>
      <c r="J182" s="118" t="n">
        <f aca="false">IF($C182=0,0,$V$6/($V$6^2+($C182-$V$7)^2))</f>
        <v>0</v>
      </c>
      <c r="K182" s="118" t="n">
        <f aca="false">IF($C182=0,0,-($C182-$V$7)/($V$6^2+($C182-$V$7)^2))</f>
        <v>0</v>
      </c>
      <c r="L182" s="118" t="n">
        <f aca="false">IF($C182=0,0,$V$6/($V$6^2+($C182+$V$7)^2))</f>
        <v>0</v>
      </c>
      <c r="M182" s="118" t="n">
        <f aca="false">IF($C182=0,0,-($C182+$V$7)/($V$6^2+($C182+$V$7)^2))</f>
        <v>0</v>
      </c>
      <c r="N182" s="118" t="n">
        <f aca="false">G182+I182</f>
        <v>0</v>
      </c>
      <c r="O182" s="118" t="n">
        <f aca="false">F182-H182</f>
        <v>0</v>
      </c>
      <c r="P182" s="118" t="n">
        <f aca="false">K182+M182</f>
        <v>0</v>
      </c>
      <c r="Q182" s="118" t="n">
        <f aca="false">J182-L182</f>
        <v>0</v>
      </c>
      <c r="R182" s="88" t="n">
        <f aca="false">0</f>
        <v>0</v>
      </c>
      <c r="S182" s="88" t="n">
        <f aca="false">0</f>
        <v>0</v>
      </c>
      <c r="T182" s="71" t="n">
        <f aca="false">E182</f>
        <v>0</v>
      </c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customFormat="false" ht="15" hidden="false" customHeight="false" outlineLevel="0" collapsed="false">
      <c r="A183" s="110" t="str">
        <f aca="false">"虚部"</f>
        <v>虚部</v>
      </c>
      <c r="B183" s="88" t="str">
        <f aca="false">IF(03_FRFデータ貼付!B60="","",03_FRFデータ貼付!A60)</f>
        <v/>
      </c>
      <c r="C183" s="89" t="n">
        <f aca="false">IF(03_FRFデータ貼付!B60="",0,03_FRFデータ貼付!G60)</f>
        <v>0</v>
      </c>
      <c r="D183" s="71" t="n">
        <f aca="false">IF(03_FRFデータ貼付!C60="",0,03_FRFデータ貼付!C60)</f>
        <v>0</v>
      </c>
      <c r="E183" s="71" t="n">
        <f aca="false">IF(03_FRFデータ貼付!D60="",0,03_FRFデータ貼付!D60)</f>
        <v>0</v>
      </c>
      <c r="F183" s="118" t="n">
        <f aca="false">IF($C183=0,0,$V$4/($V$4^2+($C183-$V$5)^2))</f>
        <v>0</v>
      </c>
      <c r="G183" s="118" t="n">
        <f aca="false">IF($C183=0,0,-($C183-$V$5)/($V$4^2+($C183-$V$5)^2))</f>
        <v>0</v>
      </c>
      <c r="H183" s="118" t="n">
        <f aca="false">IF($C183=0,0,$V$4/($V$4^2+($C183+$V$5)^2))</f>
        <v>0</v>
      </c>
      <c r="I183" s="118" t="n">
        <f aca="false">IF($C183=0,0,-($C183+$V$5)/($V$4^2+($C183+$V$5)^2))</f>
        <v>0</v>
      </c>
      <c r="J183" s="118" t="n">
        <f aca="false">IF($C183=0,0,$V$6/($V$6^2+($C183-$V$7)^2))</f>
        <v>0</v>
      </c>
      <c r="K183" s="118" t="n">
        <f aca="false">IF($C183=0,0,-($C183-$V$7)/($V$6^2+($C183-$V$7)^2))</f>
        <v>0</v>
      </c>
      <c r="L183" s="118" t="n">
        <f aca="false">IF($C183=0,0,$V$6/($V$6^2+($C183+$V$7)^2))</f>
        <v>0</v>
      </c>
      <c r="M183" s="118" t="n">
        <f aca="false">IF($C183=0,0,-($C183+$V$7)/($V$6^2+($C183+$V$7)^2))</f>
        <v>0</v>
      </c>
      <c r="N183" s="118" t="n">
        <f aca="false">G183+I183</f>
        <v>0</v>
      </c>
      <c r="O183" s="118" t="n">
        <f aca="false">F183-H183</f>
        <v>0</v>
      </c>
      <c r="P183" s="118" t="n">
        <f aca="false">K183+M183</f>
        <v>0</v>
      </c>
      <c r="Q183" s="118" t="n">
        <f aca="false">J183-L183</f>
        <v>0</v>
      </c>
      <c r="R183" s="88" t="n">
        <f aca="false">0</f>
        <v>0</v>
      </c>
      <c r="S183" s="88" t="n">
        <f aca="false">0</f>
        <v>0</v>
      </c>
      <c r="T183" s="71" t="n">
        <f aca="false">E183</f>
        <v>0</v>
      </c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customFormat="false" ht="15" hidden="false" customHeight="false" outlineLevel="0" collapsed="false">
      <c r="A184" s="110" t="str">
        <f aca="false">"虚部"</f>
        <v>虚部</v>
      </c>
      <c r="B184" s="88" t="str">
        <f aca="false">IF(03_FRFデータ貼付!B61="","",03_FRFデータ貼付!A61)</f>
        <v/>
      </c>
      <c r="C184" s="89" t="n">
        <f aca="false">IF(03_FRFデータ貼付!B61="",0,03_FRFデータ貼付!G61)</f>
        <v>0</v>
      </c>
      <c r="D184" s="71" t="n">
        <f aca="false">IF(03_FRFデータ貼付!C61="",0,03_FRFデータ貼付!C61)</f>
        <v>0</v>
      </c>
      <c r="E184" s="71" t="n">
        <f aca="false">IF(03_FRFデータ貼付!D61="",0,03_FRFデータ貼付!D61)</f>
        <v>0</v>
      </c>
      <c r="F184" s="118" t="n">
        <f aca="false">IF($C184=0,0,$V$4/($V$4^2+($C184-$V$5)^2))</f>
        <v>0</v>
      </c>
      <c r="G184" s="118" t="n">
        <f aca="false">IF($C184=0,0,-($C184-$V$5)/($V$4^2+($C184-$V$5)^2))</f>
        <v>0</v>
      </c>
      <c r="H184" s="118" t="n">
        <f aca="false">IF($C184=0,0,$V$4/($V$4^2+($C184+$V$5)^2))</f>
        <v>0</v>
      </c>
      <c r="I184" s="118" t="n">
        <f aca="false">IF($C184=0,0,-($C184+$V$5)/($V$4^2+($C184+$V$5)^2))</f>
        <v>0</v>
      </c>
      <c r="J184" s="118" t="n">
        <f aca="false">IF($C184=0,0,$V$6/($V$6^2+($C184-$V$7)^2))</f>
        <v>0</v>
      </c>
      <c r="K184" s="118" t="n">
        <f aca="false">IF($C184=0,0,-($C184-$V$7)/($V$6^2+($C184-$V$7)^2))</f>
        <v>0</v>
      </c>
      <c r="L184" s="118" t="n">
        <f aca="false">IF($C184=0,0,$V$6/($V$6^2+($C184+$V$7)^2))</f>
        <v>0</v>
      </c>
      <c r="M184" s="118" t="n">
        <f aca="false">IF($C184=0,0,-($C184+$V$7)/($V$6^2+($C184+$V$7)^2))</f>
        <v>0</v>
      </c>
      <c r="N184" s="118" t="n">
        <f aca="false">G184+I184</f>
        <v>0</v>
      </c>
      <c r="O184" s="118" t="n">
        <f aca="false">F184-H184</f>
        <v>0</v>
      </c>
      <c r="P184" s="118" t="n">
        <f aca="false">K184+M184</f>
        <v>0</v>
      </c>
      <c r="Q184" s="118" t="n">
        <f aca="false">J184-L184</f>
        <v>0</v>
      </c>
      <c r="R184" s="88" t="n">
        <f aca="false">0</f>
        <v>0</v>
      </c>
      <c r="S184" s="88" t="n">
        <f aca="false">0</f>
        <v>0</v>
      </c>
      <c r="T184" s="71" t="n">
        <f aca="false">E184</f>
        <v>0</v>
      </c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customFormat="false" ht="15" hidden="false" customHeight="false" outlineLevel="0" collapsed="false">
      <c r="A185" s="110" t="str">
        <f aca="false">"虚部"</f>
        <v>虚部</v>
      </c>
      <c r="B185" s="88" t="str">
        <f aca="false">IF(03_FRFデータ貼付!B62="","",03_FRFデータ貼付!A62)</f>
        <v/>
      </c>
      <c r="C185" s="89" t="n">
        <f aca="false">IF(03_FRFデータ貼付!B62="",0,03_FRFデータ貼付!G62)</f>
        <v>0</v>
      </c>
      <c r="D185" s="71" t="n">
        <f aca="false">IF(03_FRFデータ貼付!C62="",0,03_FRFデータ貼付!C62)</f>
        <v>0</v>
      </c>
      <c r="E185" s="71" t="n">
        <f aca="false">IF(03_FRFデータ貼付!D62="",0,03_FRFデータ貼付!D62)</f>
        <v>0</v>
      </c>
      <c r="F185" s="118" t="n">
        <f aca="false">IF($C185=0,0,$V$4/($V$4^2+($C185-$V$5)^2))</f>
        <v>0</v>
      </c>
      <c r="G185" s="118" t="n">
        <f aca="false">IF($C185=0,0,-($C185-$V$5)/($V$4^2+($C185-$V$5)^2))</f>
        <v>0</v>
      </c>
      <c r="H185" s="118" t="n">
        <f aca="false">IF($C185=0,0,$V$4/($V$4^2+($C185+$V$5)^2))</f>
        <v>0</v>
      </c>
      <c r="I185" s="118" t="n">
        <f aca="false">IF($C185=0,0,-($C185+$V$5)/($V$4^2+($C185+$V$5)^2))</f>
        <v>0</v>
      </c>
      <c r="J185" s="118" t="n">
        <f aca="false">IF($C185=0,0,$V$6/($V$6^2+($C185-$V$7)^2))</f>
        <v>0</v>
      </c>
      <c r="K185" s="118" t="n">
        <f aca="false">IF($C185=0,0,-($C185-$V$7)/($V$6^2+($C185-$V$7)^2))</f>
        <v>0</v>
      </c>
      <c r="L185" s="118" t="n">
        <f aca="false">IF($C185=0,0,$V$6/($V$6^2+($C185+$V$7)^2))</f>
        <v>0</v>
      </c>
      <c r="M185" s="118" t="n">
        <f aca="false">IF($C185=0,0,-($C185+$V$7)/($V$6^2+($C185+$V$7)^2))</f>
        <v>0</v>
      </c>
      <c r="N185" s="118" t="n">
        <f aca="false">G185+I185</f>
        <v>0</v>
      </c>
      <c r="O185" s="118" t="n">
        <f aca="false">F185-H185</f>
        <v>0</v>
      </c>
      <c r="P185" s="118" t="n">
        <f aca="false">K185+M185</f>
        <v>0</v>
      </c>
      <c r="Q185" s="118" t="n">
        <f aca="false">J185-L185</f>
        <v>0</v>
      </c>
      <c r="R185" s="88" t="n">
        <f aca="false">0</f>
        <v>0</v>
      </c>
      <c r="S185" s="88" t="n">
        <f aca="false">0</f>
        <v>0</v>
      </c>
      <c r="T185" s="71" t="n">
        <f aca="false">E185</f>
        <v>0</v>
      </c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customFormat="false" ht="15" hidden="false" customHeight="false" outlineLevel="0" collapsed="false">
      <c r="A186" s="110" t="str">
        <f aca="false">"虚部"</f>
        <v>虚部</v>
      </c>
      <c r="B186" s="88" t="str">
        <f aca="false">IF(03_FRFデータ貼付!B63="","",03_FRFデータ貼付!A63)</f>
        <v/>
      </c>
      <c r="C186" s="89" t="n">
        <f aca="false">IF(03_FRFデータ貼付!B63="",0,03_FRFデータ貼付!G63)</f>
        <v>0</v>
      </c>
      <c r="D186" s="71" t="n">
        <f aca="false">IF(03_FRFデータ貼付!C63="",0,03_FRFデータ貼付!C63)</f>
        <v>0</v>
      </c>
      <c r="E186" s="71" t="n">
        <f aca="false">IF(03_FRFデータ貼付!D63="",0,03_FRFデータ貼付!D63)</f>
        <v>0</v>
      </c>
      <c r="F186" s="118" t="n">
        <f aca="false">IF($C186=0,0,$V$4/($V$4^2+($C186-$V$5)^2))</f>
        <v>0</v>
      </c>
      <c r="G186" s="118" t="n">
        <f aca="false">IF($C186=0,0,-($C186-$V$5)/($V$4^2+($C186-$V$5)^2))</f>
        <v>0</v>
      </c>
      <c r="H186" s="118" t="n">
        <f aca="false">IF($C186=0,0,$V$4/($V$4^2+($C186+$V$5)^2))</f>
        <v>0</v>
      </c>
      <c r="I186" s="118" t="n">
        <f aca="false">IF($C186=0,0,-($C186+$V$5)/($V$4^2+($C186+$V$5)^2))</f>
        <v>0</v>
      </c>
      <c r="J186" s="118" t="n">
        <f aca="false">IF($C186=0,0,$V$6/($V$6^2+($C186-$V$7)^2))</f>
        <v>0</v>
      </c>
      <c r="K186" s="118" t="n">
        <f aca="false">IF($C186=0,0,-($C186-$V$7)/($V$6^2+($C186-$V$7)^2))</f>
        <v>0</v>
      </c>
      <c r="L186" s="118" t="n">
        <f aca="false">IF($C186=0,0,$V$6/($V$6^2+($C186+$V$7)^2))</f>
        <v>0</v>
      </c>
      <c r="M186" s="118" t="n">
        <f aca="false">IF($C186=0,0,-($C186+$V$7)/($V$6^2+($C186+$V$7)^2))</f>
        <v>0</v>
      </c>
      <c r="N186" s="118" t="n">
        <f aca="false">G186+I186</f>
        <v>0</v>
      </c>
      <c r="O186" s="118" t="n">
        <f aca="false">F186-H186</f>
        <v>0</v>
      </c>
      <c r="P186" s="118" t="n">
        <f aca="false">K186+M186</f>
        <v>0</v>
      </c>
      <c r="Q186" s="118" t="n">
        <f aca="false">J186-L186</f>
        <v>0</v>
      </c>
      <c r="R186" s="88" t="n">
        <f aca="false">0</f>
        <v>0</v>
      </c>
      <c r="S186" s="88" t="n">
        <f aca="false">0</f>
        <v>0</v>
      </c>
      <c r="T186" s="71" t="n">
        <f aca="false">E186</f>
        <v>0</v>
      </c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customFormat="false" ht="15" hidden="false" customHeight="false" outlineLevel="0" collapsed="false">
      <c r="A187" s="110" t="str">
        <f aca="false">"虚部"</f>
        <v>虚部</v>
      </c>
      <c r="B187" s="88" t="str">
        <f aca="false">IF(03_FRFデータ貼付!B64="","",03_FRFデータ貼付!A64)</f>
        <v/>
      </c>
      <c r="C187" s="89" t="n">
        <f aca="false">IF(03_FRFデータ貼付!B64="",0,03_FRFデータ貼付!G64)</f>
        <v>0</v>
      </c>
      <c r="D187" s="71" t="n">
        <f aca="false">IF(03_FRFデータ貼付!C64="",0,03_FRFデータ貼付!C64)</f>
        <v>0</v>
      </c>
      <c r="E187" s="71" t="n">
        <f aca="false">IF(03_FRFデータ貼付!D64="",0,03_FRFデータ貼付!D64)</f>
        <v>0</v>
      </c>
      <c r="F187" s="118" t="n">
        <f aca="false">IF($C187=0,0,$V$4/($V$4^2+($C187-$V$5)^2))</f>
        <v>0</v>
      </c>
      <c r="G187" s="118" t="n">
        <f aca="false">IF($C187=0,0,-($C187-$V$5)/($V$4^2+($C187-$V$5)^2))</f>
        <v>0</v>
      </c>
      <c r="H187" s="118" t="n">
        <f aca="false">IF($C187=0,0,$V$4/($V$4^2+($C187+$V$5)^2))</f>
        <v>0</v>
      </c>
      <c r="I187" s="118" t="n">
        <f aca="false">IF($C187=0,0,-($C187+$V$5)/($V$4^2+($C187+$V$5)^2))</f>
        <v>0</v>
      </c>
      <c r="J187" s="118" t="n">
        <f aca="false">IF($C187=0,0,$V$6/($V$6^2+($C187-$V$7)^2))</f>
        <v>0</v>
      </c>
      <c r="K187" s="118" t="n">
        <f aca="false">IF($C187=0,0,-($C187-$V$7)/($V$6^2+($C187-$V$7)^2))</f>
        <v>0</v>
      </c>
      <c r="L187" s="118" t="n">
        <f aca="false">IF($C187=0,0,$V$6/($V$6^2+($C187+$V$7)^2))</f>
        <v>0</v>
      </c>
      <c r="M187" s="118" t="n">
        <f aca="false">IF($C187=0,0,-($C187+$V$7)/($V$6^2+($C187+$V$7)^2))</f>
        <v>0</v>
      </c>
      <c r="N187" s="118" t="n">
        <f aca="false">G187+I187</f>
        <v>0</v>
      </c>
      <c r="O187" s="118" t="n">
        <f aca="false">F187-H187</f>
        <v>0</v>
      </c>
      <c r="P187" s="118" t="n">
        <f aca="false">K187+M187</f>
        <v>0</v>
      </c>
      <c r="Q187" s="118" t="n">
        <f aca="false">J187-L187</f>
        <v>0</v>
      </c>
      <c r="R187" s="88" t="n">
        <f aca="false">0</f>
        <v>0</v>
      </c>
      <c r="S187" s="88" t="n">
        <f aca="false">0</f>
        <v>0</v>
      </c>
      <c r="T187" s="71" t="n">
        <f aca="false">E187</f>
        <v>0</v>
      </c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customFormat="false" ht="15" hidden="false" customHeight="false" outlineLevel="0" collapsed="false">
      <c r="A188" s="110" t="str">
        <f aca="false">"虚部"</f>
        <v>虚部</v>
      </c>
      <c r="B188" s="88" t="str">
        <f aca="false">IF(03_FRFデータ貼付!B65="","",03_FRFデータ貼付!A65)</f>
        <v/>
      </c>
      <c r="C188" s="89" t="n">
        <f aca="false">IF(03_FRFデータ貼付!B65="",0,03_FRFデータ貼付!G65)</f>
        <v>0</v>
      </c>
      <c r="D188" s="71" t="n">
        <f aca="false">IF(03_FRFデータ貼付!C65="",0,03_FRFデータ貼付!C65)</f>
        <v>0</v>
      </c>
      <c r="E188" s="71" t="n">
        <f aca="false">IF(03_FRFデータ貼付!D65="",0,03_FRFデータ貼付!D65)</f>
        <v>0</v>
      </c>
      <c r="F188" s="118" t="n">
        <f aca="false">IF($C188=0,0,$V$4/($V$4^2+($C188-$V$5)^2))</f>
        <v>0</v>
      </c>
      <c r="G188" s="118" t="n">
        <f aca="false">IF($C188=0,0,-($C188-$V$5)/($V$4^2+($C188-$V$5)^2))</f>
        <v>0</v>
      </c>
      <c r="H188" s="118" t="n">
        <f aca="false">IF($C188=0,0,$V$4/($V$4^2+($C188+$V$5)^2))</f>
        <v>0</v>
      </c>
      <c r="I188" s="118" t="n">
        <f aca="false">IF($C188=0,0,-($C188+$V$5)/($V$4^2+($C188+$V$5)^2))</f>
        <v>0</v>
      </c>
      <c r="J188" s="118" t="n">
        <f aca="false">IF($C188=0,0,$V$6/($V$6^2+($C188-$V$7)^2))</f>
        <v>0</v>
      </c>
      <c r="K188" s="118" t="n">
        <f aca="false">IF($C188=0,0,-($C188-$V$7)/($V$6^2+($C188-$V$7)^2))</f>
        <v>0</v>
      </c>
      <c r="L188" s="118" t="n">
        <f aca="false">IF($C188=0,0,$V$6/($V$6^2+($C188+$V$7)^2))</f>
        <v>0</v>
      </c>
      <c r="M188" s="118" t="n">
        <f aca="false">IF($C188=0,0,-($C188+$V$7)/($V$6^2+($C188+$V$7)^2))</f>
        <v>0</v>
      </c>
      <c r="N188" s="118" t="n">
        <f aca="false">G188+I188</f>
        <v>0</v>
      </c>
      <c r="O188" s="118" t="n">
        <f aca="false">F188-H188</f>
        <v>0</v>
      </c>
      <c r="P188" s="118" t="n">
        <f aca="false">K188+M188</f>
        <v>0</v>
      </c>
      <c r="Q188" s="118" t="n">
        <f aca="false">J188-L188</f>
        <v>0</v>
      </c>
      <c r="R188" s="88" t="n">
        <f aca="false">0</f>
        <v>0</v>
      </c>
      <c r="S188" s="88" t="n">
        <f aca="false">0</f>
        <v>0</v>
      </c>
      <c r="T188" s="71" t="n">
        <f aca="false">E188</f>
        <v>0</v>
      </c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customFormat="false" ht="15" hidden="false" customHeight="false" outlineLevel="0" collapsed="false">
      <c r="A189" s="110" t="str">
        <f aca="false">"虚部"</f>
        <v>虚部</v>
      </c>
      <c r="B189" s="88" t="str">
        <f aca="false">IF(03_FRFデータ貼付!B66="","",03_FRFデータ貼付!A66)</f>
        <v/>
      </c>
      <c r="C189" s="89" t="n">
        <f aca="false">IF(03_FRFデータ貼付!B66="",0,03_FRFデータ貼付!G66)</f>
        <v>0</v>
      </c>
      <c r="D189" s="71" t="n">
        <f aca="false">IF(03_FRFデータ貼付!C66="",0,03_FRFデータ貼付!C66)</f>
        <v>0</v>
      </c>
      <c r="E189" s="71" t="n">
        <f aca="false">IF(03_FRFデータ貼付!D66="",0,03_FRFデータ貼付!D66)</f>
        <v>0</v>
      </c>
      <c r="F189" s="118" t="n">
        <f aca="false">IF($C189=0,0,$V$4/($V$4^2+($C189-$V$5)^2))</f>
        <v>0</v>
      </c>
      <c r="G189" s="118" t="n">
        <f aca="false">IF($C189=0,0,-($C189-$V$5)/($V$4^2+($C189-$V$5)^2))</f>
        <v>0</v>
      </c>
      <c r="H189" s="118" t="n">
        <f aca="false">IF($C189=0,0,$V$4/($V$4^2+($C189+$V$5)^2))</f>
        <v>0</v>
      </c>
      <c r="I189" s="118" t="n">
        <f aca="false">IF($C189=0,0,-($C189+$V$5)/($V$4^2+($C189+$V$5)^2))</f>
        <v>0</v>
      </c>
      <c r="J189" s="118" t="n">
        <f aca="false">IF($C189=0,0,$V$6/($V$6^2+($C189-$V$7)^2))</f>
        <v>0</v>
      </c>
      <c r="K189" s="118" t="n">
        <f aca="false">IF($C189=0,0,-($C189-$V$7)/($V$6^2+($C189-$V$7)^2))</f>
        <v>0</v>
      </c>
      <c r="L189" s="118" t="n">
        <f aca="false">IF($C189=0,0,$V$6/($V$6^2+($C189+$V$7)^2))</f>
        <v>0</v>
      </c>
      <c r="M189" s="118" t="n">
        <f aca="false">IF($C189=0,0,-($C189+$V$7)/($V$6^2+($C189+$V$7)^2))</f>
        <v>0</v>
      </c>
      <c r="N189" s="118" t="n">
        <f aca="false">G189+I189</f>
        <v>0</v>
      </c>
      <c r="O189" s="118" t="n">
        <f aca="false">F189-H189</f>
        <v>0</v>
      </c>
      <c r="P189" s="118" t="n">
        <f aca="false">K189+M189</f>
        <v>0</v>
      </c>
      <c r="Q189" s="118" t="n">
        <f aca="false">J189-L189</f>
        <v>0</v>
      </c>
      <c r="R189" s="88" t="n">
        <f aca="false">0</f>
        <v>0</v>
      </c>
      <c r="S189" s="88" t="n">
        <f aca="false">0</f>
        <v>0</v>
      </c>
      <c r="T189" s="71" t="n">
        <f aca="false">E189</f>
        <v>0</v>
      </c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customFormat="false" ht="15" hidden="false" customHeight="false" outlineLevel="0" collapsed="false">
      <c r="A190" s="110" t="str">
        <f aca="false">"虚部"</f>
        <v>虚部</v>
      </c>
      <c r="B190" s="88" t="str">
        <f aca="false">IF(03_FRFデータ貼付!B67="","",03_FRFデータ貼付!A67)</f>
        <v/>
      </c>
      <c r="C190" s="89" t="n">
        <f aca="false">IF(03_FRFデータ貼付!B67="",0,03_FRFデータ貼付!G67)</f>
        <v>0</v>
      </c>
      <c r="D190" s="71" t="n">
        <f aca="false">IF(03_FRFデータ貼付!C67="",0,03_FRFデータ貼付!C67)</f>
        <v>0</v>
      </c>
      <c r="E190" s="71" t="n">
        <f aca="false">IF(03_FRFデータ貼付!D67="",0,03_FRFデータ貼付!D67)</f>
        <v>0</v>
      </c>
      <c r="F190" s="118" t="n">
        <f aca="false">IF($C190=0,0,$V$4/($V$4^2+($C190-$V$5)^2))</f>
        <v>0</v>
      </c>
      <c r="G190" s="118" t="n">
        <f aca="false">IF($C190=0,0,-($C190-$V$5)/($V$4^2+($C190-$V$5)^2))</f>
        <v>0</v>
      </c>
      <c r="H190" s="118" t="n">
        <f aca="false">IF($C190=0,0,$V$4/($V$4^2+($C190+$V$5)^2))</f>
        <v>0</v>
      </c>
      <c r="I190" s="118" t="n">
        <f aca="false">IF($C190=0,0,-($C190+$V$5)/($V$4^2+($C190+$V$5)^2))</f>
        <v>0</v>
      </c>
      <c r="J190" s="118" t="n">
        <f aca="false">IF($C190=0,0,$V$6/($V$6^2+($C190-$V$7)^2))</f>
        <v>0</v>
      </c>
      <c r="K190" s="118" t="n">
        <f aca="false">IF($C190=0,0,-($C190-$V$7)/($V$6^2+($C190-$V$7)^2))</f>
        <v>0</v>
      </c>
      <c r="L190" s="118" t="n">
        <f aca="false">IF($C190=0,0,$V$6/($V$6^2+($C190+$V$7)^2))</f>
        <v>0</v>
      </c>
      <c r="M190" s="118" t="n">
        <f aca="false">IF($C190=0,0,-($C190+$V$7)/($V$6^2+($C190+$V$7)^2))</f>
        <v>0</v>
      </c>
      <c r="N190" s="118" t="n">
        <f aca="false">G190+I190</f>
        <v>0</v>
      </c>
      <c r="O190" s="118" t="n">
        <f aca="false">F190-H190</f>
        <v>0</v>
      </c>
      <c r="P190" s="118" t="n">
        <f aca="false">K190+M190</f>
        <v>0</v>
      </c>
      <c r="Q190" s="118" t="n">
        <f aca="false">J190-L190</f>
        <v>0</v>
      </c>
      <c r="R190" s="88" t="n">
        <f aca="false">0</f>
        <v>0</v>
      </c>
      <c r="S190" s="88" t="n">
        <f aca="false">0</f>
        <v>0</v>
      </c>
      <c r="T190" s="71" t="n">
        <f aca="false">E190</f>
        <v>0</v>
      </c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customFormat="false" ht="15" hidden="false" customHeight="false" outlineLevel="0" collapsed="false">
      <c r="A191" s="110" t="str">
        <f aca="false">"虚部"</f>
        <v>虚部</v>
      </c>
      <c r="B191" s="88" t="str">
        <f aca="false">IF(03_FRFデータ貼付!B68="","",03_FRFデータ貼付!A68)</f>
        <v/>
      </c>
      <c r="C191" s="89" t="n">
        <f aca="false">IF(03_FRFデータ貼付!B68="",0,03_FRFデータ貼付!G68)</f>
        <v>0</v>
      </c>
      <c r="D191" s="71" t="n">
        <f aca="false">IF(03_FRFデータ貼付!C68="",0,03_FRFデータ貼付!C68)</f>
        <v>0</v>
      </c>
      <c r="E191" s="71" t="n">
        <f aca="false">IF(03_FRFデータ貼付!D68="",0,03_FRFデータ貼付!D68)</f>
        <v>0</v>
      </c>
      <c r="F191" s="118" t="n">
        <f aca="false">IF($C191=0,0,$V$4/($V$4^2+($C191-$V$5)^2))</f>
        <v>0</v>
      </c>
      <c r="G191" s="118" t="n">
        <f aca="false">IF($C191=0,0,-($C191-$V$5)/($V$4^2+($C191-$V$5)^2))</f>
        <v>0</v>
      </c>
      <c r="H191" s="118" t="n">
        <f aca="false">IF($C191=0,0,$V$4/($V$4^2+($C191+$V$5)^2))</f>
        <v>0</v>
      </c>
      <c r="I191" s="118" t="n">
        <f aca="false">IF($C191=0,0,-($C191+$V$5)/($V$4^2+($C191+$V$5)^2))</f>
        <v>0</v>
      </c>
      <c r="J191" s="118" t="n">
        <f aca="false">IF($C191=0,0,$V$6/($V$6^2+($C191-$V$7)^2))</f>
        <v>0</v>
      </c>
      <c r="K191" s="118" t="n">
        <f aca="false">IF($C191=0,0,-($C191-$V$7)/($V$6^2+($C191-$V$7)^2))</f>
        <v>0</v>
      </c>
      <c r="L191" s="118" t="n">
        <f aca="false">IF($C191=0,0,$V$6/($V$6^2+($C191+$V$7)^2))</f>
        <v>0</v>
      </c>
      <c r="M191" s="118" t="n">
        <f aca="false">IF($C191=0,0,-($C191+$V$7)/($V$6^2+($C191+$V$7)^2))</f>
        <v>0</v>
      </c>
      <c r="N191" s="118" t="n">
        <f aca="false">G191+I191</f>
        <v>0</v>
      </c>
      <c r="O191" s="118" t="n">
        <f aca="false">F191-H191</f>
        <v>0</v>
      </c>
      <c r="P191" s="118" t="n">
        <f aca="false">K191+M191</f>
        <v>0</v>
      </c>
      <c r="Q191" s="118" t="n">
        <f aca="false">J191-L191</f>
        <v>0</v>
      </c>
      <c r="R191" s="88" t="n">
        <f aca="false">0</f>
        <v>0</v>
      </c>
      <c r="S191" s="88" t="n">
        <f aca="false">0</f>
        <v>0</v>
      </c>
      <c r="T191" s="71" t="n">
        <f aca="false">E191</f>
        <v>0</v>
      </c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customFormat="false" ht="15" hidden="false" customHeight="false" outlineLevel="0" collapsed="false">
      <c r="A192" s="110" t="str">
        <f aca="false">"虚部"</f>
        <v>虚部</v>
      </c>
      <c r="B192" s="88" t="str">
        <f aca="false">IF(03_FRFデータ貼付!B69="","",03_FRFデータ貼付!A69)</f>
        <v/>
      </c>
      <c r="C192" s="89" t="n">
        <f aca="false">IF(03_FRFデータ貼付!B69="",0,03_FRFデータ貼付!G69)</f>
        <v>0</v>
      </c>
      <c r="D192" s="71" t="n">
        <f aca="false">IF(03_FRFデータ貼付!C69="",0,03_FRFデータ貼付!C69)</f>
        <v>0</v>
      </c>
      <c r="E192" s="71" t="n">
        <f aca="false">IF(03_FRFデータ貼付!D69="",0,03_FRFデータ貼付!D69)</f>
        <v>0</v>
      </c>
      <c r="F192" s="118" t="n">
        <f aca="false">IF($C192=0,0,$V$4/($V$4^2+($C192-$V$5)^2))</f>
        <v>0</v>
      </c>
      <c r="G192" s="118" t="n">
        <f aca="false">IF($C192=0,0,-($C192-$V$5)/($V$4^2+($C192-$V$5)^2))</f>
        <v>0</v>
      </c>
      <c r="H192" s="118" t="n">
        <f aca="false">IF($C192=0,0,$V$4/($V$4^2+($C192+$V$5)^2))</f>
        <v>0</v>
      </c>
      <c r="I192" s="118" t="n">
        <f aca="false">IF($C192=0,0,-($C192+$V$5)/($V$4^2+($C192+$V$5)^2))</f>
        <v>0</v>
      </c>
      <c r="J192" s="118" t="n">
        <f aca="false">IF($C192=0,0,$V$6/($V$6^2+($C192-$V$7)^2))</f>
        <v>0</v>
      </c>
      <c r="K192" s="118" t="n">
        <f aca="false">IF($C192=0,0,-($C192-$V$7)/($V$6^2+($C192-$V$7)^2))</f>
        <v>0</v>
      </c>
      <c r="L192" s="118" t="n">
        <f aca="false">IF($C192=0,0,$V$6/($V$6^2+($C192+$V$7)^2))</f>
        <v>0</v>
      </c>
      <c r="M192" s="118" t="n">
        <f aca="false">IF($C192=0,0,-($C192+$V$7)/($V$6^2+($C192+$V$7)^2))</f>
        <v>0</v>
      </c>
      <c r="N192" s="118" t="n">
        <f aca="false">G192+I192</f>
        <v>0</v>
      </c>
      <c r="O192" s="118" t="n">
        <f aca="false">F192-H192</f>
        <v>0</v>
      </c>
      <c r="P192" s="118" t="n">
        <f aca="false">K192+M192</f>
        <v>0</v>
      </c>
      <c r="Q192" s="118" t="n">
        <f aca="false">J192-L192</f>
        <v>0</v>
      </c>
      <c r="R192" s="88" t="n">
        <f aca="false">0</f>
        <v>0</v>
      </c>
      <c r="S192" s="88" t="n">
        <f aca="false">0</f>
        <v>0</v>
      </c>
      <c r="T192" s="71" t="n">
        <f aca="false">E192</f>
        <v>0</v>
      </c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customFormat="false" ht="15" hidden="false" customHeight="false" outlineLevel="0" collapsed="false">
      <c r="A193" s="110" t="str">
        <f aca="false">"虚部"</f>
        <v>虚部</v>
      </c>
      <c r="B193" s="88" t="str">
        <f aca="false">IF(03_FRFデータ貼付!B70="","",03_FRFデータ貼付!A70)</f>
        <v/>
      </c>
      <c r="C193" s="89" t="n">
        <f aca="false">IF(03_FRFデータ貼付!B70="",0,03_FRFデータ貼付!G70)</f>
        <v>0</v>
      </c>
      <c r="D193" s="71" t="n">
        <f aca="false">IF(03_FRFデータ貼付!C70="",0,03_FRFデータ貼付!C70)</f>
        <v>0</v>
      </c>
      <c r="E193" s="71" t="n">
        <f aca="false">IF(03_FRFデータ貼付!D70="",0,03_FRFデータ貼付!D70)</f>
        <v>0</v>
      </c>
      <c r="F193" s="118" t="n">
        <f aca="false">IF($C193=0,0,$V$4/($V$4^2+($C193-$V$5)^2))</f>
        <v>0</v>
      </c>
      <c r="G193" s="118" t="n">
        <f aca="false">IF($C193=0,0,-($C193-$V$5)/($V$4^2+($C193-$V$5)^2))</f>
        <v>0</v>
      </c>
      <c r="H193" s="118" t="n">
        <f aca="false">IF($C193=0,0,$V$4/($V$4^2+($C193+$V$5)^2))</f>
        <v>0</v>
      </c>
      <c r="I193" s="118" t="n">
        <f aca="false">IF($C193=0,0,-($C193+$V$5)/($V$4^2+($C193+$V$5)^2))</f>
        <v>0</v>
      </c>
      <c r="J193" s="118" t="n">
        <f aca="false">IF($C193=0,0,$V$6/($V$6^2+($C193-$V$7)^2))</f>
        <v>0</v>
      </c>
      <c r="K193" s="118" t="n">
        <f aca="false">IF($C193=0,0,-($C193-$V$7)/($V$6^2+($C193-$V$7)^2))</f>
        <v>0</v>
      </c>
      <c r="L193" s="118" t="n">
        <f aca="false">IF($C193=0,0,$V$6/($V$6^2+($C193+$V$7)^2))</f>
        <v>0</v>
      </c>
      <c r="M193" s="118" t="n">
        <f aca="false">IF($C193=0,0,-($C193+$V$7)/($V$6^2+($C193+$V$7)^2))</f>
        <v>0</v>
      </c>
      <c r="N193" s="118" t="n">
        <f aca="false">G193+I193</f>
        <v>0</v>
      </c>
      <c r="O193" s="118" t="n">
        <f aca="false">F193-H193</f>
        <v>0</v>
      </c>
      <c r="P193" s="118" t="n">
        <f aca="false">K193+M193</f>
        <v>0</v>
      </c>
      <c r="Q193" s="118" t="n">
        <f aca="false">J193-L193</f>
        <v>0</v>
      </c>
      <c r="R193" s="88" t="n">
        <f aca="false">0</f>
        <v>0</v>
      </c>
      <c r="S193" s="88" t="n">
        <f aca="false">0</f>
        <v>0</v>
      </c>
      <c r="T193" s="71" t="n">
        <f aca="false">E193</f>
        <v>0</v>
      </c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customFormat="false" ht="15" hidden="false" customHeight="false" outlineLevel="0" collapsed="false">
      <c r="A194" s="110" t="str">
        <f aca="false">"虚部"</f>
        <v>虚部</v>
      </c>
      <c r="B194" s="88" t="str">
        <f aca="false">IF(03_FRFデータ貼付!B71="","",03_FRFデータ貼付!A71)</f>
        <v/>
      </c>
      <c r="C194" s="89" t="n">
        <f aca="false">IF(03_FRFデータ貼付!B71="",0,03_FRFデータ貼付!G71)</f>
        <v>0</v>
      </c>
      <c r="D194" s="71" t="n">
        <f aca="false">IF(03_FRFデータ貼付!C71="",0,03_FRFデータ貼付!C71)</f>
        <v>0</v>
      </c>
      <c r="E194" s="71" t="n">
        <f aca="false">IF(03_FRFデータ貼付!D71="",0,03_FRFデータ貼付!D71)</f>
        <v>0</v>
      </c>
      <c r="F194" s="118" t="n">
        <f aca="false">IF($C194=0,0,$V$4/($V$4^2+($C194-$V$5)^2))</f>
        <v>0</v>
      </c>
      <c r="G194" s="118" t="n">
        <f aca="false">IF($C194=0,0,-($C194-$V$5)/($V$4^2+($C194-$V$5)^2))</f>
        <v>0</v>
      </c>
      <c r="H194" s="118" t="n">
        <f aca="false">IF($C194=0,0,$V$4/($V$4^2+($C194+$V$5)^2))</f>
        <v>0</v>
      </c>
      <c r="I194" s="118" t="n">
        <f aca="false">IF($C194=0,0,-($C194+$V$5)/($V$4^2+($C194+$V$5)^2))</f>
        <v>0</v>
      </c>
      <c r="J194" s="118" t="n">
        <f aca="false">IF($C194=0,0,$V$6/($V$6^2+($C194-$V$7)^2))</f>
        <v>0</v>
      </c>
      <c r="K194" s="118" t="n">
        <f aca="false">IF($C194=0,0,-($C194-$V$7)/($V$6^2+($C194-$V$7)^2))</f>
        <v>0</v>
      </c>
      <c r="L194" s="118" t="n">
        <f aca="false">IF($C194=0,0,$V$6/($V$6^2+($C194+$V$7)^2))</f>
        <v>0</v>
      </c>
      <c r="M194" s="118" t="n">
        <f aca="false">IF($C194=0,0,-($C194+$V$7)/($V$6^2+($C194+$V$7)^2))</f>
        <v>0</v>
      </c>
      <c r="N194" s="118" t="n">
        <f aca="false">G194+I194</f>
        <v>0</v>
      </c>
      <c r="O194" s="118" t="n">
        <f aca="false">F194-H194</f>
        <v>0</v>
      </c>
      <c r="P194" s="118" t="n">
        <f aca="false">K194+M194</f>
        <v>0</v>
      </c>
      <c r="Q194" s="118" t="n">
        <f aca="false">J194-L194</f>
        <v>0</v>
      </c>
      <c r="R194" s="88" t="n">
        <f aca="false">0</f>
        <v>0</v>
      </c>
      <c r="S194" s="88" t="n">
        <f aca="false">0</f>
        <v>0</v>
      </c>
      <c r="T194" s="71" t="n">
        <f aca="false">E194</f>
        <v>0</v>
      </c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customFormat="false" ht="15" hidden="false" customHeight="false" outlineLevel="0" collapsed="false">
      <c r="A195" s="110" t="str">
        <f aca="false">"虚部"</f>
        <v>虚部</v>
      </c>
      <c r="B195" s="88" t="str">
        <f aca="false">IF(03_FRFデータ貼付!B72="","",03_FRFデータ貼付!A72)</f>
        <v/>
      </c>
      <c r="C195" s="89" t="n">
        <f aca="false">IF(03_FRFデータ貼付!B72="",0,03_FRFデータ貼付!G72)</f>
        <v>0</v>
      </c>
      <c r="D195" s="71" t="n">
        <f aca="false">IF(03_FRFデータ貼付!C72="",0,03_FRFデータ貼付!C72)</f>
        <v>0</v>
      </c>
      <c r="E195" s="71" t="n">
        <f aca="false">IF(03_FRFデータ貼付!D72="",0,03_FRFデータ貼付!D72)</f>
        <v>0</v>
      </c>
      <c r="F195" s="118" t="n">
        <f aca="false">IF($C195=0,0,$V$4/($V$4^2+($C195-$V$5)^2))</f>
        <v>0</v>
      </c>
      <c r="G195" s="118" t="n">
        <f aca="false">IF($C195=0,0,-($C195-$V$5)/($V$4^2+($C195-$V$5)^2))</f>
        <v>0</v>
      </c>
      <c r="H195" s="118" t="n">
        <f aca="false">IF($C195=0,0,$V$4/($V$4^2+($C195+$V$5)^2))</f>
        <v>0</v>
      </c>
      <c r="I195" s="118" t="n">
        <f aca="false">IF($C195=0,0,-($C195+$V$5)/($V$4^2+($C195+$V$5)^2))</f>
        <v>0</v>
      </c>
      <c r="J195" s="118" t="n">
        <f aca="false">IF($C195=0,0,$V$6/($V$6^2+($C195-$V$7)^2))</f>
        <v>0</v>
      </c>
      <c r="K195" s="118" t="n">
        <f aca="false">IF($C195=0,0,-($C195-$V$7)/($V$6^2+($C195-$V$7)^2))</f>
        <v>0</v>
      </c>
      <c r="L195" s="118" t="n">
        <f aca="false">IF($C195=0,0,$V$6/($V$6^2+($C195+$V$7)^2))</f>
        <v>0</v>
      </c>
      <c r="M195" s="118" t="n">
        <f aca="false">IF($C195=0,0,-($C195+$V$7)/($V$6^2+($C195+$V$7)^2))</f>
        <v>0</v>
      </c>
      <c r="N195" s="118" t="n">
        <f aca="false">G195+I195</f>
        <v>0</v>
      </c>
      <c r="O195" s="118" t="n">
        <f aca="false">F195-H195</f>
        <v>0</v>
      </c>
      <c r="P195" s="118" t="n">
        <f aca="false">K195+M195</f>
        <v>0</v>
      </c>
      <c r="Q195" s="118" t="n">
        <f aca="false">J195-L195</f>
        <v>0</v>
      </c>
      <c r="R195" s="88" t="n">
        <f aca="false">0</f>
        <v>0</v>
      </c>
      <c r="S195" s="88" t="n">
        <f aca="false">0</f>
        <v>0</v>
      </c>
      <c r="T195" s="71" t="n">
        <f aca="false">E195</f>
        <v>0</v>
      </c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customFormat="false" ht="15" hidden="false" customHeight="false" outlineLevel="0" collapsed="false">
      <c r="A196" s="110" t="str">
        <f aca="false">"虚部"</f>
        <v>虚部</v>
      </c>
      <c r="B196" s="88" t="str">
        <f aca="false">IF(03_FRFデータ貼付!B73="","",03_FRFデータ貼付!A73)</f>
        <v/>
      </c>
      <c r="C196" s="89" t="n">
        <f aca="false">IF(03_FRFデータ貼付!B73="",0,03_FRFデータ貼付!G73)</f>
        <v>0</v>
      </c>
      <c r="D196" s="71" t="n">
        <f aca="false">IF(03_FRFデータ貼付!C73="",0,03_FRFデータ貼付!C73)</f>
        <v>0</v>
      </c>
      <c r="E196" s="71" t="n">
        <f aca="false">IF(03_FRFデータ貼付!D73="",0,03_FRFデータ貼付!D73)</f>
        <v>0</v>
      </c>
      <c r="F196" s="118" t="n">
        <f aca="false">IF($C196=0,0,$V$4/($V$4^2+($C196-$V$5)^2))</f>
        <v>0</v>
      </c>
      <c r="G196" s="118" t="n">
        <f aca="false">IF($C196=0,0,-($C196-$V$5)/($V$4^2+($C196-$V$5)^2))</f>
        <v>0</v>
      </c>
      <c r="H196" s="118" t="n">
        <f aca="false">IF($C196=0,0,$V$4/($V$4^2+($C196+$V$5)^2))</f>
        <v>0</v>
      </c>
      <c r="I196" s="118" t="n">
        <f aca="false">IF($C196=0,0,-($C196+$V$5)/($V$4^2+($C196+$V$5)^2))</f>
        <v>0</v>
      </c>
      <c r="J196" s="118" t="n">
        <f aca="false">IF($C196=0,0,$V$6/($V$6^2+($C196-$V$7)^2))</f>
        <v>0</v>
      </c>
      <c r="K196" s="118" t="n">
        <f aca="false">IF($C196=0,0,-($C196-$V$7)/($V$6^2+($C196-$V$7)^2))</f>
        <v>0</v>
      </c>
      <c r="L196" s="118" t="n">
        <f aca="false">IF($C196=0,0,$V$6/($V$6^2+($C196+$V$7)^2))</f>
        <v>0</v>
      </c>
      <c r="M196" s="118" t="n">
        <f aca="false">IF($C196=0,0,-($C196+$V$7)/($V$6^2+($C196+$V$7)^2))</f>
        <v>0</v>
      </c>
      <c r="N196" s="118" t="n">
        <f aca="false">G196+I196</f>
        <v>0</v>
      </c>
      <c r="O196" s="118" t="n">
        <f aca="false">F196-H196</f>
        <v>0</v>
      </c>
      <c r="P196" s="118" t="n">
        <f aca="false">K196+M196</f>
        <v>0</v>
      </c>
      <c r="Q196" s="118" t="n">
        <f aca="false">J196-L196</f>
        <v>0</v>
      </c>
      <c r="R196" s="88" t="n">
        <f aca="false">0</f>
        <v>0</v>
      </c>
      <c r="S196" s="88" t="n">
        <f aca="false">0</f>
        <v>0</v>
      </c>
      <c r="T196" s="71" t="n">
        <f aca="false">E196</f>
        <v>0</v>
      </c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customFormat="false" ht="15" hidden="false" customHeight="false" outlineLevel="0" collapsed="false">
      <c r="A197" s="110" t="str">
        <f aca="false">"虚部"</f>
        <v>虚部</v>
      </c>
      <c r="B197" s="88" t="str">
        <f aca="false">IF(03_FRFデータ貼付!B74="","",03_FRFデータ貼付!A74)</f>
        <v/>
      </c>
      <c r="C197" s="89" t="n">
        <f aca="false">IF(03_FRFデータ貼付!B74="",0,03_FRFデータ貼付!G74)</f>
        <v>0</v>
      </c>
      <c r="D197" s="71" t="n">
        <f aca="false">IF(03_FRFデータ貼付!C74="",0,03_FRFデータ貼付!C74)</f>
        <v>0</v>
      </c>
      <c r="E197" s="71" t="n">
        <f aca="false">IF(03_FRFデータ貼付!D74="",0,03_FRFデータ貼付!D74)</f>
        <v>0</v>
      </c>
      <c r="F197" s="118" t="n">
        <f aca="false">IF($C197=0,0,$V$4/($V$4^2+($C197-$V$5)^2))</f>
        <v>0</v>
      </c>
      <c r="G197" s="118" t="n">
        <f aca="false">IF($C197=0,0,-($C197-$V$5)/($V$4^2+($C197-$V$5)^2))</f>
        <v>0</v>
      </c>
      <c r="H197" s="118" t="n">
        <f aca="false">IF($C197=0,0,$V$4/($V$4^2+($C197+$V$5)^2))</f>
        <v>0</v>
      </c>
      <c r="I197" s="118" t="n">
        <f aca="false">IF($C197=0,0,-($C197+$V$5)/($V$4^2+($C197+$V$5)^2))</f>
        <v>0</v>
      </c>
      <c r="J197" s="118" t="n">
        <f aca="false">IF($C197=0,0,$V$6/($V$6^2+($C197-$V$7)^2))</f>
        <v>0</v>
      </c>
      <c r="K197" s="118" t="n">
        <f aca="false">IF($C197=0,0,-($C197-$V$7)/($V$6^2+($C197-$V$7)^2))</f>
        <v>0</v>
      </c>
      <c r="L197" s="118" t="n">
        <f aca="false">IF($C197=0,0,$V$6/($V$6^2+($C197+$V$7)^2))</f>
        <v>0</v>
      </c>
      <c r="M197" s="118" t="n">
        <f aca="false">IF($C197=0,0,-($C197+$V$7)/($V$6^2+($C197+$V$7)^2))</f>
        <v>0</v>
      </c>
      <c r="N197" s="118" t="n">
        <f aca="false">G197+I197</f>
        <v>0</v>
      </c>
      <c r="O197" s="118" t="n">
        <f aca="false">F197-H197</f>
        <v>0</v>
      </c>
      <c r="P197" s="118" t="n">
        <f aca="false">K197+M197</f>
        <v>0</v>
      </c>
      <c r="Q197" s="118" t="n">
        <f aca="false">J197-L197</f>
        <v>0</v>
      </c>
      <c r="R197" s="88" t="n">
        <f aca="false">0</f>
        <v>0</v>
      </c>
      <c r="S197" s="88" t="n">
        <f aca="false">0</f>
        <v>0</v>
      </c>
      <c r="T197" s="71" t="n">
        <f aca="false">E197</f>
        <v>0</v>
      </c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customFormat="false" ht="15" hidden="false" customHeight="false" outlineLevel="0" collapsed="false">
      <c r="A198" s="110" t="str">
        <f aca="false">"虚部"</f>
        <v>虚部</v>
      </c>
      <c r="B198" s="88" t="str">
        <f aca="false">IF(03_FRFデータ貼付!B75="","",03_FRFデータ貼付!A75)</f>
        <v/>
      </c>
      <c r="C198" s="89" t="n">
        <f aca="false">IF(03_FRFデータ貼付!B75="",0,03_FRFデータ貼付!G75)</f>
        <v>0</v>
      </c>
      <c r="D198" s="71" t="n">
        <f aca="false">IF(03_FRFデータ貼付!C75="",0,03_FRFデータ貼付!C75)</f>
        <v>0</v>
      </c>
      <c r="E198" s="71" t="n">
        <f aca="false">IF(03_FRFデータ貼付!D75="",0,03_FRFデータ貼付!D75)</f>
        <v>0</v>
      </c>
      <c r="F198" s="118" t="n">
        <f aca="false">IF($C198=0,0,$V$4/($V$4^2+($C198-$V$5)^2))</f>
        <v>0</v>
      </c>
      <c r="G198" s="118" t="n">
        <f aca="false">IF($C198=0,0,-($C198-$V$5)/($V$4^2+($C198-$V$5)^2))</f>
        <v>0</v>
      </c>
      <c r="H198" s="118" t="n">
        <f aca="false">IF($C198=0,0,$V$4/($V$4^2+($C198+$V$5)^2))</f>
        <v>0</v>
      </c>
      <c r="I198" s="118" t="n">
        <f aca="false">IF($C198=0,0,-($C198+$V$5)/($V$4^2+($C198+$V$5)^2))</f>
        <v>0</v>
      </c>
      <c r="J198" s="118" t="n">
        <f aca="false">IF($C198=0,0,$V$6/($V$6^2+($C198-$V$7)^2))</f>
        <v>0</v>
      </c>
      <c r="K198" s="118" t="n">
        <f aca="false">IF($C198=0,0,-($C198-$V$7)/($V$6^2+($C198-$V$7)^2))</f>
        <v>0</v>
      </c>
      <c r="L198" s="118" t="n">
        <f aca="false">IF($C198=0,0,$V$6/($V$6^2+($C198+$V$7)^2))</f>
        <v>0</v>
      </c>
      <c r="M198" s="118" t="n">
        <f aca="false">IF($C198=0,0,-($C198+$V$7)/($V$6^2+($C198+$V$7)^2))</f>
        <v>0</v>
      </c>
      <c r="N198" s="118" t="n">
        <f aca="false">G198+I198</f>
        <v>0</v>
      </c>
      <c r="O198" s="118" t="n">
        <f aca="false">F198-H198</f>
        <v>0</v>
      </c>
      <c r="P198" s="118" t="n">
        <f aca="false">K198+M198</f>
        <v>0</v>
      </c>
      <c r="Q198" s="118" t="n">
        <f aca="false">J198-L198</f>
        <v>0</v>
      </c>
      <c r="R198" s="88" t="n">
        <f aca="false">0</f>
        <v>0</v>
      </c>
      <c r="S198" s="88" t="n">
        <f aca="false">0</f>
        <v>0</v>
      </c>
      <c r="T198" s="71" t="n">
        <f aca="false">E198</f>
        <v>0</v>
      </c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customFormat="false" ht="15" hidden="false" customHeight="false" outlineLevel="0" collapsed="false">
      <c r="A199" s="110" t="str">
        <f aca="false">"虚部"</f>
        <v>虚部</v>
      </c>
      <c r="B199" s="88" t="str">
        <f aca="false">IF(03_FRFデータ貼付!B76="","",03_FRFデータ貼付!A76)</f>
        <v/>
      </c>
      <c r="C199" s="89" t="n">
        <f aca="false">IF(03_FRFデータ貼付!B76="",0,03_FRFデータ貼付!G76)</f>
        <v>0</v>
      </c>
      <c r="D199" s="71" t="n">
        <f aca="false">IF(03_FRFデータ貼付!C76="",0,03_FRFデータ貼付!C76)</f>
        <v>0</v>
      </c>
      <c r="E199" s="71" t="n">
        <f aca="false">IF(03_FRFデータ貼付!D76="",0,03_FRFデータ貼付!D76)</f>
        <v>0</v>
      </c>
      <c r="F199" s="118" t="n">
        <f aca="false">IF($C199=0,0,$V$4/($V$4^2+($C199-$V$5)^2))</f>
        <v>0</v>
      </c>
      <c r="G199" s="118" t="n">
        <f aca="false">IF($C199=0,0,-($C199-$V$5)/($V$4^2+($C199-$V$5)^2))</f>
        <v>0</v>
      </c>
      <c r="H199" s="118" t="n">
        <f aca="false">IF($C199=0,0,$V$4/($V$4^2+($C199+$V$5)^2))</f>
        <v>0</v>
      </c>
      <c r="I199" s="118" t="n">
        <f aca="false">IF($C199=0,0,-($C199+$V$5)/($V$4^2+($C199+$V$5)^2))</f>
        <v>0</v>
      </c>
      <c r="J199" s="118" t="n">
        <f aca="false">IF($C199=0,0,$V$6/($V$6^2+($C199-$V$7)^2))</f>
        <v>0</v>
      </c>
      <c r="K199" s="118" t="n">
        <f aca="false">IF($C199=0,0,-($C199-$V$7)/($V$6^2+($C199-$V$7)^2))</f>
        <v>0</v>
      </c>
      <c r="L199" s="118" t="n">
        <f aca="false">IF($C199=0,0,$V$6/($V$6^2+($C199+$V$7)^2))</f>
        <v>0</v>
      </c>
      <c r="M199" s="118" t="n">
        <f aca="false">IF($C199=0,0,-($C199+$V$7)/($V$6^2+($C199+$V$7)^2))</f>
        <v>0</v>
      </c>
      <c r="N199" s="118" t="n">
        <f aca="false">G199+I199</f>
        <v>0</v>
      </c>
      <c r="O199" s="118" t="n">
        <f aca="false">F199-H199</f>
        <v>0</v>
      </c>
      <c r="P199" s="118" t="n">
        <f aca="false">K199+M199</f>
        <v>0</v>
      </c>
      <c r="Q199" s="118" t="n">
        <f aca="false">J199-L199</f>
        <v>0</v>
      </c>
      <c r="R199" s="88" t="n">
        <f aca="false">0</f>
        <v>0</v>
      </c>
      <c r="S199" s="88" t="n">
        <f aca="false">0</f>
        <v>0</v>
      </c>
      <c r="T199" s="71" t="n">
        <f aca="false">E199</f>
        <v>0</v>
      </c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customFormat="false" ht="15" hidden="false" customHeight="false" outlineLevel="0" collapsed="false">
      <c r="A200" s="110" t="str">
        <f aca="false">"虚部"</f>
        <v>虚部</v>
      </c>
      <c r="B200" s="88" t="str">
        <f aca="false">IF(03_FRFデータ貼付!B77="","",03_FRFデータ貼付!A77)</f>
        <v/>
      </c>
      <c r="C200" s="89" t="n">
        <f aca="false">IF(03_FRFデータ貼付!B77="",0,03_FRFデータ貼付!G77)</f>
        <v>0</v>
      </c>
      <c r="D200" s="71" t="n">
        <f aca="false">IF(03_FRFデータ貼付!C77="",0,03_FRFデータ貼付!C77)</f>
        <v>0</v>
      </c>
      <c r="E200" s="71" t="n">
        <f aca="false">IF(03_FRFデータ貼付!D77="",0,03_FRFデータ貼付!D77)</f>
        <v>0</v>
      </c>
      <c r="F200" s="118" t="n">
        <f aca="false">IF($C200=0,0,$V$4/($V$4^2+($C200-$V$5)^2))</f>
        <v>0</v>
      </c>
      <c r="G200" s="118" t="n">
        <f aca="false">IF($C200=0,0,-($C200-$V$5)/($V$4^2+($C200-$V$5)^2))</f>
        <v>0</v>
      </c>
      <c r="H200" s="118" t="n">
        <f aca="false">IF($C200=0,0,$V$4/($V$4^2+($C200+$V$5)^2))</f>
        <v>0</v>
      </c>
      <c r="I200" s="118" t="n">
        <f aca="false">IF($C200=0,0,-($C200+$V$5)/($V$4^2+($C200+$V$5)^2))</f>
        <v>0</v>
      </c>
      <c r="J200" s="118" t="n">
        <f aca="false">IF($C200=0,0,$V$6/($V$6^2+($C200-$V$7)^2))</f>
        <v>0</v>
      </c>
      <c r="K200" s="118" t="n">
        <f aca="false">IF($C200=0,0,-($C200-$V$7)/($V$6^2+($C200-$V$7)^2))</f>
        <v>0</v>
      </c>
      <c r="L200" s="118" t="n">
        <f aca="false">IF($C200=0,0,$V$6/($V$6^2+($C200+$V$7)^2))</f>
        <v>0</v>
      </c>
      <c r="M200" s="118" t="n">
        <f aca="false">IF($C200=0,0,-($C200+$V$7)/($V$6^2+($C200+$V$7)^2))</f>
        <v>0</v>
      </c>
      <c r="N200" s="118" t="n">
        <f aca="false">G200+I200</f>
        <v>0</v>
      </c>
      <c r="O200" s="118" t="n">
        <f aca="false">F200-H200</f>
        <v>0</v>
      </c>
      <c r="P200" s="118" t="n">
        <f aca="false">K200+M200</f>
        <v>0</v>
      </c>
      <c r="Q200" s="118" t="n">
        <f aca="false">J200-L200</f>
        <v>0</v>
      </c>
      <c r="R200" s="88" t="n">
        <f aca="false">0</f>
        <v>0</v>
      </c>
      <c r="S200" s="88" t="n">
        <f aca="false">0</f>
        <v>0</v>
      </c>
      <c r="T200" s="71" t="n">
        <f aca="false">E200</f>
        <v>0</v>
      </c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customFormat="false" ht="15" hidden="false" customHeight="false" outlineLevel="0" collapsed="false">
      <c r="A201" s="110" t="str">
        <f aca="false">"虚部"</f>
        <v>虚部</v>
      </c>
      <c r="B201" s="88" t="str">
        <f aca="false">IF(03_FRFデータ貼付!B78="","",03_FRFデータ貼付!A78)</f>
        <v/>
      </c>
      <c r="C201" s="89" t="n">
        <f aca="false">IF(03_FRFデータ貼付!B78="",0,03_FRFデータ貼付!G78)</f>
        <v>0</v>
      </c>
      <c r="D201" s="71" t="n">
        <f aca="false">IF(03_FRFデータ貼付!C78="",0,03_FRFデータ貼付!C78)</f>
        <v>0</v>
      </c>
      <c r="E201" s="71" t="n">
        <f aca="false">IF(03_FRFデータ貼付!D78="",0,03_FRFデータ貼付!D78)</f>
        <v>0</v>
      </c>
      <c r="F201" s="118" t="n">
        <f aca="false">IF($C201=0,0,$V$4/($V$4^2+($C201-$V$5)^2))</f>
        <v>0</v>
      </c>
      <c r="G201" s="118" t="n">
        <f aca="false">IF($C201=0,0,-($C201-$V$5)/($V$4^2+($C201-$V$5)^2))</f>
        <v>0</v>
      </c>
      <c r="H201" s="118" t="n">
        <f aca="false">IF($C201=0,0,$V$4/($V$4^2+($C201+$V$5)^2))</f>
        <v>0</v>
      </c>
      <c r="I201" s="118" t="n">
        <f aca="false">IF($C201=0,0,-($C201+$V$5)/($V$4^2+($C201+$V$5)^2))</f>
        <v>0</v>
      </c>
      <c r="J201" s="118" t="n">
        <f aca="false">IF($C201=0,0,$V$6/($V$6^2+($C201-$V$7)^2))</f>
        <v>0</v>
      </c>
      <c r="K201" s="118" t="n">
        <f aca="false">IF($C201=0,0,-($C201-$V$7)/($V$6^2+($C201-$V$7)^2))</f>
        <v>0</v>
      </c>
      <c r="L201" s="118" t="n">
        <f aca="false">IF($C201=0,0,$V$6/($V$6^2+($C201+$V$7)^2))</f>
        <v>0</v>
      </c>
      <c r="M201" s="118" t="n">
        <f aca="false">IF($C201=0,0,-($C201+$V$7)/($V$6^2+($C201+$V$7)^2))</f>
        <v>0</v>
      </c>
      <c r="N201" s="118" t="n">
        <f aca="false">G201+I201</f>
        <v>0</v>
      </c>
      <c r="O201" s="118" t="n">
        <f aca="false">F201-H201</f>
        <v>0</v>
      </c>
      <c r="P201" s="118" t="n">
        <f aca="false">K201+M201</f>
        <v>0</v>
      </c>
      <c r="Q201" s="118" t="n">
        <f aca="false">J201-L201</f>
        <v>0</v>
      </c>
      <c r="R201" s="88" t="n">
        <f aca="false">0</f>
        <v>0</v>
      </c>
      <c r="S201" s="88" t="n">
        <f aca="false">0</f>
        <v>0</v>
      </c>
      <c r="T201" s="71" t="n">
        <f aca="false">E201</f>
        <v>0</v>
      </c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customFormat="false" ht="15" hidden="false" customHeight="false" outlineLevel="0" collapsed="false">
      <c r="A202" s="110" t="str">
        <f aca="false">"虚部"</f>
        <v>虚部</v>
      </c>
      <c r="B202" s="88" t="str">
        <f aca="false">IF(03_FRFデータ貼付!B79="","",03_FRFデータ貼付!A79)</f>
        <v/>
      </c>
      <c r="C202" s="89" t="n">
        <f aca="false">IF(03_FRFデータ貼付!B79="",0,03_FRFデータ貼付!G79)</f>
        <v>0</v>
      </c>
      <c r="D202" s="71" t="n">
        <f aca="false">IF(03_FRFデータ貼付!C79="",0,03_FRFデータ貼付!C79)</f>
        <v>0</v>
      </c>
      <c r="E202" s="71" t="n">
        <f aca="false">IF(03_FRFデータ貼付!D79="",0,03_FRFデータ貼付!D79)</f>
        <v>0</v>
      </c>
      <c r="F202" s="118" t="n">
        <f aca="false">IF($C202=0,0,$V$4/($V$4^2+($C202-$V$5)^2))</f>
        <v>0</v>
      </c>
      <c r="G202" s="118" t="n">
        <f aca="false">IF($C202=0,0,-($C202-$V$5)/($V$4^2+($C202-$V$5)^2))</f>
        <v>0</v>
      </c>
      <c r="H202" s="118" t="n">
        <f aca="false">IF($C202=0,0,$V$4/($V$4^2+($C202+$V$5)^2))</f>
        <v>0</v>
      </c>
      <c r="I202" s="118" t="n">
        <f aca="false">IF($C202=0,0,-($C202+$V$5)/($V$4^2+($C202+$V$5)^2))</f>
        <v>0</v>
      </c>
      <c r="J202" s="118" t="n">
        <f aca="false">IF($C202=0,0,$V$6/($V$6^2+($C202-$V$7)^2))</f>
        <v>0</v>
      </c>
      <c r="K202" s="118" t="n">
        <f aca="false">IF($C202=0,0,-($C202-$V$7)/($V$6^2+($C202-$V$7)^2))</f>
        <v>0</v>
      </c>
      <c r="L202" s="118" t="n">
        <f aca="false">IF($C202=0,0,$V$6/($V$6^2+($C202+$V$7)^2))</f>
        <v>0</v>
      </c>
      <c r="M202" s="118" t="n">
        <f aca="false">IF($C202=0,0,-($C202+$V$7)/($V$6^2+($C202+$V$7)^2))</f>
        <v>0</v>
      </c>
      <c r="N202" s="118" t="n">
        <f aca="false">G202+I202</f>
        <v>0</v>
      </c>
      <c r="O202" s="118" t="n">
        <f aca="false">F202-H202</f>
        <v>0</v>
      </c>
      <c r="P202" s="118" t="n">
        <f aca="false">K202+M202</f>
        <v>0</v>
      </c>
      <c r="Q202" s="118" t="n">
        <f aca="false">J202-L202</f>
        <v>0</v>
      </c>
      <c r="R202" s="88" t="n">
        <f aca="false">0</f>
        <v>0</v>
      </c>
      <c r="S202" s="88" t="n">
        <f aca="false">0</f>
        <v>0</v>
      </c>
      <c r="T202" s="71" t="n">
        <f aca="false">E202</f>
        <v>0</v>
      </c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customFormat="false" ht="15" hidden="false" customHeight="false" outlineLevel="0" collapsed="false">
      <c r="A203" s="110" t="str">
        <f aca="false">"虚部"</f>
        <v>虚部</v>
      </c>
      <c r="B203" s="88" t="str">
        <f aca="false">IF(03_FRFデータ貼付!B80="","",03_FRFデータ貼付!A80)</f>
        <v/>
      </c>
      <c r="C203" s="89" t="n">
        <f aca="false">IF(03_FRFデータ貼付!B80="",0,03_FRFデータ貼付!G80)</f>
        <v>0</v>
      </c>
      <c r="D203" s="71" t="n">
        <f aca="false">IF(03_FRFデータ貼付!C80="",0,03_FRFデータ貼付!C80)</f>
        <v>0</v>
      </c>
      <c r="E203" s="71" t="n">
        <f aca="false">IF(03_FRFデータ貼付!D80="",0,03_FRFデータ貼付!D80)</f>
        <v>0</v>
      </c>
      <c r="F203" s="118" t="n">
        <f aca="false">IF($C203=0,0,$V$4/($V$4^2+($C203-$V$5)^2))</f>
        <v>0</v>
      </c>
      <c r="G203" s="118" t="n">
        <f aca="false">IF($C203=0,0,-($C203-$V$5)/($V$4^2+($C203-$V$5)^2))</f>
        <v>0</v>
      </c>
      <c r="H203" s="118" t="n">
        <f aca="false">IF($C203=0,0,$V$4/($V$4^2+($C203+$V$5)^2))</f>
        <v>0</v>
      </c>
      <c r="I203" s="118" t="n">
        <f aca="false">IF($C203=0,0,-($C203+$V$5)/($V$4^2+($C203+$V$5)^2))</f>
        <v>0</v>
      </c>
      <c r="J203" s="118" t="n">
        <f aca="false">IF($C203=0,0,$V$6/($V$6^2+($C203-$V$7)^2))</f>
        <v>0</v>
      </c>
      <c r="K203" s="118" t="n">
        <f aca="false">IF($C203=0,0,-($C203-$V$7)/($V$6^2+($C203-$V$7)^2))</f>
        <v>0</v>
      </c>
      <c r="L203" s="118" t="n">
        <f aca="false">IF($C203=0,0,$V$6/($V$6^2+($C203+$V$7)^2))</f>
        <v>0</v>
      </c>
      <c r="M203" s="118" t="n">
        <f aca="false">IF($C203=0,0,-($C203+$V$7)/($V$6^2+($C203+$V$7)^2))</f>
        <v>0</v>
      </c>
      <c r="N203" s="118" t="n">
        <f aca="false">G203+I203</f>
        <v>0</v>
      </c>
      <c r="O203" s="118" t="n">
        <f aca="false">F203-H203</f>
        <v>0</v>
      </c>
      <c r="P203" s="118" t="n">
        <f aca="false">K203+M203</f>
        <v>0</v>
      </c>
      <c r="Q203" s="118" t="n">
        <f aca="false">J203-L203</f>
        <v>0</v>
      </c>
      <c r="R203" s="88" t="n">
        <f aca="false">0</f>
        <v>0</v>
      </c>
      <c r="S203" s="88" t="n">
        <f aca="false">0</f>
        <v>0</v>
      </c>
      <c r="T203" s="71" t="n">
        <f aca="false">E203</f>
        <v>0</v>
      </c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customFormat="false" ht="15" hidden="false" customHeight="false" outlineLevel="0" collapsed="false">
      <c r="A204" s="110" t="str">
        <f aca="false">"虚部"</f>
        <v>虚部</v>
      </c>
      <c r="B204" s="88" t="str">
        <f aca="false">IF(03_FRFデータ貼付!B81="","",03_FRFデータ貼付!A81)</f>
        <v/>
      </c>
      <c r="C204" s="89" t="n">
        <f aca="false">IF(03_FRFデータ貼付!B81="",0,03_FRFデータ貼付!G81)</f>
        <v>0</v>
      </c>
      <c r="D204" s="71" t="n">
        <f aca="false">IF(03_FRFデータ貼付!C81="",0,03_FRFデータ貼付!C81)</f>
        <v>0</v>
      </c>
      <c r="E204" s="71" t="n">
        <f aca="false">IF(03_FRFデータ貼付!D81="",0,03_FRFデータ貼付!D81)</f>
        <v>0</v>
      </c>
      <c r="F204" s="118" t="n">
        <f aca="false">IF($C204=0,0,$V$4/($V$4^2+($C204-$V$5)^2))</f>
        <v>0</v>
      </c>
      <c r="G204" s="118" t="n">
        <f aca="false">IF($C204=0,0,-($C204-$V$5)/($V$4^2+($C204-$V$5)^2))</f>
        <v>0</v>
      </c>
      <c r="H204" s="118" t="n">
        <f aca="false">IF($C204=0,0,$V$4/($V$4^2+($C204+$V$5)^2))</f>
        <v>0</v>
      </c>
      <c r="I204" s="118" t="n">
        <f aca="false">IF($C204=0,0,-($C204+$V$5)/($V$4^2+($C204+$V$5)^2))</f>
        <v>0</v>
      </c>
      <c r="J204" s="118" t="n">
        <f aca="false">IF($C204=0,0,$V$6/($V$6^2+($C204-$V$7)^2))</f>
        <v>0</v>
      </c>
      <c r="K204" s="118" t="n">
        <f aca="false">IF($C204=0,0,-($C204-$V$7)/($V$6^2+($C204-$V$7)^2))</f>
        <v>0</v>
      </c>
      <c r="L204" s="118" t="n">
        <f aca="false">IF($C204=0,0,$V$6/($V$6^2+($C204+$V$7)^2))</f>
        <v>0</v>
      </c>
      <c r="M204" s="118" t="n">
        <f aca="false">IF($C204=0,0,-($C204+$V$7)/($V$6^2+($C204+$V$7)^2))</f>
        <v>0</v>
      </c>
      <c r="N204" s="118" t="n">
        <f aca="false">G204+I204</f>
        <v>0</v>
      </c>
      <c r="O204" s="118" t="n">
        <f aca="false">F204-H204</f>
        <v>0</v>
      </c>
      <c r="P204" s="118" t="n">
        <f aca="false">K204+M204</f>
        <v>0</v>
      </c>
      <c r="Q204" s="118" t="n">
        <f aca="false">J204-L204</f>
        <v>0</v>
      </c>
      <c r="R204" s="88" t="n">
        <f aca="false">0</f>
        <v>0</v>
      </c>
      <c r="S204" s="88" t="n">
        <f aca="false">0</f>
        <v>0</v>
      </c>
      <c r="T204" s="71" t="n">
        <f aca="false">E204</f>
        <v>0</v>
      </c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customFormat="false" ht="15" hidden="false" customHeight="false" outlineLevel="0" collapsed="false">
      <c r="A205" s="110" t="str">
        <f aca="false">"虚部"</f>
        <v>虚部</v>
      </c>
      <c r="B205" s="88" t="str">
        <f aca="false">IF(03_FRFデータ貼付!B82="","",03_FRFデータ貼付!A82)</f>
        <v/>
      </c>
      <c r="C205" s="89" t="n">
        <f aca="false">IF(03_FRFデータ貼付!B82="",0,03_FRFデータ貼付!G82)</f>
        <v>0</v>
      </c>
      <c r="D205" s="71" t="n">
        <f aca="false">IF(03_FRFデータ貼付!C82="",0,03_FRFデータ貼付!C82)</f>
        <v>0</v>
      </c>
      <c r="E205" s="71" t="n">
        <f aca="false">IF(03_FRFデータ貼付!D82="",0,03_FRFデータ貼付!D82)</f>
        <v>0</v>
      </c>
      <c r="F205" s="118" t="n">
        <f aca="false">IF($C205=0,0,$V$4/($V$4^2+($C205-$V$5)^2))</f>
        <v>0</v>
      </c>
      <c r="G205" s="118" t="n">
        <f aca="false">IF($C205=0,0,-($C205-$V$5)/($V$4^2+($C205-$V$5)^2))</f>
        <v>0</v>
      </c>
      <c r="H205" s="118" t="n">
        <f aca="false">IF($C205=0,0,$V$4/($V$4^2+($C205+$V$5)^2))</f>
        <v>0</v>
      </c>
      <c r="I205" s="118" t="n">
        <f aca="false">IF($C205=0,0,-($C205+$V$5)/($V$4^2+($C205+$V$5)^2))</f>
        <v>0</v>
      </c>
      <c r="J205" s="118" t="n">
        <f aca="false">IF($C205=0,0,$V$6/($V$6^2+($C205-$V$7)^2))</f>
        <v>0</v>
      </c>
      <c r="K205" s="118" t="n">
        <f aca="false">IF($C205=0,0,-($C205-$V$7)/($V$6^2+($C205-$V$7)^2))</f>
        <v>0</v>
      </c>
      <c r="L205" s="118" t="n">
        <f aca="false">IF($C205=0,0,$V$6/($V$6^2+($C205+$V$7)^2))</f>
        <v>0</v>
      </c>
      <c r="M205" s="118" t="n">
        <f aca="false">IF($C205=0,0,-($C205+$V$7)/($V$6^2+($C205+$V$7)^2))</f>
        <v>0</v>
      </c>
      <c r="N205" s="118" t="n">
        <f aca="false">G205+I205</f>
        <v>0</v>
      </c>
      <c r="O205" s="118" t="n">
        <f aca="false">F205-H205</f>
        <v>0</v>
      </c>
      <c r="P205" s="118" t="n">
        <f aca="false">K205+M205</f>
        <v>0</v>
      </c>
      <c r="Q205" s="118" t="n">
        <f aca="false">J205-L205</f>
        <v>0</v>
      </c>
      <c r="R205" s="88" t="n">
        <f aca="false">0</f>
        <v>0</v>
      </c>
      <c r="S205" s="88" t="n">
        <f aca="false">0</f>
        <v>0</v>
      </c>
      <c r="T205" s="71" t="n">
        <f aca="false">E205</f>
        <v>0</v>
      </c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customFormat="false" ht="15" hidden="false" customHeight="false" outlineLevel="0" collapsed="false">
      <c r="A206" s="110" t="str">
        <f aca="false">"虚部"</f>
        <v>虚部</v>
      </c>
      <c r="B206" s="88" t="str">
        <f aca="false">IF(03_FRFデータ貼付!B83="","",03_FRFデータ貼付!A83)</f>
        <v/>
      </c>
      <c r="C206" s="89" t="n">
        <f aca="false">IF(03_FRFデータ貼付!B83="",0,03_FRFデータ貼付!G83)</f>
        <v>0</v>
      </c>
      <c r="D206" s="71" t="n">
        <f aca="false">IF(03_FRFデータ貼付!C83="",0,03_FRFデータ貼付!C83)</f>
        <v>0</v>
      </c>
      <c r="E206" s="71" t="n">
        <f aca="false">IF(03_FRFデータ貼付!D83="",0,03_FRFデータ貼付!D83)</f>
        <v>0</v>
      </c>
      <c r="F206" s="118" t="n">
        <f aca="false">IF($C206=0,0,$V$4/($V$4^2+($C206-$V$5)^2))</f>
        <v>0</v>
      </c>
      <c r="G206" s="118" t="n">
        <f aca="false">IF($C206=0,0,-($C206-$V$5)/($V$4^2+($C206-$V$5)^2))</f>
        <v>0</v>
      </c>
      <c r="H206" s="118" t="n">
        <f aca="false">IF($C206=0,0,$V$4/($V$4^2+($C206+$V$5)^2))</f>
        <v>0</v>
      </c>
      <c r="I206" s="118" t="n">
        <f aca="false">IF($C206=0,0,-($C206+$V$5)/($V$4^2+($C206+$V$5)^2))</f>
        <v>0</v>
      </c>
      <c r="J206" s="118" t="n">
        <f aca="false">IF($C206=0,0,$V$6/($V$6^2+($C206-$V$7)^2))</f>
        <v>0</v>
      </c>
      <c r="K206" s="118" t="n">
        <f aca="false">IF($C206=0,0,-($C206-$V$7)/($V$6^2+($C206-$V$7)^2))</f>
        <v>0</v>
      </c>
      <c r="L206" s="118" t="n">
        <f aca="false">IF($C206=0,0,$V$6/($V$6^2+($C206+$V$7)^2))</f>
        <v>0</v>
      </c>
      <c r="M206" s="118" t="n">
        <f aca="false">IF($C206=0,0,-($C206+$V$7)/($V$6^2+($C206+$V$7)^2))</f>
        <v>0</v>
      </c>
      <c r="N206" s="118" t="n">
        <f aca="false">G206+I206</f>
        <v>0</v>
      </c>
      <c r="O206" s="118" t="n">
        <f aca="false">F206-H206</f>
        <v>0</v>
      </c>
      <c r="P206" s="118" t="n">
        <f aca="false">K206+M206</f>
        <v>0</v>
      </c>
      <c r="Q206" s="118" t="n">
        <f aca="false">J206-L206</f>
        <v>0</v>
      </c>
      <c r="R206" s="88" t="n">
        <f aca="false">0</f>
        <v>0</v>
      </c>
      <c r="S206" s="88" t="n">
        <f aca="false">0</f>
        <v>0</v>
      </c>
      <c r="T206" s="71" t="n">
        <f aca="false">E206</f>
        <v>0</v>
      </c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customFormat="false" ht="15" hidden="false" customHeight="false" outlineLevel="0" collapsed="false">
      <c r="A207" s="110" t="str">
        <f aca="false">"虚部"</f>
        <v>虚部</v>
      </c>
      <c r="B207" s="88" t="str">
        <f aca="false">IF(03_FRFデータ貼付!B84="","",03_FRFデータ貼付!A84)</f>
        <v/>
      </c>
      <c r="C207" s="89" t="n">
        <f aca="false">IF(03_FRFデータ貼付!B84="",0,03_FRFデータ貼付!G84)</f>
        <v>0</v>
      </c>
      <c r="D207" s="71" t="n">
        <f aca="false">IF(03_FRFデータ貼付!C84="",0,03_FRFデータ貼付!C84)</f>
        <v>0</v>
      </c>
      <c r="E207" s="71" t="n">
        <f aca="false">IF(03_FRFデータ貼付!D84="",0,03_FRFデータ貼付!D84)</f>
        <v>0</v>
      </c>
      <c r="F207" s="118" t="n">
        <f aca="false">IF($C207=0,0,$V$4/($V$4^2+($C207-$V$5)^2))</f>
        <v>0</v>
      </c>
      <c r="G207" s="118" t="n">
        <f aca="false">IF($C207=0,0,-($C207-$V$5)/($V$4^2+($C207-$V$5)^2))</f>
        <v>0</v>
      </c>
      <c r="H207" s="118" t="n">
        <f aca="false">IF($C207=0,0,$V$4/($V$4^2+($C207+$V$5)^2))</f>
        <v>0</v>
      </c>
      <c r="I207" s="118" t="n">
        <f aca="false">IF($C207=0,0,-($C207+$V$5)/($V$4^2+($C207+$V$5)^2))</f>
        <v>0</v>
      </c>
      <c r="J207" s="118" t="n">
        <f aca="false">IF($C207=0,0,$V$6/($V$6^2+($C207-$V$7)^2))</f>
        <v>0</v>
      </c>
      <c r="K207" s="118" t="n">
        <f aca="false">IF($C207=0,0,-($C207-$V$7)/($V$6^2+($C207-$V$7)^2))</f>
        <v>0</v>
      </c>
      <c r="L207" s="118" t="n">
        <f aca="false">IF($C207=0,0,$V$6/($V$6^2+($C207+$V$7)^2))</f>
        <v>0</v>
      </c>
      <c r="M207" s="118" t="n">
        <f aca="false">IF($C207=0,0,-($C207+$V$7)/($V$6^2+($C207+$V$7)^2))</f>
        <v>0</v>
      </c>
      <c r="N207" s="118" t="n">
        <f aca="false">G207+I207</f>
        <v>0</v>
      </c>
      <c r="O207" s="118" t="n">
        <f aca="false">F207-H207</f>
        <v>0</v>
      </c>
      <c r="P207" s="118" t="n">
        <f aca="false">K207+M207</f>
        <v>0</v>
      </c>
      <c r="Q207" s="118" t="n">
        <f aca="false">J207-L207</f>
        <v>0</v>
      </c>
      <c r="R207" s="88" t="n">
        <f aca="false">0</f>
        <v>0</v>
      </c>
      <c r="S207" s="88" t="n">
        <f aca="false">0</f>
        <v>0</v>
      </c>
      <c r="T207" s="71" t="n">
        <f aca="false">E207</f>
        <v>0</v>
      </c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customFormat="false" ht="15" hidden="false" customHeight="false" outlineLevel="0" collapsed="false">
      <c r="A208" s="110" t="str">
        <f aca="false">"虚部"</f>
        <v>虚部</v>
      </c>
      <c r="B208" s="88" t="str">
        <f aca="false">IF(03_FRFデータ貼付!B85="","",03_FRFデータ貼付!A85)</f>
        <v/>
      </c>
      <c r="C208" s="89" t="n">
        <f aca="false">IF(03_FRFデータ貼付!B85="",0,03_FRFデータ貼付!G85)</f>
        <v>0</v>
      </c>
      <c r="D208" s="71" t="n">
        <f aca="false">IF(03_FRFデータ貼付!C85="",0,03_FRFデータ貼付!C85)</f>
        <v>0</v>
      </c>
      <c r="E208" s="71" t="n">
        <f aca="false">IF(03_FRFデータ貼付!D85="",0,03_FRFデータ貼付!D85)</f>
        <v>0</v>
      </c>
      <c r="F208" s="118" t="n">
        <f aca="false">IF($C208=0,0,$V$4/($V$4^2+($C208-$V$5)^2))</f>
        <v>0</v>
      </c>
      <c r="G208" s="118" t="n">
        <f aca="false">IF($C208=0,0,-($C208-$V$5)/($V$4^2+($C208-$V$5)^2))</f>
        <v>0</v>
      </c>
      <c r="H208" s="118" t="n">
        <f aca="false">IF($C208=0,0,$V$4/($V$4^2+($C208+$V$5)^2))</f>
        <v>0</v>
      </c>
      <c r="I208" s="118" t="n">
        <f aca="false">IF($C208=0,0,-($C208+$V$5)/($V$4^2+($C208+$V$5)^2))</f>
        <v>0</v>
      </c>
      <c r="J208" s="118" t="n">
        <f aca="false">IF($C208=0,0,$V$6/($V$6^2+($C208-$V$7)^2))</f>
        <v>0</v>
      </c>
      <c r="K208" s="118" t="n">
        <f aca="false">IF($C208=0,0,-($C208-$V$7)/($V$6^2+($C208-$V$7)^2))</f>
        <v>0</v>
      </c>
      <c r="L208" s="118" t="n">
        <f aca="false">IF($C208=0,0,$V$6/($V$6^2+($C208+$V$7)^2))</f>
        <v>0</v>
      </c>
      <c r="M208" s="118" t="n">
        <f aca="false">IF($C208=0,0,-($C208+$V$7)/($V$6^2+($C208+$V$7)^2))</f>
        <v>0</v>
      </c>
      <c r="N208" s="118" t="n">
        <f aca="false">G208+I208</f>
        <v>0</v>
      </c>
      <c r="O208" s="118" t="n">
        <f aca="false">F208-H208</f>
        <v>0</v>
      </c>
      <c r="P208" s="118" t="n">
        <f aca="false">K208+M208</f>
        <v>0</v>
      </c>
      <c r="Q208" s="118" t="n">
        <f aca="false">J208-L208</f>
        <v>0</v>
      </c>
      <c r="R208" s="88" t="n">
        <f aca="false">0</f>
        <v>0</v>
      </c>
      <c r="S208" s="88" t="n">
        <f aca="false">0</f>
        <v>0</v>
      </c>
      <c r="T208" s="71" t="n">
        <f aca="false">E208</f>
        <v>0</v>
      </c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customFormat="false" ht="15" hidden="false" customHeight="false" outlineLevel="0" collapsed="false">
      <c r="A209" s="110" t="str">
        <f aca="false">"虚部"</f>
        <v>虚部</v>
      </c>
      <c r="B209" s="88" t="str">
        <f aca="false">IF(03_FRFデータ貼付!B86="","",03_FRFデータ貼付!A86)</f>
        <v/>
      </c>
      <c r="C209" s="89" t="n">
        <f aca="false">IF(03_FRFデータ貼付!B86="",0,03_FRFデータ貼付!G86)</f>
        <v>0</v>
      </c>
      <c r="D209" s="71" t="n">
        <f aca="false">IF(03_FRFデータ貼付!C86="",0,03_FRFデータ貼付!C86)</f>
        <v>0</v>
      </c>
      <c r="E209" s="71" t="n">
        <f aca="false">IF(03_FRFデータ貼付!D86="",0,03_FRFデータ貼付!D86)</f>
        <v>0</v>
      </c>
      <c r="F209" s="118" t="n">
        <f aca="false">IF($C209=0,0,$V$4/($V$4^2+($C209-$V$5)^2))</f>
        <v>0</v>
      </c>
      <c r="G209" s="118" t="n">
        <f aca="false">IF($C209=0,0,-($C209-$V$5)/($V$4^2+($C209-$V$5)^2))</f>
        <v>0</v>
      </c>
      <c r="H209" s="118" t="n">
        <f aca="false">IF($C209=0,0,$V$4/($V$4^2+($C209+$V$5)^2))</f>
        <v>0</v>
      </c>
      <c r="I209" s="118" t="n">
        <f aca="false">IF($C209=0,0,-($C209+$V$5)/($V$4^2+($C209+$V$5)^2))</f>
        <v>0</v>
      </c>
      <c r="J209" s="118" t="n">
        <f aca="false">IF($C209=0,0,$V$6/($V$6^2+($C209-$V$7)^2))</f>
        <v>0</v>
      </c>
      <c r="K209" s="118" t="n">
        <f aca="false">IF($C209=0,0,-($C209-$V$7)/($V$6^2+($C209-$V$7)^2))</f>
        <v>0</v>
      </c>
      <c r="L209" s="118" t="n">
        <f aca="false">IF($C209=0,0,$V$6/($V$6^2+($C209+$V$7)^2))</f>
        <v>0</v>
      </c>
      <c r="M209" s="118" t="n">
        <f aca="false">IF($C209=0,0,-($C209+$V$7)/($V$6^2+($C209+$V$7)^2))</f>
        <v>0</v>
      </c>
      <c r="N209" s="118" t="n">
        <f aca="false">G209+I209</f>
        <v>0</v>
      </c>
      <c r="O209" s="118" t="n">
        <f aca="false">F209-H209</f>
        <v>0</v>
      </c>
      <c r="P209" s="118" t="n">
        <f aca="false">K209+M209</f>
        <v>0</v>
      </c>
      <c r="Q209" s="118" t="n">
        <f aca="false">J209-L209</f>
        <v>0</v>
      </c>
      <c r="R209" s="88" t="n">
        <f aca="false">0</f>
        <v>0</v>
      </c>
      <c r="S209" s="88" t="n">
        <f aca="false">0</f>
        <v>0</v>
      </c>
      <c r="T209" s="71" t="n">
        <f aca="false">E209</f>
        <v>0</v>
      </c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customFormat="false" ht="15" hidden="false" customHeight="false" outlineLevel="0" collapsed="false">
      <c r="A210" s="110" t="str">
        <f aca="false">"虚部"</f>
        <v>虚部</v>
      </c>
      <c r="B210" s="88" t="str">
        <f aca="false">IF(03_FRFデータ貼付!B87="","",03_FRFデータ貼付!A87)</f>
        <v/>
      </c>
      <c r="C210" s="89" t="n">
        <f aca="false">IF(03_FRFデータ貼付!B87="",0,03_FRFデータ貼付!G87)</f>
        <v>0</v>
      </c>
      <c r="D210" s="71" t="n">
        <f aca="false">IF(03_FRFデータ貼付!C87="",0,03_FRFデータ貼付!C87)</f>
        <v>0</v>
      </c>
      <c r="E210" s="71" t="n">
        <f aca="false">IF(03_FRFデータ貼付!D87="",0,03_FRFデータ貼付!D87)</f>
        <v>0</v>
      </c>
      <c r="F210" s="118" t="n">
        <f aca="false">IF($C210=0,0,$V$4/($V$4^2+($C210-$V$5)^2))</f>
        <v>0</v>
      </c>
      <c r="G210" s="118" t="n">
        <f aca="false">IF($C210=0,0,-($C210-$V$5)/($V$4^2+($C210-$V$5)^2))</f>
        <v>0</v>
      </c>
      <c r="H210" s="118" t="n">
        <f aca="false">IF($C210=0,0,$V$4/($V$4^2+($C210+$V$5)^2))</f>
        <v>0</v>
      </c>
      <c r="I210" s="118" t="n">
        <f aca="false">IF($C210=0,0,-($C210+$V$5)/($V$4^2+($C210+$V$5)^2))</f>
        <v>0</v>
      </c>
      <c r="J210" s="118" t="n">
        <f aca="false">IF($C210=0,0,$V$6/($V$6^2+($C210-$V$7)^2))</f>
        <v>0</v>
      </c>
      <c r="K210" s="118" t="n">
        <f aca="false">IF($C210=0,0,-($C210-$V$7)/($V$6^2+($C210-$V$7)^2))</f>
        <v>0</v>
      </c>
      <c r="L210" s="118" t="n">
        <f aca="false">IF($C210=0,0,$V$6/($V$6^2+($C210+$V$7)^2))</f>
        <v>0</v>
      </c>
      <c r="M210" s="118" t="n">
        <f aca="false">IF($C210=0,0,-($C210+$V$7)/($V$6^2+($C210+$V$7)^2))</f>
        <v>0</v>
      </c>
      <c r="N210" s="118" t="n">
        <f aca="false">G210+I210</f>
        <v>0</v>
      </c>
      <c r="O210" s="118" t="n">
        <f aca="false">F210-H210</f>
        <v>0</v>
      </c>
      <c r="P210" s="118" t="n">
        <f aca="false">K210+M210</f>
        <v>0</v>
      </c>
      <c r="Q210" s="118" t="n">
        <f aca="false">J210-L210</f>
        <v>0</v>
      </c>
      <c r="R210" s="88" t="n">
        <f aca="false">0</f>
        <v>0</v>
      </c>
      <c r="S210" s="88" t="n">
        <f aca="false">0</f>
        <v>0</v>
      </c>
      <c r="T210" s="71" t="n">
        <f aca="false">E210</f>
        <v>0</v>
      </c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customFormat="false" ht="15" hidden="false" customHeight="false" outlineLevel="0" collapsed="false">
      <c r="A211" s="110" t="str">
        <f aca="false">"虚部"</f>
        <v>虚部</v>
      </c>
      <c r="B211" s="88" t="str">
        <f aca="false">IF(03_FRFデータ貼付!B88="","",03_FRFデータ貼付!A88)</f>
        <v/>
      </c>
      <c r="C211" s="89" t="n">
        <f aca="false">IF(03_FRFデータ貼付!B88="",0,03_FRFデータ貼付!G88)</f>
        <v>0</v>
      </c>
      <c r="D211" s="71" t="n">
        <f aca="false">IF(03_FRFデータ貼付!C88="",0,03_FRFデータ貼付!C88)</f>
        <v>0</v>
      </c>
      <c r="E211" s="71" t="n">
        <f aca="false">IF(03_FRFデータ貼付!D88="",0,03_FRFデータ貼付!D88)</f>
        <v>0</v>
      </c>
      <c r="F211" s="118" t="n">
        <f aca="false">IF($C211=0,0,$V$4/($V$4^2+($C211-$V$5)^2))</f>
        <v>0</v>
      </c>
      <c r="G211" s="118" t="n">
        <f aca="false">IF($C211=0,0,-($C211-$V$5)/($V$4^2+($C211-$V$5)^2))</f>
        <v>0</v>
      </c>
      <c r="H211" s="118" t="n">
        <f aca="false">IF($C211=0,0,$V$4/($V$4^2+($C211+$V$5)^2))</f>
        <v>0</v>
      </c>
      <c r="I211" s="118" t="n">
        <f aca="false">IF($C211=0,0,-($C211+$V$5)/($V$4^2+($C211+$V$5)^2))</f>
        <v>0</v>
      </c>
      <c r="J211" s="118" t="n">
        <f aca="false">IF($C211=0,0,$V$6/($V$6^2+($C211-$V$7)^2))</f>
        <v>0</v>
      </c>
      <c r="K211" s="118" t="n">
        <f aca="false">IF($C211=0,0,-($C211-$V$7)/($V$6^2+($C211-$V$7)^2))</f>
        <v>0</v>
      </c>
      <c r="L211" s="118" t="n">
        <f aca="false">IF($C211=0,0,$V$6/($V$6^2+($C211+$V$7)^2))</f>
        <v>0</v>
      </c>
      <c r="M211" s="118" t="n">
        <f aca="false">IF($C211=0,0,-($C211+$V$7)/($V$6^2+($C211+$V$7)^2))</f>
        <v>0</v>
      </c>
      <c r="N211" s="118" t="n">
        <f aca="false">G211+I211</f>
        <v>0</v>
      </c>
      <c r="O211" s="118" t="n">
        <f aca="false">F211-H211</f>
        <v>0</v>
      </c>
      <c r="P211" s="118" t="n">
        <f aca="false">K211+M211</f>
        <v>0</v>
      </c>
      <c r="Q211" s="118" t="n">
        <f aca="false">J211-L211</f>
        <v>0</v>
      </c>
      <c r="R211" s="88" t="n">
        <f aca="false">0</f>
        <v>0</v>
      </c>
      <c r="S211" s="88" t="n">
        <f aca="false">0</f>
        <v>0</v>
      </c>
      <c r="T211" s="71" t="n">
        <f aca="false">E211</f>
        <v>0</v>
      </c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customFormat="false" ht="15" hidden="false" customHeight="false" outlineLevel="0" collapsed="false">
      <c r="A212" s="110" t="str">
        <f aca="false">"虚部"</f>
        <v>虚部</v>
      </c>
      <c r="B212" s="88" t="str">
        <f aca="false">IF(03_FRFデータ貼付!B89="","",03_FRFデータ貼付!A89)</f>
        <v/>
      </c>
      <c r="C212" s="89" t="n">
        <f aca="false">IF(03_FRFデータ貼付!B89="",0,03_FRFデータ貼付!G89)</f>
        <v>0</v>
      </c>
      <c r="D212" s="71" t="n">
        <f aca="false">IF(03_FRFデータ貼付!C89="",0,03_FRFデータ貼付!C89)</f>
        <v>0</v>
      </c>
      <c r="E212" s="71" t="n">
        <f aca="false">IF(03_FRFデータ貼付!D89="",0,03_FRFデータ貼付!D89)</f>
        <v>0</v>
      </c>
      <c r="F212" s="118" t="n">
        <f aca="false">IF($C212=0,0,$V$4/($V$4^2+($C212-$V$5)^2))</f>
        <v>0</v>
      </c>
      <c r="G212" s="118" t="n">
        <f aca="false">IF($C212=0,0,-($C212-$V$5)/($V$4^2+($C212-$V$5)^2))</f>
        <v>0</v>
      </c>
      <c r="H212" s="118" t="n">
        <f aca="false">IF($C212=0,0,$V$4/($V$4^2+($C212+$V$5)^2))</f>
        <v>0</v>
      </c>
      <c r="I212" s="118" t="n">
        <f aca="false">IF($C212=0,0,-($C212+$V$5)/($V$4^2+($C212+$V$5)^2))</f>
        <v>0</v>
      </c>
      <c r="J212" s="118" t="n">
        <f aca="false">IF($C212=0,0,$V$6/($V$6^2+($C212-$V$7)^2))</f>
        <v>0</v>
      </c>
      <c r="K212" s="118" t="n">
        <f aca="false">IF($C212=0,0,-($C212-$V$7)/($V$6^2+($C212-$V$7)^2))</f>
        <v>0</v>
      </c>
      <c r="L212" s="118" t="n">
        <f aca="false">IF($C212=0,0,$V$6/($V$6^2+($C212+$V$7)^2))</f>
        <v>0</v>
      </c>
      <c r="M212" s="118" t="n">
        <f aca="false">IF($C212=0,0,-($C212+$V$7)/($V$6^2+($C212+$V$7)^2))</f>
        <v>0</v>
      </c>
      <c r="N212" s="118" t="n">
        <f aca="false">G212+I212</f>
        <v>0</v>
      </c>
      <c r="O212" s="118" t="n">
        <f aca="false">F212-H212</f>
        <v>0</v>
      </c>
      <c r="P212" s="118" t="n">
        <f aca="false">K212+M212</f>
        <v>0</v>
      </c>
      <c r="Q212" s="118" t="n">
        <f aca="false">J212-L212</f>
        <v>0</v>
      </c>
      <c r="R212" s="88" t="n">
        <f aca="false">0</f>
        <v>0</v>
      </c>
      <c r="S212" s="88" t="n">
        <f aca="false">0</f>
        <v>0</v>
      </c>
      <c r="T212" s="71" t="n">
        <f aca="false">E212</f>
        <v>0</v>
      </c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customFormat="false" ht="15" hidden="false" customHeight="false" outlineLevel="0" collapsed="false">
      <c r="A213" s="110" t="str">
        <f aca="false">"虚部"</f>
        <v>虚部</v>
      </c>
      <c r="B213" s="88" t="str">
        <f aca="false">IF(03_FRFデータ貼付!B90="","",03_FRFデータ貼付!A90)</f>
        <v/>
      </c>
      <c r="C213" s="89" t="n">
        <f aca="false">IF(03_FRFデータ貼付!B90="",0,03_FRFデータ貼付!G90)</f>
        <v>0</v>
      </c>
      <c r="D213" s="71" t="n">
        <f aca="false">IF(03_FRFデータ貼付!C90="",0,03_FRFデータ貼付!C90)</f>
        <v>0</v>
      </c>
      <c r="E213" s="71" t="n">
        <f aca="false">IF(03_FRFデータ貼付!D90="",0,03_FRFデータ貼付!D90)</f>
        <v>0</v>
      </c>
      <c r="F213" s="118" t="n">
        <f aca="false">IF($C213=0,0,$V$4/($V$4^2+($C213-$V$5)^2))</f>
        <v>0</v>
      </c>
      <c r="G213" s="118" t="n">
        <f aca="false">IF($C213=0,0,-($C213-$V$5)/($V$4^2+($C213-$V$5)^2))</f>
        <v>0</v>
      </c>
      <c r="H213" s="118" t="n">
        <f aca="false">IF($C213=0,0,$V$4/($V$4^2+($C213+$V$5)^2))</f>
        <v>0</v>
      </c>
      <c r="I213" s="118" t="n">
        <f aca="false">IF($C213=0,0,-($C213+$V$5)/($V$4^2+($C213+$V$5)^2))</f>
        <v>0</v>
      </c>
      <c r="J213" s="118" t="n">
        <f aca="false">IF($C213=0,0,$V$6/($V$6^2+($C213-$V$7)^2))</f>
        <v>0</v>
      </c>
      <c r="K213" s="118" t="n">
        <f aca="false">IF($C213=0,0,-($C213-$V$7)/($V$6^2+($C213-$V$7)^2))</f>
        <v>0</v>
      </c>
      <c r="L213" s="118" t="n">
        <f aca="false">IF($C213=0,0,$V$6/($V$6^2+($C213+$V$7)^2))</f>
        <v>0</v>
      </c>
      <c r="M213" s="118" t="n">
        <f aca="false">IF($C213=0,0,-($C213+$V$7)/($V$6^2+($C213+$V$7)^2))</f>
        <v>0</v>
      </c>
      <c r="N213" s="118" t="n">
        <f aca="false">G213+I213</f>
        <v>0</v>
      </c>
      <c r="O213" s="118" t="n">
        <f aca="false">F213-H213</f>
        <v>0</v>
      </c>
      <c r="P213" s="118" t="n">
        <f aca="false">K213+M213</f>
        <v>0</v>
      </c>
      <c r="Q213" s="118" t="n">
        <f aca="false">J213-L213</f>
        <v>0</v>
      </c>
      <c r="R213" s="88" t="n">
        <f aca="false">0</f>
        <v>0</v>
      </c>
      <c r="S213" s="88" t="n">
        <f aca="false">0</f>
        <v>0</v>
      </c>
      <c r="T213" s="71" t="n">
        <f aca="false">E213</f>
        <v>0</v>
      </c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customFormat="false" ht="15" hidden="false" customHeight="false" outlineLevel="0" collapsed="false">
      <c r="A214" s="110" t="str">
        <f aca="false">"虚部"</f>
        <v>虚部</v>
      </c>
      <c r="B214" s="88" t="str">
        <f aca="false">IF(03_FRFデータ貼付!B91="","",03_FRFデータ貼付!A91)</f>
        <v/>
      </c>
      <c r="C214" s="89" t="n">
        <f aca="false">IF(03_FRFデータ貼付!B91="",0,03_FRFデータ貼付!G91)</f>
        <v>0</v>
      </c>
      <c r="D214" s="71" t="n">
        <f aca="false">IF(03_FRFデータ貼付!C91="",0,03_FRFデータ貼付!C91)</f>
        <v>0</v>
      </c>
      <c r="E214" s="71" t="n">
        <f aca="false">IF(03_FRFデータ貼付!D91="",0,03_FRFデータ貼付!D91)</f>
        <v>0</v>
      </c>
      <c r="F214" s="118" t="n">
        <f aca="false">IF($C214=0,0,$V$4/($V$4^2+($C214-$V$5)^2))</f>
        <v>0</v>
      </c>
      <c r="G214" s="118" t="n">
        <f aca="false">IF($C214=0,0,-($C214-$V$5)/($V$4^2+($C214-$V$5)^2))</f>
        <v>0</v>
      </c>
      <c r="H214" s="118" t="n">
        <f aca="false">IF($C214=0,0,$V$4/($V$4^2+($C214+$V$5)^2))</f>
        <v>0</v>
      </c>
      <c r="I214" s="118" t="n">
        <f aca="false">IF($C214=0,0,-($C214+$V$5)/($V$4^2+($C214+$V$5)^2))</f>
        <v>0</v>
      </c>
      <c r="J214" s="118" t="n">
        <f aca="false">IF($C214=0,0,$V$6/($V$6^2+($C214-$V$7)^2))</f>
        <v>0</v>
      </c>
      <c r="K214" s="118" t="n">
        <f aca="false">IF($C214=0,0,-($C214-$V$7)/($V$6^2+($C214-$V$7)^2))</f>
        <v>0</v>
      </c>
      <c r="L214" s="118" t="n">
        <f aca="false">IF($C214=0,0,$V$6/($V$6^2+($C214+$V$7)^2))</f>
        <v>0</v>
      </c>
      <c r="M214" s="118" t="n">
        <f aca="false">IF($C214=0,0,-($C214+$V$7)/($V$6^2+($C214+$V$7)^2))</f>
        <v>0</v>
      </c>
      <c r="N214" s="118" t="n">
        <f aca="false">G214+I214</f>
        <v>0</v>
      </c>
      <c r="O214" s="118" t="n">
        <f aca="false">F214-H214</f>
        <v>0</v>
      </c>
      <c r="P214" s="118" t="n">
        <f aca="false">K214+M214</f>
        <v>0</v>
      </c>
      <c r="Q214" s="118" t="n">
        <f aca="false">J214-L214</f>
        <v>0</v>
      </c>
      <c r="R214" s="88" t="n">
        <f aca="false">0</f>
        <v>0</v>
      </c>
      <c r="S214" s="88" t="n">
        <f aca="false">0</f>
        <v>0</v>
      </c>
      <c r="T214" s="71" t="n">
        <f aca="false">E214</f>
        <v>0</v>
      </c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customFormat="false" ht="15" hidden="false" customHeight="false" outlineLevel="0" collapsed="false">
      <c r="A215" s="110" t="str">
        <f aca="false">"虚部"</f>
        <v>虚部</v>
      </c>
      <c r="B215" s="88" t="str">
        <f aca="false">IF(03_FRFデータ貼付!B92="","",03_FRFデータ貼付!A92)</f>
        <v/>
      </c>
      <c r="C215" s="89" t="n">
        <f aca="false">IF(03_FRFデータ貼付!B92="",0,03_FRFデータ貼付!G92)</f>
        <v>0</v>
      </c>
      <c r="D215" s="71" t="n">
        <f aca="false">IF(03_FRFデータ貼付!C92="",0,03_FRFデータ貼付!C92)</f>
        <v>0</v>
      </c>
      <c r="E215" s="71" t="n">
        <f aca="false">IF(03_FRFデータ貼付!D92="",0,03_FRFデータ貼付!D92)</f>
        <v>0</v>
      </c>
      <c r="F215" s="118" t="n">
        <f aca="false">IF($C215=0,0,$V$4/($V$4^2+($C215-$V$5)^2))</f>
        <v>0</v>
      </c>
      <c r="G215" s="118" t="n">
        <f aca="false">IF($C215=0,0,-($C215-$V$5)/($V$4^2+($C215-$V$5)^2))</f>
        <v>0</v>
      </c>
      <c r="H215" s="118" t="n">
        <f aca="false">IF($C215=0,0,$V$4/($V$4^2+($C215+$V$5)^2))</f>
        <v>0</v>
      </c>
      <c r="I215" s="118" t="n">
        <f aca="false">IF($C215=0,0,-($C215+$V$5)/($V$4^2+($C215+$V$5)^2))</f>
        <v>0</v>
      </c>
      <c r="J215" s="118" t="n">
        <f aca="false">IF($C215=0,0,$V$6/($V$6^2+($C215-$V$7)^2))</f>
        <v>0</v>
      </c>
      <c r="K215" s="118" t="n">
        <f aca="false">IF($C215=0,0,-($C215-$V$7)/($V$6^2+($C215-$V$7)^2))</f>
        <v>0</v>
      </c>
      <c r="L215" s="118" t="n">
        <f aca="false">IF($C215=0,0,$V$6/($V$6^2+($C215+$V$7)^2))</f>
        <v>0</v>
      </c>
      <c r="M215" s="118" t="n">
        <f aca="false">IF($C215=0,0,-($C215+$V$7)/($V$6^2+($C215+$V$7)^2))</f>
        <v>0</v>
      </c>
      <c r="N215" s="118" t="n">
        <f aca="false">G215+I215</f>
        <v>0</v>
      </c>
      <c r="O215" s="118" t="n">
        <f aca="false">F215-H215</f>
        <v>0</v>
      </c>
      <c r="P215" s="118" t="n">
        <f aca="false">K215+M215</f>
        <v>0</v>
      </c>
      <c r="Q215" s="118" t="n">
        <f aca="false">J215-L215</f>
        <v>0</v>
      </c>
      <c r="R215" s="88" t="n">
        <f aca="false">0</f>
        <v>0</v>
      </c>
      <c r="S215" s="88" t="n">
        <f aca="false">0</f>
        <v>0</v>
      </c>
      <c r="T215" s="71" t="n">
        <f aca="false">E215</f>
        <v>0</v>
      </c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customFormat="false" ht="15" hidden="false" customHeight="false" outlineLevel="0" collapsed="false">
      <c r="A216" s="110" t="str">
        <f aca="false">"虚部"</f>
        <v>虚部</v>
      </c>
      <c r="B216" s="88" t="str">
        <f aca="false">IF(03_FRFデータ貼付!B93="","",03_FRFデータ貼付!A93)</f>
        <v/>
      </c>
      <c r="C216" s="89" t="n">
        <f aca="false">IF(03_FRFデータ貼付!B93="",0,03_FRFデータ貼付!G93)</f>
        <v>0</v>
      </c>
      <c r="D216" s="71" t="n">
        <f aca="false">IF(03_FRFデータ貼付!C93="",0,03_FRFデータ貼付!C93)</f>
        <v>0</v>
      </c>
      <c r="E216" s="71" t="n">
        <f aca="false">IF(03_FRFデータ貼付!D93="",0,03_FRFデータ貼付!D93)</f>
        <v>0</v>
      </c>
      <c r="F216" s="118" t="n">
        <f aca="false">IF($C216=0,0,$V$4/($V$4^2+($C216-$V$5)^2))</f>
        <v>0</v>
      </c>
      <c r="G216" s="118" t="n">
        <f aca="false">IF($C216=0,0,-($C216-$V$5)/($V$4^2+($C216-$V$5)^2))</f>
        <v>0</v>
      </c>
      <c r="H216" s="118" t="n">
        <f aca="false">IF($C216=0,0,$V$4/($V$4^2+($C216+$V$5)^2))</f>
        <v>0</v>
      </c>
      <c r="I216" s="118" t="n">
        <f aca="false">IF($C216=0,0,-($C216+$V$5)/($V$4^2+($C216+$V$5)^2))</f>
        <v>0</v>
      </c>
      <c r="J216" s="118" t="n">
        <f aca="false">IF($C216=0,0,$V$6/($V$6^2+($C216-$V$7)^2))</f>
        <v>0</v>
      </c>
      <c r="K216" s="118" t="n">
        <f aca="false">IF($C216=0,0,-($C216-$V$7)/($V$6^2+($C216-$V$7)^2))</f>
        <v>0</v>
      </c>
      <c r="L216" s="118" t="n">
        <f aca="false">IF($C216=0,0,$V$6/($V$6^2+($C216+$V$7)^2))</f>
        <v>0</v>
      </c>
      <c r="M216" s="118" t="n">
        <f aca="false">IF($C216=0,0,-($C216+$V$7)/($V$6^2+($C216+$V$7)^2))</f>
        <v>0</v>
      </c>
      <c r="N216" s="118" t="n">
        <f aca="false">G216+I216</f>
        <v>0</v>
      </c>
      <c r="O216" s="118" t="n">
        <f aca="false">F216-H216</f>
        <v>0</v>
      </c>
      <c r="P216" s="118" t="n">
        <f aca="false">K216+M216</f>
        <v>0</v>
      </c>
      <c r="Q216" s="118" t="n">
        <f aca="false">J216-L216</f>
        <v>0</v>
      </c>
      <c r="R216" s="88" t="n">
        <f aca="false">0</f>
        <v>0</v>
      </c>
      <c r="S216" s="88" t="n">
        <f aca="false">0</f>
        <v>0</v>
      </c>
      <c r="T216" s="71" t="n">
        <f aca="false">E216</f>
        <v>0</v>
      </c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customFormat="false" ht="15" hidden="false" customHeight="false" outlineLevel="0" collapsed="false">
      <c r="A217" s="110" t="str">
        <f aca="false">"虚部"</f>
        <v>虚部</v>
      </c>
      <c r="B217" s="88" t="str">
        <f aca="false">IF(03_FRFデータ貼付!B94="","",03_FRFデータ貼付!A94)</f>
        <v/>
      </c>
      <c r="C217" s="89" t="n">
        <f aca="false">IF(03_FRFデータ貼付!B94="",0,03_FRFデータ貼付!G94)</f>
        <v>0</v>
      </c>
      <c r="D217" s="71" t="n">
        <f aca="false">IF(03_FRFデータ貼付!C94="",0,03_FRFデータ貼付!C94)</f>
        <v>0</v>
      </c>
      <c r="E217" s="71" t="n">
        <f aca="false">IF(03_FRFデータ貼付!D94="",0,03_FRFデータ貼付!D94)</f>
        <v>0</v>
      </c>
      <c r="F217" s="118" t="n">
        <f aca="false">IF($C217=0,0,$V$4/($V$4^2+($C217-$V$5)^2))</f>
        <v>0</v>
      </c>
      <c r="G217" s="118" t="n">
        <f aca="false">IF($C217=0,0,-($C217-$V$5)/($V$4^2+($C217-$V$5)^2))</f>
        <v>0</v>
      </c>
      <c r="H217" s="118" t="n">
        <f aca="false">IF($C217=0,0,$V$4/($V$4^2+($C217+$V$5)^2))</f>
        <v>0</v>
      </c>
      <c r="I217" s="118" t="n">
        <f aca="false">IF($C217=0,0,-($C217+$V$5)/($V$4^2+($C217+$V$5)^2))</f>
        <v>0</v>
      </c>
      <c r="J217" s="118" t="n">
        <f aca="false">IF($C217=0,0,$V$6/($V$6^2+($C217-$V$7)^2))</f>
        <v>0</v>
      </c>
      <c r="K217" s="118" t="n">
        <f aca="false">IF($C217=0,0,-($C217-$V$7)/($V$6^2+($C217-$V$7)^2))</f>
        <v>0</v>
      </c>
      <c r="L217" s="118" t="n">
        <f aca="false">IF($C217=0,0,$V$6/($V$6^2+($C217+$V$7)^2))</f>
        <v>0</v>
      </c>
      <c r="M217" s="118" t="n">
        <f aca="false">IF($C217=0,0,-($C217+$V$7)/($V$6^2+($C217+$V$7)^2))</f>
        <v>0</v>
      </c>
      <c r="N217" s="118" t="n">
        <f aca="false">G217+I217</f>
        <v>0</v>
      </c>
      <c r="O217" s="118" t="n">
        <f aca="false">F217-H217</f>
        <v>0</v>
      </c>
      <c r="P217" s="118" t="n">
        <f aca="false">K217+M217</f>
        <v>0</v>
      </c>
      <c r="Q217" s="118" t="n">
        <f aca="false">J217-L217</f>
        <v>0</v>
      </c>
      <c r="R217" s="88" t="n">
        <f aca="false">0</f>
        <v>0</v>
      </c>
      <c r="S217" s="88" t="n">
        <f aca="false">0</f>
        <v>0</v>
      </c>
      <c r="T217" s="71" t="n">
        <f aca="false">E217</f>
        <v>0</v>
      </c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customFormat="false" ht="15" hidden="false" customHeight="false" outlineLevel="0" collapsed="false">
      <c r="A218" s="110" t="str">
        <f aca="false">"虚部"</f>
        <v>虚部</v>
      </c>
      <c r="B218" s="88" t="str">
        <f aca="false">IF(03_FRFデータ貼付!B95="","",03_FRFデータ貼付!A95)</f>
        <v/>
      </c>
      <c r="C218" s="89" t="n">
        <f aca="false">IF(03_FRFデータ貼付!B95="",0,03_FRFデータ貼付!G95)</f>
        <v>0</v>
      </c>
      <c r="D218" s="71" t="n">
        <f aca="false">IF(03_FRFデータ貼付!C95="",0,03_FRFデータ貼付!C95)</f>
        <v>0</v>
      </c>
      <c r="E218" s="71" t="n">
        <f aca="false">IF(03_FRFデータ貼付!D95="",0,03_FRFデータ貼付!D95)</f>
        <v>0</v>
      </c>
      <c r="F218" s="118" t="n">
        <f aca="false">IF($C218=0,0,$V$4/($V$4^2+($C218-$V$5)^2))</f>
        <v>0</v>
      </c>
      <c r="G218" s="118" t="n">
        <f aca="false">IF($C218=0,0,-($C218-$V$5)/($V$4^2+($C218-$V$5)^2))</f>
        <v>0</v>
      </c>
      <c r="H218" s="118" t="n">
        <f aca="false">IF($C218=0,0,$V$4/($V$4^2+($C218+$V$5)^2))</f>
        <v>0</v>
      </c>
      <c r="I218" s="118" t="n">
        <f aca="false">IF($C218=0,0,-($C218+$V$5)/($V$4^2+($C218+$V$5)^2))</f>
        <v>0</v>
      </c>
      <c r="J218" s="118" t="n">
        <f aca="false">IF($C218=0,0,$V$6/($V$6^2+($C218-$V$7)^2))</f>
        <v>0</v>
      </c>
      <c r="K218" s="118" t="n">
        <f aca="false">IF($C218=0,0,-($C218-$V$7)/($V$6^2+($C218-$V$7)^2))</f>
        <v>0</v>
      </c>
      <c r="L218" s="118" t="n">
        <f aca="false">IF($C218=0,0,$V$6/($V$6^2+($C218+$V$7)^2))</f>
        <v>0</v>
      </c>
      <c r="M218" s="118" t="n">
        <f aca="false">IF($C218=0,0,-($C218+$V$7)/($V$6^2+($C218+$V$7)^2))</f>
        <v>0</v>
      </c>
      <c r="N218" s="118" t="n">
        <f aca="false">G218+I218</f>
        <v>0</v>
      </c>
      <c r="O218" s="118" t="n">
        <f aca="false">F218-H218</f>
        <v>0</v>
      </c>
      <c r="P218" s="118" t="n">
        <f aca="false">K218+M218</f>
        <v>0</v>
      </c>
      <c r="Q218" s="118" t="n">
        <f aca="false">J218-L218</f>
        <v>0</v>
      </c>
      <c r="R218" s="88" t="n">
        <f aca="false">0</f>
        <v>0</v>
      </c>
      <c r="S218" s="88" t="n">
        <f aca="false">0</f>
        <v>0</v>
      </c>
      <c r="T218" s="71" t="n">
        <f aca="false">E218</f>
        <v>0</v>
      </c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customFormat="false" ht="15" hidden="false" customHeight="false" outlineLevel="0" collapsed="false">
      <c r="A219" s="110" t="str">
        <f aca="false">"虚部"</f>
        <v>虚部</v>
      </c>
      <c r="B219" s="88" t="str">
        <f aca="false">IF(03_FRFデータ貼付!B96="","",03_FRFデータ貼付!A96)</f>
        <v/>
      </c>
      <c r="C219" s="89" t="n">
        <f aca="false">IF(03_FRFデータ貼付!B96="",0,03_FRFデータ貼付!G96)</f>
        <v>0</v>
      </c>
      <c r="D219" s="71" t="n">
        <f aca="false">IF(03_FRFデータ貼付!C96="",0,03_FRFデータ貼付!C96)</f>
        <v>0</v>
      </c>
      <c r="E219" s="71" t="n">
        <f aca="false">IF(03_FRFデータ貼付!D96="",0,03_FRFデータ貼付!D96)</f>
        <v>0</v>
      </c>
      <c r="F219" s="118" t="n">
        <f aca="false">IF($C219=0,0,$V$4/($V$4^2+($C219-$V$5)^2))</f>
        <v>0</v>
      </c>
      <c r="G219" s="118" t="n">
        <f aca="false">IF($C219=0,0,-($C219-$V$5)/($V$4^2+($C219-$V$5)^2))</f>
        <v>0</v>
      </c>
      <c r="H219" s="118" t="n">
        <f aca="false">IF($C219=0,0,$V$4/($V$4^2+($C219+$V$5)^2))</f>
        <v>0</v>
      </c>
      <c r="I219" s="118" t="n">
        <f aca="false">IF($C219=0,0,-($C219+$V$5)/($V$4^2+($C219+$V$5)^2))</f>
        <v>0</v>
      </c>
      <c r="J219" s="118" t="n">
        <f aca="false">IF($C219=0,0,$V$6/($V$6^2+($C219-$V$7)^2))</f>
        <v>0</v>
      </c>
      <c r="K219" s="118" t="n">
        <f aca="false">IF($C219=0,0,-($C219-$V$7)/($V$6^2+($C219-$V$7)^2))</f>
        <v>0</v>
      </c>
      <c r="L219" s="118" t="n">
        <f aca="false">IF($C219=0,0,$V$6/($V$6^2+($C219+$V$7)^2))</f>
        <v>0</v>
      </c>
      <c r="M219" s="118" t="n">
        <f aca="false">IF($C219=0,0,-($C219+$V$7)/($V$6^2+($C219+$V$7)^2))</f>
        <v>0</v>
      </c>
      <c r="N219" s="118" t="n">
        <f aca="false">G219+I219</f>
        <v>0</v>
      </c>
      <c r="O219" s="118" t="n">
        <f aca="false">F219-H219</f>
        <v>0</v>
      </c>
      <c r="P219" s="118" t="n">
        <f aca="false">K219+M219</f>
        <v>0</v>
      </c>
      <c r="Q219" s="118" t="n">
        <f aca="false">J219-L219</f>
        <v>0</v>
      </c>
      <c r="R219" s="88" t="n">
        <f aca="false">0</f>
        <v>0</v>
      </c>
      <c r="S219" s="88" t="n">
        <f aca="false">0</f>
        <v>0</v>
      </c>
      <c r="T219" s="71" t="n">
        <f aca="false">E219</f>
        <v>0</v>
      </c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customFormat="false" ht="15" hidden="false" customHeight="false" outlineLevel="0" collapsed="false">
      <c r="A220" s="110" t="str">
        <f aca="false">"虚部"</f>
        <v>虚部</v>
      </c>
      <c r="B220" s="88" t="str">
        <f aca="false">IF(03_FRFデータ貼付!B97="","",03_FRFデータ貼付!A97)</f>
        <v/>
      </c>
      <c r="C220" s="89" t="n">
        <f aca="false">IF(03_FRFデータ貼付!B97="",0,03_FRFデータ貼付!G97)</f>
        <v>0</v>
      </c>
      <c r="D220" s="71" t="n">
        <f aca="false">IF(03_FRFデータ貼付!C97="",0,03_FRFデータ貼付!C97)</f>
        <v>0</v>
      </c>
      <c r="E220" s="71" t="n">
        <f aca="false">IF(03_FRFデータ貼付!D97="",0,03_FRFデータ貼付!D97)</f>
        <v>0</v>
      </c>
      <c r="F220" s="118" t="n">
        <f aca="false">IF($C220=0,0,$V$4/($V$4^2+($C220-$V$5)^2))</f>
        <v>0</v>
      </c>
      <c r="G220" s="118" t="n">
        <f aca="false">IF($C220=0,0,-($C220-$V$5)/($V$4^2+($C220-$V$5)^2))</f>
        <v>0</v>
      </c>
      <c r="H220" s="118" t="n">
        <f aca="false">IF($C220=0,0,$V$4/($V$4^2+($C220+$V$5)^2))</f>
        <v>0</v>
      </c>
      <c r="I220" s="118" t="n">
        <f aca="false">IF($C220=0,0,-($C220+$V$5)/($V$4^2+($C220+$V$5)^2))</f>
        <v>0</v>
      </c>
      <c r="J220" s="118" t="n">
        <f aca="false">IF($C220=0,0,$V$6/($V$6^2+($C220-$V$7)^2))</f>
        <v>0</v>
      </c>
      <c r="K220" s="118" t="n">
        <f aca="false">IF($C220=0,0,-($C220-$V$7)/($V$6^2+($C220-$V$7)^2))</f>
        <v>0</v>
      </c>
      <c r="L220" s="118" t="n">
        <f aca="false">IF($C220=0,0,$V$6/($V$6^2+($C220+$V$7)^2))</f>
        <v>0</v>
      </c>
      <c r="M220" s="118" t="n">
        <f aca="false">IF($C220=0,0,-($C220+$V$7)/($V$6^2+($C220+$V$7)^2))</f>
        <v>0</v>
      </c>
      <c r="N220" s="118" t="n">
        <f aca="false">G220+I220</f>
        <v>0</v>
      </c>
      <c r="O220" s="118" t="n">
        <f aca="false">F220-H220</f>
        <v>0</v>
      </c>
      <c r="P220" s="118" t="n">
        <f aca="false">K220+M220</f>
        <v>0</v>
      </c>
      <c r="Q220" s="118" t="n">
        <f aca="false">J220-L220</f>
        <v>0</v>
      </c>
      <c r="R220" s="88" t="n">
        <f aca="false">0</f>
        <v>0</v>
      </c>
      <c r="S220" s="88" t="n">
        <f aca="false">0</f>
        <v>0</v>
      </c>
      <c r="T220" s="71" t="n">
        <f aca="false">E220</f>
        <v>0</v>
      </c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customFormat="false" ht="15" hidden="false" customHeight="false" outlineLevel="0" collapsed="false">
      <c r="A221" s="110" t="str">
        <f aca="false">"虚部"</f>
        <v>虚部</v>
      </c>
      <c r="B221" s="88" t="str">
        <f aca="false">IF(03_FRFデータ貼付!B98="","",03_FRFデータ貼付!A98)</f>
        <v/>
      </c>
      <c r="C221" s="89" t="n">
        <f aca="false">IF(03_FRFデータ貼付!B98="",0,03_FRFデータ貼付!G98)</f>
        <v>0</v>
      </c>
      <c r="D221" s="71" t="n">
        <f aca="false">IF(03_FRFデータ貼付!C98="",0,03_FRFデータ貼付!C98)</f>
        <v>0</v>
      </c>
      <c r="E221" s="71" t="n">
        <f aca="false">IF(03_FRFデータ貼付!D98="",0,03_FRFデータ貼付!D98)</f>
        <v>0</v>
      </c>
      <c r="F221" s="118" t="n">
        <f aca="false">IF($C221=0,0,$V$4/($V$4^2+($C221-$V$5)^2))</f>
        <v>0</v>
      </c>
      <c r="G221" s="118" t="n">
        <f aca="false">IF($C221=0,0,-($C221-$V$5)/($V$4^2+($C221-$V$5)^2))</f>
        <v>0</v>
      </c>
      <c r="H221" s="118" t="n">
        <f aca="false">IF($C221=0,0,$V$4/($V$4^2+($C221+$V$5)^2))</f>
        <v>0</v>
      </c>
      <c r="I221" s="118" t="n">
        <f aca="false">IF($C221=0,0,-($C221+$V$5)/($V$4^2+($C221+$V$5)^2))</f>
        <v>0</v>
      </c>
      <c r="J221" s="118" t="n">
        <f aca="false">IF($C221=0,0,$V$6/($V$6^2+($C221-$V$7)^2))</f>
        <v>0</v>
      </c>
      <c r="K221" s="118" t="n">
        <f aca="false">IF($C221=0,0,-($C221-$V$7)/($V$6^2+($C221-$V$7)^2))</f>
        <v>0</v>
      </c>
      <c r="L221" s="118" t="n">
        <f aca="false">IF($C221=0,0,$V$6/($V$6^2+($C221+$V$7)^2))</f>
        <v>0</v>
      </c>
      <c r="M221" s="118" t="n">
        <f aca="false">IF($C221=0,0,-($C221+$V$7)/($V$6^2+($C221+$V$7)^2))</f>
        <v>0</v>
      </c>
      <c r="N221" s="118" t="n">
        <f aca="false">G221+I221</f>
        <v>0</v>
      </c>
      <c r="O221" s="118" t="n">
        <f aca="false">F221-H221</f>
        <v>0</v>
      </c>
      <c r="P221" s="118" t="n">
        <f aca="false">K221+M221</f>
        <v>0</v>
      </c>
      <c r="Q221" s="118" t="n">
        <f aca="false">J221-L221</f>
        <v>0</v>
      </c>
      <c r="R221" s="88" t="n">
        <f aca="false">0</f>
        <v>0</v>
      </c>
      <c r="S221" s="88" t="n">
        <f aca="false">0</f>
        <v>0</v>
      </c>
      <c r="T221" s="71" t="n">
        <f aca="false">E221</f>
        <v>0</v>
      </c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customFormat="false" ht="15" hidden="false" customHeight="false" outlineLevel="0" collapsed="false">
      <c r="A222" s="110" t="str">
        <f aca="false">"虚部"</f>
        <v>虚部</v>
      </c>
      <c r="B222" s="88" t="str">
        <f aca="false">IF(03_FRFデータ貼付!B99="","",03_FRFデータ貼付!A99)</f>
        <v/>
      </c>
      <c r="C222" s="89" t="n">
        <f aca="false">IF(03_FRFデータ貼付!B99="",0,03_FRFデータ貼付!G99)</f>
        <v>0</v>
      </c>
      <c r="D222" s="71" t="n">
        <f aca="false">IF(03_FRFデータ貼付!C99="",0,03_FRFデータ貼付!C99)</f>
        <v>0</v>
      </c>
      <c r="E222" s="71" t="n">
        <f aca="false">IF(03_FRFデータ貼付!D99="",0,03_FRFデータ貼付!D99)</f>
        <v>0</v>
      </c>
      <c r="F222" s="118" t="n">
        <f aca="false">IF($C222=0,0,$V$4/($V$4^2+($C222-$V$5)^2))</f>
        <v>0</v>
      </c>
      <c r="G222" s="118" t="n">
        <f aca="false">IF($C222=0,0,-($C222-$V$5)/($V$4^2+($C222-$V$5)^2))</f>
        <v>0</v>
      </c>
      <c r="H222" s="118" t="n">
        <f aca="false">IF($C222=0,0,$V$4/($V$4^2+($C222+$V$5)^2))</f>
        <v>0</v>
      </c>
      <c r="I222" s="118" t="n">
        <f aca="false">IF($C222=0,0,-($C222+$V$5)/($V$4^2+($C222+$V$5)^2))</f>
        <v>0</v>
      </c>
      <c r="J222" s="118" t="n">
        <f aca="false">IF($C222=0,0,$V$6/($V$6^2+($C222-$V$7)^2))</f>
        <v>0</v>
      </c>
      <c r="K222" s="118" t="n">
        <f aca="false">IF($C222=0,0,-($C222-$V$7)/($V$6^2+($C222-$V$7)^2))</f>
        <v>0</v>
      </c>
      <c r="L222" s="118" t="n">
        <f aca="false">IF($C222=0,0,$V$6/($V$6^2+($C222+$V$7)^2))</f>
        <v>0</v>
      </c>
      <c r="M222" s="118" t="n">
        <f aca="false">IF($C222=0,0,-($C222+$V$7)/($V$6^2+($C222+$V$7)^2))</f>
        <v>0</v>
      </c>
      <c r="N222" s="118" t="n">
        <f aca="false">G222+I222</f>
        <v>0</v>
      </c>
      <c r="O222" s="118" t="n">
        <f aca="false">F222-H222</f>
        <v>0</v>
      </c>
      <c r="P222" s="118" t="n">
        <f aca="false">K222+M222</f>
        <v>0</v>
      </c>
      <c r="Q222" s="118" t="n">
        <f aca="false">J222-L222</f>
        <v>0</v>
      </c>
      <c r="R222" s="88" t="n">
        <f aca="false">0</f>
        <v>0</v>
      </c>
      <c r="S222" s="88" t="n">
        <f aca="false">0</f>
        <v>0</v>
      </c>
      <c r="T222" s="71" t="n">
        <f aca="false">E222</f>
        <v>0</v>
      </c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customFormat="false" ht="15" hidden="false" customHeight="false" outlineLevel="0" collapsed="false">
      <c r="A223" s="110" t="str">
        <f aca="false">"虚部"</f>
        <v>虚部</v>
      </c>
      <c r="B223" s="88" t="str">
        <f aca="false">IF(03_FRFデータ貼付!B100="","",03_FRFデータ貼付!A100)</f>
        <v/>
      </c>
      <c r="C223" s="89" t="n">
        <f aca="false">IF(03_FRFデータ貼付!B100="",0,03_FRFデータ貼付!G100)</f>
        <v>0</v>
      </c>
      <c r="D223" s="71" t="n">
        <f aca="false">IF(03_FRFデータ貼付!C100="",0,03_FRFデータ貼付!C100)</f>
        <v>0</v>
      </c>
      <c r="E223" s="71" t="n">
        <f aca="false">IF(03_FRFデータ貼付!D100="",0,03_FRFデータ貼付!D100)</f>
        <v>0</v>
      </c>
      <c r="F223" s="118" t="n">
        <f aca="false">IF($C223=0,0,$V$4/($V$4^2+($C223-$V$5)^2))</f>
        <v>0</v>
      </c>
      <c r="G223" s="118" t="n">
        <f aca="false">IF($C223=0,0,-($C223-$V$5)/($V$4^2+($C223-$V$5)^2))</f>
        <v>0</v>
      </c>
      <c r="H223" s="118" t="n">
        <f aca="false">IF($C223=0,0,$V$4/($V$4^2+($C223+$V$5)^2))</f>
        <v>0</v>
      </c>
      <c r="I223" s="118" t="n">
        <f aca="false">IF($C223=0,0,-($C223+$V$5)/($V$4^2+($C223+$V$5)^2))</f>
        <v>0</v>
      </c>
      <c r="J223" s="118" t="n">
        <f aca="false">IF($C223=0,0,$V$6/($V$6^2+($C223-$V$7)^2))</f>
        <v>0</v>
      </c>
      <c r="K223" s="118" t="n">
        <f aca="false">IF($C223=0,0,-($C223-$V$7)/($V$6^2+($C223-$V$7)^2))</f>
        <v>0</v>
      </c>
      <c r="L223" s="118" t="n">
        <f aca="false">IF($C223=0,0,$V$6/($V$6^2+($C223+$V$7)^2))</f>
        <v>0</v>
      </c>
      <c r="M223" s="118" t="n">
        <f aca="false">IF($C223=0,0,-($C223+$V$7)/($V$6^2+($C223+$V$7)^2))</f>
        <v>0</v>
      </c>
      <c r="N223" s="118" t="n">
        <f aca="false">G223+I223</f>
        <v>0</v>
      </c>
      <c r="O223" s="118" t="n">
        <f aca="false">F223-H223</f>
        <v>0</v>
      </c>
      <c r="P223" s="118" t="n">
        <f aca="false">K223+M223</f>
        <v>0</v>
      </c>
      <c r="Q223" s="118" t="n">
        <f aca="false">J223-L223</f>
        <v>0</v>
      </c>
      <c r="R223" s="88" t="n">
        <f aca="false">0</f>
        <v>0</v>
      </c>
      <c r="S223" s="88" t="n">
        <f aca="false">0</f>
        <v>0</v>
      </c>
      <c r="T223" s="71" t="n">
        <f aca="false">E223</f>
        <v>0</v>
      </c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customFormat="false" ht="15" hidden="false" customHeight="false" outlineLevel="0" collapsed="false">
      <c r="A224" s="110" t="str">
        <f aca="false">"虚部"</f>
        <v>虚部</v>
      </c>
      <c r="B224" s="88" t="str">
        <f aca="false">IF(03_FRFデータ貼付!B101="","",03_FRFデータ貼付!A101)</f>
        <v/>
      </c>
      <c r="C224" s="89" t="n">
        <f aca="false">IF(03_FRFデータ貼付!B101="",0,03_FRFデータ貼付!G101)</f>
        <v>0</v>
      </c>
      <c r="D224" s="71" t="n">
        <f aca="false">IF(03_FRFデータ貼付!C101="",0,03_FRFデータ貼付!C101)</f>
        <v>0</v>
      </c>
      <c r="E224" s="71" t="n">
        <f aca="false">IF(03_FRFデータ貼付!D101="",0,03_FRFデータ貼付!D101)</f>
        <v>0</v>
      </c>
      <c r="F224" s="118" t="n">
        <f aca="false">IF($C224=0,0,$V$4/($V$4^2+($C224-$V$5)^2))</f>
        <v>0</v>
      </c>
      <c r="G224" s="118" t="n">
        <f aca="false">IF($C224=0,0,-($C224-$V$5)/($V$4^2+($C224-$V$5)^2))</f>
        <v>0</v>
      </c>
      <c r="H224" s="118" t="n">
        <f aca="false">IF($C224=0,0,$V$4/($V$4^2+($C224+$V$5)^2))</f>
        <v>0</v>
      </c>
      <c r="I224" s="118" t="n">
        <f aca="false">IF($C224=0,0,-($C224+$V$5)/($V$4^2+($C224+$V$5)^2))</f>
        <v>0</v>
      </c>
      <c r="J224" s="118" t="n">
        <f aca="false">IF($C224=0,0,$V$6/($V$6^2+($C224-$V$7)^2))</f>
        <v>0</v>
      </c>
      <c r="K224" s="118" t="n">
        <f aca="false">IF($C224=0,0,-($C224-$V$7)/($V$6^2+($C224-$V$7)^2))</f>
        <v>0</v>
      </c>
      <c r="L224" s="118" t="n">
        <f aca="false">IF($C224=0,0,$V$6/($V$6^2+($C224+$V$7)^2))</f>
        <v>0</v>
      </c>
      <c r="M224" s="118" t="n">
        <f aca="false">IF($C224=0,0,-($C224+$V$7)/($V$6^2+($C224+$V$7)^2))</f>
        <v>0</v>
      </c>
      <c r="N224" s="118" t="n">
        <f aca="false">G224+I224</f>
        <v>0</v>
      </c>
      <c r="O224" s="118" t="n">
        <f aca="false">F224-H224</f>
        <v>0</v>
      </c>
      <c r="P224" s="118" t="n">
        <f aca="false">K224+M224</f>
        <v>0</v>
      </c>
      <c r="Q224" s="118" t="n">
        <f aca="false">J224-L224</f>
        <v>0</v>
      </c>
      <c r="R224" s="88" t="n">
        <f aca="false">0</f>
        <v>0</v>
      </c>
      <c r="S224" s="88" t="n">
        <f aca="false">0</f>
        <v>0</v>
      </c>
      <c r="T224" s="71" t="n">
        <f aca="false">E224</f>
        <v>0</v>
      </c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customFormat="false" ht="15" hidden="false" customHeight="false" outlineLevel="0" collapsed="false">
      <c r="A225" s="110" t="str">
        <f aca="false">"虚部"</f>
        <v>虚部</v>
      </c>
      <c r="B225" s="88" t="str">
        <f aca="false">IF(03_FRFデータ貼付!B102="","",03_FRFデータ貼付!A102)</f>
        <v/>
      </c>
      <c r="C225" s="89" t="n">
        <f aca="false">IF(03_FRFデータ貼付!B102="",0,03_FRFデータ貼付!G102)</f>
        <v>0</v>
      </c>
      <c r="D225" s="71" t="n">
        <f aca="false">IF(03_FRFデータ貼付!C102="",0,03_FRFデータ貼付!C102)</f>
        <v>0</v>
      </c>
      <c r="E225" s="71" t="n">
        <f aca="false">IF(03_FRFデータ貼付!D102="",0,03_FRFデータ貼付!D102)</f>
        <v>0</v>
      </c>
      <c r="F225" s="118" t="n">
        <f aca="false">IF($C225=0,0,$V$4/($V$4^2+($C225-$V$5)^2))</f>
        <v>0</v>
      </c>
      <c r="G225" s="118" t="n">
        <f aca="false">IF($C225=0,0,-($C225-$V$5)/($V$4^2+($C225-$V$5)^2))</f>
        <v>0</v>
      </c>
      <c r="H225" s="118" t="n">
        <f aca="false">IF($C225=0,0,$V$4/($V$4^2+($C225+$V$5)^2))</f>
        <v>0</v>
      </c>
      <c r="I225" s="118" t="n">
        <f aca="false">IF($C225=0,0,-($C225+$V$5)/($V$4^2+($C225+$V$5)^2))</f>
        <v>0</v>
      </c>
      <c r="J225" s="118" t="n">
        <f aca="false">IF($C225=0,0,$V$6/($V$6^2+($C225-$V$7)^2))</f>
        <v>0</v>
      </c>
      <c r="K225" s="118" t="n">
        <f aca="false">IF($C225=0,0,-($C225-$V$7)/($V$6^2+($C225-$V$7)^2))</f>
        <v>0</v>
      </c>
      <c r="L225" s="118" t="n">
        <f aca="false">IF($C225=0,0,$V$6/($V$6^2+($C225+$V$7)^2))</f>
        <v>0</v>
      </c>
      <c r="M225" s="118" t="n">
        <f aca="false">IF($C225=0,0,-($C225+$V$7)/($V$6^2+($C225+$V$7)^2))</f>
        <v>0</v>
      </c>
      <c r="N225" s="118" t="n">
        <f aca="false">G225+I225</f>
        <v>0</v>
      </c>
      <c r="O225" s="118" t="n">
        <f aca="false">F225-H225</f>
        <v>0</v>
      </c>
      <c r="P225" s="118" t="n">
        <f aca="false">K225+M225</f>
        <v>0</v>
      </c>
      <c r="Q225" s="118" t="n">
        <f aca="false">J225-L225</f>
        <v>0</v>
      </c>
      <c r="R225" s="88" t="n">
        <f aca="false">0</f>
        <v>0</v>
      </c>
      <c r="S225" s="88" t="n">
        <f aca="false">0</f>
        <v>0</v>
      </c>
      <c r="T225" s="71" t="n">
        <f aca="false">E225</f>
        <v>0</v>
      </c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customFormat="false" ht="15" hidden="false" customHeight="false" outlineLevel="0" collapsed="false">
      <c r="A226" s="110" t="str">
        <f aca="false">"虚部"</f>
        <v>虚部</v>
      </c>
      <c r="B226" s="88" t="str">
        <f aca="false">IF(03_FRFデータ貼付!B103="","",03_FRFデータ貼付!A103)</f>
        <v/>
      </c>
      <c r="C226" s="89" t="n">
        <f aca="false">IF(03_FRFデータ貼付!B103="",0,03_FRFデータ貼付!G103)</f>
        <v>0</v>
      </c>
      <c r="D226" s="71" t="n">
        <f aca="false">IF(03_FRFデータ貼付!C103="",0,03_FRFデータ貼付!C103)</f>
        <v>0</v>
      </c>
      <c r="E226" s="71" t="n">
        <f aca="false">IF(03_FRFデータ貼付!D103="",0,03_FRFデータ貼付!D103)</f>
        <v>0</v>
      </c>
      <c r="F226" s="118" t="n">
        <f aca="false">IF($C226=0,0,$V$4/($V$4^2+($C226-$V$5)^2))</f>
        <v>0</v>
      </c>
      <c r="G226" s="118" t="n">
        <f aca="false">IF($C226=0,0,-($C226-$V$5)/($V$4^2+($C226-$V$5)^2))</f>
        <v>0</v>
      </c>
      <c r="H226" s="118" t="n">
        <f aca="false">IF($C226=0,0,$V$4/($V$4^2+($C226+$V$5)^2))</f>
        <v>0</v>
      </c>
      <c r="I226" s="118" t="n">
        <f aca="false">IF($C226=0,0,-($C226+$V$5)/($V$4^2+($C226+$V$5)^2))</f>
        <v>0</v>
      </c>
      <c r="J226" s="118" t="n">
        <f aca="false">IF($C226=0,0,$V$6/($V$6^2+($C226-$V$7)^2))</f>
        <v>0</v>
      </c>
      <c r="K226" s="118" t="n">
        <f aca="false">IF($C226=0,0,-($C226-$V$7)/($V$6^2+($C226-$V$7)^2))</f>
        <v>0</v>
      </c>
      <c r="L226" s="118" t="n">
        <f aca="false">IF($C226=0,0,$V$6/($V$6^2+($C226+$V$7)^2))</f>
        <v>0</v>
      </c>
      <c r="M226" s="118" t="n">
        <f aca="false">IF($C226=0,0,-($C226+$V$7)/($V$6^2+($C226+$V$7)^2))</f>
        <v>0</v>
      </c>
      <c r="N226" s="118" t="n">
        <f aca="false">G226+I226</f>
        <v>0</v>
      </c>
      <c r="O226" s="118" t="n">
        <f aca="false">F226-H226</f>
        <v>0</v>
      </c>
      <c r="P226" s="118" t="n">
        <f aca="false">K226+M226</f>
        <v>0</v>
      </c>
      <c r="Q226" s="118" t="n">
        <f aca="false">J226-L226</f>
        <v>0</v>
      </c>
      <c r="R226" s="88" t="n">
        <f aca="false">0</f>
        <v>0</v>
      </c>
      <c r="S226" s="88" t="n">
        <f aca="false">0</f>
        <v>0</v>
      </c>
      <c r="T226" s="71" t="n">
        <f aca="false">E226</f>
        <v>0</v>
      </c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customFormat="false" ht="15" hidden="false" customHeight="false" outlineLevel="0" collapsed="false">
      <c r="A227" s="110" t="str">
        <f aca="false">"虚部"</f>
        <v>虚部</v>
      </c>
      <c r="B227" s="88" t="str">
        <f aca="false">IF(03_FRFデータ貼付!B104="","",03_FRFデータ貼付!A104)</f>
        <v/>
      </c>
      <c r="C227" s="89" t="n">
        <f aca="false">IF(03_FRFデータ貼付!B104="",0,03_FRFデータ貼付!G104)</f>
        <v>0</v>
      </c>
      <c r="D227" s="71" t="n">
        <f aca="false">IF(03_FRFデータ貼付!C104="",0,03_FRFデータ貼付!C104)</f>
        <v>0</v>
      </c>
      <c r="E227" s="71" t="n">
        <f aca="false">IF(03_FRFデータ貼付!D104="",0,03_FRFデータ貼付!D104)</f>
        <v>0</v>
      </c>
      <c r="F227" s="118" t="n">
        <f aca="false">IF($C227=0,0,$V$4/($V$4^2+($C227-$V$5)^2))</f>
        <v>0</v>
      </c>
      <c r="G227" s="118" t="n">
        <f aca="false">IF($C227=0,0,-($C227-$V$5)/($V$4^2+($C227-$V$5)^2))</f>
        <v>0</v>
      </c>
      <c r="H227" s="118" t="n">
        <f aca="false">IF($C227=0,0,$V$4/($V$4^2+($C227+$V$5)^2))</f>
        <v>0</v>
      </c>
      <c r="I227" s="118" t="n">
        <f aca="false">IF($C227=0,0,-($C227+$V$5)/($V$4^2+($C227+$V$5)^2))</f>
        <v>0</v>
      </c>
      <c r="J227" s="118" t="n">
        <f aca="false">IF($C227=0,0,$V$6/($V$6^2+($C227-$V$7)^2))</f>
        <v>0</v>
      </c>
      <c r="K227" s="118" t="n">
        <f aca="false">IF($C227=0,0,-($C227-$V$7)/($V$6^2+($C227-$V$7)^2))</f>
        <v>0</v>
      </c>
      <c r="L227" s="118" t="n">
        <f aca="false">IF($C227=0,0,$V$6/($V$6^2+($C227+$V$7)^2))</f>
        <v>0</v>
      </c>
      <c r="M227" s="118" t="n">
        <f aca="false">IF($C227=0,0,-($C227+$V$7)/($V$6^2+($C227+$V$7)^2))</f>
        <v>0</v>
      </c>
      <c r="N227" s="118" t="n">
        <f aca="false">G227+I227</f>
        <v>0</v>
      </c>
      <c r="O227" s="118" t="n">
        <f aca="false">F227-H227</f>
        <v>0</v>
      </c>
      <c r="P227" s="118" t="n">
        <f aca="false">K227+M227</f>
        <v>0</v>
      </c>
      <c r="Q227" s="118" t="n">
        <f aca="false">J227-L227</f>
        <v>0</v>
      </c>
      <c r="R227" s="88" t="n">
        <f aca="false">0</f>
        <v>0</v>
      </c>
      <c r="S227" s="88" t="n">
        <f aca="false">0</f>
        <v>0</v>
      </c>
      <c r="T227" s="71" t="n">
        <f aca="false">E227</f>
        <v>0</v>
      </c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customFormat="false" ht="15" hidden="false" customHeight="false" outlineLevel="0" collapsed="false">
      <c r="A228" s="110" t="str">
        <f aca="false">"虚部"</f>
        <v>虚部</v>
      </c>
      <c r="B228" s="88" t="str">
        <f aca="false">IF(03_FRFデータ貼付!B105="","",03_FRFデータ貼付!A105)</f>
        <v/>
      </c>
      <c r="C228" s="89" t="n">
        <f aca="false">IF(03_FRFデータ貼付!B105="",0,03_FRFデータ貼付!G105)</f>
        <v>0</v>
      </c>
      <c r="D228" s="71" t="n">
        <f aca="false">IF(03_FRFデータ貼付!C105="",0,03_FRFデータ貼付!C105)</f>
        <v>0</v>
      </c>
      <c r="E228" s="71" t="n">
        <f aca="false">IF(03_FRFデータ貼付!D105="",0,03_FRFデータ貼付!D105)</f>
        <v>0</v>
      </c>
      <c r="F228" s="118" t="n">
        <f aca="false">IF($C228=0,0,$V$4/($V$4^2+($C228-$V$5)^2))</f>
        <v>0</v>
      </c>
      <c r="G228" s="118" t="n">
        <f aca="false">IF($C228=0,0,-($C228-$V$5)/($V$4^2+($C228-$V$5)^2))</f>
        <v>0</v>
      </c>
      <c r="H228" s="118" t="n">
        <f aca="false">IF($C228=0,0,$V$4/($V$4^2+($C228+$V$5)^2))</f>
        <v>0</v>
      </c>
      <c r="I228" s="118" t="n">
        <f aca="false">IF($C228=0,0,-($C228+$V$5)/($V$4^2+($C228+$V$5)^2))</f>
        <v>0</v>
      </c>
      <c r="J228" s="118" t="n">
        <f aca="false">IF($C228=0,0,$V$6/($V$6^2+($C228-$V$7)^2))</f>
        <v>0</v>
      </c>
      <c r="K228" s="118" t="n">
        <f aca="false">IF($C228=0,0,-($C228-$V$7)/($V$6^2+($C228-$V$7)^2))</f>
        <v>0</v>
      </c>
      <c r="L228" s="118" t="n">
        <f aca="false">IF($C228=0,0,$V$6/($V$6^2+($C228+$V$7)^2))</f>
        <v>0</v>
      </c>
      <c r="M228" s="118" t="n">
        <f aca="false">IF($C228=0,0,-($C228+$V$7)/($V$6^2+($C228+$V$7)^2))</f>
        <v>0</v>
      </c>
      <c r="N228" s="118" t="n">
        <f aca="false">G228+I228</f>
        <v>0</v>
      </c>
      <c r="O228" s="118" t="n">
        <f aca="false">F228-H228</f>
        <v>0</v>
      </c>
      <c r="P228" s="118" t="n">
        <f aca="false">K228+M228</f>
        <v>0</v>
      </c>
      <c r="Q228" s="118" t="n">
        <f aca="false">J228-L228</f>
        <v>0</v>
      </c>
      <c r="R228" s="88" t="n">
        <f aca="false">0</f>
        <v>0</v>
      </c>
      <c r="S228" s="88" t="n">
        <f aca="false">0</f>
        <v>0</v>
      </c>
      <c r="T228" s="71" t="n">
        <f aca="false">E228</f>
        <v>0</v>
      </c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customFormat="false" ht="15" hidden="false" customHeight="false" outlineLevel="0" collapsed="false">
      <c r="A229" s="110" t="str">
        <f aca="false">"虚部"</f>
        <v>虚部</v>
      </c>
      <c r="B229" s="88" t="str">
        <f aca="false">IF(03_FRFデータ貼付!B106="","",03_FRFデータ貼付!A106)</f>
        <v/>
      </c>
      <c r="C229" s="89" t="n">
        <f aca="false">IF(03_FRFデータ貼付!B106="",0,03_FRFデータ貼付!G106)</f>
        <v>0</v>
      </c>
      <c r="D229" s="71" t="n">
        <f aca="false">IF(03_FRFデータ貼付!C106="",0,03_FRFデータ貼付!C106)</f>
        <v>0</v>
      </c>
      <c r="E229" s="71" t="n">
        <f aca="false">IF(03_FRFデータ貼付!D106="",0,03_FRFデータ貼付!D106)</f>
        <v>0</v>
      </c>
      <c r="F229" s="118" t="n">
        <f aca="false">IF($C229=0,0,$V$4/($V$4^2+($C229-$V$5)^2))</f>
        <v>0</v>
      </c>
      <c r="G229" s="118" t="n">
        <f aca="false">IF($C229=0,0,-($C229-$V$5)/($V$4^2+($C229-$V$5)^2))</f>
        <v>0</v>
      </c>
      <c r="H229" s="118" t="n">
        <f aca="false">IF($C229=0,0,$V$4/($V$4^2+($C229+$V$5)^2))</f>
        <v>0</v>
      </c>
      <c r="I229" s="118" t="n">
        <f aca="false">IF($C229=0,0,-($C229+$V$5)/($V$4^2+($C229+$V$5)^2))</f>
        <v>0</v>
      </c>
      <c r="J229" s="118" t="n">
        <f aca="false">IF($C229=0,0,$V$6/($V$6^2+($C229-$V$7)^2))</f>
        <v>0</v>
      </c>
      <c r="K229" s="118" t="n">
        <f aca="false">IF($C229=0,0,-($C229-$V$7)/($V$6^2+($C229-$V$7)^2))</f>
        <v>0</v>
      </c>
      <c r="L229" s="118" t="n">
        <f aca="false">IF($C229=0,0,$V$6/($V$6^2+($C229+$V$7)^2))</f>
        <v>0</v>
      </c>
      <c r="M229" s="118" t="n">
        <f aca="false">IF($C229=0,0,-($C229+$V$7)/($V$6^2+($C229+$V$7)^2))</f>
        <v>0</v>
      </c>
      <c r="N229" s="118" t="n">
        <f aca="false">G229+I229</f>
        <v>0</v>
      </c>
      <c r="O229" s="118" t="n">
        <f aca="false">F229-H229</f>
        <v>0</v>
      </c>
      <c r="P229" s="118" t="n">
        <f aca="false">K229+M229</f>
        <v>0</v>
      </c>
      <c r="Q229" s="118" t="n">
        <f aca="false">J229-L229</f>
        <v>0</v>
      </c>
      <c r="R229" s="88" t="n">
        <f aca="false">0</f>
        <v>0</v>
      </c>
      <c r="S229" s="88" t="n">
        <f aca="false">0</f>
        <v>0</v>
      </c>
      <c r="T229" s="71" t="n">
        <f aca="false">E229</f>
        <v>0</v>
      </c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customFormat="false" ht="15" hidden="false" customHeight="false" outlineLevel="0" collapsed="false">
      <c r="A230" s="110" t="str">
        <f aca="false">"虚部"</f>
        <v>虚部</v>
      </c>
      <c r="B230" s="88" t="str">
        <f aca="false">IF(03_FRFデータ貼付!B107="","",03_FRFデータ貼付!A107)</f>
        <v/>
      </c>
      <c r="C230" s="89" t="n">
        <f aca="false">IF(03_FRFデータ貼付!B107="",0,03_FRFデータ貼付!G107)</f>
        <v>0</v>
      </c>
      <c r="D230" s="71" t="n">
        <f aca="false">IF(03_FRFデータ貼付!C107="",0,03_FRFデータ貼付!C107)</f>
        <v>0</v>
      </c>
      <c r="E230" s="71" t="n">
        <f aca="false">IF(03_FRFデータ貼付!D107="",0,03_FRFデータ貼付!D107)</f>
        <v>0</v>
      </c>
      <c r="F230" s="118" t="n">
        <f aca="false">IF($C230=0,0,$V$4/($V$4^2+($C230-$V$5)^2))</f>
        <v>0</v>
      </c>
      <c r="G230" s="118" t="n">
        <f aca="false">IF($C230=0,0,-($C230-$V$5)/($V$4^2+($C230-$V$5)^2))</f>
        <v>0</v>
      </c>
      <c r="H230" s="118" t="n">
        <f aca="false">IF($C230=0,0,$V$4/($V$4^2+($C230+$V$5)^2))</f>
        <v>0</v>
      </c>
      <c r="I230" s="118" t="n">
        <f aca="false">IF($C230=0,0,-($C230+$V$5)/($V$4^2+($C230+$V$5)^2))</f>
        <v>0</v>
      </c>
      <c r="J230" s="118" t="n">
        <f aca="false">IF($C230=0,0,$V$6/($V$6^2+($C230-$V$7)^2))</f>
        <v>0</v>
      </c>
      <c r="K230" s="118" t="n">
        <f aca="false">IF($C230=0,0,-($C230-$V$7)/($V$6^2+($C230-$V$7)^2))</f>
        <v>0</v>
      </c>
      <c r="L230" s="118" t="n">
        <f aca="false">IF($C230=0,0,$V$6/($V$6^2+($C230+$V$7)^2))</f>
        <v>0</v>
      </c>
      <c r="M230" s="118" t="n">
        <f aca="false">IF($C230=0,0,-($C230+$V$7)/($V$6^2+($C230+$V$7)^2))</f>
        <v>0</v>
      </c>
      <c r="N230" s="118" t="n">
        <f aca="false">G230+I230</f>
        <v>0</v>
      </c>
      <c r="O230" s="118" t="n">
        <f aca="false">F230-H230</f>
        <v>0</v>
      </c>
      <c r="P230" s="118" t="n">
        <f aca="false">K230+M230</f>
        <v>0</v>
      </c>
      <c r="Q230" s="118" t="n">
        <f aca="false">J230-L230</f>
        <v>0</v>
      </c>
      <c r="R230" s="88" t="n">
        <f aca="false">0</f>
        <v>0</v>
      </c>
      <c r="S230" s="88" t="n">
        <f aca="false">0</f>
        <v>0</v>
      </c>
      <c r="T230" s="71" t="n">
        <f aca="false">E230</f>
        <v>0</v>
      </c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customFormat="false" ht="15" hidden="false" customHeight="false" outlineLevel="0" collapsed="false">
      <c r="A231" s="110" t="str">
        <f aca="false">"虚部"</f>
        <v>虚部</v>
      </c>
      <c r="B231" s="88" t="str">
        <f aca="false">IF(03_FRFデータ貼付!B108="","",03_FRFデータ貼付!A108)</f>
        <v/>
      </c>
      <c r="C231" s="89" t="n">
        <f aca="false">IF(03_FRFデータ貼付!B108="",0,03_FRFデータ貼付!G108)</f>
        <v>0</v>
      </c>
      <c r="D231" s="71" t="n">
        <f aca="false">IF(03_FRFデータ貼付!C108="",0,03_FRFデータ貼付!C108)</f>
        <v>0</v>
      </c>
      <c r="E231" s="71" t="n">
        <f aca="false">IF(03_FRFデータ貼付!D108="",0,03_FRFデータ貼付!D108)</f>
        <v>0</v>
      </c>
      <c r="F231" s="118" t="n">
        <f aca="false">IF($C231=0,0,$V$4/($V$4^2+($C231-$V$5)^2))</f>
        <v>0</v>
      </c>
      <c r="G231" s="118" t="n">
        <f aca="false">IF($C231=0,0,-($C231-$V$5)/($V$4^2+($C231-$V$5)^2))</f>
        <v>0</v>
      </c>
      <c r="H231" s="118" t="n">
        <f aca="false">IF($C231=0,0,$V$4/($V$4^2+($C231+$V$5)^2))</f>
        <v>0</v>
      </c>
      <c r="I231" s="118" t="n">
        <f aca="false">IF($C231=0,0,-($C231+$V$5)/($V$4^2+($C231+$V$5)^2))</f>
        <v>0</v>
      </c>
      <c r="J231" s="118" t="n">
        <f aca="false">IF($C231=0,0,$V$6/($V$6^2+($C231-$V$7)^2))</f>
        <v>0</v>
      </c>
      <c r="K231" s="118" t="n">
        <f aca="false">IF($C231=0,0,-($C231-$V$7)/($V$6^2+($C231-$V$7)^2))</f>
        <v>0</v>
      </c>
      <c r="L231" s="118" t="n">
        <f aca="false">IF($C231=0,0,$V$6/($V$6^2+($C231+$V$7)^2))</f>
        <v>0</v>
      </c>
      <c r="M231" s="118" t="n">
        <f aca="false">IF($C231=0,0,-($C231+$V$7)/($V$6^2+($C231+$V$7)^2))</f>
        <v>0</v>
      </c>
      <c r="N231" s="118" t="n">
        <f aca="false">G231+I231</f>
        <v>0</v>
      </c>
      <c r="O231" s="118" t="n">
        <f aca="false">F231-H231</f>
        <v>0</v>
      </c>
      <c r="P231" s="118" t="n">
        <f aca="false">K231+M231</f>
        <v>0</v>
      </c>
      <c r="Q231" s="118" t="n">
        <f aca="false">J231-L231</f>
        <v>0</v>
      </c>
      <c r="R231" s="88" t="n">
        <f aca="false">0</f>
        <v>0</v>
      </c>
      <c r="S231" s="88" t="n">
        <f aca="false">0</f>
        <v>0</v>
      </c>
      <c r="T231" s="71" t="n">
        <f aca="false">E231</f>
        <v>0</v>
      </c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customFormat="false" ht="15" hidden="false" customHeight="false" outlineLevel="0" collapsed="false">
      <c r="A232" s="110" t="str">
        <f aca="false">"虚部"</f>
        <v>虚部</v>
      </c>
      <c r="B232" s="88" t="str">
        <f aca="false">IF(03_FRFデータ貼付!B109="","",03_FRFデータ貼付!A109)</f>
        <v/>
      </c>
      <c r="C232" s="89" t="n">
        <f aca="false">IF(03_FRFデータ貼付!B109="",0,03_FRFデータ貼付!G109)</f>
        <v>0</v>
      </c>
      <c r="D232" s="71" t="n">
        <f aca="false">IF(03_FRFデータ貼付!C109="",0,03_FRFデータ貼付!C109)</f>
        <v>0</v>
      </c>
      <c r="E232" s="71" t="n">
        <f aca="false">IF(03_FRFデータ貼付!D109="",0,03_FRFデータ貼付!D109)</f>
        <v>0</v>
      </c>
      <c r="F232" s="118" t="n">
        <f aca="false">IF($C232=0,0,$V$4/($V$4^2+($C232-$V$5)^2))</f>
        <v>0</v>
      </c>
      <c r="G232" s="118" t="n">
        <f aca="false">IF($C232=0,0,-($C232-$V$5)/($V$4^2+($C232-$V$5)^2))</f>
        <v>0</v>
      </c>
      <c r="H232" s="118" t="n">
        <f aca="false">IF($C232=0,0,$V$4/($V$4^2+($C232+$V$5)^2))</f>
        <v>0</v>
      </c>
      <c r="I232" s="118" t="n">
        <f aca="false">IF($C232=0,0,-($C232+$V$5)/($V$4^2+($C232+$V$5)^2))</f>
        <v>0</v>
      </c>
      <c r="J232" s="118" t="n">
        <f aca="false">IF($C232=0,0,$V$6/($V$6^2+($C232-$V$7)^2))</f>
        <v>0</v>
      </c>
      <c r="K232" s="118" t="n">
        <f aca="false">IF($C232=0,0,-($C232-$V$7)/($V$6^2+($C232-$V$7)^2))</f>
        <v>0</v>
      </c>
      <c r="L232" s="118" t="n">
        <f aca="false">IF($C232=0,0,$V$6/($V$6^2+($C232+$V$7)^2))</f>
        <v>0</v>
      </c>
      <c r="M232" s="118" t="n">
        <f aca="false">IF($C232=0,0,-($C232+$V$7)/($V$6^2+($C232+$V$7)^2))</f>
        <v>0</v>
      </c>
      <c r="N232" s="118" t="n">
        <f aca="false">G232+I232</f>
        <v>0</v>
      </c>
      <c r="O232" s="118" t="n">
        <f aca="false">F232-H232</f>
        <v>0</v>
      </c>
      <c r="P232" s="118" t="n">
        <f aca="false">K232+M232</f>
        <v>0</v>
      </c>
      <c r="Q232" s="118" t="n">
        <f aca="false">J232-L232</f>
        <v>0</v>
      </c>
      <c r="R232" s="88" t="n">
        <f aca="false">0</f>
        <v>0</v>
      </c>
      <c r="S232" s="88" t="n">
        <f aca="false">0</f>
        <v>0</v>
      </c>
      <c r="T232" s="71" t="n">
        <f aca="false">E232</f>
        <v>0</v>
      </c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customFormat="false" ht="15" hidden="false" customHeight="false" outlineLevel="0" collapsed="false">
      <c r="A233" s="110" t="str">
        <f aca="false">"虚部"</f>
        <v>虚部</v>
      </c>
      <c r="B233" s="88" t="str">
        <f aca="false">IF(03_FRFデータ貼付!B110="","",03_FRFデータ貼付!A110)</f>
        <v/>
      </c>
      <c r="C233" s="89" t="n">
        <f aca="false">IF(03_FRFデータ貼付!B110="",0,03_FRFデータ貼付!G110)</f>
        <v>0</v>
      </c>
      <c r="D233" s="71" t="n">
        <f aca="false">IF(03_FRFデータ貼付!C110="",0,03_FRFデータ貼付!C110)</f>
        <v>0</v>
      </c>
      <c r="E233" s="71" t="n">
        <f aca="false">IF(03_FRFデータ貼付!D110="",0,03_FRFデータ貼付!D110)</f>
        <v>0</v>
      </c>
      <c r="F233" s="118" t="n">
        <f aca="false">IF($C233=0,0,$V$4/($V$4^2+($C233-$V$5)^2))</f>
        <v>0</v>
      </c>
      <c r="G233" s="118" t="n">
        <f aca="false">IF($C233=0,0,-($C233-$V$5)/($V$4^2+($C233-$V$5)^2))</f>
        <v>0</v>
      </c>
      <c r="H233" s="118" t="n">
        <f aca="false">IF($C233=0,0,$V$4/($V$4^2+($C233+$V$5)^2))</f>
        <v>0</v>
      </c>
      <c r="I233" s="118" t="n">
        <f aca="false">IF($C233=0,0,-($C233+$V$5)/($V$4^2+($C233+$V$5)^2))</f>
        <v>0</v>
      </c>
      <c r="J233" s="118" t="n">
        <f aca="false">IF($C233=0,0,$V$6/($V$6^2+($C233-$V$7)^2))</f>
        <v>0</v>
      </c>
      <c r="K233" s="118" t="n">
        <f aca="false">IF($C233=0,0,-($C233-$V$7)/($V$6^2+($C233-$V$7)^2))</f>
        <v>0</v>
      </c>
      <c r="L233" s="118" t="n">
        <f aca="false">IF($C233=0,0,$V$6/($V$6^2+($C233+$V$7)^2))</f>
        <v>0</v>
      </c>
      <c r="M233" s="118" t="n">
        <f aca="false">IF($C233=0,0,-($C233+$V$7)/($V$6^2+($C233+$V$7)^2))</f>
        <v>0</v>
      </c>
      <c r="N233" s="118" t="n">
        <f aca="false">G233+I233</f>
        <v>0</v>
      </c>
      <c r="O233" s="118" t="n">
        <f aca="false">F233-H233</f>
        <v>0</v>
      </c>
      <c r="P233" s="118" t="n">
        <f aca="false">K233+M233</f>
        <v>0</v>
      </c>
      <c r="Q233" s="118" t="n">
        <f aca="false">J233-L233</f>
        <v>0</v>
      </c>
      <c r="R233" s="88" t="n">
        <f aca="false">0</f>
        <v>0</v>
      </c>
      <c r="S233" s="88" t="n">
        <f aca="false">0</f>
        <v>0</v>
      </c>
      <c r="T233" s="71" t="n">
        <f aca="false">E233</f>
        <v>0</v>
      </c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customFormat="false" ht="15" hidden="false" customHeight="false" outlineLevel="0" collapsed="false">
      <c r="A234" s="110" t="str">
        <f aca="false">"虚部"</f>
        <v>虚部</v>
      </c>
      <c r="B234" s="88" t="str">
        <f aca="false">IF(03_FRFデータ貼付!B111="","",03_FRFデータ貼付!A111)</f>
        <v/>
      </c>
      <c r="C234" s="89" t="n">
        <f aca="false">IF(03_FRFデータ貼付!B111="",0,03_FRFデータ貼付!G111)</f>
        <v>0</v>
      </c>
      <c r="D234" s="71" t="n">
        <f aca="false">IF(03_FRFデータ貼付!C111="",0,03_FRFデータ貼付!C111)</f>
        <v>0</v>
      </c>
      <c r="E234" s="71" t="n">
        <f aca="false">IF(03_FRFデータ貼付!D111="",0,03_FRFデータ貼付!D111)</f>
        <v>0</v>
      </c>
      <c r="F234" s="118" t="n">
        <f aca="false">IF($C234=0,0,$V$4/($V$4^2+($C234-$V$5)^2))</f>
        <v>0</v>
      </c>
      <c r="G234" s="118" t="n">
        <f aca="false">IF($C234=0,0,-($C234-$V$5)/($V$4^2+($C234-$V$5)^2))</f>
        <v>0</v>
      </c>
      <c r="H234" s="118" t="n">
        <f aca="false">IF($C234=0,0,$V$4/($V$4^2+($C234+$V$5)^2))</f>
        <v>0</v>
      </c>
      <c r="I234" s="118" t="n">
        <f aca="false">IF($C234=0,0,-($C234+$V$5)/($V$4^2+($C234+$V$5)^2))</f>
        <v>0</v>
      </c>
      <c r="J234" s="118" t="n">
        <f aca="false">IF($C234=0,0,$V$6/($V$6^2+($C234-$V$7)^2))</f>
        <v>0</v>
      </c>
      <c r="K234" s="118" t="n">
        <f aca="false">IF($C234=0,0,-($C234-$V$7)/($V$6^2+($C234-$V$7)^2))</f>
        <v>0</v>
      </c>
      <c r="L234" s="118" t="n">
        <f aca="false">IF($C234=0,0,$V$6/($V$6^2+($C234+$V$7)^2))</f>
        <v>0</v>
      </c>
      <c r="M234" s="118" t="n">
        <f aca="false">IF($C234=0,0,-($C234+$V$7)/($V$6^2+($C234+$V$7)^2))</f>
        <v>0</v>
      </c>
      <c r="N234" s="118" t="n">
        <f aca="false">G234+I234</f>
        <v>0</v>
      </c>
      <c r="O234" s="118" t="n">
        <f aca="false">F234-H234</f>
        <v>0</v>
      </c>
      <c r="P234" s="118" t="n">
        <f aca="false">K234+M234</f>
        <v>0</v>
      </c>
      <c r="Q234" s="118" t="n">
        <f aca="false">J234-L234</f>
        <v>0</v>
      </c>
      <c r="R234" s="88" t="n">
        <f aca="false">0</f>
        <v>0</v>
      </c>
      <c r="S234" s="88" t="n">
        <f aca="false">0</f>
        <v>0</v>
      </c>
      <c r="T234" s="71" t="n">
        <f aca="false">E234</f>
        <v>0</v>
      </c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customFormat="false" ht="15" hidden="false" customHeight="false" outlineLevel="0" collapsed="false">
      <c r="A235" s="110" t="str">
        <f aca="false">"虚部"</f>
        <v>虚部</v>
      </c>
      <c r="B235" s="88" t="str">
        <f aca="false">IF(03_FRFデータ貼付!B112="","",03_FRFデータ貼付!A112)</f>
        <v/>
      </c>
      <c r="C235" s="89" t="n">
        <f aca="false">IF(03_FRFデータ貼付!B112="",0,03_FRFデータ貼付!G112)</f>
        <v>0</v>
      </c>
      <c r="D235" s="71" t="n">
        <f aca="false">IF(03_FRFデータ貼付!C112="",0,03_FRFデータ貼付!C112)</f>
        <v>0</v>
      </c>
      <c r="E235" s="71" t="n">
        <f aca="false">IF(03_FRFデータ貼付!D112="",0,03_FRFデータ貼付!D112)</f>
        <v>0</v>
      </c>
      <c r="F235" s="118" t="n">
        <f aca="false">IF($C235=0,0,$V$4/($V$4^2+($C235-$V$5)^2))</f>
        <v>0</v>
      </c>
      <c r="G235" s="118" t="n">
        <f aca="false">IF($C235=0,0,-($C235-$V$5)/($V$4^2+($C235-$V$5)^2))</f>
        <v>0</v>
      </c>
      <c r="H235" s="118" t="n">
        <f aca="false">IF($C235=0,0,$V$4/($V$4^2+($C235+$V$5)^2))</f>
        <v>0</v>
      </c>
      <c r="I235" s="118" t="n">
        <f aca="false">IF($C235=0,0,-($C235+$V$5)/($V$4^2+($C235+$V$5)^2))</f>
        <v>0</v>
      </c>
      <c r="J235" s="118" t="n">
        <f aca="false">IF($C235=0,0,$V$6/($V$6^2+($C235-$V$7)^2))</f>
        <v>0</v>
      </c>
      <c r="K235" s="118" t="n">
        <f aca="false">IF($C235=0,0,-($C235-$V$7)/($V$6^2+($C235-$V$7)^2))</f>
        <v>0</v>
      </c>
      <c r="L235" s="118" t="n">
        <f aca="false">IF($C235=0,0,$V$6/($V$6^2+($C235+$V$7)^2))</f>
        <v>0</v>
      </c>
      <c r="M235" s="118" t="n">
        <f aca="false">IF($C235=0,0,-($C235+$V$7)/($V$6^2+($C235+$V$7)^2))</f>
        <v>0</v>
      </c>
      <c r="N235" s="118" t="n">
        <f aca="false">G235+I235</f>
        <v>0</v>
      </c>
      <c r="O235" s="118" t="n">
        <f aca="false">F235-H235</f>
        <v>0</v>
      </c>
      <c r="P235" s="118" t="n">
        <f aca="false">K235+M235</f>
        <v>0</v>
      </c>
      <c r="Q235" s="118" t="n">
        <f aca="false">J235-L235</f>
        <v>0</v>
      </c>
      <c r="R235" s="88" t="n">
        <f aca="false">0</f>
        <v>0</v>
      </c>
      <c r="S235" s="88" t="n">
        <f aca="false">0</f>
        <v>0</v>
      </c>
      <c r="T235" s="71" t="n">
        <f aca="false">E235</f>
        <v>0</v>
      </c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customFormat="false" ht="15" hidden="false" customHeight="false" outlineLevel="0" collapsed="false">
      <c r="A236" s="110" t="str">
        <f aca="false">"虚部"</f>
        <v>虚部</v>
      </c>
      <c r="B236" s="88" t="str">
        <f aca="false">IF(03_FRFデータ貼付!B113="","",03_FRFデータ貼付!A113)</f>
        <v/>
      </c>
      <c r="C236" s="89" t="n">
        <f aca="false">IF(03_FRFデータ貼付!B113="",0,03_FRFデータ貼付!G113)</f>
        <v>0</v>
      </c>
      <c r="D236" s="71" t="n">
        <f aca="false">IF(03_FRFデータ貼付!C113="",0,03_FRFデータ貼付!C113)</f>
        <v>0</v>
      </c>
      <c r="E236" s="71" t="n">
        <f aca="false">IF(03_FRFデータ貼付!D113="",0,03_FRFデータ貼付!D113)</f>
        <v>0</v>
      </c>
      <c r="F236" s="118" t="n">
        <f aca="false">IF($C236=0,0,$V$4/($V$4^2+($C236-$V$5)^2))</f>
        <v>0</v>
      </c>
      <c r="G236" s="118" t="n">
        <f aca="false">IF($C236=0,0,-($C236-$V$5)/($V$4^2+($C236-$V$5)^2))</f>
        <v>0</v>
      </c>
      <c r="H236" s="118" t="n">
        <f aca="false">IF($C236=0,0,$V$4/($V$4^2+($C236+$V$5)^2))</f>
        <v>0</v>
      </c>
      <c r="I236" s="118" t="n">
        <f aca="false">IF($C236=0,0,-($C236+$V$5)/($V$4^2+($C236+$V$5)^2))</f>
        <v>0</v>
      </c>
      <c r="J236" s="118" t="n">
        <f aca="false">IF($C236=0,0,$V$6/($V$6^2+($C236-$V$7)^2))</f>
        <v>0</v>
      </c>
      <c r="K236" s="118" t="n">
        <f aca="false">IF($C236=0,0,-($C236-$V$7)/($V$6^2+($C236-$V$7)^2))</f>
        <v>0</v>
      </c>
      <c r="L236" s="118" t="n">
        <f aca="false">IF($C236=0,0,$V$6/($V$6^2+($C236+$V$7)^2))</f>
        <v>0</v>
      </c>
      <c r="M236" s="118" t="n">
        <f aca="false">IF($C236=0,0,-($C236+$V$7)/($V$6^2+($C236+$V$7)^2))</f>
        <v>0</v>
      </c>
      <c r="N236" s="118" t="n">
        <f aca="false">G236+I236</f>
        <v>0</v>
      </c>
      <c r="O236" s="118" t="n">
        <f aca="false">F236-H236</f>
        <v>0</v>
      </c>
      <c r="P236" s="118" t="n">
        <f aca="false">K236+M236</f>
        <v>0</v>
      </c>
      <c r="Q236" s="118" t="n">
        <f aca="false">J236-L236</f>
        <v>0</v>
      </c>
      <c r="R236" s="88" t="n">
        <f aca="false">0</f>
        <v>0</v>
      </c>
      <c r="S236" s="88" t="n">
        <f aca="false">0</f>
        <v>0</v>
      </c>
      <c r="T236" s="71" t="n">
        <f aca="false">E236</f>
        <v>0</v>
      </c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customFormat="false" ht="15" hidden="false" customHeight="false" outlineLevel="0" collapsed="false">
      <c r="A237" s="110" t="str">
        <f aca="false">"虚部"</f>
        <v>虚部</v>
      </c>
      <c r="B237" s="88" t="str">
        <f aca="false">IF(03_FRFデータ貼付!B114="","",03_FRFデータ貼付!A114)</f>
        <v/>
      </c>
      <c r="C237" s="89" t="n">
        <f aca="false">IF(03_FRFデータ貼付!B114="",0,03_FRFデータ貼付!G114)</f>
        <v>0</v>
      </c>
      <c r="D237" s="71" t="n">
        <f aca="false">IF(03_FRFデータ貼付!C114="",0,03_FRFデータ貼付!C114)</f>
        <v>0</v>
      </c>
      <c r="E237" s="71" t="n">
        <f aca="false">IF(03_FRFデータ貼付!D114="",0,03_FRFデータ貼付!D114)</f>
        <v>0</v>
      </c>
      <c r="F237" s="118" t="n">
        <f aca="false">IF($C237=0,0,$V$4/($V$4^2+($C237-$V$5)^2))</f>
        <v>0</v>
      </c>
      <c r="G237" s="118" t="n">
        <f aca="false">IF($C237=0,0,-($C237-$V$5)/($V$4^2+($C237-$V$5)^2))</f>
        <v>0</v>
      </c>
      <c r="H237" s="118" t="n">
        <f aca="false">IF($C237=0,0,$V$4/($V$4^2+($C237+$V$5)^2))</f>
        <v>0</v>
      </c>
      <c r="I237" s="118" t="n">
        <f aca="false">IF($C237=0,0,-($C237+$V$5)/($V$4^2+($C237+$V$5)^2))</f>
        <v>0</v>
      </c>
      <c r="J237" s="118" t="n">
        <f aca="false">IF($C237=0,0,$V$6/($V$6^2+($C237-$V$7)^2))</f>
        <v>0</v>
      </c>
      <c r="K237" s="118" t="n">
        <f aca="false">IF($C237=0,0,-($C237-$V$7)/($V$6^2+($C237-$V$7)^2))</f>
        <v>0</v>
      </c>
      <c r="L237" s="118" t="n">
        <f aca="false">IF($C237=0,0,$V$6/($V$6^2+($C237+$V$7)^2))</f>
        <v>0</v>
      </c>
      <c r="M237" s="118" t="n">
        <f aca="false">IF($C237=0,0,-($C237+$V$7)/($V$6^2+($C237+$V$7)^2))</f>
        <v>0</v>
      </c>
      <c r="N237" s="118" t="n">
        <f aca="false">G237+I237</f>
        <v>0</v>
      </c>
      <c r="O237" s="118" t="n">
        <f aca="false">F237-H237</f>
        <v>0</v>
      </c>
      <c r="P237" s="118" t="n">
        <f aca="false">K237+M237</f>
        <v>0</v>
      </c>
      <c r="Q237" s="118" t="n">
        <f aca="false">J237-L237</f>
        <v>0</v>
      </c>
      <c r="R237" s="88" t="n">
        <f aca="false">0</f>
        <v>0</v>
      </c>
      <c r="S237" s="88" t="n">
        <f aca="false">0</f>
        <v>0</v>
      </c>
      <c r="T237" s="71" t="n">
        <f aca="false">E237</f>
        <v>0</v>
      </c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customFormat="false" ht="15" hidden="false" customHeight="false" outlineLevel="0" collapsed="false">
      <c r="A238" s="110" t="str">
        <f aca="false">"虚部"</f>
        <v>虚部</v>
      </c>
      <c r="B238" s="88" t="str">
        <f aca="false">IF(03_FRFデータ貼付!B115="","",03_FRFデータ貼付!A115)</f>
        <v/>
      </c>
      <c r="C238" s="89" t="n">
        <f aca="false">IF(03_FRFデータ貼付!B115="",0,03_FRFデータ貼付!G115)</f>
        <v>0</v>
      </c>
      <c r="D238" s="71" t="n">
        <f aca="false">IF(03_FRFデータ貼付!C115="",0,03_FRFデータ貼付!C115)</f>
        <v>0</v>
      </c>
      <c r="E238" s="71" t="n">
        <f aca="false">IF(03_FRFデータ貼付!D115="",0,03_FRFデータ貼付!D115)</f>
        <v>0</v>
      </c>
      <c r="F238" s="118" t="n">
        <f aca="false">IF($C238=0,0,$V$4/($V$4^2+($C238-$V$5)^2))</f>
        <v>0</v>
      </c>
      <c r="G238" s="118" t="n">
        <f aca="false">IF($C238=0,0,-($C238-$V$5)/($V$4^2+($C238-$V$5)^2))</f>
        <v>0</v>
      </c>
      <c r="H238" s="118" t="n">
        <f aca="false">IF($C238=0,0,$V$4/($V$4^2+($C238+$V$5)^2))</f>
        <v>0</v>
      </c>
      <c r="I238" s="118" t="n">
        <f aca="false">IF($C238=0,0,-($C238+$V$5)/($V$4^2+($C238+$V$5)^2))</f>
        <v>0</v>
      </c>
      <c r="J238" s="118" t="n">
        <f aca="false">IF($C238=0,0,$V$6/($V$6^2+($C238-$V$7)^2))</f>
        <v>0</v>
      </c>
      <c r="K238" s="118" t="n">
        <f aca="false">IF($C238=0,0,-($C238-$V$7)/($V$6^2+($C238-$V$7)^2))</f>
        <v>0</v>
      </c>
      <c r="L238" s="118" t="n">
        <f aca="false">IF($C238=0,0,$V$6/($V$6^2+($C238+$V$7)^2))</f>
        <v>0</v>
      </c>
      <c r="M238" s="118" t="n">
        <f aca="false">IF($C238=0,0,-($C238+$V$7)/($V$6^2+($C238+$V$7)^2))</f>
        <v>0</v>
      </c>
      <c r="N238" s="118" t="n">
        <f aca="false">G238+I238</f>
        <v>0</v>
      </c>
      <c r="O238" s="118" t="n">
        <f aca="false">F238-H238</f>
        <v>0</v>
      </c>
      <c r="P238" s="118" t="n">
        <f aca="false">K238+M238</f>
        <v>0</v>
      </c>
      <c r="Q238" s="118" t="n">
        <f aca="false">J238-L238</f>
        <v>0</v>
      </c>
      <c r="R238" s="88" t="n">
        <f aca="false">0</f>
        <v>0</v>
      </c>
      <c r="S238" s="88" t="n">
        <f aca="false">0</f>
        <v>0</v>
      </c>
      <c r="T238" s="71" t="n">
        <f aca="false">E238</f>
        <v>0</v>
      </c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customFormat="false" ht="15" hidden="false" customHeight="false" outlineLevel="0" collapsed="false">
      <c r="A239" s="110" t="str">
        <f aca="false">"虚部"</f>
        <v>虚部</v>
      </c>
      <c r="B239" s="88" t="str">
        <f aca="false">IF(03_FRFデータ貼付!B116="","",03_FRFデータ貼付!A116)</f>
        <v/>
      </c>
      <c r="C239" s="89" t="n">
        <f aca="false">IF(03_FRFデータ貼付!B116="",0,03_FRFデータ貼付!G116)</f>
        <v>0</v>
      </c>
      <c r="D239" s="71" t="n">
        <f aca="false">IF(03_FRFデータ貼付!C116="",0,03_FRFデータ貼付!C116)</f>
        <v>0</v>
      </c>
      <c r="E239" s="71" t="n">
        <f aca="false">IF(03_FRFデータ貼付!D116="",0,03_FRFデータ貼付!D116)</f>
        <v>0</v>
      </c>
      <c r="F239" s="118" t="n">
        <f aca="false">IF($C239=0,0,$V$4/($V$4^2+($C239-$V$5)^2))</f>
        <v>0</v>
      </c>
      <c r="G239" s="118" t="n">
        <f aca="false">IF($C239=0,0,-($C239-$V$5)/($V$4^2+($C239-$V$5)^2))</f>
        <v>0</v>
      </c>
      <c r="H239" s="118" t="n">
        <f aca="false">IF($C239=0,0,$V$4/($V$4^2+($C239+$V$5)^2))</f>
        <v>0</v>
      </c>
      <c r="I239" s="118" t="n">
        <f aca="false">IF($C239=0,0,-($C239+$V$5)/($V$4^2+($C239+$V$5)^2))</f>
        <v>0</v>
      </c>
      <c r="J239" s="118" t="n">
        <f aca="false">IF($C239=0,0,$V$6/($V$6^2+($C239-$V$7)^2))</f>
        <v>0</v>
      </c>
      <c r="K239" s="118" t="n">
        <f aca="false">IF($C239=0,0,-($C239-$V$7)/($V$6^2+($C239-$V$7)^2))</f>
        <v>0</v>
      </c>
      <c r="L239" s="118" t="n">
        <f aca="false">IF($C239=0,0,$V$6/($V$6^2+($C239+$V$7)^2))</f>
        <v>0</v>
      </c>
      <c r="M239" s="118" t="n">
        <f aca="false">IF($C239=0,0,-($C239+$V$7)/($V$6^2+($C239+$V$7)^2))</f>
        <v>0</v>
      </c>
      <c r="N239" s="118" t="n">
        <f aca="false">G239+I239</f>
        <v>0</v>
      </c>
      <c r="O239" s="118" t="n">
        <f aca="false">F239-H239</f>
        <v>0</v>
      </c>
      <c r="P239" s="118" t="n">
        <f aca="false">K239+M239</f>
        <v>0</v>
      </c>
      <c r="Q239" s="118" t="n">
        <f aca="false">J239-L239</f>
        <v>0</v>
      </c>
      <c r="R239" s="88" t="n">
        <f aca="false">0</f>
        <v>0</v>
      </c>
      <c r="S239" s="88" t="n">
        <f aca="false">0</f>
        <v>0</v>
      </c>
      <c r="T239" s="71" t="n">
        <f aca="false">E239</f>
        <v>0</v>
      </c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customFormat="false" ht="15" hidden="false" customHeight="false" outlineLevel="0" collapsed="false">
      <c r="A240" s="110" t="str">
        <f aca="false">"虚部"</f>
        <v>虚部</v>
      </c>
      <c r="B240" s="88" t="str">
        <f aca="false">IF(03_FRFデータ貼付!B117="","",03_FRFデータ貼付!A117)</f>
        <v/>
      </c>
      <c r="C240" s="89" t="n">
        <f aca="false">IF(03_FRFデータ貼付!B117="",0,03_FRFデータ貼付!G117)</f>
        <v>0</v>
      </c>
      <c r="D240" s="71" t="n">
        <f aca="false">IF(03_FRFデータ貼付!C117="",0,03_FRFデータ貼付!C117)</f>
        <v>0</v>
      </c>
      <c r="E240" s="71" t="n">
        <f aca="false">IF(03_FRFデータ貼付!D117="",0,03_FRFデータ貼付!D117)</f>
        <v>0</v>
      </c>
      <c r="F240" s="118" t="n">
        <f aca="false">IF($C240=0,0,$V$4/($V$4^2+($C240-$V$5)^2))</f>
        <v>0</v>
      </c>
      <c r="G240" s="118" t="n">
        <f aca="false">IF($C240=0,0,-($C240-$V$5)/($V$4^2+($C240-$V$5)^2))</f>
        <v>0</v>
      </c>
      <c r="H240" s="118" t="n">
        <f aca="false">IF($C240=0,0,$V$4/($V$4^2+($C240+$V$5)^2))</f>
        <v>0</v>
      </c>
      <c r="I240" s="118" t="n">
        <f aca="false">IF($C240=0,0,-($C240+$V$5)/($V$4^2+($C240+$V$5)^2))</f>
        <v>0</v>
      </c>
      <c r="J240" s="118" t="n">
        <f aca="false">IF($C240=0,0,$V$6/($V$6^2+($C240-$V$7)^2))</f>
        <v>0</v>
      </c>
      <c r="K240" s="118" t="n">
        <f aca="false">IF($C240=0,0,-($C240-$V$7)/($V$6^2+($C240-$V$7)^2))</f>
        <v>0</v>
      </c>
      <c r="L240" s="118" t="n">
        <f aca="false">IF($C240=0,0,$V$6/($V$6^2+($C240+$V$7)^2))</f>
        <v>0</v>
      </c>
      <c r="M240" s="118" t="n">
        <f aca="false">IF($C240=0,0,-($C240+$V$7)/($V$6^2+($C240+$V$7)^2))</f>
        <v>0</v>
      </c>
      <c r="N240" s="118" t="n">
        <f aca="false">G240+I240</f>
        <v>0</v>
      </c>
      <c r="O240" s="118" t="n">
        <f aca="false">F240-H240</f>
        <v>0</v>
      </c>
      <c r="P240" s="118" t="n">
        <f aca="false">K240+M240</f>
        <v>0</v>
      </c>
      <c r="Q240" s="118" t="n">
        <f aca="false">J240-L240</f>
        <v>0</v>
      </c>
      <c r="R240" s="88" t="n">
        <f aca="false">0</f>
        <v>0</v>
      </c>
      <c r="S240" s="88" t="n">
        <f aca="false">0</f>
        <v>0</v>
      </c>
      <c r="T240" s="71" t="n">
        <f aca="false">E240</f>
        <v>0</v>
      </c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customFormat="false" ht="15" hidden="false" customHeight="false" outlineLevel="0" collapsed="false">
      <c r="A241" s="110" t="str">
        <f aca="false">"虚部"</f>
        <v>虚部</v>
      </c>
      <c r="B241" s="88" t="str">
        <f aca="false">IF(03_FRFデータ貼付!B118="","",03_FRFデータ貼付!A118)</f>
        <v/>
      </c>
      <c r="C241" s="89" t="n">
        <f aca="false">IF(03_FRFデータ貼付!B118="",0,03_FRFデータ貼付!G118)</f>
        <v>0</v>
      </c>
      <c r="D241" s="71" t="n">
        <f aca="false">IF(03_FRFデータ貼付!C118="",0,03_FRFデータ貼付!C118)</f>
        <v>0</v>
      </c>
      <c r="E241" s="71" t="n">
        <f aca="false">IF(03_FRFデータ貼付!D118="",0,03_FRFデータ貼付!D118)</f>
        <v>0</v>
      </c>
      <c r="F241" s="118" t="n">
        <f aca="false">IF($C241=0,0,$V$4/($V$4^2+($C241-$V$5)^2))</f>
        <v>0</v>
      </c>
      <c r="G241" s="118" t="n">
        <f aca="false">IF($C241=0,0,-($C241-$V$5)/($V$4^2+($C241-$V$5)^2))</f>
        <v>0</v>
      </c>
      <c r="H241" s="118" t="n">
        <f aca="false">IF($C241=0,0,$V$4/($V$4^2+($C241+$V$5)^2))</f>
        <v>0</v>
      </c>
      <c r="I241" s="118" t="n">
        <f aca="false">IF($C241=0,0,-($C241+$V$5)/($V$4^2+($C241+$V$5)^2))</f>
        <v>0</v>
      </c>
      <c r="J241" s="118" t="n">
        <f aca="false">IF($C241=0,0,$V$6/($V$6^2+($C241-$V$7)^2))</f>
        <v>0</v>
      </c>
      <c r="K241" s="118" t="n">
        <f aca="false">IF($C241=0,0,-($C241-$V$7)/($V$6^2+($C241-$V$7)^2))</f>
        <v>0</v>
      </c>
      <c r="L241" s="118" t="n">
        <f aca="false">IF($C241=0,0,$V$6/($V$6^2+($C241+$V$7)^2))</f>
        <v>0</v>
      </c>
      <c r="M241" s="118" t="n">
        <f aca="false">IF($C241=0,0,-($C241+$V$7)/($V$6^2+($C241+$V$7)^2))</f>
        <v>0</v>
      </c>
      <c r="N241" s="118" t="n">
        <f aca="false">G241+I241</f>
        <v>0</v>
      </c>
      <c r="O241" s="118" t="n">
        <f aca="false">F241-H241</f>
        <v>0</v>
      </c>
      <c r="P241" s="118" t="n">
        <f aca="false">K241+M241</f>
        <v>0</v>
      </c>
      <c r="Q241" s="118" t="n">
        <f aca="false">J241-L241</f>
        <v>0</v>
      </c>
      <c r="R241" s="88" t="n">
        <f aca="false">0</f>
        <v>0</v>
      </c>
      <c r="S241" s="88" t="n">
        <f aca="false">0</f>
        <v>0</v>
      </c>
      <c r="T241" s="71" t="n">
        <f aca="false">E241</f>
        <v>0</v>
      </c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customFormat="false" ht="15" hidden="false" customHeight="false" outlineLevel="0" collapsed="false">
      <c r="A242" s="110" t="str">
        <f aca="false">"虚部"</f>
        <v>虚部</v>
      </c>
      <c r="B242" s="88" t="str">
        <f aca="false">IF(03_FRFデータ貼付!B119="","",03_FRFデータ貼付!A119)</f>
        <v/>
      </c>
      <c r="C242" s="89" t="n">
        <f aca="false">IF(03_FRFデータ貼付!B119="",0,03_FRFデータ貼付!G119)</f>
        <v>0</v>
      </c>
      <c r="D242" s="71" t="n">
        <f aca="false">IF(03_FRFデータ貼付!C119="",0,03_FRFデータ貼付!C119)</f>
        <v>0</v>
      </c>
      <c r="E242" s="71" t="n">
        <f aca="false">IF(03_FRFデータ貼付!D119="",0,03_FRFデータ貼付!D119)</f>
        <v>0</v>
      </c>
      <c r="F242" s="118" t="n">
        <f aca="false">IF($C242=0,0,$V$4/($V$4^2+($C242-$V$5)^2))</f>
        <v>0</v>
      </c>
      <c r="G242" s="118" t="n">
        <f aca="false">IF($C242=0,0,-($C242-$V$5)/($V$4^2+($C242-$V$5)^2))</f>
        <v>0</v>
      </c>
      <c r="H242" s="118" t="n">
        <f aca="false">IF($C242=0,0,$V$4/($V$4^2+($C242+$V$5)^2))</f>
        <v>0</v>
      </c>
      <c r="I242" s="118" t="n">
        <f aca="false">IF($C242=0,0,-($C242+$V$5)/($V$4^2+($C242+$V$5)^2))</f>
        <v>0</v>
      </c>
      <c r="J242" s="118" t="n">
        <f aca="false">IF($C242=0,0,$V$6/($V$6^2+($C242-$V$7)^2))</f>
        <v>0</v>
      </c>
      <c r="K242" s="118" t="n">
        <f aca="false">IF($C242=0,0,-($C242-$V$7)/($V$6^2+($C242-$V$7)^2))</f>
        <v>0</v>
      </c>
      <c r="L242" s="118" t="n">
        <f aca="false">IF($C242=0,0,$V$6/($V$6^2+($C242+$V$7)^2))</f>
        <v>0</v>
      </c>
      <c r="M242" s="118" t="n">
        <f aca="false">IF($C242=0,0,-($C242+$V$7)/($V$6^2+($C242+$V$7)^2))</f>
        <v>0</v>
      </c>
      <c r="N242" s="118" t="n">
        <f aca="false">G242+I242</f>
        <v>0</v>
      </c>
      <c r="O242" s="118" t="n">
        <f aca="false">F242-H242</f>
        <v>0</v>
      </c>
      <c r="P242" s="118" t="n">
        <f aca="false">K242+M242</f>
        <v>0</v>
      </c>
      <c r="Q242" s="118" t="n">
        <f aca="false">J242-L242</f>
        <v>0</v>
      </c>
      <c r="R242" s="88" t="n">
        <f aca="false">0</f>
        <v>0</v>
      </c>
      <c r="S242" s="88" t="n">
        <f aca="false">0</f>
        <v>0</v>
      </c>
      <c r="T242" s="71" t="n">
        <f aca="false">E242</f>
        <v>0</v>
      </c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customFormat="false" ht="15" hidden="false" customHeight="false" outlineLevel="0" collapsed="false">
      <c r="A243" s="110" t="str">
        <f aca="false">"虚部"</f>
        <v>虚部</v>
      </c>
      <c r="B243" s="88" t="str">
        <f aca="false">IF(03_FRFデータ貼付!B120="","",03_FRFデータ貼付!A120)</f>
        <v/>
      </c>
      <c r="C243" s="89" t="n">
        <f aca="false">IF(03_FRFデータ貼付!B120="",0,03_FRFデータ貼付!G120)</f>
        <v>0</v>
      </c>
      <c r="D243" s="71" t="n">
        <f aca="false">IF(03_FRFデータ貼付!C120="",0,03_FRFデータ貼付!C120)</f>
        <v>0</v>
      </c>
      <c r="E243" s="71" t="n">
        <f aca="false">IF(03_FRFデータ貼付!D120="",0,03_FRFデータ貼付!D120)</f>
        <v>0</v>
      </c>
      <c r="F243" s="118" t="n">
        <f aca="false">IF($C243=0,0,$V$4/($V$4^2+($C243-$V$5)^2))</f>
        <v>0</v>
      </c>
      <c r="G243" s="118" t="n">
        <f aca="false">IF($C243=0,0,-($C243-$V$5)/($V$4^2+($C243-$V$5)^2))</f>
        <v>0</v>
      </c>
      <c r="H243" s="118" t="n">
        <f aca="false">IF($C243=0,0,$V$4/($V$4^2+($C243+$V$5)^2))</f>
        <v>0</v>
      </c>
      <c r="I243" s="118" t="n">
        <f aca="false">IF($C243=0,0,-($C243+$V$5)/($V$4^2+($C243+$V$5)^2))</f>
        <v>0</v>
      </c>
      <c r="J243" s="118" t="n">
        <f aca="false">IF($C243=0,0,$V$6/($V$6^2+($C243-$V$7)^2))</f>
        <v>0</v>
      </c>
      <c r="K243" s="118" t="n">
        <f aca="false">IF($C243=0,0,-($C243-$V$7)/($V$6^2+($C243-$V$7)^2))</f>
        <v>0</v>
      </c>
      <c r="L243" s="118" t="n">
        <f aca="false">IF($C243=0,0,$V$6/($V$6^2+($C243+$V$7)^2))</f>
        <v>0</v>
      </c>
      <c r="M243" s="118" t="n">
        <f aca="false">IF($C243=0,0,-($C243+$V$7)/($V$6^2+($C243+$V$7)^2))</f>
        <v>0</v>
      </c>
      <c r="N243" s="118" t="n">
        <f aca="false">G243+I243</f>
        <v>0</v>
      </c>
      <c r="O243" s="118" t="n">
        <f aca="false">F243-H243</f>
        <v>0</v>
      </c>
      <c r="P243" s="118" t="n">
        <f aca="false">K243+M243</f>
        <v>0</v>
      </c>
      <c r="Q243" s="118" t="n">
        <f aca="false">J243-L243</f>
        <v>0</v>
      </c>
      <c r="R243" s="88" t="n">
        <f aca="false">0</f>
        <v>0</v>
      </c>
      <c r="S243" s="88" t="n">
        <f aca="false">0</f>
        <v>0</v>
      </c>
      <c r="T243" s="71" t="n">
        <f aca="false">E243</f>
        <v>0</v>
      </c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customFormat="false" ht="15" hidden="false" customHeight="false" outlineLevel="0" collapsed="false">
      <c r="A244" s="110" t="str">
        <f aca="false">"虚部"</f>
        <v>虚部</v>
      </c>
      <c r="B244" s="88" t="str">
        <f aca="false">IF(03_FRFデータ貼付!B121="","",03_FRFデータ貼付!A121)</f>
        <v/>
      </c>
      <c r="C244" s="89" t="n">
        <f aca="false">IF(03_FRFデータ貼付!B121="",0,03_FRFデータ貼付!G121)</f>
        <v>0</v>
      </c>
      <c r="D244" s="71" t="n">
        <f aca="false">IF(03_FRFデータ貼付!C121="",0,03_FRFデータ貼付!C121)</f>
        <v>0</v>
      </c>
      <c r="E244" s="71" t="n">
        <f aca="false">IF(03_FRFデータ貼付!D121="",0,03_FRFデータ貼付!D121)</f>
        <v>0</v>
      </c>
      <c r="F244" s="118" t="n">
        <f aca="false">IF($C244=0,0,$V$4/($V$4^2+($C244-$V$5)^2))</f>
        <v>0</v>
      </c>
      <c r="G244" s="118" t="n">
        <f aca="false">IF($C244=0,0,-($C244-$V$5)/($V$4^2+($C244-$V$5)^2))</f>
        <v>0</v>
      </c>
      <c r="H244" s="118" t="n">
        <f aca="false">IF($C244=0,0,$V$4/($V$4^2+($C244+$V$5)^2))</f>
        <v>0</v>
      </c>
      <c r="I244" s="118" t="n">
        <f aca="false">IF($C244=0,0,-($C244+$V$5)/($V$4^2+($C244+$V$5)^2))</f>
        <v>0</v>
      </c>
      <c r="J244" s="118" t="n">
        <f aca="false">IF($C244=0,0,$V$6/($V$6^2+($C244-$V$7)^2))</f>
        <v>0</v>
      </c>
      <c r="K244" s="118" t="n">
        <f aca="false">IF($C244=0,0,-($C244-$V$7)/($V$6^2+($C244-$V$7)^2))</f>
        <v>0</v>
      </c>
      <c r="L244" s="118" t="n">
        <f aca="false">IF($C244=0,0,$V$6/($V$6^2+($C244+$V$7)^2))</f>
        <v>0</v>
      </c>
      <c r="M244" s="118" t="n">
        <f aca="false">IF($C244=0,0,-($C244+$V$7)/($V$6^2+($C244+$V$7)^2))</f>
        <v>0</v>
      </c>
      <c r="N244" s="118" t="n">
        <f aca="false">G244+I244</f>
        <v>0</v>
      </c>
      <c r="O244" s="118" t="n">
        <f aca="false">F244-H244</f>
        <v>0</v>
      </c>
      <c r="P244" s="118" t="n">
        <f aca="false">K244+M244</f>
        <v>0</v>
      </c>
      <c r="Q244" s="118" t="n">
        <f aca="false">J244-L244</f>
        <v>0</v>
      </c>
      <c r="R244" s="88" t="n">
        <f aca="false">0</f>
        <v>0</v>
      </c>
      <c r="S244" s="88" t="n">
        <f aca="false">0</f>
        <v>0</v>
      </c>
      <c r="T244" s="71" t="n">
        <f aca="false">E244</f>
        <v>0</v>
      </c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customFormat="false" ht="15" hidden="false" customHeight="false" outlineLevel="0" collapsed="false">
      <c r="A245" s="110" t="str">
        <f aca="false">"虚部"</f>
        <v>虚部</v>
      </c>
      <c r="B245" s="88" t="str">
        <f aca="false">IF(03_FRFデータ貼付!B122="","",03_FRFデータ貼付!A122)</f>
        <v/>
      </c>
      <c r="C245" s="89" t="n">
        <f aca="false">IF(03_FRFデータ貼付!B122="",0,03_FRFデータ貼付!G122)</f>
        <v>0</v>
      </c>
      <c r="D245" s="71" t="n">
        <f aca="false">IF(03_FRFデータ貼付!C122="",0,03_FRFデータ貼付!C122)</f>
        <v>0</v>
      </c>
      <c r="E245" s="71" t="n">
        <f aca="false">IF(03_FRFデータ貼付!D122="",0,03_FRFデータ貼付!D122)</f>
        <v>0</v>
      </c>
      <c r="F245" s="118" t="n">
        <f aca="false">IF($C245=0,0,$V$4/($V$4^2+($C245-$V$5)^2))</f>
        <v>0</v>
      </c>
      <c r="G245" s="118" t="n">
        <f aca="false">IF($C245=0,0,-($C245-$V$5)/($V$4^2+($C245-$V$5)^2))</f>
        <v>0</v>
      </c>
      <c r="H245" s="118" t="n">
        <f aca="false">IF($C245=0,0,$V$4/($V$4^2+($C245+$V$5)^2))</f>
        <v>0</v>
      </c>
      <c r="I245" s="118" t="n">
        <f aca="false">IF($C245=0,0,-($C245+$V$5)/($V$4^2+($C245+$V$5)^2))</f>
        <v>0</v>
      </c>
      <c r="J245" s="118" t="n">
        <f aca="false">IF($C245=0,0,$V$6/($V$6^2+($C245-$V$7)^2))</f>
        <v>0</v>
      </c>
      <c r="K245" s="118" t="n">
        <f aca="false">IF($C245=0,0,-($C245-$V$7)/($V$6^2+($C245-$V$7)^2))</f>
        <v>0</v>
      </c>
      <c r="L245" s="118" t="n">
        <f aca="false">IF($C245=0,0,$V$6/($V$6^2+($C245+$V$7)^2))</f>
        <v>0</v>
      </c>
      <c r="M245" s="118" t="n">
        <f aca="false">IF($C245=0,0,-($C245+$V$7)/($V$6^2+($C245+$V$7)^2))</f>
        <v>0</v>
      </c>
      <c r="N245" s="118" t="n">
        <f aca="false">G245+I245</f>
        <v>0</v>
      </c>
      <c r="O245" s="118" t="n">
        <f aca="false">F245-H245</f>
        <v>0</v>
      </c>
      <c r="P245" s="118" t="n">
        <f aca="false">K245+M245</f>
        <v>0</v>
      </c>
      <c r="Q245" s="118" t="n">
        <f aca="false">J245-L245</f>
        <v>0</v>
      </c>
      <c r="R245" s="88" t="n">
        <f aca="false">0</f>
        <v>0</v>
      </c>
      <c r="S245" s="88" t="n">
        <f aca="false">0</f>
        <v>0</v>
      </c>
      <c r="T245" s="71" t="n">
        <f aca="false">E245</f>
        <v>0</v>
      </c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customFormat="false" ht="15" hidden="false" customHeight="false" outlineLevel="0" collapsed="false">
      <c r="A246" s="110" t="str">
        <f aca="false">"虚部"</f>
        <v>虚部</v>
      </c>
      <c r="B246" s="88" t="str">
        <f aca="false">IF(03_FRFデータ貼付!B123="","",03_FRFデータ貼付!A123)</f>
        <v/>
      </c>
      <c r="C246" s="89" t="n">
        <f aca="false">IF(03_FRFデータ貼付!B123="",0,03_FRFデータ貼付!G123)</f>
        <v>0</v>
      </c>
      <c r="D246" s="71" t="n">
        <f aca="false">IF(03_FRFデータ貼付!C123="",0,03_FRFデータ貼付!C123)</f>
        <v>0</v>
      </c>
      <c r="E246" s="71" t="n">
        <f aca="false">IF(03_FRFデータ貼付!D123="",0,03_FRFデータ貼付!D123)</f>
        <v>0</v>
      </c>
      <c r="F246" s="118" t="n">
        <f aca="false">IF($C246=0,0,$V$4/($V$4^2+($C246-$V$5)^2))</f>
        <v>0</v>
      </c>
      <c r="G246" s="118" t="n">
        <f aca="false">IF($C246=0,0,-($C246-$V$5)/($V$4^2+($C246-$V$5)^2))</f>
        <v>0</v>
      </c>
      <c r="H246" s="118" t="n">
        <f aca="false">IF($C246=0,0,$V$4/($V$4^2+($C246+$V$5)^2))</f>
        <v>0</v>
      </c>
      <c r="I246" s="118" t="n">
        <f aca="false">IF($C246=0,0,-($C246+$V$5)/($V$4^2+($C246+$V$5)^2))</f>
        <v>0</v>
      </c>
      <c r="J246" s="118" t="n">
        <f aca="false">IF($C246=0,0,$V$6/($V$6^2+($C246-$V$7)^2))</f>
        <v>0</v>
      </c>
      <c r="K246" s="118" t="n">
        <f aca="false">IF($C246=0,0,-($C246-$V$7)/($V$6^2+($C246-$V$7)^2))</f>
        <v>0</v>
      </c>
      <c r="L246" s="118" t="n">
        <f aca="false">IF($C246=0,0,$V$6/($V$6^2+($C246+$V$7)^2))</f>
        <v>0</v>
      </c>
      <c r="M246" s="118" t="n">
        <f aca="false">IF($C246=0,0,-($C246+$V$7)/($V$6^2+($C246+$V$7)^2))</f>
        <v>0</v>
      </c>
      <c r="N246" s="118" t="n">
        <f aca="false">G246+I246</f>
        <v>0</v>
      </c>
      <c r="O246" s="118" t="n">
        <f aca="false">F246-H246</f>
        <v>0</v>
      </c>
      <c r="P246" s="118" t="n">
        <f aca="false">K246+M246</f>
        <v>0</v>
      </c>
      <c r="Q246" s="118" t="n">
        <f aca="false">J246-L246</f>
        <v>0</v>
      </c>
      <c r="R246" s="88" t="n">
        <f aca="false">0</f>
        <v>0</v>
      </c>
      <c r="S246" s="88" t="n">
        <f aca="false">0</f>
        <v>0</v>
      </c>
      <c r="T246" s="71" t="n">
        <f aca="false">E246</f>
        <v>0</v>
      </c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customFormat="false" ht="15" hidden="false" customHeight="false" outlineLevel="0" collapsed="false">
      <c r="A247" s="110" t="str">
        <f aca="false">"虚部"</f>
        <v>虚部</v>
      </c>
      <c r="B247" s="88" t="str">
        <f aca="false">IF(03_FRFデータ貼付!B124="","",03_FRFデータ貼付!A124)</f>
        <v/>
      </c>
      <c r="C247" s="89" t="n">
        <f aca="false">IF(03_FRFデータ貼付!B124="",0,03_FRFデータ貼付!G124)</f>
        <v>0</v>
      </c>
      <c r="D247" s="71" t="n">
        <f aca="false">IF(03_FRFデータ貼付!C124="",0,03_FRFデータ貼付!C124)</f>
        <v>0</v>
      </c>
      <c r="E247" s="71" t="n">
        <f aca="false">IF(03_FRFデータ貼付!D124="",0,03_FRFデータ貼付!D124)</f>
        <v>0</v>
      </c>
      <c r="F247" s="118" t="n">
        <f aca="false">IF($C247=0,0,$V$4/($V$4^2+($C247-$V$5)^2))</f>
        <v>0</v>
      </c>
      <c r="G247" s="118" t="n">
        <f aca="false">IF($C247=0,0,-($C247-$V$5)/($V$4^2+($C247-$V$5)^2))</f>
        <v>0</v>
      </c>
      <c r="H247" s="118" t="n">
        <f aca="false">IF($C247=0,0,$V$4/($V$4^2+($C247+$V$5)^2))</f>
        <v>0</v>
      </c>
      <c r="I247" s="118" t="n">
        <f aca="false">IF($C247=0,0,-($C247+$V$5)/($V$4^2+($C247+$V$5)^2))</f>
        <v>0</v>
      </c>
      <c r="J247" s="118" t="n">
        <f aca="false">IF($C247=0,0,$V$6/($V$6^2+($C247-$V$7)^2))</f>
        <v>0</v>
      </c>
      <c r="K247" s="118" t="n">
        <f aca="false">IF($C247=0,0,-($C247-$V$7)/($V$6^2+($C247-$V$7)^2))</f>
        <v>0</v>
      </c>
      <c r="L247" s="118" t="n">
        <f aca="false">IF($C247=0,0,$V$6/($V$6^2+($C247+$V$7)^2))</f>
        <v>0</v>
      </c>
      <c r="M247" s="118" t="n">
        <f aca="false">IF($C247=0,0,-($C247+$V$7)/($V$6^2+($C247+$V$7)^2))</f>
        <v>0</v>
      </c>
      <c r="N247" s="118" t="n">
        <f aca="false">G247+I247</f>
        <v>0</v>
      </c>
      <c r="O247" s="118" t="n">
        <f aca="false">F247-H247</f>
        <v>0</v>
      </c>
      <c r="P247" s="118" t="n">
        <f aca="false">K247+M247</f>
        <v>0</v>
      </c>
      <c r="Q247" s="118" t="n">
        <f aca="false">J247-L247</f>
        <v>0</v>
      </c>
      <c r="R247" s="88" t="n">
        <f aca="false">0</f>
        <v>0</v>
      </c>
      <c r="S247" s="88" t="n">
        <f aca="false">0</f>
        <v>0</v>
      </c>
      <c r="T247" s="71" t="n">
        <f aca="false">E247</f>
        <v>0</v>
      </c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customFormat="false" ht="15" hidden="false" customHeight="false" outlineLevel="0" collapsed="false">
      <c r="A248" s="110" t="str">
        <f aca="false">"虚部"</f>
        <v>虚部</v>
      </c>
      <c r="B248" s="88" t="str">
        <f aca="false">IF(03_FRFデータ貼付!B125="","",03_FRFデータ貼付!A125)</f>
        <v/>
      </c>
      <c r="C248" s="89" t="n">
        <f aca="false">IF(03_FRFデータ貼付!B125="",0,03_FRFデータ貼付!G125)</f>
        <v>0</v>
      </c>
      <c r="D248" s="71" t="n">
        <f aca="false">IF(03_FRFデータ貼付!C125="",0,03_FRFデータ貼付!C125)</f>
        <v>0</v>
      </c>
      <c r="E248" s="71" t="n">
        <f aca="false">IF(03_FRFデータ貼付!D125="",0,03_FRFデータ貼付!D125)</f>
        <v>0</v>
      </c>
      <c r="F248" s="118" t="n">
        <f aca="false">IF($C248=0,0,$V$4/($V$4^2+($C248-$V$5)^2))</f>
        <v>0</v>
      </c>
      <c r="G248" s="118" t="n">
        <f aca="false">IF($C248=0,0,-($C248-$V$5)/($V$4^2+($C248-$V$5)^2))</f>
        <v>0</v>
      </c>
      <c r="H248" s="118" t="n">
        <f aca="false">IF($C248=0,0,$V$4/($V$4^2+($C248+$V$5)^2))</f>
        <v>0</v>
      </c>
      <c r="I248" s="118" t="n">
        <f aca="false">IF($C248=0,0,-($C248+$V$5)/($V$4^2+($C248+$V$5)^2))</f>
        <v>0</v>
      </c>
      <c r="J248" s="118" t="n">
        <f aca="false">IF($C248=0,0,$V$6/($V$6^2+($C248-$V$7)^2))</f>
        <v>0</v>
      </c>
      <c r="K248" s="118" t="n">
        <f aca="false">IF($C248=0,0,-($C248-$V$7)/($V$6^2+($C248-$V$7)^2))</f>
        <v>0</v>
      </c>
      <c r="L248" s="118" t="n">
        <f aca="false">IF($C248=0,0,$V$6/($V$6^2+($C248+$V$7)^2))</f>
        <v>0</v>
      </c>
      <c r="M248" s="118" t="n">
        <f aca="false">IF($C248=0,0,-($C248+$V$7)/($V$6^2+($C248+$V$7)^2))</f>
        <v>0</v>
      </c>
      <c r="N248" s="118" t="n">
        <f aca="false">G248+I248</f>
        <v>0</v>
      </c>
      <c r="O248" s="118" t="n">
        <f aca="false">F248-H248</f>
        <v>0</v>
      </c>
      <c r="P248" s="118" t="n">
        <f aca="false">K248+M248</f>
        <v>0</v>
      </c>
      <c r="Q248" s="118" t="n">
        <f aca="false">J248-L248</f>
        <v>0</v>
      </c>
      <c r="R248" s="88" t="n">
        <f aca="false">0</f>
        <v>0</v>
      </c>
      <c r="S248" s="88" t="n">
        <f aca="false">0</f>
        <v>0</v>
      </c>
      <c r="T248" s="71" t="n">
        <f aca="false">E248</f>
        <v>0</v>
      </c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customFormat="false" ht="15" hidden="false" customHeight="false" outlineLevel="0" collapsed="false">
      <c r="A249" s="110" t="str">
        <f aca="false">"虚部"</f>
        <v>虚部</v>
      </c>
      <c r="B249" s="88" t="str">
        <f aca="false">IF(03_FRFデータ貼付!B126="","",03_FRFデータ貼付!A126)</f>
        <v/>
      </c>
      <c r="C249" s="89" t="n">
        <f aca="false">IF(03_FRFデータ貼付!B126="",0,03_FRFデータ貼付!G126)</f>
        <v>0</v>
      </c>
      <c r="D249" s="71" t="n">
        <f aca="false">IF(03_FRFデータ貼付!C126="",0,03_FRFデータ貼付!C126)</f>
        <v>0</v>
      </c>
      <c r="E249" s="71" t="n">
        <f aca="false">IF(03_FRFデータ貼付!D126="",0,03_FRFデータ貼付!D126)</f>
        <v>0</v>
      </c>
      <c r="F249" s="118" t="n">
        <f aca="false">IF($C249=0,0,$V$4/($V$4^2+($C249-$V$5)^2))</f>
        <v>0</v>
      </c>
      <c r="G249" s="118" t="n">
        <f aca="false">IF($C249=0,0,-($C249-$V$5)/($V$4^2+($C249-$V$5)^2))</f>
        <v>0</v>
      </c>
      <c r="H249" s="118" t="n">
        <f aca="false">IF($C249=0,0,$V$4/($V$4^2+($C249+$V$5)^2))</f>
        <v>0</v>
      </c>
      <c r="I249" s="118" t="n">
        <f aca="false">IF($C249=0,0,-($C249+$V$5)/($V$4^2+($C249+$V$5)^2))</f>
        <v>0</v>
      </c>
      <c r="J249" s="118" t="n">
        <f aca="false">IF($C249=0,0,$V$6/($V$6^2+($C249-$V$7)^2))</f>
        <v>0</v>
      </c>
      <c r="K249" s="118" t="n">
        <f aca="false">IF($C249=0,0,-($C249-$V$7)/($V$6^2+($C249-$V$7)^2))</f>
        <v>0</v>
      </c>
      <c r="L249" s="118" t="n">
        <f aca="false">IF($C249=0,0,$V$6/($V$6^2+($C249+$V$7)^2))</f>
        <v>0</v>
      </c>
      <c r="M249" s="118" t="n">
        <f aca="false">IF($C249=0,0,-($C249+$V$7)/($V$6^2+($C249+$V$7)^2))</f>
        <v>0</v>
      </c>
      <c r="N249" s="118" t="n">
        <f aca="false">G249+I249</f>
        <v>0</v>
      </c>
      <c r="O249" s="118" t="n">
        <f aca="false">F249-H249</f>
        <v>0</v>
      </c>
      <c r="P249" s="118" t="n">
        <f aca="false">K249+M249</f>
        <v>0</v>
      </c>
      <c r="Q249" s="118" t="n">
        <f aca="false">J249-L249</f>
        <v>0</v>
      </c>
      <c r="R249" s="88" t="n">
        <f aca="false">0</f>
        <v>0</v>
      </c>
      <c r="S249" s="88" t="n">
        <f aca="false">0</f>
        <v>0</v>
      </c>
      <c r="T249" s="71" t="n">
        <f aca="false">E249</f>
        <v>0</v>
      </c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customFormat="false" ht="15" hidden="false" customHeight="false" outlineLevel="0" collapsed="false">
      <c r="A250" s="110" t="str">
        <f aca="false">"虚部"</f>
        <v>虚部</v>
      </c>
      <c r="B250" s="88" t="str">
        <f aca="false">IF(03_FRFデータ貼付!B127="","",03_FRFデータ貼付!A127)</f>
        <v/>
      </c>
      <c r="C250" s="89" t="n">
        <f aca="false">IF(03_FRFデータ貼付!B127="",0,03_FRFデータ貼付!G127)</f>
        <v>0</v>
      </c>
      <c r="D250" s="71" t="n">
        <f aca="false">IF(03_FRFデータ貼付!C127="",0,03_FRFデータ貼付!C127)</f>
        <v>0</v>
      </c>
      <c r="E250" s="71" t="n">
        <f aca="false">IF(03_FRFデータ貼付!D127="",0,03_FRFデータ貼付!D127)</f>
        <v>0</v>
      </c>
      <c r="F250" s="118" t="n">
        <f aca="false">IF($C250=0,0,$V$4/($V$4^2+($C250-$V$5)^2))</f>
        <v>0</v>
      </c>
      <c r="G250" s="118" t="n">
        <f aca="false">IF($C250=0,0,-($C250-$V$5)/($V$4^2+($C250-$V$5)^2))</f>
        <v>0</v>
      </c>
      <c r="H250" s="118" t="n">
        <f aca="false">IF($C250=0,0,$V$4/($V$4^2+($C250+$V$5)^2))</f>
        <v>0</v>
      </c>
      <c r="I250" s="118" t="n">
        <f aca="false">IF($C250=0,0,-($C250+$V$5)/($V$4^2+($C250+$V$5)^2))</f>
        <v>0</v>
      </c>
      <c r="J250" s="118" t="n">
        <f aca="false">IF($C250=0,0,$V$6/($V$6^2+($C250-$V$7)^2))</f>
        <v>0</v>
      </c>
      <c r="K250" s="118" t="n">
        <f aca="false">IF($C250=0,0,-($C250-$V$7)/($V$6^2+($C250-$V$7)^2))</f>
        <v>0</v>
      </c>
      <c r="L250" s="118" t="n">
        <f aca="false">IF($C250=0,0,$V$6/($V$6^2+($C250+$V$7)^2))</f>
        <v>0</v>
      </c>
      <c r="M250" s="118" t="n">
        <f aca="false">IF($C250=0,0,-($C250+$V$7)/($V$6^2+($C250+$V$7)^2))</f>
        <v>0</v>
      </c>
      <c r="N250" s="118" t="n">
        <f aca="false">G250+I250</f>
        <v>0</v>
      </c>
      <c r="O250" s="118" t="n">
        <f aca="false">F250-H250</f>
        <v>0</v>
      </c>
      <c r="P250" s="118" t="n">
        <f aca="false">K250+M250</f>
        <v>0</v>
      </c>
      <c r="Q250" s="118" t="n">
        <f aca="false">J250-L250</f>
        <v>0</v>
      </c>
      <c r="R250" s="88" t="n">
        <f aca="false">0</f>
        <v>0</v>
      </c>
      <c r="S250" s="88" t="n">
        <f aca="false">0</f>
        <v>0</v>
      </c>
      <c r="T250" s="71" t="n">
        <f aca="false">E250</f>
        <v>0</v>
      </c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customFormat="false" ht="1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customFormat="false" ht="1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customFormat="false" ht="15" hidden="false" customHeight="false" outlineLevel="0" collapsed="false">
      <c r="A253" s="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customFormat="false" ht="1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customFormat="false" ht="1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customFormat="false" ht="1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customFormat="false" ht="1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customFormat="false" ht="1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customFormat="false" ht="1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customFormat="false" ht="1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E6A0"/>
    <pageSetUpPr fitToPage="false"/>
  </sheetPr>
  <dimension ref="A1:N1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8" min="3" style="0" width="13"/>
    <col collapsed="false" customWidth="true" hidden="false" outlineLevel="0" max="9" min="9" style="0" width="12"/>
    <col collapsed="false" customWidth="true" hidden="false" outlineLevel="0" max="10" min="10" style="0" width="4"/>
    <col collapsed="false" customWidth="true" hidden="false" outlineLevel="0" max="11" min="11" style="0" width="50"/>
  </cols>
  <sheetData>
    <row r="1" customFormat="false" ht="23.1" hidden="false" customHeight="false" outlineLevel="0" collapsed="false">
      <c r="A1" s="1" t="s">
        <v>536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3" t="s">
        <v>537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4" t="s">
        <v>538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33" t="s">
        <v>539</v>
      </c>
      <c r="B4" s="2"/>
      <c r="C4" s="32" t="n">
        <f aca="false">IFERROR(SQRT(SUMSQ(E8:E127)+SUMSQ(F8:F127))/SQRT(SUMSQ(C8:C127)+SUMSQ(D8:D127))*100,"")</f>
        <v>0.0986843713020673</v>
      </c>
      <c r="D4" s="26" t="s">
        <v>540</v>
      </c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15" hidden="false" customHeight="false" outlineLevel="0" collapsed="false">
      <c r="A5" s="33" t="s">
        <v>258</v>
      </c>
      <c r="B5" s="2"/>
      <c r="C5" s="11" t="str">
        <f aca="false">IFERROR(IF(C4&lt;1,"◎ 非常に良好（1%未満）",IF(C4&lt;5,"○ 良好（5%未満）。実用上問題なし",IF(C4&lt;15,"△ 要注意。帯域かモード数を見直す","✕ 不良。モード数違い／ノイズ／二度打ちを疑う"))),"")</f>
        <v>◎ 非常に良好（1%未満）</v>
      </c>
      <c r="D5" s="32"/>
      <c r="E5" s="3"/>
      <c r="F5" s="2"/>
      <c r="G5" s="2"/>
      <c r="H5" s="2"/>
      <c r="I5" s="2"/>
      <c r="J5" s="2"/>
      <c r="K5" s="2"/>
      <c r="L5" s="2"/>
      <c r="M5" s="2"/>
      <c r="N5" s="2"/>
    </row>
    <row r="6" customFormat="false" ht="30" hidden="false" customHeight="true" outlineLevel="0" collapsed="false">
      <c r="A6" s="33" t="s">
        <v>541</v>
      </c>
      <c r="B6" s="2"/>
      <c r="C6" s="88" t="n">
        <f aca="false">COUNT(B8:B127)</f>
        <v>21</v>
      </c>
      <c r="D6" s="100"/>
      <c r="E6" s="2"/>
      <c r="F6" s="2"/>
      <c r="G6" s="2"/>
      <c r="H6" s="2"/>
      <c r="I6" s="2"/>
      <c r="J6" s="2"/>
      <c r="K6" s="2"/>
      <c r="L6" s="2"/>
      <c r="M6" s="2"/>
      <c r="N6" s="2"/>
    </row>
    <row r="7" customFormat="false" ht="33.75" hidden="false" customHeight="true" outlineLevel="0" collapsed="false">
      <c r="A7" s="107" t="s">
        <v>239</v>
      </c>
      <c r="B7" s="107"/>
      <c r="C7" s="87" t="s">
        <v>542</v>
      </c>
      <c r="D7" s="82"/>
      <c r="E7" s="87" t="s">
        <v>543</v>
      </c>
      <c r="F7" s="87" t="s">
        <v>544</v>
      </c>
      <c r="G7" s="87" t="s">
        <v>545</v>
      </c>
      <c r="H7" s="87" t="s">
        <v>546</v>
      </c>
      <c r="I7" s="87" t="s">
        <v>547</v>
      </c>
      <c r="J7" s="87" t="s">
        <v>548</v>
      </c>
      <c r="K7" s="2"/>
      <c r="L7" s="2"/>
      <c r="M7" s="2"/>
      <c r="N7" s="2"/>
    </row>
    <row r="8" customFormat="false" ht="15" hidden="false" customHeight="false" outlineLevel="0" collapsed="false">
      <c r="A8" s="88" t="n">
        <f aca="false">IF(03_FRFデータ貼付!B8="","",03_FRFデータ貼付!A8)</f>
        <v>1</v>
      </c>
      <c r="B8" s="89" t="n">
        <f aca="false">IF(03_FRFデータ貼付!B8="","",03_FRFデータ貼付!B8)</f>
        <v>3400</v>
      </c>
      <c r="C8" s="71" t="n">
        <f aca="false">IF(03_FRFデータ貼付!B8="","",03_FRFデータ貼付!C8)</f>
        <v>5.1E-005</v>
      </c>
      <c r="D8" s="71" t="n">
        <f aca="false">IF(03_FRFデータ貼付!B8="","",03_FRFデータ貼付!D8)</f>
        <v>0.00301</v>
      </c>
      <c r="E8" s="71" t="n">
        <f aca="false">IF(B8="","",I8-C8)</f>
        <v>-8.81280577411565E-007</v>
      </c>
      <c r="F8" s="71" t="n">
        <f aca="false">IF(B8="","",J8-D8)</f>
        <v>-1.10643535619495E-006</v>
      </c>
      <c r="G8" s="143" t="n">
        <f aca="false">IF(B8="","",SQRT(C8^2+D8^2))</f>
        <v>0.00301043202879587</v>
      </c>
      <c r="H8" s="144" t="n">
        <f aca="false">IF(B8="","",SQRT(I8^2+J8^2))</f>
        <v>0.00300931094594618</v>
      </c>
      <c r="I8" s="145" t="n">
        <f aca="false">IF(03_FRFデータ貼付!B8="","",10_レジデュー_MEscope!N11*10_レジデュー_MEscope!$W$37+10_レジデュー_MEscope!O11*10_レジデュー_MEscope!$W$38+10_レジデュー_MEscope!P11*10_レジデュー_MEscope!$W$39+10_レジデュー_MEscope!Q11*10_レジデュー_MEscope!$W$40+10_レジデュー_MEscope!R11*10_レジデュー_MEscope!$W$41+10_レジデュー_MEscope!S11*10_レジデュー_MEscope!$W$42)</f>
        <v>5.01187194225884E-005</v>
      </c>
      <c r="J8" s="145" t="n">
        <f aca="false">IF(03_FRFデータ貼付!B8="","",10_レジデュー_MEscope!N131*10_レジデュー_MEscope!$W$37+10_レジデュー_MEscope!O131*10_レジデュー_MEscope!$W$38+10_レジデュー_MEscope!P131*10_レジデュー_MEscope!$W$39+10_レジデュー_MEscope!Q131*10_レジデュー_MEscope!$W$40)</f>
        <v>0.00300889356464381</v>
      </c>
      <c r="K8" s="2"/>
      <c r="L8" s="2"/>
      <c r="M8" s="2"/>
      <c r="N8" s="2"/>
    </row>
    <row r="9" customFormat="false" ht="15" hidden="false" customHeight="false" outlineLevel="0" collapsed="false">
      <c r="A9" s="88" t="n">
        <f aca="false">IF(03_FRFデータ貼付!B9="","",03_FRFデータ貼付!A9)</f>
        <v>2</v>
      </c>
      <c r="B9" s="89" t="n">
        <f aca="false">IF(03_FRFデータ貼付!B9="","",03_FRFデータ貼付!B9)</f>
        <v>3410</v>
      </c>
      <c r="C9" s="71" t="n">
        <f aca="false">IF(03_FRFデータ貼付!B9="","",03_FRFデータ貼付!C9)</f>
        <v>9.3E-005</v>
      </c>
      <c r="D9" s="71" t="n">
        <f aca="false">IF(03_FRFデータ貼付!B9="","",03_FRFデータ貼付!D9)</f>
        <v>0.003391</v>
      </c>
      <c r="E9" s="71" t="n">
        <f aca="false">IF(B9="","",I9-C9)</f>
        <v>-8.22248278150629E-007</v>
      </c>
      <c r="F9" s="71" t="n">
        <f aca="false">IF(B9="","",J9-D9)</f>
        <v>-4.21837636244062E-006</v>
      </c>
      <c r="G9" s="143" t="n">
        <f aca="false">IF(B9="","",SQRT(C9^2+D9^2))</f>
        <v>0.00339227504781083</v>
      </c>
      <c r="H9" s="144" t="n">
        <f aca="false">IF(B9="","",SQRT(I9^2+J9^2))</f>
        <v>0.0033880357884948</v>
      </c>
      <c r="I9" s="145" t="n">
        <f aca="false">IF(03_FRFデータ貼付!B9="","",10_レジデュー_MEscope!N12*10_レジデュー_MEscope!$W$37+10_レジデュー_MEscope!O12*10_レジデュー_MEscope!$W$38+10_レジデュー_MEscope!P12*10_レジデュー_MEscope!$W$39+10_レジデュー_MEscope!Q12*10_レジデュー_MEscope!$W$40+10_レジデュー_MEscope!R12*10_レジデュー_MEscope!$W$41+10_レジデュー_MEscope!S12*10_レジデュー_MEscope!$W$42)</f>
        <v>9.21777517218494E-005</v>
      </c>
      <c r="J9" s="145" t="n">
        <f aca="false">IF(03_FRFデータ貼付!B9="","",10_レジデュー_MEscope!N132*10_レジデュー_MEscope!$W$37+10_レジデュー_MEscope!O132*10_レジデュー_MEscope!$W$38+10_レジデュー_MEscope!P132*10_レジデュー_MEscope!$W$39+10_レジデュー_MEscope!Q132*10_レジデュー_MEscope!$W$40)</f>
        <v>0.00338678162363756</v>
      </c>
      <c r="K9" s="2"/>
      <c r="L9" s="2"/>
      <c r="M9" s="2"/>
      <c r="N9" s="2"/>
    </row>
    <row r="10" customFormat="false" ht="15" hidden="false" customHeight="false" outlineLevel="0" collapsed="false">
      <c r="A10" s="88" t="n">
        <f aca="false">IF(03_FRFデータ貼付!B10="","",03_FRFデータ貼付!A10)</f>
        <v>3</v>
      </c>
      <c r="B10" s="89" t="n">
        <f aca="false">IF(03_FRFデータ貼付!B10="","",03_FRFデータ貼付!B10)</f>
        <v>3420</v>
      </c>
      <c r="C10" s="71" t="n">
        <f aca="false">IF(03_FRFデータ貼付!B10="","",03_FRFデータ貼付!C10)</f>
        <v>0.000162</v>
      </c>
      <c r="D10" s="71" t="n">
        <f aca="false">IF(03_FRFデータ貼付!B10="","",03_FRFデータ貼付!D10)</f>
        <v>0.003876</v>
      </c>
      <c r="E10" s="71" t="n">
        <f aca="false">IF(B10="","",I10-C10)</f>
        <v>-1.20026778462727E-006</v>
      </c>
      <c r="F10" s="71" t="n">
        <f aca="false">IF(B10="","",J10-D10)</f>
        <v>-1.1327175177267E-006</v>
      </c>
      <c r="G10" s="143" t="n">
        <f aca="false">IF(B10="","",SQRT(C10^2+D10^2))</f>
        <v>0.0038793839717151</v>
      </c>
      <c r="H10" s="144" t="n">
        <f aca="false">IF(B10="","",SQRT(I10^2+J10^2))</f>
        <v>0.003878202291105</v>
      </c>
      <c r="I10" s="145" t="n">
        <f aca="false">IF(03_FRFデータ貼付!B10="","",10_レジデュー_MEscope!N13*10_レジデュー_MEscope!$W$37+10_レジデュー_MEscope!O13*10_レジデュー_MEscope!$W$38+10_レジデュー_MEscope!P13*10_レジデュー_MEscope!$W$39+10_レジデュー_MEscope!Q13*10_レジデュー_MEscope!$W$40+10_レジデュー_MEscope!R13*10_レジデュー_MEscope!$W$41+10_レジデュー_MEscope!S13*10_レジデュー_MEscope!$W$42)</f>
        <v>0.000160799732215373</v>
      </c>
      <c r="J10" s="145" t="n">
        <f aca="false">IF(03_FRFデータ貼付!B10="","",10_レジデュー_MEscope!N133*10_レジデュー_MEscope!$W$37+10_レジデュー_MEscope!O133*10_レジデュー_MEscope!$W$38+10_レジデュー_MEscope!P133*10_レジデュー_MEscope!$W$39+10_レジデュー_MEscope!Q133*10_レジデュー_MEscope!$W$40)</f>
        <v>0.00387486728248227</v>
      </c>
      <c r="K10" s="2"/>
      <c r="L10" s="2"/>
      <c r="M10" s="2"/>
      <c r="N10" s="2"/>
    </row>
    <row r="11" customFormat="false" ht="15" hidden="false" customHeight="false" outlineLevel="0" collapsed="false">
      <c r="A11" s="88" t="n">
        <f aca="false">IF(03_FRFデータ貼付!B11="","",03_FRFデータ貼付!A11)</f>
        <v>4</v>
      </c>
      <c r="B11" s="89" t="n">
        <f aca="false">IF(03_FRFデータ貼付!B11="","",03_FRFデータ貼付!B11)</f>
        <v>3430</v>
      </c>
      <c r="C11" s="71" t="n">
        <f aca="false">IF(03_FRFデータ貼付!B11="","",03_FRFデータ貼付!C11)</f>
        <v>0.00028</v>
      </c>
      <c r="D11" s="71" t="n">
        <f aca="false">IF(03_FRFデータ貼付!B11="","",03_FRFデータ貼付!D11)</f>
        <v>0.004516</v>
      </c>
      <c r="E11" s="71" t="n">
        <f aca="false">IF(B11="","",I11-C11)</f>
        <v>5.70023305722562E-007</v>
      </c>
      <c r="F11" s="71" t="n">
        <f aca="false">IF(B11="","",J11-D11)</f>
        <v>1.41987731021422E-005</v>
      </c>
      <c r="G11" s="143" t="n">
        <f aca="false">IF(B11="","",SQRT(C11^2+D11^2))</f>
        <v>0.00452467192180825</v>
      </c>
      <c r="H11" s="144" t="n">
        <f aca="false">IF(B11="","",SQRT(I11^2+J11^2))</f>
        <v>0.0045388787670298</v>
      </c>
      <c r="I11" s="145" t="n">
        <f aca="false">IF(03_FRFデータ貼付!B11="","",10_レジデュー_MEscope!N14*10_レジデュー_MEscope!$W$37+10_レジデュー_MEscope!O14*10_レジデュー_MEscope!$W$38+10_レジデュー_MEscope!P14*10_レジデュー_MEscope!$W$39+10_レジデュー_MEscope!Q14*10_レジデュー_MEscope!$W$40+10_レジデュー_MEscope!R14*10_レジデュー_MEscope!$W$41+10_レジデュー_MEscope!S14*10_レジデュー_MEscope!$W$42)</f>
        <v>0.000280570023305723</v>
      </c>
      <c r="J11" s="145" t="n">
        <f aca="false">IF(03_FRFデータ貼付!B11="","",10_レジデュー_MEscope!N134*10_レジデュー_MEscope!$W$37+10_レジデュー_MEscope!O134*10_レジデュー_MEscope!$W$38+10_レジデュー_MEscope!P134*10_レジデュー_MEscope!$W$39+10_レジデュー_MEscope!Q134*10_レジデュー_MEscope!$W$40)</f>
        <v>0.00453019877310214</v>
      </c>
      <c r="K11" s="2"/>
      <c r="L11" s="2"/>
      <c r="M11" s="2"/>
      <c r="N11" s="2"/>
    </row>
    <row r="12" customFormat="false" ht="15" hidden="false" customHeight="false" outlineLevel="0" collapsed="false">
      <c r="A12" s="88" t="n">
        <f aca="false">IF(03_FRFデータ貼付!B12="","",03_FRFデータ貼付!A12)</f>
        <v>5</v>
      </c>
      <c r="B12" s="89" t="n">
        <f aca="false">IF(03_FRFデータ貼付!B12="","",03_FRFデータ貼付!B12)</f>
        <v>3440</v>
      </c>
      <c r="C12" s="71" t="n">
        <f aca="false">IF(03_FRFデータ貼付!B12="","",03_FRFデータ貼付!C12)</f>
        <v>0.000512</v>
      </c>
      <c r="D12" s="71" t="n">
        <f aca="false">IF(03_FRFデータ貼付!B12="","",03_FRFデータ貼付!D12)</f>
        <v>0.005463</v>
      </c>
      <c r="E12" s="71" t="n">
        <f aca="false">IF(B12="","",I12-C12)</f>
        <v>-1.70655929829157E-006</v>
      </c>
      <c r="F12" s="71" t="n">
        <f aca="false">IF(B12="","",J12-D12)</f>
        <v>-7.0966551839538E-006</v>
      </c>
      <c r="G12" s="143" t="n">
        <f aca="false">IF(B12="","",SQRT(C12^2+D12^2))</f>
        <v>0.0054869402220181</v>
      </c>
      <c r="H12" s="144" t="n">
        <f aca="false">IF(B12="","",SQRT(I12^2+J12^2))</f>
        <v>0.00547971538527304</v>
      </c>
      <c r="I12" s="145" t="n">
        <f aca="false">IF(03_FRFデータ貼付!B12="","",10_レジデュー_MEscope!N15*10_レジデュー_MEscope!$W$37+10_レジデュー_MEscope!O15*10_レジデュー_MEscope!$W$38+10_レジデュー_MEscope!P15*10_レジデュー_MEscope!$W$39+10_レジデュー_MEscope!Q15*10_レジデュー_MEscope!$W$40+10_レジデュー_MEscope!R15*10_レジデュー_MEscope!$W$41+10_レジデュー_MEscope!S15*10_レジデュー_MEscope!$W$42)</f>
        <v>0.000510293440701708</v>
      </c>
      <c r="J12" s="145" t="n">
        <f aca="false">IF(03_FRFデータ貼付!B12="","",10_レジデュー_MEscope!N135*10_レジデュー_MEscope!$W$37+10_レジデュー_MEscope!O135*10_レジデュー_MEscope!$W$38+10_レジデュー_MEscope!P135*10_レジデュー_MEscope!$W$39+10_レジデュー_MEscope!Q135*10_レジデュー_MEscope!$W$40)</f>
        <v>0.00545590334481605</v>
      </c>
      <c r="K12" s="2"/>
      <c r="L12" s="2"/>
      <c r="M12" s="2"/>
      <c r="N12" s="2"/>
    </row>
    <row r="13" customFormat="false" ht="15" hidden="false" customHeight="false" outlineLevel="0" collapsed="false">
      <c r="A13" s="88" t="n">
        <f aca="false">IF(03_FRFデータ貼付!B13="","",03_FRFデータ貼付!A13)</f>
        <v>6</v>
      </c>
      <c r="B13" s="89" t="n">
        <f aca="false">IF(03_FRFデータ貼付!B13="","",03_FRFデータ貼付!B13)</f>
        <v>3450</v>
      </c>
      <c r="C13" s="71" t="n">
        <f aca="false">IF(03_FRFデータ貼付!B13="","",03_FRFデータ貼付!C13)</f>
        <v>0.001016</v>
      </c>
      <c r="D13" s="71" t="n">
        <f aca="false">IF(03_FRFデータ貼付!B13="","",03_FRFデータ貼付!D13)</f>
        <v>0.006854</v>
      </c>
      <c r="E13" s="71" t="n">
        <f aca="false">IF(B13="","",I13-C13)</f>
        <v>-1.01262546612431E-006</v>
      </c>
      <c r="F13" s="71" t="n">
        <f aca="false">IF(B13="","",J13-D13)</f>
        <v>-2.49627374091996E-006</v>
      </c>
      <c r="G13" s="143" t="n">
        <f aca="false">IF(B13="","",SQRT(C13^2+D13^2))</f>
        <v>0.00692889399543679</v>
      </c>
      <c r="H13" s="144" t="n">
        <f aca="false">IF(B13="","",SQRT(I13^2+J13^2))</f>
        <v>0.00692627624928469</v>
      </c>
      <c r="I13" s="145" t="n">
        <f aca="false">IF(03_FRFデータ貼付!B13="","",10_レジデュー_MEscope!N16*10_レジデュー_MEscope!$W$37+10_レジデュー_MEscope!O16*10_レジデュー_MEscope!$W$38+10_レジデュー_MEscope!P16*10_レジデュー_MEscope!$W$39+10_レジデュー_MEscope!Q16*10_レジデュー_MEscope!$W$40+10_レジデュー_MEscope!R16*10_レジデュー_MEscope!$W$41+10_レジデュー_MEscope!S16*10_レジデュー_MEscope!$W$42)</f>
        <v>0.00101498737453388</v>
      </c>
      <c r="J13" s="145" t="n">
        <f aca="false">IF(03_FRFデータ貼付!B13="","",10_レジデュー_MEscope!N136*10_レジデュー_MEscope!$W$37+10_レジデュー_MEscope!O136*10_レジデュー_MEscope!$W$38+10_レジデュー_MEscope!P136*10_レジデュー_MEscope!$W$39+10_レジデュー_MEscope!Q136*10_レジデュー_MEscope!$W$40)</f>
        <v>0.00685150372625908</v>
      </c>
      <c r="K13" s="2"/>
      <c r="L13" s="2"/>
      <c r="M13" s="2"/>
      <c r="N13" s="2"/>
    </row>
    <row r="14" customFormat="false" ht="15" hidden="false" customHeight="false" outlineLevel="0" collapsed="false">
      <c r="A14" s="88" t="n">
        <f aca="false">IF(03_FRFデータ貼付!B14="","",03_FRFデータ貼付!A14)</f>
        <v>7</v>
      </c>
      <c r="B14" s="89" t="n">
        <f aca="false">IF(03_FRFデータ貼付!B14="","",03_FRFデータ貼付!B14)</f>
        <v>3460</v>
      </c>
      <c r="C14" s="71" t="n">
        <f aca="false">IF(03_FRFデータ貼付!B14="","",03_FRFデータ貼付!C14)</f>
        <v>0.002362</v>
      </c>
      <c r="D14" s="71" t="n">
        <f aca="false">IF(03_FRFデータ貼付!B14="","",03_FRFデータ貼付!D14)</f>
        <v>0.00908</v>
      </c>
      <c r="E14" s="71" t="n">
        <f aca="false">IF(B14="","",I14-C14)</f>
        <v>3.84776965108372E-006</v>
      </c>
      <c r="F14" s="71" t="n">
        <f aca="false">IF(B14="","",J14-D14)</f>
        <v>1.39530991004402E-005</v>
      </c>
      <c r="G14" s="143" t="n">
        <f aca="false">IF(B14="","",SQRT(C14^2+D14^2))</f>
        <v>0.00938218759138827</v>
      </c>
      <c r="H14" s="144" t="n">
        <f aca="false">IF(B14="","",SQRT(I14^2+J14^2))</f>
        <v>0.00939665997244774</v>
      </c>
      <c r="I14" s="145" t="n">
        <f aca="false">IF(03_FRFデータ貼付!B14="","",10_レジデュー_MEscope!N17*10_レジデュー_MEscope!$W$37+10_レジデュー_MEscope!O17*10_レジデュー_MEscope!$W$38+10_レジデュー_MEscope!P17*10_レジデュー_MEscope!$W$39+10_レジデュー_MEscope!Q17*10_レジデュー_MEscope!$W$40+10_レジデュー_MEscope!R17*10_レジデュー_MEscope!$W$41+10_レジデュー_MEscope!S17*10_レジデュー_MEscope!$W$42)</f>
        <v>0.00236584776965108</v>
      </c>
      <c r="J14" s="145" t="n">
        <f aca="false">IF(03_FRFデータ貼付!B14="","",10_レジデュー_MEscope!N137*10_レジデュー_MEscope!$W$37+10_レジデュー_MEscope!O137*10_レジデュー_MEscope!$W$38+10_レジデュー_MEscope!P137*10_レジデュー_MEscope!$W$39+10_レジデュー_MEscope!Q137*10_レジデュー_MEscope!$W$40)</f>
        <v>0.00909395309910044</v>
      </c>
      <c r="K14" s="2"/>
      <c r="L14" s="2"/>
      <c r="M14" s="2"/>
      <c r="N14" s="2"/>
    </row>
    <row r="15" customFormat="false" ht="15" hidden="false" customHeight="false" outlineLevel="0" collapsed="false">
      <c r="A15" s="88" t="n">
        <f aca="false">IF(03_FRFデータ貼付!B15="","",03_FRFデータ貼付!A15)</f>
        <v>8</v>
      </c>
      <c r="B15" s="89" t="n">
        <f aca="false">IF(03_FRFデータ貼付!B15="","",03_FRFデータ貼付!B15)</f>
        <v>3470</v>
      </c>
      <c r="C15" s="71" t="n">
        <f aca="false">IF(03_FRFデータ貼付!B15="","",03_FRFデータ貼付!C15)</f>
        <v>0.006939</v>
      </c>
      <c r="D15" s="71" t="n">
        <f aca="false">IF(03_FRFデータ貼付!B15="","",03_FRFデータ貼付!D15)</f>
        <v>0.012171</v>
      </c>
      <c r="E15" s="71" t="n">
        <f aca="false">IF(B15="","",I15-C15)</f>
        <v>-5.81857205804708E-006</v>
      </c>
      <c r="F15" s="71" t="n">
        <f aca="false">IF(B15="","",J15-D15)</f>
        <v>-1.07650702635773E-005</v>
      </c>
      <c r="G15" s="143" t="n">
        <f aca="false">IF(B15="","",SQRT(C15^2+D15^2))</f>
        <v>0.0140101021409553</v>
      </c>
      <c r="H15" s="144" t="n">
        <f aca="false">IF(B15="","",SQRT(I15^2+J15^2))</f>
        <v>0.0139978683469713</v>
      </c>
      <c r="I15" s="145" t="n">
        <f aca="false">IF(03_FRFデータ貼付!B15="","",10_レジデュー_MEscope!N18*10_レジデュー_MEscope!$W$37+10_レジデュー_MEscope!O18*10_レジデュー_MEscope!$W$38+10_レジデュー_MEscope!P18*10_レジデュー_MEscope!$W$39+10_レジデュー_MEscope!Q18*10_レジデュー_MEscope!$W$40+10_レジデュー_MEscope!R18*10_レジデュー_MEscope!$W$41+10_レジデュー_MEscope!S18*10_レジデュー_MEscope!$W$42)</f>
        <v>0.00693318142794195</v>
      </c>
      <c r="J15" s="145" t="n">
        <f aca="false">IF(03_FRFデータ貼付!B15="","",10_レジデュー_MEscope!N138*10_レジデュー_MEscope!$W$37+10_レジデュー_MEscope!O138*10_レジデュー_MEscope!$W$38+10_レジデュー_MEscope!P138*10_レジデュー_MEscope!$W$39+10_レジデュー_MEscope!Q138*10_レジデュー_MEscope!$W$40)</f>
        <v>0.0121602349297364</v>
      </c>
      <c r="K15" s="2"/>
      <c r="L15" s="2"/>
      <c r="M15" s="2"/>
      <c r="N15" s="2"/>
    </row>
    <row r="16" customFormat="false" ht="15" hidden="false" customHeight="false" outlineLevel="0" collapsed="false">
      <c r="A16" s="88" t="n">
        <f aca="false">IF(03_FRFデータ貼付!B16="","",03_FRFデータ貼付!A16)</f>
        <v>9</v>
      </c>
      <c r="B16" s="89" t="n">
        <f aca="false">IF(03_FRFデータ貼付!B16="","",03_FRFデータ貼付!B16)</f>
        <v>3480</v>
      </c>
      <c r="C16" s="71" t="n">
        <f aca="false">IF(03_FRFデータ貼付!B16="","",03_FRFデータ貼付!C16)</f>
        <v>0.016968</v>
      </c>
      <c r="D16" s="71" t="n">
        <f aca="false">IF(03_FRFデータ貼付!B16="","",03_FRFデータ貼付!D16)</f>
        <v>0.007099</v>
      </c>
      <c r="E16" s="71" t="n">
        <f aca="false">IF(B16="","",I16-C16)</f>
        <v>-6.61322424429234E-006</v>
      </c>
      <c r="F16" s="71" t="n">
        <f aca="false">IF(B16="","",J16-D16)</f>
        <v>3.12764446490452E-006</v>
      </c>
      <c r="G16" s="143" t="n">
        <f aca="false">IF(B16="","",SQRT(C16^2+D16^2))</f>
        <v>0.0183931733259924</v>
      </c>
      <c r="H16" s="144" t="n">
        <f aca="false">IF(B16="","",SQRT(I16^2+J16^2))</f>
        <v>0.0183882804643352</v>
      </c>
      <c r="I16" s="145" t="n">
        <f aca="false">IF(03_FRFデータ貼付!B16="","",10_レジデュー_MEscope!N19*10_レジデュー_MEscope!$W$37+10_レジデュー_MEscope!O19*10_レジデュー_MEscope!$W$38+10_レジデュー_MEscope!P19*10_レジデュー_MEscope!$W$39+10_レジデュー_MEscope!Q19*10_レジデュー_MEscope!$W$40+10_レジデュー_MEscope!R19*10_レジデュー_MEscope!$W$41+10_レジデュー_MEscope!S19*10_レジデュー_MEscope!$W$42)</f>
        <v>0.0169613867757557</v>
      </c>
      <c r="J16" s="145" t="n">
        <f aca="false">IF(03_FRFデータ貼付!B16="","",10_レジデュー_MEscope!N139*10_レジデュー_MEscope!$W$37+10_レジデュー_MEscope!O139*10_レジデュー_MEscope!$W$38+10_レジデュー_MEscope!P139*10_レジデュー_MEscope!$W$39+10_レジデュー_MEscope!Q139*10_レジデュー_MEscope!$W$40)</f>
        <v>0.00710212764446491</v>
      </c>
      <c r="K16" s="2"/>
      <c r="L16" s="2"/>
      <c r="M16" s="2"/>
      <c r="N16" s="2"/>
    </row>
    <row r="17" customFormat="false" ht="15" hidden="false" customHeight="false" outlineLevel="0" collapsed="false">
      <c r="A17" s="88" t="n">
        <f aca="false">IF(03_FRFデータ貼付!B17="","",03_FRFデータ貼付!A17)</f>
        <v>10</v>
      </c>
      <c r="B17" s="89" t="n">
        <f aca="false">IF(03_FRFデータ貼付!B17="","",03_FRFデータ貼付!B17)</f>
        <v>3490</v>
      </c>
      <c r="C17" s="71" t="n">
        <f aca="false">IF(03_FRFデータ貼付!B17="","",03_FRFデータ貼付!C17)</f>
        <v>0.012733</v>
      </c>
      <c r="D17" s="71" t="n">
        <f aca="false">IF(03_FRFデータ貼付!B17="","",03_FRFデータ貼付!D17)</f>
        <v>-0.002205</v>
      </c>
      <c r="E17" s="71" t="n">
        <f aca="false">IF(B17="","",I17-C17)</f>
        <v>4.26080953456511E-006</v>
      </c>
      <c r="F17" s="71" t="n">
        <f aca="false">IF(B17="","",J17-D17)</f>
        <v>-4.27848782431645E-006</v>
      </c>
      <c r="G17" s="143" t="n">
        <f aca="false">IF(B17="","",SQRT(C17^2+D17^2))</f>
        <v>0.0129225119075201</v>
      </c>
      <c r="H17" s="144" t="n">
        <f aca="false">IF(B17="","",SQRT(I17^2+J17^2))</f>
        <v>0.0129274407508551</v>
      </c>
      <c r="I17" s="145" t="n">
        <f aca="false">IF(03_FRFデータ貼付!B17="","",10_レジデュー_MEscope!N20*10_レジデュー_MEscope!$W$37+10_レジデュー_MEscope!O20*10_レジデュー_MEscope!$W$38+10_レジデュー_MEscope!P20*10_レジデュー_MEscope!$W$39+10_レジデュー_MEscope!Q20*10_レジデュー_MEscope!$W$40+10_レジデュー_MEscope!R20*10_レジデュー_MEscope!$W$41+10_レジデュー_MEscope!S20*10_レジデュー_MEscope!$W$42)</f>
        <v>0.0127372608095346</v>
      </c>
      <c r="J17" s="145" t="n">
        <f aca="false">IF(03_FRFデータ貼付!B17="","",10_レジデュー_MEscope!N140*10_レジデュー_MEscope!$W$37+10_レジデュー_MEscope!O140*10_レジデュー_MEscope!$W$38+10_レジデュー_MEscope!P140*10_レジデュー_MEscope!$W$39+10_レジデュー_MEscope!Q140*10_レジデュー_MEscope!$W$40)</f>
        <v>-0.00220927848782432</v>
      </c>
      <c r="K17" s="2"/>
      <c r="L17" s="2"/>
      <c r="M17" s="2"/>
      <c r="N17" s="2"/>
    </row>
    <row r="18" customFormat="false" ht="15" hidden="false" customHeight="false" outlineLevel="0" collapsed="false">
      <c r="A18" s="88" t="n">
        <f aca="false">IF(03_FRFデータ貼付!B18="","",03_FRFデータ貼付!A18)</f>
        <v>11</v>
      </c>
      <c r="B18" s="89" t="n">
        <f aca="false">IF(03_FRFデータ貼付!B18="","",03_FRFデータ貼付!B18)</f>
        <v>3500</v>
      </c>
      <c r="C18" s="71" t="n">
        <f aca="false">IF(03_FRFデータ貼付!B18="","",03_FRFデータ貼付!C18)</f>
        <v>0.009201</v>
      </c>
      <c r="D18" s="71" t="n">
        <f aca="false">IF(03_FRFデータ貼付!B18="","",03_FRFデータ貼付!D18)</f>
        <v>-0.001806</v>
      </c>
      <c r="E18" s="71" t="n">
        <f aca="false">IF(B18="","",I18-C18)</f>
        <v>1.78578541485536E-007</v>
      </c>
      <c r="F18" s="71" t="n">
        <f aca="false">IF(B18="","",J18-D18)</f>
        <v>-8.37731799481034E-006</v>
      </c>
      <c r="G18" s="143" t="n">
        <f aca="false">IF(B18="","",SQRT(C18^2+D18^2))</f>
        <v>0.00937656850878828</v>
      </c>
      <c r="H18" s="144" t="n">
        <f aca="false">IF(B18="","",SQRT(I18^2+J18^2))</f>
        <v>0.00937836085284975</v>
      </c>
      <c r="I18" s="145" t="n">
        <f aca="false">IF(03_FRFデータ貼付!B18="","",10_レジデュー_MEscope!N21*10_レジデュー_MEscope!$W$37+10_レジデュー_MEscope!O21*10_レジデュー_MEscope!$W$38+10_レジデュー_MEscope!P21*10_レジデュー_MEscope!$W$39+10_レジデュー_MEscope!Q21*10_レジデュー_MEscope!$W$40+10_レジデュー_MEscope!R21*10_レジデュー_MEscope!$W$41+10_レジデュー_MEscope!S21*10_レジデュー_MEscope!$W$42)</f>
        <v>0.00920117857854149</v>
      </c>
      <c r="J18" s="145" t="n">
        <f aca="false">IF(03_FRFデータ貼付!B18="","",10_レジデュー_MEscope!N141*10_レジデュー_MEscope!$W$37+10_レジデュー_MEscope!O141*10_レジデュー_MEscope!$W$38+10_レジデュー_MEscope!P141*10_レジデュー_MEscope!$W$39+10_レジデュー_MEscope!Q141*10_レジデュー_MEscope!$W$40)</f>
        <v>-0.00181437731799481</v>
      </c>
      <c r="K18" s="2"/>
      <c r="L18" s="2"/>
      <c r="M18" s="2"/>
      <c r="N18" s="2"/>
    </row>
    <row r="19" customFormat="false" ht="15" hidden="false" customHeight="false" outlineLevel="0" collapsed="false">
      <c r="A19" s="88" t="n">
        <f aca="false">IF(03_FRFデータ貼付!B19="","",03_FRFデータ貼付!A19)</f>
        <v>12</v>
      </c>
      <c r="B19" s="89" t="n">
        <f aca="false">IF(03_FRFデータ貼付!B19="","",03_FRFデータ貼付!B19)</f>
        <v>3510</v>
      </c>
      <c r="C19" s="71" t="n">
        <f aca="false">IF(03_FRFデータ貼付!B19="","",03_FRFデータ貼付!C19)</f>
        <v>0.010162</v>
      </c>
      <c r="D19" s="71" t="n">
        <f aca="false">IF(03_FRFデータ貼付!B19="","",03_FRFデータ貼付!D19)</f>
        <v>-0.00152</v>
      </c>
      <c r="E19" s="71" t="n">
        <f aca="false">IF(B19="","",I19-C19)</f>
        <v>-1.62765594443354E-005</v>
      </c>
      <c r="F19" s="71" t="n">
        <f aca="false">IF(B19="","",J19-D19)</f>
        <v>-1.01537905784137E-006</v>
      </c>
      <c r="G19" s="143" t="n">
        <f aca="false">IF(B19="","",SQRT(C19^2+D19^2))</f>
        <v>0.010275049586255</v>
      </c>
      <c r="H19" s="144" t="n">
        <f aca="false">IF(B19="","",SQRT(I19^2+J19^2))</f>
        <v>0.0102591028806407</v>
      </c>
      <c r="I19" s="145" t="n">
        <f aca="false">IF(03_FRFデータ貼付!B19="","",10_レジデュー_MEscope!N22*10_レジデュー_MEscope!$W$37+10_レジデュー_MEscope!O22*10_レジデュー_MEscope!$W$38+10_レジデュー_MEscope!P22*10_レジデュー_MEscope!$W$39+10_レジデュー_MEscope!Q22*10_レジデュー_MEscope!$W$40+10_レジデュー_MEscope!R22*10_レジデュー_MEscope!$W$41+10_レジデュー_MEscope!S22*10_レジデュー_MEscope!$W$42)</f>
        <v>0.0101457234405557</v>
      </c>
      <c r="J19" s="145" t="n">
        <f aca="false">IF(03_FRFデータ貼付!B19="","",10_レジデュー_MEscope!N142*10_レジデュー_MEscope!$W$37+10_レジデュー_MEscope!O142*10_レジデュー_MEscope!$W$38+10_レジデュー_MEscope!P142*10_レジデュー_MEscope!$W$39+10_レジデュー_MEscope!Q142*10_レジデュー_MEscope!$W$40)</f>
        <v>-0.00152101537905784</v>
      </c>
      <c r="K19" s="2"/>
      <c r="L19" s="2"/>
      <c r="M19" s="2"/>
      <c r="N19" s="2"/>
    </row>
    <row r="20" customFormat="false" ht="15" hidden="false" customHeight="false" outlineLevel="0" collapsed="false">
      <c r="A20" s="88" t="n">
        <f aca="false">IF(03_FRFデータ貼付!B20="","",03_FRFデータ貼付!A20)</f>
        <v>13</v>
      </c>
      <c r="B20" s="89" t="n">
        <f aca="false">IF(03_FRFデータ貼付!B20="","",03_FRFデータ貼付!B20)</f>
        <v>3520</v>
      </c>
      <c r="C20" s="71" t="n">
        <f aca="false">IF(03_FRFデータ貼付!B20="","",03_FRFデータ貼付!C20)</f>
        <v>0.011108</v>
      </c>
      <c r="D20" s="71" t="n">
        <f aca="false">IF(03_FRFデータ貼付!B20="","",03_FRFデータ貼付!D20)</f>
        <v>-0.005744</v>
      </c>
      <c r="E20" s="71" t="n">
        <f aca="false">IF(B20="","",I20-C20)</f>
        <v>1.49902654746955E-005</v>
      </c>
      <c r="F20" s="71" t="n">
        <f aca="false">IF(B20="","",J20-D20)</f>
        <v>-7.18023487297857E-006</v>
      </c>
      <c r="G20" s="143" t="n">
        <f aca="false">IF(B20="","",SQRT(C20^2+D20^2))</f>
        <v>0.0125052468988021</v>
      </c>
      <c r="H20" s="144" t="n">
        <f aca="false">IF(B20="","",SQRT(I20^2+J20^2))</f>
        <v>0.0125218603466034</v>
      </c>
      <c r="I20" s="145" t="n">
        <f aca="false">IF(03_FRFデータ貼付!B20="","",10_レジデュー_MEscope!N23*10_レジデュー_MEscope!$W$37+10_レジデュー_MEscope!O23*10_レジデュー_MEscope!$W$38+10_レジデュー_MEscope!P23*10_レジデュー_MEscope!$W$39+10_レジデュー_MEscope!Q23*10_レジデュー_MEscope!$W$40+10_レジデュー_MEscope!R23*10_レジデュー_MEscope!$W$41+10_レジデュー_MEscope!S23*10_レジデュー_MEscope!$W$42)</f>
        <v>0.0111229902654747</v>
      </c>
      <c r="J20" s="145" t="n">
        <f aca="false">IF(03_FRFデータ貼付!B20="","",10_レジデュー_MEscope!N143*10_レジデュー_MEscope!$W$37+10_レジデュー_MEscope!O143*10_レジデュー_MEscope!$W$38+10_レジデュー_MEscope!P143*10_レジデュー_MEscope!$W$39+10_レジデュー_MEscope!Q143*10_レジデュー_MEscope!$W$40)</f>
        <v>-0.00575118023487298</v>
      </c>
      <c r="K20" s="2"/>
      <c r="L20" s="2"/>
      <c r="M20" s="2"/>
      <c r="N20" s="2"/>
    </row>
    <row r="21" customFormat="false" ht="15" hidden="false" customHeight="false" outlineLevel="0" collapsed="false">
      <c r="A21" s="88" t="n">
        <f aca="false">IF(03_FRFデータ貼付!B21="","",03_FRFデータ貼付!A21)</f>
        <v>14</v>
      </c>
      <c r="B21" s="89" t="n">
        <f aca="false">IF(03_FRFデータ貼付!B21="","",03_FRFデータ貼付!B21)</f>
        <v>3530</v>
      </c>
      <c r="C21" s="71" t="n">
        <f aca="false">IF(03_FRFデータ貼付!B21="","",03_FRFデータ貼付!C21)</f>
        <v>0.006478</v>
      </c>
      <c r="D21" s="71" t="n">
        <f aca="false">IF(03_FRFデータ貼付!B21="","",03_FRFデータ貼付!D21)</f>
        <v>-0.008669</v>
      </c>
      <c r="E21" s="71" t="n">
        <f aca="false">IF(B21="","",I21-C21)</f>
        <v>9.95191069327189E-008</v>
      </c>
      <c r="F21" s="71" t="n">
        <f aca="false">IF(B21="","",J21-D21)</f>
        <v>-1.77418716601138E-006</v>
      </c>
      <c r="G21" s="143" t="n">
        <f aca="false">IF(B21="","",SQRT(C21^2+D21^2))</f>
        <v>0.0108220166789744</v>
      </c>
      <c r="H21" s="144" t="n">
        <f aca="false">IF(B21="","",SQRT(I21^2+J21^2))</f>
        <v>0.0108234975116308</v>
      </c>
      <c r="I21" s="145" t="n">
        <f aca="false">IF(03_FRFデータ貼付!B21="","",10_レジデュー_MEscope!N24*10_レジデュー_MEscope!$W$37+10_レジデュー_MEscope!O24*10_レジデュー_MEscope!$W$38+10_レジデュー_MEscope!P24*10_レジデュー_MEscope!$W$39+10_レジデュー_MEscope!Q24*10_レジデュー_MEscope!$W$40+10_レジデュー_MEscope!R24*10_レジデュー_MEscope!$W$41+10_レジデュー_MEscope!S24*10_レジデュー_MEscope!$W$42)</f>
        <v>0.00647809951910693</v>
      </c>
      <c r="J21" s="145" t="n">
        <f aca="false">IF(03_FRFデータ貼付!B21="","",10_レジデュー_MEscope!N144*10_レジデュー_MEscope!$W$37+10_レジデュー_MEscope!O144*10_レジデュー_MEscope!$W$38+10_レジデュー_MEscope!P144*10_レジデュー_MEscope!$W$39+10_レジデュー_MEscope!Q144*10_レジデュー_MEscope!$W$40)</f>
        <v>-0.00867077418716601</v>
      </c>
      <c r="K21" s="2"/>
      <c r="L21" s="2"/>
      <c r="M21" s="2"/>
      <c r="N21" s="2"/>
    </row>
    <row r="22" customFormat="false" ht="15" hidden="false" customHeight="false" outlineLevel="0" collapsed="false">
      <c r="A22" s="88" t="n">
        <f aca="false">IF(03_FRFデータ貼付!B22="","",03_FRFデータ貼付!A22)</f>
        <v>15</v>
      </c>
      <c r="B22" s="89" t="n">
        <f aca="false">IF(03_FRFデータ貼付!B22="","",03_FRFデータ貼付!B22)</f>
        <v>3540</v>
      </c>
      <c r="C22" s="71" t="n">
        <f aca="false">IF(03_FRFデータ貼付!B22="","",03_FRFデータ貼付!C22)</f>
        <v>0.003142</v>
      </c>
      <c r="D22" s="71" t="n">
        <f aca="false">IF(03_FRFデータ貼付!B22="","",03_FRFデータ貼付!D22)</f>
        <v>-0.007475</v>
      </c>
      <c r="E22" s="71" t="n">
        <f aca="false">IF(B22="","",I22-C22)</f>
        <v>2.39934581131116E-006</v>
      </c>
      <c r="F22" s="71" t="n">
        <f aca="false">IF(B22="","",J22-D22)</f>
        <v>-5.06757305106763E-006</v>
      </c>
      <c r="G22" s="143" t="n">
        <f aca="false">IF(B22="","",SQRT(C22^2+D22^2))</f>
        <v>0.00810850103286668</v>
      </c>
      <c r="H22" s="144" t="n">
        <f aca="false">IF(B22="","",SQRT(I22^2+J22^2))</f>
        <v>0.00811410242376498</v>
      </c>
      <c r="I22" s="145" t="n">
        <f aca="false">IF(03_FRFデータ貼付!B22="","",10_レジデュー_MEscope!N25*10_レジデュー_MEscope!$W$37+10_レジデュー_MEscope!O25*10_レジデュー_MEscope!$W$38+10_レジデュー_MEscope!P25*10_レジデュー_MEscope!$W$39+10_レジデュー_MEscope!Q25*10_レジデュー_MEscope!$W$40+10_レジデュー_MEscope!R25*10_レジデュー_MEscope!$W$41+10_レジデュー_MEscope!S25*10_レジデュー_MEscope!$W$42)</f>
        <v>0.00314439934581131</v>
      </c>
      <c r="J22" s="145" t="n">
        <f aca="false">IF(03_FRFデータ貼付!B22="","",10_レジデュー_MEscope!N145*10_レジデュー_MEscope!$W$37+10_レジデュー_MEscope!O145*10_レジデュー_MEscope!$W$38+10_レジデュー_MEscope!P145*10_レジデュー_MEscope!$W$39+10_レジデュー_MEscope!Q145*10_レジデュー_MEscope!$W$40)</f>
        <v>-0.00748006757305107</v>
      </c>
      <c r="K22" s="2"/>
      <c r="L22" s="2"/>
      <c r="M22" s="2"/>
      <c r="N22" s="2"/>
    </row>
    <row r="23" customFormat="false" ht="15" hidden="false" customHeight="false" outlineLevel="0" collapsed="false">
      <c r="A23" s="88" t="n">
        <f aca="false">IF(03_FRFデータ貼付!B23="","",03_FRFデータ貼付!A23)</f>
        <v>16</v>
      </c>
      <c r="B23" s="89" t="n">
        <f aca="false">IF(03_FRFデータ貼付!B23="","",03_FRFデータ貼付!B23)</f>
        <v>3550</v>
      </c>
      <c r="C23" s="71" t="n">
        <f aca="false">IF(03_FRFデータ貼付!B23="","",03_FRFデータ貼付!C23)</f>
        <v>0.001759</v>
      </c>
      <c r="D23" s="71" t="n">
        <f aca="false">IF(03_FRFデータ貼付!B23="","",03_FRFデータ貼付!D23)</f>
        <v>-0.006056</v>
      </c>
      <c r="E23" s="71" t="n">
        <f aca="false">IF(B23="","",I23-C23)</f>
        <v>-1.05876439628538E-006</v>
      </c>
      <c r="F23" s="71" t="n">
        <f aca="false">IF(B23="","",J23-D23)</f>
        <v>1.01123262774613E-005</v>
      </c>
      <c r="G23" s="143" t="n">
        <f aca="false">IF(B23="","",SQRT(C23^2+D23^2))</f>
        <v>0.00630628392954202</v>
      </c>
      <c r="H23" s="144" t="n">
        <f aca="false">IF(B23="","",SQRT(I23^2+J23^2))</f>
        <v>0.00629627788070905</v>
      </c>
      <c r="I23" s="145" t="n">
        <f aca="false">IF(03_FRFデータ貼付!B23="","",10_レジデュー_MEscope!N26*10_レジデュー_MEscope!$W$37+10_レジデュー_MEscope!O26*10_レジデュー_MEscope!$W$38+10_レジデュー_MEscope!P26*10_レジデュー_MEscope!$W$39+10_レジデュー_MEscope!Q26*10_レジデュー_MEscope!$W$40+10_レジデュー_MEscope!R26*10_レジデュー_MEscope!$W$41+10_レジデュー_MEscope!S26*10_レジデュー_MEscope!$W$42)</f>
        <v>0.00175794123560371</v>
      </c>
      <c r="J23" s="145" t="n">
        <f aca="false">IF(03_FRFデータ貼付!B23="","",10_レジデュー_MEscope!N146*10_レジデュー_MEscope!$W$37+10_レジデュー_MEscope!O146*10_レジデュー_MEscope!$W$38+10_レジデュー_MEscope!P146*10_レジデュー_MEscope!$W$39+10_レジデュー_MEscope!Q146*10_レジデュー_MEscope!$W$40)</f>
        <v>-0.00604588767372254</v>
      </c>
      <c r="K23" s="2"/>
      <c r="L23" s="2"/>
      <c r="M23" s="2"/>
      <c r="N23" s="2"/>
    </row>
    <row r="24" customFormat="false" ht="15" hidden="false" customHeight="false" outlineLevel="0" collapsed="false">
      <c r="A24" s="88" t="n">
        <f aca="false">IF(03_FRFデータ貼付!B24="","",03_FRFデータ貼付!A24)</f>
        <v>17</v>
      </c>
      <c r="B24" s="89" t="n">
        <f aca="false">IF(03_FRFデータ貼付!B24="","",03_FRFデータ貼付!B24)</f>
        <v>3560</v>
      </c>
      <c r="C24" s="71" t="n">
        <f aca="false">IF(03_FRFデータ貼付!B24="","",03_FRFデータ貼付!C24)</f>
        <v>0.001128</v>
      </c>
      <c r="D24" s="71" t="n">
        <f aca="false">IF(03_FRFデータ貼付!B24="","",03_FRFデータ貼付!D24)</f>
        <v>-0.005</v>
      </c>
      <c r="E24" s="71" t="n">
        <f aca="false">IF(B24="","",I24-C24)</f>
        <v>9.17100069980966E-007</v>
      </c>
      <c r="F24" s="71" t="n">
        <f aca="false">IF(B24="","",J24-D24)</f>
        <v>2.50779965113926E-006</v>
      </c>
      <c r="G24" s="143" t="n">
        <f aca="false">IF(B24="","",SQRT(C24^2+D24^2))</f>
        <v>0.00512565937221739</v>
      </c>
      <c r="H24" s="144" t="n">
        <f aca="false">IF(B24="","",SQRT(I24^2+J24^2))</f>
        <v>0.00512341508286983</v>
      </c>
      <c r="I24" s="145" t="n">
        <f aca="false">IF(03_FRFデータ貼付!B24="","",10_レジデュー_MEscope!N27*10_レジデュー_MEscope!$W$37+10_レジデュー_MEscope!O27*10_レジデュー_MEscope!$W$38+10_レジデュー_MEscope!P27*10_レジデュー_MEscope!$W$39+10_レジデュー_MEscope!Q27*10_レジデュー_MEscope!$W$40+10_レジデュー_MEscope!R27*10_レジデュー_MEscope!$W$41+10_レジデュー_MEscope!S27*10_レジデュー_MEscope!$W$42)</f>
        <v>0.00112891710006998</v>
      </c>
      <c r="J24" s="145" t="n">
        <f aca="false">IF(03_FRFデータ貼付!B24="","",10_レジデュー_MEscope!N147*10_レジデュー_MEscope!$W$37+10_レジデュー_MEscope!O147*10_レジデュー_MEscope!$W$38+10_レジデュー_MEscope!P147*10_レジデュー_MEscope!$W$39+10_レジデュー_MEscope!Q147*10_レジデュー_MEscope!$W$40)</f>
        <v>-0.00499749220034886</v>
      </c>
      <c r="K24" s="2"/>
      <c r="L24" s="2"/>
      <c r="M24" s="2"/>
      <c r="N24" s="2"/>
    </row>
    <row r="25" customFormat="false" ht="15" hidden="false" customHeight="false" outlineLevel="0" collapsed="false">
      <c r="A25" s="88" t="n">
        <f aca="false">IF(03_FRFデータ貼付!B25="","",03_FRFデータ貼付!A25)</f>
        <v>18</v>
      </c>
      <c r="B25" s="89" t="n">
        <f aca="false">IF(03_FRFデータ貼付!B25="","",03_FRFデータ貼付!B25)</f>
        <v>3570</v>
      </c>
      <c r="C25" s="71" t="n">
        <f aca="false">IF(03_FRFデータ貼付!B25="","",03_FRFデータ貼付!C25)</f>
        <v>0.000797</v>
      </c>
      <c r="D25" s="71" t="n">
        <f aca="false">IF(03_FRFデータ貼付!B25="","",03_FRFデータ貼付!D25)</f>
        <v>-0.004246</v>
      </c>
      <c r="E25" s="71" t="n">
        <f aca="false">IF(B25="","",I25-C25)</f>
        <v>2.08971518264438E-006</v>
      </c>
      <c r="F25" s="71" t="n">
        <f aca="false">IF(B25="","",J25-D25)</f>
        <v>-1.21883546094076E-006</v>
      </c>
      <c r="G25" s="143" t="n">
        <f aca="false">IF(B25="","",SQRT(C25^2+D25^2))</f>
        <v>0.00432015335375956</v>
      </c>
      <c r="H25" s="144" t="n">
        <f aca="false">IF(B25="","",SQRT(I25^2+J25^2))</f>
        <v>0.00432173717493381</v>
      </c>
      <c r="I25" s="145" t="n">
        <f aca="false">IF(03_FRFデータ貼付!B25="","",10_レジデュー_MEscope!N28*10_レジデュー_MEscope!$W$37+10_レジデュー_MEscope!O28*10_レジデュー_MEscope!$W$38+10_レジデュー_MEscope!P28*10_レジデュー_MEscope!$W$39+10_レジデュー_MEscope!Q28*10_レジデュー_MEscope!$W$40+10_レジデュー_MEscope!R28*10_レジデュー_MEscope!$W$41+10_レジデュー_MEscope!S28*10_レジデュー_MEscope!$W$42)</f>
        <v>0.000799089715182644</v>
      </c>
      <c r="J25" s="145" t="n">
        <f aca="false">IF(03_FRFデータ貼付!B25="","",10_レジデュー_MEscope!N148*10_レジデュー_MEscope!$W$37+10_レジデュー_MEscope!O148*10_レジデュー_MEscope!$W$38+10_レジデュー_MEscope!P148*10_レジデュー_MEscope!$W$39+10_レジデュー_MEscope!Q148*10_レジデュー_MEscope!$W$40)</f>
        <v>-0.00424721883546094</v>
      </c>
      <c r="K25" s="2"/>
      <c r="L25" s="2"/>
      <c r="M25" s="2"/>
      <c r="N25" s="2"/>
    </row>
    <row r="26" customFormat="false" ht="15" hidden="false" customHeight="false" outlineLevel="0" collapsed="false">
      <c r="A26" s="88" t="n">
        <f aca="false">IF(03_FRFデータ貼付!B26="","",03_FRFデータ貼付!A26)</f>
        <v>19</v>
      </c>
      <c r="B26" s="89" t="n">
        <f aca="false">IF(03_FRFデータ貼付!B26="","",03_FRFデータ貼付!B26)</f>
        <v>3580</v>
      </c>
      <c r="C26" s="71" t="n">
        <f aca="false">IF(03_FRFデータ貼付!B26="","",03_FRFデータ貼付!C26)</f>
        <v>0.000602</v>
      </c>
      <c r="D26" s="71" t="n">
        <f aca="false">IF(03_FRFデータ貼付!B26="","",03_FRFデータ貼付!D26)</f>
        <v>-0.003688</v>
      </c>
      <c r="E26" s="71" t="n">
        <f aca="false">IF(B26="","",I26-C26)</f>
        <v>2.79764587286238E-006</v>
      </c>
      <c r="F26" s="71" t="n">
        <f aca="false">IF(B26="","",J26-D26)</f>
        <v>-4.60806485399644E-006</v>
      </c>
      <c r="G26" s="143" t="n">
        <f aca="false">IF(B26="","",SQRT(C26^2+D26^2))</f>
        <v>0.00373680986939395</v>
      </c>
      <c r="H26" s="144" t="n">
        <f aca="false">IF(B26="","",SQRT(I26^2+J26^2))</f>
        <v>0.00374180898938978</v>
      </c>
      <c r="I26" s="145" t="n">
        <f aca="false">IF(03_FRFデータ貼付!B26="","",10_レジデュー_MEscope!N29*10_レジデュー_MEscope!$W$37+10_レジデュー_MEscope!O29*10_レジデュー_MEscope!$W$38+10_レジデュー_MEscope!P29*10_レジデュー_MEscope!$W$39+10_レジデュー_MEscope!Q29*10_レジデュー_MEscope!$W$40+10_レジデュー_MEscope!R29*10_レジデュー_MEscope!$W$41+10_レジデュー_MEscope!S29*10_レジデュー_MEscope!$W$42)</f>
        <v>0.000604797645872862</v>
      </c>
      <c r="J26" s="145" t="n">
        <f aca="false">IF(03_FRFデータ貼付!B26="","",10_レジデュー_MEscope!N149*10_レジデュー_MEscope!$W$37+10_レジデュー_MEscope!O149*10_レジデュー_MEscope!$W$38+10_レジデュー_MEscope!P149*10_レジデュー_MEscope!$W$39+10_レジデュー_MEscope!Q149*10_レジデュー_MEscope!$W$40)</f>
        <v>-0.003692608064854</v>
      </c>
      <c r="K26" s="2"/>
      <c r="L26" s="2"/>
      <c r="M26" s="2"/>
      <c r="N26" s="2"/>
    </row>
    <row r="27" customFormat="false" ht="15" hidden="false" customHeight="false" outlineLevel="0" collapsed="false">
      <c r="A27" s="88" t="n">
        <f aca="false">IF(03_FRFデータ貼付!B27="","",03_FRFデータ貼付!A27)</f>
        <v>20</v>
      </c>
      <c r="B27" s="89" t="n">
        <f aca="false">IF(03_FRFデータ貼付!B27="","",03_FRFデータ貼付!B27)</f>
        <v>3590</v>
      </c>
      <c r="C27" s="71" t="n">
        <f aca="false">IF(03_FRFデータ貼付!B27="","",03_FRFデータ貼付!C27)</f>
        <v>0.000478</v>
      </c>
      <c r="D27" s="71" t="n">
        <f aca="false">IF(03_FRFデータ貼付!B27="","",03_FRFデータ貼付!D27)</f>
        <v>-0.003267</v>
      </c>
      <c r="E27" s="71" t="n">
        <f aca="false">IF(B27="","",I27-C27)</f>
        <v>1.94290361737846E-006</v>
      </c>
      <c r="F27" s="71" t="n">
        <f aca="false">IF(B27="","",J27-D27)</f>
        <v>-8.90462509678478E-007</v>
      </c>
      <c r="G27" s="143" t="n">
        <f aca="false">IF(B27="","",SQRT(C27^2+D27^2))</f>
        <v>0.00330178330603327</v>
      </c>
      <c r="H27" s="144" t="n">
        <f aca="false">IF(B27="","",SQRT(I27^2+J27^2))</f>
        <v>0.00330294614937852</v>
      </c>
      <c r="I27" s="145" t="n">
        <f aca="false">IF(03_FRFデータ貼付!B27="","",10_レジデュー_MEscope!N30*10_レジデュー_MEscope!$W$37+10_レジデュー_MEscope!O30*10_レジデュー_MEscope!$W$38+10_レジデュー_MEscope!P30*10_レジデュー_MEscope!$W$39+10_レジデュー_MEscope!Q30*10_レジデュー_MEscope!$W$40+10_レジデュー_MEscope!R30*10_レジデュー_MEscope!$W$41+10_レジデュー_MEscope!S30*10_レジデュー_MEscope!$W$42)</f>
        <v>0.000479942903617379</v>
      </c>
      <c r="J27" s="145" t="n">
        <f aca="false">IF(03_FRFデータ貼付!B27="","",10_レジデュー_MEscope!N150*10_レジデュー_MEscope!$W$37+10_レジデュー_MEscope!O150*10_レジデュー_MEscope!$W$38+10_レジデュー_MEscope!P150*10_レジデュー_MEscope!$W$39+10_レジデュー_MEscope!Q150*10_レジデュー_MEscope!$W$40)</f>
        <v>-0.00326789046250968</v>
      </c>
      <c r="K27" s="2"/>
      <c r="L27" s="2"/>
      <c r="M27" s="2"/>
      <c r="N27" s="2"/>
    </row>
    <row r="28" customFormat="false" ht="15" hidden="false" customHeight="false" outlineLevel="0" collapsed="false">
      <c r="A28" s="88" t="n">
        <f aca="false">IF(03_FRFデータ貼付!B28="","",03_FRFデータ貼付!A28)</f>
        <v>21</v>
      </c>
      <c r="B28" s="89" t="n">
        <f aca="false">IF(03_FRFデータ貼付!B28="","",03_FRFデータ貼付!B28)</f>
        <v>3600</v>
      </c>
      <c r="C28" s="71" t="n">
        <f aca="false">IF(03_FRFデータ貼付!B28="","",03_FRFデータ貼付!C28)</f>
        <v>0.000393</v>
      </c>
      <c r="D28" s="71" t="n">
        <f aca="false">IF(03_FRFデータ貼付!B28="","",03_FRFデータ貼付!D28)</f>
        <v>-0.002933</v>
      </c>
      <c r="E28" s="71" t="n">
        <f aca="false">IF(B28="","",I28-C28)</f>
        <v>1.29642537893159E-006</v>
      </c>
      <c r="F28" s="71" t="n">
        <f aca="false">IF(B28="","",J28-D28)</f>
        <v>3.86615570160606E-007</v>
      </c>
      <c r="G28" s="143" t="n">
        <f aca="false">IF(B28="","",SQRT(C28^2+D28^2))</f>
        <v>0.002959212395216</v>
      </c>
      <c r="H28" s="144" t="n">
        <f aca="false">IF(B28="","",SQRT(I28^2+J28^2))</f>
        <v>0.00295900167854019</v>
      </c>
      <c r="I28" s="145" t="n">
        <f aca="false">IF(03_FRFデータ貼付!B28="","",10_レジデュー_MEscope!N31*10_レジデュー_MEscope!$W$37+10_レジデュー_MEscope!O31*10_レジデュー_MEscope!$W$38+10_レジデュー_MEscope!P31*10_レジデュー_MEscope!$W$39+10_レジデュー_MEscope!Q31*10_レジデュー_MEscope!$W$40+10_レジデュー_MEscope!R31*10_レジデュー_MEscope!$W$41+10_レジデュー_MEscope!S31*10_レジデュー_MEscope!$W$42)</f>
        <v>0.000394296425378932</v>
      </c>
      <c r="J28" s="145" t="n">
        <f aca="false">IF(03_FRFデータ貼付!B28="","",10_レジデュー_MEscope!N151*10_レジデュー_MEscope!$W$37+10_レジデュー_MEscope!O151*10_レジデュー_MEscope!$W$38+10_レジデュー_MEscope!P151*10_レジデュー_MEscope!$W$39+10_レジデュー_MEscope!Q151*10_レジデュー_MEscope!$W$40)</f>
        <v>-0.00293261338442984</v>
      </c>
      <c r="K28" s="2"/>
      <c r="L28" s="2"/>
      <c r="M28" s="2"/>
      <c r="N28" s="2"/>
    </row>
    <row r="29" customFormat="false" ht="15" hidden="false" customHeight="false" outlineLevel="0" collapsed="false">
      <c r="A29" s="88" t="str">
        <f aca="false">IF(03_FRFデータ貼付!B29="","",03_FRFデータ貼付!A29)</f>
        <v/>
      </c>
      <c r="B29" s="89" t="str">
        <f aca="false">IF(03_FRFデータ貼付!B29="","",03_FRFデータ貼付!B29)</f>
        <v/>
      </c>
      <c r="C29" s="71" t="str">
        <f aca="false">IF(03_FRFデータ貼付!B29="","",03_FRFデータ貼付!C29)</f>
        <v/>
      </c>
      <c r="D29" s="71" t="str">
        <f aca="false">IF(03_FRFデータ貼付!B29="","",03_FRFデータ貼付!D29)</f>
        <v/>
      </c>
      <c r="E29" s="71" t="str">
        <f aca="false">IF(B29="","",I29-C29)</f>
        <v/>
      </c>
      <c r="F29" s="71" t="str">
        <f aca="false">IF(B29="","",J29-D29)</f>
        <v/>
      </c>
      <c r="G29" s="143" t="str">
        <f aca="false">IF(B29="","",SQRT(C29^2+D29^2))</f>
        <v/>
      </c>
      <c r="H29" s="144" t="str">
        <f aca="false">IF(B29="","",SQRT(I29^2+J29^2))</f>
        <v/>
      </c>
      <c r="I29" s="145" t="str">
        <f aca="false">IF(03_FRFデータ貼付!B29="","",10_レジデュー_MEscope!N32*10_レジデュー_MEscope!$W$37+10_レジデュー_MEscope!O32*10_レジデュー_MEscope!$W$38+10_レジデュー_MEscope!P32*10_レジデュー_MEscope!$W$39+10_レジデュー_MEscope!Q32*10_レジデュー_MEscope!$W$40+10_レジデュー_MEscope!R32*10_レジデュー_MEscope!$W$41+10_レジデュー_MEscope!S32*10_レジデュー_MEscope!$W$42)</f>
        <v/>
      </c>
      <c r="J29" s="145" t="str">
        <f aca="false">IF(03_FRFデータ貼付!B29="","",10_レジデュー_MEscope!N152*10_レジデュー_MEscope!$W$37+10_レジデュー_MEscope!O152*10_レジデュー_MEscope!$W$38+10_レジデュー_MEscope!P152*10_レジデュー_MEscope!$W$39+10_レジデュー_MEscope!Q152*10_レジデュー_MEscope!$W$40)</f>
        <v/>
      </c>
      <c r="K29" s="2"/>
      <c r="L29" s="2"/>
      <c r="M29" s="2"/>
      <c r="N29" s="2"/>
    </row>
    <row r="30" customFormat="false" ht="15" hidden="false" customHeight="false" outlineLevel="0" collapsed="false">
      <c r="A30" s="88" t="str">
        <f aca="false">IF(03_FRFデータ貼付!B30="","",03_FRFデータ貼付!A30)</f>
        <v/>
      </c>
      <c r="B30" s="89" t="str">
        <f aca="false">IF(03_FRFデータ貼付!B30="","",03_FRFデータ貼付!B30)</f>
        <v/>
      </c>
      <c r="C30" s="71" t="str">
        <f aca="false">IF(03_FRFデータ貼付!B30="","",03_FRFデータ貼付!C30)</f>
        <v/>
      </c>
      <c r="D30" s="71" t="str">
        <f aca="false">IF(03_FRFデータ貼付!B30="","",03_FRFデータ貼付!D30)</f>
        <v/>
      </c>
      <c r="E30" s="71" t="str">
        <f aca="false">IF(B30="","",I30-C30)</f>
        <v/>
      </c>
      <c r="F30" s="71" t="str">
        <f aca="false">IF(B30="","",J30-D30)</f>
        <v/>
      </c>
      <c r="G30" s="143" t="str">
        <f aca="false">IF(B30="","",SQRT(C30^2+D30^2))</f>
        <v/>
      </c>
      <c r="H30" s="144" t="str">
        <f aca="false">IF(B30="","",SQRT(I30^2+J30^2))</f>
        <v/>
      </c>
      <c r="I30" s="145" t="str">
        <f aca="false">IF(03_FRFデータ貼付!B30="","",10_レジデュー_MEscope!N33*10_レジデュー_MEscope!$W$37+10_レジデュー_MEscope!O33*10_レジデュー_MEscope!$W$38+10_レジデュー_MEscope!P33*10_レジデュー_MEscope!$W$39+10_レジデュー_MEscope!Q33*10_レジデュー_MEscope!$W$40+10_レジデュー_MEscope!R33*10_レジデュー_MEscope!$W$41+10_レジデュー_MEscope!S33*10_レジデュー_MEscope!$W$42)</f>
        <v/>
      </c>
      <c r="J30" s="145" t="str">
        <f aca="false">IF(03_FRFデータ貼付!B30="","",10_レジデュー_MEscope!N153*10_レジデュー_MEscope!$W$37+10_レジデュー_MEscope!O153*10_レジデュー_MEscope!$W$38+10_レジデュー_MEscope!P153*10_レジデュー_MEscope!$W$39+10_レジデュー_MEscope!Q153*10_レジデュー_MEscope!$W$40)</f>
        <v/>
      </c>
      <c r="K30" s="2"/>
      <c r="L30" s="2"/>
      <c r="M30" s="2"/>
      <c r="N30" s="2"/>
    </row>
    <row r="31" customFormat="false" ht="15" hidden="false" customHeight="false" outlineLevel="0" collapsed="false">
      <c r="A31" s="88" t="str">
        <f aca="false">IF(03_FRFデータ貼付!B31="","",03_FRFデータ貼付!A31)</f>
        <v/>
      </c>
      <c r="B31" s="89" t="str">
        <f aca="false">IF(03_FRFデータ貼付!B31="","",03_FRFデータ貼付!B31)</f>
        <v/>
      </c>
      <c r="C31" s="71" t="str">
        <f aca="false">IF(03_FRFデータ貼付!B31="","",03_FRFデータ貼付!C31)</f>
        <v/>
      </c>
      <c r="D31" s="71" t="str">
        <f aca="false">IF(03_FRFデータ貼付!B31="","",03_FRFデータ貼付!D31)</f>
        <v/>
      </c>
      <c r="E31" s="71" t="str">
        <f aca="false">IF(B31="","",I31-C31)</f>
        <v/>
      </c>
      <c r="F31" s="71" t="str">
        <f aca="false">IF(B31="","",J31-D31)</f>
        <v/>
      </c>
      <c r="G31" s="143" t="str">
        <f aca="false">IF(B31="","",SQRT(C31^2+D31^2))</f>
        <v/>
      </c>
      <c r="H31" s="144" t="str">
        <f aca="false">IF(B31="","",SQRT(I31^2+J31^2))</f>
        <v/>
      </c>
      <c r="I31" s="145" t="str">
        <f aca="false">IF(03_FRFデータ貼付!B31="","",10_レジデュー_MEscope!N34*10_レジデュー_MEscope!$W$37+10_レジデュー_MEscope!O34*10_レジデュー_MEscope!$W$38+10_レジデュー_MEscope!P34*10_レジデュー_MEscope!$W$39+10_レジデュー_MEscope!Q34*10_レジデュー_MEscope!$W$40+10_レジデュー_MEscope!R34*10_レジデュー_MEscope!$W$41+10_レジデュー_MEscope!S34*10_レジデュー_MEscope!$W$42)</f>
        <v/>
      </c>
      <c r="J31" s="145" t="str">
        <f aca="false">IF(03_FRFデータ貼付!B31="","",10_レジデュー_MEscope!N154*10_レジデュー_MEscope!$W$37+10_レジデュー_MEscope!O154*10_レジデュー_MEscope!$W$38+10_レジデュー_MEscope!P154*10_レジデュー_MEscope!$W$39+10_レジデュー_MEscope!Q154*10_レジデュー_MEscope!$W$40)</f>
        <v/>
      </c>
      <c r="K31" s="2"/>
      <c r="L31" s="2"/>
      <c r="M31" s="2"/>
      <c r="N31" s="2"/>
    </row>
    <row r="32" customFormat="false" ht="15" hidden="false" customHeight="false" outlineLevel="0" collapsed="false">
      <c r="A32" s="88" t="str">
        <f aca="false">IF(03_FRFデータ貼付!B32="","",03_FRFデータ貼付!A32)</f>
        <v/>
      </c>
      <c r="B32" s="89" t="str">
        <f aca="false">IF(03_FRFデータ貼付!B32="","",03_FRFデータ貼付!B32)</f>
        <v/>
      </c>
      <c r="C32" s="71" t="str">
        <f aca="false">IF(03_FRFデータ貼付!B32="","",03_FRFデータ貼付!C32)</f>
        <v/>
      </c>
      <c r="D32" s="71" t="str">
        <f aca="false">IF(03_FRFデータ貼付!B32="","",03_FRFデータ貼付!D32)</f>
        <v/>
      </c>
      <c r="E32" s="71" t="str">
        <f aca="false">IF(B32="","",I32-C32)</f>
        <v/>
      </c>
      <c r="F32" s="71" t="str">
        <f aca="false">IF(B32="","",J32-D32)</f>
        <v/>
      </c>
      <c r="G32" s="143" t="str">
        <f aca="false">IF(B32="","",SQRT(C32^2+D32^2))</f>
        <v/>
      </c>
      <c r="H32" s="144" t="str">
        <f aca="false">IF(B32="","",SQRT(I32^2+J32^2))</f>
        <v/>
      </c>
      <c r="I32" s="145" t="str">
        <f aca="false">IF(03_FRFデータ貼付!B32="","",10_レジデュー_MEscope!N35*10_レジデュー_MEscope!$W$37+10_レジデュー_MEscope!O35*10_レジデュー_MEscope!$W$38+10_レジデュー_MEscope!P35*10_レジデュー_MEscope!$W$39+10_レジデュー_MEscope!Q35*10_レジデュー_MEscope!$W$40+10_レジデュー_MEscope!R35*10_レジデュー_MEscope!$W$41+10_レジデュー_MEscope!S35*10_レジデュー_MEscope!$W$42)</f>
        <v/>
      </c>
      <c r="J32" s="145" t="str">
        <f aca="false">IF(03_FRFデータ貼付!B32="","",10_レジデュー_MEscope!N155*10_レジデュー_MEscope!$W$37+10_レジデュー_MEscope!O155*10_レジデュー_MEscope!$W$38+10_レジデュー_MEscope!P155*10_レジデュー_MEscope!$W$39+10_レジデュー_MEscope!Q155*10_レジデュー_MEscope!$W$40)</f>
        <v/>
      </c>
      <c r="K32" s="2"/>
      <c r="L32" s="2"/>
      <c r="M32" s="2"/>
      <c r="N32" s="2"/>
    </row>
    <row r="33" customFormat="false" ht="15" hidden="false" customHeight="false" outlineLevel="0" collapsed="false">
      <c r="A33" s="88" t="str">
        <f aca="false">IF(03_FRFデータ貼付!B33="","",03_FRFデータ貼付!A33)</f>
        <v/>
      </c>
      <c r="B33" s="89" t="str">
        <f aca="false">IF(03_FRFデータ貼付!B33="","",03_FRFデータ貼付!B33)</f>
        <v/>
      </c>
      <c r="C33" s="71" t="str">
        <f aca="false">IF(03_FRFデータ貼付!B33="","",03_FRFデータ貼付!C33)</f>
        <v/>
      </c>
      <c r="D33" s="71" t="str">
        <f aca="false">IF(03_FRFデータ貼付!B33="","",03_FRFデータ貼付!D33)</f>
        <v/>
      </c>
      <c r="E33" s="71" t="str">
        <f aca="false">IF(B33="","",I33-C33)</f>
        <v/>
      </c>
      <c r="F33" s="71" t="str">
        <f aca="false">IF(B33="","",J33-D33)</f>
        <v/>
      </c>
      <c r="G33" s="143" t="str">
        <f aca="false">IF(B33="","",SQRT(C33^2+D33^2))</f>
        <v/>
      </c>
      <c r="H33" s="144" t="str">
        <f aca="false">IF(B33="","",SQRT(I33^2+J33^2))</f>
        <v/>
      </c>
      <c r="I33" s="145" t="str">
        <f aca="false">IF(03_FRFデータ貼付!B33="","",10_レジデュー_MEscope!N36*10_レジデュー_MEscope!$W$37+10_レジデュー_MEscope!O36*10_レジデュー_MEscope!$W$38+10_レジデュー_MEscope!P36*10_レジデュー_MEscope!$W$39+10_レジデュー_MEscope!Q36*10_レジデュー_MEscope!$W$40+10_レジデュー_MEscope!R36*10_レジデュー_MEscope!$W$41+10_レジデュー_MEscope!S36*10_レジデュー_MEscope!$W$42)</f>
        <v/>
      </c>
      <c r="J33" s="145" t="str">
        <f aca="false">IF(03_FRFデータ貼付!B33="","",10_レジデュー_MEscope!N156*10_レジデュー_MEscope!$W$37+10_レジデュー_MEscope!O156*10_レジデュー_MEscope!$W$38+10_レジデュー_MEscope!P156*10_レジデュー_MEscope!$W$39+10_レジデュー_MEscope!Q156*10_レジデュー_MEscope!$W$40)</f>
        <v/>
      </c>
      <c r="K33" s="2"/>
      <c r="L33" s="2"/>
      <c r="M33" s="2"/>
      <c r="N33" s="2"/>
    </row>
    <row r="34" customFormat="false" ht="15" hidden="false" customHeight="false" outlineLevel="0" collapsed="false">
      <c r="A34" s="88" t="str">
        <f aca="false">IF(03_FRFデータ貼付!B34="","",03_FRFデータ貼付!A34)</f>
        <v/>
      </c>
      <c r="B34" s="89" t="str">
        <f aca="false">IF(03_FRFデータ貼付!B34="","",03_FRFデータ貼付!B34)</f>
        <v/>
      </c>
      <c r="C34" s="71" t="str">
        <f aca="false">IF(03_FRFデータ貼付!B34="","",03_FRFデータ貼付!C34)</f>
        <v/>
      </c>
      <c r="D34" s="71" t="str">
        <f aca="false">IF(03_FRFデータ貼付!B34="","",03_FRFデータ貼付!D34)</f>
        <v/>
      </c>
      <c r="E34" s="71" t="str">
        <f aca="false">IF(B34="","",I34-C34)</f>
        <v/>
      </c>
      <c r="F34" s="71" t="str">
        <f aca="false">IF(B34="","",J34-D34)</f>
        <v/>
      </c>
      <c r="G34" s="143" t="str">
        <f aca="false">IF(B34="","",SQRT(C34^2+D34^2))</f>
        <v/>
      </c>
      <c r="H34" s="144" t="str">
        <f aca="false">IF(B34="","",SQRT(I34^2+J34^2))</f>
        <v/>
      </c>
      <c r="I34" s="145" t="str">
        <f aca="false">IF(03_FRFデータ貼付!B34="","",10_レジデュー_MEscope!N37*10_レジデュー_MEscope!$W$37+10_レジデュー_MEscope!O37*10_レジデュー_MEscope!$W$38+10_レジデュー_MEscope!P37*10_レジデュー_MEscope!$W$39+10_レジデュー_MEscope!Q37*10_レジデュー_MEscope!$W$40+10_レジデュー_MEscope!R37*10_レジデュー_MEscope!$W$41+10_レジデュー_MEscope!S37*10_レジデュー_MEscope!$W$42)</f>
        <v/>
      </c>
      <c r="J34" s="145" t="str">
        <f aca="false">IF(03_FRFデータ貼付!B34="","",10_レジデュー_MEscope!N157*10_レジデュー_MEscope!$W$37+10_レジデュー_MEscope!O157*10_レジデュー_MEscope!$W$38+10_レジデュー_MEscope!P157*10_レジデュー_MEscope!$W$39+10_レジデュー_MEscope!Q157*10_レジデュー_MEscope!$W$40)</f>
        <v/>
      </c>
      <c r="K34" s="2"/>
      <c r="L34" s="2"/>
      <c r="M34" s="2"/>
      <c r="N34" s="2"/>
    </row>
    <row r="35" customFormat="false" ht="15" hidden="false" customHeight="false" outlineLevel="0" collapsed="false">
      <c r="A35" s="88" t="str">
        <f aca="false">IF(03_FRFデータ貼付!B35="","",03_FRFデータ貼付!A35)</f>
        <v/>
      </c>
      <c r="B35" s="89" t="str">
        <f aca="false">IF(03_FRFデータ貼付!B35="","",03_FRFデータ貼付!B35)</f>
        <v/>
      </c>
      <c r="C35" s="71" t="str">
        <f aca="false">IF(03_FRFデータ貼付!B35="","",03_FRFデータ貼付!C35)</f>
        <v/>
      </c>
      <c r="D35" s="71" t="str">
        <f aca="false">IF(03_FRFデータ貼付!B35="","",03_FRFデータ貼付!D35)</f>
        <v/>
      </c>
      <c r="E35" s="71" t="str">
        <f aca="false">IF(B35="","",I35-C35)</f>
        <v/>
      </c>
      <c r="F35" s="71" t="str">
        <f aca="false">IF(B35="","",J35-D35)</f>
        <v/>
      </c>
      <c r="G35" s="143" t="str">
        <f aca="false">IF(B35="","",SQRT(C35^2+D35^2))</f>
        <v/>
      </c>
      <c r="H35" s="144" t="str">
        <f aca="false">IF(B35="","",SQRT(I35^2+J35^2))</f>
        <v/>
      </c>
      <c r="I35" s="145" t="str">
        <f aca="false">IF(03_FRFデータ貼付!B35="","",10_レジデュー_MEscope!N38*10_レジデュー_MEscope!$W$37+10_レジデュー_MEscope!O38*10_レジデュー_MEscope!$W$38+10_レジデュー_MEscope!P38*10_レジデュー_MEscope!$W$39+10_レジデュー_MEscope!Q38*10_レジデュー_MEscope!$W$40+10_レジデュー_MEscope!R38*10_レジデュー_MEscope!$W$41+10_レジデュー_MEscope!S38*10_レジデュー_MEscope!$W$42)</f>
        <v/>
      </c>
      <c r="J35" s="145" t="str">
        <f aca="false">IF(03_FRFデータ貼付!B35="","",10_レジデュー_MEscope!N158*10_レジデュー_MEscope!$W$37+10_レジデュー_MEscope!O158*10_レジデュー_MEscope!$W$38+10_レジデュー_MEscope!P158*10_レジデュー_MEscope!$W$39+10_レジデュー_MEscope!Q158*10_レジデュー_MEscope!$W$40)</f>
        <v/>
      </c>
      <c r="K35" s="2"/>
      <c r="L35" s="2"/>
      <c r="M35" s="2"/>
      <c r="N35" s="2"/>
    </row>
    <row r="36" customFormat="false" ht="15" hidden="false" customHeight="false" outlineLevel="0" collapsed="false">
      <c r="A36" s="88" t="str">
        <f aca="false">IF(03_FRFデータ貼付!B36="","",03_FRFデータ貼付!A36)</f>
        <v/>
      </c>
      <c r="B36" s="89" t="str">
        <f aca="false">IF(03_FRFデータ貼付!B36="","",03_FRFデータ貼付!B36)</f>
        <v/>
      </c>
      <c r="C36" s="71" t="str">
        <f aca="false">IF(03_FRFデータ貼付!B36="","",03_FRFデータ貼付!C36)</f>
        <v/>
      </c>
      <c r="D36" s="71" t="str">
        <f aca="false">IF(03_FRFデータ貼付!B36="","",03_FRFデータ貼付!D36)</f>
        <v/>
      </c>
      <c r="E36" s="71" t="str">
        <f aca="false">IF(B36="","",I36-C36)</f>
        <v/>
      </c>
      <c r="F36" s="71" t="str">
        <f aca="false">IF(B36="","",J36-D36)</f>
        <v/>
      </c>
      <c r="G36" s="143" t="str">
        <f aca="false">IF(B36="","",SQRT(C36^2+D36^2))</f>
        <v/>
      </c>
      <c r="H36" s="144" t="str">
        <f aca="false">IF(B36="","",SQRT(I36^2+J36^2))</f>
        <v/>
      </c>
      <c r="I36" s="145" t="str">
        <f aca="false">IF(03_FRFデータ貼付!B36="","",10_レジデュー_MEscope!N39*10_レジデュー_MEscope!$W$37+10_レジデュー_MEscope!O39*10_レジデュー_MEscope!$W$38+10_レジデュー_MEscope!P39*10_レジデュー_MEscope!$W$39+10_レジデュー_MEscope!Q39*10_レジデュー_MEscope!$W$40+10_レジデュー_MEscope!R39*10_レジデュー_MEscope!$W$41+10_レジデュー_MEscope!S39*10_レジデュー_MEscope!$W$42)</f>
        <v/>
      </c>
      <c r="J36" s="145" t="str">
        <f aca="false">IF(03_FRFデータ貼付!B36="","",10_レジデュー_MEscope!N159*10_レジデュー_MEscope!$W$37+10_レジデュー_MEscope!O159*10_レジデュー_MEscope!$W$38+10_レジデュー_MEscope!P159*10_レジデュー_MEscope!$W$39+10_レジデュー_MEscope!Q159*10_レジデュー_MEscope!$W$40)</f>
        <v/>
      </c>
      <c r="K36" s="2"/>
      <c r="L36" s="2"/>
      <c r="M36" s="2"/>
      <c r="N36" s="2"/>
    </row>
    <row r="37" customFormat="false" ht="15" hidden="false" customHeight="false" outlineLevel="0" collapsed="false">
      <c r="A37" s="88" t="str">
        <f aca="false">IF(03_FRFデータ貼付!B37="","",03_FRFデータ貼付!A37)</f>
        <v/>
      </c>
      <c r="B37" s="89" t="str">
        <f aca="false">IF(03_FRFデータ貼付!B37="","",03_FRFデータ貼付!B37)</f>
        <v/>
      </c>
      <c r="C37" s="71" t="str">
        <f aca="false">IF(03_FRFデータ貼付!B37="","",03_FRFデータ貼付!C37)</f>
        <v/>
      </c>
      <c r="D37" s="71" t="str">
        <f aca="false">IF(03_FRFデータ貼付!B37="","",03_FRFデータ貼付!D37)</f>
        <v/>
      </c>
      <c r="E37" s="71" t="str">
        <f aca="false">IF(B37="","",I37-C37)</f>
        <v/>
      </c>
      <c r="F37" s="71" t="str">
        <f aca="false">IF(B37="","",J37-D37)</f>
        <v/>
      </c>
      <c r="G37" s="143" t="str">
        <f aca="false">IF(B37="","",SQRT(C37^2+D37^2))</f>
        <v/>
      </c>
      <c r="H37" s="144" t="str">
        <f aca="false">IF(B37="","",SQRT(I37^2+J37^2))</f>
        <v/>
      </c>
      <c r="I37" s="145" t="str">
        <f aca="false">IF(03_FRFデータ貼付!B37="","",10_レジデュー_MEscope!N40*10_レジデュー_MEscope!$W$37+10_レジデュー_MEscope!O40*10_レジデュー_MEscope!$W$38+10_レジデュー_MEscope!P40*10_レジデュー_MEscope!$W$39+10_レジデュー_MEscope!Q40*10_レジデュー_MEscope!$W$40+10_レジデュー_MEscope!R40*10_レジデュー_MEscope!$W$41+10_レジデュー_MEscope!S40*10_レジデュー_MEscope!$W$42)</f>
        <v/>
      </c>
      <c r="J37" s="145" t="str">
        <f aca="false">IF(03_FRFデータ貼付!B37="","",10_レジデュー_MEscope!N160*10_レジデュー_MEscope!$W$37+10_レジデュー_MEscope!O160*10_レジデュー_MEscope!$W$38+10_レジデュー_MEscope!P160*10_レジデュー_MEscope!$W$39+10_レジデュー_MEscope!Q160*10_レジデュー_MEscope!$W$40)</f>
        <v/>
      </c>
      <c r="K37" s="2"/>
      <c r="L37" s="2"/>
      <c r="M37" s="2"/>
      <c r="N37" s="2"/>
    </row>
    <row r="38" customFormat="false" ht="15" hidden="false" customHeight="false" outlineLevel="0" collapsed="false">
      <c r="A38" s="88" t="str">
        <f aca="false">IF(03_FRFデータ貼付!B38="","",03_FRFデータ貼付!A38)</f>
        <v/>
      </c>
      <c r="B38" s="89" t="str">
        <f aca="false">IF(03_FRFデータ貼付!B38="","",03_FRFデータ貼付!B38)</f>
        <v/>
      </c>
      <c r="C38" s="71" t="str">
        <f aca="false">IF(03_FRFデータ貼付!B38="","",03_FRFデータ貼付!C38)</f>
        <v/>
      </c>
      <c r="D38" s="71" t="str">
        <f aca="false">IF(03_FRFデータ貼付!B38="","",03_FRFデータ貼付!D38)</f>
        <v/>
      </c>
      <c r="E38" s="71" t="str">
        <f aca="false">IF(B38="","",I38-C38)</f>
        <v/>
      </c>
      <c r="F38" s="71" t="str">
        <f aca="false">IF(B38="","",J38-D38)</f>
        <v/>
      </c>
      <c r="G38" s="143" t="str">
        <f aca="false">IF(B38="","",SQRT(C38^2+D38^2))</f>
        <v/>
      </c>
      <c r="H38" s="144" t="str">
        <f aca="false">IF(B38="","",SQRT(I38^2+J38^2))</f>
        <v/>
      </c>
      <c r="I38" s="145" t="str">
        <f aca="false">IF(03_FRFデータ貼付!B38="","",10_レジデュー_MEscope!N41*10_レジデュー_MEscope!$W$37+10_レジデュー_MEscope!O41*10_レジデュー_MEscope!$W$38+10_レジデュー_MEscope!P41*10_レジデュー_MEscope!$W$39+10_レジデュー_MEscope!Q41*10_レジデュー_MEscope!$W$40+10_レジデュー_MEscope!R41*10_レジデュー_MEscope!$W$41+10_レジデュー_MEscope!S41*10_レジデュー_MEscope!$W$42)</f>
        <v/>
      </c>
      <c r="J38" s="145" t="str">
        <f aca="false">IF(03_FRFデータ貼付!B38="","",10_レジデュー_MEscope!N161*10_レジデュー_MEscope!$W$37+10_レジデュー_MEscope!O161*10_レジデュー_MEscope!$W$38+10_レジデュー_MEscope!P161*10_レジデュー_MEscope!$W$39+10_レジデュー_MEscope!Q161*10_レジデュー_MEscope!$W$40)</f>
        <v/>
      </c>
      <c r="K38" s="2"/>
      <c r="L38" s="2"/>
      <c r="M38" s="2"/>
      <c r="N38" s="2"/>
    </row>
    <row r="39" customFormat="false" ht="15" hidden="false" customHeight="false" outlineLevel="0" collapsed="false">
      <c r="A39" s="88" t="str">
        <f aca="false">IF(03_FRFデータ貼付!B39="","",03_FRFデータ貼付!A39)</f>
        <v/>
      </c>
      <c r="B39" s="89" t="str">
        <f aca="false">IF(03_FRFデータ貼付!B39="","",03_FRFデータ貼付!B39)</f>
        <v/>
      </c>
      <c r="C39" s="71" t="str">
        <f aca="false">IF(03_FRFデータ貼付!B39="","",03_FRFデータ貼付!C39)</f>
        <v/>
      </c>
      <c r="D39" s="71" t="str">
        <f aca="false">IF(03_FRFデータ貼付!B39="","",03_FRFデータ貼付!D39)</f>
        <v/>
      </c>
      <c r="E39" s="71" t="str">
        <f aca="false">IF(B39="","",I39-C39)</f>
        <v/>
      </c>
      <c r="F39" s="71" t="str">
        <f aca="false">IF(B39="","",J39-D39)</f>
        <v/>
      </c>
      <c r="G39" s="143" t="str">
        <f aca="false">IF(B39="","",SQRT(C39^2+D39^2))</f>
        <v/>
      </c>
      <c r="H39" s="144" t="str">
        <f aca="false">IF(B39="","",SQRT(I39^2+J39^2))</f>
        <v/>
      </c>
      <c r="I39" s="145" t="str">
        <f aca="false">IF(03_FRFデータ貼付!B39="","",10_レジデュー_MEscope!N42*10_レジデュー_MEscope!$W$37+10_レジデュー_MEscope!O42*10_レジデュー_MEscope!$W$38+10_レジデュー_MEscope!P42*10_レジデュー_MEscope!$W$39+10_レジデュー_MEscope!Q42*10_レジデュー_MEscope!$W$40+10_レジデュー_MEscope!R42*10_レジデュー_MEscope!$W$41+10_レジデュー_MEscope!S42*10_レジデュー_MEscope!$W$42)</f>
        <v/>
      </c>
      <c r="J39" s="145" t="str">
        <f aca="false">IF(03_FRFデータ貼付!B39="","",10_レジデュー_MEscope!N162*10_レジデュー_MEscope!$W$37+10_レジデュー_MEscope!O162*10_レジデュー_MEscope!$W$38+10_レジデュー_MEscope!P162*10_レジデュー_MEscope!$W$39+10_レジデュー_MEscope!Q162*10_レジデュー_MEscope!$W$40)</f>
        <v/>
      </c>
      <c r="K39" s="2"/>
      <c r="L39" s="2"/>
      <c r="M39" s="2"/>
      <c r="N39" s="2"/>
    </row>
    <row r="40" customFormat="false" ht="15" hidden="false" customHeight="false" outlineLevel="0" collapsed="false">
      <c r="A40" s="88" t="str">
        <f aca="false">IF(03_FRFデータ貼付!B40="","",03_FRFデータ貼付!A40)</f>
        <v/>
      </c>
      <c r="B40" s="89" t="str">
        <f aca="false">IF(03_FRFデータ貼付!B40="","",03_FRFデータ貼付!B40)</f>
        <v/>
      </c>
      <c r="C40" s="71" t="str">
        <f aca="false">IF(03_FRFデータ貼付!B40="","",03_FRFデータ貼付!C40)</f>
        <v/>
      </c>
      <c r="D40" s="71" t="str">
        <f aca="false">IF(03_FRFデータ貼付!B40="","",03_FRFデータ貼付!D40)</f>
        <v/>
      </c>
      <c r="E40" s="71" t="str">
        <f aca="false">IF(B40="","",I40-C40)</f>
        <v/>
      </c>
      <c r="F40" s="71" t="str">
        <f aca="false">IF(B40="","",J40-D40)</f>
        <v/>
      </c>
      <c r="G40" s="143" t="str">
        <f aca="false">IF(B40="","",SQRT(C40^2+D40^2))</f>
        <v/>
      </c>
      <c r="H40" s="144" t="str">
        <f aca="false">IF(B40="","",SQRT(I40^2+J40^2))</f>
        <v/>
      </c>
      <c r="I40" s="145" t="str">
        <f aca="false">IF(03_FRFデータ貼付!B40="","",10_レジデュー_MEscope!N43*10_レジデュー_MEscope!$W$37+10_レジデュー_MEscope!O43*10_レジデュー_MEscope!$W$38+10_レジデュー_MEscope!P43*10_レジデュー_MEscope!$W$39+10_レジデュー_MEscope!Q43*10_レジデュー_MEscope!$W$40+10_レジデュー_MEscope!R43*10_レジデュー_MEscope!$W$41+10_レジデュー_MEscope!S43*10_レジデュー_MEscope!$W$42)</f>
        <v/>
      </c>
      <c r="J40" s="145" t="str">
        <f aca="false">IF(03_FRFデータ貼付!B40="","",10_レジデュー_MEscope!N163*10_レジデュー_MEscope!$W$37+10_レジデュー_MEscope!O163*10_レジデュー_MEscope!$W$38+10_レジデュー_MEscope!P163*10_レジデュー_MEscope!$W$39+10_レジデュー_MEscope!Q163*10_レジデュー_MEscope!$W$40)</f>
        <v/>
      </c>
      <c r="K40" s="2"/>
      <c r="L40" s="2"/>
      <c r="M40" s="2"/>
      <c r="N40" s="2"/>
    </row>
    <row r="41" customFormat="false" ht="15" hidden="false" customHeight="false" outlineLevel="0" collapsed="false">
      <c r="A41" s="88" t="str">
        <f aca="false">IF(03_FRFデータ貼付!B41="","",03_FRFデータ貼付!A41)</f>
        <v/>
      </c>
      <c r="B41" s="89" t="str">
        <f aca="false">IF(03_FRFデータ貼付!B41="","",03_FRFデータ貼付!B41)</f>
        <v/>
      </c>
      <c r="C41" s="71" t="str">
        <f aca="false">IF(03_FRFデータ貼付!B41="","",03_FRFデータ貼付!C41)</f>
        <v/>
      </c>
      <c r="D41" s="71" t="str">
        <f aca="false">IF(03_FRFデータ貼付!B41="","",03_FRFデータ貼付!D41)</f>
        <v/>
      </c>
      <c r="E41" s="71" t="str">
        <f aca="false">IF(B41="","",I41-C41)</f>
        <v/>
      </c>
      <c r="F41" s="71" t="str">
        <f aca="false">IF(B41="","",J41-D41)</f>
        <v/>
      </c>
      <c r="G41" s="143" t="str">
        <f aca="false">IF(B41="","",SQRT(C41^2+D41^2))</f>
        <v/>
      </c>
      <c r="H41" s="144" t="str">
        <f aca="false">IF(B41="","",SQRT(I41^2+J41^2))</f>
        <v/>
      </c>
      <c r="I41" s="145" t="str">
        <f aca="false">IF(03_FRFデータ貼付!B41="","",10_レジデュー_MEscope!N44*10_レジデュー_MEscope!$W$37+10_レジデュー_MEscope!O44*10_レジデュー_MEscope!$W$38+10_レジデュー_MEscope!P44*10_レジデュー_MEscope!$W$39+10_レジデュー_MEscope!Q44*10_レジデュー_MEscope!$W$40+10_レジデュー_MEscope!R44*10_レジデュー_MEscope!$W$41+10_レジデュー_MEscope!S44*10_レジデュー_MEscope!$W$42)</f>
        <v/>
      </c>
      <c r="J41" s="145" t="str">
        <f aca="false">IF(03_FRFデータ貼付!B41="","",10_レジデュー_MEscope!N164*10_レジデュー_MEscope!$W$37+10_レジデュー_MEscope!O164*10_レジデュー_MEscope!$W$38+10_レジデュー_MEscope!P164*10_レジデュー_MEscope!$W$39+10_レジデュー_MEscope!Q164*10_レジデュー_MEscope!$W$40)</f>
        <v/>
      </c>
      <c r="K41" s="2"/>
      <c r="L41" s="2"/>
      <c r="M41" s="2"/>
      <c r="N41" s="2"/>
    </row>
    <row r="42" customFormat="false" ht="15" hidden="false" customHeight="false" outlineLevel="0" collapsed="false">
      <c r="A42" s="88" t="str">
        <f aca="false">IF(03_FRFデータ貼付!B42="","",03_FRFデータ貼付!A42)</f>
        <v/>
      </c>
      <c r="B42" s="89" t="str">
        <f aca="false">IF(03_FRFデータ貼付!B42="","",03_FRFデータ貼付!B42)</f>
        <v/>
      </c>
      <c r="C42" s="71" t="str">
        <f aca="false">IF(03_FRFデータ貼付!B42="","",03_FRFデータ貼付!C42)</f>
        <v/>
      </c>
      <c r="D42" s="71" t="str">
        <f aca="false">IF(03_FRFデータ貼付!B42="","",03_FRFデータ貼付!D42)</f>
        <v/>
      </c>
      <c r="E42" s="71" t="str">
        <f aca="false">IF(B42="","",I42-C42)</f>
        <v/>
      </c>
      <c r="F42" s="71" t="str">
        <f aca="false">IF(B42="","",J42-D42)</f>
        <v/>
      </c>
      <c r="G42" s="143" t="str">
        <f aca="false">IF(B42="","",SQRT(C42^2+D42^2))</f>
        <v/>
      </c>
      <c r="H42" s="144" t="str">
        <f aca="false">IF(B42="","",SQRT(I42^2+J42^2))</f>
        <v/>
      </c>
      <c r="I42" s="145" t="str">
        <f aca="false">IF(03_FRFデータ貼付!B42="","",10_レジデュー_MEscope!N45*10_レジデュー_MEscope!$W$37+10_レジデュー_MEscope!O45*10_レジデュー_MEscope!$W$38+10_レジデュー_MEscope!P45*10_レジデュー_MEscope!$W$39+10_レジデュー_MEscope!Q45*10_レジデュー_MEscope!$W$40+10_レジデュー_MEscope!R45*10_レジデュー_MEscope!$W$41+10_レジデュー_MEscope!S45*10_レジデュー_MEscope!$W$42)</f>
        <v/>
      </c>
      <c r="J42" s="145" t="str">
        <f aca="false">IF(03_FRFデータ貼付!B42="","",10_レジデュー_MEscope!N165*10_レジデュー_MEscope!$W$37+10_レジデュー_MEscope!O165*10_レジデュー_MEscope!$W$38+10_レジデュー_MEscope!P165*10_レジデュー_MEscope!$W$39+10_レジデュー_MEscope!Q165*10_レジデュー_MEscope!$W$40)</f>
        <v/>
      </c>
      <c r="K42" s="2"/>
      <c r="L42" s="2"/>
      <c r="M42" s="2"/>
      <c r="N42" s="2"/>
    </row>
    <row r="43" customFormat="false" ht="15" hidden="false" customHeight="false" outlineLevel="0" collapsed="false">
      <c r="A43" s="88" t="str">
        <f aca="false">IF(03_FRFデータ貼付!B43="","",03_FRFデータ貼付!A43)</f>
        <v/>
      </c>
      <c r="B43" s="89" t="str">
        <f aca="false">IF(03_FRFデータ貼付!B43="","",03_FRFデータ貼付!B43)</f>
        <v/>
      </c>
      <c r="C43" s="71" t="str">
        <f aca="false">IF(03_FRFデータ貼付!B43="","",03_FRFデータ貼付!C43)</f>
        <v/>
      </c>
      <c r="D43" s="71" t="str">
        <f aca="false">IF(03_FRFデータ貼付!B43="","",03_FRFデータ貼付!D43)</f>
        <v/>
      </c>
      <c r="E43" s="71" t="str">
        <f aca="false">IF(B43="","",I43-C43)</f>
        <v/>
      </c>
      <c r="F43" s="71" t="str">
        <f aca="false">IF(B43="","",J43-D43)</f>
        <v/>
      </c>
      <c r="G43" s="143" t="str">
        <f aca="false">IF(B43="","",SQRT(C43^2+D43^2))</f>
        <v/>
      </c>
      <c r="H43" s="144" t="str">
        <f aca="false">IF(B43="","",SQRT(I43^2+J43^2))</f>
        <v/>
      </c>
      <c r="I43" s="145" t="str">
        <f aca="false">IF(03_FRFデータ貼付!B43="","",10_レジデュー_MEscope!N46*10_レジデュー_MEscope!$W$37+10_レジデュー_MEscope!O46*10_レジデュー_MEscope!$W$38+10_レジデュー_MEscope!P46*10_レジデュー_MEscope!$W$39+10_レジデュー_MEscope!Q46*10_レジデュー_MEscope!$W$40+10_レジデュー_MEscope!R46*10_レジデュー_MEscope!$W$41+10_レジデュー_MEscope!S46*10_レジデュー_MEscope!$W$42)</f>
        <v/>
      </c>
      <c r="J43" s="145" t="str">
        <f aca="false">IF(03_FRFデータ貼付!B43="","",10_レジデュー_MEscope!N166*10_レジデュー_MEscope!$W$37+10_レジデュー_MEscope!O166*10_レジデュー_MEscope!$W$38+10_レジデュー_MEscope!P166*10_レジデュー_MEscope!$W$39+10_レジデュー_MEscope!Q166*10_レジデュー_MEscope!$W$40)</f>
        <v/>
      </c>
      <c r="K43" s="2"/>
      <c r="L43" s="2"/>
      <c r="M43" s="2"/>
      <c r="N43" s="2"/>
    </row>
    <row r="44" customFormat="false" ht="15" hidden="false" customHeight="false" outlineLevel="0" collapsed="false">
      <c r="A44" s="88" t="str">
        <f aca="false">IF(03_FRFデータ貼付!B44="","",03_FRFデータ貼付!A44)</f>
        <v/>
      </c>
      <c r="B44" s="89" t="str">
        <f aca="false">IF(03_FRFデータ貼付!B44="","",03_FRFデータ貼付!B44)</f>
        <v/>
      </c>
      <c r="C44" s="71" t="str">
        <f aca="false">IF(03_FRFデータ貼付!B44="","",03_FRFデータ貼付!C44)</f>
        <v/>
      </c>
      <c r="D44" s="71" t="str">
        <f aca="false">IF(03_FRFデータ貼付!B44="","",03_FRFデータ貼付!D44)</f>
        <v/>
      </c>
      <c r="E44" s="71" t="str">
        <f aca="false">IF(B44="","",I44-C44)</f>
        <v/>
      </c>
      <c r="F44" s="71" t="str">
        <f aca="false">IF(B44="","",J44-D44)</f>
        <v/>
      </c>
      <c r="G44" s="143" t="str">
        <f aca="false">IF(B44="","",SQRT(C44^2+D44^2))</f>
        <v/>
      </c>
      <c r="H44" s="144" t="str">
        <f aca="false">IF(B44="","",SQRT(I44^2+J44^2))</f>
        <v/>
      </c>
      <c r="I44" s="145" t="str">
        <f aca="false">IF(03_FRFデータ貼付!B44="","",10_レジデュー_MEscope!N47*10_レジデュー_MEscope!$W$37+10_レジデュー_MEscope!O47*10_レジデュー_MEscope!$W$38+10_レジデュー_MEscope!P47*10_レジデュー_MEscope!$W$39+10_レジデュー_MEscope!Q47*10_レジデュー_MEscope!$W$40+10_レジデュー_MEscope!R47*10_レジデュー_MEscope!$W$41+10_レジデュー_MEscope!S47*10_レジデュー_MEscope!$W$42)</f>
        <v/>
      </c>
      <c r="J44" s="145" t="str">
        <f aca="false">IF(03_FRFデータ貼付!B44="","",10_レジデュー_MEscope!N167*10_レジデュー_MEscope!$W$37+10_レジデュー_MEscope!O167*10_レジデュー_MEscope!$W$38+10_レジデュー_MEscope!P167*10_レジデュー_MEscope!$W$39+10_レジデュー_MEscope!Q167*10_レジデュー_MEscope!$W$40)</f>
        <v/>
      </c>
      <c r="K44" s="2"/>
      <c r="L44" s="2"/>
      <c r="M44" s="2"/>
      <c r="N44" s="2"/>
    </row>
    <row r="45" customFormat="false" ht="15" hidden="false" customHeight="false" outlineLevel="0" collapsed="false">
      <c r="A45" s="88" t="str">
        <f aca="false">IF(03_FRFデータ貼付!B45="","",03_FRFデータ貼付!A45)</f>
        <v/>
      </c>
      <c r="B45" s="89" t="str">
        <f aca="false">IF(03_FRFデータ貼付!B45="","",03_FRFデータ貼付!B45)</f>
        <v/>
      </c>
      <c r="C45" s="71" t="str">
        <f aca="false">IF(03_FRFデータ貼付!B45="","",03_FRFデータ貼付!C45)</f>
        <v/>
      </c>
      <c r="D45" s="71" t="str">
        <f aca="false">IF(03_FRFデータ貼付!B45="","",03_FRFデータ貼付!D45)</f>
        <v/>
      </c>
      <c r="E45" s="71" t="str">
        <f aca="false">IF(B45="","",I45-C45)</f>
        <v/>
      </c>
      <c r="F45" s="71" t="str">
        <f aca="false">IF(B45="","",J45-D45)</f>
        <v/>
      </c>
      <c r="G45" s="143" t="str">
        <f aca="false">IF(B45="","",SQRT(C45^2+D45^2))</f>
        <v/>
      </c>
      <c r="H45" s="144" t="str">
        <f aca="false">IF(B45="","",SQRT(I45^2+J45^2))</f>
        <v/>
      </c>
      <c r="I45" s="145" t="str">
        <f aca="false">IF(03_FRFデータ貼付!B45="","",10_レジデュー_MEscope!N48*10_レジデュー_MEscope!$W$37+10_レジデュー_MEscope!O48*10_レジデュー_MEscope!$W$38+10_レジデュー_MEscope!P48*10_レジデュー_MEscope!$W$39+10_レジデュー_MEscope!Q48*10_レジデュー_MEscope!$W$40+10_レジデュー_MEscope!R48*10_レジデュー_MEscope!$W$41+10_レジデュー_MEscope!S48*10_レジデュー_MEscope!$W$42)</f>
        <v/>
      </c>
      <c r="J45" s="145" t="str">
        <f aca="false">IF(03_FRFデータ貼付!B45="","",10_レジデュー_MEscope!N168*10_レジデュー_MEscope!$W$37+10_レジデュー_MEscope!O168*10_レジデュー_MEscope!$W$38+10_レジデュー_MEscope!P168*10_レジデュー_MEscope!$W$39+10_レジデュー_MEscope!Q168*10_レジデュー_MEscope!$W$40)</f>
        <v/>
      </c>
      <c r="K45" s="2"/>
      <c r="L45" s="2"/>
      <c r="M45" s="2"/>
      <c r="N45" s="2"/>
    </row>
    <row r="46" customFormat="false" ht="15" hidden="false" customHeight="false" outlineLevel="0" collapsed="false">
      <c r="A46" s="88" t="str">
        <f aca="false">IF(03_FRFデータ貼付!B46="","",03_FRFデータ貼付!A46)</f>
        <v/>
      </c>
      <c r="B46" s="89" t="str">
        <f aca="false">IF(03_FRFデータ貼付!B46="","",03_FRFデータ貼付!B46)</f>
        <v/>
      </c>
      <c r="C46" s="71" t="str">
        <f aca="false">IF(03_FRFデータ貼付!B46="","",03_FRFデータ貼付!C46)</f>
        <v/>
      </c>
      <c r="D46" s="71" t="str">
        <f aca="false">IF(03_FRFデータ貼付!B46="","",03_FRFデータ貼付!D46)</f>
        <v/>
      </c>
      <c r="E46" s="71" t="str">
        <f aca="false">IF(B46="","",I46-C46)</f>
        <v/>
      </c>
      <c r="F46" s="71" t="str">
        <f aca="false">IF(B46="","",J46-D46)</f>
        <v/>
      </c>
      <c r="G46" s="143" t="str">
        <f aca="false">IF(B46="","",SQRT(C46^2+D46^2))</f>
        <v/>
      </c>
      <c r="H46" s="144" t="str">
        <f aca="false">IF(B46="","",SQRT(I46^2+J46^2))</f>
        <v/>
      </c>
      <c r="I46" s="145" t="str">
        <f aca="false">IF(03_FRFデータ貼付!B46="","",10_レジデュー_MEscope!N49*10_レジデュー_MEscope!$W$37+10_レジデュー_MEscope!O49*10_レジデュー_MEscope!$W$38+10_レジデュー_MEscope!P49*10_レジデュー_MEscope!$W$39+10_レジデュー_MEscope!Q49*10_レジデュー_MEscope!$W$40+10_レジデュー_MEscope!R49*10_レジデュー_MEscope!$W$41+10_レジデュー_MEscope!S49*10_レジデュー_MEscope!$W$42)</f>
        <v/>
      </c>
      <c r="J46" s="145" t="str">
        <f aca="false">IF(03_FRFデータ貼付!B46="","",10_レジデュー_MEscope!N169*10_レジデュー_MEscope!$W$37+10_レジデュー_MEscope!O169*10_レジデュー_MEscope!$W$38+10_レジデュー_MEscope!P169*10_レジデュー_MEscope!$W$39+10_レジデュー_MEscope!Q169*10_レジデュー_MEscope!$W$40)</f>
        <v/>
      </c>
      <c r="K46" s="2"/>
      <c r="L46" s="2"/>
      <c r="M46" s="2"/>
      <c r="N46" s="2"/>
    </row>
    <row r="47" customFormat="false" ht="15" hidden="false" customHeight="false" outlineLevel="0" collapsed="false">
      <c r="A47" s="88" t="str">
        <f aca="false">IF(03_FRFデータ貼付!B47="","",03_FRFデータ貼付!A47)</f>
        <v/>
      </c>
      <c r="B47" s="89" t="str">
        <f aca="false">IF(03_FRFデータ貼付!B47="","",03_FRFデータ貼付!B47)</f>
        <v/>
      </c>
      <c r="C47" s="71" t="str">
        <f aca="false">IF(03_FRFデータ貼付!B47="","",03_FRFデータ貼付!C47)</f>
        <v/>
      </c>
      <c r="D47" s="71" t="str">
        <f aca="false">IF(03_FRFデータ貼付!B47="","",03_FRFデータ貼付!D47)</f>
        <v/>
      </c>
      <c r="E47" s="71" t="str">
        <f aca="false">IF(B47="","",I47-C47)</f>
        <v/>
      </c>
      <c r="F47" s="71" t="str">
        <f aca="false">IF(B47="","",J47-D47)</f>
        <v/>
      </c>
      <c r="G47" s="143" t="str">
        <f aca="false">IF(B47="","",SQRT(C47^2+D47^2))</f>
        <v/>
      </c>
      <c r="H47" s="144" t="str">
        <f aca="false">IF(B47="","",SQRT(I47^2+J47^2))</f>
        <v/>
      </c>
      <c r="I47" s="145" t="str">
        <f aca="false">IF(03_FRFデータ貼付!B47="","",10_レジデュー_MEscope!N50*10_レジデュー_MEscope!$W$37+10_レジデュー_MEscope!O50*10_レジデュー_MEscope!$W$38+10_レジデュー_MEscope!P50*10_レジデュー_MEscope!$W$39+10_レジデュー_MEscope!Q50*10_レジデュー_MEscope!$W$40+10_レジデュー_MEscope!R50*10_レジデュー_MEscope!$W$41+10_レジデュー_MEscope!S50*10_レジデュー_MEscope!$W$42)</f>
        <v/>
      </c>
      <c r="J47" s="145" t="str">
        <f aca="false">IF(03_FRFデータ貼付!B47="","",10_レジデュー_MEscope!N170*10_レジデュー_MEscope!$W$37+10_レジデュー_MEscope!O170*10_レジデュー_MEscope!$W$38+10_レジデュー_MEscope!P170*10_レジデュー_MEscope!$W$39+10_レジデュー_MEscope!Q170*10_レジデュー_MEscope!$W$40)</f>
        <v/>
      </c>
      <c r="K47" s="2"/>
      <c r="L47" s="2"/>
      <c r="M47" s="2"/>
      <c r="N47" s="2"/>
    </row>
    <row r="48" customFormat="false" ht="15" hidden="false" customHeight="false" outlineLevel="0" collapsed="false">
      <c r="A48" s="88" t="str">
        <f aca="false">IF(03_FRFデータ貼付!B48="","",03_FRFデータ貼付!A48)</f>
        <v/>
      </c>
      <c r="B48" s="89" t="str">
        <f aca="false">IF(03_FRFデータ貼付!B48="","",03_FRFデータ貼付!B48)</f>
        <v/>
      </c>
      <c r="C48" s="71" t="str">
        <f aca="false">IF(03_FRFデータ貼付!B48="","",03_FRFデータ貼付!C48)</f>
        <v/>
      </c>
      <c r="D48" s="71" t="str">
        <f aca="false">IF(03_FRFデータ貼付!B48="","",03_FRFデータ貼付!D48)</f>
        <v/>
      </c>
      <c r="E48" s="71" t="str">
        <f aca="false">IF(B48="","",I48-C48)</f>
        <v/>
      </c>
      <c r="F48" s="71" t="str">
        <f aca="false">IF(B48="","",J48-D48)</f>
        <v/>
      </c>
      <c r="G48" s="143" t="str">
        <f aca="false">IF(B48="","",SQRT(C48^2+D48^2))</f>
        <v/>
      </c>
      <c r="H48" s="144" t="str">
        <f aca="false">IF(B48="","",SQRT(I48^2+J48^2))</f>
        <v/>
      </c>
      <c r="I48" s="145" t="str">
        <f aca="false">IF(03_FRFデータ貼付!B48="","",10_レジデュー_MEscope!N51*10_レジデュー_MEscope!$W$37+10_レジデュー_MEscope!O51*10_レジデュー_MEscope!$W$38+10_レジデュー_MEscope!P51*10_レジデュー_MEscope!$W$39+10_レジデュー_MEscope!Q51*10_レジデュー_MEscope!$W$40+10_レジデュー_MEscope!R51*10_レジデュー_MEscope!$W$41+10_レジデュー_MEscope!S51*10_レジデュー_MEscope!$W$42)</f>
        <v/>
      </c>
      <c r="J48" s="145" t="str">
        <f aca="false">IF(03_FRFデータ貼付!B48="","",10_レジデュー_MEscope!N171*10_レジデュー_MEscope!$W$37+10_レジデュー_MEscope!O171*10_レジデュー_MEscope!$W$38+10_レジデュー_MEscope!P171*10_レジデュー_MEscope!$W$39+10_レジデュー_MEscope!Q171*10_レジデュー_MEscope!$W$40)</f>
        <v/>
      </c>
      <c r="K48" s="2"/>
      <c r="L48" s="2"/>
      <c r="M48" s="2"/>
      <c r="N48" s="2"/>
    </row>
    <row r="49" customFormat="false" ht="15" hidden="false" customHeight="false" outlineLevel="0" collapsed="false">
      <c r="A49" s="88" t="str">
        <f aca="false">IF(03_FRFデータ貼付!B49="","",03_FRFデータ貼付!A49)</f>
        <v/>
      </c>
      <c r="B49" s="89" t="str">
        <f aca="false">IF(03_FRFデータ貼付!B49="","",03_FRFデータ貼付!B49)</f>
        <v/>
      </c>
      <c r="C49" s="71" t="str">
        <f aca="false">IF(03_FRFデータ貼付!B49="","",03_FRFデータ貼付!C49)</f>
        <v/>
      </c>
      <c r="D49" s="71" t="str">
        <f aca="false">IF(03_FRFデータ貼付!B49="","",03_FRFデータ貼付!D49)</f>
        <v/>
      </c>
      <c r="E49" s="71" t="str">
        <f aca="false">IF(B49="","",I49-C49)</f>
        <v/>
      </c>
      <c r="F49" s="71" t="str">
        <f aca="false">IF(B49="","",J49-D49)</f>
        <v/>
      </c>
      <c r="G49" s="143" t="str">
        <f aca="false">IF(B49="","",SQRT(C49^2+D49^2))</f>
        <v/>
      </c>
      <c r="H49" s="144" t="str">
        <f aca="false">IF(B49="","",SQRT(I49^2+J49^2))</f>
        <v/>
      </c>
      <c r="I49" s="145" t="str">
        <f aca="false">IF(03_FRFデータ貼付!B49="","",10_レジデュー_MEscope!N52*10_レジデュー_MEscope!$W$37+10_レジデュー_MEscope!O52*10_レジデュー_MEscope!$W$38+10_レジデュー_MEscope!P52*10_レジデュー_MEscope!$W$39+10_レジデュー_MEscope!Q52*10_レジデュー_MEscope!$W$40+10_レジデュー_MEscope!R52*10_レジデュー_MEscope!$W$41+10_レジデュー_MEscope!S52*10_レジデュー_MEscope!$W$42)</f>
        <v/>
      </c>
      <c r="J49" s="145" t="str">
        <f aca="false">IF(03_FRFデータ貼付!B49="","",10_レジデュー_MEscope!N172*10_レジデュー_MEscope!$W$37+10_レジデュー_MEscope!O172*10_レジデュー_MEscope!$W$38+10_レジデュー_MEscope!P172*10_レジデュー_MEscope!$W$39+10_レジデュー_MEscope!Q172*10_レジデュー_MEscope!$W$40)</f>
        <v/>
      </c>
      <c r="K49" s="2"/>
      <c r="L49" s="2"/>
      <c r="M49" s="2"/>
      <c r="N49" s="2"/>
    </row>
    <row r="50" customFormat="false" ht="15" hidden="false" customHeight="false" outlineLevel="0" collapsed="false">
      <c r="A50" s="88" t="str">
        <f aca="false">IF(03_FRFデータ貼付!B50="","",03_FRFデータ貼付!A50)</f>
        <v/>
      </c>
      <c r="B50" s="89" t="str">
        <f aca="false">IF(03_FRFデータ貼付!B50="","",03_FRFデータ貼付!B50)</f>
        <v/>
      </c>
      <c r="C50" s="71" t="str">
        <f aca="false">IF(03_FRFデータ貼付!B50="","",03_FRFデータ貼付!C50)</f>
        <v/>
      </c>
      <c r="D50" s="71" t="str">
        <f aca="false">IF(03_FRFデータ貼付!B50="","",03_FRFデータ貼付!D50)</f>
        <v/>
      </c>
      <c r="E50" s="71" t="str">
        <f aca="false">IF(B50="","",I50-C50)</f>
        <v/>
      </c>
      <c r="F50" s="71" t="str">
        <f aca="false">IF(B50="","",J50-D50)</f>
        <v/>
      </c>
      <c r="G50" s="143" t="str">
        <f aca="false">IF(B50="","",SQRT(C50^2+D50^2))</f>
        <v/>
      </c>
      <c r="H50" s="144" t="str">
        <f aca="false">IF(B50="","",SQRT(I50^2+J50^2))</f>
        <v/>
      </c>
      <c r="I50" s="145" t="str">
        <f aca="false">IF(03_FRFデータ貼付!B50="","",10_レジデュー_MEscope!N53*10_レジデュー_MEscope!$W$37+10_レジデュー_MEscope!O53*10_レジデュー_MEscope!$W$38+10_レジデュー_MEscope!P53*10_レジデュー_MEscope!$W$39+10_レジデュー_MEscope!Q53*10_レジデュー_MEscope!$W$40+10_レジデュー_MEscope!R53*10_レジデュー_MEscope!$W$41+10_レジデュー_MEscope!S53*10_レジデュー_MEscope!$W$42)</f>
        <v/>
      </c>
      <c r="J50" s="145" t="str">
        <f aca="false">IF(03_FRFデータ貼付!B50="","",10_レジデュー_MEscope!N173*10_レジデュー_MEscope!$W$37+10_レジデュー_MEscope!O173*10_レジデュー_MEscope!$W$38+10_レジデュー_MEscope!P173*10_レジデュー_MEscope!$W$39+10_レジデュー_MEscope!Q173*10_レジデュー_MEscope!$W$40)</f>
        <v/>
      </c>
      <c r="K50" s="2"/>
      <c r="L50" s="2"/>
      <c r="M50" s="2"/>
      <c r="N50" s="2"/>
    </row>
    <row r="51" customFormat="false" ht="15" hidden="false" customHeight="false" outlineLevel="0" collapsed="false">
      <c r="A51" s="88" t="str">
        <f aca="false">IF(03_FRFデータ貼付!B51="","",03_FRFデータ貼付!A51)</f>
        <v/>
      </c>
      <c r="B51" s="89" t="str">
        <f aca="false">IF(03_FRFデータ貼付!B51="","",03_FRFデータ貼付!B51)</f>
        <v/>
      </c>
      <c r="C51" s="71" t="str">
        <f aca="false">IF(03_FRFデータ貼付!B51="","",03_FRFデータ貼付!C51)</f>
        <v/>
      </c>
      <c r="D51" s="71" t="str">
        <f aca="false">IF(03_FRFデータ貼付!B51="","",03_FRFデータ貼付!D51)</f>
        <v/>
      </c>
      <c r="E51" s="71" t="str">
        <f aca="false">IF(B51="","",I51-C51)</f>
        <v/>
      </c>
      <c r="F51" s="71" t="str">
        <f aca="false">IF(B51="","",J51-D51)</f>
        <v/>
      </c>
      <c r="G51" s="143" t="str">
        <f aca="false">IF(B51="","",SQRT(C51^2+D51^2))</f>
        <v/>
      </c>
      <c r="H51" s="144" t="str">
        <f aca="false">IF(B51="","",SQRT(I51^2+J51^2))</f>
        <v/>
      </c>
      <c r="I51" s="145" t="str">
        <f aca="false">IF(03_FRFデータ貼付!B51="","",10_レジデュー_MEscope!N54*10_レジデュー_MEscope!$W$37+10_レジデュー_MEscope!O54*10_レジデュー_MEscope!$W$38+10_レジデュー_MEscope!P54*10_レジデュー_MEscope!$W$39+10_レジデュー_MEscope!Q54*10_レジデュー_MEscope!$W$40+10_レジデュー_MEscope!R54*10_レジデュー_MEscope!$W$41+10_レジデュー_MEscope!S54*10_レジデュー_MEscope!$W$42)</f>
        <v/>
      </c>
      <c r="J51" s="145" t="str">
        <f aca="false">IF(03_FRFデータ貼付!B51="","",10_レジデュー_MEscope!N174*10_レジデュー_MEscope!$W$37+10_レジデュー_MEscope!O174*10_レジデュー_MEscope!$W$38+10_レジデュー_MEscope!P174*10_レジデュー_MEscope!$W$39+10_レジデュー_MEscope!Q174*10_レジデュー_MEscope!$W$40)</f>
        <v/>
      </c>
      <c r="K51" s="2"/>
      <c r="L51" s="2"/>
      <c r="M51" s="2"/>
      <c r="N51" s="2"/>
    </row>
    <row r="52" customFormat="false" ht="15" hidden="false" customHeight="false" outlineLevel="0" collapsed="false">
      <c r="A52" s="88" t="str">
        <f aca="false">IF(03_FRFデータ貼付!B52="","",03_FRFデータ貼付!A52)</f>
        <v/>
      </c>
      <c r="B52" s="89" t="str">
        <f aca="false">IF(03_FRFデータ貼付!B52="","",03_FRFデータ貼付!B52)</f>
        <v/>
      </c>
      <c r="C52" s="71" t="str">
        <f aca="false">IF(03_FRFデータ貼付!B52="","",03_FRFデータ貼付!C52)</f>
        <v/>
      </c>
      <c r="D52" s="71" t="str">
        <f aca="false">IF(03_FRFデータ貼付!B52="","",03_FRFデータ貼付!D52)</f>
        <v/>
      </c>
      <c r="E52" s="71" t="str">
        <f aca="false">IF(B52="","",I52-C52)</f>
        <v/>
      </c>
      <c r="F52" s="71" t="str">
        <f aca="false">IF(B52="","",J52-D52)</f>
        <v/>
      </c>
      <c r="G52" s="143" t="str">
        <f aca="false">IF(B52="","",SQRT(C52^2+D52^2))</f>
        <v/>
      </c>
      <c r="H52" s="144" t="str">
        <f aca="false">IF(B52="","",SQRT(I52^2+J52^2))</f>
        <v/>
      </c>
      <c r="I52" s="145" t="str">
        <f aca="false">IF(03_FRFデータ貼付!B52="","",10_レジデュー_MEscope!N55*10_レジデュー_MEscope!$W$37+10_レジデュー_MEscope!O55*10_レジデュー_MEscope!$W$38+10_レジデュー_MEscope!P55*10_レジデュー_MEscope!$W$39+10_レジデュー_MEscope!Q55*10_レジデュー_MEscope!$W$40+10_レジデュー_MEscope!R55*10_レジデュー_MEscope!$W$41+10_レジデュー_MEscope!S55*10_レジデュー_MEscope!$W$42)</f>
        <v/>
      </c>
      <c r="J52" s="145" t="str">
        <f aca="false">IF(03_FRFデータ貼付!B52="","",10_レジデュー_MEscope!N175*10_レジデュー_MEscope!$W$37+10_レジデュー_MEscope!O175*10_レジデュー_MEscope!$W$38+10_レジデュー_MEscope!P175*10_レジデュー_MEscope!$W$39+10_レジデュー_MEscope!Q175*10_レジデュー_MEscope!$W$40)</f>
        <v/>
      </c>
      <c r="K52" s="2"/>
      <c r="L52" s="2"/>
      <c r="M52" s="2"/>
      <c r="N52" s="2"/>
    </row>
    <row r="53" customFormat="false" ht="15" hidden="false" customHeight="false" outlineLevel="0" collapsed="false">
      <c r="A53" s="88" t="str">
        <f aca="false">IF(03_FRFデータ貼付!B53="","",03_FRFデータ貼付!A53)</f>
        <v/>
      </c>
      <c r="B53" s="89" t="str">
        <f aca="false">IF(03_FRFデータ貼付!B53="","",03_FRFデータ貼付!B53)</f>
        <v/>
      </c>
      <c r="C53" s="71" t="str">
        <f aca="false">IF(03_FRFデータ貼付!B53="","",03_FRFデータ貼付!C53)</f>
        <v/>
      </c>
      <c r="D53" s="71" t="str">
        <f aca="false">IF(03_FRFデータ貼付!B53="","",03_FRFデータ貼付!D53)</f>
        <v/>
      </c>
      <c r="E53" s="71" t="str">
        <f aca="false">IF(B53="","",I53-C53)</f>
        <v/>
      </c>
      <c r="F53" s="71" t="str">
        <f aca="false">IF(B53="","",J53-D53)</f>
        <v/>
      </c>
      <c r="G53" s="143" t="str">
        <f aca="false">IF(B53="","",SQRT(C53^2+D53^2))</f>
        <v/>
      </c>
      <c r="H53" s="144" t="str">
        <f aca="false">IF(B53="","",SQRT(I53^2+J53^2))</f>
        <v/>
      </c>
      <c r="I53" s="145" t="str">
        <f aca="false">IF(03_FRFデータ貼付!B53="","",10_レジデュー_MEscope!N56*10_レジデュー_MEscope!$W$37+10_レジデュー_MEscope!O56*10_レジデュー_MEscope!$W$38+10_レジデュー_MEscope!P56*10_レジデュー_MEscope!$W$39+10_レジデュー_MEscope!Q56*10_レジデュー_MEscope!$W$40+10_レジデュー_MEscope!R56*10_レジデュー_MEscope!$W$41+10_レジデュー_MEscope!S56*10_レジデュー_MEscope!$W$42)</f>
        <v/>
      </c>
      <c r="J53" s="145" t="str">
        <f aca="false">IF(03_FRFデータ貼付!B53="","",10_レジデュー_MEscope!N176*10_レジデュー_MEscope!$W$37+10_レジデュー_MEscope!O176*10_レジデュー_MEscope!$W$38+10_レジデュー_MEscope!P176*10_レジデュー_MEscope!$W$39+10_レジデュー_MEscope!Q176*10_レジデュー_MEscope!$W$40)</f>
        <v/>
      </c>
      <c r="K53" s="2"/>
      <c r="L53" s="2"/>
      <c r="M53" s="2"/>
      <c r="N53" s="2"/>
    </row>
    <row r="54" customFormat="false" ht="15" hidden="false" customHeight="false" outlineLevel="0" collapsed="false">
      <c r="A54" s="88" t="str">
        <f aca="false">IF(03_FRFデータ貼付!B54="","",03_FRFデータ貼付!A54)</f>
        <v/>
      </c>
      <c r="B54" s="89" t="str">
        <f aca="false">IF(03_FRFデータ貼付!B54="","",03_FRFデータ貼付!B54)</f>
        <v/>
      </c>
      <c r="C54" s="71" t="str">
        <f aca="false">IF(03_FRFデータ貼付!B54="","",03_FRFデータ貼付!C54)</f>
        <v/>
      </c>
      <c r="D54" s="71" t="str">
        <f aca="false">IF(03_FRFデータ貼付!B54="","",03_FRFデータ貼付!D54)</f>
        <v/>
      </c>
      <c r="E54" s="71" t="str">
        <f aca="false">IF(B54="","",I54-C54)</f>
        <v/>
      </c>
      <c r="F54" s="71" t="str">
        <f aca="false">IF(B54="","",J54-D54)</f>
        <v/>
      </c>
      <c r="G54" s="143" t="str">
        <f aca="false">IF(B54="","",SQRT(C54^2+D54^2))</f>
        <v/>
      </c>
      <c r="H54" s="144" t="str">
        <f aca="false">IF(B54="","",SQRT(I54^2+J54^2))</f>
        <v/>
      </c>
      <c r="I54" s="145" t="str">
        <f aca="false">IF(03_FRFデータ貼付!B54="","",10_レジデュー_MEscope!N57*10_レジデュー_MEscope!$W$37+10_レジデュー_MEscope!O57*10_レジデュー_MEscope!$W$38+10_レジデュー_MEscope!P57*10_レジデュー_MEscope!$W$39+10_レジデュー_MEscope!Q57*10_レジデュー_MEscope!$W$40+10_レジデュー_MEscope!R57*10_レジデュー_MEscope!$W$41+10_レジデュー_MEscope!S57*10_レジデュー_MEscope!$W$42)</f>
        <v/>
      </c>
      <c r="J54" s="145" t="str">
        <f aca="false">IF(03_FRFデータ貼付!B54="","",10_レジデュー_MEscope!N177*10_レジデュー_MEscope!$W$37+10_レジデュー_MEscope!O177*10_レジデュー_MEscope!$W$38+10_レジデュー_MEscope!P177*10_レジデュー_MEscope!$W$39+10_レジデュー_MEscope!Q177*10_レジデュー_MEscope!$W$40)</f>
        <v/>
      </c>
      <c r="K54" s="2"/>
      <c r="L54" s="2"/>
      <c r="M54" s="2"/>
      <c r="N54" s="2"/>
    </row>
    <row r="55" customFormat="false" ht="15" hidden="false" customHeight="false" outlineLevel="0" collapsed="false">
      <c r="A55" s="88" t="str">
        <f aca="false">IF(03_FRFデータ貼付!B55="","",03_FRFデータ貼付!A55)</f>
        <v/>
      </c>
      <c r="B55" s="89" t="str">
        <f aca="false">IF(03_FRFデータ貼付!B55="","",03_FRFデータ貼付!B55)</f>
        <v/>
      </c>
      <c r="C55" s="71" t="str">
        <f aca="false">IF(03_FRFデータ貼付!B55="","",03_FRFデータ貼付!C55)</f>
        <v/>
      </c>
      <c r="D55" s="71" t="str">
        <f aca="false">IF(03_FRFデータ貼付!B55="","",03_FRFデータ貼付!D55)</f>
        <v/>
      </c>
      <c r="E55" s="71" t="str">
        <f aca="false">IF(B55="","",I55-C55)</f>
        <v/>
      </c>
      <c r="F55" s="71" t="str">
        <f aca="false">IF(B55="","",J55-D55)</f>
        <v/>
      </c>
      <c r="G55" s="143" t="str">
        <f aca="false">IF(B55="","",SQRT(C55^2+D55^2))</f>
        <v/>
      </c>
      <c r="H55" s="144" t="str">
        <f aca="false">IF(B55="","",SQRT(I55^2+J55^2))</f>
        <v/>
      </c>
      <c r="I55" s="145" t="str">
        <f aca="false">IF(03_FRFデータ貼付!B55="","",10_レジデュー_MEscope!N58*10_レジデュー_MEscope!$W$37+10_レジデュー_MEscope!O58*10_レジデュー_MEscope!$W$38+10_レジデュー_MEscope!P58*10_レジデュー_MEscope!$W$39+10_レジデュー_MEscope!Q58*10_レジデュー_MEscope!$W$40+10_レジデュー_MEscope!R58*10_レジデュー_MEscope!$W$41+10_レジデュー_MEscope!S58*10_レジデュー_MEscope!$W$42)</f>
        <v/>
      </c>
      <c r="J55" s="145" t="str">
        <f aca="false">IF(03_FRFデータ貼付!B55="","",10_レジデュー_MEscope!N178*10_レジデュー_MEscope!$W$37+10_レジデュー_MEscope!O178*10_レジデュー_MEscope!$W$38+10_レジデュー_MEscope!P178*10_レジデュー_MEscope!$W$39+10_レジデュー_MEscope!Q178*10_レジデュー_MEscope!$W$40)</f>
        <v/>
      </c>
      <c r="K55" s="2"/>
      <c r="L55" s="2"/>
      <c r="M55" s="2"/>
      <c r="N55" s="2"/>
    </row>
    <row r="56" customFormat="false" ht="15" hidden="false" customHeight="false" outlineLevel="0" collapsed="false">
      <c r="A56" s="88" t="str">
        <f aca="false">IF(03_FRFデータ貼付!B56="","",03_FRFデータ貼付!A56)</f>
        <v/>
      </c>
      <c r="B56" s="89" t="str">
        <f aca="false">IF(03_FRFデータ貼付!B56="","",03_FRFデータ貼付!B56)</f>
        <v/>
      </c>
      <c r="C56" s="71" t="str">
        <f aca="false">IF(03_FRFデータ貼付!B56="","",03_FRFデータ貼付!C56)</f>
        <v/>
      </c>
      <c r="D56" s="71" t="str">
        <f aca="false">IF(03_FRFデータ貼付!B56="","",03_FRFデータ貼付!D56)</f>
        <v/>
      </c>
      <c r="E56" s="71" t="str">
        <f aca="false">IF(B56="","",I56-C56)</f>
        <v/>
      </c>
      <c r="F56" s="71" t="str">
        <f aca="false">IF(B56="","",J56-D56)</f>
        <v/>
      </c>
      <c r="G56" s="143" t="str">
        <f aca="false">IF(B56="","",SQRT(C56^2+D56^2))</f>
        <v/>
      </c>
      <c r="H56" s="144" t="str">
        <f aca="false">IF(B56="","",SQRT(I56^2+J56^2))</f>
        <v/>
      </c>
      <c r="I56" s="145" t="str">
        <f aca="false">IF(03_FRFデータ貼付!B56="","",10_レジデュー_MEscope!N59*10_レジデュー_MEscope!$W$37+10_レジデュー_MEscope!O59*10_レジデュー_MEscope!$W$38+10_レジデュー_MEscope!P59*10_レジデュー_MEscope!$W$39+10_レジデュー_MEscope!Q59*10_レジデュー_MEscope!$W$40+10_レジデュー_MEscope!R59*10_レジデュー_MEscope!$W$41+10_レジデュー_MEscope!S59*10_レジデュー_MEscope!$W$42)</f>
        <v/>
      </c>
      <c r="J56" s="145" t="str">
        <f aca="false">IF(03_FRFデータ貼付!B56="","",10_レジデュー_MEscope!N179*10_レジデュー_MEscope!$W$37+10_レジデュー_MEscope!O179*10_レジデュー_MEscope!$W$38+10_レジデュー_MEscope!P179*10_レジデュー_MEscope!$W$39+10_レジデュー_MEscope!Q179*10_レジデュー_MEscope!$W$40)</f>
        <v/>
      </c>
      <c r="K56" s="2"/>
      <c r="L56" s="2"/>
      <c r="M56" s="2"/>
      <c r="N56" s="2"/>
    </row>
    <row r="57" customFormat="false" ht="15" hidden="false" customHeight="false" outlineLevel="0" collapsed="false">
      <c r="A57" s="88" t="str">
        <f aca="false">IF(03_FRFデータ貼付!B57="","",03_FRFデータ貼付!A57)</f>
        <v/>
      </c>
      <c r="B57" s="89" t="str">
        <f aca="false">IF(03_FRFデータ貼付!B57="","",03_FRFデータ貼付!B57)</f>
        <v/>
      </c>
      <c r="C57" s="71" t="str">
        <f aca="false">IF(03_FRFデータ貼付!B57="","",03_FRFデータ貼付!C57)</f>
        <v/>
      </c>
      <c r="D57" s="71" t="str">
        <f aca="false">IF(03_FRFデータ貼付!B57="","",03_FRFデータ貼付!D57)</f>
        <v/>
      </c>
      <c r="E57" s="71" t="str">
        <f aca="false">IF(B57="","",I57-C57)</f>
        <v/>
      </c>
      <c r="F57" s="71" t="str">
        <f aca="false">IF(B57="","",J57-D57)</f>
        <v/>
      </c>
      <c r="G57" s="143" t="str">
        <f aca="false">IF(B57="","",SQRT(C57^2+D57^2))</f>
        <v/>
      </c>
      <c r="H57" s="144" t="str">
        <f aca="false">IF(B57="","",SQRT(I57^2+J57^2))</f>
        <v/>
      </c>
      <c r="I57" s="145" t="str">
        <f aca="false">IF(03_FRFデータ貼付!B57="","",10_レジデュー_MEscope!N60*10_レジデュー_MEscope!$W$37+10_レジデュー_MEscope!O60*10_レジデュー_MEscope!$W$38+10_レジデュー_MEscope!P60*10_レジデュー_MEscope!$W$39+10_レジデュー_MEscope!Q60*10_レジデュー_MEscope!$W$40+10_レジデュー_MEscope!R60*10_レジデュー_MEscope!$W$41+10_レジデュー_MEscope!S60*10_レジデュー_MEscope!$W$42)</f>
        <v/>
      </c>
      <c r="J57" s="145" t="str">
        <f aca="false">IF(03_FRFデータ貼付!B57="","",10_レジデュー_MEscope!N180*10_レジデュー_MEscope!$W$37+10_レジデュー_MEscope!O180*10_レジデュー_MEscope!$W$38+10_レジデュー_MEscope!P180*10_レジデュー_MEscope!$W$39+10_レジデュー_MEscope!Q180*10_レジデュー_MEscope!$W$40)</f>
        <v/>
      </c>
      <c r="K57" s="2"/>
      <c r="L57" s="2"/>
      <c r="M57" s="2"/>
      <c r="N57" s="2"/>
    </row>
    <row r="58" customFormat="false" ht="15" hidden="false" customHeight="false" outlineLevel="0" collapsed="false">
      <c r="A58" s="88" t="str">
        <f aca="false">IF(03_FRFデータ貼付!B58="","",03_FRFデータ貼付!A58)</f>
        <v/>
      </c>
      <c r="B58" s="89" t="str">
        <f aca="false">IF(03_FRFデータ貼付!B58="","",03_FRFデータ貼付!B58)</f>
        <v/>
      </c>
      <c r="C58" s="71" t="str">
        <f aca="false">IF(03_FRFデータ貼付!B58="","",03_FRFデータ貼付!C58)</f>
        <v/>
      </c>
      <c r="D58" s="71" t="str">
        <f aca="false">IF(03_FRFデータ貼付!B58="","",03_FRFデータ貼付!D58)</f>
        <v/>
      </c>
      <c r="E58" s="71" t="str">
        <f aca="false">IF(B58="","",I58-C58)</f>
        <v/>
      </c>
      <c r="F58" s="71" t="str">
        <f aca="false">IF(B58="","",J58-D58)</f>
        <v/>
      </c>
      <c r="G58" s="143" t="str">
        <f aca="false">IF(B58="","",SQRT(C58^2+D58^2))</f>
        <v/>
      </c>
      <c r="H58" s="144" t="str">
        <f aca="false">IF(B58="","",SQRT(I58^2+J58^2))</f>
        <v/>
      </c>
      <c r="I58" s="145" t="str">
        <f aca="false">IF(03_FRFデータ貼付!B58="","",10_レジデュー_MEscope!N61*10_レジデュー_MEscope!$W$37+10_レジデュー_MEscope!O61*10_レジデュー_MEscope!$W$38+10_レジデュー_MEscope!P61*10_レジデュー_MEscope!$W$39+10_レジデュー_MEscope!Q61*10_レジデュー_MEscope!$W$40+10_レジデュー_MEscope!R61*10_レジデュー_MEscope!$W$41+10_レジデュー_MEscope!S61*10_レジデュー_MEscope!$W$42)</f>
        <v/>
      </c>
      <c r="J58" s="145" t="str">
        <f aca="false">IF(03_FRFデータ貼付!B58="","",10_レジデュー_MEscope!N181*10_レジデュー_MEscope!$W$37+10_レジデュー_MEscope!O181*10_レジデュー_MEscope!$W$38+10_レジデュー_MEscope!P181*10_レジデュー_MEscope!$W$39+10_レジデュー_MEscope!Q181*10_レジデュー_MEscope!$W$40)</f>
        <v/>
      </c>
      <c r="K58" s="2"/>
      <c r="L58" s="2"/>
      <c r="M58" s="2"/>
      <c r="N58" s="2"/>
    </row>
    <row r="59" customFormat="false" ht="15" hidden="false" customHeight="false" outlineLevel="0" collapsed="false">
      <c r="A59" s="88" t="str">
        <f aca="false">IF(03_FRFデータ貼付!B59="","",03_FRFデータ貼付!A59)</f>
        <v/>
      </c>
      <c r="B59" s="89" t="str">
        <f aca="false">IF(03_FRFデータ貼付!B59="","",03_FRFデータ貼付!B59)</f>
        <v/>
      </c>
      <c r="C59" s="71" t="str">
        <f aca="false">IF(03_FRFデータ貼付!B59="","",03_FRFデータ貼付!C59)</f>
        <v/>
      </c>
      <c r="D59" s="71" t="str">
        <f aca="false">IF(03_FRFデータ貼付!B59="","",03_FRFデータ貼付!D59)</f>
        <v/>
      </c>
      <c r="E59" s="71" t="str">
        <f aca="false">IF(B59="","",I59-C59)</f>
        <v/>
      </c>
      <c r="F59" s="71" t="str">
        <f aca="false">IF(B59="","",J59-D59)</f>
        <v/>
      </c>
      <c r="G59" s="143" t="str">
        <f aca="false">IF(B59="","",SQRT(C59^2+D59^2))</f>
        <v/>
      </c>
      <c r="H59" s="144" t="str">
        <f aca="false">IF(B59="","",SQRT(I59^2+J59^2))</f>
        <v/>
      </c>
      <c r="I59" s="145" t="str">
        <f aca="false">IF(03_FRFデータ貼付!B59="","",10_レジデュー_MEscope!N62*10_レジデュー_MEscope!$W$37+10_レジデュー_MEscope!O62*10_レジデュー_MEscope!$W$38+10_レジデュー_MEscope!P62*10_レジデュー_MEscope!$W$39+10_レジデュー_MEscope!Q62*10_レジデュー_MEscope!$W$40+10_レジデュー_MEscope!R62*10_レジデュー_MEscope!$W$41+10_レジデュー_MEscope!S62*10_レジデュー_MEscope!$W$42)</f>
        <v/>
      </c>
      <c r="J59" s="145" t="str">
        <f aca="false">IF(03_FRFデータ貼付!B59="","",10_レジデュー_MEscope!N182*10_レジデュー_MEscope!$W$37+10_レジデュー_MEscope!O182*10_レジデュー_MEscope!$W$38+10_レジデュー_MEscope!P182*10_レジデュー_MEscope!$W$39+10_レジデュー_MEscope!Q182*10_レジデュー_MEscope!$W$40)</f>
        <v/>
      </c>
      <c r="K59" s="2"/>
      <c r="L59" s="2"/>
      <c r="M59" s="2"/>
      <c r="N59" s="2"/>
    </row>
    <row r="60" customFormat="false" ht="15" hidden="false" customHeight="false" outlineLevel="0" collapsed="false">
      <c r="A60" s="88" t="str">
        <f aca="false">IF(03_FRFデータ貼付!B60="","",03_FRFデータ貼付!A60)</f>
        <v/>
      </c>
      <c r="B60" s="89" t="str">
        <f aca="false">IF(03_FRFデータ貼付!B60="","",03_FRFデータ貼付!B60)</f>
        <v/>
      </c>
      <c r="C60" s="71" t="str">
        <f aca="false">IF(03_FRFデータ貼付!B60="","",03_FRFデータ貼付!C60)</f>
        <v/>
      </c>
      <c r="D60" s="71" t="str">
        <f aca="false">IF(03_FRFデータ貼付!B60="","",03_FRFデータ貼付!D60)</f>
        <v/>
      </c>
      <c r="E60" s="71" t="str">
        <f aca="false">IF(B60="","",I60-C60)</f>
        <v/>
      </c>
      <c r="F60" s="71" t="str">
        <f aca="false">IF(B60="","",J60-D60)</f>
        <v/>
      </c>
      <c r="G60" s="143" t="str">
        <f aca="false">IF(B60="","",SQRT(C60^2+D60^2))</f>
        <v/>
      </c>
      <c r="H60" s="144" t="str">
        <f aca="false">IF(B60="","",SQRT(I60^2+J60^2))</f>
        <v/>
      </c>
      <c r="I60" s="145" t="str">
        <f aca="false">IF(03_FRFデータ貼付!B60="","",10_レジデュー_MEscope!N63*10_レジデュー_MEscope!$W$37+10_レジデュー_MEscope!O63*10_レジデュー_MEscope!$W$38+10_レジデュー_MEscope!P63*10_レジデュー_MEscope!$W$39+10_レジデュー_MEscope!Q63*10_レジデュー_MEscope!$W$40+10_レジデュー_MEscope!R63*10_レジデュー_MEscope!$W$41+10_レジデュー_MEscope!S63*10_レジデュー_MEscope!$W$42)</f>
        <v/>
      </c>
      <c r="J60" s="145" t="str">
        <f aca="false">IF(03_FRFデータ貼付!B60="","",10_レジデュー_MEscope!N183*10_レジデュー_MEscope!$W$37+10_レジデュー_MEscope!O183*10_レジデュー_MEscope!$W$38+10_レジデュー_MEscope!P183*10_レジデュー_MEscope!$W$39+10_レジデュー_MEscope!Q183*10_レジデュー_MEscope!$W$40)</f>
        <v/>
      </c>
      <c r="K60" s="2"/>
      <c r="L60" s="2"/>
      <c r="M60" s="2"/>
      <c r="N60" s="2"/>
    </row>
    <row r="61" customFormat="false" ht="15" hidden="false" customHeight="false" outlineLevel="0" collapsed="false">
      <c r="A61" s="88" t="str">
        <f aca="false">IF(03_FRFデータ貼付!B61="","",03_FRFデータ貼付!A61)</f>
        <v/>
      </c>
      <c r="B61" s="89" t="str">
        <f aca="false">IF(03_FRFデータ貼付!B61="","",03_FRFデータ貼付!B61)</f>
        <v/>
      </c>
      <c r="C61" s="71" t="str">
        <f aca="false">IF(03_FRFデータ貼付!B61="","",03_FRFデータ貼付!C61)</f>
        <v/>
      </c>
      <c r="D61" s="71" t="str">
        <f aca="false">IF(03_FRFデータ貼付!B61="","",03_FRFデータ貼付!D61)</f>
        <v/>
      </c>
      <c r="E61" s="71" t="str">
        <f aca="false">IF(B61="","",I61-C61)</f>
        <v/>
      </c>
      <c r="F61" s="71" t="str">
        <f aca="false">IF(B61="","",J61-D61)</f>
        <v/>
      </c>
      <c r="G61" s="143" t="str">
        <f aca="false">IF(B61="","",SQRT(C61^2+D61^2))</f>
        <v/>
      </c>
      <c r="H61" s="144" t="str">
        <f aca="false">IF(B61="","",SQRT(I61^2+J61^2))</f>
        <v/>
      </c>
      <c r="I61" s="145" t="str">
        <f aca="false">IF(03_FRFデータ貼付!B61="","",10_レジデュー_MEscope!N64*10_レジデュー_MEscope!$W$37+10_レジデュー_MEscope!O64*10_レジデュー_MEscope!$W$38+10_レジデュー_MEscope!P64*10_レジデュー_MEscope!$W$39+10_レジデュー_MEscope!Q64*10_レジデュー_MEscope!$W$40+10_レジデュー_MEscope!R64*10_レジデュー_MEscope!$W$41+10_レジデュー_MEscope!S64*10_レジデュー_MEscope!$W$42)</f>
        <v/>
      </c>
      <c r="J61" s="145" t="str">
        <f aca="false">IF(03_FRFデータ貼付!B61="","",10_レジデュー_MEscope!N184*10_レジデュー_MEscope!$W$37+10_レジデュー_MEscope!O184*10_レジデュー_MEscope!$W$38+10_レジデュー_MEscope!P184*10_レジデュー_MEscope!$W$39+10_レジデュー_MEscope!Q184*10_レジデュー_MEscope!$W$40)</f>
        <v/>
      </c>
      <c r="K61" s="2"/>
      <c r="L61" s="2"/>
      <c r="M61" s="2"/>
      <c r="N61" s="2"/>
    </row>
    <row r="62" customFormat="false" ht="15" hidden="false" customHeight="false" outlineLevel="0" collapsed="false">
      <c r="A62" s="88" t="str">
        <f aca="false">IF(03_FRFデータ貼付!B62="","",03_FRFデータ貼付!A62)</f>
        <v/>
      </c>
      <c r="B62" s="89" t="str">
        <f aca="false">IF(03_FRFデータ貼付!B62="","",03_FRFデータ貼付!B62)</f>
        <v/>
      </c>
      <c r="C62" s="71" t="str">
        <f aca="false">IF(03_FRFデータ貼付!B62="","",03_FRFデータ貼付!C62)</f>
        <v/>
      </c>
      <c r="D62" s="71" t="str">
        <f aca="false">IF(03_FRFデータ貼付!B62="","",03_FRFデータ貼付!D62)</f>
        <v/>
      </c>
      <c r="E62" s="71" t="str">
        <f aca="false">IF(B62="","",I62-C62)</f>
        <v/>
      </c>
      <c r="F62" s="71" t="str">
        <f aca="false">IF(B62="","",J62-D62)</f>
        <v/>
      </c>
      <c r="G62" s="143" t="str">
        <f aca="false">IF(B62="","",SQRT(C62^2+D62^2))</f>
        <v/>
      </c>
      <c r="H62" s="144" t="str">
        <f aca="false">IF(B62="","",SQRT(I62^2+J62^2))</f>
        <v/>
      </c>
      <c r="I62" s="145" t="str">
        <f aca="false">IF(03_FRFデータ貼付!B62="","",10_レジデュー_MEscope!N65*10_レジデュー_MEscope!$W$37+10_レジデュー_MEscope!O65*10_レジデュー_MEscope!$W$38+10_レジデュー_MEscope!P65*10_レジデュー_MEscope!$W$39+10_レジデュー_MEscope!Q65*10_レジデュー_MEscope!$W$40+10_レジデュー_MEscope!R65*10_レジデュー_MEscope!$W$41+10_レジデュー_MEscope!S65*10_レジデュー_MEscope!$W$42)</f>
        <v/>
      </c>
      <c r="J62" s="145" t="str">
        <f aca="false">IF(03_FRFデータ貼付!B62="","",10_レジデュー_MEscope!N185*10_レジデュー_MEscope!$W$37+10_レジデュー_MEscope!O185*10_レジデュー_MEscope!$W$38+10_レジデュー_MEscope!P185*10_レジデュー_MEscope!$W$39+10_レジデュー_MEscope!Q185*10_レジデュー_MEscope!$W$40)</f>
        <v/>
      </c>
      <c r="K62" s="2"/>
      <c r="L62" s="2"/>
      <c r="M62" s="2"/>
      <c r="N62" s="2"/>
    </row>
    <row r="63" customFormat="false" ht="15" hidden="false" customHeight="false" outlineLevel="0" collapsed="false">
      <c r="A63" s="88" t="str">
        <f aca="false">IF(03_FRFデータ貼付!B63="","",03_FRFデータ貼付!A63)</f>
        <v/>
      </c>
      <c r="B63" s="89" t="str">
        <f aca="false">IF(03_FRFデータ貼付!B63="","",03_FRFデータ貼付!B63)</f>
        <v/>
      </c>
      <c r="C63" s="71" t="str">
        <f aca="false">IF(03_FRFデータ貼付!B63="","",03_FRFデータ貼付!C63)</f>
        <v/>
      </c>
      <c r="D63" s="71" t="str">
        <f aca="false">IF(03_FRFデータ貼付!B63="","",03_FRFデータ貼付!D63)</f>
        <v/>
      </c>
      <c r="E63" s="71" t="str">
        <f aca="false">IF(B63="","",I63-C63)</f>
        <v/>
      </c>
      <c r="F63" s="71" t="str">
        <f aca="false">IF(B63="","",J63-D63)</f>
        <v/>
      </c>
      <c r="G63" s="143" t="str">
        <f aca="false">IF(B63="","",SQRT(C63^2+D63^2))</f>
        <v/>
      </c>
      <c r="H63" s="144" t="str">
        <f aca="false">IF(B63="","",SQRT(I63^2+J63^2))</f>
        <v/>
      </c>
      <c r="I63" s="145" t="str">
        <f aca="false">IF(03_FRFデータ貼付!B63="","",10_レジデュー_MEscope!N66*10_レジデュー_MEscope!$W$37+10_レジデュー_MEscope!O66*10_レジデュー_MEscope!$W$38+10_レジデュー_MEscope!P66*10_レジデュー_MEscope!$W$39+10_レジデュー_MEscope!Q66*10_レジデュー_MEscope!$W$40+10_レジデュー_MEscope!R66*10_レジデュー_MEscope!$W$41+10_レジデュー_MEscope!S66*10_レジデュー_MEscope!$W$42)</f>
        <v/>
      </c>
      <c r="J63" s="145" t="str">
        <f aca="false">IF(03_FRFデータ貼付!B63="","",10_レジデュー_MEscope!N186*10_レジデュー_MEscope!$W$37+10_レジデュー_MEscope!O186*10_レジデュー_MEscope!$W$38+10_レジデュー_MEscope!P186*10_レジデュー_MEscope!$W$39+10_レジデュー_MEscope!Q186*10_レジデュー_MEscope!$W$40)</f>
        <v/>
      </c>
      <c r="K63" s="2"/>
      <c r="L63" s="2"/>
      <c r="M63" s="2"/>
      <c r="N63" s="2"/>
    </row>
    <row r="64" customFormat="false" ht="15" hidden="false" customHeight="false" outlineLevel="0" collapsed="false">
      <c r="A64" s="88" t="str">
        <f aca="false">IF(03_FRFデータ貼付!B64="","",03_FRFデータ貼付!A64)</f>
        <v/>
      </c>
      <c r="B64" s="89" t="str">
        <f aca="false">IF(03_FRFデータ貼付!B64="","",03_FRFデータ貼付!B64)</f>
        <v/>
      </c>
      <c r="C64" s="71" t="str">
        <f aca="false">IF(03_FRFデータ貼付!B64="","",03_FRFデータ貼付!C64)</f>
        <v/>
      </c>
      <c r="D64" s="71" t="str">
        <f aca="false">IF(03_FRFデータ貼付!B64="","",03_FRFデータ貼付!D64)</f>
        <v/>
      </c>
      <c r="E64" s="71" t="str">
        <f aca="false">IF(B64="","",I64-C64)</f>
        <v/>
      </c>
      <c r="F64" s="71" t="str">
        <f aca="false">IF(B64="","",J64-D64)</f>
        <v/>
      </c>
      <c r="G64" s="143" t="str">
        <f aca="false">IF(B64="","",SQRT(C64^2+D64^2))</f>
        <v/>
      </c>
      <c r="H64" s="144" t="str">
        <f aca="false">IF(B64="","",SQRT(I64^2+J64^2))</f>
        <v/>
      </c>
      <c r="I64" s="145" t="str">
        <f aca="false">IF(03_FRFデータ貼付!B64="","",10_レジデュー_MEscope!N67*10_レジデュー_MEscope!$W$37+10_レジデュー_MEscope!O67*10_レジデュー_MEscope!$W$38+10_レジデュー_MEscope!P67*10_レジデュー_MEscope!$W$39+10_レジデュー_MEscope!Q67*10_レジデュー_MEscope!$W$40+10_レジデュー_MEscope!R67*10_レジデュー_MEscope!$W$41+10_レジデュー_MEscope!S67*10_レジデュー_MEscope!$W$42)</f>
        <v/>
      </c>
      <c r="J64" s="145" t="str">
        <f aca="false">IF(03_FRFデータ貼付!B64="","",10_レジデュー_MEscope!N187*10_レジデュー_MEscope!$W$37+10_レジデュー_MEscope!O187*10_レジデュー_MEscope!$W$38+10_レジデュー_MEscope!P187*10_レジデュー_MEscope!$W$39+10_レジデュー_MEscope!Q187*10_レジデュー_MEscope!$W$40)</f>
        <v/>
      </c>
      <c r="K64" s="130" t="s">
        <v>549</v>
      </c>
      <c r="L64" s="2"/>
      <c r="M64" s="2"/>
      <c r="N64" s="2"/>
    </row>
    <row r="65" customFormat="false" ht="26.85" hidden="false" customHeight="false" outlineLevel="0" collapsed="false">
      <c r="A65" s="88" t="str">
        <f aca="false">IF(03_FRFデータ貼付!B65="","",03_FRFデータ貼付!A65)</f>
        <v/>
      </c>
      <c r="B65" s="89" t="str">
        <f aca="false">IF(03_FRFデータ貼付!B65="","",03_FRFデータ貼付!B65)</f>
        <v/>
      </c>
      <c r="C65" s="71" t="str">
        <f aca="false">IF(03_FRFデータ貼付!B65="","",03_FRFデータ貼付!C65)</f>
        <v/>
      </c>
      <c r="D65" s="71" t="str">
        <f aca="false">IF(03_FRFデータ貼付!B65="","",03_FRFデータ貼付!D65)</f>
        <v/>
      </c>
      <c r="E65" s="71" t="str">
        <f aca="false">IF(B65="","",I65-C65)</f>
        <v/>
      </c>
      <c r="F65" s="71" t="str">
        <f aca="false">IF(B65="","",J65-D65)</f>
        <v/>
      </c>
      <c r="G65" s="143" t="str">
        <f aca="false">IF(B65="","",SQRT(C65^2+D65^2))</f>
        <v/>
      </c>
      <c r="H65" s="144" t="str">
        <f aca="false">IF(B65="","",SQRT(I65^2+J65^2))</f>
        <v/>
      </c>
      <c r="I65" s="145" t="str">
        <f aca="false">IF(03_FRFデータ貼付!B65="","",10_レジデュー_MEscope!N68*10_レジデュー_MEscope!$W$37+10_レジデュー_MEscope!O68*10_レジデュー_MEscope!$W$38+10_レジデュー_MEscope!P68*10_レジデュー_MEscope!$W$39+10_レジデュー_MEscope!Q68*10_レジデュー_MEscope!$W$40+10_レジデュー_MEscope!R68*10_レジデュー_MEscope!$W$41+10_レジデュー_MEscope!S68*10_レジデュー_MEscope!$W$42)</f>
        <v/>
      </c>
      <c r="J65" s="145" t="str">
        <f aca="false">IF(03_FRFデータ貼付!B65="","",10_レジデュー_MEscope!N188*10_レジデュー_MEscope!$W$37+10_レジデュー_MEscope!O188*10_レジデュー_MEscope!$W$38+10_レジデュー_MEscope!P188*10_レジデュー_MEscope!$W$39+10_レジデュー_MEscope!Q188*10_レジデュー_MEscope!$W$40)</f>
        <v/>
      </c>
      <c r="K65" s="146" t="s">
        <v>550</v>
      </c>
      <c r="L65" s="2"/>
      <c r="M65" s="2"/>
      <c r="N65" s="2"/>
    </row>
    <row r="66" customFormat="false" ht="26.85" hidden="false" customHeight="false" outlineLevel="0" collapsed="false">
      <c r="A66" s="88" t="str">
        <f aca="false">IF(03_FRFデータ貼付!B66="","",03_FRFデータ貼付!A66)</f>
        <v/>
      </c>
      <c r="B66" s="89" t="str">
        <f aca="false">IF(03_FRFデータ貼付!B66="","",03_FRFデータ貼付!B66)</f>
        <v/>
      </c>
      <c r="C66" s="71" t="str">
        <f aca="false">IF(03_FRFデータ貼付!B66="","",03_FRFデータ貼付!C66)</f>
        <v/>
      </c>
      <c r="D66" s="71" t="str">
        <f aca="false">IF(03_FRFデータ貼付!B66="","",03_FRFデータ貼付!D66)</f>
        <v/>
      </c>
      <c r="E66" s="71" t="str">
        <f aca="false">IF(B66="","",I66-C66)</f>
        <v/>
      </c>
      <c r="F66" s="71" t="str">
        <f aca="false">IF(B66="","",J66-D66)</f>
        <v/>
      </c>
      <c r="G66" s="143" t="str">
        <f aca="false">IF(B66="","",SQRT(C66^2+D66^2))</f>
        <v/>
      </c>
      <c r="H66" s="144" t="str">
        <f aca="false">IF(B66="","",SQRT(I66^2+J66^2))</f>
        <v/>
      </c>
      <c r="I66" s="145" t="str">
        <f aca="false">IF(03_FRFデータ貼付!B66="","",10_レジデュー_MEscope!N69*10_レジデュー_MEscope!$W$37+10_レジデュー_MEscope!O69*10_レジデュー_MEscope!$W$38+10_レジデュー_MEscope!P69*10_レジデュー_MEscope!$W$39+10_レジデュー_MEscope!Q69*10_レジデュー_MEscope!$W$40+10_レジデュー_MEscope!R69*10_レジデュー_MEscope!$W$41+10_レジデュー_MEscope!S69*10_レジデュー_MEscope!$W$42)</f>
        <v/>
      </c>
      <c r="J66" s="145" t="str">
        <f aca="false">IF(03_FRFデータ貼付!B66="","",10_レジデュー_MEscope!N189*10_レジデュー_MEscope!$W$37+10_レジデュー_MEscope!O189*10_レジデュー_MEscope!$W$38+10_レジデュー_MEscope!P189*10_レジデュー_MEscope!$W$39+10_レジデュー_MEscope!Q189*10_レジデュー_MEscope!$W$40)</f>
        <v/>
      </c>
      <c r="K66" s="147" t="s">
        <v>551</v>
      </c>
      <c r="L66" s="2"/>
      <c r="M66" s="2"/>
      <c r="N66" s="2"/>
    </row>
    <row r="67" customFormat="false" ht="26.85" hidden="false" customHeight="false" outlineLevel="0" collapsed="false">
      <c r="A67" s="88" t="str">
        <f aca="false">IF(03_FRFデータ貼付!B67="","",03_FRFデータ貼付!A67)</f>
        <v/>
      </c>
      <c r="B67" s="89" t="str">
        <f aca="false">IF(03_FRFデータ貼付!B67="","",03_FRFデータ貼付!B67)</f>
        <v/>
      </c>
      <c r="C67" s="71" t="str">
        <f aca="false">IF(03_FRFデータ貼付!B67="","",03_FRFデータ貼付!C67)</f>
        <v/>
      </c>
      <c r="D67" s="71" t="str">
        <f aca="false">IF(03_FRFデータ貼付!B67="","",03_FRFデータ貼付!D67)</f>
        <v/>
      </c>
      <c r="E67" s="71" t="str">
        <f aca="false">IF(B67="","",I67-C67)</f>
        <v/>
      </c>
      <c r="F67" s="71" t="str">
        <f aca="false">IF(B67="","",J67-D67)</f>
        <v/>
      </c>
      <c r="G67" s="143" t="str">
        <f aca="false">IF(B67="","",SQRT(C67^2+D67^2))</f>
        <v/>
      </c>
      <c r="H67" s="144" t="str">
        <f aca="false">IF(B67="","",SQRT(I67^2+J67^2))</f>
        <v/>
      </c>
      <c r="I67" s="145" t="str">
        <f aca="false">IF(03_FRFデータ貼付!B67="","",10_レジデュー_MEscope!N70*10_レジデュー_MEscope!$W$37+10_レジデュー_MEscope!O70*10_レジデュー_MEscope!$W$38+10_レジデュー_MEscope!P70*10_レジデュー_MEscope!$W$39+10_レジデュー_MEscope!Q70*10_レジデュー_MEscope!$W$40+10_レジデュー_MEscope!R70*10_レジデュー_MEscope!$W$41+10_レジデュー_MEscope!S70*10_レジデュー_MEscope!$W$42)</f>
        <v/>
      </c>
      <c r="J67" s="145" t="str">
        <f aca="false">IF(03_FRFデータ貼付!B67="","",10_レジデュー_MEscope!N190*10_レジデュー_MEscope!$W$37+10_レジデュー_MEscope!O190*10_レジデュー_MEscope!$W$38+10_レジデュー_MEscope!P190*10_レジデュー_MEscope!$W$39+10_レジデュー_MEscope!Q190*10_レジデュー_MEscope!$W$40)</f>
        <v/>
      </c>
      <c r="K67" s="147" t="s">
        <v>552</v>
      </c>
      <c r="L67" s="2"/>
      <c r="M67" s="2"/>
      <c r="N67" s="2"/>
    </row>
    <row r="68" customFormat="false" ht="26.85" hidden="false" customHeight="false" outlineLevel="0" collapsed="false">
      <c r="A68" s="88" t="str">
        <f aca="false">IF(03_FRFデータ貼付!B68="","",03_FRFデータ貼付!A68)</f>
        <v/>
      </c>
      <c r="B68" s="89" t="str">
        <f aca="false">IF(03_FRFデータ貼付!B68="","",03_FRFデータ貼付!B68)</f>
        <v/>
      </c>
      <c r="C68" s="71" t="str">
        <f aca="false">IF(03_FRFデータ貼付!B68="","",03_FRFデータ貼付!C68)</f>
        <v/>
      </c>
      <c r="D68" s="71" t="str">
        <f aca="false">IF(03_FRFデータ貼付!B68="","",03_FRFデータ貼付!D68)</f>
        <v/>
      </c>
      <c r="E68" s="71" t="str">
        <f aca="false">IF(B68="","",I68-C68)</f>
        <v/>
      </c>
      <c r="F68" s="71" t="str">
        <f aca="false">IF(B68="","",J68-D68)</f>
        <v/>
      </c>
      <c r="G68" s="143" t="str">
        <f aca="false">IF(B68="","",SQRT(C68^2+D68^2))</f>
        <v/>
      </c>
      <c r="H68" s="144" t="str">
        <f aca="false">IF(B68="","",SQRT(I68^2+J68^2))</f>
        <v/>
      </c>
      <c r="I68" s="145" t="str">
        <f aca="false">IF(03_FRFデータ貼付!B68="","",10_レジデュー_MEscope!N71*10_レジデュー_MEscope!$W$37+10_レジデュー_MEscope!O71*10_レジデュー_MEscope!$W$38+10_レジデュー_MEscope!P71*10_レジデュー_MEscope!$W$39+10_レジデュー_MEscope!Q71*10_レジデュー_MEscope!$W$40+10_レジデュー_MEscope!R71*10_レジデュー_MEscope!$W$41+10_レジデュー_MEscope!S71*10_レジデュー_MEscope!$W$42)</f>
        <v/>
      </c>
      <c r="J68" s="145" t="str">
        <f aca="false">IF(03_FRFデータ貼付!B68="","",10_レジデュー_MEscope!N191*10_レジデュー_MEscope!$W$37+10_レジデュー_MEscope!O191*10_レジデュー_MEscope!$W$38+10_レジデュー_MEscope!P191*10_レジデュー_MEscope!$W$39+10_レジデュー_MEscope!Q191*10_レジデュー_MEscope!$W$40)</f>
        <v/>
      </c>
      <c r="K68" s="147" t="s">
        <v>553</v>
      </c>
      <c r="L68" s="2"/>
      <c r="M68" s="2"/>
      <c r="N68" s="2"/>
    </row>
    <row r="69" customFormat="false" ht="15" hidden="false" customHeight="false" outlineLevel="0" collapsed="false">
      <c r="A69" s="88" t="str">
        <f aca="false">IF(03_FRFデータ貼付!B69="","",03_FRFデータ貼付!A69)</f>
        <v/>
      </c>
      <c r="B69" s="89" t="str">
        <f aca="false">IF(03_FRFデータ貼付!B69="","",03_FRFデータ貼付!B69)</f>
        <v/>
      </c>
      <c r="C69" s="71" t="str">
        <f aca="false">IF(03_FRFデータ貼付!B69="","",03_FRFデータ貼付!C69)</f>
        <v/>
      </c>
      <c r="D69" s="71" t="str">
        <f aca="false">IF(03_FRFデータ貼付!B69="","",03_FRFデータ貼付!D69)</f>
        <v/>
      </c>
      <c r="E69" s="71" t="str">
        <f aca="false">IF(B69="","",I69-C69)</f>
        <v/>
      </c>
      <c r="F69" s="71" t="str">
        <f aca="false">IF(B69="","",J69-D69)</f>
        <v/>
      </c>
      <c r="G69" s="143" t="str">
        <f aca="false">IF(B69="","",SQRT(C69^2+D69^2))</f>
        <v/>
      </c>
      <c r="H69" s="144" t="str">
        <f aca="false">IF(B69="","",SQRT(I69^2+J69^2))</f>
        <v/>
      </c>
      <c r="I69" s="145" t="str">
        <f aca="false">IF(03_FRFデータ貼付!B69="","",10_レジデュー_MEscope!N72*10_レジデュー_MEscope!$W$37+10_レジデュー_MEscope!O72*10_レジデュー_MEscope!$W$38+10_レジデュー_MEscope!P72*10_レジデュー_MEscope!$W$39+10_レジデュー_MEscope!Q72*10_レジデュー_MEscope!$W$40+10_レジデュー_MEscope!R72*10_レジデュー_MEscope!$W$41+10_レジデュー_MEscope!S72*10_レジデュー_MEscope!$W$42)</f>
        <v/>
      </c>
      <c r="J69" s="145" t="str">
        <f aca="false">IF(03_FRFデータ貼付!B69="","",10_レジデュー_MEscope!N192*10_レジデュー_MEscope!$W$37+10_レジデュー_MEscope!O192*10_レジデュー_MEscope!$W$38+10_レジデュー_MEscope!P192*10_レジデュー_MEscope!$W$39+10_レジデュー_MEscope!Q192*10_レジデュー_MEscope!$W$40)</f>
        <v/>
      </c>
      <c r="K69" s="2"/>
      <c r="L69" s="2"/>
      <c r="M69" s="2"/>
      <c r="N69" s="2"/>
    </row>
    <row r="70" customFormat="false" ht="15" hidden="false" customHeight="false" outlineLevel="0" collapsed="false">
      <c r="A70" s="88" t="str">
        <f aca="false">IF(03_FRFデータ貼付!B70="","",03_FRFデータ貼付!A70)</f>
        <v/>
      </c>
      <c r="B70" s="89" t="str">
        <f aca="false">IF(03_FRFデータ貼付!B70="","",03_FRFデータ貼付!B70)</f>
        <v/>
      </c>
      <c r="C70" s="71" t="str">
        <f aca="false">IF(03_FRFデータ貼付!B70="","",03_FRFデータ貼付!C70)</f>
        <v/>
      </c>
      <c r="D70" s="71" t="str">
        <f aca="false">IF(03_FRFデータ貼付!B70="","",03_FRFデータ貼付!D70)</f>
        <v/>
      </c>
      <c r="E70" s="71" t="str">
        <f aca="false">IF(B70="","",I70-C70)</f>
        <v/>
      </c>
      <c r="F70" s="71" t="str">
        <f aca="false">IF(B70="","",J70-D70)</f>
        <v/>
      </c>
      <c r="G70" s="143" t="str">
        <f aca="false">IF(B70="","",SQRT(C70^2+D70^2))</f>
        <v/>
      </c>
      <c r="H70" s="144" t="str">
        <f aca="false">IF(B70="","",SQRT(I70^2+J70^2))</f>
        <v/>
      </c>
      <c r="I70" s="145" t="str">
        <f aca="false">IF(03_FRFデータ貼付!B70="","",10_レジデュー_MEscope!N73*10_レジデュー_MEscope!$W$37+10_レジデュー_MEscope!O73*10_レジデュー_MEscope!$W$38+10_レジデュー_MEscope!P73*10_レジデュー_MEscope!$W$39+10_レジデュー_MEscope!Q73*10_レジデュー_MEscope!$W$40+10_レジデュー_MEscope!R73*10_レジデュー_MEscope!$W$41+10_レジデュー_MEscope!S73*10_レジデュー_MEscope!$W$42)</f>
        <v/>
      </c>
      <c r="J70" s="145" t="str">
        <f aca="false">IF(03_FRFデータ貼付!B70="","",10_レジデュー_MEscope!N193*10_レジデュー_MEscope!$W$37+10_レジデュー_MEscope!O193*10_レジデュー_MEscope!$W$38+10_レジデュー_MEscope!P193*10_レジデュー_MEscope!$W$39+10_レジデュー_MEscope!Q193*10_レジデュー_MEscope!$W$40)</f>
        <v/>
      </c>
      <c r="K70" s="2"/>
      <c r="L70" s="2"/>
      <c r="M70" s="2"/>
      <c r="N70" s="2"/>
    </row>
    <row r="71" customFormat="false" ht="15" hidden="false" customHeight="false" outlineLevel="0" collapsed="false">
      <c r="A71" s="88" t="str">
        <f aca="false">IF(03_FRFデータ貼付!B71="","",03_FRFデータ貼付!A71)</f>
        <v/>
      </c>
      <c r="B71" s="89" t="str">
        <f aca="false">IF(03_FRFデータ貼付!B71="","",03_FRFデータ貼付!B71)</f>
        <v/>
      </c>
      <c r="C71" s="71" t="str">
        <f aca="false">IF(03_FRFデータ貼付!B71="","",03_FRFデータ貼付!C71)</f>
        <v/>
      </c>
      <c r="D71" s="71" t="str">
        <f aca="false">IF(03_FRFデータ貼付!B71="","",03_FRFデータ貼付!D71)</f>
        <v/>
      </c>
      <c r="E71" s="71" t="str">
        <f aca="false">IF(B71="","",I71-C71)</f>
        <v/>
      </c>
      <c r="F71" s="71" t="str">
        <f aca="false">IF(B71="","",J71-D71)</f>
        <v/>
      </c>
      <c r="G71" s="143" t="str">
        <f aca="false">IF(B71="","",SQRT(C71^2+D71^2))</f>
        <v/>
      </c>
      <c r="H71" s="144" t="str">
        <f aca="false">IF(B71="","",SQRT(I71^2+J71^2))</f>
        <v/>
      </c>
      <c r="I71" s="145" t="str">
        <f aca="false">IF(03_FRFデータ貼付!B71="","",10_レジデュー_MEscope!N74*10_レジデュー_MEscope!$W$37+10_レジデュー_MEscope!O74*10_レジデュー_MEscope!$W$38+10_レジデュー_MEscope!P74*10_レジデュー_MEscope!$W$39+10_レジデュー_MEscope!Q74*10_レジデュー_MEscope!$W$40+10_レジデュー_MEscope!R74*10_レジデュー_MEscope!$W$41+10_レジデュー_MEscope!S74*10_レジデュー_MEscope!$W$42)</f>
        <v/>
      </c>
      <c r="J71" s="145" t="str">
        <f aca="false">IF(03_FRFデータ貼付!B71="","",10_レジデュー_MEscope!N194*10_レジデュー_MEscope!$W$37+10_レジデュー_MEscope!O194*10_レジデュー_MEscope!$W$38+10_レジデュー_MEscope!P194*10_レジデュー_MEscope!$W$39+10_レジデュー_MEscope!Q194*10_レジデュー_MEscope!$W$40)</f>
        <v/>
      </c>
      <c r="K71" s="2"/>
      <c r="L71" s="2"/>
      <c r="M71" s="2"/>
      <c r="N71" s="2"/>
    </row>
    <row r="72" customFormat="false" ht="15" hidden="false" customHeight="false" outlineLevel="0" collapsed="false">
      <c r="A72" s="88" t="str">
        <f aca="false">IF(03_FRFデータ貼付!B72="","",03_FRFデータ貼付!A72)</f>
        <v/>
      </c>
      <c r="B72" s="89" t="str">
        <f aca="false">IF(03_FRFデータ貼付!B72="","",03_FRFデータ貼付!B72)</f>
        <v/>
      </c>
      <c r="C72" s="71" t="str">
        <f aca="false">IF(03_FRFデータ貼付!B72="","",03_FRFデータ貼付!C72)</f>
        <v/>
      </c>
      <c r="D72" s="71" t="str">
        <f aca="false">IF(03_FRFデータ貼付!B72="","",03_FRFデータ貼付!D72)</f>
        <v/>
      </c>
      <c r="E72" s="71" t="str">
        <f aca="false">IF(B72="","",I72-C72)</f>
        <v/>
      </c>
      <c r="F72" s="71" t="str">
        <f aca="false">IF(B72="","",J72-D72)</f>
        <v/>
      </c>
      <c r="G72" s="143" t="str">
        <f aca="false">IF(B72="","",SQRT(C72^2+D72^2))</f>
        <v/>
      </c>
      <c r="H72" s="144" t="str">
        <f aca="false">IF(B72="","",SQRT(I72^2+J72^2))</f>
        <v/>
      </c>
      <c r="I72" s="145" t="str">
        <f aca="false">IF(03_FRFデータ貼付!B72="","",10_レジデュー_MEscope!N75*10_レジデュー_MEscope!$W$37+10_レジデュー_MEscope!O75*10_レジデュー_MEscope!$W$38+10_レジデュー_MEscope!P75*10_レジデュー_MEscope!$W$39+10_レジデュー_MEscope!Q75*10_レジデュー_MEscope!$W$40+10_レジデュー_MEscope!R75*10_レジデュー_MEscope!$W$41+10_レジデュー_MEscope!S75*10_レジデュー_MEscope!$W$42)</f>
        <v/>
      </c>
      <c r="J72" s="145" t="str">
        <f aca="false">IF(03_FRFデータ貼付!B72="","",10_レジデュー_MEscope!N195*10_レジデュー_MEscope!$W$37+10_レジデュー_MEscope!O195*10_レジデュー_MEscope!$W$38+10_レジデュー_MEscope!P195*10_レジデュー_MEscope!$W$39+10_レジデュー_MEscope!Q195*10_レジデュー_MEscope!$W$40)</f>
        <v/>
      </c>
      <c r="K72" s="2"/>
      <c r="L72" s="2"/>
      <c r="M72" s="2"/>
      <c r="N72" s="2"/>
    </row>
    <row r="73" customFormat="false" ht="15" hidden="false" customHeight="false" outlineLevel="0" collapsed="false">
      <c r="A73" s="88" t="str">
        <f aca="false">IF(03_FRFデータ貼付!B73="","",03_FRFデータ貼付!A73)</f>
        <v/>
      </c>
      <c r="B73" s="89" t="str">
        <f aca="false">IF(03_FRFデータ貼付!B73="","",03_FRFデータ貼付!B73)</f>
        <v/>
      </c>
      <c r="C73" s="71" t="str">
        <f aca="false">IF(03_FRFデータ貼付!B73="","",03_FRFデータ貼付!C73)</f>
        <v/>
      </c>
      <c r="D73" s="71" t="str">
        <f aca="false">IF(03_FRFデータ貼付!B73="","",03_FRFデータ貼付!D73)</f>
        <v/>
      </c>
      <c r="E73" s="71" t="str">
        <f aca="false">IF(B73="","",I73-C73)</f>
        <v/>
      </c>
      <c r="F73" s="71" t="str">
        <f aca="false">IF(B73="","",J73-D73)</f>
        <v/>
      </c>
      <c r="G73" s="143" t="str">
        <f aca="false">IF(B73="","",SQRT(C73^2+D73^2))</f>
        <v/>
      </c>
      <c r="H73" s="144" t="str">
        <f aca="false">IF(B73="","",SQRT(I73^2+J73^2))</f>
        <v/>
      </c>
      <c r="I73" s="145" t="str">
        <f aca="false">IF(03_FRFデータ貼付!B73="","",10_レジデュー_MEscope!N76*10_レジデュー_MEscope!$W$37+10_レジデュー_MEscope!O76*10_レジデュー_MEscope!$W$38+10_レジデュー_MEscope!P76*10_レジデュー_MEscope!$W$39+10_レジデュー_MEscope!Q76*10_レジデュー_MEscope!$W$40+10_レジデュー_MEscope!R76*10_レジデュー_MEscope!$W$41+10_レジデュー_MEscope!S76*10_レジデュー_MEscope!$W$42)</f>
        <v/>
      </c>
      <c r="J73" s="145" t="str">
        <f aca="false">IF(03_FRFデータ貼付!B73="","",10_レジデュー_MEscope!N196*10_レジデュー_MEscope!$W$37+10_レジデュー_MEscope!O196*10_レジデュー_MEscope!$W$38+10_レジデュー_MEscope!P196*10_レジデュー_MEscope!$W$39+10_レジデュー_MEscope!Q196*10_レジデュー_MEscope!$W$40)</f>
        <v/>
      </c>
      <c r="K73" s="2"/>
      <c r="L73" s="2"/>
      <c r="M73" s="2"/>
      <c r="N73" s="2"/>
    </row>
    <row r="74" customFormat="false" ht="15" hidden="false" customHeight="false" outlineLevel="0" collapsed="false">
      <c r="A74" s="88" t="str">
        <f aca="false">IF(03_FRFデータ貼付!B74="","",03_FRFデータ貼付!A74)</f>
        <v/>
      </c>
      <c r="B74" s="89" t="str">
        <f aca="false">IF(03_FRFデータ貼付!B74="","",03_FRFデータ貼付!B74)</f>
        <v/>
      </c>
      <c r="C74" s="71" t="str">
        <f aca="false">IF(03_FRFデータ貼付!B74="","",03_FRFデータ貼付!C74)</f>
        <v/>
      </c>
      <c r="D74" s="71" t="str">
        <f aca="false">IF(03_FRFデータ貼付!B74="","",03_FRFデータ貼付!D74)</f>
        <v/>
      </c>
      <c r="E74" s="71" t="str">
        <f aca="false">IF(B74="","",I74-C74)</f>
        <v/>
      </c>
      <c r="F74" s="71" t="str">
        <f aca="false">IF(B74="","",J74-D74)</f>
        <v/>
      </c>
      <c r="G74" s="143" t="str">
        <f aca="false">IF(B74="","",SQRT(C74^2+D74^2))</f>
        <v/>
      </c>
      <c r="H74" s="144" t="str">
        <f aca="false">IF(B74="","",SQRT(I74^2+J74^2))</f>
        <v/>
      </c>
      <c r="I74" s="145" t="str">
        <f aca="false">IF(03_FRFデータ貼付!B74="","",10_レジデュー_MEscope!N77*10_レジデュー_MEscope!$W$37+10_レジデュー_MEscope!O77*10_レジデュー_MEscope!$W$38+10_レジデュー_MEscope!P77*10_レジデュー_MEscope!$W$39+10_レジデュー_MEscope!Q77*10_レジデュー_MEscope!$W$40+10_レジデュー_MEscope!R77*10_レジデュー_MEscope!$W$41+10_レジデュー_MEscope!S77*10_レジデュー_MEscope!$W$42)</f>
        <v/>
      </c>
      <c r="J74" s="145" t="str">
        <f aca="false">IF(03_FRFデータ貼付!B74="","",10_レジデュー_MEscope!N197*10_レジデュー_MEscope!$W$37+10_レジデュー_MEscope!O197*10_レジデュー_MEscope!$W$38+10_レジデュー_MEscope!P197*10_レジデュー_MEscope!$W$39+10_レジデュー_MEscope!Q197*10_レジデュー_MEscope!$W$40)</f>
        <v/>
      </c>
      <c r="K74" s="2"/>
      <c r="L74" s="2"/>
      <c r="M74" s="2"/>
      <c r="N74" s="2"/>
    </row>
    <row r="75" customFormat="false" ht="15" hidden="false" customHeight="false" outlineLevel="0" collapsed="false">
      <c r="A75" s="88" t="str">
        <f aca="false">IF(03_FRFデータ貼付!B75="","",03_FRFデータ貼付!A75)</f>
        <v/>
      </c>
      <c r="B75" s="89" t="str">
        <f aca="false">IF(03_FRFデータ貼付!B75="","",03_FRFデータ貼付!B75)</f>
        <v/>
      </c>
      <c r="C75" s="71" t="str">
        <f aca="false">IF(03_FRFデータ貼付!B75="","",03_FRFデータ貼付!C75)</f>
        <v/>
      </c>
      <c r="D75" s="71" t="str">
        <f aca="false">IF(03_FRFデータ貼付!B75="","",03_FRFデータ貼付!D75)</f>
        <v/>
      </c>
      <c r="E75" s="71" t="str">
        <f aca="false">IF(B75="","",I75-C75)</f>
        <v/>
      </c>
      <c r="F75" s="71" t="str">
        <f aca="false">IF(B75="","",J75-D75)</f>
        <v/>
      </c>
      <c r="G75" s="143" t="str">
        <f aca="false">IF(B75="","",SQRT(C75^2+D75^2))</f>
        <v/>
      </c>
      <c r="H75" s="144" t="str">
        <f aca="false">IF(B75="","",SQRT(I75^2+J75^2))</f>
        <v/>
      </c>
      <c r="I75" s="145" t="str">
        <f aca="false">IF(03_FRFデータ貼付!B75="","",10_レジデュー_MEscope!N78*10_レジデュー_MEscope!$W$37+10_レジデュー_MEscope!O78*10_レジデュー_MEscope!$W$38+10_レジデュー_MEscope!P78*10_レジデュー_MEscope!$W$39+10_レジデュー_MEscope!Q78*10_レジデュー_MEscope!$W$40+10_レジデュー_MEscope!R78*10_レジデュー_MEscope!$W$41+10_レジデュー_MEscope!S78*10_レジデュー_MEscope!$W$42)</f>
        <v/>
      </c>
      <c r="J75" s="145" t="str">
        <f aca="false">IF(03_FRFデータ貼付!B75="","",10_レジデュー_MEscope!N198*10_レジデュー_MEscope!$W$37+10_レジデュー_MEscope!O198*10_レジデュー_MEscope!$W$38+10_レジデュー_MEscope!P198*10_レジデュー_MEscope!$W$39+10_レジデュー_MEscope!Q198*10_レジデュー_MEscope!$W$40)</f>
        <v/>
      </c>
      <c r="K75" s="2"/>
      <c r="L75" s="2"/>
      <c r="M75" s="2"/>
      <c r="N75" s="2"/>
    </row>
    <row r="76" customFormat="false" ht="15" hidden="false" customHeight="false" outlineLevel="0" collapsed="false">
      <c r="A76" s="88" t="str">
        <f aca="false">IF(03_FRFデータ貼付!B76="","",03_FRFデータ貼付!A76)</f>
        <v/>
      </c>
      <c r="B76" s="89" t="str">
        <f aca="false">IF(03_FRFデータ貼付!B76="","",03_FRFデータ貼付!B76)</f>
        <v/>
      </c>
      <c r="C76" s="71" t="str">
        <f aca="false">IF(03_FRFデータ貼付!B76="","",03_FRFデータ貼付!C76)</f>
        <v/>
      </c>
      <c r="D76" s="71" t="str">
        <f aca="false">IF(03_FRFデータ貼付!B76="","",03_FRFデータ貼付!D76)</f>
        <v/>
      </c>
      <c r="E76" s="71" t="str">
        <f aca="false">IF(B76="","",I76-C76)</f>
        <v/>
      </c>
      <c r="F76" s="71" t="str">
        <f aca="false">IF(B76="","",J76-D76)</f>
        <v/>
      </c>
      <c r="G76" s="143" t="str">
        <f aca="false">IF(B76="","",SQRT(C76^2+D76^2))</f>
        <v/>
      </c>
      <c r="H76" s="144" t="str">
        <f aca="false">IF(B76="","",SQRT(I76^2+J76^2))</f>
        <v/>
      </c>
      <c r="I76" s="145" t="str">
        <f aca="false">IF(03_FRFデータ貼付!B76="","",10_レジデュー_MEscope!N79*10_レジデュー_MEscope!$W$37+10_レジデュー_MEscope!O79*10_レジデュー_MEscope!$W$38+10_レジデュー_MEscope!P79*10_レジデュー_MEscope!$W$39+10_レジデュー_MEscope!Q79*10_レジデュー_MEscope!$W$40+10_レジデュー_MEscope!R79*10_レジデュー_MEscope!$W$41+10_レジデュー_MEscope!S79*10_レジデュー_MEscope!$W$42)</f>
        <v/>
      </c>
      <c r="J76" s="145" t="str">
        <f aca="false">IF(03_FRFデータ貼付!B76="","",10_レジデュー_MEscope!N199*10_レジデュー_MEscope!$W$37+10_レジデュー_MEscope!O199*10_レジデュー_MEscope!$W$38+10_レジデュー_MEscope!P199*10_レジデュー_MEscope!$W$39+10_レジデュー_MEscope!Q199*10_レジデュー_MEscope!$W$40)</f>
        <v/>
      </c>
      <c r="K76" s="2"/>
      <c r="L76" s="2"/>
      <c r="M76" s="2"/>
      <c r="N76" s="2"/>
    </row>
    <row r="77" customFormat="false" ht="15" hidden="false" customHeight="false" outlineLevel="0" collapsed="false">
      <c r="A77" s="88" t="str">
        <f aca="false">IF(03_FRFデータ貼付!B77="","",03_FRFデータ貼付!A77)</f>
        <v/>
      </c>
      <c r="B77" s="89" t="str">
        <f aca="false">IF(03_FRFデータ貼付!B77="","",03_FRFデータ貼付!B77)</f>
        <v/>
      </c>
      <c r="C77" s="71" t="str">
        <f aca="false">IF(03_FRFデータ貼付!B77="","",03_FRFデータ貼付!C77)</f>
        <v/>
      </c>
      <c r="D77" s="71" t="str">
        <f aca="false">IF(03_FRFデータ貼付!B77="","",03_FRFデータ貼付!D77)</f>
        <v/>
      </c>
      <c r="E77" s="71" t="str">
        <f aca="false">IF(B77="","",I77-C77)</f>
        <v/>
      </c>
      <c r="F77" s="71" t="str">
        <f aca="false">IF(B77="","",J77-D77)</f>
        <v/>
      </c>
      <c r="G77" s="143" t="str">
        <f aca="false">IF(B77="","",SQRT(C77^2+D77^2))</f>
        <v/>
      </c>
      <c r="H77" s="144" t="str">
        <f aca="false">IF(B77="","",SQRT(I77^2+J77^2))</f>
        <v/>
      </c>
      <c r="I77" s="145" t="str">
        <f aca="false">IF(03_FRFデータ貼付!B77="","",10_レジデュー_MEscope!N80*10_レジデュー_MEscope!$W$37+10_レジデュー_MEscope!O80*10_レジデュー_MEscope!$W$38+10_レジデュー_MEscope!P80*10_レジデュー_MEscope!$W$39+10_レジデュー_MEscope!Q80*10_レジデュー_MEscope!$W$40+10_レジデュー_MEscope!R80*10_レジデュー_MEscope!$W$41+10_レジデュー_MEscope!S80*10_レジデュー_MEscope!$W$42)</f>
        <v/>
      </c>
      <c r="J77" s="145" t="str">
        <f aca="false">IF(03_FRFデータ貼付!B77="","",10_レジデュー_MEscope!N200*10_レジデュー_MEscope!$W$37+10_レジデュー_MEscope!O200*10_レジデュー_MEscope!$W$38+10_レジデュー_MEscope!P200*10_レジデュー_MEscope!$W$39+10_レジデュー_MEscope!Q200*10_レジデュー_MEscope!$W$40)</f>
        <v/>
      </c>
      <c r="K77" s="2"/>
      <c r="L77" s="2"/>
      <c r="M77" s="2"/>
      <c r="N77" s="2"/>
    </row>
    <row r="78" customFormat="false" ht="15" hidden="false" customHeight="false" outlineLevel="0" collapsed="false">
      <c r="A78" s="88" t="str">
        <f aca="false">IF(03_FRFデータ貼付!B78="","",03_FRFデータ貼付!A78)</f>
        <v/>
      </c>
      <c r="B78" s="89" t="str">
        <f aca="false">IF(03_FRFデータ貼付!B78="","",03_FRFデータ貼付!B78)</f>
        <v/>
      </c>
      <c r="C78" s="71" t="str">
        <f aca="false">IF(03_FRFデータ貼付!B78="","",03_FRFデータ貼付!C78)</f>
        <v/>
      </c>
      <c r="D78" s="71" t="str">
        <f aca="false">IF(03_FRFデータ貼付!B78="","",03_FRFデータ貼付!D78)</f>
        <v/>
      </c>
      <c r="E78" s="71" t="str">
        <f aca="false">IF(B78="","",I78-C78)</f>
        <v/>
      </c>
      <c r="F78" s="71" t="str">
        <f aca="false">IF(B78="","",J78-D78)</f>
        <v/>
      </c>
      <c r="G78" s="143" t="str">
        <f aca="false">IF(B78="","",SQRT(C78^2+D78^2))</f>
        <v/>
      </c>
      <c r="H78" s="144" t="str">
        <f aca="false">IF(B78="","",SQRT(I78^2+J78^2))</f>
        <v/>
      </c>
      <c r="I78" s="145" t="str">
        <f aca="false">IF(03_FRFデータ貼付!B78="","",10_レジデュー_MEscope!N81*10_レジデュー_MEscope!$W$37+10_レジデュー_MEscope!O81*10_レジデュー_MEscope!$W$38+10_レジデュー_MEscope!P81*10_レジデュー_MEscope!$W$39+10_レジデュー_MEscope!Q81*10_レジデュー_MEscope!$W$40+10_レジデュー_MEscope!R81*10_レジデュー_MEscope!$W$41+10_レジデュー_MEscope!S81*10_レジデュー_MEscope!$W$42)</f>
        <v/>
      </c>
      <c r="J78" s="145" t="str">
        <f aca="false">IF(03_FRFデータ貼付!B78="","",10_レジデュー_MEscope!N201*10_レジデュー_MEscope!$W$37+10_レジデュー_MEscope!O201*10_レジデュー_MEscope!$W$38+10_レジデュー_MEscope!P201*10_レジデュー_MEscope!$W$39+10_レジデュー_MEscope!Q201*10_レジデュー_MEscope!$W$40)</f>
        <v/>
      </c>
      <c r="K78" s="2"/>
      <c r="L78" s="2"/>
      <c r="M78" s="2"/>
      <c r="N78" s="2"/>
    </row>
    <row r="79" customFormat="false" ht="15" hidden="false" customHeight="false" outlineLevel="0" collapsed="false">
      <c r="A79" s="88" t="str">
        <f aca="false">IF(03_FRFデータ貼付!B79="","",03_FRFデータ貼付!A79)</f>
        <v/>
      </c>
      <c r="B79" s="89" t="str">
        <f aca="false">IF(03_FRFデータ貼付!B79="","",03_FRFデータ貼付!B79)</f>
        <v/>
      </c>
      <c r="C79" s="71" t="str">
        <f aca="false">IF(03_FRFデータ貼付!B79="","",03_FRFデータ貼付!C79)</f>
        <v/>
      </c>
      <c r="D79" s="71" t="str">
        <f aca="false">IF(03_FRFデータ貼付!B79="","",03_FRFデータ貼付!D79)</f>
        <v/>
      </c>
      <c r="E79" s="71" t="str">
        <f aca="false">IF(B79="","",I79-C79)</f>
        <v/>
      </c>
      <c r="F79" s="71" t="str">
        <f aca="false">IF(B79="","",J79-D79)</f>
        <v/>
      </c>
      <c r="G79" s="143" t="str">
        <f aca="false">IF(B79="","",SQRT(C79^2+D79^2))</f>
        <v/>
      </c>
      <c r="H79" s="144" t="str">
        <f aca="false">IF(B79="","",SQRT(I79^2+J79^2))</f>
        <v/>
      </c>
      <c r="I79" s="145" t="str">
        <f aca="false">IF(03_FRFデータ貼付!B79="","",10_レジデュー_MEscope!N82*10_レジデュー_MEscope!$W$37+10_レジデュー_MEscope!O82*10_レジデュー_MEscope!$W$38+10_レジデュー_MEscope!P82*10_レジデュー_MEscope!$W$39+10_レジデュー_MEscope!Q82*10_レジデュー_MEscope!$W$40+10_レジデュー_MEscope!R82*10_レジデュー_MEscope!$W$41+10_レジデュー_MEscope!S82*10_レジデュー_MEscope!$W$42)</f>
        <v/>
      </c>
      <c r="J79" s="145" t="str">
        <f aca="false">IF(03_FRFデータ貼付!B79="","",10_レジデュー_MEscope!N202*10_レジデュー_MEscope!$W$37+10_レジデュー_MEscope!O202*10_レジデュー_MEscope!$W$38+10_レジデュー_MEscope!P202*10_レジデュー_MEscope!$W$39+10_レジデュー_MEscope!Q202*10_レジデュー_MEscope!$W$40)</f>
        <v/>
      </c>
      <c r="K79" s="2"/>
      <c r="L79" s="2"/>
      <c r="M79" s="2"/>
      <c r="N79" s="2"/>
    </row>
    <row r="80" customFormat="false" ht="15" hidden="false" customHeight="false" outlineLevel="0" collapsed="false">
      <c r="A80" s="88" t="str">
        <f aca="false">IF(03_FRFデータ貼付!B80="","",03_FRFデータ貼付!A80)</f>
        <v/>
      </c>
      <c r="B80" s="89" t="str">
        <f aca="false">IF(03_FRFデータ貼付!B80="","",03_FRFデータ貼付!B80)</f>
        <v/>
      </c>
      <c r="C80" s="71" t="str">
        <f aca="false">IF(03_FRFデータ貼付!B80="","",03_FRFデータ貼付!C80)</f>
        <v/>
      </c>
      <c r="D80" s="71" t="str">
        <f aca="false">IF(03_FRFデータ貼付!B80="","",03_FRFデータ貼付!D80)</f>
        <v/>
      </c>
      <c r="E80" s="71" t="str">
        <f aca="false">IF(B80="","",I80-C80)</f>
        <v/>
      </c>
      <c r="F80" s="71" t="str">
        <f aca="false">IF(B80="","",J80-D80)</f>
        <v/>
      </c>
      <c r="G80" s="143" t="str">
        <f aca="false">IF(B80="","",SQRT(C80^2+D80^2))</f>
        <v/>
      </c>
      <c r="H80" s="144" t="str">
        <f aca="false">IF(B80="","",SQRT(I80^2+J80^2))</f>
        <v/>
      </c>
      <c r="I80" s="145" t="str">
        <f aca="false">IF(03_FRFデータ貼付!B80="","",10_レジデュー_MEscope!N83*10_レジデュー_MEscope!$W$37+10_レジデュー_MEscope!O83*10_レジデュー_MEscope!$W$38+10_レジデュー_MEscope!P83*10_レジデュー_MEscope!$W$39+10_レジデュー_MEscope!Q83*10_レジデュー_MEscope!$W$40+10_レジデュー_MEscope!R83*10_レジデュー_MEscope!$W$41+10_レジデュー_MEscope!S83*10_レジデュー_MEscope!$W$42)</f>
        <v/>
      </c>
      <c r="J80" s="145" t="str">
        <f aca="false">IF(03_FRFデータ貼付!B80="","",10_レジデュー_MEscope!N203*10_レジデュー_MEscope!$W$37+10_レジデュー_MEscope!O203*10_レジデュー_MEscope!$W$38+10_レジデュー_MEscope!P203*10_レジデュー_MEscope!$W$39+10_レジデュー_MEscope!Q203*10_レジデュー_MEscope!$W$40)</f>
        <v/>
      </c>
      <c r="K80" s="2"/>
      <c r="L80" s="2"/>
      <c r="M80" s="2"/>
      <c r="N80" s="2"/>
    </row>
    <row r="81" customFormat="false" ht="15" hidden="false" customHeight="false" outlineLevel="0" collapsed="false">
      <c r="A81" s="88" t="str">
        <f aca="false">IF(03_FRFデータ貼付!B81="","",03_FRFデータ貼付!A81)</f>
        <v/>
      </c>
      <c r="B81" s="89" t="str">
        <f aca="false">IF(03_FRFデータ貼付!B81="","",03_FRFデータ貼付!B81)</f>
        <v/>
      </c>
      <c r="C81" s="71" t="str">
        <f aca="false">IF(03_FRFデータ貼付!B81="","",03_FRFデータ貼付!C81)</f>
        <v/>
      </c>
      <c r="D81" s="71" t="str">
        <f aca="false">IF(03_FRFデータ貼付!B81="","",03_FRFデータ貼付!D81)</f>
        <v/>
      </c>
      <c r="E81" s="71" t="str">
        <f aca="false">IF(B81="","",I81-C81)</f>
        <v/>
      </c>
      <c r="F81" s="71" t="str">
        <f aca="false">IF(B81="","",J81-D81)</f>
        <v/>
      </c>
      <c r="G81" s="143" t="str">
        <f aca="false">IF(B81="","",SQRT(C81^2+D81^2))</f>
        <v/>
      </c>
      <c r="H81" s="144" t="str">
        <f aca="false">IF(B81="","",SQRT(I81^2+J81^2))</f>
        <v/>
      </c>
      <c r="I81" s="145" t="str">
        <f aca="false">IF(03_FRFデータ貼付!B81="","",10_レジデュー_MEscope!N84*10_レジデュー_MEscope!$W$37+10_レジデュー_MEscope!O84*10_レジデュー_MEscope!$W$38+10_レジデュー_MEscope!P84*10_レジデュー_MEscope!$W$39+10_レジデュー_MEscope!Q84*10_レジデュー_MEscope!$W$40+10_レジデュー_MEscope!R84*10_レジデュー_MEscope!$W$41+10_レジデュー_MEscope!S84*10_レジデュー_MEscope!$W$42)</f>
        <v/>
      </c>
      <c r="J81" s="145" t="str">
        <f aca="false">IF(03_FRFデータ貼付!B81="","",10_レジデュー_MEscope!N204*10_レジデュー_MEscope!$W$37+10_レジデュー_MEscope!O204*10_レジデュー_MEscope!$W$38+10_レジデュー_MEscope!P204*10_レジデュー_MEscope!$W$39+10_レジデュー_MEscope!Q204*10_レジデュー_MEscope!$W$40)</f>
        <v/>
      </c>
      <c r="K81" s="2"/>
      <c r="L81" s="2"/>
      <c r="M81" s="2"/>
      <c r="N81" s="2"/>
    </row>
    <row r="82" customFormat="false" ht="15" hidden="false" customHeight="false" outlineLevel="0" collapsed="false">
      <c r="A82" s="88" t="str">
        <f aca="false">IF(03_FRFデータ貼付!B82="","",03_FRFデータ貼付!A82)</f>
        <v/>
      </c>
      <c r="B82" s="89" t="str">
        <f aca="false">IF(03_FRFデータ貼付!B82="","",03_FRFデータ貼付!B82)</f>
        <v/>
      </c>
      <c r="C82" s="71" t="str">
        <f aca="false">IF(03_FRFデータ貼付!B82="","",03_FRFデータ貼付!C82)</f>
        <v/>
      </c>
      <c r="D82" s="71" t="str">
        <f aca="false">IF(03_FRFデータ貼付!B82="","",03_FRFデータ貼付!D82)</f>
        <v/>
      </c>
      <c r="E82" s="71" t="str">
        <f aca="false">IF(B82="","",I82-C82)</f>
        <v/>
      </c>
      <c r="F82" s="71" t="str">
        <f aca="false">IF(B82="","",J82-D82)</f>
        <v/>
      </c>
      <c r="G82" s="143" t="str">
        <f aca="false">IF(B82="","",SQRT(C82^2+D82^2))</f>
        <v/>
      </c>
      <c r="H82" s="144" t="str">
        <f aca="false">IF(B82="","",SQRT(I82^2+J82^2))</f>
        <v/>
      </c>
      <c r="I82" s="145" t="str">
        <f aca="false">IF(03_FRFデータ貼付!B82="","",10_レジデュー_MEscope!N85*10_レジデュー_MEscope!$W$37+10_レジデュー_MEscope!O85*10_レジデュー_MEscope!$W$38+10_レジデュー_MEscope!P85*10_レジデュー_MEscope!$W$39+10_レジデュー_MEscope!Q85*10_レジデュー_MEscope!$W$40+10_レジデュー_MEscope!R85*10_レジデュー_MEscope!$W$41+10_レジデュー_MEscope!S85*10_レジデュー_MEscope!$W$42)</f>
        <v/>
      </c>
      <c r="J82" s="145" t="str">
        <f aca="false">IF(03_FRFデータ貼付!B82="","",10_レジデュー_MEscope!N205*10_レジデュー_MEscope!$W$37+10_レジデュー_MEscope!O205*10_レジデュー_MEscope!$W$38+10_レジデュー_MEscope!P205*10_レジデュー_MEscope!$W$39+10_レジデュー_MEscope!Q205*10_レジデュー_MEscope!$W$40)</f>
        <v/>
      </c>
      <c r="K82" s="2"/>
      <c r="L82" s="2"/>
      <c r="M82" s="2"/>
      <c r="N82" s="2"/>
    </row>
    <row r="83" customFormat="false" ht="15" hidden="false" customHeight="false" outlineLevel="0" collapsed="false">
      <c r="A83" s="88" t="str">
        <f aca="false">IF(03_FRFデータ貼付!B83="","",03_FRFデータ貼付!A83)</f>
        <v/>
      </c>
      <c r="B83" s="89" t="str">
        <f aca="false">IF(03_FRFデータ貼付!B83="","",03_FRFデータ貼付!B83)</f>
        <v/>
      </c>
      <c r="C83" s="71" t="str">
        <f aca="false">IF(03_FRFデータ貼付!B83="","",03_FRFデータ貼付!C83)</f>
        <v/>
      </c>
      <c r="D83" s="71" t="str">
        <f aca="false">IF(03_FRFデータ貼付!B83="","",03_FRFデータ貼付!D83)</f>
        <v/>
      </c>
      <c r="E83" s="71" t="str">
        <f aca="false">IF(B83="","",I83-C83)</f>
        <v/>
      </c>
      <c r="F83" s="71" t="str">
        <f aca="false">IF(B83="","",J83-D83)</f>
        <v/>
      </c>
      <c r="G83" s="143" t="str">
        <f aca="false">IF(B83="","",SQRT(C83^2+D83^2))</f>
        <v/>
      </c>
      <c r="H83" s="144" t="str">
        <f aca="false">IF(B83="","",SQRT(I83^2+J83^2))</f>
        <v/>
      </c>
      <c r="I83" s="145" t="str">
        <f aca="false">IF(03_FRFデータ貼付!B83="","",10_レジデュー_MEscope!N86*10_レジデュー_MEscope!$W$37+10_レジデュー_MEscope!O86*10_レジデュー_MEscope!$W$38+10_レジデュー_MEscope!P86*10_レジデュー_MEscope!$W$39+10_レジデュー_MEscope!Q86*10_レジデュー_MEscope!$W$40+10_レジデュー_MEscope!R86*10_レジデュー_MEscope!$W$41+10_レジデュー_MEscope!S86*10_レジデュー_MEscope!$W$42)</f>
        <v/>
      </c>
      <c r="J83" s="145" t="str">
        <f aca="false">IF(03_FRFデータ貼付!B83="","",10_レジデュー_MEscope!N206*10_レジデュー_MEscope!$W$37+10_レジデュー_MEscope!O206*10_レジデュー_MEscope!$W$38+10_レジデュー_MEscope!P206*10_レジデュー_MEscope!$W$39+10_レジデュー_MEscope!Q206*10_レジデュー_MEscope!$W$40)</f>
        <v/>
      </c>
      <c r="K83" s="2"/>
      <c r="L83" s="2"/>
      <c r="M83" s="2"/>
      <c r="N83" s="2"/>
    </row>
    <row r="84" customFormat="false" ht="15" hidden="false" customHeight="false" outlineLevel="0" collapsed="false">
      <c r="A84" s="88" t="str">
        <f aca="false">IF(03_FRFデータ貼付!B84="","",03_FRFデータ貼付!A84)</f>
        <v/>
      </c>
      <c r="B84" s="89" t="str">
        <f aca="false">IF(03_FRFデータ貼付!B84="","",03_FRFデータ貼付!B84)</f>
        <v/>
      </c>
      <c r="C84" s="71" t="str">
        <f aca="false">IF(03_FRFデータ貼付!B84="","",03_FRFデータ貼付!C84)</f>
        <v/>
      </c>
      <c r="D84" s="71" t="str">
        <f aca="false">IF(03_FRFデータ貼付!B84="","",03_FRFデータ貼付!D84)</f>
        <v/>
      </c>
      <c r="E84" s="71" t="str">
        <f aca="false">IF(B84="","",I84-C84)</f>
        <v/>
      </c>
      <c r="F84" s="71" t="str">
        <f aca="false">IF(B84="","",J84-D84)</f>
        <v/>
      </c>
      <c r="G84" s="143" t="str">
        <f aca="false">IF(B84="","",SQRT(C84^2+D84^2))</f>
        <v/>
      </c>
      <c r="H84" s="144" t="str">
        <f aca="false">IF(B84="","",SQRT(I84^2+J84^2))</f>
        <v/>
      </c>
      <c r="I84" s="145" t="str">
        <f aca="false">IF(03_FRFデータ貼付!B84="","",10_レジデュー_MEscope!N87*10_レジデュー_MEscope!$W$37+10_レジデュー_MEscope!O87*10_レジデュー_MEscope!$W$38+10_レジデュー_MEscope!P87*10_レジデュー_MEscope!$W$39+10_レジデュー_MEscope!Q87*10_レジデュー_MEscope!$W$40+10_レジデュー_MEscope!R87*10_レジデュー_MEscope!$W$41+10_レジデュー_MEscope!S87*10_レジデュー_MEscope!$W$42)</f>
        <v/>
      </c>
      <c r="J84" s="145" t="str">
        <f aca="false">IF(03_FRFデータ貼付!B84="","",10_レジデュー_MEscope!N207*10_レジデュー_MEscope!$W$37+10_レジデュー_MEscope!O207*10_レジデュー_MEscope!$W$38+10_レジデュー_MEscope!P207*10_レジデュー_MEscope!$W$39+10_レジデュー_MEscope!Q207*10_レジデュー_MEscope!$W$40)</f>
        <v/>
      </c>
      <c r="K84" s="2"/>
      <c r="L84" s="2"/>
      <c r="M84" s="2"/>
      <c r="N84" s="2"/>
    </row>
    <row r="85" customFormat="false" ht="15" hidden="false" customHeight="false" outlineLevel="0" collapsed="false">
      <c r="A85" s="88" t="str">
        <f aca="false">IF(03_FRFデータ貼付!B85="","",03_FRFデータ貼付!A85)</f>
        <v/>
      </c>
      <c r="B85" s="89" t="str">
        <f aca="false">IF(03_FRFデータ貼付!B85="","",03_FRFデータ貼付!B85)</f>
        <v/>
      </c>
      <c r="C85" s="71" t="str">
        <f aca="false">IF(03_FRFデータ貼付!B85="","",03_FRFデータ貼付!C85)</f>
        <v/>
      </c>
      <c r="D85" s="71" t="str">
        <f aca="false">IF(03_FRFデータ貼付!B85="","",03_FRFデータ貼付!D85)</f>
        <v/>
      </c>
      <c r="E85" s="71" t="str">
        <f aca="false">IF(B85="","",I85-C85)</f>
        <v/>
      </c>
      <c r="F85" s="71" t="str">
        <f aca="false">IF(B85="","",J85-D85)</f>
        <v/>
      </c>
      <c r="G85" s="143" t="str">
        <f aca="false">IF(B85="","",SQRT(C85^2+D85^2))</f>
        <v/>
      </c>
      <c r="H85" s="144" t="str">
        <f aca="false">IF(B85="","",SQRT(I85^2+J85^2))</f>
        <v/>
      </c>
      <c r="I85" s="145" t="str">
        <f aca="false">IF(03_FRFデータ貼付!B85="","",10_レジデュー_MEscope!N88*10_レジデュー_MEscope!$W$37+10_レジデュー_MEscope!O88*10_レジデュー_MEscope!$W$38+10_レジデュー_MEscope!P88*10_レジデュー_MEscope!$W$39+10_レジデュー_MEscope!Q88*10_レジデュー_MEscope!$W$40+10_レジデュー_MEscope!R88*10_レジデュー_MEscope!$W$41+10_レジデュー_MEscope!S88*10_レジデュー_MEscope!$W$42)</f>
        <v/>
      </c>
      <c r="J85" s="145" t="str">
        <f aca="false">IF(03_FRFデータ貼付!B85="","",10_レジデュー_MEscope!N208*10_レジデュー_MEscope!$W$37+10_レジデュー_MEscope!O208*10_レジデュー_MEscope!$W$38+10_レジデュー_MEscope!P208*10_レジデュー_MEscope!$W$39+10_レジデュー_MEscope!Q208*10_レジデュー_MEscope!$W$40)</f>
        <v/>
      </c>
      <c r="K85" s="2"/>
      <c r="L85" s="2"/>
      <c r="M85" s="2"/>
      <c r="N85" s="2"/>
    </row>
    <row r="86" customFormat="false" ht="15" hidden="false" customHeight="false" outlineLevel="0" collapsed="false">
      <c r="A86" s="88" t="str">
        <f aca="false">IF(03_FRFデータ貼付!B86="","",03_FRFデータ貼付!A86)</f>
        <v/>
      </c>
      <c r="B86" s="89" t="str">
        <f aca="false">IF(03_FRFデータ貼付!B86="","",03_FRFデータ貼付!B86)</f>
        <v/>
      </c>
      <c r="C86" s="71" t="str">
        <f aca="false">IF(03_FRFデータ貼付!B86="","",03_FRFデータ貼付!C86)</f>
        <v/>
      </c>
      <c r="D86" s="71" t="str">
        <f aca="false">IF(03_FRFデータ貼付!B86="","",03_FRFデータ貼付!D86)</f>
        <v/>
      </c>
      <c r="E86" s="71" t="str">
        <f aca="false">IF(B86="","",I86-C86)</f>
        <v/>
      </c>
      <c r="F86" s="71" t="str">
        <f aca="false">IF(B86="","",J86-D86)</f>
        <v/>
      </c>
      <c r="G86" s="143" t="str">
        <f aca="false">IF(B86="","",SQRT(C86^2+D86^2))</f>
        <v/>
      </c>
      <c r="H86" s="144" t="str">
        <f aca="false">IF(B86="","",SQRT(I86^2+J86^2))</f>
        <v/>
      </c>
      <c r="I86" s="145" t="str">
        <f aca="false">IF(03_FRFデータ貼付!B86="","",10_レジデュー_MEscope!N89*10_レジデュー_MEscope!$W$37+10_レジデュー_MEscope!O89*10_レジデュー_MEscope!$W$38+10_レジデュー_MEscope!P89*10_レジデュー_MEscope!$W$39+10_レジデュー_MEscope!Q89*10_レジデュー_MEscope!$W$40+10_レジデュー_MEscope!R89*10_レジデュー_MEscope!$W$41+10_レジデュー_MEscope!S89*10_レジデュー_MEscope!$W$42)</f>
        <v/>
      </c>
      <c r="J86" s="145" t="str">
        <f aca="false">IF(03_FRFデータ貼付!B86="","",10_レジデュー_MEscope!N209*10_レジデュー_MEscope!$W$37+10_レジデュー_MEscope!O209*10_レジデュー_MEscope!$W$38+10_レジデュー_MEscope!P209*10_レジデュー_MEscope!$W$39+10_レジデュー_MEscope!Q209*10_レジデュー_MEscope!$W$40)</f>
        <v/>
      </c>
      <c r="K86" s="2"/>
      <c r="L86" s="2"/>
      <c r="M86" s="2"/>
      <c r="N86" s="2"/>
    </row>
    <row r="87" customFormat="false" ht="15" hidden="false" customHeight="false" outlineLevel="0" collapsed="false">
      <c r="A87" s="88" t="str">
        <f aca="false">IF(03_FRFデータ貼付!B87="","",03_FRFデータ貼付!A87)</f>
        <v/>
      </c>
      <c r="B87" s="89" t="str">
        <f aca="false">IF(03_FRFデータ貼付!B87="","",03_FRFデータ貼付!B87)</f>
        <v/>
      </c>
      <c r="C87" s="71" t="str">
        <f aca="false">IF(03_FRFデータ貼付!B87="","",03_FRFデータ貼付!C87)</f>
        <v/>
      </c>
      <c r="D87" s="71" t="str">
        <f aca="false">IF(03_FRFデータ貼付!B87="","",03_FRFデータ貼付!D87)</f>
        <v/>
      </c>
      <c r="E87" s="71" t="str">
        <f aca="false">IF(B87="","",I87-C87)</f>
        <v/>
      </c>
      <c r="F87" s="71" t="str">
        <f aca="false">IF(B87="","",J87-D87)</f>
        <v/>
      </c>
      <c r="G87" s="143" t="str">
        <f aca="false">IF(B87="","",SQRT(C87^2+D87^2))</f>
        <v/>
      </c>
      <c r="H87" s="144" t="str">
        <f aca="false">IF(B87="","",SQRT(I87^2+J87^2))</f>
        <v/>
      </c>
      <c r="I87" s="145" t="str">
        <f aca="false">IF(03_FRFデータ貼付!B87="","",10_レジデュー_MEscope!N90*10_レジデュー_MEscope!$W$37+10_レジデュー_MEscope!O90*10_レジデュー_MEscope!$W$38+10_レジデュー_MEscope!P90*10_レジデュー_MEscope!$W$39+10_レジデュー_MEscope!Q90*10_レジデュー_MEscope!$W$40+10_レジデュー_MEscope!R90*10_レジデュー_MEscope!$W$41+10_レジデュー_MEscope!S90*10_レジデュー_MEscope!$W$42)</f>
        <v/>
      </c>
      <c r="J87" s="145" t="str">
        <f aca="false">IF(03_FRFデータ貼付!B87="","",10_レジデュー_MEscope!N210*10_レジデュー_MEscope!$W$37+10_レジデュー_MEscope!O210*10_レジデュー_MEscope!$W$38+10_レジデュー_MEscope!P210*10_レジデュー_MEscope!$W$39+10_レジデュー_MEscope!Q210*10_レジデュー_MEscope!$W$40)</f>
        <v/>
      </c>
      <c r="K87" s="2"/>
      <c r="L87" s="2"/>
      <c r="M87" s="2"/>
      <c r="N87" s="2"/>
    </row>
    <row r="88" customFormat="false" ht="15" hidden="false" customHeight="false" outlineLevel="0" collapsed="false">
      <c r="A88" s="88" t="str">
        <f aca="false">IF(03_FRFデータ貼付!B88="","",03_FRFデータ貼付!A88)</f>
        <v/>
      </c>
      <c r="B88" s="89" t="str">
        <f aca="false">IF(03_FRFデータ貼付!B88="","",03_FRFデータ貼付!B88)</f>
        <v/>
      </c>
      <c r="C88" s="71" t="str">
        <f aca="false">IF(03_FRFデータ貼付!B88="","",03_FRFデータ貼付!C88)</f>
        <v/>
      </c>
      <c r="D88" s="71" t="str">
        <f aca="false">IF(03_FRFデータ貼付!B88="","",03_FRFデータ貼付!D88)</f>
        <v/>
      </c>
      <c r="E88" s="71" t="str">
        <f aca="false">IF(B88="","",I88-C88)</f>
        <v/>
      </c>
      <c r="F88" s="71" t="str">
        <f aca="false">IF(B88="","",J88-D88)</f>
        <v/>
      </c>
      <c r="G88" s="143" t="str">
        <f aca="false">IF(B88="","",SQRT(C88^2+D88^2))</f>
        <v/>
      </c>
      <c r="H88" s="144" t="str">
        <f aca="false">IF(B88="","",SQRT(I88^2+J88^2))</f>
        <v/>
      </c>
      <c r="I88" s="145" t="str">
        <f aca="false">IF(03_FRFデータ貼付!B88="","",10_レジデュー_MEscope!N91*10_レジデュー_MEscope!$W$37+10_レジデュー_MEscope!O91*10_レジデュー_MEscope!$W$38+10_レジデュー_MEscope!P91*10_レジデュー_MEscope!$W$39+10_レジデュー_MEscope!Q91*10_レジデュー_MEscope!$W$40+10_レジデュー_MEscope!R91*10_レジデュー_MEscope!$W$41+10_レジデュー_MEscope!S91*10_レジデュー_MEscope!$W$42)</f>
        <v/>
      </c>
      <c r="J88" s="145" t="str">
        <f aca="false">IF(03_FRFデータ貼付!B88="","",10_レジデュー_MEscope!N211*10_レジデュー_MEscope!$W$37+10_レジデュー_MEscope!O211*10_レジデュー_MEscope!$W$38+10_レジデュー_MEscope!P211*10_レジデュー_MEscope!$W$39+10_レジデュー_MEscope!Q211*10_レジデュー_MEscope!$W$40)</f>
        <v/>
      </c>
      <c r="K88" s="2"/>
      <c r="L88" s="2"/>
      <c r="M88" s="2"/>
      <c r="N88" s="2"/>
    </row>
    <row r="89" customFormat="false" ht="15" hidden="false" customHeight="false" outlineLevel="0" collapsed="false">
      <c r="A89" s="88" t="str">
        <f aca="false">IF(03_FRFデータ貼付!B89="","",03_FRFデータ貼付!A89)</f>
        <v/>
      </c>
      <c r="B89" s="89" t="str">
        <f aca="false">IF(03_FRFデータ貼付!B89="","",03_FRFデータ貼付!B89)</f>
        <v/>
      </c>
      <c r="C89" s="71" t="str">
        <f aca="false">IF(03_FRFデータ貼付!B89="","",03_FRFデータ貼付!C89)</f>
        <v/>
      </c>
      <c r="D89" s="71" t="str">
        <f aca="false">IF(03_FRFデータ貼付!B89="","",03_FRFデータ貼付!D89)</f>
        <v/>
      </c>
      <c r="E89" s="71" t="str">
        <f aca="false">IF(B89="","",I89-C89)</f>
        <v/>
      </c>
      <c r="F89" s="71" t="str">
        <f aca="false">IF(B89="","",J89-D89)</f>
        <v/>
      </c>
      <c r="G89" s="143" t="str">
        <f aca="false">IF(B89="","",SQRT(C89^2+D89^2))</f>
        <v/>
      </c>
      <c r="H89" s="144" t="str">
        <f aca="false">IF(B89="","",SQRT(I89^2+J89^2))</f>
        <v/>
      </c>
      <c r="I89" s="145" t="str">
        <f aca="false">IF(03_FRFデータ貼付!B89="","",10_レジデュー_MEscope!N92*10_レジデュー_MEscope!$W$37+10_レジデュー_MEscope!O92*10_レジデュー_MEscope!$W$38+10_レジデュー_MEscope!P92*10_レジデュー_MEscope!$W$39+10_レジデュー_MEscope!Q92*10_レジデュー_MEscope!$W$40+10_レジデュー_MEscope!R92*10_レジデュー_MEscope!$W$41+10_レジデュー_MEscope!S92*10_レジデュー_MEscope!$W$42)</f>
        <v/>
      </c>
      <c r="J89" s="145" t="str">
        <f aca="false">IF(03_FRFデータ貼付!B89="","",10_レジデュー_MEscope!N212*10_レジデュー_MEscope!$W$37+10_レジデュー_MEscope!O212*10_レジデュー_MEscope!$W$38+10_レジデュー_MEscope!P212*10_レジデュー_MEscope!$W$39+10_レジデュー_MEscope!Q212*10_レジデュー_MEscope!$W$40)</f>
        <v/>
      </c>
      <c r="K89" s="2"/>
      <c r="L89" s="2"/>
      <c r="M89" s="2"/>
      <c r="N89" s="2"/>
    </row>
    <row r="90" customFormat="false" ht="15" hidden="false" customHeight="false" outlineLevel="0" collapsed="false">
      <c r="A90" s="88" t="str">
        <f aca="false">IF(03_FRFデータ貼付!B90="","",03_FRFデータ貼付!A90)</f>
        <v/>
      </c>
      <c r="B90" s="89" t="str">
        <f aca="false">IF(03_FRFデータ貼付!B90="","",03_FRFデータ貼付!B90)</f>
        <v/>
      </c>
      <c r="C90" s="71" t="str">
        <f aca="false">IF(03_FRFデータ貼付!B90="","",03_FRFデータ貼付!C90)</f>
        <v/>
      </c>
      <c r="D90" s="71" t="str">
        <f aca="false">IF(03_FRFデータ貼付!B90="","",03_FRFデータ貼付!D90)</f>
        <v/>
      </c>
      <c r="E90" s="71" t="str">
        <f aca="false">IF(B90="","",I90-C90)</f>
        <v/>
      </c>
      <c r="F90" s="71" t="str">
        <f aca="false">IF(B90="","",J90-D90)</f>
        <v/>
      </c>
      <c r="G90" s="143" t="str">
        <f aca="false">IF(B90="","",SQRT(C90^2+D90^2))</f>
        <v/>
      </c>
      <c r="H90" s="144" t="str">
        <f aca="false">IF(B90="","",SQRT(I90^2+J90^2))</f>
        <v/>
      </c>
      <c r="I90" s="145" t="str">
        <f aca="false">IF(03_FRFデータ貼付!B90="","",10_レジデュー_MEscope!N93*10_レジデュー_MEscope!$W$37+10_レジデュー_MEscope!O93*10_レジデュー_MEscope!$W$38+10_レジデュー_MEscope!P93*10_レジデュー_MEscope!$W$39+10_レジデュー_MEscope!Q93*10_レジデュー_MEscope!$W$40+10_レジデュー_MEscope!R93*10_レジデュー_MEscope!$W$41+10_レジデュー_MEscope!S93*10_レジデュー_MEscope!$W$42)</f>
        <v/>
      </c>
      <c r="J90" s="145" t="str">
        <f aca="false">IF(03_FRFデータ貼付!B90="","",10_レジデュー_MEscope!N213*10_レジデュー_MEscope!$W$37+10_レジデュー_MEscope!O213*10_レジデュー_MEscope!$W$38+10_レジデュー_MEscope!P213*10_レジデュー_MEscope!$W$39+10_レジデュー_MEscope!Q213*10_レジデュー_MEscope!$W$40)</f>
        <v/>
      </c>
      <c r="K90" s="2"/>
      <c r="L90" s="2"/>
      <c r="M90" s="2"/>
      <c r="N90" s="2"/>
    </row>
    <row r="91" customFormat="false" ht="15" hidden="false" customHeight="false" outlineLevel="0" collapsed="false">
      <c r="A91" s="88" t="str">
        <f aca="false">IF(03_FRFデータ貼付!B91="","",03_FRFデータ貼付!A91)</f>
        <v/>
      </c>
      <c r="B91" s="89" t="str">
        <f aca="false">IF(03_FRFデータ貼付!B91="","",03_FRFデータ貼付!B91)</f>
        <v/>
      </c>
      <c r="C91" s="71" t="str">
        <f aca="false">IF(03_FRFデータ貼付!B91="","",03_FRFデータ貼付!C91)</f>
        <v/>
      </c>
      <c r="D91" s="71" t="str">
        <f aca="false">IF(03_FRFデータ貼付!B91="","",03_FRFデータ貼付!D91)</f>
        <v/>
      </c>
      <c r="E91" s="71" t="str">
        <f aca="false">IF(B91="","",I91-C91)</f>
        <v/>
      </c>
      <c r="F91" s="71" t="str">
        <f aca="false">IF(B91="","",J91-D91)</f>
        <v/>
      </c>
      <c r="G91" s="143" t="str">
        <f aca="false">IF(B91="","",SQRT(C91^2+D91^2))</f>
        <v/>
      </c>
      <c r="H91" s="144" t="str">
        <f aca="false">IF(B91="","",SQRT(I91^2+J91^2))</f>
        <v/>
      </c>
      <c r="I91" s="145" t="str">
        <f aca="false">IF(03_FRFデータ貼付!B91="","",10_レジデュー_MEscope!N94*10_レジデュー_MEscope!$W$37+10_レジデュー_MEscope!O94*10_レジデュー_MEscope!$W$38+10_レジデュー_MEscope!P94*10_レジデュー_MEscope!$W$39+10_レジデュー_MEscope!Q94*10_レジデュー_MEscope!$W$40+10_レジデュー_MEscope!R94*10_レジデュー_MEscope!$W$41+10_レジデュー_MEscope!S94*10_レジデュー_MEscope!$W$42)</f>
        <v/>
      </c>
      <c r="J91" s="145" t="str">
        <f aca="false">IF(03_FRFデータ貼付!B91="","",10_レジデュー_MEscope!N214*10_レジデュー_MEscope!$W$37+10_レジデュー_MEscope!O214*10_レジデュー_MEscope!$W$38+10_レジデュー_MEscope!P214*10_レジデュー_MEscope!$W$39+10_レジデュー_MEscope!Q214*10_レジデュー_MEscope!$W$40)</f>
        <v/>
      </c>
      <c r="K91" s="2"/>
      <c r="L91" s="2"/>
      <c r="M91" s="2"/>
      <c r="N91" s="2"/>
    </row>
    <row r="92" customFormat="false" ht="15" hidden="false" customHeight="false" outlineLevel="0" collapsed="false">
      <c r="A92" s="88" t="str">
        <f aca="false">IF(03_FRFデータ貼付!B92="","",03_FRFデータ貼付!A92)</f>
        <v/>
      </c>
      <c r="B92" s="89" t="str">
        <f aca="false">IF(03_FRFデータ貼付!B92="","",03_FRFデータ貼付!B92)</f>
        <v/>
      </c>
      <c r="C92" s="71" t="str">
        <f aca="false">IF(03_FRFデータ貼付!B92="","",03_FRFデータ貼付!C92)</f>
        <v/>
      </c>
      <c r="D92" s="71" t="str">
        <f aca="false">IF(03_FRFデータ貼付!B92="","",03_FRFデータ貼付!D92)</f>
        <v/>
      </c>
      <c r="E92" s="71" t="str">
        <f aca="false">IF(B92="","",I92-C92)</f>
        <v/>
      </c>
      <c r="F92" s="71" t="str">
        <f aca="false">IF(B92="","",J92-D92)</f>
        <v/>
      </c>
      <c r="G92" s="143" t="str">
        <f aca="false">IF(B92="","",SQRT(C92^2+D92^2))</f>
        <v/>
      </c>
      <c r="H92" s="144" t="str">
        <f aca="false">IF(B92="","",SQRT(I92^2+J92^2))</f>
        <v/>
      </c>
      <c r="I92" s="145" t="str">
        <f aca="false">IF(03_FRFデータ貼付!B92="","",10_レジデュー_MEscope!N95*10_レジデュー_MEscope!$W$37+10_レジデュー_MEscope!O95*10_レジデュー_MEscope!$W$38+10_レジデュー_MEscope!P95*10_レジデュー_MEscope!$W$39+10_レジデュー_MEscope!Q95*10_レジデュー_MEscope!$W$40+10_レジデュー_MEscope!R95*10_レジデュー_MEscope!$W$41+10_レジデュー_MEscope!S95*10_レジデュー_MEscope!$W$42)</f>
        <v/>
      </c>
      <c r="J92" s="145" t="str">
        <f aca="false">IF(03_FRFデータ貼付!B92="","",10_レジデュー_MEscope!N215*10_レジデュー_MEscope!$W$37+10_レジデュー_MEscope!O215*10_レジデュー_MEscope!$W$38+10_レジデュー_MEscope!P215*10_レジデュー_MEscope!$W$39+10_レジデュー_MEscope!Q215*10_レジデュー_MEscope!$W$40)</f>
        <v/>
      </c>
      <c r="K92" s="2"/>
      <c r="L92" s="2"/>
      <c r="M92" s="2"/>
      <c r="N92" s="2"/>
    </row>
    <row r="93" customFormat="false" ht="15" hidden="false" customHeight="false" outlineLevel="0" collapsed="false">
      <c r="A93" s="88" t="str">
        <f aca="false">IF(03_FRFデータ貼付!B93="","",03_FRFデータ貼付!A93)</f>
        <v/>
      </c>
      <c r="B93" s="89" t="str">
        <f aca="false">IF(03_FRFデータ貼付!B93="","",03_FRFデータ貼付!B93)</f>
        <v/>
      </c>
      <c r="C93" s="71" t="str">
        <f aca="false">IF(03_FRFデータ貼付!B93="","",03_FRFデータ貼付!C93)</f>
        <v/>
      </c>
      <c r="D93" s="71" t="str">
        <f aca="false">IF(03_FRFデータ貼付!B93="","",03_FRFデータ貼付!D93)</f>
        <v/>
      </c>
      <c r="E93" s="71" t="str">
        <f aca="false">IF(B93="","",I93-C93)</f>
        <v/>
      </c>
      <c r="F93" s="71" t="str">
        <f aca="false">IF(B93="","",J93-D93)</f>
        <v/>
      </c>
      <c r="G93" s="143" t="str">
        <f aca="false">IF(B93="","",SQRT(C93^2+D93^2))</f>
        <v/>
      </c>
      <c r="H93" s="144" t="str">
        <f aca="false">IF(B93="","",SQRT(I93^2+J93^2))</f>
        <v/>
      </c>
      <c r="I93" s="145" t="str">
        <f aca="false">IF(03_FRFデータ貼付!B93="","",10_レジデュー_MEscope!N96*10_レジデュー_MEscope!$W$37+10_レジデュー_MEscope!O96*10_レジデュー_MEscope!$W$38+10_レジデュー_MEscope!P96*10_レジデュー_MEscope!$W$39+10_レジデュー_MEscope!Q96*10_レジデュー_MEscope!$W$40+10_レジデュー_MEscope!R96*10_レジデュー_MEscope!$W$41+10_レジデュー_MEscope!S96*10_レジデュー_MEscope!$W$42)</f>
        <v/>
      </c>
      <c r="J93" s="145" t="str">
        <f aca="false">IF(03_FRFデータ貼付!B93="","",10_レジデュー_MEscope!N216*10_レジデュー_MEscope!$W$37+10_レジデュー_MEscope!O216*10_レジデュー_MEscope!$W$38+10_レジデュー_MEscope!P216*10_レジデュー_MEscope!$W$39+10_レジデュー_MEscope!Q216*10_レジデュー_MEscope!$W$40)</f>
        <v/>
      </c>
      <c r="K93" s="2"/>
      <c r="L93" s="2"/>
      <c r="M93" s="2"/>
      <c r="N93" s="2"/>
    </row>
    <row r="94" customFormat="false" ht="15" hidden="false" customHeight="false" outlineLevel="0" collapsed="false">
      <c r="A94" s="88" t="str">
        <f aca="false">IF(03_FRFデータ貼付!B94="","",03_FRFデータ貼付!A94)</f>
        <v/>
      </c>
      <c r="B94" s="89" t="str">
        <f aca="false">IF(03_FRFデータ貼付!B94="","",03_FRFデータ貼付!B94)</f>
        <v/>
      </c>
      <c r="C94" s="71" t="str">
        <f aca="false">IF(03_FRFデータ貼付!B94="","",03_FRFデータ貼付!C94)</f>
        <v/>
      </c>
      <c r="D94" s="71" t="str">
        <f aca="false">IF(03_FRFデータ貼付!B94="","",03_FRFデータ貼付!D94)</f>
        <v/>
      </c>
      <c r="E94" s="71" t="str">
        <f aca="false">IF(B94="","",I94-C94)</f>
        <v/>
      </c>
      <c r="F94" s="71" t="str">
        <f aca="false">IF(B94="","",J94-D94)</f>
        <v/>
      </c>
      <c r="G94" s="143" t="str">
        <f aca="false">IF(B94="","",SQRT(C94^2+D94^2))</f>
        <v/>
      </c>
      <c r="H94" s="144" t="str">
        <f aca="false">IF(B94="","",SQRT(I94^2+J94^2))</f>
        <v/>
      </c>
      <c r="I94" s="145" t="str">
        <f aca="false">IF(03_FRFデータ貼付!B94="","",10_レジデュー_MEscope!N97*10_レジデュー_MEscope!$W$37+10_レジデュー_MEscope!O97*10_レジデュー_MEscope!$W$38+10_レジデュー_MEscope!P97*10_レジデュー_MEscope!$W$39+10_レジデュー_MEscope!Q97*10_レジデュー_MEscope!$W$40+10_レジデュー_MEscope!R97*10_レジデュー_MEscope!$W$41+10_レジデュー_MEscope!S97*10_レジデュー_MEscope!$W$42)</f>
        <v/>
      </c>
      <c r="J94" s="145" t="str">
        <f aca="false">IF(03_FRFデータ貼付!B94="","",10_レジデュー_MEscope!N217*10_レジデュー_MEscope!$W$37+10_レジデュー_MEscope!O217*10_レジデュー_MEscope!$W$38+10_レジデュー_MEscope!P217*10_レジデュー_MEscope!$W$39+10_レジデュー_MEscope!Q217*10_レジデュー_MEscope!$W$40)</f>
        <v/>
      </c>
      <c r="K94" s="2"/>
      <c r="L94" s="2"/>
      <c r="M94" s="2"/>
      <c r="N94" s="2"/>
    </row>
    <row r="95" customFormat="false" ht="15" hidden="false" customHeight="false" outlineLevel="0" collapsed="false">
      <c r="A95" s="88" t="str">
        <f aca="false">IF(03_FRFデータ貼付!B95="","",03_FRFデータ貼付!A95)</f>
        <v/>
      </c>
      <c r="B95" s="89" t="str">
        <f aca="false">IF(03_FRFデータ貼付!B95="","",03_FRFデータ貼付!B95)</f>
        <v/>
      </c>
      <c r="C95" s="71" t="str">
        <f aca="false">IF(03_FRFデータ貼付!B95="","",03_FRFデータ貼付!C95)</f>
        <v/>
      </c>
      <c r="D95" s="71" t="str">
        <f aca="false">IF(03_FRFデータ貼付!B95="","",03_FRFデータ貼付!D95)</f>
        <v/>
      </c>
      <c r="E95" s="71" t="str">
        <f aca="false">IF(B95="","",I95-C95)</f>
        <v/>
      </c>
      <c r="F95" s="71" t="str">
        <f aca="false">IF(B95="","",J95-D95)</f>
        <v/>
      </c>
      <c r="G95" s="143" t="str">
        <f aca="false">IF(B95="","",SQRT(C95^2+D95^2))</f>
        <v/>
      </c>
      <c r="H95" s="144" t="str">
        <f aca="false">IF(B95="","",SQRT(I95^2+J95^2))</f>
        <v/>
      </c>
      <c r="I95" s="145" t="str">
        <f aca="false">IF(03_FRFデータ貼付!B95="","",10_レジデュー_MEscope!N98*10_レジデュー_MEscope!$W$37+10_レジデュー_MEscope!O98*10_レジデュー_MEscope!$W$38+10_レジデュー_MEscope!P98*10_レジデュー_MEscope!$W$39+10_レジデュー_MEscope!Q98*10_レジデュー_MEscope!$W$40+10_レジデュー_MEscope!R98*10_レジデュー_MEscope!$W$41+10_レジデュー_MEscope!S98*10_レジデュー_MEscope!$W$42)</f>
        <v/>
      </c>
      <c r="J95" s="145" t="str">
        <f aca="false">IF(03_FRFデータ貼付!B95="","",10_レジデュー_MEscope!N218*10_レジデュー_MEscope!$W$37+10_レジデュー_MEscope!O218*10_レジデュー_MEscope!$W$38+10_レジデュー_MEscope!P218*10_レジデュー_MEscope!$W$39+10_レジデュー_MEscope!Q218*10_レジデュー_MEscope!$W$40)</f>
        <v/>
      </c>
      <c r="K95" s="2"/>
      <c r="L95" s="2"/>
      <c r="M95" s="2"/>
      <c r="N95" s="2"/>
    </row>
    <row r="96" customFormat="false" ht="15" hidden="false" customHeight="false" outlineLevel="0" collapsed="false">
      <c r="A96" s="88" t="str">
        <f aca="false">IF(03_FRFデータ貼付!B96="","",03_FRFデータ貼付!A96)</f>
        <v/>
      </c>
      <c r="B96" s="89" t="str">
        <f aca="false">IF(03_FRFデータ貼付!B96="","",03_FRFデータ貼付!B96)</f>
        <v/>
      </c>
      <c r="C96" s="71" t="str">
        <f aca="false">IF(03_FRFデータ貼付!B96="","",03_FRFデータ貼付!C96)</f>
        <v/>
      </c>
      <c r="D96" s="71" t="str">
        <f aca="false">IF(03_FRFデータ貼付!B96="","",03_FRFデータ貼付!D96)</f>
        <v/>
      </c>
      <c r="E96" s="71" t="str">
        <f aca="false">IF(B96="","",I96-C96)</f>
        <v/>
      </c>
      <c r="F96" s="71" t="str">
        <f aca="false">IF(B96="","",J96-D96)</f>
        <v/>
      </c>
      <c r="G96" s="143" t="str">
        <f aca="false">IF(B96="","",SQRT(C96^2+D96^2))</f>
        <v/>
      </c>
      <c r="H96" s="144" t="str">
        <f aca="false">IF(B96="","",SQRT(I96^2+J96^2))</f>
        <v/>
      </c>
      <c r="I96" s="145" t="str">
        <f aca="false">IF(03_FRFデータ貼付!B96="","",10_レジデュー_MEscope!N99*10_レジデュー_MEscope!$W$37+10_レジデュー_MEscope!O99*10_レジデュー_MEscope!$W$38+10_レジデュー_MEscope!P99*10_レジデュー_MEscope!$W$39+10_レジデュー_MEscope!Q99*10_レジデュー_MEscope!$W$40+10_レジデュー_MEscope!R99*10_レジデュー_MEscope!$W$41+10_レジデュー_MEscope!S99*10_レジデュー_MEscope!$W$42)</f>
        <v/>
      </c>
      <c r="J96" s="145" t="str">
        <f aca="false">IF(03_FRFデータ貼付!B96="","",10_レジデュー_MEscope!N219*10_レジデュー_MEscope!$W$37+10_レジデュー_MEscope!O219*10_レジデュー_MEscope!$W$38+10_レジデュー_MEscope!P219*10_レジデュー_MEscope!$W$39+10_レジデュー_MEscope!Q219*10_レジデュー_MEscope!$W$40)</f>
        <v/>
      </c>
      <c r="K96" s="2"/>
      <c r="L96" s="2"/>
      <c r="M96" s="2"/>
      <c r="N96" s="2"/>
    </row>
    <row r="97" customFormat="false" ht="15" hidden="false" customHeight="false" outlineLevel="0" collapsed="false">
      <c r="A97" s="88" t="str">
        <f aca="false">IF(03_FRFデータ貼付!B97="","",03_FRFデータ貼付!A97)</f>
        <v/>
      </c>
      <c r="B97" s="89" t="str">
        <f aca="false">IF(03_FRFデータ貼付!B97="","",03_FRFデータ貼付!B97)</f>
        <v/>
      </c>
      <c r="C97" s="71" t="str">
        <f aca="false">IF(03_FRFデータ貼付!B97="","",03_FRFデータ貼付!C97)</f>
        <v/>
      </c>
      <c r="D97" s="71" t="str">
        <f aca="false">IF(03_FRFデータ貼付!B97="","",03_FRFデータ貼付!D97)</f>
        <v/>
      </c>
      <c r="E97" s="71" t="str">
        <f aca="false">IF(B97="","",I97-C97)</f>
        <v/>
      </c>
      <c r="F97" s="71" t="str">
        <f aca="false">IF(B97="","",J97-D97)</f>
        <v/>
      </c>
      <c r="G97" s="143" t="str">
        <f aca="false">IF(B97="","",SQRT(C97^2+D97^2))</f>
        <v/>
      </c>
      <c r="H97" s="144" t="str">
        <f aca="false">IF(B97="","",SQRT(I97^2+J97^2))</f>
        <v/>
      </c>
      <c r="I97" s="145" t="str">
        <f aca="false">IF(03_FRFデータ貼付!B97="","",10_レジデュー_MEscope!N100*10_レジデュー_MEscope!$W$37+10_レジデュー_MEscope!O100*10_レジデュー_MEscope!$W$38+10_レジデュー_MEscope!P100*10_レジデュー_MEscope!$W$39+10_レジデュー_MEscope!Q100*10_レジデュー_MEscope!$W$40+10_レジデュー_MEscope!R100*10_レジデュー_MEscope!$W$41+10_レジデュー_MEscope!S100*10_レジデュー_MEscope!$W$42)</f>
        <v/>
      </c>
      <c r="J97" s="145" t="str">
        <f aca="false">IF(03_FRFデータ貼付!B97="","",10_レジデュー_MEscope!N220*10_レジデュー_MEscope!$W$37+10_レジデュー_MEscope!O220*10_レジデュー_MEscope!$W$38+10_レジデュー_MEscope!P220*10_レジデュー_MEscope!$W$39+10_レジデュー_MEscope!Q220*10_レジデュー_MEscope!$W$40)</f>
        <v/>
      </c>
      <c r="K97" s="2"/>
      <c r="L97" s="2"/>
      <c r="M97" s="2"/>
      <c r="N97" s="2"/>
    </row>
    <row r="98" customFormat="false" ht="15" hidden="false" customHeight="false" outlineLevel="0" collapsed="false">
      <c r="A98" s="88" t="str">
        <f aca="false">IF(03_FRFデータ貼付!B98="","",03_FRFデータ貼付!A98)</f>
        <v/>
      </c>
      <c r="B98" s="89" t="str">
        <f aca="false">IF(03_FRFデータ貼付!B98="","",03_FRFデータ貼付!B98)</f>
        <v/>
      </c>
      <c r="C98" s="71" t="str">
        <f aca="false">IF(03_FRFデータ貼付!B98="","",03_FRFデータ貼付!C98)</f>
        <v/>
      </c>
      <c r="D98" s="71" t="str">
        <f aca="false">IF(03_FRFデータ貼付!B98="","",03_FRFデータ貼付!D98)</f>
        <v/>
      </c>
      <c r="E98" s="71" t="str">
        <f aca="false">IF(B98="","",I98-C98)</f>
        <v/>
      </c>
      <c r="F98" s="71" t="str">
        <f aca="false">IF(B98="","",J98-D98)</f>
        <v/>
      </c>
      <c r="G98" s="143" t="str">
        <f aca="false">IF(B98="","",SQRT(C98^2+D98^2))</f>
        <v/>
      </c>
      <c r="H98" s="144" t="str">
        <f aca="false">IF(B98="","",SQRT(I98^2+J98^2))</f>
        <v/>
      </c>
      <c r="I98" s="145" t="str">
        <f aca="false">IF(03_FRFデータ貼付!B98="","",10_レジデュー_MEscope!N101*10_レジデュー_MEscope!$W$37+10_レジデュー_MEscope!O101*10_レジデュー_MEscope!$W$38+10_レジデュー_MEscope!P101*10_レジデュー_MEscope!$W$39+10_レジデュー_MEscope!Q101*10_レジデュー_MEscope!$W$40+10_レジデュー_MEscope!R101*10_レジデュー_MEscope!$W$41+10_レジデュー_MEscope!S101*10_レジデュー_MEscope!$W$42)</f>
        <v/>
      </c>
      <c r="J98" s="145" t="str">
        <f aca="false">IF(03_FRFデータ貼付!B98="","",10_レジデュー_MEscope!N221*10_レジデュー_MEscope!$W$37+10_レジデュー_MEscope!O221*10_レジデュー_MEscope!$W$38+10_レジデュー_MEscope!P221*10_レジデュー_MEscope!$W$39+10_レジデュー_MEscope!Q221*10_レジデュー_MEscope!$W$40)</f>
        <v/>
      </c>
      <c r="K98" s="2"/>
      <c r="L98" s="2"/>
      <c r="M98" s="2"/>
      <c r="N98" s="2"/>
    </row>
    <row r="99" customFormat="false" ht="15" hidden="false" customHeight="false" outlineLevel="0" collapsed="false">
      <c r="A99" s="88" t="str">
        <f aca="false">IF(03_FRFデータ貼付!B99="","",03_FRFデータ貼付!A99)</f>
        <v/>
      </c>
      <c r="B99" s="89" t="str">
        <f aca="false">IF(03_FRFデータ貼付!B99="","",03_FRFデータ貼付!B99)</f>
        <v/>
      </c>
      <c r="C99" s="71" t="str">
        <f aca="false">IF(03_FRFデータ貼付!B99="","",03_FRFデータ貼付!C99)</f>
        <v/>
      </c>
      <c r="D99" s="71" t="str">
        <f aca="false">IF(03_FRFデータ貼付!B99="","",03_FRFデータ貼付!D99)</f>
        <v/>
      </c>
      <c r="E99" s="71" t="str">
        <f aca="false">IF(B99="","",I99-C99)</f>
        <v/>
      </c>
      <c r="F99" s="71" t="str">
        <f aca="false">IF(B99="","",J99-D99)</f>
        <v/>
      </c>
      <c r="G99" s="143" t="str">
        <f aca="false">IF(B99="","",SQRT(C99^2+D99^2))</f>
        <v/>
      </c>
      <c r="H99" s="144" t="str">
        <f aca="false">IF(B99="","",SQRT(I99^2+J99^2))</f>
        <v/>
      </c>
      <c r="I99" s="145" t="str">
        <f aca="false">IF(03_FRFデータ貼付!B99="","",10_レジデュー_MEscope!N102*10_レジデュー_MEscope!$W$37+10_レジデュー_MEscope!O102*10_レジデュー_MEscope!$W$38+10_レジデュー_MEscope!P102*10_レジデュー_MEscope!$W$39+10_レジデュー_MEscope!Q102*10_レジデュー_MEscope!$W$40+10_レジデュー_MEscope!R102*10_レジデュー_MEscope!$W$41+10_レジデュー_MEscope!S102*10_レジデュー_MEscope!$W$42)</f>
        <v/>
      </c>
      <c r="J99" s="145" t="str">
        <f aca="false">IF(03_FRFデータ貼付!B99="","",10_レジデュー_MEscope!N222*10_レジデュー_MEscope!$W$37+10_レジデュー_MEscope!O222*10_レジデュー_MEscope!$W$38+10_レジデュー_MEscope!P222*10_レジデュー_MEscope!$W$39+10_レジデュー_MEscope!Q222*10_レジデュー_MEscope!$W$40)</f>
        <v/>
      </c>
      <c r="K99" s="2"/>
      <c r="L99" s="2"/>
      <c r="M99" s="2"/>
      <c r="N99" s="2"/>
    </row>
    <row r="100" customFormat="false" ht="15" hidden="false" customHeight="false" outlineLevel="0" collapsed="false">
      <c r="A100" s="88" t="str">
        <f aca="false">IF(03_FRFデータ貼付!B100="","",03_FRFデータ貼付!A100)</f>
        <v/>
      </c>
      <c r="B100" s="89" t="str">
        <f aca="false">IF(03_FRFデータ貼付!B100="","",03_FRFデータ貼付!B100)</f>
        <v/>
      </c>
      <c r="C100" s="71" t="str">
        <f aca="false">IF(03_FRFデータ貼付!B100="","",03_FRFデータ貼付!C100)</f>
        <v/>
      </c>
      <c r="D100" s="71" t="str">
        <f aca="false">IF(03_FRFデータ貼付!B100="","",03_FRFデータ貼付!D100)</f>
        <v/>
      </c>
      <c r="E100" s="71" t="str">
        <f aca="false">IF(B100="","",I100-C100)</f>
        <v/>
      </c>
      <c r="F100" s="71" t="str">
        <f aca="false">IF(B100="","",J100-D100)</f>
        <v/>
      </c>
      <c r="G100" s="143" t="str">
        <f aca="false">IF(B100="","",SQRT(C100^2+D100^2))</f>
        <v/>
      </c>
      <c r="H100" s="144" t="str">
        <f aca="false">IF(B100="","",SQRT(I100^2+J100^2))</f>
        <v/>
      </c>
      <c r="I100" s="145" t="str">
        <f aca="false">IF(03_FRFデータ貼付!B100="","",10_レジデュー_MEscope!N103*10_レジデュー_MEscope!$W$37+10_レジデュー_MEscope!O103*10_レジデュー_MEscope!$W$38+10_レジデュー_MEscope!P103*10_レジデュー_MEscope!$W$39+10_レジデュー_MEscope!Q103*10_レジデュー_MEscope!$W$40+10_レジデュー_MEscope!R103*10_レジデュー_MEscope!$W$41+10_レジデュー_MEscope!S103*10_レジデュー_MEscope!$W$42)</f>
        <v/>
      </c>
      <c r="J100" s="145" t="str">
        <f aca="false">IF(03_FRFデータ貼付!B100="","",10_レジデュー_MEscope!N223*10_レジデュー_MEscope!$W$37+10_レジデュー_MEscope!O223*10_レジデュー_MEscope!$W$38+10_レジデュー_MEscope!P223*10_レジデュー_MEscope!$W$39+10_レジデュー_MEscope!Q223*10_レジデュー_MEscope!$W$40)</f>
        <v/>
      </c>
      <c r="K100" s="2"/>
      <c r="L100" s="2"/>
      <c r="M100" s="2"/>
      <c r="N100" s="2"/>
    </row>
    <row r="101" customFormat="false" ht="15" hidden="false" customHeight="false" outlineLevel="0" collapsed="false">
      <c r="A101" s="88" t="str">
        <f aca="false">IF(03_FRFデータ貼付!B101="","",03_FRFデータ貼付!A101)</f>
        <v/>
      </c>
      <c r="B101" s="89" t="str">
        <f aca="false">IF(03_FRFデータ貼付!B101="","",03_FRFデータ貼付!B101)</f>
        <v/>
      </c>
      <c r="C101" s="71" t="str">
        <f aca="false">IF(03_FRFデータ貼付!B101="","",03_FRFデータ貼付!C101)</f>
        <v/>
      </c>
      <c r="D101" s="71" t="str">
        <f aca="false">IF(03_FRFデータ貼付!B101="","",03_FRFデータ貼付!D101)</f>
        <v/>
      </c>
      <c r="E101" s="71" t="str">
        <f aca="false">IF(B101="","",I101-C101)</f>
        <v/>
      </c>
      <c r="F101" s="71" t="str">
        <f aca="false">IF(B101="","",J101-D101)</f>
        <v/>
      </c>
      <c r="G101" s="143" t="str">
        <f aca="false">IF(B101="","",SQRT(C101^2+D101^2))</f>
        <v/>
      </c>
      <c r="H101" s="144" t="str">
        <f aca="false">IF(B101="","",SQRT(I101^2+J101^2))</f>
        <v/>
      </c>
      <c r="I101" s="145" t="str">
        <f aca="false">IF(03_FRFデータ貼付!B101="","",10_レジデュー_MEscope!N104*10_レジデュー_MEscope!$W$37+10_レジデュー_MEscope!O104*10_レジデュー_MEscope!$W$38+10_レジデュー_MEscope!P104*10_レジデュー_MEscope!$W$39+10_レジデュー_MEscope!Q104*10_レジデュー_MEscope!$W$40+10_レジデュー_MEscope!R104*10_レジデュー_MEscope!$W$41+10_レジデュー_MEscope!S104*10_レジデュー_MEscope!$W$42)</f>
        <v/>
      </c>
      <c r="J101" s="145" t="str">
        <f aca="false">IF(03_FRFデータ貼付!B101="","",10_レジデュー_MEscope!N224*10_レジデュー_MEscope!$W$37+10_レジデュー_MEscope!O224*10_レジデュー_MEscope!$W$38+10_レジデュー_MEscope!P224*10_レジデュー_MEscope!$W$39+10_レジデュー_MEscope!Q224*10_レジデュー_MEscope!$W$40)</f>
        <v/>
      </c>
      <c r="K101" s="2"/>
      <c r="L101" s="2"/>
      <c r="M101" s="2"/>
      <c r="N101" s="2"/>
    </row>
    <row r="102" customFormat="false" ht="15" hidden="false" customHeight="false" outlineLevel="0" collapsed="false">
      <c r="A102" s="88" t="str">
        <f aca="false">IF(03_FRFデータ貼付!B102="","",03_FRFデータ貼付!A102)</f>
        <v/>
      </c>
      <c r="B102" s="89" t="str">
        <f aca="false">IF(03_FRFデータ貼付!B102="","",03_FRFデータ貼付!B102)</f>
        <v/>
      </c>
      <c r="C102" s="71" t="str">
        <f aca="false">IF(03_FRFデータ貼付!B102="","",03_FRFデータ貼付!C102)</f>
        <v/>
      </c>
      <c r="D102" s="71" t="str">
        <f aca="false">IF(03_FRFデータ貼付!B102="","",03_FRFデータ貼付!D102)</f>
        <v/>
      </c>
      <c r="E102" s="71" t="str">
        <f aca="false">IF(B102="","",I102-C102)</f>
        <v/>
      </c>
      <c r="F102" s="71" t="str">
        <f aca="false">IF(B102="","",J102-D102)</f>
        <v/>
      </c>
      <c r="G102" s="143" t="str">
        <f aca="false">IF(B102="","",SQRT(C102^2+D102^2))</f>
        <v/>
      </c>
      <c r="H102" s="144" t="str">
        <f aca="false">IF(B102="","",SQRT(I102^2+J102^2))</f>
        <v/>
      </c>
      <c r="I102" s="145" t="str">
        <f aca="false">IF(03_FRFデータ貼付!B102="","",10_レジデュー_MEscope!N105*10_レジデュー_MEscope!$W$37+10_レジデュー_MEscope!O105*10_レジデュー_MEscope!$W$38+10_レジデュー_MEscope!P105*10_レジデュー_MEscope!$W$39+10_レジデュー_MEscope!Q105*10_レジデュー_MEscope!$W$40+10_レジデュー_MEscope!R105*10_レジデュー_MEscope!$W$41+10_レジデュー_MEscope!S105*10_レジデュー_MEscope!$W$42)</f>
        <v/>
      </c>
      <c r="J102" s="145" t="str">
        <f aca="false">IF(03_FRFデータ貼付!B102="","",10_レジデュー_MEscope!N225*10_レジデュー_MEscope!$W$37+10_レジデュー_MEscope!O225*10_レジデュー_MEscope!$W$38+10_レジデュー_MEscope!P225*10_レジデュー_MEscope!$W$39+10_レジデュー_MEscope!Q225*10_レジデュー_MEscope!$W$40)</f>
        <v/>
      </c>
      <c r="K102" s="2"/>
      <c r="L102" s="2"/>
      <c r="M102" s="2"/>
      <c r="N102" s="2"/>
    </row>
    <row r="103" customFormat="false" ht="15" hidden="false" customHeight="false" outlineLevel="0" collapsed="false">
      <c r="A103" s="88" t="str">
        <f aca="false">IF(03_FRFデータ貼付!B103="","",03_FRFデータ貼付!A103)</f>
        <v/>
      </c>
      <c r="B103" s="89" t="str">
        <f aca="false">IF(03_FRFデータ貼付!B103="","",03_FRFデータ貼付!B103)</f>
        <v/>
      </c>
      <c r="C103" s="71" t="str">
        <f aca="false">IF(03_FRFデータ貼付!B103="","",03_FRFデータ貼付!C103)</f>
        <v/>
      </c>
      <c r="D103" s="71" t="str">
        <f aca="false">IF(03_FRFデータ貼付!B103="","",03_FRFデータ貼付!D103)</f>
        <v/>
      </c>
      <c r="E103" s="71" t="str">
        <f aca="false">IF(B103="","",I103-C103)</f>
        <v/>
      </c>
      <c r="F103" s="71" t="str">
        <f aca="false">IF(B103="","",J103-D103)</f>
        <v/>
      </c>
      <c r="G103" s="143" t="str">
        <f aca="false">IF(B103="","",SQRT(C103^2+D103^2))</f>
        <v/>
      </c>
      <c r="H103" s="144" t="str">
        <f aca="false">IF(B103="","",SQRT(I103^2+J103^2))</f>
        <v/>
      </c>
      <c r="I103" s="145" t="str">
        <f aca="false">IF(03_FRFデータ貼付!B103="","",10_レジデュー_MEscope!N106*10_レジデュー_MEscope!$W$37+10_レジデュー_MEscope!O106*10_レジデュー_MEscope!$W$38+10_レジデュー_MEscope!P106*10_レジデュー_MEscope!$W$39+10_レジデュー_MEscope!Q106*10_レジデュー_MEscope!$W$40+10_レジデュー_MEscope!R106*10_レジデュー_MEscope!$W$41+10_レジデュー_MEscope!S106*10_レジデュー_MEscope!$W$42)</f>
        <v/>
      </c>
      <c r="J103" s="145" t="str">
        <f aca="false">IF(03_FRFデータ貼付!B103="","",10_レジデュー_MEscope!N226*10_レジデュー_MEscope!$W$37+10_レジデュー_MEscope!O226*10_レジデュー_MEscope!$W$38+10_レジデュー_MEscope!P226*10_レジデュー_MEscope!$W$39+10_レジデュー_MEscope!Q226*10_レジデュー_MEscope!$W$40)</f>
        <v/>
      </c>
      <c r="K103" s="2"/>
      <c r="L103" s="2"/>
      <c r="M103" s="2"/>
      <c r="N103" s="2"/>
    </row>
    <row r="104" customFormat="false" ht="15" hidden="false" customHeight="false" outlineLevel="0" collapsed="false">
      <c r="A104" s="88" t="str">
        <f aca="false">IF(03_FRFデータ貼付!B104="","",03_FRFデータ貼付!A104)</f>
        <v/>
      </c>
      <c r="B104" s="89" t="str">
        <f aca="false">IF(03_FRFデータ貼付!B104="","",03_FRFデータ貼付!B104)</f>
        <v/>
      </c>
      <c r="C104" s="71" t="str">
        <f aca="false">IF(03_FRFデータ貼付!B104="","",03_FRFデータ貼付!C104)</f>
        <v/>
      </c>
      <c r="D104" s="71" t="str">
        <f aca="false">IF(03_FRFデータ貼付!B104="","",03_FRFデータ貼付!D104)</f>
        <v/>
      </c>
      <c r="E104" s="71" t="str">
        <f aca="false">IF(B104="","",I104-C104)</f>
        <v/>
      </c>
      <c r="F104" s="71" t="str">
        <f aca="false">IF(B104="","",J104-D104)</f>
        <v/>
      </c>
      <c r="G104" s="143" t="str">
        <f aca="false">IF(B104="","",SQRT(C104^2+D104^2))</f>
        <v/>
      </c>
      <c r="H104" s="144" t="str">
        <f aca="false">IF(B104="","",SQRT(I104^2+J104^2))</f>
        <v/>
      </c>
      <c r="I104" s="145" t="str">
        <f aca="false">IF(03_FRFデータ貼付!B104="","",10_レジデュー_MEscope!N107*10_レジデュー_MEscope!$W$37+10_レジデュー_MEscope!O107*10_レジデュー_MEscope!$W$38+10_レジデュー_MEscope!P107*10_レジデュー_MEscope!$W$39+10_レジデュー_MEscope!Q107*10_レジデュー_MEscope!$W$40+10_レジデュー_MEscope!R107*10_レジデュー_MEscope!$W$41+10_レジデュー_MEscope!S107*10_レジデュー_MEscope!$W$42)</f>
        <v/>
      </c>
      <c r="J104" s="145" t="str">
        <f aca="false">IF(03_FRFデータ貼付!B104="","",10_レジデュー_MEscope!N227*10_レジデュー_MEscope!$W$37+10_レジデュー_MEscope!O227*10_レジデュー_MEscope!$W$38+10_レジデュー_MEscope!P227*10_レジデュー_MEscope!$W$39+10_レジデュー_MEscope!Q227*10_レジデュー_MEscope!$W$40)</f>
        <v/>
      </c>
      <c r="K104" s="2"/>
      <c r="L104" s="2"/>
      <c r="M104" s="2"/>
      <c r="N104" s="2"/>
    </row>
    <row r="105" customFormat="false" ht="15" hidden="false" customHeight="false" outlineLevel="0" collapsed="false">
      <c r="A105" s="88" t="str">
        <f aca="false">IF(03_FRFデータ貼付!B105="","",03_FRFデータ貼付!A105)</f>
        <v/>
      </c>
      <c r="B105" s="89" t="str">
        <f aca="false">IF(03_FRFデータ貼付!B105="","",03_FRFデータ貼付!B105)</f>
        <v/>
      </c>
      <c r="C105" s="71" t="str">
        <f aca="false">IF(03_FRFデータ貼付!B105="","",03_FRFデータ貼付!C105)</f>
        <v/>
      </c>
      <c r="D105" s="71" t="str">
        <f aca="false">IF(03_FRFデータ貼付!B105="","",03_FRFデータ貼付!D105)</f>
        <v/>
      </c>
      <c r="E105" s="71" t="str">
        <f aca="false">IF(B105="","",I105-C105)</f>
        <v/>
      </c>
      <c r="F105" s="71" t="str">
        <f aca="false">IF(B105="","",J105-D105)</f>
        <v/>
      </c>
      <c r="G105" s="143" t="str">
        <f aca="false">IF(B105="","",SQRT(C105^2+D105^2))</f>
        <v/>
      </c>
      <c r="H105" s="144" t="str">
        <f aca="false">IF(B105="","",SQRT(I105^2+J105^2))</f>
        <v/>
      </c>
      <c r="I105" s="145" t="str">
        <f aca="false">IF(03_FRFデータ貼付!B105="","",10_レジデュー_MEscope!N108*10_レジデュー_MEscope!$W$37+10_レジデュー_MEscope!O108*10_レジデュー_MEscope!$W$38+10_レジデュー_MEscope!P108*10_レジデュー_MEscope!$W$39+10_レジデュー_MEscope!Q108*10_レジデュー_MEscope!$W$40+10_レジデュー_MEscope!R108*10_レジデュー_MEscope!$W$41+10_レジデュー_MEscope!S108*10_レジデュー_MEscope!$W$42)</f>
        <v/>
      </c>
      <c r="J105" s="145" t="str">
        <f aca="false">IF(03_FRFデータ貼付!B105="","",10_レジデュー_MEscope!N228*10_レジデュー_MEscope!$W$37+10_レジデュー_MEscope!O228*10_レジデュー_MEscope!$W$38+10_レジデュー_MEscope!P228*10_レジデュー_MEscope!$W$39+10_レジデュー_MEscope!Q228*10_レジデュー_MEscope!$W$40)</f>
        <v/>
      </c>
      <c r="K105" s="2"/>
      <c r="L105" s="2"/>
      <c r="M105" s="2"/>
      <c r="N105" s="2"/>
    </row>
    <row r="106" customFormat="false" ht="15" hidden="false" customHeight="false" outlineLevel="0" collapsed="false">
      <c r="A106" s="88" t="str">
        <f aca="false">IF(03_FRFデータ貼付!B106="","",03_FRFデータ貼付!A106)</f>
        <v/>
      </c>
      <c r="B106" s="89" t="str">
        <f aca="false">IF(03_FRFデータ貼付!B106="","",03_FRFデータ貼付!B106)</f>
        <v/>
      </c>
      <c r="C106" s="71" t="str">
        <f aca="false">IF(03_FRFデータ貼付!B106="","",03_FRFデータ貼付!C106)</f>
        <v/>
      </c>
      <c r="D106" s="71" t="str">
        <f aca="false">IF(03_FRFデータ貼付!B106="","",03_FRFデータ貼付!D106)</f>
        <v/>
      </c>
      <c r="E106" s="71" t="str">
        <f aca="false">IF(B106="","",I106-C106)</f>
        <v/>
      </c>
      <c r="F106" s="71" t="str">
        <f aca="false">IF(B106="","",J106-D106)</f>
        <v/>
      </c>
      <c r="G106" s="143" t="str">
        <f aca="false">IF(B106="","",SQRT(C106^2+D106^2))</f>
        <v/>
      </c>
      <c r="H106" s="144" t="str">
        <f aca="false">IF(B106="","",SQRT(I106^2+J106^2))</f>
        <v/>
      </c>
      <c r="I106" s="145" t="str">
        <f aca="false">IF(03_FRFデータ貼付!B106="","",10_レジデュー_MEscope!N109*10_レジデュー_MEscope!$W$37+10_レジデュー_MEscope!O109*10_レジデュー_MEscope!$W$38+10_レジデュー_MEscope!P109*10_レジデュー_MEscope!$W$39+10_レジデュー_MEscope!Q109*10_レジデュー_MEscope!$W$40+10_レジデュー_MEscope!R109*10_レジデュー_MEscope!$W$41+10_レジデュー_MEscope!S109*10_レジデュー_MEscope!$W$42)</f>
        <v/>
      </c>
      <c r="J106" s="145" t="str">
        <f aca="false">IF(03_FRFデータ貼付!B106="","",10_レジデュー_MEscope!N229*10_レジデュー_MEscope!$W$37+10_レジデュー_MEscope!O229*10_レジデュー_MEscope!$W$38+10_レジデュー_MEscope!P229*10_レジデュー_MEscope!$W$39+10_レジデュー_MEscope!Q229*10_レジデュー_MEscope!$W$40)</f>
        <v/>
      </c>
      <c r="K106" s="2"/>
      <c r="L106" s="2"/>
      <c r="M106" s="2"/>
      <c r="N106" s="2"/>
    </row>
    <row r="107" customFormat="false" ht="15" hidden="false" customHeight="false" outlineLevel="0" collapsed="false">
      <c r="A107" s="88" t="str">
        <f aca="false">IF(03_FRFデータ貼付!B107="","",03_FRFデータ貼付!A107)</f>
        <v/>
      </c>
      <c r="B107" s="89" t="str">
        <f aca="false">IF(03_FRFデータ貼付!B107="","",03_FRFデータ貼付!B107)</f>
        <v/>
      </c>
      <c r="C107" s="71" t="str">
        <f aca="false">IF(03_FRFデータ貼付!B107="","",03_FRFデータ貼付!C107)</f>
        <v/>
      </c>
      <c r="D107" s="71" t="str">
        <f aca="false">IF(03_FRFデータ貼付!B107="","",03_FRFデータ貼付!D107)</f>
        <v/>
      </c>
      <c r="E107" s="71" t="str">
        <f aca="false">IF(B107="","",I107-C107)</f>
        <v/>
      </c>
      <c r="F107" s="71" t="str">
        <f aca="false">IF(B107="","",J107-D107)</f>
        <v/>
      </c>
      <c r="G107" s="143" t="str">
        <f aca="false">IF(B107="","",SQRT(C107^2+D107^2))</f>
        <v/>
      </c>
      <c r="H107" s="144" t="str">
        <f aca="false">IF(B107="","",SQRT(I107^2+J107^2))</f>
        <v/>
      </c>
      <c r="I107" s="145" t="str">
        <f aca="false">IF(03_FRFデータ貼付!B107="","",10_レジデュー_MEscope!N110*10_レジデュー_MEscope!$W$37+10_レジデュー_MEscope!O110*10_レジデュー_MEscope!$W$38+10_レジデュー_MEscope!P110*10_レジデュー_MEscope!$W$39+10_レジデュー_MEscope!Q110*10_レジデュー_MEscope!$W$40+10_レジデュー_MEscope!R110*10_レジデュー_MEscope!$W$41+10_レジデュー_MEscope!S110*10_レジデュー_MEscope!$W$42)</f>
        <v/>
      </c>
      <c r="J107" s="145" t="str">
        <f aca="false">IF(03_FRFデータ貼付!B107="","",10_レジデュー_MEscope!N230*10_レジデュー_MEscope!$W$37+10_レジデュー_MEscope!O230*10_レジデュー_MEscope!$W$38+10_レジデュー_MEscope!P230*10_レジデュー_MEscope!$W$39+10_レジデュー_MEscope!Q230*10_レジデュー_MEscope!$W$40)</f>
        <v/>
      </c>
      <c r="K107" s="2"/>
      <c r="L107" s="2"/>
      <c r="M107" s="2"/>
      <c r="N107" s="2"/>
    </row>
    <row r="108" customFormat="false" ht="15" hidden="false" customHeight="false" outlineLevel="0" collapsed="false">
      <c r="A108" s="88" t="str">
        <f aca="false">IF(03_FRFデータ貼付!B108="","",03_FRFデータ貼付!A108)</f>
        <v/>
      </c>
      <c r="B108" s="89" t="str">
        <f aca="false">IF(03_FRFデータ貼付!B108="","",03_FRFデータ貼付!B108)</f>
        <v/>
      </c>
      <c r="C108" s="71" t="str">
        <f aca="false">IF(03_FRFデータ貼付!B108="","",03_FRFデータ貼付!C108)</f>
        <v/>
      </c>
      <c r="D108" s="71" t="str">
        <f aca="false">IF(03_FRFデータ貼付!B108="","",03_FRFデータ貼付!D108)</f>
        <v/>
      </c>
      <c r="E108" s="71" t="str">
        <f aca="false">IF(B108="","",I108-C108)</f>
        <v/>
      </c>
      <c r="F108" s="71" t="str">
        <f aca="false">IF(B108="","",J108-D108)</f>
        <v/>
      </c>
      <c r="G108" s="143" t="str">
        <f aca="false">IF(B108="","",SQRT(C108^2+D108^2))</f>
        <v/>
      </c>
      <c r="H108" s="144" t="str">
        <f aca="false">IF(B108="","",SQRT(I108^2+J108^2))</f>
        <v/>
      </c>
      <c r="I108" s="145" t="str">
        <f aca="false">IF(03_FRFデータ貼付!B108="","",10_レジデュー_MEscope!N111*10_レジデュー_MEscope!$W$37+10_レジデュー_MEscope!O111*10_レジデュー_MEscope!$W$38+10_レジデュー_MEscope!P111*10_レジデュー_MEscope!$W$39+10_レジデュー_MEscope!Q111*10_レジデュー_MEscope!$W$40+10_レジデュー_MEscope!R111*10_レジデュー_MEscope!$W$41+10_レジデュー_MEscope!S111*10_レジデュー_MEscope!$W$42)</f>
        <v/>
      </c>
      <c r="J108" s="145" t="str">
        <f aca="false">IF(03_FRFデータ貼付!B108="","",10_レジデュー_MEscope!N231*10_レジデュー_MEscope!$W$37+10_レジデュー_MEscope!O231*10_レジデュー_MEscope!$W$38+10_レジデュー_MEscope!P231*10_レジデュー_MEscope!$W$39+10_レジデュー_MEscope!Q231*10_レジデュー_MEscope!$W$40)</f>
        <v/>
      </c>
      <c r="K108" s="2"/>
      <c r="L108" s="2"/>
      <c r="M108" s="2"/>
      <c r="N108" s="2"/>
    </row>
    <row r="109" customFormat="false" ht="15" hidden="false" customHeight="false" outlineLevel="0" collapsed="false">
      <c r="A109" s="88" t="str">
        <f aca="false">IF(03_FRFデータ貼付!B109="","",03_FRFデータ貼付!A109)</f>
        <v/>
      </c>
      <c r="B109" s="89" t="str">
        <f aca="false">IF(03_FRFデータ貼付!B109="","",03_FRFデータ貼付!B109)</f>
        <v/>
      </c>
      <c r="C109" s="71" t="str">
        <f aca="false">IF(03_FRFデータ貼付!B109="","",03_FRFデータ貼付!C109)</f>
        <v/>
      </c>
      <c r="D109" s="71" t="str">
        <f aca="false">IF(03_FRFデータ貼付!B109="","",03_FRFデータ貼付!D109)</f>
        <v/>
      </c>
      <c r="E109" s="71" t="str">
        <f aca="false">IF(B109="","",I109-C109)</f>
        <v/>
      </c>
      <c r="F109" s="71" t="str">
        <f aca="false">IF(B109="","",J109-D109)</f>
        <v/>
      </c>
      <c r="G109" s="143" t="str">
        <f aca="false">IF(B109="","",SQRT(C109^2+D109^2))</f>
        <v/>
      </c>
      <c r="H109" s="144" t="str">
        <f aca="false">IF(B109="","",SQRT(I109^2+J109^2))</f>
        <v/>
      </c>
      <c r="I109" s="145" t="str">
        <f aca="false">IF(03_FRFデータ貼付!B109="","",10_レジデュー_MEscope!N112*10_レジデュー_MEscope!$W$37+10_レジデュー_MEscope!O112*10_レジデュー_MEscope!$W$38+10_レジデュー_MEscope!P112*10_レジデュー_MEscope!$W$39+10_レジデュー_MEscope!Q112*10_レジデュー_MEscope!$W$40+10_レジデュー_MEscope!R112*10_レジデュー_MEscope!$W$41+10_レジデュー_MEscope!S112*10_レジデュー_MEscope!$W$42)</f>
        <v/>
      </c>
      <c r="J109" s="145" t="str">
        <f aca="false">IF(03_FRFデータ貼付!B109="","",10_レジデュー_MEscope!N232*10_レジデュー_MEscope!$W$37+10_レジデュー_MEscope!O232*10_レジデュー_MEscope!$W$38+10_レジデュー_MEscope!P232*10_レジデュー_MEscope!$W$39+10_レジデュー_MEscope!Q232*10_レジデュー_MEscope!$W$40)</f>
        <v/>
      </c>
      <c r="K109" s="2"/>
      <c r="L109" s="2"/>
      <c r="M109" s="2"/>
      <c r="N109" s="2"/>
    </row>
    <row r="110" customFormat="false" ht="15" hidden="false" customHeight="false" outlineLevel="0" collapsed="false">
      <c r="A110" s="88" t="str">
        <f aca="false">IF(03_FRFデータ貼付!B110="","",03_FRFデータ貼付!A110)</f>
        <v/>
      </c>
      <c r="B110" s="89" t="str">
        <f aca="false">IF(03_FRFデータ貼付!B110="","",03_FRFデータ貼付!B110)</f>
        <v/>
      </c>
      <c r="C110" s="71" t="str">
        <f aca="false">IF(03_FRFデータ貼付!B110="","",03_FRFデータ貼付!C110)</f>
        <v/>
      </c>
      <c r="D110" s="71" t="str">
        <f aca="false">IF(03_FRFデータ貼付!B110="","",03_FRFデータ貼付!D110)</f>
        <v/>
      </c>
      <c r="E110" s="71" t="str">
        <f aca="false">IF(B110="","",I110-C110)</f>
        <v/>
      </c>
      <c r="F110" s="71" t="str">
        <f aca="false">IF(B110="","",J110-D110)</f>
        <v/>
      </c>
      <c r="G110" s="143" t="str">
        <f aca="false">IF(B110="","",SQRT(C110^2+D110^2))</f>
        <v/>
      </c>
      <c r="H110" s="144" t="str">
        <f aca="false">IF(B110="","",SQRT(I110^2+J110^2))</f>
        <v/>
      </c>
      <c r="I110" s="145" t="str">
        <f aca="false">IF(03_FRFデータ貼付!B110="","",10_レジデュー_MEscope!N113*10_レジデュー_MEscope!$W$37+10_レジデュー_MEscope!O113*10_レジデュー_MEscope!$W$38+10_レジデュー_MEscope!P113*10_レジデュー_MEscope!$W$39+10_レジデュー_MEscope!Q113*10_レジデュー_MEscope!$W$40+10_レジデュー_MEscope!R113*10_レジデュー_MEscope!$W$41+10_レジデュー_MEscope!S113*10_レジデュー_MEscope!$W$42)</f>
        <v/>
      </c>
      <c r="J110" s="145" t="str">
        <f aca="false">IF(03_FRFデータ貼付!B110="","",10_レジデュー_MEscope!N233*10_レジデュー_MEscope!$W$37+10_レジデュー_MEscope!O233*10_レジデュー_MEscope!$W$38+10_レジデュー_MEscope!P233*10_レジデュー_MEscope!$W$39+10_レジデュー_MEscope!Q233*10_レジデュー_MEscope!$W$40)</f>
        <v/>
      </c>
      <c r="K110" s="2"/>
      <c r="L110" s="2"/>
      <c r="M110" s="2"/>
      <c r="N110" s="2"/>
    </row>
    <row r="111" customFormat="false" ht="15" hidden="false" customHeight="false" outlineLevel="0" collapsed="false">
      <c r="A111" s="88" t="str">
        <f aca="false">IF(03_FRFデータ貼付!B111="","",03_FRFデータ貼付!A111)</f>
        <v/>
      </c>
      <c r="B111" s="89" t="str">
        <f aca="false">IF(03_FRFデータ貼付!B111="","",03_FRFデータ貼付!B111)</f>
        <v/>
      </c>
      <c r="C111" s="71" t="str">
        <f aca="false">IF(03_FRFデータ貼付!B111="","",03_FRFデータ貼付!C111)</f>
        <v/>
      </c>
      <c r="D111" s="71" t="str">
        <f aca="false">IF(03_FRFデータ貼付!B111="","",03_FRFデータ貼付!D111)</f>
        <v/>
      </c>
      <c r="E111" s="71" t="str">
        <f aca="false">IF(B111="","",I111-C111)</f>
        <v/>
      </c>
      <c r="F111" s="71" t="str">
        <f aca="false">IF(B111="","",J111-D111)</f>
        <v/>
      </c>
      <c r="G111" s="143" t="str">
        <f aca="false">IF(B111="","",SQRT(C111^2+D111^2))</f>
        <v/>
      </c>
      <c r="H111" s="144" t="str">
        <f aca="false">IF(B111="","",SQRT(I111^2+J111^2))</f>
        <v/>
      </c>
      <c r="I111" s="145" t="str">
        <f aca="false">IF(03_FRFデータ貼付!B111="","",10_レジデュー_MEscope!N114*10_レジデュー_MEscope!$W$37+10_レジデュー_MEscope!O114*10_レジデュー_MEscope!$W$38+10_レジデュー_MEscope!P114*10_レジデュー_MEscope!$W$39+10_レジデュー_MEscope!Q114*10_レジデュー_MEscope!$W$40+10_レジデュー_MEscope!R114*10_レジデュー_MEscope!$W$41+10_レジデュー_MEscope!S114*10_レジデュー_MEscope!$W$42)</f>
        <v/>
      </c>
      <c r="J111" s="145" t="str">
        <f aca="false">IF(03_FRFデータ貼付!B111="","",10_レジデュー_MEscope!N234*10_レジデュー_MEscope!$W$37+10_レジデュー_MEscope!O234*10_レジデュー_MEscope!$W$38+10_レジデュー_MEscope!P234*10_レジデュー_MEscope!$W$39+10_レジデュー_MEscope!Q234*10_レジデュー_MEscope!$W$40)</f>
        <v/>
      </c>
      <c r="K111" s="2"/>
      <c r="L111" s="2"/>
      <c r="M111" s="2"/>
      <c r="N111" s="2"/>
    </row>
    <row r="112" customFormat="false" ht="15" hidden="false" customHeight="false" outlineLevel="0" collapsed="false">
      <c r="A112" s="88" t="str">
        <f aca="false">IF(03_FRFデータ貼付!B112="","",03_FRFデータ貼付!A112)</f>
        <v/>
      </c>
      <c r="B112" s="89" t="str">
        <f aca="false">IF(03_FRFデータ貼付!B112="","",03_FRFデータ貼付!B112)</f>
        <v/>
      </c>
      <c r="C112" s="71" t="str">
        <f aca="false">IF(03_FRFデータ貼付!B112="","",03_FRFデータ貼付!C112)</f>
        <v/>
      </c>
      <c r="D112" s="71" t="str">
        <f aca="false">IF(03_FRFデータ貼付!B112="","",03_FRFデータ貼付!D112)</f>
        <v/>
      </c>
      <c r="E112" s="71" t="str">
        <f aca="false">IF(B112="","",I112-C112)</f>
        <v/>
      </c>
      <c r="F112" s="71" t="str">
        <f aca="false">IF(B112="","",J112-D112)</f>
        <v/>
      </c>
      <c r="G112" s="143" t="str">
        <f aca="false">IF(B112="","",SQRT(C112^2+D112^2))</f>
        <v/>
      </c>
      <c r="H112" s="144" t="str">
        <f aca="false">IF(B112="","",SQRT(I112^2+J112^2))</f>
        <v/>
      </c>
      <c r="I112" s="145" t="str">
        <f aca="false">IF(03_FRFデータ貼付!B112="","",10_レジデュー_MEscope!N115*10_レジデュー_MEscope!$W$37+10_レジデュー_MEscope!O115*10_レジデュー_MEscope!$W$38+10_レジデュー_MEscope!P115*10_レジデュー_MEscope!$W$39+10_レジデュー_MEscope!Q115*10_レジデュー_MEscope!$W$40+10_レジデュー_MEscope!R115*10_レジデュー_MEscope!$W$41+10_レジデュー_MEscope!S115*10_レジデュー_MEscope!$W$42)</f>
        <v/>
      </c>
      <c r="J112" s="145" t="str">
        <f aca="false">IF(03_FRFデータ貼付!B112="","",10_レジデュー_MEscope!N235*10_レジデュー_MEscope!$W$37+10_レジデュー_MEscope!O235*10_レジデュー_MEscope!$W$38+10_レジデュー_MEscope!P235*10_レジデュー_MEscope!$W$39+10_レジデュー_MEscope!Q235*10_レジデュー_MEscope!$W$40)</f>
        <v/>
      </c>
      <c r="K112" s="2"/>
      <c r="L112" s="2"/>
      <c r="M112" s="2"/>
      <c r="N112" s="2"/>
    </row>
    <row r="113" customFormat="false" ht="15" hidden="false" customHeight="false" outlineLevel="0" collapsed="false">
      <c r="A113" s="88" t="str">
        <f aca="false">IF(03_FRFデータ貼付!B113="","",03_FRFデータ貼付!A113)</f>
        <v/>
      </c>
      <c r="B113" s="89" t="str">
        <f aca="false">IF(03_FRFデータ貼付!B113="","",03_FRFデータ貼付!B113)</f>
        <v/>
      </c>
      <c r="C113" s="71" t="str">
        <f aca="false">IF(03_FRFデータ貼付!B113="","",03_FRFデータ貼付!C113)</f>
        <v/>
      </c>
      <c r="D113" s="71" t="str">
        <f aca="false">IF(03_FRFデータ貼付!B113="","",03_FRFデータ貼付!D113)</f>
        <v/>
      </c>
      <c r="E113" s="71" t="str">
        <f aca="false">IF(B113="","",I113-C113)</f>
        <v/>
      </c>
      <c r="F113" s="71" t="str">
        <f aca="false">IF(B113="","",J113-D113)</f>
        <v/>
      </c>
      <c r="G113" s="143" t="str">
        <f aca="false">IF(B113="","",SQRT(C113^2+D113^2))</f>
        <v/>
      </c>
      <c r="H113" s="144" t="str">
        <f aca="false">IF(B113="","",SQRT(I113^2+J113^2))</f>
        <v/>
      </c>
      <c r="I113" s="145" t="str">
        <f aca="false">IF(03_FRFデータ貼付!B113="","",10_レジデュー_MEscope!N116*10_レジデュー_MEscope!$W$37+10_レジデュー_MEscope!O116*10_レジデュー_MEscope!$W$38+10_レジデュー_MEscope!P116*10_レジデュー_MEscope!$W$39+10_レジデュー_MEscope!Q116*10_レジデュー_MEscope!$W$40+10_レジデュー_MEscope!R116*10_レジデュー_MEscope!$W$41+10_レジデュー_MEscope!S116*10_レジデュー_MEscope!$W$42)</f>
        <v/>
      </c>
      <c r="J113" s="145" t="str">
        <f aca="false">IF(03_FRFデータ貼付!B113="","",10_レジデュー_MEscope!N236*10_レジデュー_MEscope!$W$37+10_レジデュー_MEscope!O236*10_レジデュー_MEscope!$W$38+10_レジデュー_MEscope!P236*10_レジデュー_MEscope!$W$39+10_レジデュー_MEscope!Q236*10_レジデュー_MEscope!$W$40)</f>
        <v/>
      </c>
      <c r="K113" s="2"/>
      <c r="L113" s="2"/>
      <c r="M113" s="2"/>
      <c r="N113" s="2"/>
    </row>
    <row r="114" customFormat="false" ht="15" hidden="false" customHeight="false" outlineLevel="0" collapsed="false">
      <c r="A114" s="88" t="str">
        <f aca="false">IF(03_FRFデータ貼付!B114="","",03_FRFデータ貼付!A114)</f>
        <v/>
      </c>
      <c r="B114" s="89" t="str">
        <f aca="false">IF(03_FRFデータ貼付!B114="","",03_FRFデータ貼付!B114)</f>
        <v/>
      </c>
      <c r="C114" s="71" t="str">
        <f aca="false">IF(03_FRFデータ貼付!B114="","",03_FRFデータ貼付!C114)</f>
        <v/>
      </c>
      <c r="D114" s="71" t="str">
        <f aca="false">IF(03_FRFデータ貼付!B114="","",03_FRFデータ貼付!D114)</f>
        <v/>
      </c>
      <c r="E114" s="71" t="str">
        <f aca="false">IF(B114="","",I114-C114)</f>
        <v/>
      </c>
      <c r="F114" s="71" t="str">
        <f aca="false">IF(B114="","",J114-D114)</f>
        <v/>
      </c>
      <c r="G114" s="143" t="str">
        <f aca="false">IF(B114="","",SQRT(C114^2+D114^2))</f>
        <v/>
      </c>
      <c r="H114" s="144" t="str">
        <f aca="false">IF(B114="","",SQRT(I114^2+J114^2))</f>
        <v/>
      </c>
      <c r="I114" s="145" t="str">
        <f aca="false">IF(03_FRFデータ貼付!B114="","",10_レジデュー_MEscope!N117*10_レジデュー_MEscope!$W$37+10_レジデュー_MEscope!O117*10_レジデュー_MEscope!$W$38+10_レジデュー_MEscope!P117*10_レジデュー_MEscope!$W$39+10_レジデュー_MEscope!Q117*10_レジデュー_MEscope!$W$40+10_レジデュー_MEscope!R117*10_レジデュー_MEscope!$W$41+10_レジデュー_MEscope!S117*10_レジデュー_MEscope!$W$42)</f>
        <v/>
      </c>
      <c r="J114" s="145" t="str">
        <f aca="false">IF(03_FRFデータ貼付!B114="","",10_レジデュー_MEscope!N237*10_レジデュー_MEscope!$W$37+10_レジデュー_MEscope!O237*10_レジデュー_MEscope!$W$38+10_レジデュー_MEscope!P237*10_レジデュー_MEscope!$W$39+10_レジデュー_MEscope!Q237*10_レジデュー_MEscope!$W$40)</f>
        <v/>
      </c>
      <c r="K114" s="2"/>
      <c r="L114" s="2"/>
      <c r="M114" s="2"/>
      <c r="N114" s="2"/>
    </row>
    <row r="115" customFormat="false" ht="15" hidden="false" customHeight="false" outlineLevel="0" collapsed="false">
      <c r="A115" s="88" t="str">
        <f aca="false">IF(03_FRFデータ貼付!B115="","",03_FRFデータ貼付!A115)</f>
        <v/>
      </c>
      <c r="B115" s="89" t="str">
        <f aca="false">IF(03_FRFデータ貼付!B115="","",03_FRFデータ貼付!B115)</f>
        <v/>
      </c>
      <c r="C115" s="71" t="str">
        <f aca="false">IF(03_FRFデータ貼付!B115="","",03_FRFデータ貼付!C115)</f>
        <v/>
      </c>
      <c r="D115" s="71" t="str">
        <f aca="false">IF(03_FRFデータ貼付!B115="","",03_FRFデータ貼付!D115)</f>
        <v/>
      </c>
      <c r="E115" s="71" t="str">
        <f aca="false">IF(B115="","",I115-C115)</f>
        <v/>
      </c>
      <c r="F115" s="71" t="str">
        <f aca="false">IF(B115="","",J115-D115)</f>
        <v/>
      </c>
      <c r="G115" s="143" t="str">
        <f aca="false">IF(B115="","",SQRT(C115^2+D115^2))</f>
        <v/>
      </c>
      <c r="H115" s="144" t="str">
        <f aca="false">IF(B115="","",SQRT(I115^2+J115^2))</f>
        <v/>
      </c>
      <c r="I115" s="145" t="str">
        <f aca="false">IF(03_FRFデータ貼付!B115="","",10_レジデュー_MEscope!N118*10_レジデュー_MEscope!$W$37+10_レジデュー_MEscope!O118*10_レジデュー_MEscope!$W$38+10_レジデュー_MEscope!P118*10_レジデュー_MEscope!$W$39+10_レジデュー_MEscope!Q118*10_レジデュー_MEscope!$W$40+10_レジデュー_MEscope!R118*10_レジデュー_MEscope!$W$41+10_レジデュー_MEscope!S118*10_レジデュー_MEscope!$W$42)</f>
        <v/>
      </c>
      <c r="J115" s="145" t="str">
        <f aca="false">IF(03_FRFデータ貼付!B115="","",10_レジデュー_MEscope!N238*10_レジデュー_MEscope!$W$37+10_レジデュー_MEscope!O238*10_レジデュー_MEscope!$W$38+10_レジデュー_MEscope!P238*10_レジデュー_MEscope!$W$39+10_レジデュー_MEscope!Q238*10_レジデュー_MEscope!$W$40)</f>
        <v/>
      </c>
      <c r="K115" s="2"/>
      <c r="L115" s="2"/>
      <c r="M115" s="2"/>
      <c r="N115" s="2"/>
    </row>
    <row r="116" customFormat="false" ht="15" hidden="false" customHeight="false" outlineLevel="0" collapsed="false">
      <c r="A116" s="88" t="str">
        <f aca="false">IF(03_FRFデータ貼付!B116="","",03_FRFデータ貼付!A116)</f>
        <v/>
      </c>
      <c r="B116" s="89" t="str">
        <f aca="false">IF(03_FRFデータ貼付!B116="","",03_FRFデータ貼付!B116)</f>
        <v/>
      </c>
      <c r="C116" s="71" t="str">
        <f aca="false">IF(03_FRFデータ貼付!B116="","",03_FRFデータ貼付!C116)</f>
        <v/>
      </c>
      <c r="D116" s="71" t="str">
        <f aca="false">IF(03_FRFデータ貼付!B116="","",03_FRFデータ貼付!D116)</f>
        <v/>
      </c>
      <c r="E116" s="71" t="str">
        <f aca="false">IF(B116="","",I116-C116)</f>
        <v/>
      </c>
      <c r="F116" s="71" t="str">
        <f aca="false">IF(B116="","",J116-D116)</f>
        <v/>
      </c>
      <c r="G116" s="143" t="str">
        <f aca="false">IF(B116="","",SQRT(C116^2+D116^2))</f>
        <v/>
      </c>
      <c r="H116" s="144" t="str">
        <f aca="false">IF(B116="","",SQRT(I116^2+J116^2))</f>
        <v/>
      </c>
      <c r="I116" s="145" t="str">
        <f aca="false">IF(03_FRFデータ貼付!B116="","",10_レジデュー_MEscope!N119*10_レジデュー_MEscope!$W$37+10_レジデュー_MEscope!O119*10_レジデュー_MEscope!$W$38+10_レジデュー_MEscope!P119*10_レジデュー_MEscope!$W$39+10_レジデュー_MEscope!Q119*10_レジデュー_MEscope!$W$40+10_レジデュー_MEscope!R119*10_レジデュー_MEscope!$W$41+10_レジデュー_MEscope!S119*10_レジデュー_MEscope!$W$42)</f>
        <v/>
      </c>
      <c r="J116" s="145" t="str">
        <f aca="false">IF(03_FRFデータ貼付!B116="","",10_レジデュー_MEscope!N239*10_レジデュー_MEscope!$W$37+10_レジデュー_MEscope!O239*10_レジデュー_MEscope!$W$38+10_レジデュー_MEscope!P239*10_レジデュー_MEscope!$W$39+10_レジデュー_MEscope!Q239*10_レジデュー_MEscope!$W$40)</f>
        <v/>
      </c>
      <c r="K116" s="2"/>
      <c r="L116" s="2"/>
      <c r="M116" s="2"/>
      <c r="N116" s="2"/>
    </row>
    <row r="117" customFormat="false" ht="15" hidden="false" customHeight="false" outlineLevel="0" collapsed="false">
      <c r="A117" s="88" t="str">
        <f aca="false">IF(03_FRFデータ貼付!B117="","",03_FRFデータ貼付!A117)</f>
        <v/>
      </c>
      <c r="B117" s="89" t="str">
        <f aca="false">IF(03_FRFデータ貼付!B117="","",03_FRFデータ貼付!B117)</f>
        <v/>
      </c>
      <c r="C117" s="71" t="str">
        <f aca="false">IF(03_FRFデータ貼付!B117="","",03_FRFデータ貼付!C117)</f>
        <v/>
      </c>
      <c r="D117" s="71" t="str">
        <f aca="false">IF(03_FRFデータ貼付!B117="","",03_FRFデータ貼付!D117)</f>
        <v/>
      </c>
      <c r="E117" s="71" t="str">
        <f aca="false">IF(B117="","",I117-C117)</f>
        <v/>
      </c>
      <c r="F117" s="71" t="str">
        <f aca="false">IF(B117="","",J117-D117)</f>
        <v/>
      </c>
      <c r="G117" s="143" t="str">
        <f aca="false">IF(B117="","",SQRT(C117^2+D117^2))</f>
        <v/>
      </c>
      <c r="H117" s="144" t="str">
        <f aca="false">IF(B117="","",SQRT(I117^2+J117^2))</f>
        <v/>
      </c>
      <c r="I117" s="145" t="str">
        <f aca="false">IF(03_FRFデータ貼付!B117="","",10_レジデュー_MEscope!N120*10_レジデュー_MEscope!$W$37+10_レジデュー_MEscope!O120*10_レジデュー_MEscope!$W$38+10_レジデュー_MEscope!P120*10_レジデュー_MEscope!$W$39+10_レジデュー_MEscope!Q120*10_レジデュー_MEscope!$W$40+10_レジデュー_MEscope!R120*10_レジデュー_MEscope!$W$41+10_レジデュー_MEscope!S120*10_レジデュー_MEscope!$W$42)</f>
        <v/>
      </c>
      <c r="J117" s="145" t="str">
        <f aca="false">IF(03_FRFデータ貼付!B117="","",10_レジデュー_MEscope!N240*10_レジデュー_MEscope!$W$37+10_レジデュー_MEscope!O240*10_レジデュー_MEscope!$W$38+10_レジデュー_MEscope!P240*10_レジデュー_MEscope!$W$39+10_レジデュー_MEscope!Q240*10_レジデュー_MEscope!$W$40)</f>
        <v/>
      </c>
      <c r="K117" s="2"/>
      <c r="L117" s="2"/>
      <c r="M117" s="2"/>
      <c r="N117" s="2"/>
    </row>
    <row r="118" customFormat="false" ht="15" hidden="false" customHeight="false" outlineLevel="0" collapsed="false">
      <c r="A118" s="88" t="str">
        <f aca="false">IF(03_FRFデータ貼付!B118="","",03_FRFデータ貼付!A118)</f>
        <v/>
      </c>
      <c r="B118" s="89" t="str">
        <f aca="false">IF(03_FRFデータ貼付!B118="","",03_FRFデータ貼付!B118)</f>
        <v/>
      </c>
      <c r="C118" s="71" t="str">
        <f aca="false">IF(03_FRFデータ貼付!B118="","",03_FRFデータ貼付!C118)</f>
        <v/>
      </c>
      <c r="D118" s="71" t="str">
        <f aca="false">IF(03_FRFデータ貼付!B118="","",03_FRFデータ貼付!D118)</f>
        <v/>
      </c>
      <c r="E118" s="71" t="str">
        <f aca="false">IF(B118="","",I118-C118)</f>
        <v/>
      </c>
      <c r="F118" s="71" t="str">
        <f aca="false">IF(B118="","",J118-D118)</f>
        <v/>
      </c>
      <c r="G118" s="143" t="str">
        <f aca="false">IF(B118="","",SQRT(C118^2+D118^2))</f>
        <v/>
      </c>
      <c r="H118" s="144" t="str">
        <f aca="false">IF(B118="","",SQRT(I118^2+J118^2))</f>
        <v/>
      </c>
      <c r="I118" s="145" t="str">
        <f aca="false">IF(03_FRFデータ貼付!B118="","",10_レジデュー_MEscope!N121*10_レジデュー_MEscope!$W$37+10_レジデュー_MEscope!O121*10_レジデュー_MEscope!$W$38+10_レジデュー_MEscope!P121*10_レジデュー_MEscope!$W$39+10_レジデュー_MEscope!Q121*10_レジデュー_MEscope!$W$40+10_レジデュー_MEscope!R121*10_レジデュー_MEscope!$W$41+10_レジデュー_MEscope!S121*10_レジデュー_MEscope!$W$42)</f>
        <v/>
      </c>
      <c r="J118" s="145" t="str">
        <f aca="false">IF(03_FRFデータ貼付!B118="","",10_レジデュー_MEscope!N241*10_レジデュー_MEscope!$W$37+10_レジデュー_MEscope!O241*10_レジデュー_MEscope!$W$38+10_レジデュー_MEscope!P241*10_レジデュー_MEscope!$W$39+10_レジデュー_MEscope!Q241*10_レジデュー_MEscope!$W$40)</f>
        <v/>
      </c>
      <c r="K118" s="2"/>
      <c r="L118" s="2"/>
      <c r="M118" s="2"/>
      <c r="N118" s="2"/>
    </row>
    <row r="119" customFormat="false" ht="15" hidden="false" customHeight="false" outlineLevel="0" collapsed="false">
      <c r="A119" s="88" t="str">
        <f aca="false">IF(03_FRFデータ貼付!B119="","",03_FRFデータ貼付!A119)</f>
        <v/>
      </c>
      <c r="B119" s="89" t="str">
        <f aca="false">IF(03_FRFデータ貼付!B119="","",03_FRFデータ貼付!B119)</f>
        <v/>
      </c>
      <c r="C119" s="71" t="str">
        <f aca="false">IF(03_FRFデータ貼付!B119="","",03_FRFデータ貼付!C119)</f>
        <v/>
      </c>
      <c r="D119" s="71" t="str">
        <f aca="false">IF(03_FRFデータ貼付!B119="","",03_FRFデータ貼付!D119)</f>
        <v/>
      </c>
      <c r="E119" s="71" t="str">
        <f aca="false">IF(B119="","",I119-C119)</f>
        <v/>
      </c>
      <c r="F119" s="71" t="str">
        <f aca="false">IF(B119="","",J119-D119)</f>
        <v/>
      </c>
      <c r="G119" s="143" t="str">
        <f aca="false">IF(B119="","",SQRT(C119^2+D119^2))</f>
        <v/>
      </c>
      <c r="H119" s="144" t="str">
        <f aca="false">IF(B119="","",SQRT(I119^2+J119^2))</f>
        <v/>
      </c>
      <c r="I119" s="145" t="str">
        <f aca="false">IF(03_FRFデータ貼付!B119="","",10_レジデュー_MEscope!N122*10_レジデュー_MEscope!$W$37+10_レジデュー_MEscope!O122*10_レジデュー_MEscope!$W$38+10_レジデュー_MEscope!P122*10_レジデュー_MEscope!$W$39+10_レジデュー_MEscope!Q122*10_レジデュー_MEscope!$W$40+10_レジデュー_MEscope!R122*10_レジデュー_MEscope!$W$41+10_レジデュー_MEscope!S122*10_レジデュー_MEscope!$W$42)</f>
        <v/>
      </c>
      <c r="J119" s="145" t="str">
        <f aca="false">IF(03_FRFデータ貼付!B119="","",10_レジデュー_MEscope!N242*10_レジデュー_MEscope!$W$37+10_レジデュー_MEscope!O242*10_レジデュー_MEscope!$W$38+10_レジデュー_MEscope!P242*10_レジデュー_MEscope!$W$39+10_レジデュー_MEscope!Q242*10_レジデュー_MEscope!$W$40)</f>
        <v/>
      </c>
      <c r="K119" s="2"/>
      <c r="L119" s="2"/>
      <c r="M119" s="2"/>
      <c r="N119" s="2"/>
    </row>
    <row r="120" customFormat="false" ht="15" hidden="false" customHeight="false" outlineLevel="0" collapsed="false">
      <c r="A120" s="88" t="str">
        <f aca="false">IF(03_FRFデータ貼付!B120="","",03_FRFデータ貼付!A120)</f>
        <v/>
      </c>
      <c r="B120" s="89" t="str">
        <f aca="false">IF(03_FRFデータ貼付!B120="","",03_FRFデータ貼付!B120)</f>
        <v/>
      </c>
      <c r="C120" s="71" t="str">
        <f aca="false">IF(03_FRFデータ貼付!B120="","",03_FRFデータ貼付!C120)</f>
        <v/>
      </c>
      <c r="D120" s="71" t="str">
        <f aca="false">IF(03_FRFデータ貼付!B120="","",03_FRFデータ貼付!D120)</f>
        <v/>
      </c>
      <c r="E120" s="71" t="str">
        <f aca="false">IF(B120="","",I120-C120)</f>
        <v/>
      </c>
      <c r="F120" s="71" t="str">
        <f aca="false">IF(B120="","",J120-D120)</f>
        <v/>
      </c>
      <c r="G120" s="143" t="str">
        <f aca="false">IF(B120="","",SQRT(C120^2+D120^2))</f>
        <v/>
      </c>
      <c r="H120" s="144" t="str">
        <f aca="false">IF(B120="","",SQRT(I120^2+J120^2))</f>
        <v/>
      </c>
      <c r="I120" s="145" t="str">
        <f aca="false">IF(03_FRFデータ貼付!B120="","",10_レジデュー_MEscope!N123*10_レジデュー_MEscope!$W$37+10_レジデュー_MEscope!O123*10_レジデュー_MEscope!$W$38+10_レジデュー_MEscope!P123*10_レジデュー_MEscope!$W$39+10_レジデュー_MEscope!Q123*10_レジデュー_MEscope!$W$40+10_レジデュー_MEscope!R123*10_レジデュー_MEscope!$W$41+10_レジデュー_MEscope!S123*10_レジデュー_MEscope!$W$42)</f>
        <v/>
      </c>
      <c r="J120" s="145" t="str">
        <f aca="false">IF(03_FRFデータ貼付!B120="","",10_レジデュー_MEscope!N243*10_レジデュー_MEscope!$W$37+10_レジデュー_MEscope!O243*10_レジデュー_MEscope!$W$38+10_レジデュー_MEscope!P243*10_レジデュー_MEscope!$W$39+10_レジデュー_MEscope!Q243*10_レジデュー_MEscope!$W$40)</f>
        <v/>
      </c>
      <c r="K120" s="2"/>
      <c r="L120" s="2"/>
      <c r="M120" s="2"/>
      <c r="N120" s="2"/>
    </row>
    <row r="121" customFormat="false" ht="15" hidden="false" customHeight="false" outlineLevel="0" collapsed="false">
      <c r="A121" s="88" t="str">
        <f aca="false">IF(03_FRFデータ貼付!B121="","",03_FRFデータ貼付!A121)</f>
        <v/>
      </c>
      <c r="B121" s="89" t="str">
        <f aca="false">IF(03_FRFデータ貼付!B121="","",03_FRFデータ貼付!B121)</f>
        <v/>
      </c>
      <c r="C121" s="71" t="str">
        <f aca="false">IF(03_FRFデータ貼付!B121="","",03_FRFデータ貼付!C121)</f>
        <v/>
      </c>
      <c r="D121" s="71" t="str">
        <f aca="false">IF(03_FRFデータ貼付!B121="","",03_FRFデータ貼付!D121)</f>
        <v/>
      </c>
      <c r="E121" s="71" t="str">
        <f aca="false">IF(B121="","",I121-C121)</f>
        <v/>
      </c>
      <c r="F121" s="71" t="str">
        <f aca="false">IF(B121="","",J121-D121)</f>
        <v/>
      </c>
      <c r="G121" s="143" t="str">
        <f aca="false">IF(B121="","",SQRT(C121^2+D121^2))</f>
        <v/>
      </c>
      <c r="H121" s="144" t="str">
        <f aca="false">IF(B121="","",SQRT(I121^2+J121^2))</f>
        <v/>
      </c>
      <c r="I121" s="145" t="str">
        <f aca="false">IF(03_FRFデータ貼付!B121="","",10_レジデュー_MEscope!N124*10_レジデュー_MEscope!$W$37+10_レジデュー_MEscope!O124*10_レジデュー_MEscope!$W$38+10_レジデュー_MEscope!P124*10_レジデュー_MEscope!$W$39+10_レジデュー_MEscope!Q124*10_レジデュー_MEscope!$W$40+10_レジデュー_MEscope!R124*10_レジデュー_MEscope!$W$41+10_レジデュー_MEscope!S124*10_レジデュー_MEscope!$W$42)</f>
        <v/>
      </c>
      <c r="J121" s="145" t="str">
        <f aca="false">IF(03_FRFデータ貼付!B121="","",10_レジデュー_MEscope!N244*10_レジデュー_MEscope!$W$37+10_レジデュー_MEscope!O244*10_レジデュー_MEscope!$W$38+10_レジデュー_MEscope!P244*10_レジデュー_MEscope!$W$39+10_レジデュー_MEscope!Q244*10_レジデュー_MEscope!$W$40)</f>
        <v/>
      </c>
      <c r="K121" s="2"/>
      <c r="L121" s="2"/>
      <c r="M121" s="2"/>
      <c r="N121" s="2"/>
    </row>
    <row r="122" customFormat="false" ht="15" hidden="false" customHeight="false" outlineLevel="0" collapsed="false">
      <c r="A122" s="88" t="str">
        <f aca="false">IF(03_FRFデータ貼付!B122="","",03_FRFデータ貼付!A122)</f>
        <v/>
      </c>
      <c r="B122" s="89" t="str">
        <f aca="false">IF(03_FRFデータ貼付!B122="","",03_FRFデータ貼付!B122)</f>
        <v/>
      </c>
      <c r="C122" s="71" t="str">
        <f aca="false">IF(03_FRFデータ貼付!B122="","",03_FRFデータ貼付!C122)</f>
        <v/>
      </c>
      <c r="D122" s="71" t="str">
        <f aca="false">IF(03_FRFデータ貼付!B122="","",03_FRFデータ貼付!D122)</f>
        <v/>
      </c>
      <c r="E122" s="71" t="str">
        <f aca="false">IF(B122="","",I122-C122)</f>
        <v/>
      </c>
      <c r="F122" s="71" t="str">
        <f aca="false">IF(B122="","",J122-D122)</f>
        <v/>
      </c>
      <c r="G122" s="143" t="str">
        <f aca="false">IF(B122="","",SQRT(C122^2+D122^2))</f>
        <v/>
      </c>
      <c r="H122" s="144" t="str">
        <f aca="false">IF(B122="","",SQRT(I122^2+J122^2))</f>
        <v/>
      </c>
      <c r="I122" s="145" t="str">
        <f aca="false">IF(03_FRFデータ貼付!B122="","",10_レジデュー_MEscope!N125*10_レジデュー_MEscope!$W$37+10_レジデュー_MEscope!O125*10_レジデュー_MEscope!$W$38+10_レジデュー_MEscope!P125*10_レジデュー_MEscope!$W$39+10_レジデュー_MEscope!Q125*10_レジデュー_MEscope!$W$40+10_レジデュー_MEscope!R125*10_レジデュー_MEscope!$W$41+10_レジデュー_MEscope!S125*10_レジデュー_MEscope!$W$42)</f>
        <v/>
      </c>
      <c r="J122" s="145" t="str">
        <f aca="false">IF(03_FRFデータ貼付!B122="","",10_レジデュー_MEscope!N245*10_レジデュー_MEscope!$W$37+10_レジデュー_MEscope!O245*10_レジデュー_MEscope!$W$38+10_レジデュー_MEscope!P245*10_レジデュー_MEscope!$W$39+10_レジデュー_MEscope!Q245*10_レジデュー_MEscope!$W$40)</f>
        <v/>
      </c>
      <c r="K122" s="2"/>
      <c r="L122" s="2"/>
      <c r="M122" s="2"/>
      <c r="N122" s="2"/>
    </row>
    <row r="123" customFormat="false" ht="15" hidden="false" customHeight="false" outlineLevel="0" collapsed="false">
      <c r="A123" s="88" t="str">
        <f aca="false">IF(03_FRFデータ貼付!B123="","",03_FRFデータ貼付!A123)</f>
        <v/>
      </c>
      <c r="B123" s="89" t="str">
        <f aca="false">IF(03_FRFデータ貼付!B123="","",03_FRFデータ貼付!B123)</f>
        <v/>
      </c>
      <c r="C123" s="71" t="str">
        <f aca="false">IF(03_FRFデータ貼付!B123="","",03_FRFデータ貼付!C123)</f>
        <v/>
      </c>
      <c r="D123" s="71" t="str">
        <f aca="false">IF(03_FRFデータ貼付!B123="","",03_FRFデータ貼付!D123)</f>
        <v/>
      </c>
      <c r="E123" s="71" t="str">
        <f aca="false">IF(B123="","",I123-C123)</f>
        <v/>
      </c>
      <c r="F123" s="71" t="str">
        <f aca="false">IF(B123="","",J123-D123)</f>
        <v/>
      </c>
      <c r="G123" s="143" t="str">
        <f aca="false">IF(B123="","",SQRT(C123^2+D123^2))</f>
        <v/>
      </c>
      <c r="H123" s="144" t="str">
        <f aca="false">IF(B123="","",SQRT(I123^2+J123^2))</f>
        <v/>
      </c>
      <c r="I123" s="145" t="str">
        <f aca="false">IF(03_FRFデータ貼付!B123="","",10_レジデュー_MEscope!N126*10_レジデュー_MEscope!$W$37+10_レジデュー_MEscope!O126*10_レジデュー_MEscope!$W$38+10_レジデュー_MEscope!P126*10_レジデュー_MEscope!$W$39+10_レジデュー_MEscope!Q126*10_レジデュー_MEscope!$W$40+10_レジデュー_MEscope!R126*10_レジデュー_MEscope!$W$41+10_レジデュー_MEscope!S126*10_レジデュー_MEscope!$W$42)</f>
        <v/>
      </c>
      <c r="J123" s="145" t="str">
        <f aca="false">IF(03_FRFデータ貼付!B123="","",10_レジデュー_MEscope!N246*10_レジデュー_MEscope!$W$37+10_レジデュー_MEscope!O246*10_レジデュー_MEscope!$W$38+10_レジデュー_MEscope!P246*10_レジデュー_MEscope!$W$39+10_レジデュー_MEscope!Q246*10_レジデュー_MEscope!$W$40)</f>
        <v/>
      </c>
      <c r="K123" s="2"/>
      <c r="L123" s="2"/>
      <c r="M123" s="2"/>
      <c r="N123" s="2"/>
    </row>
    <row r="124" customFormat="false" ht="15" hidden="false" customHeight="false" outlineLevel="0" collapsed="false">
      <c r="A124" s="88" t="str">
        <f aca="false">IF(03_FRFデータ貼付!B124="","",03_FRFデータ貼付!A124)</f>
        <v/>
      </c>
      <c r="B124" s="89" t="str">
        <f aca="false">IF(03_FRFデータ貼付!B124="","",03_FRFデータ貼付!B124)</f>
        <v/>
      </c>
      <c r="C124" s="71" t="str">
        <f aca="false">IF(03_FRFデータ貼付!B124="","",03_FRFデータ貼付!C124)</f>
        <v/>
      </c>
      <c r="D124" s="71" t="str">
        <f aca="false">IF(03_FRFデータ貼付!B124="","",03_FRFデータ貼付!D124)</f>
        <v/>
      </c>
      <c r="E124" s="71" t="str">
        <f aca="false">IF(B124="","",I124-C124)</f>
        <v/>
      </c>
      <c r="F124" s="71" t="str">
        <f aca="false">IF(B124="","",J124-D124)</f>
        <v/>
      </c>
      <c r="G124" s="143" t="str">
        <f aca="false">IF(B124="","",SQRT(C124^2+D124^2))</f>
        <v/>
      </c>
      <c r="H124" s="144" t="str">
        <f aca="false">IF(B124="","",SQRT(I124^2+J124^2))</f>
        <v/>
      </c>
      <c r="I124" s="145" t="str">
        <f aca="false">IF(03_FRFデータ貼付!B124="","",10_レジデュー_MEscope!N127*10_レジデュー_MEscope!$W$37+10_レジデュー_MEscope!O127*10_レジデュー_MEscope!$W$38+10_レジデュー_MEscope!P127*10_レジデュー_MEscope!$W$39+10_レジデュー_MEscope!Q127*10_レジデュー_MEscope!$W$40+10_レジデュー_MEscope!R127*10_レジデュー_MEscope!$W$41+10_レジデュー_MEscope!S127*10_レジデュー_MEscope!$W$42)</f>
        <v/>
      </c>
      <c r="J124" s="145" t="str">
        <f aca="false">IF(03_FRFデータ貼付!B124="","",10_レジデュー_MEscope!N247*10_レジデュー_MEscope!$W$37+10_レジデュー_MEscope!O247*10_レジデュー_MEscope!$W$38+10_レジデュー_MEscope!P247*10_レジデュー_MEscope!$W$39+10_レジデュー_MEscope!Q247*10_レジデュー_MEscope!$W$40)</f>
        <v/>
      </c>
      <c r="K124" s="2"/>
      <c r="L124" s="2"/>
      <c r="M124" s="2"/>
      <c r="N124" s="2"/>
    </row>
    <row r="125" customFormat="false" ht="15" hidden="false" customHeight="false" outlineLevel="0" collapsed="false">
      <c r="A125" s="88" t="str">
        <f aca="false">IF(03_FRFデータ貼付!B125="","",03_FRFデータ貼付!A125)</f>
        <v/>
      </c>
      <c r="B125" s="89" t="str">
        <f aca="false">IF(03_FRFデータ貼付!B125="","",03_FRFデータ貼付!B125)</f>
        <v/>
      </c>
      <c r="C125" s="71" t="str">
        <f aca="false">IF(03_FRFデータ貼付!B125="","",03_FRFデータ貼付!C125)</f>
        <v/>
      </c>
      <c r="D125" s="71" t="str">
        <f aca="false">IF(03_FRFデータ貼付!B125="","",03_FRFデータ貼付!D125)</f>
        <v/>
      </c>
      <c r="E125" s="71" t="str">
        <f aca="false">IF(B125="","",I125-C125)</f>
        <v/>
      </c>
      <c r="F125" s="71" t="str">
        <f aca="false">IF(B125="","",J125-D125)</f>
        <v/>
      </c>
      <c r="G125" s="143" t="str">
        <f aca="false">IF(B125="","",SQRT(C125^2+D125^2))</f>
        <v/>
      </c>
      <c r="H125" s="144" t="str">
        <f aca="false">IF(B125="","",SQRT(I125^2+J125^2))</f>
        <v/>
      </c>
      <c r="I125" s="145" t="str">
        <f aca="false">IF(03_FRFデータ貼付!B125="","",10_レジデュー_MEscope!N128*10_レジデュー_MEscope!$W$37+10_レジデュー_MEscope!O128*10_レジデュー_MEscope!$W$38+10_レジデュー_MEscope!P128*10_レジデュー_MEscope!$W$39+10_レジデュー_MEscope!Q128*10_レジデュー_MEscope!$W$40+10_レジデュー_MEscope!R128*10_レジデュー_MEscope!$W$41+10_レジデュー_MEscope!S128*10_レジデュー_MEscope!$W$42)</f>
        <v/>
      </c>
      <c r="J125" s="145" t="str">
        <f aca="false">IF(03_FRFデータ貼付!B125="","",10_レジデュー_MEscope!N248*10_レジデュー_MEscope!$W$37+10_レジデュー_MEscope!O248*10_レジデュー_MEscope!$W$38+10_レジデュー_MEscope!P248*10_レジデュー_MEscope!$W$39+10_レジデュー_MEscope!Q248*10_レジデュー_MEscope!$W$40)</f>
        <v/>
      </c>
      <c r="K125" s="2"/>
      <c r="L125" s="2"/>
      <c r="M125" s="2"/>
      <c r="N125" s="2"/>
    </row>
    <row r="126" customFormat="false" ht="15" hidden="false" customHeight="false" outlineLevel="0" collapsed="false">
      <c r="A126" s="88" t="str">
        <f aca="false">IF(03_FRFデータ貼付!B126="","",03_FRFデータ貼付!A126)</f>
        <v/>
      </c>
      <c r="B126" s="89" t="str">
        <f aca="false">IF(03_FRFデータ貼付!B126="","",03_FRFデータ貼付!B126)</f>
        <v/>
      </c>
      <c r="C126" s="71" t="str">
        <f aca="false">IF(03_FRFデータ貼付!B126="","",03_FRFデータ貼付!C126)</f>
        <v/>
      </c>
      <c r="D126" s="71" t="str">
        <f aca="false">IF(03_FRFデータ貼付!B126="","",03_FRFデータ貼付!D126)</f>
        <v/>
      </c>
      <c r="E126" s="71" t="str">
        <f aca="false">IF(B126="","",I126-C126)</f>
        <v/>
      </c>
      <c r="F126" s="71" t="str">
        <f aca="false">IF(B126="","",J126-D126)</f>
        <v/>
      </c>
      <c r="G126" s="143" t="str">
        <f aca="false">IF(B126="","",SQRT(C126^2+D126^2))</f>
        <v/>
      </c>
      <c r="H126" s="144" t="str">
        <f aca="false">IF(B126="","",SQRT(I126^2+J126^2))</f>
        <v/>
      </c>
      <c r="I126" s="145" t="str">
        <f aca="false">IF(03_FRFデータ貼付!B126="","",10_レジデュー_MEscope!N129*10_レジデュー_MEscope!$W$37+10_レジデュー_MEscope!O129*10_レジデュー_MEscope!$W$38+10_レジデュー_MEscope!P129*10_レジデュー_MEscope!$W$39+10_レジデュー_MEscope!Q129*10_レジデュー_MEscope!$W$40+10_レジデュー_MEscope!R129*10_レジデュー_MEscope!$W$41+10_レジデュー_MEscope!S129*10_レジデュー_MEscope!$W$42)</f>
        <v/>
      </c>
      <c r="J126" s="145" t="str">
        <f aca="false">IF(03_FRFデータ貼付!B126="","",10_レジデュー_MEscope!N249*10_レジデュー_MEscope!$W$37+10_レジデュー_MEscope!O249*10_レジデュー_MEscope!$W$38+10_レジデュー_MEscope!P249*10_レジデュー_MEscope!$W$39+10_レジデュー_MEscope!Q249*10_レジデュー_MEscope!$W$40)</f>
        <v/>
      </c>
      <c r="K126" s="2"/>
      <c r="L126" s="2"/>
      <c r="M126" s="2"/>
      <c r="N126" s="2"/>
    </row>
    <row r="127" customFormat="false" ht="15" hidden="false" customHeight="false" outlineLevel="0" collapsed="false">
      <c r="A127" s="88" t="str">
        <f aca="false">IF(03_FRFデータ貼付!B127="","",03_FRFデータ貼付!A127)</f>
        <v/>
      </c>
      <c r="B127" s="89" t="str">
        <f aca="false">IF(03_FRFデータ貼付!B127="","",03_FRFデータ貼付!B127)</f>
        <v/>
      </c>
      <c r="C127" s="71" t="str">
        <f aca="false">IF(03_FRFデータ貼付!B127="","",03_FRFデータ貼付!C127)</f>
        <v/>
      </c>
      <c r="D127" s="71" t="str">
        <f aca="false">IF(03_FRFデータ貼付!B127="","",03_FRFデータ貼付!D127)</f>
        <v/>
      </c>
      <c r="E127" s="71" t="str">
        <f aca="false">IF(B127="","",I127-C127)</f>
        <v/>
      </c>
      <c r="F127" s="71" t="str">
        <f aca="false">IF(B127="","",J127-D127)</f>
        <v/>
      </c>
      <c r="G127" s="143" t="str">
        <f aca="false">IF(B127="","",SQRT(C127^2+D127^2))</f>
        <v/>
      </c>
      <c r="H127" s="144" t="str">
        <f aca="false">IF(B127="","",SQRT(I127^2+J127^2))</f>
        <v/>
      </c>
      <c r="I127" s="145" t="str">
        <f aca="false">IF(03_FRFデータ貼付!B127="","",10_レジデュー_MEscope!N130*10_レジデュー_MEscope!$W$37+10_レジデュー_MEscope!O130*10_レジデュー_MEscope!$W$38+10_レジデュー_MEscope!P130*10_レジデュー_MEscope!$W$39+10_レジデュー_MEscope!Q130*10_レジデュー_MEscope!$W$40+10_レジデュー_MEscope!R130*10_レジデュー_MEscope!$W$41+10_レジデュー_MEscope!S130*10_レジデュー_MEscope!$W$42)</f>
        <v/>
      </c>
      <c r="J127" s="145" t="str">
        <f aca="false">IF(03_FRFデータ貼付!B127="","",10_レジデュー_MEscope!N250*10_レジデュー_MEscope!$W$37+10_レジデュー_MEscope!O250*10_レジデュー_MEscope!$W$38+10_レジデュー_MEscope!P250*10_レジデュー_MEscope!$W$39+10_レジデュー_MEscope!Q250*10_レジデュー_MEscope!$W$40)</f>
        <v/>
      </c>
      <c r="K127" s="2"/>
      <c r="L127" s="2"/>
      <c r="M127" s="2"/>
      <c r="N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B454"/>
    <pageSetUpPr fitToPage="false"/>
  </sheetPr>
  <dimension ref="A1:J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2"/>
    <col collapsed="false" customWidth="true" hidden="false" outlineLevel="0" max="3" min="3" style="0" width="48"/>
    <col collapsed="false" customWidth="true" hidden="false" outlineLevel="0" max="4" min="4" style="0" width="30"/>
  </cols>
  <sheetData>
    <row r="1" customFormat="false" ht="23.1" hidden="false" customHeight="false" outlineLevel="0" collapsed="false">
      <c r="A1" s="59" t="s">
        <v>554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555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7.15" hidden="false" customHeight="false" outlineLevel="0" collapsed="false">
      <c r="A4" s="4" t="s">
        <v>556</v>
      </c>
      <c r="B4" s="2"/>
      <c r="C4" s="2"/>
      <c r="D4" s="2"/>
      <c r="E4" s="2"/>
      <c r="F4" s="2"/>
      <c r="G4" s="2"/>
      <c r="H4" s="2"/>
      <c r="I4" s="2"/>
      <c r="J4" s="2"/>
    </row>
    <row r="5" customFormat="false" ht="31.5" hidden="false" customHeight="true" outlineLevel="0" collapsed="false">
      <c r="A5" s="107" t="s">
        <v>557</v>
      </c>
      <c r="B5" s="87" t="s">
        <v>558</v>
      </c>
      <c r="C5" s="87" t="s">
        <v>559</v>
      </c>
      <c r="D5" s="87" t="s">
        <v>560</v>
      </c>
      <c r="E5" s="2"/>
      <c r="F5" s="2"/>
      <c r="G5" s="2"/>
      <c r="H5" s="2"/>
      <c r="I5" s="2"/>
      <c r="J5" s="2"/>
    </row>
    <row r="6" customFormat="false" ht="33.75" hidden="false" customHeight="true" outlineLevel="0" collapsed="false">
      <c r="A6" s="148" t="s">
        <v>561</v>
      </c>
      <c r="B6" s="149" t="s">
        <v>562</v>
      </c>
      <c r="C6" s="150" t="s">
        <v>563</v>
      </c>
      <c r="D6" s="149" t="s">
        <v>564</v>
      </c>
      <c r="E6" s="2"/>
      <c r="F6" s="2"/>
      <c r="G6" s="2"/>
      <c r="H6" s="2"/>
      <c r="I6" s="2"/>
      <c r="J6" s="2"/>
    </row>
    <row r="7" customFormat="false" ht="33.75" hidden="false" customHeight="true" outlineLevel="0" collapsed="false">
      <c r="A7" s="151" t="s">
        <v>565</v>
      </c>
      <c r="B7" s="152" t="s">
        <v>566</v>
      </c>
      <c r="C7" s="153" t="s">
        <v>567</v>
      </c>
      <c r="D7" s="152" t="s">
        <v>568</v>
      </c>
      <c r="E7" s="2"/>
      <c r="F7" s="2"/>
      <c r="G7" s="2"/>
      <c r="H7" s="2"/>
      <c r="I7" s="2"/>
      <c r="J7" s="2"/>
    </row>
    <row r="8" customFormat="false" ht="33.75" hidden="false" customHeight="true" outlineLevel="0" collapsed="false">
      <c r="A8" s="154" t="s">
        <v>569</v>
      </c>
      <c r="B8" s="150" t="s">
        <v>570</v>
      </c>
      <c r="C8" s="150" t="s">
        <v>571</v>
      </c>
      <c r="D8" s="149" t="s">
        <v>572</v>
      </c>
      <c r="E8" s="2"/>
      <c r="F8" s="2"/>
      <c r="G8" s="2"/>
      <c r="H8" s="2"/>
      <c r="I8" s="2"/>
      <c r="J8" s="2"/>
    </row>
    <row r="9" customFormat="false" ht="33.75" hidden="false" customHeight="true" outlineLevel="0" collapsed="false">
      <c r="A9" s="151" t="s">
        <v>573</v>
      </c>
      <c r="B9" s="152" t="s">
        <v>574</v>
      </c>
      <c r="C9" s="153" t="s">
        <v>575</v>
      </c>
      <c r="D9" s="152" t="s">
        <v>576</v>
      </c>
      <c r="E9" s="2"/>
      <c r="F9" s="2"/>
      <c r="G9" s="2"/>
      <c r="H9" s="2"/>
      <c r="I9" s="2"/>
      <c r="J9" s="2"/>
    </row>
    <row r="10" customFormat="false" ht="33.75" hidden="false" customHeight="true" outlineLevel="0" collapsed="false">
      <c r="A10" s="154" t="s">
        <v>577</v>
      </c>
      <c r="B10" s="149" t="s">
        <v>578</v>
      </c>
      <c r="C10" s="150" t="s">
        <v>579</v>
      </c>
      <c r="D10" s="149" t="s">
        <v>580</v>
      </c>
      <c r="E10" s="2"/>
      <c r="F10" s="2"/>
      <c r="G10" s="2"/>
      <c r="H10" s="2"/>
      <c r="I10" s="2"/>
      <c r="J10" s="2"/>
    </row>
    <row r="11" customFormat="false" ht="33.75" hidden="false" customHeight="true" outlineLevel="0" collapsed="false">
      <c r="A11" s="151" t="s">
        <v>581</v>
      </c>
      <c r="B11" s="153" t="s">
        <v>582</v>
      </c>
      <c r="C11" s="153" t="s">
        <v>583</v>
      </c>
      <c r="D11" s="152" t="s">
        <v>584</v>
      </c>
      <c r="E11" s="2"/>
      <c r="F11" s="2"/>
      <c r="G11" s="2"/>
      <c r="H11" s="2"/>
      <c r="I11" s="2"/>
      <c r="J11" s="2"/>
    </row>
    <row r="12" customFormat="false" ht="33.75" hidden="false" customHeight="true" outlineLevel="0" collapsed="false">
      <c r="A12" s="154" t="s">
        <v>585</v>
      </c>
      <c r="B12" s="149" t="s">
        <v>586</v>
      </c>
      <c r="C12" s="150" t="s">
        <v>587</v>
      </c>
      <c r="D12" s="149" t="s">
        <v>588</v>
      </c>
      <c r="E12" s="2"/>
      <c r="F12" s="2"/>
      <c r="G12" s="2"/>
      <c r="H12" s="2"/>
      <c r="I12" s="2"/>
      <c r="J12" s="2"/>
    </row>
    <row r="13" customFormat="false" ht="33.75" hidden="false" customHeight="true" outlineLevel="0" collapsed="false">
      <c r="A13" s="151" t="s">
        <v>589</v>
      </c>
      <c r="B13" s="152" t="s">
        <v>590</v>
      </c>
      <c r="C13" s="153" t="s">
        <v>591</v>
      </c>
      <c r="D13" s="152" t="s">
        <v>592</v>
      </c>
      <c r="E13" s="2"/>
      <c r="F13" s="2"/>
      <c r="G13" s="2"/>
      <c r="H13" s="2"/>
      <c r="I13" s="2"/>
      <c r="J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customFormat="false" ht="15" hidden="false" customHeight="false" outlineLevel="0" collapsed="false">
      <c r="A15" s="3" t="s">
        <v>593</v>
      </c>
      <c r="B15" s="2"/>
      <c r="C15" s="2"/>
      <c r="D15" s="2"/>
      <c r="E15" s="2"/>
      <c r="F15" s="2"/>
      <c r="G15" s="2"/>
      <c r="H15" s="2"/>
      <c r="I15" s="2"/>
      <c r="J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customFormat="false" ht="17.15" hidden="false" customHeight="false" outlineLevel="0" collapsed="false">
      <c r="A17" s="4" t="s">
        <v>594</v>
      </c>
      <c r="B17" s="2"/>
      <c r="C17" s="2"/>
      <c r="D17" s="2"/>
      <c r="E17" s="2"/>
      <c r="F17" s="2"/>
      <c r="G17" s="2"/>
      <c r="H17" s="2"/>
      <c r="I17" s="2"/>
      <c r="J17" s="2"/>
    </row>
    <row r="18" customFormat="false" ht="31.5" hidden="false" customHeight="true" outlineLevel="0" collapsed="false">
      <c r="A18" s="87" t="s">
        <v>595</v>
      </c>
      <c r="B18" s="87" t="s">
        <v>596</v>
      </c>
      <c r="C18" s="87" t="s">
        <v>11</v>
      </c>
      <c r="D18" s="87" t="s">
        <v>560</v>
      </c>
      <c r="E18" s="2"/>
      <c r="F18" s="2"/>
      <c r="G18" s="2"/>
      <c r="H18" s="2"/>
      <c r="I18" s="2"/>
      <c r="J18" s="2"/>
    </row>
    <row r="19" customFormat="false" ht="31.5" hidden="false" customHeight="true" outlineLevel="0" collapsed="false">
      <c r="A19" s="154" t="s">
        <v>597</v>
      </c>
      <c r="B19" s="149" t="s">
        <v>598</v>
      </c>
      <c r="C19" s="150" t="s">
        <v>599</v>
      </c>
      <c r="D19" s="149" t="s">
        <v>600</v>
      </c>
      <c r="E19" s="2"/>
      <c r="F19" s="2"/>
      <c r="G19" s="2"/>
      <c r="H19" s="2"/>
      <c r="I19" s="2"/>
      <c r="J19" s="2"/>
    </row>
    <row r="20" customFormat="false" ht="31.5" hidden="false" customHeight="true" outlineLevel="0" collapsed="false">
      <c r="A20" s="151" t="s">
        <v>601</v>
      </c>
      <c r="B20" s="152" t="s">
        <v>602</v>
      </c>
      <c r="C20" s="153" t="s">
        <v>603</v>
      </c>
      <c r="D20" s="153" t="s">
        <v>86</v>
      </c>
      <c r="E20" s="2"/>
      <c r="F20" s="2"/>
      <c r="G20" s="2"/>
      <c r="H20" s="2"/>
      <c r="I20" s="2"/>
      <c r="J20" s="2"/>
    </row>
    <row r="21" customFormat="false" ht="31.5" hidden="false" customHeight="true" outlineLevel="0" collapsed="false">
      <c r="A21" s="154" t="s">
        <v>604</v>
      </c>
      <c r="B21" s="150" t="s">
        <v>605</v>
      </c>
      <c r="C21" s="150" t="s">
        <v>606</v>
      </c>
      <c r="D21" s="149" t="s">
        <v>607</v>
      </c>
      <c r="E21" s="2"/>
      <c r="F21" s="2"/>
      <c r="G21" s="2"/>
      <c r="H21" s="2"/>
      <c r="I21" s="2"/>
      <c r="J21" s="2"/>
    </row>
    <row r="22" customFormat="false" ht="31.5" hidden="false" customHeight="true" outlineLevel="0" collapsed="false">
      <c r="A22" s="151" t="s">
        <v>608</v>
      </c>
      <c r="B22" s="153" t="s">
        <v>609</v>
      </c>
      <c r="C22" s="153" t="s">
        <v>610</v>
      </c>
      <c r="D22" s="152" t="s">
        <v>611</v>
      </c>
      <c r="E22" s="2"/>
      <c r="F22" s="2"/>
      <c r="G22" s="2"/>
      <c r="H22" s="2"/>
      <c r="I22" s="2"/>
      <c r="J22" s="2"/>
    </row>
    <row r="23" customFormat="false" ht="31.5" hidden="false" customHeight="true" outlineLevel="0" collapsed="false">
      <c r="A23" s="154" t="s">
        <v>612</v>
      </c>
      <c r="B23" s="150" t="s">
        <v>613</v>
      </c>
      <c r="C23" s="150" t="s">
        <v>614</v>
      </c>
      <c r="D23" s="149" t="s">
        <v>615</v>
      </c>
      <c r="E23" s="2"/>
      <c r="F23" s="2"/>
      <c r="G23" s="2"/>
      <c r="H23" s="2"/>
      <c r="I23" s="2"/>
      <c r="J23" s="2"/>
    </row>
    <row r="24" customFormat="false" ht="31.5" hidden="false" customHeight="true" outlineLevel="0" collapsed="false">
      <c r="A24" s="151" t="s">
        <v>616</v>
      </c>
      <c r="B24" s="152" t="s">
        <v>617</v>
      </c>
      <c r="C24" s="153" t="s">
        <v>618</v>
      </c>
      <c r="D24" s="152" t="s">
        <v>607</v>
      </c>
      <c r="E24" s="2"/>
      <c r="F24" s="2"/>
      <c r="G24" s="2"/>
      <c r="H24" s="2"/>
      <c r="I24" s="2"/>
      <c r="J24" s="2"/>
    </row>
    <row r="25" customFormat="false" ht="31.5" hidden="false" customHeight="true" outlineLevel="0" collapsed="false">
      <c r="A25" s="154" t="s">
        <v>619</v>
      </c>
      <c r="B25" s="149" t="s">
        <v>620</v>
      </c>
      <c r="C25" s="150" t="s">
        <v>621</v>
      </c>
      <c r="D25" s="149" t="s">
        <v>622</v>
      </c>
      <c r="E25" s="2"/>
      <c r="F25" s="2"/>
      <c r="G25" s="2"/>
      <c r="H25" s="2"/>
      <c r="I25" s="2"/>
      <c r="J25" s="2"/>
    </row>
    <row r="26" customFormat="false" ht="31.5" hidden="false" customHeight="true" outlineLevel="0" collapsed="false">
      <c r="A26" s="151" t="s">
        <v>623</v>
      </c>
      <c r="B26" s="152" t="s">
        <v>624</v>
      </c>
      <c r="C26" s="153" t="s">
        <v>625</v>
      </c>
      <c r="D26" s="153" t="s">
        <v>626</v>
      </c>
      <c r="E26" s="2"/>
      <c r="F26" s="2"/>
      <c r="G26" s="2"/>
      <c r="H26" s="2"/>
      <c r="I26" s="2"/>
      <c r="J26" s="2"/>
    </row>
    <row r="27" customFormat="false" ht="31.5" hidden="false" customHeight="true" outlineLevel="0" collapsed="false">
      <c r="A27" s="154" t="s">
        <v>627</v>
      </c>
      <c r="B27" s="149" t="s">
        <v>628</v>
      </c>
      <c r="C27" s="149" t="s">
        <v>629</v>
      </c>
      <c r="D27" s="149" t="s">
        <v>630</v>
      </c>
      <c r="E27" s="2"/>
      <c r="F27" s="2"/>
      <c r="G27" s="2"/>
      <c r="H27" s="2"/>
      <c r="I27" s="2"/>
      <c r="J27" s="2"/>
    </row>
    <row r="28" customFormat="false" ht="31.5" hidden="false" customHeight="true" outlineLevel="0" collapsed="false">
      <c r="A28" s="151" t="s">
        <v>631</v>
      </c>
      <c r="B28" s="153" t="s">
        <v>632</v>
      </c>
      <c r="C28" s="153" t="s">
        <v>633</v>
      </c>
      <c r="D28" s="152" t="s">
        <v>634</v>
      </c>
      <c r="E28" s="2"/>
      <c r="F28" s="2"/>
      <c r="G28" s="2"/>
      <c r="H28" s="2"/>
      <c r="I28" s="2"/>
      <c r="J28" s="2"/>
    </row>
    <row r="29" customFormat="false" ht="15" hidden="false" customHeight="false" outlineLevel="0" collapsed="false">
      <c r="A29" s="3" t="s">
        <v>635</v>
      </c>
      <c r="B29" s="2"/>
      <c r="C29" s="2"/>
      <c r="D29" s="2"/>
      <c r="E29" s="2"/>
      <c r="F29" s="2"/>
      <c r="G29" s="2"/>
      <c r="H29" s="2"/>
      <c r="I29" s="2"/>
      <c r="J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customFormat="false" ht="17.15" hidden="false" customHeight="false" outlineLevel="0" collapsed="false">
      <c r="A31" s="23" t="s">
        <v>636</v>
      </c>
      <c r="B31" s="2"/>
      <c r="C31" s="2"/>
      <c r="D31" s="2"/>
      <c r="E31" s="2"/>
      <c r="F31" s="2"/>
      <c r="G31" s="2"/>
      <c r="H31" s="2"/>
      <c r="I31" s="2"/>
      <c r="J31" s="2"/>
    </row>
    <row r="32" customFormat="false" ht="31.5" hidden="false" customHeight="true" outlineLevel="0" collapsed="false">
      <c r="A32" s="87" t="s">
        <v>637</v>
      </c>
      <c r="B32" s="107" t="s">
        <v>638</v>
      </c>
      <c r="C32" s="87" t="s">
        <v>639</v>
      </c>
      <c r="D32" s="87" t="s">
        <v>640</v>
      </c>
      <c r="E32" s="2"/>
      <c r="F32" s="2"/>
      <c r="G32" s="2"/>
      <c r="H32" s="2"/>
      <c r="I32" s="2"/>
      <c r="J32" s="2"/>
    </row>
    <row r="33" customFormat="false" ht="42" hidden="false" customHeight="true" outlineLevel="0" collapsed="false">
      <c r="A33" s="148" t="s">
        <v>641</v>
      </c>
      <c r="B33" s="149" t="s">
        <v>642</v>
      </c>
      <c r="C33" s="149" t="s">
        <v>643</v>
      </c>
      <c r="D33" s="150" t="s">
        <v>644</v>
      </c>
      <c r="E33" s="2"/>
      <c r="F33" s="2"/>
      <c r="G33" s="2"/>
      <c r="H33" s="2"/>
      <c r="I33" s="2"/>
      <c r="J33" s="2"/>
    </row>
    <row r="34" customFormat="false" ht="42" hidden="false" customHeight="true" outlineLevel="0" collapsed="false">
      <c r="A34" s="155" t="s">
        <v>645</v>
      </c>
      <c r="B34" s="152" t="s">
        <v>646</v>
      </c>
      <c r="C34" s="152" t="s">
        <v>647</v>
      </c>
      <c r="D34" s="152" t="s">
        <v>648</v>
      </c>
      <c r="E34" s="2"/>
      <c r="F34" s="2"/>
      <c r="G34" s="2"/>
      <c r="H34" s="2"/>
      <c r="I34" s="2"/>
      <c r="J34" s="2"/>
    </row>
    <row r="35" customFormat="false" ht="42" hidden="false" customHeight="true" outlineLevel="0" collapsed="false">
      <c r="A35" s="148" t="s">
        <v>649</v>
      </c>
      <c r="B35" s="150" t="s">
        <v>650</v>
      </c>
      <c r="C35" s="149" t="s">
        <v>607</v>
      </c>
      <c r="D35" s="150" t="s">
        <v>651</v>
      </c>
      <c r="E35" s="2"/>
      <c r="F35" s="2"/>
      <c r="G35" s="2"/>
      <c r="H35" s="2"/>
      <c r="I35" s="2"/>
      <c r="J35" s="2"/>
    </row>
    <row r="36" customFormat="false" ht="42" hidden="false" customHeight="true" outlineLevel="0" collapsed="false">
      <c r="A36" s="155" t="s">
        <v>652</v>
      </c>
      <c r="B36" s="153" t="s">
        <v>653</v>
      </c>
      <c r="C36" s="153" t="s">
        <v>654</v>
      </c>
      <c r="D36" s="153" t="s">
        <v>86</v>
      </c>
      <c r="E36" s="2"/>
      <c r="F36" s="2"/>
      <c r="G36" s="2"/>
      <c r="H36" s="2"/>
      <c r="I36" s="2"/>
      <c r="J36" s="2"/>
    </row>
    <row r="37" customFormat="false" ht="42" hidden="false" customHeight="true" outlineLevel="0" collapsed="false">
      <c r="A37" s="148" t="s">
        <v>655</v>
      </c>
      <c r="B37" s="150" t="s">
        <v>656</v>
      </c>
      <c r="C37" s="149" t="s">
        <v>657</v>
      </c>
      <c r="D37" s="150" t="s">
        <v>658</v>
      </c>
      <c r="E37" s="2"/>
      <c r="F37" s="2"/>
      <c r="G37" s="2"/>
      <c r="H37" s="2"/>
      <c r="I37" s="2"/>
      <c r="J37" s="2"/>
    </row>
    <row r="38" customFormat="false" ht="15" hidden="false" customHeight="false" outlineLevel="0" collapsed="false">
      <c r="A38" s="3" t="s">
        <v>659</v>
      </c>
      <c r="B38" s="2"/>
      <c r="C38" s="2"/>
      <c r="D38" s="2"/>
      <c r="E38" s="2"/>
      <c r="F38" s="2"/>
      <c r="G38" s="2"/>
      <c r="H38" s="2"/>
      <c r="I38" s="2"/>
      <c r="J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customFormat="false" ht="17.15" hidden="false" customHeight="false" outlineLevel="0" collapsed="false">
      <c r="A40" s="23" t="s">
        <v>660</v>
      </c>
      <c r="B40" s="2"/>
      <c r="C40" s="2"/>
      <c r="D40" s="2"/>
      <c r="E40" s="2"/>
      <c r="F40" s="2"/>
      <c r="G40" s="2"/>
      <c r="H40" s="2"/>
      <c r="I40" s="2"/>
      <c r="J40" s="2"/>
    </row>
    <row r="41" customFormat="false" ht="31.5" hidden="false" customHeight="true" outlineLevel="0" collapsed="false">
      <c r="A41" s="107" t="s">
        <v>661</v>
      </c>
      <c r="B41" s="87" t="s">
        <v>662</v>
      </c>
      <c r="C41" s="87" t="s">
        <v>663</v>
      </c>
      <c r="D41" s="87" t="s">
        <v>310</v>
      </c>
      <c r="E41" s="2"/>
      <c r="F41" s="2"/>
      <c r="G41" s="2"/>
      <c r="H41" s="2"/>
      <c r="I41" s="2"/>
      <c r="J41" s="2"/>
    </row>
    <row r="42" customFormat="false" ht="39.75" hidden="false" customHeight="true" outlineLevel="0" collapsed="false">
      <c r="A42" s="154" t="s">
        <v>664</v>
      </c>
      <c r="B42" s="149" t="s">
        <v>665</v>
      </c>
      <c r="C42" s="150" t="s">
        <v>666</v>
      </c>
      <c r="D42" s="149" t="s">
        <v>667</v>
      </c>
      <c r="E42" s="2"/>
      <c r="F42" s="2"/>
      <c r="G42" s="2"/>
      <c r="H42" s="2"/>
      <c r="I42" s="2"/>
      <c r="J42" s="2"/>
    </row>
    <row r="43" customFormat="false" ht="39.75" hidden="false" customHeight="true" outlineLevel="0" collapsed="false">
      <c r="A43" s="151" t="s">
        <v>668</v>
      </c>
      <c r="B43" s="153" t="s">
        <v>669</v>
      </c>
      <c r="C43" s="152" t="s">
        <v>670</v>
      </c>
      <c r="D43" s="153" t="s">
        <v>671</v>
      </c>
      <c r="E43" s="2"/>
      <c r="F43" s="2"/>
      <c r="G43" s="2"/>
      <c r="H43" s="2"/>
      <c r="I43" s="2"/>
      <c r="J43" s="2"/>
    </row>
    <row r="44" customFormat="false" ht="39.75" hidden="false" customHeight="true" outlineLevel="0" collapsed="false">
      <c r="A44" s="154" t="s">
        <v>672</v>
      </c>
      <c r="B44" s="150" t="s">
        <v>673</v>
      </c>
      <c r="C44" s="149" t="s">
        <v>674</v>
      </c>
      <c r="D44" s="150" t="s">
        <v>675</v>
      </c>
      <c r="E44" s="2"/>
      <c r="F44" s="2"/>
      <c r="G44" s="2"/>
      <c r="H44" s="2"/>
      <c r="I44" s="2"/>
      <c r="J44" s="2"/>
    </row>
    <row r="45" customFormat="false" ht="39.75" hidden="false" customHeight="true" outlineLevel="0" collapsed="false">
      <c r="A45" s="151" t="s">
        <v>676</v>
      </c>
      <c r="B45" s="153" t="s">
        <v>677</v>
      </c>
      <c r="C45" s="152" t="s">
        <v>674</v>
      </c>
      <c r="D45" s="152" t="s">
        <v>678</v>
      </c>
      <c r="E45" s="2"/>
      <c r="F45" s="2"/>
      <c r="G45" s="2"/>
      <c r="H45" s="2"/>
      <c r="I45" s="2"/>
      <c r="J45" s="2"/>
    </row>
    <row r="46" customFormat="false" ht="39.75" hidden="false" customHeight="true" outlineLevel="0" collapsed="false">
      <c r="A46" s="154" t="s">
        <v>679</v>
      </c>
      <c r="B46" s="150" t="s">
        <v>680</v>
      </c>
      <c r="C46" s="149" t="s">
        <v>674</v>
      </c>
      <c r="D46" s="150" t="s">
        <v>86</v>
      </c>
      <c r="E46" s="2"/>
      <c r="F46" s="2"/>
      <c r="G46" s="2"/>
      <c r="H46" s="2"/>
      <c r="I46" s="2"/>
      <c r="J46" s="2"/>
    </row>
    <row r="47" customFormat="false" ht="39.75" hidden="false" customHeight="true" outlineLevel="0" collapsed="false">
      <c r="A47" s="151" t="s">
        <v>681</v>
      </c>
      <c r="B47" s="153" t="s">
        <v>682</v>
      </c>
      <c r="C47" s="153" t="s">
        <v>683</v>
      </c>
      <c r="D47" s="153" t="s">
        <v>684</v>
      </c>
      <c r="E47" s="2"/>
      <c r="F47" s="2"/>
      <c r="G47" s="2"/>
      <c r="H47" s="2"/>
      <c r="I47" s="2"/>
      <c r="J47" s="2"/>
    </row>
    <row r="48" customFormat="false" ht="39.75" hidden="false" customHeight="true" outlineLevel="0" collapsed="false">
      <c r="A48" s="154" t="s">
        <v>685</v>
      </c>
      <c r="B48" s="149" t="s">
        <v>686</v>
      </c>
      <c r="C48" s="149" t="s">
        <v>687</v>
      </c>
      <c r="D48" s="150" t="s">
        <v>688</v>
      </c>
      <c r="E48" s="2"/>
      <c r="F48" s="2"/>
      <c r="G48" s="2"/>
      <c r="H48" s="2"/>
      <c r="I48" s="2"/>
      <c r="J48" s="2"/>
    </row>
    <row r="49" customFormat="false" ht="39.75" hidden="false" customHeight="true" outlineLevel="0" collapsed="false">
      <c r="A49" s="151" t="s">
        <v>689</v>
      </c>
      <c r="B49" s="153" t="s">
        <v>690</v>
      </c>
      <c r="C49" s="152" t="s">
        <v>691</v>
      </c>
      <c r="D49" s="153" t="s">
        <v>692</v>
      </c>
      <c r="E49" s="2"/>
      <c r="F49" s="2"/>
      <c r="G49" s="2"/>
      <c r="H49" s="2"/>
      <c r="I49" s="2"/>
      <c r="J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customFormat="false" ht="17.15" hidden="false" customHeight="false" outlineLevel="0" collapsed="false">
      <c r="A51" s="4" t="s">
        <v>693</v>
      </c>
      <c r="B51" s="2"/>
      <c r="C51" s="2"/>
      <c r="D51" s="2"/>
      <c r="E51" s="2"/>
      <c r="F51" s="2"/>
      <c r="G51" s="2"/>
      <c r="H51" s="2"/>
      <c r="I51" s="2"/>
      <c r="J51" s="2"/>
    </row>
    <row r="52" customFormat="false" ht="25.5" hidden="false" customHeight="true" outlineLevel="0" collapsed="false">
      <c r="A52" s="120" t="s">
        <v>694</v>
      </c>
      <c r="B52" s="2"/>
      <c r="C52" s="2"/>
      <c r="D52" s="2"/>
      <c r="E52" s="2"/>
      <c r="F52" s="2"/>
      <c r="G52" s="2"/>
      <c r="H52" s="2"/>
      <c r="I52" s="2"/>
      <c r="J52" s="2"/>
    </row>
    <row r="53" customFormat="false" ht="25.5" hidden="false" customHeight="true" outlineLevel="0" collapsed="false">
      <c r="A53" s="120" t="s">
        <v>695</v>
      </c>
      <c r="B53" s="2"/>
      <c r="C53" s="2"/>
      <c r="D53" s="2"/>
      <c r="E53" s="2"/>
      <c r="F53" s="2"/>
      <c r="G53" s="2"/>
      <c r="H53" s="2"/>
      <c r="I53" s="2"/>
      <c r="J53" s="2"/>
    </row>
    <row r="54" customFormat="false" ht="25.5" hidden="false" customHeight="true" outlineLevel="0" collapsed="false">
      <c r="A54" s="120" t="s">
        <v>696</v>
      </c>
      <c r="B54" s="2"/>
      <c r="C54" s="2"/>
      <c r="D54" s="2"/>
      <c r="E54" s="2"/>
      <c r="F54" s="2"/>
      <c r="G54" s="2"/>
      <c r="H54" s="2"/>
      <c r="I54" s="2"/>
      <c r="J54" s="2"/>
    </row>
    <row r="55" customFormat="false" ht="25.5" hidden="false" customHeight="true" outlineLevel="0" collapsed="false">
      <c r="A55" s="120" t="s">
        <v>697</v>
      </c>
      <c r="B55" s="2"/>
      <c r="C55" s="2"/>
      <c r="D55" s="2"/>
      <c r="E55" s="2"/>
      <c r="F55" s="2"/>
      <c r="G55" s="2"/>
      <c r="H55" s="2"/>
      <c r="I55" s="2"/>
      <c r="J55" s="2"/>
    </row>
    <row r="56" customFormat="false" ht="25.5" hidden="false" customHeight="true" outlineLevel="0" collapsed="false">
      <c r="A56" s="156" t="s">
        <v>698</v>
      </c>
      <c r="B56" s="2"/>
      <c r="C56" s="2"/>
      <c r="D56" s="2"/>
      <c r="E56" s="2"/>
      <c r="F56" s="2"/>
      <c r="G56" s="2"/>
      <c r="H56" s="2"/>
      <c r="I56" s="2"/>
      <c r="J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AD4FF"/>
    <pageSetUpPr fitToPage="false"/>
  </sheetPr>
  <dimension ref="A1:J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34"/>
    <col collapsed="false" customWidth="true" hidden="false" outlineLevel="0" max="5" min="5" style="0" width="30"/>
  </cols>
  <sheetData>
    <row r="1" customFormat="false" ht="18.55" hidden="false" customHeight="false" outlineLevel="0" collapsed="false">
      <c r="A1" s="1" t="s">
        <v>699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700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31.5" hidden="false" customHeight="true" outlineLevel="0" collapsed="false">
      <c r="A4" s="87" t="s">
        <v>701</v>
      </c>
      <c r="B4" s="87" t="s">
        <v>702</v>
      </c>
      <c r="C4" s="87" t="s">
        <v>703</v>
      </c>
      <c r="D4" s="87" t="s">
        <v>704</v>
      </c>
      <c r="E4" s="87" t="s">
        <v>705</v>
      </c>
      <c r="F4" s="2"/>
      <c r="G4" s="2"/>
      <c r="H4" s="2"/>
      <c r="I4" s="2"/>
      <c r="J4" s="2"/>
    </row>
    <row r="5" customFormat="false" ht="109.5" hidden="false" customHeight="true" outlineLevel="0" collapsed="false">
      <c r="A5" s="148" t="s">
        <v>706</v>
      </c>
      <c r="B5" s="150" t="s">
        <v>707</v>
      </c>
      <c r="C5" s="150" t="s">
        <v>708</v>
      </c>
      <c r="D5" s="150" t="s">
        <v>709</v>
      </c>
      <c r="E5" s="150" t="s">
        <v>710</v>
      </c>
      <c r="F5" s="2"/>
      <c r="G5" s="2"/>
      <c r="H5" s="2"/>
      <c r="I5" s="2"/>
      <c r="J5" s="2"/>
    </row>
    <row r="6" customFormat="false" ht="109.5" hidden="false" customHeight="true" outlineLevel="0" collapsed="false">
      <c r="A6" s="155" t="s">
        <v>711</v>
      </c>
      <c r="B6" s="153" t="s">
        <v>712</v>
      </c>
      <c r="C6" s="153" t="s">
        <v>713</v>
      </c>
      <c r="D6" s="153" t="s">
        <v>714</v>
      </c>
      <c r="E6" s="153" t="s">
        <v>715</v>
      </c>
      <c r="F6" s="2"/>
      <c r="G6" s="2"/>
      <c r="H6" s="2"/>
      <c r="I6" s="2"/>
      <c r="J6" s="2"/>
    </row>
    <row r="7" customFormat="false" ht="109.5" hidden="false" customHeight="true" outlineLevel="0" collapsed="false">
      <c r="A7" s="148" t="s">
        <v>716</v>
      </c>
      <c r="B7" s="150" t="s">
        <v>717</v>
      </c>
      <c r="C7" s="150" t="s">
        <v>718</v>
      </c>
      <c r="D7" s="150" t="s">
        <v>719</v>
      </c>
      <c r="E7" s="150" t="s">
        <v>720</v>
      </c>
      <c r="F7" s="2"/>
      <c r="G7" s="2"/>
      <c r="H7" s="2"/>
      <c r="I7" s="2"/>
      <c r="J7" s="2"/>
    </row>
    <row r="8" customFormat="false" ht="109.5" hidden="false" customHeight="true" outlineLevel="0" collapsed="false">
      <c r="A8" s="151" t="s">
        <v>721</v>
      </c>
      <c r="B8" s="152" t="s">
        <v>722</v>
      </c>
      <c r="C8" s="153" t="s">
        <v>723</v>
      </c>
      <c r="D8" s="153" t="s">
        <v>724</v>
      </c>
      <c r="E8" s="153" t="s">
        <v>725</v>
      </c>
      <c r="F8" s="2"/>
      <c r="G8" s="2"/>
      <c r="H8" s="2"/>
      <c r="I8" s="2"/>
      <c r="J8" s="2"/>
    </row>
    <row r="9" customFormat="false" ht="109.5" hidden="false" customHeight="true" outlineLevel="0" collapsed="false">
      <c r="A9" s="148" t="s">
        <v>726</v>
      </c>
      <c r="B9" s="150" t="s">
        <v>727</v>
      </c>
      <c r="C9" s="150" t="s">
        <v>728</v>
      </c>
      <c r="D9" s="150" t="s">
        <v>729</v>
      </c>
      <c r="E9" s="150" t="s">
        <v>730</v>
      </c>
      <c r="F9" s="2"/>
      <c r="G9" s="2"/>
      <c r="H9" s="2"/>
      <c r="I9" s="2"/>
      <c r="J9" s="2"/>
    </row>
    <row r="10" customFormat="false" ht="109.5" hidden="false" customHeight="true" outlineLevel="0" collapsed="false">
      <c r="A10" s="155" t="s">
        <v>731</v>
      </c>
      <c r="B10" s="153" t="s">
        <v>732</v>
      </c>
      <c r="C10" s="153" t="s">
        <v>733</v>
      </c>
      <c r="D10" s="153" t="s">
        <v>734</v>
      </c>
      <c r="E10" s="153" t="s">
        <v>735</v>
      </c>
      <c r="F10" s="2"/>
      <c r="G10" s="2"/>
      <c r="H10" s="2"/>
      <c r="I10" s="2"/>
      <c r="J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customFormat="false" ht="15" hidden="false" customHeight="false" outlineLevel="0" collapsed="false">
      <c r="A12" s="4" t="s">
        <v>736</v>
      </c>
      <c r="B12" s="2"/>
      <c r="C12" s="2"/>
      <c r="D12" s="2"/>
      <c r="E12" s="2"/>
      <c r="F12" s="2"/>
      <c r="G12" s="2"/>
      <c r="H12" s="2"/>
      <c r="I12" s="2"/>
      <c r="J12" s="2"/>
    </row>
    <row r="13" customFormat="false" ht="15" hidden="false" customHeight="false" outlineLevel="0" collapsed="false">
      <c r="A13" s="21" t="s">
        <v>737</v>
      </c>
      <c r="B13" s="2"/>
      <c r="C13" s="2"/>
      <c r="D13" s="2"/>
      <c r="E13" s="2"/>
      <c r="F13" s="2"/>
      <c r="G13" s="2"/>
      <c r="H13" s="2"/>
      <c r="I13" s="2"/>
      <c r="J13" s="2"/>
    </row>
    <row r="14" customFormat="false" ht="15" hidden="false" customHeight="false" outlineLevel="0" collapsed="false">
      <c r="A14" s="104" t="s">
        <v>738</v>
      </c>
      <c r="B14" s="2"/>
      <c r="C14" s="2"/>
      <c r="D14" s="2"/>
      <c r="E14" s="2"/>
      <c r="F14" s="2"/>
      <c r="G14" s="2"/>
      <c r="H14" s="2"/>
      <c r="I14" s="2"/>
      <c r="J14" s="2"/>
    </row>
    <row r="15" customFormat="false" ht="15" hidden="false" customHeight="false" outlineLevel="0" collapsed="false">
      <c r="A15" s="104" t="s">
        <v>739</v>
      </c>
      <c r="B15" s="2"/>
      <c r="C15" s="2"/>
      <c r="D15" s="2"/>
      <c r="E15" s="2"/>
      <c r="F15" s="2"/>
      <c r="G15" s="2"/>
      <c r="H15" s="2"/>
      <c r="I15" s="2"/>
      <c r="J15" s="2"/>
    </row>
    <row r="16" customFormat="false" ht="15" hidden="false" customHeight="false" outlineLevel="0" collapsed="false">
      <c r="A16" s="104" t="s">
        <v>740</v>
      </c>
      <c r="B16" s="2"/>
      <c r="C16" s="2"/>
      <c r="D16" s="2"/>
      <c r="E16" s="2"/>
      <c r="F16" s="2"/>
      <c r="G16" s="2"/>
      <c r="H16" s="2"/>
      <c r="I16" s="2"/>
      <c r="J16" s="2"/>
    </row>
    <row r="17" customFormat="false" ht="15" hidden="false" customHeight="false" outlineLevel="0" collapsed="false">
      <c r="A17" s="21" t="s">
        <v>741</v>
      </c>
      <c r="B17" s="2"/>
      <c r="C17" s="2"/>
      <c r="D17" s="2"/>
      <c r="E17" s="2"/>
      <c r="F17" s="2"/>
      <c r="G17" s="2"/>
      <c r="H17" s="2"/>
      <c r="I17" s="2"/>
      <c r="J17" s="2"/>
    </row>
    <row r="18" customFormat="false" ht="15" hidden="false" customHeight="false" outlineLevel="0" collapsed="false">
      <c r="A18" s="104" t="s">
        <v>742</v>
      </c>
      <c r="B18" s="2"/>
      <c r="C18" s="2"/>
      <c r="D18" s="2"/>
      <c r="E18" s="2"/>
      <c r="F18" s="2"/>
      <c r="G18" s="2"/>
      <c r="H18" s="2"/>
      <c r="I18" s="2"/>
      <c r="J18" s="2"/>
    </row>
    <row r="19" customFormat="false" ht="15" hidden="false" customHeight="false" outlineLevel="0" collapsed="false">
      <c r="A19" s="104" t="s">
        <v>743</v>
      </c>
      <c r="B19" s="2"/>
      <c r="C19" s="2"/>
      <c r="D19" s="2"/>
      <c r="E19" s="2"/>
      <c r="F19" s="2"/>
      <c r="G19" s="2"/>
      <c r="H19" s="2"/>
      <c r="I19" s="2"/>
      <c r="J19" s="2"/>
    </row>
    <row r="20" customFormat="false" ht="15" hidden="false" customHeight="false" outlineLevel="0" collapsed="false">
      <c r="A20" s="104" t="s">
        <v>744</v>
      </c>
      <c r="B20" s="2"/>
      <c r="C20" s="2"/>
      <c r="D20" s="2"/>
      <c r="E20" s="2"/>
      <c r="F20" s="2"/>
      <c r="G20" s="2"/>
      <c r="H20" s="2"/>
      <c r="I20" s="2"/>
      <c r="J20" s="2"/>
    </row>
    <row r="21" customFormat="false" ht="15" hidden="false" customHeight="false" outlineLevel="0" collapsed="false">
      <c r="A21" s="21" t="s">
        <v>745</v>
      </c>
      <c r="B21" s="2"/>
      <c r="C21" s="2"/>
      <c r="D21" s="2"/>
      <c r="E21" s="2"/>
      <c r="F21" s="2"/>
      <c r="G21" s="2"/>
      <c r="H21" s="2"/>
      <c r="I21" s="2"/>
      <c r="J21" s="2"/>
    </row>
    <row r="22" customFormat="false" ht="15" hidden="false" customHeight="false" outlineLevel="0" collapsed="false">
      <c r="A22" s="104" t="s">
        <v>746</v>
      </c>
      <c r="B22" s="2"/>
      <c r="C22" s="2"/>
      <c r="D22" s="2"/>
      <c r="E22" s="2"/>
      <c r="F22" s="2"/>
      <c r="G22" s="2"/>
      <c r="H22" s="2"/>
      <c r="I22" s="2"/>
      <c r="J22" s="2"/>
    </row>
    <row r="23" customFormat="false" ht="15" hidden="false" customHeight="false" outlineLevel="0" collapsed="false">
      <c r="A23" s="104" t="s">
        <v>747</v>
      </c>
      <c r="B23" s="2"/>
      <c r="C23" s="2"/>
      <c r="D23" s="2"/>
      <c r="E23" s="2"/>
      <c r="F23" s="2"/>
      <c r="G23" s="2"/>
      <c r="H23" s="2"/>
      <c r="I23" s="2"/>
      <c r="J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AD4FF"/>
    <pageSetUpPr fitToPage="false"/>
  </sheetPr>
  <dimension ref="A1:H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62"/>
    <col collapsed="false" customWidth="true" hidden="false" outlineLevel="0" max="4" min="4" style="0" width="34"/>
  </cols>
  <sheetData>
    <row r="1" customFormat="false" ht="18.55" hidden="false" customHeight="false" outlineLevel="0" collapsed="false">
      <c r="A1" s="1" t="s">
        <v>748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749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31.5" hidden="false" customHeight="true" outlineLevel="0" collapsed="false">
      <c r="A4" s="87" t="s">
        <v>750</v>
      </c>
      <c r="B4" s="87" t="s">
        <v>751</v>
      </c>
      <c r="C4" s="87" t="s">
        <v>752</v>
      </c>
      <c r="D4" s="87" t="s">
        <v>753</v>
      </c>
      <c r="E4" s="2"/>
      <c r="F4" s="2"/>
      <c r="G4" s="2"/>
      <c r="H4" s="2"/>
    </row>
    <row r="5" customFormat="false" ht="30" hidden="false" customHeight="true" outlineLevel="0" collapsed="false">
      <c r="A5" s="148" t="s">
        <v>754</v>
      </c>
      <c r="B5" s="150" t="s">
        <v>755</v>
      </c>
      <c r="C5" s="150" t="s">
        <v>756</v>
      </c>
      <c r="D5" s="149" t="s">
        <v>757</v>
      </c>
      <c r="E5" s="2"/>
      <c r="F5" s="2"/>
      <c r="G5" s="2"/>
      <c r="H5" s="2"/>
    </row>
    <row r="6" customFormat="false" ht="30" hidden="false" customHeight="true" outlineLevel="0" collapsed="false">
      <c r="A6" s="155" t="s">
        <v>758</v>
      </c>
      <c r="B6" s="153" t="s">
        <v>759</v>
      </c>
      <c r="C6" s="153" t="s">
        <v>760</v>
      </c>
      <c r="D6" s="152" t="s">
        <v>761</v>
      </c>
      <c r="E6" s="2"/>
      <c r="F6" s="2"/>
      <c r="G6" s="2"/>
      <c r="H6" s="2"/>
    </row>
    <row r="7" customFormat="false" ht="30" hidden="false" customHeight="true" outlineLevel="0" collapsed="false">
      <c r="A7" s="148" t="s">
        <v>762</v>
      </c>
      <c r="B7" s="150" t="s">
        <v>763</v>
      </c>
      <c r="C7" s="150" t="s">
        <v>764</v>
      </c>
      <c r="D7" s="149" t="s">
        <v>765</v>
      </c>
      <c r="E7" s="2"/>
      <c r="F7" s="2"/>
      <c r="G7" s="2"/>
      <c r="H7" s="2"/>
    </row>
    <row r="8" customFormat="false" ht="30" hidden="false" customHeight="true" outlineLevel="0" collapsed="false">
      <c r="A8" s="155" t="s">
        <v>766</v>
      </c>
      <c r="B8" s="153" t="s">
        <v>767</v>
      </c>
      <c r="C8" s="153" t="s">
        <v>768</v>
      </c>
      <c r="D8" s="152" t="s">
        <v>769</v>
      </c>
      <c r="E8" s="2"/>
      <c r="F8" s="2"/>
      <c r="G8" s="2"/>
      <c r="H8" s="2"/>
    </row>
    <row r="9" customFormat="false" ht="30" hidden="false" customHeight="true" outlineLevel="0" collapsed="false">
      <c r="A9" s="148" t="s">
        <v>770</v>
      </c>
      <c r="B9" s="150" t="s">
        <v>771</v>
      </c>
      <c r="C9" s="149" t="s">
        <v>772</v>
      </c>
      <c r="D9" s="149" t="s">
        <v>769</v>
      </c>
      <c r="E9" s="2"/>
      <c r="F9" s="2"/>
      <c r="G9" s="2"/>
      <c r="H9" s="2"/>
    </row>
    <row r="10" customFormat="false" ht="30" hidden="false" customHeight="true" outlineLevel="0" collapsed="false">
      <c r="A10" s="151" t="s">
        <v>773</v>
      </c>
      <c r="B10" s="153" t="s">
        <v>774</v>
      </c>
      <c r="C10" s="153" t="s">
        <v>775</v>
      </c>
      <c r="D10" s="152" t="s">
        <v>769</v>
      </c>
      <c r="E10" s="2"/>
      <c r="F10" s="2"/>
      <c r="G10" s="2"/>
      <c r="H10" s="2"/>
    </row>
    <row r="11" customFormat="false" ht="30" hidden="false" customHeight="true" outlineLevel="0" collapsed="false">
      <c r="A11" s="148" t="s">
        <v>776</v>
      </c>
      <c r="B11" s="150" t="s">
        <v>777</v>
      </c>
      <c r="C11" s="150" t="s">
        <v>778</v>
      </c>
      <c r="D11" s="149" t="s">
        <v>779</v>
      </c>
      <c r="E11" s="2"/>
      <c r="F11" s="2"/>
      <c r="G11" s="2"/>
      <c r="H11" s="2"/>
    </row>
    <row r="12" customFormat="false" ht="30" hidden="false" customHeight="true" outlineLevel="0" collapsed="false">
      <c r="A12" s="155" t="s">
        <v>780</v>
      </c>
      <c r="B12" s="153" t="s">
        <v>86</v>
      </c>
      <c r="C12" s="153" t="s">
        <v>781</v>
      </c>
      <c r="D12" s="152" t="s">
        <v>607</v>
      </c>
      <c r="E12" s="2"/>
      <c r="F12" s="2"/>
      <c r="G12" s="2"/>
      <c r="H12" s="2"/>
    </row>
    <row r="13" customFormat="false" ht="30" hidden="false" customHeight="true" outlineLevel="0" collapsed="false">
      <c r="A13" s="148" t="s">
        <v>782</v>
      </c>
      <c r="B13" s="150" t="s">
        <v>86</v>
      </c>
      <c r="C13" s="150" t="s">
        <v>783</v>
      </c>
      <c r="D13" s="149" t="s">
        <v>784</v>
      </c>
      <c r="E13" s="2"/>
      <c r="F13" s="2"/>
      <c r="G13" s="2"/>
      <c r="H13" s="2"/>
    </row>
    <row r="14" customFormat="false" ht="30" hidden="false" customHeight="true" outlineLevel="0" collapsed="false">
      <c r="A14" s="155" t="s">
        <v>785</v>
      </c>
      <c r="B14" s="153" t="s">
        <v>786</v>
      </c>
      <c r="C14" s="153" t="s">
        <v>787</v>
      </c>
      <c r="D14" s="153" t="s">
        <v>788</v>
      </c>
      <c r="E14" s="2"/>
      <c r="F14" s="2"/>
      <c r="G14" s="2"/>
      <c r="H14" s="2"/>
    </row>
    <row r="15" customFormat="false" ht="30" hidden="false" customHeight="true" outlineLevel="0" collapsed="false">
      <c r="A15" s="148" t="s">
        <v>172</v>
      </c>
      <c r="B15" s="150" t="s">
        <v>789</v>
      </c>
      <c r="C15" s="150" t="s">
        <v>790</v>
      </c>
      <c r="D15" s="149" t="s">
        <v>791</v>
      </c>
      <c r="E15" s="2"/>
      <c r="F15" s="2"/>
      <c r="G15" s="2"/>
      <c r="H15" s="2"/>
    </row>
    <row r="16" customFormat="false" ht="30" hidden="false" customHeight="true" outlineLevel="0" collapsed="false">
      <c r="A16" s="155" t="s">
        <v>792</v>
      </c>
      <c r="B16" s="153" t="s">
        <v>86</v>
      </c>
      <c r="C16" s="153" t="s">
        <v>793</v>
      </c>
      <c r="D16" s="152" t="s">
        <v>791</v>
      </c>
      <c r="E16" s="2"/>
      <c r="F16" s="2"/>
      <c r="G16" s="2"/>
      <c r="H16" s="2"/>
    </row>
    <row r="17" customFormat="false" ht="30" hidden="false" customHeight="true" outlineLevel="0" collapsed="false">
      <c r="A17" s="148" t="s">
        <v>794</v>
      </c>
      <c r="B17" s="150" t="s">
        <v>86</v>
      </c>
      <c r="C17" s="150" t="s">
        <v>795</v>
      </c>
      <c r="D17" s="149" t="s">
        <v>791</v>
      </c>
      <c r="E17" s="2"/>
      <c r="F17" s="2"/>
      <c r="G17" s="2"/>
      <c r="H17" s="2"/>
    </row>
    <row r="18" customFormat="false" ht="30" hidden="false" customHeight="true" outlineLevel="0" collapsed="false">
      <c r="A18" s="155" t="s">
        <v>796</v>
      </c>
      <c r="B18" s="153" t="s">
        <v>797</v>
      </c>
      <c r="C18" s="153" t="s">
        <v>798</v>
      </c>
      <c r="D18" s="152" t="s">
        <v>799</v>
      </c>
      <c r="E18" s="2"/>
      <c r="F18" s="2"/>
      <c r="G18" s="2"/>
      <c r="H18" s="2"/>
    </row>
    <row r="19" customFormat="false" ht="30" hidden="false" customHeight="true" outlineLevel="0" collapsed="false">
      <c r="A19" s="148" t="s">
        <v>800</v>
      </c>
      <c r="B19" s="150" t="s">
        <v>86</v>
      </c>
      <c r="C19" s="150" t="s">
        <v>801</v>
      </c>
      <c r="D19" s="149" t="s">
        <v>802</v>
      </c>
      <c r="E19" s="2"/>
      <c r="F19" s="2"/>
      <c r="G19" s="2"/>
      <c r="H19" s="2"/>
    </row>
    <row r="20" customFormat="false" ht="30" hidden="false" customHeight="true" outlineLevel="0" collapsed="false">
      <c r="A20" s="155" t="s">
        <v>803</v>
      </c>
      <c r="B20" s="153" t="s">
        <v>86</v>
      </c>
      <c r="C20" s="153" t="s">
        <v>804</v>
      </c>
      <c r="D20" s="152" t="s">
        <v>805</v>
      </c>
      <c r="E20" s="2"/>
      <c r="F20" s="2"/>
      <c r="G20" s="2"/>
      <c r="H20" s="2"/>
    </row>
    <row r="21" customFormat="false" ht="30" hidden="false" customHeight="true" outlineLevel="0" collapsed="false">
      <c r="A21" s="148" t="s">
        <v>806</v>
      </c>
      <c r="B21" s="150" t="s">
        <v>807</v>
      </c>
      <c r="C21" s="150" t="s">
        <v>808</v>
      </c>
      <c r="D21" s="149" t="s">
        <v>809</v>
      </c>
      <c r="E21" s="2"/>
      <c r="F21" s="2"/>
      <c r="G21" s="2"/>
      <c r="H21" s="2"/>
    </row>
    <row r="22" customFormat="false" ht="30" hidden="false" customHeight="true" outlineLevel="0" collapsed="false">
      <c r="A22" s="155" t="s">
        <v>810</v>
      </c>
      <c r="B22" s="153" t="s">
        <v>811</v>
      </c>
      <c r="C22" s="153" t="s">
        <v>812</v>
      </c>
      <c r="D22" s="152" t="s">
        <v>813</v>
      </c>
      <c r="E22" s="2"/>
      <c r="F22" s="2"/>
      <c r="G22" s="2"/>
      <c r="H22" s="2"/>
    </row>
    <row r="23" customFormat="false" ht="30" hidden="false" customHeight="true" outlineLevel="0" collapsed="false">
      <c r="A23" s="148" t="s">
        <v>814</v>
      </c>
      <c r="B23" s="150" t="s">
        <v>86</v>
      </c>
      <c r="C23" s="150" t="s">
        <v>815</v>
      </c>
      <c r="D23" s="149" t="s">
        <v>813</v>
      </c>
      <c r="E23" s="2"/>
      <c r="F23" s="2"/>
      <c r="G23" s="2"/>
      <c r="H23" s="2"/>
    </row>
    <row r="24" customFormat="false" ht="30" hidden="false" customHeight="true" outlineLevel="0" collapsed="false">
      <c r="A24" s="155" t="s">
        <v>816</v>
      </c>
      <c r="B24" s="153" t="s">
        <v>86</v>
      </c>
      <c r="C24" s="153" t="s">
        <v>817</v>
      </c>
      <c r="D24" s="152" t="s">
        <v>818</v>
      </c>
      <c r="E24" s="2"/>
      <c r="F24" s="2"/>
      <c r="G24" s="2"/>
      <c r="H24" s="2"/>
    </row>
    <row r="25" customFormat="false" ht="30" hidden="false" customHeight="true" outlineLevel="0" collapsed="false">
      <c r="A25" s="148" t="s">
        <v>819</v>
      </c>
      <c r="B25" s="150" t="s">
        <v>820</v>
      </c>
      <c r="C25" s="150" t="s">
        <v>821</v>
      </c>
      <c r="D25" s="149" t="s">
        <v>607</v>
      </c>
      <c r="E25" s="2"/>
      <c r="F25" s="2"/>
      <c r="G25" s="2"/>
      <c r="H25" s="2"/>
    </row>
    <row r="26" customFormat="false" ht="30" hidden="false" customHeight="true" outlineLevel="0" collapsed="false">
      <c r="A26" s="151" t="s">
        <v>822</v>
      </c>
      <c r="B26" s="153" t="s">
        <v>823</v>
      </c>
      <c r="C26" s="153" t="s">
        <v>824</v>
      </c>
      <c r="D26" s="152" t="s">
        <v>825</v>
      </c>
      <c r="E26" s="2"/>
      <c r="F26" s="2"/>
      <c r="G26" s="2"/>
      <c r="H26" s="2"/>
    </row>
    <row r="27" customFormat="false" ht="30" hidden="false" customHeight="true" outlineLevel="0" collapsed="false">
      <c r="A27" s="148" t="s">
        <v>826</v>
      </c>
      <c r="B27" s="150" t="s">
        <v>827</v>
      </c>
      <c r="C27" s="150" t="s">
        <v>828</v>
      </c>
      <c r="D27" s="149" t="s">
        <v>607</v>
      </c>
      <c r="E27" s="2"/>
      <c r="F27" s="2"/>
      <c r="G27" s="2"/>
      <c r="H27" s="2"/>
    </row>
    <row r="28" customFormat="false" ht="30" hidden="false" customHeight="true" outlineLevel="0" collapsed="false">
      <c r="A28" s="151" t="s">
        <v>829</v>
      </c>
      <c r="B28" s="153" t="s">
        <v>830</v>
      </c>
      <c r="C28" s="152" t="s">
        <v>831</v>
      </c>
      <c r="D28" s="152" t="s">
        <v>832</v>
      </c>
      <c r="E28" s="2"/>
      <c r="F28" s="2"/>
      <c r="G28" s="2"/>
      <c r="H28" s="2"/>
    </row>
    <row r="29" customFormat="false" ht="30" hidden="false" customHeight="true" outlineLevel="0" collapsed="false">
      <c r="A29" s="148" t="s">
        <v>833</v>
      </c>
      <c r="B29" s="150" t="s">
        <v>834</v>
      </c>
      <c r="C29" s="150" t="s">
        <v>835</v>
      </c>
      <c r="D29" s="149" t="s">
        <v>836</v>
      </c>
      <c r="E29" s="2"/>
      <c r="F29" s="2"/>
      <c r="G29" s="2"/>
      <c r="H29" s="2"/>
    </row>
    <row r="30" customFormat="false" ht="30" hidden="false" customHeight="true" outlineLevel="0" collapsed="false">
      <c r="A30" s="151" t="s">
        <v>837</v>
      </c>
      <c r="B30" s="153" t="s">
        <v>838</v>
      </c>
      <c r="C30" s="152" t="s">
        <v>839</v>
      </c>
      <c r="D30" s="152" t="s">
        <v>836</v>
      </c>
      <c r="E30" s="2"/>
      <c r="F30" s="2"/>
      <c r="G30" s="2"/>
      <c r="H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7A7A"/>
    <pageSetUpPr fitToPage="false"/>
  </sheetPr>
  <dimension ref="A1:H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56"/>
    <col collapsed="false" customWidth="true" hidden="false" outlineLevel="0" max="4" min="4" style="0" width="34"/>
  </cols>
  <sheetData>
    <row r="1" customFormat="false" ht="18.55" hidden="false" customHeight="false" outlineLevel="0" collapsed="false">
      <c r="A1" s="1" t="s">
        <v>840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841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4" t="s">
        <v>842</v>
      </c>
      <c r="B4" s="2"/>
      <c r="C4" s="2"/>
      <c r="D4" s="2"/>
      <c r="E4" s="2"/>
      <c r="F4" s="2"/>
      <c r="G4" s="2"/>
      <c r="H4" s="2"/>
    </row>
    <row r="5" customFormat="false" ht="31.5" hidden="false" customHeight="true" outlineLevel="0" collapsed="false">
      <c r="A5" s="107" t="s">
        <v>843</v>
      </c>
      <c r="B5" s="87" t="s">
        <v>412</v>
      </c>
      <c r="C5" s="87" t="s">
        <v>844</v>
      </c>
      <c r="D5" s="87" t="s">
        <v>845</v>
      </c>
      <c r="E5" s="2"/>
      <c r="F5" s="2"/>
      <c r="G5" s="2"/>
      <c r="H5" s="2"/>
    </row>
    <row r="6" customFormat="false" ht="31.5" hidden="false" customHeight="true" outlineLevel="0" collapsed="false">
      <c r="A6" s="154"/>
      <c r="B6" s="150" t="s">
        <v>846</v>
      </c>
      <c r="C6" s="149" t="s">
        <v>847</v>
      </c>
      <c r="D6" s="150" t="s">
        <v>848</v>
      </c>
      <c r="E6" s="2"/>
      <c r="F6" s="2"/>
      <c r="G6" s="2"/>
      <c r="H6" s="2"/>
    </row>
    <row r="7" customFormat="false" ht="31.5" hidden="false" customHeight="true" outlineLevel="0" collapsed="false">
      <c r="A7" s="151"/>
      <c r="B7" s="153" t="s">
        <v>849</v>
      </c>
      <c r="C7" s="153" t="s">
        <v>850</v>
      </c>
      <c r="D7" s="153" t="s">
        <v>851</v>
      </c>
      <c r="E7" s="2"/>
      <c r="F7" s="2"/>
      <c r="G7" s="2"/>
      <c r="H7" s="2"/>
    </row>
    <row r="8" customFormat="false" ht="31.5" hidden="false" customHeight="true" outlineLevel="0" collapsed="false">
      <c r="A8" s="154"/>
      <c r="B8" s="150" t="s">
        <v>852</v>
      </c>
      <c r="C8" s="150" t="s">
        <v>853</v>
      </c>
      <c r="D8" s="150" t="s">
        <v>854</v>
      </c>
      <c r="E8" s="2"/>
      <c r="F8" s="2"/>
      <c r="G8" s="2"/>
      <c r="H8" s="2"/>
    </row>
    <row r="9" customFormat="false" ht="31.5" hidden="false" customHeight="true" outlineLevel="0" collapsed="false">
      <c r="A9" s="151"/>
      <c r="B9" s="153" t="s">
        <v>855</v>
      </c>
      <c r="C9" s="153" t="s">
        <v>856</v>
      </c>
      <c r="D9" s="153" t="s">
        <v>857</v>
      </c>
      <c r="E9" s="2"/>
      <c r="F9" s="2"/>
      <c r="G9" s="2"/>
      <c r="H9" s="2"/>
    </row>
    <row r="10" customFormat="false" ht="31.5" hidden="false" customHeight="true" outlineLevel="0" collapsed="false">
      <c r="A10" s="154"/>
      <c r="B10" s="150" t="s">
        <v>858</v>
      </c>
      <c r="C10" s="150" t="s">
        <v>859</v>
      </c>
      <c r="D10" s="149" t="s">
        <v>860</v>
      </c>
      <c r="E10" s="2"/>
      <c r="F10" s="2"/>
      <c r="G10" s="2"/>
      <c r="H10" s="2"/>
    </row>
    <row r="11" customFormat="false" ht="31.5" hidden="false" customHeight="true" outlineLevel="0" collapsed="false">
      <c r="A11" s="151"/>
      <c r="B11" s="153" t="s">
        <v>861</v>
      </c>
      <c r="C11" s="152" t="s">
        <v>862</v>
      </c>
      <c r="D11" s="153" t="s">
        <v>863</v>
      </c>
      <c r="E11" s="2"/>
      <c r="F11" s="2"/>
      <c r="G11" s="2"/>
      <c r="H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</row>
    <row r="13" customFormat="false" ht="15" hidden="false" customHeight="false" outlineLevel="0" collapsed="false">
      <c r="A13" s="4" t="s">
        <v>864</v>
      </c>
      <c r="B13" s="2"/>
      <c r="C13" s="2"/>
      <c r="D13" s="2"/>
      <c r="E13" s="2"/>
      <c r="F13" s="2"/>
      <c r="G13" s="2"/>
      <c r="H13" s="2"/>
    </row>
    <row r="14" customFormat="false" ht="31.5" hidden="false" customHeight="true" outlineLevel="0" collapsed="false">
      <c r="A14" s="107" t="s">
        <v>843</v>
      </c>
      <c r="B14" s="87" t="s">
        <v>865</v>
      </c>
      <c r="C14" s="87" t="s">
        <v>866</v>
      </c>
      <c r="D14" s="87" t="s">
        <v>867</v>
      </c>
      <c r="E14" s="2"/>
      <c r="F14" s="2"/>
      <c r="G14" s="2"/>
      <c r="H14" s="2"/>
    </row>
    <row r="15" customFormat="false" ht="31.5" hidden="false" customHeight="true" outlineLevel="0" collapsed="false">
      <c r="A15" s="154"/>
      <c r="B15" s="150" t="s">
        <v>868</v>
      </c>
      <c r="C15" s="150" t="s">
        <v>869</v>
      </c>
      <c r="D15" s="149" t="s">
        <v>870</v>
      </c>
      <c r="E15" s="2"/>
      <c r="F15" s="2"/>
      <c r="G15" s="2"/>
      <c r="H15" s="2"/>
    </row>
    <row r="16" customFormat="false" ht="31.5" hidden="false" customHeight="true" outlineLevel="0" collapsed="false">
      <c r="A16" s="151"/>
      <c r="B16" s="153" t="s">
        <v>871</v>
      </c>
      <c r="C16" s="153" t="s">
        <v>872</v>
      </c>
      <c r="D16" s="153" t="s">
        <v>873</v>
      </c>
      <c r="E16" s="2"/>
      <c r="F16" s="2"/>
      <c r="G16" s="2"/>
      <c r="H16" s="2"/>
    </row>
    <row r="17" customFormat="false" ht="31.5" hidden="false" customHeight="true" outlineLevel="0" collapsed="false">
      <c r="A17" s="154"/>
      <c r="B17" s="150" t="s">
        <v>874</v>
      </c>
      <c r="C17" s="150" t="s">
        <v>875</v>
      </c>
      <c r="D17" s="150" t="s">
        <v>876</v>
      </c>
      <c r="E17" s="2"/>
      <c r="F17" s="2"/>
      <c r="G17" s="2"/>
      <c r="H17" s="2"/>
    </row>
    <row r="18" customFormat="false" ht="31.5" hidden="false" customHeight="true" outlineLevel="0" collapsed="false">
      <c r="A18" s="151"/>
      <c r="B18" s="153" t="s">
        <v>877</v>
      </c>
      <c r="C18" s="153" t="s">
        <v>878</v>
      </c>
      <c r="D18" s="152" t="s">
        <v>879</v>
      </c>
      <c r="E18" s="2"/>
      <c r="F18" s="2"/>
      <c r="G18" s="2"/>
      <c r="H18" s="2"/>
    </row>
    <row r="19" customFormat="false" ht="31.5" hidden="false" customHeight="true" outlineLevel="0" collapsed="false">
      <c r="A19" s="154"/>
      <c r="B19" s="149" t="s">
        <v>880</v>
      </c>
      <c r="C19" s="150" t="s">
        <v>881</v>
      </c>
      <c r="D19" s="150" t="s">
        <v>882</v>
      </c>
      <c r="E19" s="2"/>
      <c r="F19" s="2"/>
      <c r="G19" s="2"/>
      <c r="H19" s="2"/>
    </row>
    <row r="20" customFormat="false" ht="31.5" hidden="false" customHeight="true" outlineLevel="0" collapsed="false">
      <c r="A20" s="151"/>
      <c r="B20" s="153" t="s">
        <v>883</v>
      </c>
      <c r="C20" s="153" t="s">
        <v>884</v>
      </c>
      <c r="D20" s="152" t="s">
        <v>885</v>
      </c>
      <c r="E20" s="2"/>
      <c r="F20" s="2"/>
      <c r="G20" s="2"/>
      <c r="H20" s="2"/>
    </row>
    <row r="21" customFormat="false" ht="31.5" hidden="false" customHeight="true" outlineLevel="0" collapsed="false">
      <c r="A21" s="154"/>
      <c r="B21" s="150" t="s">
        <v>886</v>
      </c>
      <c r="C21" s="150" t="s">
        <v>887</v>
      </c>
      <c r="D21" s="149" t="s">
        <v>888</v>
      </c>
      <c r="E21" s="2"/>
      <c r="F21" s="2"/>
      <c r="G21" s="2"/>
      <c r="H21" s="2"/>
    </row>
    <row r="22" customFormat="false" ht="31.5" hidden="false" customHeight="true" outlineLevel="0" collapsed="false">
      <c r="A22" s="151"/>
      <c r="B22" s="153" t="s">
        <v>889</v>
      </c>
      <c r="C22" s="152" t="s">
        <v>890</v>
      </c>
      <c r="D22" s="152" t="s">
        <v>891</v>
      </c>
      <c r="E22" s="2"/>
      <c r="F22" s="2"/>
      <c r="G22" s="2"/>
      <c r="H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</row>
    <row r="24" customFormat="false" ht="15" hidden="false" customHeight="false" outlineLevel="0" collapsed="false">
      <c r="A24" s="4" t="s">
        <v>892</v>
      </c>
      <c r="B24" s="2"/>
      <c r="C24" s="2"/>
      <c r="D24" s="2"/>
      <c r="E24" s="2"/>
      <c r="F24" s="2"/>
      <c r="G24" s="2"/>
      <c r="H24" s="2"/>
    </row>
    <row r="25" customFormat="false" ht="31.5" hidden="false" customHeight="true" outlineLevel="0" collapsed="false">
      <c r="A25" s="107" t="s">
        <v>843</v>
      </c>
      <c r="B25" s="87" t="s">
        <v>412</v>
      </c>
      <c r="C25" s="87" t="s">
        <v>893</v>
      </c>
      <c r="D25" s="87" t="s">
        <v>894</v>
      </c>
      <c r="E25" s="2"/>
      <c r="F25" s="2"/>
      <c r="G25" s="2"/>
      <c r="H25" s="2"/>
    </row>
    <row r="26" customFormat="false" ht="30" hidden="false" customHeight="true" outlineLevel="0" collapsed="false">
      <c r="A26" s="154"/>
      <c r="B26" s="149" t="s">
        <v>895</v>
      </c>
      <c r="C26" s="149" t="s">
        <v>896</v>
      </c>
      <c r="D26" s="150" t="s">
        <v>897</v>
      </c>
      <c r="E26" s="2"/>
      <c r="F26" s="2"/>
      <c r="G26" s="2"/>
      <c r="H26" s="2"/>
    </row>
    <row r="27" customFormat="false" ht="30" hidden="false" customHeight="true" outlineLevel="0" collapsed="false">
      <c r="A27" s="151"/>
      <c r="B27" s="152" t="s">
        <v>898</v>
      </c>
      <c r="C27" s="152" t="s">
        <v>899</v>
      </c>
      <c r="D27" s="153" t="s">
        <v>900</v>
      </c>
      <c r="E27" s="2"/>
      <c r="F27" s="2"/>
      <c r="G27" s="2"/>
      <c r="H27" s="2"/>
    </row>
    <row r="28" customFormat="false" ht="30" hidden="false" customHeight="true" outlineLevel="0" collapsed="false">
      <c r="A28" s="154"/>
      <c r="B28" s="149" t="s">
        <v>901</v>
      </c>
      <c r="C28" s="149" t="s">
        <v>902</v>
      </c>
      <c r="D28" s="150" t="s">
        <v>903</v>
      </c>
      <c r="E28" s="2"/>
      <c r="F28" s="2"/>
      <c r="G28" s="2"/>
      <c r="H28" s="2"/>
    </row>
    <row r="29" customFormat="false" ht="30" hidden="false" customHeight="true" outlineLevel="0" collapsed="false">
      <c r="A29" s="151"/>
      <c r="B29" s="152" t="s">
        <v>904</v>
      </c>
      <c r="C29" s="152" t="s">
        <v>905</v>
      </c>
      <c r="D29" s="152" t="s">
        <v>906</v>
      </c>
      <c r="E29" s="2"/>
      <c r="F29" s="2"/>
      <c r="G29" s="2"/>
      <c r="H29" s="2"/>
    </row>
    <row r="30" customFormat="false" ht="30" hidden="false" customHeight="true" outlineLevel="0" collapsed="false">
      <c r="A30" s="154"/>
      <c r="B30" s="150" t="s">
        <v>907</v>
      </c>
      <c r="C30" s="150" t="s">
        <v>908</v>
      </c>
      <c r="D30" s="150" t="s">
        <v>909</v>
      </c>
      <c r="E30" s="2"/>
      <c r="F30" s="2"/>
      <c r="G30" s="2"/>
      <c r="H30" s="2"/>
    </row>
    <row r="31" customFormat="false" ht="30" hidden="false" customHeight="true" outlineLevel="0" collapsed="false">
      <c r="A31" s="151"/>
      <c r="B31" s="153" t="s">
        <v>910</v>
      </c>
      <c r="C31" s="153" t="s">
        <v>911</v>
      </c>
      <c r="D31" s="153" t="s">
        <v>912</v>
      </c>
      <c r="E31" s="2"/>
      <c r="F31" s="2"/>
      <c r="G31" s="2"/>
      <c r="H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E6A0"/>
    <pageSetUpPr fitToPage="false"/>
  </sheetPr>
  <dimension ref="A1:J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6"/>
    <col collapsed="false" customWidth="true" hidden="false" outlineLevel="0" max="6" min="6" style="0" width="30"/>
    <col collapsed="false" customWidth="true" hidden="false" outlineLevel="0" max="8" min="7" style="0" width="22"/>
  </cols>
  <sheetData>
    <row r="1" customFormat="false" ht="18.55" hidden="false" customHeight="false" outlineLevel="0" collapsed="false">
      <c r="A1" s="1" t="s">
        <v>913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914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7.15" hidden="false" customHeight="false" outlineLevel="0" collapsed="false">
      <c r="A4" s="4" t="s">
        <v>915</v>
      </c>
      <c r="B4" s="2"/>
      <c r="C4" s="2"/>
      <c r="D4" s="2"/>
      <c r="E4" s="2"/>
      <c r="F4" s="4" t="s">
        <v>916</v>
      </c>
      <c r="G4" s="2"/>
      <c r="H4" s="2"/>
      <c r="I4" s="2"/>
      <c r="J4" s="2"/>
    </row>
    <row r="5" customFormat="false" ht="31.5" hidden="false" customHeight="true" outlineLevel="0" collapsed="false">
      <c r="A5" s="107"/>
      <c r="B5" s="87" t="s">
        <v>917</v>
      </c>
      <c r="C5" s="87" t="s">
        <v>918</v>
      </c>
      <c r="D5" s="87" t="s">
        <v>919</v>
      </c>
      <c r="E5" s="107" t="s">
        <v>920</v>
      </c>
      <c r="F5" s="2"/>
      <c r="G5" s="2"/>
      <c r="H5" s="2"/>
      <c r="I5" s="2"/>
      <c r="J5" s="2"/>
    </row>
    <row r="6" customFormat="false" ht="24" hidden="false" customHeight="true" outlineLevel="0" collapsed="false">
      <c r="A6" s="148" t="s">
        <v>921</v>
      </c>
      <c r="B6" s="149" t="s">
        <v>922</v>
      </c>
      <c r="C6" s="149" t="s">
        <v>923</v>
      </c>
      <c r="D6" s="149" t="s">
        <v>924</v>
      </c>
      <c r="E6" s="149" t="s">
        <v>925</v>
      </c>
      <c r="F6" s="57" t="s">
        <v>926</v>
      </c>
      <c r="G6" s="2"/>
      <c r="H6" s="2"/>
      <c r="I6" s="2"/>
      <c r="J6" s="2"/>
    </row>
    <row r="7" customFormat="false" ht="24" hidden="false" customHeight="true" outlineLevel="0" collapsed="false">
      <c r="A7" s="155" t="s">
        <v>927</v>
      </c>
      <c r="B7" s="152" t="s">
        <v>928</v>
      </c>
      <c r="C7" s="152" t="s">
        <v>929</v>
      </c>
      <c r="D7" s="152" t="s">
        <v>930</v>
      </c>
      <c r="E7" s="152" t="s">
        <v>931</v>
      </c>
      <c r="F7" s="57" t="s">
        <v>932</v>
      </c>
      <c r="G7" s="2"/>
      <c r="H7" s="2"/>
      <c r="I7" s="2"/>
      <c r="J7" s="2"/>
    </row>
    <row r="8" customFormat="false" ht="15" hidden="false" customHeight="false" outlineLevel="0" collapsed="false">
      <c r="A8" s="2"/>
      <c r="B8" s="2"/>
      <c r="C8" s="2"/>
      <c r="D8" s="2"/>
      <c r="E8" s="2"/>
      <c r="F8" s="57" t="s">
        <v>933</v>
      </c>
      <c r="G8" s="2"/>
      <c r="H8" s="2"/>
      <c r="I8" s="2"/>
      <c r="J8" s="2"/>
    </row>
    <row r="9" customFormat="false" ht="15" hidden="false" customHeight="false" outlineLevel="0" collapsed="false">
      <c r="A9" s="41" t="s">
        <v>934</v>
      </c>
      <c r="B9" s="2"/>
      <c r="C9" s="2"/>
      <c r="D9" s="2"/>
      <c r="E9" s="2"/>
      <c r="F9" s="57" t="s">
        <v>935</v>
      </c>
      <c r="G9" s="2"/>
      <c r="H9" s="2"/>
      <c r="I9" s="2"/>
      <c r="J9" s="2"/>
    </row>
    <row r="10" customFormat="false" ht="15" hidden="false" customHeight="false" outlineLevel="0" collapsed="false">
      <c r="A10" s="157" t="s">
        <v>936</v>
      </c>
      <c r="B10" s="2"/>
      <c r="C10" s="2"/>
      <c r="D10" s="2"/>
      <c r="E10" s="2"/>
      <c r="F10" s="57" t="s">
        <v>937</v>
      </c>
      <c r="G10" s="2"/>
      <c r="H10" s="2"/>
      <c r="I10" s="2"/>
      <c r="J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57"/>
      <c r="G11" s="2"/>
      <c r="H11" s="2"/>
      <c r="I11" s="2"/>
      <c r="J11" s="2"/>
    </row>
    <row r="12" customFormat="false" ht="17.15" hidden="false" customHeight="false" outlineLevel="0" collapsed="false">
      <c r="A12" s="4" t="s">
        <v>938</v>
      </c>
      <c r="B12" s="2"/>
      <c r="C12" s="2"/>
      <c r="D12" s="2"/>
      <c r="E12" s="2"/>
      <c r="F12" s="158" t="s">
        <v>939</v>
      </c>
      <c r="G12" s="2"/>
      <c r="H12" s="2"/>
      <c r="I12" s="2"/>
      <c r="J12" s="2"/>
    </row>
    <row r="13" customFormat="false" ht="31.5" hidden="false" customHeight="true" outlineLevel="0" collapsed="false">
      <c r="A13" s="107" t="s">
        <v>239</v>
      </c>
      <c r="B13" s="107" t="s">
        <v>940</v>
      </c>
      <c r="C13" s="107" t="s">
        <v>941</v>
      </c>
      <c r="D13" s="107" t="s">
        <v>942</v>
      </c>
      <c r="E13" s="2"/>
      <c r="F13" s="158" t="s">
        <v>943</v>
      </c>
      <c r="G13" s="2"/>
      <c r="H13" s="2"/>
      <c r="I13" s="2"/>
      <c r="J13" s="2"/>
    </row>
    <row r="14" customFormat="false" ht="15" hidden="false" customHeight="false" outlineLevel="0" collapsed="false">
      <c r="A14" s="159" t="n">
        <v>1</v>
      </c>
      <c r="B14" s="89" t="n">
        <v>3400</v>
      </c>
      <c r="C14" s="71" t="n">
        <v>5.1E-005</v>
      </c>
      <c r="D14" s="71" t="n">
        <v>0.00301</v>
      </c>
      <c r="E14" s="2"/>
      <c r="F14" s="158" t="s">
        <v>944</v>
      </c>
      <c r="G14" s="2"/>
      <c r="H14" s="2"/>
      <c r="I14" s="2"/>
      <c r="J14" s="2"/>
    </row>
    <row r="15" customFormat="false" ht="15" hidden="false" customHeight="false" outlineLevel="0" collapsed="false">
      <c r="A15" s="159" t="n">
        <v>2</v>
      </c>
      <c r="B15" s="89" t="n">
        <v>3410</v>
      </c>
      <c r="C15" s="71" t="n">
        <v>9.3E-005</v>
      </c>
      <c r="D15" s="71" t="n">
        <v>0.003391</v>
      </c>
      <c r="E15" s="2"/>
      <c r="F15" s="158" t="s">
        <v>945</v>
      </c>
      <c r="G15" s="2"/>
      <c r="H15" s="2"/>
      <c r="I15" s="2"/>
      <c r="J15" s="2"/>
    </row>
    <row r="16" customFormat="false" ht="15" hidden="false" customHeight="false" outlineLevel="0" collapsed="false">
      <c r="A16" s="159" t="n">
        <v>3</v>
      </c>
      <c r="B16" s="89" t="n">
        <v>3420</v>
      </c>
      <c r="C16" s="71" t="n">
        <v>0.000162</v>
      </c>
      <c r="D16" s="71" t="n">
        <v>0.003876</v>
      </c>
      <c r="E16" s="2"/>
      <c r="F16" s="2"/>
      <c r="G16" s="2"/>
      <c r="H16" s="2"/>
      <c r="I16" s="2"/>
      <c r="J16" s="2"/>
    </row>
    <row r="17" customFormat="false" ht="15" hidden="false" customHeight="false" outlineLevel="0" collapsed="false">
      <c r="A17" s="159" t="n">
        <v>4</v>
      </c>
      <c r="B17" s="89" t="n">
        <v>3430</v>
      </c>
      <c r="C17" s="71" t="n">
        <v>0.00028</v>
      </c>
      <c r="D17" s="71" t="n">
        <v>0.004516</v>
      </c>
      <c r="E17" s="2"/>
      <c r="F17" s="2"/>
      <c r="G17" s="2"/>
      <c r="H17" s="2"/>
      <c r="I17" s="2"/>
      <c r="J17" s="2"/>
    </row>
    <row r="18" customFormat="false" ht="15" hidden="false" customHeight="false" outlineLevel="0" collapsed="false">
      <c r="A18" s="159" t="n">
        <v>5</v>
      </c>
      <c r="B18" s="89" t="n">
        <v>3440</v>
      </c>
      <c r="C18" s="71" t="n">
        <v>0.000512</v>
      </c>
      <c r="D18" s="71" t="n">
        <v>0.005463</v>
      </c>
      <c r="E18" s="2"/>
      <c r="F18" s="2"/>
      <c r="G18" s="2"/>
      <c r="H18" s="2"/>
      <c r="I18" s="2"/>
      <c r="J18" s="2"/>
    </row>
    <row r="19" customFormat="false" ht="15" hidden="false" customHeight="false" outlineLevel="0" collapsed="false">
      <c r="A19" s="159" t="n">
        <v>6</v>
      </c>
      <c r="B19" s="89" t="n">
        <v>3450</v>
      </c>
      <c r="C19" s="71" t="n">
        <v>0.001016</v>
      </c>
      <c r="D19" s="71" t="n">
        <v>0.006854</v>
      </c>
      <c r="E19" s="2"/>
      <c r="F19" s="2"/>
      <c r="G19" s="2"/>
      <c r="H19" s="2"/>
      <c r="I19" s="2"/>
      <c r="J19" s="2"/>
    </row>
    <row r="20" customFormat="false" ht="15" hidden="false" customHeight="false" outlineLevel="0" collapsed="false">
      <c r="A20" s="159" t="n">
        <v>7</v>
      </c>
      <c r="B20" s="89" t="n">
        <v>3460</v>
      </c>
      <c r="C20" s="71" t="n">
        <v>0.002362</v>
      </c>
      <c r="D20" s="71" t="n">
        <v>0.00908</v>
      </c>
      <c r="E20" s="2"/>
      <c r="F20" s="2"/>
      <c r="G20" s="2"/>
      <c r="H20" s="2"/>
      <c r="I20" s="2"/>
      <c r="J20" s="2"/>
    </row>
    <row r="21" customFormat="false" ht="15" hidden="false" customHeight="false" outlineLevel="0" collapsed="false">
      <c r="A21" s="159" t="n">
        <v>8</v>
      </c>
      <c r="B21" s="89" t="n">
        <v>3470</v>
      </c>
      <c r="C21" s="71" t="n">
        <v>0.006939</v>
      </c>
      <c r="D21" s="71" t="n">
        <v>0.012171</v>
      </c>
      <c r="E21" s="2"/>
      <c r="F21" s="2"/>
      <c r="G21" s="2"/>
      <c r="H21" s="2"/>
      <c r="I21" s="2"/>
      <c r="J21" s="2"/>
    </row>
    <row r="22" customFormat="false" ht="15" hidden="false" customHeight="false" outlineLevel="0" collapsed="false">
      <c r="A22" s="159" t="n">
        <v>9</v>
      </c>
      <c r="B22" s="89" t="n">
        <v>3480</v>
      </c>
      <c r="C22" s="71" t="n">
        <v>0.016968</v>
      </c>
      <c r="D22" s="71" t="n">
        <v>0.007099</v>
      </c>
      <c r="E22" s="2"/>
      <c r="F22" s="2"/>
      <c r="G22" s="2"/>
      <c r="H22" s="2"/>
      <c r="I22" s="2"/>
      <c r="J22" s="2"/>
    </row>
    <row r="23" customFormat="false" ht="15" hidden="false" customHeight="false" outlineLevel="0" collapsed="false">
      <c r="A23" s="159" t="n">
        <v>10</v>
      </c>
      <c r="B23" s="89" t="n">
        <v>3490</v>
      </c>
      <c r="C23" s="71" t="n">
        <v>0.012733</v>
      </c>
      <c r="D23" s="71" t="n">
        <v>-0.002205</v>
      </c>
      <c r="E23" s="2"/>
      <c r="F23" s="2"/>
      <c r="G23" s="2"/>
      <c r="H23" s="2"/>
      <c r="I23" s="2"/>
      <c r="J23" s="2"/>
    </row>
    <row r="24" customFormat="false" ht="15" hidden="false" customHeight="false" outlineLevel="0" collapsed="false">
      <c r="A24" s="159" t="n">
        <v>11</v>
      </c>
      <c r="B24" s="89" t="n">
        <v>3500</v>
      </c>
      <c r="C24" s="71" t="n">
        <v>0.009201</v>
      </c>
      <c r="D24" s="71" t="n">
        <v>-0.001806</v>
      </c>
      <c r="E24" s="2"/>
      <c r="F24" s="2"/>
      <c r="G24" s="2"/>
      <c r="H24" s="2"/>
      <c r="I24" s="2"/>
      <c r="J24" s="2"/>
    </row>
    <row r="25" customFormat="false" ht="15" hidden="false" customHeight="false" outlineLevel="0" collapsed="false">
      <c r="A25" s="159" t="n">
        <v>12</v>
      </c>
      <c r="B25" s="89" t="n">
        <v>3510</v>
      </c>
      <c r="C25" s="71" t="n">
        <v>0.010162</v>
      </c>
      <c r="D25" s="71" t="n">
        <v>-0.00152</v>
      </c>
      <c r="E25" s="2"/>
      <c r="F25" s="2"/>
      <c r="G25" s="2"/>
      <c r="H25" s="2"/>
      <c r="I25" s="2"/>
      <c r="J25" s="2"/>
    </row>
    <row r="26" customFormat="false" ht="15" hidden="false" customHeight="false" outlineLevel="0" collapsed="false">
      <c r="A26" s="159" t="n">
        <v>13</v>
      </c>
      <c r="B26" s="89" t="n">
        <v>3520</v>
      </c>
      <c r="C26" s="71" t="n">
        <v>0.011108</v>
      </c>
      <c r="D26" s="71" t="n">
        <v>-0.005744</v>
      </c>
      <c r="E26" s="2"/>
      <c r="F26" s="2"/>
      <c r="G26" s="2"/>
      <c r="H26" s="2"/>
      <c r="I26" s="2"/>
      <c r="J26" s="2"/>
    </row>
    <row r="27" customFormat="false" ht="15" hidden="false" customHeight="false" outlineLevel="0" collapsed="false">
      <c r="A27" s="159" t="n">
        <v>14</v>
      </c>
      <c r="B27" s="89" t="n">
        <v>3530</v>
      </c>
      <c r="C27" s="71" t="n">
        <v>0.006478</v>
      </c>
      <c r="D27" s="71" t="n">
        <v>-0.008669</v>
      </c>
      <c r="E27" s="2"/>
      <c r="F27" s="2"/>
      <c r="G27" s="2"/>
      <c r="H27" s="2"/>
      <c r="I27" s="2"/>
      <c r="J27" s="2"/>
    </row>
    <row r="28" customFormat="false" ht="15" hidden="false" customHeight="false" outlineLevel="0" collapsed="false">
      <c r="A28" s="159" t="n">
        <v>15</v>
      </c>
      <c r="B28" s="89" t="n">
        <v>3540</v>
      </c>
      <c r="C28" s="71" t="n">
        <v>0.003142</v>
      </c>
      <c r="D28" s="71" t="n">
        <v>-0.007475</v>
      </c>
      <c r="E28" s="2"/>
      <c r="F28" s="2"/>
      <c r="G28" s="2"/>
      <c r="H28" s="2"/>
      <c r="I28" s="2"/>
      <c r="J28" s="2"/>
    </row>
    <row r="29" customFormat="false" ht="15" hidden="false" customHeight="false" outlineLevel="0" collapsed="false">
      <c r="A29" s="159" t="n">
        <v>16</v>
      </c>
      <c r="B29" s="89" t="n">
        <v>3550</v>
      </c>
      <c r="C29" s="71" t="n">
        <v>0.001759</v>
      </c>
      <c r="D29" s="71" t="n">
        <v>-0.006056</v>
      </c>
      <c r="E29" s="2"/>
      <c r="F29" s="2"/>
      <c r="G29" s="2"/>
      <c r="H29" s="2"/>
      <c r="I29" s="2"/>
      <c r="J29" s="2"/>
    </row>
    <row r="30" customFormat="false" ht="15" hidden="false" customHeight="false" outlineLevel="0" collapsed="false">
      <c r="A30" s="159" t="n">
        <v>17</v>
      </c>
      <c r="B30" s="89" t="n">
        <v>3560</v>
      </c>
      <c r="C30" s="71" t="n">
        <v>0.001128</v>
      </c>
      <c r="D30" s="71" t="n">
        <v>-0.005</v>
      </c>
      <c r="E30" s="2"/>
      <c r="F30" s="2"/>
      <c r="G30" s="2"/>
      <c r="H30" s="2"/>
      <c r="I30" s="2"/>
      <c r="J30" s="2"/>
    </row>
    <row r="31" customFormat="false" ht="15" hidden="false" customHeight="false" outlineLevel="0" collapsed="false">
      <c r="A31" s="159" t="n">
        <v>18</v>
      </c>
      <c r="B31" s="89" t="n">
        <v>3570</v>
      </c>
      <c r="C31" s="71" t="n">
        <v>0.000797</v>
      </c>
      <c r="D31" s="71" t="n">
        <v>-0.004246</v>
      </c>
      <c r="E31" s="2"/>
      <c r="F31" s="2"/>
      <c r="G31" s="2"/>
      <c r="H31" s="2"/>
      <c r="I31" s="2"/>
      <c r="J31" s="2"/>
    </row>
    <row r="32" customFormat="false" ht="15" hidden="false" customHeight="false" outlineLevel="0" collapsed="false">
      <c r="A32" s="159" t="n">
        <v>19</v>
      </c>
      <c r="B32" s="89" t="n">
        <v>3580</v>
      </c>
      <c r="C32" s="71" t="n">
        <v>0.000602</v>
      </c>
      <c r="D32" s="71" t="n">
        <v>-0.003688</v>
      </c>
      <c r="E32" s="2"/>
      <c r="F32" s="2"/>
      <c r="G32" s="2"/>
      <c r="H32" s="2"/>
      <c r="I32" s="2"/>
      <c r="J32" s="2"/>
    </row>
    <row r="33" customFormat="false" ht="15" hidden="false" customHeight="false" outlineLevel="0" collapsed="false">
      <c r="A33" s="159" t="n">
        <v>20</v>
      </c>
      <c r="B33" s="89" t="n">
        <v>3590</v>
      </c>
      <c r="C33" s="71" t="n">
        <v>0.000478</v>
      </c>
      <c r="D33" s="71" t="n">
        <v>-0.003267</v>
      </c>
      <c r="E33" s="2"/>
      <c r="F33" s="2"/>
      <c r="G33" s="2"/>
      <c r="H33" s="2"/>
      <c r="I33" s="2"/>
      <c r="J33" s="2"/>
    </row>
    <row r="34" customFormat="false" ht="15" hidden="false" customHeight="false" outlineLevel="0" collapsed="false">
      <c r="A34" s="159" t="n">
        <v>21</v>
      </c>
      <c r="B34" s="89" t="n">
        <v>3600</v>
      </c>
      <c r="C34" s="71" t="n">
        <v>0.000393</v>
      </c>
      <c r="D34" s="71" t="n">
        <v>-0.002933</v>
      </c>
      <c r="E34" s="2"/>
      <c r="F34" s="2"/>
      <c r="G34" s="2"/>
      <c r="H34" s="2"/>
      <c r="I34" s="2"/>
      <c r="J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7B5"/>
    <pageSetUpPr fitToPage="false"/>
  </sheetPr>
  <dimension ref="A1:J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8"/>
    <col collapsed="false" customWidth="true" hidden="false" outlineLevel="0" max="4" min="4" style="0" width="52"/>
    <col collapsed="false" customWidth="true" hidden="false" outlineLevel="0" max="5" min="5" style="0" width="30"/>
  </cols>
  <sheetData>
    <row r="1" customFormat="false" ht="23.1" hidden="false" customHeight="false" outlineLevel="0" collapsed="false">
      <c r="A1" s="59" t="s">
        <v>946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26" t="s">
        <v>947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7.15" hidden="false" customHeight="false" outlineLevel="0" collapsed="false">
      <c r="A4" s="23" t="s">
        <v>948</v>
      </c>
      <c r="B4" s="2"/>
      <c r="C4" s="2"/>
      <c r="D4" s="2"/>
      <c r="E4" s="2"/>
      <c r="F4" s="2"/>
      <c r="G4" s="2"/>
      <c r="H4" s="2"/>
      <c r="I4" s="2"/>
      <c r="J4" s="2"/>
    </row>
    <row r="5" customFormat="false" ht="31.5" hidden="false" customHeight="true" outlineLevel="0" collapsed="false">
      <c r="A5" s="87" t="s">
        <v>949</v>
      </c>
      <c r="B5" s="87" t="s">
        <v>950</v>
      </c>
      <c r="C5" s="87" t="s">
        <v>951</v>
      </c>
      <c r="D5" s="87" t="s">
        <v>952</v>
      </c>
      <c r="E5" s="87" t="s">
        <v>953</v>
      </c>
      <c r="F5" s="2"/>
      <c r="G5" s="2"/>
      <c r="H5" s="2"/>
      <c r="I5" s="2"/>
      <c r="J5" s="2"/>
    </row>
    <row r="6" customFormat="false" ht="27.75" hidden="false" customHeight="true" outlineLevel="0" collapsed="false">
      <c r="A6" s="148" t="s">
        <v>954</v>
      </c>
      <c r="B6" s="150" t="s">
        <v>955</v>
      </c>
      <c r="C6" s="149" t="s">
        <v>956</v>
      </c>
      <c r="D6" s="149" t="s">
        <v>957</v>
      </c>
      <c r="E6" s="150" t="s">
        <v>958</v>
      </c>
      <c r="F6" s="2"/>
      <c r="G6" s="2"/>
      <c r="H6" s="2"/>
      <c r="I6" s="2"/>
      <c r="J6" s="2"/>
    </row>
    <row r="7" customFormat="false" ht="27.75" hidden="false" customHeight="true" outlineLevel="0" collapsed="false">
      <c r="A7" s="155" t="s">
        <v>959</v>
      </c>
      <c r="B7" s="153" t="s">
        <v>960</v>
      </c>
      <c r="C7" s="152" t="s">
        <v>961</v>
      </c>
      <c r="D7" s="152" t="s">
        <v>962</v>
      </c>
      <c r="E7" s="152" t="s">
        <v>963</v>
      </c>
      <c r="F7" s="2"/>
      <c r="G7" s="2"/>
      <c r="H7" s="2"/>
      <c r="I7" s="2"/>
      <c r="J7" s="2"/>
    </row>
    <row r="8" customFormat="false" ht="27.75" hidden="false" customHeight="true" outlineLevel="0" collapsed="false">
      <c r="A8" s="148" t="s">
        <v>964</v>
      </c>
      <c r="B8" s="150" t="s">
        <v>965</v>
      </c>
      <c r="C8" s="149" t="s">
        <v>966</v>
      </c>
      <c r="D8" s="149" t="s">
        <v>967</v>
      </c>
      <c r="E8" s="150" t="s">
        <v>968</v>
      </c>
      <c r="F8" s="2"/>
      <c r="G8" s="2"/>
      <c r="H8" s="2"/>
      <c r="I8" s="2"/>
      <c r="J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</row>
    <row r="10" customFormat="false" ht="25.5" hidden="false" customHeight="true" outlineLevel="0" collapsed="false">
      <c r="A10" s="121" t="s">
        <v>969</v>
      </c>
      <c r="B10" s="2"/>
      <c r="C10" s="2"/>
      <c r="D10" s="2"/>
      <c r="E10" s="2"/>
      <c r="F10" s="2"/>
      <c r="G10" s="2"/>
      <c r="H10" s="2"/>
      <c r="I10" s="2"/>
      <c r="J10" s="2"/>
    </row>
    <row r="11" customFormat="false" ht="15" hidden="false" customHeight="false" outlineLevel="0" collapsed="false">
      <c r="A11" s="22" t="s">
        <v>970</v>
      </c>
      <c r="B11" s="2"/>
      <c r="C11" s="2"/>
      <c r="D11" s="2"/>
      <c r="E11" s="2"/>
      <c r="F11" s="2"/>
      <c r="G11" s="2"/>
      <c r="H11" s="2"/>
      <c r="I11" s="2"/>
      <c r="J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customFormat="false" ht="15" hidden="false" customHeight="false" outlineLevel="0" collapsed="false">
      <c r="A13" s="4" t="s">
        <v>971</v>
      </c>
      <c r="B13" s="2"/>
      <c r="C13" s="2"/>
      <c r="D13" s="2"/>
      <c r="E13" s="2"/>
      <c r="F13" s="2"/>
      <c r="G13" s="2"/>
      <c r="H13" s="2"/>
      <c r="I13" s="2"/>
      <c r="J13" s="2"/>
    </row>
    <row r="14" customFormat="false" ht="15" hidden="false" customHeight="false" outlineLevel="0" collapsed="false">
      <c r="A14" s="6" t="s">
        <v>972</v>
      </c>
      <c r="B14" s="29" t="n">
        <v>3480</v>
      </c>
      <c r="C14" s="2"/>
      <c r="D14" s="2"/>
      <c r="E14" s="2"/>
      <c r="F14" s="2"/>
      <c r="G14" s="2"/>
      <c r="H14" s="2"/>
      <c r="I14" s="2"/>
      <c r="J14" s="2"/>
    </row>
    <row r="15" customFormat="false" ht="15" hidden="false" customHeight="false" outlineLevel="0" collapsed="false">
      <c r="A15" s="6" t="s">
        <v>973</v>
      </c>
      <c r="B15" s="89" t="n">
        <f aca="false">2*PI()*B14</f>
        <v>21865.484868985</v>
      </c>
      <c r="C15" s="2"/>
      <c r="D15" s="2"/>
      <c r="E15" s="2"/>
      <c r="F15" s="2"/>
      <c r="G15" s="2"/>
      <c r="H15" s="2"/>
      <c r="I15" s="2"/>
      <c r="J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customFormat="false" ht="15" hidden="false" customHeight="false" outlineLevel="0" collapsed="false">
      <c r="A17" s="6" t="s">
        <v>974</v>
      </c>
      <c r="B17" s="55" t="n">
        <v>0.016968</v>
      </c>
      <c r="C17" s="2"/>
      <c r="D17" s="2"/>
      <c r="E17" s="2"/>
      <c r="F17" s="2"/>
      <c r="G17" s="2"/>
      <c r="H17" s="2"/>
      <c r="I17" s="2"/>
      <c r="J17" s="2"/>
    </row>
    <row r="18" customFormat="false" ht="15" hidden="false" customHeight="false" outlineLevel="0" collapsed="false">
      <c r="A18" s="6" t="s">
        <v>975</v>
      </c>
      <c r="B18" s="55" t="n">
        <v>0.007099</v>
      </c>
      <c r="C18" s="2"/>
      <c r="D18" s="2"/>
      <c r="E18" s="2"/>
      <c r="F18" s="2"/>
      <c r="G18" s="2"/>
      <c r="H18" s="2"/>
      <c r="I18" s="2"/>
      <c r="J18" s="2"/>
    </row>
    <row r="19" customFormat="false" ht="15" hidden="false" customHeight="false" outlineLevel="0" collapsed="false">
      <c r="A19" s="6" t="s">
        <v>976</v>
      </c>
      <c r="B19" s="24" t="n">
        <v>2</v>
      </c>
      <c r="C19" s="2"/>
      <c r="D19" s="2"/>
      <c r="E19" s="2"/>
      <c r="F19" s="2"/>
      <c r="G19" s="2"/>
      <c r="H19" s="2"/>
      <c r="I19" s="2"/>
      <c r="J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customFormat="false" ht="26.85" hidden="false" customHeight="false" outlineLevel="0" collapsed="false">
      <c r="A21" s="6" t="s">
        <v>977</v>
      </c>
      <c r="B21" s="160" t="n">
        <f aca="false">IF($B$19=1,$B$17,IF($B$19=2,$B$18/$B$15,-$B$17/$B$15^2))</f>
        <v>3.24666937071657E-007</v>
      </c>
      <c r="C21" s="2"/>
      <c r="D21" s="51" t="s">
        <v>978</v>
      </c>
      <c r="E21" s="2"/>
      <c r="F21" s="2"/>
      <c r="G21" s="2"/>
      <c r="H21" s="2"/>
      <c r="I21" s="2"/>
      <c r="J21" s="2"/>
    </row>
    <row r="22" customFormat="false" ht="15" hidden="false" customHeight="false" outlineLevel="0" collapsed="false">
      <c r="A22" s="6" t="s">
        <v>979</v>
      </c>
      <c r="B22" s="160" t="n">
        <f aca="false">IF($B$19=1,$B$18,IF($B$19=2,-$B$17/$B$15,-$B$18/$B$15^2))</f>
        <v>-7.76017550110138E-007</v>
      </c>
      <c r="C22" s="2"/>
      <c r="D22" s="2"/>
      <c r="E22" s="2"/>
      <c r="F22" s="2"/>
      <c r="G22" s="2"/>
      <c r="H22" s="2"/>
      <c r="I22" s="2"/>
      <c r="J22" s="2"/>
    </row>
    <row r="23" customFormat="false" ht="15" hidden="false" customHeight="false" outlineLevel="0" collapsed="false">
      <c r="A23" s="6" t="s">
        <v>980</v>
      </c>
      <c r="B23" s="160" t="n">
        <f aca="false">IF($B$19=2,$B$17,IF($B$19=1,-$B$15*$B$18,$B$18/$B$15))</f>
        <v>0.016968</v>
      </c>
      <c r="C23" s="2"/>
      <c r="D23" s="2"/>
      <c r="E23" s="2"/>
      <c r="F23" s="2"/>
      <c r="G23" s="2"/>
      <c r="H23" s="2"/>
      <c r="I23" s="2"/>
      <c r="J23" s="2"/>
    </row>
    <row r="24" customFormat="false" ht="15" hidden="false" customHeight="false" outlineLevel="0" collapsed="false">
      <c r="A24" s="6" t="s">
        <v>981</v>
      </c>
      <c r="B24" s="160" t="n">
        <f aca="false">IF($B$19=2,$B$18,IF($B$19=1,$B$15*$B$17,-$B$17/$B$15))</f>
        <v>0.007099</v>
      </c>
      <c r="C24" s="2"/>
      <c r="D24" s="2"/>
      <c r="E24" s="2"/>
      <c r="F24" s="2"/>
      <c r="G24" s="2"/>
      <c r="H24" s="2"/>
      <c r="I24" s="2"/>
      <c r="J24" s="2"/>
    </row>
    <row r="25" customFormat="false" ht="15" hidden="false" customHeight="false" outlineLevel="0" collapsed="false">
      <c r="A25" s="6" t="s">
        <v>982</v>
      </c>
      <c r="B25" s="160" t="n">
        <f aca="false">IF($B$19=3,$B$17,IF($B$19=2,-$B$15*$B$18,-$B$15^2*$B$17))</f>
        <v>-155.223077084924</v>
      </c>
      <c r="C25" s="2"/>
      <c r="D25" s="2"/>
      <c r="E25" s="2"/>
      <c r="F25" s="2"/>
      <c r="G25" s="2"/>
      <c r="H25" s="2"/>
      <c r="I25" s="2"/>
      <c r="J25" s="2"/>
    </row>
    <row r="26" customFormat="false" ht="15" hidden="false" customHeight="false" outlineLevel="0" collapsed="false">
      <c r="A26" s="6" t="s">
        <v>983</v>
      </c>
      <c r="B26" s="160" t="n">
        <f aca="false">IF($B$19=3,$B$18,IF($B$19=2,$B$15*$B$17,-$B$15^2*$B$18))</f>
        <v>371.013547256937</v>
      </c>
      <c r="C26" s="2"/>
      <c r="D26" s="2"/>
      <c r="E26" s="2"/>
      <c r="F26" s="2"/>
      <c r="G26" s="2"/>
      <c r="H26" s="2"/>
      <c r="I26" s="2"/>
      <c r="J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customFormat="false" ht="15" hidden="false" customHeight="false" outlineLevel="0" collapsed="false">
      <c r="A28" s="4" t="s">
        <v>984</v>
      </c>
      <c r="B28" s="2"/>
      <c r="C28" s="2"/>
      <c r="D28" s="2"/>
      <c r="E28" s="2"/>
      <c r="F28" s="2"/>
      <c r="G28" s="2"/>
      <c r="H28" s="2"/>
      <c r="I28" s="2"/>
      <c r="J28" s="2"/>
    </row>
    <row r="29" customFormat="false" ht="31.5" hidden="false" customHeight="true" outlineLevel="0" collapsed="false">
      <c r="A29" s="87" t="s">
        <v>985</v>
      </c>
      <c r="B29" s="87" t="s">
        <v>986</v>
      </c>
      <c r="C29" s="87" t="s">
        <v>987</v>
      </c>
      <c r="D29" s="2"/>
      <c r="E29" s="2"/>
      <c r="F29" s="2"/>
      <c r="G29" s="2"/>
      <c r="H29" s="2"/>
      <c r="I29" s="2"/>
      <c r="J29" s="2"/>
    </row>
    <row r="30" customFormat="false" ht="25.5" hidden="false" customHeight="true" outlineLevel="0" collapsed="false">
      <c r="A30" s="154" t="s">
        <v>988</v>
      </c>
      <c r="B30" s="149" t="s">
        <v>989</v>
      </c>
      <c r="C30" s="149" t="s">
        <v>990</v>
      </c>
      <c r="D30" s="2"/>
      <c r="E30" s="2"/>
      <c r="F30" s="2"/>
      <c r="G30" s="2"/>
      <c r="H30" s="2"/>
      <c r="I30" s="2"/>
      <c r="J30" s="2"/>
    </row>
    <row r="31" customFormat="false" ht="25.5" hidden="false" customHeight="true" outlineLevel="0" collapsed="false">
      <c r="A31" s="155" t="s">
        <v>991</v>
      </c>
      <c r="B31" s="152" t="s">
        <v>992</v>
      </c>
      <c r="C31" s="152" t="s">
        <v>993</v>
      </c>
      <c r="D31" s="2"/>
      <c r="E31" s="2"/>
      <c r="F31" s="2"/>
      <c r="G31" s="2"/>
      <c r="H31" s="2"/>
      <c r="I31" s="2"/>
      <c r="J31" s="2"/>
    </row>
    <row r="32" customFormat="false" ht="25.5" hidden="false" customHeight="true" outlineLevel="0" collapsed="false">
      <c r="A32" s="148" t="s">
        <v>994</v>
      </c>
      <c r="B32" s="150" t="s">
        <v>995</v>
      </c>
      <c r="C32" s="150" t="s">
        <v>996</v>
      </c>
      <c r="D32" s="2"/>
      <c r="E32" s="2"/>
      <c r="F32" s="2"/>
      <c r="G32" s="2"/>
      <c r="H32" s="2"/>
      <c r="I32" s="2"/>
      <c r="J32" s="2"/>
    </row>
    <row r="33" customFormat="false" ht="25.5" hidden="false" customHeight="true" outlineLevel="0" collapsed="false">
      <c r="A33" s="151" t="s">
        <v>997</v>
      </c>
      <c r="B33" s="152" t="s">
        <v>998</v>
      </c>
      <c r="C33" s="152" t="s">
        <v>999</v>
      </c>
      <c r="D33" s="2"/>
      <c r="E33" s="2"/>
      <c r="F33" s="2"/>
      <c r="G33" s="2"/>
      <c r="H33" s="2"/>
      <c r="I33" s="2"/>
      <c r="J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7B5"/>
    <pageSetUpPr fitToPage="false"/>
  </sheetPr>
  <dimension ref="A1:J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40"/>
  </cols>
  <sheetData>
    <row r="1" customFormat="false" ht="18.55" hidden="false" customHeight="false" outlineLevel="0" collapsed="false">
      <c r="A1" s="1" t="s">
        <v>1000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1001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24" hidden="false" customHeight="true" outlineLevel="0" collapsed="false">
      <c r="A4" s="87" t="s">
        <v>1002</v>
      </c>
      <c r="B4" s="87" t="s">
        <v>1003</v>
      </c>
      <c r="C4" s="87" t="s">
        <v>1002</v>
      </c>
      <c r="D4" s="87" t="s">
        <v>1003</v>
      </c>
      <c r="E4" s="2"/>
      <c r="F4" s="2"/>
      <c r="G4" s="2"/>
      <c r="H4" s="2"/>
      <c r="I4" s="2"/>
      <c r="J4" s="2"/>
    </row>
    <row r="5" customFormat="false" ht="25.5" hidden="false" customHeight="true" outlineLevel="0" collapsed="false">
      <c r="A5" s="161" t="s">
        <v>1004</v>
      </c>
      <c r="B5" s="162"/>
      <c r="C5" s="161" t="s">
        <v>1005</v>
      </c>
      <c r="D5" s="162"/>
      <c r="E5" s="2"/>
      <c r="F5" s="2"/>
      <c r="G5" s="2"/>
      <c r="H5" s="2"/>
      <c r="I5" s="2"/>
      <c r="J5" s="2"/>
    </row>
    <row r="6" customFormat="false" ht="25.5" hidden="false" customHeight="true" outlineLevel="0" collapsed="false">
      <c r="A6" s="161" t="s">
        <v>1006</v>
      </c>
      <c r="B6" s="162"/>
      <c r="C6" s="161" t="s">
        <v>1007</v>
      </c>
      <c r="D6" s="162"/>
      <c r="E6" s="2"/>
      <c r="F6" s="2"/>
      <c r="G6" s="2"/>
      <c r="H6" s="2"/>
      <c r="I6" s="2"/>
      <c r="J6" s="2"/>
    </row>
    <row r="7" customFormat="false" ht="25.5" hidden="false" customHeight="true" outlineLevel="0" collapsed="false">
      <c r="A7" s="161" t="s">
        <v>1008</v>
      </c>
      <c r="B7" s="162"/>
      <c r="C7" s="161" t="s">
        <v>1009</v>
      </c>
      <c r="D7" s="162"/>
      <c r="E7" s="2"/>
      <c r="F7" s="2"/>
      <c r="G7" s="2"/>
      <c r="H7" s="2"/>
      <c r="I7" s="2"/>
      <c r="J7" s="2"/>
    </row>
    <row r="8" customFormat="false" ht="25.5" hidden="false" customHeight="true" outlineLevel="0" collapsed="false">
      <c r="A8" s="161" t="s">
        <v>1010</v>
      </c>
      <c r="B8" s="162"/>
      <c r="C8" s="161" t="s">
        <v>1011</v>
      </c>
      <c r="D8" s="162"/>
      <c r="E8" s="2"/>
      <c r="F8" s="2"/>
      <c r="G8" s="2"/>
      <c r="H8" s="2"/>
      <c r="I8" s="2"/>
      <c r="J8" s="2"/>
    </row>
    <row r="9" customFormat="false" ht="25.5" hidden="false" customHeight="true" outlineLevel="0" collapsed="false">
      <c r="A9" s="161" t="s">
        <v>1012</v>
      </c>
      <c r="B9" s="162"/>
      <c r="C9" s="161" t="s">
        <v>1013</v>
      </c>
      <c r="D9" s="162"/>
      <c r="E9" s="2"/>
      <c r="F9" s="2"/>
      <c r="G9" s="2"/>
      <c r="H9" s="2"/>
      <c r="I9" s="2"/>
      <c r="J9" s="2"/>
    </row>
    <row r="10" customFormat="false" ht="25.5" hidden="false" customHeight="true" outlineLevel="0" collapsed="false">
      <c r="A10" s="161" t="s">
        <v>1014</v>
      </c>
      <c r="B10" s="162"/>
      <c r="C10" s="161" t="s">
        <v>1015</v>
      </c>
      <c r="D10" s="162"/>
      <c r="E10" s="2"/>
      <c r="F10" s="2"/>
      <c r="G10" s="2"/>
      <c r="H10" s="2"/>
      <c r="I10" s="2"/>
      <c r="J10" s="2"/>
    </row>
    <row r="11" customFormat="false" ht="25.5" hidden="false" customHeight="true" outlineLevel="0" collapsed="false">
      <c r="A11" s="161" t="s">
        <v>1016</v>
      </c>
      <c r="B11" s="162"/>
      <c r="C11" s="161" t="s">
        <v>1017</v>
      </c>
      <c r="D11" s="162"/>
      <c r="E11" s="2"/>
      <c r="F11" s="2"/>
      <c r="G11" s="2"/>
      <c r="H11" s="2"/>
      <c r="I11" s="2"/>
      <c r="J11" s="2"/>
    </row>
    <row r="12" customFormat="false" ht="25.5" hidden="false" customHeight="true" outlineLevel="0" collapsed="false">
      <c r="A12" s="161" t="s">
        <v>1018</v>
      </c>
      <c r="B12" s="162"/>
      <c r="C12" s="161" t="s">
        <v>1019</v>
      </c>
      <c r="D12" s="162"/>
      <c r="E12" s="2"/>
      <c r="F12" s="2"/>
      <c r="G12" s="2"/>
      <c r="H12" s="2"/>
      <c r="I12" s="2"/>
      <c r="J12" s="2"/>
    </row>
    <row r="13" customFormat="false" ht="25.5" hidden="false" customHeight="true" outlineLevel="0" collapsed="false">
      <c r="A13" s="161" t="s">
        <v>1020</v>
      </c>
      <c r="B13" s="162"/>
      <c r="C13" s="161" t="s">
        <v>1021</v>
      </c>
      <c r="D13" s="162"/>
      <c r="E13" s="2"/>
      <c r="F13" s="2"/>
      <c r="G13" s="2"/>
      <c r="H13" s="2"/>
      <c r="I13" s="2"/>
      <c r="J13" s="2"/>
    </row>
    <row r="14" customFormat="false" ht="25.5" hidden="false" customHeight="true" outlineLevel="0" collapsed="false">
      <c r="A14" s="161" t="s">
        <v>1022</v>
      </c>
      <c r="B14" s="162"/>
      <c r="C14" s="161" t="s">
        <v>1023</v>
      </c>
      <c r="D14" s="162"/>
      <c r="E14" s="2"/>
      <c r="F14" s="2"/>
      <c r="G14" s="2"/>
      <c r="H14" s="2"/>
      <c r="I14" s="2"/>
      <c r="J14" s="2"/>
    </row>
    <row r="15" customFormat="false" ht="25.5" hidden="false" customHeight="true" outlineLevel="0" collapsed="false">
      <c r="A15" s="161" t="s">
        <v>1024</v>
      </c>
      <c r="B15" s="162"/>
      <c r="C15" s="161" t="s">
        <v>1025</v>
      </c>
      <c r="D15" s="162"/>
      <c r="E15" s="2"/>
      <c r="F15" s="2"/>
      <c r="G15" s="2"/>
      <c r="H15" s="2"/>
      <c r="I15" s="2"/>
      <c r="J15" s="2"/>
    </row>
    <row r="16" customFormat="false" ht="25.5" hidden="false" customHeight="true" outlineLevel="0" collapsed="false">
      <c r="A16" s="161" t="s">
        <v>1026</v>
      </c>
      <c r="B16" s="162"/>
      <c r="C16" s="161" t="s">
        <v>1027</v>
      </c>
      <c r="D16" s="162"/>
      <c r="E16" s="2"/>
      <c r="F16" s="2"/>
      <c r="G16" s="2"/>
      <c r="H16" s="2"/>
      <c r="I16" s="2"/>
      <c r="J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customFormat="false" ht="15" hidden="false" customHeight="false" outlineLevel="0" collapsed="false">
      <c r="A19" s="4" t="s">
        <v>1028</v>
      </c>
      <c r="B19" s="2"/>
      <c r="C19" s="2"/>
      <c r="D19" s="2"/>
      <c r="E19" s="2"/>
      <c r="F19" s="2"/>
      <c r="G19" s="2"/>
      <c r="H19" s="2"/>
      <c r="I19" s="2"/>
      <c r="J19" s="2"/>
    </row>
    <row r="20" customFormat="false" ht="24" hidden="false" customHeight="true" outlineLevel="0" collapsed="false">
      <c r="A20" s="87" t="s">
        <v>1029</v>
      </c>
      <c r="B20" s="107" t="s">
        <v>1030</v>
      </c>
      <c r="C20" s="107" t="s">
        <v>1031</v>
      </c>
      <c r="D20" s="107" t="s">
        <v>1032</v>
      </c>
      <c r="E20" s="107" t="s">
        <v>1033</v>
      </c>
      <c r="F20" s="107" t="s">
        <v>1034</v>
      </c>
      <c r="G20" s="87" t="s">
        <v>1035</v>
      </c>
      <c r="H20" s="87" t="s">
        <v>310</v>
      </c>
      <c r="I20" s="2"/>
      <c r="J20" s="2"/>
    </row>
    <row r="21" customFormat="false" ht="15" hidden="false" customHeight="false" outlineLevel="0" collapsed="false">
      <c r="A21" s="44" t="s">
        <v>1036</v>
      </c>
      <c r="B21" s="35" t="n">
        <f aca="false">09_モーダル諸元!B9</f>
        <v>3480.00738781921</v>
      </c>
      <c r="C21" s="35" t="n">
        <f aca="false">09_モーダル諸元!B10</f>
        <v>3479.99170859526</v>
      </c>
      <c r="D21" s="116" t="n">
        <f aca="false">09_モーダル諸元!B26</f>
        <v>0.00600366848420249</v>
      </c>
      <c r="E21" s="116" t="n">
        <f aca="false">09_モーダル諸元!B27</f>
        <v>0.00300183424210124</v>
      </c>
      <c r="F21" s="90" t="n">
        <f aca="false">09_モーダル諸元!B28</f>
        <v>166.564826594158</v>
      </c>
      <c r="G21" s="35" t="n">
        <f aca="false">11_合成FRFの照合!C4</f>
        <v>0.0986843713020673</v>
      </c>
      <c r="H21" s="162"/>
      <c r="I21" s="2"/>
      <c r="J21" s="2"/>
    </row>
    <row r="22" customFormat="false" ht="15" hidden="false" customHeight="false" outlineLevel="0" collapsed="false">
      <c r="A22" s="44" t="s">
        <v>1037</v>
      </c>
      <c r="B22" s="35" t="n">
        <f aca="false">09_モーダル諸元!C9</f>
        <v>3520.00205391315</v>
      </c>
      <c r="C22" s="35" t="n">
        <f aca="false">09_モーダル諸元!C10</f>
        <v>3519.97394710949</v>
      </c>
      <c r="D22" s="116" t="n">
        <f aca="false">09_モーダル諸元!C26</f>
        <v>0.00799242184331028</v>
      </c>
      <c r="E22" s="116" t="n">
        <f aca="false">09_モーダル諸元!C27</f>
        <v>0.00399621092165514</v>
      </c>
      <c r="F22" s="90" t="n">
        <f aca="false">09_モーダル諸元!C28</f>
        <v>125.118520969587</v>
      </c>
      <c r="G22" s="35" t="n">
        <f aca="false">11_合成FRFの照合!C4</f>
        <v>0.0986843713020673</v>
      </c>
      <c r="H22" s="162"/>
      <c r="I22" s="2"/>
      <c r="J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customFormat="false" ht="25.5" hidden="false" customHeight="true" outlineLevel="0" collapsed="false">
      <c r="A24" s="51" t="s">
        <v>1038</v>
      </c>
      <c r="B24" s="2"/>
      <c r="C24" s="2"/>
      <c r="D24" s="2"/>
      <c r="E24" s="2"/>
      <c r="F24" s="2"/>
      <c r="G24" s="2"/>
      <c r="H24" s="2"/>
      <c r="I24" s="2"/>
      <c r="J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2026-07-27T17:56:43Z</dcterms:created>
  <dc:creator>openpyxl</dc:creator>
  <dc:description/>
  <dc:language>en-US</dc:language>
  <cp:lastModifiedBy/>
  <dcterms:modified xsi:type="dcterms:W3CDTF">2026-07-27T18:09:49Z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