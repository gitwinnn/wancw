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①手法比較表" sheetId="1" state="visible" r:id="rId3"/>
    <sheet name="②対数減衰率法" sheetId="2" state="visible" r:id="rId4"/>
    <sheet name="③パワー入力法" sheetId="3" state="visible" r:id="rId5"/>
    <sheet name="④サークルフィット法" sheetId="4" state="visible" r:id="rId6"/>
    <sheet name="⑤ランダムデクリメント法" sheetId="5" state="visible" r:id="rId7"/>
    <sheet name="⑥参考文献"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<sst xmlns="http://schemas.openxmlformats.org/spreadsheetml/2006/main" count="162" uniqueCount="151">
  <si>
    <r>
      <rPr>
        <b val="true"/>
        <sz val="14"/>
        <color rgb="FFFFFFFF"/>
        <rFont val="Noto Sans CJK SC"/>
        <family val="2"/>
      </rPr>
      <t xml:space="preserve">損失係数（</t>
    </r>
    <r>
      <rPr>
        <b val="true"/>
        <sz val="14"/>
        <color rgb="FFFFFFFF"/>
        <rFont val="Meiryo"/>
        <family val="0"/>
        <charset val="1"/>
      </rPr>
      <t xml:space="preserve">η</t>
    </r>
    <r>
      <rPr>
        <b val="true"/>
        <sz val="14"/>
        <color rgb="FFFFFFFF"/>
        <rFont val="Noto Sans CJK SC"/>
        <family val="2"/>
      </rPr>
      <t xml:space="preserve">）の測定方法 － 全手法比較表</t>
    </r>
  </si>
  <si>
    <t xml:space="preserve">手法名</t>
  </si>
  <si>
    <t xml:space="preserve">領域</t>
  </si>
  <si>
    <t xml:space="preserve">原理（ひとことで）</t>
  </si>
  <si>
    <t xml:space="preserve">向いている場面</t>
  </si>
  <si>
    <t xml:space="preserve">精度・注意点</t>
  </si>
  <si>
    <t xml:space="preserve">必要な測定</t>
  </si>
  <si>
    <t xml:space="preserve">難易度／確信度</t>
  </si>
  <si>
    <r>
      <rPr>
        <sz val="10"/>
        <color rgb="FFE8ECF1"/>
        <rFont val="Noto Sans CJK SC"/>
        <family val="2"/>
      </rPr>
      <t xml:space="preserve">半値幅法
</t>
    </r>
    <r>
      <rPr>
        <sz val="10"/>
        <color rgb="FFE8ECF1"/>
        <rFont val="Meiryo"/>
        <family val="0"/>
        <charset val="1"/>
      </rPr>
      <t xml:space="preserve">(-3dB</t>
    </r>
    <r>
      <rPr>
        <sz val="10"/>
        <color rgb="FFE8ECF1"/>
        <rFont val="Noto Sans CJK SC"/>
        <family val="2"/>
      </rPr>
      <t xml:space="preserve">法</t>
    </r>
    <r>
      <rPr>
        <sz val="10"/>
        <color rgb="FFE8ECF1"/>
        <rFont val="Meiryo"/>
        <family val="0"/>
        <charset val="1"/>
      </rPr>
      <t xml:space="preserve">)</t>
    </r>
  </si>
  <si>
    <t xml:space="preserve">周波数域</t>
  </si>
  <si>
    <r>
      <rPr>
        <sz val="10"/>
        <color rgb="FFE8ECF1"/>
        <rFont val="Noto Sans CJK SC"/>
        <family val="2"/>
      </rPr>
      <t xml:space="preserve">ピークの幅（</t>
    </r>
    <r>
      <rPr>
        <sz val="10"/>
        <color rgb="FFE8ECF1"/>
        <rFont val="Meiryo"/>
        <family val="0"/>
        <charset val="1"/>
      </rPr>
      <t xml:space="preserve">-3dB</t>
    </r>
    <r>
      <rPr>
        <sz val="10"/>
        <color rgb="FFE8ECF1"/>
        <rFont val="Noto Sans CJK SC"/>
        <family val="2"/>
      </rPr>
      <t xml:space="preserve">幅）を定規で測るだけの最も簡単な方法</t>
    </r>
  </si>
  <si>
    <r>
      <rPr>
        <sz val="10"/>
        <color rgb="FFE8ECF1"/>
        <rFont val="Noto Sans CJK SC"/>
        <family val="2"/>
      </rPr>
      <t xml:space="preserve">山が</t>
    </r>
    <r>
      <rPr>
        <sz val="10"/>
        <color rgb="FFE8ECF1"/>
        <rFont val="Meiryo"/>
        <family val="0"/>
        <charset val="1"/>
      </rPr>
      <t xml:space="preserve">1</t>
    </r>
    <r>
      <rPr>
        <sz val="10"/>
        <color rgb="FFE8ECF1"/>
        <rFont val="Noto Sans CJK SC"/>
        <family val="2"/>
      </rPr>
      <t xml:space="preserve">つだけ孤立している時</t>
    </r>
  </si>
  <si>
    <r>
      <rPr>
        <sz val="10"/>
        <color rgb="FFE8ECF1"/>
        <rFont val="Noto Sans CJK SC"/>
        <family val="2"/>
      </rPr>
      <t xml:space="preserve">山が</t>
    </r>
    <r>
      <rPr>
        <sz val="10"/>
        <color rgb="FFE8ECF1"/>
        <rFont val="Meiryo"/>
        <family val="0"/>
        <charset val="1"/>
      </rPr>
      <t xml:space="preserve">2</t>
    </r>
    <r>
      <rPr>
        <sz val="10"/>
        <color rgb="FFE8ECF1"/>
        <rFont val="Noto Sans CJK SC"/>
        <family val="2"/>
      </rPr>
      <t xml:space="preserve">つ重なる（縮退モード）と大きくズレる。ノイズでピークが埋もれると誤差増</t>
    </r>
  </si>
  <si>
    <r>
      <rPr>
        <sz val="10"/>
        <color rgb="FFE8ECF1"/>
        <rFont val="Meiryo"/>
        <family val="0"/>
        <charset val="1"/>
      </rPr>
      <t xml:space="preserve">FRF</t>
    </r>
    <r>
      <rPr>
        <sz val="10"/>
        <color rgb="FFE8ECF1"/>
        <rFont val="Noto Sans CJK SC"/>
        <family val="2"/>
      </rPr>
      <t xml:space="preserve">（</t>
    </r>
    <r>
      <rPr>
        <sz val="10"/>
        <color rgb="FFE8ECF1"/>
        <rFont val="Meiryo"/>
        <family val="0"/>
        <charset val="1"/>
      </rPr>
      <t xml:space="preserve">1</t>
    </r>
    <r>
      <rPr>
        <sz val="10"/>
        <color rgb="FFE8ECF1"/>
        <rFont val="Noto Sans CJK SC"/>
        <family val="2"/>
      </rPr>
      <t xml:space="preserve">点で</t>
    </r>
    <r>
      <rPr>
        <sz val="10"/>
        <color rgb="FFE8ECF1"/>
        <rFont val="Meiryo"/>
        <family val="0"/>
        <charset val="1"/>
      </rPr>
      <t xml:space="preserve">OK</t>
    </r>
    <r>
      <rPr>
        <sz val="10"/>
        <color rgb="FFE8ECF1"/>
        <rFont val="Noto Sans CJK SC"/>
        <family val="2"/>
      </rPr>
      <t xml:space="preserve">）</t>
    </r>
  </si>
  <si>
    <r>
      <rPr>
        <sz val="10"/>
        <color rgb="FFE8ECF1"/>
        <rFont val="Noto Sans CJK SC"/>
        <family val="2"/>
      </rPr>
      <t xml:space="preserve">難易度</t>
    </r>
    <r>
      <rPr>
        <sz val="10"/>
        <color rgb="FFE8ECF1"/>
        <rFont val="Meiryo"/>
        <family val="0"/>
        <charset val="1"/>
      </rPr>
      <t xml:space="preserve">:</t>
    </r>
    <r>
      <rPr>
        <sz val="10"/>
        <color rgb="FFE8ECF1"/>
        <rFont val="Noto Sans CJK SC"/>
        <family val="2"/>
      </rPr>
      <t xml:space="preserve">低 </t>
    </r>
    <r>
      <rPr>
        <sz val="10"/>
        <color rgb="FFE8ECF1"/>
        <rFont val="Meiryo"/>
        <family val="0"/>
        <charset val="1"/>
      </rPr>
      <t xml:space="preserve">/ 🟢</t>
    </r>
    <r>
      <rPr>
        <sz val="10"/>
        <color rgb="FFE8ECF1"/>
        <rFont val="Noto Sans CJK SC"/>
        <family val="2"/>
      </rPr>
      <t xml:space="preserve">確立済み手法</t>
    </r>
  </si>
  <si>
    <r>
      <rPr>
        <sz val="10"/>
        <color rgb="FFE8ECF1"/>
        <rFont val="Noto Sans CJK SC"/>
        <family val="2"/>
      </rPr>
      <t xml:space="preserve">カーブフィット法
</t>
    </r>
    <r>
      <rPr>
        <sz val="10"/>
        <color rgb="FFE8ECF1"/>
        <rFont val="Meiryo"/>
        <family val="0"/>
        <charset val="1"/>
      </rPr>
      <t xml:space="preserve">(RFP</t>
    </r>
    <r>
      <rPr>
        <sz val="10"/>
        <color rgb="FFE8ECF1"/>
        <rFont val="Noto Sans CJK SC"/>
        <family val="2"/>
      </rPr>
      <t xml:space="preserve">・</t>
    </r>
    <r>
      <rPr>
        <sz val="10"/>
        <color rgb="FFE8ECF1"/>
        <rFont val="Meiryo"/>
        <family val="0"/>
        <charset val="1"/>
      </rPr>
      <t xml:space="preserve">PolyMAX</t>
    </r>
    <r>
      <rPr>
        <sz val="10"/>
        <color rgb="FFE8ECF1"/>
        <rFont val="Noto Sans CJK SC"/>
        <family val="2"/>
      </rPr>
      <t xml:space="preserve">等</t>
    </r>
    <r>
      <rPr>
        <sz val="10"/>
        <color rgb="FFE8ECF1"/>
        <rFont val="Meiryo"/>
        <family val="0"/>
        <charset val="1"/>
      </rPr>
      <t xml:space="preserve">)</t>
    </r>
  </si>
  <si>
    <r>
      <rPr>
        <sz val="10"/>
        <color rgb="FFE8ECF1"/>
        <rFont val="Meiryo"/>
        <family val="0"/>
        <charset val="1"/>
      </rPr>
      <t xml:space="preserve">FRF</t>
    </r>
    <r>
      <rPr>
        <sz val="10"/>
        <color rgb="FFE8ECF1"/>
        <rFont val="Noto Sans CJK SC"/>
        <family val="2"/>
      </rPr>
      <t xml:space="preserve">の山の形に数式を当てはめて逆算する</t>
    </r>
  </si>
  <si>
    <t xml:space="preserve">縮退・近接モードの分離、高精度が必要な時</t>
  </si>
  <si>
    <t xml:space="preserve">縮退モードも分離可能。計算がやや高度（行列計算が必要）</t>
  </si>
  <si>
    <r>
      <rPr>
        <sz val="10"/>
        <color rgb="FFE8ECF1"/>
        <rFont val="Meiryo"/>
        <family val="0"/>
        <charset val="1"/>
      </rPr>
      <t xml:space="preserve">FRF</t>
    </r>
    <r>
      <rPr>
        <sz val="10"/>
        <color rgb="FFE8ECF1"/>
        <rFont val="Noto Sans CJK SC"/>
        <family val="2"/>
      </rPr>
      <t xml:space="preserve">（複数点が望ましい）</t>
    </r>
  </si>
  <si>
    <r>
      <rPr>
        <sz val="10"/>
        <color rgb="FFE8ECF1"/>
        <rFont val="Noto Sans CJK SC"/>
        <family val="2"/>
      </rPr>
      <t xml:space="preserve">難易度</t>
    </r>
    <r>
      <rPr>
        <sz val="10"/>
        <color rgb="FFE8ECF1"/>
        <rFont val="Meiryo"/>
        <family val="0"/>
        <charset val="1"/>
      </rPr>
      <t xml:space="preserve">:</t>
    </r>
    <r>
      <rPr>
        <sz val="10"/>
        <color rgb="FFE8ECF1"/>
        <rFont val="Noto Sans CJK SC"/>
        <family val="2"/>
      </rPr>
      <t xml:space="preserve">高 </t>
    </r>
    <r>
      <rPr>
        <sz val="10"/>
        <color rgb="FFE8ECF1"/>
        <rFont val="Meiryo"/>
        <family val="0"/>
        <charset val="1"/>
      </rPr>
      <t xml:space="preserve">/ 🟢</t>
    </r>
    <r>
      <rPr>
        <sz val="10"/>
        <color rgb="FFE8ECF1"/>
        <rFont val="Noto Sans CJK SC"/>
        <family val="2"/>
      </rPr>
      <t xml:space="preserve">確立済み手法（既にご案内済み）</t>
    </r>
  </si>
  <si>
    <r>
      <rPr>
        <sz val="10"/>
        <color rgb="FFE8ECF1"/>
        <rFont val="Noto Sans CJK SC"/>
        <family val="2"/>
      </rPr>
      <t xml:space="preserve">対数減衰率法
</t>
    </r>
    <r>
      <rPr>
        <sz val="10"/>
        <color rgb="FFE8ECF1"/>
        <rFont val="Meiryo"/>
        <family val="0"/>
        <charset val="1"/>
      </rPr>
      <t xml:space="preserve">(Log Decrement)</t>
    </r>
  </si>
  <si>
    <t xml:space="preserve">時間域</t>
  </si>
  <si>
    <t xml:space="preserve">ハンマーで叩いた後の自由減衰波形で、山（ピーク）の高さが何周期でどれだけ小さくなるかを見る</t>
  </si>
  <si>
    <t xml:space="preserve">インパクト試験の生波形がそのまま使える。現場で素早く概算したい時</t>
  </si>
  <si>
    <r>
      <rPr>
        <sz val="10"/>
        <color rgb="FFE8ECF1"/>
        <rFont val="Meiryo"/>
        <family val="0"/>
        <charset val="1"/>
      </rPr>
      <t xml:space="preserve">1</t>
    </r>
    <r>
      <rPr>
        <sz val="10"/>
        <color rgb="FFE8ECF1"/>
        <rFont val="Noto Sans CJK SC"/>
        <family val="2"/>
      </rPr>
      <t xml:space="preserve">つのモードが支配的（他のモードが混ざらない）時のみ正確。減衰が大きすぎると誤差増</t>
    </r>
  </si>
  <si>
    <t xml:space="preserve">時間波形（加速度・速度）</t>
  </si>
  <si>
    <t xml:space="preserve">ヒルベルト変換
包絡線法</t>
  </si>
  <si>
    <t xml:space="preserve">減衰波形の「包絡線（波の上側の輪郭線）」を数学的に抽出し、その傾きから減衰を求める</t>
  </si>
  <si>
    <t xml:space="preserve">対数減衰率法よりノイズに強く、自動化しやすい</t>
  </si>
  <si>
    <t xml:space="preserve">対数減衰率法の弱点（ノイズでピーク位置がズレる）を補う改良版</t>
  </si>
  <si>
    <t xml:space="preserve">時間波形</t>
  </si>
  <si>
    <r>
      <rPr>
        <sz val="10"/>
        <color rgb="FFE8ECF1"/>
        <rFont val="Noto Sans CJK SC"/>
        <family val="2"/>
      </rPr>
      <t xml:space="preserve">難易度</t>
    </r>
    <r>
      <rPr>
        <sz val="10"/>
        <color rgb="FFE8ECF1"/>
        <rFont val="Meiryo"/>
        <family val="0"/>
        <charset val="1"/>
      </rPr>
      <t xml:space="preserve">:</t>
    </r>
    <r>
      <rPr>
        <sz val="10"/>
        <color rgb="FFE8ECF1"/>
        <rFont val="Noto Sans CJK SC"/>
        <family val="2"/>
      </rPr>
      <t xml:space="preserve">中 </t>
    </r>
    <r>
      <rPr>
        <sz val="10"/>
        <color rgb="FFE8ECF1"/>
        <rFont val="Meiryo"/>
        <family val="0"/>
        <charset val="1"/>
      </rPr>
      <t xml:space="preserve">/ 🟢</t>
    </r>
    <r>
      <rPr>
        <sz val="10"/>
        <color rgb="FFE8ECF1"/>
        <rFont val="Noto Sans CJK SC"/>
        <family val="2"/>
      </rPr>
      <t xml:space="preserve">確立済み手法</t>
    </r>
  </si>
  <si>
    <r>
      <rPr>
        <sz val="10"/>
        <color rgb="FFE8ECF1"/>
        <rFont val="Noto Sans CJK SC"/>
        <family val="2"/>
      </rPr>
      <t xml:space="preserve">サークルフィット法
</t>
    </r>
    <r>
      <rPr>
        <sz val="10"/>
        <color rgb="FFE8ECF1"/>
        <rFont val="Meiryo"/>
        <family val="0"/>
        <charset val="1"/>
      </rPr>
      <t xml:space="preserve">(Kennedy-Pancu)</t>
    </r>
  </si>
  <si>
    <r>
      <rPr>
        <sz val="10"/>
        <color rgb="FFE8ECF1"/>
        <rFont val="Meiryo"/>
        <family val="0"/>
        <charset val="1"/>
      </rPr>
      <t xml:space="preserve">FRF</t>
    </r>
    <r>
      <rPr>
        <sz val="10"/>
        <color rgb="FFE8ECF1"/>
        <rFont val="Noto Sans CJK SC"/>
        <family val="2"/>
      </rPr>
      <t xml:space="preserve">を複素平面（実部</t>
    </r>
    <r>
      <rPr>
        <sz val="10"/>
        <color rgb="FFE8ECF1"/>
        <rFont val="Meiryo"/>
        <family val="0"/>
        <charset val="1"/>
      </rPr>
      <t xml:space="preserve">×</t>
    </r>
    <r>
      <rPr>
        <sz val="10"/>
        <color rgb="FFE8ECF1"/>
        <rFont val="Noto Sans CJK SC"/>
        <family val="2"/>
      </rPr>
      <t xml:space="preserve">虚部）に描くと円になる性質を使い、円の形から減衰を求める</t>
    </r>
  </si>
  <si>
    <r>
      <rPr>
        <sz val="10"/>
        <color rgb="FFE8ECF1"/>
        <rFont val="Noto Sans CJK SC"/>
        <family val="2"/>
      </rPr>
      <t xml:space="preserve">半値幅法よりノイズに強く高精度。</t>
    </r>
    <r>
      <rPr>
        <sz val="10"/>
        <color rgb="FFE8ECF1"/>
        <rFont val="Meiryo"/>
        <family val="0"/>
        <charset val="1"/>
      </rPr>
      <t xml:space="preserve">1</t>
    </r>
    <r>
      <rPr>
        <sz val="10"/>
        <color rgb="FFE8ECF1"/>
        <rFont val="Noto Sans CJK SC"/>
        <family val="2"/>
      </rPr>
      <t xml:space="preserve">つのモードを精密に測りたい時</t>
    </r>
  </si>
  <si>
    <t xml:space="preserve">半値幅法の上位互換だが、円のあてはめ計算がやや複雑</t>
  </si>
  <si>
    <r>
      <rPr>
        <sz val="10"/>
        <color rgb="FFE8ECF1"/>
        <rFont val="Meiryo"/>
        <family val="0"/>
        <charset val="1"/>
      </rPr>
      <t xml:space="preserve">FRF</t>
    </r>
    <r>
      <rPr>
        <sz val="10"/>
        <color rgb="FFE8ECF1"/>
        <rFont val="Noto Sans CJK SC"/>
        <family val="2"/>
      </rPr>
      <t xml:space="preserve">（実部・虚部データ）</t>
    </r>
  </si>
  <si>
    <r>
      <rPr>
        <sz val="10"/>
        <color rgb="FFE8ECF1"/>
        <rFont val="Noto Sans CJK SC"/>
        <family val="2"/>
      </rPr>
      <t xml:space="preserve">難易度</t>
    </r>
    <r>
      <rPr>
        <sz val="10"/>
        <color rgb="FFE8ECF1"/>
        <rFont val="Meiryo"/>
        <family val="0"/>
        <charset val="1"/>
      </rPr>
      <t xml:space="preserve">:</t>
    </r>
    <r>
      <rPr>
        <sz val="10"/>
        <color rgb="FFE8ECF1"/>
        <rFont val="Noto Sans CJK SC"/>
        <family val="2"/>
      </rPr>
      <t xml:space="preserve">中〜高 </t>
    </r>
    <r>
      <rPr>
        <sz val="10"/>
        <color rgb="FFE8ECF1"/>
        <rFont val="Meiryo"/>
        <family val="0"/>
        <charset val="1"/>
      </rPr>
      <t xml:space="preserve">/ 🟡</t>
    </r>
    <r>
      <rPr>
        <sz val="10"/>
        <color rgb="FFE8ECF1"/>
        <rFont val="Noto Sans CJK SC"/>
        <family val="2"/>
      </rPr>
      <t xml:space="preserve">詳細な係数は要文献確認（</t>
    </r>
    <r>
      <rPr>
        <sz val="10"/>
        <color rgb="FFE8ECF1"/>
        <rFont val="Meiryo"/>
        <family val="0"/>
        <charset val="1"/>
      </rPr>
      <t xml:space="preserve">Ewins</t>
    </r>
    <r>
      <rPr>
        <sz val="10"/>
        <color rgb="FFE8ECF1"/>
        <rFont val="Noto Sans CJK SC"/>
        <family val="2"/>
      </rPr>
      <t xml:space="preserve">『</t>
    </r>
    <r>
      <rPr>
        <sz val="10"/>
        <color rgb="FFE8ECF1"/>
        <rFont val="Meiryo"/>
        <family val="0"/>
        <charset val="1"/>
      </rPr>
      <t xml:space="preserve">Modal Testing</t>
    </r>
    <r>
      <rPr>
        <sz val="10"/>
        <color rgb="FFE8ECF1"/>
        <rFont val="Noto Sans CJK SC"/>
        <family val="2"/>
      </rPr>
      <t xml:space="preserve">』参照）</t>
    </r>
  </si>
  <si>
    <r>
      <rPr>
        <sz val="10"/>
        <color rgb="FFE8ECF1"/>
        <rFont val="Noto Sans CJK SC"/>
        <family val="2"/>
      </rPr>
      <t xml:space="preserve">パワー入力法
</t>
    </r>
    <r>
      <rPr>
        <sz val="10"/>
        <color rgb="FFE8ECF1"/>
        <rFont val="Meiryo"/>
        <family val="0"/>
        <charset val="1"/>
      </rPr>
      <t xml:space="preserve">(Power Input Method)</t>
    </r>
  </si>
  <si>
    <r>
      <rPr>
        <sz val="10"/>
        <color rgb="FFE8ECF1"/>
        <rFont val="Noto Sans CJK SC"/>
        <family val="2"/>
      </rPr>
      <t xml:space="preserve">周波数域
</t>
    </r>
    <r>
      <rPr>
        <sz val="10"/>
        <color rgb="FFE8ECF1"/>
        <rFont val="Meiryo"/>
        <family val="0"/>
        <charset val="1"/>
      </rPr>
      <t xml:space="preserve">(</t>
    </r>
    <r>
      <rPr>
        <sz val="10"/>
        <color rgb="FFE8ECF1"/>
        <rFont val="Noto Sans CJK SC"/>
        <family val="2"/>
      </rPr>
      <t xml:space="preserve">エネルギー</t>
    </r>
    <r>
      <rPr>
        <sz val="10"/>
        <color rgb="FFE8ECF1"/>
        <rFont val="Meiryo"/>
        <family val="0"/>
        <charset val="1"/>
      </rPr>
      <t xml:space="preserve">)</t>
    </r>
  </si>
  <si>
    <t xml:space="preserve">構造に入る仕事率（パワー）と、構造が持つ振動エネルギーの比から損失係数を求める</t>
  </si>
  <si>
    <r>
      <rPr>
        <sz val="10"/>
        <color rgb="FFE8ECF1"/>
        <rFont val="Noto Sans CJK SC"/>
        <family val="2"/>
      </rPr>
      <t xml:space="preserve">全面スキャン（</t>
    </r>
    <r>
      <rPr>
        <sz val="10"/>
        <color rgb="FFE8ECF1"/>
        <rFont val="Meiryo"/>
        <family val="0"/>
        <charset val="1"/>
      </rPr>
      <t xml:space="preserve">PSV-400</t>
    </r>
    <r>
      <rPr>
        <sz val="10"/>
        <color rgb="FFE8ECF1"/>
        <rFont val="Noto Sans CJK SC"/>
        <family val="2"/>
      </rPr>
      <t xml:space="preserve">等）でエネルギーを面全体から求められる時。モード同定が難しい高周波帯</t>
    </r>
  </si>
  <si>
    <r>
      <rPr>
        <sz val="10"/>
        <color rgb="FFE8ECF1"/>
        <rFont val="Noto Sans CJK SC"/>
        <family val="2"/>
      </rPr>
      <t xml:space="preserve">個別モードでなく帯域平均の</t>
    </r>
    <r>
      <rPr>
        <sz val="10"/>
        <color rgb="FFE8ECF1"/>
        <rFont val="Meiryo"/>
        <family val="0"/>
        <charset val="1"/>
      </rPr>
      <t xml:space="preserve">η</t>
    </r>
    <r>
      <rPr>
        <sz val="10"/>
        <color rgb="FFE8ECF1"/>
        <rFont val="Noto Sans CJK SC"/>
        <family val="2"/>
      </rPr>
      <t xml:space="preserve">が出る（バンド平均値）</t>
    </r>
  </si>
  <si>
    <r>
      <rPr>
        <sz val="10"/>
        <color rgb="FFE8ECF1"/>
        <rFont val="Noto Sans CJK SC"/>
        <family val="2"/>
      </rPr>
      <t xml:space="preserve">加振点の力・速度＋構造全面の速度分布（</t>
    </r>
    <r>
      <rPr>
        <sz val="10"/>
        <color rgb="FFE8ECF1"/>
        <rFont val="Meiryo"/>
        <family val="0"/>
        <charset val="1"/>
      </rPr>
      <t xml:space="preserve">PSV</t>
    </r>
    <r>
      <rPr>
        <sz val="10"/>
        <color rgb="FFE8ECF1"/>
        <rFont val="Noto Sans CJK SC"/>
        <family val="2"/>
      </rPr>
      <t xml:space="preserve">に好適）</t>
    </r>
  </si>
  <si>
    <r>
      <rPr>
        <sz val="10"/>
        <color rgb="FFE8ECF1"/>
        <rFont val="Noto Sans CJK SC"/>
        <family val="2"/>
      </rPr>
      <t xml:space="preserve">難易度</t>
    </r>
    <r>
      <rPr>
        <sz val="10"/>
        <color rgb="FFE8ECF1"/>
        <rFont val="Meiryo"/>
        <family val="0"/>
        <charset val="1"/>
      </rPr>
      <t xml:space="preserve">:</t>
    </r>
    <r>
      <rPr>
        <sz val="10"/>
        <color rgb="FFE8ECF1"/>
        <rFont val="Noto Sans CJK SC"/>
        <family val="2"/>
      </rPr>
      <t xml:space="preserve">中 </t>
    </r>
    <r>
      <rPr>
        <sz val="10"/>
        <color rgb="FFE8ECF1"/>
        <rFont val="Meiryo"/>
        <family val="0"/>
        <charset val="1"/>
      </rPr>
      <t xml:space="preserve">/ 🟡</t>
    </r>
    <r>
      <rPr>
        <sz val="10"/>
        <color rgb="FFE8ECF1"/>
        <rFont val="Noto Sans CJK SC"/>
        <family val="2"/>
      </rPr>
      <t xml:space="preserve">式の詳細は文献確認推奨</t>
    </r>
  </si>
  <si>
    <r>
      <rPr>
        <sz val="10"/>
        <color rgb="FFE8ECF1"/>
        <rFont val="Noto Sans CJK SC"/>
        <family val="2"/>
      </rPr>
      <t xml:space="preserve">ランダムデクリメント法
</t>
    </r>
    <r>
      <rPr>
        <sz val="10"/>
        <color rgb="FFE8ECF1"/>
        <rFont val="Meiryo"/>
        <family val="0"/>
        <charset val="1"/>
      </rPr>
      <t xml:space="preserve">(Random Decrement)</t>
    </r>
  </si>
  <si>
    <t xml:space="preserve">常時微振動（ランダム振動）の波形を多数の区間に切り、平均することで自由減衰波形を人工的に作り出す</t>
  </si>
  <si>
    <t xml:space="preserve">ハンマーやシェーカーで狙って加振できない状況（実車走行中の測定など）</t>
  </si>
  <si>
    <t xml:space="preserve">区間の切り出し・平均化の手間が大きい。今回の実験室測定では優先度低め</t>
  </si>
  <si>
    <t xml:space="preserve">常時の振動波形（長時間データ）</t>
  </si>
  <si>
    <r>
      <rPr>
        <sz val="10"/>
        <color rgb="FFE8ECF1"/>
        <rFont val="Noto Sans CJK SC"/>
        <family val="2"/>
      </rPr>
      <t xml:space="preserve">難易度</t>
    </r>
    <r>
      <rPr>
        <sz val="10"/>
        <color rgb="FFE8ECF1"/>
        <rFont val="Meiryo"/>
        <family val="0"/>
        <charset val="1"/>
      </rPr>
      <t xml:space="preserve">:</t>
    </r>
    <r>
      <rPr>
        <sz val="10"/>
        <color rgb="FFE8ECF1"/>
        <rFont val="Noto Sans CJK SC"/>
        <family val="2"/>
      </rPr>
      <t xml:space="preserve">中〜高 </t>
    </r>
    <r>
      <rPr>
        <sz val="10"/>
        <color rgb="FFE8ECF1"/>
        <rFont val="Meiryo"/>
        <family val="0"/>
        <charset val="1"/>
      </rPr>
      <t xml:space="preserve">/ 🟡</t>
    </r>
    <r>
      <rPr>
        <sz val="10"/>
        <color rgb="FFE8ECF1"/>
        <rFont val="Noto Sans CJK SC"/>
        <family val="2"/>
      </rPr>
      <t xml:space="preserve">今回の用途では参考程度</t>
    </r>
  </si>
  <si>
    <r>
      <rPr>
        <sz val="10"/>
        <color rgb="FFE8ECF1"/>
        <rFont val="Meiryo"/>
        <family val="0"/>
        <charset val="1"/>
      </rPr>
      <t xml:space="preserve">ASTM E756</t>
    </r>
    <r>
      <rPr>
        <sz val="10"/>
        <color rgb="FFE8ECF1"/>
        <rFont val="Noto Sans CJK SC"/>
        <family val="2"/>
      </rPr>
      <t xml:space="preserve">法
</t>
    </r>
    <r>
      <rPr>
        <sz val="10"/>
        <color rgb="FFE8ECF1"/>
        <rFont val="Meiryo"/>
        <family val="0"/>
        <charset val="1"/>
      </rPr>
      <t xml:space="preserve">(Oberst</t>
    </r>
    <r>
      <rPr>
        <sz val="10"/>
        <color rgb="FFE8ECF1"/>
        <rFont val="Noto Sans CJK SC"/>
        <family val="2"/>
      </rPr>
      <t xml:space="preserve">梁法</t>
    </r>
    <r>
      <rPr>
        <sz val="10"/>
        <color rgb="FFE8ECF1"/>
        <rFont val="Meiryo"/>
        <family val="0"/>
        <charset val="1"/>
      </rPr>
      <t xml:space="preserve">)</t>
    </r>
  </si>
  <si>
    <r>
      <rPr>
        <sz val="10"/>
        <color rgb="FFE8ECF1"/>
        <rFont val="Noto Sans CJK SC"/>
        <family val="2"/>
      </rPr>
      <t xml:space="preserve">規格化された「複合梁（</t>
    </r>
    <r>
      <rPr>
        <sz val="10"/>
        <color rgb="FFE8ECF1"/>
        <rFont val="Meiryo"/>
        <family val="0"/>
        <charset val="1"/>
      </rPr>
      <t xml:space="preserve">Oberst beam</t>
    </r>
    <r>
      <rPr>
        <sz val="10"/>
        <color rgb="FFE8ECF1"/>
        <rFont val="Noto Sans CJK SC"/>
        <family val="2"/>
      </rPr>
      <t xml:space="preserve">）」形状の試験片を使い、複素弾性率から材料固有の</t>
    </r>
    <r>
      <rPr>
        <sz val="10"/>
        <color rgb="FFE8ECF1"/>
        <rFont val="Meiryo"/>
        <family val="0"/>
        <charset val="1"/>
      </rPr>
      <t xml:space="preserve">η</t>
    </r>
    <r>
      <rPr>
        <sz val="10"/>
        <color rgb="FFE8ECF1"/>
        <rFont val="Noto Sans CJK SC"/>
        <family val="2"/>
      </rPr>
      <t xml:space="preserve">を求める</t>
    </r>
  </si>
  <si>
    <r>
      <rPr>
        <sz val="10"/>
        <color rgb="FFE8ECF1"/>
        <rFont val="Noto Sans CJK SC"/>
        <family val="2"/>
      </rPr>
      <t xml:space="preserve">摩擦材そのものの材料特性（ダンピング材料としての</t>
    </r>
    <r>
      <rPr>
        <sz val="10"/>
        <color rgb="FFE8ECF1"/>
        <rFont val="Meiryo"/>
        <family val="0"/>
        <charset val="1"/>
      </rPr>
      <t xml:space="preserve">η</t>
    </r>
    <r>
      <rPr>
        <sz val="10"/>
        <color rgb="FFE8ECF1"/>
        <rFont val="Noto Sans CJK SC"/>
        <family val="2"/>
      </rPr>
      <t xml:space="preserve">）を規格に沿って評価したい時</t>
    </r>
  </si>
  <si>
    <t xml:space="preserve">専用形状の試験片作成が必要。ブレーキパッド実部品の測定には直接使えない（材料評価用）</t>
  </si>
  <si>
    <t xml:space="preserve">規定形状の梁試験片＋加振・応答</t>
  </si>
  <si>
    <r>
      <rPr>
        <sz val="10"/>
        <color rgb="FFE8ECF1"/>
        <rFont val="Noto Sans CJK SC"/>
        <family val="2"/>
      </rPr>
      <t xml:space="preserve">難易度</t>
    </r>
    <r>
      <rPr>
        <sz val="10"/>
        <color rgb="FFE8ECF1"/>
        <rFont val="Meiryo"/>
        <family val="0"/>
        <charset val="1"/>
      </rPr>
      <t xml:space="preserve">:</t>
    </r>
    <r>
      <rPr>
        <sz val="10"/>
        <color rgb="FFE8ECF1"/>
        <rFont val="Noto Sans CJK SC"/>
        <family val="2"/>
      </rPr>
      <t xml:space="preserve">高 </t>
    </r>
    <r>
      <rPr>
        <sz val="10"/>
        <color rgb="FFE8ECF1"/>
        <rFont val="Meiryo"/>
        <family val="0"/>
        <charset val="1"/>
      </rPr>
      <t xml:space="preserve">/ 🟢</t>
    </r>
    <r>
      <rPr>
        <sz val="10"/>
        <color rgb="FFE8ECF1"/>
        <rFont val="Noto Sans CJK SC"/>
        <family val="2"/>
      </rPr>
      <t xml:space="preserve">規格として確立（材料試験用）</t>
    </r>
  </si>
  <si>
    <r>
      <rPr>
        <i val="true"/>
        <sz val="9"/>
        <color rgb="FFFFB454"/>
        <rFont val="Noto Sans CJK SC"/>
        <family val="2"/>
      </rPr>
      <t xml:space="preserve">💡 まとめ：あなたの今の作業（インパクトハンマー＋</t>
    </r>
    <r>
      <rPr>
        <i val="true"/>
        <sz val="9"/>
        <color rgb="FFFFB454"/>
        <rFont val="Meiryo"/>
        <family val="0"/>
        <charset val="1"/>
      </rPr>
      <t xml:space="preserve">PSV</t>
    </r>
    <r>
      <rPr>
        <i val="true"/>
        <sz val="9"/>
        <color rgb="FFFFB454"/>
        <rFont val="Noto Sans CJK SC"/>
        <family val="2"/>
      </rPr>
      <t xml:space="preserve">スキャン、縮退モード分離）には「対数減衰率法」がその場での簡易チェックに、「サークルフィット法」が半値幅法の精度アップ版として、「パワー入力法」が</t>
    </r>
    <r>
      <rPr>
        <i val="true"/>
        <sz val="9"/>
        <color rgb="FFFFB454"/>
        <rFont val="Meiryo"/>
        <family val="0"/>
        <charset val="1"/>
      </rPr>
      <t xml:space="preserve">PSV</t>
    </r>
    <r>
      <rPr>
        <i val="true"/>
        <sz val="9"/>
        <color rgb="FFFFB454"/>
        <rFont val="Noto Sans CJK SC"/>
        <family val="2"/>
      </rPr>
      <t xml:space="preserve">の全面スキャンを活かす方法として特に相性が良いです。</t>
    </r>
  </si>
  <si>
    <r>
      <rPr>
        <b val="true"/>
        <sz val="14"/>
        <color rgb="FFFFFFFF"/>
        <rFont val="Noto Sans CJK SC"/>
        <family val="2"/>
      </rPr>
      <t xml:space="preserve">② 対数減衰率法（</t>
    </r>
    <r>
      <rPr>
        <b val="true"/>
        <sz val="14"/>
        <color rgb="FFFFFFFF"/>
        <rFont val="Meiryo"/>
        <family val="0"/>
        <charset val="1"/>
      </rPr>
      <t xml:space="preserve">Logarithmic Decrement Method</t>
    </r>
    <r>
      <rPr>
        <b val="true"/>
        <sz val="14"/>
        <color rgb="FFFFFFFF"/>
        <rFont val="Noto Sans CJK SC"/>
        <family val="2"/>
      </rPr>
      <t xml:space="preserve">）</t>
    </r>
  </si>
  <si>
    <t xml:space="preserve">【原理（かみくだいた説明）】</t>
  </si>
  <si>
    <t xml:space="preserve">ブランコを押して手を離すと、揺れはだんだん小さくなっていきます。</t>
  </si>
  <si>
    <r>
      <rPr>
        <sz val="10"/>
        <color rgb="FFE8ECF1"/>
        <rFont val="Meiryo"/>
        <family val="0"/>
        <charset val="1"/>
      </rPr>
      <t xml:space="preserve">1</t>
    </r>
    <r>
      <rPr>
        <sz val="10"/>
        <color rgb="FFE8ECF1"/>
        <rFont val="Noto Sans CJK SC"/>
        <family val="2"/>
      </rPr>
      <t xml:space="preserve">回目の揺れ幅（振幅）を</t>
    </r>
    <r>
      <rPr>
        <sz val="10"/>
        <color rgb="FFE8ECF1"/>
        <rFont val="Meiryo"/>
        <family val="0"/>
        <charset val="1"/>
      </rPr>
      <t xml:space="preserve">10cm</t>
    </r>
    <r>
      <rPr>
        <sz val="10"/>
        <color rgb="FFE8ECF1"/>
        <rFont val="Noto Sans CJK SC"/>
        <family val="2"/>
      </rPr>
      <t xml:space="preserve">とすると、</t>
    </r>
    <r>
      <rPr>
        <sz val="10"/>
        <color rgb="FFE8ECF1"/>
        <rFont val="Meiryo"/>
        <family val="0"/>
        <charset val="1"/>
      </rPr>
      <t xml:space="preserve">2</t>
    </r>
    <r>
      <rPr>
        <sz val="10"/>
        <color rgb="FFE8ECF1"/>
        <rFont val="Noto Sans CJK SC"/>
        <family val="2"/>
      </rPr>
      <t xml:space="preserve">回目は</t>
    </r>
    <r>
      <rPr>
        <sz val="10"/>
        <color rgb="FFE8ECF1"/>
        <rFont val="Meiryo"/>
        <family val="0"/>
        <charset val="1"/>
      </rPr>
      <t xml:space="preserve">8cm</t>
    </r>
    <r>
      <rPr>
        <sz val="10"/>
        <color rgb="FFE8ECF1"/>
        <rFont val="Noto Sans CJK SC"/>
        <family val="2"/>
      </rPr>
      <t xml:space="preserve">、</t>
    </r>
    <r>
      <rPr>
        <sz val="10"/>
        <color rgb="FFE8ECF1"/>
        <rFont val="Meiryo"/>
        <family val="0"/>
        <charset val="1"/>
      </rPr>
      <t xml:space="preserve">3</t>
    </r>
    <r>
      <rPr>
        <sz val="10"/>
        <color rgb="FFE8ECF1"/>
        <rFont val="Noto Sans CJK SC"/>
        <family val="2"/>
      </rPr>
      <t xml:space="preserve">回目は</t>
    </r>
    <r>
      <rPr>
        <sz val="10"/>
        <color rgb="FFE8ECF1"/>
        <rFont val="Meiryo"/>
        <family val="0"/>
        <charset val="1"/>
      </rPr>
      <t xml:space="preserve">6.5cm……</t>
    </r>
    <r>
      <rPr>
        <sz val="10"/>
        <color rgb="FFE8ECF1"/>
        <rFont val="Noto Sans CJK SC"/>
        <family val="2"/>
      </rPr>
      <t xml:space="preserve">というように、</t>
    </r>
  </si>
  <si>
    <t xml:space="preserve">「毎回、前の揺れの“同じ割合”だけ小さくなる」性質があります（指数関数的減衰）。</t>
  </si>
  <si>
    <t xml:space="preserve">これをブレーキパッドに当てはめると：</t>
  </si>
  <si>
    <r>
      <rPr>
        <sz val="10"/>
        <color rgb="FFE8ECF1"/>
        <rFont val="Noto Sans CJK SC"/>
        <family val="2"/>
      </rPr>
      <t xml:space="preserve">ハンマーで</t>
    </r>
    <r>
      <rPr>
        <sz val="10"/>
        <color rgb="FFE8ECF1"/>
        <rFont val="Meiryo"/>
        <family val="0"/>
        <charset val="1"/>
      </rPr>
      <t xml:space="preserve">1</t>
    </r>
    <r>
      <rPr>
        <sz val="10"/>
        <color rgb="FFE8ECF1"/>
        <rFont val="Noto Sans CJK SC"/>
        <family val="2"/>
      </rPr>
      <t xml:space="preserve">回叩いたあとの「自由振動（自由減衰）」波形で、</t>
    </r>
    <r>
      <rPr>
        <sz val="10"/>
        <color rgb="FFE8ECF1"/>
        <rFont val="Meiryo"/>
        <family val="0"/>
        <charset val="1"/>
      </rPr>
      <t xml:space="preserve">1</t>
    </r>
    <r>
      <rPr>
        <sz val="10"/>
        <color rgb="FFE8ECF1"/>
        <rFont val="Noto Sans CJK SC"/>
        <family val="2"/>
      </rPr>
      <t xml:space="preserve">つ目のピークの高さ </t>
    </r>
    <r>
      <rPr>
        <sz val="10"/>
        <color rgb="FFE8ECF1"/>
        <rFont val="Meiryo"/>
        <family val="0"/>
        <charset val="1"/>
      </rPr>
      <t xml:space="preserve">x0 </t>
    </r>
    <r>
      <rPr>
        <sz val="10"/>
        <color rgb="FFE8ECF1"/>
        <rFont val="Noto Sans CJK SC"/>
        <family val="2"/>
      </rPr>
      <t xml:space="preserve">と、</t>
    </r>
  </si>
  <si>
    <r>
      <rPr>
        <sz val="10"/>
        <color rgb="FFE8ECF1"/>
        <rFont val="Meiryo"/>
        <family val="0"/>
        <charset val="1"/>
      </rPr>
      <t xml:space="preserve">n</t>
    </r>
    <r>
      <rPr>
        <sz val="10"/>
        <color rgb="FFE8ECF1"/>
        <rFont val="Noto Sans CJK SC"/>
        <family val="2"/>
      </rPr>
      <t xml:space="preserve">周期後のピークの高さ </t>
    </r>
    <r>
      <rPr>
        <sz val="10"/>
        <color rgb="FFE8ECF1"/>
        <rFont val="Meiryo"/>
        <family val="0"/>
        <charset val="1"/>
      </rPr>
      <t xml:space="preserve">xn </t>
    </r>
    <r>
      <rPr>
        <sz val="10"/>
        <color rgb="FFE8ECF1"/>
        <rFont val="Noto Sans CJK SC"/>
        <family val="2"/>
      </rPr>
      <t xml:space="preserve">を読み取り、その比の自然対数（</t>
    </r>
    <r>
      <rPr>
        <sz val="10"/>
        <color rgb="FFE8ECF1"/>
        <rFont val="Meiryo"/>
        <family val="0"/>
        <charset val="1"/>
      </rPr>
      <t xml:space="preserve">ln</t>
    </r>
    <r>
      <rPr>
        <sz val="10"/>
        <color rgb="FFE8ECF1"/>
        <rFont val="Noto Sans CJK SC"/>
        <family val="2"/>
      </rPr>
      <t xml:space="preserve">）を取ると「対数減衰率 </t>
    </r>
    <r>
      <rPr>
        <sz val="10"/>
        <color rgb="FFE8ECF1"/>
        <rFont val="Meiryo"/>
        <family val="0"/>
        <charset val="1"/>
      </rPr>
      <t xml:space="preserve">δ</t>
    </r>
    <r>
      <rPr>
        <sz val="10"/>
        <color rgb="FFE8ECF1"/>
        <rFont val="Noto Sans CJK SC"/>
        <family val="2"/>
      </rPr>
      <t xml:space="preserve">」が求まります。</t>
    </r>
  </si>
  <si>
    <r>
      <rPr>
        <sz val="10"/>
        <color rgb="FFE8ECF1"/>
        <rFont val="Noto Sans CJK SC"/>
        <family val="2"/>
      </rPr>
      <t xml:space="preserve">そこから減衰比 </t>
    </r>
    <r>
      <rPr>
        <sz val="10"/>
        <color rgb="FFE8ECF1"/>
        <rFont val="Meiryo"/>
        <family val="0"/>
        <charset val="1"/>
      </rPr>
      <t xml:space="preserve">ζ</t>
    </r>
    <r>
      <rPr>
        <sz val="10"/>
        <color rgb="FFE8ECF1"/>
        <rFont val="Noto Sans CJK SC"/>
        <family val="2"/>
      </rPr>
      <t xml:space="preserve">、損失係数 </t>
    </r>
    <r>
      <rPr>
        <sz val="10"/>
        <color rgb="FFE8ECF1"/>
        <rFont val="Meiryo"/>
        <family val="0"/>
        <charset val="1"/>
      </rPr>
      <t xml:space="preserve">η = 2ζ </t>
    </r>
    <r>
      <rPr>
        <sz val="10"/>
        <color rgb="FFE8ECF1"/>
        <rFont val="Noto Sans CJK SC"/>
        <family val="2"/>
      </rPr>
      <t xml:space="preserve">が計算できます。</t>
    </r>
  </si>
  <si>
    <t xml:space="preserve">【計算式】</t>
  </si>
  <si>
    <r>
      <rPr>
        <sz val="10"/>
        <color rgb="FFE8ECF1"/>
        <rFont val="Meiryo"/>
        <family val="0"/>
        <charset val="1"/>
      </rPr>
      <t xml:space="preserve">δ</t>
    </r>
    <r>
      <rPr>
        <sz val="10"/>
        <color rgb="FFE8ECF1"/>
        <rFont val="Noto Sans CJK SC"/>
        <family val="2"/>
      </rPr>
      <t xml:space="preserve">（対数減衰率） </t>
    </r>
    <r>
      <rPr>
        <sz val="10"/>
        <color rgb="FFE8ECF1"/>
        <rFont val="Meiryo"/>
        <family val="0"/>
        <charset val="1"/>
      </rPr>
      <t xml:space="preserve">= (1/n) × ln( x0 / xn )</t>
    </r>
  </si>
  <si>
    <r>
      <rPr>
        <sz val="10"/>
        <color rgb="FFE8ECF1"/>
        <rFont val="Meiryo"/>
        <family val="0"/>
        <charset val="1"/>
      </rPr>
      <t xml:space="preserve">ζ</t>
    </r>
    <r>
      <rPr>
        <sz val="10"/>
        <color rgb="FFE8ECF1"/>
        <rFont val="Noto Sans CJK SC"/>
        <family val="2"/>
      </rPr>
      <t xml:space="preserve">（減衰比）     ≈ </t>
    </r>
    <r>
      <rPr>
        <sz val="10"/>
        <color rgb="FFE8ECF1"/>
        <rFont val="Meiryo"/>
        <family val="0"/>
        <charset val="1"/>
      </rPr>
      <t xml:space="preserve">δ / (2π)</t>
    </r>
    <r>
      <rPr>
        <sz val="10"/>
        <color rgb="FFE8ECF1"/>
        <rFont val="Noto Sans CJK SC"/>
        <family val="2"/>
      </rPr>
      <t xml:space="preserve">　　※ </t>
    </r>
    <r>
      <rPr>
        <sz val="10"/>
        <color rgb="FFE8ECF1"/>
        <rFont val="Meiryo"/>
        <family val="0"/>
        <charset val="1"/>
      </rPr>
      <t xml:space="preserve">ζ </t>
    </r>
    <r>
      <rPr>
        <sz val="10"/>
        <color rgb="FFE8ECF1"/>
        <rFont val="Noto Sans CJK SC"/>
        <family val="2"/>
      </rPr>
      <t xml:space="preserve">が小さい（</t>
    </r>
    <r>
      <rPr>
        <sz val="10"/>
        <color rgb="FFE8ECF1"/>
        <rFont val="Meiryo"/>
        <family val="0"/>
        <charset val="1"/>
      </rPr>
      <t xml:space="preserve">0.1</t>
    </r>
    <r>
      <rPr>
        <sz val="10"/>
        <color rgb="FFE8ECF1"/>
        <rFont val="Noto Sans CJK SC"/>
        <family val="2"/>
      </rPr>
      <t xml:space="preserve">以下）場合の近似式</t>
    </r>
  </si>
  <si>
    <r>
      <rPr>
        <sz val="10"/>
        <color rgb="FFE8ECF1"/>
        <rFont val="Meiryo"/>
        <family val="0"/>
        <charset val="1"/>
      </rPr>
      <t xml:space="preserve">η</t>
    </r>
    <r>
      <rPr>
        <sz val="10"/>
        <color rgb="FFE8ECF1"/>
        <rFont val="Noto Sans CJK SC"/>
        <family val="2"/>
      </rPr>
      <t xml:space="preserve">（損失係数）   </t>
    </r>
    <r>
      <rPr>
        <sz val="10"/>
        <color rgb="FFE8ECF1"/>
        <rFont val="Meiryo"/>
        <family val="0"/>
        <charset val="1"/>
      </rPr>
      <t xml:space="preserve">= 2 × ζ</t>
    </r>
  </si>
  <si>
    <t xml:space="preserve">【入力】水色の文字＝ここを書き換えてください</t>
  </si>
  <si>
    <r>
      <rPr>
        <sz val="10"/>
        <color rgb="FFE8ECF1"/>
        <rFont val="Meiryo"/>
        <family val="0"/>
        <charset val="1"/>
      </rPr>
      <t xml:space="preserve">1</t>
    </r>
    <r>
      <rPr>
        <sz val="10"/>
        <color rgb="FFE8ECF1"/>
        <rFont val="Noto Sans CJK SC"/>
        <family val="2"/>
      </rPr>
      <t xml:space="preserve">つ目のピーク振幅 </t>
    </r>
    <r>
      <rPr>
        <sz val="10"/>
        <color rgb="FFE8ECF1"/>
        <rFont val="Meiryo"/>
        <family val="0"/>
        <charset val="1"/>
      </rPr>
      <t xml:space="preserve">x0 [mm/s]</t>
    </r>
  </si>
  <si>
    <t xml:space="preserve">＝波形グラフから読み取った最初の山の高さ</t>
  </si>
  <si>
    <r>
      <rPr>
        <sz val="10"/>
        <color rgb="FFE8ECF1"/>
        <rFont val="Meiryo"/>
        <family val="0"/>
        <charset val="1"/>
      </rPr>
      <t xml:space="preserve">n</t>
    </r>
    <r>
      <rPr>
        <sz val="10"/>
        <color rgb="FFE8ECF1"/>
        <rFont val="Noto Sans CJK SC"/>
        <family val="2"/>
      </rPr>
      <t xml:space="preserve">周期後のピーク振幅 </t>
    </r>
    <r>
      <rPr>
        <sz val="10"/>
        <color rgb="FFE8ECF1"/>
        <rFont val="Meiryo"/>
        <family val="0"/>
        <charset val="1"/>
      </rPr>
      <t xml:space="preserve">xn [mm/s]</t>
    </r>
  </si>
  <si>
    <r>
      <rPr>
        <i val="true"/>
        <sz val="9"/>
        <color rgb="FFFFB454"/>
        <rFont val="Noto Sans CJK SC"/>
        <family val="2"/>
      </rPr>
      <t xml:space="preserve">＝</t>
    </r>
    <r>
      <rPr>
        <i val="true"/>
        <sz val="9"/>
        <color rgb="FFFFB454"/>
        <rFont val="Meiryo"/>
        <family val="0"/>
        <charset val="1"/>
      </rPr>
      <t xml:space="preserve">n</t>
    </r>
    <r>
      <rPr>
        <i val="true"/>
        <sz val="9"/>
        <color rgb="FFFFB454"/>
        <rFont val="Noto Sans CJK SC"/>
        <family val="2"/>
      </rPr>
      <t xml:space="preserve">周期あとに読み取った山の高さ（同じ単位）</t>
    </r>
  </si>
  <si>
    <r>
      <rPr>
        <sz val="10"/>
        <color rgb="FFE8ECF1"/>
        <rFont val="Noto Sans CJK SC"/>
        <family val="2"/>
      </rPr>
      <t xml:space="preserve">数えた周期数 </t>
    </r>
    <r>
      <rPr>
        <sz val="10"/>
        <color rgb="FFE8ECF1"/>
        <rFont val="Meiryo"/>
        <family val="0"/>
        <charset val="1"/>
      </rPr>
      <t xml:space="preserve">n [</t>
    </r>
    <r>
      <rPr>
        <sz val="10"/>
        <color rgb="FFE8ECF1"/>
        <rFont val="Noto Sans CJK SC"/>
        <family val="2"/>
      </rPr>
      <t xml:space="preserve">回</t>
    </r>
    <r>
      <rPr>
        <sz val="10"/>
        <color rgb="FFE8ECF1"/>
        <rFont val="Meiryo"/>
        <family val="0"/>
        <charset val="1"/>
      </rPr>
      <t xml:space="preserve">]</t>
    </r>
  </si>
  <si>
    <r>
      <rPr>
        <i val="true"/>
        <sz val="9"/>
        <color rgb="FFFFB454"/>
        <rFont val="Noto Sans CJK SC"/>
        <family val="2"/>
      </rPr>
      <t xml:space="preserve">＝</t>
    </r>
    <r>
      <rPr>
        <i val="true"/>
        <sz val="9"/>
        <color rgb="FFFFB454"/>
        <rFont val="Meiryo"/>
        <family val="0"/>
        <charset val="1"/>
      </rPr>
      <t xml:space="preserve">x0</t>
    </r>
    <r>
      <rPr>
        <i val="true"/>
        <sz val="9"/>
        <color rgb="FFFFB454"/>
        <rFont val="Noto Sans CJK SC"/>
        <family val="2"/>
      </rPr>
      <t xml:space="preserve">から</t>
    </r>
    <r>
      <rPr>
        <i val="true"/>
        <sz val="9"/>
        <color rgb="FFFFB454"/>
        <rFont val="Meiryo"/>
        <family val="0"/>
        <charset val="1"/>
      </rPr>
      <t xml:space="preserve">xn</t>
    </r>
    <r>
      <rPr>
        <i val="true"/>
        <sz val="9"/>
        <color rgb="FFFFB454"/>
        <rFont val="Noto Sans CJK SC"/>
        <family val="2"/>
      </rPr>
      <t xml:space="preserve">まで何周期分あったか</t>
    </r>
  </si>
  <si>
    <t xml:space="preserve">【計算結果】緑の文字＝自動計算（数式が入っています）</t>
  </si>
  <si>
    <r>
      <rPr>
        <sz val="10"/>
        <color rgb="FFE8ECF1"/>
        <rFont val="Noto Sans CJK SC"/>
        <family val="2"/>
      </rPr>
      <t xml:space="preserve">対数減衰率 </t>
    </r>
    <r>
      <rPr>
        <sz val="10"/>
        <color rgb="FFE8ECF1"/>
        <rFont val="Meiryo"/>
        <family val="0"/>
        <charset val="1"/>
      </rPr>
      <t xml:space="preserve">δ</t>
    </r>
  </si>
  <si>
    <r>
      <rPr>
        <i val="true"/>
        <sz val="9"/>
        <color rgb="FFFFB454"/>
        <rFont val="Meiryo"/>
        <family val="0"/>
        <charset val="1"/>
      </rPr>
      <t xml:space="preserve">(</t>
    </r>
    <r>
      <rPr>
        <i val="true"/>
        <sz val="9"/>
        <color rgb="FFFFB454"/>
        <rFont val="Noto Sans CJK SC"/>
        <family val="2"/>
      </rPr>
      <t xml:space="preserve">参考</t>
    </r>
    <r>
      <rPr>
        <i val="true"/>
        <sz val="9"/>
        <color rgb="FFFFB454"/>
        <rFont val="Meiryo"/>
        <family val="0"/>
        <charset val="1"/>
      </rPr>
      <t xml:space="preserve">) LN(x0/xn)/n</t>
    </r>
  </si>
  <si>
    <r>
      <rPr>
        <sz val="10"/>
        <color rgb="FFE8ECF1"/>
        <rFont val="Noto Sans CJK SC"/>
        <family val="2"/>
      </rPr>
      <t xml:space="preserve">減衰比 </t>
    </r>
    <r>
      <rPr>
        <sz val="10"/>
        <color rgb="FFE8ECF1"/>
        <rFont val="Meiryo"/>
        <family val="0"/>
        <charset val="1"/>
      </rPr>
      <t xml:space="preserve">ζ</t>
    </r>
  </si>
  <si>
    <r>
      <rPr>
        <i val="true"/>
        <sz val="9"/>
        <color rgb="FFFFB454"/>
        <rFont val="Meiryo"/>
        <family val="0"/>
        <charset val="1"/>
      </rPr>
      <t xml:space="preserve">(</t>
    </r>
    <r>
      <rPr>
        <i val="true"/>
        <sz val="9"/>
        <color rgb="FFFFB454"/>
        <rFont val="Noto Sans CJK SC"/>
        <family val="2"/>
      </rPr>
      <t xml:space="preserve">参考</t>
    </r>
    <r>
      <rPr>
        <i val="true"/>
        <sz val="9"/>
        <color rgb="FFFFB454"/>
        <rFont val="Meiryo"/>
        <family val="0"/>
        <charset val="1"/>
      </rPr>
      <t xml:space="preserve">) δ/(2π)</t>
    </r>
    <r>
      <rPr>
        <i val="true"/>
        <sz val="9"/>
        <color rgb="FFFFB454"/>
        <rFont val="Noto Sans CJK SC"/>
        <family val="2"/>
      </rPr>
      <t xml:space="preserve">　※小減衰近似</t>
    </r>
  </si>
  <si>
    <r>
      <rPr>
        <sz val="10"/>
        <color rgb="FFE8ECF1"/>
        <rFont val="Noto Sans CJK SC"/>
        <family val="2"/>
      </rPr>
      <t xml:space="preserve">損失係数 </t>
    </r>
    <r>
      <rPr>
        <sz val="10"/>
        <color rgb="FFE8ECF1"/>
        <rFont val="Meiryo"/>
        <family val="0"/>
        <charset val="1"/>
      </rPr>
      <t xml:space="preserve">η</t>
    </r>
  </si>
  <si>
    <r>
      <rPr>
        <i val="true"/>
        <sz val="9"/>
        <color rgb="FFFFB454"/>
        <rFont val="Meiryo"/>
        <family val="0"/>
        <charset val="1"/>
      </rPr>
      <t xml:space="preserve">(</t>
    </r>
    <r>
      <rPr>
        <i val="true"/>
        <sz val="9"/>
        <color rgb="FFFFB454"/>
        <rFont val="Noto Sans CJK SC"/>
        <family val="2"/>
      </rPr>
      <t xml:space="preserve">参考</t>
    </r>
    <r>
      <rPr>
        <i val="true"/>
        <sz val="9"/>
        <color rgb="FFFFB454"/>
        <rFont val="Meiryo"/>
        <family val="0"/>
        <charset val="1"/>
      </rPr>
      <t xml:space="preserve">) 2×ζ</t>
    </r>
  </si>
  <si>
    <r>
      <rPr>
        <i val="true"/>
        <sz val="9"/>
        <color rgb="FFFFB454"/>
        <rFont val="Noto Sans CJK SC"/>
        <family val="2"/>
      </rPr>
      <t xml:space="preserve">🟢 注意点：</t>
    </r>
    <r>
      <rPr>
        <i val="true"/>
        <sz val="9"/>
        <color rgb="FFFFB454"/>
        <rFont val="Meiryo"/>
        <family val="0"/>
        <charset val="1"/>
      </rPr>
      <t xml:space="preserve">xn</t>
    </r>
    <r>
      <rPr>
        <i val="true"/>
        <sz val="9"/>
        <color rgb="FFFFB454"/>
        <rFont val="Noto Sans CJK SC"/>
        <family val="2"/>
      </rPr>
      <t xml:space="preserve">を読み取るピークが遠すぎる（</t>
    </r>
    <r>
      <rPr>
        <i val="true"/>
        <sz val="9"/>
        <color rgb="FFFFB454"/>
        <rFont val="Meiryo"/>
        <family val="0"/>
        <charset val="1"/>
      </rPr>
      <t xml:space="preserve">n</t>
    </r>
    <r>
      <rPr>
        <i val="true"/>
        <sz val="9"/>
        <color rgb="FFFFB454"/>
        <rFont val="Noto Sans CJK SC"/>
        <family val="2"/>
      </rPr>
      <t xml:space="preserve">が大きすぎる）とノイズに埋もれて誤差が増えます。逆に近すぎる（</t>
    </r>
    <r>
      <rPr>
        <i val="true"/>
        <sz val="9"/>
        <color rgb="FFFFB454"/>
        <rFont val="Meiryo"/>
        <family val="0"/>
        <charset val="1"/>
      </rPr>
      <t xml:space="preserve">n</t>
    </r>
    <r>
      <rPr>
        <i val="true"/>
        <sz val="9"/>
        <color rgb="FFFFB454"/>
        <rFont val="Noto Sans CJK SC"/>
        <family val="2"/>
      </rPr>
      <t xml:space="preserve">が小さすぎる）と</t>
    </r>
    <r>
      <rPr>
        <i val="true"/>
        <sz val="9"/>
        <color rgb="FFFFB454"/>
        <rFont val="Meiryo"/>
        <family val="0"/>
        <charset val="1"/>
      </rPr>
      <t xml:space="preserve">1</t>
    </r>
    <r>
      <rPr>
        <i val="true"/>
        <sz val="9"/>
        <color rgb="FFFFB454"/>
        <rFont val="Noto Sans CJK SC"/>
        <family val="2"/>
      </rPr>
      <t xml:space="preserve">周期の読み取り誤差の影響が大きくなります。目安は「振幅が半分〜</t>
    </r>
    <r>
      <rPr>
        <i val="true"/>
        <sz val="9"/>
        <color rgb="FFFFB454"/>
        <rFont val="Meiryo"/>
        <family val="0"/>
        <charset val="1"/>
      </rPr>
      <t xml:space="preserve">1/3</t>
    </r>
    <r>
      <rPr>
        <i val="true"/>
        <sz val="9"/>
        <color rgb="FFFFB454"/>
        <rFont val="Noto Sans CJK SC"/>
        <family val="2"/>
      </rPr>
      <t xml:space="preserve">程度になる周期数」を選ぶことです。</t>
    </r>
  </si>
  <si>
    <r>
      <rPr>
        <b val="true"/>
        <sz val="14"/>
        <color rgb="FFFFFFFF"/>
        <rFont val="Noto Sans CJK SC"/>
        <family val="2"/>
      </rPr>
      <t xml:space="preserve">③ パワー入力法（</t>
    </r>
    <r>
      <rPr>
        <b val="true"/>
        <sz val="14"/>
        <color rgb="FFFFFFFF"/>
        <rFont val="Meiryo"/>
        <family val="0"/>
        <charset val="1"/>
      </rPr>
      <t xml:space="preserve">Power Input Method, PIM</t>
    </r>
    <r>
      <rPr>
        <b val="true"/>
        <sz val="14"/>
        <color rgb="FFFFFFFF"/>
        <rFont val="Noto Sans CJK SC"/>
        <family val="2"/>
      </rPr>
      <t xml:space="preserve">）</t>
    </r>
  </si>
  <si>
    <t xml:space="preserve">自転車のペダルを一定の速さでこぎ続けることを想像してください。</t>
  </si>
  <si>
    <t xml:space="preserve">平地なら軽い力で済みますが、坂道やブレーキをかけながらだと同じ速さを保つのに大きな力が要ります。</t>
  </si>
  <si>
    <t xml:space="preserve">この「速さを保つのに使われた仕事（パワー）」は、摩擦やブレーキで“熱として捨てられたエネルギー”に等しくなります。</t>
  </si>
  <si>
    <r>
      <rPr>
        <sz val="10"/>
        <color rgb="FFE8ECF1"/>
        <rFont val="Noto Sans CJK SC"/>
        <family val="2"/>
      </rPr>
      <t xml:space="preserve">構造物の振動も同じで、シェーカーで一定振動を保つのに使われたパワー </t>
    </r>
    <r>
      <rPr>
        <sz val="10"/>
        <color rgb="FFE8ECF1"/>
        <rFont val="Meiryo"/>
        <family val="0"/>
        <charset val="1"/>
      </rPr>
      <t xml:space="preserve">P </t>
    </r>
    <r>
      <rPr>
        <sz val="10"/>
        <color rgb="FFE8ECF1"/>
        <rFont val="Noto Sans CJK SC"/>
        <family val="2"/>
      </rPr>
      <t xml:space="preserve">は、</t>
    </r>
  </si>
  <si>
    <t xml:space="preserve">構造の内部で減衰（摩擦・材料の粘性等）によって熱に変わって消えるエネルギーそのものです。</t>
  </si>
  <si>
    <r>
      <rPr>
        <sz val="10"/>
        <color rgb="FFE8ECF1"/>
        <rFont val="Noto Sans CJK SC"/>
        <family val="2"/>
      </rPr>
      <t xml:space="preserve">これと、構造がそのとき蓄えている振動エネルギー </t>
    </r>
    <r>
      <rPr>
        <sz val="10"/>
        <color rgb="FFE8ECF1"/>
        <rFont val="Meiryo"/>
        <family val="0"/>
        <charset val="1"/>
      </rPr>
      <t xml:space="preserve">E </t>
    </r>
    <r>
      <rPr>
        <sz val="10"/>
        <color rgb="FFE8ECF1"/>
        <rFont val="Noto Sans CJK SC"/>
        <family val="2"/>
      </rPr>
      <t xml:space="preserve">を比べれば、損失係数が求まります。</t>
    </r>
  </si>
  <si>
    <r>
      <rPr>
        <sz val="10"/>
        <color rgb="FFE8ECF1"/>
        <rFont val="Noto Sans CJK SC"/>
        <family val="2"/>
      </rPr>
      <t xml:space="preserve">この方法の強みは、</t>
    </r>
    <r>
      <rPr>
        <sz val="10"/>
        <color rgb="FFE8ECF1"/>
        <rFont val="Meiryo"/>
        <family val="0"/>
        <charset val="1"/>
      </rPr>
      <t xml:space="preserve">PSV-400</t>
    </r>
    <r>
      <rPr>
        <sz val="10"/>
        <color rgb="FFE8ECF1"/>
        <rFont val="Noto Sans CJK SC"/>
        <family val="2"/>
      </rPr>
      <t xml:space="preserve">のような全面スキャン計測器と相性が良いことです。</t>
    </r>
  </si>
  <si>
    <r>
      <rPr>
        <sz val="10"/>
        <color rgb="FFE8ECF1"/>
        <rFont val="Noto Sans CJK SC"/>
        <family val="2"/>
      </rPr>
      <t xml:space="preserve">パッド表面全体の速度分布を測れば、</t>
    </r>
    <r>
      <rPr>
        <sz val="10"/>
        <color rgb="FFE8ECF1"/>
        <rFont val="Meiryo"/>
        <family val="0"/>
        <charset val="1"/>
      </rPr>
      <t xml:space="preserve">1</t>
    </r>
    <r>
      <rPr>
        <sz val="10"/>
        <color rgb="FFE8ECF1"/>
        <rFont val="Noto Sans CJK SC"/>
        <family val="2"/>
      </rPr>
      <t xml:space="preserve">点だけでなく構造全体の振動エネルギーを積算できます。</t>
    </r>
  </si>
  <si>
    <t xml:space="preserve">【計算式（帯域平均の損失係数として）】</t>
  </si>
  <si>
    <r>
      <rPr>
        <sz val="10"/>
        <color rgb="FFE8ECF1"/>
        <rFont val="Meiryo"/>
        <family val="0"/>
        <charset val="1"/>
      </rPr>
      <t xml:space="preserve">η = P / (2π</t>
    </r>
    <r>
      <rPr>
        <sz val="10"/>
        <color rgb="FFE8ECF1"/>
        <rFont val="Noto Sans CJK SC"/>
        <family val="2"/>
      </rPr>
      <t xml:space="preserve">・</t>
    </r>
    <r>
      <rPr>
        <sz val="10"/>
        <color rgb="FFE8ECF1"/>
        <rFont val="Meiryo"/>
        <family val="0"/>
        <charset val="1"/>
      </rPr>
      <t xml:space="preserve">f</t>
    </r>
    <r>
      <rPr>
        <sz val="10"/>
        <color rgb="FFE8ECF1"/>
        <rFont val="Noto Sans CJK SC"/>
        <family val="2"/>
      </rPr>
      <t xml:space="preserve">・</t>
    </r>
    <r>
      <rPr>
        <sz val="10"/>
        <color rgb="FFE8ECF1"/>
        <rFont val="Meiryo"/>
        <family val="0"/>
        <charset val="1"/>
      </rPr>
      <t xml:space="preserve">E)</t>
    </r>
  </si>
  <si>
    <r>
      <rPr>
        <sz val="10"/>
        <color rgb="FFE8ECF1"/>
        <rFont val="Noto Sans CJK SC"/>
        <family val="2"/>
      </rPr>
      <t xml:space="preserve">　</t>
    </r>
    <r>
      <rPr>
        <sz val="10"/>
        <color rgb="FFE8ECF1"/>
        <rFont val="Meiryo"/>
        <family val="0"/>
        <charset val="1"/>
      </rPr>
      <t xml:space="preserve">P</t>
    </r>
    <r>
      <rPr>
        <sz val="10"/>
        <color rgb="FFE8ECF1"/>
        <rFont val="Noto Sans CJK SC"/>
        <family val="2"/>
      </rPr>
      <t xml:space="preserve">：加振点に入力された正味の仕事率（パワー）</t>
    </r>
    <r>
      <rPr>
        <sz val="10"/>
        <color rgb="FFE8ECF1"/>
        <rFont val="Meiryo"/>
        <family val="0"/>
        <charset val="1"/>
      </rPr>
      <t xml:space="preserve">[W]</t>
    </r>
    <r>
      <rPr>
        <sz val="10"/>
        <color rgb="FFE8ECF1"/>
        <rFont val="Noto Sans CJK SC"/>
        <family val="2"/>
      </rPr>
      <t xml:space="preserve">　＝ 力と速度の相関から算出</t>
    </r>
  </si>
  <si>
    <r>
      <rPr>
        <sz val="10"/>
        <color rgb="FFE8ECF1"/>
        <rFont val="Noto Sans CJK SC"/>
        <family val="2"/>
      </rPr>
      <t xml:space="preserve">　</t>
    </r>
    <r>
      <rPr>
        <sz val="10"/>
        <color rgb="FFE8ECF1"/>
        <rFont val="Meiryo"/>
        <family val="0"/>
        <charset val="1"/>
      </rPr>
      <t xml:space="preserve">f</t>
    </r>
    <r>
      <rPr>
        <sz val="10"/>
        <color rgb="FFE8ECF1"/>
        <rFont val="Noto Sans CJK SC"/>
        <family val="2"/>
      </rPr>
      <t xml:space="preserve">：着目する周波数 </t>
    </r>
    <r>
      <rPr>
        <sz val="10"/>
        <color rgb="FFE8ECF1"/>
        <rFont val="Meiryo"/>
        <family val="0"/>
        <charset val="1"/>
      </rPr>
      <t xml:space="preserve">[Hz]</t>
    </r>
  </si>
  <si>
    <r>
      <rPr>
        <sz val="10"/>
        <color rgb="FFE8ECF1"/>
        <rFont val="Noto Sans CJK SC"/>
        <family val="2"/>
      </rPr>
      <t xml:space="preserve">　</t>
    </r>
    <r>
      <rPr>
        <sz val="10"/>
        <color rgb="FFE8ECF1"/>
        <rFont val="Meiryo"/>
        <family val="0"/>
        <charset val="1"/>
      </rPr>
      <t xml:space="preserve">E</t>
    </r>
    <r>
      <rPr>
        <sz val="10"/>
        <color rgb="FFE8ECF1"/>
        <rFont val="Noto Sans CJK SC"/>
        <family val="2"/>
      </rPr>
      <t xml:space="preserve">：その周波数における構造の全振動エネルギー（運動エネルギーの面積分の時間平均）</t>
    </r>
    <r>
      <rPr>
        <sz val="10"/>
        <color rgb="FFE8ECF1"/>
        <rFont val="Meiryo"/>
        <family val="0"/>
        <charset val="1"/>
      </rPr>
      <t xml:space="preserve">[J]</t>
    </r>
  </si>
  <si>
    <r>
      <rPr>
        <i val="true"/>
        <sz val="9"/>
        <color rgb="FFFFB454"/>
        <rFont val="Noto Sans CJK SC"/>
        <family val="2"/>
      </rPr>
      <t xml:space="preserve">🟡 確信度について：上式は一般的な「エネルギー法による</t>
    </r>
    <r>
      <rPr>
        <i val="true"/>
        <sz val="9"/>
        <color rgb="FFFFB454"/>
        <rFont val="Meiryo"/>
        <family val="0"/>
        <charset val="1"/>
      </rPr>
      <t xml:space="preserve">η</t>
    </r>
    <r>
      <rPr>
        <i val="true"/>
        <sz val="9"/>
        <color rgb="FFFFB454"/>
        <rFont val="Noto Sans CJK SC"/>
        <family val="2"/>
      </rPr>
      <t xml:space="preserve">推定」の考え方に基づく標準的な形ですが、</t>
    </r>
    <r>
      <rPr>
        <i val="true"/>
        <sz val="9"/>
        <color rgb="FFFFB454"/>
        <rFont val="Meiryo"/>
        <family val="0"/>
        <charset val="1"/>
      </rPr>
      <t xml:space="preserve">P</t>
    </r>
    <r>
      <rPr>
        <i val="true"/>
        <sz val="9"/>
        <color rgb="FFFFB454"/>
        <rFont val="Noto Sans CJK SC"/>
        <family val="2"/>
      </rPr>
      <t xml:space="preserve">・</t>
    </r>
    <r>
      <rPr>
        <i val="true"/>
        <sz val="9"/>
        <color rgb="FFFFB454"/>
        <rFont val="Meiryo"/>
        <family val="0"/>
        <charset val="1"/>
      </rPr>
      <t xml:space="preserve">E</t>
    </r>
    <r>
      <rPr>
        <i val="true"/>
        <sz val="9"/>
        <color rgb="FFFFB454"/>
        <rFont val="Noto Sans CJK SC"/>
        <family val="2"/>
      </rPr>
      <t xml:space="preserve">の厳密な定義（半パワーか全パワーか、運動エネルギーのみか歪みエネルギーとの和か）は文献によって係数が変わることがあります。実測に使う前に </t>
    </r>
    <r>
      <rPr>
        <i val="true"/>
        <sz val="9"/>
        <color rgb="FFFFB454"/>
        <rFont val="Meiryo"/>
        <family val="0"/>
        <charset val="1"/>
      </rPr>
      <t xml:space="preserve">Bloss &amp; Rao, "Measurement of Damping in Structures by the Power Input Method", Experimental Techniques, Vol.26, Issue 3, 2002 </t>
    </r>
    <r>
      <rPr>
        <i val="true"/>
        <sz val="9"/>
        <color rgb="FFFFB454"/>
        <rFont val="Noto Sans CJK SC"/>
        <family val="2"/>
      </rPr>
      <t xml:space="preserve">の原典で式の定義を確認してください（既にお持ちの参考文献リストにも追加をおすすめします）。</t>
    </r>
  </si>
  <si>
    <t xml:space="preserve">【簡易計算例】水色＝入力、緑＝自動計算</t>
  </si>
  <si>
    <r>
      <rPr>
        <sz val="10"/>
        <color rgb="FFE8ECF1"/>
        <rFont val="Noto Sans CJK SC"/>
        <family val="2"/>
      </rPr>
      <t xml:space="preserve">入力パワー </t>
    </r>
    <r>
      <rPr>
        <sz val="10"/>
        <color rgb="FFE8ECF1"/>
        <rFont val="Meiryo"/>
        <family val="0"/>
        <charset val="1"/>
      </rPr>
      <t xml:space="preserve">P [W]</t>
    </r>
    <r>
      <rPr>
        <sz val="10"/>
        <color rgb="FFE8ECF1"/>
        <rFont val="Noto Sans CJK SC"/>
        <family val="2"/>
      </rPr>
      <t xml:space="preserve">（例：加振力</t>
    </r>
    <r>
      <rPr>
        <sz val="10"/>
        <color rgb="FFE8ECF1"/>
        <rFont val="Meiryo"/>
        <family val="0"/>
        <charset val="1"/>
      </rPr>
      <t xml:space="preserve">×</t>
    </r>
    <r>
      <rPr>
        <sz val="10"/>
        <color rgb="FFE8ECF1"/>
        <rFont val="Noto Sans CJK SC"/>
        <family val="2"/>
      </rPr>
      <t xml:space="preserve">速度の相関から算出した値）</t>
    </r>
  </si>
  <si>
    <r>
      <rPr>
        <sz val="10"/>
        <color rgb="FFE8ECF1"/>
        <rFont val="Noto Sans CJK SC"/>
        <family val="2"/>
      </rPr>
      <t xml:space="preserve">着目周波数 </t>
    </r>
    <r>
      <rPr>
        <sz val="10"/>
        <color rgb="FFE8ECF1"/>
        <rFont val="Meiryo"/>
        <family val="0"/>
        <charset val="1"/>
      </rPr>
      <t xml:space="preserve">f [Hz]</t>
    </r>
  </si>
  <si>
    <r>
      <rPr>
        <sz val="10"/>
        <color rgb="FFE8ECF1"/>
        <rFont val="Noto Sans CJK SC"/>
        <family val="2"/>
      </rPr>
      <t xml:space="preserve">全振動エネルギー </t>
    </r>
    <r>
      <rPr>
        <sz val="10"/>
        <color rgb="FFE8ECF1"/>
        <rFont val="Meiryo"/>
        <family val="0"/>
        <charset val="1"/>
      </rPr>
      <t xml:space="preserve">E [J]</t>
    </r>
    <r>
      <rPr>
        <sz val="10"/>
        <color rgb="FFE8ECF1"/>
        <rFont val="Noto Sans CJK SC"/>
        <family val="2"/>
      </rPr>
      <t xml:space="preserve">（</t>
    </r>
    <r>
      <rPr>
        <sz val="10"/>
        <color rgb="FFE8ECF1"/>
        <rFont val="Meiryo"/>
        <family val="0"/>
        <charset val="1"/>
      </rPr>
      <t xml:space="preserve">PSV</t>
    </r>
    <r>
      <rPr>
        <sz val="10"/>
        <color rgb="FFE8ECF1"/>
        <rFont val="Noto Sans CJK SC"/>
        <family val="2"/>
      </rPr>
      <t xml:space="preserve">の全点速度から推定）</t>
    </r>
  </si>
  <si>
    <r>
      <rPr>
        <i val="true"/>
        <sz val="9"/>
        <color rgb="FFFFB454"/>
        <rFont val="Meiryo"/>
        <family val="0"/>
        <charset val="1"/>
      </rPr>
      <t xml:space="preserve">(</t>
    </r>
    <r>
      <rPr>
        <i val="true"/>
        <sz val="9"/>
        <color rgb="FFFFB454"/>
        <rFont val="Noto Sans CJK SC"/>
        <family val="2"/>
      </rPr>
      <t xml:space="preserve">参考</t>
    </r>
    <r>
      <rPr>
        <i val="true"/>
        <sz val="9"/>
        <color rgb="FFFFB454"/>
        <rFont val="Meiryo"/>
        <family val="0"/>
        <charset val="1"/>
      </rPr>
      <t xml:space="preserve">) P/(2πfE)</t>
    </r>
  </si>
  <si>
    <r>
      <rPr>
        <b val="true"/>
        <sz val="14"/>
        <color rgb="FFFFFFFF"/>
        <rFont val="Noto Sans CJK SC"/>
        <family val="2"/>
      </rPr>
      <t xml:space="preserve">④ サークルフィット法（</t>
    </r>
    <r>
      <rPr>
        <b val="true"/>
        <sz val="14"/>
        <color rgb="FFFFFFFF"/>
        <rFont val="Meiryo"/>
        <family val="0"/>
        <charset val="1"/>
      </rPr>
      <t xml:space="preserve">Kennedy-Pancu Circle Fit</t>
    </r>
    <r>
      <rPr>
        <b val="true"/>
        <sz val="14"/>
        <color rgb="FFFFFFFF"/>
        <rFont val="Noto Sans CJK SC"/>
        <family val="2"/>
      </rPr>
      <t xml:space="preserve">）－ 概念解説</t>
    </r>
  </si>
  <si>
    <r>
      <rPr>
        <sz val="10"/>
        <color rgb="FFE8ECF1"/>
        <rFont val="Meiryo"/>
        <family val="0"/>
        <charset val="1"/>
      </rPr>
      <t xml:space="preserve">FRF</t>
    </r>
    <r>
      <rPr>
        <sz val="10"/>
        <color rgb="FFE8ECF1"/>
        <rFont val="Noto Sans CJK SC"/>
        <family val="2"/>
      </rPr>
      <t xml:space="preserve">（周波数応答関数）を「実部（横軸）</t>
    </r>
    <r>
      <rPr>
        <sz val="10"/>
        <color rgb="FFE8ECF1"/>
        <rFont val="Meiryo"/>
        <family val="0"/>
        <charset val="1"/>
      </rPr>
      <t xml:space="preserve">× </t>
    </r>
    <r>
      <rPr>
        <sz val="10"/>
        <color rgb="FFE8ECF1"/>
        <rFont val="Noto Sans CJK SC"/>
        <family val="2"/>
      </rPr>
      <t xml:space="preserve">虚部（縦軸）」の複素平面（ナイキスト線図）に点として</t>
    </r>
  </si>
  <si>
    <r>
      <rPr>
        <sz val="10"/>
        <color rgb="FFE8ECF1"/>
        <rFont val="Meiryo"/>
        <family val="0"/>
        <charset val="1"/>
      </rPr>
      <t xml:space="preserve">1</t>
    </r>
    <r>
      <rPr>
        <sz val="10"/>
        <color rgb="FFE8ECF1"/>
        <rFont val="Noto Sans CJK SC"/>
        <family val="2"/>
      </rPr>
      <t xml:space="preserve">つずつプロットしていくと、</t>
    </r>
    <r>
      <rPr>
        <sz val="10"/>
        <color rgb="FFE8ECF1"/>
        <rFont val="Meiryo"/>
        <family val="0"/>
        <charset val="1"/>
      </rPr>
      <t xml:space="preserve">1</t>
    </r>
    <r>
      <rPr>
        <sz val="10"/>
        <color rgb="FFE8ECF1"/>
        <rFont val="Noto Sans CJK SC"/>
        <family val="2"/>
      </rPr>
      <t xml:space="preserve">つの共振モードの近くでは、その点の集まりがきれいな“円”を描くという</t>
    </r>
  </si>
  <si>
    <t xml:space="preserve">数学的な性質があります。</t>
  </si>
  <si>
    <r>
      <rPr>
        <sz val="10"/>
        <color rgb="FFE8ECF1"/>
        <rFont val="Noto Sans CJK SC"/>
        <family val="2"/>
      </rPr>
      <t xml:space="preserve">半値幅法は「円の直径を上から見た幅（</t>
    </r>
    <r>
      <rPr>
        <sz val="10"/>
        <color rgb="FFE8ECF1"/>
        <rFont val="Meiryo"/>
        <family val="0"/>
        <charset val="1"/>
      </rPr>
      <t xml:space="preserve">-3dB</t>
    </r>
    <r>
      <rPr>
        <sz val="10"/>
        <color rgb="FFE8ECF1"/>
        <rFont val="Noto Sans CJK SC"/>
        <family val="2"/>
      </rPr>
      <t xml:space="preserve">幅）」だけを使う簡易版ですが、</t>
    </r>
  </si>
  <si>
    <t xml:space="preserve">サークルフィット法は「円そのものの形（半径・中心位置）」を複数の点から計算で求めるため、</t>
  </si>
  <si>
    <t xml:space="preserve">ノイズの影響を受けにくく、半値幅法より高精度に損失係数を求められます。</t>
  </si>
  <si>
    <t xml:space="preserve">半値幅法との関係で言うと、サークルフィット法は“定規で幅を測る”よりも</t>
  </si>
  <si>
    <t xml:space="preserve">“複数の点から円をきちんと当てはめる”という一段階進んだ方法、とイメージしてください。</t>
  </si>
  <si>
    <r>
      <rPr>
        <sz val="10"/>
        <color rgb="FFE8ECF1"/>
        <rFont val="Noto Sans CJK SC"/>
        <family val="2"/>
      </rPr>
      <t xml:space="preserve">（カーブフィット法（</t>
    </r>
    <r>
      <rPr>
        <sz val="10"/>
        <color rgb="FFE8ECF1"/>
        <rFont val="Meiryo"/>
        <family val="0"/>
        <charset val="1"/>
      </rPr>
      <t xml:space="preserve">RFP</t>
    </r>
    <r>
      <rPr>
        <sz val="10"/>
        <color rgb="FFE8ECF1"/>
        <rFont val="Noto Sans CJK SC"/>
        <family val="2"/>
      </rPr>
      <t xml:space="preserve">・</t>
    </r>
    <r>
      <rPr>
        <sz val="10"/>
        <color rgb="FFE8ECF1"/>
        <rFont val="Meiryo"/>
        <family val="0"/>
        <charset val="1"/>
      </rPr>
      <t xml:space="preserve">PolyMAX</t>
    </r>
    <r>
      <rPr>
        <sz val="10"/>
        <color rgb="FFE8ECF1"/>
        <rFont val="Noto Sans CJK SC"/>
        <family val="2"/>
      </rPr>
      <t xml:space="preserve">）は、このサークルフィットの考え方をさらに拡張し、</t>
    </r>
  </si>
  <si>
    <t xml:space="preserve">重なった複数のモードも同時に分離できるようにしたものです）</t>
  </si>
  <si>
    <t xml:space="preserve">【必要なデータ】</t>
  </si>
  <si>
    <r>
      <rPr>
        <sz val="10"/>
        <color rgb="FFE8ECF1"/>
        <rFont val="Noto Sans CJK SC"/>
        <family val="2"/>
      </rPr>
      <t xml:space="preserve">共振点の前後、複数の周波数点での</t>
    </r>
    <r>
      <rPr>
        <sz val="10"/>
        <color rgb="FFE8ECF1"/>
        <rFont val="Meiryo"/>
        <family val="0"/>
        <charset val="1"/>
      </rPr>
      <t xml:space="preserve">FRF</t>
    </r>
    <r>
      <rPr>
        <sz val="10"/>
        <color rgb="FFE8ECF1"/>
        <rFont val="Noto Sans CJK SC"/>
        <family val="2"/>
      </rPr>
      <t xml:space="preserve">（実部・虚部）データ</t>
    </r>
  </si>
  <si>
    <t xml:space="preserve">【この用途での位置づけ】</t>
  </si>
  <si>
    <r>
      <rPr>
        <sz val="10"/>
        <color rgb="FFE8ECF1"/>
        <rFont val="Noto Sans CJK SC"/>
        <family val="2"/>
      </rPr>
      <t xml:space="preserve">縮退モード（</t>
    </r>
    <r>
      <rPr>
        <sz val="10"/>
        <color rgb="FFE8ECF1"/>
        <rFont val="Meiryo"/>
        <family val="0"/>
        <charset val="1"/>
      </rPr>
      <t xml:space="preserve">2</t>
    </r>
    <r>
      <rPr>
        <sz val="10"/>
        <color rgb="FFE8ECF1"/>
        <rFont val="Noto Sans CJK SC"/>
        <family val="2"/>
      </rPr>
      <t xml:space="preserve">つの山が重なっている）の分離には、既にご案内済みの「カーブフィット・窓関数・</t>
    </r>
  </si>
  <si>
    <r>
      <rPr>
        <sz val="10"/>
        <color rgb="FFE8ECF1"/>
        <rFont val="Meiryo"/>
        <family val="0"/>
        <charset val="1"/>
      </rPr>
      <t xml:space="preserve">Excel</t>
    </r>
    <r>
      <rPr>
        <sz val="10"/>
        <color rgb="FFE8ECF1"/>
        <rFont val="Noto Sans CJK SC"/>
        <family val="2"/>
      </rPr>
      <t xml:space="preserve">解析ガイド」の</t>
    </r>
    <r>
      <rPr>
        <sz val="10"/>
        <color rgb="FFE8ECF1"/>
        <rFont val="Meiryo"/>
        <family val="0"/>
        <charset val="1"/>
      </rPr>
      <t xml:space="preserve">RFP</t>
    </r>
    <r>
      <rPr>
        <sz val="10"/>
        <color rgb="FFE8ECF1"/>
        <rFont val="Noto Sans CJK SC"/>
        <family val="2"/>
      </rPr>
      <t xml:space="preserve">法が上位互換として使えるため、単独モードを手早く高精度化したい</t>
    </r>
  </si>
  <si>
    <t xml:space="preserve">場面での“中間の選択肢”として押さえておくのがおすすめです。</t>
  </si>
  <si>
    <r>
      <rPr>
        <i val="true"/>
        <sz val="9"/>
        <color rgb="FFFFB454"/>
        <rFont val="Noto Sans CJK SC"/>
        <family val="2"/>
      </rPr>
      <t xml:space="preserve">🟡 確信度について：具体的な計算式（円の中心・半径から角度</t>
    </r>
    <r>
      <rPr>
        <i val="true"/>
        <sz val="9"/>
        <color rgb="FFFFB454"/>
        <rFont val="Meiryo"/>
        <family val="0"/>
        <charset val="1"/>
      </rPr>
      <t xml:space="preserve">θ</t>
    </r>
    <r>
      <rPr>
        <i val="true"/>
        <sz val="9"/>
        <color rgb="FFFFB454"/>
        <rFont val="Noto Sans CJK SC"/>
        <family val="2"/>
      </rPr>
      <t xml:space="preserve">を介して</t>
    </r>
    <r>
      <rPr>
        <i val="true"/>
        <sz val="9"/>
        <color rgb="FFFFB454"/>
        <rFont val="Meiryo"/>
        <family val="0"/>
        <charset val="1"/>
      </rPr>
      <t xml:space="preserve">η</t>
    </r>
    <r>
      <rPr>
        <i val="true"/>
        <sz val="9"/>
        <color rgb="FFFFB454"/>
        <rFont val="Noto Sans CJK SC"/>
        <family val="2"/>
      </rPr>
      <t xml:space="preserve">を求める式）は文献ごとに表記が異なるため、ここでは数式を断定せず概念のみ記載しています。厳密な式が必要な場合は </t>
    </r>
    <r>
      <rPr>
        <i val="true"/>
        <sz val="9"/>
        <color rgb="FFFFB454"/>
        <rFont val="Meiryo"/>
        <family val="0"/>
        <charset val="1"/>
      </rPr>
      <t xml:space="preserve">Ewins, D.J., "Modal Testing: Theory, Practice and Application"</t>
    </r>
    <r>
      <rPr>
        <i val="true"/>
        <sz val="9"/>
        <color rgb="FFFFB454"/>
        <rFont val="Noto Sans CJK SC"/>
        <family val="2"/>
      </rPr>
      <t xml:space="preserve">（既にお持ちの参考文献）の円あてはめ法の章を一次情報として確認することを強く推奨します。</t>
    </r>
  </si>
  <si>
    <r>
      <rPr>
        <b val="true"/>
        <sz val="14"/>
        <color rgb="FFFFFFFF"/>
        <rFont val="Noto Sans CJK SC"/>
        <family val="2"/>
      </rPr>
      <t xml:space="preserve">⑤ ランダムデクリメント法（</t>
    </r>
    <r>
      <rPr>
        <b val="true"/>
        <sz val="14"/>
        <color rgb="FFFFFFFF"/>
        <rFont val="Meiryo"/>
        <family val="0"/>
        <charset val="1"/>
      </rPr>
      <t xml:space="preserve">Random Decrement Method</t>
    </r>
    <r>
      <rPr>
        <b val="true"/>
        <sz val="14"/>
        <color rgb="FFFFFFFF"/>
        <rFont val="Noto Sans CJK SC"/>
        <family val="2"/>
      </rPr>
      <t xml:space="preserve">）－ 概念解説</t>
    </r>
  </si>
  <si>
    <r>
      <rPr>
        <sz val="10"/>
        <color rgb="FFE8ECF1"/>
        <rFont val="Noto Sans CJK SC"/>
        <family val="2"/>
      </rPr>
      <t xml:space="preserve">ハンマーで叩けない状況（例：実車走行中や稼働中の機械）では、狙った</t>
    </r>
    <r>
      <rPr>
        <sz val="10"/>
        <color rgb="FFE8ECF1"/>
        <rFont val="Meiryo"/>
        <family val="0"/>
        <charset val="1"/>
      </rPr>
      <t xml:space="preserve">1</t>
    </r>
    <r>
      <rPr>
        <sz val="10"/>
        <color rgb="FFE8ECF1"/>
        <rFont val="Noto Sans CJK SC"/>
        <family val="2"/>
      </rPr>
      <t xml:space="preserve">回の衝撃ではなく、</t>
    </r>
  </si>
  <si>
    <t xml:space="preserve">常に不規則な振動（ランダム振動）しか記録できません。</t>
  </si>
  <si>
    <t xml:space="preserve">そこで、その長い波形を「ある条件（例：ある振幅を超えた瞬間）」を基準に多数の短い区間に切り出し、</t>
  </si>
  <si>
    <t xml:space="preserve">それらをすべて重ねて平均します。ランダム成分は打ち消し合って平均でゼロに近づき、</t>
  </si>
  <si>
    <t xml:space="preserve">構造がもともと持っている“自由減衰”の性質だけが平均波形として浮かび上がってきます。</t>
  </si>
  <si>
    <t xml:space="preserve">こうして人工的に「ハンマーで叩いた後の自由減衰波形」に相当するものを作り出す方法です。</t>
  </si>
  <si>
    <t xml:space="preserve">浮かび上がった平均波形に対しては、②で説明した対数減衰率法（またはヒルベルト変換包絡線法）を</t>
  </si>
  <si>
    <t xml:space="preserve">そのまま適用して損失係数を求めます。</t>
  </si>
  <si>
    <r>
      <rPr>
        <sz val="10"/>
        <color rgb="FFE8ECF1"/>
        <rFont val="Noto Sans CJK SC"/>
        <family val="2"/>
      </rPr>
      <t xml:space="preserve">現在の実験室でのインパクトハンマー測定・</t>
    </r>
    <r>
      <rPr>
        <sz val="10"/>
        <color rgb="FFE8ECF1"/>
        <rFont val="Meiryo"/>
        <family val="0"/>
        <charset val="1"/>
      </rPr>
      <t xml:space="preserve">PSV</t>
    </r>
    <r>
      <rPr>
        <sz val="10"/>
        <color rgb="FFE8ECF1"/>
        <rFont val="Noto Sans CJK SC"/>
        <family val="2"/>
      </rPr>
      <t xml:space="preserve">スキャンでは、狙った加振ができているため</t>
    </r>
  </si>
  <si>
    <t xml:space="preserve">この方法は基本的に不要です。将来、実車走行中のブレーキ鳴き（オペレーショナル計測）を</t>
  </si>
  <si>
    <t xml:space="preserve">扱う段階になった際の選択肢として、頭の片隅に置いておくと良い手法です。</t>
  </si>
  <si>
    <t xml:space="preserve">⑥ 参考文献・出典</t>
  </si>
  <si>
    <t xml:space="preserve">小野測器「制振材とその性能評価方法」 対数減衰率・半値幅法の定義</t>
  </si>
  <si>
    <t xml:space="preserve">  https://www.onosokki.co.jp/English/hp_e/whats_new/SV_rpt/dampingfactor/dampingfactor_1.htm</t>
  </si>
  <si>
    <t xml:space="preserve">Bloss, B., Rao, M.D., "Measurement of Damping in Structures by the Power Input Method",</t>
  </si>
  <si>
    <r>
      <rPr>
        <sz val="10"/>
        <color rgb="FFE8ECF1"/>
        <rFont val="Meiryo"/>
        <family val="0"/>
        <charset val="1"/>
      </rPr>
      <t xml:space="preserve">  Experimental Techniques, Vol.26, Issue 3, pp.30-32, May 2002</t>
    </r>
    <r>
      <rPr>
        <sz val="10"/>
        <color rgb="FFE8ECF1"/>
        <rFont val="Noto Sans CJK SC"/>
        <family val="2"/>
      </rPr>
      <t xml:space="preserve">　－　パワー入力法の原典</t>
    </r>
  </si>
  <si>
    <t xml:space="preserve">NASA/TM-2016-218227, "Extracting Damping Ratio From Dynamic Data and Numerical Solutions"</t>
  </si>
  <si>
    <t xml:space="preserve">  https://ntrs.nasa.gov/api/citations/20170005173/downloads/20170005173.pdf</t>
  </si>
  <si>
    <t xml:space="preserve">  対数減衰率法・ランダムデクリメント法など複数手法の比較</t>
  </si>
  <si>
    <r>
      <rPr>
        <sz val="10"/>
        <color rgb="FFE8ECF1"/>
        <rFont val="Meiryo"/>
        <family val="0"/>
        <charset val="1"/>
      </rPr>
      <t xml:space="preserve">Ewins, D.J., "Modal Testing: Theory, Practice and Application" </t>
    </r>
    <r>
      <rPr>
        <sz val="10"/>
        <color rgb="FFE8ECF1"/>
        <rFont val="Noto Sans CJK SC"/>
        <family val="2"/>
      </rPr>
      <t xml:space="preserve">（既存の参考文献）</t>
    </r>
  </si>
  <si>
    <r>
      <rPr>
        <sz val="10"/>
        <color rgb="FFE8ECF1"/>
        <rFont val="Noto Sans CJK SC"/>
        <family val="2"/>
      </rPr>
      <t xml:space="preserve">  サークルフィット法（</t>
    </r>
    <r>
      <rPr>
        <sz val="10"/>
        <color rgb="FFE8ECF1"/>
        <rFont val="Meiryo"/>
        <family val="0"/>
        <charset val="1"/>
      </rPr>
      <t xml:space="preserve">Kennedy-Pancu</t>
    </r>
    <r>
      <rPr>
        <sz val="10"/>
        <color rgb="FFE8ECF1"/>
        <rFont val="Noto Sans CJK SC"/>
        <family val="2"/>
      </rPr>
      <t xml:space="preserve">法）の詳細な導出</t>
    </r>
  </si>
  <si>
    <t xml:space="preserve">ASTM E756, "Standard Test Method for Measuring Vibration-Damping Properties of Materials"</t>
  </si>
  <si>
    <r>
      <rPr>
        <sz val="10"/>
        <color rgb="FFE8ECF1"/>
        <rFont val="Meiryo"/>
        <family val="0"/>
        <charset val="1"/>
      </rPr>
      <t xml:space="preserve">  Oberst</t>
    </r>
    <r>
      <rPr>
        <sz val="10"/>
        <color rgb="FFE8ECF1"/>
        <rFont val="Noto Sans CJK SC"/>
        <family val="2"/>
      </rPr>
      <t xml:space="preserve">梁法の規格</t>
    </r>
  </si>
  <si>
    <t xml:space="preserve">🟡 このファイルの一部の式（③パワー入力法・④サークルフィット法）は一般的な定義に基づく概説であり、</t>
  </si>
  <si>
    <t xml:space="preserve">  実測・論文投稿等に使う前には必ず一次情報（上記原典）で数式の厳密な定義を確認してください。</t>
  </si>
</sst>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FFFFFF"/>
      <name val="Noto Sans CJK SC"/>
      <family val="2"/>
    </font>
    <font>
      <b val="true"/>
      <sz val="14"/>
      <color rgb="FFFFFFFF"/>
      <name val="Meiryo"/>
      <family val="0"/>
      <charset val="1"/>
    </font>
    <font>
      <b val="true"/>
      <sz val="10"/>
      <color rgb="FFE8ECF1"/>
      <name val="Noto Sans CJK SC"/>
      <family val="2"/>
    </font>
    <font>
      <sz val="10"/>
      <color rgb="FFE8ECF1"/>
      <name val="Noto Sans CJK SC"/>
      <family val="2"/>
    </font>
    <font>
      <sz val="10"/>
      <color rgb="FFE8ECF1"/>
      <name val="Meiryo"/>
      <family val="0"/>
      <charset val="1"/>
    </font>
    <font>
      <i val="true"/>
      <sz val="9"/>
      <color rgb="FFFFB454"/>
      <name val="Noto Sans CJK SC"/>
      <family val="2"/>
    </font>
    <font>
      <i val="true"/>
      <sz val="9"/>
      <color rgb="FFFFB454"/>
      <name val="Meiryo"/>
      <family val="0"/>
      <charset val="1"/>
    </font>
    <font>
      <b val="true"/>
      <sz val="10"/>
      <color rgb="FF5AD4FF"/>
      <name val="Meiryo"/>
      <family val="0"/>
      <charset val="1"/>
    </font>
    <font>
      <b val="true"/>
      <sz val="10"/>
      <color rgb="FF5EE6A0"/>
      <name val="Meiryo"/>
      <family val="0"/>
      <charset val="1"/>
    </font>
  </fonts>
  <fills count="7">
    <fill>
      <patternFill patternType="none"/>
    </fill>
    <fill>
      <patternFill patternType="gray125"/>
    </fill>
    <fill>
      <patternFill patternType="solid">
        <fgColor rgb="FF0F3D5C"/>
        <bgColor rgb="FF223047"/>
      </patternFill>
    </fill>
    <fill>
      <patternFill patternType="solid">
        <fgColor rgb="FF1E222A"/>
        <bgColor rgb="FF1B3327"/>
      </patternFill>
    </fill>
    <fill>
      <patternFill patternType="solid">
        <fgColor rgb="FF27313D"/>
        <bgColor rgb="FF223047"/>
      </patternFill>
    </fill>
    <fill>
      <patternFill patternType="solid">
        <fgColor rgb="FF223047"/>
        <bgColor rgb="FF27313D"/>
      </patternFill>
    </fill>
    <fill>
      <patternFill patternType="solid">
        <fgColor rgb="FF1B3327"/>
        <bgColor rgb="FF27313D"/>
      </patternFill>
    </fill>
  </fills>
  <borders count="2">
    <border diagonalUp="false" diagonalDown="false">
      <left/>
      <right/>
      <top/>
      <bottom/>
      <diagonal/>
    </border>
    <border diagonalUp="false" diagonalDown="false">
      <left style="thin">
        <color rgb="FF3A4553"/>
      </left>
      <right style="thin">
        <color rgb="FF3A4553"/>
      </right>
      <top style="thin">
        <color rgb="FF3A4553"/>
      </top>
      <bottom style="thin">
        <color rgb="FF3A455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9" fillId="3" borderId="0" xfId="0" applyFont="true" applyBorder="true" applyAlignment="true" applyProtection="false">
      <alignment horizontal="left" vertical="top" textRotation="0" wrapText="true" indent="0" shrinkToFit="false"/>
      <protection locked="true" hidden="false"/>
    </xf>
    <xf numFmtId="164" fontId="6" fillId="3" borderId="0" xfId="0" applyFont="true" applyBorder="true" applyAlignment="true" applyProtection="false">
      <alignment horizontal="left" vertical="top" textRotation="0" wrapText="true" indent="0" shrinkToFit="false"/>
      <protection locked="true" hidden="false"/>
    </xf>
    <xf numFmtId="164" fontId="7" fillId="3" borderId="0" xfId="0" applyFont="true" applyBorder="true" applyAlignment="true" applyProtection="false">
      <alignment horizontal="left" vertical="top" textRotation="0" wrapText="true" indent="0" shrinkToFit="false"/>
      <protection locked="true" hidden="false"/>
    </xf>
    <xf numFmtId="164" fontId="8" fillId="3" borderId="0" xfId="0" applyFont="true" applyBorder="true" applyAlignment="true" applyProtection="false">
      <alignment horizontal="left" vertical="top" textRotation="0" wrapText="tru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11" fillId="5"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5" fontId="12" fillId="6"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4" fontId="9" fillId="3"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223047"/>
      <rgbColor rgb="FF808000"/>
      <rgbColor rgb="FF800080"/>
      <rgbColor rgb="FF008080"/>
      <rgbColor rgb="FFC0C0C0"/>
      <rgbColor rgb="FF808080"/>
      <rgbColor rgb="FF9999FF"/>
      <rgbColor rgb="FF993366"/>
      <rgbColor rgb="FFFFFFCC"/>
      <rgbColor rgb="FFE8EC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5EE6A0"/>
      <rgbColor rgb="FFFF99CC"/>
      <rgbColor rgb="FFCC99FF"/>
      <rgbColor rgb="FFFFB454"/>
      <rgbColor rgb="FF3366FF"/>
      <rgbColor rgb="FF5AD4FF"/>
      <rgbColor rgb="FF99CC00"/>
      <rgbColor rgb="FFFFCC00"/>
      <rgbColor rgb="FFFF9900"/>
      <rgbColor rgb="FFFF6600"/>
      <rgbColor rgb="FF666699"/>
      <rgbColor rgb="FF969696"/>
      <rgbColor rgb="FF0F3D5C"/>
      <rgbColor rgb="FF339966"/>
      <rgbColor rgb="FF1E222A"/>
      <rgbColor rgb="FF1B3327"/>
      <rgbColor rgb="FF993300"/>
      <rgbColor rgb="FF993366"/>
      <rgbColor rgb="FF3A4553"/>
      <rgbColor rgb="FF2731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0"/>
    <col collapsed="false" customWidth="true" hidden="false" outlineLevel="0" max="3" min="3" style="0" width="30"/>
    <col collapsed="false" customWidth="true" hidden="false" outlineLevel="0" max="4" min="4" style="0" width="26"/>
    <col collapsed="false" customWidth="true" hidden="false" outlineLevel="0" max="5" min="5" style="0" width="30"/>
    <col collapsed="false" customWidth="true" hidden="false" outlineLevel="0" max="6" min="6" style="0" width="22"/>
    <col collapsed="false" customWidth="true" hidden="false" outlineLevel="0" max="7" min="7" style="0" width="30"/>
  </cols>
  <sheetData>
    <row r="1" customFormat="false" ht="27.75" hidden="false" customHeight="true" outlineLevel="0" collapsed="false">
      <c r="A1" s="1" t="s">
        <v>0</v>
      </c>
      <c r="B1" s="1"/>
      <c r="C1" s="1"/>
      <c r="D1" s="1"/>
      <c r="E1" s="1"/>
      <c r="F1" s="1"/>
      <c r="G1" s="1"/>
      <c r="H1" s="2"/>
    </row>
    <row r="2" customFormat="false" ht="15" hidden="false" customHeight="false" outlineLevel="0" collapsed="false">
      <c r="A2" s="2"/>
      <c r="B2" s="2"/>
      <c r="C2" s="2"/>
      <c r="D2" s="2"/>
      <c r="E2" s="2"/>
      <c r="F2" s="2"/>
      <c r="G2" s="2"/>
      <c r="H2" s="2"/>
    </row>
    <row r="3" customFormat="false" ht="15" hidden="false" customHeight="false" outlineLevel="0" collapsed="false">
      <c r="A3" s="3" t="s">
        <v>1</v>
      </c>
      <c r="B3" s="3" t="s">
        <v>2</v>
      </c>
      <c r="C3" s="3" t="s">
        <v>3</v>
      </c>
      <c r="D3" s="3" t="s">
        <v>4</v>
      </c>
      <c r="E3" s="3" t="s">
        <v>5</v>
      </c>
      <c r="F3" s="3" t="s">
        <v>6</v>
      </c>
      <c r="G3" s="3" t="s">
        <v>7</v>
      </c>
      <c r="H3" s="2"/>
    </row>
    <row r="4" customFormat="false" ht="72" hidden="false" customHeight="true" outlineLevel="0" collapsed="false">
      <c r="A4" s="4" t="s">
        <v>8</v>
      </c>
      <c r="B4" s="4" t="s">
        <v>9</v>
      </c>
      <c r="C4" s="4" t="s">
        <v>10</v>
      </c>
      <c r="D4" s="4" t="s">
        <v>11</v>
      </c>
      <c r="E4" s="4" t="s">
        <v>12</v>
      </c>
      <c r="F4" s="5" t="s">
        <v>13</v>
      </c>
      <c r="G4" s="4" t="s">
        <v>14</v>
      </c>
      <c r="H4" s="2"/>
    </row>
    <row r="5" customFormat="false" ht="72" hidden="false" customHeight="true" outlineLevel="0" collapsed="false">
      <c r="A5" s="4" t="s">
        <v>15</v>
      </c>
      <c r="B5" s="4" t="s">
        <v>9</v>
      </c>
      <c r="C5" s="5" t="s">
        <v>16</v>
      </c>
      <c r="D5" s="4" t="s">
        <v>17</v>
      </c>
      <c r="E5" s="4" t="s">
        <v>18</v>
      </c>
      <c r="F5" s="5" t="s">
        <v>19</v>
      </c>
      <c r="G5" s="4" t="s">
        <v>20</v>
      </c>
      <c r="H5" s="2"/>
    </row>
    <row r="6" customFormat="false" ht="72" hidden="false" customHeight="true" outlineLevel="0" collapsed="false">
      <c r="A6" s="4" t="s">
        <v>21</v>
      </c>
      <c r="B6" s="4" t="s">
        <v>22</v>
      </c>
      <c r="C6" s="4" t="s">
        <v>23</v>
      </c>
      <c r="D6" s="4" t="s">
        <v>24</v>
      </c>
      <c r="E6" s="5" t="s">
        <v>25</v>
      </c>
      <c r="F6" s="4" t="s">
        <v>26</v>
      </c>
      <c r="G6" s="4" t="s">
        <v>14</v>
      </c>
      <c r="H6" s="2"/>
    </row>
    <row r="7" customFormat="false" ht="72" hidden="false" customHeight="true" outlineLevel="0" collapsed="false">
      <c r="A7" s="4" t="s">
        <v>27</v>
      </c>
      <c r="B7" s="4" t="s">
        <v>22</v>
      </c>
      <c r="C7" s="4" t="s">
        <v>28</v>
      </c>
      <c r="D7" s="4" t="s">
        <v>29</v>
      </c>
      <c r="E7" s="4" t="s">
        <v>30</v>
      </c>
      <c r="F7" s="4" t="s">
        <v>31</v>
      </c>
      <c r="G7" s="4" t="s">
        <v>32</v>
      </c>
      <c r="H7" s="2"/>
    </row>
    <row r="8" customFormat="false" ht="72" hidden="false" customHeight="true" outlineLevel="0" collapsed="false">
      <c r="A8" s="4" t="s">
        <v>33</v>
      </c>
      <c r="B8" s="4" t="s">
        <v>9</v>
      </c>
      <c r="C8" s="5" t="s">
        <v>34</v>
      </c>
      <c r="D8" s="4" t="s">
        <v>35</v>
      </c>
      <c r="E8" s="4" t="s">
        <v>36</v>
      </c>
      <c r="F8" s="5" t="s">
        <v>37</v>
      </c>
      <c r="G8" s="4" t="s">
        <v>38</v>
      </c>
      <c r="H8" s="2"/>
    </row>
    <row r="9" customFormat="false" ht="72" hidden="false" customHeight="true" outlineLevel="0" collapsed="false">
      <c r="A9" s="4" t="s">
        <v>39</v>
      </c>
      <c r="B9" s="4" t="s">
        <v>40</v>
      </c>
      <c r="C9" s="4" t="s">
        <v>41</v>
      </c>
      <c r="D9" s="4" t="s">
        <v>42</v>
      </c>
      <c r="E9" s="4" t="s">
        <v>43</v>
      </c>
      <c r="F9" s="4" t="s">
        <v>44</v>
      </c>
      <c r="G9" s="4" t="s">
        <v>45</v>
      </c>
      <c r="H9" s="2"/>
    </row>
    <row r="10" customFormat="false" ht="72" hidden="false" customHeight="true" outlineLevel="0" collapsed="false">
      <c r="A10" s="4" t="s">
        <v>46</v>
      </c>
      <c r="B10" s="4" t="s">
        <v>22</v>
      </c>
      <c r="C10" s="4" t="s">
        <v>47</v>
      </c>
      <c r="D10" s="4" t="s">
        <v>48</v>
      </c>
      <c r="E10" s="4" t="s">
        <v>49</v>
      </c>
      <c r="F10" s="4" t="s">
        <v>50</v>
      </c>
      <c r="G10" s="4" t="s">
        <v>51</v>
      </c>
      <c r="H10" s="2"/>
    </row>
    <row r="11" customFormat="false" ht="72" hidden="false" customHeight="true" outlineLevel="0" collapsed="false">
      <c r="A11" s="5" t="s">
        <v>52</v>
      </c>
      <c r="B11" s="4" t="s">
        <v>9</v>
      </c>
      <c r="C11" s="4" t="s">
        <v>53</v>
      </c>
      <c r="D11" s="4" t="s">
        <v>54</v>
      </c>
      <c r="E11" s="4" t="s">
        <v>55</v>
      </c>
      <c r="F11" s="4" t="s">
        <v>56</v>
      </c>
      <c r="G11" s="4" t="s">
        <v>57</v>
      </c>
      <c r="H11" s="2"/>
    </row>
    <row r="12" customFormat="false" ht="15" hidden="false" customHeight="false" outlineLevel="0" collapsed="false">
      <c r="A12" s="2"/>
      <c r="B12" s="2"/>
      <c r="C12" s="2"/>
      <c r="D12" s="2"/>
      <c r="E12" s="2"/>
      <c r="F12" s="2"/>
      <c r="G12" s="2"/>
      <c r="H12" s="2"/>
    </row>
    <row r="13" customFormat="false" ht="45" hidden="false" customHeight="true" outlineLevel="0" collapsed="false">
      <c r="A13" s="6" t="s">
        <v>58</v>
      </c>
      <c r="B13" s="6"/>
      <c r="C13" s="6"/>
      <c r="D13" s="6"/>
      <c r="E13" s="6"/>
      <c r="F13" s="6"/>
      <c r="G13" s="6"/>
      <c r="H13" s="2"/>
    </row>
    <row r="14" customFormat="false" ht="15" hidden="false" customHeight="false" outlineLevel="0" collapsed="false">
      <c r="A14" s="2"/>
      <c r="B14" s="2"/>
      <c r="C14" s="2"/>
      <c r="D14" s="2"/>
      <c r="E14" s="2"/>
      <c r="F14" s="2"/>
      <c r="G14" s="2"/>
      <c r="H14" s="2"/>
    </row>
    <row r="15" customFormat="false" ht="15" hidden="false" customHeight="false" outlineLevel="0" collapsed="false">
      <c r="A15" s="2"/>
      <c r="B15" s="2"/>
      <c r="C15" s="2"/>
      <c r="D15" s="2"/>
      <c r="E15" s="2"/>
      <c r="F15" s="2"/>
      <c r="G15" s="2"/>
      <c r="H15" s="2"/>
    </row>
    <row r="16" customFormat="false" ht="15" hidden="false" customHeight="false" outlineLevel="0" collapsed="false">
      <c r="A16" s="2"/>
      <c r="B16" s="2"/>
      <c r="C16" s="2"/>
      <c r="D16" s="2"/>
      <c r="E16" s="2"/>
      <c r="F16" s="2"/>
      <c r="G16" s="2"/>
      <c r="H16" s="2"/>
    </row>
    <row r="17" customFormat="false" ht="15" hidden="false" customHeight="false" outlineLevel="0" collapsed="false">
      <c r="A17" s="2"/>
      <c r="B17" s="2"/>
      <c r="C17" s="2"/>
      <c r="D17" s="2"/>
      <c r="E17" s="2"/>
      <c r="F17" s="2"/>
      <c r="G17" s="2"/>
      <c r="H17" s="2"/>
    </row>
    <row r="18" customFormat="false" ht="15" hidden="false" customHeight="false" outlineLevel="0" collapsed="false">
      <c r="A18" s="2"/>
      <c r="B18" s="2"/>
      <c r="C18" s="2"/>
      <c r="D18" s="2"/>
      <c r="E18" s="2"/>
      <c r="F18" s="2"/>
      <c r="G18" s="2"/>
      <c r="H18" s="2"/>
    </row>
    <row r="19" customFormat="false" ht="15" hidden="false" customHeight="false" outlineLevel="0" collapsed="false">
      <c r="A19" s="2"/>
      <c r="B19" s="2"/>
      <c r="C19" s="2"/>
      <c r="D19" s="2"/>
      <c r="E19" s="2"/>
      <c r="F19" s="2"/>
      <c r="G19" s="2"/>
      <c r="H19" s="2"/>
    </row>
    <row r="20" customFormat="false" ht="15" hidden="false" customHeight="false" outlineLevel="0" collapsed="false">
      <c r="A20" s="2"/>
      <c r="B20" s="2"/>
      <c r="C20" s="2"/>
      <c r="D20" s="2"/>
      <c r="E20" s="2"/>
      <c r="F20" s="2"/>
      <c r="G20" s="2"/>
      <c r="H20" s="2"/>
    </row>
    <row r="21" customFormat="false" ht="15" hidden="false" customHeight="false" outlineLevel="0" collapsed="false">
      <c r="A21" s="2"/>
      <c r="B21" s="2"/>
      <c r="C21" s="2"/>
      <c r="D21" s="2"/>
      <c r="E21" s="2"/>
      <c r="F21" s="2"/>
      <c r="G21" s="2"/>
      <c r="H21" s="2"/>
    </row>
    <row r="22" customFormat="false" ht="15" hidden="false" customHeight="false" outlineLevel="0" collapsed="false">
      <c r="A22" s="2"/>
      <c r="B22" s="2"/>
      <c r="C22" s="2"/>
      <c r="D22" s="2"/>
      <c r="E22" s="2"/>
      <c r="F22" s="2"/>
      <c r="G22" s="2"/>
      <c r="H22" s="2"/>
    </row>
    <row r="23" customFormat="false" ht="15" hidden="false" customHeight="false" outlineLevel="0" collapsed="false">
      <c r="A23" s="2"/>
      <c r="B23" s="2"/>
      <c r="C23" s="2"/>
      <c r="D23" s="2"/>
      <c r="E23" s="2"/>
      <c r="F23" s="2"/>
      <c r="G23" s="2"/>
      <c r="H23" s="2"/>
    </row>
    <row r="24" customFormat="false" ht="15" hidden="false" customHeight="false" outlineLevel="0" collapsed="false">
      <c r="A24" s="2"/>
      <c r="B24" s="2"/>
      <c r="C24" s="2"/>
      <c r="D24" s="2"/>
      <c r="E24" s="2"/>
      <c r="F24" s="2"/>
      <c r="G24" s="2"/>
      <c r="H24" s="2"/>
    </row>
    <row r="25" customFormat="false" ht="15" hidden="false" customHeight="false" outlineLevel="0" collapsed="false">
      <c r="A25" s="2"/>
      <c r="B25" s="2"/>
      <c r="C25" s="2"/>
      <c r="D25" s="2"/>
      <c r="E25" s="2"/>
      <c r="F25" s="2"/>
      <c r="G25" s="2"/>
      <c r="H25" s="2"/>
    </row>
    <row r="26" customFormat="false" ht="15" hidden="false" customHeight="false" outlineLevel="0" collapsed="false">
      <c r="A26" s="2"/>
      <c r="B26" s="2"/>
      <c r="C26" s="2"/>
      <c r="D26" s="2"/>
      <c r="E26" s="2"/>
      <c r="F26" s="2"/>
      <c r="G26" s="2"/>
      <c r="H26" s="2"/>
    </row>
    <row r="27" customFormat="false" ht="15" hidden="false" customHeight="false" outlineLevel="0" collapsed="false">
      <c r="A27" s="2"/>
      <c r="B27" s="2"/>
      <c r="C27" s="2"/>
      <c r="D27" s="2"/>
      <c r="E27" s="2"/>
      <c r="F27" s="2"/>
      <c r="G27" s="2"/>
      <c r="H27" s="2"/>
    </row>
    <row r="28" customFormat="false" ht="15" hidden="false" customHeight="false" outlineLevel="0" collapsed="false">
      <c r="A28" s="2"/>
      <c r="B28" s="2"/>
      <c r="C28" s="2"/>
      <c r="D28" s="2"/>
      <c r="E28" s="2"/>
      <c r="F28" s="2"/>
      <c r="G28" s="2"/>
      <c r="H28" s="2"/>
    </row>
    <row r="29" customFormat="false" ht="15" hidden="false" customHeight="false" outlineLevel="0" collapsed="false">
      <c r="A29" s="2"/>
      <c r="B29" s="2"/>
      <c r="C29" s="2"/>
      <c r="D29" s="2"/>
      <c r="E29" s="2"/>
      <c r="F29" s="2"/>
      <c r="G29" s="2"/>
      <c r="H29" s="2"/>
    </row>
    <row r="30" customFormat="false" ht="15" hidden="false" customHeight="false" outlineLevel="0" collapsed="false">
      <c r="A30" s="2"/>
      <c r="B30" s="2"/>
      <c r="C30" s="2"/>
      <c r="D30" s="2"/>
      <c r="E30" s="2"/>
      <c r="F30" s="2"/>
      <c r="G30" s="2"/>
      <c r="H30" s="2"/>
    </row>
  </sheetData>
  <mergeCells count="2">
    <mergeCell ref="A1:G1"/>
    <mergeCell ref="A13:G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3" min="3" style="0" width="40"/>
    <col collapsed="false" customWidth="true" hidden="false" outlineLevel="0" max="6" min="4" style="0" width="4"/>
  </cols>
  <sheetData>
    <row r="1" customFormat="false" ht="25.5" hidden="false" customHeight="true" outlineLevel="0" collapsed="false">
      <c r="A1" s="1" t="s">
        <v>59</v>
      </c>
      <c r="B1" s="1"/>
      <c r="C1" s="1"/>
      <c r="D1" s="2"/>
      <c r="E1" s="2"/>
      <c r="F1" s="2"/>
    </row>
    <row r="2" customFormat="false" ht="15" hidden="false" customHeight="false" outlineLevel="0" collapsed="false">
      <c r="A2" s="2"/>
      <c r="B2" s="2"/>
      <c r="C2" s="2"/>
      <c r="D2" s="2"/>
      <c r="E2" s="2"/>
      <c r="F2" s="2"/>
    </row>
    <row r="3" customFormat="false" ht="15" hidden="false" customHeight="true" outlineLevel="0" collapsed="false">
      <c r="A3" s="7" t="s">
        <v>60</v>
      </c>
      <c r="B3" s="7"/>
      <c r="C3" s="7"/>
      <c r="D3" s="7"/>
      <c r="E3" s="7"/>
      <c r="F3" s="7"/>
    </row>
    <row r="4" customFormat="false" ht="15" hidden="false" customHeight="true" outlineLevel="0" collapsed="false">
      <c r="A4" s="8" t="s">
        <v>61</v>
      </c>
      <c r="B4" s="8"/>
      <c r="C4" s="8"/>
      <c r="D4" s="8"/>
      <c r="E4" s="8"/>
      <c r="F4" s="8"/>
    </row>
    <row r="5" customFormat="false" ht="15" hidden="false" customHeight="true" outlineLevel="0" collapsed="false">
      <c r="A5" s="9" t="s">
        <v>62</v>
      </c>
      <c r="B5" s="9"/>
      <c r="C5" s="9"/>
      <c r="D5" s="9"/>
      <c r="E5" s="9"/>
      <c r="F5" s="9"/>
    </row>
    <row r="6" customFormat="false" ht="15" hidden="false" customHeight="true" outlineLevel="0" collapsed="false">
      <c r="A6" s="8" t="s">
        <v>63</v>
      </c>
      <c r="B6" s="8"/>
      <c r="C6" s="8"/>
      <c r="D6" s="8"/>
      <c r="E6" s="8"/>
      <c r="F6" s="8"/>
    </row>
    <row r="7" customFormat="false" ht="15" hidden="false" customHeight="false" outlineLevel="0" collapsed="false">
      <c r="A7" s="8"/>
      <c r="B7" s="8"/>
      <c r="C7" s="8"/>
      <c r="D7" s="8"/>
      <c r="E7" s="8"/>
      <c r="F7" s="8"/>
    </row>
    <row r="8" customFormat="false" ht="15" hidden="false" customHeight="true" outlineLevel="0" collapsed="false">
      <c r="A8" s="8" t="s">
        <v>64</v>
      </c>
      <c r="B8" s="8"/>
      <c r="C8" s="8"/>
      <c r="D8" s="8"/>
      <c r="E8" s="8"/>
      <c r="F8" s="8"/>
    </row>
    <row r="9" customFormat="false" ht="15" hidden="false" customHeight="true" outlineLevel="0" collapsed="false">
      <c r="A9" s="8" t="s">
        <v>65</v>
      </c>
      <c r="B9" s="8"/>
      <c r="C9" s="8"/>
      <c r="D9" s="8"/>
      <c r="E9" s="8"/>
      <c r="F9" s="8"/>
    </row>
    <row r="10" customFormat="false" ht="15" hidden="false" customHeight="true" outlineLevel="0" collapsed="false">
      <c r="A10" s="9" t="s">
        <v>66</v>
      </c>
      <c r="B10" s="9"/>
      <c r="C10" s="9"/>
      <c r="D10" s="9"/>
      <c r="E10" s="9"/>
      <c r="F10" s="9"/>
    </row>
    <row r="11" customFormat="false" ht="15" hidden="false" customHeight="true" outlineLevel="0" collapsed="false">
      <c r="A11" s="8" t="s">
        <v>67</v>
      </c>
      <c r="B11" s="8"/>
      <c r="C11" s="8"/>
      <c r="D11" s="8"/>
      <c r="E11" s="8"/>
      <c r="F11" s="8"/>
    </row>
    <row r="12" customFormat="false" ht="15" hidden="false" customHeight="false" outlineLevel="0" collapsed="false">
      <c r="A12" s="8"/>
      <c r="B12" s="8"/>
      <c r="C12" s="8"/>
      <c r="D12" s="8"/>
      <c r="E12" s="8"/>
      <c r="F12" s="8"/>
    </row>
    <row r="13" customFormat="false" ht="15" hidden="false" customHeight="true" outlineLevel="0" collapsed="false">
      <c r="A13" s="7" t="s">
        <v>68</v>
      </c>
      <c r="B13" s="7"/>
      <c r="C13" s="7"/>
      <c r="D13" s="7"/>
      <c r="E13" s="7"/>
      <c r="F13" s="7"/>
    </row>
    <row r="14" customFormat="false" ht="15" hidden="false" customHeight="true" outlineLevel="0" collapsed="false">
      <c r="A14" s="9" t="s">
        <v>69</v>
      </c>
      <c r="B14" s="9"/>
      <c r="C14" s="9"/>
      <c r="D14" s="9"/>
      <c r="E14" s="9"/>
      <c r="F14" s="9"/>
    </row>
    <row r="15" customFormat="false" ht="15" hidden="false" customHeight="true" outlineLevel="0" collapsed="false">
      <c r="A15" s="9" t="s">
        <v>70</v>
      </c>
      <c r="B15" s="9"/>
      <c r="C15" s="9"/>
      <c r="D15" s="9"/>
      <c r="E15" s="9"/>
      <c r="F15" s="9"/>
    </row>
    <row r="16" customFormat="false" ht="15" hidden="false" customHeight="true" outlineLevel="0" collapsed="false">
      <c r="A16" s="9" t="s">
        <v>71</v>
      </c>
      <c r="B16" s="9"/>
      <c r="C16" s="9"/>
      <c r="D16" s="9"/>
      <c r="E16" s="9"/>
      <c r="F16" s="9"/>
    </row>
    <row r="17" customFormat="false" ht="15" hidden="false" customHeight="false" outlineLevel="0" collapsed="false">
      <c r="A17" s="2"/>
      <c r="B17" s="2"/>
      <c r="C17" s="2"/>
      <c r="D17" s="2"/>
      <c r="E17" s="2"/>
      <c r="F17" s="2"/>
    </row>
    <row r="18" customFormat="false" ht="15" hidden="false" customHeight="false" outlineLevel="0" collapsed="false">
      <c r="A18" s="10" t="s">
        <v>72</v>
      </c>
      <c r="B18" s="2"/>
      <c r="C18" s="2"/>
      <c r="D18" s="2"/>
      <c r="E18" s="2"/>
      <c r="F18" s="2"/>
    </row>
    <row r="19" customFormat="false" ht="15" hidden="false" customHeight="false" outlineLevel="0" collapsed="false">
      <c r="A19" s="11" t="s">
        <v>73</v>
      </c>
      <c r="B19" s="12" t="n">
        <v>10</v>
      </c>
      <c r="C19" s="13" t="s">
        <v>74</v>
      </c>
      <c r="D19" s="2"/>
      <c r="E19" s="2"/>
      <c r="F19" s="2"/>
    </row>
    <row r="20" customFormat="false" ht="15" hidden="false" customHeight="false" outlineLevel="0" collapsed="false">
      <c r="A20" s="11" t="s">
        <v>75</v>
      </c>
      <c r="B20" s="12" t="n">
        <v>6.5</v>
      </c>
      <c r="C20" s="13" t="s">
        <v>76</v>
      </c>
      <c r="D20" s="2"/>
      <c r="E20" s="2"/>
      <c r="F20" s="2"/>
    </row>
    <row r="21" customFormat="false" ht="15" hidden="false" customHeight="false" outlineLevel="0" collapsed="false">
      <c r="A21" s="14" t="s">
        <v>77</v>
      </c>
      <c r="B21" s="12" t="n">
        <v>5</v>
      </c>
      <c r="C21" s="13" t="s">
        <v>78</v>
      </c>
      <c r="D21" s="2"/>
      <c r="E21" s="2"/>
      <c r="F21" s="2"/>
    </row>
    <row r="22" customFormat="false" ht="15" hidden="false" customHeight="false" outlineLevel="0" collapsed="false">
      <c r="A22" s="15"/>
      <c r="B22" s="15"/>
      <c r="C22" s="15"/>
      <c r="D22" s="2"/>
      <c r="E22" s="2"/>
      <c r="F22" s="2"/>
    </row>
    <row r="23" customFormat="false" ht="15" hidden="false" customHeight="false" outlineLevel="0" collapsed="false">
      <c r="A23" s="16" t="s">
        <v>79</v>
      </c>
      <c r="B23" s="15"/>
      <c r="C23" s="15"/>
      <c r="D23" s="2"/>
      <c r="E23" s="2"/>
      <c r="F23" s="2"/>
    </row>
    <row r="24" customFormat="false" ht="15" hidden="false" customHeight="false" outlineLevel="0" collapsed="false">
      <c r="A24" s="14" t="s">
        <v>80</v>
      </c>
      <c r="B24" s="17" t="n">
        <f aca="false">LN(B19/B20)/B21</f>
        <v>0.0861565832184909</v>
      </c>
      <c r="C24" s="18" t="s">
        <v>81</v>
      </c>
      <c r="D24" s="2"/>
      <c r="E24" s="2"/>
      <c r="F24" s="2"/>
    </row>
    <row r="25" customFormat="false" ht="15" hidden="false" customHeight="false" outlineLevel="0" collapsed="false">
      <c r="A25" s="14" t="s">
        <v>82</v>
      </c>
      <c r="B25" s="17" t="n">
        <f aca="false">B24/(2*PI())</f>
        <v>0.0137122460991311</v>
      </c>
      <c r="C25" s="18" t="s">
        <v>83</v>
      </c>
      <c r="D25" s="2"/>
      <c r="E25" s="2"/>
      <c r="F25" s="2"/>
    </row>
    <row r="26" customFormat="false" ht="15" hidden="false" customHeight="false" outlineLevel="0" collapsed="false">
      <c r="A26" s="14" t="s">
        <v>84</v>
      </c>
      <c r="B26" s="17" t="n">
        <f aca="false">2*B25</f>
        <v>0.0274244921982621</v>
      </c>
      <c r="C26" s="18" t="s">
        <v>85</v>
      </c>
      <c r="D26" s="2"/>
      <c r="E26" s="2"/>
      <c r="F26" s="2"/>
    </row>
    <row r="27" customFormat="false" ht="15" hidden="false" customHeight="false" outlineLevel="0" collapsed="false">
      <c r="A27" s="2"/>
      <c r="B27" s="2"/>
      <c r="C27" s="2"/>
      <c r="D27" s="2"/>
      <c r="E27" s="2"/>
      <c r="F27" s="2"/>
    </row>
    <row r="28" customFormat="false" ht="45" hidden="false" customHeight="true" outlineLevel="0" collapsed="false">
      <c r="A28" s="19" t="s">
        <v>86</v>
      </c>
      <c r="B28" s="19"/>
      <c r="C28" s="19"/>
      <c r="D28" s="19"/>
      <c r="E28" s="19"/>
      <c r="F28" s="19"/>
    </row>
    <row r="29" customFormat="false" ht="15" hidden="false" customHeight="false" outlineLevel="0" collapsed="false">
      <c r="A29" s="2"/>
      <c r="B29" s="2"/>
      <c r="C29" s="2"/>
      <c r="D29" s="2"/>
      <c r="E29" s="2"/>
      <c r="F29" s="2"/>
    </row>
    <row r="30" customFormat="false" ht="15" hidden="false" customHeight="false" outlineLevel="0" collapsed="false">
      <c r="A30" s="2"/>
      <c r="B30" s="2"/>
      <c r="C30" s="2"/>
      <c r="D30" s="2"/>
      <c r="E30" s="2"/>
      <c r="F30" s="2"/>
    </row>
    <row r="31" customFormat="false" ht="15" hidden="false" customHeight="false" outlineLevel="0" collapsed="false">
      <c r="A31" s="2"/>
      <c r="B31" s="2"/>
      <c r="C31" s="2"/>
      <c r="D31" s="2"/>
      <c r="E31" s="2"/>
      <c r="F31" s="2"/>
    </row>
    <row r="32" customFormat="false" ht="15" hidden="false" customHeight="false" outlineLevel="0" collapsed="false">
      <c r="A32" s="2"/>
      <c r="B32" s="2"/>
      <c r="C32" s="2"/>
      <c r="D32" s="2"/>
      <c r="E32" s="2"/>
      <c r="F32" s="2"/>
    </row>
    <row r="33" customFormat="false" ht="15" hidden="false" customHeight="false" outlineLevel="0" collapsed="false">
      <c r="A33" s="2"/>
      <c r="B33" s="2"/>
      <c r="C33" s="2"/>
      <c r="D33" s="2"/>
      <c r="E33" s="2"/>
      <c r="F33" s="2"/>
    </row>
    <row r="34" customFormat="false" ht="15" hidden="false" customHeight="false" outlineLevel="0" collapsed="false">
      <c r="A34" s="2"/>
      <c r="B34" s="2"/>
      <c r="C34" s="2"/>
      <c r="D34" s="2"/>
      <c r="E34" s="2"/>
      <c r="F34" s="2"/>
    </row>
    <row r="35" customFormat="false" ht="15" hidden="false" customHeight="false" outlineLevel="0" collapsed="false">
      <c r="A35" s="2"/>
      <c r="B35" s="2"/>
      <c r="C35" s="2"/>
      <c r="D35" s="2"/>
      <c r="E35" s="2"/>
      <c r="F35" s="2"/>
    </row>
    <row r="36" customFormat="false" ht="15" hidden="false" customHeight="false" outlineLevel="0" collapsed="false">
      <c r="A36" s="2"/>
      <c r="B36" s="2"/>
      <c r="C36" s="2"/>
      <c r="D36" s="2"/>
      <c r="E36" s="2"/>
      <c r="F36" s="2"/>
    </row>
    <row r="37" customFormat="false" ht="15" hidden="false" customHeight="false" outlineLevel="0" collapsed="false">
      <c r="A37" s="2"/>
      <c r="B37" s="2"/>
      <c r="C37" s="2"/>
      <c r="D37" s="2"/>
      <c r="E37" s="2"/>
      <c r="F37" s="2"/>
    </row>
    <row r="38" customFormat="false" ht="15" hidden="false" customHeight="false" outlineLevel="0" collapsed="false">
      <c r="A38" s="2"/>
      <c r="B38" s="2"/>
      <c r="C38" s="2"/>
      <c r="D38" s="2"/>
      <c r="E38" s="2"/>
      <c r="F38" s="2"/>
    </row>
    <row r="39" customFormat="false" ht="15" hidden="false" customHeight="false" outlineLevel="0" collapsed="false">
      <c r="A39" s="2"/>
      <c r="B39" s="2"/>
      <c r="C39" s="2"/>
      <c r="D39" s="2"/>
      <c r="E39" s="2"/>
      <c r="F39" s="2"/>
    </row>
    <row r="40" customFormat="false" ht="15" hidden="false" customHeight="false" outlineLevel="0" collapsed="false">
      <c r="A40" s="2"/>
      <c r="B40" s="2"/>
      <c r="C40" s="2"/>
      <c r="D40" s="2"/>
      <c r="E40" s="2"/>
      <c r="F40" s="2"/>
    </row>
  </sheetData>
  <mergeCells count="16">
    <mergeCell ref="A1:C1"/>
    <mergeCell ref="A3:F3"/>
    <mergeCell ref="A4:F4"/>
    <mergeCell ref="A5:F5"/>
    <mergeCell ref="A6:F6"/>
    <mergeCell ref="A7:F7"/>
    <mergeCell ref="A8:F8"/>
    <mergeCell ref="A9:F9"/>
    <mergeCell ref="A10:F10"/>
    <mergeCell ref="A11:F11"/>
    <mergeCell ref="A12:F12"/>
    <mergeCell ref="A13:F13"/>
    <mergeCell ref="A14:F14"/>
    <mergeCell ref="A15:F15"/>
    <mergeCell ref="A16:F16"/>
    <mergeCell ref="A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3" min="3" style="0" width="42"/>
    <col collapsed="false" customWidth="true" hidden="false" outlineLevel="0" max="6" min="4" style="0" width="4"/>
  </cols>
  <sheetData>
    <row r="1" customFormat="false" ht="25.5" hidden="false" customHeight="true" outlineLevel="0" collapsed="false">
      <c r="A1" s="1" t="s">
        <v>87</v>
      </c>
      <c r="B1" s="1"/>
      <c r="C1" s="1"/>
      <c r="D1" s="2"/>
      <c r="E1" s="2"/>
      <c r="F1" s="2"/>
    </row>
    <row r="2" customFormat="false" ht="15" hidden="false" customHeight="false" outlineLevel="0" collapsed="false">
      <c r="A2" s="2"/>
      <c r="B2" s="2"/>
      <c r="C2" s="2"/>
      <c r="D2" s="2"/>
      <c r="E2" s="2"/>
      <c r="F2" s="2"/>
    </row>
    <row r="3" customFormat="false" ht="15" hidden="false" customHeight="true" outlineLevel="0" collapsed="false">
      <c r="A3" s="7" t="s">
        <v>60</v>
      </c>
      <c r="B3" s="7"/>
      <c r="C3" s="7"/>
      <c r="D3" s="7"/>
      <c r="E3" s="7"/>
      <c r="F3" s="7"/>
    </row>
    <row r="4" customFormat="false" ht="15" hidden="false" customHeight="true" outlineLevel="0" collapsed="false">
      <c r="A4" s="8" t="s">
        <v>88</v>
      </c>
      <c r="B4" s="8"/>
      <c r="C4" s="8"/>
      <c r="D4" s="8"/>
      <c r="E4" s="8"/>
      <c r="F4" s="8"/>
    </row>
    <row r="5" customFormat="false" ht="15" hidden="false" customHeight="true" outlineLevel="0" collapsed="false">
      <c r="A5" s="8" t="s">
        <v>89</v>
      </c>
      <c r="B5" s="8"/>
      <c r="C5" s="8"/>
      <c r="D5" s="8"/>
      <c r="E5" s="8"/>
      <c r="F5" s="8"/>
    </row>
    <row r="6" customFormat="false" ht="29.85" hidden="false" customHeight="true" outlineLevel="0" collapsed="false">
      <c r="A6" s="8" t="s">
        <v>90</v>
      </c>
      <c r="B6" s="8"/>
      <c r="C6" s="8"/>
      <c r="D6" s="8"/>
      <c r="E6" s="8"/>
      <c r="F6" s="8"/>
    </row>
    <row r="7" customFormat="false" ht="15" hidden="false" customHeight="false" outlineLevel="0" collapsed="false">
      <c r="A7" s="8"/>
      <c r="B7" s="8"/>
      <c r="C7" s="8"/>
      <c r="D7" s="8"/>
      <c r="E7" s="8"/>
      <c r="F7" s="8"/>
    </row>
    <row r="8" customFormat="false" ht="15" hidden="false" customHeight="true" outlineLevel="0" collapsed="false">
      <c r="A8" s="8" t="s">
        <v>91</v>
      </c>
      <c r="B8" s="8"/>
      <c r="C8" s="8"/>
      <c r="D8" s="8"/>
      <c r="E8" s="8"/>
      <c r="F8" s="8"/>
    </row>
    <row r="9" customFormat="false" ht="15" hidden="false" customHeight="true" outlineLevel="0" collapsed="false">
      <c r="A9" s="8" t="s">
        <v>92</v>
      </c>
      <c r="B9" s="8"/>
      <c r="C9" s="8"/>
      <c r="D9" s="8"/>
      <c r="E9" s="8"/>
      <c r="F9" s="8"/>
    </row>
    <row r="10" customFormat="false" ht="15" hidden="false" customHeight="true" outlineLevel="0" collapsed="false">
      <c r="A10" s="8" t="s">
        <v>93</v>
      </c>
      <c r="B10" s="8"/>
      <c r="C10" s="8"/>
      <c r="D10" s="8"/>
      <c r="E10" s="8"/>
      <c r="F10" s="8"/>
    </row>
    <row r="11" customFormat="false" ht="15" hidden="false" customHeight="false" outlineLevel="0" collapsed="false">
      <c r="A11" s="8"/>
      <c r="B11" s="8"/>
      <c r="C11" s="8"/>
      <c r="D11" s="8"/>
      <c r="E11" s="8"/>
      <c r="F11" s="8"/>
    </row>
    <row r="12" customFormat="false" ht="15" hidden="false" customHeight="true" outlineLevel="0" collapsed="false">
      <c r="A12" s="8" t="s">
        <v>94</v>
      </c>
      <c r="B12" s="8"/>
      <c r="C12" s="8"/>
      <c r="D12" s="8"/>
      <c r="E12" s="8"/>
      <c r="F12" s="8"/>
    </row>
    <row r="13" customFormat="false" ht="15" hidden="false" customHeight="true" outlineLevel="0" collapsed="false">
      <c r="A13" s="8" t="s">
        <v>95</v>
      </c>
      <c r="B13" s="8"/>
      <c r="C13" s="8"/>
      <c r="D13" s="8"/>
      <c r="E13" s="8"/>
      <c r="F13" s="8"/>
    </row>
    <row r="14" customFormat="false" ht="15" hidden="false" customHeight="false" outlineLevel="0" collapsed="false">
      <c r="A14" s="8"/>
      <c r="B14" s="8"/>
      <c r="C14" s="8"/>
      <c r="D14" s="8"/>
      <c r="E14" s="8"/>
      <c r="F14" s="8"/>
    </row>
    <row r="15" customFormat="false" ht="15" hidden="false" customHeight="true" outlineLevel="0" collapsed="false">
      <c r="A15" s="7" t="s">
        <v>96</v>
      </c>
      <c r="B15" s="7"/>
      <c r="C15" s="7"/>
      <c r="D15" s="7"/>
      <c r="E15" s="7"/>
      <c r="F15" s="7"/>
    </row>
    <row r="16" customFormat="false" ht="15" hidden="false" customHeight="true" outlineLevel="0" collapsed="false">
      <c r="A16" s="9" t="s">
        <v>97</v>
      </c>
      <c r="B16" s="9"/>
      <c r="C16" s="9"/>
      <c r="D16" s="9"/>
      <c r="E16" s="9"/>
      <c r="F16" s="9"/>
    </row>
    <row r="17" customFormat="false" ht="15" hidden="false" customHeight="true" outlineLevel="0" collapsed="false">
      <c r="A17" s="8" t="s">
        <v>98</v>
      </c>
      <c r="B17" s="8"/>
      <c r="C17" s="8"/>
      <c r="D17" s="8"/>
      <c r="E17" s="8"/>
      <c r="F17" s="8"/>
    </row>
    <row r="18" customFormat="false" ht="15" hidden="false" customHeight="true" outlineLevel="0" collapsed="false">
      <c r="A18" s="8" t="s">
        <v>99</v>
      </c>
      <c r="B18" s="8"/>
      <c r="C18" s="8"/>
      <c r="D18" s="8"/>
      <c r="E18" s="8"/>
      <c r="F18" s="8"/>
    </row>
    <row r="19" customFormat="false" ht="15" hidden="false" customHeight="true" outlineLevel="0" collapsed="false">
      <c r="A19" s="8" t="s">
        <v>100</v>
      </c>
      <c r="B19" s="8"/>
      <c r="C19" s="8"/>
      <c r="D19" s="8"/>
      <c r="E19" s="8"/>
      <c r="F19" s="8"/>
    </row>
    <row r="20" customFormat="false" ht="15" hidden="false" customHeight="false" outlineLevel="0" collapsed="false">
      <c r="A20" s="2"/>
      <c r="B20" s="2"/>
      <c r="C20" s="2"/>
      <c r="D20" s="2"/>
      <c r="E20" s="2"/>
      <c r="F20" s="2"/>
    </row>
    <row r="21" customFormat="false" ht="75" hidden="false" customHeight="true" outlineLevel="0" collapsed="false">
      <c r="A21" s="19" t="s">
        <v>101</v>
      </c>
      <c r="B21" s="19"/>
      <c r="C21" s="19"/>
      <c r="D21" s="19"/>
      <c r="E21" s="19"/>
      <c r="F21" s="19"/>
    </row>
    <row r="22" customFormat="false" ht="15" hidden="false" customHeight="false" outlineLevel="0" collapsed="false">
      <c r="A22" s="2"/>
      <c r="B22" s="2"/>
      <c r="C22" s="2"/>
      <c r="D22" s="2"/>
      <c r="E22" s="2"/>
      <c r="F22" s="2"/>
    </row>
    <row r="23" customFormat="false" ht="15" hidden="false" customHeight="false" outlineLevel="0" collapsed="false">
      <c r="A23" s="10" t="s">
        <v>102</v>
      </c>
      <c r="B23" s="2"/>
      <c r="C23" s="2"/>
      <c r="D23" s="2"/>
      <c r="E23" s="2"/>
      <c r="F23" s="2"/>
    </row>
    <row r="24" customFormat="false" ht="15" hidden="false" customHeight="false" outlineLevel="0" collapsed="false">
      <c r="A24" s="14" t="s">
        <v>103</v>
      </c>
      <c r="B24" s="12" t="n">
        <v>0.00025</v>
      </c>
      <c r="C24" s="15"/>
      <c r="D24" s="2"/>
      <c r="E24" s="2"/>
      <c r="F24" s="2"/>
    </row>
    <row r="25" customFormat="false" ht="15" hidden="false" customHeight="false" outlineLevel="0" collapsed="false">
      <c r="A25" s="14" t="s">
        <v>104</v>
      </c>
      <c r="B25" s="12" t="n">
        <v>3500</v>
      </c>
      <c r="C25" s="15"/>
      <c r="D25" s="2"/>
      <c r="E25" s="2"/>
      <c r="F25" s="2"/>
    </row>
    <row r="26" customFormat="false" ht="15" hidden="false" customHeight="false" outlineLevel="0" collapsed="false">
      <c r="A26" s="14" t="s">
        <v>105</v>
      </c>
      <c r="B26" s="12" t="n">
        <v>1.8E-006</v>
      </c>
      <c r="C26" s="15"/>
      <c r="D26" s="2"/>
      <c r="E26" s="2"/>
      <c r="F26" s="2"/>
    </row>
    <row r="27" customFormat="false" ht="15" hidden="false" customHeight="false" outlineLevel="0" collapsed="false">
      <c r="A27" s="15"/>
      <c r="B27" s="15"/>
      <c r="C27" s="15"/>
      <c r="D27" s="2"/>
      <c r="E27" s="2"/>
      <c r="F27" s="2"/>
    </row>
    <row r="28" customFormat="false" ht="15" hidden="false" customHeight="false" outlineLevel="0" collapsed="false">
      <c r="A28" s="14" t="s">
        <v>84</v>
      </c>
      <c r="B28" s="17" t="n">
        <f aca="false">B24/(2*PI()*B25*B26)</f>
        <v>0.00631567234491648</v>
      </c>
      <c r="C28" s="18" t="s">
        <v>106</v>
      </c>
      <c r="D28" s="2"/>
      <c r="E28" s="2"/>
      <c r="F28" s="2"/>
    </row>
    <row r="29" customFormat="false" ht="15" hidden="false" customHeight="false" outlineLevel="0" collapsed="false">
      <c r="A29" s="2"/>
      <c r="B29" s="2"/>
      <c r="C29" s="2"/>
      <c r="D29" s="2"/>
      <c r="E29" s="2"/>
      <c r="F29" s="2"/>
    </row>
    <row r="30" customFormat="false" ht="15" hidden="false" customHeight="false" outlineLevel="0" collapsed="false">
      <c r="A30" s="2"/>
      <c r="B30" s="2"/>
      <c r="C30" s="2"/>
      <c r="D30" s="2"/>
      <c r="E30" s="2"/>
      <c r="F30" s="2"/>
    </row>
    <row r="31" customFormat="false" ht="15" hidden="false" customHeight="false" outlineLevel="0" collapsed="false">
      <c r="A31" s="2"/>
      <c r="B31" s="2"/>
      <c r="C31" s="2"/>
      <c r="D31" s="2"/>
      <c r="E31" s="2"/>
      <c r="F31" s="2"/>
    </row>
    <row r="32" customFormat="false" ht="15" hidden="false" customHeight="false" outlineLevel="0" collapsed="false">
      <c r="A32" s="2"/>
      <c r="B32" s="2"/>
      <c r="C32" s="2"/>
      <c r="D32" s="2"/>
      <c r="E32" s="2"/>
      <c r="F32" s="2"/>
    </row>
    <row r="33" customFormat="false" ht="15" hidden="false" customHeight="false" outlineLevel="0" collapsed="false">
      <c r="A33" s="2"/>
      <c r="B33" s="2"/>
      <c r="C33" s="2"/>
      <c r="D33" s="2"/>
      <c r="E33" s="2"/>
      <c r="F33" s="2"/>
    </row>
    <row r="34" customFormat="false" ht="15" hidden="false" customHeight="false" outlineLevel="0" collapsed="false">
      <c r="A34" s="2"/>
      <c r="B34" s="2"/>
      <c r="C34" s="2"/>
      <c r="D34" s="2"/>
      <c r="E34" s="2"/>
      <c r="F34" s="2"/>
    </row>
    <row r="35" customFormat="false" ht="15" hidden="false" customHeight="false" outlineLevel="0" collapsed="false">
      <c r="A35" s="2"/>
      <c r="B35" s="2"/>
      <c r="C35" s="2"/>
      <c r="D35" s="2"/>
      <c r="E35" s="2"/>
      <c r="F35" s="2"/>
    </row>
    <row r="36" customFormat="false" ht="15" hidden="false" customHeight="false" outlineLevel="0" collapsed="false">
      <c r="A36" s="2"/>
      <c r="B36" s="2"/>
      <c r="C36" s="2"/>
      <c r="D36" s="2"/>
      <c r="E36" s="2"/>
      <c r="F36" s="2"/>
    </row>
    <row r="37" customFormat="false" ht="15" hidden="false" customHeight="false" outlineLevel="0" collapsed="false">
      <c r="A37" s="2"/>
      <c r="B37" s="2"/>
      <c r="C37" s="2"/>
      <c r="D37" s="2"/>
      <c r="E37" s="2"/>
      <c r="F37" s="2"/>
    </row>
    <row r="38" customFormat="false" ht="15" hidden="false" customHeight="false" outlineLevel="0" collapsed="false">
      <c r="A38" s="2"/>
      <c r="B38" s="2"/>
      <c r="C38" s="2"/>
      <c r="D38" s="2"/>
      <c r="E38" s="2"/>
      <c r="F38" s="2"/>
    </row>
    <row r="39" customFormat="false" ht="15" hidden="false" customHeight="false" outlineLevel="0" collapsed="false">
      <c r="A39" s="2"/>
      <c r="B39" s="2"/>
      <c r="C39" s="2"/>
      <c r="D39" s="2"/>
      <c r="E39" s="2"/>
      <c r="F39" s="2"/>
    </row>
    <row r="40" customFormat="false" ht="15" hidden="false" customHeight="false" outlineLevel="0" collapsed="false">
      <c r="A40" s="2"/>
      <c r="B40" s="2"/>
      <c r="C40" s="2"/>
      <c r="D40" s="2"/>
      <c r="E40" s="2"/>
      <c r="F40" s="2"/>
    </row>
  </sheetData>
  <mergeCells count="19">
    <mergeCell ref="A1:C1"/>
    <mergeCell ref="A3:F3"/>
    <mergeCell ref="A4:F4"/>
    <mergeCell ref="A5:F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6" min="2" style="0" width="6"/>
  </cols>
  <sheetData>
    <row r="1" customFormat="false" ht="25.5" hidden="false" customHeight="true" outlineLevel="0" collapsed="false">
      <c r="A1" s="1" t="s">
        <v>107</v>
      </c>
      <c r="B1" s="1"/>
      <c r="C1" s="1"/>
      <c r="D1" s="1"/>
      <c r="E1" s="1"/>
      <c r="F1" s="1"/>
    </row>
    <row r="2" customFormat="false" ht="15" hidden="false" customHeight="false" outlineLevel="0" collapsed="false">
      <c r="A2" s="2"/>
      <c r="B2" s="2"/>
      <c r="C2" s="2"/>
      <c r="D2" s="2"/>
      <c r="E2" s="2"/>
      <c r="F2" s="2"/>
    </row>
    <row r="3" customFormat="false" ht="15" hidden="false" customHeight="true" outlineLevel="0" collapsed="false">
      <c r="A3" s="7" t="s">
        <v>60</v>
      </c>
      <c r="B3" s="7"/>
      <c r="C3" s="7"/>
      <c r="D3" s="7"/>
      <c r="E3" s="7"/>
      <c r="F3" s="7"/>
    </row>
    <row r="4" customFormat="false" ht="15" hidden="false" customHeight="true" outlineLevel="0" collapsed="false">
      <c r="A4" s="9" t="s">
        <v>108</v>
      </c>
      <c r="B4" s="9"/>
      <c r="C4" s="9"/>
      <c r="D4" s="9"/>
      <c r="E4" s="9"/>
      <c r="F4" s="9"/>
    </row>
    <row r="5" customFormat="false" ht="15" hidden="false" customHeight="true" outlineLevel="0" collapsed="false">
      <c r="A5" s="9" t="s">
        <v>109</v>
      </c>
      <c r="B5" s="9"/>
      <c r="C5" s="9"/>
      <c r="D5" s="9"/>
      <c r="E5" s="9"/>
      <c r="F5" s="9"/>
    </row>
    <row r="6" customFormat="false" ht="15" hidden="false" customHeight="true" outlineLevel="0" collapsed="false">
      <c r="A6" s="8" t="s">
        <v>110</v>
      </c>
      <c r="B6" s="8"/>
      <c r="C6" s="8"/>
      <c r="D6" s="8"/>
      <c r="E6" s="8"/>
      <c r="F6" s="8"/>
    </row>
    <row r="7" customFormat="false" ht="15" hidden="false" customHeight="false" outlineLevel="0" collapsed="false">
      <c r="A7" s="8"/>
      <c r="B7" s="8"/>
      <c r="C7" s="8"/>
      <c r="D7" s="8"/>
      <c r="E7" s="8"/>
      <c r="F7" s="8"/>
    </row>
    <row r="8" customFormat="false" ht="15" hidden="false" customHeight="true" outlineLevel="0" collapsed="false">
      <c r="A8" s="8" t="s">
        <v>111</v>
      </c>
      <c r="B8" s="8"/>
      <c r="C8" s="8"/>
      <c r="D8" s="8"/>
      <c r="E8" s="8"/>
      <c r="F8" s="8"/>
    </row>
    <row r="9" customFormat="false" ht="15" hidden="false" customHeight="true" outlineLevel="0" collapsed="false">
      <c r="A9" s="8" t="s">
        <v>112</v>
      </c>
      <c r="B9" s="8"/>
      <c r="C9" s="8"/>
      <c r="D9" s="8"/>
      <c r="E9" s="8"/>
      <c r="F9" s="8"/>
    </row>
    <row r="10" customFormat="false" ht="15" hidden="false" customHeight="true" outlineLevel="0" collapsed="false">
      <c r="A10" s="8" t="s">
        <v>113</v>
      </c>
      <c r="B10" s="8"/>
      <c r="C10" s="8"/>
      <c r="D10" s="8"/>
      <c r="E10" s="8"/>
      <c r="F10" s="8"/>
    </row>
    <row r="11" customFormat="false" ht="15" hidden="false" customHeight="false" outlineLevel="0" collapsed="false">
      <c r="A11" s="8"/>
      <c r="B11" s="8"/>
      <c r="C11" s="8"/>
      <c r="D11" s="8"/>
      <c r="E11" s="8"/>
      <c r="F11" s="8"/>
    </row>
    <row r="12" customFormat="false" ht="15" hidden="false" customHeight="true" outlineLevel="0" collapsed="false">
      <c r="A12" s="8" t="s">
        <v>114</v>
      </c>
      <c r="B12" s="8"/>
      <c r="C12" s="8"/>
      <c r="D12" s="8"/>
      <c r="E12" s="8"/>
      <c r="F12" s="8"/>
    </row>
    <row r="13" customFormat="false" ht="15" hidden="false" customHeight="true" outlineLevel="0" collapsed="false">
      <c r="A13" s="8" t="s">
        <v>115</v>
      </c>
      <c r="B13" s="8"/>
      <c r="C13" s="8"/>
      <c r="D13" s="8"/>
      <c r="E13" s="8"/>
      <c r="F13" s="8"/>
    </row>
    <row r="14" customFormat="false" ht="15" hidden="false" customHeight="true" outlineLevel="0" collapsed="false">
      <c r="A14" s="8" t="s">
        <v>116</v>
      </c>
      <c r="B14" s="8"/>
      <c r="C14" s="8"/>
      <c r="D14" s="8"/>
      <c r="E14" s="8"/>
      <c r="F14" s="8"/>
    </row>
    <row r="15" customFormat="false" ht="15" hidden="false" customHeight="true" outlineLevel="0" collapsed="false">
      <c r="A15" s="8" t="s">
        <v>117</v>
      </c>
      <c r="B15" s="8"/>
      <c r="C15" s="8"/>
      <c r="D15" s="8"/>
      <c r="E15" s="8"/>
      <c r="F15" s="8"/>
    </row>
    <row r="16" customFormat="false" ht="15" hidden="false" customHeight="false" outlineLevel="0" collapsed="false">
      <c r="A16" s="8"/>
      <c r="B16" s="8"/>
      <c r="C16" s="8"/>
      <c r="D16" s="8"/>
      <c r="E16" s="8"/>
      <c r="F16" s="8"/>
    </row>
    <row r="17" customFormat="false" ht="15" hidden="false" customHeight="true" outlineLevel="0" collapsed="false">
      <c r="A17" s="7" t="s">
        <v>118</v>
      </c>
      <c r="B17" s="7"/>
      <c r="C17" s="7"/>
      <c r="D17" s="7"/>
      <c r="E17" s="7"/>
      <c r="F17" s="7"/>
    </row>
    <row r="18" customFormat="false" ht="15" hidden="false" customHeight="true" outlineLevel="0" collapsed="false">
      <c r="A18" s="8" t="s">
        <v>119</v>
      </c>
      <c r="B18" s="8"/>
      <c r="C18" s="8"/>
      <c r="D18" s="8"/>
      <c r="E18" s="8"/>
      <c r="F18" s="8"/>
    </row>
    <row r="19" customFormat="false" ht="15" hidden="false" customHeight="false" outlineLevel="0" collapsed="false">
      <c r="A19" s="8"/>
      <c r="B19" s="8"/>
      <c r="C19" s="8"/>
      <c r="D19" s="8"/>
      <c r="E19" s="8"/>
      <c r="F19" s="8"/>
    </row>
    <row r="20" customFormat="false" ht="15" hidden="false" customHeight="true" outlineLevel="0" collapsed="false">
      <c r="A20" s="7" t="s">
        <v>120</v>
      </c>
      <c r="B20" s="7"/>
      <c r="C20" s="7"/>
      <c r="D20" s="7"/>
      <c r="E20" s="7"/>
      <c r="F20" s="7"/>
    </row>
    <row r="21" customFormat="false" ht="15" hidden="false" customHeight="true" outlineLevel="0" collapsed="false">
      <c r="A21" s="8" t="s">
        <v>121</v>
      </c>
      <c r="B21" s="8"/>
      <c r="C21" s="8"/>
      <c r="D21" s="8"/>
      <c r="E21" s="8"/>
      <c r="F21" s="8"/>
    </row>
    <row r="22" customFormat="false" ht="15" hidden="false" customHeight="true" outlineLevel="0" collapsed="false">
      <c r="A22" s="9" t="s">
        <v>122</v>
      </c>
      <c r="B22" s="9"/>
      <c r="C22" s="9"/>
      <c r="D22" s="9"/>
      <c r="E22" s="9"/>
      <c r="F22" s="9"/>
    </row>
    <row r="23" customFormat="false" ht="15" hidden="false" customHeight="true" outlineLevel="0" collapsed="false">
      <c r="A23" s="8" t="s">
        <v>123</v>
      </c>
      <c r="B23" s="8"/>
      <c r="C23" s="8"/>
      <c r="D23" s="8"/>
      <c r="E23" s="8"/>
      <c r="F23" s="8"/>
    </row>
    <row r="24" customFormat="false" ht="15" hidden="false" customHeight="false" outlineLevel="0" collapsed="false">
      <c r="A24" s="2"/>
      <c r="B24" s="2"/>
      <c r="C24" s="2"/>
      <c r="D24" s="2"/>
      <c r="E24" s="2"/>
      <c r="F24" s="2"/>
    </row>
    <row r="25" customFormat="false" ht="60" hidden="false" customHeight="true" outlineLevel="0" collapsed="false">
      <c r="A25" s="19" t="s">
        <v>124</v>
      </c>
      <c r="B25" s="19"/>
      <c r="C25" s="19"/>
      <c r="D25" s="19"/>
      <c r="E25" s="19"/>
      <c r="F25" s="19"/>
    </row>
    <row r="26" customFormat="false" ht="15" hidden="false" customHeight="false" outlineLevel="0" collapsed="false">
      <c r="A26" s="2"/>
      <c r="B26" s="2"/>
      <c r="C26" s="2"/>
      <c r="D26" s="2"/>
      <c r="E26" s="2"/>
      <c r="F26" s="2"/>
    </row>
    <row r="27" customFormat="false" ht="15" hidden="false" customHeight="false" outlineLevel="0" collapsed="false">
      <c r="A27" s="2"/>
      <c r="B27" s="2"/>
      <c r="C27" s="2"/>
      <c r="D27" s="2"/>
      <c r="E27" s="2"/>
      <c r="F27" s="2"/>
    </row>
    <row r="28" customFormat="false" ht="15" hidden="false" customHeight="false" outlineLevel="0" collapsed="false">
      <c r="A28" s="2"/>
      <c r="B28" s="2"/>
      <c r="C28" s="2"/>
      <c r="D28" s="2"/>
      <c r="E28" s="2"/>
      <c r="F28" s="2"/>
    </row>
    <row r="29" customFormat="false" ht="15" hidden="false" customHeight="false" outlineLevel="0" collapsed="false">
      <c r="A29" s="2"/>
      <c r="B29" s="2"/>
      <c r="C29" s="2"/>
      <c r="D29" s="2"/>
      <c r="E29" s="2"/>
      <c r="F29" s="2"/>
    </row>
    <row r="30" customFormat="false" ht="15" hidden="false" customHeight="false" outlineLevel="0" collapsed="false">
      <c r="A30" s="2"/>
      <c r="B30" s="2"/>
      <c r="C30" s="2"/>
      <c r="D30" s="2"/>
      <c r="E30" s="2"/>
      <c r="F30" s="2"/>
    </row>
  </sheetData>
  <mergeCells count="23">
    <mergeCell ref="A1:F1"/>
    <mergeCell ref="A3:F3"/>
    <mergeCell ref="A4:F4"/>
    <mergeCell ref="A5:F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5:F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6" min="2" style="0" width="6"/>
  </cols>
  <sheetData>
    <row r="1" customFormat="false" ht="25.5" hidden="false" customHeight="true" outlineLevel="0" collapsed="false">
      <c r="A1" s="1" t="s">
        <v>125</v>
      </c>
      <c r="B1" s="1"/>
      <c r="C1" s="1"/>
      <c r="D1" s="1"/>
      <c r="E1" s="1"/>
      <c r="F1" s="1"/>
    </row>
    <row r="2" customFormat="false" ht="15" hidden="false" customHeight="false" outlineLevel="0" collapsed="false">
      <c r="A2" s="2"/>
      <c r="B2" s="2"/>
      <c r="C2" s="2"/>
      <c r="D2" s="2"/>
      <c r="E2" s="2"/>
      <c r="F2" s="2"/>
    </row>
    <row r="3" customFormat="false" ht="15" hidden="false" customHeight="true" outlineLevel="0" collapsed="false">
      <c r="A3" s="7" t="s">
        <v>60</v>
      </c>
      <c r="B3" s="7"/>
      <c r="C3" s="7"/>
      <c r="D3" s="7"/>
      <c r="E3" s="7"/>
      <c r="F3" s="7"/>
    </row>
    <row r="4" customFormat="false" ht="15" hidden="false" customHeight="true" outlineLevel="0" collapsed="false">
      <c r="A4" s="8" t="s">
        <v>126</v>
      </c>
      <c r="B4" s="8"/>
      <c r="C4" s="8"/>
      <c r="D4" s="8"/>
      <c r="E4" s="8"/>
      <c r="F4" s="8"/>
    </row>
    <row r="5" customFormat="false" ht="15" hidden="false" customHeight="true" outlineLevel="0" collapsed="false">
      <c r="A5" s="8" t="s">
        <v>127</v>
      </c>
      <c r="B5" s="8"/>
      <c r="C5" s="8"/>
      <c r="D5" s="8"/>
      <c r="E5" s="8"/>
      <c r="F5" s="8"/>
    </row>
    <row r="6" customFormat="false" ht="15" hidden="false" customHeight="false" outlineLevel="0" collapsed="false">
      <c r="A6" s="8"/>
      <c r="B6" s="8"/>
      <c r="C6" s="8"/>
      <c r="D6" s="8"/>
      <c r="E6" s="8"/>
      <c r="F6" s="8"/>
    </row>
    <row r="7" customFormat="false" ht="15" hidden="false" customHeight="true" outlineLevel="0" collapsed="false">
      <c r="A7" s="8" t="s">
        <v>128</v>
      </c>
      <c r="B7" s="8"/>
      <c r="C7" s="8"/>
      <c r="D7" s="8"/>
      <c r="E7" s="8"/>
      <c r="F7" s="8"/>
    </row>
    <row r="8" customFormat="false" ht="15" hidden="false" customHeight="true" outlineLevel="0" collapsed="false">
      <c r="A8" s="8" t="s">
        <v>129</v>
      </c>
      <c r="B8" s="8"/>
      <c r="C8" s="8"/>
      <c r="D8" s="8"/>
      <c r="E8" s="8"/>
      <c r="F8" s="8"/>
    </row>
    <row r="9" customFormat="false" ht="15" hidden="false" customHeight="true" outlineLevel="0" collapsed="false">
      <c r="A9" s="8" t="s">
        <v>130</v>
      </c>
      <c r="B9" s="8"/>
      <c r="C9" s="8"/>
      <c r="D9" s="8"/>
      <c r="E9" s="8"/>
      <c r="F9" s="8"/>
    </row>
    <row r="10" customFormat="false" ht="15" hidden="false" customHeight="true" outlineLevel="0" collapsed="false">
      <c r="A10" s="8" t="s">
        <v>131</v>
      </c>
      <c r="B10" s="8"/>
      <c r="C10" s="8"/>
      <c r="D10" s="8"/>
      <c r="E10" s="8"/>
      <c r="F10" s="8"/>
    </row>
    <row r="11" customFormat="false" ht="15" hidden="false" customHeight="false" outlineLevel="0" collapsed="false">
      <c r="A11" s="8"/>
      <c r="B11" s="8"/>
      <c r="C11" s="8"/>
      <c r="D11" s="8"/>
      <c r="E11" s="8"/>
      <c r="F11" s="8"/>
    </row>
    <row r="12" customFormat="false" ht="15" hidden="false" customHeight="true" outlineLevel="0" collapsed="false">
      <c r="A12" s="8" t="s">
        <v>132</v>
      </c>
      <c r="B12" s="8"/>
      <c r="C12" s="8"/>
      <c r="D12" s="8"/>
      <c r="E12" s="8"/>
      <c r="F12" s="8"/>
    </row>
    <row r="13" customFormat="false" ht="15" hidden="false" customHeight="true" outlineLevel="0" collapsed="false">
      <c r="A13" s="8" t="s">
        <v>133</v>
      </c>
      <c r="B13" s="8"/>
      <c r="C13" s="8"/>
      <c r="D13" s="8"/>
      <c r="E13" s="8"/>
      <c r="F13" s="8"/>
    </row>
    <row r="14" customFormat="false" ht="15" hidden="false" customHeight="false" outlineLevel="0" collapsed="false">
      <c r="A14" s="8"/>
      <c r="B14" s="8"/>
      <c r="C14" s="8"/>
      <c r="D14" s="8"/>
      <c r="E14" s="8"/>
      <c r="F14" s="8"/>
    </row>
    <row r="15" customFormat="false" ht="15" hidden="false" customHeight="true" outlineLevel="0" collapsed="false">
      <c r="A15" s="7" t="s">
        <v>120</v>
      </c>
      <c r="B15" s="7"/>
      <c r="C15" s="7"/>
      <c r="D15" s="7"/>
      <c r="E15" s="7"/>
      <c r="F15" s="7"/>
    </row>
    <row r="16" customFormat="false" ht="15" hidden="false" customHeight="true" outlineLevel="0" collapsed="false">
      <c r="A16" s="8" t="s">
        <v>134</v>
      </c>
      <c r="B16" s="8"/>
      <c r="C16" s="8"/>
      <c r="D16" s="8"/>
      <c r="E16" s="8"/>
      <c r="F16" s="8"/>
    </row>
    <row r="17" customFormat="false" ht="15" hidden="false" customHeight="true" outlineLevel="0" collapsed="false">
      <c r="A17" s="8" t="s">
        <v>135</v>
      </c>
      <c r="B17" s="8"/>
      <c r="C17" s="8"/>
      <c r="D17" s="8"/>
      <c r="E17" s="8"/>
      <c r="F17" s="8"/>
    </row>
    <row r="18" customFormat="false" ht="15" hidden="false" customHeight="true" outlineLevel="0" collapsed="false">
      <c r="A18" s="8" t="s">
        <v>136</v>
      </c>
      <c r="B18" s="8"/>
      <c r="C18" s="8"/>
      <c r="D18" s="8"/>
      <c r="E18" s="8"/>
      <c r="F18" s="8"/>
    </row>
    <row r="19" customFormat="false" ht="15" hidden="false" customHeight="false" outlineLevel="0" collapsed="false">
      <c r="A19" s="2"/>
      <c r="B19" s="2"/>
      <c r="C19" s="2"/>
      <c r="D19" s="2"/>
      <c r="E19" s="2"/>
      <c r="F19" s="2"/>
    </row>
    <row r="20" customFormat="false" ht="15" hidden="false" customHeight="false" outlineLevel="0" collapsed="false">
      <c r="A20" s="2"/>
      <c r="B20" s="2"/>
      <c r="C20" s="2"/>
      <c r="D20" s="2"/>
      <c r="E20" s="2"/>
      <c r="F20" s="2"/>
    </row>
    <row r="21" customFormat="false" ht="15" hidden="false" customHeight="false" outlineLevel="0" collapsed="false">
      <c r="A21" s="2"/>
      <c r="B21" s="2"/>
      <c r="C21" s="2"/>
      <c r="D21" s="2"/>
      <c r="E21" s="2"/>
      <c r="F21" s="2"/>
    </row>
    <row r="22" customFormat="false" ht="15" hidden="false" customHeight="false" outlineLevel="0" collapsed="false">
      <c r="A22" s="2"/>
      <c r="B22" s="2"/>
      <c r="C22" s="2"/>
      <c r="D22" s="2"/>
      <c r="E22" s="2"/>
      <c r="F22" s="2"/>
    </row>
    <row r="23" customFormat="false" ht="15" hidden="false" customHeight="false" outlineLevel="0" collapsed="false">
      <c r="A23" s="2"/>
      <c r="B23" s="2"/>
      <c r="C23" s="2"/>
      <c r="D23" s="2"/>
      <c r="E23" s="2"/>
      <c r="F23" s="2"/>
    </row>
    <row r="24" customFormat="false" ht="15" hidden="false" customHeight="false" outlineLevel="0" collapsed="false">
      <c r="A24" s="2"/>
      <c r="B24" s="2"/>
      <c r="C24" s="2"/>
      <c r="D24" s="2"/>
      <c r="E24" s="2"/>
      <c r="F24" s="2"/>
    </row>
    <row r="25" customFormat="false" ht="15" hidden="false" customHeight="false" outlineLevel="0" collapsed="false">
      <c r="A25" s="2"/>
      <c r="B25" s="2"/>
      <c r="C25" s="2"/>
      <c r="D25" s="2"/>
      <c r="E25" s="2"/>
      <c r="F25" s="2"/>
    </row>
    <row r="26" customFormat="false" ht="15" hidden="false" customHeight="false" outlineLevel="0" collapsed="false">
      <c r="A26" s="2"/>
      <c r="B26" s="2"/>
      <c r="C26" s="2"/>
      <c r="D26" s="2"/>
      <c r="E26" s="2"/>
      <c r="F26" s="2"/>
    </row>
    <row r="27" customFormat="false" ht="15" hidden="false" customHeight="false" outlineLevel="0" collapsed="false">
      <c r="A27" s="2"/>
      <c r="B27" s="2"/>
      <c r="C27" s="2"/>
      <c r="D27" s="2"/>
      <c r="E27" s="2"/>
      <c r="F27" s="2"/>
    </row>
    <row r="28" customFormat="false" ht="15" hidden="false" customHeight="false" outlineLevel="0" collapsed="false">
      <c r="A28" s="2"/>
      <c r="B28" s="2"/>
      <c r="C28" s="2"/>
      <c r="D28" s="2"/>
      <c r="E28" s="2"/>
      <c r="F28" s="2"/>
    </row>
    <row r="29" customFormat="false" ht="15" hidden="false" customHeight="false" outlineLevel="0" collapsed="false">
      <c r="A29" s="2"/>
      <c r="B29" s="2"/>
      <c r="C29" s="2"/>
      <c r="D29" s="2"/>
      <c r="E29" s="2"/>
      <c r="F29" s="2"/>
    </row>
    <row r="30" customFormat="false" ht="15" hidden="false" customHeight="false" outlineLevel="0" collapsed="false">
      <c r="A30" s="2"/>
      <c r="B30" s="2"/>
      <c r="C30" s="2"/>
      <c r="D30" s="2"/>
      <c r="E30" s="2"/>
      <c r="F30" s="2"/>
    </row>
  </sheetData>
  <mergeCells count="17">
    <mergeCell ref="A1:F1"/>
    <mergeCell ref="A3:F3"/>
    <mergeCell ref="A4:F4"/>
    <mergeCell ref="A5:F5"/>
    <mergeCell ref="A6:F6"/>
    <mergeCell ref="A7:F7"/>
    <mergeCell ref="A8:F8"/>
    <mergeCell ref="A9:F9"/>
    <mergeCell ref="A10:F10"/>
    <mergeCell ref="A11:F11"/>
    <mergeCell ref="A12:F12"/>
    <mergeCell ref="A13:F13"/>
    <mergeCell ref="A14:F14"/>
    <mergeCell ref="A15:F15"/>
    <mergeCell ref="A16:F16"/>
    <mergeCell ref="A17:F17"/>
    <mergeCell ref="A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0"/>
    <col collapsed="false" customWidth="true" hidden="false" outlineLevel="0" max="4" min="2" style="0" width="6"/>
  </cols>
  <sheetData>
    <row r="1" customFormat="false" ht="25.5" hidden="false" customHeight="true" outlineLevel="0" collapsed="false">
      <c r="A1" s="1" t="s">
        <v>137</v>
      </c>
      <c r="B1" s="1"/>
      <c r="C1" s="1"/>
      <c r="D1" s="1"/>
    </row>
    <row r="2" customFormat="false" ht="15" hidden="false" customHeight="false" outlineLevel="0" collapsed="false">
      <c r="A2" s="2"/>
      <c r="B2" s="2"/>
      <c r="C2" s="2"/>
      <c r="D2" s="2"/>
    </row>
    <row r="3" customFormat="false" ht="15" hidden="false" customHeight="true" outlineLevel="0" collapsed="false">
      <c r="A3" s="8" t="s">
        <v>138</v>
      </c>
      <c r="B3" s="8"/>
      <c r="C3" s="8"/>
      <c r="D3" s="8"/>
    </row>
    <row r="4" customFormat="false" ht="15" hidden="false" customHeight="true" outlineLevel="0" collapsed="false">
      <c r="A4" s="9" t="s">
        <v>139</v>
      </c>
      <c r="B4" s="9"/>
      <c r="C4" s="9"/>
      <c r="D4" s="9"/>
    </row>
    <row r="5" customFormat="false" ht="15" hidden="false" customHeight="false" outlineLevel="0" collapsed="false">
      <c r="A5" s="8"/>
      <c r="B5" s="8"/>
      <c r="C5" s="8"/>
      <c r="D5" s="8"/>
    </row>
    <row r="6" customFormat="false" ht="15" hidden="false" customHeight="true" outlineLevel="0" collapsed="false">
      <c r="A6" s="9" t="s">
        <v>140</v>
      </c>
      <c r="B6" s="9"/>
      <c r="C6" s="9"/>
      <c r="D6" s="9"/>
    </row>
    <row r="7" customFormat="false" ht="15" hidden="false" customHeight="true" outlineLevel="0" collapsed="false">
      <c r="A7" s="9" t="s">
        <v>141</v>
      </c>
      <c r="B7" s="9"/>
      <c r="C7" s="9"/>
      <c r="D7" s="9"/>
    </row>
    <row r="8" customFormat="false" ht="15" hidden="false" customHeight="false" outlineLevel="0" collapsed="false">
      <c r="A8" s="8"/>
      <c r="B8" s="8"/>
      <c r="C8" s="8"/>
      <c r="D8" s="8"/>
    </row>
    <row r="9" customFormat="false" ht="15" hidden="false" customHeight="true" outlineLevel="0" collapsed="false">
      <c r="A9" s="9" t="s">
        <v>142</v>
      </c>
      <c r="B9" s="9"/>
      <c r="C9" s="9"/>
      <c r="D9" s="9"/>
    </row>
    <row r="10" customFormat="false" ht="15" hidden="false" customHeight="true" outlineLevel="0" collapsed="false">
      <c r="A10" s="9" t="s">
        <v>143</v>
      </c>
      <c r="B10" s="9"/>
      <c r="C10" s="9"/>
      <c r="D10" s="9"/>
    </row>
    <row r="11" customFormat="false" ht="15" hidden="false" customHeight="true" outlineLevel="0" collapsed="false">
      <c r="A11" s="8" t="s">
        <v>144</v>
      </c>
      <c r="B11" s="8"/>
      <c r="C11" s="8"/>
      <c r="D11" s="8"/>
    </row>
    <row r="12" customFormat="false" ht="15" hidden="false" customHeight="false" outlineLevel="0" collapsed="false">
      <c r="A12" s="8"/>
      <c r="B12" s="8"/>
      <c r="C12" s="8"/>
      <c r="D12" s="8"/>
    </row>
    <row r="13" customFormat="false" ht="15" hidden="false" customHeight="true" outlineLevel="0" collapsed="false">
      <c r="A13" s="9" t="s">
        <v>145</v>
      </c>
      <c r="B13" s="9"/>
      <c r="C13" s="9"/>
      <c r="D13" s="9"/>
    </row>
    <row r="14" customFormat="false" ht="15" hidden="false" customHeight="true" outlineLevel="0" collapsed="false">
      <c r="A14" s="8" t="s">
        <v>146</v>
      </c>
      <c r="B14" s="8"/>
      <c r="C14" s="8"/>
      <c r="D14" s="8"/>
    </row>
    <row r="15" customFormat="false" ht="15" hidden="false" customHeight="false" outlineLevel="0" collapsed="false">
      <c r="A15" s="8"/>
      <c r="B15" s="8"/>
      <c r="C15" s="8"/>
      <c r="D15" s="8"/>
    </row>
    <row r="16" customFormat="false" ht="15" hidden="false" customHeight="true" outlineLevel="0" collapsed="false">
      <c r="A16" s="9" t="s">
        <v>147</v>
      </c>
      <c r="B16" s="9"/>
      <c r="C16" s="9"/>
      <c r="D16" s="9"/>
    </row>
    <row r="17" customFormat="false" ht="15" hidden="false" customHeight="true" outlineLevel="0" collapsed="false">
      <c r="A17" s="9" t="s">
        <v>148</v>
      </c>
      <c r="B17" s="9"/>
      <c r="C17" s="9"/>
      <c r="D17" s="9"/>
    </row>
    <row r="18" customFormat="false" ht="15" hidden="false" customHeight="false" outlineLevel="0" collapsed="false">
      <c r="A18" s="8"/>
      <c r="B18" s="8"/>
      <c r="C18" s="8"/>
      <c r="D18" s="8"/>
    </row>
    <row r="19" customFormat="false" ht="15" hidden="false" customHeight="true" outlineLevel="0" collapsed="false">
      <c r="A19" s="6" t="s">
        <v>149</v>
      </c>
      <c r="B19" s="6"/>
      <c r="C19" s="6"/>
      <c r="D19" s="6"/>
    </row>
    <row r="20" customFormat="false" ht="15" hidden="false" customHeight="true" outlineLevel="0" collapsed="false">
      <c r="A20" s="8" t="s">
        <v>150</v>
      </c>
      <c r="B20" s="8"/>
      <c r="C20" s="8"/>
      <c r="D20" s="8"/>
    </row>
  </sheetData>
  <mergeCells count="19">
    <mergeCell ref="A1:D1"/>
    <mergeCell ref="A3:D3"/>
    <mergeCell ref="A4:D4"/>
    <mergeCell ref="A5:D5"/>
    <mergeCell ref="A6:D6"/>
    <mergeCell ref="A7:D7"/>
    <mergeCell ref="A8:D8"/>
    <mergeCell ref="A9:D9"/>
    <mergeCell ref="A10:D10"/>
    <mergeCell ref="A11:D11"/>
    <mergeCell ref="A12:D12"/>
    <mergeCell ref="A13:D13"/>
    <mergeCell ref="A14:D14"/>
    <mergeCell ref="A15:D15"/>
    <mergeCell ref="A16:D16"/>
    <mergeCell ref="A17:D17"/>
    <mergeCell ref="A18:D18"/>
    <mergeCell ref="A19:D19"/>
    <mergeCell ref="A20:D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2026-07-27T23:03:57Z</dcterms:created>
  <dc:creator>openpyxl</dc:creator>
  <dc:description/>
  <dc:language>en-US</dc:language>
  <cp:lastModifiedBy/>
  <dcterms:modified xsi:type="dcterms:W3CDTF">2026-07-27T23:03:57Z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