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採寸ガイド" sheetId="2" state="visible" r:id="rId4"/>
    <sheet name="材料DB" sheetId="3" state="visible" r:id="rId5"/>
    <sheet name="形状" sheetId="4" state="visible" r:id="rId6"/>
    <sheet name="断面" sheetId="5" state="visible" r:id="rId7"/>
    <sheet name="固有振動数" sheetId="6" state="visible" r:id="rId8"/>
    <sheet name="スペクトル" sheetId="7" state="visible" r:id="rId9"/>
    <sheet name="鳴きリスク" sheetId="8" state="visible" r:id="rId10"/>
    <sheet name="逆算" sheetId="9" state="visible" r:id="rId11"/>
    <sheet name="実測比較" sheetId="10" state="visible" r:id="rId12"/>
    <sheet name="測定計画" sheetId="11" state="visible" r:id="rId13"/>
    <sheet name="式一覧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<sst xmlns="http://schemas.openxmlformats.org/spreadsheetml/2006/main" count="1340" uniqueCount="1064">
  <si>
    <t xml:space="preserve">ブレーキパッド 金属部（摩擦材（まさつざい）抜き）固有振動数（こゆうしんどうすう）予測ブック</t>
  </si>
  <si>
    <r>
      <rPr>
        <sz val="9"/>
        <color rgb="FFA9B2C3"/>
        <rFont val="Noto Sans CJK SC"/>
        <family val="2"/>
      </rPr>
      <t xml:space="preserve">裏板（うらいた）＋シムだけの状態 → 固有振動数・スペクトル・鳴（な）きリスク／実測ピーク → 材料定数の逆算（ぎゃくさん）  </t>
    </r>
    <r>
      <rPr>
        <sz val="9"/>
        <color rgb="FFA9B2C3"/>
        <rFont val="Arial"/>
        <family val="0"/>
        <charset val="1"/>
      </rPr>
      <t xml:space="preserve">|  Ver 2.0</t>
    </r>
    <r>
      <rPr>
        <sz val="9"/>
        <color rgb="FFA9B2C3"/>
        <rFont val="Noto Sans CJK SC"/>
        <family val="2"/>
      </rPr>
      <t xml:space="preserve">（穴入力・図形</t>
    </r>
    <r>
      <rPr>
        <sz val="9"/>
        <color rgb="FFA9B2C3"/>
        <rFont val="Arial"/>
        <family val="0"/>
        <charset val="1"/>
      </rPr>
      <t xml:space="preserve">Ixx</t>
    </r>
    <r>
      <rPr>
        <sz val="9"/>
        <color rgb="FFA9B2C3"/>
        <rFont val="Noto Sans CJK SC"/>
        <family val="2"/>
      </rPr>
      <t xml:space="preserve">・測定計画を追加）</t>
    </r>
  </si>
  <si>
    <r>
      <rPr>
        <b val="true"/>
        <sz val="12"/>
        <color rgb="FF7DB4FF"/>
        <rFont val="Noto Sans CJK SC"/>
        <family val="2"/>
      </rPr>
      <t xml:space="preserve">■ このブックで何ができるか（摩擦材ありブックと同じ</t>
    </r>
    <r>
      <rPr>
        <b val="true"/>
        <sz val="12"/>
        <color rgb="FF7DB4FF"/>
        <rFont val="Arial"/>
        <family val="0"/>
        <charset val="1"/>
      </rPr>
      <t xml:space="preserve">7</t>
    </r>
    <r>
      <rPr>
        <b val="true"/>
        <sz val="12"/>
        <color rgb="FF7DB4FF"/>
        <rFont val="Noto Sans CJK SC"/>
        <family val="2"/>
      </rPr>
      <t xml:space="preserve">本立て）</t>
    </r>
  </si>
  <si>
    <t xml:space="preserve">① 順算（じゅんざん）</t>
  </si>
  <si>
    <t xml:space="preserve">金属部の材質と寸法を入れる → 固有振動数（ピークが出る周波数）を予測</t>
  </si>
  <si>
    <t xml:space="preserve">シート：形状 → 断面 → 固有振動数</t>
  </si>
  <si>
    <t xml:space="preserve">② スペクトル</t>
  </si>
  <si>
    <r>
      <rPr>
        <sz val="10"/>
        <color rgb="FFE6E8EC"/>
        <rFont val="Noto Sans CJK SC"/>
        <family val="2"/>
      </rPr>
      <t xml:space="preserve">予測した山（ピーク）を並べて、</t>
    </r>
    <r>
      <rPr>
        <sz val="10"/>
        <color rgb="FFE6E8EC"/>
        <rFont val="Arial"/>
        <family val="0"/>
        <charset val="1"/>
      </rPr>
      <t xml:space="preserve">FFT</t>
    </r>
    <r>
      <rPr>
        <sz val="10"/>
        <color rgb="FFE6E8EC"/>
        <rFont val="Noto Sans CJK SC"/>
        <family val="2"/>
      </rPr>
      <t xml:space="preserve">画面そっくりのグラフを作る</t>
    </r>
  </si>
  <si>
    <t xml:space="preserve">シート：スペクトル（グラフ付き）</t>
  </si>
  <si>
    <t xml:space="preserve">③ 鳴きリスク判定</t>
  </si>
  <si>
    <t xml:space="preserve">その寸法だと鳴（な）きやすいかを点数化。ローターとの一致も見る</t>
  </si>
  <si>
    <t xml:space="preserve">シート：鳴きリスク</t>
  </si>
  <si>
    <t xml:space="preserve">④ 逆算（ぎゃくさん）</t>
  </si>
  <si>
    <t xml:space="preserve">実測したピーク周波数 → 裏板の実効ヤング率・形状補正係数を逆に求める</t>
  </si>
  <si>
    <t xml:space="preserve">シート：逆算</t>
  </si>
  <si>
    <t xml:space="preserve">⑤ 実測比較</t>
  </si>
  <si>
    <r>
      <rPr>
        <sz val="10"/>
        <color rgb="FFE6E8EC"/>
        <rFont val="Noto Sans CJK SC"/>
        <family val="2"/>
      </rPr>
      <t xml:space="preserve">ハンマリング／</t>
    </r>
    <r>
      <rPr>
        <sz val="10"/>
        <color rgb="FFE6E8EC"/>
        <rFont val="Arial"/>
        <family val="0"/>
        <charset val="1"/>
      </rPr>
      <t xml:space="preserve">PSV-400 </t>
    </r>
    <r>
      <rPr>
        <sz val="10"/>
        <color rgb="FFE6E8EC"/>
        <rFont val="Noto Sans CJK SC"/>
        <family val="2"/>
      </rPr>
      <t xml:space="preserve">で測った値と予測を並べてズレ％判定</t>
    </r>
  </si>
  <si>
    <t xml:space="preserve">シート：実測比較</t>
  </si>
  <si>
    <t xml:space="preserve">⑥ 測定計画</t>
  </si>
  <si>
    <r>
      <rPr>
        <sz val="10"/>
        <color rgb="FFE6E8EC"/>
        <rFont val="Arial"/>
        <family val="0"/>
        <charset val="1"/>
      </rPr>
      <t xml:space="preserve">FFT</t>
    </r>
    <r>
      <rPr>
        <sz val="10"/>
        <color rgb="FFE6E8EC"/>
        <rFont val="Noto Sans CJK SC"/>
        <family val="2"/>
      </rPr>
      <t xml:space="preserve">の設定（</t>
    </r>
    <r>
      <rPr>
        <sz val="10"/>
        <color rgb="FFE6E8EC"/>
        <rFont val="Arial"/>
        <family val="0"/>
        <charset val="1"/>
      </rPr>
      <t xml:space="preserve">Δf</t>
    </r>
    <r>
      <rPr>
        <sz val="10"/>
        <color rgb="FFE6E8EC"/>
        <rFont val="Noto Sans CJK SC"/>
        <family val="2"/>
      </rPr>
      <t xml:space="preserve">・サンプリング・窓）と吊り方・叩き方を自動計算</t>
    </r>
  </si>
  <si>
    <t xml:space="preserve">シート：測定計画</t>
  </si>
  <si>
    <t xml:space="preserve">⑦ 式一覧</t>
  </si>
  <si>
    <r>
      <rPr>
        <sz val="10"/>
        <color rgb="FFE6E8EC"/>
        <rFont val="Noto Sans CJK SC"/>
        <family val="2"/>
      </rPr>
      <t xml:space="preserve">使った式をぜんぶ一覧。コピペしてほかの</t>
    </r>
    <r>
      <rPr>
        <sz val="10"/>
        <color rgb="FFE6E8EC"/>
        <rFont val="Arial"/>
        <family val="0"/>
        <charset val="1"/>
      </rPr>
      <t xml:space="preserve">Excel</t>
    </r>
    <r>
      <rPr>
        <sz val="10"/>
        <color rgb="FFE6E8EC"/>
        <rFont val="Noto Sans CJK SC"/>
        <family val="2"/>
      </rPr>
      <t xml:space="preserve">に貼れる</t>
    </r>
  </si>
  <si>
    <t xml:space="preserve">シート：式一覧</t>
  </si>
  <si>
    <r>
      <rPr>
        <b val="true"/>
        <sz val="12"/>
        <color rgb="FF7DB4FF"/>
        <rFont val="Noto Sans CJK SC"/>
        <family val="2"/>
      </rPr>
      <t xml:space="preserve">■ 摩擦材ありブックとの違い（</t>
    </r>
    <r>
      <rPr>
        <b val="true"/>
        <sz val="12"/>
        <color rgb="FF7DB4FF"/>
        <rFont val="Arial"/>
        <family val="0"/>
        <charset val="1"/>
      </rPr>
      <t xml:space="preserve">3</t>
    </r>
    <r>
      <rPr>
        <b val="true"/>
        <sz val="12"/>
        <color rgb="FF7DB4FF"/>
        <rFont val="Noto Sans CJK SC"/>
        <family val="2"/>
      </rPr>
      <t xml:space="preserve">つだけ覚えれば</t>
    </r>
    <r>
      <rPr>
        <b val="true"/>
        <sz val="12"/>
        <color rgb="FF7DB4FF"/>
        <rFont val="Arial"/>
        <family val="0"/>
        <charset val="1"/>
      </rPr>
      <t xml:space="preserve">OK</t>
    </r>
    <r>
      <rPr>
        <b val="true"/>
        <sz val="12"/>
        <color rgb="FF7DB4FF"/>
        <rFont val="Noto Sans CJK SC"/>
        <family val="2"/>
      </rPr>
      <t xml:space="preserve">）</t>
    </r>
  </si>
  <si>
    <r>
      <rPr>
        <b val="true"/>
        <sz val="10"/>
        <color rgb="FFE6E8EC"/>
        <rFont val="Noto Sans CJK SC"/>
        <family val="2"/>
      </rPr>
      <t xml:space="preserve">① 断面シートの層が</t>
    </r>
    <r>
      <rPr>
        <b val="true"/>
        <sz val="10"/>
        <color rgb="FFE6E8EC"/>
        <rFont val="Arial"/>
        <family val="0"/>
        <charset val="1"/>
      </rPr>
      <t xml:space="preserve">3</t>
    </r>
    <r>
      <rPr>
        <b val="true"/>
        <sz val="10"/>
        <color rgb="FFE6E8EC"/>
        <rFont val="Noto Sans CJK SC"/>
        <family val="2"/>
      </rPr>
      <t xml:space="preserve">つ</t>
    </r>
  </si>
  <si>
    <r>
      <rPr>
        <sz val="10"/>
        <color rgb="FFE6E8EC"/>
        <rFont val="Noto Sans CJK SC"/>
        <family val="2"/>
      </rPr>
      <t xml:space="preserve">シム／裏板／接着（任意）の</t>
    </r>
    <r>
      <rPr>
        <sz val="10"/>
        <color rgb="FFE6E8EC"/>
        <rFont val="Arial"/>
        <family val="0"/>
        <charset val="1"/>
      </rPr>
      <t xml:space="preserve">3</t>
    </r>
    <r>
      <rPr>
        <sz val="10"/>
        <color rgb="FFE6E8EC"/>
        <rFont val="Noto Sans CJK SC"/>
        <family val="2"/>
      </rPr>
      <t xml:space="preserve">層のみ。摩擦材の行はありません</t>
    </r>
  </si>
  <si>
    <t xml:space="preserve">🟢</t>
  </si>
  <si>
    <t xml:space="preserve">② 予測周波数がかなり高い</t>
  </si>
  <si>
    <r>
      <rPr>
        <sz val="10"/>
        <color rgb="FFE6E8EC"/>
        <rFont val="Noto Sans CJK SC"/>
        <family val="2"/>
      </rPr>
      <t xml:space="preserve">摩擦材の重さが無いぶん軽いので、同じ形でも周波数は上がります。スペクトルの既定範囲は </t>
    </r>
    <r>
      <rPr>
        <sz val="10"/>
        <color rgb="FFE6E8EC"/>
        <rFont val="Arial"/>
        <family val="0"/>
        <charset val="1"/>
      </rPr>
      <t xml:space="preserve">0</t>
    </r>
    <r>
      <rPr>
        <sz val="10"/>
        <color rgb="FFE6E8EC"/>
        <rFont val="Noto Sans CJK SC"/>
        <family val="2"/>
      </rPr>
      <t xml:space="preserve">〜</t>
    </r>
    <r>
      <rPr>
        <sz val="10"/>
        <color rgb="FFE6E8EC"/>
        <rFont val="Arial"/>
        <family val="0"/>
        <charset val="1"/>
      </rPr>
      <t xml:space="preserve">40 kHz</t>
    </r>
  </si>
  <si>
    <t xml:space="preserve">③ 鳴きリスクは「参考」</t>
  </si>
  <si>
    <t xml:space="preserve">実際に鳴くのは摩擦材を貼った完成品。ここでは金属スケルトンの素性を見るのが目的</t>
  </si>
  <si>
    <t xml:space="preserve">🟡</t>
  </si>
  <si>
    <t xml:space="preserve">■ 触（さわ）るセルの色分け（このブックは全シート共通）</t>
  </si>
  <si>
    <t xml:space="preserve">アンバー（茶色）のセル</t>
  </si>
  <si>
    <r>
      <rPr>
        <sz val="10"/>
        <color rgb="FFE6E8EC"/>
        <rFont val="Noto Sans CJK SC"/>
        <family val="2"/>
      </rPr>
      <t xml:space="preserve">あなたが入力するところ。ここだけ触れば</t>
    </r>
    <r>
      <rPr>
        <sz val="10"/>
        <color rgb="FFE6E8EC"/>
        <rFont val="Arial"/>
        <family val="0"/>
        <charset val="1"/>
      </rPr>
      <t xml:space="preserve">OK</t>
    </r>
  </si>
  <si>
    <t xml:space="preserve">入力</t>
  </si>
  <si>
    <t xml:space="preserve">グリーンのセル</t>
  </si>
  <si>
    <t xml:space="preserve">自動計算の結果。触ると壊（こわ）れます</t>
  </si>
  <si>
    <t xml:space="preserve">出力</t>
  </si>
  <si>
    <t xml:space="preserve">グレーのセル</t>
  </si>
  <si>
    <t xml:space="preserve">計算の途中（とちゅう）。見なくてよい</t>
  </si>
  <si>
    <t xml:space="preserve">中間</t>
  </si>
  <si>
    <t xml:space="preserve">■ 使う順番（この順で必ず動きます）</t>
  </si>
  <si>
    <t xml:space="preserve">STEP 0</t>
  </si>
  <si>
    <t xml:space="preserve">「採寸ガイド」を読む。ノギスで測る場所と、入れる欄が絵で分かるようになっています</t>
  </si>
  <si>
    <t xml:space="preserve">← 初めての人はここから</t>
  </si>
  <si>
    <t xml:space="preserve">STEP 1</t>
  </si>
  <si>
    <r>
      <rPr>
        <sz val="10"/>
        <color rgb="FFE6E8EC"/>
        <rFont val="Noto Sans CJK SC"/>
        <family val="2"/>
      </rPr>
      <t xml:space="preserve">「材料</t>
    </r>
    <r>
      <rPr>
        <sz val="10"/>
        <color rgb="FFE6E8EC"/>
        <rFont val="Arial"/>
        <family val="0"/>
        <charset val="1"/>
      </rPr>
      <t xml:space="preserve">DB</t>
    </r>
    <r>
      <rPr>
        <sz val="10"/>
        <color rgb="FFE6E8EC"/>
        <rFont val="Noto Sans CJK SC"/>
        <family val="2"/>
      </rPr>
      <t xml:space="preserve">」で使う材料（裏板の鋼種・シムの有無）を確認</t>
    </r>
  </si>
  <si>
    <t xml:space="preserve">STEP 2</t>
  </si>
  <si>
    <r>
      <rPr>
        <sz val="10"/>
        <color rgb="FFE6E8EC"/>
        <rFont val="Noto Sans CJK SC"/>
        <family val="2"/>
      </rPr>
      <t xml:space="preserve">「形状」に 外形の頂点座標（</t>
    </r>
    <r>
      <rPr>
        <sz val="10"/>
        <color rgb="FFE6E8EC"/>
        <rFont val="Arial"/>
        <family val="0"/>
        <charset val="1"/>
      </rPr>
      <t xml:space="preserve">X,Y</t>
    </r>
    <r>
      <rPr>
        <sz val="10"/>
        <color rgb="FFE6E8EC"/>
        <rFont val="Noto Sans CJK SC"/>
        <family val="2"/>
      </rPr>
      <t xml:space="preserve">）を最大</t>
    </r>
    <r>
      <rPr>
        <sz val="10"/>
        <color rgb="FFE6E8EC"/>
        <rFont val="Arial"/>
        <family val="0"/>
        <charset val="1"/>
      </rPr>
      <t xml:space="preserve">24</t>
    </r>
    <r>
      <rPr>
        <sz val="10"/>
        <color rgb="FFE6E8EC"/>
        <rFont val="Noto Sans CJK SC"/>
        <family val="2"/>
      </rPr>
      <t xml:space="preserve">点まで入力（</t>
    </r>
    <r>
      <rPr>
        <sz val="10"/>
        <color rgb="FFE6E8EC"/>
        <rFont val="Arial"/>
        <family val="0"/>
        <charset val="1"/>
      </rPr>
      <t xml:space="preserve">a.jpg </t>
    </r>
    <r>
      <rPr>
        <sz val="10"/>
        <color rgb="FFE6E8EC"/>
        <rFont val="Noto Sans CJK SC"/>
        <family val="2"/>
      </rPr>
      <t xml:space="preserve">のプリセットあり）</t>
    </r>
  </si>
  <si>
    <r>
      <rPr>
        <sz val="9"/>
        <color rgb="FF8A93A3"/>
        <rFont val="Arial"/>
        <family val="0"/>
        <charset val="1"/>
      </rPr>
      <t xml:space="preserve">V</t>
    </r>
    <r>
      <rPr>
        <sz val="9"/>
        <color rgb="FF8A93A3"/>
        <rFont val="Noto Sans CJK SC"/>
        <family val="2"/>
      </rPr>
      <t xml:space="preserve">〜</t>
    </r>
    <r>
      <rPr>
        <sz val="9"/>
        <color rgb="FF8A93A3"/>
        <rFont val="Arial"/>
        <family val="0"/>
        <charset val="1"/>
      </rPr>
      <t xml:space="preserve">Z</t>
    </r>
    <r>
      <rPr>
        <sz val="9"/>
        <color rgb="FF8A93A3"/>
        <rFont val="Noto Sans CJK SC"/>
        <family val="2"/>
      </rPr>
      <t xml:space="preserve">列のプリセットをコピペで</t>
    </r>
    <r>
      <rPr>
        <sz val="9"/>
        <color rgb="FF8A93A3"/>
        <rFont val="Arial"/>
        <family val="0"/>
        <charset val="1"/>
      </rPr>
      <t xml:space="preserve">OK</t>
    </r>
  </si>
  <si>
    <t xml:space="preserve">STEP 3</t>
  </si>
  <si>
    <r>
      <rPr>
        <sz val="10"/>
        <color rgb="FFE6E8EC"/>
        <rFont val="Noto Sans CJK SC"/>
        <family val="2"/>
      </rPr>
      <t xml:space="preserve">「形状」の下のほうにある ■穴の入力 に、</t>
    </r>
    <r>
      <rPr>
        <sz val="10"/>
        <color rgb="FFE6E8EC"/>
        <rFont val="Arial"/>
        <family val="0"/>
        <charset val="1"/>
      </rPr>
      <t xml:space="preserve">2</t>
    </r>
    <r>
      <rPr>
        <sz val="10"/>
        <color rgb="FFE6E8EC"/>
        <rFont val="Noto Sans CJK SC"/>
        <family val="2"/>
      </rPr>
      <t xml:space="preserve">つの穴の 中心</t>
    </r>
    <r>
      <rPr>
        <sz val="10"/>
        <color rgb="FFE6E8EC"/>
        <rFont val="Arial"/>
        <family val="0"/>
        <charset val="1"/>
      </rPr>
      <t xml:space="preserve">X</t>
    </r>
    <r>
      <rPr>
        <sz val="10"/>
        <color rgb="FFE6E8EC"/>
        <rFont val="Noto Sans CJK SC"/>
        <family val="2"/>
      </rPr>
      <t xml:space="preserve">・中心</t>
    </r>
    <r>
      <rPr>
        <sz val="10"/>
        <color rgb="FFE6E8EC"/>
        <rFont val="Arial"/>
        <family val="0"/>
        <charset val="1"/>
      </rPr>
      <t xml:space="preserve">Y</t>
    </r>
    <r>
      <rPr>
        <sz val="10"/>
        <color rgb="FFE6E8EC"/>
        <rFont val="Noto Sans CJK SC"/>
        <family val="2"/>
      </rPr>
      <t xml:space="preserve">・直径 を入力</t>
    </r>
  </si>
  <si>
    <t xml:space="preserve">★今回の追加機能</t>
  </si>
  <si>
    <t xml:space="preserve">STEP 4</t>
  </si>
  <si>
    <r>
      <rPr>
        <sz val="10"/>
        <color rgb="FFE6E8EC"/>
        <rFont val="Noto Sans CJK SC"/>
        <family val="2"/>
      </rPr>
      <t xml:space="preserve">「断面」で シム（使うときだけ</t>
    </r>
    <r>
      <rPr>
        <sz val="10"/>
        <color rgb="FFE6E8EC"/>
        <rFont val="Arial"/>
        <family val="0"/>
        <charset val="1"/>
      </rPr>
      <t xml:space="preserve">1</t>
    </r>
    <r>
      <rPr>
        <sz val="10"/>
        <color rgb="FFE6E8EC"/>
        <rFont val="Noto Sans CJK SC"/>
        <family val="2"/>
      </rPr>
      <t xml:space="preserve">）・裏板 の材料と厚さを入力し、質量</t>
    </r>
    <r>
      <rPr>
        <sz val="10"/>
        <color rgb="FFE6E8EC"/>
        <rFont val="Arial"/>
        <family val="0"/>
        <charset val="1"/>
      </rPr>
      <t xml:space="preserve">[g]</t>
    </r>
    <r>
      <rPr>
        <sz val="10"/>
        <color rgb="FFE6E8EC"/>
        <rFont val="Noto Sans CJK SC"/>
        <family val="2"/>
      </rPr>
      <t xml:space="preserve">を電子天秤の実測と突き合わせる</t>
    </r>
  </si>
  <si>
    <t xml:space="preserve">STEP 5</t>
  </si>
  <si>
    <t xml:space="preserve">「固有振動数」を見る → 予測ピーク一覧が出る</t>
  </si>
  <si>
    <t xml:space="preserve">STEP 6</t>
  </si>
  <si>
    <r>
      <rPr>
        <sz val="10"/>
        <color rgb="FFE6E8EC"/>
        <rFont val="Noto Sans CJK SC"/>
        <family val="2"/>
      </rPr>
      <t xml:space="preserve">「スペクトル」でグラフ確認。</t>
    </r>
    <r>
      <rPr>
        <sz val="10"/>
        <color rgb="FFE6E8EC"/>
        <rFont val="Arial"/>
        <family val="0"/>
        <charset val="1"/>
      </rPr>
      <t xml:space="preserve">A</t>
    </r>
    <r>
      <rPr>
        <sz val="10"/>
        <color rgb="FFE6E8EC"/>
        <rFont val="Noto Sans CJK SC"/>
        <family val="2"/>
      </rPr>
      <t xml:space="preserve">〜</t>
    </r>
    <r>
      <rPr>
        <sz val="10"/>
        <color rgb="FFE6E8EC"/>
        <rFont val="Arial"/>
        <family val="0"/>
        <charset val="1"/>
      </rPr>
      <t xml:space="preserve">E</t>
    </r>
    <r>
      <rPr>
        <sz val="10"/>
        <color rgb="FFE6E8EC"/>
        <rFont val="Noto Sans CJK SC"/>
        <family val="2"/>
      </rPr>
      <t xml:space="preserve">列をコピーすれば他ソフトに貼れる</t>
    </r>
  </si>
  <si>
    <t xml:space="preserve">STEP 7</t>
  </si>
  <si>
    <r>
      <rPr>
        <sz val="10"/>
        <color rgb="FFE6E8EC"/>
        <rFont val="Noto Sans CJK SC"/>
        <family val="2"/>
      </rPr>
      <t xml:space="preserve">「測定計画」で</t>
    </r>
    <r>
      <rPr>
        <sz val="10"/>
        <color rgb="FFE6E8EC"/>
        <rFont val="Arial"/>
        <family val="0"/>
        <charset val="1"/>
      </rPr>
      <t xml:space="preserve">FFT</t>
    </r>
    <r>
      <rPr>
        <sz val="10"/>
        <color rgb="FFE6E8EC"/>
        <rFont val="Noto Sans CJK SC"/>
        <family val="2"/>
      </rPr>
      <t xml:space="preserve">設定（</t>
    </r>
    <r>
      <rPr>
        <sz val="10"/>
        <color rgb="FFE6E8EC"/>
        <rFont val="Arial"/>
        <family val="0"/>
        <charset val="1"/>
      </rPr>
      <t xml:space="preserve">Δf</t>
    </r>
    <r>
      <rPr>
        <sz val="10"/>
        <color rgb="FFE6E8EC"/>
        <rFont val="Noto Sans CJK SC"/>
        <family val="2"/>
      </rPr>
      <t xml:space="preserve">・</t>
    </r>
    <r>
      <rPr>
        <sz val="10"/>
        <color rgb="FFE6E8EC"/>
        <rFont val="Arial"/>
        <family val="0"/>
        <charset val="1"/>
      </rPr>
      <t xml:space="preserve">fmax</t>
    </r>
    <r>
      <rPr>
        <sz val="10"/>
        <color rgb="FFE6E8EC"/>
        <rFont val="Noto Sans CJK SC"/>
        <family val="2"/>
      </rPr>
      <t xml:space="preserve">・窓）と吊り位置・叩く位置を決める</t>
    </r>
  </si>
  <si>
    <t xml:space="preserve">STEP 8</t>
  </si>
  <si>
    <t xml:space="preserve">測定 →「実測比較」に周波数を入力 → ズレ％を確認</t>
  </si>
  <si>
    <t xml:space="preserve">STEP 9</t>
  </si>
  <si>
    <t xml:space="preserve">「逆算」で 裏板の実効ヤング率・形状補正係数 を求める → 予測式を自分の現物に合わせ込む</t>
  </si>
  <si>
    <t xml:space="preserve">STEP 10</t>
  </si>
  <si>
    <t xml:space="preserve">「鳴きリスク」でローター（ディスク）の固有振動数を入れて判定</t>
  </si>
  <si>
    <t xml:space="preserve">■ 信頼度マーク</t>
  </si>
  <si>
    <t xml:space="preserve">🟢 検証済み</t>
  </si>
  <si>
    <t xml:space="preserve">教科書・規格に載っている確立した式。そのまま信じてよい</t>
  </si>
  <si>
    <t xml:space="preserve">🟡 推定</t>
  </si>
  <si>
    <t xml:space="preserve">妥当（だとう）だが近似。実測で校正（こうせい）してから使う</t>
  </si>
  <si>
    <t xml:space="preserve">🔴 要確認</t>
  </si>
  <si>
    <t xml:space="preserve">値のばらつきが大きい。必ず自分で測る</t>
  </si>
  <si>
    <t xml:space="preserve">■ 重要な前提（ここを外すと全部ずれます）</t>
  </si>
  <si>
    <r>
      <rPr>
        <b val="true"/>
        <sz val="10"/>
        <color rgb="FFE6E8EC"/>
        <rFont val="Noto Sans CJK SC"/>
        <family val="2"/>
      </rPr>
      <t xml:space="preserve">自由−自由（</t>
    </r>
    <r>
      <rPr>
        <b val="true"/>
        <sz val="10"/>
        <color rgb="FFE6E8EC"/>
        <rFont val="Arial"/>
        <family val="0"/>
        <charset val="1"/>
      </rPr>
      <t xml:space="preserve">free-free</t>
    </r>
    <r>
      <rPr>
        <b val="true"/>
        <sz val="10"/>
        <color rgb="FFE6E8EC"/>
        <rFont val="Noto Sans CJK SC"/>
        <family val="2"/>
      </rPr>
      <t xml:space="preserve">）</t>
    </r>
  </si>
  <si>
    <t xml:space="preserve">ピアノ線で吊（つ）った状態＝どこも固定していない状態を仮定</t>
  </si>
  <si>
    <t xml:space="preserve">はり（梁）近似</t>
  </si>
  <si>
    <r>
      <rPr>
        <sz val="10"/>
        <color rgb="FFE6E8EC"/>
        <rFont val="Noto Sans CJK SC"/>
        <family val="2"/>
      </rPr>
      <t xml:space="preserve">パッドを「円周方向に長い</t>
    </r>
    <r>
      <rPr>
        <sz val="10"/>
        <color rgb="FFE6E8EC"/>
        <rFont val="Arial"/>
        <family val="0"/>
        <charset val="1"/>
      </rPr>
      <t xml:space="preserve">1</t>
    </r>
    <r>
      <rPr>
        <sz val="10"/>
        <color rgb="FFE6E8EC"/>
        <rFont val="Noto Sans CJK SC"/>
        <family val="2"/>
      </rPr>
      <t xml:space="preserve">本の棒」とみなす。曲率は無視</t>
    </r>
  </si>
  <si>
    <t xml:space="preserve">穴の扱い</t>
  </si>
  <si>
    <t xml:space="preserve">穴は「面積と断面二次モーメントを減らす」という長さ方向平均の形で入れています。局所的な応力集中までは見ていません</t>
  </si>
  <si>
    <t xml:space="preserve">裏板・シムの厚さ／材質</t>
  </si>
  <si>
    <t xml:space="preserve">図面値ではなく、必ずノギス・マイクロメータで現物実測してから入力する</t>
  </si>
  <si>
    <t xml:space="preserve">🔴</t>
  </si>
  <si>
    <t xml:space="preserve">質量チェックが命綱</t>
  </si>
  <si>
    <r>
      <rPr>
        <sz val="10"/>
        <color rgb="FFE6E8EC"/>
        <rFont val="Noto Sans CJK SC"/>
        <family val="2"/>
      </rPr>
      <t xml:space="preserve">断面シートの「質量</t>
    </r>
    <r>
      <rPr>
        <sz val="10"/>
        <color rgb="FFE6E8EC"/>
        <rFont val="Arial"/>
        <family val="0"/>
        <charset val="1"/>
      </rPr>
      <t xml:space="preserve">[g]</t>
    </r>
    <r>
      <rPr>
        <sz val="10"/>
        <color rgb="FFE6E8EC"/>
        <rFont val="Noto Sans CJK SC"/>
        <family val="2"/>
      </rPr>
      <t xml:space="preserve">」を電子天秤の実測と必ず突き合わせる。合わなければ入力が間違っている</t>
    </r>
  </si>
  <si>
    <r>
      <rPr>
        <b val="true"/>
        <sz val="10"/>
        <color rgb="FFE6E8EC"/>
        <rFont val="Noto Sans CJK SC"/>
        <family val="2"/>
      </rPr>
      <t xml:space="preserve">この予測は </t>
    </r>
    <r>
      <rPr>
        <b val="true"/>
        <sz val="10"/>
        <color rgb="FFE6E8EC"/>
        <rFont val="Arial"/>
        <family val="0"/>
        <charset val="1"/>
      </rPr>
      <t xml:space="preserve">CEA </t>
    </r>
    <r>
      <rPr>
        <b val="true"/>
        <sz val="10"/>
        <color rgb="FFE6E8EC"/>
        <rFont val="Noto Sans CJK SC"/>
        <family val="2"/>
      </rPr>
      <t xml:space="preserve">ではない</t>
    </r>
  </si>
  <si>
    <r>
      <rPr>
        <sz val="10"/>
        <color rgb="FFE6E8EC"/>
        <rFont val="Noto Sans CJK SC"/>
        <family val="2"/>
      </rPr>
      <t xml:space="preserve">鳴きリスクは「素（す）通し検査」。本番の不安定性判定は複素固有値解析（</t>
    </r>
    <r>
      <rPr>
        <sz val="10"/>
        <color rgb="FFE6E8EC"/>
        <rFont val="Arial"/>
        <family val="0"/>
        <charset val="1"/>
      </rPr>
      <t xml:space="preserve">CEA</t>
    </r>
    <r>
      <rPr>
        <sz val="10"/>
        <color rgb="FFE6E8EC"/>
        <rFont val="Noto Sans CJK SC"/>
        <family val="2"/>
      </rPr>
      <t xml:space="preserve">）で</t>
    </r>
  </si>
  <si>
    <t xml:space="preserve">■ よくあるミス（実際にやりがちな順）</t>
  </si>
  <si>
    <r>
      <rPr>
        <sz val="9.5"/>
        <color rgb="FFB9C1D1"/>
        <rFont val="Noto Sans CJK SC"/>
        <family val="2"/>
      </rPr>
      <t xml:space="preserve">① 形状の頂点を「外周に沿った順番」で入れていない（飛び飛び）→ 面積・重心が壊れる。形状シートの入力チェックが</t>
    </r>
    <r>
      <rPr>
        <sz val="9.5"/>
        <color rgb="FFB9C1D1"/>
        <rFont val="Arial"/>
        <family val="0"/>
        <charset val="1"/>
      </rPr>
      <t xml:space="preserve">NG</t>
    </r>
    <r>
      <rPr>
        <sz val="9.5"/>
        <color rgb="FFB9C1D1"/>
        <rFont val="Noto Sans CJK SC"/>
        <family val="2"/>
      </rPr>
      <t xml:space="preserve">になるので必ず見る</t>
    </r>
  </si>
  <si>
    <t xml:space="preserve">② 穴の直径にノギスの外側ジョウ（そとがわ）を使ってしまう → 穴は内側ジョウ（上のとがったツメ）で測る</t>
  </si>
  <si>
    <r>
      <rPr>
        <sz val="9.5"/>
        <color rgb="FFB9C1D1"/>
        <rFont val="Noto Sans CJK SC"/>
        <family val="2"/>
      </rPr>
      <t xml:space="preserve">③ 断面シートで使わない層の「使用</t>
    </r>
    <r>
      <rPr>
        <sz val="9.5"/>
        <color rgb="FFB9C1D1"/>
        <rFont val="Arial"/>
        <family val="0"/>
        <charset val="1"/>
      </rPr>
      <t xml:space="preserve">1/0</t>
    </r>
    <r>
      <rPr>
        <sz val="9.5"/>
        <color rgb="FFB9C1D1"/>
        <rFont val="Noto Sans CJK SC"/>
        <family val="2"/>
      </rPr>
      <t xml:space="preserve">」を</t>
    </r>
    <r>
      <rPr>
        <sz val="9.5"/>
        <color rgb="FFB9C1D1"/>
        <rFont val="Arial"/>
        <family val="0"/>
        <charset val="1"/>
      </rPr>
      <t xml:space="preserve">1</t>
    </r>
    <r>
      <rPr>
        <sz val="9.5"/>
        <color rgb="FFB9C1D1"/>
        <rFont val="Noto Sans CJK SC"/>
        <family val="2"/>
      </rPr>
      <t xml:space="preserve">のままにする → 意図しない層が計算に混入</t>
    </r>
  </si>
  <si>
    <r>
      <rPr>
        <sz val="9.5"/>
        <color rgb="FFB9C1D1"/>
        <rFont val="Noto Sans CJK SC"/>
        <family val="2"/>
      </rPr>
      <t xml:space="preserve">④ 裏板の厚さを図面の公称値のまま使う → プレス後の実測とは </t>
    </r>
    <r>
      <rPr>
        <sz val="9.5"/>
        <color rgb="FFB9C1D1"/>
        <rFont val="Arial"/>
        <family val="0"/>
        <charset val="1"/>
      </rPr>
      <t xml:space="preserve">0.1</t>
    </r>
    <r>
      <rPr>
        <sz val="9.5"/>
        <color rgb="FFB9C1D1"/>
        <rFont val="Noto Sans CJK SC"/>
        <family val="2"/>
      </rPr>
      <t xml:space="preserve">〜</t>
    </r>
    <r>
      <rPr>
        <sz val="9.5"/>
        <color rgb="FFB9C1D1"/>
        <rFont val="Arial"/>
        <family val="0"/>
        <charset val="1"/>
      </rPr>
      <t xml:space="preserve">0.3mm </t>
    </r>
    <r>
      <rPr>
        <sz val="9.5"/>
        <color rgb="FFB9C1D1"/>
        <rFont val="Noto Sans CJK SC"/>
        <family val="2"/>
      </rPr>
      <t xml:space="preserve">違うことがあり、これだけで周波数が数％ずれる</t>
    </r>
  </si>
  <si>
    <r>
      <rPr>
        <sz val="9.5"/>
        <color rgb="FFB9C1D1"/>
        <rFont val="Noto Sans CJK SC"/>
        <family val="2"/>
      </rPr>
      <t xml:space="preserve">⑤ スペクトルの周波数範囲が予測ピークより低いまま → グラフに山が出ない（開始・</t>
    </r>
    <r>
      <rPr>
        <sz val="9.5"/>
        <color rgb="FFB9C1D1"/>
        <rFont val="Arial"/>
        <family val="0"/>
        <charset val="1"/>
      </rPr>
      <t xml:space="preserve">Δf</t>
    </r>
    <r>
      <rPr>
        <sz val="9.5"/>
        <color rgb="FFB9C1D1"/>
        <rFont val="Noto Sans CJK SC"/>
        <family val="2"/>
      </rPr>
      <t xml:space="preserve">を調整）</t>
    </r>
  </si>
  <si>
    <r>
      <rPr>
        <sz val="9.5"/>
        <color rgb="FFB9C1D1"/>
        <rFont val="Noto Sans CJK SC"/>
        <family val="2"/>
      </rPr>
      <t xml:space="preserve">⑥ せん断補正の</t>
    </r>
    <r>
      <rPr>
        <sz val="9.5"/>
        <color rgb="FFB9C1D1"/>
        <rFont val="Arial"/>
        <family val="0"/>
        <charset val="1"/>
      </rPr>
      <t xml:space="preserve">ON/OFF</t>
    </r>
    <r>
      <rPr>
        <sz val="9.5"/>
        <color rgb="FFB9C1D1"/>
        <rFont val="Noto Sans CJK SC"/>
        <family val="2"/>
      </rPr>
      <t xml:space="preserve">を、固有振動数シートと逆算シートで揃えていない → 辻褄（つじつま）が合わなくなる</t>
    </r>
  </si>
  <si>
    <t xml:space="preserve">⑦ 質量チェックをせずに測定に行く → 現地で「ぜんぜん合わない」となってから原因探しになる</t>
  </si>
  <si>
    <t xml:space="preserve">⓪ 採寸（さいすん）ガイド — 摩擦材抜きのパッドをどう測って、どこに入れるか</t>
  </si>
  <si>
    <r>
      <rPr>
        <sz val="9"/>
        <color rgb="FFA9B2C3"/>
        <rFont val="Noto Sans CJK SC"/>
        <family val="2"/>
      </rPr>
      <t xml:space="preserve">ノギス</t>
    </r>
    <r>
      <rPr>
        <sz val="9"/>
        <color rgb="FFA9B2C3"/>
        <rFont val="Arial"/>
        <family val="0"/>
        <charset val="1"/>
      </rPr>
      <t xml:space="preserve">1</t>
    </r>
    <r>
      <rPr>
        <sz val="9"/>
        <color rgb="FFA9B2C3"/>
        <rFont val="Noto Sans CJK SC"/>
        <family val="2"/>
      </rPr>
      <t xml:space="preserve">本でできます。この順にやれば必ず「形状」シートが埋まります。（</t>
    </r>
    <r>
      <rPr>
        <sz val="9"/>
        <color rgb="FFA9B2C3"/>
        <rFont val="Arial"/>
        <family val="0"/>
        <charset val="1"/>
      </rPr>
      <t xml:space="preserve">a.jpg </t>
    </r>
    <r>
      <rPr>
        <sz val="9"/>
        <color rgb="FFA9B2C3"/>
        <rFont val="Noto Sans CJK SC"/>
        <family val="2"/>
      </rPr>
      <t xml:space="preserve">のような形を想定）</t>
    </r>
  </si>
  <si>
    <r>
      <rPr>
        <b val="true"/>
        <sz val="10"/>
        <color rgb="FFFFCF6B"/>
        <rFont val="Noto Sans CJK SC"/>
        <family val="2"/>
      </rPr>
      <t xml:space="preserve">★ カラーの図解は このシートの </t>
    </r>
    <r>
      <rPr>
        <b val="true"/>
        <sz val="10"/>
        <color rgb="FFFFCF6B"/>
        <rFont val="Arial"/>
        <family val="0"/>
        <charset val="1"/>
      </rPr>
      <t xml:space="preserve">112</t>
    </r>
    <r>
      <rPr>
        <b val="true"/>
        <sz val="10"/>
        <color rgb="FFFFCF6B"/>
        <rFont val="Noto Sans CJK SC"/>
        <family val="2"/>
      </rPr>
      <t xml:space="preserve">行目あたり にあります（下へスクロール）</t>
    </r>
  </si>
  <si>
    <t xml:space="preserve">■ 用意するもの</t>
  </si>
  <si>
    <t xml:space="preserve">ノギス（デジタル推奨）</t>
  </si>
  <si>
    <r>
      <rPr>
        <sz val="10"/>
        <color rgb="FFE6E8EC"/>
        <rFont val="Arial"/>
        <family val="0"/>
        <charset val="1"/>
      </rPr>
      <t xml:space="preserve">0</t>
    </r>
    <r>
      <rPr>
        <sz val="10"/>
        <color rgb="FFE6E8EC"/>
        <rFont val="Noto Sans CJK SC"/>
        <family val="2"/>
      </rPr>
      <t xml:space="preserve">〜</t>
    </r>
    <r>
      <rPr>
        <sz val="10"/>
        <color rgb="FFE6E8EC"/>
        <rFont val="Arial"/>
        <family val="0"/>
        <charset val="1"/>
      </rPr>
      <t xml:space="preserve">150mm</t>
    </r>
    <r>
      <rPr>
        <sz val="10"/>
        <color rgb="FFE6E8EC"/>
        <rFont val="Noto Sans CJK SC"/>
        <family val="2"/>
      </rPr>
      <t xml:space="preserve">。</t>
    </r>
    <r>
      <rPr>
        <sz val="10"/>
        <color rgb="FFE6E8EC"/>
        <rFont val="Arial"/>
        <family val="0"/>
        <charset val="1"/>
      </rPr>
      <t xml:space="preserve">0.01mm </t>
    </r>
    <r>
      <rPr>
        <sz val="10"/>
        <color rgb="FFE6E8EC"/>
        <rFont val="Noto Sans CJK SC"/>
        <family val="2"/>
      </rPr>
      <t xml:space="preserve">または </t>
    </r>
    <r>
      <rPr>
        <sz val="10"/>
        <color rgb="FFE6E8EC"/>
        <rFont val="Arial"/>
        <family val="0"/>
        <charset val="1"/>
      </rPr>
      <t xml:space="preserve">0.05mm </t>
    </r>
    <r>
      <rPr>
        <sz val="10"/>
        <color rgb="FFE6E8EC"/>
        <rFont val="Noto Sans CJK SC"/>
        <family val="2"/>
      </rPr>
      <t xml:space="preserve">読み。穴の内径・板厚・全長すべてこれ</t>
    </r>
    <r>
      <rPr>
        <sz val="10"/>
        <color rgb="FFE6E8EC"/>
        <rFont val="Arial"/>
        <family val="0"/>
        <charset val="1"/>
      </rPr>
      <t xml:space="preserve">1</t>
    </r>
    <r>
      <rPr>
        <sz val="10"/>
        <color rgb="FFE6E8EC"/>
        <rFont val="Noto Sans CJK SC"/>
        <family val="2"/>
      </rPr>
      <t xml:space="preserve">本で足ります</t>
    </r>
  </si>
  <si>
    <t xml:space="preserve">必須</t>
  </si>
  <si>
    <r>
      <rPr>
        <b val="true"/>
        <sz val="10"/>
        <color rgb="FFE6E8EC"/>
        <rFont val="Noto Sans CJK SC"/>
        <family val="2"/>
      </rPr>
      <t xml:space="preserve">方眼紙 </t>
    </r>
    <r>
      <rPr>
        <b val="true"/>
        <sz val="10"/>
        <color rgb="FFE6E8EC"/>
        <rFont val="Arial"/>
        <family val="0"/>
        <charset val="1"/>
      </rPr>
      <t xml:space="preserve">or A3</t>
    </r>
    <r>
      <rPr>
        <b val="true"/>
        <sz val="10"/>
        <color rgb="FFE6E8EC"/>
        <rFont val="Noto Sans CJK SC"/>
        <family val="2"/>
      </rPr>
      <t xml:space="preserve">コピー用紙</t>
    </r>
  </si>
  <si>
    <t xml:space="preserve">パッドを置いて輪郭をなぞる。あとで座標を拾うため</t>
  </si>
  <si>
    <r>
      <rPr>
        <b val="true"/>
        <sz val="10"/>
        <color rgb="FFE6E8EC"/>
        <rFont val="Noto Sans CJK SC"/>
        <family val="2"/>
      </rPr>
      <t xml:space="preserve">定規（</t>
    </r>
    <r>
      <rPr>
        <b val="true"/>
        <sz val="10"/>
        <color rgb="FFE6E8EC"/>
        <rFont val="Arial"/>
        <family val="0"/>
        <charset val="1"/>
      </rPr>
      <t xml:space="preserve">30cm</t>
    </r>
    <r>
      <rPr>
        <b val="true"/>
        <sz val="10"/>
        <color rgb="FFE6E8EC"/>
        <rFont val="Noto Sans CJK SC"/>
        <family val="2"/>
      </rPr>
      <t xml:space="preserve">）</t>
    </r>
  </si>
  <si>
    <r>
      <rPr>
        <sz val="10"/>
        <color rgb="FFE6E8EC"/>
        <rFont val="Noto Sans CJK SC"/>
        <family val="2"/>
      </rPr>
      <t xml:space="preserve">方眼紙に基準線（</t>
    </r>
    <r>
      <rPr>
        <sz val="10"/>
        <color rgb="FFE6E8EC"/>
        <rFont val="Arial"/>
        <family val="0"/>
        <charset val="1"/>
      </rPr>
      <t xml:space="preserve">X</t>
    </r>
    <r>
      <rPr>
        <sz val="10"/>
        <color rgb="FFE6E8EC"/>
        <rFont val="Noto Sans CJK SC"/>
        <family val="2"/>
      </rPr>
      <t xml:space="preserve">軸・</t>
    </r>
    <r>
      <rPr>
        <sz val="10"/>
        <color rgb="FFE6E8EC"/>
        <rFont val="Arial"/>
        <family val="0"/>
        <charset val="1"/>
      </rPr>
      <t xml:space="preserve">Y</t>
    </r>
    <r>
      <rPr>
        <sz val="10"/>
        <color rgb="FFE6E8EC"/>
        <rFont val="Noto Sans CJK SC"/>
        <family val="2"/>
      </rPr>
      <t xml:space="preserve">軸）を引く</t>
    </r>
  </si>
  <si>
    <r>
      <rPr>
        <b val="true"/>
        <sz val="10"/>
        <color rgb="FFE6E8EC"/>
        <rFont val="Noto Sans CJK SC"/>
        <family val="2"/>
      </rPr>
      <t xml:space="preserve">電子天秤（</t>
    </r>
    <r>
      <rPr>
        <b val="true"/>
        <sz val="10"/>
        <color rgb="FFE6E8EC"/>
        <rFont val="Arial"/>
        <family val="0"/>
        <charset val="1"/>
      </rPr>
      <t xml:space="preserve">0.1g</t>
    </r>
    <r>
      <rPr>
        <b val="true"/>
        <sz val="10"/>
        <color rgb="FFE6E8EC"/>
        <rFont val="Noto Sans CJK SC"/>
        <family val="2"/>
      </rPr>
      <t xml:space="preserve">）</t>
    </r>
  </si>
  <si>
    <t xml:space="preserve">質量チェック用。断面シートの予測質量と突き合わせる命綱</t>
  </si>
  <si>
    <t xml:space="preserve">強く推奨</t>
  </si>
  <si>
    <t xml:space="preserve">マイクロメータ</t>
  </si>
  <si>
    <t xml:space="preserve">板厚をより正確に。無ければノギスで可</t>
  </si>
  <si>
    <t xml:space="preserve">あれば</t>
  </si>
  <si>
    <t xml:space="preserve">スマホのカメラ</t>
  </si>
  <si>
    <r>
      <rPr>
        <sz val="10"/>
        <color rgb="FFE6E8EC"/>
        <rFont val="Noto Sans CJK SC"/>
        <family val="2"/>
      </rPr>
      <t xml:space="preserve">真上から撮って輪郭をトレースする裏ワザ用（後述 </t>
    </r>
    <r>
      <rPr>
        <sz val="10"/>
        <color rgb="FFE6E8EC"/>
        <rFont val="Arial"/>
        <family val="0"/>
        <charset val="1"/>
      </rPr>
      <t xml:space="preserve">§6</t>
    </r>
    <r>
      <rPr>
        <sz val="10"/>
        <color rgb="FFE6E8EC"/>
        <rFont val="Noto Sans CJK SC"/>
        <family val="2"/>
      </rPr>
      <t xml:space="preserve">）</t>
    </r>
  </si>
  <si>
    <r>
      <rPr>
        <b val="true"/>
        <sz val="12"/>
        <color rgb="FF7DB4FF"/>
        <rFont val="Arial"/>
        <family val="0"/>
        <charset val="1"/>
      </rPr>
      <t xml:space="preserve">■ §1 </t>
    </r>
    <r>
      <rPr>
        <b val="true"/>
        <sz val="12"/>
        <color rgb="FF7DB4FF"/>
        <rFont val="Noto Sans CJK SC"/>
        <family val="2"/>
      </rPr>
      <t xml:space="preserve">いちばん大事：座標の決め方（ここを間違えると全部ずれます）</t>
    </r>
  </si>
  <si>
    <t xml:space="preserve">　パッドを机に置きます。摩擦材が付いていた面（ザラザラした面）を上にして、両端の「耳（みみ）」が左右に来るように置いてください。</t>
  </si>
  <si>
    <r>
      <rPr>
        <sz val="9.5"/>
        <color rgb="FFB9C1D1"/>
        <rFont val="Noto Sans CJK SC"/>
        <family val="2"/>
      </rPr>
      <t xml:space="preserve">　この置き方で、左右方向 ＝ </t>
    </r>
    <r>
      <rPr>
        <sz val="9.5"/>
        <color rgb="FFB9C1D1"/>
        <rFont val="Arial"/>
        <family val="0"/>
        <charset val="1"/>
      </rPr>
      <t xml:space="preserve">X</t>
    </r>
    <r>
      <rPr>
        <sz val="9.5"/>
        <color rgb="FFB9C1D1"/>
        <rFont val="Noto Sans CJK SC"/>
        <family val="2"/>
      </rPr>
      <t xml:space="preserve">軸（円周方向・長手）、上下方向 ＝ </t>
    </r>
    <r>
      <rPr>
        <sz val="9.5"/>
        <color rgb="FFB9C1D1"/>
        <rFont val="Arial"/>
        <family val="0"/>
        <charset val="1"/>
      </rPr>
      <t xml:space="preserve">Y</t>
    </r>
    <r>
      <rPr>
        <sz val="9.5"/>
        <color rgb="FFB9C1D1"/>
        <rFont val="Noto Sans CJK SC"/>
        <family val="2"/>
      </rPr>
      <t xml:space="preserve">軸（半径方向）です。</t>
    </r>
  </si>
  <si>
    <r>
      <rPr>
        <sz val="9.5"/>
        <color rgb="FFB9C1D1"/>
        <rFont val="Noto Sans CJK SC"/>
        <family val="2"/>
      </rPr>
      <t xml:space="preserve">　</t>
    </r>
    <r>
      <rPr>
        <sz val="9.5"/>
        <color rgb="FFB9C1D1"/>
        <rFont val="Arial"/>
        <family val="0"/>
        <charset val="1"/>
      </rPr>
      <t xml:space="preserve">X</t>
    </r>
    <r>
      <rPr>
        <sz val="9.5"/>
        <color rgb="FFB9C1D1"/>
        <rFont val="Noto Sans CJK SC"/>
        <family val="2"/>
      </rPr>
      <t xml:space="preserve">軸の＋は右、</t>
    </r>
    <r>
      <rPr>
        <sz val="9.5"/>
        <color rgb="FFB9C1D1"/>
        <rFont val="Arial"/>
        <family val="0"/>
        <charset val="1"/>
      </rPr>
      <t xml:space="preserve">Y</t>
    </r>
    <r>
      <rPr>
        <sz val="9.5"/>
        <color rgb="FFB9C1D1"/>
        <rFont val="Noto Sans CJK SC"/>
        <family val="2"/>
      </rPr>
      <t xml:space="preserve">軸の＋は上。単位はぜんぶ </t>
    </r>
    <r>
      <rPr>
        <sz val="9.5"/>
        <color rgb="FFB9C1D1"/>
        <rFont val="Arial"/>
        <family val="0"/>
        <charset val="1"/>
      </rPr>
      <t xml:space="preserve">mm</t>
    </r>
    <r>
      <rPr>
        <sz val="9.5"/>
        <color rgb="FFB9C1D1"/>
        <rFont val="Noto Sans CJK SC"/>
        <family val="2"/>
      </rPr>
      <t xml:space="preserve">。小数点第</t>
    </r>
    <r>
      <rPr>
        <sz val="9.5"/>
        <color rgb="FFB9C1D1"/>
        <rFont val="Arial"/>
        <family val="0"/>
        <charset val="1"/>
      </rPr>
      <t xml:space="preserve">2</t>
    </r>
    <r>
      <rPr>
        <sz val="9.5"/>
        <color rgb="FFB9C1D1"/>
        <rFont val="Noto Sans CJK SC"/>
        <family val="2"/>
      </rPr>
      <t xml:space="preserve">位（</t>
    </r>
    <r>
      <rPr>
        <sz val="9.5"/>
        <color rgb="FFB9C1D1"/>
        <rFont val="Arial"/>
        <family val="0"/>
        <charset val="1"/>
      </rPr>
      <t xml:space="preserve">0.01mm</t>
    </r>
    <r>
      <rPr>
        <sz val="9.5"/>
        <color rgb="FFB9C1D1"/>
        <rFont val="Noto Sans CJK SC"/>
        <family val="2"/>
      </rPr>
      <t xml:space="preserve">）まで書けば充分です。</t>
    </r>
  </si>
  <si>
    <r>
      <rPr>
        <sz val="9.5"/>
        <color rgb="FFB9C1D1"/>
        <rFont val="Noto Sans CJK SC"/>
        <family val="2"/>
      </rPr>
      <t xml:space="preserve">　原点（</t>
    </r>
    <r>
      <rPr>
        <sz val="9.5"/>
        <color rgb="FFB9C1D1"/>
        <rFont val="Arial"/>
        <family val="0"/>
        <charset val="1"/>
      </rPr>
      <t xml:space="preserve">0,0</t>
    </r>
    <r>
      <rPr>
        <sz val="9.5"/>
        <color rgb="FFB9C1D1"/>
        <rFont val="Noto Sans CJK SC"/>
        <family val="2"/>
      </rPr>
      <t xml:space="preserve">）はどこでもかまいません。ブックの中で自動的に重心を計算するので、絶対位置は結果に影響しません。</t>
    </r>
  </si>
  <si>
    <t xml:space="preserve">　おすすめの原点：パッドの左下の角。そうすると座標がぜんぶプラスになって間違いにくい。</t>
  </si>
  <si>
    <r>
      <rPr>
        <sz val="9.5"/>
        <color rgb="FFB9C1D1"/>
        <rFont val="Noto Sans CJK SC"/>
        <family val="2"/>
      </rPr>
      <t xml:space="preserve">　※ </t>
    </r>
    <r>
      <rPr>
        <sz val="9.5"/>
        <color rgb="FFB9C1D1"/>
        <rFont val="Arial"/>
        <family val="0"/>
        <charset val="1"/>
      </rPr>
      <t xml:space="preserve">a.jpg </t>
    </r>
    <r>
      <rPr>
        <sz val="9.5"/>
        <color rgb="FFB9C1D1"/>
        <rFont val="Noto Sans CJK SC"/>
        <family val="2"/>
      </rPr>
      <t xml:space="preserve">のプリセットは「左右の中央」を </t>
    </r>
    <r>
      <rPr>
        <sz val="9.5"/>
        <color rgb="FFB9C1D1"/>
        <rFont val="Arial"/>
        <family val="0"/>
        <charset val="1"/>
      </rPr>
      <t xml:space="preserve">X=0</t>
    </r>
    <r>
      <rPr>
        <sz val="9.5"/>
        <color rgb="FFB9C1D1"/>
        <rFont val="Noto Sans CJK SC"/>
        <family val="2"/>
      </rPr>
      <t xml:space="preserve">、「いちばん下」を </t>
    </r>
    <r>
      <rPr>
        <sz val="9.5"/>
        <color rgb="FFB9C1D1"/>
        <rFont val="Arial"/>
        <family val="0"/>
        <charset val="1"/>
      </rPr>
      <t xml:space="preserve">Y=0 </t>
    </r>
    <r>
      <rPr>
        <sz val="9.5"/>
        <color rgb="FFB9C1D1"/>
        <rFont val="Noto Sans CJK SC"/>
        <family val="2"/>
      </rPr>
      <t xml:space="preserve">にしてあります。どちらでも結果は同じです。</t>
    </r>
  </si>
  <si>
    <r>
      <rPr>
        <b val="true"/>
        <sz val="12"/>
        <color rgb="FF7DB4FF"/>
        <rFont val="Arial"/>
        <family val="0"/>
        <charset val="1"/>
      </rPr>
      <t xml:space="preserve">■ §2 </t>
    </r>
    <r>
      <rPr>
        <b val="true"/>
        <sz val="12"/>
        <color rgb="FF7DB4FF"/>
        <rFont val="Noto Sans CJK SC"/>
        <family val="2"/>
      </rPr>
      <t xml:space="preserve">外形（そとがたち）の測り方 — 「角（かど）を拾う」だけ</t>
    </r>
  </si>
  <si>
    <r>
      <rPr>
        <sz val="9.5"/>
        <color rgb="FFB9C1D1"/>
        <rFont val="Noto Sans CJK SC"/>
        <family val="2"/>
      </rPr>
      <t xml:space="preserve">　やること：外周をぐるっと一周する順番で、角（かど）の位置を </t>
    </r>
    <r>
      <rPr>
        <sz val="9.5"/>
        <color rgb="FFB9C1D1"/>
        <rFont val="Arial"/>
        <family val="0"/>
        <charset val="1"/>
      </rPr>
      <t xml:space="preserve">X,Y </t>
    </r>
    <r>
      <rPr>
        <sz val="9.5"/>
        <color rgb="FFB9C1D1"/>
        <rFont val="Noto Sans CJK SC"/>
        <family val="2"/>
      </rPr>
      <t xml:space="preserve">で書き出す。それだけです。</t>
    </r>
  </si>
  <si>
    <r>
      <rPr>
        <sz val="9.5"/>
        <color rgb="FFB9C1D1"/>
        <rFont val="Noto Sans CJK SC"/>
        <family val="2"/>
      </rPr>
      <t xml:space="preserve">　コツ</t>
    </r>
    <r>
      <rPr>
        <sz val="9.5"/>
        <color rgb="FFB9C1D1"/>
        <rFont val="Arial"/>
        <family val="0"/>
        <charset val="1"/>
      </rPr>
      <t xml:space="preserve">1</t>
    </r>
    <r>
      <rPr>
        <sz val="9.5"/>
        <color rgb="FFB9C1D1"/>
        <rFont val="Noto Sans CJK SC"/>
        <family val="2"/>
      </rPr>
      <t xml:space="preserve">：曲線（円弧）のところは、</t>
    </r>
    <r>
      <rPr>
        <sz val="9.5"/>
        <color rgb="FFB9C1D1"/>
        <rFont val="Arial"/>
        <family val="0"/>
        <charset val="1"/>
      </rPr>
      <t xml:space="preserve">3</t>
    </r>
    <r>
      <rPr>
        <sz val="9.5"/>
        <color rgb="FFB9C1D1"/>
        <rFont val="Noto Sans CJK SC"/>
        <family val="2"/>
      </rPr>
      <t xml:space="preserve">〜</t>
    </r>
    <r>
      <rPr>
        <sz val="9.5"/>
        <color rgb="FFB9C1D1"/>
        <rFont val="Arial"/>
        <family val="0"/>
        <charset val="1"/>
      </rPr>
      <t xml:space="preserve">5</t>
    </r>
    <r>
      <rPr>
        <sz val="9.5"/>
        <color rgb="FFB9C1D1"/>
        <rFont val="Noto Sans CJK SC"/>
        <family val="2"/>
      </rPr>
      <t xml:space="preserve">点くらい打てば充分です。</t>
    </r>
    <r>
      <rPr>
        <sz val="9.5"/>
        <color rgb="FFB9C1D1"/>
        <rFont val="Arial"/>
        <family val="0"/>
        <charset val="1"/>
      </rPr>
      <t xml:space="preserve">1</t>
    </r>
    <r>
      <rPr>
        <sz val="9.5"/>
        <color rgb="FFB9C1D1"/>
        <rFont val="Noto Sans CJK SC"/>
        <family val="2"/>
      </rPr>
      <t xml:space="preserve">〜</t>
    </r>
    <r>
      <rPr>
        <sz val="9.5"/>
        <color rgb="FFB9C1D1"/>
        <rFont val="Arial"/>
        <family val="0"/>
        <charset val="1"/>
      </rPr>
      <t xml:space="preserve">2mm </t>
    </r>
    <r>
      <rPr>
        <sz val="9.5"/>
        <color rgb="FFB9C1D1"/>
        <rFont val="Noto Sans CJK SC"/>
        <family val="2"/>
      </rPr>
      <t xml:space="preserve">の誤差は周波数に </t>
    </r>
    <r>
      <rPr>
        <sz val="9.5"/>
        <color rgb="FFB9C1D1"/>
        <rFont val="Arial"/>
        <family val="0"/>
        <charset val="1"/>
      </rPr>
      <t xml:space="preserve">0.1% </t>
    </r>
    <r>
      <rPr>
        <sz val="9.5"/>
        <color rgb="FFB9C1D1"/>
        <rFont val="Noto Sans CJK SC"/>
        <family val="2"/>
      </rPr>
      <t xml:space="preserve">も効きません。</t>
    </r>
  </si>
  <si>
    <r>
      <rPr>
        <sz val="9.5"/>
        <color rgb="FFB9C1D1"/>
        <rFont val="Noto Sans CJK SC"/>
        <family val="2"/>
      </rPr>
      <t xml:space="preserve">　コツ</t>
    </r>
    <r>
      <rPr>
        <sz val="9.5"/>
        <color rgb="FFB9C1D1"/>
        <rFont val="Arial"/>
        <family val="0"/>
        <charset val="1"/>
      </rPr>
      <t xml:space="preserve">2</t>
    </r>
    <r>
      <rPr>
        <sz val="9.5"/>
        <color rgb="FFB9C1D1"/>
        <rFont val="Noto Sans CJK SC"/>
        <family val="2"/>
      </rPr>
      <t xml:space="preserve">：耳（キャリパに嵌まる出っ張り）と、下側の爪（つめ）は必ず角を拾ってください。ここは形が効きます。</t>
    </r>
  </si>
  <si>
    <r>
      <rPr>
        <sz val="9.5"/>
        <color rgb="FFB9C1D1"/>
        <rFont val="Noto Sans CJK SC"/>
        <family val="2"/>
      </rPr>
      <t xml:space="preserve">　コツ</t>
    </r>
    <r>
      <rPr>
        <sz val="9.5"/>
        <color rgb="FFB9C1D1"/>
        <rFont val="Arial"/>
        <family val="0"/>
        <charset val="1"/>
      </rPr>
      <t xml:space="preserve">3</t>
    </r>
    <r>
      <rPr>
        <sz val="9.5"/>
        <color rgb="FFB9C1D1"/>
        <rFont val="Noto Sans CJK SC"/>
        <family val="2"/>
      </rPr>
      <t xml:space="preserve">：必ず「一筆書き」の順番で。反時計回りでも時計回りでも</t>
    </r>
    <r>
      <rPr>
        <sz val="9.5"/>
        <color rgb="FFB9C1D1"/>
        <rFont val="Arial"/>
        <family val="0"/>
        <charset val="1"/>
      </rPr>
      <t xml:space="preserve">OK</t>
    </r>
    <r>
      <rPr>
        <sz val="9.5"/>
        <color rgb="FFB9C1D1"/>
        <rFont val="Noto Sans CJK SC"/>
        <family val="2"/>
      </rPr>
      <t xml:space="preserve">ですが、飛び飛びはダメ。</t>
    </r>
  </si>
  <si>
    <r>
      <rPr>
        <sz val="9.5"/>
        <color rgb="FFB9C1D1"/>
        <rFont val="Noto Sans CJK SC"/>
        <family val="2"/>
      </rPr>
      <t xml:space="preserve">　コツ</t>
    </r>
    <r>
      <rPr>
        <sz val="9.5"/>
        <color rgb="FFB9C1D1"/>
        <rFont val="Arial"/>
        <family val="0"/>
        <charset val="1"/>
      </rPr>
      <t xml:space="preserve">4</t>
    </r>
    <r>
      <rPr>
        <sz val="9.5"/>
        <color rgb="FFB9C1D1"/>
        <rFont val="Noto Sans CJK SC"/>
        <family val="2"/>
      </rPr>
      <t xml:space="preserve">：点は最大</t>
    </r>
    <r>
      <rPr>
        <sz val="9.5"/>
        <color rgb="FFB9C1D1"/>
        <rFont val="Arial"/>
        <family val="0"/>
        <charset val="1"/>
      </rPr>
      <t xml:space="preserve">24</t>
    </r>
    <r>
      <rPr>
        <sz val="9.5"/>
        <color rgb="FFB9C1D1"/>
        <rFont val="Noto Sans CJK SC"/>
        <family val="2"/>
      </rPr>
      <t xml:space="preserve">点まで入ります。</t>
    </r>
    <r>
      <rPr>
        <sz val="9.5"/>
        <color rgb="FFB9C1D1"/>
        <rFont val="Arial"/>
        <family val="0"/>
        <charset val="1"/>
      </rPr>
      <t xml:space="preserve">a.jpg </t>
    </r>
    <r>
      <rPr>
        <sz val="9.5"/>
        <color rgb="FFB9C1D1"/>
        <rFont val="Noto Sans CJK SC"/>
        <family val="2"/>
      </rPr>
      <t xml:space="preserve">の形なら </t>
    </r>
    <r>
      <rPr>
        <sz val="9.5"/>
        <color rgb="FFB9C1D1"/>
        <rFont val="Arial"/>
        <family val="0"/>
        <charset val="1"/>
      </rPr>
      <t xml:space="preserve">20</t>
    </r>
    <r>
      <rPr>
        <sz val="9.5"/>
        <color rgb="FFB9C1D1"/>
        <rFont val="Noto Sans CJK SC"/>
        <family val="2"/>
      </rPr>
      <t xml:space="preserve">〜</t>
    </r>
    <r>
      <rPr>
        <sz val="9.5"/>
        <color rgb="FFB9C1D1"/>
        <rFont val="Arial"/>
        <family val="0"/>
        <charset val="1"/>
      </rPr>
      <t xml:space="preserve">22</t>
    </r>
    <r>
      <rPr>
        <sz val="9.5"/>
        <color rgb="FFB9C1D1"/>
        <rFont val="Noto Sans CJK SC"/>
        <family val="2"/>
      </rPr>
      <t xml:space="preserve">点でぴったり表現できます。</t>
    </r>
  </si>
  <si>
    <t xml:space="preserve">　◆ 実際の手順（方眼紙法・いちばん確実）</t>
  </si>
  <si>
    <r>
      <rPr>
        <sz val="9.5"/>
        <color rgb="FFB9C1D1"/>
        <rFont val="Noto Sans CJK SC"/>
        <family val="2"/>
      </rPr>
      <t xml:space="preserve">　　① 方眼紙に</t>
    </r>
    <r>
      <rPr>
        <sz val="9.5"/>
        <color rgb="FFB9C1D1"/>
        <rFont val="Arial"/>
        <family val="0"/>
        <charset val="1"/>
      </rPr>
      <t xml:space="preserve">X</t>
    </r>
    <r>
      <rPr>
        <sz val="9.5"/>
        <color rgb="FFB9C1D1"/>
        <rFont val="Noto Sans CJK SC"/>
        <family val="2"/>
      </rPr>
      <t xml:space="preserve">軸（横線）と</t>
    </r>
    <r>
      <rPr>
        <sz val="9.5"/>
        <color rgb="FFB9C1D1"/>
        <rFont val="Arial"/>
        <family val="0"/>
        <charset val="1"/>
      </rPr>
      <t xml:space="preserve">Y</t>
    </r>
    <r>
      <rPr>
        <sz val="9.5"/>
        <color rgb="FFB9C1D1"/>
        <rFont val="Noto Sans CJK SC"/>
        <family val="2"/>
      </rPr>
      <t xml:space="preserve">軸（縦線）を引く。</t>
    </r>
  </si>
  <si>
    <r>
      <rPr>
        <sz val="9.5"/>
        <color rgb="FFB9C1D1"/>
        <rFont val="Noto Sans CJK SC"/>
        <family val="2"/>
      </rPr>
      <t xml:space="preserve">　　② パッドを方眼紙に置き、鉛筆で輪郭をなぞる。ペン先が傾くと </t>
    </r>
    <r>
      <rPr>
        <sz val="9.5"/>
        <color rgb="FFB9C1D1"/>
        <rFont val="Arial"/>
        <family val="0"/>
        <charset val="1"/>
      </rPr>
      <t xml:space="preserve">0.5mm </t>
    </r>
    <r>
      <rPr>
        <sz val="9.5"/>
        <color rgb="FFB9C1D1"/>
        <rFont val="Noto Sans CJK SC"/>
        <family val="2"/>
      </rPr>
      <t xml:space="preserve">ずれるので、鉛筆は立てる。</t>
    </r>
  </si>
  <si>
    <r>
      <rPr>
        <sz val="9.5"/>
        <color rgb="FFB9C1D1"/>
        <rFont val="Noto Sans CJK SC"/>
        <family val="2"/>
      </rPr>
      <t xml:space="preserve">　　③ パッドをどけて、なぞった線の「角」に●印を付け、時計回り（または反時計回り）に </t>
    </r>
    <r>
      <rPr>
        <sz val="9.5"/>
        <color rgb="FFB9C1D1"/>
        <rFont val="Arial"/>
        <family val="0"/>
        <charset val="1"/>
      </rPr>
      <t xml:space="preserve">1,2,3… </t>
    </r>
    <r>
      <rPr>
        <sz val="9.5"/>
        <color rgb="FFB9C1D1"/>
        <rFont val="Noto Sans CJK SC"/>
        <family val="2"/>
      </rPr>
      <t xml:space="preserve">と番号を振る。</t>
    </r>
  </si>
  <si>
    <r>
      <rPr>
        <sz val="9.5"/>
        <color rgb="FFB9C1D1"/>
        <rFont val="Noto Sans CJK SC"/>
        <family val="2"/>
      </rPr>
      <t xml:space="preserve">　　④ 各●の </t>
    </r>
    <r>
      <rPr>
        <sz val="9.5"/>
        <color rgb="FFB9C1D1"/>
        <rFont val="Arial"/>
        <family val="0"/>
        <charset val="1"/>
      </rPr>
      <t xml:space="preserve">X,Y </t>
    </r>
    <r>
      <rPr>
        <sz val="9.5"/>
        <color rgb="FFB9C1D1"/>
        <rFont val="Noto Sans CJK SC"/>
        <family val="2"/>
      </rPr>
      <t xml:space="preserve">を方眼から読み取る。もしくは定規で軸からの距離を測る。</t>
    </r>
  </si>
  <si>
    <r>
      <rPr>
        <sz val="9.5"/>
        <color rgb="FFB9C1D1"/>
        <rFont val="Noto Sans CJK SC"/>
        <family val="2"/>
      </rPr>
      <t xml:space="preserve">　　⑤ 番号順に「形状」シートの </t>
    </r>
    <r>
      <rPr>
        <sz val="9.5"/>
        <color rgb="FFB9C1D1"/>
        <rFont val="Arial"/>
        <family val="0"/>
        <charset val="1"/>
      </rPr>
      <t xml:space="preserve">B5</t>
    </r>
    <r>
      <rPr>
        <sz val="9.5"/>
        <color rgb="FFB9C1D1"/>
        <rFont val="Noto Sans CJK SC"/>
        <family val="2"/>
      </rPr>
      <t xml:space="preserve">（</t>
    </r>
    <r>
      <rPr>
        <sz val="9.5"/>
        <color rgb="FFB9C1D1"/>
        <rFont val="Arial"/>
        <family val="0"/>
        <charset val="1"/>
      </rPr>
      <t xml:space="preserve">X</t>
    </r>
    <r>
      <rPr>
        <sz val="9.5"/>
        <color rgb="FFB9C1D1"/>
        <rFont val="Noto Sans CJK SC"/>
        <family val="2"/>
      </rPr>
      <t xml:space="preserve">）と </t>
    </r>
    <r>
      <rPr>
        <sz val="9.5"/>
        <color rgb="FFB9C1D1"/>
        <rFont val="Arial"/>
        <family val="0"/>
        <charset val="1"/>
      </rPr>
      <t xml:space="preserve">C5</t>
    </r>
    <r>
      <rPr>
        <sz val="9.5"/>
        <color rgb="FFB9C1D1"/>
        <rFont val="Noto Sans CJK SC"/>
        <family val="2"/>
      </rPr>
      <t xml:space="preserve">（</t>
    </r>
    <r>
      <rPr>
        <sz val="9.5"/>
        <color rgb="FFB9C1D1"/>
        <rFont val="Arial"/>
        <family val="0"/>
        <charset val="1"/>
      </rPr>
      <t xml:space="preserve">Y</t>
    </r>
    <r>
      <rPr>
        <sz val="9.5"/>
        <color rgb="FFB9C1D1"/>
        <rFont val="Noto Sans CJK SC"/>
        <family val="2"/>
      </rPr>
      <t xml:space="preserve">）から下へ入力する。</t>
    </r>
  </si>
  <si>
    <t xml:space="preserve">　◆ ノギス直測法（方眼紙が無いとき）</t>
  </si>
  <si>
    <t xml:space="preserve">　　全長（左端〜右端）、全高（下端〜上端）、耳の出っ張り量、爪の位置と大きさ、をノギスで測って、</t>
  </si>
  <si>
    <t xml:space="preserve">　　方眼紙に作図してから座標を拾う。結局は作図が要ります。</t>
  </si>
  <si>
    <r>
      <rPr>
        <b val="true"/>
        <sz val="12"/>
        <color rgb="FF7DB4FF"/>
        <rFont val="Arial"/>
        <family val="0"/>
        <charset val="1"/>
      </rPr>
      <t xml:space="preserve">■ §3 ★</t>
    </r>
    <r>
      <rPr>
        <b val="true"/>
        <sz val="12"/>
        <color rgb="FF7DB4FF"/>
        <rFont val="Noto Sans CJK SC"/>
        <family val="2"/>
      </rPr>
      <t xml:space="preserve">穴（あな）の測り方 — </t>
    </r>
    <r>
      <rPr>
        <b val="true"/>
        <sz val="12"/>
        <color rgb="FF7DB4FF"/>
        <rFont val="Arial"/>
        <family val="0"/>
        <charset val="1"/>
      </rPr>
      <t xml:space="preserve">2</t>
    </r>
    <r>
      <rPr>
        <b val="true"/>
        <sz val="12"/>
        <color rgb="FF7DB4FF"/>
        <rFont val="Noto Sans CJK SC"/>
        <family val="2"/>
      </rPr>
      <t xml:space="preserve">つの穴はこう測る</t>
    </r>
  </si>
  <si>
    <r>
      <rPr>
        <sz val="9.5"/>
        <color rgb="FFB9C1D1"/>
        <rFont val="Noto Sans CJK SC"/>
        <family val="2"/>
      </rPr>
      <t xml:space="preserve">　測るのは</t>
    </r>
    <r>
      <rPr>
        <sz val="9.5"/>
        <color rgb="FFB9C1D1"/>
        <rFont val="Arial"/>
        <family val="0"/>
        <charset val="1"/>
      </rPr>
      <t xml:space="preserve">3</t>
    </r>
    <r>
      <rPr>
        <sz val="9.5"/>
        <color rgb="FFB9C1D1"/>
        <rFont val="Noto Sans CJK SC"/>
        <family val="2"/>
      </rPr>
      <t xml:space="preserve">つだけ：① 直径 </t>
    </r>
    <r>
      <rPr>
        <sz val="9.5"/>
        <color rgb="FFB9C1D1"/>
        <rFont val="Arial"/>
        <family val="0"/>
        <charset val="1"/>
      </rPr>
      <t xml:space="preserve">d ② </t>
    </r>
    <r>
      <rPr>
        <sz val="9.5"/>
        <color rgb="FFB9C1D1"/>
        <rFont val="Noto Sans CJK SC"/>
        <family val="2"/>
      </rPr>
      <t xml:space="preserve">中心の </t>
    </r>
    <r>
      <rPr>
        <sz val="9.5"/>
        <color rgb="FFB9C1D1"/>
        <rFont val="Arial"/>
        <family val="0"/>
        <charset val="1"/>
      </rPr>
      <t xml:space="preserve">X ③ </t>
    </r>
    <r>
      <rPr>
        <sz val="9.5"/>
        <color rgb="FFB9C1D1"/>
        <rFont val="Noto Sans CJK SC"/>
        <family val="2"/>
      </rPr>
      <t xml:space="preserve">中心の </t>
    </r>
    <r>
      <rPr>
        <sz val="9.5"/>
        <color rgb="FFB9C1D1"/>
        <rFont val="Arial"/>
        <family val="0"/>
        <charset val="1"/>
      </rPr>
      <t xml:space="preserve">Y</t>
    </r>
    <r>
      <rPr>
        <sz val="9.5"/>
        <color rgb="FFB9C1D1"/>
        <rFont val="Noto Sans CJK SC"/>
        <family val="2"/>
      </rPr>
      <t xml:space="preserve">。これを穴ごとに</t>
    </r>
    <r>
      <rPr>
        <sz val="9.5"/>
        <color rgb="FFB9C1D1"/>
        <rFont val="Arial"/>
        <family val="0"/>
        <charset val="1"/>
      </rPr>
      <t xml:space="preserve">1</t>
    </r>
    <r>
      <rPr>
        <sz val="9.5"/>
        <color rgb="FFB9C1D1"/>
        <rFont val="Noto Sans CJK SC"/>
        <family val="2"/>
      </rPr>
      <t xml:space="preserve">行ずつ入れます。</t>
    </r>
  </si>
  <si>
    <r>
      <rPr>
        <sz val="9.5"/>
        <color rgb="FFB9C1D1"/>
        <rFont val="Noto Sans CJK SC"/>
        <family val="2"/>
      </rPr>
      <t xml:space="preserve">　◆ ① 直径 </t>
    </r>
    <r>
      <rPr>
        <sz val="9.5"/>
        <color rgb="FFB9C1D1"/>
        <rFont val="Arial"/>
        <family val="0"/>
        <charset val="1"/>
      </rPr>
      <t xml:space="preserve">d </t>
    </r>
    <r>
      <rPr>
        <sz val="9.5"/>
        <color rgb="FFB9C1D1"/>
        <rFont val="Noto Sans CJK SC"/>
        <family val="2"/>
      </rPr>
      <t xml:space="preserve">の測り方（ここが初心者の一番の落とし穴）</t>
    </r>
  </si>
  <si>
    <r>
      <rPr>
        <sz val="9.5"/>
        <color rgb="FFB9C1D1"/>
        <rFont val="Noto Sans CJK SC"/>
        <family val="2"/>
      </rPr>
      <t xml:space="preserve">　　ノギスの上側にある細くとがった</t>
    </r>
    <r>
      <rPr>
        <sz val="9.5"/>
        <color rgb="FFB9C1D1"/>
        <rFont val="Arial"/>
        <family val="0"/>
        <charset val="1"/>
      </rPr>
      <t xml:space="preserve">2</t>
    </r>
    <r>
      <rPr>
        <sz val="9.5"/>
        <color rgb="FFB9C1D1"/>
        <rFont val="Noto Sans CJK SC"/>
        <family val="2"/>
      </rPr>
      <t xml:space="preserve">本のツメ（内側用ジョウ）を穴に差し込み、静かに広げて、</t>
    </r>
  </si>
  <si>
    <t xml:space="preserve">　　いちばん大きい値になったところを読む。これが内径＝直径です。</t>
  </si>
  <si>
    <t xml:space="preserve">　　※ 下側の大きいジョウ（外側用）で測ってはいけません。あれは外寸用です。</t>
  </si>
  <si>
    <r>
      <rPr>
        <sz val="9.5"/>
        <color rgb="FFB9C1D1"/>
        <rFont val="Noto Sans CJK SC"/>
        <family val="2"/>
      </rPr>
      <t xml:space="preserve">　　※ 向きを変えて</t>
    </r>
    <r>
      <rPr>
        <sz val="9.5"/>
        <color rgb="FFB9C1D1"/>
        <rFont val="Arial"/>
        <family val="0"/>
        <charset val="1"/>
      </rPr>
      <t xml:space="preserve">3</t>
    </r>
    <r>
      <rPr>
        <sz val="9.5"/>
        <color rgb="FFB9C1D1"/>
        <rFont val="Noto Sans CJK SC"/>
        <family val="2"/>
      </rPr>
      <t xml:space="preserve">回測り、平均を取ってください。穴は真円でないことが普通です（</t>
    </r>
    <r>
      <rPr>
        <sz val="9.5"/>
        <color rgb="FFB9C1D1"/>
        <rFont val="Arial"/>
        <family val="0"/>
        <charset val="1"/>
      </rPr>
      <t xml:space="preserve">±0.1mm </t>
    </r>
    <r>
      <rPr>
        <sz val="9.5"/>
        <color rgb="FFB9C1D1"/>
        <rFont val="Noto Sans CJK SC"/>
        <family val="2"/>
      </rPr>
      <t xml:space="preserve">はざら）。</t>
    </r>
  </si>
  <si>
    <t xml:space="preserve">　　※ ノギスが無い／穴が小さいときは、穴にぴったり入るドリルの刃（またはピンゲージ）を探して、その刃の直径を読む手もあります。</t>
  </si>
  <si>
    <r>
      <rPr>
        <sz val="9.5"/>
        <color rgb="FFB9C1D1"/>
        <rFont val="Noto Sans CJK SC"/>
        <family val="2"/>
      </rPr>
      <t xml:space="preserve">　◆ ② ③ 中心 </t>
    </r>
    <r>
      <rPr>
        <sz val="9.5"/>
        <color rgb="FFB9C1D1"/>
        <rFont val="Arial"/>
        <family val="0"/>
        <charset val="1"/>
      </rPr>
      <t xml:space="preserve">X,Y </t>
    </r>
    <r>
      <rPr>
        <sz val="9.5"/>
        <color rgb="FFB9C1D1"/>
        <rFont val="Noto Sans CJK SC"/>
        <family val="2"/>
      </rPr>
      <t xml:space="preserve">の測り方（直接は測れないので、端からの距離で出す）</t>
    </r>
  </si>
  <si>
    <r>
      <rPr>
        <sz val="9.5"/>
        <color rgb="FFB9C1D1"/>
        <rFont val="Noto Sans CJK SC"/>
        <family val="2"/>
      </rPr>
      <t xml:space="preserve">　　方法</t>
    </r>
    <r>
      <rPr>
        <sz val="9.5"/>
        <color rgb="FFB9C1D1"/>
        <rFont val="Arial"/>
        <family val="0"/>
        <charset val="1"/>
      </rPr>
      <t xml:space="preserve">A</t>
    </r>
    <r>
      <rPr>
        <sz val="9.5"/>
        <color rgb="FFB9C1D1"/>
        <rFont val="Noto Sans CJK SC"/>
        <family val="2"/>
      </rPr>
      <t xml:space="preserve">（おすすめ・引き算法）：</t>
    </r>
  </si>
  <si>
    <r>
      <rPr>
        <sz val="9.5"/>
        <color rgb="FFB9C1D1"/>
        <rFont val="Noto Sans CJK SC"/>
        <family val="2"/>
      </rPr>
      <t xml:space="preserve">　　　左端から穴の左ふちまでの距離 </t>
    </r>
    <r>
      <rPr>
        <sz val="9.5"/>
        <color rgb="FFB9C1D1"/>
        <rFont val="Arial"/>
        <family val="0"/>
        <charset val="1"/>
      </rPr>
      <t xml:space="preserve">A </t>
    </r>
    <r>
      <rPr>
        <sz val="9.5"/>
        <color rgb="FFB9C1D1"/>
        <rFont val="Noto Sans CJK SC"/>
        <family val="2"/>
      </rPr>
      <t xml:space="preserve">をノギスで測る。次に左端から穴の右ふちまでの距離 </t>
    </r>
    <r>
      <rPr>
        <sz val="9.5"/>
        <color rgb="FFB9C1D1"/>
        <rFont val="Arial"/>
        <family val="0"/>
        <charset val="1"/>
      </rPr>
      <t xml:space="preserve">B </t>
    </r>
    <r>
      <rPr>
        <sz val="9.5"/>
        <color rgb="FFB9C1D1"/>
        <rFont val="Noto Sans CJK SC"/>
        <family val="2"/>
      </rPr>
      <t xml:space="preserve">を測る。</t>
    </r>
  </si>
  <si>
    <r>
      <rPr>
        <sz val="9.5"/>
        <color rgb="FFB9C1D1"/>
        <rFont val="Noto Sans CJK SC"/>
        <family val="2"/>
      </rPr>
      <t xml:space="preserve">　　　中心</t>
    </r>
    <r>
      <rPr>
        <sz val="9.5"/>
        <color rgb="FFB9C1D1"/>
        <rFont val="Arial"/>
        <family val="0"/>
        <charset val="1"/>
      </rPr>
      <t xml:space="preserve">X</t>
    </r>
    <r>
      <rPr>
        <sz val="9.5"/>
        <color rgb="FFB9C1D1"/>
        <rFont val="Noto Sans CJK SC"/>
        <family val="2"/>
      </rPr>
      <t xml:space="preserve">＝</t>
    </r>
    <r>
      <rPr>
        <sz val="9.5"/>
        <color rgb="FFB9C1D1"/>
        <rFont val="Arial"/>
        <family val="0"/>
        <charset val="1"/>
      </rPr>
      <t xml:space="preserve">(A</t>
    </r>
    <r>
      <rPr>
        <sz val="9.5"/>
        <color rgb="FFB9C1D1"/>
        <rFont val="Noto Sans CJK SC"/>
        <family val="2"/>
      </rPr>
      <t xml:space="preserve">＋</t>
    </r>
    <r>
      <rPr>
        <sz val="9.5"/>
        <color rgb="FFB9C1D1"/>
        <rFont val="Arial"/>
        <family val="0"/>
        <charset val="1"/>
      </rPr>
      <t xml:space="preserve">B)÷2 </t>
    </r>
    <r>
      <rPr>
        <sz val="9.5"/>
        <color rgb="FFB9C1D1"/>
        <rFont val="Noto Sans CJK SC"/>
        <family val="2"/>
      </rPr>
      <t xml:space="preserve">＋（左端の</t>
    </r>
    <r>
      <rPr>
        <sz val="9.5"/>
        <color rgb="FFB9C1D1"/>
        <rFont val="Arial"/>
        <family val="0"/>
        <charset val="1"/>
      </rPr>
      <t xml:space="preserve">X</t>
    </r>
    <r>
      <rPr>
        <sz val="9.5"/>
        <color rgb="FFB9C1D1"/>
        <rFont val="Noto Sans CJK SC"/>
        <family val="2"/>
      </rPr>
      <t xml:space="preserve">座標）。 同じことを上下でやれば 中心</t>
    </r>
    <r>
      <rPr>
        <sz val="9.5"/>
        <color rgb="FFB9C1D1"/>
        <rFont val="Arial"/>
        <family val="0"/>
        <charset val="1"/>
      </rPr>
      <t xml:space="preserve">Y </t>
    </r>
    <r>
      <rPr>
        <sz val="9.5"/>
        <color rgb="FFB9C1D1"/>
        <rFont val="Noto Sans CJK SC"/>
        <family val="2"/>
      </rPr>
      <t xml:space="preserve">が出ます。</t>
    </r>
  </si>
  <si>
    <r>
      <rPr>
        <sz val="9.5"/>
        <color rgb="FFB9C1D1"/>
        <rFont val="Noto Sans CJK SC"/>
        <family val="2"/>
      </rPr>
      <t xml:space="preserve">　　　※ </t>
    </r>
    <r>
      <rPr>
        <sz val="9.5"/>
        <color rgb="FFB9C1D1"/>
        <rFont val="Arial"/>
        <family val="0"/>
        <charset val="1"/>
      </rPr>
      <t xml:space="preserve">(B−A) </t>
    </r>
    <r>
      <rPr>
        <sz val="9.5"/>
        <color rgb="FFB9C1D1"/>
        <rFont val="Noto Sans CJK SC"/>
        <family val="2"/>
      </rPr>
      <t xml:space="preserve">は直径と一致するはず。ここが合っていれば測り方は正しい、というセルフチェックになります。</t>
    </r>
  </si>
  <si>
    <r>
      <rPr>
        <sz val="9.5"/>
        <color rgb="FFB9C1D1"/>
        <rFont val="Noto Sans CJK SC"/>
        <family val="2"/>
      </rPr>
      <t xml:space="preserve">　　方法</t>
    </r>
    <r>
      <rPr>
        <sz val="9.5"/>
        <color rgb="FFB9C1D1"/>
        <rFont val="Arial"/>
        <family val="0"/>
        <charset val="1"/>
      </rPr>
      <t xml:space="preserve">B</t>
    </r>
    <r>
      <rPr>
        <sz val="9.5"/>
        <color rgb="FFB9C1D1"/>
        <rFont val="Noto Sans CJK SC"/>
        <family val="2"/>
      </rPr>
      <t xml:space="preserve">（方眼紙法）：</t>
    </r>
  </si>
  <si>
    <r>
      <rPr>
        <sz val="9.5"/>
        <color rgb="FFB9C1D1"/>
        <rFont val="Noto Sans CJK SC"/>
        <family val="2"/>
      </rPr>
      <t xml:space="preserve">　　　</t>
    </r>
    <r>
      <rPr>
        <sz val="9.5"/>
        <color rgb="FFB9C1D1"/>
        <rFont val="Arial"/>
        <family val="0"/>
        <charset val="1"/>
      </rPr>
      <t xml:space="preserve">§2</t>
    </r>
    <r>
      <rPr>
        <sz val="9.5"/>
        <color rgb="FFB9C1D1"/>
        <rFont val="Noto Sans CJK SC"/>
        <family val="2"/>
      </rPr>
      <t xml:space="preserve">でなぞった輪郭紙のうえに、穴の丸も鉛筆でなぞる。あとで円の左右端・上下端を読み、その中間を取る。</t>
    </r>
  </si>
  <si>
    <t xml:space="preserve">　◆ 入れる場所（★ここが質問の答え）</t>
  </si>
  <si>
    <t xml:space="preserve">　　「形状」シートを下にスクロールすると ■ 穴（あな）の入力 という見出しがあります。</t>
  </si>
  <si>
    <r>
      <rPr>
        <sz val="9.5"/>
        <color rgb="FFB9C1D1"/>
        <rFont val="Noto Sans CJK SC"/>
        <family val="2"/>
      </rPr>
      <t xml:space="preserve">　　　</t>
    </r>
    <r>
      <rPr>
        <sz val="9.5"/>
        <color rgb="FFB9C1D1"/>
        <rFont val="Arial"/>
        <family val="0"/>
        <charset val="1"/>
      </rPr>
      <t xml:space="preserve">B55</t>
    </r>
    <r>
      <rPr>
        <sz val="9.5"/>
        <color rgb="FFB9C1D1"/>
        <rFont val="Noto Sans CJK SC"/>
        <family val="2"/>
      </rPr>
      <t xml:space="preserve">（使用</t>
    </r>
    <r>
      <rPr>
        <sz val="9.5"/>
        <color rgb="FFB9C1D1"/>
        <rFont val="Arial"/>
        <family val="0"/>
        <charset val="1"/>
      </rPr>
      <t xml:space="preserve">1/0</t>
    </r>
    <r>
      <rPr>
        <sz val="9.5"/>
        <color rgb="FFB9C1D1"/>
        <rFont val="Noto Sans CJK SC"/>
        <family val="2"/>
      </rPr>
      <t xml:space="preserve">）… その穴を計算に入れるなら </t>
    </r>
    <r>
      <rPr>
        <sz val="9.5"/>
        <color rgb="FFB9C1D1"/>
        <rFont val="Arial"/>
        <family val="0"/>
        <charset val="1"/>
      </rPr>
      <t xml:space="preserve">1</t>
    </r>
    <r>
      <rPr>
        <sz val="9.5"/>
        <color rgb="FFB9C1D1"/>
        <rFont val="Noto Sans CJK SC"/>
        <family val="2"/>
      </rPr>
      <t xml:space="preserve">、使わないなら </t>
    </r>
    <r>
      <rPr>
        <sz val="9.5"/>
        <color rgb="FFB9C1D1"/>
        <rFont val="Arial"/>
        <family val="0"/>
        <charset val="1"/>
      </rPr>
      <t xml:space="preserve">0</t>
    </r>
  </si>
  <si>
    <r>
      <rPr>
        <sz val="9.5"/>
        <color rgb="FFB9C1D1"/>
        <rFont val="Noto Sans CJK SC"/>
        <family val="2"/>
      </rPr>
      <t xml:space="preserve">　　　</t>
    </r>
    <r>
      <rPr>
        <sz val="9.5"/>
        <color rgb="FFB9C1D1"/>
        <rFont val="Arial"/>
        <family val="0"/>
        <charset val="1"/>
      </rPr>
      <t xml:space="preserve">C55</t>
    </r>
    <r>
      <rPr>
        <sz val="9.5"/>
        <color rgb="FFB9C1D1"/>
        <rFont val="Noto Sans CJK SC"/>
        <family val="2"/>
      </rPr>
      <t xml:space="preserve">（中心</t>
    </r>
    <r>
      <rPr>
        <sz val="9.5"/>
        <color rgb="FFB9C1D1"/>
        <rFont val="Arial"/>
        <family val="0"/>
        <charset val="1"/>
      </rPr>
      <t xml:space="preserve">X</t>
    </r>
    <r>
      <rPr>
        <sz val="9.5"/>
        <color rgb="FFB9C1D1"/>
        <rFont val="Noto Sans CJK SC"/>
        <family val="2"/>
      </rPr>
      <t xml:space="preserve">）… 穴</t>
    </r>
    <r>
      <rPr>
        <sz val="9.5"/>
        <color rgb="FFB9C1D1"/>
        <rFont val="Arial"/>
        <family val="0"/>
        <charset val="1"/>
      </rPr>
      <t xml:space="preserve">1</t>
    </r>
    <r>
      <rPr>
        <sz val="9.5"/>
        <color rgb="FFB9C1D1"/>
        <rFont val="Noto Sans CJK SC"/>
        <family val="2"/>
      </rPr>
      <t xml:space="preserve">の中心の</t>
    </r>
    <r>
      <rPr>
        <sz val="9.5"/>
        <color rgb="FFB9C1D1"/>
        <rFont val="Arial"/>
        <family val="0"/>
        <charset val="1"/>
      </rPr>
      <t xml:space="preserve">X</t>
    </r>
    <r>
      <rPr>
        <sz val="9.5"/>
        <color rgb="FFB9C1D1"/>
        <rFont val="Noto Sans CJK SC"/>
        <family val="2"/>
      </rPr>
      <t xml:space="preserve">座標 </t>
    </r>
    <r>
      <rPr>
        <sz val="9.5"/>
        <color rgb="FFB9C1D1"/>
        <rFont val="Arial"/>
        <family val="0"/>
        <charset val="1"/>
      </rPr>
      <t xml:space="preserve">[mm]</t>
    </r>
  </si>
  <si>
    <r>
      <rPr>
        <sz val="9.5"/>
        <color rgb="FFB9C1D1"/>
        <rFont val="Noto Sans CJK SC"/>
        <family val="2"/>
      </rPr>
      <t xml:space="preserve">　　　</t>
    </r>
    <r>
      <rPr>
        <sz val="9.5"/>
        <color rgb="FFB9C1D1"/>
        <rFont val="Arial"/>
        <family val="0"/>
        <charset val="1"/>
      </rPr>
      <t xml:space="preserve">D55</t>
    </r>
    <r>
      <rPr>
        <sz val="9.5"/>
        <color rgb="FFB9C1D1"/>
        <rFont val="Noto Sans CJK SC"/>
        <family val="2"/>
      </rPr>
      <t xml:space="preserve">（中心</t>
    </r>
    <r>
      <rPr>
        <sz val="9.5"/>
        <color rgb="FFB9C1D1"/>
        <rFont val="Arial"/>
        <family val="0"/>
        <charset val="1"/>
      </rPr>
      <t xml:space="preserve">Y</t>
    </r>
    <r>
      <rPr>
        <sz val="9.5"/>
        <color rgb="FFB9C1D1"/>
        <rFont val="Noto Sans CJK SC"/>
        <family val="2"/>
      </rPr>
      <t xml:space="preserve">）… 穴</t>
    </r>
    <r>
      <rPr>
        <sz val="9.5"/>
        <color rgb="FFB9C1D1"/>
        <rFont val="Arial"/>
        <family val="0"/>
        <charset val="1"/>
      </rPr>
      <t xml:space="preserve">1</t>
    </r>
    <r>
      <rPr>
        <sz val="9.5"/>
        <color rgb="FFB9C1D1"/>
        <rFont val="Noto Sans CJK SC"/>
        <family val="2"/>
      </rPr>
      <t xml:space="preserve">の中心の</t>
    </r>
    <r>
      <rPr>
        <sz val="9.5"/>
        <color rgb="FFB9C1D1"/>
        <rFont val="Arial"/>
        <family val="0"/>
        <charset val="1"/>
      </rPr>
      <t xml:space="preserve">Y</t>
    </r>
    <r>
      <rPr>
        <sz val="9.5"/>
        <color rgb="FFB9C1D1"/>
        <rFont val="Noto Sans CJK SC"/>
        <family val="2"/>
      </rPr>
      <t xml:space="preserve">座標 </t>
    </r>
    <r>
      <rPr>
        <sz val="9.5"/>
        <color rgb="FFB9C1D1"/>
        <rFont val="Arial"/>
        <family val="0"/>
        <charset val="1"/>
      </rPr>
      <t xml:space="preserve">[mm]</t>
    </r>
  </si>
  <si>
    <r>
      <rPr>
        <sz val="9.5"/>
        <color rgb="FFB9C1D1"/>
        <rFont val="Noto Sans CJK SC"/>
        <family val="2"/>
      </rPr>
      <t xml:space="preserve">　　　</t>
    </r>
    <r>
      <rPr>
        <sz val="9.5"/>
        <color rgb="FFB9C1D1"/>
        <rFont val="Arial"/>
        <family val="0"/>
        <charset val="1"/>
      </rPr>
      <t xml:space="preserve">E55</t>
    </r>
    <r>
      <rPr>
        <sz val="9.5"/>
        <color rgb="FFB9C1D1"/>
        <rFont val="Noto Sans CJK SC"/>
        <family val="2"/>
      </rPr>
      <t xml:space="preserve">（直径 </t>
    </r>
    <r>
      <rPr>
        <sz val="9.5"/>
        <color rgb="FFB9C1D1"/>
        <rFont val="Arial"/>
        <family val="0"/>
        <charset val="1"/>
      </rPr>
      <t xml:space="preserve">d</t>
    </r>
    <r>
      <rPr>
        <sz val="9.5"/>
        <color rgb="FFB9C1D1"/>
        <rFont val="Noto Sans CJK SC"/>
        <family val="2"/>
      </rPr>
      <t xml:space="preserve">）… 穴</t>
    </r>
    <r>
      <rPr>
        <sz val="9.5"/>
        <color rgb="FFB9C1D1"/>
        <rFont val="Arial"/>
        <family val="0"/>
        <charset val="1"/>
      </rPr>
      <t xml:space="preserve">1</t>
    </r>
    <r>
      <rPr>
        <sz val="9.5"/>
        <color rgb="FFB9C1D1"/>
        <rFont val="Noto Sans CJK SC"/>
        <family val="2"/>
      </rPr>
      <t xml:space="preserve">の直径 </t>
    </r>
    <r>
      <rPr>
        <sz val="9.5"/>
        <color rgb="FFB9C1D1"/>
        <rFont val="Arial"/>
        <family val="0"/>
        <charset val="1"/>
      </rPr>
      <t xml:space="preserve">[mm]</t>
    </r>
  </si>
  <si>
    <r>
      <rPr>
        <sz val="9.5"/>
        <color rgb="FFB9C1D1"/>
        <rFont val="Noto Sans CJK SC"/>
        <family val="2"/>
      </rPr>
      <t xml:space="preserve">　　　</t>
    </r>
    <r>
      <rPr>
        <sz val="9.5"/>
        <color rgb="FFB9C1D1"/>
        <rFont val="Arial"/>
        <family val="0"/>
        <charset val="1"/>
      </rPr>
      <t xml:space="preserve">56</t>
    </r>
    <r>
      <rPr>
        <sz val="9.5"/>
        <color rgb="FFB9C1D1"/>
        <rFont val="Noto Sans CJK SC"/>
        <family val="2"/>
      </rPr>
      <t xml:space="preserve">行目が穴</t>
    </r>
    <r>
      <rPr>
        <sz val="9.5"/>
        <color rgb="FFB9C1D1"/>
        <rFont val="Arial"/>
        <family val="0"/>
        <charset val="1"/>
      </rPr>
      <t xml:space="preserve">2</t>
    </r>
    <r>
      <rPr>
        <sz val="9.5"/>
        <color rgb="FFB9C1D1"/>
        <rFont val="Noto Sans CJK SC"/>
        <family val="2"/>
      </rPr>
      <t xml:space="preserve">、</t>
    </r>
    <r>
      <rPr>
        <sz val="9.5"/>
        <color rgb="FFB9C1D1"/>
        <rFont val="Arial"/>
        <family val="0"/>
        <charset val="1"/>
      </rPr>
      <t xml:space="preserve">57</t>
    </r>
    <r>
      <rPr>
        <sz val="9.5"/>
        <color rgb="FFB9C1D1"/>
        <rFont val="Noto Sans CJK SC"/>
        <family val="2"/>
      </rPr>
      <t xml:space="preserve">・</t>
    </r>
    <r>
      <rPr>
        <sz val="9.5"/>
        <color rgb="FFB9C1D1"/>
        <rFont val="Arial"/>
        <family val="0"/>
        <charset val="1"/>
      </rPr>
      <t xml:space="preserve">58</t>
    </r>
    <r>
      <rPr>
        <sz val="9.5"/>
        <color rgb="FFB9C1D1"/>
        <rFont val="Noto Sans CJK SC"/>
        <family val="2"/>
      </rPr>
      <t xml:space="preserve">行目は予備（</t>
    </r>
    <r>
      <rPr>
        <sz val="9.5"/>
        <color rgb="FFB9C1D1"/>
        <rFont val="Arial"/>
        <family val="0"/>
        <charset val="1"/>
      </rPr>
      <t xml:space="preserve">3</t>
    </r>
    <r>
      <rPr>
        <sz val="9.5"/>
        <color rgb="FFB9C1D1"/>
        <rFont val="Noto Sans CJK SC"/>
        <family val="2"/>
      </rPr>
      <t xml:space="preserve">つ目・</t>
    </r>
    <r>
      <rPr>
        <sz val="9.5"/>
        <color rgb="FFB9C1D1"/>
        <rFont val="Arial"/>
        <family val="0"/>
        <charset val="1"/>
      </rPr>
      <t xml:space="preserve">4</t>
    </r>
    <r>
      <rPr>
        <sz val="9.5"/>
        <color rgb="FFB9C1D1"/>
        <rFont val="Noto Sans CJK SC"/>
        <family val="2"/>
      </rPr>
      <t xml:space="preserve">つ目の穴があるとき用）。</t>
    </r>
  </si>
  <si>
    <t xml:space="preserve">　　入れた瞬間に、面積・重心・断面二次モーメントから穴のぶんが自動で引かれ、</t>
  </si>
  <si>
    <t xml:space="preserve">　　「断面」→「固有振動数」→「スペクトル」まで全部つながって数字が変わります。</t>
  </si>
  <si>
    <r>
      <rPr>
        <b val="true"/>
        <sz val="12"/>
        <color rgb="FF7DB4FF"/>
        <rFont val="Arial"/>
        <family val="0"/>
        <charset val="1"/>
      </rPr>
      <t xml:space="preserve">■ §4 </t>
    </r>
    <r>
      <rPr>
        <b val="true"/>
        <sz val="12"/>
        <color rgb="FF7DB4FF"/>
        <rFont val="Noto Sans CJK SC"/>
        <family val="2"/>
      </rPr>
      <t xml:space="preserve">板厚（いたあつ）と質量の測り方</t>
    </r>
  </si>
  <si>
    <r>
      <rPr>
        <sz val="9.5"/>
        <color rgb="FFB9C1D1"/>
        <rFont val="Noto Sans CJK SC"/>
        <family val="2"/>
      </rPr>
      <t xml:space="preserve">　板厚 </t>
    </r>
    <r>
      <rPr>
        <sz val="9.5"/>
        <color rgb="FFB9C1D1"/>
        <rFont val="Arial"/>
        <family val="0"/>
        <charset val="1"/>
      </rPr>
      <t xml:space="preserve">t</t>
    </r>
    <r>
      <rPr>
        <sz val="9.5"/>
        <color rgb="FFB9C1D1"/>
        <rFont val="Noto Sans CJK SC"/>
        <family val="2"/>
      </rPr>
      <t xml:space="preserve">：ノギス（できればマイクロメータ）で、パッドの上・中・下の</t>
    </r>
    <r>
      <rPr>
        <sz val="9.5"/>
        <color rgb="FFB9C1D1"/>
        <rFont val="Arial"/>
        <family val="0"/>
        <charset val="1"/>
      </rPr>
      <t xml:space="preserve">3</t>
    </r>
    <r>
      <rPr>
        <sz val="9.5"/>
        <color rgb="FFB9C1D1"/>
        <rFont val="Noto Sans CJK SC"/>
        <family val="2"/>
      </rPr>
      <t xml:space="preserve">点を測って平均。</t>
    </r>
  </si>
  <si>
    <r>
      <rPr>
        <sz val="9.5"/>
        <color rgb="FFB9C1D1"/>
        <rFont val="Noto Sans CJK SC"/>
        <family val="2"/>
      </rPr>
      <t xml:space="preserve">　　　　　プレス品は場所で </t>
    </r>
    <r>
      <rPr>
        <sz val="9.5"/>
        <color rgb="FFB9C1D1"/>
        <rFont val="Arial"/>
        <family val="0"/>
        <charset val="1"/>
      </rPr>
      <t xml:space="preserve">0.05</t>
    </r>
    <r>
      <rPr>
        <sz val="9.5"/>
        <color rgb="FFB9C1D1"/>
        <rFont val="Noto Sans CJK SC"/>
        <family val="2"/>
      </rPr>
      <t xml:space="preserve">〜</t>
    </r>
    <r>
      <rPr>
        <sz val="9.5"/>
        <color rgb="FFB9C1D1"/>
        <rFont val="Arial"/>
        <family val="0"/>
        <charset val="1"/>
      </rPr>
      <t xml:space="preserve">0.2mm </t>
    </r>
    <r>
      <rPr>
        <sz val="9.5"/>
        <color rgb="FFB9C1D1"/>
        <rFont val="Noto Sans CJK SC"/>
        <family val="2"/>
      </rPr>
      <t xml:space="preserve">ちがいます。平均値を「断面」シート </t>
    </r>
    <r>
      <rPr>
        <sz val="9.5"/>
        <color rgb="FFB9C1D1"/>
        <rFont val="Arial"/>
        <family val="0"/>
        <charset val="1"/>
      </rPr>
      <t xml:space="preserve">D11</t>
    </r>
    <r>
      <rPr>
        <sz val="9.5"/>
        <color rgb="FFB9C1D1"/>
        <rFont val="Noto Sans CJK SC"/>
        <family val="2"/>
      </rPr>
      <t xml:space="preserve">（</t>
    </r>
    <r>
      <rPr>
        <sz val="9.5"/>
        <color rgb="FFB9C1D1"/>
        <rFont val="Arial"/>
        <family val="0"/>
        <charset val="1"/>
      </rPr>
      <t xml:space="preserve">2: </t>
    </r>
    <r>
      <rPr>
        <sz val="9.5"/>
        <color rgb="FFB9C1D1"/>
        <rFont val="Noto Sans CJK SC"/>
        <family val="2"/>
      </rPr>
      <t xml:space="preserve">裏板の厚さ）に入れる。</t>
    </r>
  </si>
  <si>
    <r>
      <rPr>
        <sz val="9.5"/>
        <color rgb="FFB9C1D1"/>
        <rFont val="Noto Sans CJK SC"/>
        <family val="2"/>
      </rPr>
      <t xml:space="preserve">　シム厚：シムを付けて測るときだけ。断面シート </t>
    </r>
    <r>
      <rPr>
        <sz val="9.5"/>
        <color rgb="FFB9C1D1"/>
        <rFont val="Arial"/>
        <family val="0"/>
        <charset val="1"/>
      </rPr>
      <t xml:space="preserve">D10 </t>
    </r>
    <r>
      <rPr>
        <sz val="9.5"/>
        <color rgb="FFB9C1D1"/>
        <rFont val="Noto Sans CJK SC"/>
        <family val="2"/>
      </rPr>
      <t xml:space="preserve">に入れ、</t>
    </r>
    <r>
      <rPr>
        <sz val="9.5"/>
        <color rgb="FFB9C1D1"/>
        <rFont val="Arial"/>
        <family val="0"/>
        <charset val="1"/>
      </rPr>
      <t xml:space="preserve">B10 </t>
    </r>
    <r>
      <rPr>
        <sz val="9.5"/>
        <color rgb="FFB9C1D1"/>
        <rFont val="Noto Sans CJK SC"/>
        <family val="2"/>
      </rPr>
      <t xml:space="preserve">を </t>
    </r>
    <r>
      <rPr>
        <sz val="9.5"/>
        <color rgb="FFB9C1D1"/>
        <rFont val="Arial"/>
        <family val="0"/>
        <charset val="1"/>
      </rPr>
      <t xml:space="preserve">1 </t>
    </r>
    <r>
      <rPr>
        <sz val="9.5"/>
        <color rgb="FFB9C1D1"/>
        <rFont val="Noto Sans CJK SC"/>
        <family val="2"/>
      </rPr>
      <t xml:space="preserve">にする。使わないなら </t>
    </r>
    <r>
      <rPr>
        <sz val="9.5"/>
        <color rgb="FFB9C1D1"/>
        <rFont val="Arial"/>
        <family val="0"/>
        <charset val="1"/>
      </rPr>
      <t xml:space="preserve">B10 </t>
    </r>
    <r>
      <rPr>
        <sz val="9.5"/>
        <color rgb="FFB9C1D1"/>
        <rFont val="Noto Sans CJK SC"/>
        <family val="2"/>
      </rPr>
      <t xml:space="preserve">は </t>
    </r>
    <r>
      <rPr>
        <sz val="9.5"/>
        <color rgb="FFB9C1D1"/>
        <rFont val="Arial"/>
        <family val="0"/>
        <charset val="1"/>
      </rPr>
      <t xml:space="preserve">0</t>
    </r>
    <r>
      <rPr>
        <sz val="9.5"/>
        <color rgb="FFB9C1D1"/>
        <rFont val="Noto Sans CJK SC"/>
        <family val="2"/>
      </rPr>
      <t xml:space="preserve">。</t>
    </r>
  </si>
  <si>
    <r>
      <rPr>
        <sz val="9.5"/>
        <color rgb="FFB9C1D1"/>
        <rFont val="Noto Sans CJK SC"/>
        <family val="2"/>
      </rPr>
      <t xml:space="preserve">　質量  ：電子天秤で </t>
    </r>
    <r>
      <rPr>
        <sz val="9.5"/>
        <color rgb="FFB9C1D1"/>
        <rFont val="Arial"/>
        <family val="0"/>
        <charset val="1"/>
      </rPr>
      <t xml:space="preserve">0.1g </t>
    </r>
    <r>
      <rPr>
        <sz val="9.5"/>
        <color rgb="FFB9C1D1"/>
        <rFont val="Noto Sans CJK SC"/>
        <family val="2"/>
      </rPr>
      <t xml:space="preserve">まで測り、「断面」シート </t>
    </r>
    <r>
      <rPr>
        <sz val="9.5"/>
        <color rgb="FFB9C1D1"/>
        <rFont val="Arial"/>
        <family val="0"/>
        <charset val="1"/>
      </rPr>
      <t xml:space="preserve">D33</t>
    </r>
    <r>
      <rPr>
        <sz val="9.5"/>
        <color rgb="FFB9C1D1"/>
        <rFont val="Noto Sans CJK SC"/>
        <family val="2"/>
      </rPr>
      <t xml:space="preserve">（実測質量）に入れる。</t>
    </r>
  </si>
  <si>
    <r>
      <rPr>
        <sz val="9.5"/>
        <color rgb="FFB9C1D1"/>
        <rFont val="Noto Sans CJK SC"/>
        <family val="2"/>
      </rPr>
      <t xml:space="preserve">　　　　　</t>
    </r>
    <r>
      <rPr>
        <sz val="9.5"/>
        <color rgb="FFB9C1D1"/>
        <rFont val="Arial"/>
        <family val="0"/>
        <charset val="1"/>
      </rPr>
      <t xml:space="preserve">D32 </t>
    </r>
    <r>
      <rPr>
        <sz val="9.5"/>
        <color rgb="FFB9C1D1"/>
        <rFont val="Noto Sans CJK SC"/>
        <family val="2"/>
      </rPr>
      <t xml:space="preserve">の予測質量と </t>
    </r>
    <r>
      <rPr>
        <sz val="9.5"/>
        <color rgb="FFB9C1D1"/>
        <rFont val="Arial"/>
        <family val="0"/>
        <charset val="1"/>
      </rPr>
      <t xml:space="preserve">±3% </t>
    </r>
    <r>
      <rPr>
        <sz val="9.5"/>
        <color rgb="FFB9C1D1"/>
        <rFont val="Noto Sans CJK SC"/>
        <family val="2"/>
      </rPr>
      <t xml:space="preserve">以内なら 🟢。外れたら「厚さ」「材質」「形状の座標」のどれかが間違っています。</t>
    </r>
  </si>
  <si>
    <t xml:space="preserve">　　　　　質量が合っていないのに周波数だけ合うことは、まずありません。ここが一番安いデバッグ方法です。</t>
  </si>
  <si>
    <r>
      <rPr>
        <b val="true"/>
        <sz val="12"/>
        <color rgb="FF7DB4FF"/>
        <rFont val="Arial"/>
        <family val="0"/>
        <charset val="1"/>
      </rPr>
      <t xml:space="preserve">■ §5 </t>
    </r>
    <r>
      <rPr>
        <b val="true"/>
        <sz val="12"/>
        <color rgb="FF7DB4FF"/>
        <rFont val="Noto Sans CJK SC"/>
        <family val="2"/>
      </rPr>
      <t xml:space="preserve">入力→結果の流れ（この矢印どおりに数字が伝わります）</t>
    </r>
  </si>
  <si>
    <r>
      <rPr>
        <sz val="10"/>
        <color rgb="FF7FE3A6"/>
        <rFont val="Noto Sans CJK SC"/>
        <family val="2"/>
      </rPr>
      <t xml:space="preserve">　［形状］外形</t>
    </r>
    <r>
      <rPr>
        <sz val="10"/>
        <color rgb="FF7FE3A6"/>
        <rFont val="Courier New"/>
        <family val="0"/>
        <charset val="1"/>
      </rPr>
      <t xml:space="preserve">24</t>
    </r>
    <r>
      <rPr>
        <sz val="10"/>
        <color rgb="FF7FE3A6"/>
        <rFont val="Noto Sans CJK SC"/>
        <family val="2"/>
      </rPr>
      <t xml:space="preserve">点＋穴</t>
    </r>
    <r>
      <rPr>
        <sz val="10"/>
        <color rgb="FF7FE3A6"/>
        <rFont val="Courier New"/>
        <family val="0"/>
        <charset val="1"/>
      </rPr>
      <t xml:space="preserve">4</t>
    </r>
    <r>
      <rPr>
        <sz val="10"/>
        <color rgb="FF7FE3A6"/>
        <rFont val="Noto Sans CJK SC"/>
        <family val="2"/>
      </rPr>
      <t xml:space="preserve">個  ──→  正味面積 </t>
    </r>
    <r>
      <rPr>
        <sz val="10"/>
        <color rgb="FF7FE3A6"/>
        <rFont val="Courier New"/>
        <family val="0"/>
        <charset val="1"/>
      </rPr>
      <t xml:space="preserve">A_net </t>
    </r>
    <r>
      <rPr>
        <sz val="10"/>
        <color rgb="FF7FE3A6"/>
        <rFont val="Noto Sans CJK SC"/>
        <family val="2"/>
      </rPr>
      <t xml:space="preserve">／ 正味</t>
    </r>
    <r>
      <rPr>
        <sz val="10"/>
        <color rgb="FF7FE3A6"/>
        <rFont val="Courier New"/>
        <family val="0"/>
        <charset val="1"/>
      </rPr>
      <t xml:space="preserve">Ixx </t>
    </r>
    <r>
      <rPr>
        <sz val="10"/>
        <color rgb="FF7FE3A6"/>
        <rFont val="Noto Sans CJK SC"/>
        <family val="2"/>
      </rPr>
      <t xml:space="preserve">／ 採用</t>
    </r>
    <r>
      <rPr>
        <sz val="10"/>
        <color rgb="FF7FE3A6"/>
        <rFont val="Courier New"/>
        <family val="0"/>
        <charset val="1"/>
      </rPr>
      <t xml:space="preserve">L </t>
    </r>
    <r>
      <rPr>
        <sz val="10"/>
        <color rgb="FF7FE3A6"/>
        <rFont val="Noto Sans CJK SC"/>
        <family val="2"/>
      </rPr>
      <t xml:space="preserve">／ 採用</t>
    </r>
    <r>
      <rPr>
        <sz val="10"/>
        <color rgb="FF7FE3A6"/>
        <rFont val="Courier New"/>
        <family val="0"/>
        <charset val="1"/>
      </rPr>
      <t xml:space="preserve">w</t>
    </r>
  </si>
  <si>
    <t xml:space="preserve">　　　　　　　　│</t>
  </si>
  <si>
    <t xml:space="preserve">　　　　　　　　▼</t>
  </si>
  <si>
    <r>
      <rPr>
        <sz val="10"/>
        <color rgb="FF7FE3A6"/>
        <rFont val="Noto Sans CJK SC"/>
        <family val="2"/>
      </rPr>
      <t xml:space="preserve">　［断面］シム＋裏板の厚さ・材質  ──→  </t>
    </r>
    <r>
      <rPr>
        <sz val="10"/>
        <color rgb="FF7FE3A6"/>
        <rFont val="Courier New"/>
        <family val="0"/>
        <charset val="1"/>
      </rPr>
      <t xml:space="preserve">EI</t>
    </r>
    <r>
      <rPr>
        <sz val="10"/>
        <color rgb="FF7FE3A6"/>
        <rFont val="Noto Sans CJK SC"/>
        <family val="2"/>
      </rPr>
      <t xml:space="preserve">（面外）・</t>
    </r>
    <r>
      <rPr>
        <sz val="10"/>
        <color rgb="FF7FE3A6"/>
        <rFont val="Courier New"/>
        <family val="0"/>
        <charset val="1"/>
      </rPr>
      <t xml:space="preserve">EI</t>
    </r>
    <r>
      <rPr>
        <sz val="10"/>
        <color rgb="FF7FE3A6"/>
        <rFont val="Noto Sans CJK SC"/>
        <family val="2"/>
      </rPr>
      <t xml:space="preserve">（面内）・</t>
    </r>
    <r>
      <rPr>
        <sz val="10"/>
        <color rgb="FF7FE3A6"/>
        <rFont val="Courier New"/>
        <family val="0"/>
        <charset val="1"/>
      </rPr>
      <t xml:space="preserve">GJ</t>
    </r>
    <r>
      <rPr>
        <sz val="10"/>
        <color rgb="FF7FE3A6"/>
        <rFont val="Noto Sans CJK SC"/>
        <family val="2"/>
      </rPr>
      <t xml:space="preserve">・</t>
    </r>
    <r>
      <rPr>
        <sz val="10"/>
        <color rgb="FF7FE3A6"/>
        <rFont val="Courier New"/>
        <family val="0"/>
        <charset val="1"/>
      </rPr>
      <t xml:space="preserve">ρA</t>
    </r>
    <r>
      <rPr>
        <sz val="10"/>
        <color rgb="FF7FE3A6"/>
        <rFont val="Noto Sans CJK SC"/>
        <family val="2"/>
      </rPr>
      <t xml:space="preserve">・質量</t>
    </r>
  </si>
  <si>
    <r>
      <rPr>
        <sz val="10"/>
        <color rgb="FF7FE3A6"/>
        <rFont val="Noto Sans CJK SC"/>
        <family val="2"/>
      </rPr>
      <t xml:space="preserve">　［固有振動数］</t>
    </r>
    <r>
      <rPr>
        <sz val="10"/>
        <color rgb="FF7FE3A6"/>
        <rFont val="Courier New"/>
        <family val="0"/>
        <charset val="1"/>
      </rPr>
      <t xml:space="preserve">17</t>
    </r>
    <r>
      <rPr>
        <sz val="10"/>
        <color rgb="FF7FE3A6"/>
        <rFont val="Noto Sans CJK SC"/>
        <family val="2"/>
      </rPr>
      <t xml:space="preserve">個のモード（面外曲げ</t>
    </r>
    <r>
      <rPr>
        <sz val="10"/>
        <color rgb="FF7FE3A6"/>
        <rFont val="Courier New"/>
        <family val="0"/>
        <charset val="1"/>
      </rPr>
      <t xml:space="preserve">6</t>
    </r>
    <r>
      <rPr>
        <sz val="10"/>
        <color rgb="FF7FE3A6"/>
        <rFont val="Noto Sans CJK SC"/>
        <family val="2"/>
      </rPr>
      <t xml:space="preserve">・ねじり</t>
    </r>
    <r>
      <rPr>
        <sz val="10"/>
        <color rgb="FF7FE3A6"/>
        <rFont val="Courier New"/>
        <family val="0"/>
        <charset val="1"/>
      </rPr>
      <t xml:space="preserve">4</t>
    </r>
    <r>
      <rPr>
        <sz val="10"/>
        <color rgb="FF7FE3A6"/>
        <rFont val="Noto Sans CJK SC"/>
        <family val="2"/>
      </rPr>
      <t xml:space="preserve">・面内曲げ</t>
    </r>
    <r>
      <rPr>
        <sz val="10"/>
        <color rgb="FF7FE3A6"/>
        <rFont val="Courier New"/>
        <family val="0"/>
        <charset val="1"/>
      </rPr>
      <t xml:space="preserve">4</t>
    </r>
    <r>
      <rPr>
        <sz val="10"/>
        <color rgb="FF7FE3A6"/>
        <rFont val="Noto Sans CJK SC"/>
        <family val="2"/>
      </rPr>
      <t xml:space="preserve">・面内伸縮</t>
    </r>
    <r>
      <rPr>
        <sz val="10"/>
        <color rgb="FF7FE3A6"/>
        <rFont val="Courier New"/>
        <family val="0"/>
        <charset val="1"/>
      </rPr>
      <t xml:space="preserve">3</t>
    </r>
    <r>
      <rPr>
        <sz val="10"/>
        <color rgb="FF7FE3A6"/>
        <rFont val="Noto Sans CJK SC"/>
        <family val="2"/>
      </rPr>
      <t xml:space="preserve">）の </t>
    </r>
    <r>
      <rPr>
        <sz val="10"/>
        <color rgb="FF7FE3A6"/>
        <rFont val="Courier New"/>
        <family val="0"/>
        <charset val="1"/>
      </rPr>
      <t xml:space="preserve">f [Hz]</t>
    </r>
  </si>
  <si>
    <r>
      <rPr>
        <sz val="10"/>
        <color rgb="FF7FE3A6"/>
        <rFont val="Noto Sans CJK SC"/>
        <family val="2"/>
      </rPr>
      <t xml:space="preserve">　　　　　　　　├──→ ［スペクトル］</t>
    </r>
    <r>
      <rPr>
        <sz val="10"/>
        <color rgb="FF7FE3A6"/>
        <rFont val="Courier New"/>
        <family val="0"/>
        <charset val="1"/>
      </rPr>
      <t xml:space="preserve">FFT</t>
    </r>
    <r>
      <rPr>
        <sz val="10"/>
        <color rgb="FF7FE3A6"/>
        <rFont val="Noto Sans CJK SC"/>
        <family val="2"/>
      </rPr>
      <t xml:space="preserve">画面そっくりのグラフ</t>
    </r>
  </si>
  <si>
    <t xml:space="preserve">　　　　　　　　├──→ ［鳴きリスク］帯域内モード数・ローターとの一致・総合スコア</t>
  </si>
  <si>
    <t xml:space="preserve">　　　　　　　　├──→ ［実測比較］測った値とのズレ％</t>
  </si>
  <si>
    <t xml:space="preserve">　　　　　　　　└──→ ［逆算］実効ヤング率・形状補正係数</t>
  </si>
  <si>
    <r>
      <rPr>
        <b val="true"/>
        <sz val="12"/>
        <color rgb="FF7DB4FF"/>
        <rFont val="Arial"/>
        <family val="0"/>
        <charset val="1"/>
      </rPr>
      <t xml:space="preserve">■ §6 </t>
    </r>
    <r>
      <rPr>
        <b val="true"/>
        <sz val="12"/>
        <color rgb="FF7DB4FF"/>
        <rFont val="Noto Sans CJK SC"/>
        <family val="2"/>
      </rPr>
      <t xml:space="preserve">裏ワザ：写真からトレースする</t>
    </r>
  </si>
  <si>
    <t xml:space="preserve">　① パッドを白い紙に置き、真上（できるだけ真上）からスマホで撮る。斜めから撮ると台形にゆがむので注意。</t>
  </si>
  <si>
    <t xml:space="preserve">　② 一緒に定規（またはコイン）を写しこむ。これが縮尺の基準になります。</t>
  </si>
  <si>
    <r>
      <rPr>
        <sz val="9.5"/>
        <color rgb="FFB9C1D1"/>
        <rFont val="Noto Sans CJK SC"/>
        <family val="2"/>
      </rPr>
      <t xml:space="preserve">　③ 画像を </t>
    </r>
    <r>
      <rPr>
        <sz val="9.5"/>
        <color rgb="FFB9C1D1"/>
        <rFont val="Arial"/>
        <family val="0"/>
        <charset val="1"/>
      </rPr>
      <t xml:space="preserve">Inkscape </t>
    </r>
    <r>
      <rPr>
        <sz val="9.5"/>
        <color rgb="FFB9C1D1"/>
        <rFont val="Noto Sans CJK SC"/>
        <family val="2"/>
      </rPr>
      <t xml:space="preserve">や </t>
    </r>
    <r>
      <rPr>
        <sz val="9.5"/>
        <color rgb="FFB9C1D1"/>
        <rFont val="Arial"/>
        <family val="0"/>
        <charset val="1"/>
      </rPr>
      <t xml:space="preserve">GIMP </t>
    </r>
    <r>
      <rPr>
        <sz val="9.5"/>
        <color rgb="FFB9C1D1"/>
        <rFont val="Noto Sans CJK SC"/>
        <family val="2"/>
      </rPr>
      <t xml:space="preserve">で開き、輪郭をなぞってポイント座標を読む。</t>
    </r>
  </si>
  <si>
    <r>
      <rPr>
        <sz val="9.5"/>
        <color rgb="FFB9C1D1"/>
        <rFont val="Noto Sans CJK SC"/>
        <family val="2"/>
      </rPr>
      <t xml:space="preserve">　④ 読んだ座標は「ピクセル」なので、定規の長さを使って </t>
    </r>
    <r>
      <rPr>
        <sz val="9.5"/>
        <color rgb="FFB9C1D1"/>
        <rFont val="Arial"/>
        <family val="0"/>
        <charset val="1"/>
      </rPr>
      <t xml:space="preserve">mm </t>
    </r>
    <r>
      <rPr>
        <sz val="9.5"/>
        <color rgb="FFB9C1D1"/>
        <rFont val="Noto Sans CJK SC"/>
        <family val="2"/>
      </rPr>
      <t xml:space="preserve">に直す。</t>
    </r>
  </si>
  <si>
    <r>
      <rPr>
        <sz val="9.5"/>
        <color rgb="FFB9C1D1"/>
        <rFont val="Noto Sans CJK SC"/>
        <family val="2"/>
      </rPr>
      <t xml:space="preserve">　　　例：定規の </t>
    </r>
    <r>
      <rPr>
        <sz val="9.5"/>
        <color rgb="FFB9C1D1"/>
        <rFont val="Arial"/>
        <family val="0"/>
        <charset val="1"/>
      </rPr>
      <t xml:space="preserve">100mm </t>
    </r>
    <r>
      <rPr>
        <sz val="9.5"/>
        <color rgb="FFB9C1D1"/>
        <rFont val="Noto Sans CJK SC"/>
        <family val="2"/>
      </rPr>
      <t xml:space="preserve">が </t>
    </r>
    <r>
      <rPr>
        <sz val="9.5"/>
        <color rgb="FFB9C1D1"/>
        <rFont val="Arial"/>
        <family val="0"/>
        <charset val="1"/>
      </rPr>
      <t xml:space="preserve">560</t>
    </r>
    <r>
      <rPr>
        <sz val="9.5"/>
        <color rgb="FFB9C1D1"/>
        <rFont val="Noto Sans CJK SC"/>
        <family val="2"/>
      </rPr>
      <t xml:space="preserve">ピクセルなら、</t>
    </r>
    <r>
      <rPr>
        <sz val="9.5"/>
        <color rgb="FFB9C1D1"/>
        <rFont val="Arial"/>
        <family val="0"/>
        <charset val="1"/>
      </rPr>
      <t xml:space="preserve">1</t>
    </r>
    <r>
      <rPr>
        <sz val="9.5"/>
        <color rgb="FFB9C1D1"/>
        <rFont val="Noto Sans CJK SC"/>
        <family val="2"/>
      </rPr>
      <t xml:space="preserve">ピクセル＝</t>
    </r>
    <r>
      <rPr>
        <sz val="9.5"/>
        <color rgb="FFB9C1D1"/>
        <rFont val="Arial"/>
        <family val="0"/>
        <charset val="1"/>
      </rPr>
      <t xml:space="preserve">100/560</t>
    </r>
    <r>
      <rPr>
        <sz val="9.5"/>
        <color rgb="FFB9C1D1"/>
        <rFont val="Noto Sans CJK SC"/>
        <family val="2"/>
      </rPr>
      <t xml:space="preserve">＝</t>
    </r>
    <r>
      <rPr>
        <sz val="9.5"/>
        <color rgb="FFB9C1D1"/>
        <rFont val="Arial"/>
        <family val="0"/>
        <charset val="1"/>
      </rPr>
      <t xml:space="preserve">0.1786mm</t>
    </r>
    <r>
      <rPr>
        <sz val="9.5"/>
        <color rgb="FFB9C1D1"/>
        <rFont val="Noto Sans CJK SC"/>
        <family val="2"/>
      </rPr>
      <t xml:space="preserve">。</t>
    </r>
  </si>
  <si>
    <r>
      <rPr>
        <sz val="9.5"/>
        <color rgb="FFB9C1D1"/>
        <rFont val="Noto Sans CJK SC"/>
        <family val="2"/>
      </rPr>
      <t xml:space="preserve">　⑤ 「形状」シートの </t>
    </r>
    <r>
      <rPr>
        <sz val="9.5"/>
        <color rgb="FFB9C1D1"/>
        <rFont val="Arial"/>
        <family val="0"/>
        <charset val="1"/>
      </rPr>
      <t xml:space="preserve">V</t>
    </r>
    <r>
      <rPr>
        <sz val="9.5"/>
        <color rgb="FFB9C1D1"/>
        <rFont val="Noto Sans CJK SC"/>
        <family val="2"/>
      </rPr>
      <t xml:space="preserve">〜</t>
    </r>
    <r>
      <rPr>
        <sz val="9.5"/>
        <color rgb="FFB9C1D1"/>
        <rFont val="Arial"/>
        <family val="0"/>
        <charset val="1"/>
      </rPr>
      <t xml:space="preserve">Z</t>
    </r>
    <r>
      <rPr>
        <sz val="9.5"/>
        <color rgb="FFB9C1D1"/>
        <rFont val="Noto Sans CJK SC"/>
        <family val="2"/>
      </rPr>
      <t xml:space="preserve">列に、</t>
    </r>
    <r>
      <rPr>
        <sz val="9.5"/>
        <color rgb="FFB9C1D1"/>
        <rFont val="Arial"/>
        <family val="0"/>
        <charset val="1"/>
      </rPr>
      <t xml:space="preserve">a.jpg </t>
    </r>
    <r>
      <rPr>
        <sz val="9.5"/>
        <color rgb="FFB9C1D1"/>
        <rFont val="Noto Sans CJK SC"/>
        <family val="2"/>
      </rPr>
      <t xml:space="preserve">をトレースした正規化プリセットが入っています。</t>
    </r>
  </si>
  <si>
    <r>
      <rPr>
        <sz val="9.5"/>
        <color rgb="FFB9C1D1"/>
        <rFont val="Noto Sans CJK SC"/>
        <family val="2"/>
      </rPr>
      <t xml:space="preserve">　　　</t>
    </r>
    <r>
      <rPr>
        <sz val="9.5"/>
        <color rgb="FFB9C1D1"/>
        <rFont val="Arial"/>
        <family val="0"/>
        <charset val="1"/>
      </rPr>
      <t xml:space="preserve">X</t>
    </r>
    <r>
      <rPr>
        <sz val="9.5"/>
        <color rgb="FFB9C1D1"/>
        <rFont val="Noto Sans CJK SC"/>
        <family val="2"/>
      </rPr>
      <t xml:space="preserve">列に「実測した全長 </t>
    </r>
    <r>
      <rPr>
        <sz val="9.5"/>
        <color rgb="FFB9C1D1"/>
        <rFont val="Arial"/>
        <family val="0"/>
        <charset val="1"/>
      </rPr>
      <t xml:space="preserve">[mm]</t>
    </r>
    <r>
      <rPr>
        <sz val="9.5"/>
        <color rgb="FFB9C1D1"/>
        <rFont val="Noto Sans CJK SC"/>
        <family val="2"/>
      </rPr>
      <t xml:space="preserve">」を入れると、</t>
    </r>
    <r>
      <rPr>
        <sz val="9.5"/>
        <color rgb="FFB9C1D1"/>
        <rFont val="Arial"/>
        <family val="0"/>
        <charset val="1"/>
      </rPr>
      <t xml:space="preserve">Y</t>
    </r>
    <r>
      <rPr>
        <sz val="9.5"/>
        <color rgb="FFB9C1D1"/>
        <rFont val="Noto Sans CJK SC"/>
        <family val="2"/>
      </rPr>
      <t xml:space="preserve">列・</t>
    </r>
    <r>
      <rPr>
        <sz val="9.5"/>
        <color rgb="FFB9C1D1"/>
        <rFont val="Arial"/>
        <family val="0"/>
        <charset val="1"/>
      </rPr>
      <t xml:space="preserve">Z</t>
    </r>
    <r>
      <rPr>
        <sz val="9.5"/>
        <color rgb="FFB9C1D1"/>
        <rFont val="Noto Sans CJK SC"/>
        <family val="2"/>
      </rPr>
      <t xml:space="preserve">列に実寸座標が自動で出るので、そのままコピペできます。</t>
    </r>
  </si>
  <si>
    <t xml:space="preserve">　⑥ ただしトレースはあくまで当たり付け。最終的には全長・全高・穴だけはノギスで実測して上書きしてください。</t>
  </si>
  <si>
    <r>
      <rPr>
        <b val="true"/>
        <sz val="12"/>
        <color rgb="FF7DB4FF"/>
        <rFont val="Arial"/>
        <family val="0"/>
        <charset val="1"/>
      </rPr>
      <t xml:space="preserve">■ §7 </t>
    </r>
    <r>
      <rPr>
        <b val="true"/>
        <sz val="12"/>
        <color rgb="FF7DB4FF"/>
        <rFont val="Noto Sans CJK SC"/>
        <family val="2"/>
      </rPr>
      <t xml:space="preserve">よくある質問</t>
    </r>
  </si>
  <si>
    <r>
      <rPr>
        <b val="true"/>
        <sz val="10"/>
        <color rgb="FF7DB4FF"/>
        <rFont val="Arial"/>
        <family val="0"/>
        <charset val="1"/>
      </rPr>
      <t xml:space="preserve">Q. </t>
    </r>
    <r>
      <rPr>
        <b val="true"/>
        <sz val="10"/>
        <color rgb="FF7DB4FF"/>
        <rFont val="Noto Sans CJK SC"/>
        <family val="2"/>
      </rPr>
      <t xml:space="preserve">穴を無視したらどうなる？</t>
    </r>
  </si>
  <si>
    <r>
      <rPr>
        <sz val="10"/>
        <color rgb="FFE6E8EC"/>
        <rFont val="Arial"/>
        <family val="0"/>
        <charset val="1"/>
      </rPr>
      <t xml:space="preserve">A. </t>
    </r>
    <r>
      <rPr>
        <sz val="10"/>
        <color rgb="FFE6E8EC"/>
        <rFont val="Noto Sans CJK SC"/>
        <family val="2"/>
      </rPr>
      <t xml:space="preserve">面積と剛性が実際より大きくなり、質量も増えます。今回の形だと質量で約</t>
    </r>
    <r>
      <rPr>
        <sz val="10"/>
        <color rgb="FFE6E8EC"/>
        <rFont val="Arial"/>
        <family val="0"/>
        <charset val="1"/>
      </rPr>
      <t xml:space="preserve">7%</t>
    </r>
    <r>
      <rPr>
        <sz val="10"/>
        <color rgb="FFE6E8EC"/>
        <rFont val="Noto Sans CJK SC"/>
        <family val="2"/>
      </rPr>
      <t xml:space="preserve">、周波数で数</t>
    </r>
    <r>
      <rPr>
        <sz val="10"/>
        <color rgb="FFE6E8EC"/>
        <rFont val="Arial"/>
        <family val="0"/>
        <charset val="1"/>
      </rPr>
      <t xml:space="preserve">%</t>
    </r>
    <r>
      <rPr>
        <sz val="10"/>
        <color rgb="FFE6E8EC"/>
        <rFont val="Noto Sans CJK SC"/>
        <family val="2"/>
      </rPr>
      <t xml:space="preserve">ずれます。入れたほうが良いです。</t>
    </r>
  </si>
  <si>
    <r>
      <rPr>
        <b val="true"/>
        <sz val="10"/>
        <color rgb="FF7DB4FF"/>
        <rFont val="Arial"/>
        <family val="0"/>
        <charset val="1"/>
      </rPr>
      <t xml:space="preserve">Q. </t>
    </r>
    <r>
      <rPr>
        <b val="true"/>
        <sz val="10"/>
        <color rgb="FF7DB4FF"/>
        <rFont val="Noto Sans CJK SC"/>
        <family val="2"/>
      </rPr>
      <t xml:space="preserve">面取り（角の</t>
    </r>
    <r>
      <rPr>
        <b val="true"/>
        <sz val="10"/>
        <color rgb="FF7DB4FF"/>
        <rFont val="Arial"/>
        <family val="0"/>
        <charset val="1"/>
      </rPr>
      <t xml:space="preserve">C</t>
    </r>
    <r>
      <rPr>
        <b val="true"/>
        <sz val="10"/>
        <color rgb="FF7DB4FF"/>
        <rFont val="Noto Sans CJK SC"/>
        <family val="2"/>
      </rPr>
      <t xml:space="preserve">面）まで測る？</t>
    </r>
  </si>
  <si>
    <r>
      <rPr>
        <sz val="10"/>
        <color rgb="FFE6E8EC"/>
        <rFont val="Arial"/>
        <family val="0"/>
        <charset val="1"/>
      </rPr>
      <t xml:space="preserve">A. </t>
    </r>
    <r>
      <rPr>
        <sz val="10"/>
        <color rgb="FFE6E8EC"/>
        <rFont val="Noto Sans CJK SC"/>
        <family val="2"/>
      </rPr>
      <t xml:space="preserve">不要です。</t>
    </r>
    <r>
      <rPr>
        <sz val="10"/>
        <color rgb="FFE6E8EC"/>
        <rFont val="Arial"/>
        <family val="0"/>
        <charset val="1"/>
      </rPr>
      <t xml:space="preserve">0.5mm</t>
    </r>
    <r>
      <rPr>
        <sz val="10"/>
        <color rgb="FFE6E8EC"/>
        <rFont val="Noto Sans CJK SC"/>
        <family val="2"/>
      </rPr>
      <t xml:space="preserve">程度の面取りは周波数に</t>
    </r>
    <r>
      <rPr>
        <sz val="10"/>
        <color rgb="FFE6E8EC"/>
        <rFont val="Arial"/>
        <family val="0"/>
        <charset val="1"/>
      </rPr>
      <t xml:space="preserve">0.1%</t>
    </r>
    <r>
      <rPr>
        <sz val="10"/>
        <color rgb="FFE6E8EC"/>
        <rFont val="Noto Sans CJK SC"/>
        <family val="2"/>
      </rPr>
      <t xml:space="preserve">も効きません。</t>
    </r>
  </si>
  <si>
    <r>
      <rPr>
        <b val="true"/>
        <sz val="10"/>
        <color rgb="FF7DB4FF"/>
        <rFont val="Arial"/>
        <family val="0"/>
        <charset val="1"/>
      </rPr>
      <t xml:space="preserve">Q. </t>
    </r>
    <r>
      <rPr>
        <b val="true"/>
        <sz val="10"/>
        <color rgb="FF7DB4FF"/>
        <rFont val="Noto Sans CJK SC"/>
        <family val="2"/>
      </rPr>
      <t xml:space="preserve">耳の細かい段差は？</t>
    </r>
  </si>
  <si>
    <r>
      <rPr>
        <sz val="10"/>
        <color rgb="FFE6E8EC"/>
        <rFont val="Arial"/>
        <family val="0"/>
        <charset val="1"/>
      </rPr>
      <t xml:space="preserve">A. </t>
    </r>
    <r>
      <rPr>
        <sz val="10"/>
        <color rgb="FFE6E8EC"/>
        <rFont val="Noto Sans CJK SC"/>
        <family val="2"/>
      </rPr>
      <t xml:space="preserve">拾ってください。耳は「腹（はら）」になりやすく、ねじりモードの形に効きます。</t>
    </r>
  </si>
  <si>
    <r>
      <rPr>
        <b val="true"/>
        <sz val="10"/>
        <color rgb="FF7DB4FF"/>
        <rFont val="Arial"/>
        <family val="0"/>
        <charset val="1"/>
      </rPr>
      <t xml:space="preserve">Q. </t>
    </r>
    <r>
      <rPr>
        <b val="true"/>
        <sz val="10"/>
        <color rgb="FF7DB4FF"/>
        <rFont val="Noto Sans CJK SC"/>
        <family val="2"/>
      </rPr>
      <t xml:space="preserve">裏板の裏側のリブや刻印は？</t>
    </r>
  </si>
  <si>
    <r>
      <rPr>
        <sz val="10"/>
        <color rgb="FFE6E8EC"/>
        <rFont val="Arial"/>
        <family val="0"/>
        <charset val="1"/>
      </rPr>
      <t xml:space="preserve">A. </t>
    </r>
    <r>
      <rPr>
        <sz val="10"/>
        <color rgb="FFE6E8EC"/>
        <rFont val="Noto Sans CJK SC"/>
        <family val="2"/>
      </rPr>
      <t xml:space="preserve">このブックは一様厚さの板として扱います。リブがあるなら、厚さを「等価厚さ」として少し厚めに入れて実測で合わせ込むのが現実的です（逆算シートを使う）。</t>
    </r>
  </si>
  <si>
    <r>
      <rPr>
        <b val="true"/>
        <sz val="10"/>
        <color rgb="FF7DB4FF"/>
        <rFont val="Arial"/>
        <family val="0"/>
        <charset val="1"/>
      </rPr>
      <t xml:space="preserve">Q. </t>
    </r>
    <r>
      <rPr>
        <b val="true"/>
        <sz val="10"/>
        <color rgb="FF7DB4FF"/>
        <rFont val="Noto Sans CJK SC"/>
        <family val="2"/>
      </rPr>
      <t xml:space="preserve">座標の向きは時計回り？反時計回り？</t>
    </r>
  </si>
  <si>
    <r>
      <rPr>
        <sz val="10"/>
        <color rgb="FFE6E8EC"/>
        <rFont val="Arial"/>
        <family val="0"/>
        <charset val="1"/>
      </rPr>
      <t xml:space="preserve">A. </t>
    </r>
    <r>
      <rPr>
        <sz val="10"/>
        <color rgb="FFE6E8EC"/>
        <rFont val="Noto Sans CJK SC"/>
        <family val="2"/>
      </rPr>
      <t xml:space="preserve">どちらでも自動判定します（形状シート </t>
    </r>
    <r>
      <rPr>
        <sz val="10"/>
        <color rgb="FFE6E8EC"/>
        <rFont val="Arial"/>
        <family val="0"/>
        <charset val="1"/>
      </rPr>
      <t xml:space="preserve">F3 </t>
    </r>
    <r>
      <rPr>
        <sz val="10"/>
        <color rgb="FFE6E8EC"/>
        <rFont val="Noto Sans CJK SC"/>
        <family val="2"/>
      </rPr>
      <t xml:space="preserve">の「向き </t>
    </r>
    <r>
      <rPr>
        <sz val="10"/>
        <color rgb="FFE6E8EC"/>
        <rFont val="Arial"/>
        <family val="0"/>
        <charset val="1"/>
      </rPr>
      <t xml:space="preserve">s</t>
    </r>
    <r>
      <rPr>
        <sz val="10"/>
        <color rgb="FFE6E8EC"/>
        <rFont val="Noto Sans CJK SC"/>
        <family val="2"/>
      </rPr>
      <t xml:space="preserve">」）。飛び飛びの順番だけがダメです。</t>
    </r>
  </si>
  <si>
    <r>
      <rPr>
        <b val="true"/>
        <sz val="10"/>
        <color rgb="FF7DB4FF"/>
        <rFont val="Arial"/>
        <family val="0"/>
        <charset val="1"/>
      </rPr>
      <t xml:space="preserve">Q. 24</t>
    </r>
    <r>
      <rPr>
        <b val="true"/>
        <sz val="10"/>
        <color rgb="FF7DB4FF"/>
        <rFont val="Noto Sans CJK SC"/>
        <family val="2"/>
      </rPr>
      <t xml:space="preserve">点で足りない形は？</t>
    </r>
  </si>
  <si>
    <r>
      <rPr>
        <sz val="10"/>
        <color rgb="FFE6E8EC"/>
        <rFont val="Arial"/>
        <family val="0"/>
        <charset val="1"/>
      </rPr>
      <t xml:space="preserve">A. </t>
    </r>
    <r>
      <rPr>
        <sz val="10"/>
        <color rgb="FFE6E8EC"/>
        <rFont val="Noto Sans CJK SC"/>
        <family val="2"/>
      </rPr>
      <t xml:space="preserve">曲線部の点を減らして角を優先してください。曲線を</t>
    </r>
    <r>
      <rPr>
        <sz val="10"/>
        <color rgb="FFE6E8EC"/>
        <rFont val="Arial"/>
        <family val="0"/>
        <charset val="1"/>
      </rPr>
      <t xml:space="preserve">1</t>
    </r>
    <r>
      <rPr>
        <sz val="10"/>
        <color rgb="FFE6E8EC"/>
        <rFont val="Noto Sans CJK SC"/>
        <family val="2"/>
      </rPr>
      <t xml:space="preserve">点減らしても誤差はほぼ出ません。</t>
    </r>
  </si>
  <si>
    <r>
      <rPr>
        <b val="true"/>
        <sz val="12"/>
        <color rgb="FF7DB4FF"/>
        <rFont val="Arial"/>
        <family val="0"/>
        <charset val="1"/>
      </rPr>
      <t xml:space="preserve">■ §8 </t>
    </r>
    <r>
      <rPr>
        <b val="true"/>
        <sz val="12"/>
        <color rgb="FF7DB4FF"/>
        <rFont val="Noto Sans CJK SC"/>
        <family val="2"/>
      </rPr>
      <t xml:space="preserve">カラー図解（採寸のしかた）</t>
    </r>
  </si>
  <si>
    <r>
      <rPr>
        <sz val="9.5"/>
        <color rgb="FFB9C1D1"/>
        <rFont val="Noto Sans CJK SC"/>
        <family val="2"/>
      </rPr>
      <t xml:space="preserve">左：外形の頂点をどう拾うか　／　右：</t>
    </r>
    <r>
      <rPr>
        <sz val="9.5"/>
        <color rgb="FFB9C1D1"/>
        <rFont val="Arial"/>
        <family val="0"/>
        <charset val="1"/>
      </rPr>
      <t xml:space="preserve">2</t>
    </r>
    <r>
      <rPr>
        <sz val="9.5"/>
        <color rgb="FFB9C1D1"/>
        <rFont val="Noto Sans CJK SC"/>
        <family val="2"/>
      </rPr>
      <t xml:space="preserve">つの穴の直径・中心をどう測って、形状シートのどこへ入れるか</t>
    </r>
  </si>
  <si>
    <t xml:space="preserve">材料データベース（金属・シムのみ／摩擦材は含みません）</t>
  </si>
  <si>
    <r>
      <rPr>
        <sz val="9"/>
        <color rgb="FFA9B2C3"/>
        <rFont val="Arial"/>
        <family val="0"/>
        <charset val="1"/>
      </rPr>
      <t xml:space="preserve">E</t>
    </r>
    <r>
      <rPr>
        <sz val="9"/>
        <color rgb="FFA9B2C3"/>
        <rFont val="Noto Sans CJK SC"/>
        <family val="2"/>
      </rPr>
      <t xml:space="preserve">＝ヤング率（かたさ）／</t>
    </r>
    <r>
      <rPr>
        <sz val="9"/>
        <color rgb="FFA9B2C3"/>
        <rFont val="Arial"/>
        <family val="0"/>
        <charset val="1"/>
      </rPr>
      <t xml:space="preserve">ρ</t>
    </r>
    <r>
      <rPr>
        <sz val="9"/>
        <color rgb="FFA9B2C3"/>
        <rFont val="Noto Sans CJK SC"/>
        <family val="2"/>
      </rPr>
      <t xml:space="preserve">＝密度（重さ）／</t>
    </r>
    <r>
      <rPr>
        <sz val="9"/>
        <color rgb="FFA9B2C3"/>
        <rFont val="Arial"/>
        <family val="0"/>
        <charset val="1"/>
      </rPr>
      <t xml:space="preserve">ν</t>
    </r>
    <r>
      <rPr>
        <sz val="9"/>
        <color rgb="FFA9B2C3"/>
        <rFont val="Noto Sans CJK SC"/>
        <family val="2"/>
      </rPr>
      <t xml:space="preserve">＝ポアソン比（横に膨らむ割合）／</t>
    </r>
    <r>
      <rPr>
        <sz val="9"/>
        <color rgb="FFA9B2C3"/>
        <rFont val="Arial"/>
        <family val="0"/>
        <charset val="1"/>
      </rPr>
      <t xml:space="preserve">η</t>
    </r>
    <r>
      <rPr>
        <sz val="9"/>
        <color rgb="FFA9B2C3"/>
        <rFont val="Noto Sans CJK SC"/>
        <family val="2"/>
      </rPr>
      <t xml:space="preserve">＝損失係数（振動の減りやすさ）</t>
    </r>
  </si>
  <si>
    <t xml:space="preserve">材料名</t>
  </si>
  <si>
    <t xml:space="preserve">E [GPa]</t>
  </si>
  <si>
    <t xml:space="preserve">ρ [kg/m³]</t>
  </si>
  <si>
    <t xml:space="preserve">ν</t>
  </si>
  <si>
    <r>
      <rPr>
        <b val="true"/>
        <sz val="10"/>
        <color rgb="FFE6E8EC"/>
        <rFont val="Arial"/>
        <family val="0"/>
        <charset val="1"/>
      </rPr>
      <t xml:space="preserve">η(</t>
    </r>
    <r>
      <rPr>
        <b val="true"/>
        <sz val="10"/>
        <color rgb="FFE6E8EC"/>
        <rFont val="Noto Sans CJK SC"/>
        <family val="2"/>
      </rPr>
      <t xml:space="preserve">目安</t>
    </r>
    <r>
      <rPr>
        <b val="true"/>
        <sz val="10"/>
        <color rgb="FFE6E8EC"/>
        <rFont val="Arial"/>
        <family val="0"/>
        <charset val="1"/>
      </rPr>
      <t xml:space="preserve">)</t>
    </r>
  </si>
  <si>
    <t xml:space="preserve">分類</t>
  </si>
  <si>
    <t xml:space="preserve">信頼度</t>
  </si>
  <si>
    <t xml:space="preserve">出典・備考</t>
  </si>
  <si>
    <r>
      <rPr>
        <b val="true"/>
        <sz val="10"/>
        <color rgb="FFFFCF6B"/>
        <rFont val="Noto Sans CJK SC"/>
        <family val="2"/>
      </rPr>
      <t xml:space="preserve">鋼 </t>
    </r>
    <r>
      <rPr>
        <b val="true"/>
        <sz val="10"/>
        <color rgb="FFFFCF6B"/>
        <rFont val="Arial"/>
        <family val="0"/>
        <charset val="1"/>
      </rPr>
      <t xml:space="preserve">SPCC(</t>
    </r>
    <r>
      <rPr>
        <b val="true"/>
        <sz val="10"/>
        <color rgb="FFFFCF6B"/>
        <rFont val="Noto Sans CJK SC"/>
        <family val="2"/>
      </rPr>
      <t xml:space="preserve">裏板</t>
    </r>
    <r>
      <rPr>
        <b val="true"/>
        <sz val="10"/>
        <color rgb="FFFFCF6B"/>
        <rFont val="Arial"/>
        <family val="0"/>
        <charset val="1"/>
      </rPr>
      <t xml:space="preserve">)</t>
    </r>
  </si>
  <si>
    <t xml:space="preserve">金属</t>
  </si>
  <si>
    <r>
      <rPr>
        <sz val="9"/>
        <color rgb="FF8A93A3"/>
        <rFont val="Arial"/>
        <family val="0"/>
        <charset val="1"/>
      </rPr>
      <t xml:space="preserve">JIS</t>
    </r>
    <r>
      <rPr>
        <sz val="9"/>
        <color rgb="FF8A93A3"/>
        <rFont val="Noto Sans CJK SC"/>
        <family val="2"/>
      </rPr>
      <t xml:space="preserve">一般値 </t>
    </r>
    <r>
      <rPr>
        <sz val="9"/>
        <color rgb="FF8A93A3"/>
        <rFont val="Arial"/>
        <family val="0"/>
        <charset val="1"/>
      </rPr>
      <t xml:space="preserve">/ </t>
    </r>
    <r>
      <rPr>
        <sz val="9"/>
        <color rgb="FF8A93A3"/>
        <rFont val="Noto Sans CJK SC"/>
        <family val="2"/>
      </rPr>
      <t xml:space="preserve">鋼の</t>
    </r>
    <r>
      <rPr>
        <sz val="9"/>
        <color rgb="FF8A93A3"/>
        <rFont val="Arial"/>
        <family val="0"/>
        <charset val="1"/>
      </rPr>
      <t xml:space="preserve">E</t>
    </r>
    <r>
      <rPr>
        <sz val="9"/>
        <color rgb="FF8A93A3"/>
        <rFont val="Noto Sans CJK SC"/>
        <family val="2"/>
      </rPr>
      <t xml:space="preserve">は</t>
    </r>
    <r>
      <rPr>
        <sz val="9"/>
        <color rgb="FF8A93A3"/>
        <rFont val="Arial"/>
        <family val="0"/>
        <charset val="1"/>
      </rPr>
      <t xml:space="preserve">190-210GPa</t>
    </r>
  </si>
  <si>
    <r>
      <rPr>
        <b val="true"/>
        <sz val="10"/>
        <color rgb="FFFFCF6B"/>
        <rFont val="Noto Sans CJK SC"/>
        <family val="2"/>
      </rPr>
      <t xml:space="preserve">鋼 </t>
    </r>
    <r>
      <rPr>
        <b val="true"/>
        <sz val="10"/>
        <color rgb="FFFFCF6B"/>
        <rFont val="Arial"/>
        <family val="0"/>
        <charset val="1"/>
      </rPr>
      <t xml:space="preserve">SS400</t>
    </r>
  </si>
  <si>
    <r>
      <rPr>
        <sz val="9"/>
        <color rgb="FF8A93A3"/>
        <rFont val="Arial"/>
        <family val="0"/>
        <charset val="1"/>
      </rPr>
      <t xml:space="preserve">JIS</t>
    </r>
    <r>
      <rPr>
        <sz val="9"/>
        <color rgb="FF8A93A3"/>
        <rFont val="Noto Sans CJK SC"/>
        <family val="2"/>
      </rPr>
      <t xml:space="preserve">一般値</t>
    </r>
  </si>
  <si>
    <r>
      <rPr>
        <b val="true"/>
        <sz val="10"/>
        <color rgb="FFFFCF6B"/>
        <rFont val="Noto Sans CJK SC"/>
        <family val="2"/>
      </rPr>
      <t xml:space="preserve">鋼 </t>
    </r>
    <r>
      <rPr>
        <b val="true"/>
        <sz val="10"/>
        <color rgb="FFFFCF6B"/>
        <rFont val="Arial"/>
        <family val="0"/>
        <charset val="1"/>
      </rPr>
      <t xml:space="preserve">S45C</t>
    </r>
  </si>
  <si>
    <r>
      <rPr>
        <b val="true"/>
        <sz val="10"/>
        <color rgb="FFFFCF6B"/>
        <rFont val="Noto Sans CJK SC"/>
        <family val="2"/>
      </rPr>
      <t xml:space="preserve">ステンレス </t>
    </r>
    <r>
      <rPr>
        <b val="true"/>
        <sz val="10"/>
        <color rgb="FFFFCF6B"/>
        <rFont val="Arial"/>
        <family val="0"/>
        <charset val="1"/>
      </rPr>
      <t xml:space="preserve">SUS304</t>
    </r>
  </si>
  <si>
    <r>
      <rPr>
        <b val="true"/>
        <sz val="10"/>
        <color rgb="FFFFCF6B"/>
        <rFont val="Noto Sans CJK SC"/>
        <family val="2"/>
      </rPr>
      <t xml:space="preserve">ばね鋼 </t>
    </r>
    <r>
      <rPr>
        <b val="true"/>
        <sz val="10"/>
        <color rgb="FFFFCF6B"/>
        <rFont val="Arial"/>
        <family val="0"/>
        <charset val="1"/>
      </rPr>
      <t xml:space="preserve">SUP9</t>
    </r>
  </si>
  <si>
    <r>
      <rPr>
        <b val="true"/>
        <sz val="10"/>
        <color rgb="FFFFCF6B"/>
        <rFont val="Noto Sans CJK SC"/>
        <family val="2"/>
      </rPr>
      <t xml:space="preserve">ねずみ鋳鉄 </t>
    </r>
    <r>
      <rPr>
        <b val="true"/>
        <sz val="10"/>
        <color rgb="FFFFCF6B"/>
        <rFont val="Arial"/>
        <family val="0"/>
        <charset val="1"/>
      </rPr>
      <t xml:space="preserve">FC250</t>
    </r>
  </si>
  <si>
    <r>
      <rPr>
        <sz val="9"/>
        <color rgb="FF8A93A3"/>
        <rFont val="Arial"/>
        <family val="0"/>
        <charset val="1"/>
      </rPr>
      <t xml:space="preserve">90-120GPa</t>
    </r>
    <r>
      <rPr>
        <sz val="9"/>
        <color rgb="FF8A93A3"/>
        <rFont val="Noto Sans CJK SC"/>
        <family val="2"/>
      </rPr>
      <t xml:space="preserve">の幅あり。黒鉛量で変化</t>
    </r>
  </si>
  <si>
    <r>
      <rPr>
        <b val="true"/>
        <sz val="10"/>
        <color rgb="FFFFCF6B"/>
        <rFont val="Noto Sans CJK SC"/>
        <family val="2"/>
      </rPr>
      <t xml:space="preserve">アルミ </t>
    </r>
    <r>
      <rPr>
        <b val="true"/>
        <sz val="10"/>
        <color rgb="FFFFCF6B"/>
        <rFont val="Arial"/>
        <family val="0"/>
        <charset val="1"/>
      </rPr>
      <t xml:space="preserve">A5052</t>
    </r>
  </si>
  <si>
    <r>
      <rPr>
        <b val="true"/>
        <sz val="10"/>
        <color rgb="FFFFCF6B"/>
        <rFont val="Noto Sans CJK SC"/>
        <family val="2"/>
      </rPr>
      <t xml:space="preserve">アルミ </t>
    </r>
    <r>
      <rPr>
        <b val="true"/>
        <sz val="10"/>
        <color rgb="FFFFCF6B"/>
        <rFont val="Arial"/>
        <family val="0"/>
        <charset val="1"/>
      </rPr>
      <t xml:space="preserve">A6061-T6</t>
    </r>
  </si>
  <si>
    <r>
      <rPr>
        <b val="true"/>
        <sz val="10"/>
        <color rgb="FFFFCF6B"/>
        <rFont val="Noto Sans CJK SC"/>
        <family val="2"/>
      </rPr>
      <t xml:space="preserve">チタン </t>
    </r>
    <r>
      <rPr>
        <b val="true"/>
        <sz val="10"/>
        <color rgb="FFFFCF6B"/>
        <rFont val="Arial"/>
        <family val="0"/>
        <charset val="1"/>
      </rPr>
      <t xml:space="preserve">Ti-6Al-4V</t>
    </r>
  </si>
  <si>
    <t xml:space="preserve">ASTM Grade5</t>
  </si>
  <si>
    <r>
      <rPr>
        <b val="true"/>
        <sz val="10"/>
        <color rgb="FFFFCF6B"/>
        <rFont val="Noto Sans CJK SC"/>
        <family val="2"/>
      </rPr>
      <t xml:space="preserve">銅 </t>
    </r>
    <r>
      <rPr>
        <b val="true"/>
        <sz val="10"/>
        <color rgb="FFFFCF6B"/>
        <rFont val="Arial"/>
        <family val="0"/>
        <charset val="1"/>
      </rPr>
      <t xml:space="preserve">C1100</t>
    </r>
  </si>
  <si>
    <r>
      <rPr>
        <b val="true"/>
        <sz val="10"/>
        <color rgb="FFFFCF6B"/>
        <rFont val="Noto Sans CJK SC"/>
        <family val="2"/>
      </rPr>
      <t xml:space="preserve">黄銅 </t>
    </r>
    <r>
      <rPr>
        <b val="true"/>
        <sz val="10"/>
        <color rgb="FFFFCF6B"/>
        <rFont val="Arial"/>
        <family val="0"/>
        <charset val="1"/>
      </rPr>
      <t xml:space="preserve">C2600</t>
    </r>
  </si>
  <si>
    <r>
      <rPr>
        <b val="true"/>
        <sz val="10"/>
        <color rgb="FFFFCF6B"/>
        <rFont val="Noto Sans CJK SC"/>
        <family val="2"/>
      </rPr>
      <t xml:space="preserve">シム鋼板 </t>
    </r>
    <r>
      <rPr>
        <b val="true"/>
        <sz val="10"/>
        <color rgb="FFFFCF6B"/>
        <rFont val="Arial"/>
        <family val="0"/>
        <charset val="1"/>
      </rPr>
      <t xml:space="preserve">SPCC</t>
    </r>
  </si>
  <si>
    <t xml:space="preserve">シム</t>
  </si>
  <si>
    <r>
      <rPr>
        <b val="true"/>
        <sz val="10"/>
        <color rgb="FFFFCF6B"/>
        <rFont val="Noto Sans CJK SC"/>
        <family val="2"/>
      </rPr>
      <t xml:space="preserve">シム制振ゴム </t>
    </r>
    <r>
      <rPr>
        <b val="true"/>
        <sz val="10"/>
        <color rgb="FFFFCF6B"/>
        <rFont val="Arial"/>
        <family val="0"/>
        <charset val="1"/>
      </rPr>
      <t xml:space="preserve">NBR(</t>
    </r>
    <r>
      <rPr>
        <b val="true"/>
        <sz val="10"/>
        <color rgb="FFFFCF6B"/>
        <rFont val="Noto Sans CJK SC"/>
        <family val="2"/>
      </rPr>
      <t xml:space="preserve">軟</t>
    </r>
    <r>
      <rPr>
        <b val="true"/>
        <sz val="10"/>
        <color rgb="FFFFCF6B"/>
        <rFont val="Arial"/>
        <family val="0"/>
        <charset val="1"/>
      </rPr>
      <t xml:space="preserve">)</t>
    </r>
  </si>
  <si>
    <t xml:space="preserve">温度・周波数依存が非常に大</t>
  </si>
  <si>
    <r>
      <rPr>
        <b val="true"/>
        <sz val="10"/>
        <color rgb="FFFFCF6B"/>
        <rFont val="Noto Sans CJK SC"/>
        <family val="2"/>
      </rPr>
      <t xml:space="preserve">シム制振ゴム </t>
    </r>
    <r>
      <rPr>
        <b val="true"/>
        <sz val="10"/>
        <color rgb="FFFFCF6B"/>
        <rFont val="Arial"/>
        <family val="0"/>
        <charset val="1"/>
      </rPr>
      <t xml:space="preserve">NBR(</t>
    </r>
    <r>
      <rPr>
        <b val="true"/>
        <sz val="10"/>
        <color rgb="FFFFCF6B"/>
        <rFont val="Noto Sans CJK SC"/>
        <family val="2"/>
      </rPr>
      <t xml:space="preserve">硬</t>
    </r>
    <r>
      <rPr>
        <b val="true"/>
        <sz val="10"/>
        <color rgb="FFFFCF6B"/>
        <rFont val="Arial"/>
        <family val="0"/>
        <charset val="1"/>
      </rPr>
      <t xml:space="preserve">)</t>
    </r>
  </si>
  <si>
    <t xml:space="preserve">同上</t>
  </si>
  <si>
    <t xml:space="preserve">チタンシム</t>
  </si>
  <si>
    <r>
      <rPr>
        <b val="true"/>
        <sz val="10"/>
        <color rgb="FFFFCF6B"/>
        <rFont val="Noto Sans CJK SC"/>
        <family val="2"/>
      </rPr>
      <t xml:space="preserve">接着層</t>
    </r>
    <r>
      <rPr>
        <b val="true"/>
        <sz val="10"/>
        <color rgb="FFFFCF6B"/>
        <rFont val="Arial"/>
        <family val="0"/>
        <charset val="1"/>
      </rPr>
      <t xml:space="preserve">(</t>
    </r>
    <r>
      <rPr>
        <b val="true"/>
        <sz val="10"/>
        <color rgb="FFFFCF6B"/>
        <rFont val="Noto Sans CJK SC"/>
        <family val="2"/>
      </rPr>
      <t xml:space="preserve">汎用</t>
    </r>
    <r>
      <rPr>
        <b val="true"/>
        <sz val="10"/>
        <color rgb="FFFFCF6B"/>
        <rFont val="Arial"/>
        <family val="0"/>
        <charset val="1"/>
      </rPr>
      <t xml:space="preserve">/</t>
    </r>
    <r>
      <rPr>
        <b val="true"/>
        <sz val="10"/>
        <color rgb="FFFFCF6B"/>
        <rFont val="Noto Sans CJK SC"/>
        <family val="2"/>
      </rPr>
      <t xml:space="preserve">シム固定用</t>
    </r>
    <r>
      <rPr>
        <b val="true"/>
        <sz val="10"/>
        <color rgb="FFFFCF6B"/>
        <rFont val="Arial"/>
        <family val="0"/>
        <charset val="1"/>
      </rPr>
      <t xml:space="preserve">)</t>
    </r>
  </si>
  <si>
    <t xml:space="preserve">接着</t>
  </si>
  <si>
    <t xml:space="preserve">推定。シムを裏板に接着・スポット固定する場合のみ使用</t>
  </si>
  <si>
    <r>
      <rPr>
        <b val="true"/>
        <sz val="10"/>
        <color rgb="FFFFCF6B"/>
        <rFont val="Arial"/>
        <family val="0"/>
        <charset val="1"/>
      </rPr>
      <t xml:space="preserve">(</t>
    </r>
    <r>
      <rPr>
        <b val="true"/>
        <sz val="10"/>
        <color rgb="FFFFCF6B"/>
        <rFont val="Noto Sans CJK SC"/>
        <family val="2"/>
      </rPr>
      <t xml:space="preserve">未使用</t>
    </r>
    <r>
      <rPr>
        <b val="true"/>
        <sz val="10"/>
        <color rgb="FFFFCF6B"/>
        <rFont val="Arial"/>
        <family val="0"/>
        <charset val="1"/>
      </rPr>
      <t xml:space="preserve">)</t>
    </r>
  </si>
  <si>
    <t xml:space="preserve">-</t>
  </si>
  <si>
    <t xml:space="preserve">空欄行。使わない層に指定する</t>
  </si>
  <si>
    <r>
      <rPr>
        <sz val="9.5"/>
        <color rgb="FFB9C1D1"/>
        <rFont val="Noto Sans CJK SC"/>
        <family val="2"/>
      </rPr>
      <t xml:space="preserve">※ 行を追加するときは </t>
    </r>
    <r>
      <rPr>
        <sz val="9.5"/>
        <color rgb="FFB9C1D1"/>
        <rFont val="Arial"/>
        <family val="0"/>
        <charset val="1"/>
      </rPr>
      <t xml:space="preserve">45</t>
    </r>
    <r>
      <rPr>
        <sz val="9.5"/>
        <color rgb="FFB9C1D1"/>
        <rFont val="Noto Sans CJK SC"/>
        <family val="2"/>
      </rPr>
      <t xml:space="preserve">行目までに書けば全シートが自動で拾います（数式の参照範囲は </t>
    </r>
    <r>
      <rPr>
        <sz val="9.5"/>
        <color rgb="FFB9C1D1"/>
        <rFont val="Arial"/>
        <family val="0"/>
        <charset val="1"/>
      </rPr>
      <t xml:space="preserve">$A$5:$A$45</t>
    </r>
    <r>
      <rPr>
        <sz val="9.5"/>
        <color rgb="FFB9C1D1"/>
        <rFont val="Noto Sans CJK SC"/>
        <family val="2"/>
      </rPr>
      <t xml:space="preserve">）。</t>
    </r>
  </si>
  <si>
    <r>
      <rPr>
        <sz val="9.5"/>
        <color rgb="FFB9C1D1"/>
        <rFont val="Noto Sans CJK SC"/>
        <family val="2"/>
      </rPr>
      <t xml:space="preserve">※ このブックは摩擦材を含みません。摩擦材込みの計算は「ブレーキパッド固有振動数予測</t>
    </r>
    <r>
      <rPr>
        <sz val="9.5"/>
        <color rgb="FFB9C1D1"/>
        <rFont val="Arial"/>
        <family val="0"/>
        <charset val="1"/>
      </rPr>
      <t xml:space="preserve">.xlsx</t>
    </r>
    <r>
      <rPr>
        <sz val="9.5"/>
        <color rgb="FFB9C1D1"/>
        <rFont val="Noto Sans CJK SC"/>
        <family val="2"/>
      </rPr>
      <t xml:space="preserve">」を使ってください。</t>
    </r>
  </si>
  <si>
    <r>
      <rPr>
        <sz val="9.5"/>
        <color rgb="FFFFB4A2"/>
        <rFont val="Noto Sans CJK SC"/>
        <family val="2"/>
      </rPr>
      <t xml:space="preserve">※ 鋼の</t>
    </r>
    <r>
      <rPr>
        <sz val="9.5"/>
        <color rgb="FFFFB4A2"/>
        <rFont val="Arial"/>
        <family val="0"/>
        <charset val="1"/>
      </rPr>
      <t xml:space="preserve">E</t>
    </r>
    <r>
      <rPr>
        <sz val="9.5"/>
        <color rgb="FFFFB4A2"/>
        <rFont val="Noto Sans CJK SC"/>
        <family val="2"/>
      </rPr>
      <t xml:space="preserve">は</t>
    </r>
    <r>
      <rPr>
        <sz val="9.5"/>
        <color rgb="FFFFB4A2"/>
        <rFont val="Arial"/>
        <family val="0"/>
        <charset val="1"/>
      </rPr>
      <t xml:space="preserve">190</t>
    </r>
    <r>
      <rPr>
        <sz val="9.5"/>
        <color rgb="FFFFB4A2"/>
        <rFont val="Noto Sans CJK SC"/>
        <family val="2"/>
      </rPr>
      <t xml:space="preserve">〜</t>
    </r>
    <r>
      <rPr>
        <sz val="9.5"/>
        <color rgb="FFFFB4A2"/>
        <rFont val="Arial"/>
        <family val="0"/>
        <charset val="1"/>
      </rPr>
      <t xml:space="preserve">210GPa</t>
    </r>
    <r>
      <rPr>
        <sz val="9.5"/>
        <color rgb="FFFFB4A2"/>
        <rFont val="Noto Sans CJK SC"/>
        <family val="2"/>
      </rPr>
      <t xml:space="preserve">の幅があります。逆算シートで自分の現物の</t>
    </r>
    <r>
      <rPr>
        <sz val="9.5"/>
        <color rgb="FFFFB4A2"/>
        <rFont val="Arial"/>
        <family val="0"/>
        <charset val="1"/>
      </rPr>
      <t xml:space="preserve">E</t>
    </r>
    <r>
      <rPr>
        <sz val="9.5"/>
        <color rgb="FFFFB4A2"/>
        <rFont val="Noto Sans CJK SC"/>
        <family val="2"/>
      </rPr>
      <t xml:space="preserve">を求めて、この表を上書きするのが最終形です。</t>
    </r>
  </si>
  <si>
    <t xml:space="preserve">① 形状入力（金属スケルトン＝裏板の外形を多角形で入力）</t>
  </si>
  <si>
    <r>
      <rPr>
        <sz val="9"/>
        <color rgb="FFA9B2C3"/>
        <rFont val="Arial"/>
        <family val="0"/>
        <charset val="1"/>
      </rPr>
      <t xml:space="preserve">X</t>
    </r>
    <r>
      <rPr>
        <sz val="9"/>
        <color rgb="FFA9B2C3"/>
        <rFont val="Noto Sans CJK SC"/>
        <family val="2"/>
      </rPr>
      <t xml:space="preserve">＝円周方向（長手・左右）、</t>
    </r>
    <r>
      <rPr>
        <sz val="9"/>
        <color rgb="FFA9B2C3"/>
        <rFont val="Arial"/>
        <family val="0"/>
        <charset val="1"/>
      </rPr>
      <t xml:space="preserve">Y</t>
    </r>
    <r>
      <rPr>
        <sz val="9"/>
        <color rgb="FFA9B2C3"/>
        <rFont val="Noto Sans CJK SC"/>
        <family val="2"/>
      </rPr>
      <t xml:space="preserve">＝半径方向（上下）。単位はすべて </t>
    </r>
    <r>
      <rPr>
        <sz val="9"/>
        <color rgb="FFA9B2C3"/>
        <rFont val="Arial"/>
        <family val="0"/>
        <charset val="1"/>
      </rPr>
      <t xml:space="preserve">mm</t>
    </r>
    <r>
      <rPr>
        <sz val="9"/>
        <color rgb="FFA9B2C3"/>
        <rFont val="Noto Sans CJK SC"/>
        <family val="2"/>
      </rPr>
      <t xml:space="preserve">。頂点は最大</t>
    </r>
    <r>
      <rPr>
        <sz val="9"/>
        <color rgb="FFA9B2C3"/>
        <rFont val="Arial"/>
        <family val="0"/>
        <charset val="1"/>
      </rPr>
      <t xml:space="preserve">24</t>
    </r>
    <r>
      <rPr>
        <sz val="9"/>
        <color rgb="FFA9B2C3"/>
        <rFont val="Noto Sans CJK SC"/>
        <family val="2"/>
      </rPr>
      <t xml:space="preserve">点。反時計回り・時計回りどちらでも</t>
    </r>
    <r>
      <rPr>
        <sz val="9"/>
        <color rgb="FFA9B2C3"/>
        <rFont val="Arial"/>
        <family val="0"/>
        <charset val="1"/>
      </rPr>
      <t xml:space="preserve">OK</t>
    </r>
    <r>
      <rPr>
        <sz val="9"/>
        <color rgb="FFA9B2C3"/>
        <rFont val="Noto Sans CJK SC"/>
        <family val="2"/>
      </rPr>
      <t xml:space="preserve">。詳しい測り方は「採寸ガイド」シートへ。</t>
    </r>
  </si>
  <si>
    <r>
      <rPr>
        <sz val="9"/>
        <color rgb="FF8A93A3"/>
        <rFont val="Noto Sans CJK SC"/>
        <family val="2"/>
      </rPr>
      <t xml:space="preserve">頂点数 </t>
    </r>
    <r>
      <rPr>
        <sz val="9"/>
        <color rgb="FF8A93A3"/>
        <rFont val="Arial"/>
        <family val="0"/>
        <charset val="1"/>
      </rPr>
      <t xml:space="preserve">N</t>
    </r>
  </si>
  <si>
    <r>
      <rPr>
        <sz val="9"/>
        <color rgb="FF8A93A3"/>
        <rFont val="Noto Sans CJK SC"/>
        <family val="2"/>
      </rPr>
      <t xml:space="preserve">向き </t>
    </r>
    <r>
      <rPr>
        <sz val="9"/>
        <color rgb="FF8A93A3"/>
        <rFont val="Arial"/>
        <family val="0"/>
        <charset val="1"/>
      </rPr>
      <t xml:space="preserve">s (+1=</t>
    </r>
    <r>
      <rPr>
        <sz val="9"/>
        <color rgb="FF8A93A3"/>
        <rFont val="Noto Sans CJK SC"/>
        <family val="2"/>
      </rPr>
      <t xml:space="preserve">反時計</t>
    </r>
    <r>
      <rPr>
        <sz val="9"/>
        <color rgb="FF8A93A3"/>
        <rFont val="Arial"/>
        <family val="0"/>
        <charset val="1"/>
      </rPr>
      <t xml:space="preserve">/-1=</t>
    </r>
    <r>
      <rPr>
        <sz val="9"/>
        <color rgb="FF8A93A3"/>
        <rFont val="Noto Sans CJK SC"/>
        <family val="2"/>
      </rPr>
      <t xml:space="preserve">時計</t>
    </r>
    <r>
      <rPr>
        <sz val="9"/>
        <color rgb="FF8A93A3"/>
        <rFont val="Arial"/>
        <family val="0"/>
        <charset val="1"/>
      </rPr>
      <t xml:space="preserve">)</t>
    </r>
  </si>
  <si>
    <r>
      <rPr>
        <b val="true"/>
        <sz val="11"/>
        <color rgb="FF7DB4FF"/>
        <rFont val="Noto Sans CJK SC"/>
        <family val="2"/>
      </rPr>
      <t xml:space="preserve">■ プリセット：</t>
    </r>
    <r>
      <rPr>
        <b val="true"/>
        <sz val="11"/>
        <color rgb="FF7DB4FF"/>
        <rFont val="Arial"/>
        <family val="0"/>
        <charset val="1"/>
      </rPr>
      <t xml:space="preserve">a.jpg </t>
    </r>
    <r>
      <rPr>
        <b val="true"/>
        <sz val="11"/>
        <color rgb="FF7DB4FF"/>
        <rFont val="Noto Sans CJK SC"/>
        <family val="2"/>
      </rPr>
      <t xml:space="preserve">をトレースした形（全長</t>
    </r>
    <r>
      <rPr>
        <b val="true"/>
        <sz val="11"/>
        <color rgb="FF7DB4FF"/>
        <rFont val="Arial"/>
        <family val="0"/>
        <charset val="1"/>
      </rPr>
      <t xml:space="preserve">100mm</t>
    </r>
    <r>
      <rPr>
        <b val="true"/>
        <sz val="11"/>
        <color rgb="FF7DB4FF"/>
        <rFont val="Noto Sans CJK SC"/>
        <family val="2"/>
      </rPr>
      <t xml:space="preserve">に正規化）</t>
    </r>
  </si>
  <si>
    <t xml:space="preserve">No</t>
  </si>
  <si>
    <t xml:space="preserve">X [mm]</t>
  </si>
  <si>
    <t xml:space="preserve">Y [mm]</t>
  </si>
  <si>
    <t xml:space="preserve">使用</t>
  </si>
  <si>
    <r>
      <rPr>
        <b val="true"/>
        <sz val="9"/>
        <color rgb="FFE6E8EC"/>
        <rFont val="Noto Sans CJK SC"/>
        <family val="2"/>
      </rPr>
      <t xml:space="preserve">次</t>
    </r>
    <r>
      <rPr>
        <b val="true"/>
        <sz val="9"/>
        <color rgb="FFE6E8EC"/>
        <rFont val="Arial"/>
        <family val="0"/>
        <charset val="1"/>
      </rPr>
      <t xml:space="preserve">X</t>
    </r>
  </si>
  <si>
    <r>
      <rPr>
        <b val="true"/>
        <sz val="9"/>
        <color rgb="FFE6E8EC"/>
        <rFont val="Noto Sans CJK SC"/>
        <family val="2"/>
      </rPr>
      <t xml:space="preserve">次</t>
    </r>
    <r>
      <rPr>
        <b val="true"/>
        <sz val="9"/>
        <color rgb="FFE6E8EC"/>
        <rFont val="Arial"/>
        <family val="0"/>
        <charset val="1"/>
      </rPr>
      <t xml:space="preserve">Y</t>
    </r>
  </si>
  <si>
    <r>
      <rPr>
        <b val="true"/>
        <sz val="9"/>
        <color rgb="FFE6E8EC"/>
        <rFont val="Noto Sans CJK SC"/>
        <family val="2"/>
      </rPr>
      <t xml:space="preserve">前</t>
    </r>
    <r>
      <rPr>
        <b val="true"/>
        <sz val="9"/>
        <color rgb="FFE6E8EC"/>
        <rFont val="Arial"/>
        <family val="0"/>
        <charset val="1"/>
      </rPr>
      <t xml:space="preserve">X</t>
    </r>
  </si>
  <si>
    <r>
      <rPr>
        <b val="true"/>
        <sz val="9"/>
        <color rgb="FFE6E8EC"/>
        <rFont val="Noto Sans CJK SC"/>
        <family val="2"/>
      </rPr>
      <t xml:space="preserve">前</t>
    </r>
    <r>
      <rPr>
        <b val="true"/>
        <sz val="9"/>
        <color rgb="FFE6E8EC"/>
        <rFont val="Arial"/>
        <family val="0"/>
        <charset val="1"/>
      </rPr>
      <t xml:space="preserve">Y</t>
    </r>
  </si>
  <si>
    <t xml:space="preserve">外積項</t>
  </si>
  <si>
    <t xml:space="preserve">辺長</t>
  </si>
  <si>
    <r>
      <rPr>
        <b val="true"/>
        <sz val="9"/>
        <color rgb="FFE6E8EC"/>
        <rFont val="Arial"/>
        <family val="0"/>
        <charset val="1"/>
      </rPr>
      <t xml:space="preserve">Ixx</t>
    </r>
    <r>
      <rPr>
        <b val="true"/>
        <sz val="9"/>
        <color rgb="FFE6E8EC"/>
        <rFont val="Noto Sans CJK SC"/>
        <family val="2"/>
      </rPr>
      <t xml:space="preserve">項</t>
    </r>
  </si>
  <si>
    <r>
      <rPr>
        <b val="true"/>
        <sz val="9"/>
        <color rgb="FFE6E8EC"/>
        <rFont val="Arial"/>
        <family val="0"/>
        <charset val="1"/>
      </rPr>
      <t xml:space="preserve">Iyy</t>
    </r>
    <r>
      <rPr>
        <b val="true"/>
        <sz val="9"/>
        <color rgb="FFE6E8EC"/>
        <rFont val="Noto Sans CJK SC"/>
        <family val="2"/>
      </rPr>
      <t xml:space="preserve">項</t>
    </r>
  </si>
  <si>
    <r>
      <rPr>
        <b val="true"/>
        <sz val="9"/>
        <color rgb="FFE6E8EC"/>
        <rFont val="Arial"/>
        <family val="0"/>
        <charset val="1"/>
      </rPr>
      <t xml:space="preserve">Ixy</t>
    </r>
    <r>
      <rPr>
        <b val="true"/>
        <sz val="9"/>
        <color rgb="FFE6E8EC"/>
        <rFont val="Noto Sans CJK SC"/>
        <family val="2"/>
      </rPr>
      <t xml:space="preserve">項</t>
    </r>
  </si>
  <si>
    <r>
      <rPr>
        <b val="true"/>
        <sz val="9"/>
        <color rgb="FFE6E8EC"/>
        <rFont val="Arial"/>
        <family val="0"/>
        <charset val="1"/>
      </rPr>
      <t xml:space="preserve">Cx</t>
    </r>
    <r>
      <rPr>
        <b val="true"/>
        <sz val="9"/>
        <color rgb="FFE6E8EC"/>
        <rFont val="Noto Sans CJK SC"/>
        <family val="2"/>
      </rPr>
      <t xml:space="preserve">項</t>
    </r>
  </si>
  <si>
    <r>
      <rPr>
        <b val="true"/>
        <sz val="9"/>
        <color rgb="FFE6E8EC"/>
        <rFont val="Arial"/>
        <family val="0"/>
        <charset val="1"/>
      </rPr>
      <t xml:space="preserve">Cy</t>
    </r>
    <r>
      <rPr>
        <b val="true"/>
        <sz val="9"/>
        <color rgb="FFE6E8EC"/>
        <rFont val="Noto Sans CJK SC"/>
        <family val="2"/>
      </rPr>
      <t xml:space="preserve">項</t>
    </r>
  </si>
  <si>
    <t xml:space="preserve">内積</t>
  </si>
  <si>
    <t xml:space="preserve">外積</t>
  </si>
  <si>
    <r>
      <rPr>
        <b val="true"/>
        <sz val="9"/>
        <color rgb="FFE6E8EC"/>
        <rFont val="Noto Sans CJK SC"/>
        <family val="2"/>
      </rPr>
      <t xml:space="preserve">内角 </t>
    </r>
    <r>
      <rPr>
        <b val="true"/>
        <sz val="9"/>
        <color rgb="FFE6E8EC"/>
        <rFont val="Arial"/>
        <family val="0"/>
        <charset val="1"/>
      </rPr>
      <t xml:space="preserve">[°]</t>
    </r>
  </si>
  <si>
    <r>
      <rPr>
        <b val="true"/>
        <sz val="9"/>
        <color rgb="FFE6E8EC"/>
        <rFont val="Noto Sans CJK SC"/>
        <family val="2"/>
      </rPr>
      <t xml:space="preserve">外角 </t>
    </r>
    <r>
      <rPr>
        <b val="true"/>
        <sz val="9"/>
        <color rgb="FFE6E8EC"/>
        <rFont val="Arial"/>
        <family val="0"/>
        <charset val="1"/>
      </rPr>
      <t xml:space="preserve">[°]</t>
    </r>
  </si>
  <si>
    <r>
      <rPr>
        <b val="true"/>
        <sz val="9"/>
        <color rgb="FFE6E8EC"/>
        <rFont val="Noto Sans CJK SC"/>
        <family val="2"/>
      </rPr>
      <t xml:space="preserve">出隅</t>
    </r>
    <r>
      <rPr>
        <b val="true"/>
        <sz val="9"/>
        <color rgb="FFE6E8EC"/>
        <rFont val="Arial"/>
        <family val="0"/>
        <charset val="1"/>
      </rPr>
      <t xml:space="preserve">/</t>
    </r>
    <r>
      <rPr>
        <b val="true"/>
        <sz val="9"/>
        <color rgb="FFE6E8EC"/>
        <rFont val="Noto Sans CJK SC"/>
        <family val="2"/>
      </rPr>
      <t xml:space="preserve">入隅</t>
    </r>
  </si>
  <si>
    <r>
      <rPr>
        <sz val="10"/>
        <color rgb="FFE6E8EC"/>
        <rFont val="Noto Sans CJK SC"/>
        <family val="2"/>
      </rPr>
      <t xml:space="preserve">あなたが実測した全長 </t>
    </r>
    <r>
      <rPr>
        <sz val="10"/>
        <color rgb="FFE6E8EC"/>
        <rFont val="Arial"/>
        <family val="0"/>
        <charset val="1"/>
      </rPr>
      <t xml:space="preserve">L [mm] →</t>
    </r>
  </si>
  <si>
    <r>
      <rPr>
        <b val="true"/>
        <sz val="8"/>
        <color rgb="FFE6E8EC"/>
        <rFont val="Arial"/>
        <family val="0"/>
        <charset val="1"/>
      </rPr>
      <t xml:space="preserve">X</t>
    </r>
    <r>
      <rPr>
        <b val="true"/>
        <sz val="8"/>
        <color rgb="FFE6E8EC"/>
        <rFont val="Noto Sans CJK SC"/>
        <family val="2"/>
      </rPr>
      <t xml:space="preserve">閉（描画用）</t>
    </r>
  </si>
  <si>
    <r>
      <rPr>
        <b val="true"/>
        <sz val="8"/>
        <color rgb="FFE6E8EC"/>
        <rFont val="Arial"/>
        <family val="0"/>
        <charset val="1"/>
      </rPr>
      <t xml:space="preserve">Y</t>
    </r>
    <r>
      <rPr>
        <b val="true"/>
        <sz val="8"/>
        <color rgb="FFE6E8EC"/>
        <rFont val="Noto Sans CJK SC"/>
        <family val="2"/>
      </rPr>
      <t xml:space="preserve">閉（描画用）</t>
    </r>
  </si>
  <si>
    <r>
      <rPr>
        <b val="true"/>
        <sz val="8"/>
        <color rgb="FFE6E8EC"/>
        <rFont val="Noto Sans CJK SC"/>
        <family val="2"/>
      </rPr>
      <t xml:space="preserve">穴</t>
    </r>
    <r>
      <rPr>
        <b val="true"/>
        <sz val="8"/>
        <color rgb="FFE6E8EC"/>
        <rFont val="Arial"/>
        <family val="0"/>
        <charset val="1"/>
      </rPr>
      <t xml:space="preserve">cX</t>
    </r>
  </si>
  <si>
    <r>
      <rPr>
        <b val="true"/>
        <sz val="8"/>
        <color rgb="FFE6E8EC"/>
        <rFont val="Noto Sans CJK SC"/>
        <family val="2"/>
      </rPr>
      <t xml:space="preserve">穴</t>
    </r>
    <r>
      <rPr>
        <b val="true"/>
        <sz val="8"/>
        <color rgb="FFE6E8EC"/>
        <rFont val="Arial"/>
        <family val="0"/>
        <charset val="1"/>
      </rPr>
      <t xml:space="preserve">cY</t>
    </r>
  </si>
  <si>
    <r>
      <rPr>
        <sz val="10"/>
        <color rgb="FFE6E8EC"/>
        <rFont val="Noto Sans CJK SC"/>
        <family val="2"/>
      </rPr>
      <t xml:space="preserve">倍率（＝</t>
    </r>
    <r>
      <rPr>
        <sz val="10"/>
        <color rgb="FFE6E8EC"/>
        <rFont val="Arial"/>
        <family val="0"/>
        <charset val="1"/>
      </rPr>
      <t xml:space="preserve">L÷100</t>
    </r>
    <r>
      <rPr>
        <sz val="10"/>
        <color rgb="FFE6E8EC"/>
        <rFont val="Noto Sans CJK SC"/>
        <family val="2"/>
      </rPr>
      <t xml:space="preserve">）</t>
    </r>
  </si>
  <si>
    <t xml:space="preserve">X_norm</t>
  </si>
  <si>
    <t xml:space="preserve">Y_norm</t>
  </si>
  <si>
    <r>
      <rPr>
        <b val="true"/>
        <sz val="9"/>
        <color rgb="FFE6E8EC"/>
        <rFont val="Arial"/>
        <family val="0"/>
        <charset val="1"/>
      </rPr>
      <t xml:space="preserve">→ X</t>
    </r>
    <r>
      <rPr>
        <b val="true"/>
        <sz val="9"/>
        <color rgb="FFE6E8EC"/>
        <rFont val="Noto Sans CJK SC"/>
        <family val="2"/>
      </rPr>
      <t xml:space="preserve">実寸</t>
    </r>
  </si>
  <si>
    <r>
      <rPr>
        <b val="true"/>
        <sz val="9"/>
        <color rgb="FFE6E8EC"/>
        <rFont val="Arial"/>
        <family val="0"/>
        <charset val="1"/>
      </rPr>
      <t xml:space="preserve">→ Y</t>
    </r>
    <r>
      <rPr>
        <b val="true"/>
        <sz val="9"/>
        <color rgb="FFE6E8EC"/>
        <rFont val="Noto Sans CJK SC"/>
        <family val="2"/>
      </rPr>
      <t xml:space="preserve">実寸</t>
    </r>
  </si>
  <si>
    <t xml:space="preserve">■ 形状の計算結果（外形のみ／穴を引く前）</t>
  </si>
  <si>
    <r>
      <rPr>
        <b val="true"/>
        <sz val="11"/>
        <color rgb="FF7DB4FF"/>
        <rFont val="Noto Sans CJK SC"/>
        <family val="2"/>
      </rPr>
      <t xml:space="preserve">■ 穴のプリセット（同じく全長</t>
    </r>
    <r>
      <rPr>
        <b val="true"/>
        <sz val="11"/>
        <color rgb="FF7DB4FF"/>
        <rFont val="Arial"/>
        <family val="0"/>
        <charset val="1"/>
      </rPr>
      <t xml:space="preserve">100mm</t>
    </r>
    <r>
      <rPr>
        <b val="true"/>
        <sz val="11"/>
        <color rgb="FF7DB4FF"/>
        <rFont val="Noto Sans CJK SC"/>
        <family val="2"/>
      </rPr>
      <t xml:space="preserve">正規化）</t>
    </r>
  </si>
  <si>
    <r>
      <rPr>
        <sz val="10"/>
        <color rgb="FFE6E8EC"/>
        <rFont val="Noto Sans CJK SC"/>
        <family val="2"/>
      </rPr>
      <t xml:space="preserve">符号付き面積 </t>
    </r>
    <r>
      <rPr>
        <sz val="10"/>
        <color rgb="FFE6E8EC"/>
        <rFont val="Arial"/>
        <family val="0"/>
        <charset val="1"/>
      </rPr>
      <t xml:space="preserve">[mm²]</t>
    </r>
  </si>
  <si>
    <t xml:space="preserve">多角形の向き判定に使う（＋なら反時計回り）</t>
  </si>
  <si>
    <t xml:space="preserve">cX_norm</t>
  </si>
  <si>
    <t xml:space="preserve">cY_norm</t>
  </si>
  <si>
    <t xml:space="preserve">d_norm</t>
  </si>
  <si>
    <t xml:space="preserve">→ cX</t>
  </si>
  <si>
    <t xml:space="preserve">→ cY</t>
  </si>
  <si>
    <t xml:space="preserve">→ d</t>
  </si>
  <si>
    <r>
      <rPr>
        <sz val="10"/>
        <color rgb="FFE6E8EC"/>
        <rFont val="Noto Sans CJK SC"/>
        <family val="2"/>
      </rPr>
      <t xml:space="preserve">外形面積 </t>
    </r>
    <r>
      <rPr>
        <sz val="10"/>
        <color rgb="FFE6E8EC"/>
        <rFont val="Arial"/>
        <family val="0"/>
        <charset val="1"/>
      </rPr>
      <t xml:space="preserve">A_gross [mm²]</t>
    </r>
  </si>
  <si>
    <r>
      <rPr>
        <sz val="9"/>
        <color rgb="FF8A93A3"/>
        <rFont val="Noto Sans CJK SC"/>
        <family val="2"/>
      </rPr>
      <t xml:space="preserve">シューレース公式 </t>
    </r>
    <r>
      <rPr>
        <sz val="9"/>
        <color rgb="FF8A93A3"/>
        <rFont val="Arial"/>
        <family val="0"/>
        <charset val="1"/>
      </rPr>
      <t xml:space="preserve">A=½|Σ(xᵢyᵢ₊₁−xᵢ₊₁yᵢ)|  🟢</t>
    </r>
  </si>
  <si>
    <r>
      <rPr>
        <sz val="10"/>
        <color rgb="FFE6E8EC"/>
        <rFont val="Noto Sans CJK SC"/>
        <family val="2"/>
      </rPr>
      <t xml:space="preserve">周長 </t>
    </r>
    <r>
      <rPr>
        <sz val="10"/>
        <color rgb="FFE6E8EC"/>
        <rFont val="Arial"/>
        <family val="0"/>
        <charset val="1"/>
      </rPr>
      <t xml:space="preserve">[mm]</t>
    </r>
  </si>
  <si>
    <t xml:space="preserve">各辺の長さの合計</t>
  </si>
  <si>
    <r>
      <rPr>
        <sz val="10"/>
        <color rgb="FFE6E8EC"/>
        <rFont val="Noto Sans CJK SC"/>
        <family val="2"/>
      </rPr>
      <t xml:space="preserve">重心 </t>
    </r>
    <r>
      <rPr>
        <sz val="10"/>
        <color rgb="FFE6E8EC"/>
        <rFont val="Arial"/>
        <family val="0"/>
        <charset val="1"/>
      </rPr>
      <t xml:space="preserve">Cx_gross [mm]</t>
    </r>
  </si>
  <si>
    <r>
      <rPr>
        <sz val="9"/>
        <color rgb="FF8A93A3"/>
        <rFont val="Noto Sans CJK SC"/>
        <family val="2"/>
      </rPr>
      <t xml:space="preserve">図心の</t>
    </r>
    <r>
      <rPr>
        <sz val="9"/>
        <color rgb="FF8A93A3"/>
        <rFont val="Arial"/>
        <family val="0"/>
        <charset val="1"/>
      </rPr>
      <t xml:space="preserve">X</t>
    </r>
    <r>
      <rPr>
        <sz val="9"/>
        <color rgb="FF8A93A3"/>
        <rFont val="Noto Sans CJK SC"/>
        <family val="2"/>
      </rPr>
      <t xml:space="preserve">座標  🟢</t>
    </r>
  </si>
  <si>
    <r>
      <rPr>
        <sz val="10"/>
        <color rgb="FFE6E8EC"/>
        <rFont val="Noto Sans CJK SC"/>
        <family val="2"/>
      </rPr>
      <t xml:space="preserve">重心 </t>
    </r>
    <r>
      <rPr>
        <sz val="10"/>
        <color rgb="FFE6E8EC"/>
        <rFont val="Arial"/>
        <family val="0"/>
        <charset val="1"/>
      </rPr>
      <t xml:space="preserve">Cy_gross [mm]</t>
    </r>
  </si>
  <si>
    <r>
      <rPr>
        <sz val="9"/>
        <color rgb="FF8A93A3"/>
        <rFont val="Noto Sans CJK SC"/>
        <family val="2"/>
      </rPr>
      <t xml:space="preserve">図心の</t>
    </r>
    <r>
      <rPr>
        <sz val="9"/>
        <color rgb="FF8A93A3"/>
        <rFont val="Arial"/>
        <family val="0"/>
        <charset val="1"/>
      </rPr>
      <t xml:space="preserve">Y</t>
    </r>
    <r>
      <rPr>
        <sz val="9"/>
        <color rgb="FF8A93A3"/>
        <rFont val="Noto Sans CJK SC"/>
        <family val="2"/>
      </rPr>
      <t xml:space="preserve">座標  🟢</t>
    </r>
  </si>
  <si>
    <r>
      <rPr>
        <sz val="9"/>
        <color rgb="FF8A93A3"/>
        <rFont val="Noto Sans CJK SC"/>
        <family val="2"/>
      </rPr>
      <t xml:space="preserve">使い方：</t>
    </r>
    <r>
      <rPr>
        <sz val="9"/>
        <color rgb="FF8A93A3"/>
        <rFont val="Arial"/>
        <family val="0"/>
        <charset val="1"/>
      </rPr>
      <t xml:space="preserve">Y4</t>
    </r>
    <r>
      <rPr>
        <sz val="9"/>
        <color rgb="FF8A93A3"/>
        <rFont val="Noto Sans CJK SC"/>
        <family val="2"/>
      </rPr>
      <t xml:space="preserve">に実測全長を入れる → </t>
    </r>
    <r>
      <rPr>
        <sz val="9"/>
        <color rgb="FF8A93A3"/>
        <rFont val="Arial"/>
        <family val="0"/>
        <charset val="1"/>
      </rPr>
      <t xml:space="preserve">Y7:Z28 </t>
    </r>
    <r>
      <rPr>
        <sz val="9"/>
        <color rgb="FF8A93A3"/>
        <rFont val="Noto Sans CJK SC"/>
        <family val="2"/>
      </rPr>
      <t xml:space="preserve">をコピーして </t>
    </r>
    <r>
      <rPr>
        <sz val="9"/>
        <color rgb="FF8A93A3"/>
        <rFont val="Arial"/>
        <family val="0"/>
        <charset val="1"/>
      </rPr>
      <t xml:space="preserve">B5:C28 </t>
    </r>
    <r>
      <rPr>
        <sz val="9"/>
        <color rgb="FF8A93A3"/>
        <rFont val="Noto Sans CJK SC"/>
        <family val="2"/>
      </rPr>
      <t xml:space="preserve">に「値貼り付け」</t>
    </r>
  </si>
  <si>
    <r>
      <rPr>
        <sz val="10"/>
        <color rgb="FFE6E8EC"/>
        <rFont val="Arial"/>
        <family val="0"/>
        <charset val="1"/>
      </rPr>
      <t xml:space="preserve">Ixx_gross</t>
    </r>
    <r>
      <rPr>
        <sz val="10"/>
        <color rgb="FFE6E8EC"/>
        <rFont val="Noto Sans CJK SC"/>
        <family val="2"/>
      </rPr>
      <t xml:space="preserve">（重心まわり）</t>
    </r>
    <r>
      <rPr>
        <sz val="10"/>
        <color rgb="FFE6E8EC"/>
        <rFont val="Arial"/>
        <family val="0"/>
        <charset val="1"/>
      </rPr>
      <t xml:space="preserve">[mm⁴]</t>
    </r>
  </si>
  <si>
    <r>
      <rPr>
        <sz val="9"/>
        <color rgb="FF8A93A3"/>
        <rFont val="Arial"/>
        <family val="0"/>
        <charset val="1"/>
      </rPr>
      <t xml:space="preserve">X</t>
    </r>
    <r>
      <rPr>
        <sz val="9"/>
        <color rgb="FF8A93A3"/>
        <rFont val="Noto Sans CJK SC"/>
        <family val="2"/>
      </rPr>
      <t xml:space="preserve">軸（長手軸）まわり。面内曲げに効く  🟢</t>
    </r>
  </si>
  <si>
    <r>
      <rPr>
        <sz val="9"/>
        <color rgb="FF8A93A3"/>
        <rFont val="Noto Sans CJK SC"/>
        <family val="2"/>
      </rPr>
      <t xml:space="preserve">　　　　 穴も </t>
    </r>
    <r>
      <rPr>
        <sz val="9"/>
        <color rgb="FF8A93A3"/>
        <rFont val="Arial"/>
        <family val="0"/>
        <charset val="1"/>
      </rPr>
      <t xml:space="preserve">Z32:AB33 </t>
    </r>
    <r>
      <rPr>
        <sz val="9"/>
        <color rgb="FF8A93A3"/>
        <rFont val="Noto Sans CJK SC"/>
        <family val="2"/>
      </rPr>
      <t xml:space="preserve">をコピーして </t>
    </r>
    <r>
      <rPr>
        <sz val="9"/>
        <color rgb="FF8A93A3"/>
        <rFont val="Arial"/>
        <family val="0"/>
        <charset val="1"/>
      </rPr>
      <t xml:space="preserve">C55:E56 </t>
    </r>
    <r>
      <rPr>
        <sz val="9"/>
        <color rgb="FF8A93A3"/>
        <rFont val="Noto Sans CJK SC"/>
        <family val="2"/>
      </rPr>
      <t xml:space="preserve">に貼る（列の順番が 中心</t>
    </r>
    <r>
      <rPr>
        <sz val="9"/>
        <color rgb="FF8A93A3"/>
        <rFont val="Arial"/>
        <family val="0"/>
        <charset val="1"/>
      </rPr>
      <t xml:space="preserve">X→</t>
    </r>
    <r>
      <rPr>
        <sz val="9"/>
        <color rgb="FF8A93A3"/>
        <rFont val="Noto Sans CJK SC"/>
        <family val="2"/>
      </rPr>
      <t xml:space="preserve">中心</t>
    </r>
    <r>
      <rPr>
        <sz val="9"/>
        <color rgb="FF8A93A3"/>
        <rFont val="Arial"/>
        <family val="0"/>
        <charset val="1"/>
      </rPr>
      <t xml:space="preserve">Y→</t>
    </r>
    <r>
      <rPr>
        <sz val="9"/>
        <color rgb="FF8A93A3"/>
        <rFont val="Noto Sans CJK SC"/>
        <family val="2"/>
      </rPr>
      <t xml:space="preserve">直径 で一致します）</t>
    </r>
  </si>
  <si>
    <r>
      <rPr>
        <sz val="10"/>
        <color rgb="FFE6E8EC"/>
        <rFont val="Arial"/>
        <family val="0"/>
        <charset val="1"/>
      </rPr>
      <t xml:space="preserve">Iyy_gross</t>
    </r>
    <r>
      <rPr>
        <sz val="10"/>
        <color rgb="FFE6E8EC"/>
        <rFont val="Noto Sans CJK SC"/>
        <family val="2"/>
      </rPr>
      <t xml:space="preserve">（重心まわり）</t>
    </r>
    <r>
      <rPr>
        <sz val="10"/>
        <color rgb="FFE6E8EC"/>
        <rFont val="Arial"/>
        <family val="0"/>
        <charset val="1"/>
      </rPr>
      <t xml:space="preserve">[mm⁴]</t>
    </r>
  </si>
  <si>
    <r>
      <rPr>
        <sz val="9"/>
        <color rgb="FF8A93A3"/>
        <rFont val="Arial"/>
        <family val="0"/>
        <charset val="1"/>
      </rPr>
      <t xml:space="preserve">Y</t>
    </r>
    <r>
      <rPr>
        <sz val="9"/>
        <color rgb="FF8A93A3"/>
        <rFont val="Noto Sans CJK SC"/>
        <family val="2"/>
      </rPr>
      <t xml:space="preserve">軸まわり  🟢</t>
    </r>
  </si>
  <si>
    <t xml:space="preserve">※ トレースは当たり付け。全長・全高・穴径だけは必ずノギスで実測して上書きしてください 🔴</t>
  </si>
  <si>
    <r>
      <rPr>
        <sz val="10"/>
        <color rgb="FFE6E8EC"/>
        <rFont val="Arial"/>
        <family val="0"/>
        <charset val="1"/>
      </rPr>
      <t xml:space="preserve">Ixy</t>
    </r>
    <r>
      <rPr>
        <sz val="10"/>
        <color rgb="FFE6E8EC"/>
        <rFont val="Noto Sans CJK SC"/>
        <family val="2"/>
      </rPr>
      <t xml:space="preserve">（重心まわり）</t>
    </r>
    <r>
      <rPr>
        <sz val="10"/>
        <color rgb="FFE6E8EC"/>
        <rFont val="Arial"/>
        <family val="0"/>
        <charset val="1"/>
      </rPr>
      <t xml:space="preserve">[mm⁴]</t>
    </r>
  </si>
  <si>
    <t xml:space="preserve">相乗モーメント  🟢</t>
  </si>
  <si>
    <t xml:space="preserve">Imin [mm⁴]</t>
  </si>
  <si>
    <t xml:space="preserve">主（しゅ）断面二次モーメント 最小</t>
  </si>
  <si>
    <t xml:space="preserve">▼ 入力した座標をそのまま描いたもの。パッドの形に見えなければ座標の順番か符号が間違っています（※縦横比はグラフの都合で正確ではありません）</t>
  </si>
  <si>
    <t xml:space="preserve">Imax [mm⁴]</t>
  </si>
  <si>
    <t xml:space="preserve">主断面二次モーメント 最大</t>
  </si>
  <si>
    <r>
      <rPr>
        <sz val="10"/>
        <color rgb="FFE6E8EC"/>
        <rFont val="Noto Sans CJK SC"/>
        <family val="2"/>
      </rPr>
      <t xml:space="preserve">主軸角 </t>
    </r>
    <r>
      <rPr>
        <sz val="10"/>
        <color rgb="FFE6E8EC"/>
        <rFont val="Arial"/>
        <family val="0"/>
        <charset val="1"/>
      </rPr>
      <t xml:space="preserve">θp [°]</t>
    </r>
  </si>
  <si>
    <t xml:space="preserve">tan2θ=−2Ixy/(Ixx−Iyy)  🟢</t>
  </si>
  <si>
    <r>
      <rPr>
        <sz val="10"/>
        <color rgb="FFE6E8EC"/>
        <rFont val="Arial"/>
        <family val="0"/>
        <charset val="1"/>
      </rPr>
      <t xml:space="preserve">θp </t>
    </r>
    <r>
      <rPr>
        <sz val="10"/>
        <color rgb="FFE6E8EC"/>
        <rFont val="Noto Sans CJK SC"/>
        <family val="2"/>
      </rPr>
      <t xml:space="preserve">での </t>
    </r>
    <r>
      <rPr>
        <sz val="10"/>
        <color rgb="FFE6E8EC"/>
        <rFont val="Arial"/>
        <family val="0"/>
        <charset val="1"/>
      </rPr>
      <t xml:space="preserve">I [mm⁴]</t>
    </r>
  </si>
  <si>
    <t xml:space="preserve">判定用の中間値</t>
  </si>
  <si>
    <r>
      <rPr>
        <sz val="10"/>
        <color rgb="FFE6E8EC"/>
        <rFont val="Noto Sans CJK SC"/>
        <family val="2"/>
      </rPr>
      <t xml:space="preserve">長手方向の角度 </t>
    </r>
    <r>
      <rPr>
        <sz val="10"/>
        <color rgb="FFE6E8EC"/>
        <rFont val="Arial"/>
        <family val="0"/>
        <charset val="1"/>
      </rPr>
      <t xml:space="preserve">[°]</t>
    </r>
  </si>
  <si>
    <r>
      <rPr>
        <sz val="9"/>
        <color rgb="FF8A93A3"/>
        <rFont val="Arial"/>
        <family val="0"/>
        <charset val="1"/>
      </rPr>
      <t xml:space="preserve">0°</t>
    </r>
    <r>
      <rPr>
        <sz val="9"/>
        <color rgb="FF8A93A3"/>
        <rFont val="Noto Sans CJK SC"/>
        <family val="2"/>
      </rPr>
      <t xml:space="preserve">に近いほど </t>
    </r>
    <r>
      <rPr>
        <sz val="9"/>
        <color rgb="FF8A93A3"/>
        <rFont val="Arial"/>
        <family val="0"/>
        <charset val="1"/>
      </rPr>
      <t xml:space="preserve">X</t>
    </r>
    <r>
      <rPr>
        <sz val="9"/>
        <color rgb="FF8A93A3"/>
        <rFont val="Noto Sans CJK SC"/>
        <family val="2"/>
      </rPr>
      <t xml:space="preserve">軸＝長手。大きくずれたら座標を回して入れ直す</t>
    </r>
  </si>
  <si>
    <t xml:space="preserve">Xmin [mm]</t>
  </si>
  <si>
    <t xml:space="preserve">Xmax [mm]</t>
  </si>
  <si>
    <t xml:space="preserve">Ymin [mm]</t>
  </si>
  <si>
    <t xml:space="preserve">Ymax [mm]</t>
  </si>
  <si>
    <r>
      <rPr>
        <sz val="10"/>
        <color rgb="FFE6E8EC"/>
        <rFont val="Arial"/>
        <family val="0"/>
        <charset val="1"/>
      </rPr>
      <t xml:space="preserve">X</t>
    </r>
    <r>
      <rPr>
        <sz val="10"/>
        <color rgb="FFE6E8EC"/>
        <rFont val="Noto Sans CJK SC"/>
        <family val="2"/>
      </rPr>
      <t xml:space="preserve">方向の長さ </t>
    </r>
    <r>
      <rPr>
        <sz val="10"/>
        <color rgb="FFE6E8EC"/>
        <rFont val="Arial"/>
        <family val="0"/>
        <charset val="1"/>
      </rPr>
      <t xml:space="preserve">[mm]</t>
    </r>
  </si>
  <si>
    <r>
      <rPr>
        <sz val="10"/>
        <color rgb="FFE6E8EC"/>
        <rFont val="Arial"/>
        <family val="0"/>
        <charset val="1"/>
      </rPr>
      <t xml:space="preserve">Y</t>
    </r>
    <r>
      <rPr>
        <sz val="10"/>
        <color rgb="FFE6E8EC"/>
        <rFont val="Noto Sans CJK SC"/>
        <family val="2"/>
      </rPr>
      <t xml:space="preserve">方向の長さ </t>
    </r>
    <r>
      <rPr>
        <sz val="10"/>
        <color rgb="FFE6E8EC"/>
        <rFont val="Arial"/>
        <family val="0"/>
        <charset val="1"/>
      </rPr>
      <t xml:space="preserve">[mm]</t>
    </r>
  </si>
  <si>
    <r>
      <rPr>
        <sz val="10"/>
        <color rgb="FFE6E8EC"/>
        <rFont val="Noto Sans CJK SC"/>
        <family val="2"/>
      </rPr>
      <t xml:space="preserve">推奨 </t>
    </r>
    <r>
      <rPr>
        <sz val="10"/>
        <color rgb="FFE6E8EC"/>
        <rFont val="Arial"/>
        <family val="0"/>
        <charset val="1"/>
      </rPr>
      <t xml:space="preserve">L</t>
    </r>
    <r>
      <rPr>
        <sz val="10"/>
        <color rgb="FFE6E8EC"/>
        <rFont val="Noto Sans CJK SC"/>
        <family val="2"/>
      </rPr>
      <t xml:space="preserve">（長手長さ）</t>
    </r>
    <r>
      <rPr>
        <sz val="10"/>
        <color rgb="FFE6E8EC"/>
        <rFont val="Arial"/>
        <family val="0"/>
        <charset val="1"/>
      </rPr>
      <t xml:space="preserve">[mm]</t>
    </r>
  </si>
  <si>
    <t xml:space="preserve">はり（梁）の長さとして使う値</t>
  </si>
  <si>
    <r>
      <rPr>
        <sz val="10"/>
        <color rgb="FFE6E8EC"/>
        <rFont val="Noto Sans CJK SC"/>
        <family val="2"/>
      </rPr>
      <t xml:space="preserve">推奨 </t>
    </r>
    <r>
      <rPr>
        <sz val="10"/>
        <color rgb="FFE6E8EC"/>
        <rFont val="Arial"/>
        <family val="0"/>
        <charset val="1"/>
      </rPr>
      <t xml:space="preserve">w</t>
    </r>
    <r>
      <rPr>
        <sz val="10"/>
        <color rgb="FFE6E8EC"/>
        <rFont val="Noto Sans CJK SC"/>
        <family val="2"/>
      </rPr>
      <t xml:space="preserve">（穴を引く前）</t>
    </r>
    <r>
      <rPr>
        <sz val="10"/>
        <color rgb="FFE6E8EC"/>
        <rFont val="Arial"/>
        <family val="0"/>
        <charset val="1"/>
      </rPr>
      <t xml:space="preserve">[mm]</t>
    </r>
  </si>
  <si>
    <r>
      <rPr>
        <sz val="9"/>
        <color rgb="FF8A93A3"/>
        <rFont val="Noto Sans CJK SC"/>
        <family val="2"/>
      </rPr>
      <t xml:space="preserve">外形面積 </t>
    </r>
    <r>
      <rPr>
        <sz val="9"/>
        <color rgb="FF8A93A3"/>
        <rFont val="Arial"/>
        <family val="0"/>
        <charset val="1"/>
      </rPr>
      <t xml:space="preserve">÷ </t>
    </r>
    <r>
      <rPr>
        <sz val="9"/>
        <color rgb="FF8A93A3"/>
        <rFont val="Noto Sans CJK SC"/>
        <family val="2"/>
      </rPr>
      <t xml:space="preserve">長さ ＝ 平均の幅</t>
    </r>
  </si>
  <si>
    <r>
      <rPr>
        <b val="true"/>
        <sz val="12"/>
        <color rgb="FF7DB4FF"/>
        <rFont val="Noto Sans CJK SC"/>
        <family val="2"/>
      </rPr>
      <t xml:space="preserve">■ 穴（あな）の入力  ★ここに </t>
    </r>
    <r>
      <rPr>
        <b val="true"/>
        <sz val="12"/>
        <color rgb="FF7DB4FF"/>
        <rFont val="Arial"/>
        <family val="0"/>
        <charset val="1"/>
      </rPr>
      <t xml:space="preserve">2</t>
    </r>
    <r>
      <rPr>
        <b val="true"/>
        <sz val="12"/>
        <color rgb="FF7DB4FF"/>
        <rFont val="Noto Sans CJK SC"/>
        <family val="2"/>
      </rPr>
      <t xml:space="preserve">つの穴を入れます（最大</t>
    </r>
    <r>
      <rPr>
        <b val="true"/>
        <sz val="12"/>
        <color rgb="FF7DB4FF"/>
        <rFont val="Arial"/>
        <family val="0"/>
        <charset val="1"/>
      </rPr>
      <t xml:space="preserve">4</t>
    </r>
    <r>
      <rPr>
        <b val="true"/>
        <sz val="12"/>
        <color rgb="FF7DB4FF"/>
        <rFont val="Noto Sans CJK SC"/>
        <family val="2"/>
      </rPr>
      <t xml:space="preserve">個）</t>
    </r>
  </si>
  <si>
    <r>
      <rPr>
        <b val="true"/>
        <sz val="9"/>
        <color rgb="FFE6E8EC"/>
        <rFont val="Noto Sans CJK SC"/>
        <family val="2"/>
      </rPr>
      <t xml:space="preserve">使用</t>
    </r>
    <r>
      <rPr>
        <b val="true"/>
        <sz val="9"/>
        <color rgb="FFE6E8EC"/>
        <rFont val="Arial"/>
        <family val="0"/>
        <charset val="1"/>
      </rPr>
      <t xml:space="preserve">1/0</t>
    </r>
  </si>
  <si>
    <r>
      <rPr>
        <b val="true"/>
        <sz val="9"/>
        <color rgb="FFE6E8EC"/>
        <rFont val="Noto Sans CJK SC"/>
        <family val="2"/>
      </rPr>
      <t xml:space="preserve">中心</t>
    </r>
    <r>
      <rPr>
        <b val="true"/>
        <sz val="9"/>
        <color rgb="FFE6E8EC"/>
        <rFont val="Arial"/>
        <family val="0"/>
        <charset val="1"/>
      </rPr>
      <t xml:space="preserve">X [mm]</t>
    </r>
  </si>
  <si>
    <r>
      <rPr>
        <b val="true"/>
        <sz val="9"/>
        <color rgb="FFE6E8EC"/>
        <rFont val="Noto Sans CJK SC"/>
        <family val="2"/>
      </rPr>
      <t xml:space="preserve">中心</t>
    </r>
    <r>
      <rPr>
        <b val="true"/>
        <sz val="9"/>
        <color rgb="FFE6E8EC"/>
        <rFont val="Arial"/>
        <family val="0"/>
        <charset val="1"/>
      </rPr>
      <t xml:space="preserve">Y [mm]</t>
    </r>
  </si>
  <si>
    <r>
      <rPr>
        <b val="true"/>
        <sz val="9"/>
        <color rgb="FFE6E8EC"/>
        <rFont val="Noto Sans CJK SC"/>
        <family val="2"/>
      </rPr>
      <t xml:space="preserve">直径 </t>
    </r>
    <r>
      <rPr>
        <b val="true"/>
        <sz val="9"/>
        <color rgb="FFE6E8EC"/>
        <rFont val="Arial"/>
        <family val="0"/>
        <charset val="1"/>
      </rPr>
      <t xml:space="preserve">d [mm]</t>
    </r>
  </si>
  <si>
    <r>
      <rPr>
        <b val="true"/>
        <sz val="9"/>
        <color rgb="FFE6E8EC"/>
        <rFont val="Noto Sans CJK SC"/>
        <family val="2"/>
      </rPr>
      <t xml:space="preserve">穴面積 </t>
    </r>
    <r>
      <rPr>
        <b val="true"/>
        <sz val="9"/>
        <color rgb="FFE6E8EC"/>
        <rFont val="Arial"/>
        <family val="0"/>
        <charset val="1"/>
      </rPr>
      <t xml:space="preserve">[mm²]</t>
    </r>
  </si>
  <si>
    <r>
      <rPr>
        <b val="true"/>
        <sz val="9"/>
        <color rgb="FFE6E8EC"/>
        <rFont val="Arial"/>
        <family val="0"/>
        <charset val="1"/>
      </rPr>
      <t xml:space="preserve">Ixx</t>
    </r>
    <r>
      <rPr>
        <b val="true"/>
        <sz val="9"/>
        <color rgb="FFE6E8EC"/>
        <rFont val="Noto Sans CJK SC"/>
        <family val="2"/>
      </rPr>
      <t xml:space="preserve">寄与 </t>
    </r>
    <r>
      <rPr>
        <b val="true"/>
        <sz val="9"/>
        <color rgb="FFE6E8EC"/>
        <rFont val="Arial"/>
        <family val="0"/>
        <charset val="1"/>
      </rPr>
      <t xml:space="preserve">[mm⁴]</t>
    </r>
  </si>
  <si>
    <r>
      <rPr>
        <b val="true"/>
        <sz val="9"/>
        <color rgb="FFE6E8EC"/>
        <rFont val="Arial"/>
        <family val="0"/>
        <charset val="1"/>
      </rPr>
      <t xml:space="preserve">Iyy</t>
    </r>
    <r>
      <rPr>
        <b val="true"/>
        <sz val="9"/>
        <color rgb="FFE6E8EC"/>
        <rFont val="Noto Sans CJK SC"/>
        <family val="2"/>
      </rPr>
      <t xml:space="preserve">寄与 </t>
    </r>
    <r>
      <rPr>
        <b val="true"/>
        <sz val="9"/>
        <color rgb="FFE6E8EC"/>
        <rFont val="Arial"/>
        <family val="0"/>
        <charset val="1"/>
      </rPr>
      <t xml:space="preserve">[mm⁴]</t>
    </r>
  </si>
  <si>
    <t xml:space="preserve">メモ</t>
  </si>
  <si>
    <r>
      <rPr>
        <sz val="9"/>
        <color rgb="FF8A93A3"/>
        <rFont val="Arial"/>
        <family val="0"/>
        <charset val="1"/>
      </rPr>
      <t xml:space="preserve">a.jpg </t>
    </r>
    <r>
      <rPr>
        <sz val="9"/>
        <color rgb="FF8A93A3"/>
        <rFont val="Noto Sans CJK SC"/>
        <family val="2"/>
      </rPr>
      <t xml:space="preserve">をトレースした例（全長</t>
    </r>
    <r>
      <rPr>
        <sz val="9"/>
        <color rgb="FF8A93A3"/>
        <rFont val="Arial"/>
        <family val="0"/>
        <charset val="1"/>
      </rPr>
      <t xml:space="preserve">110mm</t>
    </r>
    <r>
      <rPr>
        <sz val="9"/>
        <color rgb="FF8A93A3"/>
        <rFont val="Noto Sans CJK SC"/>
        <family val="2"/>
      </rPr>
      <t xml:space="preserve">換算）。必ずノギスの実測値に置き換える 🔴</t>
    </r>
  </si>
  <si>
    <r>
      <rPr>
        <sz val="9"/>
        <color rgb="FF8A93A3"/>
        <rFont val="Noto Sans CJK SC"/>
        <family val="2"/>
      </rPr>
      <t xml:space="preserve">予備（</t>
    </r>
    <r>
      <rPr>
        <sz val="9"/>
        <color rgb="FF8A93A3"/>
        <rFont val="Arial"/>
        <family val="0"/>
        <charset val="1"/>
      </rPr>
      <t xml:space="preserve">3</t>
    </r>
    <r>
      <rPr>
        <sz val="9"/>
        <color rgb="FF8A93A3"/>
        <rFont val="Noto Sans CJK SC"/>
        <family val="2"/>
      </rPr>
      <t xml:space="preserve">つ目・</t>
    </r>
    <r>
      <rPr>
        <sz val="9"/>
        <color rgb="FF8A93A3"/>
        <rFont val="Arial"/>
        <family val="0"/>
        <charset val="1"/>
      </rPr>
      <t xml:space="preserve">4</t>
    </r>
    <r>
      <rPr>
        <sz val="9"/>
        <color rgb="FF8A93A3"/>
        <rFont val="Noto Sans CJK SC"/>
        <family val="2"/>
      </rPr>
      <t xml:space="preserve">つ目の穴があるとき使う）</t>
    </r>
  </si>
  <si>
    <t xml:space="preserve">■ 穴を引いたあとの「正味（しょうみ）」の値（ここから先の計算はぜんぶこれを使います）</t>
  </si>
  <si>
    <r>
      <rPr>
        <sz val="10"/>
        <color rgb="FFE6E8EC"/>
        <rFont val="Noto Sans CJK SC"/>
        <family val="2"/>
      </rPr>
      <t xml:space="preserve">穴の合計面積 </t>
    </r>
    <r>
      <rPr>
        <sz val="10"/>
        <color rgb="FFE6E8EC"/>
        <rFont val="Arial"/>
        <family val="0"/>
        <charset val="1"/>
      </rPr>
      <t xml:space="preserve">[mm²]</t>
    </r>
  </si>
  <si>
    <r>
      <rPr>
        <sz val="9"/>
        <color rgb="FF8A93A3"/>
        <rFont val="Arial"/>
        <family val="0"/>
        <charset val="1"/>
      </rPr>
      <t xml:space="preserve">π/4 × d² </t>
    </r>
    <r>
      <rPr>
        <sz val="9"/>
        <color rgb="FF8A93A3"/>
        <rFont val="Noto Sans CJK SC"/>
        <family val="2"/>
      </rPr>
      <t xml:space="preserve">の合計</t>
    </r>
  </si>
  <si>
    <r>
      <rPr>
        <sz val="10"/>
        <color rgb="FFE6E8EC"/>
        <rFont val="Noto Sans CJK SC"/>
        <family val="2"/>
      </rPr>
      <t xml:space="preserve">正味面積 </t>
    </r>
    <r>
      <rPr>
        <sz val="10"/>
        <color rgb="FFE6E8EC"/>
        <rFont val="Arial"/>
        <family val="0"/>
        <charset val="1"/>
      </rPr>
      <t xml:space="preserve">A_net [mm²]</t>
    </r>
  </si>
  <si>
    <t xml:space="preserve">外形面積 − 穴  🟢</t>
  </si>
  <si>
    <r>
      <rPr>
        <sz val="10"/>
        <color rgb="FFE6E8EC"/>
        <rFont val="Noto Sans CJK SC"/>
        <family val="2"/>
      </rPr>
      <t xml:space="preserve">正味 重心 </t>
    </r>
    <r>
      <rPr>
        <sz val="10"/>
        <color rgb="FFE6E8EC"/>
        <rFont val="Arial"/>
        <family val="0"/>
        <charset val="1"/>
      </rPr>
      <t xml:space="preserve">Cx [mm]</t>
    </r>
  </si>
  <si>
    <t xml:space="preserve">穴があると重心もずれる  🟢</t>
  </si>
  <si>
    <r>
      <rPr>
        <sz val="10"/>
        <color rgb="FFE6E8EC"/>
        <rFont val="Noto Sans CJK SC"/>
        <family val="2"/>
      </rPr>
      <t xml:space="preserve">正味 重心 </t>
    </r>
    <r>
      <rPr>
        <sz val="10"/>
        <color rgb="FFE6E8EC"/>
        <rFont val="Arial"/>
        <family val="0"/>
        <charset val="1"/>
      </rPr>
      <t xml:space="preserve">Cy [mm]</t>
    </r>
  </si>
  <si>
    <r>
      <rPr>
        <sz val="10"/>
        <color rgb="FFE6E8EC"/>
        <rFont val="Noto Sans CJK SC"/>
        <family val="2"/>
      </rPr>
      <t xml:space="preserve">正味 </t>
    </r>
    <r>
      <rPr>
        <sz val="10"/>
        <color rgb="FFE6E8EC"/>
        <rFont val="Arial"/>
        <family val="0"/>
        <charset val="1"/>
      </rPr>
      <t xml:space="preserve">Ixx [mm⁴]</t>
    </r>
  </si>
  <si>
    <t xml:space="preserve">平行軸の定理で正味重心まわりに直してから穴を引く  🟢</t>
  </si>
  <si>
    <r>
      <rPr>
        <sz val="10"/>
        <color rgb="FFE6E8EC"/>
        <rFont val="Noto Sans CJK SC"/>
        <family val="2"/>
      </rPr>
      <t xml:space="preserve">正味 </t>
    </r>
    <r>
      <rPr>
        <sz val="10"/>
        <color rgb="FFE6E8EC"/>
        <rFont val="Arial"/>
        <family val="0"/>
        <charset val="1"/>
      </rPr>
      <t xml:space="preserve">Iyy [mm⁴]</t>
    </r>
  </si>
  <si>
    <r>
      <rPr>
        <sz val="10"/>
        <color rgb="FFE6E8EC"/>
        <rFont val="Noto Sans CJK SC"/>
        <family val="2"/>
      </rPr>
      <t xml:space="preserve">穴による面積の減り </t>
    </r>
    <r>
      <rPr>
        <sz val="10"/>
        <color rgb="FFE6E8EC"/>
        <rFont val="Arial"/>
        <family val="0"/>
        <charset val="1"/>
      </rPr>
      <t xml:space="preserve">[%]</t>
    </r>
  </si>
  <si>
    <t xml:space="preserve">そのまま質量の減りに効きます</t>
  </si>
  <si>
    <r>
      <rPr>
        <sz val="10"/>
        <color rgb="FFE6E8EC"/>
        <rFont val="Noto Sans CJK SC"/>
        <family val="2"/>
      </rPr>
      <t xml:space="preserve">穴による </t>
    </r>
    <r>
      <rPr>
        <sz val="10"/>
        <color rgb="FFE6E8EC"/>
        <rFont val="Arial"/>
        <family val="0"/>
        <charset val="1"/>
      </rPr>
      <t xml:space="preserve">Ixx </t>
    </r>
    <r>
      <rPr>
        <sz val="10"/>
        <color rgb="FFE6E8EC"/>
        <rFont val="Noto Sans CJK SC"/>
        <family val="2"/>
      </rPr>
      <t xml:space="preserve">の減り </t>
    </r>
    <r>
      <rPr>
        <sz val="10"/>
        <color rgb="FFE6E8EC"/>
        <rFont val="Arial"/>
        <family val="0"/>
        <charset val="1"/>
      </rPr>
      <t xml:space="preserve">[%]</t>
    </r>
  </si>
  <si>
    <t xml:space="preserve">面内曲げの剛性がどれだけ落ちるか</t>
  </si>
  <si>
    <r>
      <rPr>
        <b val="true"/>
        <sz val="12"/>
        <color rgb="FF7DB4FF"/>
        <rFont val="Noto Sans CJK SC"/>
        <family val="2"/>
      </rPr>
      <t xml:space="preserve">■ 実際に使う寸法（自動採用。手で上書きしたいときだけ </t>
    </r>
    <r>
      <rPr>
        <b val="true"/>
        <sz val="12"/>
        <color rgb="FF7DB4FF"/>
        <rFont val="Arial"/>
        <family val="0"/>
        <charset val="1"/>
      </rPr>
      <t xml:space="preserve">D</t>
    </r>
    <r>
      <rPr>
        <b val="true"/>
        <sz val="12"/>
        <color rgb="FF7DB4FF"/>
        <rFont val="Noto Sans CJK SC"/>
        <family val="2"/>
      </rPr>
      <t xml:space="preserve">列 に数値を書く）</t>
    </r>
  </si>
  <si>
    <r>
      <rPr>
        <b val="true"/>
        <sz val="10"/>
        <color rgb="FFE6E8EC"/>
        <rFont val="Noto Sans CJK SC"/>
        <family val="2"/>
      </rPr>
      <t xml:space="preserve">採用 </t>
    </r>
    <r>
      <rPr>
        <b val="true"/>
        <sz val="10"/>
        <color rgb="FFE6E8EC"/>
        <rFont val="Arial"/>
        <family val="0"/>
        <charset val="1"/>
      </rPr>
      <t xml:space="preserve">L</t>
    </r>
    <r>
      <rPr>
        <b val="true"/>
        <sz val="10"/>
        <color rgb="FFE6E8EC"/>
        <rFont val="Noto Sans CJK SC"/>
        <family val="2"/>
      </rPr>
      <t xml:space="preserve">（長手長さ）</t>
    </r>
    <r>
      <rPr>
        <b val="true"/>
        <sz val="10"/>
        <color rgb="FFE6E8EC"/>
        <rFont val="Arial"/>
        <family val="0"/>
        <charset val="1"/>
      </rPr>
      <t xml:space="preserve">[mm]</t>
    </r>
  </si>
  <si>
    <r>
      <rPr>
        <sz val="9"/>
        <color rgb="FF8A93A3"/>
        <rFont val="Noto Sans CJK SC"/>
        <family val="2"/>
      </rPr>
      <t xml:space="preserve">← 手入力で上書き</t>
    </r>
    <r>
      <rPr>
        <sz val="9"/>
        <color rgb="FF8A93A3"/>
        <rFont val="Arial"/>
        <family val="0"/>
        <charset val="1"/>
      </rPr>
      <t xml:space="preserve">:</t>
    </r>
  </si>
  <si>
    <r>
      <rPr>
        <b val="true"/>
        <sz val="10"/>
        <color rgb="FFE6E8EC"/>
        <rFont val="Noto Sans CJK SC"/>
        <family val="2"/>
      </rPr>
      <t xml:space="preserve">採用 </t>
    </r>
    <r>
      <rPr>
        <b val="true"/>
        <sz val="10"/>
        <color rgb="FFE6E8EC"/>
        <rFont val="Arial"/>
        <family val="0"/>
        <charset val="1"/>
      </rPr>
      <t xml:space="preserve">w</t>
    </r>
    <r>
      <rPr>
        <b val="true"/>
        <sz val="10"/>
        <color rgb="FFE6E8EC"/>
        <rFont val="Noto Sans CJK SC"/>
        <family val="2"/>
      </rPr>
      <t xml:space="preserve">（正味の等価幅）</t>
    </r>
    <r>
      <rPr>
        <b val="true"/>
        <sz val="10"/>
        <color rgb="FFE6E8EC"/>
        <rFont val="Arial"/>
        <family val="0"/>
        <charset val="1"/>
      </rPr>
      <t xml:space="preserve">[mm]</t>
    </r>
  </si>
  <si>
    <r>
      <rPr>
        <b val="true"/>
        <sz val="10"/>
        <color rgb="FFE6E8EC"/>
        <rFont val="Noto Sans CJK SC"/>
        <family val="2"/>
      </rPr>
      <t xml:space="preserve">採用 </t>
    </r>
    <r>
      <rPr>
        <b val="true"/>
        <sz val="10"/>
        <color rgb="FFE6E8EC"/>
        <rFont val="Arial"/>
        <family val="0"/>
        <charset val="1"/>
      </rPr>
      <t xml:space="preserve">Ixx</t>
    </r>
    <r>
      <rPr>
        <b val="true"/>
        <sz val="10"/>
        <color rgb="FFE6E8EC"/>
        <rFont val="Noto Sans CJK SC"/>
        <family val="2"/>
      </rPr>
      <t xml:space="preserve">（正味）</t>
    </r>
    <r>
      <rPr>
        <b val="true"/>
        <sz val="10"/>
        <color rgb="FFE6E8EC"/>
        <rFont val="Arial"/>
        <family val="0"/>
        <charset val="1"/>
      </rPr>
      <t xml:space="preserve">[mm⁴]</t>
    </r>
  </si>
  <si>
    <t xml:space="preserve">■ 入力チェック（ここが🟢でなければ先へ進まないこと）</t>
  </si>
  <si>
    <t xml:space="preserve">入隅（凹み）の数</t>
  </si>
  <si>
    <r>
      <rPr>
        <sz val="9"/>
        <color rgb="FF8A93A3"/>
        <rFont val="Noto Sans CJK SC"/>
        <family val="2"/>
      </rPr>
      <t xml:space="preserve">スリット・爪・耳があると入隅ができる。</t>
    </r>
    <r>
      <rPr>
        <sz val="9"/>
        <color rgb="FF8A93A3"/>
        <rFont val="Arial"/>
        <family val="0"/>
        <charset val="1"/>
      </rPr>
      <t xml:space="preserve">0</t>
    </r>
    <r>
      <rPr>
        <sz val="9"/>
        <color rgb="FF8A93A3"/>
        <rFont val="Noto Sans CJK SC"/>
        <family val="2"/>
      </rPr>
      <t xml:space="preserve">なら完全な凸多角形</t>
    </r>
  </si>
  <si>
    <r>
      <rPr>
        <sz val="10"/>
        <color rgb="FFE6E8EC"/>
        <rFont val="Noto Sans CJK SC"/>
        <family val="2"/>
      </rPr>
      <t xml:space="preserve">内角の合計 </t>
    </r>
    <r>
      <rPr>
        <sz val="10"/>
        <color rgb="FFE6E8EC"/>
        <rFont val="Arial"/>
        <family val="0"/>
        <charset val="1"/>
      </rPr>
      <t xml:space="preserve">[°]</t>
    </r>
  </si>
  <si>
    <t xml:space="preserve">多角形の内角の和</t>
  </si>
  <si>
    <r>
      <rPr>
        <sz val="10"/>
        <color rgb="FFE6E8EC"/>
        <rFont val="Noto Sans CJK SC"/>
        <family val="2"/>
      </rPr>
      <t xml:space="preserve">内角合計の理論値 </t>
    </r>
    <r>
      <rPr>
        <sz val="10"/>
        <color rgb="FFE6E8EC"/>
        <rFont val="Arial"/>
        <family val="0"/>
        <charset val="1"/>
      </rPr>
      <t xml:space="preserve">[°]</t>
    </r>
  </si>
  <si>
    <t xml:space="preserve">(N−2)×180</t>
  </si>
  <si>
    <t xml:space="preserve">頂点の並び チェック</t>
  </si>
  <si>
    <r>
      <rPr>
        <sz val="9"/>
        <color rgb="FF8A93A3"/>
        <rFont val="Arial"/>
        <family val="0"/>
        <charset val="1"/>
      </rPr>
      <t xml:space="preserve">NG</t>
    </r>
    <r>
      <rPr>
        <sz val="9"/>
        <color rgb="FF8A93A3"/>
        <rFont val="Noto Sans CJK SC"/>
        <family val="2"/>
      </rPr>
      <t xml:space="preserve">なら飛び飛びの順番になっています</t>
    </r>
  </si>
  <si>
    <t xml:space="preserve">穴のはみ出し チェック</t>
  </si>
  <si>
    <t xml:space="preserve">直径の入れ間違い（半径を入れた等）を検出</t>
  </si>
  <si>
    <r>
      <rPr>
        <sz val="10"/>
        <color rgb="FFE6E8EC"/>
        <rFont val="Noto Sans CJK SC"/>
        <family val="2"/>
      </rPr>
      <t xml:space="preserve">アスペクト比 </t>
    </r>
    <r>
      <rPr>
        <sz val="10"/>
        <color rgb="FFE6E8EC"/>
        <rFont val="Arial"/>
        <family val="0"/>
        <charset val="1"/>
      </rPr>
      <t xml:space="preserve">L/w</t>
    </r>
  </si>
  <si>
    <r>
      <rPr>
        <sz val="9"/>
        <color rgb="FF8A93A3"/>
        <rFont val="Arial"/>
        <family val="0"/>
        <charset val="1"/>
      </rPr>
      <t xml:space="preserve">3</t>
    </r>
    <r>
      <rPr>
        <sz val="9"/>
        <color rgb="FF8A93A3"/>
        <rFont val="Noto Sans CJK SC"/>
        <family val="2"/>
      </rPr>
      <t xml:space="preserve">以上なら「はり」として扱える。</t>
    </r>
    <r>
      <rPr>
        <sz val="9"/>
        <color rgb="FF8A93A3"/>
        <rFont val="Arial"/>
        <family val="0"/>
        <charset val="1"/>
      </rPr>
      <t xml:space="preserve">2</t>
    </r>
    <r>
      <rPr>
        <sz val="9"/>
        <color rgb="FF8A93A3"/>
        <rFont val="Noto Sans CJK SC"/>
        <family val="2"/>
      </rPr>
      <t xml:space="preserve">未満なら板として扱うべき 🟡</t>
    </r>
  </si>
  <si>
    <t xml:space="preserve">はり近似の妥当性</t>
  </si>
  <si>
    <r>
      <rPr>
        <sz val="9"/>
        <color rgb="FF8A93A3"/>
        <rFont val="Noto Sans CJK SC"/>
        <family val="2"/>
      </rPr>
      <t xml:space="preserve">細長いほど「</t>
    </r>
    <r>
      <rPr>
        <sz val="9"/>
        <color rgb="FF8A93A3"/>
        <rFont val="Arial"/>
        <family val="0"/>
        <charset val="1"/>
      </rPr>
      <t xml:space="preserve">1</t>
    </r>
    <r>
      <rPr>
        <sz val="9"/>
        <color rgb="FF8A93A3"/>
        <rFont val="Noto Sans CJK SC"/>
        <family val="2"/>
      </rPr>
      <t xml:space="preserve">本の棒」とみなせる</t>
    </r>
  </si>
  <si>
    <t xml:space="preserve">■ 穴を入れると何が変わるのか（考え方）</t>
  </si>
  <si>
    <r>
      <rPr>
        <sz val="9.5"/>
        <color rgb="FFB9C1D1"/>
        <rFont val="Noto Sans CJK SC"/>
        <family val="2"/>
      </rPr>
      <t xml:space="preserve">① 面積が減る → 質量が減る → </t>
    </r>
    <r>
      <rPr>
        <sz val="9.5"/>
        <color rgb="FFB9C1D1"/>
        <rFont val="Arial"/>
        <family val="0"/>
        <charset val="1"/>
      </rPr>
      <t xml:space="preserve">ρA</t>
    </r>
    <r>
      <rPr>
        <sz val="9.5"/>
        <color rgb="FFB9C1D1"/>
        <rFont val="Noto Sans CJK SC"/>
        <family val="2"/>
      </rPr>
      <t xml:space="preserve">（</t>
    </r>
    <r>
      <rPr>
        <sz val="9.5"/>
        <color rgb="FFB9C1D1"/>
        <rFont val="Arial"/>
        <family val="0"/>
        <charset val="1"/>
      </rPr>
      <t xml:space="preserve">1m</t>
    </r>
    <r>
      <rPr>
        <sz val="9.5"/>
        <color rgb="FFB9C1D1"/>
        <rFont val="Noto Sans CJK SC"/>
        <family val="2"/>
      </rPr>
      <t xml:space="preserve">あたりの重さ）が減る → 周波数は上がる方向</t>
    </r>
  </si>
  <si>
    <r>
      <rPr>
        <sz val="9.5"/>
        <color rgb="FFB9C1D1"/>
        <rFont val="Noto Sans CJK SC"/>
        <family val="2"/>
      </rPr>
      <t xml:space="preserve">② 断面二次モーメントが減る → 曲げ剛性 </t>
    </r>
    <r>
      <rPr>
        <sz val="9.5"/>
        <color rgb="FFB9C1D1"/>
        <rFont val="Arial"/>
        <family val="0"/>
        <charset val="1"/>
      </rPr>
      <t xml:space="preserve">EI </t>
    </r>
    <r>
      <rPr>
        <sz val="9.5"/>
        <color rgb="FFB9C1D1"/>
        <rFont val="Noto Sans CJK SC"/>
        <family val="2"/>
      </rPr>
      <t xml:space="preserve">が減る → 周波数は下がる方向</t>
    </r>
  </si>
  <si>
    <t xml:space="preserve">③ 実際は ①と②が綱引きします。穴が中央（曲げの腹）にあるほど②が勝ち、端にあるほど①が勝ちます。</t>
  </si>
  <si>
    <t xml:space="preserve">④ このブックは「長さ方向に平均した」扱いです。穴の位置による効き方の違いまでは見ていません（🟡）。</t>
  </si>
  <si>
    <r>
      <rPr>
        <sz val="9.5"/>
        <color rgb="FFB9C1D1"/>
        <rFont val="Noto Sans CJK SC"/>
        <family val="2"/>
      </rPr>
      <t xml:space="preserve">　 位置の効きまで欲しくなったら、そこが </t>
    </r>
    <r>
      <rPr>
        <sz val="9.5"/>
        <color rgb="FFB9C1D1"/>
        <rFont val="Arial"/>
        <family val="0"/>
        <charset val="1"/>
      </rPr>
      <t xml:space="preserve">FEM </t>
    </r>
    <r>
      <rPr>
        <sz val="9.5"/>
        <color rgb="FFB9C1D1"/>
        <rFont val="Noto Sans CJK SC"/>
        <family val="2"/>
      </rPr>
      <t xml:space="preserve">に移るタイミングです。</t>
    </r>
  </si>
  <si>
    <r>
      <rPr>
        <b val="true"/>
        <sz val="14"/>
        <color rgb="FFEBD9FF"/>
        <rFont val="Noto Sans CJK SC"/>
        <family val="2"/>
      </rPr>
      <t xml:space="preserve">② 断面（積層）— シム＋裏板（＋任意で接着</t>
    </r>
    <r>
      <rPr>
        <b val="true"/>
        <sz val="14"/>
        <color rgb="FFEBD9FF"/>
        <rFont val="Arial"/>
        <family val="0"/>
        <charset val="1"/>
      </rPr>
      <t xml:space="preserve">/</t>
    </r>
    <r>
      <rPr>
        <b val="true"/>
        <sz val="14"/>
        <color rgb="FFEBD9FF"/>
        <rFont val="Noto Sans CJK SC"/>
        <family val="2"/>
      </rPr>
      <t xml:space="preserve">固定層）を</t>
    </r>
    <r>
      <rPr>
        <b val="true"/>
        <sz val="14"/>
        <color rgb="FFEBD9FF"/>
        <rFont val="Arial"/>
        <family val="0"/>
        <charset val="1"/>
      </rPr>
      <t xml:space="preserve">1</t>
    </r>
    <r>
      <rPr>
        <b val="true"/>
        <sz val="14"/>
        <color rgb="FFEBD9FF"/>
        <rFont val="Noto Sans CJK SC"/>
        <family val="2"/>
      </rPr>
      <t xml:space="preserve">本の「はり」に合成　※摩擦材は含みません</t>
    </r>
  </si>
  <si>
    <r>
      <rPr>
        <sz val="9"/>
        <color rgb="FFA9B2C3"/>
        <rFont val="Noto Sans CJK SC"/>
        <family val="2"/>
      </rPr>
      <t xml:space="preserve">変換断面法（へんかんだんめんほう／</t>
    </r>
    <r>
      <rPr>
        <sz val="9"/>
        <color rgb="FFA9B2C3"/>
        <rFont val="Arial"/>
        <family val="0"/>
        <charset val="1"/>
      </rPr>
      <t xml:space="preserve">transformed section</t>
    </r>
    <r>
      <rPr>
        <sz val="9"/>
        <color rgb="FFA9B2C3"/>
        <rFont val="Noto Sans CJK SC"/>
        <family val="2"/>
      </rPr>
      <t xml:space="preserve">）で 曲げ剛性</t>
    </r>
    <r>
      <rPr>
        <sz val="9"/>
        <color rgb="FFA9B2C3"/>
        <rFont val="Arial"/>
        <family val="0"/>
        <charset val="1"/>
      </rPr>
      <t xml:space="preserve">EI</t>
    </r>
    <r>
      <rPr>
        <sz val="9"/>
        <color rgb="FFA9B2C3"/>
        <rFont val="Noto Sans CJK SC"/>
        <family val="2"/>
      </rPr>
      <t xml:space="preserve">・単位長さ質量</t>
    </r>
    <r>
      <rPr>
        <sz val="9"/>
        <color rgb="FFA9B2C3"/>
        <rFont val="Arial"/>
        <family val="0"/>
        <charset val="1"/>
      </rPr>
      <t xml:space="preserve">ρA</t>
    </r>
    <r>
      <rPr>
        <sz val="9"/>
        <color rgb="FFA9B2C3"/>
        <rFont val="Noto Sans CJK SC"/>
        <family val="2"/>
      </rPr>
      <t xml:space="preserve">・中立軸（ちゅうりつじく）を求める  🟢</t>
    </r>
  </si>
  <si>
    <r>
      <rPr>
        <sz val="10"/>
        <color rgb="FFE6E8EC"/>
        <rFont val="Noto Sans CJK SC"/>
        <family val="2"/>
      </rPr>
      <t xml:space="preserve">幅 </t>
    </r>
    <r>
      <rPr>
        <sz val="10"/>
        <color rgb="FFE6E8EC"/>
        <rFont val="Arial"/>
        <family val="0"/>
        <charset val="1"/>
      </rPr>
      <t xml:space="preserve">w [m]</t>
    </r>
    <r>
      <rPr>
        <sz val="10"/>
        <color rgb="FFE6E8EC"/>
        <rFont val="Noto Sans CJK SC"/>
        <family val="2"/>
      </rPr>
      <t xml:space="preserve">（＝形状の採用</t>
    </r>
    <r>
      <rPr>
        <sz val="10"/>
        <color rgb="FFE6E8EC"/>
        <rFont val="Arial"/>
        <family val="0"/>
        <charset val="1"/>
      </rPr>
      <t xml:space="preserve">w</t>
    </r>
    <r>
      <rPr>
        <sz val="10"/>
        <color rgb="FFE6E8EC"/>
        <rFont val="Noto Sans CJK SC"/>
        <family val="2"/>
      </rPr>
      <t xml:space="preserve">：穴を引いた正味）</t>
    </r>
  </si>
  <si>
    <r>
      <rPr>
        <sz val="9"/>
        <color rgb="FF8A93A3"/>
        <rFont val="Noto Sans CJK SC"/>
        <family val="2"/>
      </rPr>
      <t xml:space="preserve">形状シート </t>
    </r>
    <r>
      <rPr>
        <sz val="9"/>
        <color rgb="FF8A93A3"/>
        <rFont val="Arial"/>
        <family val="0"/>
        <charset val="1"/>
      </rPr>
      <t xml:space="preserve">B72 </t>
    </r>
    <r>
      <rPr>
        <sz val="9"/>
        <color rgb="FF8A93A3"/>
        <rFont val="Noto Sans CJK SC"/>
        <family val="2"/>
      </rPr>
      <t xml:space="preserve">と連動</t>
    </r>
  </si>
  <si>
    <r>
      <rPr>
        <sz val="10"/>
        <color rgb="FFE6E8EC"/>
        <rFont val="Noto Sans CJK SC"/>
        <family val="2"/>
      </rPr>
      <t xml:space="preserve">長さ </t>
    </r>
    <r>
      <rPr>
        <sz val="10"/>
        <color rgb="FFE6E8EC"/>
        <rFont val="Arial"/>
        <family val="0"/>
        <charset val="1"/>
      </rPr>
      <t xml:space="preserve">L [m]</t>
    </r>
    <r>
      <rPr>
        <sz val="10"/>
        <color rgb="FFE6E8EC"/>
        <rFont val="Noto Sans CJK SC"/>
        <family val="2"/>
      </rPr>
      <t xml:space="preserve">（＝形状の採用</t>
    </r>
    <r>
      <rPr>
        <sz val="10"/>
        <color rgb="FFE6E8EC"/>
        <rFont val="Arial"/>
        <family val="0"/>
        <charset val="1"/>
      </rPr>
      <t xml:space="preserve">L</t>
    </r>
    <r>
      <rPr>
        <sz val="10"/>
        <color rgb="FFE6E8EC"/>
        <rFont val="Noto Sans CJK SC"/>
        <family val="2"/>
      </rPr>
      <t xml:space="preserve">）</t>
    </r>
  </si>
  <si>
    <r>
      <rPr>
        <sz val="9"/>
        <color rgb="FF8A93A3"/>
        <rFont val="Noto Sans CJK SC"/>
        <family val="2"/>
      </rPr>
      <t xml:space="preserve">形状シート </t>
    </r>
    <r>
      <rPr>
        <sz val="9"/>
        <color rgb="FF8A93A3"/>
        <rFont val="Arial"/>
        <family val="0"/>
        <charset val="1"/>
      </rPr>
      <t xml:space="preserve">B71 </t>
    </r>
    <r>
      <rPr>
        <sz val="9"/>
        <color rgb="FF8A93A3"/>
        <rFont val="Noto Sans CJK SC"/>
        <family val="2"/>
      </rPr>
      <t xml:space="preserve">と連動</t>
    </r>
  </si>
  <si>
    <r>
      <rPr>
        <sz val="10"/>
        <color rgb="FFE6E8EC"/>
        <rFont val="Noto Sans CJK SC"/>
        <family val="2"/>
      </rPr>
      <t xml:space="preserve">正味 投影面積 </t>
    </r>
    <r>
      <rPr>
        <sz val="10"/>
        <color rgb="FFE6E8EC"/>
        <rFont val="Arial"/>
        <family val="0"/>
        <charset val="1"/>
      </rPr>
      <t xml:space="preserve">[m²]</t>
    </r>
    <r>
      <rPr>
        <sz val="10"/>
        <color rgb="FFE6E8EC"/>
        <rFont val="Noto Sans CJK SC"/>
        <family val="2"/>
      </rPr>
      <t xml:space="preserve">（穴を引いた値）</t>
    </r>
  </si>
  <si>
    <t xml:space="preserve">質量の計算に使う</t>
  </si>
  <si>
    <r>
      <rPr>
        <sz val="10"/>
        <color rgb="FFE6E8EC"/>
        <rFont val="Noto Sans CJK SC"/>
        <family val="2"/>
      </rPr>
      <t xml:space="preserve">正味 </t>
    </r>
    <r>
      <rPr>
        <sz val="10"/>
        <color rgb="FFE6E8EC"/>
        <rFont val="Arial"/>
        <family val="0"/>
        <charset val="1"/>
      </rPr>
      <t xml:space="preserve">Ixx [m⁴]</t>
    </r>
    <r>
      <rPr>
        <sz val="10"/>
        <color rgb="FFE6E8EC"/>
        <rFont val="Noto Sans CJK SC"/>
        <family val="2"/>
      </rPr>
      <t xml:space="preserve">（穴を引いた値）</t>
    </r>
  </si>
  <si>
    <r>
      <rPr>
        <sz val="9"/>
        <color rgb="FF8A93A3"/>
        <rFont val="Noto Sans CJK SC"/>
        <family val="2"/>
      </rPr>
      <t xml:space="preserve">面内曲げ剛性に使う（形状</t>
    </r>
    <r>
      <rPr>
        <sz val="9"/>
        <color rgb="FF8A93A3"/>
        <rFont val="Arial"/>
        <family val="0"/>
        <charset val="1"/>
      </rPr>
      <t xml:space="preserve">Ixx</t>
    </r>
    <r>
      <rPr>
        <sz val="9"/>
        <color rgb="FF8A93A3"/>
        <rFont val="Noto Sans CJK SC"/>
        <family val="2"/>
      </rPr>
      <t xml:space="preserve">版）</t>
    </r>
  </si>
  <si>
    <r>
      <rPr>
        <sz val="10"/>
        <color rgb="FFE6E8EC"/>
        <rFont val="Noto Sans CJK SC"/>
        <family val="2"/>
      </rPr>
      <t xml:space="preserve">面内</t>
    </r>
    <r>
      <rPr>
        <sz val="10"/>
        <color rgb="FFE6E8EC"/>
        <rFont val="Arial"/>
        <family val="0"/>
        <charset val="1"/>
      </rPr>
      <t xml:space="preserve">EI </t>
    </r>
    <r>
      <rPr>
        <sz val="10"/>
        <color rgb="FFE6E8EC"/>
        <rFont val="Noto Sans CJK SC"/>
        <family val="2"/>
      </rPr>
      <t xml:space="preserve">の計算方式（</t>
    </r>
    <r>
      <rPr>
        <sz val="10"/>
        <color rgb="FFE6E8EC"/>
        <rFont val="Arial"/>
        <family val="0"/>
        <charset val="1"/>
      </rPr>
      <t xml:space="preserve">1</t>
    </r>
    <r>
      <rPr>
        <sz val="10"/>
        <color rgb="FFE6E8EC"/>
        <rFont val="Noto Sans CJK SC"/>
        <family val="2"/>
      </rPr>
      <t xml:space="preserve">＝形状</t>
    </r>
    <r>
      <rPr>
        <sz val="10"/>
        <color rgb="FFE6E8EC"/>
        <rFont val="Arial"/>
        <family val="0"/>
        <charset val="1"/>
      </rPr>
      <t xml:space="preserve">Ixx</t>
    </r>
    <r>
      <rPr>
        <sz val="10"/>
        <color rgb="FFE6E8EC"/>
        <rFont val="Noto Sans CJK SC"/>
        <family val="2"/>
      </rPr>
      <t xml:space="preserve">版・推奨 </t>
    </r>
    <r>
      <rPr>
        <sz val="10"/>
        <color rgb="FFE6E8EC"/>
        <rFont val="Arial"/>
        <family val="0"/>
        <charset val="1"/>
      </rPr>
      <t xml:space="preserve">/ 0</t>
    </r>
    <r>
      <rPr>
        <sz val="10"/>
        <color rgb="FFE6E8EC"/>
        <rFont val="Noto Sans CJK SC"/>
        <family val="2"/>
      </rPr>
      <t xml:space="preserve">＝長方形近似）</t>
    </r>
  </si>
  <si>
    <r>
      <rPr>
        <sz val="9"/>
        <color rgb="FF8A93A3"/>
        <rFont val="Arial"/>
        <family val="0"/>
        <charset val="1"/>
      </rPr>
      <t xml:space="preserve">1 </t>
    </r>
    <r>
      <rPr>
        <sz val="9"/>
        <color rgb="FF8A93A3"/>
        <rFont val="Noto Sans CJK SC"/>
        <family val="2"/>
      </rPr>
      <t xml:space="preserve">にすると、耳・爪・穴まで含めた実形状の断面二次モーメントを使います 🟢</t>
    </r>
  </si>
  <si>
    <t xml:space="preserve">層（下から順）</t>
  </si>
  <si>
    <r>
      <rPr>
        <b val="true"/>
        <sz val="9"/>
        <color rgb="FFE6E8EC"/>
        <rFont val="Noto Sans CJK SC"/>
        <family val="2"/>
      </rPr>
      <t xml:space="preserve">材料名（材料</t>
    </r>
    <r>
      <rPr>
        <b val="true"/>
        <sz val="9"/>
        <color rgb="FFE6E8EC"/>
        <rFont val="Arial"/>
        <family val="0"/>
        <charset val="1"/>
      </rPr>
      <t xml:space="preserve">DB</t>
    </r>
    <r>
      <rPr>
        <b val="true"/>
        <sz val="9"/>
        <color rgb="FFE6E8EC"/>
        <rFont val="Noto Sans CJK SC"/>
        <family val="2"/>
      </rPr>
      <t xml:space="preserve">と同じ文字）</t>
    </r>
  </si>
  <si>
    <r>
      <rPr>
        <b val="true"/>
        <sz val="9"/>
        <color rgb="FFE6E8EC"/>
        <rFont val="Noto Sans CJK SC"/>
        <family val="2"/>
      </rPr>
      <t xml:space="preserve">厚さ </t>
    </r>
    <r>
      <rPr>
        <b val="true"/>
        <sz val="9"/>
        <color rgb="FFE6E8EC"/>
        <rFont val="Arial"/>
        <family val="0"/>
        <charset val="1"/>
      </rPr>
      <t xml:space="preserve">t [mm]</t>
    </r>
  </si>
  <si>
    <t xml:space="preserve">η</t>
  </si>
  <si>
    <t xml:space="preserve">t [m]</t>
  </si>
  <si>
    <r>
      <rPr>
        <b val="true"/>
        <sz val="9"/>
        <color rgb="FFE6E8EC"/>
        <rFont val="Noto Sans CJK SC"/>
        <family val="2"/>
      </rPr>
      <t xml:space="preserve">下端</t>
    </r>
    <r>
      <rPr>
        <b val="true"/>
        <sz val="9"/>
        <color rgb="FFE6E8EC"/>
        <rFont val="Arial"/>
        <family val="0"/>
        <charset val="1"/>
      </rPr>
      <t xml:space="preserve">y [m]</t>
    </r>
  </si>
  <si>
    <r>
      <rPr>
        <b val="true"/>
        <sz val="9"/>
        <color rgb="FFE6E8EC"/>
        <rFont val="Noto Sans CJK SC"/>
        <family val="2"/>
      </rPr>
      <t xml:space="preserve">中心</t>
    </r>
    <r>
      <rPr>
        <b val="true"/>
        <sz val="9"/>
        <color rgb="FFE6E8EC"/>
        <rFont val="Arial"/>
        <family val="0"/>
        <charset val="1"/>
      </rPr>
      <t xml:space="preserve">y [m]</t>
    </r>
  </si>
  <si>
    <t xml:space="preserve">E·A [N]</t>
  </si>
  <si>
    <t xml:space="preserve">E·A·y</t>
  </si>
  <si>
    <t xml:space="preserve">ρ·A [kg/m]</t>
  </si>
  <si>
    <r>
      <rPr>
        <b val="true"/>
        <sz val="9"/>
        <color rgb="FFE6E8EC"/>
        <rFont val="Arial"/>
        <family val="0"/>
        <charset val="1"/>
      </rPr>
      <t xml:space="preserve">EI</t>
    </r>
    <r>
      <rPr>
        <b val="true"/>
        <sz val="9"/>
        <color rgb="FFE6E8EC"/>
        <rFont val="Noto Sans CJK SC"/>
        <family val="2"/>
      </rPr>
      <t xml:space="preserve">項</t>
    </r>
    <r>
      <rPr>
        <b val="true"/>
        <sz val="9"/>
        <color rgb="FFE6E8EC"/>
        <rFont val="Arial"/>
        <family val="0"/>
        <charset val="1"/>
      </rPr>
      <t xml:space="preserve">(</t>
    </r>
    <r>
      <rPr>
        <b val="true"/>
        <sz val="9"/>
        <color rgb="FFE6E8EC"/>
        <rFont val="Noto Sans CJK SC"/>
        <family val="2"/>
      </rPr>
      <t xml:space="preserve">面外</t>
    </r>
    <r>
      <rPr>
        <b val="true"/>
        <sz val="9"/>
        <color rgb="FFE6E8EC"/>
        <rFont val="Arial"/>
        <family val="0"/>
        <charset val="1"/>
      </rPr>
      <t xml:space="preserve">)</t>
    </r>
  </si>
  <si>
    <r>
      <rPr>
        <b val="true"/>
        <sz val="9"/>
        <color rgb="FFE6E8EC"/>
        <rFont val="Arial"/>
        <family val="0"/>
        <charset val="1"/>
      </rPr>
      <t xml:space="preserve">EI</t>
    </r>
    <r>
      <rPr>
        <b val="true"/>
        <sz val="9"/>
        <color rgb="FFE6E8EC"/>
        <rFont val="Noto Sans CJK SC"/>
        <family val="2"/>
      </rPr>
      <t xml:space="preserve">項</t>
    </r>
    <r>
      <rPr>
        <b val="true"/>
        <sz val="9"/>
        <color rgb="FFE6E8EC"/>
        <rFont val="Arial"/>
        <family val="0"/>
        <charset val="1"/>
      </rPr>
      <t xml:space="preserve">(</t>
    </r>
    <r>
      <rPr>
        <b val="true"/>
        <sz val="9"/>
        <color rgb="FFE6E8EC"/>
        <rFont val="Noto Sans CJK SC"/>
        <family val="2"/>
      </rPr>
      <t xml:space="preserve">面内・長方形</t>
    </r>
    <r>
      <rPr>
        <b val="true"/>
        <sz val="9"/>
        <color rgb="FFE6E8EC"/>
        <rFont val="Arial"/>
        <family val="0"/>
        <charset val="1"/>
      </rPr>
      <t xml:space="preserve">)</t>
    </r>
  </si>
  <si>
    <r>
      <rPr>
        <b val="true"/>
        <sz val="9"/>
        <color rgb="FFE6E8EC"/>
        <rFont val="Arial"/>
        <family val="0"/>
        <charset val="1"/>
      </rPr>
      <t xml:space="preserve">EI</t>
    </r>
    <r>
      <rPr>
        <b val="true"/>
        <sz val="9"/>
        <color rgb="FFE6E8EC"/>
        <rFont val="Noto Sans CJK SC"/>
        <family val="2"/>
      </rPr>
      <t xml:space="preserve">項</t>
    </r>
    <r>
      <rPr>
        <b val="true"/>
        <sz val="9"/>
        <color rgb="FFE6E8EC"/>
        <rFont val="Arial"/>
        <family val="0"/>
        <charset val="1"/>
      </rPr>
      <t xml:space="preserve">(</t>
    </r>
    <r>
      <rPr>
        <b val="true"/>
        <sz val="9"/>
        <color rgb="FFE6E8EC"/>
        <rFont val="Noto Sans CJK SC"/>
        <family val="2"/>
      </rPr>
      <t xml:space="preserve">面内・形状</t>
    </r>
    <r>
      <rPr>
        <b val="true"/>
        <sz val="9"/>
        <color rgb="FFE6E8EC"/>
        <rFont val="Arial"/>
        <family val="0"/>
        <charset val="1"/>
      </rPr>
      <t xml:space="preserve">Ixx)</t>
    </r>
  </si>
  <si>
    <r>
      <rPr>
        <b val="true"/>
        <sz val="9"/>
        <color rgb="FFE6E8EC"/>
        <rFont val="Arial"/>
        <family val="0"/>
        <charset val="1"/>
      </rPr>
      <t xml:space="preserve">E·A(</t>
    </r>
    <r>
      <rPr>
        <b val="true"/>
        <sz val="9"/>
        <color rgb="FFE6E8EC"/>
        <rFont val="Noto Sans CJK SC"/>
        <family val="2"/>
      </rPr>
      <t xml:space="preserve">軸</t>
    </r>
    <r>
      <rPr>
        <b val="true"/>
        <sz val="9"/>
        <color rgb="FFE6E8EC"/>
        <rFont val="Arial"/>
        <family val="0"/>
        <charset val="1"/>
      </rPr>
      <t xml:space="preserve">)</t>
    </r>
  </si>
  <si>
    <r>
      <rPr>
        <b val="true"/>
        <sz val="9"/>
        <color rgb="FFE6E8EC"/>
        <rFont val="Arial"/>
        <family val="0"/>
        <charset val="1"/>
      </rPr>
      <t xml:space="preserve">η·EI</t>
    </r>
    <r>
      <rPr>
        <b val="true"/>
        <sz val="9"/>
        <color rgb="FFE6E8EC"/>
        <rFont val="Noto Sans CJK SC"/>
        <family val="2"/>
      </rPr>
      <t xml:space="preserve">項</t>
    </r>
  </si>
  <si>
    <r>
      <rPr>
        <sz val="9"/>
        <color rgb="FF8A93A3"/>
        <rFont val="Arial"/>
        <family val="0"/>
        <charset val="1"/>
      </rPr>
      <t xml:space="preserve">1: </t>
    </r>
    <r>
      <rPr>
        <sz val="9"/>
        <color rgb="FF8A93A3"/>
        <rFont val="Noto Sans CJK SC"/>
        <family val="2"/>
      </rPr>
      <t xml:space="preserve">シム</t>
    </r>
  </si>
  <si>
    <r>
      <rPr>
        <sz val="9"/>
        <color rgb="FF8A93A3"/>
        <rFont val="Arial"/>
        <family val="0"/>
        <charset val="1"/>
      </rPr>
      <t xml:space="preserve">2: </t>
    </r>
    <r>
      <rPr>
        <sz val="9"/>
        <color rgb="FF8A93A3"/>
        <rFont val="Noto Sans CJK SC"/>
        <family val="2"/>
      </rPr>
      <t xml:space="preserve">裏板</t>
    </r>
  </si>
  <si>
    <r>
      <rPr>
        <sz val="9"/>
        <color rgb="FF8A93A3"/>
        <rFont val="Arial"/>
        <family val="0"/>
        <charset val="1"/>
      </rPr>
      <t xml:space="preserve">3: </t>
    </r>
    <r>
      <rPr>
        <sz val="9"/>
        <color rgb="FF8A93A3"/>
        <rFont val="Noto Sans CJK SC"/>
        <family val="2"/>
      </rPr>
      <t xml:space="preserve">接着</t>
    </r>
    <r>
      <rPr>
        <sz val="9"/>
        <color rgb="FF8A93A3"/>
        <rFont val="Arial"/>
        <family val="0"/>
        <charset val="1"/>
      </rPr>
      <t xml:space="preserve">/</t>
    </r>
    <r>
      <rPr>
        <sz val="9"/>
        <color rgb="FF8A93A3"/>
        <rFont val="Noto Sans CJK SC"/>
        <family val="2"/>
      </rPr>
      <t xml:space="preserve">固定</t>
    </r>
    <r>
      <rPr>
        <sz val="9"/>
        <color rgb="FF8A93A3"/>
        <rFont val="Arial"/>
        <family val="0"/>
        <charset val="1"/>
      </rPr>
      <t xml:space="preserve">(</t>
    </r>
    <r>
      <rPr>
        <sz val="9"/>
        <color rgb="FF8A93A3"/>
        <rFont val="Noto Sans CJK SC"/>
        <family val="2"/>
      </rPr>
      <t xml:space="preserve">任意</t>
    </r>
    <r>
      <rPr>
        <sz val="9"/>
        <color rgb="FF8A93A3"/>
        <rFont val="Arial"/>
        <family val="0"/>
        <charset val="1"/>
      </rPr>
      <t xml:space="preserve">)</t>
    </r>
  </si>
  <si>
    <t xml:space="preserve">■ 合成結果</t>
  </si>
  <si>
    <t xml:space="preserve">ΣE·A [N]</t>
  </si>
  <si>
    <r>
      <rPr>
        <sz val="9"/>
        <color rgb="FF8A93A3"/>
        <rFont val="Noto Sans CJK SC"/>
        <family val="2"/>
      </rPr>
      <t xml:space="preserve">各層の 弾性率</t>
    </r>
    <r>
      <rPr>
        <sz val="9"/>
        <color rgb="FF8A93A3"/>
        <rFont val="Arial"/>
        <family val="0"/>
        <charset val="1"/>
      </rPr>
      <t xml:space="preserve">×</t>
    </r>
    <r>
      <rPr>
        <sz val="9"/>
        <color rgb="FF8A93A3"/>
        <rFont val="Noto Sans CJK SC"/>
        <family val="2"/>
      </rPr>
      <t xml:space="preserve">断面積 の合計</t>
    </r>
  </si>
  <si>
    <r>
      <rPr>
        <sz val="10"/>
        <color rgb="FFE6E8EC"/>
        <rFont val="Noto Sans CJK SC"/>
        <family val="2"/>
      </rPr>
      <t xml:space="preserve">中立軸 </t>
    </r>
    <r>
      <rPr>
        <sz val="10"/>
        <color rgb="FFE6E8EC"/>
        <rFont val="Arial"/>
        <family val="0"/>
        <charset val="1"/>
      </rPr>
      <t xml:space="preserve">ȳ [m]</t>
    </r>
  </si>
  <si>
    <t xml:space="preserve">曲げても伸び縮みしない高さ。下端からの距離  🟢</t>
  </si>
  <si>
    <r>
      <rPr>
        <sz val="10"/>
        <color rgb="FFE6E8EC"/>
        <rFont val="Arial"/>
        <family val="0"/>
        <charset val="1"/>
      </rPr>
      <t xml:space="preserve">EI </t>
    </r>
    <r>
      <rPr>
        <sz val="10"/>
        <color rgb="FFE6E8EC"/>
        <rFont val="Noto Sans CJK SC"/>
        <family val="2"/>
      </rPr>
      <t xml:space="preserve">面外曲げ </t>
    </r>
    <r>
      <rPr>
        <sz val="10"/>
        <color rgb="FFE6E8EC"/>
        <rFont val="Arial"/>
        <family val="0"/>
        <charset val="1"/>
      </rPr>
      <t xml:space="preserve">[N·m²]</t>
    </r>
  </si>
  <si>
    <t xml:space="preserve">厚み方向にたわむ剛性。主モードはこれ  🟢</t>
  </si>
  <si>
    <r>
      <rPr>
        <sz val="10"/>
        <color rgb="FFE6E8EC"/>
        <rFont val="Arial"/>
        <family val="0"/>
        <charset val="1"/>
      </rPr>
      <t xml:space="preserve">EI </t>
    </r>
    <r>
      <rPr>
        <sz val="10"/>
        <color rgb="FFE6E8EC"/>
        <rFont val="Noto Sans CJK SC"/>
        <family val="2"/>
      </rPr>
      <t xml:space="preserve">面内（長方形近似）</t>
    </r>
    <r>
      <rPr>
        <sz val="10"/>
        <color rgb="FFE6E8EC"/>
        <rFont val="Arial"/>
        <family val="0"/>
        <charset val="1"/>
      </rPr>
      <t xml:space="preserve">[N·m²]</t>
    </r>
  </si>
  <si>
    <r>
      <rPr>
        <sz val="9"/>
        <color rgb="FF8A93A3"/>
        <rFont val="Arial"/>
        <family val="0"/>
        <charset val="1"/>
      </rPr>
      <t xml:space="preserve">w³/12 </t>
    </r>
    <r>
      <rPr>
        <sz val="9"/>
        <color rgb="FF8A93A3"/>
        <rFont val="Noto Sans CJK SC"/>
        <family val="2"/>
      </rPr>
      <t xml:space="preserve">で近似したもの（参考）</t>
    </r>
  </si>
  <si>
    <r>
      <rPr>
        <sz val="10"/>
        <color rgb="FFE6E8EC"/>
        <rFont val="Arial"/>
        <family val="0"/>
        <charset val="1"/>
      </rPr>
      <t xml:space="preserve">EI </t>
    </r>
    <r>
      <rPr>
        <sz val="10"/>
        <color rgb="FFE6E8EC"/>
        <rFont val="Noto Sans CJK SC"/>
        <family val="2"/>
      </rPr>
      <t xml:space="preserve">面内（形状</t>
    </r>
    <r>
      <rPr>
        <sz val="10"/>
        <color rgb="FFE6E8EC"/>
        <rFont val="Arial"/>
        <family val="0"/>
        <charset val="1"/>
      </rPr>
      <t xml:space="preserve">Ixx</t>
    </r>
    <r>
      <rPr>
        <sz val="10"/>
        <color rgb="FFE6E8EC"/>
        <rFont val="Noto Sans CJK SC"/>
        <family val="2"/>
      </rPr>
      <t xml:space="preserve">版）</t>
    </r>
    <r>
      <rPr>
        <sz val="10"/>
        <color rgb="FFE6E8EC"/>
        <rFont val="Arial"/>
        <family val="0"/>
        <charset val="1"/>
      </rPr>
      <t xml:space="preserve">[N·m²]</t>
    </r>
  </si>
  <si>
    <t xml:space="preserve">耳・爪・穴を含む実形状から。こちらが正確  🟢</t>
  </si>
  <si>
    <r>
      <rPr>
        <sz val="10"/>
        <color rgb="FFE6E8EC"/>
        <rFont val="Noto Sans CJK SC"/>
        <family val="2"/>
      </rPr>
      <t xml:space="preserve">★採用 </t>
    </r>
    <r>
      <rPr>
        <sz val="10"/>
        <color rgb="FFE6E8EC"/>
        <rFont val="Arial"/>
        <family val="0"/>
        <charset val="1"/>
      </rPr>
      <t xml:space="preserve">EI </t>
    </r>
    <r>
      <rPr>
        <sz val="10"/>
        <color rgb="FFE6E8EC"/>
        <rFont val="Noto Sans CJK SC"/>
        <family val="2"/>
      </rPr>
      <t xml:space="preserve">面内 </t>
    </r>
    <r>
      <rPr>
        <sz val="10"/>
        <color rgb="FFE6E8EC"/>
        <rFont val="Arial"/>
        <family val="0"/>
        <charset val="1"/>
      </rPr>
      <t xml:space="preserve">[N·m²]</t>
    </r>
  </si>
  <si>
    <r>
      <rPr>
        <sz val="9"/>
        <color rgb="FF8A93A3"/>
        <rFont val="Arial"/>
        <family val="0"/>
        <charset val="1"/>
      </rPr>
      <t xml:space="preserve">D7 </t>
    </r>
    <r>
      <rPr>
        <sz val="9"/>
        <color rgb="FF8A93A3"/>
        <rFont val="Noto Sans CJK SC"/>
        <family val="2"/>
      </rPr>
      <t xml:space="preserve">のスイッチで切替</t>
    </r>
  </si>
  <si>
    <r>
      <rPr>
        <sz val="10"/>
        <color rgb="FFE6E8EC"/>
        <rFont val="Arial"/>
        <family val="0"/>
        <charset val="1"/>
      </rPr>
      <t xml:space="preserve">EA </t>
    </r>
    <r>
      <rPr>
        <sz val="10"/>
        <color rgb="FFE6E8EC"/>
        <rFont val="Noto Sans CJK SC"/>
        <family val="2"/>
      </rPr>
      <t xml:space="preserve">軸 </t>
    </r>
    <r>
      <rPr>
        <sz val="10"/>
        <color rgb="FFE6E8EC"/>
        <rFont val="Arial"/>
        <family val="0"/>
        <charset val="1"/>
      </rPr>
      <t xml:space="preserve">[N]</t>
    </r>
  </si>
  <si>
    <t xml:space="preserve">伸び縮みの剛性  🟢</t>
  </si>
  <si>
    <r>
      <rPr>
        <sz val="10"/>
        <color rgb="FFE6E8EC"/>
        <rFont val="Arial"/>
        <family val="0"/>
        <charset val="1"/>
      </rPr>
      <t xml:space="preserve">ρA </t>
    </r>
    <r>
      <rPr>
        <sz val="10"/>
        <color rgb="FFE6E8EC"/>
        <rFont val="Noto Sans CJK SC"/>
        <family val="2"/>
      </rPr>
      <t xml:space="preserve">単位長さ質量 </t>
    </r>
    <r>
      <rPr>
        <sz val="10"/>
        <color rgb="FFE6E8EC"/>
        <rFont val="Arial"/>
        <family val="0"/>
        <charset val="1"/>
      </rPr>
      <t xml:space="preserve">[kg/m]</t>
    </r>
  </si>
  <si>
    <r>
      <rPr>
        <sz val="9"/>
        <color rgb="FF8A93A3"/>
        <rFont val="Arial"/>
        <family val="0"/>
        <charset val="1"/>
      </rPr>
      <t xml:space="preserve">1m</t>
    </r>
    <r>
      <rPr>
        <sz val="9"/>
        <color rgb="FF8A93A3"/>
        <rFont val="Noto Sans CJK SC"/>
        <family val="2"/>
      </rPr>
      <t xml:space="preserve">あたりの重さ  🟢</t>
    </r>
  </si>
  <si>
    <r>
      <rPr>
        <sz val="10"/>
        <color rgb="FFE6E8EC"/>
        <rFont val="Noto Sans CJK SC"/>
        <family val="2"/>
      </rPr>
      <t xml:space="preserve">総厚 </t>
    </r>
    <r>
      <rPr>
        <sz val="10"/>
        <color rgb="FFE6E8EC"/>
        <rFont val="Arial"/>
        <family val="0"/>
        <charset val="1"/>
      </rPr>
      <t xml:space="preserve">h [m]</t>
    </r>
  </si>
  <si>
    <t xml:space="preserve">使用する層の厚さ合計</t>
  </si>
  <si>
    <r>
      <rPr>
        <sz val="10"/>
        <color rgb="FFE6E8EC"/>
        <rFont val="Noto Sans CJK SC"/>
        <family val="2"/>
      </rPr>
      <t xml:space="preserve">等価ヤング率 </t>
    </r>
    <r>
      <rPr>
        <sz val="10"/>
        <color rgb="FFE6E8EC"/>
        <rFont val="Arial"/>
        <family val="0"/>
        <charset val="1"/>
      </rPr>
      <t xml:space="preserve">E_eq(</t>
    </r>
    <r>
      <rPr>
        <sz val="10"/>
        <color rgb="FFE6E8EC"/>
        <rFont val="Noto Sans CJK SC"/>
        <family val="2"/>
      </rPr>
      <t xml:space="preserve">面外</t>
    </r>
    <r>
      <rPr>
        <sz val="10"/>
        <color rgb="FFE6E8EC"/>
        <rFont val="Arial"/>
        <family val="0"/>
        <charset val="1"/>
      </rPr>
      <t xml:space="preserve">) [GPa]</t>
    </r>
  </si>
  <si>
    <r>
      <rPr>
        <sz val="9"/>
        <color rgb="FF8A93A3"/>
        <rFont val="Arial"/>
        <family val="0"/>
        <charset val="1"/>
      </rPr>
      <t xml:space="preserve">1</t>
    </r>
    <r>
      <rPr>
        <sz val="9"/>
        <color rgb="FF8A93A3"/>
        <rFont val="Noto Sans CJK SC"/>
        <family val="2"/>
      </rPr>
      <t xml:space="preserve">枚板とみなしたときの見かけの</t>
    </r>
    <r>
      <rPr>
        <sz val="9"/>
        <color rgb="FF8A93A3"/>
        <rFont val="Arial"/>
        <family val="0"/>
        <charset val="1"/>
      </rPr>
      <t xml:space="preserve">E</t>
    </r>
  </si>
  <si>
    <r>
      <rPr>
        <sz val="10"/>
        <color rgb="FFE6E8EC"/>
        <rFont val="Noto Sans CJK SC"/>
        <family val="2"/>
      </rPr>
      <t xml:space="preserve">等価密度 </t>
    </r>
    <r>
      <rPr>
        <sz val="10"/>
        <color rgb="FFE6E8EC"/>
        <rFont val="Arial"/>
        <family val="0"/>
        <charset val="1"/>
      </rPr>
      <t xml:space="preserve">ρ_eq [kg/m³]</t>
    </r>
  </si>
  <si>
    <r>
      <rPr>
        <sz val="9"/>
        <color rgb="FF8A93A3"/>
        <rFont val="Arial"/>
        <family val="0"/>
        <charset val="1"/>
      </rPr>
      <t xml:space="preserve">1</t>
    </r>
    <r>
      <rPr>
        <sz val="9"/>
        <color rgb="FF8A93A3"/>
        <rFont val="Noto Sans CJK SC"/>
        <family val="2"/>
      </rPr>
      <t xml:space="preserve">枚板とみなしたときの見かけの</t>
    </r>
    <r>
      <rPr>
        <sz val="9"/>
        <color rgb="FF8A93A3"/>
        <rFont val="Arial"/>
        <family val="0"/>
        <charset val="1"/>
      </rPr>
      <t xml:space="preserve">ρ</t>
    </r>
  </si>
  <si>
    <r>
      <rPr>
        <sz val="10"/>
        <color rgb="FFE6E8EC"/>
        <rFont val="Noto Sans CJK SC"/>
        <family val="2"/>
      </rPr>
      <t xml:space="preserve">等価ポアソン比 </t>
    </r>
    <r>
      <rPr>
        <sz val="10"/>
        <color rgb="FFE6E8EC"/>
        <rFont val="Arial"/>
        <family val="0"/>
        <charset val="1"/>
      </rPr>
      <t xml:space="preserve">ν_eq</t>
    </r>
  </si>
  <si>
    <r>
      <rPr>
        <sz val="9"/>
        <color rgb="FF8A93A3"/>
        <rFont val="Arial"/>
        <family val="0"/>
        <charset val="1"/>
      </rPr>
      <t xml:space="preserve">E·A</t>
    </r>
    <r>
      <rPr>
        <sz val="9"/>
        <color rgb="FF8A93A3"/>
        <rFont val="Noto Sans CJK SC"/>
        <family val="2"/>
      </rPr>
      <t xml:space="preserve">で重み付け平均</t>
    </r>
  </si>
  <si>
    <r>
      <rPr>
        <sz val="10"/>
        <color rgb="FFE6E8EC"/>
        <rFont val="Noto Sans CJK SC"/>
        <family val="2"/>
      </rPr>
      <t xml:space="preserve">等価せん断弾性率 </t>
    </r>
    <r>
      <rPr>
        <sz val="10"/>
        <color rgb="FFE6E8EC"/>
        <rFont val="Arial"/>
        <family val="0"/>
        <charset val="1"/>
      </rPr>
      <t xml:space="preserve">G_eq [Pa]</t>
    </r>
  </si>
  <si>
    <r>
      <rPr>
        <sz val="9"/>
        <color rgb="FF8A93A3"/>
        <rFont val="Arial"/>
        <family val="0"/>
        <charset val="1"/>
      </rPr>
      <t xml:space="preserve">G</t>
    </r>
    <r>
      <rPr>
        <sz val="9"/>
        <color rgb="FF8A93A3"/>
        <rFont val="Noto Sans CJK SC"/>
        <family val="2"/>
      </rPr>
      <t xml:space="preserve">＝</t>
    </r>
    <r>
      <rPr>
        <sz val="9"/>
        <color rgb="FF8A93A3"/>
        <rFont val="Arial"/>
        <family val="0"/>
        <charset val="1"/>
      </rPr>
      <t xml:space="preserve">E/(2(1+ν))  🟢</t>
    </r>
  </si>
  <si>
    <r>
      <rPr>
        <sz val="10"/>
        <color rgb="FFE6E8EC"/>
        <rFont val="Noto Sans CJK SC"/>
        <family val="2"/>
      </rPr>
      <t xml:space="preserve">ねじり係数 </t>
    </r>
    <r>
      <rPr>
        <sz val="10"/>
        <color rgb="FFE6E8EC"/>
        <rFont val="Arial"/>
        <family val="0"/>
        <charset val="1"/>
      </rPr>
      <t xml:space="preserve">β</t>
    </r>
  </si>
  <si>
    <r>
      <rPr>
        <sz val="9"/>
        <color rgb="FF8A93A3"/>
        <rFont val="Noto Sans CJK SC"/>
        <family val="2"/>
      </rPr>
      <t xml:space="preserve">長方形断面のねじり定数 </t>
    </r>
    <r>
      <rPr>
        <sz val="9"/>
        <color rgb="FF8A93A3"/>
        <rFont val="Arial"/>
        <family val="0"/>
        <charset val="1"/>
      </rPr>
      <t xml:space="preserve">J=β·w·h³ 🟢 Roark</t>
    </r>
    <r>
      <rPr>
        <sz val="9"/>
        <color rgb="FF8A93A3"/>
        <rFont val="Noto Sans CJK SC"/>
        <family val="2"/>
      </rPr>
      <t xml:space="preserve">近似</t>
    </r>
  </si>
  <si>
    <r>
      <rPr>
        <sz val="10"/>
        <color rgb="FFE6E8EC"/>
        <rFont val="Arial"/>
        <family val="0"/>
        <charset val="1"/>
      </rPr>
      <t xml:space="preserve">GJ </t>
    </r>
    <r>
      <rPr>
        <sz val="10"/>
        <color rgb="FFE6E8EC"/>
        <rFont val="Noto Sans CJK SC"/>
        <family val="2"/>
      </rPr>
      <t xml:space="preserve">ねじり剛性 </t>
    </r>
    <r>
      <rPr>
        <sz val="10"/>
        <color rgb="FFE6E8EC"/>
        <rFont val="Arial"/>
        <family val="0"/>
        <charset val="1"/>
      </rPr>
      <t xml:space="preserve">[N·m²]</t>
    </r>
  </si>
  <si>
    <t xml:space="preserve">ねじりにくさ  🟡（積層は近似）</t>
  </si>
  <si>
    <r>
      <rPr>
        <sz val="10"/>
        <color rgb="FFE6E8EC"/>
        <rFont val="Arial"/>
        <family val="0"/>
        <charset val="1"/>
      </rPr>
      <t xml:space="preserve">ρIp </t>
    </r>
    <r>
      <rPr>
        <sz val="10"/>
        <color rgb="FFE6E8EC"/>
        <rFont val="Noto Sans CJK SC"/>
        <family val="2"/>
      </rPr>
      <t xml:space="preserve">単位長さ極慣性 </t>
    </r>
    <r>
      <rPr>
        <sz val="10"/>
        <color rgb="FFE6E8EC"/>
        <rFont val="Arial"/>
        <family val="0"/>
        <charset val="1"/>
      </rPr>
      <t xml:space="preserve">[kg·m]</t>
    </r>
  </si>
  <si>
    <t xml:space="preserve">ねじりの回りにくさ  🟡</t>
  </si>
  <si>
    <r>
      <rPr>
        <sz val="10"/>
        <color rgb="FFE6E8EC"/>
        <rFont val="Noto Sans CJK SC"/>
        <family val="2"/>
      </rPr>
      <t xml:space="preserve">合成損失係数 </t>
    </r>
    <r>
      <rPr>
        <sz val="10"/>
        <color rgb="FFE6E8EC"/>
        <rFont val="Arial"/>
        <family val="0"/>
        <charset val="1"/>
      </rPr>
      <t xml:space="preserve">η_eq</t>
    </r>
  </si>
  <si>
    <r>
      <rPr>
        <sz val="9"/>
        <color rgb="FF8A93A3"/>
        <rFont val="Arial"/>
        <family val="0"/>
        <charset val="1"/>
      </rPr>
      <t xml:space="preserve">EI</t>
    </r>
    <r>
      <rPr>
        <sz val="9"/>
        <color rgb="FF8A93A3"/>
        <rFont val="Noto Sans CJK SC"/>
        <family val="2"/>
      </rPr>
      <t xml:space="preserve">重み付け平均（</t>
    </r>
    <r>
      <rPr>
        <sz val="9"/>
        <color rgb="FF8A93A3"/>
        <rFont val="Arial"/>
        <family val="0"/>
        <charset val="1"/>
      </rPr>
      <t xml:space="preserve">RKU</t>
    </r>
    <r>
      <rPr>
        <sz val="9"/>
        <color rgb="FF8A93A3"/>
        <rFont val="Noto Sans CJK SC"/>
        <family val="2"/>
      </rPr>
      <t xml:space="preserve">法の簡易版）🟡</t>
    </r>
  </si>
  <si>
    <r>
      <rPr>
        <sz val="10"/>
        <color rgb="FFE6E8EC"/>
        <rFont val="Noto Sans CJK SC"/>
        <family val="2"/>
      </rPr>
      <t xml:space="preserve">予測 質量 </t>
    </r>
    <r>
      <rPr>
        <sz val="10"/>
        <color rgb="FFE6E8EC"/>
        <rFont val="Arial"/>
        <family val="0"/>
        <charset val="1"/>
      </rPr>
      <t xml:space="preserve">[g]</t>
    </r>
  </si>
  <si>
    <t xml:space="preserve">厚さ・密度・正味面積から計算した値</t>
  </si>
  <si>
    <r>
      <rPr>
        <b val="true"/>
        <sz val="10"/>
        <color rgb="FFE6E8EC"/>
        <rFont val="Noto Sans CJK SC"/>
        <family val="2"/>
      </rPr>
      <t xml:space="preserve">★ 実測 質量 </t>
    </r>
    <r>
      <rPr>
        <b val="true"/>
        <sz val="10"/>
        <color rgb="FFE6E8EC"/>
        <rFont val="Arial"/>
        <family val="0"/>
        <charset val="1"/>
      </rPr>
      <t xml:space="preserve">[g]</t>
    </r>
    <r>
      <rPr>
        <b val="true"/>
        <sz val="10"/>
        <color rgb="FFE6E8EC"/>
        <rFont val="Noto Sans CJK SC"/>
        <family val="2"/>
      </rPr>
      <t xml:space="preserve">（電子天秤）</t>
    </r>
  </si>
  <si>
    <r>
      <rPr>
        <sz val="9"/>
        <color rgb="FF8A93A3"/>
        <rFont val="Arial"/>
        <family val="0"/>
        <charset val="1"/>
      </rPr>
      <t xml:space="preserve">0.1g </t>
    </r>
    <r>
      <rPr>
        <sz val="9"/>
        <color rgb="FF8A93A3"/>
        <rFont val="Noto Sans CJK SC"/>
        <family val="2"/>
      </rPr>
      <t xml:space="preserve">まで測って入力。ここが最強のデバッグ手段です</t>
    </r>
  </si>
  <si>
    <r>
      <rPr>
        <sz val="10"/>
        <color rgb="FFE6E8EC"/>
        <rFont val="Noto Sans CJK SC"/>
        <family val="2"/>
      </rPr>
      <t xml:space="preserve">質量の差 </t>
    </r>
    <r>
      <rPr>
        <sz val="10"/>
        <color rgb="FFE6E8EC"/>
        <rFont val="Arial"/>
        <family val="0"/>
        <charset val="1"/>
      </rPr>
      <t xml:space="preserve">[%]</t>
    </r>
  </si>
  <si>
    <t xml:space="preserve">質量チェック 判定</t>
  </si>
  <si>
    <t xml:space="preserve">■ 中立軸の意味（ここが一番の勘どころ）</t>
  </si>
  <si>
    <t xml:space="preserve">曲げると、上側は縮み・下側は伸びます。その境目で「伸びも縮みもしない面」が中立軸（ちゅうりつじく）です。</t>
  </si>
  <si>
    <r>
      <rPr>
        <sz val="9.5"/>
        <color rgb="FFB9C1D1"/>
        <rFont val="Noto Sans CJK SC"/>
        <family val="2"/>
      </rPr>
      <t xml:space="preserve">このブックはシム（任意）＋裏板だけなので、シムを</t>
    </r>
    <r>
      <rPr>
        <sz val="9.5"/>
        <color rgb="FFB9C1D1"/>
        <rFont val="Arial"/>
        <family val="0"/>
        <charset val="1"/>
      </rPr>
      <t xml:space="preserve">OFF</t>
    </r>
    <r>
      <rPr>
        <sz val="9.5"/>
        <color rgb="FFB9C1D1"/>
        <rFont val="Noto Sans CJK SC"/>
        <family val="2"/>
      </rPr>
      <t xml:space="preserve">にしていれば中立軸はちょうど裏板の真ん中に来ます。</t>
    </r>
  </si>
  <si>
    <r>
      <rPr>
        <sz val="9.5"/>
        <color rgb="FFB9C1D1"/>
        <rFont val="Noto Sans CJK SC"/>
        <family val="2"/>
      </rPr>
      <t xml:space="preserve">摩擦材が無いぶん、剛性</t>
    </r>
    <r>
      <rPr>
        <sz val="9.5"/>
        <color rgb="FFB9C1D1"/>
        <rFont val="Arial"/>
        <family val="0"/>
        <charset val="1"/>
      </rPr>
      <t xml:space="preserve">EI</t>
    </r>
    <r>
      <rPr>
        <sz val="9.5"/>
        <color rgb="FFB9C1D1"/>
        <rFont val="Noto Sans CJK SC"/>
        <family val="2"/>
      </rPr>
      <t xml:space="preserve">は下がりますが、質量</t>
    </r>
    <r>
      <rPr>
        <sz val="9.5"/>
        <color rgb="FFB9C1D1"/>
        <rFont val="Arial"/>
        <family val="0"/>
        <charset val="1"/>
      </rPr>
      <t xml:space="preserve">ρA</t>
    </r>
    <r>
      <rPr>
        <sz val="9.5"/>
        <color rgb="FFB9C1D1"/>
        <rFont val="Noto Sans CJK SC"/>
        <family val="2"/>
      </rPr>
      <t xml:space="preserve">はもっと大きく下がります。</t>
    </r>
    <r>
      <rPr>
        <sz val="9.5"/>
        <color rgb="FFB9C1D1"/>
        <rFont val="Arial"/>
        <family val="0"/>
        <charset val="1"/>
      </rPr>
      <t xml:space="preserve">f ∝ √(EI/ρA) </t>
    </r>
    <r>
      <rPr>
        <sz val="9.5"/>
        <color rgb="FFB9C1D1"/>
        <rFont val="Noto Sans CJK SC"/>
        <family val="2"/>
      </rPr>
      <t xml:space="preserve">なので、</t>
    </r>
  </si>
  <si>
    <r>
      <rPr>
        <sz val="9.5"/>
        <color rgb="FFB9C1D1"/>
        <rFont val="Noto Sans CJK SC"/>
        <family val="2"/>
      </rPr>
      <t xml:space="preserve">結果として金属部だけの固有振動数は、摩擦材付きよりかなり高く出ます（体感で</t>
    </r>
    <r>
      <rPr>
        <sz val="9.5"/>
        <color rgb="FFB9C1D1"/>
        <rFont val="Arial"/>
        <family val="0"/>
        <charset val="1"/>
      </rPr>
      <t xml:space="preserve">1.5</t>
    </r>
    <r>
      <rPr>
        <sz val="9.5"/>
        <color rgb="FFB9C1D1"/>
        <rFont val="Noto Sans CJK SC"/>
        <family val="2"/>
      </rPr>
      <t xml:space="preserve">〜</t>
    </r>
    <r>
      <rPr>
        <sz val="9.5"/>
        <color rgb="FFB9C1D1"/>
        <rFont val="Arial"/>
        <family val="0"/>
        <charset val="1"/>
      </rPr>
      <t xml:space="preserve">2</t>
    </r>
    <r>
      <rPr>
        <sz val="9.5"/>
        <color rgb="FFB9C1D1"/>
        <rFont val="Noto Sans CJK SC"/>
        <family val="2"/>
      </rPr>
      <t xml:space="preserve">倍程度）。</t>
    </r>
  </si>
  <si>
    <r>
      <rPr>
        <sz val="9.5"/>
        <color rgb="FFB9C1D1"/>
        <rFont val="Noto Sans CJK SC"/>
        <family val="2"/>
      </rPr>
      <t xml:space="preserve">裏板を </t>
    </r>
    <r>
      <rPr>
        <sz val="9.5"/>
        <color rgb="FFB9C1D1"/>
        <rFont val="Arial"/>
        <family val="0"/>
        <charset val="1"/>
      </rPr>
      <t xml:space="preserve">5.0mm → 6.0mm </t>
    </r>
    <r>
      <rPr>
        <sz val="9.5"/>
        <color rgb="FFB9C1D1"/>
        <rFont val="Noto Sans CJK SC"/>
        <family val="2"/>
      </rPr>
      <t xml:space="preserve">にすると </t>
    </r>
    <r>
      <rPr>
        <sz val="9.5"/>
        <color rgb="FFB9C1D1"/>
        <rFont val="Arial"/>
        <family val="0"/>
        <charset val="1"/>
      </rPr>
      <t xml:space="preserve">EI </t>
    </r>
    <r>
      <rPr>
        <sz val="9.5"/>
        <color rgb="FFB9C1D1"/>
        <rFont val="Noto Sans CJK SC"/>
        <family val="2"/>
      </rPr>
      <t xml:space="preserve">は </t>
    </r>
    <r>
      <rPr>
        <sz val="9.5"/>
        <color rgb="FFB9C1D1"/>
        <rFont val="Arial"/>
        <family val="0"/>
        <charset val="1"/>
      </rPr>
      <t xml:space="preserve">(6/5)³</t>
    </r>
    <r>
      <rPr>
        <sz val="9.5"/>
        <color rgb="FFB9C1D1"/>
        <rFont val="Noto Sans CJK SC"/>
        <family val="2"/>
      </rPr>
      <t xml:space="preserve">＝</t>
    </r>
    <r>
      <rPr>
        <sz val="9.5"/>
        <color rgb="FFB9C1D1"/>
        <rFont val="Arial"/>
        <family val="0"/>
        <charset val="1"/>
      </rPr>
      <t xml:space="preserve">1.73</t>
    </r>
    <r>
      <rPr>
        <sz val="9.5"/>
        <color rgb="FFB9C1D1"/>
        <rFont val="Noto Sans CJK SC"/>
        <family val="2"/>
      </rPr>
      <t xml:space="preserve">倍、質量は</t>
    </r>
    <r>
      <rPr>
        <sz val="9.5"/>
        <color rgb="FFB9C1D1"/>
        <rFont val="Arial"/>
        <family val="0"/>
        <charset val="1"/>
      </rPr>
      <t xml:space="preserve">1.2</t>
    </r>
    <r>
      <rPr>
        <sz val="9.5"/>
        <color rgb="FFB9C1D1"/>
        <rFont val="Noto Sans CJK SC"/>
        <family val="2"/>
      </rPr>
      <t xml:space="preserve">倍なので、周波数は約 √</t>
    </r>
    <r>
      <rPr>
        <sz val="9.5"/>
        <color rgb="FFB9C1D1"/>
        <rFont val="Arial"/>
        <family val="0"/>
        <charset val="1"/>
      </rPr>
      <t xml:space="preserve">(1.73/1.2)</t>
    </r>
    <r>
      <rPr>
        <sz val="9.5"/>
        <color rgb="FFB9C1D1"/>
        <rFont val="Noto Sans CJK SC"/>
        <family val="2"/>
      </rPr>
      <t xml:space="preserve">＝</t>
    </r>
    <r>
      <rPr>
        <sz val="9.5"/>
        <color rgb="FFB9C1D1"/>
        <rFont val="Arial"/>
        <family val="0"/>
        <charset val="1"/>
      </rPr>
      <t xml:space="preserve">1.2</t>
    </r>
    <r>
      <rPr>
        <sz val="9.5"/>
        <color rgb="FFB9C1D1"/>
        <rFont val="Noto Sans CJK SC"/>
        <family val="2"/>
      </rPr>
      <t xml:space="preserve">倍に上がります。</t>
    </r>
  </si>
  <si>
    <r>
      <rPr>
        <b val="true"/>
        <sz val="12"/>
        <color rgb="FF7DB4FF"/>
        <rFont val="Noto Sans CJK SC"/>
        <family val="2"/>
      </rPr>
      <t xml:space="preserve">■ 面内</t>
    </r>
    <r>
      <rPr>
        <b val="true"/>
        <sz val="12"/>
        <color rgb="FF7DB4FF"/>
        <rFont val="Arial"/>
        <family val="0"/>
        <charset val="1"/>
      </rPr>
      <t xml:space="preserve">EI </t>
    </r>
    <r>
      <rPr>
        <b val="true"/>
        <sz val="12"/>
        <color rgb="FF7DB4FF"/>
        <rFont val="Noto Sans CJK SC"/>
        <family val="2"/>
      </rPr>
      <t xml:space="preserve">の</t>
    </r>
    <r>
      <rPr>
        <b val="true"/>
        <sz val="12"/>
        <color rgb="FF7DB4FF"/>
        <rFont val="Arial"/>
        <family val="0"/>
        <charset val="1"/>
      </rPr>
      <t xml:space="preserve">2</t>
    </r>
    <r>
      <rPr>
        <b val="true"/>
        <sz val="12"/>
        <color rgb="FF7DB4FF"/>
        <rFont val="Noto Sans CJK SC"/>
        <family val="2"/>
      </rPr>
      <t xml:space="preserve">つの計算方式のちがい（</t>
    </r>
    <r>
      <rPr>
        <b val="true"/>
        <sz val="12"/>
        <color rgb="FF7DB4FF"/>
        <rFont val="Arial"/>
        <family val="0"/>
        <charset val="1"/>
      </rPr>
      <t xml:space="preserve">D7</t>
    </r>
    <r>
      <rPr>
        <b val="true"/>
        <sz val="12"/>
        <color rgb="FF7DB4FF"/>
        <rFont val="Noto Sans CJK SC"/>
        <family val="2"/>
      </rPr>
      <t xml:space="preserve">で切替）</t>
    </r>
  </si>
  <si>
    <r>
      <rPr>
        <sz val="9.5"/>
        <color rgb="FFB9C1D1"/>
        <rFont val="Arial"/>
        <family val="0"/>
        <charset val="1"/>
      </rPr>
      <t xml:space="preserve">0</t>
    </r>
    <r>
      <rPr>
        <sz val="9.5"/>
        <color rgb="FFB9C1D1"/>
        <rFont val="Noto Sans CJK SC"/>
        <family val="2"/>
      </rPr>
      <t xml:space="preserve">＝長方形近似： </t>
    </r>
    <r>
      <rPr>
        <sz val="9.5"/>
        <color rgb="FFB9C1D1"/>
        <rFont val="Arial"/>
        <family val="0"/>
        <charset val="1"/>
      </rPr>
      <t xml:space="preserve">EI = Σ E·t·w³/12</t>
    </r>
    <r>
      <rPr>
        <sz val="9.5"/>
        <color rgb="FFB9C1D1"/>
        <rFont val="Noto Sans CJK SC"/>
        <family val="2"/>
      </rPr>
      <t xml:space="preserve">。パッドをただの長方形とみなす昔ながらのやり方。手計算で検算しやすい。</t>
    </r>
  </si>
  <si>
    <r>
      <rPr>
        <sz val="9.5"/>
        <color rgb="FFB9C1D1"/>
        <rFont val="Arial"/>
        <family val="0"/>
        <charset val="1"/>
      </rPr>
      <t xml:space="preserve">1</t>
    </r>
    <r>
      <rPr>
        <sz val="9.5"/>
        <color rgb="FFB9C1D1"/>
        <rFont val="Noto Sans CJK SC"/>
        <family val="2"/>
      </rPr>
      <t xml:space="preserve">＝形状</t>
    </r>
    <r>
      <rPr>
        <sz val="9.5"/>
        <color rgb="FFB9C1D1"/>
        <rFont val="Arial"/>
        <family val="0"/>
        <charset val="1"/>
      </rPr>
      <t xml:space="preserve">Ixx</t>
    </r>
    <r>
      <rPr>
        <sz val="9.5"/>
        <color rgb="FFB9C1D1"/>
        <rFont val="Noto Sans CJK SC"/>
        <family val="2"/>
      </rPr>
      <t xml:space="preserve">版 ： </t>
    </r>
    <r>
      <rPr>
        <sz val="9.5"/>
        <color rgb="FFB9C1D1"/>
        <rFont val="Arial"/>
        <family val="0"/>
        <charset val="1"/>
      </rPr>
      <t xml:space="preserve">EI = Σ E·t·(Ixx_net / L)</t>
    </r>
    <r>
      <rPr>
        <sz val="9.5"/>
        <color rgb="FFB9C1D1"/>
        <rFont val="Noto Sans CJK SC"/>
        <family val="2"/>
      </rPr>
      <t xml:space="preserve">。耳・爪・穴まで含めた本当の断面二次モーメントを使う。</t>
    </r>
  </si>
  <si>
    <r>
      <rPr>
        <sz val="9.5"/>
        <color rgb="FFB9C1D1"/>
        <rFont val="Noto Sans CJK SC"/>
        <family val="2"/>
      </rPr>
      <t xml:space="preserve">　どちらが正しい？ → 面内曲げは「上下（半径方向）に波打つ」変形なので、形が効きます。</t>
    </r>
    <r>
      <rPr>
        <sz val="9.5"/>
        <color rgb="FFB9C1D1"/>
        <rFont val="Arial"/>
        <family val="0"/>
        <charset val="1"/>
      </rPr>
      <t xml:space="preserve">1</t>
    </r>
    <r>
      <rPr>
        <sz val="9.5"/>
        <color rgb="FFB9C1D1"/>
        <rFont val="Noto Sans CJK SC"/>
        <family val="2"/>
      </rPr>
      <t xml:space="preserve">（形状</t>
    </r>
    <r>
      <rPr>
        <sz val="9.5"/>
        <color rgb="FFB9C1D1"/>
        <rFont val="Arial"/>
        <family val="0"/>
        <charset val="1"/>
      </rPr>
      <t xml:space="preserve">Ixx</t>
    </r>
    <r>
      <rPr>
        <sz val="9.5"/>
        <color rgb="FFB9C1D1"/>
        <rFont val="Noto Sans CJK SC"/>
        <family val="2"/>
      </rPr>
      <t xml:space="preserve">版）が実物に近いです。</t>
    </r>
  </si>
  <si>
    <t xml:space="preserve">　両方を見比べて、差が大きいほど「長方形とみなすのは無理がある形」だと分かります。</t>
  </si>
  <si>
    <t xml:space="preserve">③ 固有振動数の予測（自由−自由：ピアノ線で吊った状態）</t>
  </si>
  <si>
    <r>
      <rPr>
        <sz val="9"/>
        <color rgb="FFA9B2C3"/>
        <rFont val="Arial"/>
        <family val="0"/>
        <charset val="1"/>
      </rPr>
      <t xml:space="preserve">4</t>
    </r>
    <r>
      <rPr>
        <sz val="9"/>
        <color rgb="FFA9B2C3"/>
        <rFont val="Noto Sans CJK SC"/>
        <family val="2"/>
      </rPr>
      <t xml:space="preserve">系統：①面外曲げ ②ねじり ③面内曲げ ④面内伸縮。せん断変形（</t>
    </r>
    <r>
      <rPr>
        <sz val="9"/>
        <color rgb="FFA9B2C3"/>
        <rFont val="Arial"/>
        <family val="0"/>
        <charset val="1"/>
      </rPr>
      <t xml:space="preserve">Timoshenko</t>
    </r>
    <r>
      <rPr>
        <sz val="9"/>
        <color rgb="FFA9B2C3"/>
        <rFont val="Noto Sans CJK SC"/>
        <family val="2"/>
      </rPr>
      <t xml:space="preserve">）補正つき。単位は </t>
    </r>
    <r>
      <rPr>
        <sz val="9"/>
        <color rgb="FFA9B2C3"/>
        <rFont val="Arial"/>
        <family val="0"/>
        <charset val="1"/>
      </rPr>
      <t xml:space="preserve">Hz</t>
    </r>
  </si>
  <si>
    <r>
      <rPr>
        <sz val="9"/>
        <color rgb="FF8A93A3"/>
        <rFont val="Noto Sans CJK SC"/>
        <family val="2"/>
      </rPr>
      <t xml:space="preserve">損失係数 </t>
    </r>
    <r>
      <rPr>
        <sz val="9"/>
        <color rgb="FF8A93A3"/>
        <rFont val="Arial"/>
        <family val="0"/>
        <charset val="1"/>
      </rPr>
      <t xml:space="preserve">η</t>
    </r>
    <r>
      <rPr>
        <sz val="9"/>
        <color rgb="FF8A93A3"/>
        <rFont val="Noto Sans CJK SC"/>
        <family val="2"/>
      </rPr>
      <t xml:space="preserve">（空欄→断面シートの合成値）</t>
    </r>
  </si>
  <si>
    <r>
      <rPr>
        <sz val="9"/>
        <color rgb="FF8A93A3"/>
        <rFont val="Noto Sans CJK SC"/>
        <family val="2"/>
      </rPr>
      <t xml:space="preserve">せん断補正 使う</t>
    </r>
    <r>
      <rPr>
        <sz val="9"/>
        <color rgb="FF8A93A3"/>
        <rFont val="Arial"/>
        <family val="0"/>
        <charset val="1"/>
      </rPr>
      <t xml:space="preserve">=1 / </t>
    </r>
    <r>
      <rPr>
        <sz val="9"/>
        <color rgb="FF8A93A3"/>
        <rFont val="Noto Sans CJK SC"/>
        <family val="2"/>
      </rPr>
      <t xml:space="preserve">使わない</t>
    </r>
    <r>
      <rPr>
        <sz val="9"/>
        <color rgb="FF8A93A3"/>
        <rFont val="Arial"/>
        <family val="0"/>
        <charset val="1"/>
      </rPr>
      <t xml:space="preserve">=0</t>
    </r>
  </si>
  <si>
    <r>
      <rPr>
        <sz val="9"/>
        <color rgb="FF8A93A3"/>
        <rFont val="Arial"/>
        <family val="0"/>
        <charset val="1"/>
      </rPr>
      <t xml:space="preserve">κ(</t>
    </r>
    <r>
      <rPr>
        <sz val="9"/>
        <color rgb="FF8A93A3"/>
        <rFont val="Noto Sans CJK SC"/>
        <family val="2"/>
      </rPr>
      <t xml:space="preserve">長方形</t>
    </r>
    <r>
      <rPr>
        <sz val="9"/>
        <color rgb="FF8A93A3"/>
        <rFont val="Arial"/>
        <family val="0"/>
        <charset val="1"/>
      </rPr>
      <t xml:space="preserve">=5/6)</t>
    </r>
  </si>
  <si>
    <r>
      <rPr>
        <sz val="9"/>
        <color rgb="FF8A93A3"/>
        <rFont val="Noto Sans CJK SC"/>
        <family val="2"/>
      </rPr>
      <t xml:space="preserve">スペクトル描画用 </t>
    </r>
    <r>
      <rPr>
        <sz val="9"/>
        <color rgb="FF8A93A3"/>
        <rFont val="Arial"/>
        <family val="0"/>
        <charset val="1"/>
      </rPr>
      <t xml:space="preserve">η </t>
    </r>
    <r>
      <rPr>
        <sz val="9"/>
        <color rgb="FF8A93A3"/>
        <rFont val="Noto Sans CJK SC"/>
        <family val="2"/>
      </rPr>
      <t xml:space="preserve">の下限</t>
    </r>
  </si>
  <si>
    <r>
      <rPr>
        <sz val="9"/>
        <color rgb="FF8A93A3"/>
        <rFont val="Noto Sans CJK SC"/>
        <family val="2"/>
      </rPr>
      <t xml:space="preserve">回転半径 </t>
    </r>
    <r>
      <rPr>
        <sz val="9"/>
        <color rgb="FF8A93A3"/>
        <rFont val="Arial"/>
        <family val="0"/>
        <charset val="1"/>
      </rPr>
      <t xml:space="preserve">r_out [m] = h/√12</t>
    </r>
  </si>
  <si>
    <t xml:space="preserve">r_in = w/√12</t>
  </si>
  <si>
    <t xml:space="preserve">1+E/(κG)</t>
  </si>
  <si>
    <t xml:space="preserve">#</t>
  </si>
  <si>
    <t xml:space="preserve">モード種別</t>
  </si>
  <si>
    <t xml:space="preserve">n</t>
  </si>
  <si>
    <r>
      <rPr>
        <b val="true"/>
        <sz val="9"/>
        <color rgb="FFE6E8EC"/>
        <rFont val="Noto Sans CJK SC"/>
        <family val="2"/>
      </rPr>
      <t xml:space="preserve">係数 </t>
    </r>
    <r>
      <rPr>
        <b val="true"/>
        <sz val="9"/>
        <color rgb="FFE6E8EC"/>
        <rFont val="Arial"/>
        <family val="0"/>
        <charset val="1"/>
      </rPr>
      <t xml:space="preserve">(βL) or n</t>
    </r>
  </si>
  <si>
    <t xml:space="preserve">(βL)²</t>
  </si>
  <si>
    <t xml:space="preserve">f Euler [Hz]</t>
  </si>
  <si>
    <t xml:space="preserve">せん断補正係数</t>
  </si>
  <si>
    <r>
      <rPr>
        <b val="true"/>
        <sz val="9"/>
        <color rgb="FFE6E8EC"/>
        <rFont val="Arial"/>
        <family val="0"/>
        <charset val="1"/>
      </rPr>
      <t xml:space="preserve">f </t>
    </r>
    <r>
      <rPr>
        <b val="true"/>
        <sz val="9"/>
        <color rgb="FFE6E8EC"/>
        <rFont val="Noto Sans CJK SC"/>
        <family val="2"/>
      </rPr>
      <t xml:space="preserve">補正後 </t>
    </r>
    <r>
      <rPr>
        <b val="true"/>
        <sz val="9"/>
        <color rgb="FFE6E8EC"/>
        <rFont val="Arial"/>
        <family val="0"/>
        <charset val="1"/>
      </rPr>
      <t xml:space="preserve">[Hz]</t>
    </r>
  </si>
  <si>
    <r>
      <rPr>
        <b val="true"/>
        <sz val="9"/>
        <color rgb="FFE6E8EC"/>
        <rFont val="Noto Sans CJK SC"/>
        <family val="2"/>
      </rPr>
      <t xml:space="preserve">★採用 </t>
    </r>
    <r>
      <rPr>
        <b val="true"/>
        <sz val="9"/>
        <color rgb="FFE6E8EC"/>
        <rFont val="Arial"/>
        <family val="0"/>
        <charset val="1"/>
      </rPr>
      <t xml:space="preserve">f [Hz]</t>
    </r>
  </si>
  <si>
    <r>
      <rPr>
        <b val="true"/>
        <sz val="9"/>
        <color rgb="FFE6E8EC"/>
        <rFont val="Noto Sans CJK SC"/>
        <family val="2"/>
      </rPr>
      <t xml:space="preserve">波長 </t>
    </r>
    <r>
      <rPr>
        <b val="true"/>
        <sz val="9"/>
        <color rgb="FFE6E8EC"/>
        <rFont val="Arial"/>
        <family val="0"/>
        <charset val="1"/>
      </rPr>
      <t xml:space="preserve">λ [mm]</t>
    </r>
  </si>
  <si>
    <r>
      <rPr>
        <b val="true"/>
        <sz val="9"/>
        <color rgb="FFE6E8EC"/>
        <rFont val="Arial"/>
        <family val="0"/>
        <charset val="1"/>
      </rPr>
      <t xml:space="preserve">λ/</t>
    </r>
    <r>
      <rPr>
        <b val="true"/>
        <sz val="9"/>
        <color rgb="FFE6E8EC"/>
        <rFont val="Noto Sans CJK SC"/>
        <family val="2"/>
      </rPr>
      <t xml:space="preserve">断面寸法</t>
    </r>
  </si>
  <si>
    <t xml:space="preserve">妥当性</t>
  </si>
  <si>
    <t xml:space="preserve">備考</t>
  </si>
  <si>
    <r>
      <rPr>
        <b val="true"/>
        <sz val="9"/>
        <color rgb="FFE6E8EC"/>
        <rFont val="Arial"/>
        <family val="0"/>
        <charset val="1"/>
      </rPr>
      <t xml:space="preserve">J2521</t>
    </r>
    <r>
      <rPr>
        <b val="true"/>
        <sz val="9"/>
        <color rgb="FFE6E8EC"/>
        <rFont val="Noto Sans CJK SC"/>
        <family val="2"/>
      </rPr>
      <t xml:space="preserve">帯域</t>
    </r>
  </si>
  <si>
    <t xml:space="preserve">f [Hz]</t>
  </si>
  <si>
    <r>
      <rPr>
        <b val="true"/>
        <sz val="9"/>
        <color rgb="FFE6E8EC"/>
        <rFont val="Noto Sans CJK SC"/>
        <family val="2"/>
      </rPr>
      <t xml:space="preserve">振幅 </t>
    </r>
    <r>
      <rPr>
        <b val="true"/>
        <sz val="9"/>
        <color rgb="FFE6E8EC"/>
        <rFont val="Arial"/>
        <family val="0"/>
        <charset val="1"/>
      </rPr>
      <t xml:space="preserve">A</t>
    </r>
  </si>
  <si>
    <t xml:space="preserve">モード名</t>
  </si>
  <si>
    <t xml:space="preserve">面外曲げ</t>
  </si>
  <si>
    <t xml:space="preserve">板が反（そ）るように曲がる。鳴きの主役  🟢</t>
  </si>
  <si>
    <t xml:space="preserve">ねじり</t>
  </si>
  <si>
    <r>
      <rPr>
        <sz val="9"/>
        <color rgb="FF8A93A3"/>
        <rFont val="Noto Sans CJK SC"/>
        <family val="2"/>
      </rPr>
      <t xml:space="preserve">板がねじれる。</t>
    </r>
    <r>
      <rPr>
        <sz val="9"/>
        <color rgb="FF8A93A3"/>
        <rFont val="Arial"/>
        <family val="0"/>
        <charset val="1"/>
      </rPr>
      <t xml:space="preserve">1</t>
    </r>
    <r>
      <rPr>
        <sz val="9"/>
        <color rgb="FF8A93A3"/>
        <rFont val="Noto Sans CJK SC"/>
        <family val="2"/>
      </rPr>
      <t xml:space="preserve">次ねじりは</t>
    </r>
    <r>
      <rPr>
        <sz val="9"/>
        <color rgb="FF8A93A3"/>
        <rFont val="Arial"/>
        <family val="0"/>
        <charset val="1"/>
      </rPr>
      <t xml:space="preserve">1</t>
    </r>
    <r>
      <rPr>
        <sz val="9"/>
        <color rgb="FF8A93A3"/>
        <rFont val="Noto Sans CJK SC"/>
        <family val="2"/>
      </rPr>
      <t xml:space="preserve">次曲げの近くに出やすい  🟡</t>
    </r>
  </si>
  <si>
    <t xml:space="preserve">面内曲げ</t>
  </si>
  <si>
    <r>
      <rPr>
        <sz val="9"/>
        <color rgb="FF8A93A3"/>
        <rFont val="Noto Sans CJK SC"/>
        <family val="2"/>
      </rPr>
      <t xml:space="preserve">面の中で（半径方向に）波打つ。</t>
    </r>
    <r>
      <rPr>
        <sz val="9"/>
        <color rgb="FF8A93A3"/>
        <rFont val="Arial"/>
        <family val="0"/>
        <charset val="1"/>
      </rPr>
      <t xml:space="preserve">5kHz</t>
    </r>
    <r>
      <rPr>
        <sz val="9"/>
        <color rgb="FF8A93A3"/>
        <rFont val="Noto Sans CJK SC"/>
        <family val="2"/>
      </rPr>
      <t xml:space="preserve">以上で効く  🟢</t>
    </r>
  </si>
  <si>
    <t xml:space="preserve">面内伸縮</t>
  </si>
  <si>
    <r>
      <rPr>
        <sz val="9"/>
        <color rgb="FF8A93A3"/>
        <rFont val="Noto Sans CJK SC"/>
        <family val="2"/>
      </rPr>
      <t xml:space="preserve">円周方向に伸び縮み。</t>
    </r>
    <r>
      <rPr>
        <sz val="9"/>
        <color rgb="FF8A93A3"/>
        <rFont val="Arial"/>
        <family val="0"/>
        <charset val="1"/>
      </rPr>
      <t xml:space="preserve">10kHz</t>
    </r>
    <r>
      <rPr>
        <sz val="9"/>
        <color rgb="FF8A93A3"/>
        <rFont val="Noto Sans CJK SC"/>
        <family val="2"/>
      </rPr>
      <t xml:space="preserve">超の高音鳴きに関与  🟢</t>
    </r>
  </si>
  <si>
    <t xml:space="preserve">■ 使っている式（🟢＝教科書どおり／🟡＝妥当な近似）</t>
  </si>
  <si>
    <t xml:space="preserve">面外曲げ・面内曲げ</t>
  </si>
  <si>
    <t xml:space="preserve">f = (βL)² /(2π L²) × √(EI / ρA)</t>
  </si>
  <si>
    <r>
      <rPr>
        <sz val="9"/>
        <color rgb="FF8A93A3"/>
        <rFont val="Noto Sans CJK SC"/>
        <family val="2"/>
      </rPr>
      <t xml:space="preserve">自由−自由はり（</t>
    </r>
    <r>
      <rPr>
        <sz val="9"/>
        <color rgb="FF8A93A3"/>
        <rFont val="Arial"/>
        <family val="0"/>
        <charset val="1"/>
      </rPr>
      <t xml:space="preserve">Euler-Bernoulli</t>
    </r>
    <r>
      <rPr>
        <sz val="9"/>
        <color rgb="FF8A93A3"/>
        <rFont val="Noto Sans CJK SC"/>
        <family val="2"/>
      </rPr>
      <t xml:space="preserve">）。</t>
    </r>
    <r>
      <rPr>
        <sz val="9"/>
        <color rgb="FF8A93A3"/>
        <rFont val="Arial"/>
        <family val="0"/>
        <charset val="1"/>
      </rPr>
      <t xml:space="preserve">βL = 4.7300, 7.8532, 10.9956, 14.1372, 17.2788, 20.4204</t>
    </r>
    <r>
      <rPr>
        <sz val="9"/>
        <color rgb="FF8A93A3"/>
        <rFont val="Noto Sans CJK SC"/>
        <family val="2"/>
      </rPr>
      <t xml:space="preserve">（</t>
    </r>
    <r>
      <rPr>
        <sz val="9"/>
        <color rgb="FF8A93A3"/>
        <rFont val="Arial"/>
        <family val="0"/>
        <charset val="1"/>
      </rPr>
      <t xml:space="preserve">cos(βL)cosh(βL)=1 </t>
    </r>
    <r>
      <rPr>
        <sz val="9"/>
        <color rgb="FF8A93A3"/>
        <rFont val="Noto Sans CJK SC"/>
        <family val="2"/>
      </rPr>
      <t xml:space="preserve">の解）  🟢</t>
    </r>
  </si>
  <si>
    <t xml:space="preserve">周波数の比</t>
  </si>
  <si>
    <t xml:space="preserve">f₁ : f₂ : f₃ : f₄ = 1 : 2.757 : 5.404 : 8.933</t>
  </si>
  <si>
    <r>
      <rPr>
        <sz val="9"/>
        <color rgb="FF8A93A3"/>
        <rFont val="Noto Sans CJK SC"/>
        <family val="2"/>
      </rPr>
      <t xml:space="preserve">実測がこの比から外れたら「曲げモードではない」</t>
    </r>
    <r>
      <rPr>
        <sz val="9"/>
        <color rgb="FF8A93A3"/>
        <rFont val="Arial"/>
        <family val="0"/>
        <charset val="1"/>
      </rPr>
      <t xml:space="preserve">or</t>
    </r>
    <r>
      <rPr>
        <sz val="9"/>
        <color rgb="FF8A93A3"/>
        <rFont val="Noto Sans CJK SC"/>
        <family val="2"/>
      </rPr>
      <t xml:space="preserve">「せん断が効いている」  🟢</t>
    </r>
  </si>
  <si>
    <t xml:space="preserve">せん断補正</t>
  </si>
  <si>
    <r>
      <rPr>
        <sz val="10"/>
        <color rgb="FF7FE3A6"/>
        <rFont val="Courier New"/>
        <family val="0"/>
        <charset val="1"/>
      </rPr>
      <t xml:space="preserve">f</t>
    </r>
    <r>
      <rPr>
        <sz val="10"/>
        <color rgb="FF7FE3A6"/>
        <rFont val="Noto Sans CJK SC"/>
        <family val="2"/>
      </rPr>
      <t xml:space="preserve">補正 </t>
    </r>
    <r>
      <rPr>
        <sz val="10"/>
        <color rgb="FF7FE3A6"/>
        <rFont val="Courier New"/>
        <family val="0"/>
        <charset val="1"/>
      </rPr>
      <t xml:space="preserve">= f / √(1 + (βL)²·(r/L)²·(1 + E/(κG)))</t>
    </r>
  </si>
  <si>
    <r>
      <rPr>
        <sz val="9"/>
        <color rgb="FF8A93A3"/>
        <rFont val="Arial"/>
        <family val="0"/>
        <charset val="1"/>
      </rPr>
      <t xml:space="preserve">Timoshenko</t>
    </r>
    <r>
      <rPr>
        <sz val="9"/>
        <color rgb="FF8A93A3"/>
        <rFont val="Noto Sans CJK SC"/>
        <family val="2"/>
      </rPr>
      <t xml:space="preserve">の一次近似。</t>
    </r>
    <r>
      <rPr>
        <sz val="9"/>
        <color rgb="FF8A93A3"/>
        <rFont val="Arial"/>
        <family val="0"/>
        <charset val="1"/>
      </rPr>
      <t xml:space="preserve">r</t>
    </r>
    <r>
      <rPr>
        <sz val="9"/>
        <color rgb="FF8A93A3"/>
        <rFont val="Noto Sans CJK SC"/>
        <family val="2"/>
      </rPr>
      <t xml:space="preserve">＝断面回転半径</t>
    </r>
    <r>
      <rPr>
        <sz val="9"/>
        <color rgb="FF8A93A3"/>
        <rFont val="Arial"/>
        <family val="0"/>
        <charset val="1"/>
      </rPr>
      <t xml:space="preserve">, κ</t>
    </r>
    <r>
      <rPr>
        <sz val="9"/>
        <color rgb="FF8A93A3"/>
        <rFont val="Noto Sans CJK SC"/>
        <family val="2"/>
      </rPr>
      <t xml:space="preserve">＝</t>
    </r>
    <r>
      <rPr>
        <sz val="9"/>
        <color rgb="FF8A93A3"/>
        <rFont val="Arial"/>
        <family val="0"/>
        <charset val="1"/>
      </rPr>
      <t xml:space="preserve">5/6</t>
    </r>
    <r>
      <rPr>
        <sz val="9"/>
        <color rgb="FF8A93A3"/>
        <rFont val="Noto Sans CJK SC"/>
        <family val="2"/>
      </rPr>
      <t xml:space="preserve">。高次ほど大きく下がる  🟡</t>
    </r>
  </si>
  <si>
    <t xml:space="preserve">f = n /(2L) × √(GJ / ρIp)</t>
  </si>
  <si>
    <r>
      <rPr>
        <sz val="9"/>
        <color rgb="FF8A93A3"/>
        <rFont val="Noto Sans CJK SC"/>
        <family val="2"/>
      </rPr>
      <t xml:space="preserve">自由−自由ねじり棒。</t>
    </r>
    <r>
      <rPr>
        <sz val="9"/>
        <color rgb="FF8A93A3"/>
        <rFont val="Arial"/>
        <family val="0"/>
        <charset val="1"/>
      </rPr>
      <t xml:space="preserve">J</t>
    </r>
    <r>
      <rPr>
        <sz val="9"/>
        <color rgb="FF8A93A3"/>
        <rFont val="Noto Sans CJK SC"/>
        <family val="2"/>
      </rPr>
      <t xml:space="preserve">＝</t>
    </r>
    <r>
      <rPr>
        <sz val="9"/>
        <color rgb="FF8A93A3"/>
        <rFont val="Arial"/>
        <family val="0"/>
        <charset val="1"/>
      </rPr>
      <t xml:space="preserve">β·w·h³</t>
    </r>
    <r>
      <rPr>
        <sz val="9"/>
        <color rgb="FF8A93A3"/>
        <rFont val="Noto Sans CJK SC"/>
        <family val="2"/>
      </rPr>
      <t xml:space="preserve">、</t>
    </r>
    <r>
      <rPr>
        <sz val="9"/>
        <color rgb="FF8A93A3"/>
        <rFont val="Arial"/>
        <family val="0"/>
        <charset val="1"/>
      </rPr>
      <t xml:space="preserve">β</t>
    </r>
    <r>
      <rPr>
        <sz val="9"/>
        <color rgb="FF8A93A3"/>
        <rFont val="Noto Sans CJK SC"/>
        <family val="2"/>
      </rPr>
      <t xml:space="preserve">＝</t>
    </r>
    <r>
      <rPr>
        <sz val="9"/>
        <color rgb="FF8A93A3"/>
        <rFont val="Arial"/>
        <family val="0"/>
        <charset val="1"/>
      </rPr>
      <t xml:space="preserve">(1/3)(1−0.630(h/w)+0.052(h/w)⁵)  🟢/🟡</t>
    </r>
  </si>
  <si>
    <t xml:space="preserve">f = n /(2L) × √(EA / ρA)</t>
  </si>
  <si>
    <r>
      <rPr>
        <sz val="9"/>
        <color rgb="FF8A93A3"/>
        <rFont val="Noto Sans CJK SC"/>
        <family val="2"/>
      </rPr>
      <t xml:space="preserve">自由−自由の縦振動。棒の中の音速 </t>
    </r>
    <r>
      <rPr>
        <sz val="9"/>
        <color rgb="FF8A93A3"/>
        <rFont val="Arial"/>
        <family val="0"/>
        <charset val="1"/>
      </rPr>
      <t xml:space="preserve">c</t>
    </r>
    <r>
      <rPr>
        <sz val="9"/>
        <color rgb="FF8A93A3"/>
        <rFont val="Noto Sans CJK SC"/>
        <family val="2"/>
      </rPr>
      <t xml:space="preserve">＝√</t>
    </r>
    <r>
      <rPr>
        <sz val="9"/>
        <color rgb="FF8A93A3"/>
        <rFont val="Arial"/>
        <family val="0"/>
        <charset val="1"/>
      </rPr>
      <t xml:space="preserve">(E/ρ) </t>
    </r>
    <r>
      <rPr>
        <sz val="9"/>
        <color rgb="FF8A93A3"/>
        <rFont val="Noto Sans CJK SC"/>
        <family val="2"/>
      </rPr>
      <t xml:space="preserve">の半波長ずつ  🟢</t>
    </r>
  </si>
  <si>
    <t xml:space="preserve">波長</t>
  </si>
  <si>
    <r>
      <rPr>
        <sz val="10"/>
        <color rgb="FF7FE3A6"/>
        <rFont val="Courier New"/>
        <family val="0"/>
        <charset val="1"/>
      </rPr>
      <t xml:space="preserve">λ = 2πL/(βL)</t>
    </r>
    <r>
      <rPr>
        <sz val="10"/>
        <color rgb="FF7FE3A6"/>
        <rFont val="Noto Sans CJK SC"/>
        <family val="2"/>
      </rPr>
      <t xml:space="preserve">（曲げ）、</t>
    </r>
    <r>
      <rPr>
        <sz val="10"/>
        <color rgb="FF7FE3A6"/>
        <rFont val="Courier New"/>
        <family val="0"/>
        <charset val="1"/>
      </rPr>
      <t xml:space="preserve">λ = 2L/n</t>
    </r>
    <r>
      <rPr>
        <sz val="10"/>
        <color rgb="FF7FE3A6"/>
        <rFont val="Noto Sans CJK SC"/>
        <family val="2"/>
      </rPr>
      <t xml:space="preserve">（ねじり・伸縮）</t>
    </r>
  </si>
  <si>
    <r>
      <rPr>
        <sz val="9"/>
        <color rgb="FF8A93A3"/>
        <rFont val="Arial"/>
        <family val="0"/>
        <charset val="1"/>
      </rPr>
      <t xml:space="preserve">λ/</t>
    </r>
    <r>
      <rPr>
        <sz val="9"/>
        <color rgb="FF8A93A3"/>
        <rFont val="Noto Sans CJK SC"/>
        <family val="2"/>
      </rPr>
      <t xml:space="preserve">断面寸法 が小さいほど</t>
    </r>
    <r>
      <rPr>
        <sz val="9"/>
        <color rgb="FF8A93A3"/>
        <rFont val="Arial"/>
        <family val="0"/>
        <charset val="1"/>
      </rPr>
      <t xml:space="preserve">1</t>
    </r>
    <r>
      <rPr>
        <sz val="9"/>
        <color rgb="FF8A93A3"/>
        <rFont val="Noto Sans CJK SC"/>
        <family val="2"/>
      </rPr>
      <t xml:space="preserve">次元はり近似が苦しい。</t>
    </r>
    <r>
      <rPr>
        <sz val="9"/>
        <color rgb="FF8A93A3"/>
        <rFont val="Arial"/>
        <family val="0"/>
        <charset val="1"/>
      </rPr>
      <t xml:space="preserve">6</t>
    </r>
    <r>
      <rPr>
        <sz val="9"/>
        <color rgb="FF8A93A3"/>
        <rFont val="Noto Sans CJK SC"/>
        <family val="2"/>
      </rPr>
      <t xml:space="preserve">以上あれば安心  🟢</t>
    </r>
  </si>
  <si>
    <t xml:space="preserve">最重要の性質</t>
  </si>
  <si>
    <r>
      <rPr>
        <sz val="10"/>
        <color rgb="FF7FE3A6"/>
        <rFont val="Courier New"/>
        <family val="0"/>
        <charset val="1"/>
      </rPr>
      <t xml:space="preserve">f ∝ h / L²</t>
    </r>
    <r>
      <rPr>
        <sz val="10"/>
        <color rgb="FF7FE3A6"/>
        <rFont val="Noto Sans CJK SC"/>
        <family val="2"/>
      </rPr>
      <t xml:space="preserve">（均質</t>
    </r>
    <r>
      <rPr>
        <sz val="10"/>
        <color rgb="FF7FE3A6"/>
        <rFont val="Courier New"/>
        <family val="0"/>
        <charset val="1"/>
      </rPr>
      <t xml:space="preserve">1</t>
    </r>
    <r>
      <rPr>
        <sz val="10"/>
        <color rgb="FF7FE3A6"/>
        <rFont val="Noto Sans CJK SC"/>
        <family val="2"/>
      </rPr>
      <t xml:space="preserve">枚板のとき）</t>
    </r>
  </si>
  <si>
    <r>
      <rPr>
        <sz val="9"/>
        <color rgb="FF8A93A3"/>
        <rFont val="Noto Sans CJK SC"/>
        <family val="2"/>
      </rPr>
      <t xml:space="preserve">厚さ</t>
    </r>
    <r>
      <rPr>
        <sz val="9"/>
        <color rgb="FF8A93A3"/>
        <rFont val="Arial"/>
        <family val="0"/>
        <charset val="1"/>
      </rPr>
      <t xml:space="preserve">2</t>
    </r>
    <r>
      <rPr>
        <sz val="9"/>
        <color rgb="FF8A93A3"/>
        <rFont val="Noto Sans CJK SC"/>
        <family val="2"/>
      </rPr>
      <t xml:space="preserve">倍→周波数</t>
    </r>
    <r>
      <rPr>
        <sz val="9"/>
        <color rgb="FF8A93A3"/>
        <rFont val="Arial"/>
        <family val="0"/>
        <charset val="1"/>
      </rPr>
      <t xml:space="preserve">2</t>
    </r>
    <r>
      <rPr>
        <sz val="9"/>
        <color rgb="FF8A93A3"/>
        <rFont val="Noto Sans CJK SC"/>
        <family val="2"/>
      </rPr>
      <t xml:space="preserve">倍。長さ</t>
    </r>
    <r>
      <rPr>
        <sz val="9"/>
        <color rgb="FF8A93A3"/>
        <rFont val="Arial"/>
        <family val="0"/>
        <charset val="1"/>
      </rPr>
      <t xml:space="preserve">2</t>
    </r>
    <r>
      <rPr>
        <sz val="9"/>
        <color rgb="FF8A93A3"/>
        <rFont val="Noto Sans CJK SC"/>
        <family val="2"/>
      </rPr>
      <t xml:space="preserve">倍→周波数</t>
    </r>
    <r>
      <rPr>
        <sz val="9"/>
        <color rgb="FF8A93A3"/>
        <rFont val="Arial"/>
        <family val="0"/>
        <charset val="1"/>
      </rPr>
      <t xml:space="preserve">1/4</t>
    </r>
    <r>
      <rPr>
        <sz val="9"/>
        <color rgb="FF8A93A3"/>
        <rFont val="Noto Sans CJK SC"/>
        <family val="2"/>
      </rPr>
      <t xml:space="preserve">。設計で一番効くのは </t>
    </r>
    <r>
      <rPr>
        <sz val="9"/>
        <color rgb="FF8A93A3"/>
        <rFont val="Arial"/>
        <family val="0"/>
        <charset val="1"/>
      </rPr>
      <t xml:space="preserve">L</t>
    </r>
    <r>
      <rPr>
        <sz val="9"/>
        <color rgb="FF8A93A3"/>
        <rFont val="Noto Sans CJK SC"/>
        <family val="2"/>
      </rPr>
      <t xml:space="preserve">（長さ）  🟢</t>
    </r>
  </si>
  <si>
    <r>
      <rPr>
        <b val="true"/>
        <sz val="12"/>
        <color rgb="FF7DB4FF"/>
        <rFont val="Noto Sans CJK SC"/>
        <family val="2"/>
      </rPr>
      <t xml:space="preserve">■ 感度（どこをいじると何</t>
    </r>
    <r>
      <rPr>
        <b val="true"/>
        <sz val="12"/>
        <color rgb="FF7DB4FF"/>
        <rFont val="Arial"/>
        <family val="0"/>
        <charset val="1"/>
      </rPr>
      <t xml:space="preserve">Hz</t>
    </r>
    <r>
      <rPr>
        <b val="true"/>
        <sz val="12"/>
        <color rgb="FF7DB4FF"/>
        <rFont val="Noto Sans CJK SC"/>
        <family val="2"/>
      </rPr>
      <t xml:space="preserve">動くか）</t>
    </r>
  </si>
  <si>
    <r>
      <rPr>
        <sz val="9.5"/>
        <color rgb="FFB9C1D1"/>
        <rFont val="Noto Sans CJK SC"/>
        <family val="2"/>
      </rPr>
      <t xml:space="preserve">長さ </t>
    </r>
    <r>
      <rPr>
        <sz val="9.5"/>
        <color rgb="FFB9C1D1"/>
        <rFont val="Arial"/>
        <family val="0"/>
        <charset val="1"/>
      </rPr>
      <t xml:space="preserve">L </t>
    </r>
    <r>
      <rPr>
        <sz val="9.5"/>
        <color rgb="FFB9C1D1"/>
        <rFont val="Noto Sans CJK SC"/>
        <family val="2"/>
      </rPr>
      <t xml:space="preserve">を </t>
    </r>
    <r>
      <rPr>
        <sz val="9.5"/>
        <color rgb="FFB9C1D1"/>
        <rFont val="Arial"/>
        <family val="0"/>
        <charset val="1"/>
      </rPr>
      <t xml:space="preserve">x </t>
    </r>
    <r>
      <rPr>
        <sz val="9.5"/>
        <color rgb="FFB9C1D1"/>
        <rFont val="Noto Sans CJK SC"/>
        <family val="2"/>
      </rPr>
      <t xml:space="preserve">倍 → 面外曲げは </t>
    </r>
    <r>
      <rPr>
        <sz val="9.5"/>
        <color rgb="FFB9C1D1"/>
        <rFont val="Arial"/>
        <family val="0"/>
        <charset val="1"/>
      </rPr>
      <t xml:space="preserve">1/x² </t>
    </r>
    <r>
      <rPr>
        <sz val="9.5"/>
        <color rgb="FFB9C1D1"/>
        <rFont val="Noto Sans CJK SC"/>
        <family val="2"/>
      </rPr>
      <t xml:space="preserve">倍。</t>
    </r>
    <r>
      <rPr>
        <sz val="9.5"/>
        <color rgb="FFB9C1D1"/>
        <rFont val="Arial"/>
        <family val="0"/>
        <charset val="1"/>
      </rPr>
      <t xml:space="preserve">L </t>
    </r>
    <r>
      <rPr>
        <sz val="9.5"/>
        <color rgb="FFB9C1D1"/>
        <rFont val="Noto Sans CJK SC"/>
        <family val="2"/>
      </rPr>
      <t xml:space="preserve">が </t>
    </r>
    <r>
      <rPr>
        <sz val="9.5"/>
        <color rgb="FFB9C1D1"/>
        <rFont val="Arial"/>
        <family val="0"/>
        <charset val="1"/>
      </rPr>
      <t xml:space="preserve">5% </t>
    </r>
    <r>
      <rPr>
        <sz val="9.5"/>
        <color rgb="FFB9C1D1"/>
        <rFont val="Noto Sans CJK SC"/>
        <family val="2"/>
      </rPr>
      <t xml:space="preserve">伸びるだけで周波数は約 </t>
    </r>
    <r>
      <rPr>
        <sz val="9.5"/>
        <color rgb="FFB9C1D1"/>
        <rFont val="Arial"/>
        <family val="0"/>
        <charset val="1"/>
      </rPr>
      <t xml:space="preserve">9% </t>
    </r>
    <r>
      <rPr>
        <sz val="9.5"/>
        <color rgb="FFB9C1D1"/>
        <rFont val="Noto Sans CJK SC"/>
        <family val="2"/>
      </rPr>
      <t xml:space="preserve">下がる（最も効く）</t>
    </r>
  </si>
  <si>
    <r>
      <rPr>
        <sz val="9.5"/>
        <color rgb="FFB9C1D1"/>
        <rFont val="Noto Sans CJK SC"/>
        <family val="2"/>
      </rPr>
      <t xml:space="preserve">板厚 </t>
    </r>
    <r>
      <rPr>
        <sz val="9.5"/>
        <color rgb="FFB9C1D1"/>
        <rFont val="Arial"/>
        <family val="0"/>
        <charset val="1"/>
      </rPr>
      <t xml:space="preserve">t </t>
    </r>
    <r>
      <rPr>
        <sz val="9.5"/>
        <color rgb="FFB9C1D1"/>
        <rFont val="Noto Sans CJK SC"/>
        <family val="2"/>
      </rPr>
      <t xml:space="preserve">を </t>
    </r>
    <r>
      <rPr>
        <sz val="9.5"/>
        <color rgb="FFB9C1D1"/>
        <rFont val="Arial"/>
        <family val="0"/>
        <charset val="1"/>
      </rPr>
      <t xml:space="preserve">x </t>
    </r>
    <r>
      <rPr>
        <sz val="9.5"/>
        <color rgb="FFB9C1D1"/>
        <rFont val="Noto Sans CJK SC"/>
        <family val="2"/>
      </rPr>
      <t xml:space="preserve">倍 → </t>
    </r>
    <r>
      <rPr>
        <sz val="9.5"/>
        <color rgb="FFB9C1D1"/>
        <rFont val="Arial"/>
        <family val="0"/>
        <charset val="1"/>
      </rPr>
      <t xml:space="preserve">EI </t>
    </r>
    <r>
      <rPr>
        <sz val="9.5"/>
        <color rgb="FFB9C1D1"/>
        <rFont val="Noto Sans CJK SC"/>
        <family val="2"/>
      </rPr>
      <t xml:space="preserve">は </t>
    </r>
    <r>
      <rPr>
        <sz val="9.5"/>
        <color rgb="FFB9C1D1"/>
        <rFont val="Arial"/>
        <family val="0"/>
        <charset val="1"/>
      </rPr>
      <t xml:space="preserve">x³</t>
    </r>
    <r>
      <rPr>
        <sz val="9.5"/>
        <color rgb="FFB9C1D1"/>
        <rFont val="Noto Sans CJK SC"/>
        <family val="2"/>
      </rPr>
      <t xml:space="preserve">、質量は </t>
    </r>
    <r>
      <rPr>
        <sz val="9.5"/>
        <color rgb="FFB9C1D1"/>
        <rFont val="Arial"/>
        <family val="0"/>
        <charset val="1"/>
      </rPr>
      <t xml:space="preserve">x </t>
    </r>
    <r>
      <rPr>
        <sz val="9.5"/>
        <color rgb="FFB9C1D1"/>
        <rFont val="Noto Sans CJK SC"/>
        <family val="2"/>
      </rPr>
      <t xml:space="preserve">なので周波数はおよそ </t>
    </r>
    <r>
      <rPr>
        <sz val="9.5"/>
        <color rgb="FFB9C1D1"/>
        <rFont val="Arial"/>
        <family val="0"/>
        <charset val="1"/>
      </rPr>
      <t xml:space="preserve">x </t>
    </r>
    <r>
      <rPr>
        <sz val="9.5"/>
        <color rgb="FFB9C1D1"/>
        <rFont val="Noto Sans CJK SC"/>
        <family val="2"/>
      </rPr>
      <t xml:space="preserve">倍</t>
    </r>
  </si>
  <si>
    <t xml:space="preserve">穴を大きくする → 質量も剛性も減る。中央の穴は剛性側が勝つので周波数は下がる方向 🟡</t>
  </si>
  <si>
    <r>
      <rPr>
        <sz val="9.5"/>
        <color rgb="FFB9C1D1"/>
        <rFont val="Noto Sans CJK SC"/>
        <family val="2"/>
      </rPr>
      <t xml:space="preserve">ヤング率 </t>
    </r>
    <r>
      <rPr>
        <sz val="9.5"/>
        <color rgb="FFB9C1D1"/>
        <rFont val="Arial"/>
        <family val="0"/>
        <charset val="1"/>
      </rPr>
      <t xml:space="preserve">E </t>
    </r>
    <r>
      <rPr>
        <sz val="9.5"/>
        <color rgb="FFB9C1D1"/>
        <rFont val="Noto Sans CJK SC"/>
        <family val="2"/>
      </rPr>
      <t xml:space="preserve">を </t>
    </r>
    <r>
      <rPr>
        <sz val="9.5"/>
        <color rgb="FFB9C1D1"/>
        <rFont val="Arial"/>
        <family val="0"/>
        <charset val="1"/>
      </rPr>
      <t xml:space="preserve">x </t>
    </r>
    <r>
      <rPr>
        <sz val="9.5"/>
        <color rgb="FFB9C1D1"/>
        <rFont val="Noto Sans CJK SC"/>
        <family val="2"/>
      </rPr>
      <t xml:space="preserve">倍 → 周波数は √</t>
    </r>
    <r>
      <rPr>
        <sz val="9.5"/>
        <color rgb="FFB9C1D1"/>
        <rFont val="Arial"/>
        <family val="0"/>
        <charset val="1"/>
      </rPr>
      <t xml:space="preserve">x </t>
    </r>
    <r>
      <rPr>
        <sz val="9.5"/>
        <color rgb="FFB9C1D1"/>
        <rFont val="Noto Sans CJK SC"/>
        <family val="2"/>
      </rPr>
      <t xml:space="preserve">倍（鋼なら </t>
    </r>
    <r>
      <rPr>
        <sz val="9.5"/>
        <color rgb="FFB9C1D1"/>
        <rFont val="Arial"/>
        <family val="0"/>
        <charset val="1"/>
      </rPr>
      <t xml:space="preserve">190</t>
    </r>
    <r>
      <rPr>
        <sz val="9.5"/>
        <color rgb="FFB9C1D1"/>
        <rFont val="Noto Sans CJK SC"/>
        <family val="2"/>
      </rPr>
      <t xml:space="preserve">〜</t>
    </r>
    <r>
      <rPr>
        <sz val="9.5"/>
        <color rgb="FFB9C1D1"/>
        <rFont val="Arial"/>
        <family val="0"/>
        <charset val="1"/>
      </rPr>
      <t xml:space="preserve">210GPa </t>
    </r>
    <r>
      <rPr>
        <sz val="9.5"/>
        <color rgb="FFB9C1D1"/>
        <rFont val="Noto Sans CJK SC"/>
        <family val="2"/>
      </rPr>
      <t xml:space="preserve">の幅＝周波数</t>
    </r>
    <r>
      <rPr>
        <sz val="9.5"/>
        <color rgb="FFB9C1D1"/>
        <rFont val="Arial"/>
        <family val="0"/>
        <charset val="1"/>
      </rPr>
      <t xml:space="preserve">±2.6%</t>
    </r>
    <r>
      <rPr>
        <sz val="9.5"/>
        <color rgb="FFB9C1D1"/>
        <rFont val="Noto Sans CJK SC"/>
        <family val="2"/>
      </rPr>
      <t xml:space="preserve">）</t>
    </r>
  </si>
  <si>
    <r>
      <rPr>
        <sz val="9.5"/>
        <color rgb="FFB9C1D1"/>
        <rFont val="Noto Sans CJK SC"/>
        <family val="2"/>
      </rPr>
      <t xml:space="preserve">⚠ せん断補正を </t>
    </r>
    <r>
      <rPr>
        <sz val="9.5"/>
        <color rgb="FFB9C1D1"/>
        <rFont val="Arial"/>
        <family val="0"/>
        <charset val="1"/>
      </rPr>
      <t xml:space="preserve">OFF </t>
    </r>
    <r>
      <rPr>
        <sz val="9.5"/>
        <color rgb="FFB9C1D1"/>
        <rFont val="Noto Sans CJK SC"/>
        <family val="2"/>
      </rPr>
      <t xml:space="preserve">にすると高次モードを </t>
    </r>
    <r>
      <rPr>
        <sz val="9.5"/>
        <color rgb="FFB9C1D1"/>
        <rFont val="Arial"/>
        <family val="0"/>
        <charset val="1"/>
      </rPr>
      <t xml:space="preserve">20</t>
    </r>
    <r>
      <rPr>
        <sz val="9.5"/>
        <color rgb="FFB9C1D1"/>
        <rFont val="Noto Sans CJK SC"/>
        <family val="2"/>
      </rPr>
      <t xml:space="preserve">〜</t>
    </r>
    <r>
      <rPr>
        <sz val="9.5"/>
        <color rgb="FFB9C1D1"/>
        <rFont val="Arial"/>
        <family val="0"/>
        <charset val="1"/>
      </rPr>
      <t xml:space="preserve">50% </t>
    </r>
    <r>
      <rPr>
        <sz val="9.5"/>
        <color rgb="FFB9C1D1"/>
        <rFont val="Noto Sans CJK SC"/>
        <family val="2"/>
      </rPr>
      <t xml:space="preserve">高く出します。実測と合わないときはまずここを疑う</t>
    </r>
  </si>
  <si>
    <t xml:space="preserve">■ 金属部だけを測るときのコツ</t>
  </si>
  <si>
    <r>
      <rPr>
        <sz val="9.5"/>
        <color rgb="FFB9C1D1"/>
        <rFont val="Noto Sans CJK SC"/>
        <family val="2"/>
      </rPr>
      <t xml:space="preserve">・</t>
    </r>
    <r>
      <rPr>
        <sz val="9.5"/>
        <color rgb="FFB9C1D1"/>
        <rFont val="Arial"/>
        <family val="0"/>
        <charset val="1"/>
      </rPr>
      <t xml:space="preserve">N3</t>
    </r>
    <r>
      <rPr>
        <sz val="9.5"/>
        <color rgb="FFB9C1D1"/>
        <rFont val="Noto Sans CJK SC"/>
        <family val="2"/>
      </rPr>
      <t xml:space="preserve">「スペクトル描画用 </t>
    </r>
    <r>
      <rPr>
        <sz val="9.5"/>
        <color rgb="FFB9C1D1"/>
        <rFont val="Arial"/>
        <family val="0"/>
        <charset val="1"/>
      </rPr>
      <t xml:space="preserve">η </t>
    </r>
    <r>
      <rPr>
        <sz val="9.5"/>
        <color rgb="FFB9C1D1"/>
        <rFont val="Noto Sans CJK SC"/>
        <family val="2"/>
      </rPr>
      <t xml:space="preserve">の下限」は グラフを見やすくするための表示専用の値です（既定</t>
    </r>
    <r>
      <rPr>
        <sz val="9.5"/>
        <color rgb="FFB9C1D1"/>
        <rFont val="Arial"/>
        <family val="0"/>
        <charset val="1"/>
      </rPr>
      <t xml:space="preserve">0.01</t>
    </r>
    <r>
      <rPr>
        <sz val="9.5"/>
        <color rgb="FFB9C1D1"/>
        <rFont val="Noto Sans CJK SC"/>
        <family val="2"/>
      </rPr>
      <t xml:space="preserve">）。実測では吊り・空気・窓の影響で必ずこの程度以上になります。物理的な減衰そのものは </t>
    </r>
    <r>
      <rPr>
        <sz val="9.5"/>
        <color rgb="FFB9C1D1"/>
        <rFont val="Arial"/>
        <family val="0"/>
        <charset val="1"/>
      </rPr>
      <t xml:space="preserve">D3/E3 </t>
    </r>
    <r>
      <rPr>
        <sz val="9.5"/>
        <color rgb="FFB9C1D1"/>
        <rFont val="Noto Sans CJK SC"/>
        <family val="2"/>
      </rPr>
      <t xml:space="preserve">の</t>
    </r>
    <r>
      <rPr>
        <sz val="9.5"/>
        <color rgb="FFB9C1D1"/>
        <rFont val="Arial"/>
        <family val="0"/>
        <charset val="1"/>
      </rPr>
      <t xml:space="preserve">η</t>
    </r>
    <r>
      <rPr>
        <sz val="9.5"/>
        <color rgb="FFB9C1D1"/>
        <rFont val="Noto Sans CJK SC"/>
        <family val="2"/>
      </rPr>
      <t xml:space="preserve">です。</t>
    </r>
  </si>
  <si>
    <r>
      <rPr>
        <sz val="9.5"/>
        <color rgb="FFB9C1D1"/>
        <rFont val="Noto Sans CJK SC"/>
        <family val="2"/>
      </rPr>
      <t xml:space="preserve">・裏板は摩擦材付きより 減衰（げんすい）が桁違いに小さい（</t>
    </r>
    <r>
      <rPr>
        <sz val="9.5"/>
        <color rgb="FFB9C1D1"/>
        <rFont val="Arial"/>
        <family val="0"/>
        <charset val="1"/>
      </rPr>
      <t xml:space="preserve">η≒0.0002</t>
    </r>
    <r>
      <rPr>
        <sz val="9.5"/>
        <color rgb="FFB9C1D1"/>
        <rFont val="Noto Sans CJK SC"/>
        <family val="2"/>
      </rPr>
      <t xml:space="preserve">）。ピークが鋭いので、周波数分解能 </t>
    </r>
    <r>
      <rPr>
        <sz val="9.5"/>
        <color rgb="FFB9C1D1"/>
        <rFont val="Arial"/>
        <family val="0"/>
        <charset val="1"/>
      </rPr>
      <t xml:space="preserve">Δf </t>
    </r>
    <r>
      <rPr>
        <sz val="9.5"/>
        <color rgb="FFB9C1D1"/>
        <rFont val="Noto Sans CJK SC"/>
        <family val="2"/>
      </rPr>
      <t xml:space="preserve">を細かくしないと山を取り逃します。→「測定計画」シートへ</t>
    </r>
  </si>
  <si>
    <r>
      <rPr>
        <sz val="9.5"/>
        <color rgb="FFB9C1D1"/>
        <rFont val="Noto Sans CJK SC"/>
        <family val="2"/>
      </rPr>
      <t xml:space="preserve">・鋭いピーク＝長く鳴り続ける。ハンマリングの指数窓（</t>
    </r>
    <r>
      <rPr>
        <sz val="9.5"/>
        <color rgb="FFB9C1D1"/>
        <rFont val="Arial"/>
        <family val="0"/>
        <charset val="1"/>
      </rPr>
      <t xml:space="preserve">exponential window</t>
    </r>
    <r>
      <rPr>
        <sz val="9.5"/>
        <color rgb="FFB9C1D1"/>
        <rFont val="Noto Sans CJK SC"/>
        <family val="2"/>
      </rPr>
      <t xml:space="preserve">）を強くかけると減衰を大きく間違えます。周波数だけなら問題ありません。</t>
    </r>
  </si>
  <si>
    <r>
      <rPr>
        <sz val="9.5"/>
        <color rgb="FFB9C1D1"/>
        <rFont val="Noto Sans CJK SC"/>
        <family val="2"/>
      </rPr>
      <t xml:space="preserve">・裏板は軽いので、加振器やセンサの質量負荷（マスローディング）が効きます。非接触のレーザー（</t>
    </r>
    <r>
      <rPr>
        <sz val="9.5"/>
        <color rgb="FFB9C1D1"/>
        <rFont val="Arial"/>
        <family val="0"/>
        <charset val="1"/>
      </rPr>
      <t xml:space="preserve">PSV-400</t>
    </r>
    <r>
      <rPr>
        <sz val="9.5"/>
        <color rgb="FFB9C1D1"/>
        <rFont val="Noto Sans CJK SC"/>
        <family val="2"/>
      </rPr>
      <t xml:space="preserve">）で受けるのは正解です。</t>
    </r>
  </si>
  <si>
    <t xml:space="preserve">・耳（角）を叩くと、曲げもねじりも同時に出ます。中央（重心）を叩くと、ねじりと偶数次曲げが原理的に出ません。</t>
  </si>
  <si>
    <r>
      <rPr>
        <b val="true"/>
        <sz val="14"/>
        <color rgb="FFEBD9FF"/>
        <rFont val="Noto Sans CJK SC"/>
        <family val="2"/>
      </rPr>
      <t xml:space="preserve">④ スペクトル（</t>
    </r>
    <r>
      <rPr>
        <b val="true"/>
        <sz val="14"/>
        <color rgb="FFEBD9FF"/>
        <rFont val="Arial"/>
        <family val="0"/>
        <charset val="1"/>
      </rPr>
      <t xml:space="preserve">FFT</t>
    </r>
    <r>
      <rPr>
        <b val="true"/>
        <sz val="14"/>
        <color rgb="FFEBD9FF"/>
        <rFont val="Noto Sans CJK SC"/>
        <family val="2"/>
      </rPr>
      <t xml:space="preserve">画面と同じ形のグラフ用データ）</t>
    </r>
  </si>
  <si>
    <r>
      <rPr>
        <sz val="9"/>
        <color rgb="FFA9B2C3"/>
        <rFont val="Noto Sans CJK SC"/>
        <family val="2"/>
      </rPr>
      <t xml:space="preserve">各モードを</t>
    </r>
    <r>
      <rPr>
        <sz val="9"/>
        <color rgb="FFA9B2C3"/>
        <rFont val="Arial"/>
        <family val="0"/>
        <charset val="1"/>
      </rPr>
      <t xml:space="preserve">1</t>
    </r>
    <r>
      <rPr>
        <sz val="9"/>
        <color rgb="FFA9B2C3"/>
        <rFont val="Noto Sans CJK SC"/>
        <family val="2"/>
      </rPr>
      <t xml:space="preserve">自由度系として複素数で足し合わせ、応答の大きさ </t>
    </r>
    <r>
      <rPr>
        <sz val="9"/>
        <color rgb="FFA9B2C3"/>
        <rFont val="Arial"/>
        <family val="0"/>
        <charset val="1"/>
      </rPr>
      <t xml:space="preserve">|H(f)| </t>
    </r>
    <r>
      <rPr>
        <sz val="9"/>
        <color rgb="FFA9B2C3"/>
        <rFont val="Noto Sans CJK SC"/>
        <family val="2"/>
      </rPr>
      <t xml:space="preserve">を作る  🟢　※金属部は減衰が小さいのでピークが鋭く出ます</t>
    </r>
  </si>
  <si>
    <r>
      <rPr>
        <sz val="9"/>
        <color rgb="FF8A93A3"/>
        <rFont val="Noto Sans CJK SC"/>
        <family val="2"/>
      </rPr>
      <t xml:space="preserve">開始周波数 </t>
    </r>
    <r>
      <rPr>
        <sz val="9"/>
        <color rgb="FF8A93A3"/>
        <rFont val="Arial"/>
        <family val="0"/>
        <charset val="1"/>
      </rPr>
      <t xml:space="preserve">[Hz]</t>
    </r>
  </si>
  <si>
    <r>
      <rPr>
        <sz val="9"/>
        <color rgb="FF8A93A3"/>
        <rFont val="Noto Sans CJK SC"/>
        <family val="2"/>
      </rPr>
      <t xml:space="preserve">刻み </t>
    </r>
    <r>
      <rPr>
        <sz val="9"/>
        <color rgb="FF8A93A3"/>
        <rFont val="Arial"/>
        <family val="0"/>
        <charset val="1"/>
      </rPr>
      <t xml:space="preserve">Δf [Hz]</t>
    </r>
  </si>
  <si>
    <t xml:space="preserve">点数</t>
  </si>
  <si>
    <r>
      <rPr>
        <sz val="9"/>
        <color rgb="FF8A93A3"/>
        <rFont val="Arial"/>
        <family val="0"/>
        <charset val="1"/>
      </rPr>
      <t xml:space="preserve">dB</t>
    </r>
    <r>
      <rPr>
        <sz val="9"/>
        <color rgb="FF8A93A3"/>
        <rFont val="Noto Sans CJK SC"/>
        <family val="2"/>
      </rPr>
      <t xml:space="preserve">基準値</t>
    </r>
  </si>
  <si>
    <r>
      <rPr>
        <sz val="9"/>
        <color rgb="FF8A93A3"/>
        <rFont val="Noto Sans CJK SC"/>
        <family val="2"/>
      </rPr>
      <t xml:space="preserve">※ 既定は </t>
    </r>
    <r>
      <rPr>
        <sz val="9"/>
        <color rgb="FF8A93A3"/>
        <rFont val="Arial"/>
        <family val="0"/>
        <charset val="1"/>
      </rPr>
      <t xml:space="preserve">0</t>
    </r>
    <r>
      <rPr>
        <sz val="9"/>
        <color rgb="FF8A93A3"/>
        <rFont val="Noto Sans CJK SC"/>
        <family val="2"/>
      </rPr>
      <t xml:space="preserve">〜</t>
    </r>
    <r>
      <rPr>
        <sz val="9"/>
        <color rgb="FF8A93A3"/>
        <rFont val="Arial"/>
        <family val="0"/>
        <charset val="1"/>
      </rPr>
      <t xml:space="preserve">40000 Hz</t>
    </r>
    <r>
      <rPr>
        <sz val="9"/>
        <color rgb="FF8A93A3"/>
        <rFont val="Noto Sans CJK SC"/>
        <family val="2"/>
      </rPr>
      <t xml:space="preserve">。ピークを拡大したいときは 開始</t>
    </r>
    <r>
      <rPr>
        <sz val="9"/>
        <color rgb="FF8A93A3"/>
        <rFont val="Arial"/>
        <family val="0"/>
        <charset val="1"/>
      </rPr>
      <t xml:space="preserve">=8000, Δf=1 </t>
    </r>
    <r>
      <rPr>
        <sz val="9"/>
        <color rgb="FF8A93A3"/>
        <rFont val="Noto Sans CJK SC"/>
        <family val="2"/>
      </rPr>
      <t xml:space="preserve">のように変える</t>
    </r>
  </si>
  <si>
    <r>
      <rPr>
        <b val="true"/>
        <sz val="9"/>
        <color rgb="FFE6E8EC"/>
        <rFont val="Noto Sans CJK SC"/>
        <family val="2"/>
      </rPr>
      <t xml:space="preserve">周波数 </t>
    </r>
    <r>
      <rPr>
        <b val="true"/>
        <sz val="9"/>
        <color rgb="FFE6E8EC"/>
        <rFont val="Arial"/>
        <family val="0"/>
        <charset val="1"/>
      </rPr>
      <t xml:space="preserve">f [Hz]</t>
    </r>
  </si>
  <si>
    <r>
      <rPr>
        <b val="true"/>
        <sz val="9"/>
        <color rgb="FFE6E8EC"/>
        <rFont val="Noto Sans CJK SC"/>
        <family val="2"/>
      </rPr>
      <t xml:space="preserve">実部 </t>
    </r>
    <r>
      <rPr>
        <b val="true"/>
        <sz val="9"/>
        <color rgb="FFE6E8EC"/>
        <rFont val="Arial"/>
        <family val="0"/>
        <charset val="1"/>
      </rPr>
      <t xml:space="preserve">Re</t>
    </r>
  </si>
  <si>
    <r>
      <rPr>
        <b val="true"/>
        <sz val="9"/>
        <color rgb="FFE6E8EC"/>
        <rFont val="Noto Sans CJK SC"/>
        <family val="2"/>
      </rPr>
      <t xml:space="preserve">虚部 </t>
    </r>
    <r>
      <rPr>
        <b val="true"/>
        <sz val="9"/>
        <color rgb="FFE6E8EC"/>
        <rFont val="Arial"/>
        <family val="0"/>
        <charset val="1"/>
      </rPr>
      <t xml:space="preserve">Im</t>
    </r>
  </si>
  <si>
    <r>
      <rPr>
        <b val="true"/>
        <sz val="9"/>
        <color rgb="FFE6E8EC"/>
        <rFont val="Noto Sans CJK SC"/>
        <family val="2"/>
      </rPr>
      <t xml:space="preserve">応答 </t>
    </r>
    <r>
      <rPr>
        <b val="true"/>
        <sz val="9"/>
        <color rgb="FFE6E8EC"/>
        <rFont val="Arial"/>
        <family val="0"/>
        <charset val="1"/>
      </rPr>
      <t xml:space="preserve">|H|</t>
    </r>
  </si>
  <si>
    <r>
      <rPr>
        <b val="true"/>
        <sz val="9"/>
        <color rgb="FFE6E8EC"/>
        <rFont val="Noto Sans CJK SC"/>
        <family val="2"/>
      </rPr>
      <t xml:space="preserve">レベル </t>
    </r>
    <r>
      <rPr>
        <b val="true"/>
        <sz val="9"/>
        <color rgb="FFE6E8EC"/>
        <rFont val="Arial"/>
        <family val="0"/>
        <charset val="1"/>
      </rPr>
      <t xml:space="preserve">[dB]</t>
    </r>
  </si>
  <si>
    <t xml:space="preserve">■ グラフの読み方</t>
  </si>
  <si>
    <r>
      <rPr>
        <sz val="9.5"/>
        <color rgb="FFB9C1D1"/>
        <rFont val="Noto Sans CJK SC"/>
        <family val="2"/>
      </rPr>
      <t xml:space="preserve">山（ピーク）の位置＝固有振動数。ここが実測</t>
    </r>
    <r>
      <rPr>
        <sz val="9.5"/>
        <color rgb="FFB9C1D1"/>
        <rFont val="Arial"/>
        <family val="0"/>
        <charset val="1"/>
      </rPr>
      <t xml:space="preserve">FFT</t>
    </r>
    <r>
      <rPr>
        <sz val="9.5"/>
        <color rgb="FFB9C1D1"/>
        <rFont val="Noto Sans CJK SC"/>
        <family val="2"/>
      </rPr>
      <t xml:space="preserve">のピークと一致するかを見ます。</t>
    </r>
  </si>
  <si>
    <r>
      <rPr>
        <sz val="9.5"/>
        <color rgb="FFB9C1D1"/>
        <rFont val="Noto Sans CJK SC"/>
        <family val="2"/>
      </rPr>
      <t xml:space="preserve">山の高さ＝</t>
    </r>
    <r>
      <rPr>
        <sz val="9.5"/>
        <color rgb="FFB9C1D1"/>
        <rFont val="Arial"/>
        <family val="0"/>
        <charset val="1"/>
      </rPr>
      <t xml:space="preserve">1/η</t>
    </r>
    <r>
      <rPr>
        <sz val="9.5"/>
        <color rgb="FFB9C1D1"/>
        <rFont val="Noto Sans CJK SC"/>
        <family val="2"/>
      </rPr>
      <t xml:space="preserve">（損失係数の逆数）。金属だけだと本当の </t>
    </r>
    <r>
      <rPr>
        <sz val="9.5"/>
        <color rgb="FFB9C1D1"/>
        <rFont val="Arial"/>
        <family val="0"/>
        <charset val="1"/>
      </rPr>
      <t xml:space="preserve">η </t>
    </r>
    <r>
      <rPr>
        <sz val="9.5"/>
        <color rgb="FFB9C1D1"/>
        <rFont val="Noto Sans CJK SC"/>
        <family val="2"/>
      </rPr>
      <t xml:space="preserve">は </t>
    </r>
    <r>
      <rPr>
        <sz val="9.5"/>
        <color rgb="FFB9C1D1"/>
        <rFont val="Arial"/>
        <family val="0"/>
        <charset val="1"/>
      </rPr>
      <t xml:space="preserve">0.0002 </t>
    </r>
    <r>
      <rPr>
        <sz val="9.5"/>
        <color rgb="FFB9C1D1"/>
        <rFont val="Noto Sans CJK SC"/>
        <family val="2"/>
      </rPr>
      <t xml:space="preserve">程度で、理屈上は非常に高く鋭い山になります。</t>
    </r>
  </si>
  <si>
    <r>
      <rPr>
        <sz val="9.5"/>
        <color rgb="FFB9C1D1"/>
        <rFont val="Noto Sans CJK SC"/>
        <family val="2"/>
      </rPr>
      <t xml:space="preserve">そのままだと </t>
    </r>
    <r>
      <rPr>
        <sz val="9.5"/>
        <color rgb="FFB9C1D1"/>
        <rFont val="Arial"/>
        <family val="0"/>
        <charset val="1"/>
      </rPr>
      <t xml:space="preserve">Δf </t>
    </r>
    <r>
      <rPr>
        <sz val="9.5"/>
        <color rgb="FFB9C1D1"/>
        <rFont val="Noto Sans CJK SC"/>
        <family val="2"/>
      </rPr>
      <t xml:space="preserve">の網目からピークがすり抜けて見えないので、固有振動数シート </t>
    </r>
    <r>
      <rPr>
        <sz val="9.5"/>
        <color rgb="FFB9C1D1"/>
        <rFont val="Arial"/>
        <family val="0"/>
        <charset val="1"/>
      </rPr>
      <t xml:space="preserve">N3 </t>
    </r>
    <r>
      <rPr>
        <sz val="9.5"/>
        <color rgb="FFB9C1D1"/>
        <rFont val="Noto Sans CJK SC"/>
        <family val="2"/>
      </rPr>
      <t xml:space="preserve">に「描画用 </t>
    </r>
    <r>
      <rPr>
        <sz val="9.5"/>
        <color rgb="FFB9C1D1"/>
        <rFont val="Arial"/>
        <family val="0"/>
        <charset val="1"/>
      </rPr>
      <t xml:space="preserve">η </t>
    </r>
    <r>
      <rPr>
        <sz val="9.5"/>
        <color rgb="FFB9C1D1"/>
        <rFont val="Noto Sans CJK SC"/>
        <family val="2"/>
      </rPr>
      <t xml:space="preserve">の下限（既定</t>
    </r>
    <r>
      <rPr>
        <sz val="9.5"/>
        <color rgb="FFB9C1D1"/>
        <rFont val="Arial"/>
        <family val="0"/>
        <charset val="1"/>
      </rPr>
      <t xml:space="preserve">0.01</t>
    </r>
    <r>
      <rPr>
        <sz val="9.5"/>
        <color rgb="FFB9C1D1"/>
        <rFont val="Noto Sans CJK SC"/>
        <family val="2"/>
      </rPr>
      <t xml:space="preserve">）」を置いています。</t>
    </r>
  </si>
  <si>
    <r>
      <rPr>
        <sz val="9.5"/>
        <color rgb="FFB9C1D1"/>
        <rFont val="Noto Sans CJK SC"/>
        <family val="2"/>
      </rPr>
      <t xml:space="preserve">山の高さがモードごとにバラつくのは、</t>
    </r>
    <r>
      <rPr>
        <sz val="9.5"/>
        <color rgb="FFB9C1D1"/>
        <rFont val="Arial"/>
        <family val="0"/>
        <charset val="1"/>
      </rPr>
      <t xml:space="preserve">Δf </t>
    </r>
    <r>
      <rPr>
        <sz val="9.5"/>
        <color rgb="FFB9C1D1"/>
        <rFont val="Noto Sans CJK SC"/>
        <family val="2"/>
      </rPr>
      <t xml:space="preserve">が山の幅より粗いためです。物理ではなくサンプリングの都合です。</t>
    </r>
  </si>
  <si>
    <t xml:space="preserve">実測では吊り・空気・センサの影響で必ずもっと低く・太くなります。高さは合わなくて当然、位置を見てください。</t>
  </si>
  <si>
    <r>
      <rPr>
        <sz val="9.5"/>
        <color rgb="FFB9C1D1"/>
        <rFont val="Noto Sans CJK SC"/>
        <family val="2"/>
      </rPr>
      <t xml:space="preserve">山が見えない → 周波数範囲が合っていません。</t>
    </r>
    <r>
      <rPr>
        <sz val="9.5"/>
        <color rgb="FFB9C1D1"/>
        <rFont val="Arial"/>
        <family val="0"/>
        <charset val="1"/>
      </rPr>
      <t xml:space="preserve">C3</t>
    </r>
    <r>
      <rPr>
        <sz val="9.5"/>
        <color rgb="FFB9C1D1"/>
        <rFont val="Noto Sans CJK SC"/>
        <family val="2"/>
      </rPr>
      <t xml:space="preserve">（開始）と</t>
    </r>
    <r>
      <rPr>
        <sz val="9.5"/>
        <color rgb="FFB9C1D1"/>
        <rFont val="Arial"/>
        <family val="0"/>
        <charset val="1"/>
      </rPr>
      <t xml:space="preserve">F3</t>
    </r>
    <r>
      <rPr>
        <sz val="9.5"/>
        <color rgb="FFB9C1D1"/>
        <rFont val="Noto Sans CJK SC"/>
        <family val="2"/>
      </rPr>
      <t xml:space="preserve">（</t>
    </r>
    <r>
      <rPr>
        <sz val="9.5"/>
        <color rgb="FFB9C1D1"/>
        <rFont val="Arial"/>
        <family val="0"/>
        <charset val="1"/>
      </rPr>
      <t xml:space="preserve">Δf</t>
    </r>
    <r>
      <rPr>
        <sz val="9.5"/>
        <color rgb="FFB9C1D1"/>
        <rFont val="Noto Sans CJK SC"/>
        <family val="2"/>
      </rPr>
      <t xml:space="preserve">）を調整してください。</t>
    </r>
  </si>
  <si>
    <t xml:space="preserve">■ 他ソフトへ持っていくとき</t>
  </si>
  <si>
    <r>
      <rPr>
        <sz val="9.5"/>
        <color rgb="FFB9C1D1"/>
        <rFont val="Arial"/>
        <family val="0"/>
        <charset val="1"/>
      </rPr>
      <t xml:space="preserve">A</t>
    </r>
    <r>
      <rPr>
        <sz val="9.5"/>
        <color rgb="FFB9C1D1"/>
        <rFont val="Noto Sans CJK SC"/>
        <family val="2"/>
      </rPr>
      <t xml:space="preserve">列〜</t>
    </r>
    <r>
      <rPr>
        <sz val="9.5"/>
        <color rgb="FFB9C1D1"/>
        <rFont val="Arial"/>
        <family val="0"/>
        <charset val="1"/>
      </rPr>
      <t xml:space="preserve">E</t>
    </r>
    <r>
      <rPr>
        <sz val="9.5"/>
        <color rgb="FFB9C1D1"/>
        <rFont val="Noto Sans CJK SC"/>
        <family val="2"/>
      </rPr>
      <t xml:space="preserve">列を選択してコピー → メモ帳や</t>
    </r>
    <r>
      <rPr>
        <sz val="9.5"/>
        <color rgb="FFB9C1D1"/>
        <rFont val="Arial"/>
        <family val="0"/>
        <charset val="1"/>
      </rPr>
      <t xml:space="preserve">CSV</t>
    </r>
    <r>
      <rPr>
        <sz val="9.5"/>
        <color rgb="FFB9C1D1"/>
        <rFont val="Noto Sans CJK SC"/>
        <family val="2"/>
      </rPr>
      <t xml:space="preserve">にそのまま貼れます（</t>
    </r>
    <r>
      <rPr>
        <sz val="9.5"/>
        <color rgb="FFB9C1D1"/>
        <rFont val="Arial"/>
        <family val="0"/>
        <charset val="1"/>
      </rPr>
      <t xml:space="preserve">TSV</t>
    </r>
    <r>
      <rPr>
        <sz val="9.5"/>
        <color rgb="FFB9C1D1"/>
        <rFont val="Noto Sans CJK SC"/>
        <family val="2"/>
      </rPr>
      <t xml:space="preserve">形式）。</t>
    </r>
  </si>
  <si>
    <r>
      <rPr>
        <sz val="9.5"/>
        <color rgb="FFB9C1D1"/>
        <rFont val="Arial"/>
        <family val="0"/>
        <charset val="1"/>
      </rPr>
      <t xml:space="preserve">Python / gnuplot / Origin </t>
    </r>
    <r>
      <rPr>
        <sz val="9.5"/>
        <color rgb="FFB9C1D1"/>
        <rFont val="Noto Sans CJK SC"/>
        <family val="2"/>
      </rPr>
      <t xml:space="preserve">へは </t>
    </r>
    <r>
      <rPr>
        <sz val="9.5"/>
        <color rgb="FFB9C1D1"/>
        <rFont val="Arial"/>
        <family val="0"/>
        <charset val="1"/>
      </rPr>
      <t xml:space="preserve">A</t>
    </r>
    <r>
      <rPr>
        <sz val="9.5"/>
        <color rgb="FFB9C1D1"/>
        <rFont val="Noto Sans CJK SC"/>
        <family val="2"/>
      </rPr>
      <t xml:space="preserve">列</t>
    </r>
    <r>
      <rPr>
        <sz val="9.5"/>
        <color rgb="FFB9C1D1"/>
        <rFont val="Arial"/>
        <family val="0"/>
        <charset val="1"/>
      </rPr>
      <t xml:space="preserve">(f) </t>
    </r>
    <r>
      <rPr>
        <sz val="9.5"/>
        <color rgb="FFB9C1D1"/>
        <rFont val="Noto Sans CJK SC"/>
        <family val="2"/>
      </rPr>
      <t xml:space="preserve">と </t>
    </r>
    <r>
      <rPr>
        <sz val="9.5"/>
        <color rgb="FFB9C1D1"/>
        <rFont val="Arial"/>
        <family val="0"/>
        <charset val="1"/>
      </rPr>
      <t xml:space="preserve">E</t>
    </r>
    <r>
      <rPr>
        <sz val="9.5"/>
        <color rgb="FFB9C1D1"/>
        <rFont val="Noto Sans CJK SC"/>
        <family val="2"/>
      </rPr>
      <t xml:space="preserve">列</t>
    </r>
    <r>
      <rPr>
        <sz val="9.5"/>
        <color rgb="FFB9C1D1"/>
        <rFont val="Arial"/>
        <family val="0"/>
        <charset val="1"/>
      </rPr>
      <t xml:space="preserve">(dB) </t>
    </r>
    <r>
      <rPr>
        <sz val="9.5"/>
        <color rgb="FFB9C1D1"/>
        <rFont val="Noto Sans CJK SC"/>
        <family val="2"/>
      </rPr>
      <t xml:space="preserve">の</t>
    </r>
    <r>
      <rPr>
        <sz val="9.5"/>
        <color rgb="FFB9C1D1"/>
        <rFont val="Arial"/>
        <family val="0"/>
        <charset val="1"/>
      </rPr>
      <t xml:space="preserve">2</t>
    </r>
    <r>
      <rPr>
        <sz val="9.5"/>
        <color rgb="FFB9C1D1"/>
        <rFont val="Noto Sans CJK SC"/>
        <family val="2"/>
      </rPr>
      <t xml:space="preserve">列だけで充分です。</t>
    </r>
  </si>
  <si>
    <r>
      <rPr>
        <sz val="9.5"/>
        <color rgb="FFB9C1D1"/>
        <rFont val="Arial"/>
        <family val="0"/>
        <charset val="1"/>
      </rPr>
      <t xml:space="preserve">RION SA-01A4 </t>
    </r>
    <r>
      <rPr>
        <sz val="9.5"/>
        <color rgb="FFB9C1D1"/>
        <rFont val="Noto Sans CJK SC"/>
        <family val="2"/>
      </rPr>
      <t xml:space="preserve">の実測スペクトルと重ねると、モードの取りこぼしがひと目で分かります。</t>
    </r>
  </si>
  <si>
    <t xml:space="preserve">⑤ 鳴（な）きリスク スクリーニング（金属部の素性チェック）</t>
  </si>
  <si>
    <r>
      <rPr>
        <sz val="9"/>
        <color rgb="FFA9B2C3"/>
        <rFont val="Arial"/>
        <family val="0"/>
        <charset val="1"/>
      </rPr>
      <t xml:space="preserve">SAE J2521 </t>
    </r>
    <r>
      <rPr>
        <sz val="9"/>
        <color rgb="FFA9B2C3"/>
        <rFont val="Noto Sans CJK SC"/>
        <family val="2"/>
      </rPr>
      <t xml:space="preserve">の対象帯域 </t>
    </r>
    <r>
      <rPr>
        <sz val="9"/>
        <color rgb="FFA9B2C3"/>
        <rFont val="Arial"/>
        <family val="0"/>
        <charset val="1"/>
      </rPr>
      <t xml:space="preserve">1.25</t>
    </r>
    <r>
      <rPr>
        <sz val="9"/>
        <color rgb="FFA9B2C3"/>
        <rFont val="Noto Sans CJK SC"/>
        <family val="2"/>
      </rPr>
      <t xml:space="preserve">〜</t>
    </r>
    <r>
      <rPr>
        <sz val="9"/>
        <color rgb="FFA9B2C3"/>
        <rFont val="Arial"/>
        <family val="0"/>
        <charset val="1"/>
      </rPr>
      <t xml:space="preserve">16 kHz </t>
    </r>
    <r>
      <rPr>
        <sz val="9"/>
        <color rgb="FFA9B2C3"/>
        <rFont val="Noto Sans CJK SC"/>
        <family val="2"/>
      </rPr>
      <t xml:space="preserve">を基準に、モード密集とディスクとの一致度を点数化  🟡（</t>
    </r>
    <r>
      <rPr>
        <sz val="9"/>
        <color rgb="FFA9B2C3"/>
        <rFont val="Arial"/>
        <family val="0"/>
        <charset val="1"/>
      </rPr>
      <t xml:space="preserve">CEA</t>
    </r>
    <r>
      <rPr>
        <sz val="9"/>
        <color rgb="FFA9B2C3"/>
        <rFont val="Noto Sans CJK SC"/>
        <family val="2"/>
      </rPr>
      <t xml:space="preserve">の代わりにはなりません）</t>
    </r>
  </si>
  <si>
    <r>
      <rPr>
        <sz val="9"/>
        <color rgb="FF8A93A3"/>
        <rFont val="Noto Sans CJK SC"/>
        <family val="2"/>
      </rPr>
      <t xml:space="preserve">帯域 下限 </t>
    </r>
    <r>
      <rPr>
        <sz val="9"/>
        <color rgb="FF8A93A3"/>
        <rFont val="Arial"/>
        <family val="0"/>
        <charset val="1"/>
      </rPr>
      <t xml:space="preserve">[Hz]</t>
    </r>
  </si>
  <si>
    <r>
      <rPr>
        <sz val="9"/>
        <color rgb="FF8A93A3"/>
        <rFont val="Noto Sans CJK SC"/>
        <family val="2"/>
      </rPr>
      <t xml:space="preserve">帯域 上限 </t>
    </r>
    <r>
      <rPr>
        <sz val="9"/>
        <color rgb="FF8A93A3"/>
        <rFont val="Arial"/>
        <family val="0"/>
        <charset val="1"/>
      </rPr>
      <t xml:space="preserve">[Hz]</t>
    </r>
  </si>
  <si>
    <r>
      <rPr>
        <sz val="9"/>
        <color rgb="FF8A93A3"/>
        <rFont val="Noto Sans CJK SC"/>
        <family val="2"/>
      </rPr>
      <t xml:space="preserve">接近とみなす差 </t>
    </r>
    <r>
      <rPr>
        <sz val="9"/>
        <color rgb="FF8A93A3"/>
        <rFont val="Arial"/>
        <family val="0"/>
        <charset val="1"/>
      </rPr>
      <t xml:space="preserve">[%]</t>
    </r>
  </si>
  <si>
    <r>
      <rPr>
        <sz val="9"/>
        <color rgb="FF8A93A3"/>
        <rFont val="Noto Sans CJK SC"/>
        <family val="2"/>
      </rPr>
      <t xml:space="preserve">摩擦材シフト係数 </t>
    </r>
    <r>
      <rPr>
        <sz val="9"/>
        <color rgb="FF8A93A3"/>
        <rFont val="Arial"/>
        <family val="0"/>
        <charset val="1"/>
      </rPr>
      <t xml:space="preserve">k</t>
    </r>
  </si>
  <si>
    <r>
      <rPr>
        <sz val="9"/>
        <color rgb="FF8A93A3"/>
        <rFont val="Noto Sans CJK SC"/>
        <family val="2"/>
      </rPr>
      <t xml:space="preserve">評価に使う </t>
    </r>
    <r>
      <rPr>
        <sz val="9"/>
        <color rgb="FF8A93A3"/>
        <rFont val="Arial"/>
        <family val="0"/>
        <charset val="1"/>
      </rPr>
      <t xml:space="preserve">f </t>
    </r>
    <r>
      <rPr>
        <sz val="9"/>
        <color rgb="FF8A93A3"/>
        <rFont val="Noto Sans CJK SC"/>
        <family val="2"/>
      </rPr>
      <t xml:space="preserve">＝ 金属部の </t>
    </r>
    <r>
      <rPr>
        <sz val="9"/>
        <color rgb="FF8A93A3"/>
        <rFont val="Arial"/>
        <family val="0"/>
        <charset val="1"/>
      </rPr>
      <t xml:space="preserve">f × k</t>
    </r>
  </si>
  <si>
    <r>
      <rPr>
        <sz val="9"/>
        <color rgb="FFFFB4A2"/>
        <rFont val="Noto Sans CJK SC"/>
        <family val="2"/>
      </rPr>
      <t xml:space="preserve">※ 金属部だけで見るなら </t>
    </r>
    <r>
      <rPr>
        <sz val="9"/>
        <color rgb="FFFFB4A2"/>
        <rFont val="Arial"/>
        <family val="0"/>
        <charset val="1"/>
      </rPr>
      <t xml:space="preserve">k=1.00 </t>
    </r>
    <r>
      <rPr>
        <sz val="9"/>
        <color rgb="FFFFB4A2"/>
        <rFont val="Noto Sans CJK SC"/>
        <family val="2"/>
      </rPr>
      <t xml:space="preserve">のまま。摩擦材を貼った完成品を想像したいときだけ </t>
    </r>
    <r>
      <rPr>
        <sz val="9"/>
        <color rgb="FFFFB4A2"/>
        <rFont val="Arial"/>
        <family val="0"/>
        <charset val="1"/>
      </rPr>
      <t xml:space="preserve">0.5</t>
    </r>
    <r>
      <rPr>
        <sz val="9"/>
        <color rgb="FFFFB4A2"/>
        <rFont val="Noto Sans CJK SC"/>
        <family val="2"/>
      </rPr>
      <t xml:space="preserve">〜</t>
    </r>
    <r>
      <rPr>
        <sz val="9"/>
        <color rgb="FFFFB4A2"/>
        <rFont val="Arial"/>
        <family val="0"/>
        <charset val="1"/>
      </rPr>
      <t xml:space="preserve">0.7 </t>
    </r>
    <r>
      <rPr>
        <sz val="9"/>
        <color rgb="FFFFB4A2"/>
        <rFont val="Noto Sans CJK SC"/>
        <family val="2"/>
      </rPr>
      <t xml:space="preserve">を入れる 🟡</t>
    </r>
  </si>
  <si>
    <r>
      <rPr>
        <b val="true"/>
        <sz val="12"/>
        <color rgb="FF7DB4FF"/>
        <rFont val="Noto Sans CJK SC"/>
        <family val="2"/>
      </rPr>
      <t xml:space="preserve">■ ディスク（ローター）の固有振動数 </t>
    </r>
    <r>
      <rPr>
        <b val="true"/>
        <sz val="12"/>
        <color rgb="FF7DB4FF"/>
        <rFont val="Arial"/>
        <family val="0"/>
        <charset val="1"/>
      </rPr>
      <t xml:space="preserve">[Hz]</t>
    </r>
    <r>
      <rPr>
        <b val="true"/>
        <sz val="12"/>
        <color rgb="FF7DB4FF"/>
        <rFont val="Noto Sans CJK SC"/>
        <family val="2"/>
      </rPr>
      <t xml:space="preserve">（分かる範囲で入力／空欄可）</t>
    </r>
  </si>
  <si>
    <t xml:space="preserve">D1</t>
  </si>
  <si>
    <r>
      <rPr>
        <sz val="9"/>
        <color rgb="FFFFB4A2"/>
        <rFont val="Noto Sans CJK SC"/>
        <family val="2"/>
      </rPr>
      <t xml:space="preserve">← ここは「例」です。必ず自分のローターの実測値／</t>
    </r>
    <r>
      <rPr>
        <sz val="9"/>
        <color rgb="FFFFB4A2"/>
        <rFont val="Arial"/>
        <family val="0"/>
        <charset val="1"/>
      </rPr>
      <t xml:space="preserve">FEM</t>
    </r>
    <r>
      <rPr>
        <sz val="9"/>
        <color rgb="FFFFB4A2"/>
        <rFont val="Noto Sans CJK SC"/>
        <family val="2"/>
      </rPr>
      <t xml:space="preserve">値に差し替えてください（🔴 要確認）</t>
    </r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</si>
  <si>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</si>
  <si>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</si>
  <si>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</si>
  <si>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</si>
  <si>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</si>
  <si>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</si>
  <si>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</si>
  <si>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</si>
  <si>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</si>
  <si>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r>
      <rPr>
        <b val="true"/>
        <sz val="9"/>
        <color rgb="FFE6E8EC"/>
        <rFont val="Noto Sans CJK SC"/>
        <family val="2"/>
      </rPr>
      <t xml:space="preserve">金属部 </t>
    </r>
    <r>
      <rPr>
        <b val="true"/>
        <sz val="9"/>
        <color rgb="FFE6E8EC"/>
        <rFont val="Arial"/>
        <family val="0"/>
        <charset val="1"/>
      </rPr>
      <t xml:space="preserve">f [Hz]</t>
    </r>
  </si>
  <si>
    <r>
      <rPr>
        <b val="true"/>
        <sz val="9"/>
        <color rgb="FFE6E8EC"/>
        <rFont val="Noto Sans CJK SC"/>
        <family val="2"/>
      </rPr>
      <t xml:space="preserve">評価用 </t>
    </r>
    <r>
      <rPr>
        <b val="true"/>
        <sz val="9"/>
        <color rgb="FFE6E8EC"/>
        <rFont val="Arial"/>
        <family val="0"/>
        <charset val="1"/>
      </rPr>
      <t xml:space="preserve">f [Hz]</t>
    </r>
  </si>
  <si>
    <r>
      <rPr>
        <b val="true"/>
        <sz val="9"/>
        <color rgb="FFE6E8EC"/>
        <rFont val="Noto Sans CJK SC"/>
        <family val="2"/>
      </rPr>
      <t xml:space="preserve">帯域内</t>
    </r>
    <r>
      <rPr>
        <b val="true"/>
        <sz val="9"/>
        <color rgb="FFE6E8EC"/>
        <rFont val="Arial"/>
        <family val="0"/>
        <charset val="1"/>
      </rPr>
      <t xml:space="preserve">?</t>
    </r>
  </si>
  <si>
    <r>
      <rPr>
        <b val="true"/>
        <sz val="9"/>
        <color rgb="FFE6E8EC"/>
        <rFont val="Noto Sans CJK SC"/>
        <family val="2"/>
      </rPr>
      <t xml:space="preserve">最近接モード差 </t>
    </r>
    <r>
      <rPr>
        <b val="true"/>
        <sz val="9"/>
        <color rgb="FFE6E8EC"/>
        <rFont val="Arial"/>
        <family val="0"/>
        <charset val="1"/>
      </rPr>
      <t xml:space="preserve">[%]</t>
    </r>
  </si>
  <si>
    <r>
      <rPr>
        <b val="true"/>
        <sz val="9"/>
        <color rgb="FFE6E8EC"/>
        <rFont val="Noto Sans CJK SC"/>
        <family val="2"/>
      </rPr>
      <t xml:space="preserve">最近接ディスク差 </t>
    </r>
    <r>
      <rPr>
        <b val="true"/>
        <sz val="9"/>
        <color rgb="FFE6E8EC"/>
        <rFont val="Arial"/>
        <family val="0"/>
        <charset val="1"/>
      </rPr>
      <t xml:space="preserve">[%]</t>
    </r>
  </si>
  <si>
    <t xml:space="preserve">個別判定</t>
  </si>
  <si>
    <r>
      <rPr>
        <b val="true"/>
        <sz val="9"/>
        <color rgb="FFE6E8EC"/>
        <rFont val="Noto Sans CJK SC"/>
        <family val="2"/>
      </rPr>
      <t xml:space="preserve">帯域内のみ</t>
    </r>
    <r>
      <rPr>
        <b val="true"/>
        <sz val="9"/>
        <color rgb="FFE6E8EC"/>
        <rFont val="Arial"/>
        <family val="0"/>
        <charset val="1"/>
      </rPr>
      <t xml:space="preserve">:</t>
    </r>
    <r>
      <rPr>
        <b val="true"/>
        <sz val="9"/>
        <color rgb="FFE6E8EC"/>
        <rFont val="Noto Sans CJK SC"/>
        <family val="2"/>
      </rPr>
      <t xml:space="preserve">モード差</t>
    </r>
  </si>
  <si>
    <r>
      <rPr>
        <b val="true"/>
        <sz val="9"/>
        <color rgb="FFE6E8EC"/>
        <rFont val="Noto Sans CJK SC"/>
        <family val="2"/>
      </rPr>
      <t xml:space="preserve">帯域内のみ</t>
    </r>
    <r>
      <rPr>
        <b val="true"/>
        <sz val="9"/>
        <color rgb="FFE6E8EC"/>
        <rFont val="Arial"/>
        <family val="0"/>
        <charset val="1"/>
      </rPr>
      <t xml:space="preserve">:</t>
    </r>
    <r>
      <rPr>
        <b val="true"/>
        <sz val="9"/>
        <color rgb="FFE6E8EC"/>
        <rFont val="Noto Sans CJK SC"/>
        <family val="2"/>
      </rPr>
      <t xml:space="preserve">ディスク差</t>
    </r>
  </si>
  <si>
    <t xml:space="preserve">■ 総合スコア</t>
  </si>
  <si>
    <t xml:space="preserve">帯域内モード数</t>
  </si>
  <si>
    <t xml:space="preserve">多いほど鳴きの機会が増える</t>
  </si>
  <si>
    <r>
      <rPr>
        <sz val="10"/>
        <color rgb="FFE6E8EC"/>
        <rFont val="Noto Sans CJK SC"/>
        <family val="2"/>
      </rPr>
      <t xml:space="preserve">モード密度 </t>
    </r>
    <r>
      <rPr>
        <sz val="10"/>
        <color rgb="FFE6E8EC"/>
        <rFont val="Arial"/>
        <family val="0"/>
        <charset val="1"/>
      </rPr>
      <t xml:space="preserve">[</t>
    </r>
    <r>
      <rPr>
        <sz val="10"/>
        <color rgb="FFE6E8EC"/>
        <rFont val="Noto Sans CJK SC"/>
        <family val="2"/>
      </rPr>
      <t xml:space="preserve">個</t>
    </r>
    <r>
      <rPr>
        <sz val="10"/>
        <color rgb="FFE6E8EC"/>
        <rFont val="Arial"/>
        <family val="0"/>
        <charset val="1"/>
      </rPr>
      <t xml:space="preserve">/kHz]</t>
    </r>
  </si>
  <si>
    <r>
      <rPr>
        <sz val="9"/>
        <color rgb="FF8A93A3"/>
        <rFont val="Arial"/>
        <family val="0"/>
        <charset val="1"/>
      </rPr>
      <t xml:space="preserve">1kHz</t>
    </r>
    <r>
      <rPr>
        <sz val="9"/>
        <color rgb="FF8A93A3"/>
        <rFont val="Noto Sans CJK SC"/>
        <family val="2"/>
      </rPr>
      <t xml:space="preserve">あたりのモード数</t>
    </r>
  </si>
  <si>
    <t xml:space="preserve">高リスクモード数</t>
  </si>
  <si>
    <r>
      <rPr>
        <sz val="9"/>
        <color rgb="FF8A93A3"/>
        <rFont val="Noto Sans CJK SC"/>
        <family val="2"/>
      </rPr>
      <t xml:space="preserve">モード同士 </t>
    </r>
    <r>
      <rPr>
        <sz val="9"/>
        <color rgb="FF8A93A3"/>
        <rFont val="Arial"/>
        <family val="0"/>
        <charset val="1"/>
      </rPr>
      <t xml:space="preserve">or </t>
    </r>
    <r>
      <rPr>
        <sz val="9"/>
        <color rgb="FF8A93A3"/>
        <rFont val="Noto Sans CJK SC"/>
        <family val="2"/>
      </rPr>
      <t xml:space="preserve">ディスクと接近しているモード</t>
    </r>
  </si>
  <si>
    <t xml:space="preserve">中リスクモード数</t>
  </si>
  <si>
    <r>
      <rPr>
        <sz val="10"/>
        <color rgb="FFE6E8EC"/>
        <rFont val="Noto Sans CJK SC"/>
        <family val="2"/>
      </rPr>
      <t xml:space="preserve">最小モード間隔 </t>
    </r>
    <r>
      <rPr>
        <sz val="10"/>
        <color rgb="FFE6E8EC"/>
        <rFont val="Arial"/>
        <family val="0"/>
        <charset val="1"/>
      </rPr>
      <t xml:space="preserve">[%]</t>
    </r>
    <r>
      <rPr>
        <sz val="10"/>
        <color rgb="FFE6E8EC"/>
        <rFont val="Noto Sans CJK SC"/>
        <family val="2"/>
      </rPr>
      <t xml:space="preserve">（帯域内のみ）</t>
    </r>
  </si>
  <si>
    <r>
      <rPr>
        <sz val="9"/>
        <color rgb="FF8A93A3"/>
        <rFont val="Noto Sans CJK SC"/>
        <family val="2"/>
      </rPr>
      <t xml:space="preserve">小さいほど連成（れんせい）＝</t>
    </r>
    <r>
      <rPr>
        <sz val="9"/>
        <color rgb="FF8A93A3"/>
        <rFont val="Arial"/>
        <family val="0"/>
        <charset val="1"/>
      </rPr>
      <t xml:space="preserve">2</t>
    </r>
    <r>
      <rPr>
        <sz val="9"/>
        <color rgb="FF8A93A3"/>
        <rFont val="Noto Sans CJK SC"/>
        <family val="2"/>
      </rPr>
      <t xml:space="preserve">つのモードが手を組んで不安定になりやすい</t>
    </r>
  </si>
  <si>
    <r>
      <rPr>
        <sz val="10"/>
        <color rgb="FFE6E8EC"/>
        <rFont val="Noto Sans CJK SC"/>
        <family val="2"/>
      </rPr>
      <t xml:space="preserve">ディスク最小一致差 </t>
    </r>
    <r>
      <rPr>
        <sz val="10"/>
        <color rgb="FFE6E8EC"/>
        <rFont val="Arial"/>
        <family val="0"/>
        <charset val="1"/>
      </rPr>
      <t xml:space="preserve">[%]</t>
    </r>
    <r>
      <rPr>
        <sz val="10"/>
        <color rgb="FFE6E8EC"/>
        <rFont val="Noto Sans CJK SC"/>
        <family val="2"/>
      </rPr>
      <t xml:space="preserve">（帯域内のみ）</t>
    </r>
  </si>
  <si>
    <r>
      <rPr>
        <sz val="9"/>
        <color rgb="FF8A93A3"/>
        <rFont val="Arial"/>
        <family val="0"/>
        <charset val="1"/>
      </rPr>
      <t xml:space="preserve">0</t>
    </r>
    <r>
      <rPr>
        <sz val="9"/>
        <color rgb="FF8A93A3"/>
        <rFont val="Noto Sans CJK SC"/>
        <family val="2"/>
      </rPr>
      <t xml:space="preserve">に近いほど共振（きょうしん）しやすい</t>
    </r>
  </si>
  <si>
    <r>
      <rPr>
        <b val="true"/>
        <sz val="10"/>
        <color rgb="FFE6E8EC"/>
        <rFont val="Noto Sans CJK SC"/>
        <family val="2"/>
      </rPr>
      <t xml:space="preserve">総合スコア（</t>
    </r>
    <r>
      <rPr>
        <b val="true"/>
        <sz val="10"/>
        <color rgb="FFE6E8EC"/>
        <rFont val="Arial"/>
        <family val="0"/>
        <charset val="1"/>
      </rPr>
      <t xml:space="preserve">0-100</t>
    </r>
    <r>
      <rPr>
        <b val="true"/>
        <sz val="10"/>
        <color rgb="FFE6E8EC"/>
        <rFont val="Noto Sans CJK SC"/>
        <family val="2"/>
      </rPr>
      <t xml:space="preserve">）</t>
    </r>
  </si>
  <si>
    <r>
      <rPr>
        <sz val="9"/>
        <color rgb="FF8A93A3"/>
        <rFont val="Arial"/>
        <family val="0"/>
        <charset val="1"/>
      </rPr>
      <t xml:space="preserve">12×</t>
    </r>
    <r>
      <rPr>
        <sz val="9"/>
        <color rgb="FF8A93A3"/>
        <rFont val="Noto Sans CJK SC"/>
        <family val="2"/>
      </rPr>
      <t xml:space="preserve">高リスク数 </t>
    </r>
    <r>
      <rPr>
        <sz val="9"/>
        <color rgb="FF8A93A3"/>
        <rFont val="Arial"/>
        <family val="0"/>
        <charset val="1"/>
      </rPr>
      <t xml:space="preserve">+5×</t>
    </r>
    <r>
      <rPr>
        <sz val="9"/>
        <color rgb="FF8A93A3"/>
        <rFont val="Noto Sans CJK SC"/>
        <family val="2"/>
      </rPr>
      <t xml:space="preserve">中リスク数 </t>
    </r>
    <r>
      <rPr>
        <sz val="9"/>
        <color rgb="FF8A93A3"/>
        <rFont val="Arial"/>
        <family val="0"/>
        <charset val="1"/>
      </rPr>
      <t xml:space="preserve">+(15−3×</t>
    </r>
    <r>
      <rPr>
        <sz val="9"/>
        <color rgb="FF8A93A3"/>
        <rFont val="Noto Sans CJK SC"/>
        <family val="2"/>
      </rPr>
      <t xml:space="preserve">最小間隔</t>
    </r>
    <r>
      <rPr>
        <sz val="9"/>
        <color rgb="FF8A93A3"/>
        <rFont val="Arial"/>
        <family val="0"/>
        <charset val="1"/>
      </rPr>
      <t xml:space="preserve">%) +(15−3×</t>
    </r>
    <r>
      <rPr>
        <sz val="9"/>
        <color rgb="FF8A93A3"/>
        <rFont val="Noto Sans CJK SC"/>
        <family val="2"/>
      </rPr>
      <t xml:space="preserve">ディスク差</t>
    </r>
    <r>
      <rPr>
        <sz val="9"/>
        <color rgb="FF8A93A3"/>
        <rFont val="Arial"/>
        <family val="0"/>
        <charset val="1"/>
      </rPr>
      <t xml:space="preserve">%) +(3×</t>
    </r>
    <r>
      <rPr>
        <sz val="9"/>
        <color rgb="FF8A93A3"/>
        <rFont val="Noto Sans CJK SC"/>
        <family val="2"/>
      </rPr>
      <t xml:space="preserve">密度</t>
    </r>
    <r>
      <rPr>
        <sz val="9"/>
        <color rgb="FF8A93A3"/>
        <rFont val="Arial"/>
        <family val="0"/>
        <charset val="1"/>
      </rPr>
      <t xml:space="preserve">)</t>
    </r>
    <r>
      <rPr>
        <sz val="9"/>
        <color rgb="FF8A93A3"/>
        <rFont val="Noto Sans CJK SC"/>
        <family val="2"/>
      </rPr>
      <t xml:space="preserve">。高いほど鳴きやすい 🟡</t>
    </r>
  </si>
  <si>
    <t xml:space="preserve">ランク</t>
  </si>
  <si>
    <t xml:space="preserve">■ 判定の根拠（なぜこの条件だと鳴くのか）</t>
  </si>
  <si>
    <r>
      <rPr>
        <sz val="9.5"/>
        <color rgb="FFB9C1D1"/>
        <rFont val="Noto Sans CJK SC"/>
        <family val="2"/>
      </rPr>
      <t xml:space="preserve">① 帯域：</t>
    </r>
    <r>
      <rPr>
        <sz val="9.5"/>
        <color rgb="FFB9C1D1"/>
        <rFont val="Arial"/>
        <family val="0"/>
        <charset val="1"/>
      </rPr>
      <t xml:space="preserve">SAE J2521 </t>
    </r>
    <r>
      <rPr>
        <sz val="9.5"/>
        <color rgb="FFB9C1D1"/>
        <rFont val="Noto Sans CJK SC"/>
        <family val="2"/>
      </rPr>
      <t xml:space="preserve">は </t>
    </r>
    <r>
      <rPr>
        <sz val="9.5"/>
        <color rgb="FFB9C1D1"/>
        <rFont val="Arial"/>
        <family val="0"/>
        <charset val="1"/>
      </rPr>
      <t xml:space="preserve">1.25</t>
    </r>
    <r>
      <rPr>
        <sz val="9.5"/>
        <color rgb="FFB9C1D1"/>
        <rFont val="Noto Sans CJK SC"/>
        <family val="2"/>
      </rPr>
      <t xml:space="preserve">〜</t>
    </r>
    <r>
      <rPr>
        <sz val="9.5"/>
        <color rgb="FFB9C1D1"/>
        <rFont val="Arial"/>
        <family val="0"/>
        <charset val="1"/>
      </rPr>
      <t xml:space="preserve">16 kHz </t>
    </r>
    <r>
      <rPr>
        <sz val="9.5"/>
        <color rgb="FFB9C1D1"/>
        <rFont val="Noto Sans CJK SC"/>
        <family val="2"/>
      </rPr>
      <t xml:space="preserve">を鳴き（</t>
    </r>
    <r>
      <rPr>
        <sz val="9.5"/>
        <color rgb="FFB9C1D1"/>
        <rFont val="Arial"/>
        <family val="0"/>
        <charset val="1"/>
      </rPr>
      <t xml:space="preserve">squeal</t>
    </r>
    <r>
      <rPr>
        <sz val="9.5"/>
        <color rgb="FFB9C1D1"/>
        <rFont val="Noto Sans CJK SC"/>
        <family val="2"/>
      </rPr>
      <t xml:space="preserve">）の評価帯域としています。この外の共振は「鳴き」として扱われません。</t>
    </r>
  </si>
  <si>
    <r>
      <rPr>
        <sz val="9.5"/>
        <color rgb="FFB9C1D1"/>
        <rFont val="Noto Sans CJK SC"/>
        <family val="2"/>
      </rPr>
      <t xml:space="preserve">② モード連成（</t>
    </r>
    <r>
      <rPr>
        <sz val="9.5"/>
        <color rgb="FFB9C1D1"/>
        <rFont val="Arial"/>
        <family val="0"/>
        <charset val="1"/>
      </rPr>
      <t xml:space="preserve">mode coupling</t>
    </r>
    <r>
      <rPr>
        <sz val="9.5"/>
        <color rgb="FFB9C1D1"/>
        <rFont val="Noto Sans CJK SC"/>
        <family val="2"/>
      </rPr>
      <t xml:space="preserve">）：ブレーキ鳴きの主流説は「</t>
    </r>
    <r>
      <rPr>
        <sz val="9.5"/>
        <color rgb="FFB9C1D1"/>
        <rFont val="Arial"/>
        <family val="0"/>
        <charset val="1"/>
      </rPr>
      <t xml:space="preserve">2</t>
    </r>
    <r>
      <rPr>
        <sz val="9.5"/>
        <color rgb="FFB9C1D1"/>
        <rFont val="Noto Sans CJK SC"/>
        <family val="2"/>
      </rPr>
      <t xml:space="preserve">つの固有振動数が近づき、摩擦力で結ばれて</t>
    </r>
    <r>
      <rPr>
        <sz val="9.5"/>
        <color rgb="FFB9C1D1"/>
        <rFont val="Arial"/>
        <family val="0"/>
        <charset val="1"/>
      </rPr>
      <t xml:space="preserve">1</t>
    </r>
    <r>
      <rPr>
        <sz val="9.5"/>
        <color rgb="FFB9C1D1"/>
        <rFont val="Noto Sans CJK SC"/>
        <family val="2"/>
      </rPr>
      <t xml:space="preserve">つにロックインし、減衰が負になる」というものです。</t>
    </r>
  </si>
  <si>
    <r>
      <rPr>
        <sz val="9.5"/>
        <color rgb="FFB9C1D1"/>
        <rFont val="Noto Sans CJK SC"/>
        <family val="2"/>
      </rPr>
      <t xml:space="preserve">③ だから、</t>
    </r>
    <r>
      <rPr>
        <sz val="9.5"/>
        <color rgb="FFB9C1D1"/>
        <rFont val="Arial"/>
        <family val="0"/>
        <charset val="1"/>
      </rPr>
      <t xml:space="preserve">2</t>
    </r>
    <r>
      <rPr>
        <sz val="9.5"/>
        <color rgb="FFB9C1D1"/>
        <rFont val="Noto Sans CJK SC"/>
        <family val="2"/>
      </rPr>
      <t xml:space="preserve">つのモードの差が数</t>
    </r>
    <r>
      <rPr>
        <sz val="9.5"/>
        <color rgb="FFB9C1D1"/>
        <rFont val="Arial"/>
        <family val="0"/>
        <charset val="1"/>
      </rPr>
      <t xml:space="preserve">%</t>
    </r>
    <r>
      <rPr>
        <sz val="9.5"/>
        <color rgb="FFB9C1D1"/>
        <rFont val="Noto Sans CJK SC"/>
        <family val="2"/>
      </rPr>
      <t xml:space="preserve">以内だと危険。差が十分あればロックインしにくい。← </t>
    </r>
    <r>
      <rPr>
        <sz val="9.5"/>
        <color rgb="FFB9C1D1"/>
        <rFont val="Arial"/>
        <family val="0"/>
        <charset val="1"/>
      </rPr>
      <t xml:space="preserve">F</t>
    </r>
    <r>
      <rPr>
        <sz val="9.5"/>
        <color rgb="FFB9C1D1"/>
        <rFont val="Noto Sans CJK SC"/>
        <family val="2"/>
      </rPr>
      <t xml:space="preserve">列と</t>
    </r>
    <r>
      <rPr>
        <sz val="9.5"/>
        <color rgb="FFB9C1D1"/>
        <rFont val="Arial"/>
        <family val="0"/>
        <charset val="1"/>
      </rPr>
      <t xml:space="preserve">G</t>
    </r>
    <r>
      <rPr>
        <sz val="9.5"/>
        <color rgb="FFB9C1D1"/>
        <rFont val="Noto Sans CJK SC"/>
        <family val="2"/>
      </rPr>
      <t xml:space="preserve">列がこれを見ています。</t>
    </r>
  </si>
  <si>
    <t xml:space="preserve">④ ディスクとの一致：パッドとローターの固有振動数が揃うと、エネルギーが行き来しやすくなります。</t>
  </si>
  <si>
    <t xml:space="preserve">⑤ モード密度が高い＝偶然近づくペアが増える。だからスコアに入れています。</t>
  </si>
  <si>
    <r>
      <rPr>
        <sz val="9.5"/>
        <color rgb="FFB9C1D1"/>
        <rFont val="Noto Sans CJK SC"/>
        <family val="2"/>
      </rPr>
      <t xml:space="preserve">⑥ 曲げモードとねじりモードの差が </t>
    </r>
    <r>
      <rPr>
        <sz val="9.5"/>
        <color rgb="FFB9C1D1"/>
        <rFont val="Arial"/>
        <family val="0"/>
        <charset val="1"/>
      </rPr>
      <t xml:space="preserve">300 Hz </t>
    </r>
    <r>
      <rPr>
        <sz val="9.5"/>
        <color rgb="FFB9C1D1"/>
        <rFont val="Noto Sans CJK SC"/>
        <family val="2"/>
      </rPr>
      <t xml:space="preserve">以上あると相互作用が起きにくい、という設計知見もあります（🟡 出典は特許・文献ベース）。</t>
    </r>
  </si>
  <si>
    <r>
      <rPr>
        <sz val="9.5"/>
        <color rgb="FFB9C1D1"/>
        <rFont val="Noto Sans CJK SC"/>
        <family val="2"/>
      </rPr>
      <t xml:space="preserve">⚠ これは「素通し検査」です。実際の不安定性は 摩擦係数</t>
    </r>
    <r>
      <rPr>
        <sz val="9.5"/>
        <color rgb="FFB9C1D1"/>
        <rFont val="Arial"/>
        <family val="0"/>
        <charset val="1"/>
      </rPr>
      <t xml:space="preserve">μ</t>
    </r>
    <r>
      <rPr>
        <sz val="9.5"/>
        <color rgb="FFB9C1D1"/>
        <rFont val="Noto Sans CJK SC"/>
        <family val="2"/>
      </rPr>
      <t xml:space="preserve">・接触剛性・キャリパ剛性 に依存し、複素固有値解析（</t>
    </r>
    <r>
      <rPr>
        <sz val="9.5"/>
        <color rgb="FFB9C1D1"/>
        <rFont val="Arial"/>
        <family val="0"/>
        <charset val="1"/>
      </rPr>
      <t xml:space="preserve">CEA</t>
    </r>
    <r>
      <rPr>
        <sz val="9.5"/>
        <color rgb="FFB9C1D1"/>
        <rFont val="Noto Sans CJK SC"/>
        <family val="2"/>
      </rPr>
      <t xml:space="preserve">）でないと判定できません。</t>
    </r>
  </si>
  <si>
    <t xml:space="preserve">⚠ このシートは「金属部だけ」の値です。摩擦材を貼ると質量が増えて周波数は下がります。完成品の判定は摩擦材込みブックで行ってください。</t>
  </si>
  <si>
    <r>
      <rPr>
        <sz val="9.5"/>
        <color rgb="FFB9C1D1"/>
        <rFont val="Noto Sans CJK SC"/>
        <family val="2"/>
      </rPr>
      <t xml:space="preserve">⚠ 減衰（シム）の効果はスコアに入っていません。シムを貼ると</t>
    </r>
    <r>
      <rPr>
        <sz val="9.5"/>
        <color rgb="FFB9C1D1"/>
        <rFont val="Arial"/>
        <family val="0"/>
        <charset val="1"/>
      </rPr>
      <t xml:space="preserve">η</t>
    </r>
    <r>
      <rPr>
        <sz val="9.5"/>
        <color rgb="FFB9C1D1"/>
        <rFont val="Noto Sans CJK SC"/>
        <family val="2"/>
      </rPr>
      <t xml:space="preserve">が上がり、同じモード配置でも鳴かなくなることがあります。</t>
    </r>
  </si>
  <si>
    <t xml:space="preserve">■ 対策の引き出し（このスコアが悪かったらどうするか）</t>
  </si>
  <si>
    <r>
      <rPr>
        <sz val="9.5"/>
        <color rgb="FFB9C1D1"/>
        <rFont val="Noto Sans CJK SC"/>
        <family val="2"/>
      </rPr>
      <t xml:space="preserve">① 周波数を「ずらす」：裏板の厚さを </t>
    </r>
    <r>
      <rPr>
        <sz val="9.5"/>
        <color rgb="FFB9C1D1"/>
        <rFont val="Arial"/>
        <family val="0"/>
        <charset val="1"/>
      </rPr>
      <t xml:space="preserve">0.2</t>
    </r>
    <r>
      <rPr>
        <sz val="9.5"/>
        <color rgb="FFB9C1D1"/>
        <rFont val="Noto Sans CJK SC"/>
        <family val="2"/>
      </rPr>
      <t xml:space="preserve">〜</t>
    </r>
    <r>
      <rPr>
        <sz val="9.5"/>
        <color rgb="FFB9C1D1"/>
        <rFont val="Arial"/>
        <family val="0"/>
        <charset val="1"/>
      </rPr>
      <t xml:space="preserve">0.5mm </t>
    </r>
    <r>
      <rPr>
        <sz val="9.5"/>
        <color rgb="FFB9C1D1"/>
        <rFont val="Noto Sans CJK SC"/>
        <family val="2"/>
      </rPr>
      <t xml:space="preserve">変える。</t>
    </r>
    <r>
      <rPr>
        <sz val="9.5"/>
        <color rgb="FFB9C1D1"/>
        <rFont val="Arial"/>
        <family val="0"/>
        <charset val="1"/>
      </rPr>
      <t xml:space="preserve">f ∝ t </t>
    </r>
    <r>
      <rPr>
        <sz val="9.5"/>
        <color rgb="FFB9C1D1"/>
        <rFont val="Noto Sans CJK SC"/>
        <family val="2"/>
      </rPr>
      <t xml:space="preserve">なので数</t>
    </r>
    <r>
      <rPr>
        <sz val="9.5"/>
        <color rgb="FFB9C1D1"/>
        <rFont val="Arial"/>
        <family val="0"/>
        <charset val="1"/>
      </rPr>
      <t xml:space="preserve">%</t>
    </r>
    <r>
      <rPr>
        <sz val="9.5"/>
        <color rgb="FFB9C1D1"/>
        <rFont val="Noto Sans CJK SC"/>
        <family val="2"/>
      </rPr>
      <t xml:space="preserve">単位で動きます。いちばん確実で安い手。</t>
    </r>
  </si>
  <si>
    <t xml:space="preserve">② 「重り」を足す：耳の付け根に小さな質量を貼ると、その位置が腹になっているモードだけが下がります（狙い撃ちできる）。</t>
  </si>
  <si>
    <r>
      <rPr>
        <sz val="9.5"/>
        <color rgb="FFB9C1D1"/>
        <rFont val="Noto Sans CJK SC"/>
        <family val="2"/>
      </rPr>
      <t xml:space="preserve">③ 「減衰」を足す：制振シム（</t>
    </r>
    <r>
      <rPr>
        <sz val="9.5"/>
        <color rgb="FFB9C1D1"/>
        <rFont val="Arial"/>
        <family val="0"/>
        <charset val="1"/>
      </rPr>
      <t xml:space="preserve">CLD</t>
    </r>
    <r>
      <rPr>
        <sz val="9.5"/>
        <color rgb="FFB9C1D1"/>
        <rFont val="Noto Sans CJK SC"/>
        <family val="2"/>
      </rPr>
      <t xml:space="preserve">＝拘束層制振）。</t>
    </r>
    <r>
      <rPr>
        <sz val="9.5"/>
        <color rgb="FFB9C1D1"/>
        <rFont val="Arial"/>
        <family val="0"/>
        <charset val="1"/>
      </rPr>
      <t xml:space="preserve">η</t>
    </r>
    <r>
      <rPr>
        <sz val="9.5"/>
        <color rgb="FFB9C1D1"/>
        <rFont val="Noto Sans CJK SC"/>
        <family val="2"/>
      </rPr>
      <t xml:space="preserve">が一桁上がるので、周波数を動かさずに山を潰せます。</t>
    </r>
  </si>
  <si>
    <t xml:space="preserve">④ 「対称性を崩す」：面取り・スリット・耳の非対称化。縮退（しゅくたい）ペアを割って、同時励振を避けます。</t>
  </si>
  <si>
    <r>
      <rPr>
        <sz val="9.5"/>
        <color rgb="FFB9C1D1"/>
        <rFont val="Noto Sans CJK SC"/>
        <family val="2"/>
      </rPr>
      <t xml:space="preserve">⑤ 「曲げとねじりを離す」：幅を変えると </t>
    </r>
    <r>
      <rPr>
        <sz val="9.5"/>
        <color rgb="FFB9C1D1"/>
        <rFont val="Arial"/>
        <family val="0"/>
        <charset val="1"/>
      </rPr>
      <t xml:space="preserve">GJ </t>
    </r>
    <r>
      <rPr>
        <sz val="9.5"/>
        <color rgb="FFB9C1D1"/>
        <rFont val="Noto Sans CJK SC"/>
        <family val="2"/>
      </rPr>
      <t xml:space="preserve">と </t>
    </r>
    <r>
      <rPr>
        <sz val="9.5"/>
        <color rgb="FFB9C1D1"/>
        <rFont val="Arial"/>
        <family val="0"/>
        <charset val="1"/>
      </rPr>
      <t xml:space="preserve">EI </t>
    </r>
    <r>
      <rPr>
        <sz val="9.5"/>
        <color rgb="FFB9C1D1"/>
        <rFont val="Noto Sans CJK SC"/>
        <family val="2"/>
      </rPr>
      <t xml:space="preserve">の比が変わるので、両者の間隔を広げられます。</t>
    </r>
  </si>
  <si>
    <r>
      <rPr>
        <sz val="9.5"/>
        <color rgb="FFB9C1D1"/>
        <rFont val="Noto Sans CJK SC"/>
        <family val="2"/>
      </rPr>
      <t xml:space="preserve">⑥ 最後に：どの対策も「実測 → モデル更新 → </t>
    </r>
    <r>
      <rPr>
        <sz val="9.5"/>
        <color rgb="FFB9C1D1"/>
        <rFont val="Arial"/>
        <family val="0"/>
        <charset val="1"/>
      </rPr>
      <t xml:space="preserve">CEA</t>
    </r>
    <r>
      <rPr>
        <sz val="9.5"/>
        <color rgb="FFB9C1D1"/>
        <rFont val="Noto Sans CJK SC"/>
        <family val="2"/>
      </rPr>
      <t xml:space="preserve">」で確認するのが本筋です。ここは当たり付けの道具です。</t>
    </r>
  </si>
  <si>
    <t xml:space="preserve">⑥ 逆算 — 実測ピークから 裏板の実効（じっこう）ヤング率 と 形状補正係数 を求める</t>
  </si>
  <si>
    <r>
      <rPr>
        <sz val="9"/>
        <color rgb="FFA9B2C3"/>
        <rFont val="Arial"/>
        <family val="0"/>
        <charset val="1"/>
      </rPr>
      <t xml:space="preserve">2</t>
    </r>
    <r>
      <rPr>
        <sz val="9"/>
        <color rgb="FFA9B2C3"/>
        <rFont val="Noto Sans CJK SC"/>
        <family val="2"/>
      </rPr>
      <t xml:space="preserve">層モデル（シム＋裏板）で 面外曲げ</t>
    </r>
    <r>
      <rPr>
        <sz val="9"/>
        <color rgb="FFA9B2C3"/>
        <rFont val="Arial"/>
        <family val="0"/>
        <charset val="1"/>
      </rPr>
      <t xml:space="preserve">1</t>
    </r>
    <r>
      <rPr>
        <sz val="9"/>
        <color rgb="FFA9B2C3"/>
        <rFont val="Noto Sans CJK SC"/>
        <family val="2"/>
      </rPr>
      <t xml:space="preserve">次の実測周波数に合うように </t>
    </r>
    <r>
      <rPr>
        <sz val="9"/>
        <color rgb="FFA9B2C3"/>
        <rFont val="Arial"/>
        <family val="0"/>
        <charset val="1"/>
      </rPr>
      <t xml:space="preserve">E </t>
    </r>
    <r>
      <rPr>
        <sz val="9"/>
        <color rgb="FFA9B2C3"/>
        <rFont val="Noto Sans CJK SC"/>
        <family val="2"/>
      </rPr>
      <t xml:space="preserve">を二分法（にぶんほう）で探す  🟢手順／🟡モデル</t>
    </r>
  </si>
  <si>
    <r>
      <rPr>
        <b val="true"/>
        <sz val="12"/>
        <color rgb="FF7DB4FF"/>
        <rFont val="Arial"/>
        <family val="0"/>
        <charset val="1"/>
      </rPr>
      <t xml:space="preserve">■ STEP 1</t>
    </r>
    <r>
      <rPr>
        <b val="true"/>
        <sz val="12"/>
        <color rgb="FF7DB4FF"/>
        <rFont val="Noto Sans CJK SC"/>
        <family val="2"/>
      </rPr>
      <t xml:space="preserve">：実測ピークを入れる（面外曲げモードだけ）</t>
    </r>
  </si>
  <si>
    <r>
      <rPr>
        <b val="true"/>
        <sz val="9"/>
        <color rgb="FFE6E8EC"/>
        <rFont val="Noto Sans CJK SC"/>
        <family val="2"/>
      </rPr>
      <t xml:space="preserve">次数 </t>
    </r>
    <r>
      <rPr>
        <b val="true"/>
        <sz val="9"/>
        <color rgb="FFE6E8EC"/>
        <rFont val="Arial"/>
        <family val="0"/>
        <charset val="1"/>
      </rPr>
      <t xml:space="preserve">n</t>
    </r>
  </si>
  <si>
    <t xml:space="preserve">(βL)</t>
  </si>
  <si>
    <r>
      <rPr>
        <b val="true"/>
        <sz val="9"/>
        <color rgb="FFE6E8EC"/>
        <rFont val="Noto Sans CJK SC"/>
        <family val="2"/>
      </rPr>
      <t xml:space="preserve">実測 </t>
    </r>
    <r>
      <rPr>
        <b val="true"/>
        <sz val="9"/>
        <color rgb="FFE6E8EC"/>
        <rFont val="Arial"/>
        <family val="0"/>
        <charset val="1"/>
      </rPr>
      <t xml:space="preserve">f [Hz]</t>
    </r>
  </si>
  <si>
    <r>
      <rPr>
        <b val="true"/>
        <sz val="9"/>
        <color rgb="FFE6E8EC"/>
        <rFont val="Arial"/>
        <family val="0"/>
        <charset val="1"/>
      </rPr>
      <t xml:space="preserve">f_n/f_1 </t>
    </r>
    <r>
      <rPr>
        <b val="true"/>
        <sz val="9"/>
        <color rgb="FFE6E8EC"/>
        <rFont val="Noto Sans CJK SC"/>
        <family val="2"/>
      </rPr>
      <t xml:space="preserve">実測</t>
    </r>
  </si>
  <si>
    <r>
      <rPr>
        <b val="true"/>
        <sz val="9"/>
        <color rgb="FFE6E8EC"/>
        <rFont val="Arial"/>
        <family val="0"/>
        <charset val="1"/>
      </rPr>
      <t xml:space="preserve">f_n/f_1 </t>
    </r>
    <r>
      <rPr>
        <b val="true"/>
        <sz val="9"/>
        <color rgb="FFE6E8EC"/>
        <rFont val="Noto Sans CJK SC"/>
        <family val="2"/>
      </rPr>
      <t xml:space="preserve">理論</t>
    </r>
  </si>
  <si>
    <r>
      <rPr>
        <b val="true"/>
        <sz val="9"/>
        <color rgb="FFE6E8EC"/>
        <rFont val="Noto Sans CJK SC"/>
        <family val="2"/>
      </rPr>
      <t xml:space="preserve">ずれ </t>
    </r>
    <r>
      <rPr>
        <b val="true"/>
        <sz val="9"/>
        <color rgb="FFE6E8EC"/>
        <rFont val="Arial"/>
        <family val="0"/>
        <charset val="1"/>
      </rPr>
      <t xml:space="preserve">[%]</t>
    </r>
  </si>
  <si>
    <t xml:space="preserve">診断</t>
  </si>
  <si>
    <t xml:space="preserve">※ 上の実測値は「例」です（🔴 必ず自分の測定値に入れ替える）。空欄の次数は無視されます。</t>
  </si>
  <si>
    <r>
      <rPr>
        <sz val="9.5"/>
        <color rgb="FFB9C1D1"/>
        <rFont val="Arial"/>
        <family val="0"/>
        <charset val="1"/>
      </rPr>
      <t xml:space="preserve">※ f₁ </t>
    </r>
    <r>
      <rPr>
        <sz val="9.5"/>
        <color rgb="FFB9C1D1"/>
        <rFont val="Noto Sans CJK SC"/>
        <family val="2"/>
      </rPr>
      <t xml:space="preserve">は「いちばん低い面外曲げ」です。ねじり</t>
    </r>
    <r>
      <rPr>
        <sz val="9.5"/>
        <color rgb="FFB9C1D1"/>
        <rFont val="Arial"/>
        <family val="0"/>
        <charset val="1"/>
      </rPr>
      <t xml:space="preserve">1</t>
    </r>
    <r>
      <rPr>
        <sz val="9.5"/>
        <color rgb="FFB9C1D1"/>
        <rFont val="Noto Sans CJK SC"/>
        <family val="2"/>
      </rPr>
      <t xml:space="preserve">次と近接することがあるので、モード形（</t>
    </r>
    <r>
      <rPr>
        <sz val="9.5"/>
        <color rgb="FFB9C1D1"/>
        <rFont val="Arial"/>
        <family val="0"/>
        <charset val="1"/>
      </rPr>
      <t xml:space="preserve">ODS</t>
    </r>
    <r>
      <rPr>
        <sz val="9.5"/>
        <color rgb="FFB9C1D1"/>
        <rFont val="Noto Sans CJK SC"/>
        <family val="2"/>
      </rPr>
      <t xml:space="preserve">）で確認してから入れてください。</t>
    </r>
  </si>
  <si>
    <r>
      <rPr>
        <b val="true"/>
        <sz val="12"/>
        <color rgb="FF7DB4FF"/>
        <rFont val="Arial"/>
        <family val="0"/>
        <charset val="1"/>
      </rPr>
      <t xml:space="preserve">■ STEP 2</t>
    </r>
    <r>
      <rPr>
        <b val="true"/>
        <sz val="12"/>
        <color rgb="FF7DB4FF"/>
        <rFont val="Noto Sans CJK SC"/>
        <family val="2"/>
      </rPr>
      <t xml:space="preserve">：既知の寸法・材料（形状／断面シートから自動で拾います）</t>
    </r>
  </si>
  <si>
    <r>
      <rPr>
        <sz val="10"/>
        <color rgb="FFE6E8EC"/>
        <rFont val="Noto Sans CJK SC"/>
        <family val="2"/>
      </rPr>
      <t xml:space="preserve">長さ </t>
    </r>
    <r>
      <rPr>
        <sz val="10"/>
        <color rgb="FFE6E8EC"/>
        <rFont val="Arial"/>
        <family val="0"/>
        <charset val="1"/>
      </rPr>
      <t xml:space="preserve">L [mm]</t>
    </r>
  </si>
  <si>
    <r>
      <rPr>
        <sz val="9"/>
        <color rgb="FF8A93A3"/>
        <rFont val="Noto Sans CJK SC"/>
        <family val="2"/>
      </rPr>
      <t xml:space="preserve">形状シートの採用</t>
    </r>
    <r>
      <rPr>
        <sz val="9"/>
        <color rgb="FF8A93A3"/>
        <rFont val="Arial"/>
        <family val="0"/>
        <charset val="1"/>
      </rPr>
      <t xml:space="preserve">L</t>
    </r>
    <r>
      <rPr>
        <sz val="9"/>
        <color rgb="FF8A93A3"/>
        <rFont val="Noto Sans CJK SC"/>
        <family val="2"/>
      </rPr>
      <t xml:space="preserve">。上書きしたければ直接数値を打つ</t>
    </r>
  </si>
  <si>
    <r>
      <rPr>
        <sz val="10"/>
        <color rgb="FFE6E8EC"/>
        <rFont val="Noto Sans CJK SC"/>
        <family val="2"/>
      </rPr>
      <t xml:space="preserve">幅 </t>
    </r>
    <r>
      <rPr>
        <sz val="10"/>
        <color rgb="FFE6E8EC"/>
        <rFont val="Arial"/>
        <family val="0"/>
        <charset val="1"/>
      </rPr>
      <t xml:space="preserve">w [mm]</t>
    </r>
    <r>
      <rPr>
        <sz val="10"/>
        <color rgb="FFE6E8EC"/>
        <rFont val="Noto Sans CJK SC"/>
        <family val="2"/>
      </rPr>
      <t xml:space="preserve">（正味）</t>
    </r>
  </si>
  <si>
    <r>
      <rPr>
        <sz val="9"/>
        <color rgb="FF8A93A3"/>
        <rFont val="Noto Sans CJK SC"/>
        <family val="2"/>
      </rPr>
      <t xml:space="preserve">形状シートの採用</t>
    </r>
    <r>
      <rPr>
        <sz val="9"/>
        <color rgb="FF8A93A3"/>
        <rFont val="Arial"/>
        <family val="0"/>
        <charset val="1"/>
      </rPr>
      <t xml:space="preserve">w</t>
    </r>
    <r>
      <rPr>
        <sz val="9"/>
        <color rgb="FF8A93A3"/>
        <rFont val="Noto Sans CJK SC"/>
        <family val="2"/>
      </rPr>
      <t xml:space="preserve">（穴を引いた等価幅）</t>
    </r>
  </si>
  <si>
    <r>
      <rPr>
        <sz val="10"/>
        <color rgb="FFE6E8EC"/>
        <rFont val="Noto Sans CJK SC"/>
        <family val="2"/>
      </rPr>
      <t xml:space="preserve">シム 使用</t>
    </r>
    <r>
      <rPr>
        <sz val="10"/>
        <color rgb="FFE6E8EC"/>
        <rFont val="Arial"/>
        <family val="0"/>
        <charset val="1"/>
      </rPr>
      <t xml:space="preserve">1/0</t>
    </r>
  </si>
  <si>
    <t xml:space="preserve">断面シートと連動</t>
  </si>
  <si>
    <r>
      <rPr>
        <sz val="10"/>
        <color rgb="FFE6E8EC"/>
        <rFont val="Noto Sans CJK SC"/>
        <family val="2"/>
      </rPr>
      <t xml:space="preserve">シム 厚さ </t>
    </r>
    <r>
      <rPr>
        <sz val="10"/>
        <color rgb="FFE6E8EC"/>
        <rFont val="Arial"/>
        <family val="0"/>
        <charset val="1"/>
      </rPr>
      <t xml:space="preserve">ts [mm]</t>
    </r>
  </si>
  <si>
    <r>
      <rPr>
        <sz val="10"/>
        <color rgb="FFE6E8EC"/>
        <rFont val="Noto Sans CJK SC"/>
        <family val="2"/>
      </rPr>
      <t xml:space="preserve">シム </t>
    </r>
    <r>
      <rPr>
        <sz val="10"/>
        <color rgb="FFE6E8EC"/>
        <rFont val="Arial"/>
        <family val="0"/>
        <charset val="1"/>
      </rPr>
      <t xml:space="preserve">E [GPa]</t>
    </r>
  </si>
  <si>
    <t xml:space="preserve">同上（既知として扱う）</t>
  </si>
  <si>
    <r>
      <rPr>
        <sz val="10"/>
        <color rgb="FFE6E8EC"/>
        <rFont val="Noto Sans CJK SC"/>
        <family val="2"/>
      </rPr>
      <t xml:space="preserve">シム </t>
    </r>
    <r>
      <rPr>
        <sz val="10"/>
        <color rgb="FFE6E8EC"/>
        <rFont val="Arial"/>
        <family val="0"/>
        <charset val="1"/>
      </rPr>
      <t xml:space="preserve">ρ [kg/m³]</t>
    </r>
  </si>
  <si>
    <r>
      <rPr>
        <sz val="10"/>
        <color rgb="FFE6E8EC"/>
        <rFont val="Noto Sans CJK SC"/>
        <family val="2"/>
      </rPr>
      <t xml:space="preserve">裏板 厚さ </t>
    </r>
    <r>
      <rPr>
        <sz val="10"/>
        <color rgb="FFE6E8EC"/>
        <rFont val="Arial"/>
        <family val="0"/>
        <charset val="1"/>
      </rPr>
      <t xml:space="preserve">t1 [mm]</t>
    </r>
  </si>
  <si>
    <r>
      <rPr>
        <sz val="9"/>
        <color rgb="FF8A93A3"/>
        <rFont val="Noto Sans CJK SC"/>
        <family val="2"/>
      </rPr>
      <t xml:space="preserve">★ここの実測精度が最重要。</t>
    </r>
    <r>
      <rPr>
        <sz val="9"/>
        <color rgb="FF8A93A3"/>
        <rFont val="Arial"/>
        <family val="0"/>
        <charset val="1"/>
      </rPr>
      <t xml:space="preserve">EI ∝ t1³</t>
    </r>
  </si>
  <si>
    <r>
      <rPr>
        <sz val="10"/>
        <color rgb="FFE6E8EC"/>
        <rFont val="Noto Sans CJK SC"/>
        <family val="2"/>
      </rPr>
      <t xml:space="preserve">裏板 </t>
    </r>
    <r>
      <rPr>
        <sz val="10"/>
        <color rgb="FFE6E8EC"/>
        <rFont val="Arial"/>
        <family val="0"/>
        <charset val="1"/>
      </rPr>
      <t xml:space="preserve">ρ1 [kg/m³]</t>
    </r>
  </si>
  <si>
    <r>
      <rPr>
        <sz val="9"/>
        <color rgb="FF8A93A3"/>
        <rFont val="Noto Sans CJK SC"/>
        <family val="2"/>
      </rPr>
      <t xml:space="preserve">鋼なら </t>
    </r>
    <r>
      <rPr>
        <sz val="9"/>
        <color rgb="FF8A93A3"/>
        <rFont val="Arial"/>
        <family val="0"/>
        <charset val="1"/>
      </rPr>
      <t xml:space="preserve">7850</t>
    </r>
    <r>
      <rPr>
        <sz val="9"/>
        <color rgb="FF8A93A3"/>
        <rFont val="Noto Sans CJK SC"/>
        <family val="2"/>
      </rPr>
      <t xml:space="preserve">。質量チェックが合っていれば信用してよい</t>
    </r>
  </si>
  <si>
    <r>
      <rPr>
        <sz val="10"/>
        <color rgb="FFE6E8EC"/>
        <rFont val="Noto Sans CJK SC"/>
        <family val="2"/>
      </rPr>
      <t xml:space="preserve">現在設定の 裏板 </t>
    </r>
    <r>
      <rPr>
        <sz val="10"/>
        <color rgb="FFE6E8EC"/>
        <rFont val="Arial"/>
        <family val="0"/>
        <charset val="1"/>
      </rPr>
      <t xml:space="preserve">E [GPa]</t>
    </r>
  </si>
  <si>
    <r>
      <rPr>
        <sz val="9"/>
        <color rgb="FF8A93A3"/>
        <rFont val="Noto Sans CJK SC"/>
        <family val="2"/>
      </rPr>
      <t xml:space="preserve">材料</t>
    </r>
    <r>
      <rPr>
        <sz val="9"/>
        <color rgb="FF8A93A3"/>
        <rFont val="Arial"/>
        <family val="0"/>
        <charset val="1"/>
      </rPr>
      <t xml:space="preserve">DB</t>
    </r>
    <r>
      <rPr>
        <sz val="9"/>
        <color rgb="FF8A93A3"/>
        <rFont val="Noto Sans CJK SC"/>
        <family val="2"/>
      </rPr>
      <t xml:space="preserve">の値。この値を逆算で置き換えます</t>
    </r>
  </si>
  <si>
    <r>
      <rPr>
        <b val="true"/>
        <sz val="12"/>
        <color rgb="FF7DB4FF"/>
        <rFont val="Arial"/>
        <family val="0"/>
        <charset val="1"/>
      </rPr>
      <t xml:space="preserve">■ STEP 3</t>
    </r>
    <r>
      <rPr>
        <b val="true"/>
        <sz val="12"/>
        <color rgb="FF7DB4FF"/>
        <rFont val="Noto Sans CJK SC"/>
        <family val="2"/>
      </rPr>
      <t xml:space="preserve">：実測 </t>
    </r>
    <r>
      <rPr>
        <b val="true"/>
        <sz val="12"/>
        <color rgb="FF7DB4FF"/>
        <rFont val="Arial"/>
        <family val="0"/>
        <charset val="1"/>
      </rPr>
      <t xml:space="preserve">f₁ </t>
    </r>
    <r>
      <rPr>
        <b val="true"/>
        <sz val="12"/>
        <color rgb="FF7DB4FF"/>
        <rFont val="Noto Sans CJK SC"/>
        <family val="2"/>
      </rPr>
      <t xml:space="preserve">から 必要な曲げ剛性 </t>
    </r>
    <r>
      <rPr>
        <b val="true"/>
        <sz val="12"/>
        <color rgb="FF7DB4FF"/>
        <rFont val="Arial"/>
        <family val="0"/>
        <charset val="1"/>
      </rPr>
      <t xml:space="preserve">EI </t>
    </r>
    <r>
      <rPr>
        <b val="true"/>
        <sz val="12"/>
        <color rgb="FF7DB4FF"/>
        <rFont val="Noto Sans CJK SC"/>
        <family val="2"/>
      </rPr>
      <t xml:space="preserve">を求める</t>
    </r>
  </si>
  <si>
    <t xml:space="preserve">L [m]</t>
  </si>
  <si>
    <t xml:space="preserve">w [m]</t>
  </si>
  <si>
    <t xml:space="preserve">ts [m]</t>
  </si>
  <si>
    <r>
      <rPr>
        <sz val="9"/>
        <color rgb="FF8A93A3"/>
        <rFont val="Noto Sans CJK SC"/>
        <family val="2"/>
      </rPr>
      <t xml:space="preserve">シムを使わないなら </t>
    </r>
    <r>
      <rPr>
        <sz val="9"/>
        <color rgb="FF8A93A3"/>
        <rFont val="Arial"/>
        <family val="0"/>
        <charset val="1"/>
      </rPr>
      <t xml:space="preserve">0</t>
    </r>
  </si>
  <si>
    <t xml:space="preserve">t1 [m]</t>
  </si>
  <si>
    <r>
      <rPr>
        <sz val="10"/>
        <color rgb="FFE6E8EC"/>
        <rFont val="Arial"/>
        <family val="0"/>
        <charset val="1"/>
      </rPr>
      <t xml:space="preserve">h [m]</t>
    </r>
    <r>
      <rPr>
        <sz val="10"/>
        <color rgb="FFE6E8EC"/>
        <rFont val="Noto Sans CJK SC"/>
        <family val="2"/>
      </rPr>
      <t xml:space="preserve">（＝</t>
    </r>
    <r>
      <rPr>
        <sz val="10"/>
        <color rgb="FFE6E8EC"/>
        <rFont val="Arial"/>
        <family val="0"/>
        <charset val="1"/>
      </rPr>
      <t xml:space="preserve">ts+t1</t>
    </r>
    <r>
      <rPr>
        <sz val="10"/>
        <color rgb="FFE6E8EC"/>
        <rFont val="Noto Sans CJK SC"/>
        <family val="2"/>
      </rPr>
      <t xml:space="preserve">）</t>
    </r>
  </si>
  <si>
    <r>
      <rPr>
        <sz val="10"/>
        <color rgb="FFE6E8EC"/>
        <rFont val="Arial"/>
        <family val="0"/>
        <charset val="1"/>
      </rPr>
      <t xml:space="preserve">ρA [kg/m]</t>
    </r>
    <r>
      <rPr>
        <sz val="10"/>
        <color rgb="FFE6E8EC"/>
        <rFont val="Noto Sans CJK SC"/>
        <family val="2"/>
      </rPr>
      <t xml:space="preserve">（既知）</t>
    </r>
  </si>
  <si>
    <t xml:space="preserve">ρs·w·ts + ρ1·w·t1  🟢</t>
  </si>
  <si>
    <r>
      <rPr>
        <sz val="10"/>
        <color rgb="FFE6E8EC"/>
        <rFont val="Noto Sans CJK SC"/>
        <family val="2"/>
      </rPr>
      <t xml:space="preserve">せん断補正 使う</t>
    </r>
    <r>
      <rPr>
        <sz val="10"/>
        <color rgb="FFE6E8EC"/>
        <rFont val="Arial"/>
        <family val="0"/>
        <charset val="1"/>
      </rPr>
      <t xml:space="preserve">=1 / </t>
    </r>
    <r>
      <rPr>
        <sz val="10"/>
        <color rgb="FFE6E8EC"/>
        <rFont val="Noto Sans CJK SC"/>
        <family val="2"/>
      </rPr>
      <t xml:space="preserve">使わない</t>
    </r>
    <r>
      <rPr>
        <sz val="10"/>
        <color rgb="FFE6E8EC"/>
        <rFont val="Arial"/>
        <family val="0"/>
        <charset val="1"/>
      </rPr>
      <t xml:space="preserve">=0</t>
    </r>
  </si>
  <si>
    <r>
      <rPr>
        <sz val="9"/>
        <color rgb="FF8A93A3"/>
        <rFont val="Noto Sans CJK SC"/>
        <family val="2"/>
      </rPr>
      <t xml:space="preserve">★ 固有振動数シート </t>
    </r>
    <r>
      <rPr>
        <sz val="9"/>
        <color rgb="FF8A93A3"/>
        <rFont val="Arial"/>
        <family val="0"/>
        <charset val="1"/>
      </rPr>
      <t xml:space="preserve">I3 </t>
    </r>
    <r>
      <rPr>
        <sz val="9"/>
        <color rgb="FF8A93A3"/>
        <rFont val="Noto Sans CJK SC"/>
        <family val="2"/>
      </rPr>
      <t xml:space="preserve">と必ず同じ設定にする</t>
    </r>
  </si>
  <si>
    <r>
      <rPr>
        <sz val="10"/>
        <color rgb="FFE6E8EC"/>
        <rFont val="Noto Sans CJK SC"/>
        <family val="2"/>
      </rPr>
      <t xml:space="preserve">ポアソン比 </t>
    </r>
    <r>
      <rPr>
        <sz val="10"/>
        <color rgb="FFE6E8EC"/>
        <rFont val="Arial"/>
        <family val="0"/>
        <charset val="1"/>
      </rPr>
      <t xml:space="preserve">ν</t>
    </r>
  </si>
  <si>
    <r>
      <rPr>
        <sz val="9"/>
        <color rgb="FF8A93A3"/>
        <rFont val="Noto Sans CJK SC"/>
        <family val="2"/>
      </rPr>
      <t xml:space="preserve">鋼が支配的なので </t>
    </r>
    <r>
      <rPr>
        <sz val="9"/>
        <color rgb="FF8A93A3"/>
        <rFont val="Arial"/>
        <family val="0"/>
        <charset val="1"/>
      </rPr>
      <t xml:space="preserve">0.30 </t>
    </r>
    <r>
      <rPr>
        <sz val="9"/>
        <color rgb="FF8A93A3"/>
        <rFont val="Noto Sans CJK SC"/>
        <family val="2"/>
      </rPr>
      <t xml:space="preserve">でよい</t>
    </r>
  </si>
  <si>
    <r>
      <rPr>
        <sz val="10"/>
        <color rgb="FFE6E8EC"/>
        <rFont val="Noto Sans CJK SC"/>
        <family val="2"/>
      </rPr>
      <t xml:space="preserve">回転半径 </t>
    </r>
    <r>
      <rPr>
        <sz val="10"/>
        <color rgb="FFE6E8EC"/>
        <rFont val="Arial"/>
        <family val="0"/>
        <charset val="1"/>
      </rPr>
      <t xml:space="preserve">r [m] </t>
    </r>
    <r>
      <rPr>
        <sz val="10"/>
        <color rgb="FFE6E8EC"/>
        <rFont val="Noto Sans CJK SC"/>
        <family val="2"/>
      </rPr>
      <t xml:space="preserve">＝ </t>
    </r>
    <r>
      <rPr>
        <sz val="10"/>
        <color rgb="FFE6E8EC"/>
        <rFont val="Arial"/>
        <family val="0"/>
        <charset val="1"/>
      </rPr>
      <t xml:space="preserve">h/√12</t>
    </r>
  </si>
  <si>
    <r>
      <rPr>
        <sz val="10"/>
        <color rgb="FFE6E8EC"/>
        <rFont val="Noto Sans CJK SC"/>
        <family val="2"/>
      </rPr>
      <t xml:space="preserve">補正係数 </t>
    </r>
    <r>
      <rPr>
        <sz val="10"/>
        <color rgb="FFE6E8EC"/>
        <rFont val="Arial"/>
        <family val="0"/>
        <charset val="1"/>
      </rPr>
      <t xml:space="preserve">K₁</t>
    </r>
  </si>
  <si>
    <r>
      <rPr>
        <sz val="9"/>
        <color rgb="FF8A93A3"/>
        <rFont val="Arial"/>
        <family val="0"/>
        <charset val="1"/>
      </rPr>
      <t xml:space="preserve">K</t>
    </r>
    <r>
      <rPr>
        <sz val="9"/>
        <color rgb="FF8A93A3"/>
        <rFont val="Noto Sans CJK SC"/>
        <family val="2"/>
      </rPr>
      <t xml:space="preserve">＝</t>
    </r>
    <r>
      <rPr>
        <sz val="9"/>
        <color rgb="FF8A93A3"/>
        <rFont val="Arial"/>
        <family val="0"/>
        <charset val="1"/>
      </rPr>
      <t xml:space="preserve">1+(βL)²(r/L)²(1+E/(κG))  🟡</t>
    </r>
  </si>
  <si>
    <r>
      <rPr>
        <sz val="10"/>
        <color rgb="FFE6E8EC"/>
        <rFont val="Arial"/>
        <family val="0"/>
        <charset val="1"/>
      </rPr>
      <t xml:space="preserve">Euler</t>
    </r>
    <r>
      <rPr>
        <sz val="10"/>
        <color rgb="FFE6E8EC"/>
        <rFont val="Noto Sans CJK SC"/>
        <family val="2"/>
      </rPr>
      <t xml:space="preserve">換算した </t>
    </r>
    <r>
      <rPr>
        <sz val="10"/>
        <color rgb="FFE6E8EC"/>
        <rFont val="Arial"/>
        <family val="0"/>
        <charset val="1"/>
      </rPr>
      <t xml:space="preserve">f₁ [Hz]</t>
    </r>
  </si>
  <si>
    <r>
      <rPr>
        <sz val="9"/>
        <color rgb="FF8A93A3"/>
        <rFont val="Noto Sans CJK SC"/>
        <family val="2"/>
      </rPr>
      <t xml:space="preserve">せん断で下がった分を戻して、</t>
    </r>
    <r>
      <rPr>
        <sz val="9"/>
        <color rgb="FF8A93A3"/>
        <rFont val="Arial"/>
        <family val="0"/>
        <charset val="1"/>
      </rPr>
      <t xml:space="preserve">Euler</t>
    </r>
    <r>
      <rPr>
        <sz val="9"/>
        <color rgb="FF8A93A3"/>
        <rFont val="Noto Sans CJK SC"/>
        <family val="2"/>
      </rPr>
      <t xml:space="preserve">式で扱えるようにする</t>
    </r>
  </si>
  <si>
    <r>
      <rPr>
        <sz val="10"/>
        <color rgb="FFE6E8EC"/>
        <rFont val="Arial"/>
        <family val="0"/>
        <charset val="1"/>
      </rPr>
      <t xml:space="preserve">S </t>
    </r>
    <r>
      <rPr>
        <sz val="10"/>
        <color rgb="FFE6E8EC"/>
        <rFont val="Noto Sans CJK SC"/>
        <family val="2"/>
      </rPr>
      <t xml:space="preserve">＝ </t>
    </r>
    <r>
      <rPr>
        <sz val="10"/>
        <color rgb="FFE6E8EC"/>
        <rFont val="Arial"/>
        <family val="0"/>
        <charset val="1"/>
      </rPr>
      <t xml:space="preserve">EI/ρA [m⁴/s²]</t>
    </r>
  </si>
  <si>
    <r>
      <rPr>
        <sz val="9"/>
        <color rgb="FF8A93A3"/>
        <rFont val="Arial"/>
        <family val="0"/>
        <charset val="1"/>
      </rPr>
      <t xml:space="preserve">S</t>
    </r>
    <r>
      <rPr>
        <sz val="9"/>
        <color rgb="FF8A93A3"/>
        <rFont val="Noto Sans CJK SC"/>
        <family val="2"/>
      </rPr>
      <t xml:space="preserve">＝</t>
    </r>
    <r>
      <rPr>
        <sz val="9"/>
        <color rgb="FF8A93A3"/>
        <rFont val="Arial"/>
        <family val="0"/>
        <charset val="1"/>
      </rPr>
      <t xml:space="preserve">(2π f₁ L²/(βL)₁²)²  ← </t>
    </r>
    <r>
      <rPr>
        <sz val="9"/>
        <color rgb="FF8A93A3"/>
        <rFont val="Noto Sans CJK SC"/>
        <family val="2"/>
      </rPr>
      <t xml:space="preserve">曲げ式の逆解き  🟢</t>
    </r>
  </si>
  <si>
    <r>
      <rPr>
        <sz val="10"/>
        <color rgb="FFE6E8EC"/>
        <rFont val="Noto Sans CJK SC"/>
        <family val="2"/>
      </rPr>
      <t xml:space="preserve">必要な </t>
    </r>
    <r>
      <rPr>
        <sz val="10"/>
        <color rgb="FFE6E8EC"/>
        <rFont val="Arial"/>
        <family val="0"/>
        <charset val="1"/>
      </rPr>
      <t xml:space="preserve">EI [N·m²]</t>
    </r>
  </si>
  <si>
    <t xml:space="preserve">S × ρA</t>
  </si>
  <si>
    <r>
      <rPr>
        <sz val="10"/>
        <color rgb="FFE6E8EC"/>
        <rFont val="Noto Sans CJK SC"/>
        <family val="2"/>
      </rPr>
      <t xml:space="preserve">シムだけの </t>
    </r>
    <r>
      <rPr>
        <sz val="10"/>
        <color rgb="FFE6E8EC"/>
        <rFont val="Arial"/>
        <family val="0"/>
        <charset val="1"/>
      </rPr>
      <t xml:space="preserve">EI [N·m²]</t>
    </r>
  </si>
  <si>
    <r>
      <rPr>
        <sz val="9"/>
        <color rgb="FF8A93A3"/>
        <rFont val="Noto Sans CJK SC"/>
        <family val="2"/>
      </rPr>
      <t xml:space="preserve">これより必要</t>
    </r>
    <r>
      <rPr>
        <sz val="9"/>
        <color rgb="FF8A93A3"/>
        <rFont val="Arial"/>
        <family val="0"/>
        <charset val="1"/>
      </rPr>
      <t xml:space="preserve">EI</t>
    </r>
    <r>
      <rPr>
        <sz val="9"/>
        <color rgb="FF8A93A3"/>
        <rFont val="Noto Sans CJK SC"/>
        <family val="2"/>
      </rPr>
      <t xml:space="preserve">が小さいと解なし</t>
    </r>
  </si>
  <si>
    <t xml:space="preserve">解の有無</t>
  </si>
  <si>
    <r>
      <rPr>
        <b val="true"/>
        <sz val="12"/>
        <color rgb="FF7DB4FF"/>
        <rFont val="Arial"/>
        <family val="0"/>
        <charset val="1"/>
      </rPr>
      <t xml:space="preserve">■ STEP 4</t>
    </r>
    <r>
      <rPr>
        <b val="true"/>
        <sz val="12"/>
        <color rgb="FF7DB4FF"/>
        <rFont val="Noto Sans CJK SC"/>
        <family val="2"/>
      </rPr>
      <t xml:space="preserve">：二分法で 裏板ヤング率 </t>
    </r>
    <r>
      <rPr>
        <b val="true"/>
        <sz val="12"/>
        <color rgb="FF7DB4FF"/>
        <rFont val="Arial"/>
        <family val="0"/>
        <charset val="1"/>
      </rPr>
      <t xml:space="preserve">E₁ </t>
    </r>
    <r>
      <rPr>
        <b val="true"/>
        <sz val="12"/>
        <color rgb="FF7DB4FF"/>
        <rFont val="Noto Sans CJK SC"/>
        <family val="2"/>
      </rPr>
      <t xml:space="preserve">を探す（</t>
    </r>
    <r>
      <rPr>
        <b val="true"/>
        <sz val="12"/>
        <color rgb="FF7DB4FF"/>
        <rFont val="Arial"/>
        <family val="0"/>
        <charset val="1"/>
      </rPr>
      <t xml:space="preserve">40</t>
    </r>
    <r>
      <rPr>
        <b val="true"/>
        <sz val="12"/>
        <color rgb="FF7DB4FF"/>
        <rFont val="Noto Sans CJK SC"/>
        <family val="2"/>
      </rPr>
      <t xml:space="preserve">回・自動／マクロ不要）</t>
    </r>
  </si>
  <si>
    <t xml:space="preserve">回</t>
  </si>
  <si>
    <r>
      <rPr>
        <b val="true"/>
        <sz val="9"/>
        <color rgb="FFE6E8EC"/>
        <rFont val="Noto Sans CJK SC"/>
        <family val="2"/>
      </rPr>
      <t xml:space="preserve">下限 </t>
    </r>
    <r>
      <rPr>
        <b val="true"/>
        <sz val="9"/>
        <color rgb="FFE6E8EC"/>
        <rFont val="Arial"/>
        <family val="0"/>
        <charset val="1"/>
      </rPr>
      <t xml:space="preserve">lo [GPa]</t>
    </r>
  </si>
  <si>
    <r>
      <rPr>
        <b val="true"/>
        <sz val="9"/>
        <color rgb="FFE6E8EC"/>
        <rFont val="Noto Sans CJK SC"/>
        <family val="2"/>
      </rPr>
      <t xml:space="preserve">上限 </t>
    </r>
    <r>
      <rPr>
        <b val="true"/>
        <sz val="9"/>
        <color rgb="FFE6E8EC"/>
        <rFont val="Arial"/>
        <family val="0"/>
        <charset val="1"/>
      </rPr>
      <t xml:space="preserve">hi [GPa]</t>
    </r>
  </si>
  <si>
    <r>
      <rPr>
        <b val="true"/>
        <sz val="9"/>
        <color rgb="FFE6E8EC"/>
        <rFont val="Noto Sans CJK SC"/>
        <family val="2"/>
      </rPr>
      <t xml:space="preserve">中点 </t>
    </r>
    <r>
      <rPr>
        <b val="true"/>
        <sz val="9"/>
        <color rgb="FFE6E8EC"/>
        <rFont val="Arial"/>
        <family val="0"/>
        <charset val="1"/>
      </rPr>
      <t xml:space="preserve">mid [GPa]</t>
    </r>
  </si>
  <si>
    <t xml:space="preserve">Es·As [N]</t>
  </si>
  <si>
    <t xml:space="preserve">E1·A1 [N]</t>
  </si>
  <si>
    <r>
      <rPr>
        <b val="true"/>
        <sz val="9"/>
        <color rgb="FFE6E8EC"/>
        <rFont val="Noto Sans CJK SC"/>
        <family val="2"/>
      </rPr>
      <t xml:space="preserve">中立軸 </t>
    </r>
    <r>
      <rPr>
        <b val="true"/>
        <sz val="9"/>
        <color rgb="FFE6E8EC"/>
        <rFont val="Arial"/>
        <family val="0"/>
        <charset val="1"/>
      </rPr>
      <t xml:space="preserve">ȳ [m]</t>
    </r>
  </si>
  <si>
    <t xml:space="preserve">EI(mid) [N·m²]</t>
  </si>
  <si>
    <r>
      <rPr>
        <b val="true"/>
        <sz val="9"/>
        <color rgb="FFE6E8EC"/>
        <rFont val="Arial"/>
        <family val="0"/>
        <charset val="1"/>
      </rPr>
      <t xml:space="preserve">EI(mid)−</t>
    </r>
    <r>
      <rPr>
        <b val="true"/>
        <sz val="9"/>
        <color rgb="FFE6E8EC"/>
        <rFont val="Noto Sans CJK SC"/>
        <family val="2"/>
      </rPr>
      <t xml:space="preserve">必要</t>
    </r>
    <r>
      <rPr>
        <b val="true"/>
        <sz val="9"/>
        <color rgb="FFE6E8EC"/>
        <rFont val="Arial"/>
        <family val="0"/>
        <charset val="1"/>
      </rPr>
      <t xml:space="preserve">EI</t>
    </r>
  </si>
  <si>
    <r>
      <rPr>
        <b val="true"/>
        <sz val="12"/>
        <color rgb="FF7DB4FF"/>
        <rFont val="Arial"/>
        <family val="0"/>
        <charset val="1"/>
      </rPr>
      <t xml:space="preserve">■ STEP 5</t>
    </r>
    <r>
      <rPr>
        <b val="true"/>
        <sz val="12"/>
        <color rgb="FF7DB4FF"/>
        <rFont val="Noto Sans CJK SC"/>
        <family val="2"/>
      </rPr>
      <t xml:space="preserve">：結果</t>
    </r>
  </si>
  <si>
    <r>
      <rPr>
        <sz val="10"/>
        <color rgb="FFE6E8EC"/>
        <rFont val="Noto Sans CJK SC"/>
        <family val="2"/>
      </rPr>
      <t xml:space="preserve">★ 逆算された 裏板 </t>
    </r>
    <r>
      <rPr>
        <sz val="10"/>
        <color rgb="FFE6E8EC"/>
        <rFont val="Arial"/>
        <family val="0"/>
        <charset val="1"/>
      </rPr>
      <t xml:space="preserve">E₁ [GPa]</t>
    </r>
  </si>
  <si>
    <r>
      <rPr>
        <sz val="9"/>
        <color rgb="FF8A93A3"/>
        <rFont val="Noto Sans CJK SC"/>
        <family val="2"/>
      </rPr>
      <t xml:space="preserve">これが答え。材料</t>
    </r>
    <r>
      <rPr>
        <sz val="9"/>
        <color rgb="FF8A93A3"/>
        <rFont val="Arial"/>
        <family val="0"/>
        <charset val="1"/>
      </rPr>
      <t xml:space="preserve">DB</t>
    </r>
    <r>
      <rPr>
        <sz val="9"/>
        <color rgb="FF8A93A3"/>
        <rFont val="Noto Sans CJK SC"/>
        <family val="2"/>
      </rPr>
      <t xml:space="preserve">に登録して順算に使う</t>
    </r>
  </si>
  <si>
    <r>
      <rPr>
        <sz val="10"/>
        <color rgb="FFE6E8EC"/>
        <rFont val="Noto Sans CJK SC"/>
        <family val="2"/>
      </rPr>
      <t xml:space="preserve">収束チェック 残差 </t>
    </r>
    <r>
      <rPr>
        <sz val="10"/>
        <color rgb="FFE6E8EC"/>
        <rFont val="Arial"/>
        <family val="0"/>
        <charset val="1"/>
      </rPr>
      <t xml:space="preserve">[N·m²]</t>
    </r>
  </si>
  <si>
    <r>
      <rPr>
        <sz val="9"/>
        <color rgb="FF8A93A3"/>
        <rFont val="Arial"/>
        <family val="0"/>
        <charset val="1"/>
      </rPr>
      <t xml:space="preserve">0</t>
    </r>
    <r>
      <rPr>
        <sz val="9"/>
        <color rgb="FF8A93A3"/>
        <rFont val="Noto Sans CJK SC"/>
        <family val="2"/>
      </rPr>
      <t xml:space="preserve">に十分近ければ</t>
    </r>
    <r>
      <rPr>
        <sz val="9"/>
        <color rgb="FF8A93A3"/>
        <rFont val="Arial"/>
        <family val="0"/>
        <charset val="1"/>
      </rPr>
      <t xml:space="preserve">OK</t>
    </r>
  </si>
  <si>
    <r>
      <rPr>
        <sz val="10"/>
        <color rgb="FFE6E8EC"/>
        <rFont val="Noto Sans CJK SC"/>
        <family val="2"/>
      </rPr>
      <t xml:space="preserve">収束チェック 相対 </t>
    </r>
    <r>
      <rPr>
        <sz val="10"/>
        <color rgb="FFE6E8EC"/>
        <rFont val="Arial"/>
        <family val="0"/>
        <charset val="1"/>
      </rPr>
      <t xml:space="preserve">[%]</t>
    </r>
  </si>
  <si>
    <r>
      <rPr>
        <sz val="9"/>
        <color rgb="FF8A93A3"/>
        <rFont val="Arial"/>
        <family val="0"/>
        <charset val="1"/>
      </rPr>
      <t xml:space="preserve">0.001%</t>
    </r>
    <r>
      <rPr>
        <sz val="9"/>
        <color rgb="FF8A93A3"/>
        <rFont val="Noto Sans CJK SC"/>
        <family val="2"/>
      </rPr>
      <t xml:space="preserve">未満なら収束</t>
    </r>
  </si>
  <si>
    <t xml:space="preserve">収束 判定</t>
  </si>
  <si>
    <r>
      <rPr>
        <sz val="10"/>
        <color rgb="FFE6E8EC"/>
        <rFont val="Noto Sans CJK SC"/>
        <family val="2"/>
      </rPr>
      <t xml:space="preserve">直接式による </t>
    </r>
    <r>
      <rPr>
        <sz val="10"/>
        <color rgb="FFE6E8EC"/>
        <rFont val="Arial"/>
        <family val="0"/>
        <charset val="1"/>
      </rPr>
      <t xml:space="preserve">E_eq [GPa]</t>
    </r>
    <r>
      <rPr>
        <sz val="10"/>
        <color rgb="FFE6E8EC"/>
        <rFont val="Noto Sans CJK SC"/>
        <family val="2"/>
      </rPr>
      <t xml:space="preserve">（シム無しなら厳密）</t>
    </r>
  </si>
  <si>
    <r>
      <rPr>
        <sz val="9"/>
        <color rgb="FF8A93A3"/>
        <rFont val="Arial"/>
        <family val="0"/>
        <charset val="1"/>
      </rPr>
      <t xml:space="preserve">E</t>
    </r>
    <r>
      <rPr>
        <sz val="9"/>
        <color rgb="FF8A93A3"/>
        <rFont val="Noto Sans CJK SC"/>
        <family val="2"/>
      </rPr>
      <t xml:space="preserve">＝</t>
    </r>
    <r>
      <rPr>
        <sz val="9"/>
        <color rgb="FF8A93A3"/>
        <rFont val="Arial"/>
        <family val="0"/>
        <charset val="1"/>
      </rPr>
      <t xml:space="preserve">12·S·ρ/h²</t>
    </r>
    <r>
      <rPr>
        <sz val="9"/>
        <color rgb="FF8A93A3"/>
        <rFont val="Noto Sans CJK SC"/>
        <family val="2"/>
      </rPr>
      <t xml:space="preserve">。二分法の答え合わせに使う  🟢</t>
    </r>
  </si>
  <si>
    <r>
      <rPr>
        <sz val="10"/>
        <color rgb="FFE6E8EC"/>
        <rFont val="Noto Sans CJK SC"/>
        <family val="2"/>
      </rPr>
      <t xml:space="preserve">参考：√</t>
    </r>
    <r>
      <rPr>
        <sz val="10"/>
        <color rgb="FFE6E8EC"/>
        <rFont val="Arial"/>
        <family val="0"/>
        <charset val="1"/>
      </rPr>
      <t xml:space="preserve">(E/ρ) [m/s]</t>
    </r>
  </si>
  <si>
    <r>
      <rPr>
        <sz val="9"/>
        <color rgb="FF8A93A3"/>
        <rFont val="Noto Sans CJK SC"/>
        <family val="2"/>
      </rPr>
      <t xml:space="preserve">棒の中の音速に相当。鋼なら約</t>
    </r>
    <r>
      <rPr>
        <sz val="9"/>
        <color rgb="FF8A93A3"/>
        <rFont val="Arial"/>
        <family val="0"/>
        <charset val="1"/>
      </rPr>
      <t xml:space="preserve">5100 m/s</t>
    </r>
  </si>
  <si>
    <r>
      <rPr>
        <sz val="10"/>
        <color rgb="FFE6E8EC"/>
        <rFont val="Noto Sans CJK SC"/>
        <family val="2"/>
      </rPr>
      <t xml:space="preserve">検算：この </t>
    </r>
    <r>
      <rPr>
        <sz val="10"/>
        <color rgb="FFE6E8EC"/>
        <rFont val="Arial"/>
        <family val="0"/>
        <charset val="1"/>
      </rPr>
      <t xml:space="preserve">E₁ </t>
    </r>
    <r>
      <rPr>
        <sz val="10"/>
        <color rgb="FFE6E8EC"/>
        <rFont val="Noto Sans CJK SC"/>
        <family val="2"/>
      </rPr>
      <t xml:space="preserve">での </t>
    </r>
    <r>
      <rPr>
        <sz val="10"/>
        <color rgb="FFE6E8EC"/>
        <rFont val="Arial"/>
        <family val="0"/>
        <charset val="1"/>
      </rPr>
      <t xml:space="preserve">f₁ [Hz]</t>
    </r>
  </si>
  <si>
    <r>
      <rPr>
        <sz val="9"/>
        <color rgb="FF8A93A3"/>
        <rFont val="Noto Sans CJK SC"/>
        <family val="2"/>
      </rPr>
      <t xml:space="preserve">実測 </t>
    </r>
    <r>
      <rPr>
        <sz val="9"/>
        <color rgb="FF8A93A3"/>
        <rFont val="Arial"/>
        <family val="0"/>
        <charset val="1"/>
      </rPr>
      <t xml:space="preserve">f₁ </t>
    </r>
    <r>
      <rPr>
        <sz val="9"/>
        <color rgb="FF8A93A3"/>
        <rFont val="Noto Sans CJK SC"/>
        <family val="2"/>
      </rPr>
      <t xml:space="preserve">と一致するはず</t>
    </r>
  </si>
  <si>
    <r>
      <rPr>
        <sz val="10"/>
        <color rgb="FFE6E8EC"/>
        <rFont val="Noto Sans CJK SC"/>
        <family val="2"/>
      </rPr>
      <t xml:space="preserve">検算：</t>
    </r>
    <r>
      <rPr>
        <sz val="10"/>
        <color rgb="FFE6E8EC"/>
        <rFont val="Arial"/>
        <family val="0"/>
        <charset val="1"/>
      </rPr>
      <t xml:space="preserve">f₁ </t>
    </r>
    <r>
      <rPr>
        <sz val="10"/>
        <color rgb="FFE6E8EC"/>
        <rFont val="Noto Sans CJK SC"/>
        <family val="2"/>
      </rPr>
      <t xml:space="preserve">の誤差 </t>
    </r>
    <r>
      <rPr>
        <sz val="10"/>
        <color rgb="FFE6E8EC"/>
        <rFont val="Arial"/>
        <family val="0"/>
        <charset val="1"/>
      </rPr>
      <t xml:space="preserve">[%]</t>
    </r>
  </si>
  <si>
    <r>
      <rPr>
        <sz val="9"/>
        <color rgb="FF8A93A3"/>
        <rFont val="Arial"/>
        <family val="0"/>
        <charset val="1"/>
      </rPr>
      <t xml:space="preserve">±0.01%</t>
    </r>
    <r>
      <rPr>
        <sz val="9"/>
        <color rgb="FF8A93A3"/>
        <rFont val="Noto Sans CJK SC"/>
        <family val="2"/>
      </rPr>
      <t xml:space="preserve">以内なら成功</t>
    </r>
  </si>
  <si>
    <r>
      <rPr>
        <sz val="10"/>
        <color rgb="FFE6E8EC"/>
        <rFont val="Noto Sans CJK SC"/>
        <family val="2"/>
      </rPr>
      <t xml:space="preserve">検算：この </t>
    </r>
    <r>
      <rPr>
        <sz val="10"/>
        <color rgb="FFE6E8EC"/>
        <rFont val="Arial"/>
        <family val="0"/>
        <charset val="1"/>
      </rPr>
      <t xml:space="preserve">E₁ </t>
    </r>
    <r>
      <rPr>
        <sz val="10"/>
        <color rgb="FFE6E8EC"/>
        <rFont val="Noto Sans CJK SC"/>
        <family val="2"/>
      </rPr>
      <t xml:space="preserve">での </t>
    </r>
    <r>
      <rPr>
        <sz val="10"/>
        <color rgb="FFE6E8EC"/>
        <rFont val="Arial"/>
        <family val="0"/>
        <charset val="1"/>
      </rPr>
      <t xml:space="preserve">f₂ [Hz]</t>
    </r>
  </si>
  <si>
    <r>
      <rPr>
        <sz val="9"/>
        <color rgb="FF8A93A3"/>
        <rFont val="Noto Sans CJK SC"/>
        <family val="2"/>
      </rPr>
      <t xml:space="preserve">実測</t>
    </r>
    <r>
      <rPr>
        <sz val="9"/>
        <color rgb="FF8A93A3"/>
        <rFont val="Arial"/>
        <family val="0"/>
        <charset val="1"/>
      </rPr>
      <t xml:space="preserve">f₂</t>
    </r>
    <r>
      <rPr>
        <sz val="9"/>
        <color rgb="FF8A93A3"/>
        <rFont val="Noto Sans CJK SC"/>
        <family val="2"/>
      </rPr>
      <t xml:space="preserve">と比べる（合わなければモデルの限界）</t>
    </r>
  </si>
  <si>
    <r>
      <rPr>
        <sz val="10"/>
        <color rgb="FFE6E8EC"/>
        <rFont val="Arial"/>
        <family val="0"/>
        <charset val="1"/>
      </rPr>
      <t xml:space="preserve">f₂ </t>
    </r>
    <r>
      <rPr>
        <sz val="10"/>
        <color rgb="FFE6E8EC"/>
        <rFont val="Noto Sans CJK SC"/>
        <family val="2"/>
      </rPr>
      <t xml:space="preserve">の誤差 </t>
    </r>
    <r>
      <rPr>
        <sz val="10"/>
        <color rgb="FFE6E8EC"/>
        <rFont val="Arial"/>
        <family val="0"/>
        <charset val="1"/>
      </rPr>
      <t xml:space="preserve">[%]</t>
    </r>
  </si>
  <si>
    <r>
      <rPr>
        <sz val="9"/>
        <color rgb="FF8A93A3"/>
        <rFont val="Arial"/>
        <family val="0"/>
        <charset val="1"/>
      </rPr>
      <t xml:space="preserve">±10%</t>
    </r>
    <r>
      <rPr>
        <sz val="9"/>
        <color rgb="FF8A93A3"/>
        <rFont val="Noto Sans CJK SC"/>
        <family val="2"/>
      </rPr>
      <t xml:space="preserve">以内なら実用上</t>
    </r>
    <r>
      <rPr>
        <sz val="9"/>
        <color rgb="FF8A93A3"/>
        <rFont val="Arial"/>
        <family val="0"/>
        <charset val="1"/>
      </rPr>
      <t xml:space="preserve">OK 🟡</t>
    </r>
  </si>
  <si>
    <r>
      <rPr>
        <b val="true"/>
        <sz val="12"/>
        <color rgb="FF7DB4FF"/>
        <rFont val="Arial"/>
        <family val="0"/>
        <charset val="1"/>
      </rPr>
      <t xml:space="preserve">■ STEP 6</t>
    </r>
    <r>
      <rPr>
        <b val="true"/>
        <sz val="12"/>
        <color rgb="FF7DB4FF"/>
        <rFont val="Noto Sans CJK SC"/>
        <family val="2"/>
      </rPr>
      <t xml:space="preserve">：形状補正係数 </t>
    </r>
    <r>
      <rPr>
        <b val="true"/>
        <sz val="12"/>
        <color rgb="FF7DB4FF"/>
        <rFont val="Arial"/>
        <family val="0"/>
        <charset val="1"/>
      </rPr>
      <t xml:space="preserve">α</t>
    </r>
    <r>
      <rPr>
        <b val="true"/>
        <sz val="12"/>
        <color rgb="FF7DB4FF"/>
        <rFont val="Noto Sans CJK SC"/>
        <family val="2"/>
      </rPr>
      <t xml:space="preserve">（モデルを現物に合わせ込む・実務ではこれが本命）</t>
    </r>
  </si>
  <si>
    <r>
      <rPr>
        <sz val="9.5"/>
        <color rgb="FFB9C1D1"/>
        <rFont val="Noto Sans CJK SC"/>
        <family val="2"/>
      </rPr>
      <t xml:space="preserve">はり近似では耳・爪・穴の効果を出し切れません。そこで「予測に掛ければ実測になる係数 </t>
    </r>
    <r>
      <rPr>
        <sz val="9.5"/>
        <color rgb="FFB9C1D1"/>
        <rFont val="Arial"/>
        <family val="0"/>
        <charset val="1"/>
      </rPr>
      <t xml:space="preserve">α</t>
    </r>
    <r>
      <rPr>
        <sz val="9.5"/>
        <color rgb="FFB9C1D1"/>
        <rFont val="Noto Sans CJK SC"/>
        <family val="2"/>
      </rPr>
      <t xml:space="preserve">」を各モードで出し、平均を取って以後の予測に掛けます。</t>
    </r>
  </si>
  <si>
    <t xml:space="preserve">モード</t>
  </si>
  <si>
    <r>
      <rPr>
        <b val="true"/>
        <sz val="9"/>
        <color rgb="FFE6E8EC"/>
        <rFont val="Noto Sans CJK SC"/>
        <family val="2"/>
      </rPr>
      <t xml:space="preserve">予測 </t>
    </r>
    <r>
      <rPr>
        <b val="true"/>
        <sz val="9"/>
        <color rgb="FFE6E8EC"/>
        <rFont val="Arial"/>
        <family val="0"/>
        <charset val="1"/>
      </rPr>
      <t xml:space="preserve">f [Hz]</t>
    </r>
  </si>
  <si>
    <r>
      <rPr>
        <b val="true"/>
        <sz val="9"/>
        <color rgb="FFE6E8EC"/>
        <rFont val="Arial"/>
        <family val="0"/>
        <charset val="1"/>
      </rPr>
      <t xml:space="preserve">α </t>
    </r>
    <r>
      <rPr>
        <b val="true"/>
        <sz val="9"/>
        <color rgb="FFE6E8EC"/>
        <rFont val="Noto Sans CJK SC"/>
        <family val="2"/>
      </rPr>
      <t xml:space="preserve">＝ 実測 </t>
    </r>
    <r>
      <rPr>
        <b val="true"/>
        <sz val="9"/>
        <color rgb="FFE6E8EC"/>
        <rFont val="Arial"/>
        <family val="0"/>
        <charset val="1"/>
      </rPr>
      <t xml:space="preserve">÷ </t>
    </r>
    <r>
      <rPr>
        <b val="true"/>
        <sz val="9"/>
        <color rgb="FFE6E8EC"/>
        <rFont val="Noto Sans CJK SC"/>
        <family val="2"/>
      </rPr>
      <t xml:space="preserve">予測</t>
    </r>
  </si>
  <si>
    <r>
      <rPr>
        <sz val="9"/>
        <color rgb="FF8A93A3"/>
        <rFont val="Noto Sans CJK SC"/>
        <family val="2"/>
      </rPr>
      <t xml:space="preserve">面外曲げ </t>
    </r>
    <r>
      <rPr>
        <sz val="9"/>
        <color rgb="FF8A93A3"/>
        <rFont val="Arial"/>
        <family val="0"/>
        <charset val="1"/>
      </rPr>
      <t xml:space="preserve">1</t>
    </r>
    <r>
      <rPr>
        <sz val="9"/>
        <color rgb="FF8A93A3"/>
        <rFont val="Noto Sans CJK SC"/>
        <family val="2"/>
      </rPr>
      <t xml:space="preserve">次</t>
    </r>
  </si>
  <si>
    <r>
      <rPr>
        <sz val="9"/>
        <color rgb="FF8A93A3"/>
        <rFont val="Noto Sans CJK SC"/>
        <family val="2"/>
      </rPr>
      <t xml:space="preserve">面外曲げ </t>
    </r>
    <r>
      <rPr>
        <sz val="9"/>
        <color rgb="FF8A93A3"/>
        <rFont val="Arial"/>
        <family val="0"/>
        <charset val="1"/>
      </rPr>
      <t xml:space="preserve">2</t>
    </r>
    <r>
      <rPr>
        <sz val="9"/>
        <color rgb="FF8A93A3"/>
        <rFont val="Noto Sans CJK SC"/>
        <family val="2"/>
      </rPr>
      <t xml:space="preserve">次</t>
    </r>
  </si>
  <si>
    <r>
      <rPr>
        <sz val="9"/>
        <color rgb="FF8A93A3"/>
        <rFont val="Noto Sans CJK SC"/>
        <family val="2"/>
      </rPr>
      <t xml:space="preserve">面外曲げ </t>
    </r>
    <r>
      <rPr>
        <sz val="9"/>
        <color rgb="FF8A93A3"/>
        <rFont val="Arial"/>
        <family val="0"/>
        <charset val="1"/>
      </rPr>
      <t xml:space="preserve">3</t>
    </r>
    <r>
      <rPr>
        <sz val="9"/>
        <color rgb="FF8A93A3"/>
        <rFont val="Noto Sans CJK SC"/>
        <family val="2"/>
      </rPr>
      <t xml:space="preserve">次</t>
    </r>
  </si>
  <si>
    <r>
      <rPr>
        <sz val="9"/>
        <color rgb="FF8A93A3"/>
        <rFont val="Noto Sans CJK SC"/>
        <family val="2"/>
      </rPr>
      <t xml:space="preserve">面外曲げ </t>
    </r>
    <r>
      <rPr>
        <sz val="9"/>
        <color rgb="FF8A93A3"/>
        <rFont val="Arial"/>
        <family val="0"/>
        <charset val="1"/>
      </rPr>
      <t xml:space="preserve">4</t>
    </r>
    <r>
      <rPr>
        <sz val="9"/>
        <color rgb="FF8A93A3"/>
        <rFont val="Noto Sans CJK SC"/>
        <family val="2"/>
      </rPr>
      <t xml:space="preserve">次</t>
    </r>
  </si>
  <si>
    <r>
      <rPr>
        <sz val="9"/>
        <color rgb="FF8A93A3"/>
        <rFont val="Noto Sans CJK SC"/>
        <family val="2"/>
      </rPr>
      <t xml:space="preserve">面外曲げ </t>
    </r>
    <r>
      <rPr>
        <sz val="9"/>
        <color rgb="FF8A93A3"/>
        <rFont val="Arial"/>
        <family val="0"/>
        <charset val="1"/>
      </rPr>
      <t xml:space="preserve">5</t>
    </r>
    <r>
      <rPr>
        <sz val="9"/>
        <color rgb="FF8A93A3"/>
        <rFont val="Noto Sans CJK SC"/>
        <family val="2"/>
      </rPr>
      <t xml:space="preserve">次</t>
    </r>
  </si>
  <si>
    <r>
      <rPr>
        <b val="true"/>
        <sz val="10"/>
        <color rgb="FFE6E8EC"/>
        <rFont val="Noto Sans CJK SC"/>
        <family val="2"/>
      </rPr>
      <t xml:space="preserve">平均 </t>
    </r>
    <r>
      <rPr>
        <b val="true"/>
        <sz val="10"/>
        <color rgb="FFE6E8EC"/>
        <rFont val="Arial"/>
        <family val="0"/>
        <charset val="1"/>
      </rPr>
      <t xml:space="preserve">α</t>
    </r>
  </si>
  <si>
    <r>
      <rPr>
        <sz val="10"/>
        <color rgb="FFE6E8EC"/>
        <rFont val="Arial"/>
        <family val="0"/>
        <charset val="1"/>
      </rPr>
      <t xml:space="preserve">α </t>
    </r>
    <r>
      <rPr>
        <sz val="10"/>
        <color rgb="FFE6E8EC"/>
        <rFont val="Noto Sans CJK SC"/>
        <family val="2"/>
      </rPr>
      <t xml:space="preserve">のばらつき（標準偏差</t>
    </r>
    <r>
      <rPr>
        <sz val="10"/>
        <color rgb="FFE6E8EC"/>
        <rFont val="Arial"/>
        <family val="0"/>
        <charset val="1"/>
      </rPr>
      <t xml:space="preserve">÷</t>
    </r>
    <r>
      <rPr>
        <sz val="10"/>
        <color rgb="FFE6E8EC"/>
        <rFont val="Noto Sans CJK SC"/>
        <family val="2"/>
      </rPr>
      <t xml:space="preserve">平均）</t>
    </r>
  </si>
  <si>
    <t xml:space="preserve">判定</t>
  </si>
  <si>
    <t xml:space="preserve">■ 逆算のコツ・よくあるミス</t>
  </si>
  <si>
    <r>
      <rPr>
        <sz val="9.5"/>
        <color rgb="FFB9C1D1"/>
        <rFont val="Noto Sans CJK SC"/>
        <family val="2"/>
      </rPr>
      <t xml:space="preserve">① まず </t>
    </r>
    <r>
      <rPr>
        <sz val="9.5"/>
        <color rgb="FFB9C1D1"/>
        <rFont val="Arial"/>
        <family val="0"/>
        <charset val="1"/>
      </rPr>
      <t xml:space="preserve">STEP1 </t>
    </r>
    <r>
      <rPr>
        <sz val="9.5"/>
        <color rgb="FFB9C1D1"/>
        <rFont val="Noto Sans CJK SC"/>
        <family val="2"/>
      </rPr>
      <t xml:space="preserve">の「ずれ</t>
    </r>
    <r>
      <rPr>
        <sz val="9.5"/>
        <color rgb="FFB9C1D1"/>
        <rFont val="Arial"/>
        <family val="0"/>
        <charset val="1"/>
      </rPr>
      <t xml:space="preserve">[%]</t>
    </r>
    <r>
      <rPr>
        <sz val="9.5"/>
        <color rgb="FFB9C1D1"/>
        <rFont val="Noto Sans CJK SC"/>
        <family val="2"/>
      </rPr>
      <t xml:space="preserve">」を見る。</t>
    </r>
    <r>
      <rPr>
        <sz val="9.5"/>
        <color rgb="FFB9C1D1"/>
        <rFont val="Arial"/>
        <family val="0"/>
        <charset val="1"/>
      </rPr>
      <t xml:space="preserve">5%</t>
    </r>
    <r>
      <rPr>
        <sz val="9.5"/>
        <color rgb="FFB9C1D1"/>
        <rFont val="Noto Sans CJK SC"/>
        <family val="2"/>
      </rPr>
      <t xml:space="preserve">以内でなければ、その実測ピークは面外曲げではありません（ねじり・面内が混ざっている）。</t>
    </r>
  </si>
  <si>
    <r>
      <rPr>
        <sz val="9.5"/>
        <color rgb="FFB9C1D1"/>
        <rFont val="Noto Sans CJK SC"/>
        <family val="2"/>
      </rPr>
      <t xml:space="preserve">② 裏板の厚さ </t>
    </r>
    <r>
      <rPr>
        <sz val="9.5"/>
        <color rgb="FFB9C1D1"/>
        <rFont val="Arial"/>
        <family val="0"/>
        <charset val="1"/>
      </rPr>
      <t xml:space="preserve">t1 </t>
    </r>
    <r>
      <rPr>
        <sz val="9.5"/>
        <color rgb="FFB9C1D1"/>
        <rFont val="Noto Sans CJK SC"/>
        <family val="2"/>
      </rPr>
      <t xml:space="preserve">の誤差が一番効く。</t>
    </r>
    <r>
      <rPr>
        <sz val="9.5"/>
        <color rgb="FFB9C1D1"/>
        <rFont val="Arial"/>
        <family val="0"/>
        <charset val="1"/>
      </rPr>
      <t xml:space="preserve">EI ∝ t1³ </t>
    </r>
    <r>
      <rPr>
        <sz val="9.5"/>
        <color rgb="FFB9C1D1"/>
        <rFont val="Noto Sans CJK SC"/>
        <family val="2"/>
      </rPr>
      <t xml:space="preserve">なので </t>
    </r>
    <r>
      <rPr>
        <sz val="9.5"/>
        <color rgb="FFB9C1D1"/>
        <rFont val="Arial"/>
        <family val="0"/>
        <charset val="1"/>
      </rPr>
      <t xml:space="preserve">t1 </t>
    </r>
    <r>
      <rPr>
        <sz val="9.5"/>
        <color rgb="FFB9C1D1"/>
        <rFont val="Noto Sans CJK SC"/>
        <family val="2"/>
      </rPr>
      <t xml:space="preserve">が </t>
    </r>
    <r>
      <rPr>
        <sz val="9.5"/>
        <color rgb="FFB9C1D1"/>
        <rFont val="Arial"/>
        <family val="0"/>
        <charset val="1"/>
      </rPr>
      <t xml:space="preserve">2% </t>
    </r>
    <r>
      <rPr>
        <sz val="9.5"/>
        <color rgb="FFB9C1D1"/>
        <rFont val="Noto Sans CJK SC"/>
        <family val="2"/>
      </rPr>
      <t xml:space="preserve">ずれると </t>
    </r>
    <r>
      <rPr>
        <sz val="9.5"/>
        <color rgb="FFB9C1D1"/>
        <rFont val="Arial"/>
        <family val="0"/>
        <charset val="1"/>
      </rPr>
      <t xml:space="preserve">EI </t>
    </r>
    <r>
      <rPr>
        <sz val="9.5"/>
        <color rgb="FFB9C1D1"/>
        <rFont val="Noto Sans CJK SC"/>
        <family val="2"/>
      </rPr>
      <t xml:space="preserve">は </t>
    </r>
    <r>
      <rPr>
        <sz val="9.5"/>
        <color rgb="FFB9C1D1"/>
        <rFont val="Arial"/>
        <family val="0"/>
        <charset val="1"/>
      </rPr>
      <t xml:space="preserve">6% </t>
    </r>
    <r>
      <rPr>
        <sz val="9.5"/>
        <color rgb="FFB9C1D1"/>
        <rFont val="Noto Sans CJK SC"/>
        <family val="2"/>
      </rPr>
      <t xml:space="preserve">ずれ、</t>
    </r>
    <r>
      <rPr>
        <sz val="9.5"/>
        <color rgb="FFB9C1D1"/>
        <rFont val="Arial"/>
        <family val="0"/>
        <charset val="1"/>
      </rPr>
      <t xml:space="preserve">E </t>
    </r>
    <r>
      <rPr>
        <sz val="9.5"/>
        <color rgb="FFB9C1D1"/>
        <rFont val="Noto Sans CJK SC"/>
        <family val="2"/>
      </rPr>
      <t xml:space="preserve">の逆算値も </t>
    </r>
    <r>
      <rPr>
        <sz val="9.5"/>
        <color rgb="FFB9C1D1"/>
        <rFont val="Arial"/>
        <family val="0"/>
        <charset val="1"/>
      </rPr>
      <t xml:space="preserve">6% </t>
    </r>
    <r>
      <rPr>
        <sz val="9.5"/>
        <color rgb="FFB9C1D1"/>
        <rFont val="Noto Sans CJK SC"/>
        <family val="2"/>
      </rPr>
      <t xml:space="preserve">ずれます。</t>
    </r>
  </si>
  <si>
    <r>
      <rPr>
        <sz val="9.5"/>
        <color rgb="FFB9C1D1"/>
        <rFont val="Noto Sans CJK SC"/>
        <family val="2"/>
      </rPr>
      <t xml:space="preserve">③ 密度 </t>
    </r>
    <r>
      <rPr>
        <sz val="9.5"/>
        <color rgb="FFB9C1D1"/>
        <rFont val="Arial"/>
        <family val="0"/>
        <charset val="1"/>
      </rPr>
      <t xml:space="preserve">ρ1 </t>
    </r>
    <r>
      <rPr>
        <sz val="9.5"/>
        <color rgb="FFB9C1D1"/>
        <rFont val="Noto Sans CJK SC"/>
        <family val="2"/>
      </rPr>
      <t xml:space="preserve">は鋼なら </t>
    </r>
    <r>
      <rPr>
        <sz val="9.5"/>
        <color rgb="FFB9C1D1"/>
        <rFont val="Arial"/>
        <family val="0"/>
        <charset val="1"/>
      </rPr>
      <t xml:space="preserve">7850 </t>
    </r>
    <r>
      <rPr>
        <sz val="9.5"/>
        <color rgb="FFB9C1D1"/>
        <rFont val="Noto Sans CJK SC"/>
        <family val="2"/>
      </rPr>
      <t xml:space="preserve">でよいが、質量チェック（断面シート）が合っていることを先に確認する。</t>
    </r>
  </si>
  <si>
    <r>
      <rPr>
        <sz val="9.5"/>
        <color rgb="FFB9C1D1"/>
        <rFont val="Noto Sans CJK SC"/>
        <family val="2"/>
      </rPr>
      <t xml:space="preserve">④ 逆算で </t>
    </r>
    <r>
      <rPr>
        <sz val="9.5"/>
        <color rgb="FFB9C1D1"/>
        <rFont val="Arial"/>
        <family val="0"/>
        <charset val="1"/>
      </rPr>
      <t xml:space="preserve">E </t>
    </r>
    <r>
      <rPr>
        <sz val="9.5"/>
        <color rgb="FFB9C1D1"/>
        <rFont val="Noto Sans CJK SC"/>
        <family val="2"/>
      </rPr>
      <t xml:space="preserve">が </t>
    </r>
    <r>
      <rPr>
        <sz val="9.5"/>
        <color rgb="FFB9C1D1"/>
        <rFont val="Arial"/>
        <family val="0"/>
        <charset val="1"/>
      </rPr>
      <t xml:space="preserve">190</t>
    </r>
    <r>
      <rPr>
        <sz val="9.5"/>
        <color rgb="FFB9C1D1"/>
        <rFont val="Noto Sans CJK SC"/>
        <family val="2"/>
      </rPr>
      <t xml:space="preserve">〜</t>
    </r>
    <r>
      <rPr>
        <sz val="9.5"/>
        <color rgb="FFB9C1D1"/>
        <rFont val="Arial"/>
        <family val="0"/>
        <charset val="1"/>
      </rPr>
      <t xml:space="preserve">210 GPa </t>
    </r>
    <r>
      <rPr>
        <sz val="9.5"/>
        <color rgb="FFB9C1D1"/>
        <rFont val="Noto Sans CJK SC"/>
        <family val="2"/>
      </rPr>
      <t xml:space="preserve">の範囲に入れば、寸法入力が正しい証拠です。</t>
    </r>
    <r>
      <rPr>
        <sz val="9.5"/>
        <color rgb="FFB9C1D1"/>
        <rFont val="Arial"/>
        <family val="0"/>
        <charset val="1"/>
      </rPr>
      <t xml:space="preserve">150 </t>
    </r>
    <r>
      <rPr>
        <sz val="9.5"/>
        <color rgb="FFB9C1D1"/>
        <rFont val="Noto Sans CJK SC"/>
        <family val="2"/>
      </rPr>
      <t xml:space="preserve">や </t>
    </r>
    <r>
      <rPr>
        <sz val="9.5"/>
        <color rgb="FFB9C1D1"/>
        <rFont val="Arial"/>
        <family val="0"/>
        <charset val="1"/>
      </rPr>
      <t xml:space="preserve">300 </t>
    </r>
    <r>
      <rPr>
        <sz val="9.5"/>
        <color rgb="FFB9C1D1"/>
        <rFont val="Noto Sans CJK SC"/>
        <family val="2"/>
      </rPr>
      <t xml:space="preserve">が出たら寸法か形状座標を疑ってください。</t>
    </r>
  </si>
  <si>
    <r>
      <rPr>
        <sz val="9.5"/>
        <color rgb="FFB9C1D1"/>
        <rFont val="Noto Sans CJK SC"/>
        <family val="2"/>
      </rPr>
      <t xml:space="preserve">⑤ 逆算 </t>
    </r>
    <r>
      <rPr>
        <sz val="9.5"/>
        <color rgb="FFB9C1D1"/>
        <rFont val="Arial"/>
        <family val="0"/>
        <charset val="1"/>
      </rPr>
      <t xml:space="preserve">E </t>
    </r>
    <r>
      <rPr>
        <sz val="9.5"/>
        <color rgb="FFB9C1D1"/>
        <rFont val="Noto Sans CJK SC"/>
        <family val="2"/>
      </rPr>
      <t xml:space="preserve">が低く出る主因：耳・爪・穴のせいで実際の剛性が長方形近似より低い → これは </t>
    </r>
    <r>
      <rPr>
        <sz val="9.5"/>
        <color rgb="FFB9C1D1"/>
        <rFont val="Arial"/>
        <family val="0"/>
        <charset val="1"/>
      </rPr>
      <t xml:space="preserve">STEP6 </t>
    </r>
    <r>
      <rPr>
        <sz val="9.5"/>
        <color rgb="FFB9C1D1"/>
        <rFont val="Noto Sans CJK SC"/>
        <family val="2"/>
      </rPr>
      <t xml:space="preserve">の </t>
    </r>
    <r>
      <rPr>
        <sz val="9.5"/>
        <color rgb="FFB9C1D1"/>
        <rFont val="Arial"/>
        <family val="0"/>
        <charset val="1"/>
      </rPr>
      <t xml:space="preserve">α </t>
    </r>
    <r>
      <rPr>
        <sz val="9.5"/>
        <color rgb="FFB9C1D1"/>
        <rFont val="Noto Sans CJK SC"/>
        <family val="2"/>
      </rPr>
      <t xml:space="preserve">で吸収するのが正解です。</t>
    </r>
  </si>
  <si>
    <r>
      <rPr>
        <sz val="9.5"/>
        <color rgb="FFB9C1D1"/>
        <rFont val="Noto Sans CJK SC"/>
        <family val="2"/>
      </rPr>
      <t xml:space="preserve">⑥ せん断補正の </t>
    </r>
    <r>
      <rPr>
        <sz val="9.5"/>
        <color rgb="FFB9C1D1"/>
        <rFont val="Arial"/>
        <family val="0"/>
        <charset val="1"/>
      </rPr>
      <t xml:space="preserve">ON/OFF </t>
    </r>
    <r>
      <rPr>
        <sz val="9.5"/>
        <color rgb="FFB9C1D1"/>
        <rFont val="Noto Sans CJK SC"/>
        <family val="2"/>
      </rPr>
      <t xml:space="preserve">は「固有振動数」シートと必ず揃えること。片方だけ </t>
    </r>
    <r>
      <rPr>
        <sz val="9.5"/>
        <color rgb="FFB9C1D1"/>
        <rFont val="Arial"/>
        <family val="0"/>
        <charset val="1"/>
      </rPr>
      <t xml:space="preserve">ON </t>
    </r>
    <r>
      <rPr>
        <sz val="9.5"/>
        <color rgb="FFB9C1D1"/>
        <rFont val="Noto Sans CJK SC"/>
        <family val="2"/>
      </rPr>
      <t xml:space="preserve">だと辻褄が合いません。</t>
    </r>
  </si>
  <si>
    <t xml:space="preserve">⑦ ハンマ打撃＋指数窓のピークは減衰が過大になりますが、周波数自体はほぼ正しいのでここでは使えます。</t>
  </si>
  <si>
    <r>
      <rPr>
        <sz val="9.5"/>
        <color rgb="FFB9C1D1"/>
        <rFont val="Arial"/>
        <family val="0"/>
        <charset val="1"/>
      </rPr>
      <t xml:space="preserve">⑧ f₁ </t>
    </r>
    <r>
      <rPr>
        <sz val="9.5"/>
        <color rgb="FFB9C1D1"/>
        <rFont val="Noto Sans CJK SC"/>
        <family val="2"/>
      </rPr>
      <t xml:space="preserve">で合わせて </t>
    </r>
    <r>
      <rPr>
        <sz val="9.5"/>
        <color rgb="FFB9C1D1"/>
        <rFont val="Arial"/>
        <family val="0"/>
        <charset val="1"/>
      </rPr>
      <t xml:space="preserve">f₂ </t>
    </r>
    <r>
      <rPr>
        <sz val="9.5"/>
        <color rgb="FFB9C1D1"/>
        <rFont val="Noto Sans CJK SC"/>
        <family val="2"/>
      </rPr>
      <t xml:space="preserve">が外れる場合は、せん断補正か形状効果（</t>
    </r>
    <r>
      <rPr>
        <sz val="9.5"/>
        <color rgb="FFB9C1D1"/>
        <rFont val="Arial"/>
        <family val="0"/>
        <charset val="1"/>
      </rPr>
      <t xml:space="preserve">2</t>
    </r>
    <r>
      <rPr>
        <sz val="9.5"/>
        <color rgb="FFB9C1D1"/>
        <rFont val="Noto Sans CJK SC"/>
        <family val="2"/>
      </rPr>
      <t xml:space="preserve">次モードの節が穴の位置に来る等）が原因です。</t>
    </r>
  </si>
  <si>
    <r>
      <rPr>
        <b val="true"/>
        <sz val="14"/>
        <color rgb="FFEBD9FF"/>
        <rFont val="Noto Sans CJK SC"/>
        <family val="2"/>
      </rPr>
      <t xml:space="preserve">⑦ 実測比較（ハンマリング試験・</t>
    </r>
    <r>
      <rPr>
        <b val="true"/>
        <sz val="14"/>
        <color rgb="FFEBD9FF"/>
        <rFont val="Arial"/>
        <family val="0"/>
        <charset val="1"/>
      </rPr>
      <t xml:space="preserve">PSV-400 </t>
    </r>
    <r>
      <rPr>
        <b val="true"/>
        <sz val="14"/>
        <color rgb="FFEBD9FF"/>
        <rFont val="Noto Sans CJK SC"/>
        <family val="2"/>
      </rPr>
      <t xml:space="preserve">スキャン試験の結果を記録）</t>
    </r>
  </si>
  <si>
    <r>
      <rPr>
        <sz val="9"/>
        <color rgb="FFA9B2C3"/>
        <rFont val="Noto Sans CJK SC"/>
        <family val="2"/>
      </rPr>
      <t xml:space="preserve">予測ピークの一覧に、実測した周波数</t>
    </r>
    <r>
      <rPr>
        <sz val="9"/>
        <color rgb="FFA9B2C3"/>
        <rFont val="Arial"/>
        <family val="0"/>
        <charset val="1"/>
      </rPr>
      <t xml:space="preserve">[Hz]</t>
    </r>
    <r>
      <rPr>
        <sz val="9"/>
        <color rgb="FFA9B2C3"/>
        <rFont val="Noto Sans CJK SC"/>
        <family val="2"/>
      </rPr>
      <t xml:space="preserve">をアンバー色のセルへ入力すると、ズレ</t>
    </r>
    <r>
      <rPr>
        <sz val="9"/>
        <color rgb="FFA9B2C3"/>
        <rFont val="Arial"/>
        <family val="0"/>
        <charset val="1"/>
      </rPr>
      <t xml:space="preserve">(%)</t>
    </r>
    <r>
      <rPr>
        <sz val="9"/>
        <color rgb="FFA9B2C3"/>
        <rFont val="Noto Sans CJK SC"/>
        <family val="2"/>
      </rPr>
      <t xml:space="preserve">と判定が自動で出ます  🟢</t>
    </r>
  </si>
  <si>
    <r>
      <rPr>
        <b val="true"/>
        <sz val="9"/>
        <color rgb="FFE6E8EC"/>
        <rFont val="Noto Sans CJK SC"/>
        <family val="2"/>
      </rPr>
      <t xml:space="preserve">実測 </t>
    </r>
    <r>
      <rPr>
        <b val="true"/>
        <sz val="9"/>
        <color rgb="FFE6E8EC"/>
        <rFont val="Arial"/>
        <family val="0"/>
        <charset val="1"/>
      </rPr>
      <t xml:space="preserve">f [Hz]</t>
    </r>
    <r>
      <rPr>
        <b val="true"/>
        <sz val="9"/>
        <color rgb="FFE6E8EC"/>
        <rFont val="Noto Sans CJK SC"/>
        <family val="2"/>
      </rPr>
      <t xml:space="preserve">（入力）</t>
    </r>
  </si>
  <si>
    <r>
      <rPr>
        <b val="true"/>
        <sz val="9"/>
        <color rgb="FFE6E8EC"/>
        <rFont val="Noto Sans CJK SC"/>
        <family val="2"/>
      </rPr>
      <t xml:space="preserve">ズレ </t>
    </r>
    <r>
      <rPr>
        <b val="true"/>
        <sz val="9"/>
        <color rgb="FFE6E8EC"/>
        <rFont val="Arial"/>
        <family val="0"/>
        <charset val="1"/>
      </rPr>
      <t xml:space="preserve">[%]</t>
    </r>
  </si>
  <si>
    <r>
      <rPr>
        <b val="true"/>
        <sz val="9"/>
        <color rgb="FFE6E8EC"/>
        <rFont val="Noto Sans CJK SC"/>
        <family val="2"/>
      </rPr>
      <t xml:space="preserve">半値幅 </t>
    </r>
    <r>
      <rPr>
        <b val="true"/>
        <sz val="9"/>
        <color rgb="FFE6E8EC"/>
        <rFont val="Arial"/>
        <family val="0"/>
        <charset val="1"/>
      </rPr>
      <t xml:space="preserve">Δf [Hz]</t>
    </r>
    <r>
      <rPr>
        <b val="true"/>
        <sz val="9"/>
        <color rgb="FFE6E8EC"/>
        <rFont val="Noto Sans CJK SC"/>
        <family val="2"/>
      </rPr>
      <t xml:space="preserve">（任意）</t>
    </r>
  </si>
  <si>
    <r>
      <rPr>
        <b val="true"/>
        <sz val="9"/>
        <color rgb="FFE6E8EC"/>
        <rFont val="Noto Sans CJK SC"/>
        <family val="2"/>
      </rPr>
      <t xml:space="preserve">損失係数 </t>
    </r>
    <r>
      <rPr>
        <b val="true"/>
        <sz val="9"/>
        <color rgb="FFE6E8EC"/>
        <rFont val="Arial"/>
        <family val="0"/>
        <charset val="1"/>
      </rPr>
      <t xml:space="preserve">η</t>
    </r>
    <r>
      <rPr>
        <b val="true"/>
        <sz val="9"/>
        <color rgb="FFE6E8EC"/>
        <rFont val="Noto Sans CJK SC"/>
        <family val="2"/>
      </rPr>
      <t xml:space="preserve">＝</t>
    </r>
    <r>
      <rPr>
        <b val="true"/>
        <sz val="9"/>
        <color rgb="FFE6E8EC"/>
        <rFont val="Arial"/>
        <family val="0"/>
        <charset val="1"/>
      </rPr>
      <t xml:space="preserve">Δf/f</t>
    </r>
  </si>
  <si>
    <r>
      <rPr>
        <b val="true"/>
        <sz val="9"/>
        <color rgb="FFE6E8EC"/>
        <rFont val="Noto Sans CJK SC"/>
        <family val="2"/>
      </rPr>
      <t xml:space="preserve">コヒーレンス </t>
    </r>
    <r>
      <rPr>
        <b val="true"/>
        <sz val="9"/>
        <color rgb="FFE6E8EC"/>
        <rFont val="Arial"/>
        <family val="0"/>
        <charset val="1"/>
      </rPr>
      <t xml:space="preserve">γ²</t>
    </r>
  </si>
  <si>
    <t xml:space="preserve">メモ（加振点・窓・平均回数など）</t>
  </si>
  <si>
    <r>
      <rPr>
        <b val="true"/>
        <sz val="9"/>
        <color rgb="FFE6E8EC"/>
        <rFont val="Arial"/>
        <family val="0"/>
        <charset val="1"/>
      </rPr>
      <t xml:space="preserve">|</t>
    </r>
    <r>
      <rPr>
        <b val="true"/>
        <sz val="9"/>
        <color rgb="FFE6E8EC"/>
        <rFont val="Noto Sans CJK SC"/>
        <family val="2"/>
      </rPr>
      <t xml:space="preserve">ズレ</t>
    </r>
    <r>
      <rPr>
        <b val="true"/>
        <sz val="9"/>
        <color rgb="FFE6E8EC"/>
        <rFont val="Arial"/>
        <family val="0"/>
        <charset val="1"/>
      </rPr>
      <t xml:space="preserve">| [%]</t>
    </r>
  </si>
  <si>
    <t xml:space="preserve">■ 全体の一致度</t>
  </si>
  <si>
    <t xml:space="preserve">入力した実測点数</t>
  </si>
  <si>
    <r>
      <rPr>
        <sz val="10"/>
        <color rgb="FFE6E8EC"/>
        <rFont val="Noto Sans CJK SC"/>
        <family val="2"/>
      </rPr>
      <t xml:space="preserve">平均ズレ </t>
    </r>
    <r>
      <rPr>
        <sz val="10"/>
        <color rgb="FFE6E8EC"/>
        <rFont val="Arial"/>
        <family val="0"/>
        <charset val="1"/>
      </rPr>
      <t xml:space="preserve">[%]</t>
    </r>
  </si>
  <si>
    <r>
      <rPr>
        <sz val="10"/>
        <color rgb="FFE6E8EC"/>
        <rFont val="Noto Sans CJK SC"/>
        <family val="2"/>
      </rPr>
      <t xml:space="preserve">ズレの絶対値 平均 </t>
    </r>
    <r>
      <rPr>
        <sz val="10"/>
        <color rgb="FFE6E8EC"/>
        <rFont val="Arial"/>
        <family val="0"/>
        <charset val="1"/>
      </rPr>
      <t xml:space="preserve">[%]</t>
    </r>
  </si>
  <si>
    <r>
      <rPr>
        <sz val="10"/>
        <color rgb="FFE6E8EC"/>
        <rFont val="Noto Sans CJK SC"/>
        <family val="2"/>
      </rPr>
      <t xml:space="preserve">最大ズレ </t>
    </r>
    <r>
      <rPr>
        <sz val="10"/>
        <color rgb="FFE6E8EC"/>
        <rFont val="Arial"/>
        <family val="0"/>
        <charset val="1"/>
      </rPr>
      <t xml:space="preserve">[%]</t>
    </r>
  </si>
  <si>
    <t xml:space="preserve">🟢 の数</t>
  </si>
  <si>
    <t xml:space="preserve">🔴 の数</t>
  </si>
  <si>
    <t xml:space="preserve">■ ズレたときの見方（原因の切り分け）</t>
  </si>
  <si>
    <r>
      <rPr>
        <sz val="9.5"/>
        <color rgb="FFB9C1D1"/>
        <rFont val="Noto Sans CJK SC"/>
        <family val="2"/>
      </rPr>
      <t xml:space="preserve">全モードが同じ方向に同じくらいズレている → 寸法（</t>
    </r>
    <r>
      <rPr>
        <sz val="9.5"/>
        <color rgb="FFB9C1D1"/>
        <rFont val="Arial"/>
        <family val="0"/>
        <charset val="1"/>
      </rPr>
      <t xml:space="preserve">L</t>
    </r>
    <r>
      <rPr>
        <sz val="9.5"/>
        <color rgb="FFB9C1D1"/>
        <rFont val="Noto Sans CJK SC"/>
        <family val="2"/>
      </rPr>
      <t xml:space="preserve">・</t>
    </r>
    <r>
      <rPr>
        <sz val="9.5"/>
        <color rgb="FFB9C1D1"/>
        <rFont val="Arial"/>
        <family val="0"/>
        <charset val="1"/>
      </rPr>
      <t xml:space="preserve">t</t>
    </r>
    <r>
      <rPr>
        <sz val="9.5"/>
        <color rgb="FFB9C1D1"/>
        <rFont val="Noto Sans CJK SC"/>
        <family val="2"/>
      </rPr>
      <t xml:space="preserve">）か材料（</t>
    </r>
    <r>
      <rPr>
        <sz val="9.5"/>
        <color rgb="FFB9C1D1"/>
        <rFont val="Arial"/>
        <family val="0"/>
        <charset val="1"/>
      </rPr>
      <t xml:space="preserve">E</t>
    </r>
    <r>
      <rPr>
        <sz val="9.5"/>
        <color rgb="FFB9C1D1"/>
        <rFont val="Noto Sans CJK SC"/>
        <family val="2"/>
      </rPr>
      <t xml:space="preserve">・</t>
    </r>
    <r>
      <rPr>
        <sz val="9.5"/>
        <color rgb="FFB9C1D1"/>
        <rFont val="Arial"/>
        <family val="0"/>
        <charset val="1"/>
      </rPr>
      <t xml:space="preserve">ρ</t>
    </r>
    <r>
      <rPr>
        <sz val="9.5"/>
        <color rgb="FFB9C1D1"/>
        <rFont val="Noto Sans CJK SC"/>
        <family val="2"/>
      </rPr>
      <t xml:space="preserve">）が一律にずれています。逆算シートで </t>
    </r>
    <r>
      <rPr>
        <sz val="9.5"/>
        <color rgb="FFB9C1D1"/>
        <rFont val="Arial"/>
        <family val="0"/>
        <charset val="1"/>
      </rPr>
      <t xml:space="preserve">E </t>
    </r>
    <r>
      <rPr>
        <sz val="9.5"/>
        <color rgb="FFB9C1D1"/>
        <rFont val="Noto Sans CJK SC"/>
        <family val="2"/>
      </rPr>
      <t xml:space="preserve">か </t>
    </r>
    <r>
      <rPr>
        <sz val="9.5"/>
        <color rgb="FFB9C1D1"/>
        <rFont val="Arial"/>
        <family val="0"/>
        <charset val="1"/>
      </rPr>
      <t xml:space="preserve">L </t>
    </r>
    <r>
      <rPr>
        <sz val="9.5"/>
        <color rgb="FFB9C1D1"/>
        <rFont val="Noto Sans CJK SC"/>
        <family val="2"/>
      </rPr>
      <t xml:space="preserve">を合わせ込む。</t>
    </r>
  </si>
  <si>
    <r>
      <rPr>
        <sz val="9.5"/>
        <color rgb="FFB9C1D1"/>
        <rFont val="Noto Sans CJK SC"/>
        <family val="2"/>
      </rPr>
      <t xml:space="preserve">低次は合うが高次だけ大きくズレる → せん断補正（</t>
    </r>
    <r>
      <rPr>
        <sz val="9.5"/>
        <color rgb="FFB9C1D1"/>
        <rFont val="Arial"/>
        <family val="0"/>
        <charset val="1"/>
      </rPr>
      <t xml:space="preserve">Timoshenko</t>
    </r>
    <r>
      <rPr>
        <sz val="9.5"/>
        <color rgb="FFB9C1D1"/>
        <rFont val="Noto Sans CJK SC"/>
        <family val="2"/>
      </rPr>
      <t xml:space="preserve">）の効き方の問題。固有振動数シート </t>
    </r>
    <r>
      <rPr>
        <sz val="9.5"/>
        <color rgb="FFB9C1D1"/>
        <rFont val="Arial"/>
        <family val="0"/>
        <charset val="1"/>
      </rPr>
      <t xml:space="preserve">I3 </t>
    </r>
    <r>
      <rPr>
        <sz val="9.5"/>
        <color rgb="FFB9C1D1"/>
        <rFont val="Noto Sans CJK SC"/>
        <family val="2"/>
      </rPr>
      <t xml:space="preserve">の </t>
    </r>
    <r>
      <rPr>
        <sz val="9.5"/>
        <color rgb="FFB9C1D1"/>
        <rFont val="Arial"/>
        <family val="0"/>
        <charset val="1"/>
      </rPr>
      <t xml:space="preserve">ON/OFF </t>
    </r>
    <r>
      <rPr>
        <sz val="9.5"/>
        <color rgb="FFB9C1D1"/>
        <rFont val="Noto Sans CJK SC"/>
        <family val="2"/>
      </rPr>
      <t xml:space="preserve">を切り替えて比べる。</t>
    </r>
  </si>
  <si>
    <r>
      <rPr>
        <sz val="9.5"/>
        <color rgb="FFB9C1D1"/>
        <rFont val="Arial"/>
        <family val="0"/>
        <charset val="1"/>
      </rPr>
      <t xml:space="preserve">1</t>
    </r>
    <r>
      <rPr>
        <sz val="9.5"/>
        <color rgb="FFB9C1D1"/>
        <rFont val="Noto Sans CJK SC"/>
        <family val="2"/>
      </rPr>
      <t xml:space="preserve">つだけ飛び抜けてズレる → そのピークはモード誤同定の可能性大。</t>
    </r>
    <r>
      <rPr>
        <sz val="9.5"/>
        <color rgb="FFB9C1D1"/>
        <rFont val="Arial"/>
        <family val="0"/>
        <charset val="1"/>
      </rPr>
      <t xml:space="preserve">ODS</t>
    </r>
    <r>
      <rPr>
        <sz val="9.5"/>
        <color rgb="FFB9C1D1"/>
        <rFont val="Noto Sans CJK SC"/>
        <family val="2"/>
      </rPr>
      <t xml:space="preserve">（モード形）をアニメーションで見て種別を確認。</t>
    </r>
  </si>
  <si>
    <r>
      <rPr>
        <sz val="9.5"/>
        <color rgb="FFB9C1D1"/>
        <rFont val="Noto Sans CJK SC"/>
        <family val="2"/>
      </rPr>
      <t xml:space="preserve">予測にあるのに実測に無い → 加振点がそのモードの節（ふし）に乗っています。叩く場所を数</t>
    </r>
    <r>
      <rPr>
        <sz val="9.5"/>
        <color rgb="FFB9C1D1"/>
        <rFont val="Arial"/>
        <family val="0"/>
        <charset val="1"/>
      </rPr>
      <t xml:space="preserve">cm</t>
    </r>
    <r>
      <rPr>
        <sz val="9.5"/>
        <color rgb="FFB9C1D1"/>
        <rFont val="Noto Sans CJK SC"/>
        <family val="2"/>
      </rPr>
      <t xml:space="preserve">動かして測り直す。</t>
    </r>
  </si>
  <si>
    <r>
      <rPr>
        <sz val="9.5"/>
        <color rgb="FFB9C1D1"/>
        <rFont val="Noto Sans CJK SC"/>
        <family val="2"/>
      </rPr>
      <t xml:space="preserve">実測にあるのに予測に無い → 面内モード、または板としての</t>
    </r>
    <r>
      <rPr>
        <sz val="9.5"/>
        <color rgb="FFB9C1D1"/>
        <rFont val="Arial"/>
        <family val="0"/>
        <charset val="1"/>
      </rPr>
      <t xml:space="preserve">2</t>
    </r>
    <r>
      <rPr>
        <sz val="9.5"/>
        <color rgb="FFB9C1D1"/>
        <rFont val="Noto Sans CJK SC"/>
        <family val="2"/>
      </rPr>
      <t xml:space="preserve">次元モード（はり近似では出ない形）です。</t>
    </r>
    <r>
      <rPr>
        <sz val="9.5"/>
        <color rgb="FFB9C1D1"/>
        <rFont val="Arial"/>
        <family val="0"/>
        <charset val="1"/>
      </rPr>
      <t xml:space="preserve">FEM </t>
    </r>
    <r>
      <rPr>
        <sz val="9.5"/>
        <color rgb="FFB9C1D1"/>
        <rFont val="Noto Sans CJK SC"/>
        <family val="2"/>
      </rPr>
      <t xml:space="preserve">の出番。</t>
    </r>
  </si>
  <si>
    <r>
      <rPr>
        <sz val="9.5"/>
        <color rgb="FFB9C1D1"/>
        <rFont val="Noto Sans CJK SC"/>
        <family val="2"/>
      </rPr>
      <t xml:space="preserve">半値幅 </t>
    </r>
    <r>
      <rPr>
        <sz val="9.5"/>
        <color rgb="FFB9C1D1"/>
        <rFont val="Arial"/>
        <family val="0"/>
        <charset val="1"/>
      </rPr>
      <t xml:space="preserve">Δf </t>
    </r>
    <r>
      <rPr>
        <sz val="9.5"/>
        <color rgb="FFB9C1D1"/>
        <rFont val="Noto Sans CJK SC"/>
        <family val="2"/>
      </rPr>
      <t xml:space="preserve">を入れると損失係数 </t>
    </r>
    <r>
      <rPr>
        <sz val="9.5"/>
        <color rgb="FFB9C1D1"/>
        <rFont val="Arial"/>
        <family val="0"/>
        <charset val="1"/>
      </rPr>
      <t xml:space="preserve">η </t>
    </r>
    <r>
      <rPr>
        <sz val="9.5"/>
        <color rgb="FFB9C1D1"/>
        <rFont val="Noto Sans CJK SC"/>
        <family val="2"/>
      </rPr>
      <t xml:space="preserve">が出ます。金属だけなら </t>
    </r>
    <r>
      <rPr>
        <sz val="9.5"/>
        <color rgb="FFB9C1D1"/>
        <rFont val="Arial"/>
        <family val="0"/>
        <charset val="1"/>
      </rPr>
      <t xml:space="preserve">η </t>
    </r>
    <r>
      <rPr>
        <sz val="9.5"/>
        <color rgb="FFB9C1D1"/>
        <rFont val="Noto Sans CJK SC"/>
        <family val="2"/>
      </rPr>
      <t xml:space="preserve">は </t>
    </r>
    <r>
      <rPr>
        <sz val="9.5"/>
        <color rgb="FFB9C1D1"/>
        <rFont val="Arial"/>
        <family val="0"/>
        <charset val="1"/>
      </rPr>
      <t xml:space="preserve">0.0005 </t>
    </r>
    <r>
      <rPr>
        <sz val="9.5"/>
        <color rgb="FFB9C1D1"/>
        <rFont val="Noto Sans CJK SC"/>
        <family val="2"/>
      </rPr>
      <t xml:space="preserve">以下のはず。もっと大きければ吊り・接触・窓の影響が混入しています。</t>
    </r>
  </si>
  <si>
    <r>
      <rPr>
        <sz val="9.5"/>
        <color rgb="FFB9C1D1"/>
        <rFont val="Noto Sans CJK SC"/>
        <family val="2"/>
      </rPr>
      <t xml:space="preserve">コヒーレンス </t>
    </r>
    <r>
      <rPr>
        <sz val="9.5"/>
        <color rgb="FFB9C1D1"/>
        <rFont val="Arial"/>
        <family val="0"/>
        <charset val="1"/>
      </rPr>
      <t xml:space="preserve">γ² </t>
    </r>
    <r>
      <rPr>
        <sz val="9.5"/>
        <color rgb="FFB9C1D1"/>
        <rFont val="Noto Sans CJK SC"/>
        <family val="2"/>
      </rPr>
      <t xml:space="preserve">は </t>
    </r>
    <r>
      <rPr>
        <sz val="9.5"/>
        <color rgb="FFB9C1D1"/>
        <rFont val="Arial"/>
        <family val="0"/>
        <charset val="1"/>
      </rPr>
      <t xml:space="preserve">0.9 </t>
    </r>
    <r>
      <rPr>
        <sz val="9.5"/>
        <color rgb="FFB9C1D1"/>
        <rFont val="Noto Sans CJK SC"/>
        <family val="2"/>
      </rPr>
      <t xml:space="preserve">以上をピーク近傍で確認。ただし </t>
    </r>
    <r>
      <rPr>
        <sz val="9.5"/>
        <color rgb="FFB9C1D1"/>
        <rFont val="Arial"/>
        <family val="0"/>
        <charset val="1"/>
      </rPr>
      <t xml:space="preserve">γ² </t>
    </r>
    <r>
      <rPr>
        <sz val="9.5"/>
        <color rgb="FFB9C1D1"/>
        <rFont val="Noto Sans CJK SC"/>
        <family val="2"/>
      </rPr>
      <t xml:space="preserve">が良くても減衰や近接モードが正しい保証にはなりません。</t>
    </r>
  </si>
  <si>
    <r>
      <rPr>
        <b val="true"/>
        <sz val="14"/>
        <color rgb="FFEBD9FF"/>
        <rFont val="Noto Sans CJK SC"/>
        <family val="2"/>
      </rPr>
      <t xml:space="preserve">⑧ 測定計画 — </t>
    </r>
    <r>
      <rPr>
        <b val="true"/>
        <sz val="14"/>
        <color rgb="FFEBD9FF"/>
        <rFont val="Arial"/>
        <family val="0"/>
        <charset val="1"/>
      </rPr>
      <t xml:space="preserve">FFT</t>
    </r>
    <r>
      <rPr>
        <b val="true"/>
        <sz val="14"/>
        <color rgb="FFEBD9FF"/>
        <rFont val="Noto Sans CJK SC"/>
        <family val="2"/>
      </rPr>
      <t xml:space="preserve">の設定・吊り方・叩き方を数字で決める</t>
    </r>
  </si>
  <si>
    <r>
      <rPr>
        <sz val="9"/>
        <color rgb="FFA9B2C3"/>
        <rFont val="Noto Sans CJK SC"/>
        <family val="2"/>
      </rPr>
      <t xml:space="preserve">「測ってから考える」のではなく「設定を先に計算してから測る」ためのシート。ハンマリング／</t>
    </r>
    <r>
      <rPr>
        <sz val="9"/>
        <color rgb="FFA9B2C3"/>
        <rFont val="Arial"/>
        <family val="0"/>
        <charset val="1"/>
      </rPr>
      <t xml:space="preserve">PSV-400 </t>
    </r>
    <r>
      <rPr>
        <sz val="9"/>
        <color rgb="FFA9B2C3"/>
        <rFont val="Noto Sans CJK SC"/>
        <family val="2"/>
      </rPr>
      <t xml:space="preserve">の両方に使えます。</t>
    </r>
  </si>
  <si>
    <r>
      <rPr>
        <b val="true"/>
        <sz val="12"/>
        <color rgb="FF7DB4FF"/>
        <rFont val="Arial"/>
        <family val="0"/>
        <charset val="1"/>
      </rPr>
      <t xml:space="preserve">■ A. FFT </t>
    </r>
    <r>
      <rPr>
        <b val="true"/>
        <sz val="12"/>
        <color rgb="FF7DB4FF"/>
        <rFont val="Noto Sans CJK SC"/>
        <family val="2"/>
      </rPr>
      <t xml:space="preserve">の設定（</t>
    </r>
    <r>
      <rPr>
        <b val="true"/>
        <sz val="12"/>
        <color rgb="FF7DB4FF"/>
        <rFont val="Arial"/>
        <family val="0"/>
        <charset val="1"/>
      </rPr>
      <t xml:space="preserve">RION SA-01A4 / PSV-400 </t>
    </r>
    <r>
      <rPr>
        <b val="true"/>
        <sz val="12"/>
        <color rgb="FF7DB4FF"/>
        <rFont val="Noto Sans CJK SC"/>
        <family val="2"/>
      </rPr>
      <t xml:space="preserve">どちらでも同じ考え方）</t>
    </r>
  </si>
  <si>
    <r>
      <rPr>
        <sz val="10"/>
        <color rgb="FFE6E8EC"/>
        <rFont val="Noto Sans CJK SC"/>
        <family val="2"/>
      </rPr>
      <t xml:space="preserve">見たい最高周波数 </t>
    </r>
    <r>
      <rPr>
        <sz val="10"/>
        <color rgb="FFE6E8EC"/>
        <rFont val="Arial"/>
        <family val="0"/>
        <charset val="1"/>
      </rPr>
      <t xml:space="preserve">fmax [Hz]</t>
    </r>
  </si>
  <si>
    <r>
      <rPr>
        <sz val="9"/>
        <color rgb="FF8A93A3"/>
        <rFont val="Noto Sans CJK SC"/>
        <family val="2"/>
      </rPr>
      <t xml:space="preserve">金属部だけなら </t>
    </r>
    <r>
      <rPr>
        <sz val="9"/>
        <color rgb="FF8A93A3"/>
        <rFont val="Arial"/>
        <family val="0"/>
        <charset val="1"/>
      </rPr>
      <t xml:space="preserve">40k </t>
    </r>
    <r>
      <rPr>
        <sz val="9"/>
        <color rgb="FF8A93A3"/>
        <rFont val="Noto Sans CJK SC"/>
        <family val="2"/>
      </rPr>
      <t xml:space="preserve">欲しい。摩擦材付きなら </t>
    </r>
    <r>
      <rPr>
        <sz val="9"/>
        <color rgb="FF8A93A3"/>
        <rFont val="Arial"/>
        <family val="0"/>
        <charset val="1"/>
      </rPr>
      <t xml:space="preserve">20k </t>
    </r>
    <r>
      <rPr>
        <sz val="9"/>
        <color rgb="FF8A93A3"/>
        <rFont val="Noto Sans CJK SC"/>
        <family val="2"/>
      </rPr>
      <t xml:space="preserve">で足りる</t>
    </r>
  </si>
  <si>
    <t xml:space="preserve">アンチエイリアス係数</t>
  </si>
  <si>
    <r>
      <rPr>
        <sz val="9"/>
        <color rgb="FF8A93A3"/>
        <rFont val="Noto Sans CJK SC"/>
        <family val="2"/>
      </rPr>
      <t xml:space="preserve">一般的な安全係数。</t>
    </r>
    <r>
      <rPr>
        <sz val="9"/>
        <color rgb="FF8A93A3"/>
        <rFont val="Arial"/>
        <family val="0"/>
        <charset val="1"/>
      </rPr>
      <t xml:space="preserve">2.56 </t>
    </r>
    <r>
      <rPr>
        <sz val="9"/>
        <color rgb="FF8A93A3"/>
        <rFont val="Noto Sans CJK SC"/>
        <family val="2"/>
      </rPr>
      <t xml:space="preserve">は業界標準</t>
    </r>
  </si>
  <si>
    <r>
      <rPr>
        <sz val="10"/>
        <color rgb="FFE6E8EC"/>
        <rFont val="Noto Sans CJK SC"/>
        <family val="2"/>
      </rPr>
      <t xml:space="preserve">必要サンプリング周波数 </t>
    </r>
    <r>
      <rPr>
        <sz val="10"/>
        <color rgb="FFE6E8EC"/>
        <rFont val="Arial"/>
        <family val="0"/>
        <charset val="1"/>
      </rPr>
      <t xml:space="preserve">fs [Hz]</t>
    </r>
  </si>
  <si>
    <r>
      <rPr>
        <sz val="9"/>
        <color rgb="FF8A93A3"/>
        <rFont val="Noto Sans CJK SC"/>
        <family val="2"/>
      </rPr>
      <t xml:space="preserve">＝</t>
    </r>
    <r>
      <rPr>
        <sz val="9"/>
        <color rgb="FF8A93A3"/>
        <rFont val="Arial"/>
        <family val="0"/>
        <charset val="1"/>
      </rPr>
      <t xml:space="preserve">fmax × 2.56</t>
    </r>
  </si>
  <si>
    <r>
      <rPr>
        <sz val="10"/>
        <color rgb="FFE6E8EC"/>
        <rFont val="Arial"/>
        <family val="0"/>
        <charset val="1"/>
      </rPr>
      <t xml:space="preserve">FFT </t>
    </r>
    <r>
      <rPr>
        <sz val="10"/>
        <color rgb="FFE6E8EC"/>
        <rFont val="Noto Sans CJK SC"/>
        <family val="2"/>
      </rPr>
      <t xml:space="preserve">ライン数（分解能ライン）</t>
    </r>
  </si>
  <si>
    <r>
      <rPr>
        <sz val="9"/>
        <color rgb="FF8A93A3"/>
        <rFont val="Arial"/>
        <family val="0"/>
        <charset val="1"/>
      </rPr>
      <t xml:space="preserve">400 / 800 / 1600 / 3200 / 6400 </t>
    </r>
    <r>
      <rPr>
        <sz val="9"/>
        <color rgb="FF8A93A3"/>
        <rFont val="Noto Sans CJK SC"/>
        <family val="2"/>
      </rPr>
      <t xml:space="preserve">から選ぶ</t>
    </r>
  </si>
  <si>
    <r>
      <rPr>
        <sz val="10"/>
        <color rgb="FFE6E8EC"/>
        <rFont val="Noto Sans CJK SC"/>
        <family val="2"/>
      </rPr>
      <t xml:space="preserve">周波数分解能 </t>
    </r>
    <r>
      <rPr>
        <sz val="10"/>
        <color rgb="FFE6E8EC"/>
        <rFont val="Arial"/>
        <family val="0"/>
        <charset val="1"/>
      </rPr>
      <t xml:space="preserve">Δf [Hz]</t>
    </r>
  </si>
  <si>
    <r>
      <rPr>
        <sz val="9"/>
        <color rgb="FF8A93A3"/>
        <rFont val="Arial"/>
        <family val="0"/>
        <charset val="1"/>
      </rPr>
      <t xml:space="preserve">Δf</t>
    </r>
    <r>
      <rPr>
        <sz val="9"/>
        <color rgb="FF8A93A3"/>
        <rFont val="Noto Sans CJK SC"/>
        <family val="2"/>
      </rPr>
      <t xml:space="preserve">＝</t>
    </r>
    <r>
      <rPr>
        <sz val="9"/>
        <color rgb="FF8A93A3"/>
        <rFont val="Arial"/>
        <family val="0"/>
        <charset val="1"/>
      </rPr>
      <t xml:space="preserve">fmax ÷ </t>
    </r>
    <r>
      <rPr>
        <sz val="9"/>
        <color rgb="FF8A93A3"/>
        <rFont val="Noto Sans CJK SC"/>
        <family val="2"/>
      </rPr>
      <t xml:space="preserve">ライン数</t>
    </r>
  </si>
  <si>
    <r>
      <rPr>
        <sz val="10"/>
        <color rgb="FFE6E8EC"/>
        <rFont val="Arial"/>
        <family val="0"/>
        <charset val="1"/>
      </rPr>
      <t xml:space="preserve">1</t>
    </r>
    <r>
      <rPr>
        <sz val="10"/>
        <color rgb="FFE6E8EC"/>
        <rFont val="Noto Sans CJK SC"/>
        <family val="2"/>
      </rPr>
      <t xml:space="preserve">レコードの取得時間 </t>
    </r>
    <r>
      <rPr>
        <sz val="10"/>
        <color rgb="FFE6E8EC"/>
        <rFont val="Arial"/>
        <family val="0"/>
        <charset val="1"/>
      </rPr>
      <t xml:space="preserve">T [s]</t>
    </r>
  </si>
  <si>
    <r>
      <rPr>
        <sz val="9"/>
        <color rgb="FF8A93A3"/>
        <rFont val="Arial"/>
        <family val="0"/>
        <charset val="1"/>
      </rPr>
      <t xml:space="preserve">T</t>
    </r>
    <r>
      <rPr>
        <sz val="9"/>
        <color rgb="FF8A93A3"/>
        <rFont val="Noto Sans CJK SC"/>
        <family val="2"/>
      </rPr>
      <t xml:space="preserve">＝</t>
    </r>
    <r>
      <rPr>
        <sz val="9"/>
        <color rgb="FF8A93A3"/>
        <rFont val="Arial"/>
        <family val="0"/>
        <charset val="1"/>
      </rPr>
      <t xml:space="preserve">1/Δf</t>
    </r>
    <r>
      <rPr>
        <sz val="9"/>
        <color rgb="FF8A93A3"/>
        <rFont val="Noto Sans CJK SC"/>
        <family val="2"/>
      </rPr>
      <t xml:space="preserve">。これより短く窓を切ると漏れ（リーケージ）が出る</t>
    </r>
  </si>
  <si>
    <r>
      <rPr>
        <sz val="10"/>
        <color rgb="FFE6E8EC"/>
        <rFont val="Noto Sans CJK SC"/>
        <family val="2"/>
      </rPr>
      <t xml:space="preserve">時系列点数 </t>
    </r>
    <r>
      <rPr>
        <sz val="10"/>
        <color rgb="FFE6E8EC"/>
        <rFont val="Arial"/>
        <family val="0"/>
        <charset val="1"/>
      </rPr>
      <t xml:space="preserve">N</t>
    </r>
  </si>
  <si>
    <r>
      <rPr>
        <sz val="9"/>
        <color rgb="FF8A93A3"/>
        <rFont val="Noto Sans CJK SC"/>
        <family val="2"/>
      </rPr>
      <t xml:space="preserve">＝ライン数 </t>
    </r>
    <r>
      <rPr>
        <sz val="9"/>
        <color rgb="FF8A93A3"/>
        <rFont val="Arial"/>
        <family val="0"/>
        <charset val="1"/>
      </rPr>
      <t xml:space="preserve">× 2.56</t>
    </r>
  </si>
  <si>
    <r>
      <rPr>
        <sz val="10"/>
        <color rgb="FFE6E8EC"/>
        <rFont val="Noto Sans CJK SC"/>
        <family val="2"/>
      </rPr>
      <t xml:space="preserve">分離したい最小の周波数差 </t>
    </r>
    <r>
      <rPr>
        <sz val="10"/>
        <color rgb="FFE6E8EC"/>
        <rFont val="Arial"/>
        <family val="0"/>
        <charset val="1"/>
      </rPr>
      <t xml:space="preserve">δf [Hz]</t>
    </r>
  </si>
  <si>
    <r>
      <rPr>
        <sz val="9"/>
        <color rgb="FF8A93A3"/>
        <rFont val="Noto Sans CJK SC"/>
        <family val="2"/>
      </rPr>
      <t xml:space="preserve">近接する</t>
    </r>
    <r>
      <rPr>
        <sz val="9"/>
        <color rgb="FF8A93A3"/>
        <rFont val="Arial"/>
        <family val="0"/>
        <charset val="1"/>
      </rPr>
      <t xml:space="preserve">2</t>
    </r>
    <r>
      <rPr>
        <sz val="9"/>
        <color rgb="FF8A93A3"/>
        <rFont val="Noto Sans CJK SC"/>
        <family val="2"/>
      </rPr>
      <t xml:space="preserve">つのピークをどれだけ分けたいか</t>
    </r>
  </si>
  <si>
    <r>
      <rPr>
        <sz val="10"/>
        <color rgb="FFE6E8EC"/>
        <rFont val="Arial"/>
        <family val="0"/>
        <charset val="1"/>
      </rPr>
      <t xml:space="preserve">Δf </t>
    </r>
    <r>
      <rPr>
        <sz val="10"/>
        <color rgb="FFE6E8EC"/>
        <rFont val="Noto Sans CJK SC"/>
        <family val="2"/>
      </rPr>
      <t xml:space="preserve">は </t>
    </r>
    <r>
      <rPr>
        <sz val="10"/>
        <color rgb="FFE6E8EC"/>
        <rFont val="Arial"/>
        <family val="0"/>
        <charset val="1"/>
      </rPr>
      <t xml:space="preserve">δf </t>
    </r>
    <r>
      <rPr>
        <sz val="10"/>
        <color rgb="FFE6E8EC"/>
        <rFont val="Noto Sans CJK SC"/>
        <family val="2"/>
      </rPr>
      <t xml:space="preserve">の何分の</t>
    </r>
    <r>
      <rPr>
        <sz val="10"/>
        <color rgb="FFE6E8EC"/>
        <rFont val="Arial"/>
        <family val="0"/>
        <charset val="1"/>
      </rPr>
      <t xml:space="preserve">1</t>
    </r>
    <r>
      <rPr>
        <sz val="10"/>
        <color rgb="FFE6E8EC"/>
        <rFont val="Noto Sans CJK SC"/>
        <family val="2"/>
      </rPr>
      <t xml:space="preserve">か</t>
    </r>
  </si>
  <si>
    <r>
      <rPr>
        <sz val="9"/>
        <color rgb="FF8A93A3"/>
        <rFont val="Arial"/>
        <family val="0"/>
        <charset val="1"/>
      </rPr>
      <t xml:space="preserve">3</t>
    </r>
    <r>
      <rPr>
        <sz val="9"/>
        <color rgb="FF8A93A3"/>
        <rFont val="Noto Sans CJK SC"/>
        <family val="2"/>
      </rPr>
      <t xml:space="preserve">以上あれば分離できる</t>
    </r>
  </si>
  <si>
    <t xml:space="preserve">分解能 判定</t>
  </si>
  <si>
    <t xml:space="preserve">近接モード（縮退ペア）を見るならここが命</t>
  </si>
  <si>
    <r>
      <rPr>
        <b val="true"/>
        <sz val="12"/>
        <color rgb="FF7DB4FF"/>
        <rFont val="Arial"/>
        <family val="0"/>
        <charset val="1"/>
      </rPr>
      <t xml:space="preserve">■ B. </t>
    </r>
    <r>
      <rPr>
        <b val="true"/>
        <sz val="12"/>
        <color rgb="FF7DB4FF"/>
        <rFont val="Noto Sans CJK SC"/>
        <family val="2"/>
      </rPr>
      <t xml:space="preserve">吊り（つり）の設計 — ピアノ線の太さと長さを決める</t>
    </r>
  </si>
  <si>
    <r>
      <rPr>
        <sz val="10"/>
        <color rgb="FFE6E8EC"/>
        <rFont val="Noto Sans CJK SC"/>
        <family val="2"/>
      </rPr>
      <t xml:space="preserve">吊り線の本数 </t>
    </r>
    <r>
      <rPr>
        <sz val="10"/>
        <color rgb="FFE6E8EC"/>
        <rFont val="Arial"/>
        <family val="0"/>
        <charset val="1"/>
      </rPr>
      <t xml:space="preserve">n</t>
    </r>
  </si>
  <si>
    <r>
      <rPr>
        <sz val="9"/>
        <color rgb="FF8A93A3"/>
        <rFont val="Arial"/>
        <family val="0"/>
        <charset val="1"/>
      </rPr>
      <t xml:space="preserve">1</t>
    </r>
    <r>
      <rPr>
        <sz val="9"/>
        <color rgb="FF8A93A3"/>
        <rFont val="Noto Sans CJK SC"/>
        <family val="2"/>
      </rPr>
      <t xml:space="preserve">本吊りか</t>
    </r>
    <r>
      <rPr>
        <sz val="9"/>
        <color rgb="FF8A93A3"/>
        <rFont val="Arial"/>
        <family val="0"/>
        <charset val="1"/>
      </rPr>
      <t xml:space="preserve">2</t>
    </r>
    <r>
      <rPr>
        <sz val="9"/>
        <color rgb="FF8A93A3"/>
        <rFont val="Noto Sans CJK SC"/>
        <family val="2"/>
      </rPr>
      <t xml:space="preserve">本吊りか</t>
    </r>
  </si>
  <si>
    <r>
      <rPr>
        <sz val="10"/>
        <color rgb="FFE6E8EC"/>
        <rFont val="Noto Sans CJK SC"/>
        <family val="2"/>
      </rPr>
      <t xml:space="preserve">吊り線の直径 </t>
    </r>
    <r>
      <rPr>
        <sz val="10"/>
        <color rgb="FFE6E8EC"/>
        <rFont val="Arial"/>
        <family val="0"/>
        <charset val="1"/>
      </rPr>
      <t xml:space="preserve">d [mm]</t>
    </r>
  </si>
  <si>
    <r>
      <rPr>
        <sz val="9"/>
        <color rgb="FF8A93A3"/>
        <rFont val="Noto Sans CJK SC"/>
        <family val="2"/>
      </rPr>
      <t xml:space="preserve">ピアノ線 </t>
    </r>
    <r>
      <rPr>
        <sz val="9"/>
        <color rgb="FF8A93A3"/>
        <rFont val="Arial"/>
        <family val="0"/>
        <charset val="1"/>
      </rPr>
      <t xml:space="preserve">SWP-A φ0.3</t>
    </r>
    <r>
      <rPr>
        <sz val="9"/>
        <color rgb="FF8A93A3"/>
        <rFont val="Noto Sans CJK SC"/>
        <family val="2"/>
      </rPr>
      <t xml:space="preserve">〜</t>
    </r>
    <r>
      <rPr>
        <sz val="9"/>
        <color rgb="FF8A93A3"/>
        <rFont val="Arial"/>
        <family val="0"/>
        <charset val="1"/>
      </rPr>
      <t xml:space="preserve">0.5 </t>
    </r>
    <r>
      <rPr>
        <sz val="9"/>
        <color rgb="FF8A93A3"/>
        <rFont val="Noto Sans CJK SC"/>
        <family val="2"/>
      </rPr>
      <t xml:space="preserve">が定番</t>
    </r>
  </si>
  <si>
    <r>
      <rPr>
        <sz val="10"/>
        <color rgb="FFE6E8EC"/>
        <rFont val="Noto Sans CJK SC"/>
        <family val="2"/>
      </rPr>
      <t xml:space="preserve">吊り線のヤング率 </t>
    </r>
    <r>
      <rPr>
        <sz val="10"/>
        <color rgb="FFE6E8EC"/>
        <rFont val="Arial"/>
        <family val="0"/>
        <charset val="1"/>
      </rPr>
      <t xml:space="preserve">E [GPa]</t>
    </r>
  </si>
  <si>
    <r>
      <rPr>
        <sz val="9"/>
        <color rgb="FF8A93A3"/>
        <rFont val="Noto Sans CJK SC"/>
        <family val="2"/>
      </rPr>
      <t xml:space="preserve">ピアノ線・ステンレス線とも約</t>
    </r>
    <r>
      <rPr>
        <sz val="9"/>
        <color rgb="FF8A93A3"/>
        <rFont val="Arial"/>
        <family val="0"/>
        <charset val="1"/>
      </rPr>
      <t xml:space="preserve">205</t>
    </r>
  </si>
  <si>
    <r>
      <rPr>
        <sz val="10"/>
        <color rgb="FFE6E8EC"/>
        <rFont val="Noto Sans CJK SC"/>
        <family val="2"/>
      </rPr>
      <t xml:space="preserve">吊り線の自由長 </t>
    </r>
    <r>
      <rPr>
        <sz val="10"/>
        <color rgb="FFE6E8EC"/>
        <rFont val="Arial"/>
        <family val="0"/>
        <charset val="1"/>
      </rPr>
      <t xml:space="preserve">L [mm]</t>
    </r>
  </si>
  <si>
    <t xml:space="preserve">長いほど柔らかく、バウンスモードが下がる</t>
  </si>
  <si>
    <r>
      <rPr>
        <sz val="10"/>
        <color rgb="FFE6E8EC"/>
        <rFont val="Noto Sans CJK SC"/>
        <family val="2"/>
      </rPr>
      <t xml:space="preserve">試験体の質量 </t>
    </r>
    <r>
      <rPr>
        <sz val="10"/>
        <color rgb="FFE6E8EC"/>
        <rFont val="Arial"/>
        <family val="0"/>
        <charset val="1"/>
      </rPr>
      <t xml:space="preserve">m [g]</t>
    </r>
  </si>
  <si>
    <t xml:space="preserve">断面シートの予測質量（実測があればそちらを手入力）</t>
  </si>
  <si>
    <r>
      <rPr>
        <sz val="10"/>
        <color rgb="FFE6E8EC"/>
        <rFont val="Noto Sans CJK SC"/>
        <family val="2"/>
      </rPr>
      <t xml:space="preserve">線</t>
    </r>
    <r>
      <rPr>
        <sz val="10"/>
        <color rgb="FFE6E8EC"/>
        <rFont val="Arial"/>
        <family val="0"/>
        <charset val="1"/>
      </rPr>
      <t xml:space="preserve">1</t>
    </r>
    <r>
      <rPr>
        <sz val="10"/>
        <color rgb="FFE6E8EC"/>
        <rFont val="Noto Sans CJK SC"/>
        <family val="2"/>
      </rPr>
      <t xml:space="preserve">本の断面積 </t>
    </r>
    <r>
      <rPr>
        <sz val="10"/>
        <color rgb="FFE6E8EC"/>
        <rFont val="Arial"/>
        <family val="0"/>
        <charset val="1"/>
      </rPr>
      <t xml:space="preserve">A [m²]</t>
    </r>
  </si>
  <si>
    <r>
      <rPr>
        <sz val="9"/>
        <color rgb="FF8A93A3"/>
        <rFont val="Arial"/>
        <family val="0"/>
        <charset val="1"/>
      </rPr>
      <t xml:space="preserve">A</t>
    </r>
    <r>
      <rPr>
        <sz val="9"/>
        <color rgb="FF8A93A3"/>
        <rFont val="Noto Sans CJK SC"/>
        <family val="2"/>
      </rPr>
      <t xml:space="preserve">＝</t>
    </r>
    <r>
      <rPr>
        <sz val="9"/>
        <color rgb="FF8A93A3"/>
        <rFont val="Arial"/>
        <family val="0"/>
        <charset val="1"/>
      </rPr>
      <t xml:space="preserve">πd²/4</t>
    </r>
  </si>
  <si>
    <r>
      <rPr>
        <sz val="10"/>
        <color rgb="FFE6E8EC"/>
        <rFont val="Noto Sans CJK SC"/>
        <family val="2"/>
      </rPr>
      <t xml:space="preserve">縦（バウンス）剛性 </t>
    </r>
    <r>
      <rPr>
        <sz val="10"/>
        <color rgb="FFE6E8EC"/>
        <rFont val="Arial"/>
        <family val="0"/>
        <charset val="1"/>
      </rPr>
      <t xml:space="preserve">k [N/m]</t>
    </r>
  </si>
  <si>
    <r>
      <rPr>
        <sz val="9"/>
        <color rgb="FF8A93A3"/>
        <rFont val="Arial"/>
        <family val="0"/>
        <charset val="1"/>
      </rPr>
      <t xml:space="preserve">k</t>
    </r>
    <r>
      <rPr>
        <sz val="9"/>
        <color rgb="FF8A93A3"/>
        <rFont val="Noto Sans CJK SC"/>
        <family val="2"/>
      </rPr>
      <t xml:space="preserve">＝</t>
    </r>
    <r>
      <rPr>
        <sz val="9"/>
        <color rgb="FF8A93A3"/>
        <rFont val="Arial"/>
        <family val="0"/>
        <charset val="1"/>
      </rPr>
      <t xml:space="preserve">n·E·A/L</t>
    </r>
  </si>
  <si>
    <r>
      <rPr>
        <sz val="10"/>
        <color rgb="FFE6E8EC"/>
        <rFont val="Noto Sans CJK SC"/>
        <family val="2"/>
      </rPr>
      <t xml:space="preserve">バウンスモード </t>
    </r>
    <r>
      <rPr>
        <sz val="10"/>
        <color rgb="FFE6E8EC"/>
        <rFont val="Arial"/>
        <family val="0"/>
        <charset val="1"/>
      </rPr>
      <t xml:space="preserve">f_b [Hz]</t>
    </r>
  </si>
  <si>
    <t xml:space="preserve">上下にピョコピョコ跳ねる剛体モード</t>
  </si>
  <si>
    <r>
      <rPr>
        <sz val="10"/>
        <color rgb="FFE6E8EC"/>
        <rFont val="Noto Sans CJK SC"/>
        <family val="2"/>
      </rPr>
      <t xml:space="preserve">振り子モード </t>
    </r>
    <r>
      <rPr>
        <sz val="10"/>
        <color rgb="FFE6E8EC"/>
        <rFont val="Arial"/>
        <family val="0"/>
        <charset val="1"/>
      </rPr>
      <t xml:space="preserve">f_p [Hz]</t>
    </r>
  </si>
  <si>
    <t xml:space="preserve">前後にブランコする剛体モード</t>
  </si>
  <si>
    <r>
      <rPr>
        <sz val="10"/>
        <color rgb="FFE6E8EC"/>
        <rFont val="Arial"/>
        <family val="0"/>
        <charset val="1"/>
      </rPr>
      <t xml:space="preserve">1</t>
    </r>
    <r>
      <rPr>
        <sz val="10"/>
        <color rgb="FFE6E8EC"/>
        <rFont val="Noto Sans CJK SC"/>
        <family val="2"/>
      </rPr>
      <t xml:space="preserve">次面外曲げ </t>
    </r>
    <r>
      <rPr>
        <sz val="10"/>
        <color rgb="FFE6E8EC"/>
        <rFont val="Arial"/>
        <family val="0"/>
        <charset val="1"/>
      </rPr>
      <t xml:space="preserve">f₁ [Hz]</t>
    </r>
  </si>
  <si>
    <t xml:space="preserve">弾性モードのいちばん下</t>
  </si>
  <si>
    <r>
      <rPr>
        <sz val="10"/>
        <color rgb="FFE6E8EC"/>
        <rFont val="Arial"/>
        <family val="0"/>
        <charset val="1"/>
      </rPr>
      <t xml:space="preserve">f₁ ÷ f_b</t>
    </r>
    <r>
      <rPr>
        <sz val="10"/>
        <color rgb="FFE6E8EC"/>
        <rFont val="Noto Sans CJK SC"/>
        <family val="2"/>
      </rPr>
      <t xml:space="preserve">（</t>
    </r>
    <r>
      <rPr>
        <sz val="10"/>
        <color rgb="FFE6E8EC"/>
        <rFont val="Arial"/>
        <family val="0"/>
        <charset val="1"/>
      </rPr>
      <t xml:space="preserve">1:10 </t>
    </r>
    <r>
      <rPr>
        <sz val="10"/>
        <color rgb="FFE6E8EC"/>
        <rFont val="Noto Sans CJK SC"/>
        <family val="2"/>
      </rPr>
      <t xml:space="preserve">ルール）</t>
    </r>
  </si>
  <si>
    <r>
      <rPr>
        <sz val="9"/>
        <color rgb="FF8A93A3"/>
        <rFont val="Arial"/>
        <family val="0"/>
        <charset val="1"/>
      </rPr>
      <t xml:space="preserve">10</t>
    </r>
    <r>
      <rPr>
        <sz val="9"/>
        <color rgb="FF8A93A3"/>
        <rFont val="Noto Sans CJK SC"/>
        <family val="2"/>
      </rPr>
      <t xml:space="preserve">以上なら吊りの影響は無視できる</t>
    </r>
  </si>
  <si>
    <t xml:space="preserve">吊り 判定</t>
  </si>
  <si>
    <t xml:space="preserve">🟢 検証済みの実務ルール</t>
  </si>
  <si>
    <r>
      <rPr>
        <sz val="9.5"/>
        <color rgb="FFB9C1D1"/>
        <rFont val="Arial"/>
        <family val="0"/>
        <charset val="1"/>
      </rPr>
      <t xml:space="preserve">※ Δf </t>
    </r>
    <r>
      <rPr>
        <sz val="9.5"/>
        <color rgb="FFB9C1D1"/>
        <rFont val="Noto Sans CJK SC"/>
        <family val="2"/>
      </rPr>
      <t xml:space="preserve">を細かくしたいのに ライン数が足りないときは、周波数レンジ（スパン）を狭める＝ズーム測定が正解です。</t>
    </r>
    <r>
      <rPr>
        <sz val="9.5"/>
        <color rgb="FFB9C1D1"/>
        <rFont val="Arial"/>
        <family val="0"/>
        <charset val="1"/>
      </rPr>
      <t xml:space="preserve">0</t>
    </r>
    <r>
      <rPr>
        <sz val="9.5"/>
        <color rgb="FFB9C1D1"/>
        <rFont val="Noto Sans CJK SC"/>
        <family val="2"/>
      </rPr>
      <t xml:space="preserve">〜</t>
    </r>
    <r>
      <rPr>
        <sz val="9.5"/>
        <color rgb="FFB9C1D1"/>
        <rFont val="Arial"/>
        <family val="0"/>
        <charset val="1"/>
      </rPr>
      <t xml:space="preserve">40kHz </t>
    </r>
    <r>
      <rPr>
        <sz val="9.5"/>
        <color rgb="FFB9C1D1"/>
        <rFont val="Noto Sans CJK SC"/>
        <family val="2"/>
      </rPr>
      <t xml:space="preserve">を一気に細かく見るのは無理があります。</t>
    </r>
  </si>
  <si>
    <t xml:space="preserve">※ 吊り位置は「そのモードの節（ふし）」に近い場所を選ぶ。逆に叩く場所は「腹（はら）」を選ぶ。＝正反対の要求です。</t>
  </si>
  <si>
    <r>
      <rPr>
        <b val="true"/>
        <sz val="12"/>
        <color rgb="FF7DB4FF"/>
        <rFont val="Arial"/>
        <family val="0"/>
        <charset val="1"/>
      </rPr>
      <t xml:space="preserve">■ C. </t>
    </r>
    <r>
      <rPr>
        <b val="true"/>
        <sz val="12"/>
        <color rgb="FF7DB4FF"/>
        <rFont val="Noto Sans CJK SC"/>
        <family val="2"/>
      </rPr>
      <t xml:space="preserve">ハンマー（インパクト）の設計</t>
    </r>
  </si>
  <si>
    <r>
      <rPr>
        <sz val="10"/>
        <color rgb="FFE6E8EC"/>
        <rFont val="Noto Sans CJK SC"/>
        <family val="2"/>
      </rPr>
      <t xml:space="preserve">狙う上限周波数 </t>
    </r>
    <r>
      <rPr>
        <sz val="10"/>
        <color rgb="FFE6E8EC"/>
        <rFont val="Arial"/>
        <family val="0"/>
        <charset val="1"/>
      </rPr>
      <t xml:space="preserve">fmax [Hz]</t>
    </r>
  </si>
  <si>
    <r>
      <rPr>
        <sz val="9"/>
        <color rgb="FF8A93A3"/>
        <rFont val="Arial"/>
        <family val="0"/>
        <charset val="1"/>
      </rPr>
      <t xml:space="preserve">A</t>
    </r>
    <r>
      <rPr>
        <sz val="9"/>
        <color rgb="FF8A93A3"/>
        <rFont val="Noto Sans CJK SC"/>
        <family val="2"/>
      </rPr>
      <t xml:space="preserve">で決めた値</t>
    </r>
  </si>
  <si>
    <r>
      <rPr>
        <sz val="10"/>
        <color rgb="FFE6E8EC"/>
        <rFont val="Noto Sans CJK SC"/>
        <family val="2"/>
      </rPr>
      <t xml:space="preserve">必要なパルス幅 </t>
    </r>
    <r>
      <rPr>
        <sz val="10"/>
        <color rgb="FFE6E8EC"/>
        <rFont val="Arial"/>
        <family val="0"/>
        <charset val="1"/>
      </rPr>
      <t xml:space="preserve">τ [s]</t>
    </r>
    <r>
      <rPr>
        <sz val="10"/>
        <color rgb="FFE6E8EC"/>
        <rFont val="Noto Sans CJK SC"/>
        <family val="2"/>
      </rPr>
      <t xml:space="preserve">（目安）</t>
    </r>
  </si>
  <si>
    <r>
      <rPr>
        <sz val="9"/>
        <color rgb="FF8A93A3"/>
        <rFont val="Arial"/>
        <family val="0"/>
        <charset val="1"/>
      </rPr>
      <t xml:space="preserve">τ ≒ 1/(2·fmax)</t>
    </r>
    <r>
      <rPr>
        <sz val="9"/>
        <color rgb="FF8A93A3"/>
        <rFont val="Noto Sans CJK SC"/>
        <family val="2"/>
      </rPr>
      <t xml:space="preserve">。これより長いと高周波に力が入らない</t>
    </r>
  </si>
  <si>
    <r>
      <rPr>
        <sz val="10"/>
        <color rgb="FFE6E8EC"/>
        <rFont val="Noto Sans CJK SC"/>
        <family val="2"/>
      </rPr>
      <t xml:space="preserve">必要なパルス幅 </t>
    </r>
    <r>
      <rPr>
        <sz val="10"/>
        <color rgb="FFE6E8EC"/>
        <rFont val="Arial"/>
        <family val="0"/>
        <charset val="1"/>
      </rPr>
      <t xml:space="preserve">τ [μs]</t>
    </r>
  </si>
  <si>
    <r>
      <rPr>
        <sz val="9"/>
        <color rgb="FF8A93A3"/>
        <rFont val="Arial"/>
        <family val="0"/>
        <charset val="1"/>
      </rPr>
      <t xml:space="preserve">40kHz </t>
    </r>
    <r>
      <rPr>
        <sz val="9"/>
        <color rgb="FF8A93A3"/>
        <rFont val="Noto Sans CJK SC"/>
        <family val="2"/>
      </rPr>
      <t xml:space="preserve">なら約</t>
    </r>
    <r>
      <rPr>
        <sz val="9"/>
        <color rgb="FF8A93A3"/>
        <rFont val="Arial"/>
        <family val="0"/>
        <charset val="1"/>
      </rPr>
      <t xml:space="preserve">12.5μs</t>
    </r>
    <r>
      <rPr>
        <sz val="9"/>
        <color rgb="FF8A93A3"/>
        <rFont val="Noto Sans CJK SC"/>
        <family val="2"/>
      </rPr>
      <t xml:space="preserve">＝きわめて硬いチップが必要</t>
    </r>
  </si>
  <si>
    <t xml:space="preserve">チップの目安</t>
  </si>
  <si>
    <t xml:space="preserve">硬いほど高周波まで入るが、二度打ちしやすくなる 🟡</t>
  </si>
  <si>
    <r>
      <rPr>
        <sz val="9.5"/>
        <color rgb="FFB9C1D1"/>
        <rFont val="Noto Sans CJK SC"/>
        <family val="2"/>
      </rPr>
      <t xml:space="preserve">・裏板は軽いので、大きいハンマーだと質量負荷と過大入力になります。小型（数十</t>
    </r>
    <r>
      <rPr>
        <sz val="9.5"/>
        <color rgb="FFB9C1D1"/>
        <rFont val="Arial"/>
        <family val="0"/>
        <charset val="1"/>
      </rPr>
      <t xml:space="preserve">g</t>
    </r>
    <r>
      <rPr>
        <sz val="9.5"/>
        <color rgb="FFB9C1D1"/>
        <rFont val="Noto Sans CJK SC"/>
        <family val="2"/>
      </rPr>
      <t xml:space="preserve">）を選ぶ。</t>
    </r>
  </si>
  <si>
    <r>
      <rPr>
        <sz val="9.5"/>
        <color rgb="FFB9C1D1"/>
        <rFont val="Noto Sans CJK SC"/>
        <family val="2"/>
      </rPr>
      <t xml:space="preserve">・二度打ち（ダブルヒット）は力スペクトルを壊します。時間波形を必ず見て、山が</t>
    </r>
    <r>
      <rPr>
        <sz val="9.5"/>
        <color rgb="FFB9C1D1"/>
        <rFont val="Arial"/>
        <family val="0"/>
        <charset val="1"/>
      </rPr>
      <t xml:space="preserve">2</t>
    </r>
    <r>
      <rPr>
        <sz val="9.5"/>
        <color rgb="FFB9C1D1"/>
        <rFont val="Noto Sans CJK SC"/>
        <family val="2"/>
      </rPr>
      <t xml:space="preserve">つ出ていないか確認。</t>
    </r>
  </si>
  <si>
    <t xml:space="preserve">・力信号には短い矩形窓（フォースウィンドウ）、応答には指数窓。ただし指数窓は減衰を人工的に足すので、</t>
  </si>
  <si>
    <r>
      <rPr>
        <sz val="9.5"/>
        <color rgb="FFB9C1D1"/>
        <rFont val="Noto Sans CJK SC"/>
        <family val="2"/>
      </rPr>
      <t xml:space="preserve">　損失係数を測りたいときは </t>
    </r>
    <r>
      <rPr>
        <sz val="9.5"/>
        <color rgb="FFB9C1D1"/>
        <rFont val="Arial"/>
        <family val="0"/>
        <charset val="1"/>
      </rPr>
      <t xml:space="preserve">periodic chirp </t>
    </r>
    <r>
      <rPr>
        <sz val="9.5"/>
        <color rgb="FFB9C1D1"/>
        <rFont val="Noto Sans CJK SC"/>
        <family val="2"/>
      </rPr>
      <t xml:space="preserve">か </t>
    </r>
    <r>
      <rPr>
        <sz val="9.5"/>
        <color rgb="FFB9C1D1"/>
        <rFont val="Arial"/>
        <family val="0"/>
        <charset val="1"/>
      </rPr>
      <t xml:space="preserve">burst random</t>
    </r>
    <r>
      <rPr>
        <sz val="9.5"/>
        <color rgb="FFB9C1D1"/>
        <rFont val="Noto Sans CJK SC"/>
        <family val="2"/>
      </rPr>
      <t xml:space="preserve">（加振器）に切り替えるのが正解です。</t>
    </r>
  </si>
  <si>
    <r>
      <rPr>
        <sz val="9.5"/>
        <color rgb="FFB9C1D1"/>
        <rFont val="Noto Sans CJK SC"/>
        <family val="2"/>
      </rPr>
      <t xml:space="preserve">・金属だけは減衰が非常に小さく、長く鳴り続けます。取得時間 </t>
    </r>
    <r>
      <rPr>
        <sz val="9.5"/>
        <color rgb="FFB9C1D1"/>
        <rFont val="Arial"/>
        <family val="0"/>
        <charset val="1"/>
      </rPr>
      <t xml:space="preserve">T </t>
    </r>
    <r>
      <rPr>
        <sz val="9.5"/>
        <color rgb="FFB9C1D1"/>
        <rFont val="Noto Sans CJK SC"/>
        <family val="2"/>
      </rPr>
      <t xml:space="preserve">が短いとリーケージが出て周波数もわずかにずれます。</t>
    </r>
  </si>
  <si>
    <r>
      <rPr>
        <b val="true"/>
        <sz val="12"/>
        <color rgb="FF7DB4FF"/>
        <rFont val="Arial"/>
        <family val="0"/>
        <charset val="1"/>
      </rPr>
      <t xml:space="preserve">■ D. </t>
    </r>
    <r>
      <rPr>
        <b val="true"/>
        <sz val="12"/>
        <color rgb="FF7DB4FF"/>
        <rFont val="Noto Sans CJK SC"/>
        <family val="2"/>
      </rPr>
      <t xml:space="preserve">測定点（グリッド）の設計</t>
    </r>
  </si>
  <si>
    <r>
      <rPr>
        <sz val="10"/>
        <color rgb="FFE6E8EC"/>
        <rFont val="Noto Sans CJK SC"/>
        <family val="2"/>
      </rPr>
      <t xml:space="preserve">長手方向の点数 </t>
    </r>
    <r>
      <rPr>
        <sz val="10"/>
        <color rgb="FFE6E8EC"/>
        <rFont val="Arial"/>
        <family val="0"/>
        <charset val="1"/>
      </rPr>
      <t xml:space="preserve">Nx</t>
    </r>
  </si>
  <si>
    <r>
      <rPr>
        <sz val="9"/>
        <color rgb="FF8A93A3"/>
        <rFont val="Noto Sans CJK SC"/>
        <family val="2"/>
      </rPr>
      <t xml:space="preserve">最高次モードの半波長あたり</t>
    </r>
    <r>
      <rPr>
        <sz val="9"/>
        <color rgb="FF8A93A3"/>
        <rFont val="Arial"/>
        <family val="0"/>
        <charset val="1"/>
      </rPr>
      <t xml:space="preserve">3</t>
    </r>
    <r>
      <rPr>
        <sz val="9"/>
        <color rgb="FF8A93A3"/>
        <rFont val="Noto Sans CJK SC"/>
        <family val="2"/>
      </rPr>
      <t xml:space="preserve">点以上が目安</t>
    </r>
  </si>
  <si>
    <r>
      <rPr>
        <sz val="10"/>
        <color rgb="FFE6E8EC"/>
        <rFont val="Noto Sans CJK SC"/>
        <family val="2"/>
      </rPr>
      <t xml:space="preserve">半径方向の点数 </t>
    </r>
    <r>
      <rPr>
        <sz val="10"/>
        <color rgb="FFE6E8EC"/>
        <rFont val="Arial"/>
        <family val="0"/>
        <charset val="1"/>
      </rPr>
      <t xml:space="preserve">Ny</t>
    </r>
  </si>
  <si>
    <r>
      <rPr>
        <sz val="9"/>
        <color rgb="FF8A93A3"/>
        <rFont val="Arial"/>
        <family val="0"/>
        <charset val="1"/>
      </rPr>
      <t xml:space="preserve">★2</t>
    </r>
    <r>
      <rPr>
        <sz val="9"/>
        <color rgb="FF8A93A3"/>
        <rFont val="Noto Sans CJK SC"/>
        <family val="2"/>
      </rPr>
      <t xml:space="preserve">以上必須。</t>
    </r>
    <r>
      <rPr>
        <sz val="9"/>
        <color rgb="FF8A93A3"/>
        <rFont val="Arial"/>
        <family val="0"/>
        <charset val="1"/>
      </rPr>
      <t xml:space="preserve">1</t>
    </r>
    <r>
      <rPr>
        <sz val="9"/>
        <color rgb="FF8A93A3"/>
        <rFont val="Noto Sans CJK SC"/>
        <family val="2"/>
      </rPr>
      <t xml:space="preserve">列だとねじりモードが見えません</t>
    </r>
  </si>
  <si>
    <t xml:space="preserve">総点数</t>
  </si>
  <si>
    <r>
      <rPr>
        <sz val="9"/>
        <color rgb="FF8A93A3"/>
        <rFont val="Arial"/>
        <family val="0"/>
        <charset val="1"/>
      </rPr>
      <t xml:space="preserve">PSV-400 </t>
    </r>
    <r>
      <rPr>
        <sz val="9"/>
        <color rgb="FF8A93A3"/>
        <rFont val="Noto Sans CJK SC"/>
        <family val="2"/>
      </rPr>
      <t xml:space="preserve">のスキャン点数</t>
    </r>
  </si>
  <si>
    <r>
      <rPr>
        <sz val="10"/>
        <color rgb="FFE6E8EC"/>
        <rFont val="Noto Sans CJK SC"/>
        <family val="2"/>
      </rPr>
      <t xml:space="preserve">見たい最高次の波長 </t>
    </r>
    <r>
      <rPr>
        <sz val="10"/>
        <color rgb="FFE6E8EC"/>
        <rFont val="Arial"/>
        <family val="0"/>
        <charset val="1"/>
      </rPr>
      <t xml:space="preserve">λmin [mm]</t>
    </r>
  </si>
  <si>
    <t xml:space="preserve">固有振動数シートの波長の最小値</t>
  </si>
  <si>
    <r>
      <rPr>
        <sz val="10"/>
        <color rgb="FFE6E8EC"/>
        <rFont val="Arial"/>
        <family val="0"/>
        <charset val="1"/>
      </rPr>
      <t xml:space="preserve">1</t>
    </r>
    <r>
      <rPr>
        <sz val="10"/>
        <color rgb="FFE6E8EC"/>
        <rFont val="Noto Sans CJK SC"/>
        <family val="2"/>
      </rPr>
      <t xml:space="preserve">波長あたりの点数</t>
    </r>
  </si>
  <si>
    <r>
      <rPr>
        <sz val="9"/>
        <color rgb="FF8A93A3"/>
        <rFont val="Arial"/>
        <family val="0"/>
        <charset val="1"/>
      </rPr>
      <t xml:space="preserve">6</t>
    </r>
    <r>
      <rPr>
        <sz val="9"/>
        <color rgb="FF8A93A3"/>
        <rFont val="Noto Sans CJK SC"/>
        <family val="2"/>
      </rPr>
      <t xml:space="preserve">以上あればモード形がきれいに出る</t>
    </r>
  </si>
  <si>
    <t xml:space="preserve">グリッド 判定</t>
  </si>
  <si>
    <t xml:space="preserve">空間サンプリング定理。時間軸と同じ話です</t>
  </si>
  <si>
    <t xml:space="preserve">平均回数</t>
  </si>
  <si>
    <r>
      <rPr>
        <sz val="9"/>
        <color rgb="FF8A93A3"/>
        <rFont val="Noto Sans CJK SC"/>
        <family val="2"/>
      </rPr>
      <t xml:space="preserve">ハンマリングは</t>
    </r>
    <r>
      <rPr>
        <sz val="9"/>
        <color rgb="FF8A93A3"/>
        <rFont val="Arial"/>
        <family val="0"/>
        <charset val="1"/>
      </rPr>
      <t xml:space="preserve">5</t>
    </r>
    <r>
      <rPr>
        <sz val="9"/>
        <color rgb="FF8A93A3"/>
        <rFont val="Noto Sans CJK SC"/>
        <family val="2"/>
      </rPr>
      <t xml:space="preserve">〜</t>
    </r>
    <r>
      <rPr>
        <sz val="9"/>
        <color rgb="FF8A93A3"/>
        <rFont val="Arial"/>
        <family val="0"/>
        <charset val="1"/>
      </rPr>
      <t xml:space="preserve">10</t>
    </r>
    <r>
      <rPr>
        <sz val="9"/>
        <color rgb="FF8A93A3"/>
        <rFont val="Noto Sans CJK SC"/>
        <family val="2"/>
      </rPr>
      <t xml:space="preserve">回、加振器なら</t>
    </r>
    <r>
      <rPr>
        <sz val="9"/>
        <color rgb="FF8A93A3"/>
        <rFont val="Arial"/>
        <family val="0"/>
        <charset val="1"/>
      </rPr>
      <t xml:space="preserve">20</t>
    </r>
    <r>
      <rPr>
        <sz val="9"/>
        <color rgb="FF8A93A3"/>
        <rFont val="Noto Sans CJK SC"/>
        <family val="2"/>
      </rPr>
      <t xml:space="preserve">回以上でも可</t>
    </r>
  </si>
  <si>
    <r>
      <rPr>
        <sz val="10"/>
        <color rgb="FFE6E8EC"/>
        <rFont val="Arial"/>
        <family val="0"/>
        <charset val="1"/>
      </rPr>
      <t xml:space="preserve">1</t>
    </r>
    <r>
      <rPr>
        <sz val="10"/>
        <color rgb="FFE6E8EC"/>
        <rFont val="Noto Sans CJK SC"/>
        <family val="2"/>
      </rPr>
      <t xml:space="preserve">点あたりのオーバーヘッド </t>
    </r>
    <r>
      <rPr>
        <sz val="10"/>
        <color rgb="FFE6E8EC"/>
        <rFont val="Arial"/>
        <family val="0"/>
        <charset val="1"/>
      </rPr>
      <t xml:space="preserve">[s]</t>
    </r>
  </si>
  <si>
    <t xml:space="preserve">ミラー移動・整定・オートフォーカスの時間</t>
  </si>
  <si>
    <r>
      <rPr>
        <sz val="10"/>
        <color rgb="FFE6E8EC"/>
        <rFont val="Arial"/>
        <family val="0"/>
        <charset val="1"/>
      </rPr>
      <t xml:space="preserve">1</t>
    </r>
    <r>
      <rPr>
        <sz val="10"/>
        <color rgb="FFE6E8EC"/>
        <rFont val="Noto Sans CJK SC"/>
        <family val="2"/>
      </rPr>
      <t xml:space="preserve">点あたりの測定時間 </t>
    </r>
    <r>
      <rPr>
        <sz val="10"/>
        <color rgb="FFE6E8EC"/>
        <rFont val="Arial"/>
        <family val="0"/>
        <charset val="1"/>
      </rPr>
      <t xml:space="preserve">[s]</t>
    </r>
  </si>
  <si>
    <r>
      <rPr>
        <sz val="9"/>
        <color rgb="FF8A93A3"/>
        <rFont val="Noto Sans CJK SC"/>
        <family val="2"/>
      </rPr>
      <t xml:space="preserve">取得時間</t>
    </r>
    <r>
      <rPr>
        <sz val="9"/>
        <color rgb="FF8A93A3"/>
        <rFont val="Arial"/>
        <family val="0"/>
        <charset val="1"/>
      </rPr>
      <t xml:space="preserve">×</t>
    </r>
    <r>
      <rPr>
        <sz val="9"/>
        <color rgb="FF8A93A3"/>
        <rFont val="Noto Sans CJK SC"/>
        <family val="2"/>
      </rPr>
      <t xml:space="preserve">平均回数＋オーバーヘッド</t>
    </r>
  </si>
  <si>
    <r>
      <rPr>
        <sz val="10"/>
        <color rgb="FFE6E8EC"/>
        <rFont val="Noto Sans CJK SC"/>
        <family val="2"/>
      </rPr>
      <t xml:space="preserve">総測定時間の目安 </t>
    </r>
    <r>
      <rPr>
        <sz val="10"/>
        <color rgb="FFE6E8EC"/>
        <rFont val="Arial"/>
        <family val="0"/>
        <charset val="1"/>
      </rPr>
      <t xml:space="preserve">[</t>
    </r>
    <r>
      <rPr>
        <sz val="10"/>
        <color rgb="FFE6E8EC"/>
        <rFont val="Noto Sans CJK SC"/>
        <family val="2"/>
      </rPr>
      <t xml:space="preserve">分</t>
    </r>
    <r>
      <rPr>
        <sz val="10"/>
        <color rgb="FFE6E8EC"/>
        <rFont val="Arial"/>
        <family val="0"/>
        <charset val="1"/>
      </rPr>
      <t xml:space="preserve">]</t>
    </r>
  </si>
  <si>
    <r>
      <rPr>
        <sz val="9"/>
        <color rgb="FF8A93A3"/>
        <rFont val="Noto Sans CJK SC"/>
        <family val="2"/>
      </rPr>
      <t xml:space="preserve">セットアップ・アライメント・休憩は別途（実際はこの</t>
    </r>
    <r>
      <rPr>
        <sz val="9"/>
        <color rgb="FF8A93A3"/>
        <rFont val="Arial"/>
        <family val="0"/>
        <charset val="1"/>
      </rPr>
      <t xml:space="preserve">2</t>
    </r>
    <r>
      <rPr>
        <sz val="9"/>
        <color rgb="FF8A93A3"/>
        <rFont val="Noto Sans CJK SC"/>
        <family val="2"/>
      </rPr>
      <t xml:space="preserve">〜</t>
    </r>
    <r>
      <rPr>
        <sz val="9"/>
        <color rgb="FF8A93A3"/>
        <rFont val="Arial"/>
        <family val="0"/>
        <charset val="1"/>
      </rPr>
      <t xml:space="preserve">3</t>
    </r>
    <r>
      <rPr>
        <sz val="9"/>
        <color rgb="FF8A93A3"/>
        <rFont val="Noto Sans CJK SC"/>
        <family val="2"/>
      </rPr>
      <t xml:space="preserve">倍みておく）</t>
    </r>
  </si>
  <si>
    <t xml:space="preserve">・グリッド点を「穴の上」に置かないこと。レーザーが抜けてドロップアウトし、そのスパイクを構造のピークと誤認します。</t>
  </si>
  <si>
    <t xml:space="preserve">・中心線（長手軸）の上だけに点を置くと、ねじりモードは節線上なので完全に見えません。必ず軸から外した列を入れる。</t>
  </si>
  <si>
    <t xml:space="preserve">・角（かど）は多くのモードで腹になるので、加振点として第一候補です。</t>
  </si>
  <si>
    <r>
      <rPr>
        <b val="true"/>
        <sz val="12"/>
        <color rgb="FF7DB4FF"/>
        <rFont val="Arial"/>
        <family val="0"/>
        <charset val="1"/>
      </rPr>
      <t xml:space="preserve">■ E. </t>
    </r>
    <r>
      <rPr>
        <b val="true"/>
        <sz val="12"/>
        <color rgb="FF7DB4FF"/>
        <rFont val="Noto Sans CJK SC"/>
        <family val="2"/>
      </rPr>
      <t xml:space="preserve">品質チェック（測定中に必ず見る）</t>
    </r>
  </si>
  <si>
    <r>
      <rPr>
        <b val="true"/>
        <sz val="10"/>
        <color rgb="FFE6E8EC"/>
        <rFont val="Noto Sans CJK SC"/>
        <family val="2"/>
      </rPr>
      <t xml:space="preserve">コヒーレンス </t>
    </r>
    <r>
      <rPr>
        <b val="true"/>
        <sz val="10"/>
        <color rgb="FFE6E8EC"/>
        <rFont val="Arial"/>
        <family val="0"/>
        <charset val="1"/>
      </rPr>
      <t xml:space="preserve">γ²</t>
    </r>
  </si>
  <si>
    <r>
      <rPr>
        <sz val="10"/>
        <color rgb="FFE6E8EC"/>
        <rFont val="Noto Sans CJK SC"/>
        <family val="2"/>
      </rPr>
      <t xml:space="preserve">ピーク近傍で </t>
    </r>
    <r>
      <rPr>
        <sz val="10"/>
        <color rgb="FFE6E8EC"/>
        <rFont val="Arial"/>
        <family val="0"/>
        <charset val="1"/>
      </rPr>
      <t xml:space="preserve">0.9 </t>
    </r>
    <r>
      <rPr>
        <sz val="10"/>
        <color rgb="FFE6E8EC"/>
        <rFont val="Noto Sans CJK SC"/>
        <family val="2"/>
      </rPr>
      <t xml:space="preserve">以上。谷（反共振）で下がるのは正常</t>
    </r>
  </si>
  <si>
    <r>
      <rPr>
        <b val="true"/>
        <sz val="10"/>
        <color rgb="FFE6E8EC"/>
        <rFont val="Noto Sans CJK SC"/>
        <family val="2"/>
      </rPr>
      <t xml:space="preserve">駆動点</t>
    </r>
    <r>
      <rPr>
        <b val="true"/>
        <sz val="10"/>
        <color rgb="FFE6E8EC"/>
        <rFont val="Arial"/>
        <family val="0"/>
        <charset val="1"/>
      </rPr>
      <t xml:space="preserve">FRF</t>
    </r>
  </si>
  <si>
    <t xml:space="preserve">共振と反共振が交互に並んでいるか。抜けがあれば加振点が節に乗っている</t>
  </si>
  <si>
    <t xml:space="preserve">線形性チェック</t>
  </si>
  <si>
    <r>
      <rPr>
        <sz val="10"/>
        <color rgb="FFE6E8EC"/>
        <rFont val="Noto Sans CJK SC"/>
        <family val="2"/>
      </rPr>
      <t xml:space="preserve">叩く強さを</t>
    </r>
    <r>
      <rPr>
        <sz val="10"/>
        <color rgb="FFE6E8EC"/>
        <rFont val="Arial"/>
        <family val="0"/>
        <charset val="1"/>
      </rPr>
      <t xml:space="preserve">2</t>
    </r>
    <r>
      <rPr>
        <sz val="10"/>
        <color rgb="FFE6E8EC"/>
        <rFont val="Noto Sans CJK SC"/>
        <family val="2"/>
      </rPr>
      <t xml:space="preserve">倍にして</t>
    </r>
    <r>
      <rPr>
        <sz val="10"/>
        <color rgb="FFE6E8EC"/>
        <rFont val="Arial"/>
        <family val="0"/>
        <charset val="1"/>
      </rPr>
      <t xml:space="preserve">FRF</t>
    </r>
    <r>
      <rPr>
        <sz val="10"/>
        <color rgb="FFE6E8EC"/>
        <rFont val="Noto Sans CJK SC"/>
        <family val="2"/>
      </rPr>
      <t xml:space="preserve">が変わらないか。変わるなら非線形（接触・ガタ）</t>
    </r>
  </si>
  <si>
    <t xml:space="preserve">相反性チェック</t>
  </si>
  <si>
    <r>
      <rPr>
        <sz val="10"/>
        <color rgb="FFE6E8EC"/>
        <rFont val="Noto Sans CJK SC"/>
        <family val="2"/>
      </rPr>
      <t xml:space="preserve">点</t>
    </r>
    <r>
      <rPr>
        <sz val="10"/>
        <color rgb="FFE6E8EC"/>
        <rFont val="Arial"/>
        <family val="0"/>
        <charset val="1"/>
      </rPr>
      <t xml:space="preserve">A</t>
    </r>
    <r>
      <rPr>
        <sz val="10"/>
        <color rgb="FFE6E8EC"/>
        <rFont val="Noto Sans CJK SC"/>
        <family val="2"/>
      </rPr>
      <t xml:space="preserve">を叩いて点</t>
    </r>
    <r>
      <rPr>
        <sz val="10"/>
        <color rgb="FFE6E8EC"/>
        <rFont val="Arial"/>
        <family val="0"/>
        <charset val="1"/>
      </rPr>
      <t xml:space="preserve">B</t>
    </r>
    <r>
      <rPr>
        <sz val="10"/>
        <color rgb="FFE6E8EC"/>
        <rFont val="Noto Sans CJK SC"/>
        <family val="2"/>
      </rPr>
      <t xml:space="preserve">で受ける／逆にする。同じ</t>
    </r>
    <r>
      <rPr>
        <sz val="10"/>
        <color rgb="FFE6E8EC"/>
        <rFont val="Arial"/>
        <family val="0"/>
        <charset val="1"/>
      </rPr>
      <t xml:space="preserve">FRF</t>
    </r>
    <r>
      <rPr>
        <sz val="10"/>
        <color rgb="FFE6E8EC"/>
        <rFont val="Noto Sans CJK SC"/>
        <family val="2"/>
      </rPr>
      <t xml:space="preserve">になれば健全</t>
    </r>
  </si>
  <si>
    <t xml:space="preserve">オーバーロード</t>
  </si>
  <si>
    <r>
      <rPr>
        <sz val="10"/>
        <color rgb="FFE6E8EC"/>
        <rFont val="Arial"/>
        <family val="0"/>
        <charset val="1"/>
      </rPr>
      <t xml:space="preserve">1</t>
    </r>
    <r>
      <rPr>
        <sz val="10"/>
        <color rgb="FFE6E8EC"/>
        <rFont val="Noto Sans CJK SC"/>
        <family val="2"/>
      </rPr>
      <t xml:space="preserve">回でも赤ランプが出た平均は捨てる</t>
    </r>
  </si>
  <si>
    <t xml:space="preserve">吊りの影響</t>
  </si>
  <si>
    <r>
      <rPr>
        <sz val="10"/>
        <color rgb="FFE6E8EC"/>
        <rFont val="Noto Sans CJK SC"/>
        <family val="2"/>
      </rPr>
      <t xml:space="preserve">吊ったまま </t>
    </r>
    <r>
      <rPr>
        <sz val="10"/>
        <color rgb="FFE6E8EC"/>
        <rFont val="Arial"/>
        <family val="0"/>
        <charset val="1"/>
      </rPr>
      <t xml:space="preserve">vs </t>
    </r>
    <r>
      <rPr>
        <sz val="10"/>
        <color rgb="FFE6E8EC"/>
        <rFont val="Noto Sans CJK SC"/>
        <family val="2"/>
      </rPr>
      <t xml:space="preserve">手で持って軽く叩く で周波数が動かないか</t>
    </r>
  </si>
  <si>
    <r>
      <rPr>
        <b val="true"/>
        <sz val="12"/>
        <color rgb="FF7DB4FF"/>
        <rFont val="Arial"/>
        <family val="0"/>
        <charset val="1"/>
      </rPr>
      <t xml:space="preserve">■ F. </t>
    </r>
    <r>
      <rPr>
        <b val="true"/>
        <sz val="12"/>
        <color rgb="FF7DB4FF"/>
        <rFont val="Noto Sans CJK SC"/>
        <family val="2"/>
      </rPr>
      <t xml:space="preserve">当日の手順（この順で迷わない）</t>
    </r>
  </si>
  <si>
    <r>
      <rPr>
        <sz val="9.5"/>
        <color rgb="FFB9C1D1"/>
        <rFont val="Noto Sans CJK SC"/>
        <family val="2"/>
      </rPr>
      <t xml:space="preserve">① 電子天秤で質量を測り、断面シート </t>
    </r>
    <r>
      <rPr>
        <sz val="9.5"/>
        <color rgb="FFB9C1D1"/>
        <rFont val="Arial"/>
        <family val="0"/>
        <charset val="1"/>
      </rPr>
      <t xml:space="preserve">D33 </t>
    </r>
    <r>
      <rPr>
        <sz val="9.5"/>
        <color rgb="FFB9C1D1"/>
        <rFont val="Noto Sans CJK SC"/>
        <family val="2"/>
      </rPr>
      <t xml:space="preserve">に入力 → 質量チェックが🟢になることを確認</t>
    </r>
  </si>
  <si>
    <r>
      <rPr>
        <sz val="9.5"/>
        <color rgb="FFB9C1D1"/>
        <rFont val="Noto Sans CJK SC"/>
        <family val="2"/>
      </rPr>
      <t xml:space="preserve">② ノギスで </t>
    </r>
    <r>
      <rPr>
        <sz val="9.5"/>
        <color rgb="FFB9C1D1"/>
        <rFont val="Arial"/>
        <family val="0"/>
        <charset val="1"/>
      </rPr>
      <t xml:space="preserve">L</t>
    </r>
    <r>
      <rPr>
        <sz val="9.5"/>
        <color rgb="FFB9C1D1"/>
        <rFont val="Noto Sans CJK SC"/>
        <family val="2"/>
      </rPr>
      <t xml:space="preserve">・</t>
    </r>
    <r>
      <rPr>
        <sz val="9.5"/>
        <color rgb="FFB9C1D1"/>
        <rFont val="Arial"/>
        <family val="0"/>
        <charset val="1"/>
      </rPr>
      <t xml:space="preserve">w</t>
    </r>
    <r>
      <rPr>
        <sz val="9.5"/>
        <color rgb="FFB9C1D1"/>
        <rFont val="Noto Sans CJK SC"/>
        <family val="2"/>
      </rPr>
      <t xml:space="preserve">・板厚・穴径を測り直し、形状／断面シートを最終確定</t>
    </r>
  </si>
  <si>
    <r>
      <rPr>
        <sz val="9.5"/>
        <color rgb="FFB9C1D1"/>
        <rFont val="Noto Sans CJK SC"/>
        <family val="2"/>
      </rPr>
      <t xml:space="preserve">③ このシート</t>
    </r>
    <r>
      <rPr>
        <sz val="9.5"/>
        <color rgb="FFB9C1D1"/>
        <rFont val="Arial"/>
        <family val="0"/>
        <charset val="1"/>
      </rPr>
      <t xml:space="preserve">A</t>
    </r>
    <r>
      <rPr>
        <sz val="9.5"/>
        <color rgb="FFB9C1D1"/>
        <rFont val="Noto Sans CJK SC"/>
        <family val="2"/>
      </rPr>
      <t xml:space="preserve">で </t>
    </r>
    <r>
      <rPr>
        <sz val="9.5"/>
        <color rgb="FFB9C1D1"/>
        <rFont val="Arial"/>
        <family val="0"/>
        <charset val="1"/>
      </rPr>
      <t xml:space="preserve">Δf </t>
    </r>
    <r>
      <rPr>
        <sz val="9.5"/>
        <color rgb="FFB9C1D1"/>
        <rFont val="Noto Sans CJK SC"/>
        <family val="2"/>
      </rPr>
      <t xml:space="preserve">とライン数を決め、</t>
    </r>
    <r>
      <rPr>
        <sz val="9.5"/>
        <color rgb="FFB9C1D1"/>
        <rFont val="Arial"/>
        <family val="0"/>
        <charset val="1"/>
      </rPr>
      <t xml:space="preserve">RION / PSV </t>
    </r>
    <r>
      <rPr>
        <sz val="9.5"/>
        <color rgb="FFB9C1D1"/>
        <rFont val="Noto Sans CJK SC"/>
        <family val="2"/>
      </rPr>
      <t xml:space="preserve">に設定</t>
    </r>
  </si>
  <si>
    <r>
      <rPr>
        <sz val="9.5"/>
        <color rgb="FFB9C1D1"/>
        <rFont val="Noto Sans CJK SC"/>
        <family val="2"/>
      </rPr>
      <t xml:space="preserve">④ このシート</t>
    </r>
    <r>
      <rPr>
        <sz val="9.5"/>
        <color rgb="FFB9C1D1"/>
        <rFont val="Arial"/>
        <family val="0"/>
        <charset val="1"/>
      </rPr>
      <t xml:space="preserve">B</t>
    </r>
    <r>
      <rPr>
        <sz val="9.5"/>
        <color rgb="FFB9C1D1"/>
        <rFont val="Noto Sans CJK SC"/>
        <family val="2"/>
      </rPr>
      <t xml:space="preserve">で吊り線を選び、判定が🟢になる長さで吊る</t>
    </r>
  </si>
  <si>
    <t xml:space="preserve">⑤ ハンマーで角（かど）を叩き、まず周波数サーベイ（どこに山があるか）</t>
  </si>
  <si>
    <t xml:space="preserve">⑥ 予測ピーク（固有振動数シート）と見比べ、明らかな山を実測比較シートに記入</t>
  </si>
  <si>
    <r>
      <rPr>
        <sz val="9.5"/>
        <color rgb="FFB9C1D1"/>
        <rFont val="Arial"/>
        <family val="0"/>
        <charset val="1"/>
      </rPr>
      <t xml:space="preserve">⑦ PSV-400 </t>
    </r>
    <r>
      <rPr>
        <sz val="9.5"/>
        <color rgb="FFB9C1D1"/>
        <rFont val="Noto Sans CJK SC"/>
        <family val="2"/>
      </rPr>
      <t xml:space="preserve">でスキャン。</t>
    </r>
    <r>
      <rPr>
        <sz val="9.5"/>
        <color rgb="FFB9C1D1"/>
        <rFont val="Arial"/>
        <family val="0"/>
        <charset val="1"/>
      </rPr>
      <t xml:space="preserve">ODS </t>
    </r>
    <r>
      <rPr>
        <sz val="9.5"/>
        <color rgb="FFB9C1D1"/>
        <rFont val="Noto Sans CJK SC"/>
        <family val="2"/>
      </rPr>
      <t xml:space="preserve">を再生して曲げ／ねじり／面内を分類</t>
    </r>
  </si>
  <si>
    <r>
      <rPr>
        <sz val="9.5"/>
        <color rgb="FFB9C1D1"/>
        <rFont val="Noto Sans CJK SC"/>
        <family val="2"/>
      </rPr>
      <t xml:space="preserve">⑧ 逆算シートで </t>
    </r>
    <r>
      <rPr>
        <sz val="9.5"/>
        <color rgb="FFB9C1D1"/>
        <rFont val="Arial"/>
        <family val="0"/>
        <charset val="1"/>
      </rPr>
      <t xml:space="preserve">E </t>
    </r>
    <r>
      <rPr>
        <sz val="9.5"/>
        <color rgb="FFB9C1D1"/>
        <rFont val="Noto Sans CJK SC"/>
        <family val="2"/>
      </rPr>
      <t xml:space="preserve">と </t>
    </r>
    <r>
      <rPr>
        <sz val="9.5"/>
        <color rgb="FFB9C1D1"/>
        <rFont val="Arial"/>
        <family val="0"/>
        <charset val="1"/>
      </rPr>
      <t xml:space="preserve">α </t>
    </r>
    <r>
      <rPr>
        <sz val="9.5"/>
        <color rgb="FFB9C1D1"/>
        <rFont val="Noto Sans CJK SC"/>
        <family val="2"/>
      </rPr>
      <t xml:space="preserve">を求め、モデルを現物に合わせ込む</t>
    </r>
  </si>
  <si>
    <t xml:space="preserve">⑨ 合わせ込んだモデルで鳴きリスクを再評価</t>
  </si>
  <si>
    <t xml:space="preserve">⑨ 計算式一覧（コピペ用）</t>
  </si>
  <si>
    <r>
      <rPr>
        <sz val="9"/>
        <color rgb="FFA9B2C3"/>
        <rFont val="Arial"/>
        <family val="0"/>
        <charset val="1"/>
      </rPr>
      <t xml:space="preserve">A</t>
    </r>
    <r>
      <rPr>
        <sz val="9"/>
        <color rgb="FFA9B2C3"/>
        <rFont val="Noto Sans CJK SC"/>
        <family val="2"/>
      </rPr>
      <t xml:space="preserve">〜</t>
    </r>
    <r>
      <rPr>
        <sz val="9"/>
        <color rgb="FFA9B2C3"/>
        <rFont val="Arial"/>
        <family val="0"/>
        <charset val="1"/>
      </rPr>
      <t xml:space="preserve">F</t>
    </r>
    <r>
      <rPr>
        <sz val="9"/>
        <color rgb="FFA9B2C3"/>
        <rFont val="Noto Sans CJK SC"/>
        <family val="2"/>
      </rPr>
      <t xml:space="preserve">列をそのまま選択コピーすると </t>
    </r>
    <r>
      <rPr>
        <sz val="9"/>
        <color rgb="FFA9B2C3"/>
        <rFont val="Arial"/>
        <family val="0"/>
        <charset val="1"/>
      </rPr>
      <t xml:space="preserve">TSV </t>
    </r>
    <r>
      <rPr>
        <sz val="9"/>
        <color rgb="FFA9B2C3"/>
        <rFont val="Noto Sans CJK SC"/>
        <family val="2"/>
      </rPr>
      <t xml:space="preserve">としてどこにでも貼れます。</t>
    </r>
    <r>
      <rPr>
        <sz val="9"/>
        <color rgb="FFA9B2C3"/>
        <rFont val="Arial"/>
        <family val="0"/>
        <charset val="1"/>
      </rPr>
      <t xml:space="preserve">Excel</t>
    </r>
    <r>
      <rPr>
        <sz val="9"/>
        <color rgb="FFA9B2C3"/>
        <rFont val="Noto Sans CJK SC"/>
        <family val="2"/>
      </rPr>
      <t xml:space="preserve">式はセル参照を自分の配置に読み替えてください。</t>
    </r>
  </si>
  <si>
    <t xml:space="preserve">項目</t>
  </si>
  <si>
    <t xml:space="preserve">数式（数学表記）</t>
  </si>
  <si>
    <r>
      <rPr>
        <b val="true"/>
        <sz val="9"/>
        <color rgb="FFE6E8EC"/>
        <rFont val="Arial"/>
        <family val="0"/>
        <charset val="1"/>
      </rPr>
      <t xml:space="preserve">Excel </t>
    </r>
    <r>
      <rPr>
        <b val="true"/>
        <sz val="9"/>
        <color rgb="FFE6E8EC"/>
        <rFont val="Noto Sans CJK SC"/>
        <family val="2"/>
      </rPr>
      <t xml:space="preserve">の書き方（このブック内の実際の式）</t>
    </r>
  </si>
  <si>
    <t xml:space="preserve">単位</t>
  </si>
  <si>
    <t xml:space="preserve">形状</t>
  </si>
  <si>
    <t xml:space="preserve">多角形の面積（シューレース公式）</t>
  </si>
  <si>
    <t xml:space="preserve">A = ½·|Σ(xᵢ·yᵢ₊₁ − xᵢ₊₁·yᵢ)|</t>
  </si>
  <si>
    <t xml:space="preserve">'=ABS(0.5*SUM(I5:I28))</t>
  </si>
  <si>
    <t xml:space="preserve">mm²</t>
  </si>
  <si>
    <r>
      <rPr>
        <sz val="9"/>
        <color rgb="FF8A93A3"/>
        <rFont val="Noto Sans CJK SC"/>
        <family val="2"/>
      </rPr>
      <t xml:space="preserve">重心</t>
    </r>
    <r>
      <rPr>
        <sz val="9"/>
        <color rgb="FF8A93A3"/>
        <rFont val="Arial"/>
        <family val="0"/>
        <charset val="1"/>
      </rPr>
      <t xml:space="preserve">X</t>
    </r>
  </si>
  <si>
    <t xml:space="preserve">Cx = 1/(6A)·Σ(xᵢ+xᵢ₊₁)(xᵢyᵢ₊₁−xᵢ₊₁yᵢ)</t>
  </si>
  <si>
    <t xml:space="preserve">'=SUM(N5:N28)/(6*B31)</t>
  </si>
  <si>
    <t xml:space="preserve">mm</t>
  </si>
  <si>
    <t xml:space="preserve">頂点の内角</t>
  </si>
  <si>
    <t xml:space="preserve">θ = atan2(−s·(v1×v2), v1·v2)</t>
  </si>
  <si>
    <t xml:space="preserve">'=MOD(DEGREES(ATAN2(P5,-$F$3*Q5)),360)</t>
  </si>
  <si>
    <t xml:space="preserve">°</t>
  </si>
  <si>
    <t xml:space="preserve">凹凸判定</t>
  </si>
  <si>
    <r>
      <rPr>
        <sz val="9"/>
        <color rgb="FF7FE3A6"/>
        <rFont val="Noto Sans CJK SC"/>
        <family val="2"/>
      </rPr>
      <t xml:space="preserve">内角</t>
    </r>
    <r>
      <rPr>
        <sz val="9"/>
        <color rgb="FF7FE3A6"/>
        <rFont val="Arial"/>
        <family val="0"/>
        <charset val="1"/>
      </rPr>
      <t xml:space="preserve">&gt;180° </t>
    </r>
    <r>
      <rPr>
        <sz val="9"/>
        <color rgb="FF7FE3A6"/>
        <rFont val="Noto Sans CJK SC"/>
        <family val="2"/>
      </rPr>
      <t xml:space="preserve">なら入隅（凹）</t>
    </r>
  </si>
  <si>
    <r>
      <rPr>
        <sz val="9"/>
        <color rgb="FF8A93A3"/>
        <rFont val="Arial"/>
        <family val="0"/>
        <charset val="1"/>
      </rPr>
      <t xml:space="preserve">'=IF(R5&gt;180,"</t>
    </r>
    <r>
      <rPr>
        <sz val="9"/>
        <color rgb="FF8A93A3"/>
        <rFont val="Noto Sans CJK SC"/>
        <family val="2"/>
      </rPr>
      <t xml:space="preserve">入隅</t>
    </r>
    <r>
      <rPr>
        <sz val="9"/>
        <color rgb="FF8A93A3"/>
        <rFont val="Arial"/>
        <family val="0"/>
        <charset val="1"/>
      </rPr>
      <t xml:space="preserve">(</t>
    </r>
    <r>
      <rPr>
        <sz val="9"/>
        <color rgb="FF8A93A3"/>
        <rFont val="Noto Sans CJK SC"/>
        <family val="2"/>
      </rPr>
      <t xml:space="preserve">凹</t>
    </r>
    <r>
      <rPr>
        <sz val="9"/>
        <color rgb="FF8A93A3"/>
        <rFont val="Arial"/>
        <family val="0"/>
        <charset val="1"/>
      </rPr>
      <t xml:space="preserve">)","</t>
    </r>
    <r>
      <rPr>
        <sz val="9"/>
        <color rgb="FF8A93A3"/>
        <rFont val="Noto Sans CJK SC"/>
        <family val="2"/>
      </rPr>
      <t xml:space="preserve">出隅</t>
    </r>
    <r>
      <rPr>
        <sz val="9"/>
        <color rgb="FF8A93A3"/>
        <rFont val="Arial"/>
        <family val="0"/>
        <charset val="1"/>
      </rPr>
      <t xml:space="preserve">(</t>
    </r>
    <r>
      <rPr>
        <sz val="9"/>
        <color rgb="FF8A93A3"/>
        <rFont val="Noto Sans CJK SC"/>
        <family val="2"/>
      </rPr>
      <t xml:space="preserve">凸</t>
    </r>
    <r>
      <rPr>
        <sz val="9"/>
        <color rgb="FF8A93A3"/>
        <rFont val="Arial"/>
        <family val="0"/>
        <charset val="1"/>
      </rPr>
      <t xml:space="preserve">)")</t>
    </r>
  </si>
  <si>
    <t xml:space="preserve">内角の合計（検算）</t>
  </si>
  <si>
    <t xml:space="preserve">Σθ = (N−2)×180</t>
  </si>
  <si>
    <t xml:space="preserve">'=($F$2-2)*180</t>
  </si>
  <si>
    <r>
      <rPr>
        <sz val="9"/>
        <color rgb="FF8A93A3"/>
        <rFont val="Noto Sans CJK SC"/>
        <family val="2"/>
      </rPr>
      <t xml:space="preserve">断面二次モーメント </t>
    </r>
    <r>
      <rPr>
        <sz val="9"/>
        <color rgb="FF8A93A3"/>
        <rFont val="Arial"/>
        <family val="0"/>
        <charset val="1"/>
      </rPr>
      <t xml:space="preserve">Ixx</t>
    </r>
  </si>
  <si>
    <t xml:space="preserve">Ixx = 1/12·Σ(yᵢ²+yᵢyᵢ₊₁+yᵢ₊₁²)·cᵢ − A·Cy²</t>
  </si>
  <si>
    <t xml:space="preserve">'=$F$3*SUM(K5:K28)/12-$B$32*$B$35^2</t>
  </si>
  <si>
    <t xml:space="preserve">mm⁴</t>
  </si>
  <si>
    <t xml:space="preserve">★穴</t>
  </si>
  <si>
    <t xml:space="preserve">円の面積</t>
  </si>
  <si>
    <t xml:space="preserve">A_h = π·d²/4</t>
  </si>
  <si>
    <t xml:space="preserve">'=PI()*$E55^2/4</t>
  </si>
  <si>
    <t xml:space="preserve">円の断面二次モーメント（自身の重心まわり）</t>
  </si>
  <si>
    <t xml:space="preserve">I_h = π·d⁴/64</t>
  </si>
  <si>
    <t xml:space="preserve">'=PI()*$E55^4/64</t>
  </si>
  <si>
    <t xml:space="preserve">平行軸の定理（穴を重心からずらす）</t>
  </si>
  <si>
    <t xml:space="preserve">I = I_h + A_h·e²</t>
  </si>
  <si>
    <t xml:space="preserve">'=PI()*$E55^4/64+$F55*($D55-$B$64)^2</t>
  </si>
  <si>
    <t xml:space="preserve">穴を引いた正味面積</t>
  </si>
  <si>
    <t xml:space="preserve">A_net = A_gross − ΣA_h</t>
  </si>
  <si>
    <t xml:space="preserve">'=$B$32-$B$61</t>
  </si>
  <si>
    <t xml:space="preserve">穴を引いた正味重心</t>
  </si>
  <si>
    <t xml:space="preserve">Cy_net = (A_g·Cy_g − ΣA_h·y_h)/A_net</t>
  </si>
  <si>
    <t xml:space="preserve">'=($B$32*$B$35-SUMPRODUCT($F$55:$F$58,$D$55:$D$58))/$B$62</t>
  </si>
  <si>
    <r>
      <rPr>
        <sz val="9"/>
        <color rgb="FF8A93A3"/>
        <rFont val="Noto Sans CJK SC"/>
        <family val="2"/>
      </rPr>
      <t xml:space="preserve">穴を引いた正味</t>
    </r>
    <r>
      <rPr>
        <sz val="9"/>
        <color rgb="FF8A93A3"/>
        <rFont val="Arial"/>
        <family val="0"/>
        <charset val="1"/>
      </rPr>
      <t xml:space="preserve">Ixx</t>
    </r>
  </si>
  <si>
    <t xml:space="preserve">Ixx_net = [Ixx_g + A_g·(Cy_g−Cy_net)²] − Σ[I_h + A_h·(y_h−Cy_net)²]</t>
  </si>
  <si>
    <t xml:space="preserve">'=($B$36+$B$32*($B$35-$B$64)^2)-SUM($G$55:$G$58)</t>
  </si>
  <si>
    <t xml:space="preserve">等価幅（穴を引いたあと）</t>
  </si>
  <si>
    <t xml:space="preserve">w = A_net / L</t>
  </si>
  <si>
    <t xml:space="preserve">'=$B$62/$B$71</t>
  </si>
  <si>
    <t xml:space="preserve">断面</t>
  </si>
  <si>
    <t xml:space="preserve">中立軸（変換断面法）</t>
  </si>
  <si>
    <t xml:space="preserve">ȳ = Σ(Eᵢ·Aᵢ·yᵢ) / Σ(Eᵢ·Aᵢ)</t>
  </si>
  <si>
    <t xml:space="preserve">'=SUM(M10:M12)/SUM(L10:L12)</t>
  </si>
  <si>
    <t xml:space="preserve">m</t>
  </si>
  <si>
    <t xml:space="preserve">曲げ剛性（面外）</t>
  </si>
  <si>
    <t xml:space="preserve">EI = Σ Eᵢ·w·[tᵢ³/12 + tᵢ·(ycᵢ−ȳ)²]</t>
  </si>
  <si>
    <t xml:space="preserve">'=SUM(O10:O12)</t>
  </si>
  <si>
    <t xml:space="preserve">N·m²</t>
  </si>
  <si>
    <t xml:space="preserve">曲げ剛性（面内・長方形近似）</t>
  </si>
  <si>
    <t xml:space="preserve">EI = Σ Eᵢ·tᵢ·w³/12</t>
  </si>
  <si>
    <t xml:space="preserve">'=SUM(P10:P12)</t>
  </si>
  <si>
    <r>
      <rPr>
        <sz val="9"/>
        <color rgb="FF8A93A3"/>
        <rFont val="Noto Sans CJK SC"/>
        <family val="2"/>
      </rPr>
      <t xml:space="preserve">曲げ剛性（面内・形状</t>
    </r>
    <r>
      <rPr>
        <sz val="9"/>
        <color rgb="FF8A93A3"/>
        <rFont val="Arial"/>
        <family val="0"/>
        <charset val="1"/>
      </rPr>
      <t xml:space="preserve">Ixx</t>
    </r>
    <r>
      <rPr>
        <sz val="9"/>
        <color rgb="FF8A93A3"/>
        <rFont val="Noto Sans CJK SC"/>
        <family val="2"/>
      </rPr>
      <t xml:space="preserve">版）★</t>
    </r>
  </si>
  <si>
    <t xml:space="preserve">EI = Σ Eᵢ·tᵢ·(Ixx_net / L)</t>
  </si>
  <si>
    <t xml:space="preserve">'=SUM(Q10:Q12)</t>
  </si>
  <si>
    <t xml:space="preserve">単位長さ質量</t>
  </si>
  <si>
    <t xml:space="preserve">ρA = Σ ρᵢ·w·tᵢ</t>
  </si>
  <si>
    <t xml:space="preserve">'=SUM(N10:N12)</t>
  </si>
  <si>
    <t xml:space="preserve">kg/m</t>
  </si>
  <si>
    <t xml:space="preserve">軸剛性</t>
  </si>
  <si>
    <t xml:space="preserve">EA = Σ Eᵢ·w·tᵢ</t>
  </si>
  <si>
    <t xml:space="preserve">'=SUM(R10:R12)</t>
  </si>
  <si>
    <t xml:space="preserve">N</t>
  </si>
  <si>
    <t xml:space="preserve">せん断弾性率</t>
  </si>
  <si>
    <t xml:space="preserve">G = E / (2(1+ν))</t>
  </si>
  <si>
    <t xml:space="preserve">'=$D$24*1E9/(2*(1+$D$26))</t>
  </si>
  <si>
    <t xml:space="preserve">Pa</t>
  </si>
  <si>
    <r>
      <rPr>
        <sz val="9"/>
        <color rgb="FF8A93A3"/>
        <rFont val="Noto Sans CJK SC"/>
        <family val="2"/>
      </rPr>
      <t xml:space="preserve">ねじり定数 </t>
    </r>
    <r>
      <rPr>
        <sz val="9"/>
        <color rgb="FF8A93A3"/>
        <rFont val="Arial"/>
        <family val="0"/>
        <charset val="1"/>
      </rPr>
      <t xml:space="preserve">β</t>
    </r>
  </si>
  <si>
    <t xml:space="preserve">β = (1/3)(1 − 0.630(h/w) + 0.052(h/w)⁵)</t>
  </si>
  <si>
    <t xml:space="preserve">'=(1/3)*(1-0.63*($D$23/$D$3)+0.052*($D$23/$D$3)^5)</t>
  </si>
  <si>
    <t xml:space="preserve">ねじり剛性</t>
  </si>
  <si>
    <t xml:space="preserve">GJ = G·β·w·h³</t>
  </si>
  <si>
    <t xml:space="preserve">'=$D$27*$D$28*$D$3*$D$23^3</t>
  </si>
  <si>
    <t xml:space="preserve">極慣性（単位長さ）</t>
  </si>
  <si>
    <t xml:space="preserve">ρIp = ρA·(w²+h²)/12</t>
  </si>
  <si>
    <t xml:space="preserve">'=$D$22*($D$3^2+$D$23^2)/12</t>
  </si>
  <si>
    <t xml:space="preserve">kg·m</t>
  </si>
  <si>
    <t xml:space="preserve">質量</t>
  </si>
  <si>
    <t xml:space="preserve">M = Σ(ρᵢ·tᵢ) × A_net</t>
  </si>
  <si>
    <t xml:space="preserve">'=SUMPRODUCT(F10:F12,I10:I12)*$D$5*1000</t>
  </si>
  <si>
    <t xml:space="preserve">g</t>
  </si>
  <si>
    <t xml:space="preserve">振動</t>
  </si>
  <si>
    <t xml:space="preserve">自由−自由 曲げ</t>
  </si>
  <si>
    <t xml:space="preserve">f = (βL)²/(2πL²)·√(EI/ρA)</t>
  </si>
  <si>
    <r>
      <rPr>
        <sz val="9"/>
        <color rgb="FF8A93A3"/>
        <rFont val="Arial"/>
        <family val="0"/>
        <charset val="1"/>
      </rPr>
      <t xml:space="preserve">'=E6/(2*PI()*</t>
    </r>
    <r>
      <rPr>
        <sz val="9"/>
        <color rgb="FF8A93A3"/>
        <rFont val="Noto Sans CJK SC"/>
        <family val="2"/>
      </rPr>
      <t xml:space="preserve">断面</t>
    </r>
    <r>
      <rPr>
        <sz val="9"/>
        <color rgb="FF8A93A3"/>
        <rFont val="Arial"/>
        <family val="0"/>
        <charset val="1"/>
      </rPr>
      <t xml:space="preserve">!$D$4^2)*SQRT(</t>
    </r>
    <r>
      <rPr>
        <sz val="9"/>
        <color rgb="FF8A93A3"/>
        <rFont val="Noto Sans CJK SC"/>
        <family val="2"/>
      </rPr>
      <t xml:space="preserve">断面</t>
    </r>
    <r>
      <rPr>
        <sz val="9"/>
        <color rgb="FF8A93A3"/>
        <rFont val="Arial"/>
        <family val="0"/>
        <charset val="1"/>
      </rPr>
      <t xml:space="preserve">!$D$17/</t>
    </r>
    <r>
      <rPr>
        <sz val="9"/>
        <color rgb="FF8A93A3"/>
        <rFont val="Noto Sans CJK SC"/>
        <family val="2"/>
      </rPr>
      <t xml:space="preserve">断面</t>
    </r>
    <r>
      <rPr>
        <sz val="9"/>
        <color rgb="FF8A93A3"/>
        <rFont val="Arial"/>
        <family val="0"/>
        <charset val="1"/>
      </rPr>
      <t xml:space="preserve">!$D$22)</t>
    </r>
  </si>
  <si>
    <t xml:space="preserve">Hz</t>
  </si>
  <si>
    <r>
      <rPr>
        <sz val="9"/>
        <color rgb="FF8A93A3"/>
        <rFont val="Arial"/>
        <family val="0"/>
        <charset val="1"/>
      </rPr>
      <t xml:space="preserve">βL </t>
    </r>
    <r>
      <rPr>
        <sz val="9"/>
        <color rgb="FF8A93A3"/>
        <rFont val="Noto Sans CJK SC"/>
        <family val="2"/>
      </rPr>
      <t xml:space="preserve">の値</t>
    </r>
  </si>
  <si>
    <t xml:space="preserve">4.730041, 7.853205, 10.995608, 14.137165, 17.278760, 20.420352</t>
  </si>
  <si>
    <r>
      <rPr>
        <sz val="9"/>
        <color rgb="FF8A93A3"/>
        <rFont val="Noto Sans CJK SC"/>
        <family val="2"/>
      </rPr>
      <t xml:space="preserve">（</t>
    </r>
    <r>
      <rPr>
        <sz val="9"/>
        <color rgb="FF8A93A3"/>
        <rFont val="Arial"/>
        <family val="0"/>
        <charset val="1"/>
      </rPr>
      <t xml:space="preserve">cos(βL)·cosh(βL)=1 </t>
    </r>
    <r>
      <rPr>
        <sz val="9"/>
        <color rgb="FF8A93A3"/>
        <rFont val="Noto Sans CJK SC"/>
        <family val="2"/>
      </rPr>
      <t xml:space="preserve">の解）</t>
    </r>
  </si>
  <si>
    <t xml:space="preserve">周波数比</t>
  </si>
  <si>
    <t xml:space="preserve">1 : 2.7565 : 5.4039 : 8.9331 : 13.3444</t>
  </si>
  <si>
    <r>
      <rPr>
        <sz val="9"/>
        <color rgb="FF8A93A3"/>
        <rFont val="Arial"/>
        <family val="0"/>
        <charset val="1"/>
      </rPr>
      <t xml:space="preserve">'=C6^2/$C$6^2 </t>
    </r>
    <r>
      <rPr>
        <sz val="9"/>
        <color rgb="FF8A93A3"/>
        <rFont val="Noto Sans CJK SC"/>
        <family val="2"/>
      </rPr>
      <t xml:space="preserve">の形</t>
    </r>
  </si>
  <si>
    <r>
      <rPr>
        <sz val="9"/>
        <color rgb="FF8A93A3"/>
        <rFont val="Noto Sans CJK SC"/>
        <family val="2"/>
      </rPr>
      <t xml:space="preserve">せん断補正（</t>
    </r>
    <r>
      <rPr>
        <sz val="9"/>
        <color rgb="FF8A93A3"/>
        <rFont val="Arial"/>
        <family val="0"/>
        <charset val="1"/>
      </rPr>
      <t xml:space="preserve">Timoshenko</t>
    </r>
    <r>
      <rPr>
        <sz val="9"/>
        <color rgb="FF8A93A3"/>
        <rFont val="Noto Sans CJK SC"/>
        <family val="2"/>
      </rPr>
      <t xml:space="preserve">）</t>
    </r>
  </si>
  <si>
    <t xml:space="preserve">f' = f / √(1+(βL)²(r/L)²(1+E/(κG)))</t>
  </si>
  <si>
    <r>
      <rPr>
        <sz val="9"/>
        <color rgb="FF8A93A3"/>
        <rFont val="Arial"/>
        <family val="0"/>
        <charset val="1"/>
      </rPr>
      <t xml:space="preserve">'=1/SQRT(1+E6*($D$4/</t>
    </r>
    <r>
      <rPr>
        <sz val="9"/>
        <color rgb="FF8A93A3"/>
        <rFont val="Noto Sans CJK SC"/>
        <family val="2"/>
      </rPr>
      <t xml:space="preserve">断面</t>
    </r>
    <r>
      <rPr>
        <sz val="9"/>
        <color rgb="FF8A93A3"/>
        <rFont val="Arial"/>
        <family val="0"/>
        <charset val="1"/>
      </rPr>
      <t xml:space="preserve">!$D$4)^2*$H$4)</t>
    </r>
  </si>
  <si>
    <t xml:space="preserve">自由−自由 ねじり</t>
  </si>
  <si>
    <t xml:space="preserve">f = n/(2L)·√(GJ/ρIp)</t>
  </si>
  <si>
    <r>
      <rPr>
        <sz val="9"/>
        <color rgb="FF8A93A3"/>
        <rFont val="Arial"/>
        <family val="0"/>
        <charset val="1"/>
      </rPr>
      <t xml:space="preserve">'=D12/(2*</t>
    </r>
    <r>
      <rPr>
        <sz val="9"/>
        <color rgb="FF8A93A3"/>
        <rFont val="Noto Sans CJK SC"/>
        <family val="2"/>
      </rPr>
      <t xml:space="preserve">断面</t>
    </r>
    <r>
      <rPr>
        <sz val="9"/>
        <color rgb="FF8A93A3"/>
        <rFont val="Arial"/>
        <family val="0"/>
        <charset val="1"/>
      </rPr>
      <t xml:space="preserve">!$D$4)*SQRT(</t>
    </r>
    <r>
      <rPr>
        <sz val="9"/>
        <color rgb="FF8A93A3"/>
        <rFont val="Noto Sans CJK SC"/>
        <family val="2"/>
      </rPr>
      <t xml:space="preserve">断面</t>
    </r>
    <r>
      <rPr>
        <sz val="9"/>
        <color rgb="FF8A93A3"/>
        <rFont val="Arial"/>
        <family val="0"/>
        <charset val="1"/>
      </rPr>
      <t xml:space="preserve">!$D$29/</t>
    </r>
    <r>
      <rPr>
        <sz val="9"/>
        <color rgb="FF8A93A3"/>
        <rFont val="Noto Sans CJK SC"/>
        <family val="2"/>
      </rPr>
      <t xml:space="preserve">断面</t>
    </r>
    <r>
      <rPr>
        <sz val="9"/>
        <color rgb="FF8A93A3"/>
        <rFont val="Arial"/>
        <family val="0"/>
        <charset val="1"/>
      </rPr>
      <t xml:space="preserve">!$D$30)</t>
    </r>
  </si>
  <si>
    <t xml:space="preserve">自由−自由 伸縮</t>
  </si>
  <si>
    <t xml:space="preserve">f = n/(2L)·√(EA/ρA)</t>
  </si>
  <si>
    <r>
      <rPr>
        <sz val="9"/>
        <color rgb="FF8A93A3"/>
        <rFont val="Arial"/>
        <family val="0"/>
        <charset val="1"/>
      </rPr>
      <t xml:space="preserve">'=D20/(2*</t>
    </r>
    <r>
      <rPr>
        <sz val="9"/>
        <color rgb="FF8A93A3"/>
        <rFont val="Noto Sans CJK SC"/>
        <family val="2"/>
      </rPr>
      <t xml:space="preserve">断面</t>
    </r>
    <r>
      <rPr>
        <sz val="9"/>
        <color rgb="FF8A93A3"/>
        <rFont val="Arial"/>
        <family val="0"/>
        <charset val="1"/>
      </rPr>
      <t xml:space="preserve">!$D$4)*SQRT(</t>
    </r>
    <r>
      <rPr>
        <sz val="9"/>
        <color rgb="FF8A93A3"/>
        <rFont val="Noto Sans CJK SC"/>
        <family val="2"/>
      </rPr>
      <t xml:space="preserve">断面</t>
    </r>
    <r>
      <rPr>
        <sz val="9"/>
        <color rgb="FF8A93A3"/>
        <rFont val="Arial"/>
        <family val="0"/>
        <charset val="1"/>
      </rPr>
      <t xml:space="preserve">!$D$21/</t>
    </r>
    <r>
      <rPr>
        <sz val="9"/>
        <color rgb="FF8A93A3"/>
        <rFont val="Noto Sans CJK SC"/>
        <family val="2"/>
      </rPr>
      <t xml:space="preserve">断面</t>
    </r>
    <r>
      <rPr>
        <sz val="9"/>
        <color rgb="FF8A93A3"/>
        <rFont val="Arial"/>
        <family val="0"/>
        <charset val="1"/>
      </rPr>
      <t xml:space="preserve">!$D$22)</t>
    </r>
  </si>
  <si>
    <t xml:space="preserve">波長（曲げ）</t>
  </si>
  <si>
    <t xml:space="preserve">λ = 2πL/(βL)</t>
  </si>
  <si>
    <r>
      <rPr>
        <sz val="9"/>
        <color rgb="FF8A93A3"/>
        <rFont val="Arial"/>
        <family val="0"/>
        <charset val="1"/>
      </rPr>
      <t xml:space="preserve">'=2*PI()*</t>
    </r>
    <r>
      <rPr>
        <sz val="9"/>
        <color rgb="FF8A93A3"/>
        <rFont val="Noto Sans CJK SC"/>
        <family val="2"/>
      </rPr>
      <t xml:space="preserve">断面</t>
    </r>
    <r>
      <rPr>
        <sz val="9"/>
        <color rgb="FF8A93A3"/>
        <rFont val="Arial"/>
        <family val="0"/>
        <charset val="1"/>
      </rPr>
      <t xml:space="preserve">!$D$4/D6*1000</t>
    </r>
  </si>
  <si>
    <t xml:space="preserve">はり近似の適用限界</t>
  </si>
  <si>
    <r>
      <rPr>
        <sz val="9"/>
        <color rgb="FF7FE3A6"/>
        <rFont val="Arial"/>
        <family val="0"/>
        <charset val="1"/>
      </rPr>
      <t xml:space="preserve">λ / </t>
    </r>
    <r>
      <rPr>
        <sz val="9"/>
        <color rgb="FF7FE3A6"/>
        <rFont val="Noto Sans CJK SC"/>
        <family val="2"/>
      </rPr>
      <t xml:space="preserve">断面寸法 ≧ </t>
    </r>
    <r>
      <rPr>
        <sz val="9"/>
        <color rgb="FF7FE3A6"/>
        <rFont val="Arial"/>
        <family val="0"/>
        <charset val="1"/>
      </rPr>
      <t xml:space="preserve">6</t>
    </r>
  </si>
  <si>
    <r>
      <rPr>
        <sz val="9"/>
        <color rgb="FF8A93A3"/>
        <rFont val="Arial"/>
        <family val="0"/>
        <charset val="1"/>
      </rPr>
      <t xml:space="preserve">'=J6/(</t>
    </r>
    <r>
      <rPr>
        <sz val="9"/>
        <color rgb="FF8A93A3"/>
        <rFont val="Noto Sans CJK SC"/>
        <family val="2"/>
      </rPr>
      <t xml:space="preserve">断面</t>
    </r>
    <r>
      <rPr>
        <sz val="9"/>
        <color rgb="FF8A93A3"/>
        <rFont val="Arial"/>
        <family val="0"/>
        <charset val="1"/>
      </rPr>
      <t xml:space="preserve">!$D$23*1000)</t>
    </r>
  </si>
  <si>
    <t xml:space="preserve">スペクトル</t>
  </si>
  <si>
    <r>
      <rPr>
        <sz val="9"/>
        <color rgb="FF8A93A3"/>
        <rFont val="Arial"/>
        <family val="0"/>
        <charset val="1"/>
      </rPr>
      <t xml:space="preserve">1</t>
    </r>
    <r>
      <rPr>
        <sz val="9"/>
        <color rgb="FF8A93A3"/>
        <rFont val="Noto Sans CJK SC"/>
        <family val="2"/>
      </rPr>
      <t xml:space="preserve">自由度応答（実部）</t>
    </r>
  </si>
  <si>
    <t xml:space="preserve">Re = Σ Aᵢ(1−rᵢ²)/((1−rᵢ²)²+ηᵢ²), r=f/fᵢ</t>
  </si>
  <si>
    <t xml:space="preserve">'=SUMPRODUCT(A_rng*(1-(f/F_rng)^2)/((1-(f/F_rng)^2)^2+E_rng^2))</t>
  </si>
  <si>
    <r>
      <rPr>
        <sz val="9"/>
        <color rgb="FF8A93A3"/>
        <rFont val="Arial"/>
        <family val="0"/>
        <charset val="1"/>
      </rPr>
      <t xml:space="preserve">1</t>
    </r>
    <r>
      <rPr>
        <sz val="9"/>
        <color rgb="FF8A93A3"/>
        <rFont val="Noto Sans CJK SC"/>
        <family val="2"/>
      </rPr>
      <t xml:space="preserve">自由度応答（虚部）</t>
    </r>
  </si>
  <si>
    <t xml:space="preserve">Im = −Σ Aᵢ·ηᵢ/((1−rᵢ²)²+ηᵢ²)</t>
  </si>
  <si>
    <t xml:space="preserve">'=-SUMPRODUCT(A_rng*E_rng/((1-(f/F_rng)^2)^2+E_rng^2))</t>
  </si>
  <si>
    <t xml:space="preserve">応答の大きさ</t>
  </si>
  <si>
    <t xml:space="preserve">|H| = √(Re²+Im²)</t>
  </si>
  <si>
    <t xml:space="preserve">'=SQRT(B6^2+C6^2)</t>
  </si>
  <si>
    <t xml:space="preserve">レベル</t>
  </si>
  <si>
    <t xml:space="preserve">L = 20·log₁₀(|H|/Href)</t>
  </si>
  <si>
    <t xml:space="preserve">'=20*LOG10(MAX(D6,1E-12)/$K$3)</t>
  </si>
  <si>
    <t xml:space="preserve">dB</t>
  </si>
  <si>
    <t xml:space="preserve">半値幅</t>
  </si>
  <si>
    <t xml:space="preserve">Δf = η·f</t>
  </si>
  <si>
    <t xml:space="preserve">'=P6*I6</t>
  </si>
  <si>
    <t xml:space="preserve">ピーク高さ</t>
  </si>
  <si>
    <t xml:space="preserve">|H|max ≒ A/η</t>
  </si>
  <si>
    <t xml:space="preserve">'=Q6/P6</t>
  </si>
  <si>
    <t xml:space="preserve">鳴き</t>
  </si>
  <si>
    <t xml:space="preserve">モード間隔</t>
  </si>
  <si>
    <t xml:space="preserve">Δ = |fᵢ−fⱼ|/fᵢ × 100</t>
  </si>
  <si>
    <t xml:space="preserve">'=ABS($D19-$D20)/$D19*100</t>
  </si>
  <si>
    <t xml:space="preserve">%</t>
  </si>
  <si>
    <t xml:space="preserve">モード密度</t>
  </si>
  <si>
    <r>
      <rPr>
        <sz val="9"/>
        <color rgb="FF7FE3A6"/>
        <rFont val="Arial"/>
        <family val="0"/>
        <charset val="1"/>
      </rPr>
      <t xml:space="preserve">D = </t>
    </r>
    <r>
      <rPr>
        <sz val="9"/>
        <color rgb="FF7FE3A6"/>
        <rFont val="Noto Sans CJK SC"/>
        <family val="2"/>
      </rPr>
      <t xml:space="preserve">帯域内モード数 </t>
    </r>
    <r>
      <rPr>
        <sz val="9"/>
        <color rgb="FF7FE3A6"/>
        <rFont val="Arial"/>
        <family val="0"/>
        <charset val="1"/>
      </rPr>
      <t xml:space="preserve">/ </t>
    </r>
    <r>
      <rPr>
        <sz val="9"/>
        <color rgb="FF7FE3A6"/>
        <rFont val="Noto Sans CJK SC"/>
        <family val="2"/>
      </rPr>
      <t xml:space="preserve">帯域幅</t>
    </r>
    <r>
      <rPr>
        <sz val="9"/>
        <color rgb="FF7FE3A6"/>
        <rFont val="Arial"/>
        <family val="0"/>
        <charset val="1"/>
      </rPr>
      <t xml:space="preserve">[kHz]</t>
    </r>
  </si>
  <si>
    <t xml:space="preserve">'=$C$37/(($F$3-$C$3)/1000)</t>
  </si>
  <si>
    <r>
      <rPr>
        <sz val="9"/>
        <color rgb="FF8A93A3"/>
        <rFont val="Noto Sans CJK SC"/>
        <family val="2"/>
      </rPr>
      <t xml:space="preserve">個</t>
    </r>
    <r>
      <rPr>
        <sz val="9"/>
        <color rgb="FF8A93A3"/>
        <rFont val="Arial"/>
        <family val="0"/>
        <charset val="1"/>
      </rPr>
      <t xml:space="preserve">/kHz</t>
    </r>
  </si>
  <si>
    <r>
      <rPr>
        <sz val="9"/>
        <color rgb="FF8A93A3"/>
        <rFont val="Arial"/>
        <family val="0"/>
        <charset val="1"/>
      </rPr>
      <t xml:space="preserve">J2521 </t>
    </r>
    <r>
      <rPr>
        <sz val="9"/>
        <color rgb="FF8A93A3"/>
        <rFont val="Noto Sans CJK SC"/>
        <family val="2"/>
      </rPr>
      <t xml:space="preserve">帯域</t>
    </r>
  </si>
  <si>
    <r>
      <rPr>
        <sz val="9"/>
        <color rgb="FF7FE3A6"/>
        <rFont val="Arial"/>
        <family val="0"/>
        <charset val="1"/>
      </rPr>
      <t xml:space="preserve">1250 </t>
    </r>
    <r>
      <rPr>
        <sz val="9"/>
        <color rgb="FF7FE3A6"/>
        <rFont val="Noto Sans CJK SC"/>
        <family val="2"/>
      </rPr>
      <t xml:space="preserve">〜 </t>
    </r>
    <r>
      <rPr>
        <sz val="9"/>
        <color rgb="FF7FE3A6"/>
        <rFont val="Arial"/>
        <family val="0"/>
        <charset val="1"/>
      </rPr>
      <t xml:space="preserve">16000 Hz</t>
    </r>
  </si>
  <si>
    <t xml:space="preserve">'=AND(f&gt;=1250,f&lt;=16000)</t>
  </si>
  <si>
    <t xml:space="preserve">逆算</t>
  </si>
  <si>
    <r>
      <rPr>
        <sz val="9"/>
        <color rgb="FF8A93A3"/>
        <rFont val="Arial"/>
        <family val="0"/>
        <charset val="1"/>
      </rPr>
      <t xml:space="preserve">EI/ρA </t>
    </r>
    <r>
      <rPr>
        <sz val="9"/>
        <color rgb="FF8A93A3"/>
        <rFont val="Noto Sans CJK SC"/>
        <family val="2"/>
      </rPr>
      <t xml:space="preserve">の逆解き</t>
    </r>
  </si>
  <si>
    <t xml:space="preserve">S = (2π·f₁·L²/(βL)₁²)²</t>
  </si>
  <si>
    <t xml:space="preserve">'=(2*PI()*$C$36*$C$26^2/$C$5)^2</t>
  </si>
  <si>
    <t xml:space="preserve">m⁴/s²</t>
  </si>
  <si>
    <r>
      <rPr>
        <sz val="9"/>
        <color rgb="FF8A93A3"/>
        <rFont val="Noto Sans CJK SC"/>
        <family val="2"/>
      </rPr>
      <t xml:space="preserve">必要な </t>
    </r>
    <r>
      <rPr>
        <sz val="9"/>
        <color rgb="FF8A93A3"/>
        <rFont val="Arial"/>
        <family val="0"/>
        <charset val="1"/>
      </rPr>
      <t xml:space="preserve">EI</t>
    </r>
  </si>
  <si>
    <t xml:space="preserve">EI = S × ρA</t>
  </si>
  <si>
    <t xml:space="preserve">'=$C$37*$C$31</t>
  </si>
  <si>
    <r>
      <rPr>
        <sz val="9"/>
        <color rgb="FF8A93A3"/>
        <rFont val="Noto Sans CJK SC"/>
        <family val="2"/>
      </rPr>
      <t xml:space="preserve">均質板なら </t>
    </r>
    <r>
      <rPr>
        <sz val="9"/>
        <color rgb="FF8A93A3"/>
        <rFont val="Arial"/>
        <family val="0"/>
        <charset val="1"/>
      </rPr>
      <t xml:space="preserve">E </t>
    </r>
    <r>
      <rPr>
        <sz val="9"/>
        <color rgb="FF8A93A3"/>
        <rFont val="Noto Sans CJK SC"/>
        <family val="2"/>
      </rPr>
      <t xml:space="preserve">を直接</t>
    </r>
  </si>
  <si>
    <t xml:space="preserve">E = 12·S·ρ/h²</t>
  </si>
  <si>
    <t xml:space="preserve">'=12*$C$37*(ρ)/$C$30^2</t>
  </si>
  <si>
    <t xml:space="preserve">二分法の更新</t>
  </si>
  <si>
    <r>
      <rPr>
        <sz val="9"/>
        <color rgb="FF7FE3A6"/>
        <rFont val="Arial"/>
        <family val="0"/>
        <charset val="1"/>
      </rPr>
      <t xml:space="preserve">EI(mid)&lt;</t>
    </r>
    <r>
      <rPr>
        <sz val="9"/>
        <color rgb="FF7FE3A6"/>
        <rFont val="Noto Sans CJK SC"/>
        <family val="2"/>
      </rPr>
      <t xml:space="preserve">目標 → </t>
    </r>
    <r>
      <rPr>
        <sz val="9"/>
        <color rgb="FF7FE3A6"/>
        <rFont val="Arial"/>
        <family val="0"/>
        <charset val="1"/>
      </rPr>
      <t xml:space="preserve">lo=mid</t>
    </r>
    <r>
      <rPr>
        <sz val="9"/>
        <color rgb="FF7FE3A6"/>
        <rFont val="Noto Sans CJK SC"/>
        <family val="2"/>
      </rPr>
      <t xml:space="preserve">、それ以外 → </t>
    </r>
    <r>
      <rPr>
        <sz val="9"/>
        <color rgb="FF7FE3A6"/>
        <rFont val="Arial"/>
        <family val="0"/>
        <charset val="1"/>
      </rPr>
      <t xml:space="preserve">hi=mid</t>
    </r>
  </si>
  <si>
    <t xml:space="preserve">'=IF($I44&lt;0,$D44,$B44)</t>
  </si>
  <si>
    <t xml:space="preserve">形状補正係数</t>
  </si>
  <si>
    <r>
      <rPr>
        <sz val="9"/>
        <color rgb="FF7FE3A6"/>
        <rFont val="Arial"/>
        <family val="0"/>
        <charset val="1"/>
      </rPr>
      <t xml:space="preserve">α = f</t>
    </r>
    <r>
      <rPr>
        <sz val="9"/>
        <color rgb="FF7FE3A6"/>
        <rFont val="Noto Sans CJK SC"/>
        <family val="2"/>
      </rPr>
      <t xml:space="preserve">実測 </t>
    </r>
    <r>
      <rPr>
        <sz val="9"/>
        <color rgb="FF7FE3A6"/>
        <rFont val="Arial"/>
        <family val="0"/>
        <charset val="1"/>
      </rPr>
      <t xml:space="preserve">/ f</t>
    </r>
    <r>
      <rPr>
        <sz val="9"/>
        <color rgb="FF7FE3A6"/>
        <rFont val="Noto Sans CJK SC"/>
        <family val="2"/>
      </rPr>
      <t xml:space="preserve">予測</t>
    </r>
  </si>
  <si>
    <t xml:space="preserve">'=C98/B98</t>
  </si>
  <si>
    <t xml:space="preserve">感度：密度誤差</t>
  </si>
  <si>
    <r>
      <rPr>
        <sz val="9"/>
        <color rgb="FF7FE3A6"/>
        <rFont val="Arial"/>
        <family val="0"/>
        <charset val="1"/>
      </rPr>
      <t xml:space="preserve">ΔE/E ≒ Δρ/ρ</t>
    </r>
    <r>
      <rPr>
        <sz val="9"/>
        <color rgb="FF7FE3A6"/>
        <rFont val="Noto Sans CJK SC"/>
        <family val="2"/>
      </rPr>
      <t xml:space="preserve">（</t>
    </r>
    <r>
      <rPr>
        <sz val="9"/>
        <color rgb="FF7FE3A6"/>
        <rFont val="Arial"/>
        <family val="0"/>
        <charset val="1"/>
      </rPr>
      <t xml:space="preserve">f</t>
    </r>
    <r>
      <rPr>
        <sz val="9"/>
        <color rgb="FF7FE3A6"/>
        <rFont val="Noto Sans CJK SC"/>
        <family val="2"/>
      </rPr>
      <t xml:space="preserve">固定のとき）</t>
    </r>
  </si>
  <si>
    <t xml:space="preserve">感度：板厚</t>
  </si>
  <si>
    <t xml:space="preserve">ΔEI/EI ≒ 3·Δt/t</t>
  </si>
  <si>
    <t xml:space="preserve">★測定</t>
  </si>
  <si>
    <t xml:space="preserve">必要サンプリング周波数</t>
  </si>
  <si>
    <t xml:space="preserve">fs = fmax × 2.56</t>
  </si>
  <si>
    <t xml:space="preserve">'=$C$4*$C$5</t>
  </si>
  <si>
    <t xml:space="preserve">周波数分解能</t>
  </si>
  <si>
    <r>
      <rPr>
        <sz val="9"/>
        <color rgb="FF7FE3A6"/>
        <rFont val="Arial"/>
        <family val="0"/>
        <charset val="1"/>
      </rPr>
      <t xml:space="preserve">Δf = fmax / </t>
    </r>
    <r>
      <rPr>
        <sz val="9"/>
        <color rgb="FF7FE3A6"/>
        <rFont val="Noto Sans CJK SC"/>
        <family val="2"/>
      </rPr>
      <t xml:space="preserve">ライン数</t>
    </r>
  </si>
  <si>
    <t xml:space="preserve">'=$C$4/$C$7</t>
  </si>
  <si>
    <t xml:space="preserve">取得時間</t>
  </si>
  <si>
    <t xml:space="preserve">T = 1 / Δf</t>
  </si>
  <si>
    <t xml:space="preserve">'=1/$C$8</t>
  </si>
  <si>
    <t xml:space="preserve">s</t>
  </si>
  <si>
    <t xml:space="preserve">吊りのバウンスモード</t>
  </si>
  <si>
    <t xml:space="preserve">f_b = (1/2π)·√(n·E·A/(L·m))</t>
  </si>
  <si>
    <t xml:space="preserve">'=1/(2*PI())*SQRT($C$22/($C$20/1000))</t>
  </si>
  <si>
    <t xml:space="preserve">吊りの振り子モード</t>
  </si>
  <si>
    <t xml:space="preserve">f_p = (1/2π)·√(g/L)</t>
  </si>
  <si>
    <t xml:space="preserve">'=1/(2*PI())*SQRT(9.80665/($C$19/1000))</t>
  </si>
  <si>
    <r>
      <rPr>
        <sz val="9"/>
        <color rgb="FF8A93A3"/>
        <rFont val="Noto Sans CJK SC"/>
        <family val="2"/>
      </rPr>
      <t xml:space="preserve">自由−自由の判定（</t>
    </r>
    <r>
      <rPr>
        <sz val="9"/>
        <color rgb="FF8A93A3"/>
        <rFont val="Arial"/>
        <family val="0"/>
        <charset val="1"/>
      </rPr>
      <t xml:space="preserve">1:10</t>
    </r>
    <r>
      <rPr>
        <sz val="9"/>
        <color rgb="FF8A93A3"/>
        <rFont val="Noto Sans CJK SC"/>
        <family val="2"/>
      </rPr>
      <t xml:space="preserve">ルール）</t>
    </r>
  </si>
  <si>
    <t xml:space="preserve">f₁ / f_b ≧ 10</t>
  </si>
  <si>
    <t xml:space="preserve">'=$C$25/$C$23</t>
  </si>
  <si>
    <t xml:space="preserve">ハンマーのパルス幅の目安</t>
  </si>
  <si>
    <t xml:space="preserve">τ ≒ 1/(2·fmax)</t>
  </si>
  <si>
    <t xml:space="preserve">'=1/(2*$C$31)</t>
  </si>
  <si>
    <t xml:space="preserve">損失係数（半値幅法）</t>
  </si>
  <si>
    <t xml:space="preserve">η = Δf₋₃dB / f</t>
  </si>
  <si>
    <t xml:space="preserve">'=H5/E5</t>
  </si>
  <si>
    <r>
      <rPr>
        <b val="true"/>
        <sz val="12"/>
        <color rgb="FF7DB4FF"/>
        <rFont val="Arial"/>
        <family val="0"/>
        <charset val="1"/>
      </rPr>
      <t xml:space="preserve">■ Excel</t>
    </r>
    <r>
      <rPr>
        <b val="true"/>
        <sz val="12"/>
        <color rgb="FF7DB4FF"/>
        <rFont val="Noto Sans CJK SC"/>
        <family val="2"/>
      </rPr>
      <t xml:space="preserve">に貼るときの最小サンプル（例：</t>
    </r>
    <r>
      <rPr>
        <b val="true"/>
        <sz val="12"/>
        <color rgb="FF7DB4FF"/>
        <rFont val="Arial"/>
        <family val="0"/>
        <charset val="1"/>
      </rPr>
      <t xml:space="preserve">1+1=2</t>
    </r>
    <r>
      <rPr>
        <b val="true"/>
        <sz val="12"/>
        <color rgb="FF7DB4FF"/>
        <rFont val="Noto Sans CJK SC"/>
        <family val="2"/>
      </rPr>
      <t xml:space="preserve">）</t>
    </r>
  </si>
  <si>
    <r>
      <rPr>
        <sz val="9.5"/>
        <color rgb="FFB9C1D1"/>
        <rFont val="Noto Sans CJK SC"/>
        <family val="2"/>
      </rPr>
      <t xml:space="preserve">セル </t>
    </r>
    <r>
      <rPr>
        <sz val="9.5"/>
        <color rgb="FFB9C1D1"/>
        <rFont val="Arial"/>
        <family val="0"/>
        <charset val="1"/>
      </rPr>
      <t xml:space="preserve">A1 </t>
    </r>
    <r>
      <rPr>
        <sz val="9.5"/>
        <color rgb="FFB9C1D1"/>
        <rFont val="Noto Sans CJK SC"/>
        <family val="2"/>
      </rPr>
      <t xml:space="preserve">に  </t>
    </r>
    <r>
      <rPr>
        <sz val="9.5"/>
        <color rgb="FFB9C1D1"/>
        <rFont val="Arial"/>
        <family val="0"/>
        <charset val="1"/>
      </rPr>
      <t xml:space="preserve">1</t>
    </r>
  </si>
  <si>
    <r>
      <rPr>
        <sz val="9.5"/>
        <color rgb="FFB9C1D1"/>
        <rFont val="Noto Sans CJK SC"/>
        <family val="2"/>
      </rPr>
      <t xml:space="preserve">セル </t>
    </r>
    <r>
      <rPr>
        <sz val="9.5"/>
        <color rgb="FFB9C1D1"/>
        <rFont val="Arial"/>
        <family val="0"/>
        <charset val="1"/>
      </rPr>
      <t xml:space="preserve">B1 </t>
    </r>
    <r>
      <rPr>
        <sz val="9.5"/>
        <color rgb="FFB9C1D1"/>
        <rFont val="Noto Sans CJK SC"/>
        <family val="2"/>
      </rPr>
      <t xml:space="preserve">に  </t>
    </r>
    <r>
      <rPr>
        <sz val="9.5"/>
        <color rgb="FFB9C1D1"/>
        <rFont val="Arial"/>
        <family val="0"/>
        <charset val="1"/>
      </rPr>
      <t xml:space="preserve">1</t>
    </r>
  </si>
  <si>
    <r>
      <rPr>
        <sz val="9.5"/>
        <color rgb="FFB9C1D1"/>
        <rFont val="Noto Sans CJK SC"/>
        <family val="2"/>
      </rPr>
      <t xml:space="preserve">セル </t>
    </r>
    <r>
      <rPr>
        <sz val="9.5"/>
        <color rgb="FFB9C1D1"/>
        <rFont val="Arial"/>
        <family val="0"/>
        <charset val="1"/>
      </rPr>
      <t xml:space="preserve">C1 </t>
    </r>
    <r>
      <rPr>
        <sz val="9.5"/>
        <color rgb="FFB9C1D1"/>
        <rFont val="Noto Sans CJK SC"/>
        <family val="2"/>
      </rPr>
      <t xml:space="preserve">に  </t>
    </r>
    <r>
      <rPr>
        <sz val="9.5"/>
        <color rgb="FFB9C1D1"/>
        <rFont val="Arial"/>
        <family val="0"/>
        <charset val="1"/>
      </rPr>
      <t xml:space="preserve">=A1+B1  → 2 </t>
    </r>
    <r>
      <rPr>
        <sz val="9.5"/>
        <color rgb="FFB9C1D1"/>
        <rFont val="Noto Sans CJK SC"/>
        <family val="2"/>
      </rPr>
      <t xml:space="preserve">が出る</t>
    </r>
  </si>
  <si>
    <r>
      <rPr>
        <sz val="9.5"/>
        <color rgb="FFB9C1D1"/>
        <rFont val="Noto Sans CJK SC"/>
        <family val="2"/>
      </rPr>
      <t xml:space="preserve">同じ要領で、固有振動数は次の</t>
    </r>
    <r>
      <rPr>
        <sz val="9.5"/>
        <color rgb="FFB9C1D1"/>
        <rFont val="Arial"/>
        <family val="0"/>
        <charset val="1"/>
      </rPr>
      <t xml:space="preserve">5</t>
    </r>
    <r>
      <rPr>
        <sz val="9.5"/>
        <color rgb="FFB9C1D1"/>
        <rFont val="Noto Sans CJK SC"/>
        <family val="2"/>
      </rPr>
      <t xml:space="preserve">セルだけで出せます：</t>
    </r>
  </si>
  <si>
    <r>
      <rPr>
        <sz val="9.5"/>
        <color rgb="FFB9C1D1"/>
        <rFont val="Noto Sans CJK SC"/>
        <family val="2"/>
      </rPr>
      <t xml:space="preserve">　</t>
    </r>
    <r>
      <rPr>
        <sz val="9.5"/>
        <color rgb="FFB9C1D1"/>
        <rFont val="Arial"/>
        <family val="0"/>
        <charset val="1"/>
      </rPr>
      <t xml:space="preserve">A1 </t>
    </r>
    <r>
      <rPr>
        <sz val="9.5"/>
        <color rgb="FFB9C1D1"/>
        <rFont val="Noto Sans CJK SC"/>
        <family val="2"/>
      </rPr>
      <t xml:space="preserve">に </t>
    </r>
    <r>
      <rPr>
        <sz val="9.5"/>
        <color rgb="FFB9C1D1"/>
        <rFont val="Arial"/>
        <family val="0"/>
        <charset val="1"/>
      </rPr>
      <t xml:space="preserve">(βL)²  … 1</t>
    </r>
    <r>
      <rPr>
        <sz val="9.5"/>
        <color rgb="FFB9C1D1"/>
        <rFont val="Noto Sans CJK SC"/>
        <family val="2"/>
      </rPr>
      <t xml:space="preserve">次なら </t>
    </r>
    <r>
      <rPr>
        <sz val="9.5"/>
        <color rgb="FFB9C1D1"/>
        <rFont val="Arial"/>
        <family val="0"/>
        <charset val="1"/>
      </rPr>
      <t xml:space="preserve">22.3733</t>
    </r>
    <r>
      <rPr>
        <sz val="9.5"/>
        <color rgb="FFB9C1D1"/>
        <rFont val="Noto Sans CJK SC"/>
        <family val="2"/>
      </rPr>
      <t xml:space="preserve">（＝</t>
    </r>
    <r>
      <rPr>
        <sz val="9.5"/>
        <color rgb="FFB9C1D1"/>
        <rFont val="Arial"/>
        <family val="0"/>
        <charset val="1"/>
      </rPr>
      <t xml:space="preserve">4.730041²</t>
    </r>
    <r>
      <rPr>
        <sz val="9.5"/>
        <color rgb="FFB9C1D1"/>
        <rFont val="Noto Sans CJK SC"/>
        <family val="2"/>
      </rPr>
      <t xml:space="preserve">）</t>
    </r>
  </si>
  <si>
    <r>
      <rPr>
        <sz val="9.5"/>
        <color rgb="FFB9C1D1"/>
        <rFont val="Noto Sans CJK SC"/>
        <family val="2"/>
      </rPr>
      <t xml:space="preserve">　</t>
    </r>
    <r>
      <rPr>
        <sz val="9.5"/>
        <color rgb="FFB9C1D1"/>
        <rFont val="Arial"/>
        <family val="0"/>
        <charset val="1"/>
      </rPr>
      <t xml:space="preserve">B1 </t>
    </r>
    <r>
      <rPr>
        <sz val="9.5"/>
        <color rgb="FFB9C1D1"/>
        <rFont val="Noto Sans CJK SC"/>
        <family val="2"/>
      </rPr>
      <t xml:space="preserve">に </t>
    </r>
    <r>
      <rPr>
        <sz val="9.5"/>
        <color rgb="FFB9C1D1"/>
        <rFont val="Arial"/>
        <family val="0"/>
        <charset val="1"/>
      </rPr>
      <t xml:space="preserve">L [m]   … </t>
    </r>
    <r>
      <rPr>
        <sz val="9.5"/>
        <color rgb="FFB9C1D1"/>
        <rFont val="Noto Sans CJK SC"/>
        <family val="2"/>
      </rPr>
      <t xml:space="preserve">例 </t>
    </r>
    <r>
      <rPr>
        <sz val="9.5"/>
        <color rgb="FFB9C1D1"/>
        <rFont val="Arial"/>
        <family val="0"/>
        <charset val="1"/>
      </rPr>
      <t xml:space="preserve">0.110</t>
    </r>
  </si>
  <si>
    <r>
      <rPr>
        <sz val="9.5"/>
        <color rgb="FFB9C1D1"/>
        <rFont val="Noto Sans CJK SC"/>
        <family val="2"/>
      </rPr>
      <t xml:space="preserve">　</t>
    </r>
    <r>
      <rPr>
        <sz val="9.5"/>
        <color rgb="FFB9C1D1"/>
        <rFont val="Arial"/>
        <family val="0"/>
        <charset val="1"/>
      </rPr>
      <t xml:space="preserve">C1 </t>
    </r>
    <r>
      <rPr>
        <sz val="9.5"/>
        <color rgb="FFB9C1D1"/>
        <rFont val="Noto Sans CJK SC"/>
        <family val="2"/>
      </rPr>
      <t xml:space="preserve">に </t>
    </r>
    <r>
      <rPr>
        <sz val="9.5"/>
        <color rgb="FFB9C1D1"/>
        <rFont val="Arial"/>
        <family val="0"/>
        <charset val="1"/>
      </rPr>
      <t xml:space="preserve">EI [N·m²]</t>
    </r>
  </si>
  <si>
    <r>
      <rPr>
        <sz val="9.5"/>
        <color rgb="FFB9C1D1"/>
        <rFont val="Noto Sans CJK SC"/>
        <family val="2"/>
      </rPr>
      <t xml:space="preserve">　</t>
    </r>
    <r>
      <rPr>
        <sz val="9.5"/>
        <color rgb="FFB9C1D1"/>
        <rFont val="Arial"/>
        <family val="0"/>
        <charset val="1"/>
      </rPr>
      <t xml:space="preserve">D1 </t>
    </r>
    <r>
      <rPr>
        <sz val="9.5"/>
        <color rgb="FFB9C1D1"/>
        <rFont val="Noto Sans CJK SC"/>
        <family val="2"/>
      </rPr>
      <t xml:space="preserve">に </t>
    </r>
    <r>
      <rPr>
        <sz val="9.5"/>
        <color rgb="FFB9C1D1"/>
        <rFont val="Arial"/>
        <family val="0"/>
        <charset val="1"/>
      </rPr>
      <t xml:space="preserve">ρA [kg/m]</t>
    </r>
  </si>
  <si>
    <r>
      <rPr>
        <sz val="9.5"/>
        <color rgb="FFB9C1D1"/>
        <rFont val="Noto Sans CJK SC"/>
        <family val="2"/>
      </rPr>
      <t xml:space="preserve">　</t>
    </r>
    <r>
      <rPr>
        <sz val="9.5"/>
        <color rgb="FFB9C1D1"/>
        <rFont val="Arial"/>
        <family val="0"/>
        <charset val="1"/>
      </rPr>
      <t xml:space="preserve">E1 </t>
    </r>
    <r>
      <rPr>
        <sz val="9.5"/>
        <color rgb="FFB9C1D1"/>
        <rFont val="Noto Sans CJK SC"/>
        <family val="2"/>
      </rPr>
      <t xml:space="preserve">に  </t>
    </r>
    <r>
      <rPr>
        <sz val="9.5"/>
        <color rgb="FFB9C1D1"/>
        <rFont val="Arial"/>
        <family val="0"/>
        <charset val="1"/>
      </rPr>
      <t xml:space="preserve">=A1/(2*PI()*B1^2)*SQRT(C1/D1)   → </t>
    </r>
    <r>
      <rPr>
        <sz val="9.5"/>
        <color rgb="FFB9C1D1"/>
        <rFont val="Noto Sans CJK SC"/>
        <family val="2"/>
      </rPr>
      <t xml:space="preserve">固有振動数 </t>
    </r>
    <r>
      <rPr>
        <sz val="9.5"/>
        <color rgb="FFB9C1D1"/>
        <rFont val="Arial"/>
        <family val="0"/>
        <charset val="1"/>
      </rPr>
      <t xml:space="preserve">[Hz]</t>
    </r>
  </si>
  <si>
    <r>
      <rPr>
        <sz val="9.5"/>
        <color rgb="FFB9C1D1"/>
        <rFont val="Noto Sans CJK SC"/>
        <family val="2"/>
      </rPr>
      <t xml:space="preserve">穴を</t>
    </r>
    <r>
      <rPr>
        <sz val="9.5"/>
        <color rgb="FFB9C1D1"/>
        <rFont val="Arial"/>
        <family val="0"/>
        <charset val="1"/>
      </rPr>
      <t xml:space="preserve">1</t>
    </r>
    <r>
      <rPr>
        <sz val="9.5"/>
        <color rgb="FFB9C1D1"/>
        <rFont val="Noto Sans CJK SC"/>
        <family val="2"/>
      </rPr>
      <t xml:space="preserve">つ引くのも</t>
    </r>
    <r>
      <rPr>
        <sz val="9.5"/>
        <color rgb="FFB9C1D1"/>
        <rFont val="Arial"/>
        <family val="0"/>
        <charset val="1"/>
      </rPr>
      <t xml:space="preserve">3</t>
    </r>
    <r>
      <rPr>
        <sz val="9.5"/>
        <color rgb="FFB9C1D1"/>
        <rFont val="Noto Sans CJK SC"/>
        <family val="2"/>
      </rPr>
      <t xml:space="preserve">セルでできます：</t>
    </r>
  </si>
  <si>
    <r>
      <rPr>
        <sz val="9.5"/>
        <color rgb="FFB9C1D1"/>
        <rFont val="Noto Sans CJK SC"/>
        <family val="2"/>
      </rPr>
      <t xml:space="preserve">　</t>
    </r>
    <r>
      <rPr>
        <sz val="9.5"/>
        <color rgb="FFB9C1D1"/>
        <rFont val="Arial"/>
        <family val="0"/>
        <charset val="1"/>
      </rPr>
      <t xml:space="preserve">A3 </t>
    </r>
    <r>
      <rPr>
        <sz val="9.5"/>
        <color rgb="FFB9C1D1"/>
        <rFont val="Noto Sans CJK SC"/>
        <family val="2"/>
      </rPr>
      <t xml:space="preserve">に 直径 </t>
    </r>
    <r>
      <rPr>
        <sz val="9.5"/>
        <color rgb="FFB9C1D1"/>
        <rFont val="Arial"/>
        <family val="0"/>
        <charset val="1"/>
      </rPr>
      <t xml:space="preserve">d [mm] … </t>
    </r>
    <r>
      <rPr>
        <sz val="9.5"/>
        <color rgb="FFB9C1D1"/>
        <rFont val="Noto Sans CJK SC"/>
        <family val="2"/>
      </rPr>
      <t xml:space="preserve">例 </t>
    </r>
    <r>
      <rPr>
        <sz val="9.5"/>
        <color rgb="FFB9C1D1"/>
        <rFont val="Arial"/>
        <family val="0"/>
        <charset val="1"/>
      </rPr>
      <t xml:space="preserve">14.67</t>
    </r>
  </si>
  <si>
    <r>
      <rPr>
        <sz val="9.5"/>
        <color rgb="FFB9C1D1"/>
        <rFont val="Noto Sans CJK SC"/>
        <family val="2"/>
      </rPr>
      <t xml:space="preserve">　</t>
    </r>
    <r>
      <rPr>
        <sz val="9.5"/>
        <color rgb="FFB9C1D1"/>
        <rFont val="Arial"/>
        <family val="0"/>
        <charset val="1"/>
      </rPr>
      <t xml:space="preserve">B3 </t>
    </r>
    <r>
      <rPr>
        <sz val="9.5"/>
        <color rgb="FFB9C1D1"/>
        <rFont val="Noto Sans CJK SC"/>
        <family val="2"/>
      </rPr>
      <t xml:space="preserve">に  </t>
    </r>
    <r>
      <rPr>
        <sz val="9.5"/>
        <color rgb="FFB9C1D1"/>
        <rFont val="Arial"/>
        <family val="0"/>
        <charset val="1"/>
      </rPr>
      <t xml:space="preserve">=PI()*A3^2/4        → </t>
    </r>
    <r>
      <rPr>
        <sz val="9.5"/>
        <color rgb="FFB9C1D1"/>
        <rFont val="Noto Sans CJK SC"/>
        <family val="2"/>
      </rPr>
      <t xml:space="preserve">穴の面積 </t>
    </r>
    <r>
      <rPr>
        <sz val="9.5"/>
        <color rgb="FFB9C1D1"/>
        <rFont val="Arial"/>
        <family val="0"/>
        <charset val="1"/>
      </rPr>
      <t xml:space="preserve">[mm²]</t>
    </r>
  </si>
  <si>
    <r>
      <rPr>
        <sz val="9.5"/>
        <color rgb="FFB9C1D1"/>
        <rFont val="Noto Sans CJK SC"/>
        <family val="2"/>
      </rPr>
      <t xml:space="preserve">　</t>
    </r>
    <r>
      <rPr>
        <sz val="9.5"/>
        <color rgb="FFB9C1D1"/>
        <rFont val="Arial"/>
        <family val="0"/>
        <charset val="1"/>
      </rPr>
      <t xml:space="preserve">C3 </t>
    </r>
    <r>
      <rPr>
        <sz val="9.5"/>
        <color rgb="FFB9C1D1"/>
        <rFont val="Noto Sans CJK SC"/>
        <family val="2"/>
      </rPr>
      <t xml:space="preserve">に  </t>
    </r>
    <r>
      <rPr>
        <sz val="9.5"/>
        <color rgb="FFB9C1D1"/>
        <rFont val="Arial"/>
        <family val="0"/>
        <charset val="1"/>
      </rPr>
      <t xml:space="preserve">=PI()*A3^4/64       → </t>
    </r>
    <r>
      <rPr>
        <sz val="9.5"/>
        <color rgb="FFB9C1D1"/>
        <rFont val="Noto Sans CJK SC"/>
        <family val="2"/>
      </rPr>
      <t xml:space="preserve">穴の断面二次モーメント </t>
    </r>
    <r>
      <rPr>
        <sz val="9.5"/>
        <color rgb="FFB9C1D1"/>
        <rFont val="Arial"/>
        <family val="0"/>
        <charset val="1"/>
      </rPr>
      <t xml:space="preserve">[mm⁴]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</si>
</sst>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####"/>
    <numFmt numFmtId="166" formatCode="0"/>
    <numFmt numFmtId="167" formatCode="0.00"/>
    <numFmt numFmtId="168" formatCode="0.0000"/>
    <numFmt numFmtId="169" formatCode="0.000"/>
    <numFmt numFmtId="170" formatCode="0.00000000"/>
    <numFmt numFmtId="171" formatCode="0.000E+00"/>
    <numFmt numFmtId="172" formatCode="0.0000000"/>
    <numFmt numFmtId="173" formatCode="0.00000"/>
    <numFmt numFmtId="174" formatCode="0.0"/>
    <numFmt numFmtId="175" formatCode="0.###"/>
    <numFmt numFmtId="176" formatCode="0.000000"/>
  </numFmts>
  <fonts count="5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BD9FF"/>
      <name val="Noto Sans CJK SC"/>
      <family val="2"/>
    </font>
    <font>
      <sz val="11"/>
      <color rgb="FFE6E8EC"/>
      <name val="Arial"/>
      <family val="0"/>
      <charset val="1"/>
    </font>
    <font>
      <sz val="9"/>
      <color rgb="FFA9B2C3"/>
      <name val="Noto Sans CJK SC"/>
      <family val="2"/>
    </font>
    <font>
      <sz val="9"/>
      <color rgb="FFA9B2C3"/>
      <name val="Arial"/>
      <family val="0"/>
      <charset val="1"/>
    </font>
    <font>
      <b val="true"/>
      <sz val="12"/>
      <color rgb="FF7DB4FF"/>
      <name val="Noto Sans CJK SC"/>
      <family val="2"/>
    </font>
    <font>
      <b val="true"/>
      <sz val="12"/>
      <color rgb="FF7DB4FF"/>
      <name val="Arial"/>
      <family val="0"/>
      <charset val="1"/>
    </font>
    <font>
      <b val="true"/>
      <sz val="10"/>
      <color rgb="FF7FE3A6"/>
      <name val="Noto Sans CJK SC"/>
      <family val="2"/>
    </font>
    <font>
      <sz val="10"/>
      <color rgb="FFE6E8EC"/>
      <name val="Noto Sans CJK SC"/>
      <family val="2"/>
    </font>
    <font>
      <sz val="9"/>
      <color rgb="FF8A93A3"/>
      <name val="Noto Sans CJK SC"/>
      <family val="2"/>
    </font>
    <font>
      <sz val="10"/>
      <color rgb="FFE6E8EC"/>
      <name val="Arial"/>
      <family val="0"/>
      <charset val="1"/>
    </font>
    <font>
      <b val="true"/>
      <sz val="10"/>
      <color rgb="FFE6E8EC"/>
      <name val="Noto Sans CJK SC"/>
      <family val="2"/>
    </font>
    <font>
      <b val="true"/>
      <sz val="10"/>
      <color rgb="FFE6E8EC"/>
      <name val="Arial"/>
      <family val="0"/>
      <charset val="1"/>
    </font>
    <font>
      <sz val="10"/>
      <color rgb="FF8A93A3"/>
      <name val="Arial"/>
      <family val="0"/>
      <charset val="1"/>
    </font>
    <font>
      <b val="true"/>
      <sz val="10"/>
      <color rgb="FFFFCF6B"/>
      <name val="Noto Sans CJK SC"/>
      <family val="2"/>
    </font>
    <font>
      <sz val="10"/>
      <color rgb="FF7FE3A6"/>
      <name val="Noto Sans CJK SC"/>
      <family val="2"/>
    </font>
    <font>
      <sz val="10"/>
      <color rgb="FF8A93A3"/>
      <name val="Noto Sans CJK SC"/>
      <family val="2"/>
    </font>
    <font>
      <b val="true"/>
      <sz val="10"/>
      <color rgb="FF7DB4FF"/>
      <name val="Arial"/>
      <family val="0"/>
      <charset val="1"/>
    </font>
    <font>
      <sz val="9"/>
      <color rgb="FF8A93A3"/>
      <name val="Arial"/>
      <family val="0"/>
      <charset val="1"/>
    </font>
    <font>
      <sz val="9.5"/>
      <color rgb="FFB9C1D1"/>
      <name val="Noto Sans CJK SC"/>
      <family val="2"/>
    </font>
    <font>
      <sz val="9.5"/>
      <color rgb="FFB9C1D1"/>
      <name val="Arial"/>
      <family val="0"/>
      <charset val="1"/>
    </font>
    <font>
      <b val="true"/>
      <sz val="10"/>
      <color rgb="FFFFCF6B"/>
      <name val="Arial"/>
      <family val="0"/>
      <charset val="1"/>
    </font>
    <font>
      <sz val="10"/>
      <color rgb="FF7FE3A6"/>
      <name val="Courier New"/>
      <family val="0"/>
      <charset val="1"/>
    </font>
    <font>
      <b val="true"/>
      <sz val="10"/>
      <color rgb="FF7DB4FF"/>
      <name val="Noto Sans CJK SC"/>
      <family val="2"/>
    </font>
    <font>
      <sz val="9.5"/>
      <color rgb="FFFFB4A2"/>
      <name val="Noto Sans CJK SC"/>
      <family val="2"/>
    </font>
    <font>
      <sz val="9.5"/>
      <color rgb="FFFFB4A2"/>
      <name val="Arial"/>
      <family val="0"/>
      <charset val="1"/>
    </font>
    <font>
      <sz val="10"/>
      <color rgb="FF7FE3A6"/>
      <name val="Arial"/>
      <family val="0"/>
      <charset val="1"/>
    </font>
    <font>
      <b val="true"/>
      <sz val="11"/>
      <color rgb="FF7DB4FF"/>
      <name val="Noto Sans CJK SC"/>
      <family val="2"/>
    </font>
    <font>
      <b val="true"/>
      <sz val="11"/>
      <color rgb="FF7DB4FF"/>
      <name val="Arial"/>
      <family val="0"/>
      <charset val="1"/>
    </font>
    <font>
      <b val="true"/>
      <sz val="9"/>
      <color rgb="FFE6E8EC"/>
      <name val="Arial"/>
      <family val="0"/>
      <charset val="1"/>
    </font>
    <font>
      <b val="true"/>
      <sz val="9"/>
      <color rgb="FFE6E8EC"/>
      <name val="Noto Sans CJK SC"/>
      <family val="2"/>
    </font>
    <font>
      <b val="true"/>
      <sz val="8"/>
      <color rgb="FFE6E8EC"/>
      <name val="Arial"/>
      <family val="0"/>
      <charset val="1"/>
    </font>
    <font>
      <b val="true"/>
      <sz val="8"/>
      <color rgb="FFE6E8EC"/>
      <name val="Noto Sans CJK SC"/>
      <family val="2"/>
    </font>
    <font>
      <sz val="8"/>
      <color rgb="FF8A93A3"/>
      <name val="Arial"/>
      <family val="0"/>
      <charset val="1"/>
    </font>
    <font>
      <sz val="7"/>
      <color rgb="FF8A93A3"/>
      <name val="Arial"/>
      <family val="0"/>
      <charset val="1"/>
    </font>
    <font>
      <sz val="9"/>
      <color rgb="FF7FE3A6"/>
      <name val="Arial"/>
      <family val="0"/>
      <charset val="1"/>
    </font>
    <font>
      <sz val="9"/>
      <color rgb="FFFFB4A2"/>
      <name val="Noto Sans CJK SC"/>
      <family val="2"/>
    </font>
    <font>
      <b val="true"/>
      <sz val="10"/>
      <color rgb="FF7FE3A6"/>
      <name val="Arial"/>
      <family val="0"/>
      <charset val="1"/>
    </font>
    <font>
      <b val="true"/>
      <sz val="12"/>
      <color rgb="FFEBD9FF"/>
      <name val="Noto Sans CJK SC"/>
      <family val="2"/>
    </font>
    <font>
      <sz val="10"/>
      <color rgb="FFE6E8EC"/>
      <name val="Arial"/>
      <family val="2"/>
    </font>
    <font>
      <b val="true"/>
      <sz val="10"/>
      <color rgb="FFE6E8EC"/>
      <name val="Arial"/>
      <family val="2"/>
    </font>
    <font>
      <b val="true"/>
      <sz val="14"/>
      <color rgb="FFEBD9FF"/>
      <name val="Arial"/>
      <family val="0"/>
      <charset val="1"/>
    </font>
    <font>
      <sz val="9"/>
      <color rgb="FF7FE3A6"/>
      <name val="Noto Sans CJK SC"/>
      <family val="2"/>
    </font>
    <font>
      <sz val="8"/>
      <color rgb="FF7FE3A6"/>
      <name val="Arial"/>
      <family val="0"/>
      <charset val="1"/>
    </font>
    <font>
      <b val="true"/>
      <sz val="14"/>
      <color rgb="FFEBD9FF"/>
      <name val="Arial"/>
      <family val="2"/>
    </font>
    <font>
      <sz val="9"/>
      <color rgb="FFFFB4A2"/>
      <name val="Arial"/>
      <family val="0"/>
      <charset val="1"/>
    </font>
    <font>
      <b val="true"/>
      <sz val="9"/>
      <color rgb="FF7FE3A6"/>
      <name val="Noto Sans CJK SC"/>
      <family val="2"/>
    </font>
    <font>
      <b val="true"/>
      <sz val="12"/>
      <color rgb="FF7FE3A6"/>
      <name val="Arial"/>
      <family val="0"/>
      <charset val="1"/>
    </font>
    <font>
      <b val="true"/>
      <sz val="9"/>
      <color rgb="FFFFCF6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C2148"/>
        <bgColor rgb="FF1C2029"/>
      </patternFill>
    </fill>
    <fill>
      <patternFill patternType="solid">
        <fgColor rgb="FF11141C"/>
        <bgColor rgb="FF171B26"/>
      </patternFill>
    </fill>
    <fill>
      <patternFill patternType="solid">
        <fgColor rgb="FF43320F"/>
        <bgColor rgb="FF243247"/>
      </patternFill>
    </fill>
    <fill>
      <patternFill patternType="solid">
        <fgColor rgb="FF0F2E1E"/>
        <bgColor rgb="FF1C2029"/>
      </patternFill>
    </fill>
    <fill>
      <patternFill patternType="solid">
        <fgColor rgb="FF1C2029"/>
        <bgColor rgb="FF171B26"/>
      </patternFill>
    </fill>
    <fill>
      <patternFill patternType="solid">
        <fgColor rgb="FF243247"/>
        <bgColor rgb="FF2C214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A4256"/>
      </left>
      <right style="thin">
        <color rgb="FF3A4256"/>
      </right>
      <top style="thin">
        <color rgb="FF3A4256"/>
      </top>
      <bottom style="thin">
        <color rgb="FF3A425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8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1141C"/>
      <rgbColor rgb="FF808000"/>
      <rgbColor rgb="FF800080"/>
      <rgbColor rgb="FF0EA5E9"/>
      <rgbColor rgb="FFB9C1D1"/>
      <rgbColor rgb="FF878787"/>
      <rgbColor rgb="FF94A3B8"/>
      <rgbColor rgb="FF7C3AED"/>
      <rgbColor rgb="FFFFFFCC"/>
      <rgbColor rgb="FFCCFFFF"/>
      <rgbColor rgb="FF2C2148"/>
      <rgbColor rgb="FFA855F7"/>
      <rgbColor rgb="FF0066CC"/>
      <rgbColor rgb="FFEBD9FF"/>
      <rgbColor rgb="FF171B26"/>
      <rgbColor rgb="FFFF00FF"/>
      <rgbColor rgb="FFFFFF00"/>
      <rgbColor rgb="FF00FFFF"/>
      <rgbColor rgb="FF800080"/>
      <rgbColor rgb="FF800000"/>
      <rgbColor rgb="FF14B8A6"/>
      <rgbColor rgb="FF0000FF"/>
      <rgbColor rgb="FF06B6D4"/>
      <rgbColor rgb="FFCCFFFF"/>
      <rgbColor rgb="FF7FE3A6"/>
      <rgbColor rgb="FFFFFF99"/>
      <rgbColor rgb="FF7DB4FF"/>
      <rgbColor rgb="FFFFB4A2"/>
      <rgbColor rgb="FFA9B2C3"/>
      <rgbColor rgb="FFFFCF6B"/>
      <rgbColor rgb="FF3B82F6"/>
      <rgbColor rgb="FF34D399"/>
      <rgbColor rgb="FF99CC00"/>
      <rgbColor rgb="FFEAB308"/>
      <rgbColor rgb="FFF59E0B"/>
      <rgbColor rgb="FFF97316"/>
      <rgbColor rgb="FF6B7488"/>
      <rgbColor rgb="FF8A93A3"/>
      <rgbColor rgb="FF1C2029"/>
      <rgbColor rgb="FF22C55E"/>
      <rgbColor rgb="FF0F2E1E"/>
      <rgbColor rgb="FF43320F"/>
      <rgbColor rgb="FF993300"/>
      <rgbColor rgb="FFEF4444"/>
      <rgbColor rgb="FF3A4256"/>
      <rgbColor rgb="FF2432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ebd9ff"/>
                </a:solidFill>
                <a:latin typeface="Arial"/>
              </a:defRPr>
            </a:pPr>
            <a:r>
              <a:rPr b="1" sz="1200" spc="-1" strike="noStrike">
                <a:solidFill>
                  <a:srgbClr val="ebd9ff"/>
                </a:solidFill>
                <a:latin typeface="Arial"/>
              </a:rPr>
              <a:t>外形プレビュー（入力した座標）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"外形"</c:f>
              <c:strCache>
                <c:ptCount val="1"/>
                <c:pt idx="0">
                  <c:v>外形</c:v>
                </c:pt>
              </c:strCache>
            </c:strRef>
          </c:tx>
          <c:spPr>
            <a:solidFill>
              <a:srgbClr val="34d399"/>
            </a:solidFill>
            <a:ln w="18000">
              <a:solidFill>
                <a:srgbClr val="34d399"/>
              </a:solidFill>
              <a:round/>
            </a:ln>
          </c:spPr>
          <c:marker>
            <c:symbol val="circle"/>
            <c:size val="5"/>
            <c:spPr>
              <a:solidFill>
                <a:srgbClr val="34d39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形状!$AD$5:$AD$29</c:f>
              <c:numCache>
                <c:formatCode>0.00</c:formatCode>
                <c:ptCount val="25"/>
                <c:pt idx="0">
                  <c:v>-55</c:v>
                </c:pt>
                <c:pt idx="1">
                  <c:v>-41.25</c:v>
                </c:pt>
                <c:pt idx="2">
                  <c:v>-40.27</c:v>
                </c:pt>
                <c:pt idx="3">
                  <c:v>-38.1</c:v>
                </c:pt>
                <c:pt idx="4">
                  <c:v>-15.32</c:v>
                </c:pt>
                <c:pt idx="5">
                  <c:v>-0.78</c:v>
                </c:pt>
                <c:pt idx="6">
                  <c:v>23.18</c:v>
                </c:pt>
                <c:pt idx="7">
                  <c:v>41.45</c:v>
                </c:pt>
                <c:pt idx="8">
                  <c:v>42.62</c:v>
                </c:pt>
                <c:pt idx="9">
                  <c:v>53.23</c:v>
                </c:pt>
                <c:pt idx="10">
                  <c:v>55</c:v>
                </c:pt>
                <c:pt idx="11">
                  <c:v>53.23</c:v>
                </c:pt>
                <c:pt idx="12">
                  <c:v>41.45</c:v>
                </c:pt>
                <c:pt idx="13">
                  <c:v>39.48</c:v>
                </c:pt>
                <c:pt idx="14">
                  <c:v>23.18</c:v>
                </c:pt>
                <c:pt idx="15">
                  <c:v>9.43</c:v>
                </c:pt>
                <c:pt idx="16">
                  <c:v>-8.65</c:v>
                </c:pt>
                <c:pt idx="17">
                  <c:v>-26.13</c:v>
                </c:pt>
                <c:pt idx="18">
                  <c:v>-41.05</c:v>
                </c:pt>
                <c:pt idx="19">
                  <c:v>-42.62</c:v>
                </c:pt>
                <c:pt idx="20">
                  <c:v>-42.43</c:v>
                </c:pt>
                <c:pt idx="21">
                  <c:v>-54.8</c:v>
                </c:pt>
                <c:pt idx="22">
                  <c:v>-55</c:v>
                </c:pt>
                <c:pt idx="23">
                  <c:v>-55</c:v>
                </c:pt>
                <c:pt idx="24">
                  <c:v>-55</c:v>
                </c:pt>
              </c:numCache>
            </c:numRef>
          </c:xVal>
          <c:yVal>
            <c:numRef>
              <c:f>形状!$AE$5:$AE$29</c:f>
              <c:numCache>
                <c:formatCode>0.00</c:formatCode>
                <c:ptCount val="25"/>
                <c:pt idx="0">
                  <c:v>16.7</c:v>
                </c:pt>
                <c:pt idx="1">
                  <c:v>16.3</c:v>
                </c:pt>
                <c:pt idx="2">
                  <c:v>4.72</c:v>
                </c:pt>
                <c:pt idx="3">
                  <c:v>0</c:v>
                </c:pt>
                <c:pt idx="4">
                  <c:v>8.84</c:v>
                </c:pt>
                <c:pt idx="5">
                  <c:v>11.2</c:v>
                </c:pt>
                <c:pt idx="6">
                  <c:v>10.8</c:v>
                </c:pt>
                <c:pt idx="7">
                  <c:v>4.72</c:v>
                </c:pt>
                <c:pt idx="8">
                  <c:v>15.52</c:v>
                </c:pt>
                <c:pt idx="9">
                  <c:v>13.35</c:v>
                </c:pt>
                <c:pt idx="10">
                  <c:v>15.13</c:v>
                </c:pt>
                <c:pt idx="11">
                  <c:v>30.05</c:v>
                </c:pt>
                <c:pt idx="12">
                  <c:v>30.45</c:v>
                </c:pt>
                <c:pt idx="13">
                  <c:v>39.48</c:v>
                </c:pt>
                <c:pt idx="14">
                  <c:v>51.07</c:v>
                </c:pt>
                <c:pt idx="15">
                  <c:v>55</c:v>
                </c:pt>
                <c:pt idx="16">
                  <c:v>53.63</c:v>
                </c:pt>
                <c:pt idx="17">
                  <c:v>49.9</c:v>
                </c:pt>
                <c:pt idx="18">
                  <c:v>38.1</c:v>
                </c:pt>
                <c:pt idx="19">
                  <c:v>33.78</c:v>
                </c:pt>
                <c:pt idx="20">
                  <c:v>26.52</c:v>
                </c:pt>
                <c:pt idx="21">
                  <c:v>26.72</c:v>
                </c:pt>
                <c:pt idx="22">
                  <c:v>16.7</c:v>
                </c:pt>
                <c:pt idx="23">
                  <c:v>16.7</c:v>
                </c:pt>
                <c:pt idx="24">
                  <c:v>16.7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"穴の中心"</c:f>
              <c:strCache>
                <c:ptCount val="1"/>
                <c:pt idx="0">
                  <c:v>穴の中心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x"/>
            <c:size val="9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形状!$AG$5:$AG$8</c:f>
              <c:numCache>
                <c:formatCode>0.00</c:formatCode>
                <c:ptCount val="4"/>
                <c:pt idx="0">
                  <c:v>-18.93</c:v>
                </c:pt>
                <c:pt idx="1">
                  <c:v>14.17</c:v>
                </c:pt>
                <c:pt idx="2">
                  <c:v>-18.93</c:v>
                </c:pt>
                <c:pt idx="3">
                  <c:v>-18.93</c:v>
                </c:pt>
              </c:numCache>
            </c:numRef>
          </c:xVal>
          <c:yVal>
            <c:numRef>
              <c:f>形状!$AH$5:$AH$8</c:f>
              <c:numCache>
                <c:formatCode>0.00</c:formatCode>
                <c:ptCount val="4"/>
                <c:pt idx="0">
                  <c:v>25.32</c:v>
                </c:pt>
                <c:pt idx="1">
                  <c:v>28.85</c:v>
                </c:pt>
                <c:pt idx="2">
                  <c:v>25.32</c:v>
                </c:pt>
                <c:pt idx="3">
                  <c:v>25.32</c:v>
                </c:pt>
              </c:numCache>
            </c:numRef>
          </c:yVal>
          <c:smooth val="1"/>
        </c:ser>
        <c:axId val="76095613"/>
        <c:axId val="98186888"/>
      </c:scatterChart>
      <c:valAx>
        <c:axId val="760956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e6e8ec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e6e8ec"/>
                    </a:solidFill>
                    <a:latin typeface="Arial"/>
                  </a:rPr>
                  <a:t>X [mm]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6e8ec"/>
                </a:solidFill>
                <a:latin typeface="Arial"/>
              </a:defRPr>
            </a:pPr>
          </a:p>
        </c:txPr>
        <c:crossAx val="98186888"/>
        <c:crosses val="autoZero"/>
        <c:crossBetween val="midCat"/>
      </c:valAx>
      <c:valAx>
        <c:axId val="9818688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e6e8ec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e6e8ec"/>
                    </a:solidFill>
                    <a:latin typeface="Arial"/>
                  </a:rPr>
                  <a:t>Y [mm]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6e8ec"/>
                </a:solidFill>
                <a:latin typeface="Arial"/>
              </a:defRPr>
            </a:pPr>
          </a:p>
        </c:txPr>
        <c:crossAx val="76095613"/>
        <c:crosses val="autoZero"/>
        <c:crossBetween val="midCat"/>
      </c:valAx>
      <c:spPr>
        <a:solidFill>
          <a:srgbClr val="171b26"/>
        </a:solidFill>
        <a:ln w="0">
          <a:solidFill>
            <a:srgbClr val="3a4256"/>
          </a:solidFill>
        </a:ln>
      </c:spPr>
    </c:plotArea>
    <c:plotVisOnly val="1"/>
    <c:dispBlanksAs val="gap"/>
  </c:chart>
  <c:spPr>
    <a:solidFill>
      <a:srgbClr val="11141c"/>
    </a:solidFill>
    <a:ln w="9360">
      <a:solidFill>
        <a:srgbClr val="3a4256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ebd9ff"/>
                </a:solidFill>
                <a:latin typeface="Arial"/>
              </a:defRPr>
            </a:pPr>
            <a:r>
              <a:rPr b="1" sz="1400" spc="-1" strike="noStrike">
                <a:solidFill>
                  <a:srgbClr val="ebd9ff"/>
                </a:solidFill>
                <a:latin typeface="Arial"/>
              </a:rPr>
              <a:t>予測スペクトル（金属部のみ・レベル dB）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スペクトル!E5</c:f>
              <c:strCache>
                <c:ptCount val="1"/>
                <c:pt idx="0">
                  <c:v>レベル [dB]</c:v>
                </c:pt>
              </c:strCache>
            </c:strRef>
          </c:tx>
          <c:spPr>
            <a:solidFill>
              <a:srgbClr val="34d399"/>
            </a:solidFill>
            <a:ln w="14040">
              <a:solidFill>
                <a:srgbClr val="34d3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スペクトル!$A$6:$A$2006</c:f>
              <c:strCache>
                <c:ptCount val="2001"/>
                <c:pt idx="0">
                  <c:v>0.000</c:v>
                </c:pt>
                <c:pt idx="1">
                  <c:v>20.000</c:v>
                </c:pt>
                <c:pt idx="2">
                  <c:v>40.000</c:v>
                </c:pt>
                <c:pt idx="3">
                  <c:v>60.000</c:v>
                </c:pt>
                <c:pt idx="4">
                  <c:v>80.000</c:v>
                </c:pt>
                <c:pt idx="5">
                  <c:v>100.000</c:v>
                </c:pt>
                <c:pt idx="6">
                  <c:v>120.000</c:v>
                </c:pt>
                <c:pt idx="7">
                  <c:v>140.000</c:v>
                </c:pt>
                <c:pt idx="8">
                  <c:v>160.000</c:v>
                </c:pt>
                <c:pt idx="9">
                  <c:v>180.000</c:v>
                </c:pt>
                <c:pt idx="10">
                  <c:v>200.000</c:v>
                </c:pt>
                <c:pt idx="11">
                  <c:v>220.000</c:v>
                </c:pt>
                <c:pt idx="12">
                  <c:v>240.000</c:v>
                </c:pt>
                <c:pt idx="13">
                  <c:v>260.000</c:v>
                </c:pt>
                <c:pt idx="14">
                  <c:v>280.000</c:v>
                </c:pt>
                <c:pt idx="15">
                  <c:v>300.000</c:v>
                </c:pt>
                <c:pt idx="16">
                  <c:v>320.000</c:v>
                </c:pt>
                <c:pt idx="17">
                  <c:v>340.000</c:v>
                </c:pt>
                <c:pt idx="18">
                  <c:v>360.000</c:v>
                </c:pt>
                <c:pt idx="19">
                  <c:v>380.000</c:v>
                </c:pt>
                <c:pt idx="20">
                  <c:v>400.000</c:v>
                </c:pt>
                <c:pt idx="21">
                  <c:v>420.000</c:v>
                </c:pt>
                <c:pt idx="22">
                  <c:v>440.000</c:v>
                </c:pt>
                <c:pt idx="23">
                  <c:v>460.000</c:v>
                </c:pt>
                <c:pt idx="24">
                  <c:v>480.000</c:v>
                </c:pt>
                <c:pt idx="25">
                  <c:v>500.000</c:v>
                </c:pt>
                <c:pt idx="26">
                  <c:v>520.000</c:v>
                </c:pt>
                <c:pt idx="27">
                  <c:v>540.000</c:v>
                </c:pt>
                <c:pt idx="28">
                  <c:v>560.000</c:v>
                </c:pt>
                <c:pt idx="29">
                  <c:v>580.000</c:v>
                </c:pt>
                <c:pt idx="30">
                  <c:v>600.000</c:v>
                </c:pt>
                <c:pt idx="31">
                  <c:v>620.000</c:v>
                </c:pt>
                <c:pt idx="32">
                  <c:v>640.000</c:v>
                </c:pt>
                <c:pt idx="33">
                  <c:v>660.000</c:v>
                </c:pt>
                <c:pt idx="34">
                  <c:v>680.000</c:v>
                </c:pt>
                <c:pt idx="35">
                  <c:v>700.000</c:v>
                </c:pt>
                <c:pt idx="36">
                  <c:v>720.000</c:v>
                </c:pt>
                <c:pt idx="37">
                  <c:v>740.000</c:v>
                </c:pt>
                <c:pt idx="38">
                  <c:v>760.000</c:v>
                </c:pt>
                <c:pt idx="39">
                  <c:v>780.000</c:v>
                </c:pt>
                <c:pt idx="40">
                  <c:v>800.000</c:v>
                </c:pt>
                <c:pt idx="41">
                  <c:v>820.000</c:v>
                </c:pt>
                <c:pt idx="42">
                  <c:v>840.000</c:v>
                </c:pt>
                <c:pt idx="43">
                  <c:v>860.000</c:v>
                </c:pt>
                <c:pt idx="44">
                  <c:v>880.000</c:v>
                </c:pt>
                <c:pt idx="45">
                  <c:v>900.000</c:v>
                </c:pt>
                <c:pt idx="46">
                  <c:v>920.000</c:v>
                </c:pt>
                <c:pt idx="47">
                  <c:v>940.000</c:v>
                </c:pt>
                <c:pt idx="48">
                  <c:v>960.000</c:v>
                </c:pt>
                <c:pt idx="49">
                  <c:v>980.000</c:v>
                </c:pt>
                <c:pt idx="50">
                  <c:v>1000.000</c:v>
                </c:pt>
                <c:pt idx="51">
                  <c:v>1020.000</c:v>
                </c:pt>
                <c:pt idx="52">
                  <c:v>1040.000</c:v>
                </c:pt>
                <c:pt idx="53">
                  <c:v>1060.000</c:v>
                </c:pt>
                <c:pt idx="54">
                  <c:v>1080.000</c:v>
                </c:pt>
                <c:pt idx="55">
                  <c:v>1100.000</c:v>
                </c:pt>
                <c:pt idx="56">
                  <c:v>1120.000</c:v>
                </c:pt>
                <c:pt idx="57">
                  <c:v>1140.000</c:v>
                </c:pt>
                <c:pt idx="58">
                  <c:v>1160.000</c:v>
                </c:pt>
                <c:pt idx="59">
                  <c:v>1180.000</c:v>
                </c:pt>
                <c:pt idx="60">
                  <c:v>1200.000</c:v>
                </c:pt>
                <c:pt idx="61">
                  <c:v>1220.000</c:v>
                </c:pt>
                <c:pt idx="62">
                  <c:v>1240.000</c:v>
                </c:pt>
                <c:pt idx="63">
                  <c:v>1260.000</c:v>
                </c:pt>
                <c:pt idx="64">
                  <c:v>1280.000</c:v>
                </c:pt>
                <c:pt idx="65">
                  <c:v>1300.000</c:v>
                </c:pt>
                <c:pt idx="66">
                  <c:v>1320.000</c:v>
                </c:pt>
                <c:pt idx="67">
                  <c:v>1340.000</c:v>
                </c:pt>
                <c:pt idx="68">
                  <c:v>1360.000</c:v>
                </c:pt>
                <c:pt idx="69">
                  <c:v>1380.000</c:v>
                </c:pt>
                <c:pt idx="70">
                  <c:v>1400.000</c:v>
                </c:pt>
                <c:pt idx="71">
                  <c:v>1420.000</c:v>
                </c:pt>
                <c:pt idx="72">
                  <c:v>1440.000</c:v>
                </c:pt>
                <c:pt idx="73">
                  <c:v>1460.000</c:v>
                </c:pt>
                <c:pt idx="74">
                  <c:v>1480.000</c:v>
                </c:pt>
                <c:pt idx="75">
                  <c:v>1500.000</c:v>
                </c:pt>
                <c:pt idx="76">
                  <c:v>1520.000</c:v>
                </c:pt>
                <c:pt idx="77">
                  <c:v>1540.000</c:v>
                </c:pt>
                <c:pt idx="78">
                  <c:v>1560.000</c:v>
                </c:pt>
                <c:pt idx="79">
                  <c:v>1580.000</c:v>
                </c:pt>
                <c:pt idx="80">
                  <c:v>1600.000</c:v>
                </c:pt>
                <c:pt idx="81">
                  <c:v>1620.000</c:v>
                </c:pt>
                <c:pt idx="82">
                  <c:v>1640.000</c:v>
                </c:pt>
                <c:pt idx="83">
                  <c:v>1660.000</c:v>
                </c:pt>
                <c:pt idx="84">
                  <c:v>1680.000</c:v>
                </c:pt>
                <c:pt idx="85">
                  <c:v>1700.000</c:v>
                </c:pt>
                <c:pt idx="86">
                  <c:v>1720.000</c:v>
                </c:pt>
                <c:pt idx="87">
                  <c:v>1740.000</c:v>
                </c:pt>
                <c:pt idx="88">
                  <c:v>1760.000</c:v>
                </c:pt>
                <c:pt idx="89">
                  <c:v>1780.000</c:v>
                </c:pt>
                <c:pt idx="90">
                  <c:v>1800.000</c:v>
                </c:pt>
                <c:pt idx="91">
                  <c:v>1820.000</c:v>
                </c:pt>
                <c:pt idx="92">
                  <c:v>1840.000</c:v>
                </c:pt>
                <c:pt idx="93">
                  <c:v>1860.000</c:v>
                </c:pt>
                <c:pt idx="94">
                  <c:v>1880.000</c:v>
                </c:pt>
                <c:pt idx="95">
                  <c:v>1900.000</c:v>
                </c:pt>
                <c:pt idx="96">
                  <c:v>1920.000</c:v>
                </c:pt>
                <c:pt idx="97">
                  <c:v>1940.000</c:v>
                </c:pt>
                <c:pt idx="98">
                  <c:v>1960.000</c:v>
                </c:pt>
                <c:pt idx="99">
                  <c:v>1980.000</c:v>
                </c:pt>
                <c:pt idx="100">
                  <c:v>2000.000</c:v>
                </c:pt>
                <c:pt idx="101">
                  <c:v>2020.000</c:v>
                </c:pt>
                <c:pt idx="102">
                  <c:v>2040.000</c:v>
                </c:pt>
                <c:pt idx="103">
                  <c:v>2060.000</c:v>
                </c:pt>
                <c:pt idx="104">
                  <c:v>2080.000</c:v>
                </c:pt>
                <c:pt idx="105">
                  <c:v>2100.000</c:v>
                </c:pt>
                <c:pt idx="106">
                  <c:v>2120.000</c:v>
                </c:pt>
                <c:pt idx="107">
                  <c:v>2140.000</c:v>
                </c:pt>
                <c:pt idx="108">
                  <c:v>2160.000</c:v>
                </c:pt>
                <c:pt idx="109">
                  <c:v>2180.000</c:v>
                </c:pt>
                <c:pt idx="110">
                  <c:v>2200.000</c:v>
                </c:pt>
                <c:pt idx="111">
                  <c:v>2220.000</c:v>
                </c:pt>
                <c:pt idx="112">
                  <c:v>2240.000</c:v>
                </c:pt>
                <c:pt idx="113">
                  <c:v>2260.000</c:v>
                </c:pt>
                <c:pt idx="114">
                  <c:v>2280.000</c:v>
                </c:pt>
                <c:pt idx="115">
                  <c:v>2300.000</c:v>
                </c:pt>
                <c:pt idx="116">
                  <c:v>2320.000</c:v>
                </c:pt>
                <c:pt idx="117">
                  <c:v>2340.000</c:v>
                </c:pt>
                <c:pt idx="118">
                  <c:v>2360.000</c:v>
                </c:pt>
                <c:pt idx="119">
                  <c:v>2380.000</c:v>
                </c:pt>
                <c:pt idx="120">
                  <c:v>2400.000</c:v>
                </c:pt>
                <c:pt idx="121">
                  <c:v>2420.000</c:v>
                </c:pt>
                <c:pt idx="122">
                  <c:v>2440.000</c:v>
                </c:pt>
                <c:pt idx="123">
                  <c:v>2460.000</c:v>
                </c:pt>
                <c:pt idx="124">
                  <c:v>2480.000</c:v>
                </c:pt>
                <c:pt idx="125">
                  <c:v>2500.000</c:v>
                </c:pt>
                <c:pt idx="126">
                  <c:v>2520.000</c:v>
                </c:pt>
                <c:pt idx="127">
                  <c:v>2540.000</c:v>
                </c:pt>
                <c:pt idx="128">
                  <c:v>2560.000</c:v>
                </c:pt>
                <c:pt idx="129">
                  <c:v>2580.000</c:v>
                </c:pt>
                <c:pt idx="130">
                  <c:v>2600.000</c:v>
                </c:pt>
                <c:pt idx="131">
                  <c:v>2620.000</c:v>
                </c:pt>
                <c:pt idx="132">
                  <c:v>2640.000</c:v>
                </c:pt>
                <c:pt idx="133">
                  <c:v>2660.000</c:v>
                </c:pt>
                <c:pt idx="134">
                  <c:v>2680.000</c:v>
                </c:pt>
                <c:pt idx="135">
                  <c:v>2700.000</c:v>
                </c:pt>
                <c:pt idx="136">
                  <c:v>2720.000</c:v>
                </c:pt>
                <c:pt idx="137">
                  <c:v>2740.000</c:v>
                </c:pt>
                <c:pt idx="138">
                  <c:v>2760.000</c:v>
                </c:pt>
                <c:pt idx="139">
                  <c:v>2780.000</c:v>
                </c:pt>
                <c:pt idx="140">
                  <c:v>2800.000</c:v>
                </c:pt>
                <c:pt idx="141">
                  <c:v>2820.000</c:v>
                </c:pt>
                <c:pt idx="142">
                  <c:v>2840.000</c:v>
                </c:pt>
                <c:pt idx="143">
                  <c:v>2860.000</c:v>
                </c:pt>
                <c:pt idx="144">
                  <c:v>2880.000</c:v>
                </c:pt>
                <c:pt idx="145">
                  <c:v>2900.000</c:v>
                </c:pt>
                <c:pt idx="146">
                  <c:v>2920.000</c:v>
                </c:pt>
                <c:pt idx="147">
                  <c:v>2940.000</c:v>
                </c:pt>
                <c:pt idx="148">
                  <c:v>2960.000</c:v>
                </c:pt>
                <c:pt idx="149">
                  <c:v>2980.000</c:v>
                </c:pt>
                <c:pt idx="150">
                  <c:v>3000.000</c:v>
                </c:pt>
                <c:pt idx="151">
                  <c:v>3020.000</c:v>
                </c:pt>
                <c:pt idx="152">
                  <c:v>3040.000</c:v>
                </c:pt>
                <c:pt idx="153">
                  <c:v>3060.000</c:v>
                </c:pt>
                <c:pt idx="154">
                  <c:v>3080.000</c:v>
                </c:pt>
                <c:pt idx="155">
                  <c:v>3100.000</c:v>
                </c:pt>
                <c:pt idx="156">
                  <c:v>3120.000</c:v>
                </c:pt>
                <c:pt idx="157">
                  <c:v>3140.000</c:v>
                </c:pt>
                <c:pt idx="158">
                  <c:v>3160.000</c:v>
                </c:pt>
                <c:pt idx="159">
                  <c:v>3180.000</c:v>
                </c:pt>
                <c:pt idx="160">
                  <c:v>3200.000</c:v>
                </c:pt>
                <c:pt idx="161">
                  <c:v>3220.000</c:v>
                </c:pt>
                <c:pt idx="162">
                  <c:v>3240.000</c:v>
                </c:pt>
                <c:pt idx="163">
                  <c:v>3260.000</c:v>
                </c:pt>
                <c:pt idx="164">
                  <c:v>3280.000</c:v>
                </c:pt>
                <c:pt idx="165">
                  <c:v>3300.000</c:v>
                </c:pt>
                <c:pt idx="166">
                  <c:v>3320.000</c:v>
                </c:pt>
                <c:pt idx="167">
                  <c:v>3340.000</c:v>
                </c:pt>
                <c:pt idx="168">
                  <c:v>3360.000</c:v>
                </c:pt>
                <c:pt idx="169">
                  <c:v>3380.000</c:v>
                </c:pt>
                <c:pt idx="170">
                  <c:v>3400.000</c:v>
                </c:pt>
                <c:pt idx="171">
                  <c:v>3420.000</c:v>
                </c:pt>
                <c:pt idx="172">
                  <c:v>3440.000</c:v>
                </c:pt>
                <c:pt idx="173">
                  <c:v>3460.000</c:v>
                </c:pt>
                <c:pt idx="174">
                  <c:v>3480.000</c:v>
                </c:pt>
                <c:pt idx="175">
                  <c:v>3500.000</c:v>
                </c:pt>
                <c:pt idx="176">
                  <c:v>3520.000</c:v>
                </c:pt>
                <c:pt idx="177">
                  <c:v>3540.000</c:v>
                </c:pt>
                <c:pt idx="178">
                  <c:v>3560.000</c:v>
                </c:pt>
                <c:pt idx="179">
                  <c:v>3580.000</c:v>
                </c:pt>
                <c:pt idx="180">
                  <c:v>3600.000</c:v>
                </c:pt>
                <c:pt idx="181">
                  <c:v>3620.000</c:v>
                </c:pt>
                <c:pt idx="182">
                  <c:v>3640.000</c:v>
                </c:pt>
                <c:pt idx="183">
                  <c:v>3660.000</c:v>
                </c:pt>
                <c:pt idx="184">
                  <c:v>3680.000</c:v>
                </c:pt>
                <c:pt idx="185">
                  <c:v>3700.000</c:v>
                </c:pt>
                <c:pt idx="186">
                  <c:v>3720.000</c:v>
                </c:pt>
                <c:pt idx="187">
                  <c:v>3740.000</c:v>
                </c:pt>
                <c:pt idx="188">
                  <c:v>3760.000</c:v>
                </c:pt>
                <c:pt idx="189">
                  <c:v>3780.000</c:v>
                </c:pt>
                <c:pt idx="190">
                  <c:v>3800.000</c:v>
                </c:pt>
                <c:pt idx="191">
                  <c:v>3820.000</c:v>
                </c:pt>
                <c:pt idx="192">
                  <c:v>3840.000</c:v>
                </c:pt>
                <c:pt idx="193">
                  <c:v>3860.000</c:v>
                </c:pt>
                <c:pt idx="194">
                  <c:v>3880.000</c:v>
                </c:pt>
                <c:pt idx="195">
                  <c:v>3900.000</c:v>
                </c:pt>
                <c:pt idx="196">
                  <c:v>3920.000</c:v>
                </c:pt>
                <c:pt idx="197">
                  <c:v>3940.000</c:v>
                </c:pt>
                <c:pt idx="198">
                  <c:v>3960.000</c:v>
                </c:pt>
                <c:pt idx="199">
                  <c:v>3980.000</c:v>
                </c:pt>
                <c:pt idx="200">
                  <c:v>4000.000</c:v>
                </c:pt>
                <c:pt idx="201">
                  <c:v>4020.000</c:v>
                </c:pt>
                <c:pt idx="202">
                  <c:v>4040.000</c:v>
                </c:pt>
                <c:pt idx="203">
                  <c:v>4060.000</c:v>
                </c:pt>
                <c:pt idx="204">
                  <c:v>4080.000</c:v>
                </c:pt>
                <c:pt idx="205">
                  <c:v>4100.000</c:v>
                </c:pt>
                <c:pt idx="206">
                  <c:v>4120.000</c:v>
                </c:pt>
                <c:pt idx="207">
                  <c:v>4140.000</c:v>
                </c:pt>
                <c:pt idx="208">
                  <c:v>4160.000</c:v>
                </c:pt>
                <c:pt idx="209">
                  <c:v>4180.000</c:v>
                </c:pt>
                <c:pt idx="210">
                  <c:v>4200.000</c:v>
                </c:pt>
                <c:pt idx="211">
                  <c:v>4220.000</c:v>
                </c:pt>
                <c:pt idx="212">
                  <c:v>4240.000</c:v>
                </c:pt>
                <c:pt idx="213">
                  <c:v>4260.000</c:v>
                </c:pt>
                <c:pt idx="214">
                  <c:v>4280.000</c:v>
                </c:pt>
                <c:pt idx="215">
                  <c:v>4300.000</c:v>
                </c:pt>
                <c:pt idx="216">
                  <c:v>4320.000</c:v>
                </c:pt>
                <c:pt idx="217">
                  <c:v>4340.000</c:v>
                </c:pt>
                <c:pt idx="218">
                  <c:v>4360.000</c:v>
                </c:pt>
                <c:pt idx="219">
                  <c:v>4380.000</c:v>
                </c:pt>
                <c:pt idx="220">
                  <c:v>4400.000</c:v>
                </c:pt>
                <c:pt idx="221">
                  <c:v>4420.000</c:v>
                </c:pt>
                <c:pt idx="222">
                  <c:v>4440.000</c:v>
                </c:pt>
                <c:pt idx="223">
                  <c:v>4460.000</c:v>
                </c:pt>
                <c:pt idx="224">
                  <c:v>4480.000</c:v>
                </c:pt>
                <c:pt idx="225">
                  <c:v>4500.000</c:v>
                </c:pt>
                <c:pt idx="226">
                  <c:v>4520.000</c:v>
                </c:pt>
                <c:pt idx="227">
                  <c:v>4540.000</c:v>
                </c:pt>
                <c:pt idx="228">
                  <c:v>4560.000</c:v>
                </c:pt>
                <c:pt idx="229">
                  <c:v>4580.000</c:v>
                </c:pt>
                <c:pt idx="230">
                  <c:v>4600.000</c:v>
                </c:pt>
                <c:pt idx="231">
                  <c:v>4620.000</c:v>
                </c:pt>
                <c:pt idx="232">
                  <c:v>4640.000</c:v>
                </c:pt>
                <c:pt idx="233">
                  <c:v>4660.000</c:v>
                </c:pt>
                <c:pt idx="234">
                  <c:v>4680.000</c:v>
                </c:pt>
                <c:pt idx="235">
                  <c:v>4700.000</c:v>
                </c:pt>
                <c:pt idx="236">
                  <c:v>4720.000</c:v>
                </c:pt>
                <c:pt idx="237">
                  <c:v>4740.000</c:v>
                </c:pt>
                <c:pt idx="238">
                  <c:v>4760.000</c:v>
                </c:pt>
                <c:pt idx="239">
                  <c:v>4780.000</c:v>
                </c:pt>
                <c:pt idx="240">
                  <c:v>4800.000</c:v>
                </c:pt>
                <c:pt idx="241">
                  <c:v>4820.000</c:v>
                </c:pt>
                <c:pt idx="242">
                  <c:v>4840.000</c:v>
                </c:pt>
                <c:pt idx="243">
                  <c:v>4860.000</c:v>
                </c:pt>
                <c:pt idx="244">
                  <c:v>4880.000</c:v>
                </c:pt>
                <c:pt idx="245">
                  <c:v>4900.000</c:v>
                </c:pt>
                <c:pt idx="246">
                  <c:v>4920.000</c:v>
                </c:pt>
                <c:pt idx="247">
                  <c:v>4940.000</c:v>
                </c:pt>
                <c:pt idx="248">
                  <c:v>4960.000</c:v>
                </c:pt>
                <c:pt idx="249">
                  <c:v>4980.000</c:v>
                </c:pt>
                <c:pt idx="250">
                  <c:v>5000.000</c:v>
                </c:pt>
                <c:pt idx="251">
                  <c:v>5020.000</c:v>
                </c:pt>
                <c:pt idx="252">
                  <c:v>5040.000</c:v>
                </c:pt>
                <c:pt idx="253">
                  <c:v>5060.000</c:v>
                </c:pt>
                <c:pt idx="254">
                  <c:v>5080.000</c:v>
                </c:pt>
                <c:pt idx="255">
                  <c:v>5100.000</c:v>
                </c:pt>
                <c:pt idx="256">
                  <c:v>5120.000</c:v>
                </c:pt>
                <c:pt idx="257">
                  <c:v>5140.000</c:v>
                </c:pt>
                <c:pt idx="258">
                  <c:v>5160.000</c:v>
                </c:pt>
                <c:pt idx="259">
                  <c:v>5180.000</c:v>
                </c:pt>
                <c:pt idx="260">
                  <c:v>5200.000</c:v>
                </c:pt>
                <c:pt idx="261">
                  <c:v>5220.000</c:v>
                </c:pt>
                <c:pt idx="262">
                  <c:v>5240.000</c:v>
                </c:pt>
                <c:pt idx="263">
                  <c:v>5260.000</c:v>
                </c:pt>
                <c:pt idx="264">
                  <c:v>5280.000</c:v>
                </c:pt>
                <c:pt idx="265">
                  <c:v>5300.000</c:v>
                </c:pt>
                <c:pt idx="266">
                  <c:v>5320.000</c:v>
                </c:pt>
                <c:pt idx="267">
                  <c:v>5340.000</c:v>
                </c:pt>
                <c:pt idx="268">
                  <c:v>5360.000</c:v>
                </c:pt>
                <c:pt idx="269">
                  <c:v>5380.000</c:v>
                </c:pt>
                <c:pt idx="270">
                  <c:v>5400.000</c:v>
                </c:pt>
                <c:pt idx="271">
                  <c:v>5420.000</c:v>
                </c:pt>
                <c:pt idx="272">
                  <c:v>5440.000</c:v>
                </c:pt>
                <c:pt idx="273">
                  <c:v>5460.000</c:v>
                </c:pt>
                <c:pt idx="274">
                  <c:v>5480.000</c:v>
                </c:pt>
                <c:pt idx="275">
                  <c:v>5500.000</c:v>
                </c:pt>
                <c:pt idx="276">
                  <c:v>5520.000</c:v>
                </c:pt>
                <c:pt idx="277">
                  <c:v>5540.000</c:v>
                </c:pt>
                <c:pt idx="278">
                  <c:v>5560.000</c:v>
                </c:pt>
                <c:pt idx="279">
                  <c:v>5580.000</c:v>
                </c:pt>
                <c:pt idx="280">
                  <c:v>5600.000</c:v>
                </c:pt>
                <c:pt idx="281">
                  <c:v>5620.000</c:v>
                </c:pt>
                <c:pt idx="282">
                  <c:v>5640.000</c:v>
                </c:pt>
                <c:pt idx="283">
                  <c:v>5660.000</c:v>
                </c:pt>
                <c:pt idx="284">
                  <c:v>5680.000</c:v>
                </c:pt>
                <c:pt idx="285">
                  <c:v>5700.000</c:v>
                </c:pt>
                <c:pt idx="286">
                  <c:v>5720.000</c:v>
                </c:pt>
                <c:pt idx="287">
                  <c:v>5740.000</c:v>
                </c:pt>
                <c:pt idx="288">
                  <c:v>5760.000</c:v>
                </c:pt>
                <c:pt idx="289">
                  <c:v>5780.000</c:v>
                </c:pt>
                <c:pt idx="290">
                  <c:v>5800.000</c:v>
                </c:pt>
                <c:pt idx="291">
                  <c:v>5820.000</c:v>
                </c:pt>
                <c:pt idx="292">
                  <c:v>5840.000</c:v>
                </c:pt>
                <c:pt idx="293">
                  <c:v>5860.000</c:v>
                </c:pt>
                <c:pt idx="294">
                  <c:v>5880.000</c:v>
                </c:pt>
                <c:pt idx="295">
                  <c:v>5900.000</c:v>
                </c:pt>
                <c:pt idx="296">
                  <c:v>5920.000</c:v>
                </c:pt>
                <c:pt idx="297">
                  <c:v>5940.000</c:v>
                </c:pt>
                <c:pt idx="298">
                  <c:v>5960.000</c:v>
                </c:pt>
                <c:pt idx="299">
                  <c:v>5980.000</c:v>
                </c:pt>
                <c:pt idx="300">
                  <c:v>6000.000</c:v>
                </c:pt>
                <c:pt idx="301">
                  <c:v>6020.000</c:v>
                </c:pt>
                <c:pt idx="302">
                  <c:v>6040.000</c:v>
                </c:pt>
                <c:pt idx="303">
                  <c:v>6060.000</c:v>
                </c:pt>
                <c:pt idx="304">
                  <c:v>6080.000</c:v>
                </c:pt>
                <c:pt idx="305">
                  <c:v>6100.000</c:v>
                </c:pt>
                <c:pt idx="306">
                  <c:v>6120.000</c:v>
                </c:pt>
                <c:pt idx="307">
                  <c:v>6140.000</c:v>
                </c:pt>
                <c:pt idx="308">
                  <c:v>6160.000</c:v>
                </c:pt>
                <c:pt idx="309">
                  <c:v>6180.000</c:v>
                </c:pt>
                <c:pt idx="310">
                  <c:v>6200.000</c:v>
                </c:pt>
                <c:pt idx="311">
                  <c:v>6220.000</c:v>
                </c:pt>
                <c:pt idx="312">
                  <c:v>6240.000</c:v>
                </c:pt>
                <c:pt idx="313">
                  <c:v>6260.000</c:v>
                </c:pt>
                <c:pt idx="314">
                  <c:v>6280.000</c:v>
                </c:pt>
                <c:pt idx="315">
                  <c:v>6300.000</c:v>
                </c:pt>
                <c:pt idx="316">
                  <c:v>6320.000</c:v>
                </c:pt>
                <c:pt idx="317">
                  <c:v>6340.000</c:v>
                </c:pt>
                <c:pt idx="318">
                  <c:v>6360.000</c:v>
                </c:pt>
                <c:pt idx="319">
                  <c:v>6380.000</c:v>
                </c:pt>
                <c:pt idx="320">
                  <c:v>6400.000</c:v>
                </c:pt>
                <c:pt idx="321">
                  <c:v>6420.000</c:v>
                </c:pt>
                <c:pt idx="322">
                  <c:v>6440.000</c:v>
                </c:pt>
                <c:pt idx="323">
                  <c:v>6460.000</c:v>
                </c:pt>
                <c:pt idx="324">
                  <c:v>6480.000</c:v>
                </c:pt>
                <c:pt idx="325">
                  <c:v>6500.000</c:v>
                </c:pt>
                <c:pt idx="326">
                  <c:v>6520.000</c:v>
                </c:pt>
                <c:pt idx="327">
                  <c:v>6540.000</c:v>
                </c:pt>
                <c:pt idx="328">
                  <c:v>6560.000</c:v>
                </c:pt>
                <c:pt idx="329">
                  <c:v>6580.000</c:v>
                </c:pt>
                <c:pt idx="330">
                  <c:v>6600.000</c:v>
                </c:pt>
                <c:pt idx="331">
                  <c:v>6620.000</c:v>
                </c:pt>
                <c:pt idx="332">
                  <c:v>6640.000</c:v>
                </c:pt>
                <c:pt idx="333">
                  <c:v>6660.000</c:v>
                </c:pt>
                <c:pt idx="334">
                  <c:v>6680.000</c:v>
                </c:pt>
                <c:pt idx="335">
                  <c:v>6700.000</c:v>
                </c:pt>
                <c:pt idx="336">
                  <c:v>6720.000</c:v>
                </c:pt>
                <c:pt idx="337">
                  <c:v>6740.000</c:v>
                </c:pt>
                <c:pt idx="338">
                  <c:v>6760.000</c:v>
                </c:pt>
                <c:pt idx="339">
                  <c:v>6780.000</c:v>
                </c:pt>
                <c:pt idx="340">
                  <c:v>6800.000</c:v>
                </c:pt>
                <c:pt idx="341">
                  <c:v>6820.000</c:v>
                </c:pt>
                <c:pt idx="342">
                  <c:v>6840.000</c:v>
                </c:pt>
                <c:pt idx="343">
                  <c:v>6860.000</c:v>
                </c:pt>
                <c:pt idx="344">
                  <c:v>6880.000</c:v>
                </c:pt>
                <c:pt idx="345">
                  <c:v>6900.000</c:v>
                </c:pt>
                <c:pt idx="346">
                  <c:v>6920.000</c:v>
                </c:pt>
                <c:pt idx="347">
                  <c:v>6940.000</c:v>
                </c:pt>
                <c:pt idx="348">
                  <c:v>6960.000</c:v>
                </c:pt>
                <c:pt idx="349">
                  <c:v>6980.000</c:v>
                </c:pt>
                <c:pt idx="350">
                  <c:v>7000.000</c:v>
                </c:pt>
                <c:pt idx="351">
                  <c:v>7020.000</c:v>
                </c:pt>
                <c:pt idx="352">
                  <c:v>7040.000</c:v>
                </c:pt>
                <c:pt idx="353">
                  <c:v>7060.000</c:v>
                </c:pt>
                <c:pt idx="354">
                  <c:v>7080.000</c:v>
                </c:pt>
                <c:pt idx="355">
                  <c:v>7100.000</c:v>
                </c:pt>
                <c:pt idx="356">
                  <c:v>7120.000</c:v>
                </c:pt>
                <c:pt idx="357">
                  <c:v>7140.000</c:v>
                </c:pt>
                <c:pt idx="358">
                  <c:v>7160.000</c:v>
                </c:pt>
                <c:pt idx="359">
                  <c:v>7180.000</c:v>
                </c:pt>
                <c:pt idx="360">
                  <c:v>7200.000</c:v>
                </c:pt>
                <c:pt idx="361">
                  <c:v>7220.000</c:v>
                </c:pt>
                <c:pt idx="362">
                  <c:v>7240.000</c:v>
                </c:pt>
                <c:pt idx="363">
                  <c:v>7260.000</c:v>
                </c:pt>
                <c:pt idx="364">
                  <c:v>7280.000</c:v>
                </c:pt>
                <c:pt idx="365">
                  <c:v>7300.000</c:v>
                </c:pt>
                <c:pt idx="366">
                  <c:v>7320.000</c:v>
                </c:pt>
                <c:pt idx="367">
                  <c:v>7340.000</c:v>
                </c:pt>
                <c:pt idx="368">
                  <c:v>7360.000</c:v>
                </c:pt>
                <c:pt idx="369">
                  <c:v>7380.000</c:v>
                </c:pt>
                <c:pt idx="370">
                  <c:v>7400.000</c:v>
                </c:pt>
                <c:pt idx="371">
                  <c:v>7420.000</c:v>
                </c:pt>
                <c:pt idx="372">
                  <c:v>7440.000</c:v>
                </c:pt>
                <c:pt idx="373">
                  <c:v>7460.000</c:v>
                </c:pt>
                <c:pt idx="374">
                  <c:v>7480.000</c:v>
                </c:pt>
                <c:pt idx="375">
                  <c:v>7500.000</c:v>
                </c:pt>
                <c:pt idx="376">
                  <c:v>7520.000</c:v>
                </c:pt>
                <c:pt idx="377">
                  <c:v>7540.000</c:v>
                </c:pt>
                <c:pt idx="378">
                  <c:v>7560.000</c:v>
                </c:pt>
                <c:pt idx="379">
                  <c:v>7580.000</c:v>
                </c:pt>
                <c:pt idx="380">
                  <c:v>7600.000</c:v>
                </c:pt>
                <c:pt idx="381">
                  <c:v>7620.000</c:v>
                </c:pt>
                <c:pt idx="382">
                  <c:v>7640.000</c:v>
                </c:pt>
                <c:pt idx="383">
                  <c:v>7660.000</c:v>
                </c:pt>
                <c:pt idx="384">
                  <c:v>7680.000</c:v>
                </c:pt>
                <c:pt idx="385">
                  <c:v>7700.000</c:v>
                </c:pt>
                <c:pt idx="386">
                  <c:v>7720.000</c:v>
                </c:pt>
                <c:pt idx="387">
                  <c:v>7740.000</c:v>
                </c:pt>
                <c:pt idx="388">
                  <c:v>7760.000</c:v>
                </c:pt>
                <c:pt idx="389">
                  <c:v>7780.000</c:v>
                </c:pt>
                <c:pt idx="390">
                  <c:v>7800.000</c:v>
                </c:pt>
                <c:pt idx="391">
                  <c:v>7820.000</c:v>
                </c:pt>
                <c:pt idx="392">
                  <c:v>7840.000</c:v>
                </c:pt>
                <c:pt idx="393">
                  <c:v>7860.000</c:v>
                </c:pt>
                <c:pt idx="394">
                  <c:v>7880.000</c:v>
                </c:pt>
                <c:pt idx="395">
                  <c:v>7900.000</c:v>
                </c:pt>
                <c:pt idx="396">
                  <c:v>7920.000</c:v>
                </c:pt>
                <c:pt idx="397">
                  <c:v>7940.000</c:v>
                </c:pt>
                <c:pt idx="398">
                  <c:v>7960.000</c:v>
                </c:pt>
                <c:pt idx="399">
                  <c:v>7980.000</c:v>
                </c:pt>
                <c:pt idx="400">
                  <c:v>8000.000</c:v>
                </c:pt>
                <c:pt idx="401">
                  <c:v>8020.000</c:v>
                </c:pt>
                <c:pt idx="402">
                  <c:v>8040.000</c:v>
                </c:pt>
                <c:pt idx="403">
                  <c:v>8060.000</c:v>
                </c:pt>
                <c:pt idx="404">
                  <c:v>8080.000</c:v>
                </c:pt>
                <c:pt idx="405">
                  <c:v>8100.000</c:v>
                </c:pt>
                <c:pt idx="406">
                  <c:v>8120.000</c:v>
                </c:pt>
                <c:pt idx="407">
                  <c:v>8140.000</c:v>
                </c:pt>
                <c:pt idx="408">
                  <c:v>8160.000</c:v>
                </c:pt>
                <c:pt idx="409">
                  <c:v>8180.000</c:v>
                </c:pt>
                <c:pt idx="410">
                  <c:v>8200.000</c:v>
                </c:pt>
                <c:pt idx="411">
                  <c:v>8220.000</c:v>
                </c:pt>
                <c:pt idx="412">
                  <c:v>8240.000</c:v>
                </c:pt>
                <c:pt idx="413">
                  <c:v>8260.000</c:v>
                </c:pt>
                <c:pt idx="414">
                  <c:v>8280.000</c:v>
                </c:pt>
                <c:pt idx="415">
                  <c:v>8300.000</c:v>
                </c:pt>
                <c:pt idx="416">
                  <c:v>8320.000</c:v>
                </c:pt>
                <c:pt idx="417">
                  <c:v>8340.000</c:v>
                </c:pt>
                <c:pt idx="418">
                  <c:v>8360.000</c:v>
                </c:pt>
                <c:pt idx="419">
                  <c:v>8380.000</c:v>
                </c:pt>
                <c:pt idx="420">
                  <c:v>8400.000</c:v>
                </c:pt>
                <c:pt idx="421">
                  <c:v>8420.000</c:v>
                </c:pt>
                <c:pt idx="422">
                  <c:v>8440.000</c:v>
                </c:pt>
                <c:pt idx="423">
                  <c:v>8460.000</c:v>
                </c:pt>
                <c:pt idx="424">
                  <c:v>8480.000</c:v>
                </c:pt>
                <c:pt idx="425">
                  <c:v>8500.000</c:v>
                </c:pt>
                <c:pt idx="426">
                  <c:v>8520.000</c:v>
                </c:pt>
                <c:pt idx="427">
                  <c:v>8540.000</c:v>
                </c:pt>
                <c:pt idx="428">
                  <c:v>8560.000</c:v>
                </c:pt>
                <c:pt idx="429">
                  <c:v>8580.000</c:v>
                </c:pt>
                <c:pt idx="430">
                  <c:v>8600.000</c:v>
                </c:pt>
                <c:pt idx="431">
                  <c:v>8620.000</c:v>
                </c:pt>
                <c:pt idx="432">
                  <c:v>8640.000</c:v>
                </c:pt>
                <c:pt idx="433">
                  <c:v>8660.000</c:v>
                </c:pt>
                <c:pt idx="434">
                  <c:v>8680.000</c:v>
                </c:pt>
                <c:pt idx="435">
                  <c:v>8700.000</c:v>
                </c:pt>
                <c:pt idx="436">
                  <c:v>8720.000</c:v>
                </c:pt>
                <c:pt idx="437">
                  <c:v>8740.000</c:v>
                </c:pt>
                <c:pt idx="438">
                  <c:v>8760.000</c:v>
                </c:pt>
                <c:pt idx="439">
                  <c:v>8780.000</c:v>
                </c:pt>
                <c:pt idx="440">
                  <c:v>8800.000</c:v>
                </c:pt>
                <c:pt idx="441">
                  <c:v>8820.000</c:v>
                </c:pt>
                <c:pt idx="442">
                  <c:v>8840.000</c:v>
                </c:pt>
                <c:pt idx="443">
                  <c:v>8860.000</c:v>
                </c:pt>
                <c:pt idx="444">
                  <c:v>8880.000</c:v>
                </c:pt>
                <c:pt idx="445">
                  <c:v>8900.000</c:v>
                </c:pt>
                <c:pt idx="446">
                  <c:v>8920.000</c:v>
                </c:pt>
                <c:pt idx="447">
                  <c:v>8940.000</c:v>
                </c:pt>
                <c:pt idx="448">
                  <c:v>8960.000</c:v>
                </c:pt>
                <c:pt idx="449">
                  <c:v>8980.000</c:v>
                </c:pt>
                <c:pt idx="450">
                  <c:v>9000.000</c:v>
                </c:pt>
                <c:pt idx="451">
                  <c:v>9020.000</c:v>
                </c:pt>
                <c:pt idx="452">
                  <c:v>9040.000</c:v>
                </c:pt>
                <c:pt idx="453">
                  <c:v>9060.000</c:v>
                </c:pt>
                <c:pt idx="454">
                  <c:v>9080.000</c:v>
                </c:pt>
                <c:pt idx="455">
                  <c:v>9100.000</c:v>
                </c:pt>
                <c:pt idx="456">
                  <c:v>9120.000</c:v>
                </c:pt>
                <c:pt idx="457">
                  <c:v>9140.000</c:v>
                </c:pt>
                <c:pt idx="458">
                  <c:v>9160.000</c:v>
                </c:pt>
                <c:pt idx="459">
                  <c:v>9180.000</c:v>
                </c:pt>
                <c:pt idx="460">
                  <c:v>9200.000</c:v>
                </c:pt>
                <c:pt idx="461">
                  <c:v>9220.000</c:v>
                </c:pt>
                <c:pt idx="462">
                  <c:v>9240.000</c:v>
                </c:pt>
                <c:pt idx="463">
                  <c:v>9260.000</c:v>
                </c:pt>
                <c:pt idx="464">
                  <c:v>9280.000</c:v>
                </c:pt>
                <c:pt idx="465">
                  <c:v>9300.000</c:v>
                </c:pt>
                <c:pt idx="466">
                  <c:v>9320.000</c:v>
                </c:pt>
                <c:pt idx="467">
                  <c:v>9340.000</c:v>
                </c:pt>
                <c:pt idx="468">
                  <c:v>9360.000</c:v>
                </c:pt>
                <c:pt idx="469">
                  <c:v>9380.000</c:v>
                </c:pt>
                <c:pt idx="470">
                  <c:v>9400.000</c:v>
                </c:pt>
                <c:pt idx="471">
                  <c:v>9420.000</c:v>
                </c:pt>
                <c:pt idx="472">
                  <c:v>9440.000</c:v>
                </c:pt>
                <c:pt idx="473">
                  <c:v>9460.000</c:v>
                </c:pt>
                <c:pt idx="474">
                  <c:v>9480.000</c:v>
                </c:pt>
                <c:pt idx="475">
                  <c:v>9500.000</c:v>
                </c:pt>
                <c:pt idx="476">
                  <c:v>9520.000</c:v>
                </c:pt>
                <c:pt idx="477">
                  <c:v>9540.000</c:v>
                </c:pt>
                <c:pt idx="478">
                  <c:v>9560.000</c:v>
                </c:pt>
                <c:pt idx="479">
                  <c:v>9580.000</c:v>
                </c:pt>
                <c:pt idx="480">
                  <c:v>9600.000</c:v>
                </c:pt>
                <c:pt idx="481">
                  <c:v>9620.000</c:v>
                </c:pt>
                <c:pt idx="482">
                  <c:v>9640.000</c:v>
                </c:pt>
                <c:pt idx="483">
                  <c:v>9660.000</c:v>
                </c:pt>
                <c:pt idx="484">
                  <c:v>9680.000</c:v>
                </c:pt>
                <c:pt idx="485">
                  <c:v>9700.000</c:v>
                </c:pt>
                <c:pt idx="486">
                  <c:v>9720.000</c:v>
                </c:pt>
                <c:pt idx="487">
                  <c:v>9740.000</c:v>
                </c:pt>
                <c:pt idx="488">
                  <c:v>9760.000</c:v>
                </c:pt>
                <c:pt idx="489">
                  <c:v>9780.000</c:v>
                </c:pt>
                <c:pt idx="490">
                  <c:v>9800.000</c:v>
                </c:pt>
                <c:pt idx="491">
                  <c:v>9820.000</c:v>
                </c:pt>
                <c:pt idx="492">
                  <c:v>9840.000</c:v>
                </c:pt>
                <c:pt idx="493">
                  <c:v>9860.000</c:v>
                </c:pt>
                <c:pt idx="494">
                  <c:v>9880.000</c:v>
                </c:pt>
                <c:pt idx="495">
                  <c:v>9900.000</c:v>
                </c:pt>
                <c:pt idx="496">
                  <c:v>9920.000</c:v>
                </c:pt>
                <c:pt idx="497">
                  <c:v>9940.000</c:v>
                </c:pt>
                <c:pt idx="498">
                  <c:v>9960.000</c:v>
                </c:pt>
                <c:pt idx="499">
                  <c:v>9980.000</c:v>
                </c:pt>
                <c:pt idx="500">
                  <c:v>10000.000</c:v>
                </c:pt>
                <c:pt idx="501">
                  <c:v>10020.000</c:v>
                </c:pt>
                <c:pt idx="502">
                  <c:v>10040.000</c:v>
                </c:pt>
                <c:pt idx="503">
                  <c:v>10060.000</c:v>
                </c:pt>
                <c:pt idx="504">
                  <c:v>10080.000</c:v>
                </c:pt>
                <c:pt idx="505">
                  <c:v>10100.000</c:v>
                </c:pt>
                <c:pt idx="506">
                  <c:v>10120.000</c:v>
                </c:pt>
                <c:pt idx="507">
                  <c:v>10140.000</c:v>
                </c:pt>
                <c:pt idx="508">
                  <c:v>10160.000</c:v>
                </c:pt>
                <c:pt idx="509">
                  <c:v>10180.000</c:v>
                </c:pt>
                <c:pt idx="510">
                  <c:v>10200.000</c:v>
                </c:pt>
                <c:pt idx="511">
                  <c:v>10220.000</c:v>
                </c:pt>
                <c:pt idx="512">
                  <c:v>10240.000</c:v>
                </c:pt>
                <c:pt idx="513">
                  <c:v>10260.000</c:v>
                </c:pt>
                <c:pt idx="514">
                  <c:v>10280.000</c:v>
                </c:pt>
                <c:pt idx="515">
                  <c:v>10300.000</c:v>
                </c:pt>
                <c:pt idx="516">
                  <c:v>10320.000</c:v>
                </c:pt>
                <c:pt idx="517">
                  <c:v>10340.000</c:v>
                </c:pt>
                <c:pt idx="518">
                  <c:v>10360.000</c:v>
                </c:pt>
                <c:pt idx="519">
                  <c:v>10380.000</c:v>
                </c:pt>
                <c:pt idx="520">
                  <c:v>10400.000</c:v>
                </c:pt>
                <c:pt idx="521">
                  <c:v>10420.000</c:v>
                </c:pt>
                <c:pt idx="522">
                  <c:v>10440.000</c:v>
                </c:pt>
                <c:pt idx="523">
                  <c:v>10460.000</c:v>
                </c:pt>
                <c:pt idx="524">
                  <c:v>10480.000</c:v>
                </c:pt>
                <c:pt idx="525">
                  <c:v>10500.000</c:v>
                </c:pt>
                <c:pt idx="526">
                  <c:v>10520.000</c:v>
                </c:pt>
                <c:pt idx="527">
                  <c:v>10540.000</c:v>
                </c:pt>
                <c:pt idx="528">
                  <c:v>10560.000</c:v>
                </c:pt>
                <c:pt idx="529">
                  <c:v>10580.000</c:v>
                </c:pt>
                <c:pt idx="530">
                  <c:v>10600.000</c:v>
                </c:pt>
                <c:pt idx="531">
                  <c:v>10620.000</c:v>
                </c:pt>
                <c:pt idx="532">
                  <c:v>10640.000</c:v>
                </c:pt>
                <c:pt idx="533">
                  <c:v>10660.000</c:v>
                </c:pt>
                <c:pt idx="534">
                  <c:v>10680.000</c:v>
                </c:pt>
                <c:pt idx="535">
                  <c:v>10700.000</c:v>
                </c:pt>
                <c:pt idx="536">
                  <c:v>10720.000</c:v>
                </c:pt>
                <c:pt idx="537">
                  <c:v>10740.000</c:v>
                </c:pt>
                <c:pt idx="538">
                  <c:v>10760.000</c:v>
                </c:pt>
                <c:pt idx="539">
                  <c:v>10780.000</c:v>
                </c:pt>
                <c:pt idx="540">
                  <c:v>10800.000</c:v>
                </c:pt>
                <c:pt idx="541">
                  <c:v>10820.000</c:v>
                </c:pt>
                <c:pt idx="542">
                  <c:v>10840.000</c:v>
                </c:pt>
                <c:pt idx="543">
                  <c:v>10860.000</c:v>
                </c:pt>
                <c:pt idx="544">
                  <c:v>10880.000</c:v>
                </c:pt>
                <c:pt idx="545">
                  <c:v>10900.000</c:v>
                </c:pt>
                <c:pt idx="546">
                  <c:v>10920.000</c:v>
                </c:pt>
                <c:pt idx="547">
                  <c:v>10940.000</c:v>
                </c:pt>
                <c:pt idx="548">
                  <c:v>10960.000</c:v>
                </c:pt>
                <c:pt idx="549">
                  <c:v>10980.000</c:v>
                </c:pt>
                <c:pt idx="550">
                  <c:v>11000.000</c:v>
                </c:pt>
                <c:pt idx="551">
                  <c:v>11020.000</c:v>
                </c:pt>
                <c:pt idx="552">
                  <c:v>11040.000</c:v>
                </c:pt>
                <c:pt idx="553">
                  <c:v>11060.000</c:v>
                </c:pt>
                <c:pt idx="554">
                  <c:v>11080.000</c:v>
                </c:pt>
                <c:pt idx="555">
                  <c:v>11100.000</c:v>
                </c:pt>
                <c:pt idx="556">
                  <c:v>11120.000</c:v>
                </c:pt>
                <c:pt idx="557">
                  <c:v>11140.000</c:v>
                </c:pt>
                <c:pt idx="558">
                  <c:v>11160.000</c:v>
                </c:pt>
                <c:pt idx="559">
                  <c:v>11180.000</c:v>
                </c:pt>
                <c:pt idx="560">
                  <c:v>11200.000</c:v>
                </c:pt>
                <c:pt idx="561">
                  <c:v>11220.000</c:v>
                </c:pt>
                <c:pt idx="562">
                  <c:v>11240.000</c:v>
                </c:pt>
                <c:pt idx="563">
                  <c:v>11260.000</c:v>
                </c:pt>
                <c:pt idx="564">
                  <c:v>11280.000</c:v>
                </c:pt>
                <c:pt idx="565">
                  <c:v>11300.000</c:v>
                </c:pt>
                <c:pt idx="566">
                  <c:v>11320.000</c:v>
                </c:pt>
                <c:pt idx="567">
                  <c:v>11340.000</c:v>
                </c:pt>
                <c:pt idx="568">
                  <c:v>11360.000</c:v>
                </c:pt>
                <c:pt idx="569">
                  <c:v>11380.000</c:v>
                </c:pt>
                <c:pt idx="570">
                  <c:v>11400.000</c:v>
                </c:pt>
                <c:pt idx="571">
                  <c:v>11420.000</c:v>
                </c:pt>
                <c:pt idx="572">
                  <c:v>11440.000</c:v>
                </c:pt>
                <c:pt idx="573">
                  <c:v>11460.000</c:v>
                </c:pt>
                <c:pt idx="574">
                  <c:v>11480.000</c:v>
                </c:pt>
                <c:pt idx="575">
                  <c:v>11500.000</c:v>
                </c:pt>
                <c:pt idx="576">
                  <c:v>11520.000</c:v>
                </c:pt>
                <c:pt idx="577">
                  <c:v>11540.000</c:v>
                </c:pt>
                <c:pt idx="578">
                  <c:v>11560.000</c:v>
                </c:pt>
                <c:pt idx="579">
                  <c:v>11580.000</c:v>
                </c:pt>
                <c:pt idx="580">
                  <c:v>11600.000</c:v>
                </c:pt>
                <c:pt idx="581">
                  <c:v>11620.000</c:v>
                </c:pt>
                <c:pt idx="582">
                  <c:v>11640.000</c:v>
                </c:pt>
                <c:pt idx="583">
                  <c:v>11660.000</c:v>
                </c:pt>
                <c:pt idx="584">
                  <c:v>11680.000</c:v>
                </c:pt>
                <c:pt idx="585">
                  <c:v>11700.000</c:v>
                </c:pt>
                <c:pt idx="586">
                  <c:v>11720.000</c:v>
                </c:pt>
                <c:pt idx="587">
                  <c:v>11740.000</c:v>
                </c:pt>
                <c:pt idx="588">
                  <c:v>11760.000</c:v>
                </c:pt>
                <c:pt idx="589">
                  <c:v>11780.000</c:v>
                </c:pt>
                <c:pt idx="590">
                  <c:v>11800.000</c:v>
                </c:pt>
                <c:pt idx="591">
                  <c:v>11820.000</c:v>
                </c:pt>
                <c:pt idx="592">
                  <c:v>11840.000</c:v>
                </c:pt>
                <c:pt idx="593">
                  <c:v>11860.000</c:v>
                </c:pt>
                <c:pt idx="594">
                  <c:v>11880.000</c:v>
                </c:pt>
                <c:pt idx="595">
                  <c:v>11900.000</c:v>
                </c:pt>
                <c:pt idx="596">
                  <c:v>11920.000</c:v>
                </c:pt>
                <c:pt idx="597">
                  <c:v>11940.000</c:v>
                </c:pt>
                <c:pt idx="598">
                  <c:v>11960.000</c:v>
                </c:pt>
                <c:pt idx="599">
                  <c:v>11980.000</c:v>
                </c:pt>
                <c:pt idx="600">
                  <c:v>12000.000</c:v>
                </c:pt>
                <c:pt idx="601">
                  <c:v>12020.000</c:v>
                </c:pt>
                <c:pt idx="602">
                  <c:v>12040.000</c:v>
                </c:pt>
                <c:pt idx="603">
                  <c:v>12060.000</c:v>
                </c:pt>
                <c:pt idx="604">
                  <c:v>12080.000</c:v>
                </c:pt>
                <c:pt idx="605">
                  <c:v>12100.000</c:v>
                </c:pt>
                <c:pt idx="606">
                  <c:v>12120.000</c:v>
                </c:pt>
                <c:pt idx="607">
                  <c:v>12140.000</c:v>
                </c:pt>
                <c:pt idx="608">
                  <c:v>12160.000</c:v>
                </c:pt>
                <c:pt idx="609">
                  <c:v>12180.000</c:v>
                </c:pt>
                <c:pt idx="610">
                  <c:v>12200.000</c:v>
                </c:pt>
                <c:pt idx="611">
                  <c:v>12220.000</c:v>
                </c:pt>
                <c:pt idx="612">
                  <c:v>12240.000</c:v>
                </c:pt>
                <c:pt idx="613">
                  <c:v>12260.000</c:v>
                </c:pt>
                <c:pt idx="614">
                  <c:v>12280.000</c:v>
                </c:pt>
                <c:pt idx="615">
                  <c:v>12300.000</c:v>
                </c:pt>
                <c:pt idx="616">
                  <c:v>12320.000</c:v>
                </c:pt>
                <c:pt idx="617">
                  <c:v>12340.000</c:v>
                </c:pt>
                <c:pt idx="618">
                  <c:v>12360.000</c:v>
                </c:pt>
                <c:pt idx="619">
                  <c:v>12380.000</c:v>
                </c:pt>
                <c:pt idx="620">
                  <c:v>12400.000</c:v>
                </c:pt>
                <c:pt idx="621">
                  <c:v>12420.000</c:v>
                </c:pt>
                <c:pt idx="622">
                  <c:v>12440.000</c:v>
                </c:pt>
                <c:pt idx="623">
                  <c:v>12460.000</c:v>
                </c:pt>
                <c:pt idx="624">
                  <c:v>12480.000</c:v>
                </c:pt>
                <c:pt idx="625">
                  <c:v>12500.000</c:v>
                </c:pt>
                <c:pt idx="626">
                  <c:v>12520.000</c:v>
                </c:pt>
                <c:pt idx="627">
                  <c:v>12540.000</c:v>
                </c:pt>
                <c:pt idx="628">
                  <c:v>12560.000</c:v>
                </c:pt>
                <c:pt idx="629">
                  <c:v>12580.000</c:v>
                </c:pt>
                <c:pt idx="630">
                  <c:v>12600.000</c:v>
                </c:pt>
                <c:pt idx="631">
                  <c:v>12620.000</c:v>
                </c:pt>
                <c:pt idx="632">
                  <c:v>12640.000</c:v>
                </c:pt>
                <c:pt idx="633">
                  <c:v>12660.000</c:v>
                </c:pt>
                <c:pt idx="634">
                  <c:v>12680.000</c:v>
                </c:pt>
                <c:pt idx="635">
                  <c:v>12700.000</c:v>
                </c:pt>
                <c:pt idx="636">
                  <c:v>12720.000</c:v>
                </c:pt>
                <c:pt idx="637">
                  <c:v>12740.000</c:v>
                </c:pt>
                <c:pt idx="638">
                  <c:v>12760.000</c:v>
                </c:pt>
                <c:pt idx="639">
                  <c:v>12780.000</c:v>
                </c:pt>
                <c:pt idx="640">
                  <c:v>12800.000</c:v>
                </c:pt>
                <c:pt idx="641">
                  <c:v>12820.000</c:v>
                </c:pt>
                <c:pt idx="642">
                  <c:v>12840.000</c:v>
                </c:pt>
                <c:pt idx="643">
                  <c:v>12860.000</c:v>
                </c:pt>
                <c:pt idx="644">
                  <c:v>12880.000</c:v>
                </c:pt>
                <c:pt idx="645">
                  <c:v>12900.000</c:v>
                </c:pt>
                <c:pt idx="646">
                  <c:v>12920.000</c:v>
                </c:pt>
                <c:pt idx="647">
                  <c:v>12940.000</c:v>
                </c:pt>
                <c:pt idx="648">
                  <c:v>12960.000</c:v>
                </c:pt>
                <c:pt idx="649">
                  <c:v>12980.000</c:v>
                </c:pt>
                <c:pt idx="650">
                  <c:v>13000.000</c:v>
                </c:pt>
                <c:pt idx="651">
                  <c:v>13020.000</c:v>
                </c:pt>
                <c:pt idx="652">
                  <c:v>13040.000</c:v>
                </c:pt>
                <c:pt idx="653">
                  <c:v>13060.000</c:v>
                </c:pt>
                <c:pt idx="654">
                  <c:v>13080.000</c:v>
                </c:pt>
                <c:pt idx="655">
                  <c:v>13100.000</c:v>
                </c:pt>
                <c:pt idx="656">
                  <c:v>13120.000</c:v>
                </c:pt>
                <c:pt idx="657">
                  <c:v>13140.000</c:v>
                </c:pt>
                <c:pt idx="658">
                  <c:v>13160.000</c:v>
                </c:pt>
                <c:pt idx="659">
                  <c:v>13180.000</c:v>
                </c:pt>
                <c:pt idx="660">
                  <c:v>13200.000</c:v>
                </c:pt>
                <c:pt idx="661">
                  <c:v>13220.000</c:v>
                </c:pt>
                <c:pt idx="662">
                  <c:v>13240.000</c:v>
                </c:pt>
                <c:pt idx="663">
                  <c:v>13260.000</c:v>
                </c:pt>
                <c:pt idx="664">
                  <c:v>13280.000</c:v>
                </c:pt>
                <c:pt idx="665">
                  <c:v>13300.000</c:v>
                </c:pt>
                <c:pt idx="666">
                  <c:v>13320.000</c:v>
                </c:pt>
                <c:pt idx="667">
                  <c:v>13340.000</c:v>
                </c:pt>
                <c:pt idx="668">
                  <c:v>13360.000</c:v>
                </c:pt>
                <c:pt idx="669">
                  <c:v>13380.000</c:v>
                </c:pt>
                <c:pt idx="670">
                  <c:v>13400.000</c:v>
                </c:pt>
                <c:pt idx="671">
                  <c:v>13420.000</c:v>
                </c:pt>
                <c:pt idx="672">
                  <c:v>13440.000</c:v>
                </c:pt>
                <c:pt idx="673">
                  <c:v>13460.000</c:v>
                </c:pt>
                <c:pt idx="674">
                  <c:v>13480.000</c:v>
                </c:pt>
                <c:pt idx="675">
                  <c:v>13500.000</c:v>
                </c:pt>
                <c:pt idx="676">
                  <c:v>13520.000</c:v>
                </c:pt>
                <c:pt idx="677">
                  <c:v>13540.000</c:v>
                </c:pt>
                <c:pt idx="678">
                  <c:v>13560.000</c:v>
                </c:pt>
                <c:pt idx="679">
                  <c:v>13580.000</c:v>
                </c:pt>
                <c:pt idx="680">
                  <c:v>13600.000</c:v>
                </c:pt>
                <c:pt idx="681">
                  <c:v>13620.000</c:v>
                </c:pt>
                <c:pt idx="682">
                  <c:v>13640.000</c:v>
                </c:pt>
                <c:pt idx="683">
                  <c:v>13660.000</c:v>
                </c:pt>
                <c:pt idx="684">
                  <c:v>13680.000</c:v>
                </c:pt>
                <c:pt idx="685">
                  <c:v>13700.000</c:v>
                </c:pt>
                <c:pt idx="686">
                  <c:v>13720.000</c:v>
                </c:pt>
                <c:pt idx="687">
                  <c:v>13740.000</c:v>
                </c:pt>
                <c:pt idx="688">
                  <c:v>13760.000</c:v>
                </c:pt>
                <c:pt idx="689">
                  <c:v>13780.000</c:v>
                </c:pt>
                <c:pt idx="690">
                  <c:v>13800.000</c:v>
                </c:pt>
                <c:pt idx="691">
                  <c:v>13820.000</c:v>
                </c:pt>
                <c:pt idx="692">
                  <c:v>13840.000</c:v>
                </c:pt>
                <c:pt idx="693">
                  <c:v>13860.000</c:v>
                </c:pt>
                <c:pt idx="694">
                  <c:v>13880.000</c:v>
                </c:pt>
                <c:pt idx="695">
                  <c:v>13900.000</c:v>
                </c:pt>
                <c:pt idx="696">
                  <c:v>13920.000</c:v>
                </c:pt>
                <c:pt idx="697">
                  <c:v>13940.000</c:v>
                </c:pt>
                <c:pt idx="698">
                  <c:v>13960.000</c:v>
                </c:pt>
                <c:pt idx="699">
                  <c:v>13980.000</c:v>
                </c:pt>
                <c:pt idx="700">
                  <c:v>14000.000</c:v>
                </c:pt>
                <c:pt idx="701">
                  <c:v>14020.000</c:v>
                </c:pt>
                <c:pt idx="702">
                  <c:v>14040.000</c:v>
                </c:pt>
                <c:pt idx="703">
                  <c:v>14060.000</c:v>
                </c:pt>
                <c:pt idx="704">
                  <c:v>14080.000</c:v>
                </c:pt>
                <c:pt idx="705">
                  <c:v>14100.000</c:v>
                </c:pt>
                <c:pt idx="706">
                  <c:v>14120.000</c:v>
                </c:pt>
                <c:pt idx="707">
                  <c:v>14140.000</c:v>
                </c:pt>
                <c:pt idx="708">
                  <c:v>14160.000</c:v>
                </c:pt>
                <c:pt idx="709">
                  <c:v>14180.000</c:v>
                </c:pt>
                <c:pt idx="710">
                  <c:v>14200.000</c:v>
                </c:pt>
                <c:pt idx="711">
                  <c:v>14220.000</c:v>
                </c:pt>
                <c:pt idx="712">
                  <c:v>14240.000</c:v>
                </c:pt>
                <c:pt idx="713">
                  <c:v>14260.000</c:v>
                </c:pt>
                <c:pt idx="714">
                  <c:v>14280.000</c:v>
                </c:pt>
                <c:pt idx="715">
                  <c:v>14300.000</c:v>
                </c:pt>
                <c:pt idx="716">
                  <c:v>14320.000</c:v>
                </c:pt>
                <c:pt idx="717">
                  <c:v>14340.000</c:v>
                </c:pt>
                <c:pt idx="718">
                  <c:v>14360.000</c:v>
                </c:pt>
                <c:pt idx="719">
                  <c:v>14380.000</c:v>
                </c:pt>
                <c:pt idx="720">
                  <c:v>14400.000</c:v>
                </c:pt>
                <c:pt idx="721">
                  <c:v>14420.000</c:v>
                </c:pt>
                <c:pt idx="722">
                  <c:v>14440.000</c:v>
                </c:pt>
                <c:pt idx="723">
                  <c:v>14460.000</c:v>
                </c:pt>
                <c:pt idx="724">
                  <c:v>14480.000</c:v>
                </c:pt>
                <c:pt idx="725">
                  <c:v>14500.000</c:v>
                </c:pt>
                <c:pt idx="726">
                  <c:v>14520.000</c:v>
                </c:pt>
                <c:pt idx="727">
                  <c:v>14540.000</c:v>
                </c:pt>
                <c:pt idx="728">
                  <c:v>14560.000</c:v>
                </c:pt>
                <c:pt idx="729">
                  <c:v>14580.000</c:v>
                </c:pt>
                <c:pt idx="730">
                  <c:v>14600.000</c:v>
                </c:pt>
                <c:pt idx="731">
                  <c:v>14620.000</c:v>
                </c:pt>
                <c:pt idx="732">
                  <c:v>14640.000</c:v>
                </c:pt>
                <c:pt idx="733">
                  <c:v>14660.000</c:v>
                </c:pt>
                <c:pt idx="734">
                  <c:v>14680.000</c:v>
                </c:pt>
                <c:pt idx="735">
                  <c:v>14700.000</c:v>
                </c:pt>
                <c:pt idx="736">
                  <c:v>14720.000</c:v>
                </c:pt>
                <c:pt idx="737">
                  <c:v>14740.000</c:v>
                </c:pt>
                <c:pt idx="738">
                  <c:v>14760.000</c:v>
                </c:pt>
                <c:pt idx="739">
                  <c:v>14780.000</c:v>
                </c:pt>
                <c:pt idx="740">
                  <c:v>14800.000</c:v>
                </c:pt>
                <c:pt idx="741">
                  <c:v>14820.000</c:v>
                </c:pt>
                <c:pt idx="742">
                  <c:v>14840.000</c:v>
                </c:pt>
                <c:pt idx="743">
                  <c:v>14860.000</c:v>
                </c:pt>
                <c:pt idx="744">
                  <c:v>14880.000</c:v>
                </c:pt>
                <c:pt idx="745">
                  <c:v>14900.000</c:v>
                </c:pt>
                <c:pt idx="746">
                  <c:v>14920.000</c:v>
                </c:pt>
                <c:pt idx="747">
                  <c:v>14940.000</c:v>
                </c:pt>
                <c:pt idx="748">
                  <c:v>14960.000</c:v>
                </c:pt>
                <c:pt idx="749">
                  <c:v>14980.000</c:v>
                </c:pt>
                <c:pt idx="750">
                  <c:v>15000.000</c:v>
                </c:pt>
                <c:pt idx="751">
                  <c:v>15020.000</c:v>
                </c:pt>
                <c:pt idx="752">
                  <c:v>15040.000</c:v>
                </c:pt>
                <c:pt idx="753">
                  <c:v>15060.000</c:v>
                </c:pt>
                <c:pt idx="754">
                  <c:v>15080.000</c:v>
                </c:pt>
                <c:pt idx="755">
                  <c:v>15100.000</c:v>
                </c:pt>
                <c:pt idx="756">
                  <c:v>15120.000</c:v>
                </c:pt>
                <c:pt idx="757">
                  <c:v>15140.000</c:v>
                </c:pt>
                <c:pt idx="758">
                  <c:v>15160.000</c:v>
                </c:pt>
                <c:pt idx="759">
                  <c:v>15180.000</c:v>
                </c:pt>
                <c:pt idx="760">
                  <c:v>15200.000</c:v>
                </c:pt>
                <c:pt idx="761">
                  <c:v>15220.000</c:v>
                </c:pt>
                <c:pt idx="762">
                  <c:v>15240.000</c:v>
                </c:pt>
                <c:pt idx="763">
                  <c:v>15260.000</c:v>
                </c:pt>
                <c:pt idx="764">
                  <c:v>15280.000</c:v>
                </c:pt>
                <c:pt idx="765">
                  <c:v>15300.000</c:v>
                </c:pt>
                <c:pt idx="766">
                  <c:v>15320.000</c:v>
                </c:pt>
                <c:pt idx="767">
                  <c:v>15340.000</c:v>
                </c:pt>
                <c:pt idx="768">
                  <c:v>15360.000</c:v>
                </c:pt>
                <c:pt idx="769">
                  <c:v>15380.000</c:v>
                </c:pt>
                <c:pt idx="770">
                  <c:v>15400.000</c:v>
                </c:pt>
                <c:pt idx="771">
                  <c:v>15420.000</c:v>
                </c:pt>
                <c:pt idx="772">
                  <c:v>15440.000</c:v>
                </c:pt>
                <c:pt idx="773">
                  <c:v>15460.000</c:v>
                </c:pt>
                <c:pt idx="774">
                  <c:v>15480.000</c:v>
                </c:pt>
                <c:pt idx="775">
                  <c:v>15500.000</c:v>
                </c:pt>
                <c:pt idx="776">
                  <c:v>15520.000</c:v>
                </c:pt>
                <c:pt idx="777">
                  <c:v>15540.000</c:v>
                </c:pt>
                <c:pt idx="778">
                  <c:v>15560.000</c:v>
                </c:pt>
                <c:pt idx="779">
                  <c:v>15580.000</c:v>
                </c:pt>
                <c:pt idx="780">
                  <c:v>15600.000</c:v>
                </c:pt>
                <c:pt idx="781">
                  <c:v>15620.000</c:v>
                </c:pt>
                <c:pt idx="782">
                  <c:v>15640.000</c:v>
                </c:pt>
                <c:pt idx="783">
                  <c:v>15660.000</c:v>
                </c:pt>
                <c:pt idx="784">
                  <c:v>15680.000</c:v>
                </c:pt>
                <c:pt idx="785">
                  <c:v>15700.000</c:v>
                </c:pt>
                <c:pt idx="786">
                  <c:v>15720.000</c:v>
                </c:pt>
                <c:pt idx="787">
                  <c:v>15740.000</c:v>
                </c:pt>
                <c:pt idx="788">
                  <c:v>15760.000</c:v>
                </c:pt>
                <c:pt idx="789">
                  <c:v>15780.000</c:v>
                </c:pt>
                <c:pt idx="790">
                  <c:v>15800.000</c:v>
                </c:pt>
                <c:pt idx="791">
                  <c:v>15820.000</c:v>
                </c:pt>
                <c:pt idx="792">
                  <c:v>15840.000</c:v>
                </c:pt>
                <c:pt idx="793">
                  <c:v>15860.000</c:v>
                </c:pt>
                <c:pt idx="794">
                  <c:v>15880.000</c:v>
                </c:pt>
                <c:pt idx="795">
                  <c:v>15900.000</c:v>
                </c:pt>
                <c:pt idx="796">
                  <c:v>15920.000</c:v>
                </c:pt>
                <c:pt idx="797">
                  <c:v>15940.000</c:v>
                </c:pt>
                <c:pt idx="798">
                  <c:v>15960.000</c:v>
                </c:pt>
                <c:pt idx="799">
                  <c:v>15980.000</c:v>
                </c:pt>
                <c:pt idx="800">
                  <c:v>16000.000</c:v>
                </c:pt>
                <c:pt idx="801">
                  <c:v>16020.000</c:v>
                </c:pt>
                <c:pt idx="802">
                  <c:v>16040.000</c:v>
                </c:pt>
                <c:pt idx="803">
                  <c:v>16060.000</c:v>
                </c:pt>
                <c:pt idx="804">
                  <c:v>16080.000</c:v>
                </c:pt>
                <c:pt idx="805">
                  <c:v>16100.000</c:v>
                </c:pt>
                <c:pt idx="806">
                  <c:v>16120.000</c:v>
                </c:pt>
                <c:pt idx="807">
                  <c:v>16140.000</c:v>
                </c:pt>
                <c:pt idx="808">
                  <c:v>16160.000</c:v>
                </c:pt>
                <c:pt idx="809">
                  <c:v>16180.000</c:v>
                </c:pt>
                <c:pt idx="810">
                  <c:v>16200.000</c:v>
                </c:pt>
                <c:pt idx="811">
                  <c:v>16220.000</c:v>
                </c:pt>
                <c:pt idx="812">
                  <c:v>16240.000</c:v>
                </c:pt>
                <c:pt idx="813">
                  <c:v>16260.000</c:v>
                </c:pt>
                <c:pt idx="814">
                  <c:v>16280.000</c:v>
                </c:pt>
                <c:pt idx="815">
                  <c:v>16300.000</c:v>
                </c:pt>
                <c:pt idx="816">
                  <c:v>16320.000</c:v>
                </c:pt>
                <c:pt idx="817">
                  <c:v>16340.000</c:v>
                </c:pt>
                <c:pt idx="818">
                  <c:v>16360.000</c:v>
                </c:pt>
                <c:pt idx="819">
                  <c:v>16380.000</c:v>
                </c:pt>
                <c:pt idx="820">
                  <c:v>16400.000</c:v>
                </c:pt>
                <c:pt idx="821">
                  <c:v>16420.000</c:v>
                </c:pt>
                <c:pt idx="822">
                  <c:v>16440.000</c:v>
                </c:pt>
                <c:pt idx="823">
                  <c:v>16460.000</c:v>
                </c:pt>
                <c:pt idx="824">
                  <c:v>16480.000</c:v>
                </c:pt>
                <c:pt idx="825">
                  <c:v>16500.000</c:v>
                </c:pt>
                <c:pt idx="826">
                  <c:v>16520.000</c:v>
                </c:pt>
                <c:pt idx="827">
                  <c:v>16540.000</c:v>
                </c:pt>
                <c:pt idx="828">
                  <c:v>16560.000</c:v>
                </c:pt>
                <c:pt idx="829">
                  <c:v>16580.000</c:v>
                </c:pt>
                <c:pt idx="830">
                  <c:v>16600.000</c:v>
                </c:pt>
                <c:pt idx="831">
                  <c:v>16620.000</c:v>
                </c:pt>
                <c:pt idx="832">
                  <c:v>16640.000</c:v>
                </c:pt>
                <c:pt idx="833">
                  <c:v>16660.000</c:v>
                </c:pt>
                <c:pt idx="834">
                  <c:v>16680.000</c:v>
                </c:pt>
                <c:pt idx="835">
                  <c:v>16700.000</c:v>
                </c:pt>
                <c:pt idx="836">
                  <c:v>16720.000</c:v>
                </c:pt>
                <c:pt idx="837">
                  <c:v>16740.000</c:v>
                </c:pt>
                <c:pt idx="838">
                  <c:v>16760.000</c:v>
                </c:pt>
                <c:pt idx="839">
                  <c:v>16780.000</c:v>
                </c:pt>
                <c:pt idx="840">
                  <c:v>16800.000</c:v>
                </c:pt>
                <c:pt idx="841">
                  <c:v>16820.000</c:v>
                </c:pt>
                <c:pt idx="842">
                  <c:v>16840.000</c:v>
                </c:pt>
                <c:pt idx="843">
                  <c:v>16860.000</c:v>
                </c:pt>
                <c:pt idx="844">
                  <c:v>16880.000</c:v>
                </c:pt>
                <c:pt idx="845">
                  <c:v>16900.000</c:v>
                </c:pt>
                <c:pt idx="846">
                  <c:v>16920.000</c:v>
                </c:pt>
                <c:pt idx="847">
                  <c:v>16940.000</c:v>
                </c:pt>
                <c:pt idx="848">
                  <c:v>16960.000</c:v>
                </c:pt>
                <c:pt idx="849">
                  <c:v>16980.000</c:v>
                </c:pt>
                <c:pt idx="850">
                  <c:v>17000.000</c:v>
                </c:pt>
                <c:pt idx="851">
                  <c:v>17020.000</c:v>
                </c:pt>
                <c:pt idx="852">
                  <c:v>17040.000</c:v>
                </c:pt>
                <c:pt idx="853">
                  <c:v>17060.000</c:v>
                </c:pt>
                <c:pt idx="854">
                  <c:v>17080.000</c:v>
                </c:pt>
                <c:pt idx="855">
                  <c:v>17100.000</c:v>
                </c:pt>
                <c:pt idx="856">
                  <c:v>17120.000</c:v>
                </c:pt>
                <c:pt idx="857">
                  <c:v>17140.000</c:v>
                </c:pt>
                <c:pt idx="858">
                  <c:v>17160.000</c:v>
                </c:pt>
                <c:pt idx="859">
                  <c:v>17180.000</c:v>
                </c:pt>
                <c:pt idx="860">
                  <c:v>17200.000</c:v>
                </c:pt>
                <c:pt idx="861">
                  <c:v>17220.000</c:v>
                </c:pt>
                <c:pt idx="862">
                  <c:v>17240.000</c:v>
                </c:pt>
                <c:pt idx="863">
                  <c:v>17260.000</c:v>
                </c:pt>
                <c:pt idx="864">
                  <c:v>17280.000</c:v>
                </c:pt>
                <c:pt idx="865">
                  <c:v>17300.000</c:v>
                </c:pt>
                <c:pt idx="866">
                  <c:v>17320.000</c:v>
                </c:pt>
                <c:pt idx="867">
                  <c:v>17340.000</c:v>
                </c:pt>
                <c:pt idx="868">
                  <c:v>17360.000</c:v>
                </c:pt>
                <c:pt idx="869">
                  <c:v>17380.000</c:v>
                </c:pt>
                <c:pt idx="870">
                  <c:v>17400.000</c:v>
                </c:pt>
                <c:pt idx="871">
                  <c:v>17420.000</c:v>
                </c:pt>
                <c:pt idx="872">
                  <c:v>17440.000</c:v>
                </c:pt>
                <c:pt idx="873">
                  <c:v>17460.000</c:v>
                </c:pt>
                <c:pt idx="874">
                  <c:v>17480.000</c:v>
                </c:pt>
                <c:pt idx="875">
                  <c:v>17500.000</c:v>
                </c:pt>
                <c:pt idx="876">
                  <c:v>17520.000</c:v>
                </c:pt>
                <c:pt idx="877">
                  <c:v>17540.000</c:v>
                </c:pt>
                <c:pt idx="878">
                  <c:v>17560.000</c:v>
                </c:pt>
                <c:pt idx="879">
                  <c:v>17580.000</c:v>
                </c:pt>
                <c:pt idx="880">
                  <c:v>17600.000</c:v>
                </c:pt>
                <c:pt idx="881">
                  <c:v>17620.000</c:v>
                </c:pt>
                <c:pt idx="882">
                  <c:v>17640.000</c:v>
                </c:pt>
                <c:pt idx="883">
                  <c:v>17660.000</c:v>
                </c:pt>
                <c:pt idx="884">
                  <c:v>17680.000</c:v>
                </c:pt>
                <c:pt idx="885">
                  <c:v>17700.000</c:v>
                </c:pt>
                <c:pt idx="886">
                  <c:v>17720.000</c:v>
                </c:pt>
                <c:pt idx="887">
                  <c:v>17740.000</c:v>
                </c:pt>
                <c:pt idx="888">
                  <c:v>17760.000</c:v>
                </c:pt>
                <c:pt idx="889">
                  <c:v>17780.000</c:v>
                </c:pt>
                <c:pt idx="890">
                  <c:v>17800.000</c:v>
                </c:pt>
                <c:pt idx="891">
                  <c:v>17820.000</c:v>
                </c:pt>
                <c:pt idx="892">
                  <c:v>17840.000</c:v>
                </c:pt>
                <c:pt idx="893">
                  <c:v>17860.000</c:v>
                </c:pt>
                <c:pt idx="894">
                  <c:v>17880.000</c:v>
                </c:pt>
                <c:pt idx="895">
                  <c:v>17900.000</c:v>
                </c:pt>
                <c:pt idx="896">
                  <c:v>17920.000</c:v>
                </c:pt>
                <c:pt idx="897">
                  <c:v>17940.000</c:v>
                </c:pt>
                <c:pt idx="898">
                  <c:v>17960.000</c:v>
                </c:pt>
                <c:pt idx="899">
                  <c:v>17980.000</c:v>
                </c:pt>
                <c:pt idx="900">
                  <c:v>18000.000</c:v>
                </c:pt>
                <c:pt idx="901">
                  <c:v>18020.000</c:v>
                </c:pt>
                <c:pt idx="902">
                  <c:v>18040.000</c:v>
                </c:pt>
                <c:pt idx="903">
                  <c:v>18060.000</c:v>
                </c:pt>
                <c:pt idx="904">
                  <c:v>18080.000</c:v>
                </c:pt>
                <c:pt idx="905">
                  <c:v>18100.000</c:v>
                </c:pt>
                <c:pt idx="906">
                  <c:v>18120.000</c:v>
                </c:pt>
                <c:pt idx="907">
                  <c:v>18140.000</c:v>
                </c:pt>
                <c:pt idx="908">
                  <c:v>18160.000</c:v>
                </c:pt>
                <c:pt idx="909">
                  <c:v>18180.000</c:v>
                </c:pt>
                <c:pt idx="910">
                  <c:v>18200.000</c:v>
                </c:pt>
                <c:pt idx="911">
                  <c:v>18220.000</c:v>
                </c:pt>
                <c:pt idx="912">
                  <c:v>18240.000</c:v>
                </c:pt>
                <c:pt idx="913">
                  <c:v>18260.000</c:v>
                </c:pt>
                <c:pt idx="914">
                  <c:v>18280.000</c:v>
                </c:pt>
                <c:pt idx="915">
                  <c:v>18300.000</c:v>
                </c:pt>
                <c:pt idx="916">
                  <c:v>18320.000</c:v>
                </c:pt>
                <c:pt idx="917">
                  <c:v>18340.000</c:v>
                </c:pt>
                <c:pt idx="918">
                  <c:v>18360.000</c:v>
                </c:pt>
                <c:pt idx="919">
                  <c:v>18380.000</c:v>
                </c:pt>
                <c:pt idx="920">
                  <c:v>18400.000</c:v>
                </c:pt>
                <c:pt idx="921">
                  <c:v>18420.000</c:v>
                </c:pt>
                <c:pt idx="922">
                  <c:v>18440.000</c:v>
                </c:pt>
                <c:pt idx="923">
                  <c:v>18460.000</c:v>
                </c:pt>
                <c:pt idx="924">
                  <c:v>18480.000</c:v>
                </c:pt>
                <c:pt idx="925">
                  <c:v>18500.000</c:v>
                </c:pt>
                <c:pt idx="926">
                  <c:v>18520.000</c:v>
                </c:pt>
                <c:pt idx="927">
                  <c:v>18540.000</c:v>
                </c:pt>
                <c:pt idx="928">
                  <c:v>18560.000</c:v>
                </c:pt>
                <c:pt idx="929">
                  <c:v>18580.000</c:v>
                </c:pt>
                <c:pt idx="930">
                  <c:v>18600.000</c:v>
                </c:pt>
                <c:pt idx="931">
                  <c:v>18620.000</c:v>
                </c:pt>
                <c:pt idx="932">
                  <c:v>18640.000</c:v>
                </c:pt>
                <c:pt idx="933">
                  <c:v>18660.000</c:v>
                </c:pt>
                <c:pt idx="934">
                  <c:v>18680.000</c:v>
                </c:pt>
                <c:pt idx="935">
                  <c:v>18700.000</c:v>
                </c:pt>
                <c:pt idx="936">
                  <c:v>18720.000</c:v>
                </c:pt>
                <c:pt idx="937">
                  <c:v>18740.000</c:v>
                </c:pt>
                <c:pt idx="938">
                  <c:v>18760.000</c:v>
                </c:pt>
                <c:pt idx="939">
                  <c:v>18780.000</c:v>
                </c:pt>
                <c:pt idx="940">
                  <c:v>18800.000</c:v>
                </c:pt>
                <c:pt idx="941">
                  <c:v>18820.000</c:v>
                </c:pt>
                <c:pt idx="942">
                  <c:v>18840.000</c:v>
                </c:pt>
                <c:pt idx="943">
                  <c:v>18860.000</c:v>
                </c:pt>
                <c:pt idx="944">
                  <c:v>18880.000</c:v>
                </c:pt>
                <c:pt idx="945">
                  <c:v>18900.000</c:v>
                </c:pt>
                <c:pt idx="946">
                  <c:v>18920.000</c:v>
                </c:pt>
                <c:pt idx="947">
                  <c:v>18940.000</c:v>
                </c:pt>
                <c:pt idx="948">
                  <c:v>18960.000</c:v>
                </c:pt>
                <c:pt idx="949">
                  <c:v>18980.000</c:v>
                </c:pt>
                <c:pt idx="950">
                  <c:v>19000.000</c:v>
                </c:pt>
                <c:pt idx="951">
                  <c:v>19020.000</c:v>
                </c:pt>
                <c:pt idx="952">
                  <c:v>19040.000</c:v>
                </c:pt>
                <c:pt idx="953">
                  <c:v>19060.000</c:v>
                </c:pt>
                <c:pt idx="954">
                  <c:v>19080.000</c:v>
                </c:pt>
                <c:pt idx="955">
                  <c:v>19100.000</c:v>
                </c:pt>
                <c:pt idx="956">
                  <c:v>19120.000</c:v>
                </c:pt>
                <c:pt idx="957">
                  <c:v>19140.000</c:v>
                </c:pt>
                <c:pt idx="958">
                  <c:v>19160.000</c:v>
                </c:pt>
                <c:pt idx="959">
                  <c:v>19180.000</c:v>
                </c:pt>
                <c:pt idx="960">
                  <c:v>19200.000</c:v>
                </c:pt>
                <c:pt idx="961">
                  <c:v>19220.000</c:v>
                </c:pt>
                <c:pt idx="962">
                  <c:v>19240.000</c:v>
                </c:pt>
                <c:pt idx="963">
                  <c:v>19260.000</c:v>
                </c:pt>
                <c:pt idx="964">
                  <c:v>19280.000</c:v>
                </c:pt>
                <c:pt idx="965">
                  <c:v>19300.000</c:v>
                </c:pt>
                <c:pt idx="966">
                  <c:v>19320.000</c:v>
                </c:pt>
                <c:pt idx="967">
                  <c:v>19340.000</c:v>
                </c:pt>
                <c:pt idx="968">
                  <c:v>19360.000</c:v>
                </c:pt>
                <c:pt idx="969">
                  <c:v>19380.000</c:v>
                </c:pt>
                <c:pt idx="970">
                  <c:v>19400.000</c:v>
                </c:pt>
                <c:pt idx="971">
                  <c:v>19420.000</c:v>
                </c:pt>
                <c:pt idx="972">
                  <c:v>19440.000</c:v>
                </c:pt>
                <c:pt idx="973">
                  <c:v>19460.000</c:v>
                </c:pt>
                <c:pt idx="974">
                  <c:v>19480.000</c:v>
                </c:pt>
                <c:pt idx="975">
                  <c:v>19500.000</c:v>
                </c:pt>
                <c:pt idx="976">
                  <c:v>19520.000</c:v>
                </c:pt>
                <c:pt idx="977">
                  <c:v>19540.000</c:v>
                </c:pt>
                <c:pt idx="978">
                  <c:v>19560.000</c:v>
                </c:pt>
                <c:pt idx="979">
                  <c:v>19580.000</c:v>
                </c:pt>
                <c:pt idx="980">
                  <c:v>19600.000</c:v>
                </c:pt>
                <c:pt idx="981">
                  <c:v>19620.000</c:v>
                </c:pt>
                <c:pt idx="982">
                  <c:v>19640.000</c:v>
                </c:pt>
                <c:pt idx="983">
                  <c:v>19660.000</c:v>
                </c:pt>
                <c:pt idx="984">
                  <c:v>19680.000</c:v>
                </c:pt>
                <c:pt idx="985">
                  <c:v>19700.000</c:v>
                </c:pt>
                <c:pt idx="986">
                  <c:v>19720.000</c:v>
                </c:pt>
                <c:pt idx="987">
                  <c:v>19740.000</c:v>
                </c:pt>
                <c:pt idx="988">
                  <c:v>19760.000</c:v>
                </c:pt>
                <c:pt idx="989">
                  <c:v>19780.000</c:v>
                </c:pt>
                <c:pt idx="990">
                  <c:v>19800.000</c:v>
                </c:pt>
                <c:pt idx="991">
                  <c:v>19820.000</c:v>
                </c:pt>
                <c:pt idx="992">
                  <c:v>19840.000</c:v>
                </c:pt>
                <c:pt idx="993">
                  <c:v>19860.000</c:v>
                </c:pt>
                <c:pt idx="994">
                  <c:v>19880.000</c:v>
                </c:pt>
                <c:pt idx="995">
                  <c:v>19900.000</c:v>
                </c:pt>
                <c:pt idx="996">
                  <c:v>19920.000</c:v>
                </c:pt>
                <c:pt idx="997">
                  <c:v>19940.000</c:v>
                </c:pt>
                <c:pt idx="998">
                  <c:v>19960.000</c:v>
                </c:pt>
                <c:pt idx="999">
                  <c:v>19980.000</c:v>
                </c:pt>
                <c:pt idx="1000">
                  <c:v>20000.000</c:v>
                </c:pt>
                <c:pt idx="1001">
                  <c:v>20020.000</c:v>
                </c:pt>
                <c:pt idx="1002">
                  <c:v>20040.000</c:v>
                </c:pt>
                <c:pt idx="1003">
                  <c:v>20060.000</c:v>
                </c:pt>
                <c:pt idx="1004">
                  <c:v>20080.000</c:v>
                </c:pt>
                <c:pt idx="1005">
                  <c:v>20100.000</c:v>
                </c:pt>
                <c:pt idx="1006">
                  <c:v>20120.000</c:v>
                </c:pt>
                <c:pt idx="1007">
                  <c:v>20140.000</c:v>
                </c:pt>
                <c:pt idx="1008">
                  <c:v>20160.000</c:v>
                </c:pt>
                <c:pt idx="1009">
                  <c:v>20180.000</c:v>
                </c:pt>
                <c:pt idx="1010">
                  <c:v>20200.000</c:v>
                </c:pt>
                <c:pt idx="1011">
                  <c:v>20220.000</c:v>
                </c:pt>
                <c:pt idx="1012">
                  <c:v>20240.000</c:v>
                </c:pt>
                <c:pt idx="1013">
                  <c:v>20260.000</c:v>
                </c:pt>
                <c:pt idx="1014">
                  <c:v>20280.000</c:v>
                </c:pt>
                <c:pt idx="1015">
                  <c:v>20300.000</c:v>
                </c:pt>
                <c:pt idx="1016">
                  <c:v>20320.000</c:v>
                </c:pt>
                <c:pt idx="1017">
                  <c:v>20340.000</c:v>
                </c:pt>
                <c:pt idx="1018">
                  <c:v>20360.000</c:v>
                </c:pt>
                <c:pt idx="1019">
                  <c:v>20380.000</c:v>
                </c:pt>
                <c:pt idx="1020">
                  <c:v>20400.000</c:v>
                </c:pt>
                <c:pt idx="1021">
                  <c:v>20420.000</c:v>
                </c:pt>
                <c:pt idx="1022">
                  <c:v>20440.000</c:v>
                </c:pt>
                <c:pt idx="1023">
                  <c:v>20460.000</c:v>
                </c:pt>
                <c:pt idx="1024">
                  <c:v>20480.000</c:v>
                </c:pt>
                <c:pt idx="1025">
                  <c:v>20500.000</c:v>
                </c:pt>
                <c:pt idx="1026">
                  <c:v>20520.000</c:v>
                </c:pt>
                <c:pt idx="1027">
                  <c:v>20540.000</c:v>
                </c:pt>
                <c:pt idx="1028">
                  <c:v>20560.000</c:v>
                </c:pt>
                <c:pt idx="1029">
                  <c:v>20580.000</c:v>
                </c:pt>
                <c:pt idx="1030">
                  <c:v>20600.000</c:v>
                </c:pt>
                <c:pt idx="1031">
                  <c:v>20620.000</c:v>
                </c:pt>
                <c:pt idx="1032">
                  <c:v>20640.000</c:v>
                </c:pt>
                <c:pt idx="1033">
                  <c:v>20660.000</c:v>
                </c:pt>
                <c:pt idx="1034">
                  <c:v>20680.000</c:v>
                </c:pt>
                <c:pt idx="1035">
                  <c:v>20700.000</c:v>
                </c:pt>
                <c:pt idx="1036">
                  <c:v>20720.000</c:v>
                </c:pt>
                <c:pt idx="1037">
                  <c:v>20740.000</c:v>
                </c:pt>
                <c:pt idx="1038">
                  <c:v>20760.000</c:v>
                </c:pt>
                <c:pt idx="1039">
                  <c:v>20780.000</c:v>
                </c:pt>
                <c:pt idx="1040">
                  <c:v>20800.000</c:v>
                </c:pt>
                <c:pt idx="1041">
                  <c:v>20820.000</c:v>
                </c:pt>
                <c:pt idx="1042">
                  <c:v>20840.000</c:v>
                </c:pt>
                <c:pt idx="1043">
                  <c:v>20860.000</c:v>
                </c:pt>
                <c:pt idx="1044">
                  <c:v>20880.000</c:v>
                </c:pt>
                <c:pt idx="1045">
                  <c:v>20900.000</c:v>
                </c:pt>
                <c:pt idx="1046">
                  <c:v>20920.000</c:v>
                </c:pt>
                <c:pt idx="1047">
                  <c:v>20940.000</c:v>
                </c:pt>
                <c:pt idx="1048">
                  <c:v>20960.000</c:v>
                </c:pt>
                <c:pt idx="1049">
                  <c:v>20980.000</c:v>
                </c:pt>
                <c:pt idx="1050">
                  <c:v>21000.000</c:v>
                </c:pt>
                <c:pt idx="1051">
                  <c:v>21020.000</c:v>
                </c:pt>
                <c:pt idx="1052">
                  <c:v>21040.000</c:v>
                </c:pt>
                <c:pt idx="1053">
                  <c:v>21060.000</c:v>
                </c:pt>
                <c:pt idx="1054">
                  <c:v>21080.000</c:v>
                </c:pt>
                <c:pt idx="1055">
                  <c:v>21100.000</c:v>
                </c:pt>
                <c:pt idx="1056">
                  <c:v>21120.000</c:v>
                </c:pt>
                <c:pt idx="1057">
                  <c:v>21140.000</c:v>
                </c:pt>
                <c:pt idx="1058">
                  <c:v>21160.000</c:v>
                </c:pt>
                <c:pt idx="1059">
                  <c:v>21180.000</c:v>
                </c:pt>
                <c:pt idx="1060">
                  <c:v>21200.000</c:v>
                </c:pt>
                <c:pt idx="1061">
                  <c:v>21220.000</c:v>
                </c:pt>
                <c:pt idx="1062">
                  <c:v>21240.000</c:v>
                </c:pt>
                <c:pt idx="1063">
                  <c:v>21260.000</c:v>
                </c:pt>
                <c:pt idx="1064">
                  <c:v>21280.000</c:v>
                </c:pt>
                <c:pt idx="1065">
                  <c:v>21300.000</c:v>
                </c:pt>
                <c:pt idx="1066">
                  <c:v>21320.000</c:v>
                </c:pt>
                <c:pt idx="1067">
                  <c:v>21340.000</c:v>
                </c:pt>
                <c:pt idx="1068">
                  <c:v>21360.000</c:v>
                </c:pt>
                <c:pt idx="1069">
                  <c:v>21380.000</c:v>
                </c:pt>
                <c:pt idx="1070">
                  <c:v>21400.000</c:v>
                </c:pt>
                <c:pt idx="1071">
                  <c:v>21420.000</c:v>
                </c:pt>
                <c:pt idx="1072">
                  <c:v>21440.000</c:v>
                </c:pt>
                <c:pt idx="1073">
                  <c:v>21460.000</c:v>
                </c:pt>
                <c:pt idx="1074">
                  <c:v>21480.000</c:v>
                </c:pt>
                <c:pt idx="1075">
                  <c:v>21500.000</c:v>
                </c:pt>
                <c:pt idx="1076">
                  <c:v>21520.000</c:v>
                </c:pt>
                <c:pt idx="1077">
                  <c:v>21540.000</c:v>
                </c:pt>
                <c:pt idx="1078">
                  <c:v>21560.000</c:v>
                </c:pt>
                <c:pt idx="1079">
                  <c:v>21580.000</c:v>
                </c:pt>
                <c:pt idx="1080">
                  <c:v>21600.000</c:v>
                </c:pt>
                <c:pt idx="1081">
                  <c:v>21620.000</c:v>
                </c:pt>
                <c:pt idx="1082">
                  <c:v>21640.000</c:v>
                </c:pt>
                <c:pt idx="1083">
                  <c:v>21660.000</c:v>
                </c:pt>
                <c:pt idx="1084">
                  <c:v>21680.000</c:v>
                </c:pt>
                <c:pt idx="1085">
                  <c:v>21700.000</c:v>
                </c:pt>
                <c:pt idx="1086">
                  <c:v>21720.000</c:v>
                </c:pt>
                <c:pt idx="1087">
                  <c:v>21740.000</c:v>
                </c:pt>
                <c:pt idx="1088">
                  <c:v>21760.000</c:v>
                </c:pt>
                <c:pt idx="1089">
                  <c:v>21780.000</c:v>
                </c:pt>
                <c:pt idx="1090">
                  <c:v>21800.000</c:v>
                </c:pt>
                <c:pt idx="1091">
                  <c:v>21820.000</c:v>
                </c:pt>
                <c:pt idx="1092">
                  <c:v>21840.000</c:v>
                </c:pt>
                <c:pt idx="1093">
                  <c:v>21860.000</c:v>
                </c:pt>
                <c:pt idx="1094">
                  <c:v>21880.000</c:v>
                </c:pt>
                <c:pt idx="1095">
                  <c:v>21900.000</c:v>
                </c:pt>
                <c:pt idx="1096">
                  <c:v>21920.000</c:v>
                </c:pt>
                <c:pt idx="1097">
                  <c:v>21940.000</c:v>
                </c:pt>
                <c:pt idx="1098">
                  <c:v>21960.000</c:v>
                </c:pt>
                <c:pt idx="1099">
                  <c:v>21980.000</c:v>
                </c:pt>
                <c:pt idx="1100">
                  <c:v>22000.000</c:v>
                </c:pt>
                <c:pt idx="1101">
                  <c:v>22020.000</c:v>
                </c:pt>
                <c:pt idx="1102">
                  <c:v>22040.000</c:v>
                </c:pt>
                <c:pt idx="1103">
                  <c:v>22060.000</c:v>
                </c:pt>
                <c:pt idx="1104">
                  <c:v>22080.000</c:v>
                </c:pt>
                <c:pt idx="1105">
                  <c:v>22100.000</c:v>
                </c:pt>
                <c:pt idx="1106">
                  <c:v>22120.000</c:v>
                </c:pt>
                <c:pt idx="1107">
                  <c:v>22140.000</c:v>
                </c:pt>
                <c:pt idx="1108">
                  <c:v>22160.000</c:v>
                </c:pt>
                <c:pt idx="1109">
                  <c:v>22180.000</c:v>
                </c:pt>
                <c:pt idx="1110">
                  <c:v>22200.000</c:v>
                </c:pt>
                <c:pt idx="1111">
                  <c:v>22220.000</c:v>
                </c:pt>
                <c:pt idx="1112">
                  <c:v>22240.000</c:v>
                </c:pt>
                <c:pt idx="1113">
                  <c:v>22260.000</c:v>
                </c:pt>
                <c:pt idx="1114">
                  <c:v>22280.000</c:v>
                </c:pt>
                <c:pt idx="1115">
                  <c:v>22300.000</c:v>
                </c:pt>
                <c:pt idx="1116">
                  <c:v>22320.000</c:v>
                </c:pt>
                <c:pt idx="1117">
                  <c:v>22340.000</c:v>
                </c:pt>
                <c:pt idx="1118">
                  <c:v>22360.000</c:v>
                </c:pt>
                <c:pt idx="1119">
                  <c:v>22380.000</c:v>
                </c:pt>
                <c:pt idx="1120">
                  <c:v>22400.000</c:v>
                </c:pt>
                <c:pt idx="1121">
                  <c:v>22420.000</c:v>
                </c:pt>
                <c:pt idx="1122">
                  <c:v>22440.000</c:v>
                </c:pt>
                <c:pt idx="1123">
                  <c:v>22460.000</c:v>
                </c:pt>
                <c:pt idx="1124">
                  <c:v>22480.000</c:v>
                </c:pt>
                <c:pt idx="1125">
                  <c:v>22500.000</c:v>
                </c:pt>
                <c:pt idx="1126">
                  <c:v>22520.000</c:v>
                </c:pt>
                <c:pt idx="1127">
                  <c:v>22540.000</c:v>
                </c:pt>
                <c:pt idx="1128">
                  <c:v>22560.000</c:v>
                </c:pt>
                <c:pt idx="1129">
                  <c:v>22580.000</c:v>
                </c:pt>
                <c:pt idx="1130">
                  <c:v>22600.000</c:v>
                </c:pt>
                <c:pt idx="1131">
                  <c:v>22620.000</c:v>
                </c:pt>
                <c:pt idx="1132">
                  <c:v>22640.000</c:v>
                </c:pt>
                <c:pt idx="1133">
                  <c:v>22660.000</c:v>
                </c:pt>
                <c:pt idx="1134">
                  <c:v>22680.000</c:v>
                </c:pt>
                <c:pt idx="1135">
                  <c:v>22700.000</c:v>
                </c:pt>
                <c:pt idx="1136">
                  <c:v>22720.000</c:v>
                </c:pt>
                <c:pt idx="1137">
                  <c:v>22740.000</c:v>
                </c:pt>
                <c:pt idx="1138">
                  <c:v>22760.000</c:v>
                </c:pt>
                <c:pt idx="1139">
                  <c:v>22780.000</c:v>
                </c:pt>
                <c:pt idx="1140">
                  <c:v>22800.000</c:v>
                </c:pt>
                <c:pt idx="1141">
                  <c:v>22820.000</c:v>
                </c:pt>
                <c:pt idx="1142">
                  <c:v>22840.000</c:v>
                </c:pt>
                <c:pt idx="1143">
                  <c:v>22860.000</c:v>
                </c:pt>
                <c:pt idx="1144">
                  <c:v>22880.000</c:v>
                </c:pt>
                <c:pt idx="1145">
                  <c:v>22900.000</c:v>
                </c:pt>
                <c:pt idx="1146">
                  <c:v>22920.000</c:v>
                </c:pt>
                <c:pt idx="1147">
                  <c:v>22940.000</c:v>
                </c:pt>
                <c:pt idx="1148">
                  <c:v>22960.000</c:v>
                </c:pt>
                <c:pt idx="1149">
                  <c:v>22980.000</c:v>
                </c:pt>
                <c:pt idx="1150">
                  <c:v>23000.000</c:v>
                </c:pt>
                <c:pt idx="1151">
                  <c:v>23020.000</c:v>
                </c:pt>
                <c:pt idx="1152">
                  <c:v>23040.000</c:v>
                </c:pt>
                <c:pt idx="1153">
                  <c:v>23060.000</c:v>
                </c:pt>
                <c:pt idx="1154">
                  <c:v>23080.000</c:v>
                </c:pt>
                <c:pt idx="1155">
                  <c:v>23100.000</c:v>
                </c:pt>
                <c:pt idx="1156">
                  <c:v>23120.000</c:v>
                </c:pt>
                <c:pt idx="1157">
                  <c:v>23140.000</c:v>
                </c:pt>
                <c:pt idx="1158">
                  <c:v>23160.000</c:v>
                </c:pt>
                <c:pt idx="1159">
                  <c:v>23180.000</c:v>
                </c:pt>
                <c:pt idx="1160">
                  <c:v>23200.000</c:v>
                </c:pt>
                <c:pt idx="1161">
                  <c:v>23220.000</c:v>
                </c:pt>
                <c:pt idx="1162">
                  <c:v>23240.000</c:v>
                </c:pt>
                <c:pt idx="1163">
                  <c:v>23260.000</c:v>
                </c:pt>
                <c:pt idx="1164">
                  <c:v>23280.000</c:v>
                </c:pt>
                <c:pt idx="1165">
                  <c:v>23300.000</c:v>
                </c:pt>
                <c:pt idx="1166">
                  <c:v>23320.000</c:v>
                </c:pt>
                <c:pt idx="1167">
                  <c:v>23340.000</c:v>
                </c:pt>
                <c:pt idx="1168">
                  <c:v>23360.000</c:v>
                </c:pt>
                <c:pt idx="1169">
                  <c:v>23380.000</c:v>
                </c:pt>
                <c:pt idx="1170">
                  <c:v>23400.000</c:v>
                </c:pt>
                <c:pt idx="1171">
                  <c:v>23420.000</c:v>
                </c:pt>
                <c:pt idx="1172">
                  <c:v>23440.000</c:v>
                </c:pt>
                <c:pt idx="1173">
                  <c:v>23460.000</c:v>
                </c:pt>
                <c:pt idx="1174">
                  <c:v>23480.000</c:v>
                </c:pt>
                <c:pt idx="1175">
                  <c:v>23500.000</c:v>
                </c:pt>
                <c:pt idx="1176">
                  <c:v>23520.000</c:v>
                </c:pt>
                <c:pt idx="1177">
                  <c:v>23540.000</c:v>
                </c:pt>
                <c:pt idx="1178">
                  <c:v>23560.000</c:v>
                </c:pt>
                <c:pt idx="1179">
                  <c:v>23580.000</c:v>
                </c:pt>
                <c:pt idx="1180">
                  <c:v>23600.000</c:v>
                </c:pt>
                <c:pt idx="1181">
                  <c:v>23620.000</c:v>
                </c:pt>
                <c:pt idx="1182">
                  <c:v>23640.000</c:v>
                </c:pt>
                <c:pt idx="1183">
                  <c:v>23660.000</c:v>
                </c:pt>
                <c:pt idx="1184">
                  <c:v>23680.000</c:v>
                </c:pt>
                <c:pt idx="1185">
                  <c:v>23700.000</c:v>
                </c:pt>
                <c:pt idx="1186">
                  <c:v>23720.000</c:v>
                </c:pt>
                <c:pt idx="1187">
                  <c:v>23740.000</c:v>
                </c:pt>
                <c:pt idx="1188">
                  <c:v>23760.000</c:v>
                </c:pt>
                <c:pt idx="1189">
                  <c:v>23780.000</c:v>
                </c:pt>
                <c:pt idx="1190">
                  <c:v>23800.000</c:v>
                </c:pt>
                <c:pt idx="1191">
                  <c:v>23820.000</c:v>
                </c:pt>
                <c:pt idx="1192">
                  <c:v>23840.000</c:v>
                </c:pt>
                <c:pt idx="1193">
                  <c:v>23860.000</c:v>
                </c:pt>
                <c:pt idx="1194">
                  <c:v>23880.000</c:v>
                </c:pt>
                <c:pt idx="1195">
                  <c:v>23900.000</c:v>
                </c:pt>
                <c:pt idx="1196">
                  <c:v>23920.000</c:v>
                </c:pt>
                <c:pt idx="1197">
                  <c:v>23940.000</c:v>
                </c:pt>
                <c:pt idx="1198">
                  <c:v>23960.000</c:v>
                </c:pt>
                <c:pt idx="1199">
                  <c:v>23980.000</c:v>
                </c:pt>
                <c:pt idx="1200">
                  <c:v>24000.000</c:v>
                </c:pt>
                <c:pt idx="1201">
                  <c:v>24020.000</c:v>
                </c:pt>
                <c:pt idx="1202">
                  <c:v>24040.000</c:v>
                </c:pt>
                <c:pt idx="1203">
                  <c:v>24060.000</c:v>
                </c:pt>
                <c:pt idx="1204">
                  <c:v>24080.000</c:v>
                </c:pt>
                <c:pt idx="1205">
                  <c:v>24100.000</c:v>
                </c:pt>
                <c:pt idx="1206">
                  <c:v>24120.000</c:v>
                </c:pt>
                <c:pt idx="1207">
                  <c:v>24140.000</c:v>
                </c:pt>
                <c:pt idx="1208">
                  <c:v>24160.000</c:v>
                </c:pt>
                <c:pt idx="1209">
                  <c:v>24180.000</c:v>
                </c:pt>
                <c:pt idx="1210">
                  <c:v>24200.000</c:v>
                </c:pt>
                <c:pt idx="1211">
                  <c:v>24220.000</c:v>
                </c:pt>
                <c:pt idx="1212">
                  <c:v>24240.000</c:v>
                </c:pt>
                <c:pt idx="1213">
                  <c:v>24260.000</c:v>
                </c:pt>
                <c:pt idx="1214">
                  <c:v>24280.000</c:v>
                </c:pt>
                <c:pt idx="1215">
                  <c:v>24300.000</c:v>
                </c:pt>
                <c:pt idx="1216">
                  <c:v>24320.000</c:v>
                </c:pt>
                <c:pt idx="1217">
                  <c:v>24340.000</c:v>
                </c:pt>
                <c:pt idx="1218">
                  <c:v>24360.000</c:v>
                </c:pt>
                <c:pt idx="1219">
                  <c:v>24380.000</c:v>
                </c:pt>
                <c:pt idx="1220">
                  <c:v>24400.000</c:v>
                </c:pt>
                <c:pt idx="1221">
                  <c:v>24420.000</c:v>
                </c:pt>
                <c:pt idx="1222">
                  <c:v>24440.000</c:v>
                </c:pt>
                <c:pt idx="1223">
                  <c:v>24460.000</c:v>
                </c:pt>
                <c:pt idx="1224">
                  <c:v>24480.000</c:v>
                </c:pt>
                <c:pt idx="1225">
                  <c:v>24500.000</c:v>
                </c:pt>
                <c:pt idx="1226">
                  <c:v>24520.000</c:v>
                </c:pt>
                <c:pt idx="1227">
                  <c:v>24540.000</c:v>
                </c:pt>
                <c:pt idx="1228">
                  <c:v>24560.000</c:v>
                </c:pt>
                <c:pt idx="1229">
                  <c:v>24580.000</c:v>
                </c:pt>
                <c:pt idx="1230">
                  <c:v>24600.000</c:v>
                </c:pt>
                <c:pt idx="1231">
                  <c:v>24620.000</c:v>
                </c:pt>
                <c:pt idx="1232">
                  <c:v>24640.000</c:v>
                </c:pt>
                <c:pt idx="1233">
                  <c:v>24660.000</c:v>
                </c:pt>
                <c:pt idx="1234">
                  <c:v>24680.000</c:v>
                </c:pt>
                <c:pt idx="1235">
                  <c:v>24700.000</c:v>
                </c:pt>
                <c:pt idx="1236">
                  <c:v>24720.000</c:v>
                </c:pt>
                <c:pt idx="1237">
                  <c:v>24740.000</c:v>
                </c:pt>
                <c:pt idx="1238">
                  <c:v>24760.000</c:v>
                </c:pt>
                <c:pt idx="1239">
                  <c:v>24780.000</c:v>
                </c:pt>
                <c:pt idx="1240">
                  <c:v>24800.000</c:v>
                </c:pt>
                <c:pt idx="1241">
                  <c:v>24820.000</c:v>
                </c:pt>
                <c:pt idx="1242">
                  <c:v>24840.000</c:v>
                </c:pt>
                <c:pt idx="1243">
                  <c:v>24860.000</c:v>
                </c:pt>
                <c:pt idx="1244">
                  <c:v>24880.000</c:v>
                </c:pt>
                <c:pt idx="1245">
                  <c:v>24900.000</c:v>
                </c:pt>
                <c:pt idx="1246">
                  <c:v>24920.000</c:v>
                </c:pt>
                <c:pt idx="1247">
                  <c:v>24940.000</c:v>
                </c:pt>
                <c:pt idx="1248">
                  <c:v>24960.000</c:v>
                </c:pt>
                <c:pt idx="1249">
                  <c:v>24980.000</c:v>
                </c:pt>
                <c:pt idx="1250">
                  <c:v>25000.000</c:v>
                </c:pt>
                <c:pt idx="1251">
                  <c:v>25020.000</c:v>
                </c:pt>
                <c:pt idx="1252">
                  <c:v>25040.000</c:v>
                </c:pt>
                <c:pt idx="1253">
                  <c:v>25060.000</c:v>
                </c:pt>
                <c:pt idx="1254">
                  <c:v>25080.000</c:v>
                </c:pt>
                <c:pt idx="1255">
                  <c:v>25100.000</c:v>
                </c:pt>
                <c:pt idx="1256">
                  <c:v>25120.000</c:v>
                </c:pt>
                <c:pt idx="1257">
                  <c:v>25140.000</c:v>
                </c:pt>
                <c:pt idx="1258">
                  <c:v>25160.000</c:v>
                </c:pt>
                <c:pt idx="1259">
                  <c:v>25180.000</c:v>
                </c:pt>
                <c:pt idx="1260">
                  <c:v>25200.000</c:v>
                </c:pt>
                <c:pt idx="1261">
                  <c:v>25220.000</c:v>
                </c:pt>
                <c:pt idx="1262">
                  <c:v>25240.000</c:v>
                </c:pt>
                <c:pt idx="1263">
                  <c:v>25260.000</c:v>
                </c:pt>
                <c:pt idx="1264">
                  <c:v>25280.000</c:v>
                </c:pt>
                <c:pt idx="1265">
                  <c:v>25300.000</c:v>
                </c:pt>
                <c:pt idx="1266">
                  <c:v>25320.000</c:v>
                </c:pt>
                <c:pt idx="1267">
                  <c:v>25340.000</c:v>
                </c:pt>
                <c:pt idx="1268">
                  <c:v>25360.000</c:v>
                </c:pt>
                <c:pt idx="1269">
                  <c:v>25380.000</c:v>
                </c:pt>
                <c:pt idx="1270">
                  <c:v>25400.000</c:v>
                </c:pt>
                <c:pt idx="1271">
                  <c:v>25420.000</c:v>
                </c:pt>
                <c:pt idx="1272">
                  <c:v>25440.000</c:v>
                </c:pt>
                <c:pt idx="1273">
                  <c:v>25460.000</c:v>
                </c:pt>
                <c:pt idx="1274">
                  <c:v>25480.000</c:v>
                </c:pt>
                <c:pt idx="1275">
                  <c:v>25500.000</c:v>
                </c:pt>
                <c:pt idx="1276">
                  <c:v>25520.000</c:v>
                </c:pt>
                <c:pt idx="1277">
                  <c:v>25540.000</c:v>
                </c:pt>
                <c:pt idx="1278">
                  <c:v>25560.000</c:v>
                </c:pt>
                <c:pt idx="1279">
                  <c:v>25580.000</c:v>
                </c:pt>
                <c:pt idx="1280">
                  <c:v>25600.000</c:v>
                </c:pt>
                <c:pt idx="1281">
                  <c:v>25620.000</c:v>
                </c:pt>
                <c:pt idx="1282">
                  <c:v>25640.000</c:v>
                </c:pt>
                <c:pt idx="1283">
                  <c:v>25660.000</c:v>
                </c:pt>
                <c:pt idx="1284">
                  <c:v>25680.000</c:v>
                </c:pt>
                <c:pt idx="1285">
                  <c:v>25700.000</c:v>
                </c:pt>
                <c:pt idx="1286">
                  <c:v>25720.000</c:v>
                </c:pt>
                <c:pt idx="1287">
                  <c:v>25740.000</c:v>
                </c:pt>
                <c:pt idx="1288">
                  <c:v>25760.000</c:v>
                </c:pt>
                <c:pt idx="1289">
                  <c:v>25780.000</c:v>
                </c:pt>
                <c:pt idx="1290">
                  <c:v>25800.000</c:v>
                </c:pt>
                <c:pt idx="1291">
                  <c:v>25820.000</c:v>
                </c:pt>
                <c:pt idx="1292">
                  <c:v>25840.000</c:v>
                </c:pt>
                <c:pt idx="1293">
                  <c:v>25860.000</c:v>
                </c:pt>
                <c:pt idx="1294">
                  <c:v>25880.000</c:v>
                </c:pt>
                <c:pt idx="1295">
                  <c:v>25900.000</c:v>
                </c:pt>
                <c:pt idx="1296">
                  <c:v>25920.000</c:v>
                </c:pt>
                <c:pt idx="1297">
                  <c:v>25940.000</c:v>
                </c:pt>
                <c:pt idx="1298">
                  <c:v>25960.000</c:v>
                </c:pt>
                <c:pt idx="1299">
                  <c:v>25980.000</c:v>
                </c:pt>
                <c:pt idx="1300">
                  <c:v>26000.000</c:v>
                </c:pt>
                <c:pt idx="1301">
                  <c:v>26020.000</c:v>
                </c:pt>
                <c:pt idx="1302">
                  <c:v>26040.000</c:v>
                </c:pt>
                <c:pt idx="1303">
                  <c:v>26060.000</c:v>
                </c:pt>
                <c:pt idx="1304">
                  <c:v>26080.000</c:v>
                </c:pt>
                <c:pt idx="1305">
                  <c:v>26100.000</c:v>
                </c:pt>
                <c:pt idx="1306">
                  <c:v>26120.000</c:v>
                </c:pt>
                <c:pt idx="1307">
                  <c:v>26140.000</c:v>
                </c:pt>
                <c:pt idx="1308">
                  <c:v>26160.000</c:v>
                </c:pt>
                <c:pt idx="1309">
                  <c:v>26180.000</c:v>
                </c:pt>
                <c:pt idx="1310">
                  <c:v>26200.000</c:v>
                </c:pt>
                <c:pt idx="1311">
                  <c:v>26220.000</c:v>
                </c:pt>
                <c:pt idx="1312">
                  <c:v>26240.000</c:v>
                </c:pt>
                <c:pt idx="1313">
                  <c:v>26260.000</c:v>
                </c:pt>
                <c:pt idx="1314">
                  <c:v>26280.000</c:v>
                </c:pt>
                <c:pt idx="1315">
                  <c:v>26300.000</c:v>
                </c:pt>
                <c:pt idx="1316">
                  <c:v>26320.000</c:v>
                </c:pt>
                <c:pt idx="1317">
                  <c:v>26340.000</c:v>
                </c:pt>
                <c:pt idx="1318">
                  <c:v>26360.000</c:v>
                </c:pt>
                <c:pt idx="1319">
                  <c:v>26380.000</c:v>
                </c:pt>
                <c:pt idx="1320">
                  <c:v>26400.000</c:v>
                </c:pt>
                <c:pt idx="1321">
                  <c:v>26420.000</c:v>
                </c:pt>
                <c:pt idx="1322">
                  <c:v>26440.000</c:v>
                </c:pt>
                <c:pt idx="1323">
                  <c:v>26460.000</c:v>
                </c:pt>
                <c:pt idx="1324">
                  <c:v>26480.000</c:v>
                </c:pt>
                <c:pt idx="1325">
                  <c:v>26500.000</c:v>
                </c:pt>
                <c:pt idx="1326">
                  <c:v>26520.000</c:v>
                </c:pt>
                <c:pt idx="1327">
                  <c:v>26540.000</c:v>
                </c:pt>
                <c:pt idx="1328">
                  <c:v>26560.000</c:v>
                </c:pt>
                <c:pt idx="1329">
                  <c:v>26580.000</c:v>
                </c:pt>
                <c:pt idx="1330">
                  <c:v>26600.000</c:v>
                </c:pt>
                <c:pt idx="1331">
                  <c:v>26620.000</c:v>
                </c:pt>
                <c:pt idx="1332">
                  <c:v>26640.000</c:v>
                </c:pt>
                <c:pt idx="1333">
                  <c:v>26660.000</c:v>
                </c:pt>
                <c:pt idx="1334">
                  <c:v>26680.000</c:v>
                </c:pt>
                <c:pt idx="1335">
                  <c:v>26700.000</c:v>
                </c:pt>
                <c:pt idx="1336">
                  <c:v>26720.000</c:v>
                </c:pt>
                <c:pt idx="1337">
                  <c:v>26740.000</c:v>
                </c:pt>
                <c:pt idx="1338">
                  <c:v>26760.000</c:v>
                </c:pt>
                <c:pt idx="1339">
                  <c:v>26780.000</c:v>
                </c:pt>
                <c:pt idx="1340">
                  <c:v>26800.000</c:v>
                </c:pt>
                <c:pt idx="1341">
                  <c:v>26820.000</c:v>
                </c:pt>
                <c:pt idx="1342">
                  <c:v>26840.000</c:v>
                </c:pt>
                <c:pt idx="1343">
                  <c:v>26860.000</c:v>
                </c:pt>
                <c:pt idx="1344">
                  <c:v>26880.000</c:v>
                </c:pt>
                <c:pt idx="1345">
                  <c:v>26900.000</c:v>
                </c:pt>
                <c:pt idx="1346">
                  <c:v>26920.000</c:v>
                </c:pt>
                <c:pt idx="1347">
                  <c:v>26940.000</c:v>
                </c:pt>
                <c:pt idx="1348">
                  <c:v>26960.000</c:v>
                </c:pt>
                <c:pt idx="1349">
                  <c:v>26980.000</c:v>
                </c:pt>
                <c:pt idx="1350">
                  <c:v>27000.000</c:v>
                </c:pt>
                <c:pt idx="1351">
                  <c:v>27020.000</c:v>
                </c:pt>
                <c:pt idx="1352">
                  <c:v>27040.000</c:v>
                </c:pt>
                <c:pt idx="1353">
                  <c:v>27060.000</c:v>
                </c:pt>
                <c:pt idx="1354">
                  <c:v>27080.000</c:v>
                </c:pt>
                <c:pt idx="1355">
                  <c:v>27100.000</c:v>
                </c:pt>
                <c:pt idx="1356">
                  <c:v>27120.000</c:v>
                </c:pt>
                <c:pt idx="1357">
                  <c:v>27140.000</c:v>
                </c:pt>
                <c:pt idx="1358">
                  <c:v>27160.000</c:v>
                </c:pt>
                <c:pt idx="1359">
                  <c:v>27180.000</c:v>
                </c:pt>
                <c:pt idx="1360">
                  <c:v>27200.000</c:v>
                </c:pt>
                <c:pt idx="1361">
                  <c:v>27220.000</c:v>
                </c:pt>
                <c:pt idx="1362">
                  <c:v>27240.000</c:v>
                </c:pt>
                <c:pt idx="1363">
                  <c:v>27260.000</c:v>
                </c:pt>
                <c:pt idx="1364">
                  <c:v>27280.000</c:v>
                </c:pt>
                <c:pt idx="1365">
                  <c:v>27300.000</c:v>
                </c:pt>
                <c:pt idx="1366">
                  <c:v>27320.000</c:v>
                </c:pt>
                <c:pt idx="1367">
                  <c:v>27340.000</c:v>
                </c:pt>
                <c:pt idx="1368">
                  <c:v>27360.000</c:v>
                </c:pt>
                <c:pt idx="1369">
                  <c:v>27380.000</c:v>
                </c:pt>
                <c:pt idx="1370">
                  <c:v>27400.000</c:v>
                </c:pt>
                <c:pt idx="1371">
                  <c:v>27420.000</c:v>
                </c:pt>
                <c:pt idx="1372">
                  <c:v>27440.000</c:v>
                </c:pt>
                <c:pt idx="1373">
                  <c:v>27460.000</c:v>
                </c:pt>
                <c:pt idx="1374">
                  <c:v>27480.000</c:v>
                </c:pt>
                <c:pt idx="1375">
                  <c:v>27500.000</c:v>
                </c:pt>
                <c:pt idx="1376">
                  <c:v>27520.000</c:v>
                </c:pt>
                <c:pt idx="1377">
                  <c:v>27540.000</c:v>
                </c:pt>
                <c:pt idx="1378">
                  <c:v>27560.000</c:v>
                </c:pt>
                <c:pt idx="1379">
                  <c:v>27580.000</c:v>
                </c:pt>
                <c:pt idx="1380">
                  <c:v>27600.000</c:v>
                </c:pt>
                <c:pt idx="1381">
                  <c:v>27620.000</c:v>
                </c:pt>
                <c:pt idx="1382">
                  <c:v>27640.000</c:v>
                </c:pt>
                <c:pt idx="1383">
                  <c:v>27660.000</c:v>
                </c:pt>
                <c:pt idx="1384">
                  <c:v>27680.000</c:v>
                </c:pt>
                <c:pt idx="1385">
                  <c:v>27700.000</c:v>
                </c:pt>
                <c:pt idx="1386">
                  <c:v>27720.000</c:v>
                </c:pt>
                <c:pt idx="1387">
                  <c:v>27740.000</c:v>
                </c:pt>
                <c:pt idx="1388">
                  <c:v>27760.000</c:v>
                </c:pt>
                <c:pt idx="1389">
                  <c:v>27780.000</c:v>
                </c:pt>
                <c:pt idx="1390">
                  <c:v>27800.000</c:v>
                </c:pt>
                <c:pt idx="1391">
                  <c:v>27820.000</c:v>
                </c:pt>
                <c:pt idx="1392">
                  <c:v>27840.000</c:v>
                </c:pt>
                <c:pt idx="1393">
                  <c:v>27860.000</c:v>
                </c:pt>
                <c:pt idx="1394">
                  <c:v>27880.000</c:v>
                </c:pt>
                <c:pt idx="1395">
                  <c:v>27900.000</c:v>
                </c:pt>
                <c:pt idx="1396">
                  <c:v>27920.000</c:v>
                </c:pt>
                <c:pt idx="1397">
                  <c:v>27940.000</c:v>
                </c:pt>
                <c:pt idx="1398">
                  <c:v>27960.000</c:v>
                </c:pt>
                <c:pt idx="1399">
                  <c:v>27980.000</c:v>
                </c:pt>
                <c:pt idx="1400">
                  <c:v>28000.000</c:v>
                </c:pt>
                <c:pt idx="1401">
                  <c:v>28020.000</c:v>
                </c:pt>
                <c:pt idx="1402">
                  <c:v>28040.000</c:v>
                </c:pt>
                <c:pt idx="1403">
                  <c:v>28060.000</c:v>
                </c:pt>
                <c:pt idx="1404">
                  <c:v>28080.000</c:v>
                </c:pt>
                <c:pt idx="1405">
                  <c:v>28100.000</c:v>
                </c:pt>
                <c:pt idx="1406">
                  <c:v>28120.000</c:v>
                </c:pt>
                <c:pt idx="1407">
                  <c:v>28140.000</c:v>
                </c:pt>
                <c:pt idx="1408">
                  <c:v>28160.000</c:v>
                </c:pt>
                <c:pt idx="1409">
                  <c:v>28180.000</c:v>
                </c:pt>
                <c:pt idx="1410">
                  <c:v>28200.000</c:v>
                </c:pt>
                <c:pt idx="1411">
                  <c:v>28220.000</c:v>
                </c:pt>
                <c:pt idx="1412">
                  <c:v>28240.000</c:v>
                </c:pt>
                <c:pt idx="1413">
                  <c:v>28260.000</c:v>
                </c:pt>
                <c:pt idx="1414">
                  <c:v>28280.000</c:v>
                </c:pt>
                <c:pt idx="1415">
                  <c:v>28300.000</c:v>
                </c:pt>
                <c:pt idx="1416">
                  <c:v>28320.000</c:v>
                </c:pt>
                <c:pt idx="1417">
                  <c:v>28340.000</c:v>
                </c:pt>
                <c:pt idx="1418">
                  <c:v>28360.000</c:v>
                </c:pt>
                <c:pt idx="1419">
                  <c:v>28380.000</c:v>
                </c:pt>
                <c:pt idx="1420">
                  <c:v>28400.000</c:v>
                </c:pt>
                <c:pt idx="1421">
                  <c:v>28420.000</c:v>
                </c:pt>
                <c:pt idx="1422">
                  <c:v>28440.000</c:v>
                </c:pt>
                <c:pt idx="1423">
                  <c:v>28460.000</c:v>
                </c:pt>
                <c:pt idx="1424">
                  <c:v>28480.000</c:v>
                </c:pt>
                <c:pt idx="1425">
                  <c:v>28500.000</c:v>
                </c:pt>
                <c:pt idx="1426">
                  <c:v>28520.000</c:v>
                </c:pt>
                <c:pt idx="1427">
                  <c:v>28540.000</c:v>
                </c:pt>
                <c:pt idx="1428">
                  <c:v>28560.000</c:v>
                </c:pt>
                <c:pt idx="1429">
                  <c:v>28580.000</c:v>
                </c:pt>
                <c:pt idx="1430">
                  <c:v>28600.000</c:v>
                </c:pt>
                <c:pt idx="1431">
                  <c:v>28620.000</c:v>
                </c:pt>
                <c:pt idx="1432">
                  <c:v>28640.000</c:v>
                </c:pt>
                <c:pt idx="1433">
                  <c:v>28660.000</c:v>
                </c:pt>
                <c:pt idx="1434">
                  <c:v>28680.000</c:v>
                </c:pt>
                <c:pt idx="1435">
                  <c:v>28700.000</c:v>
                </c:pt>
                <c:pt idx="1436">
                  <c:v>28720.000</c:v>
                </c:pt>
                <c:pt idx="1437">
                  <c:v>28740.000</c:v>
                </c:pt>
                <c:pt idx="1438">
                  <c:v>28760.000</c:v>
                </c:pt>
                <c:pt idx="1439">
                  <c:v>28780.000</c:v>
                </c:pt>
                <c:pt idx="1440">
                  <c:v>28800.000</c:v>
                </c:pt>
                <c:pt idx="1441">
                  <c:v>28820.000</c:v>
                </c:pt>
                <c:pt idx="1442">
                  <c:v>28840.000</c:v>
                </c:pt>
                <c:pt idx="1443">
                  <c:v>28860.000</c:v>
                </c:pt>
                <c:pt idx="1444">
                  <c:v>28880.000</c:v>
                </c:pt>
                <c:pt idx="1445">
                  <c:v>28900.000</c:v>
                </c:pt>
                <c:pt idx="1446">
                  <c:v>28920.000</c:v>
                </c:pt>
                <c:pt idx="1447">
                  <c:v>28940.000</c:v>
                </c:pt>
                <c:pt idx="1448">
                  <c:v>28960.000</c:v>
                </c:pt>
                <c:pt idx="1449">
                  <c:v>28980.000</c:v>
                </c:pt>
                <c:pt idx="1450">
                  <c:v>29000.000</c:v>
                </c:pt>
                <c:pt idx="1451">
                  <c:v>29020.000</c:v>
                </c:pt>
                <c:pt idx="1452">
                  <c:v>29040.000</c:v>
                </c:pt>
                <c:pt idx="1453">
                  <c:v>29060.000</c:v>
                </c:pt>
                <c:pt idx="1454">
                  <c:v>29080.000</c:v>
                </c:pt>
                <c:pt idx="1455">
                  <c:v>29100.000</c:v>
                </c:pt>
                <c:pt idx="1456">
                  <c:v>29120.000</c:v>
                </c:pt>
                <c:pt idx="1457">
                  <c:v>29140.000</c:v>
                </c:pt>
                <c:pt idx="1458">
                  <c:v>29160.000</c:v>
                </c:pt>
                <c:pt idx="1459">
                  <c:v>29180.000</c:v>
                </c:pt>
                <c:pt idx="1460">
                  <c:v>29200.000</c:v>
                </c:pt>
                <c:pt idx="1461">
                  <c:v>29220.000</c:v>
                </c:pt>
                <c:pt idx="1462">
                  <c:v>29240.000</c:v>
                </c:pt>
                <c:pt idx="1463">
                  <c:v>29260.000</c:v>
                </c:pt>
                <c:pt idx="1464">
                  <c:v>29280.000</c:v>
                </c:pt>
                <c:pt idx="1465">
                  <c:v>29300.000</c:v>
                </c:pt>
                <c:pt idx="1466">
                  <c:v>29320.000</c:v>
                </c:pt>
                <c:pt idx="1467">
                  <c:v>29340.000</c:v>
                </c:pt>
                <c:pt idx="1468">
                  <c:v>29360.000</c:v>
                </c:pt>
                <c:pt idx="1469">
                  <c:v>29380.000</c:v>
                </c:pt>
                <c:pt idx="1470">
                  <c:v>29400.000</c:v>
                </c:pt>
                <c:pt idx="1471">
                  <c:v>29420.000</c:v>
                </c:pt>
                <c:pt idx="1472">
                  <c:v>29440.000</c:v>
                </c:pt>
                <c:pt idx="1473">
                  <c:v>29460.000</c:v>
                </c:pt>
                <c:pt idx="1474">
                  <c:v>29480.000</c:v>
                </c:pt>
                <c:pt idx="1475">
                  <c:v>29500.000</c:v>
                </c:pt>
                <c:pt idx="1476">
                  <c:v>29520.000</c:v>
                </c:pt>
                <c:pt idx="1477">
                  <c:v>29540.000</c:v>
                </c:pt>
                <c:pt idx="1478">
                  <c:v>29560.000</c:v>
                </c:pt>
                <c:pt idx="1479">
                  <c:v>29580.000</c:v>
                </c:pt>
                <c:pt idx="1480">
                  <c:v>29600.000</c:v>
                </c:pt>
                <c:pt idx="1481">
                  <c:v>29620.000</c:v>
                </c:pt>
                <c:pt idx="1482">
                  <c:v>29640.000</c:v>
                </c:pt>
                <c:pt idx="1483">
                  <c:v>29660.000</c:v>
                </c:pt>
                <c:pt idx="1484">
                  <c:v>29680.000</c:v>
                </c:pt>
                <c:pt idx="1485">
                  <c:v>29700.000</c:v>
                </c:pt>
                <c:pt idx="1486">
                  <c:v>29720.000</c:v>
                </c:pt>
                <c:pt idx="1487">
                  <c:v>29740.000</c:v>
                </c:pt>
                <c:pt idx="1488">
                  <c:v>29760.000</c:v>
                </c:pt>
                <c:pt idx="1489">
                  <c:v>29780.000</c:v>
                </c:pt>
                <c:pt idx="1490">
                  <c:v>29800.000</c:v>
                </c:pt>
                <c:pt idx="1491">
                  <c:v>29820.000</c:v>
                </c:pt>
                <c:pt idx="1492">
                  <c:v>29840.000</c:v>
                </c:pt>
                <c:pt idx="1493">
                  <c:v>29860.000</c:v>
                </c:pt>
                <c:pt idx="1494">
                  <c:v>29880.000</c:v>
                </c:pt>
                <c:pt idx="1495">
                  <c:v>29900.000</c:v>
                </c:pt>
                <c:pt idx="1496">
                  <c:v>29920.000</c:v>
                </c:pt>
                <c:pt idx="1497">
                  <c:v>29940.000</c:v>
                </c:pt>
                <c:pt idx="1498">
                  <c:v>29960.000</c:v>
                </c:pt>
                <c:pt idx="1499">
                  <c:v>29980.000</c:v>
                </c:pt>
                <c:pt idx="1500">
                  <c:v>30000.000</c:v>
                </c:pt>
                <c:pt idx="1501">
                  <c:v>30020.000</c:v>
                </c:pt>
                <c:pt idx="1502">
                  <c:v>30040.000</c:v>
                </c:pt>
                <c:pt idx="1503">
                  <c:v>30060.000</c:v>
                </c:pt>
                <c:pt idx="1504">
                  <c:v>30080.000</c:v>
                </c:pt>
                <c:pt idx="1505">
                  <c:v>30100.000</c:v>
                </c:pt>
                <c:pt idx="1506">
                  <c:v>30120.000</c:v>
                </c:pt>
                <c:pt idx="1507">
                  <c:v>30140.000</c:v>
                </c:pt>
                <c:pt idx="1508">
                  <c:v>30160.000</c:v>
                </c:pt>
                <c:pt idx="1509">
                  <c:v>30180.000</c:v>
                </c:pt>
                <c:pt idx="1510">
                  <c:v>30200.000</c:v>
                </c:pt>
                <c:pt idx="1511">
                  <c:v>30220.000</c:v>
                </c:pt>
                <c:pt idx="1512">
                  <c:v>30240.000</c:v>
                </c:pt>
                <c:pt idx="1513">
                  <c:v>30260.000</c:v>
                </c:pt>
                <c:pt idx="1514">
                  <c:v>30280.000</c:v>
                </c:pt>
                <c:pt idx="1515">
                  <c:v>30300.000</c:v>
                </c:pt>
                <c:pt idx="1516">
                  <c:v>30320.000</c:v>
                </c:pt>
                <c:pt idx="1517">
                  <c:v>30340.000</c:v>
                </c:pt>
                <c:pt idx="1518">
                  <c:v>30360.000</c:v>
                </c:pt>
                <c:pt idx="1519">
                  <c:v>30380.000</c:v>
                </c:pt>
                <c:pt idx="1520">
                  <c:v>30400.000</c:v>
                </c:pt>
                <c:pt idx="1521">
                  <c:v>30420.000</c:v>
                </c:pt>
                <c:pt idx="1522">
                  <c:v>30440.000</c:v>
                </c:pt>
                <c:pt idx="1523">
                  <c:v>30460.000</c:v>
                </c:pt>
                <c:pt idx="1524">
                  <c:v>30480.000</c:v>
                </c:pt>
                <c:pt idx="1525">
                  <c:v>30500.000</c:v>
                </c:pt>
                <c:pt idx="1526">
                  <c:v>30520.000</c:v>
                </c:pt>
                <c:pt idx="1527">
                  <c:v>30540.000</c:v>
                </c:pt>
                <c:pt idx="1528">
                  <c:v>30560.000</c:v>
                </c:pt>
                <c:pt idx="1529">
                  <c:v>30580.000</c:v>
                </c:pt>
                <c:pt idx="1530">
                  <c:v>30600.000</c:v>
                </c:pt>
                <c:pt idx="1531">
                  <c:v>30620.000</c:v>
                </c:pt>
                <c:pt idx="1532">
                  <c:v>30640.000</c:v>
                </c:pt>
                <c:pt idx="1533">
                  <c:v>30660.000</c:v>
                </c:pt>
                <c:pt idx="1534">
                  <c:v>30680.000</c:v>
                </c:pt>
                <c:pt idx="1535">
                  <c:v>30700.000</c:v>
                </c:pt>
                <c:pt idx="1536">
                  <c:v>30720.000</c:v>
                </c:pt>
                <c:pt idx="1537">
                  <c:v>30740.000</c:v>
                </c:pt>
                <c:pt idx="1538">
                  <c:v>30760.000</c:v>
                </c:pt>
                <c:pt idx="1539">
                  <c:v>30780.000</c:v>
                </c:pt>
                <c:pt idx="1540">
                  <c:v>30800.000</c:v>
                </c:pt>
                <c:pt idx="1541">
                  <c:v>30820.000</c:v>
                </c:pt>
                <c:pt idx="1542">
                  <c:v>30840.000</c:v>
                </c:pt>
                <c:pt idx="1543">
                  <c:v>30860.000</c:v>
                </c:pt>
                <c:pt idx="1544">
                  <c:v>30880.000</c:v>
                </c:pt>
                <c:pt idx="1545">
                  <c:v>30900.000</c:v>
                </c:pt>
                <c:pt idx="1546">
                  <c:v>30920.000</c:v>
                </c:pt>
                <c:pt idx="1547">
                  <c:v>30940.000</c:v>
                </c:pt>
                <c:pt idx="1548">
                  <c:v>30960.000</c:v>
                </c:pt>
                <c:pt idx="1549">
                  <c:v>30980.000</c:v>
                </c:pt>
                <c:pt idx="1550">
                  <c:v>31000.000</c:v>
                </c:pt>
                <c:pt idx="1551">
                  <c:v>31020.000</c:v>
                </c:pt>
                <c:pt idx="1552">
                  <c:v>31040.000</c:v>
                </c:pt>
                <c:pt idx="1553">
                  <c:v>31060.000</c:v>
                </c:pt>
                <c:pt idx="1554">
                  <c:v>31080.000</c:v>
                </c:pt>
                <c:pt idx="1555">
                  <c:v>31100.000</c:v>
                </c:pt>
                <c:pt idx="1556">
                  <c:v>31120.000</c:v>
                </c:pt>
                <c:pt idx="1557">
                  <c:v>31140.000</c:v>
                </c:pt>
                <c:pt idx="1558">
                  <c:v>31160.000</c:v>
                </c:pt>
                <c:pt idx="1559">
                  <c:v>31180.000</c:v>
                </c:pt>
                <c:pt idx="1560">
                  <c:v>31200.000</c:v>
                </c:pt>
                <c:pt idx="1561">
                  <c:v>31220.000</c:v>
                </c:pt>
                <c:pt idx="1562">
                  <c:v>31240.000</c:v>
                </c:pt>
                <c:pt idx="1563">
                  <c:v>31260.000</c:v>
                </c:pt>
                <c:pt idx="1564">
                  <c:v>31280.000</c:v>
                </c:pt>
                <c:pt idx="1565">
                  <c:v>31300.000</c:v>
                </c:pt>
                <c:pt idx="1566">
                  <c:v>31320.000</c:v>
                </c:pt>
                <c:pt idx="1567">
                  <c:v>31340.000</c:v>
                </c:pt>
                <c:pt idx="1568">
                  <c:v>31360.000</c:v>
                </c:pt>
                <c:pt idx="1569">
                  <c:v>31380.000</c:v>
                </c:pt>
                <c:pt idx="1570">
                  <c:v>31400.000</c:v>
                </c:pt>
                <c:pt idx="1571">
                  <c:v>31420.000</c:v>
                </c:pt>
                <c:pt idx="1572">
                  <c:v>31440.000</c:v>
                </c:pt>
                <c:pt idx="1573">
                  <c:v>31460.000</c:v>
                </c:pt>
                <c:pt idx="1574">
                  <c:v>31480.000</c:v>
                </c:pt>
                <c:pt idx="1575">
                  <c:v>31500.000</c:v>
                </c:pt>
                <c:pt idx="1576">
                  <c:v>31520.000</c:v>
                </c:pt>
                <c:pt idx="1577">
                  <c:v>31540.000</c:v>
                </c:pt>
                <c:pt idx="1578">
                  <c:v>31560.000</c:v>
                </c:pt>
                <c:pt idx="1579">
                  <c:v>31580.000</c:v>
                </c:pt>
                <c:pt idx="1580">
                  <c:v>31600.000</c:v>
                </c:pt>
                <c:pt idx="1581">
                  <c:v>31620.000</c:v>
                </c:pt>
                <c:pt idx="1582">
                  <c:v>31640.000</c:v>
                </c:pt>
                <c:pt idx="1583">
                  <c:v>31660.000</c:v>
                </c:pt>
                <c:pt idx="1584">
                  <c:v>31680.000</c:v>
                </c:pt>
                <c:pt idx="1585">
                  <c:v>31700.000</c:v>
                </c:pt>
                <c:pt idx="1586">
                  <c:v>31720.000</c:v>
                </c:pt>
                <c:pt idx="1587">
                  <c:v>31740.000</c:v>
                </c:pt>
                <c:pt idx="1588">
                  <c:v>31760.000</c:v>
                </c:pt>
                <c:pt idx="1589">
                  <c:v>31780.000</c:v>
                </c:pt>
                <c:pt idx="1590">
                  <c:v>31800.000</c:v>
                </c:pt>
                <c:pt idx="1591">
                  <c:v>31820.000</c:v>
                </c:pt>
                <c:pt idx="1592">
                  <c:v>31840.000</c:v>
                </c:pt>
                <c:pt idx="1593">
                  <c:v>31860.000</c:v>
                </c:pt>
                <c:pt idx="1594">
                  <c:v>31880.000</c:v>
                </c:pt>
                <c:pt idx="1595">
                  <c:v>31900.000</c:v>
                </c:pt>
                <c:pt idx="1596">
                  <c:v>31920.000</c:v>
                </c:pt>
                <c:pt idx="1597">
                  <c:v>31940.000</c:v>
                </c:pt>
                <c:pt idx="1598">
                  <c:v>31960.000</c:v>
                </c:pt>
                <c:pt idx="1599">
                  <c:v>31980.000</c:v>
                </c:pt>
                <c:pt idx="1600">
                  <c:v>32000.000</c:v>
                </c:pt>
                <c:pt idx="1601">
                  <c:v>32020.000</c:v>
                </c:pt>
                <c:pt idx="1602">
                  <c:v>32040.000</c:v>
                </c:pt>
                <c:pt idx="1603">
                  <c:v>32060.000</c:v>
                </c:pt>
                <c:pt idx="1604">
                  <c:v>32080.000</c:v>
                </c:pt>
                <c:pt idx="1605">
                  <c:v>32100.000</c:v>
                </c:pt>
                <c:pt idx="1606">
                  <c:v>32120.000</c:v>
                </c:pt>
                <c:pt idx="1607">
                  <c:v>32140.000</c:v>
                </c:pt>
                <c:pt idx="1608">
                  <c:v>32160.000</c:v>
                </c:pt>
                <c:pt idx="1609">
                  <c:v>32180.000</c:v>
                </c:pt>
                <c:pt idx="1610">
                  <c:v>32200.000</c:v>
                </c:pt>
                <c:pt idx="1611">
                  <c:v>32220.000</c:v>
                </c:pt>
                <c:pt idx="1612">
                  <c:v>32240.000</c:v>
                </c:pt>
                <c:pt idx="1613">
                  <c:v>32260.000</c:v>
                </c:pt>
                <c:pt idx="1614">
                  <c:v>32280.000</c:v>
                </c:pt>
                <c:pt idx="1615">
                  <c:v>32300.000</c:v>
                </c:pt>
                <c:pt idx="1616">
                  <c:v>32320.000</c:v>
                </c:pt>
                <c:pt idx="1617">
                  <c:v>32340.000</c:v>
                </c:pt>
                <c:pt idx="1618">
                  <c:v>32360.000</c:v>
                </c:pt>
                <c:pt idx="1619">
                  <c:v>32380.000</c:v>
                </c:pt>
                <c:pt idx="1620">
                  <c:v>32400.000</c:v>
                </c:pt>
                <c:pt idx="1621">
                  <c:v>32420.000</c:v>
                </c:pt>
                <c:pt idx="1622">
                  <c:v>32440.000</c:v>
                </c:pt>
                <c:pt idx="1623">
                  <c:v>32460.000</c:v>
                </c:pt>
                <c:pt idx="1624">
                  <c:v>32480.000</c:v>
                </c:pt>
                <c:pt idx="1625">
                  <c:v>32500.000</c:v>
                </c:pt>
                <c:pt idx="1626">
                  <c:v>32520.000</c:v>
                </c:pt>
                <c:pt idx="1627">
                  <c:v>32540.000</c:v>
                </c:pt>
                <c:pt idx="1628">
                  <c:v>32560.000</c:v>
                </c:pt>
                <c:pt idx="1629">
                  <c:v>32580.000</c:v>
                </c:pt>
                <c:pt idx="1630">
                  <c:v>32600.000</c:v>
                </c:pt>
                <c:pt idx="1631">
                  <c:v>32620.000</c:v>
                </c:pt>
                <c:pt idx="1632">
                  <c:v>32640.000</c:v>
                </c:pt>
                <c:pt idx="1633">
                  <c:v>32660.000</c:v>
                </c:pt>
                <c:pt idx="1634">
                  <c:v>32680.000</c:v>
                </c:pt>
                <c:pt idx="1635">
                  <c:v>32700.000</c:v>
                </c:pt>
                <c:pt idx="1636">
                  <c:v>32720.000</c:v>
                </c:pt>
                <c:pt idx="1637">
                  <c:v>32740.000</c:v>
                </c:pt>
                <c:pt idx="1638">
                  <c:v>32760.000</c:v>
                </c:pt>
                <c:pt idx="1639">
                  <c:v>32780.000</c:v>
                </c:pt>
                <c:pt idx="1640">
                  <c:v>32800.000</c:v>
                </c:pt>
                <c:pt idx="1641">
                  <c:v>32820.000</c:v>
                </c:pt>
                <c:pt idx="1642">
                  <c:v>32840.000</c:v>
                </c:pt>
                <c:pt idx="1643">
                  <c:v>32860.000</c:v>
                </c:pt>
                <c:pt idx="1644">
                  <c:v>32880.000</c:v>
                </c:pt>
                <c:pt idx="1645">
                  <c:v>32900.000</c:v>
                </c:pt>
                <c:pt idx="1646">
                  <c:v>32920.000</c:v>
                </c:pt>
                <c:pt idx="1647">
                  <c:v>32940.000</c:v>
                </c:pt>
                <c:pt idx="1648">
                  <c:v>32960.000</c:v>
                </c:pt>
                <c:pt idx="1649">
                  <c:v>32980.000</c:v>
                </c:pt>
                <c:pt idx="1650">
                  <c:v>33000.000</c:v>
                </c:pt>
                <c:pt idx="1651">
                  <c:v>33020.000</c:v>
                </c:pt>
                <c:pt idx="1652">
                  <c:v>33040.000</c:v>
                </c:pt>
                <c:pt idx="1653">
                  <c:v>33060.000</c:v>
                </c:pt>
                <c:pt idx="1654">
                  <c:v>33080.000</c:v>
                </c:pt>
                <c:pt idx="1655">
                  <c:v>33100.000</c:v>
                </c:pt>
                <c:pt idx="1656">
                  <c:v>33120.000</c:v>
                </c:pt>
                <c:pt idx="1657">
                  <c:v>33140.000</c:v>
                </c:pt>
                <c:pt idx="1658">
                  <c:v>33160.000</c:v>
                </c:pt>
                <c:pt idx="1659">
                  <c:v>33180.000</c:v>
                </c:pt>
                <c:pt idx="1660">
                  <c:v>33200.000</c:v>
                </c:pt>
                <c:pt idx="1661">
                  <c:v>33220.000</c:v>
                </c:pt>
                <c:pt idx="1662">
                  <c:v>33240.000</c:v>
                </c:pt>
                <c:pt idx="1663">
                  <c:v>33260.000</c:v>
                </c:pt>
                <c:pt idx="1664">
                  <c:v>33280.000</c:v>
                </c:pt>
                <c:pt idx="1665">
                  <c:v>33300.000</c:v>
                </c:pt>
                <c:pt idx="1666">
                  <c:v>33320.000</c:v>
                </c:pt>
                <c:pt idx="1667">
                  <c:v>33340.000</c:v>
                </c:pt>
                <c:pt idx="1668">
                  <c:v>33360.000</c:v>
                </c:pt>
                <c:pt idx="1669">
                  <c:v>33380.000</c:v>
                </c:pt>
                <c:pt idx="1670">
                  <c:v>33400.000</c:v>
                </c:pt>
                <c:pt idx="1671">
                  <c:v>33420.000</c:v>
                </c:pt>
                <c:pt idx="1672">
                  <c:v>33440.000</c:v>
                </c:pt>
                <c:pt idx="1673">
                  <c:v>33460.000</c:v>
                </c:pt>
                <c:pt idx="1674">
                  <c:v>33480.000</c:v>
                </c:pt>
                <c:pt idx="1675">
                  <c:v>33500.000</c:v>
                </c:pt>
                <c:pt idx="1676">
                  <c:v>33520.000</c:v>
                </c:pt>
                <c:pt idx="1677">
                  <c:v>33540.000</c:v>
                </c:pt>
                <c:pt idx="1678">
                  <c:v>33560.000</c:v>
                </c:pt>
                <c:pt idx="1679">
                  <c:v>33580.000</c:v>
                </c:pt>
                <c:pt idx="1680">
                  <c:v>33600.000</c:v>
                </c:pt>
                <c:pt idx="1681">
                  <c:v>33620.000</c:v>
                </c:pt>
                <c:pt idx="1682">
                  <c:v>33640.000</c:v>
                </c:pt>
                <c:pt idx="1683">
                  <c:v>33660.000</c:v>
                </c:pt>
                <c:pt idx="1684">
                  <c:v>33680.000</c:v>
                </c:pt>
                <c:pt idx="1685">
                  <c:v>33700.000</c:v>
                </c:pt>
                <c:pt idx="1686">
                  <c:v>33720.000</c:v>
                </c:pt>
                <c:pt idx="1687">
                  <c:v>33740.000</c:v>
                </c:pt>
                <c:pt idx="1688">
                  <c:v>33760.000</c:v>
                </c:pt>
                <c:pt idx="1689">
                  <c:v>33780.000</c:v>
                </c:pt>
                <c:pt idx="1690">
                  <c:v>33800.000</c:v>
                </c:pt>
                <c:pt idx="1691">
                  <c:v>33820.000</c:v>
                </c:pt>
                <c:pt idx="1692">
                  <c:v>33840.000</c:v>
                </c:pt>
                <c:pt idx="1693">
                  <c:v>33860.000</c:v>
                </c:pt>
                <c:pt idx="1694">
                  <c:v>33880.000</c:v>
                </c:pt>
                <c:pt idx="1695">
                  <c:v>33900.000</c:v>
                </c:pt>
                <c:pt idx="1696">
                  <c:v>33920.000</c:v>
                </c:pt>
                <c:pt idx="1697">
                  <c:v>33940.000</c:v>
                </c:pt>
                <c:pt idx="1698">
                  <c:v>33960.000</c:v>
                </c:pt>
                <c:pt idx="1699">
                  <c:v>33980.000</c:v>
                </c:pt>
                <c:pt idx="1700">
                  <c:v>34000.000</c:v>
                </c:pt>
                <c:pt idx="1701">
                  <c:v>34020.000</c:v>
                </c:pt>
                <c:pt idx="1702">
                  <c:v>34040.000</c:v>
                </c:pt>
                <c:pt idx="1703">
                  <c:v>34060.000</c:v>
                </c:pt>
                <c:pt idx="1704">
                  <c:v>34080.000</c:v>
                </c:pt>
                <c:pt idx="1705">
                  <c:v>34100.000</c:v>
                </c:pt>
                <c:pt idx="1706">
                  <c:v>34120.000</c:v>
                </c:pt>
                <c:pt idx="1707">
                  <c:v>34140.000</c:v>
                </c:pt>
                <c:pt idx="1708">
                  <c:v>34160.000</c:v>
                </c:pt>
                <c:pt idx="1709">
                  <c:v>34180.000</c:v>
                </c:pt>
                <c:pt idx="1710">
                  <c:v>34200.000</c:v>
                </c:pt>
                <c:pt idx="1711">
                  <c:v>34220.000</c:v>
                </c:pt>
                <c:pt idx="1712">
                  <c:v>34240.000</c:v>
                </c:pt>
                <c:pt idx="1713">
                  <c:v>34260.000</c:v>
                </c:pt>
                <c:pt idx="1714">
                  <c:v>34280.000</c:v>
                </c:pt>
                <c:pt idx="1715">
                  <c:v>34300.000</c:v>
                </c:pt>
                <c:pt idx="1716">
                  <c:v>34320.000</c:v>
                </c:pt>
                <c:pt idx="1717">
                  <c:v>34340.000</c:v>
                </c:pt>
                <c:pt idx="1718">
                  <c:v>34360.000</c:v>
                </c:pt>
                <c:pt idx="1719">
                  <c:v>34380.000</c:v>
                </c:pt>
                <c:pt idx="1720">
                  <c:v>34400.000</c:v>
                </c:pt>
                <c:pt idx="1721">
                  <c:v>34420.000</c:v>
                </c:pt>
                <c:pt idx="1722">
                  <c:v>34440.000</c:v>
                </c:pt>
                <c:pt idx="1723">
                  <c:v>34460.000</c:v>
                </c:pt>
                <c:pt idx="1724">
                  <c:v>34480.000</c:v>
                </c:pt>
                <c:pt idx="1725">
                  <c:v>34500.000</c:v>
                </c:pt>
                <c:pt idx="1726">
                  <c:v>34520.000</c:v>
                </c:pt>
                <c:pt idx="1727">
                  <c:v>34540.000</c:v>
                </c:pt>
                <c:pt idx="1728">
                  <c:v>34560.000</c:v>
                </c:pt>
                <c:pt idx="1729">
                  <c:v>34580.000</c:v>
                </c:pt>
                <c:pt idx="1730">
                  <c:v>34600.000</c:v>
                </c:pt>
                <c:pt idx="1731">
                  <c:v>34620.000</c:v>
                </c:pt>
                <c:pt idx="1732">
                  <c:v>34640.000</c:v>
                </c:pt>
                <c:pt idx="1733">
                  <c:v>34660.000</c:v>
                </c:pt>
                <c:pt idx="1734">
                  <c:v>34680.000</c:v>
                </c:pt>
                <c:pt idx="1735">
                  <c:v>34700.000</c:v>
                </c:pt>
                <c:pt idx="1736">
                  <c:v>34720.000</c:v>
                </c:pt>
                <c:pt idx="1737">
                  <c:v>34740.000</c:v>
                </c:pt>
                <c:pt idx="1738">
                  <c:v>34760.000</c:v>
                </c:pt>
                <c:pt idx="1739">
                  <c:v>34780.000</c:v>
                </c:pt>
                <c:pt idx="1740">
                  <c:v>34800.000</c:v>
                </c:pt>
                <c:pt idx="1741">
                  <c:v>34820.000</c:v>
                </c:pt>
                <c:pt idx="1742">
                  <c:v>34840.000</c:v>
                </c:pt>
                <c:pt idx="1743">
                  <c:v>34860.000</c:v>
                </c:pt>
                <c:pt idx="1744">
                  <c:v>34880.000</c:v>
                </c:pt>
                <c:pt idx="1745">
                  <c:v>34900.000</c:v>
                </c:pt>
                <c:pt idx="1746">
                  <c:v>34920.000</c:v>
                </c:pt>
                <c:pt idx="1747">
                  <c:v>34940.000</c:v>
                </c:pt>
                <c:pt idx="1748">
                  <c:v>34960.000</c:v>
                </c:pt>
                <c:pt idx="1749">
                  <c:v>34980.000</c:v>
                </c:pt>
                <c:pt idx="1750">
                  <c:v>35000.000</c:v>
                </c:pt>
                <c:pt idx="1751">
                  <c:v>35020.000</c:v>
                </c:pt>
                <c:pt idx="1752">
                  <c:v>35040.000</c:v>
                </c:pt>
                <c:pt idx="1753">
                  <c:v>35060.000</c:v>
                </c:pt>
                <c:pt idx="1754">
                  <c:v>35080.000</c:v>
                </c:pt>
                <c:pt idx="1755">
                  <c:v>35100.000</c:v>
                </c:pt>
                <c:pt idx="1756">
                  <c:v>35120.000</c:v>
                </c:pt>
                <c:pt idx="1757">
                  <c:v>35140.000</c:v>
                </c:pt>
                <c:pt idx="1758">
                  <c:v>35160.000</c:v>
                </c:pt>
                <c:pt idx="1759">
                  <c:v>35180.000</c:v>
                </c:pt>
                <c:pt idx="1760">
                  <c:v>35200.000</c:v>
                </c:pt>
                <c:pt idx="1761">
                  <c:v>35220.000</c:v>
                </c:pt>
                <c:pt idx="1762">
                  <c:v>35240.000</c:v>
                </c:pt>
                <c:pt idx="1763">
                  <c:v>35260.000</c:v>
                </c:pt>
                <c:pt idx="1764">
                  <c:v>35280.000</c:v>
                </c:pt>
                <c:pt idx="1765">
                  <c:v>35300.000</c:v>
                </c:pt>
                <c:pt idx="1766">
                  <c:v>35320.000</c:v>
                </c:pt>
                <c:pt idx="1767">
                  <c:v>35340.000</c:v>
                </c:pt>
                <c:pt idx="1768">
                  <c:v>35360.000</c:v>
                </c:pt>
                <c:pt idx="1769">
                  <c:v>35380.000</c:v>
                </c:pt>
                <c:pt idx="1770">
                  <c:v>35400.000</c:v>
                </c:pt>
                <c:pt idx="1771">
                  <c:v>35420.000</c:v>
                </c:pt>
                <c:pt idx="1772">
                  <c:v>35440.000</c:v>
                </c:pt>
                <c:pt idx="1773">
                  <c:v>35460.000</c:v>
                </c:pt>
                <c:pt idx="1774">
                  <c:v>35480.000</c:v>
                </c:pt>
                <c:pt idx="1775">
                  <c:v>35500.000</c:v>
                </c:pt>
                <c:pt idx="1776">
                  <c:v>35520.000</c:v>
                </c:pt>
                <c:pt idx="1777">
                  <c:v>35540.000</c:v>
                </c:pt>
                <c:pt idx="1778">
                  <c:v>35560.000</c:v>
                </c:pt>
                <c:pt idx="1779">
                  <c:v>35580.000</c:v>
                </c:pt>
                <c:pt idx="1780">
                  <c:v>35600.000</c:v>
                </c:pt>
                <c:pt idx="1781">
                  <c:v>35620.000</c:v>
                </c:pt>
                <c:pt idx="1782">
                  <c:v>35640.000</c:v>
                </c:pt>
                <c:pt idx="1783">
                  <c:v>35660.000</c:v>
                </c:pt>
                <c:pt idx="1784">
                  <c:v>35680.000</c:v>
                </c:pt>
                <c:pt idx="1785">
                  <c:v>35700.000</c:v>
                </c:pt>
                <c:pt idx="1786">
                  <c:v>35720.000</c:v>
                </c:pt>
                <c:pt idx="1787">
                  <c:v>35740.000</c:v>
                </c:pt>
                <c:pt idx="1788">
                  <c:v>35760.000</c:v>
                </c:pt>
                <c:pt idx="1789">
                  <c:v>35780.000</c:v>
                </c:pt>
                <c:pt idx="1790">
                  <c:v>35800.000</c:v>
                </c:pt>
                <c:pt idx="1791">
                  <c:v>35820.000</c:v>
                </c:pt>
                <c:pt idx="1792">
                  <c:v>35840.000</c:v>
                </c:pt>
                <c:pt idx="1793">
                  <c:v>35860.000</c:v>
                </c:pt>
                <c:pt idx="1794">
                  <c:v>35880.000</c:v>
                </c:pt>
                <c:pt idx="1795">
                  <c:v>35900.000</c:v>
                </c:pt>
                <c:pt idx="1796">
                  <c:v>35920.000</c:v>
                </c:pt>
                <c:pt idx="1797">
                  <c:v>35940.000</c:v>
                </c:pt>
                <c:pt idx="1798">
                  <c:v>35960.000</c:v>
                </c:pt>
                <c:pt idx="1799">
                  <c:v>35980.000</c:v>
                </c:pt>
                <c:pt idx="1800">
                  <c:v>36000.000</c:v>
                </c:pt>
                <c:pt idx="1801">
                  <c:v>36020.000</c:v>
                </c:pt>
                <c:pt idx="1802">
                  <c:v>36040.000</c:v>
                </c:pt>
                <c:pt idx="1803">
                  <c:v>36060.000</c:v>
                </c:pt>
                <c:pt idx="1804">
                  <c:v>36080.000</c:v>
                </c:pt>
                <c:pt idx="1805">
                  <c:v>36100.000</c:v>
                </c:pt>
                <c:pt idx="1806">
                  <c:v>36120.000</c:v>
                </c:pt>
                <c:pt idx="1807">
                  <c:v>36140.000</c:v>
                </c:pt>
                <c:pt idx="1808">
                  <c:v>36160.000</c:v>
                </c:pt>
                <c:pt idx="1809">
                  <c:v>36180.000</c:v>
                </c:pt>
                <c:pt idx="1810">
                  <c:v>36200.000</c:v>
                </c:pt>
                <c:pt idx="1811">
                  <c:v>36220.000</c:v>
                </c:pt>
                <c:pt idx="1812">
                  <c:v>36240.000</c:v>
                </c:pt>
                <c:pt idx="1813">
                  <c:v>36260.000</c:v>
                </c:pt>
                <c:pt idx="1814">
                  <c:v>36280.000</c:v>
                </c:pt>
                <c:pt idx="1815">
                  <c:v>36300.000</c:v>
                </c:pt>
                <c:pt idx="1816">
                  <c:v>36320.000</c:v>
                </c:pt>
                <c:pt idx="1817">
                  <c:v>36340.000</c:v>
                </c:pt>
                <c:pt idx="1818">
                  <c:v>36360.000</c:v>
                </c:pt>
                <c:pt idx="1819">
                  <c:v>36380.000</c:v>
                </c:pt>
                <c:pt idx="1820">
                  <c:v>36400.000</c:v>
                </c:pt>
                <c:pt idx="1821">
                  <c:v>36420.000</c:v>
                </c:pt>
                <c:pt idx="1822">
                  <c:v>36440.000</c:v>
                </c:pt>
                <c:pt idx="1823">
                  <c:v>36460.000</c:v>
                </c:pt>
                <c:pt idx="1824">
                  <c:v>36480.000</c:v>
                </c:pt>
                <c:pt idx="1825">
                  <c:v>36500.000</c:v>
                </c:pt>
                <c:pt idx="1826">
                  <c:v>36520.000</c:v>
                </c:pt>
                <c:pt idx="1827">
                  <c:v>36540.000</c:v>
                </c:pt>
                <c:pt idx="1828">
                  <c:v>36560.000</c:v>
                </c:pt>
                <c:pt idx="1829">
                  <c:v>36580.000</c:v>
                </c:pt>
                <c:pt idx="1830">
                  <c:v>36600.000</c:v>
                </c:pt>
                <c:pt idx="1831">
                  <c:v>36620.000</c:v>
                </c:pt>
                <c:pt idx="1832">
                  <c:v>36640.000</c:v>
                </c:pt>
                <c:pt idx="1833">
                  <c:v>36660.000</c:v>
                </c:pt>
                <c:pt idx="1834">
                  <c:v>36680.000</c:v>
                </c:pt>
                <c:pt idx="1835">
                  <c:v>36700.000</c:v>
                </c:pt>
                <c:pt idx="1836">
                  <c:v>36720.000</c:v>
                </c:pt>
                <c:pt idx="1837">
                  <c:v>36740.000</c:v>
                </c:pt>
                <c:pt idx="1838">
                  <c:v>36760.000</c:v>
                </c:pt>
                <c:pt idx="1839">
                  <c:v>36780.000</c:v>
                </c:pt>
                <c:pt idx="1840">
                  <c:v>36800.000</c:v>
                </c:pt>
                <c:pt idx="1841">
                  <c:v>36820.000</c:v>
                </c:pt>
                <c:pt idx="1842">
                  <c:v>36840.000</c:v>
                </c:pt>
                <c:pt idx="1843">
                  <c:v>36860.000</c:v>
                </c:pt>
                <c:pt idx="1844">
                  <c:v>36880.000</c:v>
                </c:pt>
                <c:pt idx="1845">
                  <c:v>36900.000</c:v>
                </c:pt>
                <c:pt idx="1846">
                  <c:v>36920.000</c:v>
                </c:pt>
                <c:pt idx="1847">
                  <c:v>36940.000</c:v>
                </c:pt>
                <c:pt idx="1848">
                  <c:v>36960.000</c:v>
                </c:pt>
                <c:pt idx="1849">
                  <c:v>36980.000</c:v>
                </c:pt>
                <c:pt idx="1850">
                  <c:v>37000.000</c:v>
                </c:pt>
                <c:pt idx="1851">
                  <c:v>37020.000</c:v>
                </c:pt>
                <c:pt idx="1852">
                  <c:v>37040.000</c:v>
                </c:pt>
                <c:pt idx="1853">
                  <c:v>37060.000</c:v>
                </c:pt>
                <c:pt idx="1854">
                  <c:v>37080.000</c:v>
                </c:pt>
                <c:pt idx="1855">
                  <c:v>37100.000</c:v>
                </c:pt>
                <c:pt idx="1856">
                  <c:v>37120.000</c:v>
                </c:pt>
                <c:pt idx="1857">
                  <c:v>37140.000</c:v>
                </c:pt>
                <c:pt idx="1858">
                  <c:v>37160.000</c:v>
                </c:pt>
                <c:pt idx="1859">
                  <c:v>37180.000</c:v>
                </c:pt>
                <c:pt idx="1860">
                  <c:v>37200.000</c:v>
                </c:pt>
                <c:pt idx="1861">
                  <c:v>37220.000</c:v>
                </c:pt>
                <c:pt idx="1862">
                  <c:v>37240.000</c:v>
                </c:pt>
                <c:pt idx="1863">
                  <c:v>37260.000</c:v>
                </c:pt>
                <c:pt idx="1864">
                  <c:v>37280.000</c:v>
                </c:pt>
                <c:pt idx="1865">
                  <c:v>37300.000</c:v>
                </c:pt>
                <c:pt idx="1866">
                  <c:v>37320.000</c:v>
                </c:pt>
                <c:pt idx="1867">
                  <c:v>37340.000</c:v>
                </c:pt>
                <c:pt idx="1868">
                  <c:v>37360.000</c:v>
                </c:pt>
                <c:pt idx="1869">
                  <c:v>37380.000</c:v>
                </c:pt>
                <c:pt idx="1870">
                  <c:v>37400.000</c:v>
                </c:pt>
                <c:pt idx="1871">
                  <c:v>37420.000</c:v>
                </c:pt>
                <c:pt idx="1872">
                  <c:v>37440.000</c:v>
                </c:pt>
                <c:pt idx="1873">
                  <c:v>37460.000</c:v>
                </c:pt>
                <c:pt idx="1874">
                  <c:v>37480.000</c:v>
                </c:pt>
                <c:pt idx="1875">
                  <c:v>37500.000</c:v>
                </c:pt>
                <c:pt idx="1876">
                  <c:v>37520.000</c:v>
                </c:pt>
                <c:pt idx="1877">
                  <c:v>37540.000</c:v>
                </c:pt>
                <c:pt idx="1878">
                  <c:v>37560.000</c:v>
                </c:pt>
                <c:pt idx="1879">
                  <c:v>37580.000</c:v>
                </c:pt>
                <c:pt idx="1880">
                  <c:v>37600.000</c:v>
                </c:pt>
                <c:pt idx="1881">
                  <c:v>37620.000</c:v>
                </c:pt>
                <c:pt idx="1882">
                  <c:v>37640.000</c:v>
                </c:pt>
                <c:pt idx="1883">
                  <c:v>37660.000</c:v>
                </c:pt>
                <c:pt idx="1884">
                  <c:v>37680.000</c:v>
                </c:pt>
                <c:pt idx="1885">
                  <c:v>37700.000</c:v>
                </c:pt>
                <c:pt idx="1886">
                  <c:v>37720.000</c:v>
                </c:pt>
                <c:pt idx="1887">
                  <c:v>37740.000</c:v>
                </c:pt>
                <c:pt idx="1888">
                  <c:v>37760.000</c:v>
                </c:pt>
                <c:pt idx="1889">
                  <c:v>37780.000</c:v>
                </c:pt>
                <c:pt idx="1890">
                  <c:v>37800.000</c:v>
                </c:pt>
                <c:pt idx="1891">
                  <c:v>37820.000</c:v>
                </c:pt>
                <c:pt idx="1892">
                  <c:v>37840.000</c:v>
                </c:pt>
                <c:pt idx="1893">
                  <c:v>37860.000</c:v>
                </c:pt>
                <c:pt idx="1894">
                  <c:v>37880.000</c:v>
                </c:pt>
                <c:pt idx="1895">
                  <c:v>37900.000</c:v>
                </c:pt>
                <c:pt idx="1896">
                  <c:v>37920.000</c:v>
                </c:pt>
                <c:pt idx="1897">
                  <c:v>37940.000</c:v>
                </c:pt>
                <c:pt idx="1898">
                  <c:v>37960.000</c:v>
                </c:pt>
                <c:pt idx="1899">
                  <c:v>37980.000</c:v>
                </c:pt>
                <c:pt idx="1900">
                  <c:v>38000.000</c:v>
                </c:pt>
                <c:pt idx="1901">
                  <c:v>38020.000</c:v>
                </c:pt>
                <c:pt idx="1902">
                  <c:v>38040.000</c:v>
                </c:pt>
                <c:pt idx="1903">
                  <c:v>38060.000</c:v>
                </c:pt>
                <c:pt idx="1904">
                  <c:v>38080.000</c:v>
                </c:pt>
                <c:pt idx="1905">
                  <c:v>38100.000</c:v>
                </c:pt>
                <c:pt idx="1906">
                  <c:v>38120.000</c:v>
                </c:pt>
                <c:pt idx="1907">
                  <c:v>38140.000</c:v>
                </c:pt>
                <c:pt idx="1908">
                  <c:v>38160.000</c:v>
                </c:pt>
                <c:pt idx="1909">
                  <c:v>38180.000</c:v>
                </c:pt>
                <c:pt idx="1910">
                  <c:v>38200.000</c:v>
                </c:pt>
                <c:pt idx="1911">
                  <c:v>38220.000</c:v>
                </c:pt>
                <c:pt idx="1912">
                  <c:v>38240.000</c:v>
                </c:pt>
                <c:pt idx="1913">
                  <c:v>38260.000</c:v>
                </c:pt>
                <c:pt idx="1914">
                  <c:v>38280.000</c:v>
                </c:pt>
                <c:pt idx="1915">
                  <c:v>38300.000</c:v>
                </c:pt>
                <c:pt idx="1916">
                  <c:v>38320.000</c:v>
                </c:pt>
                <c:pt idx="1917">
                  <c:v>38340.000</c:v>
                </c:pt>
                <c:pt idx="1918">
                  <c:v>38360.000</c:v>
                </c:pt>
                <c:pt idx="1919">
                  <c:v>38380.000</c:v>
                </c:pt>
                <c:pt idx="1920">
                  <c:v>38400.000</c:v>
                </c:pt>
                <c:pt idx="1921">
                  <c:v>38420.000</c:v>
                </c:pt>
                <c:pt idx="1922">
                  <c:v>38440.000</c:v>
                </c:pt>
                <c:pt idx="1923">
                  <c:v>38460.000</c:v>
                </c:pt>
                <c:pt idx="1924">
                  <c:v>38480.000</c:v>
                </c:pt>
                <c:pt idx="1925">
                  <c:v>38500.000</c:v>
                </c:pt>
                <c:pt idx="1926">
                  <c:v>38520.000</c:v>
                </c:pt>
                <c:pt idx="1927">
                  <c:v>38540.000</c:v>
                </c:pt>
                <c:pt idx="1928">
                  <c:v>38560.000</c:v>
                </c:pt>
                <c:pt idx="1929">
                  <c:v>38580.000</c:v>
                </c:pt>
                <c:pt idx="1930">
                  <c:v>38600.000</c:v>
                </c:pt>
                <c:pt idx="1931">
                  <c:v>38620.000</c:v>
                </c:pt>
                <c:pt idx="1932">
                  <c:v>38640.000</c:v>
                </c:pt>
                <c:pt idx="1933">
                  <c:v>38660.000</c:v>
                </c:pt>
                <c:pt idx="1934">
                  <c:v>38680.000</c:v>
                </c:pt>
                <c:pt idx="1935">
                  <c:v>38700.000</c:v>
                </c:pt>
                <c:pt idx="1936">
                  <c:v>38720.000</c:v>
                </c:pt>
                <c:pt idx="1937">
                  <c:v>38740.000</c:v>
                </c:pt>
                <c:pt idx="1938">
                  <c:v>38760.000</c:v>
                </c:pt>
                <c:pt idx="1939">
                  <c:v>38780.000</c:v>
                </c:pt>
                <c:pt idx="1940">
                  <c:v>38800.000</c:v>
                </c:pt>
                <c:pt idx="1941">
                  <c:v>38820.000</c:v>
                </c:pt>
                <c:pt idx="1942">
                  <c:v>38840.000</c:v>
                </c:pt>
                <c:pt idx="1943">
                  <c:v>38860.000</c:v>
                </c:pt>
                <c:pt idx="1944">
                  <c:v>38880.000</c:v>
                </c:pt>
                <c:pt idx="1945">
                  <c:v>38900.000</c:v>
                </c:pt>
                <c:pt idx="1946">
                  <c:v>38920.000</c:v>
                </c:pt>
                <c:pt idx="1947">
                  <c:v>38940.000</c:v>
                </c:pt>
                <c:pt idx="1948">
                  <c:v>38960.000</c:v>
                </c:pt>
                <c:pt idx="1949">
                  <c:v>38980.000</c:v>
                </c:pt>
                <c:pt idx="1950">
                  <c:v>39000.000</c:v>
                </c:pt>
                <c:pt idx="1951">
                  <c:v>39020.000</c:v>
                </c:pt>
                <c:pt idx="1952">
                  <c:v>39040.000</c:v>
                </c:pt>
                <c:pt idx="1953">
                  <c:v>39060.000</c:v>
                </c:pt>
                <c:pt idx="1954">
                  <c:v>39080.000</c:v>
                </c:pt>
                <c:pt idx="1955">
                  <c:v>39100.000</c:v>
                </c:pt>
                <c:pt idx="1956">
                  <c:v>39120.000</c:v>
                </c:pt>
                <c:pt idx="1957">
                  <c:v>39140.000</c:v>
                </c:pt>
                <c:pt idx="1958">
                  <c:v>39160.000</c:v>
                </c:pt>
                <c:pt idx="1959">
                  <c:v>39180.000</c:v>
                </c:pt>
                <c:pt idx="1960">
                  <c:v>39200.000</c:v>
                </c:pt>
                <c:pt idx="1961">
                  <c:v>39220.000</c:v>
                </c:pt>
                <c:pt idx="1962">
                  <c:v>39240.000</c:v>
                </c:pt>
                <c:pt idx="1963">
                  <c:v>39260.000</c:v>
                </c:pt>
                <c:pt idx="1964">
                  <c:v>39280.000</c:v>
                </c:pt>
                <c:pt idx="1965">
                  <c:v>39300.000</c:v>
                </c:pt>
                <c:pt idx="1966">
                  <c:v>39320.000</c:v>
                </c:pt>
                <c:pt idx="1967">
                  <c:v>39340.000</c:v>
                </c:pt>
                <c:pt idx="1968">
                  <c:v>39360.000</c:v>
                </c:pt>
                <c:pt idx="1969">
                  <c:v>39380.000</c:v>
                </c:pt>
                <c:pt idx="1970">
                  <c:v>39400.000</c:v>
                </c:pt>
                <c:pt idx="1971">
                  <c:v>39420.000</c:v>
                </c:pt>
                <c:pt idx="1972">
                  <c:v>39440.000</c:v>
                </c:pt>
                <c:pt idx="1973">
                  <c:v>39460.000</c:v>
                </c:pt>
                <c:pt idx="1974">
                  <c:v>39480.000</c:v>
                </c:pt>
                <c:pt idx="1975">
                  <c:v>39500.000</c:v>
                </c:pt>
                <c:pt idx="1976">
                  <c:v>39520.000</c:v>
                </c:pt>
                <c:pt idx="1977">
                  <c:v>39540.000</c:v>
                </c:pt>
                <c:pt idx="1978">
                  <c:v>39560.000</c:v>
                </c:pt>
                <c:pt idx="1979">
                  <c:v>39580.000</c:v>
                </c:pt>
                <c:pt idx="1980">
                  <c:v>39600.000</c:v>
                </c:pt>
                <c:pt idx="1981">
                  <c:v>39620.000</c:v>
                </c:pt>
                <c:pt idx="1982">
                  <c:v>39640.000</c:v>
                </c:pt>
                <c:pt idx="1983">
                  <c:v>39660.000</c:v>
                </c:pt>
                <c:pt idx="1984">
                  <c:v>39680.000</c:v>
                </c:pt>
                <c:pt idx="1985">
                  <c:v>39700.000</c:v>
                </c:pt>
                <c:pt idx="1986">
                  <c:v>39720.000</c:v>
                </c:pt>
                <c:pt idx="1987">
                  <c:v>39740.000</c:v>
                </c:pt>
                <c:pt idx="1988">
                  <c:v>39760.000</c:v>
                </c:pt>
                <c:pt idx="1989">
                  <c:v>39780.000</c:v>
                </c:pt>
                <c:pt idx="1990">
                  <c:v>39800.000</c:v>
                </c:pt>
                <c:pt idx="1991">
                  <c:v>39820.000</c:v>
                </c:pt>
                <c:pt idx="1992">
                  <c:v>39840.000</c:v>
                </c:pt>
                <c:pt idx="1993">
                  <c:v>39860.000</c:v>
                </c:pt>
                <c:pt idx="1994">
                  <c:v>39880.000</c:v>
                </c:pt>
                <c:pt idx="1995">
                  <c:v>39900.000</c:v>
                </c:pt>
                <c:pt idx="1996">
                  <c:v>39920.000</c:v>
                </c:pt>
                <c:pt idx="1997">
                  <c:v>39940.000</c:v>
                </c:pt>
                <c:pt idx="1998">
                  <c:v>39960.000</c:v>
                </c:pt>
                <c:pt idx="1999">
                  <c:v>39980.000</c:v>
                </c:pt>
                <c:pt idx="2000">
                  <c:v>40000.000</c:v>
                </c:pt>
              </c:strCache>
            </c:strRef>
          </c:cat>
          <c:val>
            <c:numRef>
              <c:f>スペクトル!$E$6:$E$2006</c:f>
              <c:numCache>
                <c:formatCode>0.00</c:formatCode>
                <c:ptCount val="2001"/>
                <c:pt idx="0">
                  <c:v>24.6085441547969</c:v>
                </c:pt>
                <c:pt idx="1">
                  <c:v>24.6086147649955</c:v>
                </c:pt>
                <c:pt idx="2">
                  <c:v>24.6088266419396</c:v>
                </c:pt>
                <c:pt idx="3">
                  <c:v>24.6091799247819</c:v>
                </c:pt>
                <c:pt idx="4">
                  <c:v>24.6096748458073</c:v>
                </c:pt>
                <c:pt idx="5">
                  <c:v>24.6103117309789</c:v>
                </c:pt>
                <c:pt idx="6">
                  <c:v>24.6110910007068</c:v>
                </c:pt>
                <c:pt idx="7">
                  <c:v>24.6120131708429</c:v>
                </c:pt>
                <c:pt idx="8">
                  <c:v>24.6130788539056</c:v>
                </c:pt>
                <c:pt idx="9">
                  <c:v>24.6142887605408</c:v>
                </c:pt>
                <c:pt idx="10">
                  <c:v>24.6156437012261</c:v>
                </c:pt>
                <c:pt idx="11">
                  <c:v>24.6171445882262</c:v>
                </c:pt>
                <c:pt idx="12">
                  <c:v>24.6187924378086</c:v>
                </c:pt>
                <c:pt idx="13">
                  <c:v>24.6205883727306</c:v>
                </c:pt>
                <c:pt idx="14">
                  <c:v>24.6225336250101</c:v>
                </c:pt>
                <c:pt idx="15">
                  <c:v>24.6246295389927</c:v>
                </c:pt>
                <c:pt idx="16">
                  <c:v>24.626877574732</c:v>
                </c:pt>
                <c:pt idx="17">
                  <c:v>24.6292793116983</c:v>
                </c:pt>
                <c:pt idx="18">
                  <c:v>24.6318364528367</c:v>
                </c:pt>
                <c:pt idx="19">
                  <c:v>24.6345508289935</c:v>
                </c:pt>
                <c:pt idx="20">
                  <c:v>24.6374244037359</c:v>
                </c:pt>
                <c:pt idx="21">
                  <c:v>24.6404592785897</c:v>
                </c:pt>
                <c:pt idx="22">
                  <c:v>24.6436576987237</c:v>
                </c:pt>
                <c:pt idx="23">
                  <c:v>24.6470220591116</c:v>
                </c:pt>
                <c:pt idx="24">
                  <c:v>24.6505549112071</c:v>
                </c:pt>
                <c:pt idx="25">
                  <c:v>24.6542589701693</c:v>
                </c:pt>
                <c:pt idx="26">
                  <c:v>24.6581371226796</c:v>
                </c:pt>
                <c:pt idx="27">
                  <c:v>24.6621924353991</c:v>
                </c:pt>
                <c:pt idx="28">
                  <c:v>24.6664281641138</c:v>
                </c:pt>
                <c:pt idx="29">
                  <c:v>24.6708477636278</c:v>
                </c:pt>
                <c:pt idx="30">
                  <c:v>24.6754548984636</c:v>
                </c:pt>
                <c:pt idx="31">
                  <c:v>24.6802534544401</c:v>
                </c:pt>
                <c:pt idx="32">
                  <c:v>24.6852475512042</c:v>
                </c:pt>
                <c:pt idx="33">
                  <c:v>24.690441555799</c:v>
                </c:pt>
                <c:pt idx="34">
                  <c:v>24.6958400973641</c:v>
                </c:pt>
                <c:pt idx="35">
                  <c:v>24.7014480830699</c:v>
                </c:pt>
                <c:pt idx="36">
                  <c:v>24.7072707154009</c:v>
                </c:pt>
                <c:pt idx="37">
                  <c:v>24.7133135109175</c:v>
                </c:pt>
                <c:pt idx="38">
                  <c:v>24.7195823206373</c:v>
                </c:pt>
                <c:pt idx="39">
                  <c:v>24.7260833521945</c:v>
                </c:pt>
                <c:pt idx="40">
                  <c:v>24.732823193956</c:v>
                </c:pt>
                <c:pt idx="41">
                  <c:v>24.7398088412909</c:v>
                </c:pt>
                <c:pt idx="42">
                  <c:v>24.747047725216</c:v>
                </c:pt>
                <c:pt idx="43">
                  <c:v>24.7545477436661</c:v>
                </c:pt>
                <c:pt idx="44">
                  <c:v>24.7623172956667</c:v>
                </c:pt>
                <c:pt idx="45">
                  <c:v>24.7703653187264</c:v>
                </c:pt>
                <c:pt idx="46">
                  <c:v>24.7787013297994</c:v>
                </c:pt>
                <c:pt idx="47">
                  <c:v>24.7873354702208</c:v>
                </c:pt>
                <c:pt idx="48">
                  <c:v>24.796278555064</c:v>
                </c:pt>
                <c:pt idx="49">
                  <c:v>24.8055421274345</c:v>
                </c:pt>
                <c:pt idx="50">
                  <c:v>24.8151385182795</c:v>
                </c:pt>
                <c:pt idx="51">
                  <c:v>24.8250809123755</c:v>
                </c:pt>
                <c:pt idx="52">
                  <c:v>24.8353834212477</c:v>
                </c:pt>
                <c:pt idx="53">
                  <c:v>24.8460611638813</c:v>
                </c:pt>
                <c:pt idx="54">
                  <c:v>24.8571303562125</c:v>
                </c:pt>
                <c:pt idx="55">
                  <c:v>24.8686084105284</c:v>
                </c:pt>
                <c:pt idx="56">
                  <c:v>24.88051404608</c:v>
                </c:pt>
                <c:pt idx="57">
                  <c:v>24.8928674124077</c:v>
                </c:pt>
                <c:pt idx="58">
                  <c:v>24.9056902271173</c:v>
                </c:pt>
                <c:pt idx="59">
                  <c:v>24.9190059301174</c:v>
                </c:pt>
                <c:pt idx="60">
                  <c:v>24.9328398566604</c:v>
                </c:pt>
                <c:pt idx="61">
                  <c:v>24.9472194319158</c:v>
                </c:pt>
                <c:pt idx="62">
                  <c:v>24.9621743902667</c:v>
                </c:pt>
                <c:pt idx="63">
                  <c:v>24.9777370230757</c:v>
                </c:pt>
                <c:pt idx="64">
                  <c:v>24.9939424593285</c:v>
                </c:pt>
                <c:pt idx="65">
                  <c:v>25.0108289843613</c:v>
                </c:pt>
                <c:pt idx="66">
                  <c:v>25.028438402845</c:v>
                </c:pt>
                <c:pt idx="67">
                  <c:v>25.0468164533676</c:v>
                </c:pt>
                <c:pt idx="68">
                  <c:v>25.0660132833881</c:v>
                </c:pt>
                <c:pt idx="69">
                  <c:v>25.086083995076</c:v>
                </c:pt>
                <c:pt idx="70">
                  <c:v>25.1070892747063</c:v>
                </c:pt>
                <c:pt idx="71">
                  <c:v>25.1290961209308</c:v>
                </c:pt>
                <c:pt idx="72">
                  <c:v>25.1521786905495</c:v>
                </c:pt>
                <c:pt idx="73">
                  <c:v>25.1764192845275</c:v>
                </c:pt>
                <c:pt idx="74">
                  <c:v>25.2019095021788</c:v>
                </c:pt>
                <c:pt idx="75">
                  <c:v>25.2287515979849</c:v>
                </c:pt>
                <c:pt idx="76">
                  <c:v>25.2570600838353</c:v>
                </c:pt>
                <c:pt idx="77">
                  <c:v>25.2869636301327</c:v>
                </c:pt>
                <c:pt idx="78">
                  <c:v>25.318607332939</c:v>
                </c:pt>
                <c:pt idx="79">
                  <c:v>25.3521554321806</c:v>
                </c:pt>
                <c:pt idx="80">
                  <c:v>25.387794589288</c:v>
                </c:pt>
                <c:pt idx="81">
                  <c:v>25.4257378634834</c:v>
                </c:pt>
                <c:pt idx="82">
                  <c:v>25.4662295670121</c:v>
                </c:pt>
                <c:pt idx="83">
                  <c:v>25.5095512348639</c:v>
                </c:pt>
                <c:pt idx="84">
                  <c:v>25.5560290196079</c:v>
                </c:pt>
                <c:pt idx="85">
                  <c:v>25.6060429250975</c:v>
                </c:pt>
                <c:pt idx="86">
                  <c:v>25.6600384361649</c:v>
                </c:pt>
                <c:pt idx="87">
                  <c:v>25.718541303259</c:v>
                </c:pt>
                <c:pt idx="88">
                  <c:v>25.7821765290583</c:v>
                </c:pt>
                <c:pt idx="89">
                  <c:v>25.8516930214737</c:v>
                </c:pt>
                <c:pt idx="90">
                  <c:v>25.9279959920626</c:v>
                </c:pt>
                <c:pt idx="91">
                  <c:v>26.0121901001693</c:v>
                </c:pt>
                <c:pt idx="92">
                  <c:v>26.105637751346</c:v>
                </c:pt>
                <c:pt idx="93">
                  <c:v>26.2100391580877</c:v>
                </c:pt>
                <c:pt idx="94">
                  <c:v>26.3275442894181</c:v>
                </c:pt>
                <c:pt idx="95">
                  <c:v>26.4609126168388</c:v>
                </c:pt>
                <c:pt idx="96">
                  <c:v>26.6137463521323</c:v>
                </c:pt>
                <c:pt idx="97">
                  <c:v>26.7908400188168</c:v>
                </c:pt>
                <c:pt idx="98">
                  <c:v>26.9987204275744</c:v>
                </c:pt>
                <c:pt idx="99">
                  <c:v>27.2465106175462</c:v>
                </c:pt>
                <c:pt idx="100">
                  <c:v>27.5473707729798</c:v>
                </c:pt>
                <c:pt idx="101">
                  <c:v>27.9210243579338</c:v>
                </c:pt>
                <c:pt idx="102">
                  <c:v>28.3984655333925</c:v>
                </c:pt>
                <c:pt idx="103">
                  <c:v>29.0314278767279</c:v>
                </c:pt>
                <c:pt idx="104">
                  <c:v>29.9133937315982</c:v>
                </c:pt>
                <c:pt idx="105">
                  <c:v>31.2326071539545</c:v>
                </c:pt>
                <c:pt idx="106">
                  <c:v>33.4290159785118</c:v>
                </c:pt>
                <c:pt idx="107">
                  <c:v>37.6231810076361</c:v>
                </c:pt>
                <c:pt idx="108">
                  <c:v>37.9419368452689</c:v>
                </c:pt>
                <c:pt idx="109">
                  <c:v>27.2555423422169</c:v>
                </c:pt>
                <c:pt idx="110">
                  <c:v>17.1989051256018</c:v>
                </c:pt>
                <c:pt idx="111">
                  <c:v>9.3141707682857</c:v>
                </c:pt>
                <c:pt idx="112">
                  <c:v>14.030971708193</c:v>
                </c:pt>
                <c:pt idx="113">
                  <c:v>17.0492660168081</c:v>
                </c:pt>
                <c:pt idx="114">
                  <c:v>18.73957440549</c:v>
                </c:pt>
                <c:pt idx="115">
                  <c:v>19.8165420750764</c:v>
                </c:pt>
                <c:pt idx="116">
                  <c:v>20.5650816206713</c:v>
                </c:pt>
                <c:pt idx="117">
                  <c:v>21.1172800160283</c:v>
                </c:pt>
                <c:pt idx="118">
                  <c:v>21.5426305594605</c:v>
                </c:pt>
                <c:pt idx="119">
                  <c:v>21.8812257891948</c:v>
                </c:pt>
                <c:pt idx="120">
                  <c:v>22.1578479196245</c:v>
                </c:pt>
                <c:pt idx="121">
                  <c:v>22.3886556545906</c:v>
                </c:pt>
                <c:pt idx="122">
                  <c:v>22.5846430447346</c:v>
                </c:pt>
                <c:pt idx="123">
                  <c:v>22.7535547178402</c:v>
                </c:pt>
                <c:pt idx="124">
                  <c:v>22.9010064472591</c:v>
                </c:pt>
                <c:pt idx="125">
                  <c:v>23.0311712971468</c:v>
                </c:pt>
                <c:pt idx="126">
                  <c:v>23.1472161336747</c:v>
                </c:pt>
                <c:pt idx="127">
                  <c:v>23.251588522764</c:v>
                </c:pt>
                <c:pt idx="128">
                  <c:v>23.3462106727779</c:v>
                </c:pt>
                <c:pt idx="129">
                  <c:v>23.4326137959107</c:v>
                </c:pt>
                <c:pt idx="130">
                  <c:v>23.5120332247015</c:v>
                </c:pt>
                <c:pt idx="131">
                  <c:v>23.5854770497889</c:v>
                </c:pt>
                <c:pt idx="132">
                  <c:v>23.6537765063171</c:v>
                </c:pt>
                <c:pt idx="133">
                  <c:v>23.7176235370266</c:v>
                </c:pt>
                <c:pt idx="134">
                  <c:v>23.7775991892204</c:v>
                </c:pt>
                <c:pt idx="135">
                  <c:v>23.8341953568388</c:v>
                </c:pt>
                <c:pt idx="136">
                  <c:v>23.8878316219038</c:v>
                </c:pt>
                <c:pt idx="137">
                  <c:v>23.9388684401637</c:v>
                </c:pt>
                <c:pt idx="138">
                  <c:v>23.9876175670437</c:v>
                </c:pt>
                <c:pt idx="139">
                  <c:v>24.0343503775401</c:v>
                </c:pt>
                <c:pt idx="140">
                  <c:v>24.0793045626837</c:v>
                </c:pt>
                <c:pt idx="141">
                  <c:v>24.1226895629672</c:v>
                </c:pt>
                <c:pt idx="142">
                  <c:v>24.1646910107035</c:v>
                </c:pt>
                <c:pt idx="143">
                  <c:v>24.2054743885691</c:v>
                </c:pt>
                <c:pt idx="144">
                  <c:v>24.2451880637376</c:v>
                </c:pt>
                <c:pt idx="145">
                  <c:v>24.2839658212687</c:v>
                </c:pt>
                <c:pt idx="146">
                  <c:v>24.321928993492</c:v>
                </c:pt>
                <c:pt idx="147">
                  <c:v>24.3591882616522</c:v>
                </c:pt>
                <c:pt idx="148">
                  <c:v>24.395845190405</c:v>
                </c:pt>
                <c:pt idx="149">
                  <c:v>24.431993543653</c:v>
                </c:pt>
                <c:pt idx="150">
                  <c:v>24.4677204208147</c:v>
                </c:pt>
                <c:pt idx="151">
                  <c:v>24.5031072452751</c:v>
                </c:pt>
                <c:pt idx="152">
                  <c:v>24.5382306309981</c:v>
                </c:pt>
                <c:pt idx="153">
                  <c:v>24.5731631487322</c:v>
                </c:pt>
                <c:pt idx="154">
                  <c:v>24.6079740096372</c:v>
                </c:pt>
                <c:pt idx="155">
                  <c:v>24.6427296813044</c:v>
                </c:pt>
                <c:pt idx="156">
                  <c:v>24.6774944488804</c:v>
                </c:pt>
                <c:pt idx="157">
                  <c:v>24.7123309322114</c:v>
                </c:pt>
                <c:pt idx="158">
                  <c:v>24.747300568522</c:v>
                </c:pt>
                <c:pt idx="159">
                  <c:v>24.7824640690515</c:v>
                </c:pt>
                <c:pt idx="160">
                  <c:v>24.8178818572462</c:v>
                </c:pt>
                <c:pt idx="161">
                  <c:v>24.8536144955084</c:v>
                </c:pt>
                <c:pt idx="162">
                  <c:v>24.8897231071031</c:v>
                </c:pt>
                <c:pt idx="163">
                  <c:v>24.9262697996005</c:v>
                </c:pt>
                <c:pt idx="164">
                  <c:v>24.963318096185</c:v>
                </c:pt>
                <c:pt idx="165">
                  <c:v>25.0009333812682</c:v>
                </c:pt>
                <c:pt idx="166">
                  <c:v>25.0391833671265</c:v>
                </c:pt>
                <c:pt idx="167">
                  <c:v>25.0781385887332</c:v>
                </c:pt>
                <c:pt idx="168">
                  <c:v>25.1178729346015</c:v>
                </c:pt>
                <c:pt idx="169">
                  <c:v>25.1584642223122</c:v>
                </c:pt>
                <c:pt idx="170">
                  <c:v>25.199994828505</c:v>
                </c:pt>
                <c:pt idx="171">
                  <c:v>25.2425523845093</c:v>
                </c:pt>
                <c:pt idx="172">
                  <c:v>25.2862305505342</c:v>
                </c:pt>
                <c:pt idx="173">
                  <c:v>25.3311298835016</c:v>
                </c:pt>
                <c:pt idx="174">
                  <c:v>25.3773588162907</c:v>
                </c:pt>
                <c:pt idx="175">
                  <c:v>25.4250347694822</c:v>
                </c:pt>
                <c:pt idx="176">
                  <c:v>25.4742854208115</c:v>
                </c:pt>
                <c:pt idx="177">
                  <c:v>25.5252501626643</c:v>
                </c:pt>
                <c:pt idx="178">
                  <c:v>25.5780817843437</c:v>
                </c:pt>
                <c:pt idx="179">
                  <c:v>25.6329484238522</c:v>
                </c:pt>
                <c:pt idx="180">
                  <c:v>25.6900358440363</c:v>
                </c:pt>
                <c:pt idx="181">
                  <c:v>25.7495501007309</c:v>
                </c:pt>
                <c:pt idx="182">
                  <c:v>25.8117206868491</c:v>
                </c:pt>
                <c:pt idx="183">
                  <c:v>25.8768042572743</c:v>
                </c:pt>
                <c:pt idx="184">
                  <c:v>25.945089066431</c:v>
                </c:pt>
                <c:pt idx="185">
                  <c:v>26.0169002855611</c:v>
                </c:pt>
                <c:pt idx="186">
                  <c:v>26.0926064128576</c:v>
                </c:pt>
                <c:pt idx="187">
                  <c:v>26.1726270506132</c:v>
                </c:pt>
                <c:pt idx="188">
                  <c:v>26.2574424050106</c:v>
                </c:pt>
                <c:pt idx="189">
                  <c:v>26.3476049739987</c:v>
                </c:pt>
                <c:pt idx="190">
                  <c:v>26.4437540383253</c:v>
                </c:pt>
                <c:pt idx="191">
                  <c:v>26.5466337769356</c:v>
                </c:pt>
                <c:pt idx="192">
                  <c:v>26.6571161154104</c:v>
                </c:pt>
                <c:pt idx="193">
                  <c:v>26.7762298222648</c:v>
                </c:pt>
                <c:pt idx="194">
                  <c:v>26.9051979499065</c:v>
                </c:pt>
                <c:pt idx="195">
                  <c:v>27.0454865639127</c:v>
                </c:pt>
                <c:pt idx="196">
                  <c:v>27.1988689573411</c:v>
                </c:pt>
                <c:pt idx="197">
                  <c:v>27.3675114351071</c:v>
                </c:pt>
                <c:pt idx="198">
                  <c:v>27.5540896567578</c:v>
                </c:pt>
                <c:pt idx="199">
                  <c:v>27.7619490895107</c:v>
                </c:pt>
                <c:pt idx="200">
                  <c:v>27.9953304739244</c:v>
                </c:pt>
                <c:pt idx="201">
                  <c:v>28.2596933688008</c:v>
                </c:pt>
                <c:pt idx="202">
                  <c:v>28.5621915868348</c:v>
                </c:pt>
                <c:pt idx="203">
                  <c:v>28.9123909124348</c:v>
                </c:pt>
                <c:pt idx="204">
                  <c:v>29.3233864202176</c:v>
                </c:pt>
                <c:pt idx="205">
                  <c:v>29.8136041736129</c:v>
                </c:pt>
                <c:pt idx="206">
                  <c:v>30.4098251194257</c:v>
                </c:pt>
                <c:pt idx="207">
                  <c:v>31.1524900385508</c:v>
                </c:pt>
                <c:pt idx="208">
                  <c:v>32.1054265229914</c:v>
                </c:pt>
                <c:pt idx="209">
                  <c:v>33.3741083588913</c:v>
                </c:pt>
                <c:pt idx="210">
                  <c:v>35.1362050372445</c:v>
                </c:pt>
                <c:pt idx="211">
                  <c:v>37.6269472994528</c:v>
                </c:pt>
                <c:pt idx="212">
                  <c:v>40.1528370371626</c:v>
                </c:pt>
                <c:pt idx="213">
                  <c:v>37.7900379948976</c:v>
                </c:pt>
                <c:pt idx="214">
                  <c:v>32.1991201679882</c:v>
                </c:pt>
                <c:pt idx="215">
                  <c:v>26.9469531931858</c:v>
                </c:pt>
                <c:pt idx="216">
                  <c:v>21.9264348735694</c:v>
                </c:pt>
                <c:pt idx="217">
                  <c:v>16.6431209008069</c:v>
                </c:pt>
                <c:pt idx="218">
                  <c:v>11.2586829851544</c:v>
                </c:pt>
                <c:pt idx="219">
                  <c:v>9.82598515536227</c:v>
                </c:pt>
                <c:pt idx="220">
                  <c:v>12.4231104749783</c:v>
                </c:pt>
                <c:pt idx="221">
                  <c:v>14.7562534394562</c:v>
                </c:pt>
                <c:pt idx="222">
                  <c:v>16.4180458865914</c:v>
                </c:pt>
                <c:pt idx="223">
                  <c:v>17.6280481677057</c:v>
                </c:pt>
                <c:pt idx="224">
                  <c:v>18.5456936849704</c:v>
                </c:pt>
                <c:pt idx="225">
                  <c:v>19.266788873463</c:v>
                </c:pt>
                <c:pt idx="226">
                  <c:v>19.8500654868356</c:v>
                </c:pt>
                <c:pt idx="227">
                  <c:v>20.3331288978508</c:v>
                </c:pt>
                <c:pt idx="228">
                  <c:v>20.7410925201998</c:v>
                </c:pt>
                <c:pt idx="229">
                  <c:v>21.0913539562741</c:v>
                </c:pt>
                <c:pt idx="230">
                  <c:v>21.3963488488854</c:v>
                </c:pt>
                <c:pt idx="231">
                  <c:v>21.6652069931954</c:v>
                </c:pt>
                <c:pt idx="232">
                  <c:v>21.9047872393865</c:v>
                </c:pt>
                <c:pt idx="233">
                  <c:v>22.1203465259701</c:v>
                </c:pt>
                <c:pt idx="234">
                  <c:v>22.3159854794723</c:v>
                </c:pt>
                <c:pt idx="235">
                  <c:v>22.4949530875901</c:v>
                </c:pt>
                <c:pt idx="236">
                  <c:v>22.6598599020289</c:v>
                </c:pt>
                <c:pt idx="237">
                  <c:v>22.8128303407841</c:v>
                </c:pt>
                <c:pt idx="238">
                  <c:v>22.9556135130059</c:v>
                </c:pt>
                <c:pt idx="239">
                  <c:v>23.0896652161131</c:v>
                </c:pt>
                <c:pt idx="240">
                  <c:v>23.2162095289098</c:v>
                </c:pt>
                <c:pt idx="241">
                  <c:v>23.3362857244199</c:v>
                </c:pt>
                <c:pt idx="242">
                  <c:v>23.4507844634124</c:v>
                </c:pt>
                <c:pt idx="243">
                  <c:v>23.5604760560092</c:v>
                </c:pt>
                <c:pt idx="244">
                  <c:v>23.6660327833685</c:v>
                </c:pt>
                <c:pt idx="245">
                  <c:v>23.7680467235247</c:v>
                </c:pt>
                <c:pt idx="246">
                  <c:v>23.867044142407</c:v>
                </c:pt>
                <c:pt idx="247">
                  <c:v>23.9634972396276</c:v>
                </c:pt>
                <c:pt idx="248">
                  <c:v>24.0578338439616</c:v>
                </c:pt>
                <c:pt idx="249">
                  <c:v>24.1504455123199</c:v>
                </c:pt>
                <c:pt idx="250">
                  <c:v>24.2416943827819</c:v>
                </c:pt>
                <c:pt idx="251">
                  <c:v>24.3319190561896</c:v>
                </c:pt>
                <c:pt idx="252">
                  <c:v>24.4214397245019</c:v>
                </c:pt>
                <c:pt idx="253">
                  <c:v>24.5105627223967</c:v>
                </c:pt>
                <c:pt idx="254">
                  <c:v>24.5995846478645</c:v>
                </c:pt>
                <c:pt idx="255">
                  <c:v>24.6887961752004</c:v>
                </c:pt>
                <c:pt idx="256">
                  <c:v>24.7784856681005</c:v>
                </c:pt>
                <c:pt idx="257">
                  <c:v>24.8689426902854</c:v>
                </c:pt>
                <c:pt idx="258">
                  <c:v>24.9604615054121</c:v>
                </c:pt>
                <c:pt idx="259">
                  <c:v>25.0533446565723</c:v>
                </c:pt>
                <c:pt idx="260">
                  <c:v>25.1479067182541</c:v>
                </c:pt>
                <c:pt idx="261">
                  <c:v>25.2444783204011</c:v>
                </c:pt>
                <c:pt idx="262">
                  <c:v>25.3434105555824</c:v>
                </c:pt>
                <c:pt idx="263">
                  <c:v>25.4450798970278</c:v>
                </c:pt>
                <c:pt idx="264">
                  <c:v>25.5498937785694</c:v>
                </c:pt>
                <c:pt idx="265">
                  <c:v>25.6582970190411</c:v>
                </c:pt>
                <c:pt idx="266">
                  <c:v>25.7707793158325</c:v>
                </c:pt>
                <c:pt idx="267">
                  <c:v>25.8878840884212</c:v>
                </c:pt>
                <c:pt idx="268">
                  <c:v>26.0102190275815</c:v>
                </c:pt>
                <c:pt idx="269">
                  <c:v>26.1384688062629</c:v>
                </c:pt>
                <c:pt idx="270">
                  <c:v>26.2734105434165</c:v>
                </c:pt>
                <c:pt idx="271">
                  <c:v>26.4159327960472</c:v>
                </c:pt>
                <c:pt idx="272">
                  <c:v>26.5670591075212</c:v>
                </c:pt>
                <c:pt idx="273">
                  <c:v>26.727977491162</c:v>
                </c:pt>
                <c:pt idx="274">
                  <c:v>26.9000777216117</c:v>
                </c:pt>
                <c:pt idx="275">
                  <c:v>27.0849990093538</c:v>
                </c:pt>
                <c:pt idx="276">
                  <c:v>27.2846916496981</c:v>
                </c:pt>
                <c:pt idx="277">
                  <c:v>27.5014977289049</c:v>
                </c:pt>
                <c:pt idx="278">
                  <c:v>27.7382581968974</c:v>
                </c:pt>
                <c:pt idx="279">
                  <c:v>27.9984570020659</c:v>
                </c:pt>
                <c:pt idx="280">
                  <c:v>28.2864182345691</c:v>
                </c:pt>
                <c:pt idx="281">
                  <c:v>28.6075805391803</c:v>
                </c:pt>
                <c:pt idx="282">
                  <c:v>28.9688865155226</c:v>
                </c:pt>
                <c:pt idx="283">
                  <c:v>29.3793470872659</c:v>
                </c:pt>
                <c:pt idx="284">
                  <c:v>29.8508784111211</c:v>
                </c:pt>
                <c:pt idx="285">
                  <c:v>30.399573254831</c:v>
                </c:pt>
                <c:pt idx="286">
                  <c:v>31.0476784832109</c:v>
                </c:pt>
                <c:pt idx="287">
                  <c:v>31.8267261517447</c:v>
                </c:pt>
                <c:pt idx="288">
                  <c:v>32.7824708536366</c:v>
                </c:pt>
                <c:pt idx="289">
                  <c:v>33.9820111606415</c:v>
                </c:pt>
                <c:pt idx="290">
                  <c:v>35.5189680955583</c:v>
                </c:pt>
                <c:pt idx="291">
                  <c:v>37.4774540557133</c:v>
                </c:pt>
                <c:pt idx="292">
                  <c:v>39.585062645286</c:v>
                </c:pt>
                <c:pt idx="293">
                  <c:v>39.9141808776772</c:v>
                </c:pt>
                <c:pt idx="294">
                  <c:v>36.9024870177119</c:v>
                </c:pt>
                <c:pt idx="295">
                  <c:v>32.9395934716321</c:v>
                </c:pt>
                <c:pt idx="296">
                  <c:v>29.2273793021252</c:v>
                </c:pt>
                <c:pt idx="297">
                  <c:v>25.7831546084654</c:v>
                </c:pt>
                <c:pt idx="298">
                  <c:v>22.4404196349353</c:v>
                </c:pt>
                <c:pt idx="299">
                  <c:v>19.02360830128</c:v>
                </c:pt>
                <c:pt idx="300">
                  <c:v>15.3716397062864</c:v>
                </c:pt>
                <c:pt idx="301">
                  <c:v>11.4873496339174</c:v>
                </c:pt>
                <c:pt idx="302">
                  <c:v>8.38809503985542</c:v>
                </c:pt>
                <c:pt idx="303">
                  <c:v>8.3722408468809</c:v>
                </c:pt>
                <c:pt idx="304">
                  <c:v>10.3315985129605</c:v>
                </c:pt>
                <c:pt idx="305">
                  <c:v>12.270787787903</c:v>
                </c:pt>
                <c:pt idx="306">
                  <c:v>13.8156209529622</c:v>
                </c:pt>
                <c:pt idx="307">
                  <c:v>15.0259741870703</c:v>
                </c:pt>
                <c:pt idx="308">
                  <c:v>15.9908782718751</c:v>
                </c:pt>
                <c:pt idx="309">
                  <c:v>16.7769137971212</c:v>
                </c:pt>
                <c:pt idx="310">
                  <c:v>17.4301126514438</c:v>
                </c:pt>
                <c:pt idx="311">
                  <c:v>17.9823702979409</c:v>
                </c:pt>
                <c:pt idx="312">
                  <c:v>18.4562385149044</c:v>
                </c:pt>
                <c:pt idx="313">
                  <c:v>18.8680414205654</c:v>
                </c:pt>
                <c:pt idx="314">
                  <c:v>19.2298651437801</c:v>
                </c:pt>
                <c:pt idx="315">
                  <c:v>19.550843996696</c:v>
                </c:pt>
                <c:pt idx="316">
                  <c:v>19.8380094947412</c:v>
                </c:pt>
                <c:pt idx="317">
                  <c:v>20.0968636992817</c:v>
                </c:pt>
                <c:pt idx="318">
                  <c:v>20.3317750512692</c:v>
                </c:pt>
                <c:pt idx="319">
                  <c:v>20.5462573515188</c:v>
                </c:pt>
                <c:pt idx="320">
                  <c:v>20.7431701434806</c:v>
                </c:pt>
                <c:pt idx="321">
                  <c:v>20.9248651491854</c:v>
                </c:pt>
                <c:pt idx="322">
                  <c:v>21.0932949772384</c:v>
                </c:pt>
                <c:pt idx="323">
                  <c:v>21.2500949866872</c:v>
                </c:pt>
                <c:pt idx="324">
                  <c:v>21.3966457461248</c:v>
                </c:pt>
                <c:pt idx="325">
                  <c:v>21.5341212604942</c:v>
                </c:pt>
                <c:pt idx="326">
                  <c:v>21.6635266190883</c:v>
                </c:pt>
                <c:pt idx="327">
                  <c:v>21.7857276832073</c:v>
                </c:pt>
                <c:pt idx="328">
                  <c:v>21.9014747155813</c:v>
                </c:pt>
                <c:pt idx="329">
                  <c:v>22.011421350629</c:v>
                </c:pt>
                <c:pt idx="330">
                  <c:v>22.1161399465948</c:v>
                </c:pt>
                <c:pt idx="331">
                  <c:v>22.2161341025714</c:v>
                </c:pt>
                <c:pt idx="332">
                  <c:v>22.3118489352595</c:v>
                </c:pt>
                <c:pt idx="333">
                  <c:v>22.4036795716159</c:v>
                </c:pt>
                <c:pt idx="334">
                  <c:v>22.4919782102506</c:v>
                </c:pt>
                <c:pt idx="335">
                  <c:v>22.5770600267737</c:v>
                </c:pt>
                <c:pt idx="336">
                  <c:v>22.6592081393838</c:v>
                </c:pt>
                <c:pt idx="337">
                  <c:v>22.7386778059204</c:v>
                </c:pt>
                <c:pt idx="338">
                  <c:v>22.8156999888592</c:v>
                </c:pt>
                <c:pt idx="339">
                  <c:v>22.8904843977327</c:v>
                </c:pt>
                <c:pt idx="340">
                  <c:v>22.9632220973477</c:v>
                </c:pt>
                <c:pt idx="341">
                  <c:v>23.0340877535391</c:v>
                </c:pt>
                <c:pt idx="342">
                  <c:v>23.1032415750292</c:v>
                </c:pt>
                <c:pt idx="343">
                  <c:v>23.1708309994559</c:v>
                </c:pt>
                <c:pt idx="344">
                  <c:v>23.2369921632168</c:v>
                </c:pt>
                <c:pt idx="345">
                  <c:v>23.3018511879935</c:v>
                </c:pt>
                <c:pt idx="346">
                  <c:v>23.3655253113257</c:v>
                </c:pt>
                <c:pt idx="347">
                  <c:v>23.4281238841394</c:v>
                </c:pt>
                <c:pt idx="348">
                  <c:v>23.4897492544769</c:v>
                </c:pt>
                <c:pt idx="349">
                  <c:v>23.5504975536853</c:v>
                </c:pt>
                <c:pt idx="350">
                  <c:v>23.610459398848</c:v>
                </c:pt>
                <c:pt idx="351">
                  <c:v>23.6697205232101</c:v>
                </c:pt>
                <c:pt idx="352">
                  <c:v>23.7283623446537</c:v>
                </c:pt>
                <c:pt idx="353">
                  <c:v>23.7864624808798</c:v>
                </c:pt>
                <c:pt idx="354">
                  <c:v>23.8440952187831</c:v>
                </c:pt>
                <c:pt idx="355">
                  <c:v>23.9013319445326</c:v>
                </c:pt>
                <c:pt idx="356">
                  <c:v>23.9582415400591</c:v>
                </c:pt>
                <c:pt idx="357">
                  <c:v>24.014890750977</c:v>
                </c:pt>
                <c:pt idx="358">
                  <c:v>24.0713445304023</c:v>
                </c:pt>
                <c:pt idx="359">
                  <c:v>24.1276663626689</c:v>
                </c:pt>
                <c:pt idx="360">
                  <c:v>24.1839185705614</c:v>
                </c:pt>
                <c:pt idx="361">
                  <c:v>24.2401626093764</c:v>
                </c:pt>
                <c:pt idx="362">
                  <c:v>24.2964593508769</c:v>
                </c:pt>
                <c:pt idx="363">
                  <c:v>24.3528693600195</c:v>
                </c:pt>
                <c:pt idx="364">
                  <c:v>24.4094531671934</c:v>
                </c:pt>
                <c:pt idx="365">
                  <c:v>24.4662715386238</c:v>
                </c:pt>
                <c:pt idx="366">
                  <c:v>24.5233857475465</c:v>
                </c:pt>
                <c:pt idx="367">
                  <c:v>24.5808578487588</c:v>
                </c:pt>
                <c:pt idx="368">
                  <c:v>24.6387509591966</c:v>
                </c:pt>
                <c:pt idx="369">
                  <c:v>24.6971295472725</c:v>
                </c:pt>
                <c:pt idx="370">
                  <c:v>24.7560597338433</c:v>
                </c:pt>
                <c:pt idx="371">
                  <c:v>24.815609607857</c:v>
                </c:pt>
                <c:pt idx="372">
                  <c:v>24.8758495599676</c:v>
                </c:pt>
                <c:pt idx="373">
                  <c:v>24.9368526377011</c:v>
                </c:pt>
                <c:pt idx="374">
                  <c:v>24.9986949261202</c:v>
                </c:pt>
                <c:pt idx="375">
                  <c:v>25.0614559583762</c:v>
                </c:pt>
                <c:pt idx="376">
                  <c:v>25.1252191610718</c:v>
                </c:pt>
                <c:pt idx="377">
                  <c:v>25.1900723399865</c:v>
                </c:pt>
                <c:pt idx="378">
                  <c:v>25.2561082124839</c:v>
                </c:pt>
                <c:pt idx="379">
                  <c:v>25.3234249938158</c:v>
                </c:pt>
                <c:pt idx="380">
                  <c:v>25.3921270456224</c:v>
                </c:pt>
                <c:pt idx="381">
                  <c:v>25.4623255962088</c:v>
                </c:pt>
                <c:pt idx="382">
                  <c:v>25.534139543716</c:v>
                </c:pt>
                <c:pt idx="383">
                  <c:v>25.6076963551433</c:v>
                </c:pt>
                <c:pt idx="384">
                  <c:v>25.6831330763867</c:v>
                </c:pt>
                <c:pt idx="385">
                  <c:v>25.7605974711161</c:v>
                </c:pt>
                <c:pt idx="386">
                  <c:v>25.8402493095263</c:v>
                </c:pt>
                <c:pt idx="387">
                  <c:v>25.92226183189</c:v>
                </c:pt>
                <c:pt idx="388">
                  <c:v>26.0068234165836</c:v>
                </c:pt>
                <c:pt idx="389">
                  <c:v>26.0941394880487</c:v>
                </c:pt>
                <c:pt idx="390">
                  <c:v>26.1844347072702</c:v>
                </c:pt>
                <c:pt idx="391">
                  <c:v>26.2779554961277</c:v>
                </c:pt>
                <c:pt idx="392">
                  <c:v>26.3749729578621</c:v>
                </c:pt>
                <c:pt idx="393">
                  <c:v>26.4757862694609</c:v>
                </c:pt>
                <c:pt idx="394">
                  <c:v>26.5807266387694</c:v>
                </c:pt>
                <c:pt idx="395">
                  <c:v>26.6901619405601</c:v>
                </c:pt>
                <c:pt idx="396">
                  <c:v>26.8045021729772</c:v>
                </c:pt>
                <c:pt idx="397">
                  <c:v>26.9242059104669</c:v>
                </c:pt>
                <c:pt idx="398">
                  <c:v>27.0497879739061</c:v>
                </c:pt>
                <c:pt idx="399">
                  <c:v>27.1818285963706</c:v>
                </c:pt>
                <c:pt idx="400">
                  <c:v>27.3209844382964</c:v>
                </c:pt>
                <c:pt idx="401">
                  <c:v>27.4680019047966</c:v>
                </c:pt>
                <c:pt idx="402">
                  <c:v>27.6237333491871</c:v>
                </c:pt>
                <c:pt idx="403">
                  <c:v>27.7891569223796</c:v>
                </c:pt>
                <c:pt idx="404">
                  <c:v>27.9654010648946</c:v>
                </c:pt>
                <c:pt idx="405">
                  <c:v>28.1537749614588</c:v>
                </c:pt>
                <c:pt idx="406">
                  <c:v>28.3558067232204</c:v>
                </c:pt>
                <c:pt idx="407">
                  <c:v>28.5732916818962</c:v>
                </c:pt>
                <c:pt idx="408">
                  <c:v>28.8083540509543</c:v>
                </c:pt>
                <c:pt idx="409">
                  <c:v>29.0635264462479</c:v>
                </c:pt>
                <c:pt idx="410">
                  <c:v>29.341853533944</c:v>
                </c:pt>
                <c:pt idx="411">
                  <c:v>29.6470286425841</c:v>
                </c:pt>
                <c:pt idx="412">
                  <c:v>29.9835759128823</c:v>
                </c:pt>
                <c:pt idx="413">
                  <c:v>30.3570959883669</c:v>
                </c:pt>
                <c:pt idx="414">
                  <c:v>30.7746010264689</c:v>
                </c:pt>
                <c:pt idx="415">
                  <c:v>31.2449754575683</c:v>
                </c:pt>
                <c:pt idx="416">
                  <c:v>31.7796116948207</c:v>
                </c:pt>
                <c:pt idx="417">
                  <c:v>32.3932786413293</c:v>
                </c:pt>
                <c:pt idx="418">
                  <c:v>33.1052582712382</c:v>
                </c:pt>
                <c:pt idx="419">
                  <c:v>33.9406278621903</c:v>
                </c:pt>
                <c:pt idx="420">
                  <c:v>34.9308792469127</c:v>
                </c:pt>
                <c:pt idx="421">
                  <c:v>36.1103324055327</c:v>
                </c:pt>
                <c:pt idx="422">
                  <c:v>37.4941560359906</c:v>
                </c:pt>
                <c:pt idx="423">
                  <c:v>38.9864055504724</c:v>
                </c:pt>
                <c:pt idx="424">
                  <c:v>40.1053328660386</c:v>
                </c:pt>
                <c:pt idx="425">
                  <c:v>39.8256137302331</c:v>
                </c:pt>
                <c:pt idx="426">
                  <c:v>37.8465464460353</c:v>
                </c:pt>
                <c:pt idx="427">
                  <c:v>35.134821429295</c:v>
                </c:pt>
                <c:pt idx="428">
                  <c:v>32.3883589664983</c:v>
                </c:pt>
                <c:pt idx="429">
                  <c:v>29.7852779483078</c:v>
                </c:pt>
                <c:pt idx="430">
                  <c:v>27.3149912535228</c:v>
                </c:pt>
                <c:pt idx="431">
                  <c:v>24.9230527562173</c:v>
                </c:pt>
                <c:pt idx="432">
                  <c:v>22.5482313944342</c:v>
                </c:pt>
                <c:pt idx="433">
                  <c:v>20.1296525865489</c:v>
                </c:pt>
                <c:pt idx="434">
                  <c:v>17.6105966973434</c:v>
                </c:pt>
                <c:pt idx="435">
                  <c:v>14.9575912664756</c:v>
                </c:pt>
                <c:pt idx="436">
                  <c:v>12.2405038039305</c:v>
                </c:pt>
                <c:pt idx="437">
                  <c:v>9.86952571001488</c:v>
                </c:pt>
                <c:pt idx="438">
                  <c:v>8.76521065177654</c:v>
                </c:pt>
                <c:pt idx="439">
                  <c:v>9.3117769271521</c:v>
                </c:pt>
                <c:pt idx="440">
                  <c:v>10.6598439996583</c:v>
                </c:pt>
                <c:pt idx="441">
                  <c:v>12.0743813728355</c:v>
                </c:pt>
                <c:pt idx="442">
                  <c:v>13.3234769157539</c:v>
                </c:pt>
                <c:pt idx="443">
                  <c:v>14.3822426561508</c:v>
                </c:pt>
                <c:pt idx="444">
                  <c:v>15.2763225252356</c:v>
                </c:pt>
                <c:pt idx="445">
                  <c:v>16.03694640418</c:v>
                </c:pt>
                <c:pt idx="446">
                  <c:v>16.6908057202831</c:v>
                </c:pt>
                <c:pt idx="447">
                  <c:v>17.2589264580001</c:v>
                </c:pt>
                <c:pt idx="448">
                  <c:v>17.7575453857919</c:v>
                </c:pt>
                <c:pt idx="449">
                  <c:v>18.19920686865</c:v>
                </c:pt>
                <c:pt idx="450">
                  <c:v>18.5936803922389</c:v>
                </c:pt>
                <c:pt idx="451">
                  <c:v>18.9486560483139</c:v>
                </c:pt>
                <c:pt idx="452">
                  <c:v>19.2702561743184</c:v>
                </c:pt>
                <c:pt idx="453">
                  <c:v>19.5634095820477</c:v>
                </c:pt>
                <c:pt idx="454">
                  <c:v>19.8321264362698</c:v>
                </c:pt>
                <c:pt idx="455">
                  <c:v>20.07970189149</c:v>
                </c:pt>
                <c:pt idx="456">
                  <c:v>20.3088685178304</c:v>
                </c:pt>
                <c:pt idx="457">
                  <c:v>20.5219116443428</c:v>
                </c:pt>
                <c:pt idx="458">
                  <c:v>20.7207575931361</c:v>
                </c:pt>
                <c:pt idx="459">
                  <c:v>20.9070418880048</c:v>
                </c:pt>
                <c:pt idx="460">
                  <c:v>21.0821625126946</c:v>
                </c:pt>
                <c:pt idx="461">
                  <c:v>21.247321890824</c:v>
                </c:pt>
                <c:pt idx="462">
                  <c:v>21.4035602715974</c:v>
                </c:pt>
                <c:pt idx="463">
                  <c:v>21.5517825034751</c:v>
                </c:pt>
                <c:pt idx="464">
                  <c:v>21.6927796742589</c:v>
                </c:pt>
                <c:pt idx="465">
                  <c:v>21.8272467310096</c:v>
                </c:pt>
                <c:pt idx="466">
                  <c:v>21.9557969260548</c:v>
                </c:pt>
                <c:pt idx="467">
                  <c:v>22.078973737954</c:v>
                </c:pt>
                <c:pt idx="468">
                  <c:v>22.1972607691031</c:v>
                </c:pt>
                <c:pt idx="469">
                  <c:v>22.3110900109295</c:v>
                </c:pt>
                <c:pt idx="470">
                  <c:v>22.4208487836366</c:v>
                </c:pt>
                <c:pt idx="471">
                  <c:v>22.5268855932162</c:v>
                </c:pt>
                <c:pt idx="472">
                  <c:v>22.6295150989535</c:v>
                </c:pt>
                <c:pt idx="473">
                  <c:v>22.7290223462303</c:v>
                </c:pt>
                <c:pt idx="474">
                  <c:v>22.8256663894054</c:v>
                </c:pt>
                <c:pt idx="475">
                  <c:v>22.9196834059338</c:v>
                </c:pt>
                <c:pt idx="476">
                  <c:v>23.0112893841879</c:v>
                </c:pt>
                <c:pt idx="477">
                  <c:v>23.1006824525575</c:v>
                </c:pt>
                <c:pt idx="478">
                  <c:v>23.1880449054835</c:v>
                </c:pt>
                <c:pt idx="479">
                  <c:v>23.2735449724846</c:v>
                </c:pt>
                <c:pt idx="480">
                  <c:v>23.3573383684692</c:v>
                </c:pt>
                <c:pt idx="481">
                  <c:v>23.4395696573147</c:v>
                </c:pt>
                <c:pt idx="482">
                  <c:v>23.5203734555361</c:v>
                </c:pt>
                <c:pt idx="483">
                  <c:v>23.5998754986405</c:v>
                </c:pt>
                <c:pt idx="484">
                  <c:v>23.6781935892776</c:v>
                </c:pt>
                <c:pt idx="485">
                  <c:v>23.7554384434186</c:v>
                </c:pt>
                <c:pt idx="486">
                  <c:v>23.8317144484054</c:v>
                </c:pt>
                <c:pt idx="487">
                  <c:v>23.9071203447255</c:v>
                </c:pt>
                <c:pt idx="488">
                  <c:v>23.9817498417057</c:v>
                </c:pt>
                <c:pt idx="489">
                  <c:v>24.0556921759304</c:v>
                </c:pt>
                <c:pt idx="490">
                  <c:v>24.1290326200267</c:v>
                </c:pt>
                <c:pt idx="491">
                  <c:v>24.2018529484773</c:v>
                </c:pt>
                <c:pt idx="492">
                  <c:v>24.2742318663037</c:v>
                </c:pt>
                <c:pt idx="493">
                  <c:v>24.3462454057678</c:v>
                </c:pt>
                <c:pt idx="494">
                  <c:v>24.4179672956645</c:v>
                </c:pt>
                <c:pt idx="495">
                  <c:v>24.4894693072854</c:v>
                </c:pt>
                <c:pt idx="496">
                  <c:v>24.560821580737</c:v>
                </c:pt>
                <c:pt idx="497">
                  <c:v>24.6320929349539</c:v>
                </c:pt>
                <c:pt idx="498">
                  <c:v>24.7033511644805</c:v>
                </c:pt>
                <c:pt idx="499">
                  <c:v>24.7746633258694</c:v>
                </c:pt>
                <c:pt idx="500">
                  <c:v>24.8460960163773</c:v>
                </c:pt>
                <c:pt idx="501">
                  <c:v>24.9177156475092</c:v>
                </c:pt>
                <c:pt idx="502">
                  <c:v>24.9895887158775</c:v>
                </c:pt>
                <c:pt idx="503">
                  <c:v>25.0617820737925</c:v>
                </c:pt>
                <c:pt idx="504">
                  <c:v>25.1343632019936</c:v>
                </c:pt>
                <c:pt idx="505">
                  <c:v>25.2074004869543</c:v>
                </c:pt>
                <c:pt idx="506">
                  <c:v>25.2809635052627</c:v>
                </c:pt>
                <c:pt idx="507">
                  <c:v>25.3551233176796</c:v>
                </c:pt>
                <c:pt idx="508">
                  <c:v>25.4299527756247</c:v>
                </c:pt>
                <c:pt idx="509">
                  <c:v>25.5055268430315</c:v>
                </c:pt>
                <c:pt idx="510">
                  <c:v>25.5819229367516</c:v>
                </c:pt>
                <c:pt idx="511">
                  <c:v>25.6592212889848</c:v>
                </c:pt>
                <c:pt idx="512">
                  <c:v>25.7375053355738</c:v>
                </c:pt>
                <c:pt idx="513">
                  <c:v>25.8168621344274</c:v>
                </c:pt>
                <c:pt idx="514">
                  <c:v>25.8973828188585</c:v>
                </c:pt>
                <c:pt idx="515">
                  <c:v>25.9791630912287</c:v>
                </c:pt>
                <c:pt idx="516">
                  <c:v>26.0623037630226</c:v>
                </c:pt>
                <c:pt idx="517">
                  <c:v>26.1469113483345</c:v>
                </c:pt>
                <c:pt idx="518">
                  <c:v>26.2330987187718</c:v>
                </c:pt>
                <c:pt idx="519">
                  <c:v>26.3209858289962</c:v>
                </c:pt>
                <c:pt idx="520">
                  <c:v>26.410700523563</c:v>
                </c:pt>
                <c:pt idx="521">
                  <c:v>26.5023794374444</c:v>
                </c:pt>
                <c:pt idx="522">
                  <c:v>26.5961690046736</c:v>
                </c:pt>
                <c:pt idx="523">
                  <c:v>26.6922265920137</c:v>
                </c:pt>
                <c:pt idx="524">
                  <c:v>26.7907217775111</c:v>
                </c:pt>
                <c:pt idx="525">
                  <c:v>26.8918377973688</c:v>
                </c:pt>
                <c:pt idx="526">
                  <c:v>26.9957731888873</c:v>
                </c:pt>
                <c:pt idx="527">
                  <c:v>27.1027436624774</c:v>
                </c:pt>
                <c:pt idx="528">
                  <c:v>27.2129842421434</c:v>
                </c:pt>
                <c:pt idx="529">
                  <c:v>27.3267517216837</c:v>
                </c:pt>
                <c:pt idx="530">
                  <c:v>27.4443274934993</c:v>
                </c:pt>
                <c:pt idx="531">
                  <c:v>27.566020818832</c:v>
                </c:pt>
                <c:pt idx="532">
                  <c:v>27.692172623066</c:v>
                </c:pt>
                <c:pt idx="533">
                  <c:v>27.8231599182254</c:v>
                </c:pt>
                <c:pt idx="534">
                  <c:v>27.9594009780073</c:v>
                </c:pt>
                <c:pt idx="535">
                  <c:v>28.1013614199816</c:v>
                </c:pt>
                <c:pt idx="536">
                  <c:v>28.2495613867473</c:v>
                </c:pt>
                <c:pt idx="537">
                  <c:v>28.4045840652647</c:v>
                </c:pt>
                <c:pt idx="538">
                  <c:v>28.5670858444614</c:v>
                </c:pt>
                <c:pt idx="539">
                  <c:v>28.7378084898412</c:v>
                </c:pt>
                <c:pt idx="540">
                  <c:v>28.9175938159652</c:v>
                </c:pt>
                <c:pt idx="541">
                  <c:v>29.1074014711665</c:v>
                </c:pt>
                <c:pt idx="542">
                  <c:v>29.3083306242674</c:v>
                </c:pt>
                <c:pt idx="543">
                  <c:v>29.5216465747504</c:v>
                </c:pt>
                <c:pt idx="544">
                  <c:v>29.7488136150504</c:v>
                </c:pt>
                <c:pt idx="545">
                  <c:v>29.9915358820028</c:v>
                </c:pt>
                <c:pt idx="546">
                  <c:v>30.2518084770093</c:v>
                </c:pt>
                <c:pt idx="547">
                  <c:v>30.531981851356</c:v>
                </c:pt>
                <c:pt idx="548">
                  <c:v>30.8348433868377</c:v>
                </c:pt>
                <c:pt idx="549">
                  <c:v>31.1637212799648</c:v>
                </c:pt>
                <c:pt idx="550">
                  <c:v>31.5226172231644</c:v>
                </c:pt>
                <c:pt idx="551">
                  <c:v>31.9163757320062</c:v>
                </c:pt>
                <c:pt idx="552">
                  <c:v>32.3508985066806</c:v>
                </c:pt>
                <c:pt idx="553">
                  <c:v>32.8334096816378</c:v>
                </c:pt>
                <c:pt idx="554">
                  <c:v>33.3727660395948</c:v>
                </c:pt>
                <c:pt idx="555">
                  <c:v>33.9797685281096</c:v>
                </c:pt>
                <c:pt idx="556">
                  <c:v>34.6673219693807</c:v>
                </c:pt>
                <c:pt idx="557">
                  <c:v>35.4499813520126</c:v>
                </c:pt>
                <c:pt idx="558">
                  <c:v>36.3415577160288</c:v>
                </c:pt>
                <c:pt idx="559">
                  <c:v>37.3470591715503</c:v>
                </c:pt>
                <c:pt idx="560">
                  <c:v>38.4390981171949</c:v>
                </c:pt>
                <c:pt idx="561">
                  <c:v>39.4979993388974</c:v>
                </c:pt>
                <c:pt idx="562">
                  <c:v>40.208863344273</c:v>
                </c:pt>
                <c:pt idx="563">
                  <c:v>40.0795859481212</c:v>
                </c:pt>
                <c:pt idx="564">
                  <c:v>38.887890685076</c:v>
                </c:pt>
                <c:pt idx="565">
                  <c:v>36.9813268768769</c:v>
                </c:pt>
                <c:pt idx="566">
                  <c:v>34.8187260191426</c:v>
                </c:pt>
                <c:pt idx="567">
                  <c:v>32.6417961350716</c:v>
                </c:pt>
                <c:pt idx="568">
                  <c:v>30.5249322448387</c:v>
                </c:pt>
                <c:pt idx="569">
                  <c:v>28.4703649535333</c:v>
                </c:pt>
                <c:pt idx="570">
                  <c:v>26.4552257888283</c:v>
                </c:pt>
                <c:pt idx="571">
                  <c:v>24.4493130405393</c:v>
                </c:pt>
                <c:pt idx="572">
                  <c:v>22.4219847364761</c:v>
                </c:pt>
                <c:pt idx="573">
                  <c:v>20.3477306493676</c:v>
                </c:pt>
                <c:pt idx="574">
                  <c:v>18.2183910428</c:v>
                </c:pt>
                <c:pt idx="575">
                  <c:v>16.0754988895398</c:v>
                </c:pt>
                <c:pt idx="576">
                  <c:v>14.0825022199386</c:v>
                </c:pt>
                <c:pt idx="577">
                  <c:v>12.6069816502096</c:v>
                </c:pt>
                <c:pt idx="578">
                  <c:v>12.0741225418374</c:v>
                </c:pt>
                <c:pt idx="579">
                  <c:v>12.492070644208</c:v>
                </c:pt>
                <c:pt idx="580">
                  <c:v>13.4345863085507</c:v>
                </c:pt>
                <c:pt idx="581">
                  <c:v>14.516032215563</c:v>
                </c:pt>
                <c:pt idx="582">
                  <c:v>15.5550979826958</c:v>
                </c:pt>
                <c:pt idx="583">
                  <c:v>16.4952665325475</c:v>
                </c:pt>
                <c:pt idx="584">
                  <c:v>17.3302545142602</c:v>
                </c:pt>
                <c:pt idx="585">
                  <c:v>18.0700259871678</c:v>
                </c:pt>
                <c:pt idx="586">
                  <c:v>18.7281481885943</c:v>
                </c:pt>
                <c:pt idx="587">
                  <c:v>19.317582197311</c:v>
                </c:pt>
                <c:pt idx="588">
                  <c:v>19.8495300320872</c:v>
                </c:pt>
                <c:pt idx="589">
                  <c:v>20.3333301461418</c:v>
                </c:pt>
                <c:pt idx="590">
                  <c:v>20.7766743683901</c:v>
                </c:pt>
                <c:pt idx="591">
                  <c:v>21.1858897090284</c:v>
                </c:pt>
                <c:pt idx="592">
                  <c:v>21.5662004502352</c:v>
                </c:pt>
                <c:pt idx="593">
                  <c:v>21.9219482672013</c:v>
                </c:pt>
                <c:pt idx="594">
                  <c:v>22.2567697678559</c:v>
                </c:pt>
                <c:pt idx="595">
                  <c:v>22.5737373927445</c:v>
                </c:pt>
                <c:pt idx="596">
                  <c:v>22.8754707182892</c:v>
                </c:pt>
                <c:pt idx="597">
                  <c:v>23.1642245077169</c:v>
                </c:pt>
                <c:pt idx="598">
                  <c:v>23.4419587151924</c:v>
                </c:pt>
                <c:pt idx="599">
                  <c:v>23.7103945477974</c:v>
                </c:pt>
                <c:pt idx="600">
                  <c:v>23.9710597668037</c:v>
                </c:pt>
                <c:pt idx="601">
                  <c:v>24.2253256801912</c:v>
                </c:pt>
                <c:pt idx="602">
                  <c:v>24.4744377182153</c:v>
                </c:pt>
                <c:pt idx="603">
                  <c:v>24.7195410601294</c:v>
                </c:pt>
                <c:pt idx="604">
                  <c:v>24.961702462528</c:v>
                </c:pt>
                <c:pt idx="605">
                  <c:v>25.2019292033985</c:v>
                </c:pt>
                <c:pt idx="606">
                  <c:v>25.4411858817678</c:v>
                </c:pt>
                <c:pt idx="607">
                  <c:v>25.6804096865951</c:v>
                </c:pt>
                <c:pt idx="608">
                  <c:v>25.920524660044</c:v>
                </c:pt>
                <c:pt idx="609">
                  <c:v>26.1624554222963</c:v>
                </c:pt>
                <c:pt idx="610">
                  <c:v>26.4071407929644</c:v>
                </c:pt>
                <c:pt idx="611">
                  <c:v>26.6555477352405</c:v>
                </c:pt>
                <c:pt idx="612">
                  <c:v>26.9086860622861</c:v>
                </c:pt>
                <c:pt idx="613">
                  <c:v>27.1676243817154</c:v>
                </c:pt>
                <c:pt idx="614">
                  <c:v>27.4335078157302</c:v>
                </c:pt>
                <c:pt idx="615">
                  <c:v>27.7075781256285</c:v>
                </c:pt>
                <c:pt idx="616">
                  <c:v>27.9911969961133</c:v>
                </c:pt>
                <c:pt idx="617">
                  <c:v>28.285873405313</c:v>
                </c:pt>
                <c:pt idx="618">
                  <c:v>28.5932962311514</c:v>
                </c:pt>
                <c:pt idx="619">
                  <c:v>28.9153735358387</c:v>
                </c:pt>
                <c:pt idx="620">
                  <c:v>29.2542803397479</c:v>
                </c:pt>
                <c:pt idx="621">
                  <c:v>29.6125171500339</c:v>
                </c:pt>
                <c:pt idx="622">
                  <c:v>29.9929820350183</c:v>
                </c:pt>
                <c:pt idx="623">
                  <c:v>30.3990595679367</c:v>
                </c:pt>
                <c:pt idx="624">
                  <c:v>30.834730311242</c:v>
                </c:pt>
                <c:pt idx="625">
                  <c:v>31.3047041796711</c:v>
                </c:pt>
                <c:pt idx="626">
                  <c:v>31.8145787916655</c:v>
                </c:pt>
                <c:pt idx="627">
                  <c:v>32.371016864855</c:v>
                </c:pt>
                <c:pt idx="628">
                  <c:v>32.9819177589167</c:v>
                </c:pt>
                <c:pt idx="629">
                  <c:v>33.6565101508679</c:v>
                </c:pt>
                <c:pt idx="630">
                  <c:v>34.4051727867292</c:v>
                </c:pt>
                <c:pt idx="631">
                  <c:v>35.2384914959787</c:v>
                </c:pt>
                <c:pt idx="632">
                  <c:v>36.1643203928246</c:v>
                </c:pt>
                <c:pt idx="633">
                  <c:v>37.1798417116468</c:v>
                </c:pt>
                <c:pt idx="634">
                  <c:v>38.2519144870208</c:v>
                </c:pt>
                <c:pt idx="635">
                  <c:v>39.2749533175356</c:v>
                </c:pt>
                <c:pt idx="636">
                  <c:v>40.0114183743311</c:v>
                </c:pt>
                <c:pt idx="637">
                  <c:v>40.1128969472316</c:v>
                </c:pt>
                <c:pt idx="638">
                  <c:v>39.3795778477239</c:v>
                </c:pt>
                <c:pt idx="639">
                  <c:v>37.9905019088059</c:v>
                </c:pt>
                <c:pt idx="640">
                  <c:v>36.2917890005795</c:v>
                </c:pt>
                <c:pt idx="641">
                  <c:v>34.5258537138784</c:v>
                </c:pt>
                <c:pt idx="642">
                  <c:v>32.8004538118221</c:v>
                </c:pt>
                <c:pt idx="643">
                  <c:v>31.147587482099</c:v>
                </c:pt>
                <c:pt idx="644">
                  <c:v>29.5669561583879</c:v>
                </c:pt>
                <c:pt idx="645">
                  <c:v>28.0464240177372</c:v>
                </c:pt>
                <c:pt idx="646">
                  <c:v>26.5702443203031</c:v>
                </c:pt>
                <c:pt idx="647">
                  <c:v>25.1220194635272</c:v>
                </c:pt>
                <c:pt idx="648">
                  <c:v>23.6855484047927</c:v>
                </c:pt>
                <c:pt idx="649">
                  <c:v>22.2448768716565</c:v>
                </c:pt>
                <c:pt idx="650">
                  <c:v>20.784128507557</c:v>
                </c:pt>
                <c:pt idx="651">
                  <c:v>19.2874770887989</c:v>
                </c:pt>
                <c:pt idx="652">
                  <c:v>17.7397251868611</c:v>
                </c:pt>
                <c:pt idx="653">
                  <c:v>16.1284610761706</c:v>
                </c:pt>
                <c:pt idx="654">
                  <c:v>14.4500496329297</c:v>
                </c:pt>
                <c:pt idx="655">
                  <c:v>12.7244336489278</c:v>
                </c:pt>
                <c:pt idx="656">
                  <c:v>11.0272899785931</c:v>
                </c:pt>
                <c:pt idx="657">
                  <c:v>9.54108097300466</c:v>
                </c:pt>
                <c:pt idx="658">
                  <c:v>8.56766347747154</c:v>
                </c:pt>
                <c:pt idx="659">
                  <c:v>8.35852292615799</c:v>
                </c:pt>
                <c:pt idx="660">
                  <c:v>8.8529891493407</c:v>
                </c:pt>
                <c:pt idx="661">
                  <c:v>9.74713242375722</c:v>
                </c:pt>
                <c:pt idx="662">
                  <c:v>10.7684604177333</c:v>
                </c:pt>
                <c:pt idx="663">
                  <c:v>11.7721791293185</c:v>
                </c:pt>
                <c:pt idx="664">
                  <c:v>12.7023663800924</c:v>
                </c:pt>
                <c:pt idx="665">
                  <c:v>13.5453358579767</c:v>
                </c:pt>
                <c:pt idx="666">
                  <c:v>14.3041513306269</c:v>
                </c:pt>
                <c:pt idx="667">
                  <c:v>14.9874057406323</c:v>
                </c:pt>
                <c:pt idx="668">
                  <c:v>15.6047274982146</c:v>
                </c:pt>
                <c:pt idx="669">
                  <c:v>16.1651332347763</c:v>
                </c:pt>
                <c:pt idx="670">
                  <c:v>16.6765320091655</c:v>
                </c:pt>
                <c:pt idx="671">
                  <c:v>17.1456757163779</c:v>
                </c:pt>
                <c:pt idx="672">
                  <c:v>17.578267189324</c:v>
                </c:pt>
                <c:pt idx="673">
                  <c:v>17.9791101284285</c:v>
                </c:pt>
                <c:pt idx="674">
                  <c:v>18.3522564409998</c:v>
                </c:pt>
                <c:pt idx="675">
                  <c:v>18.7011360095217</c:v>
                </c:pt>
                <c:pt idx="676">
                  <c:v>19.028665763913</c:v>
                </c:pt>
                <c:pt idx="677">
                  <c:v>19.3373394015775</c:v>
                </c:pt>
                <c:pt idx="678">
                  <c:v>19.6293004921831</c:v>
                </c:pt>
                <c:pt idx="679">
                  <c:v>19.9064018616702</c:v>
                </c:pt>
                <c:pt idx="680">
                  <c:v>20.1702538567486</c:v>
                </c:pt>
                <c:pt idx="681">
                  <c:v>20.4222636755427</c:v>
                </c:pt>
                <c:pt idx="682">
                  <c:v>20.663667542395</c:v>
                </c:pt>
                <c:pt idx="683">
                  <c:v>20.8955571500871</c:v>
                </c:pt>
                <c:pt idx="684">
                  <c:v>21.1189015002248</c:v>
                </c:pt>
                <c:pt idx="685">
                  <c:v>21.3345650377907</c:v>
                </c:pt>
                <c:pt idx="686">
                  <c:v>21.5433227901021</c:v>
                </c:pt>
                <c:pt idx="687">
                  <c:v>21.7458730744016</c:v>
                </c:pt>
                <c:pt idx="688">
                  <c:v>21.9428482238209</c:v>
                </c:pt>
                <c:pt idx="689">
                  <c:v>22.1348236917071</c:v>
                </c:pt>
                <c:pt idx="690">
                  <c:v>22.3223258238043</c:v>
                </c:pt>
                <c:pt idx="691">
                  <c:v>22.5058385322913</c:v>
                </c:pt>
                <c:pt idx="692">
                  <c:v>22.6858090618428</c:v>
                </c:pt>
                <c:pt idx="693">
                  <c:v>22.8626530031622</c:v>
                </c:pt>
                <c:pt idx="694">
                  <c:v>23.036758681832</c:v>
                </c:pt>
                <c:pt idx="695">
                  <c:v>23.2084910283322</c:v>
                </c:pt>
                <c:pt idx="696">
                  <c:v>23.3781950175056</c:v>
                </c:pt>
                <c:pt idx="697">
                  <c:v>23.5461987516988</c:v>
                </c:pt>
                <c:pt idx="698">
                  <c:v>23.7128162505697</c:v>
                </c:pt>
                <c:pt idx="699">
                  <c:v>23.8783500015906</c:v>
                </c:pt>
                <c:pt idx="700">
                  <c:v>24.0430933181717</c:v>
                </c:pt>
                <c:pt idx="701">
                  <c:v>24.2073325467469</c:v>
                </c:pt>
                <c:pt idx="702">
                  <c:v>24.3713491598751</c:v>
                </c:pt>
                <c:pt idx="703">
                  <c:v>24.5354217692117</c:v>
                </c:pt>
                <c:pt idx="704">
                  <c:v>24.6998280899697</c:v>
                </c:pt>
                <c:pt idx="705">
                  <c:v>24.8648468871245</c:v>
                </c:pt>
                <c:pt idx="706">
                  <c:v>25.0307599330529</c:v>
                </c:pt>
                <c:pt idx="707">
                  <c:v>25.1978540065246</c:v>
                </c:pt>
                <c:pt idx="708">
                  <c:v>25.3664229639758</c:v>
                </c:pt>
                <c:pt idx="709">
                  <c:v>25.5367699158361</c:v>
                </c:pt>
                <c:pt idx="710">
                  <c:v>25.7092095434164</c:v>
                </c:pt>
                <c:pt idx="711">
                  <c:v>25.8840705956098</c:v>
                </c:pt>
                <c:pt idx="712">
                  <c:v>26.0616986095543</c:v>
                </c:pt>
                <c:pt idx="713">
                  <c:v>26.2424589056588</c:v>
                </c:pt>
                <c:pt idx="714">
                  <c:v>26.4267399152654</c:v>
                </c:pt>
                <c:pt idx="715">
                  <c:v>26.6149569090397</c:v>
                </c:pt>
                <c:pt idx="716">
                  <c:v>26.807556206392</c:v>
                </c:pt>
                <c:pt idx="717">
                  <c:v>27.0050199613638</c:v>
                </c:pt>
                <c:pt idx="718">
                  <c:v>27.2078716391777</c:v>
                </c:pt>
                <c:pt idx="719">
                  <c:v>27.4166823209023</c:v>
                </c:pt>
                <c:pt idx="720">
                  <c:v>27.6320780025377</c:v>
                </c:pt>
                <c:pt idx="721">
                  <c:v>27.8547480906479</c:v>
                </c:pt>
                <c:pt idx="722">
                  <c:v>28.0854553411379</c:v>
                </c:pt>
                <c:pt idx="723">
                  <c:v>28.3250475429563</c:v>
                </c:pt>
                <c:pt idx="724">
                  <c:v>28.5744713167817</c:v>
                </c:pt>
                <c:pt idx="725">
                  <c:v>28.8347884827951</c:v>
                </c:pt>
                <c:pt idx="726">
                  <c:v>29.1071955540481</c:v>
                </c:pt>
                <c:pt idx="727">
                  <c:v>29.3930470345212</c:v>
                </c:pt>
                <c:pt idx="728">
                  <c:v>29.6938833430942</c:v>
                </c:pt>
                <c:pt idx="729">
                  <c:v>30.0114643397381</c:v>
                </c:pt>
                <c:pt idx="730">
                  <c:v>30.3478095785508</c:v>
                </c:pt>
                <c:pt idx="731">
                  <c:v>30.7052465059977</c:v>
                </c:pt>
                <c:pt idx="732">
                  <c:v>31.0864677554218</c:v>
                </c:pt>
                <c:pt idx="733">
                  <c:v>31.4945982317965</c:v>
                </c:pt>
                <c:pt idx="734">
                  <c:v>31.9332713492694</c:v>
                </c:pt>
                <c:pt idx="735">
                  <c:v>32.406710553693</c:v>
                </c:pt>
                <c:pt idx="736">
                  <c:v>32.9198049538306</c:v>
                </c:pt>
                <c:pt idx="737">
                  <c:v>33.4781518166196</c:v>
                </c:pt>
                <c:pt idx="738">
                  <c:v>34.0880036858752</c:v>
                </c:pt>
                <c:pt idx="739">
                  <c:v>34.7559817191744</c:v>
                </c:pt>
                <c:pt idx="740">
                  <c:v>35.4882511188698</c:v>
                </c:pt>
                <c:pt idx="741">
                  <c:v>36.2884979336511</c:v>
                </c:pt>
                <c:pt idx="742">
                  <c:v>37.1533128829483</c:v>
                </c:pt>
                <c:pt idx="743">
                  <c:v>38.0622817679303</c:v>
                </c:pt>
                <c:pt idx="744">
                  <c:v>38.9588071020962</c:v>
                </c:pt>
                <c:pt idx="745">
                  <c:v>39.7214316469192</c:v>
                </c:pt>
                <c:pt idx="746">
                  <c:v>40.1495745673885</c:v>
                </c:pt>
                <c:pt idx="747">
                  <c:v>40.0310567545219</c:v>
                </c:pt>
                <c:pt idx="748">
                  <c:v>39.3021668068902</c:v>
                </c:pt>
                <c:pt idx="749">
                  <c:v>38.1089843743424</c:v>
                </c:pt>
                <c:pt idx="750">
                  <c:v>36.6727110005922</c:v>
                </c:pt>
                <c:pt idx="751">
                  <c:v>35.158531052206</c:v>
                </c:pt>
                <c:pt idx="752">
                  <c:v>33.653366291474</c:v>
                </c:pt>
                <c:pt idx="753">
                  <c:v>32.192276054547</c:v>
                </c:pt>
                <c:pt idx="754">
                  <c:v>30.7837146715891</c:v>
                </c:pt>
                <c:pt idx="755">
                  <c:v>29.4241020414463</c:v>
                </c:pt>
                <c:pt idx="756">
                  <c:v>28.1049119271885</c:v>
                </c:pt>
                <c:pt idx="757">
                  <c:v>26.8158399501193</c:v>
                </c:pt>
                <c:pt idx="758">
                  <c:v>25.5461091539735</c:v>
                </c:pt>
                <c:pt idx="759">
                  <c:v>24.2849300064741</c:v>
                </c:pt>
                <c:pt idx="760">
                  <c:v>23.0216012419061</c:v>
                </c:pt>
                <c:pt idx="761">
                  <c:v>21.7455020981122</c:v>
                </c:pt>
                <c:pt idx="762">
                  <c:v>20.4461503555876</c:v>
                </c:pt>
                <c:pt idx="763">
                  <c:v>19.1135351543021</c:v>
                </c:pt>
                <c:pt idx="764">
                  <c:v>17.7390966203317</c:v>
                </c:pt>
                <c:pt idx="765">
                  <c:v>16.3181029096918</c:v>
                </c:pt>
                <c:pt idx="766">
                  <c:v>14.8549251820591</c:v>
                </c:pt>
                <c:pt idx="767">
                  <c:v>13.3738815735713</c:v>
                </c:pt>
                <c:pt idx="768">
                  <c:v>11.9387625071614</c:v>
                </c:pt>
                <c:pt idx="769">
                  <c:v>10.677790233488</c:v>
                </c:pt>
                <c:pt idx="770">
                  <c:v>9.78440443878592</c:v>
                </c:pt>
                <c:pt idx="771">
                  <c:v>9.43527032389332</c:v>
                </c:pt>
                <c:pt idx="772">
                  <c:v>9.65046266372655</c:v>
                </c:pt>
                <c:pt idx="773">
                  <c:v>10.2734098595709</c:v>
                </c:pt>
                <c:pt idx="774">
                  <c:v>11.1016090242566</c:v>
                </c:pt>
                <c:pt idx="775">
                  <c:v>11.9890149940123</c:v>
                </c:pt>
                <c:pt idx="776">
                  <c:v>12.8578292580794</c:v>
                </c:pt>
                <c:pt idx="777">
                  <c:v>13.6747563657377</c:v>
                </c:pt>
                <c:pt idx="778">
                  <c:v>14.4295263849862</c:v>
                </c:pt>
                <c:pt idx="779">
                  <c:v>15.1223855577871</c:v>
                </c:pt>
                <c:pt idx="780">
                  <c:v>15.7578475524067</c:v>
                </c:pt>
                <c:pt idx="781">
                  <c:v>16.3417887598271</c:v>
                </c:pt>
                <c:pt idx="782">
                  <c:v>16.880170539871</c:v>
                </c:pt>
                <c:pt idx="783">
                  <c:v>17.3785226105044</c:v>
                </c:pt>
                <c:pt idx="784">
                  <c:v>17.8417735878409</c:v>
                </c:pt>
                <c:pt idx="785">
                  <c:v>18.2742343678964</c:v>
                </c:pt>
                <c:pt idx="786">
                  <c:v>18.6796439726628</c:v>
                </c:pt>
                <c:pt idx="787">
                  <c:v>19.061236380303</c:v>
                </c:pt>
                <c:pt idx="788">
                  <c:v>19.4218098796378</c:v>
                </c:pt>
                <c:pt idx="789">
                  <c:v>19.76379130865</c:v>
                </c:pt>
                <c:pt idx="790">
                  <c:v>20.0892925651628</c:v>
                </c:pt>
                <c:pt idx="791">
                  <c:v>20.4001590436697</c:v>
                </c:pt>
                <c:pt idx="792">
                  <c:v>20.698010601511</c:v>
                </c:pt>
                <c:pt idx="793">
                  <c:v>20.9842759869118</c:v>
                </c:pt>
                <c:pt idx="794">
                  <c:v>21.2602217081758</c:v>
                </c:pt>
                <c:pt idx="795">
                  <c:v>21.5269762505603</c:v>
                </c:pt>
                <c:pt idx="796">
                  <c:v>21.7855504326978</c:v>
                </c:pt>
                <c:pt idx="797">
                  <c:v>22.0368545736456</c:v>
                </c:pt>
                <c:pt idx="798">
                  <c:v>22.2817130300104</c:v>
                </c:pt>
                <c:pt idx="799">
                  <c:v>22.5208765655065</c:v>
                </c:pt>
                <c:pt idx="800">
                  <c:v>22.7550329335981</c:v>
                </c:pt>
                <c:pt idx="801">
                  <c:v>22.9848159863837</c:v>
                </c:pt>
                <c:pt idx="802">
                  <c:v>23.2108135677794</c:v>
                </c:pt>
                <c:pt idx="803">
                  <c:v>23.4335744043773</c:v>
                </c:pt>
                <c:pt idx="804">
                  <c:v>23.6536141713127</c:v>
                </c:pt>
                <c:pt idx="805">
                  <c:v>23.8714208815085</c:v>
                </c:pt>
                <c:pt idx="806">
                  <c:v>24.0874597234922</c:v>
                </c:pt>
                <c:pt idx="807">
                  <c:v>24.3021774545436</c:v>
                </c:pt>
                <c:pt idx="808">
                  <c:v>24.5160064414021</c:v>
                </c:pt>
                <c:pt idx="809">
                  <c:v>24.7293684294667</c:v>
                </c:pt>
                <c:pt idx="810">
                  <c:v>24.942678112869</c:v>
                </c:pt>
                <c:pt idx="811">
                  <c:v>25.1563465715892</c:v>
                </c:pt>
                <c:pt idx="812">
                  <c:v>25.3707846376483</c:v>
                </c:pt>
                <c:pt idx="813">
                  <c:v>25.586406250163</c:v>
                </c:pt>
                <c:pt idx="814">
                  <c:v>25.803631858575</c:v>
                </c:pt>
                <c:pt idx="815">
                  <c:v>26.0228919346487</c:v>
                </c:pt>
                <c:pt idx="816">
                  <c:v>26.2446306569005</c:v>
                </c:pt>
                <c:pt idx="817">
                  <c:v>26.4693098360983</c:v>
                </c:pt>
                <c:pt idx="818">
                  <c:v>26.697413157534</c:v>
                </c:pt>
                <c:pt idx="819">
                  <c:v>26.9294508252049</c:v>
                </c:pt>
                <c:pt idx="820">
                  <c:v>27.1659647051843</c:v>
                </c:pt>
                <c:pt idx="821">
                  <c:v>27.4075340807831</c:v>
                </c:pt>
                <c:pt idx="822">
                  <c:v>27.65478215114</c:v>
                </c:pt>
                <c:pt idx="823">
                  <c:v>27.9083834282781</c:v>
                </c:pt>
                <c:pt idx="824">
                  <c:v>28.1690722161299</c:v>
                </c:pt>
                <c:pt idx="825">
                  <c:v>28.4376523892776</c:v>
                </c:pt>
                <c:pt idx="826">
                  <c:v>28.7150087297323</c:v>
                </c:pt>
                <c:pt idx="827">
                  <c:v>29.0021201271148</c:v>
                </c:pt>
                <c:pt idx="828">
                  <c:v>29.300075000213</c:v>
                </c:pt>
                <c:pt idx="829">
                  <c:v>29.6100893530904</c:v>
                </c:pt>
                <c:pt idx="830">
                  <c:v>29.9335279295738</c:v>
                </c:pt>
                <c:pt idx="831">
                  <c:v>30.2719289609039</c:v>
                </c:pt>
                <c:pt idx="832">
                  <c:v>30.6270329821191</c:v>
                </c:pt>
                <c:pt idx="833">
                  <c:v>31.0008160637204</c:v>
                </c:pt>
                <c:pt idx="834">
                  <c:v>31.395527450931</c:v>
                </c:pt>
                <c:pt idx="835">
                  <c:v>31.813730800824</c:v>
                </c:pt>
                <c:pt idx="836">
                  <c:v>32.258346527053</c:v>
                </c:pt>
                <c:pt idx="837">
                  <c:v>32.7326893639963</c:v>
                </c:pt>
                <c:pt idx="838">
                  <c:v>33.240488498825</c:v>
                </c:pt>
                <c:pt idx="839">
                  <c:v>33.7858642259119</c:v>
                </c:pt>
                <c:pt idx="840">
                  <c:v>34.3732085476085</c:v>
                </c:pt>
                <c:pt idx="841">
                  <c:v>35.006864554185</c:v>
                </c:pt>
                <c:pt idx="842">
                  <c:v>35.6903956425096</c:v>
                </c:pt>
                <c:pt idx="843">
                  <c:v>36.4250350377036</c:v>
                </c:pt>
                <c:pt idx="844">
                  <c:v>37.2065410361034</c:v>
                </c:pt>
                <c:pt idx="845">
                  <c:v>38.019124072451</c:v>
                </c:pt>
                <c:pt idx="846">
                  <c:v>38.8247027738461</c:v>
                </c:pt>
                <c:pt idx="847">
                  <c:v>39.5473624794049</c:v>
                </c:pt>
                <c:pt idx="848">
                  <c:v>40.0617118362758</c:v>
                </c:pt>
                <c:pt idx="849">
                  <c:v>40.2124740319934</c:v>
                </c:pt>
                <c:pt idx="850">
                  <c:v>39.8902531807856</c:v>
                </c:pt>
                <c:pt idx="851">
                  <c:v>39.1121871426942</c:v>
                </c:pt>
                <c:pt idx="852">
                  <c:v>38.0068585149635</c:v>
                </c:pt>
                <c:pt idx="853">
                  <c:v>36.7243141156151</c:v>
                </c:pt>
                <c:pt idx="854">
                  <c:v>35.3743895905861</c:v>
                </c:pt>
                <c:pt idx="855">
                  <c:v>34.0187877856154</c:v>
                </c:pt>
                <c:pt idx="856">
                  <c:v>32.6854936832887</c:v>
                </c:pt>
                <c:pt idx="857">
                  <c:v>31.3832973039519</c:v>
                </c:pt>
                <c:pt idx="858">
                  <c:v>30.1111198656124</c:v>
                </c:pt>
                <c:pt idx="859">
                  <c:v>28.8631191151842</c:v>
                </c:pt>
                <c:pt idx="860">
                  <c:v>27.6312962925691</c:v>
                </c:pt>
                <c:pt idx="861">
                  <c:v>26.4068059666108</c:v>
                </c:pt>
                <c:pt idx="862">
                  <c:v>25.1806807808664</c:v>
                </c:pt>
                <c:pt idx="863">
                  <c:v>23.9444188652719</c:v>
                </c:pt>
                <c:pt idx="864">
                  <c:v>22.6908107331351</c:v>
                </c:pt>
                <c:pt idx="865">
                  <c:v>21.4154814390532</c:v>
                </c:pt>
                <c:pt idx="866">
                  <c:v>20.1199075499115</c:v>
                </c:pt>
                <c:pt idx="867">
                  <c:v>18.817122112874</c:v>
                </c:pt>
                <c:pt idx="868">
                  <c:v>17.5415807510522</c:v>
                </c:pt>
                <c:pt idx="869">
                  <c:v>16.3630283891037</c:v>
                </c:pt>
                <c:pt idx="870">
                  <c:v>15.3963362491729</c:v>
                </c:pt>
                <c:pt idx="871">
                  <c:v>14.7835419158301</c:v>
                </c:pt>
                <c:pt idx="872">
                  <c:v>14.6267989572721</c:v>
                </c:pt>
                <c:pt idx="873">
                  <c:v>14.9149802004203</c:v>
                </c:pt>
                <c:pt idx="874">
                  <c:v>15.5317218618695</c:v>
                </c:pt>
                <c:pt idx="875">
                  <c:v>16.3340752536494</c:v>
                </c:pt>
                <c:pt idx="876">
                  <c:v>17.2121774689846</c:v>
                </c:pt>
                <c:pt idx="877">
                  <c:v>18.1006369139761</c:v>
                </c:pt>
                <c:pt idx="878">
                  <c:v>18.9668547787694</c:v>
                </c:pt>
                <c:pt idx="879">
                  <c:v>19.7975306673431</c:v>
                </c:pt>
                <c:pt idx="880">
                  <c:v>20.5894925487364</c:v>
                </c:pt>
                <c:pt idx="881">
                  <c:v>21.3444820783257</c:v>
                </c:pt>
                <c:pt idx="882">
                  <c:v>22.0664193015246</c:v>
                </c:pt>
                <c:pt idx="883">
                  <c:v>22.7600351880565</c:v>
                </c:pt>
                <c:pt idx="884">
                  <c:v>23.4302200424581</c:v>
                </c:pt>
                <c:pt idx="885">
                  <c:v>24.0817376426833</c:v>
                </c:pt>
                <c:pt idx="886">
                  <c:v>24.7191234615968</c:v>
                </c:pt>
                <c:pt idx="887">
                  <c:v>25.3466740630363</c:v>
                </c:pt>
                <c:pt idx="888">
                  <c:v>25.9684805329555</c:v>
                </c:pt>
                <c:pt idx="889">
                  <c:v>26.5884822624169</c:v>
                </c:pt>
                <c:pt idx="890">
                  <c:v>27.2105293498206</c:v>
                </c:pt>
                <c:pt idx="891">
                  <c:v>27.8384478196028</c:v>
                </c:pt>
                <c:pt idx="892">
                  <c:v>28.4761044623919</c:v>
                </c:pt>
                <c:pt idx="893">
                  <c:v>29.1274685827749</c:v>
                </c:pt>
                <c:pt idx="894">
                  <c:v>29.7966665612046</c:v>
                </c:pt>
                <c:pt idx="895">
                  <c:v>30.4880213715618</c:v>
                </c:pt>
                <c:pt idx="896">
                  <c:v>31.2060615115109</c:v>
                </c:pt>
                <c:pt idx="897">
                  <c:v>31.9554689892987</c:v>
                </c:pt>
                <c:pt idx="898">
                  <c:v>32.7409078059414</c:v>
                </c:pt>
                <c:pt idx="899">
                  <c:v>33.5666209555811</c:v>
                </c:pt>
                <c:pt idx="900">
                  <c:v>34.4355841424154</c:v>
                </c:pt>
                <c:pt idx="901">
                  <c:v>35.3478247308215</c:v>
                </c:pt>
                <c:pt idx="902">
                  <c:v>36.2972212287252</c:v>
                </c:pt>
                <c:pt idx="903">
                  <c:v>37.2657420428434</c:v>
                </c:pt>
                <c:pt idx="904">
                  <c:v>38.2141260334097</c:v>
                </c:pt>
                <c:pt idx="905">
                  <c:v>39.0701671029194</c:v>
                </c:pt>
                <c:pt idx="906">
                  <c:v>39.7234495714597</c:v>
                </c:pt>
                <c:pt idx="907">
                  <c:v>40.0471857479632</c:v>
                </c:pt>
                <c:pt idx="908">
                  <c:v>39.9589101067066</c:v>
                </c:pt>
                <c:pt idx="909">
                  <c:v>39.4771273824044</c:v>
                </c:pt>
                <c:pt idx="910">
                  <c:v>38.7077109651739</c:v>
                </c:pt>
                <c:pt idx="911">
                  <c:v>37.7773947916359</c:v>
                </c:pt>
                <c:pt idx="912">
                  <c:v>36.7847655254764</c:v>
                </c:pt>
                <c:pt idx="913">
                  <c:v>35.7901861526279</c:v>
                </c:pt>
                <c:pt idx="914">
                  <c:v>34.8249910723762</c:v>
                </c:pt>
                <c:pt idx="915">
                  <c:v>33.9028549371554</c:v>
                </c:pt>
                <c:pt idx="916">
                  <c:v>33.0278709475207</c:v>
                </c:pt>
                <c:pt idx="917">
                  <c:v>32.1993278237481</c:v>
                </c:pt>
                <c:pt idx="918">
                  <c:v>31.4143098154034</c:v>
                </c:pt>
                <c:pt idx="919">
                  <c:v>30.6690480371234</c:v>
                </c:pt>
                <c:pt idx="920">
                  <c:v>29.9595964574146</c:v>
                </c:pt>
                <c:pt idx="921">
                  <c:v>29.2821526609615</c:v>
                </c:pt>
                <c:pt idx="922">
                  <c:v>28.6331950302635</c:v>
                </c:pt>
                <c:pt idx="923">
                  <c:v>28.0095268968727</c:v>
                </c:pt>
                <c:pt idx="924">
                  <c:v>27.4082750940416</c:v>
                </c:pt>
                <c:pt idx="925">
                  <c:v>26.8268676057554</c:v>
                </c:pt>
                <c:pt idx="926">
                  <c:v>26.2630030257322</c:v>
                </c:pt>
                <c:pt idx="927">
                  <c:v>25.7146182189807</c:v>
                </c:pt>
                <c:pt idx="928">
                  <c:v>25.1798572465787</c:v>
                </c:pt>
                <c:pt idx="929">
                  <c:v>24.6570428690965</c:v>
                </c:pt>
                <c:pt idx="930">
                  <c:v>24.1446510447265</c:v>
                </c:pt>
                <c:pt idx="931">
                  <c:v>23.6412883902812</c:v>
                </c:pt>
                <c:pt idx="932">
                  <c:v>23.1456723652605</c:v>
                </c:pt>
                <c:pt idx="933">
                  <c:v>22.6566138570388</c:v>
                </c:pt>
                <c:pt idx="934">
                  <c:v>22.1730018271424</c:v>
                </c:pt>
                <c:pt idx="935">
                  <c:v>21.6937896912525</c:v>
                </c:pt>
                <c:pt idx="936">
                  <c:v>21.2179831311193</c:v>
                </c:pt>
                <c:pt idx="937">
                  <c:v>20.7446290656046</c:v>
                </c:pt>
                <c:pt idx="938">
                  <c:v>20.2728055358034</c:v>
                </c:pt>
                <c:pt idx="939">
                  <c:v>19.801612283329</c:v>
                </c:pt>
                <c:pt idx="940">
                  <c:v>19.3301618203997</c:v>
                </c:pt>
                <c:pt idx="941">
                  <c:v>18.8575708050323</c:v>
                </c:pt>
                <c:pt idx="942">
                  <c:v>18.3829515444452</c:v>
                </c:pt>
                <c:pt idx="943">
                  <c:v>17.9054034548434</c:v>
                </c:pt>
                <c:pt idx="944">
                  <c:v>17.4240043063322</c:v>
                </c:pt>
                <c:pt idx="945">
                  <c:v>16.9378010780532</c:v>
                </c:pt>
                <c:pt idx="946">
                  <c:v>16.4458002411503</c:v>
                </c:pt>
                <c:pt idx="947">
                  <c:v>15.94695727653</c:v>
                </c:pt>
                <c:pt idx="948">
                  <c:v>15.4401652217495</c:v>
                </c:pt>
                <c:pt idx="949">
                  <c:v>14.9242420289419</c:v>
                </c:pt>
                <c:pt idx="950">
                  <c:v>14.3979165074249</c:v>
                </c:pt>
                <c:pt idx="951">
                  <c:v>13.8598126277205</c:v>
                </c:pt>
                <c:pt idx="952">
                  <c:v>13.3084319909057</c:v>
                </c:pt>
                <c:pt idx="953">
                  <c:v>12.74213434126</c:v>
                </c:pt>
                <c:pt idx="954">
                  <c:v>12.1591161613081</c:v>
                </c:pt>
                <c:pt idx="955">
                  <c:v>11.5573877080039</c:v>
                </c:pt>
                <c:pt idx="956">
                  <c:v>10.9347494541131</c:v>
                </c:pt>
                <c:pt idx="957">
                  <c:v>10.2887700176253</c:v>
                </c:pt>
                <c:pt idx="958">
                  <c:v>9.61676970499808</c:v>
                </c:pt>
                <c:pt idx="959">
                  <c:v>8.9158175070941</c:v>
                </c:pt>
                <c:pt idx="960">
                  <c:v>8.18275613155664</c:v>
                </c:pt>
                <c:pt idx="961">
                  <c:v>7.41428192213757</c:v>
                </c:pt>
                <c:pt idx="962">
                  <c:v>6.60712882716988</c:v>
                </c:pt>
                <c:pt idx="963">
                  <c:v>5.75844596119405</c:v>
                </c:pt>
                <c:pt idx="964">
                  <c:v>4.86653015964003</c:v>
                </c:pt>
                <c:pt idx="965">
                  <c:v>3.93219734360089</c:v>
                </c:pt>
                <c:pt idx="966">
                  <c:v>2.96126383441309</c:v>
                </c:pt>
                <c:pt idx="967">
                  <c:v>1.96881724369637</c:v>
                </c:pt>
                <c:pt idx="968">
                  <c:v>0.985901944811539</c:v>
                </c:pt>
                <c:pt idx="969">
                  <c:v>0.0679763525887898</c:v>
                </c:pt>
                <c:pt idx="970">
                  <c:v>-0.699852523357744</c:v>
                </c:pt>
                <c:pt idx="971">
                  <c:v>-1.21325736120057</c:v>
                </c:pt>
                <c:pt idx="972">
                  <c:v>-1.38645170529672</c:v>
                </c:pt>
                <c:pt idx="973">
                  <c:v>-1.2007513835665</c:v>
                </c:pt>
                <c:pt idx="974">
                  <c:v>-0.717059326054773</c:v>
                </c:pt>
                <c:pt idx="975">
                  <c:v>-0.0377334855162575</c:v>
                </c:pt>
                <c:pt idx="976">
                  <c:v>0.740625982725875</c:v>
                </c:pt>
                <c:pt idx="977">
                  <c:v>1.54930258758178</c:v>
                </c:pt>
                <c:pt idx="978">
                  <c:v>2.34729121950565</c:v>
                </c:pt>
                <c:pt idx="979">
                  <c:v>3.11324589903166</c:v>
                </c:pt>
                <c:pt idx="980">
                  <c:v>3.837760009825</c:v>
                </c:pt>
                <c:pt idx="981">
                  <c:v>4.51806460606099</c:v>
                </c:pt>
                <c:pt idx="982">
                  <c:v>5.15484096658274</c:v>
                </c:pt>
                <c:pt idx="983">
                  <c:v>5.75042490845235</c:v>
                </c:pt>
                <c:pt idx="984">
                  <c:v>6.30783338377617</c:v>
                </c:pt>
                <c:pt idx="985">
                  <c:v>6.83025383025416</c:v>
                </c:pt>
                <c:pt idx="986">
                  <c:v>7.32078771421444</c:v>
                </c:pt>
                <c:pt idx="987">
                  <c:v>7.78233156799152</c:v>
                </c:pt>
                <c:pt idx="988">
                  <c:v>8.21753121705269</c:v>
                </c:pt>
                <c:pt idx="989">
                  <c:v>8.62877399964439</c:v>
                </c:pt>
                <c:pt idx="990">
                  <c:v>9.01819980459097</c:v>
                </c:pt>
                <c:pt idx="991">
                  <c:v>9.38772055927046</c:v>
                </c:pt>
                <c:pt idx="992">
                  <c:v>9.73904264488646</c:v>
                </c:pt>
                <c:pt idx="993">
                  <c:v>10.073689382944</c:v>
                </c:pt>
                <c:pt idx="994">
                  <c:v>10.3930222005544</c:v>
                </c:pt>
                <c:pt idx="995">
                  <c:v>10.6982598784382</c:v>
                </c:pt>
                <c:pt idx="996">
                  <c:v>10.9904957103077</c:v>
                </c:pt>
                <c:pt idx="997">
                  <c:v>11.2707126204542</c:v>
                </c:pt>
                <c:pt idx="998">
                  <c:v>11.5397963901028</c:v>
                </c:pt>
                <c:pt idx="999">
                  <c:v>11.79854718433</c:v>
                </c:pt>
                <c:pt idx="1000">
                  <c:v>12.0476895792814</c:v>
                </c:pt>
                <c:pt idx="1001">
                  <c:v>12.2878812805066</c:v>
                </c:pt>
                <c:pt idx="1002">
                  <c:v>12.5197207065924</c:v>
                </c:pt>
                <c:pt idx="1003">
                  <c:v>12.7437535929129</c:v>
                </c:pt>
                <c:pt idx="1004">
                  <c:v>12.9604787508823</c:v>
                </c:pt>
                <c:pt idx="1005">
                  <c:v>13.170353099901</c:v>
                </c:pt>
                <c:pt idx="1006">
                  <c:v>13.3737960727918</c:v>
                </c:pt>
                <c:pt idx="1007">
                  <c:v>13.5711934810961</c:v>
                </c:pt>
                <c:pt idx="1008">
                  <c:v>13.7629009140844</c:v>
                </c:pt>
                <c:pt idx="1009">
                  <c:v>13.9492467345861</c:v>
                </c:pt>
                <c:pt idx="1010">
                  <c:v>14.1305347255555</c:v>
                </c:pt>
                <c:pt idx="1011">
                  <c:v>14.307046433478</c:v>
                </c:pt>
                <c:pt idx="1012">
                  <c:v>14.4790432480784</c:v>
                </c:pt>
                <c:pt idx="1013">
                  <c:v>14.6467682521617</c:v>
                </c:pt>
                <c:pt idx="1014">
                  <c:v>14.810447870635</c:v>
                </c:pt>
                <c:pt idx="1015">
                  <c:v>14.9702933437026</c:v>
                </c:pt>
                <c:pt idx="1016">
                  <c:v>15.1265020457766</c:v>
                </c:pt>
                <c:pt idx="1017">
                  <c:v>15.2792586687088</c:v>
                </c:pt>
                <c:pt idx="1018">
                  <c:v>15.428736285454</c:v>
                </c:pt>
                <c:pt idx="1019">
                  <c:v>15.575097308134</c:v>
                </c:pt>
                <c:pt idx="1020">
                  <c:v>15.7184943526486</c:v>
                </c:pt>
                <c:pt idx="1021">
                  <c:v>15.8590710204163</c:v>
                </c:pt>
                <c:pt idx="1022">
                  <c:v>15.9969626064801</c:v>
                </c:pt>
                <c:pt idx="1023">
                  <c:v>16.1322967420627</c:v>
                </c:pt>
                <c:pt idx="1024">
                  <c:v>16.2651939786533</c:v>
                </c:pt>
                <c:pt idx="1025">
                  <c:v>16.3957683198542</c:v>
                </c:pt>
                <c:pt idx="1026">
                  <c:v>16.5241277064624</c:v>
                </c:pt>
                <c:pt idx="1027">
                  <c:v>16.6503744596214</c:v>
                </c:pt>
                <c:pt idx="1028">
                  <c:v>16.7746056863143</c:v>
                </c:pt>
                <c:pt idx="1029">
                  <c:v>16.8969136509774</c:v>
                </c:pt>
                <c:pt idx="1030">
                  <c:v>17.0173861165913</c:v>
                </c:pt>
                <c:pt idx="1031">
                  <c:v>17.13610665823</c:v>
                </c:pt>
                <c:pt idx="1032">
                  <c:v>17.2531549517227</c:v>
                </c:pt>
                <c:pt idx="1033">
                  <c:v>17.3686070397951</c:v>
                </c:pt>
                <c:pt idx="1034">
                  <c:v>17.482535577807</c:v>
                </c:pt>
                <c:pt idx="1035">
                  <c:v>17.5950100609795</c:v>
                </c:pt>
                <c:pt idx="1036">
                  <c:v>17.7060970348078</c:v>
                </c:pt>
                <c:pt idx="1037">
                  <c:v>17.8158602901869</c:v>
                </c:pt>
                <c:pt idx="1038">
                  <c:v>17.9243610446195</c:v>
                </c:pt>
                <c:pt idx="1039">
                  <c:v>18.0316581107435</c:v>
                </c:pt>
                <c:pt idx="1040">
                  <c:v>18.1378080532928</c:v>
                </c:pt>
                <c:pt idx="1041">
                  <c:v>18.2428653355027</c:v>
                </c:pt>
                <c:pt idx="1042">
                  <c:v>18.3468824558694</c:v>
                </c:pt>
                <c:pt idx="1043">
                  <c:v>18.4499100760951</c:v>
                </c:pt>
                <c:pt idx="1044">
                  <c:v>18.5519971409696</c:v>
                </c:pt>
                <c:pt idx="1045">
                  <c:v>18.6531909908737</c:v>
                </c:pt>
                <c:pt idx="1046">
                  <c:v>18.7535374675284</c:v>
                </c:pt>
                <c:pt idx="1047">
                  <c:v>18.8530810135618</c:v>
                </c:pt>
                <c:pt idx="1048">
                  <c:v>18.9518647664133</c:v>
                </c:pt>
                <c:pt idx="1049">
                  <c:v>19.0499306470554</c:v>
                </c:pt>
                <c:pt idx="1050">
                  <c:v>19.1473194439715</c:v>
                </c:pt>
                <c:pt idx="1051">
                  <c:v>19.244070892795</c:v>
                </c:pt>
                <c:pt idx="1052">
                  <c:v>19.3402237519818</c:v>
                </c:pt>
                <c:pt idx="1053">
                  <c:v>19.435815874863</c:v>
                </c:pt>
                <c:pt idx="1054">
                  <c:v>19.5308842783959</c:v>
                </c:pt>
                <c:pt idx="1055">
                  <c:v>19.6254652089114</c:v>
                </c:pt>
                <c:pt idx="1056">
                  <c:v>19.7195942051355</c:v>
                </c:pt>
                <c:pt idx="1057">
                  <c:v>19.8133061587424</c:v>
                </c:pt>
                <c:pt idx="1058">
                  <c:v>19.9066353726837</c:v>
                </c:pt>
                <c:pt idx="1059">
                  <c:v>19.999615617521</c:v>
                </c:pt>
                <c:pt idx="1060">
                  <c:v>20.0922801859795</c:v>
                </c:pt>
                <c:pt idx="1061">
                  <c:v>20.1846619459247</c:v>
                </c:pt>
                <c:pt idx="1062">
                  <c:v>20.2767933919608</c:v>
                </c:pt>
                <c:pt idx="1063">
                  <c:v>20.3687066958341</c:v>
                </c:pt>
                <c:pt idx="1064">
                  <c:v>20.4604337558232</c:v>
                </c:pt>
                <c:pt idx="1065">
                  <c:v>20.5520062452879</c:v>
                </c:pt>
                <c:pt idx="1066">
                  <c:v>20.6434556605459</c:v>
                </c:pt>
                <c:pt idx="1067">
                  <c:v>20.7348133682419</c:v>
                </c:pt>
                <c:pt idx="1068">
                  <c:v>20.8261106523696</c:v>
                </c:pt>
                <c:pt idx="1069">
                  <c:v>20.9173787611078</c:v>
                </c:pt>
                <c:pt idx="1070">
                  <c:v>21.0086489536278</c:v>
                </c:pt>
                <c:pt idx="1071">
                  <c:v>21.0999525470322</c:v>
                </c:pt>
                <c:pt idx="1072">
                  <c:v>21.1913209635833</c:v>
                </c:pt>
                <c:pt idx="1073">
                  <c:v>21.2827857783839</c:v>
                </c:pt>
                <c:pt idx="1074">
                  <c:v>21.3743787676739</c:v>
                </c:pt>
                <c:pt idx="1075">
                  <c:v>21.4661319579126</c:v>
                </c:pt>
                <c:pt idx="1076">
                  <c:v>21.5580776758179</c:v>
                </c:pt>
                <c:pt idx="1077">
                  <c:v>21.6502485995442</c:v>
                </c:pt>
                <c:pt idx="1078">
                  <c:v>21.7426778111836</c:v>
                </c:pt>
                <c:pt idx="1079">
                  <c:v>21.8353988507871</c:v>
                </c:pt>
                <c:pt idx="1080">
                  <c:v>21.9284457721097</c:v>
                </c:pt>
                <c:pt idx="1081">
                  <c:v>22.0218532002954</c:v>
                </c:pt>
                <c:pt idx="1082">
                  <c:v>22.1156563917315</c:v>
                </c:pt>
                <c:pt idx="1083">
                  <c:v>22.2098912963151</c:v>
                </c:pt>
                <c:pt idx="1084">
                  <c:v>22.3045946223894</c:v>
                </c:pt>
                <c:pt idx="1085">
                  <c:v>22.39980390463</c:v>
                </c:pt>
                <c:pt idx="1086">
                  <c:v>22.4955575751752</c:v>
                </c:pt>
                <c:pt idx="1087">
                  <c:v>22.5918950383233</c:v>
                </c:pt>
                <c:pt idx="1088">
                  <c:v>22.6888567491402</c:v>
                </c:pt>
                <c:pt idx="1089">
                  <c:v>22.7864842963514</c:v>
                </c:pt>
                <c:pt idx="1090">
                  <c:v>22.8848204899228</c:v>
                </c:pt>
                <c:pt idx="1091">
                  <c:v>22.9839094537704</c:v>
                </c:pt>
                <c:pt idx="1092">
                  <c:v>23.0837967240763</c:v>
                </c:pt>
                <c:pt idx="1093">
                  <c:v>23.1845293537335</c:v>
                </c:pt>
                <c:pt idx="1094">
                  <c:v>23.2861560234895</c:v>
                </c:pt>
                <c:pt idx="1095">
                  <c:v>23.3887271604115</c:v>
                </c:pt>
                <c:pt idx="1096">
                  <c:v>23.4922950643591</c:v>
                </c:pt>
                <c:pt idx="1097">
                  <c:v>23.5969140432133</c:v>
                </c:pt>
                <c:pt idx="1098">
                  <c:v>23.7026405576905</c:v>
                </c:pt>
                <c:pt idx="1099">
                  <c:v>23.8095333766494</c:v>
                </c:pt>
                <c:pt idx="1100">
                  <c:v>23.9176537438973</c:v>
                </c:pt>
                <c:pt idx="1101">
                  <c:v>24.0270655576048</c:v>
                </c:pt>
                <c:pt idx="1102">
                  <c:v>24.137835563557</c:v>
                </c:pt>
                <c:pt idx="1103">
                  <c:v>24.2500335636057</c:v>
                </c:pt>
                <c:pt idx="1104">
                  <c:v>24.3637326408308</c:v>
                </c:pt>
                <c:pt idx="1105">
                  <c:v>24.4790094030961</c:v>
                </c:pt>
                <c:pt idx="1106">
                  <c:v>24.5959442468691</c:v>
                </c:pt>
                <c:pt idx="1107">
                  <c:v>24.7146216433929</c:v>
                </c:pt>
                <c:pt idx="1108">
                  <c:v>24.8351304495436</c:v>
                </c:pt>
                <c:pt idx="1109">
                  <c:v>24.9575642459797</c:v>
                </c:pt>
                <c:pt idx="1110">
                  <c:v>25.082021705508</c:v>
                </c:pt>
                <c:pt idx="1111">
                  <c:v>25.2086069949432</c:v>
                </c:pt>
                <c:pt idx="1112">
                  <c:v>25.3374302141474</c:v>
                </c:pt>
                <c:pt idx="1113">
                  <c:v>25.4686078763963</c:v>
                </c:pt>
                <c:pt idx="1114">
                  <c:v>25.6022634347463</c:v>
                </c:pt>
                <c:pt idx="1115">
                  <c:v>25.7385278596802</c:v>
                </c:pt>
                <c:pt idx="1116">
                  <c:v>25.8775402739972</c:v>
                </c:pt>
                <c:pt idx="1117">
                  <c:v>26.0194486517016</c:v>
                </c:pt>
                <c:pt idx="1118">
                  <c:v>26.1644105885497</c:v>
                </c:pt>
                <c:pt idx="1119">
                  <c:v>26.312594152948</c:v>
                </c:pt>
                <c:pt idx="1120">
                  <c:v>26.4641788270887</c:v>
                </c:pt>
                <c:pt idx="1121">
                  <c:v>26.6193565495699</c:v>
                </c:pt>
                <c:pt idx="1122">
                  <c:v>26.7783328723162</c:v>
                </c:pt>
                <c:pt idx="1123">
                  <c:v>26.9413282464121</c:v>
                </c:pt>
                <c:pt idx="1124">
                  <c:v>27.1085794535173</c:v>
                </c:pt>
                <c:pt idx="1125">
                  <c:v>27.2803412018889</c:v>
                </c:pt>
                <c:pt idx="1126">
                  <c:v>27.4568879087146</c:v>
                </c:pt>
                <c:pt idx="1127">
                  <c:v>27.6385156935084</c:v>
                </c:pt>
                <c:pt idx="1128">
                  <c:v>27.8255446107474</c:v>
                </c:pt>
                <c:pt idx="1129">
                  <c:v>28.0183211537573</c:v>
                </c:pt>
                <c:pt idx="1130">
                  <c:v>28.2172210660668</c:v>
                </c:pt>
                <c:pt idx="1131">
                  <c:v>28.4226525009879</c:v>
                </c:pt>
                <c:pt idx="1132">
                  <c:v>28.6350595749019</c:v>
                </c:pt>
                <c:pt idx="1133">
                  <c:v>28.8549263643864</c:v>
                </c:pt>
                <c:pt idx="1134">
                  <c:v>29.0827814014256</c:v>
                </c:pt>
                <c:pt idx="1135">
                  <c:v>29.3192027237343</c:v>
                </c:pt>
                <c:pt idx="1136">
                  <c:v>29.5648235373485</c:v>
                </c:pt>
                <c:pt idx="1137">
                  <c:v>29.8203385439573</c:v>
                </c:pt>
                <c:pt idx="1138">
                  <c:v>30.0865109724387</c:v>
                </c:pt>
                <c:pt idx="1139">
                  <c:v>30.36418032706</c:v>
                </c:pt>
                <c:pt idx="1140">
                  <c:v>30.6542708146116</c:v>
                </c:pt>
                <c:pt idx="1141">
                  <c:v>30.9578003245507</c:v>
                </c:pt>
                <c:pt idx="1142">
                  <c:v>31.2758896859284</c:v>
                </c:pt>
                <c:pt idx="1143">
                  <c:v>31.6097716732625</c:v>
                </c:pt>
                <c:pt idx="1144">
                  <c:v>31.9607988163807</c:v>
                </c:pt>
                <c:pt idx="1145">
                  <c:v>32.3304483809903</c:v>
                </c:pt>
                <c:pt idx="1146">
                  <c:v>32.7203217528261</c:v>
                </c:pt>
                <c:pt idx="1147">
                  <c:v>33.1321335894705</c:v>
                </c:pt>
                <c:pt idx="1148">
                  <c:v>33.5676830208724</c:v>
                </c:pt>
                <c:pt idx="1149">
                  <c:v>34.0287940914653</c:v>
                </c:pt>
                <c:pt idx="1150">
                  <c:v>34.5172042583173</c:v>
                </c:pt>
                <c:pt idx="1151">
                  <c:v>35.0343660693232</c:v>
                </c:pt>
                <c:pt idx="1152">
                  <c:v>35.5811051818424</c:v>
                </c:pt>
                <c:pt idx="1153">
                  <c:v>36.157043998177</c:v>
                </c:pt>
                <c:pt idx="1154">
                  <c:v>36.759652134935</c:v>
                </c:pt>
                <c:pt idx="1155">
                  <c:v>37.3827295640206</c:v>
                </c:pt>
                <c:pt idx="1156">
                  <c:v>38.0141037713727</c:v>
                </c:pt>
                <c:pt idx="1157">
                  <c:v>38.6324491539391</c:v>
                </c:pt>
                <c:pt idx="1158">
                  <c:v>39.2036928727458</c:v>
                </c:pt>
                <c:pt idx="1159">
                  <c:v>39.6788532300316</c:v>
                </c:pt>
                <c:pt idx="1160">
                  <c:v>39.9972380060775</c:v>
                </c:pt>
                <c:pt idx="1161">
                  <c:v>40.0993860683241</c:v>
                </c:pt>
                <c:pt idx="1162">
                  <c:v>39.948332325296</c:v>
                </c:pt>
                <c:pt idx="1163">
                  <c:v>39.5467142518222</c:v>
                </c:pt>
                <c:pt idx="1164">
                  <c:v>38.9353821010972</c:v>
                </c:pt>
                <c:pt idx="1165">
                  <c:v>38.1747814138072</c:v>
                </c:pt>
                <c:pt idx="1166">
                  <c:v>37.3242912384051</c:v>
                </c:pt>
                <c:pt idx="1167">
                  <c:v>36.4306780430596</c:v>
                </c:pt>
                <c:pt idx="1168">
                  <c:v>35.5258751370857</c:v>
                </c:pt>
                <c:pt idx="1169">
                  <c:v>34.6295071338741</c:v>
                </c:pt>
                <c:pt idx="1170">
                  <c:v>33.7524936949885</c:v>
                </c:pt>
                <c:pt idx="1171">
                  <c:v>32.9001219632424</c:v>
                </c:pt>
                <c:pt idx="1172">
                  <c:v>32.07423461626</c:v>
                </c:pt>
                <c:pt idx="1173">
                  <c:v>31.2746582890546</c:v>
                </c:pt>
                <c:pt idx="1174">
                  <c:v>30.5000925607842</c:v>
                </c:pt>
                <c:pt idx="1175">
                  <c:v>29.7486468314027</c:v>
                </c:pt>
                <c:pt idx="1176">
                  <c:v>29.0181568459962</c:v>
                </c:pt>
                <c:pt idx="1177">
                  <c:v>28.3063663496525</c:v>
                </c:pt>
                <c:pt idx="1178">
                  <c:v>27.6110272200687</c:v>
                </c:pt>
                <c:pt idx="1179">
                  <c:v>26.9299507365581</c:v>
                </c:pt>
                <c:pt idx="1180">
                  <c:v>26.2610297895179</c:v>
                </c:pt>
                <c:pt idx="1181">
                  <c:v>25.6022439783818</c:v>
                </c:pt>
                <c:pt idx="1182">
                  <c:v>24.9516547779593</c:v>
                </c:pt>
                <c:pt idx="1183">
                  <c:v>24.3073950659215</c:v>
                </c:pt>
                <c:pt idx="1184">
                  <c:v>23.6676555584446</c:v>
                </c:pt>
                <c:pt idx="1185">
                  <c:v>23.0306696505208</c:v>
                </c:pt>
                <c:pt idx="1186">
                  <c:v>22.394697535755</c:v>
                </c:pt>
                <c:pt idx="1187">
                  <c:v>21.7580101311434</c:v>
                </c:pt>
                <c:pt idx="1188">
                  <c:v>21.1188731674125</c:v>
                </c:pt>
                <c:pt idx="1189">
                  <c:v>20.4755317823665</c:v>
                </c:pt>
                <c:pt idx="1190">
                  <c:v>19.8261960645657</c:v>
                </c:pt>
                <c:pt idx="1191">
                  <c:v>19.1690282600297</c:v>
                </c:pt>
                <c:pt idx="1192">
                  <c:v>18.502132834236</c:v>
                </c:pt>
                <c:pt idx="1193">
                  <c:v>17.8235513846474</c:v>
                </c:pt>
                <c:pt idx="1194">
                  <c:v>17.1312657113123</c:v>
                </c:pt>
                <c:pt idx="1195">
                  <c:v>16.4232144824373</c:v>
                </c:pt>
                <c:pt idx="1196">
                  <c:v>15.6973323795693</c:v>
                </c:pt>
                <c:pt idx="1197">
                  <c:v>14.951626177055</c:v>
                </c:pt>
                <c:pt idx="1198">
                  <c:v>14.1843111562539</c:v>
                </c:pt>
                <c:pt idx="1199">
                  <c:v>13.3940454247853</c:v>
                </c:pt>
                <c:pt idx="1200">
                  <c:v>12.5803215106721</c:v>
                </c:pt>
                <c:pt idx="1201">
                  <c:v>11.7441061839378</c:v>
                </c:pt>
                <c:pt idx="1202">
                  <c:v>10.8888594869367</c:v>
                </c:pt>
                <c:pt idx="1203">
                  <c:v>10.0220979297821</c:v>
                </c:pt>
                <c:pt idx="1204">
                  <c:v>9.15764335032723</c:v>
                </c:pt>
                <c:pt idx="1205">
                  <c:v>8.31848565822714</c:v>
                </c:pt>
                <c:pt idx="1206">
                  <c:v>7.53953615753159</c:v>
                </c:pt>
                <c:pt idx="1207">
                  <c:v>6.86824005962607</c:v>
                </c:pt>
                <c:pt idx="1208">
                  <c:v>6.35957977700171</c:v>
                </c:pt>
                <c:pt idx="1209">
                  <c:v>6.06284492878542</c:v>
                </c:pt>
                <c:pt idx="1210">
                  <c:v>6.00361828663292</c:v>
                </c:pt>
                <c:pt idx="1211">
                  <c:v>6.17226662978193</c:v>
                </c:pt>
                <c:pt idx="1212">
                  <c:v>6.52835597841007</c:v>
                </c:pt>
                <c:pt idx="1213">
                  <c:v>7.01721443358636</c:v>
                </c:pt>
                <c:pt idx="1214">
                  <c:v>7.58642628992252</c:v>
                </c:pt>
                <c:pt idx="1215">
                  <c:v>8.19465759874788</c:v>
                </c:pt>
                <c:pt idx="1216">
                  <c:v>8.81323632585311</c:v>
                </c:pt>
                <c:pt idx="1217">
                  <c:v>9.42406174833742</c:v>
                </c:pt>
                <c:pt idx="1218">
                  <c:v>10.0166374791778</c:v>
                </c:pt>
                <c:pt idx="1219">
                  <c:v>10.5854934790454</c:v>
                </c:pt>
                <c:pt idx="1220">
                  <c:v>11.1283058740546</c:v>
                </c:pt>
                <c:pt idx="1221">
                  <c:v>11.6446383374707</c:v>
                </c:pt>
                <c:pt idx="1222">
                  <c:v>12.1351384602982</c:v>
                </c:pt>
                <c:pt idx="1223">
                  <c:v>12.6010392889397</c:v>
                </c:pt>
                <c:pt idx="1224">
                  <c:v>13.0438566404088</c:v>
                </c:pt>
                <c:pt idx="1225">
                  <c:v>13.4652090378796</c:v>
                </c:pt>
                <c:pt idx="1226">
                  <c:v>13.866713385886</c:v>
                </c:pt>
                <c:pt idx="1227">
                  <c:v>14.2499269830834</c:v>
                </c:pt>
                <c:pt idx="1228">
                  <c:v>14.6163176289947</c:v>
                </c:pt>
                <c:pt idx="1229">
                  <c:v>14.9672505640566</c:v>
                </c:pt>
                <c:pt idx="1230">
                  <c:v>15.303985312861</c:v>
                </c:pt>
                <c:pt idx="1231">
                  <c:v>15.6276781776664</c:v>
                </c:pt>
                <c:pt idx="1232">
                  <c:v>15.9393877839165</c:v>
                </c:pt>
                <c:pt idx="1233">
                  <c:v>16.240082103138</c:v>
                </c:pt>
                <c:pt idx="1234">
                  <c:v>16.5306460123416</c:v>
                </c:pt>
                <c:pt idx="1235">
                  <c:v>16.8118888412589</c:v>
                </c:pt>
                <c:pt idx="1236">
                  <c:v>17.0845516008366</c:v>
                </c:pt>
                <c:pt idx="1237">
                  <c:v>17.3493137349183</c:v>
                </c:pt>
                <c:pt idx="1238">
                  <c:v>17.6067993271101</c:v>
                </c:pt>
                <c:pt idx="1239">
                  <c:v>17.8575827483657</c:v>
                </c:pt>
                <c:pt idx="1240">
                  <c:v>18.1021937615994</c:v>
                </c:pt>
                <c:pt idx="1241">
                  <c:v>18.3411221162658</c:v>
                </c:pt>
                <c:pt idx="1242">
                  <c:v>18.5748216738017</c:v>
                </c:pt>
                <c:pt idx="1243">
                  <c:v>18.8037141075299</c:v>
                </c:pt>
                <c:pt idx="1244">
                  <c:v>19.0281922202551</c:v>
                </c:pt>
                <c:pt idx="1245">
                  <c:v>19.2486229206855</c:v>
                </c:pt>
                <c:pt idx="1246">
                  <c:v>19.4653498968446</c:v>
                </c:pt>
                <c:pt idx="1247">
                  <c:v>19.6786960213025</c:v>
                </c:pt>
                <c:pt idx="1248">
                  <c:v>19.88896551968</c:v>
                </c:pt>
                <c:pt idx="1249">
                  <c:v>20.0964459306228</c:v>
                </c:pt>
                <c:pt idx="1250">
                  <c:v>20.3014098824201</c:v>
                </c:pt>
                <c:pt idx="1251">
                  <c:v>20.5041167086829</c:v>
                </c:pt>
                <c:pt idx="1252">
                  <c:v>20.7048139230273</c:v>
                </c:pt>
                <c:pt idx="1253">
                  <c:v>20.9037385705149</c:v>
                </c:pt>
                <c:pt idx="1254">
                  <c:v>21.1011184716736</c:v>
                </c:pt>
                <c:pt idx="1255">
                  <c:v>21.2971733732437</c:v>
                </c:pt>
                <c:pt idx="1256">
                  <c:v>21.4921160183323</c:v>
                </c:pt>
                <c:pt idx="1257">
                  <c:v>21.6861531474078</c:v>
                </c:pt>
                <c:pt idx="1258">
                  <c:v>21.8794864404936</c:v>
                </c:pt>
                <c:pt idx="1259">
                  <c:v>22.0723134100147</c:v>
                </c:pt>
                <c:pt idx="1260">
                  <c:v>22.2648282529909</c:v>
                </c:pt>
                <c:pt idx="1261">
                  <c:v>22.4572226706509</c:v>
                </c:pt>
                <c:pt idx="1262">
                  <c:v>22.6496866630381</c:v>
                </c:pt>
                <c:pt idx="1263">
                  <c:v>22.842409305797</c:v>
                </c:pt>
                <c:pt idx="1264">
                  <c:v>23.0355795160447</c:v>
                </c:pt>
                <c:pt idx="1265">
                  <c:v>23.2293868140533</c:v>
                </c:pt>
                <c:pt idx="1266">
                  <c:v>23.4240220873861</c:v>
                </c:pt>
                <c:pt idx="1267">
                  <c:v>23.619678364137</c:v>
                </c:pt>
                <c:pt idx="1268">
                  <c:v>23.8165516020279</c:v>
                </c:pt>
                <c:pt idx="1269">
                  <c:v>24.0148415003119</c:v>
                </c:pt>
                <c:pt idx="1270">
                  <c:v>24.2147523417274</c:v>
                </c:pt>
                <c:pt idx="1271">
                  <c:v>24.4164938721364</c:v>
                </c:pt>
                <c:pt idx="1272">
                  <c:v>24.6202822259815</c:v>
                </c:pt>
                <c:pt idx="1273">
                  <c:v>24.826340906303</c:v>
                </c:pt>
                <c:pt idx="1274">
                  <c:v>25.0349018287864</c:v>
                </c:pt>
                <c:pt idx="1275">
                  <c:v>25.2462064401617</c:v>
                </c:pt>
                <c:pt idx="1276">
                  <c:v>25.4605069222635</c:v>
                </c:pt>
                <c:pt idx="1277">
                  <c:v>25.6780674941836</c:v>
                </c:pt>
                <c:pt idx="1278">
                  <c:v>25.8991658262162</c:v>
                </c:pt>
                <c:pt idx="1279">
                  <c:v>26.1240945807006</c:v>
                </c:pt>
                <c:pt idx="1280">
                  <c:v>26.3531630964037</c:v>
                </c:pt>
                <c:pt idx="1281">
                  <c:v>26.5866992347245</c:v>
                </c:pt>
                <c:pt idx="1282">
                  <c:v>26.825051407697</c:v>
                </c:pt>
                <c:pt idx="1283">
                  <c:v>27.0685908094425</c:v>
                </c:pt>
                <c:pt idx="1284">
                  <c:v>27.3177138742235</c:v>
                </c:pt>
                <c:pt idx="1285">
                  <c:v>27.5728449853828</c:v>
                </c:pt>
                <c:pt idx="1286">
                  <c:v>27.8344394598492</c:v>
                </c:pt>
                <c:pt idx="1287">
                  <c:v>28.1029868320425</c:v>
                </c:pt>
                <c:pt idx="1288">
                  <c:v>28.3790144580858</c:v>
                </c:pt>
                <c:pt idx="1289">
                  <c:v>28.6630914549934</c:v>
                </c:pt>
                <c:pt idx="1290">
                  <c:v>28.9558329780378</c:v>
                </c:pt>
                <c:pt idx="1291">
                  <c:v>29.2579048198943</c:v>
                </c:pt>
                <c:pt idx="1292">
                  <c:v>29.5700282829716</c:v>
                </c:pt>
                <c:pt idx="1293">
                  <c:v>29.8929852247262</c:v>
                </c:pt>
                <c:pt idx="1294">
                  <c:v>30.2276230942513</c:v>
                </c:pt>
                <c:pt idx="1295">
                  <c:v>30.5748596508122</c:v>
                </c:pt>
                <c:pt idx="1296">
                  <c:v>30.9356868562083</c:v>
                </c:pt>
                <c:pt idx="1297">
                  <c:v>31.3111731238439</c:v>
                </c:pt>
                <c:pt idx="1298">
                  <c:v>31.7024626273307</c:v>
                </c:pt>
                <c:pt idx="1299">
                  <c:v>32.1107696251864</c:v>
                </c:pt>
                <c:pt idx="1300">
                  <c:v>32.5373645970685</c:v>
                </c:pt>
                <c:pt idx="1301">
                  <c:v>32.9835471796793</c:v>
                </c:pt>
                <c:pt idx="1302">
                  <c:v>33.4505980808685</c:v>
                </c:pt>
                <c:pt idx="1303">
                  <c:v>33.9396978022258</c:v>
                </c:pt>
                <c:pt idx="1304">
                  <c:v>34.4517933401752</c:v>
                </c:pt>
                <c:pt idx="1305">
                  <c:v>34.9873840433951</c:v>
                </c:pt>
                <c:pt idx="1306">
                  <c:v>35.546183403297</c:v>
                </c:pt>
                <c:pt idx="1307">
                  <c:v>36.1265944020185</c:v>
                </c:pt>
                <c:pt idx="1308">
                  <c:v>36.7249148885561</c:v>
                </c:pt>
                <c:pt idx="1309">
                  <c:v>37.3341780355758</c:v>
                </c:pt>
                <c:pt idx="1310">
                  <c:v>37.9425643561475</c:v>
                </c:pt>
                <c:pt idx="1311">
                  <c:v>38.5314697085503</c:v>
                </c:pt>
                <c:pt idx="1312">
                  <c:v>39.0736999710265</c:v>
                </c:pt>
                <c:pt idx="1313">
                  <c:v>39.5329772023379</c:v>
                </c:pt>
                <c:pt idx="1314">
                  <c:v>39.8667274999058</c:v>
                </c:pt>
                <c:pt idx="1315">
                  <c:v>40.0338906823429</c:v>
                </c:pt>
                <c:pt idx="1316">
                  <c:v>40.0067184933207</c:v>
                </c:pt>
                <c:pt idx="1317">
                  <c:v>39.7809634525429</c:v>
                </c:pt>
                <c:pt idx="1318">
                  <c:v>39.3775825069188</c:v>
                </c:pt>
                <c:pt idx="1319">
                  <c:v>38.8346693938007</c:v>
                </c:pt>
                <c:pt idx="1320">
                  <c:v>38.1953739285743</c:v>
                </c:pt>
                <c:pt idx="1321">
                  <c:v>37.4984805948635</c:v>
                </c:pt>
                <c:pt idx="1322">
                  <c:v>36.7741222958762</c:v>
                </c:pt>
                <c:pt idx="1323">
                  <c:v>36.0434575516379</c:v>
                </c:pt>
                <c:pt idx="1324">
                  <c:v>35.3202250729242</c:v>
                </c:pt>
                <c:pt idx="1325">
                  <c:v>34.6127139740334</c:v>
                </c:pt>
                <c:pt idx="1326">
                  <c:v>33.9254840718486</c:v>
                </c:pt>
                <c:pt idx="1327">
                  <c:v>33.2606601162439</c:v>
                </c:pt>
                <c:pt idx="1328">
                  <c:v>32.6188335877952</c:v>
                </c:pt>
                <c:pt idx="1329">
                  <c:v>31.9996640985957</c:v>
                </c:pt>
                <c:pt idx="1330">
                  <c:v>31.4022696653691</c:v>
                </c:pt>
                <c:pt idx="1331">
                  <c:v>30.8254751216085</c:v>
                </c:pt>
                <c:pt idx="1332">
                  <c:v>30.2679675729238</c:v>
                </c:pt>
                <c:pt idx="1333">
                  <c:v>29.7283918277575</c:v>
                </c:pt>
                <c:pt idx="1334">
                  <c:v>29.2054074313309</c:v>
                </c:pt>
                <c:pt idx="1335">
                  <c:v>28.6977213188198</c:v>
                </c:pt>
                <c:pt idx="1336">
                  <c:v>28.2041051081475</c:v>
                </c:pt>
                <c:pt idx="1337">
                  <c:v>27.7234028166802</c:v>
                </c:pt>
                <c:pt idx="1338">
                  <c:v>27.2545327023571</c:v>
                </c:pt>
                <c:pt idx="1339">
                  <c:v>26.7964855907904</c:v>
                </c:pt>
                <c:pt idx="1340">
                  <c:v>26.3483211894316</c:v>
                </c:pt>
                <c:pt idx="1341">
                  <c:v>25.9091633364828</c:v>
                </c:pt>
                <c:pt idx="1342">
                  <c:v>25.4781947759955</c:v>
                </c:pt>
                <c:pt idx="1343">
                  <c:v>25.0546518212482</c:v>
                </c:pt>
                <c:pt idx="1344">
                  <c:v>24.6378191210426</c:v>
                </c:pt>
                <c:pt idx="1345">
                  <c:v>24.2270246490813</c:v>
                </c:pt>
                <c:pt idx="1346">
                  <c:v>23.8216349764603</c:v>
                </c:pt>
                <c:pt idx="1347">
                  <c:v>23.4210508494541</c:v>
                </c:pt>
                <c:pt idx="1348">
                  <c:v>23.0247030713579</c:v>
                </c:pt>
                <c:pt idx="1349">
                  <c:v>22.6320486730655</c:v>
                </c:pt>
                <c:pt idx="1350">
                  <c:v>22.2425673489604</c:v>
                </c:pt>
                <c:pt idx="1351">
                  <c:v>21.8557581303931</c:v>
                </c:pt>
                <c:pt idx="1352">
                  <c:v>21.4711362670719</c:v>
                </c:pt>
                <c:pt idx="1353">
                  <c:v>21.0882302861694</c:v>
                </c:pt>
                <c:pt idx="1354">
                  <c:v>20.7065791992204</c:v>
                </c:pt>
                <c:pt idx="1355">
                  <c:v>20.3257298275758</c:v>
                </c:pt>
                <c:pt idx="1356">
                  <c:v>19.9452342180083</c:v>
                </c:pt>
                <c:pt idx="1357">
                  <c:v>19.5646471208965</c:v>
                </c:pt>
                <c:pt idx="1358">
                  <c:v>19.1835235041431</c:v>
                </c:pt>
                <c:pt idx="1359">
                  <c:v>18.8014160765743</c:v>
                </c:pt>
                <c:pt idx="1360">
                  <c:v>18.4178727950055</c:v>
                </c:pt>
                <c:pt idx="1361">
                  <c:v>18.0324343294811</c:v>
                </c:pt>
                <c:pt idx="1362">
                  <c:v>17.6446314614633</c:v>
                </c:pt>
                <c:pt idx="1363">
                  <c:v>17.2539823900599</c:v>
                </c:pt>
                <c:pt idx="1364">
                  <c:v>16.8599899219242</c:v>
                </c:pt>
                <c:pt idx="1365">
                  <c:v>16.4621385214802</c:v>
                </c:pt>
                <c:pt idx="1366">
                  <c:v>16.0598912000019</c:v>
                </c:pt>
                <c:pt idx="1367">
                  <c:v>15.6526862253778</c:v>
                </c:pt>
                <c:pt idx="1368">
                  <c:v>15.2399336399524</c:v>
                </c:pt>
                <c:pt idx="1369">
                  <c:v>14.8210115828963</c:v>
                </c:pt>
                <c:pt idx="1370">
                  <c:v>14.3952624279745</c:v>
                </c:pt>
                <c:pt idx="1371">
                  <c:v>13.9619887700853</c:v>
                </c:pt>
                <c:pt idx="1372">
                  <c:v>13.5204493286753</c:v>
                </c:pt>
                <c:pt idx="1373">
                  <c:v>13.0698548892334</c:v>
                </c:pt>
                <c:pt idx="1374">
                  <c:v>12.6093644848435</c:v>
                </c:pt>
                <c:pt idx="1375">
                  <c:v>12.1380821422209</c:v>
                </c:pt>
                <c:pt idx="1376">
                  <c:v>11.6550547020557</c:v>
                </c:pt>
                <c:pt idx="1377">
                  <c:v>11.1592715041229</c:v>
                </c:pt>
                <c:pt idx="1378">
                  <c:v>10.649667152733</c:v>
                </c:pt>
                <c:pt idx="1379">
                  <c:v>10.1251292226571</c:v>
                </c:pt>
                <c:pt idx="1380">
                  <c:v>9.58451374361298</c:v>
                </c:pt>
                <c:pt idx="1381">
                  <c:v>9.02667278460184</c:v>
                </c:pt>
                <c:pt idx="1382">
                  <c:v>8.45050070315135</c:v>
                </c:pt>
                <c:pt idx="1383">
                  <c:v>7.85500899742454</c:v>
                </c:pt>
                <c:pt idx="1384">
                  <c:v>7.2394447045778</c:v>
                </c:pt>
                <c:pt idx="1385">
                  <c:v>6.60347453905398</c:v>
                </c:pt>
                <c:pt idx="1386">
                  <c:v>5.94746700131621</c:v>
                </c:pt>
                <c:pt idx="1387">
                  <c:v>5.27291739106917</c:v>
                </c:pt>
                <c:pt idx="1388">
                  <c:v>4.58307368359456</c:v>
                </c:pt>
                <c:pt idx="1389">
                  <c:v>3.88382641245222</c:v>
                </c:pt>
                <c:pt idx="1390">
                  <c:v>3.18490207524622</c:v>
                </c:pt>
                <c:pt idx="1391">
                  <c:v>2.50130326570937</c:v>
                </c:pt>
                <c:pt idx="1392">
                  <c:v>1.85469952956803</c:v>
                </c:pt>
                <c:pt idx="1393">
                  <c:v>1.27403421678048</c:v>
                </c:pt>
                <c:pt idx="1394">
                  <c:v>0.794085215814637</c:v>
                </c:pt>
                <c:pt idx="1395">
                  <c:v>0.450644558120659</c:v>
                </c:pt>
                <c:pt idx="1396">
                  <c:v>0.27229668319424</c:v>
                </c:pt>
                <c:pt idx="1397">
                  <c:v>0.271620915974492</c:v>
                </c:pt>
                <c:pt idx="1398">
                  <c:v>0.440713759662</c:v>
                </c:pt>
                <c:pt idx="1399">
                  <c:v>0.754027786633852</c:v>
                </c:pt>
                <c:pt idx="1400">
                  <c:v>1.17659266704793</c:v>
                </c:pt>
                <c:pt idx="1401">
                  <c:v>1.67274864841993</c:v>
                </c:pt>
                <c:pt idx="1402">
                  <c:v>2.21186425259704</c:v>
                </c:pt>
                <c:pt idx="1403">
                  <c:v>2.77047966849328</c:v>
                </c:pt>
                <c:pt idx="1404">
                  <c:v>3.33205639071656</c:v>
                </c:pt>
                <c:pt idx="1405">
                  <c:v>3.88568601399364</c:v>
                </c:pt>
                <c:pt idx="1406">
                  <c:v>4.42462183472336</c:v>
                </c:pt>
                <c:pt idx="1407">
                  <c:v>4.94501534348775</c:v>
                </c:pt>
                <c:pt idx="1408">
                  <c:v>5.44495548220353</c:v>
                </c:pt>
                <c:pt idx="1409">
                  <c:v>5.92378525515703</c:v>
                </c:pt>
                <c:pt idx="1410">
                  <c:v>6.3816343782054</c:v>
                </c:pt>
                <c:pt idx="1411">
                  <c:v>6.81910755301476</c:v>
                </c:pt>
                <c:pt idx="1412">
                  <c:v>7.23708018433744</c:v>
                </c:pt>
                <c:pt idx="1413">
                  <c:v>7.63656648940448</c:v>
                </c:pt>
                <c:pt idx="1414">
                  <c:v>8.01863567885748</c:v>
                </c:pt>
                <c:pt idx="1415">
                  <c:v>8.38435976428117</c:v>
                </c:pt>
                <c:pt idx="1416">
                  <c:v>8.73478203009531</c:v>
                </c:pt>
                <c:pt idx="1417">
                  <c:v>9.07089891865844</c:v>
                </c:pt>
                <c:pt idx="1418">
                  <c:v>9.39365055192598</c:v>
                </c:pt>
                <c:pt idx="1419">
                  <c:v>9.70391675044019</c:v>
                </c:pt>
                <c:pt idx="1420">
                  <c:v>10.0025164904065</c:v>
                </c:pt>
                <c:pt idx="1421">
                  <c:v>10.2902094513244</c:v>
                </c:pt>
                <c:pt idx="1422">
                  <c:v>10.5676987758611</c:v>
                </c:pt>
                <c:pt idx="1423">
                  <c:v>10.8356344732654</c:v>
                </c:pt>
                <c:pt idx="1424">
                  <c:v>11.0946171020252</c:v>
                </c:pt>
                <c:pt idx="1425">
                  <c:v>11.3452015023947</c:v>
                </c:pt>
                <c:pt idx="1426">
                  <c:v>11.5879004383255</c:v>
                </c:pt>
                <c:pt idx="1427">
                  <c:v>11.8231880667074</c:v>
                </c:pt>
                <c:pt idx="1428">
                  <c:v>12.0515031898934</c:v>
                </c:pt>
                <c:pt idx="1429">
                  <c:v>12.2732522720356</c:v>
                </c:pt>
                <c:pt idx="1430">
                  <c:v>12.4888122153198</c:v>
                </c:pt>
                <c:pt idx="1431">
                  <c:v>12.6985329017777</c:v>
                </c:pt>
                <c:pt idx="1432">
                  <c:v>12.9027395119946</c:v>
                </c:pt>
                <c:pt idx="1433">
                  <c:v>13.1017346350772</c:v>
                </c:pt>
                <c:pt idx="1434">
                  <c:v>13.2958001856125</c:v>
                </c:pt>
                <c:pt idx="1435">
                  <c:v>13.4851991436358</c:v>
                </c:pt>
                <c:pt idx="1436">
                  <c:v>13.6701771332548</c:v>
                </c:pt>
                <c:pt idx="1437">
                  <c:v>13.8509638548099</c:v>
                </c:pt>
                <c:pt idx="1438">
                  <c:v>14.0277743844705</c:v>
                </c:pt>
                <c:pt idx="1439">
                  <c:v>14.2008103540904</c:v>
                </c:pt>
                <c:pt idx="1440">
                  <c:v>14.3702610230503</c:v>
                </c:pt>
                <c:pt idx="1441">
                  <c:v>14.5363042527421</c:v>
                </c:pt>
                <c:pt idx="1442">
                  <c:v>14.6991073933338</c:v>
                </c:pt>
                <c:pt idx="1443">
                  <c:v>14.8588280915004</c:v>
                </c:pt>
                <c:pt idx="1444">
                  <c:v>15.015615026937</c:v>
                </c:pt>
                <c:pt idx="1445">
                  <c:v>15.169608584668</c:v>
                </c:pt>
                <c:pt idx="1446">
                  <c:v>15.3209414694456</c:v>
                </c:pt>
                <c:pt idx="1447">
                  <c:v>15.4697392678796</c:v>
                </c:pt>
                <c:pt idx="1448">
                  <c:v>15.6161209633539</c:v>
                </c:pt>
                <c:pt idx="1449">
                  <c:v>15.7601994082621</c:v>
                </c:pt>
                <c:pt idx="1450">
                  <c:v>15.9020817576241</c:v>
                </c:pt>
                <c:pt idx="1451">
                  <c:v>16.0418698677287</c:v>
                </c:pt>
                <c:pt idx="1452">
                  <c:v>16.1796606630728</c:v>
                </c:pt>
                <c:pt idx="1453">
                  <c:v>16.3155464745333</c:v>
                </c:pt>
                <c:pt idx="1454">
                  <c:v>16.449615351414</c:v>
                </c:pt>
                <c:pt idx="1455">
                  <c:v>16.5819513497407</c:v>
                </c:pt>
                <c:pt idx="1456">
                  <c:v>16.7126347989456</c:v>
                </c:pt>
                <c:pt idx="1457">
                  <c:v>16.8417425488678</c:v>
                </c:pt>
                <c:pt idx="1458">
                  <c:v>16.9693481988107</c:v>
                </c:pt>
                <c:pt idx="1459">
                  <c:v>17.0955223102284</c:v>
                </c:pt>
                <c:pt idx="1460">
                  <c:v>17.2203326044622</c:v>
                </c:pt>
                <c:pt idx="1461">
                  <c:v>17.3438441468155</c:v>
                </c:pt>
                <c:pt idx="1462">
                  <c:v>17.4661195181336</c:v>
                </c:pt>
                <c:pt idx="1463">
                  <c:v>17.5872189749485</c:v>
                </c:pt>
                <c:pt idx="1464">
                  <c:v>17.7072005991504</c:v>
                </c:pt>
                <c:pt idx="1465">
                  <c:v>17.8261204380637</c:v>
                </c:pt>
                <c:pt idx="1466">
                  <c:v>17.9440326357244</c:v>
                </c:pt>
                <c:pt idx="1467">
                  <c:v>18.0609895560892</c:v>
                </c:pt>
                <c:pt idx="1468">
                  <c:v>18.1770418988404</c:v>
                </c:pt>
                <c:pt idx="1469">
                  <c:v>18.292238808397</c:v>
                </c:pt>
                <c:pt idx="1470">
                  <c:v>18.4066279766899</c:v>
                </c:pt>
                <c:pt idx="1471">
                  <c:v>18.5202557402146</c:v>
                </c:pt>
                <c:pt idx="1472">
                  <c:v>18.6331671718309</c:v>
                </c:pt>
                <c:pt idx="1473">
                  <c:v>18.7454061677468</c:v>
                </c:pt>
                <c:pt idx="1474">
                  <c:v>18.8570155300834</c:v>
                </c:pt>
                <c:pt idx="1475">
                  <c:v>18.9680370453951</c:v>
                </c:pt>
                <c:pt idx="1476">
                  <c:v>19.0785115594852</c:v>
                </c:pt>
                <c:pt idx="1477">
                  <c:v>19.1884790488373</c:v>
                </c:pt>
                <c:pt idx="1478">
                  <c:v>19.2979786889589</c:v>
                </c:pt>
                <c:pt idx="1479">
                  <c:v>19.4070489199132</c:v>
                </c:pt>
                <c:pt idx="1480">
                  <c:v>19.5157275092984</c:v>
                </c:pt>
                <c:pt idx="1481">
                  <c:v>19.6240516129188</c:v>
                </c:pt>
                <c:pt idx="1482">
                  <c:v>19.7320578333731</c:v>
                </c:pt>
                <c:pt idx="1483">
                  <c:v>19.83978227678</c:v>
                </c:pt>
                <c:pt idx="1484">
                  <c:v>19.9472606078422</c:v>
                </c:pt>
                <c:pt idx="1485">
                  <c:v>20.0545281034462</c:v>
                </c:pt>
                <c:pt idx="1486">
                  <c:v>20.1616197049818</c:v>
                </c:pt>
                <c:pt idx="1487">
                  <c:v>20.2685700695618</c:v>
                </c:pt>
                <c:pt idx="1488">
                  <c:v>20.3754136203124</c:v>
                </c:pt>
                <c:pt idx="1489">
                  <c:v>20.4821845959017</c:v>
                </c:pt>
                <c:pt idx="1490">
                  <c:v>20.5889170994687</c:v>
                </c:pt>
                <c:pt idx="1491">
                  <c:v>20.6956451471105</c:v>
                </c:pt>
                <c:pt idx="1492">
                  <c:v>20.8024027160855</c:v>
                </c:pt>
                <c:pt idx="1493">
                  <c:v>20.9092237928851</c:v>
                </c:pt>
                <c:pt idx="1494">
                  <c:v>21.0161424213295</c:v>
                </c:pt>
                <c:pt idx="1495">
                  <c:v>21.1231927508398</c:v>
                </c:pt>
                <c:pt idx="1496">
                  <c:v>21.2304090850418</c:v>
                </c:pt>
                <c:pt idx="1497">
                  <c:v>21.3378259308579</c:v>
                </c:pt>
                <c:pt idx="1498">
                  <c:v>21.4454780482457</c:v>
                </c:pt>
                <c:pt idx="1499">
                  <c:v>21.5534005007469</c:v>
                </c:pt>
                <c:pt idx="1500">
                  <c:v>21.6616287070123</c:v>
                </c:pt>
                <c:pt idx="1501">
                  <c:v>21.7701984934777</c:v>
                </c:pt>
                <c:pt idx="1502">
                  <c:v>21.8791461483674</c:v>
                </c:pt>
                <c:pt idx="1503">
                  <c:v>21.9885084772144</c:v>
                </c:pt>
                <c:pt idx="1504">
                  <c:v>22.0983228600915</c:v>
                </c:pt>
                <c:pt idx="1505">
                  <c:v>22.2086273107594</c:v>
                </c:pt>
                <c:pt idx="1506">
                  <c:v>22.3194605379488</c:v>
                </c:pt>
                <c:pt idx="1507">
                  <c:v>22.4308620090053</c:v>
                </c:pt>
                <c:pt idx="1508">
                  <c:v>22.5428720161416</c:v>
                </c:pt>
                <c:pt idx="1509">
                  <c:v>22.6555317455567</c:v>
                </c:pt>
                <c:pt idx="1510">
                  <c:v>22.7688833496977</c:v>
                </c:pt>
                <c:pt idx="1511">
                  <c:v>22.8829700229638</c:v>
                </c:pt>
                <c:pt idx="1512">
                  <c:v>22.9978360811685</c:v>
                </c:pt>
                <c:pt idx="1513">
                  <c:v>23.1135270451043</c:v>
                </c:pt>
                <c:pt idx="1514">
                  <c:v>23.2300897285791</c:v>
                </c:pt>
                <c:pt idx="1515">
                  <c:v>23.3475723313222</c:v>
                </c:pt>
                <c:pt idx="1516">
                  <c:v>23.4660245371935</c:v>
                </c:pt>
                <c:pt idx="1517">
                  <c:v>23.585497618161</c:v>
                </c:pt>
                <c:pt idx="1518">
                  <c:v>23.7060445445568</c:v>
                </c:pt>
                <c:pt idx="1519">
                  <c:v>23.8277201021621</c:v>
                </c:pt>
                <c:pt idx="1520">
                  <c:v>23.950581016721</c:v>
                </c:pt>
                <c:pt idx="1521">
                  <c:v>24.0746860865401</c:v>
                </c:pt>
                <c:pt idx="1522">
                  <c:v>24.200096323885</c:v>
                </c:pt>
                <c:pt idx="1523">
                  <c:v>24.3268751059573</c:v>
                </c:pt>
                <c:pt idx="1524">
                  <c:v>24.4550883363029</c:v>
                </c:pt>
                <c:pt idx="1525">
                  <c:v>24.5848046175875</c:v>
                </c:pt>
                <c:pt idx="1526">
                  <c:v>24.7160954367626</c:v>
                </c:pt>
                <c:pt idx="1527">
                  <c:v>24.8490353637456</c:v>
                </c:pt>
                <c:pt idx="1528">
                  <c:v>24.9837022648461</c:v>
                </c:pt>
                <c:pt idx="1529">
                  <c:v>25.1201775322936</c:v>
                </c:pt>
                <c:pt idx="1530">
                  <c:v>25.2585463313556</c:v>
                </c:pt>
                <c:pt idx="1531">
                  <c:v>25.3988978666828</c:v>
                </c:pt>
                <c:pt idx="1532">
                  <c:v>25.5413256696853</c:v>
                </c:pt>
                <c:pt idx="1533">
                  <c:v>25.685927908922</c:v>
                </c:pt>
                <c:pt idx="1534">
                  <c:v>25.8328077256891</c:v>
                </c:pt>
                <c:pt idx="1535">
                  <c:v>25.9820735972116</c:v>
                </c:pt>
                <c:pt idx="1536">
                  <c:v>26.1338397300851</c:v>
                </c:pt>
                <c:pt idx="1537">
                  <c:v>26.2882264868824</c:v>
                </c:pt>
                <c:pt idx="1538">
                  <c:v>26.4453608491237</c:v>
                </c:pt>
                <c:pt idx="1539">
                  <c:v>26.6053769201304</c:v>
                </c:pt>
                <c:pt idx="1540">
                  <c:v>26.7684164716144</c:v>
                </c:pt>
                <c:pt idx="1541">
                  <c:v>26.9346295382199</c:v>
                </c:pt>
                <c:pt idx="1542">
                  <c:v>27.1041750646132</c:v>
                </c:pt>
                <c:pt idx="1543">
                  <c:v>27.2772216101127</c:v>
                </c:pt>
                <c:pt idx="1544">
                  <c:v>27.4539481162464</c:v>
                </c:pt>
                <c:pt idx="1545">
                  <c:v>27.6345447430142</c:v>
                </c:pt>
                <c:pt idx="1546">
                  <c:v>27.8192137799843</c:v>
                </c:pt>
                <c:pt idx="1547">
                  <c:v>28.0081706386389</c:v>
                </c:pt>
                <c:pt idx="1548">
                  <c:v>28.2016449325544</c:v>
                </c:pt>
                <c:pt idx="1549">
                  <c:v>28.3998816519841</c:v>
                </c:pt>
                <c:pt idx="1550">
                  <c:v>28.6031424391052</c:v>
                </c:pt>
                <c:pt idx="1551">
                  <c:v>28.8117069694545</c:v>
                </c:pt>
                <c:pt idx="1552">
                  <c:v>29.0258744437038</c:v>
                </c:pt>
                <c:pt idx="1553">
                  <c:v>29.2459651916172</c:v>
                </c:pt>
                <c:pt idx="1554">
                  <c:v>29.4723223863875</c:v>
                </c:pt>
                <c:pt idx="1555">
                  <c:v>29.7053138619654</c:v>
                </c:pt>
                <c:pt idx="1556">
                  <c:v>29.9453340176391</c:v>
                </c:pt>
                <c:pt idx="1557">
                  <c:v>30.1928057817992</c:v>
                </c:pt>
                <c:pt idx="1558">
                  <c:v>30.4481825888163</c:v>
                </c:pt>
                <c:pt idx="1559">
                  <c:v>30.711950296818</c:v>
                </c:pt>
                <c:pt idx="1560">
                  <c:v>30.9846289363509</c:v>
                </c:pt>
                <c:pt idx="1561">
                  <c:v>31.2667741253702</c:v>
                </c:pt>
                <c:pt idx="1562">
                  <c:v>31.5589779073668</c:v>
                </c:pt>
                <c:pt idx="1563">
                  <c:v>31.8618686561033</c:v>
                </c:pt>
                <c:pt idx="1564">
                  <c:v>32.1761095269618</c:v>
                </c:pt>
                <c:pt idx="1565">
                  <c:v>32.5023946990002</c:v>
                </c:pt>
                <c:pt idx="1566">
                  <c:v>32.8414423111709</c:v>
                </c:pt>
                <c:pt idx="1567">
                  <c:v>33.1939825043567</c:v>
                </c:pt>
                <c:pt idx="1568">
                  <c:v>33.5607382718215</c:v>
                </c:pt>
                <c:pt idx="1569">
                  <c:v>33.9423958019768</c:v>
                </c:pt>
                <c:pt idx="1570">
                  <c:v>34.3395595439904</c:v>
                </c:pt>
                <c:pt idx="1571">
                  <c:v>34.7526851790665</c:v>
                </c:pt>
                <c:pt idx="1572">
                  <c:v>35.1819808572076</c:v>
                </c:pt>
                <c:pt idx="1573">
                  <c:v>35.6272633118751</c:v>
                </c:pt>
                <c:pt idx="1574">
                  <c:v>36.0877508230248</c:v>
                </c:pt>
                <c:pt idx="1575">
                  <c:v>36.5617700180876</c:v>
                </c:pt>
                <c:pt idx="1576">
                  <c:v>37.0463499964038</c:v>
                </c:pt>
                <c:pt idx="1577">
                  <c:v>37.5366796974837</c:v>
                </c:pt>
                <c:pt idx="1578">
                  <c:v>38.0254221099297</c:v>
                </c:pt>
                <c:pt idx="1579">
                  <c:v>38.5019282848912</c:v>
                </c:pt>
                <c:pt idx="1580">
                  <c:v>38.9514976550896</c:v>
                </c:pt>
                <c:pt idx="1581">
                  <c:v>39.3550032563694</c:v>
                </c:pt>
                <c:pt idx="1582">
                  <c:v>39.6894052379625</c:v>
                </c:pt>
                <c:pt idx="1583">
                  <c:v>39.9297590430881</c:v>
                </c:pt>
                <c:pt idx="1584">
                  <c:v>40.0529989801129</c:v>
                </c:pt>
                <c:pt idx="1585">
                  <c:v>40.0428500746629</c:v>
                </c:pt>
                <c:pt idx="1586">
                  <c:v>39.8940755863817</c:v>
                </c:pt>
                <c:pt idx="1587">
                  <c:v>39.6139711861362</c:v>
                </c:pt>
                <c:pt idx="1588">
                  <c:v>39.2202782777526</c:v>
                </c:pt>
                <c:pt idx="1589">
                  <c:v>38.7366595867727</c:v>
                </c:pt>
                <c:pt idx="1590">
                  <c:v>38.1878829225449</c:v>
                </c:pt>
                <c:pt idx="1591">
                  <c:v>37.5963331290657</c:v>
                </c:pt>
                <c:pt idx="1592">
                  <c:v>36.9803006892736</c:v>
                </c:pt>
                <c:pt idx="1593">
                  <c:v>36.3536672864732</c:v>
                </c:pt>
                <c:pt idx="1594">
                  <c:v>35.7263760632807</c:v>
                </c:pt>
                <c:pt idx="1595">
                  <c:v>35.1051964113781</c:v>
                </c:pt>
                <c:pt idx="1596">
                  <c:v>34.4944991147577</c:v>
                </c:pt>
                <c:pt idx="1597">
                  <c:v>33.8969181971121</c:v>
                </c:pt>
                <c:pt idx="1598">
                  <c:v>33.3138683290843</c:v>
                </c:pt>
                <c:pt idx="1599">
                  <c:v>32.7459289860832</c:v>
                </c:pt>
                <c:pt idx="1600">
                  <c:v>32.1931206115103</c:v>
                </c:pt>
                <c:pt idx="1601">
                  <c:v>31.6550989425435</c:v>
                </c:pt>
                <c:pt idx="1602">
                  <c:v>31.1312896720553</c:v>
                </c:pt>
                <c:pt idx="1603">
                  <c:v>30.6209806165819</c:v>
                </c:pt>
                <c:pt idx="1604">
                  <c:v>30.1233840553723</c:v>
                </c:pt>
                <c:pt idx="1605">
                  <c:v>29.6376783247122</c:v>
                </c:pt>
                <c:pt idx="1606">
                  <c:v>29.1630350762556</c:v>
                </c:pt>
                <c:pt idx="1607">
                  <c:v>28.698636676444</c:v>
                </c:pt>
                <c:pt idx="1608">
                  <c:v>28.2436868567391</c:v>
                </c:pt>
                <c:pt idx="1609">
                  <c:v>27.797416767409</c:v>
                </c:pt>
                <c:pt idx="1610">
                  <c:v>27.35908792198</c:v>
                </c:pt>
                <c:pt idx="1611">
                  <c:v>26.9279930578852</c:v>
                </c:pt>
                <c:pt idx="1612">
                  <c:v>26.5034556190821</c:v>
                </c:pt>
                <c:pt idx="1613">
                  <c:v>26.0848283448708</c:v>
                </c:pt>
                <c:pt idx="1614">
                  <c:v>25.6714912955276</c:v>
                </c:pt>
                <c:pt idx="1615">
                  <c:v>25.2628495387591</c:v>
                </c:pt>
                <c:pt idx="1616">
                  <c:v>24.8583306469239</c:v>
                </c:pt>
                <c:pt idx="1617">
                  <c:v>24.457382103524</c:v>
                </c:pt>
                <c:pt idx="1618">
                  <c:v>24.0594686817357</c:v>
                </c:pt>
                <c:pt idx="1619">
                  <c:v>23.6640698329978</c:v>
                </c:pt>
                <c:pt idx="1620">
                  <c:v>23.2706771065969</c:v>
                </c:pt>
                <c:pt idx="1621">
                  <c:v>22.878791609518</c:v>
                </c:pt>
                <c:pt idx="1622">
                  <c:v>22.4879215079919</c:v>
                </c:pt>
                <c:pt idx="1623">
                  <c:v>22.0975795671025</c:v>
                </c:pt>
                <c:pt idx="1624">
                  <c:v>21.7072807218054</c:v>
                </c:pt>
                <c:pt idx="1625">
                  <c:v>21.3165396713093</c:v>
                </c:pt>
                <c:pt idx="1626">
                  <c:v>20.9248684887509</c:v>
                </c:pt>
                <c:pt idx="1627">
                  <c:v>20.5317742393973</c:v>
                </c:pt>
                <c:pt idx="1628">
                  <c:v>20.1367566033379</c:v>
                </c:pt>
                <c:pt idx="1629">
                  <c:v>19.7393055030808</c:v>
                </c:pt>
                <c:pt idx="1630">
                  <c:v>19.3388987431384</c:v>
                </c:pt>
                <c:pt idx="1631">
                  <c:v>18.9349996783502</c:v>
                </c:pt>
                <c:pt idx="1632">
                  <c:v>18.5270549414673</c:v>
                </c:pt>
                <c:pt idx="1633">
                  <c:v>18.1144922800571</c:v>
                </c:pt>
                <c:pt idx="1634">
                  <c:v>17.6967185803893</c:v>
                </c:pt>
                <c:pt idx="1635">
                  <c:v>17.2731181949634</c:v>
                </c:pt>
                <c:pt idx="1636">
                  <c:v>16.8430517454493</c:v>
                </c:pt>
                <c:pt idx="1637">
                  <c:v>16.4058556507718</c:v>
                </c:pt>
                <c:pt idx="1638">
                  <c:v>15.9608427404732</c:v>
                </c:pt>
                <c:pt idx="1639">
                  <c:v>15.5073044700241</c:v>
                </c:pt>
                <c:pt idx="1640">
                  <c:v>15.0445154768842</c:v>
                </c:pt>
                <c:pt idx="1641">
                  <c:v>14.5717415314238</c:v>
                </c:pt>
                <c:pt idx="1642">
                  <c:v>14.0882523840445</c:v>
                </c:pt>
                <c:pt idx="1643">
                  <c:v>13.5933416425918</c:v>
                </c:pt>
                <c:pt idx="1644">
                  <c:v>13.0863567048658</c:v>
                </c:pt>
                <c:pt idx="1645">
                  <c:v>12.5667430132967</c:v>
                </c:pt>
                <c:pt idx="1646">
                  <c:v>12.0341086042554</c:v>
                </c:pt>
                <c:pt idx="1647">
                  <c:v>11.488317204039</c:v>
                </c:pt>
                <c:pt idx="1648">
                  <c:v>10.9296210331928</c:v>
                </c:pt>
                <c:pt idx="1649">
                  <c:v>10.3588478895074</c:v>
                </c:pt>
                <c:pt idx="1650">
                  <c:v>9.77766038462877</c:v>
                </c:pt>
                <c:pt idx="1651">
                  <c:v>9.18890677416751</c:v>
                </c:pt>
                <c:pt idx="1652">
                  <c:v>8.59707899914031</c:v>
                </c:pt>
                <c:pt idx="1653">
                  <c:v>8.00887728418583</c:v>
                </c:pt>
                <c:pt idx="1654">
                  <c:v>7.43384026583946</c:v>
                </c:pt>
                <c:pt idx="1655">
                  <c:v>6.88492051854095</c:v>
                </c:pt>
                <c:pt idx="1656">
                  <c:v>6.37876031353238</c:v>
                </c:pt>
                <c:pt idx="1657">
                  <c:v>5.93527929824175</c:v>
                </c:pt>
                <c:pt idx="1658">
                  <c:v>5.57612879834075</c:v>
                </c:pt>
                <c:pt idx="1659">
                  <c:v>5.32178392010045</c:v>
                </c:pt>
                <c:pt idx="1660">
                  <c:v>5.18767081773428</c:v>
                </c:pt>
                <c:pt idx="1661">
                  <c:v>5.18055320750214</c:v>
                </c:pt>
                <c:pt idx="1662">
                  <c:v>5.29676038603515</c:v>
                </c:pt>
                <c:pt idx="1663">
                  <c:v>5.52315145377304</c:v>
                </c:pt>
                <c:pt idx="1664">
                  <c:v>5.84032007544068</c:v>
                </c:pt>
                <c:pt idx="1665">
                  <c:v>6.22655100694762</c:v>
                </c:pt>
                <c:pt idx="1666">
                  <c:v>6.66110664322112</c:v>
                </c:pt>
                <c:pt idx="1667">
                  <c:v>7.12618896118719</c:v>
                </c:pt>
                <c:pt idx="1668">
                  <c:v>7.60765632877555</c:v>
                </c:pt>
                <c:pt idx="1669">
                  <c:v>8.09491250027081</c:v>
                </c:pt>
                <c:pt idx="1670">
                  <c:v>8.58039034840448</c:v>
                </c:pt>
                <c:pt idx="1671">
                  <c:v>9.05892066287982</c:v>
                </c:pt>
                <c:pt idx="1672">
                  <c:v>9.52714003789328</c:v>
                </c:pt>
                <c:pt idx="1673">
                  <c:v>9.98299848053796</c:v>
                </c:pt>
                <c:pt idx="1674">
                  <c:v>10.4253766036793</c:v>
                </c:pt>
                <c:pt idx="1675">
                  <c:v>10.8538000258859</c:v>
                </c:pt>
                <c:pt idx="1676">
                  <c:v>11.2682318940755</c:v>
                </c:pt>
                <c:pt idx="1677">
                  <c:v>11.668924866324</c:v>
                </c:pt>
                <c:pt idx="1678">
                  <c:v>12.0563169048194</c:v>
                </c:pt>
                <c:pt idx="1679">
                  <c:v>12.430958703466</c:v>
                </c:pt>
                <c:pt idx="1680">
                  <c:v>12.7934636663647</c:v>
                </c:pt>
                <c:pt idx="1681">
                  <c:v>13.1444738261647</c:v>
                </c:pt>
                <c:pt idx="1682">
                  <c:v>13.4846369626787</c:v>
                </c:pt>
                <c:pt idx="1683">
                  <c:v>13.8145915545558</c:v>
                </c:pt>
                <c:pt idx="1684">
                  <c:v>14.1349571847219</c:v>
                </c:pt>
                <c:pt idx="1685">
                  <c:v>14.4463287236747</c:v>
                </c:pt>
                <c:pt idx="1686">
                  <c:v>14.7492731123904</c:v>
                </c:pt>
                <c:pt idx="1687">
                  <c:v>15.0443279175778</c:v>
                </c:pt>
                <c:pt idx="1688">
                  <c:v>15.332001079205</c:v>
                </c:pt>
                <c:pt idx="1689">
                  <c:v>15.6127714442825</c:v>
                </c:pt>
                <c:pt idx="1690">
                  <c:v>15.8870898035025</c:v>
                </c:pt>
                <c:pt idx="1691">
                  <c:v>16.1553802337651</c:v>
                </c:pt>
                <c:pt idx="1692">
                  <c:v>16.4180416105818</c:v>
                </c:pt>
                <c:pt idx="1693">
                  <c:v>16.6754491973508</c:v>
                </c:pt>
                <c:pt idx="1694">
                  <c:v>16.9279562488146</c:v>
                </c:pt>
                <c:pt idx="1695">
                  <c:v>17.1758955873616</c:v>
                </c:pt>
                <c:pt idx="1696">
                  <c:v>17.4195811258192</c:v>
                </c:pt>
                <c:pt idx="1697">
                  <c:v>17.6593093208668</c:v>
                </c:pt>
                <c:pt idx="1698">
                  <c:v>17.8953605484715</c:v>
                </c:pt>
                <c:pt idx="1699">
                  <c:v>18.1280003977505</c:v>
                </c:pt>
                <c:pt idx="1700">
                  <c:v>18.3574808830511</c:v>
                </c:pt>
                <c:pt idx="1701">
                  <c:v>18.5840415762874</c:v>
                </c:pt>
                <c:pt idx="1702">
                  <c:v>18.8079106630072</c:v>
                </c:pt>
                <c:pt idx="1703">
                  <c:v>19.0293059265429</c:v>
                </c:pt>
                <c:pt idx="1704">
                  <c:v>19.2484356650761</c:v>
                </c:pt>
                <c:pt idx="1705">
                  <c:v>19.4654995466582</c:v>
                </c:pt>
                <c:pt idx="1706">
                  <c:v>19.6806894072599</c:v>
                </c:pt>
                <c:pt idx="1707">
                  <c:v>19.8941899968277</c:v>
                </c:pt>
                <c:pt idx="1708">
                  <c:v>20.1061796781638</c:v>
                </c:pt>
                <c:pt idx="1709">
                  <c:v>20.3168310832332</c:v>
                </c:pt>
                <c:pt idx="1710">
                  <c:v>20.5263117312738</c:v>
                </c:pt>
                <c:pt idx="1711">
                  <c:v>20.7347846128461</c:v>
                </c:pt>
                <c:pt idx="1712">
                  <c:v>20.9424087437301</c:v>
                </c:pt>
                <c:pt idx="1713">
                  <c:v>21.1493396923532</c:v>
                </c:pt>
                <c:pt idx="1714">
                  <c:v>21.355730084231</c:v>
                </c:pt>
                <c:pt idx="1715">
                  <c:v>21.5617300867162</c:v>
                </c:pt>
                <c:pt idx="1716">
                  <c:v>21.767487877188</c:v>
                </c:pt>
                <c:pt idx="1717">
                  <c:v>21.9731500976694</c:v>
                </c:pt>
                <c:pt idx="1718">
                  <c:v>22.1788622987424</c:v>
                </c:pt>
                <c:pt idx="1719">
                  <c:v>22.3847693755295</c:v>
                </c:pt>
                <c:pt idx="1720">
                  <c:v>22.5910159984354</c:v>
                </c:pt>
                <c:pt idx="1721">
                  <c:v>22.7977470412863</c:v>
                </c:pt>
                <c:pt idx="1722">
                  <c:v>23.0051080094701</c:v>
                </c:pt>
                <c:pt idx="1723">
                  <c:v>23.2132454706687</c:v>
                </c:pt>
                <c:pt idx="1724">
                  <c:v>23.4223074907739</c:v>
                </c:pt>
                <c:pt idx="1725">
                  <c:v>23.6324440776109</c:v>
                </c:pt>
                <c:pt idx="1726">
                  <c:v>23.8438076351281</c:v>
                </c:pt>
                <c:pt idx="1727">
                  <c:v>24.0565534307776</c:v>
                </c:pt>
                <c:pt idx="1728">
                  <c:v>24.2708400788813</c:v>
                </c:pt>
                <c:pt idx="1729">
                  <c:v>24.4868300428663</c:v>
                </c:pt>
                <c:pt idx="1730">
                  <c:v>24.7046901593521</c:v>
                </c:pt>
                <c:pt idx="1731">
                  <c:v>24.9245921871723</c:v>
                </c:pt>
                <c:pt idx="1732">
                  <c:v>25.1467133845184</c:v>
                </c:pt>
                <c:pt idx="1733">
                  <c:v>25.3712371174866</c:v>
                </c:pt>
                <c:pt idx="1734">
                  <c:v>25.5983535033826</c:v>
                </c:pt>
                <c:pt idx="1735">
                  <c:v>25.828260092177</c:v>
                </c:pt>
                <c:pt idx="1736">
                  <c:v>26.0611625894867</c:v>
                </c:pt>
                <c:pt idx="1737">
                  <c:v>26.2972756243494</c:v>
                </c:pt>
                <c:pt idx="1738">
                  <c:v>26.5368235648263</c:v>
                </c:pt>
                <c:pt idx="1739">
                  <c:v>26.7800413840494</c:v>
                </c:pt>
                <c:pt idx="1740">
                  <c:v>27.027175578654</c:v>
                </c:pt>
                <c:pt idx="1741">
                  <c:v>27.2784851404986</c:v>
                </c:pt>
                <c:pt idx="1742">
                  <c:v>27.5342425810264</c:v>
                </c:pt>
                <c:pt idx="1743">
                  <c:v>27.7947350053842</c:v>
                </c:pt>
                <c:pt idx="1744">
                  <c:v>28.0602652301999</c:v>
                </c:pt>
                <c:pt idx="1745">
                  <c:v>28.3311529343862</c:v>
                </c:pt>
                <c:pt idx="1746">
                  <c:v>28.6077358259657</c:v>
                </c:pt>
                <c:pt idx="1747">
                  <c:v>28.8903707990195</c:v>
                </c:pt>
                <c:pt idx="1748">
                  <c:v>29.1794350424941</c:v>
                </c:pt>
                <c:pt idx="1749">
                  <c:v>29.4753270454354</c:v>
                </c:pt>
                <c:pt idx="1750">
                  <c:v>29.7784674194266</c:v>
                </c:pt>
                <c:pt idx="1751">
                  <c:v>30.0892994260511</c:v>
                </c:pt>
                <c:pt idx="1752">
                  <c:v>30.4082890515331</c:v>
                </c:pt>
                <c:pt idx="1753">
                  <c:v>30.7359244074187</c:v>
                </c:pt>
                <c:pt idx="1754">
                  <c:v>31.0727141483789</c:v>
                </c:pt>
                <c:pt idx="1755">
                  <c:v>31.4191844764065</c:v>
                </c:pt>
                <c:pt idx="1756">
                  <c:v>31.775874131639</c:v>
                </c:pt>
                <c:pt idx="1757">
                  <c:v>32.1433265355548</c:v>
                </c:pt>
                <c:pt idx="1758">
                  <c:v>32.522077927597</c:v>
                </c:pt>
                <c:pt idx="1759">
                  <c:v>32.9126398882352</c:v>
                </c:pt>
                <c:pt idx="1760">
                  <c:v>33.3154740270813</c:v>
                </c:pt>
                <c:pt idx="1761">
                  <c:v>33.7309557809589</c:v>
                </c:pt>
                <c:pt idx="1762">
                  <c:v>34.1593231547132</c:v>
                </c:pt>
                <c:pt idx="1763">
                  <c:v>34.6006047950638</c:v>
                </c:pt>
                <c:pt idx="1764">
                  <c:v>35.054520003421</c:v>
                </c:pt>
                <c:pt idx="1765">
                  <c:v>35.5203412697559</c:v>
                </c:pt>
                <c:pt idx="1766">
                  <c:v>35.9967080111576</c:v>
                </c:pt>
                <c:pt idx="1767">
                  <c:v>36.4813793281914</c:v>
                </c:pt>
                <c:pt idx="1768">
                  <c:v>36.9709156500404</c:v>
                </c:pt>
                <c:pt idx="1769">
                  <c:v>37.4602876685728</c:v>
                </c:pt>
                <c:pt idx="1770">
                  <c:v>37.9424317279353</c:v>
                </c:pt>
                <c:pt idx="1771">
                  <c:v>38.4078114203206</c:v>
                </c:pt>
                <c:pt idx="1772">
                  <c:v>38.8441113116249</c:v>
                </c:pt>
                <c:pt idx="1773">
                  <c:v>39.2362740980068</c:v>
                </c:pt>
                <c:pt idx="1774">
                  <c:v>39.5671601046113</c:v>
                </c:pt>
                <c:pt idx="1775">
                  <c:v>39.8190753631415</c:v>
                </c:pt>
                <c:pt idx="1776">
                  <c:v>39.9761790548699</c:v>
                </c:pt>
                <c:pt idx="1777">
                  <c:v>40.027327975352</c:v>
                </c:pt>
                <c:pt idx="1778">
                  <c:v>39.9684565943094</c:v>
                </c:pt>
                <c:pt idx="1779">
                  <c:v>39.8035226234837</c:v>
                </c:pt>
                <c:pt idx="1780">
                  <c:v>39.5435883384163</c:v>
                </c:pt>
                <c:pt idx="1781">
                  <c:v>39.204455518788</c:v>
                </c:pt>
                <c:pt idx="1782">
                  <c:v>38.803820440989</c:v>
                </c:pt>
                <c:pt idx="1783">
                  <c:v>38.3588552858038</c:v>
                </c:pt>
                <c:pt idx="1784">
                  <c:v>37.8846660319096</c:v>
                </c:pt>
                <c:pt idx="1785">
                  <c:v>37.3936214441241</c:v>
                </c:pt>
                <c:pt idx="1786">
                  <c:v>36.8953087356533</c:v>
                </c:pt>
                <c:pt idx="1787">
                  <c:v>36.3968364791946</c:v>
                </c:pt>
                <c:pt idx="1788">
                  <c:v>35.9032721706007</c:v>
                </c:pt>
                <c:pt idx="1789">
                  <c:v>35.4180873362122</c:v>
                </c:pt>
                <c:pt idx="1790">
                  <c:v>34.9435496343676</c:v>
                </c:pt>
                <c:pt idx="1791">
                  <c:v>34.4810423409197</c:v>
                </c:pt>
                <c:pt idx="1792">
                  <c:v>34.0313126144735</c:v>
                </c:pt>
                <c:pt idx="1793">
                  <c:v>33.5946586015775</c:v>
                </c:pt>
                <c:pt idx="1794">
                  <c:v>33.1710675660208</c:v>
                </c:pt>
                <c:pt idx="1795">
                  <c:v>32.7603163825876</c:v>
                </c:pt>
                <c:pt idx="1796">
                  <c:v>32.3620438441111</c:v>
                </c:pt>
                <c:pt idx="1797">
                  <c:v>31.9758022051025</c:v>
                </c:pt>
                <c:pt idx="1798">
                  <c:v>31.6010935960664</c:v>
                </c:pt>
                <c:pt idx="1799">
                  <c:v>31.2373954949151</c:v>
                </c:pt>
                <c:pt idx="1800">
                  <c:v>30.8841783251513</c:v>
                </c:pt>
                <c:pt idx="1801">
                  <c:v>30.5409174130371</c:v>
                </c:pt>
                <c:pt idx="1802">
                  <c:v>30.2071009186952</c:v>
                </c:pt>
                <c:pt idx="1803">
                  <c:v>29.8822349058899</c:v>
                </c:pt>
                <c:pt idx="1804">
                  <c:v>29.5658463889607</c:v>
                </c:pt>
                <c:pt idx="1805">
                  <c:v>29.2574849597547</c:v>
                </c:pt>
                <c:pt idx="1806">
                  <c:v>28.9567234275246</c:v>
                </c:pt>
                <c:pt idx="1807">
                  <c:v>28.6631577823628</c:v>
                </c:pt>
                <c:pt idx="1808">
                  <c:v>28.3764067045329</c:v>
                </c:pt>
                <c:pt idx="1809">
                  <c:v>28.0961107784615</c:v>
                </c:pt>
                <c:pt idx="1810">
                  <c:v>27.821931524274</c:v>
                </c:pt>
                <c:pt idx="1811">
                  <c:v>27.5535503266482</c:v>
                </c:pt>
                <c:pt idx="1812">
                  <c:v>27.2906673168559</c:v>
                </c:pt>
                <c:pt idx="1813">
                  <c:v>27.0330002466315</c:v>
                </c:pt>
                <c:pt idx="1814">
                  <c:v>26.7802833800801</c:v>
                </c:pt>
                <c:pt idx="1815">
                  <c:v>26.5322664209194</c:v>
                </c:pt>
                <c:pt idx="1816">
                  <c:v>26.2887134859585</c:v>
                </c:pt>
                <c:pt idx="1817">
                  <c:v>26.0494021311706</c:v>
                </c:pt>
                <c:pt idx="1818">
                  <c:v>25.8141224335068</c:v>
                </c:pt>
                <c:pt idx="1819">
                  <c:v>25.5826761293616</c:v>
                </c:pt>
                <c:pt idx="1820">
                  <c:v>25.3548758090678</c:v>
                </c:pt>
                <c:pt idx="1821">
                  <c:v>25.1305441657712</c:v>
                </c:pt>
                <c:pt idx="1822">
                  <c:v>24.9095132963822</c:v>
                </c:pt>
                <c:pt idx="1823">
                  <c:v>24.6916240519054</c:v>
                </c:pt>
                <c:pt idx="1824">
                  <c:v>24.4767254342398</c:v>
                </c:pt>
                <c:pt idx="1825">
                  <c:v>24.2646740364694</c:v>
                </c:pt>
                <c:pt idx="1826">
                  <c:v>24.0553335236749</c:v>
                </c:pt>
                <c:pt idx="1827">
                  <c:v>23.8485741513762</c:v>
                </c:pt>
                <c:pt idx="1828">
                  <c:v>23.6442723188294</c:v>
                </c:pt>
                <c:pt idx="1829">
                  <c:v>23.4423101545417</c:v>
                </c:pt>
                <c:pt idx="1830">
                  <c:v>23.2425751315237</c:v>
                </c:pt>
                <c:pt idx="1831">
                  <c:v>23.0449597099533</c:v>
                </c:pt>
                <c:pt idx="1832">
                  <c:v>22.8493610050899</c:v>
                </c:pt>
                <c:pt idx="1833">
                  <c:v>22.6556804784283</c:v>
                </c:pt>
                <c:pt idx="1834">
                  <c:v>22.4638236502348</c:v>
                </c:pt>
                <c:pt idx="1835">
                  <c:v>22.2736998317476</c:v>
                </c:pt>
                <c:pt idx="1836">
                  <c:v>22.0852218754603</c:v>
                </c:pt>
                <c:pt idx="1837">
                  <c:v>21.898305942029</c:v>
                </c:pt>
                <c:pt idx="1838">
                  <c:v>21.7128712824618</c:v>
                </c:pt>
                <c:pt idx="1839">
                  <c:v>21.5288400343555</c:v>
                </c:pt>
                <c:pt idx="1840">
                  <c:v>21.3461370310453</c:v>
                </c:pt>
                <c:pt idx="1841">
                  <c:v>21.1646896226209</c:v>
                </c:pt>
                <c:pt idx="1842">
                  <c:v>20.9844275078496</c:v>
                </c:pt>
                <c:pt idx="1843">
                  <c:v>20.8052825761198</c:v>
                </c:pt>
                <c:pt idx="1844">
                  <c:v>20.6271887585918</c:v>
                </c:pt>
                <c:pt idx="1845">
                  <c:v>20.4500818878015</c:v>
                </c:pt>
                <c:pt idx="1846">
                  <c:v>20.273899565026</c:v>
                </c:pt>
                <c:pt idx="1847">
                  <c:v>20.0985810347693</c:v>
                </c:pt>
                <c:pt idx="1848">
                  <c:v>19.9240670657742</c:v>
                </c:pt>
                <c:pt idx="1849">
                  <c:v>19.7502998380129</c:v>
                </c:pt>
                <c:pt idx="1850">
                  <c:v>19.5772228351455</c:v>
                </c:pt>
                <c:pt idx="1851">
                  <c:v>19.404780741972</c:v>
                </c:pt>
                <c:pt idx="1852">
                  <c:v>19.2329193464382</c:v>
                </c:pt>
                <c:pt idx="1853">
                  <c:v>19.0615854457802</c:v>
                </c:pt>
                <c:pt idx="1854">
                  <c:v>18.8907267564245</c:v>
                </c:pt>
                <c:pt idx="1855">
                  <c:v>18.7202918272795</c:v>
                </c:pt>
                <c:pt idx="1856">
                  <c:v>18.5502299560783</c:v>
                </c:pt>
                <c:pt idx="1857">
                  <c:v>18.3804911084501</c:v>
                </c:pt>
                <c:pt idx="1858">
                  <c:v>18.2110258394164</c:v>
                </c:pt>
                <c:pt idx="1859">
                  <c:v>18.0417852170189</c:v>
                </c:pt>
                <c:pt idx="1860">
                  <c:v>17.8727207478053</c:v>
                </c:pt>
                <c:pt idx="1861">
                  <c:v>17.703784303904</c:v>
                </c:pt>
                <c:pt idx="1862">
                  <c:v>17.5349280514331</c:v>
                </c:pt>
                <c:pt idx="1863">
                  <c:v>17.3661043799948</c:v>
                </c:pt>
                <c:pt idx="1864">
                  <c:v>17.197265833013</c:v>
                </c:pt>
                <c:pt idx="1865">
                  <c:v>17.0283650386795</c:v>
                </c:pt>
                <c:pt idx="1866">
                  <c:v>16.8593546412739</c:v>
                </c:pt>
                <c:pt idx="1867">
                  <c:v>16.6901872326284</c:v>
                </c:pt>
                <c:pt idx="1868">
                  <c:v>16.5208152835091</c:v>
                </c:pt>
                <c:pt idx="1869">
                  <c:v>16.3511910746827</c:v>
                </c:pt>
                <c:pt idx="1870">
                  <c:v>16.1812666274401</c:v>
                </c:pt>
                <c:pt idx="1871">
                  <c:v>16.0109936333426</c:v>
                </c:pt>
                <c:pt idx="1872">
                  <c:v>15.8403233829536</c:v>
                </c:pt>
                <c:pt idx="1873">
                  <c:v>15.6692066933125</c:v>
                </c:pt>
                <c:pt idx="1874">
                  <c:v>15.4975938339019</c:v>
                </c:pt>
                <c:pt idx="1875">
                  <c:v>15.3254344508506</c:v>
                </c:pt>
                <c:pt idx="1876">
                  <c:v>15.1526774891029</c:v>
                </c:pt>
                <c:pt idx="1877">
                  <c:v>14.9792711122777</c:v>
                </c:pt>
                <c:pt idx="1878">
                  <c:v>14.8051626199237</c:v>
                </c:pt>
                <c:pt idx="1879">
                  <c:v>14.630298361865</c:v>
                </c:pt>
                <c:pt idx="1880">
                  <c:v>14.4546236493139</c:v>
                </c:pt>
                <c:pt idx="1881">
                  <c:v>14.2780826624092</c:v>
                </c:pt>
                <c:pt idx="1882">
                  <c:v>14.1006183538175</c:v>
                </c:pt>
                <c:pt idx="1883">
                  <c:v>13.9221723480134</c:v>
                </c:pt>
                <c:pt idx="1884">
                  <c:v>13.7426848358281</c:v>
                </c:pt>
                <c:pt idx="1885">
                  <c:v>13.5620944638281</c:v>
                </c:pt>
                <c:pt idx="1886">
                  <c:v>13.3803382180567</c:v>
                </c:pt>
                <c:pt idx="1887">
                  <c:v>13.197351301637</c:v>
                </c:pt>
                <c:pt idx="1888">
                  <c:v>13.0130670056979</c:v>
                </c:pt>
                <c:pt idx="1889">
                  <c:v>12.8274165730468</c:v>
                </c:pt>
                <c:pt idx="1890">
                  <c:v>12.6403290539682</c:v>
                </c:pt>
                <c:pt idx="1891">
                  <c:v>12.4517311534829</c:v>
                </c:pt>
                <c:pt idx="1892">
                  <c:v>12.2615470693488</c:v>
                </c:pt>
                <c:pt idx="1893">
                  <c:v>12.069698320035</c:v>
                </c:pt>
                <c:pt idx="1894">
                  <c:v>11.8761035618375</c:v>
                </c:pt>
                <c:pt idx="1895">
                  <c:v>11.680678394249</c:v>
                </c:pt>
                <c:pt idx="1896">
                  <c:v>11.4833351526234</c:v>
                </c:pt>
                <c:pt idx="1897">
                  <c:v>11.2839826871125</c:v>
                </c:pt>
                <c:pt idx="1898">
                  <c:v>11.0825261267758</c:v>
                </c:pt>
                <c:pt idx="1899">
                  <c:v>10.8788666276932</c:v>
                </c:pt>
                <c:pt idx="1900">
                  <c:v>10.6729011038352</c:v>
                </c:pt>
                <c:pt idx="1901">
                  <c:v>10.4645219393679</c:v>
                </c:pt>
                <c:pt idx="1902">
                  <c:v>10.2536166810039</c:v>
                </c:pt>
                <c:pt idx="1903">
                  <c:v>10.0400677089397</c:v>
                </c:pt>
                <c:pt idx="1904">
                  <c:v>9.82375188487258</c:v>
                </c:pt>
                <c:pt idx="1905">
                  <c:v>9.60454017554657</c:v>
                </c:pt>
                <c:pt idx="1906">
                  <c:v>9.38229725027056</c:v>
                </c:pt>
                <c:pt idx="1907">
                  <c:v>9.15688105087354</c:v>
                </c:pt>
                <c:pt idx="1908">
                  <c:v>8.92814233263816</c:v>
                </c:pt>
                <c:pt idx="1909">
                  <c:v>8.6959241748998</c:v>
                </c:pt>
                <c:pt idx="1910">
                  <c:v>8.46006146024202</c:v>
                </c:pt>
                <c:pt idx="1911">
                  <c:v>8.22038032159257</c:v>
                </c:pt>
                <c:pt idx="1912">
                  <c:v>7.97669755707777</c:v>
                </c:pt>
                <c:pt idx="1913">
                  <c:v>7.72882001328397</c:v>
                </c:pt>
                <c:pt idx="1914">
                  <c:v>7.47654393868847</c:v>
                </c:pt>
                <c:pt idx="1915">
                  <c:v>7.21965431056528</c:v>
                </c:pt>
                <c:pt idx="1916">
                  <c:v>6.95792414079228</c:v>
                </c:pt>
                <c:pt idx="1917">
                  <c:v>6.69111376887501</c:v>
                </c:pt>
                <c:pt idx="1918">
                  <c:v>6.41897015442618</c:v>
                </c:pt>
                <c:pt idx="1919">
                  <c:v>6.14122618664204</c:v>
                </c:pt>
                <c:pt idx="1920">
                  <c:v>5.85760003546907</c:v>
                </c:pt>
                <c:pt idx="1921">
                  <c:v>5.56779457878969</c:v>
                </c:pt>
                <c:pt idx="1922">
                  <c:v>5.27149695292097</c:v>
                </c:pt>
                <c:pt idx="1923">
                  <c:v>4.96837829117018</c:v>
                </c:pt>
                <c:pt idx="1924">
                  <c:v>4.658093738673</c:v>
                </c:pt>
                <c:pt idx="1925">
                  <c:v>4.34028286335725</c:v>
                </c:pt>
                <c:pt idx="1926">
                  <c:v>4.01457062546448</c:v>
                </c:pt>
                <c:pt idx="1927">
                  <c:v>3.68056912545594</c:v>
                </c:pt>
                <c:pt idx="1928">
                  <c:v>3.33788042748444</c:v>
                </c:pt>
                <c:pt idx="1929">
                  <c:v>2.98610085984237</c:v>
                </c:pt>
                <c:pt idx="1930">
                  <c:v>2.62482733406655</c:v>
                </c:pt>
                <c:pt idx="1931">
                  <c:v>2.25366641272146</c:v>
                </c:pt>
                <c:pt idx="1932">
                  <c:v>1.87224710771833</c:v>
                </c:pt>
                <c:pt idx="1933">
                  <c:v>1.48023872550081</c:v>
                </c:pt>
                <c:pt idx="1934">
                  <c:v>1.07737551495216</c:v>
                </c:pt>
                <c:pt idx="1935">
                  <c:v>0.663490441941798</c:v>
                </c:pt>
                <c:pt idx="1936">
                  <c:v>0.238561129699276</c:v>
                </c:pt>
                <c:pt idx="1937">
                  <c:v>-0.197228132644628</c:v>
                </c:pt>
                <c:pt idx="1938">
                  <c:v>-0.643403444026381</c:v>
                </c:pt>
                <c:pt idx="1939">
                  <c:v>-1.09909160702725</c:v>
                </c:pt>
                <c:pt idx="1940">
                  <c:v>-1.56287733143852</c:v>
                </c:pt>
                <c:pt idx="1941">
                  <c:v>-2.03262139042029</c:v>
                </c:pt>
                <c:pt idx="1942">
                  <c:v>-2.50523642996203</c:v>
                </c:pt>
                <c:pt idx="1943">
                  <c:v>-2.97642391480081</c:v>
                </c:pt>
                <c:pt idx="1944">
                  <c:v>-3.44038940726856</c:v>
                </c:pt>
                <c:pt idx="1945">
                  <c:v>-3.88957711368123</c:v>
                </c:pt>
                <c:pt idx="1946">
                  <c:v>-4.31449981481235</c:v>
                </c:pt>
                <c:pt idx="1947">
                  <c:v>-4.70378218267598</c:v>
                </c:pt>
                <c:pt idx="1948">
                  <c:v>-5.04456634819549</c:v>
                </c:pt>
                <c:pt idx="1949">
                  <c:v>-5.32341315279508</c:v>
                </c:pt>
                <c:pt idx="1950">
                  <c:v>-5.52772776019882</c:v>
                </c:pt>
                <c:pt idx="1951">
                  <c:v>-5.64753056537771</c:v>
                </c:pt>
                <c:pt idx="1952">
                  <c:v>-5.67715175730392</c:v>
                </c:pt>
                <c:pt idx="1953">
                  <c:v>-5.61630692594603</c:v>
                </c:pt>
                <c:pt idx="1954">
                  <c:v>-5.47015363121608</c:v>
                </c:pt>
                <c:pt idx="1955">
                  <c:v>-5.24830682709483</c:v>
                </c:pt>
                <c:pt idx="1956">
                  <c:v>-4.96318279358429</c:v>
                </c:pt>
                <c:pt idx="1957">
                  <c:v>-4.62821302440915</c:v>
                </c:pt>
                <c:pt idx="1958">
                  <c:v>-4.25637076465852</c:v>
                </c:pt>
                <c:pt idx="1959">
                  <c:v>-3.85921460010846</c:v>
                </c:pt>
                <c:pt idx="1960">
                  <c:v>-3.44643731118103</c:v>
                </c:pt>
                <c:pt idx="1961">
                  <c:v>-3.02579254164955</c:v>
                </c:pt>
                <c:pt idx="1962">
                  <c:v>-2.60324913027159</c:v>
                </c:pt>
                <c:pt idx="1963">
                  <c:v>-2.18325098009134</c:v>
                </c:pt>
                <c:pt idx="1964">
                  <c:v>-1.76900219445394</c:v>
                </c:pt>
                <c:pt idx="1965">
                  <c:v>-1.36273345571195</c:v>
                </c:pt>
                <c:pt idx="1966">
                  <c:v>-0.965930526408132</c:v>
                </c:pt>
                <c:pt idx="1967">
                  <c:v>-0.57952035659537</c:v>
                </c:pt>
                <c:pt idx="1968">
                  <c:v>-0.204017632931149</c:v>
                </c:pt>
                <c:pt idx="1969">
                  <c:v>0.160362437991084</c:v>
                </c:pt>
                <c:pt idx="1970">
                  <c:v>0.513618721885854</c:v>
                </c:pt>
                <c:pt idx="1971">
                  <c:v>0.855900240713381</c:v>
                </c:pt>
                <c:pt idx="1972">
                  <c:v>1.18745877829068</c:v>
                </c:pt>
                <c:pt idx="1973">
                  <c:v>1.50861400955244</c:v>
                </c:pt>
                <c:pt idx="1974">
                  <c:v>1.81972803235731</c:v>
                </c:pt>
                <c:pt idx="1975">
                  <c:v>2.12118691160954</c:v>
                </c:pt>
                <c:pt idx="1976">
                  <c:v>2.41338742792154</c:v>
                </c:pt>
                <c:pt idx="1977">
                  <c:v>2.69672767467323</c:v>
                </c:pt>
                <c:pt idx="1978">
                  <c:v>2.97160049148987</c:v>
                </c:pt>
                <c:pt idx="1979">
                  <c:v>3.23838898151957</c:v>
                </c:pt>
                <c:pt idx="1980">
                  <c:v>3.49746355396872</c:v>
                </c:pt>
                <c:pt idx="1981">
                  <c:v>3.7491800779428</c:v>
                </c:pt>
                <c:pt idx="1982">
                  <c:v>3.99387884109676</c:v>
                </c:pt>
                <c:pt idx="1983">
                  <c:v>4.23188408635678</c:v>
                </c:pt>
                <c:pt idx="1984">
                  <c:v>4.46350395915154</c:v>
                </c:pt>
                <c:pt idx="1985">
                  <c:v>4.68903074150116</c:v>
                </c:pt>
                <c:pt idx="1986">
                  <c:v>4.90874128190898</c:v>
                </c:pt>
                <c:pt idx="1987">
                  <c:v>5.12289755420928</c:v>
                </c:pt>
                <c:pt idx="1988">
                  <c:v>5.33174729651202</c:v>
                </c:pt>
                <c:pt idx="1989">
                  <c:v>5.53552469475225</c:v>
                </c:pt>
                <c:pt idx="1990">
                  <c:v>5.73445108528379</c:v>
                </c:pt>
                <c:pt idx="1991">
                  <c:v>5.92873565833163</c:v>
                </c:pt>
                <c:pt idx="1992">
                  <c:v>6.11857614958558</c:v>
                </c:pt>
                <c:pt idx="1993">
                  <c:v>6.30415951126251</c:v>
                </c:pt>
                <c:pt idx="1994">
                  <c:v>6.48566255694852</c:v>
                </c:pt>
                <c:pt idx="1995">
                  <c:v>6.66325257671929</c:v>
                </c:pt>
                <c:pt idx="1996">
                  <c:v>6.83708792063391</c:v>
                </c:pt>
                <c:pt idx="1997">
                  <c:v>7.00731854984686</c:v>
                </c:pt>
                <c:pt idx="1998">
                  <c:v>7.17408655540395</c:v>
                </c:pt>
                <c:pt idx="1999">
                  <c:v>7.33752664536151</c:v>
                </c:pt>
                <c:pt idx="2000">
                  <c:v>7.49776660125745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232635"/>
        <c:axId val="76783827"/>
      </c:lineChart>
      <c:catAx>
        <c:axId val="732326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e6e8ec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e6e8ec"/>
                    </a:solidFill>
                    <a:latin typeface="Arial"/>
                  </a:rPr>
                  <a:t>Frequency [Hz]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6b7488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6e8ec"/>
                </a:solidFill>
                <a:latin typeface="Arial"/>
              </a:defRPr>
            </a:pPr>
          </a:p>
        </c:txPr>
        <c:crossAx val="76783827"/>
        <c:crosses val="autoZero"/>
        <c:auto val="1"/>
        <c:lblAlgn val="ctr"/>
        <c:lblOffset val="100"/>
        <c:noMultiLvlLbl val="0"/>
      </c:catAx>
      <c:valAx>
        <c:axId val="7678382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e6e8ec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e6e8ec"/>
                    </a:solidFill>
                    <a:latin typeface="Arial"/>
                  </a:rPr>
                  <a:t>Level [dB]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6b7488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6e8ec"/>
                </a:solidFill>
                <a:latin typeface="Arial"/>
              </a:defRPr>
            </a:pPr>
          </a:p>
        </c:txPr>
        <c:crossAx val="73232635"/>
        <c:crosses val="autoZero"/>
        <c:crossBetween val="between"/>
      </c:valAx>
      <c:spPr>
        <a:solidFill>
          <a:srgbClr val="171b26"/>
        </a:solidFill>
        <a:ln w="0">
          <a:solidFill>
            <a:srgbClr val="3a4256"/>
          </a:solidFill>
        </a:ln>
      </c:spPr>
    </c:plotArea>
    <c:plotVisOnly val="1"/>
    <c:dispBlanksAs val="gap"/>
  </c:chart>
  <c:spPr>
    <a:solidFill>
      <a:srgbClr val="11141c"/>
    </a:solidFill>
    <a:ln w="9360">
      <a:solidFill>
        <a:srgbClr val="3a4256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109</xdr:row>
      <xdr:rowOff>150480</xdr:rowOff>
    </xdr:from>
    <xdr:to>
      <xdr:col>6</xdr:col>
      <xdr:colOff>26280</xdr:colOff>
      <xdr:row>137</xdr:row>
      <xdr:rowOff>122760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1336120"/>
          <a:ext cx="12668040" cy="5362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0</xdr:colOff>
      <xdr:row>38</xdr:row>
      <xdr:rowOff>106200</xdr:rowOff>
    </xdr:from>
    <xdr:to>
      <xdr:col>26</xdr:col>
      <xdr:colOff>27720</xdr:colOff>
      <xdr:row>55</xdr:row>
      <xdr:rowOff>51480</xdr:rowOff>
    </xdr:to>
    <xdr:graphicFrame>
      <xdr:nvGraphicFramePr>
        <xdr:cNvPr id="1" name="Chart 1"/>
        <xdr:cNvGraphicFramePr/>
      </xdr:nvGraphicFramePr>
      <xdr:xfrm>
        <a:off x="16986960" y="742968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106920</xdr:rowOff>
    </xdr:from>
    <xdr:to>
      <xdr:col>11</xdr:col>
      <xdr:colOff>3393360</xdr:colOff>
      <xdr:row>21</xdr:row>
      <xdr:rowOff>97560</xdr:rowOff>
    </xdr:to>
    <xdr:graphicFrame>
      <xdr:nvGraphicFramePr>
        <xdr:cNvPr id="2" name="Chart 1"/>
        <xdr:cNvGraphicFramePr/>
      </xdr:nvGraphicFramePr>
      <xdr:xfrm>
        <a:off x="5638680" y="76212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AC9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6"/>
    <col collapsed="false" customWidth="true" hidden="false" outlineLevel="0" max="3" min="3" style="0" width="46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false" outlineLevel="0" collapsed="false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customFormat="false" ht="19.4" hidden="false" customHeight="false" outlineLevel="0" collapsed="false">
      <c r="A4" s="6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customFormat="false" ht="15" hidden="false" customHeight="false" outlineLevel="0" collapsed="false">
      <c r="A5" s="7" t="s">
        <v>3</v>
      </c>
      <c r="B5" s="8" t="s">
        <v>4</v>
      </c>
      <c r="C5" s="9" t="s">
        <v>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false" outlineLevel="0" collapsed="false">
      <c r="A6" s="7" t="s">
        <v>6</v>
      </c>
      <c r="B6" s="8" t="s">
        <v>7</v>
      </c>
      <c r="C6" s="9" t="s">
        <v>8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false" outlineLevel="0" collapsed="false">
      <c r="A7" s="7" t="s">
        <v>9</v>
      </c>
      <c r="B7" s="8" t="s">
        <v>10</v>
      </c>
      <c r="C7" s="9" t="s">
        <v>11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false" outlineLevel="0" collapsed="false">
      <c r="A8" s="7" t="s">
        <v>12</v>
      </c>
      <c r="B8" s="8" t="s">
        <v>13</v>
      </c>
      <c r="C8" s="9" t="s">
        <v>14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customFormat="false" ht="15" hidden="false" customHeight="false" outlineLevel="0" collapsed="false">
      <c r="A9" s="7" t="s">
        <v>15</v>
      </c>
      <c r="B9" s="8" t="s">
        <v>16</v>
      </c>
      <c r="C9" s="9" t="s">
        <v>17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customFormat="false" ht="15" hidden="false" customHeight="false" outlineLevel="0" collapsed="false">
      <c r="A10" s="7" t="s">
        <v>18</v>
      </c>
      <c r="B10" s="10" t="s">
        <v>19</v>
      </c>
      <c r="C10" s="9" t="s">
        <v>20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customFormat="false" ht="15" hidden="false" customHeight="false" outlineLevel="0" collapsed="false">
      <c r="A11" s="7" t="s">
        <v>21</v>
      </c>
      <c r="B11" s="8" t="s">
        <v>22</v>
      </c>
      <c r="C11" s="9" t="s">
        <v>23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customFormat="false" ht="19.4" hidden="false" customHeight="false" outlineLevel="0" collapsed="false">
      <c r="A13" s="6" t="s">
        <v>24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customFormat="false" ht="15" hidden="false" customHeight="false" outlineLevel="0" collapsed="false">
      <c r="A14" s="11" t="s">
        <v>25</v>
      </c>
      <c r="B14" s="8" t="s">
        <v>26</v>
      </c>
      <c r="C14" s="12" t="s">
        <v>27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customFormat="false" ht="15" hidden="false" customHeight="false" outlineLevel="0" collapsed="false">
      <c r="A15" s="11" t="s">
        <v>28</v>
      </c>
      <c r="B15" s="8" t="s">
        <v>29</v>
      </c>
      <c r="C15" s="12" t="s">
        <v>27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customFormat="false" ht="15" hidden="false" customHeight="false" outlineLevel="0" collapsed="false">
      <c r="A16" s="11" t="s">
        <v>30</v>
      </c>
      <c r="B16" s="8" t="s">
        <v>31</v>
      </c>
      <c r="C16" s="12" t="s">
        <v>32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customFormat="false" ht="15" hidden="false" customHeight="false" outlineLevel="0" collapsed="false">
      <c r="A18" s="6" t="s">
        <v>33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customFormat="false" ht="15" hidden="false" customHeight="false" outlineLevel="0" collapsed="false">
      <c r="A19" s="11" t="s">
        <v>34</v>
      </c>
      <c r="B19" s="8" t="s">
        <v>35</v>
      </c>
      <c r="C19" s="13" t="s">
        <v>36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customFormat="false" ht="15" hidden="false" customHeight="false" outlineLevel="0" collapsed="false">
      <c r="A20" s="11" t="s">
        <v>37</v>
      </c>
      <c r="B20" s="8" t="s">
        <v>38</v>
      </c>
      <c r="C20" s="14" t="s">
        <v>39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customFormat="false" ht="15" hidden="false" customHeight="false" outlineLevel="0" collapsed="false">
      <c r="A21" s="11" t="s">
        <v>40</v>
      </c>
      <c r="B21" s="8" t="s">
        <v>41</v>
      </c>
      <c r="C21" s="15" t="s">
        <v>42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customFormat="false" ht="15" hidden="false" customHeight="false" outlineLevel="0" collapsed="false">
      <c r="A23" s="6" t="s">
        <v>43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customFormat="false" ht="15" hidden="false" customHeight="false" outlineLevel="0" collapsed="false">
      <c r="A24" s="16" t="s">
        <v>44</v>
      </c>
      <c r="B24" s="8" t="s">
        <v>45</v>
      </c>
      <c r="C24" s="9" t="s">
        <v>46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customFormat="false" ht="15" hidden="false" customHeight="false" outlineLevel="0" collapsed="false">
      <c r="A25" s="16" t="s">
        <v>47</v>
      </c>
      <c r="B25" s="8" t="s">
        <v>48</v>
      </c>
      <c r="C25" s="9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customFormat="false" ht="15" hidden="false" customHeight="false" outlineLevel="0" collapsed="false">
      <c r="A26" s="16" t="s">
        <v>49</v>
      </c>
      <c r="B26" s="8" t="s">
        <v>50</v>
      </c>
      <c r="C26" s="17" t="s">
        <v>51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customFormat="false" ht="15" hidden="false" customHeight="false" outlineLevel="0" collapsed="false">
      <c r="A27" s="16" t="s">
        <v>52</v>
      </c>
      <c r="B27" s="8" t="s">
        <v>53</v>
      </c>
      <c r="C27" s="9" t="s">
        <v>54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customFormat="false" ht="15" hidden="false" customHeight="false" outlineLevel="0" collapsed="false">
      <c r="A28" s="16" t="s">
        <v>55</v>
      </c>
      <c r="B28" s="8" t="s">
        <v>56</v>
      </c>
      <c r="C28" s="9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customFormat="false" ht="15" hidden="false" customHeight="false" outlineLevel="0" collapsed="false">
      <c r="A29" s="16" t="s">
        <v>57</v>
      </c>
      <c r="B29" s="8" t="s">
        <v>58</v>
      </c>
      <c r="C29" s="9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customFormat="false" ht="15" hidden="false" customHeight="false" outlineLevel="0" collapsed="false">
      <c r="A30" s="16" t="s">
        <v>59</v>
      </c>
      <c r="B30" s="8" t="s">
        <v>60</v>
      </c>
      <c r="C30" s="9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customFormat="false" ht="15" hidden="false" customHeight="false" outlineLevel="0" collapsed="false">
      <c r="A31" s="16" t="s">
        <v>61</v>
      </c>
      <c r="B31" s="8" t="s">
        <v>62</v>
      </c>
      <c r="C31" s="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customFormat="false" ht="15" hidden="false" customHeight="false" outlineLevel="0" collapsed="false">
      <c r="A32" s="16" t="s">
        <v>63</v>
      </c>
      <c r="B32" s="8" t="s">
        <v>64</v>
      </c>
      <c r="C32" s="9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customFormat="false" ht="15" hidden="false" customHeight="false" outlineLevel="0" collapsed="false">
      <c r="A33" s="16" t="s">
        <v>65</v>
      </c>
      <c r="B33" s="8" t="s">
        <v>66</v>
      </c>
      <c r="C33" s="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customFormat="false" ht="15" hidden="false" customHeight="false" outlineLevel="0" collapsed="false">
      <c r="A34" s="16" t="s">
        <v>67</v>
      </c>
      <c r="B34" s="8" t="s">
        <v>68</v>
      </c>
      <c r="C34" s="9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customFormat="false" ht="15" hidden="false" customHeight="false" outlineLevel="0" collapsed="false">
      <c r="A36" s="6" t="s">
        <v>69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customFormat="false" ht="15" hidden="false" customHeight="false" outlineLevel="0" collapsed="false">
      <c r="A37" s="11" t="s">
        <v>70</v>
      </c>
      <c r="B37" s="8" t="s">
        <v>71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customFormat="false" ht="15" hidden="false" customHeight="false" outlineLevel="0" collapsed="false">
      <c r="A38" s="11" t="s">
        <v>72</v>
      </c>
      <c r="B38" s="8" t="s">
        <v>73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customFormat="false" ht="15" hidden="false" customHeight="false" outlineLevel="0" collapsed="false">
      <c r="A39" s="11" t="s">
        <v>74</v>
      </c>
      <c r="B39" s="8" t="s">
        <v>75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customFormat="false" ht="15" hidden="false" customHeight="false" outlineLevel="0" collapsed="false">
      <c r="A41" s="6" t="s">
        <v>76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customFormat="false" ht="15" hidden="false" customHeight="false" outlineLevel="0" collapsed="false">
      <c r="A42" s="11" t="s">
        <v>77</v>
      </c>
      <c r="B42" s="8" t="s">
        <v>78</v>
      </c>
      <c r="C42" s="12" t="s">
        <v>27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customFormat="false" ht="15" hidden="false" customHeight="false" outlineLevel="0" collapsed="false">
      <c r="A43" s="11" t="s">
        <v>79</v>
      </c>
      <c r="B43" s="8" t="s">
        <v>80</v>
      </c>
      <c r="C43" s="12" t="s">
        <v>32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customFormat="false" ht="15" hidden="false" customHeight="false" outlineLevel="0" collapsed="false">
      <c r="A44" s="11" t="s">
        <v>81</v>
      </c>
      <c r="B44" s="8" t="s">
        <v>82</v>
      </c>
      <c r="C44" s="12" t="s">
        <v>32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customFormat="false" ht="15" hidden="false" customHeight="false" outlineLevel="0" collapsed="false">
      <c r="A45" s="11" t="s">
        <v>83</v>
      </c>
      <c r="B45" s="8" t="s">
        <v>84</v>
      </c>
      <c r="C45" s="12" t="s">
        <v>85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customFormat="false" ht="15" hidden="false" customHeight="false" outlineLevel="0" collapsed="false">
      <c r="A46" s="11" t="s">
        <v>86</v>
      </c>
      <c r="B46" s="8" t="s">
        <v>87</v>
      </c>
      <c r="C46" s="12" t="s">
        <v>27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customFormat="false" ht="15" hidden="false" customHeight="false" outlineLevel="0" collapsed="false">
      <c r="A47" s="11" t="s">
        <v>88</v>
      </c>
      <c r="B47" s="8" t="s">
        <v>89</v>
      </c>
      <c r="C47" s="12" t="s">
        <v>32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customFormat="false" ht="15" hidden="false" customHeight="false" outlineLevel="0" collapsed="false">
      <c r="A49" s="6" t="s">
        <v>90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customFormat="false" ht="15" hidden="false" customHeight="false" outlineLevel="0" collapsed="false">
      <c r="A50" s="18" t="s">
        <v>91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customFormat="false" ht="15" hidden="false" customHeight="false" outlineLevel="0" collapsed="false">
      <c r="A51" s="18" t="s">
        <v>92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customFormat="false" ht="15" hidden="false" customHeight="false" outlineLevel="0" collapsed="false">
      <c r="A52" s="18" t="s">
        <v>93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customFormat="false" ht="15" hidden="false" customHeight="false" outlineLevel="0" collapsed="false">
      <c r="A53" s="18" t="s">
        <v>94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customFormat="false" ht="15" hidden="false" customHeight="false" outlineLevel="0" collapsed="false">
      <c r="A54" s="18" t="s">
        <v>95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customFormat="false" ht="15" hidden="false" customHeight="false" outlineLevel="0" collapsed="false">
      <c r="A55" s="18" t="s">
        <v>96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customFormat="false" ht="15" hidden="false" customHeight="false" outlineLevel="0" collapsed="false">
      <c r="A56" s="18" t="s">
        <v>97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AC1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8"/>
    <col collapsed="false" customWidth="true" hidden="false" outlineLevel="0" max="3" min="3" style="0" width="40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false" outlineLevel="0" collapsed="false">
      <c r="A2" s="4" t="s">
        <v>99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15" hidden="false" customHeight="false" outlineLevel="0" collapsed="false">
      <c r="A3" s="19" t="s">
        <v>100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customFormat="false" ht="15" hidden="false" customHeight="false" outlineLevel="0" collapsed="false">
      <c r="A4" s="6" t="s">
        <v>101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5" hidden="false" customHeight="false" outlineLevel="0" collapsed="false">
      <c r="A5" s="11" t="s">
        <v>102</v>
      </c>
      <c r="B5" s="10" t="s">
        <v>103</v>
      </c>
      <c r="C5" s="9" t="s">
        <v>104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false" outlineLevel="0" collapsed="false">
      <c r="A6" s="11" t="s">
        <v>105</v>
      </c>
      <c r="B6" s="8" t="s">
        <v>106</v>
      </c>
      <c r="C6" s="9" t="s">
        <v>104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15" hidden="false" customHeight="false" outlineLevel="0" collapsed="false">
      <c r="A7" s="11" t="s">
        <v>107</v>
      </c>
      <c r="B7" s="8" t="s">
        <v>108</v>
      </c>
      <c r="C7" s="9" t="s">
        <v>104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15" hidden="false" customHeight="false" outlineLevel="0" collapsed="false">
      <c r="A8" s="11" t="s">
        <v>109</v>
      </c>
      <c r="B8" s="8" t="s">
        <v>110</v>
      </c>
      <c r="C8" s="9" t="s">
        <v>111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customFormat="false" ht="15" hidden="false" customHeight="false" outlineLevel="0" collapsed="false">
      <c r="A9" s="11" t="s">
        <v>112</v>
      </c>
      <c r="B9" s="8" t="s">
        <v>113</v>
      </c>
      <c r="C9" s="9" t="s">
        <v>114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customFormat="false" ht="15" hidden="false" customHeight="false" outlineLevel="0" collapsed="false">
      <c r="A10" s="11" t="s">
        <v>115</v>
      </c>
      <c r="B10" s="8" t="s">
        <v>116</v>
      </c>
      <c r="C10" s="9" t="s">
        <v>114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19.4" hidden="false" customHeight="false" outlineLevel="0" collapsed="false">
      <c r="A12" s="20" t="s">
        <v>117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customFormat="false" ht="15" hidden="false" customHeight="false" outlineLevel="0" collapsed="false">
      <c r="A13" s="18" t="s">
        <v>118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5" hidden="false" customHeight="false" outlineLevel="0" collapsed="false">
      <c r="A14" s="18" t="s">
        <v>119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15" hidden="false" customHeight="false" outlineLevel="0" collapsed="false">
      <c r="A15" s="18" t="s">
        <v>120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false" outlineLevel="0" collapsed="false">
      <c r="A16" s="18" t="s">
        <v>121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customFormat="false" ht="15" hidden="false" customHeight="false" outlineLevel="0" collapsed="false">
      <c r="A17" s="18" t="s">
        <v>122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customFormat="false" ht="15" hidden="false" customHeight="false" outlineLevel="0" collapsed="false">
      <c r="A18" s="18" t="s">
        <v>123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Format="false" ht="19.4" hidden="false" customHeight="false" outlineLevel="0" collapsed="false">
      <c r="A20" s="20" t="s">
        <v>124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customFormat="false" ht="15" hidden="false" customHeight="false" outlineLevel="0" collapsed="false">
      <c r="A21" s="18" t="s">
        <v>125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customFormat="false" ht="15" hidden="false" customHeight="false" outlineLevel="0" collapsed="false">
      <c r="A22" s="18" t="s">
        <v>126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customFormat="false" ht="15" hidden="false" customHeight="false" outlineLevel="0" collapsed="false">
      <c r="A23" s="18" t="s">
        <v>127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Format="false" ht="15" hidden="false" customHeight="false" outlineLevel="0" collapsed="false">
      <c r="A24" s="18" t="s">
        <v>128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customFormat="false" ht="15" hidden="false" customHeight="false" outlineLevel="0" collapsed="false">
      <c r="A25" s="18" t="s">
        <v>129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customFormat="false" ht="15" hidden="false" customHeight="false" outlineLevel="0" collapsed="false">
      <c r="A26" s="18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customFormat="false" ht="15" hidden="false" customHeight="false" outlineLevel="0" collapsed="false">
      <c r="A27" s="18" t="s">
        <v>130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customFormat="false" ht="15" hidden="false" customHeight="false" outlineLevel="0" collapsed="false">
      <c r="A28" s="18" t="s">
        <v>131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customFormat="false" ht="15" hidden="false" customHeight="false" outlineLevel="0" collapsed="false">
      <c r="A29" s="18" t="s">
        <v>132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customFormat="false" ht="15" hidden="false" customHeight="false" outlineLevel="0" collapsed="false">
      <c r="A30" s="18" t="s">
        <v>133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customFormat="false" ht="15" hidden="false" customHeight="false" outlineLevel="0" collapsed="false">
      <c r="A31" s="18" t="s">
        <v>134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customFormat="false" ht="15" hidden="false" customHeight="false" outlineLevel="0" collapsed="false">
      <c r="A32" s="18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customFormat="false" ht="15" hidden="false" customHeight="false" outlineLevel="0" collapsed="false">
      <c r="A33" s="18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customFormat="false" ht="15" hidden="false" customHeight="false" outlineLevel="0" collapsed="false">
      <c r="A34" s="18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customFormat="false" ht="15" hidden="false" customHeight="false" outlineLevel="0" collapsed="false">
      <c r="A35" s="18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customFormat="false" ht="15" hidden="false" customHeight="false" outlineLevel="0" collapsed="false">
      <c r="A36" s="18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customFormat="false" ht="19.4" hidden="false" customHeight="false" outlineLevel="0" collapsed="false">
      <c r="A39" s="20" t="s">
        <v>139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customFormat="false" ht="15" hidden="false" customHeight="false" outlineLevel="0" collapsed="false">
      <c r="A40" s="18" t="s">
        <v>140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customFormat="false" ht="15" hidden="false" customHeight="false" outlineLevel="0" collapsed="false">
      <c r="A41" s="18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customFormat="false" ht="15" hidden="false" customHeight="false" outlineLevel="0" collapsed="false">
      <c r="A42" s="18" t="s">
        <v>141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customFormat="false" ht="15" hidden="false" customHeight="false" outlineLevel="0" collapsed="false">
      <c r="A43" s="18" t="s">
        <v>142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customFormat="false" ht="15" hidden="false" customHeight="false" outlineLevel="0" collapsed="false">
      <c r="A44" s="18" t="s">
        <v>143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customFormat="false" ht="15" hidden="false" customHeight="false" outlineLevel="0" collapsed="false">
      <c r="A45" s="18" t="s">
        <v>144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customFormat="false" ht="15" hidden="false" customHeight="false" outlineLevel="0" collapsed="false">
      <c r="A46" s="18" t="s">
        <v>145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Format="false" ht="15" hidden="false" customHeight="false" outlineLevel="0" collapsed="false">
      <c r="A47" s="18" t="s">
        <v>146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customFormat="false" ht="15" hidden="false" customHeight="false" outlineLevel="0" collapsed="false">
      <c r="A48" s="18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customFormat="false" ht="15" hidden="false" customHeight="false" outlineLevel="0" collapsed="false">
      <c r="A49" s="18" t="s">
        <v>147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customFormat="false" ht="15" hidden="false" customHeight="false" outlineLevel="0" collapsed="false">
      <c r="A50" s="18" t="s">
        <v>148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customFormat="false" ht="15" hidden="false" customHeight="false" outlineLevel="0" collapsed="false">
      <c r="A51" s="18" t="s">
        <v>149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customFormat="false" ht="15" hidden="false" customHeight="false" outlineLevel="0" collapsed="false">
      <c r="A52" s="18" t="s">
        <v>150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customFormat="false" ht="15" hidden="false" customHeight="false" outlineLevel="0" collapsed="false">
      <c r="A53" s="18" t="s">
        <v>151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customFormat="false" ht="15" hidden="false" customHeight="false" outlineLevel="0" collapsed="false">
      <c r="A54" s="18" t="s">
        <v>152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customFormat="false" ht="15" hidden="false" customHeight="false" outlineLevel="0" collapsed="false">
      <c r="A55" s="18" t="s">
        <v>153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customFormat="false" ht="15" hidden="false" customHeight="false" outlineLevel="0" collapsed="false">
      <c r="A56" s="18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customFormat="false" ht="15" hidden="false" customHeight="false" outlineLevel="0" collapsed="false">
      <c r="A57" s="18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customFormat="false" ht="15" hidden="false" customHeight="false" outlineLevel="0" collapsed="false">
      <c r="A58" s="18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customFormat="false" ht="15" hidden="false" customHeight="false" outlineLevel="0" collapsed="false">
      <c r="A59" s="18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customFormat="false" ht="15" hidden="false" customHeight="false" outlineLevel="0" collapsed="false">
      <c r="A60" s="18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customFormat="false" ht="15" hidden="false" customHeight="false" outlineLevel="0" collapsed="false">
      <c r="A61" s="18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customFormat="false" ht="15" hidden="false" customHeight="false" outlineLevel="0" collapsed="false">
      <c r="A62" s="18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customFormat="false" ht="15" hidden="false" customHeight="false" outlineLevel="0" collapsed="false">
      <c r="A63" s="18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customFormat="false" ht="15" hidden="false" customHeight="false" outlineLevel="0" collapsed="false">
      <c r="A64" s="18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customFormat="false" ht="15" hidden="false" customHeight="false" outlineLevel="0" collapsed="false">
      <c r="A65" s="18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customFormat="false" ht="19.4" hidden="false" customHeight="false" outlineLevel="0" collapsed="false">
      <c r="A71" s="20" t="s">
        <v>163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customFormat="false" ht="15" hidden="false" customHeight="false" outlineLevel="0" collapsed="false">
      <c r="A72" s="18" t="s">
        <v>164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customFormat="false" ht="15" hidden="false" customHeight="false" outlineLevel="0" collapsed="false">
      <c r="A73" s="18" t="s">
        <v>165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customFormat="false" ht="15" hidden="false" customHeight="false" outlineLevel="0" collapsed="false">
      <c r="A74" s="18" t="s">
        <v>166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customFormat="false" ht="15" hidden="false" customHeight="false" outlineLevel="0" collapsed="false">
      <c r="A75" s="18" t="s">
        <v>167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customFormat="false" ht="15" hidden="false" customHeight="false" outlineLevel="0" collapsed="false">
      <c r="A76" s="18" t="s">
        <v>168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customFormat="false" ht="15" hidden="false" customHeight="false" outlineLevel="0" collapsed="false">
      <c r="A77" s="18" t="s">
        <v>169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customFormat="false" ht="19.4" hidden="false" customHeight="false" outlineLevel="0" collapsed="false">
      <c r="A79" s="20" t="s">
        <v>170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customFormat="false" ht="15" hidden="false" customHeight="false" outlineLevel="0" collapsed="false">
      <c r="A80" s="21" t="s">
        <v>171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customFormat="false" ht="15" hidden="false" customHeight="false" outlineLevel="0" collapsed="false">
      <c r="A81" s="21" t="s">
        <v>172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customFormat="false" ht="15" hidden="false" customHeight="false" outlineLevel="0" collapsed="false">
      <c r="A82" s="21" t="s">
        <v>173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customFormat="false" ht="15" hidden="false" customHeight="false" outlineLevel="0" collapsed="false">
      <c r="A83" s="21" t="s">
        <v>174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customFormat="false" ht="15" hidden="false" customHeight="false" outlineLevel="0" collapsed="false">
      <c r="A84" s="21" t="s">
        <v>172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customFormat="false" ht="15" hidden="false" customHeight="false" outlineLevel="0" collapsed="false">
      <c r="A85" s="21" t="s">
        <v>173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customFormat="false" ht="15" hidden="false" customHeight="false" outlineLevel="0" collapsed="false">
      <c r="A86" s="21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customFormat="false" ht="15" hidden="false" customHeight="false" outlineLevel="0" collapsed="false">
      <c r="A87" s="21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customFormat="false" ht="15" hidden="false" customHeight="false" outlineLevel="0" collapsed="false">
      <c r="A88" s="21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customFormat="false" ht="15" hidden="false" customHeight="false" outlineLevel="0" collapsed="false">
      <c r="A89" s="21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customFormat="false" ht="15" hidden="false" customHeight="false" outlineLevel="0" collapsed="false">
      <c r="A90" s="21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customFormat="false" ht="19.4" hidden="false" customHeight="false" outlineLevel="0" collapsed="false">
      <c r="A91" s="20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customFormat="false" ht="15" hidden="false" customHeight="false" outlineLevel="0" collapsed="false">
      <c r="A92" s="18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customFormat="false" ht="15" hidden="false" customHeight="false" outlineLevel="0" collapsed="false">
      <c r="A93" s="18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customFormat="false" ht="15" hidden="false" customHeight="false" outlineLevel="0" collapsed="false">
      <c r="A94" s="18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customFormat="false" ht="15" hidden="false" customHeight="false" outlineLevel="0" collapsed="false">
      <c r="A95" s="18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customFormat="false" ht="15" hidden="false" customHeight="false" outlineLevel="0" collapsed="false">
      <c r="A96" s="18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customFormat="false" ht="15" hidden="false" customHeight="false" outlineLevel="0" collapsed="false">
      <c r="A97" s="18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customFormat="false" ht="15" hidden="false" customHeight="false" outlineLevel="0" collapsed="false">
      <c r="A98" s="18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customFormat="false" ht="15" hidden="false" customHeight="false" outlineLevel="0" collapsed="false">
      <c r="A99" s="18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customFormat="false" ht="19.4" hidden="false" customHeight="false" outlineLevel="0" collapsed="false">
      <c r="A101" s="20" t="s">
        <v>189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customFormat="false" ht="15" hidden="false" customHeight="false" outlineLevel="0" collapsed="false">
      <c r="A102" s="16" t="s">
        <v>190</v>
      </c>
      <c r="B102" s="10" t="s">
        <v>191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customFormat="false" ht="15" hidden="false" customHeight="false" outlineLevel="0" collapsed="false">
      <c r="A103" s="16" t="s">
        <v>192</v>
      </c>
      <c r="B103" s="10" t="s">
        <v>193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customFormat="false" ht="15" hidden="false" customHeight="false" outlineLevel="0" collapsed="false">
      <c r="A104" s="16" t="s">
        <v>194</v>
      </c>
      <c r="B104" s="10" t="s">
        <v>195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customFormat="false" ht="15" hidden="false" customHeight="false" outlineLevel="0" collapsed="false">
      <c r="A105" s="16" t="s">
        <v>196</v>
      </c>
      <c r="B105" s="10" t="s">
        <v>197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customFormat="false" ht="15" hidden="false" customHeight="false" outlineLevel="0" collapsed="false">
      <c r="A106" s="16" t="s">
        <v>198</v>
      </c>
      <c r="B106" s="10" t="s">
        <v>199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customFormat="false" ht="15" hidden="false" customHeight="false" outlineLevel="0" collapsed="false">
      <c r="A107" s="16" t="s">
        <v>200</v>
      </c>
      <c r="B107" s="10" t="s">
        <v>201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customFormat="false" ht="19.4" hidden="false" customHeight="false" outlineLevel="0" collapsed="false">
      <c r="A110" s="20" t="s">
        <v>202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customFormat="false" ht="15" hidden="false" customHeight="false" outlineLevel="0" collapsed="false">
      <c r="A111" s="18" t="s">
        <v>203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customFormat="false" ht="1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customFormat="false" ht="1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E9"/>
    <pageSetUpPr fitToPage="false"/>
  </sheetPr>
  <dimension ref="A1:AC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204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false" outlineLevel="0" collapsed="false">
      <c r="A2" s="22" t="s">
        <v>205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customFormat="false" ht="15" hidden="false" customHeight="false" outlineLevel="0" collapsed="false">
      <c r="A4" s="23" t="s">
        <v>206</v>
      </c>
      <c r="B4" s="24" t="s">
        <v>207</v>
      </c>
      <c r="C4" s="24" t="s">
        <v>208</v>
      </c>
      <c r="D4" s="24" t="s">
        <v>209</v>
      </c>
      <c r="E4" s="24" t="s">
        <v>210</v>
      </c>
      <c r="F4" s="23" t="s">
        <v>211</v>
      </c>
      <c r="G4" s="23" t="s">
        <v>212</v>
      </c>
      <c r="H4" s="23" t="s">
        <v>213</v>
      </c>
      <c r="I4" s="5"/>
      <c r="J4" s="5"/>
      <c r="K4" s="5"/>
      <c r="L4" s="5"/>
      <c r="M4" s="5"/>
      <c r="N4" s="5"/>
    </row>
    <row r="5" customFormat="false" ht="15" hidden="false" customHeight="false" outlineLevel="0" collapsed="false">
      <c r="A5" s="13" t="s">
        <v>214</v>
      </c>
      <c r="B5" s="25" t="n">
        <v>205</v>
      </c>
      <c r="C5" s="25" t="n">
        <v>7850</v>
      </c>
      <c r="D5" s="25" t="n">
        <v>0.3</v>
      </c>
      <c r="E5" s="25" t="n">
        <v>0.0002</v>
      </c>
      <c r="F5" s="26" t="s">
        <v>215</v>
      </c>
      <c r="G5" s="27" t="s">
        <v>27</v>
      </c>
      <c r="H5" s="27" t="s">
        <v>216</v>
      </c>
      <c r="I5" s="5"/>
      <c r="J5" s="5"/>
      <c r="K5" s="5"/>
      <c r="L5" s="5"/>
      <c r="M5" s="5"/>
      <c r="N5" s="5"/>
    </row>
    <row r="6" customFormat="false" ht="15" hidden="false" customHeight="false" outlineLevel="0" collapsed="false">
      <c r="A6" s="13" t="s">
        <v>217</v>
      </c>
      <c r="B6" s="25" t="n">
        <v>205</v>
      </c>
      <c r="C6" s="25" t="n">
        <v>7850</v>
      </c>
      <c r="D6" s="25" t="n">
        <v>0.3</v>
      </c>
      <c r="E6" s="25" t="n">
        <v>0.0002</v>
      </c>
      <c r="F6" s="26" t="s">
        <v>215</v>
      </c>
      <c r="G6" s="27" t="s">
        <v>27</v>
      </c>
      <c r="H6" s="27" t="s">
        <v>218</v>
      </c>
      <c r="I6" s="5"/>
      <c r="J6" s="5"/>
      <c r="K6" s="5"/>
      <c r="L6" s="5"/>
      <c r="M6" s="5"/>
      <c r="N6" s="5"/>
    </row>
    <row r="7" customFormat="false" ht="15" hidden="false" customHeight="false" outlineLevel="0" collapsed="false">
      <c r="A7" s="13" t="s">
        <v>219</v>
      </c>
      <c r="B7" s="25" t="n">
        <v>205</v>
      </c>
      <c r="C7" s="25" t="n">
        <v>7850</v>
      </c>
      <c r="D7" s="25" t="n">
        <v>0.3</v>
      </c>
      <c r="E7" s="25" t="n">
        <v>0.0002</v>
      </c>
      <c r="F7" s="26" t="s">
        <v>215</v>
      </c>
      <c r="G7" s="27" t="s">
        <v>27</v>
      </c>
      <c r="H7" s="27" t="s">
        <v>218</v>
      </c>
      <c r="I7" s="5"/>
      <c r="J7" s="5"/>
      <c r="K7" s="5"/>
      <c r="L7" s="5"/>
      <c r="M7" s="5"/>
      <c r="N7" s="5"/>
    </row>
    <row r="8" customFormat="false" ht="15" hidden="false" customHeight="false" outlineLevel="0" collapsed="false">
      <c r="A8" s="13" t="s">
        <v>220</v>
      </c>
      <c r="B8" s="25" t="n">
        <v>193</v>
      </c>
      <c r="C8" s="25" t="n">
        <v>7930</v>
      </c>
      <c r="D8" s="25" t="n">
        <v>0.3</v>
      </c>
      <c r="E8" s="25" t="n">
        <v>0.0005</v>
      </c>
      <c r="F8" s="26" t="s">
        <v>215</v>
      </c>
      <c r="G8" s="27" t="s">
        <v>27</v>
      </c>
      <c r="H8" s="27" t="s">
        <v>218</v>
      </c>
      <c r="I8" s="5"/>
      <c r="J8" s="5"/>
      <c r="K8" s="5"/>
      <c r="L8" s="5"/>
      <c r="M8" s="5"/>
      <c r="N8" s="5"/>
    </row>
    <row r="9" customFormat="false" ht="15" hidden="false" customHeight="false" outlineLevel="0" collapsed="false">
      <c r="A9" s="13" t="s">
        <v>221</v>
      </c>
      <c r="B9" s="25" t="n">
        <v>206</v>
      </c>
      <c r="C9" s="25" t="n">
        <v>7850</v>
      </c>
      <c r="D9" s="25" t="n">
        <v>0.3</v>
      </c>
      <c r="E9" s="25" t="n">
        <v>0.0002</v>
      </c>
      <c r="F9" s="26" t="s">
        <v>215</v>
      </c>
      <c r="G9" s="27" t="s">
        <v>27</v>
      </c>
      <c r="H9" s="27" t="s">
        <v>218</v>
      </c>
      <c r="I9" s="5"/>
      <c r="J9" s="5"/>
      <c r="K9" s="5"/>
      <c r="L9" s="5"/>
      <c r="M9" s="5"/>
      <c r="N9" s="5"/>
    </row>
    <row r="10" customFormat="false" ht="15" hidden="false" customHeight="false" outlineLevel="0" collapsed="false">
      <c r="A10" s="13" t="s">
        <v>222</v>
      </c>
      <c r="B10" s="25" t="n">
        <v>105</v>
      </c>
      <c r="C10" s="25" t="n">
        <v>7200</v>
      </c>
      <c r="D10" s="25" t="n">
        <v>0.26</v>
      </c>
      <c r="E10" s="25" t="n">
        <v>0.0015</v>
      </c>
      <c r="F10" s="26" t="s">
        <v>215</v>
      </c>
      <c r="G10" s="27" t="s">
        <v>32</v>
      </c>
      <c r="H10" s="27" t="s">
        <v>223</v>
      </c>
      <c r="I10" s="5"/>
      <c r="J10" s="5"/>
      <c r="K10" s="5"/>
      <c r="L10" s="5"/>
      <c r="M10" s="5"/>
      <c r="N10" s="5"/>
    </row>
    <row r="11" customFormat="false" ht="15" hidden="false" customHeight="false" outlineLevel="0" collapsed="false">
      <c r="A11" s="13" t="s">
        <v>224</v>
      </c>
      <c r="B11" s="25" t="n">
        <v>70</v>
      </c>
      <c r="C11" s="25" t="n">
        <v>2680</v>
      </c>
      <c r="D11" s="25" t="n">
        <v>0.33</v>
      </c>
      <c r="E11" s="25" t="n">
        <v>0.0001</v>
      </c>
      <c r="F11" s="26" t="s">
        <v>215</v>
      </c>
      <c r="G11" s="27" t="s">
        <v>27</v>
      </c>
      <c r="H11" s="27" t="s">
        <v>218</v>
      </c>
      <c r="I11" s="5"/>
      <c r="J11" s="5"/>
      <c r="K11" s="5"/>
      <c r="L11" s="5"/>
      <c r="M11" s="5"/>
      <c r="N11" s="5"/>
    </row>
    <row r="12" customFormat="false" ht="15" hidden="false" customHeight="false" outlineLevel="0" collapsed="false">
      <c r="A12" s="13" t="s">
        <v>225</v>
      </c>
      <c r="B12" s="25" t="n">
        <v>69</v>
      </c>
      <c r="C12" s="25" t="n">
        <v>2700</v>
      </c>
      <c r="D12" s="25" t="n">
        <v>0.33</v>
      </c>
      <c r="E12" s="25" t="n">
        <v>0.0001</v>
      </c>
      <c r="F12" s="26" t="s">
        <v>215</v>
      </c>
      <c r="G12" s="27" t="s">
        <v>27</v>
      </c>
      <c r="H12" s="27" t="s">
        <v>218</v>
      </c>
      <c r="I12" s="5"/>
      <c r="J12" s="5"/>
      <c r="K12" s="5"/>
      <c r="L12" s="5"/>
      <c r="M12" s="5"/>
      <c r="N12" s="5"/>
    </row>
    <row r="13" customFormat="false" ht="15" hidden="false" customHeight="false" outlineLevel="0" collapsed="false">
      <c r="A13" s="13" t="s">
        <v>226</v>
      </c>
      <c r="B13" s="25" t="n">
        <v>114</v>
      </c>
      <c r="C13" s="25" t="n">
        <v>4430</v>
      </c>
      <c r="D13" s="25" t="n">
        <v>0.34</v>
      </c>
      <c r="E13" s="25" t="n">
        <v>0.0002</v>
      </c>
      <c r="F13" s="26" t="s">
        <v>215</v>
      </c>
      <c r="G13" s="27" t="s">
        <v>27</v>
      </c>
      <c r="H13" s="27" t="s">
        <v>227</v>
      </c>
      <c r="I13" s="5"/>
      <c r="J13" s="5"/>
      <c r="K13" s="5"/>
      <c r="L13" s="5"/>
      <c r="M13" s="5"/>
      <c r="N13" s="5"/>
    </row>
    <row r="14" customFormat="false" ht="15" hidden="false" customHeight="false" outlineLevel="0" collapsed="false">
      <c r="A14" s="13" t="s">
        <v>228</v>
      </c>
      <c r="B14" s="25" t="n">
        <v>117</v>
      </c>
      <c r="C14" s="25" t="n">
        <v>8940</v>
      </c>
      <c r="D14" s="25" t="n">
        <v>0.34</v>
      </c>
      <c r="E14" s="25" t="n">
        <v>0.002</v>
      </c>
      <c r="F14" s="26" t="s">
        <v>215</v>
      </c>
      <c r="G14" s="27" t="s">
        <v>27</v>
      </c>
      <c r="H14" s="27" t="s">
        <v>218</v>
      </c>
      <c r="I14" s="5"/>
      <c r="J14" s="5"/>
      <c r="K14" s="5"/>
      <c r="L14" s="5"/>
      <c r="M14" s="5"/>
      <c r="N14" s="5"/>
    </row>
    <row r="15" customFormat="false" ht="15" hidden="false" customHeight="false" outlineLevel="0" collapsed="false">
      <c r="A15" s="13" t="s">
        <v>229</v>
      </c>
      <c r="B15" s="25" t="n">
        <v>103</v>
      </c>
      <c r="C15" s="25" t="n">
        <v>8530</v>
      </c>
      <c r="D15" s="25" t="n">
        <v>0.35</v>
      </c>
      <c r="E15" s="25" t="n">
        <v>0.001</v>
      </c>
      <c r="F15" s="26" t="s">
        <v>215</v>
      </c>
      <c r="G15" s="27" t="s">
        <v>27</v>
      </c>
      <c r="H15" s="27" t="s">
        <v>218</v>
      </c>
      <c r="I15" s="5"/>
      <c r="J15" s="5"/>
      <c r="K15" s="5"/>
      <c r="L15" s="5"/>
      <c r="M15" s="5"/>
      <c r="N15" s="5"/>
    </row>
    <row r="16" customFormat="false" ht="15" hidden="false" customHeight="false" outlineLevel="0" collapsed="false">
      <c r="A16" s="13" t="s">
        <v>230</v>
      </c>
      <c r="B16" s="25" t="n">
        <v>205</v>
      </c>
      <c r="C16" s="25" t="n">
        <v>7850</v>
      </c>
      <c r="D16" s="25" t="n">
        <v>0.3</v>
      </c>
      <c r="E16" s="25" t="n">
        <v>0.0002</v>
      </c>
      <c r="F16" s="26" t="s">
        <v>231</v>
      </c>
      <c r="G16" s="27" t="s">
        <v>27</v>
      </c>
      <c r="H16" s="27" t="s">
        <v>218</v>
      </c>
      <c r="I16" s="5"/>
      <c r="J16" s="5"/>
      <c r="K16" s="5"/>
      <c r="L16" s="5"/>
      <c r="M16" s="5"/>
      <c r="N16" s="5"/>
    </row>
    <row r="17" customFormat="false" ht="15" hidden="false" customHeight="false" outlineLevel="0" collapsed="false">
      <c r="A17" s="13" t="s">
        <v>232</v>
      </c>
      <c r="B17" s="25" t="n">
        <v>0.01</v>
      </c>
      <c r="C17" s="25" t="n">
        <v>1300</v>
      </c>
      <c r="D17" s="25" t="n">
        <v>0.49</v>
      </c>
      <c r="E17" s="25" t="n">
        <v>0.3</v>
      </c>
      <c r="F17" s="26" t="s">
        <v>231</v>
      </c>
      <c r="G17" s="27" t="s">
        <v>85</v>
      </c>
      <c r="H17" s="26" t="s">
        <v>233</v>
      </c>
      <c r="I17" s="5"/>
      <c r="J17" s="5"/>
      <c r="K17" s="5"/>
      <c r="L17" s="5"/>
      <c r="M17" s="5"/>
      <c r="N17" s="5"/>
    </row>
    <row r="18" customFormat="false" ht="15" hidden="false" customHeight="false" outlineLevel="0" collapsed="false">
      <c r="A18" s="13" t="s">
        <v>234</v>
      </c>
      <c r="B18" s="25" t="n">
        <v>0.05</v>
      </c>
      <c r="C18" s="25" t="n">
        <v>1400</v>
      </c>
      <c r="D18" s="25" t="n">
        <v>0.49</v>
      </c>
      <c r="E18" s="25" t="n">
        <v>0.2</v>
      </c>
      <c r="F18" s="26" t="s">
        <v>231</v>
      </c>
      <c r="G18" s="27" t="s">
        <v>85</v>
      </c>
      <c r="H18" s="26" t="s">
        <v>235</v>
      </c>
      <c r="I18" s="5"/>
      <c r="J18" s="5"/>
      <c r="K18" s="5"/>
      <c r="L18" s="5"/>
      <c r="M18" s="5"/>
      <c r="N18" s="5"/>
    </row>
    <row r="19" customFormat="false" ht="15" hidden="false" customHeight="false" outlineLevel="0" collapsed="false">
      <c r="A19" s="13" t="s">
        <v>236</v>
      </c>
      <c r="B19" s="25" t="n">
        <v>114</v>
      </c>
      <c r="C19" s="25" t="n">
        <v>4430</v>
      </c>
      <c r="D19" s="25" t="n">
        <v>0.34</v>
      </c>
      <c r="E19" s="25" t="n">
        <v>0.0002</v>
      </c>
      <c r="F19" s="26" t="s">
        <v>231</v>
      </c>
      <c r="G19" s="27" t="s">
        <v>27</v>
      </c>
      <c r="H19" s="27" t="s">
        <v>227</v>
      </c>
      <c r="I19" s="5"/>
      <c r="J19" s="5"/>
      <c r="K19" s="5"/>
      <c r="L19" s="5"/>
      <c r="M19" s="5"/>
      <c r="N19" s="5"/>
    </row>
    <row r="20" customFormat="false" ht="15" hidden="false" customHeight="false" outlineLevel="0" collapsed="false">
      <c r="A20" s="13" t="s">
        <v>237</v>
      </c>
      <c r="B20" s="25" t="n">
        <v>3</v>
      </c>
      <c r="C20" s="25" t="n">
        <v>1300</v>
      </c>
      <c r="D20" s="25" t="n">
        <v>0.35</v>
      </c>
      <c r="E20" s="25" t="n">
        <v>0.08</v>
      </c>
      <c r="F20" s="26" t="s">
        <v>238</v>
      </c>
      <c r="G20" s="27" t="s">
        <v>85</v>
      </c>
      <c r="H20" s="26" t="s">
        <v>239</v>
      </c>
      <c r="I20" s="5"/>
      <c r="J20" s="5"/>
      <c r="K20" s="5"/>
      <c r="L20" s="5"/>
      <c r="M20" s="5"/>
      <c r="N20" s="5"/>
    </row>
    <row r="21" customFormat="false" ht="15" hidden="false" customHeight="false" outlineLevel="0" collapsed="false">
      <c r="A21" s="28" t="s">
        <v>240</v>
      </c>
      <c r="B21" s="25" t="n">
        <v>0</v>
      </c>
      <c r="C21" s="25" t="n">
        <v>1</v>
      </c>
      <c r="D21" s="25" t="n">
        <v>0</v>
      </c>
      <c r="E21" s="25" t="n">
        <v>0</v>
      </c>
      <c r="F21" s="27" t="s">
        <v>241</v>
      </c>
      <c r="G21" s="27" t="s">
        <v>241</v>
      </c>
      <c r="H21" s="26" t="s">
        <v>242</v>
      </c>
      <c r="I21" s="5"/>
      <c r="J21" s="5"/>
      <c r="K21" s="5"/>
      <c r="L21" s="5"/>
      <c r="M21" s="5"/>
      <c r="N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customFormat="false" ht="15" hidden="false" customHeight="false" outlineLevel="0" collapsed="false">
      <c r="A23" s="18" t="s">
        <v>243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Format="false" ht="15" hidden="false" customHeight="false" outlineLevel="0" collapsed="false">
      <c r="A24" s="18" t="s">
        <v>244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customFormat="false" ht="15" hidden="false" customHeight="false" outlineLevel="0" collapsed="false">
      <c r="A25" s="29" t="s">
        <v>245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J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8" min="5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5" min="11" style="0" width="12"/>
    <col collapsed="false" customWidth="true" hidden="false" outlineLevel="0" max="17" min="16" style="0" width="11"/>
    <col collapsed="false" customWidth="true" hidden="false" outlineLevel="0" max="19" min="18" style="0" width="10"/>
    <col collapsed="false" customWidth="true" hidden="false" outlineLevel="0" max="20" min="20" style="0" width="12"/>
    <col collapsed="false" customWidth="true" hidden="false" outlineLevel="0" max="21" min="21" style="0" width="3"/>
    <col collapsed="false" customWidth="true" hidden="false" outlineLevel="0" max="22" min="22" style="0" width="22"/>
    <col collapsed="false" customWidth="true" hidden="false" outlineLevel="0" max="28" min="23" style="0" width="11"/>
  </cols>
  <sheetData>
    <row r="1" customFormat="false" ht="17.35" hidden="false" customHeight="false" outlineLevel="0" collapsed="false">
      <c r="A1" s="1" t="s">
        <v>246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5"/>
      <c r="AE1" s="5"/>
      <c r="AF1" s="5"/>
      <c r="AG1" s="5"/>
      <c r="AH1" s="5"/>
      <c r="AI1" s="5"/>
      <c r="AJ1" s="5"/>
    </row>
    <row r="2" customFormat="false" ht="15" hidden="false" customHeight="false" outlineLevel="0" collapsed="false">
      <c r="A2" s="22" t="s">
        <v>247</v>
      </c>
      <c r="B2" s="5"/>
      <c r="C2" s="5"/>
      <c r="D2" s="5"/>
      <c r="E2" s="9" t="s">
        <v>248</v>
      </c>
      <c r="F2" s="30" t="n">
        <f aca="false">COUNT($B$5:$B$28)</f>
        <v>22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customFormat="false" ht="17.15" hidden="false" customHeight="false" outlineLevel="0" collapsed="false">
      <c r="A3" s="5"/>
      <c r="B3" s="5"/>
      <c r="C3" s="5"/>
      <c r="D3" s="5"/>
      <c r="E3" s="9" t="s">
        <v>249</v>
      </c>
      <c r="F3" s="30" t="n">
        <f aca="false">IF(SUM($I$5:$I$28)&gt;=0,1,-1)</f>
        <v>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31" t="s">
        <v>250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customFormat="false" ht="15" hidden="false" customHeight="false" outlineLevel="0" collapsed="false">
      <c r="A4" s="32" t="s">
        <v>251</v>
      </c>
      <c r="B4" s="32" t="s">
        <v>252</v>
      </c>
      <c r="C4" s="32" t="s">
        <v>253</v>
      </c>
      <c r="D4" s="33" t="s">
        <v>254</v>
      </c>
      <c r="E4" s="33" t="s">
        <v>255</v>
      </c>
      <c r="F4" s="33" t="s">
        <v>256</v>
      </c>
      <c r="G4" s="33" t="s">
        <v>257</v>
      </c>
      <c r="H4" s="33" t="s">
        <v>258</v>
      </c>
      <c r="I4" s="33" t="s">
        <v>259</v>
      </c>
      <c r="J4" s="33" t="s">
        <v>260</v>
      </c>
      <c r="K4" s="32" t="s">
        <v>261</v>
      </c>
      <c r="L4" s="32" t="s">
        <v>262</v>
      </c>
      <c r="M4" s="32" t="s">
        <v>263</v>
      </c>
      <c r="N4" s="32" t="s">
        <v>264</v>
      </c>
      <c r="O4" s="32" t="s">
        <v>265</v>
      </c>
      <c r="P4" s="33" t="s">
        <v>266</v>
      </c>
      <c r="Q4" s="33" t="s">
        <v>267</v>
      </c>
      <c r="R4" s="33" t="s">
        <v>268</v>
      </c>
      <c r="S4" s="33" t="s">
        <v>269</v>
      </c>
      <c r="T4" s="33" t="s">
        <v>270</v>
      </c>
      <c r="U4" s="5"/>
      <c r="V4" s="8" t="s">
        <v>271</v>
      </c>
      <c r="W4" s="5"/>
      <c r="X4" s="5"/>
      <c r="Y4" s="34" t="n">
        <v>110</v>
      </c>
      <c r="Z4" s="5"/>
      <c r="AA4" s="5"/>
      <c r="AB4" s="5"/>
      <c r="AC4" s="5"/>
      <c r="AD4" s="35" t="s">
        <v>272</v>
      </c>
      <c r="AE4" s="35" t="s">
        <v>273</v>
      </c>
      <c r="AF4" s="5"/>
      <c r="AG4" s="36" t="s">
        <v>274</v>
      </c>
      <c r="AH4" s="36" t="s">
        <v>275</v>
      </c>
      <c r="AI4" s="5"/>
      <c r="AJ4" s="5"/>
    </row>
    <row r="5" customFormat="false" ht="15" hidden="false" customHeight="false" outlineLevel="0" collapsed="false">
      <c r="A5" s="37" t="n">
        <v>1</v>
      </c>
      <c r="B5" s="34" t="n">
        <v>-55</v>
      </c>
      <c r="C5" s="34" t="n">
        <v>16.7</v>
      </c>
      <c r="D5" s="38" t="n">
        <f aca="false">IF(ROW()-4&lt;=$F$2,1,0)</f>
        <v>1</v>
      </c>
      <c r="E5" s="38" t="n">
        <f aca="false">IF($D5=0,0,INDEX($B$5:$B$28,IF(ROW()-4=$F$2,1,ROW()-4+1)))</f>
        <v>-41.25</v>
      </c>
      <c r="F5" s="38" t="n">
        <f aca="false">IF($D5=0,0,INDEX($C$5:$C$28,IF(ROW()-4=$F$2,1,ROW()-4+1)))</f>
        <v>16.3</v>
      </c>
      <c r="G5" s="38" t="n">
        <f aca="false">IF($D5=0,0,INDEX($B$5:$B$28,IF(ROW()-4=1,$F$2,ROW()-4-1)))</f>
        <v>-54.8</v>
      </c>
      <c r="H5" s="38" t="n">
        <f aca="false">IF($D5=0,0,INDEX($C$5:$C$28,IF(ROW()-4=1,$F$2,ROW()-4-1)))</f>
        <v>26.72</v>
      </c>
      <c r="I5" s="38" t="n">
        <f aca="false">IF($D5=0,0,B5*F5-E5*C5)</f>
        <v>-207.625</v>
      </c>
      <c r="J5" s="38" t="n">
        <f aca="false">IF($D5=0,0,SQRT((E5-B5)^2+(F5-C5)^2))</f>
        <v>13.7558169513846</v>
      </c>
      <c r="K5" s="38" t="n">
        <f aca="false">IF($D5=0,0,(C5^2+C5*F5+F5^2)*I5)</f>
        <v>-169586.02375</v>
      </c>
      <c r="L5" s="38" t="n">
        <f aca="false">IF($D5=0,0,(B5^2+B5*E5+E5^2)*I5)</f>
        <v>-1452401.7578125</v>
      </c>
      <c r="M5" s="38" t="n">
        <f aca="false">IF($D5=0,0,(B5*F5+2*B5*C5+2*E5*F5+E5*C5)*I5)</f>
        <v>989774.328125</v>
      </c>
      <c r="N5" s="38" t="n">
        <f aca="false">IF($D5=0,0,(B5+E5)*I5)</f>
        <v>19983.90625</v>
      </c>
      <c r="O5" s="38" t="n">
        <f aca="false">IF($D5=0,0,(C5+F5)*I5)</f>
        <v>-6851.625</v>
      </c>
      <c r="P5" s="38" t="n">
        <f aca="false">IF($D5=0,0,(G5-B5)*(E5-B5)+(H5-C5)*(F5-C5))</f>
        <v>-1.25799999999995</v>
      </c>
      <c r="Q5" s="38" t="n">
        <f aca="false">IF($D5=0,0,(G5-B5)*(F5-C5)-(H5-C5)*(E5-B5))</f>
        <v>-137.855</v>
      </c>
      <c r="R5" s="38" t="n">
        <f aca="false">IF($D5=0,"",IFERROR(MOD(DEGREES(ATAN2(P5,-$F$3*Q5)),360),""))</f>
        <v>90.5228398676319</v>
      </c>
      <c r="S5" s="38" t="n">
        <f aca="false">IF($D5="","",IF($D5=0,"",180-R5))</f>
        <v>89.4771601323681</v>
      </c>
      <c r="T5" s="38" t="str">
        <f aca="false">IF($D5=0,"",IF(R5&gt;180,"入隅(凹)","出隅(凸)"))</f>
        <v>出隅(凸)</v>
      </c>
      <c r="U5" s="5"/>
      <c r="V5" s="8" t="s">
        <v>276</v>
      </c>
      <c r="W5" s="5"/>
      <c r="X5" s="5"/>
      <c r="Y5" s="39" t="n">
        <f aca="false">$Y$4/100</f>
        <v>1.1</v>
      </c>
      <c r="Z5" s="5"/>
      <c r="AA5" s="5"/>
      <c r="AB5" s="5"/>
      <c r="AC5" s="5"/>
      <c r="AD5" s="40" t="n">
        <f aca="false">INDEX($B$5:$B$28,IF(ROW()-4&lt;=$F$2,ROW()-4,1))</f>
        <v>-55</v>
      </c>
      <c r="AE5" s="40" t="n">
        <f aca="false">INDEX($C$5:$C$28,IF(ROW()-4&lt;=$F$2,ROW()-4,1))</f>
        <v>16.7</v>
      </c>
      <c r="AF5" s="5"/>
      <c r="AG5" s="40" t="n">
        <f aca="false">IF($B55=1,$C55,$C$55)</f>
        <v>-18.93</v>
      </c>
      <c r="AH5" s="40" t="n">
        <f aca="false">IF($B55=1,$D55,$D$55)</f>
        <v>25.32</v>
      </c>
      <c r="AI5" s="5"/>
      <c r="AJ5" s="5"/>
    </row>
    <row r="6" customFormat="false" ht="15" hidden="false" customHeight="false" outlineLevel="0" collapsed="false">
      <c r="A6" s="37" t="n">
        <v>2</v>
      </c>
      <c r="B6" s="34" t="n">
        <v>-41.25</v>
      </c>
      <c r="C6" s="34" t="n">
        <v>16.3</v>
      </c>
      <c r="D6" s="38" t="n">
        <f aca="false">IF(ROW()-4&lt;=$F$2,1,0)</f>
        <v>1</v>
      </c>
      <c r="E6" s="38" t="n">
        <f aca="false">IF($D6=0,0,INDEX($B$5:$B$28,IF(ROW()-4=$F$2,1,ROW()-4+1)))</f>
        <v>-40.27</v>
      </c>
      <c r="F6" s="38" t="n">
        <f aca="false">IF($D6=0,0,INDEX($C$5:$C$28,IF(ROW()-4=$F$2,1,ROW()-4+1)))</f>
        <v>4.72</v>
      </c>
      <c r="G6" s="38" t="n">
        <f aca="false">IF($D6=0,0,INDEX($B$5:$B$28,IF(ROW()-4=1,$F$2,ROW()-4-1)))</f>
        <v>-55</v>
      </c>
      <c r="H6" s="38" t="n">
        <f aca="false">IF($D6=0,0,INDEX($C$5:$C$28,IF(ROW()-4=1,$F$2,ROW()-4-1)))</f>
        <v>16.7</v>
      </c>
      <c r="I6" s="38" t="n">
        <f aca="false">IF($D6=0,0,B6*F6-E6*C6)</f>
        <v>461.701</v>
      </c>
      <c r="J6" s="38" t="n">
        <f aca="false">IF($D6=0,0,SQRT((E6-B6)^2+(F6-C6)^2))</f>
        <v>11.6213940643969</v>
      </c>
      <c r="K6" s="38" t="n">
        <f aca="false">IF($D6=0,0,(C6^2+C6*F6+F6^2)*I6)</f>
        <v>168476.7263844</v>
      </c>
      <c r="L6" s="38" t="n">
        <f aca="false">IF($D6=0,0,(B6^2+B6*E6+E6^2)*I6)</f>
        <v>2301289.9523029</v>
      </c>
      <c r="M6" s="38" t="n">
        <f aca="false">IF($D6=0,0,(B6*F6+2*B6*C6+2*E6*F6+E6*C6)*I6)</f>
        <v>-1189341.6836598</v>
      </c>
      <c r="N6" s="38" t="n">
        <f aca="false">IF($D6=0,0,(B6+E6)*I6)</f>
        <v>-37637.86552</v>
      </c>
      <c r="O6" s="38" t="n">
        <f aca="false">IF($D6=0,0,(C6+F6)*I6)</f>
        <v>9704.95502</v>
      </c>
      <c r="P6" s="38" t="n">
        <f aca="false">IF($D6=0,0,(G6-B6)*(E6-B6)+(H6-C6)*(F6-C6))</f>
        <v>-18.1069999999999</v>
      </c>
      <c r="Q6" s="38" t="n">
        <f aca="false">IF($D6=0,0,(G6-B6)*(F6-C6)-(H6-C6)*(E6-B6))</f>
        <v>158.833</v>
      </c>
      <c r="R6" s="38" t="n">
        <f aca="false">IF($D6=0,"",IFERROR(MOD(DEGREES(ATAN2(P6,-$F$3*Q6)),360),""))</f>
        <v>263.496344401153</v>
      </c>
      <c r="S6" s="38" t="n">
        <f aca="false">IF($D6="","",IF($D6=0,"",180-R6))</f>
        <v>-83.4963444011531</v>
      </c>
      <c r="T6" s="38" t="str">
        <f aca="false">IF($D6=0,"",IF(R6&gt;180,"入隅(凹)","出隅(凸)"))</f>
        <v>入隅(凹)</v>
      </c>
      <c r="U6" s="5"/>
      <c r="V6" s="32" t="s">
        <v>251</v>
      </c>
      <c r="W6" s="32" t="s">
        <v>277</v>
      </c>
      <c r="X6" s="32" t="s">
        <v>278</v>
      </c>
      <c r="Y6" s="32" t="s">
        <v>279</v>
      </c>
      <c r="Z6" s="32" t="s">
        <v>280</v>
      </c>
      <c r="AA6" s="5"/>
      <c r="AB6" s="5"/>
      <c r="AC6" s="5"/>
      <c r="AD6" s="40" t="n">
        <f aca="false">INDEX($B$5:$B$28,IF(ROW()-4&lt;=$F$2,ROW()-4,1))</f>
        <v>-41.25</v>
      </c>
      <c r="AE6" s="40" t="n">
        <f aca="false">INDEX($C$5:$C$28,IF(ROW()-4&lt;=$F$2,ROW()-4,1))</f>
        <v>16.3</v>
      </c>
      <c r="AF6" s="5"/>
      <c r="AG6" s="40" t="n">
        <f aca="false">IF($B56=1,$C56,$C$55)</f>
        <v>14.17</v>
      </c>
      <c r="AH6" s="40" t="n">
        <f aca="false">IF($B56=1,$D56,$D$55)</f>
        <v>28.85</v>
      </c>
      <c r="AI6" s="5"/>
      <c r="AJ6" s="5"/>
    </row>
    <row r="7" customFormat="false" ht="15" hidden="false" customHeight="false" outlineLevel="0" collapsed="false">
      <c r="A7" s="37" t="n">
        <v>3</v>
      </c>
      <c r="B7" s="34" t="n">
        <v>-40.27</v>
      </c>
      <c r="C7" s="34" t="n">
        <v>4.72</v>
      </c>
      <c r="D7" s="38" t="n">
        <f aca="false">IF(ROW()-4&lt;=$F$2,1,0)</f>
        <v>1</v>
      </c>
      <c r="E7" s="38" t="n">
        <f aca="false">IF($D7=0,0,INDEX($B$5:$B$28,IF(ROW()-4=$F$2,1,ROW()-4+1)))</f>
        <v>-38.1</v>
      </c>
      <c r="F7" s="38" t="n">
        <f aca="false">IF($D7=0,0,INDEX($C$5:$C$28,IF(ROW()-4=$F$2,1,ROW()-4+1)))</f>
        <v>0</v>
      </c>
      <c r="G7" s="38" t="n">
        <f aca="false">IF($D7=0,0,INDEX($B$5:$B$28,IF(ROW()-4=1,$F$2,ROW()-4-1)))</f>
        <v>-41.25</v>
      </c>
      <c r="H7" s="38" t="n">
        <f aca="false">IF($D7=0,0,INDEX($C$5:$C$28,IF(ROW()-4=1,$F$2,ROW()-4-1)))</f>
        <v>16.3</v>
      </c>
      <c r="I7" s="38" t="n">
        <f aca="false">IF($D7=0,0,B7*F7-E7*C7)</f>
        <v>179.832</v>
      </c>
      <c r="J7" s="38" t="n">
        <f aca="false">IF($D7=0,0,SQRT((E7-B7)^2+(F7-C7)^2))</f>
        <v>5.19493022089806</v>
      </c>
      <c r="K7" s="38" t="n">
        <f aca="false">IF($D7=0,0,(C7^2+C7*F7+F7^2)*I7)</f>
        <v>4006.3692288</v>
      </c>
      <c r="L7" s="38" t="n">
        <f aca="false">IF($D7=0,0,(B7^2+B7*E7+E7^2)*I7)</f>
        <v>828588.5102568</v>
      </c>
      <c r="M7" s="38" t="n">
        <f aca="false">IF($D7=0,0,(B7*F7+2*B7*C7+2*E7*F7+E7*C7)*I7)</f>
        <v>-100702.4672256</v>
      </c>
      <c r="N7" s="38" t="n">
        <f aca="false">IF($D7=0,0,(B7+E7)*I7)</f>
        <v>-14093.43384</v>
      </c>
      <c r="O7" s="38" t="n">
        <f aca="false">IF($D7=0,0,(C7+F7)*I7)</f>
        <v>848.80704</v>
      </c>
      <c r="P7" s="38" t="n">
        <f aca="false">IF($D7=0,0,(G7-B7)*(E7-B7)+(H7-C7)*(F7-C7))</f>
        <v>-56.7842</v>
      </c>
      <c r="Q7" s="38" t="n">
        <f aca="false">IF($D7=0,0,(G7-B7)*(F7-C7)-(H7-C7)*(E7-B7))</f>
        <v>-20.503</v>
      </c>
      <c r="R7" s="38" t="n">
        <f aca="false">IF($D7=0,"",IFERROR(MOD(DEGREES(ATAN2(P7,-$F$3*Q7)),360),""))</f>
        <v>160.146932886388</v>
      </c>
      <c r="S7" s="38" t="n">
        <f aca="false">IF($D7="","",IF($D7=0,"",180-R7))</f>
        <v>19.8530671136124</v>
      </c>
      <c r="T7" s="38" t="str">
        <f aca="false">IF($D7=0,"",IF(R7&gt;180,"入隅(凹)","出隅(凸)"))</f>
        <v>出隅(凸)</v>
      </c>
      <c r="U7" s="5"/>
      <c r="V7" s="41" t="n">
        <v>1</v>
      </c>
      <c r="W7" s="41" t="n">
        <v>-50</v>
      </c>
      <c r="X7" s="41" t="n">
        <v>15.18</v>
      </c>
      <c r="Y7" s="42" t="n">
        <f aca="false">ROUND(W7*$Y$5,2)</f>
        <v>-55</v>
      </c>
      <c r="Z7" s="42" t="n">
        <f aca="false">ROUND(X7*$Y$5,2)</f>
        <v>16.7</v>
      </c>
      <c r="AA7" s="5"/>
      <c r="AB7" s="5"/>
      <c r="AC7" s="5"/>
      <c r="AD7" s="40" t="n">
        <f aca="false">INDEX($B$5:$B$28,IF(ROW()-4&lt;=$F$2,ROW()-4,1))</f>
        <v>-40.27</v>
      </c>
      <c r="AE7" s="40" t="n">
        <f aca="false">INDEX($C$5:$C$28,IF(ROW()-4&lt;=$F$2,ROW()-4,1))</f>
        <v>4.72</v>
      </c>
      <c r="AF7" s="5"/>
      <c r="AG7" s="40" t="n">
        <f aca="false">IF($B57=1,$C57,$C$55)</f>
        <v>-18.93</v>
      </c>
      <c r="AH7" s="40" t="n">
        <f aca="false">IF($B57=1,$D57,$D$55)</f>
        <v>25.32</v>
      </c>
      <c r="AI7" s="5"/>
      <c r="AJ7" s="5"/>
    </row>
    <row r="8" customFormat="false" ht="15" hidden="false" customHeight="false" outlineLevel="0" collapsed="false">
      <c r="A8" s="37" t="n">
        <v>4</v>
      </c>
      <c r="B8" s="34" t="n">
        <v>-38.1</v>
      </c>
      <c r="C8" s="34" t="n">
        <v>0</v>
      </c>
      <c r="D8" s="38" t="n">
        <f aca="false">IF(ROW()-4&lt;=$F$2,1,0)</f>
        <v>1</v>
      </c>
      <c r="E8" s="38" t="n">
        <f aca="false">IF($D8=0,0,INDEX($B$5:$B$28,IF(ROW()-4=$F$2,1,ROW()-4+1)))</f>
        <v>-15.32</v>
      </c>
      <c r="F8" s="38" t="n">
        <f aca="false">IF($D8=0,0,INDEX($C$5:$C$28,IF(ROW()-4=$F$2,1,ROW()-4+1)))</f>
        <v>8.84</v>
      </c>
      <c r="G8" s="38" t="n">
        <f aca="false">IF($D8=0,0,INDEX($B$5:$B$28,IF(ROW()-4=1,$F$2,ROW()-4-1)))</f>
        <v>-40.27</v>
      </c>
      <c r="H8" s="38" t="n">
        <f aca="false">IF($D8=0,0,INDEX($C$5:$C$28,IF(ROW()-4=1,$F$2,ROW()-4-1)))</f>
        <v>4.72</v>
      </c>
      <c r="I8" s="38" t="n">
        <f aca="false">IF($D8=0,0,B8*F8-E8*C8)</f>
        <v>-336.804</v>
      </c>
      <c r="J8" s="38" t="n">
        <f aca="false">IF($D8=0,0,SQRT((E8-B8)^2+(F8-C8)^2))</f>
        <v>24.4350977080101</v>
      </c>
      <c r="K8" s="38" t="n">
        <f aca="false">IF($D8=0,0,(C8^2+C8*F8+F8^2)*I8)</f>
        <v>-26319.7506624</v>
      </c>
      <c r="L8" s="38" t="n">
        <f aca="false">IF($D8=0,0,(B8^2+B8*E8+E8^2)*I8)</f>
        <v>-764546.5619376</v>
      </c>
      <c r="M8" s="38" t="n">
        <f aca="false">IF($D8=0,0,(B8*F8+2*B8*C8+2*E8*F8+E8*C8)*I8)</f>
        <v>204662.8575264</v>
      </c>
      <c r="N8" s="38" t="n">
        <f aca="false">IF($D8=0,0,(B8+E8)*I8)</f>
        <v>17992.06968</v>
      </c>
      <c r="O8" s="38" t="n">
        <f aca="false">IF($D8=0,0,(C8+F8)*I8)</f>
        <v>-2977.34736</v>
      </c>
      <c r="P8" s="38" t="n">
        <f aca="false">IF($D8=0,0,(G8-B8)*(E8-B8)+(H8-C8)*(F8-C8))</f>
        <v>-7.70780000000005</v>
      </c>
      <c r="Q8" s="38" t="n">
        <f aca="false">IF($D8=0,0,(G8-B8)*(F8-C8)-(H8-C8)*(E8-B8))</f>
        <v>-126.7044</v>
      </c>
      <c r="R8" s="38" t="n">
        <f aca="false">IF($D8=0,"",IFERROR(MOD(DEGREES(ATAN2(P8,-$F$3*Q8)),360),""))</f>
        <v>93.4811802163833</v>
      </c>
      <c r="S8" s="38" t="n">
        <f aca="false">IF($D8="","",IF($D8=0,"",180-R8))</f>
        <v>86.5188197836167</v>
      </c>
      <c r="T8" s="38" t="str">
        <f aca="false">IF($D8=0,"",IF(R8&gt;180,"入隅(凹)","出隅(凸)"))</f>
        <v>出隅(凸)</v>
      </c>
      <c r="U8" s="5"/>
      <c r="V8" s="41" t="n">
        <v>2</v>
      </c>
      <c r="W8" s="41" t="n">
        <v>-37.5</v>
      </c>
      <c r="X8" s="41" t="n">
        <v>14.82</v>
      </c>
      <c r="Y8" s="42" t="n">
        <f aca="false">ROUND(W8*$Y$5,2)</f>
        <v>-41.25</v>
      </c>
      <c r="Z8" s="42" t="n">
        <f aca="false">ROUND(X8*$Y$5,2)</f>
        <v>16.3</v>
      </c>
      <c r="AA8" s="5"/>
      <c r="AB8" s="5"/>
      <c r="AC8" s="5"/>
      <c r="AD8" s="40" t="n">
        <f aca="false">INDEX($B$5:$B$28,IF(ROW()-4&lt;=$F$2,ROW()-4,1))</f>
        <v>-38.1</v>
      </c>
      <c r="AE8" s="40" t="n">
        <f aca="false">INDEX($C$5:$C$28,IF(ROW()-4&lt;=$F$2,ROW()-4,1))</f>
        <v>0</v>
      </c>
      <c r="AF8" s="5"/>
      <c r="AG8" s="40" t="n">
        <f aca="false">IF($B58=1,$C58,$C$55)</f>
        <v>-18.93</v>
      </c>
      <c r="AH8" s="40" t="n">
        <f aca="false">IF($B58=1,$D58,$D$55)</f>
        <v>25.32</v>
      </c>
      <c r="AI8" s="5"/>
      <c r="AJ8" s="5"/>
    </row>
    <row r="9" customFormat="false" ht="15" hidden="false" customHeight="false" outlineLevel="0" collapsed="false">
      <c r="A9" s="37" t="n">
        <v>5</v>
      </c>
      <c r="B9" s="34" t="n">
        <v>-15.32</v>
      </c>
      <c r="C9" s="34" t="n">
        <v>8.84</v>
      </c>
      <c r="D9" s="38" t="n">
        <f aca="false">IF(ROW()-4&lt;=$F$2,1,0)</f>
        <v>1</v>
      </c>
      <c r="E9" s="38" t="n">
        <f aca="false">IF($D9=0,0,INDEX($B$5:$B$28,IF(ROW()-4=$F$2,1,ROW()-4+1)))</f>
        <v>-0.78</v>
      </c>
      <c r="F9" s="38" t="n">
        <f aca="false">IF($D9=0,0,INDEX($C$5:$C$28,IF(ROW()-4=$F$2,1,ROW()-4+1)))</f>
        <v>11.2</v>
      </c>
      <c r="G9" s="38" t="n">
        <f aca="false">IF($D9=0,0,INDEX($B$5:$B$28,IF(ROW()-4=1,$F$2,ROW()-4-1)))</f>
        <v>-38.1</v>
      </c>
      <c r="H9" s="38" t="n">
        <f aca="false">IF($D9=0,0,INDEX($C$5:$C$28,IF(ROW()-4=1,$F$2,ROW()-4-1)))</f>
        <v>0</v>
      </c>
      <c r="I9" s="38" t="n">
        <f aca="false">IF($D9=0,0,B9*F9-E9*C9)</f>
        <v>-164.6888</v>
      </c>
      <c r="J9" s="38" t="n">
        <f aca="false">IF($D9=0,0,SQRT((E9-B9)^2+(F9-C9)^2))</f>
        <v>14.7302817352554</v>
      </c>
      <c r="K9" s="38" t="n">
        <f aca="false">IF($D9=0,0,(C9^2+C9*F9+F9^2)*I9)</f>
        <v>-49833.77687168</v>
      </c>
      <c r="L9" s="38" t="n">
        <f aca="false">IF($D9=0,0,(B9^2+B9*E9+E9^2)*I9)</f>
        <v>-40721.01856352</v>
      </c>
      <c r="M9" s="38" t="n">
        <f aca="false">IF($D9=0,0,(B9*F9+2*B9*C9+2*E9*F9+E9*C9)*I9)</f>
        <v>76878.18110144</v>
      </c>
      <c r="N9" s="38" t="n">
        <f aca="false">IF($D9=0,0,(B9+E9)*I9)</f>
        <v>2651.48968</v>
      </c>
      <c r="O9" s="38" t="n">
        <f aca="false">IF($D9=0,0,(C9+F9)*I9)</f>
        <v>-3300.363552</v>
      </c>
      <c r="P9" s="38" t="n">
        <f aca="false">IF($D9=0,0,(G9-B9)*(E9-B9)+(H9-C9)*(F9-C9))</f>
        <v>-352.0836</v>
      </c>
      <c r="Q9" s="38" t="n">
        <f aca="false">IF($D9=0,0,(G9-B9)*(F9-C9)-(H9-C9)*(E9-B9))</f>
        <v>74.7728</v>
      </c>
      <c r="R9" s="38" t="n">
        <f aca="false">IF($D9=0,"",IFERROR(MOD(DEGREES(ATAN2(P9,-$F$3*Q9)),360),""))</f>
        <v>191.989897962789</v>
      </c>
      <c r="S9" s="38" t="n">
        <f aca="false">IF($D9="","",IF($D9=0,"",180-R9))</f>
        <v>-11.9898979627889</v>
      </c>
      <c r="T9" s="38" t="str">
        <f aca="false">IF($D9=0,"",IF(R9&gt;180,"入隅(凹)","出隅(凸)"))</f>
        <v>入隅(凹)</v>
      </c>
      <c r="U9" s="5"/>
      <c r="V9" s="41" t="n">
        <v>3</v>
      </c>
      <c r="W9" s="41" t="n">
        <v>-36.61</v>
      </c>
      <c r="X9" s="41" t="n">
        <v>4.29</v>
      </c>
      <c r="Y9" s="42" t="n">
        <f aca="false">ROUND(W9*$Y$5,2)</f>
        <v>-40.27</v>
      </c>
      <c r="Z9" s="42" t="n">
        <f aca="false">ROUND(X9*$Y$5,2)</f>
        <v>4.72</v>
      </c>
      <c r="AA9" s="5"/>
      <c r="AB9" s="5"/>
      <c r="AC9" s="5"/>
      <c r="AD9" s="40" t="n">
        <f aca="false">INDEX($B$5:$B$28,IF(ROW()-4&lt;=$F$2,ROW()-4,1))</f>
        <v>-15.32</v>
      </c>
      <c r="AE9" s="40" t="n">
        <f aca="false">INDEX($C$5:$C$28,IF(ROW()-4&lt;=$F$2,ROW()-4,1))</f>
        <v>8.84</v>
      </c>
      <c r="AF9" s="5"/>
      <c r="AG9" s="5"/>
      <c r="AH9" s="5"/>
      <c r="AI9" s="5"/>
      <c r="AJ9" s="5"/>
    </row>
    <row r="10" customFormat="false" ht="15" hidden="false" customHeight="false" outlineLevel="0" collapsed="false">
      <c r="A10" s="37" t="n">
        <v>6</v>
      </c>
      <c r="B10" s="34" t="n">
        <v>-0.78</v>
      </c>
      <c r="C10" s="34" t="n">
        <v>11.2</v>
      </c>
      <c r="D10" s="38" t="n">
        <f aca="false">IF(ROW()-4&lt;=$F$2,1,0)</f>
        <v>1</v>
      </c>
      <c r="E10" s="38" t="n">
        <f aca="false">IF($D10=0,0,INDEX($B$5:$B$28,IF(ROW()-4=$F$2,1,ROW()-4+1)))</f>
        <v>23.18</v>
      </c>
      <c r="F10" s="38" t="n">
        <f aca="false">IF($D10=0,0,INDEX($C$5:$C$28,IF(ROW()-4=$F$2,1,ROW()-4+1)))</f>
        <v>10.8</v>
      </c>
      <c r="G10" s="38" t="n">
        <f aca="false">IF($D10=0,0,INDEX($B$5:$B$28,IF(ROW()-4=1,$F$2,ROW()-4-1)))</f>
        <v>-15.32</v>
      </c>
      <c r="H10" s="38" t="n">
        <f aca="false">IF($D10=0,0,INDEX($C$5:$C$28,IF(ROW()-4=1,$F$2,ROW()-4-1)))</f>
        <v>8.84</v>
      </c>
      <c r="I10" s="38" t="n">
        <f aca="false">IF($D10=0,0,B10*F10-E10*C10)</f>
        <v>-268.04</v>
      </c>
      <c r="J10" s="38" t="n">
        <f aca="false">IF($D10=0,0,SQRT((E10-B10)^2+(F10-C10)^2))</f>
        <v>23.9633386655533</v>
      </c>
      <c r="K10" s="38" t="n">
        <f aca="false">IF($D10=0,0,(C10^2+C10*F10+F10^2)*I10)</f>
        <v>-97309.2416</v>
      </c>
      <c r="L10" s="38" t="n">
        <f aca="false">IF($D10=0,0,(B10^2+B10*E10+E10^2)*I10)</f>
        <v>-139338.020816</v>
      </c>
      <c r="M10" s="38" t="n">
        <f aca="false">IF($D10=0,0,(B10*F10+2*B10*C10+2*E10*F10+E10*C10)*I10)</f>
        <v>-196850.72032</v>
      </c>
      <c r="N10" s="38" t="n">
        <f aca="false">IF($D10=0,0,(B10+E10)*I10)</f>
        <v>-6004.096</v>
      </c>
      <c r="O10" s="38" t="n">
        <f aca="false">IF($D10=0,0,(C10+F10)*I10)</f>
        <v>-5896.88</v>
      </c>
      <c r="P10" s="38" t="n">
        <f aca="false">IF($D10=0,0,(G10-B10)*(E10-B10)+(H10-C10)*(F10-C10))</f>
        <v>-347.4344</v>
      </c>
      <c r="Q10" s="38" t="n">
        <f aca="false">IF($D10=0,0,(G10-B10)*(F10-C10)-(H10-C10)*(E10-B10))</f>
        <v>62.3616</v>
      </c>
      <c r="R10" s="38" t="n">
        <f aca="false">IF($D10=0,"",IFERROR(MOD(DEGREES(ATAN2(P10,-$F$3*Q10)),360),""))</f>
        <v>190.175763188296</v>
      </c>
      <c r="S10" s="38" t="n">
        <f aca="false">IF($D10="","",IF($D10=0,"",180-R10))</f>
        <v>-10.1757631882962</v>
      </c>
      <c r="T10" s="38" t="str">
        <f aca="false">IF($D10=0,"",IF(R10&gt;180,"入隅(凹)","出隅(凸)"))</f>
        <v>入隅(凹)</v>
      </c>
      <c r="U10" s="5"/>
      <c r="V10" s="41" t="n">
        <v>4</v>
      </c>
      <c r="W10" s="41" t="n">
        <v>-34.64</v>
      </c>
      <c r="X10" s="41" t="n">
        <v>0</v>
      </c>
      <c r="Y10" s="42" t="n">
        <f aca="false">ROUND(W10*$Y$5,2)</f>
        <v>-38.1</v>
      </c>
      <c r="Z10" s="42" t="n">
        <f aca="false">ROUND(X10*$Y$5,2)</f>
        <v>0</v>
      </c>
      <c r="AA10" s="5"/>
      <c r="AB10" s="5"/>
      <c r="AC10" s="5"/>
      <c r="AD10" s="40" t="n">
        <f aca="false">INDEX($B$5:$B$28,IF(ROW()-4&lt;=$F$2,ROW()-4,1))</f>
        <v>-0.78</v>
      </c>
      <c r="AE10" s="40" t="n">
        <f aca="false">INDEX($C$5:$C$28,IF(ROW()-4&lt;=$F$2,ROW()-4,1))</f>
        <v>11.2</v>
      </c>
      <c r="AF10" s="5"/>
      <c r="AG10" s="5"/>
      <c r="AH10" s="5"/>
      <c r="AI10" s="5"/>
      <c r="AJ10" s="5"/>
    </row>
    <row r="11" customFormat="false" ht="15" hidden="false" customHeight="false" outlineLevel="0" collapsed="false">
      <c r="A11" s="37" t="n">
        <v>7</v>
      </c>
      <c r="B11" s="34" t="n">
        <v>23.18</v>
      </c>
      <c r="C11" s="34" t="n">
        <v>10.8</v>
      </c>
      <c r="D11" s="38" t="n">
        <f aca="false">IF(ROW()-4&lt;=$F$2,1,0)</f>
        <v>1</v>
      </c>
      <c r="E11" s="38" t="n">
        <f aca="false">IF($D11=0,0,INDEX($B$5:$B$28,IF(ROW()-4=$F$2,1,ROW()-4+1)))</f>
        <v>41.45</v>
      </c>
      <c r="F11" s="38" t="n">
        <f aca="false">IF($D11=0,0,INDEX($C$5:$C$28,IF(ROW()-4=$F$2,1,ROW()-4+1)))</f>
        <v>4.72</v>
      </c>
      <c r="G11" s="38" t="n">
        <f aca="false">IF($D11=0,0,INDEX($B$5:$B$28,IF(ROW()-4=1,$F$2,ROW()-4-1)))</f>
        <v>-0.78</v>
      </c>
      <c r="H11" s="38" t="n">
        <f aca="false">IF($D11=0,0,INDEX($C$5:$C$28,IF(ROW()-4=1,$F$2,ROW()-4-1)))</f>
        <v>11.2</v>
      </c>
      <c r="I11" s="38" t="n">
        <f aca="false">IF($D11=0,0,B11*F11-E11*C11)</f>
        <v>-338.2504</v>
      </c>
      <c r="J11" s="38" t="n">
        <f aca="false">IF($D11=0,0,SQRT((E11-B11)^2+(F11-C11)^2))</f>
        <v>19.2551110098072</v>
      </c>
      <c r="K11" s="38" t="n">
        <f aca="false">IF($D11=0,0,(C11^2+C11*F11+F11^2)*I11)</f>
        <v>-64231.85675776</v>
      </c>
      <c r="L11" s="38" t="n">
        <f aca="false">IF($D11=0,0,(B11^2+B11*E11+E11^2)*I11)</f>
        <v>-1087889.69716536</v>
      </c>
      <c r="M11" s="38" t="n">
        <f aca="false">IF($D11=0,0,(B11*F11+2*B11*C11+2*E11*F11+E11*C11)*I11)</f>
        <v>-490140.25381824</v>
      </c>
      <c r="N11" s="38" t="n">
        <f aca="false">IF($D11=0,0,(B11+E11)*I11)</f>
        <v>-21861.123352</v>
      </c>
      <c r="O11" s="38" t="n">
        <f aca="false">IF($D11=0,0,(C11+F11)*I11)</f>
        <v>-5249.646208</v>
      </c>
      <c r="P11" s="38" t="n">
        <f aca="false">IF($D11=0,0,(G11-B11)*(E11-B11)+(H11-C11)*(F11-C11))</f>
        <v>-440.1812</v>
      </c>
      <c r="Q11" s="38" t="n">
        <f aca="false">IF($D11=0,0,(G11-B11)*(F11-C11)-(H11-C11)*(E11-B11))</f>
        <v>138.3688</v>
      </c>
      <c r="R11" s="38" t="n">
        <f aca="false">IF($D11=0,"",IFERROR(MOD(DEGREES(ATAN2(P11,-$F$3*Q11)),360),""))</f>
        <v>197.450284651087</v>
      </c>
      <c r="S11" s="38" t="n">
        <f aca="false">IF($D11="","",IF($D11=0,"",180-R11))</f>
        <v>-17.4502846510865</v>
      </c>
      <c r="T11" s="38" t="str">
        <f aca="false">IF($D11=0,"",IF(R11&gt;180,"入隅(凹)","出隅(凸)"))</f>
        <v>入隅(凹)</v>
      </c>
      <c r="U11" s="5"/>
      <c r="V11" s="41" t="n">
        <v>5</v>
      </c>
      <c r="W11" s="41" t="n">
        <v>-13.93</v>
      </c>
      <c r="X11" s="41" t="n">
        <v>8.04</v>
      </c>
      <c r="Y11" s="42" t="n">
        <f aca="false">ROUND(W11*$Y$5,2)</f>
        <v>-15.32</v>
      </c>
      <c r="Z11" s="42" t="n">
        <f aca="false">ROUND(X11*$Y$5,2)</f>
        <v>8.84</v>
      </c>
      <c r="AA11" s="5"/>
      <c r="AB11" s="5"/>
      <c r="AC11" s="5"/>
      <c r="AD11" s="40" t="n">
        <f aca="false">INDEX($B$5:$B$28,IF(ROW()-4&lt;=$F$2,ROW()-4,1))</f>
        <v>23.18</v>
      </c>
      <c r="AE11" s="40" t="n">
        <f aca="false">INDEX($C$5:$C$28,IF(ROW()-4&lt;=$F$2,ROW()-4,1))</f>
        <v>10.8</v>
      </c>
      <c r="AF11" s="5"/>
      <c r="AG11" s="5"/>
      <c r="AH11" s="5"/>
      <c r="AI11" s="5"/>
      <c r="AJ11" s="5"/>
    </row>
    <row r="12" customFormat="false" ht="15" hidden="false" customHeight="false" outlineLevel="0" collapsed="false">
      <c r="A12" s="37" t="n">
        <v>8</v>
      </c>
      <c r="B12" s="34" t="n">
        <v>41.45</v>
      </c>
      <c r="C12" s="34" t="n">
        <v>4.72</v>
      </c>
      <c r="D12" s="38" t="n">
        <f aca="false">IF(ROW()-4&lt;=$F$2,1,0)</f>
        <v>1</v>
      </c>
      <c r="E12" s="38" t="n">
        <f aca="false">IF($D12=0,0,INDEX($B$5:$B$28,IF(ROW()-4=$F$2,1,ROW()-4+1)))</f>
        <v>42.62</v>
      </c>
      <c r="F12" s="38" t="n">
        <f aca="false">IF($D12=0,0,INDEX($C$5:$C$28,IF(ROW()-4=$F$2,1,ROW()-4+1)))</f>
        <v>15.52</v>
      </c>
      <c r="G12" s="38" t="n">
        <f aca="false">IF($D12=0,0,INDEX($B$5:$B$28,IF(ROW()-4=1,$F$2,ROW()-4-1)))</f>
        <v>23.18</v>
      </c>
      <c r="H12" s="38" t="n">
        <f aca="false">IF($D12=0,0,INDEX($C$5:$C$28,IF(ROW()-4=1,$F$2,ROW()-4-1)))</f>
        <v>10.8</v>
      </c>
      <c r="I12" s="38" t="n">
        <f aca="false">IF($D12=0,0,B12*F12-E12*C12)</f>
        <v>442.1376</v>
      </c>
      <c r="J12" s="38" t="n">
        <f aca="false">IF($D12=0,0,SQRT((E12-B12)^2+(F12-C12)^2))</f>
        <v>10.863190139181</v>
      </c>
      <c r="K12" s="38" t="n">
        <f aca="false">IF($D12=0,0,(C12^2+C12*F12+F12^2)*I12)</f>
        <v>148736.50348032</v>
      </c>
      <c r="L12" s="38" t="n">
        <f aca="false">IF($D12=0,0,(B12^2+B12*E12+E12^2)*I12)</f>
        <v>2343844.76822784</v>
      </c>
      <c r="M12" s="38" t="n">
        <f aca="false">IF($D12=0,0,(B12*F12+2*B12*C12+2*E12*F12+E12*C12)*I12)</f>
        <v>1131290.04920832</v>
      </c>
      <c r="N12" s="38" t="n">
        <f aca="false">IF($D12=0,0,(B12+E12)*I12)</f>
        <v>37170.508032</v>
      </c>
      <c r="O12" s="38" t="n">
        <f aca="false">IF($D12=0,0,(C12+F12)*I12)</f>
        <v>8948.865024</v>
      </c>
      <c r="P12" s="38" t="n">
        <f aca="false">IF($D12=0,0,(G12-B12)*(E12-B12)+(H12-C12)*(F12-C12))</f>
        <v>44.2881000000001</v>
      </c>
      <c r="Q12" s="38" t="n">
        <f aca="false">IF($D12=0,0,(G12-B12)*(F12-C12)-(H12-C12)*(E12-B12))</f>
        <v>-204.4296</v>
      </c>
      <c r="R12" s="38" t="n">
        <f aca="false">IF($D12=0,"",IFERROR(MOD(DEGREES(ATAN2(P12,-$F$3*Q12)),360),""))</f>
        <v>77.7762104979993</v>
      </c>
      <c r="S12" s="38" t="n">
        <f aca="false">IF($D12="","",IF($D12=0,"",180-R12))</f>
        <v>102.223789502001</v>
      </c>
      <c r="T12" s="38" t="str">
        <f aca="false">IF($D12=0,"",IF(R12&gt;180,"入隅(凹)","出隅(凸)"))</f>
        <v>出隅(凸)</v>
      </c>
      <c r="U12" s="5"/>
      <c r="V12" s="41" t="n">
        <v>6</v>
      </c>
      <c r="W12" s="41" t="n">
        <v>-0.71</v>
      </c>
      <c r="X12" s="41" t="n">
        <v>10.18</v>
      </c>
      <c r="Y12" s="42" t="n">
        <f aca="false">ROUND(W12*$Y$5,2)</f>
        <v>-0.78</v>
      </c>
      <c r="Z12" s="42" t="n">
        <f aca="false">ROUND(X12*$Y$5,2)</f>
        <v>11.2</v>
      </c>
      <c r="AA12" s="5"/>
      <c r="AB12" s="5"/>
      <c r="AC12" s="5"/>
      <c r="AD12" s="40" t="n">
        <f aca="false">INDEX($B$5:$B$28,IF(ROW()-4&lt;=$F$2,ROW()-4,1))</f>
        <v>41.45</v>
      </c>
      <c r="AE12" s="40" t="n">
        <f aca="false">INDEX($C$5:$C$28,IF(ROW()-4&lt;=$F$2,ROW()-4,1))</f>
        <v>4.72</v>
      </c>
      <c r="AF12" s="5"/>
      <c r="AG12" s="5"/>
      <c r="AH12" s="5"/>
      <c r="AI12" s="5"/>
      <c r="AJ12" s="5"/>
    </row>
    <row r="13" customFormat="false" ht="15" hidden="false" customHeight="false" outlineLevel="0" collapsed="false">
      <c r="A13" s="37" t="n">
        <v>9</v>
      </c>
      <c r="B13" s="34" t="n">
        <v>42.62</v>
      </c>
      <c r="C13" s="34" t="n">
        <v>15.52</v>
      </c>
      <c r="D13" s="38" t="n">
        <f aca="false">IF(ROW()-4&lt;=$F$2,1,0)</f>
        <v>1</v>
      </c>
      <c r="E13" s="38" t="n">
        <f aca="false">IF($D13=0,0,INDEX($B$5:$B$28,IF(ROW()-4=$F$2,1,ROW()-4+1)))</f>
        <v>53.23</v>
      </c>
      <c r="F13" s="38" t="n">
        <f aca="false">IF($D13=0,0,INDEX($C$5:$C$28,IF(ROW()-4=$F$2,1,ROW()-4+1)))</f>
        <v>13.35</v>
      </c>
      <c r="G13" s="38" t="n">
        <f aca="false">IF($D13=0,0,INDEX($B$5:$B$28,IF(ROW()-4=1,$F$2,ROW()-4-1)))</f>
        <v>41.45</v>
      </c>
      <c r="H13" s="38" t="n">
        <f aca="false">IF($D13=0,0,INDEX($C$5:$C$28,IF(ROW()-4=1,$F$2,ROW()-4-1)))</f>
        <v>4.72</v>
      </c>
      <c r="I13" s="38" t="n">
        <f aca="false">IF($D13=0,0,B13*F13-E13*C13)</f>
        <v>-257.1526</v>
      </c>
      <c r="J13" s="38" t="n">
        <f aca="false">IF($D13=0,0,SQRT((E13-B13)^2+(F13-C13)^2))</f>
        <v>10.8296352662497</v>
      </c>
      <c r="K13" s="38" t="n">
        <f aca="false">IF($D13=0,0,(C13^2+C13*F13+F13^2)*I13)</f>
        <v>-161050.79037574</v>
      </c>
      <c r="L13" s="38" t="n">
        <f aca="false">IF($D13=0,0,(B13^2+B13*E13+E13^2)*I13)</f>
        <v>-1779125.66654074</v>
      </c>
      <c r="M13" s="38" t="n">
        <f aca="false">IF($D13=0,0,(B13*F13+2*B13*C13+2*E13*F13+E13*C13)*I13)</f>
        <v>-1064424.65976824</v>
      </c>
      <c r="N13" s="38" t="n">
        <f aca="false">IF($D13=0,0,(B13+E13)*I13)</f>
        <v>-24648.07671</v>
      </c>
      <c r="O13" s="38" t="n">
        <f aca="false">IF($D13=0,0,(C13+F13)*I13)</f>
        <v>-7423.995562</v>
      </c>
      <c r="P13" s="38" t="n">
        <f aca="false">IF($D13=0,0,(G13-B13)*(E13-B13)+(H13-C13)*(F13-C13))</f>
        <v>11.0223000000001</v>
      </c>
      <c r="Q13" s="38" t="n">
        <f aca="false">IF($D13=0,0,(G13-B13)*(F13-C13)-(H13-C13)*(E13-B13))</f>
        <v>117.1269</v>
      </c>
      <c r="R13" s="38" t="n">
        <f aca="false">IF($D13=0,"",IFERROR(MOD(DEGREES(ATAN2(P13,-$F$3*Q13)),360),""))</f>
        <v>275.376022599618</v>
      </c>
      <c r="S13" s="38" t="n">
        <f aca="false">IF($D13="","",IF($D13=0,"",180-R13))</f>
        <v>-95.3760225996184</v>
      </c>
      <c r="T13" s="38" t="str">
        <f aca="false">IF($D13=0,"",IF(R13&gt;180,"入隅(凹)","出隅(凸)"))</f>
        <v>入隅(凹)</v>
      </c>
      <c r="U13" s="5"/>
      <c r="V13" s="41" t="n">
        <v>7</v>
      </c>
      <c r="W13" s="41" t="n">
        <v>21.07</v>
      </c>
      <c r="X13" s="41" t="n">
        <v>9.82</v>
      </c>
      <c r="Y13" s="42" t="n">
        <f aca="false">ROUND(W13*$Y$5,2)</f>
        <v>23.18</v>
      </c>
      <c r="Z13" s="42" t="n">
        <f aca="false">ROUND(X13*$Y$5,2)</f>
        <v>10.8</v>
      </c>
      <c r="AA13" s="5"/>
      <c r="AB13" s="5"/>
      <c r="AC13" s="5"/>
      <c r="AD13" s="40" t="n">
        <f aca="false">INDEX($B$5:$B$28,IF(ROW()-4&lt;=$F$2,ROW()-4,1))</f>
        <v>42.62</v>
      </c>
      <c r="AE13" s="40" t="n">
        <f aca="false">INDEX($C$5:$C$28,IF(ROW()-4&lt;=$F$2,ROW()-4,1))</f>
        <v>15.52</v>
      </c>
      <c r="AF13" s="5"/>
      <c r="AG13" s="5"/>
      <c r="AH13" s="5"/>
      <c r="AI13" s="5"/>
      <c r="AJ13" s="5"/>
    </row>
    <row r="14" customFormat="false" ht="15" hidden="false" customHeight="false" outlineLevel="0" collapsed="false">
      <c r="A14" s="37" t="n">
        <v>10</v>
      </c>
      <c r="B14" s="34" t="n">
        <v>53.23</v>
      </c>
      <c r="C14" s="34" t="n">
        <v>13.35</v>
      </c>
      <c r="D14" s="38" t="n">
        <f aca="false">IF(ROW()-4&lt;=$F$2,1,0)</f>
        <v>1</v>
      </c>
      <c r="E14" s="38" t="n">
        <f aca="false">IF($D14=0,0,INDEX($B$5:$B$28,IF(ROW()-4=$F$2,1,ROW()-4+1)))</f>
        <v>55</v>
      </c>
      <c r="F14" s="38" t="n">
        <f aca="false">IF($D14=0,0,INDEX($C$5:$C$28,IF(ROW()-4=$F$2,1,ROW()-4+1)))</f>
        <v>15.13</v>
      </c>
      <c r="G14" s="38" t="n">
        <f aca="false">IF($D14=0,0,INDEX($B$5:$B$28,IF(ROW()-4=1,$F$2,ROW()-4-1)))</f>
        <v>42.62</v>
      </c>
      <c r="H14" s="38" t="n">
        <f aca="false">IF($D14=0,0,INDEX($C$5:$C$28,IF(ROW()-4=1,$F$2,ROW()-4-1)))</f>
        <v>15.52</v>
      </c>
      <c r="I14" s="38" t="n">
        <f aca="false">IF($D14=0,0,B14*F14-E14*C14)</f>
        <v>71.1199</v>
      </c>
      <c r="J14" s="38" t="n">
        <f aca="false">IF($D14=0,0,SQRT((E14-B14)^2+(F14-C14)^2))</f>
        <v>2.51023903244293</v>
      </c>
      <c r="K14" s="38" t="n">
        <f aca="false">IF($D14=0,0,(C14^2+C14*F14+F14^2)*I14)</f>
        <v>43320.90197551</v>
      </c>
      <c r="L14" s="38" t="n">
        <f aca="false">IF($D14=0,0,(B14^2+B14*E14+E14^2)*I14)</f>
        <v>624865.33723971</v>
      </c>
      <c r="M14" s="38" t="n">
        <f aca="false">IF($D14=0,0,(B14*F14+2*B14*C14+2*E14*F14+E14*C14)*I14)</f>
        <v>328940.98069191</v>
      </c>
      <c r="N14" s="38" t="n">
        <f aca="false">IF($D14=0,0,(B14+E14)*I14)</f>
        <v>7697.306777</v>
      </c>
      <c r="O14" s="38" t="n">
        <f aca="false">IF($D14=0,0,(C14+F14)*I14)</f>
        <v>2025.494752</v>
      </c>
      <c r="P14" s="38" t="n">
        <f aca="false">IF($D14=0,0,(G14-B14)*(E14-B14)+(H14-C14)*(F14-C14))</f>
        <v>-14.9171</v>
      </c>
      <c r="Q14" s="38" t="n">
        <f aca="false">IF($D14=0,0,(G14-B14)*(F14-C14)-(H14-C14)*(E14-B14))</f>
        <v>-22.7267</v>
      </c>
      <c r="R14" s="38" t="n">
        <f aca="false">IF($D14=0,"",IFERROR(MOD(DEGREES(ATAN2(P14,-$F$3*Q14)),360),""))</f>
        <v>123.279651099313</v>
      </c>
      <c r="S14" s="38" t="n">
        <f aca="false">IF($D14="","",IF($D14=0,"",180-R14))</f>
        <v>56.720348900687</v>
      </c>
      <c r="T14" s="38" t="str">
        <f aca="false">IF($D14=0,"",IF(R14&gt;180,"入隅(凹)","出隅(凸)"))</f>
        <v>出隅(凸)</v>
      </c>
      <c r="U14" s="5"/>
      <c r="V14" s="41" t="n">
        <v>8</v>
      </c>
      <c r="W14" s="41" t="n">
        <v>37.68</v>
      </c>
      <c r="X14" s="41" t="n">
        <v>4.29</v>
      </c>
      <c r="Y14" s="42" t="n">
        <f aca="false">ROUND(W14*$Y$5,2)</f>
        <v>41.45</v>
      </c>
      <c r="Z14" s="42" t="n">
        <f aca="false">ROUND(X14*$Y$5,2)</f>
        <v>4.72</v>
      </c>
      <c r="AA14" s="5"/>
      <c r="AB14" s="5"/>
      <c r="AC14" s="5"/>
      <c r="AD14" s="40" t="n">
        <f aca="false">INDEX($B$5:$B$28,IF(ROW()-4&lt;=$F$2,ROW()-4,1))</f>
        <v>53.23</v>
      </c>
      <c r="AE14" s="40" t="n">
        <f aca="false">INDEX($C$5:$C$28,IF(ROW()-4&lt;=$F$2,ROW()-4,1))</f>
        <v>13.35</v>
      </c>
      <c r="AF14" s="5"/>
      <c r="AG14" s="5"/>
      <c r="AH14" s="5"/>
      <c r="AI14" s="5"/>
      <c r="AJ14" s="5"/>
    </row>
    <row r="15" customFormat="false" ht="15" hidden="false" customHeight="false" outlineLevel="0" collapsed="false">
      <c r="A15" s="37" t="n">
        <v>11</v>
      </c>
      <c r="B15" s="34" t="n">
        <v>55</v>
      </c>
      <c r="C15" s="34" t="n">
        <v>15.13</v>
      </c>
      <c r="D15" s="38" t="n">
        <f aca="false">IF(ROW()-4&lt;=$F$2,1,0)</f>
        <v>1</v>
      </c>
      <c r="E15" s="38" t="n">
        <f aca="false">IF($D15=0,0,INDEX($B$5:$B$28,IF(ROW()-4=$F$2,1,ROW()-4+1)))</f>
        <v>53.23</v>
      </c>
      <c r="F15" s="38" t="n">
        <f aca="false">IF($D15=0,0,INDEX($C$5:$C$28,IF(ROW()-4=$F$2,1,ROW()-4+1)))</f>
        <v>30.05</v>
      </c>
      <c r="G15" s="38" t="n">
        <f aca="false">IF($D15=0,0,INDEX($B$5:$B$28,IF(ROW()-4=1,$F$2,ROW()-4-1)))</f>
        <v>53.23</v>
      </c>
      <c r="H15" s="38" t="n">
        <f aca="false">IF($D15=0,0,INDEX($C$5:$C$28,IF(ROW()-4=1,$F$2,ROW()-4-1)))</f>
        <v>13.35</v>
      </c>
      <c r="I15" s="38" t="n">
        <f aca="false">IF($D15=0,0,B15*F15-E15*C15)</f>
        <v>847.3801</v>
      </c>
      <c r="J15" s="38" t="n">
        <f aca="false">IF($D15=0,0,SQRT((E15-B15)^2+(F15-C15)^2))</f>
        <v>15.0246231233931</v>
      </c>
      <c r="K15" s="38" t="n">
        <f aca="false">IF($D15=0,0,(C15^2+C15*F15+F15^2)*I15)</f>
        <v>1344432.84479959</v>
      </c>
      <c r="L15" s="38" t="n">
        <f aca="false">IF($D15=0,0,(B15^2+B15*E15+E15^2)*I15)</f>
        <v>7445151.80641029</v>
      </c>
      <c r="M15" s="38" t="n">
        <f aca="false">IF($D15=0,0,(B15*F15+2*B15*C15+2*E15*F15+E15*C15)*I15)</f>
        <v>6204129.75475629</v>
      </c>
      <c r="N15" s="38" t="n">
        <f aca="false">IF($D15=0,0,(B15+E15)*I15)</f>
        <v>91711.948223</v>
      </c>
      <c r="O15" s="38" t="n">
        <f aca="false">IF($D15=0,0,(C15+F15)*I15)</f>
        <v>38284.632918</v>
      </c>
      <c r="P15" s="38" t="n">
        <f aca="false">IF($D15=0,0,(G15-B15)*(E15-B15)+(H15-C15)*(F15-C15))</f>
        <v>-23.4247</v>
      </c>
      <c r="Q15" s="38" t="n">
        <f aca="false">IF($D15=0,0,(G15-B15)*(F15-C15)-(H15-C15)*(E15-B15))</f>
        <v>-29.5590000000001</v>
      </c>
      <c r="R15" s="38" t="n">
        <f aca="false">IF($D15=0,"",IFERROR(MOD(DEGREES(ATAN2(P15,-$F$3*Q15)),360),""))</f>
        <v>128.395863159829</v>
      </c>
      <c r="S15" s="38" t="n">
        <f aca="false">IF($D15="","",IF($D15=0,"",180-R15))</f>
        <v>51.604136840171</v>
      </c>
      <c r="T15" s="38" t="str">
        <f aca="false">IF($D15=0,"",IF(R15&gt;180,"入隅(凹)","出隅(凸)"))</f>
        <v>出隅(凸)</v>
      </c>
      <c r="U15" s="5"/>
      <c r="V15" s="41" t="n">
        <v>9</v>
      </c>
      <c r="W15" s="41" t="n">
        <v>38.75</v>
      </c>
      <c r="X15" s="41" t="n">
        <v>14.11</v>
      </c>
      <c r="Y15" s="42" t="n">
        <f aca="false">ROUND(W15*$Y$5,2)</f>
        <v>42.63</v>
      </c>
      <c r="Z15" s="42" t="n">
        <f aca="false">ROUND(X15*$Y$5,2)</f>
        <v>15.52</v>
      </c>
      <c r="AA15" s="5"/>
      <c r="AB15" s="5"/>
      <c r="AC15" s="5"/>
      <c r="AD15" s="40" t="n">
        <f aca="false">INDEX($B$5:$B$28,IF(ROW()-4&lt;=$F$2,ROW()-4,1))</f>
        <v>55</v>
      </c>
      <c r="AE15" s="40" t="n">
        <f aca="false">INDEX($C$5:$C$28,IF(ROW()-4&lt;=$F$2,ROW()-4,1))</f>
        <v>15.13</v>
      </c>
      <c r="AF15" s="5"/>
      <c r="AG15" s="5"/>
      <c r="AH15" s="5"/>
      <c r="AI15" s="5"/>
      <c r="AJ15" s="5"/>
    </row>
    <row r="16" customFormat="false" ht="15" hidden="false" customHeight="false" outlineLevel="0" collapsed="false">
      <c r="A16" s="37" t="n">
        <v>12</v>
      </c>
      <c r="B16" s="34" t="n">
        <v>53.23</v>
      </c>
      <c r="C16" s="34" t="n">
        <v>30.05</v>
      </c>
      <c r="D16" s="38" t="n">
        <f aca="false">IF(ROW()-4&lt;=$F$2,1,0)</f>
        <v>1</v>
      </c>
      <c r="E16" s="38" t="n">
        <f aca="false">IF($D16=0,0,INDEX($B$5:$B$28,IF(ROW()-4=$F$2,1,ROW()-4+1)))</f>
        <v>41.45</v>
      </c>
      <c r="F16" s="38" t="n">
        <f aca="false">IF($D16=0,0,INDEX($C$5:$C$28,IF(ROW()-4=$F$2,1,ROW()-4+1)))</f>
        <v>30.45</v>
      </c>
      <c r="G16" s="38" t="n">
        <f aca="false">IF($D16=0,0,INDEX($B$5:$B$28,IF(ROW()-4=1,$F$2,ROW()-4-1)))</f>
        <v>55</v>
      </c>
      <c r="H16" s="38" t="n">
        <f aca="false">IF($D16=0,0,INDEX($C$5:$C$28,IF(ROW()-4=1,$F$2,ROW()-4-1)))</f>
        <v>15.13</v>
      </c>
      <c r="I16" s="38" t="n">
        <f aca="false">IF($D16=0,0,B16*F16-E16*C16)</f>
        <v>375.281</v>
      </c>
      <c r="J16" s="38" t="n">
        <f aca="false">IF($D16=0,0,SQRT((E16-B16)^2+(F16-C16)^2))</f>
        <v>11.7867892150492</v>
      </c>
      <c r="K16" s="38" t="n">
        <f aca="false">IF($D16=0,0,(C16^2+C16*F16+F16^2)*I16)</f>
        <v>1030231.7214275</v>
      </c>
      <c r="L16" s="38" t="n">
        <f aca="false">IF($D16=0,0,(B16^2+B16*E16+E16^2)*I16)</f>
        <v>2536118.5627109</v>
      </c>
      <c r="M16" s="38" t="n">
        <f aca="false">IF($D16=0,0,(B16*F16+2*B16*C16+2*E16*F16+E16*C16)*I16)</f>
        <v>3223608.998974</v>
      </c>
      <c r="N16" s="38" t="n">
        <f aca="false">IF($D16=0,0,(B16+E16)*I16)</f>
        <v>35531.60508</v>
      </c>
      <c r="O16" s="38" t="n">
        <f aca="false">IF($D16=0,0,(C16+F16)*I16)</f>
        <v>22704.5005</v>
      </c>
      <c r="P16" s="38" t="n">
        <f aca="false">IF($D16=0,0,(G16-B16)*(E16-B16)+(H16-C16)*(F16-C16))</f>
        <v>-26.8186</v>
      </c>
      <c r="Q16" s="38" t="n">
        <f aca="false">IF($D16=0,0,(G16-B16)*(F16-C16)-(H16-C16)*(E16-B16))</f>
        <v>-175.0496</v>
      </c>
      <c r="R16" s="38" t="n">
        <f aca="false">IF($D16=0,"",IFERROR(MOD(DEGREES(ATAN2(P16,-$F$3*Q16)),360),""))</f>
        <v>98.7103130789159</v>
      </c>
      <c r="S16" s="38" t="n">
        <f aca="false">IF($D16="","",IF($D16=0,"",180-R16))</f>
        <v>81.2896869210841</v>
      </c>
      <c r="T16" s="38" t="str">
        <f aca="false">IF($D16=0,"",IF(R16&gt;180,"入隅(凹)","出隅(凸)"))</f>
        <v>出隅(凸)</v>
      </c>
      <c r="U16" s="5"/>
      <c r="V16" s="41" t="n">
        <v>10</v>
      </c>
      <c r="W16" s="41" t="n">
        <v>48.39</v>
      </c>
      <c r="X16" s="41" t="n">
        <v>12.14</v>
      </c>
      <c r="Y16" s="42" t="n">
        <f aca="false">ROUND(W16*$Y$5,2)</f>
        <v>53.23</v>
      </c>
      <c r="Z16" s="42" t="n">
        <f aca="false">ROUND(X16*$Y$5,2)</f>
        <v>13.35</v>
      </c>
      <c r="AA16" s="5"/>
      <c r="AB16" s="5"/>
      <c r="AC16" s="5"/>
      <c r="AD16" s="40" t="n">
        <f aca="false">INDEX($B$5:$B$28,IF(ROW()-4&lt;=$F$2,ROW()-4,1))</f>
        <v>53.23</v>
      </c>
      <c r="AE16" s="40" t="n">
        <f aca="false">INDEX($C$5:$C$28,IF(ROW()-4&lt;=$F$2,ROW()-4,1))</f>
        <v>30.05</v>
      </c>
      <c r="AF16" s="5"/>
      <c r="AG16" s="5"/>
      <c r="AH16" s="5"/>
      <c r="AI16" s="5"/>
      <c r="AJ16" s="5"/>
    </row>
    <row r="17" customFormat="false" ht="15" hidden="false" customHeight="false" outlineLevel="0" collapsed="false">
      <c r="A17" s="37" t="n">
        <v>13</v>
      </c>
      <c r="B17" s="34" t="n">
        <v>41.45</v>
      </c>
      <c r="C17" s="34" t="n">
        <v>30.45</v>
      </c>
      <c r="D17" s="38" t="n">
        <f aca="false">IF(ROW()-4&lt;=$F$2,1,0)</f>
        <v>1</v>
      </c>
      <c r="E17" s="38" t="n">
        <f aca="false">IF($D17=0,0,INDEX($B$5:$B$28,IF(ROW()-4=$F$2,1,ROW()-4+1)))</f>
        <v>39.48</v>
      </c>
      <c r="F17" s="38" t="n">
        <f aca="false">IF($D17=0,0,INDEX($C$5:$C$28,IF(ROW()-4=$F$2,1,ROW()-4+1)))</f>
        <v>39.48</v>
      </c>
      <c r="G17" s="38" t="n">
        <f aca="false">IF($D17=0,0,INDEX($B$5:$B$28,IF(ROW()-4=1,$F$2,ROW()-4-1)))</f>
        <v>53.23</v>
      </c>
      <c r="H17" s="38" t="n">
        <f aca="false">IF($D17=0,0,INDEX($C$5:$C$28,IF(ROW()-4=1,$F$2,ROW()-4-1)))</f>
        <v>30.05</v>
      </c>
      <c r="I17" s="38" t="n">
        <f aca="false">IF($D17=0,0,B17*F17-E17*C17)</f>
        <v>434.28</v>
      </c>
      <c r="J17" s="38" t="n">
        <f aca="false">IF($D17=0,0,SQRT((E17-B17)^2+(F17-C17)^2))</f>
        <v>9.2423914654163</v>
      </c>
      <c r="K17" s="38" t="n">
        <f aca="false">IF($D17=0,0,(C17^2+C17*F17+F17^2)*I17)</f>
        <v>1601641.533492</v>
      </c>
      <c r="L17" s="38" t="n">
        <f aca="false">IF($D17=0,0,(B17^2+B17*E17+E17^2)*I17)</f>
        <v>2133712.703892</v>
      </c>
      <c r="M17" s="38" t="n">
        <f aca="false">IF($D17=0,0,(B17*F17+2*B17*C17+2*E17*F17+E17*C17)*I17)</f>
        <v>3682806.357384</v>
      </c>
      <c r="N17" s="38" t="n">
        <f aca="false">IF($D17=0,0,(B17+E17)*I17)</f>
        <v>35146.2804</v>
      </c>
      <c r="O17" s="38" t="n">
        <f aca="false">IF($D17=0,0,(C17+F17)*I17)</f>
        <v>30369.2004</v>
      </c>
      <c r="P17" s="38" t="n">
        <f aca="false">IF($D17=0,0,(G17-B17)*(E17-B17)+(H17-C17)*(F17-C17))</f>
        <v>-26.8186</v>
      </c>
      <c r="Q17" s="38" t="n">
        <f aca="false">IF($D17=0,0,(G17-B17)*(F17-C17)-(H17-C17)*(E17-B17))</f>
        <v>105.5854</v>
      </c>
      <c r="R17" s="38" t="n">
        <f aca="false">IF($D17=0,"",IFERROR(MOD(DEGREES(ATAN2(P17,-$F$3*Q17)),360),""))</f>
        <v>255.748305306715</v>
      </c>
      <c r="S17" s="38" t="n">
        <f aca="false">IF($D17="","",IF($D17=0,"",180-R17))</f>
        <v>-75.7483053067148</v>
      </c>
      <c r="T17" s="38" t="str">
        <f aca="false">IF($D17=0,"",IF(R17&gt;180,"入隅(凹)","出隅(凸)"))</f>
        <v>入隅(凹)</v>
      </c>
      <c r="U17" s="5"/>
      <c r="V17" s="41" t="n">
        <v>11</v>
      </c>
      <c r="W17" s="41" t="n">
        <v>50</v>
      </c>
      <c r="X17" s="41" t="n">
        <v>13.75</v>
      </c>
      <c r="Y17" s="42" t="n">
        <f aca="false">ROUND(W17*$Y$5,2)</f>
        <v>55</v>
      </c>
      <c r="Z17" s="42" t="n">
        <f aca="false">ROUND(X17*$Y$5,2)</f>
        <v>15.13</v>
      </c>
      <c r="AA17" s="5"/>
      <c r="AB17" s="5"/>
      <c r="AC17" s="5"/>
      <c r="AD17" s="40" t="n">
        <f aca="false">INDEX($B$5:$B$28,IF(ROW()-4&lt;=$F$2,ROW()-4,1))</f>
        <v>41.45</v>
      </c>
      <c r="AE17" s="40" t="n">
        <f aca="false">INDEX($C$5:$C$28,IF(ROW()-4&lt;=$F$2,ROW()-4,1))</f>
        <v>30.45</v>
      </c>
      <c r="AF17" s="5"/>
      <c r="AG17" s="5"/>
      <c r="AH17" s="5"/>
      <c r="AI17" s="5"/>
      <c r="AJ17" s="5"/>
    </row>
    <row r="18" customFormat="false" ht="15" hidden="false" customHeight="false" outlineLevel="0" collapsed="false">
      <c r="A18" s="37" t="n">
        <v>14</v>
      </c>
      <c r="B18" s="34" t="n">
        <v>39.48</v>
      </c>
      <c r="C18" s="34" t="n">
        <v>39.48</v>
      </c>
      <c r="D18" s="38" t="n">
        <f aca="false">IF(ROW()-4&lt;=$F$2,1,0)</f>
        <v>1</v>
      </c>
      <c r="E18" s="38" t="n">
        <f aca="false">IF($D18=0,0,INDEX($B$5:$B$28,IF(ROW()-4=$F$2,1,ROW()-4+1)))</f>
        <v>23.18</v>
      </c>
      <c r="F18" s="38" t="n">
        <f aca="false">IF($D18=0,0,INDEX($C$5:$C$28,IF(ROW()-4=$F$2,1,ROW()-4+1)))</f>
        <v>51.07</v>
      </c>
      <c r="G18" s="38" t="n">
        <f aca="false">IF($D18=0,0,INDEX($B$5:$B$28,IF(ROW()-4=1,$F$2,ROW()-4-1)))</f>
        <v>41.45</v>
      </c>
      <c r="H18" s="38" t="n">
        <f aca="false">IF($D18=0,0,INDEX($C$5:$C$28,IF(ROW()-4=1,$F$2,ROW()-4-1)))</f>
        <v>30.45</v>
      </c>
      <c r="I18" s="38" t="n">
        <f aca="false">IF($D18=0,0,B18*F18-E18*C18)</f>
        <v>1101.0972</v>
      </c>
      <c r="J18" s="38" t="n">
        <f aca="false">IF($D18=0,0,SQRT((E18-B18)^2+(F18-C18)^2))</f>
        <v>20.0004524948812</v>
      </c>
      <c r="K18" s="38" t="n">
        <f aca="false">IF($D18=0,0,(C18^2+C18*F18+F18^2)*I18)</f>
        <v>6808148.84222508</v>
      </c>
      <c r="L18" s="38" t="n">
        <f aca="false">IF($D18=0,0,(B18^2+B18*E18+E18^2)*I18)</f>
        <v>3315545.93095824</v>
      </c>
      <c r="M18" s="38" t="n">
        <f aca="false">IF($D18=0,0,(B18*F18+2*B18*C18+2*E18*F18+E18*C18)*I18)</f>
        <v>9267204.0038592</v>
      </c>
      <c r="N18" s="38" t="n">
        <f aca="false">IF($D18=0,0,(B18+E18)*I18)</f>
        <v>68994.750552</v>
      </c>
      <c r="O18" s="38" t="n">
        <f aca="false">IF($D18=0,0,(C18+F18)*I18)</f>
        <v>99704.35146</v>
      </c>
      <c r="P18" s="38" t="n">
        <f aca="false">IF($D18=0,0,(G18-B18)*(E18-B18)+(H18-C18)*(F18-C18))</f>
        <v>-136.7687</v>
      </c>
      <c r="Q18" s="38" t="n">
        <f aca="false">IF($D18=0,0,(G18-B18)*(F18-C18)-(H18-C18)*(E18-B18))</f>
        <v>-124.3567</v>
      </c>
      <c r="R18" s="38" t="n">
        <f aca="false">IF($D18=0,"",IFERROR(MOD(DEGREES(ATAN2(P18,-$F$3*Q18)),360),""))</f>
        <v>137.72137584145</v>
      </c>
      <c r="S18" s="38" t="n">
        <f aca="false">IF($D18="","",IF($D18=0,"",180-R18))</f>
        <v>42.2786241585497</v>
      </c>
      <c r="T18" s="38" t="str">
        <f aca="false">IF($D18=0,"",IF(R18&gt;180,"入隅(凹)","出隅(凸)"))</f>
        <v>出隅(凸)</v>
      </c>
      <c r="U18" s="5"/>
      <c r="V18" s="41" t="n">
        <v>12</v>
      </c>
      <c r="W18" s="41" t="n">
        <v>48.39</v>
      </c>
      <c r="X18" s="41" t="n">
        <v>27.32</v>
      </c>
      <c r="Y18" s="42" t="n">
        <f aca="false">ROUND(W18*$Y$5,2)</f>
        <v>53.23</v>
      </c>
      <c r="Z18" s="42" t="n">
        <f aca="false">ROUND(X18*$Y$5,2)</f>
        <v>30.05</v>
      </c>
      <c r="AA18" s="5"/>
      <c r="AB18" s="5"/>
      <c r="AC18" s="5"/>
      <c r="AD18" s="40" t="n">
        <f aca="false">INDEX($B$5:$B$28,IF(ROW()-4&lt;=$F$2,ROW()-4,1))</f>
        <v>39.48</v>
      </c>
      <c r="AE18" s="40" t="n">
        <f aca="false">INDEX($C$5:$C$28,IF(ROW()-4&lt;=$F$2,ROW()-4,1))</f>
        <v>39.48</v>
      </c>
      <c r="AF18" s="5"/>
      <c r="AG18" s="5"/>
      <c r="AH18" s="5"/>
      <c r="AI18" s="5"/>
      <c r="AJ18" s="5"/>
    </row>
    <row r="19" customFormat="false" ht="15" hidden="false" customHeight="false" outlineLevel="0" collapsed="false">
      <c r="A19" s="37" t="n">
        <v>15</v>
      </c>
      <c r="B19" s="34" t="n">
        <v>23.18</v>
      </c>
      <c r="C19" s="34" t="n">
        <v>51.07</v>
      </c>
      <c r="D19" s="38" t="n">
        <f aca="false">IF(ROW()-4&lt;=$F$2,1,0)</f>
        <v>1</v>
      </c>
      <c r="E19" s="38" t="n">
        <f aca="false">IF($D19=0,0,INDEX($B$5:$B$28,IF(ROW()-4=$F$2,1,ROW()-4+1)))</f>
        <v>9.43</v>
      </c>
      <c r="F19" s="38" t="n">
        <f aca="false">IF($D19=0,0,INDEX($C$5:$C$28,IF(ROW()-4=$F$2,1,ROW()-4+1)))</f>
        <v>55</v>
      </c>
      <c r="G19" s="38" t="n">
        <f aca="false">IF($D19=0,0,INDEX($B$5:$B$28,IF(ROW()-4=1,$F$2,ROW()-4-1)))</f>
        <v>39.48</v>
      </c>
      <c r="H19" s="38" t="n">
        <f aca="false">IF($D19=0,0,INDEX($C$5:$C$28,IF(ROW()-4=1,$F$2,ROW()-4-1)))</f>
        <v>39.48</v>
      </c>
      <c r="I19" s="38" t="n">
        <f aca="false">IF($D19=0,0,B19*F19-E19*C19)</f>
        <v>793.3099</v>
      </c>
      <c r="J19" s="38" t="n">
        <f aca="false">IF($D19=0,0,SQRT((E19-B19)^2+(F19-C19)^2))</f>
        <v>14.300608378667</v>
      </c>
      <c r="K19" s="38" t="n">
        <f aca="false">IF($D19=0,0,(C19^2+C19*F19+F19^2)*I19)</f>
        <v>6697118.12991951</v>
      </c>
      <c r="L19" s="38" t="n">
        <f aca="false">IF($D19=0,0,(B19^2+B19*E19+E19^2)*I19)</f>
        <v>670207.79827453</v>
      </c>
      <c r="M19" s="38" t="n">
        <f aca="false">IF($D19=0,0,(B19*F19+2*B19*C19+2*E19*F19+E19*C19)*I19)</f>
        <v>4094585.98930347</v>
      </c>
      <c r="N19" s="38" t="n">
        <f aca="false">IF($D19=0,0,(B19+E19)*I19)</f>
        <v>25869.835839</v>
      </c>
      <c r="O19" s="38" t="n">
        <f aca="false">IF($D19=0,0,(C19+F19)*I19)</f>
        <v>84146.381093</v>
      </c>
      <c r="P19" s="38" t="n">
        <f aca="false">IF($D19=0,0,(G19-B19)*(E19-B19)+(H19-C19)*(F19-C19))</f>
        <v>-269.6737</v>
      </c>
      <c r="Q19" s="38" t="n">
        <f aca="false">IF($D19=0,0,(G19-B19)*(F19-C19)-(H19-C19)*(E19-B19))</f>
        <v>-95.3035000000001</v>
      </c>
      <c r="R19" s="38" t="n">
        <f aca="false">IF($D19=0,"",IFERROR(MOD(DEGREES(ATAN2(P19,-$F$3*Q19)),360),""))</f>
        <v>160.536438037793</v>
      </c>
      <c r="S19" s="38" t="n">
        <f aca="false">IF($D19="","",IF($D19=0,"",180-R19))</f>
        <v>19.463561962207</v>
      </c>
      <c r="T19" s="38" t="str">
        <f aca="false">IF($D19=0,"",IF(R19&gt;180,"入隅(凹)","出隅(凸)"))</f>
        <v>出隅(凸)</v>
      </c>
      <c r="U19" s="5"/>
      <c r="V19" s="41" t="n">
        <v>13</v>
      </c>
      <c r="W19" s="41" t="n">
        <v>37.68</v>
      </c>
      <c r="X19" s="41" t="n">
        <v>27.68</v>
      </c>
      <c r="Y19" s="42" t="n">
        <f aca="false">ROUND(W19*$Y$5,2)</f>
        <v>41.45</v>
      </c>
      <c r="Z19" s="42" t="n">
        <f aca="false">ROUND(X19*$Y$5,2)</f>
        <v>30.45</v>
      </c>
      <c r="AA19" s="5"/>
      <c r="AB19" s="5"/>
      <c r="AC19" s="5"/>
      <c r="AD19" s="40" t="n">
        <f aca="false">INDEX($B$5:$B$28,IF(ROW()-4&lt;=$F$2,ROW()-4,1))</f>
        <v>23.18</v>
      </c>
      <c r="AE19" s="40" t="n">
        <f aca="false">INDEX($C$5:$C$28,IF(ROW()-4&lt;=$F$2,ROW()-4,1))</f>
        <v>51.07</v>
      </c>
      <c r="AF19" s="5"/>
      <c r="AG19" s="5"/>
      <c r="AH19" s="5"/>
      <c r="AI19" s="5"/>
      <c r="AJ19" s="5"/>
    </row>
    <row r="20" customFormat="false" ht="15" hidden="false" customHeight="false" outlineLevel="0" collapsed="false">
      <c r="A20" s="37" t="n">
        <v>16</v>
      </c>
      <c r="B20" s="34" t="n">
        <v>9.43</v>
      </c>
      <c r="C20" s="34" t="n">
        <v>55</v>
      </c>
      <c r="D20" s="38" t="n">
        <f aca="false">IF(ROW()-4&lt;=$F$2,1,0)</f>
        <v>1</v>
      </c>
      <c r="E20" s="38" t="n">
        <f aca="false">IF($D20=0,0,INDEX($B$5:$B$28,IF(ROW()-4=$F$2,1,ROW()-4+1)))</f>
        <v>-8.65</v>
      </c>
      <c r="F20" s="38" t="n">
        <f aca="false">IF($D20=0,0,INDEX($C$5:$C$28,IF(ROW()-4=$F$2,1,ROW()-4+1)))</f>
        <v>53.63</v>
      </c>
      <c r="G20" s="38" t="n">
        <f aca="false">IF($D20=0,0,INDEX($B$5:$B$28,IF(ROW()-4=1,$F$2,ROW()-4-1)))</f>
        <v>23.18</v>
      </c>
      <c r="H20" s="38" t="n">
        <f aca="false">IF($D20=0,0,INDEX($C$5:$C$28,IF(ROW()-4=1,$F$2,ROW()-4-1)))</f>
        <v>51.07</v>
      </c>
      <c r="I20" s="38" t="n">
        <f aca="false">IF($D20=0,0,B20*F20-E20*C20)</f>
        <v>981.4809</v>
      </c>
      <c r="J20" s="38" t="n">
        <f aca="false">IF($D20=0,0,SQRT((E20-B20)^2+(F20-C20)^2))</f>
        <v>18.1318311265024</v>
      </c>
      <c r="K20" s="38" t="n">
        <f aca="false">IF($D20=0,0,(C20^2+C20*F20+F20^2)*I20)</f>
        <v>8686917.55155621</v>
      </c>
      <c r="L20" s="38" t="n">
        <f aca="false">IF($D20=0,0,(B20^2+B20*E20+E20^2)*I20)</f>
        <v>80656.03925211</v>
      </c>
      <c r="M20" s="38" t="n">
        <f aca="false">IF($D20=0,0,(B20*F20+2*B20*C20+2*E20*F20+E20*C20)*I20)</f>
        <v>136898.82074571</v>
      </c>
      <c r="N20" s="38" t="n">
        <f aca="false">IF($D20=0,0,(B20+E20)*I20)</f>
        <v>765.555101999999</v>
      </c>
      <c r="O20" s="38" t="n">
        <f aca="false">IF($D20=0,0,(C20+F20)*I20)</f>
        <v>106618.270167</v>
      </c>
      <c r="P20" s="38" t="n">
        <f aca="false">IF($D20=0,0,(G20-B20)*(E20-B20)+(H20-C20)*(F20-C20))</f>
        <v>-243.2159</v>
      </c>
      <c r="Q20" s="38" t="n">
        <f aca="false">IF($D20=0,0,(G20-B20)*(F20-C20)-(H20-C20)*(E20-B20))</f>
        <v>-89.8919</v>
      </c>
      <c r="R20" s="38" t="n">
        <f aca="false">IF($D20=0,"",IFERROR(MOD(DEGREES(ATAN2(P20,-$F$3*Q20)),360),""))</f>
        <v>159.71583190101</v>
      </c>
      <c r="S20" s="38" t="n">
        <f aca="false">IF($D20="","",IF($D20=0,"",180-R20))</f>
        <v>20.2841680989901</v>
      </c>
      <c r="T20" s="38" t="str">
        <f aca="false">IF($D20=0,"",IF(R20&gt;180,"入隅(凹)","出隅(凸)"))</f>
        <v>出隅(凸)</v>
      </c>
      <c r="U20" s="5"/>
      <c r="V20" s="41" t="n">
        <v>14</v>
      </c>
      <c r="W20" s="41" t="n">
        <v>35.89</v>
      </c>
      <c r="X20" s="41" t="n">
        <v>35.89</v>
      </c>
      <c r="Y20" s="42" t="n">
        <f aca="false">ROUND(W20*$Y$5,2)</f>
        <v>39.48</v>
      </c>
      <c r="Z20" s="42" t="n">
        <f aca="false">ROUND(X20*$Y$5,2)</f>
        <v>39.48</v>
      </c>
      <c r="AA20" s="5"/>
      <c r="AB20" s="5"/>
      <c r="AC20" s="5"/>
      <c r="AD20" s="40" t="n">
        <f aca="false">INDEX($B$5:$B$28,IF(ROW()-4&lt;=$F$2,ROW()-4,1))</f>
        <v>9.43</v>
      </c>
      <c r="AE20" s="40" t="n">
        <f aca="false">INDEX($C$5:$C$28,IF(ROW()-4&lt;=$F$2,ROW()-4,1))</f>
        <v>55</v>
      </c>
      <c r="AF20" s="5"/>
      <c r="AG20" s="5"/>
      <c r="AH20" s="5"/>
      <c r="AI20" s="5"/>
      <c r="AJ20" s="5"/>
    </row>
    <row r="21" customFormat="false" ht="15" hidden="false" customHeight="false" outlineLevel="0" collapsed="false">
      <c r="A21" s="37" t="n">
        <v>17</v>
      </c>
      <c r="B21" s="34" t="n">
        <v>-8.65</v>
      </c>
      <c r="C21" s="34" t="n">
        <v>53.63</v>
      </c>
      <c r="D21" s="38" t="n">
        <f aca="false">IF(ROW()-4&lt;=$F$2,1,0)</f>
        <v>1</v>
      </c>
      <c r="E21" s="38" t="n">
        <f aca="false">IF($D21=0,0,INDEX($B$5:$B$28,IF(ROW()-4=$F$2,1,ROW()-4+1)))</f>
        <v>-26.13</v>
      </c>
      <c r="F21" s="38" t="n">
        <f aca="false">IF($D21=0,0,INDEX($C$5:$C$28,IF(ROW()-4=$F$2,1,ROW()-4+1)))</f>
        <v>49.9</v>
      </c>
      <c r="G21" s="38" t="n">
        <f aca="false">IF($D21=0,0,INDEX($B$5:$B$28,IF(ROW()-4=1,$F$2,ROW()-4-1)))</f>
        <v>9.43</v>
      </c>
      <c r="H21" s="38" t="n">
        <f aca="false">IF($D21=0,0,INDEX($C$5:$C$28,IF(ROW()-4=1,$F$2,ROW()-4-1)))</f>
        <v>55</v>
      </c>
      <c r="I21" s="38" t="n">
        <f aca="false">IF($D21=0,0,B21*F21-E21*C21)</f>
        <v>969.7169</v>
      </c>
      <c r="J21" s="38" t="n">
        <f aca="false">IF($D21=0,0,SQRT((E21-B21)^2+(F21-C21)^2))</f>
        <v>17.8735363037089</v>
      </c>
      <c r="K21" s="38" t="n">
        <f aca="false">IF($D21=0,0,(C21^2+C21*F21+F21^2)*I21)</f>
        <v>7798777.40110391</v>
      </c>
      <c r="L21" s="38" t="n">
        <f aca="false">IF($D21=0,0,(B21^2+B21*E21+E21^2)*I21)</f>
        <v>953836.71907391</v>
      </c>
      <c r="M21" s="38" t="n">
        <f aca="false">IF($D21=0,0,(B21*F21+2*B21*C21+2*E21*F21+E21*C21)*I21)</f>
        <v>-5205983.26369231</v>
      </c>
      <c r="N21" s="38" t="n">
        <f aca="false">IF($D21=0,0,(B21+E21)*I21)</f>
        <v>-33726.753782</v>
      </c>
      <c r="O21" s="38" t="n">
        <f aca="false">IF($D21=0,0,(C21+F21)*I21)</f>
        <v>100394.790657</v>
      </c>
      <c r="P21" s="38" t="n">
        <f aca="false">IF($D21=0,0,(G21-B21)*(E21-B21)+(H21-C21)*(F21-C21))</f>
        <v>-321.1485</v>
      </c>
      <c r="Q21" s="38" t="n">
        <f aca="false">IF($D21=0,0,(G21-B21)*(F21-C21)-(H21-C21)*(E21-B21))</f>
        <v>-43.4908000000001</v>
      </c>
      <c r="R21" s="38" t="n">
        <f aca="false">IF($D21=0,"",IFERROR(MOD(DEGREES(ATAN2(P21,-$F$3*Q21)),360),""))</f>
        <v>172.2877675973</v>
      </c>
      <c r="S21" s="38" t="n">
        <f aca="false">IF($D21="","",IF($D21=0,"",180-R21))</f>
        <v>7.71223240270041</v>
      </c>
      <c r="T21" s="38" t="str">
        <f aca="false">IF($D21=0,"",IF(R21&gt;180,"入隅(凹)","出隅(凸)"))</f>
        <v>出隅(凸)</v>
      </c>
      <c r="U21" s="5"/>
      <c r="V21" s="41" t="n">
        <v>15</v>
      </c>
      <c r="W21" s="41" t="n">
        <v>21.07</v>
      </c>
      <c r="X21" s="41" t="n">
        <v>46.43</v>
      </c>
      <c r="Y21" s="42" t="n">
        <f aca="false">ROUND(W21*$Y$5,2)</f>
        <v>23.18</v>
      </c>
      <c r="Z21" s="42" t="n">
        <f aca="false">ROUND(X21*$Y$5,2)</f>
        <v>51.07</v>
      </c>
      <c r="AA21" s="5"/>
      <c r="AB21" s="5"/>
      <c r="AC21" s="5"/>
      <c r="AD21" s="40" t="n">
        <f aca="false">INDEX($B$5:$B$28,IF(ROW()-4&lt;=$F$2,ROW()-4,1))</f>
        <v>-8.65</v>
      </c>
      <c r="AE21" s="40" t="n">
        <f aca="false">INDEX($C$5:$C$28,IF(ROW()-4&lt;=$F$2,ROW()-4,1))</f>
        <v>53.63</v>
      </c>
      <c r="AF21" s="5"/>
      <c r="AG21" s="5"/>
      <c r="AH21" s="5"/>
      <c r="AI21" s="5"/>
      <c r="AJ21" s="5"/>
    </row>
    <row r="22" customFormat="false" ht="15" hidden="false" customHeight="false" outlineLevel="0" collapsed="false">
      <c r="A22" s="37" t="n">
        <v>18</v>
      </c>
      <c r="B22" s="34" t="n">
        <v>-26.13</v>
      </c>
      <c r="C22" s="34" t="n">
        <v>49.9</v>
      </c>
      <c r="D22" s="38" t="n">
        <f aca="false">IF(ROW()-4&lt;=$F$2,1,0)</f>
        <v>1</v>
      </c>
      <c r="E22" s="38" t="n">
        <f aca="false">IF($D22=0,0,INDEX($B$5:$B$28,IF(ROW()-4=$F$2,1,ROW()-4+1)))</f>
        <v>-41.05</v>
      </c>
      <c r="F22" s="38" t="n">
        <f aca="false">IF($D22=0,0,INDEX($C$5:$C$28,IF(ROW()-4=$F$2,1,ROW()-4+1)))</f>
        <v>38.1</v>
      </c>
      <c r="G22" s="38" t="n">
        <f aca="false">IF($D22=0,0,INDEX($B$5:$B$28,IF(ROW()-4=1,$F$2,ROW()-4-1)))</f>
        <v>-8.65</v>
      </c>
      <c r="H22" s="38" t="n">
        <f aca="false">IF($D22=0,0,INDEX($C$5:$C$28,IF(ROW()-4=1,$F$2,ROW()-4-1)))</f>
        <v>53.63</v>
      </c>
      <c r="I22" s="38" t="n">
        <f aca="false">IF($D22=0,0,B22*F22-E22*C22)</f>
        <v>1052.842</v>
      </c>
      <c r="J22" s="38" t="n">
        <f aca="false">IF($D22=0,0,SQRT((E22-B22)^2+(F22-C22)^2))</f>
        <v>19.0222606437826</v>
      </c>
      <c r="K22" s="38" t="n">
        <f aca="false">IF($D22=0,0,(C22^2+C22*F22+F22^2)*I22)</f>
        <v>6151555.76602</v>
      </c>
      <c r="L22" s="38" t="n">
        <f aca="false">IF($D22=0,0,(B22^2+B22*E22+E22^2)*I22)</f>
        <v>3622319.6411878</v>
      </c>
      <c r="M22" s="38" t="n">
        <f aca="false">IF($D22=0,0,(B22*F22+2*B22*C22+2*E22*F22+E22*C22)*I22)</f>
        <v>-9243670.598344</v>
      </c>
      <c r="N22" s="38" t="n">
        <f aca="false">IF($D22=0,0,(B22+E22)*I22)</f>
        <v>-70729.92556</v>
      </c>
      <c r="O22" s="38" t="n">
        <f aca="false">IF($D22=0,0,(C22+F22)*I22)</f>
        <v>92650.096</v>
      </c>
      <c r="P22" s="38" t="n">
        <f aca="false">IF($D22=0,0,(G22-B22)*(E22-B22)+(H22-C22)*(F22-C22))</f>
        <v>-304.8156</v>
      </c>
      <c r="Q22" s="38" t="n">
        <f aca="false">IF($D22=0,0,(G22-B22)*(F22-C22)-(H22-C22)*(E22-B22))</f>
        <v>-150.6124</v>
      </c>
      <c r="R22" s="38" t="n">
        <f aca="false">IF($D22=0,"",IFERROR(MOD(DEGREES(ATAN2(P22,-$F$3*Q22)),360),""))</f>
        <v>153.705567549832</v>
      </c>
      <c r="S22" s="38" t="n">
        <f aca="false">IF($D22="","",IF($D22=0,"",180-R22))</f>
        <v>26.2944324501681</v>
      </c>
      <c r="T22" s="38" t="str">
        <f aca="false">IF($D22=0,"",IF(R22&gt;180,"入隅(凹)","出隅(凸)"))</f>
        <v>出隅(凸)</v>
      </c>
      <c r="U22" s="5"/>
      <c r="V22" s="41" t="n">
        <v>16</v>
      </c>
      <c r="W22" s="41" t="n">
        <v>8.57</v>
      </c>
      <c r="X22" s="41" t="n">
        <v>50</v>
      </c>
      <c r="Y22" s="42" t="n">
        <f aca="false">ROUND(W22*$Y$5,2)</f>
        <v>9.43</v>
      </c>
      <c r="Z22" s="42" t="n">
        <f aca="false">ROUND(X22*$Y$5,2)</f>
        <v>55</v>
      </c>
      <c r="AA22" s="5"/>
      <c r="AB22" s="5"/>
      <c r="AC22" s="5"/>
      <c r="AD22" s="40" t="n">
        <f aca="false">INDEX($B$5:$B$28,IF(ROW()-4&lt;=$F$2,ROW()-4,1))</f>
        <v>-26.13</v>
      </c>
      <c r="AE22" s="40" t="n">
        <f aca="false">INDEX($C$5:$C$28,IF(ROW()-4&lt;=$F$2,ROW()-4,1))</f>
        <v>49.9</v>
      </c>
      <c r="AF22" s="5"/>
      <c r="AG22" s="5"/>
      <c r="AH22" s="5"/>
      <c r="AI22" s="5"/>
      <c r="AJ22" s="5"/>
    </row>
    <row r="23" customFormat="false" ht="15" hidden="false" customHeight="false" outlineLevel="0" collapsed="false">
      <c r="A23" s="37" t="n">
        <v>19</v>
      </c>
      <c r="B23" s="34" t="n">
        <v>-41.05</v>
      </c>
      <c r="C23" s="34" t="n">
        <v>38.1</v>
      </c>
      <c r="D23" s="38" t="n">
        <f aca="false">IF(ROW()-4&lt;=$F$2,1,0)</f>
        <v>1</v>
      </c>
      <c r="E23" s="38" t="n">
        <f aca="false">IF($D23=0,0,INDEX($B$5:$B$28,IF(ROW()-4=$F$2,1,ROW()-4+1)))</f>
        <v>-42.62</v>
      </c>
      <c r="F23" s="38" t="n">
        <f aca="false">IF($D23=0,0,INDEX($C$5:$C$28,IF(ROW()-4=$F$2,1,ROW()-4+1)))</f>
        <v>33.78</v>
      </c>
      <c r="G23" s="38" t="n">
        <f aca="false">IF($D23=0,0,INDEX($B$5:$B$28,IF(ROW()-4=1,$F$2,ROW()-4-1)))</f>
        <v>-26.13</v>
      </c>
      <c r="H23" s="38" t="n">
        <f aca="false">IF($D23=0,0,INDEX($C$5:$C$28,IF(ROW()-4=1,$F$2,ROW()-4-1)))</f>
        <v>49.9</v>
      </c>
      <c r="I23" s="38" t="n">
        <f aca="false">IF($D23=0,0,B23*F23-E23*C23)</f>
        <v>237.153</v>
      </c>
      <c r="J23" s="38" t="n">
        <f aca="false">IF($D23=0,0,SQRT((E23-B23)^2+(F23-C23)^2))</f>
        <v>4.59644427791744</v>
      </c>
      <c r="K23" s="38" t="n">
        <f aca="false">IF($D23=0,0,(C23^2+C23*F23+F23^2)*I23)</f>
        <v>920086.3834092</v>
      </c>
      <c r="L23" s="38" t="n">
        <f aca="false">IF($D23=0,0,(B23^2+B23*E23+E23^2)*I23)</f>
        <v>1245318.3633387</v>
      </c>
      <c r="M23" s="38" t="n">
        <f aca="false">IF($D23=0,0,(B23*F23+2*B23*C23+2*E23*F23+E23*C23)*I23)</f>
        <v>-2138623.9833546</v>
      </c>
      <c r="N23" s="38" t="n">
        <f aca="false">IF($D23=0,0,(B23+E23)*I23)</f>
        <v>-19842.59151</v>
      </c>
      <c r="O23" s="38" t="n">
        <f aca="false">IF($D23=0,0,(C23+F23)*I23)</f>
        <v>17046.55764</v>
      </c>
      <c r="P23" s="38" t="n">
        <f aca="false">IF($D23=0,0,(G23-B23)*(E23-B23)+(H23-C23)*(F23-C23))</f>
        <v>-74.4004</v>
      </c>
      <c r="Q23" s="38" t="n">
        <f aca="false">IF($D23=0,0,(G23-B23)*(F23-C23)-(H23-C23)*(E23-B23))</f>
        <v>-45.9284</v>
      </c>
      <c r="R23" s="38" t="n">
        <f aca="false">IF($D23=0,"",IFERROR(MOD(DEGREES(ATAN2(P23,-$F$3*Q23)),360),""))</f>
        <v>148.312390411155</v>
      </c>
      <c r="S23" s="38" t="n">
        <f aca="false">IF($D23="","",IF($D23=0,"",180-R23))</f>
        <v>31.6876095888451</v>
      </c>
      <c r="T23" s="38" t="str">
        <f aca="false">IF($D23=0,"",IF(R23&gt;180,"入隅(凹)","出隅(凸)"))</f>
        <v>出隅(凸)</v>
      </c>
      <c r="U23" s="5"/>
      <c r="V23" s="41" t="n">
        <v>17</v>
      </c>
      <c r="W23" s="41" t="n">
        <v>-7.86</v>
      </c>
      <c r="X23" s="41" t="n">
        <v>48.75</v>
      </c>
      <c r="Y23" s="42" t="n">
        <f aca="false">ROUND(W23*$Y$5,2)</f>
        <v>-8.65</v>
      </c>
      <c r="Z23" s="42" t="n">
        <f aca="false">ROUND(X23*$Y$5,2)</f>
        <v>53.63</v>
      </c>
      <c r="AA23" s="5"/>
      <c r="AB23" s="5"/>
      <c r="AC23" s="5"/>
      <c r="AD23" s="40" t="n">
        <f aca="false">INDEX($B$5:$B$28,IF(ROW()-4&lt;=$F$2,ROW()-4,1))</f>
        <v>-41.05</v>
      </c>
      <c r="AE23" s="40" t="n">
        <f aca="false">INDEX($C$5:$C$28,IF(ROW()-4&lt;=$F$2,ROW()-4,1))</f>
        <v>38.1</v>
      </c>
      <c r="AF23" s="5"/>
      <c r="AG23" s="5"/>
      <c r="AH23" s="5"/>
      <c r="AI23" s="5"/>
      <c r="AJ23" s="5"/>
    </row>
    <row r="24" customFormat="false" ht="15" hidden="false" customHeight="false" outlineLevel="0" collapsed="false">
      <c r="A24" s="37" t="n">
        <v>20</v>
      </c>
      <c r="B24" s="34" t="n">
        <v>-42.62</v>
      </c>
      <c r="C24" s="34" t="n">
        <v>33.78</v>
      </c>
      <c r="D24" s="38" t="n">
        <f aca="false">IF(ROW()-4&lt;=$F$2,1,0)</f>
        <v>1</v>
      </c>
      <c r="E24" s="38" t="n">
        <f aca="false">IF($D24=0,0,INDEX($B$5:$B$28,IF(ROW()-4=$F$2,1,ROW()-4+1)))</f>
        <v>-42.43</v>
      </c>
      <c r="F24" s="38" t="n">
        <f aca="false">IF($D24=0,0,INDEX($C$5:$C$28,IF(ROW()-4=$F$2,1,ROW()-4+1)))</f>
        <v>26.52</v>
      </c>
      <c r="G24" s="38" t="n">
        <f aca="false">IF($D24=0,0,INDEX($B$5:$B$28,IF(ROW()-4=1,$F$2,ROW()-4-1)))</f>
        <v>-41.05</v>
      </c>
      <c r="H24" s="38" t="n">
        <f aca="false">IF($D24=0,0,INDEX($C$5:$C$28,IF(ROW()-4=1,$F$2,ROW()-4-1)))</f>
        <v>38.1</v>
      </c>
      <c r="I24" s="38" t="n">
        <f aca="false">IF($D24=0,0,B24*F24-E24*C24)</f>
        <v>303.003</v>
      </c>
      <c r="J24" s="38" t="n">
        <f aca="false">IF($D24=0,0,SQRT((E24-B24)^2+(F24-C24)^2))</f>
        <v>7.26248580033035</v>
      </c>
      <c r="K24" s="38" t="n">
        <f aca="false">IF($D24=0,0,(C24^2+C24*F24+F24^2)*I24)</f>
        <v>830302.2739332</v>
      </c>
      <c r="L24" s="38" t="n">
        <f aca="false">IF($D24=0,0,(B24^2+B24*E24+E24^2)*I24)</f>
        <v>1643832.4531077</v>
      </c>
      <c r="M24" s="38" t="n">
        <f aca="false">IF($D24=0,0,(B24*F24+2*B24*C24+2*E24*F24+E24*C24)*I24)</f>
        <v>-2331142.1269866</v>
      </c>
      <c r="N24" s="38" t="n">
        <f aca="false">IF($D24=0,0,(B24+E24)*I24)</f>
        <v>-25770.40515</v>
      </c>
      <c r="O24" s="38" t="n">
        <f aca="false">IF($D24=0,0,(C24+F24)*I24)</f>
        <v>18271.0809</v>
      </c>
      <c r="P24" s="38" t="n">
        <f aca="false">IF($D24=0,0,(G24-B24)*(E24-B24)+(H24-C24)*(F24-C24))</f>
        <v>-31.0649</v>
      </c>
      <c r="Q24" s="38" t="n">
        <f aca="false">IF($D24=0,0,(G24-B24)*(F24-C24)-(H24-C24)*(E24-B24))</f>
        <v>-12.219</v>
      </c>
      <c r="R24" s="38" t="n">
        <f aca="false">IF($D24=0,"",IFERROR(MOD(DEGREES(ATAN2(P24,-$F$3*Q24)),360),""))</f>
        <v>158.528409122963</v>
      </c>
      <c r="S24" s="38" t="n">
        <f aca="false">IF($D24="","",IF($D24=0,"",180-R24))</f>
        <v>21.4715908770367</v>
      </c>
      <c r="T24" s="38" t="str">
        <f aca="false">IF($D24=0,"",IF(R24&gt;180,"入隅(凹)","出隅(凸)"))</f>
        <v>出隅(凸)</v>
      </c>
      <c r="U24" s="5"/>
      <c r="V24" s="41" t="n">
        <v>18</v>
      </c>
      <c r="W24" s="41" t="n">
        <v>-23.75</v>
      </c>
      <c r="X24" s="41" t="n">
        <v>45.36</v>
      </c>
      <c r="Y24" s="42" t="n">
        <f aca="false">ROUND(W24*$Y$5,2)</f>
        <v>-26.13</v>
      </c>
      <c r="Z24" s="42" t="n">
        <f aca="false">ROUND(X24*$Y$5,2)</f>
        <v>49.9</v>
      </c>
      <c r="AA24" s="5"/>
      <c r="AB24" s="5"/>
      <c r="AC24" s="5"/>
      <c r="AD24" s="40" t="n">
        <f aca="false">INDEX($B$5:$B$28,IF(ROW()-4&lt;=$F$2,ROW()-4,1))</f>
        <v>-42.62</v>
      </c>
      <c r="AE24" s="40" t="n">
        <f aca="false">INDEX($C$5:$C$28,IF(ROW()-4&lt;=$F$2,ROW()-4,1))</f>
        <v>33.78</v>
      </c>
      <c r="AF24" s="5"/>
      <c r="AG24" s="5"/>
      <c r="AH24" s="5"/>
      <c r="AI24" s="5"/>
      <c r="AJ24" s="5"/>
    </row>
    <row r="25" customFormat="false" ht="15" hidden="false" customHeight="false" outlineLevel="0" collapsed="false">
      <c r="A25" s="37" t="n">
        <v>21</v>
      </c>
      <c r="B25" s="34" t="n">
        <v>-42.43</v>
      </c>
      <c r="C25" s="34" t="n">
        <v>26.52</v>
      </c>
      <c r="D25" s="38" t="n">
        <f aca="false">IF(ROW()-4&lt;=$F$2,1,0)</f>
        <v>1</v>
      </c>
      <c r="E25" s="38" t="n">
        <f aca="false">IF($D25=0,0,INDEX($B$5:$B$28,IF(ROW()-4=$F$2,1,ROW()-4+1)))</f>
        <v>-54.8</v>
      </c>
      <c r="F25" s="38" t="n">
        <f aca="false">IF($D25=0,0,INDEX($C$5:$C$28,IF(ROW()-4=$F$2,1,ROW()-4+1)))</f>
        <v>26.72</v>
      </c>
      <c r="G25" s="38" t="n">
        <f aca="false">IF($D25=0,0,INDEX($B$5:$B$28,IF(ROW()-4=1,$F$2,ROW()-4-1)))</f>
        <v>-42.62</v>
      </c>
      <c r="H25" s="38" t="n">
        <f aca="false">IF($D25=0,0,INDEX($C$5:$C$28,IF(ROW()-4=1,$F$2,ROW()-4-1)))</f>
        <v>33.78</v>
      </c>
      <c r="I25" s="38" t="n">
        <f aca="false">IF($D25=0,0,B25*F25-E25*C25)</f>
        <v>319.5664</v>
      </c>
      <c r="J25" s="38" t="n">
        <f aca="false">IF($D25=0,0,SQRT((E25-B25)^2+(F25-C25)^2))</f>
        <v>12.371616709226</v>
      </c>
      <c r="K25" s="38" t="n">
        <f aca="false">IF($D25=0,0,(C25^2+C25*F25+F25^2)*I25)</f>
        <v>679360.84104448</v>
      </c>
      <c r="L25" s="38" t="n">
        <f aca="false">IF($D25=0,0,(B25^2+B25*E25+E25^2)*I25)</f>
        <v>2278031.92654096</v>
      </c>
      <c r="M25" s="38" t="n">
        <f aca="false">IF($D25=0,0,(B25*F25+2*B25*C25+2*E25*F25+E25*C25)*I25)</f>
        <v>-2481760.58764672</v>
      </c>
      <c r="N25" s="38" t="n">
        <f aca="false">IF($D25=0,0,(B25+E25)*I25)</f>
        <v>-31071.441072</v>
      </c>
      <c r="O25" s="38" t="n">
        <f aca="false">IF($D25=0,0,(C25+F25)*I25)</f>
        <v>17013.715136</v>
      </c>
      <c r="P25" s="38" t="n">
        <f aca="false">IF($D25=0,0,(G25-B25)*(E25-B25)+(H25-C25)*(F25-C25))</f>
        <v>3.80229999999997</v>
      </c>
      <c r="Q25" s="38" t="n">
        <f aca="false">IF($D25=0,0,(G25-B25)*(F25-C25)-(H25-C25)*(E25-B25))</f>
        <v>89.7682</v>
      </c>
      <c r="R25" s="38" t="n">
        <f aca="false">IF($D25=0,"",IFERROR(MOD(DEGREES(ATAN2(P25,-$F$3*Q25)),360),""))</f>
        <v>272.42542010635</v>
      </c>
      <c r="S25" s="38" t="n">
        <f aca="false">IF($D25="","",IF($D25=0,"",180-R25))</f>
        <v>-92.4254201063502</v>
      </c>
      <c r="T25" s="38" t="str">
        <f aca="false">IF($D25=0,"",IF(R25&gt;180,"入隅(凹)","出隅(凸)"))</f>
        <v>入隅(凹)</v>
      </c>
      <c r="U25" s="5"/>
      <c r="V25" s="41" t="n">
        <v>19</v>
      </c>
      <c r="W25" s="41" t="n">
        <v>-37.32</v>
      </c>
      <c r="X25" s="41" t="n">
        <v>34.64</v>
      </c>
      <c r="Y25" s="42" t="n">
        <f aca="false">ROUND(W25*$Y$5,2)</f>
        <v>-41.05</v>
      </c>
      <c r="Z25" s="42" t="n">
        <f aca="false">ROUND(X25*$Y$5,2)</f>
        <v>38.1</v>
      </c>
      <c r="AA25" s="5"/>
      <c r="AB25" s="5"/>
      <c r="AC25" s="5"/>
      <c r="AD25" s="40" t="n">
        <f aca="false">INDEX($B$5:$B$28,IF(ROW()-4&lt;=$F$2,ROW()-4,1))</f>
        <v>-42.43</v>
      </c>
      <c r="AE25" s="40" t="n">
        <f aca="false">INDEX($C$5:$C$28,IF(ROW()-4&lt;=$F$2,ROW()-4,1))</f>
        <v>26.52</v>
      </c>
      <c r="AF25" s="5"/>
      <c r="AG25" s="5"/>
      <c r="AH25" s="5"/>
      <c r="AI25" s="5"/>
      <c r="AJ25" s="5"/>
    </row>
    <row r="26" customFormat="false" ht="15" hidden="false" customHeight="false" outlineLevel="0" collapsed="false">
      <c r="A26" s="37" t="n">
        <v>22</v>
      </c>
      <c r="B26" s="34" t="n">
        <v>-54.8</v>
      </c>
      <c r="C26" s="34" t="n">
        <v>26.72</v>
      </c>
      <c r="D26" s="38" t="n">
        <f aca="false">IF(ROW()-4&lt;=$F$2,1,0)</f>
        <v>1</v>
      </c>
      <c r="E26" s="38" t="n">
        <f aca="false">IF($D26=0,0,INDEX($B$5:$B$28,IF(ROW()-4=$F$2,1,ROW()-4+1)))</f>
        <v>-55</v>
      </c>
      <c r="F26" s="38" t="n">
        <f aca="false">IF($D26=0,0,INDEX($C$5:$C$28,IF(ROW()-4=$F$2,1,ROW()-4+1)))</f>
        <v>16.7</v>
      </c>
      <c r="G26" s="38" t="n">
        <f aca="false">IF($D26=0,0,INDEX($B$5:$B$28,IF(ROW()-4=1,$F$2,ROW()-4-1)))</f>
        <v>-42.43</v>
      </c>
      <c r="H26" s="38" t="n">
        <f aca="false">IF($D26=0,0,INDEX($C$5:$C$28,IF(ROW()-4=1,$F$2,ROW()-4-1)))</f>
        <v>26.52</v>
      </c>
      <c r="I26" s="38" t="n">
        <f aca="false">IF($D26=0,0,B26*F26-E26*C26)</f>
        <v>554.44</v>
      </c>
      <c r="J26" s="38" t="n">
        <f aca="false">IF($D26=0,0,SQRT((E26-B26)^2+(F26-C26)^2))</f>
        <v>10.0219958092188</v>
      </c>
      <c r="K26" s="38" t="n">
        <f aca="false">IF($D26=0,0,(C26^2+C26*F26+F26^2)*I26)</f>
        <v>797879.301456</v>
      </c>
      <c r="L26" s="38" t="n">
        <f aca="false">IF($D26=0,0,(B26^2+B26*E26+E26^2)*I26)</f>
        <v>5013268.6576</v>
      </c>
      <c r="M26" s="38" t="n">
        <f aca="false">IF($D26=0,0,(B26*F26+2*B26*C26+2*E26*F26+E26*C26)*I26)</f>
        <v>-3964396.80768</v>
      </c>
      <c r="N26" s="38" t="n">
        <f aca="false">IF($D26=0,0,(B26+E26)*I26)</f>
        <v>-60877.512</v>
      </c>
      <c r="O26" s="38" t="n">
        <f aca="false">IF($D26=0,0,(C26+F26)*I26)</f>
        <v>24073.7848</v>
      </c>
      <c r="P26" s="38" t="n">
        <f aca="false">IF($D26=0,0,(G26-B26)*(E26-B26)+(H26-C26)*(F26-C26))</f>
        <v>-0.470000000000042</v>
      </c>
      <c r="Q26" s="38" t="n">
        <f aca="false">IF($D26=0,0,(G26-B26)*(F26-C26)-(H26-C26)*(E26-B26))</f>
        <v>-123.9874</v>
      </c>
      <c r="R26" s="38" t="n">
        <f aca="false">IF($D26=0,"",IFERROR(MOD(DEGREES(ATAN2(P26,-$F$3*Q26)),360),""))</f>
        <v>90.2171905160288</v>
      </c>
      <c r="S26" s="38" t="n">
        <f aca="false">IF($D26="","",IF($D26=0,"",180-R26))</f>
        <v>89.7828094839712</v>
      </c>
      <c r="T26" s="38" t="str">
        <f aca="false">IF($D26=0,"",IF(R26&gt;180,"入隅(凹)","出隅(凸)"))</f>
        <v>出隅(凸)</v>
      </c>
      <c r="U26" s="5"/>
      <c r="V26" s="41" t="n">
        <v>20</v>
      </c>
      <c r="W26" s="41" t="n">
        <v>-38.75</v>
      </c>
      <c r="X26" s="41" t="n">
        <v>30.71</v>
      </c>
      <c r="Y26" s="42" t="n">
        <f aca="false">ROUND(W26*$Y$5,2)</f>
        <v>-42.63</v>
      </c>
      <c r="Z26" s="42" t="n">
        <f aca="false">ROUND(X26*$Y$5,2)</f>
        <v>33.78</v>
      </c>
      <c r="AA26" s="5"/>
      <c r="AB26" s="5"/>
      <c r="AC26" s="5"/>
      <c r="AD26" s="40" t="n">
        <f aca="false">INDEX($B$5:$B$28,IF(ROW()-4&lt;=$F$2,ROW()-4,1))</f>
        <v>-54.8</v>
      </c>
      <c r="AE26" s="40" t="n">
        <f aca="false">INDEX($C$5:$C$28,IF(ROW()-4&lt;=$F$2,ROW()-4,1))</f>
        <v>26.72</v>
      </c>
      <c r="AF26" s="5"/>
      <c r="AG26" s="5"/>
      <c r="AH26" s="5"/>
      <c r="AI26" s="5"/>
      <c r="AJ26" s="5"/>
    </row>
    <row r="27" customFormat="false" ht="15" hidden="false" customHeight="false" outlineLevel="0" collapsed="false">
      <c r="A27" s="37" t="n">
        <v>23</v>
      </c>
      <c r="B27" s="34"/>
      <c r="C27" s="34"/>
      <c r="D27" s="38" t="n">
        <f aca="false">IF(ROW()-4&lt;=$F$2,1,0)</f>
        <v>0</v>
      </c>
      <c r="E27" s="38" t="n">
        <f aca="false">IF($D27=0,0,INDEX($B$5:$B$28,IF(ROW()-4=$F$2,1,ROW()-4+1)))</f>
        <v>0</v>
      </c>
      <c r="F27" s="38" t="n">
        <f aca="false">IF($D27=0,0,INDEX($C$5:$C$28,IF(ROW()-4=$F$2,1,ROW()-4+1)))</f>
        <v>0</v>
      </c>
      <c r="G27" s="38" t="n">
        <f aca="false">IF($D27=0,0,INDEX($B$5:$B$28,IF(ROW()-4=1,$F$2,ROW()-4-1)))</f>
        <v>0</v>
      </c>
      <c r="H27" s="38" t="n">
        <f aca="false">IF($D27=0,0,INDEX($C$5:$C$28,IF(ROW()-4=1,$F$2,ROW()-4-1)))</f>
        <v>0</v>
      </c>
      <c r="I27" s="38" t="n">
        <f aca="false">IF($D27=0,0,B27*F27-E27*C27)</f>
        <v>0</v>
      </c>
      <c r="J27" s="38" t="n">
        <f aca="false">IF($D27=0,0,SQRT((E27-B27)^2+(F27-C27)^2))</f>
        <v>0</v>
      </c>
      <c r="K27" s="38" t="n">
        <f aca="false">IF($D27=0,0,(C27^2+C27*F27+F27^2)*I27)</f>
        <v>0</v>
      </c>
      <c r="L27" s="38" t="n">
        <f aca="false">IF($D27=0,0,(B27^2+B27*E27+E27^2)*I27)</f>
        <v>0</v>
      </c>
      <c r="M27" s="38" t="n">
        <f aca="false">IF($D27=0,0,(B27*F27+2*B27*C27+2*E27*F27+E27*C27)*I27)</f>
        <v>0</v>
      </c>
      <c r="N27" s="38" t="n">
        <f aca="false">IF($D27=0,0,(B27+E27)*I27)</f>
        <v>0</v>
      </c>
      <c r="O27" s="38" t="n">
        <f aca="false">IF($D27=0,0,(C27+F27)*I27)</f>
        <v>0</v>
      </c>
      <c r="P27" s="38" t="n">
        <f aca="false">IF($D27=0,0,(G27-B27)*(E27-B27)+(H27-C27)*(F27-C27))</f>
        <v>0</v>
      </c>
      <c r="Q27" s="38" t="n">
        <f aca="false">IF($D27=0,0,(G27-B27)*(F27-C27)-(H27-C27)*(E27-B27))</f>
        <v>0</v>
      </c>
      <c r="R27" s="38" t="str">
        <f aca="false">IF($D27=0,"",IFERROR(MOD(DEGREES(ATAN2(P27,-$F$3*Q27)),360),""))</f>
        <v/>
      </c>
      <c r="S27" s="38" t="str">
        <f aca="false">IF($D27="","",IF($D27=0,"",180-R27))</f>
        <v/>
      </c>
      <c r="T27" s="38" t="str">
        <f aca="false">IF($D27=0,"",IF(R27&gt;180,"入隅(凹)","出隅(凸)"))</f>
        <v/>
      </c>
      <c r="U27" s="5"/>
      <c r="V27" s="41" t="n">
        <v>21</v>
      </c>
      <c r="W27" s="41" t="n">
        <v>-38.57</v>
      </c>
      <c r="X27" s="41" t="n">
        <v>24.11</v>
      </c>
      <c r="Y27" s="42" t="n">
        <f aca="false">ROUND(W27*$Y$5,2)</f>
        <v>-42.43</v>
      </c>
      <c r="Z27" s="42" t="n">
        <f aca="false">ROUND(X27*$Y$5,2)</f>
        <v>26.52</v>
      </c>
      <c r="AA27" s="5"/>
      <c r="AB27" s="5"/>
      <c r="AC27" s="5"/>
      <c r="AD27" s="40" t="n">
        <f aca="false">INDEX($B$5:$B$28,IF(ROW()-4&lt;=$F$2,ROW()-4,1))</f>
        <v>-55</v>
      </c>
      <c r="AE27" s="40" t="n">
        <f aca="false">INDEX($C$5:$C$28,IF(ROW()-4&lt;=$F$2,ROW()-4,1))</f>
        <v>16.7</v>
      </c>
      <c r="AF27" s="5"/>
      <c r="AG27" s="5"/>
      <c r="AH27" s="5"/>
      <c r="AI27" s="5"/>
      <c r="AJ27" s="5"/>
    </row>
    <row r="28" customFormat="false" ht="15" hidden="false" customHeight="false" outlineLevel="0" collapsed="false">
      <c r="A28" s="37" t="n">
        <v>24</v>
      </c>
      <c r="B28" s="34"/>
      <c r="C28" s="34"/>
      <c r="D28" s="38" t="n">
        <f aca="false">IF(ROW()-4&lt;=$F$2,1,0)</f>
        <v>0</v>
      </c>
      <c r="E28" s="38" t="n">
        <f aca="false">IF($D28=0,0,INDEX($B$5:$B$28,IF(ROW()-4=$F$2,1,ROW()-4+1)))</f>
        <v>0</v>
      </c>
      <c r="F28" s="38" t="n">
        <f aca="false">IF($D28=0,0,INDEX($C$5:$C$28,IF(ROW()-4=$F$2,1,ROW()-4+1)))</f>
        <v>0</v>
      </c>
      <c r="G28" s="38" t="n">
        <f aca="false">IF($D28=0,0,INDEX($B$5:$B$28,IF(ROW()-4=1,$F$2,ROW()-4-1)))</f>
        <v>0</v>
      </c>
      <c r="H28" s="38" t="n">
        <f aca="false">IF($D28=0,0,INDEX($C$5:$C$28,IF(ROW()-4=1,$F$2,ROW()-4-1)))</f>
        <v>0</v>
      </c>
      <c r="I28" s="38" t="n">
        <f aca="false">IF($D28=0,0,B28*F28-E28*C28)</f>
        <v>0</v>
      </c>
      <c r="J28" s="38" t="n">
        <f aca="false">IF($D28=0,0,SQRT((E28-B28)^2+(F28-C28)^2))</f>
        <v>0</v>
      </c>
      <c r="K28" s="38" t="n">
        <f aca="false">IF($D28=0,0,(C28^2+C28*F28+F28^2)*I28)</f>
        <v>0</v>
      </c>
      <c r="L28" s="38" t="n">
        <f aca="false">IF($D28=0,0,(B28^2+B28*E28+E28^2)*I28)</f>
        <v>0</v>
      </c>
      <c r="M28" s="38" t="n">
        <f aca="false">IF($D28=0,0,(B28*F28+2*B28*C28+2*E28*F28+E28*C28)*I28)</f>
        <v>0</v>
      </c>
      <c r="N28" s="38" t="n">
        <f aca="false">IF($D28=0,0,(B28+E28)*I28)</f>
        <v>0</v>
      </c>
      <c r="O28" s="38" t="n">
        <f aca="false">IF($D28=0,0,(C28+F28)*I28)</f>
        <v>0</v>
      </c>
      <c r="P28" s="38" t="n">
        <f aca="false">IF($D28=0,0,(G28-B28)*(E28-B28)+(H28-C28)*(F28-C28))</f>
        <v>0</v>
      </c>
      <c r="Q28" s="38" t="n">
        <f aca="false">IF($D28=0,0,(G28-B28)*(F28-C28)-(H28-C28)*(E28-B28))</f>
        <v>0</v>
      </c>
      <c r="R28" s="38" t="str">
        <f aca="false">IF($D28=0,"",IFERROR(MOD(DEGREES(ATAN2(P28,-$F$3*Q28)),360),""))</f>
        <v/>
      </c>
      <c r="S28" s="38" t="str">
        <f aca="false">IF($D28="","",IF($D28=0,"",180-R28))</f>
        <v/>
      </c>
      <c r="T28" s="38" t="str">
        <f aca="false">IF($D28=0,"",IF(R28&gt;180,"入隅(凹)","出隅(凸)"))</f>
        <v/>
      </c>
      <c r="U28" s="5"/>
      <c r="V28" s="41" t="n">
        <v>22</v>
      </c>
      <c r="W28" s="41" t="n">
        <v>-49.82</v>
      </c>
      <c r="X28" s="41" t="n">
        <v>24.29</v>
      </c>
      <c r="Y28" s="42" t="n">
        <f aca="false">ROUND(W28*$Y$5,2)</f>
        <v>-54.8</v>
      </c>
      <c r="Z28" s="42" t="n">
        <f aca="false">ROUND(X28*$Y$5,2)</f>
        <v>26.72</v>
      </c>
      <c r="AA28" s="5"/>
      <c r="AB28" s="5"/>
      <c r="AC28" s="5"/>
      <c r="AD28" s="40" t="n">
        <f aca="false">INDEX($B$5:$B$28,IF(ROW()-4&lt;=$F$2,ROW()-4,1))</f>
        <v>-55</v>
      </c>
      <c r="AE28" s="40" t="n">
        <f aca="false">INDEX($C$5:$C$28,IF(ROW()-4&lt;=$F$2,ROW()-4,1))</f>
        <v>16.7</v>
      </c>
      <c r="AF28" s="5"/>
      <c r="AG28" s="5"/>
      <c r="AH28" s="5"/>
      <c r="AI28" s="5"/>
      <c r="AJ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40" t="n">
        <f aca="false">INDEX($B$5:$B$28,IF(ROW()-4&lt;=$F$2,ROW()-4,1))</f>
        <v>-55</v>
      </c>
      <c r="AE29" s="40" t="n">
        <f aca="false">INDEX($C$5:$C$28,IF(ROW()-4&lt;=$F$2,ROW()-4,1))</f>
        <v>16.7</v>
      </c>
      <c r="AF29" s="5"/>
      <c r="AG29" s="5"/>
      <c r="AH29" s="5"/>
      <c r="AI29" s="5"/>
      <c r="AJ29" s="5"/>
    </row>
    <row r="30" customFormat="false" ht="17.15" hidden="false" customHeight="false" outlineLevel="0" collapsed="false">
      <c r="A30" s="6" t="s">
        <v>281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31" t="s">
        <v>282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customFormat="false" ht="15" hidden="false" customHeight="false" outlineLevel="0" collapsed="false">
      <c r="A31" s="8" t="s">
        <v>283</v>
      </c>
      <c r="B31" s="43" t="n">
        <f aca="false">0.5*SUM($I$5:$I$28)</f>
        <v>3775.89005</v>
      </c>
      <c r="C31" s="9" t="s">
        <v>284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32" t="s">
        <v>251</v>
      </c>
      <c r="W31" s="32" t="s">
        <v>285</v>
      </c>
      <c r="X31" s="32" t="s">
        <v>286</v>
      </c>
      <c r="Y31" s="32" t="s">
        <v>287</v>
      </c>
      <c r="Z31" s="32" t="s">
        <v>288</v>
      </c>
      <c r="AA31" s="32" t="s">
        <v>289</v>
      </c>
      <c r="AB31" s="32" t="s">
        <v>290</v>
      </c>
      <c r="AC31" s="5"/>
      <c r="AD31" s="5"/>
      <c r="AE31" s="5"/>
      <c r="AF31" s="5"/>
      <c r="AG31" s="5"/>
      <c r="AH31" s="5"/>
      <c r="AI31" s="5"/>
      <c r="AJ31" s="5"/>
    </row>
    <row r="32" customFormat="false" ht="15" hidden="false" customHeight="false" outlineLevel="0" collapsed="false">
      <c r="A32" s="8" t="s">
        <v>291</v>
      </c>
      <c r="B32" s="43" t="n">
        <f aca="false">ABS($B$31)</f>
        <v>3775.89005</v>
      </c>
      <c r="C32" s="9" t="s">
        <v>292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41" t="n">
        <v>1</v>
      </c>
      <c r="W32" s="41" t="n">
        <v>-17.21</v>
      </c>
      <c r="X32" s="41" t="n">
        <v>23.02</v>
      </c>
      <c r="Y32" s="41" t="n">
        <v>13.34</v>
      </c>
      <c r="Z32" s="42" t="n">
        <f aca="false">ROUND(W32*$Y$5,2)</f>
        <v>-18.93</v>
      </c>
      <c r="AA32" s="42" t="n">
        <f aca="false">ROUND(X32*$Y$5,2)</f>
        <v>25.32</v>
      </c>
      <c r="AB32" s="42" t="n">
        <f aca="false">ROUND(Y32*$Y$5,2)</f>
        <v>14.67</v>
      </c>
      <c r="AC32" s="5"/>
      <c r="AD32" s="5"/>
      <c r="AE32" s="5"/>
      <c r="AF32" s="5"/>
      <c r="AG32" s="5"/>
      <c r="AH32" s="5"/>
      <c r="AI32" s="5"/>
      <c r="AJ32" s="5"/>
    </row>
    <row r="33" customFormat="false" ht="15" hidden="false" customHeight="false" outlineLevel="0" collapsed="false">
      <c r="A33" s="8" t="s">
        <v>293</v>
      </c>
      <c r="B33" s="43" t="n">
        <f aca="false">SUM($J$5:$J$28)</f>
        <v>296.794070141273</v>
      </c>
      <c r="C33" s="9" t="s">
        <v>294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41" t="n">
        <v>2</v>
      </c>
      <c r="W33" s="41" t="n">
        <v>12.88</v>
      </c>
      <c r="X33" s="41" t="n">
        <v>26.23</v>
      </c>
      <c r="Y33" s="41" t="n">
        <v>10.66</v>
      </c>
      <c r="Z33" s="42" t="n">
        <f aca="false">ROUND(W33*$Y$5,2)</f>
        <v>14.17</v>
      </c>
      <c r="AA33" s="42" t="n">
        <f aca="false">ROUND(X33*$Y$5,2)</f>
        <v>28.85</v>
      </c>
      <c r="AB33" s="42" t="n">
        <f aca="false">ROUND(Y33*$Y$5,2)</f>
        <v>11.73</v>
      </c>
      <c r="AC33" s="5"/>
      <c r="AD33" s="5"/>
      <c r="AE33" s="5"/>
      <c r="AF33" s="5"/>
      <c r="AG33" s="5"/>
      <c r="AH33" s="5"/>
      <c r="AI33" s="5"/>
      <c r="AJ33" s="5"/>
    </row>
    <row r="34" customFormat="false" ht="15" hidden="false" customHeight="false" outlineLevel="0" collapsed="false">
      <c r="A34" s="8" t="s">
        <v>295</v>
      </c>
      <c r="B34" s="43" t="n">
        <f aca="false">IF($B$31=0,0,SUM($N$5:$N$28)/(6*$B$31))</f>
        <v>-0.121294531205963</v>
      </c>
      <c r="C34" s="9" t="s">
        <v>296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customFormat="false" ht="15" hidden="false" customHeight="false" outlineLevel="0" collapsed="false">
      <c r="A35" s="8" t="s">
        <v>297</v>
      </c>
      <c r="B35" s="43" t="n">
        <f aca="false">IF($B$31=0,0,SUM($O$5:$O$28)/(6*$B$31))</f>
        <v>28.2982121361029</v>
      </c>
      <c r="C35" s="9" t="s">
        <v>298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9" t="s">
        <v>299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customFormat="false" ht="15" hidden="false" customHeight="false" outlineLevel="0" collapsed="false">
      <c r="A36" s="10" t="s">
        <v>300</v>
      </c>
      <c r="B36" s="43" t="n">
        <f aca="false">$F$3*SUM($K$5:$K$28)/12-$B$32*$B$35^2</f>
        <v>571531.304079039</v>
      </c>
      <c r="C36" s="17" t="s">
        <v>301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9" t="s">
        <v>302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customFormat="false" ht="15" hidden="false" customHeight="false" outlineLevel="0" collapsed="false">
      <c r="A37" s="10" t="s">
        <v>303</v>
      </c>
      <c r="B37" s="43" t="n">
        <f aca="false">$F$3*SUM($L$5:$L$28)/12-$B$32*$B$34^2</f>
        <v>2647658.31836202</v>
      </c>
      <c r="C37" s="17" t="s">
        <v>304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44" t="s">
        <v>305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customFormat="false" ht="15" hidden="false" customHeight="false" outlineLevel="0" collapsed="false">
      <c r="A38" s="10" t="s">
        <v>306</v>
      </c>
      <c r="B38" s="43" t="n">
        <f aca="false">$F$3*SUM($M$5:$M$28)/24-$B$32*$B$34*$B$35</f>
        <v>51866.3997721425</v>
      </c>
      <c r="C38" s="9" t="s">
        <v>307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customFormat="false" ht="15" hidden="false" customHeight="false" outlineLevel="0" collapsed="false">
      <c r="A39" s="10" t="s">
        <v>308</v>
      </c>
      <c r="B39" s="43" t="n">
        <f aca="false">($B$36+$B$37)/2-SQRT((($B$36-$B$37)/2)^2+$B$38^2)</f>
        <v>570236.370506155</v>
      </c>
      <c r="C39" s="9" t="s">
        <v>309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9" t="s">
        <v>310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 customFormat="false" ht="15" hidden="false" customHeight="false" outlineLevel="0" collapsed="false">
      <c r="A40" s="10" t="s">
        <v>311</v>
      </c>
      <c r="B40" s="43" t="n">
        <f aca="false">($B$36+$B$37)/2+SQRT((($B$36-$B$37)/2)^2+$B$38^2)</f>
        <v>2648953.25193491</v>
      </c>
      <c r="C40" s="9" t="s">
        <v>312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 customFormat="false" ht="15" hidden="false" customHeight="false" outlineLevel="0" collapsed="false">
      <c r="A41" s="8" t="s">
        <v>313</v>
      </c>
      <c r="B41" s="43" t="n">
        <f aca="false">DEGREES(0.5*ATAN2($B$36-$B$37,-2*$B$38))</f>
        <v>-88.5698097695807</v>
      </c>
      <c r="C41" s="17" t="s">
        <v>314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 customFormat="false" ht="15" hidden="false" customHeight="false" outlineLevel="0" collapsed="false">
      <c r="A42" s="10" t="s">
        <v>315</v>
      </c>
      <c r="B42" s="43" t="n">
        <f aca="false">($B$36+$B$37)/2+($B$36-$B$37)/2*COS(2*RADIANS($B$41))-$B$38*SIN(2*RADIANS($B$41))</f>
        <v>2648953.25193491</v>
      </c>
      <c r="C42" s="9" t="s">
        <v>316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 customFormat="false" ht="15" hidden="false" customHeight="false" outlineLevel="0" collapsed="false">
      <c r="A43" s="8" t="s">
        <v>317</v>
      </c>
      <c r="B43" s="43" t="n">
        <f aca="false">IF(ABS($B$42-$B$39)&lt;ABS($B$42-$B$40),$B$41,$B$41+90)</f>
        <v>1.43019023041929</v>
      </c>
      <c r="C43" s="17" t="s">
        <v>318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customFormat="false" ht="15" hidden="false" customHeight="false" outlineLevel="0" collapsed="false">
      <c r="A44" s="10" t="s">
        <v>319</v>
      </c>
      <c r="B44" s="43" t="n">
        <f aca="false">MIN($B$5:$B$28)</f>
        <v>-55</v>
      </c>
      <c r="C44" s="9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customFormat="false" ht="15" hidden="false" customHeight="false" outlineLevel="0" collapsed="false">
      <c r="A45" s="10" t="s">
        <v>320</v>
      </c>
      <c r="B45" s="43" t="n">
        <f aca="false">MAX($B$5:$B$28)</f>
        <v>55</v>
      </c>
      <c r="C45" s="9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customFormat="false" ht="15" hidden="false" customHeight="false" outlineLevel="0" collapsed="false">
      <c r="A46" s="10" t="s">
        <v>321</v>
      </c>
      <c r="B46" s="43" t="n">
        <f aca="false">MIN($C$5:$C$28)</f>
        <v>0</v>
      </c>
      <c r="C46" s="9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customFormat="false" ht="15" hidden="false" customHeight="false" outlineLevel="0" collapsed="false">
      <c r="A47" s="10" t="s">
        <v>322</v>
      </c>
      <c r="B47" s="43" t="n">
        <f aca="false">MAX($C$5:$C$28)</f>
        <v>55</v>
      </c>
      <c r="C47" s="9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customFormat="false" ht="15" hidden="false" customHeight="false" outlineLevel="0" collapsed="false">
      <c r="A48" s="10" t="s">
        <v>323</v>
      </c>
      <c r="B48" s="43" t="n">
        <f aca="false">$B$45-$B$44</f>
        <v>110</v>
      </c>
      <c r="C48" s="9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customFormat="false" ht="15" hidden="false" customHeight="false" outlineLevel="0" collapsed="false">
      <c r="A49" s="10" t="s">
        <v>324</v>
      </c>
      <c r="B49" s="43" t="n">
        <f aca="false">$B$47-$B$46</f>
        <v>55</v>
      </c>
      <c r="C49" s="9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customFormat="false" ht="15" hidden="false" customHeight="false" outlineLevel="0" collapsed="false">
      <c r="A50" s="8" t="s">
        <v>325</v>
      </c>
      <c r="B50" s="43" t="n">
        <f aca="false">MAX($B$48,$B$49)</f>
        <v>110</v>
      </c>
      <c r="C50" s="9" t="s">
        <v>326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customFormat="false" ht="15" hidden="false" customHeight="false" outlineLevel="0" collapsed="false">
      <c r="A51" s="8" t="s">
        <v>327</v>
      </c>
      <c r="B51" s="43" t="n">
        <f aca="false">IF($B$50=0,0,$B$32/$B$50)</f>
        <v>34.3262731818182</v>
      </c>
      <c r="C51" s="9" t="s">
        <v>328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customFormat="false" ht="19.4" hidden="false" customHeight="false" outlineLevel="0" collapsed="false">
      <c r="A53" s="6" t="s">
        <v>329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customFormat="false" ht="15" hidden="false" customHeight="false" outlineLevel="0" collapsed="false">
      <c r="A54" s="32" t="s">
        <v>251</v>
      </c>
      <c r="B54" s="33" t="s">
        <v>330</v>
      </c>
      <c r="C54" s="33" t="s">
        <v>331</v>
      </c>
      <c r="D54" s="33" t="s">
        <v>332</v>
      </c>
      <c r="E54" s="33" t="s">
        <v>333</v>
      </c>
      <c r="F54" s="33" t="s">
        <v>334</v>
      </c>
      <c r="G54" s="32" t="s">
        <v>335</v>
      </c>
      <c r="H54" s="32" t="s">
        <v>336</v>
      </c>
      <c r="I54" s="33" t="s">
        <v>337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customFormat="false" ht="15" hidden="false" customHeight="false" outlineLevel="0" collapsed="false">
      <c r="A55" s="37" t="n">
        <v>1</v>
      </c>
      <c r="B55" s="34" t="n">
        <v>1</v>
      </c>
      <c r="C55" s="34" t="n">
        <v>-18.93</v>
      </c>
      <c r="D55" s="34" t="n">
        <v>25.32</v>
      </c>
      <c r="E55" s="34" t="n">
        <v>14.67</v>
      </c>
      <c r="F55" s="41" t="n">
        <f aca="false">IF($B55=1,PI()*$E55^2/4,0)</f>
        <v>169.024674806785</v>
      </c>
      <c r="G55" s="41" t="n">
        <f aca="false">IF($B55=1,PI()*$E55^4/64+$F55*($D55-$B$64)^2,0)</f>
        <v>3903.09407209866</v>
      </c>
      <c r="H55" s="41" t="n">
        <f aca="false">IF($B55=1,PI()*$E55^4/64+$F55*($C55-$B$63)^2,0)</f>
        <v>65076.5678616205</v>
      </c>
      <c r="I55" s="17" t="s">
        <v>338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customFormat="false" ht="15" hidden="false" customHeight="false" outlineLevel="0" collapsed="false">
      <c r="A56" s="37" t="n">
        <v>2</v>
      </c>
      <c r="B56" s="34" t="n">
        <v>1</v>
      </c>
      <c r="C56" s="34" t="n">
        <v>14.17</v>
      </c>
      <c r="D56" s="34" t="n">
        <v>28.85</v>
      </c>
      <c r="E56" s="34" t="n">
        <v>11.73</v>
      </c>
      <c r="F56" s="41" t="n">
        <f aca="false">IF($B56=1,PI()*$E56^2/4,0)</f>
        <v>108.065210956529</v>
      </c>
      <c r="G56" s="41" t="n">
        <f aca="false">IF($B56=1,PI()*$E56^4/64+$F56*($D56-$B$64)^2,0)</f>
        <v>948.828020945083</v>
      </c>
      <c r="H56" s="41" t="n">
        <f aca="false">IF($B56=1,PI()*$E56^4/64+$F56*($C56-$B$63)^2,0)</f>
        <v>21581.0897940271</v>
      </c>
      <c r="I56" s="17" t="s">
        <v>338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customFormat="false" ht="15" hidden="false" customHeight="false" outlineLevel="0" collapsed="false">
      <c r="A57" s="37" t="n">
        <v>3</v>
      </c>
      <c r="B57" s="34" t="n">
        <v>0</v>
      </c>
      <c r="C57" s="34"/>
      <c r="D57" s="34"/>
      <c r="E57" s="34"/>
      <c r="F57" s="41" t="n">
        <f aca="false">IF($B57=1,PI()*$E57^2/4,0)</f>
        <v>0</v>
      </c>
      <c r="G57" s="41" t="n">
        <f aca="false">IF($B57=1,PI()*$E57^4/64+$F57*($D57-$B$64)^2,0)</f>
        <v>0</v>
      </c>
      <c r="H57" s="41" t="n">
        <f aca="false">IF($B57=1,PI()*$E57^4/64+$F57*($C57-$B$63)^2,0)</f>
        <v>0</v>
      </c>
      <c r="I57" s="9" t="s">
        <v>339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customFormat="false" ht="15" hidden="false" customHeight="false" outlineLevel="0" collapsed="false">
      <c r="A58" s="37" t="n">
        <v>4</v>
      </c>
      <c r="B58" s="34" t="n">
        <v>0</v>
      </c>
      <c r="C58" s="34"/>
      <c r="D58" s="34"/>
      <c r="E58" s="34"/>
      <c r="F58" s="41" t="n">
        <f aca="false">IF($B58=1,PI()*$E58^2/4,0)</f>
        <v>0</v>
      </c>
      <c r="G58" s="41" t="n">
        <f aca="false">IF($B58=1,PI()*$E58^4/64+$F58*($D58-$B$64)^2,0)</f>
        <v>0</v>
      </c>
      <c r="H58" s="41" t="n">
        <f aca="false">IF($B58=1,PI()*$E58^4/64+$F58*($C58-$B$63)^2,0)</f>
        <v>0</v>
      </c>
      <c r="I58" s="9" t="s">
        <v>339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customFormat="false" ht="15" hidden="false" customHeight="false" outlineLevel="0" collapsed="false">
      <c r="A60" s="6" t="s">
        <v>340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</row>
    <row r="61" customFormat="false" ht="15" hidden="false" customHeight="false" outlineLevel="0" collapsed="false">
      <c r="A61" s="8" t="s">
        <v>341</v>
      </c>
      <c r="B61" s="43" t="n">
        <f aca="false">SUM($F$55:$F$58)</f>
        <v>277.089885763314</v>
      </c>
      <c r="C61" s="17" t="s">
        <v>342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 customFormat="false" ht="15" hidden="false" customHeight="false" outlineLevel="0" collapsed="false">
      <c r="A62" s="8" t="s">
        <v>343</v>
      </c>
      <c r="B62" s="43" t="n">
        <f aca="false">$B$32-$B$61</f>
        <v>3498.80016423669</v>
      </c>
      <c r="C62" s="9" t="s">
        <v>344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</row>
    <row r="63" customFormat="false" ht="15" hidden="false" customHeight="false" outlineLevel="0" collapsed="false">
      <c r="A63" s="8" t="s">
        <v>345</v>
      </c>
      <c r="B63" s="43" t="n">
        <f aca="false">IF($B$62=0,0,($B$32*$B$34-SUMPRODUCT($F$55:$F$58,$C$55:$C$58))/$B$62)</f>
        <v>0.345935230514223</v>
      </c>
      <c r="C63" s="9" t="s">
        <v>346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customFormat="false" ht="15" hidden="false" customHeight="false" outlineLevel="0" collapsed="false">
      <c r="A64" s="8" t="s">
        <v>347</v>
      </c>
      <c r="B64" s="43" t="n">
        <f aca="false">IF($B$62=0,0,($B$32*$B$35-SUMPRODUCT($F$55:$F$58,$D$55:$D$58))/$B$62)</f>
        <v>28.425044834475</v>
      </c>
      <c r="C64" s="9" t="s">
        <v>235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</row>
    <row r="65" customFormat="false" ht="15" hidden="false" customHeight="false" outlineLevel="0" collapsed="false">
      <c r="A65" s="8" t="s">
        <v>348</v>
      </c>
      <c r="B65" s="43" t="n">
        <f aca="false">($B$36+$B$32*($B$35-$B$64)^2)-SUM($G$55:$G$58)</f>
        <v>566740.12296731</v>
      </c>
      <c r="C65" s="9" t="s">
        <v>349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</row>
    <row r="66" customFormat="false" ht="15" hidden="false" customHeight="false" outlineLevel="0" collapsed="false">
      <c r="A66" s="8" t="s">
        <v>350</v>
      </c>
      <c r="B66" s="43" t="n">
        <f aca="false">($B$37+$B$32*($B$34-$B$63)^2)-SUM($H$55:$H$58)</f>
        <v>2561824.95128719</v>
      </c>
      <c r="C66" s="9" t="s">
        <v>235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</row>
    <row r="67" customFormat="false" ht="15" hidden="false" customHeight="false" outlineLevel="0" collapsed="false">
      <c r="A67" s="8" t="s">
        <v>351</v>
      </c>
      <c r="B67" s="45" t="n">
        <f aca="false">IF($B$32=0,0,$B$61/$B$32*100)</f>
        <v>7.33839921433395</v>
      </c>
      <c r="C67" s="9" t="s">
        <v>352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</row>
    <row r="68" customFormat="false" ht="15" hidden="false" customHeight="false" outlineLevel="0" collapsed="false">
      <c r="A68" s="8" t="s">
        <v>353</v>
      </c>
      <c r="B68" s="45" t="n">
        <f aca="false">IF($B$36=0,0,(1-$B$65/$B$36)*100)</f>
        <v>0.838305982110543</v>
      </c>
      <c r="C68" s="9" t="s">
        <v>354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</row>
    <row r="70" customFormat="false" ht="19.4" hidden="false" customHeight="false" outlineLevel="0" collapsed="false">
      <c r="A70" s="6" t="s">
        <v>355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customFormat="false" ht="15" hidden="false" customHeight="false" outlineLevel="0" collapsed="false">
      <c r="A71" s="11" t="s">
        <v>356</v>
      </c>
      <c r="B71" s="46" t="n">
        <f aca="false">IF($D$71="",$B$50,$D$71)</f>
        <v>110</v>
      </c>
      <c r="C71" s="9" t="s">
        <v>357</v>
      </c>
      <c r="D71" s="4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 customFormat="false" ht="15" hidden="false" customHeight="false" outlineLevel="0" collapsed="false">
      <c r="A72" s="11" t="s">
        <v>358</v>
      </c>
      <c r="B72" s="46" t="n">
        <f aca="false">IF($D$72="",IF($B$71=0,0,$B$62/$B$71),$D$72)</f>
        <v>31.8072742203335</v>
      </c>
      <c r="C72" s="9" t="s">
        <v>357</v>
      </c>
      <c r="D72" s="4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customFormat="false" ht="15" hidden="false" customHeight="false" outlineLevel="0" collapsed="false">
      <c r="A73" s="11" t="s">
        <v>359</v>
      </c>
      <c r="B73" s="46" t="n">
        <f aca="false">IF($D$73="",$B$65,$D$73)</f>
        <v>566740.12296731</v>
      </c>
      <c r="C73" s="9" t="s">
        <v>357</v>
      </c>
      <c r="D73" s="4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</row>
    <row r="75" customFormat="false" ht="15" hidden="false" customHeight="false" outlineLevel="0" collapsed="false">
      <c r="A75" s="6" t="s">
        <v>360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</row>
    <row r="76" customFormat="false" ht="15" hidden="false" customHeight="false" outlineLevel="0" collapsed="false">
      <c r="A76" s="8" t="s">
        <v>361</v>
      </c>
      <c r="B76" s="45" t="n">
        <f aca="false">COUNTIF($T$5:$T$28,"入隅(凹)")</f>
        <v>7</v>
      </c>
      <c r="C76" s="9" t="s">
        <v>362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</row>
    <row r="77" customFormat="false" ht="15" hidden="false" customHeight="false" outlineLevel="0" collapsed="false">
      <c r="A77" s="8" t="s">
        <v>363</v>
      </c>
      <c r="B77" s="45" t="n">
        <f aca="false">SUM($R$5:$R$28)</f>
        <v>3600</v>
      </c>
      <c r="C77" s="9" t="s">
        <v>364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</row>
    <row r="78" customFormat="false" ht="15" hidden="false" customHeight="false" outlineLevel="0" collapsed="false">
      <c r="A78" s="8" t="s">
        <v>365</v>
      </c>
      <c r="B78" s="45" t="n">
        <f aca="false">($F$2-2)*180</f>
        <v>3600</v>
      </c>
      <c r="C78" s="17" t="s">
        <v>366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</row>
    <row r="79" customFormat="false" ht="15" hidden="false" customHeight="false" outlineLevel="0" collapsed="false">
      <c r="A79" s="8" t="s">
        <v>367</v>
      </c>
      <c r="B79" s="14" t="str">
        <f aca="false">IF(ABS($B$77-$B$78)&lt;0.5,"🟢 OK","🔴 NG：頂点を外周に沿った順番に並べ直す")</f>
        <v>🟢 OK</v>
      </c>
      <c r="C79" s="17" t="s">
        <v>368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</row>
    <row r="80" customFormat="false" ht="15" hidden="false" customHeight="false" outlineLevel="0" collapsed="false">
      <c r="A80" s="8" t="s">
        <v>369</v>
      </c>
      <c r="B80" s="14" t="str">
        <f aca="false">IF($B$61&gt;=$B$32,"🔴 NG：穴の合計面積が外形面積以上です","🟢 OK")</f>
        <v>🟢 OK</v>
      </c>
      <c r="C80" s="9" t="s">
        <v>370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</row>
    <row r="81" customFormat="false" ht="15" hidden="false" customHeight="false" outlineLevel="0" collapsed="false">
      <c r="A81" s="8" t="s">
        <v>371</v>
      </c>
      <c r="B81" s="45" t="n">
        <f aca="false">IF($B$72=0,0,$B$71/$B$72)</f>
        <v>3.45832840745844</v>
      </c>
      <c r="C81" s="17" t="s">
        <v>372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</row>
    <row r="82" customFormat="false" ht="15" hidden="false" customHeight="false" outlineLevel="0" collapsed="false">
      <c r="A82" s="8" t="s">
        <v>373</v>
      </c>
      <c r="B82" s="14" t="str">
        <f aca="false">IF($B$81&gt;=4,"🟢 はり近似OK",IF($B$81&gt;=2.5,"🟡 誤差やや大","🔴 板理論/FEM推奨"))</f>
        <v>🟡 誤差やや大</v>
      </c>
      <c r="C82" s="9" t="s">
        <v>374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</row>
    <row r="84" customFormat="false" ht="15" hidden="false" customHeight="false" outlineLevel="0" collapsed="false">
      <c r="A84" s="6" t="s">
        <v>375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</row>
    <row r="85" customFormat="false" ht="15" hidden="false" customHeight="false" outlineLevel="0" collapsed="false">
      <c r="A85" s="18" t="s">
        <v>376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</row>
    <row r="86" customFormat="false" ht="15" hidden="false" customHeight="false" outlineLevel="0" collapsed="false">
      <c r="A86" s="18" t="s">
        <v>377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</row>
    <row r="87" customFormat="false" ht="15" hidden="false" customHeight="false" outlineLevel="0" collapsed="false">
      <c r="A87" s="18" t="s">
        <v>378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</row>
    <row r="88" customFormat="false" ht="15" hidden="false" customHeight="false" outlineLevel="0" collapsed="false">
      <c r="A88" s="18" t="s">
        <v>379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</row>
    <row r="89" customFormat="false" ht="15" hidden="false" customHeight="false" outlineLevel="0" collapsed="false">
      <c r="A89" s="18" t="s">
        <v>380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false"/>
  </sheetPr>
  <dimension ref="A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56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11" min="9" style="0" width="11"/>
    <col collapsed="false" customWidth="true" hidden="false" outlineLevel="0" max="13" min="12" style="0" width="13"/>
    <col collapsed="false" customWidth="true" hidden="false" outlineLevel="0" max="14" min="14" style="0" width="12"/>
    <col collapsed="false" customWidth="true" hidden="false" outlineLevel="0" max="19" min="15" style="0" width="13"/>
  </cols>
  <sheetData>
    <row r="1" customFormat="false" ht="21.6" hidden="false" customHeight="false" outlineLevel="0" collapsed="false">
      <c r="A1" s="1" t="s">
        <v>381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3"/>
      <c r="AB1" s="3"/>
      <c r="AC1" s="3"/>
    </row>
    <row r="2" customFormat="false" ht="15" hidden="false" customHeight="false" outlineLevel="0" collapsed="false">
      <c r="A2" s="4" t="s">
        <v>382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customFormat="false" ht="15" hidden="false" customHeight="false" outlineLevel="0" collapsed="false">
      <c r="A3" s="8" t="s">
        <v>383</v>
      </c>
      <c r="B3" s="5"/>
      <c r="C3" s="5"/>
      <c r="D3" s="48" t="n">
        <f aca="false">形状!$B$72/1000</f>
        <v>0.0318072742203335</v>
      </c>
      <c r="E3" s="9" t="s">
        <v>384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customFormat="false" ht="15" hidden="false" customHeight="false" outlineLevel="0" collapsed="false">
      <c r="A4" s="8" t="s">
        <v>385</v>
      </c>
      <c r="B4" s="5"/>
      <c r="C4" s="5"/>
      <c r="D4" s="48" t="n">
        <f aca="false">形状!$B$71/1000</f>
        <v>0.11</v>
      </c>
      <c r="E4" s="9" t="s">
        <v>386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customFormat="false" ht="15" hidden="false" customHeight="false" outlineLevel="0" collapsed="false">
      <c r="A5" s="8" t="s">
        <v>387</v>
      </c>
      <c r="B5" s="5"/>
      <c r="C5" s="5"/>
      <c r="D5" s="48" t="n">
        <f aca="false">形状!$B$62/1000000</f>
        <v>0.00349880016423669</v>
      </c>
      <c r="E5" s="9" t="s">
        <v>388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Format="false" ht="15" hidden="false" customHeight="false" outlineLevel="0" collapsed="false">
      <c r="A6" s="8" t="s">
        <v>389</v>
      </c>
      <c r="B6" s="5"/>
      <c r="C6" s="5"/>
      <c r="D6" s="48" t="n">
        <f aca="false">形状!$B$73/1000000000000</f>
        <v>5.6674012296731E-007</v>
      </c>
      <c r="E6" s="9" t="s">
        <v>390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customFormat="false" ht="15" hidden="false" customHeight="false" outlineLevel="0" collapsed="false">
      <c r="A7" s="8" t="s">
        <v>391</v>
      </c>
      <c r="B7" s="5"/>
      <c r="C7" s="5"/>
      <c r="D7" s="49" t="n">
        <v>1</v>
      </c>
      <c r="E7" s="17" t="s">
        <v>392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customFormat="false" ht="26.85" hidden="false" customHeight="false" outlineLevel="0" collapsed="false">
      <c r="A9" s="50" t="s">
        <v>393</v>
      </c>
      <c r="B9" s="50" t="s">
        <v>330</v>
      </c>
      <c r="C9" s="50" t="s">
        <v>394</v>
      </c>
      <c r="D9" s="50" t="s">
        <v>395</v>
      </c>
      <c r="E9" s="51" t="s">
        <v>207</v>
      </c>
      <c r="F9" s="51" t="s">
        <v>208</v>
      </c>
      <c r="G9" s="51" t="s">
        <v>209</v>
      </c>
      <c r="H9" s="51" t="s">
        <v>396</v>
      </c>
      <c r="I9" s="51" t="s">
        <v>397</v>
      </c>
      <c r="J9" s="50" t="s">
        <v>398</v>
      </c>
      <c r="K9" s="50" t="s">
        <v>399</v>
      </c>
      <c r="L9" s="51" t="s">
        <v>400</v>
      </c>
      <c r="M9" s="51" t="s">
        <v>401</v>
      </c>
      <c r="N9" s="51" t="s">
        <v>402</v>
      </c>
      <c r="O9" s="51" t="s">
        <v>403</v>
      </c>
      <c r="P9" s="51" t="s">
        <v>404</v>
      </c>
      <c r="Q9" s="51" t="s">
        <v>405</v>
      </c>
      <c r="R9" s="51" t="s">
        <v>406</v>
      </c>
      <c r="S9" s="51" t="s">
        <v>407</v>
      </c>
      <c r="T9" s="5"/>
      <c r="U9" s="5"/>
      <c r="V9" s="5"/>
      <c r="W9" s="5"/>
      <c r="X9" s="5"/>
    </row>
    <row r="10" customFormat="false" ht="15" hidden="false" customHeight="false" outlineLevel="0" collapsed="false">
      <c r="A10" s="27" t="s">
        <v>408</v>
      </c>
      <c r="B10" s="34" t="n">
        <v>0</v>
      </c>
      <c r="C10" s="52" t="s">
        <v>230</v>
      </c>
      <c r="D10" s="52" t="n">
        <v>0.8</v>
      </c>
      <c r="E10" s="53" t="n">
        <f aca="false">IFERROR(INDEX(材料DB!$B$5:$B$45,MATCH($C10,材料DB!$A$5:$A$45,0)),0)</f>
        <v>205</v>
      </c>
      <c r="F10" s="53" t="n">
        <f aca="false">IFERROR(INDEX(材料DB!$C$5:$C$45,MATCH($C10,材料DB!$A$5:$A$45,0)),0)</f>
        <v>7850</v>
      </c>
      <c r="G10" s="53" t="n">
        <f aca="false">IFERROR(INDEX(材料DB!$D$5:$D$45,MATCH($C10,材料DB!$A$5:$A$45,0)),0)</f>
        <v>0.3</v>
      </c>
      <c r="H10" s="53" t="n">
        <f aca="false">IFERROR(INDEX(材料DB!$E$5:$E$45,MATCH($C10,材料DB!$A$5:$A$45,0)),0)</f>
        <v>0.0002</v>
      </c>
      <c r="I10" s="54" t="n">
        <f aca="false">IF($B10=1,$D10/1000,0)</f>
        <v>0</v>
      </c>
      <c r="J10" s="54" t="n">
        <f aca="false">0</f>
        <v>0</v>
      </c>
      <c r="K10" s="54" t="n">
        <f aca="false">J10+I10/2</f>
        <v>0</v>
      </c>
      <c r="L10" s="54" t="n">
        <f aca="false">E10*1000000000*$D$3*I10</f>
        <v>0</v>
      </c>
      <c r="M10" s="54" t="n">
        <f aca="false">L10*K10</f>
        <v>0</v>
      </c>
      <c r="N10" s="54" t="n">
        <f aca="false">F10*$D$3*I10</f>
        <v>0</v>
      </c>
      <c r="O10" s="54" t="n">
        <f aca="false">E10*1000000000*$D$3*(I10^3/12+I10*(K10-$D$16)^2)</f>
        <v>0</v>
      </c>
      <c r="P10" s="54" t="n">
        <f aca="false">E10*1000000000*(I10*$D$3^3/12)</f>
        <v>0</v>
      </c>
      <c r="Q10" s="54" t="n">
        <f aca="false">IF($D$4=0,0,E10*1000000000*I10*$D$6/$D$4)</f>
        <v>0</v>
      </c>
      <c r="R10" s="54" t="n">
        <f aca="false">L10</f>
        <v>0</v>
      </c>
      <c r="S10" s="54" t="n">
        <f aca="false">H10*O10</f>
        <v>0</v>
      </c>
      <c r="T10" s="5"/>
      <c r="U10" s="5"/>
      <c r="V10" s="5"/>
      <c r="W10" s="5"/>
      <c r="X10" s="5"/>
    </row>
    <row r="11" customFormat="false" ht="15" hidden="false" customHeight="false" outlineLevel="0" collapsed="false">
      <c r="A11" s="27" t="s">
        <v>409</v>
      </c>
      <c r="B11" s="52" t="n">
        <v>1</v>
      </c>
      <c r="C11" s="52" t="s">
        <v>214</v>
      </c>
      <c r="D11" s="52" t="n">
        <v>5</v>
      </c>
      <c r="E11" s="53" t="n">
        <f aca="false">IFERROR(INDEX(材料DB!$B$5:$B$45,MATCH($C11,材料DB!$A$5:$A$45,0)),0)</f>
        <v>205</v>
      </c>
      <c r="F11" s="53" t="n">
        <f aca="false">IFERROR(INDEX(材料DB!$C$5:$C$45,MATCH($C11,材料DB!$A$5:$A$45,0)),0)</f>
        <v>7850</v>
      </c>
      <c r="G11" s="53" t="n">
        <f aca="false">IFERROR(INDEX(材料DB!$D$5:$D$45,MATCH($C11,材料DB!$A$5:$A$45,0)),0)</f>
        <v>0.3</v>
      </c>
      <c r="H11" s="53" t="n">
        <f aca="false">IFERROR(INDEX(材料DB!$E$5:$E$45,MATCH($C11,材料DB!$A$5:$A$45,0)),0)</f>
        <v>0.0002</v>
      </c>
      <c r="I11" s="54" t="n">
        <f aca="false">IF($B11=1,$D11/1000,0)</f>
        <v>0.005</v>
      </c>
      <c r="J11" s="54" t="n">
        <f aca="false">J10+I10</f>
        <v>0</v>
      </c>
      <c r="K11" s="54" t="n">
        <f aca="false">J11+I11/2</f>
        <v>0.0025</v>
      </c>
      <c r="L11" s="54" t="n">
        <f aca="false">E11*1000000000*$D$3*I11</f>
        <v>32602456.0758418</v>
      </c>
      <c r="M11" s="54" t="n">
        <f aca="false">L11*K11</f>
        <v>81506.1401896046</v>
      </c>
      <c r="N11" s="54" t="n">
        <f aca="false">F11*$D$3*I11</f>
        <v>1.24843551314809</v>
      </c>
      <c r="O11" s="54" t="n">
        <f aca="false">E11*1000000000*$D$3*(I11^3/12+I11*(K11-$D$16)^2)</f>
        <v>67.9217834913372</v>
      </c>
      <c r="P11" s="54" t="n">
        <f aca="false">E11*1000000000*(I11*$D$3^3/12)</f>
        <v>2748.66605175171</v>
      </c>
      <c r="Q11" s="54" t="n">
        <f aca="false">IF($D$4=0,0,E11*1000000000*I11*$D$6/$D$4)</f>
        <v>5280.98750946811</v>
      </c>
      <c r="R11" s="54" t="n">
        <f aca="false">L11</f>
        <v>32602456.0758418</v>
      </c>
      <c r="S11" s="54" t="n">
        <f aca="false">H11*O11</f>
        <v>0.0135843566982674</v>
      </c>
      <c r="T11" s="5"/>
      <c r="U11" s="5"/>
      <c r="V11" s="5"/>
      <c r="W11" s="5"/>
      <c r="X11" s="5"/>
    </row>
    <row r="12" customFormat="false" ht="15" hidden="false" customHeight="false" outlineLevel="0" collapsed="false">
      <c r="A12" s="27" t="s">
        <v>410</v>
      </c>
      <c r="B12" s="52" t="n">
        <v>0</v>
      </c>
      <c r="C12" s="52" t="s">
        <v>237</v>
      </c>
      <c r="D12" s="52" t="n">
        <v>0.2</v>
      </c>
      <c r="E12" s="53" t="n">
        <f aca="false">IFERROR(INDEX(材料DB!$B$5:$B$45,MATCH($C12,材料DB!$A$5:$A$45,0)),0)</f>
        <v>3</v>
      </c>
      <c r="F12" s="53" t="n">
        <f aca="false">IFERROR(INDEX(材料DB!$C$5:$C$45,MATCH($C12,材料DB!$A$5:$A$45,0)),0)</f>
        <v>1300</v>
      </c>
      <c r="G12" s="53" t="n">
        <f aca="false">IFERROR(INDEX(材料DB!$D$5:$D$45,MATCH($C12,材料DB!$A$5:$A$45,0)),0)</f>
        <v>0.35</v>
      </c>
      <c r="H12" s="53" t="n">
        <f aca="false">IFERROR(INDEX(材料DB!$E$5:$E$45,MATCH($C12,材料DB!$A$5:$A$45,0)),0)</f>
        <v>0.08</v>
      </c>
      <c r="I12" s="54" t="n">
        <f aca="false">IF($B12=1,$D12/1000,0)</f>
        <v>0</v>
      </c>
      <c r="J12" s="54" t="n">
        <f aca="false">J11+I11</f>
        <v>0.005</v>
      </c>
      <c r="K12" s="54" t="n">
        <f aca="false">J12+I12/2</f>
        <v>0.005</v>
      </c>
      <c r="L12" s="54" t="n">
        <f aca="false">E12*1000000000*$D$3*I12</f>
        <v>0</v>
      </c>
      <c r="M12" s="54" t="n">
        <f aca="false">L12*K12</f>
        <v>0</v>
      </c>
      <c r="N12" s="54" t="n">
        <f aca="false">F12*$D$3*I12</f>
        <v>0</v>
      </c>
      <c r="O12" s="54" t="n">
        <f aca="false">E12*1000000000*$D$3*(I12^3/12+I12*(K12-$D$16)^2)</f>
        <v>0</v>
      </c>
      <c r="P12" s="54" t="n">
        <f aca="false">E12*1000000000*(I12*$D$3^3/12)</f>
        <v>0</v>
      </c>
      <c r="Q12" s="54" t="n">
        <f aca="false">IF($D$4=0,0,E12*1000000000*I12*$D$6/$D$4)</f>
        <v>0</v>
      </c>
      <c r="R12" s="54" t="n">
        <f aca="false">L12</f>
        <v>0</v>
      </c>
      <c r="S12" s="54" t="n">
        <f aca="false">H12*O12</f>
        <v>0</v>
      </c>
      <c r="T12" s="5"/>
      <c r="U12" s="5"/>
      <c r="V12" s="5"/>
      <c r="W12" s="5"/>
      <c r="X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customFormat="false" ht="15" hidden="false" customHeight="false" outlineLevel="0" collapsed="false">
      <c r="A14" s="6" t="s">
        <v>411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customFormat="false" ht="15" hidden="false" customHeight="false" outlineLevel="0" collapsed="false">
      <c r="A15" s="10" t="s">
        <v>412</v>
      </c>
      <c r="B15" s="5"/>
      <c r="C15" s="5"/>
      <c r="D15" s="55" t="n">
        <f aca="false">SUM($L$10:$L$12)</f>
        <v>32602456.0758418</v>
      </c>
      <c r="E15" s="9" t="s">
        <v>413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customFormat="false" ht="15" hidden="false" customHeight="false" outlineLevel="0" collapsed="false">
      <c r="A16" s="8" t="s">
        <v>414</v>
      </c>
      <c r="B16" s="5"/>
      <c r="C16" s="5"/>
      <c r="D16" s="56" t="n">
        <f aca="false">IF($D$15=0,0,SUM($M$10:$M$12)/$D$15)</f>
        <v>0.0025</v>
      </c>
      <c r="E16" s="9" t="s">
        <v>415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customFormat="false" ht="15" hidden="false" customHeight="false" outlineLevel="0" collapsed="false">
      <c r="A17" s="10" t="s">
        <v>416</v>
      </c>
      <c r="B17" s="5"/>
      <c r="C17" s="5"/>
      <c r="D17" s="39" t="n">
        <f aca="false">SUM($O$10:$O$12)</f>
        <v>67.9217834913372</v>
      </c>
      <c r="E17" s="9" t="s">
        <v>417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customFormat="false" ht="15" hidden="false" customHeight="false" outlineLevel="0" collapsed="false">
      <c r="A18" s="10" t="s">
        <v>418</v>
      </c>
      <c r="B18" s="5"/>
      <c r="C18" s="5"/>
      <c r="D18" s="39" t="n">
        <f aca="false">SUM($P$10:$P$12)</f>
        <v>2748.66605175171</v>
      </c>
      <c r="E18" s="17" t="s">
        <v>419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customFormat="false" ht="15" hidden="false" customHeight="false" outlineLevel="0" collapsed="false">
      <c r="A19" s="10" t="s">
        <v>420</v>
      </c>
      <c r="B19" s="5"/>
      <c r="C19" s="5"/>
      <c r="D19" s="39" t="n">
        <f aca="false">SUM($Q$10:$Q$12)</f>
        <v>5280.98750946811</v>
      </c>
      <c r="E19" s="9" t="s">
        <v>421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customFormat="false" ht="15" hidden="false" customHeight="false" outlineLevel="0" collapsed="false">
      <c r="A20" s="8" t="s">
        <v>422</v>
      </c>
      <c r="B20" s="5"/>
      <c r="C20" s="5"/>
      <c r="D20" s="39" t="n">
        <f aca="false">IF($D$7=1,$D$19,$D$18)</f>
        <v>5280.98750946811</v>
      </c>
      <c r="E20" s="17" t="s">
        <v>423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customFormat="false" ht="15" hidden="false" customHeight="false" outlineLevel="0" collapsed="false">
      <c r="A21" s="10" t="s">
        <v>424</v>
      </c>
      <c r="B21" s="5"/>
      <c r="C21" s="5"/>
      <c r="D21" s="55" t="n">
        <f aca="false">SUM($R$10:$R$12)</f>
        <v>32602456.0758418</v>
      </c>
      <c r="E21" s="9" t="s">
        <v>425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customFormat="false" ht="15" hidden="false" customHeight="false" outlineLevel="0" collapsed="false">
      <c r="A22" s="10" t="s">
        <v>426</v>
      </c>
      <c r="B22" s="5"/>
      <c r="C22" s="5"/>
      <c r="D22" s="57" t="n">
        <f aca="false">SUM($N$10:$N$12)</f>
        <v>1.24843551314809</v>
      </c>
      <c r="E22" s="17" t="s">
        <v>427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customFormat="false" ht="15" hidden="false" customHeight="false" outlineLevel="0" collapsed="false">
      <c r="A23" s="8" t="s">
        <v>428</v>
      </c>
      <c r="B23" s="5"/>
      <c r="C23" s="5"/>
      <c r="D23" s="57" t="n">
        <f aca="false">SUM($I$10:$I$12)</f>
        <v>0.005</v>
      </c>
      <c r="E23" s="9" t="s">
        <v>429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customFormat="false" ht="15" hidden="false" customHeight="false" outlineLevel="0" collapsed="false">
      <c r="A24" s="8" t="s">
        <v>430</v>
      </c>
      <c r="B24" s="5"/>
      <c r="C24" s="5"/>
      <c r="D24" s="45" t="n">
        <f aca="false">IF($D$23=0,0,$D$17/($D$3*$D$23^3/12)/1000000000)</f>
        <v>205</v>
      </c>
      <c r="E24" s="17" t="s">
        <v>431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customFormat="false" ht="15" hidden="false" customHeight="false" outlineLevel="0" collapsed="false">
      <c r="A25" s="8" t="s">
        <v>432</v>
      </c>
      <c r="B25" s="5"/>
      <c r="C25" s="5"/>
      <c r="D25" s="58" t="n">
        <f aca="false">IF($D$23=0,0,$D$22/($D$3*$D$23))</f>
        <v>7850</v>
      </c>
      <c r="E25" s="17" t="s">
        <v>433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customFormat="false" ht="15" hidden="false" customHeight="false" outlineLevel="0" collapsed="false">
      <c r="A26" s="8" t="s">
        <v>434</v>
      </c>
      <c r="B26" s="5"/>
      <c r="C26" s="5"/>
      <c r="D26" s="43" t="n">
        <f aca="false">IF($D$15=0,0.3,SUMPRODUCT($G$10:$G$12,$L$10:$L$12)/$D$15)</f>
        <v>0.3</v>
      </c>
      <c r="E26" s="17" t="s">
        <v>435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customFormat="false" ht="15" hidden="false" customHeight="false" outlineLevel="0" collapsed="false">
      <c r="A27" s="8" t="s">
        <v>436</v>
      </c>
      <c r="B27" s="5"/>
      <c r="C27" s="5"/>
      <c r="D27" s="55" t="n">
        <f aca="false">$D$24*1000000000/(2*(1+$D$26))</f>
        <v>78846153846.1538</v>
      </c>
      <c r="E27" s="17" t="s">
        <v>437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customFormat="false" ht="15" hidden="false" customHeight="false" outlineLevel="0" collapsed="false">
      <c r="A28" s="8" t="s">
        <v>438</v>
      </c>
      <c r="B28" s="5"/>
      <c r="C28" s="5"/>
      <c r="D28" s="39" t="n">
        <f aca="false">IF($D$3&lt;=0,0,(1/3)*(1-0.63*($D$23/$D$3)+0.052*($D$23/$D$3)^5))</f>
        <v>0.300323680511801</v>
      </c>
      <c r="E28" s="9" t="s">
        <v>439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customFormat="false" ht="15" hidden="false" customHeight="false" outlineLevel="0" collapsed="false">
      <c r="A29" s="10" t="s">
        <v>440</v>
      </c>
      <c r="B29" s="5"/>
      <c r="C29" s="5"/>
      <c r="D29" s="39" t="n">
        <f aca="false">$D$27*$D$28*$D$3*$D$23^3</f>
        <v>94.1470154078956</v>
      </c>
      <c r="E29" s="9" t="s">
        <v>441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customFormat="false" ht="15" hidden="false" customHeight="false" outlineLevel="0" collapsed="false">
      <c r="A30" s="10" t="s">
        <v>442</v>
      </c>
      <c r="B30" s="5"/>
      <c r="C30" s="5"/>
      <c r="D30" s="55" t="n">
        <f aca="false">$D$22*($D$3^2+$D$23^2)/12</f>
        <v>0.000107854704910526</v>
      </c>
      <c r="E30" s="9" t="s">
        <v>443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customFormat="false" ht="15" hidden="false" customHeight="false" outlineLevel="0" collapsed="false">
      <c r="A31" s="8" t="s">
        <v>444</v>
      </c>
      <c r="B31" s="5"/>
      <c r="C31" s="5"/>
      <c r="D31" s="57" t="n">
        <f aca="false">IF($D$17=0,0,SUM($S$10:$S$12)/$D$17)</f>
        <v>0.0002</v>
      </c>
      <c r="E31" s="17" t="s">
        <v>445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customFormat="false" ht="15" hidden="false" customHeight="false" outlineLevel="0" collapsed="false">
      <c r="A32" s="8" t="s">
        <v>446</v>
      </c>
      <c r="B32" s="5"/>
      <c r="C32" s="5"/>
      <c r="D32" s="45" t="n">
        <f aca="false">SUMPRODUCT($F$10:$F$12,$I$10:$I$12)*$D$5*1000</f>
        <v>137.32790644629</v>
      </c>
      <c r="E32" s="9" t="s">
        <v>447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customFormat="false" ht="15" hidden="false" customHeight="false" outlineLevel="0" collapsed="false">
      <c r="A33" s="11" t="s">
        <v>448</v>
      </c>
      <c r="B33" s="5"/>
      <c r="C33" s="5"/>
      <c r="D33" s="52"/>
      <c r="E33" s="17" t="s">
        <v>449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customFormat="false" ht="15" hidden="false" customHeight="false" outlineLevel="0" collapsed="false">
      <c r="A34" s="8" t="s">
        <v>450</v>
      </c>
      <c r="B34" s="5"/>
      <c r="C34" s="5"/>
      <c r="D34" s="45" t="str">
        <f aca="false">IF(OR($D$33="",$D$33=0),"",($D$33/$D$32-1)*100)</f>
        <v/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customFormat="false" ht="15" hidden="false" customHeight="false" outlineLevel="0" collapsed="false">
      <c r="A35" s="8" t="s">
        <v>451</v>
      </c>
      <c r="B35" s="5"/>
      <c r="C35" s="5"/>
      <c r="D35" s="14" t="str">
        <f aca="false">IF(NOT(ISNUMBER($D$34)),"← D33 に実測質量を入力",IF(ABS($D$34)&lt;=3,"🟢 一致（厚さ・材質・形状OK）",IF(ABS($D$34)&lt;=8,"🟡 やや不一致（厚さを再測定）","🔴 不一致：厚さ・材質・座標のどれかが違う")))</f>
        <v>← D33 に実測質量を入力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customFormat="false" ht="15" hidden="false" customHeight="false" outlineLevel="0" collapsed="false">
      <c r="A37" s="6" t="s">
        <v>452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customFormat="false" ht="15" hidden="false" customHeight="false" outlineLevel="0" collapsed="false">
      <c r="A38" s="18" t="s">
        <v>453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customFormat="false" ht="15" hidden="false" customHeight="false" outlineLevel="0" collapsed="false">
      <c r="A39" s="18" t="s">
        <v>454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customFormat="false" ht="15" hidden="false" customHeight="false" outlineLevel="0" collapsed="false">
      <c r="A40" s="18" t="s">
        <v>455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customFormat="false" ht="15" hidden="false" customHeight="false" outlineLevel="0" collapsed="false">
      <c r="A41" s="18" t="s">
        <v>456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customFormat="false" ht="15" hidden="false" customHeight="false" outlineLevel="0" collapsed="false">
      <c r="A42" s="18" t="s">
        <v>457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customFormat="false" ht="19.4" hidden="false" customHeight="false" outlineLevel="0" collapsed="false">
      <c r="A44" s="6" t="s">
        <v>458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customFormat="false" ht="15" hidden="false" customHeight="false" outlineLevel="0" collapsed="false">
      <c r="A45" s="59" t="s">
        <v>459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customFormat="false" ht="15" hidden="false" customHeight="false" outlineLevel="0" collapsed="false">
      <c r="A46" s="59" t="s">
        <v>460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customFormat="false" ht="15" hidden="false" customHeight="false" outlineLevel="0" collapsed="false">
      <c r="A47" s="18" t="s">
        <v>461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customFormat="false" ht="15" hidden="false" customHeight="false" outlineLevel="0" collapsed="false">
      <c r="A48" s="18" t="s">
        <v>462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B308"/>
    <pageSetUpPr fitToPage="false"/>
  </sheetPr>
  <dimension ref="A1:AC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5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18"/>
    <col collapsed="false" customWidth="true" hidden="false" outlineLevel="0" max="13" min="13" style="0" width="44"/>
    <col collapsed="false" customWidth="true" hidden="false" outlineLevel="0" max="15" min="14" style="0" width="12"/>
    <col collapsed="false" customWidth="true" hidden="false" outlineLevel="0" max="16" min="16" style="0" width="10"/>
    <col collapsed="false" customWidth="true" hidden="false" outlineLevel="0" max="17" min="17" style="0" width="8"/>
    <col collapsed="false" customWidth="true" hidden="false" outlineLevel="0" max="18" min="18" style="0" width="16"/>
  </cols>
  <sheetData>
    <row r="1" customFormat="false" ht="17.35" hidden="false" customHeight="false" outlineLevel="0" collapsed="false">
      <c r="A1" s="1" t="s">
        <v>463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3"/>
      <c r="Y1" s="3"/>
      <c r="Z1" s="3"/>
      <c r="AA1" s="3"/>
      <c r="AB1" s="3"/>
      <c r="AC1" s="3"/>
    </row>
    <row r="2" customFormat="false" ht="15" hidden="false" customHeight="false" outlineLevel="0" collapsed="false">
      <c r="A2" s="22" t="s">
        <v>464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customFormat="false" ht="15" hidden="false" customHeight="false" outlineLevel="0" collapsed="false">
      <c r="A3" s="9" t="s">
        <v>465</v>
      </c>
      <c r="B3" s="5"/>
      <c r="C3" s="5"/>
      <c r="D3" s="60"/>
      <c r="E3" s="57" t="n">
        <f aca="false">IF($D$3="",断面!$D$31,$D$3)</f>
        <v>0.0002</v>
      </c>
      <c r="F3" s="9" t="s">
        <v>466</v>
      </c>
      <c r="G3" s="5"/>
      <c r="H3" s="5"/>
      <c r="I3" s="49" t="n">
        <v>1</v>
      </c>
      <c r="J3" s="17" t="s">
        <v>467</v>
      </c>
      <c r="K3" s="39" t="n">
        <f aca="false">5/6</f>
        <v>0.833333333333333</v>
      </c>
      <c r="L3" s="9" t="s">
        <v>468</v>
      </c>
      <c r="M3" s="5"/>
      <c r="N3" s="61" t="n">
        <v>0.01</v>
      </c>
      <c r="O3" s="5"/>
      <c r="P3" s="5"/>
      <c r="Q3" s="5"/>
      <c r="R3" s="5"/>
      <c r="S3" s="5"/>
      <c r="T3" s="5"/>
      <c r="U3" s="5"/>
      <c r="V3" s="5"/>
    </row>
    <row r="4" customFormat="false" ht="15" hidden="false" customHeight="false" outlineLevel="0" collapsed="false">
      <c r="A4" s="9" t="s">
        <v>469</v>
      </c>
      <c r="B4" s="5"/>
      <c r="C4" s="5"/>
      <c r="D4" s="56" t="n">
        <f aca="false">断面!$D$23/SQRT(12)</f>
        <v>0.00144337567297406</v>
      </c>
      <c r="E4" s="17" t="s">
        <v>470</v>
      </c>
      <c r="F4" s="56" t="n">
        <f aca="false">断面!$D$3/SQRT(12)</f>
        <v>0.0091819691666489</v>
      </c>
      <c r="G4" s="17" t="s">
        <v>471</v>
      </c>
      <c r="H4" s="39" t="n">
        <f aca="false">1+2*(1+断面!$D$26)/$K$3</f>
        <v>4.12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customFormat="false" ht="15" hidden="false" customHeight="false" outlineLevel="0" collapsed="false">
      <c r="A5" s="51" t="s">
        <v>472</v>
      </c>
      <c r="B5" s="50" t="s">
        <v>473</v>
      </c>
      <c r="C5" s="51" t="s">
        <v>474</v>
      </c>
      <c r="D5" s="50" t="s">
        <v>475</v>
      </c>
      <c r="E5" s="51" t="s">
        <v>476</v>
      </c>
      <c r="F5" s="51" t="s">
        <v>477</v>
      </c>
      <c r="G5" s="50" t="s">
        <v>478</v>
      </c>
      <c r="H5" s="51" t="s">
        <v>479</v>
      </c>
      <c r="I5" s="50" t="s">
        <v>480</v>
      </c>
      <c r="J5" s="50" t="s">
        <v>481</v>
      </c>
      <c r="K5" s="51" t="s">
        <v>482</v>
      </c>
      <c r="L5" s="50" t="s">
        <v>483</v>
      </c>
      <c r="M5" s="50" t="s">
        <v>484</v>
      </c>
      <c r="N5" s="51" t="s">
        <v>485</v>
      </c>
      <c r="O5" s="32" t="s">
        <v>486</v>
      </c>
      <c r="P5" s="32" t="s">
        <v>396</v>
      </c>
      <c r="Q5" s="33" t="s">
        <v>487</v>
      </c>
      <c r="R5" s="33" t="s">
        <v>488</v>
      </c>
      <c r="S5" s="5"/>
      <c r="T5" s="5"/>
      <c r="U5" s="5"/>
      <c r="V5" s="5"/>
    </row>
    <row r="6" customFormat="false" ht="15" hidden="false" customHeight="false" outlineLevel="0" collapsed="false">
      <c r="A6" s="62" t="n">
        <v>1</v>
      </c>
      <c r="B6" s="63" t="s">
        <v>489</v>
      </c>
      <c r="C6" s="63" t="n">
        <v>1</v>
      </c>
      <c r="D6" s="63" t="n">
        <v>4.730041</v>
      </c>
      <c r="E6" s="63" t="n">
        <f aca="false">D6^2</f>
        <v>22.373287861681</v>
      </c>
      <c r="F6" s="64" t="n">
        <f aca="false">IFERROR(E6/(2*PI()*断面!$D$4^2)*SQRT(断面!$D$17/断面!$D$22),0)</f>
        <v>2170.63127044256</v>
      </c>
      <c r="G6" s="64" t="n">
        <f aca="false">IFERROR(1/SQRT(1+E6*($D$4/断面!$D$4)^2*$H$4),1)</f>
        <v>0.992157795169663</v>
      </c>
      <c r="H6" s="64" t="n">
        <f aca="false">F6*G6</f>
        <v>2153.60873540861</v>
      </c>
      <c r="I6" s="65" t="n">
        <f aca="false">IF($I$3=1,H6,F6)</f>
        <v>2153.60873540861</v>
      </c>
      <c r="J6" s="41" t="n">
        <f aca="false">IFERROR(2*PI()*断面!$D$4/D6*1000,0)</f>
        <v>146.119321965656</v>
      </c>
      <c r="K6" s="41" t="n">
        <f aca="false">IFERROR(J6/(断面!$D$23*1000),0)</f>
        <v>29.2238643931312</v>
      </c>
      <c r="L6" s="66" t="str">
        <f aca="false">IF(K6&gt;=6,"🟢 良",IF(K6&gt;=3,"🟡 誤差±10%程度","🔴 参考値のみ"))</f>
        <v>🟢 良</v>
      </c>
      <c r="M6" s="26" t="s">
        <v>490</v>
      </c>
      <c r="N6" s="66" t="str">
        <f aca="false">IF(AND(I6&gt;=1250,I6&lt;=16000),"○ 帯域内","− 帯域外")</f>
        <v>○ 帯域内</v>
      </c>
      <c r="O6" s="67" t="n">
        <f aca="false">IF(I6&lt;=0,1000000000,I6)</f>
        <v>2153.60873540861</v>
      </c>
      <c r="P6" s="67" t="n">
        <f aca="false">MAX($E$3,$N$3)</f>
        <v>0.01</v>
      </c>
      <c r="Q6" s="67" t="n">
        <v>1</v>
      </c>
      <c r="R6" s="67" t="str">
        <f aca="false">B6&amp;" "&amp;C6&amp;"次"</f>
        <v>面外曲げ 1次</v>
      </c>
      <c r="S6" s="5"/>
      <c r="T6" s="5"/>
      <c r="U6" s="5"/>
      <c r="V6" s="5"/>
    </row>
    <row r="7" customFormat="false" ht="15" hidden="false" customHeight="false" outlineLevel="0" collapsed="false">
      <c r="A7" s="63" t="n">
        <v>2</v>
      </c>
      <c r="B7" s="63" t="s">
        <v>489</v>
      </c>
      <c r="C7" s="63" t="n">
        <v>2</v>
      </c>
      <c r="D7" s="63" t="n">
        <v>7.853205</v>
      </c>
      <c r="E7" s="63" t="n">
        <f aca="false">D7^2</f>
        <v>61.672828772025</v>
      </c>
      <c r="F7" s="64" t="n">
        <f aca="false">IFERROR(E7/(2*PI()*断面!$D$4^2)*SQRT(断面!$D$17/断面!$D$22),0)</f>
        <v>5983.42860901038</v>
      </c>
      <c r="G7" s="64" t="n">
        <f aca="false">IFERROR(1/SQRT(1+E7*($D$4/断面!$D$4)^2*$H$4),1)</f>
        <v>0.978818209922601</v>
      </c>
      <c r="H7" s="64" t="n">
        <f aca="false">F7*G7</f>
        <v>5856.68888027122</v>
      </c>
      <c r="I7" s="65" t="n">
        <f aca="false">IF($I$3=1,H7,F7)</f>
        <v>5856.68888027122</v>
      </c>
      <c r="J7" s="41" t="n">
        <f aca="false">IFERROR(2*PI()*断面!$D$4/D7*1000,0)</f>
        <v>88.0087026621302</v>
      </c>
      <c r="K7" s="41" t="n">
        <f aca="false">IFERROR(J7/(断面!$D$23*1000),0)</f>
        <v>17.601740532426</v>
      </c>
      <c r="L7" s="66" t="str">
        <f aca="false">IF(K7&gt;=6,"🟢 良",IF(K7&gt;=3,"🟡 誤差±10%程度","🔴 参考値のみ"))</f>
        <v>🟢 良</v>
      </c>
      <c r="M7" s="26" t="s">
        <v>490</v>
      </c>
      <c r="N7" s="66" t="str">
        <f aca="false">IF(AND(I7&gt;=1250,I7&lt;=16000),"○ 帯域内","− 帯域外")</f>
        <v>○ 帯域内</v>
      </c>
      <c r="O7" s="67" t="n">
        <f aca="false">IF(I7&lt;=0,1000000000,I7)</f>
        <v>5856.68888027122</v>
      </c>
      <c r="P7" s="67" t="n">
        <f aca="false">MAX($E$3,$N$3)</f>
        <v>0.01</v>
      </c>
      <c r="Q7" s="67" t="n">
        <v>1</v>
      </c>
      <c r="R7" s="67" t="str">
        <f aca="false">B7&amp;" "&amp;C7&amp;"次"</f>
        <v>面外曲げ 2次</v>
      </c>
      <c r="S7" s="5"/>
      <c r="T7" s="5"/>
      <c r="U7" s="5"/>
      <c r="V7" s="5"/>
    </row>
    <row r="8" customFormat="false" ht="15" hidden="false" customHeight="false" outlineLevel="0" collapsed="false">
      <c r="A8" s="63" t="n">
        <v>3</v>
      </c>
      <c r="B8" s="63" t="s">
        <v>489</v>
      </c>
      <c r="C8" s="63" t="n">
        <v>3</v>
      </c>
      <c r="D8" s="63" t="n">
        <v>10.995608</v>
      </c>
      <c r="E8" s="63" t="n">
        <f aca="false">D8^2</f>
        <v>120.903395289664</v>
      </c>
      <c r="F8" s="64" t="n">
        <f aca="false">IFERROR(E8/(2*PI()*断面!$D$4^2)*SQRT(断面!$D$17/断面!$D$22),0)</f>
        <v>11729.9116759634</v>
      </c>
      <c r="G8" s="64" t="n">
        <f aca="false">IFERROR(1/SQRT(1+E8*($D$4/断面!$D$4)^2*$H$4),1)</f>
        <v>0.959692542420388</v>
      </c>
      <c r="H8" s="64" t="n">
        <f aca="false">F8*G8</f>
        <v>11257.1087586719</v>
      </c>
      <c r="I8" s="65" t="n">
        <f aca="false">IF($I$3=1,H8,F8)</f>
        <v>11257.1087586719</v>
      </c>
      <c r="J8" s="41" t="n">
        <f aca="false">IFERROR(2*PI()*断面!$D$4/D8*1000,0)</f>
        <v>62.8569501377054</v>
      </c>
      <c r="K8" s="41" t="n">
        <f aca="false">IFERROR(J8/(断面!$D$23*1000),0)</f>
        <v>12.5713900275411</v>
      </c>
      <c r="L8" s="66" t="str">
        <f aca="false">IF(K8&gt;=6,"🟢 良",IF(K8&gt;=3,"🟡 誤差±10%程度","🔴 参考値のみ"))</f>
        <v>🟢 良</v>
      </c>
      <c r="M8" s="26" t="s">
        <v>490</v>
      </c>
      <c r="N8" s="66" t="str">
        <f aca="false">IF(AND(I8&gt;=1250,I8&lt;=16000),"○ 帯域内","− 帯域外")</f>
        <v>○ 帯域内</v>
      </c>
      <c r="O8" s="67" t="n">
        <f aca="false">IF(I8&lt;=0,1000000000,I8)</f>
        <v>11257.1087586719</v>
      </c>
      <c r="P8" s="67" t="n">
        <f aca="false">MAX($E$3,$N$3)</f>
        <v>0.01</v>
      </c>
      <c r="Q8" s="67" t="n">
        <v>1</v>
      </c>
      <c r="R8" s="67" t="str">
        <f aca="false">B8&amp;" "&amp;C8&amp;"次"</f>
        <v>面外曲げ 3次</v>
      </c>
      <c r="S8" s="5"/>
      <c r="T8" s="5"/>
      <c r="U8" s="5"/>
      <c r="V8" s="5"/>
    </row>
    <row r="9" customFormat="false" ht="15" hidden="false" customHeight="false" outlineLevel="0" collapsed="false">
      <c r="A9" s="63" t="n">
        <v>4</v>
      </c>
      <c r="B9" s="63" t="s">
        <v>489</v>
      </c>
      <c r="C9" s="63" t="n">
        <v>4</v>
      </c>
      <c r="D9" s="63" t="n">
        <v>14.137165</v>
      </c>
      <c r="E9" s="63" t="n">
        <f aca="false">D9^2</f>
        <v>199.859434237225</v>
      </c>
      <c r="F9" s="64" t="n">
        <f aca="false">IFERROR(E9/(2*PI()*断面!$D$4^2)*SQRT(断面!$D$17/断面!$D$22),0)</f>
        <v>19390.1379328019</v>
      </c>
      <c r="G9" s="64" t="n">
        <f aca="false">IFERROR(1/SQRT(1+E9*($D$4/断面!$D$4)^2*$H$4),1)</f>
        <v>0.935858109522431</v>
      </c>
      <c r="H9" s="64" t="n">
        <f aca="false">F9*G9</f>
        <v>18146.4178291712</v>
      </c>
      <c r="I9" s="65" t="n">
        <f aca="false">IF($I$3=1,H9,F9)</f>
        <v>18146.4178291712</v>
      </c>
      <c r="J9" s="41" t="n">
        <f aca="false">IFERROR(2*PI()*断面!$D$4/D9*1000,0)</f>
        <v>48.8888956017529</v>
      </c>
      <c r="K9" s="41" t="n">
        <f aca="false">IFERROR(J9/(断面!$D$23*1000),0)</f>
        <v>9.77777912035057</v>
      </c>
      <c r="L9" s="66" t="str">
        <f aca="false">IF(K9&gt;=6,"🟢 良",IF(K9&gt;=3,"🟡 誤差±10%程度","🔴 参考値のみ"))</f>
        <v>🟢 良</v>
      </c>
      <c r="M9" s="26" t="s">
        <v>490</v>
      </c>
      <c r="N9" s="66" t="str">
        <f aca="false">IF(AND(I9&gt;=1250,I9&lt;=16000),"○ 帯域内","− 帯域外")</f>
        <v>− 帯域外</v>
      </c>
      <c r="O9" s="67" t="n">
        <f aca="false">IF(I9&lt;=0,1000000000,I9)</f>
        <v>18146.4178291712</v>
      </c>
      <c r="P9" s="67" t="n">
        <f aca="false">MAX($E$3,$N$3)</f>
        <v>0.01</v>
      </c>
      <c r="Q9" s="67" t="n">
        <v>1</v>
      </c>
      <c r="R9" s="67" t="str">
        <f aca="false">B9&amp;" "&amp;C9&amp;"次"</f>
        <v>面外曲げ 4次</v>
      </c>
      <c r="S9" s="5"/>
      <c r="T9" s="5"/>
      <c r="U9" s="5"/>
      <c r="V9" s="5"/>
    </row>
    <row r="10" customFormat="false" ht="15" hidden="false" customHeight="false" outlineLevel="0" collapsed="false">
      <c r="A10" s="63" t="n">
        <v>5</v>
      </c>
      <c r="B10" s="63" t="s">
        <v>489</v>
      </c>
      <c r="C10" s="63" t="n">
        <v>5</v>
      </c>
      <c r="D10" s="63" t="n">
        <v>17.27876</v>
      </c>
      <c r="E10" s="63" t="n">
        <f aca="false">D10^2</f>
        <v>298.5555471376</v>
      </c>
      <c r="F10" s="64" t="n">
        <f aca="false">IFERROR(E10/(2*PI()*断面!$D$4^2)*SQRT(断面!$D$17/断面!$D$22),0)</f>
        <v>28965.5240028843</v>
      </c>
      <c r="G10" s="64" t="n">
        <f aca="false">IFERROR(1/SQRT(1+E10*($D$4/断面!$D$4)^2*$H$4),1)</f>
        <v>0.908421000024676</v>
      </c>
      <c r="H10" s="64" t="n">
        <f aca="false">F10*G10</f>
        <v>26312.8902809389</v>
      </c>
      <c r="I10" s="65" t="n">
        <f aca="false">IF($I$3=1,H10,F10)</f>
        <v>26312.8902809389</v>
      </c>
      <c r="J10" s="41" t="n">
        <f aca="false">IFERROR(2*PI()*断面!$D$4/D10*1000,0)</f>
        <v>39.9999990618398</v>
      </c>
      <c r="K10" s="41" t="n">
        <f aca="false">IFERROR(J10/(断面!$D$23*1000),0)</f>
        <v>7.99999981236796</v>
      </c>
      <c r="L10" s="66" t="str">
        <f aca="false">IF(K10&gt;=6,"🟢 良",IF(K10&gt;=3,"🟡 誤差±10%程度","🔴 参考値のみ"))</f>
        <v>🟢 良</v>
      </c>
      <c r="M10" s="26" t="s">
        <v>490</v>
      </c>
      <c r="N10" s="66" t="str">
        <f aca="false">IF(AND(I10&gt;=1250,I10&lt;=16000),"○ 帯域内","− 帯域外")</f>
        <v>− 帯域外</v>
      </c>
      <c r="O10" s="67" t="n">
        <f aca="false">IF(I10&lt;=0,1000000000,I10)</f>
        <v>26312.8902809389</v>
      </c>
      <c r="P10" s="67" t="n">
        <f aca="false">MAX($E$3,$N$3)</f>
        <v>0.01</v>
      </c>
      <c r="Q10" s="67" t="n">
        <v>1</v>
      </c>
      <c r="R10" s="67" t="str">
        <f aca="false">B10&amp;" "&amp;C10&amp;"次"</f>
        <v>面外曲げ 5次</v>
      </c>
      <c r="S10" s="5"/>
      <c r="T10" s="5"/>
      <c r="U10" s="5"/>
      <c r="V10" s="5"/>
    </row>
    <row r="11" customFormat="false" ht="15" hidden="false" customHeight="false" outlineLevel="0" collapsed="false">
      <c r="A11" s="63" t="n">
        <v>6</v>
      </c>
      <c r="B11" s="63" t="s">
        <v>489</v>
      </c>
      <c r="C11" s="63" t="n">
        <v>6</v>
      </c>
      <c r="D11" s="63" t="n">
        <v>20.420352</v>
      </c>
      <c r="E11" s="63" t="n">
        <f aca="false">D11^2</f>
        <v>416.990775803904</v>
      </c>
      <c r="F11" s="64" t="n">
        <f aca="false">IFERROR(E11/(2*PI()*断面!$D$4^2)*SQRT(断面!$D$17/断面!$D$22),0)</f>
        <v>40455.9769239946</v>
      </c>
      <c r="G11" s="64" t="n">
        <f aca="false">IFERROR(1/SQRT(1+E11*($D$4/断面!$D$4)^2*$H$4),1)</f>
        <v>0.878478504600457</v>
      </c>
      <c r="H11" s="64" t="n">
        <f aca="false">F11*G11</f>
        <v>35539.7061103414</v>
      </c>
      <c r="I11" s="65" t="n">
        <f aca="false">IF($I$3=1,H11,F11)</f>
        <v>35539.7061103414</v>
      </c>
      <c r="J11" s="41" t="n">
        <f aca="false">IFERROR(2*PI()*断面!$D$4/D11*1000,0)</f>
        <v>33.8461542577598</v>
      </c>
      <c r="K11" s="41" t="n">
        <f aca="false">IFERROR(J11/(断面!$D$23*1000),0)</f>
        <v>6.76923085155197</v>
      </c>
      <c r="L11" s="66" t="str">
        <f aca="false">IF(K11&gt;=6,"🟢 良",IF(K11&gt;=3,"🟡 誤差±10%程度","🔴 参考値のみ"))</f>
        <v>🟢 良</v>
      </c>
      <c r="M11" s="26" t="s">
        <v>490</v>
      </c>
      <c r="N11" s="66" t="str">
        <f aca="false">IF(AND(I11&gt;=1250,I11&lt;=16000),"○ 帯域内","− 帯域外")</f>
        <v>− 帯域外</v>
      </c>
      <c r="O11" s="67" t="n">
        <f aca="false">IF(I11&lt;=0,1000000000,I11)</f>
        <v>35539.7061103414</v>
      </c>
      <c r="P11" s="67" t="n">
        <f aca="false">MAX($E$3,$N$3)</f>
        <v>0.01</v>
      </c>
      <c r="Q11" s="67" t="n">
        <v>1</v>
      </c>
      <c r="R11" s="67" t="str">
        <f aca="false">B11&amp;" "&amp;C11&amp;"次"</f>
        <v>面外曲げ 6次</v>
      </c>
      <c r="S11" s="5"/>
      <c r="T11" s="5"/>
      <c r="U11" s="5"/>
      <c r="V11" s="5"/>
    </row>
    <row r="12" customFormat="false" ht="15" hidden="false" customHeight="false" outlineLevel="0" collapsed="false">
      <c r="A12" s="63" t="n">
        <v>7</v>
      </c>
      <c r="B12" s="63" t="s">
        <v>491</v>
      </c>
      <c r="C12" s="63" t="n">
        <v>1</v>
      </c>
      <c r="D12" s="63" t="n">
        <v>1</v>
      </c>
      <c r="E12" s="63" t="n">
        <f aca="false">D12^2</f>
        <v>1</v>
      </c>
      <c r="F12" s="64" t="n">
        <f aca="false">IFERROR(D12/(2*断面!$D$4)*SQRT(断面!$D$29/断面!$D$30),0)</f>
        <v>4246.79258231606</v>
      </c>
      <c r="G12" s="64" t="n">
        <f aca="false">1</f>
        <v>1</v>
      </c>
      <c r="H12" s="64" t="n">
        <f aca="false">F12*G12</f>
        <v>4246.79258231606</v>
      </c>
      <c r="I12" s="65" t="n">
        <f aca="false">IF($I$3=1,H12,F12)</f>
        <v>4246.79258231606</v>
      </c>
      <c r="J12" s="41" t="n">
        <f aca="false">IFERROR(2*断面!$D$4/D12*1000,0)</f>
        <v>220</v>
      </c>
      <c r="K12" s="41" t="n">
        <f aca="false">IFERROR(J12/(MAX(断面!$D$3,断面!$D$23)*1000),0)</f>
        <v>6.91665681491689</v>
      </c>
      <c r="L12" s="66" t="str">
        <f aca="false">IF(K12&gt;=6,"🟢 良",IF(K12&gt;=3,"🟡 誤差±10%程度","🔴 参考値のみ"))</f>
        <v>🟢 良</v>
      </c>
      <c r="M12" s="26" t="s">
        <v>492</v>
      </c>
      <c r="N12" s="66" t="str">
        <f aca="false">IF(AND(I12&gt;=1250,I12&lt;=16000),"○ 帯域内","− 帯域外")</f>
        <v>○ 帯域内</v>
      </c>
      <c r="O12" s="67" t="n">
        <f aca="false">IF(I12&lt;=0,1000000000,I12)</f>
        <v>4246.79258231606</v>
      </c>
      <c r="P12" s="67" t="n">
        <f aca="false">MAX($E$3,$N$3)</f>
        <v>0.01</v>
      </c>
      <c r="Q12" s="67" t="n">
        <v>1</v>
      </c>
      <c r="R12" s="67" t="str">
        <f aca="false">B12&amp;" "&amp;C12&amp;"次"</f>
        <v>ねじり 1次</v>
      </c>
      <c r="S12" s="5"/>
      <c r="T12" s="5"/>
      <c r="U12" s="5"/>
      <c r="V12" s="5"/>
    </row>
    <row r="13" customFormat="false" ht="15" hidden="false" customHeight="false" outlineLevel="0" collapsed="false">
      <c r="A13" s="63" t="n">
        <v>8</v>
      </c>
      <c r="B13" s="63" t="s">
        <v>491</v>
      </c>
      <c r="C13" s="63" t="n">
        <v>2</v>
      </c>
      <c r="D13" s="63" t="n">
        <v>2</v>
      </c>
      <c r="E13" s="63" t="n">
        <f aca="false">D13^2</f>
        <v>4</v>
      </c>
      <c r="F13" s="64" t="n">
        <f aca="false">IFERROR(D13/(2*断面!$D$4)*SQRT(断面!$D$29/断面!$D$30),0)</f>
        <v>8493.58516463212</v>
      </c>
      <c r="G13" s="64" t="n">
        <f aca="false">1</f>
        <v>1</v>
      </c>
      <c r="H13" s="64" t="n">
        <f aca="false">F13*G13</f>
        <v>8493.58516463212</v>
      </c>
      <c r="I13" s="65" t="n">
        <f aca="false">IF($I$3=1,H13,F13)</f>
        <v>8493.58516463212</v>
      </c>
      <c r="J13" s="41" t="n">
        <f aca="false">IFERROR(2*断面!$D$4/D13*1000,0)</f>
        <v>110</v>
      </c>
      <c r="K13" s="41" t="n">
        <f aca="false">IFERROR(J13/(MAX(断面!$D$3,断面!$D$23)*1000),0)</f>
        <v>3.45832840745844</v>
      </c>
      <c r="L13" s="66" t="str">
        <f aca="false">IF(K13&gt;=6,"🟢 良",IF(K13&gt;=3,"🟡 誤差±10%程度","🔴 参考値のみ"))</f>
        <v>🟡 誤差±10%程度</v>
      </c>
      <c r="M13" s="26" t="s">
        <v>492</v>
      </c>
      <c r="N13" s="66" t="str">
        <f aca="false">IF(AND(I13&gt;=1250,I13&lt;=16000),"○ 帯域内","− 帯域外")</f>
        <v>○ 帯域内</v>
      </c>
      <c r="O13" s="67" t="n">
        <f aca="false">IF(I13&lt;=0,1000000000,I13)</f>
        <v>8493.58516463212</v>
      </c>
      <c r="P13" s="67" t="n">
        <f aca="false">MAX($E$3,$N$3)</f>
        <v>0.01</v>
      </c>
      <c r="Q13" s="67" t="n">
        <v>1</v>
      </c>
      <c r="R13" s="67" t="str">
        <f aca="false">B13&amp;" "&amp;C13&amp;"次"</f>
        <v>ねじり 2次</v>
      </c>
      <c r="S13" s="5"/>
      <c r="T13" s="5"/>
      <c r="U13" s="5"/>
      <c r="V13" s="5"/>
    </row>
    <row r="14" customFormat="false" ht="15" hidden="false" customHeight="false" outlineLevel="0" collapsed="false">
      <c r="A14" s="63" t="n">
        <v>9</v>
      </c>
      <c r="B14" s="63" t="s">
        <v>491</v>
      </c>
      <c r="C14" s="63" t="n">
        <v>3</v>
      </c>
      <c r="D14" s="63" t="n">
        <v>3</v>
      </c>
      <c r="E14" s="63" t="n">
        <f aca="false">D14^2</f>
        <v>9</v>
      </c>
      <c r="F14" s="64" t="n">
        <f aca="false">IFERROR(D14/(2*断面!$D$4)*SQRT(断面!$D$29/断面!$D$30),0)</f>
        <v>12740.3777469482</v>
      </c>
      <c r="G14" s="64" t="n">
        <f aca="false">1</f>
        <v>1</v>
      </c>
      <c r="H14" s="64" t="n">
        <f aca="false">F14*G14</f>
        <v>12740.3777469482</v>
      </c>
      <c r="I14" s="65" t="n">
        <f aca="false">IF($I$3=1,H14,F14)</f>
        <v>12740.3777469482</v>
      </c>
      <c r="J14" s="41" t="n">
        <f aca="false">IFERROR(2*断面!$D$4/D14*1000,0)</f>
        <v>73.3333333333333</v>
      </c>
      <c r="K14" s="41" t="n">
        <f aca="false">IFERROR(J14/(MAX(断面!$D$3,断面!$D$23)*1000),0)</f>
        <v>2.30555227163896</v>
      </c>
      <c r="L14" s="66" t="str">
        <f aca="false">IF(K14&gt;=6,"🟢 良",IF(K14&gt;=3,"🟡 誤差±10%程度","🔴 参考値のみ"))</f>
        <v>🔴 参考値のみ</v>
      </c>
      <c r="M14" s="26" t="s">
        <v>492</v>
      </c>
      <c r="N14" s="66" t="str">
        <f aca="false">IF(AND(I14&gt;=1250,I14&lt;=16000),"○ 帯域内","− 帯域外")</f>
        <v>○ 帯域内</v>
      </c>
      <c r="O14" s="67" t="n">
        <f aca="false">IF(I14&lt;=0,1000000000,I14)</f>
        <v>12740.3777469482</v>
      </c>
      <c r="P14" s="67" t="n">
        <f aca="false">MAX($E$3,$N$3)</f>
        <v>0.01</v>
      </c>
      <c r="Q14" s="67" t="n">
        <v>1</v>
      </c>
      <c r="R14" s="67" t="str">
        <f aca="false">B14&amp;" "&amp;C14&amp;"次"</f>
        <v>ねじり 3次</v>
      </c>
      <c r="S14" s="5"/>
      <c r="T14" s="5"/>
      <c r="U14" s="5"/>
      <c r="V14" s="5"/>
    </row>
    <row r="15" customFormat="false" ht="15" hidden="false" customHeight="false" outlineLevel="0" collapsed="false">
      <c r="A15" s="63" t="n">
        <v>10</v>
      </c>
      <c r="B15" s="63" t="s">
        <v>491</v>
      </c>
      <c r="C15" s="63" t="n">
        <v>4</v>
      </c>
      <c r="D15" s="63" t="n">
        <v>4</v>
      </c>
      <c r="E15" s="63" t="n">
        <f aca="false">D15^2</f>
        <v>16</v>
      </c>
      <c r="F15" s="64" t="n">
        <f aca="false">IFERROR(D15/(2*断面!$D$4)*SQRT(断面!$D$29/断面!$D$30),0)</f>
        <v>16987.1703292642</v>
      </c>
      <c r="G15" s="64" t="n">
        <f aca="false">1</f>
        <v>1</v>
      </c>
      <c r="H15" s="64" t="n">
        <f aca="false">F15*G15</f>
        <v>16987.1703292642</v>
      </c>
      <c r="I15" s="65" t="n">
        <f aca="false">IF($I$3=1,H15,F15)</f>
        <v>16987.1703292642</v>
      </c>
      <c r="J15" s="41" t="n">
        <f aca="false">IFERROR(2*断面!$D$4/D15*1000,0)</f>
        <v>55</v>
      </c>
      <c r="K15" s="41" t="n">
        <f aca="false">IFERROR(J15/(MAX(断面!$D$3,断面!$D$23)*1000),0)</f>
        <v>1.72916420372922</v>
      </c>
      <c r="L15" s="66" t="str">
        <f aca="false">IF(K15&gt;=6,"🟢 良",IF(K15&gt;=3,"🟡 誤差±10%程度","🔴 参考値のみ"))</f>
        <v>🔴 参考値のみ</v>
      </c>
      <c r="M15" s="26" t="s">
        <v>492</v>
      </c>
      <c r="N15" s="66" t="str">
        <f aca="false">IF(AND(I15&gt;=1250,I15&lt;=16000),"○ 帯域内","− 帯域外")</f>
        <v>− 帯域外</v>
      </c>
      <c r="O15" s="67" t="n">
        <f aca="false">IF(I15&lt;=0,1000000000,I15)</f>
        <v>16987.1703292642</v>
      </c>
      <c r="P15" s="67" t="n">
        <f aca="false">MAX($E$3,$N$3)</f>
        <v>0.01</v>
      </c>
      <c r="Q15" s="67" t="n">
        <v>1</v>
      </c>
      <c r="R15" s="67" t="str">
        <f aca="false">B15&amp;" "&amp;C15&amp;"次"</f>
        <v>ねじり 4次</v>
      </c>
      <c r="S15" s="5"/>
      <c r="T15" s="5"/>
      <c r="U15" s="5"/>
      <c r="V15" s="5"/>
    </row>
    <row r="16" customFormat="false" ht="15" hidden="false" customHeight="false" outlineLevel="0" collapsed="false">
      <c r="A16" s="63" t="n">
        <v>11</v>
      </c>
      <c r="B16" s="63" t="s">
        <v>493</v>
      </c>
      <c r="C16" s="63" t="n">
        <v>1</v>
      </c>
      <c r="D16" s="63" t="n">
        <v>4.730041</v>
      </c>
      <c r="E16" s="63" t="n">
        <f aca="false">D16^2</f>
        <v>22.373287861681</v>
      </c>
      <c r="F16" s="64" t="n">
        <f aca="false">IFERROR(E16/(2*PI()*断面!$D$4^2)*SQRT(断面!$D$20/断面!$D$22),0)</f>
        <v>19139.8744580555</v>
      </c>
      <c r="G16" s="64" t="n">
        <f aca="false">IFERROR(1/SQRT(1+E16*($F$4/断面!$D$4)^2*$H$4),1)</f>
        <v>0.780330469490122</v>
      </c>
      <c r="H16" s="64" t="n">
        <f aca="false">F16*G16</f>
        <v>14935.4272218364</v>
      </c>
      <c r="I16" s="65" t="n">
        <f aca="false">IF($I$3=1,H16,F16)</f>
        <v>14935.4272218364</v>
      </c>
      <c r="J16" s="41" t="n">
        <f aca="false">IFERROR(2*PI()*断面!$D$4/D16*1000,0)</f>
        <v>146.119321965656</v>
      </c>
      <c r="K16" s="41" t="n">
        <f aca="false">IFERROR(J16/(断面!$D$3*1000),0)</f>
        <v>4.59389638211269</v>
      </c>
      <c r="L16" s="66" t="str">
        <f aca="false">IF(K16&gt;=6,"🟢 良",IF(K16&gt;=3,"🟡 誤差±10%程度","🔴 参考値のみ"))</f>
        <v>🟡 誤差±10%程度</v>
      </c>
      <c r="M16" s="26" t="s">
        <v>494</v>
      </c>
      <c r="N16" s="66" t="str">
        <f aca="false">IF(AND(I16&gt;=1250,I16&lt;=16000),"○ 帯域内","− 帯域外")</f>
        <v>○ 帯域内</v>
      </c>
      <c r="O16" s="67" t="n">
        <f aca="false">IF(I16&lt;=0,1000000000,I16)</f>
        <v>14935.4272218364</v>
      </c>
      <c r="P16" s="67" t="n">
        <f aca="false">MAX($E$3,$N$3)</f>
        <v>0.01</v>
      </c>
      <c r="Q16" s="67" t="n">
        <v>1</v>
      </c>
      <c r="R16" s="67" t="str">
        <f aca="false">B16&amp;" "&amp;C16&amp;"次"</f>
        <v>面内曲げ 1次</v>
      </c>
      <c r="S16" s="5"/>
      <c r="T16" s="5"/>
      <c r="U16" s="5"/>
      <c r="V16" s="5"/>
    </row>
    <row r="17" customFormat="false" ht="15" hidden="false" customHeight="false" outlineLevel="0" collapsed="false">
      <c r="A17" s="63" t="n">
        <v>12</v>
      </c>
      <c r="B17" s="63" t="s">
        <v>493</v>
      </c>
      <c r="C17" s="63" t="n">
        <v>2</v>
      </c>
      <c r="D17" s="63" t="n">
        <v>7.853205</v>
      </c>
      <c r="E17" s="63" t="n">
        <f aca="false">D17^2</f>
        <v>61.672828772025</v>
      </c>
      <c r="F17" s="64" t="n">
        <f aca="false">IFERROR(E17/(2*PI()*断面!$D$4^2)*SQRT(断面!$D$20/断面!$D$22),0)</f>
        <v>52759.8003238233</v>
      </c>
      <c r="G17" s="64" t="n">
        <f aca="false">IFERROR(1/SQRT(1+E17*($F$4/断面!$D$4)^2*$H$4),1)</f>
        <v>0.600795750219253</v>
      </c>
      <c r="H17" s="64" t="n">
        <f aca="false">F17*G17</f>
        <v>31697.8638169694</v>
      </c>
      <c r="I17" s="65" t="n">
        <f aca="false">IF($I$3=1,H17,F17)</f>
        <v>31697.8638169694</v>
      </c>
      <c r="J17" s="41" t="n">
        <f aca="false">IFERROR(2*PI()*断面!$D$4/D17*1000,0)</f>
        <v>88.0087026621302</v>
      </c>
      <c r="K17" s="41" t="n">
        <f aca="false">IFERROR(J17/(断面!$D$3*1000),0)</f>
        <v>2.76693633200008</v>
      </c>
      <c r="L17" s="66" t="str">
        <f aca="false">IF(K17&gt;=6,"🟢 良",IF(K17&gt;=3,"🟡 誤差±10%程度","🔴 参考値のみ"))</f>
        <v>🔴 参考値のみ</v>
      </c>
      <c r="M17" s="26" t="s">
        <v>494</v>
      </c>
      <c r="N17" s="66" t="str">
        <f aca="false">IF(AND(I17&gt;=1250,I17&lt;=16000),"○ 帯域内","− 帯域外")</f>
        <v>− 帯域外</v>
      </c>
      <c r="O17" s="67" t="n">
        <f aca="false">IF(I17&lt;=0,1000000000,I17)</f>
        <v>31697.8638169694</v>
      </c>
      <c r="P17" s="67" t="n">
        <f aca="false">MAX($E$3,$N$3)</f>
        <v>0.01</v>
      </c>
      <c r="Q17" s="67" t="n">
        <v>1</v>
      </c>
      <c r="R17" s="67" t="str">
        <f aca="false">B17&amp;" "&amp;C17&amp;"次"</f>
        <v>面内曲げ 2次</v>
      </c>
      <c r="S17" s="5"/>
      <c r="T17" s="5"/>
      <c r="U17" s="5"/>
      <c r="V17" s="5"/>
    </row>
    <row r="18" customFormat="false" ht="15" hidden="false" customHeight="false" outlineLevel="0" collapsed="false">
      <c r="A18" s="63" t="n">
        <v>13</v>
      </c>
      <c r="B18" s="63" t="s">
        <v>493</v>
      </c>
      <c r="C18" s="63" t="n">
        <v>3</v>
      </c>
      <c r="D18" s="63" t="n">
        <v>10.995608</v>
      </c>
      <c r="E18" s="63" t="n">
        <f aca="false">D18^2</f>
        <v>120.903395289664</v>
      </c>
      <c r="F18" s="64" t="n">
        <f aca="false">IFERROR(E18/(2*PI()*断面!$D$4^2)*SQRT(断面!$D$20/断面!$D$22),0)</f>
        <v>103430.296955155</v>
      </c>
      <c r="G18" s="64" t="n">
        <f aca="false">IFERROR(1/SQRT(1+E18*($F$4/断面!$D$4)^2*$H$4),1)</f>
        <v>0.472944656898683</v>
      </c>
      <c r="H18" s="64" t="n">
        <f aca="false">F18*G18</f>
        <v>48916.8063063846</v>
      </c>
      <c r="I18" s="65" t="n">
        <f aca="false">IF($I$3=1,H18,F18)</f>
        <v>48916.8063063846</v>
      </c>
      <c r="J18" s="41" t="n">
        <f aca="false">IFERROR(2*PI()*断面!$D$4/D18*1000,0)</f>
        <v>62.8569501377054</v>
      </c>
      <c r="K18" s="41" t="n">
        <f aca="false">IFERROR(J18/(断面!$D$3*1000),0)</f>
        <v>1.97618160243114</v>
      </c>
      <c r="L18" s="66" t="str">
        <f aca="false">IF(K18&gt;=6,"🟢 良",IF(K18&gt;=3,"🟡 誤差±10%程度","🔴 参考値のみ"))</f>
        <v>🔴 参考値のみ</v>
      </c>
      <c r="M18" s="26" t="s">
        <v>494</v>
      </c>
      <c r="N18" s="66" t="str">
        <f aca="false">IF(AND(I18&gt;=1250,I18&lt;=16000),"○ 帯域内","− 帯域外")</f>
        <v>− 帯域外</v>
      </c>
      <c r="O18" s="67" t="n">
        <f aca="false">IF(I18&lt;=0,1000000000,I18)</f>
        <v>48916.8063063846</v>
      </c>
      <c r="P18" s="67" t="n">
        <f aca="false">MAX($E$3,$N$3)</f>
        <v>0.01</v>
      </c>
      <c r="Q18" s="67" t="n">
        <v>1</v>
      </c>
      <c r="R18" s="67" t="str">
        <f aca="false">B18&amp;" "&amp;C18&amp;"次"</f>
        <v>面内曲げ 3次</v>
      </c>
      <c r="S18" s="5"/>
      <c r="T18" s="5"/>
      <c r="U18" s="5"/>
      <c r="V18" s="5"/>
    </row>
    <row r="19" customFormat="false" ht="15" hidden="false" customHeight="false" outlineLevel="0" collapsed="false">
      <c r="A19" s="63" t="n">
        <v>14</v>
      </c>
      <c r="B19" s="63" t="s">
        <v>493</v>
      </c>
      <c r="C19" s="63" t="n">
        <v>4</v>
      </c>
      <c r="D19" s="63" t="n">
        <v>14.137165</v>
      </c>
      <c r="E19" s="63" t="n">
        <f aca="false">D19^2</f>
        <v>199.859434237225</v>
      </c>
      <c r="F19" s="64" t="n">
        <f aca="false">IFERROR(E19/(2*PI()*断面!$D$4^2)*SQRT(断面!$D$20/断面!$D$22),0)</f>
        <v>170975.517957291</v>
      </c>
      <c r="G19" s="64" t="n">
        <f aca="false">IFERROR(1/SQRT(1+E19*($F$4/断面!$D$4)^2*$H$4),1)</f>
        <v>0.385262555852824</v>
      </c>
      <c r="H19" s="64" t="n">
        <f aca="false">F19*G19</f>
        <v>65870.4650364863</v>
      </c>
      <c r="I19" s="65" t="n">
        <f aca="false">IF($I$3=1,H19,F19)</f>
        <v>65870.4650364863</v>
      </c>
      <c r="J19" s="41" t="n">
        <f aca="false">IFERROR(2*PI()*断面!$D$4/D19*1000,0)</f>
        <v>48.8888956017529</v>
      </c>
      <c r="K19" s="41" t="n">
        <f aca="false">IFERROR(J19/(断面!$D$3*1000),0)</f>
        <v>1.53703505880738</v>
      </c>
      <c r="L19" s="66" t="str">
        <f aca="false">IF(K19&gt;=6,"🟢 良",IF(K19&gt;=3,"🟡 誤差±10%程度","🔴 参考値のみ"))</f>
        <v>🔴 参考値のみ</v>
      </c>
      <c r="M19" s="26" t="s">
        <v>494</v>
      </c>
      <c r="N19" s="66" t="str">
        <f aca="false">IF(AND(I19&gt;=1250,I19&lt;=16000),"○ 帯域内","− 帯域外")</f>
        <v>− 帯域外</v>
      </c>
      <c r="O19" s="67" t="n">
        <f aca="false">IF(I19&lt;=0,1000000000,I19)</f>
        <v>65870.4650364863</v>
      </c>
      <c r="P19" s="67" t="n">
        <f aca="false">MAX($E$3,$N$3)</f>
        <v>0.01</v>
      </c>
      <c r="Q19" s="67" t="n">
        <v>1</v>
      </c>
      <c r="R19" s="67" t="str">
        <f aca="false">B19&amp;" "&amp;C19&amp;"次"</f>
        <v>面内曲げ 4次</v>
      </c>
      <c r="S19" s="5"/>
      <c r="T19" s="5"/>
      <c r="U19" s="5"/>
      <c r="V19" s="5"/>
    </row>
    <row r="20" customFormat="false" ht="15" hidden="false" customHeight="false" outlineLevel="0" collapsed="false">
      <c r="A20" s="63" t="n">
        <v>15</v>
      </c>
      <c r="B20" s="63" t="s">
        <v>495</v>
      </c>
      <c r="C20" s="63" t="n">
        <v>1</v>
      </c>
      <c r="D20" s="63" t="n">
        <v>1</v>
      </c>
      <c r="E20" s="63" t="n">
        <f aca="false">D20^2</f>
        <v>1</v>
      </c>
      <c r="F20" s="64" t="n">
        <f aca="false">IFERROR(D20/(2*断面!$D$4)*SQRT(断面!$D$21/断面!$D$22),0)</f>
        <v>23228.4066977814</v>
      </c>
      <c r="G20" s="64" t="n">
        <f aca="false">1</f>
        <v>1</v>
      </c>
      <c r="H20" s="64" t="n">
        <f aca="false">F20*G20</f>
        <v>23228.4066977814</v>
      </c>
      <c r="I20" s="65" t="n">
        <f aca="false">IF($I$3=1,H20,F20)</f>
        <v>23228.4066977814</v>
      </c>
      <c r="J20" s="41" t="n">
        <f aca="false">IFERROR(2*断面!$D$4/D20*1000,0)</f>
        <v>220</v>
      </c>
      <c r="K20" s="41" t="n">
        <f aca="false">IFERROR(J20/(MAX(断面!$D$3,断面!$D$23)*1000),0)</f>
        <v>6.91665681491689</v>
      </c>
      <c r="L20" s="66" t="str">
        <f aca="false">IF(K20&gt;=6,"🟢 良",IF(K20&gt;=3,"🟡 誤差±10%程度","🔴 参考値のみ"))</f>
        <v>🟢 良</v>
      </c>
      <c r="M20" s="26" t="s">
        <v>496</v>
      </c>
      <c r="N20" s="66" t="str">
        <f aca="false">IF(AND(I20&gt;=1250,I20&lt;=16000),"○ 帯域内","− 帯域外")</f>
        <v>− 帯域外</v>
      </c>
      <c r="O20" s="67" t="n">
        <f aca="false">IF(I20&lt;=0,1000000000,I20)</f>
        <v>23228.4066977814</v>
      </c>
      <c r="P20" s="67" t="n">
        <f aca="false">MAX($E$3,$N$3)</f>
        <v>0.01</v>
      </c>
      <c r="Q20" s="67" t="n">
        <v>1</v>
      </c>
      <c r="R20" s="67" t="str">
        <f aca="false">B20&amp;" "&amp;C20&amp;"次"</f>
        <v>面内伸縮 1次</v>
      </c>
      <c r="S20" s="5"/>
      <c r="T20" s="5"/>
      <c r="U20" s="5"/>
      <c r="V20" s="5"/>
    </row>
    <row r="21" customFormat="false" ht="15" hidden="false" customHeight="false" outlineLevel="0" collapsed="false">
      <c r="A21" s="63" t="n">
        <v>16</v>
      </c>
      <c r="B21" s="63" t="s">
        <v>495</v>
      </c>
      <c r="C21" s="63" t="n">
        <v>2</v>
      </c>
      <c r="D21" s="63" t="n">
        <v>2</v>
      </c>
      <c r="E21" s="63" t="n">
        <f aca="false">D21^2</f>
        <v>4</v>
      </c>
      <c r="F21" s="64" t="n">
        <f aca="false">IFERROR(D21/(2*断面!$D$4)*SQRT(断面!$D$21/断面!$D$22),0)</f>
        <v>46456.8133955628</v>
      </c>
      <c r="G21" s="64" t="n">
        <f aca="false">1</f>
        <v>1</v>
      </c>
      <c r="H21" s="64" t="n">
        <f aca="false">F21*G21</f>
        <v>46456.8133955628</v>
      </c>
      <c r="I21" s="65" t="n">
        <f aca="false">IF($I$3=1,H21,F21)</f>
        <v>46456.8133955628</v>
      </c>
      <c r="J21" s="41" t="n">
        <f aca="false">IFERROR(2*断面!$D$4/D21*1000,0)</f>
        <v>110</v>
      </c>
      <c r="K21" s="41" t="n">
        <f aca="false">IFERROR(J21/(MAX(断面!$D$3,断面!$D$23)*1000),0)</f>
        <v>3.45832840745844</v>
      </c>
      <c r="L21" s="66" t="str">
        <f aca="false">IF(K21&gt;=6,"🟢 良",IF(K21&gt;=3,"🟡 誤差±10%程度","🔴 参考値のみ"))</f>
        <v>🟡 誤差±10%程度</v>
      </c>
      <c r="M21" s="26" t="s">
        <v>496</v>
      </c>
      <c r="N21" s="66" t="str">
        <f aca="false">IF(AND(I21&gt;=1250,I21&lt;=16000),"○ 帯域内","− 帯域外")</f>
        <v>− 帯域外</v>
      </c>
      <c r="O21" s="67" t="n">
        <f aca="false">IF(I21&lt;=0,1000000000,I21)</f>
        <v>46456.8133955628</v>
      </c>
      <c r="P21" s="67" t="n">
        <f aca="false">MAX($E$3,$N$3)</f>
        <v>0.01</v>
      </c>
      <c r="Q21" s="67" t="n">
        <v>1</v>
      </c>
      <c r="R21" s="67" t="str">
        <f aca="false">B21&amp;" "&amp;C21&amp;"次"</f>
        <v>面内伸縮 2次</v>
      </c>
      <c r="S21" s="5"/>
      <c r="T21" s="5"/>
      <c r="U21" s="5"/>
      <c r="V21" s="5"/>
    </row>
    <row r="22" customFormat="false" ht="15" hidden="false" customHeight="false" outlineLevel="0" collapsed="false">
      <c r="A22" s="63" t="n">
        <v>17</v>
      </c>
      <c r="B22" s="63" t="s">
        <v>495</v>
      </c>
      <c r="C22" s="63" t="n">
        <v>3</v>
      </c>
      <c r="D22" s="63" t="n">
        <v>3</v>
      </c>
      <c r="E22" s="63" t="n">
        <f aca="false">D22^2</f>
        <v>9</v>
      </c>
      <c r="F22" s="64" t="n">
        <f aca="false">IFERROR(D22/(2*断面!$D$4)*SQRT(断面!$D$21/断面!$D$22),0)</f>
        <v>69685.2200933441</v>
      </c>
      <c r="G22" s="64" t="n">
        <f aca="false">1</f>
        <v>1</v>
      </c>
      <c r="H22" s="64" t="n">
        <f aca="false">F22*G22</f>
        <v>69685.2200933441</v>
      </c>
      <c r="I22" s="65" t="n">
        <f aca="false">IF($I$3=1,H22,F22)</f>
        <v>69685.2200933441</v>
      </c>
      <c r="J22" s="41" t="n">
        <f aca="false">IFERROR(2*断面!$D$4/D22*1000,0)</f>
        <v>73.3333333333333</v>
      </c>
      <c r="K22" s="41" t="n">
        <f aca="false">IFERROR(J22/(MAX(断面!$D$3,断面!$D$23)*1000),0)</f>
        <v>2.30555227163896</v>
      </c>
      <c r="L22" s="66" t="str">
        <f aca="false">IF(K22&gt;=6,"🟢 良",IF(K22&gt;=3,"🟡 誤差±10%程度","🔴 参考値のみ"))</f>
        <v>🔴 参考値のみ</v>
      </c>
      <c r="M22" s="26" t="s">
        <v>496</v>
      </c>
      <c r="N22" s="66" t="str">
        <f aca="false">IF(AND(I22&gt;=1250,I22&lt;=16000),"○ 帯域内","− 帯域外")</f>
        <v>− 帯域外</v>
      </c>
      <c r="O22" s="67" t="n">
        <f aca="false">IF(I22&lt;=0,1000000000,I22)</f>
        <v>69685.2200933441</v>
      </c>
      <c r="P22" s="67" t="n">
        <f aca="false">MAX($E$3,$N$3)</f>
        <v>0.01</v>
      </c>
      <c r="Q22" s="67" t="n">
        <v>1</v>
      </c>
      <c r="R22" s="67" t="str">
        <f aca="false">B22&amp;" "&amp;C22&amp;"次"</f>
        <v>面内伸縮 3次</v>
      </c>
      <c r="S22" s="5"/>
      <c r="T22" s="5"/>
      <c r="U22" s="5"/>
      <c r="V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customFormat="false" ht="15" hidden="false" customHeight="false" outlineLevel="0" collapsed="false">
      <c r="A24" s="6" t="s">
        <v>497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customFormat="false" ht="15" hidden="false" customHeight="false" outlineLevel="0" collapsed="false">
      <c r="A25" s="11" t="s">
        <v>498</v>
      </c>
      <c r="B25" s="5"/>
      <c r="C25" s="68" t="s">
        <v>499</v>
      </c>
      <c r="D25" s="5"/>
      <c r="E25" s="5"/>
      <c r="F25" s="5"/>
      <c r="G25" s="9" t="s">
        <v>500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customFormat="false" ht="15" hidden="false" customHeight="false" outlineLevel="0" collapsed="false">
      <c r="A26" s="11" t="s">
        <v>501</v>
      </c>
      <c r="B26" s="5"/>
      <c r="C26" s="68" t="s">
        <v>502</v>
      </c>
      <c r="D26" s="5"/>
      <c r="E26" s="5"/>
      <c r="F26" s="5"/>
      <c r="G26" s="9" t="s">
        <v>503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customFormat="false" ht="15" hidden="false" customHeight="false" outlineLevel="0" collapsed="false">
      <c r="A27" s="11" t="s">
        <v>504</v>
      </c>
      <c r="B27" s="5"/>
      <c r="C27" s="68" t="s">
        <v>505</v>
      </c>
      <c r="D27" s="5"/>
      <c r="E27" s="5"/>
      <c r="F27" s="5"/>
      <c r="G27" s="17" t="s">
        <v>506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customFormat="false" ht="15" hidden="false" customHeight="false" outlineLevel="0" collapsed="false">
      <c r="A28" s="11" t="s">
        <v>491</v>
      </c>
      <c r="B28" s="5"/>
      <c r="C28" s="68" t="s">
        <v>507</v>
      </c>
      <c r="D28" s="5"/>
      <c r="E28" s="5"/>
      <c r="F28" s="5"/>
      <c r="G28" s="9" t="s">
        <v>508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customFormat="false" ht="15" hidden="false" customHeight="false" outlineLevel="0" collapsed="false">
      <c r="A29" s="11" t="s">
        <v>495</v>
      </c>
      <c r="B29" s="5"/>
      <c r="C29" s="68" t="s">
        <v>509</v>
      </c>
      <c r="D29" s="5"/>
      <c r="E29" s="5"/>
      <c r="F29" s="5"/>
      <c r="G29" s="9" t="s">
        <v>510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customFormat="false" ht="15" hidden="false" customHeight="false" outlineLevel="0" collapsed="false">
      <c r="A30" s="11" t="s">
        <v>511</v>
      </c>
      <c r="B30" s="5"/>
      <c r="C30" s="68" t="s">
        <v>512</v>
      </c>
      <c r="D30" s="5"/>
      <c r="E30" s="5"/>
      <c r="F30" s="5"/>
      <c r="G30" s="17" t="s">
        <v>513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customFormat="false" ht="15" hidden="false" customHeight="false" outlineLevel="0" collapsed="false">
      <c r="A31" s="11" t="s">
        <v>514</v>
      </c>
      <c r="B31" s="5"/>
      <c r="C31" s="68" t="s">
        <v>515</v>
      </c>
      <c r="D31" s="5"/>
      <c r="E31" s="5"/>
      <c r="F31" s="5"/>
      <c r="G31" s="9" t="s">
        <v>516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customFormat="false" ht="19.4" hidden="false" customHeight="false" outlineLevel="0" collapsed="false">
      <c r="A33" s="6" t="s">
        <v>517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customFormat="false" ht="15" hidden="false" customHeight="false" outlineLevel="0" collapsed="false">
      <c r="A34" s="18" t="s">
        <v>518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customFormat="false" ht="15" hidden="false" customHeight="false" outlineLevel="0" collapsed="false">
      <c r="A35" s="18" t="s">
        <v>519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customFormat="false" ht="15" hidden="false" customHeight="false" outlineLevel="0" collapsed="false">
      <c r="A36" s="18" t="s">
        <v>520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customFormat="false" ht="15" hidden="false" customHeight="false" outlineLevel="0" collapsed="false">
      <c r="A37" s="18" t="s">
        <v>521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customFormat="false" ht="15" hidden="false" customHeight="false" outlineLevel="0" collapsed="false">
      <c r="A38" s="18" t="s">
        <v>522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customFormat="false" ht="15" hidden="false" customHeight="false" outlineLevel="0" collapsed="false">
      <c r="A40" s="6" t="s">
        <v>523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customFormat="false" ht="15" hidden="false" customHeight="false" outlineLevel="0" collapsed="false">
      <c r="A41" s="18" t="s">
        <v>524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customFormat="false" ht="15" hidden="false" customHeight="false" outlineLevel="0" collapsed="false">
      <c r="A42" s="18" t="s">
        <v>525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customFormat="false" ht="15" hidden="false" customHeight="false" outlineLevel="0" collapsed="false">
      <c r="A43" s="18" t="s">
        <v>526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customFormat="false" ht="15" hidden="false" customHeight="false" outlineLevel="0" collapsed="false">
      <c r="A44" s="18" t="s">
        <v>527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customFormat="false" ht="15" hidden="false" customHeight="false" outlineLevel="0" collapsed="false">
      <c r="A45" s="18" t="s">
        <v>528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AC20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2" min="12" style="0" width="60"/>
  </cols>
  <sheetData>
    <row r="1" customFormat="false" ht="21.6" hidden="false" customHeight="false" outlineLevel="0" collapsed="false">
      <c r="A1" s="1" t="s">
        <v>529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false" outlineLevel="0" collapsed="false">
      <c r="A2" s="4" t="s">
        <v>530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customFormat="false" ht="15" hidden="false" customHeight="false" outlineLevel="0" collapsed="false">
      <c r="A3" s="9" t="s">
        <v>531</v>
      </c>
      <c r="B3" s="5"/>
      <c r="C3" s="49" t="n">
        <v>0</v>
      </c>
      <c r="D3" s="9" t="s">
        <v>532</v>
      </c>
      <c r="E3" s="5"/>
      <c r="F3" s="69" t="n">
        <v>20</v>
      </c>
      <c r="G3" s="9" t="s">
        <v>533</v>
      </c>
      <c r="H3" s="70" t="n">
        <v>2001</v>
      </c>
      <c r="I3" s="17" t="s">
        <v>534</v>
      </c>
      <c r="J3" s="5"/>
      <c r="K3" s="69" t="n">
        <v>1</v>
      </c>
      <c r="L3" s="9" t="s">
        <v>535</v>
      </c>
      <c r="M3" s="5"/>
      <c r="N3" s="5"/>
      <c r="O3" s="5"/>
      <c r="P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customFormat="false" ht="15" hidden="false" customHeight="false" outlineLevel="0" collapsed="false">
      <c r="A5" s="33" t="s">
        <v>536</v>
      </c>
      <c r="B5" s="33" t="s">
        <v>537</v>
      </c>
      <c r="C5" s="33" t="s">
        <v>538</v>
      </c>
      <c r="D5" s="33" t="s">
        <v>539</v>
      </c>
      <c r="E5" s="33" t="s">
        <v>540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customFormat="false" ht="15" hidden="false" customHeight="false" outlineLevel="0" collapsed="false">
      <c r="A6" s="71" t="n">
        <f aca="false">$C$3</f>
        <v>0</v>
      </c>
      <c r="B6" s="71" t="n">
        <f aca="false">SUMPRODUCT(固有振動数!$Q$6:$Q$22*(1-($A6/固有振動数!$O$6:$O$22)^2)/((1-($A6/固有振動数!$O$6:$O$22)^2)^2+固有振動数!$P$6:$P$22^2))</f>
        <v>16.998300169983</v>
      </c>
      <c r="C6" s="71" t="n">
        <f aca="false">-SUMPRODUCT(固有振動数!$Q$6:$Q$22*固有振動数!$P$6:$P$22/((1-($A6/固有振動数!$O$6:$O$22)^2)^2+固有振動数!$P$6:$P$22^2))</f>
        <v>-0.16998300169983</v>
      </c>
      <c r="D6" s="71" t="n">
        <f aca="false">SQRT(B6^2+C6^2)</f>
        <v>16.9991500637447</v>
      </c>
      <c r="E6" s="72" t="n">
        <f aca="false">20*LOG10(MAX(D6,0.000000000001)/$K$3)</f>
        <v>24.6085441547969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customFormat="false" ht="15" hidden="false" customHeight="false" outlineLevel="0" collapsed="false">
      <c r="A7" s="71" t="n">
        <f aca="false">A6+$F$3</f>
        <v>20</v>
      </c>
      <c r="B7" s="71" t="n">
        <f aca="false">SUMPRODUCT(固有振動数!$Q$6:$Q$22*(1-($A7/固有振動数!$O$6:$O$22)^2)/((1-($A7/固有振動数!$O$6:$O$22)^2)^2+固有振動数!$P$6:$P$22^2))</f>
        <v>16.9984383409991</v>
      </c>
      <c r="C7" s="71" t="n">
        <f aca="false">-SUMPRODUCT(固有振動数!$Q$6:$Q$22*固有振動数!$P$6:$P$22/((1-($A7/固有振動数!$O$6:$O$22)^2)^2+固有振動数!$P$6:$P$22^2))</f>
        <v>-0.16998576547774</v>
      </c>
      <c r="D7" s="71" t="n">
        <f aca="false">SQRT(B7^2+C7^2)</f>
        <v>16.9992882554892</v>
      </c>
      <c r="E7" s="72" t="n">
        <f aca="false">20*LOG10(MAX(D7,0.000000000001)/$K$3)</f>
        <v>24.6086147649955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71" t="n">
        <f aca="false">A7+$F$3</f>
        <v>40</v>
      </c>
      <c r="B8" s="71" t="n">
        <f aca="false">SUMPRODUCT(固有振動数!$Q$6:$Q$22*(1-($A8/固有振動数!$O$6:$O$22)^2)/((1-($A8/固有振動数!$O$6:$O$22)^2)^2+固有振動数!$P$6:$P$22^2))</f>
        <v>16.9988529514737</v>
      </c>
      <c r="C8" s="71" t="n">
        <f aca="false">-SUMPRODUCT(固有振動数!$Q$6:$Q$22*固有振動数!$P$6:$P$22/((1-($A8/固有振動数!$O$6:$O$22)^2)^2+固有振動数!$P$6:$P$22^2))</f>
        <v>-0.169994059735426</v>
      </c>
      <c r="D8" s="71" t="n">
        <f aca="false">SQRT(B8^2+C8^2)</f>
        <v>16.9997029281741</v>
      </c>
      <c r="E8" s="72" t="n">
        <f aca="false">20*LOG10(MAX(D8,0.000000000001)/$K$3)</f>
        <v>24.6088266419396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customFormat="false" ht="15" hidden="false" customHeight="false" outlineLevel="0" collapsed="false">
      <c r="A9" s="71" t="n">
        <f aca="false">A8+$F$3</f>
        <v>60</v>
      </c>
      <c r="B9" s="71" t="n">
        <f aca="false">SUMPRODUCT(固有振動数!$Q$6:$Q$22*(1-($A9/固有振動数!$O$6:$O$22)^2)/((1-($A9/固有振動数!$O$6:$O$22)^2)^2+固有振動数!$P$6:$P$22^2))</f>
        <v>16.9995442939204</v>
      </c>
      <c r="C9" s="71" t="n">
        <f aca="false">-SUMPRODUCT(固有振動数!$Q$6:$Q$22*固有振動数!$P$6:$P$22/((1-($A9/固有振動数!$O$6:$O$22)^2)^2+固有振動数!$P$6:$P$22^2))</f>
        <v>-0.170007893254183</v>
      </c>
      <c r="D9" s="71" t="n">
        <f aca="false">SQRT(B9^2+C9^2)</f>
        <v>17.0003943743882</v>
      </c>
      <c r="E9" s="72" t="n">
        <f aca="false">20*LOG10(MAX(D9,0.000000000001)/$K$3)</f>
        <v>24.6091799247819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customFormat="false" ht="15" hidden="false" customHeight="false" outlineLevel="0" collapsed="false">
      <c r="A10" s="71" t="n">
        <f aca="false">A9+$F$3</f>
        <v>80</v>
      </c>
      <c r="B10" s="71" t="n">
        <f aca="false">SUMPRODUCT(固有振動数!$Q$6:$Q$22*(1-($A10/固有振動数!$O$6:$O$22)^2)/((1-($A10/固有振動数!$O$6:$O$22)^2)^2+固有振動数!$P$6:$P$22^2))</f>
        <v>17.0005128566489</v>
      </c>
      <c r="C10" s="71" t="n">
        <f aca="false">-SUMPRODUCT(固有振動数!$Q$6:$Q$22*固有振動数!$P$6:$P$22/((1-($A10/固有振動数!$O$6:$O$22)^2)^2+固有振動数!$P$6:$P$22^2))</f>
        <v>-0.170027280700996</v>
      </c>
      <c r="D10" s="71" t="n">
        <f aca="false">SQRT(B10^2+C10^2)</f>
        <v>17.0013630825668</v>
      </c>
      <c r="E10" s="72" t="n">
        <f aca="false">20*LOG10(MAX(D10,0.000000000001)/$K$3)</f>
        <v>24.6096748458073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customFormat="false" ht="15" hidden="false" customHeight="false" outlineLevel="0" collapsed="false">
      <c r="A11" s="71" t="n">
        <f aca="false">A10+$F$3</f>
        <v>100</v>
      </c>
      <c r="B11" s="71" t="n">
        <f aca="false">SUMPRODUCT(固有振動数!$Q$6:$Q$22*(1-($A11/固有振動数!$O$6:$O$22)^2)/((1-($A11/固有振動数!$O$6:$O$22)^2)^2+固有振動数!$P$6:$P$22^2))</f>
        <v>17.0017593249473</v>
      </c>
      <c r="C11" s="71" t="n">
        <f aca="false">-SUMPRODUCT(固有振動数!$Q$6:$Q$22*固有振動数!$P$6:$P$22/((1-($A11/固有振動数!$O$6:$O$22)^2)^2+固有振動数!$P$6:$P$22^2))</f>
        <v>-0.170052242675964</v>
      </c>
      <c r="D11" s="71" t="n">
        <f aca="false">SQRT(B11^2+C11^2)</f>
        <v>17.0026097381747</v>
      </c>
      <c r="E11" s="72" t="n">
        <f aca="false">20*LOG10(MAX(D11,0.000000000001)/$K$3)</f>
        <v>24.6103117309789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71" t="n">
        <f aca="false">A11+$F$3</f>
        <v>120</v>
      </c>
      <c r="B12" s="71" t="n">
        <f aca="false">SUMPRODUCT(固有振動数!$Q$6:$Q$22*(1-($A12/固有振動数!$O$6:$O$22)^2)/((1-($A12/固有振動数!$O$6:$O$22)^2)^2+固有振動数!$P$6:$P$22^2))</f>
        <v>17.0032845827478</v>
      </c>
      <c r="C12" s="71" t="n">
        <f aca="false">-SUMPRODUCT(固有振動数!$Q$6:$Q$22*固有振動数!$P$6:$P$22/((1-($A12/固有振動数!$O$6:$O$22)^2)^2+固有振動数!$P$6:$P$22^2))</f>
        <v>-0.1700828057791</v>
      </c>
      <c r="D12" s="71" t="n">
        <f aca="false">SQRT(B12^2+C12^2)</f>
        <v>17.0041352253718</v>
      </c>
      <c r="E12" s="72" t="n">
        <f aca="false">20*LOG10(MAX(D12,0.000000000001)/$K$3)</f>
        <v>24.6110910007068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customFormat="false" ht="15" hidden="false" customHeight="false" outlineLevel="0" collapsed="false">
      <c r="A13" s="71" t="n">
        <f aca="false">A12+$F$3</f>
        <v>140</v>
      </c>
      <c r="B13" s="71" t="n">
        <f aca="false">SUMPRODUCT(固有振動数!$Q$6:$Q$22*(1-($A13/固有振動数!$O$6:$O$22)^2)/((1-($A13/固有振動数!$O$6:$O$22)^2)^2+固有振動数!$P$6:$P$22^2))</f>
        <v>17.0050897147797</v>
      </c>
      <c r="C13" s="71" t="n">
        <f aca="false">-SUMPRODUCT(固有振動数!$Q$6:$Q$22*固有振動数!$P$6:$P$22/((1-($A13/固有振動数!$O$6:$O$22)^2)^2+固有振動数!$P$6:$P$22^2))</f>
        <v>-0.170119002696901</v>
      </c>
      <c r="D13" s="71" t="n">
        <f aca="false">SQRT(B13^2+C13^2)</f>
        <v>17.0059406291679</v>
      </c>
      <c r="E13" s="72" t="n">
        <f aca="false">20*LOG10(MAX(D13,0.000000000001)/$K$3)</f>
        <v>24.6120131708429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A14" s="71" t="n">
        <f aca="false">A13+$F$3</f>
        <v>160</v>
      </c>
      <c r="B14" s="71" t="n">
        <f aca="false">SUMPRODUCT(固有振動数!$Q$6:$Q$22*(1-($A14/固有振動数!$O$6:$O$22)^2)/((1-($A14/固有振動数!$O$6:$O$22)^2)^2+固有振動数!$P$6:$P$22^2))</f>
        <v>17.0071760092235</v>
      </c>
      <c r="C14" s="71" t="n">
        <f aca="false">-SUMPRODUCT(固有振動数!$Q$6:$Q$22*固有振動数!$P$6:$P$22/((1-($A14/固有振動数!$O$6:$O$22)^2)^2+固有振動数!$P$6:$P$22^2))</f>
        <v>-0.170160872309201</v>
      </c>
      <c r="D14" s="71" t="n">
        <f aca="false">SQRT(B14^2+C14^2)</f>
        <v>17.0080272380771</v>
      </c>
      <c r="E14" s="72" t="n">
        <f aca="false">20*LOG10(MAX(D14,0.000000000001)/$K$3)</f>
        <v>24.6130788539056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customFormat="false" ht="15" hidden="false" customHeight="false" outlineLevel="0" collapsed="false">
      <c r="A15" s="71" t="n">
        <f aca="false">A14+$F$3</f>
        <v>180</v>
      </c>
      <c r="B15" s="71" t="n">
        <f aca="false">SUMPRODUCT(固有振動数!$Q$6:$Q$22*(1-($A15/固有振動数!$O$6:$O$22)^2)/((1-($A15/固有振動数!$O$6:$O$22)^2)^2+固有振動数!$P$6:$P$22^2))</f>
        <v>17.0095449608765</v>
      </c>
      <c r="C15" s="71" t="n">
        <f aca="false">-SUMPRODUCT(固有振動数!$Q$6:$Q$22*固有振動数!$P$6:$P$22/((1-($A15/固有振動数!$O$6:$O$22)^2)^2+固有振動数!$P$6:$P$22^2))</f>
        <v>-0.170208459816965</v>
      </c>
      <c r="D15" s="71" t="n">
        <f aca="false">SQRT(B15^2+C15^2)</f>
        <v>17.0103965472846</v>
      </c>
      <c r="E15" s="72" t="n">
        <f aca="false">20*LOG10(MAX(D15,0.000000000001)/$K$3)</f>
        <v>24.6142887605408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customFormat="false" ht="15" hidden="false" customHeight="false" outlineLevel="0" collapsed="false">
      <c r="A16" s="71" t="n">
        <f aca="false">A15+$F$3</f>
        <v>200</v>
      </c>
      <c r="B16" s="71" t="n">
        <f aca="false">SUMPRODUCT(固有振動数!$Q$6:$Q$22*(1-($A16/固有振動数!$O$6:$O$22)^2)/((1-($A16/固有振動数!$O$6:$O$22)^2)^2+固有振動数!$P$6:$P$22^2))</f>
        <v>17.0121982748467</v>
      </c>
      <c r="C16" s="71" t="n">
        <f aca="false">-SUMPRODUCT(固有振動数!$Q$6:$Q$22*固有振動数!$P$6:$P$22/((1-($A16/固有振動数!$O$6:$O$22)^2)^2+固有振動数!$P$6:$P$22^2))</f>
        <v>-0.1702618168918</v>
      </c>
      <c r="D16" s="71" t="n">
        <f aca="false">SQRT(B16^2+C16^2)</f>
        <v>17.0130502623423</v>
      </c>
      <c r="E16" s="72" t="n">
        <f aca="false">20*LOG10(MAX(D16,0.000000000001)/$K$3)</f>
        <v>24.6156437012261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customFormat="false" ht="15" hidden="false" customHeight="false" outlineLevel="0" collapsed="false">
      <c r="A17" s="71" t="n">
        <f aca="false">A16+$F$3</f>
        <v>220</v>
      </c>
      <c r="B17" s="71" t="n">
        <f aca="false">SUMPRODUCT(固有振動数!$Q$6:$Q$22*(1-($A17/固有振動数!$O$6:$O$22)^2)/((1-($A17/固有振動数!$O$6:$O$22)^2)^2+固有振動数!$P$6:$P$22^2))</f>
        <v>17.0151378707921</v>
      </c>
      <c r="C17" s="71" t="n">
        <f aca="false">-SUMPRODUCT(固有振動数!$Q$6:$Q$22*固有振動数!$P$6:$P$22/((1-($A17/固有振動数!$O$6:$O$22)^2)^2+固有振動数!$P$6:$P$22^2))</f>
        <v>-0.170321001848102</v>
      </c>
      <c r="D17" s="71" t="n">
        <f aca="false">SQRT(B17^2+C17^2)</f>
        <v>17.0159903034097</v>
      </c>
      <c r="E17" s="72" t="n">
        <f aca="false">20*LOG10(MAX(D17,0.000000000001)/$K$3)</f>
        <v>24.6171445882262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5" hidden="false" customHeight="false" outlineLevel="0" collapsed="false">
      <c r="A18" s="71" t="n">
        <f aca="false">A17+$F$3</f>
        <v>240</v>
      </c>
      <c r="B18" s="71" t="n">
        <f aca="false">SUMPRODUCT(固有振動数!$Q$6:$Q$22*(1-($A18/固有振動数!$O$6:$O$22)^2)/((1-($A18/固有振動数!$O$6:$O$22)^2)^2+固有振動数!$P$6:$P$22^2))</f>
        <v>17.0183658877274</v>
      </c>
      <c r="C18" s="71" t="n">
        <f aca="false">-SUMPRODUCT(固有振動数!$Q$6:$Q$22*固有振動数!$P$6:$P$22/((1-($A18/固有振動数!$O$6:$O$22)^2)^2+固有振動数!$P$6:$P$22^2))</f>
        <v>-0.170386079838892</v>
      </c>
      <c r="D18" s="71" t="n">
        <f aca="false">SQRT(B18^2+C18^2)</f>
        <v>17.019218810062</v>
      </c>
      <c r="E18" s="72" t="n">
        <f aca="false">20*LOG10(MAX(D18,0.000000000001)/$K$3)</f>
        <v>24.6187924378086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customFormat="false" ht="15" hidden="false" customHeight="false" outlineLevel="0" collapsed="false">
      <c r="A19" s="71" t="n">
        <f aca="false">A18+$F$3</f>
        <v>260</v>
      </c>
      <c r="B19" s="71" t="n">
        <f aca="false">SUMPRODUCT(固有振動数!$Q$6:$Q$22*(1-($A19/固有振動数!$O$6:$O$22)^2)/((1-($A19/固有振動数!$O$6:$O$22)^2)^2+固有振動数!$P$6:$P$22^2))</f>
        <v>17.0218846894214</v>
      </c>
      <c r="C19" s="71" t="n">
        <f aca="false">-SUMPRODUCT(固有振動数!$Q$6:$Q$22*固有振動数!$P$6:$P$22/((1-($A19/固有振動数!$O$6:$O$22)^2)^2+固有振動数!$P$6:$P$22^2))</f>
        <v>-0.170457123076598</v>
      </c>
      <c r="D19" s="71" t="n">
        <f aca="false">SQRT(B19^2+C19^2)</f>
        <v>17.0227381466897</v>
      </c>
      <c r="E19" s="72" t="n">
        <f aca="false">20*LOG10(MAX(D19,0.000000000001)/$K$3)</f>
        <v>24.6205883727306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customFormat="false" ht="15" hidden="false" customHeight="false" outlineLevel="0" collapsed="false">
      <c r="A20" s="71" t="n">
        <f aca="false">A19+$F$3</f>
        <v>280</v>
      </c>
      <c r="B20" s="71" t="n">
        <f aca="false">SUMPRODUCT(固有振動数!$Q$6:$Q$22*(1-($A20/固有振動数!$O$6:$O$22)^2)/((1-($A20/固有振動数!$O$6:$O$22)^2)^2+固有振動数!$P$6:$P$22^2))</f>
        <v>17.025696870411</v>
      </c>
      <c r="C20" s="71" t="n">
        <f aca="false">-SUMPRODUCT(固有振動数!$Q$6:$Q$22*固有振動数!$P$6:$P$22/((1-($A20/固有振動数!$O$6:$O$22)^2)^2+固有振動数!$P$6:$P$22^2))</f>
        <v>-0.170534211080136</v>
      </c>
      <c r="D20" s="71" t="n">
        <f aca="false">SQRT(B20^2+C20^2)</f>
        <v>17.0265509085156</v>
      </c>
      <c r="E20" s="72" t="n">
        <f aca="false">20*LOG10(MAX(D20,0.000000000001)/$K$3)</f>
        <v>24.6225336250101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customFormat="false" ht="15" hidden="false" customHeight="false" outlineLevel="0" collapsed="false">
      <c r="A21" s="71" t="n">
        <f aca="false">A20+$F$3</f>
        <v>300</v>
      </c>
      <c r="B21" s="71" t="n">
        <f aca="false">SUMPRODUCT(固有振動数!$Q$6:$Q$22*(1-($A21/固有振動数!$O$6:$O$22)^2)/((1-($A21/固有振動数!$O$6:$O$22)^2)^2+固有振動数!$P$6:$P$22^2))</f>
        <v>17.029805262666</v>
      </c>
      <c r="C21" s="71" t="n">
        <f aca="false">-SUMPRODUCT(固有振動数!$Q$6:$Q$22*固有振動数!$P$6:$P$22/((1-($A21/固有振動数!$O$6:$O$22)^2)^2+固有振動数!$P$6:$P$22^2))</f>
        <v>-0.170617430949911</v>
      </c>
      <c r="D21" s="71" t="n">
        <f aca="false">SQRT(B21^2+C21^2)</f>
        <v>17.0306599282608</v>
      </c>
      <c r="E21" s="72" t="n">
        <f aca="false">20*LOG10(MAX(D21,0.000000000001)/$K$3)</f>
        <v>24.6246295389927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customFormat="false" ht="15" hidden="false" customHeight="false" outlineLevel="0" collapsed="false">
      <c r="A22" s="71" t="n">
        <f aca="false">A21+$F$3</f>
        <v>320</v>
      </c>
      <c r="B22" s="71" t="n">
        <f aca="false">SUMPRODUCT(固有振動数!$Q$6:$Q$22*(1-($A22/固有振動数!$O$6:$O$22)^2)/((1-($A22/固有振動数!$O$6:$O$22)^2)^2+固有振動数!$P$6:$P$22^2))</f>
        <v>17.0342129429336</v>
      </c>
      <c r="C22" s="71" t="n">
        <f aca="false">-SUMPRODUCT(固有振動数!$Q$6:$Q$22*固有振動数!$P$6:$P$22/((1-($A22/固有振動数!$O$6:$O$22)^2)^2+固有振動数!$P$6:$P$22^2))</f>
        <v>-0.170706877672491</v>
      </c>
      <c r="D22" s="71" t="n">
        <f aca="false">SQRT(B22^2+C22^2)</f>
        <v>17.0350682834937</v>
      </c>
      <c r="E22" s="72" t="n">
        <f aca="false">20*LOG10(MAX(D22,0.000000000001)/$K$3)</f>
        <v>24.626877574732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customFormat="false" ht="15" hidden="false" customHeight="false" outlineLevel="0" collapsed="false">
      <c r="A23" s="71" t="n">
        <f aca="false">A22+$F$3</f>
        <v>340</v>
      </c>
      <c r="B23" s="71" t="n">
        <f aca="false">SUMPRODUCT(固有振動数!$Q$6:$Q$22*(1-($A23/固有振動数!$O$6:$O$22)^2)/((1-($A23/固有振動数!$O$6:$O$22)^2)^2+固有振動数!$P$6:$P$22^2))</f>
        <v>17.0389232408065</v>
      </c>
      <c r="C23" s="71" t="n">
        <f aca="false">-SUMPRODUCT(固有振動数!$Q$6:$Q$22*固有振動数!$P$6:$P$22/((1-($A23/固有振動数!$O$6:$O$22)^2)^2+固有振動数!$P$6:$P$22^2))</f>
        <v>-0.170802654456964</v>
      </c>
      <c r="D23" s="71" t="n">
        <f aca="false">SQRT(B23^2+C23^2)</f>
        <v>17.0397793046995</v>
      </c>
      <c r="E23" s="72" t="n">
        <f aca="false">20*LOG10(MAX(D23,0.000000000001)/$K$3)</f>
        <v>24.6292793116983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customFormat="false" ht="15" hidden="false" customHeight="false" outlineLevel="0" collapsed="false">
      <c r="A24" s="71" t="n">
        <f aca="false">A23+$F$3</f>
        <v>360</v>
      </c>
      <c r="B24" s="71" t="n">
        <f aca="false">SUMPRODUCT(固有振動数!$Q$6:$Q$22*(1-($A24/固有振動数!$O$6:$O$22)^2)/((1-($A24/固有振動数!$O$6:$O$22)^2)^2+固有振動数!$P$6:$P$22^2))</f>
        <v>17.043939747552</v>
      </c>
      <c r="C24" s="71" t="n">
        <f aca="false">-SUMPRODUCT(固有振動数!$Q$6:$Q$22*固有振動数!$P$6:$P$22/((1-($A24/固有振動数!$O$6:$O$22)^2)^2+固有振動数!$P$6:$P$22^2))</f>
        <v>-0.17090487310522</v>
      </c>
      <c r="D24" s="71" t="n">
        <f aca="false">SQRT(B24^2+C24^2)</f>
        <v>17.0447965841143</v>
      </c>
      <c r="E24" s="72" t="n">
        <f aca="false">20*LOG10(MAX(D24,0.000000000001)/$K$3)</f>
        <v>24.6318364528367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customFormat="false" ht="15" hidden="false" customHeight="false" outlineLevel="0" collapsed="false">
      <c r="A25" s="71" t="n">
        <f aca="false">A24+$F$3</f>
        <v>380</v>
      </c>
      <c r="B25" s="71" t="n">
        <f aca="false">SUMPRODUCT(固有振動数!$Q$6:$Q$22*(1-($A25/固有振動数!$O$6:$O$22)^2)/((1-($A25/固有振動数!$O$6:$O$22)^2)^2+固有振動数!$P$6:$P$22^2))</f>
        <v>17.0492663257529</v>
      </c>
      <c r="C25" s="71" t="n">
        <f aca="false">-SUMPRODUCT(固有振動数!$Q$6:$Q$22*固有振動数!$P$6:$P$22/((1-($A25/固有振動数!$O$6:$O$22)^2)^2+固有振動数!$P$6:$P$22^2))</f>
        <v>-0.171013654418654</v>
      </c>
      <c r="D25" s="71" t="n">
        <f aca="false">SQRT(B25^2+C25^2)</f>
        <v>17.0501239853688</v>
      </c>
      <c r="E25" s="72" t="n">
        <f aca="false">20*LOG10(MAX(D25,0.000000000001)/$K$3)</f>
        <v>24.6345508289935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customFormat="false" ht="15" hidden="false" customHeight="false" outlineLevel="0" collapsed="false">
      <c r="A26" s="71" t="n">
        <f aca="false">A25+$F$3</f>
        <v>400</v>
      </c>
      <c r="B26" s="71" t="n">
        <f aca="false">SUMPRODUCT(固有振動数!$Q$6:$Q$22*(1-($A26/固有振動数!$O$6:$O$22)^2)/((1-($A26/固有振動数!$O$6:$O$22)^2)^2+固有振動数!$P$6:$P$22^2))</f>
        <v>17.0549071198105</v>
      </c>
      <c r="C26" s="71" t="n">
        <f aca="false">-SUMPRODUCT(固有振動数!$Q$6:$Q$22*固有振動数!$P$6:$P$22/((1-($A26/固有振動数!$O$6:$O$22)^2)^2+固有振動数!$P$6:$P$22^2))</f>
        <v>-0.171129128644085</v>
      </c>
      <c r="D26" s="71" t="n">
        <f aca="false">SQRT(B26^2+C26^2)</f>
        <v>17.0557656539961</v>
      </c>
      <c r="E26" s="72" t="n">
        <f aca="false">20*LOG10(MAX(D26,0.000000000001)/$K$3)</f>
        <v>24.6374244037359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customFormat="false" ht="15" hidden="false" customHeight="false" outlineLevel="0" collapsed="false">
      <c r="A27" s="71" t="n">
        <f aca="false">A26+$F$3</f>
        <v>420</v>
      </c>
      <c r="B27" s="71" t="n">
        <f aca="false">SUMPRODUCT(固有振動数!$Q$6:$Q$22*(1-($A27/固有振動数!$O$6:$O$22)^2)/((1-($A27/固有振動数!$O$6:$O$22)^2)^2+固有振動数!$P$6:$P$22^2))</f>
        <v>17.0608665673683</v>
      </c>
      <c r="C27" s="71" t="n">
        <f aca="false">-SUMPRODUCT(固有振動数!$Q$6:$Q$22*固有振動数!$P$6:$P$22/((1-($A27/固有振動数!$O$6:$O$22)^2)^2+固有振動数!$P$6:$P$22^2))</f>
        <v>-0.171251435962011</v>
      </c>
      <c r="D27" s="71" t="n">
        <f aca="false">SQRT(B27^2+C27^2)</f>
        <v>17.0617260288595</v>
      </c>
      <c r="E27" s="72" t="n">
        <f aca="false">20*LOG10(MAX(D27,0.000000000001)/$K$3)</f>
        <v>24.6404592785897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customFormat="false" ht="15" hidden="false" customHeight="false" outlineLevel="0" collapsed="false">
      <c r="A28" s="71" t="n">
        <f aca="false">A27+$F$3</f>
        <v>440</v>
      </c>
      <c r="B28" s="71" t="n">
        <f aca="false">SUMPRODUCT(固有振動数!$Q$6:$Q$22*(1-($A28/固有振動数!$O$6:$O$22)^2)/((1-($A28/固有振動数!$O$6:$O$22)^2)^2+固有振動数!$P$6:$P$22^2))</f>
        <v>17.0671494117198</v>
      </c>
      <c r="C28" s="71" t="n">
        <f aca="false">-SUMPRODUCT(固有振動数!$Q$6:$Q$22*固有振動数!$P$6:$P$22/((1-($A28/固有振動数!$O$6:$O$22)^2)^2+固有振動数!$P$6:$P$22^2))</f>
        <v>-0.171380727020657</v>
      </c>
      <c r="D28" s="71" t="n">
        <f aca="false">SQRT(B28^2+C28^2)</f>
        <v>17.068009854566</v>
      </c>
      <c r="E28" s="72" t="n">
        <f aca="false">20*LOG10(MAX(D28,0.000000000001)/$K$3)</f>
        <v>24.6436576987237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customFormat="false" ht="15" hidden="false" customHeight="false" outlineLevel="0" collapsed="false">
      <c r="A29" s="71" t="n">
        <f aca="false">A28+$F$3</f>
        <v>460</v>
      </c>
      <c r="B29" s="71" t="n">
        <f aca="false">SUMPRODUCT(固有振動数!$Q$6:$Q$22*(1-($A29/固有振動数!$O$6:$O$22)^2)/((1-($A29/固有振動数!$O$6:$O$22)^2)^2+固有振動数!$P$6:$P$22^2))</f>
        <v>17.0737607152714</v>
      </c>
      <c r="C29" s="71" t="n">
        <f aca="false">-SUMPRODUCT(固有振動数!$Q$6:$Q$22*固有振動数!$P$6:$P$22/((1-($A29/固有振動数!$O$6:$O$22)^2)^2+固有振動数!$P$6:$P$22^2))</f>
        <v>-0.171517163519692</v>
      </c>
      <c r="D29" s="71" t="n">
        <f aca="false">SQRT(B29^2+C29^2)</f>
        <v>17.0746221949338</v>
      </c>
      <c r="E29" s="72" t="n">
        <f aca="false">20*LOG10(MAX(D29,0.000000000001)/$K$3)</f>
        <v>24.6470220591116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customFormat="false" ht="15" hidden="false" customHeight="false" outlineLevel="0" collapsed="false">
      <c r="A30" s="71" t="n">
        <f aca="false">A29+$F$3</f>
        <v>480</v>
      </c>
      <c r="B30" s="71" t="n">
        <f aca="false">SUMPRODUCT(固有振動数!$Q$6:$Q$22*(1-($A30/固有振動数!$O$6:$O$22)^2)/((1-($A30/固有振動数!$O$6:$O$22)^2)^2+固有振動数!$P$6:$P$22^2))</f>
        <v>17.080705874138</v>
      </c>
      <c r="C30" s="71" t="n">
        <f aca="false">-SUMPRODUCT(固有振動数!$Q$6:$Q$22*固有振動数!$P$6:$P$22/((1-($A30/固有振動数!$O$6:$O$22)^2)^2+固有振動数!$P$6:$P$22^2))</f>
        <v>-0.171660918847915</v>
      </c>
      <c r="D30" s="71" t="n">
        <f aca="false">SQRT(B30^2+C30^2)</f>
        <v>17.0815684475949</v>
      </c>
      <c r="E30" s="72" t="n">
        <f aca="false">20*LOG10(MAX(D30,0.000000000001)/$K$3)</f>
        <v>24.6505549112071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customFormat="false" ht="15" hidden="false" customHeight="false" outlineLevel="0" collapsed="false">
      <c r="A31" s="71" t="n">
        <f aca="false">A30+$F$3</f>
        <v>500</v>
      </c>
      <c r="B31" s="71" t="n">
        <f aca="false">SUMPRODUCT(固有振動数!$Q$6:$Q$22*(1-($A31/固有振動数!$O$6:$O$22)^2)/((1-($A31/固有振動数!$O$6:$O$22)^2)^2+固有振動数!$P$6:$P$22^2))</f>
        <v>17.0879906339572</v>
      </c>
      <c r="C31" s="71" t="n">
        <f aca="false">-SUMPRODUCT(固有振動数!$Q$6:$Q$22*固有振動数!$P$6:$P$22/((1-($A31/固有振動数!$O$6:$O$22)^2)^2+固有振動数!$P$6:$P$22^2))</f>
        <v>-0.171812178779701</v>
      </c>
      <c r="D31" s="71" t="n">
        <f aca="false">SQRT(B31^2+C31^2)</f>
        <v>17.0888543598156</v>
      </c>
      <c r="E31" s="72" t="n">
        <f aca="false">20*LOG10(MAX(D31,0.000000000001)/$K$3)</f>
        <v>24.6542589701693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customFormat="false" ht="15" hidden="false" customHeight="false" outlineLevel="0" collapsed="false">
      <c r="A32" s="71" t="n">
        <f aca="false">A31+$F$3</f>
        <v>520</v>
      </c>
      <c r="B32" s="71" t="n">
        <f aca="false">SUMPRODUCT(固有振動数!$Q$6:$Q$22*(1-($A32/固有振動数!$O$6:$O$22)^2)/((1-($A32/固有振動数!$O$6:$O$22)^2)^2+固有振動数!$P$6:$P$22^2))</f>
        <v>17.0956211070183</v>
      </c>
      <c r="C32" s="71" t="n">
        <f aca="false">-SUMPRODUCT(固有振動数!$Q$6:$Q$22*固有振動数!$P$6:$P$22/((1-($A32/固有振動数!$O$6:$O$22)^2)^2+固有振動数!$P$6:$P$22^2))</f>
        <v>-0.171971142235556</v>
      </c>
      <c r="D32" s="71" t="n">
        <f aca="false">SQRT(B32^2+C32^2)</f>
        <v>17.096486045632</v>
      </c>
      <c r="E32" s="72" t="n">
        <f aca="false">20*LOG10(MAX(D32,0.000000000001)/$K$3)</f>
        <v>24.6581371226796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customFormat="false" ht="15" hidden="false" customHeight="false" outlineLevel="0" collapsed="false">
      <c r="A33" s="71" t="n">
        <f aca="false">A32+$F$3</f>
        <v>540</v>
      </c>
      <c r="B33" s="71" t="n">
        <f aca="false">SUMPRODUCT(固有振動数!$Q$6:$Q$22*(1-($A33/固有振動数!$O$6:$O$22)^2)/((1-($A33/固有振動数!$O$6:$O$22)^2)^2+固有振動数!$P$6:$P$22^2))</f>
        <v>17.1036037908085</v>
      </c>
      <c r="C33" s="71" t="n">
        <f aca="false">-SUMPRODUCT(固有振動数!$Q$6:$Q$22*固有振動数!$P$6:$P$22/((1-($A33/固有振動数!$O$6:$O$22)^2)^2+固有振動数!$P$6:$P$22^2))</f>
        <v>-0.172138022112742</v>
      </c>
      <c r="D33" s="71" t="n">
        <f aca="false">SQRT(B33^2+C33^2)</f>
        <v>17.1044700044057</v>
      </c>
      <c r="E33" s="72" t="n">
        <f aca="false">20*LOG10(MAX(D33,0.000000000001)/$K$3)</f>
        <v>24.6621924353991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customFormat="false" ht="15" hidden="false" customHeight="false" outlineLevel="0" collapsed="false">
      <c r="A34" s="71" t="n">
        <f aca="false">A33+$F$3</f>
        <v>560</v>
      </c>
      <c r="B34" s="71" t="n">
        <f aca="false">SUMPRODUCT(固有振動数!$Q$6:$Q$22*(1-($A34/固有振動数!$O$6:$O$22)^2)/((1-($A34/固有振動数!$O$6:$O$22)^2)^2+固有振動数!$P$6:$P$22^2))</f>
        <v>17.1119455880955</v>
      </c>
      <c r="C34" s="71" t="n">
        <f aca="false">-SUMPRODUCT(固有振動数!$Q$6:$Q$22*固有振動数!$P$6:$P$22/((1-($A34/固有振動数!$O$6:$O$22)^2)^2+固有振動数!$P$6:$P$22^2))</f>
        <v>-0.172313046192612</v>
      </c>
      <c r="D34" s="71" t="n">
        <f aca="false">SQRT(B34^2+C34^2)</f>
        <v>17.1128131409137</v>
      </c>
      <c r="E34" s="72" t="n">
        <f aca="false">20*LOG10(MAX(D34,0.000000000001)/$K$3)</f>
        <v>24.6664281641138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customFormat="false" ht="15" hidden="false" customHeight="false" outlineLevel="0" collapsed="false">
      <c r="A35" s="71" t="n">
        <f aca="false">A34+$F$3</f>
        <v>580</v>
      </c>
      <c r="B35" s="71" t="n">
        <f aca="false">SUMPRODUCT(固有振動数!$Q$6:$Q$22*(1-($A35/固有振動数!$O$6:$O$22)^2)/((1-($A35/固有振動数!$O$6:$O$22)^2)^2+固有振動数!$P$6:$P$22^2))</f>
        <v>17.1206538286714</v>
      </c>
      <c r="C35" s="71" t="n">
        <f aca="false">-SUMPRODUCT(固有振動数!$Q$6:$Q$22*固有振動数!$P$6:$P$22/((1-($A35/固有振動数!$O$6:$O$22)^2)^2+固有振動数!$P$6:$P$22^2))</f>
        <v>-0.172496458132089</v>
      </c>
      <c r="D35" s="71" t="n">
        <f aca="false">SQRT(B35^2+C35^2)</f>
        <v>17.1215227871025</v>
      </c>
      <c r="E35" s="72" t="n">
        <f aca="false">20*LOG10(MAX(D35,0.000000000001)/$K$3)</f>
        <v>24.6708477636278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customFormat="false" ht="15" hidden="false" customHeight="false" outlineLevel="0" collapsed="false">
      <c r="A36" s="71" t="n">
        <f aca="false">A35+$F$3</f>
        <v>600</v>
      </c>
      <c r="B36" s="71" t="n">
        <f aca="false">SUMPRODUCT(固有振動数!$Q$6:$Q$22*(1-($A36/固有振動数!$O$6:$O$22)^2)/((1-($A36/固有振動数!$O$6:$O$22)^2)^2+固有振動数!$P$6:$P$22^2))</f>
        <v>17.1297362929029</v>
      </c>
      <c r="C36" s="71" t="n">
        <f aca="false">-SUMPRODUCT(固有振動数!$Q$6:$Q$22*固有振動数!$P$6:$P$22/((1-($A36/固有振動数!$O$6:$O$22)^2)^2+固有振動数!$P$6:$P$22^2))</f>
        <v>-0.172688518547582</v>
      </c>
      <c r="D36" s="71" t="n">
        <f aca="false">SQRT(B36^2+C36^2)</f>
        <v>17.1306067256485</v>
      </c>
      <c r="E36" s="72" t="n">
        <f aca="false">20*LOG10(MAX(D36,0.000000000001)/$K$3)</f>
        <v>24.6754548984636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customFormat="false" ht="15" hidden="false" customHeight="false" outlineLevel="0" collapsed="false">
      <c r="A37" s="71" t="n">
        <f aca="false">A36+$F$3</f>
        <v>620</v>
      </c>
      <c r="B37" s="71" t="n">
        <f aca="false">SUMPRODUCT(固有振動数!$Q$6:$Q$22*(1-($A37/固有振動数!$O$6:$O$22)^2)/((1-($A37/固有振動数!$O$6:$O$22)^2)^2+固有振動数!$P$6:$P$22^2))</f>
        <v>17.1392012372413</v>
      </c>
      <c r="C37" s="71" t="n">
        <f aca="false">-SUMPRODUCT(固有振動数!$Q$6:$Q$22*固有振動数!$P$6:$P$22/((1-($A37/固有振動数!$O$6:$O$22)^2)^2+固有振動数!$P$6:$P$22^2))</f>
        <v>-0.17288950620063</v>
      </c>
      <c r="D37" s="71" t="n">
        <f aca="false">SQRT(B37^2+C37^2)</f>
        <v>17.1400732154798</v>
      </c>
      <c r="E37" s="72" t="n">
        <f aca="false">20*LOG10(MAX(D37,0.000000000001)/$K$3)</f>
        <v>24.6802534544401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customFormat="false" ht="15" hidden="false" customHeight="false" outlineLevel="0" collapsed="false">
      <c r="A38" s="71" t="n">
        <f aca="false">A37+$F$3</f>
        <v>640</v>
      </c>
      <c r="B38" s="71" t="n">
        <f aca="false">SUMPRODUCT(固有振動数!$Q$6:$Q$22*(1-($A38/固有振動数!$O$6:$O$22)^2)/((1-($A38/固有振動数!$O$6:$O$22)^2)^2+固有振動数!$P$6:$P$22^2))</f>
        <v>17.1490574218697</v>
      </c>
      <c r="C38" s="71" t="n">
        <f aca="false">-SUMPRODUCT(固有振動数!$Q$6:$Q$22*固有振動数!$P$6:$P$22/((1-($A38/固有振動数!$O$6:$O$22)^2)^2+固有振動数!$P$6:$P$22^2))</f>
        <v>-0.173099719295667</v>
      </c>
      <c r="D38" s="71" t="n">
        <f aca="false">SQRT(B38^2+C38^2)</f>
        <v>17.1499310194357</v>
      </c>
      <c r="E38" s="72" t="n">
        <f aca="false">20*LOG10(MAX(D38,0.000000000001)/$K$3)</f>
        <v>24.6852475512042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customFormat="false" ht="15" hidden="false" customHeight="false" outlineLevel="0" collapsed="false">
      <c r="A39" s="71" t="n">
        <f aca="false">A38+$F$3</f>
        <v>660</v>
      </c>
      <c r="B39" s="71" t="n">
        <f aca="false">SUMPRODUCT(固有振動数!$Q$6:$Q$22*(1-($A39/固有振動数!$O$6:$O$22)^2)/((1-($A39/固有振動数!$O$6:$O$22)^2)^2+固有振動数!$P$6:$P$22^2))</f>
        <v>17.1593141406778</v>
      </c>
      <c r="C39" s="71" t="n">
        <f aca="false">-SUMPRODUCT(固有振動数!$Q$6:$Q$22*固有振動数!$P$6:$P$22/((1-($A39/固有振動数!$O$6:$O$22)^2)^2+固有振動数!$P$6:$P$22^2))</f>
        <v>-0.173319476901581</v>
      </c>
      <c r="D39" s="71" t="n">
        <f aca="false">SQRT(B39^2+C39^2)</f>
        <v>17.1601894342556</v>
      </c>
      <c r="E39" s="72" t="n">
        <f aca="false">20*LOG10(MAX(D39,0.000000000001)/$K$3)</f>
        <v>24.690441555799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customFormat="false" ht="15" hidden="false" customHeight="false" outlineLevel="0" collapsed="false">
      <c r="A40" s="71" t="n">
        <f aca="false">A39+$F$3</f>
        <v>680</v>
      </c>
      <c r="B40" s="71" t="n">
        <f aca="false">SUMPRODUCT(固有振動数!$Q$6:$Q$22*(1-($A40/固有振動数!$O$6:$O$22)^2)/((1-($A40/固有振動数!$O$6:$O$22)^2)^2+固有振動数!$P$6:$P$22^2))</f>
        <v>17.1699812537795</v>
      </c>
      <c r="C40" s="71" t="n">
        <f aca="false">-SUMPRODUCT(固有振動数!$Q$6:$Q$22*固有振動数!$P$6:$P$22/((1-($A40/固有振動数!$O$6:$O$22)^2)^2+固有振動数!$P$6:$P$22^2))</f>
        <v>-0.173549120510163</v>
      </c>
      <c r="D40" s="71" t="n">
        <f aca="false">SQRT(B40^2+C40^2)</f>
        <v>17.1708583231116</v>
      </c>
      <c r="E40" s="72" t="n">
        <f aca="false">20*LOG10(MAX(D40,0.000000000001)/$K$3)</f>
        <v>24.6958400973641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customFormat="false" ht="15" hidden="false" customHeight="false" outlineLevel="0" collapsed="false">
      <c r="A41" s="71" t="n">
        <f aca="false">A40+$F$3</f>
        <v>700</v>
      </c>
      <c r="B41" s="71" t="n">
        <f aca="false">SUMPRODUCT(固有振動数!$Q$6:$Q$22*(1-($A41/固有振動数!$O$6:$O$22)^2)/((1-($A41/固有振動数!$O$6:$O$22)^2)^2+固有振動数!$P$6:$P$22^2))</f>
        <v>17.1810692228116</v>
      </c>
      <c r="C41" s="71" t="n">
        <f aca="false">-SUMPRODUCT(固有振動数!$Q$6:$Q$22*固有振動数!$P$6:$P$22/((1-($A41/固有振動数!$O$6:$O$22)^2)^2+固有振動数!$P$6:$P$22^2))</f>
        <v>-0.17378901574616</v>
      </c>
      <c r="D41" s="71" t="n">
        <f aca="false">SQRT(B41^2+C41^2)</f>
        <v>17.1819481509239</v>
      </c>
      <c r="E41" s="72" t="n">
        <f aca="false">20*LOG10(MAX(D41,0.000000000001)/$K$3)</f>
        <v>24.7014480830699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customFormat="false" ht="15" hidden="false" customHeight="false" outlineLevel="0" collapsed="false">
      <c r="A42" s="71" t="n">
        <f aca="false">A41+$F$3</f>
        <v>720</v>
      </c>
      <c r="B42" s="71" t="n">
        <f aca="false">SUMPRODUCT(固有振動数!$Q$6:$Q$22*(1-($A42/固有振動数!$O$6:$O$22)^2)/((1-($A42/固有振動数!$O$6:$O$22)^2)^2+固有振動数!$P$6:$P$22^2))</f>
        <v>17.1925891492776</v>
      </c>
      <c r="C42" s="71" t="n">
        <f aca="false">-SUMPRODUCT(固有振動数!$Q$6:$Q$22*固有振動数!$P$6:$P$22/((1-($A42/固有振動数!$O$6:$O$22)^2)^2+固有振動数!$P$6:$P$22^2))</f>
        <v>-0.174039554245534</v>
      </c>
      <c r="D42" s="71" t="n">
        <f aca="false">SQRT(B42^2+C42^2)</f>
        <v>17.1934700227237</v>
      </c>
      <c r="E42" s="72" t="n">
        <f aca="false">20*LOG10(MAX(D42,0.000000000001)/$K$3)</f>
        <v>24.7072707154009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customFormat="false" ht="15" hidden="false" customHeight="false" outlineLevel="0" collapsed="false">
      <c r="A43" s="71" t="n">
        <f aca="false">A42+$F$3</f>
        <v>740</v>
      </c>
      <c r="B43" s="71" t="n">
        <f aca="false">SUMPRODUCT(固有振動数!$Q$6:$Q$22*(1-($A43/固有振動数!$O$6:$O$22)^2)/((1-($A43/固有振動数!$O$6:$O$22)^2)^2+固有振動数!$P$6:$P$22^2))</f>
        <v>17.2045528162328</v>
      </c>
      <c r="C43" s="71" t="n">
        <f aca="false">-SUMPRODUCT(固有振動数!$Q$6:$Q$22*固有振動数!$P$6:$P$22/((1-($A43/固有振動数!$O$6:$O$22)^2)^2+固有振動数!$P$6:$P$22^2))</f>
        <v>-0.174301155720607</v>
      </c>
      <c r="D43" s="71" t="n">
        <f aca="false">SQRT(B43^2+C43^2)</f>
        <v>17.2054357253582</v>
      </c>
      <c r="E43" s="72" t="n">
        <f aca="false">20*LOG10(MAX(D43,0.000000000001)/$K$3)</f>
        <v>24.7133135109175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customFormat="false" ht="15" hidden="false" customHeight="false" outlineLevel="0" collapsed="false">
      <c r="A44" s="71" t="n">
        <f aca="false">A43+$F$3</f>
        <v>760</v>
      </c>
      <c r="B44" s="71" t="n">
        <f aca="false">SUMPRODUCT(固有振動数!$Q$6:$Q$22*(1-($A44/固有振動数!$O$6:$O$22)^2)/((1-($A44/固有振動数!$O$6:$O$22)^2)^2+固有振動数!$P$6:$P$22^2))</f>
        <v>17.2169727336397</v>
      </c>
      <c r="C44" s="71" t="n">
        <f aca="false">-SUMPRODUCT(固有振動数!$Q$6:$Q$22*固有振動数!$P$6:$P$22/((1-($A44/固有振動数!$O$6:$O$22)^2)^2+固有振動数!$P$6:$P$22^2))</f>
        <v>-0.174574270233216</v>
      </c>
      <c r="D44" s="71" t="n">
        <f aca="false">SQRT(B44^2+C44^2)</f>
        <v>17.2178577728682</v>
      </c>
      <c r="E44" s="72" t="n">
        <f aca="false">20*LOG10(MAX(D44,0.000000000001)/$K$3)</f>
        <v>24.7195823206373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customFormat="false" ht="15" hidden="false" customHeight="false" outlineLevel="0" collapsed="false">
      <c r="A45" s="71" t="n">
        <f aca="false">A44+$F$3</f>
        <v>780</v>
      </c>
      <c r="B45" s="71" t="n">
        <f aca="false">SUMPRODUCT(固有振動数!$Q$6:$Q$22*(1-($A45/固有振動数!$O$6:$O$22)^2)/((1-($A45/固有振動数!$O$6:$O$22)^2)^2+固有振動数!$P$6:$P$22^2))</f>
        <v>17.2298621877602</v>
      </c>
      <c r="C45" s="71" t="n">
        <f aca="false">-SUMPRODUCT(固有振動数!$Q$6:$Q$22*固有振動数!$P$6:$P$22/((1-($A45/固有振動数!$O$6:$O$22)^2)^2+固有振動数!$P$6:$P$22^2))</f>
        <v>-0.174859380699758</v>
      </c>
      <c r="D45" s="71" t="n">
        <f aca="false">SQRT(B45^2+C45^2)</f>
        <v>17.2307494559066</v>
      </c>
      <c r="E45" s="72" t="n">
        <f aca="false">20*LOG10(MAX(D45,0.000000000001)/$K$3)</f>
        <v>24.7260833521945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customFormat="false" ht="15" hidden="false" customHeight="false" outlineLevel="0" collapsed="false">
      <c r="A46" s="71" t="n">
        <f aca="false">A45+$F$3</f>
        <v>800</v>
      </c>
      <c r="B46" s="71" t="n">
        <f aca="false">SUMPRODUCT(固有振動数!$Q$6:$Q$22*(1-($A46/固有振動数!$O$6:$O$22)^2)/((1-($A46/固有振動数!$O$6:$O$22)^2)^2+固有振動数!$P$6:$P$22^2))</f>
        <v>17.2432352949992</v>
      </c>
      <c r="C46" s="71" t="n">
        <f aca="false">-SUMPRODUCT(固有振動数!$Q$6:$Q$22*固有振動数!$P$6:$P$22/((1-($A46/固有振動数!$O$6:$O$22)^2)^2+固有振動数!$P$6:$P$22^2))</f>
        <v>-0.175157005655197</v>
      </c>
      <c r="D46" s="71" t="n">
        <f aca="false">SQRT(B46^2+C46^2)</f>
        <v>17.2441248956082</v>
      </c>
      <c r="E46" s="72" t="n">
        <f aca="false">20*LOG10(MAX(D46,0.000000000001)/$K$3)</f>
        <v>24.732823193956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customFormat="false" ht="15" hidden="false" customHeight="false" outlineLevel="0" collapsed="false">
      <c r="A47" s="71" t="n">
        <f aca="false">A46+$F$3</f>
        <v>820</v>
      </c>
      <c r="B47" s="71" t="n">
        <f aca="false">SUMPRODUCT(固有振動数!$Q$6:$Q$22*(1-($A47/固有振動数!$O$6:$O$22)^2)/((1-($A47/固有振動数!$O$6:$O$22)^2)^2+固有振動数!$P$6:$P$22^2))</f>
        <v>17.2571070606571</v>
      </c>
      <c r="C47" s="71" t="n">
        <f aca="false">-SUMPRODUCT(固有振動数!$Q$6:$Q$22*固有振動数!$P$6:$P$22/((1-($A47/固有振動数!$O$6:$O$22)^2)^2+固有振動数!$P$6:$P$22^2))</f>
        <v>-0.175467702306735</v>
      </c>
      <c r="D47" s="71" t="n">
        <f aca="false">SQRT(B47^2+C47^2)</f>
        <v>17.2579991023737</v>
      </c>
      <c r="E47" s="72" t="n">
        <f aca="false">20*LOG10(MAX(D47,0.000000000001)/$K$3)</f>
        <v>24.7398088412909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customFormat="false" ht="15" hidden="false" customHeight="false" outlineLevel="0" collapsed="false">
      <c r="A48" s="71" t="n">
        <f aca="false">A47+$F$3</f>
        <v>840</v>
      </c>
      <c r="B48" s="71" t="n">
        <f aca="false">SUMPRODUCT(固有振動数!$Q$6:$Q$22*(1-($A48/固有振動数!$O$6:$O$22)^2)/((1-($A48/固有振動数!$O$6:$O$22)^2)^2+固有振動数!$P$6:$P$22^2))</f>
        <v>17.2714934431116</v>
      </c>
      <c r="C48" s="71" t="n">
        <f aca="false">-SUMPRODUCT(固有振動数!$Q$6:$Q$22*固有振動数!$P$6:$P$22/((1-($A48/固有振動数!$O$6:$O$22)^2)^2+固有振動数!$P$6:$P$22^2))</f>
        <v>-0.175792069912085</v>
      </c>
      <c r="D48" s="71" t="n">
        <f aca="false">SQRT(B48^2+C48^2)</f>
        <v>17.2723880400856</v>
      </c>
      <c r="E48" s="72" t="n">
        <f aca="false">20*LOG10(MAX(D48,0.000000000001)/$K$3)</f>
        <v>24.747047725216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customFormat="false" ht="15" hidden="false" customHeight="false" outlineLevel="0" collapsed="false">
      <c r="A49" s="71" t="n">
        <f aca="false">A48+$F$3</f>
        <v>860</v>
      </c>
      <c r="B49" s="71" t="n">
        <f aca="false">SUMPRODUCT(固有振動数!$Q$6:$Q$22*(1-($A49/固有振動数!$O$6:$O$22)^2)/((1-($A49/固有振動数!$O$6:$O$22)^2)^2+固有振動数!$P$6:$P$22^2))</f>
        <v>17.2864114240086</v>
      </c>
      <c r="C49" s="71" t="n">
        <f aca="false">-SUMPRODUCT(固有振動数!$Q$6:$Q$22*固有振動数!$P$6:$P$22/((1-($A49/固有振動数!$O$6:$O$22)^2)^2+固有振動数!$P$6:$P$22^2))</f>
        <v>-0.17613075352212</v>
      </c>
      <c r="D49" s="71" t="n">
        <f aca="false">SQRT(B49^2+C49^2)</f>
        <v>17.2873086963365</v>
      </c>
      <c r="E49" s="72" t="n">
        <f aca="false">20*LOG10(MAX(D49,0.000000000001)/$K$3)</f>
        <v>24.7545477436661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customFormat="false" ht="15" hidden="false" customHeight="false" outlineLevel="0" collapsed="false">
      <c r="A50" s="71" t="n">
        <f aca="false">A49+$F$3</f>
        <v>880</v>
      </c>
      <c r="B50" s="71" t="n">
        <f aca="false">SUMPRODUCT(固有振動数!$Q$6:$Q$22*(1-($A50/固有振動数!$O$6:$O$22)^2)/((1-($A50/固有振動数!$O$6:$O$22)^2)^2+固有振動数!$P$6:$P$22^2))</f>
        <v>17.3018790851176</v>
      </c>
      <c r="C50" s="71" t="n">
        <f aca="false">-SUMPRODUCT(固有振動数!$Q$6:$Q$22*固有振動数!$P$6:$P$22/((1-($A50/固有振動数!$O$6:$O$22)^2)^2+固有振動数!$P$6:$P$22^2))</f>
        <v>-0.1764844481333</v>
      </c>
      <c r="D50" s="71" t="n">
        <f aca="false">SQRT(B50^2+C50^2)</f>
        <v>17.3027791593276</v>
      </c>
      <c r="E50" s="72" t="n">
        <f aca="false">20*LOG10(MAX(D50,0.000000000001)/$K$3)</f>
        <v>24.7623172956667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customFormat="false" ht="15" hidden="false" customHeight="false" outlineLevel="0" collapsed="false">
      <c r="A51" s="71" t="n">
        <f aca="false">A50+$F$3</f>
        <v>900</v>
      </c>
      <c r="B51" s="71" t="n">
        <f aca="false">SUMPRODUCT(固有振動数!$Q$6:$Q$22*(1-($A51/固有振動数!$O$6:$O$22)^2)/((1-($A51/固有振動数!$O$6:$O$22)^2)^2+固有振動数!$P$6:$P$22^2))</f>
        <v>17.3179156925901</v>
      </c>
      <c r="C51" s="71" t="n">
        <f aca="false">-SUMPRODUCT(固有振動数!$Q$6:$Q$22*固有振動数!$P$6:$P$22/((1-($A51/固有振動数!$O$6:$O$22)^2)^2+固有振動数!$P$6:$P$22^2))</f>
        <v>-0.176853903301809</v>
      </c>
      <c r="D51" s="71" t="n">
        <f aca="false">SQRT(B51^2+C51^2)</f>
        <v>17.318818702174</v>
      </c>
      <c r="E51" s="72" t="n">
        <f aca="false">20*LOG10(MAX(D51,0.000000000001)/$K$3)</f>
        <v>24.7703653187264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customFormat="false" ht="15" hidden="false" customHeight="false" outlineLevel="0" collapsed="false">
      <c r="A52" s="71" t="n">
        <f aca="false">A51+$F$3</f>
        <v>920</v>
      </c>
      <c r="B52" s="71" t="n">
        <f aca="false">SUMPRODUCT(固有振動数!$Q$6:$Q$22*(1-($A52/固有振動数!$O$6:$O$22)^2)/((1-($A52/固有振動数!$O$6:$O$22)^2)^2+固有振動数!$P$6:$P$22^2))</f>
        <v>17.3345417894553</v>
      </c>
      <c r="C52" s="71" t="n">
        <f aca="false">-SUMPRODUCT(固有振動数!$Q$6:$Q$22*固有振動数!$P$6:$P$22/((1-($A52/固有振動数!$O$6:$O$22)^2)^2+固有振動数!$P$6:$P$22^2))</f>
        <v>-0.177239928278884</v>
      </c>
      <c r="D52" s="71" t="n">
        <f aca="false">SQRT(B52^2+C52^2)</f>
        <v>17.335447875453</v>
      </c>
      <c r="E52" s="72" t="n">
        <f aca="false">20*LOG10(MAX(D52,0.000000000001)/$K$3)</f>
        <v>24.7787013297994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customFormat="false" ht="15" hidden="false" customHeight="false" outlineLevel="0" collapsed="false">
      <c r="A53" s="71" t="n">
        <f aca="false">A52+$F$3</f>
        <v>940</v>
      </c>
      <c r="B53" s="71" t="n">
        <f aca="false">SUMPRODUCT(固有振動数!$Q$6:$Q$22*(1-($A53/固有振動数!$O$6:$O$22)^2)/((1-($A53/固有振動数!$O$6:$O$22)^2)^2+固有振動数!$P$6:$P$22^2))</f>
        <v>17.3517792972965</v>
      </c>
      <c r="C53" s="71" t="n">
        <f aca="false">-SUMPRODUCT(固有振動数!$Q$6:$Q$22*固有振動数!$P$6:$P$22/((1-($A53/固有振動数!$O$6:$O$22)^2)^2+固有振動数!$P$6:$P$22^2))</f>
        <v>-0.177643397735651</v>
      </c>
      <c r="D53" s="71" t="n">
        <f aca="false">SQRT(B53^2+C53^2)</f>
        <v>17.3526886089403</v>
      </c>
      <c r="E53" s="72" t="n">
        <f aca="false">20*LOG10(MAX(D53,0.000000000001)/$K$3)</f>
        <v>24.7873354702208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customFormat="false" ht="15" hidden="false" customHeight="false" outlineLevel="0" collapsed="false">
      <c r="A54" s="71" t="n">
        <f aca="false">A53+$F$3</f>
        <v>960</v>
      </c>
      <c r="B54" s="71" t="n">
        <f aca="false">SUMPRODUCT(固有振動数!$Q$6:$Q$22*(1-($A54/固有振動数!$O$6:$O$22)^2)/((1-($A54/固有振動数!$O$6:$O$22)^2)^2+固有振動数!$P$6:$P$22^2))</f>
        <v>17.369651628181</v>
      </c>
      <c r="C54" s="71" t="n">
        <f aca="false">-SUMPRODUCT(固有振動数!$Q$6:$Q$22*固有振動数!$P$6:$P$22/((1-($A54/固有振動数!$O$6:$O$22)^2)^2+固有振動数!$P$6:$P$22^2))</f>
        <v>-0.178065258156103</v>
      </c>
      <c r="D54" s="71" t="n">
        <f aca="false">SQRT(B54^2+C54^2)</f>
        <v>17.370564323606</v>
      </c>
      <c r="E54" s="72" t="n">
        <f aca="false">20*LOG10(MAX(D54,0.000000000001)/$K$3)</f>
        <v>24.796278555064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customFormat="false" ht="15" hidden="false" customHeight="false" outlineLevel="0" collapsed="false">
      <c r="A55" s="71" t="n">
        <f aca="false">A54+$F$3</f>
        <v>980</v>
      </c>
      <c r="B55" s="71" t="n">
        <f aca="false">SUMPRODUCT(固有振動数!$Q$6:$Q$22*(1-($A55/固有振動数!$O$6:$O$22)^2)/((1-($A55/固有振動数!$O$6:$O$22)^2)^2+固有振動数!$P$6:$P$22^2))</f>
        <v>17.3881838080584</v>
      </c>
      <c r="C55" s="71" t="n">
        <f aca="false">-SUMPRODUCT(固有振動数!$Q$6:$Q$22*固有振動数!$P$6:$P$22/((1-($A55/固有振動数!$O$6:$O$22)^2)^2+固有振動数!$P$6:$P$22^2))</f>
        <v>-0.178506534988875</v>
      </c>
      <c r="D55" s="71" t="n">
        <f aca="false">SQRT(B55^2+C55^2)</f>
        <v>17.3891000550879</v>
      </c>
      <c r="E55" s="72" t="n">
        <f aca="false">20*LOG10(MAX(D55,0.000000000001)/$K$3)</f>
        <v>24.8055421274345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customFormat="false" ht="15" hidden="false" customHeight="false" outlineLevel="0" collapsed="false">
      <c r="A56" s="71" t="n">
        <f aca="false">A55+$F$3</f>
        <v>1000</v>
      </c>
      <c r="B56" s="71" t="n">
        <f aca="false">SUMPRODUCT(固有振動数!$Q$6:$Q$22*(1-($A56/固有振動数!$O$6:$O$22)^2)/((1-($A56/固有振動数!$O$6:$O$22)^2)^2+固有振動数!$P$6:$P$22^2))</f>
        <v>17.4074026130142</v>
      </c>
      <c r="C56" s="71" t="n">
        <f aca="false">-SUMPRODUCT(固有振動数!$Q$6:$Q$22*固有振動数!$P$6:$P$22/((1-($A56/固有振動数!$O$6:$O$22)^2)^2+固有振動数!$P$6:$P$22^2))</f>
        <v>-0.178968340662655</v>
      </c>
      <c r="D56" s="71" t="n">
        <f aca="false">SQRT(B56^2+C56^2)</f>
        <v>17.4083225900295</v>
      </c>
      <c r="E56" s="72" t="n">
        <f aca="false">20*LOG10(MAX(D56,0.000000000001)/$K$3)</f>
        <v>24.8151385182795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customFormat="false" ht="15" hidden="false" customHeight="false" outlineLevel="0" collapsed="false">
      <c r="A57" s="71" t="n">
        <f aca="false">A56+$F$3</f>
        <v>1020</v>
      </c>
      <c r="B57" s="71" t="n">
        <f aca="false">SUMPRODUCT(固有振動数!$Q$6:$Q$22*(1-($A57/固有振動数!$O$6:$O$22)^2)/((1-($A57/固有振動数!$O$6:$O$22)^2)^2+固有振動数!$P$6:$P$22^2))</f>
        <v>17.4273367199592</v>
      </c>
      <c r="C57" s="71" t="n">
        <f aca="false">-SUMPRODUCT(固有振動数!$Q$6:$Q$22*固有振動数!$P$6:$P$22/((1-($A57/固有振動数!$O$6:$O$22)^2)^2+固有振動数!$P$6:$P$22^2))</f>
        <v>-0.179451883586712</v>
      </c>
      <c r="D57" s="71" t="n">
        <f aca="false">SQRT(B57^2+C57^2)</f>
        <v>17.4282606168648</v>
      </c>
      <c r="E57" s="72" t="n">
        <f aca="false">20*LOG10(MAX(D57,0.000000000001)/$K$3)</f>
        <v>24.8250809123755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customFormat="false" ht="15" hidden="false" customHeight="false" outlineLevel="0" collapsed="false">
      <c r="A58" s="71" t="n">
        <f aca="false">A57+$F$3</f>
        <v>1040</v>
      </c>
      <c r="B58" s="71" t="n">
        <f aca="false">SUMPRODUCT(固有振動数!$Q$6:$Q$22*(1-($A58/固有振動数!$O$6:$O$22)^2)/((1-($A58/固有振動数!$O$6:$O$22)^2)^2+固有振動数!$P$6:$P$22^2))</f>
        <v>17.4480168735634</v>
      </c>
      <c r="C58" s="71" t="n">
        <f aca="false">-SUMPRODUCT(固有振動数!$Q$6:$Q$22*固有振動数!$P$6:$P$22/((1-($A58/固有振動数!$O$6:$O$22)^2)^2+固有振動数!$P$6:$P$22^2))</f>
        <v>-0.179958478277669</v>
      </c>
      <c r="D58" s="71" t="n">
        <f aca="false">SQRT(B58^2+C58^2)</f>
        <v>17.4489448928598</v>
      </c>
      <c r="E58" s="72" t="n">
        <f aca="false">20*LOG10(MAX(D58,0.000000000001)/$K$3)</f>
        <v>24.8353834212477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customFormat="false" ht="15" hidden="false" customHeight="false" outlineLevel="0" collapsed="false">
      <c r="A59" s="71" t="n">
        <f aca="false">A58+$F$3</f>
        <v>1060</v>
      </c>
      <c r="B59" s="71" t="n">
        <f aca="false">SUMPRODUCT(固有振動数!$Q$6:$Q$22*(1-($A59/固有振動数!$O$6:$O$22)^2)/((1-($A59/固有振動数!$O$6:$O$22)^2)^2+固有振動数!$P$6:$P$22^2))</f>
        <v>17.4694760715067</v>
      </c>
      <c r="C59" s="71" t="n">
        <f aca="false">-SUMPRODUCT(固有振動数!$Q$6:$Q$22*固有振動数!$P$6:$P$22/((1-($A59/固有振動数!$O$6:$O$22)^2)^2+固有振動数!$P$6:$P$22^2))</f>
        <v>-0.180489556776885</v>
      </c>
      <c r="D59" s="71" t="n">
        <f aca="false">SQRT(B59^2+C59^2)</f>
        <v>17.4704084294858</v>
      </c>
      <c r="E59" s="72" t="n">
        <f aca="false">20*LOG10(MAX(D59,0.000000000001)/$K$3)</f>
        <v>24.8460611638813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customFormat="false" ht="15" hidden="false" customHeight="false" outlineLevel="0" collapsed="false">
      <c r="A60" s="71" t="n">
        <f aca="false">A59+$F$3</f>
        <v>1080</v>
      </c>
      <c r="B60" s="71" t="n">
        <f aca="false">SUMPRODUCT(固有振動数!$Q$6:$Q$22*(1-($A60/固有振動数!$O$6:$O$22)^2)/((1-($A60/固有振動数!$O$6:$O$22)^2)^2+固有振動数!$P$6:$P$22^2))</f>
        <v>17.4917497704265</v>
      </c>
      <c r="C60" s="71" t="n">
        <f aca="false">-SUMPRODUCT(固有振動数!$Q$6:$Q$22*固有振動数!$P$6:$P$22/((1-($A60/固有振動数!$O$6:$O$22)^2)^2+固有振動数!$P$6:$P$22^2))</f>
        <v>-0.181046681550436</v>
      </c>
      <c r="D60" s="71" t="n">
        <f aca="false">SQRT(B60^2+C60^2)</f>
        <v>17.4926866985068</v>
      </c>
      <c r="E60" s="72" t="n">
        <f aca="false">20*LOG10(MAX(D60,0.000000000001)/$K$3)</f>
        <v>24.8571303562125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customFormat="false" ht="15" hidden="false" customHeight="false" outlineLevel="0" collapsed="false">
      <c r="A61" s="71" t="n">
        <f aca="false">A60+$F$3</f>
        <v>1100</v>
      </c>
      <c r="B61" s="71" t="n">
        <f aca="false">SUMPRODUCT(固有振動数!$Q$6:$Q$22*(1-($A61/固有振動数!$O$6:$O$22)^2)/((1-($A61/固有振動数!$O$6:$O$22)^2)^2+固有振動数!$P$6:$P$22^2))</f>
        <v>17.5148761153072</v>
      </c>
      <c r="C61" s="71" t="n">
        <f aca="false">-SUMPRODUCT(固有振動数!$Q$6:$Q$22*固有振動数!$P$6:$P$22/((1-($A61/固有振動数!$O$6:$O$22)^2)^2+固有振動数!$P$6:$P$22^2))</f>
        <v>-0.181631560096479</v>
      </c>
      <c r="D61" s="71" t="n">
        <f aca="false">SQRT(B61^2+C61^2)</f>
        <v>17.5158178615269</v>
      </c>
      <c r="E61" s="72" t="n">
        <f aca="false">20*LOG10(MAX(D61,0.000000000001)/$K$3)</f>
        <v>24.8686084105284</v>
      </c>
      <c r="F61" s="5"/>
      <c r="G61" s="5"/>
      <c r="H61" s="5"/>
      <c r="I61" s="5"/>
      <c r="J61" s="5"/>
      <c r="K61" s="5"/>
      <c r="L61" s="5"/>
      <c r="M61" s="5"/>
      <c r="N61" s="5"/>
    </row>
    <row r="62" customFormat="false" ht="15" hidden="false" customHeight="false" outlineLevel="0" collapsed="false">
      <c r="A62" s="71" t="n">
        <f aca="false">A61+$F$3</f>
        <v>1120</v>
      </c>
      <c r="B62" s="71" t="n">
        <f aca="false">SUMPRODUCT(固有振動数!$Q$6:$Q$22*(1-($A62/固有振動数!$O$6:$O$22)^2)/((1-($A62/固有振動数!$O$6:$O$22)^2)^2+固有振動数!$P$6:$P$22^2))</f>
        <v>17.5388961954749</v>
      </c>
      <c r="C62" s="71" t="n">
        <f aca="false">-SUMPRODUCT(固有振動数!$Q$6:$Q$22*固有振動数!$P$6:$P$22/((1-($A62/固有振動数!$O$6:$O$22)^2)^2+固有振動数!$P$6:$P$22^2))</f>
        <v>-0.182246061524037</v>
      </c>
      <c r="D62" s="71" t="n">
        <f aca="false">SQRT(B62^2+C62^2)</f>
        <v>17.5398430261672</v>
      </c>
      <c r="E62" s="72" t="n">
        <f aca="false">20*LOG10(MAX(D62,0.000000000001)/$K$3)</f>
        <v>24.88051404608</v>
      </c>
      <c r="F62" s="5"/>
      <c r="G62" s="5"/>
      <c r="H62" s="5"/>
      <c r="I62" s="5"/>
      <c r="J62" s="5"/>
      <c r="K62" s="5"/>
      <c r="L62" s="5"/>
      <c r="M62" s="5"/>
      <c r="N62" s="5"/>
    </row>
    <row r="63" customFormat="false" ht="15" hidden="false" customHeight="false" outlineLevel="0" collapsed="false">
      <c r="A63" s="71" t="n">
        <f aca="false">A62+$F$3</f>
        <v>1140</v>
      </c>
      <c r="B63" s="71" t="n">
        <f aca="false">SUMPRODUCT(固有振動数!$Q$6:$Q$22*(1-($A63/固有振動数!$O$6:$O$22)^2)/((1-($A63/固有振動数!$O$6:$O$22)^2)^2+固有振動数!$P$6:$P$22^2))</f>
        <v>17.5638543308657</v>
      </c>
      <c r="C63" s="71" t="n">
        <f aca="false">-SUMPRODUCT(固有振動数!$Q$6:$Q$22*固有振動数!$P$6:$P$22/((1-($A63/固有振動数!$O$6:$O$22)^2)^2+固有振動数!$P$6:$P$22^2))</f>
        <v>-0.182892235414186</v>
      </c>
      <c r="D63" s="71" t="n">
        <f aca="false">SQRT(B63^2+C63^2)</f>
        <v>17.5648065325424</v>
      </c>
      <c r="E63" s="72" t="n">
        <f aca="false">20*LOG10(MAX(D63,0.000000000001)/$K$3)</f>
        <v>24.8928674124077</v>
      </c>
      <c r="F63" s="5"/>
      <c r="G63" s="5"/>
      <c r="H63" s="5"/>
      <c r="I63" s="5"/>
      <c r="J63" s="5"/>
      <c r="K63" s="5"/>
      <c r="L63" s="5"/>
      <c r="M63" s="5"/>
      <c r="N63" s="5"/>
    </row>
    <row r="64" customFormat="false" ht="15" hidden="false" customHeight="false" outlineLevel="0" collapsed="false">
      <c r="A64" s="71" t="n">
        <f aca="false">A63+$F$3</f>
        <v>1160</v>
      </c>
      <c r="B64" s="71" t="n">
        <f aca="false">SUMPRODUCT(固有振動数!$Q$6:$Q$22*(1-($A64/固有振動数!$O$6:$O$22)^2)/((1-($A64/固有振動数!$O$6:$O$22)^2)^2+固有振動数!$P$6:$P$22^2))</f>
        <v>17.5897983928216</v>
      </c>
      <c r="C64" s="71" t="n">
        <f aca="false">-SUMPRODUCT(固有振動数!$Q$6:$Q$22*固有振動数!$P$6:$P$22/((1-($A64/固有振動数!$O$6:$O$22)^2)^2+固有振動数!$P$6:$P$22^2))</f>
        <v>-0.18357233333111</v>
      </c>
      <c r="D64" s="71" t="n">
        <f aca="false">SQRT(B64^2+C64^2)</f>
        <v>17.5907562742957</v>
      </c>
      <c r="E64" s="72" t="n">
        <f aca="false">20*LOG10(MAX(D64,0.000000000001)/$K$3)</f>
        <v>24.9056902271173</v>
      </c>
      <c r="F64" s="5"/>
      <c r="G64" s="5"/>
      <c r="H64" s="5"/>
      <c r="I64" s="5"/>
      <c r="J64" s="5"/>
      <c r="K64" s="5"/>
      <c r="L64" s="5"/>
      <c r="M64" s="5"/>
      <c r="N64" s="5"/>
    </row>
    <row r="65" customFormat="false" ht="15" hidden="false" customHeight="false" outlineLevel="0" collapsed="false">
      <c r="A65" s="71" t="n">
        <f aca="false">A64+$F$3</f>
        <v>1180</v>
      </c>
      <c r="B65" s="71" t="n">
        <f aca="false">SUMPRODUCT(固有振動数!$Q$6:$Q$22*(1-($A65/固有振動数!$O$6:$O$22)^2)/((1-($A65/固有振動数!$O$6:$O$22)^2)^2+固有振動数!$P$6:$P$22^2))</f>
        <v>17.6167801643692</v>
      </c>
      <c r="C65" s="71" t="n">
        <f aca="false">-SUMPRODUCT(固有振動数!$Q$6:$Q$22*固有振動数!$P$6:$P$22/((1-($A65/固有振動数!$O$6:$O$22)^2)^2+固有振動数!$P$6:$P$22^2))</f>
        <v>-0.184288833418592</v>
      </c>
      <c r="D65" s="71" t="n">
        <f aca="false">SQRT(B65^2+C65^2)</f>
        <v>17.6177440591534</v>
      </c>
      <c r="E65" s="72" t="n">
        <f aca="false">20*LOG10(MAX(D65,0.000000000001)/$K$3)</f>
        <v>24.9190059301174</v>
      </c>
      <c r="F65" s="5"/>
      <c r="G65" s="5"/>
      <c r="H65" s="5"/>
      <c r="I65" s="5"/>
      <c r="J65" s="5"/>
      <c r="K65" s="5"/>
      <c r="L65" s="5"/>
      <c r="M65" s="5"/>
      <c r="N65" s="5"/>
    </row>
    <row r="66" customFormat="false" ht="15" hidden="false" customHeight="false" outlineLevel="0" collapsed="false">
      <c r="A66" s="71" t="n">
        <f aca="false">A65+$F$3</f>
        <v>1200</v>
      </c>
      <c r="B66" s="71" t="n">
        <f aca="false">SUMPRODUCT(固有振動数!$Q$6:$Q$22*(1-($A66/固有振動数!$O$6:$O$22)^2)/((1-($A66/固有振動数!$O$6:$O$22)^2)^2+固有振動数!$P$6:$P$22^2))</f>
        <v>17.6448557457636</v>
      </c>
      <c r="C66" s="71" t="n">
        <f aca="false">-SUMPRODUCT(固有振動数!$Q$6:$Q$22*固有振動数!$P$6:$P$22/((1-($A66/固有振動数!$O$6:$O$22)^2)^2+固有振動数!$P$6:$P$22^2))</f>
        <v>-0.185044468599925</v>
      </c>
      <c r="D66" s="71" t="n">
        <f aca="false">SQRT(B66^2+C66^2)</f>
        <v>17.645826014788</v>
      </c>
      <c r="E66" s="72" t="n">
        <f aca="false">20*LOG10(MAX(D66,0.000000000001)/$K$3)</f>
        <v>24.9328398566604</v>
      </c>
      <c r="F66" s="5"/>
      <c r="G66" s="5"/>
      <c r="H66" s="5"/>
      <c r="I66" s="5"/>
      <c r="J66" s="5"/>
      <c r="K66" s="5"/>
      <c r="L66" s="5"/>
      <c r="M66" s="5"/>
      <c r="N66" s="5"/>
    </row>
    <row r="67" customFormat="false" ht="15" hidden="false" customHeight="false" outlineLevel="0" collapsed="false">
      <c r="A67" s="71" t="n">
        <f aca="false">A66+$F$3</f>
        <v>1220</v>
      </c>
      <c r="B67" s="71" t="n">
        <f aca="false">SUMPRODUCT(固有振動数!$Q$6:$Q$22*(1-($A67/固有振動数!$O$6:$O$22)^2)/((1-($A67/固有振動数!$O$6:$O$22)^2)^2+固有振動数!$P$6:$P$22^2))</f>
        <v>17.6740860120743</v>
      </c>
      <c r="C67" s="71" t="n">
        <f aca="false">-SUMPRODUCT(固有振動数!$Q$6:$Q$22*固有振動数!$P$6:$P$22/((1-($A67/固有振動数!$O$6:$O$22)^2)^2+固有振動数!$P$6:$P$22^2))</f>
        <v>-0.185842258999465</v>
      </c>
      <c r="D67" s="71" t="n">
        <f aca="false">SQRT(B67^2+C67^2)</f>
        <v>17.6750630467739</v>
      </c>
      <c r="E67" s="72" t="n">
        <f aca="false">20*LOG10(MAX(D67,0.000000000001)/$K$3)</f>
        <v>24.9472194319158</v>
      </c>
      <c r="F67" s="5"/>
      <c r="G67" s="5"/>
      <c r="H67" s="5"/>
      <c r="I67" s="5"/>
      <c r="J67" s="5"/>
      <c r="K67" s="5"/>
      <c r="L67" s="5"/>
      <c r="M67" s="5"/>
      <c r="N67" s="5"/>
    </row>
    <row r="68" customFormat="false" ht="15" hidden="false" customHeight="false" outlineLevel="0" collapsed="false">
      <c r="A68" s="71" t="n">
        <f aca="false">A67+$F$3</f>
        <v>1240</v>
      </c>
      <c r="B68" s="71" t="n">
        <f aca="false">SUMPRODUCT(固有振動数!$Q$6:$Q$22*(1-($A68/固有振動数!$O$6:$O$22)^2)/((1-($A68/固有振動数!$O$6:$O$22)^2)^2+固有振動数!$P$6:$P$22^2))</f>
        <v>17.7045371307692</v>
      </c>
      <c r="C68" s="71" t="n">
        <f aca="false">-SUMPRODUCT(固有振動数!$Q$6:$Q$22*固有振動数!$P$6:$P$22/((1-($A68/固有振動数!$O$6:$O$22)^2)^2+固有振動数!$P$6:$P$22^2))</f>
        <v>-0.186685549326201</v>
      </c>
      <c r="D68" s="71" t="n">
        <f aca="false">SQRT(B68^2+C68^2)</f>
        <v>17.7055213566027</v>
      </c>
      <c r="E68" s="72" t="n">
        <f aca="false">20*LOG10(MAX(D68,0.000000000001)/$K$3)</f>
        <v>24.9621743902667</v>
      </c>
      <c r="F68" s="5"/>
      <c r="G68" s="5"/>
      <c r="H68" s="5"/>
      <c r="I68" s="5"/>
      <c r="J68" s="5"/>
      <c r="K68" s="5"/>
      <c r="L68" s="5"/>
      <c r="M68" s="5"/>
      <c r="N68" s="5"/>
    </row>
    <row r="69" customFormat="false" ht="15" hidden="false" customHeight="false" outlineLevel="0" collapsed="false">
      <c r="A69" s="71" t="n">
        <f aca="false">A68+$F$3</f>
        <v>1260</v>
      </c>
      <c r="B69" s="71" t="n">
        <f aca="false">SUMPRODUCT(固有振動数!$Q$6:$Q$22*(1-($A69/固有振動数!$O$6:$O$22)^2)/((1-($A69/固有振動数!$O$6:$O$22)^2)^2+固有振動数!$P$6:$P$22^2))</f>
        <v>17.7362811486817</v>
      </c>
      <c r="C69" s="71" t="n">
        <f aca="false">-SUMPRODUCT(固有振動数!$Q$6:$Q$22*固有振動数!$P$6:$P$22/((1-($A69/固有振動数!$O$6:$O$22)^2)^2+固有振動数!$P$6:$P$22^2))</f>
        <v>-0.187578052109462</v>
      </c>
      <c r="D69" s="71" t="n">
        <f aca="false">SQRT(B69^2+C69^2)</f>
        <v>17.7372730291529</v>
      </c>
      <c r="E69" s="72" t="n">
        <f aca="false">20*LOG10(MAX(D69,0.000000000001)/$K$3)</f>
        <v>24.9777370230757</v>
      </c>
      <c r="F69" s="5"/>
      <c r="G69" s="5"/>
      <c r="H69" s="5"/>
      <c r="I69" s="5"/>
      <c r="J69" s="5"/>
      <c r="K69" s="5"/>
      <c r="L69" s="5"/>
      <c r="M69" s="5"/>
      <c r="N69" s="5"/>
    </row>
    <row r="70" customFormat="false" ht="15" hidden="false" customHeight="false" outlineLevel="0" collapsed="false">
      <c r="A70" s="71" t="n">
        <f aca="false">A69+$F$3</f>
        <v>1280</v>
      </c>
      <c r="B70" s="71" t="n">
        <f aca="false">SUMPRODUCT(固有振動数!$Q$6:$Q$22*(1-($A70/固有振動数!$O$6:$O$22)^2)/((1-($A70/固有振動数!$O$6:$O$22)^2)^2+固有振動数!$P$6:$P$22^2))</f>
        <v>17.7693966594564</v>
      </c>
      <c r="C70" s="71" t="n">
        <f aca="false">-SUMPRODUCT(固有振動数!$Q$6:$Q$22*固有振動数!$P$6:$P$22/((1-($A70/固有振動数!$O$6:$O$22)^2)^2+固有振動数!$P$6:$P$22^2))</f>
        <v>-0.188523897861019</v>
      </c>
      <c r="D70" s="71" t="n">
        <f aca="false">SQRT(B70^2+C70^2)</f>
        <v>17.7703967007258</v>
      </c>
      <c r="E70" s="72" t="n">
        <f aca="false">20*LOG10(MAX(D70,0.000000000001)/$K$3)</f>
        <v>24.9939424593285</v>
      </c>
      <c r="F70" s="5"/>
      <c r="G70" s="5"/>
      <c r="H70" s="5"/>
      <c r="I70" s="5"/>
      <c r="J70" s="5"/>
      <c r="K70" s="5"/>
      <c r="L70" s="5"/>
      <c r="M70" s="5"/>
      <c r="N70" s="5"/>
    </row>
    <row r="71" customFormat="false" ht="15" hidden="false" customHeight="false" outlineLevel="0" collapsed="false">
      <c r="A71" s="71" t="n">
        <f aca="false">A70+$F$3</f>
        <v>1300</v>
      </c>
      <c r="B71" s="71" t="n">
        <f aca="false">SUMPRODUCT(固有振動数!$Q$6:$Q$22*(1-($A71/固有振動数!$O$6:$O$22)^2)/((1-($A71/固有振動数!$O$6:$O$22)^2)^2+固有振動数!$P$6:$P$22^2))</f>
        <v>17.8039695646504</v>
      </c>
      <c r="C71" s="71" t="n">
        <f aca="false">-SUMPRODUCT(固有振動数!$Q$6:$Q$22*固有振動数!$P$6:$P$22/((1-($A71/固有振動数!$O$6:$O$22)^2)^2+固有振動数!$P$6:$P$22^2))</f>
        <v>-0.189527693465378</v>
      </c>
      <c r="D71" s="71" t="n">
        <f aca="false">SQRT(B71^2+C71^2)</f>
        <v>17.8049783208402</v>
      </c>
      <c r="E71" s="72" t="n">
        <f aca="false">20*LOG10(MAX(D71,0.000000000001)/$K$3)</f>
        <v>25.0108289843613</v>
      </c>
      <c r="F71" s="5"/>
      <c r="G71" s="5"/>
      <c r="H71" s="5"/>
      <c r="I71" s="5"/>
      <c r="J71" s="5"/>
      <c r="K71" s="5"/>
      <c r="L71" s="5"/>
      <c r="M71" s="5"/>
      <c r="N71" s="5"/>
    </row>
    <row r="72" customFormat="false" ht="15" hidden="false" customHeight="false" outlineLevel="0" collapsed="false">
      <c r="A72" s="71" t="n">
        <f aca="false">A71+$F$3</f>
        <v>1320</v>
      </c>
      <c r="B72" s="71" t="n">
        <f aca="false">SUMPRODUCT(固有振動数!$Q$6:$Q$22*(1-($A72/固有振動数!$O$6:$O$22)^2)/((1-($A72/固有振動数!$O$6:$O$22)^2)^2+固有振動数!$P$6:$P$22^2))</f>
        <v>17.8400939441889</v>
      </c>
      <c r="C72" s="71" t="n">
        <f aca="false">-SUMPRODUCT(固有振動数!$Q$6:$Q$22*固有振動数!$P$6:$P$22/((1-($A72/固有振動数!$O$6:$O$22)^2)^2+固有振動数!$P$6:$P$22^2))</f>
        <v>-0.190594590382507</v>
      </c>
      <c r="D72" s="71" t="n">
        <f aca="false">SQRT(B72^2+C72^2)</f>
        <v>17.8411120235082</v>
      </c>
      <c r="E72" s="72" t="n">
        <f aca="false">20*LOG10(MAX(D72,0.000000000001)/$K$3)</f>
        <v>25.028438402845</v>
      </c>
      <c r="F72" s="5"/>
      <c r="G72" s="5"/>
      <c r="H72" s="5"/>
      <c r="I72" s="5"/>
      <c r="J72" s="5"/>
      <c r="K72" s="5"/>
      <c r="L72" s="5"/>
      <c r="M72" s="5"/>
      <c r="N72" s="5"/>
    </row>
    <row r="73" customFormat="false" ht="15" hidden="false" customHeight="false" outlineLevel="0" collapsed="false">
      <c r="A73" s="71" t="n">
        <f aca="false">A72+$F$3</f>
        <v>1340</v>
      </c>
      <c r="B73" s="71" t="n">
        <f aca="false">SUMPRODUCT(固有振動数!$Q$6:$Q$22*(1-($A73/固有振動数!$O$6:$O$22)^2)/((1-($A73/固有振動数!$O$6:$O$22)^2)^2+固有振動数!$P$6:$P$22^2))</f>
        <v>17.8778730549584</v>
      </c>
      <c r="C73" s="71" t="n">
        <f aca="false">-SUMPRODUCT(固有振動数!$Q$6:$Q$22*固有振動数!$P$6:$P$22/((1-($A73/固有振動数!$O$6:$O$22)^2)^2+固有振動数!$P$6:$P$22^2))</f>
        <v>-0.191730364599577</v>
      </c>
      <c r="D73" s="71" t="n">
        <f aca="false">SQRT(B73^2+C73^2)</f>
        <v>17.8789011268007</v>
      </c>
      <c r="E73" s="72" t="n">
        <f aca="false">20*LOG10(MAX(D73,0.000000000001)/$K$3)</f>
        <v>25.0468164533676</v>
      </c>
      <c r="F73" s="5"/>
      <c r="G73" s="5"/>
      <c r="H73" s="5"/>
      <c r="I73" s="5"/>
      <c r="J73" s="5"/>
      <c r="K73" s="5"/>
      <c r="L73" s="5"/>
      <c r="M73" s="5"/>
      <c r="N73" s="5"/>
    </row>
    <row r="74" customFormat="false" ht="15" hidden="false" customHeight="false" outlineLevel="0" collapsed="false">
      <c r="A74" s="71" t="n">
        <f aca="false">A73+$F$3</f>
        <v>1360</v>
      </c>
      <c r="B74" s="71" t="n">
        <f aca="false">SUMPRODUCT(固有振動数!$Q$6:$Q$22*(1-($A74/固有振動数!$O$6:$O$22)^2)/((1-($A74/固有振動数!$O$6:$O$22)^2)^2+固有振動数!$P$6:$P$22^2))</f>
        <v>17.917420480099</v>
      </c>
      <c r="C74" s="71" t="n">
        <f aca="false">-SUMPRODUCT(固有振動数!$Q$6:$Q$22*固有振動数!$P$6:$P$22/((1-($A74/固有振動数!$O$6:$O$22)^2)^2+固有振動数!$P$6:$P$22^2))</f>
        <v>-0.192941510709967</v>
      </c>
      <c r="D74" s="71" t="n">
        <f aca="false">SQRT(B74^2+C74^2)</f>
        <v>17.9184592832985</v>
      </c>
      <c r="E74" s="72" t="n">
        <f aca="false">20*LOG10(MAX(D74,0.000000000001)/$K$3)</f>
        <v>25.0660132833881</v>
      </c>
      <c r="F74" s="5"/>
      <c r="G74" s="5"/>
      <c r="H74" s="5"/>
      <c r="I74" s="5"/>
      <c r="J74" s="5"/>
      <c r="K74" s="5"/>
      <c r="L74" s="5"/>
      <c r="M74" s="5"/>
      <c r="N74" s="5"/>
    </row>
    <row r="75" customFormat="false" ht="15" hidden="false" customHeight="false" outlineLevel="0" collapsed="false">
      <c r="A75" s="71" t="n">
        <f aca="false">A74+$F$3</f>
        <v>1380</v>
      </c>
      <c r="B75" s="71" t="n">
        <f aca="false">SUMPRODUCT(固有振動数!$Q$6:$Q$22*(1-($A75/固有振動数!$O$6:$O$22)^2)/((1-($A75/固有振動数!$O$6:$O$22)^2)^2+固有振動数!$P$6:$P$22^2))</f>
        <v>17.9588614562195</v>
      </c>
      <c r="C75" s="71" t="n">
        <f aca="false">-SUMPRODUCT(固有振動数!$Q$6:$Q$22*固有振動数!$P$6:$P$22/((1-($A75/固有振動数!$O$6:$O$22)^2)^2+固有振動数!$P$6:$P$22^2))</f>
        <v>-0.194235353054472</v>
      </c>
      <c r="D75" s="71" t="n">
        <f aca="false">SQRT(B75^2+C75^2)</f>
        <v>17.9599118086939</v>
      </c>
      <c r="E75" s="72" t="n">
        <f aca="false">20*LOG10(MAX(D75,0.000000000001)/$K$3)</f>
        <v>25.086083995076</v>
      </c>
      <c r="F75" s="5"/>
      <c r="G75" s="5"/>
      <c r="H75" s="5"/>
      <c r="I75" s="5"/>
      <c r="J75" s="5"/>
      <c r="K75" s="5"/>
      <c r="L75" s="5"/>
      <c r="M75" s="5"/>
      <c r="N75" s="5"/>
    </row>
    <row r="76" customFormat="false" ht="15" hidden="false" customHeight="false" outlineLevel="0" collapsed="false">
      <c r="A76" s="71" t="n">
        <f aca="false">A75+$F$3</f>
        <v>1400</v>
      </c>
      <c r="B76" s="71" t="n">
        <f aca="false">SUMPRODUCT(固有振動数!$Q$6:$Q$22*(1-($A76/固有振動数!$O$6:$O$22)^2)/((1-($A76/固有振動数!$O$6:$O$22)^2)^2+固有振動数!$P$6:$P$22^2))</f>
        <v>18.0023344115217</v>
      </c>
      <c r="C76" s="71" t="n">
        <f aca="false">-SUMPRODUCT(固有振動数!$Q$6:$Q$22*固有振動数!$P$6:$P$22/((1-($A76/固有振動数!$O$6:$O$22)^2)^2+固有振動数!$P$6:$P$22^2))</f>
        <v>-0.195620177565148</v>
      </c>
      <c r="D76" s="71" t="n">
        <f aca="false">SQRT(B76^2+C76^2)</f>
        <v>18.0033972215838</v>
      </c>
      <c r="E76" s="72" t="n">
        <f aca="false">20*LOG10(MAX(D76,0.000000000001)/$K$3)</f>
        <v>25.1070892747063</v>
      </c>
      <c r="F76" s="5"/>
      <c r="G76" s="5"/>
      <c r="H76" s="5"/>
      <c r="I76" s="5"/>
      <c r="J76" s="5"/>
      <c r="K76" s="5"/>
      <c r="L76" s="5"/>
      <c r="M76" s="5"/>
      <c r="N76" s="5"/>
    </row>
    <row r="77" customFormat="false" ht="15" hidden="false" customHeight="false" outlineLevel="0" collapsed="false">
      <c r="A77" s="71" t="n">
        <f aca="false">A76+$F$3</f>
        <v>1420</v>
      </c>
      <c r="B77" s="71" t="n">
        <f aca="false">SUMPRODUCT(固有振動数!$Q$6:$Q$22*(1-($A77/固有振動数!$O$6:$O$22)^2)/((1-($A77/固有振動数!$O$6:$O$22)^2)^2+固有振動数!$P$6:$P$22^2))</f>
        <v>18.0479927550083</v>
      </c>
      <c r="C77" s="71" t="n">
        <f aca="false">-SUMPRODUCT(固有振動数!$Q$6:$Q$22*固有振動数!$P$6:$P$22/((1-($A77/固有振動数!$O$6:$O$22)^2)^2+固有振動数!$P$6:$P$22^2))</f>
        <v>-0.197105388851563</v>
      </c>
      <c r="D77" s="71" t="n">
        <f aca="false">SQRT(B77^2+C77^2)</f>
        <v>18.0490690346939</v>
      </c>
      <c r="E77" s="72" t="n">
        <f aca="false">20*LOG10(MAX(D77,0.000000000001)/$K$3)</f>
        <v>25.1290961209308</v>
      </c>
      <c r="F77" s="5"/>
      <c r="G77" s="5"/>
      <c r="H77" s="5"/>
      <c r="I77" s="5"/>
      <c r="J77" s="5"/>
      <c r="K77" s="5"/>
      <c r="L77" s="5"/>
      <c r="M77" s="5"/>
      <c r="N77" s="5"/>
    </row>
    <row r="78" customFormat="false" ht="15" hidden="false" customHeight="false" outlineLevel="0" collapsed="false">
      <c r="A78" s="71" t="n">
        <f aca="false">A77+$F$3</f>
        <v>1440</v>
      </c>
      <c r="B78" s="71" t="n">
        <f aca="false">SUMPRODUCT(固有振動数!$Q$6:$Q$22*(1-($A78/固有振動数!$O$6:$O$22)^2)/((1-($A78/固有振動数!$O$6:$O$22)^2)^2+固有振動数!$P$6:$P$22^2))</f>
        <v>18.0960069659325</v>
      </c>
      <c r="C78" s="71" t="n">
        <f aca="false">-SUMPRODUCT(固有振動数!$Q$6:$Q$22*固有振動数!$P$6:$P$22/((1-($A78/固有振動数!$O$6:$O$22)^2)^2+固有振動数!$P$6:$P$22^2))</f>
        <v>-0.19870169822263</v>
      </c>
      <c r="D78" s="71" t="n">
        <f aca="false">SQRT(B78^2+C78^2)</f>
        <v>18.0970978467807</v>
      </c>
      <c r="E78" s="72" t="n">
        <f aca="false">20*LOG10(MAX(D78,0.000000000001)/$K$3)</f>
        <v>25.1521786905495</v>
      </c>
      <c r="F78" s="5"/>
      <c r="G78" s="5"/>
      <c r="H78" s="5"/>
      <c r="I78" s="5"/>
      <c r="J78" s="5"/>
      <c r="K78" s="5"/>
      <c r="L78" s="5"/>
      <c r="M78" s="5"/>
      <c r="N78" s="5"/>
    </row>
    <row r="79" customFormat="false" ht="15" hidden="false" customHeight="false" outlineLevel="0" collapsed="false">
      <c r="A79" s="71" t="n">
        <f aca="false">A78+$F$3</f>
        <v>1460</v>
      </c>
      <c r="B79" s="71" t="n">
        <f aca="false">SUMPRODUCT(固有振動数!$Q$6:$Q$22*(1-($A79/固有振動数!$O$6:$O$22)^2)/((1-($A79/固有振動数!$O$6:$O$22)^2)^2+固有振動数!$P$6:$P$22^2))</f>
        <v>18.1465670439654</v>
      </c>
      <c r="C79" s="71" t="n">
        <f aca="false">-SUMPRODUCT(固有振動数!$Q$6:$Q$22*固有振動数!$P$6:$P$22/((1-($A79/固有振動数!$O$6:$O$22)^2)^2+固有振動数!$P$6:$P$22^2))</f>
        <v>-0.200421349826122</v>
      </c>
      <c r="D79" s="71" t="n">
        <f aca="false">SQRT(B79^2+C79^2)</f>
        <v>18.1476737957954</v>
      </c>
      <c r="E79" s="72" t="n">
        <f aca="false">20*LOG10(MAX(D79,0.000000000001)/$K$3)</f>
        <v>25.1764192845275</v>
      </c>
      <c r="F79" s="5"/>
      <c r="G79" s="5"/>
      <c r="H79" s="5"/>
      <c r="I79" s="5"/>
      <c r="J79" s="5"/>
      <c r="K79" s="5"/>
      <c r="L79" s="5"/>
      <c r="M79" s="5"/>
      <c r="N79" s="5"/>
    </row>
    <row r="80" customFormat="false" ht="15" hidden="false" customHeight="false" outlineLevel="0" collapsed="false">
      <c r="A80" s="71" t="n">
        <f aca="false">A79+$F$3</f>
        <v>1480</v>
      </c>
      <c r="B80" s="71" t="n">
        <f aca="false">SUMPRODUCT(固有振動数!$Q$6:$Q$22*(1-($A80/固有振動数!$O$6:$O$22)^2)/((1-($A80/固有振動数!$O$6:$O$22)^2)^2+固有振動数!$P$6:$P$22^2))</f>
        <v>18.1998853948912</v>
      </c>
      <c r="C80" s="71" t="n">
        <f aca="false">-SUMPRODUCT(固有振動数!$Q$6:$Q$22*固有振動数!$P$6:$P$22/((1-($A80/固有振動数!$O$6:$O$22)^2)^2+固有振動数!$P$6:$P$22^2))</f>
        <v>-0.202278394022849</v>
      </c>
      <c r="D80" s="71" t="n">
        <f aca="false">SQRT(B80^2+C80^2)</f>
        <v>18.2010094482659</v>
      </c>
      <c r="E80" s="72" t="n">
        <f aca="false">20*LOG10(MAX(D80,0.000000000001)/$K$3)</f>
        <v>25.2019095021788</v>
      </c>
      <c r="F80" s="5"/>
      <c r="G80" s="5"/>
      <c r="H80" s="5"/>
      <c r="I80" s="5"/>
      <c r="J80" s="5"/>
      <c r="K80" s="5"/>
      <c r="L80" s="5"/>
      <c r="M80" s="5"/>
      <c r="N80" s="5"/>
    </row>
    <row r="81" customFormat="false" ht="15" hidden="false" customHeight="false" outlineLevel="0" collapsed="false">
      <c r="A81" s="71" t="n">
        <f aca="false">A80+$F$3</f>
        <v>1500</v>
      </c>
      <c r="B81" s="71" t="n">
        <f aca="false">SUMPRODUCT(固有振動数!$Q$6:$Q$22*(1-($A81/固有振動数!$O$6:$O$22)^2)/((1-($A81/固有振動数!$O$6:$O$22)^2)^2+固有振動数!$P$6:$P$22^2))</f>
        <v>18.2562002449067</v>
      </c>
      <c r="C81" s="71" t="n">
        <f aca="false">-SUMPRODUCT(固有振動数!$Q$6:$Q$22*固有振動数!$P$6:$P$22/((1-($A81/固有振動数!$O$6:$O$22)^2)^2+固有振動数!$P$6:$P$22^2))</f>
        <v>-0.204289019645152</v>
      </c>
      <c r="D81" s="71" t="n">
        <f aca="false">SQRT(B81^2+C81^2)</f>
        <v>18.2573432181596</v>
      </c>
      <c r="E81" s="72" t="n">
        <f aca="false">20*LOG10(MAX(D81,0.000000000001)/$K$3)</f>
        <v>25.2287515979849</v>
      </c>
      <c r="F81" s="5"/>
      <c r="G81" s="5"/>
      <c r="H81" s="5"/>
      <c r="I81" s="5"/>
      <c r="J81" s="5"/>
      <c r="K81" s="5"/>
      <c r="L81" s="5"/>
      <c r="M81" s="5"/>
      <c r="N81" s="5"/>
    </row>
    <row r="82" customFormat="false" ht="15" hidden="false" customHeight="false" outlineLevel="0" collapsed="false">
      <c r="A82" s="71" t="n">
        <f aca="false">A81+$F$3</f>
        <v>1520</v>
      </c>
      <c r="B82" s="71" t="n">
        <f aca="false">SUMPRODUCT(固有振動数!$Q$6:$Q$22*(1-($A82/固有振動数!$O$6:$O$22)^2)/((1-($A82/固有振動数!$O$6:$O$22)^2)^2+固有振動数!$P$6:$P$22^2))</f>
        <v>18.3157797000509</v>
      </c>
      <c r="C82" s="71" t="n">
        <f aca="false">-SUMPRODUCT(固有振動数!$Q$6:$Q$22*固有振動数!$P$6:$P$22/((1-($A82/固有振動数!$O$6:$O$22)^2)^2+固有振動数!$P$6:$P$22^2))</f>
        <v>-0.206471960129411</v>
      </c>
      <c r="D82" s="71" t="n">
        <f aca="false">SQRT(B82^2+C82^2)</f>
        <v>18.3169434320008</v>
      </c>
      <c r="E82" s="72" t="n">
        <f aca="false">20*LOG10(MAX(D82,0.000000000001)/$K$3)</f>
        <v>25.2570600838353</v>
      </c>
      <c r="F82" s="5"/>
      <c r="G82" s="5"/>
      <c r="H82" s="5"/>
      <c r="I82" s="5"/>
      <c r="J82" s="5"/>
      <c r="K82" s="5"/>
      <c r="L82" s="5"/>
      <c r="M82" s="5"/>
      <c r="N82" s="5"/>
    </row>
    <row r="83" customFormat="false" ht="15" hidden="false" customHeight="false" outlineLevel="0" collapsed="false">
      <c r="A83" s="71" t="n">
        <f aca="false">A82+$F$3</f>
        <v>1540</v>
      </c>
      <c r="B83" s="71" t="n">
        <f aca="false">SUMPRODUCT(固有振動数!$Q$6:$Q$22*(1-($A83/固有振動数!$O$6:$O$22)^2)/((1-($A83/固有振動数!$O$6:$O$22)^2)^2+固有振動数!$P$6:$P$22^2))</f>
        <v>18.3789265975934</v>
      </c>
      <c r="C83" s="71" t="n">
        <f aca="false">-SUMPRODUCT(固有振動数!$Q$6:$Q$22*固有振動数!$P$6:$P$22/((1-($A83/固有振動数!$O$6:$O$22)^2)^2+固有振動数!$P$6:$P$22^2))</f>
        <v>-0.208848992952406</v>
      </c>
      <c r="D83" s="71" t="n">
        <f aca="false">SQRT(B83^2+C83^2)</f>
        <v>18.3801131873985</v>
      </c>
      <c r="E83" s="72" t="n">
        <f aca="false">20*LOG10(MAX(D83,0.000000000001)/$K$3)</f>
        <v>25.2869636301327</v>
      </c>
      <c r="F83" s="5"/>
      <c r="G83" s="5"/>
      <c r="H83" s="5"/>
      <c r="I83" s="5"/>
      <c r="J83" s="5"/>
      <c r="K83" s="5"/>
      <c r="L83" s="5"/>
      <c r="M83" s="5"/>
      <c r="N83" s="5"/>
    </row>
    <row r="84" customFormat="false" ht="15" hidden="false" customHeight="false" outlineLevel="0" collapsed="false">
      <c r="A84" s="71" t="n">
        <f aca="false">A83+$F$3</f>
        <v>1560</v>
      </c>
      <c r="B84" s="71" t="n">
        <f aca="false">SUMPRODUCT(固有振動数!$Q$6:$Q$22*(1-($A84/固有振動数!$O$6:$O$22)^2)/((1-($A84/固有振動数!$O$6:$O$22)^2)^2+固有振動数!$P$6:$P$22^2))</f>
        <v>18.445984335673</v>
      </c>
      <c r="C84" s="71" t="n">
        <f aca="false">-SUMPRODUCT(固有振動数!$Q$6:$Q$22*固有振動数!$P$6:$P$22/((1-($A84/固有振動数!$O$6:$O$22)^2)^2+固有振動数!$P$6:$P$22^2))</f>
        <v>-0.211445557754023</v>
      </c>
      <c r="D84" s="71" t="n">
        <f aca="false">SQRT(B84^2+C84^2)</f>
        <v>18.4471961917194</v>
      </c>
      <c r="E84" s="72" t="n">
        <f aca="false">20*LOG10(MAX(D84,0.000000000001)/$K$3)</f>
        <v>25.318607332939</v>
      </c>
      <c r="F84" s="5"/>
      <c r="G84" s="5"/>
      <c r="H84" s="5"/>
      <c r="I84" s="5"/>
      <c r="J84" s="5"/>
      <c r="K84" s="5"/>
      <c r="L84" s="5"/>
      <c r="M84" s="5"/>
      <c r="N84" s="5"/>
    </row>
    <row r="85" customFormat="false" ht="15" hidden="false" customHeight="false" outlineLevel="0" collapsed="false">
      <c r="A85" s="71" t="n">
        <f aca="false">A84+$F$3</f>
        <v>1580</v>
      </c>
      <c r="B85" s="71" t="n">
        <f aca="false">SUMPRODUCT(固有振動数!$Q$6:$Q$22*(1-($A85/固有振動数!$O$6:$O$22)^2)/((1-($A85/固有振動数!$O$6:$O$22)^2)^2+固有振動数!$P$6:$P$22^2))</f>
        <v>18.5173439192936</v>
      </c>
      <c r="C85" s="71" t="n">
        <f aca="false">-SUMPRODUCT(固有振動数!$Q$6:$Q$22*固有振動数!$P$6:$P$22/((1-($A85/固有振動数!$O$6:$O$22)^2)^2+固有振動数!$P$6:$P$22^2))</f>
        <v>-0.214291526581001</v>
      </c>
      <c r="D85" s="71" t="n">
        <f aca="false">SQRT(B85^2+C85^2)</f>
        <v>18.5185838196057</v>
      </c>
      <c r="E85" s="72" t="n">
        <f aca="false">20*LOG10(MAX(D85,0.000000000001)/$K$3)</f>
        <v>25.3521554321806</v>
      </c>
      <c r="F85" s="5"/>
      <c r="G85" s="5"/>
      <c r="H85" s="5"/>
      <c r="I85" s="5"/>
      <c r="J85" s="5"/>
      <c r="K85" s="5"/>
      <c r="L85" s="5"/>
      <c r="M85" s="5"/>
      <c r="N85" s="5"/>
    </row>
    <row r="86" customFormat="false" ht="15" hidden="false" customHeight="false" outlineLevel="0" collapsed="false">
      <c r="A86" s="71" t="n">
        <f aca="false">A85+$F$3</f>
        <v>1600</v>
      </c>
      <c r="B86" s="71" t="n">
        <f aca="false">SUMPRODUCT(固有振動数!$Q$6:$Q$22*(1-($A86/固有振動数!$O$6:$O$22)^2)/((1-($A86/固有振動数!$O$6:$O$22)^2)^2+固有振動数!$P$6:$P$22^2))</f>
        <v>18.5934525293735</v>
      </c>
      <c r="C86" s="71" t="n">
        <f aca="false">-SUMPRODUCT(固有振動数!$Q$6:$Q$22*固有振動数!$P$6:$P$22/((1-($A86/固有振動数!$O$6:$O$22)^2)^2+固有振動数!$P$6:$P$22^2))</f>
        <v>-0.217422170683131</v>
      </c>
      <c r="D86" s="71" t="n">
        <f aca="false">SQRT(B86^2+C86^2)</f>
        <v>18.5947236968547</v>
      </c>
      <c r="E86" s="72" t="n">
        <f aca="false">20*LOG10(MAX(D86,0.000000000001)/$K$3)</f>
        <v>25.387794589288</v>
      </c>
      <c r="F86" s="5"/>
      <c r="G86" s="5"/>
      <c r="H86" s="5"/>
      <c r="I86" s="5"/>
      <c r="J86" s="5"/>
      <c r="K86" s="5"/>
      <c r="L86" s="5"/>
      <c r="M86" s="5"/>
      <c r="N86" s="5"/>
    </row>
    <row r="87" customFormat="false" ht="15" hidden="false" customHeight="false" outlineLevel="0" collapsed="false">
      <c r="A87" s="71" t="n">
        <f aca="false">A86+$F$3</f>
        <v>1620</v>
      </c>
      <c r="B87" s="71" t="n">
        <f aca="false">SUMPRODUCT(固有振動数!$Q$6:$Q$22*(1-($A87/固有振動数!$O$6:$O$22)^2)/((1-($A87/固有振動数!$O$6:$O$22)^2)^2+固有振動数!$P$6:$P$22^2))</f>
        <v>18.6748240132017</v>
      </c>
      <c r="C87" s="71" t="n">
        <f aca="false">-SUMPRODUCT(固有振動数!$Q$6:$Q$22*固有振動数!$P$6:$P$22/((1-($A87/固有振動数!$O$6:$O$22)^2)^2+固有振動数!$P$6:$P$22^2))</f>
        <v>-0.220879383464441</v>
      </c>
      <c r="D87" s="71" t="n">
        <f aca="false">SQRT(B87^2+C87^2)</f>
        <v>18.6761302101397</v>
      </c>
      <c r="E87" s="72" t="n">
        <f aca="false">20*LOG10(MAX(D87,0.000000000001)/$K$3)</f>
        <v>25.4257378634834</v>
      </c>
      <c r="F87" s="5"/>
      <c r="G87" s="5"/>
      <c r="H87" s="5"/>
      <c r="I87" s="5"/>
      <c r="J87" s="5"/>
      <c r="K87" s="5"/>
      <c r="L87" s="5"/>
      <c r="M87" s="5"/>
      <c r="N87" s="5"/>
    </row>
    <row r="88" customFormat="false" ht="15" hidden="false" customHeight="false" outlineLevel="0" collapsed="false">
      <c r="A88" s="71" t="n">
        <f aca="false">A87+$F$3</f>
        <v>1640</v>
      </c>
      <c r="B88" s="71" t="n">
        <f aca="false">SUMPRODUCT(固有振動数!$Q$6:$Q$22*(1-($A88/固有振動数!$O$6:$O$22)^2)/((1-($A88/固有振動数!$O$6:$O$22)^2)^2+固有振動数!$P$6:$P$22^2))</f>
        <v>18.7620518182938</v>
      </c>
      <c r="C88" s="71" t="n">
        <f aca="false">-SUMPRODUCT(固有振動数!$Q$6:$Q$22*固有振動数!$P$6:$P$22/((1-($A88/固有振動数!$O$6:$O$22)^2)^2+固有振動数!$P$6:$P$22^2))</f>
        <v>-0.22471324035039</v>
      </c>
      <c r="D88" s="71" t="n">
        <f aca="false">SQRT(B88^2+C88^2)</f>
        <v>18.7633974661501</v>
      </c>
      <c r="E88" s="72" t="n">
        <f aca="false">20*LOG10(MAX(D88,0.000000000001)/$K$3)</f>
        <v>25.4662295670121</v>
      </c>
      <c r="F88" s="5"/>
      <c r="G88" s="5"/>
      <c r="H88" s="5"/>
      <c r="I88" s="5"/>
      <c r="J88" s="5"/>
      <c r="K88" s="5"/>
      <c r="L88" s="5"/>
      <c r="M88" s="5"/>
      <c r="N88" s="5"/>
    </row>
    <row r="89" customFormat="false" ht="15" hidden="false" customHeight="false" outlineLevel="0" collapsed="false">
      <c r="A89" s="71" t="n">
        <f aca="false">A88+$F$3</f>
        <v>1660</v>
      </c>
      <c r="B89" s="71" t="n">
        <f aca="false">SUMPRODUCT(固有振動数!$Q$6:$Q$22*(1-($A89/固有振動数!$O$6:$O$22)^2)/((1-($A89/固有振動数!$O$6:$O$22)^2)^2+固有振動数!$P$6:$P$22^2))</f>
        <v>18.8558250601811</v>
      </c>
      <c r="C89" s="71" t="n">
        <f aca="false">-SUMPRODUCT(固有振動数!$Q$6:$Q$22*固有振動数!$P$6:$P$22/((1-($A89/固有振動数!$O$6:$O$22)^2)^2+固有振動数!$P$6:$P$22^2))</f>
        <v>-0.22898400618512</v>
      </c>
      <c r="D89" s="71" t="n">
        <f aca="false">SQRT(B89^2+C89^2)</f>
        <v>18.857215392927</v>
      </c>
      <c r="E89" s="72" t="n">
        <f aca="false">20*LOG10(MAX(D89,0.000000000001)/$K$3)</f>
        <v>25.5095512348639</v>
      </c>
      <c r="F89" s="5"/>
      <c r="G89" s="5"/>
      <c r="H89" s="5"/>
      <c r="I89" s="5"/>
      <c r="J89" s="5"/>
      <c r="K89" s="5"/>
      <c r="L89" s="5"/>
      <c r="M89" s="5"/>
      <c r="N89" s="5"/>
    </row>
    <row r="90" customFormat="false" ht="15" hidden="false" customHeight="false" outlineLevel="0" collapsed="false">
      <c r="A90" s="71" t="n">
        <f aca="false">A89+$F$3</f>
        <v>1680</v>
      </c>
      <c r="B90" s="71" t="n">
        <f aca="false">SUMPRODUCT(固有振動数!$Q$6:$Q$22*(1-($A90/固有振動数!$O$6:$O$22)^2)/((1-($A90/固有振動数!$O$6:$O$22)^2)^2+固有振動数!$P$6:$P$22^2))</f>
        <v>18.9569486469663</v>
      </c>
      <c r="C90" s="71" t="n">
        <f aca="false">-SUMPRODUCT(固有振動数!$Q$6:$Q$22*固有振動数!$P$6:$P$22/((1-($A90/固有振動数!$O$6:$O$22)^2)^2+固有振動数!$P$6:$P$22^2))</f>
        <v>-0.233764743420765</v>
      </c>
      <c r="D90" s="71" t="n">
        <f aca="false">SQRT(B90^2+C90^2)</f>
        <v>18.9583899094566</v>
      </c>
      <c r="E90" s="72" t="n">
        <f aca="false">20*LOG10(MAX(D90,0.000000000001)/$K$3)</f>
        <v>25.5560290196079</v>
      </c>
      <c r="F90" s="5"/>
      <c r="G90" s="5"/>
      <c r="H90" s="5"/>
      <c r="I90" s="5"/>
      <c r="J90" s="5"/>
      <c r="K90" s="5"/>
      <c r="L90" s="5"/>
      <c r="M90" s="5"/>
      <c r="N90" s="5"/>
    </row>
    <row r="91" customFormat="false" ht="15" hidden="false" customHeight="false" outlineLevel="0" collapsed="false">
      <c r="A91" s="71" t="n">
        <f aca="false">A90+$F$3</f>
        <v>1700</v>
      </c>
      <c r="B91" s="71" t="n">
        <f aca="false">SUMPRODUCT(固有振動数!$Q$6:$Q$22*(1-($A91/固有振動数!$O$6:$O$22)^2)/((1-($A91/固有振動数!$O$6:$O$22)^2)^2+固有振動数!$P$6:$P$22^2))</f>
        <v>19.0663687074988</v>
      </c>
      <c r="C91" s="71" t="n">
        <f aca="false">-SUMPRODUCT(固有振動数!$Q$6:$Q$22*固有振動数!$P$6:$P$22/((1-($A91/固有振動数!$O$6:$O$22)^2)^2+固有振動数!$P$6:$P$22^2))</f>
        <v>-0.239144736108349</v>
      </c>
      <c r="D91" s="71" t="n">
        <f aca="false">SQRT(B91^2+C91^2)</f>
        <v>19.0678684150877</v>
      </c>
      <c r="E91" s="72" t="n">
        <f aca="false">20*LOG10(MAX(D91,0.000000000001)/$K$3)</f>
        <v>25.6060429250975</v>
      </c>
      <c r="F91" s="5"/>
      <c r="G91" s="5"/>
      <c r="H91" s="5"/>
      <c r="I91" s="5"/>
      <c r="J91" s="5"/>
      <c r="K91" s="5"/>
      <c r="L91" s="5"/>
      <c r="M91" s="5"/>
      <c r="N91" s="5"/>
    </row>
    <row r="92" customFormat="false" ht="15" hidden="false" customHeight="false" outlineLevel="0" collapsed="false">
      <c r="A92" s="71" t="n">
        <f aca="false">A91+$F$3</f>
        <v>1720</v>
      </c>
      <c r="B92" s="71" t="n">
        <f aca="false">SUMPRODUCT(固有振動数!$Q$6:$Q$22*(1-($A92/固有振動数!$O$6:$O$22)^2)/((1-($A92/固有振動数!$O$6:$O$22)^2)^2+固有振動数!$P$6:$P$22^2))</f>
        <v>19.1852050278272</v>
      </c>
      <c r="C92" s="71" t="n">
        <f aca="false">-SUMPRODUCT(固有振動数!$Q$6:$Q$22*固有振動数!$P$6:$P$22/((1-($A92/固有振動数!$O$6:$O$22)^2)^2+固有振動数!$P$6:$P$22^2))</f>
        <v>-0.24523403540046</v>
      </c>
      <c r="D92" s="71" t="n">
        <f aca="false">SQRT(B92^2+C92^2)</f>
        <v>19.1867723104196</v>
      </c>
      <c r="E92" s="72" t="n">
        <f aca="false">20*LOG10(MAX(D92,0.000000000001)/$K$3)</f>
        <v>25.6600384361649</v>
      </c>
      <c r="F92" s="5"/>
      <c r="G92" s="5"/>
      <c r="H92" s="5"/>
      <c r="I92" s="5"/>
      <c r="J92" s="5"/>
      <c r="K92" s="5"/>
      <c r="L92" s="5"/>
      <c r="M92" s="5"/>
      <c r="N92" s="5"/>
    </row>
    <row r="93" customFormat="false" ht="15" hidden="false" customHeight="false" outlineLevel="0" collapsed="false">
      <c r="A93" s="71" t="n">
        <f aca="false">A92+$F$3</f>
        <v>1740</v>
      </c>
      <c r="B93" s="71" t="n">
        <f aca="false">SUMPRODUCT(固有振動数!$Q$6:$Q$22*(1-($A93/固有振動数!$O$6:$O$22)^2)/((1-($A93/固有振動数!$O$6:$O$22)^2)^2+固有振動数!$P$6:$P$22^2))</f>
        <v>19.3147928564432</v>
      </c>
      <c r="C93" s="71" t="n">
        <f aca="false">-SUMPRODUCT(固有振動数!$Q$6:$Q$22*固有振動数!$P$6:$P$22/((1-($A93/固有振動数!$O$6:$O$22)^2)^2+固有振動数!$P$6:$P$22^2))</f>
        <v>-0.252169567602236</v>
      </c>
      <c r="D93" s="71" t="n">
        <f aca="false">SQRT(B93^2+C93^2)</f>
        <v>19.3164389207259</v>
      </c>
      <c r="E93" s="72" t="n">
        <f aca="false">20*LOG10(MAX(D93,0.000000000001)/$K$3)</f>
        <v>25.718541303259</v>
      </c>
      <c r="F93" s="5"/>
      <c r="G93" s="5"/>
      <c r="H93" s="5"/>
      <c r="I93" s="5"/>
      <c r="J93" s="5"/>
      <c r="K93" s="5"/>
      <c r="L93" s="5"/>
      <c r="M93" s="5"/>
      <c r="N93" s="5"/>
    </row>
    <row r="94" customFormat="false" ht="15" hidden="false" customHeight="false" outlineLevel="0" collapsed="false">
      <c r="A94" s="71" t="n">
        <f aca="false">A93+$F$3</f>
        <v>1760</v>
      </c>
      <c r="B94" s="71" t="n">
        <f aca="false">SUMPRODUCT(固有振動数!$Q$6:$Q$22*(1-($A94/固有振動数!$O$6:$O$22)^2)/((1-($A94/固有振動数!$O$6:$O$22)^2)^2+固有振動数!$P$6:$P$22^2))</f>
        <v>19.4567373926855</v>
      </c>
      <c r="C94" s="71" t="n">
        <f aca="false">-SUMPRODUCT(固有振動数!$Q$6:$Q$22*固有振動数!$P$6:$P$22/((1-($A94/固有振動数!$O$6:$O$22)^2)^2+固有振動数!$P$6:$P$22^2))</f>
        <v>-0.260123451166532</v>
      </c>
      <c r="D94" s="71" t="n">
        <f aca="false">SQRT(B94^2+C94^2)</f>
        <v>19.4584761525093</v>
      </c>
      <c r="E94" s="72" t="n">
        <f aca="false">20*LOG10(MAX(D94,0.000000000001)/$K$3)</f>
        <v>25.7821765290583</v>
      </c>
      <c r="F94" s="5"/>
      <c r="G94" s="5"/>
      <c r="H94" s="5"/>
      <c r="I94" s="5"/>
      <c r="J94" s="5"/>
      <c r="K94" s="5"/>
      <c r="L94" s="5"/>
      <c r="M94" s="5"/>
      <c r="N94" s="5"/>
    </row>
    <row r="95" customFormat="false" ht="15" hidden="false" customHeight="false" outlineLevel="0" collapsed="false">
      <c r="A95" s="71" t="n">
        <f aca="false">A94+$F$3</f>
        <v>1780</v>
      </c>
      <c r="B95" s="71" t="n">
        <f aca="false">SUMPRODUCT(固有振動数!$Q$6:$Q$22*(1-($A95/固有振動数!$O$6:$O$22)^2)/((1-($A95/固有振動数!$O$6:$O$22)^2)^2+固有振動数!$P$6:$P$22^2))</f>
        <v>19.6129856828137</v>
      </c>
      <c r="C95" s="71" t="n">
        <f aca="false">-SUMPRODUCT(固有振動数!$Q$6:$Q$22*固有振動数!$P$6:$P$22/((1-($A95/固有振動数!$O$6:$O$22)^2)^2+固有振動数!$P$6:$P$22^2))</f>
        <v>-0.269314486470922</v>
      </c>
      <c r="D95" s="71" t="n">
        <f aca="false">SQRT(B95^2+C95^2)</f>
        <v>19.6148346331769</v>
      </c>
      <c r="E95" s="72" t="n">
        <f aca="false">20*LOG10(MAX(D95,0.000000000001)/$K$3)</f>
        <v>25.8516930214737</v>
      </c>
      <c r="F95" s="5"/>
      <c r="G95" s="5"/>
      <c r="H95" s="5"/>
      <c r="I95" s="5"/>
      <c r="J95" s="5"/>
      <c r="K95" s="5"/>
      <c r="L95" s="5"/>
      <c r="M95" s="5"/>
      <c r="N95" s="5"/>
    </row>
    <row r="96" customFormat="false" ht="15" hidden="false" customHeight="false" outlineLevel="0" collapsed="false">
      <c r="A96" s="71" t="n">
        <f aca="false">A95+$F$3</f>
        <v>1800</v>
      </c>
      <c r="B96" s="71" t="n">
        <f aca="false">SUMPRODUCT(固有振動数!$Q$6:$Q$22*(1-($A96/固有振動数!$O$6:$O$22)^2)/((1-($A96/固有振動数!$O$6:$O$22)^2)^2+固有振動数!$P$6:$P$22^2))</f>
        <v>19.7859227705869</v>
      </c>
      <c r="C96" s="71" t="n">
        <f aca="false">-SUMPRODUCT(固有振動数!$Q$6:$Q$22*固有振動数!$P$6:$P$22/((1-($A96/固有振動数!$O$6:$O$22)^2)^2+固有振動数!$P$6:$P$22^2))</f>
        <v>-0.280024282918527</v>
      </c>
      <c r="D96" s="71" t="n">
        <f aca="false">SQRT(B96^2+C96^2)</f>
        <v>19.7879042215858</v>
      </c>
      <c r="E96" s="72" t="n">
        <f aca="false">20*LOG10(MAX(D96,0.000000000001)/$K$3)</f>
        <v>25.9279959920626</v>
      </c>
      <c r="F96" s="5"/>
      <c r="G96" s="5"/>
      <c r="H96" s="5"/>
      <c r="I96" s="5"/>
      <c r="J96" s="5"/>
      <c r="K96" s="5"/>
      <c r="L96" s="5"/>
      <c r="M96" s="5"/>
      <c r="N96" s="5"/>
    </row>
    <row r="97" customFormat="false" ht="15" hidden="false" customHeight="false" outlineLevel="0" collapsed="false">
      <c r="A97" s="71" t="n">
        <f aca="false">A96+$F$3</f>
        <v>1820</v>
      </c>
      <c r="B97" s="71" t="n">
        <f aca="false">SUMPRODUCT(固有振動数!$Q$6:$Q$22*(1-($A97/固有振動数!$O$6:$O$22)^2)/((1-($A97/固有振動数!$O$6:$O$22)^2)^2+固有振動数!$P$6:$P$22^2))</f>
        <v>19.9785022066171</v>
      </c>
      <c r="C97" s="71" t="n">
        <f aca="false">-SUMPRODUCT(固有振動数!$Q$6:$Q$22*固有振動数!$P$6:$P$22/((1-($A97/固有振動数!$O$6:$O$22)^2)^2+固有振動数!$P$6:$P$22^2))</f>
        <v>-0.292620295379588</v>
      </c>
      <c r="D97" s="71" t="n">
        <f aca="false">SQRT(B97^2+C97^2)</f>
        <v>19.9806450610853</v>
      </c>
      <c r="E97" s="72" t="n">
        <f aca="false">20*LOG10(MAX(D97,0.000000000001)/$K$3)</f>
        <v>26.0121901001693</v>
      </c>
      <c r="F97" s="5"/>
      <c r="G97" s="5"/>
      <c r="H97" s="5"/>
      <c r="I97" s="5"/>
      <c r="J97" s="5"/>
      <c r="K97" s="5"/>
      <c r="L97" s="5"/>
      <c r="M97" s="5"/>
      <c r="N97" s="5"/>
    </row>
    <row r="98" customFormat="false" ht="15" hidden="false" customHeight="false" outlineLevel="0" collapsed="false">
      <c r="A98" s="71" t="n">
        <f aca="false">A97+$F$3</f>
        <v>1840</v>
      </c>
      <c r="B98" s="71" t="n">
        <f aca="false">SUMPRODUCT(固有振動数!$Q$6:$Q$22*(1-($A98/固有振動数!$O$6:$O$22)^2)/((1-($A98/固有振動数!$O$6:$O$22)^2)^2+固有振動数!$P$6:$P$22^2))</f>
        <v>20.1944261296043</v>
      </c>
      <c r="C98" s="71" t="n">
        <f aca="false">-SUMPRODUCT(固有振動数!$Q$6:$Q$22*固有振動数!$P$6:$P$22/((1-($A98/固有振動数!$O$6:$O$22)^2)^2+固有振動数!$P$6:$P$22^2))</f>
        <v>-0.307589376450228</v>
      </c>
      <c r="D98" s="71" t="n">
        <f aca="false">SQRT(B98^2+C98^2)</f>
        <v>20.196768502128</v>
      </c>
      <c r="E98" s="72" t="n">
        <f aca="false">20*LOG10(MAX(D98,0.000000000001)/$K$3)</f>
        <v>26.105637751346</v>
      </c>
      <c r="F98" s="5"/>
      <c r="G98" s="5"/>
      <c r="H98" s="5"/>
      <c r="I98" s="5"/>
      <c r="J98" s="5"/>
      <c r="K98" s="5"/>
      <c r="L98" s="5"/>
      <c r="M98" s="5"/>
      <c r="N98" s="5"/>
    </row>
    <row r="99" customFormat="false" ht="15" hidden="false" customHeight="false" outlineLevel="0" collapsed="false">
      <c r="A99" s="71" t="n">
        <f aca="false">A98+$F$3</f>
        <v>1860</v>
      </c>
      <c r="B99" s="71" t="n">
        <f aca="false">SUMPRODUCT(固有振動数!$Q$6:$Q$22*(1-($A99/固有振動数!$O$6:$O$22)^2)/((1-($A99/固有振動数!$O$6:$O$22)^2)^2+固有振動数!$P$6:$P$22^2))</f>
        <v>20.4383983389708</v>
      </c>
      <c r="C99" s="71" t="n">
        <f aca="false">-SUMPRODUCT(固有振動数!$Q$6:$Q$22*固有振動数!$P$6:$P$22/((1-($A99/固有振動数!$O$6:$O$22)^2)^2+固有振動数!$P$6:$P$22^2))</f>
        <v>-0.3255877170852</v>
      </c>
      <c r="D99" s="71" t="n">
        <f aca="false">SQRT(B99^2+C99^2)</f>
        <v>20.4409915127413</v>
      </c>
      <c r="E99" s="72" t="n">
        <f aca="false">20*LOG10(MAX(D99,0.000000000001)/$K$3)</f>
        <v>26.2100391580877</v>
      </c>
      <c r="F99" s="5"/>
      <c r="G99" s="5"/>
      <c r="H99" s="5"/>
      <c r="I99" s="5"/>
      <c r="J99" s="5"/>
      <c r="K99" s="5"/>
      <c r="L99" s="5"/>
      <c r="M99" s="5"/>
      <c r="N99" s="5"/>
    </row>
    <row r="100" customFormat="false" ht="15" hidden="false" customHeight="false" outlineLevel="0" collapsed="false">
      <c r="A100" s="71" t="n">
        <f aca="false">A99+$F$3</f>
        <v>1880</v>
      </c>
      <c r="B100" s="71" t="n">
        <f aca="false">SUMPRODUCT(固有振動数!$Q$6:$Q$22*(1-($A100/固有振動数!$O$6:$O$22)^2)/((1-($A100/固有振動数!$O$6:$O$22)^2)^2+固有振動数!$P$6:$P$22^2))</f>
        <v>20.7164873161563</v>
      </c>
      <c r="C100" s="71" t="n">
        <f aca="false">-SUMPRODUCT(固有振動数!$Q$6:$Q$22*固有振動数!$P$6:$P$22/((1-($A100/固有振動数!$O$6:$O$22)^2)^2+固有振動数!$P$6:$P$22^2))</f>
        <v>-0.347517014684772</v>
      </c>
      <c r="D100" s="71" t="n">
        <f aca="false">SQRT(B100^2+C100^2)</f>
        <v>20.7194018928144</v>
      </c>
      <c r="E100" s="72" t="n">
        <f aca="false">20*LOG10(MAX(D100,0.000000000001)/$K$3)</f>
        <v>26.3275442894181</v>
      </c>
      <c r="F100" s="5"/>
      <c r="G100" s="5"/>
      <c r="H100" s="5"/>
      <c r="I100" s="5"/>
      <c r="J100" s="5"/>
      <c r="K100" s="5"/>
      <c r="L100" s="5"/>
      <c r="M100" s="5"/>
      <c r="N100" s="5"/>
    </row>
    <row r="101" customFormat="false" ht="15" hidden="false" customHeight="false" outlineLevel="0" collapsed="false">
      <c r="A101" s="71" t="n">
        <f aca="false">A100+$F$3</f>
        <v>1900</v>
      </c>
      <c r="B101" s="71" t="n">
        <f aca="false">SUMPRODUCT(固有振動数!$Q$6:$Q$22*(1-($A101/固有振動数!$O$6:$O$22)^2)/((1-($A101/固有振動数!$O$6:$O$22)^2)^2+固有振動数!$P$6:$P$22^2))</f>
        <v>21.0366591604666</v>
      </c>
      <c r="C101" s="71" t="n">
        <f aca="false">-SUMPRODUCT(固有振動数!$Q$6:$Q$22*固有振動数!$P$6:$P$22/((1-($A101/固有振動数!$O$6:$O$22)^2)^2+固有振動数!$P$6:$P$22^2))</f>
        <v>-0.374643891278072</v>
      </c>
      <c r="D101" s="71" t="n">
        <f aca="false">SQRT(B101^2+C101^2)</f>
        <v>21.039994930582</v>
      </c>
      <c r="E101" s="72" t="n">
        <f aca="false">20*LOG10(MAX(D101,0.000000000001)/$K$3)</f>
        <v>26.4609126168388</v>
      </c>
      <c r="F101" s="5"/>
      <c r="G101" s="5"/>
      <c r="H101" s="5"/>
      <c r="I101" s="5"/>
      <c r="J101" s="5"/>
      <c r="K101" s="5"/>
      <c r="L101" s="5"/>
      <c r="M101" s="5"/>
      <c r="N101" s="5"/>
    </row>
    <row r="102" customFormat="false" ht="15" hidden="false" customHeight="false" outlineLevel="0" collapsed="false">
      <c r="A102" s="71" t="n">
        <f aca="false">A101+$F$3</f>
        <v>1920</v>
      </c>
      <c r="B102" s="71" t="n">
        <f aca="false">SUMPRODUCT(固有振動数!$Q$6:$Q$22*(1-($A102/固有振動数!$O$6:$O$22)^2)/((1-($A102/固有振動数!$O$6:$O$22)^2)^2+固有振動数!$P$6:$P$22^2))</f>
        <v>21.4095808484341</v>
      </c>
      <c r="C102" s="71" t="n">
        <f aca="false">-SUMPRODUCT(固有振動数!$Q$6:$Q$22*固有振動数!$P$6:$P$22/((1-($A102/固有振動数!$O$6:$O$22)^2)^2+固有振動数!$P$6:$P$22^2))</f>
        <v>-0.408793105968406</v>
      </c>
      <c r="D102" s="71" t="n">
        <f aca="false">SQRT(B102^2+C102^2)</f>
        <v>21.4134832269092</v>
      </c>
      <c r="E102" s="72" t="n">
        <f aca="false">20*LOG10(MAX(D102,0.000000000001)/$K$3)</f>
        <v>26.6137463521323</v>
      </c>
      <c r="F102" s="5"/>
      <c r="G102" s="5"/>
      <c r="H102" s="5"/>
      <c r="I102" s="5"/>
      <c r="J102" s="5"/>
      <c r="K102" s="5"/>
      <c r="L102" s="5"/>
      <c r="M102" s="5"/>
      <c r="N102" s="5"/>
    </row>
    <row r="103" customFormat="false" ht="15" hidden="false" customHeight="false" outlineLevel="0" collapsed="false">
      <c r="A103" s="71" t="n">
        <f aca="false">A102+$F$3</f>
        <v>1940</v>
      </c>
      <c r="B103" s="71" t="n">
        <f aca="false">SUMPRODUCT(固有振動数!$Q$6:$Q$22*(1-($A103/固有振動数!$O$6:$O$22)^2)/((1-($A103/固有振動数!$O$6:$O$22)^2)^2+固有振動数!$P$6:$P$22^2))</f>
        <v>21.8498680851434</v>
      </c>
      <c r="C103" s="71" t="n">
        <f aca="false">-SUMPRODUCT(固有振動数!$Q$6:$Q$22*固有振動数!$P$6:$P$22/((1-($A103/固有振動数!$O$6:$O$22)^2)^2+固有振動数!$P$6:$P$22^2))</f>
        <v>-0.452671704262502</v>
      </c>
      <c r="D103" s="71" t="n">
        <f aca="false">SQRT(B103^2+C103^2)</f>
        <v>21.8545566646869</v>
      </c>
      <c r="E103" s="72" t="n">
        <f aca="false">20*LOG10(MAX(D103,0.000000000001)/$K$3)</f>
        <v>26.7908400188168</v>
      </c>
      <c r="F103" s="5"/>
      <c r="G103" s="5"/>
      <c r="H103" s="5"/>
      <c r="I103" s="5"/>
      <c r="J103" s="5"/>
      <c r="K103" s="5"/>
      <c r="L103" s="5"/>
      <c r="M103" s="5"/>
      <c r="N103" s="5"/>
    </row>
    <row r="104" customFormat="false" ht="15" hidden="false" customHeight="false" outlineLevel="0" collapsed="false">
      <c r="A104" s="71" t="n">
        <f aca="false">A103+$F$3</f>
        <v>1960</v>
      </c>
      <c r="B104" s="71" t="n">
        <f aca="false">SUMPRODUCT(固有振動数!$Q$6:$Q$22*(1-($A104/固有振動数!$O$6:$O$22)^2)/((1-($A104/固有振動数!$O$6:$O$22)^2)^2+固有振動数!$P$6:$P$22^2))</f>
        <v>22.3780929514642</v>
      </c>
      <c r="C104" s="71" t="n">
        <f aca="false">-SUMPRODUCT(固有振動数!$Q$6:$Q$22*固有振動数!$P$6:$P$22/((1-($A104/固有振動数!$O$6:$O$22)^2)^2+固有振動数!$P$6:$P$22^2))</f>
        <v>-0.510436300815408</v>
      </c>
      <c r="D104" s="71" t="n">
        <f aca="false">SQRT(B104^2+C104^2)</f>
        <v>22.3839136292464</v>
      </c>
      <c r="E104" s="72" t="n">
        <f aca="false">20*LOG10(MAX(D104,0.000000000001)/$K$3)</f>
        <v>26.9987204275744</v>
      </c>
      <c r="F104" s="5"/>
      <c r="G104" s="5"/>
      <c r="H104" s="5"/>
      <c r="I104" s="5"/>
      <c r="J104" s="5"/>
      <c r="K104" s="5"/>
      <c r="L104" s="5"/>
      <c r="M104" s="5"/>
      <c r="N104" s="5"/>
    </row>
    <row r="105" customFormat="false" ht="15" hidden="false" customHeight="false" outlineLevel="0" collapsed="false">
      <c r="A105" s="71" t="n">
        <f aca="false">A104+$F$3</f>
        <v>1980</v>
      </c>
      <c r="B105" s="71" t="n">
        <f aca="false">SUMPRODUCT(固有振動数!$Q$6:$Q$22*(1-($A105/固有振動数!$O$6:$O$22)^2)/((1-($A105/固有振動数!$O$6:$O$22)^2)^2+固有振動数!$P$6:$P$22^2))</f>
        <v>23.0241495024376</v>
      </c>
      <c r="C105" s="71" t="n">
        <f aca="false">-SUMPRODUCT(固有振動数!$Q$6:$Q$22*固有振動数!$P$6:$P$22/((1-($A105/固有振動数!$O$6:$O$22)^2)^2+固有振動数!$P$6:$P$22^2))</f>
        <v>-0.588736624882143</v>
      </c>
      <c r="D105" s="71" t="n">
        <f aca="false">SQRT(B105^2+C105^2)</f>
        <v>23.0316753868249</v>
      </c>
      <c r="E105" s="72" t="n">
        <f aca="false">20*LOG10(MAX(D105,0.000000000001)/$K$3)</f>
        <v>27.2465106175462</v>
      </c>
      <c r="F105" s="5"/>
      <c r="G105" s="5"/>
      <c r="H105" s="5"/>
      <c r="I105" s="5"/>
      <c r="J105" s="5"/>
      <c r="K105" s="5"/>
      <c r="L105" s="5"/>
      <c r="M105" s="5"/>
      <c r="N105" s="5"/>
    </row>
    <row r="106" customFormat="false" ht="15" hidden="false" customHeight="false" outlineLevel="0" collapsed="false">
      <c r="A106" s="71" t="n">
        <f aca="false">A105+$F$3</f>
        <v>2000</v>
      </c>
      <c r="B106" s="71" t="n">
        <f aca="false">SUMPRODUCT(固有振動数!$Q$6:$Q$22*(1-($A106/固有振動数!$O$6:$O$22)^2)/((1-($A106/固有振動数!$O$6:$O$22)^2)^2+固有振動数!$P$6:$P$22^2))</f>
        <v>23.8331784277123</v>
      </c>
      <c r="C106" s="71" t="n">
        <f aca="false">-SUMPRODUCT(固有振動数!$Q$6:$Q$22*固有振動数!$P$6:$P$22/((1-($A106/固有振動数!$O$6:$O$22)^2)^2+固有振動数!$P$6:$P$22^2))</f>
        <v>-0.698753503957041</v>
      </c>
      <c r="D106" s="71" t="n">
        <f aca="false">SQRT(B106^2+C106^2)</f>
        <v>23.8434194365335</v>
      </c>
      <c r="E106" s="72" t="n">
        <f aca="false">20*LOG10(MAX(D106,0.000000000001)/$K$3)</f>
        <v>27.5473707729798</v>
      </c>
      <c r="F106" s="5"/>
      <c r="G106" s="5"/>
      <c r="H106" s="5"/>
      <c r="I106" s="5"/>
      <c r="J106" s="5"/>
      <c r="K106" s="5"/>
      <c r="L106" s="5"/>
      <c r="M106" s="5"/>
      <c r="N106" s="5"/>
    </row>
    <row r="107" customFormat="false" ht="15" hidden="false" customHeight="false" outlineLevel="0" collapsed="false">
      <c r="A107" s="71" t="n">
        <f aca="false">A106+$F$3</f>
        <v>2020</v>
      </c>
      <c r="B107" s="71" t="n">
        <f aca="false">SUMPRODUCT(固有振動数!$Q$6:$Q$22*(1-($A107/固有振動数!$O$6:$O$22)^2)/((1-($A107/固有振動数!$O$6:$O$22)^2)^2+固有振動数!$P$6:$P$22^2))</f>
        <v>24.8766310131238</v>
      </c>
      <c r="C107" s="71" t="n">
        <f aca="false">-SUMPRODUCT(固有振動数!$Q$6:$Q$22*固有振動数!$P$6:$P$22/((1-($A107/固有振動数!$O$6:$O$22)^2)^2+固有振動数!$P$6:$P$22^2))</f>
        <v>-0.860480990432972</v>
      </c>
      <c r="D107" s="71" t="n">
        <f aca="false">SQRT(B107^2+C107^2)</f>
        <v>24.8915085540834</v>
      </c>
      <c r="E107" s="72" t="n">
        <f aca="false">20*LOG10(MAX(D107,0.000000000001)/$K$3)</f>
        <v>27.9210243579338</v>
      </c>
      <c r="F107" s="5"/>
      <c r="G107" s="5"/>
      <c r="H107" s="5"/>
      <c r="I107" s="5"/>
      <c r="J107" s="5"/>
      <c r="K107" s="5"/>
      <c r="L107" s="5"/>
      <c r="M107" s="5"/>
      <c r="N107" s="5"/>
    </row>
    <row r="108" customFormat="false" ht="15" hidden="false" customHeight="false" outlineLevel="0" collapsed="false">
      <c r="A108" s="71" t="n">
        <f aca="false">A107+$F$3</f>
        <v>2040</v>
      </c>
      <c r="B108" s="71" t="n">
        <f aca="false">SUMPRODUCT(固有振動数!$Q$6:$Q$22*(1-($A108/固有振動数!$O$6:$O$22)^2)/((1-($A108/固有振動数!$O$6:$O$22)^2)^2+固有振動数!$P$6:$P$22^2))</f>
        <v>26.2744880587169</v>
      </c>
      <c r="C108" s="71" t="n">
        <f aca="false">-SUMPRODUCT(固有振動数!$Q$6:$Q$22*固有振動数!$P$6:$P$22/((1-($A108/固有振動数!$O$6:$O$22)^2)^2+固有振動数!$P$6:$P$22^2))</f>
        <v>-1.112587465318</v>
      </c>
      <c r="D108" s="71" t="n">
        <f aca="false">SQRT(B108^2+C108^2)</f>
        <v>26.29803364542</v>
      </c>
      <c r="E108" s="72" t="n">
        <f aca="false">20*LOG10(MAX(D108,0.000000000001)/$K$3)</f>
        <v>28.3984655333925</v>
      </c>
      <c r="F108" s="5"/>
      <c r="G108" s="5"/>
      <c r="H108" s="5"/>
      <c r="I108" s="5"/>
      <c r="J108" s="5"/>
      <c r="K108" s="5"/>
      <c r="L108" s="5"/>
      <c r="M108" s="5"/>
      <c r="N108" s="5"/>
    </row>
    <row r="109" customFormat="false" ht="15" hidden="false" customHeight="false" outlineLevel="0" collapsed="false">
      <c r="A109" s="71" t="n">
        <f aca="false">A108+$F$3</f>
        <v>2060</v>
      </c>
      <c r="B109" s="71" t="n">
        <f aca="false">SUMPRODUCT(固有振動数!$Q$6:$Q$22*(1-($A109/固有振動数!$O$6:$O$22)^2)/((1-($A109/固有振動数!$O$6:$O$22)^2)^2+固有振動数!$P$6:$P$22^2))</f>
        <v>28.2441477488178</v>
      </c>
      <c r="C109" s="71" t="n">
        <f aca="false">-SUMPRODUCT(固有振動数!$Q$6:$Q$22*固有振動数!$P$6:$P$22/((1-($A109/固有振動数!$O$6:$O$22)^2)^2+固有振動数!$P$6:$P$22^2))</f>
        <v>-1.53798124311849</v>
      </c>
      <c r="D109" s="71" t="n">
        <f aca="false">SQRT(B109^2+C109^2)</f>
        <v>28.2859906731447</v>
      </c>
      <c r="E109" s="72" t="n">
        <f aca="false">20*LOG10(MAX(D109,0.000000000001)/$K$3)</f>
        <v>29.0314278767279</v>
      </c>
      <c r="F109" s="5"/>
      <c r="G109" s="5"/>
      <c r="H109" s="5"/>
      <c r="I109" s="5"/>
      <c r="J109" s="5"/>
      <c r="K109" s="5"/>
      <c r="L109" s="5"/>
      <c r="M109" s="5"/>
      <c r="N109" s="5"/>
    </row>
    <row r="110" customFormat="false" ht="15" hidden="false" customHeight="false" outlineLevel="0" collapsed="false">
      <c r="A110" s="71" t="n">
        <f aca="false">A109+$F$3</f>
        <v>2080</v>
      </c>
      <c r="B110" s="71" t="n">
        <f aca="false">SUMPRODUCT(固有振動数!$Q$6:$Q$22*(1-($A110/固有振動数!$O$6:$O$22)^2)/((1-($A110/固有振動数!$O$6:$O$22)^2)^2+固有振動数!$P$6:$P$22^2))</f>
        <v>31.221350514095</v>
      </c>
      <c r="C110" s="71" t="n">
        <f aca="false">-SUMPRODUCT(固有振動数!$Q$6:$Q$22*固有振動数!$P$6:$P$22/((1-($A110/固有振動数!$O$6:$O$22)^2)^2+固有振動数!$P$6:$P$22^2))</f>
        <v>-2.34157317735633</v>
      </c>
      <c r="D110" s="71" t="n">
        <f aca="false">SQRT(B110^2+C110^2)</f>
        <v>31.3090353231922</v>
      </c>
      <c r="E110" s="72" t="n">
        <f aca="false">20*LOG10(MAX(D110,0.000000000001)/$K$3)</f>
        <v>29.9133937315982</v>
      </c>
      <c r="F110" s="5"/>
      <c r="G110" s="5"/>
      <c r="H110" s="5"/>
      <c r="I110" s="5"/>
      <c r="J110" s="5"/>
      <c r="K110" s="5"/>
      <c r="L110" s="5"/>
      <c r="M110" s="5"/>
      <c r="N110" s="5"/>
    </row>
    <row r="111" customFormat="false" ht="15" hidden="false" customHeight="false" outlineLevel="0" collapsed="false">
      <c r="A111" s="71" t="n">
        <f aca="false">A110+$F$3</f>
        <v>2100</v>
      </c>
      <c r="B111" s="71" t="n">
        <f aca="false">SUMPRODUCT(固有振動数!$Q$6:$Q$22*(1-($A111/固有振動数!$O$6:$O$22)^2)/((1-($A111/固有振動数!$O$6:$O$22)^2)^2+固有振動数!$P$6:$P$22^2))</f>
        <v>36.2075943803581</v>
      </c>
      <c r="C111" s="71" t="n">
        <f aca="false">-SUMPRODUCT(固有振動数!$Q$6:$Q$22*固有振動数!$P$6:$P$22/((1-($A111/固有振動数!$O$6:$O$22)^2)^2+固有振動数!$P$6:$P$22^2))</f>
        <v>-4.1474892130644</v>
      </c>
      <c r="D111" s="71" t="n">
        <f aca="false">SQRT(B111^2+C111^2)</f>
        <v>36.4443624938759</v>
      </c>
      <c r="E111" s="72" t="n">
        <f aca="false">20*LOG10(MAX(D111,0.000000000001)/$K$3)</f>
        <v>31.2326071539545</v>
      </c>
      <c r="F111" s="5"/>
      <c r="G111" s="5"/>
      <c r="H111" s="5"/>
      <c r="I111" s="5"/>
      <c r="J111" s="5"/>
      <c r="K111" s="5"/>
      <c r="L111" s="5"/>
      <c r="M111" s="5"/>
      <c r="N111" s="5"/>
    </row>
    <row r="112" customFormat="false" ht="15" hidden="false" customHeight="false" outlineLevel="0" collapsed="false">
      <c r="A112" s="71" t="n">
        <f aca="false">A111+$F$3</f>
        <v>2120</v>
      </c>
      <c r="B112" s="71" t="n">
        <f aca="false">SUMPRODUCT(固有振動数!$Q$6:$Q$22*(1-($A112/固有振動数!$O$6:$O$22)^2)/((1-($A112/固有振動数!$O$6:$O$22)^2)^2+固有振動数!$P$6:$P$22^2))</f>
        <v>45.9338879879977</v>
      </c>
      <c r="C112" s="71" t="n">
        <f aca="false">-SUMPRODUCT(固有振動数!$Q$6:$Q$22*固有振動数!$P$6:$P$22/((1-($A112/固有振動数!$O$6:$O$22)^2)^2+固有振動数!$P$6:$P$22^2))</f>
        <v>-9.61796840919139</v>
      </c>
      <c r="D112" s="71" t="n">
        <f aca="false">SQRT(B112^2+C112^2)</f>
        <v>46.9300264437825</v>
      </c>
      <c r="E112" s="72" t="n">
        <f aca="false">20*LOG10(MAX(D112,0.000000000001)/$K$3)</f>
        <v>33.4290159785118</v>
      </c>
      <c r="F112" s="5"/>
      <c r="G112" s="5"/>
      <c r="H112" s="5"/>
      <c r="I112" s="5"/>
      <c r="J112" s="5"/>
      <c r="K112" s="5"/>
      <c r="L112" s="5"/>
      <c r="M112" s="5"/>
      <c r="N112" s="5"/>
    </row>
    <row r="113" customFormat="false" ht="15" hidden="false" customHeight="false" outlineLevel="0" collapsed="false">
      <c r="A113" s="71" t="n">
        <f aca="false">A112+$F$3</f>
        <v>2140</v>
      </c>
      <c r="B113" s="71" t="n">
        <f aca="false">SUMPRODUCT(固有振動数!$Q$6:$Q$22*(1-($A113/固有振動数!$O$6:$O$22)^2)/((1-($A113/固有振動数!$O$6:$O$22)^2)^2+固有振動数!$P$6:$P$22^2))</f>
        <v>65.4029514769504</v>
      </c>
      <c r="C113" s="71" t="n">
        <f aca="false">-SUMPRODUCT(固有振動数!$Q$6:$Q$22*固有振動数!$P$6:$P$22/((1-($A113/固有振動数!$O$6:$O$22)^2)^2+固有振動数!$P$6:$P$22^2))</f>
        <v>-38.8284721733265</v>
      </c>
      <c r="D113" s="71" t="n">
        <f aca="false">SQRT(B113^2+C113^2)</f>
        <v>76.0604779975193</v>
      </c>
      <c r="E113" s="72" t="n">
        <f aca="false">20*LOG10(MAX(D113,0.000000000001)/$K$3)</f>
        <v>37.6231810076361</v>
      </c>
      <c r="F113" s="5"/>
      <c r="G113" s="5"/>
      <c r="H113" s="5"/>
      <c r="I113" s="5"/>
      <c r="J113" s="5"/>
      <c r="K113" s="5"/>
      <c r="L113" s="5"/>
      <c r="M113" s="5"/>
      <c r="N113" s="5"/>
    </row>
    <row r="114" customFormat="false" ht="15" hidden="false" customHeight="false" outlineLevel="0" collapsed="false">
      <c r="A114" s="71" t="n">
        <f aca="false">A113+$F$3</f>
        <v>2160</v>
      </c>
      <c r="B114" s="71" t="n">
        <f aca="false">SUMPRODUCT(固有振動数!$Q$6:$Q$22*(1-($A114/固有振動数!$O$6:$O$22)^2)/((1-($A114/固有振動数!$O$6:$O$22)^2)^2+固有振動数!$P$6:$P$22^2))</f>
        <v>-27.1989207195784</v>
      </c>
      <c r="C114" s="71" t="n">
        <f aca="false">-SUMPRODUCT(固有振動数!$Q$6:$Q$22*固有振動数!$P$6:$P$22/((1-($A114/固有振動数!$O$6:$O$22)^2)^2+固有振動数!$P$6:$P$22^2))</f>
        <v>-74.0675197821438</v>
      </c>
      <c r="D114" s="71" t="n">
        <f aca="false">SQRT(B114^2+C114^2)</f>
        <v>78.9036043219077</v>
      </c>
      <c r="E114" s="72" t="n">
        <f aca="false">20*LOG10(MAX(D114,0.000000000001)/$K$3)</f>
        <v>37.9419368452689</v>
      </c>
      <c r="F114" s="5"/>
      <c r="G114" s="5"/>
      <c r="H114" s="5"/>
      <c r="I114" s="5"/>
      <c r="J114" s="5"/>
      <c r="K114" s="5"/>
      <c r="L114" s="5"/>
      <c r="M114" s="5"/>
      <c r="N114" s="5"/>
    </row>
    <row r="115" customFormat="false" ht="15" hidden="false" customHeight="false" outlineLevel="0" collapsed="false">
      <c r="A115" s="71" t="n">
        <f aca="false">A114+$F$3</f>
        <v>2180</v>
      </c>
      <c r="B115" s="71" t="n">
        <f aca="false">SUMPRODUCT(固有振動数!$Q$6:$Q$22*(1-($A115/固有振動数!$O$6:$O$22)^2)/((1-($A115/固有振動数!$O$6:$O$22)^2)^2+固有振動数!$P$6:$P$22^2))</f>
        <v>-18.0856406971065</v>
      </c>
      <c r="C115" s="71" t="n">
        <f aca="false">-SUMPRODUCT(固有振動数!$Q$6:$Q$22*固有振動数!$P$6:$P$22/((1-($A115/固有振動数!$O$6:$O$22)^2)^2+固有振動数!$P$6:$P$22^2))</f>
        <v>-14.2993698066577</v>
      </c>
      <c r="D115" s="71" t="n">
        <f aca="false">SQRT(B115^2+C115^2)</f>
        <v>23.055636540603</v>
      </c>
      <c r="E115" s="72" t="n">
        <f aca="false">20*LOG10(MAX(D115,0.000000000001)/$K$3)</f>
        <v>27.2555423422169</v>
      </c>
      <c r="F115" s="5"/>
      <c r="G115" s="5"/>
      <c r="H115" s="5"/>
      <c r="I115" s="5"/>
      <c r="J115" s="5"/>
      <c r="K115" s="5"/>
      <c r="L115" s="5"/>
      <c r="M115" s="5"/>
      <c r="N115" s="5"/>
    </row>
    <row r="116" customFormat="false" ht="15" hidden="false" customHeight="false" outlineLevel="0" collapsed="false">
      <c r="A116" s="71" t="n">
        <f aca="false">A115+$F$3</f>
        <v>2200</v>
      </c>
      <c r="B116" s="71" t="n">
        <f aca="false">SUMPRODUCT(固有振動数!$Q$6:$Q$22*(1-($A116/固有振動数!$O$6:$O$22)^2)/((1-($A116/固有振動数!$O$6:$O$22)^2)^2+固有振動数!$P$6:$P$22^2))</f>
        <v>-5.05680379029852</v>
      </c>
      <c r="C116" s="71" t="n">
        <f aca="false">-SUMPRODUCT(固有振動数!$Q$6:$Q$22*固有振動数!$P$6:$P$22/((1-($A116/固有振動数!$O$6:$O$22)^2)^2+固有振動数!$P$6:$P$22^2))</f>
        <v>-5.18615970688389</v>
      </c>
      <c r="D116" s="71" t="n">
        <f aca="false">SQRT(B116^2+C116^2)</f>
        <v>7.24344649175262</v>
      </c>
      <c r="E116" s="72" t="n">
        <f aca="false">20*LOG10(MAX(D116,0.000000000001)/$K$3)</f>
        <v>17.1989051256018</v>
      </c>
      <c r="F116" s="5"/>
      <c r="G116" s="5"/>
      <c r="H116" s="5"/>
      <c r="I116" s="5"/>
      <c r="J116" s="5"/>
      <c r="K116" s="5"/>
      <c r="L116" s="5"/>
      <c r="M116" s="5"/>
      <c r="N116" s="5"/>
    </row>
    <row r="117" customFormat="false" ht="15" hidden="false" customHeight="false" outlineLevel="0" collapsed="false">
      <c r="A117" s="71" t="n">
        <f aca="false">A116+$F$3</f>
        <v>2220</v>
      </c>
      <c r="B117" s="71" t="n">
        <f aca="false">SUMPRODUCT(固有振動数!$Q$6:$Q$22*(1-($A117/固有振動数!$O$6:$O$22)^2)/((1-($A117/固有振動数!$O$6:$O$22)^2)^2+固有振動数!$P$6:$P$22^2))</f>
        <v>1.1984408924753</v>
      </c>
      <c r="C117" s="71" t="n">
        <f aca="false">-SUMPRODUCT(固有振動数!$Q$6:$Q$22*固有振動数!$P$6:$P$22/((1-($A117/固有振動数!$O$6:$O$22)^2)^2+固有振動数!$P$6:$P$22^2))</f>
        <v>-2.66513363479511</v>
      </c>
      <c r="D117" s="71" t="n">
        <f aca="false">SQRT(B117^2+C117^2)</f>
        <v>2.92219059338593</v>
      </c>
      <c r="E117" s="72" t="n">
        <f aca="false">20*LOG10(MAX(D117,0.000000000001)/$K$3)</f>
        <v>9.3141707682857</v>
      </c>
      <c r="F117" s="5"/>
      <c r="G117" s="5"/>
      <c r="H117" s="5"/>
      <c r="I117" s="5"/>
      <c r="J117" s="5"/>
      <c r="K117" s="5"/>
      <c r="L117" s="5"/>
      <c r="M117" s="5"/>
      <c r="N117" s="5"/>
    </row>
    <row r="118" customFormat="false" ht="15" hidden="false" customHeight="false" outlineLevel="0" collapsed="false">
      <c r="A118" s="71" t="n">
        <f aca="false">A117+$F$3</f>
        <v>2240</v>
      </c>
      <c r="B118" s="71" t="n">
        <f aca="false">SUMPRODUCT(固有振動数!$Q$6:$Q$22*(1-($A118/固有振動数!$O$6:$O$22)^2)/((1-($A118/固有振動数!$O$6:$O$22)^2)^2+固有振動数!$P$6:$P$22^2))</f>
        <v>4.75183865416866</v>
      </c>
      <c r="C118" s="71" t="n">
        <f aca="false">-SUMPRODUCT(固有振動数!$Q$6:$Q$22*固有振動数!$P$6:$P$22/((1-($A118/固有振動数!$O$6:$O$22)^2)^2+固有振動数!$P$6:$P$22^2))</f>
        <v>-1.64883872980073</v>
      </c>
      <c r="D118" s="71" t="n">
        <f aca="false">SQRT(B118^2+C118^2)</f>
        <v>5.0297753182565</v>
      </c>
      <c r="E118" s="72" t="n">
        <f aca="false">20*LOG10(MAX(D118,0.000000000001)/$K$3)</f>
        <v>14.030971708193</v>
      </c>
      <c r="F118" s="5"/>
      <c r="G118" s="5"/>
      <c r="H118" s="5"/>
      <c r="I118" s="5"/>
      <c r="J118" s="5"/>
      <c r="K118" s="5"/>
      <c r="L118" s="5"/>
      <c r="M118" s="5"/>
      <c r="N118" s="5"/>
    </row>
    <row r="119" customFormat="false" ht="15" hidden="false" customHeight="false" outlineLevel="0" collapsed="false">
      <c r="A119" s="71" t="n">
        <f aca="false">A118+$F$3</f>
        <v>2260</v>
      </c>
      <c r="B119" s="71" t="n">
        <f aca="false">SUMPRODUCT(固有振動数!$Q$6:$Q$22*(1-($A119/固有振動数!$O$6:$O$22)^2)/((1-($A119/固有振動数!$O$6:$O$22)^2)^2+固有振動数!$P$6:$P$22^2))</f>
        <v>7.02716285337402</v>
      </c>
      <c r="C119" s="71" t="n">
        <f aca="false">-SUMPRODUCT(固有振動数!$Q$6:$Q$22*固有振動数!$P$6:$P$22/((1-($A119/固有振動数!$O$6:$O$22)^2)^2+固有振動数!$P$6:$P$22^2))</f>
        <v>-1.14432746309364</v>
      </c>
      <c r="D119" s="71" t="n">
        <f aca="false">SQRT(B119^2+C119^2)</f>
        <v>7.11972633677938</v>
      </c>
      <c r="E119" s="72" t="n">
        <f aca="false">20*LOG10(MAX(D119,0.000000000001)/$K$3)</f>
        <v>17.0492660168081</v>
      </c>
      <c r="F119" s="5"/>
      <c r="G119" s="5"/>
      <c r="H119" s="5"/>
      <c r="I119" s="5"/>
      <c r="J119" s="5"/>
      <c r="K119" s="5"/>
      <c r="L119" s="5"/>
      <c r="M119" s="5"/>
      <c r="N119" s="5"/>
    </row>
    <row r="120" customFormat="false" ht="15" hidden="false" customHeight="false" outlineLevel="0" collapsed="false">
      <c r="A120" s="71" t="n">
        <f aca="false">A119+$F$3</f>
        <v>2280</v>
      </c>
      <c r="B120" s="71" t="n">
        <f aca="false">SUMPRODUCT(固有振動数!$Q$6:$Q$22*(1-($A120/固有振動数!$O$6:$O$22)^2)/((1-($A120/固有振動数!$O$6:$O$22)^2)^2+固有振動数!$P$6:$P$22^2))</f>
        <v>8.60649381775501</v>
      </c>
      <c r="C120" s="71" t="n">
        <f aca="false">-SUMPRODUCT(固有振動数!$Q$6:$Q$22*固有振動数!$P$6:$P$22/((1-($A120/固有振動数!$O$6:$O$22)^2)^2+固有振動数!$P$6:$P$22^2))</f>
        <v>-0.859001022577139</v>
      </c>
      <c r="D120" s="71" t="n">
        <f aca="false">SQRT(B120^2+C120^2)</f>
        <v>8.64925537788334</v>
      </c>
      <c r="E120" s="72" t="n">
        <f aca="false">20*LOG10(MAX(D120,0.000000000001)/$K$3)</f>
        <v>18.73957440549</v>
      </c>
      <c r="F120" s="5"/>
      <c r="G120" s="5"/>
      <c r="H120" s="5"/>
      <c r="I120" s="5"/>
      <c r="J120" s="5"/>
      <c r="K120" s="5"/>
      <c r="L120" s="5"/>
      <c r="M120" s="5"/>
      <c r="N120" s="5"/>
    </row>
    <row r="121" customFormat="false" ht="15" hidden="false" customHeight="false" outlineLevel="0" collapsed="false">
      <c r="A121" s="71" t="n">
        <f aca="false">A120+$F$3</f>
        <v>2300</v>
      </c>
      <c r="B121" s="71" t="n">
        <f aca="false">SUMPRODUCT(固有振動数!$Q$6:$Q$22*(1-($A121/固有振動数!$O$6:$O$22)^2)/((1-($A121/固有振動数!$O$6:$O$22)^2)^2+固有振動数!$P$6:$P$22^2))</f>
        <v>9.76717715308855</v>
      </c>
      <c r="C121" s="71" t="n">
        <f aca="false">-SUMPRODUCT(固有振動数!$Q$6:$Q$22*固有振動数!$P$6:$P$22/((1-($A121/固有振動数!$O$6:$O$22)^2)^2+固有振動数!$P$6:$P$22^2))</f>
        <v>-0.682608921921133</v>
      </c>
      <c r="D121" s="71" t="n">
        <f aca="false">SQRT(B121^2+C121^2)</f>
        <v>9.79100119906546</v>
      </c>
      <c r="E121" s="72" t="n">
        <f aca="false">20*LOG10(MAX(D121,0.000000000001)/$K$3)</f>
        <v>19.8165420750764</v>
      </c>
      <c r="F121" s="5"/>
      <c r="G121" s="5"/>
      <c r="H121" s="5"/>
      <c r="I121" s="5"/>
      <c r="J121" s="5"/>
      <c r="K121" s="5"/>
      <c r="L121" s="5"/>
      <c r="M121" s="5"/>
      <c r="N121" s="5"/>
    </row>
    <row r="122" customFormat="false" ht="15" hidden="false" customHeight="false" outlineLevel="0" collapsed="false">
      <c r="A122" s="71" t="n">
        <f aca="false">A121+$F$3</f>
        <v>2320</v>
      </c>
      <c r="B122" s="71" t="n">
        <f aca="false">SUMPRODUCT(固有振動数!$Q$6:$Q$22*(1-($A122/固有振動数!$O$6:$O$22)^2)/((1-($A122/固有振動数!$O$6:$O$22)^2)^2+固有振動数!$P$6:$P$22^2))</f>
        <v>10.6571681049505</v>
      </c>
      <c r="C122" s="71" t="n">
        <f aca="false">-SUMPRODUCT(固有振動数!$Q$6:$Q$22*固有振動数!$P$6:$P$22/((1-($A122/固有振動数!$O$6:$O$22)^2)^2+固有振動数!$P$6:$P$22^2))</f>
        <v>-0.566292056770539</v>
      </c>
      <c r="D122" s="71" t="n">
        <f aca="false">SQRT(B122^2+C122^2)</f>
        <v>10.6722030860893</v>
      </c>
      <c r="E122" s="72" t="n">
        <f aca="false">20*LOG10(MAX(D122,0.000000000001)/$K$3)</f>
        <v>20.5650816206713</v>
      </c>
      <c r="F122" s="5"/>
      <c r="G122" s="5"/>
      <c r="H122" s="5"/>
      <c r="I122" s="5"/>
      <c r="J122" s="5"/>
      <c r="K122" s="5"/>
      <c r="L122" s="5"/>
      <c r="M122" s="5"/>
      <c r="N122" s="5"/>
    </row>
    <row r="123" customFormat="false" ht="15" hidden="false" customHeight="false" outlineLevel="0" collapsed="false">
      <c r="A123" s="71" t="n">
        <f aca="false">A122+$F$3</f>
        <v>2340</v>
      </c>
      <c r="B123" s="71" t="n">
        <f aca="false">SUMPRODUCT(固有振動数!$Q$6:$Q$22*(1-($A123/固有振動数!$O$6:$O$22)^2)/((1-($A123/固有振動数!$O$6:$O$22)^2)^2+固有振動数!$P$6:$P$22^2))</f>
        <v>11.3623324435688</v>
      </c>
      <c r="C123" s="71" t="n">
        <f aca="false">-SUMPRODUCT(固有振動数!$Q$6:$Q$22*固有振動数!$P$6:$P$22/((1-($A123/固有振動数!$O$6:$O$22)^2)^2+固有振動数!$P$6:$P$22^2))</f>
        <v>-0.485752559473698</v>
      </c>
      <c r="D123" s="71" t="n">
        <f aca="false">SQRT(B123^2+C123^2)</f>
        <v>11.3727109392269</v>
      </c>
      <c r="E123" s="72" t="n">
        <f aca="false">20*LOG10(MAX(D123,0.000000000001)/$K$3)</f>
        <v>21.1172800160283</v>
      </c>
      <c r="F123" s="5"/>
      <c r="G123" s="5"/>
      <c r="H123" s="5"/>
      <c r="I123" s="5"/>
      <c r="J123" s="5"/>
      <c r="K123" s="5"/>
      <c r="L123" s="5"/>
      <c r="M123" s="5"/>
      <c r="N123" s="5"/>
    </row>
    <row r="124" customFormat="false" ht="15" hidden="false" customHeight="false" outlineLevel="0" collapsed="false">
      <c r="A124" s="71" t="n">
        <f aca="false">A123+$F$3</f>
        <v>2360</v>
      </c>
      <c r="B124" s="71" t="n">
        <f aca="false">SUMPRODUCT(固有振動数!$Q$6:$Q$22*(1-($A124/固有振動数!$O$6:$O$22)^2)/((1-($A124/固有振動数!$O$6:$O$22)^2)^2+固有振動数!$P$6:$P$22^2))</f>
        <v>11.9358329026123</v>
      </c>
      <c r="C124" s="71" t="n">
        <f aca="false">-SUMPRODUCT(固有振動数!$Q$6:$Q$22*固有振動数!$P$6:$P$22/((1-($A124/固有振動数!$O$6:$O$22)^2)^2+固有振動数!$P$6:$P$22^2))</f>
        <v>-0.427818571594647</v>
      </c>
      <c r="D124" s="71" t="n">
        <f aca="false">SQRT(B124^2+C124^2)</f>
        <v>11.9434976371783</v>
      </c>
      <c r="E124" s="72" t="n">
        <f aca="false">20*LOG10(MAX(D124,0.000000000001)/$K$3)</f>
        <v>21.5426305594605</v>
      </c>
      <c r="F124" s="5"/>
      <c r="G124" s="5"/>
      <c r="H124" s="5"/>
      <c r="I124" s="5"/>
      <c r="J124" s="5"/>
      <c r="K124" s="5"/>
      <c r="L124" s="5"/>
      <c r="M124" s="5"/>
      <c r="N124" s="5"/>
    </row>
    <row r="125" customFormat="false" ht="15" hidden="false" customHeight="false" outlineLevel="0" collapsed="false">
      <c r="A125" s="71" t="n">
        <f aca="false">A124+$F$3</f>
        <v>2380</v>
      </c>
      <c r="B125" s="71" t="n">
        <f aca="false">SUMPRODUCT(固有振動数!$Q$6:$Q$22*(1-($A125/固有振動数!$O$6:$O$22)^2)/((1-($A125/固有振動数!$O$6:$O$22)^2)^2+固有振動数!$P$6:$P$22^2))</f>
        <v>12.4123105278934</v>
      </c>
      <c r="C125" s="71" t="n">
        <f aca="false">-SUMPRODUCT(固有振動数!$Q$6:$Q$22*固有振動数!$P$6:$P$22/((1-($A125/固有振動数!$O$6:$O$22)^2)^2+固有振動数!$P$6:$P$22^2))</f>
        <v>-0.384854573940924</v>
      </c>
      <c r="D125" s="71" t="n">
        <f aca="false">SQRT(B125^2+C125^2)</f>
        <v>12.4182754714145</v>
      </c>
      <c r="E125" s="72" t="n">
        <f aca="false">20*LOG10(MAX(D125,0.000000000001)/$K$3)</f>
        <v>21.8812257891948</v>
      </c>
      <c r="F125" s="5"/>
      <c r="G125" s="5"/>
      <c r="H125" s="5"/>
      <c r="I125" s="5"/>
      <c r="J125" s="5"/>
      <c r="K125" s="5"/>
      <c r="L125" s="5"/>
      <c r="M125" s="5"/>
      <c r="N125" s="5"/>
    </row>
    <row r="126" customFormat="false" ht="15" hidden="false" customHeight="false" outlineLevel="0" collapsed="false">
      <c r="A126" s="71" t="n">
        <f aca="false">A125+$F$3</f>
        <v>2400</v>
      </c>
      <c r="B126" s="71" t="n">
        <f aca="false">SUMPRODUCT(固有振動数!$Q$6:$Q$22*(1-($A126/固有振動数!$O$6:$O$22)^2)/((1-($A126/固有振動数!$O$6:$O$22)^2)^2+固有振動数!$P$6:$P$22^2))</f>
        <v>12.815290477354</v>
      </c>
      <c r="C126" s="71" t="n">
        <f aca="false">-SUMPRODUCT(固有振動数!$Q$6:$Q$22*固有振動数!$P$6:$P$22/((1-($A126/固有振動数!$O$6:$O$22)^2)^2+固有振動数!$P$6:$P$22^2))</f>
        <v>-0.352190493788865</v>
      </c>
      <c r="D126" s="71" t="n">
        <f aca="false">SQRT(B126^2+C126^2)</f>
        <v>12.8201290228639</v>
      </c>
      <c r="E126" s="72" t="n">
        <f aca="false">20*LOG10(MAX(D126,0.000000000001)/$K$3)</f>
        <v>22.1578479196245</v>
      </c>
      <c r="F126" s="5"/>
      <c r="G126" s="5"/>
      <c r="H126" s="5"/>
      <c r="I126" s="5"/>
      <c r="J126" s="5"/>
      <c r="K126" s="5"/>
      <c r="L126" s="5"/>
      <c r="M126" s="5"/>
      <c r="N126" s="5"/>
    </row>
    <row r="127" customFormat="false" ht="15" hidden="false" customHeight="false" outlineLevel="0" collapsed="false">
      <c r="A127" s="71" t="n">
        <f aca="false">A126+$F$3</f>
        <v>2420</v>
      </c>
      <c r="B127" s="71" t="n">
        <f aca="false">SUMPRODUCT(固有振動数!$Q$6:$Q$22*(1-($A127/固有振動数!$O$6:$O$22)^2)/((1-($A127/固有振動数!$O$6:$O$22)^2)^2+固有振動数!$P$6:$P$22^2))</f>
        <v>13.1613036263969</v>
      </c>
      <c r="C127" s="71" t="n">
        <f aca="false">-SUMPRODUCT(固有振動数!$Q$6:$Q$22*固有振動数!$P$6:$P$22/((1-($A127/固有振動数!$O$6:$O$22)^2)^2+固有振動数!$P$6:$P$22^2))</f>
        <v>-0.326841792837756</v>
      </c>
      <c r="D127" s="71" t="n">
        <f aca="false">SQRT(B127^2+C127^2)</f>
        <v>13.1653613206684</v>
      </c>
      <c r="E127" s="72" t="n">
        <f aca="false">20*LOG10(MAX(D127,0.000000000001)/$K$3)</f>
        <v>22.3886556545906</v>
      </c>
      <c r="F127" s="5"/>
      <c r="G127" s="5"/>
      <c r="H127" s="5"/>
      <c r="I127" s="5"/>
      <c r="J127" s="5"/>
      <c r="K127" s="5"/>
      <c r="L127" s="5"/>
      <c r="M127" s="5"/>
      <c r="N127" s="5"/>
    </row>
    <row r="128" customFormat="false" ht="15" hidden="false" customHeight="false" outlineLevel="0" collapsed="false">
      <c r="A128" s="71" t="n">
        <f aca="false">A127+$F$3</f>
        <v>2440</v>
      </c>
      <c r="B128" s="71" t="n">
        <f aca="false">SUMPRODUCT(固有振動数!$Q$6:$Q$22*(1-($A128/固有振動数!$O$6:$O$22)^2)/((1-($A128/固有振動数!$O$6:$O$22)^2)^2+固有振動数!$P$6:$P$22^2))</f>
        <v>13.4623036156653</v>
      </c>
      <c r="C128" s="71" t="n">
        <f aca="false">-SUMPRODUCT(固有振動数!$Q$6:$Q$22*固有振動数!$P$6:$P$22/((1-($A128/固有振動数!$O$6:$O$22)^2)^2+固有振動数!$P$6:$P$22^2))</f>
        <v>-0.306829993662693</v>
      </c>
      <c r="D128" s="71" t="n">
        <f aca="false">SQRT(B128^2+C128^2)</f>
        <v>13.4657997640454</v>
      </c>
      <c r="E128" s="72" t="n">
        <f aca="false">20*LOG10(MAX(D128,0.000000000001)/$K$3)</f>
        <v>22.5846430447346</v>
      </c>
      <c r="F128" s="5"/>
      <c r="G128" s="5"/>
      <c r="H128" s="5"/>
      <c r="I128" s="5"/>
      <c r="J128" s="5"/>
      <c r="K128" s="5"/>
      <c r="L128" s="5"/>
      <c r="M128" s="5"/>
      <c r="N128" s="5"/>
    </row>
    <row r="129" customFormat="false" ht="15" hidden="false" customHeight="false" outlineLevel="0" collapsed="false">
      <c r="A129" s="71" t="n">
        <f aca="false">A128+$F$3</f>
        <v>2460</v>
      </c>
      <c r="B129" s="71" t="n">
        <f aca="false">SUMPRODUCT(固有振動数!$Q$6:$Q$22*(1-($A129/固有振動数!$O$6:$O$22)^2)/((1-($A129/固有振動数!$O$6:$O$22)^2)^2+固有振動数!$P$6:$P$22^2))</f>
        <v>13.7271476843855</v>
      </c>
      <c r="C129" s="71" t="n">
        <f aca="false">-SUMPRODUCT(固有振動数!$Q$6:$Q$22*固有振動数!$P$6:$P$22/((1-($A129/固有振動数!$O$6:$O$22)^2)^2+固有振動数!$P$6:$P$22^2))</f>
        <v>-0.290802255744122</v>
      </c>
      <c r="D129" s="71" t="n">
        <f aca="false">SQRT(B129^2+C129^2)</f>
        <v>13.7302275837247</v>
      </c>
      <c r="E129" s="72" t="n">
        <f aca="false">20*LOG10(MAX(D129,0.000000000001)/$K$3)</f>
        <v>22.7535547178402</v>
      </c>
      <c r="F129" s="5"/>
      <c r="G129" s="5"/>
      <c r="H129" s="5"/>
      <c r="I129" s="5"/>
      <c r="J129" s="5"/>
      <c r="K129" s="5"/>
      <c r="L129" s="5"/>
      <c r="M129" s="5"/>
      <c r="N129" s="5"/>
    </row>
    <row r="130" customFormat="false" ht="15" hidden="false" customHeight="false" outlineLevel="0" collapsed="false">
      <c r="A130" s="71" t="n">
        <f aca="false">A129+$F$3</f>
        <v>2480</v>
      </c>
      <c r="B130" s="71" t="n">
        <f aca="false">SUMPRODUCT(固有振動数!$Q$6:$Q$22*(1-($A130/固有振動数!$O$6:$O$22)^2)/((1-($A130/固有振動数!$O$6:$O$22)^2)^2+固有振動数!$P$6:$P$22^2))</f>
        <v>13.9625382317926</v>
      </c>
      <c r="C130" s="71" t="n">
        <f aca="false">-SUMPRODUCT(固有振動数!$Q$6:$Q$22*固有振動数!$P$6:$P$22/((1-($A130/固有振動数!$O$6:$O$22)^2)^2+固有振動数!$P$6:$P$22^2))</f>
        <v>-0.277808621779245</v>
      </c>
      <c r="D130" s="71" t="n">
        <f aca="false">SQRT(B130^2+C130^2)</f>
        <v>13.9653016975862</v>
      </c>
      <c r="E130" s="72" t="n">
        <f aca="false">20*LOG10(MAX(D130,0.000000000001)/$K$3)</f>
        <v>22.9010064472591</v>
      </c>
      <c r="F130" s="5"/>
      <c r="G130" s="5"/>
      <c r="H130" s="5"/>
      <c r="I130" s="5"/>
      <c r="J130" s="5"/>
      <c r="K130" s="5"/>
      <c r="L130" s="5"/>
      <c r="M130" s="5"/>
      <c r="N130" s="5"/>
    </row>
    <row r="131" customFormat="false" ht="15" hidden="false" customHeight="false" outlineLevel="0" collapsed="false">
      <c r="A131" s="71" t="n">
        <f aca="false">A130+$F$3</f>
        <v>2500</v>
      </c>
      <c r="B131" s="71" t="n">
        <f aca="false">SUMPRODUCT(固有振動数!$Q$6:$Q$22*(1-($A131/固有振動数!$O$6:$O$22)^2)/((1-($A131/固有振動数!$O$6:$O$22)^2)^2+固有振動数!$P$6:$P$22^2))</f>
        <v>14.1736408905103</v>
      </c>
      <c r="C131" s="71" t="n">
        <f aca="false">-SUMPRODUCT(固有振動数!$Q$6:$Q$22*固有振動数!$P$6:$P$22/((1-($A131/固有振動数!$O$6:$O$22)^2)^2+固有振動数!$P$6:$P$22^2))</f>
        <v>-0.267166495853985</v>
      </c>
      <c r="D131" s="71" t="n">
        <f aca="false">SQRT(B131^2+C131^2)</f>
        <v>14.176158648578</v>
      </c>
      <c r="E131" s="72" t="n">
        <f aca="false">20*LOG10(MAX(D131,0.000000000001)/$K$3)</f>
        <v>23.0311712971468</v>
      </c>
      <c r="F131" s="5"/>
      <c r="G131" s="5"/>
      <c r="H131" s="5"/>
      <c r="I131" s="5"/>
      <c r="J131" s="5"/>
      <c r="K131" s="5"/>
      <c r="L131" s="5"/>
      <c r="M131" s="5"/>
      <c r="N131" s="5"/>
    </row>
    <row r="132" customFormat="false" ht="15" hidden="false" customHeight="false" outlineLevel="0" collapsed="false">
      <c r="A132" s="71" t="n">
        <f aca="false">A131+$F$3</f>
        <v>2520</v>
      </c>
      <c r="B132" s="71" t="n">
        <f aca="false">SUMPRODUCT(固有振動数!$Q$6:$Q$22*(1-($A132/固有振動数!$O$6:$O$22)^2)/((1-($A132/固有振動数!$O$6:$O$22)^2)^2+固有振動数!$P$6:$P$22^2))</f>
        <v>14.3645016425747</v>
      </c>
      <c r="C132" s="71" t="n">
        <f aca="false">-SUMPRODUCT(固有振動数!$Q$6:$Q$22*固有振動数!$P$6:$P$22/((1-($A132/固有振動数!$O$6:$O$22)^2)^2+固有振動数!$P$6:$P$22^2))</f>
        <v>-0.258375418018403</v>
      </c>
      <c r="D132" s="71" t="n">
        <f aca="false">SQRT(B132^2+C132^2)</f>
        <v>14.3668251641122</v>
      </c>
      <c r="E132" s="72" t="n">
        <f aca="false">20*LOG10(MAX(D132,0.000000000001)/$K$3)</f>
        <v>23.1472161336747</v>
      </c>
      <c r="F132" s="5"/>
      <c r="G132" s="5"/>
      <c r="H132" s="5"/>
      <c r="I132" s="5"/>
      <c r="J132" s="5"/>
      <c r="K132" s="5"/>
      <c r="L132" s="5"/>
      <c r="M132" s="5"/>
      <c r="N132" s="5"/>
    </row>
    <row r="133" customFormat="false" ht="15" hidden="false" customHeight="false" outlineLevel="0" collapsed="false">
      <c r="A133" s="71" t="n">
        <f aca="false">A132+$F$3</f>
        <v>2540</v>
      </c>
      <c r="B133" s="71" t="n">
        <f aca="false">SUMPRODUCT(固有振動数!$Q$6:$Q$22*(1-($A133/固有振動数!$O$6:$O$22)^2)/((1-($A133/固有振動数!$O$6:$O$22)^2)^2+固有振動数!$P$6:$P$22^2))</f>
        <v>14.5383352321657</v>
      </c>
      <c r="C133" s="71" t="n">
        <f aca="false">-SUMPRODUCT(固有振動数!$Q$6:$Q$22*固有振動数!$P$6:$P$22/((1-($A133/固有振動数!$O$6:$O$22)^2)^2+固有振動数!$P$6:$P$22^2))</f>
        <v>-0.251061896612959</v>
      </c>
      <c r="D133" s="71" t="n">
        <f aca="false">SQRT(B133^2+C133^2)</f>
        <v>14.5405028592124</v>
      </c>
      <c r="E133" s="72" t="n">
        <f aca="false">20*LOG10(MAX(D133,0.000000000001)/$K$3)</f>
        <v>23.251588522764</v>
      </c>
      <c r="F133" s="5"/>
      <c r="G133" s="5"/>
      <c r="H133" s="5"/>
      <c r="I133" s="5"/>
      <c r="J133" s="5"/>
      <c r="K133" s="5"/>
      <c r="L133" s="5"/>
      <c r="M133" s="5"/>
      <c r="N133" s="5"/>
    </row>
    <row r="134" customFormat="false" ht="15" hidden="false" customHeight="false" outlineLevel="0" collapsed="false">
      <c r="A134" s="71" t="n">
        <f aca="false">A133+$F$3</f>
        <v>2560</v>
      </c>
      <c r="B134" s="71" t="n">
        <f aca="false">SUMPRODUCT(固有振動数!$Q$6:$Q$22*(1-($A134/固有振動数!$O$6:$O$22)^2)/((1-($A134/固有振動数!$O$6:$O$22)^2)^2+固有振動数!$P$6:$P$22^2))</f>
        <v>14.697728911169</v>
      </c>
      <c r="C134" s="71" t="n">
        <f aca="false">-SUMPRODUCT(固有振動数!$Q$6:$Q$22*固有振動数!$P$6:$P$22/((1-($A134/固有振動数!$O$6:$O$22)^2)^2+固有振動数!$P$6:$P$22^2))</f>
        <v>-0.244942776096592</v>
      </c>
      <c r="D134" s="71" t="n">
        <f aca="false">SQRT(B134^2+C134^2)</f>
        <v>14.6997697978497</v>
      </c>
      <c r="E134" s="72" t="n">
        <f aca="false">20*LOG10(MAX(D134,0.000000000001)/$K$3)</f>
        <v>23.3462106727779</v>
      </c>
      <c r="F134" s="5"/>
      <c r="G134" s="5"/>
      <c r="H134" s="5"/>
      <c r="I134" s="5"/>
      <c r="J134" s="5"/>
      <c r="K134" s="5"/>
      <c r="L134" s="5"/>
      <c r="M134" s="5"/>
      <c r="N134" s="5"/>
    </row>
    <row r="135" customFormat="false" ht="15" hidden="false" customHeight="false" outlineLevel="0" collapsed="false">
      <c r="A135" s="71" t="n">
        <f aca="false">A134+$F$3</f>
        <v>2580</v>
      </c>
      <c r="B135" s="71" t="n">
        <f aca="false">SUMPRODUCT(固有振動数!$Q$6:$Q$22*(1-($A135/固有振動数!$O$6:$O$22)^2)/((1-($A135/固有振動数!$O$6:$O$22)^2)^2+固有振動数!$P$6:$P$22^2))</f>
        <v>14.8447891481713</v>
      </c>
      <c r="C135" s="71" t="n">
        <f aca="false">-SUMPRODUCT(固有振動数!$Q$6:$Q$22*固有振動数!$P$6:$P$22/((1-($A135/固有振動数!$O$6:$O$22)^2)^2+固有振動数!$P$6:$P$22^2))</f>
        <v>-0.239800356366891</v>
      </c>
      <c r="D135" s="71" t="n">
        <f aca="false">SQRT(B135^2+C135^2)</f>
        <v>14.8467258701903</v>
      </c>
      <c r="E135" s="72" t="n">
        <f aca="false">20*LOG10(MAX(D135,0.000000000001)/$K$3)</f>
        <v>23.4326137959107</v>
      </c>
      <c r="F135" s="5"/>
      <c r="G135" s="5"/>
      <c r="H135" s="5"/>
      <c r="I135" s="5"/>
      <c r="J135" s="5"/>
      <c r="K135" s="5"/>
      <c r="L135" s="5"/>
      <c r="M135" s="5"/>
      <c r="N135" s="5"/>
    </row>
    <row r="136" customFormat="false" ht="15" hidden="false" customHeight="false" outlineLevel="0" collapsed="false">
      <c r="A136" s="71" t="n">
        <f aca="false">A135+$F$3</f>
        <v>2600</v>
      </c>
      <c r="B136" s="71" t="n">
        <f aca="false">SUMPRODUCT(固有振動数!$Q$6:$Q$22*(1-($A136/固有振動数!$O$6:$O$22)^2)/((1-($A136/固有振動数!$O$6:$O$22)^2)^2+固有振動数!$P$6:$P$22^2))</f>
        <v>14.9812490917251</v>
      </c>
      <c r="C136" s="71" t="n">
        <f aca="false">-SUMPRODUCT(固有振動数!$Q$6:$Q$22*固有振動数!$P$6:$P$22/((1-($A136/固有振動数!$O$6:$O$22)^2)^2+固有振動数!$P$6:$P$22^2))</f>
        <v>-0.235465148680515</v>
      </c>
      <c r="D136" s="71" t="n">
        <f aca="false">SQRT(B136^2+C136^2)</f>
        <v>14.9830994184967</v>
      </c>
      <c r="E136" s="72" t="n">
        <f aca="false">20*LOG10(MAX(D136,0.000000000001)/$K$3)</f>
        <v>23.5120332247015</v>
      </c>
      <c r="F136" s="5"/>
      <c r="G136" s="5"/>
      <c r="H136" s="5"/>
      <c r="I136" s="5"/>
      <c r="J136" s="5"/>
      <c r="K136" s="5"/>
      <c r="L136" s="5"/>
      <c r="M136" s="5"/>
      <c r="N136" s="5"/>
    </row>
    <row r="137" customFormat="false" ht="15" hidden="false" customHeight="false" outlineLevel="0" collapsed="false">
      <c r="A137" s="71" t="n">
        <f aca="false">A136+$F$3</f>
        <v>2620</v>
      </c>
      <c r="B137" s="71" t="n">
        <f aca="false">SUMPRODUCT(固有振動数!$Q$6:$Q$22*(1-($A137/固有振動数!$O$6:$O$22)^2)/((1-($A137/固有振動数!$O$6:$O$22)^2)^2+固有振動数!$P$6:$P$22^2))</f>
        <v>15.1085485109571</v>
      </c>
      <c r="C137" s="71" t="n">
        <f aca="false">-SUMPRODUCT(固有振動数!$Q$6:$Q$22*固有振動数!$P$6:$P$22/((1-($A137/固有振動数!$O$6:$O$22)^2)^2+固有振動数!$P$6:$P$22^2))</f>
        <v>-0.231803705124399</v>
      </c>
      <c r="D137" s="71" t="n">
        <f aca="false">SQRT(B137^2+C137^2)</f>
        <v>15.1103266366302</v>
      </c>
      <c r="E137" s="72" t="n">
        <f aca="false">20*LOG10(MAX(D137,0.000000000001)/$K$3)</f>
        <v>23.5854770497889</v>
      </c>
      <c r="F137" s="5"/>
      <c r="G137" s="5"/>
      <c r="H137" s="5"/>
      <c r="I137" s="5"/>
      <c r="J137" s="5"/>
      <c r="K137" s="5"/>
      <c r="L137" s="5"/>
      <c r="M137" s="5"/>
      <c r="N137" s="5"/>
    </row>
    <row r="138" customFormat="false" ht="15" hidden="false" customHeight="false" outlineLevel="0" collapsed="false">
      <c r="A138" s="71" t="n">
        <f aca="false">A137+$F$3</f>
        <v>2640</v>
      </c>
      <c r="B138" s="71" t="n">
        <f aca="false">SUMPRODUCT(固有振動数!$Q$6:$Q$22*(1-($A138/固有振動数!$O$6:$O$22)^2)/((1-($A138/固有振動数!$O$6:$O$22)^2)^2+固有振動数!$P$6:$P$22^2))</f>
        <v>15.2278941006756</v>
      </c>
      <c r="C138" s="71" t="n">
        <f aca="false">-SUMPRODUCT(固有振動数!$Q$6:$Q$22*固有振動数!$P$6:$P$22/((1-($A138/固有振動数!$O$6:$O$22)^2)^2+固有振動数!$P$6:$P$22^2))</f>
        <v>-0.228709886694003</v>
      </c>
      <c r="D138" s="71" t="n">
        <f aca="false">SQRT(B138^2+C138^2)</f>
        <v>15.2296115168333</v>
      </c>
      <c r="E138" s="72" t="n">
        <f aca="false">20*LOG10(MAX(D138,0.000000000001)/$K$3)</f>
        <v>23.6537765063171</v>
      </c>
      <c r="F138" s="5"/>
      <c r="G138" s="5"/>
      <c r="H138" s="5"/>
      <c r="I138" s="5"/>
      <c r="J138" s="5"/>
      <c r="K138" s="5"/>
      <c r="L138" s="5"/>
      <c r="M138" s="5"/>
      <c r="N138" s="5"/>
    </row>
    <row r="139" customFormat="false" ht="15" hidden="false" customHeight="false" outlineLevel="0" collapsed="false">
      <c r="A139" s="71" t="n">
        <f aca="false">A138+$F$3</f>
        <v>2660</v>
      </c>
      <c r="B139" s="71" t="n">
        <f aca="false">SUMPRODUCT(固有振動数!$Q$6:$Q$22*(1-($A139/固有振動数!$O$6:$O$22)^2)/((1-($A139/固有振動数!$O$6:$O$22)^2)^2+固有振動数!$P$6:$P$22^2))</f>
        <v>15.3403055581575</v>
      </c>
      <c r="C139" s="71" t="n">
        <f aca="false">-SUMPRODUCT(固有振動数!$Q$6:$Q$22*固有振動数!$P$6:$P$22/((1-($A139/固有振動数!$O$6:$O$22)^2)^2+固有振動数!$P$6:$P$22^2))</f>
        <v>-0.22609850438854</v>
      </c>
      <c r="D139" s="71" t="n">
        <f aca="false">SQRT(B139^2+C139^2)</f>
        <v>15.3419716839565</v>
      </c>
      <c r="E139" s="72" t="n">
        <f aca="false">20*LOG10(MAX(D139,0.000000000001)/$K$3)</f>
        <v>23.7176235370266</v>
      </c>
      <c r="F139" s="5"/>
      <c r="G139" s="5"/>
      <c r="H139" s="5"/>
      <c r="I139" s="5"/>
      <c r="J139" s="5"/>
      <c r="K139" s="5"/>
      <c r="L139" s="5"/>
      <c r="M139" s="5"/>
      <c r="N139" s="5"/>
    </row>
    <row r="140" customFormat="false" ht="15" hidden="false" customHeight="false" outlineLevel="0" collapsed="false">
      <c r="A140" s="71" t="n">
        <f aca="false">A139+$F$3</f>
        <v>2680</v>
      </c>
      <c r="B140" s="71" t="n">
        <f aca="false">SUMPRODUCT(固有振動数!$Q$6:$Q$22*(1-($A140/固有振動数!$O$6:$O$22)^2)/((1-($A140/固有振動数!$O$6:$O$22)^2)^2+固有振動数!$P$6:$P$22^2))</f>
        <v>15.4466512025799</v>
      </c>
      <c r="C140" s="71" t="n">
        <f aca="false">-SUMPRODUCT(固有振動数!$Q$6:$Q$22*固有振動数!$P$6:$P$22/((1-($A140/固有振動数!$O$6:$O$22)^2)^2+固有振動数!$P$6:$P$22^2))</f>
        <v>-0.223900625126465</v>
      </c>
      <c r="D140" s="71" t="n">
        <f aca="false">SQRT(B140^2+C140^2)</f>
        <v>15.4482738473946</v>
      </c>
      <c r="E140" s="72" t="n">
        <f aca="false">20*LOG10(MAX(D140,0.000000000001)/$K$3)</f>
        <v>23.7775991892204</v>
      </c>
      <c r="F140" s="5"/>
      <c r="G140" s="5"/>
      <c r="H140" s="5"/>
      <c r="I140" s="5"/>
      <c r="J140" s="5"/>
      <c r="K140" s="5"/>
      <c r="L140" s="5"/>
      <c r="M140" s="5"/>
      <c r="N140" s="5"/>
    </row>
    <row r="141" customFormat="false" ht="15" hidden="false" customHeight="false" outlineLevel="0" collapsed="false">
      <c r="A141" s="71" t="n">
        <f aca="false">A140+$F$3</f>
        <v>2700</v>
      </c>
      <c r="B141" s="71" t="n">
        <f aca="false">SUMPRODUCT(固有振動数!$Q$6:$Q$22*(1-($A141/固有振動数!$O$6:$O$22)^2)/((1-($A141/固有振動数!$O$6:$O$22)^2)^2+固有振動数!$P$6:$P$22^2))</f>
        <v>15.5476758083681</v>
      </c>
      <c r="C141" s="71" t="n">
        <f aca="false">-SUMPRODUCT(固有振動数!$Q$6:$Q$22*固有振動数!$P$6:$P$22/((1-($A141/固有振動数!$O$6:$O$22)^2)^2+固有振動数!$P$6:$P$22^2))</f>
        <v>-0.222060063361667</v>
      </c>
      <c r="D141" s="71" t="n">
        <f aca="false">SQRT(B141^2+C141^2)</f>
        <v>15.5492615166719</v>
      </c>
      <c r="E141" s="72" t="n">
        <f aca="false">20*LOG10(MAX(D141,0.000000000001)/$K$3)</f>
        <v>23.8341953568388</v>
      </c>
      <c r="F141" s="5"/>
      <c r="G141" s="5"/>
      <c r="H141" s="5"/>
      <c r="I141" s="5"/>
      <c r="J141" s="5"/>
      <c r="K141" s="5"/>
      <c r="L141" s="5"/>
      <c r="M141" s="5"/>
      <c r="N141" s="5"/>
    </row>
    <row r="142" customFormat="false" ht="15" hidden="false" customHeight="false" outlineLevel="0" collapsed="false">
      <c r="A142" s="71" t="n">
        <f aca="false">A141+$F$3</f>
        <v>2720</v>
      </c>
      <c r="B142" s="71" t="n">
        <f aca="false">SUMPRODUCT(固有振動数!$Q$6:$Q$22*(1-($A142/固有振動数!$O$6:$O$22)^2)/((1-($A142/固有振動数!$O$6:$O$22)^2)^2+固有振動数!$P$6:$P$22^2))</f>
        <v>15.6440225720493</v>
      </c>
      <c r="C142" s="71" t="n">
        <f aca="false">-SUMPRODUCT(固有振動数!$Q$6:$Q$22*固有振動数!$P$6:$P$22/((1-($A142/固有振動数!$O$6:$O$22)^2)^2+固有振動数!$P$6:$P$22^2))</f>
        <v>-0.220530728938725</v>
      </c>
      <c r="D142" s="71" t="n">
        <f aca="false">SQRT(B142^2+C142^2)</f>
        <v>15.6455768841291</v>
      </c>
      <c r="E142" s="72" t="n">
        <f aca="false">20*LOG10(MAX(D142,0.000000000001)/$K$3)</f>
        <v>23.8878316219038</v>
      </c>
      <c r="F142" s="5"/>
      <c r="G142" s="5"/>
      <c r="H142" s="5"/>
      <c r="I142" s="5"/>
      <c r="J142" s="5"/>
      <c r="K142" s="5"/>
      <c r="L142" s="5"/>
      <c r="M142" s="5"/>
      <c r="N142" s="5"/>
    </row>
    <row r="143" customFormat="false" ht="15" hidden="false" customHeight="false" outlineLevel="0" collapsed="false">
      <c r="A143" s="71" t="n">
        <f aca="false">A142+$F$3</f>
        <v>2740</v>
      </c>
      <c r="B143" s="71" t="n">
        <f aca="false">SUMPRODUCT(固有振動数!$Q$6:$Q$22*(1-($A143/固有振動数!$O$6:$O$22)^2)/((1-($A143/固有振動数!$O$6:$O$22)^2)^2+固有振動数!$P$6:$P$22^2))</f>
        <v>15.7362506103582</v>
      </c>
      <c r="C143" s="71" t="n">
        <f aca="false">-SUMPRODUCT(固有振動数!$Q$6:$Q$22*固有振動数!$P$6:$P$22/((1-($A143/固有振動数!$O$6:$O$22)^2)^2+固有振動数!$P$6:$P$22^2))</f>
        <v>-0.219274601222989</v>
      </c>
      <c r="D143" s="71" t="n">
        <f aca="false">SQRT(B143^2+C143^2)</f>
        <v>15.7377782619638</v>
      </c>
      <c r="E143" s="72" t="n">
        <f aca="false">20*LOG10(MAX(D143,0.000000000001)/$K$3)</f>
        <v>23.9388684401637</v>
      </c>
      <c r="F143" s="5"/>
      <c r="G143" s="5"/>
      <c r="H143" s="5"/>
      <c r="I143" s="5"/>
      <c r="J143" s="5"/>
      <c r="K143" s="5"/>
      <c r="L143" s="5"/>
      <c r="M143" s="5"/>
      <c r="N143" s="5"/>
    </row>
    <row r="144" customFormat="false" ht="15" hidden="false" customHeight="false" outlineLevel="0" collapsed="false">
      <c r="A144" s="71" t="n">
        <f aca="false">A143+$F$3</f>
        <v>2760</v>
      </c>
      <c r="B144" s="71" t="n">
        <f aca="false">SUMPRODUCT(固有振動数!$Q$6:$Q$22*(1-($A144/固有振動数!$O$6:$O$22)^2)/((1-($A144/固有振動数!$O$6:$O$22)^2)^2+固有振動数!$P$6:$P$22^2))</f>
        <v>15.8248490198434</v>
      </c>
      <c r="C144" s="71" t="n">
        <f aca="false">-SUMPRODUCT(固有振動数!$Q$6:$Q$22*固有振動数!$P$6:$P$22/((1-($A144/固有振動数!$O$6:$O$22)^2)^2+固有振動数!$P$6:$P$22^2))</f>
        <v>-0.2182601667637</v>
      </c>
      <c r="D144" s="71" t="n">
        <f aca="false">SQRT(B144^2+C144^2)</f>
        <v>15.8263540969244</v>
      </c>
      <c r="E144" s="72" t="n">
        <f aca="false">20*LOG10(MAX(D144,0.000000000001)/$K$3)</f>
        <v>23.9876175670437</v>
      </c>
      <c r="F144" s="5"/>
      <c r="G144" s="5"/>
      <c r="H144" s="5"/>
      <c r="I144" s="5"/>
      <c r="J144" s="5"/>
      <c r="K144" s="5"/>
      <c r="L144" s="5"/>
      <c r="M144" s="5"/>
      <c r="N144" s="5"/>
    </row>
    <row r="145" customFormat="false" ht="15" hidden="false" customHeight="false" outlineLevel="0" collapsed="false">
      <c r="A145" s="71" t="n">
        <f aca="false">A144+$F$3</f>
        <v>2780</v>
      </c>
      <c r="B145" s="71" t="n">
        <f aca="false">SUMPRODUCT(固有振動数!$Q$6:$Q$22*(1-($A145/固有振動数!$O$6:$O$22)^2)/((1-($A145/固有振動数!$O$6:$O$22)^2)^2+固有振動数!$P$6:$P$22^2))</f>
        <v>15.910248265996</v>
      </c>
      <c r="C145" s="71" t="n">
        <f aca="false">-SUMPRODUCT(固有振動数!$Q$6:$Q$22*固有振動数!$P$6:$P$22/((1-($A145/固有振動数!$O$6:$O$22)^2)^2+固有振動数!$P$6:$P$22^2))</f>
        <v>-0.217461203845549</v>
      </c>
      <c r="D145" s="71" t="n">
        <f aca="false">SQRT(B145^2+C145^2)</f>
        <v>15.9117343259874</v>
      </c>
      <c r="E145" s="72" t="n">
        <f aca="false">20*LOG10(MAX(D145,0.000000000001)/$K$3)</f>
        <v>24.0343503775401</v>
      </c>
      <c r="F145" s="5"/>
      <c r="G145" s="5"/>
      <c r="H145" s="5"/>
      <c r="I145" s="5"/>
      <c r="J145" s="5"/>
      <c r="K145" s="5"/>
      <c r="L145" s="5"/>
      <c r="M145" s="5"/>
      <c r="N145" s="5"/>
    </row>
    <row r="146" customFormat="false" ht="15" hidden="false" customHeight="false" outlineLevel="0" collapsed="false">
      <c r="A146" s="71" t="n">
        <f aca="false">A145+$F$3</f>
        <v>2800</v>
      </c>
      <c r="B146" s="71" t="n">
        <f aca="false">SUMPRODUCT(固有振動数!$Q$6:$Q$22*(1-($A146/固有振動数!$O$6:$O$22)^2)/((1-($A146/固有振動数!$O$6:$O$22)^2)^2+固有振動数!$P$6:$P$22^2))</f>
        <v>15.9928294804937</v>
      </c>
      <c r="C146" s="71" t="n">
        <f aca="false">-SUMPRODUCT(固有振動数!$Q$6:$Q$22*固有振動数!$P$6:$P$22/((1-($A146/固有振動数!$O$6:$O$22)^2)^2+固有振動数!$P$6:$P$22^2))</f>
        <v>-0.216855829333502</v>
      </c>
      <c r="D146" s="71" t="n">
        <f aca="false">SQRT(B146^2+C146^2)</f>
        <v>15.9942996484017</v>
      </c>
      <c r="E146" s="72" t="n">
        <f aca="false">20*LOG10(MAX(D146,0.000000000001)/$K$3)</f>
        <v>24.0793045626837</v>
      </c>
      <c r="F146" s="5"/>
      <c r="G146" s="5"/>
      <c r="H146" s="5"/>
      <c r="I146" s="5"/>
      <c r="J146" s="5"/>
      <c r="K146" s="5"/>
      <c r="L146" s="5"/>
      <c r="M146" s="5"/>
      <c r="N146" s="5"/>
    </row>
    <row r="147" customFormat="false" ht="15" hidden="false" customHeight="false" outlineLevel="0" collapsed="false">
      <c r="A147" s="71" t="n">
        <f aca="false">A146+$F$3</f>
        <v>2820</v>
      </c>
      <c r="B147" s="71" t="n">
        <f aca="false">SUMPRODUCT(固有振動数!$Q$6:$Q$22*(1-($A147/固有振動数!$O$6:$O$22)^2)/((1-($A147/固有振動数!$O$6:$O$22)^2)^2+固有振動数!$P$6:$P$22^2))</f>
        <v>16.0729321067692</v>
      </c>
      <c r="C147" s="71" t="n">
        <f aca="false">-SUMPRODUCT(固有振動数!$Q$6:$Q$22*固有振動数!$P$6:$P$22/((1-($A147/固有振動数!$O$6:$O$22)^2)^2+固有振動数!$P$6:$P$22^2))</f>
        <v>-0.216425745785972</v>
      </c>
      <c r="D147" s="71" t="n">
        <f aca="false">SQRT(B147^2+C147^2)</f>
        <v>16.074389152072</v>
      </c>
      <c r="E147" s="72" t="n">
        <f aca="false">20*LOG10(MAX(D147,0.000000000001)/$K$3)</f>
        <v>24.1226895629672</v>
      </c>
      <c r="F147" s="5"/>
      <c r="G147" s="5"/>
      <c r="H147" s="5"/>
      <c r="I147" s="5"/>
      <c r="J147" s="5"/>
      <c r="K147" s="5"/>
      <c r="L147" s="5"/>
      <c r="M147" s="5"/>
      <c r="N147" s="5"/>
    </row>
    <row r="148" customFormat="false" ht="15" hidden="false" customHeight="false" outlineLevel="0" collapsed="false">
      <c r="A148" s="71" t="n">
        <f aca="false">A147+$F$3</f>
        <v>2840</v>
      </c>
      <c r="B148" s="71" t="n">
        <f aca="false">SUMPRODUCT(固有振動数!$Q$6:$Q$22*(1-($A148/固有振動数!$O$6:$O$22)^2)/((1-($A148/固有振動数!$O$6:$O$22)^2)^2+固有振動数!$P$6:$P$22^2))</f>
        <v>16.1508602319307</v>
      </c>
      <c r="C148" s="71" t="n">
        <f aca="false">-SUMPRODUCT(固有振動数!$Q$6:$Q$22*固有振動数!$P$6:$P$22/((1-($A148/固有振動数!$O$6:$O$22)^2)^2+固有振動数!$P$6:$P$22^2))</f>
        <v>-0.216155642897466</v>
      </c>
      <c r="D148" s="71" t="n">
        <f aca="false">SQRT(B148^2+C148^2)</f>
        <v>16.1523066307359</v>
      </c>
      <c r="E148" s="72" t="n">
        <f aca="false">20*LOG10(MAX(D148,0.000000000001)/$K$3)</f>
        <v>24.1646910107035</v>
      </c>
      <c r="F148" s="5"/>
      <c r="G148" s="5"/>
      <c r="H148" s="5"/>
      <c r="I148" s="5"/>
      <c r="J148" s="5"/>
      <c r="K148" s="5"/>
      <c r="L148" s="5"/>
      <c r="M148" s="5"/>
      <c r="N148" s="5"/>
    </row>
    <row r="149" customFormat="false" ht="15" hidden="false" customHeight="false" outlineLevel="0" collapsed="false">
      <c r="A149" s="71" t="n">
        <f aca="false">A148+$F$3</f>
        <v>2860</v>
      </c>
      <c r="B149" s="71" t="n">
        <f aca="false">SUMPRODUCT(固有振動数!$Q$6:$Q$22*(1-($A149/固有振動数!$O$6:$O$22)^2)/((1-($A149/固有振動数!$O$6:$O$22)^2)^2+固有振動数!$P$6:$P$22^2))</f>
        <v>16.2268878668798</v>
      </c>
      <c r="C149" s="71" t="n">
        <f aca="false">-SUMPRODUCT(固有振動数!$Q$6:$Q$22*固有振動数!$P$6:$P$22/((1-($A149/固有振動数!$O$6:$O$22)^2)^2+固有振動数!$P$6:$P$22^2))</f>
        <v>-0.216032718925996</v>
      </c>
      <c r="D149" s="71" t="n">
        <f aca="false">SQRT(B149^2+C149^2)</f>
        <v>16.2283258526546</v>
      </c>
      <c r="E149" s="72" t="n">
        <f aca="false">20*LOG10(MAX(D149,0.000000000001)/$K$3)</f>
        <v>24.2054743885691</v>
      </c>
      <c r="F149" s="5"/>
      <c r="G149" s="5"/>
      <c r="H149" s="5"/>
      <c r="I149" s="5"/>
      <c r="J149" s="5"/>
      <c r="K149" s="5"/>
      <c r="L149" s="5"/>
      <c r="M149" s="5"/>
      <c r="N149" s="5"/>
    </row>
    <row r="150" customFormat="false" ht="15" hidden="false" customHeight="false" outlineLevel="0" collapsed="false">
      <c r="A150" s="71" t="n">
        <f aca="false">A149+$F$3</f>
        <v>2880</v>
      </c>
      <c r="B150" s="71" t="n">
        <f aca="false">SUMPRODUCT(固有振動数!$Q$6:$Q$22*(1-($A150/固有振動数!$O$6:$O$22)^2)/((1-($A150/固有振動数!$O$6:$O$22)^2)^2+固有振動数!$P$6:$P$22^2))</f>
        <v>16.3012633791463</v>
      </c>
      <c r="C150" s="71" t="n">
        <f aca="false">-SUMPRODUCT(固有振動数!$Q$6:$Q$22*固有振動数!$P$6:$P$22/((1-($A150/固有振動数!$O$6:$O$22)^2)^2+固有振動数!$P$6:$P$22^2))</f>
        <v>-0.216046296205771</v>
      </c>
      <c r="D150" s="71" t="n">
        <f aca="false">SQRT(B150^2+C150^2)</f>
        <v>16.3026949845233</v>
      </c>
      <c r="E150" s="72" t="n">
        <f aca="false">20*LOG10(MAX(D150,0.000000000001)/$K$3)</f>
        <v>24.2451880637376</v>
      </c>
      <c r="F150" s="5"/>
      <c r="G150" s="5"/>
      <c r="H150" s="5"/>
      <c r="I150" s="5"/>
      <c r="J150" s="5"/>
      <c r="K150" s="5"/>
      <c r="L150" s="5"/>
      <c r="M150" s="5"/>
      <c r="N150" s="5"/>
    </row>
    <row r="151" customFormat="false" ht="15" hidden="false" customHeight="false" outlineLevel="0" collapsed="false">
      <c r="A151" s="71" t="n">
        <f aca="false">A150+$F$3</f>
        <v>2900</v>
      </c>
      <c r="B151" s="71" t="n">
        <f aca="false">SUMPRODUCT(固有振動数!$Q$6:$Q$22*(1-($A151/固有振動数!$O$6:$O$22)^2)/((1-($A151/固有振動数!$O$6:$O$22)^2)^2+固有振動数!$P$6:$P$22^2))</f>
        <v>16.3742132394555</v>
      </c>
      <c r="C151" s="71" t="n">
        <f aca="false">-SUMPRODUCT(固有振動数!$Q$6:$Q$22*固有振動数!$P$6:$P$22/((1-($A151/固有振動数!$O$6:$O$22)^2)^2+固有振動数!$P$6:$P$22^2))</f>
        <v>-0.216187511059255</v>
      </c>
      <c r="D151" s="71" t="n">
        <f aca="false">SQRT(B151^2+C151^2)</f>
        <v>16.3756403310252</v>
      </c>
      <c r="E151" s="72" t="n">
        <f aca="false">20*LOG10(MAX(D151,0.000000000001)/$K$3)</f>
        <v>24.2839658212687</v>
      </c>
      <c r="F151" s="5"/>
      <c r="G151" s="5"/>
      <c r="H151" s="5"/>
      <c r="I151" s="5"/>
      <c r="J151" s="5"/>
      <c r="K151" s="5"/>
      <c r="L151" s="5"/>
      <c r="M151" s="5"/>
      <c r="N151" s="5"/>
    </row>
    <row r="152" customFormat="false" ht="15" hidden="false" customHeight="false" outlineLevel="0" collapsed="false">
      <c r="A152" s="71" t="n">
        <f aca="false">A151+$F$3</f>
        <v>2920</v>
      </c>
      <c r="B152" s="71" t="n">
        <f aca="false">SUMPRODUCT(固有振動数!$Q$6:$Q$22*(1-($A152/固有振動数!$O$6:$O$22)^2)/((1-($A152/固有振動数!$O$6:$O$22)^2)^2+固有振動数!$P$6:$P$22^2))</f>
        <v>16.4459452097691</v>
      </c>
      <c r="C152" s="71" t="n">
        <f aca="false">-SUMPRODUCT(固有振動数!$Q$6:$Q$22*固有振動数!$P$6:$P$22/((1-($A152/固有振動数!$O$6:$O$22)^2)^2+固有振動数!$P$6:$P$22^2))</f>
        <v>-0.216449063038005</v>
      </c>
      <c r="D152" s="71" t="n">
        <f aca="false">SQRT(B152^2+C152^2)</f>
        <v>16.4473695173306</v>
      </c>
      <c r="E152" s="72" t="n">
        <f aca="false">20*LOG10(MAX(D152,0.000000000001)/$K$3)</f>
        <v>24.321928993492</v>
      </c>
      <c r="F152" s="5"/>
      <c r="G152" s="5"/>
      <c r="H152" s="5"/>
      <c r="I152" s="5"/>
      <c r="J152" s="5"/>
      <c r="K152" s="5"/>
      <c r="L152" s="5"/>
      <c r="M152" s="5"/>
      <c r="N152" s="5"/>
    </row>
    <row r="153" customFormat="false" ht="15" hidden="false" customHeight="false" outlineLevel="0" collapsed="false">
      <c r="A153" s="71" t="n">
        <f aca="false">A152+$F$3</f>
        <v>2940</v>
      </c>
      <c r="B153" s="71" t="n">
        <f aca="false">SUMPRODUCT(固有振動数!$Q$6:$Q$22*(1-($A153/固有振動数!$O$6:$O$22)^2)/((1-($A153/固有振動数!$O$6:$O$22)^2)^2+固有振動数!$P$6:$P$22^2))</f>
        <v>16.5166510749041</v>
      </c>
      <c r="C153" s="71" t="n">
        <f aca="false">-SUMPRODUCT(固有振動数!$Q$6:$Q$22*固有振動数!$P$6:$P$22/((1-($A153/固有振動数!$O$6:$O$22)^2)^2+固有振動数!$P$6:$P$22^2))</f>
        <v>-0.216825011881737</v>
      </c>
      <c r="D153" s="71" t="n">
        <f aca="false">SQRT(B153^2+C153^2)</f>
        <v>16.5180742163216</v>
      </c>
      <c r="E153" s="72" t="n">
        <f aca="false">20*LOG10(MAX(D153,0.000000000001)/$K$3)</f>
        <v>24.3591882616522</v>
      </c>
      <c r="F153" s="5"/>
      <c r="G153" s="5"/>
      <c r="H153" s="5"/>
      <c r="I153" s="5"/>
      <c r="J153" s="5"/>
      <c r="K153" s="5"/>
      <c r="L153" s="5"/>
      <c r="M153" s="5"/>
      <c r="N153" s="5"/>
    </row>
    <row r="154" customFormat="false" ht="15" hidden="false" customHeight="false" outlineLevel="0" collapsed="false">
      <c r="A154" s="71" t="n">
        <f aca="false">A153+$F$3</f>
        <v>2960</v>
      </c>
      <c r="B154" s="71" t="n">
        <f aca="false">SUMPRODUCT(固有振動数!$Q$6:$Q$22*(1-($A154/固有振動数!$O$6:$O$22)^2)/((1-($A154/固有振動数!$O$6:$O$22)^2)^2+固有振動数!$P$6:$P$22^2))</f>
        <v>16.5865089999495</v>
      </c>
      <c r="C154" s="71" t="n">
        <f aca="false">-SUMPRODUCT(固有振動数!$Q$6:$Q$22*固有振動数!$P$6:$P$22/((1-($A154/固有振動数!$O$6:$O$22)^2)^2+固有振動数!$P$6:$P$22^2))</f>
        <v>-0.21731061320234</v>
      </c>
      <c r="D154" s="71" t="n">
        <f aca="false">SQRT(B154^2+C154^2)</f>
        <v>16.5879325025157</v>
      </c>
      <c r="E154" s="72" t="n">
        <f aca="false">20*LOG10(MAX(D154,0.000000000001)/$K$3)</f>
        <v>24.395845190405</v>
      </c>
      <c r="F154" s="5"/>
      <c r="G154" s="5"/>
      <c r="H154" s="5"/>
      <c r="I154" s="5"/>
      <c r="J154" s="5"/>
      <c r="K154" s="5"/>
      <c r="L154" s="5"/>
      <c r="M154" s="5"/>
      <c r="N154" s="5"/>
    </row>
    <row r="155" customFormat="false" ht="15" hidden="false" customHeight="false" outlineLevel="0" collapsed="false">
      <c r="A155" s="71" t="n">
        <f aca="false">A154+$F$3</f>
        <v>2980</v>
      </c>
      <c r="B155" s="71" t="n">
        <f aca="false">SUMPRODUCT(固有振動数!$Q$6:$Q$22*(1-($A155/固有振動数!$O$6:$O$22)^2)/((1-($A155/固有振動数!$O$6:$O$22)^2)^2+固有振動数!$P$6:$P$22^2))</f>
        <v>16.6556855801872</v>
      </c>
      <c r="C155" s="71" t="n">
        <f aca="false">-SUMPRODUCT(固有振動数!$Q$6:$Q$22*固有振動数!$P$6:$P$22/((1-($A155/固有振動数!$O$6:$O$22)^2)^2+固有振動数!$P$6:$P$22^2))</f>
        <v>-0.217902185897293</v>
      </c>
      <c r="D155" s="71" t="n">
        <f aca="false">SQRT(B155^2+C155^2)</f>
        <v>16.6571108992128</v>
      </c>
      <c r="E155" s="72" t="n">
        <f aca="false">20*LOG10(MAX(D155,0.000000000001)/$K$3)</f>
        <v>24.431993543653</v>
      </c>
      <c r="F155" s="5"/>
      <c r="G155" s="5"/>
      <c r="H155" s="5"/>
      <c r="I155" s="5"/>
      <c r="J155" s="5"/>
      <c r="K155" s="5"/>
      <c r="L155" s="5"/>
      <c r="M155" s="5"/>
      <c r="N155" s="5"/>
    </row>
    <row r="156" customFormat="false" ht="15" hidden="false" customHeight="false" outlineLevel="0" collapsed="false">
      <c r="A156" s="71" t="n">
        <f aca="false">A155+$F$3</f>
        <v>3000</v>
      </c>
      <c r="B156" s="71" t="n">
        <f aca="false">SUMPRODUCT(固有振動数!$Q$6:$Q$22*(1-($A156/固有振動数!$O$6:$O$22)^2)/((1-($A156/固有振動数!$O$6:$O$22)^2)^2+固有振動数!$P$6:$P$22^2))</f>
        <v>16.7243376380578</v>
      </c>
      <c r="C156" s="71" t="n">
        <f aca="false">-SUMPRODUCT(固有振動数!$Q$6:$Q$22*固有振動数!$P$6:$P$22/((1-($A156/固有振動数!$O$6:$O$22)^2)^2+固有振動数!$P$6:$P$22^2))</f>
        <v>-0.218597005835713</v>
      </c>
      <c r="D156" s="71" t="n">
        <f aca="false">SQRT(B156^2+C156^2)</f>
        <v>16.7257661732644</v>
      </c>
      <c r="E156" s="72" t="n">
        <f aca="false">20*LOG10(MAX(D156,0.000000000001)/$K$3)</f>
        <v>24.4677204208147</v>
      </c>
      <c r="F156" s="5"/>
      <c r="G156" s="5"/>
      <c r="H156" s="5"/>
      <c r="I156" s="5"/>
      <c r="J156" s="5"/>
      <c r="K156" s="5"/>
      <c r="L156" s="5"/>
      <c r="M156" s="5"/>
      <c r="N156" s="5"/>
    </row>
    <row r="157" customFormat="false" ht="15" hidden="false" customHeight="false" outlineLevel="0" collapsed="false">
      <c r="A157" s="71" t="n">
        <f aca="false">A156+$F$3</f>
        <v>3020</v>
      </c>
      <c r="B157" s="71" t="n">
        <f aca="false">SUMPRODUCT(固有振動数!$Q$6:$Q$22*(1-($A157/固有振動数!$O$6:$O$22)^2)/((1-($A157/固有振動数!$O$6:$O$22)^2)^2+固有振動数!$P$6:$P$22^2))</f>
        <v>16.792613812127</v>
      </c>
      <c r="C157" s="71" t="n">
        <f aca="false">-SUMPRODUCT(固有振動数!$Q$6:$Q$22*固有振動数!$P$6:$P$22/((1-($A157/固有振動数!$O$6:$O$22)^2)^2+固有振動数!$P$6:$P$22^2))</f>
        <v>-0.219393221557123</v>
      </c>
      <c r="D157" s="71" t="n">
        <f aca="false">SQRT(B157^2+C157^2)</f>
        <v>16.7940469223145</v>
      </c>
      <c r="E157" s="72" t="n">
        <f aca="false">20*LOG10(MAX(D157,0.000000000001)/$K$3)</f>
        <v>24.5031072452751</v>
      </c>
      <c r="F157" s="5"/>
      <c r="G157" s="5"/>
      <c r="H157" s="5"/>
      <c r="I157" s="5"/>
      <c r="J157" s="5"/>
      <c r="K157" s="5"/>
      <c r="L157" s="5"/>
      <c r="M157" s="5"/>
      <c r="N157" s="5"/>
    </row>
    <row r="158" customFormat="false" ht="15" hidden="false" customHeight="false" outlineLevel="0" collapsed="false">
      <c r="A158" s="71" t="n">
        <f aca="false">A157+$F$3</f>
        <v>3040</v>
      </c>
      <c r="B158" s="71" t="n">
        <f aca="false">SUMPRODUCT(固有振動数!$Q$6:$Q$22*(1-($A158/固有振動数!$O$6:$O$22)^2)/((1-($A158/固有振動数!$O$6:$O$22)^2)^2+固有振動数!$P$6:$P$22^2))</f>
        <v>16.8606559754397</v>
      </c>
      <c r="C158" s="71" t="n">
        <f aca="false">-SUMPRODUCT(固有振動数!$Q$6:$Q$22*固有振動数!$P$6:$P$22/((1-($A158/固有振動数!$O$6:$O$22)^2)^2+固有振動数!$P$6:$P$22^2))</f>
        <v>-0.220289788663793</v>
      </c>
      <c r="D158" s="71" t="n">
        <f aca="false">SQRT(B158^2+C158^2)</f>
        <v>16.8620949918187</v>
      </c>
      <c r="E158" s="72" t="n">
        <f aca="false">20*LOG10(MAX(D158,0.000000000001)/$K$3)</f>
        <v>24.5382306309981</v>
      </c>
      <c r="F158" s="5"/>
      <c r="G158" s="5"/>
      <c r="H158" s="5"/>
      <c r="I158" s="5"/>
      <c r="J158" s="5"/>
      <c r="K158" s="5"/>
      <c r="L158" s="5"/>
      <c r="M158" s="5"/>
      <c r="N158" s="5"/>
    </row>
    <row r="159" customFormat="false" ht="15" hidden="false" customHeight="false" outlineLevel="0" collapsed="false">
      <c r="A159" s="71" t="n">
        <f aca="false">A158+$F$3</f>
        <v>3060</v>
      </c>
      <c r="B159" s="71" t="n">
        <f aca="false">SUMPRODUCT(固有振動数!$Q$6:$Q$22*(1-($A159/固有振動数!$O$6:$O$22)^2)/((1-($A159/固有振動数!$O$6:$O$22)^2)^2+固有振動数!$P$6:$P$22^2))</f>
        <v>16.9286005146569</v>
      </c>
      <c r="C159" s="71" t="n">
        <f aca="false">-SUMPRODUCT(固有振動数!$Q$6:$Q$22*固有振動数!$P$6:$P$22/((1-($A159/固有振動数!$O$6:$O$22)^2)^2+固有振動数!$P$6:$P$22^2))</f>
        <v>-0.221286420335881</v>
      </c>
      <c r="D159" s="71" t="n">
        <f aca="false">SQRT(B159^2+C159^2)</f>
        <v>16.9300467531743</v>
      </c>
      <c r="E159" s="72" t="n">
        <f aca="false">20*LOG10(MAX(D159,0.000000000001)/$K$3)</f>
        <v>24.5731631487322</v>
      </c>
      <c r="F159" s="5"/>
      <c r="G159" s="5"/>
      <c r="H159" s="5"/>
      <c r="I159" s="5"/>
      <c r="J159" s="5"/>
      <c r="K159" s="5"/>
      <c r="L159" s="5"/>
      <c r="M159" s="5"/>
      <c r="N159" s="5"/>
    </row>
    <row r="160" customFormat="false" ht="15" hidden="false" customHeight="false" outlineLevel="0" collapsed="false">
      <c r="A160" s="71" t="n">
        <f aca="false">A159+$F$3</f>
        <v>3080</v>
      </c>
      <c r="B160" s="71" t="n">
        <f aca="false">SUMPRODUCT(固有振動数!$Q$6:$Q$22*(1-($A160/固有振動数!$O$6:$O$22)^2)/((1-($A160/固有振動数!$O$6:$O$22)^2)^2+固有振動数!$P$6:$P$22^2))</f>
        <v>16.9965794966326</v>
      </c>
      <c r="C160" s="71" t="n">
        <f aca="false">-SUMPRODUCT(固有振動数!$Q$6:$Q$22*固有振動数!$P$6:$P$22/((1-($A160/固有振動数!$O$6:$O$22)^2)^2+固有振動数!$P$6:$P$22^2))</f>
        <v>-0.222383552002472</v>
      </c>
      <c r="D160" s="71" t="n">
        <f aca="false">SQRT(B160^2+C160^2)</f>
        <v>16.9980342695722</v>
      </c>
      <c r="E160" s="72" t="n">
        <f aca="false">20*LOG10(MAX(D160,0.000000000001)/$K$3)</f>
        <v>24.6079740096372</v>
      </c>
      <c r="F160" s="5"/>
      <c r="G160" s="5"/>
      <c r="H160" s="5"/>
      <c r="I160" s="5"/>
      <c r="J160" s="5"/>
      <c r="K160" s="5"/>
      <c r="L160" s="5"/>
      <c r="M160" s="5"/>
      <c r="N160" s="5"/>
    </row>
    <row r="161" customFormat="false" ht="15" hidden="false" customHeight="false" outlineLevel="0" collapsed="false">
      <c r="A161" s="71" t="n">
        <f aca="false">A160+$F$3</f>
        <v>3100</v>
      </c>
      <c r="B161" s="71" t="n">
        <f aca="false">SUMPRODUCT(固有振動数!$Q$6:$Q$22*(1-($A161/固有振動数!$O$6:$O$22)^2)/((1-($A161/固有振動数!$O$6:$O$22)^2)^2+固有振動数!$P$6:$P$22^2))</f>
        <v>17.0647217453524</v>
      </c>
      <c r="C161" s="71" t="n">
        <f aca="false">-SUMPRODUCT(固有振動数!$Q$6:$Q$22*固有振動数!$P$6:$P$22/((1-($A161/固有振動数!$O$6:$O$22)^2)^2+固有振動数!$P$6:$P$22^2))</f>
        <v>-0.223582318697142</v>
      </c>
      <c r="D161" s="71" t="n">
        <f aca="false">SQRT(B161^2+C161^2)</f>
        <v>17.0661863724599</v>
      </c>
      <c r="E161" s="72" t="n">
        <f aca="false">20*LOG10(MAX(D161,0.000000000001)/$K$3)</f>
        <v>24.6427296813044</v>
      </c>
      <c r="F161" s="5"/>
      <c r="G161" s="5"/>
      <c r="H161" s="5"/>
      <c r="I161" s="5"/>
      <c r="J161" s="5"/>
      <c r="K161" s="5"/>
      <c r="L161" s="5"/>
      <c r="M161" s="5"/>
      <c r="N161" s="5"/>
    </row>
    <row r="162" customFormat="false" ht="15" hidden="false" customHeight="false" outlineLevel="0" collapsed="false">
      <c r="A162" s="71" t="n">
        <f aca="false">A161+$F$3</f>
        <v>3120</v>
      </c>
      <c r="B162" s="71" t="n">
        <f aca="false">SUMPRODUCT(固有振動数!$Q$6:$Q$22*(1-($A162/固有振動数!$O$6:$O$22)^2)/((1-($A162/固有振動数!$O$6:$O$22)^2)^2+固有振動数!$P$6:$P$22^2))</f>
        <v>17.1331538492372</v>
      </c>
      <c r="C162" s="71" t="n">
        <f aca="false">-SUMPRODUCT(固有振動数!$Q$6:$Q$22*固有振動数!$P$6:$P$22/((1-($A162/固有振動数!$O$6:$O$22)^2)^2+固有振動数!$P$6:$P$22^2))</f>
        <v>-0.224884544041981</v>
      </c>
      <c r="D162" s="71" t="n">
        <f aca="false">SQRT(B162^2+C162^2)</f>
        <v>17.1346296685916</v>
      </c>
      <c r="E162" s="72" t="n">
        <f aca="false">20*LOG10(MAX(D162,0.000000000001)/$K$3)</f>
        <v>24.6774944488804</v>
      </c>
      <c r="F162" s="5"/>
      <c r="G162" s="5"/>
      <c r="H162" s="5"/>
      <c r="I162" s="5"/>
      <c r="J162" s="5"/>
      <c r="K162" s="5"/>
      <c r="L162" s="5"/>
      <c r="M162" s="5"/>
      <c r="N162" s="5"/>
    </row>
    <row r="163" customFormat="false" ht="15" hidden="false" customHeight="false" outlineLevel="0" collapsed="false">
      <c r="A163" s="71" t="n">
        <f aca="false">A162+$F$3</f>
        <v>3140</v>
      </c>
      <c r="B163" s="71" t="n">
        <f aca="false">SUMPRODUCT(固有振動数!$Q$6:$Q$22*(1-($A163/固有振動数!$O$6:$O$22)^2)/((1-($A163/固有振動数!$O$6:$O$22)^2)^2+固有振動数!$P$6:$P$22^2))</f>
        <v>17.2020011165626</v>
      </c>
      <c r="C163" s="71" t="n">
        <f aca="false">-SUMPRODUCT(固有振動数!$Q$6:$Q$22*固有振動数!$P$6:$P$22/((1-($A163/固有振動数!$O$6:$O$22)^2)^2+固有振動数!$P$6:$P$22^2))</f>
        <v>-0.226292740160972</v>
      </c>
      <c r="D163" s="71" t="n">
        <f aca="false">SQRT(B163^2+C163^2)</f>
        <v>17.2034894954038</v>
      </c>
      <c r="E163" s="72" t="n">
        <f aca="false">20*LOG10(MAX(D163,0.000000000001)/$K$3)</f>
        <v>24.7123309322114</v>
      </c>
      <c r="F163" s="5"/>
      <c r="G163" s="5"/>
      <c r="H163" s="5"/>
      <c r="I163" s="5"/>
      <c r="J163" s="5"/>
      <c r="K163" s="5"/>
      <c r="L163" s="5"/>
      <c r="M163" s="5"/>
      <c r="N163" s="5"/>
    </row>
    <row r="164" customFormat="false" ht="15" hidden="false" customHeight="false" outlineLevel="0" collapsed="false">
      <c r="A164" s="71" t="n">
        <f aca="false">A163+$F$3</f>
        <v>3160</v>
      </c>
      <c r="B164" s="71" t="n">
        <f aca="false">SUMPRODUCT(固有振動数!$Q$6:$Q$22*(1-($A164/固有振動数!$O$6:$O$22)^2)/((1-($A164/固有振動数!$O$6:$O$22)^2)^2+固有振動数!$P$6:$P$22^2))</f>
        <v>17.2713884950587</v>
      </c>
      <c r="C164" s="71" t="n">
        <f aca="false">-SUMPRODUCT(固有振動数!$Q$6:$Q$22*固有振動数!$P$6:$P$22/((1-($A164/固有振動数!$O$6:$O$22)^2)^2+固有振動数!$P$6:$P$22^2))</f>
        <v>-0.227810118140041</v>
      </c>
      <c r="D164" s="71" t="n">
        <f aca="false">SQRT(B164^2+C164^2)</f>
        <v>17.2728908407705</v>
      </c>
      <c r="E164" s="72" t="n">
        <f aca="false">20*LOG10(MAX(D164,0.000000000001)/$K$3)</f>
        <v>24.747300568522</v>
      </c>
      <c r="F164" s="5"/>
      <c r="G164" s="5"/>
      <c r="H164" s="5"/>
      <c r="I164" s="5"/>
      <c r="J164" s="5"/>
      <c r="K164" s="5"/>
      <c r="L164" s="5"/>
      <c r="M164" s="5"/>
      <c r="N164" s="5"/>
    </row>
    <row r="165" customFormat="false" ht="15" hidden="false" customHeight="false" outlineLevel="0" collapsed="false">
      <c r="A165" s="71" t="n">
        <f aca="false">A164+$F$3</f>
        <v>3180</v>
      </c>
      <c r="B165" s="71" t="n">
        <f aca="false">SUMPRODUCT(固有振動数!$Q$6:$Q$22*(1-($A165/固有振動数!$O$6:$O$22)^2)/((1-($A165/固有振動数!$O$6:$O$22)^2)^2+固有振動数!$P$6:$P$22^2))</f>
        <v>17.3414414705482</v>
      </c>
      <c r="C165" s="71" t="n">
        <f aca="false">-SUMPRODUCT(固有振動数!$Q$6:$Q$22*固有振動数!$P$6:$P$22/((1-($A165/固有振動数!$O$6:$O$22)^2)^2+固有振動数!$P$6:$P$22^2))</f>
        <v>-0.22944060894158</v>
      </c>
      <c r="D165" s="71" t="n">
        <f aca="false">SQRT(B165^2+C165^2)</f>
        <v>17.3429592419945</v>
      </c>
      <c r="E165" s="72" t="n">
        <f aca="false">20*LOG10(MAX(D165,0.000000000001)/$K$3)</f>
        <v>24.7824640690515</v>
      </c>
      <c r="F165" s="5"/>
      <c r="G165" s="5"/>
      <c r="H165" s="5"/>
      <c r="I165" s="5"/>
      <c r="J165" s="5"/>
      <c r="K165" s="5"/>
      <c r="L165" s="5"/>
      <c r="M165" s="5"/>
      <c r="N165" s="5"/>
    </row>
    <row r="166" customFormat="false" ht="15" hidden="false" customHeight="false" outlineLevel="0" collapsed="false">
      <c r="A166" s="71" t="n">
        <f aca="false">A165+$F$3</f>
        <v>3200</v>
      </c>
      <c r="B166" s="71" t="n">
        <f aca="false">SUMPRODUCT(固有振動数!$Q$6:$Q$22*(1-($A166/固有振動数!$O$6:$O$22)^2)/((1-($A166/固有振動数!$O$6:$O$22)^2)^2+固有振動数!$P$6:$P$22^2))</f>
        <v>17.4122869586999</v>
      </c>
      <c r="C166" s="71" t="n">
        <f aca="false">-SUMPRODUCT(固有振動数!$Q$6:$Q$22*固有振動数!$P$6:$P$22/((1-($A166/固有振動数!$O$6:$O$22)^2)^2+固有振動数!$P$6:$P$22^2))</f>
        <v>-0.23118889495861</v>
      </c>
      <c r="D166" s="71" t="n">
        <f aca="false">SQRT(B166^2+C166^2)</f>
        <v>17.4138216781172</v>
      </c>
      <c r="E166" s="72" t="n">
        <f aca="false">20*LOG10(MAX(D166,0.000000000001)/$K$3)</f>
        <v>24.8178818572462</v>
      </c>
      <c r="F166" s="5"/>
      <c r="G166" s="5"/>
      <c r="H166" s="5"/>
      <c r="I166" s="5"/>
      <c r="J166" s="5"/>
      <c r="K166" s="5"/>
      <c r="L166" s="5"/>
      <c r="M166" s="5"/>
      <c r="N166" s="5"/>
    </row>
    <row r="167" customFormat="false" ht="15" hidden="false" customHeight="false" outlineLevel="0" collapsed="false">
      <c r="A167" s="71" t="n">
        <f aca="false">A166+$F$3</f>
        <v>3220</v>
      </c>
      <c r="B167" s="71" t="n">
        <f aca="false">SUMPRODUCT(固有振動数!$Q$6:$Q$22*(1-($A167/固有振動数!$O$6:$O$22)^2)/((1-($A167/固有振動数!$O$6:$O$22)^2)^2+固有振動数!$P$6:$P$22^2))</f>
        <v>17.4840542035799</v>
      </c>
      <c r="C167" s="71" t="n">
        <f aca="false">-SUMPRODUCT(固有振動数!$Q$6:$Q$22*固有振動数!$P$6:$P$22/((1-($A167/固有振動数!$O$6:$O$22)^2)^2+固有振動数!$P$6:$P$22^2))</f>
        <v>-0.233060452669562</v>
      </c>
      <c r="D167" s="71" t="n">
        <f aca="false">SQRT(B167^2+C167^2)</f>
        <v>17.4856074692393</v>
      </c>
      <c r="E167" s="72" t="n">
        <f aca="false">20*LOG10(MAX(D167,0.000000000001)/$K$3)</f>
        <v>24.8536144955084</v>
      </c>
      <c r="F167" s="5"/>
      <c r="G167" s="5"/>
      <c r="H167" s="5"/>
      <c r="I167" s="5"/>
      <c r="J167" s="5"/>
      <c r="K167" s="5"/>
      <c r="L167" s="5"/>
      <c r="M167" s="5"/>
      <c r="N167" s="5"/>
    </row>
    <row r="168" customFormat="false" ht="15" hidden="false" customHeight="false" outlineLevel="0" collapsed="false">
      <c r="A168" s="71" t="n">
        <f aca="false">A167+$F$3</f>
        <v>3240</v>
      </c>
      <c r="B168" s="71" t="n">
        <f aca="false">SUMPRODUCT(固有振動数!$Q$6:$Q$22*(1-($A168/固有振動数!$O$6:$O$22)^2)/((1-($A168/固有振動数!$O$6:$O$22)^2)^2+固有振動数!$P$6:$P$22^2))</f>
        <v>17.5568756966538</v>
      </c>
      <c r="C168" s="71" t="n">
        <f aca="false">-SUMPRODUCT(固有振動数!$Q$6:$Q$22*固有振動数!$P$6:$P$22/((1-($A168/固有振動数!$O$6:$O$22)^2)^2+固有振動数!$P$6:$P$22^2))</f>
        <v>-0.235061607139993</v>
      </c>
      <c r="D168" s="71" t="n">
        <f aca="false">SQRT(B168^2+C168^2)</f>
        <v>17.5584491965237</v>
      </c>
      <c r="E168" s="72" t="n">
        <f aca="false">20*LOG10(MAX(D168,0.000000000001)/$K$3)</f>
        <v>24.8897231071031</v>
      </c>
      <c r="F168" s="5"/>
      <c r="G168" s="5"/>
      <c r="H168" s="5"/>
      <c r="I168" s="5"/>
      <c r="J168" s="5"/>
      <c r="K168" s="5"/>
      <c r="L168" s="5"/>
      <c r="M168" s="5"/>
      <c r="N168" s="5"/>
    </row>
    <row r="169" customFormat="false" ht="15" hidden="false" customHeight="false" outlineLevel="0" collapsed="false">
      <c r="A169" s="71" t="n">
        <f aca="false">A168+$F$3</f>
        <v>3260</v>
      </c>
      <c r="B169" s="71" t="n">
        <f aca="false">SUMPRODUCT(固有振動数!$Q$6:$Q$22*(1-($A169/固有振動数!$O$6:$O$22)^2)/((1-($A169/固有振動数!$O$6:$O$22)^2)^2+固有振動数!$P$6:$P$22^2))</f>
        <v>17.6308881302231</v>
      </c>
      <c r="C169" s="71" t="n">
        <f aca="false">-SUMPRODUCT(固有振動数!$Q$6:$Q$22*固有振動数!$P$6:$P$22/((1-($A169/固有振動数!$O$6:$O$22)^2)^2+固有振動数!$P$6:$P$22^2))</f>
        <v>-0.237199599423831</v>
      </c>
      <c r="D169" s="71" t="n">
        <f aca="false">SQRT(B169^2+C169^2)</f>
        <v>17.6324836568876</v>
      </c>
      <c r="E169" s="72" t="n">
        <f aca="false">20*LOG10(MAX(D169,0.000000000001)/$K$3)</f>
        <v>24.9262697996005</v>
      </c>
      <c r="F169" s="5"/>
      <c r="G169" s="5"/>
      <c r="H169" s="5"/>
      <c r="I169" s="5"/>
      <c r="J169" s="5"/>
      <c r="K169" s="5"/>
      <c r="L169" s="5"/>
      <c r="M169" s="5"/>
      <c r="N169" s="5"/>
    </row>
    <row r="170" customFormat="false" ht="15" hidden="false" customHeight="false" outlineLevel="0" collapsed="false">
      <c r="A170" s="71" t="n">
        <f aca="false">A169+$F$3</f>
        <v>3280</v>
      </c>
      <c r="B170" s="71" t="n">
        <f aca="false">SUMPRODUCT(固有振動数!$Q$6:$Q$22*(1-($A170/固有振動数!$O$6:$O$22)^2)/((1-($A170/固有振動数!$O$6:$O$22)^2)^2+固有振動数!$P$6:$P$22^2))</f>
        <v>17.7062333999708</v>
      </c>
      <c r="C170" s="71" t="n">
        <f aca="false">-SUMPRODUCT(固有振動数!$Q$6:$Q$22*固有振動数!$P$6:$P$22/((1-($A170/固有振動数!$O$6:$O$22)^2)^2+固有振動数!$P$6:$P$22^2))</f>
        <v>-0.239482668256016</v>
      </c>
      <c r="D170" s="71" t="n">
        <f aca="false">SQRT(B170^2+C170^2)</f>
        <v>17.7078528670937</v>
      </c>
      <c r="E170" s="72" t="n">
        <f aca="false">20*LOG10(MAX(D170,0.000000000001)/$K$3)</f>
        <v>24.963318096185</v>
      </c>
      <c r="F170" s="5"/>
      <c r="G170" s="5"/>
      <c r="H170" s="5"/>
      <c r="I170" s="5"/>
      <c r="J170" s="5"/>
      <c r="K170" s="5"/>
      <c r="L170" s="5"/>
      <c r="M170" s="5"/>
      <c r="N170" s="5"/>
    </row>
    <row r="171" customFormat="false" ht="15" hidden="false" customHeight="false" outlineLevel="0" collapsed="false">
      <c r="A171" s="71" t="n">
        <f aca="false">A170+$F$3</f>
        <v>3300</v>
      </c>
      <c r="B171" s="71" t="n">
        <f aca="false">SUMPRODUCT(固有振動数!$Q$6:$Q$22*(1-($A171/固有振動数!$O$6:$O$22)^2)/((1-($A171/固有振動数!$O$6:$O$22)^2)^2+固有振動数!$P$6:$P$22^2))</f>
        <v>17.7830596723817</v>
      </c>
      <c r="C171" s="71" t="n">
        <f aca="false">-SUMPRODUCT(固有振動数!$Q$6:$Q$22*固有振動数!$P$6:$P$22/((1-($A171/固有振動数!$O$6:$O$22)^2)^2+固有振動数!$P$6:$P$22^2))</f>
        <v>-0.241920147814519</v>
      </c>
      <c r="D171" s="71" t="n">
        <f aca="false">SQRT(B171^2+C171^2)</f>
        <v>17.7847051330464</v>
      </c>
      <c r="E171" s="72" t="n">
        <f aca="false">20*LOG10(MAX(D171,0.000000000001)/$K$3)</f>
        <v>25.0009333812682</v>
      </c>
      <c r="F171" s="5"/>
      <c r="G171" s="5"/>
      <c r="H171" s="5"/>
      <c r="I171" s="5"/>
      <c r="J171" s="5"/>
      <c r="K171" s="5"/>
      <c r="L171" s="5"/>
      <c r="M171" s="5"/>
      <c r="N171" s="5"/>
    </row>
    <row r="172" customFormat="false" ht="15" hidden="false" customHeight="false" outlineLevel="0" collapsed="false">
      <c r="A172" s="71" t="n">
        <f aca="false">A171+$F$3</f>
        <v>3320</v>
      </c>
      <c r="B172" s="71" t="n">
        <f aca="false">SUMPRODUCT(固有振動数!$Q$6:$Q$22*(1-($A172/固有振動数!$O$6:$O$22)^2)/((1-($A172/固有振動数!$O$6:$O$22)^2)^2+固有振動数!$P$6:$P$22^2))</f>
        <v>17.861522534308</v>
      </c>
      <c r="C172" s="71" t="n">
        <f aca="false">-SUMPRODUCT(固有振動数!$Q$6:$Q$22*固有振動数!$P$6:$P$22/((1-($A172/固有振動数!$O$6:$O$22)^2)^2+固有振動数!$P$6:$P$22^2))</f>
        <v>-0.244522583778533</v>
      </c>
      <c r="D172" s="71" t="n">
        <f aca="false">SQRT(B172^2+C172^2)</f>
        <v>17.86319620162</v>
      </c>
      <c r="E172" s="72" t="n">
        <f aca="false">20*LOG10(MAX(D172,0.000000000001)/$K$3)</f>
        <v>25.0391833671265</v>
      </c>
      <c r="F172" s="5"/>
      <c r="G172" s="5"/>
      <c r="H172" s="5"/>
      <c r="I172" s="5"/>
      <c r="J172" s="5"/>
      <c r="K172" s="5"/>
      <c r="L172" s="5"/>
      <c r="M172" s="5"/>
      <c r="N172" s="5"/>
    </row>
    <row r="173" customFormat="false" ht="15" hidden="false" customHeight="false" outlineLevel="0" collapsed="false">
      <c r="A173" s="71" t="n">
        <f aca="false">A172+$F$3</f>
        <v>3340</v>
      </c>
      <c r="B173" s="71" t="n">
        <f aca="false">SUMPRODUCT(固有振動数!$Q$6:$Q$22*(1-($A173/固有振動数!$O$6:$O$22)^2)/((1-($A173/固有振動数!$O$6:$O$22)^2)^2+固有振動数!$P$6:$P$22^2))</f>
        <v>17.9417862439525</v>
      </c>
      <c r="C173" s="71" t="n">
        <f aca="false">-SUMPRODUCT(固有振動数!$Q$6:$Q$22*固有振動数!$P$6:$P$22/((1-($A173/固有振動数!$O$6:$O$22)^2)^2+固有振動数!$P$6:$P$22^2))</f>
        <v>-0.247301870440589</v>
      </c>
      <c r="D173" s="71" t="n">
        <f aca="false">SQRT(B173^2+C173^2)</f>
        <v>17.9434905143566</v>
      </c>
      <c r="E173" s="72" t="n">
        <f aca="false">20*LOG10(MAX(D173,0.000000000001)/$K$3)</f>
        <v>25.0781385887332</v>
      </c>
      <c r="F173" s="5"/>
      <c r="G173" s="5"/>
      <c r="H173" s="5"/>
      <c r="I173" s="5"/>
      <c r="J173" s="5"/>
      <c r="K173" s="5"/>
      <c r="L173" s="5"/>
      <c r="M173" s="5"/>
      <c r="N173" s="5"/>
    </row>
    <row r="174" customFormat="false" ht="15" hidden="false" customHeight="false" outlineLevel="0" collapsed="false">
      <c r="A174" s="71" t="n">
        <f aca="false">A173+$F$3</f>
        <v>3360</v>
      </c>
      <c r="B174" s="71" t="n">
        <f aca="false">SUMPRODUCT(固有振動数!$Q$6:$Q$22*(1-($A174/固有振動数!$O$6:$O$22)^2)/((1-($A174/固有振動数!$O$6:$O$22)^2)^2+固有振動数!$P$6:$P$22^2))</f>
        <v>18.0240251050934</v>
      </c>
      <c r="C174" s="71" t="n">
        <f aca="false">-SUMPRODUCT(固有振動数!$Q$6:$Q$22*固有振動数!$P$6:$P$22/((1-($A174/固有振動数!$O$6:$O$22)^2)^2+固有振動数!$P$6:$P$22^2))</f>
        <v>-0.250271412267094</v>
      </c>
      <c r="D174" s="71" t="n">
        <f aca="false">SQRT(B174^2+C174^2)</f>
        <v>18.0257625849459</v>
      </c>
      <c r="E174" s="72" t="n">
        <f aca="false">20*LOG10(MAX(D174,0.000000000001)/$K$3)</f>
        <v>25.1178729346015</v>
      </c>
      <c r="F174" s="5"/>
      <c r="G174" s="5"/>
      <c r="H174" s="5"/>
      <c r="I174" s="5"/>
      <c r="J174" s="5"/>
      <c r="K174" s="5"/>
      <c r="L174" s="5"/>
      <c r="M174" s="5"/>
      <c r="N174" s="5"/>
    </row>
    <row r="175" customFormat="false" ht="15" hidden="false" customHeight="false" outlineLevel="0" collapsed="false">
      <c r="A175" s="71" t="n">
        <f aca="false">A174+$F$3</f>
        <v>3380</v>
      </c>
      <c r="B175" s="71" t="n">
        <f aca="false">SUMPRODUCT(固有振動数!$Q$6:$Q$22*(1-($A175/固有振動数!$O$6:$O$22)^2)/((1-($A175/固有振動数!$O$6:$O$22)^2)^2+固有振動数!$P$6:$P$22^2))</f>
        <v>18.1084249895972</v>
      </c>
      <c r="C175" s="71" t="n">
        <f aca="false">-SUMPRODUCT(固有振動数!$Q$6:$Q$22*固有振動数!$P$6:$P$22/((1-($A175/固有振動数!$O$6:$O$22)^2)^2+固有振動数!$P$6:$P$22^2))</f>
        <v>-0.253446314074051</v>
      </c>
      <c r="D175" s="71" t="n">
        <f aca="false">SQRT(B175^2+C175^2)</f>
        <v>18.110198525637</v>
      </c>
      <c r="E175" s="72" t="n">
        <f aca="false">20*LOG10(MAX(D175,0.000000000001)/$K$3)</f>
        <v>25.1584642223122</v>
      </c>
      <c r="F175" s="5"/>
      <c r="G175" s="5"/>
      <c r="H175" s="5"/>
      <c r="I175" s="5"/>
      <c r="J175" s="5"/>
      <c r="K175" s="5"/>
      <c r="L175" s="5"/>
      <c r="M175" s="5"/>
      <c r="N175" s="5"/>
    </row>
    <row r="176" customFormat="false" ht="15" hidden="false" customHeight="false" outlineLevel="0" collapsed="false">
      <c r="A176" s="71" t="n">
        <f aca="false">A175+$F$3</f>
        <v>3400</v>
      </c>
      <c r="B176" s="71" t="n">
        <f aca="false">SUMPRODUCT(固有振動数!$Q$6:$Q$22*(1-($A176/固有振動数!$O$6:$O$22)^2)/((1-($A176/固有振動数!$O$6:$O$22)^2)^2+固有振動数!$P$6:$P$22^2))</f>
        <v>18.1951850372804</v>
      </c>
      <c r="C176" s="71" t="n">
        <f aca="false">-SUMPRODUCT(固有振動数!$Q$6:$Q$22*固有振動数!$P$6:$P$22/((1-($A176/固有振動数!$O$6:$O$22)^2)^2+固有振動数!$P$6:$P$22^2))</f>
        <v>-0.256843604930227</v>
      </c>
      <c r="D176" s="71" t="n">
        <f aca="false">SQRT(B176^2+C176^2)</f>
        <v>18.1969977517794</v>
      </c>
      <c r="E176" s="72" t="n">
        <f aca="false">20*LOG10(MAX(D176,0.000000000001)/$K$3)</f>
        <v>25.199994828505</v>
      </c>
      <c r="F176" s="5"/>
      <c r="G176" s="5"/>
      <c r="H176" s="5"/>
      <c r="I176" s="5"/>
      <c r="J176" s="5"/>
      <c r="K176" s="5"/>
      <c r="L176" s="5"/>
      <c r="M176" s="5"/>
      <c r="N176" s="5"/>
    </row>
    <row r="177" customFormat="false" ht="15" hidden="false" customHeight="false" outlineLevel="0" collapsed="false">
      <c r="A177" s="71" t="n">
        <f aca="false">A176+$F$3</f>
        <v>3420</v>
      </c>
      <c r="B177" s="71" t="n">
        <f aca="false">SUMPRODUCT(固有振動数!$Q$6:$Q$22*(1-($A177/固有振動数!$O$6:$O$22)^2)/((1-($A177/固有振動数!$O$6:$O$22)^2)^2+固有振動数!$P$6:$P$22^2))</f>
        <v>18.284519567166</v>
      </c>
      <c r="C177" s="71" t="n">
        <f aca="false">-SUMPRODUCT(固有振動数!$Q$6:$Q$22*固有振動数!$P$6:$P$22/((1-($A177/固有振動数!$O$6:$O$22)^2)^2+固有振動数!$P$6:$P$22^2))</f>
        <v>-0.260482502066933</v>
      </c>
      <c r="D177" s="71" t="n">
        <f aca="false">SQRT(B177^2+C177^2)</f>
        <v>18.2863748987043</v>
      </c>
      <c r="E177" s="72" t="n">
        <f aca="false">20*LOG10(MAX(D177,0.000000000001)/$K$3)</f>
        <v>25.2425523845093</v>
      </c>
      <c r="F177" s="5"/>
      <c r="G177" s="5"/>
      <c r="H177" s="5"/>
      <c r="I177" s="5"/>
      <c r="J177" s="5"/>
      <c r="K177" s="5"/>
      <c r="L177" s="5"/>
      <c r="M177" s="5"/>
      <c r="N177" s="5"/>
    </row>
    <row r="178" customFormat="false" ht="15" hidden="false" customHeight="false" outlineLevel="0" collapsed="false">
      <c r="A178" s="71" t="n">
        <f aca="false">A177+$F$3</f>
        <v>3440</v>
      </c>
      <c r="B178" s="71" t="n">
        <f aca="false">SUMPRODUCT(固有振動数!$Q$6:$Q$22*(1-($A178/固有振動数!$O$6:$O$22)^2)/((1-($A178/固有振動数!$O$6:$O$22)^2)^2+固有振動数!$P$6:$P$22^2))</f>
        <v>18.3766602403576</v>
      </c>
      <c r="C178" s="71" t="n">
        <f aca="false">-SUMPRODUCT(固有振動数!$Q$6:$Q$22*固有振動数!$P$6:$P$22/((1-($A178/固有振動数!$O$6:$O$22)^2)^2+固有振動数!$P$6:$P$22^2))</f>
        <v>-0.264384722524331</v>
      </c>
      <c r="D178" s="71" t="n">
        <f aca="false">SQRT(B178^2+C178^2)</f>
        <v>18.3785619913812</v>
      </c>
      <c r="E178" s="72" t="n">
        <f aca="false">20*LOG10(MAX(D178,0.000000000001)/$K$3)</f>
        <v>25.2862305505342</v>
      </c>
      <c r="F178" s="5"/>
      <c r="G178" s="5"/>
      <c r="H178" s="5"/>
      <c r="I178" s="5"/>
      <c r="J178" s="5"/>
      <c r="K178" s="5"/>
      <c r="L178" s="5"/>
      <c r="M178" s="5"/>
      <c r="N178" s="5"/>
    </row>
    <row r="179" customFormat="false" ht="15" hidden="false" customHeight="false" outlineLevel="0" collapsed="false">
      <c r="A179" s="71" t="n">
        <f aca="false">A178+$F$3</f>
        <v>3460</v>
      </c>
      <c r="B179" s="71" t="n">
        <f aca="false">SUMPRODUCT(固有振動数!$Q$6:$Q$22*(1-($A179/固有振動数!$O$6:$O$22)^2)/((1-($A179/固有振動数!$O$6:$O$22)^2)^2+固有振動数!$P$6:$P$22^2))</f>
        <v>18.4718585224066</v>
      </c>
      <c r="C179" s="71" t="n">
        <f aca="false">-SUMPRODUCT(固有振動数!$Q$6:$Q$22*固有振動数!$P$6:$P$22/((1-($A179/固有振動数!$O$6:$O$22)^2)^2+固有振動数!$P$6:$P$22^2))</f>
        <v>-0.268574852079933</v>
      </c>
      <c r="D179" s="71" t="n">
        <f aca="false">SQRT(B179^2+C179^2)</f>
        <v>18.4738109149946</v>
      </c>
      <c r="E179" s="72" t="n">
        <f aca="false">20*LOG10(MAX(D179,0.000000000001)/$K$3)</f>
        <v>25.3311298835016</v>
      </c>
      <c r="F179" s="5"/>
      <c r="G179" s="5"/>
      <c r="H179" s="5"/>
      <c r="I179" s="5"/>
      <c r="J179" s="5"/>
      <c r="K179" s="5"/>
      <c r="L179" s="5"/>
      <c r="M179" s="5"/>
      <c r="N179" s="5"/>
    </row>
    <row r="180" customFormat="false" ht="15" hidden="false" customHeight="false" outlineLevel="0" collapsed="false">
      <c r="A180" s="71" t="n">
        <f aca="false">A179+$F$3</f>
        <v>3480</v>
      </c>
      <c r="B180" s="71" t="n">
        <f aca="false">SUMPRODUCT(固有振動数!$Q$6:$Q$22*(1-($A180/固有振動数!$O$6:$O$22)^2)/((1-($A180/固有振動数!$O$6:$O$22)^2)^2+固有振動数!$P$6:$P$22^2))</f>
        <v>18.5703885025567</v>
      </c>
      <c r="C180" s="71" t="n">
        <f aca="false">-SUMPRODUCT(固有振動数!$Q$6:$Q$22*固有振動数!$P$6:$P$22/((1-($A180/固有振動数!$O$6:$O$22)^2)^2+固有振動数!$P$6:$P$22^2))</f>
        <v>-0.273080783292359</v>
      </c>
      <c r="D180" s="71" t="n">
        <f aca="false">SQRT(B180^2+C180^2)</f>
        <v>18.5723962441601</v>
      </c>
      <c r="E180" s="72" t="n">
        <f aca="false">20*LOG10(MAX(D180,0.000000000001)/$K$3)</f>
        <v>25.3773588162907</v>
      </c>
      <c r="F180" s="5"/>
      <c r="G180" s="5"/>
      <c r="H180" s="5"/>
      <c r="I180" s="5"/>
      <c r="J180" s="5"/>
      <c r="K180" s="5"/>
      <c r="L180" s="5"/>
      <c r="M180" s="5"/>
      <c r="N180" s="5"/>
    </row>
    <row r="181" customFormat="false" ht="15" hidden="false" customHeight="false" outlineLevel="0" collapsed="false">
      <c r="A181" s="71" t="n">
        <f aca="false">A180+$F$3</f>
        <v>3500</v>
      </c>
      <c r="B181" s="71" t="n">
        <f aca="false">SUMPRODUCT(固有振動数!$Q$6:$Q$22*(1-($A181/固有振動数!$O$6:$O$22)^2)/((1-($A181/固有振動数!$O$6:$O$22)^2)^2+固有振動数!$P$6:$P$22^2))</f>
        <v>18.6725501390791</v>
      </c>
      <c r="C181" s="71" t="n">
        <f aca="false">-SUMPRODUCT(固有振動数!$Q$6:$Q$22*固有振動数!$P$6:$P$22/((1-($A181/固有振動数!$O$6:$O$22)^2)^2+固有振動数!$P$6:$P$22^2))</f>
        <v>-0.277934237393409</v>
      </c>
      <c r="D181" s="71" t="n">
        <f aca="false">SQRT(B181^2+C181^2)</f>
        <v>18.6746185004337</v>
      </c>
      <c r="E181" s="72" t="n">
        <f aca="false">20*LOG10(MAX(D181,0.000000000001)/$K$3)</f>
        <v>25.4250347694822</v>
      </c>
      <c r="F181" s="5"/>
      <c r="G181" s="5"/>
      <c r="H181" s="5"/>
      <c r="I181" s="5"/>
      <c r="J181" s="5"/>
      <c r="K181" s="5"/>
      <c r="L181" s="5"/>
      <c r="M181" s="5"/>
      <c r="N181" s="5"/>
    </row>
    <row r="182" customFormat="false" ht="15" hidden="false" customHeight="false" outlineLevel="0" collapsed="false">
      <c r="A182" s="71" t="n">
        <f aca="false">A181+$F$3</f>
        <v>3520</v>
      </c>
      <c r="B182" s="71" t="n">
        <f aca="false">SUMPRODUCT(固有振動数!$Q$6:$Q$22*(1-($A182/固有振動数!$O$6:$O$22)^2)/((1-($A182/固有振動数!$O$6:$O$22)^2)^2+固有振動数!$P$6:$P$22^2))</f>
        <v>18.7786730147096</v>
      </c>
      <c r="C182" s="71" t="n">
        <f aca="false">-SUMPRODUCT(固有振動数!$Q$6:$Q$22*固有振動数!$P$6:$P$22/((1-($A182/固有振動数!$O$6:$O$22)^2)^2+固有振動数!$P$6:$P$22^2))</f>
        <v>-0.283171388461762</v>
      </c>
      <c r="D182" s="71" t="n">
        <f aca="false">SQRT(B182^2+C182^2)</f>
        <v>18.7808079226807</v>
      </c>
      <c r="E182" s="72" t="n">
        <f aca="false">20*LOG10(MAX(D182,0.000000000001)/$K$3)</f>
        <v>25.4742854208115</v>
      </c>
      <c r="F182" s="5"/>
      <c r="G182" s="5"/>
      <c r="H182" s="5"/>
      <c r="I182" s="5"/>
      <c r="J182" s="5"/>
      <c r="K182" s="5"/>
      <c r="L182" s="5"/>
      <c r="M182" s="5"/>
      <c r="N182" s="5"/>
    </row>
    <row r="183" customFormat="false" ht="15" hidden="false" customHeight="false" outlineLevel="0" collapsed="false">
      <c r="A183" s="71" t="n">
        <f aca="false">A182+$F$3</f>
        <v>3540</v>
      </c>
      <c r="B183" s="71" t="n">
        <f aca="false">SUMPRODUCT(固有振動数!$Q$6:$Q$22*(1-($A183/固有振動数!$O$6:$O$22)^2)/((1-($A183/固有振動数!$O$6:$O$22)^2)^2+固有振動数!$P$6:$P$22^2))</f>
        <v>18.8891207047681</v>
      </c>
      <c r="C183" s="71" t="n">
        <f aca="false">-SUMPRODUCT(固有振動数!$Q$6:$Q$22*固有振動数!$P$6:$P$22/((1-($A183/固有振動数!$O$6:$O$22)^2)^2+固有振動数!$P$6:$P$22^2))</f>
        <v>-0.288833613063959</v>
      </c>
      <c r="D183" s="71" t="n">
        <f aca="false">SQRT(B183^2+C183^2)</f>
        <v>18.8913288536125</v>
      </c>
      <c r="E183" s="72" t="n">
        <f aca="false">20*LOG10(MAX(D183,0.000000000001)/$K$3)</f>
        <v>25.5252501626643</v>
      </c>
      <c r="F183" s="5"/>
      <c r="G183" s="5"/>
      <c r="H183" s="5"/>
      <c r="I183" s="5"/>
      <c r="J183" s="5"/>
      <c r="K183" s="5"/>
      <c r="L183" s="5"/>
      <c r="M183" s="5"/>
      <c r="N183" s="5"/>
    </row>
    <row r="184" customFormat="false" ht="15" hidden="false" customHeight="false" outlineLevel="0" collapsed="false">
      <c r="A184" s="71" t="n">
        <f aca="false">A183+$F$3</f>
        <v>3560</v>
      </c>
      <c r="B184" s="71" t="n">
        <f aca="false">SUMPRODUCT(固有振動数!$Q$6:$Q$22*(1-($A184/固有振動数!$O$6:$O$22)^2)/((1-($A184/固有振動数!$O$6:$O$22)^2)^2+固有振動数!$P$6:$P$22^2))</f>
        <v>19.0042958839786</v>
      </c>
      <c r="C184" s="71" t="n">
        <f aca="false">-SUMPRODUCT(固有振動数!$Q$6:$Q$22*固有振動数!$P$6:$P$22/((1-($A184/固有振動数!$O$6:$O$22)^2)^2+固有振動数!$P$6:$P$22^2))</f>
        <v>-0.294968394693219</v>
      </c>
      <c r="D184" s="71" t="n">
        <f aca="false">SQRT(B184^2+C184^2)</f>
        <v>19.0065848694518</v>
      </c>
      <c r="E184" s="72" t="n">
        <f aca="false">20*LOG10(MAX(D184,0.000000000001)/$K$3)</f>
        <v>25.5780817843437</v>
      </c>
      <c r="F184" s="5"/>
      <c r="G184" s="5"/>
      <c r="H184" s="5"/>
      <c r="I184" s="5"/>
      <c r="J184" s="5"/>
      <c r="K184" s="5"/>
      <c r="L184" s="5"/>
      <c r="M184" s="5"/>
      <c r="N184" s="5"/>
    </row>
    <row r="185" customFormat="false" ht="15" hidden="false" customHeight="false" outlineLevel="0" collapsed="false">
      <c r="A185" s="71" t="n">
        <f aca="false">A184+$F$3</f>
        <v>3580</v>
      </c>
      <c r="B185" s="71" t="n">
        <f aca="false">SUMPRODUCT(固有振動数!$Q$6:$Q$22*(1-($A185/固有振動数!$O$6:$O$22)^2)/((1-($A185/固有振動数!$O$6:$O$22)^2)^2+固有振動数!$P$6:$P$22^2))</f>
        <v>19.1246463277445</v>
      </c>
      <c r="C185" s="71" t="n">
        <f aca="false">-SUMPRODUCT(固有振動数!$Q$6:$Q$22*固有振動数!$P$6:$P$22/((1-($A185/固有振動数!$O$6:$O$22)^2)^2+固有振動数!$P$6:$P$22^2))</f>
        <v>-0.301630420337996</v>
      </c>
      <c r="D185" s="71" t="n">
        <f aca="false">SQRT(B185^2+C185^2)</f>
        <v>19.1270248097237</v>
      </c>
      <c r="E185" s="72" t="n">
        <f aca="false">20*LOG10(MAX(D185,0.000000000001)/$K$3)</f>
        <v>25.6329484238522</v>
      </c>
      <c r="F185" s="5"/>
      <c r="G185" s="5"/>
      <c r="H185" s="5"/>
      <c r="I185" s="5"/>
      <c r="J185" s="5"/>
      <c r="K185" s="5"/>
      <c r="L185" s="5"/>
      <c r="M185" s="5"/>
      <c r="N185" s="5"/>
    </row>
    <row r="186" customFormat="false" ht="15" hidden="false" customHeight="false" outlineLevel="0" collapsed="false">
      <c r="A186" s="71" t="n">
        <f aca="false">A185+$F$3</f>
        <v>3600</v>
      </c>
      <c r="B186" s="71" t="n">
        <f aca="false">SUMPRODUCT(固有振動数!$Q$6:$Q$22*(1-($A186/固有振動数!$O$6:$O$22)^2)/((1-($A186/固有振動数!$O$6:$O$22)^2)^2+固有振動数!$P$6:$P$22^2))</f>
        <v>19.2506720015942</v>
      </c>
      <c r="C186" s="71" t="n">
        <f aca="false">-SUMPRODUCT(固有振動数!$Q$6:$Q$22*固有振動数!$P$6:$P$22/((1-($A186/固有振動数!$O$6:$O$22)^2)^2+固有振動数!$P$6:$P$22^2))</f>
        <v>-0.308882917007564</v>
      </c>
      <c r="D186" s="71" t="n">
        <f aca="false">SQRT(B186^2+C186^2)</f>
        <v>19.2531499025323</v>
      </c>
      <c r="E186" s="72" t="n">
        <f aca="false">20*LOG10(MAX(D186,0.000000000001)/$K$3)</f>
        <v>25.6900358440363</v>
      </c>
      <c r="F186" s="5"/>
      <c r="G186" s="5"/>
      <c r="H186" s="5"/>
      <c r="I186" s="5"/>
      <c r="J186" s="5"/>
      <c r="K186" s="5"/>
      <c r="L186" s="5"/>
      <c r="M186" s="5"/>
      <c r="N186" s="5"/>
    </row>
    <row r="187" customFormat="false" ht="15" hidden="false" customHeight="false" outlineLevel="0" collapsed="false">
      <c r="A187" s="71" t="n">
        <f aca="false">A186+$F$3</f>
        <v>3620</v>
      </c>
      <c r="B187" s="71" t="n">
        <f aca="false">SUMPRODUCT(固有振動数!$Q$6:$Q$22*(1-($A187/固有振動数!$O$6:$O$22)^2)/((1-($A187/固有振動数!$O$6:$O$22)^2)^2+固有振動数!$P$6:$P$22^2))</f>
        <v>19.3829334812863</v>
      </c>
      <c r="C187" s="71" t="n">
        <f aca="false">-SUMPRODUCT(固有振動数!$Q$6:$Q$22*固有振動数!$P$6:$P$22/((1-($A187/固有振動数!$O$6:$O$22)^2)^2+固有振動数!$P$6:$P$22^2))</f>
        <v>-0.316799289915202</v>
      </c>
      <c r="D187" s="71" t="n">
        <f aca="false">SQRT(B187^2+C187^2)</f>
        <v>19.3855222300061</v>
      </c>
      <c r="E187" s="72" t="n">
        <f aca="false">20*LOG10(MAX(D187,0.000000000001)/$K$3)</f>
        <v>25.7495501007309</v>
      </c>
      <c r="F187" s="5"/>
      <c r="G187" s="5"/>
      <c r="H187" s="5"/>
      <c r="I187" s="5"/>
      <c r="J187" s="5"/>
      <c r="K187" s="5"/>
      <c r="L187" s="5"/>
      <c r="M187" s="5"/>
      <c r="N187" s="5"/>
    </row>
    <row r="188" customFormat="false" ht="15" hidden="false" customHeight="false" outlineLevel="0" collapsed="false">
      <c r="A188" s="71" t="n">
        <f aca="false">A187+$F$3</f>
        <v>3640</v>
      </c>
      <c r="B188" s="71" t="n">
        <f aca="false">SUMPRODUCT(固有振動数!$Q$6:$Q$22*(1-($A188/固有振動数!$O$6:$O$22)^2)/((1-($A188/固有振動数!$O$6:$O$22)^2)^2+固有振動数!$P$6:$P$22^2))</f>
        <v>19.5220620091709</v>
      </c>
      <c r="C188" s="71" t="n">
        <f aca="false">-SUMPRODUCT(固有振動数!$Q$6:$Q$22*固有振動数!$P$6:$P$22/((1-($A188/固有振動数!$O$6:$O$22)^2)^2+固有振動数!$P$6:$P$22^2))</f>
        <v>-0.325465142507265</v>
      </c>
      <c r="D188" s="71" t="n">
        <f aca="false">SQRT(B188^2+C188^2)</f>
        <v>19.5247748424637</v>
      </c>
      <c r="E188" s="72" t="n">
        <f aca="false">20*LOG10(MAX(D188,0.000000000001)/$K$3)</f>
        <v>25.8117206868491</v>
      </c>
      <c r="F188" s="5"/>
      <c r="G188" s="5"/>
      <c r="H188" s="5"/>
      <c r="I188" s="5"/>
      <c r="J188" s="5"/>
      <c r="K188" s="5"/>
      <c r="L188" s="5"/>
      <c r="M188" s="5"/>
      <c r="N188" s="5"/>
    </row>
    <row r="189" customFormat="false" ht="15" hidden="false" customHeight="false" outlineLevel="0" collapsed="false">
      <c r="A189" s="71" t="n">
        <f aca="false">A188+$F$3</f>
        <v>3660</v>
      </c>
      <c r="B189" s="71" t="n">
        <f aca="false">SUMPRODUCT(固有振動数!$Q$6:$Q$22*(1-($A189/固有振動数!$O$6:$O$22)^2)/((1-($A189/固有振動数!$O$6:$O$22)^2)^2+固有振動数!$P$6:$P$22^2))</f>
        <v>19.6687715746502</v>
      </c>
      <c r="C189" s="71" t="n">
        <f aca="false">-SUMPRODUCT(固有振動数!$Q$6:$Q$22*固有振動数!$P$6:$P$22/((1-($A189/固有振動数!$O$6:$O$22)^2)^2+固有振動数!$P$6:$P$22^2))</f>
        <v>-0.334980783375917</v>
      </c>
      <c r="D189" s="71" t="n">
        <f aca="false">SQRT(B189^2+C189^2)</f>
        <v>19.6716239131649</v>
      </c>
      <c r="E189" s="72" t="n">
        <f aca="false">20*LOG10(MAX(D189,0.000000000001)/$K$3)</f>
        <v>25.8768042572743</v>
      </c>
      <c r="F189" s="5"/>
      <c r="G189" s="5"/>
      <c r="H189" s="5"/>
      <c r="I189" s="5"/>
      <c r="J189" s="5"/>
      <c r="K189" s="5"/>
      <c r="L189" s="5"/>
      <c r="M189" s="5"/>
      <c r="N189" s="5"/>
    </row>
    <row r="190" customFormat="false" ht="15" hidden="false" customHeight="false" outlineLevel="0" collapsed="false">
      <c r="A190" s="71" t="n">
        <f aca="false">A189+$F$3</f>
        <v>3680</v>
      </c>
      <c r="B190" s="71" t="n">
        <f aca="false">SUMPRODUCT(固有振動数!$Q$6:$Q$22*(1-($A190/固有振動数!$O$6:$O$22)^2)/((1-($A190/固有振動数!$O$6:$O$22)^2)^2+固有振動数!$P$6:$P$22^2))</f>
        <v>19.8238735146435</v>
      </c>
      <c r="C190" s="71" t="n">
        <f aca="false">-SUMPRODUCT(固有振動数!$Q$6:$Q$22*固有振動数!$P$6:$P$22/((1-($A190/固有振動数!$O$6:$O$22)^2)^2+固有振動数!$P$6:$P$22^2))</f>
        <v>-0.345464358798743</v>
      </c>
      <c r="D190" s="71" t="n">
        <f aca="false">SQRT(B190^2+C190^2)</f>
        <v>19.8268834350683</v>
      </c>
      <c r="E190" s="72" t="n">
        <f aca="false">20*LOG10(MAX(D190,0.000000000001)/$K$3)</f>
        <v>25.945089066431</v>
      </c>
      <c r="F190" s="5"/>
      <c r="G190" s="5"/>
      <c r="H190" s="5"/>
      <c r="I190" s="5"/>
      <c r="J190" s="5"/>
      <c r="K190" s="5"/>
      <c r="L190" s="5"/>
      <c r="M190" s="5"/>
      <c r="N190" s="5"/>
    </row>
    <row r="191" customFormat="false" ht="15" hidden="false" customHeight="false" outlineLevel="0" collapsed="false">
      <c r="A191" s="71" t="n">
        <f aca="false">A190+$F$3</f>
        <v>3700</v>
      </c>
      <c r="B191" s="71" t="n">
        <f aca="false">SUMPRODUCT(固有振動数!$Q$6:$Q$22*(1-($A191/固有振動数!$O$6:$O$22)^2)/((1-($A191/固有振動数!$O$6:$O$22)^2)^2+固有振動数!$P$6:$P$22^2))</f>
        <v>19.9882942731206</v>
      </c>
      <c r="C191" s="71" t="n">
        <f aca="false">-SUMPRODUCT(固有振動数!$Q$6:$Q$22*固有振動数!$P$6:$P$22/((1-($A191/固有振動数!$O$6:$O$22)^2)^2+固有振動数!$P$6:$P$22^2))</f>
        <v>-0.357055795810062</v>
      </c>
      <c r="D191" s="71" t="n">
        <f aca="false">SQRT(B191^2+C191^2)</f>
        <v>19.9914831063177</v>
      </c>
      <c r="E191" s="72" t="n">
        <f aca="false">20*LOG10(MAX(D191,0.000000000001)/$K$3)</f>
        <v>26.0169002855611</v>
      </c>
      <c r="F191" s="5"/>
      <c r="G191" s="5"/>
      <c r="H191" s="5"/>
      <c r="I191" s="5"/>
      <c r="J191" s="5"/>
      <c r="K191" s="5"/>
      <c r="L191" s="5"/>
      <c r="M191" s="5"/>
      <c r="N191" s="5"/>
    </row>
    <row r="192" customFormat="false" ht="15" hidden="false" customHeight="false" outlineLevel="0" collapsed="false">
      <c r="A192" s="71" t="n">
        <f aca="false">A191+$F$3</f>
        <v>3720</v>
      </c>
      <c r="B192" s="71" t="n">
        <f aca="false">SUMPRODUCT(固有振動数!$Q$6:$Q$22*(1-($A192/固有振動数!$O$6:$O$22)^2)/((1-($A192/固有振動数!$O$6:$O$22)^2)^2+固有振動数!$P$6:$P$22^2))</f>
        <v>20.16309715014</v>
      </c>
      <c r="C192" s="71" t="n">
        <f aca="false">-SUMPRODUCT(固有振動数!$Q$6:$Q$22*固有振動数!$P$6:$P$22/((1-($A192/固有振動数!$O$6:$O$22)^2)^2+固有振動数!$P$6:$P$22^2))</f>
        <v>-0.369921804583596</v>
      </c>
      <c r="D192" s="71" t="n">
        <f aca="false">SQRT(B192^2+C192^2)</f>
        <v>20.16649024564</v>
      </c>
      <c r="E192" s="72" t="n">
        <f aca="false">20*LOG10(MAX(D192,0.000000000001)/$K$3)</f>
        <v>26.0926064128576</v>
      </c>
      <c r="F192" s="5"/>
      <c r="G192" s="5"/>
      <c r="H192" s="5"/>
      <c r="I192" s="5"/>
      <c r="J192" s="5"/>
      <c r="K192" s="5"/>
      <c r="L192" s="5"/>
      <c r="M192" s="5"/>
      <c r="N192" s="5"/>
    </row>
    <row r="193" customFormat="false" ht="15" hidden="false" customHeight="false" outlineLevel="0" collapsed="false">
      <c r="A193" s="71" t="n">
        <f aca="false">A192+$F$3</f>
        <v>3740</v>
      </c>
      <c r="B193" s="71" t="n">
        <f aca="false">SUMPRODUCT(固有振動数!$Q$6:$Q$22*(1-($A193/固有振動数!$O$6:$O$22)^2)/((1-($A193/固有振動数!$O$6:$O$22)^2)^2+固有振動数!$P$6:$P$22^2))</f>
        <v>20.3495091291141</v>
      </c>
      <c r="C193" s="71" t="n">
        <f aca="false">-SUMPRODUCT(固有振動数!$Q$6:$Q$22*固有振動数!$P$6:$P$22/((1-($A193/固有振動数!$O$6:$O$22)^2)^2+固有振動数!$P$6:$P$22^2))</f>
        <v>-0.384262278267393</v>
      </c>
      <c r="D193" s="71" t="n">
        <f aca="false">SQRT(B193^2+C193^2)</f>
        <v>20.3531368416369</v>
      </c>
      <c r="E193" s="72" t="n">
        <f aca="false">20*LOG10(MAX(D193,0.000000000001)/$K$3)</f>
        <v>26.1726270506132</v>
      </c>
      <c r="F193" s="5"/>
      <c r="G193" s="5"/>
      <c r="H193" s="5"/>
      <c r="I193" s="5"/>
      <c r="J193" s="5"/>
      <c r="K193" s="5"/>
      <c r="L193" s="5"/>
      <c r="M193" s="5"/>
      <c r="N193" s="5"/>
    </row>
    <row r="194" customFormat="false" ht="15" hidden="false" customHeight="false" outlineLevel="0" collapsed="false">
      <c r="A194" s="71" t="n">
        <f aca="false">A193+$F$3</f>
        <v>3760</v>
      </c>
      <c r="B194" s="71" t="n">
        <f aca="false">SUMPRODUCT(固有振動数!$Q$6:$Q$22*(1-($A194/固有振動数!$O$6:$O$22)^2)/((1-($A194/固有振動数!$O$6:$O$22)^2)^2+固有振動数!$P$6:$P$22^2))</f>
        <v>20.5489542231923</v>
      </c>
      <c r="C194" s="71" t="n">
        <f aca="false">-SUMPRODUCT(固有振動数!$Q$6:$Q$22*固有振動数!$P$6:$P$22/((1-($A194/固有振動数!$O$6:$O$22)^2)^2+固有振動数!$P$6:$P$22^2))</f>
        <v>-0.400318554906194</v>
      </c>
      <c r="D194" s="71" t="n">
        <f aca="false">SQRT(B194^2+C194^2)</f>
        <v>20.5528531988202</v>
      </c>
      <c r="E194" s="72" t="n">
        <f aca="false">20*LOG10(MAX(D194,0.000000000001)/$K$3)</f>
        <v>26.2574424050106</v>
      </c>
      <c r="F194" s="5"/>
      <c r="G194" s="5"/>
      <c r="H194" s="5"/>
      <c r="I194" s="5"/>
      <c r="J194" s="5"/>
      <c r="K194" s="5"/>
      <c r="L194" s="5"/>
      <c r="M194" s="5"/>
      <c r="N194" s="5"/>
    </row>
    <row r="195" customFormat="false" ht="15" hidden="false" customHeight="false" outlineLevel="0" collapsed="false">
      <c r="A195" s="71" t="n">
        <f aca="false">A194+$F$3</f>
        <v>3780</v>
      </c>
      <c r="B195" s="71" t="n">
        <f aca="false">SUMPRODUCT(固有振動数!$Q$6:$Q$22*(1-($A195/固有振動数!$O$6:$O$22)^2)/((1-($A195/固有振動数!$O$6:$O$22)^2)^2+固有振動数!$P$6:$P$22^2))</f>
        <v>20.763095267131</v>
      </c>
      <c r="C195" s="71" t="n">
        <f aca="false">-SUMPRODUCT(固有振動数!$Q$6:$Q$22*固有振動数!$P$6:$P$22/((1-($A195/固有振動数!$O$6:$O$22)^2)^2+固有振動数!$P$6:$P$22^2))</f>
        <v>-0.418384187414785</v>
      </c>
      <c r="D195" s="71" t="n">
        <f aca="false">SQRT(B195^2+C195^2)</f>
        <v>20.7673101387791</v>
      </c>
      <c r="E195" s="72" t="n">
        <f aca="false">20*LOG10(MAX(D195,0.000000000001)/$K$3)</f>
        <v>26.3476049739987</v>
      </c>
      <c r="F195" s="5"/>
      <c r="G195" s="5"/>
      <c r="H195" s="5"/>
      <c r="I195" s="5"/>
      <c r="J195" s="5"/>
      <c r="K195" s="5"/>
      <c r="L195" s="5"/>
      <c r="M195" s="5"/>
      <c r="N195" s="5"/>
    </row>
    <row r="196" customFormat="false" ht="15" hidden="false" customHeight="false" outlineLevel="0" collapsed="false">
      <c r="A196" s="71" t="n">
        <f aca="false">A195+$F$3</f>
        <v>3800</v>
      </c>
      <c r="B196" s="71" t="n">
        <f aca="false">SUMPRODUCT(固有振動数!$Q$6:$Q$22*(1-($A196/固有振動数!$O$6:$O$22)^2)/((1-($A196/固有振動数!$O$6:$O$22)^2)^2+固有振動数!$P$6:$P$22^2))</f>
        <v>20.9938867581556</v>
      </c>
      <c r="C196" s="71" t="n">
        <f aca="false">-SUMPRODUCT(固有振動数!$Q$6:$Q$22*固有振動数!$P$6:$P$22/((1-($A196/固有振動数!$O$6:$O$22)^2)^2+固有振動数!$P$6:$P$22^2))</f>
        <v>-0.438819131044524</v>
      </c>
      <c r="D196" s="71" t="n">
        <f aca="false">SQRT(B196^2+C196^2)</f>
        <v>20.9984724073927</v>
      </c>
      <c r="E196" s="72" t="n">
        <f aca="false">20*LOG10(MAX(D196,0.000000000001)/$K$3)</f>
        <v>26.4437540383253</v>
      </c>
      <c r="F196" s="5"/>
      <c r="G196" s="5"/>
      <c r="H196" s="5"/>
      <c r="I196" s="5"/>
      <c r="J196" s="5"/>
      <c r="K196" s="5"/>
      <c r="L196" s="5"/>
      <c r="M196" s="5"/>
      <c r="N196" s="5"/>
    </row>
    <row r="197" customFormat="false" ht="15" hidden="false" customHeight="false" outlineLevel="0" collapsed="false">
      <c r="A197" s="71" t="n">
        <f aca="false">A196+$F$3</f>
        <v>3820</v>
      </c>
      <c r="B197" s="71" t="n">
        <f aca="false">SUMPRODUCT(固有振動数!$Q$6:$Q$22*(1-($A197/固有振動数!$O$6:$O$22)^2)/((1-($A197/固有振動数!$O$6:$O$22)^2)^2+固有振動数!$P$6:$P$22^2))</f>
        <v>21.2436423058077</v>
      </c>
      <c r="C197" s="71" t="n">
        <f aca="false">-SUMPRODUCT(固有振動数!$Q$6:$Q$22*固有振動数!$P$6:$P$22/((1-($A197/固有振動数!$O$6:$O$22)^2)^2+固有振動数!$P$6:$P$22^2))</f>
        <v>-0.462068646267375</v>
      </c>
      <c r="D197" s="71" t="n">
        <f aca="false">SQRT(B197^2+C197^2)</f>
        <v>21.248666919385</v>
      </c>
      <c r="E197" s="72" t="n">
        <f aca="false">20*LOG10(MAX(D197,0.000000000001)/$K$3)</f>
        <v>26.5466337769356</v>
      </c>
      <c r="F197" s="5"/>
      <c r="G197" s="5"/>
      <c r="H197" s="5"/>
      <c r="I197" s="5"/>
      <c r="J197" s="5"/>
      <c r="K197" s="5"/>
      <c r="L197" s="5"/>
      <c r="M197" s="5"/>
      <c r="N197" s="5"/>
    </row>
    <row r="198" customFormat="false" ht="15" hidden="false" customHeight="false" outlineLevel="0" collapsed="false">
      <c r="A198" s="71" t="n">
        <f aca="false">A197+$F$3</f>
        <v>3840</v>
      </c>
      <c r="B198" s="71" t="n">
        <f aca="false">SUMPRODUCT(固有振動数!$Q$6:$Q$22*(1-($A198/固有振動数!$O$6:$O$22)^2)/((1-($A198/固有振動数!$O$6:$O$22)^2)^2+固有振動数!$P$6:$P$22^2))</f>
        <v>21.5151216203331</v>
      </c>
      <c r="C198" s="71" t="n">
        <f aca="false">-SUMPRODUCT(固有振動数!$Q$6:$Q$22*固有振動数!$P$6:$P$22/((1-($A198/固有振動数!$O$6:$O$22)^2)^2+固有振動数!$P$6:$P$22^2))</f>
        <v>-0.488688796918033</v>
      </c>
      <c r="D198" s="71" t="n">
        <f aca="false">SQRT(B198^2+C198^2)</f>
        <v>21.5206708789006</v>
      </c>
      <c r="E198" s="72" t="n">
        <f aca="false">20*LOG10(MAX(D198,0.000000000001)/$K$3)</f>
        <v>26.6571161154104</v>
      </c>
      <c r="F198" s="5"/>
      <c r="G198" s="5"/>
      <c r="H198" s="5"/>
      <c r="I198" s="5"/>
      <c r="J198" s="5"/>
      <c r="K198" s="5"/>
      <c r="L198" s="5"/>
      <c r="M198" s="5"/>
      <c r="N198" s="5"/>
    </row>
    <row r="199" customFormat="false" ht="15" hidden="false" customHeight="false" outlineLevel="0" collapsed="false">
      <c r="A199" s="71" t="n">
        <f aca="false">A198+$F$3</f>
        <v>3860</v>
      </c>
      <c r="B199" s="71" t="n">
        <f aca="false">SUMPRODUCT(固有振動数!$Q$6:$Q$22*(1-($A199/固有振動数!$O$6:$O$22)^2)/((1-($A199/固有振動数!$O$6:$O$22)^2)^2+固有振動数!$P$6:$P$22^2))</f>
        <v>21.81164395928</v>
      </c>
      <c r="C199" s="71" t="n">
        <f aca="false">-SUMPRODUCT(固有振動数!$Q$6:$Q$22*固有振動数!$P$6:$P$22/((1-($A199/固有振動数!$O$6:$O$22)^2)^2+固有振動数!$P$6:$P$22^2))</f>
        <v>-0.51938131017785</v>
      </c>
      <c r="D199" s="71" t="n">
        <f aca="false">SQRT(B199^2+C199^2)</f>
        <v>21.8178268659314</v>
      </c>
      <c r="E199" s="72" t="n">
        <f aca="false">20*LOG10(MAX(D199,0.000000000001)/$K$3)</f>
        <v>26.7762298222648</v>
      </c>
      <c r="F199" s="5"/>
      <c r="G199" s="5"/>
      <c r="H199" s="5"/>
      <c r="I199" s="5"/>
      <c r="J199" s="5"/>
      <c r="K199" s="5"/>
      <c r="L199" s="5"/>
      <c r="M199" s="5"/>
      <c r="N199" s="5"/>
    </row>
    <row r="200" customFormat="false" ht="15" hidden="false" customHeight="false" outlineLevel="0" collapsed="false">
      <c r="A200" s="71" t="n">
        <f aca="false">A199+$F$3</f>
        <v>3880</v>
      </c>
      <c r="B200" s="71" t="n">
        <f aca="false">SUMPRODUCT(固有振動数!$Q$6:$Q$22*(1-($A200/固有振動数!$O$6:$O$22)^2)/((1-($A200/固有振動数!$O$6:$O$22)^2)^2+固有振動数!$P$6:$P$22^2))</f>
        <v>22.1372378902098</v>
      </c>
      <c r="C200" s="71" t="n">
        <f aca="false">-SUMPRODUCT(固有振動数!$Q$6:$Q$22*固有振動数!$P$6:$P$22/((1-($A200/固有振動数!$O$6:$O$22)^2)^2+固有振動数!$P$6:$P$22^2))</f>
        <v>-0.555041941703984</v>
      </c>
      <c r="D200" s="71" t="n">
        <f aca="false">SQRT(B200^2+C200^2)</f>
        <v>22.1441950173131</v>
      </c>
      <c r="E200" s="72" t="n">
        <f aca="false">20*LOG10(MAX(D200,0.000000000001)/$K$3)</f>
        <v>26.9051979499065</v>
      </c>
      <c r="F200" s="5"/>
      <c r="G200" s="5"/>
      <c r="H200" s="5"/>
      <c r="I200" s="5"/>
      <c r="J200" s="5"/>
      <c r="K200" s="5"/>
      <c r="L200" s="5"/>
      <c r="M200" s="5"/>
      <c r="N200" s="5"/>
    </row>
    <row r="201" customFormat="false" ht="15" hidden="false" customHeight="false" outlineLevel="0" collapsed="false">
      <c r="A201" s="71" t="n">
        <f aca="false">A200+$F$3</f>
        <v>3900</v>
      </c>
      <c r="B201" s="71" t="n">
        <f aca="false">SUMPRODUCT(固有振動数!$Q$6:$Q$22*(1-($A201/固有振動数!$O$6:$O$22)^2)/((1-($A201/固有振動数!$O$6:$O$22)^2)^2+固有振動数!$P$6:$P$22^2))</f>
        <v>22.4968416412408</v>
      </c>
      <c r="C201" s="71" t="n">
        <f aca="false">-SUMPRODUCT(固有振動数!$Q$6:$Q$22*固有振動数!$P$6:$P$22/((1-($A201/固有振動数!$O$6:$O$22)^2)^2+固有振動数!$P$6:$P$22^2))</f>
        <v>-0.596828670726244</v>
      </c>
      <c r="D201" s="71" t="n">
        <f aca="false">SQRT(B201^2+C201^2)</f>
        <v>22.5047570147573</v>
      </c>
      <c r="E201" s="72" t="n">
        <f aca="false">20*LOG10(MAX(D201,0.000000000001)/$K$3)</f>
        <v>27.0454865639127</v>
      </c>
      <c r="F201" s="5"/>
      <c r="G201" s="5"/>
      <c r="H201" s="5"/>
      <c r="I201" s="5"/>
      <c r="J201" s="5"/>
      <c r="K201" s="5"/>
      <c r="L201" s="5"/>
      <c r="M201" s="5"/>
      <c r="N201" s="5"/>
    </row>
    <row r="202" customFormat="false" ht="15" hidden="false" customHeight="false" outlineLevel="0" collapsed="false">
      <c r="A202" s="71" t="n">
        <f aca="false">A201+$F$3</f>
        <v>3920</v>
      </c>
      <c r="B202" s="71" t="n">
        <f aca="false">SUMPRODUCT(固有振動数!$Q$6:$Q$22*(1-($A202/固有振動数!$O$6:$O$22)^2)/((1-($A202/固有振動数!$O$6:$O$22)^2)^2+固有振動数!$P$6:$P$22^2))</f>
        <v>22.8965750677868</v>
      </c>
      <c r="C202" s="71" t="n">
        <f aca="false">-SUMPRODUCT(固有振動数!$Q$6:$Q$22*固有振動数!$P$6:$P$22/((1-($A202/固有振動数!$O$6:$O$22)^2)^2+固有振動数!$P$6:$P$22^2))</f>
        <v>-0.646259585059097</v>
      </c>
      <c r="D202" s="71" t="n">
        <f aca="false">SQRT(B202^2+C202^2)</f>
        <v>22.9056936434171</v>
      </c>
      <c r="E202" s="72" t="n">
        <f aca="false">20*LOG10(MAX(D202,0.000000000001)/$K$3)</f>
        <v>27.1988689573411</v>
      </c>
      <c r="F202" s="5"/>
      <c r="G202" s="5"/>
      <c r="H202" s="5"/>
      <c r="I202" s="5"/>
      <c r="J202" s="5"/>
      <c r="K202" s="5"/>
      <c r="L202" s="5"/>
      <c r="M202" s="5"/>
      <c r="N202" s="5"/>
    </row>
    <row r="203" customFormat="false" ht="15" hidden="false" customHeight="false" outlineLevel="0" collapsed="false">
      <c r="A203" s="71" t="n">
        <f aca="false">A202+$F$3</f>
        <v>3940</v>
      </c>
      <c r="B203" s="71" t="n">
        <f aca="false">SUMPRODUCT(固有振動数!$Q$6:$Q$22*(1-($A203/固有振動数!$O$6:$O$22)^2)/((1-($A203/固有振動数!$O$6:$O$22)^2)^2+固有振動数!$P$6:$P$22^2))</f>
        <v>23.3441148223461</v>
      </c>
      <c r="C203" s="71" t="n">
        <f aca="false">-SUMPRODUCT(固有振動数!$Q$6:$Q$22*固有振動数!$P$6:$P$22/((1-($A203/固有振動数!$O$6:$O$22)^2)^2+固有振動数!$P$6:$P$22^2))</f>
        <v>-0.705356187941689</v>
      </c>
      <c r="D203" s="71" t="n">
        <f aca="false">SQRT(B203^2+C203^2)</f>
        <v>23.3547687676575</v>
      </c>
      <c r="E203" s="72" t="n">
        <f aca="false">20*LOG10(MAX(D203,0.000000000001)/$K$3)</f>
        <v>27.3675114351071</v>
      </c>
      <c r="F203" s="5"/>
      <c r="G203" s="5"/>
      <c r="H203" s="5"/>
      <c r="I203" s="5"/>
      <c r="J203" s="5"/>
      <c r="K203" s="5"/>
      <c r="L203" s="5"/>
      <c r="M203" s="5"/>
      <c r="N203" s="5"/>
    </row>
    <row r="204" customFormat="false" ht="15" hidden="false" customHeight="false" outlineLevel="0" collapsed="false">
      <c r="A204" s="71" t="n">
        <f aca="false">A203+$F$3</f>
        <v>3960</v>
      </c>
      <c r="B204" s="71" t="n">
        <f aca="false">SUMPRODUCT(固有振動数!$Q$6:$Q$22*(1-($A204/固有振動数!$O$6:$O$22)^2)/((1-($A204/固有振動数!$O$6:$O$22)^2)^2+固有振動数!$P$6:$P$22^2))</f>
        <v>23.8492211909116</v>
      </c>
      <c r="C204" s="71" t="n">
        <f aca="false">-SUMPRODUCT(固有振動数!$Q$6:$Q$22*固有振動数!$P$6:$P$22/((1-($A204/固有振動数!$O$6:$O$22)^2)^2+固有振動数!$P$6:$P$22^2))</f>
        <v>-0.776857883036412</v>
      </c>
      <c r="D204" s="71" t="n">
        <f aca="false">SQRT(B204^2+C204^2)</f>
        <v>23.8618704125109</v>
      </c>
      <c r="E204" s="72" t="n">
        <f aca="false">20*LOG10(MAX(D204,0.000000000001)/$K$3)</f>
        <v>27.5540896567578</v>
      </c>
      <c r="F204" s="5"/>
      <c r="G204" s="5"/>
      <c r="H204" s="5"/>
      <c r="I204" s="5"/>
      <c r="J204" s="5"/>
      <c r="K204" s="5"/>
      <c r="L204" s="5"/>
      <c r="M204" s="5"/>
      <c r="N204" s="5"/>
    </row>
    <row r="205" customFormat="false" ht="15" hidden="false" customHeight="false" outlineLevel="0" collapsed="false">
      <c r="A205" s="71" t="n">
        <f aca="false">A204+$F$3</f>
        <v>3980</v>
      </c>
      <c r="B205" s="71" t="n">
        <f aca="false">SUMPRODUCT(固有振動数!$Q$6:$Q$22*(1-($A205/固有振動数!$O$6:$O$22)^2)/((1-($A205/固有振動数!$O$6:$O$22)^2)^2+固有振動数!$P$6:$P$22^2))</f>
        <v>24.4244927141238</v>
      </c>
      <c r="C205" s="71" t="n">
        <f aca="false">-SUMPRODUCT(固有振動数!$Q$6:$Q$22*固有振動数!$P$6:$P$22/((1-($A205/固有振動数!$O$6:$O$22)^2)^2+固有振動数!$P$6:$P$22^2))</f>
        <v>-0.864551037900175</v>
      </c>
      <c r="D205" s="71" t="n">
        <f aca="false">SQRT(B205^2+C205^2)</f>
        <v>24.4397891324664</v>
      </c>
      <c r="E205" s="72" t="n">
        <f aca="false">20*LOG10(MAX(D205,0.000000000001)/$K$3)</f>
        <v>27.7619490895107</v>
      </c>
      <c r="F205" s="5"/>
      <c r="G205" s="5"/>
      <c r="H205" s="5"/>
      <c r="I205" s="5"/>
      <c r="J205" s="5"/>
      <c r="K205" s="5"/>
      <c r="L205" s="5"/>
      <c r="M205" s="5"/>
      <c r="N205" s="5"/>
    </row>
    <row r="206" customFormat="false" ht="15" hidden="false" customHeight="false" outlineLevel="0" collapsed="false">
      <c r="A206" s="71" t="n">
        <f aca="false">A205+$F$3</f>
        <v>4000</v>
      </c>
      <c r="B206" s="71" t="n">
        <f aca="false">SUMPRODUCT(固有振動数!$Q$6:$Q$22*(1-($A206/固有振動数!$O$6:$O$22)^2)/((1-($A206/固有振動数!$O$6:$O$22)^2)^2+固有振動数!$P$6:$P$22^2))</f>
        <v>25.0864712848368</v>
      </c>
      <c r="C206" s="71" t="n">
        <f aca="false">-SUMPRODUCT(固有振動数!$Q$6:$Q$22*固有振動数!$P$6:$P$22/((1-($A206/固有振動数!$O$6:$O$22)^2)^2+固有振動数!$P$6:$P$22^2))</f>
        <v>-0.973788163642426</v>
      </c>
      <c r="D206" s="71" t="n">
        <f aca="false">SQRT(B206^2+C206^2)</f>
        <v>25.1053640665216</v>
      </c>
      <c r="E206" s="72" t="n">
        <f aca="false">20*LOG10(MAX(D206,0.000000000001)/$K$3)</f>
        <v>27.9953304739244</v>
      </c>
      <c r="F206" s="5"/>
      <c r="G206" s="5"/>
      <c r="H206" s="5"/>
      <c r="I206" s="5"/>
      <c r="J206" s="5"/>
      <c r="K206" s="5"/>
      <c r="L206" s="5"/>
      <c r="M206" s="5"/>
      <c r="N206" s="5"/>
    </row>
    <row r="207" customFormat="false" ht="15" hidden="false" customHeight="false" outlineLevel="0" collapsed="false">
      <c r="A207" s="71" t="n">
        <f aca="false">A206+$F$3</f>
        <v>4020</v>
      </c>
      <c r="B207" s="71" t="n">
        <f aca="false">SUMPRODUCT(固有振動数!$Q$6:$Q$22*(1-($A207/固有振動数!$O$6:$O$22)^2)/((1-($A207/固有振動数!$O$6:$O$22)^2)^2+固有振動数!$P$6:$P$22^2))</f>
        <v>25.8573012557686</v>
      </c>
      <c r="C207" s="71" t="n">
        <f aca="false">-SUMPRODUCT(固有振動数!$Q$6:$Q$22*固有振動数!$P$6:$P$22/((1-($A207/固有振動数!$O$6:$O$22)^2)^2+固有振動数!$P$6:$P$22^2))</f>
        <v>-1.11233359429154</v>
      </c>
      <c r="D207" s="71" t="n">
        <f aca="false">SQRT(B207^2+C207^2)</f>
        <v>25.8812154710045</v>
      </c>
      <c r="E207" s="72" t="n">
        <f aca="false">20*LOG10(MAX(D207,0.000000000001)/$K$3)</f>
        <v>28.2596933688008</v>
      </c>
      <c r="F207" s="5"/>
      <c r="G207" s="5"/>
      <c r="H207" s="5"/>
      <c r="I207" s="5"/>
      <c r="J207" s="5"/>
      <c r="K207" s="5"/>
      <c r="L207" s="5"/>
      <c r="M207" s="5"/>
      <c r="N207" s="5"/>
    </row>
    <row r="208" customFormat="false" ht="15" hidden="false" customHeight="false" outlineLevel="0" collapsed="false">
      <c r="A208" s="71" t="n">
        <f aca="false">A207+$F$3</f>
        <v>4040</v>
      </c>
      <c r="B208" s="71" t="n">
        <f aca="false">SUMPRODUCT(固有振動数!$Q$6:$Q$22*(1-($A208/固有振動数!$O$6:$O$22)^2)/((1-($A208/固有振動数!$O$6:$O$22)^2)^2+固有振動数!$P$6:$P$22^2))</f>
        <v>26.7672911703758</v>
      </c>
      <c r="C208" s="71" t="n">
        <f aca="false">-SUMPRODUCT(固有振動数!$Q$6:$Q$22*固有振動数!$P$6:$P$22/((1-($A208/固有振動数!$O$6:$O$22)^2)^2+固有振動数!$P$6:$P$22^2))</f>
        <v>-1.29179243835532</v>
      </c>
      <c r="D208" s="71" t="n">
        <f aca="false">SQRT(B208^2+C208^2)</f>
        <v>26.7984440649727</v>
      </c>
      <c r="E208" s="72" t="n">
        <f aca="false">20*LOG10(MAX(D208,0.000000000001)/$K$3)</f>
        <v>28.5621915868348</v>
      </c>
      <c r="F208" s="5"/>
      <c r="G208" s="5"/>
      <c r="H208" s="5"/>
      <c r="I208" s="5"/>
      <c r="J208" s="5"/>
      <c r="K208" s="5"/>
      <c r="L208" s="5"/>
      <c r="M208" s="5"/>
      <c r="N208" s="5"/>
    </row>
    <row r="209" customFormat="false" ht="15" hidden="false" customHeight="false" outlineLevel="0" collapsed="false">
      <c r="A209" s="71" t="n">
        <f aca="false">A208+$F$3</f>
        <v>4060</v>
      </c>
      <c r="B209" s="71" t="n">
        <f aca="false">SUMPRODUCT(固有振動数!$Q$6:$Q$22*(1-($A209/固有振動数!$O$6:$O$22)^2)/((1-($A209/固有振動数!$O$6:$O$22)^2)^2+固有振動数!$P$6:$P$22^2))</f>
        <v>27.8589967795298</v>
      </c>
      <c r="C209" s="71" t="n">
        <f aca="false">-SUMPRODUCT(固有振動数!$Q$6:$Q$22*固有振動数!$P$6:$P$22/((1-($A209/固有振動数!$O$6:$O$22)^2)^2+固有振動数!$P$6:$P$22^2))</f>
        <v>-1.53013014412794</v>
      </c>
      <c r="D209" s="71" t="n">
        <f aca="false">SQRT(B209^2+C209^2)</f>
        <v>27.9009856424432</v>
      </c>
      <c r="E209" s="72" t="n">
        <f aca="false">20*LOG10(MAX(D209,0.000000000001)/$K$3)</f>
        <v>28.9123909124348</v>
      </c>
      <c r="F209" s="5"/>
      <c r="G209" s="5"/>
      <c r="H209" s="5"/>
      <c r="I209" s="5"/>
      <c r="J209" s="5"/>
      <c r="K209" s="5"/>
      <c r="L209" s="5"/>
      <c r="M209" s="5"/>
      <c r="N209" s="5"/>
    </row>
    <row r="210" customFormat="false" ht="15" hidden="false" customHeight="false" outlineLevel="0" collapsed="false">
      <c r="A210" s="71" t="n">
        <f aca="false">A209+$F$3</f>
        <v>4080</v>
      </c>
      <c r="B210" s="71" t="n">
        <f aca="false">SUMPRODUCT(固有振動数!$Q$6:$Q$22*(1-($A210/固有振動数!$O$6:$O$22)^2)/((1-($A210/固有振動数!$O$6:$O$22)^2)^2+固有振動数!$P$6:$P$22^2))</f>
        <v>29.1939668983909</v>
      </c>
      <c r="C210" s="71" t="n">
        <f aca="false">-SUMPRODUCT(固有振動数!$Q$6:$Q$22*固有振動数!$P$6:$P$22/((1-($A210/固有振動数!$O$6:$O$22)^2)^2+固有振動数!$P$6:$P$22^2))</f>
        <v>-1.85634309173778</v>
      </c>
      <c r="D210" s="71" t="n">
        <f aca="false">SQRT(B210^2+C210^2)</f>
        <v>29.2529265704918</v>
      </c>
      <c r="E210" s="72" t="n">
        <f aca="false">20*LOG10(MAX(D210,0.000000000001)/$K$3)</f>
        <v>29.3233864202176</v>
      </c>
      <c r="F210" s="5"/>
      <c r="G210" s="5"/>
      <c r="H210" s="5"/>
      <c r="I210" s="5"/>
      <c r="J210" s="5"/>
      <c r="K210" s="5"/>
      <c r="L210" s="5"/>
      <c r="M210" s="5"/>
      <c r="N210" s="5"/>
    </row>
    <row r="211" customFormat="false" ht="15" hidden="false" customHeight="false" outlineLevel="0" collapsed="false">
      <c r="A211" s="71" t="n">
        <f aca="false">A210+$F$3</f>
        <v>4100</v>
      </c>
      <c r="B211" s="71" t="n">
        <f aca="false">SUMPRODUCT(固有振動数!$Q$6:$Q$22*(1-($A211/固有振動数!$O$6:$O$22)^2)/((1-($A211/固有振動数!$O$6:$O$22)^2)^2+固有振動数!$P$6:$P$22^2))</f>
        <v>30.8643483494392</v>
      </c>
      <c r="C211" s="71" t="n">
        <f aca="false">-SUMPRODUCT(固有振動数!$Q$6:$Q$22*固有振動数!$P$6:$P$22/((1-($A211/固有振動数!$O$6:$O$22)^2)^2+固有振動数!$P$6:$P$22^2))</f>
        <v>-2.31964853604675</v>
      </c>
      <c r="D211" s="71" t="n">
        <f aca="false">SQRT(B211^2+C211^2)</f>
        <v>30.951393641746</v>
      </c>
      <c r="E211" s="72" t="n">
        <f aca="false">20*LOG10(MAX(D211,0.000000000001)/$K$3)</f>
        <v>29.8136041736129</v>
      </c>
      <c r="F211" s="5"/>
      <c r="G211" s="5"/>
      <c r="H211" s="5"/>
      <c r="I211" s="5"/>
      <c r="J211" s="5"/>
      <c r="K211" s="5"/>
      <c r="L211" s="5"/>
      <c r="M211" s="5"/>
      <c r="N211" s="5"/>
    </row>
    <row r="212" customFormat="false" ht="15" hidden="false" customHeight="false" outlineLevel="0" collapsed="false">
      <c r="A212" s="71" t="n">
        <f aca="false">A211+$F$3</f>
        <v>4120</v>
      </c>
      <c r="B212" s="71" t="n">
        <f aca="false">SUMPRODUCT(固有振動数!$Q$6:$Q$22*(1-($A212/固有振動数!$O$6:$O$22)^2)/((1-($A212/固有振動数!$O$6:$O$22)^2)^2+固有振動数!$P$6:$P$22^2))</f>
        <v>33.01375457057</v>
      </c>
      <c r="C212" s="71" t="n">
        <f aca="false">-SUMPRODUCT(固有振動数!$Q$6:$Q$22*固有振動数!$P$6:$P$22/((1-($A212/固有振動数!$O$6:$O$22)^2)^2+固有振動数!$P$6:$P$22^2))</f>
        <v>-3.00891924050864</v>
      </c>
      <c r="D212" s="71" t="n">
        <f aca="false">SQRT(B212^2+C212^2)</f>
        <v>33.1505895247993</v>
      </c>
      <c r="E212" s="72" t="n">
        <f aca="false">20*LOG10(MAX(D212,0.000000000001)/$K$3)</f>
        <v>30.4098251194257</v>
      </c>
      <c r="F212" s="5"/>
      <c r="G212" s="5"/>
      <c r="H212" s="5"/>
      <c r="I212" s="5"/>
      <c r="J212" s="5"/>
      <c r="K212" s="5"/>
      <c r="L212" s="5"/>
      <c r="M212" s="5"/>
      <c r="N212" s="5"/>
    </row>
    <row r="213" customFormat="false" ht="15" hidden="false" customHeight="false" outlineLevel="0" collapsed="false">
      <c r="A213" s="71" t="n">
        <f aca="false">A212+$F$3</f>
        <v>4140</v>
      </c>
      <c r="B213" s="71" t="n">
        <f aca="false">SUMPRODUCT(固有振動数!$Q$6:$Q$22*(1-($A213/固有振動数!$O$6:$O$22)^2)/((1-($A213/固有振動数!$O$6:$O$22)^2)^2+固有振動数!$P$6:$P$22^2))</f>
        <v>35.8765085453933</v>
      </c>
      <c r="C213" s="71" t="n">
        <f aca="false">-SUMPRODUCT(固有振動数!$Q$6:$Q$22*固有振動数!$P$6:$P$22/((1-($A213/固有振動数!$O$6:$O$22)^2)^2+固有振動数!$P$6:$P$22^2))</f>
        <v>-4.09759701501164</v>
      </c>
      <c r="D213" s="71" t="n">
        <f aca="false">SQRT(B213^2+C213^2)</f>
        <v>36.1097516843457</v>
      </c>
      <c r="E213" s="72" t="n">
        <f aca="false">20*LOG10(MAX(D213,0.000000000001)/$K$3)</f>
        <v>31.1524900385508</v>
      </c>
      <c r="F213" s="5"/>
      <c r="G213" s="5"/>
      <c r="H213" s="5"/>
      <c r="I213" s="5"/>
      <c r="J213" s="5"/>
      <c r="K213" s="5"/>
      <c r="L213" s="5"/>
      <c r="M213" s="5"/>
      <c r="N213" s="5"/>
    </row>
    <row r="214" customFormat="false" ht="15" hidden="false" customHeight="false" outlineLevel="0" collapsed="false">
      <c r="A214" s="71" t="n">
        <f aca="false">A213+$F$3</f>
        <v>4160</v>
      </c>
      <c r="B214" s="71" t="n">
        <f aca="false">SUMPRODUCT(固有振動数!$Q$6:$Q$22*(1-($A214/固有振動数!$O$6:$O$22)^2)/((1-($A214/固有振動数!$O$6:$O$22)^2)^2+固有振動数!$P$6:$P$22^2))</f>
        <v>39.8537337071196</v>
      </c>
      <c r="C214" s="71" t="n">
        <f aca="false">-SUMPRODUCT(固有振動数!$Q$6:$Q$22*固有振動数!$P$6:$P$22/((1-($A214/固有振動数!$O$6:$O$22)^2)^2+固有振動数!$P$6:$P$22^2))</f>
        <v>-5.95967534820429</v>
      </c>
      <c r="D214" s="71" t="n">
        <f aca="false">SQRT(B214^2+C214^2)</f>
        <v>40.2968711025309</v>
      </c>
      <c r="E214" s="72" t="n">
        <f aca="false">20*LOG10(MAX(D214,0.000000000001)/$K$3)</f>
        <v>32.1054265229914</v>
      </c>
      <c r="F214" s="5"/>
      <c r="G214" s="5"/>
      <c r="H214" s="5"/>
      <c r="I214" s="5"/>
      <c r="J214" s="5"/>
      <c r="K214" s="5"/>
      <c r="L214" s="5"/>
      <c r="M214" s="5"/>
      <c r="N214" s="5"/>
    </row>
    <row r="215" customFormat="false" ht="15" hidden="false" customHeight="false" outlineLevel="0" collapsed="false">
      <c r="A215" s="71" t="n">
        <f aca="false">A214+$F$3</f>
        <v>4180</v>
      </c>
      <c r="B215" s="71" t="n">
        <f aca="false">SUMPRODUCT(固有振動数!$Q$6:$Q$22*(1-($A215/固有振動数!$O$6:$O$22)^2)/((1-($A215/固有振動数!$O$6:$O$22)^2)^2+固有振動数!$P$6:$P$22^2))</f>
        <v>45.6534454231088</v>
      </c>
      <c r="C215" s="71" t="n">
        <f aca="false">-SUMPRODUCT(固有振動数!$Q$6:$Q$22*固有振動数!$P$6:$P$22/((1-($A215/固有振動数!$O$6:$O$22)^2)^2+固有振動数!$P$6:$P$22^2))</f>
        <v>-9.51422167983163</v>
      </c>
      <c r="D215" s="71" t="n">
        <f aca="false">SQRT(B215^2+C215^2)</f>
        <v>46.6342952468862</v>
      </c>
      <c r="E215" s="72" t="n">
        <f aca="false">20*LOG10(MAX(D215,0.000000000001)/$K$3)</f>
        <v>33.3741083588913</v>
      </c>
      <c r="F215" s="5"/>
      <c r="G215" s="5"/>
      <c r="H215" s="5"/>
      <c r="I215" s="5"/>
      <c r="J215" s="5"/>
      <c r="K215" s="5"/>
      <c r="L215" s="5"/>
      <c r="M215" s="5"/>
      <c r="N215" s="5"/>
    </row>
    <row r="216" customFormat="false" ht="15" hidden="false" customHeight="false" outlineLevel="0" collapsed="false">
      <c r="A216" s="71" t="n">
        <f aca="false">A215+$F$3</f>
        <v>4200</v>
      </c>
      <c r="B216" s="71" t="n">
        <f aca="false">SUMPRODUCT(固有振動数!$Q$6:$Q$22*(1-($A216/固有振動数!$O$6:$O$22)^2)/((1-($A216/固有振動数!$O$6:$O$22)^2)^2+固有振動数!$P$6:$P$22^2))</f>
        <v>54.3964937408234</v>
      </c>
      <c r="C216" s="71" t="n">
        <f aca="false">-SUMPRODUCT(固有振動数!$Q$6:$Q$22*固有振動数!$P$6:$P$22/((1-($A216/固有振動数!$O$6:$O$22)^2)^2+固有振動数!$P$6:$P$22^2))</f>
        <v>-17.436950394762</v>
      </c>
      <c r="D216" s="71" t="n">
        <f aca="false">SQRT(B216^2+C216^2)</f>
        <v>57.1229005773064</v>
      </c>
      <c r="E216" s="72" t="n">
        <f aca="false">20*LOG10(MAX(D216,0.000000000001)/$K$3)</f>
        <v>35.1362050372445</v>
      </c>
      <c r="F216" s="5"/>
      <c r="G216" s="5"/>
      <c r="H216" s="5"/>
      <c r="I216" s="5"/>
      <c r="J216" s="5"/>
      <c r="K216" s="5"/>
      <c r="L216" s="5"/>
      <c r="M216" s="5"/>
      <c r="N216" s="5"/>
    </row>
    <row r="217" customFormat="false" ht="15" hidden="false" customHeight="false" outlineLevel="0" collapsed="false">
      <c r="A217" s="71" t="n">
        <f aca="false">A216+$F$3</f>
        <v>4220</v>
      </c>
      <c r="B217" s="71" t="n">
        <f aca="false">SUMPRODUCT(固有振動数!$Q$6:$Q$22*(1-($A217/固有振動数!$O$6:$O$22)^2)/((1-($A217/固有振動数!$O$6:$O$22)^2)^2+固有振動数!$P$6:$P$22^2))</f>
        <v>65.3787512780161</v>
      </c>
      <c r="C217" s="71" t="n">
        <f aca="false">-SUMPRODUCT(固有振動数!$Q$6:$Q$22*固有振動数!$P$6:$P$22/((1-($A217/固有振動数!$O$6:$O$22)^2)^2+固有振動数!$P$6:$P$22^2))</f>
        <v>-38.9337181994314</v>
      </c>
      <c r="D217" s="71" t="n">
        <f aca="false">SQRT(B217^2+C217^2)</f>
        <v>76.0934657609011</v>
      </c>
      <c r="E217" s="72" t="n">
        <f aca="false">20*LOG10(MAX(D217,0.000000000001)/$K$3)</f>
        <v>37.6269472994528</v>
      </c>
      <c r="F217" s="5"/>
      <c r="G217" s="5"/>
      <c r="H217" s="5"/>
      <c r="I217" s="5"/>
      <c r="J217" s="5"/>
      <c r="K217" s="5"/>
      <c r="L217" s="5"/>
      <c r="M217" s="5"/>
      <c r="N217" s="5"/>
    </row>
    <row r="218" customFormat="false" ht="15" hidden="false" customHeight="false" outlineLevel="0" collapsed="false">
      <c r="A218" s="71" t="n">
        <f aca="false">A217+$F$3</f>
        <v>4240</v>
      </c>
      <c r="B218" s="71" t="n">
        <f aca="false">SUMPRODUCT(固有振動数!$Q$6:$Q$22*(1-($A218/固有振動数!$O$6:$O$22)^2)/((1-($A218/固有振動数!$O$6:$O$22)^2)^2+固有振動数!$P$6:$P$22^2))</f>
        <v>45.7029759408697</v>
      </c>
      <c r="C218" s="71" t="n">
        <f aca="false">-SUMPRODUCT(固有振動数!$Q$6:$Q$22*固有振動数!$P$6:$P$22/((1-($A218/固有振動数!$O$6:$O$22)^2)^2+固有振動数!$P$6:$P$22^2))</f>
        <v>-90.9363730993439</v>
      </c>
      <c r="D218" s="71" t="n">
        <f aca="false">SQRT(B218^2+C218^2)</f>
        <v>101.775173604936</v>
      </c>
      <c r="E218" s="72" t="n">
        <f aca="false">20*LOG10(MAX(D218,0.000000000001)/$K$3)</f>
        <v>40.1528370371626</v>
      </c>
      <c r="F218" s="5"/>
      <c r="G218" s="5"/>
      <c r="H218" s="5"/>
      <c r="I218" s="5"/>
      <c r="J218" s="5"/>
      <c r="K218" s="5"/>
      <c r="L218" s="5"/>
      <c r="M218" s="5"/>
      <c r="N218" s="5"/>
    </row>
    <row r="219" customFormat="false" ht="15" hidden="false" customHeight="false" outlineLevel="0" collapsed="false">
      <c r="A219" s="71" t="n">
        <f aca="false">A218+$F$3</f>
        <v>4260</v>
      </c>
      <c r="B219" s="71" t="n">
        <f aca="false">SUMPRODUCT(固有振動数!$Q$6:$Q$22*(1-($A219/固有振動数!$O$6:$O$22)^2)/((1-($A219/固有振動数!$O$6:$O$22)^2)^2+固有振動数!$P$6:$P$22^2))</f>
        <v>-28.1400098993796</v>
      </c>
      <c r="C219" s="71" t="n">
        <f aca="false">-SUMPRODUCT(固有振動数!$Q$6:$Q$22*固有振動数!$P$6:$P$22/((1-($A219/固有振動数!$O$6:$O$22)^2)^2+固有振動数!$P$6:$P$22^2))</f>
        <v>-72.2490817415886</v>
      </c>
      <c r="D219" s="71" t="n">
        <f aca="false">SQRT(B219^2+C219^2)</f>
        <v>77.5357335016567</v>
      </c>
      <c r="E219" s="72" t="n">
        <f aca="false">20*LOG10(MAX(D219,0.000000000001)/$K$3)</f>
        <v>37.7900379948976</v>
      </c>
      <c r="F219" s="5"/>
      <c r="G219" s="5"/>
      <c r="H219" s="5"/>
      <c r="I219" s="5"/>
      <c r="J219" s="5"/>
      <c r="K219" s="5"/>
      <c r="L219" s="5"/>
      <c r="M219" s="5"/>
      <c r="N219" s="5"/>
    </row>
    <row r="220" customFormat="false" ht="15" hidden="false" customHeight="false" outlineLevel="0" collapsed="false">
      <c r="A220" s="71" t="n">
        <f aca="false">A219+$F$3</f>
        <v>4280</v>
      </c>
      <c r="B220" s="71" t="n">
        <f aca="false">SUMPRODUCT(固有振動数!$Q$6:$Q$22*(1-($A220/固有振動数!$O$6:$O$22)^2)/((1-($A220/固有振動数!$O$6:$O$22)^2)^2+固有振動数!$P$6:$P$22^2))</f>
        <v>-28.534587351595</v>
      </c>
      <c r="C220" s="71" t="n">
        <f aca="false">-SUMPRODUCT(固有振動数!$Q$6:$Q$22*固有振動数!$P$6:$P$22/((1-($A220/固有振動数!$O$6:$O$22)^2)^2+固有振動数!$P$6:$P$22^2))</f>
        <v>-29.0693662200185</v>
      </c>
      <c r="D220" s="71" t="n">
        <f aca="false">SQRT(B220^2+C220^2)</f>
        <v>40.7339014551683</v>
      </c>
      <c r="E220" s="72" t="n">
        <f aca="false">20*LOG10(MAX(D220,0.000000000001)/$K$3)</f>
        <v>32.1991201679882</v>
      </c>
      <c r="F220" s="5"/>
      <c r="G220" s="5"/>
      <c r="H220" s="5"/>
      <c r="I220" s="5"/>
      <c r="J220" s="5"/>
      <c r="K220" s="5"/>
      <c r="L220" s="5"/>
      <c r="M220" s="5"/>
      <c r="N220" s="5"/>
    </row>
    <row r="221" customFormat="false" ht="15" hidden="false" customHeight="false" outlineLevel="0" collapsed="false">
      <c r="A221" s="71" t="n">
        <f aca="false">A220+$F$3</f>
        <v>4300</v>
      </c>
      <c r="B221" s="71" t="n">
        <f aca="false">SUMPRODUCT(固有振動数!$Q$6:$Q$22*(1-($A221/固有振動数!$O$6:$O$22)^2)/((1-($A221/固有振動数!$O$6:$O$22)^2)^2+固有振動数!$P$6:$P$22^2))</f>
        <v>-17.4540537759489</v>
      </c>
      <c r="C221" s="71" t="n">
        <f aca="false">-SUMPRODUCT(固有振動数!$Q$6:$Q$22*固有振動数!$P$6:$P$22/((1-($A221/固有振動数!$O$6:$O$22)^2)^2+固有振動数!$P$6:$P$22^2))</f>
        <v>-13.8006787812314</v>
      </c>
      <c r="D221" s="71" t="n">
        <f aca="false">SQRT(B221^2+C221^2)</f>
        <v>22.2509039824553</v>
      </c>
      <c r="E221" s="72" t="n">
        <f aca="false">20*LOG10(MAX(D221,0.000000000001)/$K$3)</f>
        <v>26.9469531931858</v>
      </c>
      <c r="F221" s="5"/>
      <c r="G221" s="5"/>
      <c r="H221" s="5"/>
      <c r="I221" s="5"/>
      <c r="J221" s="5"/>
      <c r="K221" s="5"/>
      <c r="L221" s="5"/>
      <c r="M221" s="5"/>
      <c r="N221" s="5"/>
    </row>
    <row r="222" customFormat="false" ht="15" hidden="false" customHeight="false" outlineLevel="0" collapsed="false">
      <c r="A222" s="71" t="n">
        <f aca="false">A221+$F$3</f>
        <v>4320</v>
      </c>
      <c r="B222" s="71" t="n">
        <f aca="false">SUMPRODUCT(固有振動数!$Q$6:$Q$22*(1-($A222/固有振動数!$O$6:$O$22)^2)/((1-($A222/固有振動数!$O$6:$O$22)^2)^2+固有振動数!$P$6:$P$22^2))</f>
        <v>-9.70663568073696</v>
      </c>
      <c r="C222" s="71" t="n">
        <f aca="false">-SUMPRODUCT(固有振動数!$Q$6:$Q$22*固有振動数!$P$6:$P$22/((1-($A222/固有振動数!$O$6:$O$22)^2)^2+固有振動数!$P$6:$P$22^2))</f>
        <v>-7.84910840818556</v>
      </c>
      <c r="D222" s="71" t="n">
        <f aca="false">SQRT(B222^2+C222^2)</f>
        <v>12.4830797098314</v>
      </c>
      <c r="E222" s="72" t="n">
        <f aca="false">20*LOG10(MAX(D222,0.000000000001)/$K$3)</f>
        <v>21.9264348735694</v>
      </c>
      <c r="F222" s="5"/>
      <c r="G222" s="5"/>
      <c r="H222" s="5"/>
      <c r="I222" s="5"/>
      <c r="J222" s="5"/>
      <c r="K222" s="5"/>
      <c r="L222" s="5"/>
      <c r="M222" s="5"/>
      <c r="N222" s="5"/>
    </row>
    <row r="223" customFormat="false" ht="15" hidden="false" customHeight="false" outlineLevel="0" collapsed="false">
      <c r="A223" s="71" t="n">
        <f aca="false">A222+$F$3</f>
        <v>4340</v>
      </c>
      <c r="B223" s="71" t="n">
        <f aca="false">SUMPRODUCT(固有振動数!$Q$6:$Q$22*(1-($A223/固有振動数!$O$6:$O$22)^2)/((1-($A223/固有振動数!$O$6:$O$22)^2)^2+固有振動数!$P$6:$P$22^2))</f>
        <v>-4.55144473723641</v>
      </c>
      <c r="C223" s="71" t="n">
        <f aca="false">-SUMPRODUCT(固有振動数!$Q$6:$Q$22*固有振動数!$P$6:$P$22/((1-($A223/固有振動数!$O$6:$O$22)^2)^2+固有振動数!$P$6:$P$22^2))</f>
        <v>-5.04472705895824</v>
      </c>
      <c r="D223" s="71" t="n">
        <f aca="false">SQRT(B223^2+C223^2)</f>
        <v>6.7944771907412</v>
      </c>
      <c r="E223" s="72" t="n">
        <f aca="false">20*LOG10(MAX(D223,0.000000000001)/$K$3)</f>
        <v>16.6431209008069</v>
      </c>
      <c r="F223" s="5"/>
      <c r="G223" s="5"/>
      <c r="H223" s="5"/>
      <c r="I223" s="5"/>
      <c r="J223" s="5"/>
      <c r="K223" s="5"/>
      <c r="L223" s="5"/>
      <c r="M223" s="5"/>
      <c r="N223" s="5"/>
    </row>
    <row r="224" customFormat="false" ht="15" hidden="false" customHeight="false" outlineLevel="0" collapsed="false">
      <c r="A224" s="71" t="n">
        <f aca="false">A223+$F$3</f>
        <v>4360</v>
      </c>
      <c r="B224" s="71" t="n">
        <f aca="false">SUMPRODUCT(固有振動数!$Q$6:$Q$22*(1-($A224/固有振動数!$O$6:$O$22)^2)/((1-($A224/固有振動数!$O$6:$O$22)^2)^2+固有振動数!$P$6:$P$22^2))</f>
        <v>-0.962840626161878</v>
      </c>
      <c r="C224" s="71" t="n">
        <f aca="false">-SUMPRODUCT(固有振動数!$Q$6:$Q$22*固有振動数!$P$6:$P$22/((1-($A224/固有振動数!$O$6:$O$22)^2)^2+固有振動数!$P$6:$P$22^2))</f>
        <v>-3.52630691104767</v>
      </c>
      <c r="D224" s="71" t="n">
        <f aca="false">SQRT(B224^2+C224^2)</f>
        <v>3.65539361796925</v>
      </c>
      <c r="E224" s="72" t="n">
        <f aca="false">20*LOG10(MAX(D224,0.000000000001)/$K$3)</f>
        <v>11.2586829851544</v>
      </c>
      <c r="F224" s="5"/>
      <c r="G224" s="5"/>
      <c r="H224" s="5"/>
      <c r="I224" s="5"/>
      <c r="J224" s="5"/>
      <c r="K224" s="5"/>
      <c r="L224" s="5"/>
      <c r="M224" s="5"/>
      <c r="N224" s="5"/>
    </row>
    <row r="225" customFormat="false" ht="15" hidden="false" customHeight="false" outlineLevel="0" collapsed="false">
      <c r="A225" s="71" t="n">
        <f aca="false">A224+$F$3</f>
        <v>4380</v>
      </c>
      <c r="B225" s="71" t="n">
        <f aca="false">SUMPRODUCT(固有振動数!$Q$6:$Q$22*(1-($A225/固有振動数!$O$6:$O$22)^2)/((1-($A225/固有振動数!$O$6:$O$22)^2)^2+固有振動数!$P$6:$P$22^2))</f>
        <v>1.65780506441975</v>
      </c>
      <c r="C225" s="71" t="n">
        <f aca="false">-SUMPRODUCT(固有振動数!$Q$6:$Q$22*固有振動数!$P$6:$P$22/((1-($A225/固有振動数!$O$6:$O$22)^2)^2+固有振動数!$P$6:$P$22^2))</f>
        <v>-2.61895391610501</v>
      </c>
      <c r="D225" s="71" t="n">
        <f aca="false">SQRT(B225^2+C225^2)</f>
        <v>3.09955436253303</v>
      </c>
      <c r="E225" s="72" t="n">
        <f aca="false">20*LOG10(MAX(D225,0.000000000001)/$K$3)</f>
        <v>9.82598515536227</v>
      </c>
      <c r="F225" s="5"/>
      <c r="G225" s="5"/>
      <c r="H225" s="5"/>
      <c r="I225" s="5"/>
      <c r="J225" s="5"/>
      <c r="K225" s="5"/>
      <c r="L225" s="5"/>
      <c r="M225" s="5"/>
      <c r="N225" s="5"/>
    </row>
    <row r="226" customFormat="false" ht="15" hidden="false" customHeight="false" outlineLevel="0" collapsed="false">
      <c r="A226" s="71" t="n">
        <f aca="false">A225+$F$3</f>
        <v>4400</v>
      </c>
      <c r="B226" s="71" t="n">
        <f aca="false">SUMPRODUCT(固有振動数!$Q$6:$Q$22*(1-($A226/固有振動数!$O$6:$O$22)^2)/((1-($A226/固有振動数!$O$6:$O$22)^2)^2+固有振動数!$P$6:$P$22^2))</f>
        <v>3.6502959813762</v>
      </c>
      <c r="C226" s="71" t="n">
        <f aca="false">-SUMPRODUCT(固有振動数!$Q$6:$Q$22*固有振動数!$P$6:$P$22/((1-($A226/固有振動数!$O$6:$O$22)^2)^2+固有振動数!$P$6:$P$22^2))</f>
        <v>-2.03618984068983</v>
      </c>
      <c r="D226" s="71" t="n">
        <f aca="false">SQRT(B226^2+C226^2)</f>
        <v>4.1798002128068</v>
      </c>
      <c r="E226" s="72" t="n">
        <f aca="false">20*LOG10(MAX(D226,0.000000000001)/$K$3)</f>
        <v>12.4231104749783</v>
      </c>
      <c r="F226" s="5"/>
      <c r="G226" s="5"/>
      <c r="H226" s="5"/>
      <c r="I226" s="5"/>
      <c r="J226" s="5"/>
      <c r="K226" s="5"/>
      <c r="L226" s="5"/>
      <c r="M226" s="5"/>
      <c r="N226" s="5"/>
    </row>
    <row r="227" customFormat="false" ht="15" hidden="false" customHeight="false" outlineLevel="0" collapsed="false">
      <c r="A227" s="71" t="n">
        <f aca="false">A226+$F$3</f>
        <v>4420</v>
      </c>
      <c r="B227" s="71" t="n">
        <f aca="false">SUMPRODUCT(固有振動数!$Q$6:$Q$22*(1-($A227/固有振動数!$O$6:$O$22)^2)/((1-($A227/固有振動数!$O$6:$O$22)^2)^2+固有振動数!$P$6:$P$22^2))</f>
        <v>5.215773515395</v>
      </c>
      <c r="C227" s="71" t="n">
        <f aca="false">-SUMPRODUCT(固有振動数!$Q$6:$Q$22*固有振動数!$P$6:$P$22/((1-($A227/固有振動数!$O$6:$O$22)^2)^2+固有振動数!$P$6:$P$22^2))</f>
        <v>-1.64089930868641</v>
      </c>
      <c r="D227" s="71" t="n">
        <f aca="false">SQRT(B227^2+C227^2)</f>
        <v>5.46780064606816</v>
      </c>
      <c r="E227" s="72" t="n">
        <f aca="false">20*LOG10(MAX(D227,0.000000000001)/$K$3)</f>
        <v>14.7562534394562</v>
      </c>
      <c r="F227" s="5"/>
      <c r="G227" s="5"/>
      <c r="H227" s="5"/>
      <c r="I227" s="5"/>
      <c r="J227" s="5"/>
      <c r="K227" s="5"/>
      <c r="L227" s="5"/>
      <c r="M227" s="5"/>
      <c r="N227" s="5"/>
    </row>
    <row r="228" customFormat="false" ht="15" hidden="false" customHeight="false" outlineLevel="0" collapsed="false">
      <c r="A228" s="71" t="n">
        <f aca="false">A227+$F$3</f>
        <v>4440</v>
      </c>
      <c r="B228" s="71" t="n">
        <f aca="false">SUMPRODUCT(固有振動数!$Q$6:$Q$22*(1-($A228/固有振動数!$O$6:$O$22)^2)/((1-($A228/固有振動数!$O$6:$O$22)^2)^2+固有振動数!$P$6:$P$22^2))</f>
        <v>6.47924955257337</v>
      </c>
      <c r="C228" s="71" t="n">
        <f aca="false">-SUMPRODUCT(固有振動数!$Q$6:$Q$22*固有振動数!$P$6:$P$22/((1-($A228/固有振動数!$O$6:$O$22)^2)^2+固有振動数!$P$6:$P$22^2))</f>
        <v>-1.36112736668069</v>
      </c>
      <c r="D228" s="71" t="n">
        <f aca="false">SQRT(B228^2+C228^2)</f>
        <v>6.62067537890579</v>
      </c>
      <c r="E228" s="72" t="n">
        <f aca="false">20*LOG10(MAX(D228,0.000000000001)/$K$3)</f>
        <v>16.4180458865914</v>
      </c>
      <c r="F228" s="5"/>
      <c r="G228" s="5"/>
      <c r="H228" s="5"/>
      <c r="I228" s="5"/>
      <c r="J228" s="5"/>
      <c r="K228" s="5"/>
      <c r="L228" s="5"/>
      <c r="M228" s="5"/>
      <c r="N228" s="5"/>
    </row>
    <row r="229" customFormat="false" ht="15" hidden="false" customHeight="false" outlineLevel="0" collapsed="false">
      <c r="A229" s="71" t="n">
        <f aca="false">A228+$F$3</f>
        <v>4460</v>
      </c>
      <c r="B229" s="71" t="n">
        <f aca="false">SUMPRODUCT(固有振動数!$Q$6:$Q$22*(1-($A229/固有振動数!$O$6:$O$22)^2)/((1-($A229/固有振動数!$O$6:$O$22)^2)^2+固有振動数!$P$6:$P$22^2))</f>
        <v>7.52195679144886</v>
      </c>
      <c r="C229" s="71" t="n">
        <f aca="false">-SUMPRODUCT(固有振動数!$Q$6:$Q$22*固有振動数!$P$6:$P$22/((1-($A229/固有振動数!$O$6:$O$22)^2)^2+固有振動数!$P$6:$P$22^2))</f>
        <v>-1.1562873731618</v>
      </c>
      <c r="D229" s="71" t="n">
        <f aca="false">SQRT(B229^2+C229^2)</f>
        <v>7.61031106208918</v>
      </c>
      <c r="E229" s="72" t="n">
        <f aca="false">20*LOG10(MAX(D229,0.000000000001)/$K$3)</f>
        <v>17.6280481677057</v>
      </c>
      <c r="F229" s="5"/>
      <c r="G229" s="5"/>
      <c r="H229" s="5"/>
      <c r="I229" s="5"/>
      <c r="J229" s="5"/>
      <c r="K229" s="5"/>
      <c r="L229" s="5"/>
      <c r="M229" s="5"/>
      <c r="N229" s="5"/>
    </row>
    <row r="230" customFormat="false" ht="15" hidden="false" customHeight="false" outlineLevel="0" collapsed="false">
      <c r="A230" s="71" t="n">
        <f aca="false">A229+$F$3</f>
        <v>4480</v>
      </c>
      <c r="B230" s="71" t="n">
        <f aca="false">SUMPRODUCT(固有振動数!$Q$6:$Q$22*(1-($A230/固有振動数!$O$6:$O$22)^2)/((1-($A230/固有振動数!$O$6:$O$22)^2)^2+固有振動数!$P$6:$P$22^2))</f>
        <v>8.39875691427061</v>
      </c>
      <c r="C230" s="71" t="n">
        <f aca="false">-SUMPRODUCT(固有振動数!$Q$6:$Q$22*固有振動数!$P$6:$P$22/((1-($A230/固有振動数!$O$6:$O$22)^2)^2+固有振動数!$P$6:$P$22^2))</f>
        <v>-1.00212184271473</v>
      </c>
      <c r="D230" s="71" t="n">
        <f aca="false">SQRT(B230^2+C230^2)</f>
        <v>8.45833115293167</v>
      </c>
      <c r="E230" s="72" t="n">
        <f aca="false">20*LOG10(MAX(D230,0.000000000001)/$K$3)</f>
        <v>18.5456936849704</v>
      </c>
      <c r="F230" s="5"/>
      <c r="G230" s="5"/>
      <c r="H230" s="5"/>
      <c r="I230" s="5"/>
      <c r="J230" s="5"/>
      <c r="K230" s="5"/>
      <c r="L230" s="5"/>
      <c r="M230" s="5"/>
      <c r="N230" s="5"/>
    </row>
    <row r="231" customFormat="false" ht="15" hidden="false" customHeight="false" outlineLevel="0" collapsed="false">
      <c r="A231" s="71" t="n">
        <f aca="false">A230+$F$3</f>
        <v>4500</v>
      </c>
      <c r="B231" s="71" t="n">
        <f aca="false">SUMPRODUCT(固有振動数!$Q$6:$Q$22*(1-($A231/固有振動数!$O$6:$O$22)^2)/((1-($A231/固有振動数!$O$6:$O$22)^2)^2+固有振動数!$P$6:$P$22^2))</f>
        <v>9.14794844144252</v>
      </c>
      <c r="C231" s="71" t="n">
        <f aca="false">-SUMPRODUCT(固有振動数!$Q$6:$Q$22*固有振動数!$P$6:$P$22/((1-($A231/固有振動数!$O$6:$O$22)^2)^2+固有振動数!$P$6:$P$22^2))</f>
        <v>-0.883429636626982</v>
      </c>
      <c r="D231" s="71" t="n">
        <f aca="false">SQRT(B231^2+C231^2)</f>
        <v>9.19050643926446</v>
      </c>
      <c r="E231" s="72" t="n">
        <f aca="false">20*LOG10(MAX(D231,0.000000000001)/$K$3)</f>
        <v>19.266788873463</v>
      </c>
      <c r="F231" s="5"/>
      <c r="G231" s="5"/>
      <c r="H231" s="5"/>
      <c r="I231" s="5"/>
      <c r="J231" s="5"/>
      <c r="K231" s="5"/>
      <c r="L231" s="5"/>
      <c r="M231" s="5"/>
      <c r="N231" s="5"/>
    </row>
    <row r="232" customFormat="false" ht="15" hidden="false" customHeight="false" outlineLevel="0" collapsed="false">
      <c r="A232" s="71" t="n">
        <f aca="false">A231+$F$3</f>
        <v>4520</v>
      </c>
      <c r="B232" s="71" t="n">
        <f aca="false">SUMPRODUCT(固有振動数!$Q$6:$Q$22*(1-($A232/固有振動数!$O$6:$O$22)^2)/((1-($A232/固有振動数!$O$6:$O$22)^2)^2+固有振動数!$P$6:$P$22^2))</f>
        <v>9.79703870933659</v>
      </c>
      <c r="C232" s="71" t="n">
        <f aca="false">-SUMPRODUCT(固有振動数!$Q$6:$Q$22*固有振動数!$P$6:$P$22/((1-($A232/固有振動数!$O$6:$O$22)^2)^2+固有振動数!$P$6:$P$22^2))</f>
        <v>-0.790301927300679</v>
      </c>
      <c r="D232" s="71" t="n">
        <f aca="false">SQRT(B232^2+C232^2)</f>
        <v>9.82886283394649</v>
      </c>
      <c r="E232" s="72" t="n">
        <f aca="false">20*LOG10(MAX(D232,0.000000000001)/$K$3)</f>
        <v>19.8500654868356</v>
      </c>
      <c r="F232" s="5"/>
      <c r="G232" s="5"/>
      <c r="H232" s="5"/>
      <c r="I232" s="5"/>
      <c r="J232" s="5"/>
      <c r="K232" s="5"/>
      <c r="L232" s="5"/>
      <c r="M232" s="5"/>
      <c r="N232" s="5"/>
    </row>
    <row r="233" customFormat="false" ht="15" hidden="false" customHeight="false" outlineLevel="0" collapsed="false">
      <c r="A233" s="71" t="n">
        <f aca="false">A232+$F$3</f>
        <v>4540</v>
      </c>
      <c r="B233" s="71" t="n">
        <f aca="false">SUMPRODUCT(固有振動数!$Q$6:$Q$22*(1-($A233/固有振動数!$O$6:$O$22)^2)/((1-($A233/固有振動数!$O$6:$O$22)^2)^2+固有振動数!$P$6:$P$22^2))</f>
        <v>10.3662765719637</v>
      </c>
      <c r="C233" s="71" t="n">
        <f aca="false">-SUMPRODUCT(固有振動数!$Q$6:$Q$22*固有振動数!$P$6:$P$22/((1-($A233/固有振動数!$O$6:$O$22)^2)^2+固有振動数!$P$6:$P$22^2))</f>
        <v>-0.716061142163493</v>
      </c>
      <c r="D233" s="71" t="n">
        <f aca="false">SQRT(B233^2+C233^2)</f>
        <v>10.3909784681598</v>
      </c>
      <c r="E233" s="72" t="n">
        <f aca="false">20*LOG10(MAX(D233,0.000000000001)/$K$3)</f>
        <v>20.3331288978508</v>
      </c>
      <c r="F233" s="5"/>
      <c r="G233" s="5"/>
      <c r="H233" s="5"/>
      <c r="I233" s="5"/>
      <c r="J233" s="5"/>
      <c r="K233" s="5"/>
      <c r="L233" s="5"/>
      <c r="M233" s="5"/>
      <c r="N233" s="5"/>
    </row>
    <row r="234" customFormat="false" ht="15" hidden="false" customHeight="false" outlineLevel="0" collapsed="false">
      <c r="A234" s="71" t="n">
        <f aca="false">A233+$F$3</f>
        <v>4560</v>
      </c>
      <c r="B234" s="71" t="n">
        <f aca="false">SUMPRODUCT(固有振動数!$Q$6:$Q$22*(1-($A234/固有振動数!$O$6:$O$22)^2)/((1-($A234/固有振動数!$O$6:$O$22)^2)^2+固有振動数!$P$6:$P$22^2))</f>
        <v>10.8708909652091</v>
      </c>
      <c r="C234" s="71" t="n">
        <f aca="false">-SUMPRODUCT(固有振動数!$Q$6:$Q$22*固有振動数!$P$6:$P$22/((1-($A234/固有振動数!$O$6:$O$22)^2)^2+固有振動数!$P$6:$P$22^2))</f>
        <v>-0.656077461840665</v>
      </c>
      <c r="D234" s="71" t="n">
        <f aca="false">SQRT(B234^2+C234^2)</f>
        <v>10.890670687033</v>
      </c>
      <c r="E234" s="72" t="n">
        <f aca="false">20*LOG10(MAX(D234,0.000000000001)/$K$3)</f>
        <v>20.7410925201998</v>
      </c>
      <c r="F234" s="5"/>
      <c r="G234" s="5"/>
      <c r="H234" s="5"/>
      <c r="I234" s="5"/>
      <c r="J234" s="5"/>
      <c r="K234" s="5"/>
      <c r="L234" s="5"/>
      <c r="M234" s="5"/>
      <c r="N234" s="5"/>
    </row>
    <row r="235" customFormat="false" ht="15" hidden="false" customHeight="false" outlineLevel="0" collapsed="false">
      <c r="A235" s="71" t="n">
        <f aca="false">A234+$F$3</f>
        <v>4580</v>
      </c>
      <c r="B235" s="71" t="n">
        <f aca="false">SUMPRODUCT(固有振動数!$Q$6:$Q$22*(1-($A235/固有振動数!$O$6:$O$22)^2)/((1-($A235/固有振動数!$O$6:$O$22)^2)^2+固有振動数!$P$6:$P$22^2))</f>
        <v>11.322553562903</v>
      </c>
      <c r="C235" s="71" t="n">
        <f aca="false">-SUMPRODUCT(固有振動数!$Q$6:$Q$22*固有振動数!$P$6:$P$22/((1-($A235/固有振動数!$O$6:$O$22)^2)^2+固有振動数!$P$6:$P$22^2))</f>
        <v>-0.60706107372981</v>
      </c>
      <c r="D235" s="71" t="n">
        <f aca="false">SQRT(B235^2+C235^2)</f>
        <v>11.3388157376353</v>
      </c>
      <c r="E235" s="72" t="n">
        <f aca="false">20*LOG10(MAX(D235,0.000000000001)/$K$3)</f>
        <v>21.0913539562741</v>
      </c>
      <c r="F235" s="5"/>
      <c r="G235" s="5"/>
      <c r="H235" s="5"/>
      <c r="I235" s="5"/>
      <c r="J235" s="5"/>
      <c r="K235" s="5"/>
      <c r="L235" s="5"/>
      <c r="M235" s="5"/>
      <c r="N235" s="5"/>
    </row>
    <row r="236" customFormat="false" ht="15" hidden="false" customHeight="false" outlineLevel="0" collapsed="false">
      <c r="A236" s="71" t="n">
        <f aca="false">A235+$F$3</f>
        <v>4600</v>
      </c>
      <c r="B236" s="71" t="n">
        <f aca="false">SUMPRODUCT(固有振動数!$Q$6:$Q$22*(1-($A236/固有振動数!$O$6:$O$22)^2)/((1-($A236/固有振動数!$O$6:$O$22)^2)^2+固有振動数!$P$6:$P$22^2))</f>
        <v>11.7303607177443</v>
      </c>
      <c r="C236" s="71" t="n">
        <f aca="false">-SUMPRODUCT(固有振動数!$Q$6:$Q$22*固有振動数!$P$6:$P$22/((1-($A236/固有振動数!$O$6:$O$22)^2)^2+固有振動数!$P$6:$P$22^2))</f>
        <v>-0.566623831432992</v>
      </c>
      <c r="D236" s="71" t="n">
        <f aca="false">SQRT(B236^2+C236^2)</f>
        <v>11.7440378547902</v>
      </c>
      <c r="E236" s="72" t="n">
        <f aca="false">20*LOG10(MAX(D236,0.000000000001)/$K$3)</f>
        <v>21.3963488488854</v>
      </c>
      <c r="F236" s="5"/>
      <c r="G236" s="5"/>
      <c r="H236" s="5"/>
      <c r="I236" s="5"/>
      <c r="J236" s="5"/>
      <c r="K236" s="5"/>
      <c r="L236" s="5"/>
      <c r="M236" s="5"/>
      <c r="N236" s="5"/>
    </row>
    <row r="237" customFormat="false" ht="15" hidden="false" customHeight="false" outlineLevel="0" collapsed="false">
      <c r="A237" s="71" t="n">
        <f aca="false">A236+$F$3</f>
        <v>4620</v>
      </c>
      <c r="B237" s="71" t="n">
        <f aca="false">SUMPRODUCT(固有振動数!$Q$6:$Q$22*(1-($A237/固有振動数!$O$6:$O$22)^2)/((1-($A237/固有振動数!$O$6:$O$22)^2)^2+固有振動数!$P$6:$P$22^2))</f>
        <v>12.101508736154</v>
      </c>
      <c r="C237" s="71" t="n">
        <f aca="false">-SUMPRODUCT(固有振動数!$Q$6:$Q$22*固有振動数!$P$6:$P$22/((1-($A237/固有振動数!$O$6:$O$22)^2)^2+固有振動数!$P$6:$P$22^2))</f>
        <v>-0.532999342145704</v>
      </c>
      <c r="D237" s="71" t="n">
        <f aca="false">SQRT(B237^2+C237^2)</f>
        <v>12.1132407715665</v>
      </c>
      <c r="E237" s="72" t="n">
        <f aca="false">20*LOG10(MAX(D237,0.000000000001)/$K$3)</f>
        <v>21.6652069931954</v>
      </c>
      <c r="F237" s="5"/>
      <c r="G237" s="5"/>
      <c r="H237" s="5"/>
      <c r="I237" s="5"/>
      <c r="J237" s="5"/>
      <c r="K237" s="5"/>
      <c r="L237" s="5"/>
      <c r="M237" s="5"/>
      <c r="N237" s="5"/>
    </row>
    <row r="238" customFormat="false" ht="15" hidden="false" customHeight="false" outlineLevel="0" collapsed="false">
      <c r="A238" s="71" t="n">
        <f aca="false">A237+$F$3</f>
        <v>4640</v>
      </c>
      <c r="B238" s="71" t="n">
        <f aca="false">SUMPRODUCT(固有振動数!$Q$6:$Q$22*(1-($A238/固有振動数!$O$6:$O$22)^2)/((1-($A238/固有振動数!$O$6:$O$22)^2)^2+固有振動数!$P$6:$P$22^2))</f>
        <v>12.44176834363</v>
      </c>
      <c r="C238" s="71" t="n">
        <f aca="false">-SUMPRODUCT(固有振動数!$Q$6:$Q$22*固有振動数!$P$6:$P$22/((1-($A238/固有振動数!$O$6:$O$22)^2)^2+固有振動数!$P$6:$P$22^2))</f>
        <v>-0.504859351429834</v>
      </c>
      <c r="D238" s="71" t="n">
        <f aca="false">SQRT(B238^2+C238^2)</f>
        <v>12.4520071667695</v>
      </c>
      <c r="E238" s="72" t="n">
        <f aca="false">20*LOG10(MAX(D238,0.000000000001)/$K$3)</f>
        <v>21.9047872393865</v>
      </c>
      <c r="F238" s="5"/>
      <c r="G238" s="5"/>
      <c r="H238" s="5"/>
      <c r="I238" s="5"/>
      <c r="J238" s="5"/>
      <c r="K238" s="5"/>
      <c r="L238" s="5"/>
      <c r="M238" s="5"/>
      <c r="N238" s="5"/>
    </row>
    <row r="239" customFormat="false" ht="15" hidden="false" customHeight="false" outlineLevel="0" collapsed="false">
      <c r="A239" s="71" t="n">
        <f aca="false">A238+$F$3</f>
        <v>4660</v>
      </c>
      <c r="B239" s="71" t="n">
        <f aca="false">SUMPRODUCT(固有振動数!$Q$6:$Q$22*(1-($A239/固有振動数!$O$6:$O$22)^2)/((1-($A239/固有振動数!$O$6:$O$22)^2)^2+固有振動数!$P$6:$P$22^2))</f>
        <v>12.7558245453066</v>
      </c>
      <c r="C239" s="71" t="n">
        <f aca="false">-SUMPRODUCT(固有振動数!$Q$6:$Q$22*固有振動数!$P$6:$P$22/((1-($A239/固有振動数!$O$6:$O$22)^2)^2+固有振動数!$P$6:$P$22^2))</f>
        <v>-0.481190393903217</v>
      </c>
      <c r="D239" s="71" t="n">
        <f aca="false">SQRT(B239^2+C239^2)</f>
        <v>12.7648973370658</v>
      </c>
      <c r="E239" s="72" t="n">
        <f aca="false">20*LOG10(MAX(D239,0.000000000001)/$K$3)</f>
        <v>22.1203465259701</v>
      </c>
      <c r="F239" s="5"/>
      <c r="G239" s="5"/>
      <c r="H239" s="5"/>
      <c r="I239" s="5"/>
      <c r="J239" s="5"/>
      <c r="K239" s="5"/>
      <c r="L239" s="5"/>
      <c r="M239" s="5"/>
      <c r="N239" s="5"/>
    </row>
    <row r="240" customFormat="false" ht="15" hidden="false" customHeight="false" outlineLevel="0" collapsed="false">
      <c r="A240" s="71" t="n">
        <f aca="false">A239+$F$3</f>
        <v>4680</v>
      </c>
      <c r="B240" s="71" t="n">
        <f aca="false">SUMPRODUCT(固有振動数!$Q$6:$Q$22*(1-($A240/固有振動数!$O$6:$O$22)^2)/((1-($A240/固有振動数!$O$6:$O$22)^2)^2+固有振動数!$P$6:$P$22^2))</f>
        <v>13.0475243424415</v>
      </c>
      <c r="C240" s="71" t="n">
        <f aca="false">-SUMPRODUCT(固有振動数!$Q$6:$Q$22*固有振動数!$P$6:$P$22/((1-($A240/固有振動数!$O$6:$O$22)^2)^2+固有振動数!$P$6:$P$22^2))</f>
        <v>-0.461209152059747</v>
      </c>
      <c r="D240" s="71" t="n">
        <f aca="false">SQRT(B240^2+C240^2)</f>
        <v>13.0556733012337</v>
      </c>
      <c r="E240" s="72" t="n">
        <f aca="false">20*LOG10(MAX(D240,0.000000000001)/$K$3)</f>
        <v>22.3159854794723</v>
      </c>
      <c r="F240" s="5"/>
      <c r="G240" s="5"/>
      <c r="H240" s="5"/>
      <c r="I240" s="5"/>
      <c r="J240" s="5"/>
      <c r="K240" s="5"/>
      <c r="L240" s="5"/>
      <c r="M240" s="5"/>
      <c r="N240" s="5"/>
    </row>
    <row r="241" customFormat="false" ht="15" hidden="false" customHeight="false" outlineLevel="0" collapsed="false">
      <c r="A241" s="71" t="n">
        <f aca="false">A240+$F$3</f>
        <v>4700</v>
      </c>
      <c r="B241" s="71" t="n">
        <f aca="false">SUMPRODUCT(固有振動数!$Q$6:$Q$22*(1-($A241/固有振動数!$O$6:$O$22)^2)/((1-($A241/固有振動数!$O$6:$O$22)^2)^2+固有振動数!$P$6:$P$22^2))</f>
        <v>13.3200601637915</v>
      </c>
      <c r="C241" s="71" t="n">
        <f aca="false">-SUMPRODUCT(固有振動数!$Q$6:$Q$22*固有振動数!$P$6:$P$22/((1-($A241/固有振動数!$O$6:$O$22)^2)^2+固有振動数!$P$6:$P$22^2))</f>
        <v>-0.444303261609937</v>
      </c>
      <c r="D241" s="71" t="n">
        <f aca="false">SQRT(B241^2+C241^2)</f>
        <v>13.3274681824907</v>
      </c>
      <c r="E241" s="72" t="n">
        <f aca="false">20*LOG10(MAX(D241,0.000000000001)/$K$3)</f>
        <v>22.4949530875901</v>
      </c>
      <c r="F241" s="5"/>
      <c r="G241" s="5"/>
      <c r="H241" s="5"/>
      <c r="I241" s="5"/>
      <c r="J241" s="5"/>
      <c r="K241" s="5"/>
      <c r="L241" s="5"/>
      <c r="M241" s="5"/>
      <c r="N241" s="5"/>
    </row>
    <row r="242" customFormat="false" ht="15" hidden="false" customHeight="false" outlineLevel="0" collapsed="false">
      <c r="A242" s="71" t="n">
        <f aca="false">A241+$F$3</f>
        <v>4720</v>
      </c>
      <c r="B242" s="71" t="n">
        <f aca="false">SUMPRODUCT(固有振動数!$Q$6:$Q$22*(1-($A242/固有振動数!$O$6:$O$22)^2)/((1-($A242/固有振動数!$O$6:$O$22)^2)^2+固有振動数!$P$6:$P$22^2))</f>
        <v>13.5761076716856</v>
      </c>
      <c r="C242" s="71" t="n">
        <f aca="false">-SUMPRODUCT(固有振動数!$Q$6:$Q$22*固有振動数!$P$6:$P$22/((1-($A242/固有振動数!$O$6:$O$22)^2)^2+固有振動数!$P$6:$P$22^2))</f>
        <v>-0.429989199435746</v>
      </c>
      <c r="D242" s="71" t="n">
        <f aca="false">SQRT(B242^2+C242^2)</f>
        <v>13.582915380169</v>
      </c>
      <c r="E242" s="72" t="n">
        <f aca="false">20*LOG10(MAX(D242,0.000000000001)/$K$3)</f>
        <v>22.6598599020289</v>
      </c>
      <c r="F242" s="5"/>
      <c r="G242" s="5"/>
      <c r="H242" s="5"/>
      <c r="I242" s="5"/>
      <c r="J242" s="5"/>
      <c r="K242" s="5"/>
      <c r="L242" s="5"/>
      <c r="M242" s="5"/>
      <c r="N242" s="5"/>
    </row>
    <row r="243" customFormat="false" ht="15" hidden="false" customHeight="false" outlineLevel="0" collapsed="false">
      <c r="A243" s="71" t="n">
        <f aca="false">A242+$F$3</f>
        <v>4740</v>
      </c>
      <c r="B243" s="71" t="n">
        <f aca="false">SUMPRODUCT(固有振動数!$Q$6:$Q$22*(1-($A243/固有振動数!$O$6:$O$22)^2)/((1-($A243/固有振動数!$O$6:$O$22)^2)^2+固有振動数!$P$6:$P$22^2))</f>
        <v>13.8179306783425</v>
      </c>
      <c r="C243" s="71" t="n">
        <f aca="false">-SUMPRODUCT(固有振動数!$Q$6:$Q$22*固有振動数!$P$6:$P$22/((1-($A243/固有振動数!$O$6:$O$22)^2)^2+固有振動数!$P$6:$P$22^2))</f>
        <v>-0.417881859367714</v>
      </c>
      <c r="D243" s="71" t="n">
        <f aca="false">SQRT(B243^2+C243^2)</f>
        <v>13.8242480258373</v>
      </c>
      <c r="E243" s="72" t="n">
        <f aca="false">20*LOG10(MAX(D243,0.000000000001)/$K$3)</f>
        <v>22.8128303407841</v>
      </c>
      <c r="F243" s="5"/>
      <c r="G243" s="5"/>
      <c r="H243" s="5"/>
      <c r="I243" s="5"/>
      <c r="J243" s="5"/>
      <c r="K243" s="5"/>
      <c r="L243" s="5"/>
      <c r="M243" s="5"/>
      <c r="N243" s="5"/>
    </row>
    <row r="244" customFormat="false" ht="15" hidden="false" customHeight="false" outlineLevel="0" collapsed="false">
      <c r="A244" s="71" t="n">
        <f aca="false">A243+$F$3</f>
        <v>4760</v>
      </c>
      <c r="B244" s="71" t="n">
        <f aca="false">SUMPRODUCT(固有振動数!$Q$6:$Q$22*(1-($A244/固有振動数!$O$6:$O$22)^2)/((1-($A244/固有振動数!$O$6:$O$22)^2)^2+固有振動数!$P$6:$P$22^2))</f>
        <v>14.047462015513</v>
      </c>
      <c r="C244" s="71" t="n">
        <f aca="false">-SUMPRODUCT(固有振動数!$Q$6:$Q$22*固有振動数!$P$6:$P$22/((1-($A244/固有振動数!$O$6:$O$22)^2)^2+固有振動数!$P$6:$P$22^2))</f>
        <v>-0.40767226462858</v>
      </c>
      <c r="D244" s="71" t="n">
        <f aca="false">SQRT(B244^2+C244^2)</f>
        <v>14.0533763114999</v>
      </c>
      <c r="E244" s="72" t="n">
        <f aca="false">20*LOG10(MAX(D244,0.000000000001)/$K$3)</f>
        <v>22.9556135130059</v>
      </c>
      <c r="F244" s="5"/>
      <c r="G244" s="5"/>
      <c r="H244" s="5"/>
      <c r="I244" s="5"/>
      <c r="J244" s="5"/>
      <c r="K244" s="5"/>
      <c r="L244" s="5"/>
      <c r="M244" s="5"/>
      <c r="N244" s="5"/>
    </row>
    <row r="245" customFormat="false" ht="15" hidden="false" customHeight="false" outlineLevel="0" collapsed="false">
      <c r="A245" s="71" t="n">
        <f aca="false">A244+$F$3</f>
        <v>4780</v>
      </c>
      <c r="B245" s="71" t="n">
        <f aca="false">SUMPRODUCT(固有振動数!$Q$6:$Q$22*(1-($A245/固有振動数!$O$6:$O$22)^2)/((1-($A245/固有振動数!$O$6:$O$22)^2)^2+固有振動数!$P$6:$P$22^2))</f>
        <v>14.2663665957207</v>
      </c>
      <c r="C245" s="71" t="n">
        <f aca="false">-SUMPRODUCT(固有振動数!$Q$6:$Q$22*固有振動数!$P$6:$P$22/((1-($A245/固有振動数!$O$6:$O$22)^2)^2+固有振動数!$P$6:$P$22^2))</f>
        <v>-0.399111035792552</v>
      </c>
      <c r="D245" s="71" t="n">
        <f aca="false">SQRT(B245^2+C245^2)</f>
        <v>14.2719482013629</v>
      </c>
      <c r="E245" s="72" t="n">
        <f aca="false">20*LOG10(MAX(D245,0.000000000001)/$K$3)</f>
        <v>23.0896652161131</v>
      </c>
      <c r="F245" s="5"/>
      <c r="G245" s="5"/>
      <c r="H245" s="5"/>
      <c r="I245" s="5"/>
      <c r="J245" s="5"/>
      <c r="K245" s="5"/>
      <c r="L245" s="5"/>
      <c r="M245" s="5"/>
      <c r="N245" s="5"/>
    </row>
    <row r="246" customFormat="false" ht="15" hidden="false" customHeight="false" outlineLevel="0" collapsed="false">
      <c r="A246" s="71" t="n">
        <f aca="false">A245+$F$3</f>
        <v>4800</v>
      </c>
      <c r="B246" s="71" t="n">
        <f aca="false">SUMPRODUCT(固有振動数!$Q$6:$Q$22*(1-($A246/固有振動数!$O$6:$O$22)^2)/((1-($A246/固有振動数!$O$6:$O$22)^2)^2+固有振動数!$P$6:$P$22^2))</f>
        <v>14.4760911307497</v>
      </c>
      <c r="C246" s="71" t="n">
        <f aca="false">-SUMPRODUCT(固有振動数!$Q$6:$Q$22*固有振動数!$P$6:$P$22/((1-($A246/固有振動数!$O$6:$O$22)^2)^2+固有振動数!$P$6:$P$22^2))</f>
        <v>-0.391995990545716</v>
      </c>
      <c r="D246" s="71" t="n">
        <f aca="false">SQRT(B246^2+C246^2)</f>
        <v>14.48139755971</v>
      </c>
      <c r="E246" s="72" t="n">
        <f aca="false">20*LOG10(MAX(D246,0.000000000001)/$K$3)</f>
        <v>23.2162095289098</v>
      </c>
      <c r="F246" s="5"/>
      <c r="G246" s="5"/>
      <c r="H246" s="5"/>
      <c r="I246" s="5"/>
      <c r="J246" s="5"/>
      <c r="K246" s="5"/>
      <c r="L246" s="5"/>
      <c r="M246" s="5"/>
      <c r="N246" s="5"/>
    </row>
    <row r="247" customFormat="false" ht="15" hidden="false" customHeight="false" outlineLevel="0" collapsed="false">
      <c r="A247" s="71" t="n">
        <f aca="false">A246+$F$3</f>
        <v>4820</v>
      </c>
      <c r="B247" s="71" t="n">
        <f aca="false">SUMPRODUCT(固有振動数!$Q$6:$Q$22*(1-($A247/固有振動数!$O$6:$O$22)^2)/((1-($A247/固有振動数!$O$6:$O$22)^2)^2+固有振動数!$P$6:$P$22^2))</f>
        <v>14.6779037479862</v>
      </c>
      <c r="C247" s="71" t="n">
        <f aca="false">-SUMPRODUCT(固有振動数!$Q$6:$Q$22*固有振動数!$P$6:$P$22/((1-($A247/固有振動数!$O$6:$O$22)^2)^2+固有振動数!$P$6:$P$22^2))</f>
        <v>-0.386162750929277</v>
      </c>
      <c r="D247" s="71" t="n">
        <f aca="false">SQRT(B247^2+C247^2)</f>
        <v>14.6829826706073</v>
      </c>
      <c r="E247" s="72" t="n">
        <f aca="false">20*LOG10(MAX(D247,0.000000000001)/$K$3)</f>
        <v>23.3362857244199</v>
      </c>
      <c r="F247" s="5"/>
      <c r="G247" s="5"/>
      <c r="H247" s="5"/>
      <c r="I247" s="5"/>
      <c r="J247" s="5"/>
      <c r="K247" s="5"/>
      <c r="L247" s="5"/>
      <c r="M247" s="5"/>
      <c r="N247" s="5"/>
    </row>
    <row r="248" customFormat="false" ht="15" hidden="false" customHeight="false" outlineLevel="0" collapsed="false">
      <c r="A248" s="71" t="n">
        <f aca="false">A247+$F$3</f>
        <v>4840</v>
      </c>
      <c r="B248" s="71" t="n">
        <f aca="false">SUMPRODUCT(固有振動数!$Q$6:$Q$22*(1-($A248/固有振動数!$O$6:$O$22)^2)/((1-($A248/固有振動数!$O$6:$O$22)^2)^2+固有振動数!$P$6:$P$22^2))</f>
        <v>14.8729258865691</v>
      </c>
      <c r="C248" s="71" t="n">
        <f aca="false">-SUMPRODUCT(固有振動数!$Q$6:$Q$22*固有振動数!$P$6:$P$22/((1-($A248/固有振動数!$O$6:$O$22)^2)^2+固有振動数!$P$6:$P$22^2))</f>
        <v>-0.381477568621477</v>
      </c>
      <c r="D248" s="71" t="n">
        <f aca="false">SQRT(B248^2+C248^2)</f>
        <v>14.8778173655526</v>
      </c>
      <c r="E248" s="72" t="n">
        <f aca="false">20*LOG10(MAX(D248,0.000000000001)/$K$3)</f>
        <v>23.4507844634124</v>
      </c>
      <c r="F248" s="5"/>
      <c r="G248" s="5"/>
      <c r="H248" s="5"/>
      <c r="I248" s="5"/>
      <c r="J248" s="5"/>
      <c r="K248" s="5"/>
      <c r="L248" s="5"/>
      <c r="M248" s="5"/>
      <c r="N248" s="5"/>
    </row>
    <row r="249" customFormat="false" ht="15" hidden="false" customHeight="false" outlineLevel="0" collapsed="false">
      <c r="A249" s="71" t="n">
        <f aca="false">A248+$F$3</f>
        <v>4860</v>
      </c>
      <c r="B249" s="71" t="n">
        <f aca="false">SUMPRODUCT(固有振動数!$Q$6:$Q$22*(1-($A249/固有振動数!$O$6:$O$22)^2)/((1-($A249/固有振動数!$O$6:$O$22)^2)^2+固有振動数!$P$6:$P$22^2))</f>
        <v>15.0621582456279</v>
      </c>
      <c r="C249" s="71" t="n">
        <f aca="false">-SUMPRODUCT(固有振動数!$Q$6:$Q$22*固有振動数!$P$6:$P$22/((1-($A249/固有振動数!$O$6:$O$22)^2)^2+固有振動数!$P$6:$P$22^2))</f>
        <v>-0.377831806926752</v>
      </c>
      <c r="D249" s="71" t="n">
        <f aca="false">SQRT(B249^2+C249^2)</f>
        <v>15.0668964252982</v>
      </c>
      <c r="E249" s="72" t="n">
        <f aca="false">20*LOG10(MAX(D249,0.000000000001)/$K$3)</f>
        <v>23.5604760560092</v>
      </c>
      <c r="F249" s="5"/>
      <c r="G249" s="5"/>
      <c r="H249" s="5"/>
      <c r="I249" s="5"/>
      <c r="J249" s="5"/>
      <c r="K249" s="5"/>
      <c r="L249" s="5"/>
      <c r="M249" s="5"/>
      <c r="N249" s="5"/>
    </row>
    <row r="250" customFormat="false" ht="15" hidden="false" customHeight="false" outlineLevel="0" collapsed="false">
      <c r="A250" s="71" t="n">
        <f aca="false">A249+$F$3</f>
        <v>4880</v>
      </c>
      <c r="B250" s="71" t="n">
        <f aca="false">SUMPRODUCT(固有振動数!$Q$6:$Q$22*(1-($A250/固有振動数!$O$6:$O$22)^2)/((1-($A250/固有振動数!$O$6:$O$22)^2)^2+固有振動数!$P$6:$P$22^2))</f>
        <v>15.2465021188806</v>
      </c>
      <c r="C250" s="71" t="n">
        <f aca="false">-SUMPRODUCT(固有振動数!$Q$6:$Q$22*固有振動数!$P$6:$P$22/((1-($A250/固有振動数!$O$6:$O$22)^2)^2+固有振動数!$P$6:$P$22^2))</f>
        <v>-0.375137675844926</v>
      </c>
      <c r="D250" s="71" t="n">
        <f aca="false">SQRT(B250^2+C250^2)</f>
        <v>15.2511165209918</v>
      </c>
      <c r="E250" s="72" t="n">
        <f aca="false">20*LOG10(MAX(D250,0.000000000001)/$K$3)</f>
        <v>23.6660327833685</v>
      </c>
      <c r="F250" s="5"/>
      <c r="G250" s="5"/>
      <c r="H250" s="5"/>
      <c r="I250" s="5"/>
      <c r="J250" s="5"/>
      <c r="K250" s="5"/>
      <c r="L250" s="5"/>
      <c r="M250" s="5"/>
      <c r="N250" s="5"/>
    </row>
    <row r="251" customFormat="false" ht="15" hidden="false" customHeight="false" outlineLevel="0" collapsed="false">
      <c r="A251" s="71" t="n">
        <f aca="false">A250+$F$3</f>
        <v>4900</v>
      </c>
      <c r="B251" s="71" t="n">
        <f aca="false">SUMPRODUCT(固有振動数!$Q$6:$Q$22*(1-($A251/固有振動数!$O$6:$O$22)^2)/((1-($A251/固有振動数!$O$6:$O$22)^2)^2+固有振動数!$P$6:$P$22^2))</f>
        <v>15.4267771318572</v>
      </c>
      <c r="C251" s="71" t="n">
        <f aca="false">-SUMPRODUCT(固有振動数!$Q$6:$Q$22*固有振動数!$P$6:$P$22/((1-($A251/固有振動数!$O$6:$O$22)^2)^2+固有振動数!$P$6:$P$22^2))</f>
        <v>-0.373324927173045</v>
      </c>
      <c r="D251" s="71" t="n">
        <f aca="false">SQRT(B251^2+C251^2)</f>
        <v>15.4312936650575</v>
      </c>
      <c r="E251" s="72" t="n">
        <f aca="false">20*LOG10(MAX(D251,0.000000000001)/$K$3)</f>
        <v>23.7680467235247</v>
      </c>
      <c r="F251" s="5"/>
      <c r="G251" s="5"/>
      <c r="H251" s="5"/>
      <c r="I251" s="5"/>
      <c r="J251" s="5"/>
      <c r="K251" s="5"/>
      <c r="L251" s="5"/>
      <c r="M251" s="5"/>
      <c r="N251" s="5"/>
    </row>
    <row r="252" customFormat="false" ht="15" hidden="false" customHeight="false" outlineLevel="0" collapsed="false">
      <c r="A252" s="71" t="n">
        <f aca="false">A251+$F$3</f>
        <v>4920</v>
      </c>
      <c r="B252" s="71" t="n">
        <f aca="false">SUMPRODUCT(固有振動数!$Q$6:$Q$22*(1-($A252/固有振動数!$O$6:$O$22)^2)/((1-($A252/固有振動数!$O$6:$O$22)^2)^2+固有振動数!$P$6:$P$22^2))</f>
        <v>15.6037361650078</v>
      </c>
      <c r="C252" s="71" t="n">
        <f aca="false">-SUMPRODUCT(固有振動数!$Q$6:$Q$22*固有振動数!$P$6:$P$22/((1-($A252/固有振動数!$O$6:$O$22)^2)^2+固有振動数!$P$6:$P$22^2))</f>
        <v>-0.372338295207558</v>
      </c>
      <c r="D252" s="71" t="n">
        <f aca="false">SQRT(B252^2+C252^2)</f>
        <v>15.6081779241925</v>
      </c>
      <c r="E252" s="72" t="n">
        <f aca="false">20*LOG10(MAX(D252,0.000000000001)/$K$3)</f>
        <v>23.867044142407</v>
      </c>
      <c r="F252" s="5"/>
      <c r="G252" s="5"/>
      <c r="H252" s="5"/>
      <c r="I252" s="5"/>
      <c r="J252" s="5"/>
      <c r="K252" s="5"/>
      <c r="L252" s="5"/>
      <c r="M252" s="5"/>
      <c r="N252" s="5"/>
    </row>
    <row r="253" customFormat="false" ht="15" hidden="false" customHeight="false" outlineLevel="0" collapsed="false">
      <c r="A253" s="71" t="n">
        <f aca="false">A252+$F$3</f>
        <v>4940</v>
      </c>
      <c r="B253" s="71" t="n">
        <f aca="false">SUMPRODUCT(固有振動数!$Q$6:$Q$22*(1-($A253/固有振動数!$O$6:$O$22)^2)/((1-($A253/固有振動数!$O$6:$O$22)^2)^2+固有振動数!$P$6:$P$22^2))</f>
        <v>15.7780780739214</v>
      </c>
      <c r="C253" s="71" t="n">
        <f aca="false">-SUMPRODUCT(固有振動数!$Q$6:$Q$22*固有振動数!$P$6:$P$22/((1-($A253/固有振動数!$O$6:$O$22)^2)^2+固有振動数!$P$6:$P$22^2))</f>
        <v>-0.372135525290515</v>
      </c>
      <c r="D253" s="71" t="n">
        <f aca="false">SQRT(B253^2+C253^2)</f>
        <v>15.7824659846281</v>
      </c>
      <c r="E253" s="72" t="n">
        <f aca="false">20*LOG10(MAX(D253,0.000000000001)/$K$3)</f>
        <v>23.9634972396276</v>
      </c>
      <c r="F253" s="5"/>
      <c r="G253" s="5"/>
      <c r="H253" s="5"/>
      <c r="I253" s="5"/>
      <c r="J253" s="5"/>
      <c r="K253" s="5"/>
      <c r="L253" s="5"/>
      <c r="M253" s="5"/>
      <c r="N253" s="5"/>
    </row>
    <row r="254" customFormat="false" ht="15" hidden="false" customHeight="false" outlineLevel="0" collapsed="false">
      <c r="A254" s="71" t="n">
        <f aca="false">A253+$F$3</f>
        <v>4960</v>
      </c>
      <c r="B254" s="71" t="n">
        <f aca="false">SUMPRODUCT(固有振動数!$Q$6:$Q$22*(1-($A254/固有振動数!$O$6:$O$22)^2)/((1-($A254/固有振動数!$O$6:$O$22)^2)^2+固有振動数!$P$6:$P$22^2))</f>
        <v>15.9504586901845</v>
      </c>
      <c r="C254" s="71" t="n">
        <f aca="false">-SUMPRODUCT(固有振動数!$Q$6:$Q$22*固有振動数!$P$6:$P$22/((1-($A254/固有振動数!$O$6:$O$22)^2)^2+固有振動数!$P$6:$P$22^2))</f>
        <v>-0.372685873911418</v>
      </c>
      <c r="D254" s="71" t="n">
        <f aca="false">SQRT(B254^2+C254^2)</f>
        <v>15.9548120386263</v>
      </c>
      <c r="E254" s="72" t="n">
        <f aca="false">20*LOG10(MAX(D254,0.000000000001)/$K$3)</f>
        <v>24.0578338439616</v>
      </c>
      <c r="F254" s="5"/>
      <c r="G254" s="5"/>
      <c r="H254" s="5"/>
      <c r="I254" s="5"/>
      <c r="J254" s="5"/>
      <c r="K254" s="5"/>
      <c r="L254" s="5"/>
      <c r="M254" s="5"/>
      <c r="N254" s="5"/>
    </row>
    <row r="255" customFormat="false" ht="15" hidden="false" customHeight="false" outlineLevel="0" collapsed="false">
      <c r="A255" s="71" t="n">
        <f aca="false">A254+$F$3</f>
        <v>4980</v>
      </c>
      <c r="B255" s="71" t="n">
        <f aca="false">SUMPRODUCT(固有振動数!$Q$6:$Q$22*(1-($A255/固有振動数!$O$6:$O$22)^2)/((1-($A255/固有振動数!$O$6:$O$22)^2)^2+固有振動数!$P$6:$P$22^2))</f>
        <v>16.1215004913641</v>
      </c>
      <c r="C255" s="71" t="n">
        <f aca="false">-SUMPRODUCT(固有振動数!$Q$6:$Q$22*固有振動数!$P$6:$P$22/((1-($A255/固有振動数!$O$6:$O$22)^2)^2+固有振動数!$P$6:$P$22^2))</f>
        <v>-0.373968994925179</v>
      </c>
      <c r="D255" s="71" t="n">
        <f aca="false">SQRT(B255^2+C255^2)</f>
        <v>16.1258373705746</v>
      </c>
      <c r="E255" s="72" t="n">
        <f aca="false">20*LOG10(MAX(D255,0.000000000001)/$K$3)</f>
        <v>24.1504455123199</v>
      </c>
      <c r="F255" s="5"/>
      <c r="G255" s="5"/>
      <c r="H255" s="5"/>
      <c r="I255" s="5"/>
      <c r="J255" s="5"/>
      <c r="K255" s="5"/>
      <c r="L255" s="5"/>
      <c r="M255" s="5"/>
      <c r="N255" s="5"/>
    </row>
    <row r="256" customFormat="false" ht="15" hidden="false" customHeight="false" outlineLevel="0" collapsed="false">
      <c r="A256" s="71" t="n">
        <f aca="false">A255+$F$3</f>
        <v>5000</v>
      </c>
      <c r="B256" s="71" t="n">
        <f aca="false">SUMPRODUCT(固有振動数!$Q$6:$Q$22*(1-($A256/固有振動数!$O$6:$O$22)^2)/((1-($A256/固有振動数!$O$6:$O$22)^2)^2+固有振動数!$P$6:$P$22^2))</f>
        <v>16.2918012580129</v>
      </c>
      <c r="C256" s="71" t="n">
        <f aca="false">-SUMPRODUCT(固有振動数!$Q$6:$Q$22*固有振動数!$P$6:$P$22/((1-($A256/固有振動数!$O$6:$O$22)^2)^2+固有振動数!$P$6:$P$22^2))</f>
        <v>-0.375974149855794</v>
      </c>
      <c r="D256" s="71" t="n">
        <f aca="false">SQRT(B256^2+C256^2)</f>
        <v>16.2961389535052</v>
      </c>
      <c r="E256" s="72" t="n">
        <f aca="false">20*LOG10(MAX(D256,0.000000000001)/$K$3)</f>
        <v>24.2416943827819</v>
      </c>
      <c r="F256" s="5"/>
      <c r="G256" s="5"/>
      <c r="H256" s="5"/>
      <c r="I256" s="5"/>
      <c r="J256" s="5"/>
      <c r="K256" s="5"/>
      <c r="L256" s="5"/>
      <c r="M256" s="5"/>
      <c r="N256" s="5"/>
    </row>
    <row r="257" customFormat="false" ht="15" hidden="false" customHeight="false" outlineLevel="0" collapsed="false">
      <c r="A257" s="71" t="n">
        <f aca="false">A256+$F$3</f>
        <v>5020</v>
      </c>
      <c r="B257" s="71" t="n">
        <f aca="false">SUMPRODUCT(固有振動数!$Q$6:$Q$22*(1-($A257/固有振動数!$O$6:$O$22)^2)/((1-($A257/固有振動数!$O$6:$O$22)^2)^2+固有振動数!$P$6:$P$22^2))</f>
        <v>16.4619419836213</v>
      </c>
      <c r="C257" s="71" t="n">
        <f aca="false">-SUMPRODUCT(固有振動数!$Q$6:$Q$22*固有振動数!$P$6:$P$22/((1-($A257/固有振動数!$O$6:$O$22)^2)^2+固有振動数!$P$6:$P$22^2))</f>
        <v>-0.378699698469502</v>
      </c>
      <c r="D257" s="71" t="n">
        <f aca="false">SQRT(B257^2+C257^2)</f>
        <v>16.4662973170575</v>
      </c>
      <c r="E257" s="72" t="n">
        <f aca="false">20*LOG10(MAX(D257,0.000000000001)/$K$3)</f>
        <v>24.3319190561896</v>
      </c>
      <c r="F257" s="5"/>
      <c r="G257" s="5"/>
      <c r="H257" s="5"/>
      <c r="I257" s="5"/>
      <c r="J257" s="5"/>
      <c r="K257" s="5"/>
      <c r="L257" s="5"/>
      <c r="M257" s="5"/>
      <c r="N257" s="5"/>
    </row>
    <row r="258" customFormat="false" ht="15" hidden="false" customHeight="false" outlineLevel="0" collapsed="false">
      <c r="A258" s="71" t="n">
        <f aca="false">A257+$F$3</f>
        <v>5040</v>
      </c>
      <c r="B258" s="71" t="n">
        <f aca="false">SUMPRODUCT(固有振動数!$Q$6:$Q$22*(1-($A258/固有振動数!$O$6:$O$22)^2)/((1-($A258/固有振動数!$O$6:$O$22)^2)^2+固有振動数!$P$6:$P$22^2))</f>
        <v>16.6324942660076</v>
      </c>
      <c r="C258" s="71" t="n">
        <f aca="false">-SUMPRODUCT(固有振動数!$Q$6:$Q$22*固有振動数!$P$6:$P$22/((1-($A258/固有振動数!$O$6:$O$22)^2)^2+固有振動数!$P$6:$P$22^2))</f>
        <v>-0.38215284044299</v>
      </c>
      <c r="D258" s="71" t="n">
        <f aca="false">SQRT(B258^2+C258^2)</f>
        <v>16.6368839120262</v>
      </c>
      <c r="E258" s="72" t="n">
        <f aca="false">20*LOG10(MAX(D258,0.000000000001)/$K$3)</f>
        <v>24.4214397245019</v>
      </c>
      <c r="F258" s="5"/>
      <c r="G258" s="5"/>
      <c r="H258" s="5"/>
      <c r="I258" s="5"/>
      <c r="J258" s="5"/>
      <c r="K258" s="5"/>
      <c r="L258" s="5"/>
      <c r="M258" s="5"/>
      <c r="N258" s="5"/>
    </row>
    <row r="259" customFormat="false" ht="15" hidden="false" customHeight="false" outlineLevel="0" collapsed="false">
      <c r="A259" s="71" t="n">
        <f aca="false">A258+$F$3</f>
        <v>5060</v>
      </c>
      <c r="B259" s="71" t="n">
        <f aca="false">SUMPRODUCT(固有振動数!$Q$6:$Q$22*(1-($A259/固有振動数!$O$6:$O$22)^2)/((1-($A259/固有振動数!$O$6:$O$22)^2)^2+固有振動数!$P$6:$P$22^2))</f>
        <v>16.8040273828588</v>
      </c>
      <c r="C259" s="71" t="n">
        <f aca="false">-SUMPRODUCT(固有振動数!$Q$6:$Q$22*固有振動数!$P$6:$P$22/((1-($A259/固有振動数!$O$6:$O$22)^2)^2+固有振動数!$P$6:$P$22^2))</f>
        <v>-0.386349591232424</v>
      </c>
      <c r="D259" s="71" t="n">
        <f aca="false">SQRT(B259^2+C259^2)</f>
        <v>16.808468172041</v>
      </c>
      <c r="E259" s="72" t="n">
        <f aca="false">20*LOG10(MAX(D259,0.000000000001)/$K$3)</f>
        <v>24.5105627223967</v>
      </c>
      <c r="F259" s="5"/>
      <c r="G259" s="5"/>
      <c r="H259" s="5"/>
      <c r="I259" s="5"/>
      <c r="J259" s="5"/>
      <c r="K259" s="5"/>
      <c r="L259" s="5"/>
      <c r="M259" s="5"/>
      <c r="N259" s="5"/>
    </row>
    <row r="260" customFormat="false" ht="15" hidden="false" customHeight="false" outlineLevel="0" collapsed="false">
      <c r="A260" s="71" t="n">
        <f aca="false">A259+$F$3</f>
        <v>5080</v>
      </c>
      <c r="B260" s="71" t="n">
        <f aca="false">SUMPRODUCT(固有振動数!$Q$6:$Q$22*(1-($A260/固有振動数!$O$6:$O$22)^2)/((1-($A260/固有振動数!$O$6:$O$22)^2)^2+固有振動数!$P$6:$P$22^2))</f>
        <v>16.9771152381049</v>
      </c>
      <c r="C260" s="71" t="n">
        <f aca="false">-SUMPRODUCT(固有振動数!$Q$6:$Q$22*固有振動数!$P$6:$P$22/((1-($A260/固有振動数!$O$6:$O$22)^2)^2+固有振動数!$P$6:$P$22^2))</f>
        <v>-0.391314986113597</v>
      </c>
      <c r="D260" s="71" t="n">
        <f aca="false">SQRT(B260^2+C260^2)</f>
        <v>16.9816244578147</v>
      </c>
      <c r="E260" s="72" t="n">
        <f aca="false">20*LOG10(MAX(D260,0.000000000001)/$K$3)</f>
        <v>24.5995846478645</v>
      </c>
      <c r="F260" s="5"/>
      <c r="G260" s="5"/>
      <c r="H260" s="5"/>
      <c r="I260" s="5"/>
      <c r="J260" s="5"/>
      <c r="K260" s="5"/>
      <c r="L260" s="5"/>
      <c r="M260" s="5"/>
      <c r="N260" s="5"/>
    </row>
    <row r="261" customFormat="false" ht="15" hidden="false" customHeight="false" outlineLevel="0" collapsed="false">
      <c r="A261" s="71" t="n">
        <f aca="false">A260+$F$3</f>
        <v>5100</v>
      </c>
      <c r="B261" s="71" t="n">
        <f aca="false">SUMPRODUCT(固有振動数!$Q$6:$Q$22*(1-($A261/固有振動数!$O$6:$O$22)^2)/((1-($A261/固有振動数!$O$6:$O$22)^2)^2+固有振動数!$P$6:$P$22^2))</f>
        <v>17.1523433583283</v>
      </c>
      <c r="C261" s="71" t="n">
        <f aca="false">-SUMPRODUCT(固有振動数!$Q$6:$Q$22*固有振動数!$P$6:$P$22/((1-($A261/固有振動数!$O$6:$O$22)^2)^2+固有振動数!$P$6:$P$22^2))</f>
        <v>-0.397083516598552</v>
      </c>
      <c r="D261" s="71" t="n">
        <f aca="false">SQRT(B261^2+C261^2)</f>
        <v>17.1569390626983</v>
      </c>
      <c r="E261" s="72" t="n">
        <f aca="false">20*LOG10(MAX(D261,0.000000000001)/$K$3)</f>
        <v>24.6887961752004</v>
      </c>
      <c r="F261" s="5"/>
      <c r="G261" s="5"/>
      <c r="H261" s="5"/>
      <c r="I261" s="5"/>
      <c r="J261" s="5"/>
      <c r="K261" s="5"/>
      <c r="L261" s="5"/>
      <c r="M261" s="5"/>
      <c r="N261" s="5"/>
    </row>
    <row r="262" customFormat="false" ht="15" hidden="false" customHeight="false" outlineLevel="0" collapsed="false">
      <c r="A262" s="71" t="n">
        <f aca="false">A261+$F$3</f>
        <v>5120</v>
      </c>
      <c r="B262" s="71" t="n">
        <f aca="false">SUMPRODUCT(固有振動数!$Q$6:$Q$22*(1-($A262/固有振動数!$O$6:$O$22)^2)/((1-($A262/固有振動数!$O$6:$O$22)^2)^2+固有振動数!$P$6:$P$22^2))</f>
        <v>17.3303161188855</v>
      </c>
      <c r="C262" s="71" t="n">
        <f aca="false">-SUMPRODUCT(固有振動数!$Q$6:$Q$22*固有振動数!$P$6:$P$22/((1-($A262/固有振動数!$O$6:$O$22)^2)^2+固有振動数!$P$6:$P$22^2))</f>
        <v>-0.403699813749494</v>
      </c>
      <c r="D262" s="71" t="n">
        <f aca="false">SQRT(B262^2+C262^2)</f>
        <v>17.3350174594698</v>
      </c>
      <c r="E262" s="72" t="n">
        <f aca="false">20*LOG10(MAX(D262,0.000000000001)/$K$3)</f>
        <v>24.7784856681005</v>
      </c>
      <c r="F262" s="5"/>
      <c r="G262" s="5"/>
      <c r="H262" s="5"/>
      <c r="I262" s="5"/>
      <c r="J262" s="5"/>
      <c r="K262" s="5"/>
      <c r="L262" s="5"/>
      <c r="M262" s="5"/>
      <c r="N262" s="5"/>
    </row>
    <row r="263" customFormat="false" ht="15" hidden="false" customHeight="false" outlineLevel="0" collapsed="false">
      <c r="A263" s="71" t="n">
        <f aca="false">A262+$F$3</f>
        <v>5140</v>
      </c>
      <c r="B263" s="71" t="n">
        <f aca="false">SUMPRODUCT(固有振動数!$Q$6:$Q$22*(1-($A263/固有振動数!$O$6:$O$22)^2)/((1-($A263/固有振動数!$O$6:$O$22)^2)^2+固有振動数!$P$6:$P$22^2))</f>
        <v>17.5116643878109</v>
      </c>
      <c r="C263" s="71" t="n">
        <f aca="false">-SUMPRODUCT(固有振動数!$Q$6:$Q$22*固有振動数!$P$6:$P$22/((1-($A263/固有振動数!$O$6:$O$22)^2)^2+固有振動数!$P$6:$P$22^2))</f>
        <v>-0.411219604010228</v>
      </c>
      <c r="D263" s="71" t="n">
        <f aca="false">SQRT(B263^2+C263^2)</f>
        <v>17.5164919773923</v>
      </c>
      <c r="E263" s="72" t="n">
        <f aca="false">20*LOG10(MAX(D263,0.000000000001)/$K$3)</f>
        <v>24.8689426902854</v>
      </c>
      <c r="F263" s="5"/>
      <c r="G263" s="5"/>
      <c r="H263" s="5"/>
      <c r="I263" s="5"/>
      <c r="J263" s="5"/>
      <c r="K263" s="5"/>
      <c r="L263" s="5"/>
      <c r="M263" s="5"/>
      <c r="N263" s="5"/>
    </row>
    <row r="264" customFormat="false" ht="15" hidden="false" customHeight="false" outlineLevel="0" collapsed="false">
      <c r="A264" s="71" t="n">
        <f aca="false">A263+$F$3</f>
        <v>5160</v>
      </c>
      <c r="B264" s="71" t="n">
        <f aca="false">SUMPRODUCT(固有振動数!$Q$6:$Q$22*(1-($A264/固有振動数!$O$6:$O$22)^2)/((1-($A264/固有振動数!$O$6:$O$22)^2)^2+固有振動数!$P$6:$P$22^2))</f>
        <v>17.6970537923696</v>
      </c>
      <c r="C264" s="71" t="n">
        <f aca="false">-SUMPRODUCT(固有振動数!$Q$6:$Q$22*固有振動数!$P$6:$P$22/((1-($A264/固有振動数!$O$6:$O$22)^2)^2+固有振動数!$P$6:$P$22^2))</f>
        <v>-0.419710975824983</v>
      </c>
      <c r="D264" s="71" t="n">
        <f aca="false">SQRT(B264^2+C264^2)</f>
        <v>17.7020301161548</v>
      </c>
      <c r="E264" s="72" t="n">
        <f aca="false">20*LOG10(MAX(D264,0.000000000001)/$K$3)</f>
        <v>24.9604615054121</v>
      </c>
      <c r="F264" s="5"/>
      <c r="G264" s="5"/>
      <c r="H264" s="5"/>
      <c r="I264" s="5"/>
      <c r="J264" s="5"/>
      <c r="K264" s="5"/>
      <c r="L264" s="5"/>
      <c r="M264" s="5"/>
      <c r="N264" s="5"/>
    </row>
    <row r="265" customFormat="false" ht="15" hidden="false" customHeight="false" outlineLevel="0" collapsed="false">
      <c r="A265" s="71" t="n">
        <f aca="false">A264+$F$3</f>
        <v>5180</v>
      </c>
      <c r="B265" s="71" t="n">
        <f aca="false">SUMPRODUCT(固有振動数!$Q$6:$Q$22*(1-($A265/固有振動数!$O$6:$O$22)^2)/((1-($A265/固有振動数!$O$6:$O$22)^2)^2+固有振動数!$P$6:$P$22^2))</f>
        <v>17.887193839387</v>
      </c>
      <c r="C265" s="71" t="n">
        <f aca="false">-SUMPRODUCT(固有振動数!$Q$6:$Q$22*固有振動数!$P$6:$P$22/((1-($A265/固有振動数!$O$6:$O$22)^2)^2+固有振動数!$P$6:$P$22^2))</f>
        <v>-0.429256010418365</v>
      </c>
      <c r="D265" s="71" t="n">
        <f aca="false">SQRT(B265^2+C265^2)</f>
        <v>17.8923437304978</v>
      </c>
      <c r="E265" s="72" t="n">
        <f aca="false">20*LOG10(MAX(D265,0.000000000001)/$K$3)</f>
        <v>25.0533446565723</v>
      </c>
      <c r="F265" s="5"/>
      <c r="G265" s="5"/>
      <c r="H265" s="5"/>
      <c r="I265" s="5"/>
      <c r="J265" s="5"/>
      <c r="K265" s="5"/>
      <c r="L265" s="5"/>
      <c r="M265" s="5"/>
      <c r="N265" s="5"/>
    </row>
    <row r="266" customFormat="false" ht="15" hidden="false" customHeight="false" outlineLevel="0" collapsed="false">
      <c r="A266" s="71" t="n">
        <f aca="false">A265+$F$3</f>
        <v>5200</v>
      </c>
      <c r="B266" s="71" t="n">
        <f aca="false">SUMPRODUCT(固有振動数!$Q$6:$Q$22*(1-($A266/固有振動数!$O$6:$O$22)^2)/((1-($A266/固有振動数!$O$6:$O$22)^2)^2+固有振動数!$P$6:$P$22^2))</f>
        <v>18.0828481579476</v>
      </c>
      <c r="C266" s="71" t="n">
        <f aca="false">-SUMPRODUCT(固有振動数!$Q$6:$Q$22*固有振動数!$P$6:$P$22/((1-($A266/固有振動数!$O$6:$O$22)^2)^2+固有振動数!$P$6:$P$22^2))</f>
        <v>-0.439952848802963</v>
      </c>
      <c r="D266" s="71" t="n">
        <f aca="false">SQRT(B266^2+C266^2)</f>
        <v>18.0881993579394</v>
      </c>
      <c r="E266" s="72" t="n">
        <f aca="false">20*LOG10(MAX(D266,0.000000000001)/$K$3)</f>
        <v>25.1479067182541</v>
      </c>
      <c r="F266" s="5"/>
      <c r="G266" s="5"/>
      <c r="H266" s="5"/>
      <c r="I266" s="5"/>
      <c r="J266" s="5"/>
      <c r="K266" s="5"/>
      <c r="L266" s="5"/>
      <c r="M266" s="5"/>
      <c r="N266" s="5"/>
    </row>
    <row r="267" customFormat="false" ht="15" hidden="false" customHeight="false" outlineLevel="0" collapsed="false">
      <c r="A267" s="71" t="n">
        <f aca="false">A266+$F$3</f>
        <v>5220</v>
      </c>
      <c r="B267" s="71" t="n">
        <f aca="false">SUMPRODUCT(固有振動数!$Q$6:$Q$22*(1-($A267/固有振動数!$O$6:$O$22)^2)/((1-($A267/固有振動数!$O$6:$O$22)^2)^2+固有振動数!$P$6:$P$22^2))</f>
        <v>18.2848461842948</v>
      </c>
      <c r="C267" s="71" t="n">
        <f aca="false">-SUMPRODUCT(固有振動数!$Q$6:$Q$22*固有振動数!$P$6:$P$22/((1-($A267/固有振動数!$O$6:$O$22)^2)^2+固有振動数!$P$6:$P$22^2))</f>
        <v>-0.451918290850024</v>
      </c>
      <c r="D267" s="71" t="n">
        <f aca="false">SQRT(B267^2+C267^2)</f>
        <v>18.2904300147625</v>
      </c>
      <c r="E267" s="72" t="n">
        <f aca="false">20*LOG10(MAX(D267,0.000000000001)/$K$3)</f>
        <v>25.2444783204011</v>
      </c>
      <c r="F267" s="5"/>
      <c r="G267" s="5"/>
      <c r="H267" s="5"/>
      <c r="I267" s="5"/>
      <c r="J267" s="5"/>
      <c r="K267" s="5"/>
      <c r="L267" s="5"/>
      <c r="M267" s="5"/>
      <c r="N267" s="5"/>
    </row>
    <row r="268" customFormat="false" ht="15" hidden="false" customHeight="false" outlineLevel="0" collapsed="false">
      <c r="A268" s="71" t="n">
        <f aca="false">A267+$F$3</f>
        <v>5240</v>
      </c>
      <c r="B268" s="71" t="n">
        <f aca="false">SUMPRODUCT(固有振動数!$Q$6:$Q$22*(1-($A268/固有振動数!$O$6:$O$22)^2)/((1-($A268/固有振動数!$O$6:$O$22)^2)^2+固有振動数!$P$6:$P$22^2))</f>
        <v>18.4940966774372</v>
      </c>
      <c r="C268" s="71" t="n">
        <f aca="false">-SUMPRODUCT(固有振動数!$Q$6:$Q$22*固有振動数!$P$6:$P$22/((1-($A268/固有振動数!$O$6:$O$22)^2)^2+固有振動数!$P$6:$P$22^2))</f>
        <v>-0.465291053113709</v>
      </c>
      <c r="D268" s="71" t="n">
        <f aca="false">SQRT(B268^2+C268^2)</f>
        <v>18.499948856105</v>
      </c>
      <c r="E268" s="72" t="n">
        <f aca="false">20*LOG10(MAX(D268,0.000000000001)/$K$3)</f>
        <v>25.3434105555824</v>
      </c>
      <c r="F268" s="5"/>
      <c r="G268" s="5"/>
      <c r="H268" s="5"/>
      <c r="I268" s="5"/>
      <c r="J268" s="5"/>
      <c r="K268" s="5"/>
      <c r="L268" s="5"/>
      <c r="M268" s="5"/>
      <c r="N268" s="5"/>
    </row>
    <row r="269" customFormat="false" ht="15" hidden="false" customHeight="false" outlineLevel="0" collapsed="false">
      <c r="A269" s="71" t="n">
        <f aca="false">A268+$F$3</f>
        <v>5260</v>
      </c>
      <c r="B269" s="71" t="n">
        <f aca="false">SUMPRODUCT(固有振動数!$Q$6:$Q$22*(1-($A269/固有振動数!$O$6:$O$22)^2)/((1-($A269/固有振動数!$O$6:$O$22)^2)^2+固有振動数!$P$6:$P$22^2))</f>
        <v>18.7116035452246</v>
      </c>
      <c r="C269" s="71" t="n">
        <f aca="false">-SUMPRODUCT(固有振動数!$Q$6:$Q$22*固有振動数!$P$6:$P$22/((1-($A269/固有振動数!$O$6:$O$22)^2)^2+固有振動数!$P$6:$P$22^2))</f>
        <v>-0.480235852818139</v>
      </c>
      <c r="D269" s="71" t="n">
        <f aca="false">SQRT(B269^2+C269^2)</f>
        <v>18.7177651900005</v>
      </c>
      <c r="E269" s="72" t="n">
        <f aca="false">20*LOG10(MAX(D269,0.000000000001)/$K$3)</f>
        <v>25.4450798970278</v>
      </c>
      <c r="F269" s="5"/>
      <c r="G269" s="5"/>
      <c r="H269" s="5"/>
      <c r="I269" s="5"/>
      <c r="J269" s="5"/>
      <c r="K269" s="5"/>
      <c r="L269" s="5"/>
      <c r="M269" s="5"/>
      <c r="N269" s="5"/>
    </row>
    <row r="270" customFormat="false" ht="15" hidden="false" customHeight="false" outlineLevel="0" collapsed="false">
      <c r="A270" s="71" t="n">
        <f aca="false">A269+$F$3</f>
        <v>5280</v>
      </c>
      <c r="B270" s="71" t="n">
        <f aca="false">SUMPRODUCT(固有振動数!$Q$6:$Q$22*(1-($A270/固有振動数!$O$6:$O$22)^2)/((1-($A270/固有振動数!$O$6:$O$22)^2)^2+固有振動数!$P$6:$P$22^2))</f>
        <v>18.9384845816398</v>
      </c>
      <c r="C270" s="71" t="n">
        <f aca="false">-SUMPRODUCT(固有振動数!$Q$6:$Q$22*固有振動数!$P$6:$P$22/((1-($A270/固有振動数!$O$6:$O$22)^2)^2+固有振動数!$P$6:$P$22^2))</f>
        <v>-0.496948539902629</v>
      </c>
      <c r="D270" s="71" t="n">
        <f aca="false">SQRT(B270^2+C270^2)</f>
        <v>18.945003460024</v>
      </c>
      <c r="E270" s="72" t="n">
        <f aca="false">20*LOG10(MAX(D270,0.000000000001)/$K$3)</f>
        <v>25.5498937785694</v>
      </c>
      <c r="F270" s="5"/>
      <c r="G270" s="5"/>
      <c r="H270" s="5"/>
      <c r="I270" s="5"/>
      <c r="J270" s="5"/>
      <c r="K270" s="5"/>
      <c r="L270" s="5"/>
      <c r="M270" s="5"/>
      <c r="N270" s="5"/>
    </row>
    <row r="271" customFormat="false" ht="15" hidden="false" customHeight="false" outlineLevel="0" collapsed="false">
      <c r="A271" s="71" t="n">
        <f aca="false">A270+$F$3</f>
        <v>5300</v>
      </c>
      <c r="B271" s="71" t="n">
        <f aca="false">SUMPRODUCT(固有振動数!$Q$6:$Q$22*(1-($A271/固有振動数!$O$6:$O$22)^2)/((1-($A271/固有振動数!$O$6:$O$22)^2)^2+固有振動数!$P$6:$P$22^2))</f>
        <v>19.1759938767926</v>
      </c>
      <c r="C271" s="71" t="n">
        <f aca="false">-SUMPRODUCT(固有振動数!$Q$6:$Q$22*固有振動数!$P$6:$P$22/((1-($A271/固有振動数!$O$6:$O$22)^2)^2+固有振動数!$P$6:$P$22^2))</f>
        <v>-0.515662572842332</v>
      </c>
      <c r="D271" s="71" t="n">
        <f aca="false">SQRT(B271^2+C271^2)</f>
        <v>19.1829259773325</v>
      </c>
      <c r="E271" s="72" t="n">
        <f aca="false">20*LOG10(MAX(D271,0.000000000001)/$K$3)</f>
        <v>25.6582970190411</v>
      </c>
      <c r="F271" s="5"/>
      <c r="G271" s="5"/>
      <c r="H271" s="5"/>
      <c r="I271" s="5"/>
      <c r="J271" s="5"/>
      <c r="K271" s="5"/>
      <c r="L271" s="5"/>
      <c r="M271" s="5"/>
      <c r="N271" s="5"/>
    </row>
    <row r="272" customFormat="false" ht="15" hidden="false" customHeight="false" outlineLevel="0" collapsed="false">
      <c r="A272" s="71" t="n">
        <f aca="false">A271+$F$3</f>
        <v>5320</v>
      </c>
      <c r="B272" s="71" t="n">
        <f aca="false">SUMPRODUCT(固有振動数!$Q$6:$Q$22*(1-($A272/固有振動数!$O$6:$O$22)^2)/((1-($A272/固有振動数!$O$6:$O$22)^2)^2+固有振動数!$P$6:$P$22^2))</f>
        <v>19.4255488756265</v>
      </c>
      <c r="C272" s="71" t="n">
        <f aca="false">-SUMPRODUCT(固有振動数!$Q$6:$Q$22*固有振動数!$P$6:$P$22/((1-($A272/固有振動数!$O$6:$O$22)^2)^2+固有振動数!$P$6:$P$22^2))</f>
        <v>-0.536657235167945</v>
      </c>
      <c r="D272" s="71" t="n">
        <f aca="false">SQRT(B272^2+C272^2)</f>
        <v>19.4329604051316</v>
      </c>
      <c r="E272" s="72" t="n">
        <f aca="false">20*LOG10(MAX(D272,0.000000000001)/$K$3)</f>
        <v>25.7707793158325</v>
      </c>
      <c r="F272" s="5"/>
      <c r="G272" s="5"/>
      <c r="H272" s="5"/>
      <c r="I272" s="5"/>
      <c r="J272" s="5"/>
      <c r="K272" s="5"/>
      <c r="L272" s="5"/>
      <c r="M272" s="5"/>
      <c r="N272" s="5"/>
    </row>
    <row r="273" customFormat="false" ht="15" hidden="false" customHeight="false" outlineLevel="0" collapsed="false">
      <c r="A273" s="71" t="n">
        <f aca="false">A272+$F$3</f>
        <v>5340</v>
      </c>
      <c r="B273" s="71" t="n">
        <f aca="false">SUMPRODUCT(固有振動数!$Q$6:$Q$22*(1-($A273/固有振動数!$O$6:$O$22)^2)/((1-($A273/固有振動数!$O$6:$O$22)^2)^2+固有振動数!$P$6:$P$22^2))</f>
        <v>19.6887633495717</v>
      </c>
      <c r="C273" s="71" t="n">
        <f aca="false">-SUMPRODUCT(固有振動数!$Q$6:$Q$22*固有振動数!$P$6:$P$22/((1-($A273/固有振動数!$O$6:$O$22)^2)^2+固有振動数!$P$6:$P$22^2))</f>
        <v>-0.560268129988126</v>
      </c>
      <c r="D273" s="71" t="n">
        <f aca="false">SQRT(B273^2+C273^2)</f>
        <v>19.6967332980096</v>
      </c>
      <c r="E273" s="72" t="n">
        <f aca="false">20*LOG10(MAX(D273,0.000000000001)/$K$3)</f>
        <v>25.8878840884212</v>
      </c>
      <c r="F273" s="5"/>
      <c r="G273" s="5"/>
      <c r="H273" s="5"/>
      <c r="I273" s="5"/>
      <c r="J273" s="5"/>
      <c r="K273" s="5"/>
      <c r="L273" s="5"/>
      <c r="M273" s="5"/>
      <c r="N273" s="5"/>
    </row>
    <row r="274" customFormat="false" ht="15" hidden="false" customHeight="false" outlineLevel="0" collapsed="false">
      <c r="A274" s="71" t="n">
        <f aca="false">A273+$F$3</f>
        <v>5360</v>
      </c>
      <c r="B274" s="71" t="n">
        <f aca="false">SUMPRODUCT(固有振動数!$Q$6:$Q$22*(1-($A274/固有振動数!$O$6:$O$22)^2)/((1-($A274/固有振動数!$O$6:$O$22)^2)^2+固有振動数!$P$6:$P$22^2))</f>
        <v>19.9674879356932</v>
      </c>
      <c r="C274" s="71" t="n">
        <f aca="false">-SUMPRODUCT(固有振動数!$Q$6:$Q$22*固有振動数!$P$6:$P$22/((1-($A274/固有振動数!$O$6:$O$22)^2)^2+固有振動数!$P$6:$P$22^2))</f>
        <v>-0.586900686870009</v>
      </c>
      <c r="D274" s="71" t="n">
        <f aca="false">SQRT(B274^2+C274^2)</f>
        <v>19.9761114053337</v>
      </c>
      <c r="E274" s="72" t="n">
        <f aca="false">20*LOG10(MAX(D274,0.000000000001)/$K$3)</f>
        <v>26.0102190275815</v>
      </c>
      <c r="F274" s="5"/>
      <c r="G274" s="5"/>
      <c r="H274" s="5"/>
      <c r="I274" s="5"/>
      <c r="J274" s="5"/>
      <c r="K274" s="5"/>
      <c r="L274" s="5"/>
      <c r="M274" s="5"/>
      <c r="N274" s="5"/>
    </row>
    <row r="275" customFormat="false" ht="15" hidden="false" customHeight="false" outlineLevel="0" collapsed="false">
      <c r="A275" s="71" t="n">
        <f aca="false">A274+$F$3</f>
        <v>5380</v>
      </c>
      <c r="B275" s="71" t="n">
        <f aca="false">SUMPRODUCT(固有振動数!$Q$6:$Q$22*(1-($A275/固有振動数!$O$6:$O$22)^2)/((1-($A275/固有振動数!$O$6:$O$22)^2)^2+固有振動数!$P$6:$P$22^2))</f>
        <v>20.2638604313379</v>
      </c>
      <c r="C275" s="71" t="n">
        <f aca="false">-SUMPRODUCT(固有振動数!$Q$6:$Q$22*固有振動数!$P$6:$P$22/((1-($A275/固有振動数!$O$6:$O$22)^2)^2+固有振動数!$P$6:$P$22^2))</f>
        <v>-0.617047695493294</v>
      </c>
      <c r="D275" s="71" t="n">
        <f aca="false">SQRT(B275^2+C275^2)</f>
        <v>20.2732530058512</v>
      </c>
      <c r="E275" s="72" t="n">
        <f aca="false">20*LOG10(MAX(D275,0.000000000001)/$K$3)</f>
        <v>26.1384688062629</v>
      </c>
      <c r="F275" s="5"/>
      <c r="G275" s="5"/>
      <c r="H275" s="5"/>
      <c r="I275" s="5"/>
      <c r="J275" s="5"/>
      <c r="K275" s="5"/>
      <c r="L275" s="5"/>
      <c r="M275" s="5"/>
      <c r="N275" s="5"/>
    </row>
    <row r="276" customFormat="false" ht="15" hidden="false" customHeight="false" outlineLevel="0" collapsed="false">
      <c r="A276" s="71" t="n">
        <f aca="false">A275+$F$3</f>
        <v>5400</v>
      </c>
      <c r="B276" s="71" t="n">
        <f aca="false">SUMPRODUCT(固有振動数!$Q$6:$Q$22*(1-($A276/固有振動数!$O$6:$O$22)^2)/((1-($A276/固有振動数!$O$6:$O$22)^2)^2+固有振動数!$P$6:$P$22^2))</f>
        <v>20.5803687688028</v>
      </c>
      <c r="C276" s="71" t="n">
        <f aca="false">-SUMPRODUCT(固有振動数!$Q$6:$Q$22*固有振動数!$P$6:$P$22/((1-($A276/固有振動数!$O$6:$O$22)^2)^2+固有振動数!$P$6:$P$22^2))</f>
        <v>-0.651312283785811</v>
      </c>
      <c r="D276" s="71" t="n">
        <f aca="false">SQRT(B276^2+C276^2)</f>
        <v>20.5906723142039</v>
      </c>
      <c r="E276" s="72" t="n">
        <f aca="false">20*LOG10(MAX(D276,0.000000000001)/$K$3)</f>
        <v>26.2734105434165</v>
      </c>
      <c r="F276" s="5"/>
      <c r="G276" s="5"/>
      <c r="H276" s="5"/>
      <c r="I276" s="5"/>
      <c r="J276" s="5"/>
      <c r="K276" s="5"/>
      <c r="L276" s="5"/>
      <c r="M276" s="5"/>
      <c r="N276" s="5"/>
    </row>
    <row r="277" customFormat="false" ht="15" hidden="false" customHeight="false" outlineLevel="0" collapsed="false">
      <c r="A277" s="71" t="n">
        <f aca="false">A276+$F$3</f>
        <v>5420</v>
      </c>
      <c r="B277" s="71" t="n">
        <f aca="false">SUMPRODUCT(固有振動数!$Q$6:$Q$22*(1-($A277/固有振動数!$O$6:$O$22)^2)/((1-($A277/固有振動数!$O$6:$O$22)^2)^2+固有振動数!$P$6:$P$22^2))</f>
        <v>20.919930622811</v>
      </c>
      <c r="C277" s="71" t="n">
        <f aca="false">-SUMPRODUCT(固有振動数!$Q$6:$Q$22*固有振動数!$P$6:$P$22/((1-($A277/固有振動数!$O$6:$O$22)^2)^2+固有振動数!$P$6:$P$22^2))</f>
        <v>-0.690438347178078</v>
      </c>
      <c r="D277" s="71" t="n">
        <f aca="false">SQRT(B277^2+C277^2)</f>
        <v>20.9313210852655</v>
      </c>
      <c r="E277" s="72" t="n">
        <f aca="false">20*LOG10(MAX(D277,0.000000000001)/$K$3)</f>
        <v>26.4159327960472</v>
      </c>
      <c r="F277" s="5"/>
      <c r="G277" s="5"/>
      <c r="H277" s="5"/>
      <c r="I277" s="5"/>
      <c r="J277" s="5"/>
      <c r="K277" s="5"/>
      <c r="L277" s="5"/>
      <c r="M277" s="5"/>
      <c r="N277" s="5"/>
    </row>
    <row r="278" customFormat="false" ht="15" hidden="false" customHeight="false" outlineLevel="0" collapsed="false">
      <c r="A278" s="71" t="n">
        <f aca="false">A277+$F$3</f>
        <v>5440</v>
      </c>
      <c r="B278" s="71" t="n">
        <f aca="false">SUMPRODUCT(固有振動数!$Q$6:$Q$22*(1-($A278/固有振動数!$O$6:$O$22)^2)/((1-($A278/固有振動数!$O$6:$O$22)^2)^2+固有振動数!$P$6:$P$22^2))</f>
        <v>21.2859950565558</v>
      </c>
      <c r="C278" s="71" t="n">
        <f aca="false">-SUMPRODUCT(固有振動数!$Q$6:$Q$22*固有振動数!$P$6:$P$22/((1-($A278/固有振動数!$O$6:$O$22)^2)^2+固有振動数!$P$6:$P$22^2))</f>
        <v>-0.735351308634187</v>
      </c>
      <c r="D278" s="71" t="n">
        <f aca="false">SQRT(B278^2+C278^2)</f>
        <v>21.2986930841971</v>
      </c>
      <c r="E278" s="72" t="n">
        <f aca="false">20*LOG10(MAX(D278,0.000000000001)/$K$3)</f>
        <v>26.5670591075212</v>
      </c>
      <c r="F278" s="5"/>
      <c r="G278" s="5"/>
      <c r="H278" s="5"/>
      <c r="I278" s="5"/>
      <c r="J278" s="5"/>
      <c r="K278" s="5"/>
      <c r="L278" s="5"/>
      <c r="M278" s="5"/>
      <c r="N278" s="5"/>
    </row>
    <row r="279" customFormat="false" ht="15" hidden="false" customHeight="false" outlineLevel="0" collapsed="false">
      <c r="A279" s="71" t="n">
        <f aca="false">A278+$F$3</f>
        <v>5460</v>
      </c>
      <c r="B279" s="71" t="n">
        <f aca="false">SUMPRODUCT(固有振動数!$Q$6:$Q$22*(1-($A279/固有振動数!$O$6:$O$22)^2)/((1-($A279/固有振動数!$O$6:$O$22)^2)^2+固有振動数!$P$6:$P$22^2))</f>
        <v>21.6826736920795</v>
      </c>
      <c r="C279" s="71" t="n">
        <f aca="false">-SUMPRODUCT(固有振動数!$Q$6:$Q$22*固有振動数!$P$6:$P$22/((1-($A279/固有振動数!$O$6:$O$22)^2)^2+固有振動数!$P$6:$P$22^2))</f>
        <v>-0.787213404383879</v>
      </c>
      <c r="D279" s="71" t="n">
        <f aca="false">SQRT(B279^2+C279^2)</f>
        <v>21.6969593118769</v>
      </c>
      <c r="E279" s="72" t="n">
        <f aca="false">20*LOG10(MAX(D279,0.000000000001)/$K$3)</f>
        <v>26.727977491162</v>
      </c>
      <c r="F279" s="5"/>
      <c r="G279" s="5"/>
      <c r="H279" s="5"/>
      <c r="I279" s="5"/>
      <c r="J279" s="5"/>
      <c r="K279" s="5"/>
      <c r="L279" s="5"/>
      <c r="M279" s="5"/>
      <c r="N279" s="5"/>
    </row>
    <row r="280" customFormat="false" ht="15" hidden="false" customHeight="false" outlineLevel="0" collapsed="false">
      <c r="A280" s="71" t="n">
        <f aca="false">A279+$F$3</f>
        <v>5480</v>
      </c>
      <c r="B280" s="71" t="n">
        <f aca="false">SUMPRODUCT(固有振動数!$Q$6:$Q$22*(1-($A280/固有振動数!$O$6:$O$22)^2)/((1-($A280/固有振動数!$O$6:$O$22)^2)^2+固有振動数!$P$6:$P$22^2))</f>
        <v>22.1149119104297</v>
      </c>
      <c r="C280" s="71" t="n">
        <f aca="false">-SUMPRODUCT(固有振動数!$Q$6:$Q$22*固有振動数!$P$6:$P$22/((1-($A280/固有振動数!$O$6:$O$22)^2)^2+固有振動数!$P$6:$P$22^2))</f>
        <v>-0.847499706874716</v>
      </c>
      <c r="D280" s="71" t="n">
        <f aca="false">SQRT(B280^2+C280^2)</f>
        <v>22.1311451253481</v>
      </c>
      <c r="E280" s="72" t="n">
        <f aca="false">20*LOG10(MAX(D280,0.000000000001)/$K$3)</f>
        <v>26.9000777216117</v>
      </c>
      <c r="F280" s="5"/>
      <c r="G280" s="5"/>
      <c r="H280" s="5"/>
      <c r="I280" s="5"/>
      <c r="J280" s="5"/>
      <c r="K280" s="5"/>
      <c r="L280" s="5"/>
      <c r="M280" s="5"/>
      <c r="N280" s="5"/>
    </row>
    <row r="281" customFormat="false" ht="15" hidden="false" customHeight="false" outlineLevel="0" collapsed="false">
      <c r="A281" s="71" t="n">
        <f aca="false">A280+$F$3</f>
        <v>5500</v>
      </c>
      <c r="B281" s="71" t="n">
        <f aca="false">SUMPRODUCT(固有振動数!$Q$6:$Q$22*(1-($A281/固有振動数!$O$6:$O$22)^2)/((1-($A281/固有振動数!$O$6:$O$22)^2)^2+固有振動数!$P$6:$P$22^2))</f>
        <v>22.588715037485</v>
      </c>
      <c r="C281" s="71" t="n">
        <f aca="false">-SUMPRODUCT(固有振動数!$Q$6:$Q$22*固有振動数!$P$6:$P$22/((1-($A281/固有振動数!$O$6:$O$22)^2)^2+固有振動数!$P$6:$P$22^2))</f>
        <v>-0.918104247872073</v>
      </c>
      <c r="D281" s="71" t="n">
        <f aca="false">SQRT(B281^2+C281^2)</f>
        <v>22.6073652258432</v>
      </c>
      <c r="E281" s="72" t="n">
        <f aca="false">20*LOG10(MAX(D281,0.000000000001)/$K$3)</f>
        <v>27.0849990093538</v>
      </c>
      <c r="F281" s="5"/>
      <c r="G281" s="5"/>
      <c r="H281" s="5"/>
      <c r="I281" s="5"/>
      <c r="J281" s="5"/>
      <c r="K281" s="5"/>
      <c r="L281" s="5"/>
      <c r="M281" s="5"/>
      <c r="N281" s="5"/>
    </row>
    <row r="282" customFormat="false" ht="15" hidden="false" customHeight="false" outlineLevel="0" collapsed="false">
      <c r="A282" s="71" t="n">
        <f aca="false">A281+$F$3</f>
        <v>5520</v>
      </c>
      <c r="B282" s="71" t="n">
        <f aca="false">SUMPRODUCT(固有振動数!$Q$6:$Q$22*(1-($A282/固有振動数!$O$6:$O$22)^2)/((1-($A282/固有振動数!$O$6:$O$22)^2)^2+固有振動数!$P$6:$P$22^2))</f>
        <v>23.1114511377104</v>
      </c>
      <c r="C282" s="71" t="n">
        <f aca="false">-SUMPRODUCT(固有振動数!$Q$6:$Q$22*固有振動数!$P$6:$P$22/((1-($A282/固有振動数!$O$6:$O$22)^2)^2+固有振動数!$P$6:$P$22^2))</f>
        <v>-1.001490633098</v>
      </c>
      <c r="D282" s="71" t="n">
        <f aca="false">SQRT(B282^2+C282^2)</f>
        <v>23.1331398037308</v>
      </c>
      <c r="E282" s="72" t="n">
        <f aca="false">20*LOG10(MAX(D282,0.000000000001)/$K$3)</f>
        <v>27.2846916496981</v>
      </c>
      <c r="F282" s="5"/>
      <c r="G282" s="5"/>
      <c r="H282" s="5"/>
      <c r="I282" s="5"/>
      <c r="J282" s="5"/>
      <c r="K282" s="5"/>
      <c r="L282" s="5"/>
      <c r="M282" s="5"/>
      <c r="N282" s="5"/>
    </row>
    <row r="283" customFormat="false" ht="15" hidden="false" customHeight="false" outlineLevel="0" collapsed="false">
      <c r="A283" s="71" t="n">
        <f aca="false">A282+$F$3</f>
        <v>5540</v>
      </c>
      <c r="B283" s="71" t="n">
        <f aca="false">SUMPRODUCT(固有振動数!$Q$6:$Q$22*(1-($A283/固有振動数!$O$6:$O$22)^2)/((1-($A283/固有振動数!$O$6:$O$22)^2)^2+固有振動数!$P$6:$P$22^2))</f>
        <v>23.6922621989179</v>
      </c>
      <c r="C283" s="71" t="n">
        <f aca="false">-SUMPRODUCT(固有振動数!$Q$6:$Q$22*固有振動数!$P$6:$P$22/((1-($A283/固有振動数!$O$6:$O$22)^2)^2+固有振動数!$P$6:$P$22^2))</f>
        <v>-1.10090974867613</v>
      </c>
      <c r="D283" s="71" t="n">
        <f aca="false">SQRT(B283^2+C283^2)</f>
        <v>23.7178264260662</v>
      </c>
      <c r="E283" s="72" t="n">
        <f aca="false">20*LOG10(MAX(D283,0.000000000001)/$K$3)</f>
        <v>27.5014977289049</v>
      </c>
      <c r="F283" s="5"/>
      <c r="G283" s="5"/>
      <c r="H283" s="5"/>
      <c r="I283" s="5"/>
      <c r="J283" s="5"/>
      <c r="K283" s="5"/>
      <c r="L283" s="5"/>
      <c r="M283" s="5"/>
      <c r="N283" s="5"/>
    </row>
    <row r="284" customFormat="false" ht="15" hidden="false" customHeight="false" outlineLevel="0" collapsed="false">
      <c r="A284" s="71" t="n">
        <f aca="false">A283+$F$3</f>
        <v>5560</v>
      </c>
      <c r="B284" s="71" t="n">
        <f aca="false">SUMPRODUCT(固有振動数!$Q$6:$Q$22*(1-($A284/固有振動数!$O$6:$O$22)^2)/((1-($A284/固有振動数!$O$6:$O$22)^2)^2+固有振動数!$P$6:$P$22^2))</f>
        <v>24.3426312692298</v>
      </c>
      <c r="C284" s="71" t="n">
        <f aca="false">-SUMPRODUCT(固有振動数!$Q$6:$Q$22*固有振動数!$P$6:$P$22/((1-($A284/固有振動数!$O$6:$O$22)^2)^2+固有振動数!$P$6:$P$22^2))</f>
        <v>-1.22072090182882</v>
      </c>
      <c r="D284" s="71" t="n">
        <f aca="false">SQRT(B284^2+C284^2)</f>
        <v>24.3732200710092</v>
      </c>
      <c r="E284" s="72" t="n">
        <f aca="false">20*LOG10(MAX(D284,0.000000000001)/$K$3)</f>
        <v>27.7382581968974</v>
      </c>
      <c r="F284" s="5"/>
      <c r="G284" s="5"/>
      <c r="H284" s="5"/>
      <c r="I284" s="5"/>
      <c r="J284" s="5"/>
      <c r="K284" s="5"/>
      <c r="L284" s="5"/>
      <c r="M284" s="5"/>
      <c r="N284" s="5"/>
    </row>
    <row r="285" customFormat="false" ht="15" hidden="false" customHeight="false" outlineLevel="0" collapsed="false">
      <c r="A285" s="71" t="n">
        <f aca="false">A284+$F$3</f>
        <v>5580</v>
      </c>
      <c r="B285" s="71" t="n">
        <f aca="false">SUMPRODUCT(固有振動数!$Q$6:$Q$22*(1-($A285/固有振動数!$O$6:$O$22)^2)/((1-($A285/固有振動数!$O$6:$O$22)^2)^2+固有振動数!$P$6:$P$22^2))</f>
        <v>25.0771780987617</v>
      </c>
      <c r="C285" s="71" t="n">
        <f aca="false">-SUMPRODUCT(固有振動数!$Q$6:$Q$22*固有振動数!$P$6:$P$22/((1-($A285/固有振動数!$O$6:$O$22)^2)^2+固有振動数!$P$6:$P$22^2))</f>
        <v>-1.36687639283213</v>
      </c>
      <c r="D285" s="71" t="n">
        <f aca="false">SQRT(B285^2+C285^2)</f>
        <v>25.1144024908079</v>
      </c>
      <c r="E285" s="72" t="n">
        <f aca="false">20*LOG10(MAX(D285,0.000000000001)/$K$3)</f>
        <v>27.9984570020659</v>
      </c>
      <c r="F285" s="5"/>
      <c r="G285" s="5"/>
      <c r="H285" s="5"/>
      <c r="I285" s="5"/>
      <c r="J285" s="5"/>
      <c r="K285" s="5"/>
      <c r="L285" s="5"/>
      <c r="M285" s="5"/>
      <c r="N285" s="5"/>
    </row>
    <row r="286" customFormat="false" ht="15" hidden="false" customHeight="false" outlineLevel="0" collapsed="false">
      <c r="A286" s="71" t="n">
        <f aca="false">A285+$F$3</f>
        <v>5600</v>
      </c>
      <c r="B286" s="71" t="n">
        <f aca="false">SUMPRODUCT(固有振動数!$Q$6:$Q$22*(1-($A286/固有振動数!$O$6:$O$22)^2)/((1-($A286/固有振動数!$O$6:$O$22)^2)^2+固有振動数!$P$6:$P$22^2))</f>
        <v>25.9147962580947</v>
      </c>
      <c r="C286" s="71" t="n">
        <f aca="false">-SUMPRODUCT(固有振動数!$Q$6:$Q$22*固有振動数!$P$6:$P$22/((1-($A286/固有振動数!$O$6:$O$22)^2)^2+固有振動数!$P$6:$P$22^2))</f>
        <v>-1.54767151204981</v>
      </c>
      <c r="D286" s="71" t="n">
        <f aca="false">SQRT(B286^2+C286^2)</f>
        <v>25.9609697855795</v>
      </c>
      <c r="E286" s="72" t="n">
        <f aca="false">20*LOG10(MAX(D286,0.000000000001)/$K$3)</f>
        <v>28.2864182345691</v>
      </c>
      <c r="F286" s="5"/>
      <c r="G286" s="5"/>
      <c r="H286" s="5"/>
      <c r="I286" s="5"/>
      <c r="J286" s="5"/>
      <c r="K286" s="5"/>
      <c r="L286" s="5"/>
      <c r="M286" s="5"/>
      <c r="N286" s="5"/>
    </row>
    <row r="287" customFormat="false" ht="15" hidden="false" customHeight="false" outlineLevel="0" collapsed="false">
      <c r="A287" s="71" t="n">
        <f aca="false">A286+$F$3</f>
        <v>5620</v>
      </c>
      <c r="B287" s="71" t="n">
        <f aca="false">SUMPRODUCT(固有振動数!$Q$6:$Q$22*(1-($A287/固有振動数!$O$6:$O$22)^2)/((1-($A287/固有振動数!$O$6:$O$22)^2)^2+固有振動数!$P$6:$P$22^2))</f>
        <v>26.8803115021714</v>
      </c>
      <c r="C287" s="71" t="n">
        <f aca="false">-SUMPRODUCT(固有振動数!$Q$6:$Q$22*固有振動数!$P$6:$P$22/((1-($A287/固有振動数!$O$6:$O$22)^2)^2+固有振動数!$P$6:$P$22^2))</f>
        <v>-1.77493914336217</v>
      </c>
      <c r="D287" s="71" t="n">
        <f aca="false">SQRT(B287^2+C287^2)</f>
        <v>26.9388484426564</v>
      </c>
      <c r="E287" s="72" t="n">
        <f aca="false">20*LOG10(MAX(D287,0.000000000001)/$K$3)</f>
        <v>28.6075805391803</v>
      </c>
      <c r="F287" s="5"/>
      <c r="G287" s="5"/>
      <c r="H287" s="5"/>
      <c r="I287" s="5"/>
      <c r="J287" s="5"/>
      <c r="K287" s="5"/>
      <c r="L287" s="5"/>
      <c r="M287" s="5"/>
      <c r="N287" s="5"/>
    </row>
    <row r="288" customFormat="false" ht="15" hidden="false" customHeight="false" outlineLevel="0" collapsed="false">
      <c r="A288" s="71" t="n">
        <f aca="false">A287+$F$3</f>
        <v>5640</v>
      </c>
      <c r="B288" s="71" t="n">
        <f aca="false">SUMPRODUCT(固有振動数!$Q$6:$Q$22*(1-($A288/固有振動数!$O$6:$O$22)^2)/((1-($A288/固有振動数!$O$6:$O$22)^2)^2+固有振動数!$P$6:$P$22^2))</f>
        <v>28.0069539151403</v>
      </c>
      <c r="C288" s="71" t="n">
        <f aca="false">-SUMPRODUCT(固有振動数!$Q$6:$Q$22*固有振動数!$P$6:$P$22/((1-($A288/固有振動数!$O$6:$O$22)^2)^2+固有振動数!$P$6:$P$22^2))</f>
        <v>-2.06601564980941</v>
      </c>
      <c r="D288" s="71" t="n">
        <f aca="false">SQRT(B288^2+C288^2)</f>
        <v>28.0830534000498</v>
      </c>
      <c r="E288" s="72" t="n">
        <f aca="false">20*LOG10(MAX(D288,0.000000000001)/$K$3)</f>
        <v>28.9688865155226</v>
      </c>
      <c r="F288" s="5"/>
      <c r="G288" s="5"/>
      <c r="H288" s="5"/>
      <c r="I288" s="5"/>
      <c r="J288" s="5"/>
      <c r="K288" s="5"/>
      <c r="L288" s="5"/>
      <c r="M288" s="5"/>
      <c r="N288" s="5"/>
    </row>
    <row r="289" customFormat="false" ht="15" hidden="false" customHeight="false" outlineLevel="0" collapsed="false">
      <c r="A289" s="71" t="n">
        <f aca="false">A288+$F$3</f>
        <v>5660</v>
      </c>
      <c r="B289" s="71" t="n">
        <f aca="false">SUMPRODUCT(固有振動数!$Q$6:$Q$22*(1-($A289/固有振動数!$O$6:$O$22)^2)/((1-($A289/固有振動数!$O$6:$O$22)^2)^2+固有振動数!$P$6:$P$22^2))</f>
        <v>29.3401304179754</v>
      </c>
      <c r="C289" s="71" t="n">
        <f aca="false">-SUMPRODUCT(固有振動数!$Q$6:$Q$22*固有振動数!$P$6:$P$22/((1-($A289/固有振動数!$O$6:$O$22)^2)^2+固有振動数!$P$6:$P$22^2))</f>
        <v>-2.44709923763825</v>
      </c>
      <c r="D289" s="71" t="n">
        <f aca="false">SQRT(B289^2+C289^2)</f>
        <v>29.4420031183793</v>
      </c>
      <c r="E289" s="72" t="n">
        <f aca="false">20*LOG10(MAX(D289,0.000000000001)/$K$3)</f>
        <v>29.3793470872659</v>
      </c>
      <c r="F289" s="5"/>
      <c r="G289" s="5"/>
      <c r="H289" s="5"/>
      <c r="I289" s="5"/>
      <c r="J289" s="5"/>
      <c r="K289" s="5"/>
      <c r="L289" s="5"/>
      <c r="M289" s="5"/>
      <c r="N289" s="5"/>
    </row>
    <row r="290" customFormat="false" ht="15" hidden="false" customHeight="false" outlineLevel="0" collapsed="false">
      <c r="A290" s="71" t="n">
        <f aca="false">A289+$F$3</f>
        <v>5680</v>
      </c>
      <c r="B290" s="71" t="n">
        <f aca="false">SUMPRODUCT(固有振動数!$Q$6:$Q$22*(1-($A290/固有振動数!$O$6:$O$22)^2)/((1-($A290/固有振動数!$O$6:$O$22)^2)^2+固有振動数!$P$6:$P$22^2))</f>
        <v>30.9433222318635</v>
      </c>
      <c r="C290" s="71" t="n">
        <f aca="false">-SUMPRODUCT(固有振動数!$Q$6:$Q$22*固有振動数!$P$6:$P$22/((1-($A290/固有振動数!$O$6:$O$22)^2)^2+固有振動数!$P$6:$P$22^2))</f>
        <v>-2.95924028041343</v>
      </c>
      <c r="D290" s="71" t="n">
        <f aca="false">SQRT(B290^2+C290^2)</f>
        <v>31.0845024695934</v>
      </c>
      <c r="E290" s="72" t="n">
        <f aca="false">20*LOG10(MAX(D290,0.000000000001)/$K$3)</f>
        <v>29.8508784111211</v>
      </c>
      <c r="F290" s="5"/>
      <c r="G290" s="5"/>
      <c r="H290" s="5"/>
      <c r="I290" s="5"/>
      <c r="J290" s="5"/>
      <c r="K290" s="5"/>
      <c r="L290" s="5"/>
      <c r="M290" s="5"/>
      <c r="N290" s="5"/>
    </row>
    <row r="291" customFormat="false" ht="15" hidden="false" customHeight="false" outlineLevel="0" collapsed="false">
      <c r="A291" s="71" t="n">
        <f aca="false">A290+$F$3</f>
        <v>5700</v>
      </c>
      <c r="B291" s="71" t="n">
        <f aca="false">SUMPRODUCT(固有振動数!$Q$6:$Q$22*(1-($A291/固有振動数!$O$6:$O$22)^2)/((1-($A291/固有振動数!$O$6:$O$22)^2)^2+固有振動数!$P$6:$P$22^2))</f>
        <v>32.9075167876225</v>
      </c>
      <c r="C291" s="71" t="n">
        <f aca="false">-SUMPRODUCT(固有振動数!$Q$6:$Q$22*固有振動数!$P$6:$P$22/((1-($A291/固有振動数!$O$6:$O$22)^2)^2+固有振動数!$P$6:$P$22^2))</f>
        <v>-3.66957742664726</v>
      </c>
      <c r="D291" s="71" t="n">
        <f aca="false">SQRT(B291^2+C291^2)</f>
        <v>33.1114853127705</v>
      </c>
      <c r="E291" s="72" t="n">
        <f aca="false">20*LOG10(MAX(D291,0.000000000001)/$K$3)</f>
        <v>30.399573254831</v>
      </c>
      <c r="F291" s="5"/>
      <c r="G291" s="5"/>
      <c r="H291" s="5"/>
      <c r="I291" s="5"/>
      <c r="J291" s="5"/>
      <c r="K291" s="5"/>
      <c r="L291" s="5"/>
      <c r="M291" s="5"/>
      <c r="N291" s="5"/>
    </row>
    <row r="292" customFormat="false" ht="15" hidden="false" customHeight="false" outlineLevel="0" collapsed="false">
      <c r="A292" s="71" t="n">
        <f aca="false">A291+$F$3</f>
        <v>5720</v>
      </c>
      <c r="B292" s="71" t="n">
        <f aca="false">SUMPRODUCT(固有振動数!$Q$6:$Q$22*(1-($A292/固有振動数!$O$6:$O$22)^2)/((1-($A292/固有振動数!$O$6:$O$22)^2)^2+固有振動数!$P$6:$P$22^2))</f>
        <v>35.3665342115271</v>
      </c>
      <c r="C292" s="71" t="n">
        <f aca="false">-SUMPRODUCT(固有振動数!$Q$6:$Q$22*固有振動数!$P$6:$P$22/((1-($A292/固有振動数!$O$6:$O$22)^2)^2+固有振動数!$P$6:$P$22^2))</f>
        <v>-4.69369481367138</v>
      </c>
      <c r="D292" s="71" t="n">
        <f aca="false">SQRT(B292^2+C292^2)</f>
        <v>35.6766381983926</v>
      </c>
      <c r="E292" s="72" t="n">
        <f aca="false">20*LOG10(MAX(D292,0.000000000001)/$K$3)</f>
        <v>31.0476784832109</v>
      </c>
      <c r="F292" s="5"/>
      <c r="G292" s="5"/>
      <c r="H292" s="5"/>
      <c r="I292" s="5"/>
      <c r="J292" s="5"/>
      <c r="K292" s="5"/>
      <c r="L292" s="5"/>
      <c r="M292" s="5"/>
      <c r="N292" s="5"/>
    </row>
    <row r="293" customFormat="false" ht="15" hidden="false" customHeight="false" outlineLevel="0" collapsed="false">
      <c r="A293" s="71" t="n">
        <f aca="false">A292+$F$3</f>
        <v>5740</v>
      </c>
      <c r="B293" s="71" t="n">
        <f aca="false">SUMPRODUCT(固有振動数!$Q$6:$Q$22*(1-($A293/固有振動数!$O$6:$O$22)^2)/((1-($A293/固有振動数!$O$6:$O$22)^2)^2+固有振動数!$P$6:$P$22^2))</f>
        <v>38.5217515934742</v>
      </c>
      <c r="C293" s="71" t="n">
        <f aca="false">-SUMPRODUCT(固有振動数!$Q$6:$Q$22*固有振動数!$P$6:$P$22/((1-($A293/固有振動数!$O$6:$O$22)^2)^2+固有振動数!$P$6:$P$22^2))</f>
        <v>-6.24331338631287</v>
      </c>
      <c r="D293" s="71" t="n">
        <f aca="false">SQRT(B293^2+C293^2)</f>
        <v>39.0244065665199</v>
      </c>
      <c r="E293" s="72" t="n">
        <f aca="false">20*LOG10(MAX(D293,0.000000000001)/$K$3)</f>
        <v>31.8267261517447</v>
      </c>
      <c r="F293" s="5"/>
      <c r="G293" s="5"/>
      <c r="H293" s="5"/>
      <c r="I293" s="5"/>
      <c r="J293" s="5"/>
      <c r="K293" s="5"/>
      <c r="L293" s="5"/>
      <c r="M293" s="5"/>
      <c r="N293" s="5"/>
    </row>
    <row r="294" customFormat="false" ht="15" hidden="false" customHeight="false" outlineLevel="0" collapsed="false">
      <c r="A294" s="71" t="n">
        <f aca="false">A293+$F$3</f>
        <v>5760</v>
      </c>
      <c r="B294" s="71" t="n">
        <f aca="false">SUMPRODUCT(固有振動数!$Q$6:$Q$22*(1-($A294/固有振動数!$O$6:$O$22)^2)/((1-($A294/固有振動数!$O$6:$O$22)^2)^2+固有振動数!$P$6:$P$22^2))</f>
        <v>42.6785193213174</v>
      </c>
      <c r="C294" s="71" t="n">
        <f aca="false">-SUMPRODUCT(固有振動数!$Q$6:$Q$22*固有振動数!$P$6:$P$22/((1-($A294/固有振動数!$O$6:$O$22)^2)^2+固有振動数!$P$6:$P$22^2))</f>
        <v>-8.73666522791142</v>
      </c>
      <c r="D294" s="71" t="n">
        <f aca="false">SQRT(B294^2+C294^2)</f>
        <v>43.563578029871</v>
      </c>
      <c r="E294" s="72" t="n">
        <f aca="false">20*LOG10(MAX(D294,0.000000000001)/$K$3)</f>
        <v>32.7824708536366</v>
      </c>
      <c r="F294" s="5"/>
      <c r="G294" s="5"/>
      <c r="H294" s="5"/>
      <c r="I294" s="5"/>
      <c r="J294" s="5"/>
      <c r="K294" s="5"/>
      <c r="L294" s="5"/>
      <c r="M294" s="5"/>
      <c r="N294" s="5"/>
    </row>
    <row r="295" customFormat="false" ht="15" hidden="false" customHeight="false" outlineLevel="0" collapsed="false">
      <c r="A295" s="71" t="n">
        <f aca="false">A294+$F$3</f>
        <v>5780</v>
      </c>
      <c r="B295" s="71" t="n">
        <f aca="false">SUMPRODUCT(固有振動数!$Q$6:$Q$22*(1-($A295/固有振動数!$O$6:$O$22)^2)/((1-($A295/固有振動数!$O$6:$O$22)^2)^2+固有振動数!$P$6:$P$22^2))</f>
        <v>48.2748135223744</v>
      </c>
      <c r="C295" s="71" t="n">
        <f aca="false">-SUMPRODUCT(固有振動数!$Q$6:$Q$22*固有振動数!$P$6:$P$22/((1-($A295/固有振動数!$O$6:$O$22)^2)^2+固有振動数!$P$6:$P$22^2))</f>
        <v>-13.0784512185991</v>
      </c>
      <c r="D295" s="71" t="n">
        <f aca="false">SQRT(B295^2+C295^2)</f>
        <v>50.0150328091194</v>
      </c>
      <c r="E295" s="72" t="n">
        <f aca="false">20*LOG10(MAX(D295,0.000000000001)/$K$3)</f>
        <v>33.9820111606415</v>
      </c>
      <c r="F295" s="5"/>
      <c r="G295" s="5"/>
      <c r="H295" s="5"/>
      <c r="I295" s="5"/>
      <c r="J295" s="5"/>
      <c r="K295" s="5"/>
      <c r="L295" s="5"/>
      <c r="M295" s="5"/>
      <c r="N295" s="5"/>
    </row>
    <row r="296" customFormat="false" ht="15" hidden="false" customHeight="false" outlineLevel="0" collapsed="false">
      <c r="A296" s="71" t="n">
        <f aca="false">A295+$F$3</f>
        <v>5800</v>
      </c>
      <c r="B296" s="71" t="n">
        <f aca="false">SUMPRODUCT(固有振動数!$Q$6:$Q$22*(1-($A296/固有振動数!$O$6:$O$22)^2)/((1-($A296/固有振動数!$O$6:$O$22)^2)^2+固有振動数!$P$6:$P$22^2))</f>
        <v>55.7165776885581</v>
      </c>
      <c r="C296" s="71" t="n">
        <f aca="false">-SUMPRODUCT(固有振動数!$Q$6:$Q$22*固有振動数!$P$6:$P$22/((1-($A296/固有振動数!$O$6:$O$22)^2)^2+固有振動数!$P$6:$P$22^2))</f>
        <v>-21.4319261995373</v>
      </c>
      <c r="D296" s="71" t="n">
        <f aca="false">SQRT(B296^2+C296^2)</f>
        <v>59.696436157844</v>
      </c>
      <c r="E296" s="72" t="n">
        <f aca="false">20*LOG10(MAX(D296,0.000000000001)/$K$3)</f>
        <v>35.5189680955583</v>
      </c>
      <c r="F296" s="5"/>
      <c r="G296" s="5"/>
      <c r="H296" s="5"/>
      <c r="I296" s="5"/>
      <c r="J296" s="5"/>
      <c r="K296" s="5"/>
      <c r="L296" s="5"/>
      <c r="M296" s="5"/>
      <c r="N296" s="5"/>
    </row>
    <row r="297" customFormat="false" ht="15" hidden="false" customHeight="false" outlineLevel="0" collapsed="false">
      <c r="A297" s="71" t="n">
        <f aca="false">A296+$F$3</f>
        <v>5820</v>
      </c>
      <c r="B297" s="71" t="n">
        <f aca="false">SUMPRODUCT(固有振動数!$Q$6:$Q$22*(1-($A297/固有振動数!$O$6:$O$22)^2)/((1-($A297/固有振動数!$O$6:$O$22)^2)^2+固有振動数!$P$6:$P$22^2))</f>
        <v>63.6560047304579</v>
      </c>
      <c r="C297" s="71" t="n">
        <f aca="false">-SUMPRODUCT(固有振動数!$Q$6:$Q$22*固有振動数!$P$6:$P$22/((1-($A297/固有振動数!$O$6:$O$22)^2)^2+固有振動数!$P$6:$P$22^2))</f>
        <v>-39.2709637960361</v>
      </c>
      <c r="D297" s="71" t="n">
        <f aca="false">SQRT(B297^2+C297^2)</f>
        <v>74.7950234689024</v>
      </c>
      <c r="E297" s="72" t="n">
        <f aca="false">20*LOG10(MAX(D297,0.000000000001)/$K$3)</f>
        <v>37.4774540557133</v>
      </c>
      <c r="F297" s="5"/>
      <c r="G297" s="5"/>
      <c r="H297" s="5"/>
      <c r="I297" s="5"/>
      <c r="J297" s="5"/>
      <c r="K297" s="5"/>
      <c r="L297" s="5"/>
      <c r="M297" s="5"/>
      <c r="N297" s="5"/>
    </row>
    <row r="298" customFormat="false" ht="15" hidden="false" customHeight="false" outlineLevel="0" collapsed="false">
      <c r="A298" s="71" t="n">
        <f aca="false">A297+$F$3</f>
        <v>5840</v>
      </c>
      <c r="B298" s="71" t="n">
        <f aca="false">SUMPRODUCT(固有振動数!$Q$6:$Q$22*(1-($A298/固有振動数!$O$6:$O$22)^2)/((1-($A298/固有振動数!$O$6:$O$22)^2)^2+固有振動数!$P$6:$P$22^2))</f>
        <v>57.8940087011711</v>
      </c>
      <c r="C298" s="71" t="n">
        <f aca="false">-SUMPRODUCT(固有振動数!$Q$6:$Q$22*固有振動数!$P$6:$P$22/((1-($A298/固有振動数!$O$6:$O$22)^2)^2+固有振動数!$P$6:$P$22^2))</f>
        <v>-75.7435003715217</v>
      </c>
      <c r="D298" s="71" t="n">
        <f aca="false">SQRT(B298^2+C298^2)</f>
        <v>95.3351671316623</v>
      </c>
      <c r="E298" s="72" t="n">
        <f aca="false">20*LOG10(MAX(D298,0.000000000001)/$K$3)</f>
        <v>39.585062645286</v>
      </c>
      <c r="F298" s="5"/>
      <c r="G298" s="5"/>
      <c r="H298" s="5"/>
      <c r="I298" s="5"/>
      <c r="J298" s="5"/>
      <c r="K298" s="5"/>
      <c r="L298" s="5"/>
      <c r="M298" s="5"/>
      <c r="N298" s="5"/>
    </row>
    <row r="299" customFormat="false" ht="15" hidden="false" customHeight="false" outlineLevel="0" collapsed="false">
      <c r="A299" s="71" t="n">
        <f aca="false">A298+$F$3</f>
        <v>5860</v>
      </c>
      <c r="B299" s="71" t="n">
        <f aca="false">SUMPRODUCT(固有振動数!$Q$6:$Q$22*(1-($A299/固有振動数!$O$6:$O$22)^2)/((1-($A299/固有振動数!$O$6:$O$22)^2)^2+固有振動数!$P$6:$P$22^2))</f>
        <v>3.77909008035945</v>
      </c>
      <c r="C299" s="71" t="n">
        <f aca="false">-SUMPRODUCT(固有振動数!$Q$6:$Q$22*固有振動数!$P$6:$P$22/((1-($A299/固有振動数!$O$6:$O$22)^2)^2+固有振動数!$P$6:$P$22^2))</f>
        <v>-98.9446928982029</v>
      </c>
      <c r="D299" s="71" t="n">
        <f aca="false">SQRT(B299^2+C299^2)</f>
        <v>99.0168358136895</v>
      </c>
      <c r="E299" s="72" t="n">
        <f aca="false">20*LOG10(MAX(D299,0.000000000001)/$K$3)</f>
        <v>39.9141808776772</v>
      </c>
      <c r="F299" s="5"/>
      <c r="G299" s="5"/>
      <c r="H299" s="5"/>
      <c r="I299" s="5"/>
      <c r="J299" s="5"/>
      <c r="K299" s="5"/>
      <c r="L299" s="5"/>
      <c r="M299" s="5"/>
      <c r="N299" s="5"/>
    </row>
    <row r="300" customFormat="false" ht="15" hidden="false" customHeight="false" outlineLevel="0" collapsed="false">
      <c r="A300" s="71" t="n">
        <f aca="false">A299+$F$3</f>
        <v>5880</v>
      </c>
      <c r="B300" s="71" t="n">
        <f aca="false">SUMPRODUCT(固有振動数!$Q$6:$Q$22*(1-($A300/固有振動数!$O$6:$O$22)^2)/((1-($A300/固有振動数!$O$6:$O$22)^2)^2+固有振動数!$P$6:$P$22^2))</f>
        <v>-33.7623243516208</v>
      </c>
      <c r="C300" s="71" t="n">
        <f aca="false">-SUMPRODUCT(固有振動数!$Q$6:$Q$22*固有振動数!$P$6:$P$22/((1-($A300/固有振動数!$O$6:$O$22)^2)^2+固有振動数!$P$6:$P$22^2))</f>
        <v>-61.3245399815087</v>
      </c>
      <c r="D300" s="71" t="n">
        <f aca="false">SQRT(B300^2+C300^2)</f>
        <v>70.0042409398724</v>
      </c>
      <c r="E300" s="72" t="n">
        <f aca="false">20*LOG10(MAX(D300,0.000000000001)/$K$3)</f>
        <v>36.9024870177119</v>
      </c>
      <c r="F300" s="5"/>
      <c r="G300" s="5"/>
      <c r="H300" s="5"/>
      <c r="I300" s="5"/>
      <c r="J300" s="5"/>
      <c r="K300" s="5"/>
      <c r="L300" s="5"/>
      <c r="M300" s="5"/>
      <c r="N300" s="5"/>
    </row>
    <row r="301" customFormat="false" ht="15" hidden="false" customHeight="false" outlineLevel="0" collapsed="false">
      <c r="A301" s="71" t="n">
        <f aca="false">A300+$F$3</f>
        <v>5900</v>
      </c>
      <c r="B301" s="71" t="n">
        <f aca="false">SUMPRODUCT(固有振動数!$Q$6:$Q$22*(1-($A301/固有振動数!$O$6:$O$22)^2)/((1-($A301/固有振動数!$O$6:$O$22)^2)^2+固有振動数!$P$6:$P$22^2))</f>
        <v>-31.3106281643723</v>
      </c>
      <c r="C301" s="71" t="n">
        <f aca="false">-SUMPRODUCT(固有振動数!$Q$6:$Q$22*固有振動数!$P$6:$P$22/((1-($A301/固有振動数!$O$6:$O$22)^2)^2+固有振動数!$P$6:$P$22^2))</f>
        <v>-31.422072737238</v>
      </c>
      <c r="D301" s="71" t="n">
        <f aca="false">SQRT(B301^2+C301^2)</f>
        <v>44.3587882065309</v>
      </c>
      <c r="E301" s="72" t="n">
        <f aca="false">20*LOG10(MAX(D301,0.000000000001)/$K$3)</f>
        <v>32.9395934716321</v>
      </c>
      <c r="F301" s="5"/>
      <c r="G301" s="5"/>
      <c r="H301" s="5"/>
      <c r="I301" s="5"/>
      <c r="J301" s="5"/>
      <c r="K301" s="5"/>
      <c r="L301" s="5"/>
      <c r="M301" s="5"/>
      <c r="N301" s="5"/>
    </row>
    <row r="302" customFormat="false" ht="15" hidden="false" customHeight="false" outlineLevel="0" collapsed="false">
      <c r="A302" s="71" t="n">
        <f aca="false">A301+$F$3</f>
        <v>5920</v>
      </c>
      <c r="B302" s="71" t="n">
        <f aca="false">SUMPRODUCT(固有振動数!$Q$6:$Q$22*(1-($A302/固有振動数!$O$6:$O$22)^2)/((1-($A302/固有振動数!$O$6:$O$22)^2)^2+固有振動数!$P$6:$P$22^2))</f>
        <v>-22.9035016195255</v>
      </c>
      <c r="C302" s="71" t="n">
        <f aca="false">-SUMPRODUCT(固有振動数!$Q$6:$Q$22*固有振動数!$P$6:$P$22/((1-($A302/固有振動数!$O$6:$O$22)^2)^2+固有振動数!$P$6:$P$22^2))</f>
        <v>-17.6763585380383</v>
      </c>
      <c r="D302" s="71" t="n">
        <f aca="false">SQRT(B302^2+C302^2)</f>
        <v>28.9313677105125</v>
      </c>
      <c r="E302" s="72" t="n">
        <f aca="false">20*LOG10(MAX(D302,0.000000000001)/$K$3)</f>
        <v>29.2273793021252</v>
      </c>
      <c r="F302" s="5"/>
      <c r="G302" s="5"/>
      <c r="H302" s="5"/>
      <c r="I302" s="5"/>
      <c r="J302" s="5"/>
      <c r="K302" s="5"/>
      <c r="L302" s="5"/>
      <c r="M302" s="5"/>
      <c r="N302" s="5"/>
    </row>
    <row r="303" customFormat="false" ht="15" hidden="false" customHeight="false" outlineLevel="0" collapsed="false">
      <c r="A303" s="71" t="n">
        <f aca="false">A302+$F$3</f>
        <v>5940</v>
      </c>
      <c r="B303" s="71" t="n">
        <f aca="false">SUMPRODUCT(固有振動数!$Q$6:$Q$22*(1-($A303/固有振動数!$O$6:$O$22)^2)/((1-($A303/固有振動数!$O$6:$O$22)^2)^2+固有振動数!$P$6:$P$22^2))</f>
        <v>-16.006943462259</v>
      </c>
      <c r="C303" s="71" t="n">
        <f aca="false">-SUMPRODUCT(固有振動数!$Q$6:$Q$22*固有振動数!$P$6:$P$22/((1-($A303/固有振動数!$O$6:$O$22)^2)^2+固有振動数!$P$6:$P$22^2))</f>
        <v>-11.0677611545647</v>
      </c>
      <c r="D303" s="71" t="n">
        <f aca="false">SQRT(B303^2+C303^2)</f>
        <v>19.4606674083508</v>
      </c>
      <c r="E303" s="72" t="n">
        <f aca="false">20*LOG10(MAX(D303,0.000000000001)/$K$3)</f>
        <v>25.7831546084654</v>
      </c>
      <c r="F303" s="5"/>
      <c r="G303" s="5"/>
      <c r="H303" s="5"/>
      <c r="I303" s="5"/>
      <c r="J303" s="5"/>
      <c r="K303" s="5"/>
      <c r="L303" s="5"/>
      <c r="M303" s="5"/>
      <c r="N303" s="5"/>
    </row>
    <row r="304" customFormat="false" ht="15" hidden="false" customHeight="false" outlineLevel="0" collapsed="false">
      <c r="A304" s="71" t="n">
        <f aca="false">A303+$F$3</f>
        <v>5960</v>
      </c>
      <c r="B304" s="71" t="n">
        <f aca="false">SUMPRODUCT(固有振動数!$Q$6:$Q$22*(1-($A304/固有振動数!$O$6:$O$22)^2)/((1-($A304/固有振動数!$O$6:$O$22)^2)^2+固有振動数!$P$6:$P$22^2))</f>
        <v>-10.897388347436</v>
      </c>
      <c r="C304" s="71" t="n">
        <f aca="false">-SUMPRODUCT(固有振動数!$Q$6:$Q$22*固有振動数!$P$6:$P$22/((1-($A304/固有振動数!$O$6:$O$22)^2)^2+固有振動数!$P$6:$P$22^2))</f>
        <v>-7.52674730500026</v>
      </c>
      <c r="D304" s="71" t="n">
        <f aca="false">SQRT(B304^2+C304^2)</f>
        <v>13.2440551866927</v>
      </c>
      <c r="E304" s="72" t="n">
        <f aca="false">20*LOG10(MAX(D304,0.000000000001)/$K$3)</f>
        <v>22.4404196349353</v>
      </c>
      <c r="F304" s="5"/>
      <c r="G304" s="5"/>
      <c r="H304" s="5"/>
      <c r="I304" s="5"/>
      <c r="J304" s="5"/>
      <c r="K304" s="5"/>
      <c r="L304" s="5"/>
      <c r="M304" s="5"/>
      <c r="N304" s="5"/>
    </row>
    <row r="305" customFormat="false" ht="15" hidden="false" customHeight="false" outlineLevel="0" collapsed="false">
      <c r="A305" s="71" t="n">
        <f aca="false">A304+$F$3</f>
        <v>5980</v>
      </c>
      <c r="B305" s="71" t="n">
        <f aca="false">SUMPRODUCT(固有振動数!$Q$6:$Q$22*(1-($A305/固有振動数!$O$6:$O$22)^2)/((1-($A305/固有振動数!$O$6:$O$22)^2)^2+固有振動数!$P$6:$P$22^2))</f>
        <v>-7.08723449370325</v>
      </c>
      <c r="C305" s="71" t="n">
        <f aca="false">-SUMPRODUCT(固有振動数!$Q$6:$Q$22*固有振動数!$P$6:$P$22/((1-($A305/固有振動数!$O$6:$O$22)^2)^2+固有振動数!$P$6:$P$22^2))</f>
        <v>-5.44397871639</v>
      </c>
      <c r="D305" s="71" t="n">
        <f aca="false">SQRT(B305^2+C305^2)</f>
        <v>8.93676658715245</v>
      </c>
      <c r="E305" s="72" t="n">
        <f aca="false">20*LOG10(MAX(D305,0.000000000001)/$K$3)</f>
        <v>19.02360830128</v>
      </c>
      <c r="F305" s="5"/>
      <c r="G305" s="5"/>
      <c r="H305" s="5"/>
      <c r="I305" s="5"/>
      <c r="J305" s="5"/>
      <c r="K305" s="5"/>
      <c r="L305" s="5"/>
      <c r="M305" s="5"/>
      <c r="N305" s="5"/>
    </row>
    <row r="306" customFormat="false" ht="15" hidden="false" customHeight="false" outlineLevel="0" collapsed="false">
      <c r="A306" s="71" t="n">
        <f aca="false">A305+$F$3</f>
        <v>6000</v>
      </c>
      <c r="B306" s="71" t="n">
        <f aca="false">SUMPRODUCT(固有振動数!$Q$6:$Q$22*(1-($A306/固有振動数!$O$6:$O$22)^2)/((1-($A306/固有振動数!$O$6:$O$22)^2)^2+固有振動数!$P$6:$P$22^2))</f>
        <v>-4.17389411213837</v>
      </c>
      <c r="C306" s="71" t="n">
        <f aca="false">-SUMPRODUCT(固有振動数!$Q$6:$Q$22*固有振動数!$P$6:$P$22/((1-($A306/固有振動数!$O$6:$O$22)^2)^2+固有振動数!$P$6:$P$22^2))</f>
        <v>-4.12633064853947</v>
      </c>
      <c r="D306" s="71" t="n">
        <f aca="false">SQRT(B306^2+C306^2)</f>
        <v>5.86924157625323</v>
      </c>
      <c r="E306" s="72" t="n">
        <f aca="false">20*LOG10(MAX(D306,0.000000000001)/$K$3)</f>
        <v>15.3716397062864</v>
      </c>
      <c r="F306" s="5"/>
      <c r="G306" s="5"/>
      <c r="H306" s="5"/>
      <c r="I306" s="5"/>
      <c r="J306" s="5"/>
      <c r="K306" s="5"/>
      <c r="L306" s="5"/>
      <c r="M306" s="5"/>
      <c r="N306" s="5"/>
    </row>
    <row r="307" customFormat="false" ht="15" hidden="false" customHeight="false" outlineLevel="0" collapsed="false">
      <c r="A307" s="71" t="n">
        <f aca="false">A306+$F$3</f>
        <v>6020</v>
      </c>
      <c r="B307" s="71" t="n">
        <f aca="false">SUMPRODUCT(固有振動数!$Q$6:$Q$22*(1-($A307/固有振動数!$O$6:$O$22)^2)/((1-($A307/固有振動数!$O$6:$O$22)^2)^2+固有振動数!$P$6:$P$22^2))</f>
        <v>-1.88688489949918</v>
      </c>
      <c r="C307" s="71" t="n">
        <f aca="false">-SUMPRODUCT(固有振動数!$Q$6:$Q$22*固有振動数!$P$6:$P$22/((1-($A307/固有振動数!$O$6:$O$22)^2)^2+固有振動数!$P$6:$P$22^2))</f>
        <v>-3.24406466127446</v>
      </c>
      <c r="D307" s="71" t="n">
        <f aca="false">SQRT(B307^2+C307^2)</f>
        <v>3.75290422879239</v>
      </c>
      <c r="E307" s="72" t="n">
        <f aca="false">20*LOG10(MAX(D307,0.000000000001)/$K$3)</f>
        <v>11.4873496339174</v>
      </c>
      <c r="F307" s="5"/>
      <c r="G307" s="5"/>
      <c r="H307" s="5"/>
      <c r="I307" s="5"/>
      <c r="J307" s="5"/>
      <c r="K307" s="5"/>
      <c r="L307" s="5"/>
      <c r="M307" s="5"/>
      <c r="N307" s="5"/>
    </row>
    <row r="308" customFormat="false" ht="15" hidden="false" customHeight="false" outlineLevel="0" collapsed="false">
      <c r="A308" s="71" t="n">
        <f aca="false">A307+$F$3</f>
        <v>6040</v>
      </c>
      <c r="B308" s="71" t="n">
        <f aca="false">SUMPRODUCT(固有振動数!$Q$6:$Q$22*(1-($A308/固有振動数!$O$6:$O$22)^2)/((1-($A308/固有振動数!$O$6:$O$22)^2)^2+固有振動数!$P$6:$P$22^2))</f>
        <v>-0.0484336345715666</v>
      </c>
      <c r="C308" s="71" t="n">
        <f aca="false">-SUMPRODUCT(固有振動数!$Q$6:$Q$22*固有振動数!$P$6:$P$22/((1-($A308/固有振動数!$O$6:$O$22)^2)^2+固有振動数!$P$6:$P$22^2))</f>
        <v>-2.62621881492042</v>
      </c>
      <c r="D308" s="71" t="n">
        <f aca="false">SQRT(B308^2+C308^2)</f>
        <v>2.62666539186091</v>
      </c>
      <c r="E308" s="72" t="n">
        <f aca="false">20*LOG10(MAX(D308,0.000000000001)/$K$3)</f>
        <v>8.38809503985542</v>
      </c>
      <c r="F308" s="5"/>
      <c r="G308" s="5"/>
      <c r="H308" s="5"/>
      <c r="I308" s="5"/>
      <c r="J308" s="5"/>
      <c r="K308" s="5"/>
      <c r="L308" s="5"/>
      <c r="M308" s="5"/>
      <c r="N308" s="5"/>
    </row>
    <row r="309" customFormat="false" ht="15" hidden="false" customHeight="false" outlineLevel="0" collapsed="false">
      <c r="A309" s="71" t="n">
        <f aca="false">A308+$F$3</f>
        <v>6060</v>
      </c>
      <c r="B309" s="71" t="n">
        <f aca="false">SUMPRODUCT(固有振動数!$Q$6:$Q$22*(1-($A309/固有振動数!$O$6:$O$22)^2)/((1-($A309/固有振動数!$O$6:$O$22)^2)^2+固有振動数!$P$6:$P$22^2))</f>
        <v>1.46018470104185</v>
      </c>
      <c r="C309" s="71" t="n">
        <f aca="false">-SUMPRODUCT(固有振動数!$Q$6:$Q$22*固有振動数!$P$6:$P$22/((1-($A309/固有振動数!$O$6:$O$22)^2)^2+固有振動数!$P$6:$P$22^2))</f>
        <v>-2.177634277989</v>
      </c>
      <c r="D309" s="71" t="n">
        <f aca="false">SQRT(B309^2+C309^2)</f>
        <v>2.62187536123084</v>
      </c>
      <c r="E309" s="72" t="n">
        <f aca="false">20*LOG10(MAX(D309,0.000000000001)/$K$3)</f>
        <v>8.3722408468809</v>
      </c>
      <c r="F309" s="5"/>
      <c r="G309" s="5"/>
      <c r="H309" s="5"/>
      <c r="I309" s="5"/>
      <c r="J309" s="5"/>
      <c r="K309" s="5"/>
      <c r="L309" s="5"/>
      <c r="M309" s="5"/>
      <c r="N309" s="5"/>
    </row>
    <row r="310" customFormat="false" ht="15" hidden="false" customHeight="false" outlineLevel="0" collapsed="false">
      <c r="A310" s="71" t="n">
        <f aca="false">A309+$F$3</f>
        <v>6080</v>
      </c>
      <c r="B310" s="71" t="n">
        <f aca="false">SUMPRODUCT(固有振動数!$Q$6:$Q$22*(1-($A310/固有振動数!$O$6:$O$22)^2)/((1-($A310/固有振動数!$O$6:$O$22)^2)^2+固有振動数!$P$6:$P$22^2))</f>
        <v>2.72027135991523</v>
      </c>
      <c r="C310" s="71" t="n">
        <f aca="false">-SUMPRODUCT(固有振動数!$Q$6:$Q$22*固有振動数!$P$6:$P$22/((1-($A310/固有振動数!$O$6:$O$22)^2)^2+固有振動数!$P$6:$P$22^2))</f>
        <v>-1.84216258075742</v>
      </c>
      <c r="D310" s="71" t="n">
        <f aca="false">SQRT(B310^2+C310^2)</f>
        <v>3.28533700638426</v>
      </c>
      <c r="E310" s="72" t="n">
        <f aca="false">20*LOG10(MAX(D310,0.000000000001)/$K$3)</f>
        <v>10.3315985129605</v>
      </c>
      <c r="F310" s="5"/>
      <c r="G310" s="5"/>
      <c r="H310" s="5"/>
      <c r="I310" s="5"/>
      <c r="J310" s="5"/>
      <c r="K310" s="5"/>
      <c r="L310" s="5"/>
      <c r="M310" s="5"/>
      <c r="N310" s="5"/>
    </row>
    <row r="311" customFormat="false" ht="15" hidden="false" customHeight="false" outlineLevel="0" collapsed="false">
      <c r="A311" s="71" t="n">
        <f aca="false">A310+$F$3</f>
        <v>6100</v>
      </c>
      <c r="B311" s="71" t="n">
        <f aca="false">SUMPRODUCT(固有振動数!$Q$6:$Q$22*(1-($A311/固有振動数!$O$6:$O$22)^2)/((1-($A311/固有振動数!$O$6:$O$22)^2)^2+固有振動数!$P$6:$P$22^2))</f>
        <v>3.78896641558855</v>
      </c>
      <c r="C311" s="71" t="n">
        <f aca="false">-SUMPRODUCT(固有振動数!$Q$6:$Q$22*固有振動数!$P$6:$P$22/((1-($A311/固有振動数!$O$6:$O$22)^2)^2+固有振動数!$P$6:$P$22^2))</f>
        <v>-1.58503102605476</v>
      </c>
      <c r="D311" s="71" t="n">
        <f aca="false">SQRT(B311^2+C311^2)</f>
        <v>4.10713888881471</v>
      </c>
      <c r="E311" s="72" t="n">
        <f aca="false">20*LOG10(MAX(D311,0.000000000001)/$K$3)</f>
        <v>12.270787787903</v>
      </c>
      <c r="F311" s="5"/>
      <c r="G311" s="5"/>
      <c r="H311" s="5"/>
      <c r="I311" s="5"/>
      <c r="J311" s="5"/>
      <c r="K311" s="5"/>
      <c r="L311" s="5"/>
      <c r="M311" s="5"/>
      <c r="N311" s="5"/>
    </row>
    <row r="312" customFormat="false" ht="15" hidden="false" customHeight="false" outlineLevel="0" collapsed="false">
      <c r="A312" s="71" t="n">
        <f aca="false">A311+$F$3</f>
        <v>6120</v>
      </c>
      <c r="B312" s="71" t="n">
        <f aca="false">SUMPRODUCT(固有振動数!$Q$6:$Q$22*(1-($A312/固有振動数!$O$6:$O$22)^2)/((1-($A312/固有振動数!$O$6:$O$22)^2)^2+固有振動数!$P$6:$P$22^2))</f>
        <v>4.70742269761432</v>
      </c>
      <c r="C312" s="71" t="n">
        <f aca="false">-SUMPRODUCT(固有振動数!$Q$6:$Q$22*固有振動数!$P$6:$P$22/((1-($A312/固有振動数!$O$6:$O$22)^2)^2+固有振動数!$P$6:$P$22^2))</f>
        <v>-1.38381309918747</v>
      </c>
      <c r="D312" s="71" t="n">
        <f aca="false">SQRT(B312^2+C312^2)</f>
        <v>4.90660444171907</v>
      </c>
      <c r="E312" s="72" t="n">
        <f aca="false">20*LOG10(MAX(D312,0.000000000001)/$K$3)</f>
        <v>13.8156209529622</v>
      </c>
      <c r="F312" s="5"/>
      <c r="G312" s="5"/>
      <c r="H312" s="5"/>
      <c r="I312" s="5"/>
      <c r="J312" s="5"/>
      <c r="K312" s="5"/>
      <c r="L312" s="5"/>
      <c r="M312" s="5"/>
      <c r="N312" s="5"/>
    </row>
    <row r="313" customFormat="false" ht="15" hidden="false" customHeight="false" outlineLevel="0" collapsed="false">
      <c r="A313" s="71" t="n">
        <f aca="false">A312+$F$3</f>
        <v>6140</v>
      </c>
      <c r="B313" s="71" t="n">
        <f aca="false">SUMPRODUCT(固有振動数!$Q$6:$Q$22*(1-($A313/固有振動数!$O$6:$O$22)^2)/((1-($A313/固有振動数!$O$6:$O$22)^2)^2+固有振動数!$P$6:$P$22^2))</f>
        <v>5.50594462723415</v>
      </c>
      <c r="C313" s="71" t="n">
        <f aca="false">-SUMPRODUCT(固有振動数!$Q$6:$Q$22*固有振動数!$P$6:$P$22/((1-($A313/固有振動数!$O$6:$O$22)^2)^2+固有振動数!$P$6:$P$22^2))</f>
        <v>-1.22353825242056</v>
      </c>
      <c r="D313" s="71" t="n">
        <f aca="false">SQRT(B313^2+C313^2)</f>
        <v>5.64025461245367</v>
      </c>
      <c r="E313" s="72" t="n">
        <f aca="false">20*LOG10(MAX(D313,0.000000000001)/$K$3)</f>
        <v>15.0259741870703</v>
      </c>
      <c r="F313" s="5"/>
      <c r="G313" s="5"/>
      <c r="H313" s="5"/>
      <c r="I313" s="5"/>
      <c r="J313" s="5"/>
      <c r="K313" s="5"/>
      <c r="L313" s="5"/>
      <c r="M313" s="5"/>
      <c r="N313" s="5"/>
    </row>
    <row r="314" customFormat="false" ht="15" hidden="false" customHeight="false" outlineLevel="0" collapsed="false">
      <c r="A314" s="71" t="n">
        <f aca="false">A313+$F$3</f>
        <v>6160</v>
      </c>
      <c r="B314" s="71" t="n">
        <f aca="false">SUMPRODUCT(固有振動数!$Q$6:$Q$22*(1-($A314/固有振動数!$O$6:$O$22)^2)/((1-($A314/固有振動数!$O$6:$O$22)^2)^2+固有振動数!$P$6:$P$22^2))</f>
        <v>6.20729741849499</v>
      </c>
      <c r="C314" s="71" t="n">
        <f aca="false">-SUMPRODUCT(固有振動数!$Q$6:$Q$22*固有振動数!$P$6:$P$22/((1-($A314/固有振動数!$O$6:$O$22)^2)^2+固有振動数!$P$6:$P$22^2))</f>
        <v>-1.09391357303552</v>
      </c>
      <c r="D314" s="71" t="n">
        <f aca="false">SQRT(B314^2+C314^2)</f>
        <v>6.30295074920675</v>
      </c>
      <c r="E314" s="72" t="n">
        <f aca="false">20*LOG10(MAX(D314,0.000000000001)/$K$3)</f>
        <v>15.9908782718751</v>
      </c>
      <c r="F314" s="5"/>
      <c r="G314" s="5"/>
      <c r="H314" s="5"/>
      <c r="I314" s="5"/>
      <c r="J314" s="5"/>
      <c r="K314" s="5"/>
      <c r="L314" s="5"/>
      <c r="M314" s="5"/>
      <c r="N314" s="5"/>
    </row>
    <row r="315" customFormat="false" ht="15" hidden="false" customHeight="false" outlineLevel="0" collapsed="false">
      <c r="A315" s="71" t="n">
        <f aca="false">A314+$F$3</f>
        <v>6180</v>
      </c>
      <c r="B315" s="71" t="n">
        <f aca="false">SUMPRODUCT(固有振動数!$Q$6:$Q$22*(1-($A315/固有振動数!$O$6:$O$22)^2)/((1-($A315/固有振動数!$O$6:$O$22)^2)^2+固有振動数!$P$6:$P$22^2))</f>
        <v>6.82889045031712</v>
      </c>
      <c r="C315" s="71" t="n">
        <f aca="false">-SUMPRODUCT(固有振動数!$Q$6:$Q$22*固有振動数!$P$6:$P$22/((1-($A315/固有振動数!$O$6:$O$22)^2)^2+固有振動数!$P$6:$P$22^2))</f>
        <v>-0.98767888146123</v>
      </c>
      <c r="D315" s="71" t="n">
        <f aca="false">SQRT(B315^2+C315^2)</f>
        <v>6.89994596756502</v>
      </c>
      <c r="E315" s="72" t="n">
        <f aca="false">20*LOG10(MAX(D315,0.000000000001)/$K$3)</f>
        <v>16.7769137971212</v>
      </c>
      <c r="F315" s="5"/>
      <c r="G315" s="5"/>
      <c r="H315" s="5"/>
      <c r="I315" s="5"/>
      <c r="J315" s="5"/>
      <c r="K315" s="5"/>
      <c r="L315" s="5"/>
      <c r="M315" s="5"/>
      <c r="N315" s="5"/>
    </row>
    <row r="316" customFormat="false" ht="15" hidden="false" customHeight="false" outlineLevel="0" collapsed="false">
      <c r="A316" s="71" t="n">
        <f aca="false">A315+$F$3</f>
        <v>6200</v>
      </c>
      <c r="B316" s="71" t="n">
        <f aca="false">SUMPRODUCT(固有振動数!$Q$6:$Q$22*(1-($A316/固有振動数!$O$6:$O$22)^2)/((1-($A316/固有振動数!$O$6:$O$22)^2)^2+固有振動数!$P$6:$P$22^2))</f>
        <v>7.38425153860531</v>
      </c>
      <c r="C316" s="71" t="n">
        <f aca="false">-SUMPRODUCT(固有振動数!$Q$6:$Q$22*固有振動数!$P$6:$P$22/((1-($A316/固有振動数!$O$6:$O$22)^2)^2+固有振動数!$P$6:$P$22^2))</f>
        <v>-0.899597402769971</v>
      </c>
      <c r="D316" s="71" t="n">
        <f aca="false">SQRT(B316^2+C316^2)</f>
        <v>7.43884710640469</v>
      </c>
      <c r="E316" s="72" t="n">
        <f aca="false">20*LOG10(MAX(D316,0.000000000001)/$K$3)</f>
        <v>17.4301126514438</v>
      </c>
      <c r="F316" s="5"/>
      <c r="G316" s="5"/>
      <c r="H316" s="5"/>
      <c r="I316" s="5"/>
      <c r="J316" s="5"/>
      <c r="K316" s="5"/>
      <c r="L316" s="5"/>
      <c r="M316" s="5"/>
      <c r="N316" s="5"/>
    </row>
    <row r="317" customFormat="false" ht="15" hidden="false" customHeight="false" outlineLevel="0" collapsed="false">
      <c r="A317" s="71" t="n">
        <f aca="false">A316+$F$3</f>
        <v>6220</v>
      </c>
      <c r="B317" s="71" t="n">
        <f aca="false">SUMPRODUCT(固有振動数!$Q$6:$Q$22*(1-($A317/固有振動数!$O$6:$O$22)^2)/((1-($A317/固有振動数!$O$6:$O$22)^2)^2+固有振動数!$P$6:$P$22^2))</f>
        <v>7.88404402577029</v>
      </c>
      <c r="C317" s="71" t="n">
        <f aca="false">-SUMPRODUCT(固有振動数!$Q$6:$Q$22*固有振動数!$P$6:$P$22/((1-($A317/固有振動数!$O$6:$O$22)^2)^2+固有振動数!$P$6:$P$22^2))</f>
        <v>-0.825816738667449</v>
      </c>
      <c r="D317" s="71" t="n">
        <f aca="false">SQRT(B317^2+C317^2)</f>
        <v>7.92717626183168</v>
      </c>
      <c r="E317" s="72" t="n">
        <f aca="false">20*LOG10(MAX(D317,0.000000000001)/$K$3)</f>
        <v>17.9823702979409</v>
      </c>
      <c r="F317" s="5"/>
      <c r="G317" s="5"/>
      <c r="H317" s="5"/>
      <c r="I317" s="5"/>
      <c r="J317" s="5"/>
      <c r="K317" s="5"/>
      <c r="L317" s="5"/>
      <c r="M317" s="5"/>
      <c r="N317" s="5"/>
    </row>
    <row r="318" customFormat="false" ht="15" hidden="false" customHeight="false" outlineLevel="0" collapsed="false">
      <c r="A318" s="71" t="n">
        <f aca="false">A317+$F$3</f>
        <v>6240</v>
      </c>
      <c r="B318" s="71" t="n">
        <f aca="false">SUMPRODUCT(固有振動数!$Q$6:$Q$22*(1-($A318/固有振動数!$O$6:$O$22)^2)/((1-($A318/固有振動数!$O$6:$O$22)^2)^2+固有振動数!$P$6:$P$22^2))</f>
        <v>8.3367824545198</v>
      </c>
      <c r="C318" s="71" t="n">
        <f aca="false">-SUMPRODUCT(固有振動数!$Q$6:$Q$22*固有振動数!$P$6:$P$22/((1-($A318/固有振動数!$O$6:$O$22)^2)^2+固有振動数!$P$6:$P$22^2))</f>
        <v>-0.763452964090897</v>
      </c>
      <c r="D318" s="71" t="n">
        <f aca="false">SQRT(B318^2+C318^2)</f>
        <v>8.37166662752217</v>
      </c>
      <c r="E318" s="72" t="n">
        <f aca="false">20*LOG10(MAX(D318,0.000000000001)/$K$3)</f>
        <v>18.4562385149044</v>
      </c>
      <c r="F318" s="5"/>
      <c r="G318" s="5"/>
      <c r="H318" s="5"/>
      <c r="I318" s="5"/>
      <c r="J318" s="5"/>
      <c r="K318" s="5"/>
      <c r="L318" s="5"/>
      <c r="M318" s="5"/>
      <c r="N318" s="5"/>
    </row>
    <row r="319" customFormat="false" ht="15" hidden="false" customHeight="false" outlineLevel="0" collapsed="false">
      <c r="A319" s="71" t="n">
        <f aca="false">A318+$F$3</f>
        <v>6260</v>
      </c>
      <c r="B319" s="71" t="n">
        <f aca="false">SUMPRODUCT(固有振動数!$Q$6:$Q$22*(1-($A319/固有振動数!$O$6:$O$22)^2)/((1-($A319/固有振動数!$O$6:$O$22)^2)^2+固有振動数!$P$6:$P$22^2))</f>
        <v>8.7493453291979</v>
      </c>
      <c r="C319" s="71" t="n">
        <f aca="false">-SUMPRODUCT(固有振動数!$Q$6:$Q$22*固有振動数!$P$6:$P$22/((1-($A319/固有振動数!$O$6:$O$22)^2)^2+固有振動数!$P$6:$P$22^2))</f>
        <v>-0.710313228640481</v>
      </c>
      <c r="D319" s="71" t="n">
        <f aca="false">SQRT(B319^2+C319^2)</f>
        <v>8.7781312688031</v>
      </c>
      <c r="E319" s="72" t="n">
        <f aca="false">20*LOG10(MAX(D319,0.000000000001)/$K$3)</f>
        <v>18.8680414205654</v>
      </c>
      <c r="F319" s="5"/>
      <c r="G319" s="5"/>
      <c r="H319" s="5"/>
      <c r="I319" s="5"/>
      <c r="J319" s="5"/>
      <c r="K319" s="5"/>
      <c r="L319" s="5"/>
      <c r="M319" s="5"/>
      <c r="N319" s="5"/>
    </row>
    <row r="320" customFormat="false" ht="15" hidden="false" customHeight="false" outlineLevel="0" collapsed="false">
      <c r="A320" s="71" t="n">
        <f aca="false">A319+$F$3</f>
        <v>6280</v>
      </c>
      <c r="B320" s="71" t="n">
        <f aca="false">SUMPRODUCT(固有振動数!$Q$6:$Q$22*(1-($A320/固有振動数!$O$6:$O$22)^2)/((1-($A320/固有振動数!$O$6:$O$22)^2)^2+固有振動数!$P$6:$P$22^2))</f>
        <v>9.12734861016945</v>
      </c>
      <c r="C320" s="71" t="n">
        <f aca="false">-SUMPRODUCT(固有振動数!$Q$6:$Q$22*固有振動数!$P$6:$P$22/((1-($A320/固有振動数!$O$6:$O$22)^2)^2+固有振動数!$P$6:$P$22^2))</f>
        <v>-0.664706644305252</v>
      </c>
      <c r="D320" s="71" t="n">
        <f aca="false">SQRT(B320^2+C320^2)</f>
        <v>9.15152050615338</v>
      </c>
      <c r="E320" s="72" t="n">
        <f aca="false">20*LOG10(MAX(D320,0.000000000001)/$K$3)</f>
        <v>19.2298651437801</v>
      </c>
      <c r="F320" s="5"/>
      <c r="G320" s="5"/>
      <c r="H320" s="5"/>
      <c r="I320" s="5"/>
      <c r="J320" s="5"/>
      <c r="K320" s="5"/>
      <c r="L320" s="5"/>
      <c r="M320" s="5"/>
      <c r="N320" s="5"/>
    </row>
    <row r="321" customFormat="false" ht="15" hidden="false" customHeight="false" outlineLevel="0" collapsed="false">
      <c r="A321" s="71" t="n">
        <f aca="false">A320+$F$3</f>
        <v>6300</v>
      </c>
      <c r="B321" s="71" t="n">
        <f aca="false">SUMPRODUCT(固有振動数!$Q$6:$Q$22*(1-($A321/固有振動数!$O$6:$O$22)^2)/((1-($A321/固有振動数!$O$6:$O$22)^2)^2+固有振動数!$P$6:$P$22^2))</f>
        <v>9.47542190431055</v>
      </c>
      <c r="C321" s="71" t="n">
        <f aca="false">-SUMPRODUCT(固有振動数!$Q$6:$Q$22*固有振動数!$P$6:$P$22/((1-($A321/固有振動数!$O$6:$O$22)^2)^2+固有振動数!$P$6:$P$22^2))</f>
        <v>-0.625312801309365</v>
      </c>
      <c r="D321" s="71" t="n">
        <f aca="false">SQRT(B321^2+C321^2)</f>
        <v>9.49603266444306</v>
      </c>
      <c r="E321" s="72" t="n">
        <f aca="false">20*LOG10(MAX(D321,0.000000000001)/$K$3)</f>
        <v>19.550843996696</v>
      </c>
      <c r="F321" s="5"/>
      <c r="G321" s="5"/>
      <c r="H321" s="5"/>
      <c r="I321" s="5"/>
      <c r="J321" s="5"/>
      <c r="K321" s="5"/>
      <c r="L321" s="5"/>
      <c r="M321" s="5"/>
      <c r="N321" s="5"/>
    </row>
    <row r="322" customFormat="false" ht="15" hidden="false" customHeight="false" outlineLevel="0" collapsed="false">
      <c r="A322" s="71" t="n">
        <f aca="false">A321+$F$3</f>
        <v>6320</v>
      </c>
      <c r="B322" s="71" t="n">
        <f aca="false">SUMPRODUCT(固有振動数!$Q$6:$Q$22*(1-($A322/固有振動数!$O$6:$O$22)^2)/((1-($A322/固有振動数!$O$6:$O$22)^2)^2+固有振動数!$P$6:$P$22^2))</f>
        <v>9.79741554527812</v>
      </c>
      <c r="C322" s="71" t="n">
        <f aca="false">-SUMPRODUCT(固有振動数!$Q$6:$Q$22*固有振動数!$P$6:$P$22/((1-($A322/固有振動数!$O$6:$O$22)^2)^2+固有振動数!$P$6:$P$22^2))</f>
        <v>-0.591088713498643</v>
      </c>
      <c r="D322" s="71" t="n">
        <f aca="false">SQRT(B322^2+C322^2)</f>
        <v>9.81522986150008</v>
      </c>
      <c r="E322" s="72" t="n">
        <f aca="false">20*LOG10(MAX(D322,0.000000000001)/$K$3)</f>
        <v>19.8380094947412</v>
      </c>
      <c r="F322" s="5"/>
      <c r="G322" s="5"/>
      <c r="H322" s="5"/>
      <c r="I322" s="5"/>
      <c r="J322" s="5"/>
      <c r="K322" s="5"/>
      <c r="L322" s="5"/>
      <c r="M322" s="5"/>
      <c r="N322" s="5"/>
    </row>
    <row r="323" customFormat="false" ht="15" hidden="false" customHeight="false" outlineLevel="0" collapsed="false">
      <c r="A323" s="71" t="n">
        <f aca="false">A322+$F$3</f>
        <v>6340</v>
      </c>
      <c r="B323" s="71" t="n">
        <f aca="false">SUMPRODUCT(固有振動数!$Q$6:$Q$22*(1-($A323/固有振動数!$O$6:$O$22)^2)/((1-($A323/固有振動数!$O$6:$O$22)^2)^2+固有振動数!$P$6:$P$22^2))</f>
        <v>10.0965578402831</v>
      </c>
      <c r="C323" s="71" t="n">
        <f aca="false">-SUMPRODUCT(固有振動数!$Q$6:$Q$22*固有振動数!$P$6:$P$22/((1-($A323/固有振動数!$O$6:$O$22)^2)^2+固有振動数!$P$6:$P$22^2))</f>
        <v>-0.561201891682108</v>
      </c>
      <c r="D323" s="71" t="n">
        <f aca="false">SQRT(B323^2+C323^2)</f>
        <v>10.112142591232</v>
      </c>
      <c r="E323" s="72" t="n">
        <f aca="false">20*LOG10(MAX(D323,0.000000000001)/$K$3)</f>
        <v>20.0968636992817</v>
      </c>
      <c r="F323" s="5"/>
      <c r="G323" s="5"/>
      <c r="H323" s="5"/>
      <c r="I323" s="5"/>
      <c r="J323" s="5"/>
      <c r="K323" s="5"/>
      <c r="L323" s="5"/>
      <c r="M323" s="5"/>
      <c r="N323" s="5"/>
    </row>
    <row r="324" customFormat="false" ht="15" hidden="false" customHeight="false" outlineLevel="0" collapsed="false">
      <c r="A324" s="71" t="n">
        <f aca="false">A323+$F$3</f>
        <v>6360</v>
      </c>
      <c r="B324" s="71" t="n">
        <f aca="false">SUMPRODUCT(固有振動数!$Q$6:$Q$22*(1-($A324/固有振動数!$O$6:$O$22)^2)/((1-($A324/固有振動数!$O$6:$O$22)^2)^2+固有振動数!$P$6:$P$22^2))</f>
        <v>10.3755758787614</v>
      </c>
      <c r="C324" s="71" t="n">
        <f aca="false">-SUMPRODUCT(固有振動数!$Q$6:$Q$22*固有振動数!$P$6:$P$22/((1-($A324/固有振動数!$O$6:$O$22)^2)^2+固有振動数!$P$6:$P$22^2))</f>
        <v>-0.534981496755097</v>
      </c>
      <c r="D324" s="71" t="n">
        <f aca="false">SQRT(B324^2+C324^2)</f>
        <v>10.3893589801202</v>
      </c>
      <c r="E324" s="72" t="n">
        <f aca="false">20*LOG10(MAX(D324,0.000000000001)/$K$3)</f>
        <v>20.3317750512692</v>
      </c>
      <c r="F324" s="5"/>
      <c r="G324" s="5"/>
      <c r="H324" s="5"/>
      <c r="I324" s="5"/>
      <c r="J324" s="5"/>
      <c r="K324" s="5"/>
      <c r="L324" s="5"/>
      <c r="M324" s="5"/>
      <c r="N324" s="5"/>
    </row>
    <row r="325" customFormat="false" ht="15" hidden="false" customHeight="false" outlineLevel="0" collapsed="false">
      <c r="A325" s="71" t="n">
        <f aca="false">A324+$F$3</f>
        <v>6380</v>
      </c>
      <c r="B325" s="71" t="n">
        <f aca="false">SUMPRODUCT(固有振動数!$Q$6:$Q$22*(1-($A325/固有振動数!$O$6:$O$22)^2)/((1-($A325/固有振動数!$O$6:$O$22)^2)^2+固有振動数!$P$6:$P$22^2))</f>
        <v>10.6367893523045</v>
      </c>
      <c r="C325" s="71" t="n">
        <f aca="false">-SUMPRODUCT(固有振動数!$Q$6:$Q$22*固有振動数!$P$6:$P$22/((1-($A325/固有振動数!$O$6:$O$22)^2)^2+固有振動数!$P$6:$P$22^2))</f>
        <v>-0.511882206309769</v>
      </c>
      <c r="D325" s="71" t="n">
        <f aca="false">SQRT(B325^2+C325^2)</f>
        <v>10.6490990754352</v>
      </c>
      <c r="E325" s="72" t="n">
        <f aca="false">20*LOG10(MAX(D325,0.000000000001)/$K$3)</f>
        <v>20.5462573515188</v>
      </c>
      <c r="F325" s="5"/>
      <c r="G325" s="5"/>
      <c r="H325" s="5"/>
      <c r="I325" s="5"/>
      <c r="J325" s="5"/>
      <c r="K325" s="5"/>
      <c r="L325" s="5"/>
      <c r="M325" s="5"/>
      <c r="N325" s="5"/>
    </row>
    <row r="326" customFormat="false" ht="15" hidden="false" customHeight="false" outlineLevel="0" collapsed="false">
      <c r="A326" s="71" t="n">
        <f aca="false">A325+$F$3</f>
        <v>6400</v>
      </c>
      <c r="B326" s="71" t="n">
        <f aca="false">SUMPRODUCT(固有振動数!$Q$6:$Q$22*(1-($A326/固有振動数!$O$6:$O$22)^2)/((1-($A326/固有振動数!$O$6:$O$22)^2)^2+固有振動数!$P$6:$P$22^2))</f>
        <v>10.8821841451314</v>
      </c>
      <c r="C326" s="71" t="n">
        <f aca="false">-SUMPRODUCT(固有振動数!$Q$6:$Q$22*固有振動数!$P$6:$P$22/((1-($A326/固有振動数!$O$6:$O$22)^2)^2+固有振動数!$P$6:$P$22^2))</f>
        <v>-0.491457153985381</v>
      </c>
      <c r="D326" s="71" t="n">
        <f aca="false">SQRT(B326^2+C326^2)</f>
        <v>10.8932759949775</v>
      </c>
      <c r="E326" s="72" t="n">
        <f aca="false">20*LOG10(MAX(D326,0.000000000001)/$K$3)</f>
        <v>20.7431701434806</v>
      </c>
      <c r="F326" s="5"/>
      <c r="G326" s="5"/>
      <c r="H326" s="5"/>
      <c r="I326" s="5"/>
      <c r="J326" s="5"/>
      <c r="K326" s="5"/>
      <c r="L326" s="5"/>
      <c r="M326" s="5"/>
      <c r="N326" s="5"/>
    </row>
    <row r="327" customFormat="false" ht="15" hidden="false" customHeight="false" outlineLevel="0" collapsed="false">
      <c r="A327" s="71" t="n">
        <f aca="false">A326+$F$3</f>
        <v>6420</v>
      </c>
      <c r="B327" s="71" t="n">
        <f aca="false">SUMPRODUCT(固有振動数!$Q$6:$Q$22*(1-($A327/固有振動数!$O$6:$O$22)^2)/((1-($A327/固有振動数!$O$6:$O$22)^2)^2+固有振動数!$P$6:$P$22^2))</f>
        <v>11.1134705930924</v>
      </c>
      <c r="C327" s="71" t="n">
        <f aca="false">-SUMPRODUCT(固有振動数!$Q$6:$Q$22*固有振動数!$P$6:$P$22/((1-($A327/固有振動数!$O$6:$O$22)^2)^2+固有振動数!$P$6:$P$22^2))</f>
        <v>-0.473337431816956</v>
      </c>
      <c r="D327" s="71" t="n">
        <f aca="false">SQRT(B327^2+C327^2)</f>
        <v>11.1235460599527</v>
      </c>
      <c r="E327" s="72" t="n">
        <f aca="false">20*LOG10(MAX(D327,0.000000000001)/$K$3)</f>
        <v>20.9248651491854</v>
      </c>
      <c r="F327" s="5"/>
      <c r="G327" s="5"/>
      <c r="H327" s="5"/>
      <c r="I327" s="5"/>
      <c r="J327" s="5"/>
      <c r="K327" s="5"/>
      <c r="L327" s="5"/>
      <c r="M327" s="5"/>
      <c r="N327" s="5"/>
    </row>
    <row r="328" customFormat="false" ht="15" hidden="false" customHeight="false" outlineLevel="0" collapsed="false">
      <c r="A328" s="71" t="n">
        <f aca="false">A327+$F$3</f>
        <v>6440</v>
      </c>
      <c r="B328" s="71" t="n">
        <f aca="false">SUMPRODUCT(固有振動数!$Q$6:$Q$22*(1-($A328/固有振動数!$O$6:$O$22)^2)/((1-($A328/固有振動数!$O$6:$O$22)^2)^2+固有振動数!$P$6:$P$22^2))</f>
        <v>11.3321300034166</v>
      </c>
      <c r="C328" s="71" t="n">
        <f aca="false">-SUMPRODUCT(固有振動数!$Q$6:$Q$22*固有振動数!$P$6:$P$22/((1-($A328/固有振動数!$O$6:$O$22)^2)^2+固有振動数!$P$6:$P$22^2))</f>
        <v>-0.457216399903261</v>
      </c>
      <c r="D328" s="71" t="n">
        <f aca="false">SQRT(B328^2+C328^2)</f>
        <v>11.3413498866173</v>
      </c>
      <c r="E328" s="72" t="n">
        <f aca="false">20*LOG10(MAX(D328,0.000000000001)/$K$3)</f>
        <v>21.0932949772384</v>
      </c>
      <c r="F328" s="5"/>
      <c r="G328" s="5"/>
      <c r="H328" s="5"/>
      <c r="I328" s="5"/>
      <c r="J328" s="5"/>
      <c r="K328" s="5"/>
      <c r="L328" s="5"/>
      <c r="M328" s="5"/>
      <c r="N328" s="5"/>
    </row>
    <row r="329" customFormat="false" ht="15" hidden="false" customHeight="false" outlineLevel="0" collapsed="false">
      <c r="A329" s="71" t="n">
        <f aca="false">A328+$F$3</f>
        <v>6460</v>
      </c>
      <c r="B329" s="71" t="n">
        <f aca="false">SUMPRODUCT(固有振動数!$Q$6:$Q$22*(1-($A329/固有振動数!$O$6:$O$22)^2)/((1-($A329/固有振動数!$O$6:$O$22)^2)^2+固有振動数!$P$6:$P$22^2))</f>
        <v>11.5394520994515</v>
      </c>
      <c r="C329" s="71" t="n">
        <f aca="false">-SUMPRODUCT(固有振動数!$Q$6:$Q$22*固有振動数!$P$6:$P$22/((1-($A329/固有振動数!$O$6:$O$22)^2)^2+固有振動数!$P$6:$P$22^2))</f>
        <v>-0.442837558432837</v>
      </c>
      <c r="D329" s="71" t="n">
        <f aca="false">SQRT(B329^2+C329^2)</f>
        <v>11.5479461316155</v>
      </c>
      <c r="E329" s="72" t="n">
        <f aca="false">20*LOG10(MAX(D329,0.000000000001)/$K$3)</f>
        <v>21.2500949866872</v>
      </c>
      <c r="F329" s="5"/>
      <c r="G329" s="5"/>
      <c r="H329" s="5"/>
      <c r="I329" s="5"/>
      <c r="J329" s="5"/>
      <c r="K329" s="5"/>
      <c r="L329" s="5"/>
      <c r="M329" s="5"/>
      <c r="N329" s="5"/>
    </row>
    <row r="330" customFormat="false" ht="15" hidden="false" customHeight="false" outlineLevel="0" collapsed="false">
      <c r="A330" s="71" t="n">
        <f aca="false">A329+$F$3</f>
        <v>6480</v>
      </c>
      <c r="B330" s="71" t="n">
        <f aca="false">SUMPRODUCT(固有振動数!$Q$6:$Q$22*(1-($A330/固有振動数!$O$6:$O$22)^2)/((1-($A330/固有振動数!$O$6:$O$22)^2)^2+固有振動数!$P$6:$P$22^2))</f>
        <v>11.7365653871899</v>
      </c>
      <c r="C330" s="71" t="n">
        <f aca="false">-SUMPRODUCT(固有振動数!$Q$6:$Q$22*固有振動数!$P$6:$P$22/((1-($A330/固有振動数!$O$6:$O$22)^2)^2+固有振動数!$P$6:$P$22^2))</f>
        <v>-0.429985088082552</v>
      </c>
      <c r="D330" s="71" t="n">
        <f aca="false">SQRT(B330^2+C330^2)</f>
        <v>11.7444392911606</v>
      </c>
      <c r="E330" s="72" t="n">
        <f aca="false">20*LOG10(MAX(D330,0.000000000001)/$K$3)</f>
        <v>21.3966457461248</v>
      </c>
      <c r="F330" s="5"/>
      <c r="G330" s="5"/>
      <c r="H330" s="5"/>
      <c r="I330" s="5"/>
      <c r="J330" s="5"/>
      <c r="K330" s="5"/>
      <c r="L330" s="5"/>
      <c r="M330" s="5"/>
      <c r="N330" s="5"/>
    </row>
    <row r="331" customFormat="false" ht="15" hidden="false" customHeight="false" outlineLevel="0" collapsed="false">
      <c r="A331" s="71" t="n">
        <f aca="false">A330+$F$3</f>
        <v>6500</v>
      </c>
      <c r="B331" s="71" t="n">
        <f aca="false">SUMPRODUCT(固有振動数!$Q$6:$Q$22*(1-($A331/固有振動数!$O$6:$O$22)^2)/((1-($A331/固有振動数!$O$6:$O$22)^2)^2+固有振動数!$P$6:$P$22^2))</f>
        <v>11.9244619548515</v>
      </c>
      <c r="C331" s="71" t="n">
        <f aca="false">-SUMPRODUCT(固有振動数!$Q$6:$Q$22*固有振動数!$P$6:$P$22/((1-($A331/固有振動数!$O$6:$O$22)^2)^2+固有振動数!$P$6:$P$22^2))</f>
        <v>-0.418476409281972</v>
      </c>
      <c r="D331" s="71" t="n">
        <f aca="false">SQRT(B331^2+C331^2)</f>
        <v>11.9318026893603</v>
      </c>
      <c r="E331" s="72" t="n">
        <f aca="false">20*LOG10(MAX(D331,0.000000000001)/$K$3)</f>
        <v>21.5341212604942</v>
      </c>
      <c r="F331" s="5"/>
      <c r="G331" s="5"/>
      <c r="H331" s="5"/>
      <c r="I331" s="5"/>
      <c r="J331" s="5"/>
      <c r="K331" s="5"/>
      <c r="L331" s="5"/>
      <c r="M331" s="5"/>
      <c r="N331" s="5"/>
    </row>
    <row r="332" customFormat="false" ht="15" hidden="false" customHeight="false" outlineLevel="0" collapsed="false">
      <c r="A332" s="71" t="n">
        <f aca="false">A331+$F$3</f>
        <v>6520</v>
      </c>
      <c r="B332" s="71" t="n">
        <f aca="false">SUMPRODUCT(固有振動数!$Q$6:$Q$22*(1-($A332/固有振動数!$O$6:$O$22)^2)/((1-($A332/固有振動数!$O$6:$O$22)^2)^2+固有振動数!$P$6:$P$22^2))</f>
        <v>12.1040178598525</v>
      </c>
      <c r="C332" s="71" t="n">
        <f aca="false">-SUMPRODUCT(固有振動数!$Q$6:$Q$22*固有振動数!$P$6:$P$22/((1-($A332/固有振動数!$O$6:$O$22)^2)^2+固有振動数!$P$6:$P$22^2))</f>
        <v>-0.408156283288211</v>
      </c>
      <c r="D332" s="71" t="n">
        <f aca="false">SQRT(B332^2+C332^2)</f>
        <v>12.1108975680259</v>
      </c>
      <c r="E332" s="72" t="n">
        <f aca="false">20*LOG10(MAX(D332,0.000000000001)/$K$3)</f>
        <v>21.6635266190883</v>
      </c>
      <c r="F332" s="5"/>
      <c r="G332" s="5"/>
      <c r="H332" s="5"/>
      <c r="I332" s="5"/>
      <c r="J332" s="5"/>
      <c r="K332" s="5"/>
      <c r="L332" s="5"/>
      <c r="M332" s="5"/>
      <c r="N332" s="5"/>
    </row>
    <row r="333" customFormat="false" ht="15" hidden="false" customHeight="false" outlineLevel="0" collapsed="false">
      <c r="A333" s="71" t="n">
        <f aca="false">A332+$F$3</f>
        <v>6540</v>
      </c>
      <c r="B333" s="71" t="n">
        <f aca="false">SUMPRODUCT(固有振動数!$Q$6:$Q$22*(1-($A333/固有振動数!$O$6:$O$22)^2)/((1-($A333/固有振動数!$O$6:$O$22)^2)^2+固有振動数!$P$6:$P$22^2))</f>
        <v>12.2760099924841</v>
      </c>
      <c r="C333" s="71" t="n">
        <f aca="false">-SUMPRODUCT(固有振動数!$Q$6:$Q$22*固有振動数!$P$6:$P$22/((1-($A333/固有振動数!$O$6:$O$22)^2)^2+固有振動数!$P$6:$P$22^2))</f>
        <v>-0.398892101095524</v>
      </c>
      <c r="D333" s="71" t="n">
        <f aca="false">SQRT(B333^2+C333^2)</f>
        <v>12.2824890084985</v>
      </c>
      <c r="E333" s="72" t="n">
        <f aca="false">20*LOG10(MAX(D333,0.000000000001)/$K$3)</f>
        <v>21.7857276832073</v>
      </c>
      <c r="F333" s="5"/>
      <c r="G333" s="5"/>
      <c r="H333" s="5"/>
      <c r="I333" s="5"/>
      <c r="J333" s="5"/>
      <c r="K333" s="5"/>
      <c r="L333" s="5"/>
      <c r="M333" s="5"/>
      <c r="N333" s="5"/>
    </row>
    <row r="334" customFormat="false" ht="15" hidden="false" customHeight="false" outlineLevel="0" collapsed="false">
      <c r="A334" s="71" t="n">
        <f aca="false">A333+$F$3</f>
        <v>6560</v>
      </c>
      <c r="B334" s="71" t="n">
        <f aca="false">SUMPRODUCT(固有振動数!$Q$6:$Q$22*(1-($A334/固有振動数!$O$6:$O$22)^2)/((1-($A334/固有振動数!$O$6:$O$22)^2)^2+固有振動数!$P$6:$P$22^2))</f>
        <v>12.4411301070136</v>
      </c>
      <c r="C334" s="71" t="n">
        <f aca="false">-SUMPRODUCT(固有振動数!$Q$6:$Q$22*固有振動数!$P$6:$P$22/((1-($A334/固有振動数!$O$6:$O$22)^2)^2+固有振動数!$P$6:$P$22^2))</f>
        <v>-0.390570095015502</v>
      </c>
      <c r="D334" s="71" t="n">
        <f aca="false">SQRT(B334^2+C334^2)</f>
        <v>12.4472592701671</v>
      </c>
      <c r="E334" s="72" t="n">
        <f aca="false">20*LOG10(MAX(D334,0.000000000001)/$K$3)</f>
        <v>21.9014747155813</v>
      </c>
      <c r="F334" s="5"/>
      <c r="G334" s="5"/>
      <c r="H334" s="5"/>
      <c r="I334" s="5"/>
      <c r="J334" s="5"/>
      <c r="K334" s="5"/>
      <c r="L334" s="5"/>
      <c r="M334" s="5"/>
      <c r="N334" s="5"/>
    </row>
    <row r="335" customFormat="false" ht="15" hidden="false" customHeight="false" outlineLevel="0" collapsed="false">
      <c r="A335" s="71" t="n">
        <f aca="false">A334+$F$3</f>
        <v>6580</v>
      </c>
      <c r="B335" s="71" t="n">
        <f aca="false">SUMPRODUCT(固有振動数!$Q$6:$Q$22*(1-($A335/固有振動数!$O$6:$O$22)^2)/((1-($A335/固有振動数!$O$6:$O$22)^2)^2+固有振動数!$P$6:$P$22^2))</f>
        <v>12.5999965607734</v>
      </c>
      <c r="C335" s="71" t="n">
        <f aca="false">-SUMPRODUCT(固有振動数!$Q$6:$Q$22*固有振動数!$P$6:$P$22/((1-($A335/固有振動数!$O$6:$O$22)^2)^2+固有振動数!$P$6:$P$22^2))</f>
        <v>-0.383092272510544</v>
      </c>
      <c r="D335" s="71" t="n">
        <f aca="false">SQRT(B335^2+C335^2)</f>
        <v>12.605819014279</v>
      </c>
      <c r="E335" s="72" t="n">
        <f aca="false">20*LOG10(MAX(D335,0.000000000001)/$K$3)</f>
        <v>22.011421350629</v>
      </c>
      <c r="F335" s="5"/>
      <c r="G335" s="5"/>
      <c r="H335" s="5"/>
      <c r="I335" s="5"/>
      <c r="J335" s="5"/>
      <c r="K335" s="5"/>
      <c r="L335" s="5"/>
      <c r="M335" s="5"/>
      <c r="N335" s="5"/>
    </row>
    <row r="336" customFormat="false" ht="15" hidden="false" customHeight="false" outlineLevel="0" collapsed="false">
      <c r="A336" s="71" t="n">
        <f aca="false">A335+$F$3</f>
        <v>6600</v>
      </c>
      <c r="B336" s="71" t="n">
        <f aca="false">SUMPRODUCT(固有振動数!$Q$6:$Q$22*(1-($A336/固有振動数!$O$6:$O$22)^2)/((1-($A336/固有振動数!$O$6:$O$22)^2)^2+固有振動数!$P$6:$P$22^2))</f>
        <v>12.7531641873497</v>
      </c>
      <c r="C336" s="71" t="n">
        <f aca="false">-SUMPRODUCT(固有振動数!$Q$6:$Q$22*固有振動数!$P$6:$P$22/((1-($A336/固有振動数!$O$6:$O$22)^2)^2+固有振動数!$P$6:$P$22^2))</f>
        <v>-0.376373919523732</v>
      </c>
      <c r="D336" s="71" t="n">
        <f aca="false">SQRT(B336^2+C336^2)</f>
        <v>12.7587167895834</v>
      </c>
      <c r="E336" s="72" t="n">
        <f aca="false">20*LOG10(MAX(D336,0.000000000001)/$K$3)</f>
        <v>22.1161399465948</v>
      </c>
      <c r="F336" s="5"/>
      <c r="G336" s="5"/>
      <c r="H336" s="5"/>
      <c r="I336" s="5"/>
      <c r="J336" s="5"/>
      <c r="K336" s="5"/>
      <c r="L336" s="5"/>
      <c r="M336" s="5"/>
      <c r="N336" s="5"/>
    </row>
    <row r="337" customFormat="false" ht="15" hidden="false" customHeight="false" outlineLevel="0" collapsed="false">
      <c r="A337" s="71" t="n">
        <f aca="false">A336+$F$3</f>
        <v>6620</v>
      </c>
      <c r="B337" s="71" t="n">
        <f aca="false">SUMPRODUCT(固有振動数!$Q$6:$Q$22*(1-($A337/固有振動数!$O$6:$O$22)^2)/((1-($A337/固有振動数!$O$6:$O$22)^2)^2+固有振動数!$P$6:$P$22^2))</f>
        <v>12.9011326420497</v>
      </c>
      <c r="C337" s="71" t="n">
        <f aca="false">-SUMPRODUCT(固有振動数!$Q$6:$Q$22*固有振動数!$P$6:$P$22/((1-($A337/固有振動数!$O$6:$O$22)^2)^2+固有振動数!$P$6:$P$22^2))</f>
        <v>-0.370341555951688</v>
      </c>
      <c r="D337" s="71" t="n">
        <f aca="false">SQRT(B337^2+C337^2)</f>
        <v>12.9064470833698</v>
      </c>
      <c r="E337" s="72" t="n">
        <f aca="false">20*LOG10(MAX(D337,0.000000000001)/$K$3)</f>
        <v>22.2161341025714</v>
      </c>
      <c r="F337" s="5"/>
      <c r="G337" s="5"/>
      <c r="H337" s="5"/>
      <c r="I337" s="5"/>
      <c r="J337" s="5"/>
      <c r="K337" s="5"/>
      <c r="L337" s="5"/>
      <c r="M337" s="5"/>
      <c r="N337" s="5"/>
    </row>
    <row r="338" customFormat="false" ht="15" hidden="false" customHeight="false" outlineLevel="0" collapsed="false">
      <c r="A338" s="71" t="n">
        <f aca="false">A337+$F$3</f>
        <v>6640</v>
      </c>
      <c r="B338" s="71" t="n">
        <f aca="false">SUMPRODUCT(固有振動数!$Q$6:$Q$22*(1-($A338/固有振動数!$O$6:$O$22)^2)/((1-($A338/固有振動数!$O$6:$O$22)^2)^2+固有振動数!$P$6:$P$22^2))</f>
        <v>13.0443534897768</v>
      </c>
      <c r="C338" s="71" t="n">
        <f aca="false">-SUMPRODUCT(固有振動数!$Q$6:$Q$22*固有振動数!$P$6:$P$22/((1-($A338/固有振動数!$O$6:$O$22)^2)^2+固有振動数!$P$6:$P$22^2))</f>
        <v>-0.364931252431686</v>
      </c>
      <c r="D338" s="71" t="n">
        <f aca="false">SQRT(B338^2+C338^2)</f>
        <v>13.049457183548</v>
      </c>
      <c r="E338" s="72" t="n">
        <f aca="false">20*LOG10(MAX(D338,0.000000000001)/$K$3)</f>
        <v>22.3118489352595</v>
      </c>
      <c r="F338" s="5"/>
      <c r="G338" s="5"/>
      <c r="H338" s="5"/>
      <c r="I338" s="5"/>
      <c r="J338" s="5"/>
      <c r="K338" s="5"/>
      <c r="L338" s="5"/>
      <c r="M338" s="5"/>
      <c r="N338" s="5"/>
    </row>
    <row r="339" customFormat="false" ht="15" hidden="false" customHeight="false" outlineLevel="0" collapsed="false">
      <c r="A339" s="71" t="n">
        <f aca="false">A338+$F$3</f>
        <v>6660</v>
      </c>
      <c r="B339" s="71" t="n">
        <f aca="false">SUMPRODUCT(固有振動数!$Q$6:$Q$22*(1-($A339/固有振動数!$O$6:$O$22)^2)/((1-($A339/固有振動数!$O$6:$O$22)^2)^2+固有振動数!$P$6:$P$22^2))</f>
        <v>13.1832362524092</v>
      </c>
      <c r="C339" s="71" t="n">
        <f aca="false">-SUMPRODUCT(固有振動数!$Q$6:$Q$22*固有振動数!$P$6:$P$22/((1-($A339/固有振動数!$O$6:$O$22)^2)^2+固有振動数!$P$6:$P$22^2))</f>
        <v>-0.360087237648376</v>
      </c>
      <c r="D339" s="71" t="n">
        <f aca="false">SQRT(B339^2+C339^2)</f>
        <v>13.1881530513395</v>
      </c>
      <c r="E339" s="72" t="n">
        <f aca="false">20*LOG10(MAX(D339,0.000000000001)/$K$3)</f>
        <v>22.4036795716159</v>
      </c>
      <c r="F339" s="5"/>
      <c r="G339" s="5"/>
      <c r="H339" s="5"/>
      <c r="I339" s="5"/>
      <c r="J339" s="5"/>
      <c r="K339" s="5"/>
      <c r="L339" s="5"/>
      <c r="M339" s="5"/>
      <c r="N339" s="5"/>
    </row>
    <row r="340" customFormat="false" ht="15" hidden="false" customHeight="false" outlineLevel="0" collapsed="false">
      <c r="A340" s="71" t="n">
        <f aca="false">A339+$F$3</f>
        <v>6680</v>
      </c>
      <c r="B340" s="71" t="n">
        <f aca="false">SUMPRODUCT(固有振動数!$Q$6:$Q$22*(1-($A340/固有振動数!$O$6:$O$22)^2)/((1-($A340/固有振動数!$O$6:$O$22)^2)^2+固有振動数!$P$6:$P$22^2))</f>
        <v>13.3181535911709</v>
      </c>
      <c r="C340" s="71" t="n">
        <f aca="false">-SUMPRODUCT(固有振動数!$Q$6:$Q$22*固有振動数!$P$6:$P$22/((1-($A340/固有振動数!$O$6:$O$22)^2)^2+固有振動数!$P$6:$P$22^2))</f>
        <v>-0.355760740613517</v>
      </c>
      <c r="D340" s="71" t="n">
        <f aca="false">SQRT(B340^2+C340^2)</f>
        <v>13.3229043673885</v>
      </c>
      <c r="E340" s="72" t="n">
        <f aca="false">20*LOG10(MAX(D340,0.000000000001)/$K$3)</f>
        <v>22.4919782102506</v>
      </c>
      <c r="F340" s="5"/>
      <c r="G340" s="5"/>
      <c r="H340" s="5"/>
      <c r="I340" s="5"/>
      <c r="J340" s="5"/>
      <c r="K340" s="5"/>
      <c r="L340" s="5"/>
      <c r="M340" s="5"/>
      <c r="N340" s="5"/>
    </row>
    <row r="341" customFormat="false" ht="15" hidden="false" customHeight="false" outlineLevel="0" collapsed="false">
      <c r="A341" s="71" t="n">
        <f aca="false">A340+$F$3</f>
        <v>6700</v>
      </c>
      <c r="B341" s="71" t="n">
        <f aca="false">SUMPRODUCT(固有振動数!$Q$6:$Q$22*(1-($A341/固有振動数!$O$6:$O$22)^2)/((1-($A341/固有振動数!$O$6:$O$22)^2)^2+固有振動数!$P$6:$P$22^2))</f>
        <v>13.4494457666413</v>
      </c>
      <c r="C341" s="71" t="n">
        <f aca="false">-SUMPRODUCT(固有振動数!$Q$6:$Q$22*固有振動数!$P$6:$P$22/((1-($A341/固有振動数!$O$6:$O$22)^2)^2+固有振動数!$P$6:$P$22^2))</f>
        <v>-0.35190902406197</v>
      </c>
      <c r="D341" s="71" t="n">
        <f aca="false">SQRT(B341^2+C341^2)</f>
        <v>13.4540488846682</v>
      </c>
      <c r="E341" s="72" t="n">
        <f aca="false">20*LOG10(MAX(D341,0.000000000001)/$K$3)</f>
        <v>22.5770600267737</v>
      </c>
      <c r="F341" s="5"/>
      <c r="G341" s="5"/>
      <c r="H341" s="5"/>
      <c r="I341" s="5"/>
      <c r="J341" s="5"/>
      <c r="K341" s="5"/>
      <c r="L341" s="5"/>
      <c r="M341" s="5"/>
      <c r="N341" s="5"/>
    </row>
    <row r="342" customFormat="false" ht="15" hidden="false" customHeight="false" outlineLevel="0" collapsed="false">
      <c r="A342" s="71" t="n">
        <f aca="false">A341+$F$3</f>
        <v>6720</v>
      </c>
      <c r="B342" s="71" t="n">
        <f aca="false">SUMPRODUCT(固有振動数!$Q$6:$Q$22*(1-($A342/固有振動数!$O$6:$O$22)^2)/((1-($A342/固有振動数!$O$6:$O$22)^2)^2+固有振動数!$P$6:$P$22^2))</f>
        <v>13.57742449297</v>
      </c>
      <c r="C342" s="71" t="n">
        <f aca="false">-SUMPRODUCT(固有振動数!$Q$6:$Q$22*固有振動数!$P$6:$P$22/((1-($A342/固有振動数!$O$6:$O$22)^2)^2+固有振動数!$P$6:$P$22^2))</f>
        <v>-0.348494574131208</v>
      </c>
      <c r="D342" s="71" t="n">
        <f aca="false">SQRT(B342^2+C342^2)</f>
        <v>13.5818961978989</v>
      </c>
      <c r="E342" s="72" t="n">
        <f aca="false">20*LOG10(MAX(D342,0.000000000001)/$K$3)</f>
        <v>22.6592081393838</v>
      </c>
      <c r="F342" s="5"/>
      <c r="G342" s="5"/>
      <c r="H342" s="5"/>
      <c r="I342" s="5"/>
      <c r="J342" s="5"/>
      <c r="K342" s="5"/>
      <c r="L342" s="5"/>
      <c r="M342" s="5"/>
      <c r="N342" s="5"/>
    </row>
    <row r="343" customFormat="false" ht="15" hidden="false" customHeight="false" outlineLevel="0" collapsed="false">
      <c r="A343" s="71" t="n">
        <f aca="false">A342+$F$3</f>
        <v>6740</v>
      </c>
      <c r="B343" s="71" t="n">
        <f aca="false">SUMPRODUCT(固有振動数!$Q$6:$Q$22*(1-($A343/固有振動数!$O$6:$O$22)^2)/((1-($A343/固有振動数!$O$6:$O$22)^2)^2+固有振動数!$P$6:$P$22^2))</f>
        <v>13.7023762820342</v>
      </c>
      <c r="C343" s="71" t="n">
        <f aca="false">-SUMPRODUCT(固有振動数!$Q$6:$Q$22*固有振動数!$P$6:$P$22/((1-($A343/固有振動数!$O$6:$O$22)^2)^2+固有振動数!$P$6:$P$22^2))</f>
        <v>-0.345484418503611</v>
      </c>
      <c r="D343" s="71" t="n">
        <f aca="false">SQRT(B343^2+C343^2)</f>
        <v>13.7067310201187</v>
      </c>
      <c r="E343" s="72" t="n">
        <f aca="false">20*LOG10(MAX(D343,0.000000000001)/$K$3)</f>
        <v>22.7386778059204</v>
      </c>
      <c r="F343" s="5"/>
      <c r="G343" s="5"/>
      <c r="H343" s="5"/>
      <c r="I343" s="5"/>
      <c r="J343" s="5"/>
      <c r="K343" s="5"/>
      <c r="L343" s="5"/>
      <c r="M343" s="5"/>
      <c r="N343" s="5"/>
    </row>
    <row r="344" customFormat="false" ht="15" hidden="false" customHeight="false" outlineLevel="0" collapsed="false">
      <c r="A344" s="71" t="n">
        <f aca="false">A343+$F$3</f>
        <v>6760</v>
      </c>
      <c r="B344" s="71" t="n">
        <f aca="false">SUMPRODUCT(固有振動数!$Q$6:$Q$22*(1-($A344/固有振動数!$O$6:$O$22)^2)/((1-($A344/固有振動数!$O$6:$O$22)^2)^2+固有振動数!$P$6:$P$22^2))</f>
        <v>13.8245653565558</v>
      </c>
      <c r="C344" s="71" t="n">
        <f aca="false">-SUMPRODUCT(固有振動数!$Q$6:$Q$22*固有振動数!$P$6:$P$22/((1-($A344/固有振動数!$O$6:$O$22)^2)^2+固有振動数!$P$6:$P$22^2))</f>
        <v>-0.342849550673594</v>
      </c>
      <c r="D344" s="71" t="n">
        <f aca="false">SQRT(B344^2+C344^2)</f>
        <v>13.8288160415879</v>
      </c>
      <c r="E344" s="72" t="n">
        <f aca="false">20*LOG10(MAX(D344,0.000000000001)/$K$3)</f>
        <v>22.8156999888592</v>
      </c>
      <c r="F344" s="5"/>
      <c r="G344" s="5"/>
      <c r="H344" s="5"/>
      <c r="I344" s="5"/>
      <c r="J344" s="5"/>
      <c r="K344" s="5"/>
      <c r="L344" s="5"/>
      <c r="M344" s="5"/>
      <c r="N344" s="5"/>
    </row>
    <row r="345" customFormat="false" ht="15" hidden="false" customHeight="false" outlineLevel="0" collapsed="false">
      <c r="A345" s="71" t="n">
        <f aca="false">A344+$F$3</f>
        <v>6780</v>
      </c>
      <c r="B345" s="71" t="n">
        <f aca="false">SUMPRODUCT(固有振動数!$Q$6:$Q$22*(1-($A345/固有振動数!$O$6:$O$22)^2)/((1-($A345/固有振動数!$O$6:$O$22)^2)^2+固有振動数!$P$6:$P$22^2))</f>
        <v>13.9442361977037</v>
      </c>
      <c r="C345" s="71" t="n">
        <f aca="false">-SUMPRODUCT(固有振動数!$Q$6:$Q$22*固有振動数!$P$6:$P$22/((1-($A345/固有振動数!$O$6:$O$22)^2)^2+固有振動数!$P$6:$P$22^2))</f>
        <v>-0.340564442314535</v>
      </c>
      <c r="D345" s="71" t="n">
        <f aca="false">SQRT(B345^2+C345^2)</f>
        <v>13.9483944336515</v>
      </c>
      <c r="E345" s="72" t="n">
        <f aca="false">20*LOG10(MAX(D345,0.000000000001)/$K$3)</f>
        <v>22.8904843977327</v>
      </c>
      <c r="F345" s="5"/>
      <c r="G345" s="5"/>
      <c r="H345" s="5"/>
      <c r="I345" s="5"/>
      <c r="J345" s="5"/>
      <c r="K345" s="5"/>
      <c r="L345" s="5"/>
      <c r="M345" s="5"/>
      <c r="N345" s="5"/>
    </row>
    <row r="346" customFormat="false" ht="15" hidden="false" customHeight="false" outlineLevel="0" collapsed="false">
      <c r="A346" s="71" t="n">
        <f aca="false">A345+$F$3</f>
        <v>6800</v>
      </c>
      <c r="B346" s="71" t="n">
        <f aca="false">SUMPRODUCT(固有振動数!$Q$6:$Q$22*(1-($A346/固有振動数!$O$6:$O$22)^2)/((1-($A346/固有振動数!$O$6:$O$22)^2)^2+固有振動数!$P$6:$P$22^2))</f>
        <v>14.0616157817677</v>
      </c>
      <c r="C346" s="71" t="n">
        <f aca="false">-SUMPRODUCT(固有振動数!$Q$6:$Q$22*固有振動数!$P$6:$P$22/((1-($A346/固有振動数!$O$6:$O$22)^2)^2+固有振動数!$P$6:$P$22^2))</f>
        <v>-0.338606629132637</v>
      </c>
      <c r="D346" s="71" t="n">
        <f aca="false">SQRT(B346^2+C346^2)</f>
        <v>14.065692049926</v>
      </c>
      <c r="E346" s="72" t="n">
        <f aca="false">20*LOG10(MAX(D346,0.000000000001)/$K$3)</f>
        <v>22.9632220973477</v>
      </c>
      <c r="F346" s="5"/>
      <c r="G346" s="5"/>
      <c r="H346" s="5"/>
      <c r="I346" s="5"/>
      <c r="J346" s="5"/>
      <c r="K346" s="5"/>
      <c r="L346" s="5"/>
      <c r="M346" s="5"/>
      <c r="N346" s="5"/>
    </row>
    <row r="347" customFormat="false" ht="15" hidden="false" customHeight="false" outlineLevel="0" collapsed="false">
      <c r="A347" s="71" t="n">
        <f aca="false">A346+$F$3</f>
        <v>6820</v>
      </c>
      <c r="B347" s="71" t="n">
        <f aca="false">SUMPRODUCT(固有振動数!$Q$6:$Q$22*(1-($A347/固有振動数!$O$6:$O$22)^2)/((1-($A347/固有振動数!$O$6:$O$22)^2)^2+固有振動数!$P$6:$P$22^2))</f>
        <v>14.1769155515805</v>
      </c>
      <c r="C347" s="71" t="n">
        <f aca="false">-SUMPRODUCT(固有振動数!$Q$6:$Q$22*固有振動数!$P$6:$P$22/((1-($A347/固有振動数!$O$6:$O$22)^2)^2+固有振動数!$P$6:$P$22^2))</f>
        <v>-0.336956358309484</v>
      </c>
      <c r="D347" s="71" t="n">
        <f aca="false">SQRT(B347^2+C347^2)</f>
        <v>14.1809193687874</v>
      </c>
      <c r="E347" s="72" t="n">
        <f aca="false">20*LOG10(MAX(D347,0.000000000001)/$K$3)</f>
        <v>23.0340877535391</v>
      </c>
      <c r="F347" s="5"/>
      <c r="G347" s="5"/>
      <c r="H347" s="5"/>
      <c r="I347" s="5"/>
      <c r="J347" s="5"/>
      <c r="K347" s="5"/>
      <c r="L347" s="5"/>
      <c r="M347" s="5"/>
      <c r="N347" s="5"/>
    </row>
    <row r="348" customFormat="false" ht="15" hidden="false" customHeight="false" outlineLevel="0" collapsed="false">
      <c r="A348" s="71" t="n">
        <f aca="false">A347+$F$3</f>
        <v>6840</v>
      </c>
      <c r="B348" s="71" t="n">
        <f aca="false">SUMPRODUCT(固有振動数!$Q$6:$Q$22*(1-($A348/固有振動数!$O$6:$O$22)^2)/((1-($A348/固有振動数!$O$6:$O$22)^2)^2+固有振動数!$P$6:$P$22^2))</f>
        <v>14.2903331610797</v>
      </c>
      <c r="C348" s="71" t="n">
        <f aca="false">-SUMPRODUCT(固有振動数!$Q$6:$Q$22*固有振動数!$P$6:$P$22/((1-($A348/固有振動数!$O$6:$O$22)^2)^2+固有振動数!$P$6:$P$22^2))</f>
        <v>-0.33559628780639</v>
      </c>
      <c r="D348" s="71" t="n">
        <f aca="false">SQRT(B348^2+C348^2)</f>
        <v>14.2942732142296</v>
      </c>
      <c r="E348" s="72" t="n">
        <f aca="false">20*LOG10(MAX(D348,0.000000000001)/$K$3)</f>
        <v>23.1032415750292</v>
      </c>
      <c r="F348" s="5"/>
      <c r="G348" s="5"/>
      <c r="H348" s="5"/>
      <c r="I348" s="5"/>
      <c r="J348" s="5"/>
      <c r="K348" s="5"/>
      <c r="L348" s="5"/>
      <c r="M348" s="5"/>
      <c r="N348" s="5"/>
    </row>
    <row r="349" customFormat="false" ht="15" hidden="false" customHeight="false" outlineLevel="0" collapsed="false">
      <c r="A349" s="71" t="n">
        <f aca="false">A348+$F$3</f>
        <v>6860</v>
      </c>
      <c r="B349" s="71" t="n">
        <f aca="false">SUMPRODUCT(固有振動数!$Q$6:$Q$22*(1-($A349/固有振動数!$O$6:$O$22)^2)/((1-($A349/固有振動数!$O$6:$O$22)^2)^2+固有振動数!$P$6:$P$22^2))</f>
        <v>14.4020540254183</v>
      </c>
      <c r="C349" s="71" t="n">
        <f aca="false">-SUMPRODUCT(固有振動数!$Q$6:$Q$22*固有振動数!$P$6:$P$22/((1-($A349/固有振動数!$O$6:$O$22)^2)^2+固有振動数!$P$6:$P$22^2))</f>
        <v>-0.334511229549486</v>
      </c>
      <c r="D349" s="71" t="n">
        <f aca="false">SQRT(B349^2+C349^2)</f>
        <v>14.4059382864762</v>
      </c>
      <c r="E349" s="72" t="n">
        <f aca="false">20*LOG10(MAX(D349,0.000000000001)/$K$3)</f>
        <v>23.1708309994559</v>
      </c>
      <c r="F349" s="5"/>
      <c r="G349" s="5"/>
      <c r="H349" s="5"/>
      <c r="I349" s="5"/>
      <c r="J349" s="5"/>
      <c r="K349" s="5"/>
      <c r="L349" s="5"/>
      <c r="M349" s="5"/>
      <c r="N349" s="5"/>
    </row>
    <row r="350" customFormat="false" ht="15" hidden="false" customHeight="false" outlineLevel="0" collapsed="false">
      <c r="A350" s="71" t="n">
        <f aca="false">A349+$F$3</f>
        <v>6880</v>
      </c>
      <c r="B350" s="71" t="n">
        <f aca="false">SUMPRODUCT(固有振動数!$Q$6:$Q$22*(1-($A350/固有振動数!$O$6:$O$22)^2)/((1-($A350/固有振動数!$O$6:$O$22)^2)^2+固有振動数!$P$6:$P$22^2))</f>
        <v>14.5122527041018</v>
      </c>
      <c r="C350" s="71" t="n">
        <f aca="false">-SUMPRODUCT(固有振動数!$Q$6:$Q$22*固有振動数!$P$6:$P$22/((1-($A350/固有振動数!$O$6:$O$22)^2)^2+固有振動数!$P$6:$P$22^2))</f>
        <v>-0.333687929925611</v>
      </c>
      <c r="D350" s="71" t="n">
        <f aca="false">SQRT(B350^2+C350^2)</f>
        <v>14.5160885290181</v>
      </c>
      <c r="E350" s="72" t="n">
        <f aca="false">20*LOG10(MAX(D350,0.000000000001)/$K$3)</f>
        <v>23.2369921632168</v>
      </c>
      <c r="F350" s="5"/>
      <c r="G350" s="5"/>
      <c r="H350" s="5"/>
      <c r="I350" s="5"/>
      <c r="J350" s="5"/>
      <c r="K350" s="5"/>
      <c r="L350" s="5"/>
      <c r="M350" s="5"/>
      <c r="N350" s="5"/>
    </row>
    <row r="351" customFormat="false" ht="15" hidden="false" customHeight="false" outlineLevel="0" collapsed="false">
      <c r="A351" s="71" t="n">
        <f aca="false">A350+$F$3</f>
        <v>6900</v>
      </c>
      <c r="B351" s="71" t="n">
        <f aca="false">SUMPRODUCT(固有振動数!$Q$6:$Q$22*(1-($A351/固有振動数!$O$6:$O$22)^2)/((1-($A351/固有振動数!$O$6:$O$22)^2)^2+固有振動数!$P$6:$P$22^2))</f>
        <v>14.6210941405537</v>
      </c>
      <c r="C351" s="71" t="n">
        <f aca="false">-SUMPRODUCT(固有振動数!$Q$6:$Q$22*固有振動数!$P$6:$P$22/((1-($A351/固有振動数!$O$6:$O$22)^2)^2+固有振動数!$P$6:$P$22^2))</f>
        <v>-0.333114882165467</v>
      </c>
      <c r="D351" s="71" t="n">
        <f aca="false">SQRT(B351^2+C351^2)</f>
        <v>14.6248883548441</v>
      </c>
      <c r="E351" s="72" t="n">
        <f aca="false">20*LOG10(MAX(D351,0.000000000001)/$K$3)</f>
        <v>23.3018511879935</v>
      </c>
      <c r="F351" s="5"/>
      <c r="G351" s="5"/>
      <c r="H351" s="5"/>
      <c r="I351" s="5"/>
      <c r="J351" s="5"/>
      <c r="K351" s="5"/>
      <c r="L351" s="5"/>
      <c r="M351" s="5"/>
      <c r="N351" s="5"/>
    </row>
    <row r="352" customFormat="false" ht="15" hidden="false" customHeight="false" outlineLevel="0" collapsed="false">
      <c r="A352" s="71" t="n">
        <f aca="false">A351+$F$3</f>
        <v>6920</v>
      </c>
      <c r="B352" s="71" t="n">
        <f aca="false">SUMPRODUCT(固有振動数!$Q$6:$Q$22*(1-($A352/固有振動数!$O$6:$O$22)^2)/((1-($A352/固有振動数!$O$6:$O$22)^2)^2+固有振動数!$P$6:$P$22^2))</f>
        <v>14.7287347781299</v>
      </c>
      <c r="C352" s="71" t="n">
        <f aca="false">-SUMPRODUCT(固有振動数!$Q$6:$Q$22*固有振動数!$P$6:$P$22/((1-($A352/固有振動数!$O$6:$O$22)^2)^2+固有振動数!$P$6:$P$22^2))</f>
        <v>-0.332782166126687</v>
      </c>
      <c r="D352" s="71" t="n">
        <f aca="false">SQRT(B352^2+C352^2)</f>
        <v>14.7324937513845</v>
      </c>
      <c r="E352" s="72" t="n">
        <f aca="false">20*LOG10(MAX(D352,0.000000000001)/$K$3)</f>
        <v>23.3655253113257</v>
      </c>
      <c r="F352" s="5"/>
      <c r="G352" s="5"/>
      <c r="H352" s="5"/>
      <c r="I352" s="5"/>
      <c r="J352" s="5"/>
      <c r="K352" s="5"/>
      <c r="L352" s="5"/>
      <c r="M352" s="5"/>
      <c r="N352" s="5"/>
    </row>
    <row r="353" customFormat="false" ht="15" hidden="false" customHeight="false" outlineLevel="0" collapsed="false">
      <c r="A353" s="71" t="n">
        <f aca="false">A352+$F$3</f>
        <v>6940</v>
      </c>
      <c r="B353" s="71" t="n">
        <f aca="false">SUMPRODUCT(固有振動数!$Q$6:$Q$22*(1-($A353/固有振動数!$O$6:$O$22)^2)/((1-($A353/固有振動数!$O$6:$O$22)^2)^2+固有振動数!$P$6:$P$22^2))</f>
        <v>14.8353235697942</v>
      </c>
      <c r="C353" s="71" t="n">
        <f aca="false">-SUMPRODUCT(固有振動数!$Q$6:$Q$22*固有振動数!$P$6:$P$22/((1-($A353/固有振動数!$O$6:$O$22)^2)^2+固有振動数!$P$6:$P$22^2))</f>
        <v>-0.332681311758126</v>
      </c>
      <c r="D353" s="71" t="n">
        <f aca="false">SQRT(B353^2+C353^2)</f>
        <v>14.8390532809774</v>
      </c>
      <c r="E353" s="72" t="n">
        <f aca="false">20*LOG10(MAX(D353,0.000000000001)/$K$3)</f>
        <v>23.4281238841394</v>
      </c>
      <c r="F353" s="5"/>
      <c r="G353" s="5"/>
      <c r="H353" s="5"/>
      <c r="I353" s="5"/>
      <c r="J353" s="5"/>
      <c r="K353" s="5"/>
      <c r="L353" s="5"/>
      <c r="M353" s="5"/>
      <c r="N353" s="5"/>
    </row>
    <row r="354" customFormat="false" ht="15" hidden="false" customHeight="false" outlineLevel="0" collapsed="false">
      <c r="A354" s="71" t="n">
        <f aca="false">A353+$F$3</f>
        <v>6960</v>
      </c>
      <c r="B354" s="71" t="n">
        <f aca="false">SUMPRODUCT(固有振動数!$Q$6:$Q$22*(1-($A354/固有振動数!$O$6:$O$22)^2)/((1-($A354/固有振動数!$O$6:$O$22)^2)^2+固有振動数!$P$6:$P$22^2))</f>
        <v>14.9410028963235</v>
      </c>
      <c r="C354" s="71" t="n">
        <f aca="false">-SUMPRODUCT(固有振動数!$Q$6:$Q$22*固有振動数!$P$6:$P$22/((1-($A354/固有振動数!$O$6:$O$22)^2)^2+固有振動数!$P$6:$P$22^2))</f>
        <v>-0.332805183161315</v>
      </c>
      <c r="D354" s="71" t="n">
        <f aca="false">SQRT(B354^2+C354^2)</f>
        <v>14.9447089914085</v>
      </c>
      <c r="E354" s="72" t="n">
        <f aca="false">20*LOG10(MAX(D354,0.000000000001)/$K$3)</f>
        <v>23.4897492544769</v>
      </c>
      <c r="F354" s="5"/>
      <c r="G354" s="5"/>
      <c r="H354" s="5"/>
      <c r="I354" s="5"/>
      <c r="J354" s="5"/>
      <c r="K354" s="5"/>
      <c r="L354" s="5"/>
      <c r="M354" s="5"/>
      <c r="N354" s="5"/>
    </row>
    <row r="355" customFormat="false" ht="15" hidden="false" customHeight="false" outlineLevel="0" collapsed="false">
      <c r="A355" s="71" t="n">
        <f aca="false">A354+$F$3</f>
        <v>6980</v>
      </c>
      <c r="B355" s="71" t="n">
        <f aca="false">SUMPRODUCT(固有振動数!$Q$6:$Q$22*(1-($A355/固有振動数!$O$6:$O$22)^2)/((1-($A355/固有振動数!$O$6:$O$22)^2)^2+固有振動数!$P$6:$P$22^2))</f>
        <v>15.0459094059587</v>
      </c>
      <c r="C355" s="71" t="n">
        <f aca="false">-SUMPRODUCT(固有振動数!$Q$6:$Q$22*固有振動数!$P$6:$P$22/((1-($A355/固有振動数!$O$6:$O$22)^2)^2+固有振動数!$P$6:$P$22^2))</f>
        <v>-0.333147880692142</v>
      </c>
      <c r="D355" s="71" t="n">
        <f aca="false">SQRT(B355^2+C355^2)</f>
        <v>15.0495972491867</v>
      </c>
      <c r="E355" s="72" t="n">
        <f aca="false">20*LOG10(MAX(D355,0.000000000001)/$K$3)</f>
        <v>23.5504975536853</v>
      </c>
      <c r="F355" s="5"/>
      <c r="G355" s="5"/>
      <c r="H355" s="5"/>
      <c r="I355" s="5"/>
      <c r="J355" s="5"/>
      <c r="K355" s="5"/>
      <c r="L355" s="5"/>
      <c r="M355" s="5"/>
      <c r="N355" s="5"/>
    </row>
    <row r="356" customFormat="false" ht="15" hidden="false" customHeight="false" outlineLevel="0" collapsed="false">
      <c r="A356" s="71" t="n">
        <f aca="false">A355+$F$3</f>
        <v>7000</v>
      </c>
      <c r="B356" s="71" t="n">
        <f aca="false">SUMPRODUCT(固有振動数!$Q$6:$Q$22*(1-($A356/固有振動数!$O$6:$O$22)^2)/((1-($A356/固有振動数!$O$6:$O$22)^2)^2+固有振動数!$P$6:$P$22^2))</f>
        <v>15.1501747867905</v>
      </c>
      <c r="C356" s="71" t="n">
        <f aca="false">-SUMPRODUCT(固有振動数!$Q$6:$Q$22*固有振動数!$P$6:$P$22/((1-($A356/固有振動数!$O$6:$O$22)^2)^2+固有振動数!$P$6:$P$22^2))</f>
        <v>-0.333704658986605</v>
      </c>
      <c r="D356" s="71" t="n">
        <f aca="false">SQRT(B356^2+C356^2)</f>
        <v>15.1538495066347</v>
      </c>
      <c r="E356" s="72" t="n">
        <f aca="false">20*LOG10(MAX(D356,0.000000000001)/$K$3)</f>
        <v>23.610459398848</v>
      </c>
      <c r="F356" s="5"/>
      <c r="G356" s="5"/>
      <c r="H356" s="5"/>
      <c r="I356" s="5"/>
      <c r="J356" s="5"/>
      <c r="K356" s="5"/>
      <c r="L356" s="5"/>
      <c r="M356" s="5"/>
      <c r="N356" s="5"/>
    </row>
    <row r="357" customFormat="false" ht="15" hidden="false" customHeight="false" outlineLevel="0" collapsed="false">
      <c r="A357" s="71" t="n">
        <f aca="false">A356+$F$3</f>
        <v>7020</v>
      </c>
      <c r="B357" s="71" t="n">
        <f aca="false">SUMPRODUCT(固有振動数!$Q$6:$Q$22*(1-($A357/固有振動数!$O$6:$O$22)^2)/((1-($A357/固有振動数!$O$6:$O$22)^2)^2+固有振動数!$P$6:$P$22^2))</f>
        <v>15.2539264818042</v>
      </c>
      <c r="C357" s="71" t="n">
        <f aca="false">-SUMPRODUCT(固有振動数!$Q$6:$Q$22*固有振動数!$P$6:$P$22/((1-($A357/固有振動数!$O$6:$O$22)^2)^2+固有振動数!$P$6:$P$22^2))</f>
        <v>-0.334471859165698</v>
      </c>
      <c r="D357" s="71" t="n">
        <f aca="false">SQRT(B357^2+C357^2)</f>
        <v>15.2575930125581</v>
      </c>
      <c r="E357" s="72" t="n">
        <f aca="false">20*LOG10(MAX(D357,0.000000000001)/$K$3)</f>
        <v>23.6697205232101</v>
      </c>
      <c r="F357" s="5"/>
      <c r="G357" s="5"/>
      <c r="H357" s="5"/>
      <c r="I357" s="5"/>
      <c r="J357" s="5"/>
      <c r="K357" s="5"/>
      <c r="L357" s="5"/>
      <c r="M357" s="5"/>
      <c r="N357" s="5"/>
    </row>
    <row r="358" customFormat="false" ht="15" hidden="false" customHeight="false" outlineLevel="0" collapsed="false">
      <c r="A358" s="71" t="n">
        <f aca="false">A357+$F$3</f>
        <v>7040</v>
      </c>
      <c r="B358" s="71" t="n">
        <f aca="false">SUMPRODUCT(固有振動数!$Q$6:$Q$22*(1-($A358/固有振動数!$O$6:$O$22)^2)/((1-($A358/固有振動数!$O$6:$O$22)^2)^2+固有振動数!$P$6:$P$22^2))</f>
        <v>15.3572883553813</v>
      </c>
      <c r="C358" s="71" t="n">
        <f aca="false">-SUMPRODUCT(固有振動数!$Q$6:$Q$22*固有振動数!$P$6:$P$22/((1-($A358/固有振動数!$O$6:$O$22)^2)^2+固有振動数!$P$6:$P$22^2))</f>
        <v>-0.335446853789921</v>
      </c>
      <c r="D358" s="71" t="n">
        <f aca="false">SQRT(B358^2+C358^2)</f>
        <v>15.3609514751544</v>
      </c>
      <c r="E358" s="72" t="n">
        <f aca="false">20*LOG10(MAX(D358,0.000000000001)/$K$3)</f>
        <v>23.7283623446537</v>
      </c>
      <c r="F358" s="5"/>
      <c r="G358" s="5"/>
      <c r="H358" s="5"/>
      <c r="I358" s="5"/>
      <c r="J358" s="5"/>
      <c r="K358" s="5"/>
      <c r="L358" s="5"/>
      <c r="M358" s="5"/>
      <c r="N358" s="5"/>
    </row>
    <row r="359" customFormat="false" ht="15" hidden="false" customHeight="false" outlineLevel="0" collapsed="false">
      <c r="A359" s="71" t="n">
        <f aca="false">A358+$F$3</f>
        <v>7060</v>
      </c>
      <c r="B359" s="71" t="n">
        <f aca="false">SUMPRODUCT(固有振動数!$Q$6:$Q$22*(1-($A359/固有振動数!$O$6:$O$22)^2)/((1-($A359/固有振動数!$O$6:$O$22)^2)^2+固有振動数!$P$6:$P$22^2))</f>
        <v>15.4603813191114</v>
      </c>
      <c r="C359" s="71" t="n">
        <f aca="false">-SUMPRODUCT(固有振動数!$Q$6:$Q$22*固有振動数!$P$6:$P$22/((1-($A359/固有振動数!$O$6:$O$22)^2)^2+固有振動数!$P$6:$P$22^2))</f>
        <v>-0.336628003404495</v>
      </c>
      <c r="D359" s="71" t="n">
        <f aca="false">SQRT(B359^2+C359^2)</f>
        <v>15.4640456849107</v>
      </c>
      <c r="E359" s="72" t="n">
        <f aca="false">20*LOG10(MAX(D359,0.000000000001)/$K$3)</f>
        <v>23.7864624808798</v>
      </c>
      <c r="F359" s="5"/>
      <c r="G359" s="5"/>
      <c r="H359" s="5"/>
      <c r="I359" s="5"/>
      <c r="J359" s="5"/>
      <c r="K359" s="5"/>
      <c r="L359" s="5"/>
      <c r="M359" s="5"/>
      <c r="N359" s="5"/>
    </row>
    <row r="360" customFormat="false" ht="15" hidden="false" customHeight="false" outlineLevel="0" collapsed="false">
      <c r="A360" s="71" t="n">
        <f aca="false">A359+$F$3</f>
        <v>7080</v>
      </c>
      <c r="B360" s="71" t="n">
        <f aca="false">SUMPRODUCT(固有振動数!$Q$6:$Q$22*(1-($A360/固有振動数!$O$6:$O$22)^2)/((1-($A360/固有振動数!$O$6:$O$22)^2)^2+固有振動数!$P$6:$P$22^2))</f>
        <v>15.5633239239976</v>
      </c>
      <c r="C360" s="71" t="n">
        <f aca="false">-SUMPRODUCT(固有振動数!$Q$6:$Q$22*固有振動数!$P$6:$P$22/((1-($A360/固有振動数!$O$6:$O$22)^2)^2+固有振動数!$P$6:$P$22^2))</f>
        <v>-0.338014623751266</v>
      </c>
      <c r="D360" s="71" t="n">
        <f aca="false">SQRT(B360^2+C360^2)</f>
        <v>15.5669941044874</v>
      </c>
      <c r="E360" s="72" t="n">
        <f aca="false">20*LOG10(MAX(D360,0.000000000001)/$K$3)</f>
        <v>23.8440952187831</v>
      </c>
      <c r="F360" s="5"/>
      <c r="G360" s="5"/>
      <c r="H360" s="5"/>
      <c r="I360" s="5"/>
      <c r="J360" s="5"/>
      <c r="K360" s="5"/>
      <c r="L360" s="5"/>
      <c r="M360" s="5"/>
      <c r="N360" s="5"/>
    </row>
    <row r="361" customFormat="false" ht="15" hidden="false" customHeight="false" outlineLevel="0" collapsed="false">
      <c r="A361" s="71" t="n">
        <f aca="false">A360+$F$3</f>
        <v>7100</v>
      </c>
      <c r="B361" s="71" t="n">
        <f aca="false">SUMPRODUCT(固有振動数!$Q$6:$Q$22*(1-($A361/固有振動数!$O$6:$O$22)^2)/((1-($A361/固有振動数!$O$6:$O$22)^2)^2+固有振動数!$P$6:$P$22^2))</f>
        <v>15.6662329255046</v>
      </c>
      <c r="C361" s="71" t="n">
        <f aca="false">-SUMPRODUCT(固有振動数!$Q$6:$Q$22*固有振動数!$P$6:$P$22/((1-($A361/固有振動数!$O$6:$O$22)^2)^2+固有振動数!$P$6:$P$22^2))</f>
        <v>-0.339606962929961</v>
      </c>
      <c r="D361" s="71" t="n">
        <f aca="false">SQRT(B361^2+C361^2)</f>
        <v>15.6699134319701</v>
      </c>
      <c r="E361" s="72" t="n">
        <f aca="false">20*LOG10(MAX(D361,0.000000000001)/$K$3)</f>
        <v>23.9013319445326</v>
      </c>
      <c r="F361" s="5"/>
      <c r="G361" s="5"/>
      <c r="H361" s="5"/>
      <c r="I361" s="5"/>
      <c r="J361" s="5"/>
      <c r="K361" s="5"/>
      <c r="L361" s="5"/>
      <c r="M361" s="5"/>
      <c r="N361" s="5"/>
    </row>
    <row r="362" customFormat="false" ht="15" hidden="false" customHeight="false" outlineLevel="0" collapsed="false">
      <c r="A362" s="71" t="n">
        <f aca="false">A361+$F$3</f>
        <v>7120</v>
      </c>
      <c r="B362" s="71" t="n">
        <f aca="false">SUMPRODUCT(固有振動数!$Q$6:$Q$22*(1-($A362/固有振動数!$O$6:$O$22)^2)/((1-($A362/固有振動数!$O$6:$O$22)^2)^2+固有振動数!$P$6:$P$22^2))</f>
        <v>15.769223827393</v>
      </c>
      <c r="C362" s="71" t="n">
        <f aca="false">-SUMPRODUCT(固有振動数!$Q$6:$Q$22*固有振動数!$P$6:$P$22/((1-($A362/固有振動数!$O$6:$O$22)^2)^2+固有振動数!$P$6:$P$22^2))</f>
        <v>-0.341406187976357</v>
      </c>
      <c r="D362" s="71" t="n">
        <f aca="false">SQRT(B362^2+C362^2)</f>
        <v>15.7729191433802</v>
      </c>
      <c r="E362" s="72" t="n">
        <f aca="false">20*LOG10(MAX(D362,0.000000000001)/$K$3)</f>
        <v>23.9582415400591</v>
      </c>
      <c r="F362" s="5"/>
      <c r="G362" s="5"/>
      <c r="H362" s="5"/>
      <c r="I362" s="5"/>
      <c r="J362" s="5"/>
      <c r="K362" s="5"/>
      <c r="L362" s="5"/>
      <c r="M362" s="5"/>
      <c r="N362" s="5"/>
    </row>
    <row r="363" customFormat="false" ht="15" hidden="false" customHeight="false" outlineLevel="0" collapsed="false">
      <c r="A363" s="71" t="n">
        <f aca="false">A362+$F$3</f>
        <v>7140</v>
      </c>
      <c r="B363" s="71" t="n">
        <f aca="false">SUMPRODUCT(固有振動数!$Q$6:$Q$22*(1-($A363/固有振動数!$O$6:$O$22)^2)/((1-($A363/固有振動数!$O$6:$O$22)^2)^2+固有振動数!$P$6:$P$22^2))</f>
        <v>15.8724114098859</v>
      </c>
      <c r="C363" s="71" t="n">
        <f aca="false">-SUMPRODUCT(固有振動数!$Q$6:$Q$22*固有振動数!$P$6:$P$22/((1-($A363/固有振動数!$O$6:$O$22)^2)^2+固有振動数!$P$6:$P$22^2))</f>
        <v>-0.343414380493329</v>
      </c>
      <c r="D363" s="71" t="n">
        <f aca="false">SQRT(B363^2+C363^2)</f>
        <v>15.8761260199522</v>
      </c>
      <c r="E363" s="72" t="n">
        <f aca="false">20*LOG10(MAX(D363,0.000000000001)/$K$3)</f>
        <v>24.014890750977</v>
      </c>
      <c r="F363" s="5"/>
      <c r="G363" s="5"/>
      <c r="H363" s="5"/>
      <c r="I363" s="5"/>
      <c r="J363" s="5"/>
      <c r="K363" s="5"/>
      <c r="L363" s="5"/>
      <c r="M363" s="5"/>
      <c r="N363" s="5"/>
    </row>
    <row r="364" customFormat="false" ht="15" hidden="false" customHeight="false" outlineLevel="0" collapsed="false">
      <c r="A364" s="71" t="n">
        <f aca="false">A363+$F$3</f>
        <v>7160</v>
      </c>
      <c r="B364" s="71" t="n">
        <f aca="false">SUMPRODUCT(固有振動数!$Q$6:$Q$22*(1-($A364/固有振動数!$O$6:$O$22)^2)/((1-($A364/固有振動数!$O$6:$O$22)^2)^2+固有振動数!$P$6:$P$22^2))</f>
        <v>15.9759102474167</v>
      </c>
      <c r="C364" s="71" t="n">
        <f aca="false">-SUMPRODUCT(固有振動数!$Q$6:$Q$22*固有振動数!$P$6:$P$22/((1-($A364/固有振動数!$O$6:$O$22)^2)^2+固有振動数!$P$6:$P$22^2))</f>
        <v>-0.345634541127433</v>
      </c>
      <c r="D364" s="71" t="n">
        <f aca="false">SQRT(B364^2+C364^2)</f>
        <v>15.9796486653974</v>
      </c>
      <c r="E364" s="72" t="n">
        <f aca="false">20*LOG10(MAX(D364,0.000000000001)/$K$3)</f>
        <v>24.0713445304023</v>
      </c>
      <c r="F364" s="5"/>
      <c r="G364" s="5"/>
      <c r="H364" s="5"/>
      <c r="I364" s="5"/>
      <c r="J364" s="5"/>
      <c r="K364" s="5"/>
      <c r="L364" s="5"/>
      <c r="M364" s="5"/>
      <c r="N364" s="5"/>
    </row>
    <row r="365" customFormat="false" ht="15" hidden="false" customHeight="false" outlineLevel="0" collapsed="false">
      <c r="A365" s="71" t="n">
        <f aca="false">A364+$F$3</f>
        <v>7180</v>
      </c>
      <c r="B365" s="71" t="n">
        <f aca="false">SUMPRODUCT(固有振動数!$Q$6:$Q$22*(1-($A365/固有振動数!$O$6:$O$22)^2)/((1-($A365/固有振動数!$O$6:$O$22)^2)^2+固有振動数!$P$6:$P$22^2))</f>
        <v>16.0798352210016</v>
      </c>
      <c r="C365" s="71" t="n">
        <f aca="false">-SUMPRODUCT(固有振動数!$Q$6:$Q$22*固有振動数!$P$6:$P$22/((1-($A365/固有振動数!$O$6:$O$22)^2)^2+固有振動数!$P$6:$P$22^2))</f>
        <v>-0.348070602832978</v>
      </c>
      <c r="D365" s="71" t="n">
        <f aca="false">SQRT(B365^2+C365^2)</f>
        <v>16.0836020181774</v>
      </c>
      <c r="E365" s="72" t="n">
        <f aca="false">20*LOG10(MAX(D365,0.000000000001)/$K$3)</f>
        <v>24.1276663626689</v>
      </c>
      <c r="F365" s="5"/>
      <c r="G365" s="5"/>
      <c r="H365" s="5"/>
      <c r="I365" s="5"/>
      <c r="J365" s="5"/>
      <c r="K365" s="5"/>
      <c r="L365" s="5"/>
      <c r="M365" s="5"/>
      <c r="N365" s="5"/>
    </row>
    <row r="366" customFormat="false" ht="15" hidden="false" customHeight="false" outlineLevel="0" collapsed="false">
      <c r="A366" s="71" t="n">
        <f aca="false">A365+$F$3</f>
        <v>7200</v>
      </c>
      <c r="B366" s="71" t="n">
        <f aca="false">SUMPRODUCT(固有振動数!$Q$6:$Q$22*(1-($A366/固有振動数!$O$6:$O$22)^2)/((1-($A366/固有振動数!$O$6:$O$22)^2)^2+固有振動数!$P$6:$P$22^2))</f>
        <v>16.184302030156</v>
      </c>
      <c r="C366" s="71" t="n">
        <f aca="false">-SUMPRODUCT(固有振動数!$Q$6:$Q$22*固有振動数!$P$6:$P$22/((1-($A366/固有振動数!$O$6:$O$22)^2)^2+固有振動数!$P$6:$P$22^2))</f>
        <v>-0.35072745301115</v>
      </c>
      <c r="D366" s="71" t="n">
        <f aca="false">SQRT(B366^2+C366^2)</f>
        <v>16.1881018637024</v>
      </c>
      <c r="E366" s="72" t="n">
        <f aca="false">20*LOG10(MAX(D366,0.000000000001)/$K$3)</f>
        <v>24.1839185705614</v>
      </c>
      <c r="F366" s="5"/>
      <c r="G366" s="5"/>
      <c r="H366" s="5"/>
      <c r="I366" s="5"/>
      <c r="J366" s="5"/>
      <c r="K366" s="5"/>
      <c r="L366" s="5"/>
      <c r="M366" s="5"/>
      <c r="N366" s="5"/>
    </row>
    <row r="367" customFormat="false" ht="15" hidden="false" customHeight="false" outlineLevel="0" collapsed="false">
      <c r="A367" s="71" t="n">
        <f aca="false">A366+$F$3</f>
        <v>7220</v>
      </c>
      <c r="B367" s="71" t="n">
        <f aca="false">SUMPRODUCT(固有振動数!$Q$6:$Q$22*(1-($A367/固有振動数!$O$6:$O$22)^2)/((1-($A367/固有振動数!$O$6:$O$22)^2)^2+固有振動数!$P$6:$P$22^2))</f>
        <v>16.2894277092386</v>
      </c>
      <c r="C367" s="71" t="n">
        <f aca="false">-SUMPRODUCT(固有振動数!$Q$6:$Q$22*固有振動数!$P$6:$P$22/((1-($A367/固有振動数!$O$6:$O$22)^2)^2+固有振動数!$P$6:$P$22^2))</f>
        <v>-0.353610964757616</v>
      </c>
      <c r="D367" s="71" t="n">
        <f aca="false">SQRT(B367^2+C367^2)</f>
        <v>16.2932653513318</v>
      </c>
      <c r="E367" s="72" t="n">
        <f aca="false">20*LOG10(MAX(D367,0.000000000001)/$K$3)</f>
        <v>24.2401626093764</v>
      </c>
      <c r="F367" s="5"/>
      <c r="G367" s="5"/>
      <c r="H367" s="5"/>
      <c r="I367" s="5"/>
      <c r="J367" s="5"/>
      <c r="K367" s="5"/>
      <c r="L367" s="5"/>
      <c r="M367" s="5"/>
      <c r="N367" s="5"/>
    </row>
    <row r="368" customFormat="false" ht="15" hidden="false" customHeight="false" outlineLevel="0" collapsed="false">
      <c r="A368" s="71" t="n">
        <f aca="false">A367+$F$3</f>
        <v>7240</v>
      </c>
      <c r="B368" s="71" t="n">
        <f aca="false">SUMPRODUCT(固有振動数!$Q$6:$Q$22*(1-($A368/固有振動数!$O$6:$O$22)^2)/((1-($A368/固有振動数!$O$6:$O$22)^2)^2+固有振動数!$P$6:$P$22^2))</f>
        <v>16.3953311531449</v>
      </c>
      <c r="C368" s="71" t="n">
        <f aca="false">-SUMPRODUCT(固有振動数!$Q$6:$Q$22*固有振動数!$P$6:$P$22/((1-($A368/固有振動数!$O$6:$O$22)^2)^2+固有振動数!$P$6:$P$22^2))</f>
        <v>-0.356728037601681</v>
      </c>
      <c r="D368" s="71" t="n">
        <f aca="false">SQRT(B368^2+C368^2)</f>
        <v>16.3992115211096</v>
      </c>
      <c r="E368" s="72" t="n">
        <f aca="false">20*LOG10(MAX(D368,0.000000000001)/$K$3)</f>
        <v>24.2964593508769</v>
      </c>
      <c r="F368" s="5"/>
      <c r="G368" s="5"/>
      <c r="H368" s="5"/>
      <c r="I368" s="5"/>
      <c r="J368" s="5"/>
      <c r="K368" s="5"/>
      <c r="L368" s="5"/>
      <c r="M368" s="5"/>
      <c r="N368" s="5"/>
    </row>
    <row r="369" customFormat="false" ht="15" hidden="false" customHeight="false" outlineLevel="0" collapsed="false">
      <c r="A369" s="71" t="n">
        <f aca="false">A368+$F$3</f>
        <v>7260</v>
      </c>
      <c r="B369" s="71" t="n">
        <f aca="false">SUMPRODUCT(固有振動数!$Q$6:$Q$22*(1-($A369/固有振動数!$O$6:$O$22)^2)/((1-($A369/固有振動数!$O$6:$O$22)^2)^2+固有振動数!$P$6:$P$22^2))</f>
        <v>16.5021336573911</v>
      </c>
      <c r="C369" s="71" t="n">
        <f aca="false">-SUMPRODUCT(固有振動数!$Q$6:$Q$22*固有振動数!$P$6:$P$22/((1-($A369/固有振動数!$O$6:$O$22)^2)^2+固有振動数!$P$6:$P$22^2))</f>
        <v>-0.360086648277337</v>
      </c>
      <c r="D369" s="71" t="n">
        <f aca="false">SQRT(B369^2+C369^2)</f>
        <v>16.5060618452939</v>
      </c>
      <c r="E369" s="72" t="n">
        <f aca="false">20*LOG10(MAX(D369,0.000000000001)/$K$3)</f>
        <v>24.3528693600195</v>
      </c>
      <c r="F369" s="5"/>
      <c r="G369" s="5"/>
      <c r="H369" s="5"/>
      <c r="I369" s="5"/>
      <c r="J369" s="5"/>
      <c r="K369" s="5"/>
      <c r="L369" s="5"/>
      <c r="M369" s="5"/>
      <c r="N369" s="5"/>
    </row>
    <row r="370" customFormat="false" ht="15" hidden="false" customHeight="false" outlineLevel="0" collapsed="false">
      <c r="A370" s="71" t="n">
        <f aca="false">A369+$F$3</f>
        <v>7280</v>
      </c>
      <c r="B370" s="71" t="n">
        <f aca="false">SUMPRODUCT(固有振動数!$Q$6:$Q$22*(1-($A370/固有振動数!$O$6:$O$22)^2)/((1-($A370/固有振動数!$O$6:$O$22)^2)^2+固有振動数!$P$6:$P$22^2))</f>
        <v>16.6099594778382</v>
      </c>
      <c r="C370" s="71" t="n">
        <f aca="false">-SUMPRODUCT(固有振動数!$Q$6:$Q$22*固有振動数!$P$6:$P$22/((1-($A370/固有振動数!$O$6:$O$22)^2)^2+固有振動数!$P$6:$P$22^2))</f>
        <v>-0.363695912235373</v>
      </c>
      <c r="D370" s="71" t="n">
        <f aca="false">SQRT(B370^2+C370^2)</f>
        <v>16.6139407899512</v>
      </c>
      <c r="E370" s="72" t="n">
        <f aca="false">20*LOG10(MAX(D370,0.000000000001)/$K$3)</f>
        <v>24.4094531671934</v>
      </c>
      <c r="F370" s="5"/>
      <c r="G370" s="5"/>
      <c r="H370" s="5"/>
      <c r="I370" s="5"/>
      <c r="J370" s="5"/>
      <c r="K370" s="5"/>
      <c r="L370" s="5"/>
      <c r="M370" s="5"/>
      <c r="N370" s="5"/>
    </row>
    <row r="371" customFormat="false" ht="15" hidden="false" customHeight="false" outlineLevel="0" collapsed="false">
      <c r="A371" s="71" t="n">
        <f aca="false">A370+$F$3</f>
        <v>7300</v>
      </c>
      <c r="B371" s="71" t="n">
        <f aca="false">SUMPRODUCT(固有振動数!$Q$6:$Q$22*(1-($A371/固有振動数!$O$6:$O$22)^2)/((1-($A371/固有振動数!$O$6:$O$22)^2)^2+固有振動数!$P$6:$P$22^2))</f>
        <v>16.7189364155927</v>
      </c>
      <c r="C371" s="71" t="n">
        <f aca="false">-SUMPRODUCT(固有振動数!$Q$6:$Q$22*固有振動数!$P$6:$P$22/((1-($A371/固有振動数!$O$6:$O$22)^2)^2+固有振動数!$P$6:$P$22^2))</f>
        <v>-0.367566156790526</v>
      </c>
      <c r="D371" s="71" t="n">
        <f aca="false">SQRT(B371^2+C371^2)</f>
        <v>16.7229764021914</v>
      </c>
      <c r="E371" s="72" t="n">
        <f aca="false">20*LOG10(MAX(D371,0.000000000001)/$K$3)</f>
        <v>24.4662715386238</v>
      </c>
      <c r="F371" s="5"/>
      <c r="G371" s="5"/>
      <c r="H371" s="5"/>
      <c r="I371" s="5"/>
      <c r="J371" s="5"/>
      <c r="K371" s="5"/>
      <c r="L371" s="5"/>
      <c r="M371" s="5"/>
      <c r="N371" s="5"/>
    </row>
    <row r="372" customFormat="false" ht="15" hidden="false" customHeight="false" outlineLevel="0" collapsed="false">
      <c r="A372" s="71" t="n">
        <f aca="false">A371+$F$3</f>
        <v>7320</v>
      </c>
      <c r="B372" s="71" t="n">
        <f aca="false">SUMPRODUCT(固有振動数!$Q$6:$Q$22*(1-($A372/固有振動数!$O$6:$O$22)^2)/((1-($A372/固有振動数!$O$6:$O$22)^2)^2+固有振動数!$P$6:$P$22^2))</f>
        <v>16.8291964330086</v>
      </c>
      <c r="C372" s="71" t="n">
        <f aca="false">-SUMPRODUCT(固有振動数!$Q$6:$Q$22*固有振動数!$P$6:$P$22/((1-($A372/固有振動数!$O$6:$O$22)^2)^2+固有振動数!$P$6:$P$22^2))</f>
        <v>-0.371709007003216</v>
      </c>
      <c r="D372" s="71" t="n">
        <f aca="false">SQRT(B372^2+C372^2)</f>
        <v>16.833300929012</v>
      </c>
      <c r="E372" s="72" t="n">
        <f aca="false">20*LOG10(MAX(D372,0.000000000001)/$K$3)</f>
        <v>24.5233857475465</v>
      </c>
      <c r="F372" s="5"/>
      <c r="G372" s="5"/>
      <c r="H372" s="5"/>
      <c r="I372" s="5"/>
      <c r="J372" s="5"/>
      <c r="K372" s="5"/>
      <c r="L372" s="5"/>
      <c r="M372" s="5"/>
      <c r="N372" s="5"/>
    </row>
    <row r="373" customFormat="false" ht="15" hidden="false" customHeight="false" outlineLevel="0" collapsed="false">
      <c r="A373" s="71" t="n">
        <f aca="false">A372+$F$3</f>
        <v>7340</v>
      </c>
      <c r="B373" s="71" t="n">
        <f aca="false">SUMPRODUCT(固有振動数!$Q$6:$Q$22*(1-($A373/固有振動数!$O$6:$O$22)^2)/((1-($A373/固有振動数!$O$6:$O$22)^2)^2+固有振動数!$P$6:$P$22^2))</f>
        <v>16.940876307205</v>
      </c>
      <c r="C373" s="71" t="n">
        <f aca="false">-SUMPRODUCT(固有振動数!$Q$6:$Q$22*固有振動数!$P$6:$P$22/((1-($A373/固有振動数!$O$6:$O$22)^2)^2+固有振動数!$P$6:$P$22^2))</f>
        <v>-0.37613748562747</v>
      </c>
      <c r="D373" s="71" t="n">
        <f aca="false">SQRT(B373^2+C373^2)</f>
        <v>16.9450514742244</v>
      </c>
      <c r="E373" s="72" t="n">
        <f aca="false">20*LOG10(MAX(D373,0.000000000001)/$K$3)</f>
        <v>24.5808578487588</v>
      </c>
      <c r="F373" s="5"/>
      <c r="G373" s="5"/>
      <c r="H373" s="5"/>
      <c r="I373" s="5"/>
      <c r="J373" s="5"/>
      <c r="K373" s="5"/>
      <c r="L373" s="5"/>
      <c r="M373" s="5"/>
      <c r="N373" s="5"/>
    </row>
    <row r="374" customFormat="false" ht="15" hidden="false" customHeight="false" outlineLevel="0" collapsed="false">
      <c r="A374" s="71" t="n">
        <f aca="false">A373+$F$3</f>
        <v>7360</v>
      </c>
      <c r="B374" s="71" t="n">
        <f aca="false">SUMPRODUCT(固有振動数!$Q$6:$Q$22*(1-($A374/固有振動数!$O$6:$O$22)^2)/((1-($A374/固有振動数!$O$6:$O$22)^2)^2+固有振動数!$P$6:$P$22^2))</f>
        <v>17.0541183281181</v>
      </c>
      <c r="C374" s="71" t="n">
        <f aca="false">-SUMPRODUCT(固有振動数!$Q$6:$Q$22*固有振動数!$P$6:$P$22/((1-($A374/固有振動数!$O$6:$O$22)^2)^2+固有振動数!$P$6:$P$22^2))</f>
        <v>-0.3808661287215</v>
      </c>
      <c r="D374" s="71" t="n">
        <f aca="false">SQRT(B374^2+C374^2)</f>
        <v>17.0583707005523</v>
      </c>
      <c r="E374" s="72" t="n">
        <f aca="false">20*LOG10(MAX(D374,0.000000000001)/$K$3)</f>
        <v>24.6387509591966</v>
      </c>
      <c r="F374" s="5"/>
      <c r="G374" s="5"/>
      <c r="H374" s="5"/>
      <c r="I374" s="5"/>
      <c r="J374" s="5"/>
      <c r="K374" s="5"/>
      <c r="L374" s="5"/>
      <c r="M374" s="5"/>
      <c r="N374" s="5"/>
    </row>
    <row r="375" customFormat="false" ht="15" hidden="false" customHeight="false" outlineLevel="0" collapsed="false">
      <c r="A375" s="71" t="n">
        <f aca="false">A374+$F$3</f>
        <v>7380</v>
      </c>
      <c r="B375" s="71" t="n">
        <f aca="false">SUMPRODUCT(固有振動数!$Q$6:$Q$22*(1-($A375/固有振動数!$O$6:$O$22)^2)/((1-($A375/固有振動数!$O$6:$O$22)^2)^2+固有振動数!$P$6:$P$22^2))</f>
        <v>17.1690710488429</v>
      </c>
      <c r="C375" s="71" t="n">
        <f aca="false">-SUMPRODUCT(固有振動数!$Q$6:$Q$22*固有振動数!$P$6:$P$22/((1-($A375/固有振動数!$O$6:$O$22)^2)^2+固有振動数!$P$6:$P$22^2))</f>
        <v>-0.385911118822977</v>
      </c>
      <c r="D375" s="71" t="n">
        <f aca="false">SQRT(B375^2+C375^2)</f>
        <v>17.1734075847471</v>
      </c>
      <c r="E375" s="72" t="n">
        <f aca="false">20*LOG10(MAX(D375,0.000000000001)/$K$3)</f>
        <v>24.6971295472725</v>
      </c>
      <c r="F375" s="5"/>
      <c r="G375" s="5"/>
      <c r="H375" s="5"/>
      <c r="I375" s="5"/>
      <c r="J375" s="5"/>
      <c r="K375" s="5"/>
      <c r="L375" s="5"/>
      <c r="M375" s="5"/>
      <c r="N375" s="5"/>
    </row>
    <row r="376" customFormat="false" ht="15" hidden="false" customHeight="false" outlineLevel="0" collapsed="false">
      <c r="A376" s="71" t="n">
        <f aca="false">A375+$F$3</f>
        <v>7400</v>
      </c>
      <c r="B376" s="71" t="n">
        <f aca="false">SUMPRODUCT(固有振動数!$Q$6:$Q$22*(1-($A376/固有振動数!$O$6:$O$22)^2)/((1-($A376/固有振動数!$O$6:$O$22)^2)^2+固有振動数!$P$6:$P$22^2))</f>
        <v>17.2858900969068</v>
      </c>
      <c r="C376" s="71" t="n">
        <f aca="false">-SUMPRODUCT(固有振動数!$Q$6:$Q$22*固有振動数!$P$6:$P$22/((1-($A376/固有振動数!$O$6:$O$22)^2)^2+固有振動数!$P$6:$P$22^2))</f>
        <v>-0.391290437946369</v>
      </c>
      <c r="D376" s="71" t="n">
        <f aca="false">SQRT(B376^2+C376^2)</f>
        <v>17.2903182344678</v>
      </c>
      <c r="E376" s="72" t="n">
        <f aca="false">20*LOG10(MAX(D376,0.000000000001)/$K$3)</f>
        <v>24.7560597338433</v>
      </c>
      <c r="F376" s="5"/>
      <c r="G376" s="5"/>
      <c r="H376" s="5"/>
      <c r="I376" s="5"/>
      <c r="J376" s="5"/>
      <c r="K376" s="5"/>
      <c r="L376" s="5"/>
      <c r="M376" s="5"/>
      <c r="N376" s="5"/>
    </row>
    <row r="377" customFormat="false" ht="15" hidden="false" customHeight="false" outlineLevel="0" collapsed="false">
      <c r="A377" s="71" t="n">
        <f aca="false">A376+$F$3</f>
        <v>7420</v>
      </c>
      <c r="B377" s="71" t="n">
        <f aca="false">SUMPRODUCT(固有振動数!$Q$6:$Q$22*(1-($A377/固有振動数!$O$6:$O$22)^2)/((1-($A377/固有振動数!$O$6:$O$22)^2)^2+固有振動数!$P$6:$P$22^2))</f>
        <v>17.4047390561761</v>
      </c>
      <c r="C377" s="71" t="n">
        <f aca="false">-SUMPRODUCT(固有振動数!$Q$6:$Q$22*固有振動数!$P$6:$P$22/((1-($A377/固有振動数!$O$6:$O$22)^2)^2+固有振動数!$P$6:$P$22^2))</f>
        <v>-0.39702404307598</v>
      </c>
      <c r="D377" s="71" t="n">
        <f aca="false">SQRT(B377^2+C377^2)</f>
        <v>17.4092667767589</v>
      </c>
      <c r="E377" s="72" t="n">
        <f aca="false">20*LOG10(MAX(D377,0.000000000001)/$K$3)</f>
        <v>24.815609607857</v>
      </c>
      <c r="F377" s="5"/>
      <c r="G377" s="5"/>
      <c r="H377" s="5"/>
      <c r="I377" s="5"/>
      <c r="J377" s="5"/>
      <c r="K377" s="5"/>
      <c r="L377" s="5"/>
      <c r="M377" s="5"/>
      <c r="N377" s="5"/>
    </row>
    <row r="378" customFormat="false" ht="15" hidden="false" customHeight="false" outlineLevel="0" collapsed="false">
      <c r="A378" s="71" t="n">
        <f aca="false">A377+$F$3</f>
        <v>7440</v>
      </c>
      <c r="B378" s="71" t="n">
        <f aca="false">SUMPRODUCT(固有振動数!$Q$6:$Q$22*(1-($A378/固有振動数!$O$6:$O$22)^2)/((1-($A378/固有振動数!$O$6:$O$22)^2)^2+固有振動数!$P$6:$P$22^2))</f>
        <v>17.5257904303591</v>
      </c>
      <c r="C378" s="71" t="n">
        <f aca="false">-SUMPRODUCT(固有振動数!$Q$6:$Q$22*固有振動数!$P$6:$P$22/((1-($A378/固有振動数!$O$6:$O$22)^2)^2+固有振動数!$P$6:$P$22^2))</f>
        <v>-0.403134067319015</v>
      </c>
      <c r="D378" s="71" t="n">
        <f aca="false">SQRT(B378^2+C378^2)</f>
        <v>17.5304263292454</v>
      </c>
      <c r="E378" s="72" t="n">
        <f aca="false">20*LOG10(MAX(D378,0.000000000001)/$K$3)</f>
        <v>24.8758495599676</v>
      </c>
      <c r="F378" s="5"/>
      <c r="G378" s="5"/>
      <c r="H378" s="5"/>
      <c r="I378" s="5"/>
      <c r="J378" s="5"/>
      <c r="K378" s="5"/>
      <c r="L378" s="5"/>
      <c r="M378" s="5"/>
      <c r="N378" s="5"/>
    </row>
    <row r="379" customFormat="false" ht="15" hidden="false" customHeight="false" outlineLevel="0" collapsed="false">
      <c r="A379" s="71" t="n">
        <f aca="false">A378+$F$3</f>
        <v>7460</v>
      </c>
      <c r="B379" s="71" t="n">
        <f aca="false">SUMPRODUCT(固有振動数!$Q$6:$Q$22*(1-($A379/固有振動数!$O$6:$O$22)^2)/((1-($A379/固有振動数!$O$6:$O$22)^2)^2+固有振動数!$P$6:$P$22^2))</f>
        <v>17.6492267005713</v>
      </c>
      <c r="C379" s="71" t="n">
        <f aca="false">-SUMPRODUCT(固有振動数!$Q$6:$Q$22*固有振動数!$P$6:$P$22/((1-($A379/固有振動数!$O$6:$O$22)^2)^2+固有振動数!$P$6:$P$22^2))</f>
        <v>-0.409645050464618</v>
      </c>
      <c r="D379" s="71" t="n">
        <f aca="false">SQRT(B379^2+C379^2)</f>
        <v>17.6539800667025</v>
      </c>
      <c r="E379" s="72" t="n">
        <f aca="false">20*LOG10(MAX(D379,0.000000000001)/$K$3)</f>
        <v>24.9368526377011</v>
      </c>
      <c r="F379" s="5"/>
      <c r="G379" s="5"/>
      <c r="H379" s="5"/>
      <c r="I379" s="5"/>
      <c r="J379" s="5"/>
      <c r="K379" s="5"/>
      <c r="L379" s="5"/>
      <c r="M379" s="5"/>
      <c r="N379" s="5"/>
    </row>
    <row r="380" customFormat="false" ht="15" hidden="false" customHeight="false" outlineLevel="0" collapsed="false">
      <c r="A380" s="71" t="n">
        <f aca="false">A379+$F$3</f>
        <v>7480</v>
      </c>
      <c r="B380" s="71" t="n">
        <f aca="false">SUMPRODUCT(固有振動数!$Q$6:$Q$22*(1-($A380/固有振動数!$O$6:$O$22)^2)/((1-($A380/固有振動数!$O$6:$O$22)^2)^2+固有振動数!$P$6:$P$22^2))</f>
        <v>17.7752414912052</v>
      </c>
      <c r="C380" s="71" t="n">
        <f aca="false">-SUMPRODUCT(固有振動数!$Q$6:$Q$22*固有振動数!$P$6:$P$22/((1-($A380/固有振動数!$O$6:$O$22)^2)^2+固有振動数!$P$6:$P$22^2))</f>
        <v>-0.416584203387755</v>
      </c>
      <c r="D380" s="71" t="n">
        <f aca="false">SQRT(B380^2+C380^2)</f>
        <v>17.7801223974746</v>
      </c>
      <c r="E380" s="72" t="n">
        <f aca="false">20*LOG10(MAX(D380,0.000000000001)/$K$3)</f>
        <v>24.9986949261202</v>
      </c>
      <c r="F380" s="5"/>
      <c r="G380" s="5"/>
      <c r="H380" s="5"/>
      <c r="I380" s="5"/>
      <c r="J380" s="5"/>
      <c r="K380" s="5"/>
      <c r="L380" s="5"/>
      <c r="M380" s="5"/>
      <c r="N380" s="5"/>
    </row>
    <row r="381" customFormat="false" ht="15" hidden="false" customHeight="false" outlineLevel="0" collapsed="false">
      <c r="A381" s="71" t="n">
        <f aca="false">A380+$F$3</f>
        <v>7500</v>
      </c>
      <c r="B381" s="71" t="n">
        <f aca="false">SUMPRODUCT(固有振動数!$Q$6:$Q$22*(1-($A381/固有振動数!$O$6:$O$22)^2)/((1-($A381/固有振動数!$O$6:$O$22)^2)^2+固有振動数!$P$6:$P$22^2))</f>
        <v>17.9040408604683</v>
      </c>
      <c r="C381" s="71" t="n">
        <f aca="false">-SUMPRODUCT(固有振動数!$Q$6:$Q$22*固有振動数!$P$6:$P$22/((1-($A381/固有振動数!$O$6:$O$22)^2)^2+固有振動数!$P$6:$P$22^2))</f>
        <v>-0.423981711566222</v>
      </c>
      <c r="D381" s="71" t="n">
        <f aca="false">SQRT(B381^2+C381^2)</f>
        <v>17.9090602663864</v>
      </c>
      <c r="E381" s="72" t="n">
        <f aca="false">20*LOG10(MAX(D381,0.000000000001)/$K$3)</f>
        <v>25.0614559583762</v>
      </c>
      <c r="F381" s="5"/>
      <c r="G381" s="5"/>
      <c r="H381" s="5"/>
      <c r="I381" s="5"/>
      <c r="J381" s="5"/>
      <c r="K381" s="5"/>
      <c r="L381" s="5"/>
      <c r="M381" s="5"/>
      <c r="N381" s="5"/>
    </row>
    <row r="382" customFormat="false" ht="15" hidden="false" customHeight="false" outlineLevel="0" collapsed="false">
      <c r="A382" s="71" t="n">
        <f aca="false">A381+$F$3</f>
        <v>7520</v>
      </c>
      <c r="B382" s="71" t="n">
        <f aca="false">SUMPRODUCT(固有振動数!$Q$6:$Q$22*(1-($A382/固有振動数!$O$6:$O$22)^2)/((1-($A382/固有振動数!$O$6:$O$22)^2)^2+固有振動数!$P$6:$P$22^2))</f>
        <v>18.0358447344625</v>
      </c>
      <c r="C382" s="71" t="n">
        <f aca="false">-SUMPRODUCT(固有振動数!$Q$6:$Q$22*固有振動数!$P$6:$P$22/((1-($A382/固有振動数!$O$6:$O$22)^2)^2+固有振動数!$P$6:$P$22^2))</f>
        <v>-0.4318710839762</v>
      </c>
      <c r="D382" s="71" t="n">
        <f aca="false">SQRT(B382^2+C382^2)</f>
        <v>18.0410146033646</v>
      </c>
      <c r="E382" s="72" t="n">
        <f aca="false">20*LOG10(MAX(D382,0.000000000001)/$K$3)</f>
        <v>25.1252191610718</v>
      </c>
      <c r="F382" s="5"/>
      <c r="G382" s="5"/>
      <c r="H382" s="5"/>
      <c r="I382" s="5"/>
      <c r="J382" s="5"/>
      <c r="K382" s="5"/>
      <c r="L382" s="5"/>
      <c r="M382" s="5"/>
      <c r="N382" s="5"/>
    </row>
    <row r="383" customFormat="false" ht="15" hidden="false" customHeight="false" outlineLevel="0" collapsed="false">
      <c r="A383" s="71" t="n">
        <f aca="false">A382+$F$3</f>
        <v>7540</v>
      </c>
      <c r="B383" s="71" t="n">
        <f aca="false">SUMPRODUCT(固有振動数!$Q$6:$Q$22*(1-($A383/固有振動数!$O$6:$O$22)^2)/((1-($A383/固有振動数!$O$6:$O$22)^2)^2+固有振動数!$P$6:$P$22^2))</f>
        <v>18.1708885066779</v>
      </c>
      <c r="C383" s="71" t="n">
        <f aca="false">-SUMPRODUCT(固有振動数!$Q$6:$Q$22*固有振動数!$P$6:$P$22/((1-($A383/固有振動数!$O$6:$O$22)^2)^2+固有振動数!$P$6:$P$22^2))</f>
        <v>-0.440289554835958</v>
      </c>
      <c r="D383" s="71" t="n">
        <f aca="false">SQRT(B383^2+C383^2)</f>
        <v>18.1762219400572</v>
      </c>
      <c r="E383" s="72" t="n">
        <f aca="false">20*LOG10(MAX(D383,0.000000000001)/$K$3)</f>
        <v>25.1900723399865</v>
      </c>
      <c r="F383" s="5"/>
      <c r="G383" s="5"/>
      <c r="H383" s="5"/>
      <c r="I383" s="5"/>
      <c r="J383" s="5"/>
      <c r="K383" s="5"/>
      <c r="L383" s="5"/>
      <c r="M383" s="5"/>
      <c r="N383" s="5"/>
    </row>
    <row r="384" customFormat="false" ht="15" hidden="false" customHeight="false" outlineLevel="0" collapsed="false">
      <c r="A384" s="71" t="n">
        <f aca="false">A383+$F$3</f>
        <v>7560</v>
      </c>
      <c r="B384" s="71" t="n">
        <f aca="false">SUMPRODUCT(固有振動数!$Q$6:$Q$22*(1-($A384/固有振動数!$O$6:$O$22)^2)/((1-($A384/固有振動数!$O$6:$O$22)^2)^2+固有振動数!$P$6:$P$22^2))</f>
        <v>18.3094248283417</v>
      </c>
      <c r="C384" s="71" t="n">
        <f aca="false">-SUMPRODUCT(固有振動数!$Q$6:$Q$22*固有振動数!$P$6:$P$22/((1-($A384/固有振動数!$O$6:$O$22)^2)^2+固有振動数!$P$6:$P$22^2))</f>
        <v>-0.449278547127465</v>
      </c>
      <c r="D384" s="71" t="n">
        <f aca="false">SQRT(B384^2+C384^2)</f>
        <v>18.3149362204078</v>
      </c>
      <c r="E384" s="72" t="n">
        <f aca="false">20*LOG10(MAX(D384,0.000000000001)/$K$3)</f>
        <v>25.2561082124839</v>
      </c>
      <c r="F384" s="5"/>
      <c r="G384" s="5"/>
      <c r="H384" s="5"/>
      <c r="I384" s="5"/>
      <c r="J384" s="5"/>
      <c r="K384" s="5"/>
      <c r="L384" s="5"/>
      <c r="M384" s="5"/>
      <c r="N384" s="5"/>
    </row>
    <row r="385" customFormat="false" ht="15" hidden="false" customHeight="false" outlineLevel="0" collapsed="false">
      <c r="A385" s="71" t="n">
        <f aca="false">A384+$F$3</f>
        <v>7580</v>
      </c>
      <c r="B385" s="71" t="n">
        <f aca="false">SUMPRODUCT(固有振動数!$Q$6:$Q$22*(1-($A385/固有振動数!$O$6:$O$22)^2)/((1-($A385/固有振動数!$O$6:$O$22)^2)^2+固有振動数!$P$6:$P$22^2))</f>
        <v>18.4517256193414</v>
      </c>
      <c r="C385" s="71" t="n">
        <f aca="false">-SUMPRODUCT(固有振動数!$Q$6:$Q$22*固有振動数!$P$6:$P$22/((1-($A385/固有振動数!$O$6:$O$22)^2)^2+固有振動数!$P$6:$P$22^2))</f>
        <v>-0.458884208604105</v>
      </c>
      <c r="D385" s="71" t="n">
        <f aca="false">SQRT(B385^2+C385^2)</f>
        <v>18.4574308355298</v>
      </c>
      <c r="E385" s="72" t="n">
        <f aca="false">20*LOG10(MAX(D385,0.000000000001)/$K$3)</f>
        <v>25.3234249938158</v>
      </c>
      <c r="F385" s="5"/>
      <c r="G385" s="5"/>
      <c r="H385" s="5"/>
      <c r="I385" s="5"/>
      <c r="J385" s="5"/>
      <c r="K385" s="5"/>
      <c r="L385" s="5"/>
      <c r="M385" s="5"/>
      <c r="N385" s="5"/>
    </row>
    <row r="386" customFormat="false" ht="15" hidden="false" customHeight="false" outlineLevel="0" collapsed="false">
      <c r="A386" s="71" t="n">
        <f aca="false">A385+$F$3</f>
        <v>7600</v>
      </c>
      <c r="B386" s="71" t="n">
        <f aca="false">SUMPRODUCT(固有振動数!$Q$6:$Q$22*(1-($A386/固有振動数!$O$6:$O$22)^2)/((1-($A386/固有振動数!$O$6:$O$22)^2)^2+固有振動数!$P$6:$P$22^2))</f>
        <v>18.5980843345635</v>
      </c>
      <c r="C386" s="71" t="n">
        <f aca="false">-SUMPRODUCT(固有振動数!$Q$6:$Q$22*固有振動数!$P$6:$P$22/((1-($A386/固有振動数!$O$6:$O$22)^2)^2+固有振動数!$P$6:$P$22^2))</f>
        <v>-0.469158033167806</v>
      </c>
      <c r="D386" s="71" t="n">
        <f aca="false">SQRT(B386^2+C386^2)</f>
        <v>18.6040009185019</v>
      </c>
      <c r="E386" s="72" t="n">
        <f aca="false">20*LOG10(MAX(D386,0.000000000001)/$K$3)</f>
        <v>25.3921270456224</v>
      </c>
      <c r="F386" s="5"/>
      <c r="G386" s="5"/>
      <c r="H386" s="5"/>
      <c r="I386" s="5"/>
      <c r="J386" s="5"/>
      <c r="K386" s="5"/>
      <c r="L386" s="5"/>
      <c r="M386" s="5"/>
      <c r="N386" s="5"/>
    </row>
    <row r="387" customFormat="false" ht="15" hidden="false" customHeight="false" outlineLevel="0" collapsed="false">
      <c r="A387" s="71" t="n">
        <f aca="false">A386+$F$3</f>
        <v>7620</v>
      </c>
      <c r="B387" s="71" t="n">
        <f aca="false">SUMPRODUCT(固有振動数!$Q$6:$Q$22*(1-($A387/固有振動数!$O$6:$O$22)^2)/((1-($A387/固有振動数!$O$6:$O$22)^2)^2+固有振動数!$P$6:$P$22^2))</f>
        <v>18.7488185266584</v>
      </c>
      <c r="C387" s="71" t="n">
        <f aca="false">-SUMPRODUCT(固有振動数!$Q$6:$Q$22*固有振動数!$P$6:$P$22/((1-($A387/固有振動数!$O$6:$O$22)^2)^2+固有振動数!$P$6:$P$22^2))</f>
        <v>-0.480157583171232</v>
      </c>
      <c r="D387" s="71" t="n">
        <f aca="false">SQRT(B387^2+C387^2)</f>
        <v>18.754965941058</v>
      </c>
      <c r="E387" s="72" t="n">
        <f aca="false">20*LOG10(MAX(D387,0.000000000001)/$K$3)</f>
        <v>25.4623255962088</v>
      </c>
      <c r="F387" s="5"/>
      <c r="G387" s="5"/>
      <c r="H387" s="5"/>
      <c r="I387" s="5"/>
      <c r="J387" s="5"/>
      <c r="K387" s="5"/>
      <c r="L387" s="5"/>
      <c r="M387" s="5"/>
      <c r="N387" s="5"/>
    </row>
    <row r="388" customFormat="false" ht="15" hidden="false" customHeight="false" outlineLevel="0" collapsed="false">
      <c r="A388" s="71" t="n">
        <f aca="false">A387+$F$3</f>
        <v>7640</v>
      </c>
      <c r="B388" s="71" t="n">
        <f aca="false">SUMPRODUCT(固有振動数!$Q$6:$Q$22*(1-($A388/固有振動数!$O$6:$O$22)^2)/((1-($A388/固有振動数!$O$6:$O$22)^2)^2+固有振動数!$P$6:$P$22^2))</f>
        <v>18.904272753687</v>
      </c>
      <c r="C388" s="71" t="n">
        <f aca="false">-SUMPRODUCT(固有振動数!$Q$6:$Q$22*固有振動数!$P$6:$P$22/((1-($A388/固有振動数!$O$6:$O$22)^2)^2+固有振動数!$P$6:$P$22^2))</f>
        <v>-0.4919473314984</v>
      </c>
      <c r="D388" s="71" t="n">
        <f aca="false">SQRT(B388^2+C388^2)</f>
        <v>18.9106726618267</v>
      </c>
      <c r="E388" s="72" t="n">
        <f aca="false">20*LOG10(MAX(D388,0.000000000001)/$K$3)</f>
        <v>25.534139543716</v>
      </c>
      <c r="F388" s="5"/>
      <c r="G388" s="5"/>
      <c r="H388" s="5"/>
      <c r="I388" s="5"/>
      <c r="J388" s="5"/>
      <c r="K388" s="5"/>
      <c r="L388" s="5"/>
      <c r="M388" s="5"/>
      <c r="N388" s="5"/>
    </row>
    <row r="389" customFormat="false" ht="15" hidden="false" customHeight="false" outlineLevel="0" collapsed="false">
      <c r="A389" s="71" t="n">
        <f aca="false">A388+$F$3</f>
        <v>7660</v>
      </c>
      <c r="B389" s="71" t="n">
        <f aca="false">SUMPRODUCT(固有振動数!$Q$6:$Q$22*(1-($A389/固有振動数!$O$6:$O$22)^2)/((1-($A389/固有振動数!$O$6:$O$22)^2)^2+固有振動数!$P$6:$P$22^2))</f>
        <v>19.0648218891227</v>
      </c>
      <c r="C389" s="71" t="n">
        <f aca="false">-SUMPRODUCT(固有振動数!$Q$6:$Q$22*固有振動数!$P$6:$P$22/((1-($A389/固有振動数!$O$6:$O$22)^2)^2+固有振動数!$P$6:$P$22^2))</f>
        <v>-0.504599646365787</v>
      </c>
      <c r="D389" s="71" t="n">
        <f aca="false">SQRT(B389^2+C389^2)</f>
        <v>19.0714984850978</v>
      </c>
      <c r="E389" s="72" t="n">
        <f aca="false">20*LOG10(MAX(D389,0.000000000001)/$K$3)</f>
        <v>25.6076963551433</v>
      </c>
      <c r="F389" s="5"/>
      <c r="G389" s="5"/>
      <c r="H389" s="5"/>
      <c r="I389" s="5"/>
      <c r="J389" s="5"/>
      <c r="K389" s="5"/>
      <c r="L389" s="5"/>
      <c r="M389" s="5"/>
      <c r="N389" s="5"/>
    </row>
    <row r="390" customFormat="false" ht="15" hidden="false" customHeight="false" outlineLevel="0" collapsed="false">
      <c r="A390" s="71" t="n">
        <f aca="false">A389+$F$3</f>
        <v>7680</v>
      </c>
      <c r="B390" s="71" t="n">
        <f aca="false">SUMPRODUCT(固有振動数!$Q$6:$Q$22*(1-($A390/固有振動数!$O$6:$O$22)^2)/((1-($A390/固有振動数!$O$6:$O$22)^2)^2+固有振動数!$P$6:$P$22^2))</f>
        <v>19.2308749026559</v>
      </c>
      <c r="C390" s="71" t="n">
        <f aca="false">-SUMPRODUCT(固有振動数!$Q$6:$Q$22*固有振動数!$P$6:$P$22/((1-($A390/固有振動数!$O$6:$O$22)^2)^2+固有振動数!$P$6:$P$22^2))</f>
        <v>-0.518195946879669</v>
      </c>
      <c r="D390" s="71" t="n">
        <f aca="false">SQRT(B390^2+C390^2)</f>
        <v>19.2378553004476</v>
      </c>
      <c r="E390" s="72" t="n">
        <f aca="false">20*LOG10(MAX(D390,0.000000000001)/$K$3)</f>
        <v>25.6831330763867</v>
      </c>
      <c r="F390" s="5"/>
      <c r="G390" s="5"/>
      <c r="H390" s="5"/>
      <c r="I390" s="5"/>
      <c r="J390" s="5"/>
      <c r="K390" s="5"/>
      <c r="L390" s="5"/>
      <c r="M390" s="5"/>
      <c r="N390" s="5"/>
    </row>
    <row r="391" customFormat="false" ht="15" hidden="false" customHeight="false" outlineLevel="0" collapsed="false">
      <c r="A391" s="71" t="n">
        <f aca="false">A390+$F$3</f>
        <v>7700</v>
      </c>
      <c r="B391" s="71" t="n">
        <f aca="false">SUMPRODUCT(固有振動数!$Q$6:$Q$22*(1-($A391/固有振動数!$O$6:$O$22)^2)/((1-($A391/固有振動数!$O$6:$O$22)^2)^2+固有振動数!$P$6:$P$22^2))</f>
        <v>19.4028791936392</v>
      </c>
      <c r="C391" s="71" t="n">
        <f aca="false">-SUMPRODUCT(固有振動数!$Q$6:$Q$22*固有振動数!$P$6:$P$22/((1-($A391/固有振動数!$O$6:$O$22)^2)^2+固有振動数!$P$6:$P$22^2))</f>
        <v>-0.532828063762988</v>
      </c>
      <c r="D391" s="71" t="n">
        <f aca="false">SQRT(B391^2+C391^2)</f>
        <v>19.4101938874523</v>
      </c>
      <c r="E391" s="72" t="n">
        <f aca="false">20*LOG10(MAX(D391,0.000000000001)/$K$3)</f>
        <v>25.7605974711161</v>
      </c>
      <c r="F391" s="5"/>
      <c r="G391" s="5"/>
      <c r="H391" s="5"/>
      <c r="I391" s="5"/>
      <c r="J391" s="5"/>
      <c r="K391" s="5"/>
      <c r="L391" s="5"/>
      <c r="M391" s="5"/>
      <c r="N391" s="5"/>
    </row>
    <row r="392" customFormat="false" ht="15" hidden="false" customHeight="false" outlineLevel="0" collapsed="false">
      <c r="A392" s="71" t="n">
        <f aca="false">A391+$F$3</f>
        <v>7720</v>
      </c>
      <c r="B392" s="71" t="n">
        <f aca="false">SUMPRODUCT(固有振動数!$Q$6:$Q$22*(1-($A392/固有振動数!$O$6:$O$22)^2)/((1-($A392/固有振動数!$O$6:$O$22)^2)^2+固有振動数!$P$6:$P$22^2))</f>
        <v>19.5813255754454</v>
      </c>
      <c r="C392" s="71" t="n">
        <f aca="false">-SUMPRODUCT(固有振動数!$Q$6:$Q$22*固有振動数!$P$6:$P$22/((1-($A392/固有振動数!$O$6:$O$22)^2)^2+固有振動数!$P$6:$P$22^2))</f>
        <v>-0.548599847691794</v>
      </c>
      <c r="D392" s="71" t="n">
        <f aca="false">SQRT(B392^2+C392^2)</f>
        <v>19.5890089867885</v>
      </c>
      <c r="E392" s="72" t="n">
        <f aca="false">20*LOG10(MAX(D392,0.000000000001)/$K$3)</f>
        <v>25.8402493095263</v>
      </c>
      <c r="F392" s="5"/>
      <c r="G392" s="5"/>
      <c r="H392" s="5"/>
      <c r="I392" s="5"/>
      <c r="J392" s="5"/>
      <c r="K392" s="5"/>
      <c r="L392" s="5"/>
      <c r="M392" s="5"/>
      <c r="N392" s="5"/>
    </row>
    <row r="393" customFormat="false" ht="15" hidden="false" customHeight="false" outlineLevel="0" collapsed="false">
      <c r="A393" s="71" t="n">
        <f aca="false">A392+$F$3</f>
        <v>7740</v>
      </c>
      <c r="B393" s="71" t="n">
        <f aca="false">SUMPRODUCT(固有振動数!$Q$6:$Q$22*(1-($A393/固有振動数!$O$6:$O$22)^2)/((1-($A393/固有振動数!$O$6:$O$22)^2)^2+固有振動数!$P$6:$P$22^2))</f>
        <v>19.7667540292398</v>
      </c>
      <c r="C393" s="71" t="n">
        <f aca="false">-SUMPRODUCT(固有振動数!$Q$6:$Q$22*固有振動数!$P$6:$P$22/((1-($A393/固有振動数!$O$6:$O$22)^2)^2+固有振動数!$P$6:$P$22^2))</f>
        <v>-0.565629077838728</v>
      </c>
      <c r="D393" s="71" t="n">
        <f aca="false">SQRT(B393^2+C393^2)</f>
        <v>19.7748451601059</v>
      </c>
      <c r="E393" s="72" t="n">
        <f aca="false">20*LOG10(MAX(D393,0.000000000001)/$K$3)</f>
        <v>25.92226183189</v>
      </c>
      <c r="F393" s="5"/>
      <c r="G393" s="5"/>
      <c r="H393" s="5"/>
      <c r="I393" s="5"/>
      <c r="J393" s="5"/>
      <c r="K393" s="5"/>
      <c r="L393" s="5"/>
      <c r="M393" s="5"/>
      <c r="N393" s="5"/>
    </row>
    <row r="394" customFormat="false" ht="15" hidden="false" customHeight="false" outlineLevel="0" collapsed="false">
      <c r="A394" s="71" t="n">
        <f aca="false">A393+$F$3</f>
        <v>7760</v>
      </c>
      <c r="B394" s="71" t="n">
        <f aca="false">SUMPRODUCT(固有振動数!$Q$6:$Q$22*(1-($A394/固有振動数!$O$6:$O$22)^2)/((1-($A394/固有振動数!$O$6:$O$22)^2)^2+固有振動数!$P$6:$P$22^2))</f>
        <v>19.9597603707201</v>
      </c>
      <c r="C394" s="71" t="n">
        <f aca="false">-SUMPRODUCT(固有振動数!$Q$6:$Q$22*固有振動数!$P$6:$P$22/((1-($A394/固有振動数!$O$6:$O$22)^2)^2+固有振動数!$P$6:$P$22^2))</f>
        <v>-0.584049736147934</v>
      </c>
      <c r="D394" s="71" t="n">
        <f aca="false">SQRT(B394^2+C394^2)</f>
        <v>19.968303587207</v>
      </c>
      <c r="E394" s="72" t="n">
        <f aca="false">20*LOG10(MAX(D394,0.000000000001)/$K$3)</f>
        <v>26.0068234165836</v>
      </c>
      <c r="F394" s="5"/>
      <c r="G394" s="5"/>
      <c r="H394" s="5"/>
      <c r="I394" s="5"/>
      <c r="J394" s="5"/>
      <c r="K394" s="5"/>
      <c r="L394" s="5"/>
      <c r="M394" s="5"/>
      <c r="N394" s="5"/>
    </row>
    <row r="395" customFormat="false" ht="15" hidden="false" customHeight="false" outlineLevel="0" collapsed="false">
      <c r="A395" s="71" t="n">
        <f aca="false">A394+$F$3</f>
        <v>7780</v>
      </c>
      <c r="B395" s="71" t="n">
        <f aca="false">SUMPRODUCT(固有振動数!$Q$6:$Q$22*(1-($A395/固有振動数!$O$6:$O$22)^2)/((1-($A395/固有振動数!$O$6:$O$22)^2)^2+固有振動数!$P$6:$P$22^2))</f>
        <v>20.161004004527</v>
      </c>
      <c r="C395" s="71" t="n">
        <f aca="false">-SUMPRODUCT(固有振動数!$Q$6:$Q$22*固有振動数!$P$6:$P$22/((1-($A395/固有振動数!$O$6:$O$22)^2)^2+固有振動数!$P$6:$P$22^2))</f>
        <v>-0.604014729415652</v>
      </c>
      <c r="D395" s="71" t="n">
        <f aca="false">SQRT(B395^2+C395^2)</f>
        <v>20.1700499816908</v>
      </c>
      <c r="E395" s="72" t="n">
        <f aca="false">20*LOG10(MAX(D395,0.000000000001)/$K$3)</f>
        <v>26.0941394880487</v>
      </c>
      <c r="F395" s="5"/>
      <c r="G395" s="5"/>
      <c r="H395" s="5"/>
      <c r="I395" s="5"/>
      <c r="J395" s="5"/>
      <c r="K395" s="5"/>
      <c r="L395" s="5"/>
      <c r="M395" s="5"/>
      <c r="N395" s="5"/>
    </row>
    <row r="396" customFormat="false" ht="15" hidden="false" customHeight="false" outlineLevel="0" collapsed="false">
      <c r="A396" s="71" t="n">
        <f aca="false">A395+$F$3</f>
        <v>7800</v>
      </c>
      <c r="B396" s="71" t="n">
        <f aca="false">SUMPRODUCT(固有振動数!$Q$6:$Q$22*(1-($A396/固有振動数!$O$6:$O$22)^2)/((1-($A396/固有振動数!$O$6:$O$22)^2)^2+固有振動数!$P$6:$P$22^2))</f>
        <v>20.371216979974</v>
      </c>
      <c r="C396" s="71" t="n">
        <f aca="false">-SUMPRODUCT(固有振動数!$Q$6:$Q$22*固有振動数!$P$6:$P$22/((1-($A396/固有振動数!$O$6:$O$22)^2)^2+固有振動数!$P$6:$P$22^2))</f>
        <v>-0.62569916257144</v>
      </c>
      <c r="D396" s="71" t="n">
        <f aca="false">SQRT(B396^2+C396^2)</f>
        <v>20.3808238471172</v>
      </c>
      <c r="E396" s="72" t="n">
        <f aca="false">20*LOG10(MAX(D396,0.000000000001)/$K$3)</f>
        <v>26.1844347072702</v>
      </c>
      <c r="F396" s="5"/>
      <c r="G396" s="5"/>
      <c r="H396" s="5"/>
      <c r="I396" s="5"/>
      <c r="J396" s="5"/>
      <c r="K396" s="5"/>
      <c r="L396" s="5"/>
      <c r="M396" s="5"/>
      <c r="N396" s="5"/>
    </row>
    <row r="397" customFormat="false" ht="15" hidden="false" customHeight="false" outlineLevel="0" collapsed="false">
      <c r="A397" s="71" t="n">
        <f aca="false">A396+$F$3</f>
        <v>7820</v>
      </c>
      <c r="B397" s="71" t="n">
        <f aca="false">SUMPRODUCT(固有振動数!$Q$6:$Q$22*(1-($A397/固有振動数!$O$6:$O$22)^2)/((1-($A397/固有振動数!$O$6:$O$22)^2)^2+固有振動数!$P$6:$P$22^2))</f>
        <v>20.5912146107078</v>
      </c>
      <c r="C397" s="71" t="n">
        <f aca="false">-SUMPRODUCT(固有振動数!$Q$6:$Q$22*固有振動数!$P$6:$P$22/((1-($A397/固有振動数!$O$6:$O$22)^2)^2+固有振動数!$P$6:$P$22^2))</f>
        <v>-0.649304294202773</v>
      </c>
      <c r="D397" s="71" t="n">
        <f aca="false">SQRT(B397^2+C397^2)</f>
        <v>20.6014493473322</v>
      </c>
      <c r="E397" s="72" t="n">
        <f aca="false">20*LOG10(MAX(D397,0.000000000001)/$K$3)</f>
        <v>26.2779554961277</v>
      </c>
      <c r="F397" s="5"/>
      <c r="G397" s="5"/>
      <c r="H397" s="5"/>
      <c r="I397" s="5"/>
      <c r="J397" s="5"/>
      <c r="K397" s="5"/>
      <c r="L397" s="5"/>
      <c r="M397" s="5"/>
      <c r="N397" s="5"/>
    </row>
    <row r="398" customFormat="false" ht="15" hidden="false" customHeight="false" outlineLevel="0" collapsed="false">
      <c r="A398" s="71" t="n">
        <f aca="false">A397+$F$3</f>
        <v>7840</v>
      </c>
      <c r="B398" s="71" t="n">
        <f aca="false">SUMPRODUCT(固有振動数!$Q$6:$Q$22*(1-($A398/固有振動数!$O$6:$O$22)^2)/((1-($A398/固有振動数!$O$6:$O$22)^2)^2+固有振動数!$P$6:$P$22^2))</f>
        <v>20.8219079828011</v>
      </c>
      <c r="C398" s="71" t="n">
        <f aca="false">-SUMPRODUCT(固有振動数!$Q$6:$Q$22*固有振動数!$P$6:$P$22/((1-($A398/固有振動数!$O$6:$O$22)^2)^2+固有振動数!$P$6:$P$22^2))</f>
        <v>-0.6750623414664</v>
      </c>
      <c r="D398" s="71" t="n">
        <f aca="false">SQRT(B398^2+C398^2)</f>
        <v>20.832848130035</v>
      </c>
      <c r="E398" s="72" t="n">
        <f aca="false">20*LOG10(MAX(D398,0.000000000001)/$K$3)</f>
        <v>26.3749729578621</v>
      </c>
      <c r="F398" s="5"/>
      <c r="G398" s="5"/>
      <c r="H398" s="5"/>
      <c r="I398" s="5"/>
      <c r="J398" s="5"/>
      <c r="K398" s="5"/>
      <c r="L398" s="5"/>
      <c r="M398" s="5"/>
      <c r="N398" s="5"/>
    </row>
    <row r="399" customFormat="false" ht="15" hidden="false" customHeight="false" outlineLevel="0" collapsed="false">
      <c r="A399" s="71" t="n">
        <f aca="false">A398+$F$3</f>
        <v>7860</v>
      </c>
      <c r="B399" s="71" t="n">
        <f aca="false">SUMPRODUCT(固有振動数!$Q$6:$Q$22*(1-($A399/固有振動数!$O$6:$O$22)^2)/((1-($A399/固有振動数!$O$6:$O$22)^2)^2+固有振動数!$P$6:$P$22^2))</f>
        <v>21.0643187544987</v>
      </c>
      <c r="C399" s="71" t="n">
        <f aca="false">-SUMPRODUCT(固有振動数!$Q$6:$Q$22*固有振動数!$P$6:$P$22/((1-($A399/固有振動数!$O$6:$O$22)^2)^2+固有振動数!$P$6:$P$22^2))</f>
        <v>-0.703242349011663</v>
      </c>
      <c r="D399" s="71" t="n">
        <f aca="false">SQRT(B399^2+C399^2)</f>
        <v>21.0760545262288</v>
      </c>
      <c r="E399" s="72" t="n">
        <f aca="false">20*LOG10(MAX(D399,0.000000000001)/$K$3)</f>
        <v>26.4757862694609</v>
      </c>
      <c r="F399" s="5"/>
      <c r="G399" s="5"/>
      <c r="H399" s="5"/>
      <c r="I399" s="5"/>
      <c r="J399" s="5"/>
      <c r="K399" s="5"/>
      <c r="L399" s="5"/>
      <c r="M399" s="5"/>
      <c r="N399" s="5"/>
    </row>
    <row r="400" customFormat="false" ht="15" hidden="false" customHeight="false" outlineLevel="0" collapsed="false">
      <c r="A400" s="71" t="n">
        <f aca="false">A399+$F$3</f>
        <v>7880</v>
      </c>
      <c r="B400" s="71" t="n">
        <f aca="false">SUMPRODUCT(固有振動数!$Q$6:$Q$22*(1-($A400/固有振動数!$O$6:$O$22)^2)/((1-($A400/固有振動数!$O$6:$O$22)^2)^2+固有振動数!$P$6:$P$22^2))</f>
        <v>21.3195967515742</v>
      </c>
      <c r="C400" s="71" t="n">
        <f aca="false">-SUMPRODUCT(固有振動数!$Q$6:$Q$22*固有振動数!$P$6:$P$22/((1-($A400/固有振動数!$O$6:$O$22)^2)^2+固有振動数!$P$6:$P$22^2))</f>
        <v>-0.734157399473022</v>
      </c>
      <c r="D400" s="71" t="n">
        <f aca="false">SQRT(B400^2+C400^2)</f>
        <v>21.3322336555958</v>
      </c>
      <c r="E400" s="72" t="n">
        <f aca="false">20*LOG10(MAX(D400,0.000000000001)/$K$3)</f>
        <v>26.5807266387694</v>
      </c>
      <c r="F400" s="5"/>
      <c r="G400" s="5"/>
      <c r="H400" s="5"/>
      <c r="I400" s="5"/>
      <c r="J400" s="5"/>
      <c r="K400" s="5"/>
      <c r="L400" s="5"/>
      <c r="M400" s="5"/>
      <c r="N400" s="5"/>
    </row>
    <row r="401" customFormat="false" ht="15" hidden="false" customHeight="false" outlineLevel="0" collapsed="false">
      <c r="A401" s="71" t="n">
        <f aca="false">A400+$F$3</f>
        <v>7900</v>
      </c>
      <c r="B401" s="71" t="n">
        <f aca="false">SUMPRODUCT(固有振動数!$Q$6:$Q$22*(1-($A401/固有振動数!$O$6:$O$22)^2)/((1-($A401/固有振動数!$O$6:$O$22)^2)^2+固有振動数!$P$6:$P$22^2))</f>
        <v>21.5890409920269</v>
      </c>
      <c r="C401" s="71" t="n">
        <f aca="false">-SUMPRODUCT(固有振動数!$Q$6:$Q$22*固有振動数!$P$6:$P$22/((1-($A401/固有振動数!$O$6:$O$22)^2)^2+固有振動数!$P$6:$P$22^2))</f>
        <v>-0.76817352717747</v>
      </c>
      <c r="D401" s="71" t="n">
        <f aca="false">SQRT(B401^2+C401^2)</f>
        <v>21.6027031068631</v>
      </c>
      <c r="E401" s="72" t="n">
        <f aca="false">20*LOG10(MAX(D401,0.000000000001)/$K$3)</f>
        <v>26.6901619405601</v>
      </c>
      <c r="F401" s="5"/>
      <c r="G401" s="5"/>
      <c r="H401" s="5"/>
      <c r="I401" s="5"/>
      <c r="J401" s="5"/>
      <c r="K401" s="5"/>
      <c r="L401" s="5"/>
      <c r="M401" s="5"/>
      <c r="N401" s="5"/>
    </row>
    <row r="402" customFormat="false" ht="15" hidden="false" customHeight="false" outlineLevel="0" collapsed="false">
      <c r="A402" s="71" t="n">
        <f aca="false">A401+$F$3</f>
        <v>7920</v>
      </c>
      <c r="B402" s="71" t="n">
        <f aca="false">SUMPRODUCT(固有振動数!$Q$6:$Q$22*(1-($A402/固有振動数!$O$6:$O$22)^2)/((1-($A402/固有振動数!$O$6:$O$22)^2)^2+固有振動数!$P$6:$P$22^2))</f>
        <v>21.8741249421729</v>
      </c>
      <c r="C402" s="71" t="n">
        <f aca="false">-SUMPRODUCT(固有振動数!$Q$6:$Q$22*固有振動数!$P$6:$P$22/((1-($A402/固有振動数!$O$6:$O$22)^2)^2+固有振動数!$P$6:$P$22^2))</f>
        <v>-0.805720810038105</v>
      </c>
      <c r="D402" s="71" t="n">
        <f aca="false">SQRT(B402^2+C402^2)</f>
        <v>21.8889590435342</v>
      </c>
      <c r="E402" s="72" t="n">
        <f aca="false">20*LOG10(MAX(D402,0.000000000001)/$K$3)</f>
        <v>26.8045021729772</v>
      </c>
      <c r="F402" s="5"/>
      <c r="G402" s="5"/>
      <c r="H402" s="5"/>
      <c r="I402" s="5"/>
      <c r="J402" s="5"/>
      <c r="K402" s="5"/>
      <c r="L402" s="5"/>
      <c r="M402" s="5"/>
      <c r="N402" s="5"/>
    </row>
    <row r="403" customFormat="false" ht="15" hidden="false" customHeight="false" outlineLevel="0" collapsed="false">
      <c r="A403" s="71" t="n">
        <f aca="false">A402+$F$3</f>
        <v>7940</v>
      </c>
      <c r="B403" s="71" t="n">
        <f aca="false">SUMPRODUCT(固有振動数!$Q$6:$Q$22*(1-($A403/固有振動数!$O$6:$O$22)^2)/((1-($A403/固有振動数!$O$6:$O$22)^2)^2+固有振動数!$P$6:$P$22^2))</f>
        <v>22.1765270261041</v>
      </c>
      <c r="C403" s="71" t="n">
        <f aca="false">-SUMPRODUCT(固有振動数!$Q$6:$Q$22*固有振動数!$P$6:$P$22/((1-($A403/固有振動数!$O$6:$O$22)^2)^2+固有振動数!$P$6:$P$22^2))</f>
        <v>-0.847307268728489</v>
      </c>
      <c r="D403" s="71" t="n">
        <f aca="false">SQRT(B403^2+C403^2)</f>
        <v>22.1927078236786</v>
      </c>
      <c r="E403" s="72" t="n">
        <f aca="false">20*LOG10(MAX(D403,0.000000000001)/$K$3)</f>
        <v>26.9242059104669</v>
      </c>
      <c r="F403" s="5"/>
      <c r="G403" s="5"/>
      <c r="H403" s="5"/>
      <c r="I403" s="5"/>
      <c r="J403" s="5"/>
      <c r="K403" s="5"/>
      <c r="L403" s="5"/>
      <c r="M403" s="5"/>
      <c r="N403" s="5"/>
    </row>
    <row r="404" customFormat="false" ht="15" hidden="false" customHeight="false" outlineLevel="0" collapsed="false">
      <c r="A404" s="71" t="n">
        <f aca="false">A403+$F$3</f>
        <v>7960</v>
      </c>
      <c r="B404" s="71" t="n">
        <f aca="false">SUMPRODUCT(固有振動数!$Q$6:$Q$22*(1-($A404/固有振動数!$O$6:$O$22)^2)/((1-($A404/固有振動数!$O$6:$O$22)^2)^2+固有振動数!$P$6:$P$22^2))</f>
        <v>22.4981677000096</v>
      </c>
      <c r="C404" s="71" t="n">
        <f aca="false">-SUMPRODUCT(固有振動数!$Q$6:$Q$22*固有振動数!$P$6:$P$22/((1-($A404/固有振動数!$O$6:$O$22)^2)^2+固有振動数!$P$6:$P$22^2))</f>
        <v>-0.893536413875501</v>
      </c>
      <c r="D404" s="71" t="n">
        <f aca="false">SQRT(B404^2+C404^2)</f>
        <v>22.515904538363</v>
      </c>
      <c r="E404" s="72" t="n">
        <f aca="false">20*LOG10(MAX(D404,0.000000000001)/$K$3)</f>
        <v>27.0497879739061</v>
      </c>
      <c r="F404" s="5"/>
      <c r="G404" s="5"/>
      <c r="H404" s="5"/>
      <c r="I404" s="5"/>
      <c r="J404" s="5"/>
      <c r="K404" s="5"/>
      <c r="L404" s="5"/>
      <c r="M404" s="5"/>
      <c r="N404" s="5"/>
    </row>
    <row r="405" customFormat="false" ht="15" hidden="false" customHeight="false" outlineLevel="0" collapsed="false">
      <c r="A405" s="71" t="n">
        <f aca="false">A404+$F$3</f>
        <v>7980</v>
      </c>
      <c r="B405" s="71" t="n">
        <f aca="false">SUMPRODUCT(固有振動数!$Q$6:$Q$22*(1-($A405/固有振動数!$O$6:$O$22)^2)/((1-($A405/固有振動数!$O$6:$O$22)^2)^2+固有振動数!$P$6:$P$22^2))</f>
        <v>22.8412547870433</v>
      </c>
      <c r="C405" s="71" t="n">
        <f aca="false">-SUMPRODUCT(固有振動数!$Q$6:$Q$22*固有振動数!$P$6:$P$22/((1-($A405/固有振動数!$O$6:$O$22)^2)^2+固有振動数!$P$6:$P$22^2))</f>
        <v>-0.945129575638479</v>
      </c>
      <c r="D405" s="71" t="n">
        <f aca="false">SQRT(B405^2+C405^2)</f>
        <v>22.8608002957327</v>
      </c>
      <c r="E405" s="72" t="n">
        <f aca="false">20*LOG10(MAX(D405,0.000000000001)/$K$3)</f>
        <v>27.1818285963706</v>
      </c>
      <c r="F405" s="5"/>
      <c r="G405" s="5"/>
      <c r="H405" s="5"/>
      <c r="I405" s="5"/>
      <c r="J405" s="5"/>
      <c r="K405" s="5"/>
      <c r="L405" s="5"/>
      <c r="M405" s="5"/>
      <c r="N405" s="5"/>
    </row>
    <row r="406" customFormat="false" ht="15" hidden="false" customHeight="false" outlineLevel="0" collapsed="false">
      <c r="A406" s="71" t="n">
        <f aca="false">A405+$F$3</f>
        <v>8000</v>
      </c>
      <c r="B406" s="71" t="n">
        <f aca="false">SUMPRODUCT(固有振動数!$Q$6:$Q$22*(1-($A406/固有振動数!$O$6:$O$22)^2)/((1-($A406/固有振動数!$O$6:$O$22)^2)^2+固有振動数!$P$6:$P$22^2))</f>
        <v>23.2083392825234</v>
      </c>
      <c r="C406" s="71" t="n">
        <f aca="false">-SUMPRODUCT(固有振動数!$Q$6:$Q$22*固有振動数!$P$6:$P$22/((1-($A406/固有振動数!$O$6:$O$22)^2)^2+固有振動数!$P$6:$P$22^2))</f>
        <v>-1.00295456190477</v>
      </c>
      <c r="D406" s="71" t="n">
        <f aca="false">SQRT(B406^2+C406^2)</f>
        <v>23.2300006479975</v>
      </c>
      <c r="E406" s="72" t="n">
        <f aca="false">20*LOG10(MAX(D406,0.000000000001)/$K$3)</f>
        <v>27.3209844382964</v>
      </c>
      <c r="F406" s="5"/>
      <c r="G406" s="5"/>
      <c r="H406" s="5"/>
      <c r="I406" s="5"/>
      <c r="J406" s="5"/>
      <c r="K406" s="5"/>
      <c r="L406" s="5"/>
      <c r="M406" s="5"/>
      <c r="N406" s="5"/>
    </row>
    <row r="407" customFormat="false" ht="15" hidden="false" customHeight="false" outlineLevel="0" collapsed="false">
      <c r="A407" s="71" t="n">
        <f aca="false">A406+$F$3</f>
        <v>8020</v>
      </c>
      <c r="B407" s="71" t="n">
        <f aca="false">SUMPRODUCT(固有振動数!$Q$6:$Q$22*(1-($A407/固有振動数!$O$6:$O$22)^2)/((1-($A407/固有振動数!$O$6:$O$22)^2)^2+固有振動数!$P$6:$P$22^2))</f>
        <v>23.6023845332305</v>
      </c>
      <c r="C407" s="71" t="n">
        <f aca="false">-SUMPRODUCT(固有振動数!$Q$6:$Q$22*固有振動数!$P$6:$P$22/((1-($A407/固有振動数!$O$6:$O$22)^2)^2+固有振動数!$P$6:$P$22^2))</f>
        <v>-1.06806277582552</v>
      </c>
      <c r="D407" s="71" t="n">
        <f aca="false">SQRT(B407^2+C407^2)</f>
        <v>23.6265383361081</v>
      </c>
      <c r="E407" s="72" t="n">
        <f aca="false">20*LOG10(MAX(D407,0.000000000001)/$K$3)</f>
        <v>27.4680019047966</v>
      </c>
      <c r="F407" s="5"/>
      <c r="G407" s="5"/>
      <c r="H407" s="5"/>
      <c r="I407" s="5"/>
      <c r="J407" s="5"/>
      <c r="K407" s="5"/>
      <c r="L407" s="5"/>
      <c r="M407" s="5"/>
      <c r="N407" s="5"/>
    </row>
    <row r="408" customFormat="false" ht="15" hidden="false" customHeight="false" outlineLevel="0" collapsed="false">
      <c r="A408" s="71" t="n">
        <f aca="false">A407+$F$3</f>
        <v>8040</v>
      </c>
      <c r="B408" s="71" t="n">
        <f aca="false">SUMPRODUCT(固有振動数!$Q$6:$Q$22*(1-($A408/固有振動数!$O$6:$O$22)^2)/((1-($A408/固有振動数!$O$6:$O$22)^2)^2+固有振動数!$P$6:$P$22^2))</f>
        <v>24.0268526399748</v>
      </c>
      <c r="C408" s="71" t="n">
        <f aca="false">-SUMPRODUCT(固有振動数!$Q$6:$Q$22*固有振動数!$P$6:$P$22/((1-($A408/固有振動数!$O$6:$O$22)^2)^2+固有振動数!$P$6:$P$22^2))</f>
        <v>-1.14173776333913</v>
      </c>
      <c r="D408" s="71" t="n">
        <f aca="false">SQRT(B408^2+C408^2)</f>
        <v>24.0539645984461</v>
      </c>
      <c r="E408" s="72" t="n">
        <f aca="false">20*LOG10(MAX(D408,0.000000000001)/$K$3)</f>
        <v>27.6237333491871</v>
      </c>
      <c r="F408" s="5"/>
      <c r="G408" s="5"/>
      <c r="H408" s="5"/>
      <c r="I408" s="5"/>
      <c r="J408" s="5"/>
      <c r="K408" s="5"/>
      <c r="L408" s="5"/>
      <c r="M408" s="5"/>
      <c r="N408" s="5"/>
    </row>
    <row r="409" customFormat="false" ht="15" hidden="false" customHeight="false" outlineLevel="0" collapsed="false">
      <c r="A409" s="71" t="n">
        <f aca="false">A408+$F$3</f>
        <v>8060</v>
      </c>
      <c r="B409" s="71" t="n">
        <f aca="false">SUMPRODUCT(固有振動数!$Q$6:$Q$22*(1-($A409/固有振動数!$O$6:$O$22)^2)/((1-($A409/固有振動数!$O$6:$O$22)^2)^2+固有振動数!$P$6:$P$22^2))</f>
        <v>24.4858132328609</v>
      </c>
      <c r="C409" s="71" t="n">
        <f aca="false">-SUMPRODUCT(固有振動数!$Q$6:$Q$22*固有振動数!$P$6:$P$22/((1-($A409/固有振動数!$O$6:$O$22)^2)^2+固有振動数!$P$6:$P$22^2))</f>
        <v>-1.22555938460293</v>
      </c>
      <c r="D409" s="71" t="n">
        <f aca="false">SQRT(B409^2+C409^2)</f>
        <v>24.5164647834824</v>
      </c>
      <c r="E409" s="72" t="n">
        <f aca="false">20*LOG10(MAX(D409,0.000000000001)/$K$3)</f>
        <v>27.7891569223796</v>
      </c>
      <c r="F409" s="5"/>
      <c r="G409" s="5"/>
      <c r="H409" s="5"/>
      <c r="I409" s="5"/>
      <c r="J409" s="5"/>
      <c r="K409" s="5"/>
      <c r="L409" s="5"/>
      <c r="M409" s="5"/>
      <c r="N409" s="5"/>
    </row>
    <row r="410" customFormat="false" ht="15" hidden="false" customHeight="false" outlineLevel="0" collapsed="false">
      <c r="A410" s="71" t="n">
        <f aca="false">A409+$F$3</f>
        <v>8080</v>
      </c>
      <c r="B410" s="71" t="n">
        <f aca="false">SUMPRODUCT(固有振動数!$Q$6:$Q$22*(1-($A410/固有振動数!$O$6:$O$22)^2)/((1-($A410/固有振動数!$O$6:$O$22)^2)^2+固有振動数!$P$6:$P$22^2))</f>
        <v>24.9840815747135</v>
      </c>
      <c r="C410" s="71" t="n">
        <f aca="false">-SUMPRODUCT(固有振動数!$Q$6:$Q$22*固有振動数!$P$6:$P$22/((1-($A410/固有振動数!$O$6:$O$22)^2)^2+固有振動数!$P$6:$P$22^2))</f>
        <v>-1.32148961070287</v>
      </c>
      <c r="D410" s="71" t="n">
        <f aca="false">SQRT(B410^2+C410^2)</f>
        <v>25.0190061138154</v>
      </c>
      <c r="E410" s="72" t="n">
        <f aca="false">20*LOG10(MAX(D410,0.000000000001)/$K$3)</f>
        <v>27.9654010648946</v>
      </c>
      <c r="F410" s="5"/>
      <c r="G410" s="5"/>
      <c r="H410" s="5"/>
      <c r="I410" s="5"/>
      <c r="J410" s="5"/>
      <c r="K410" s="5"/>
      <c r="L410" s="5"/>
      <c r="M410" s="5"/>
      <c r="N410" s="5"/>
    </row>
    <row r="411" customFormat="false" ht="15" hidden="false" customHeight="false" outlineLevel="0" collapsed="false">
      <c r="A411" s="71" t="n">
        <f aca="false">A410+$F$3</f>
        <v>8100</v>
      </c>
      <c r="B411" s="71" t="n">
        <f aca="false">SUMPRODUCT(固有振動数!$Q$6:$Q$22*(1-($A411/固有振動数!$O$6:$O$22)^2)/((1-($A411/固有振動数!$O$6:$O$22)^2)^2+固有振動数!$P$6:$P$22^2))</f>
        <v>25.5273954822907</v>
      </c>
      <c r="C411" s="71" t="n">
        <f aca="false">-SUMPRODUCT(固有振動数!$Q$6:$Q$22*固有振動数!$P$6:$P$22/((1-($A411/固有振動数!$O$6:$O$22)^2)^2+固有振動数!$P$6:$P$22^2))</f>
        <v>-1.4319886593878</v>
      </c>
      <c r="D411" s="71" t="n">
        <f aca="false">SQRT(B411^2+C411^2)</f>
        <v>25.5675284615054</v>
      </c>
      <c r="E411" s="72" t="n">
        <f aca="false">20*LOG10(MAX(D411,0.000000000001)/$K$3)</f>
        <v>28.1537749614588</v>
      </c>
      <c r="F411" s="5"/>
      <c r="G411" s="5"/>
      <c r="H411" s="5"/>
      <c r="I411" s="5"/>
      <c r="J411" s="5"/>
      <c r="K411" s="5"/>
      <c r="L411" s="5"/>
      <c r="M411" s="5"/>
      <c r="N411" s="5"/>
    </row>
    <row r="412" customFormat="false" ht="15" hidden="false" customHeight="false" outlineLevel="0" collapsed="false">
      <c r="A412" s="71" t="n">
        <f aca="false">A411+$F$3</f>
        <v>8120</v>
      </c>
      <c r="B412" s="71" t="n">
        <f aca="false">SUMPRODUCT(固有振動数!$Q$6:$Q$22*(1-($A412/固有振動数!$O$6:$O$22)^2)/((1-($A412/固有振動数!$O$6:$O$22)^2)^2+固有振動数!$P$6:$P$22^2))</f>
        <v>26.1226441475931</v>
      </c>
      <c r="C412" s="71" t="n">
        <f aca="false">-SUMPRODUCT(固有振動数!$Q$6:$Q$22*固有振動数!$P$6:$P$22/((1-($A412/固有振動数!$O$6:$O$22)^2)^2+固有振動数!$P$6:$P$22^2))</f>
        <v>-1.56017432274541</v>
      </c>
      <c r="D412" s="71" t="n">
        <f aca="false">SQRT(B412^2+C412^2)</f>
        <v>26.1691933612623</v>
      </c>
      <c r="E412" s="72" t="n">
        <f aca="false">20*LOG10(MAX(D412,0.000000000001)/$K$3)</f>
        <v>28.3558067232204</v>
      </c>
      <c r="F412" s="5"/>
      <c r="G412" s="5"/>
      <c r="H412" s="5"/>
      <c r="I412" s="5"/>
      <c r="J412" s="5"/>
      <c r="K412" s="5"/>
      <c r="L412" s="5"/>
      <c r="M412" s="5"/>
      <c r="N412" s="5"/>
    </row>
    <row r="413" customFormat="false" ht="15" hidden="false" customHeight="false" outlineLevel="0" collapsed="false">
      <c r="A413" s="71" t="n">
        <f aca="false">A412+$F$3</f>
        <v>8140</v>
      </c>
      <c r="B413" s="71" t="n">
        <f aca="false">SUMPRODUCT(固有振動数!$Q$6:$Q$22*(1-($A413/固有振動数!$O$6:$O$22)^2)/((1-($A413/固有振動数!$O$6:$O$22)^2)^2+固有振動数!$P$6:$P$22^2))</f>
        <v>26.7781670873208</v>
      </c>
      <c r="C413" s="71" t="n">
        <f aca="false">-SUMPRODUCT(固有振動数!$Q$6:$Q$22*固有振動数!$P$6:$P$22/((1-($A413/固有振動数!$O$6:$O$22)^2)^2+固有振動数!$P$6:$P$22^2))</f>
        <v>-1.71004377188124</v>
      </c>
      <c r="D413" s="71" t="n">
        <f aca="false">SQRT(B413^2+C413^2)</f>
        <v>26.832712912753</v>
      </c>
      <c r="E413" s="72" t="n">
        <f aca="false">20*LOG10(MAX(D413,0.000000000001)/$K$3)</f>
        <v>28.5732916818962</v>
      </c>
      <c r="F413" s="5"/>
      <c r="G413" s="5"/>
      <c r="H413" s="5"/>
      <c r="I413" s="5"/>
      <c r="J413" s="5"/>
      <c r="K413" s="5"/>
      <c r="L413" s="5"/>
      <c r="M413" s="5"/>
      <c r="N413" s="5"/>
    </row>
    <row r="414" customFormat="false" ht="15" hidden="false" customHeight="false" outlineLevel="0" collapsed="false">
      <c r="A414" s="71" t="n">
        <f aca="false">A413+$F$3</f>
        <v>8160</v>
      </c>
      <c r="B414" s="71" t="n">
        <f aca="false">SUMPRODUCT(固有振動数!$Q$6:$Q$22*(1-($A414/固有振動数!$O$6:$O$22)^2)/((1-($A414/固有振動数!$O$6:$O$22)^2)^2+固有振動数!$P$6:$P$22^2))</f>
        <v>27.5041488912335</v>
      </c>
      <c r="C414" s="71" t="n">
        <f aca="false">-SUMPRODUCT(固有振動数!$Q$6:$Q$22*固有振動数!$P$6:$P$22/((1-($A414/固有振動数!$O$6:$O$22)^2)^2+固有振動数!$P$6:$P$22^2))</f>
        <v>-1.88678731776219</v>
      </c>
      <c r="D414" s="71" t="n">
        <f aca="false">SQRT(B414^2+C414^2)</f>
        <v>27.5687898286016</v>
      </c>
      <c r="E414" s="72" t="n">
        <f aca="false">20*LOG10(MAX(D414,0.000000000001)/$K$3)</f>
        <v>28.8083540509543</v>
      </c>
      <c r="F414" s="5"/>
      <c r="G414" s="5"/>
      <c r="H414" s="5"/>
      <c r="I414" s="5"/>
      <c r="J414" s="5"/>
      <c r="K414" s="5"/>
      <c r="L414" s="5"/>
      <c r="M414" s="5"/>
      <c r="N414" s="5"/>
    </row>
    <row r="415" customFormat="false" ht="15" hidden="false" customHeight="false" outlineLevel="0" collapsed="false">
      <c r="A415" s="71" t="n">
        <f aca="false">A414+$F$3</f>
        <v>8180</v>
      </c>
      <c r="B415" s="71" t="n">
        <f aca="false">SUMPRODUCT(固有振動数!$Q$6:$Q$22*(1-($A415/固有振動数!$O$6:$O$22)^2)/((1-($A415/固有振動数!$O$6:$O$22)^2)^2+固有振動数!$P$6:$P$22^2))</f>
        <v>28.3131462990721</v>
      </c>
      <c r="C415" s="71" t="n">
        <f aca="false">-SUMPRODUCT(固有振動数!$Q$6:$Q$22*固有振動数!$P$6:$P$22/((1-($A415/固有振動数!$O$6:$O$22)^2)^2+固有振動数!$P$6:$P$22^2))</f>
        <v>-2.09724011347023</v>
      </c>
      <c r="D415" s="71" t="n">
        <f aca="false">SQRT(B415^2+C415^2)</f>
        <v>28.390714493408</v>
      </c>
      <c r="E415" s="72" t="n">
        <f aca="false">20*LOG10(MAX(D415,0.000000000001)/$K$3)</f>
        <v>29.0635264462479</v>
      </c>
      <c r="F415" s="5"/>
      <c r="G415" s="5"/>
      <c r="H415" s="5"/>
      <c r="I415" s="5"/>
      <c r="J415" s="5"/>
      <c r="K415" s="5"/>
      <c r="L415" s="5"/>
      <c r="M415" s="5"/>
      <c r="N415" s="5"/>
    </row>
    <row r="416" customFormat="false" ht="15" hidden="false" customHeight="false" outlineLevel="0" collapsed="false">
      <c r="A416" s="71" t="n">
        <f aca="false">A415+$F$3</f>
        <v>8200</v>
      </c>
      <c r="B416" s="71" t="n">
        <f aca="false">SUMPRODUCT(固有振動数!$Q$6:$Q$22*(1-($A416/固有振動数!$O$6:$O$22)^2)/((1-($A416/固有振動数!$O$6:$O$22)^2)^2+固有振動数!$P$6:$P$22^2))</f>
        <v>29.2208000807426</v>
      </c>
      <c r="C416" s="71" t="n">
        <f aca="false">-SUMPRODUCT(固有振動数!$Q$6:$Q$22*固有振動数!$P$6:$P$22/((1-($A416/固有振動数!$O$6:$O$22)^2)^2+固有振動数!$P$6:$P$22^2))</f>
        <v>-2.35054514103366</v>
      </c>
      <c r="D416" s="71" t="n">
        <f aca="false">SQRT(B416^2+C416^2)</f>
        <v>29.3151875282893</v>
      </c>
      <c r="E416" s="72" t="n">
        <f aca="false">20*LOG10(MAX(D416,0.000000000001)/$K$3)</f>
        <v>29.341853533944</v>
      </c>
      <c r="F416" s="5"/>
      <c r="G416" s="5"/>
      <c r="H416" s="5"/>
      <c r="I416" s="5"/>
      <c r="J416" s="5"/>
      <c r="K416" s="5"/>
      <c r="L416" s="5"/>
      <c r="M416" s="5"/>
      <c r="N416" s="5"/>
    </row>
    <row r="417" customFormat="false" ht="15" hidden="false" customHeight="false" outlineLevel="0" collapsed="false">
      <c r="A417" s="71" t="n">
        <f aca="false">A416+$F$3</f>
        <v>8220</v>
      </c>
      <c r="B417" s="71" t="n">
        <f aca="false">SUMPRODUCT(固有振動数!$Q$6:$Q$22*(1-($A417/固有振動数!$O$6:$O$22)^2)/((1-($A417/固有振動数!$O$6:$O$22)^2)^2+固有振動数!$P$6:$P$22^2))</f>
        <v>30.2468076534211</v>
      </c>
      <c r="C417" s="71" t="n">
        <f aca="false">-SUMPRODUCT(固有振動数!$Q$6:$Q$22*固有振動数!$P$6:$P$22/((1-($A417/固有振動数!$O$6:$O$22)^2)^2+固有振動数!$P$6:$P$22^2))</f>
        <v>-2.65914734244879</v>
      </c>
      <c r="D417" s="71" t="n">
        <f aca="false">SQRT(B417^2+C417^2)</f>
        <v>30.3634720974381</v>
      </c>
      <c r="E417" s="72" t="n">
        <f aca="false">20*LOG10(MAX(D417,0.000000000001)/$K$3)</f>
        <v>29.6470286425841</v>
      </c>
      <c r="F417" s="5"/>
      <c r="G417" s="5"/>
      <c r="H417" s="5"/>
      <c r="I417" s="5"/>
      <c r="J417" s="5"/>
      <c r="K417" s="5"/>
      <c r="L417" s="5"/>
      <c r="M417" s="5"/>
      <c r="N417" s="5"/>
    </row>
    <row r="418" customFormat="false" ht="15" hidden="false" customHeight="false" outlineLevel="0" collapsed="false">
      <c r="A418" s="71" t="n">
        <f aca="false">A417+$F$3</f>
        <v>8240</v>
      </c>
      <c r="B418" s="71" t="n">
        <f aca="false">SUMPRODUCT(固有振動数!$Q$6:$Q$22*(1-($A418/固有振動数!$O$6:$O$22)^2)/((1-($A418/固有振動数!$O$6:$O$22)^2)^2+固有振動数!$P$6:$P$22^2))</f>
        <v>31.4162666448989</v>
      </c>
      <c r="C418" s="71" t="n">
        <f aca="false">-SUMPRODUCT(固有振動数!$Q$6:$Q$22*固有振動数!$P$6:$P$22/((1-($A418/固有振動数!$O$6:$O$22)^2)^2+固有振動数!$P$6:$P$22^2))</f>
        <v>-3.04032008616299</v>
      </c>
      <c r="D418" s="71" t="n">
        <f aca="false">SQRT(B418^2+C418^2)</f>
        <v>31.5630378152946</v>
      </c>
      <c r="E418" s="72" t="n">
        <f aca="false">20*LOG10(MAX(D418,0.000000000001)/$K$3)</f>
        <v>29.9835759128823</v>
      </c>
      <c r="F418" s="5"/>
      <c r="G418" s="5"/>
      <c r="H418" s="5"/>
      <c r="I418" s="5"/>
      <c r="J418" s="5"/>
      <c r="K418" s="5"/>
      <c r="L418" s="5"/>
      <c r="M418" s="5"/>
      <c r="N418" s="5"/>
    </row>
    <row r="419" customFormat="false" ht="15" hidden="false" customHeight="false" outlineLevel="0" collapsed="false">
      <c r="A419" s="71" t="n">
        <f aca="false">A418+$F$3</f>
        <v>8260</v>
      </c>
      <c r="B419" s="71" t="n">
        <f aca="false">SUMPRODUCT(固有振動数!$Q$6:$Q$22*(1-($A419/固有振動数!$O$6:$O$22)^2)/((1-($A419/固有振動数!$O$6:$O$22)^2)^2+固有振動数!$P$6:$P$22^2))</f>
        <v>32.761548424609</v>
      </c>
      <c r="C419" s="71" t="n">
        <f aca="false">-SUMPRODUCT(固有振動数!$Q$6:$Q$22*固有振動数!$P$6:$P$22/((1-($A419/固有振動数!$O$6:$O$22)^2)^2+固有振動数!$P$6:$P$22^2))</f>
        <v>-3.51857177902444</v>
      </c>
      <c r="D419" s="71" t="n">
        <f aca="false">SQRT(B419^2+C419^2)</f>
        <v>32.9499529975712</v>
      </c>
      <c r="E419" s="72" t="n">
        <f aca="false">20*LOG10(MAX(D419,0.000000000001)/$K$3)</f>
        <v>30.3570959883669</v>
      </c>
      <c r="F419" s="5"/>
      <c r="G419" s="5"/>
      <c r="H419" s="5"/>
      <c r="I419" s="5"/>
      <c r="J419" s="5"/>
      <c r="K419" s="5"/>
      <c r="L419" s="5"/>
      <c r="M419" s="5"/>
      <c r="N419" s="5"/>
    </row>
    <row r="420" customFormat="false" ht="15" hidden="false" customHeight="false" outlineLevel="0" collapsed="false">
      <c r="A420" s="71" t="n">
        <f aca="false">A419+$F$3</f>
        <v>8280</v>
      </c>
      <c r="B420" s="71" t="n">
        <f aca="false">SUMPRODUCT(固有振動数!$Q$6:$Q$22*(1-($A420/固有振動数!$O$6:$O$22)^2)/((1-($A420/固有振動数!$O$6:$O$22)^2)^2+固有振動数!$P$6:$P$22^2))</f>
        <v>34.3249253785727</v>
      </c>
      <c r="C420" s="71" t="n">
        <f aca="false">-SUMPRODUCT(固有振動数!$Q$6:$Q$22*固有振動数!$P$6:$P$22/((1-($A420/固有振動数!$O$6:$O$22)^2)^2+固有振動数!$P$6:$P$22^2))</f>
        <v>-4.12955372307266</v>
      </c>
      <c r="D420" s="71" t="n">
        <f aca="false">SQRT(B420^2+C420^2)</f>
        <v>34.5724415712331</v>
      </c>
      <c r="E420" s="72" t="n">
        <f aca="false">20*LOG10(MAX(D420,0.000000000001)/$K$3)</f>
        <v>30.7746010264689</v>
      </c>
      <c r="F420" s="5"/>
      <c r="G420" s="5"/>
      <c r="H420" s="5"/>
      <c r="I420" s="5"/>
      <c r="J420" s="5"/>
      <c r="K420" s="5"/>
      <c r="L420" s="5"/>
      <c r="M420" s="5"/>
      <c r="N420" s="5"/>
    </row>
    <row r="421" customFormat="false" ht="15" hidden="false" customHeight="false" outlineLevel="0" collapsed="false">
      <c r="A421" s="71" t="n">
        <f aca="false">A420+$F$3</f>
        <v>8300</v>
      </c>
      <c r="B421" s="71" t="n">
        <f aca="false">SUMPRODUCT(固有振動数!$Q$6:$Q$22*(1-($A421/固有振動数!$O$6:$O$22)^2)/((1-($A421/固有振動数!$O$6:$O$22)^2)^2+固有振動数!$P$6:$P$22^2))</f>
        <v>36.1622447467068</v>
      </c>
      <c r="C421" s="71" t="n">
        <f aca="false">-SUMPRODUCT(固有振動数!$Q$6:$Q$22*固有振動数!$P$6:$P$22/((1-($A421/固有振動数!$O$6:$O$22)^2)^2+固有振動数!$P$6:$P$22^2))</f>
        <v>-4.92661851747877</v>
      </c>
      <c r="D421" s="71" t="n">
        <f aca="false">SQRT(B421^2+C421^2)</f>
        <v>36.4962945398226</v>
      </c>
      <c r="E421" s="72" t="n">
        <f aca="false">20*LOG10(MAX(D421,0.000000000001)/$K$3)</f>
        <v>31.2449754575683</v>
      </c>
      <c r="F421" s="5"/>
      <c r="G421" s="5"/>
      <c r="H421" s="5"/>
      <c r="I421" s="5"/>
      <c r="J421" s="5"/>
      <c r="K421" s="5"/>
      <c r="L421" s="5"/>
      <c r="M421" s="5"/>
      <c r="N421" s="5"/>
    </row>
    <row r="422" customFormat="false" ht="15" hidden="false" customHeight="false" outlineLevel="0" collapsed="false">
      <c r="A422" s="71" t="n">
        <f aca="false">A421+$F$3</f>
        <v>8320</v>
      </c>
      <c r="B422" s="71" t="n">
        <f aca="false">SUMPRODUCT(固有振動数!$Q$6:$Q$22*(1-($A422/固有振動数!$O$6:$O$22)^2)/((1-($A422/固有振動数!$O$6:$O$22)^2)^2+固有振動数!$P$6:$P$22^2))</f>
        <v>38.3479521110203</v>
      </c>
      <c r="C422" s="71" t="n">
        <f aca="false">-SUMPRODUCT(固有振動数!$Q$6:$Q$22*固有振動数!$P$6:$P$22/((1-($A422/固有振動数!$O$6:$O$22)^2)^2+固有振動数!$P$6:$P$22^2))</f>
        <v>-5.99223952294834</v>
      </c>
      <c r="D422" s="71" t="n">
        <f aca="false">SQRT(B422^2+C422^2)</f>
        <v>38.8133014005443</v>
      </c>
      <c r="E422" s="72" t="n">
        <f aca="false">20*LOG10(MAX(D422,0.000000000001)/$K$3)</f>
        <v>31.7796116948207</v>
      </c>
      <c r="F422" s="5"/>
      <c r="G422" s="5"/>
      <c r="H422" s="5"/>
      <c r="I422" s="5"/>
      <c r="J422" s="5"/>
      <c r="K422" s="5"/>
      <c r="L422" s="5"/>
      <c r="M422" s="5"/>
      <c r="N422" s="5"/>
    </row>
    <row r="423" customFormat="false" ht="15" hidden="false" customHeight="false" outlineLevel="0" collapsed="false">
      <c r="A423" s="71" t="n">
        <f aca="false">A422+$F$3</f>
        <v>8340</v>
      </c>
      <c r="B423" s="71" t="n">
        <f aca="false">SUMPRODUCT(固有振動数!$Q$6:$Q$22*(1-($A423/固有振動数!$O$6:$O$22)^2)/((1-($A423/固有振動数!$O$6:$O$22)^2)^2+固有振動数!$P$6:$P$22^2))</f>
        <v>40.9814700027288</v>
      </c>
      <c r="C423" s="71" t="n">
        <f aca="false">-SUMPRODUCT(固有振動数!$Q$6:$Q$22*固有振動数!$P$6:$P$22/((1-($A423/固有振動数!$O$6:$O$22)^2)^2+固有振動数!$P$6:$P$22^2))</f>
        <v>-7.45872092241713</v>
      </c>
      <c r="D423" s="71" t="n">
        <f aca="false">SQRT(B423^2+C423^2)</f>
        <v>41.6546924293418</v>
      </c>
      <c r="E423" s="72" t="n">
        <f aca="false">20*LOG10(MAX(D423,0.000000000001)/$K$3)</f>
        <v>32.3932786413293</v>
      </c>
      <c r="F423" s="5"/>
      <c r="G423" s="5"/>
      <c r="H423" s="5"/>
      <c r="I423" s="5"/>
      <c r="J423" s="5"/>
      <c r="K423" s="5"/>
      <c r="L423" s="5"/>
      <c r="M423" s="5"/>
      <c r="N423" s="5"/>
    </row>
    <row r="424" customFormat="false" ht="15" hidden="false" customHeight="false" outlineLevel="0" collapsed="false">
      <c r="A424" s="71" t="n">
        <f aca="false">A423+$F$3</f>
        <v>8360</v>
      </c>
      <c r="B424" s="71" t="n">
        <f aca="false">SUMPRODUCT(固有振動数!$Q$6:$Q$22*(1-($A424/固有振動数!$O$6:$O$22)^2)/((1-($A424/固有振動数!$O$6:$O$22)^2)^2+固有振動数!$P$6:$P$22^2))</f>
        <v>44.1934134400629</v>
      </c>
      <c r="C424" s="71" t="n">
        <f aca="false">-SUMPRODUCT(固有振動数!$Q$6:$Q$22*固有振動数!$P$6:$P$22/((1-($A424/固有振動数!$O$6:$O$22)^2)^2+固有振動数!$P$6:$P$22^2))</f>
        <v>-9.54744512549343</v>
      </c>
      <c r="D424" s="71" t="n">
        <f aca="false">SQRT(B424^2+C424^2)</f>
        <v>45.2129572126027</v>
      </c>
      <c r="E424" s="72" t="n">
        <f aca="false">20*LOG10(MAX(D424,0.000000000001)/$K$3)</f>
        <v>33.1052582712382</v>
      </c>
      <c r="F424" s="5"/>
      <c r="G424" s="5"/>
      <c r="H424" s="5"/>
      <c r="I424" s="5"/>
      <c r="J424" s="5"/>
      <c r="K424" s="5"/>
      <c r="L424" s="5"/>
      <c r="M424" s="5"/>
      <c r="N424" s="5"/>
    </row>
    <row r="425" customFormat="false" ht="15" hidden="false" customHeight="false" outlineLevel="0" collapsed="false">
      <c r="A425" s="71" t="n">
        <f aca="false">A424+$F$3</f>
        <v>8380</v>
      </c>
      <c r="B425" s="71" t="n">
        <f aca="false">SUMPRODUCT(固有振動数!$Q$6:$Q$22*(1-($A425/固有振動数!$O$6:$O$22)^2)/((1-($A425/固有振動数!$O$6:$O$22)^2)^2+固有振動数!$P$6:$P$22^2))</f>
        <v>48.1439835879581</v>
      </c>
      <c r="C425" s="71" t="n">
        <f aca="false">-SUMPRODUCT(固有振動数!$Q$6:$Q$22*固有振動数!$P$6:$P$22/((1-($A425/固有振動数!$O$6:$O$22)^2)^2+固有振動数!$P$6:$P$22^2))</f>
        <v>-12.6466236691782</v>
      </c>
      <c r="D425" s="71" t="n">
        <f aca="false">SQRT(B425^2+C425^2)</f>
        <v>49.7773065356835</v>
      </c>
      <c r="E425" s="72" t="n">
        <f aca="false">20*LOG10(MAX(D425,0.000000000001)/$K$3)</f>
        <v>33.9406278621903</v>
      </c>
      <c r="F425" s="5"/>
      <c r="G425" s="5"/>
      <c r="H425" s="5"/>
      <c r="I425" s="5"/>
      <c r="J425" s="5"/>
      <c r="K425" s="5"/>
      <c r="L425" s="5"/>
      <c r="M425" s="5"/>
      <c r="N425" s="5"/>
    </row>
    <row r="426" customFormat="false" ht="15" hidden="false" customHeight="false" outlineLevel="0" collapsed="false">
      <c r="A426" s="71" t="n">
        <f aca="false">A425+$F$3</f>
        <v>8400</v>
      </c>
      <c r="B426" s="71" t="n">
        <f aca="false">SUMPRODUCT(固有振動数!$Q$6:$Q$22*(1-($A426/固有振動数!$O$6:$O$22)^2)/((1-($A426/固有振動数!$O$6:$O$22)^2)^2+固有振動数!$P$6:$P$22^2))</f>
        <v>52.9822097155667</v>
      </c>
      <c r="C426" s="71" t="n">
        <f aca="false">-SUMPRODUCT(固有振動数!$Q$6:$Q$22*固有振動数!$P$6:$P$22/((1-($A426/固有振動数!$O$6:$O$22)^2)^2+固有振動数!$P$6:$P$22^2))</f>
        <v>-17.4708853300539</v>
      </c>
      <c r="D426" s="71" t="n">
        <f aca="false">SQRT(B426^2+C426^2)</f>
        <v>55.7884072237251</v>
      </c>
      <c r="E426" s="72" t="n">
        <f aca="false">20*LOG10(MAX(D426,0.000000000001)/$K$3)</f>
        <v>34.9308792469127</v>
      </c>
      <c r="F426" s="5"/>
      <c r="G426" s="5"/>
      <c r="H426" s="5"/>
      <c r="I426" s="5"/>
      <c r="J426" s="5"/>
      <c r="K426" s="5"/>
      <c r="L426" s="5"/>
      <c r="M426" s="5"/>
      <c r="N426" s="5"/>
    </row>
    <row r="427" customFormat="false" ht="15" hidden="false" customHeight="false" outlineLevel="0" collapsed="false">
      <c r="A427" s="71" t="n">
        <f aca="false">A426+$F$3</f>
        <v>8420</v>
      </c>
      <c r="B427" s="71" t="n">
        <f aca="false">SUMPRODUCT(固有振動数!$Q$6:$Q$22*(1-($A427/固有振動数!$O$6:$O$22)^2)/((1-($A427/固有振動数!$O$6:$O$22)^2)^2+固有振動数!$P$6:$P$22^2))</f>
        <v>58.6429414565958</v>
      </c>
      <c r="C427" s="71" t="n">
        <f aca="false">-SUMPRODUCT(固有振動数!$Q$6:$Q$22*固有振動数!$P$6:$P$22/((1-($A427/固有振動数!$O$6:$O$22)^2)^2+固有振動数!$P$6:$P$22^2))</f>
        <v>-25.3872372858365</v>
      </c>
      <c r="D427" s="71" t="n">
        <f aca="false">SQRT(B427^2+C427^2)</f>
        <v>63.9023192043066</v>
      </c>
      <c r="E427" s="72" t="n">
        <f aca="false">20*LOG10(MAX(D427,0.000000000001)/$K$3)</f>
        <v>36.1103324055327</v>
      </c>
      <c r="F427" s="5"/>
      <c r="G427" s="5"/>
      <c r="H427" s="5"/>
      <c r="I427" s="5"/>
      <c r="J427" s="5"/>
      <c r="K427" s="5"/>
      <c r="L427" s="5"/>
      <c r="M427" s="5"/>
      <c r="N427" s="5"/>
    </row>
    <row r="428" customFormat="false" ht="15" hidden="false" customHeight="false" outlineLevel="0" collapsed="false">
      <c r="A428" s="71" t="n">
        <f aca="false">A427+$F$3</f>
        <v>8440</v>
      </c>
      <c r="B428" s="71" t="n">
        <f aca="false">SUMPRODUCT(固有振動数!$Q$6:$Q$22*(1-($A428/固有振動数!$O$6:$O$22)^2)/((1-($A428/固有振動数!$O$6:$O$22)^2)^2+固有振動数!$P$6:$P$22^2))</f>
        <v>64.0102631575203</v>
      </c>
      <c r="C428" s="71" t="n">
        <f aca="false">-SUMPRODUCT(固有振動数!$Q$6:$Q$22*固有振動数!$P$6:$P$22/((1-($A428/固有振動数!$O$6:$O$22)^2)^2+固有振動数!$P$6:$P$22^2))</f>
        <v>-38.9684174712587</v>
      </c>
      <c r="D428" s="71" t="n">
        <f aca="false">SQRT(B428^2+C428^2)</f>
        <v>74.9389841785255</v>
      </c>
      <c r="E428" s="72" t="n">
        <f aca="false">20*LOG10(MAX(D428,0.000000000001)/$K$3)</f>
        <v>37.4941560359906</v>
      </c>
      <c r="F428" s="5"/>
      <c r="G428" s="5"/>
      <c r="H428" s="5"/>
      <c r="I428" s="5"/>
      <c r="J428" s="5"/>
      <c r="K428" s="5"/>
      <c r="L428" s="5"/>
      <c r="M428" s="5"/>
      <c r="N428" s="5"/>
    </row>
    <row r="429" customFormat="false" ht="15" hidden="false" customHeight="false" outlineLevel="0" collapsed="false">
      <c r="A429" s="71" t="n">
        <f aca="false">A428+$F$3</f>
        <v>8460</v>
      </c>
      <c r="B429" s="71" t="n">
        <f aca="false">SUMPRODUCT(固有振動数!$Q$6:$Q$22*(1-($A429/固有振動数!$O$6:$O$22)^2)/((1-($A429/固有振動数!$O$6:$O$22)^2)^2+固有振動数!$P$6:$P$22^2))</f>
        <v>63.9702960781363</v>
      </c>
      <c r="C429" s="71" t="n">
        <f aca="false">-SUMPRODUCT(固有振動数!$Q$6:$Q$22*固有振動数!$P$6:$P$22/((1-($A429/固有振動数!$O$6:$O$22)^2)^2+固有振動数!$P$6:$P$22^2))</f>
        <v>-61.8567545244345</v>
      </c>
      <c r="D429" s="71" t="n">
        <f aca="false">SQRT(B429^2+C429^2)</f>
        <v>88.9857115531509</v>
      </c>
      <c r="E429" s="72" t="n">
        <f aca="false">20*LOG10(MAX(D429,0.000000000001)/$K$3)</f>
        <v>38.9864055504724</v>
      </c>
      <c r="F429" s="5"/>
      <c r="G429" s="5"/>
      <c r="H429" s="5"/>
      <c r="I429" s="5"/>
      <c r="J429" s="5"/>
      <c r="K429" s="5"/>
      <c r="L429" s="5"/>
      <c r="M429" s="5"/>
      <c r="N429" s="5"/>
    </row>
    <row r="430" customFormat="false" ht="15" hidden="false" customHeight="false" outlineLevel="0" collapsed="false">
      <c r="A430" s="71" t="n">
        <f aca="false">A429+$F$3</f>
        <v>8480</v>
      </c>
      <c r="B430" s="71" t="n">
        <f aca="false">SUMPRODUCT(固有振動数!$Q$6:$Q$22*(1-($A430/固有振動数!$O$6:$O$22)^2)/((1-($A430/固有振動数!$O$6:$O$22)^2)^2+固有振動数!$P$6:$P$22^2))</f>
        <v>44.3803807947284</v>
      </c>
      <c r="C430" s="71" t="n">
        <f aca="false">-SUMPRODUCT(固有振動数!$Q$6:$Q$22*固有振動数!$P$6:$P$22/((1-($A430/固有振動数!$O$6:$O$22)^2)^2+固有振動数!$P$6:$P$22^2))</f>
        <v>-90.971890397768</v>
      </c>
      <c r="D430" s="71" t="n">
        <f aca="false">SQRT(B430^2+C430^2)</f>
        <v>101.220072327719</v>
      </c>
      <c r="E430" s="72" t="n">
        <f aca="false">20*LOG10(MAX(D430,0.000000000001)/$K$3)</f>
        <v>40.1053328660386</v>
      </c>
      <c r="F430" s="5"/>
      <c r="G430" s="5"/>
      <c r="H430" s="5"/>
      <c r="I430" s="5"/>
      <c r="J430" s="5"/>
      <c r="K430" s="5"/>
      <c r="L430" s="5"/>
      <c r="M430" s="5"/>
      <c r="N430" s="5"/>
    </row>
    <row r="431" customFormat="false" ht="15" hidden="false" customHeight="false" outlineLevel="0" collapsed="false">
      <c r="A431" s="71" t="n">
        <f aca="false">A430+$F$3</f>
        <v>8500</v>
      </c>
      <c r="B431" s="71" t="n">
        <f aca="false">SUMPRODUCT(固有振動数!$Q$6:$Q$22*(1-($A431/固有振動数!$O$6:$O$22)^2)/((1-($A431/固有振動数!$O$6:$O$22)^2)^2+固有振動数!$P$6:$P$22^2))</f>
        <v>0.647631547373818</v>
      </c>
      <c r="C431" s="71" t="n">
        <f aca="false">-SUMPRODUCT(固有振動数!$Q$6:$Q$22*固有振動数!$P$6:$P$22/((1-($A431/固有振動数!$O$6:$O$22)^2)^2+固有振動数!$P$6:$P$22^2))</f>
        <v>-98.0101842024937</v>
      </c>
      <c r="D431" s="71" t="n">
        <f aca="false">SQRT(B431^2+C431^2)</f>
        <v>98.0123238885187</v>
      </c>
      <c r="E431" s="72" t="n">
        <f aca="false">20*LOG10(MAX(D431,0.000000000001)/$K$3)</f>
        <v>39.8256137302331</v>
      </c>
      <c r="F431" s="5"/>
      <c r="G431" s="5"/>
      <c r="H431" s="5"/>
      <c r="I431" s="5"/>
      <c r="J431" s="5"/>
      <c r="K431" s="5"/>
      <c r="L431" s="5"/>
      <c r="M431" s="5"/>
      <c r="N431" s="5"/>
    </row>
    <row r="432" customFormat="false" ht="15" hidden="false" customHeight="false" outlineLevel="0" collapsed="false">
      <c r="A432" s="71" t="n">
        <f aca="false">A431+$F$3</f>
        <v>8520</v>
      </c>
      <c r="B432" s="71" t="n">
        <f aca="false">SUMPRODUCT(固有振動数!$Q$6:$Q$22*(1-($A432/固有振動数!$O$6:$O$22)^2)/((1-($A432/固有振動数!$O$6:$O$22)^2)^2+固有振動数!$P$6:$P$22^2))</f>
        <v>-29.4165661431697</v>
      </c>
      <c r="C432" s="71" t="n">
        <f aca="false">-SUMPRODUCT(固有振動数!$Q$6:$Q$22*固有振動数!$P$6:$P$22/((1-($A432/固有振動数!$O$6:$O$22)^2)^2+固有振動数!$P$6:$P$22^2))</f>
        <v>-72.2854718180786</v>
      </c>
      <c r="D432" s="71" t="n">
        <f aca="false">SQRT(B432^2+C432^2)</f>
        <v>78.0418080237619</v>
      </c>
      <c r="E432" s="72" t="n">
        <f aca="false">20*LOG10(MAX(D432,0.000000000001)/$K$3)</f>
        <v>37.8465464460353</v>
      </c>
      <c r="F432" s="5"/>
      <c r="G432" s="5"/>
      <c r="H432" s="5"/>
      <c r="I432" s="5"/>
      <c r="J432" s="5"/>
      <c r="K432" s="5"/>
      <c r="L432" s="5"/>
      <c r="M432" s="5"/>
      <c r="N432" s="5"/>
    </row>
    <row r="433" customFormat="false" ht="15" hidden="false" customHeight="false" outlineLevel="0" collapsed="false">
      <c r="A433" s="71" t="n">
        <f aca="false">A432+$F$3</f>
        <v>8540</v>
      </c>
      <c r="B433" s="71" t="n">
        <f aca="false">SUMPRODUCT(固有振動数!$Q$6:$Q$22*(1-($A433/固有振動数!$O$6:$O$22)^2)/((1-($A433/固有振動数!$O$6:$O$22)^2)^2+固有振動数!$P$6:$P$22^2))</f>
        <v>-34.2863382064791</v>
      </c>
      <c r="C433" s="71" t="n">
        <f aca="false">-SUMPRODUCT(固有振動数!$Q$6:$Q$22*固有振動数!$P$6:$P$22/((1-($A433/固有振動数!$O$6:$O$22)^2)^2+固有振動数!$P$6:$P$22^2))</f>
        <v>-45.6774932444641</v>
      </c>
      <c r="D433" s="71" t="n">
        <f aca="false">SQRT(B433^2+C433^2)</f>
        <v>57.1138019808446</v>
      </c>
      <c r="E433" s="72" t="n">
        <f aca="false">20*LOG10(MAX(D433,0.000000000001)/$K$3)</f>
        <v>35.134821429295</v>
      </c>
      <c r="F433" s="5"/>
      <c r="G433" s="5"/>
      <c r="H433" s="5"/>
      <c r="I433" s="5"/>
      <c r="J433" s="5"/>
      <c r="K433" s="5"/>
      <c r="L433" s="5"/>
      <c r="M433" s="5"/>
      <c r="N433" s="5"/>
    </row>
    <row r="434" customFormat="false" ht="15" hidden="false" customHeight="false" outlineLevel="0" collapsed="false">
      <c r="A434" s="71" t="n">
        <f aca="false">A433+$F$3</f>
        <v>8560</v>
      </c>
      <c r="B434" s="71" t="n">
        <f aca="false">SUMPRODUCT(固有振動数!$Q$6:$Q$22*(1-($A434/固有振動数!$O$6:$O$22)^2)/((1-($A434/固有振動数!$O$6:$O$22)^2)^2+固有振動数!$P$6:$P$22^2))</f>
        <v>-29.7649099585282</v>
      </c>
      <c r="C434" s="71" t="n">
        <f aca="false">-SUMPRODUCT(固有振動数!$Q$6:$Q$22*固有振動数!$P$6:$P$22/((1-($A434/固有振動数!$O$6:$O$22)^2)^2+固有振動数!$P$6:$P$22^2))</f>
        <v>-29.1066851110561</v>
      </c>
      <c r="D434" s="71" t="n">
        <f aca="false">SQRT(B434^2+C434^2)</f>
        <v>41.6311059544839</v>
      </c>
      <c r="E434" s="72" t="n">
        <f aca="false">20*LOG10(MAX(D434,0.000000000001)/$K$3)</f>
        <v>32.3883589664983</v>
      </c>
      <c r="F434" s="5"/>
      <c r="G434" s="5"/>
      <c r="H434" s="5"/>
      <c r="I434" s="5"/>
      <c r="J434" s="5"/>
      <c r="K434" s="5"/>
      <c r="L434" s="5"/>
      <c r="M434" s="5"/>
      <c r="N434" s="5"/>
    </row>
    <row r="435" customFormat="false" ht="15" hidden="false" customHeight="false" outlineLevel="0" collapsed="false">
      <c r="A435" s="71" t="n">
        <f aca="false">A434+$F$3</f>
        <v>8580</v>
      </c>
      <c r="B435" s="71" t="n">
        <f aca="false">SUMPRODUCT(固有振動数!$Q$6:$Q$22*(1-($A435/固有振動数!$O$6:$O$22)^2)/((1-($A435/固有振動数!$O$6:$O$22)^2)^2+固有振動数!$P$6:$P$22^2))</f>
        <v>-23.8722911589332</v>
      </c>
      <c r="C435" s="71" t="n">
        <f aca="false">-SUMPRODUCT(固有振動数!$Q$6:$Q$22*固有振動数!$P$6:$P$22/((1-($A435/固有振動数!$O$6:$O$22)^2)^2+固有振動数!$P$6:$P$22^2))</f>
        <v>-19.5416087782009</v>
      </c>
      <c r="D435" s="71" t="n">
        <f aca="false">SQRT(B435^2+C435^2)</f>
        <v>30.8506200718419</v>
      </c>
      <c r="E435" s="72" t="n">
        <f aca="false">20*LOG10(MAX(D435,0.000000000001)/$K$3)</f>
        <v>29.7852779483078</v>
      </c>
      <c r="F435" s="5"/>
      <c r="G435" s="5"/>
      <c r="H435" s="5"/>
      <c r="I435" s="5"/>
      <c r="J435" s="5"/>
      <c r="K435" s="5"/>
      <c r="L435" s="5"/>
      <c r="M435" s="5"/>
      <c r="N435" s="5"/>
    </row>
    <row r="436" customFormat="false" ht="15" hidden="false" customHeight="false" outlineLevel="0" collapsed="false">
      <c r="A436" s="71" t="n">
        <f aca="false">A435+$F$3</f>
        <v>8600</v>
      </c>
      <c r="B436" s="71" t="n">
        <f aca="false">SUMPRODUCT(固有振動数!$Q$6:$Q$22*(1-($A436/固有振動数!$O$6:$O$22)^2)/((1-($A436/固有振動数!$O$6:$O$22)^2)^2+固有振動数!$P$6:$P$22^2))</f>
        <v>-18.637899045609</v>
      </c>
      <c r="C436" s="71" t="n">
        <f aca="false">-SUMPRODUCT(固有振動数!$Q$6:$Q$22*固有振動数!$P$6:$P$22/((1-($A436/固有振動数!$O$6:$O$22)^2)^2+固有振動数!$P$6:$P$22^2))</f>
        <v>-13.8389840393876</v>
      </c>
      <c r="D436" s="71" t="n">
        <f aca="false">SQRT(B436^2+C436^2)</f>
        <v>23.2139776875213</v>
      </c>
      <c r="E436" s="72" t="n">
        <f aca="false">20*LOG10(MAX(D436,0.000000000001)/$K$3)</f>
        <v>27.3149912535228</v>
      </c>
      <c r="F436" s="5"/>
      <c r="G436" s="5"/>
      <c r="H436" s="5"/>
      <c r="I436" s="5"/>
      <c r="J436" s="5"/>
      <c r="K436" s="5"/>
      <c r="L436" s="5"/>
      <c r="M436" s="5"/>
      <c r="N436" s="5"/>
    </row>
    <row r="437" customFormat="false" ht="15" hidden="false" customHeight="false" outlineLevel="0" collapsed="false">
      <c r="A437" s="71" t="n">
        <f aca="false">A436+$F$3</f>
        <v>8620</v>
      </c>
      <c r="B437" s="71" t="n">
        <f aca="false">SUMPRODUCT(固有振動数!$Q$6:$Q$22*(1-($A437/固有振動数!$O$6:$O$22)^2)/((1-($A437/固有振動数!$O$6:$O$22)^2)^2+固有振動数!$P$6:$P$22^2))</f>
        <v>-14.3349386463076</v>
      </c>
      <c r="C437" s="71" t="n">
        <f aca="false">-SUMPRODUCT(固有振動数!$Q$6:$Q$22*固有振動数!$P$6:$P$22/((1-($A437/固有振動数!$O$6:$O$22)^2)^2+固有振動数!$P$6:$P$22^2))</f>
        <v>-10.2559151809764</v>
      </c>
      <c r="D437" s="71" t="n">
        <f aca="false">SQRT(B437^2+C437^2)</f>
        <v>17.625954220773</v>
      </c>
      <c r="E437" s="72" t="n">
        <f aca="false">20*LOG10(MAX(D437,0.000000000001)/$K$3)</f>
        <v>24.9230527562173</v>
      </c>
      <c r="F437" s="5"/>
      <c r="G437" s="5"/>
      <c r="H437" s="5"/>
      <c r="I437" s="5"/>
      <c r="J437" s="5"/>
      <c r="K437" s="5"/>
      <c r="L437" s="5"/>
      <c r="M437" s="5"/>
      <c r="N437" s="5"/>
    </row>
    <row r="438" customFormat="false" ht="15" hidden="false" customHeight="false" outlineLevel="0" collapsed="false">
      <c r="A438" s="71" t="n">
        <f aca="false">A437+$F$3</f>
        <v>8640</v>
      </c>
      <c r="B438" s="71" t="n">
        <f aca="false">SUMPRODUCT(固有振動数!$Q$6:$Q$22*(1-($A438/固有振動数!$O$6:$O$22)^2)/((1-($A438/固有振動数!$O$6:$O$22)^2)^2+固有振動数!$P$6:$P$22^2))</f>
        <v>-10.8437105751117</v>
      </c>
      <c r="C438" s="71" t="n">
        <f aca="false">-SUMPRODUCT(固有振動数!$Q$6:$Q$22*固有振動数!$P$6:$P$22/((1-($A438/固有振動数!$O$6:$O$22)^2)^2+固有振動数!$P$6:$P$22^2))</f>
        <v>-7.88845934288151</v>
      </c>
      <c r="D438" s="71" t="n">
        <f aca="false">SQRT(B438^2+C438^2)</f>
        <v>13.4094686636378</v>
      </c>
      <c r="E438" s="72" t="n">
        <f aca="false">20*LOG10(MAX(D438,0.000000000001)/$K$3)</f>
        <v>22.5482313944342</v>
      </c>
      <c r="F438" s="5"/>
      <c r="G438" s="5"/>
      <c r="H438" s="5"/>
      <c r="I438" s="5"/>
      <c r="J438" s="5"/>
      <c r="K438" s="5"/>
      <c r="L438" s="5"/>
      <c r="M438" s="5"/>
      <c r="N438" s="5"/>
    </row>
    <row r="439" customFormat="false" ht="15" hidden="false" customHeight="false" outlineLevel="0" collapsed="false">
      <c r="A439" s="71" t="n">
        <f aca="false">A438+$F$3</f>
        <v>8660</v>
      </c>
      <c r="B439" s="71" t="n">
        <f aca="false">SUMPRODUCT(固有振動数!$Q$6:$Q$22*(1-($A439/固有振動数!$O$6:$O$22)^2)/((1-($A439/固有振動数!$O$6:$O$22)^2)^2+固有振動数!$P$6:$P$22^2))</f>
        <v>-7.99432825754747</v>
      </c>
      <c r="C439" s="71" t="n">
        <f aca="false">-SUMPRODUCT(固有振動数!$Q$6:$Q$22*固有振動数!$P$6:$P$22/((1-($A439/固有振動数!$O$6:$O$22)^2)^2+固有振動数!$P$6:$P$22^2))</f>
        <v>-6.25468508564572</v>
      </c>
      <c r="D439" s="71" t="n">
        <f aca="false">SQRT(B439^2+C439^2)</f>
        <v>10.1503876679672</v>
      </c>
      <c r="E439" s="72" t="n">
        <f aca="false">20*LOG10(MAX(D439,0.000000000001)/$K$3)</f>
        <v>20.1296525865489</v>
      </c>
      <c r="F439" s="5"/>
      <c r="G439" s="5"/>
      <c r="H439" s="5"/>
      <c r="I439" s="5"/>
      <c r="J439" s="5"/>
      <c r="K439" s="5"/>
      <c r="L439" s="5"/>
      <c r="M439" s="5"/>
      <c r="N439" s="5"/>
    </row>
    <row r="440" customFormat="false" ht="15" hidden="false" customHeight="false" outlineLevel="0" collapsed="false">
      <c r="A440" s="71" t="n">
        <f aca="false">A439+$F$3</f>
        <v>8680</v>
      </c>
      <c r="B440" s="71" t="n">
        <f aca="false">SUMPRODUCT(固有振動数!$Q$6:$Q$22*(1-($A440/固有振動数!$O$6:$O$22)^2)/((1-($A440/固有振動数!$O$6:$O$22)^2)^2+固有振動数!$P$6:$P$22^2))</f>
        <v>-5.6414062937241</v>
      </c>
      <c r="C440" s="71" t="n">
        <f aca="false">-SUMPRODUCT(固有振動数!$Q$6:$Q$22*固有振動数!$P$6:$P$22/((1-($A440/固有振動数!$O$6:$O$22)^2)^2+固有振動数!$P$6:$P$22^2))</f>
        <v>-5.08518498924827</v>
      </c>
      <c r="D440" s="71" t="n">
        <f aca="false">SQRT(B440^2+C440^2)</f>
        <v>7.59503596737671</v>
      </c>
      <c r="E440" s="72" t="n">
        <f aca="false">20*LOG10(MAX(D440,0.000000000001)/$K$3)</f>
        <v>17.6105966973434</v>
      </c>
      <c r="F440" s="5"/>
      <c r="G440" s="5"/>
      <c r="H440" s="5"/>
      <c r="I440" s="5"/>
      <c r="J440" s="5"/>
      <c r="K440" s="5"/>
      <c r="L440" s="5"/>
      <c r="M440" s="5"/>
      <c r="N440" s="5"/>
    </row>
    <row r="441" customFormat="false" ht="15" hidden="false" customHeight="false" outlineLevel="0" collapsed="false">
      <c r="A441" s="71" t="n">
        <f aca="false">A440+$F$3</f>
        <v>8700</v>
      </c>
      <c r="B441" s="71" t="n">
        <f aca="false">SUMPRODUCT(固有振動数!$Q$6:$Q$22*(1-($A441/固有振動数!$O$6:$O$22)^2)/((1-($A441/固有振動数!$O$6:$O$22)^2)^2+固有振動数!$P$6:$P$22^2))</f>
        <v>-3.67300973978504</v>
      </c>
      <c r="C441" s="71" t="n">
        <f aca="false">-SUMPRODUCT(固有振動数!$Q$6:$Q$22*固有振動数!$P$6:$P$22/((1-($A441/固有振動数!$O$6:$O$22)^2)^2+固有振動数!$P$6:$P$22^2))</f>
        <v>-4.22190517737763</v>
      </c>
      <c r="D441" s="71" t="n">
        <f aca="false">SQRT(B441^2+C441^2)</f>
        <v>5.59602393448453</v>
      </c>
      <c r="E441" s="72" t="n">
        <f aca="false">20*LOG10(MAX(D441,0.000000000001)/$K$3)</f>
        <v>14.9575912664756</v>
      </c>
      <c r="F441" s="5"/>
      <c r="G441" s="5"/>
      <c r="H441" s="5"/>
      <c r="I441" s="5"/>
      <c r="J441" s="5"/>
      <c r="K441" s="5"/>
      <c r="L441" s="5"/>
      <c r="M441" s="5"/>
      <c r="N441" s="5"/>
    </row>
    <row r="442" customFormat="false" ht="15" hidden="false" customHeight="false" outlineLevel="0" collapsed="false">
      <c r="A442" s="71" t="n">
        <f aca="false">A441+$F$3</f>
        <v>8720</v>
      </c>
      <c r="B442" s="71" t="n">
        <f aca="false">SUMPRODUCT(固有振動数!$Q$6:$Q$22*(1-($A442/固有振動数!$O$6:$O$22)^2)/((1-($A442/固有振動数!$O$6:$O$22)^2)^2+固有振動数!$P$6:$P$22^2))</f>
        <v>-2.00529515016143</v>
      </c>
      <c r="C442" s="71" t="n">
        <f aca="false">-SUMPRODUCT(固有振動数!$Q$6:$Q$22*固有振動数!$P$6:$P$22/((1-($A442/固有振動数!$O$6:$O$22)^2)^2+固有振動数!$P$6:$P$22^2))</f>
        <v>-3.56793543293178</v>
      </c>
      <c r="D442" s="71" t="n">
        <f aca="false">SQRT(B442^2+C442^2)</f>
        <v>4.0928439858894</v>
      </c>
      <c r="E442" s="72" t="n">
        <f aca="false">20*LOG10(MAX(D442,0.000000000001)/$K$3)</f>
        <v>12.2405038039305</v>
      </c>
      <c r="F442" s="5"/>
      <c r="G442" s="5"/>
      <c r="H442" s="5"/>
      <c r="I442" s="5"/>
      <c r="J442" s="5"/>
      <c r="K442" s="5"/>
      <c r="L442" s="5"/>
      <c r="M442" s="5"/>
      <c r="N442" s="5"/>
    </row>
    <row r="443" customFormat="false" ht="15" hidden="false" customHeight="false" outlineLevel="0" collapsed="false">
      <c r="A443" s="71" t="n">
        <f aca="false">A442+$F$3</f>
        <v>8740</v>
      </c>
      <c r="B443" s="71" t="n">
        <f aca="false">SUMPRODUCT(固有振動数!$Q$6:$Q$22*(1-($A443/固有振動数!$O$6:$O$22)^2)/((1-($A443/固有振動数!$O$6:$O$22)^2)^2+固有振動数!$P$6:$P$22^2))</f>
        <v>-0.57559123720326</v>
      </c>
      <c r="C443" s="71" t="n">
        <f aca="false">-SUMPRODUCT(固有振動数!$Q$6:$Q$22*固有振動数!$P$6:$P$22/((1-($A443/固有振動数!$O$6:$O$22)^2)^2+固有振動数!$P$6:$P$22^2))</f>
        <v>-3.06149221308706</v>
      </c>
      <c r="D443" s="71" t="n">
        <f aca="false">SQRT(B443^2+C443^2)</f>
        <v>3.11513079069529</v>
      </c>
      <c r="E443" s="72" t="n">
        <f aca="false">20*LOG10(MAX(D443,0.000000000001)/$K$3)</f>
        <v>9.86952571001488</v>
      </c>
      <c r="F443" s="5"/>
      <c r="G443" s="5"/>
      <c r="H443" s="5"/>
      <c r="I443" s="5"/>
      <c r="J443" s="5"/>
      <c r="K443" s="5"/>
      <c r="L443" s="5"/>
      <c r="M443" s="5"/>
      <c r="N443" s="5"/>
    </row>
    <row r="444" customFormat="false" ht="15" hidden="false" customHeight="false" outlineLevel="0" collapsed="false">
      <c r="A444" s="71" t="n">
        <f aca="false">A443+$F$3</f>
        <v>8760</v>
      </c>
      <c r="B444" s="71" t="n">
        <f aca="false">SUMPRODUCT(固有振動数!$Q$6:$Q$22*(1-($A444/固有振動数!$O$6:$O$22)^2)/((1-($A444/固有振動数!$O$6:$O$22)^2)^2+固有振動数!$P$6:$P$22^2))</f>
        <v>0.663303034608443</v>
      </c>
      <c r="C444" s="71" t="n">
        <f aca="false">-SUMPRODUCT(固有振動数!$Q$6:$Q$22*固有振動数!$P$6:$P$22/((1-($A444/固有振動数!$O$6:$O$22)^2)^2+固有振動数!$P$6:$P$22^2))</f>
        <v>-2.66181918708618</v>
      </c>
      <c r="D444" s="71" t="n">
        <f aca="false">SQRT(B444^2+C444^2)</f>
        <v>2.74321933145363</v>
      </c>
      <c r="E444" s="72" t="n">
        <f aca="false">20*LOG10(MAX(D444,0.000000000001)/$K$3)</f>
        <v>8.76521065177654</v>
      </c>
      <c r="F444" s="5"/>
      <c r="G444" s="5"/>
      <c r="H444" s="5"/>
      <c r="I444" s="5"/>
      <c r="J444" s="5"/>
      <c r="K444" s="5"/>
      <c r="L444" s="5"/>
      <c r="M444" s="5"/>
      <c r="N444" s="5"/>
    </row>
    <row r="445" customFormat="false" ht="15" hidden="false" customHeight="false" outlineLevel="0" collapsed="false">
      <c r="A445" s="71" t="n">
        <f aca="false">A444+$F$3</f>
        <v>8780</v>
      </c>
      <c r="B445" s="71" t="n">
        <f aca="false">SUMPRODUCT(固有振動数!$Q$6:$Q$22*(1-($A445/固有振動数!$O$6:$O$22)^2)/((1-($A445/固有振動数!$O$6:$O$22)^2)^2+固有振動数!$P$6:$P$22^2))</f>
        <v>1.74733964493385</v>
      </c>
      <c r="C445" s="71" t="n">
        <f aca="false">-SUMPRODUCT(固有振動数!$Q$6:$Q$22*固有振動数!$P$6:$P$22/((1-($A445/固有振動数!$O$6:$O$22)^2)^2+固有振動数!$P$6:$P$22^2))</f>
        <v>-2.34121688462613</v>
      </c>
      <c r="D445" s="71" t="n">
        <f aca="false">SQRT(B445^2+C445^2)</f>
        <v>2.92138534527988</v>
      </c>
      <c r="E445" s="72" t="n">
        <f aca="false">20*LOG10(MAX(D445,0.000000000001)/$K$3)</f>
        <v>9.3117769271521</v>
      </c>
      <c r="F445" s="5"/>
      <c r="G445" s="5"/>
      <c r="H445" s="5"/>
      <c r="I445" s="5"/>
      <c r="J445" s="5"/>
      <c r="K445" s="5"/>
      <c r="L445" s="5"/>
      <c r="M445" s="5"/>
      <c r="N445" s="5"/>
    </row>
    <row r="446" customFormat="false" ht="15" hidden="false" customHeight="false" outlineLevel="0" collapsed="false">
      <c r="A446" s="71" t="n">
        <f aca="false">A445+$F$3</f>
        <v>8800</v>
      </c>
      <c r="B446" s="71" t="n">
        <f aca="false">SUMPRODUCT(固有振動数!$Q$6:$Q$22*(1-($A446/固有振動数!$O$6:$O$22)^2)/((1-($A446/固有振動数!$O$6:$O$22)^2)^2+固有振動数!$P$6:$P$22^2))</f>
        <v>2.70424494690298</v>
      </c>
      <c r="C446" s="71" t="n">
        <f aca="false">-SUMPRODUCT(固有振動数!$Q$6:$Q$22*固有振動数!$P$6:$P$22/((1-($A446/固有振動数!$O$6:$O$22)^2)^2+固有振動数!$P$6:$P$22^2))</f>
        <v>-2.08036088455037</v>
      </c>
      <c r="D446" s="71" t="n">
        <f aca="false">SQRT(B446^2+C446^2)</f>
        <v>3.41186783782981</v>
      </c>
      <c r="E446" s="72" t="n">
        <f aca="false">20*LOG10(MAX(D446,0.000000000001)/$K$3)</f>
        <v>10.6598439996583</v>
      </c>
      <c r="F446" s="5"/>
      <c r="G446" s="5"/>
      <c r="H446" s="5"/>
      <c r="I446" s="5"/>
      <c r="J446" s="5"/>
      <c r="K446" s="5"/>
      <c r="L446" s="5"/>
      <c r="M446" s="5"/>
      <c r="N446" s="5"/>
    </row>
    <row r="447" customFormat="false" ht="15" hidden="false" customHeight="false" outlineLevel="0" collapsed="false">
      <c r="A447" s="71" t="n">
        <f aca="false">A446+$F$3</f>
        <v>8820</v>
      </c>
      <c r="B447" s="71" t="n">
        <f aca="false">SUMPRODUCT(固有振動数!$Q$6:$Q$22*(1-($A447/固有振動数!$O$6:$O$22)^2)/((1-($A447/固有振動数!$O$6:$O$22)^2)^2+固有振動数!$P$6:$P$22^2))</f>
        <v>3.55567009667399</v>
      </c>
      <c r="C447" s="71" t="n">
        <f aca="false">-SUMPRODUCT(固有振動数!$Q$6:$Q$22*固有振動数!$P$6:$P$22/((1-($A447/固有振動数!$O$6:$O$22)^2)^2+固有振動数!$P$6:$P$22^2))</f>
        <v>-1.86545535644652</v>
      </c>
      <c r="D447" s="71" t="n">
        <f aca="false">SQRT(B447^2+C447^2)</f>
        <v>4.01530989131308</v>
      </c>
      <c r="E447" s="72" t="n">
        <f aca="false">20*LOG10(MAX(D447,0.000000000001)/$K$3)</f>
        <v>12.0743813728355</v>
      </c>
      <c r="F447" s="5"/>
      <c r="G447" s="5"/>
      <c r="H447" s="5"/>
      <c r="I447" s="5"/>
      <c r="J447" s="5"/>
      <c r="K447" s="5"/>
      <c r="L447" s="5"/>
      <c r="M447" s="5"/>
      <c r="N447" s="5"/>
    </row>
    <row r="448" customFormat="false" ht="15" hidden="false" customHeight="false" outlineLevel="0" collapsed="false">
      <c r="A448" s="71" t="n">
        <f aca="false">A447+$F$3</f>
        <v>8840</v>
      </c>
      <c r="B448" s="71" t="n">
        <f aca="false">SUMPRODUCT(固有振動数!$Q$6:$Q$22*(1-($A448/固有振動数!$O$6:$O$22)^2)/((1-($A448/固有振動数!$O$6:$O$22)^2)^2+固有振動数!$P$6:$P$22^2))</f>
        <v>4.31872653846733</v>
      </c>
      <c r="C448" s="71" t="n">
        <f aca="false">-SUMPRODUCT(固有振動数!$Q$6:$Q$22*固有振動数!$P$6:$P$22/((1-($A448/固有振動数!$O$6:$O$22)^2)^2+固有振動数!$P$6:$P$22^2))</f>
        <v>-1.68644834376909</v>
      </c>
      <c r="D448" s="71" t="n">
        <f aca="false">SQRT(B448^2+C448^2)</f>
        <v>4.63632472226261</v>
      </c>
      <c r="E448" s="72" t="n">
        <f aca="false">20*LOG10(MAX(D448,0.000000000001)/$K$3)</f>
        <v>13.3234769157539</v>
      </c>
      <c r="F448" s="5"/>
      <c r="G448" s="5"/>
      <c r="H448" s="5"/>
      <c r="I448" s="5"/>
      <c r="J448" s="5"/>
      <c r="K448" s="5"/>
      <c r="L448" s="5"/>
      <c r="M448" s="5"/>
      <c r="N448" s="5"/>
    </row>
    <row r="449" customFormat="false" ht="15" hidden="false" customHeight="false" outlineLevel="0" collapsed="false">
      <c r="A449" s="71" t="n">
        <f aca="false">A448+$F$3</f>
        <v>8860</v>
      </c>
      <c r="B449" s="71" t="n">
        <f aca="false">SUMPRODUCT(固有振動数!$Q$6:$Q$22*(1-($A449/固有振動数!$O$6:$O$22)^2)/((1-($A449/固有振動数!$O$6:$O$22)^2)^2+固有振動数!$P$6:$P$22^2))</f>
        <v>5.00709203423794</v>
      </c>
      <c r="C449" s="71" t="n">
        <f aca="false">-SUMPRODUCT(固有振動数!$Q$6:$Q$22*固有振動数!$P$6:$P$22/((1-($A449/固有振動数!$O$6:$O$22)^2)^2+固有振動数!$P$6:$P$22^2))</f>
        <v>-1.5358814957314</v>
      </c>
      <c r="D449" s="71" t="n">
        <f aca="false">SQRT(B449^2+C449^2)</f>
        <v>5.23735645228193</v>
      </c>
      <c r="E449" s="72" t="n">
        <f aca="false">20*LOG10(MAX(D449,0.000000000001)/$K$3)</f>
        <v>14.3822426561508</v>
      </c>
      <c r="F449" s="5"/>
      <c r="G449" s="5"/>
      <c r="H449" s="5"/>
      <c r="I449" s="5"/>
      <c r="J449" s="5"/>
      <c r="K449" s="5"/>
      <c r="L449" s="5"/>
      <c r="M449" s="5"/>
      <c r="N449" s="5"/>
    </row>
    <row r="450" customFormat="false" ht="15" hidden="false" customHeight="false" outlineLevel="0" collapsed="false">
      <c r="A450" s="71" t="n">
        <f aca="false">A449+$F$3</f>
        <v>8880</v>
      </c>
      <c r="B450" s="71" t="n">
        <f aca="false">SUMPRODUCT(固有振動数!$Q$6:$Q$22*(1-($A450/固有振動数!$O$6:$O$22)^2)/((1-($A450/固有振動数!$O$6:$O$22)^2)^2+固有振動数!$P$6:$P$22^2))</f>
        <v>5.63181604197712</v>
      </c>
      <c r="C450" s="71" t="n">
        <f aca="false">-SUMPRODUCT(固有振動数!$Q$6:$Q$22*固有振動数!$P$6:$P$22/((1-($A450/固有振動数!$O$6:$O$22)^2)^2+固有振動数!$P$6:$P$22^2))</f>
        <v>-1.4081301613336</v>
      </c>
      <c r="D450" s="71" t="n">
        <f aca="false">SQRT(B450^2+C450^2)</f>
        <v>5.80518582664915</v>
      </c>
      <c r="E450" s="72" t="n">
        <f aca="false">20*LOG10(MAX(D450,0.000000000001)/$K$3)</f>
        <v>15.2763225252356</v>
      </c>
      <c r="F450" s="5"/>
      <c r="G450" s="5"/>
      <c r="H450" s="5"/>
      <c r="I450" s="5"/>
      <c r="J450" s="5"/>
      <c r="K450" s="5"/>
      <c r="L450" s="5"/>
      <c r="M450" s="5"/>
      <c r="N450" s="5"/>
    </row>
    <row r="451" customFormat="false" ht="15" hidden="false" customHeight="false" outlineLevel="0" collapsed="false">
      <c r="A451" s="71" t="n">
        <f aca="false">A450+$F$3</f>
        <v>8900</v>
      </c>
      <c r="B451" s="71" t="n">
        <f aca="false">SUMPRODUCT(固有振動数!$Q$6:$Q$22*(1-($A451/固有振動数!$O$6:$O$22)^2)/((1-($A451/固有振動数!$O$6:$O$22)^2)^2+固有振動数!$P$6:$P$22^2))</f>
        <v>6.20191301089929</v>
      </c>
      <c r="C451" s="71" t="n">
        <f aca="false">-SUMPRODUCT(固有振動数!$Q$6:$Q$22*固有振動数!$P$6:$P$22/((1-($A451/固有振動数!$O$6:$O$22)^2)^2+固有振動数!$P$6:$P$22^2))</f>
        <v>-1.29889008303747</v>
      </c>
      <c r="D451" s="71" t="n">
        <f aca="false">SQRT(B451^2+C451^2)</f>
        <v>6.3364690832178</v>
      </c>
      <c r="E451" s="72" t="n">
        <f aca="false">20*LOG10(MAX(D451,0.000000000001)/$K$3)</f>
        <v>16.03694640418</v>
      </c>
      <c r="F451" s="5"/>
      <c r="G451" s="5"/>
      <c r="H451" s="5"/>
      <c r="I451" s="5"/>
      <c r="J451" s="5"/>
      <c r="K451" s="5"/>
      <c r="L451" s="5"/>
      <c r="M451" s="5"/>
      <c r="N451" s="5"/>
    </row>
    <row r="452" customFormat="false" ht="15" hidden="false" customHeight="false" outlineLevel="0" collapsed="false">
      <c r="A452" s="71" t="n">
        <f aca="false">A451+$F$3</f>
        <v>8920</v>
      </c>
      <c r="B452" s="71" t="n">
        <f aca="false">SUMPRODUCT(固有振動数!$Q$6:$Q$22*(1-($A452/固有振動数!$O$6:$O$22)^2)/((1-($A452/固有振動数!$O$6:$O$22)^2)^2+固有振動数!$P$6:$P$22^2))</f>
        <v>6.72480456953841</v>
      </c>
      <c r="C452" s="71" t="n">
        <f aca="false">-SUMPRODUCT(固有振動数!$Q$6:$Q$22*固有振動数!$P$6:$P$22/((1-($A452/固有振動数!$O$6:$O$22)^2)^2+固有振動数!$P$6:$P$22^2))</f>
        <v>-1.20482363244972</v>
      </c>
      <c r="D452" s="71" t="n">
        <f aca="false">SQRT(B452^2+C452^2)</f>
        <v>6.8318808891691</v>
      </c>
      <c r="E452" s="72" t="n">
        <f aca="false">20*LOG10(MAX(D452,0.000000000001)/$K$3)</f>
        <v>16.6908057202831</v>
      </c>
      <c r="F452" s="5"/>
      <c r="G452" s="5"/>
      <c r="H452" s="5"/>
      <c r="I452" s="5"/>
      <c r="J452" s="5"/>
      <c r="K452" s="5"/>
      <c r="L452" s="5"/>
      <c r="M452" s="5"/>
      <c r="N452" s="5"/>
    </row>
    <row r="453" customFormat="false" ht="15" hidden="false" customHeight="false" outlineLevel="0" collapsed="false">
      <c r="A453" s="71" t="n">
        <f aca="false">A452+$F$3</f>
        <v>8940</v>
      </c>
      <c r="B453" s="71" t="n">
        <f aca="false">SUMPRODUCT(固有振動数!$Q$6:$Q$22*(1-($A453/固有振動数!$O$6:$O$22)^2)/((1-($A453/固有振動数!$O$6:$O$22)^2)^2+固有振動数!$P$6:$P$22^2))</f>
        <v>7.20665286230539</v>
      </c>
      <c r="C453" s="71" t="n">
        <f aca="false">-SUMPRODUCT(固有振動数!$Q$6:$Q$22*固有振動数!$P$6:$P$22/((1-($A453/固有振動数!$O$6:$O$22)^2)^2+固有振動数!$P$6:$P$22^2))</f>
        <v>-1.1233115215186</v>
      </c>
      <c r="D453" s="71" t="n">
        <f aca="false">SQRT(B453^2+C453^2)</f>
        <v>7.29367357729635</v>
      </c>
      <c r="E453" s="72" t="n">
        <f aca="false">20*LOG10(MAX(D453,0.000000000001)/$K$3)</f>
        <v>17.2589264580001</v>
      </c>
      <c r="F453" s="5"/>
      <c r="G453" s="5"/>
      <c r="H453" s="5"/>
      <c r="I453" s="5"/>
      <c r="J453" s="5"/>
      <c r="K453" s="5"/>
      <c r="L453" s="5"/>
      <c r="M453" s="5"/>
      <c r="N453" s="5"/>
    </row>
    <row r="454" customFormat="false" ht="15" hidden="false" customHeight="false" outlineLevel="0" collapsed="false">
      <c r="A454" s="71" t="n">
        <f aca="false">A453+$F$3</f>
        <v>8960</v>
      </c>
      <c r="B454" s="71" t="n">
        <f aca="false">SUMPRODUCT(固有振動数!$Q$6:$Q$22*(1-($A454/固有振動数!$O$6:$O$22)^2)/((1-($A454/固有振動数!$O$6:$O$22)^2)^2+固有振動数!$P$6:$P$22^2))</f>
        <v>7.65261458619361</v>
      </c>
      <c r="C454" s="71" t="n">
        <f aca="false">-SUMPRODUCT(固有振動数!$Q$6:$Q$22*固有振動数!$P$6:$P$22/((1-($A454/固有振動数!$O$6:$O$22)^2)^2+固有振動数!$P$6:$P$22^2))</f>
        <v>-1.05227563102618</v>
      </c>
      <c r="D454" s="71" t="n">
        <f aca="false">SQRT(B454^2+C454^2)</f>
        <v>7.72462258032552</v>
      </c>
      <c r="E454" s="72" t="n">
        <f aca="false">20*LOG10(MAX(D454,0.000000000001)/$K$3)</f>
        <v>17.7575453857919</v>
      </c>
      <c r="F454" s="5"/>
      <c r="G454" s="5"/>
      <c r="H454" s="5"/>
      <c r="I454" s="5"/>
      <c r="J454" s="5"/>
      <c r="K454" s="5"/>
      <c r="L454" s="5"/>
      <c r="M454" s="5"/>
      <c r="N454" s="5"/>
    </row>
    <row r="455" customFormat="false" ht="15" hidden="false" customHeight="false" outlineLevel="0" collapsed="false">
      <c r="A455" s="71" t="n">
        <f aca="false">A454+$F$3</f>
        <v>8980</v>
      </c>
      <c r="B455" s="71" t="n">
        <f aca="false">SUMPRODUCT(固有振動数!$Q$6:$Q$22*(1-($A455/固有振動数!$O$6:$O$22)^2)/((1-($A455/固有振動数!$O$6:$O$22)^2)^2+固有振動数!$P$6:$P$22^2))</f>
        <v>8.06703660982</v>
      </c>
      <c r="C455" s="71" t="n">
        <f aca="false">-SUMPRODUCT(固有振動数!$Q$6:$Q$22*固有振動数!$P$6:$P$22/((1-($A455/固有振動数!$O$6:$O$22)^2)^2+固有振動数!$P$6:$P$22^2))</f>
        <v>-0.990050659402204</v>
      </c>
      <c r="D455" s="71" t="n">
        <f aca="false">SQRT(B455^2+C455^2)</f>
        <v>8.12756297867687</v>
      </c>
      <c r="E455" s="72" t="n">
        <f aca="false">20*LOG10(MAX(D455,0.000000000001)/$K$3)</f>
        <v>18.19920686865</v>
      </c>
      <c r="F455" s="5"/>
      <c r="G455" s="5"/>
      <c r="H455" s="5"/>
      <c r="I455" s="5"/>
      <c r="J455" s="5"/>
      <c r="K455" s="5"/>
      <c r="L455" s="5"/>
      <c r="M455" s="5"/>
      <c r="N455" s="5"/>
    </row>
    <row r="456" customFormat="false" ht="15" hidden="false" customHeight="false" outlineLevel="0" collapsed="false">
      <c r="A456" s="71" t="n">
        <f aca="false">A455+$F$3</f>
        <v>9000</v>
      </c>
      <c r="B456" s="71" t="n">
        <f aca="false">SUMPRODUCT(固有振動数!$Q$6:$Q$22*(1-($A456/固有振動数!$O$6:$O$22)^2)/((1-($A456/固有振動数!$O$6:$O$22)^2)^2+固有振動数!$P$6:$P$22^2))</f>
        <v>8.4536080909444</v>
      </c>
      <c r="C456" s="71" t="n">
        <f aca="false">-SUMPRODUCT(固有振動数!$Q$6:$Q$22*固有振動数!$P$6:$P$22/((1-($A456/固有振動数!$O$6:$O$22)^2)^2+固有振動数!$P$6:$P$22^2))</f>
        <v>-0.935289841428344</v>
      </c>
      <c r="D456" s="71" t="n">
        <f aca="false">SQRT(B456^2+C456^2)</f>
        <v>8.50518999451275</v>
      </c>
      <c r="E456" s="72" t="n">
        <f aca="false">20*LOG10(MAX(D456,0.000000000001)/$K$3)</f>
        <v>18.5936803922389</v>
      </c>
      <c r="F456" s="5"/>
      <c r="G456" s="5"/>
      <c r="H456" s="5"/>
      <c r="I456" s="5"/>
      <c r="J456" s="5"/>
      <c r="K456" s="5"/>
      <c r="L456" s="5"/>
      <c r="M456" s="5"/>
      <c r="N456" s="5"/>
    </row>
    <row r="457" customFormat="false" ht="15" hidden="false" customHeight="false" outlineLevel="0" collapsed="false">
      <c r="A457" s="71" t="n">
        <f aca="false">A456+$F$3</f>
        <v>9020</v>
      </c>
      <c r="B457" s="71" t="n">
        <f aca="false">SUMPRODUCT(固有振動数!$Q$6:$Q$22*(1-($A457/固有振動数!$O$6:$O$22)^2)/((1-($A457/固有振動数!$O$6:$O$22)^2)^2+固有振動数!$P$6:$P$22^2))</f>
        <v>8.81547986287644</v>
      </c>
      <c r="C457" s="71" t="n">
        <f aca="false">-SUMPRODUCT(固有振動数!$Q$6:$Q$22*固有振動数!$P$6:$P$22/((1-($A457/固有振動数!$O$6:$O$22)^2)^2+固有振動数!$P$6:$P$22^2))</f>
        <v>-0.886894805112043</v>
      </c>
      <c r="D457" s="71" t="n">
        <f aca="false">SQRT(B457^2+C457^2)</f>
        <v>8.85998124197308</v>
      </c>
      <c r="E457" s="72" t="n">
        <f aca="false">20*LOG10(MAX(D457,0.000000000001)/$K$3)</f>
        <v>18.9486560483139</v>
      </c>
      <c r="F457" s="5"/>
      <c r="G457" s="5"/>
      <c r="H457" s="5"/>
      <c r="I457" s="5"/>
      <c r="J457" s="5"/>
      <c r="K457" s="5"/>
      <c r="L457" s="5"/>
      <c r="M457" s="5"/>
      <c r="N457" s="5"/>
    </row>
    <row r="458" customFormat="false" ht="15" hidden="false" customHeight="false" outlineLevel="0" collapsed="false">
      <c r="A458" s="71" t="n">
        <f aca="false">A457+$F$3</f>
        <v>9040</v>
      </c>
      <c r="B458" s="71" t="n">
        <f aca="false">SUMPRODUCT(固有振動数!$Q$6:$Q$22*(1-($A458/固有振動数!$O$6:$O$22)^2)/((1-($A458/固有振動数!$O$6:$O$22)^2)^2+固有振動数!$P$6:$P$22^2))</f>
        <v>9.15535894951483</v>
      </c>
      <c r="C458" s="71" t="n">
        <f aca="false">-SUMPRODUCT(固有振動数!$Q$6:$Q$22*固有振動数!$P$6:$P$22/((1-($A458/固有振動数!$O$6:$O$22)^2)^2+固有振動数!$P$6:$P$22^2))</f>
        <v>-0.843962770024055</v>
      </c>
      <c r="D458" s="71" t="n">
        <f aca="false">SQRT(B458^2+C458^2)</f>
        <v>9.19417590932695</v>
      </c>
      <c r="E458" s="72" t="n">
        <f aca="false">20*LOG10(MAX(D458,0.000000000001)/$K$3)</f>
        <v>19.2702561743184</v>
      </c>
      <c r="F458" s="5"/>
      <c r="G458" s="5"/>
      <c r="H458" s="5"/>
      <c r="I458" s="5"/>
      <c r="J458" s="5"/>
      <c r="K458" s="5"/>
      <c r="L458" s="5"/>
      <c r="M458" s="5"/>
      <c r="N458" s="5"/>
    </row>
    <row r="459" customFormat="false" ht="15" hidden="false" customHeight="false" outlineLevel="0" collapsed="false">
      <c r="A459" s="71" t="n">
        <f aca="false">A458+$F$3</f>
        <v>9060</v>
      </c>
      <c r="B459" s="71" t="n">
        <f aca="false">SUMPRODUCT(固有振動数!$Q$6:$Q$22*(1-($A459/固有振動数!$O$6:$O$22)^2)/((1-($A459/固有振動数!$O$6:$O$22)^2)^2+固有振動数!$P$6:$P$22^2))</f>
        <v>9.4755840037723</v>
      </c>
      <c r="C459" s="71" t="n">
        <f aca="false">-SUMPRODUCT(固有振動数!$Q$6:$Q$22*固有振動数!$P$6:$P$22/((1-($A459/固有振動数!$O$6:$O$22)^2)^2+固有振動数!$P$6:$P$22^2))</f>
        <v>-0.80574636553389</v>
      </c>
      <c r="D459" s="71" t="n">
        <f aca="false">SQRT(B459^2+C459^2)</f>
        <v>9.50978019820209</v>
      </c>
      <c r="E459" s="72" t="n">
        <f aca="false">20*LOG10(MAX(D459,0.000000000001)/$K$3)</f>
        <v>19.5634095820477</v>
      </c>
      <c r="F459" s="5"/>
      <c r="G459" s="5"/>
      <c r="H459" s="5"/>
      <c r="I459" s="5"/>
      <c r="J459" s="5"/>
      <c r="K459" s="5"/>
      <c r="L459" s="5"/>
      <c r="M459" s="5"/>
      <c r="N459" s="5"/>
    </row>
    <row r="460" customFormat="false" ht="15" hidden="false" customHeight="false" outlineLevel="0" collapsed="false">
      <c r="A460" s="71" t="n">
        <f aca="false">A459+$F$3</f>
        <v>9080</v>
      </c>
      <c r="B460" s="71" t="n">
        <f aca="false">SUMPRODUCT(固有振動数!$Q$6:$Q$22*(1-($A460/固有振動数!$O$6:$O$22)^2)/((1-($A460/固有振動数!$O$6:$O$22)^2)^2+固有振動数!$P$6:$P$22^2))</f>
        <v>9.77818598389832</v>
      </c>
      <c r="C460" s="71" t="n">
        <f aca="false">-SUMPRODUCT(固有振動数!$Q$6:$Q$22*固有振動数!$P$6:$P$22/((1-($A460/固有振動数!$O$6:$O$22)^2)^2+固有振動数!$P$6:$P$22^2))</f>
        <v>-0.771622743084006</v>
      </c>
      <c r="D460" s="71" t="n">
        <f aca="false">SQRT(B460^2+C460^2)</f>
        <v>9.80858413805734</v>
      </c>
      <c r="E460" s="72" t="n">
        <f aca="false">20*LOG10(MAX(D460,0.000000000001)/$K$3)</f>
        <v>19.8321264362698</v>
      </c>
      <c r="F460" s="5"/>
      <c r="G460" s="5"/>
      <c r="H460" s="5"/>
      <c r="I460" s="5"/>
      <c r="J460" s="5"/>
      <c r="K460" s="5"/>
      <c r="L460" s="5"/>
      <c r="M460" s="5"/>
      <c r="N460" s="5"/>
    </row>
    <row r="461" customFormat="false" ht="15" hidden="false" customHeight="false" outlineLevel="0" collapsed="false">
      <c r="A461" s="71" t="n">
        <f aca="false">A460+$F$3</f>
        <v>9100</v>
      </c>
      <c r="B461" s="71" t="n">
        <f aca="false">SUMPRODUCT(固有振動数!$Q$6:$Q$22*(1-($A461/固有振動数!$O$6:$O$22)^2)/((1-($A461/固有振動数!$O$6:$O$22)^2)^2+固有振動数!$P$6:$P$22^2))</f>
        <v>10.0649373103987</v>
      </c>
      <c r="C461" s="71" t="n">
        <f aca="false">-SUMPRODUCT(固有振動数!$Q$6:$Q$22*固有振動数!$P$6:$P$22/((1-($A461/固有振動数!$O$6:$O$22)^2)^2+固有振動数!$P$6:$P$22^2))</f>
        <v>-0.74106960938787</v>
      </c>
      <c r="D461" s="71" t="n">
        <f aca="false">SQRT(B461^2+C461^2)</f>
        <v>10.0921824809213</v>
      </c>
      <c r="E461" s="72" t="n">
        <f aca="false">20*LOG10(MAX(D461,0.000000000001)/$K$3)</f>
        <v>20.07970189149</v>
      </c>
      <c r="F461" s="5"/>
      <c r="G461" s="5"/>
      <c r="H461" s="5"/>
      <c r="I461" s="5"/>
      <c r="J461" s="5"/>
      <c r="K461" s="5"/>
      <c r="L461" s="5"/>
      <c r="M461" s="5"/>
      <c r="N461" s="5"/>
    </row>
    <row r="462" customFormat="false" ht="15" hidden="false" customHeight="false" outlineLevel="0" collapsed="false">
      <c r="A462" s="71" t="n">
        <f aca="false">A461+$F$3</f>
        <v>9120</v>
      </c>
      <c r="B462" s="71" t="n">
        <f aca="false">SUMPRODUCT(固有振動数!$Q$6:$Q$22*(1-($A462/固有振動数!$O$6:$O$22)^2)/((1-($A462/固有振動数!$O$6:$O$22)^2)^2+固有振動数!$P$6:$P$22^2))</f>
        <v>10.3373919625852</v>
      </c>
      <c r="C462" s="71" t="n">
        <f aca="false">-SUMPRODUCT(固有振動数!$Q$6:$Q$22*固有振動数!$P$6:$P$22/((1-($A462/固有振動数!$O$6:$O$22)^2)^2+固有振動数!$P$6:$P$22^2))</f>
        <v>-0.713646466826727</v>
      </c>
      <c r="D462" s="71" t="n">
        <f aca="false">SQRT(B462^2+C462^2)</f>
        <v>10.3619961333584</v>
      </c>
      <c r="E462" s="72" t="n">
        <f aca="false">20*LOG10(MAX(D462,0.000000000001)/$K$3)</f>
        <v>20.3088685178304</v>
      </c>
      <c r="F462" s="5"/>
      <c r="G462" s="5"/>
      <c r="H462" s="5"/>
      <c r="I462" s="5"/>
      <c r="J462" s="5"/>
      <c r="K462" s="5"/>
      <c r="L462" s="5"/>
      <c r="M462" s="5"/>
      <c r="N462" s="5"/>
    </row>
    <row r="463" customFormat="false" ht="15" hidden="false" customHeight="false" outlineLevel="0" collapsed="false">
      <c r="A463" s="71" t="n">
        <f aca="false">A462+$F$3</f>
        <v>9140</v>
      </c>
      <c r="B463" s="71" t="n">
        <f aca="false">SUMPRODUCT(固有振動数!$Q$6:$Q$22*(1-($A463/固有振動数!$O$6:$O$22)^2)/((1-($A463/固有振動数!$O$6:$O$22)^2)^2+固有振動数!$P$6:$P$22^2))</f>
        <v>10.5969183954251</v>
      </c>
      <c r="C463" s="71" t="n">
        <f aca="false">-SUMPRODUCT(固有振動数!$Q$6:$Q$22*固有振動数!$P$6:$P$22/((1-($A463/固有振動数!$O$6:$O$22)^2)^2+固有振動数!$P$6:$P$22^2))</f>
        <v>-0.688979809576823</v>
      </c>
      <c r="D463" s="71" t="n">
        <f aca="false">SQRT(B463^2+C463^2)</f>
        <v>10.6192924744214</v>
      </c>
      <c r="E463" s="72" t="n">
        <f aca="false">20*LOG10(MAX(D463,0.000000000001)/$K$3)</f>
        <v>20.5219116443428</v>
      </c>
      <c r="F463" s="5"/>
      <c r="G463" s="5"/>
      <c r="H463" s="5"/>
      <c r="I463" s="5"/>
      <c r="J463" s="5"/>
      <c r="K463" s="5"/>
      <c r="L463" s="5"/>
      <c r="M463" s="5"/>
      <c r="N463" s="5"/>
    </row>
    <row r="464" customFormat="false" ht="15" hidden="false" customHeight="false" outlineLevel="0" collapsed="false">
      <c r="A464" s="71" t="n">
        <f aca="false">A463+$F$3</f>
        <v>9160</v>
      </c>
      <c r="B464" s="71" t="n">
        <f aca="false">SUMPRODUCT(固有振動数!$Q$6:$Q$22*(1-($A464/固有振動数!$O$6:$O$22)^2)/((1-($A464/固有振動数!$O$6:$O$22)^2)^2+固有振動数!$P$6:$P$22^2))</f>
        <v>10.8447267266834</v>
      </c>
      <c r="C464" s="71" t="n">
        <f aca="false">-SUMPRODUCT(固有振動数!$Q$6:$Q$22*固有振動数!$P$6:$P$22/((1-($A464/固有振動数!$O$6:$O$22)^2)^2+固有振動数!$P$6:$P$22^2))</f>
        <v>-0.666751351967138</v>
      </c>
      <c r="D464" s="71" t="n">
        <f aca="false">SQRT(B464^2+C464^2)</f>
        <v>10.865203870236</v>
      </c>
      <c r="E464" s="72" t="n">
        <f aca="false">20*LOG10(MAX(D464,0.000000000001)/$K$3)</f>
        <v>20.7207575931361</v>
      </c>
      <c r="F464" s="5"/>
      <c r="G464" s="5"/>
      <c r="H464" s="5"/>
      <c r="I464" s="5"/>
      <c r="J464" s="5"/>
      <c r="K464" s="5"/>
      <c r="L464" s="5"/>
      <c r="M464" s="5"/>
      <c r="N464" s="5"/>
    </row>
    <row r="465" customFormat="false" ht="15" hidden="false" customHeight="false" outlineLevel="0" collapsed="false">
      <c r="A465" s="71" t="n">
        <f aca="false">A464+$F$3</f>
        <v>9180</v>
      </c>
      <c r="B465" s="71" t="n">
        <f aca="false">SUMPRODUCT(固有振動数!$Q$6:$Q$22*(1-($A465/固有振動数!$O$6:$O$22)^2)/((1-($A465/固有振動数!$O$6:$O$22)^2)^2+固有振動数!$P$6:$P$22^2))</f>
        <v>11.0818913208942</v>
      </c>
      <c r="C465" s="71" t="n">
        <f aca="false">-SUMPRODUCT(固有振動数!$Q$6:$Q$22*固有振動数!$P$6:$P$22/((1-($A465/固有振動数!$O$6:$O$22)^2)^2+固有振動数!$P$6:$P$22^2))</f>
        <v>-0.646688600884404</v>
      </c>
      <c r="D465" s="71" t="n">
        <f aca="false">SQRT(B465^2+C465^2)</f>
        <v>11.1007441820188</v>
      </c>
      <c r="E465" s="72" t="n">
        <f aca="false">20*LOG10(MAX(D465,0.000000000001)/$K$3)</f>
        <v>20.9070418880048</v>
      </c>
      <c r="F465" s="5"/>
      <c r="G465" s="5"/>
      <c r="H465" s="5"/>
      <c r="I465" s="5"/>
      <c r="J465" s="5"/>
      <c r="K465" s="5"/>
      <c r="L465" s="5"/>
      <c r="M465" s="5"/>
      <c r="N465" s="5"/>
    </row>
    <row r="466" customFormat="false" ht="15" hidden="false" customHeight="false" outlineLevel="0" collapsed="false">
      <c r="A466" s="71" t="n">
        <f aca="false">A465+$F$3</f>
        <v>9200</v>
      </c>
      <c r="B466" s="71" t="n">
        <f aca="false">SUMPRODUCT(固有振動数!$Q$6:$Q$22*(1-($A466/固有振動数!$O$6:$O$22)^2)/((1-($A466/固有振動数!$O$6:$O$22)^2)^2+固有振動数!$P$6:$P$22^2))</f>
        <v>11.3093696517896</v>
      </c>
      <c r="C466" s="71" t="n">
        <f aca="false">-SUMPRODUCT(固有振動数!$Q$6:$Q$22*固有振動数!$P$6:$P$22/((1-($A466/固有振動数!$O$6:$O$22)^2)^2+固有振動数!$P$6:$P$22^2))</f>
        <v>-0.628557254667583</v>
      </c>
      <c r="D466" s="71" t="n">
        <f aca="false">SQRT(B466^2+C466^2)</f>
        <v>11.3268233032574</v>
      </c>
      <c r="E466" s="72" t="n">
        <f aca="false">20*LOG10(MAX(D466,0.000000000001)/$K$3)</f>
        <v>21.0821625126946</v>
      </c>
      <c r="F466" s="5"/>
      <c r="G466" s="5"/>
      <c r="H466" s="5"/>
      <c r="I466" s="5"/>
      <c r="J466" s="5"/>
      <c r="K466" s="5"/>
      <c r="L466" s="5"/>
      <c r="M466" s="5"/>
      <c r="N466" s="5"/>
    </row>
    <row r="467" customFormat="false" ht="15" hidden="false" customHeight="false" outlineLevel="0" collapsed="false">
      <c r="A467" s="71" t="n">
        <f aca="false">A466+$F$3</f>
        <v>9220</v>
      </c>
      <c r="B467" s="71" t="n">
        <f aca="false">SUMPRODUCT(固有振動数!$Q$6:$Q$22*(1-($A467/固有振動数!$O$6:$O$22)^2)/((1-($A467/固有振動数!$O$6:$O$22)^2)^2+固有振動数!$P$6:$P$22^2))</f>
        <v>11.5280181379267</v>
      </c>
      <c r="C467" s="71" t="n">
        <f aca="false">-SUMPRODUCT(固有振動数!$Q$6:$Q$22*固有振動数!$P$6:$P$22/((1-($A467/固有振動数!$O$6:$O$22)^2)^2+固有振動数!$P$6:$P$22^2))</f>
        <v>-0.61215503588107</v>
      </c>
      <c r="D467" s="71" t="n">
        <f aca="false">SQRT(B467^2+C467^2)</f>
        <v>11.5442598713092</v>
      </c>
      <c r="E467" s="72" t="n">
        <f aca="false">20*LOG10(MAX(D467,0.000000000001)/$K$3)</f>
        <v>21.247321890824</v>
      </c>
      <c r="F467" s="5"/>
      <c r="G467" s="5"/>
      <c r="H467" s="5"/>
      <c r="I467" s="5"/>
      <c r="J467" s="5"/>
      <c r="K467" s="5"/>
      <c r="L467" s="5"/>
      <c r="M467" s="5"/>
      <c r="N467" s="5"/>
    </row>
    <row r="468" customFormat="false" ht="15" hidden="false" customHeight="false" outlineLevel="0" collapsed="false">
      <c r="A468" s="71" t="n">
        <f aca="false">A467+$F$3</f>
        <v>9240</v>
      </c>
      <c r="B468" s="71" t="n">
        <f aca="false">SUMPRODUCT(固有振動数!$Q$6:$Q$22*(1-($A468/固有振動数!$O$6:$O$22)^2)/((1-($A468/固有振動数!$O$6:$O$22)^2)^2+固有振動数!$P$6:$P$22^2))</f>
        <v>11.7386055025951</v>
      </c>
      <c r="C468" s="71" t="n">
        <f aca="false">-SUMPRODUCT(固有振動数!$Q$6:$Q$22*固有振動数!$P$6:$P$22/((1-($A468/固有振動数!$O$6:$O$22)^2)^2+固有振動数!$P$6:$P$22^2))</f>
        <v>-0.597306657708621</v>
      </c>
      <c r="D468" s="71" t="n">
        <f aca="false">SQRT(B468^2+C468^2)</f>
        <v>11.7537923407256</v>
      </c>
      <c r="E468" s="72" t="n">
        <f aca="false">20*LOG10(MAX(D468,0.000000000001)/$K$3)</f>
        <v>21.4035602715974</v>
      </c>
      <c r="F468" s="5"/>
      <c r="G468" s="5"/>
      <c r="H468" s="5"/>
      <c r="I468" s="5"/>
      <c r="J468" s="5"/>
      <c r="K468" s="5"/>
      <c r="L468" s="5"/>
      <c r="M468" s="5"/>
      <c r="N468" s="5"/>
    </row>
    <row r="469" customFormat="false" ht="15" hidden="false" customHeight="false" outlineLevel="0" collapsed="false">
      <c r="A469" s="71" t="n">
        <f aca="false">A468+$F$3</f>
        <v>9260</v>
      </c>
      <c r="B469" s="71" t="n">
        <f aca="false">SUMPRODUCT(固有振動数!$Q$6:$Q$22*(1-($A469/固有振動数!$O$6:$O$22)^2)/((1-($A469/固有振動数!$O$6:$O$22)^2)^2+固有振動数!$P$6:$P$22^2))</f>
        <v>11.9418240978671</v>
      </c>
      <c r="C469" s="71" t="n">
        <f aca="false">-SUMPRODUCT(固有振動数!$Q$6:$Q$22*固有振動数!$P$6:$P$22/((1-($A469/固有振動数!$O$6:$O$22)^2)^2+固有振動数!$P$6:$P$22^2))</f>
        <v>-0.583859692572256</v>
      </c>
      <c r="D469" s="71" t="n">
        <f aca="false">SQRT(B469^2+C469^2)</f>
        <v>11.9560886131297</v>
      </c>
      <c r="E469" s="72" t="n">
        <f aca="false">20*LOG10(MAX(D469,0.000000000001)/$K$3)</f>
        <v>21.5517825034751</v>
      </c>
      <c r="F469" s="5"/>
      <c r="G469" s="5"/>
      <c r="H469" s="5"/>
      <c r="I469" s="5"/>
      <c r="J469" s="5"/>
      <c r="K469" s="5"/>
      <c r="L469" s="5"/>
      <c r="M469" s="5"/>
      <c r="N469" s="5"/>
    </row>
    <row r="470" customFormat="false" ht="15" hidden="false" customHeight="false" outlineLevel="0" collapsed="false">
      <c r="A470" s="71" t="n">
        <f aca="false">A469+$F$3</f>
        <v>9280</v>
      </c>
      <c r="B470" s="71" t="n">
        <f aca="false">SUMPRODUCT(固有振動数!$Q$6:$Q$22*(1-($A470/固有振動数!$O$6:$O$22)^2)/((1-($A470/固有振動数!$O$6:$O$22)^2)^2+固有振動数!$P$6:$P$22^2))</f>
        <v>12.1382995459768</v>
      </c>
      <c r="C470" s="71" t="n">
        <f aca="false">-SUMPRODUCT(固有振動数!$Q$6:$Q$22*固有振動数!$P$6:$P$22/((1-($A470/固有振動数!$O$6:$O$22)^2)^2+固有振動数!$P$6:$P$22^2))</f>
        <v>-0.57168116335436</v>
      </c>
      <c r="D470" s="71" t="n">
        <f aca="false">SQRT(B470^2+C470^2)</f>
        <v>12.151754409154</v>
      </c>
      <c r="E470" s="72" t="n">
        <f aca="false">20*LOG10(MAX(D470,0.000000000001)/$K$3)</f>
        <v>21.6927796742589</v>
      </c>
      <c r="F470" s="5"/>
      <c r="G470" s="5"/>
      <c r="H470" s="5"/>
      <c r="I470" s="5"/>
      <c r="J470" s="5"/>
      <c r="K470" s="5"/>
      <c r="L470" s="5"/>
      <c r="M470" s="5"/>
      <c r="N470" s="5"/>
    </row>
    <row r="471" customFormat="false" ht="15" hidden="false" customHeight="false" outlineLevel="0" collapsed="false">
      <c r="A471" s="71" t="n">
        <f aca="false">A470+$F$3</f>
        <v>9300</v>
      </c>
      <c r="B471" s="71" t="n">
        <f aca="false">SUMPRODUCT(固有振動数!$Q$6:$Q$22*(1-($A471/固有振動数!$O$6:$O$22)^2)/((1-($A471/固有振動数!$O$6:$O$22)^2)^2+固有振動数!$P$6:$P$22^2))</f>
        <v>12.3285989832283</v>
      </c>
      <c r="C471" s="71" t="n">
        <f aca="false">-SUMPRODUCT(固有振動数!$Q$6:$Q$22*固有振動数!$P$6:$P$22/((1-($A471/固有振動数!$O$6:$O$22)^2)^2+固有振動数!$P$6:$P$22^2))</f>
        <v>-0.56065471683329</v>
      </c>
      <c r="D471" s="71" t="n">
        <f aca="false">SQRT(B471^2+C471^2)</f>
        <v>12.3413405512029</v>
      </c>
      <c r="E471" s="72" t="n">
        <f aca="false">20*LOG10(MAX(D471,0.000000000001)/$K$3)</f>
        <v>21.8272467310096</v>
      </c>
      <c r="F471" s="5"/>
      <c r="G471" s="5"/>
      <c r="H471" s="5"/>
      <c r="I471" s="5"/>
      <c r="J471" s="5"/>
      <c r="K471" s="5"/>
      <c r="L471" s="5"/>
      <c r="M471" s="5"/>
      <c r="N471" s="5"/>
    </row>
    <row r="472" customFormat="false" ht="15" hidden="false" customHeight="false" outlineLevel="0" collapsed="false">
      <c r="A472" s="71" t="n">
        <f aca="false">A471+$F$3</f>
        <v>9320</v>
      </c>
      <c r="B472" s="71" t="n">
        <f aca="false">SUMPRODUCT(固有振動数!$Q$6:$Q$22*(1-($A472/固有振動数!$O$6:$O$22)^2)/((1-($A472/固有振動数!$O$6:$O$22)^2)^2+固有振動数!$P$6:$P$22^2))</f>
        <v>12.5132381379835</v>
      </c>
      <c r="C472" s="71" t="n">
        <f aca="false">-SUMPRODUCT(固有振動数!$Q$6:$Q$22*固有振動数!$P$6:$P$22/((1-($A472/固有振動数!$O$6:$O$22)^2)^2+固有振動数!$P$6:$P$22^2))</f>
        <v>-0.550678268892932</v>
      </c>
      <c r="D472" s="71" t="n">
        <f aca="false">SQRT(B472^2+C472^2)</f>
        <v>12.5253493066547</v>
      </c>
      <c r="E472" s="72" t="n">
        <f aca="false">20*LOG10(MAX(D472,0.000000000001)/$K$3)</f>
        <v>21.9557969260548</v>
      </c>
      <c r="F472" s="5"/>
      <c r="G472" s="5"/>
      <c r="H472" s="5"/>
      <c r="I472" s="5"/>
      <c r="J472" s="5"/>
      <c r="K472" s="5"/>
      <c r="L472" s="5"/>
      <c r="M472" s="5"/>
      <c r="N472" s="5"/>
    </row>
    <row r="473" customFormat="false" ht="15" hidden="false" customHeight="false" outlineLevel="0" collapsed="false">
      <c r="A473" s="71" t="n">
        <f aca="false">A472+$F$3</f>
        <v>9340</v>
      </c>
      <c r="B473" s="71" t="n">
        <f aca="false">SUMPRODUCT(固有振動数!$Q$6:$Q$22*(1-($A473/固有振動数!$O$6:$O$22)^2)/((1-($A473/固有振動数!$O$6:$O$22)^2)^2+固有振動数!$P$6:$P$22^2))</f>
        <v>12.6926874316955</v>
      </c>
      <c r="C473" s="71" t="n">
        <f aca="false">-SUMPRODUCT(固有振動数!$Q$6:$Q$22*固有振動数!$P$6:$P$22/((1-($A473/固有振動数!$O$6:$O$22)^2)^2+固有振動数!$P$6:$P$22^2))</f>
        <v>-0.541662034092187</v>
      </c>
      <c r="D473" s="71" t="n">
        <f aca="false">SQRT(B473^2+C473^2)</f>
        <v>12.704239922085</v>
      </c>
      <c r="E473" s="72" t="n">
        <f aca="false">20*LOG10(MAX(D473,0.000000000001)/$K$3)</f>
        <v>22.078973737954</v>
      </c>
      <c r="F473" s="5"/>
      <c r="G473" s="5"/>
      <c r="H473" s="5"/>
      <c r="I473" s="5"/>
      <c r="J473" s="5"/>
      <c r="K473" s="5"/>
      <c r="L473" s="5"/>
      <c r="M473" s="5"/>
      <c r="N473" s="5"/>
    </row>
    <row r="474" customFormat="false" ht="15" hidden="false" customHeight="false" outlineLevel="0" collapsed="false">
      <c r="A474" s="71" t="n">
        <f aca="false">A473+$F$3</f>
        <v>9360</v>
      </c>
      <c r="B474" s="71" t="n">
        <f aca="false">SUMPRODUCT(固有振動数!$Q$6:$Q$22*(1-($A474/固有振動数!$O$6:$O$22)^2)/((1-($A474/固有振動数!$O$6:$O$22)^2)^2+固有振動数!$P$6:$P$22^2))</f>
        <v>12.8673772579663</v>
      </c>
      <c r="C474" s="71" t="n">
        <f aca="false">-SUMPRODUCT(固有振動数!$Q$6:$Q$22*固有振動数!$P$6:$P$22/((1-($A474/固有振動数!$O$6:$O$22)^2)^2+固有振動数!$P$6:$P$22^2))</f>
        <v>-0.533526870001369</v>
      </c>
      <c r="D474" s="71" t="n">
        <f aca="false">SQRT(B474^2+C474^2)</f>
        <v>12.8784334614053</v>
      </c>
      <c r="E474" s="72" t="n">
        <f aca="false">20*LOG10(MAX(D474,0.000000000001)/$K$3)</f>
        <v>22.1972607691031</v>
      </c>
      <c r="F474" s="5"/>
      <c r="G474" s="5"/>
      <c r="H474" s="5"/>
      <c r="I474" s="5"/>
      <c r="J474" s="5"/>
      <c r="K474" s="5"/>
      <c r="L474" s="5"/>
      <c r="M474" s="5"/>
      <c r="N474" s="5"/>
    </row>
    <row r="475" customFormat="false" ht="15" hidden="false" customHeight="false" outlineLevel="0" collapsed="false">
      <c r="A475" s="71" t="n">
        <f aca="false">A474+$F$3</f>
        <v>9380</v>
      </c>
      <c r="B475" s="71" t="n">
        <f aca="false">SUMPRODUCT(固有振動数!$Q$6:$Q$22*(1-($A475/固有振動数!$O$6:$O$22)^2)/((1-($A475/固有振動数!$O$6:$O$22)^2)^2+固有振動数!$P$6:$P$22^2))</f>
        <v>13.0377025673382</v>
      </c>
      <c r="C475" s="71" t="n">
        <f aca="false">-SUMPRODUCT(固有振動数!$Q$6:$Q$22*固有振動数!$P$6:$P$22/((1-($A475/固有振動数!$O$6:$O$22)^2)^2+固有振動数!$P$6:$P$22^2))</f>
        <v>-0.526202880593435</v>
      </c>
      <c r="D475" s="71" t="n">
        <f aca="false">SQRT(B475^2+C475^2)</f>
        <v>13.0483170449649</v>
      </c>
      <c r="E475" s="72" t="n">
        <f aca="false">20*LOG10(MAX(D475,0.000000000001)/$K$3)</f>
        <v>22.3110900109295</v>
      </c>
      <c r="F475" s="5"/>
      <c r="G475" s="5"/>
      <c r="H475" s="5"/>
      <c r="I475" s="5"/>
      <c r="J475" s="5"/>
      <c r="K475" s="5"/>
      <c r="L475" s="5"/>
      <c r="M475" s="5"/>
      <c r="N475" s="5"/>
    </row>
    <row r="476" customFormat="false" ht="15" hidden="false" customHeight="false" outlineLevel="0" collapsed="false">
      <c r="A476" s="71" t="n">
        <f aca="false">A475+$F$3</f>
        <v>9400</v>
      </c>
      <c r="B476" s="71" t="n">
        <f aca="false">SUMPRODUCT(固有振動数!$Q$6:$Q$22*(1-($A476/固有振動数!$O$6:$O$22)^2)/((1-($A476/固有振動数!$O$6:$O$22)^2)^2+固有振動数!$P$6:$P$22^2))</f>
        <v>13.204026863536</v>
      </c>
      <c r="C476" s="71" t="n">
        <f aca="false">-SUMPRODUCT(固有振動数!$Q$6:$Q$22*固有振動数!$P$6:$P$22/((1-($A476/固有振動数!$O$6:$O$22)^2)^2+固有振動数!$P$6:$P$22^2))</f>
        <v>-0.519628233855798</v>
      </c>
      <c r="D476" s="71" t="n">
        <f aca="false">SQRT(B476^2+C476^2)</f>
        <v>13.2142475727679</v>
      </c>
      <c r="E476" s="72" t="n">
        <f aca="false">20*LOG10(MAX(D476,0.000000000001)/$K$3)</f>
        <v>22.4208487836366</v>
      </c>
      <c r="F476" s="5"/>
      <c r="G476" s="5"/>
      <c r="H476" s="5"/>
      <c r="I476" s="5"/>
      <c r="J476" s="5"/>
      <c r="K476" s="5"/>
      <c r="L476" s="5"/>
      <c r="M476" s="5"/>
      <c r="N476" s="5"/>
    </row>
    <row r="477" customFormat="false" ht="15" hidden="false" customHeight="false" outlineLevel="0" collapsed="false">
      <c r="A477" s="71" t="n">
        <f aca="false">A476+$F$3</f>
        <v>9420</v>
      </c>
      <c r="B477" s="71" t="n">
        <f aca="false">SUMPRODUCT(固有振動数!$Q$6:$Q$22*(1-($A477/固有振動数!$O$6:$O$22)^2)/((1-($A477/固有振動数!$O$6:$O$22)^2)^2+固有振動数!$P$6:$P$22^2))</f>
        <v>13.3666856990593</v>
      </c>
      <c r="C477" s="71" t="n">
        <f aca="false">-SUMPRODUCT(固有振動数!$Q$6:$Q$22*固有振動数!$P$6:$P$22/((1-($A477/固有振動数!$O$6:$O$22)^2)^2+固有振動数!$P$6:$P$22^2))</f>
        <v>-0.513748157362567</v>
      </c>
      <c r="D477" s="71" t="n">
        <f aca="false">SQRT(B477^2+C477^2)</f>
        <v>13.3765550029381</v>
      </c>
      <c r="E477" s="72" t="n">
        <f aca="false">20*LOG10(MAX(D477,0.000000000001)/$K$3)</f>
        <v>22.5268855932162</v>
      </c>
      <c r="F477" s="5"/>
      <c r="G477" s="5"/>
      <c r="H477" s="5"/>
      <c r="I477" s="5"/>
      <c r="J477" s="5"/>
      <c r="K477" s="5"/>
      <c r="L477" s="5"/>
      <c r="M477" s="5"/>
      <c r="N477" s="5"/>
    </row>
    <row r="478" customFormat="false" ht="15" hidden="false" customHeight="false" outlineLevel="0" collapsed="false">
      <c r="A478" s="71" t="n">
        <f aca="false">A477+$F$3</f>
        <v>9440</v>
      </c>
      <c r="B478" s="71" t="n">
        <f aca="false">SUMPRODUCT(固有振動数!$Q$6:$Q$22*(1-($A478/固有振動数!$O$6:$O$22)^2)/((1-($A478/固有振動数!$O$6:$O$22)^2)^2+固有振動数!$P$6:$P$22^2))</f>
        <v>13.5259897435183</v>
      </c>
      <c r="C478" s="71" t="n">
        <f aca="false">-SUMPRODUCT(固有振動数!$Q$6:$Q$22*固有振動数!$P$6:$P$22/((1-($A478/固有振動数!$O$6:$O$22)^2)^2+固有振動数!$P$6:$P$22^2))</f>
        <v>-0.508514082342934</v>
      </c>
      <c r="D478" s="71" t="n">
        <f aca="false">SQRT(B478^2+C478^2)</f>
        <v>13.5355452462656</v>
      </c>
      <c r="E478" s="72" t="n">
        <f aca="false">20*LOG10(MAX(D478,0.000000000001)/$K$3)</f>
        <v>22.6295150989535</v>
      </c>
      <c r="F478" s="5"/>
      <c r="G478" s="5"/>
      <c r="H478" s="5"/>
      <c r="I478" s="5"/>
      <c r="J478" s="5"/>
      <c r="K478" s="5"/>
      <c r="L478" s="5"/>
      <c r="M478" s="5"/>
      <c r="N478" s="5"/>
    </row>
    <row r="479" customFormat="false" ht="15" hidden="false" customHeight="false" outlineLevel="0" collapsed="false">
      <c r="A479" s="71" t="n">
        <f aca="false">A478+$F$3</f>
        <v>9460</v>
      </c>
      <c r="B479" s="71" t="n">
        <f aca="false">SUMPRODUCT(固有振動数!$Q$6:$Q$22*(1-($A479/固有振動数!$O$6:$O$22)^2)/((1-($A479/固有振動数!$O$6:$O$22)^2)^2+固有振動数!$P$6:$P$22^2))</f>
        <v>13.6822274862497</v>
      </c>
      <c r="C479" s="71" t="n">
        <f aca="false">-SUMPRODUCT(固有振動数!$Q$6:$Q$22*固有振動数!$P$6:$P$22/((1-($A479/固有振動数!$O$6:$O$22)^2)^2+固有振動数!$P$6:$P$22^2))</f>
        <v>-0.503882912196592</v>
      </c>
      <c r="D479" s="71" t="n">
        <f aca="false">SQRT(B479^2+C479^2)</f>
        <v>13.6915027288713</v>
      </c>
      <c r="E479" s="72" t="n">
        <f aca="false">20*LOG10(MAX(D479,0.000000000001)/$K$3)</f>
        <v>22.7290223462303</v>
      </c>
      <c r="F479" s="5"/>
      <c r="G479" s="5"/>
      <c r="H479" s="5"/>
      <c r="I479" s="5"/>
      <c r="J479" s="5"/>
      <c r="K479" s="5"/>
      <c r="L479" s="5"/>
      <c r="M479" s="5"/>
      <c r="N479" s="5"/>
    </row>
    <row r="480" customFormat="false" ht="15" hidden="false" customHeight="false" outlineLevel="0" collapsed="false">
      <c r="A480" s="71" t="n">
        <f aca="false">A479+$F$3</f>
        <v>9480</v>
      </c>
      <c r="B480" s="71" t="n">
        <f aca="false">SUMPRODUCT(固有振動数!$Q$6:$Q$22*(1-($A480/固有振動数!$O$6:$O$22)^2)/((1-($A480/固有振動数!$O$6:$O$22)^2)^2+固有振動数!$P$6:$P$22^2))</f>
        <v>13.8356676250105</v>
      </c>
      <c r="C480" s="71" t="n">
        <f aca="false">-SUMPRODUCT(固有振動数!$Q$6:$Q$22*固有振動数!$P$6:$P$22/((1-($A480/固有振動数!$O$6:$O$22)^2)^2+固有振動数!$P$6:$P$22^2))</f>
        <v>-0.499816395744304</v>
      </c>
      <c r="D480" s="71" t="n">
        <f aca="false">SQRT(B480^2+C480^2)</f>
        <v>13.8446926675611</v>
      </c>
      <c r="E480" s="72" t="n">
        <f aca="false">20*LOG10(MAX(D480,0.000000000001)/$K$3)</f>
        <v>22.8256663894054</v>
      </c>
      <c r="F480" s="5"/>
      <c r="G480" s="5"/>
      <c r="H480" s="5"/>
      <c r="I480" s="5"/>
      <c r="J480" s="5"/>
      <c r="K480" s="5"/>
      <c r="L480" s="5"/>
      <c r="M480" s="5"/>
      <c r="N480" s="5"/>
    </row>
    <row r="481" customFormat="false" ht="15" hidden="false" customHeight="false" outlineLevel="0" collapsed="false">
      <c r="A481" s="71" t="n">
        <f aca="false">A480+$F$3</f>
        <v>9500</v>
      </c>
      <c r="B481" s="71" t="n">
        <f aca="false">SUMPRODUCT(固有振動数!$Q$6:$Q$22*(1-($A481/固有振動数!$O$6:$O$22)^2)/((1-($A481/固有振動数!$O$6:$O$22)^2)^2+固有振動数!$P$6:$P$22^2))</f>
        <v>13.9865611845291</v>
      </c>
      <c r="C481" s="71" t="n">
        <f aca="false">-SUMPRODUCT(固有振動数!$Q$6:$Q$22*固有振動数!$P$6:$P$22/((1-($A481/固有振動数!$O$6:$O$22)^2)^2+固有振動数!$P$6:$P$22^2))</f>
        <v>-0.49628058899277</v>
      </c>
      <c r="D481" s="71" t="n">
        <f aca="false">SQRT(B481^2+C481^2)</f>
        <v>13.9953630960967</v>
      </c>
      <c r="E481" s="72" t="n">
        <f aca="false">20*LOG10(MAX(D481,0.000000000001)/$K$3)</f>
        <v>22.9196834059338</v>
      </c>
      <c r="F481" s="5"/>
      <c r="G481" s="5"/>
      <c r="H481" s="5"/>
      <c r="I481" s="5"/>
      <c r="J481" s="5"/>
      <c r="K481" s="5"/>
      <c r="L481" s="5"/>
      <c r="M481" s="5"/>
      <c r="N481" s="5"/>
    </row>
    <row r="482" customFormat="false" ht="15" hidden="false" customHeight="false" outlineLevel="0" collapsed="false">
      <c r="A482" s="71" t="n">
        <f aca="false">A481+$F$3</f>
        <v>9520</v>
      </c>
      <c r="B482" s="71" t="n">
        <f aca="false">SUMPRODUCT(固有振動数!$Q$6:$Q$22*(1-($A482/固有振動数!$O$6:$O$22)^2)/((1-($A482/固有振動数!$O$6:$O$22)^2)^2+固有振動数!$P$6:$P$22^2))</f>
        <v>14.1351434020489</v>
      </c>
      <c r="C482" s="71" t="n">
        <f aca="false">-SUMPRODUCT(固有振動数!$Q$6:$Q$22*固有振動数!$P$6:$P$22/((1-($A482/固有振動数!$O$6:$O$22)^2)^2+固有振動数!$P$6:$P$22^2))</f>
        <v>-0.493245392016394</v>
      </c>
      <c r="D482" s="71" t="n">
        <f aca="false">SQRT(B482^2+C482^2)</f>
        <v>14.1437466752354</v>
      </c>
      <c r="E482" s="72" t="n">
        <f aca="false">20*LOG10(MAX(D482,0.000000000001)/$K$3)</f>
        <v>23.0112893841879</v>
      </c>
      <c r="F482" s="5"/>
      <c r="G482" s="5"/>
      <c r="H482" s="5"/>
      <c r="I482" s="5"/>
      <c r="J482" s="5"/>
      <c r="K482" s="5"/>
      <c r="L482" s="5"/>
      <c r="M482" s="5"/>
      <c r="N482" s="5"/>
    </row>
    <row r="483" customFormat="false" ht="15" hidden="false" customHeight="false" outlineLevel="0" collapsed="false">
      <c r="A483" s="71" t="n">
        <f aca="false">A482+$F$3</f>
        <v>9540</v>
      </c>
      <c r="B483" s="71" t="n">
        <f aca="false">SUMPRODUCT(固有振動数!$Q$6:$Q$22*(1-($A483/固有振動数!$O$6:$O$22)^2)/((1-($A483/固有振動数!$O$6:$O$22)^2)^2+固有振動数!$P$6:$P$22^2))</f>
        <v>14.2816354114964</v>
      </c>
      <c r="C483" s="71" t="n">
        <f aca="false">-SUMPRODUCT(固有振動数!$Q$6:$Q$22*固有振動数!$P$6:$P$22/((1-($A483/固有振動数!$O$6:$O$22)^2)^2+固有振動数!$P$6:$P$22^2))</f>
        <v>-0.490684149852859</v>
      </c>
      <c r="D483" s="71" t="n">
        <f aca="false">SQRT(B483^2+C483^2)</f>
        <v>14.2900623148335</v>
      </c>
      <c r="E483" s="72" t="n">
        <f aca="false">20*LOG10(MAX(D483,0.000000000001)/$K$3)</f>
        <v>23.1006824525575</v>
      </c>
      <c r="F483" s="5"/>
      <c r="G483" s="5"/>
      <c r="H483" s="5"/>
      <c r="I483" s="5"/>
      <c r="J483" s="5"/>
      <c r="K483" s="5"/>
      <c r="L483" s="5"/>
      <c r="M483" s="5"/>
      <c r="N483" s="5"/>
    </row>
    <row r="484" customFormat="false" ht="15" hidden="false" customHeight="false" outlineLevel="0" collapsed="false">
      <c r="A484" s="71" t="n">
        <f aca="false">A483+$F$3</f>
        <v>9560</v>
      </c>
      <c r="B484" s="71" t="n">
        <f aca="false">SUMPRODUCT(固有振動数!$Q$6:$Q$22*(1-($A484/固有振動数!$O$6:$O$22)^2)/((1-($A484/固有振動数!$O$6:$O$22)^2)^2+固有振動数!$P$6:$P$22^2))</f>
        <v>14.4262457533107</v>
      </c>
      <c r="C484" s="71" t="n">
        <f aca="false">-SUMPRODUCT(固有振動数!$Q$6:$Q$22*固有振動数!$P$6:$P$22/((1-($A484/固有振動数!$O$6:$O$22)^2)^2+固有振動数!$P$6:$P$22^2))</f>
        <v>-0.488573308182195</v>
      </c>
      <c r="D484" s="71" t="n">
        <f aca="false">SQRT(B484^2+C484^2)</f>
        <v>14.4345166324468</v>
      </c>
      <c r="E484" s="72" t="n">
        <f aca="false">20*LOG10(MAX(D484,0.000000000001)/$K$3)</f>
        <v>23.1880449054835</v>
      </c>
      <c r="F484" s="5"/>
      <c r="G484" s="5"/>
      <c r="H484" s="5"/>
      <c r="I484" s="5"/>
      <c r="J484" s="5"/>
      <c r="K484" s="5"/>
      <c r="L484" s="5"/>
      <c r="M484" s="5"/>
      <c r="N484" s="5"/>
    </row>
    <row r="485" customFormat="false" ht="15" hidden="false" customHeight="false" outlineLevel="0" collapsed="false">
      <c r="A485" s="71" t="n">
        <f aca="false">A484+$F$3</f>
        <v>9580</v>
      </c>
      <c r="B485" s="71" t="n">
        <f aca="false">SUMPRODUCT(固有振動数!$Q$6:$Q$22*(1-($A485/固有振動数!$O$6:$O$22)^2)/((1-($A485/固有振動数!$O$6:$O$22)^2)^2+固有振動数!$P$6:$P$22^2))</f>
        <v>14.5691717331418</v>
      </c>
      <c r="C485" s="71" t="n">
        <f aca="false">-SUMPRODUCT(固有振動数!$Q$6:$Q$22*固有振動数!$P$6:$P$22/((1-($A485/固有振動数!$O$6:$O$22)^2)^2+固有振動数!$P$6:$P$22^2))</f>
        <v>-0.486892116094815</v>
      </c>
      <c r="D485" s="71" t="n">
        <f aca="false">SQRT(B485^2+C485^2)</f>
        <v>14.5773052695789</v>
      </c>
      <c r="E485" s="72" t="n">
        <f aca="false">20*LOG10(MAX(D485,0.000000000001)/$K$3)</f>
        <v>23.2735449724846</v>
      </c>
      <c r="F485" s="5"/>
      <c r="G485" s="5"/>
      <c r="H485" s="5"/>
      <c r="I485" s="5"/>
      <c r="J485" s="5"/>
      <c r="K485" s="5"/>
      <c r="L485" s="5"/>
      <c r="M485" s="5"/>
      <c r="N485" s="5"/>
    </row>
    <row r="486" customFormat="false" ht="15" hidden="false" customHeight="false" outlineLevel="0" collapsed="false">
      <c r="A486" s="71" t="n">
        <f aca="false">A485+$F$3</f>
        <v>9600</v>
      </c>
      <c r="B486" s="71" t="n">
        <f aca="false">SUMPRODUCT(固有振動数!$Q$6:$Q$22*(1-($A486/固有振動数!$O$6:$O$22)^2)/((1-($A486/固有振動数!$O$6:$O$22)^2)^2+固有振動数!$P$6:$P$22^2))</f>
        <v>14.7106006494142</v>
      </c>
      <c r="C486" s="71" t="n">
        <f aca="false">-SUMPRODUCT(固有振動数!$Q$6:$Q$22*固有振動数!$P$6:$P$22/((1-($A486/固有振動数!$O$6:$O$22)^2)^2+固有振動数!$P$6:$P$22^2))</f>
        <v>-0.485622369519123</v>
      </c>
      <c r="D486" s="71" t="n">
        <f aca="false">SQRT(B486^2+C486^2)</f>
        <v>14.7186140839524</v>
      </c>
      <c r="E486" s="72" t="n">
        <f aca="false">20*LOG10(MAX(D486,0.000000000001)/$K$3)</f>
        <v>23.3573383684692</v>
      </c>
      <c r="F486" s="5"/>
      <c r="G486" s="5"/>
      <c r="H486" s="5"/>
      <c r="I486" s="5"/>
      <c r="J486" s="5"/>
      <c r="K486" s="5"/>
      <c r="L486" s="5"/>
      <c r="M486" s="5"/>
      <c r="N486" s="5"/>
    </row>
    <row r="487" customFormat="false" ht="15" hidden="false" customHeight="false" outlineLevel="0" collapsed="false">
      <c r="A487" s="71" t="n">
        <f aca="false">A486+$F$3</f>
        <v>9620</v>
      </c>
      <c r="B487" s="71" t="n">
        <f aca="false">SUMPRODUCT(固有振動数!$Q$6:$Q$22*(1-($A487/固有振動数!$O$6:$O$22)^2)/((1-($A487/固有振動数!$O$6:$O$22)^2)^2+固有振動数!$P$6:$P$22^2))</f>
        <v>14.850710907055</v>
      </c>
      <c r="C487" s="71" t="n">
        <f aca="false">-SUMPRODUCT(固有振動数!$Q$6:$Q$22*固有振動数!$P$6:$P$22/((1-($A487/固有振動数!$O$6:$O$22)^2)^2+固有振動数!$P$6:$P$22^2))</f>
        <v>-0.484748189926263</v>
      </c>
      <c r="D487" s="71" t="n">
        <f aca="false">SQRT(B487^2+C487^2)</f>
        <v>14.8586202338091</v>
      </c>
      <c r="E487" s="72" t="n">
        <f aca="false">20*LOG10(MAX(D487,0.000000000001)/$K$3)</f>
        <v>23.4395696573147</v>
      </c>
      <c r="F487" s="5"/>
      <c r="G487" s="5"/>
      <c r="H487" s="5"/>
      <c r="I487" s="5"/>
      <c r="J487" s="5"/>
      <c r="K487" s="5"/>
      <c r="L487" s="5"/>
      <c r="M487" s="5"/>
      <c r="N487" s="5"/>
    </row>
    <row r="488" customFormat="false" ht="15" hidden="false" customHeight="false" outlineLevel="0" collapsed="false">
      <c r="A488" s="71" t="n">
        <f aca="false">A487+$F$3</f>
        <v>9640</v>
      </c>
      <c r="B488" s="71" t="n">
        <f aca="false">SUMPRODUCT(固有振動数!$Q$6:$Q$22*(1-($A488/固有振動数!$O$6:$O$22)^2)/((1-($A488/固有振動数!$O$6:$O$22)^2)^2+固有振動数!$P$6:$P$22^2))</f>
        <v>14.9896730324207</v>
      </c>
      <c r="C488" s="71" t="n">
        <f aca="false">-SUMPRODUCT(固有振動数!$Q$6:$Q$22*固有振動数!$P$6:$P$22/((1-($A488/固有振動数!$O$6:$O$22)^2)^2+固有振動数!$P$6:$P$22^2))</f>
        <v>-0.484255833800244</v>
      </c>
      <c r="D488" s="71" t="n">
        <f aca="false">SQRT(B488^2+C488^2)</f>
        <v>14.9974931682414</v>
      </c>
      <c r="E488" s="72" t="n">
        <f aca="false">20*LOG10(MAX(D488,0.000000000001)/$K$3)</f>
        <v>23.5203734555361</v>
      </c>
      <c r="F488" s="5"/>
      <c r="G488" s="5"/>
      <c r="H488" s="5"/>
      <c r="I488" s="5"/>
      <c r="J488" s="5"/>
      <c r="K488" s="5"/>
      <c r="L488" s="5"/>
      <c r="M488" s="5"/>
      <c r="N488" s="5"/>
    </row>
    <row r="489" customFormat="false" ht="15" hidden="false" customHeight="false" outlineLevel="0" collapsed="false">
      <c r="A489" s="71" t="n">
        <f aca="false">A488+$F$3</f>
        <v>9660</v>
      </c>
      <c r="B489" s="71" t="n">
        <f aca="false">SUMPRODUCT(固有振動数!$Q$6:$Q$22*(1-($A489/固有振動数!$O$6:$O$22)^2)/((1-($A489/固有振動数!$O$6:$O$22)^2)^2+固有振動数!$P$6:$P$22^2))</f>
        <v>15.1276506025445</v>
      </c>
      <c r="C489" s="71" t="n">
        <f aca="false">-SUMPRODUCT(固有振動数!$Q$6:$Q$22*固有振動数!$P$6:$P$22/((1-($A489/固有振動数!$O$6:$O$22)^2)^2+固有振動数!$P$6:$P$22^2))</f>
        <v>-0.484133529089238</v>
      </c>
      <c r="D489" s="71" t="n">
        <f aca="false">SQRT(B489^2+C489^2)</f>
        <v>15.1353955358509</v>
      </c>
      <c r="E489" s="72" t="n">
        <f aca="false">20*LOG10(MAX(D489,0.000000000001)/$K$3)</f>
        <v>23.5998754986405</v>
      </c>
      <c r="F489" s="5"/>
      <c r="G489" s="5"/>
      <c r="H489" s="5"/>
      <c r="I489" s="5"/>
      <c r="J489" s="5"/>
      <c r="K489" s="5"/>
      <c r="L489" s="5"/>
      <c r="M489" s="5"/>
      <c r="N489" s="5"/>
    </row>
    <row r="490" customFormat="false" ht="15" hidden="false" customHeight="false" outlineLevel="0" collapsed="false">
      <c r="A490" s="71" t="n">
        <f aca="false">A489+$F$3</f>
        <v>9680</v>
      </c>
      <c r="B490" s="71" t="n">
        <f aca="false">SUMPRODUCT(固有振動数!$Q$6:$Q$22*(1-($A490/固有振動数!$O$6:$O$22)^2)/((1-($A490/固有振動数!$O$6:$O$22)^2)^2+固有振動数!$P$6:$P$22^2))</f>
        <v>15.2648011002193</v>
      </c>
      <c r="C490" s="71" t="n">
        <f aca="false">-SUMPRODUCT(固有振動数!$Q$6:$Q$22*固有振動数!$P$6:$P$22/((1-($A490/固有振動数!$O$6:$O$22)^2)^2+固有振動数!$P$6:$P$22^2))</f>
        <v>-0.484371335465229</v>
      </c>
      <c r="D490" s="71" t="n">
        <f aca="false">SQRT(B490^2+C490^2)</f>
        <v>15.2724840225772</v>
      </c>
      <c r="E490" s="72" t="n">
        <f aca="false">20*LOG10(MAX(D490,0.000000000001)/$K$3)</f>
        <v>23.6781935892776</v>
      </c>
      <c r="F490" s="5"/>
      <c r="G490" s="5"/>
      <c r="H490" s="5"/>
      <c r="I490" s="5"/>
      <c r="J490" s="5"/>
      <c r="K490" s="5"/>
      <c r="L490" s="5"/>
      <c r="M490" s="5"/>
      <c r="N490" s="5"/>
    </row>
    <row r="491" customFormat="false" ht="15" hidden="false" customHeight="false" outlineLevel="0" collapsed="false">
      <c r="A491" s="71" t="n">
        <f aca="false">A490+$F$3</f>
        <v>9700</v>
      </c>
      <c r="B491" s="71" t="n">
        <f aca="false">SUMPRODUCT(固有振動数!$Q$6:$Q$22*(1-($A491/固有振動数!$O$6:$O$22)^2)/((1-($A491/固有振動数!$O$6:$O$22)^2)^2+固有振動数!$P$6:$P$22^2))</f>
        <v>15.4012767050675</v>
      </c>
      <c r="C491" s="71" t="n">
        <f aca="false">-SUMPRODUCT(固有振動数!$Q$6:$Q$22*固有振動数!$P$6:$P$22/((1-($A491/固有振動数!$O$6:$O$22)^2)^2+固有振動数!$P$6:$P$22^2))</f>
        <v>-0.484961025735907</v>
      </c>
      <c r="D491" s="71" t="n">
        <f aca="false">SQRT(B491^2+C491^2)</f>
        <v>15.4089101283166</v>
      </c>
      <c r="E491" s="72" t="n">
        <f aca="false">20*LOG10(MAX(D491,0.000000000001)/$K$3)</f>
        <v>23.7554384434186</v>
      </c>
      <c r="F491" s="5"/>
      <c r="G491" s="5"/>
      <c r="H491" s="5"/>
      <c r="I491" s="5"/>
      <c r="J491" s="5"/>
      <c r="K491" s="5"/>
      <c r="L491" s="5"/>
      <c r="M491" s="5"/>
      <c r="N491" s="5"/>
    </row>
    <row r="492" customFormat="false" ht="15" hidden="false" customHeight="false" outlineLevel="0" collapsed="false">
      <c r="A492" s="71" t="n">
        <f aca="false">A491+$F$3</f>
        <v>9720</v>
      </c>
      <c r="B492" s="71" t="n">
        <f aca="false">SUMPRODUCT(固有振動数!$Q$6:$Q$22*(1-($A492/固有振動数!$O$6:$O$22)^2)/((1-($A492/固有振動数!$O$6:$O$22)^2)^2+固有振動数!$P$6:$P$22^2))</f>
        <v>15.5372250296112</v>
      </c>
      <c r="C492" s="71" t="n">
        <f aca="false">-SUMPRODUCT(固有振動数!$Q$6:$Q$22*固有振動数!$P$6:$P$22/((1-($A492/固有振動数!$O$6:$O$22)^2)^2+固有振動数!$P$6:$P$22^2))</f>
        <v>-0.485895986192299</v>
      </c>
      <c r="D492" s="71" t="n">
        <f aca="false">SQRT(B492^2+C492^2)</f>
        <v>15.5448208909004</v>
      </c>
      <c r="E492" s="72" t="n">
        <f aca="false">20*LOG10(MAX(D492,0.000000000001)/$K$3)</f>
        <v>23.8317144484054</v>
      </c>
      <c r="F492" s="5"/>
      <c r="G492" s="5"/>
      <c r="H492" s="5"/>
      <c r="I492" s="5"/>
      <c r="J492" s="5"/>
      <c r="K492" s="5"/>
      <c r="L492" s="5"/>
      <c r="M492" s="5"/>
      <c r="N492" s="5"/>
    </row>
    <row r="493" customFormat="false" ht="15" hidden="false" customHeight="false" outlineLevel="0" collapsed="false">
      <c r="A493" s="71" t="n">
        <f aca="false">A492+$F$3</f>
        <v>9740</v>
      </c>
      <c r="B493" s="71" t="n">
        <f aca="false">SUMPRODUCT(固有振動数!$Q$6:$Q$22*(1-($A493/固有振動数!$O$6:$O$22)^2)/((1-($A493/固有振動数!$O$6:$O$22)^2)^2+固有振動数!$P$6:$P$22^2))</f>
        <v>15.6727898083884</v>
      </c>
      <c r="C493" s="71" t="n">
        <f aca="false">-SUMPRODUCT(固有振動数!$Q$6:$Q$22*固有振動数!$P$6:$P$22/((1-($A493/固有振動数!$O$6:$O$22)^2)^2+固有振動数!$P$6:$P$22^2))</f>
        <v>-0.487171134052544</v>
      </c>
      <c r="D493" s="71" t="n">
        <f aca="false">SQRT(B493^2+C493^2)</f>
        <v>15.6803595651304</v>
      </c>
      <c r="E493" s="72" t="n">
        <f aca="false">20*LOG10(MAX(D493,0.000000000001)/$K$3)</f>
        <v>23.9071203447255</v>
      </c>
      <c r="F493" s="5"/>
      <c r="G493" s="5"/>
      <c r="H493" s="5"/>
      <c r="I493" s="5"/>
      <c r="J493" s="5"/>
      <c r="K493" s="5"/>
      <c r="L493" s="5"/>
      <c r="M493" s="5"/>
      <c r="N493" s="5"/>
    </row>
    <row r="494" customFormat="false" ht="15" hidden="false" customHeight="false" outlineLevel="0" collapsed="false">
      <c r="A494" s="71" t="n">
        <f aca="false">A493+$F$3</f>
        <v>9760</v>
      </c>
      <c r="B494" s="71" t="n">
        <f aca="false">SUMPRODUCT(固有振動数!$Q$6:$Q$22*(1-($A494/固有振動数!$O$6:$O$22)^2)/((1-($A494/固有振動数!$O$6:$O$22)^2)^2+固有振動数!$P$6:$P$22^2))</f>
        <v>15.8081115473588</v>
      </c>
      <c r="C494" s="71" t="n">
        <f aca="false">-SUMPRODUCT(固有振動数!$Q$6:$Q$22*固有振動数!$P$6:$P$22/((1-($A494/固有振動数!$O$6:$O$22)^2)^2+固有振動数!$P$6:$P$22^2))</f>
        <v>-0.488782850488032</v>
      </c>
      <c r="D494" s="71" t="n">
        <f aca="false">SQRT(B494^2+C494^2)</f>
        <v>15.8156662638243</v>
      </c>
      <c r="E494" s="72" t="n">
        <f aca="false">20*LOG10(MAX(D494,0.000000000001)/$K$3)</f>
        <v>23.9817498417057</v>
      </c>
      <c r="F494" s="5"/>
      <c r="G494" s="5"/>
      <c r="H494" s="5"/>
      <c r="I494" s="5"/>
      <c r="J494" s="5"/>
      <c r="K494" s="5"/>
      <c r="L494" s="5"/>
      <c r="M494" s="5"/>
      <c r="N494" s="5"/>
    </row>
    <row r="495" customFormat="false" ht="15" hidden="false" customHeight="false" outlineLevel="0" collapsed="false">
      <c r="A495" s="71" t="n">
        <f aca="false">A494+$F$3</f>
        <v>9780</v>
      </c>
      <c r="B495" s="71" t="n">
        <f aca="false">SUMPRODUCT(固有振動数!$Q$6:$Q$22*(1-($A495/固有振動数!$O$6:$O$22)^2)/((1-($A495/固有振動数!$O$6:$O$22)^2)^2+固有振動数!$P$6:$P$22^2))</f>
        <v>15.9433281401685</v>
      </c>
      <c r="C495" s="71" t="n">
        <f aca="false">-SUMPRODUCT(固有振動数!$Q$6:$Q$22*固有振動数!$P$6:$P$22/((1-($A495/固有振動数!$O$6:$O$22)^2)^2+固有振動数!$P$6:$P$22^2))</f>
        <v>-0.490728928002857</v>
      </c>
      <c r="D495" s="71" t="n">
        <f aca="false">SQRT(B495^2+C495^2)</f>
        <v>15.9508785672097</v>
      </c>
      <c r="E495" s="72" t="n">
        <f aca="false">20*LOG10(MAX(D495,0.000000000001)/$K$3)</f>
        <v>24.0556921759304</v>
      </c>
      <c r="F495" s="5"/>
      <c r="G495" s="5"/>
      <c r="H495" s="5"/>
      <c r="I495" s="5"/>
      <c r="J495" s="5"/>
      <c r="K495" s="5"/>
      <c r="L495" s="5"/>
      <c r="M495" s="5"/>
      <c r="N495" s="5"/>
    </row>
    <row r="496" customFormat="false" ht="15" hidden="false" customHeight="false" outlineLevel="0" collapsed="false">
      <c r="A496" s="71" t="n">
        <f aca="false">A495+$F$3</f>
        <v>9800</v>
      </c>
      <c r="B496" s="71" t="n">
        <f aca="false">SUMPRODUCT(固有振動数!$Q$6:$Q$22*(1-($A496/固有振動数!$O$6:$O$22)^2)/((1-($A496/固有振動数!$O$6:$O$22)^2)^2+固有振動数!$P$6:$P$22^2))</f>
        <v>16.0785754572936</v>
      </c>
      <c r="C496" s="71" t="n">
        <f aca="false">-SUMPRODUCT(固有振動数!$Q$6:$Q$22*固有振動数!$P$6:$P$22/((1-($A496/固有振動数!$O$6:$O$22)^2)^2+固有振動数!$P$6:$P$22^2))</f>
        <v>-0.493008531189161</v>
      </c>
      <c r="D496" s="71" t="n">
        <f aca="false">SQRT(B496^2+C496^2)</f>
        <v>16.0861321064981</v>
      </c>
      <c r="E496" s="72" t="n">
        <f aca="false">20*LOG10(MAX(D496,0.000000000001)/$K$3)</f>
        <v>24.1290326200267</v>
      </c>
      <c r="F496" s="5"/>
      <c r="G496" s="5"/>
      <c r="H496" s="5"/>
      <c r="I496" s="5"/>
      <c r="J496" s="5"/>
      <c r="K496" s="5"/>
      <c r="L496" s="5"/>
      <c r="M496" s="5"/>
      <c r="N496" s="5"/>
    </row>
    <row r="497" customFormat="false" ht="15" hidden="false" customHeight="false" outlineLevel="0" collapsed="false">
      <c r="A497" s="71" t="n">
        <f aca="false">A496+$F$3</f>
        <v>9820</v>
      </c>
      <c r="B497" s="71" t="n">
        <f aca="false">SUMPRODUCT(固有振動数!$Q$6:$Q$22*(1-($A497/固有振動数!$O$6:$O$22)^2)/((1-($A497/固有振動数!$O$6:$O$22)^2)^2+固有振動数!$P$6:$P$22^2))</f>
        <v>16.2139879136281</v>
      </c>
      <c r="C497" s="71" t="n">
        <f aca="false">-SUMPRODUCT(固有振動数!$Q$6:$Q$22*固有振動数!$P$6:$P$22/((1-($A497/固有振動数!$O$6:$O$22)^2)^2+固有振動数!$P$6:$P$22^2))</f>
        <v>-0.495622170106515</v>
      </c>
      <c r="D497" s="71" t="n">
        <f aca="false">SQRT(B497^2+C497^2)</f>
        <v>16.2215611270549</v>
      </c>
      <c r="E497" s="72" t="n">
        <f aca="false">20*LOG10(MAX(D497,0.000000000001)/$K$3)</f>
        <v>24.2018529484773</v>
      </c>
      <c r="F497" s="5"/>
      <c r="G497" s="5"/>
      <c r="H497" s="5"/>
      <c r="I497" s="5"/>
      <c r="J497" s="5"/>
      <c r="K497" s="5"/>
      <c r="L497" s="5"/>
      <c r="M497" s="5"/>
      <c r="N497" s="5"/>
    </row>
    <row r="498" customFormat="false" ht="15" hidden="false" customHeight="false" outlineLevel="0" collapsed="false">
      <c r="A498" s="71" t="n">
        <f aca="false">A497+$F$3</f>
        <v>9840</v>
      </c>
      <c r="B498" s="71" t="n">
        <f aca="false">SUMPRODUCT(固有振動数!$Q$6:$Q$22*(1-($A498/固有振動数!$O$6:$O$22)^2)/((1-($A498/固有振動数!$O$6:$O$22)^2)^2+固有振動数!$P$6:$P$22^2))</f>
        <v>16.3496990197299</v>
      </c>
      <c r="C498" s="71" t="n">
        <f aca="false">-SUMPRODUCT(固有振動数!$Q$6:$Q$22*固有振動数!$P$6:$P$22/((1-($A498/固有振動数!$O$6:$O$22)^2)^2+固有振動数!$P$6:$P$22^2))</f>
        <v>-0.49857168573898</v>
      </c>
      <c r="D498" s="71" t="n">
        <f aca="false">SQRT(B498^2+C498^2)</f>
        <v>16.3572990362583</v>
      </c>
      <c r="E498" s="72" t="n">
        <f aca="false">20*LOG10(MAX(D498,0.000000000001)/$K$3)</f>
        <v>24.2742318663037</v>
      </c>
      <c r="F498" s="5"/>
      <c r="G498" s="5"/>
      <c r="H498" s="5"/>
      <c r="I498" s="5"/>
      <c r="J498" s="5"/>
      <c r="K498" s="5"/>
      <c r="L498" s="5"/>
      <c r="M498" s="5"/>
      <c r="N498" s="5"/>
    </row>
    <row r="499" customFormat="false" ht="15" hidden="false" customHeight="false" outlineLevel="0" collapsed="false">
      <c r="A499" s="71" t="n">
        <f aca="false">A498+$F$3</f>
        <v>9860</v>
      </c>
      <c r="B499" s="71" t="n">
        <f aca="false">SUMPRODUCT(固有振動数!$Q$6:$Q$22*(1-($A499/固有振動数!$O$6:$O$22)^2)/((1-($A499/固有振動数!$O$6:$O$22)^2)^2+固有振動数!$P$6:$P$22^2))</f>
        <v>16.4858419216611</v>
      </c>
      <c r="C499" s="71" t="n">
        <f aca="false">-SUMPRODUCT(固有振動数!$Q$6:$Q$22*固有振動数!$P$6:$P$22/((1-($A499/固有振動数!$O$6:$O$22)^2)^2+固有振動数!$P$6:$P$22^2))</f>
        <v>-0.501860247174043</v>
      </c>
      <c r="D499" s="71" t="n">
        <f aca="false">SQRT(B499^2+C499^2)</f>
        <v>16.4934789408933</v>
      </c>
      <c r="E499" s="72" t="n">
        <f aca="false">20*LOG10(MAX(D499,0.000000000001)/$K$3)</f>
        <v>24.3462454057678</v>
      </c>
      <c r="F499" s="5"/>
      <c r="G499" s="5"/>
      <c r="H499" s="5"/>
      <c r="I499" s="5"/>
      <c r="J499" s="5"/>
      <c r="K499" s="5"/>
      <c r="L499" s="5"/>
      <c r="M499" s="5"/>
      <c r="N499" s="5"/>
    </row>
    <row r="500" customFormat="false" ht="15" hidden="false" customHeight="false" outlineLevel="0" collapsed="false">
      <c r="A500" s="71" t="n">
        <f aca="false">A499+$F$3</f>
        <v>9880</v>
      </c>
      <c r="B500" s="71" t="n">
        <f aca="false">SUMPRODUCT(固有振動数!$Q$6:$Q$22*(1-($A500/固有振動数!$O$6:$O$22)^2)/((1-($A500/固有振動数!$O$6:$O$22)^2)^2+固有振動数!$P$6:$P$22^2))</f>
        <v>16.6225499341658</v>
      </c>
      <c r="C500" s="71" t="n">
        <f aca="false">-SUMPRODUCT(固有振動数!$Q$6:$Q$22*固有振動数!$P$6:$P$22/((1-($A500/固有振動数!$O$6:$O$22)^2)^2+固有振動数!$P$6:$P$22^2))</f>
        <v>-0.505492360328044</v>
      </c>
      <c r="D500" s="71" t="n">
        <f aca="false">SQRT(B500^2+C500^2)</f>
        <v>16.6302341787537</v>
      </c>
      <c r="E500" s="72" t="n">
        <f aca="false">20*LOG10(MAX(D500,0.000000000001)/$K$3)</f>
        <v>24.4179672956645</v>
      </c>
      <c r="F500" s="5"/>
      <c r="G500" s="5"/>
      <c r="H500" s="5"/>
      <c r="I500" s="5"/>
      <c r="J500" s="5"/>
      <c r="K500" s="5"/>
      <c r="L500" s="5"/>
      <c r="M500" s="5"/>
      <c r="N500" s="5"/>
    </row>
    <row r="501" customFormat="false" ht="15" hidden="false" customHeight="false" outlineLevel="0" collapsed="false">
      <c r="A501" s="71" t="n">
        <f aca="false">A500+$F$3</f>
        <v>9900</v>
      </c>
      <c r="B501" s="71" t="n">
        <f aca="false">SUMPRODUCT(固有振動数!$Q$6:$Q$22*(1-($A501/固有振動数!$O$6:$O$22)^2)/((1-($A501/固有振動数!$O$6:$O$22)^2)^2+固有振動数!$P$6:$P$22^2))</f>
        <v>16.7599570718025</v>
      </c>
      <c r="C501" s="71" t="n">
        <f aca="false">-SUMPRODUCT(固有振動数!$Q$6:$Q$22*固有振動数!$P$6:$P$22/((1-($A501/固有振動数!$O$6:$O$22)^2)^2+固有振動数!$P$6:$P$22^2))</f>
        <v>-0.509473888217196</v>
      </c>
      <c r="D501" s="71" t="n">
        <f aca="false">SQRT(B501^2+C501^2)</f>
        <v>16.7676988490203</v>
      </c>
      <c r="E501" s="72" t="n">
        <f aca="false">20*LOG10(MAX(D501,0.000000000001)/$K$3)</f>
        <v>24.4894693072854</v>
      </c>
      <c r="F501" s="5"/>
      <c r="G501" s="5"/>
      <c r="H501" s="5"/>
      <c r="I501" s="5"/>
      <c r="J501" s="5"/>
      <c r="K501" s="5"/>
      <c r="L501" s="5"/>
      <c r="M501" s="5"/>
      <c r="N501" s="5"/>
    </row>
    <row r="502" customFormat="false" ht="15" hidden="false" customHeight="false" outlineLevel="0" collapsed="false">
      <c r="A502" s="71" t="n">
        <f aca="false">A501+$F$3</f>
        <v>9920</v>
      </c>
      <c r="B502" s="71" t="n">
        <f aca="false">SUMPRODUCT(固有振動数!$Q$6:$Q$22*(1-($A502/固有振動数!$O$6:$O$22)^2)/((1-($A502/固有振動数!$O$6:$O$22)^2)^2+固有振動数!$P$6:$P$22^2))</f>
        <v>16.8981985825936</v>
      </c>
      <c r="C502" s="71" t="n">
        <f aca="false">-SUMPRODUCT(固有振動数!$Q$6:$Q$22*固有振動数!$P$6:$P$22/((1-($A502/固有振動数!$O$6:$O$22)^2)^2+固有振動数!$P$6:$P$22^2))</f>
        <v>-0.51381208294595</v>
      </c>
      <c r="D502" s="71" t="n">
        <f aca="false">SQRT(B502^2+C502^2)</f>
        <v>16.9060083459505</v>
      </c>
      <c r="E502" s="72" t="n">
        <f aca="false">20*LOG10(MAX(D502,0.000000000001)/$K$3)</f>
        <v>24.560821580737</v>
      </c>
      <c r="F502" s="5"/>
      <c r="G502" s="5"/>
      <c r="H502" s="5"/>
      <c r="I502" s="5"/>
      <c r="J502" s="5"/>
      <c r="K502" s="5"/>
      <c r="L502" s="5"/>
      <c r="M502" s="5"/>
      <c r="N502" s="5"/>
    </row>
    <row r="503" customFormat="false" ht="15" hidden="false" customHeight="false" outlineLevel="0" collapsed="false">
      <c r="A503" s="71" t="n">
        <f aca="false">A502+$F$3</f>
        <v>9940</v>
      </c>
      <c r="B503" s="71" t="n">
        <f aca="false">SUMPRODUCT(固有振動数!$Q$6:$Q$22*(1-($A503/固有振動数!$O$6:$O$22)^2)/((1-($A503/固有振動数!$O$6:$O$22)^2)^2+固有振動数!$P$6:$P$22^2))</f>
        <v>17.0374114887693</v>
      </c>
      <c r="C503" s="71" t="n">
        <f aca="false">-SUMPRODUCT(固有振動数!$Q$6:$Q$22*固有振動数!$P$6:$P$22/((1-($A503/固有振動数!$O$6:$O$22)^2)^2+固有振動数!$P$6:$P$22^2))</f>
        <v>-0.518515629759263</v>
      </c>
      <c r="D503" s="71" t="n">
        <f aca="false">SQRT(B503^2+C503^2)</f>
        <v>17.0452999004404</v>
      </c>
      <c r="E503" s="72" t="n">
        <f aca="false">20*LOG10(MAX(D503,0.000000000001)/$K$3)</f>
        <v>24.6320929349539</v>
      </c>
      <c r="F503" s="5"/>
      <c r="G503" s="5"/>
      <c r="H503" s="5"/>
      <c r="I503" s="5"/>
      <c r="J503" s="5"/>
      <c r="K503" s="5"/>
      <c r="L503" s="5"/>
      <c r="M503" s="5"/>
      <c r="N503" s="5"/>
    </row>
    <row r="504" customFormat="false" ht="15" hidden="false" customHeight="false" outlineLevel="0" collapsed="false">
      <c r="A504" s="71" t="n">
        <f aca="false">A503+$F$3</f>
        <v>9960</v>
      </c>
      <c r="B504" s="71" t="n">
        <f aca="false">SUMPRODUCT(固有振動数!$Q$6:$Q$22*(1-($A504/固有振動数!$O$6:$O$22)^2)/((1-($A504/固有振動数!$O$6:$O$22)^2)^2+固有振動数!$P$6:$P$22^2))</f>
        <v>17.1777351392589</v>
      </c>
      <c r="C504" s="71" t="n">
        <f aca="false">-SUMPRODUCT(固有振動数!$Q$6:$Q$22*固有振動数!$P$6:$P$22/((1-($A504/固有振動数!$O$6:$O$22)^2)^2+固有振動数!$P$6:$P$22^2))</f>
        <v>-0.523594703686251</v>
      </c>
      <c r="D504" s="71" t="n">
        <f aca="false">SQRT(B504^2+C504^2)</f>
        <v>17.1857131341198</v>
      </c>
      <c r="E504" s="72" t="n">
        <f aca="false">20*LOG10(MAX(D504,0.000000000001)/$K$3)</f>
        <v>24.7033511644805</v>
      </c>
      <c r="F504" s="5"/>
      <c r="G504" s="5"/>
      <c r="H504" s="5"/>
      <c r="I504" s="5"/>
      <c r="J504" s="5"/>
      <c r="K504" s="5"/>
      <c r="L504" s="5"/>
      <c r="M504" s="5"/>
      <c r="N504" s="5"/>
    </row>
    <row r="505" customFormat="false" ht="15" hidden="false" customHeight="false" outlineLevel="0" collapsed="false">
      <c r="A505" s="71" t="n">
        <f aca="false">A504+$F$3</f>
        <v>9980</v>
      </c>
      <c r="B505" s="71" t="n">
        <f aca="false">SUMPRODUCT(固有振動数!$Q$6:$Q$22*(1-($A505/固有振動数!$O$6:$O$22)^2)/((1-($A505/固有振動数!$O$6:$O$22)^2)^2+固有振動数!$P$6:$P$22^2))</f>
        <v>17.3193117787345</v>
      </c>
      <c r="C505" s="71" t="n">
        <f aca="false">-SUMPRODUCT(固有振動数!$Q$6:$Q$22*固有振動数!$P$6:$P$22/((1-($A505/固有振動数!$O$6:$O$22)^2)^2+固有振動数!$P$6:$P$22^2))</f>
        <v>-0.529061039493869</v>
      </c>
      <c r="D505" s="71" t="n">
        <f aca="false">SQRT(B505^2+C505^2)</f>
        <v>17.3273906308053</v>
      </c>
      <c r="E505" s="72" t="n">
        <f aca="false">20*LOG10(MAX(D505,0.000000000001)/$K$3)</f>
        <v>24.7746633258694</v>
      </c>
      <c r="F505" s="5"/>
      <c r="G505" s="5"/>
      <c r="H505" s="5"/>
      <c r="I505" s="5"/>
      <c r="J505" s="5"/>
      <c r="K505" s="5"/>
      <c r="L505" s="5"/>
      <c r="M505" s="5"/>
      <c r="N505" s="5"/>
    </row>
    <row r="506" customFormat="false" ht="15" hidden="false" customHeight="false" outlineLevel="0" collapsed="false">
      <c r="A506" s="71" t="n">
        <f aca="false">A505+$F$3</f>
        <v>10000</v>
      </c>
      <c r="B506" s="71" t="n">
        <f aca="false">SUMPRODUCT(固有振動数!$Q$6:$Q$22*(1-($A506/固有振動数!$O$6:$O$22)^2)/((1-($A506/固有振動数!$O$6:$O$22)^2)^2+固有振動数!$P$6:$P$22^2))</f>
        <v>17.4622871382308</v>
      </c>
      <c r="C506" s="71" t="n">
        <f aca="false">-SUMPRODUCT(固有振動数!$Q$6:$Q$22*固有振動数!$P$6:$P$22/((1-($A506/固有振動数!$O$6:$O$22)^2)^2+固有振動数!$P$6:$P$22^2))</f>
        <v>-0.534928015875222</v>
      </c>
      <c r="D506" s="71" t="n">
        <f aca="false">SQRT(B506^2+C506^2)</f>
        <v>17.470478530372</v>
      </c>
      <c r="E506" s="72" t="n">
        <f aca="false">20*LOG10(MAX(D506,0.000000000001)/$K$3)</f>
        <v>24.8460960163773</v>
      </c>
      <c r="F506" s="5"/>
      <c r="G506" s="5"/>
      <c r="H506" s="5"/>
      <c r="I506" s="5"/>
      <c r="J506" s="5"/>
      <c r="K506" s="5"/>
      <c r="L506" s="5"/>
      <c r="M506" s="5"/>
      <c r="N506" s="5"/>
    </row>
    <row r="507" customFormat="false" ht="15" hidden="false" customHeight="false" outlineLevel="0" collapsed="false">
      <c r="A507" s="71" t="n">
        <f aca="false">A506+$F$3</f>
        <v>10020</v>
      </c>
      <c r="B507" s="71" t="n">
        <f aca="false">SUMPRODUCT(固有振動数!$Q$6:$Q$22*(1-($A507/固有振動数!$O$6:$O$22)^2)/((1-($A507/固有振動数!$O$6:$O$22)^2)^2+固有振動数!$P$6:$P$22^2))</f>
        <v>17.6068110526628</v>
      </c>
      <c r="C507" s="71" t="n">
        <f aca="false">-SUMPRODUCT(固有振動数!$Q$6:$Q$22*固有振動数!$P$6:$P$22/((1-($A507/固有振動数!$O$6:$O$22)^2)^2+固有振動数!$P$6:$P$22^2))</f>
        <v>-0.541210755022598</v>
      </c>
      <c r="D507" s="71" t="n">
        <f aca="false">SQRT(B507^2+C507^2)</f>
        <v>17.6151271504216</v>
      </c>
      <c r="E507" s="72" t="n">
        <f aca="false">20*LOG10(MAX(D507,0.000000000001)/$K$3)</f>
        <v>24.9177156475092</v>
      </c>
      <c r="F507" s="5"/>
      <c r="G507" s="5"/>
      <c r="H507" s="5"/>
      <c r="I507" s="5"/>
      <c r="J507" s="5"/>
      <c r="K507" s="5"/>
      <c r="L507" s="5"/>
      <c r="M507" s="5"/>
      <c r="N507" s="5"/>
    </row>
    <row r="508" customFormat="false" ht="15" hidden="false" customHeight="false" outlineLevel="0" collapsed="false">
      <c r="A508" s="71" t="n">
        <f aca="false">A507+$F$3</f>
        <v>10040</v>
      </c>
      <c r="B508" s="71" t="n">
        <f aca="false">SUMPRODUCT(固有振動数!$Q$6:$Q$22*(1-($A508/固有振動数!$O$6:$O$22)^2)/((1-($A508/固有振動数!$O$6:$O$22)^2)^2+固有振動数!$P$6:$P$22^2))</f>
        <v>17.7530381109397</v>
      </c>
      <c r="C508" s="71" t="n">
        <f aca="false">-SUMPRODUCT(固有振動数!$Q$6:$Q$22*固有振動数!$P$6:$P$22/((1-($A508/固有振動数!$O$6:$O$22)^2)^2+固有振動数!$P$6:$P$22^2))</f>
        <v>-0.547926238985989</v>
      </c>
      <c r="D508" s="71" t="n">
        <f aca="false">SQRT(B508^2+C508^2)</f>
        <v>17.7614916415218</v>
      </c>
      <c r="E508" s="72" t="n">
        <f aca="false">20*LOG10(MAX(D508,0.000000000001)/$K$3)</f>
        <v>24.9895887158775</v>
      </c>
      <c r="F508" s="5"/>
      <c r="G508" s="5"/>
      <c r="H508" s="5"/>
      <c r="I508" s="5"/>
      <c r="J508" s="5"/>
      <c r="K508" s="5"/>
      <c r="L508" s="5"/>
      <c r="M508" s="5"/>
      <c r="N508" s="5"/>
    </row>
    <row r="509" customFormat="false" ht="15" hidden="false" customHeight="false" outlineLevel="0" collapsed="false">
      <c r="A509" s="71" t="n">
        <f aca="false">A508+$F$3</f>
        <v>10060</v>
      </c>
      <c r="B509" s="71" t="n">
        <f aca="false">SUMPRODUCT(固有振動数!$Q$6:$Q$22*(1-($A509/固有振動数!$O$6:$O$22)^2)/((1-($A509/固有振動数!$O$6:$O$22)^2)^2+固有振動数!$P$6:$P$22^2))</f>
        <v>17.9011283448496</v>
      </c>
      <c r="C509" s="71" t="n">
        <f aca="false">-SUMPRODUCT(固有振動数!$Q$6:$Q$22*固有振動数!$P$6:$P$22/((1-($A509/固有振動数!$O$6:$O$22)^2)^2+固有振動数!$P$6:$P$22^2))</f>
        <v>-0.555093444499858</v>
      </c>
      <c r="D509" s="71" t="n">
        <f aca="false">SQRT(B509^2+C509^2)</f>
        <v>17.909732682285</v>
      </c>
      <c r="E509" s="72" t="n">
        <f aca="false">20*LOG10(MAX(D509,0.000000000001)/$K$3)</f>
        <v>25.0617820737925</v>
      </c>
      <c r="F509" s="5"/>
      <c r="G509" s="5"/>
      <c r="H509" s="5"/>
      <c r="I509" s="5"/>
      <c r="J509" s="5"/>
      <c r="K509" s="5"/>
      <c r="L509" s="5"/>
      <c r="M509" s="5"/>
      <c r="N509" s="5"/>
    </row>
    <row r="510" customFormat="false" ht="15" hidden="false" customHeight="false" outlineLevel="0" collapsed="false">
      <c r="A510" s="71" t="n">
        <f aca="false">A509+$F$3</f>
        <v>10080</v>
      </c>
      <c r="B510" s="71" t="n">
        <f aca="false">SUMPRODUCT(固有振動数!$Q$6:$Q$22*(1-($A510/固有振動数!$O$6:$O$22)^2)/((1-($A510/固有振動数!$O$6:$O$22)^2)^2+固有振動数!$P$6:$P$22^2))</f>
        <v>18.0512479634551</v>
      </c>
      <c r="C510" s="71" t="n">
        <f aca="false">-SUMPRODUCT(固有振動数!$Q$6:$Q$22*固有振動数!$P$6:$P$22/((1-($A510/固有振動数!$O$6:$O$22)^2)^2+固有振動数!$P$6:$P$22^2))</f>
        <v>-0.562733498281715</v>
      </c>
      <c r="D510" s="71" t="n">
        <f aca="false">SQRT(B510^2+C510^2)</f>
        <v>18.0600172211498</v>
      </c>
      <c r="E510" s="72" t="n">
        <f aca="false">20*LOG10(MAX(D510,0.000000000001)/$K$3)</f>
        <v>25.1343632019936</v>
      </c>
      <c r="F510" s="5"/>
      <c r="G510" s="5"/>
      <c r="H510" s="5"/>
      <c r="I510" s="5"/>
      <c r="J510" s="5"/>
      <c r="K510" s="5"/>
      <c r="L510" s="5"/>
      <c r="M510" s="5"/>
      <c r="N510" s="5"/>
    </row>
    <row r="511" customFormat="false" ht="15" hidden="false" customHeight="false" outlineLevel="0" collapsed="false">
      <c r="A511" s="71" t="n">
        <f aca="false">A510+$F$3</f>
        <v>10100</v>
      </c>
      <c r="B511" s="71" t="n">
        <f aca="false">SUMPRODUCT(固有振動数!$Q$6:$Q$22*(1-($A511/固有振動数!$O$6:$O$22)^2)/((1-($A511/固有振動数!$O$6:$O$22)^2)^2+固有振動数!$P$6:$P$22^2))</f>
        <v>18.2035701404333</v>
      </c>
      <c r="C511" s="71" t="n">
        <f aca="false">-SUMPRODUCT(固有振動数!$Q$6:$Q$22*固有振動数!$P$6:$P$22/((1-($A511/固有振動数!$O$6:$O$22)^2)^2+固有振動数!$P$6:$P$22^2))</f>
        <v>-0.570869855174085</v>
      </c>
      <c r="D511" s="71" t="n">
        <f aca="false">SQRT(B511^2+C511^2)</f>
        <v>18.2125192724461</v>
      </c>
      <c r="E511" s="72" t="n">
        <f aca="false">20*LOG10(MAX(D511,0.000000000001)/$K$3)</f>
        <v>25.2074004869543</v>
      </c>
      <c r="F511" s="5"/>
      <c r="G511" s="5"/>
      <c r="H511" s="5"/>
      <c r="I511" s="5"/>
      <c r="J511" s="5"/>
      <c r="K511" s="5"/>
      <c r="L511" s="5"/>
      <c r="M511" s="5"/>
      <c r="N511" s="5"/>
    </row>
    <row r="512" customFormat="false" ht="15" hidden="false" customHeight="false" outlineLevel="0" collapsed="false">
      <c r="A512" s="71" t="n">
        <f aca="false">A511+$F$3</f>
        <v>10120</v>
      </c>
      <c r="B512" s="71" t="n">
        <f aca="false">SUMPRODUCT(固有振動数!$Q$6:$Q$22*(1-($A512/固有振動数!$O$6:$O$22)^2)/((1-($A512/固有振動数!$O$6:$O$22)^2)^2+固有振動数!$P$6:$P$22^2))</f>
        <v>18.3582758626101</v>
      </c>
      <c r="C512" s="71" t="n">
        <f aca="false">-SUMPRODUCT(固有振動数!$Q$6:$Q$22*固有振動数!$P$6:$P$22/((1-($A512/固有振動数!$O$6:$O$22)^2)^2+固有振動数!$P$6:$P$22^2))</f>
        <v>-0.579528501927116</v>
      </c>
      <c r="D512" s="71" t="n">
        <f aca="false">SQRT(B512^2+C512^2)</f>
        <v>18.3674207751725</v>
      </c>
      <c r="E512" s="72" t="n">
        <f aca="false">20*LOG10(MAX(D512,0.000000000001)/$K$3)</f>
        <v>25.2809635052627</v>
      </c>
      <c r="F512" s="5"/>
      <c r="G512" s="5"/>
      <c r="H512" s="5"/>
      <c r="I512" s="5"/>
      <c r="J512" s="5"/>
      <c r="K512" s="5"/>
      <c r="L512" s="5"/>
      <c r="M512" s="5"/>
      <c r="N512" s="5"/>
    </row>
    <row r="513" customFormat="false" ht="15" hidden="false" customHeight="false" outlineLevel="0" collapsed="false">
      <c r="A513" s="71" t="n">
        <f aca="false">A512+$F$3</f>
        <v>10140</v>
      </c>
      <c r="B513" s="71" t="n">
        <f aca="false">SUMPRODUCT(固有振動数!$Q$6:$Q$22*(1-($A513/固有振動数!$O$6:$O$22)^2)/((1-($A513/固有振動数!$O$6:$O$22)^2)^2+固有振動数!$P$6:$P$22^2))</f>
        <v>18.5155548489062</v>
      </c>
      <c r="C513" s="71" t="n">
        <f aca="false">-SUMPRODUCT(固有振動数!$Q$6:$Q$22*固有振動数!$P$6:$P$22/((1-($A513/固有振動数!$O$6:$O$22)^2)^2+固有振動数!$P$6:$P$22^2))</f>
        <v>-0.588738189914525</v>
      </c>
      <c r="D513" s="71" t="n">
        <f aca="false">SQRT(B513^2+C513^2)</f>
        <v>18.5249125239262</v>
      </c>
      <c r="E513" s="72" t="n">
        <f aca="false">20*LOG10(MAX(D513,0.000000000001)/$K$3)</f>
        <v>25.3551233176796</v>
      </c>
      <c r="F513" s="5"/>
      <c r="G513" s="5"/>
      <c r="H513" s="5"/>
      <c r="I513" s="5"/>
      <c r="J513" s="5"/>
      <c r="K513" s="5"/>
      <c r="L513" s="5"/>
      <c r="M513" s="5"/>
      <c r="N513" s="5"/>
    </row>
    <row r="514" customFormat="false" ht="15" hidden="false" customHeight="false" outlineLevel="0" collapsed="false">
      <c r="A514" s="71" t="n">
        <f aca="false">A513+$F$3</f>
        <v>10160</v>
      </c>
      <c r="B514" s="71" t="n">
        <f aca="false">SUMPRODUCT(固有振動数!$Q$6:$Q$22*(1-($A514/固有振動数!$O$6:$O$22)^2)/((1-($A514/固有振動数!$O$6:$O$22)^2)^2+固有振動数!$P$6:$P$22^2))</f>
        <v>18.6756065500603</v>
      </c>
      <c r="C514" s="71" t="n">
        <f aca="false">-SUMPRODUCT(固有振動数!$Q$6:$Q$22*固有振動数!$P$6:$P$22/((1-($A514/固有振動数!$O$6:$O$22)^2)^2+固有振動数!$P$6:$P$22^2))</f>
        <v>-0.598530700655617</v>
      </c>
      <c r="D514" s="71" t="n">
        <f aca="false">SQRT(B514^2+C514^2)</f>
        <v>18.6851951826114</v>
      </c>
      <c r="E514" s="72" t="n">
        <f aca="false">20*LOG10(MAX(D514,0.000000000001)/$K$3)</f>
        <v>25.4299527756247</v>
      </c>
      <c r="F514" s="5"/>
      <c r="G514" s="5"/>
      <c r="H514" s="5"/>
      <c r="I514" s="5"/>
      <c r="J514" s="5"/>
      <c r="K514" s="5"/>
      <c r="L514" s="5"/>
      <c r="M514" s="5"/>
      <c r="N514" s="5"/>
    </row>
    <row r="515" customFormat="false" ht="15" hidden="false" customHeight="false" outlineLevel="0" collapsed="false">
      <c r="A515" s="71" t="n">
        <f aca="false">A514+$F$3</f>
        <v>10180</v>
      </c>
      <c r="B515" s="71" t="n">
        <f aca="false">SUMPRODUCT(固有振動数!$Q$6:$Q$22*(1-($A515/固有振動数!$O$6:$O$22)^2)/((1-($A515/固有振動数!$O$6:$O$22)^2)^2+固有振動数!$P$6:$P$22^2))</f>
        <v>18.8386412408417</v>
      </c>
      <c r="C515" s="71" t="n">
        <f aca="false">-SUMPRODUCT(固有振動数!$Q$6:$Q$22*固有振動数!$P$6:$P$22/((1-($A515/固有振動数!$O$6:$O$22)^2)^2+固有振動数!$P$6:$P$22^2))</f>
        <v>-0.608941148698845</v>
      </c>
      <c r="D515" s="71" t="n">
        <f aca="false">SQRT(B515^2+C515^2)</f>
        <v>18.8484803929579</v>
      </c>
      <c r="E515" s="72" t="n">
        <f aca="false">20*LOG10(MAX(D515,0.000000000001)/$K$3)</f>
        <v>25.5055268430315</v>
      </c>
      <c r="F515" s="5"/>
      <c r="G515" s="5"/>
      <c r="H515" s="5"/>
      <c r="I515" s="5"/>
      <c r="J515" s="5"/>
      <c r="K515" s="5"/>
      <c r="L515" s="5"/>
      <c r="M515" s="5"/>
      <c r="N515" s="5"/>
    </row>
    <row r="516" customFormat="false" ht="15" hidden="false" customHeight="false" outlineLevel="0" collapsed="false">
      <c r="A516" s="71" t="n">
        <f aca="false">A515+$F$3</f>
        <v>10200</v>
      </c>
      <c r="B516" s="71" t="n">
        <f aca="false">SUMPRODUCT(固有振動数!$Q$6:$Q$22*(1-($A516/固有振動数!$O$6:$O$22)^2)/((1-($A516/固有振動数!$O$6:$O$22)^2)^2+固有振動数!$P$6:$P$22^2))</f>
        <v>19.0048812180503</v>
      </c>
      <c r="C516" s="71" t="n">
        <f aca="false">-SUMPRODUCT(固有振動数!$Q$6:$Q$22*固有振動数!$P$6:$P$22/((1-($A516/固有振動数!$O$6:$O$22)^2)^2+固有振動数!$P$6:$P$22^2))</f>
        <v>-0.620008327229468</v>
      </c>
      <c r="D516" s="71" t="n">
        <f aca="false">SQRT(B516^2+C516^2)</f>
        <v>19.0149919915322</v>
      </c>
      <c r="E516" s="72" t="n">
        <f aca="false">20*LOG10(MAX(D516,0.000000000001)/$K$3)</f>
        <v>25.5819229367516</v>
      </c>
      <c r="F516" s="5"/>
      <c r="G516" s="5"/>
      <c r="H516" s="5"/>
      <c r="I516" s="5"/>
      <c r="J516" s="5"/>
      <c r="K516" s="5"/>
      <c r="L516" s="5"/>
      <c r="M516" s="5"/>
      <c r="N516" s="5"/>
    </row>
    <row r="517" customFormat="false" ht="15" hidden="false" customHeight="false" outlineLevel="0" collapsed="false">
      <c r="A517" s="71" t="n">
        <f aca="false">A516+$F$3</f>
        <v>10220</v>
      </c>
      <c r="B517" s="71" t="n">
        <f aca="false">SUMPRODUCT(固有振動数!$Q$6:$Q$22*(1-($A517/固有振動数!$O$6:$O$22)^2)/((1-($A517/固有振動数!$O$6:$O$22)^2)^2+固有振動数!$P$6:$P$22^2))</f>
        <v>19.1745621194765</v>
      </c>
      <c r="C517" s="71" t="n">
        <f aca="false">-SUMPRODUCT(固有振動数!$Q$6:$Q$22*固有振動数!$P$6:$P$22/((1-($A517/固有振動数!$O$6:$O$22)^2)^2+固有振動数!$P$6:$P$22^2))</f>
        <v>-0.63177510272255</v>
      </c>
      <c r="D517" s="71" t="n">
        <f aca="false">SQRT(B517^2+C517^2)</f>
        <v>19.1849673508736</v>
      </c>
      <c r="E517" s="72" t="n">
        <f aca="false">20*LOG10(MAX(D517,0.000000000001)/$K$3)</f>
        <v>25.6592212889848</v>
      </c>
      <c r="F517" s="5"/>
      <c r="G517" s="5"/>
      <c r="H517" s="5"/>
      <c r="I517" s="5"/>
      <c r="J517" s="5"/>
      <c r="K517" s="5"/>
      <c r="L517" s="5"/>
      <c r="M517" s="5"/>
      <c r="N517" s="5"/>
    </row>
    <row r="518" customFormat="false" ht="15" hidden="false" customHeight="false" outlineLevel="0" collapsed="false">
      <c r="A518" s="71" t="n">
        <f aca="false">A517+$F$3</f>
        <v>10240</v>
      </c>
      <c r="B518" s="71" t="n">
        <f aca="false">SUMPRODUCT(固有振動数!$Q$6:$Q$22*(1-($A518/固有振動数!$O$6:$O$22)^2)/((1-($A518/固有振動数!$O$6:$O$22)^2)^2+固有振動数!$P$6:$P$22^2))</f>
        <v>19.3479343811915</v>
      </c>
      <c r="C518" s="71" t="n">
        <f aca="false">-SUMPRODUCT(固有振動数!$Q$6:$Q$22*固有振動数!$P$6:$P$22/((1-($A518/固有振動数!$O$6:$O$22)^2)^2+固有振動数!$P$6:$P$22^2))</f>
        <v>-0.644288866105603</v>
      </c>
      <c r="D518" s="71" t="n">
        <f aca="false">SQRT(B518^2+C518^2)</f>
        <v>19.3586588626867</v>
      </c>
      <c r="E518" s="72" t="n">
        <f aca="false">20*LOG10(MAX(D518,0.000000000001)/$K$3)</f>
        <v>25.7375053355738</v>
      </c>
      <c r="F518" s="5"/>
      <c r="G518" s="5"/>
      <c r="H518" s="5"/>
      <c r="I518" s="5"/>
      <c r="J518" s="5"/>
      <c r="K518" s="5"/>
      <c r="L518" s="5"/>
      <c r="M518" s="5"/>
      <c r="N518" s="5"/>
    </row>
    <row r="519" customFormat="false" ht="15" hidden="false" customHeight="false" outlineLevel="0" collapsed="false">
      <c r="A519" s="71" t="n">
        <f aca="false">A518+$F$3</f>
        <v>10260</v>
      </c>
      <c r="B519" s="71" t="n">
        <f aca="false">SUMPRODUCT(固有振動数!$Q$6:$Q$22*(1-($A519/固有振動数!$O$6:$O$22)^2)/((1-($A519/固有振動数!$O$6:$O$22)^2)^2+固有振動数!$P$6:$P$22^2))</f>
        <v>19.5252648531426</v>
      </c>
      <c r="C519" s="71" t="n">
        <f aca="false">-SUMPRODUCT(固有振動数!$Q$6:$Q$22*固有振動数!$P$6:$P$22/((1-($A519/固有振動数!$O$6:$O$22)^2)^2+固有振動数!$P$6:$P$22^2))</f>
        <v>-0.657602049263972</v>
      </c>
      <c r="D519" s="71" t="n">
        <f aca="false">SQRT(B519^2+C519^2)</f>
        <v>19.5363355837414</v>
      </c>
      <c r="E519" s="72" t="n">
        <f aca="false">20*LOG10(MAX(D519,0.000000000001)/$K$3)</f>
        <v>25.8168621344274</v>
      </c>
      <c r="F519" s="5"/>
      <c r="G519" s="5"/>
      <c r="H519" s="5"/>
      <c r="I519" s="5"/>
      <c r="J519" s="5"/>
      <c r="K519" s="5"/>
      <c r="L519" s="5"/>
      <c r="M519" s="5"/>
      <c r="N519" s="5"/>
    </row>
    <row r="520" customFormat="false" ht="15" hidden="false" customHeight="false" outlineLevel="0" collapsed="false">
      <c r="A520" s="71" t="n">
        <f aca="false">A519+$F$3</f>
        <v>10280</v>
      </c>
      <c r="B520" s="71" t="n">
        <f aca="false">SUMPRODUCT(固有振動数!$Q$6:$Q$22*(1-($A520/固有振動数!$O$6:$O$22)^2)/((1-($A520/固有振動数!$O$6:$O$22)^2)^2+固有振動数!$P$6:$P$22^2))</f>
        <v>19.7068385961027</v>
      </c>
      <c r="C520" s="71" t="n">
        <f aca="false">-SUMPRODUCT(固有振動数!$Q$6:$Q$22*固有振動数!$P$6:$P$22/((1-($A520/固有振動数!$O$6:$O$22)^2)^2+固有振動数!$P$6:$P$22^2))</f>
        <v>-0.671772717367249</v>
      </c>
      <c r="D520" s="71" t="n">
        <f aca="false">SQRT(B520^2+C520^2)</f>
        <v>19.7182850683482</v>
      </c>
      <c r="E520" s="72" t="n">
        <f aca="false">20*LOG10(MAX(D520,0.000000000001)/$K$3)</f>
        <v>25.8973828188585</v>
      </c>
      <c r="F520" s="5"/>
      <c r="G520" s="5"/>
      <c r="H520" s="5"/>
      <c r="I520" s="5"/>
      <c r="J520" s="5"/>
      <c r="K520" s="5"/>
      <c r="L520" s="5"/>
      <c r="M520" s="5"/>
      <c r="N520" s="5"/>
    </row>
    <row r="521" customFormat="false" ht="15" hidden="false" customHeight="false" outlineLevel="0" collapsed="false">
      <c r="A521" s="71" t="n">
        <f aca="false">A520+$F$3</f>
        <v>10300</v>
      </c>
      <c r="B521" s="71" t="n">
        <f aca="false">SUMPRODUCT(固有振動数!$Q$6:$Q$22*(1-($A521/固有振動数!$O$6:$O$22)^2)/((1-($A521/固有振動数!$O$6:$O$22)^2)^2+固有振動数!$P$6:$P$22^2))</f>
        <v>19.8929608866633</v>
      </c>
      <c r="C521" s="71" t="n">
        <f aca="false">-SUMPRODUCT(固有振動数!$Q$6:$Q$22*固有振動数!$P$6:$P$22/((1-($A521/固有振動数!$O$6:$O$22)^2)^2+固有振動数!$P$6:$P$22^2))</f>
        <v>-0.68686524948051</v>
      </c>
      <c r="D521" s="71" t="n">
        <f aca="false">SQRT(B521^2+C521^2)</f>
        <v>19.9048154151015</v>
      </c>
      <c r="E521" s="72" t="n">
        <f aca="false">20*LOG10(MAX(D521,0.000000000001)/$K$3)</f>
        <v>25.9791630912287</v>
      </c>
      <c r="F521" s="5"/>
      <c r="G521" s="5"/>
      <c r="H521" s="5"/>
      <c r="I521" s="5"/>
      <c r="J521" s="5"/>
      <c r="K521" s="5"/>
      <c r="L521" s="5"/>
      <c r="M521" s="5"/>
      <c r="N521" s="5"/>
    </row>
    <row r="522" customFormat="false" ht="15" hidden="false" customHeight="false" outlineLevel="0" collapsed="false">
      <c r="A522" s="71" t="n">
        <f aca="false">A521+$F$3</f>
        <v>10320</v>
      </c>
      <c r="B522" s="71" t="n">
        <f aca="false">SUMPRODUCT(固有振動数!$Q$6:$Q$22*(1-($A522/固有振動数!$O$6:$O$22)^2)/((1-($A522/固有振動数!$O$6:$O$22)^2)^2+固有振動数!$P$6:$P$22^2))</f>
        <v>20.0839594612871</v>
      </c>
      <c r="C522" s="71" t="n">
        <f aca="false">-SUMPRODUCT(固有振動数!$Q$6:$Q$22*固有振動数!$P$6:$P$22/((1-($A522/固有振動数!$O$6:$O$22)^2)^2+固有振動数!$P$6:$P$22^2))</f>
        <v>-0.702951122329624</v>
      </c>
      <c r="D522" s="71" t="n">
        <f aca="false">SQRT(B522^2+C522^2)</f>
        <v>20.0962575601281</v>
      </c>
      <c r="E522" s="72" t="n">
        <f aca="false">20*LOG10(MAX(D522,0.000000000001)/$K$3)</f>
        <v>26.0623037630226</v>
      </c>
      <c r="F522" s="5"/>
      <c r="G522" s="5"/>
      <c r="H522" s="5"/>
      <c r="I522" s="5"/>
      <c r="J522" s="5"/>
      <c r="K522" s="5"/>
      <c r="L522" s="5"/>
      <c r="M522" s="5"/>
      <c r="N522" s="5"/>
    </row>
    <row r="523" customFormat="false" ht="15" hidden="false" customHeight="false" outlineLevel="0" collapsed="false">
      <c r="A523" s="71" t="n">
        <f aca="false">A522+$F$3</f>
        <v>10340</v>
      </c>
      <c r="B523" s="71" t="n">
        <f aca="false">SUMPRODUCT(固有振動数!$Q$6:$Q$22*(1-($A523/固有振動数!$O$6:$O$22)^2)/((1-($A523/固有振動数!$O$6:$O$22)^2)^2+固有振動数!$P$6:$P$22^2))</f>
        <v>20.2801870355879</v>
      </c>
      <c r="C523" s="71" t="n">
        <f aca="false">-SUMPRODUCT(固有振動数!$Q$6:$Q$22*固有振動数!$P$6:$P$22/((1-($A523/固有振動数!$O$6:$O$22)^2)^2+固有振動数!$P$6:$P$22^2))</f>
        <v>-0.720109815015979</v>
      </c>
      <c r="D523" s="71" t="n">
        <f aca="false">SQRT(B523^2+C523^2)</f>
        <v>20.2929678545084</v>
      </c>
      <c r="E523" s="72" t="n">
        <f aca="false">20*LOG10(MAX(D523,0.000000000001)/$K$3)</f>
        <v>26.1469113483345</v>
      </c>
      <c r="F523" s="5"/>
      <c r="G523" s="5"/>
      <c r="H523" s="5"/>
      <c r="I523" s="5"/>
      <c r="J523" s="5"/>
      <c r="K523" s="5"/>
      <c r="L523" s="5"/>
      <c r="M523" s="5"/>
      <c r="N523" s="5"/>
    </row>
    <row r="524" customFormat="false" ht="15" hidden="false" customHeight="false" outlineLevel="0" collapsed="false">
      <c r="A524" s="71" t="n">
        <f aca="false">A523+$F$3</f>
        <v>10360</v>
      </c>
      <c r="B524" s="71" t="n">
        <f aca="false">SUMPRODUCT(固有振動数!$Q$6:$Q$22*(1-($A524/固有振動数!$O$6:$O$22)^2)/((1-($A524/固有振動数!$O$6:$O$22)^2)^2+固有振動数!$P$6:$P$22^2))</f>
        <v>20.4820241411549</v>
      </c>
      <c r="C524" s="71" t="n">
        <f aca="false">-SUMPRODUCT(固有振動数!$Q$6:$Q$22*固有振動数!$P$6:$P$22/((1-($A524/固有振動数!$O$6:$O$22)^2)^2+固有振動数!$P$6:$P$22^2))</f>
        <v>-0.738429856049772</v>
      </c>
      <c r="D524" s="71" t="n">
        <f aca="false">SQRT(B524^2+C524^2)</f>
        <v>20.4953309700321</v>
      </c>
      <c r="E524" s="72" t="n">
        <f aca="false">20*LOG10(MAX(D524,0.000000000001)/$K$3)</f>
        <v>26.2330987187718</v>
      </c>
      <c r="F524" s="5"/>
      <c r="G524" s="5"/>
      <c r="H524" s="5"/>
      <c r="I524" s="5"/>
      <c r="J524" s="5"/>
      <c r="K524" s="5"/>
      <c r="L524" s="5"/>
      <c r="M524" s="5"/>
      <c r="N524" s="5"/>
    </row>
    <row r="525" customFormat="false" ht="15" hidden="false" customHeight="false" outlineLevel="0" collapsed="false">
      <c r="A525" s="71" t="n">
        <f aca="false">A524+$F$3</f>
        <v>10380</v>
      </c>
      <c r="B525" s="71" t="n">
        <f aca="false">SUMPRODUCT(固有振動数!$Q$6:$Q$22*(1-($A525/固有振動数!$O$6:$O$22)^2)/((1-($A525/固有振動数!$O$6:$O$22)^2)^2+固有振動数!$P$6:$P$22^2))</f>
        <v>20.6898823296051</v>
      </c>
      <c r="C525" s="71" t="n">
        <f aca="false">-SUMPRODUCT(固有振動数!$Q$6:$Q$22*固有振動数!$P$6:$P$22/((1-($A525/固有振動数!$O$6:$O$22)^2)^2+固有振動数!$P$6:$P$22^2))</f>
        <v>-0.758010038454676</v>
      </c>
      <c r="D525" s="71" t="n">
        <f aca="false">SQRT(B525^2+C525^2)</f>
        <v>20.7037631852594</v>
      </c>
      <c r="E525" s="72" t="n">
        <f aca="false">20*LOG10(MAX(D525,0.000000000001)/$K$3)</f>
        <v>26.3209858289962</v>
      </c>
      <c r="F525" s="5"/>
      <c r="G525" s="5"/>
      <c r="H525" s="5"/>
      <c r="I525" s="5"/>
      <c r="J525" s="5"/>
      <c r="K525" s="5"/>
      <c r="L525" s="5"/>
      <c r="M525" s="5"/>
      <c r="N525" s="5"/>
    </row>
    <row r="526" customFormat="false" ht="15" hidden="false" customHeight="false" outlineLevel="0" collapsed="false">
      <c r="A526" s="71" t="n">
        <f aca="false">A525+$F$3</f>
        <v>10400</v>
      </c>
      <c r="B526" s="71" t="n">
        <f aca="false">SUMPRODUCT(固有振動数!$Q$6:$Q$22*(1-($A526/固有振動数!$O$6:$O$22)^2)/((1-($A526/固有振動数!$O$6:$O$22)^2)^2+固有振動数!$P$6:$P$22^2))</f>
        <v>20.9042078024036</v>
      </c>
      <c r="C526" s="71" t="n">
        <f aca="false">-SUMPRODUCT(固有振動数!$Q$6:$Q$22*固有振動数!$P$6:$P$22/((1-($A526/固有振動数!$O$6:$O$22)^2)^2+固有振動数!$P$6:$P$22^2))</f>
        <v>-0.778960834096492</v>
      </c>
      <c r="D526" s="71" t="n">
        <f aca="false">SQRT(B526^2+C526^2)</f>
        <v>20.9187161132591</v>
      </c>
      <c r="E526" s="72" t="n">
        <f aca="false">20*LOG10(MAX(D526,0.000000000001)/$K$3)</f>
        <v>26.410700523563</v>
      </c>
      <c r="F526" s="5"/>
      <c r="G526" s="5"/>
      <c r="H526" s="5"/>
      <c r="I526" s="5"/>
      <c r="J526" s="5"/>
      <c r="K526" s="5"/>
      <c r="L526" s="5"/>
      <c r="M526" s="5"/>
      <c r="N526" s="5"/>
    </row>
    <row r="527" customFormat="false" ht="15" hidden="false" customHeight="false" outlineLevel="0" collapsed="false">
      <c r="A527" s="71" t="n">
        <f aca="false">A526+$F$3</f>
        <v>10420</v>
      </c>
      <c r="B527" s="71" t="n">
        <f aca="false">SUMPRODUCT(固有振動数!$Q$6:$Q$22*(1-($A527/固有振動数!$O$6:$O$22)^2)/((1-($A527/固有振動数!$O$6:$O$22)^2)^2+固有振動数!$P$6:$P$22^2))</f>
        <v>21.1254855356654</v>
      </c>
      <c r="C527" s="71" t="n">
        <f aca="false">-SUMPRODUCT(固有振動数!$Q$6:$Q$22*固有振動数!$P$6:$P$22/((1-($A527/固有振動数!$O$6:$O$22)^2)^2+固有振動数!$P$6:$P$22^2))</f>
        <v>-0.801406045070528</v>
      </c>
      <c r="D527" s="71" t="n">
        <f aca="false">SQRT(B527^2+C527^2)</f>
        <v>21.1406809437795</v>
      </c>
      <c r="E527" s="72" t="n">
        <f aca="false">20*LOG10(MAX(D527,0.000000000001)/$K$3)</f>
        <v>26.5023794374444</v>
      </c>
      <c r="F527" s="5"/>
      <c r="G527" s="5"/>
      <c r="H527" s="5"/>
      <c r="I527" s="5"/>
      <c r="J527" s="5"/>
      <c r="K527" s="5"/>
      <c r="L527" s="5"/>
      <c r="M527" s="5"/>
      <c r="N527" s="5"/>
    </row>
    <row r="528" customFormat="false" ht="15" hidden="false" customHeight="false" outlineLevel="0" collapsed="false">
      <c r="A528" s="71" t="n">
        <f aca="false">A527+$F$3</f>
        <v>10440</v>
      </c>
      <c r="B528" s="71" t="n">
        <f aca="false">SUMPRODUCT(固有振動数!$Q$6:$Q$22*(1-($A528/固有振動数!$O$6:$O$22)^2)/((1-($A528/固有振動数!$O$6:$O$22)^2)^2+固有振動数!$P$6:$P$22^2))</f>
        <v>21.3542439820744</v>
      </c>
      <c r="C528" s="71" t="n">
        <f aca="false">-SUMPRODUCT(固有振動数!$Q$6:$Q$22*固有振動数!$P$6:$P$22/((1-($A528/固有振動数!$O$6:$O$22)^2)^2+固有振動数!$P$6:$P$22^2))</f>
        <v>-0.825484738289245</v>
      </c>
      <c r="D528" s="71" t="n">
        <f aca="false">SQRT(B528^2+C528^2)</f>
        <v>21.3701932864237</v>
      </c>
      <c r="E528" s="72" t="n">
        <f aca="false">20*LOG10(MAX(D528,0.000000000001)/$K$3)</f>
        <v>26.5961690046736</v>
      </c>
      <c r="F528" s="5"/>
      <c r="G528" s="5"/>
      <c r="H528" s="5"/>
      <c r="I528" s="5"/>
      <c r="J528" s="5"/>
      <c r="K528" s="5"/>
      <c r="L528" s="5"/>
      <c r="M528" s="5"/>
      <c r="N528" s="5"/>
    </row>
    <row r="529" customFormat="false" ht="15" hidden="false" customHeight="false" outlineLevel="0" collapsed="false">
      <c r="A529" s="71" t="n">
        <f aca="false">A528+$F$3</f>
        <v>10460</v>
      </c>
      <c r="B529" s="71" t="n">
        <f aca="false">SUMPRODUCT(固有振動数!$Q$6:$Q$22*(1-($A529/固有振動数!$O$6:$O$22)^2)/((1-($A529/固有振動数!$O$6:$O$22)^2)^2+固有振動数!$P$6:$P$22^2))</f>
        <v>21.5910604477527</v>
      </c>
      <c r="C529" s="71" t="n">
        <f aca="false">-SUMPRODUCT(固有振動数!$Q$6:$Q$22*固有振動数!$P$6:$P$22/((1-($A529/固有振動数!$O$6:$O$22)^2)^2+固有振動数!$P$6:$P$22^2))</f>
        <v>-0.85135351978896</v>
      </c>
      <c r="D529" s="71" t="n">
        <f aca="false">SQRT(B529^2+C529^2)</f>
        <v>21.6078387182561</v>
      </c>
      <c r="E529" s="72" t="n">
        <f aca="false">20*LOG10(MAX(D529,0.000000000001)/$K$3)</f>
        <v>26.6922265920137</v>
      </c>
      <c r="F529" s="5"/>
      <c r="G529" s="5"/>
      <c r="H529" s="5"/>
      <c r="I529" s="5"/>
      <c r="J529" s="5"/>
      <c r="K529" s="5"/>
      <c r="L529" s="5"/>
      <c r="M529" s="5"/>
      <c r="N529" s="5"/>
    </row>
    <row r="530" customFormat="false" ht="15" hidden="false" customHeight="false" outlineLevel="0" collapsed="false">
      <c r="A530" s="71" t="n">
        <f aca="false">A529+$F$3</f>
        <v>10480</v>
      </c>
      <c r="B530" s="71" t="n">
        <f aca="false">SUMPRODUCT(固有振動数!$Q$6:$Q$22*(1-($A530/固有振動数!$O$6:$O$22)^2)/((1-($A530/固有振動数!$O$6:$O$22)^2)^2+固有振動数!$P$6:$P$22^2))</f>
        <v>21.8365672610552</v>
      </c>
      <c r="C530" s="71" t="n">
        <f aca="false">-SUMPRODUCT(固有振動数!$Q$6:$Q$22*固有振動数!$P$6:$P$22/((1-($A530/固有振動数!$O$6:$O$22)^2)^2+固有振動数!$P$6:$P$22^2))</f>
        <v>-0.879189218303159</v>
      </c>
      <c r="D530" s="71" t="n">
        <f aca="false">SQRT(B530^2+C530^2)</f>
        <v>21.8542591599022</v>
      </c>
      <c r="E530" s="72" t="n">
        <f aca="false">20*LOG10(MAX(D530,0.000000000001)/$K$3)</f>
        <v>26.7907217775111</v>
      </c>
      <c r="F530" s="5"/>
      <c r="G530" s="5"/>
      <c r="H530" s="5"/>
      <c r="I530" s="5"/>
      <c r="J530" s="5"/>
      <c r="K530" s="5"/>
      <c r="L530" s="5"/>
      <c r="M530" s="5"/>
      <c r="N530" s="5"/>
    </row>
    <row r="531" customFormat="false" ht="15" hidden="false" customHeight="false" outlineLevel="0" collapsed="false">
      <c r="A531" s="71" t="n">
        <f aca="false">A530+$F$3</f>
        <v>10500</v>
      </c>
      <c r="B531" s="71" t="n">
        <f aca="false">SUMPRODUCT(固有振動数!$Q$6:$Q$22*(1-($A531/固有振動数!$O$6:$O$22)^2)/((1-($A531/固有振動数!$O$6:$O$22)^2)^2+固有振動数!$P$6:$P$22^2))</f>
        <v>22.0914588737107</v>
      </c>
      <c r="C531" s="71" t="n">
        <f aca="false">-SUMPRODUCT(固有振動数!$Q$6:$Q$22*固有振動数!$P$6:$P$22/((1-($A531/固有振動数!$O$6:$O$22)^2)^2+固有振動数!$P$6:$P$22^2))</f>
        <v>-0.909192064094402</v>
      </c>
      <c r="D531" s="71" t="n">
        <f aca="false">SQRT(B531^2+C531^2)</f>
        <v>22.1101602295927</v>
      </c>
      <c r="E531" s="72" t="n">
        <f aca="false">20*LOG10(MAX(D531,0.000000000001)/$K$3)</f>
        <v>26.8918377973688</v>
      </c>
      <c r="F531" s="5"/>
      <c r="G531" s="5"/>
      <c r="H531" s="5"/>
      <c r="I531" s="5"/>
      <c r="J531" s="5"/>
      <c r="K531" s="5"/>
      <c r="L531" s="5"/>
      <c r="M531" s="5"/>
      <c r="N531" s="5"/>
    </row>
    <row r="532" customFormat="false" ht="15" hidden="false" customHeight="false" outlineLevel="0" collapsed="false">
      <c r="A532" s="71" t="n">
        <f aca="false">A531+$F$3</f>
        <v>10520</v>
      </c>
      <c r="B532" s="71" t="n">
        <f aca="false">SUMPRODUCT(固有振動数!$Q$6:$Q$22*(1-($A532/固有振動数!$O$6:$O$22)^2)/((1-($A532/固有振動数!$O$6:$O$22)^2)^2+固有振動数!$P$6:$P$22^2))</f>
        <v>22.3565000635629</v>
      </c>
      <c r="C532" s="71" t="n">
        <f aca="false">-SUMPRODUCT(固有振動数!$Q$6:$Q$22*固有振動数!$P$6:$P$22/((1-($A532/固有振動数!$O$6:$O$22)^2)^2+固有振動数!$P$6:$P$22^2))</f>
        <v>-0.941589469906451</v>
      </c>
      <c r="D532" s="71" t="n">
        <f aca="false">SQRT(B532^2+C532^2)</f>
        <v>22.3763197559815</v>
      </c>
      <c r="E532" s="72" t="n">
        <f aca="false">20*LOG10(MAX(D532,0.000000000001)/$K$3)</f>
        <v>26.9957731888873</v>
      </c>
      <c r="F532" s="5"/>
      <c r="G532" s="5"/>
      <c r="H532" s="5"/>
      <c r="I532" s="5"/>
      <c r="J532" s="5"/>
      <c r="K532" s="5"/>
      <c r="L532" s="5"/>
      <c r="M532" s="5"/>
      <c r="N532" s="5"/>
    </row>
    <row r="533" customFormat="false" ht="15" hidden="false" customHeight="false" outlineLevel="0" collapsed="false">
      <c r="A533" s="71" t="n">
        <f aca="false">A532+$F$3</f>
        <v>10540</v>
      </c>
      <c r="B533" s="71" t="n">
        <f aca="false">SUMPRODUCT(固有振動数!$Q$6:$Q$22*(1-($A533/固有振動数!$O$6:$O$22)^2)/((1-($A533/固有振動数!$O$6:$O$22)^2)^2+固有振動数!$P$6:$P$22^2))</f>
        <v>22.632535443787</v>
      </c>
      <c r="C533" s="71" t="n">
        <f aca="false">-SUMPRODUCT(固有振動数!$Q$6:$Q$22*固有振動数!$P$6:$P$22/((1-($A533/固有振動数!$O$6:$O$22)^2)^2+固有振動数!$P$6:$P$22^2))</f>
        <v>-0.976640547537068</v>
      </c>
      <c r="D533" s="71" t="n">
        <f aca="false">SQRT(B533^2+C533^2)</f>
        <v>22.6535976695395</v>
      </c>
      <c r="E533" s="72" t="n">
        <f aca="false">20*LOG10(MAX(D533,0.000000000001)/$K$3)</f>
        <v>27.1027436624774</v>
      </c>
      <c r="F533" s="5"/>
      <c r="G533" s="5"/>
      <c r="H533" s="5"/>
      <c r="I533" s="5"/>
      <c r="J533" s="5"/>
      <c r="K533" s="5"/>
      <c r="L533" s="5"/>
      <c r="M533" s="5"/>
      <c r="N533" s="5"/>
    </row>
    <row r="534" customFormat="false" ht="15" hidden="false" customHeight="false" outlineLevel="0" collapsed="false">
      <c r="A534" s="71" t="n">
        <f aca="false">A533+$F$3</f>
        <v>10560</v>
      </c>
      <c r="B534" s="71" t="n">
        <f aca="false">SUMPRODUCT(固有振動数!$Q$6:$Q$22*(1-($A534/固有振動数!$O$6:$O$22)^2)/((1-($A534/固有振動数!$O$6:$O$22)^2)^2+固有振動数!$P$6:$P$22^2))</f>
        <v>22.9205005276607</v>
      </c>
      <c r="C534" s="71" t="n">
        <f aca="false">-SUMPRODUCT(固有振動数!$Q$6:$Q$22*固有振動数!$P$6:$P$22/((1-($A534/固有振動数!$O$6:$O$22)^2)^2+固有振動数!$P$6:$P$22^2))</f>
        <v>-1.0146415277398</v>
      </c>
      <c r="D534" s="71" t="n">
        <f aca="false">SQRT(B534^2+C534^2)</f>
        <v>22.9429475409832</v>
      </c>
      <c r="E534" s="72" t="n">
        <f aca="false">20*LOG10(MAX(D534,0.000000000001)/$K$3)</f>
        <v>27.2129842421434</v>
      </c>
      <c r="F534" s="5"/>
      <c r="G534" s="5"/>
      <c r="H534" s="5"/>
      <c r="I534" s="5"/>
      <c r="J534" s="5"/>
      <c r="K534" s="5"/>
      <c r="L534" s="5"/>
      <c r="M534" s="5"/>
      <c r="N534" s="5"/>
    </row>
    <row r="535" customFormat="false" ht="15" hidden="false" customHeight="false" outlineLevel="0" collapsed="false">
      <c r="A535" s="71" t="n">
        <f aca="false">A534+$F$3</f>
        <v>10580</v>
      </c>
      <c r="B535" s="71" t="n">
        <f aca="false">SUMPRODUCT(固有振動数!$Q$6:$Q$22*(1-($A535/固有振動数!$O$6:$O$22)^2)/((1-($A535/固有振動数!$O$6:$O$22)^2)^2+固有振動数!$P$6:$P$22^2))</f>
        <v>23.2214346531031</v>
      </c>
      <c r="C535" s="71" t="n">
        <f aca="false">-SUMPRODUCT(固有振動数!$Q$6:$Q$22*固有振動数!$P$6:$P$22/((1-($A535/固有振動数!$O$6:$O$22)^2)^2+固有振動数!$P$6:$P$22^2))</f>
        <v>-1.05593229536973</v>
      </c>
      <c r="D535" s="71" t="n">
        <f aca="false">SQRT(B535^2+C535^2)</f>
        <v>23.2454300962736</v>
      </c>
      <c r="E535" s="72" t="n">
        <f aca="false">20*LOG10(MAX(D535,0.000000000001)/$K$3)</f>
        <v>27.3267517216837</v>
      </c>
      <c r="F535" s="5"/>
      <c r="G535" s="5"/>
      <c r="H535" s="5"/>
      <c r="I535" s="5"/>
      <c r="J535" s="5"/>
      <c r="K535" s="5"/>
      <c r="L535" s="5"/>
      <c r="M535" s="5"/>
      <c r="N535" s="5"/>
    </row>
    <row r="536" customFormat="false" ht="15" hidden="false" customHeight="false" outlineLevel="0" collapsed="false">
      <c r="A536" s="71" t="n">
        <f aca="false">A535+$F$3</f>
        <v>10600</v>
      </c>
      <c r="B536" s="71" t="n">
        <f aca="false">SUMPRODUCT(固有振動数!$Q$6:$Q$22*(1-($A536/固有振動数!$O$6:$O$22)^2)/((1-($A536/固有振動数!$O$6:$O$22)^2)^2+固有振動数!$P$6:$P$22^2))</f>
        <v>23.5364961402774</v>
      </c>
      <c r="C536" s="71" t="n">
        <f aca="false">-SUMPRODUCT(固有振動数!$Q$6:$Q$22*固有振動数!$P$6:$P$22/((1-($A536/固有振動数!$O$6:$O$22)^2)^2+固有振動数!$P$6:$P$22^2))</f>
        <v>-1.10090430919605</v>
      </c>
      <c r="D536" s="71" t="n">
        <f aca="false">SQRT(B536^2+C536^2)</f>
        <v>23.5622291148206</v>
      </c>
      <c r="E536" s="72" t="n">
        <f aca="false">20*LOG10(MAX(D536,0.000000000001)/$K$3)</f>
        <v>27.4443274934993</v>
      </c>
      <c r="F536" s="5"/>
      <c r="G536" s="5"/>
      <c r="H536" s="5"/>
      <c r="I536" s="5"/>
      <c r="J536" s="5"/>
      <c r="K536" s="5"/>
      <c r="L536" s="5"/>
      <c r="M536" s="5"/>
      <c r="N536" s="5"/>
    </row>
    <row r="537" customFormat="false" ht="15" hidden="false" customHeight="false" outlineLevel="0" collapsed="false">
      <c r="A537" s="71" t="n">
        <f aca="false">A536+$F$3</f>
        <v>10620</v>
      </c>
      <c r="B537" s="71" t="n">
        <f aca="false">SUMPRODUCT(固有振動数!$Q$6:$Q$22*(1-($A537/固有振動数!$O$6:$O$22)^2)/((1-($A537/固有振動数!$O$6:$O$22)^2)^2+固有振動数!$P$6:$P$22^2))</f>
        <v>23.8669801425901</v>
      </c>
      <c r="C537" s="71" t="n">
        <f aca="false">-SUMPRODUCT(固有振動数!$Q$6:$Q$22*固有振動数!$P$6:$P$22/((1-($A537/固有振動数!$O$6:$O$22)^2)^2+固有振動数!$P$6:$P$22^2))</f>
        <v>-1.15001025114031</v>
      </c>
      <c r="D537" s="71" t="n">
        <f aca="false">SQRT(B537^2+C537^2)</f>
        <v>23.8946702154375</v>
      </c>
      <c r="E537" s="72" t="n">
        <f aca="false">20*LOG10(MAX(D537,0.000000000001)/$K$3)</f>
        <v>27.566020818832</v>
      </c>
      <c r="F537" s="5"/>
      <c r="G537" s="5"/>
      <c r="H537" s="5"/>
      <c r="I537" s="5"/>
      <c r="J537" s="5"/>
      <c r="K537" s="5"/>
      <c r="L537" s="5"/>
      <c r="M537" s="5"/>
      <c r="N537" s="5"/>
    </row>
    <row r="538" customFormat="false" ht="15" hidden="false" customHeight="false" outlineLevel="0" collapsed="false">
      <c r="A538" s="71" t="n">
        <f aca="false">A537+$F$3</f>
        <v>10640</v>
      </c>
      <c r="B538" s="71" t="n">
        <f aca="false">SUMPRODUCT(固有振動数!$Q$6:$Q$22*(1-($A538/固有振動数!$O$6:$O$22)^2)/((1-($A538/固有振動数!$O$6:$O$22)^2)^2+固有振動数!$P$6:$P$22^2))</f>
        <v>24.2143397616328</v>
      </c>
      <c r="C538" s="71" t="n">
        <f aca="false">-SUMPRODUCT(固有振動数!$Q$6:$Q$22*固有振動数!$P$6:$P$22/((1-($A538/固有振動数!$O$6:$O$22)^2)^2+固有振動数!$P$6:$P$22^2))</f>
        <v>-1.20377584911729</v>
      </c>
      <c r="D538" s="71" t="n">
        <f aca="false">SQRT(B538^2+C538^2)</f>
        <v>24.244243159701</v>
      </c>
      <c r="E538" s="72" t="n">
        <f aca="false">20*LOG10(MAX(D538,0.000000000001)/$K$3)</f>
        <v>27.692172623066</v>
      </c>
      <c r="F538" s="5"/>
      <c r="G538" s="5"/>
      <c r="H538" s="5"/>
      <c r="I538" s="5"/>
      <c r="J538" s="5"/>
      <c r="K538" s="5"/>
      <c r="L538" s="5"/>
      <c r="M538" s="5"/>
      <c r="N538" s="5"/>
    </row>
    <row r="539" customFormat="false" ht="15" hidden="false" customHeight="false" outlineLevel="0" collapsed="false">
      <c r="A539" s="71" t="n">
        <f aca="false">A538+$F$3</f>
        <v>10660</v>
      </c>
      <c r="B539" s="71" t="n">
        <f aca="false">SUMPRODUCT(固有振動数!$Q$6:$Q$22*(1-($A539/固有振動数!$O$6:$O$22)^2)/((1-($A539/固有振動数!$O$6:$O$22)^2)^2+固有振動数!$P$6:$P$22^2))</f>
        <v>24.5802111369602</v>
      </c>
      <c r="C539" s="71" t="n">
        <f aca="false">-SUMPRODUCT(固有振動数!$Q$6:$Q$22*固有振動数!$P$6:$P$22/((1-($A539/固有振動数!$O$6:$O$22)^2)^2+固有振動数!$P$6:$P$22^2))</f>
        <v>-1.26281444987528</v>
      </c>
      <c r="D539" s="71" t="n">
        <f aca="false">SQRT(B539^2+C539^2)</f>
        <v>24.6126284632982</v>
      </c>
      <c r="E539" s="72" t="n">
        <f aca="false">20*LOG10(MAX(D539,0.000000000001)/$K$3)</f>
        <v>27.8231599182254</v>
      </c>
      <c r="F539" s="5"/>
      <c r="G539" s="5"/>
      <c r="H539" s="5"/>
      <c r="I539" s="5"/>
      <c r="J539" s="5"/>
      <c r="K539" s="5"/>
      <c r="L539" s="5"/>
      <c r="M539" s="5"/>
      <c r="N539" s="5"/>
    </row>
    <row r="540" customFormat="false" ht="15" hidden="false" customHeight="false" outlineLevel="0" collapsed="false">
      <c r="A540" s="71" t="n">
        <f aca="false">A539+$F$3</f>
        <v>10680</v>
      </c>
      <c r="B540" s="71" t="n">
        <f aca="false">SUMPRODUCT(固有振動数!$Q$6:$Q$22*(1-($A540/固有振動数!$O$6:$O$22)^2)/((1-($A540/固有振動数!$O$6:$O$22)^2)^2+固有振動数!$P$6:$P$22^2))</f>
        <v>24.9664434013067</v>
      </c>
      <c r="C540" s="71" t="n">
        <f aca="false">-SUMPRODUCT(固有振動数!$Q$6:$Q$22*固有振動数!$P$6:$P$22/((1-($A540/固有振動数!$O$6:$O$22)^2)^2+固有振動数!$P$6:$P$22^2))</f>
        <v>-1.32784509551871</v>
      </c>
      <c r="D540" s="71" t="n">
        <f aca="false">SQRT(B540^2+C540^2)</f>
        <v>25.0017293143564</v>
      </c>
      <c r="E540" s="72" t="n">
        <f aca="false">20*LOG10(MAX(D540,0.000000000001)/$K$3)</f>
        <v>27.9594009780073</v>
      </c>
      <c r="F540" s="5"/>
      <c r="G540" s="5"/>
      <c r="H540" s="5"/>
      <c r="I540" s="5"/>
      <c r="J540" s="5"/>
      <c r="K540" s="5"/>
      <c r="L540" s="5"/>
      <c r="M540" s="5"/>
      <c r="N540" s="5"/>
    </row>
    <row r="541" customFormat="false" ht="15" hidden="false" customHeight="false" outlineLevel="0" collapsed="false">
      <c r="A541" s="71" t="n">
        <f aca="false">A540+$F$3</f>
        <v>10700</v>
      </c>
      <c r="B541" s="71" t="n">
        <f aca="false">SUMPRODUCT(固有振動数!$Q$6:$Q$22*(1-($A541/固有振動数!$O$6:$O$22)^2)/((1-($A541/固有振動数!$O$6:$O$22)^2)^2+固有振動数!$P$6:$P$22^2))</f>
        <v>25.3751346233019</v>
      </c>
      <c r="C541" s="71" t="n">
        <f aca="false">-SUMPRODUCT(固有振動数!$Q$6:$Q$22*固有振動数!$P$6:$P$22/((1-($A541/固有振動数!$O$6:$O$22)^2)^2+固有振動数!$P$6:$P$22^2))</f>
        <v>-1.39971509717413</v>
      </c>
      <c r="D541" s="71" t="n">
        <f aca="false">SQRT(B541^2+C541^2)</f>
        <v>25.4137100696445</v>
      </c>
      <c r="E541" s="72" t="n">
        <f aca="false">20*LOG10(MAX(D541,0.000000000001)/$K$3)</f>
        <v>28.1013614199816</v>
      </c>
      <c r="F541" s="5"/>
      <c r="G541" s="5"/>
      <c r="H541" s="5"/>
      <c r="I541" s="5"/>
      <c r="J541" s="5"/>
      <c r="K541" s="5"/>
      <c r="L541" s="5"/>
      <c r="M541" s="5"/>
      <c r="N541" s="5"/>
    </row>
    <row r="542" customFormat="false" ht="15" hidden="false" customHeight="false" outlineLevel="0" collapsed="false">
      <c r="A542" s="71" t="n">
        <f aca="false">A541+$F$3</f>
        <v>10720</v>
      </c>
      <c r="B542" s="71" t="n">
        <f aca="false">SUMPRODUCT(固有振動数!$Q$6:$Q$22*(1-($A542/固有振動数!$O$6:$O$22)^2)/((1-($A542/固有振動数!$O$6:$O$22)^2)^2+固有振動数!$P$6:$P$22^2))</f>
        <v>25.8086751595715</v>
      </c>
      <c r="C542" s="71" t="n">
        <f aca="false">-SUMPRODUCT(固有振動数!$Q$6:$Q$22*固有振動数!$P$6:$P$22/((1-($A542/固有振動数!$O$6:$O$22)^2)^2+固有振動数!$P$6:$P$22^2))</f>
        <v>-1.4794284265356</v>
      </c>
      <c r="D542" s="71" t="n">
        <f aca="false">SQRT(B542^2+C542^2)</f>
        <v>25.8510429569394</v>
      </c>
      <c r="E542" s="72" t="n">
        <f aca="false">20*LOG10(MAX(D542,0.000000000001)/$K$3)</f>
        <v>28.2495613867473</v>
      </c>
      <c r="F542" s="5"/>
      <c r="G542" s="5"/>
      <c r="H542" s="5"/>
      <c r="I542" s="5"/>
      <c r="J542" s="5"/>
      <c r="K542" s="5"/>
      <c r="L542" s="5"/>
      <c r="M542" s="5"/>
      <c r="N542" s="5"/>
    </row>
    <row r="543" customFormat="false" ht="15" hidden="false" customHeight="false" outlineLevel="0" collapsed="false">
      <c r="A543" s="71" t="n">
        <f aca="false">A542+$F$3</f>
        <v>10740</v>
      </c>
      <c r="B543" s="71" t="n">
        <f aca="false">SUMPRODUCT(固有振動数!$Q$6:$Q$22*(1-($A543/固有振動数!$O$6:$O$22)^2)/((1-($A543/固有振動数!$O$6:$O$22)^2)^2+固有振動数!$P$6:$P$22^2))</f>
        <v>26.2698002288171</v>
      </c>
      <c r="C543" s="71" t="n">
        <f aca="false">-SUMPRODUCT(固有振動数!$Q$6:$Q$22*固有振動数!$P$6:$P$22/((1-($A543/固有振動数!$O$6:$O$22)^2)^2+固有振動数!$P$6:$P$22^2))</f>
        <v>-1.56818169707903</v>
      </c>
      <c r="D543" s="71" t="n">
        <f aca="false">SQRT(B543^2+C543^2)</f>
        <v>26.3165650854555</v>
      </c>
      <c r="E543" s="72" t="n">
        <f aca="false">20*LOG10(MAX(D543,0.000000000001)/$K$3)</f>
        <v>28.4045840652647</v>
      </c>
      <c r="F543" s="5"/>
      <c r="G543" s="5"/>
      <c r="H543" s="5"/>
      <c r="I543" s="5"/>
      <c r="J543" s="5"/>
      <c r="K543" s="5"/>
      <c r="L543" s="5"/>
      <c r="M543" s="5"/>
      <c r="N543" s="5"/>
    </row>
    <row r="544" customFormat="false" ht="15" hidden="false" customHeight="false" outlineLevel="0" collapsed="false">
      <c r="A544" s="71" t="n">
        <f aca="false">A543+$F$3</f>
        <v>10760</v>
      </c>
      <c r="B544" s="71" t="n">
        <f aca="false">SUMPRODUCT(固有振動数!$Q$6:$Q$22*(1-($A544/固有振動数!$O$6:$O$22)^2)/((1-($A544/固有振動数!$O$6:$O$22)^2)^2+固有振動数!$P$6:$P$22^2))</f>
        <v>26.7616540325592</v>
      </c>
      <c r="C544" s="71" t="n">
        <f aca="false">-SUMPRODUCT(固有振動数!$Q$6:$Q$22*固有振動数!$P$6:$P$22/((1-($A544/固有振動数!$O$6:$O$22)^2)^2+固有振動数!$P$6:$P$22^2))</f>
        <v>-1.66741013480381</v>
      </c>
      <c r="D544" s="71" t="n">
        <f aca="false">SQRT(B544^2+C544^2)</f>
        <v>26.8135484991457</v>
      </c>
      <c r="E544" s="72" t="n">
        <f aca="false">20*LOG10(MAX(D544,0.000000000001)/$K$3)</f>
        <v>28.5670858444614</v>
      </c>
      <c r="F544" s="5"/>
      <c r="G544" s="5"/>
      <c r="H544" s="5"/>
      <c r="I544" s="5"/>
      <c r="J544" s="5"/>
      <c r="K544" s="5"/>
      <c r="L544" s="5"/>
      <c r="M544" s="5"/>
      <c r="N544" s="5"/>
    </row>
    <row r="545" customFormat="false" ht="15" hidden="false" customHeight="false" outlineLevel="0" collapsed="false">
      <c r="A545" s="71" t="n">
        <f aca="false">A544+$F$3</f>
        <v>10780</v>
      </c>
      <c r="B545" s="71" t="n">
        <f aca="false">SUMPRODUCT(固有振動数!$Q$6:$Q$22*(1-($A545/固有振動数!$O$6:$O$22)^2)/((1-($A545/固有振動数!$O$6:$O$22)^2)^2+固有振動数!$P$6:$P$22^2))</f>
        <v>27.2878684222666</v>
      </c>
      <c r="C545" s="71" t="n">
        <f aca="false">-SUMPRODUCT(固有振動数!$Q$6:$Q$22*固有振動数!$P$6:$P$22/((1-($A545/固有振動数!$O$6:$O$22)^2)^2+固有振動数!$P$6:$P$22^2))</f>
        <v>-1.77884682252943</v>
      </c>
      <c r="D545" s="71" t="n">
        <f aca="false">SQRT(B545^2+C545^2)</f>
        <v>27.3457868610314</v>
      </c>
      <c r="E545" s="72" t="n">
        <f aca="false">20*LOG10(MAX(D545,0.000000000001)/$K$3)</f>
        <v>28.7378084898412</v>
      </c>
      <c r="F545" s="5"/>
      <c r="G545" s="5"/>
      <c r="H545" s="5"/>
      <c r="I545" s="5"/>
      <c r="J545" s="5"/>
      <c r="K545" s="5"/>
      <c r="L545" s="5"/>
      <c r="M545" s="5"/>
      <c r="N545" s="5"/>
    </row>
    <row r="546" customFormat="false" ht="15" hidden="false" customHeight="false" outlineLevel="0" collapsed="false">
      <c r="A546" s="71" t="n">
        <f aca="false">A545+$F$3</f>
        <v>10800</v>
      </c>
      <c r="B546" s="71" t="n">
        <f aca="false">SUMPRODUCT(固有振動数!$Q$6:$Q$22*(1-($A546/固有振動数!$O$6:$O$22)^2)/((1-($A546/固有振動数!$O$6:$O$22)^2)^2+固有振動数!$P$6:$P$22^2))</f>
        <v>27.8526600071861</v>
      </c>
      <c r="C546" s="71" t="n">
        <f aca="false">-SUMPRODUCT(固有振動数!$Q$6:$Q$22*固有振動数!$P$6:$P$22/((1-($A546/固有振動数!$O$6:$O$22)^2)^2+固有振動数!$P$6:$P$22^2))</f>
        <v>-1.90459976102764</v>
      </c>
      <c r="D546" s="71" t="n">
        <f aca="false">SQRT(B546^2+C546^2)</f>
        <v>27.9177035181193</v>
      </c>
      <c r="E546" s="72" t="n">
        <f aca="false">20*LOG10(MAX(D546,0.000000000001)/$K$3)</f>
        <v>28.9175938159652</v>
      </c>
      <c r="F546" s="5"/>
      <c r="G546" s="5"/>
      <c r="H546" s="5"/>
      <c r="I546" s="5"/>
      <c r="J546" s="5"/>
      <c r="K546" s="5"/>
      <c r="L546" s="5"/>
      <c r="M546" s="5"/>
      <c r="N546" s="5"/>
    </row>
    <row r="547" customFormat="false" ht="15" hidden="false" customHeight="false" outlineLevel="0" collapsed="false">
      <c r="A547" s="71" t="n">
        <f aca="false">A546+$F$3</f>
        <v>10820</v>
      </c>
      <c r="B547" s="71" t="n">
        <f aca="false">SUMPRODUCT(固有振動数!$Q$6:$Q$22*(1-($A547/固有振動数!$O$6:$O$22)^2)/((1-($A547/固有振動数!$O$6:$O$22)^2)^2+固有振動数!$P$6:$P$22^2))</f>
        <v>28.4609507884084</v>
      </c>
      <c r="C547" s="71" t="n">
        <f aca="false">-SUMPRODUCT(固有振動数!$Q$6:$Q$22*固有振動数!$P$6:$P$22/((1-($A547/固有振動数!$O$6:$O$22)^2)^2+固有振動数!$P$6:$P$22^2))</f>
        <v>-2.04725310609669</v>
      </c>
      <c r="D547" s="71" t="n">
        <f aca="false">SQRT(B547^2+C547^2)</f>
        <v>28.5344872927591</v>
      </c>
      <c r="E547" s="72" t="n">
        <f aca="false">20*LOG10(MAX(D547,0.000000000001)/$K$3)</f>
        <v>29.1074014711665</v>
      </c>
      <c r="F547" s="5"/>
      <c r="G547" s="5"/>
      <c r="H547" s="5"/>
      <c r="I547" s="5"/>
      <c r="J547" s="5"/>
      <c r="K547" s="5"/>
      <c r="L547" s="5"/>
      <c r="M547" s="5"/>
      <c r="N547" s="5"/>
    </row>
    <row r="548" customFormat="false" ht="15" hidden="false" customHeight="false" outlineLevel="0" collapsed="false">
      <c r="A548" s="71" t="n">
        <f aca="false">A547+$F$3</f>
        <v>10840</v>
      </c>
      <c r="B548" s="71" t="n">
        <f aca="false">SUMPRODUCT(固有振動数!$Q$6:$Q$22*(1-($A548/固有振動数!$O$6:$O$22)^2)/((1-($A548/固有振動数!$O$6:$O$22)^2)^2+固有振動数!$P$6:$P$22^2))</f>
        <v>29.1185189968487</v>
      </c>
      <c r="C548" s="71" t="n">
        <f aca="false">-SUMPRODUCT(固有振動数!$Q$6:$Q$22*固有振動数!$P$6:$P$22/((1-($A548/固有振動数!$O$6:$O$22)^2)^2+固有振動数!$P$6:$P$22^2))</f>
        <v>-2.21000159393056</v>
      </c>
      <c r="D548" s="71" t="n">
        <f aca="false">SQRT(B548^2+C548^2)</f>
        <v>29.2022645631296</v>
      </c>
      <c r="E548" s="72" t="n">
        <f aca="false">20*LOG10(MAX(D548,0.000000000001)/$K$3)</f>
        <v>29.3083306242674</v>
      </c>
      <c r="F548" s="5"/>
      <c r="G548" s="5"/>
      <c r="H548" s="5"/>
      <c r="I548" s="5"/>
      <c r="J548" s="5"/>
      <c r="K548" s="5"/>
      <c r="L548" s="5"/>
      <c r="M548" s="5"/>
      <c r="N548" s="5"/>
    </row>
    <row r="549" customFormat="false" ht="15" hidden="false" customHeight="false" outlineLevel="0" collapsed="false">
      <c r="A549" s="71" t="n">
        <f aca="false">A548+$F$3</f>
        <v>10860</v>
      </c>
      <c r="B549" s="71" t="n">
        <f aca="false">SUMPRODUCT(固有振動数!$Q$6:$Q$22*(1-($A549/固有振動数!$O$6:$O$22)^2)/((1-($A549/固有振動数!$O$6:$O$22)^2)^2+固有振動数!$P$6:$P$22^2))</f>
        <v>29.8321889451998</v>
      </c>
      <c r="C549" s="71" t="n">
        <f aca="false">-SUMPRODUCT(固有振動数!$Q$6:$Q$22*固有振動数!$P$6:$P$22/((1-($A549/固有振動数!$O$6:$O$22)^2)^2+固有振動数!$P$6:$P$22^2))</f>
        <v>-2.39683109915373</v>
      </c>
      <c r="D549" s="71" t="n">
        <f aca="false">SQRT(B549^2+C549^2)</f>
        <v>29.9283193076385</v>
      </c>
      <c r="E549" s="72" t="n">
        <f aca="false">20*LOG10(MAX(D549,0.000000000001)/$K$3)</f>
        <v>29.5216465747504</v>
      </c>
      <c r="F549" s="5"/>
      <c r="G549" s="5"/>
      <c r="H549" s="5"/>
      <c r="I549" s="5"/>
      <c r="J549" s="5"/>
      <c r="K549" s="5"/>
      <c r="L549" s="5"/>
      <c r="M549" s="5"/>
      <c r="N549" s="5"/>
    </row>
    <row r="550" customFormat="false" ht="15" hidden="false" customHeight="false" outlineLevel="0" collapsed="false">
      <c r="A550" s="71" t="n">
        <f aca="false">A549+$F$3</f>
        <v>10880</v>
      </c>
      <c r="B550" s="71" t="n">
        <f aca="false">SUMPRODUCT(固有振動数!$Q$6:$Q$22*(1-($A550/固有振動数!$O$6:$O$22)^2)/((1-($A550/固有振動数!$O$6:$O$22)^2)^2+固有振動数!$P$6:$P$22^2))</f>
        <v>30.6100715577571</v>
      </c>
      <c r="C550" s="71" t="n">
        <f aca="false">-SUMPRODUCT(固有振動数!$Q$6:$Q$22*固有振動数!$P$6:$P$22/((1-($A550/固有振動数!$O$6:$O$22)^2)^2+固有振動数!$P$6:$P$22^2))</f>
        <v>-2.61276418566171</v>
      </c>
      <c r="D550" s="71" t="n">
        <f aca="false">SQRT(B550^2+C550^2)</f>
        <v>30.7213772064484</v>
      </c>
      <c r="E550" s="72" t="n">
        <f aca="false">20*LOG10(MAX(D550,0.000000000001)/$K$3)</f>
        <v>29.7488136150504</v>
      </c>
      <c r="F550" s="5"/>
      <c r="G550" s="5"/>
      <c r="H550" s="5"/>
      <c r="I550" s="5"/>
      <c r="J550" s="5"/>
      <c r="K550" s="5"/>
      <c r="L550" s="5"/>
      <c r="M550" s="5"/>
      <c r="N550" s="5"/>
    </row>
    <row r="551" customFormat="false" ht="15" hidden="false" customHeight="false" outlineLevel="0" collapsed="false">
      <c r="A551" s="71" t="n">
        <f aca="false">A550+$F$3</f>
        <v>10900</v>
      </c>
      <c r="B551" s="71" t="n">
        <f aca="false">SUMPRODUCT(固有振動数!$Q$6:$Q$22*(1-($A551/固有振動数!$O$6:$O$22)^2)/((1-($A551/固有振動数!$O$6:$O$22)^2)^2+固有振動数!$P$6:$P$22^2))</f>
        <v>31.4618710407058</v>
      </c>
      <c r="C551" s="71" t="n">
        <f aca="false">-SUMPRODUCT(固有振動数!$Q$6:$Q$22*固有振動数!$P$6:$P$22/((1-($A551/固有振動数!$O$6:$O$22)^2)^2+固有振動数!$P$6:$P$22^2))</f>
        <v>-2.86419855569481</v>
      </c>
      <c r="D551" s="71" t="n">
        <f aca="false">SQRT(B551^2+C551^2)</f>
        <v>31.5919762399956</v>
      </c>
      <c r="E551" s="72" t="n">
        <f aca="false">20*LOG10(MAX(D551,0.000000000001)/$K$3)</f>
        <v>29.9915358820028</v>
      </c>
      <c r="F551" s="5"/>
      <c r="G551" s="5"/>
      <c r="H551" s="5"/>
      <c r="I551" s="5"/>
      <c r="J551" s="5"/>
      <c r="K551" s="5"/>
      <c r="L551" s="5"/>
      <c r="M551" s="5"/>
      <c r="N551" s="5"/>
    </row>
    <row r="552" customFormat="false" ht="15" hidden="false" customHeight="false" outlineLevel="0" collapsed="false">
      <c r="A552" s="71" t="n">
        <f aca="false">A551+$F$3</f>
        <v>10920</v>
      </c>
      <c r="B552" s="71" t="n">
        <f aca="false">SUMPRODUCT(固有振動数!$Q$6:$Q$22*(1-($A552/固有振動数!$O$6:$O$22)^2)/((1-($A552/固有振動数!$O$6:$O$22)^2)^2+固有振動数!$P$6:$P$22^2))</f>
        <v>32.3992781427834</v>
      </c>
      <c r="C552" s="71" t="n">
        <f aca="false">-SUMPRODUCT(固有振動数!$Q$6:$Q$22*固有振動数!$P$6:$P$22/((1-($A552/固有振動数!$O$6:$O$22)^2)^2+固有振動数!$P$6:$P$22^2))</f>
        <v>-3.15938037396988</v>
      </c>
      <c r="D552" s="71" t="n">
        <f aca="false">SQRT(B552^2+C552^2)</f>
        <v>32.5529554498646</v>
      </c>
      <c r="E552" s="72" t="n">
        <f aca="false">20*LOG10(MAX(D552,0.000000000001)/$K$3)</f>
        <v>30.2518084770093</v>
      </c>
      <c r="F552" s="5"/>
      <c r="G552" s="5"/>
      <c r="H552" s="5"/>
      <c r="I552" s="5"/>
      <c r="J552" s="5"/>
      <c r="K552" s="5"/>
      <c r="L552" s="5"/>
      <c r="M552" s="5"/>
      <c r="N552" s="5"/>
    </row>
    <row r="553" customFormat="false" ht="15" hidden="false" customHeight="false" outlineLevel="0" collapsed="false">
      <c r="A553" s="71" t="n">
        <f aca="false">A552+$F$3</f>
        <v>10940</v>
      </c>
      <c r="B553" s="71" t="n">
        <f aca="false">SUMPRODUCT(固有振動数!$Q$6:$Q$22*(1-($A553/固有振動数!$O$6:$O$22)^2)/((1-($A553/固有振動数!$O$6:$O$22)^2)^2+固有振動数!$P$6:$P$22^2))</f>
        <v>33.4364768136789</v>
      </c>
      <c r="C553" s="71" t="n">
        <f aca="false">-SUMPRODUCT(固有振動数!$Q$6:$Q$22*固有振動数!$P$6:$P$22/((1-($A553/固有振動数!$O$6:$O$22)^2)^2+固有振動数!$P$6:$P$22^2))</f>
        <v>-3.50907674195259</v>
      </c>
      <c r="D553" s="71" t="n">
        <f aca="false">SQRT(B553^2+C553^2)</f>
        <v>33.6201070981726</v>
      </c>
      <c r="E553" s="72" t="n">
        <f aca="false">20*LOG10(MAX(D553,0.000000000001)/$K$3)</f>
        <v>30.531981851356</v>
      </c>
      <c r="F553" s="5"/>
      <c r="G553" s="5"/>
      <c r="H553" s="5"/>
      <c r="I553" s="5"/>
      <c r="J553" s="5"/>
      <c r="K553" s="5"/>
      <c r="L553" s="5"/>
      <c r="M553" s="5"/>
      <c r="N553" s="5"/>
    </row>
    <row r="554" customFormat="false" ht="15" hidden="false" customHeight="false" outlineLevel="0" collapsed="false">
      <c r="A554" s="71" t="n">
        <f aca="false">A553+$F$3</f>
        <v>10960</v>
      </c>
      <c r="B554" s="71" t="n">
        <f aca="false">SUMPRODUCT(固有振動数!$Q$6:$Q$22*(1-($A554/固有振動数!$O$6:$O$22)^2)/((1-($A554/固有振動数!$O$6:$O$22)^2)^2+固有振動数!$P$6:$P$22^2))</f>
        <v>34.5907986731957</v>
      </c>
      <c r="C554" s="71" t="n">
        <f aca="false">-SUMPRODUCT(固有振動数!$Q$6:$Q$22*固有振動数!$P$6:$P$22/((1-($A554/固有振動数!$O$6:$O$22)^2)^2+固有振動数!$P$6:$P$22^2))</f>
        <v>-3.92754763471564</v>
      </c>
      <c r="D554" s="71" t="n">
        <f aca="false">SQRT(B554^2+C554^2)</f>
        <v>34.8130576547438</v>
      </c>
      <c r="E554" s="72" t="n">
        <f aca="false">20*LOG10(MAX(D554,0.000000000001)/$K$3)</f>
        <v>30.8348433868377</v>
      </c>
      <c r="F554" s="5"/>
      <c r="G554" s="5"/>
      <c r="H554" s="5"/>
      <c r="I554" s="5"/>
      <c r="J554" s="5"/>
      <c r="K554" s="5"/>
      <c r="L554" s="5"/>
      <c r="M554" s="5"/>
      <c r="N554" s="5"/>
    </row>
    <row r="555" customFormat="false" ht="15" hidden="false" customHeight="false" outlineLevel="0" collapsed="false">
      <c r="A555" s="71" t="n">
        <f aca="false">A554+$F$3</f>
        <v>10980</v>
      </c>
      <c r="B555" s="71" t="n">
        <f aca="false">SUMPRODUCT(固有振動数!$Q$6:$Q$22*(1-($A555/固有振動数!$O$6:$O$22)^2)/((1-($A555/固有振動数!$O$6:$O$22)^2)^2+固有振動数!$P$6:$P$22^2))</f>
        <v>35.8835674904812</v>
      </c>
      <c r="C555" s="71" t="n">
        <f aca="false">-SUMPRODUCT(固有振動数!$Q$6:$Q$22*固有振動数!$P$6:$P$22/((1-($A555/固有振動数!$O$6:$O$22)^2)^2+固有振動数!$P$6:$P$22^2))</f>
        <v>-4.43397708355986</v>
      </c>
      <c r="D555" s="71" t="n">
        <f aca="false">SQRT(B555^2+C555^2)</f>
        <v>36.1564733985694</v>
      </c>
      <c r="E555" s="72" t="n">
        <f aca="false">20*LOG10(MAX(D555,0.000000000001)/$K$3)</f>
        <v>31.1637212799648</v>
      </c>
      <c r="F555" s="5"/>
      <c r="G555" s="5"/>
      <c r="H555" s="5"/>
      <c r="I555" s="5"/>
      <c r="J555" s="5"/>
      <c r="K555" s="5"/>
      <c r="L555" s="5"/>
      <c r="M555" s="5"/>
      <c r="N555" s="5"/>
    </row>
    <row r="556" customFormat="false" ht="15" hidden="false" customHeight="false" outlineLevel="0" collapsed="false">
      <c r="A556" s="71" t="n">
        <f aca="false">A555+$F$3</f>
        <v>11000</v>
      </c>
      <c r="B556" s="71" t="n">
        <f aca="false">SUMPRODUCT(固有振動数!$Q$6:$Q$22*(1-($A556/固有振動数!$O$6:$O$22)^2)/((1-($A556/固有振動数!$O$6:$O$22)^2)^2+固有振動数!$P$6:$P$22^2))</f>
        <v>37.3411801695225</v>
      </c>
      <c r="C556" s="71" t="n">
        <f aca="false">-SUMPRODUCT(固有振動数!$Q$6:$Q$22*固有振動数!$P$6:$P$22/((1-($A556/固有振動数!$O$6:$O$22)^2)^2+固有振動数!$P$6:$P$22^2))</f>
        <v>-5.05462370710418</v>
      </c>
      <c r="D556" s="71" t="n">
        <f aca="false">SQRT(B556^2+C556^2)</f>
        <v>37.6817324080669</v>
      </c>
      <c r="E556" s="72" t="n">
        <f aca="false">20*LOG10(MAX(D556,0.000000000001)/$K$3)</f>
        <v>31.5226172231644</v>
      </c>
      <c r="F556" s="5"/>
      <c r="G556" s="5"/>
      <c r="H556" s="5"/>
      <c r="I556" s="5"/>
      <c r="J556" s="5"/>
      <c r="K556" s="5"/>
      <c r="L556" s="5"/>
      <c r="M556" s="5"/>
      <c r="N556" s="5"/>
    </row>
    <row r="557" customFormat="false" ht="15" hidden="false" customHeight="false" outlineLevel="0" collapsed="false">
      <c r="A557" s="71" t="n">
        <f aca="false">A556+$F$3</f>
        <v>11020</v>
      </c>
      <c r="B557" s="71" t="n">
        <f aca="false">SUMPRODUCT(固有振動数!$Q$6:$Q$22*(1-($A557/固有振動数!$O$6:$O$22)^2)/((1-($A557/固有振動数!$O$6:$O$22)^2)^2+固有振動数!$P$6:$P$22^2))</f>
        <v>38.9964610257098</v>
      </c>
      <c r="C557" s="71" t="n">
        <f aca="false">-SUMPRODUCT(固有振動数!$Q$6:$Q$22*固有振動数!$P$6:$P$22/((1-($A557/固有振動数!$O$6:$O$22)^2)^2+固有振動数!$P$6:$P$22^2))</f>
        <v>-5.8261238016886</v>
      </c>
      <c r="D557" s="71" t="n">
        <f aca="false">SQRT(B557^2+C557^2)</f>
        <v>39.4292745442052</v>
      </c>
      <c r="E557" s="72" t="n">
        <f aca="false">20*LOG10(MAX(D557,0.000000000001)/$K$3)</f>
        <v>31.9163757320062</v>
      </c>
      <c r="F557" s="5"/>
      <c r="G557" s="5"/>
      <c r="H557" s="5"/>
      <c r="I557" s="5"/>
      <c r="J557" s="5"/>
      <c r="K557" s="5"/>
      <c r="L557" s="5"/>
      <c r="M557" s="5"/>
      <c r="N557" s="5"/>
    </row>
    <row r="558" customFormat="false" ht="15" hidden="false" customHeight="false" outlineLevel="0" collapsed="false">
      <c r="A558" s="71" t="n">
        <f aca="false">A557+$F$3</f>
        <v>11040</v>
      </c>
      <c r="B558" s="71" t="n">
        <f aca="false">SUMPRODUCT(固有振動数!$Q$6:$Q$22*(1-($A558/固有振動数!$O$6:$O$22)^2)/((1-($A558/固有振動数!$O$6:$O$22)^2)^2+固有振動数!$P$6:$P$22^2))</f>
        <v>40.8902740650033</v>
      </c>
      <c r="C558" s="71" t="n">
        <f aca="false">-SUMPRODUCT(固有振動数!$Q$6:$Q$22*固有振動数!$P$6:$P$22/((1-($A558/固有振動数!$O$6:$O$22)^2)^2+固有振動数!$P$6:$P$22^2))</f>
        <v>-6.80068576209752</v>
      </c>
      <c r="D558" s="71" t="n">
        <f aca="false">SQRT(B558^2+C558^2)</f>
        <v>41.4519461539006</v>
      </c>
      <c r="E558" s="72" t="n">
        <f aca="false">20*LOG10(MAX(D558,0.000000000001)/$K$3)</f>
        <v>32.3508985066806</v>
      </c>
      <c r="F558" s="5"/>
      <c r="G558" s="5"/>
      <c r="H558" s="5"/>
      <c r="I558" s="5"/>
      <c r="J558" s="5"/>
      <c r="K558" s="5"/>
      <c r="L558" s="5"/>
      <c r="M558" s="5"/>
      <c r="N558" s="5"/>
    </row>
    <row r="559" customFormat="false" ht="15" hidden="false" customHeight="false" outlineLevel="0" collapsed="false">
      <c r="A559" s="71" t="n">
        <f aca="false">A558+$F$3</f>
        <v>11060</v>
      </c>
      <c r="B559" s="71" t="n">
        <f aca="false">SUMPRODUCT(固有振動数!$Q$6:$Q$22*(1-($A559/固有振動数!$O$6:$O$22)^2)/((1-($A559/固有振動数!$O$6:$O$22)^2)^2+固有振動数!$P$6:$P$22^2))</f>
        <v>43.0732083868785</v>
      </c>
      <c r="C559" s="71" t="n">
        <f aca="false">-SUMPRODUCT(固有振動数!$Q$6:$Q$22*固有振動数!$P$6:$P$22/((1-($A559/固有振動数!$O$6:$O$22)^2)^2+固有振動数!$P$6:$P$22^2))</f>
        <v>-8.05446546936119</v>
      </c>
      <c r="D559" s="71" t="n">
        <f aca="false">SQRT(B559^2+C559^2)</f>
        <v>43.8198093872691</v>
      </c>
      <c r="E559" s="72" t="n">
        <f aca="false">20*LOG10(MAX(D559,0.000000000001)/$K$3)</f>
        <v>32.8334096816378</v>
      </c>
      <c r="F559" s="5"/>
      <c r="G559" s="5"/>
      <c r="H559" s="5"/>
      <c r="I559" s="5"/>
      <c r="J559" s="5"/>
      <c r="K559" s="5"/>
      <c r="L559" s="5"/>
      <c r="M559" s="5"/>
      <c r="N559" s="5"/>
    </row>
    <row r="560" customFormat="false" ht="15" hidden="false" customHeight="false" outlineLevel="0" collapsed="false">
      <c r="A560" s="71" t="n">
        <f aca="false">A559+$F$3</f>
        <v>11080</v>
      </c>
      <c r="B560" s="71" t="n">
        <f aca="false">SUMPRODUCT(固有振動数!$Q$6:$Q$22*(1-($A560/固有振動数!$O$6:$O$22)^2)/((1-($A560/固有振動数!$O$6:$O$22)^2)^2+固有振動数!$P$6:$P$22^2))</f>
        <v>45.6066644271838</v>
      </c>
      <c r="C560" s="71" t="n">
        <f aca="false">-SUMPRODUCT(固有振動数!$Q$6:$Q$22*固有振動数!$P$6:$P$22/((1-($A560/固有振動数!$O$6:$O$22)^2)^2+固有振動数!$P$6:$P$22^2))</f>
        <v>-9.70142164138856</v>
      </c>
      <c r="D560" s="71" t="n">
        <f aca="false">SQRT(B560^2+C560^2)</f>
        <v>46.6270889294813</v>
      </c>
      <c r="E560" s="72" t="n">
        <f aca="false">20*LOG10(MAX(D560,0.000000000001)/$K$3)</f>
        <v>33.3727660395948</v>
      </c>
      <c r="F560" s="5"/>
      <c r="G560" s="5"/>
      <c r="H560" s="5"/>
      <c r="I560" s="5"/>
      <c r="J560" s="5"/>
      <c r="K560" s="5"/>
      <c r="L560" s="5"/>
      <c r="M560" s="5"/>
      <c r="N560" s="5"/>
    </row>
    <row r="561" customFormat="false" ht="15" hidden="false" customHeight="false" outlineLevel="0" collapsed="false">
      <c r="A561" s="71" t="n">
        <f aca="false">A560+$F$3</f>
        <v>11100</v>
      </c>
      <c r="B561" s="71" t="n">
        <f aca="false">SUMPRODUCT(固有振動数!$Q$6:$Q$22*(1-($A561/固有振動数!$O$6:$O$22)^2)/((1-($A561/固有振動数!$O$6:$O$22)^2)^2+固有振動数!$P$6:$P$22^2))</f>
        <v>48.5613202041684</v>
      </c>
      <c r="C561" s="71" t="n">
        <f aca="false">-SUMPRODUCT(固有振動数!$Q$6:$Q$22*固有振動数!$P$6:$P$22/((1-($A561/固有振動数!$O$6:$O$22)^2)^2+固有振動数!$P$6:$P$22^2))</f>
        <v>-11.9168066585685</v>
      </c>
      <c r="D561" s="71" t="n">
        <f aca="false">SQRT(B561^2+C561^2)</f>
        <v>50.0021209641099</v>
      </c>
      <c r="E561" s="72" t="n">
        <f aca="false">20*LOG10(MAX(D561,0.000000000001)/$K$3)</f>
        <v>33.9797685281096</v>
      </c>
      <c r="F561" s="5"/>
      <c r="G561" s="5"/>
      <c r="H561" s="5"/>
      <c r="I561" s="5"/>
      <c r="J561" s="5"/>
      <c r="K561" s="5"/>
      <c r="L561" s="5"/>
      <c r="M561" s="5"/>
      <c r="N561" s="5"/>
    </row>
    <row r="562" customFormat="false" ht="15" hidden="false" customHeight="false" outlineLevel="0" collapsed="false">
      <c r="A562" s="71" t="n">
        <f aca="false">A561+$F$3</f>
        <v>11120</v>
      </c>
      <c r="B562" s="71" t="n">
        <f aca="false">SUMPRODUCT(固有振動数!$Q$6:$Q$22*(1-($A562/固有振動数!$O$6:$O$22)^2)/((1-($A562/固有振動数!$O$6:$O$22)^2)^2+固有振動数!$P$6:$P$22^2))</f>
        <v>52.0072394530503</v>
      </c>
      <c r="C562" s="71" t="n">
        <f aca="false">-SUMPRODUCT(固有振動数!$Q$6:$Q$22*固有振動数!$P$6:$P$22/((1-($A562/固有振動数!$O$6:$O$22)^2)^2+固有振動数!$P$6:$P$22^2))</f>
        <v>-14.9777682838614</v>
      </c>
      <c r="D562" s="71" t="n">
        <f aca="false">SQRT(B562^2+C562^2)</f>
        <v>54.1210356358039</v>
      </c>
      <c r="E562" s="72" t="n">
        <f aca="false">20*LOG10(MAX(D562,0.000000000001)/$K$3)</f>
        <v>34.6673219693807</v>
      </c>
      <c r="F562" s="5"/>
      <c r="G562" s="5"/>
      <c r="H562" s="5"/>
      <c r="I562" s="5"/>
      <c r="J562" s="5"/>
      <c r="K562" s="5"/>
      <c r="L562" s="5"/>
      <c r="M562" s="5"/>
      <c r="N562" s="5"/>
    </row>
    <row r="563" customFormat="false" ht="15" hidden="false" customHeight="false" outlineLevel="0" collapsed="false">
      <c r="A563" s="71" t="n">
        <f aca="false">A562+$F$3</f>
        <v>11140</v>
      </c>
      <c r="B563" s="71" t="n">
        <f aca="false">SUMPRODUCT(固有振動数!$Q$6:$Q$22*(1-($A563/固有振動数!$O$6:$O$22)^2)/((1-($A563/固有振動数!$O$6:$O$22)^2)^2+固有振動数!$P$6:$P$22^2))</f>
        <v>55.9795398961165</v>
      </c>
      <c r="C563" s="71" t="n">
        <f aca="false">-SUMPRODUCT(固有振動数!$Q$6:$Q$22*固有振動数!$P$6:$P$22/((1-($A563/固有振動数!$O$6:$O$22)^2)^2+固有振動数!$P$6:$P$22^2))</f>
        <v>-19.3337733458956</v>
      </c>
      <c r="D563" s="71" t="n">
        <f aca="false">SQRT(B563^2+C563^2)</f>
        <v>59.22418153737</v>
      </c>
      <c r="E563" s="72" t="n">
        <f aca="false">20*LOG10(MAX(D563,0.000000000001)/$K$3)</f>
        <v>35.4499813520126</v>
      </c>
      <c r="F563" s="5"/>
      <c r="G563" s="5"/>
      <c r="H563" s="5"/>
      <c r="I563" s="5"/>
      <c r="J563" s="5"/>
      <c r="K563" s="5"/>
      <c r="L563" s="5"/>
      <c r="M563" s="5"/>
      <c r="N563" s="5"/>
    </row>
    <row r="564" customFormat="false" ht="15" hidden="false" customHeight="false" outlineLevel="0" collapsed="false">
      <c r="A564" s="71" t="n">
        <f aca="false">A563+$F$3</f>
        <v>11160</v>
      </c>
      <c r="B564" s="71" t="n">
        <f aca="false">SUMPRODUCT(固有振動数!$Q$6:$Q$22*(1-($A564/固有振動数!$O$6:$O$22)^2)/((1-($A564/固有振動数!$O$6:$O$22)^2)^2+固有振動数!$P$6:$P$22^2))</f>
        <v>60.3746536844004</v>
      </c>
      <c r="C564" s="71" t="n">
        <f aca="false">-SUMPRODUCT(固有振動数!$Q$6:$Q$22*固有振動数!$P$6:$P$22/((1-($A564/固有振動数!$O$6:$O$22)^2)^2+固有振動数!$P$6:$P$22^2))</f>
        <v>-25.7237589768819</v>
      </c>
      <c r="D564" s="71" t="n">
        <f aca="false">SQRT(B564^2+C564^2)</f>
        <v>65.6262949084588</v>
      </c>
      <c r="E564" s="72" t="n">
        <f aca="false">20*LOG10(MAX(D564,0.000000000001)/$K$3)</f>
        <v>36.3415577160288</v>
      </c>
      <c r="F564" s="5"/>
      <c r="G564" s="5"/>
      <c r="H564" s="5"/>
      <c r="I564" s="5"/>
      <c r="J564" s="5"/>
      <c r="K564" s="5"/>
      <c r="L564" s="5"/>
      <c r="M564" s="5"/>
      <c r="N564" s="5"/>
    </row>
    <row r="565" customFormat="false" ht="15" hidden="false" customHeight="false" outlineLevel="0" collapsed="false">
      <c r="A565" s="71" t="n">
        <f aca="false">A564+$F$3</f>
        <v>11180</v>
      </c>
      <c r="B565" s="71" t="n">
        <f aca="false">SUMPRODUCT(固有振動数!$Q$6:$Q$22*(1-($A565/固有振動数!$O$6:$O$22)^2)/((1-($A565/固有振動数!$O$6:$O$22)^2)^2+固有振動数!$P$6:$P$22^2))</f>
        <v>64.654706973014</v>
      </c>
      <c r="C565" s="71" t="n">
        <f aca="false">-SUMPRODUCT(固有振動数!$Q$6:$Q$22*固有振動数!$P$6:$P$22/((1-($A565/固有振動数!$O$6:$O$22)^2)^2+固有振動数!$P$6:$P$22^2))</f>
        <v>-35.3354609781573</v>
      </c>
      <c r="D565" s="71" t="n">
        <f aca="false">SQRT(B565^2+C565^2)</f>
        <v>73.6805668837122</v>
      </c>
      <c r="E565" s="72" t="n">
        <f aca="false">20*LOG10(MAX(D565,0.000000000001)/$K$3)</f>
        <v>37.3470591715503</v>
      </c>
      <c r="F565" s="5"/>
      <c r="G565" s="5"/>
      <c r="H565" s="5"/>
      <c r="I565" s="5"/>
      <c r="J565" s="5"/>
      <c r="K565" s="5"/>
      <c r="L565" s="5"/>
      <c r="M565" s="5"/>
      <c r="N565" s="5"/>
    </row>
    <row r="566" customFormat="false" ht="15" hidden="false" customHeight="false" outlineLevel="0" collapsed="false">
      <c r="A566" s="71" t="n">
        <f aca="false">A565+$F$3</f>
        <v>11200</v>
      </c>
      <c r="B566" s="71" t="n">
        <f aca="false">SUMPRODUCT(固有振動数!$Q$6:$Q$22*(1-($A566/固有振動数!$O$6:$O$22)^2)/((1-($A566/固有振動数!$O$6:$O$22)^2)^2+固有振動数!$P$6:$P$22^2))</f>
        <v>67.0698524822619</v>
      </c>
      <c r="C566" s="71" t="n">
        <f aca="false">-SUMPRODUCT(固有振動数!$Q$6:$Q$22*固有振動数!$P$6:$P$22/((1-($A566/固有振動数!$O$6:$O$22)^2)^2+固有振動数!$P$6:$P$22^2))</f>
        <v>-49.8247838599767</v>
      </c>
      <c r="D566" s="71" t="n">
        <f aca="false">SQRT(B566^2+C566^2)</f>
        <v>83.5516259487855</v>
      </c>
      <c r="E566" s="72" t="n">
        <f aca="false">20*LOG10(MAX(D566,0.000000000001)/$K$3)</f>
        <v>38.4390981171949</v>
      </c>
      <c r="F566" s="5"/>
      <c r="G566" s="5"/>
      <c r="H566" s="5"/>
      <c r="I566" s="5"/>
      <c r="J566" s="5"/>
      <c r="K566" s="5"/>
      <c r="L566" s="5"/>
      <c r="M566" s="5"/>
      <c r="N566" s="5"/>
    </row>
    <row r="567" customFormat="false" ht="15" hidden="false" customHeight="false" outlineLevel="0" collapsed="false">
      <c r="A567" s="71" t="n">
        <f aca="false">A566+$F$3</f>
        <v>11220</v>
      </c>
      <c r="B567" s="71" t="n">
        <f aca="false">SUMPRODUCT(固有振動数!$Q$6:$Q$22*(1-($A567/固有振動数!$O$6:$O$22)^2)/((1-($A567/固有振動数!$O$6:$O$22)^2)^2+固有振動数!$P$6:$P$22^2))</f>
        <v>63.0888233061833</v>
      </c>
      <c r="C567" s="71" t="n">
        <f aca="false">-SUMPRODUCT(固有振動数!$Q$6:$Q$22*固有振動数!$P$6:$P$22/((1-($A567/固有振動数!$O$6:$O$22)^2)^2+固有振動数!$P$6:$P$22^2))</f>
        <v>-70.2011750740098</v>
      </c>
      <c r="D567" s="71" t="n">
        <f aca="false">SQRT(B567^2+C567^2)</f>
        <v>94.3843451422459</v>
      </c>
      <c r="E567" s="72" t="n">
        <f aca="false">20*LOG10(MAX(D567,0.000000000001)/$K$3)</f>
        <v>39.4979993388974</v>
      </c>
      <c r="F567" s="5"/>
      <c r="G567" s="5"/>
      <c r="H567" s="5"/>
      <c r="I567" s="5"/>
      <c r="J567" s="5"/>
      <c r="K567" s="5"/>
      <c r="L567" s="5"/>
      <c r="M567" s="5"/>
      <c r="N567" s="5"/>
    </row>
    <row r="568" customFormat="false" ht="15" hidden="false" customHeight="false" outlineLevel="0" collapsed="false">
      <c r="A568" s="71" t="n">
        <f aca="false">A567+$F$3</f>
        <v>11240</v>
      </c>
      <c r="B568" s="71" t="n">
        <f aca="false">SUMPRODUCT(固有振動数!$Q$6:$Q$22*(1-($A568/固有振動数!$O$6:$O$22)^2)/((1-($A568/固有振動数!$O$6:$O$22)^2)^2+固有振動数!$P$6:$P$22^2))</f>
        <v>45.0644302177128</v>
      </c>
      <c r="C568" s="71" t="n">
        <f aca="false">-SUMPRODUCT(固有振動数!$Q$6:$Q$22*固有振動数!$P$6:$P$22/((1-($A568/固有振動数!$O$6:$O$22)^2)^2+固有振動数!$P$6:$P$22^2))</f>
        <v>-91.9884496218384</v>
      </c>
      <c r="D568" s="71" t="n">
        <f aca="false">SQRT(B568^2+C568^2)</f>
        <v>102.433772432126</v>
      </c>
      <c r="E568" s="72" t="n">
        <f aca="false">20*LOG10(MAX(D568,0.000000000001)/$K$3)</f>
        <v>40.208863344273</v>
      </c>
      <c r="F568" s="5"/>
      <c r="G568" s="5"/>
      <c r="H568" s="5"/>
      <c r="I568" s="5"/>
      <c r="J568" s="5"/>
      <c r="K568" s="5"/>
      <c r="L568" s="5"/>
      <c r="M568" s="5"/>
      <c r="N568" s="5"/>
    </row>
    <row r="569" customFormat="false" ht="15" hidden="false" customHeight="false" outlineLevel="0" collapsed="false">
      <c r="A569" s="71" t="n">
        <f aca="false">A568+$F$3</f>
        <v>11260</v>
      </c>
      <c r="B569" s="71" t="n">
        <f aca="false">SUMPRODUCT(固有振動数!$Q$6:$Q$22*(1-($A569/固有振動数!$O$6:$O$22)^2)/((1-($A569/固有振動数!$O$6:$O$22)^2)^2+固有振動数!$P$6:$P$22^2))</f>
        <v>12.2264312567209</v>
      </c>
      <c r="C569" s="71" t="n">
        <f aca="false">-SUMPRODUCT(固有振動数!$Q$6:$Q$22*固有振動数!$P$6:$P$22/((1-($A569/固有振動数!$O$6:$O$22)^2)^2+固有振動数!$P$6:$P$22^2))</f>
        <v>-100.177129081619</v>
      </c>
      <c r="D569" s="71" t="n">
        <f aca="false">SQRT(B569^2+C569^2)</f>
        <v>100.920477665886</v>
      </c>
      <c r="E569" s="72" t="n">
        <f aca="false">20*LOG10(MAX(D569,0.000000000001)/$K$3)</f>
        <v>40.0795859481212</v>
      </c>
      <c r="F569" s="5"/>
      <c r="G569" s="5"/>
      <c r="H569" s="5"/>
      <c r="I569" s="5"/>
      <c r="J569" s="5"/>
      <c r="K569" s="5"/>
      <c r="L569" s="5"/>
      <c r="M569" s="5"/>
      <c r="N569" s="5"/>
    </row>
    <row r="570" customFormat="false" ht="15" hidden="false" customHeight="false" outlineLevel="0" collapsed="false">
      <c r="A570" s="71" t="n">
        <f aca="false">A569+$F$3</f>
        <v>11280</v>
      </c>
      <c r="B570" s="71" t="n">
        <f aca="false">SUMPRODUCT(固有振動数!$Q$6:$Q$22*(1-($A570/固有振動数!$O$6:$O$22)^2)/((1-($A570/固有振動数!$O$6:$O$22)^2)^2+固有振動数!$P$6:$P$22^2))</f>
        <v>-17.4774058046091</v>
      </c>
      <c r="C570" s="71" t="n">
        <f aca="false">-SUMPRODUCT(固有振動数!$Q$6:$Q$22*固有振動数!$P$6:$P$22/((1-($A570/固有振動数!$O$6:$O$22)^2)^2+固有振動数!$P$6:$P$22^2))</f>
        <v>-86.2287522343699</v>
      </c>
      <c r="D570" s="71" t="n">
        <f aca="false">SQRT(B570^2+C570^2)</f>
        <v>87.9821426515366</v>
      </c>
      <c r="E570" s="72" t="n">
        <f aca="false">20*LOG10(MAX(D570,0.000000000001)/$K$3)</f>
        <v>38.887890685076</v>
      </c>
      <c r="F570" s="5"/>
      <c r="G570" s="5"/>
      <c r="H570" s="5"/>
      <c r="I570" s="5"/>
      <c r="J570" s="5"/>
      <c r="K570" s="5"/>
      <c r="L570" s="5"/>
      <c r="M570" s="5"/>
      <c r="N570" s="5"/>
    </row>
    <row r="571" customFormat="false" ht="15" hidden="false" customHeight="false" outlineLevel="0" collapsed="false">
      <c r="A571" s="71" t="n">
        <f aca="false">A570+$F$3</f>
        <v>11300</v>
      </c>
      <c r="B571" s="71" t="n">
        <f aca="false">SUMPRODUCT(固有振動数!$Q$6:$Q$22*(1-($A571/固有振動数!$O$6:$O$22)^2)/((1-($A571/固有振動数!$O$6:$O$22)^2)^2+固有振動数!$P$6:$P$22^2))</f>
        <v>-30.6903535544213</v>
      </c>
      <c r="C571" s="71" t="n">
        <f aca="false">-SUMPRODUCT(固有振動数!$Q$6:$Q$22*固有振動数!$P$6:$P$22/((1-($A571/固有振動数!$O$6:$O$22)^2)^2+固有振動数!$P$6:$P$22^2))</f>
        <v>-63.6276003119986</v>
      </c>
      <c r="D571" s="71" t="n">
        <f aca="false">SQRT(B571^2+C571^2)</f>
        <v>70.642546123132</v>
      </c>
      <c r="E571" s="72" t="n">
        <f aca="false">20*LOG10(MAX(D571,0.000000000001)/$K$3)</f>
        <v>36.9813268768769</v>
      </c>
      <c r="F571" s="5"/>
      <c r="G571" s="5"/>
      <c r="H571" s="5"/>
      <c r="I571" s="5"/>
      <c r="J571" s="5"/>
      <c r="K571" s="5"/>
      <c r="L571" s="5"/>
      <c r="M571" s="5"/>
      <c r="N571" s="5"/>
    </row>
    <row r="572" customFormat="false" ht="15" hidden="false" customHeight="false" outlineLevel="0" collapsed="false">
      <c r="A572" s="71" t="n">
        <f aca="false">A571+$F$3</f>
        <v>11320</v>
      </c>
      <c r="B572" s="71" t="n">
        <f aca="false">SUMPRODUCT(固有振動数!$Q$6:$Q$22*(1-($A572/固有振動数!$O$6:$O$22)^2)/((1-($A572/固有振動数!$O$6:$O$22)^2)^2+固有振動数!$P$6:$P$22^2))</f>
        <v>-32.0369295344617</v>
      </c>
      <c r="C572" s="71" t="n">
        <f aca="false">-SUMPRODUCT(固有振動数!$Q$6:$Q$22*固有振動数!$P$6:$P$22/((1-($A572/固有振動数!$O$6:$O$22)^2)^2+固有振動数!$P$6:$P$22^2))</f>
        <v>-44.7954962481055</v>
      </c>
      <c r="D572" s="71" t="n">
        <f aca="false">SQRT(B572^2+C572^2)</f>
        <v>55.0726914006398</v>
      </c>
      <c r="E572" s="72" t="n">
        <f aca="false">20*LOG10(MAX(D572,0.000000000001)/$K$3)</f>
        <v>34.8187260191426</v>
      </c>
      <c r="F572" s="5"/>
      <c r="G572" s="5"/>
      <c r="H572" s="5"/>
      <c r="I572" s="5"/>
      <c r="J572" s="5"/>
      <c r="K572" s="5"/>
      <c r="L572" s="5"/>
      <c r="M572" s="5"/>
      <c r="N572" s="5"/>
    </row>
    <row r="573" customFormat="false" ht="15" hidden="false" customHeight="false" outlineLevel="0" collapsed="false">
      <c r="A573" s="71" t="n">
        <f aca="false">A572+$F$3</f>
        <v>11340</v>
      </c>
      <c r="B573" s="71" t="n">
        <f aca="false">SUMPRODUCT(固有振動数!$Q$6:$Q$22*(1-($A573/固有振動数!$O$6:$O$22)^2)/((1-($A573/固有振動数!$O$6:$O$22)^2)^2+固有振動数!$P$6:$P$22^2))</f>
        <v>-28.6694733298406</v>
      </c>
      <c r="C573" s="71" t="n">
        <f aca="false">-SUMPRODUCT(固有振動数!$Q$6:$Q$22*固有振動数!$P$6:$P$22/((1-($A573/固有振動数!$O$6:$O$22)^2)^2+固有振動数!$P$6:$P$22^2))</f>
        <v>-31.8647037719681</v>
      </c>
      <c r="D573" s="71" t="n">
        <f aca="false">SQRT(B573^2+C573^2)</f>
        <v>42.8637148120147</v>
      </c>
      <c r="E573" s="72" t="n">
        <f aca="false">20*LOG10(MAX(D573,0.000000000001)/$K$3)</f>
        <v>32.6417961350716</v>
      </c>
      <c r="F573" s="5"/>
      <c r="G573" s="5"/>
      <c r="H573" s="5"/>
      <c r="I573" s="5"/>
      <c r="J573" s="5"/>
      <c r="K573" s="5"/>
      <c r="L573" s="5"/>
      <c r="M573" s="5"/>
      <c r="N573" s="5"/>
    </row>
    <row r="574" customFormat="false" ht="15" hidden="false" customHeight="false" outlineLevel="0" collapsed="false">
      <c r="A574" s="71" t="n">
        <f aca="false">A573+$F$3</f>
        <v>11360</v>
      </c>
      <c r="B574" s="71" t="n">
        <f aca="false">SUMPRODUCT(固有振動数!$Q$6:$Q$22*(1-($A574/固有振動数!$O$6:$O$22)^2)/((1-($A574/固有振動数!$O$6:$O$22)^2)^2+固有振動数!$P$6:$P$22^2))</f>
        <v>-24.1563673474797</v>
      </c>
      <c r="C574" s="71" t="n">
        <f aca="false">-SUMPRODUCT(固有振動数!$Q$6:$Q$22*固有振動数!$P$6:$P$22/((1-($A574/固有振動数!$O$6:$O$22)^2)^2+固有振動数!$P$6:$P$22^2))</f>
        <v>-23.3441266348765</v>
      </c>
      <c r="D574" s="71" t="n">
        <f aca="false">SQRT(B574^2+C574^2)</f>
        <v>33.5928315533468</v>
      </c>
      <c r="E574" s="72" t="n">
        <f aca="false">20*LOG10(MAX(D574,0.000000000001)/$K$3)</f>
        <v>30.5249322448387</v>
      </c>
      <c r="F574" s="5"/>
      <c r="G574" s="5"/>
      <c r="H574" s="5"/>
      <c r="I574" s="5"/>
      <c r="J574" s="5"/>
      <c r="K574" s="5"/>
      <c r="L574" s="5"/>
      <c r="M574" s="5"/>
      <c r="N574" s="5"/>
    </row>
    <row r="575" customFormat="false" ht="15" hidden="false" customHeight="false" outlineLevel="0" collapsed="false">
      <c r="A575" s="71" t="n">
        <f aca="false">A574+$F$3</f>
        <v>11380</v>
      </c>
      <c r="B575" s="71" t="n">
        <f aca="false">SUMPRODUCT(固有振動数!$Q$6:$Q$22*(1-($A575/固有振動数!$O$6:$O$22)^2)/((1-($A575/固有振動数!$O$6:$O$22)^2)^2+固有振動数!$P$6:$P$22^2))</f>
        <v>-19.7761582944102</v>
      </c>
      <c r="C575" s="71" t="n">
        <f aca="false">-SUMPRODUCT(固有振動数!$Q$6:$Q$22*固有振動数!$P$6:$P$22/((1-($A575/固有振動数!$O$6:$O$22)^2)^2+固有振動数!$P$6:$P$22^2))</f>
        <v>-17.6645115193885</v>
      </c>
      <c r="D575" s="71" t="n">
        <f aca="false">SQRT(B575^2+C575^2)</f>
        <v>26.516625051167</v>
      </c>
      <c r="E575" s="72" t="n">
        <f aca="false">20*LOG10(MAX(D575,0.000000000001)/$K$3)</f>
        <v>28.4703649535333</v>
      </c>
      <c r="F575" s="5"/>
      <c r="G575" s="5"/>
      <c r="H575" s="5"/>
      <c r="I575" s="5"/>
      <c r="J575" s="5"/>
      <c r="K575" s="5"/>
      <c r="L575" s="5"/>
      <c r="M575" s="5"/>
      <c r="N575" s="5"/>
    </row>
    <row r="576" customFormat="false" ht="15" hidden="false" customHeight="false" outlineLevel="0" collapsed="false">
      <c r="A576" s="71" t="n">
        <f aca="false">A575+$F$3</f>
        <v>11400</v>
      </c>
      <c r="B576" s="71" t="n">
        <f aca="false">SUMPRODUCT(固有振動数!$Q$6:$Q$22*(1-($A576/固有振動数!$O$6:$O$22)^2)/((1-($A576/固有振動数!$O$6:$O$22)^2)^2+固有振動数!$P$6:$P$22^2))</f>
        <v>-15.887129877904</v>
      </c>
      <c r="C576" s="71" t="n">
        <f aca="false">-SUMPRODUCT(固有振動数!$Q$6:$Q$22*固有振動数!$P$6:$P$22/((1-($A576/固有振動数!$O$6:$O$22)^2)^2+固有振動数!$P$6:$P$22^2))</f>
        <v>-13.7732060654065</v>
      </c>
      <c r="D576" s="71" t="n">
        <f aca="false">SQRT(B576^2+C576^2)</f>
        <v>21.0262241279203</v>
      </c>
      <c r="E576" s="72" t="n">
        <f aca="false">20*LOG10(MAX(D576,0.000000000001)/$K$3)</f>
        <v>26.4552257888283</v>
      </c>
      <c r="F576" s="5"/>
      <c r="G576" s="5"/>
      <c r="H576" s="5"/>
      <c r="I576" s="5"/>
      <c r="J576" s="5"/>
      <c r="K576" s="5"/>
      <c r="L576" s="5"/>
      <c r="M576" s="5"/>
      <c r="N576" s="5"/>
    </row>
    <row r="577" customFormat="false" ht="15" hidden="false" customHeight="false" outlineLevel="0" collapsed="false">
      <c r="A577" s="71" t="n">
        <f aca="false">A576+$F$3</f>
        <v>11420</v>
      </c>
      <c r="B577" s="71" t="n">
        <f aca="false">SUMPRODUCT(固有振動数!$Q$6:$Q$22*(1-($A577/固有振動数!$O$6:$O$22)^2)/((1-($A577/固有振動数!$O$6:$O$22)^2)^2+固有振動数!$P$6:$P$22^2))</f>
        <v>-12.5303876998342</v>
      </c>
      <c r="C577" s="71" t="n">
        <f aca="false">-SUMPRODUCT(固有振動数!$Q$6:$Q$22*固有振動数!$P$6:$P$22/((1-($A577/固有振動数!$O$6:$O$22)^2)^2+固有振動数!$P$6:$P$22^2))</f>
        <v>-11.0253087965772</v>
      </c>
      <c r="D577" s="71" t="n">
        <f aca="false">SQRT(B577^2+C577^2)</f>
        <v>16.6903579940048</v>
      </c>
      <c r="E577" s="72" t="n">
        <f aca="false">20*LOG10(MAX(D577,0.000000000001)/$K$3)</f>
        <v>24.4493130405393</v>
      </c>
      <c r="F577" s="5"/>
      <c r="G577" s="5"/>
      <c r="H577" s="5"/>
      <c r="I577" s="5"/>
      <c r="J577" s="5"/>
      <c r="K577" s="5"/>
      <c r="L577" s="5"/>
      <c r="M577" s="5"/>
      <c r="N577" s="5"/>
    </row>
    <row r="578" customFormat="false" ht="15" hidden="false" customHeight="false" outlineLevel="0" collapsed="false">
      <c r="A578" s="71" t="n">
        <f aca="false">A577+$F$3</f>
        <v>11440</v>
      </c>
      <c r="B578" s="71" t="n">
        <f aca="false">SUMPRODUCT(固有振動数!$Q$6:$Q$22*(1-($A578/固有振動数!$O$6:$O$22)^2)/((1-($A578/固有振動数!$O$6:$O$22)^2)^2+固有振動数!$P$6:$P$22^2))</f>
        <v>-9.65114159636167</v>
      </c>
      <c r="C578" s="71" t="n">
        <f aca="false">-SUMPRODUCT(固有振動数!$Q$6:$Q$22*固有振動数!$P$6:$P$22/((1-($A578/固有振動数!$O$6:$O$22)^2)^2+固有振動数!$P$6:$P$22^2))</f>
        <v>-9.02870333519345</v>
      </c>
      <c r="D578" s="71" t="n">
        <f aca="false">SQRT(B578^2+C578^2)</f>
        <v>13.2159758636264</v>
      </c>
      <c r="E578" s="72" t="n">
        <f aca="false">20*LOG10(MAX(D578,0.000000000001)/$K$3)</f>
        <v>22.4219847364761</v>
      </c>
      <c r="F578" s="5"/>
      <c r="G578" s="5"/>
      <c r="H578" s="5"/>
      <c r="I578" s="5"/>
      <c r="J578" s="5"/>
      <c r="K578" s="5"/>
      <c r="L578" s="5"/>
      <c r="M578" s="5"/>
      <c r="N578" s="5"/>
    </row>
    <row r="579" customFormat="false" ht="15" hidden="false" customHeight="false" outlineLevel="0" collapsed="false">
      <c r="A579" s="71" t="n">
        <f aca="false">A578+$F$3</f>
        <v>11460</v>
      </c>
      <c r="B579" s="71" t="n">
        <f aca="false">SUMPRODUCT(固有振動数!$Q$6:$Q$22*(1-($A579/固有振動数!$O$6:$O$22)^2)/((1-($A579/固有振動数!$O$6:$O$22)^2)^2+固有振動数!$P$6:$P$22^2))</f>
        <v>-7.17475067443808</v>
      </c>
      <c r="C579" s="71" t="n">
        <f aca="false">-SUMPRODUCT(固有振動数!$Q$6:$Q$22*固有振動数!$P$6:$P$22/((1-($A579/固有振動数!$O$6:$O$22)^2)^2+固有振動数!$P$6:$P$22^2))</f>
        <v>-7.54049200872369</v>
      </c>
      <c r="D579" s="71" t="n">
        <f aca="false">SQRT(B579^2+C579^2)</f>
        <v>10.408461316351</v>
      </c>
      <c r="E579" s="72" t="n">
        <f aca="false">20*LOG10(MAX(D579,0.000000000001)/$K$3)</f>
        <v>20.3477306493676</v>
      </c>
      <c r="F579" s="5"/>
      <c r="G579" s="5"/>
      <c r="H579" s="5"/>
      <c r="I579" s="5"/>
      <c r="J579" s="5"/>
      <c r="K579" s="5"/>
      <c r="L579" s="5"/>
      <c r="M579" s="5"/>
      <c r="N579" s="5"/>
    </row>
    <row r="580" customFormat="false" ht="15" hidden="false" customHeight="false" outlineLevel="0" collapsed="false">
      <c r="A580" s="71" t="n">
        <f aca="false">A579+$F$3</f>
        <v>11480</v>
      </c>
      <c r="B580" s="71" t="n">
        <f aca="false">SUMPRODUCT(固有振動数!$Q$6:$Q$22*(1-($A580/固有振動数!$O$6:$O$22)^2)/((1-($A580/固有振動数!$O$6:$O$22)^2)^2+固有振動数!$P$6:$P$22^2))</f>
        <v>-5.03100802651879</v>
      </c>
      <c r="C580" s="71" t="n">
        <f aca="false">-SUMPRODUCT(固有振動数!$Q$6:$Q$22*固有振動数!$P$6:$P$22/((1-($A580/固有振動数!$O$6:$O$22)^2)^2+固有振動数!$P$6:$P$22^2))</f>
        <v>-6.40614390552091</v>
      </c>
      <c r="D580" s="71" t="n">
        <f aca="false">SQRT(B580^2+C580^2)</f>
        <v>8.14553383770144</v>
      </c>
      <c r="E580" s="72" t="n">
        <f aca="false">20*LOG10(MAX(D580,0.000000000001)/$K$3)</f>
        <v>18.2183910428</v>
      </c>
      <c r="F580" s="5"/>
      <c r="G580" s="5"/>
      <c r="H580" s="5"/>
      <c r="I580" s="5"/>
      <c r="J580" s="5"/>
      <c r="K580" s="5"/>
      <c r="L580" s="5"/>
      <c r="M580" s="5"/>
      <c r="N580" s="5"/>
    </row>
    <row r="581" customFormat="false" ht="15" hidden="false" customHeight="false" outlineLevel="0" collapsed="false">
      <c r="A581" s="71" t="n">
        <f aca="false">A580+$F$3</f>
        <v>11500</v>
      </c>
      <c r="B581" s="71" t="n">
        <f aca="false">SUMPRODUCT(固有振動数!$Q$6:$Q$22*(1-($A581/固有振動数!$O$6:$O$22)^2)/((1-($A581/固有振動数!$O$6:$O$22)^2)^2+固有振動数!$P$6:$P$22^2))</f>
        <v>-3.16041396277785</v>
      </c>
      <c r="C581" s="71" t="n">
        <f aca="false">-SUMPRODUCT(固有振動数!$Q$6:$Q$22*固有振動数!$P$6:$P$22/((1-($A581/固有振動数!$O$6:$O$22)^2)^2+固有振動数!$P$6:$P$22^2))</f>
        <v>-5.52454805625519</v>
      </c>
      <c r="D581" s="71" t="n">
        <f aca="false">SQRT(B581^2+C581^2)</f>
        <v>6.36465612912388</v>
      </c>
      <c r="E581" s="72" t="n">
        <f aca="false">20*LOG10(MAX(D581,0.000000000001)/$K$3)</f>
        <v>16.0754988895398</v>
      </c>
      <c r="F581" s="5"/>
      <c r="G581" s="5"/>
      <c r="H581" s="5"/>
      <c r="I581" s="5"/>
      <c r="J581" s="5"/>
      <c r="K581" s="5"/>
      <c r="L581" s="5"/>
      <c r="M581" s="5"/>
      <c r="N581" s="5"/>
    </row>
    <row r="582" customFormat="false" ht="15" hidden="false" customHeight="false" outlineLevel="0" collapsed="false">
      <c r="A582" s="71" t="n">
        <f aca="false">A581+$F$3</f>
        <v>11520</v>
      </c>
      <c r="B582" s="71" t="n">
        <f aca="false">SUMPRODUCT(固有振動数!$Q$6:$Q$22*(1-($A582/固有振動数!$O$6:$O$22)^2)/((1-($A582/固有振動数!$O$6:$O$22)^2)^2+固有振動数!$P$6:$P$22^2))</f>
        <v>-1.51444068248904</v>
      </c>
      <c r="C582" s="71" t="n">
        <f aca="false">-SUMPRODUCT(固有振動数!$Q$6:$Q$22*固有振動数!$P$6:$P$22/((1-($A582/固有振動数!$O$6:$O$22)^2)^2+固有振動数!$P$6:$P$22^2))</f>
        <v>-4.8277400529201</v>
      </c>
      <c r="D582" s="71" t="n">
        <f aca="false">SQRT(B582^2+C582^2)</f>
        <v>5.05970400313564</v>
      </c>
      <c r="E582" s="72" t="n">
        <f aca="false">20*LOG10(MAX(D582,0.000000000001)/$K$3)</f>
        <v>14.0825022199386</v>
      </c>
      <c r="F582" s="5"/>
      <c r="G582" s="5"/>
      <c r="H582" s="5"/>
      <c r="I582" s="5"/>
      <c r="J582" s="5"/>
      <c r="K582" s="5"/>
      <c r="L582" s="5"/>
      <c r="M582" s="5"/>
      <c r="N582" s="5"/>
    </row>
    <row r="583" customFormat="false" ht="15" hidden="false" customHeight="false" outlineLevel="0" collapsed="false">
      <c r="A583" s="71" t="n">
        <f aca="false">A582+$F$3</f>
        <v>11540</v>
      </c>
      <c r="B583" s="71" t="n">
        <f aca="false">SUMPRODUCT(固有振動数!$Q$6:$Q$22*(1-($A583/固有振動数!$O$6:$O$22)^2)/((1-($A583/固有振動数!$O$6:$O$22)^2)^2+固有振動数!$P$6:$P$22^2))</f>
        <v>-0.0540411439967177</v>
      </c>
      <c r="C583" s="71" t="n">
        <f aca="false">-SUMPRODUCT(固有振動数!$Q$6:$Q$22*固有振動数!$P$6:$P$22/((1-($A583/固有振動数!$O$6:$O$22)^2)^2+固有振動数!$P$6:$P$22^2))</f>
        <v>-4.26888333098411</v>
      </c>
      <c r="D583" s="71" t="n">
        <f aca="false">SQRT(B583^2+C583^2)</f>
        <v>4.26922537924604</v>
      </c>
      <c r="E583" s="72" t="n">
        <f aca="false">20*LOG10(MAX(D583,0.000000000001)/$K$3)</f>
        <v>12.6069816502096</v>
      </c>
      <c r="F583" s="5"/>
      <c r="G583" s="5"/>
      <c r="H583" s="5"/>
      <c r="I583" s="5"/>
      <c r="J583" s="5"/>
      <c r="K583" s="5"/>
      <c r="L583" s="5"/>
      <c r="M583" s="5"/>
      <c r="N583" s="5"/>
    </row>
    <row r="584" customFormat="false" ht="15" hidden="false" customHeight="false" outlineLevel="0" collapsed="false">
      <c r="A584" s="71" t="n">
        <f aca="false">A583+$F$3</f>
        <v>11560</v>
      </c>
      <c r="B584" s="71" t="n">
        <f aca="false">SUMPRODUCT(固有振動数!$Q$6:$Q$22*(1-($A584/固有振動数!$O$6:$O$22)^2)/((1-($A584/固有振動数!$O$6:$O$22)^2)^2+固有振動数!$P$6:$P$22^2))</f>
        <v>1.25212714498344</v>
      </c>
      <c r="C584" s="71" t="n">
        <f aca="false">-SUMPRODUCT(固有振動数!$Q$6:$Q$22*固有振動数!$P$6:$P$22/((1-($A584/固有振動数!$O$6:$O$22)^2)^2+固有振動数!$P$6:$P$22^2))</f>
        <v>-3.81496137366856</v>
      </c>
      <c r="D584" s="71" t="n">
        <f aca="false">SQRT(B584^2+C584^2)</f>
        <v>4.0151902407965</v>
      </c>
      <c r="E584" s="72" t="n">
        <f aca="false">20*LOG10(MAX(D584,0.000000000001)/$K$3)</f>
        <v>12.0741225418374</v>
      </c>
      <c r="F584" s="5"/>
      <c r="G584" s="5"/>
      <c r="H584" s="5"/>
      <c r="I584" s="5"/>
      <c r="J584" s="5"/>
      <c r="K584" s="5"/>
      <c r="L584" s="5"/>
      <c r="M584" s="5"/>
      <c r="N584" s="5"/>
    </row>
    <row r="585" customFormat="false" ht="15" hidden="false" customHeight="false" outlineLevel="0" collapsed="false">
      <c r="A585" s="71" t="n">
        <f aca="false">A584+$F$3</f>
        <v>11580</v>
      </c>
      <c r="B585" s="71" t="n">
        <f aca="false">SUMPRODUCT(固有振動数!$Q$6:$Q$22*(1-($A585/固有振動数!$O$6:$O$22)^2)/((1-($A585/固有振動数!$O$6:$O$22)^2)^2+固有振動数!$P$6:$P$22^2))</f>
        <v>2.42929759707807</v>
      </c>
      <c r="C585" s="71" t="n">
        <f aca="false">-SUMPRODUCT(固有振動数!$Q$6:$Q$22*固有振動数!$P$6:$P$22/((1-($A585/固有振動数!$O$6:$O$22)^2)^2+固有振動数!$P$6:$P$22^2))</f>
        <v>-3.44221862356394</v>
      </c>
      <c r="D585" s="71" t="n">
        <f aca="false">SQRT(B585^2+C585^2)</f>
        <v>4.21311712008813</v>
      </c>
      <c r="E585" s="72" t="n">
        <f aca="false">20*LOG10(MAX(D585,0.000000000001)/$K$3)</f>
        <v>12.492070644208</v>
      </c>
      <c r="F585" s="5"/>
      <c r="G585" s="5"/>
      <c r="H585" s="5"/>
      <c r="I585" s="5"/>
      <c r="J585" s="5"/>
      <c r="K585" s="5"/>
      <c r="L585" s="5"/>
      <c r="M585" s="5"/>
      <c r="N585" s="5"/>
    </row>
    <row r="586" customFormat="false" ht="15" hidden="false" customHeight="false" outlineLevel="0" collapsed="false">
      <c r="A586" s="71" t="n">
        <f aca="false">A585+$F$3</f>
        <v>11600</v>
      </c>
      <c r="B586" s="71" t="n">
        <f aca="false">SUMPRODUCT(固有振動数!$Q$6:$Q$22*(1-($A586/固有振動数!$O$6:$O$22)^2)/((1-($A586/固有振動数!$O$6:$O$22)^2)^2+固有振動数!$P$6:$P$22^2))</f>
        <v>3.49790166884262</v>
      </c>
      <c r="C586" s="71" t="n">
        <f aca="false">-SUMPRODUCT(固有振動数!$Q$6:$Q$22*固有振動数!$P$6:$P$22/((1-($A586/固有振動数!$O$6:$O$22)^2)^2+固有振動数!$P$6:$P$22^2))</f>
        <v>-3.13324504989527</v>
      </c>
      <c r="D586" s="71" t="n">
        <f aca="false">SQRT(B586^2+C586^2)</f>
        <v>4.69601326952823</v>
      </c>
      <c r="E586" s="72" t="n">
        <f aca="false">20*LOG10(MAX(D586,0.000000000001)/$K$3)</f>
        <v>13.4345863085507</v>
      </c>
      <c r="F586" s="5"/>
      <c r="G586" s="5"/>
      <c r="H586" s="5"/>
      <c r="I586" s="5"/>
      <c r="J586" s="5"/>
      <c r="K586" s="5"/>
      <c r="L586" s="5"/>
      <c r="M586" s="5"/>
      <c r="N586" s="5"/>
    </row>
    <row r="587" customFormat="false" ht="15" hidden="false" customHeight="false" outlineLevel="0" collapsed="false">
      <c r="A587" s="71" t="n">
        <f aca="false">A586+$F$3</f>
        <v>11620</v>
      </c>
      <c r="B587" s="71" t="n">
        <f aca="false">SUMPRODUCT(固有振動数!$Q$6:$Q$22*(1-($A587/固有振動数!$O$6:$O$22)^2)/((1-($A587/固有振動数!$O$6:$O$22)^2)^2+固有振動数!$P$6:$P$22^2))</f>
        <v>4.47460023271128</v>
      </c>
      <c r="C587" s="71" t="n">
        <f aca="false">-SUMPRODUCT(固有振動数!$Q$6:$Q$22*固有振動数!$P$6:$P$22/((1-($A587/固有振動数!$O$6:$O$22)^2)^2+固有振動数!$P$6:$P$22^2))</f>
        <v>-2.87506808173022</v>
      </c>
      <c r="D587" s="71" t="n">
        <f aca="false">SQRT(B587^2+C587^2)</f>
        <v>5.31865243432617</v>
      </c>
      <c r="E587" s="72" t="n">
        <f aca="false">20*LOG10(MAX(D587,0.000000000001)/$K$3)</f>
        <v>14.516032215563</v>
      </c>
      <c r="F587" s="5"/>
      <c r="G587" s="5"/>
      <c r="H587" s="5"/>
      <c r="I587" s="5"/>
      <c r="J587" s="5"/>
      <c r="K587" s="5"/>
      <c r="L587" s="5"/>
      <c r="M587" s="5"/>
      <c r="N587" s="5"/>
    </row>
    <row r="588" customFormat="false" ht="15" hidden="false" customHeight="false" outlineLevel="0" collapsed="false">
      <c r="A588" s="71" t="n">
        <f aca="false">A587+$F$3</f>
        <v>11640</v>
      </c>
      <c r="B588" s="71" t="n">
        <f aca="false">SUMPRODUCT(固有振動数!$Q$6:$Q$22*(1-($A588/固有振動数!$O$6:$O$22)^2)/((1-($A588/固有振動数!$O$6:$O$22)^2)^2+固有振動数!$P$6:$P$22^2))</f>
        <v>5.37308493000701</v>
      </c>
      <c r="C588" s="71" t="n">
        <f aca="false">-SUMPRODUCT(固有振動数!$Q$6:$Q$22*固有振動数!$P$6:$P$22/((1-($A588/固有振動数!$O$6:$O$22)^2)^2+固有振動数!$P$6:$P$22^2))</f>
        <v>-2.65787673317675</v>
      </c>
      <c r="D588" s="71" t="n">
        <f aca="false">SQRT(B588^2+C588^2)</f>
        <v>5.99452670307096</v>
      </c>
      <c r="E588" s="72" t="n">
        <f aca="false">20*LOG10(MAX(D588,0.000000000001)/$K$3)</f>
        <v>15.5550979826958</v>
      </c>
      <c r="F588" s="5"/>
      <c r="G588" s="5"/>
      <c r="H588" s="5"/>
      <c r="I588" s="5"/>
      <c r="J588" s="5"/>
      <c r="K588" s="5"/>
      <c r="L588" s="5"/>
      <c r="M588" s="5"/>
      <c r="N588" s="5"/>
    </row>
    <row r="589" customFormat="false" ht="15" hidden="false" customHeight="false" outlineLevel="0" collapsed="false">
      <c r="A589" s="71" t="n">
        <f aca="false">A588+$F$3</f>
        <v>11660</v>
      </c>
      <c r="B589" s="71" t="n">
        <f aca="false">SUMPRODUCT(固有振動数!$Q$6:$Q$22*(1-($A589/固有振動数!$O$6:$O$22)^2)/((1-($A589/固有振動数!$O$6:$O$22)^2)^2+固有振動数!$P$6:$P$22^2))</f>
        <v>6.20469785361694</v>
      </c>
      <c r="C589" s="71" t="n">
        <f aca="false">-SUMPRODUCT(固有振動数!$Q$6:$Q$22*固有振動数!$P$6:$P$22/((1-($A589/固有振動数!$O$6:$O$22)^2)^2+固有振動数!$P$6:$P$22^2))</f>
        <v>-2.47415142873581</v>
      </c>
      <c r="D589" s="71" t="n">
        <f aca="false">SQRT(B589^2+C589^2)</f>
        <v>6.67979795704886</v>
      </c>
      <c r="E589" s="72" t="n">
        <f aca="false">20*LOG10(MAX(D589,0.000000000001)/$K$3)</f>
        <v>16.4952665325475</v>
      </c>
      <c r="F589" s="5"/>
      <c r="G589" s="5"/>
      <c r="H589" s="5"/>
      <c r="I589" s="5"/>
      <c r="J589" s="5"/>
      <c r="K589" s="5"/>
      <c r="L589" s="5"/>
      <c r="M589" s="5"/>
      <c r="N589" s="5"/>
    </row>
    <row r="590" customFormat="false" ht="15" hidden="false" customHeight="false" outlineLevel="0" collapsed="false">
      <c r="A590" s="71" t="n">
        <f aca="false">A589+$F$3</f>
        <v>11680</v>
      </c>
      <c r="B590" s="71" t="n">
        <f aca="false">SUMPRODUCT(固有振動数!$Q$6:$Q$22*(1-($A590/固有振動数!$O$6:$O$22)^2)/((1-($A590/固有振動数!$O$6:$O$22)^2)^2+固有振動数!$P$6:$P$22^2))</f>
        <v>6.97891114957424</v>
      </c>
      <c r="C590" s="71" t="n">
        <f aca="false">-SUMPRODUCT(固有振動数!$Q$6:$Q$22*固有振動数!$P$6:$P$22/((1-($A590/固有振動数!$O$6:$O$22)^2)^2+固有振動数!$P$6:$P$22^2))</f>
        <v>-2.31805966152965</v>
      </c>
      <c r="D590" s="71" t="n">
        <f aca="false">SQRT(B590^2+C590^2)</f>
        <v>7.35381543336944</v>
      </c>
      <c r="E590" s="72" t="n">
        <f aca="false">20*LOG10(MAX(D590,0.000000000001)/$K$3)</f>
        <v>17.3302545142602</v>
      </c>
      <c r="F590" s="5"/>
      <c r="G590" s="5"/>
      <c r="H590" s="5"/>
      <c r="I590" s="5"/>
      <c r="J590" s="5"/>
      <c r="K590" s="5"/>
      <c r="L590" s="5"/>
      <c r="M590" s="5"/>
      <c r="N590" s="5"/>
    </row>
    <row r="591" customFormat="false" ht="15" hidden="false" customHeight="false" outlineLevel="0" collapsed="false">
      <c r="A591" s="71" t="n">
        <f aca="false">A590+$F$3</f>
        <v>11700</v>
      </c>
      <c r="B591" s="71" t="n">
        <f aca="false">SUMPRODUCT(固有振動数!$Q$6:$Q$22*(1-($A591/固有振動数!$O$6:$O$22)^2)/((1-($A591/固有振動数!$O$6:$O$22)^2)^2+固有振動数!$P$6:$P$22^2))</f>
        <v>7.70369966698898</v>
      </c>
      <c r="C591" s="71" t="n">
        <f aca="false">-SUMPRODUCT(固有振動数!$Q$6:$Q$22*固有振動数!$P$6:$P$22/((1-($A591/固有振動数!$O$6:$O$22)^2)^2+固有振動数!$P$6:$P$22^2))</f>
        <v>-2.18502924130042</v>
      </c>
      <c r="D591" s="71" t="n">
        <f aca="false">SQRT(B591^2+C591^2)</f>
        <v>8.00758024277647</v>
      </c>
      <c r="E591" s="72" t="n">
        <f aca="false">20*LOG10(MAX(D591,0.000000000001)/$K$3)</f>
        <v>18.0700259871678</v>
      </c>
      <c r="F591" s="5"/>
      <c r="G591" s="5"/>
      <c r="H591" s="5"/>
      <c r="I591" s="5"/>
      <c r="J591" s="5"/>
      <c r="K591" s="5"/>
      <c r="L591" s="5"/>
      <c r="M591" s="5"/>
      <c r="N591" s="5"/>
    </row>
    <row r="592" customFormat="false" ht="15" hidden="false" customHeight="false" outlineLevel="0" collapsed="false">
      <c r="A592" s="71" t="n">
        <f aca="false">A591+$F$3</f>
        <v>11720</v>
      </c>
      <c r="B592" s="71" t="n">
        <f aca="false">SUMPRODUCT(固有振動数!$Q$6:$Q$22*(1-($A592/固有振動数!$O$6:$O$22)^2)/((1-($A592/固有振動数!$O$6:$O$22)^2)^2+固有振動数!$P$6:$P$22^2))</f>
        <v>8.38583216302441</v>
      </c>
      <c r="C592" s="71" t="n">
        <f aca="false">-SUMPRODUCT(固有振動数!$Q$6:$Q$22*固有振動数!$P$6:$P$22/((1-($A592/固有振動数!$O$6:$O$22)^2)^2+固有振動数!$P$6:$P$22^2))</f>
        <v>-2.07144233146431</v>
      </c>
      <c r="D592" s="71" t="n">
        <f aca="false">SQRT(B592^2+C592^2)</f>
        <v>8.63788483362663</v>
      </c>
      <c r="E592" s="72" t="n">
        <f aca="false">20*LOG10(MAX(D592,0.000000000001)/$K$3)</f>
        <v>18.7281481885943</v>
      </c>
      <c r="F592" s="5"/>
      <c r="G592" s="5"/>
      <c r="H592" s="5"/>
      <c r="I592" s="5"/>
      <c r="J592" s="5"/>
      <c r="K592" s="5"/>
      <c r="L592" s="5"/>
      <c r="M592" s="5"/>
      <c r="N592" s="5"/>
    </row>
    <row r="593" customFormat="false" ht="15" hidden="false" customHeight="false" outlineLevel="0" collapsed="false">
      <c r="A593" s="71" t="n">
        <f aca="false">A592+$F$3</f>
        <v>11740</v>
      </c>
      <c r="B593" s="71" t="n">
        <f aca="false">SUMPRODUCT(固有振動数!$Q$6:$Q$22*(1-($A593/固有振動数!$O$6:$O$22)^2)/((1-($A593/固有振動数!$O$6:$O$22)^2)^2+固有振動数!$P$6:$P$22^2))</f>
        <v>9.03110040379214</v>
      </c>
      <c r="C593" s="71" t="n">
        <f aca="false">-SUMPRODUCT(固有振動数!$Q$6:$Q$22*固有振動数!$P$6:$P$22/((1-($A593/固有振動数!$O$6:$O$22)^2)^2+固有振動数!$P$6:$P$22^2))</f>
        <v>-1.97441302415595</v>
      </c>
      <c r="D593" s="71" t="n">
        <f aca="false">SQRT(B593^2+C593^2)</f>
        <v>9.24440810941031</v>
      </c>
      <c r="E593" s="72" t="n">
        <f aca="false">20*LOG10(MAX(D593,0.000000000001)/$K$3)</f>
        <v>19.317582197311</v>
      </c>
      <c r="F593" s="5"/>
      <c r="G593" s="5"/>
      <c r="H593" s="5"/>
      <c r="I593" s="5"/>
      <c r="J593" s="5"/>
      <c r="K593" s="5"/>
      <c r="L593" s="5"/>
      <c r="M593" s="5"/>
      <c r="N593" s="5"/>
    </row>
    <row r="594" customFormat="false" ht="15" hidden="false" customHeight="false" outlineLevel="0" collapsed="false">
      <c r="A594" s="71" t="n">
        <f aca="false">A593+$F$3</f>
        <v>11760</v>
      </c>
      <c r="B594" s="71" t="n">
        <f aca="false">SUMPRODUCT(固有振動数!$Q$6:$Q$22*(1-($A594/固有振動数!$O$6:$O$22)^2)/((1-($A594/固有振動数!$O$6:$O$22)^2)^2+固有振動数!$P$6:$P$22^2))</f>
        <v>9.64450074407748</v>
      </c>
      <c r="C594" s="71" t="n">
        <f aca="false">-SUMPRODUCT(固有振動数!$Q$6:$Q$22*固有振動数!$P$6:$P$22/((1-($A594/固有振動数!$O$6:$O$22)^2)^2+固有振動数!$P$6:$P$22^2))</f>
        <v>-1.89162359585094</v>
      </c>
      <c r="D594" s="71" t="n">
        <f aca="false">SQRT(B594^2+C594^2)</f>
        <v>9.82825693756991</v>
      </c>
      <c r="E594" s="72" t="n">
        <f aca="false">20*LOG10(MAX(D594,0.000000000001)/$K$3)</f>
        <v>19.8495300320872</v>
      </c>
      <c r="F594" s="5"/>
      <c r="G594" s="5"/>
      <c r="H594" s="5"/>
      <c r="I594" s="5"/>
      <c r="J594" s="5"/>
      <c r="K594" s="5"/>
      <c r="L594" s="5"/>
      <c r="M594" s="5"/>
      <c r="N594" s="5"/>
    </row>
    <row r="595" customFormat="false" ht="15" hidden="false" customHeight="false" outlineLevel="0" collapsed="false">
      <c r="A595" s="71" t="n">
        <f aca="false">A594+$F$3</f>
        <v>11780</v>
      </c>
      <c r="B595" s="71" t="n">
        <f aca="false">SUMPRODUCT(固有振動数!$Q$6:$Q$22*(1-($A595/固有振動数!$O$6:$O$22)^2)/((1-($A595/固有振動数!$O$6:$O$22)^2)^2+固有振動数!$P$6:$P$22^2))</f>
        <v>10.2303791779568</v>
      </c>
      <c r="C595" s="71" t="n">
        <f aca="false">-SUMPRODUCT(固有振動数!$Q$6:$Q$22*固有振動数!$P$6:$P$22/((1-($A595/固有振動数!$O$6:$O$22)^2)^2+固有振動数!$P$6:$P$22^2))</f>
        <v>-1.8212025877719</v>
      </c>
      <c r="D595" s="71" t="n">
        <f aca="false">SQRT(B595^2+C595^2)</f>
        <v>10.3912192254075</v>
      </c>
      <c r="E595" s="72" t="n">
        <f aca="false">20*LOG10(MAX(D595,0.000000000001)/$K$3)</f>
        <v>20.3333301461418</v>
      </c>
      <c r="F595" s="5"/>
      <c r="G595" s="5"/>
      <c r="H595" s="5"/>
      <c r="I595" s="5"/>
      <c r="J595" s="5"/>
      <c r="K595" s="5"/>
      <c r="L595" s="5"/>
      <c r="M595" s="5"/>
      <c r="N595" s="5"/>
    </row>
    <row r="596" customFormat="false" ht="15" hidden="false" customHeight="false" outlineLevel="0" collapsed="false">
      <c r="A596" s="71" t="n">
        <f aca="false">A595+$F$3</f>
        <v>11800</v>
      </c>
      <c r="B596" s="71" t="n">
        <f aca="false">SUMPRODUCT(固有振動数!$Q$6:$Q$22*(1-($A596/固有振動数!$O$6:$O$22)^2)/((1-($A596/固有振動数!$O$6:$O$22)^2)^2+固有振動数!$P$6:$P$22^2))</f>
        <v>10.7925481695227</v>
      </c>
      <c r="C596" s="71" t="n">
        <f aca="false">-SUMPRODUCT(固有振動数!$Q$6:$Q$22*固有振動数!$P$6:$P$22/((1-($A596/固有振動数!$O$6:$O$22)^2)^2+固有振動数!$P$6:$P$22^2))</f>
        <v>-1.76163311043509</v>
      </c>
      <c r="D596" s="71" t="n">
        <f aca="false">SQRT(B596^2+C596^2)</f>
        <v>10.9353759518019</v>
      </c>
      <c r="E596" s="72" t="n">
        <f aca="false">20*LOG10(MAX(D596,0.000000000001)/$K$3)</f>
        <v>20.7766743683901</v>
      </c>
      <c r="F596" s="5"/>
      <c r="G596" s="5"/>
      <c r="H596" s="5"/>
      <c r="I596" s="5"/>
      <c r="J596" s="5"/>
      <c r="K596" s="5"/>
      <c r="L596" s="5"/>
      <c r="M596" s="5"/>
      <c r="N596" s="5"/>
    </row>
    <row r="597" customFormat="false" ht="15" hidden="false" customHeight="false" outlineLevel="0" collapsed="false">
      <c r="A597" s="71" t="n">
        <f aca="false">A596+$F$3</f>
        <v>11820</v>
      </c>
      <c r="B597" s="71" t="n">
        <f aca="false">SUMPRODUCT(固有振動数!$Q$6:$Q$22*(1-($A597/固有振動数!$O$6:$O$22)^2)/((1-($A597/固有振動数!$O$6:$O$22)^2)^2+固有振動数!$P$6:$P$22^2))</f>
        <v>11.3343815756679</v>
      </c>
      <c r="C597" s="71" t="n">
        <f aca="false">-SUMPRODUCT(固有振動数!$Q$6:$Q$22*固有振動数!$P$6:$P$22/((1-($A597/固有振動数!$O$6:$O$22)^2)^2+固有振動数!$P$6:$P$22^2))</f>
        <v>-1.71168327902735</v>
      </c>
      <c r="D597" s="71" t="n">
        <f aca="false">SQRT(B597^2+C597^2)</f>
        <v>11.4628995175977</v>
      </c>
      <c r="E597" s="72" t="n">
        <f aca="false">20*LOG10(MAX(D597,0.000000000001)/$K$3)</f>
        <v>21.1858897090284</v>
      </c>
      <c r="F597" s="5"/>
      <c r="G597" s="5"/>
      <c r="H597" s="5"/>
      <c r="I597" s="5"/>
      <c r="J597" s="5"/>
      <c r="K597" s="5"/>
      <c r="L597" s="5"/>
      <c r="M597" s="5"/>
      <c r="N597" s="5"/>
    </row>
    <row r="598" customFormat="false" ht="15" hidden="false" customHeight="false" outlineLevel="0" collapsed="false">
      <c r="A598" s="71" t="n">
        <f aca="false">A597+$F$3</f>
        <v>11840</v>
      </c>
      <c r="B598" s="71" t="n">
        <f aca="false">SUMPRODUCT(固有振動数!$Q$6:$Q$22*(1-($A598/固有振動数!$O$6:$O$22)^2)/((1-($A598/固有振動数!$O$6:$O$22)^2)^2+固有振動数!$P$6:$P$22^2))</f>
        <v>11.8588924859591</v>
      </c>
      <c r="C598" s="71" t="n">
        <f aca="false">-SUMPRODUCT(固有振動数!$Q$6:$Q$22*固有振動数!$P$6:$P$22/((1-($A598/固有振動数!$O$6:$O$22)^2)^2+固有振動数!$P$6:$P$22^2))</f>
        <v>-1.67035306298243</v>
      </c>
      <c r="D598" s="71" t="n">
        <f aca="false">SQRT(B598^2+C598^2)</f>
        <v>11.9759513337585</v>
      </c>
      <c r="E598" s="72" t="n">
        <f aca="false">20*LOG10(MAX(D598,0.000000000001)/$K$3)</f>
        <v>21.5662004502352</v>
      </c>
      <c r="F598" s="5"/>
      <c r="G598" s="5"/>
      <c r="H598" s="5"/>
      <c r="I598" s="5"/>
      <c r="J598" s="5"/>
      <c r="K598" s="5"/>
      <c r="L598" s="5"/>
      <c r="M598" s="5"/>
      <c r="N598" s="5"/>
    </row>
    <row r="599" customFormat="false" ht="15" hidden="false" customHeight="false" outlineLevel="0" collapsed="false">
      <c r="A599" s="71" t="n">
        <f aca="false">A598+$F$3</f>
        <v>11860</v>
      </c>
      <c r="B599" s="71" t="n">
        <f aca="false">SUMPRODUCT(固有振動数!$Q$6:$Q$22*(1-($A599/固有振動数!$O$6:$O$22)^2)/((1-($A599/固有振動数!$O$6:$O$22)^2)^2+固有振動数!$P$6:$P$22^2))</f>
        <v>12.3687976955019</v>
      </c>
      <c r="C599" s="71" t="n">
        <f aca="false">-SUMPRODUCT(固有振動数!$Q$6:$Q$22*固有振動数!$P$6:$P$22/((1-($A599/固有振動数!$O$6:$O$22)^2)^2+固有振動数!$P$6:$P$22^2))</f>
        <v>-1.63683346716734</v>
      </c>
      <c r="D599" s="71" t="n">
        <f aca="false">SQRT(B599^2+C599^2)</f>
        <v>12.4766333692824</v>
      </c>
      <c r="E599" s="72" t="n">
        <f aca="false">20*LOG10(MAX(D599,0.000000000001)/$K$3)</f>
        <v>21.9219482672013</v>
      </c>
      <c r="F599" s="5"/>
      <c r="G599" s="5"/>
      <c r="H599" s="5"/>
      <c r="I599" s="5"/>
      <c r="J599" s="5"/>
      <c r="K599" s="5"/>
      <c r="L599" s="5"/>
      <c r="M599" s="5"/>
      <c r="N599" s="5"/>
    </row>
    <row r="600" customFormat="false" ht="15" hidden="false" customHeight="false" outlineLevel="0" collapsed="false">
      <c r="A600" s="71" t="n">
        <f aca="false">A599+$F$3</f>
        <v>11880</v>
      </c>
      <c r="B600" s="71" t="n">
        <f aca="false">SUMPRODUCT(固有振動数!$Q$6:$Q$22*(1-($A600/固有振動数!$O$6:$O$22)^2)/((1-($A600/固有振動数!$O$6:$O$22)^2)^2+固有振動数!$P$6:$P$22^2))</f>
        <v>12.8665716970931</v>
      </c>
      <c r="C600" s="71" t="n">
        <f aca="false">-SUMPRODUCT(固有振動数!$Q$6:$Q$22*固有振動数!$P$6:$P$22/((1-($A600/固有振動数!$O$6:$O$22)^2)^2+固有振動数!$P$6:$P$22^2))</f>
        <v>-1.61047510146452</v>
      </c>
      <c r="D600" s="71" t="n">
        <f aca="false">SQRT(B600^2+C600^2)</f>
        <v>12.9669694720422</v>
      </c>
      <c r="E600" s="72" t="n">
        <f aca="false">20*LOG10(MAX(D600,0.000000000001)/$K$3)</f>
        <v>22.2567697678559</v>
      </c>
      <c r="F600" s="5"/>
      <c r="G600" s="5"/>
      <c r="H600" s="5"/>
      <c r="I600" s="5"/>
      <c r="J600" s="5"/>
      <c r="K600" s="5"/>
      <c r="L600" s="5"/>
      <c r="M600" s="5"/>
      <c r="N600" s="5"/>
    </row>
    <row r="601" customFormat="false" ht="15" hidden="false" customHeight="false" outlineLevel="0" collapsed="false">
      <c r="A601" s="71" t="n">
        <f aca="false">A600+$F$3</f>
        <v>11900</v>
      </c>
      <c r="B601" s="71" t="n">
        <f aca="false">SUMPRODUCT(固有振動数!$Q$6:$Q$22*(1-($A601/固有振動数!$O$6:$O$22)^2)/((1-($A601/固有振動数!$O$6:$O$22)^2)^2+固有振動数!$P$6:$P$22^2))</f>
        <v>13.3544924567775</v>
      </c>
      <c r="C601" s="71" t="n">
        <f aca="false">-SUMPRODUCT(固有振動数!$Q$6:$Q$22*固有振動数!$P$6:$P$22/((1-($A601/固有振動数!$O$6:$O$22)^2)^2+固有振動数!$P$6:$P$22^2))</f>
        <v>-1.59076400120674</v>
      </c>
      <c r="D601" s="71" t="n">
        <f aca="false">SQRT(B601^2+C601^2)</f>
        <v>13.4489032595845</v>
      </c>
      <c r="E601" s="72" t="n">
        <f aca="false">20*LOG10(MAX(D601,0.000000000001)/$K$3)</f>
        <v>22.5737373927445</v>
      </c>
      <c r="F601" s="5"/>
      <c r="G601" s="5"/>
      <c r="H601" s="5"/>
      <c r="I601" s="5"/>
      <c r="J601" s="5"/>
      <c r="K601" s="5"/>
      <c r="L601" s="5"/>
      <c r="M601" s="5"/>
      <c r="N601" s="5"/>
    </row>
    <row r="602" customFormat="false" ht="15" hidden="false" customHeight="false" outlineLevel="0" collapsed="false">
      <c r="A602" s="71" t="n">
        <f aca="false">A601+$F$3</f>
        <v>11920</v>
      </c>
      <c r="B602" s="71" t="n">
        <f aca="false">SUMPRODUCT(固有振動数!$Q$6:$Q$22*(1-($A602/固有振動数!$O$6:$O$22)^2)/((1-($A602/固有振動数!$O$6:$O$22)^2)^2+固有振動数!$P$6:$P$22^2))</f>
        <v>13.8346807695404</v>
      </c>
      <c r="C602" s="71" t="n">
        <f aca="false">-SUMPRODUCT(固有振動数!$Q$6:$Q$22*固有振動数!$P$6:$P$22/((1-($A602/固有振動数!$O$6:$O$22)^2)^2+固有振動数!$P$6:$P$22^2))</f>
        <v>-1.5773031389726</v>
      </c>
      <c r="D602" s="71" t="n">
        <f aca="false">SQRT(B602^2+C602^2)</f>
        <v>13.9243052676715</v>
      </c>
      <c r="E602" s="72" t="n">
        <f aca="false">20*LOG10(MAX(D602,0.000000000001)/$K$3)</f>
        <v>22.8754707182892</v>
      </c>
      <c r="F602" s="5"/>
      <c r="G602" s="5"/>
      <c r="H602" s="5"/>
      <c r="I602" s="5"/>
      <c r="J602" s="5"/>
      <c r="K602" s="5"/>
      <c r="L602" s="5"/>
      <c r="M602" s="5"/>
      <c r="N602" s="5"/>
    </row>
    <row r="603" customFormat="false" ht="15" hidden="false" customHeight="false" outlineLevel="0" collapsed="false">
      <c r="A603" s="71" t="n">
        <f aca="false">A602+$F$3</f>
        <v>11940</v>
      </c>
      <c r="B603" s="71" t="n">
        <f aca="false">SUMPRODUCT(固有振動数!$Q$6:$Q$22*(1-($A603/固有振動数!$O$6:$O$22)^2)/((1-($A603/固有振動数!$O$6:$O$22)^2)^2+固有振動数!$P$6:$P$22^2))</f>
        <v>14.3091346409377</v>
      </c>
      <c r="C603" s="71" t="n">
        <f aca="false">-SUMPRODUCT(固有振動数!$Q$6:$Q$22*固有振動数!$P$6:$P$22/((1-($A603/固有振動数!$O$6:$O$22)^2)^2+固有振動数!$P$6:$P$22^2))</f>
        <v>-1.56979848966387</v>
      </c>
      <c r="D603" s="71" t="n">
        <f aca="false">SQRT(B603^2+C603^2)</f>
        <v>14.3949852890037</v>
      </c>
      <c r="E603" s="72" t="n">
        <f aca="false">20*LOG10(MAX(D603,0.000000000001)/$K$3)</f>
        <v>23.1642245077169</v>
      </c>
      <c r="F603" s="5"/>
      <c r="G603" s="5"/>
      <c r="H603" s="5"/>
      <c r="I603" s="5"/>
      <c r="J603" s="5"/>
      <c r="K603" s="5"/>
      <c r="L603" s="5"/>
      <c r="M603" s="5"/>
      <c r="N603" s="5"/>
    </row>
    <row r="604" customFormat="false" ht="15" hidden="false" customHeight="false" outlineLevel="0" collapsed="false">
      <c r="A604" s="71" t="n">
        <f aca="false">A603+$F$3</f>
        <v>11960</v>
      </c>
      <c r="B604" s="71" t="n">
        <f aca="false">SUMPRODUCT(固有振動数!$Q$6:$Q$22*(1-($A604/固有振動数!$O$6:$O$22)^2)/((1-($A604/固有振動数!$O$6:$O$22)^2)^2+固有振動数!$P$6:$P$22^2))</f>
        <v>14.7797598781235</v>
      </c>
      <c r="C604" s="71" t="n">
        <f aca="false">-SUMPRODUCT(固有振動数!$Q$6:$Q$22*固有振動数!$P$6:$P$22/((1-($A604/固有振動数!$O$6:$O$22)^2)^2+固有振動数!$P$6:$P$22^2))</f>
        <v>-1.56804882382125</v>
      </c>
      <c r="D604" s="71" t="n">
        <f aca="false">SQRT(B604^2+C604^2)</f>
        <v>14.8627076661313</v>
      </c>
      <c r="E604" s="72" t="n">
        <f aca="false">20*LOG10(MAX(D604,0.000000000001)/$K$3)</f>
        <v>23.4419587151924</v>
      </c>
      <c r="F604" s="5"/>
      <c r="G604" s="5"/>
      <c r="H604" s="5"/>
      <c r="I604" s="5"/>
      <c r="J604" s="5"/>
      <c r="K604" s="5"/>
      <c r="L604" s="5"/>
      <c r="M604" s="5"/>
      <c r="N604" s="5"/>
    </row>
    <row r="605" customFormat="false" ht="15" hidden="false" customHeight="false" outlineLevel="0" collapsed="false">
      <c r="A605" s="71" t="n">
        <f aca="false">A604+$F$3</f>
        <v>11980</v>
      </c>
      <c r="B605" s="71" t="n">
        <f aca="false">SUMPRODUCT(固有振動数!$Q$6:$Q$22*(1-($A605/固有振動数!$O$6:$O$22)^2)/((1-($A605/固有振動数!$O$6:$O$22)^2)^2+固有振動数!$P$6:$P$22^2))</f>
        <v>15.2483978798098</v>
      </c>
      <c r="C605" s="71" t="n">
        <f aca="false">-SUMPRODUCT(固有振動数!$Q$6:$Q$22*固有振動数!$P$6:$P$22/((1-($A605/固有振動数!$O$6:$O$22)^2)^2+固有振動数!$P$6:$P$22^2))</f>
        <v>-1.57193864220191</v>
      </c>
      <c r="D605" s="71" t="n">
        <f aca="false">SQRT(B605^2+C605^2)</f>
        <v>15.3292083616812</v>
      </c>
      <c r="E605" s="72" t="n">
        <f aca="false">20*LOG10(MAX(D605,0.000000000001)/$K$3)</f>
        <v>23.7103945477974</v>
      </c>
      <c r="F605" s="5"/>
      <c r="G605" s="5"/>
      <c r="H605" s="5"/>
      <c r="I605" s="5"/>
      <c r="J605" s="5"/>
      <c r="K605" s="5"/>
      <c r="L605" s="5"/>
      <c r="M605" s="5"/>
      <c r="N605" s="5"/>
    </row>
    <row r="606" customFormat="false" ht="15" hidden="false" customHeight="false" outlineLevel="0" collapsed="false">
      <c r="A606" s="71" t="n">
        <f aca="false">A605+$F$3</f>
        <v>12000</v>
      </c>
      <c r="B606" s="71" t="n">
        <f aca="false">SUMPRODUCT(固有振動数!$Q$6:$Q$22*(1-($A606/固有振動数!$O$6:$O$22)^2)/((1-($A606/固有振動数!$O$6:$O$22)^2)^2+固有振動数!$P$6:$P$22^2))</f>
        <v>15.7168514746805</v>
      </c>
      <c r="C606" s="71" t="n">
        <f aca="false">-SUMPRODUCT(固有振動数!$Q$6:$Q$22*固有振動数!$P$6:$P$22/((1-($A606/固有振動数!$O$6:$O$22)^2)^2+固有振動数!$P$6:$P$22^2))</f>
        <v>-1.58143385139565</v>
      </c>
      <c r="D606" s="71" t="n">
        <f aca="false">SQRT(B606^2+C606^2)</f>
        <v>15.7962132583574</v>
      </c>
      <c r="E606" s="72" t="n">
        <f aca="false">20*LOG10(MAX(D606,0.000000000001)/$K$3)</f>
        <v>23.9710597668037</v>
      </c>
      <c r="F606" s="5"/>
      <c r="G606" s="5"/>
      <c r="H606" s="5"/>
      <c r="I606" s="5"/>
      <c r="J606" s="5"/>
      <c r="K606" s="5"/>
      <c r="L606" s="5"/>
      <c r="M606" s="5"/>
      <c r="N606" s="5"/>
    </row>
    <row r="607" customFormat="false" ht="15" hidden="false" customHeight="false" outlineLevel="0" collapsed="false">
      <c r="A607" s="71" t="n">
        <f aca="false">A606+$F$3</f>
        <v>12020</v>
      </c>
      <c r="B607" s="71" t="n">
        <f aca="false">SUMPRODUCT(固有振動数!$Q$6:$Q$22*(1-($A607/固有振動数!$O$6:$O$22)^2)/((1-($A607/固有振動数!$O$6:$O$22)^2)^2+固有振動数!$P$6:$P$22^2))</f>
        <v>16.1869095614866</v>
      </c>
      <c r="C607" s="71" t="n">
        <f aca="false">-SUMPRODUCT(固有振動数!$Q$6:$Q$22*固有振動数!$P$6:$P$22/((1-($A607/固有振動数!$O$6:$O$22)^2)^2+固有振動数!$P$6:$P$22^2))</f>
        <v>-1.5965799329682</v>
      </c>
      <c r="D607" s="71" t="n">
        <f aca="false">SQRT(B607^2+C607^2)</f>
        <v>16.2654575291968</v>
      </c>
      <c r="E607" s="72" t="n">
        <f aca="false">20*LOG10(MAX(D607,0.000000000001)/$K$3)</f>
        <v>24.2253256801912</v>
      </c>
      <c r="F607" s="5"/>
      <c r="G607" s="5"/>
      <c r="H607" s="5"/>
      <c r="I607" s="5"/>
      <c r="J607" s="5"/>
      <c r="K607" s="5"/>
      <c r="L607" s="5"/>
      <c r="M607" s="5"/>
      <c r="N607" s="5"/>
    </row>
    <row r="608" customFormat="false" ht="15" hidden="false" customHeight="false" outlineLevel="0" collapsed="false">
      <c r="A608" s="71" t="n">
        <f aca="false">A607+$F$3</f>
        <v>12040</v>
      </c>
      <c r="B608" s="71" t="n">
        <f aca="false">SUMPRODUCT(固有振動数!$Q$6:$Q$22*(1-($A608/固有振動数!$O$6:$O$22)^2)/((1-($A608/固有振動数!$O$6:$O$22)^2)^2+固有振動数!$P$6:$P$22^2))</f>
        <v>16.6603712445404</v>
      </c>
      <c r="C608" s="71" t="n">
        <f aca="false">-SUMPRODUCT(固有振動数!$Q$6:$Q$22*固有振動数!$P$6:$P$22/((1-($A608/固有振動数!$O$6:$O$22)^2)^2+固有振動数!$P$6:$P$22^2))</f>
        <v>-1.61750249047391</v>
      </c>
      <c r="D608" s="71" t="n">
        <f aca="false">SQRT(B608^2+C608^2)</f>
        <v>16.7387061720014</v>
      </c>
      <c r="E608" s="72" t="n">
        <f aca="false">20*LOG10(MAX(D608,0.000000000001)/$K$3)</f>
        <v>24.4744377182153</v>
      </c>
      <c r="F608" s="5"/>
      <c r="G608" s="5"/>
      <c r="H608" s="5"/>
      <c r="I608" s="5"/>
      <c r="J608" s="5"/>
      <c r="K608" s="5"/>
      <c r="L608" s="5"/>
      <c r="M608" s="5"/>
      <c r="N608" s="5"/>
    </row>
    <row r="609" customFormat="false" ht="15" hidden="false" customHeight="false" outlineLevel="0" collapsed="false">
      <c r="A609" s="71" t="n">
        <f aca="false">A608+$F$3</f>
        <v>12060</v>
      </c>
      <c r="B609" s="71" t="n">
        <f aca="false">SUMPRODUCT(固有振動数!$Q$6:$Q$22*(1-($A609/固有振動数!$O$6:$O$22)^2)/((1-($A609/固有振動数!$O$6:$O$22)^2)^2+固有振動数!$P$6:$P$22^2))</f>
        <v>17.1390701313369</v>
      </c>
      <c r="C609" s="71" t="n">
        <f aca="false">-SUMPRODUCT(固有振動数!$Q$6:$Q$22*固有振動数!$P$6:$P$22/((1-($A609/固有振動数!$O$6:$O$22)^2)^2+固有振動数!$P$6:$P$22^2))</f>
        <v>-1.6444101804033</v>
      </c>
      <c r="D609" s="71" t="n">
        <f aca="false">SQRT(B609^2+C609^2)</f>
        <v>17.2177759832186</v>
      </c>
      <c r="E609" s="72" t="n">
        <f aca="false">20*LOG10(MAX(D609,0.000000000001)/$K$3)</f>
        <v>24.7195410601294</v>
      </c>
      <c r="F609" s="5"/>
      <c r="G609" s="5"/>
      <c r="H609" s="5"/>
      <c r="I609" s="5"/>
      <c r="J609" s="5"/>
      <c r="K609" s="5"/>
      <c r="L609" s="5"/>
      <c r="M609" s="5"/>
      <c r="N609" s="5"/>
    </row>
    <row r="610" customFormat="false" ht="15" hidden="false" customHeight="false" outlineLevel="0" collapsed="false">
      <c r="A610" s="71" t="n">
        <f aca="false">A609+$F$3</f>
        <v>12080</v>
      </c>
      <c r="B610" s="71" t="n">
        <f aca="false">SUMPRODUCT(固有振動数!$Q$6:$Q$22*(1-($A610/固有振動数!$O$6:$O$22)^2)/((1-($A610/固有振動数!$O$6:$O$22)^2)^2+固有振動数!$P$6:$P$22^2))</f>
        <v>17.6248994625105</v>
      </c>
      <c r="C610" s="71" t="n">
        <f aca="false">-SUMPRODUCT(固有振動数!$Q$6:$Q$22*固有振動数!$P$6:$P$22/((1-($A610/固有振動数!$O$6:$O$22)^2)^2+固有振動数!$P$6:$P$22^2))</f>
        <v>-1.67760015424426</v>
      </c>
      <c r="D610" s="71" t="n">
        <f aca="false">SQRT(B610^2+C610^2)</f>
        <v>17.7045593941539</v>
      </c>
      <c r="E610" s="72" t="n">
        <f aca="false">20*LOG10(MAX(D610,0.000000000001)/$K$3)</f>
        <v>24.961702462528</v>
      </c>
      <c r="F610" s="5"/>
      <c r="G610" s="5"/>
      <c r="H610" s="5"/>
      <c r="I610" s="5"/>
      <c r="J610" s="5"/>
      <c r="K610" s="5"/>
      <c r="L610" s="5"/>
      <c r="M610" s="5"/>
      <c r="N610" s="5"/>
    </row>
    <row r="611" customFormat="false" ht="15" hidden="false" customHeight="false" outlineLevel="0" collapsed="false">
      <c r="A611" s="71" t="n">
        <f aca="false">A610+$F$3</f>
        <v>12100</v>
      </c>
      <c r="B611" s="71" t="n">
        <f aca="false">SUMPRODUCT(固有振動数!$Q$6:$Q$22*(1-($A611/固有振動数!$O$6:$O$22)^2)/((1-($A611/固有振動数!$O$6:$O$22)^2)^2+固有振動数!$P$6:$P$22^2))</f>
        <v>18.1198387782608</v>
      </c>
      <c r="C611" s="71" t="n">
        <f aca="false">-SUMPRODUCT(固有振動数!$Q$6:$Q$22*固有振動数!$P$6:$P$22/((1-($A611/固有振動数!$O$6:$O$22)^2)^2+固有振動数!$P$6:$P$22^2))</f>
        <v>-1.71746626870635</v>
      </c>
      <c r="D611" s="71" t="n">
        <f aca="false">SQRT(B611^2+C611^2)</f>
        <v>18.2010507316008</v>
      </c>
      <c r="E611" s="72" t="n">
        <f aca="false">20*LOG10(MAX(D611,0.000000000001)/$K$3)</f>
        <v>25.2019292033985</v>
      </c>
      <c r="F611" s="5"/>
      <c r="G611" s="5"/>
      <c r="H611" s="5"/>
      <c r="I611" s="5"/>
      <c r="J611" s="5"/>
      <c r="K611" s="5"/>
      <c r="L611" s="5"/>
      <c r="M611" s="5"/>
      <c r="N611" s="5"/>
    </row>
    <row r="612" customFormat="false" ht="15" hidden="false" customHeight="false" outlineLevel="0" collapsed="false">
      <c r="A612" s="71" t="n">
        <f aca="false">A611+$F$3</f>
        <v>12120</v>
      </c>
      <c r="B612" s="71" t="n">
        <f aca="false">SUMPRODUCT(固有振動数!$Q$6:$Q$22*(1-($A612/固有振動数!$O$6:$O$22)^2)/((1-($A612/固有振動数!$O$6:$O$22)^2)^2+固有振動数!$P$6:$P$22^2))</f>
        <v>18.6259828917316</v>
      </c>
      <c r="C612" s="71" t="n">
        <f aca="false">-SUMPRODUCT(固有振動数!$Q$6:$Q$22*固有振動数!$P$6:$P$22/((1-($A612/固有振動数!$O$6:$O$22)^2)^2+固有振動数!$P$6:$P$22^2))</f>
        <v>-1.76451047002749</v>
      </c>
      <c r="D612" s="71" t="n">
        <f aca="false">SQRT(B612^2+C612^2)</f>
        <v>18.7093756144323</v>
      </c>
      <c r="E612" s="72" t="n">
        <f aca="false">20*LOG10(MAX(D612,0.000000000001)/$K$3)</f>
        <v>25.4411858817678</v>
      </c>
      <c r="F612" s="5"/>
      <c r="G612" s="5"/>
      <c r="H612" s="5"/>
      <c r="I612" s="5"/>
      <c r="J612" s="5"/>
      <c r="K612" s="5"/>
      <c r="L612" s="5"/>
      <c r="M612" s="5"/>
      <c r="N612" s="5"/>
    </row>
    <row r="613" customFormat="false" ht="15" hidden="false" customHeight="false" outlineLevel="0" collapsed="false">
      <c r="A613" s="71" t="n">
        <f aca="false">A612+$F$3</f>
        <v>12140</v>
      </c>
      <c r="B613" s="71" t="n">
        <f aca="false">SUMPRODUCT(固有振動数!$Q$6:$Q$22*(1-($A613/固有振動数!$O$6:$O$22)^2)/((1-($A613/固有振動数!$O$6:$O$22)^2)^2+固有振動数!$P$6:$P$22^2))</f>
        <v>19.1455740426989</v>
      </c>
      <c r="C613" s="71" t="n">
        <f aca="false">-SUMPRODUCT(固有振動数!$Q$6:$Q$22*固有振動数!$P$6:$P$22/((1-($A613/固有振動数!$O$6:$O$22)^2)^2+固有振動数!$P$6:$P$22^2))</f>
        <v>-1.81935793840781</v>
      </c>
      <c r="D613" s="71" t="n">
        <f aca="false">SQRT(B613^2+C613^2)</f>
        <v>19.2318243734835</v>
      </c>
      <c r="E613" s="72" t="n">
        <f aca="false">20*LOG10(MAX(D613,0.000000000001)/$K$3)</f>
        <v>25.6804096865951</v>
      </c>
      <c r="F613" s="5"/>
      <c r="G613" s="5"/>
      <c r="H613" s="5"/>
      <c r="I613" s="5"/>
      <c r="J613" s="5"/>
      <c r="K613" s="5"/>
      <c r="L613" s="5"/>
      <c r="M613" s="5"/>
      <c r="N613" s="5"/>
    </row>
    <row r="614" customFormat="false" ht="15" hidden="false" customHeight="false" outlineLevel="0" collapsed="false">
      <c r="A614" s="71" t="n">
        <f aca="false">A613+$F$3</f>
        <v>12160</v>
      </c>
      <c r="B614" s="71" t="n">
        <f aca="false">SUMPRODUCT(固有振動数!$Q$6:$Q$22*(1-($A614/固有振動数!$O$6:$O$22)^2)/((1-($A614/固有振動数!$O$6:$O$22)^2)^2+固有振動数!$P$6:$P$22^2))</f>
        <v>19.6810382508746</v>
      </c>
      <c r="C614" s="71" t="n">
        <f aca="false">-SUMPRODUCT(固有振動数!$Q$6:$Q$22*固有振動数!$P$6:$P$22/((1-($A614/固有振動数!$O$6:$O$22)^2)^2+固有振動数!$P$6:$P$22^2))</f>
        <v>-1.88277680570346</v>
      </c>
      <c r="D614" s="71" t="n">
        <f aca="false">SQRT(B614^2+C614^2)</f>
        <v>19.7708906003873</v>
      </c>
      <c r="E614" s="72" t="n">
        <f aca="false">20*LOG10(MAX(D614,0.000000000001)/$K$3)</f>
        <v>25.920524660044</v>
      </c>
      <c r="F614" s="5"/>
      <c r="G614" s="5"/>
      <c r="H614" s="5"/>
      <c r="I614" s="5"/>
      <c r="J614" s="5"/>
      <c r="K614" s="5"/>
      <c r="L614" s="5"/>
      <c r="M614" s="5"/>
      <c r="N614" s="5"/>
    </row>
    <row r="615" customFormat="false" ht="15" hidden="false" customHeight="false" outlineLevel="0" collapsed="false">
      <c r="A615" s="71" t="n">
        <f aca="false">A614+$F$3</f>
        <v>12180</v>
      </c>
      <c r="B615" s="71" t="n">
        <f aca="false">SUMPRODUCT(固有振動数!$Q$6:$Q$22*(1-($A615/固有振動数!$O$6:$O$22)^2)/((1-($A615/固有振動数!$O$6:$O$22)^2)^2+固有振動数!$P$6:$P$22^2))</f>
        <v>20.2350270866582</v>
      </c>
      <c r="C615" s="71" t="n">
        <f aca="false">-SUMPRODUCT(固有振動数!$Q$6:$Q$22*固有振動数!$P$6:$P$22/((1-($A615/固有振動数!$O$6:$O$22)^2)^2+固有振動数!$P$6:$P$22^2))</f>
        <v>-1.95570355466708</v>
      </c>
      <c r="D615" s="71" t="n">
        <f aca="false">SQRT(B615^2+C615^2)</f>
        <v>20.3293162106237</v>
      </c>
      <c r="E615" s="72" t="n">
        <f aca="false">20*LOG10(MAX(D615,0.000000000001)/$K$3)</f>
        <v>26.1624554222963</v>
      </c>
      <c r="F615" s="5"/>
      <c r="G615" s="5"/>
      <c r="H615" s="5"/>
      <c r="I615" s="5"/>
      <c r="J615" s="5"/>
      <c r="K615" s="5"/>
      <c r="L615" s="5"/>
      <c r="M615" s="5"/>
      <c r="N615" s="5"/>
    </row>
    <row r="616" customFormat="false" ht="15" hidden="false" customHeight="false" outlineLevel="0" collapsed="false">
      <c r="A616" s="71" t="n">
        <f aca="false">A615+$F$3</f>
        <v>12200</v>
      </c>
      <c r="B616" s="71" t="n">
        <f aca="false">SUMPRODUCT(固有振動数!$Q$6:$Q$22*(1-($A616/固有振動数!$O$6:$O$22)^2)/((1-($A616/固有振動数!$O$6:$O$22)^2)^2+固有振動数!$P$6:$P$22^2))</f>
        <v>20.8104663414783</v>
      </c>
      <c r="C616" s="71" t="n">
        <f aca="false">-SUMPRODUCT(固有振動数!$Q$6:$Q$22*固有振動数!$P$6:$P$22/((1-($A616/固有振動数!$O$6:$O$22)^2)^2+固有振動数!$P$6:$P$22^2))</f>
        <v>-2.03927560053146</v>
      </c>
      <c r="D616" s="71" t="n">
        <f aca="false">SQRT(B616^2+C616^2)</f>
        <v>20.9101447705348</v>
      </c>
      <c r="E616" s="72" t="n">
        <f aca="false">20*LOG10(MAX(D616,0.000000000001)/$K$3)</f>
        <v>26.4071407929644</v>
      </c>
      <c r="F616" s="5"/>
      <c r="G616" s="5"/>
      <c r="H616" s="5"/>
      <c r="I616" s="5"/>
      <c r="J616" s="5"/>
      <c r="K616" s="5"/>
      <c r="L616" s="5"/>
      <c r="M616" s="5"/>
      <c r="N616" s="5"/>
    </row>
    <row r="617" customFormat="false" ht="15" hidden="false" customHeight="false" outlineLevel="0" collapsed="false">
      <c r="A617" s="71" t="n">
        <f aca="false">A616+$F$3</f>
        <v>12220</v>
      </c>
      <c r="B617" s="71" t="n">
        <f aca="false">SUMPRODUCT(固有振動数!$Q$6:$Q$22*(1-($A617/固有振動数!$O$6:$O$22)^2)/((1-($A617/固有振動数!$O$6:$O$22)^2)^2+固有振動数!$P$6:$P$22^2))</f>
        <v>21.4106134278367</v>
      </c>
      <c r="C617" s="71" t="n">
        <f aca="false">-SUMPRODUCT(固有振動数!$Q$6:$Q$22*固有振動数!$P$6:$P$22/((1-($A617/固有振動数!$O$6:$O$22)^2)^2+固有振動数!$P$6:$P$22^2))</f>
        <v>-2.13487308720154</v>
      </c>
      <c r="D617" s="71" t="n">
        <f aca="false">SQRT(B617^2+C617^2)</f>
        <v>21.5167853187858</v>
      </c>
      <c r="E617" s="72" t="n">
        <f aca="false">20*LOG10(MAX(D617,0.000000000001)/$K$3)</f>
        <v>26.6555477352405</v>
      </c>
      <c r="F617" s="5"/>
      <c r="G617" s="5"/>
      <c r="H617" s="5"/>
      <c r="I617" s="5"/>
      <c r="J617" s="5"/>
      <c r="K617" s="5"/>
      <c r="L617" s="5"/>
      <c r="M617" s="5"/>
      <c r="N617" s="5"/>
    </row>
    <row r="618" customFormat="false" ht="15" hidden="false" customHeight="false" outlineLevel="0" collapsed="false">
      <c r="A618" s="71" t="n">
        <f aca="false">A617+$F$3</f>
        <v>12240</v>
      </c>
      <c r="B618" s="71" t="n">
        <f aca="false">SUMPRODUCT(固有振動数!$Q$6:$Q$22*(1-($A618/固有振動数!$O$6:$O$22)^2)/((1-($A618/固有振動数!$O$6:$O$22)^2)^2+固有振動数!$P$6:$P$22^2))</f>
        <v>22.0391257947254</v>
      </c>
      <c r="C618" s="71" t="n">
        <f aca="false">-SUMPRODUCT(固有振動数!$Q$6:$Q$22*固有振動数!$P$6:$P$22/((1-($A618/固有振動数!$O$6:$O$22)^2)^2+固有振動数!$P$6:$P$22^2))</f>
        <v>-2.24417266090462</v>
      </c>
      <c r="D618" s="71" t="n">
        <f aca="false">SQRT(B618^2+C618^2)</f>
        <v>22.1530895526489</v>
      </c>
      <c r="E618" s="72" t="n">
        <f aca="false">20*LOG10(MAX(D618,0.000000000001)/$K$3)</f>
        <v>26.9086860622861</v>
      </c>
      <c r="F618" s="5"/>
      <c r="G618" s="5"/>
      <c r="H618" s="5"/>
      <c r="I618" s="5"/>
      <c r="J618" s="5"/>
      <c r="K618" s="5"/>
      <c r="L618" s="5"/>
      <c r="M618" s="5"/>
      <c r="N618" s="5"/>
    </row>
    <row r="619" customFormat="false" ht="15" hidden="false" customHeight="false" outlineLevel="0" collapsed="false">
      <c r="A619" s="71" t="n">
        <f aca="false">A618+$F$3</f>
        <v>12260</v>
      </c>
      <c r="B619" s="71" t="n">
        <f aca="false">SUMPRODUCT(固有振動数!$Q$6:$Q$22*(1-($A619/固有振動数!$O$6:$O$22)^2)/((1-($A619/固有振動数!$O$6:$O$22)^2)^2+固有振動数!$P$6:$P$22^2))</f>
        <v>22.7001432387311</v>
      </c>
      <c r="C619" s="71" t="n">
        <f aca="false">-SUMPRODUCT(固有振動数!$Q$6:$Q$22*固有振動数!$P$6:$P$22/((1-($A619/固有振動数!$O$6:$O$22)^2)^2+固有振動数!$P$6:$P$22^2))</f>
        <v>-2.36921700216885</v>
      </c>
      <c r="D619" s="71" t="n">
        <f aca="false">SQRT(B619^2+C619^2)</f>
        <v>22.8234461083832</v>
      </c>
      <c r="E619" s="72" t="n">
        <f aca="false">20*LOG10(MAX(D619,0.000000000001)/$K$3)</f>
        <v>27.1676243817154</v>
      </c>
      <c r="F619" s="5"/>
      <c r="G619" s="5"/>
      <c r="H619" s="5"/>
      <c r="I619" s="5"/>
      <c r="J619" s="5"/>
      <c r="K619" s="5"/>
      <c r="L619" s="5"/>
      <c r="M619" s="5"/>
      <c r="N619" s="5"/>
    </row>
    <row r="620" customFormat="false" ht="15" hidden="false" customHeight="false" outlineLevel="0" collapsed="false">
      <c r="A620" s="71" t="n">
        <f aca="false">A619+$F$3</f>
        <v>12280</v>
      </c>
      <c r="B620" s="71" t="n">
        <f aca="false">SUMPRODUCT(固有振動数!$Q$6:$Q$22*(1-($A620/固有振動数!$O$6:$O$22)^2)/((1-($A620/固有振動数!$O$6:$O$22)^2)^2+固有振動数!$P$6:$P$22^2))</f>
        <v>23.3983877658208</v>
      </c>
      <c r="C620" s="71" t="n">
        <f aca="false">-SUMPRODUCT(固有振動数!$Q$6:$Q$22*固有振動数!$P$6:$P$22/((1-($A620/固有振動数!$O$6:$O$22)^2)^2+固有振動数!$P$6:$P$22^2))</f>
        <v>-2.51250533396857</v>
      </c>
      <c r="D620" s="71" t="n">
        <f aca="false">SQRT(B620^2+C620^2)</f>
        <v>23.5328968274824</v>
      </c>
      <c r="E620" s="72" t="n">
        <f aca="false">20*LOG10(MAX(D620,0.000000000001)/$K$3)</f>
        <v>27.4335078157302</v>
      </c>
      <c r="F620" s="5"/>
      <c r="G620" s="5"/>
      <c r="H620" s="5"/>
      <c r="I620" s="5"/>
      <c r="J620" s="5"/>
      <c r="K620" s="5"/>
      <c r="L620" s="5"/>
      <c r="M620" s="5"/>
      <c r="N620" s="5"/>
    </row>
    <row r="621" customFormat="false" ht="15" hidden="false" customHeight="false" outlineLevel="0" collapsed="false">
      <c r="A621" s="71" t="n">
        <f aca="false">A620+$F$3</f>
        <v>12300</v>
      </c>
      <c r="B621" s="71" t="n">
        <f aca="false">SUMPRODUCT(固有振動数!$Q$6:$Q$22*(1-($A621/固有振動数!$O$6:$O$22)^2)/((1-($A621/固有振動数!$O$6:$O$22)^2)^2+固有振動数!$P$6:$P$22^2))</f>
        <v>24.1392856654619</v>
      </c>
      <c r="C621" s="71" t="n">
        <f aca="false">-SUMPRODUCT(固有振動数!$Q$6:$Q$22*固有振動数!$P$6:$P$22/((1-($A621/固有振動数!$O$6:$O$22)^2)^2+固有振動数!$P$6:$P$22^2))</f>
        <v>-2.67711217833086</v>
      </c>
      <c r="D621" s="71" t="n">
        <f aca="false">SQRT(B621^2+C621^2)</f>
        <v>24.2872814875222</v>
      </c>
      <c r="E621" s="72" t="n">
        <f aca="false">20*LOG10(MAX(D621,0.000000000001)/$K$3)</f>
        <v>27.7075781256285</v>
      </c>
      <c r="F621" s="5"/>
      <c r="G621" s="5"/>
      <c r="H621" s="5"/>
      <c r="I621" s="5"/>
      <c r="J621" s="5"/>
      <c r="K621" s="5"/>
      <c r="L621" s="5"/>
      <c r="M621" s="5"/>
      <c r="N621" s="5"/>
    </row>
    <row r="622" customFormat="false" ht="15" hidden="false" customHeight="false" outlineLevel="0" collapsed="false">
      <c r="A622" s="71" t="n">
        <f aca="false">A621+$F$3</f>
        <v>12320</v>
      </c>
      <c r="B622" s="71" t="n">
        <f aca="false">SUMPRODUCT(固有振動数!$Q$6:$Q$22*(1-($A622/固有振動数!$O$6:$O$22)^2)/((1-($A622/固有振動数!$O$6:$O$22)^2)^2+固有振動数!$P$6:$P$22^2))</f>
        <v>24.9291177607584</v>
      </c>
      <c r="C622" s="71" t="n">
        <f aca="false">-SUMPRODUCT(固有振動数!$Q$6:$Q$22*固有振動数!$P$6:$P$22/((1-($A622/固有振動数!$O$6:$O$22)^2)^2+固有振動数!$P$6:$P$22^2))</f>
        <v>-2.86684460958463</v>
      </c>
      <c r="D622" s="71" t="n">
        <f aca="false">SQRT(B622^2+C622^2)</f>
        <v>25.0934196622394</v>
      </c>
      <c r="E622" s="72" t="n">
        <f aca="false">20*LOG10(MAX(D622,0.000000000001)/$K$3)</f>
        <v>27.9911969961133</v>
      </c>
      <c r="F622" s="5"/>
      <c r="G622" s="5"/>
      <c r="H622" s="5"/>
      <c r="I622" s="5"/>
      <c r="J622" s="5"/>
      <c r="K622" s="5"/>
      <c r="L622" s="5"/>
      <c r="M622" s="5"/>
      <c r="N622" s="5"/>
    </row>
    <row r="623" customFormat="false" ht="15" hidden="false" customHeight="false" outlineLevel="0" collapsed="false">
      <c r="A623" s="71" t="n">
        <f aca="false">A622+$F$3</f>
        <v>12340</v>
      </c>
      <c r="B623" s="71" t="n">
        <f aca="false">SUMPRODUCT(固有振動数!$Q$6:$Q$22*(1-($A623/固有振動数!$O$6:$O$22)^2)/((1-($A623/固有振動数!$O$6:$O$22)^2)^2+固有振動数!$P$6:$P$22^2))</f>
        <v>25.7752054673348</v>
      </c>
      <c r="C623" s="71" t="n">
        <f aca="false">-SUMPRODUCT(固有振動数!$Q$6:$Q$22*固有振動数!$P$6:$P$22/((1-($A623/固有振動数!$O$6:$O$22)^2)^2+固有振動数!$P$6:$P$22^2))</f>
        <v>-3.08645262180258</v>
      </c>
      <c r="D623" s="71" t="n">
        <f aca="false">SQRT(B623^2+C623^2)</f>
        <v>25.9593414144111</v>
      </c>
      <c r="E623" s="72" t="n">
        <f aca="false">20*LOG10(MAX(D623,0.000000000001)/$K$3)</f>
        <v>28.285873405313</v>
      </c>
      <c r="F623" s="5"/>
      <c r="G623" s="5"/>
      <c r="H623" s="5"/>
      <c r="I623" s="5"/>
      <c r="J623" s="5"/>
      <c r="K623" s="5"/>
      <c r="L623" s="5"/>
      <c r="M623" s="5"/>
      <c r="N623" s="5"/>
    </row>
    <row r="624" customFormat="false" ht="15" hidden="false" customHeight="false" outlineLevel="0" collapsed="false">
      <c r="A624" s="71" t="n">
        <f aca="false">A623+$F$3</f>
        <v>12360</v>
      </c>
      <c r="B624" s="71" t="n">
        <f aca="false">SUMPRODUCT(固有振動数!$Q$6:$Q$22*(1-($A624/固有振動数!$O$6:$O$22)^2)/((1-($A624/固有振動数!$O$6:$O$22)^2)^2+固有振動数!$P$6:$P$22^2))</f>
        <v>26.6861423974495</v>
      </c>
      <c r="C624" s="71" t="n">
        <f aca="false">-SUMPRODUCT(固有振動数!$Q$6:$Q$22*固有振動数!$P$6:$P$22/((1-($A624/固有振動数!$O$6:$O$22)^2)^2+固有振動数!$P$6:$P$22^2))</f>
        <v>-3.34191373500437</v>
      </c>
      <c r="D624" s="71" t="n">
        <f aca="false">SQRT(B624^2+C624^2)</f>
        <v>26.8945827903904</v>
      </c>
      <c r="E624" s="72" t="n">
        <f aca="false">20*LOG10(MAX(D624,0.000000000001)/$K$3)</f>
        <v>28.5932962311514</v>
      </c>
      <c r="F624" s="5"/>
      <c r="G624" s="5"/>
      <c r="H624" s="5"/>
      <c r="I624" s="5"/>
      <c r="J624" s="5"/>
      <c r="K624" s="5"/>
      <c r="L624" s="5"/>
      <c r="M624" s="5"/>
      <c r="N624" s="5"/>
    </row>
    <row r="625" customFormat="false" ht="15" hidden="false" customHeight="false" outlineLevel="0" collapsed="false">
      <c r="A625" s="71" t="n">
        <f aca="false">A624+$F$3</f>
        <v>12380</v>
      </c>
      <c r="B625" s="71" t="n">
        <f aca="false">SUMPRODUCT(固有振動数!$Q$6:$Q$22*(1-($A625/固有振動数!$O$6:$O$22)^2)/((1-($A625/固有振動数!$O$6:$O$22)^2)^2+固有振動数!$P$6:$P$22^2))</f>
        <v>27.6720838143316</v>
      </c>
      <c r="C625" s="71" t="n">
        <f aca="false">-SUMPRODUCT(固有振動数!$Q$6:$Q$22*固有振動数!$P$6:$P$22/((1-($A625/固有振動数!$O$6:$O$22)^2)^2+固有振動数!$P$6:$P$22^2))</f>
        <v>-3.64082280086605</v>
      </c>
      <c r="D625" s="71" t="n">
        <f aca="false">SQRT(B625^2+C625^2)</f>
        <v>27.9105681291997</v>
      </c>
      <c r="E625" s="72" t="n">
        <f aca="false">20*LOG10(MAX(D625,0.000000000001)/$K$3)</f>
        <v>28.9153735358387</v>
      </c>
      <c r="F625" s="5"/>
      <c r="G625" s="5"/>
      <c r="H625" s="5"/>
      <c r="I625" s="5"/>
      <c r="J625" s="5"/>
      <c r="K625" s="5"/>
      <c r="L625" s="5"/>
      <c r="M625" s="5"/>
      <c r="N625" s="5"/>
    </row>
    <row r="626" customFormat="false" ht="15" hidden="false" customHeight="false" outlineLevel="0" collapsed="false">
      <c r="A626" s="71" t="n">
        <f aca="false">A625+$F$3</f>
        <v>12400</v>
      </c>
      <c r="B626" s="71" t="n">
        <f aca="false">SUMPRODUCT(固有振動数!$Q$6:$Q$22*(1-($A626/固有振動数!$O$6:$O$22)^2)/((1-($A626/固有振動数!$O$6:$O$22)^2)^2+固有振動数!$P$6:$P$22^2))</f>
        <v>28.745109184837</v>
      </c>
      <c r="C626" s="71" t="n">
        <f aca="false">-SUMPRODUCT(固有振動数!$Q$6:$Q$22*固有振動数!$P$6:$P$22/((1-($A626/固有振動数!$O$6:$O$22)^2)^2+固有振動数!$P$6:$P$22^2))</f>
        <v>-3.99293307271307</v>
      </c>
      <c r="D626" s="71" t="n">
        <f aca="false">SQRT(B626^2+C626^2)</f>
        <v>29.0211098438941</v>
      </c>
      <c r="E626" s="72" t="n">
        <f aca="false">20*LOG10(MAX(D626,0.000000000001)/$K$3)</f>
        <v>29.2542803397479</v>
      </c>
      <c r="F626" s="5"/>
      <c r="G626" s="5"/>
      <c r="H626" s="5"/>
      <c r="I626" s="5"/>
      <c r="J626" s="5"/>
      <c r="K626" s="5"/>
      <c r="L626" s="5"/>
      <c r="M626" s="5"/>
      <c r="N626" s="5"/>
    </row>
    <row r="627" customFormat="false" ht="15" hidden="false" customHeight="false" outlineLevel="0" collapsed="false">
      <c r="A627" s="71" t="n">
        <f aca="false">A626+$F$3</f>
        <v>12420</v>
      </c>
      <c r="B627" s="71" t="n">
        <f aca="false">SUMPRODUCT(固有振動数!$Q$6:$Q$22*(1-($A627/固有振動数!$O$6:$O$22)^2)/((1-($A627/固有振動数!$O$6:$O$22)^2)^2+固有振動数!$P$6:$P$22^2))</f>
        <v>29.9196759922184</v>
      </c>
      <c r="C627" s="71" t="n">
        <f aca="false">-SUMPRODUCT(固有振動数!$Q$6:$Q$22*固有振動数!$P$6:$P$22/((1-($A627/固有振動数!$O$6:$O$22)^2)^2+固有振動数!$P$6:$P$22^2))</f>
        <v>-4.41091818334447</v>
      </c>
      <c r="D627" s="71" t="n">
        <f aca="false">SQRT(B627^2+C627^2)</f>
        <v>30.2430688042647</v>
      </c>
      <c r="E627" s="72" t="n">
        <f aca="false">20*LOG10(MAX(D627,0.000000000001)/$K$3)</f>
        <v>29.6125171500339</v>
      </c>
      <c r="F627" s="5"/>
      <c r="G627" s="5"/>
      <c r="H627" s="5"/>
      <c r="I627" s="5"/>
      <c r="J627" s="5"/>
      <c r="K627" s="5"/>
      <c r="L627" s="5"/>
      <c r="M627" s="5"/>
      <c r="N627" s="5"/>
    </row>
    <row r="628" customFormat="false" ht="15" hidden="false" customHeight="false" outlineLevel="0" collapsed="false">
      <c r="A628" s="71" t="n">
        <f aca="false">A627+$F$3</f>
        <v>12440</v>
      </c>
      <c r="B628" s="71" t="n">
        <f aca="false">SUMPRODUCT(固有振動数!$Q$6:$Q$22*(1-($A628/固有振動数!$O$6:$O$22)^2)/((1-($A628/固有振動数!$O$6:$O$22)^2)^2+固有振動数!$P$6:$P$22^2))</f>
        <v>31.2131846919735</v>
      </c>
      <c r="C628" s="71" t="n">
        <f aca="false">-SUMPRODUCT(固有振動数!$Q$6:$Q$22*固有振動数!$P$6:$P$22/((1-($A628/固有振動数!$O$6:$O$22)^2)^2+固有振動数!$P$6:$P$22^2))</f>
        <v>-4.91146212117426</v>
      </c>
      <c r="D628" s="71" t="n">
        <f aca="false">SQRT(B628^2+C628^2)</f>
        <v>31.5972365687726</v>
      </c>
      <c r="E628" s="72" t="n">
        <f aca="false">20*LOG10(MAX(D628,0.000000000001)/$K$3)</f>
        <v>29.9929820350183</v>
      </c>
      <c r="F628" s="5"/>
      <c r="G628" s="5"/>
      <c r="H628" s="5"/>
      <c r="I628" s="5"/>
      <c r="J628" s="5"/>
      <c r="K628" s="5"/>
      <c r="L628" s="5"/>
      <c r="M628" s="5"/>
      <c r="N628" s="5"/>
    </row>
    <row r="629" customFormat="false" ht="15" hidden="false" customHeight="false" outlineLevel="0" collapsed="false">
      <c r="A629" s="71" t="n">
        <f aca="false">A628+$F$3</f>
        <v>12460</v>
      </c>
      <c r="B629" s="71" t="n">
        <f aca="false">SUMPRODUCT(固有振動数!$Q$6:$Q$22*(1-($A629/固有振動数!$O$6:$O$22)^2)/((1-($A629/固有振動数!$O$6:$O$22)^2)^2+固有振動数!$P$6:$P$22^2))</f>
        <v>32.6466722786384</v>
      </c>
      <c r="C629" s="71" t="n">
        <f aca="false">-SUMPRODUCT(固有振動数!$Q$6:$Q$22*固有振動数!$P$6:$P$22/((1-($A629/固有振動数!$O$6:$O$22)^2)^2+固有振動数!$P$6:$P$22^2))</f>
        <v>-5.51684482892779</v>
      </c>
      <c r="D629" s="71" t="n">
        <f aca="false">SQRT(B629^2+C629^2)</f>
        <v>33.1095271445438</v>
      </c>
      <c r="E629" s="72" t="n">
        <f aca="false">20*LOG10(MAX(D629,0.000000000001)/$K$3)</f>
        <v>30.3990595679367</v>
      </c>
      <c r="F629" s="5"/>
      <c r="G629" s="5"/>
      <c r="H629" s="5"/>
      <c r="I629" s="5"/>
      <c r="J629" s="5"/>
      <c r="K629" s="5"/>
      <c r="L629" s="5"/>
      <c r="M629" s="5"/>
      <c r="N629" s="5"/>
    </row>
    <row r="630" customFormat="false" ht="15" hidden="false" customHeight="false" outlineLevel="0" collapsed="false">
      <c r="A630" s="71" t="n">
        <f aca="false">A629+$F$3</f>
        <v>12480</v>
      </c>
      <c r="B630" s="71" t="n">
        <f aca="false">SUMPRODUCT(固有振動数!$Q$6:$Q$22*(1-($A630/固有振動数!$O$6:$O$22)^2)/((1-($A630/固有振動数!$O$6:$O$22)^2)^2+固有振動数!$P$6:$P$22^2))</f>
        <v>34.2456382949144</v>
      </c>
      <c r="C630" s="71" t="n">
        <f aca="false">-SUMPRODUCT(固有振動数!$Q$6:$Q$22*固有振動数!$P$6:$P$22/((1-($A630/固有振動数!$O$6:$O$22)^2)^2+固有振動数!$P$6:$P$22^2))</f>
        <v>-6.25729066005145</v>
      </c>
      <c r="D630" s="71" t="n">
        <f aca="false">SQRT(B630^2+C630^2)</f>
        <v>34.8126044505503</v>
      </c>
      <c r="E630" s="72" t="n">
        <f aca="false">20*LOG10(MAX(D630,0.000000000001)/$K$3)</f>
        <v>30.834730311242</v>
      </c>
      <c r="F630" s="5"/>
      <c r="G630" s="5"/>
      <c r="H630" s="5"/>
      <c r="I630" s="5"/>
      <c r="J630" s="5"/>
      <c r="K630" s="5"/>
      <c r="L630" s="5"/>
      <c r="M630" s="5"/>
      <c r="N630" s="5"/>
    </row>
    <row r="631" customFormat="false" ht="15" hidden="false" customHeight="false" outlineLevel="0" collapsed="false">
      <c r="A631" s="71" t="n">
        <f aca="false">A630+$F$3</f>
        <v>12500</v>
      </c>
      <c r="B631" s="71" t="n">
        <f aca="false">SUMPRODUCT(固有振動数!$Q$6:$Q$22*(1-($A631/固有振動数!$O$6:$O$22)^2)/((1-($A631/固有振動数!$O$6:$O$22)^2)^2+固有振動数!$P$6:$P$22^2))</f>
        <v>36.0409654968153</v>
      </c>
      <c r="C631" s="71" t="n">
        <f aca="false">-SUMPRODUCT(固有振動数!$Q$6:$Q$22*固有振動数!$P$6:$P$22/((1-($A631/固有振動数!$O$6:$O$22)^2)^2+固有振動数!$P$6:$P$22^2))</f>
        <v>-7.17451366935693</v>
      </c>
      <c r="D631" s="71" t="n">
        <f aca="false">SQRT(B631^2+C631^2)</f>
        <v>36.7481270316518</v>
      </c>
      <c r="E631" s="72" t="n">
        <f aca="false">20*LOG10(MAX(D631,0.000000000001)/$K$3)</f>
        <v>31.3047041796711</v>
      </c>
      <c r="F631" s="5"/>
      <c r="G631" s="5"/>
      <c r="H631" s="5"/>
      <c r="I631" s="5"/>
      <c r="J631" s="5"/>
      <c r="K631" s="5"/>
      <c r="L631" s="5"/>
      <c r="M631" s="5"/>
      <c r="N631" s="5"/>
    </row>
    <row r="632" customFormat="false" ht="15" hidden="false" customHeight="false" outlineLevel="0" collapsed="false">
      <c r="A632" s="71" t="n">
        <f aca="false">A631+$F$3</f>
        <v>12520</v>
      </c>
      <c r="B632" s="71" t="n">
        <f aca="false">SUMPRODUCT(固有振動数!$Q$6:$Q$22*(1-($A632/固有振動数!$O$6:$O$22)^2)/((1-($A632/固有振動数!$O$6:$O$22)^2)^2+固有振動数!$P$6:$P$22^2))</f>
        <v>38.0697881374072</v>
      </c>
      <c r="C632" s="71" t="n">
        <f aca="false">-SUMPRODUCT(固有振動数!$Q$6:$Q$22*固有振動数!$P$6:$P$22/((1-($A632/固有振動数!$O$6:$O$22)^2)^2+固有振動数!$P$6:$P$22^2))</f>
        <v>-8.32717701208777</v>
      </c>
      <c r="D632" s="71" t="n">
        <f aca="false">SQRT(B632^2+C632^2)</f>
        <v>38.9698684346985</v>
      </c>
      <c r="E632" s="72" t="n">
        <f aca="false">20*LOG10(MAX(D632,0.000000000001)/$K$3)</f>
        <v>31.8145787916655</v>
      </c>
      <c r="F632" s="5"/>
      <c r="G632" s="5"/>
      <c r="H632" s="5"/>
      <c r="I632" s="5"/>
      <c r="J632" s="5"/>
      <c r="K632" s="5"/>
      <c r="L632" s="5"/>
      <c r="M632" s="5"/>
      <c r="N632" s="5"/>
    </row>
    <row r="633" customFormat="false" ht="15" hidden="false" customHeight="false" outlineLevel="0" collapsed="false">
      <c r="A633" s="71" t="n">
        <f aca="false">A632+$F$3</f>
        <v>12540</v>
      </c>
      <c r="B633" s="71" t="n">
        <f aca="false">SUMPRODUCT(固有振動数!$Q$6:$Q$22*(1-($A633/固有振動数!$O$6:$O$22)^2)/((1-($A633/固有振動数!$O$6:$O$22)^2)^2+固有振動数!$P$6:$P$22^2))</f>
        <v>40.3758891361</v>
      </c>
      <c r="C633" s="71" t="n">
        <f aca="false">-SUMPRODUCT(固有振動数!$Q$6:$Q$22*固有振動数!$P$6:$P$22/((1-($A633/固有振動数!$O$6:$O$22)^2)^2+固有振動数!$P$6:$P$22^2))</f>
        <v>-9.79946970689356</v>
      </c>
      <c r="D633" s="71" t="n">
        <f aca="false">SQRT(B633^2+C633^2)</f>
        <v>41.5480689089994</v>
      </c>
      <c r="E633" s="72" t="n">
        <f aca="false">20*LOG10(MAX(D633,0.000000000001)/$K$3)</f>
        <v>32.371016864855</v>
      </c>
      <c r="F633" s="5"/>
      <c r="G633" s="5"/>
      <c r="H633" s="5"/>
      <c r="I633" s="5"/>
      <c r="J633" s="5"/>
      <c r="K633" s="5"/>
      <c r="L633" s="5"/>
      <c r="M633" s="5"/>
      <c r="N633" s="5"/>
    </row>
    <row r="634" customFormat="false" ht="15" hidden="false" customHeight="false" outlineLevel="0" collapsed="false">
      <c r="A634" s="71" t="n">
        <f aca="false">A633+$F$3</f>
        <v>12560</v>
      </c>
      <c r="B634" s="71" t="n">
        <f aca="false">SUMPRODUCT(固有振動数!$Q$6:$Q$22*(1-($A634/固有振動数!$O$6:$O$22)^2)/((1-($A634/固有振動数!$O$6:$O$22)^2)^2+固有振動数!$P$6:$P$22^2))</f>
        <v>43.0085427730449</v>
      </c>
      <c r="C634" s="71" t="n">
        <f aca="false">-SUMPRODUCT(固有振動数!$Q$6:$Q$22*固有振動数!$P$6:$P$22/((1-($A634/固有振動数!$O$6:$O$22)^2)^2+固有振動数!$P$6:$P$22^2))</f>
        <v>-11.7148358917455</v>
      </c>
      <c r="D634" s="71" t="n">
        <f aca="false">SQRT(B634^2+C634^2)</f>
        <v>44.5754655772809</v>
      </c>
      <c r="E634" s="72" t="n">
        <f aca="false">20*LOG10(MAX(D634,0.000000000001)/$K$3)</f>
        <v>32.9819177589167</v>
      </c>
      <c r="F634" s="5"/>
      <c r="G634" s="5"/>
      <c r="H634" s="5"/>
      <c r="I634" s="5"/>
      <c r="J634" s="5"/>
      <c r="K634" s="5"/>
      <c r="L634" s="5"/>
      <c r="M634" s="5"/>
      <c r="N634" s="5"/>
    </row>
    <row r="635" customFormat="false" ht="15" hidden="false" customHeight="false" outlineLevel="0" collapsed="false">
      <c r="A635" s="71" t="n">
        <f aca="false">A634+$F$3</f>
        <v>12580</v>
      </c>
      <c r="B635" s="71" t="n">
        <f aca="false">SUMPRODUCT(固有振動数!$Q$6:$Q$22*(1-($A635/固有振動数!$O$6:$O$22)^2)/((1-($A635/固有振動数!$O$6:$O$22)^2)^2+固有振動数!$P$6:$P$22^2))</f>
        <v>46.0170913288936</v>
      </c>
      <c r="C635" s="71" t="n">
        <f aca="false">-SUMPRODUCT(固有振動数!$Q$6:$Q$22*固有振動数!$P$6:$P$22/((1-($A635/固有振動数!$O$6:$O$22)^2)^2+固有振動数!$P$6:$P$22^2))</f>
        <v>-14.2582739488029</v>
      </c>
      <c r="D635" s="71" t="n">
        <f aca="false">SQRT(B635^2+C635^2)</f>
        <v>48.1754197736859</v>
      </c>
      <c r="E635" s="72" t="n">
        <f aca="false">20*LOG10(MAX(D635,0.000000000001)/$K$3)</f>
        <v>33.6565101508679</v>
      </c>
      <c r="F635" s="5"/>
      <c r="G635" s="5"/>
      <c r="H635" s="5"/>
      <c r="I635" s="5"/>
      <c r="J635" s="5"/>
      <c r="K635" s="5"/>
      <c r="L635" s="5"/>
      <c r="M635" s="5"/>
      <c r="N635" s="5"/>
    </row>
    <row r="636" customFormat="false" ht="15" hidden="false" customHeight="false" outlineLevel="0" collapsed="false">
      <c r="A636" s="71" t="n">
        <f aca="false">A635+$F$3</f>
        <v>12600</v>
      </c>
      <c r="B636" s="71" t="n">
        <f aca="false">SUMPRODUCT(固有振動数!$Q$6:$Q$22*(1-($A636/固有振動数!$O$6:$O$22)^2)/((1-($A636/固有振動数!$O$6:$O$22)^2)^2+固有振動数!$P$6:$P$22^2))</f>
        <v>49.4345201863302</v>
      </c>
      <c r="C636" s="71" t="n">
        <f aca="false">-SUMPRODUCT(固有振動数!$Q$6:$Q$22*固有振動数!$P$6:$P$22/((1-($A636/固有振動数!$O$6:$O$22)^2)^2+固有振動数!$P$6:$P$22^2))</f>
        <v>-17.7126896147307</v>
      </c>
      <c r="D636" s="71" t="n">
        <f aca="false">SQRT(B636^2+C636^2)</f>
        <v>52.5120096686508</v>
      </c>
      <c r="E636" s="72" t="n">
        <f aca="false">20*LOG10(MAX(D636,0.000000000001)/$K$3)</f>
        <v>34.4051727867292</v>
      </c>
      <c r="F636" s="5"/>
      <c r="G636" s="5"/>
      <c r="H636" s="5"/>
      <c r="I636" s="5"/>
      <c r="J636" s="5"/>
      <c r="K636" s="5"/>
      <c r="L636" s="5"/>
      <c r="M636" s="5"/>
      <c r="N636" s="5"/>
    </row>
    <row r="637" customFormat="false" ht="15" hidden="false" customHeight="false" outlineLevel="0" collapsed="false">
      <c r="A637" s="71" t="n">
        <f aca="false">A636+$F$3</f>
        <v>12620</v>
      </c>
      <c r="B637" s="71" t="n">
        <f aca="false">SUMPRODUCT(固有振動数!$Q$6:$Q$22*(1-($A637/固有振動数!$O$6:$O$22)^2)/((1-($A637/固有振動数!$O$6:$O$22)^2)^2+固有振動数!$P$6:$P$22^2))</f>
        <v>53.233299932731</v>
      </c>
      <c r="C637" s="71" t="n">
        <f aca="false">-SUMPRODUCT(固有振動数!$Q$6:$Q$22*固有振動数!$P$6:$P$22/((1-($A637/固有振動数!$O$6:$O$22)^2)^2+固有振動数!$P$6:$P$22^2))</f>
        <v>-22.5167841261729</v>
      </c>
      <c r="D637" s="71" t="n">
        <f aca="false">SQRT(B637^2+C637^2)</f>
        <v>57.7995656481324</v>
      </c>
      <c r="E637" s="72" t="n">
        <f aca="false">20*LOG10(MAX(D637,0.000000000001)/$K$3)</f>
        <v>35.2384914959787</v>
      </c>
      <c r="F637" s="5"/>
      <c r="G637" s="5"/>
      <c r="H637" s="5"/>
      <c r="I637" s="5"/>
      <c r="J637" s="5"/>
      <c r="K637" s="5"/>
      <c r="L637" s="5"/>
      <c r="M637" s="5"/>
      <c r="N637" s="5"/>
    </row>
    <row r="638" customFormat="false" ht="15" hidden="false" customHeight="false" outlineLevel="0" collapsed="false">
      <c r="A638" s="71" t="n">
        <f aca="false">A637+$F$3</f>
        <v>12640</v>
      </c>
      <c r="B638" s="71" t="n">
        <f aca="false">SUMPRODUCT(固有振動数!$Q$6:$Q$22*(1-($A638/固有振動数!$O$6:$O$22)^2)/((1-($A638/固有振動数!$O$6:$O$22)^2)^2+固有振動数!$P$6:$P$22^2))</f>
        <v>57.2123816110948</v>
      </c>
      <c r="C638" s="71" t="n">
        <f aca="false">-SUMPRODUCT(固有振動数!$Q$6:$Q$22*固有振動数!$P$6:$P$22/((1-($A638/固有振動数!$O$6:$O$22)^2)^2+固有振動数!$P$6:$P$22^2))</f>
        <v>-29.3484153089517</v>
      </c>
      <c r="D638" s="71" t="n">
        <f aca="false">SQRT(B638^2+C638^2)</f>
        <v>64.3007472021924</v>
      </c>
      <c r="E638" s="72" t="n">
        <f aca="false">20*LOG10(MAX(D638,0.000000000001)/$K$3)</f>
        <v>36.1643203928246</v>
      </c>
      <c r="F638" s="5"/>
      <c r="G638" s="5"/>
      <c r="H638" s="5"/>
      <c r="I638" s="5"/>
      <c r="J638" s="5"/>
      <c r="K638" s="5"/>
      <c r="L638" s="5"/>
      <c r="M638" s="5"/>
      <c r="N638" s="5"/>
    </row>
    <row r="639" customFormat="false" ht="15" hidden="false" customHeight="false" outlineLevel="0" collapsed="false">
      <c r="A639" s="71" t="n">
        <f aca="false">A638+$F$3</f>
        <v>12660</v>
      </c>
      <c r="B639" s="71" t="n">
        <f aca="false">SUMPRODUCT(固有振動数!$Q$6:$Q$22*(1-($A639/固有振動数!$O$6:$O$22)^2)/((1-($A639/固有振動数!$O$6:$O$22)^2)^2+固有振動数!$P$6:$P$22^2))</f>
        <v>60.7201793205168</v>
      </c>
      <c r="C639" s="71" t="n">
        <f aca="false">-SUMPRODUCT(固有振動数!$Q$6:$Q$22*固有振動数!$P$6:$P$22/((1-($A639/固有振動数!$O$6:$O$22)^2)^2+固有振動数!$P$6:$P$22^2))</f>
        <v>-39.2024402014863</v>
      </c>
      <c r="D639" s="71" t="n">
        <f aca="false">SQRT(B639^2+C639^2)</f>
        <v>72.2756632239845</v>
      </c>
      <c r="E639" s="72" t="n">
        <f aca="false">20*LOG10(MAX(D639,0.000000000001)/$K$3)</f>
        <v>37.1798417116468</v>
      </c>
      <c r="F639" s="5"/>
      <c r="G639" s="5"/>
      <c r="H639" s="5"/>
      <c r="I639" s="5"/>
      <c r="J639" s="5"/>
      <c r="K639" s="5"/>
      <c r="L639" s="5"/>
      <c r="M639" s="5"/>
      <c r="N639" s="5"/>
    </row>
    <row r="640" customFormat="false" ht="15" hidden="false" customHeight="false" outlineLevel="0" collapsed="false">
      <c r="A640" s="71" t="n">
        <f aca="false">A639+$F$3</f>
        <v>12680</v>
      </c>
      <c r="B640" s="71" t="n">
        <f aca="false">SUMPRODUCT(固有振動数!$Q$6:$Q$22*(1-($A640/固有振動数!$O$6:$O$22)^2)/((1-($A640/固有振動数!$O$6:$O$22)^2)^2+固有振動数!$P$6:$P$22^2))</f>
        <v>62.0399161007947</v>
      </c>
      <c r="C640" s="71" t="n">
        <f aca="false">-SUMPRODUCT(固有振動数!$Q$6:$Q$22*固有振動数!$P$6:$P$22/((1-($A640/固有振動数!$O$6:$O$22)^2)^2+固有振動数!$P$6:$P$22^2))</f>
        <v>-53.267578087761</v>
      </c>
      <c r="D640" s="71" t="n">
        <f aca="false">SQRT(B640^2+C640^2)</f>
        <v>81.7703250888081</v>
      </c>
      <c r="E640" s="72" t="n">
        <f aca="false">20*LOG10(MAX(D640,0.000000000001)/$K$3)</f>
        <v>38.2519144870208</v>
      </c>
      <c r="F640" s="5"/>
      <c r="G640" s="5"/>
      <c r="H640" s="5"/>
      <c r="I640" s="5"/>
      <c r="J640" s="5"/>
      <c r="K640" s="5"/>
      <c r="L640" s="5"/>
      <c r="M640" s="5"/>
      <c r="N640" s="5"/>
    </row>
    <row r="641" customFormat="false" ht="15" hidden="false" customHeight="false" outlineLevel="0" collapsed="false">
      <c r="A641" s="71" t="n">
        <f aca="false">A640+$F$3</f>
        <v>12700</v>
      </c>
      <c r="B641" s="71" t="n">
        <f aca="false">SUMPRODUCT(固有振動数!$Q$6:$Q$22*(1-($A641/固有振動数!$O$6:$O$22)^2)/((1-($A641/固有振動数!$O$6:$O$22)^2)^2+固有振動数!$P$6:$P$22^2))</f>
        <v>57.4156210633708</v>
      </c>
      <c r="C641" s="71" t="n">
        <f aca="false">-SUMPRODUCT(固有振動数!$Q$6:$Q$22*固有振動数!$P$6:$P$22/((1-($A641/固有振動数!$O$6:$O$22)^2)^2+固有振動数!$P$6:$P$22^2))</f>
        <v>-71.8740647416511</v>
      </c>
      <c r="D641" s="71" t="n">
        <f aca="false">SQRT(B641^2+C641^2)</f>
        <v>91.9914926750275</v>
      </c>
      <c r="E641" s="72" t="n">
        <f aca="false">20*LOG10(MAX(D641,0.000000000001)/$K$3)</f>
        <v>39.2749533175356</v>
      </c>
      <c r="F641" s="5"/>
      <c r="G641" s="5"/>
      <c r="H641" s="5"/>
      <c r="I641" s="5"/>
      <c r="J641" s="5"/>
      <c r="K641" s="5"/>
      <c r="L641" s="5"/>
      <c r="M641" s="5"/>
      <c r="N641" s="5"/>
    </row>
    <row r="642" customFormat="false" ht="15" hidden="false" customHeight="false" outlineLevel="0" collapsed="false">
      <c r="A642" s="71" t="n">
        <f aca="false">A641+$F$3</f>
        <v>12720</v>
      </c>
      <c r="B642" s="71" t="n">
        <f aca="false">SUMPRODUCT(固有振動数!$Q$6:$Q$22*(1-($A642/固有振動数!$O$6:$O$22)^2)/((1-($A642/固有振動数!$O$6:$O$22)^2)^2+固有振動数!$P$6:$P$22^2))</f>
        <v>41.3380380254362</v>
      </c>
      <c r="C642" s="71" t="n">
        <f aca="false">-SUMPRODUCT(固有振動数!$Q$6:$Q$22*固有振動数!$P$6:$P$22/((1-($A642/固有振動数!$O$6:$O$22)^2)^2+固有振動数!$P$6:$P$22^2))</f>
        <v>-91.2002904815558</v>
      </c>
      <c r="D642" s="71" t="n">
        <f aca="false">SQRT(B642^2+C642^2)</f>
        <v>100.131545337684</v>
      </c>
      <c r="E642" s="72" t="n">
        <f aca="false">20*LOG10(MAX(D642,0.000000000001)/$K$3)</f>
        <v>40.0114183743311</v>
      </c>
      <c r="F642" s="5"/>
      <c r="G642" s="5"/>
      <c r="H642" s="5"/>
      <c r="I642" s="5"/>
      <c r="J642" s="5"/>
      <c r="K642" s="5"/>
      <c r="L642" s="5"/>
      <c r="M642" s="5"/>
      <c r="N642" s="5"/>
    </row>
    <row r="643" customFormat="false" ht="15" hidden="false" customHeight="false" outlineLevel="0" collapsed="false">
      <c r="A643" s="71" t="n">
        <f aca="false">A642+$F$3</f>
        <v>12740</v>
      </c>
      <c r="B643" s="71" t="n">
        <f aca="false">SUMPRODUCT(固有振動数!$Q$6:$Q$22*(1-($A643/固有振動数!$O$6:$O$22)^2)/((1-($A643/固有振動数!$O$6:$O$22)^2)^2+固有振動数!$P$6:$P$22^2))</f>
        <v>13.0386622837904</v>
      </c>
      <c r="C643" s="71" t="n">
        <f aca="false">-SUMPRODUCT(固有振動数!$Q$6:$Q$22*固有振動数!$P$6:$P$22/((1-($A643/固有振動数!$O$6:$O$22)^2)^2+固有振動数!$P$6:$P$22^2))</f>
        <v>-100.465697671136</v>
      </c>
      <c r="D643" s="71" t="n">
        <f aca="false">SQRT(B643^2+C643^2)</f>
        <v>101.308257919574</v>
      </c>
      <c r="E643" s="72" t="n">
        <f aca="false">20*LOG10(MAX(D643,0.000000000001)/$K$3)</f>
        <v>40.1128969472316</v>
      </c>
      <c r="F643" s="5"/>
      <c r="G643" s="5"/>
      <c r="H643" s="5"/>
      <c r="I643" s="5"/>
      <c r="J643" s="5"/>
      <c r="K643" s="5"/>
      <c r="L643" s="5"/>
      <c r="M643" s="5"/>
      <c r="N643" s="5"/>
    </row>
    <row r="644" customFormat="false" ht="15" hidden="false" customHeight="false" outlineLevel="0" collapsed="false">
      <c r="A644" s="71" t="n">
        <f aca="false">A643+$F$3</f>
        <v>12760</v>
      </c>
      <c r="B644" s="71" t="n">
        <f aca="false">SUMPRODUCT(固有振動数!$Q$6:$Q$22*(1-($A644/固有振動数!$O$6:$O$22)^2)/((1-($A644/固有振動数!$O$6:$O$22)^2)^2+固有振動数!$P$6:$P$22^2))</f>
        <v>-15.598337041384</v>
      </c>
      <c r="C644" s="71" t="n">
        <f aca="false">-SUMPRODUCT(固有振動数!$Q$6:$Q$22*固有振動数!$P$6:$P$22/((1-($A644/固有振動数!$O$6:$O$22)^2)^2+固有振動数!$P$6:$P$22^2))</f>
        <v>-91.7903478429367</v>
      </c>
      <c r="D644" s="71" t="n">
        <f aca="false">SQRT(B644^2+C644^2)</f>
        <v>93.1062622790966</v>
      </c>
      <c r="E644" s="72" t="n">
        <f aca="false">20*LOG10(MAX(D644,0.000000000001)/$K$3)</f>
        <v>39.3795778477239</v>
      </c>
      <c r="F644" s="5"/>
      <c r="G644" s="5"/>
      <c r="H644" s="5"/>
      <c r="I644" s="5"/>
      <c r="J644" s="5"/>
      <c r="K644" s="5"/>
      <c r="L644" s="5"/>
      <c r="M644" s="5"/>
      <c r="N644" s="5"/>
    </row>
    <row r="645" customFormat="false" ht="15" hidden="false" customHeight="false" outlineLevel="0" collapsed="false">
      <c r="A645" s="71" t="n">
        <f aca="false">A644+$F$3</f>
        <v>12780</v>
      </c>
      <c r="B645" s="71" t="n">
        <f aca="false">SUMPRODUCT(固有振動数!$Q$6:$Q$22*(1-($A645/固有振動数!$O$6:$O$22)^2)/((1-($A645/固有振動数!$O$6:$O$22)^2)^2+固有振動数!$P$6:$P$22^2))</f>
        <v>-32.218947612306</v>
      </c>
      <c r="C645" s="71" t="n">
        <f aca="false">-SUMPRODUCT(固有振動数!$Q$6:$Q$22*固有振動数!$P$6:$P$22/((1-($A645/固有振動数!$O$6:$O$22)^2)^2+固有振動数!$P$6:$P$22^2))</f>
        <v>-72.5101978892778</v>
      </c>
      <c r="D645" s="71" t="n">
        <f aca="false">SQRT(B645^2+C645^2)</f>
        <v>79.3460105058014</v>
      </c>
      <c r="E645" s="72" t="n">
        <f aca="false">20*LOG10(MAX(D645,0.000000000001)/$K$3)</f>
        <v>37.9905019088059</v>
      </c>
      <c r="F645" s="5"/>
      <c r="G645" s="5"/>
      <c r="H645" s="5"/>
      <c r="I645" s="5"/>
      <c r="J645" s="5"/>
      <c r="K645" s="5"/>
      <c r="L645" s="5"/>
      <c r="M645" s="5"/>
      <c r="N645" s="5"/>
    </row>
    <row r="646" customFormat="false" ht="15" hidden="false" customHeight="false" outlineLevel="0" collapsed="false">
      <c r="A646" s="71" t="n">
        <f aca="false">A645+$F$3</f>
        <v>12800</v>
      </c>
      <c r="B646" s="71" t="n">
        <f aca="false">SUMPRODUCT(固有振動数!$Q$6:$Q$22*(1-($A646/固有振動数!$O$6:$O$22)^2)/((1-($A646/固有振動数!$O$6:$O$22)^2)^2+固有振動数!$P$6:$P$22^2))</f>
        <v>-37.1313894919236</v>
      </c>
      <c r="C646" s="71" t="n">
        <f aca="false">-SUMPRODUCT(固有振動数!$Q$6:$Q$22*固有振動数!$P$6:$P$22/((1-($A646/固有振動数!$O$6:$O$22)^2)^2+固有振動数!$P$6:$P$22^2))</f>
        <v>-53.6562912016717</v>
      </c>
      <c r="D646" s="71" t="n">
        <f aca="false">SQRT(B646^2+C646^2)</f>
        <v>65.2513422936228</v>
      </c>
      <c r="E646" s="72" t="n">
        <f aca="false">20*LOG10(MAX(D646,0.000000000001)/$K$3)</f>
        <v>36.2917890005795</v>
      </c>
      <c r="F646" s="5"/>
      <c r="G646" s="5"/>
      <c r="H646" s="5"/>
      <c r="I646" s="5"/>
      <c r="J646" s="5"/>
      <c r="K646" s="5"/>
      <c r="L646" s="5"/>
      <c r="M646" s="5"/>
      <c r="N646" s="5"/>
    </row>
    <row r="647" customFormat="false" ht="15" hidden="false" customHeight="false" outlineLevel="0" collapsed="false">
      <c r="A647" s="71" t="n">
        <f aca="false">A646+$F$3</f>
        <v>12820</v>
      </c>
      <c r="B647" s="71" t="n">
        <f aca="false">SUMPRODUCT(固有振動数!$Q$6:$Q$22*(1-($A647/固有振動数!$O$6:$O$22)^2)/((1-($A647/固有振動数!$O$6:$O$22)^2)^2+固有振動数!$P$6:$P$22^2))</f>
        <v>-35.8747312616198</v>
      </c>
      <c r="C647" s="71" t="n">
        <f aca="false">-SUMPRODUCT(固有振動数!$Q$6:$Q$22*固有振動数!$P$6:$P$22/((1-($A647/固有振動数!$O$6:$O$22)^2)^2+固有振動数!$P$6:$P$22^2))</f>
        <v>-39.3473578131966</v>
      </c>
      <c r="D647" s="71" t="n">
        <f aca="false">SQRT(B647^2+C647^2)</f>
        <v>53.2466985828527</v>
      </c>
      <c r="E647" s="72" t="n">
        <f aca="false">20*LOG10(MAX(D647,0.000000000001)/$K$3)</f>
        <v>34.5258537138784</v>
      </c>
      <c r="F647" s="5"/>
      <c r="G647" s="5"/>
      <c r="H647" s="5"/>
      <c r="I647" s="5"/>
      <c r="J647" s="5"/>
      <c r="K647" s="5"/>
      <c r="L647" s="5"/>
      <c r="M647" s="5"/>
      <c r="N647" s="5"/>
    </row>
    <row r="648" customFormat="false" ht="15" hidden="false" customHeight="false" outlineLevel="0" collapsed="false">
      <c r="A648" s="71" t="n">
        <f aca="false">A647+$F$3</f>
        <v>12840</v>
      </c>
      <c r="B648" s="71" t="n">
        <f aca="false">SUMPRODUCT(固有振動数!$Q$6:$Q$22*(1-($A648/固有振動数!$O$6:$O$22)^2)/((1-($A648/固有振動数!$O$6:$O$22)^2)^2+固有振動数!$P$6:$P$22^2))</f>
        <v>-32.3332396194456</v>
      </c>
      <c r="C648" s="71" t="n">
        <f aca="false">-SUMPRODUCT(固有振動数!$Q$6:$Q$22*固有振動数!$P$6:$P$22/((1-($A648/固有振動数!$O$6:$O$22)^2)^2+固有振動数!$P$6:$P$22^2))</f>
        <v>-29.3295321025479</v>
      </c>
      <c r="D648" s="71" t="n">
        <f aca="false">SQRT(B648^2+C648^2)</f>
        <v>43.6538639485999</v>
      </c>
      <c r="E648" s="72" t="n">
        <f aca="false">20*LOG10(MAX(D648,0.000000000001)/$K$3)</f>
        <v>32.8004538118221</v>
      </c>
      <c r="F648" s="5"/>
      <c r="G648" s="5"/>
      <c r="H648" s="5"/>
      <c r="I648" s="5"/>
      <c r="J648" s="5"/>
      <c r="K648" s="5"/>
      <c r="L648" s="5"/>
      <c r="M648" s="5"/>
      <c r="N648" s="5"/>
    </row>
    <row r="649" customFormat="false" ht="15" hidden="false" customHeight="false" outlineLevel="0" collapsed="false">
      <c r="A649" s="71" t="n">
        <f aca="false">A648+$F$3</f>
        <v>12860</v>
      </c>
      <c r="B649" s="71" t="n">
        <f aca="false">SUMPRODUCT(固有振動数!$Q$6:$Q$22*(1-($A649/固有振動数!$O$6:$O$22)^2)/((1-($A649/固有振動数!$O$6:$O$22)^2)^2+固有振動数!$P$6:$P$22^2))</f>
        <v>-28.2952733578727</v>
      </c>
      <c r="C649" s="71" t="n">
        <f aca="false">-SUMPRODUCT(固有振動数!$Q$6:$Q$22*固有振動数!$P$6:$P$22/((1-($A649/固有振動数!$O$6:$O$22)^2)^2+固有振動数!$P$6:$P$22^2))</f>
        <v>-22.4013520199936</v>
      </c>
      <c r="D649" s="71" t="n">
        <f aca="false">SQRT(B649^2+C649^2)</f>
        <v>36.0893760921467</v>
      </c>
      <c r="E649" s="72" t="n">
        <f aca="false">20*LOG10(MAX(D649,0.000000000001)/$K$3)</f>
        <v>31.147587482099</v>
      </c>
      <c r="F649" s="5"/>
      <c r="G649" s="5"/>
      <c r="H649" s="5"/>
      <c r="I649" s="5"/>
      <c r="J649" s="5"/>
      <c r="K649" s="5"/>
      <c r="L649" s="5"/>
      <c r="M649" s="5"/>
      <c r="N649" s="5"/>
    </row>
    <row r="650" customFormat="false" ht="15" hidden="false" customHeight="false" outlineLevel="0" collapsed="false">
      <c r="A650" s="71" t="n">
        <f aca="false">A649+$F$3</f>
        <v>12880</v>
      </c>
      <c r="B650" s="71" t="n">
        <f aca="false">SUMPRODUCT(固有振動数!$Q$6:$Q$22*(1-($A650/固有振動数!$O$6:$O$22)^2)/((1-($A650/固有振動数!$O$6:$O$22)^2)^2+固有振動数!$P$6:$P$22^2))</f>
        <v>-24.4399313736096</v>
      </c>
      <c r="C650" s="71" t="n">
        <f aca="false">-SUMPRODUCT(固有振動数!$Q$6:$Q$22*固有振動数!$P$6:$P$22/((1-($A650/固有振動数!$O$6:$O$22)^2)^2+固有振動数!$P$6:$P$22^2))</f>
        <v>-17.5438814564163</v>
      </c>
      <c r="D650" s="71" t="n">
        <f aca="false">SQRT(B650^2+C650^2)</f>
        <v>30.0848470513569</v>
      </c>
      <c r="E650" s="72" t="n">
        <f aca="false">20*LOG10(MAX(D650,0.000000000001)/$K$3)</f>
        <v>29.5669561583879</v>
      </c>
      <c r="F650" s="5"/>
      <c r="G650" s="5"/>
      <c r="H650" s="5"/>
      <c r="I650" s="5"/>
      <c r="J650" s="5"/>
      <c r="K650" s="5"/>
      <c r="L650" s="5"/>
      <c r="M650" s="5"/>
      <c r="N650" s="5"/>
    </row>
    <row r="651" customFormat="false" ht="15" hidden="false" customHeight="false" outlineLevel="0" collapsed="false">
      <c r="A651" s="71" t="n">
        <f aca="false">A650+$F$3</f>
        <v>12900</v>
      </c>
      <c r="B651" s="71" t="n">
        <f aca="false">SUMPRODUCT(固有振動数!$Q$6:$Q$22*(1-($A651/固有振動数!$O$6:$O$22)^2)/((1-($A651/固有振動数!$O$6:$O$22)^2)^2+固有振動数!$P$6:$P$22^2))</f>
        <v>-20.9763777054038</v>
      </c>
      <c r="C651" s="71" t="n">
        <f aca="false">-SUMPRODUCT(固有振動数!$Q$6:$Q$22*固有振動数!$P$6:$P$22/((1-($A651/固有振動数!$O$6:$O$22)^2)^2+固有振動数!$P$6:$P$22^2))</f>
        <v>-14.0616405331718</v>
      </c>
      <c r="D651" s="71" t="n">
        <f aca="false">SQRT(B651^2+C651^2)</f>
        <v>25.2534780995391</v>
      </c>
      <c r="E651" s="72" t="n">
        <f aca="false">20*LOG10(MAX(D651,0.000000000001)/$K$3)</f>
        <v>28.0464240177372</v>
      </c>
      <c r="F651" s="5"/>
      <c r="G651" s="5"/>
      <c r="H651" s="5"/>
      <c r="I651" s="5"/>
      <c r="J651" s="5"/>
      <c r="K651" s="5"/>
      <c r="L651" s="5"/>
      <c r="M651" s="5"/>
      <c r="N651" s="5"/>
    </row>
    <row r="652" customFormat="false" ht="15" hidden="false" customHeight="false" outlineLevel="0" collapsed="false">
      <c r="A652" s="71" t="n">
        <f aca="false">A651+$F$3</f>
        <v>12920</v>
      </c>
      <c r="B652" s="71" t="n">
        <f aca="false">SUMPRODUCT(固有振動数!$Q$6:$Q$22*(1-($A652/固有振動数!$O$6:$O$22)^2)/((1-($A652/固有振動数!$O$6:$O$22)^2)^2+固有振動数!$P$6:$P$22^2))</f>
        <v>-17.9332146372244</v>
      </c>
      <c r="C652" s="71" t="n">
        <f aca="false">-SUMPRODUCT(固有振動数!$Q$6:$Q$22*固有振動数!$P$6:$P$22/((1-($A652/固有振動数!$O$6:$O$22)^2)^2+固有振動数!$P$6:$P$22^2))</f>
        <v>-11.5050844177516</v>
      </c>
      <c r="D652" s="71" t="n">
        <f aca="false">SQRT(B652^2+C652^2)</f>
        <v>21.3065049851999</v>
      </c>
      <c r="E652" s="72" t="n">
        <f aca="false">20*LOG10(MAX(D652,0.000000000001)/$K$3)</f>
        <v>26.5702443203031</v>
      </c>
      <c r="F652" s="5"/>
      <c r="G652" s="5"/>
      <c r="H652" s="5"/>
      <c r="I652" s="5"/>
      <c r="J652" s="5"/>
      <c r="K652" s="5"/>
      <c r="L652" s="5"/>
      <c r="M652" s="5"/>
      <c r="N652" s="5"/>
    </row>
    <row r="653" customFormat="false" ht="15" hidden="false" customHeight="false" outlineLevel="0" collapsed="false">
      <c r="A653" s="71" t="n">
        <f aca="false">A652+$F$3</f>
        <v>12940</v>
      </c>
      <c r="B653" s="71" t="n">
        <f aca="false">SUMPRODUCT(固有振動数!$Q$6:$Q$22*(1-($A653/固有振動数!$O$6:$O$22)^2)/((1-($A653/固有振動数!$O$6:$O$22)^2)^2+固有振動数!$P$6:$P$22^2))</f>
        <v>-15.2763611922385</v>
      </c>
      <c r="C653" s="71" t="n">
        <f aca="false">-SUMPRODUCT(固有振動数!$Q$6:$Q$22*固有振動数!$P$6:$P$22/((1-($A653/固有振動数!$O$6:$O$22)^2)^2+固有振動数!$P$6:$P$22^2))</f>
        <v>-9.58495103894941</v>
      </c>
      <c r="D653" s="71" t="n">
        <f aca="false">SQRT(B653^2+C653^2)</f>
        <v>18.034369900132</v>
      </c>
      <c r="E653" s="72" t="n">
        <f aca="false">20*LOG10(MAX(D653,0.000000000001)/$K$3)</f>
        <v>25.1220194635272</v>
      </c>
      <c r="F653" s="5"/>
      <c r="G653" s="5"/>
      <c r="H653" s="5"/>
      <c r="I653" s="5"/>
      <c r="J653" s="5"/>
      <c r="K653" s="5"/>
      <c r="L653" s="5"/>
      <c r="M653" s="5"/>
      <c r="N653" s="5"/>
    </row>
    <row r="654" customFormat="false" ht="15" hidden="false" customHeight="false" outlineLevel="0" collapsed="false">
      <c r="A654" s="71" t="n">
        <f aca="false">A653+$F$3</f>
        <v>12960</v>
      </c>
      <c r="B654" s="71" t="n">
        <f aca="false">SUMPRODUCT(固有振動数!$Q$6:$Q$22*(1-($A654/固有振動数!$O$6:$O$22)^2)/((1-($A654/固有振動数!$O$6:$O$22)^2)^2+固有振動数!$P$6:$P$22^2))</f>
        <v>-12.9549476228498</v>
      </c>
      <c r="C654" s="71" t="n">
        <f aca="false">-SUMPRODUCT(固有振動数!$Q$6:$Q$22*固有振動数!$P$6:$P$22/((1-($A654/固有振動数!$O$6:$O$22)^2)^2+固有振動数!$P$6:$P$22^2))</f>
        <v>-8.1125485408885</v>
      </c>
      <c r="D654" s="71" t="n">
        <f aca="false">SQRT(B654^2+C654^2)</f>
        <v>15.2854215427333</v>
      </c>
      <c r="E654" s="72" t="n">
        <f aca="false">20*LOG10(MAX(D654,0.000000000001)/$K$3)</f>
        <v>23.6855484047927</v>
      </c>
      <c r="F654" s="5"/>
      <c r="G654" s="5"/>
      <c r="H654" s="5"/>
      <c r="I654" s="5"/>
      <c r="J654" s="5"/>
      <c r="K654" s="5"/>
      <c r="L654" s="5"/>
      <c r="M654" s="5"/>
      <c r="N654" s="5"/>
    </row>
    <row r="655" customFormat="false" ht="15" hidden="false" customHeight="false" outlineLevel="0" collapsed="false">
      <c r="A655" s="71" t="n">
        <f aca="false">A654+$F$3</f>
        <v>12980</v>
      </c>
      <c r="B655" s="71" t="n">
        <f aca="false">SUMPRODUCT(固有振動数!$Q$6:$Q$22*(1-($A655/固有振動数!$O$6:$O$22)^2)/((1-($A655/固有振動数!$O$6:$O$22)^2)^2+固有振動数!$P$6:$P$22^2))</f>
        <v>-10.9182970696295</v>
      </c>
      <c r="C655" s="71" t="n">
        <f aca="false">-SUMPRODUCT(固有振動数!$Q$6:$Q$22*固有振動数!$P$6:$P$22/((1-($A655/固有振動数!$O$6:$O$22)^2)^2+固有振動数!$P$6:$P$22^2))</f>
        <v>-6.96227467012898</v>
      </c>
      <c r="D655" s="71" t="n">
        <f aca="false">SQRT(B655^2+C655^2)</f>
        <v>12.949226983994</v>
      </c>
      <c r="E655" s="72" t="n">
        <f aca="false">20*LOG10(MAX(D655,0.000000000001)/$K$3)</f>
        <v>22.2448768716565</v>
      </c>
      <c r="F655" s="5"/>
      <c r="G655" s="5"/>
      <c r="H655" s="5"/>
      <c r="I655" s="5"/>
      <c r="J655" s="5"/>
      <c r="K655" s="5"/>
      <c r="L655" s="5"/>
      <c r="M655" s="5"/>
      <c r="N655" s="5"/>
    </row>
    <row r="656" customFormat="false" ht="15" hidden="false" customHeight="false" outlineLevel="0" collapsed="false">
      <c r="A656" s="71" t="n">
        <f aca="false">A655+$F$3</f>
        <v>13000</v>
      </c>
      <c r="B656" s="71" t="n">
        <f aca="false">SUMPRODUCT(固有振動数!$Q$6:$Q$22*(1-($A656/固有振動数!$O$6:$O$22)^2)/((1-($A656/固有振動数!$O$6:$O$22)^2)^2+固有振動数!$P$6:$P$22^2))</f>
        <v>-9.12148585563141</v>
      </c>
      <c r="C656" s="71" t="n">
        <f aca="false">-SUMPRODUCT(固有振動数!$Q$6:$Q$22*固有振動数!$P$6:$P$22/((1-($A656/固有振動数!$O$6:$O$22)^2)^2+固有振動数!$P$6:$P$22^2))</f>
        <v>-6.04866663272413</v>
      </c>
      <c r="D656" s="71" t="n">
        <f aca="false">SQRT(B656^2+C656^2)</f>
        <v>10.9447646045182</v>
      </c>
      <c r="E656" s="72" t="n">
        <f aca="false">20*LOG10(MAX(D656,0.000000000001)/$K$3)</f>
        <v>20.784128507557</v>
      </c>
      <c r="F656" s="5"/>
      <c r="G656" s="5"/>
      <c r="H656" s="5"/>
      <c r="I656" s="5"/>
      <c r="J656" s="5"/>
      <c r="K656" s="5"/>
      <c r="L656" s="5"/>
      <c r="M656" s="5"/>
      <c r="N656" s="5"/>
    </row>
    <row r="657" customFormat="false" ht="15" hidden="false" customHeight="false" outlineLevel="0" collapsed="false">
      <c r="A657" s="71" t="n">
        <f aca="false">A656+$F$3</f>
        <v>13020</v>
      </c>
      <c r="B657" s="71" t="n">
        <f aca="false">SUMPRODUCT(固有振動数!$Q$6:$Q$22*(1-($A657/固有振動数!$O$6:$O$22)^2)/((1-($A657/固有振動数!$O$6:$O$22)^2)^2+固有振動数!$P$6:$P$22^2))</f>
        <v>-7.52649875148896</v>
      </c>
      <c r="C657" s="71" t="n">
        <f aca="false">-SUMPRODUCT(固有振動数!$Q$6:$Q$22*固有振動数!$P$6:$P$22/((1-($A657/固有振動数!$O$6:$O$22)^2)^2+固有振動数!$P$6:$P$22^2))</f>
        <v>-5.31230153800497</v>
      </c>
      <c r="D657" s="71" t="n">
        <f aca="false">SQRT(B657^2+C657^2)</f>
        <v>9.21242265025085</v>
      </c>
      <c r="E657" s="72" t="n">
        <f aca="false">20*LOG10(MAX(D657,0.000000000001)/$K$3)</f>
        <v>19.2874770887989</v>
      </c>
      <c r="F657" s="5"/>
      <c r="G657" s="5"/>
      <c r="H657" s="5"/>
      <c r="I657" s="5"/>
      <c r="J657" s="5"/>
      <c r="K657" s="5"/>
      <c r="L657" s="5"/>
      <c r="M657" s="5"/>
      <c r="N657" s="5"/>
    </row>
    <row r="658" customFormat="false" ht="15" hidden="false" customHeight="false" outlineLevel="0" collapsed="false">
      <c r="A658" s="71" t="n">
        <f aca="false">A657+$F$3</f>
        <v>13040</v>
      </c>
      <c r="B658" s="71" t="n">
        <f aca="false">SUMPRODUCT(固有振動数!$Q$6:$Q$22*(1-($A658/固有振動数!$O$6:$O$22)^2)/((1-($A658/固有振動数!$O$6:$O$22)^2)^2+固有振動数!$P$6:$P$22^2))</f>
        <v>-6.10179148432272</v>
      </c>
      <c r="C658" s="71" t="n">
        <f aca="false">-SUMPRODUCT(固有振動数!$Q$6:$Q$22*固有振動数!$P$6:$P$22/((1-($A658/固有振動数!$O$6:$O$22)^2)^2+固有振動数!$P$6:$P$22^2))</f>
        <v>-4.71100797034724</v>
      </c>
      <c r="D658" s="71" t="n">
        <f aca="false">SQRT(B658^2+C658^2)</f>
        <v>7.70879078810864</v>
      </c>
      <c r="E658" s="72" t="n">
        <f aca="false">20*LOG10(MAX(D658,0.000000000001)/$K$3)</f>
        <v>17.7397251868611</v>
      </c>
      <c r="F658" s="5"/>
      <c r="G658" s="5"/>
      <c r="H658" s="5"/>
      <c r="I658" s="5"/>
      <c r="J658" s="5"/>
      <c r="K658" s="5"/>
      <c r="L658" s="5"/>
      <c r="M658" s="5"/>
      <c r="N658" s="5"/>
    </row>
    <row r="659" customFormat="false" ht="15" hidden="false" customHeight="false" outlineLevel="0" collapsed="false">
      <c r="A659" s="71" t="n">
        <f aca="false">A658+$F$3</f>
        <v>13060</v>
      </c>
      <c r="B659" s="71" t="n">
        <f aca="false">SUMPRODUCT(固有振動数!$Q$6:$Q$22*(1-($A659/固有振動数!$O$6:$O$22)^2)/((1-($A659/固有振動数!$O$6:$O$22)^2)^2+固有振動数!$P$6:$P$22^2))</f>
        <v>-4.82137816315703</v>
      </c>
      <c r="C659" s="71" t="n">
        <f aca="false">-SUMPRODUCT(固有振動数!$Q$6:$Q$22*固有振動数!$P$6:$P$22/((1-($A659/固有振動数!$O$6:$O$22)^2)^2+固有振動数!$P$6:$P$22^2))</f>
        <v>-4.21428403012396</v>
      </c>
      <c r="D659" s="71" t="n">
        <f aca="false">SQRT(B659^2+C659^2)</f>
        <v>6.40358315935113</v>
      </c>
      <c r="E659" s="72" t="n">
        <f aca="false">20*LOG10(MAX(D659,0.000000000001)/$K$3)</f>
        <v>16.1284610761706</v>
      </c>
      <c r="F659" s="5"/>
      <c r="G659" s="5"/>
      <c r="H659" s="5"/>
      <c r="I659" s="5"/>
      <c r="J659" s="5"/>
      <c r="K659" s="5"/>
      <c r="L659" s="5"/>
      <c r="M659" s="5"/>
      <c r="N659" s="5"/>
    </row>
    <row r="660" customFormat="false" ht="15" hidden="false" customHeight="false" outlineLevel="0" collapsed="false">
      <c r="A660" s="71" t="n">
        <f aca="false">A659+$F$3</f>
        <v>13080</v>
      </c>
      <c r="B660" s="71" t="n">
        <f aca="false">SUMPRODUCT(固有振動数!$Q$6:$Q$22*(1-($A660/固有振動数!$O$6:$O$22)^2)/((1-($A660/固有振動数!$O$6:$O$22)^2)^2+固有振動数!$P$6:$P$22^2))</f>
        <v>-3.66387259868961</v>
      </c>
      <c r="C660" s="71" t="n">
        <f aca="false">-SUMPRODUCT(固有振動数!$Q$6:$Q$22*固有振動数!$P$6:$P$22/((1-($A660/固有振動数!$O$6:$O$22)^2)^2+固有振動数!$P$6:$P$22^2))</f>
        <v>-3.79967994413778</v>
      </c>
      <c r="D660" s="71" t="n">
        <f aca="false">SQRT(B660^2+C660^2)</f>
        <v>5.27840222958723</v>
      </c>
      <c r="E660" s="72" t="n">
        <f aca="false">20*LOG10(MAX(D660,0.000000000001)/$K$3)</f>
        <v>14.4500496329297</v>
      </c>
      <c r="F660" s="5"/>
      <c r="G660" s="5"/>
      <c r="H660" s="5"/>
      <c r="I660" s="5"/>
      <c r="J660" s="5"/>
      <c r="K660" s="5"/>
      <c r="L660" s="5"/>
      <c r="M660" s="5"/>
      <c r="N660" s="5"/>
    </row>
    <row r="661" customFormat="false" ht="15" hidden="false" customHeight="false" outlineLevel="0" collapsed="false">
      <c r="A661" s="71" t="n">
        <f aca="false">A660+$F$3</f>
        <v>13100</v>
      </c>
      <c r="B661" s="71" t="n">
        <f aca="false">SUMPRODUCT(固有振動数!$Q$6:$Q$22*(1-($A661/固有振動数!$O$6:$O$22)^2)/((1-($A661/固有振動数!$O$6:$O$22)^2)^2+固有振動数!$P$6:$P$22^2))</f>
        <v>-2.61163239061644</v>
      </c>
      <c r="C661" s="71" t="n">
        <f aca="false">-SUMPRODUCT(固有振動数!$Q$6:$Q$22*固有振動数!$P$6:$P$22/((1-($A661/固有振動数!$O$6:$O$22)^2)^2+固有振動数!$P$6:$P$22^2))</f>
        <v>-3.45040648796155</v>
      </c>
      <c r="D661" s="71" t="n">
        <f aca="false">SQRT(B661^2+C661^2)</f>
        <v>4.32734660916873</v>
      </c>
      <c r="E661" s="72" t="n">
        <f aca="false">20*LOG10(MAX(D661,0.000000000001)/$K$3)</f>
        <v>12.7244336489278</v>
      </c>
      <c r="F661" s="5"/>
      <c r="G661" s="5"/>
      <c r="H661" s="5"/>
      <c r="I661" s="5"/>
      <c r="J661" s="5"/>
      <c r="K661" s="5"/>
      <c r="L661" s="5"/>
      <c r="M661" s="5"/>
      <c r="N661" s="5"/>
    </row>
    <row r="662" customFormat="false" ht="15" hidden="false" customHeight="false" outlineLevel="0" collapsed="false">
      <c r="A662" s="71" t="n">
        <f aca="false">A661+$F$3</f>
        <v>13120</v>
      </c>
      <c r="B662" s="71" t="n">
        <f aca="false">SUMPRODUCT(固有振動数!$Q$6:$Q$22*(1-($A662/固有振動数!$O$6:$O$22)^2)/((1-($A662/固有振動数!$O$6:$O$22)^2)^2+固有振動数!$P$6:$P$22^2))</f>
        <v>-1.65004274566763</v>
      </c>
      <c r="C662" s="71" t="n">
        <f aca="false">-SUMPRODUCT(固有振動数!$Q$6:$Q$22*固有振動数!$P$6:$P$22/((1-($A662/固有振動数!$O$6:$O$22)^2)^2+固有振動数!$P$6:$P$22^2))</f>
        <v>-3.15372317211197</v>
      </c>
      <c r="D662" s="71" t="n">
        <f aca="false">SQRT(B662^2+C662^2)</f>
        <v>3.55929921597586</v>
      </c>
      <c r="E662" s="72" t="n">
        <f aca="false">20*LOG10(MAX(D662,0.000000000001)/$K$3)</f>
        <v>11.0272899785931</v>
      </c>
      <c r="F662" s="5"/>
      <c r="G662" s="5"/>
      <c r="H662" s="5"/>
      <c r="I662" s="5"/>
      <c r="J662" s="5"/>
      <c r="K662" s="5"/>
      <c r="L662" s="5"/>
      <c r="M662" s="5"/>
      <c r="N662" s="5"/>
    </row>
    <row r="663" customFormat="false" ht="15" hidden="false" customHeight="false" outlineLevel="0" collapsed="false">
      <c r="A663" s="71" t="n">
        <f aca="false">A662+$F$3</f>
        <v>13140</v>
      </c>
      <c r="B663" s="71" t="n">
        <f aca="false">SUMPRODUCT(固有振動数!$Q$6:$Q$22*(1-($A663/固有振動数!$O$6:$O$22)^2)/((1-($A663/固有振動数!$O$6:$O$22)^2)^2+固有振動数!$P$6:$P$22^2))</f>
        <v>-0.766934767620516</v>
      </c>
      <c r="C663" s="71" t="n">
        <f aca="false">-SUMPRODUCT(固有振動数!$Q$6:$Q$22*固有振動数!$P$6:$P$22/((1-($A663/固有振動数!$O$6:$O$22)^2)^2+固有振動数!$P$6:$P$22^2))</f>
        <v>-2.89983207009102</v>
      </c>
      <c r="D663" s="71" t="n">
        <f aca="false">SQRT(B663^2+C663^2)</f>
        <v>2.99953579283754</v>
      </c>
      <c r="E663" s="72" t="n">
        <f aca="false">20*LOG10(MAX(D663,0.000000000001)/$K$3)</f>
        <v>9.54108097300466</v>
      </c>
      <c r="F663" s="5"/>
      <c r="G663" s="5"/>
      <c r="H663" s="5"/>
      <c r="I663" s="5"/>
      <c r="J663" s="5"/>
      <c r="K663" s="5"/>
      <c r="L663" s="5"/>
      <c r="M663" s="5"/>
      <c r="N663" s="5"/>
    </row>
    <row r="664" customFormat="false" ht="15" hidden="false" customHeight="false" outlineLevel="0" collapsed="false">
      <c r="A664" s="71" t="n">
        <f aca="false">A663+$F$3</f>
        <v>13160</v>
      </c>
      <c r="B664" s="71" t="n">
        <f aca="false">SUMPRODUCT(固有振動数!$Q$6:$Q$22*(1-($A664/固有振動数!$O$6:$O$22)^2)/((1-($A664/固有振動数!$O$6:$O$22)^2)^2+固有振動数!$P$6:$P$22^2))</f>
        <v>0.0478806000552221</v>
      </c>
      <c r="C664" s="71" t="n">
        <f aca="false">-SUMPRODUCT(固有振動数!$Q$6:$Q$22*固有振動数!$P$6:$P$22/((1-($A664/固有振動数!$O$6:$O$22)^2)^2+固有振動数!$P$6:$P$22^2))</f>
        <v>-2.68110566810187</v>
      </c>
      <c r="D664" s="71" t="n">
        <f aca="false">SQRT(B664^2+C664^2)</f>
        <v>2.68153317253202</v>
      </c>
      <c r="E664" s="72" t="n">
        <f aca="false">20*LOG10(MAX(D664,0.000000000001)/$K$3)</f>
        <v>8.56766347747154</v>
      </c>
      <c r="F664" s="5"/>
      <c r="G664" s="5"/>
      <c r="H664" s="5"/>
      <c r="I664" s="5"/>
      <c r="J664" s="5"/>
      <c r="K664" s="5"/>
      <c r="L664" s="5"/>
      <c r="M664" s="5"/>
      <c r="N664" s="5"/>
    </row>
    <row r="665" customFormat="false" ht="15" hidden="false" customHeight="false" outlineLevel="0" collapsed="false">
      <c r="A665" s="71" t="n">
        <f aca="false">A664+$F$3</f>
        <v>13180</v>
      </c>
      <c r="B665" s="71" t="n">
        <f aca="false">SUMPRODUCT(固有振動数!$Q$6:$Q$22*(1-($A665/固有振動数!$O$6:$O$22)^2)/((1-($A665/固有振動数!$O$6:$O$22)^2)^2+固有振動数!$P$6:$P$22^2))</f>
        <v>0.802983958480231</v>
      </c>
      <c r="C665" s="71" t="n">
        <f aca="false">-SUMPRODUCT(固有振動数!$Q$6:$Q$22*固有振動数!$P$6:$P$22/((1-($A665/固有振動数!$O$6:$O$22)^2)^2+固有振動数!$P$6:$P$22^2))</f>
        <v>-2.49153928675547</v>
      </c>
      <c r="D665" s="71" t="n">
        <f aca="false">SQRT(B665^2+C665^2)</f>
        <v>2.61773781250578</v>
      </c>
      <c r="E665" s="72" t="n">
        <f aca="false">20*LOG10(MAX(D665,0.000000000001)/$K$3)</f>
        <v>8.35852292615799</v>
      </c>
      <c r="F665" s="5"/>
      <c r="G665" s="5"/>
      <c r="H665" s="5"/>
      <c r="I665" s="5"/>
      <c r="J665" s="5"/>
      <c r="K665" s="5"/>
      <c r="L665" s="5"/>
      <c r="M665" s="5"/>
      <c r="N665" s="5"/>
    </row>
    <row r="666" customFormat="false" ht="15" hidden="false" customHeight="false" outlineLevel="0" collapsed="false">
      <c r="A666" s="71" t="n">
        <f aca="false">A665+$F$3</f>
        <v>13200</v>
      </c>
      <c r="B666" s="71" t="n">
        <f aca="false">SUMPRODUCT(固有振動数!$Q$6:$Q$22*(1-($A666/固有振動数!$O$6:$O$22)^2)/((1-($A666/固有振動数!$O$6:$O$22)^2)^2+固有振動数!$P$6:$P$22^2))</f>
        <v>1.50564316093797</v>
      </c>
      <c r="C666" s="71" t="n">
        <f aca="false">-SUMPRODUCT(固有振動数!$Q$6:$Q$22*固有振動数!$P$6:$P$22/((1-($A666/固有振動数!$O$6:$O$22)^2)^2+固有振動数!$P$6:$P$22^2))</f>
        <v>-2.32635701403156</v>
      </c>
      <c r="D666" s="71" t="n">
        <f aca="false">SQRT(B666^2+C666^2)</f>
        <v>2.77108251136864</v>
      </c>
      <c r="E666" s="72" t="n">
        <f aca="false">20*LOG10(MAX(D666,0.000000000001)/$K$3)</f>
        <v>8.8529891493407</v>
      </c>
      <c r="F666" s="5"/>
      <c r="G666" s="5"/>
      <c r="H666" s="5"/>
      <c r="I666" s="5"/>
      <c r="J666" s="5"/>
      <c r="K666" s="5"/>
      <c r="L666" s="5"/>
      <c r="M666" s="5"/>
      <c r="N666" s="5"/>
    </row>
    <row r="667" customFormat="false" ht="15" hidden="false" customHeight="false" outlineLevel="0" collapsed="false">
      <c r="A667" s="71" t="n">
        <f aca="false">A666+$F$3</f>
        <v>13220</v>
      </c>
      <c r="B667" s="71" t="n">
        <f aca="false">SUMPRODUCT(固有振動数!$Q$6:$Q$22*(1-($A667/固有振動数!$O$6:$O$22)^2)/((1-($A667/固有振動数!$O$6:$O$22)^2)^2+固有振動数!$P$6:$P$22^2))</f>
        <v>2.16204920697162</v>
      </c>
      <c r="C667" s="71" t="n">
        <f aca="false">-SUMPRODUCT(固有振動数!$Q$6:$Q$22*固有振動数!$P$6:$P$22/((1-($A667/固有振動数!$O$6:$O$22)^2)^2+固有振動数!$P$6:$P$22^2))</f>
        <v>-2.18172421851449</v>
      </c>
      <c r="D667" s="71" t="n">
        <f aca="false">SQRT(B667^2+C667^2)</f>
        <v>3.0715431527197</v>
      </c>
      <c r="E667" s="72" t="n">
        <f aca="false">20*LOG10(MAX(D667,0.000000000001)/$K$3)</f>
        <v>9.74713242375722</v>
      </c>
      <c r="F667" s="5"/>
      <c r="G667" s="5"/>
      <c r="H667" s="5"/>
      <c r="I667" s="5"/>
      <c r="J667" s="5"/>
      <c r="K667" s="5"/>
      <c r="L667" s="5"/>
      <c r="M667" s="5"/>
      <c r="N667" s="5"/>
    </row>
    <row r="668" customFormat="false" ht="15" hidden="false" customHeight="false" outlineLevel="0" collapsed="false">
      <c r="A668" s="71" t="n">
        <f aca="false">A667+$F$3</f>
        <v>13240</v>
      </c>
      <c r="B668" s="71" t="n">
        <f aca="false">SUMPRODUCT(固有振動数!$Q$6:$Q$22*(1-($A668/固有振動数!$O$6:$O$22)^2)/((1-($A668/固有振動数!$O$6:$O$22)^2)^2+固有振動数!$P$6:$P$22^2))</f>
        <v>2.77750507286059</v>
      </c>
      <c r="C668" s="71" t="n">
        <f aca="false">-SUMPRODUCT(固有振動数!$Q$6:$Q$22*固有振動数!$P$6:$P$22/((1-($A668/固有振動数!$O$6:$O$22)^2)^2+固有振動数!$P$6:$P$22^2))</f>
        <v>-2.05453514311944</v>
      </c>
      <c r="D668" s="71" t="n">
        <f aca="false">SQRT(B668^2+C668^2)</f>
        <v>3.45480087473636</v>
      </c>
      <c r="E668" s="72" t="n">
        <f aca="false">20*LOG10(MAX(D668,0.000000000001)/$K$3)</f>
        <v>10.7684604177333</v>
      </c>
      <c r="F668" s="5"/>
      <c r="G668" s="5"/>
      <c r="H668" s="5"/>
      <c r="I668" s="5"/>
      <c r="J668" s="5"/>
      <c r="K668" s="5"/>
      <c r="L668" s="5"/>
      <c r="M668" s="5"/>
      <c r="N668" s="5"/>
    </row>
    <row r="669" customFormat="false" ht="15" hidden="false" customHeight="false" outlineLevel="0" collapsed="false">
      <c r="A669" s="71" t="n">
        <f aca="false">A668+$F$3</f>
        <v>13260</v>
      </c>
      <c r="B669" s="71" t="n">
        <f aca="false">SUMPRODUCT(固有振動数!$Q$6:$Q$22*(1-($A669/固有振動数!$O$6:$O$22)^2)/((1-($A669/固有振動数!$O$6:$O$22)^2)^2+固有振動数!$P$6:$P$22^2))</f>
        <v>3.35657753181245</v>
      </c>
      <c r="C669" s="71" t="n">
        <f aca="false">-SUMPRODUCT(固有振動数!$Q$6:$Q$22*固有振動数!$P$6:$P$22/((1-($A669/固有振動数!$O$6:$O$22)^2)^2+固有振動数!$P$6:$P$22^2))</f>
        <v>-1.94225411252036</v>
      </c>
      <c r="D669" s="71" t="n">
        <f aca="false">SQRT(B669^2+C669^2)</f>
        <v>3.8780102842399</v>
      </c>
      <c r="E669" s="72" t="n">
        <f aca="false">20*LOG10(MAX(D669,0.000000000001)/$K$3)</f>
        <v>11.7721791293185</v>
      </c>
      <c r="F669" s="5"/>
      <c r="G669" s="5"/>
      <c r="H669" s="5"/>
      <c r="I669" s="5"/>
      <c r="J669" s="5"/>
      <c r="K669" s="5"/>
      <c r="L669" s="5"/>
      <c r="M669" s="5"/>
      <c r="N669" s="5"/>
    </row>
    <row r="670" customFormat="false" ht="15" hidden="false" customHeight="false" outlineLevel="0" collapsed="false">
      <c r="A670" s="71" t="n">
        <f aca="false">A669+$F$3</f>
        <v>13280</v>
      </c>
      <c r="B670" s="71" t="n">
        <f aca="false">SUMPRODUCT(固有振動数!$Q$6:$Q$22*(1-($A670/固有振動数!$O$6:$O$22)^2)/((1-($A670/固有振動数!$O$6:$O$22)^2)^2+固有振動数!$P$6:$P$22^2))</f>
        <v>3.90321981820154</v>
      </c>
      <c r="C670" s="71" t="n">
        <f aca="false">-SUMPRODUCT(固有振動数!$Q$6:$Q$22*固有振動数!$P$6:$P$22/((1-($A670/固有振動数!$O$6:$O$22)^2)^2+固有振動数!$P$6:$P$22^2))</f>
        <v>-1.84279551408849</v>
      </c>
      <c r="D670" s="71" t="n">
        <f aca="false">SQRT(B670^2+C670^2)</f>
        <v>4.31636655718046</v>
      </c>
      <c r="E670" s="72" t="n">
        <f aca="false">20*LOG10(MAX(D670,0.000000000001)/$K$3)</f>
        <v>12.7023663800924</v>
      </c>
      <c r="F670" s="5"/>
      <c r="G670" s="5"/>
      <c r="H670" s="5"/>
      <c r="I670" s="5"/>
      <c r="J670" s="5"/>
      <c r="K670" s="5"/>
      <c r="L670" s="5"/>
      <c r="M670" s="5"/>
      <c r="N670" s="5"/>
    </row>
    <row r="671" customFormat="false" ht="15" hidden="false" customHeight="false" outlineLevel="0" collapsed="false">
      <c r="A671" s="71" t="n">
        <f aca="false">A670+$F$3</f>
        <v>13300</v>
      </c>
      <c r="B671" s="71" t="n">
        <f aca="false">SUMPRODUCT(固有振動数!$Q$6:$Q$22*(1-($A671/固有振動数!$O$6:$O$22)^2)/((1-($A671/固有振動数!$O$6:$O$22)^2)^2+固有振動数!$P$6:$P$22^2))</f>
        <v>4.42087124999702</v>
      </c>
      <c r="C671" s="71" t="n">
        <f aca="false">-SUMPRODUCT(固有振動数!$Q$6:$Q$22*固有振動数!$P$6:$P$22/((1-($A671/固有振動数!$O$6:$O$22)^2)^2+固有振動数!$P$6:$P$22^2))</f>
        <v>-1.75443215449501</v>
      </c>
      <c r="D671" s="71" t="n">
        <f aca="false">SQRT(B671^2+C671^2)</f>
        <v>4.75627320428256</v>
      </c>
      <c r="E671" s="72" t="n">
        <f aca="false">20*LOG10(MAX(D671,0.000000000001)/$K$3)</f>
        <v>13.5453358579767</v>
      </c>
      <c r="F671" s="5"/>
      <c r="G671" s="5"/>
      <c r="H671" s="5"/>
      <c r="I671" s="5"/>
      <c r="J671" s="5"/>
      <c r="K671" s="5"/>
      <c r="L671" s="5"/>
      <c r="M671" s="5"/>
      <c r="N671" s="5"/>
    </row>
    <row r="672" customFormat="false" ht="15" hidden="false" customHeight="false" outlineLevel="0" collapsed="false">
      <c r="A672" s="71" t="n">
        <f aca="false">A671+$F$3</f>
        <v>13320</v>
      </c>
      <c r="B672" s="71" t="n">
        <f aca="false">SUMPRODUCT(固有振動数!$Q$6:$Q$22*(1-($A672/固有振動数!$O$6:$O$22)^2)/((1-($A672/固有振動数!$O$6:$O$22)^2)^2+固有振動数!$P$6:$P$22^2))</f>
        <v>4.91253856757634</v>
      </c>
      <c r="C672" s="71" t="n">
        <f aca="false">-SUMPRODUCT(固有振動数!$Q$6:$Q$22*固有振動数!$P$6:$P$22/((1-($A672/固有振動数!$O$6:$O$22)^2)^2+固有振動数!$P$6:$P$22^2))</f>
        <v>-1.67572461431064</v>
      </c>
      <c r="D672" s="71" t="n">
        <f aca="false">SQRT(B672^2+C672^2)</f>
        <v>5.19048053275721</v>
      </c>
      <c r="E672" s="72" t="n">
        <f aca="false">20*LOG10(MAX(D672,0.000000000001)/$K$3)</f>
        <v>14.3041513306269</v>
      </c>
      <c r="F672" s="5"/>
      <c r="G672" s="5"/>
      <c r="H672" s="5"/>
      <c r="I672" s="5"/>
      <c r="J672" s="5"/>
      <c r="K672" s="5"/>
      <c r="L672" s="5"/>
      <c r="M672" s="5"/>
      <c r="N672" s="5"/>
    </row>
    <row r="673" customFormat="false" ht="15" hidden="false" customHeight="false" outlineLevel="0" collapsed="false">
      <c r="A673" s="71" t="n">
        <f aca="false">A672+$F$3</f>
        <v>13340</v>
      </c>
      <c r="B673" s="71" t="n">
        <f aca="false">SUMPRODUCT(固有振動数!$Q$6:$Q$22*(1-($A673/固有振動数!$O$6:$O$22)^2)/((1-($A673/固有振動数!$O$6:$O$22)^2)^2+固有振動数!$P$6:$P$22^2))</f>
        <v>5.38086269850497</v>
      </c>
      <c r="C673" s="71" t="n">
        <f aca="false">-SUMPRODUCT(固有振動数!$Q$6:$Q$22*固有振動数!$P$6:$P$22/((1-($A673/固有振動数!$O$6:$O$22)^2)^2+固有振動数!$P$6:$P$22^2))</f>
        <v>-1.60546630360357</v>
      </c>
      <c r="D673" s="71" t="n">
        <f aca="false">SQRT(B673^2+C673^2)</f>
        <v>5.61526539285266</v>
      </c>
      <c r="E673" s="72" t="n">
        <f aca="false">20*LOG10(MAX(D673,0.000000000001)/$K$3)</f>
        <v>14.9874057406323</v>
      </c>
      <c r="F673" s="5"/>
      <c r="G673" s="5"/>
      <c r="H673" s="5"/>
      <c r="I673" s="5"/>
      <c r="J673" s="5"/>
      <c r="K673" s="5"/>
      <c r="L673" s="5"/>
      <c r="M673" s="5"/>
      <c r="N673" s="5"/>
    </row>
    <row r="674" customFormat="false" ht="15" hidden="false" customHeight="false" outlineLevel="0" collapsed="false">
      <c r="A674" s="71" t="n">
        <f aca="false">A673+$F$3</f>
        <v>13360</v>
      </c>
      <c r="B674" s="71" t="n">
        <f aca="false">SUMPRODUCT(固有振動数!$Q$6:$Q$22*(1-($A674/固有振動数!$O$6:$O$22)^2)/((1-($A674/固有振動数!$O$6:$O$22)^2)^2+固有振動数!$P$6:$P$22^2))</f>
        <v>5.8281738492664</v>
      </c>
      <c r="C674" s="71" t="n">
        <f aca="false">-SUMPRODUCT(固有振動数!$Q$6:$Q$22*固有振動数!$P$6:$P$22/((1-($A674/固有振動数!$O$6:$O$22)^2)^2+固有振動数!$P$6:$P$22^2))</f>
        <v>-1.54264037294875</v>
      </c>
      <c r="D674" s="71" t="n">
        <f aca="false">SQRT(B674^2+C674^2)</f>
        <v>6.02887632461673</v>
      </c>
      <c r="E674" s="72" t="n">
        <f aca="false">20*LOG10(MAX(D674,0.000000000001)/$K$3)</f>
        <v>15.6047274982146</v>
      </c>
      <c r="F674" s="5"/>
      <c r="G674" s="5"/>
      <c r="H674" s="5"/>
      <c r="I674" s="5"/>
      <c r="J674" s="5"/>
      <c r="K674" s="5"/>
      <c r="L674" s="5"/>
      <c r="M674" s="5"/>
      <c r="N674" s="5"/>
    </row>
    <row r="675" customFormat="false" ht="15" hidden="false" customHeight="false" outlineLevel="0" collapsed="false">
      <c r="A675" s="71" t="n">
        <f aca="false">A674+$F$3</f>
        <v>13380</v>
      </c>
      <c r="B675" s="71" t="n">
        <f aca="false">SUMPRODUCT(固有振動数!$Q$6:$Q$22*(1-($A675/固有振動数!$O$6:$O$22)^2)/((1-($A675/固有振動数!$O$6:$O$22)^2)^2+固有振動数!$P$6:$P$22^2))</f>
        <v>6.256537201432</v>
      </c>
      <c r="C675" s="71" t="n">
        <f aca="false">-SUMPRODUCT(固有振動数!$Q$6:$Q$22*固有振動数!$P$6:$P$22/((1-($A675/固有振動数!$O$6:$O$22)^2)^2+固有振動数!$P$6:$P$22^2))</f>
        <v>-1.48638565869605</v>
      </c>
      <c r="D675" s="71" t="n">
        <f aca="false">SQRT(B675^2+C675^2)</f>
        <v>6.43067648690865</v>
      </c>
      <c r="E675" s="72" t="n">
        <f aca="false">20*LOG10(MAX(D675,0.000000000001)/$K$3)</f>
        <v>16.1651332347763</v>
      </c>
      <c r="F675" s="5"/>
      <c r="G675" s="5"/>
      <c r="H675" s="5"/>
      <c r="I675" s="5"/>
      <c r="J675" s="5"/>
      <c r="K675" s="5"/>
      <c r="L675" s="5"/>
      <c r="M675" s="5"/>
      <c r="N675" s="5"/>
    </row>
    <row r="676" customFormat="false" ht="15" hidden="false" customHeight="false" outlineLevel="0" collapsed="false">
      <c r="A676" s="71" t="n">
        <f aca="false">A675+$F$3</f>
        <v>13400</v>
      </c>
      <c r="B676" s="71" t="n">
        <f aca="false">SUMPRODUCT(固有振動数!$Q$6:$Q$22*(1-($A676/固有振動数!$O$6:$O$22)^2)/((1-($A676/固有振動数!$O$6:$O$22)^2)^2+固有振動数!$P$6:$P$22^2))</f>
        <v>6.66779100814653</v>
      </c>
      <c r="C676" s="71" t="n">
        <f aca="false">-SUMPRODUCT(固有振動数!$Q$6:$Q$22*固有振動数!$P$6:$P$22/((1-($A676/固有振動数!$O$6:$O$22)^2)^2+固有振動数!$P$6:$P$22^2))</f>
        <v>-1.43596957247246</v>
      </c>
      <c r="D676" s="71" t="n">
        <f aca="false">SQRT(B676^2+C676^2)</f>
        <v>6.82066313061908</v>
      </c>
      <c r="E676" s="72" t="n">
        <f aca="false">20*LOG10(MAX(D676,0.000000000001)/$K$3)</f>
        <v>16.6765320091655</v>
      </c>
      <c r="F676" s="5"/>
      <c r="G676" s="5"/>
      <c r="H676" s="5"/>
      <c r="I676" s="5"/>
      <c r="J676" s="5"/>
      <c r="K676" s="5"/>
      <c r="L676" s="5"/>
      <c r="M676" s="5"/>
      <c r="N676" s="5"/>
    </row>
    <row r="677" customFormat="false" ht="15" hidden="false" customHeight="false" outlineLevel="0" collapsed="false">
      <c r="A677" s="71" t="n">
        <f aca="false">A676+$F$3</f>
        <v>13420</v>
      </c>
      <c r="B677" s="71" t="n">
        <f aca="false">SUMPRODUCT(固有振動数!$Q$6:$Q$22*(1-($A677/固有振動数!$O$6:$O$22)^2)/((1-($A677/固有振動数!$O$6:$O$22)^2)^2+固有振動数!$P$6:$P$22^2))</f>
        <v>7.06357851369972</v>
      </c>
      <c r="C677" s="71" t="n">
        <f aca="false">-SUMPRODUCT(固有振動数!$Q$6:$Q$22*固有振動数!$P$6:$P$22/((1-($A677/固有振動数!$O$6:$O$22)^2)^2+固有振動数!$P$6:$P$22^2))</f>
        <v>-1.390766372179</v>
      </c>
      <c r="D677" s="71" t="n">
        <f aca="false">SQRT(B677^2+C677^2)</f>
        <v>7.19919249091065</v>
      </c>
      <c r="E677" s="72" t="n">
        <f aca="false">20*LOG10(MAX(D677,0.000000000001)/$K$3)</f>
        <v>17.1456757163779</v>
      </c>
      <c r="F677" s="5"/>
      <c r="G677" s="5"/>
      <c r="H677" s="5"/>
      <c r="I677" s="5"/>
      <c r="J677" s="5"/>
      <c r="K677" s="5"/>
      <c r="L677" s="5"/>
      <c r="M677" s="5"/>
      <c r="N677" s="5"/>
    </row>
    <row r="678" customFormat="false" ht="15" hidden="false" customHeight="false" outlineLevel="0" collapsed="false">
      <c r="A678" s="71" t="n">
        <f aca="false">A677+$F$3</f>
        <v>13440</v>
      </c>
      <c r="B678" s="71" t="n">
        <f aca="false">SUMPRODUCT(固有振動数!$Q$6:$Q$22*(1-($A678/固有振動数!$O$6:$O$22)^2)/((1-($A678/固有振動数!$O$6:$O$22)^2)^2+固有振動数!$P$6:$P$22^2))</f>
        <v>7.44537482885884</v>
      </c>
      <c r="C678" s="71" t="n">
        <f aca="false">-SUMPRODUCT(固有振動数!$Q$6:$Q$22*固有振動数!$P$6:$P$22/((1-($A678/固有振動数!$O$6:$O$22)^2)^2+固有振動数!$P$6:$P$22^2))</f>
        <v>-1.35023963579712</v>
      </c>
      <c r="D678" s="71" t="n">
        <f aca="false">SQRT(B678^2+C678^2)</f>
        <v>7.56681924036</v>
      </c>
      <c r="E678" s="72" t="n">
        <f aca="false">20*LOG10(MAX(D678,0.000000000001)/$K$3)</f>
        <v>17.578267189324</v>
      </c>
      <c r="F678" s="5"/>
      <c r="G678" s="5"/>
      <c r="H678" s="5"/>
      <c r="I678" s="5"/>
      <c r="J678" s="5"/>
      <c r="K678" s="5"/>
      <c r="L678" s="5"/>
      <c r="M678" s="5"/>
      <c r="N678" s="5"/>
    </row>
    <row r="679" customFormat="false" ht="15" hidden="false" customHeight="false" outlineLevel="0" collapsed="false">
      <c r="A679" s="71" t="n">
        <f aca="false">A678+$F$3</f>
        <v>13460</v>
      </c>
      <c r="B679" s="71" t="n">
        <f aca="false">SUMPRODUCT(固有振動数!$Q$6:$Q$22*(1-($A679/固有振動数!$O$6:$O$22)^2)/((1-($A679/固有振動数!$O$6:$O$22)^2)^2+固有振動数!$P$6:$P$22^2))</f>
        <v>7.81450966815516</v>
      </c>
      <c r="C679" s="71" t="n">
        <f aca="false">-SUMPRODUCT(固有振動数!$Q$6:$Q$22*固有振動数!$P$6:$P$22/((1-($A679/固有振動数!$O$6:$O$22)^2)^2+固有振動数!$P$6:$P$22^2))</f>
        <v>-1.31392804167814</v>
      </c>
      <c r="D679" s="71" t="n">
        <f aca="false">SQRT(B679^2+C679^2)</f>
        <v>7.92420142679366</v>
      </c>
      <c r="E679" s="72" t="n">
        <f aca="false">20*LOG10(MAX(D679,0.000000000001)/$K$3)</f>
        <v>17.9791101284285</v>
      </c>
      <c r="F679" s="5"/>
      <c r="G679" s="5"/>
      <c r="H679" s="5"/>
      <c r="I679" s="5"/>
      <c r="J679" s="5"/>
      <c r="K679" s="5"/>
      <c r="L679" s="5"/>
      <c r="M679" s="5"/>
      <c r="N679" s="5"/>
    </row>
    <row r="680" customFormat="false" ht="15" hidden="false" customHeight="false" outlineLevel="0" collapsed="false">
      <c r="A680" s="71" t="n">
        <f aca="false">A679+$F$3</f>
        <v>13480</v>
      </c>
      <c r="B680" s="71" t="n">
        <f aca="false">SUMPRODUCT(固有振動数!$Q$6:$Q$22*(1-($A680/固有振動数!$O$6:$O$22)^2)/((1-($A680/固有振動数!$O$6:$O$22)^2)^2+固有振動数!$P$6:$P$22^2))</f>
        <v>8.17218667773004</v>
      </c>
      <c r="C680" s="71" t="n">
        <f aca="false">-SUMPRODUCT(固有振動数!$Q$6:$Q$22*固有振動数!$P$6:$P$22/((1-($A680/固有振動数!$O$6:$O$22)^2)^2+固有振動数!$P$6:$P$22^2))</f>
        <v>-1.28143376842898</v>
      </c>
      <c r="D680" s="71" t="n">
        <f aca="false">SQRT(B680^2+C680^2)</f>
        <v>8.27204373770706</v>
      </c>
      <c r="E680" s="72" t="n">
        <f aca="false">20*LOG10(MAX(D680,0.000000000001)/$K$3)</f>
        <v>18.3522564409998</v>
      </c>
      <c r="F680" s="5"/>
      <c r="G680" s="5"/>
      <c r="H680" s="5"/>
      <c r="I680" s="5"/>
      <c r="J680" s="5"/>
      <c r="K680" s="5"/>
      <c r="L680" s="5"/>
      <c r="M680" s="5"/>
      <c r="N680" s="5"/>
    </row>
    <row r="681" customFormat="false" ht="15" hidden="false" customHeight="false" outlineLevel="0" collapsed="false">
      <c r="A681" s="71" t="n">
        <f aca="false">A680+$F$3</f>
        <v>13500</v>
      </c>
      <c r="B681" s="71" t="n">
        <f aca="false">SUMPRODUCT(固有振動数!$Q$6:$Q$22*(1-($A681/固有振動数!$O$6:$O$22)^2)/((1-($A681/固有振動数!$O$6:$O$22)^2)^2+固有振動数!$P$6:$P$22^2))</f>
        <v>8.51949994247317</v>
      </c>
      <c r="C681" s="71" t="n">
        <f aca="false">-SUMPRODUCT(固有振動数!$Q$6:$Q$22*固有振動数!$P$6:$P$22/((1-($A681/固有振動数!$O$6:$O$22)^2)^2+固有振動数!$P$6:$P$22^2))</f>
        <v>-1.25241298417239</v>
      </c>
      <c r="D681" s="71" t="n">
        <f aca="false">SQRT(B681^2+C681^2)</f>
        <v>8.61106367138949</v>
      </c>
      <c r="E681" s="72" t="n">
        <f aca="false">20*LOG10(MAX(D681,0.000000000001)/$K$3)</f>
        <v>18.7011360095217</v>
      </c>
      <c r="F681" s="5"/>
      <c r="G681" s="5"/>
      <c r="H681" s="5"/>
      <c r="I681" s="5"/>
      <c r="J681" s="5"/>
      <c r="K681" s="5"/>
      <c r="L681" s="5"/>
      <c r="M681" s="5"/>
      <c r="N681" s="5"/>
    </row>
    <row r="682" customFormat="false" ht="15" hidden="false" customHeight="false" outlineLevel="0" collapsed="false">
      <c r="A682" s="71" t="n">
        <f aca="false">A681+$F$3</f>
        <v>13520</v>
      </c>
      <c r="B682" s="71" t="n">
        <f aca="false">SUMPRODUCT(固有振動数!$Q$6:$Q$22*(1-($A682/固有振動数!$O$6:$O$22)^2)/((1-($A682/固有振動数!$O$6:$O$22)^2)^2+固有振動数!$P$6:$P$22^2))</f>
        <v>8.85744815052014</v>
      </c>
      <c r="C682" s="71" t="n">
        <f aca="false">-SUMPRODUCT(固有振動数!$Q$6:$Q$22*固有振動数!$P$6:$P$22/((1-($A682/固有振動数!$O$6:$O$22)^2)^2+固有振動数!$P$6:$P$22^2))</f>
        <v>-1.22656801309048</v>
      </c>
      <c r="D682" s="71" t="n">
        <f aca="false">SQRT(B682^2+C682^2)</f>
        <v>8.94197164108058</v>
      </c>
      <c r="E682" s="72" t="n">
        <f aca="false">20*LOG10(MAX(D682,0.000000000001)/$K$3)</f>
        <v>19.028665763913</v>
      </c>
      <c r="F682" s="5"/>
      <c r="G682" s="5"/>
      <c r="H682" s="5"/>
      <c r="I682" s="5"/>
      <c r="J682" s="5"/>
      <c r="K682" s="5"/>
      <c r="L682" s="5"/>
      <c r="M682" s="5"/>
      <c r="N682" s="5"/>
    </row>
    <row r="683" customFormat="false" ht="15" hidden="false" customHeight="false" outlineLevel="0" collapsed="false">
      <c r="A683" s="71" t="n">
        <f aca="false">A682+$F$3</f>
        <v>13540</v>
      </c>
      <c r="B683" s="71" t="n">
        <f aca="false">SUMPRODUCT(固有振動数!$Q$6:$Q$22*(1-($A683/固有振動数!$O$6:$O$22)^2)/((1-($A683/固有振動数!$O$6:$O$22)^2)^2+固有振動数!$P$6:$P$22^2))</f>
        <v>9.18694680522915</v>
      </c>
      <c r="C683" s="71" t="n">
        <f aca="false">-SUMPRODUCT(固有振動数!$Q$6:$Q$22*固有振動数!$P$6:$P$22/((1-($A683/固有振動数!$O$6:$O$22)^2)^2+固有振動数!$P$6:$P$22^2))</f>
        <v>-1.20364085691906</v>
      </c>
      <c r="D683" s="71" t="n">
        <f aca="false">SQRT(B683^2+C683^2)</f>
        <v>9.2654596709799</v>
      </c>
      <c r="E683" s="72" t="n">
        <f aca="false">20*LOG10(MAX(D683,0.000000000001)/$K$3)</f>
        <v>19.3373394015775</v>
      </c>
      <c r="F683" s="5"/>
      <c r="G683" s="5"/>
      <c r="H683" s="5"/>
      <c r="I683" s="5"/>
      <c r="J683" s="5"/>
      <c r="K683" s="5"/>
      <c r="L683" s="5"/>
      <c r="M683" s="5"/>
      <c r="N683" s="5"/>
    </row>
    <row r="684" customFormat="false" ht="15" hidden="false" customHeight="false" outlineLevel="0" collapsed="false">
      <c r="A684" s="71" t="n">
        <f aca="false">A683+$F$3</f>
        <v>13560</v>
      </c>
      <c r="B684" s="71" t="n">
        <f aca="false">SUMPRODUCT(固有振動数!$Q$6:$Q$22*(1-($A684/固有振動数!$O$6:$O$22)^2)/((1-($A684/固有振動数!$O$6:$O$22)^2)^2+固有振動数!$P$6:$P$22^2))</f>
        <v>9.50883880456136</v>
      </c>
      <c r="C684" s="71" t="n">
        <f aca="false">-SUMPRODUCT(固有振動数!$Q$6:$Q$22*固有振動数!$P$6:$P$22/((1-($A684/固有振動数!$O$6:$O$22)^2)^2+固有振動数!$P$6:$P$22^2))</f>
        <v>-1.18340781776196</v>
      </c>
      <c r="D684" s="71" t="n">
        <f aca="false">SQRT(B684^2+C684^2)</f>
        <v>9.5821954412479</v>
      </c>
      <c r="E684" s="72" t="n">
        <f aca="false">20*LOG10(MAX(D684,0.000000000001)/$K$3)</f>
        <v>19.6293004921831</v>
      </c>
      <c r="F684" s="5"/>
      <c r="G684" s="5"/>
      <c r="H684" s="5"/>
      <c r="I684" s="5"/>
      <c r="J684" s="5"/>
      <c r="K684" s="5"/>
      <c r="L684" s="5"/>
      <c r="M684" s="5"/>
      <c r="N684" s="5"/>
    </row>
    <row r="685" customFormat="false" ht="15" hidden="false" customHeight="false" outlineLevel="0" collapsed="false">
      <c r="A685" s="71" t="n">
        <f aca="false">A684+$F$3</f>
        <v>13580</v>
      </c>
      <c r="B685" s="71" t="n">
        <f aca="false">SUMPRODUCT(固有振動数!$Q$6:$Q$22*(1-($A685/固有振動数!$O$6:$O$22)^2)/((1-($A685/固有振動数!$O$6:$O$22)^2)^2+固有振動数!$P$6:$P$22^2))</f>
        <v>9.82390365152823</v>
      </c>
      <c r="C685" s="71" t="n">
        <f aca="false">-SUMPRODUCT(固有振動数!$Q$6:$Q$22*固有振動数!$P$6:$P$22/((1-($A685/固有振動数!$O$6:$O$22)^2)^2+固有振動数!$P$6:$P$22^2))</f>
        <v>-1.16567502155318</v>
      </c>
      <c r="D685" s="71" t="n">
        <f aca="false">SQRT(B685^2+C685^2)</f>
        <v>9.89281967946362</v>
      </c>
      <c r="E685" s="72" t="n">
        <f aca="false">20*LOG10(MAX(D685,0.000000000001)/$K$3)</f>
        <v>19.9064018616702</v>
      </c>
      <c r="F685" s="5"/>
      <c r="G685" s="5"/>
      <c r="H685" s="5"/>
      <c r="I685" s="5"/>
      <c r="J685" s="5"/>
      <c r="K685" s="5"/>
      <c r="L685" s="5"/>
      <c r="M685" s="5"/>
      <c r="N685" s="5"/>
    </row>
    <row r="686" customFormat="false" ht="15" hidden="false" customHeight="false" outlineLevel="0" collapsed="false">
      <c r="A686" s="71" t="n">
        <f aca="false">A685+$F$3</f>
        <v>13600</v>
      </c>
      <c r="B686" s="71" t="n">
        <f aca="false">SUMPRODUCT(固有振動数!$Q$6:$Q$22*(1-($A686/固有振動数!$O$6:$O$22)^2)/((1-($A686/固有振動数!$O$6:$O$22)^2)^2+固有振動数!$P$6:$P$22^2))</f>
        <v>10.1328655141004</v>
      </c>
      <c r="C686" s="71" t="n">
        <f aca="false">-SUMPRODUCT(固有振動数!$Q$6:$Q$22*固有振動数!$P$6:$P$22/((1-($A686/固有振動数!$O$6:$O$22)^2)^2+固有振動数!$P$6:$P$22^2))</f>
        <v>-1.15027468259792</v>
      </c>
      <c r="D686" s="71" t="n">
        <f aca="false">SQRT(B686^2+C686^2)</f>
        <v>10.1979456447007</v>
      </c>
      <c r="E686" s="72" t="n">
        <f aca="false">20*LOG10(MAX(D686,0.000000000001)/$K$3)</f>
        <v>20.1702538567486</v>
      </c>
      <c r="F686" s="5"/>
      <c r="G686" s="5"/>
      <c r="H686" s="5"/>
      <c r="I686" s="5"/>
      <c r="J686" s="5"/>
      <c r="K686" s="5"/>
      <c r="L686" s="5"/>
      <c r="M686" s="5"/>
      <c r="N686" s="5"/>
    </row>
    <row r="687" customFormat="false" ht="15" hidden="false" customHeight="false" outlineLevel="0" collapsed="false">
      <c r="A687" s="71" t="n">
        <f aca="false">A686+$F$3</f>
        <v>13620</v>
      </c>
      <c r="B687" s="71" t="n">
        <f aca="false">SUMPRODUCT(固有振動数!$Q$6:$Q$22*(1-($A687/固有振動数!$O$6:$O$22)^2)/((1-($A687/固有振動数!$O$6:$O$22)^2)^2+固有振動数!$P$6:$P$22^2))</f>
        <v>10.4364003164155</v>
      </c>
      <c r="C687" s="71" t="n">
        <f aca="false">-SUMPRODUCT(固有振動数!$Q$6:$Q$22*固有振動数!$P$6:$P$22/((1-($A687/固有振動数!$O$6:$O$22)^2)^2+固有振動数!$P$6:$P$22^2))</f>
        <v>-1.13706198174136</v>
      </c>
      <c r="D687" s="71" t="n">
        <f aca="false">SQRT(B687^2+C687^2)</f>
        <v>10.4981599108987</v>
      </c>
      <c r="E687" s="72" t="n">
        <f aca="false">20*LOG10(MAX(D687,0.000000000001)/$K$3)</f>
        <v>20.4222636755427</v>
      </c>
      <c r="F687" s="5"/>
      <c r="G687" s="5"/>
      <c r="H687" s="5"/>
      <c r="I687" s="5"/>
      <c r="J687" s="5"/>
      <c r="K687" s="5"/>
      <c r="L687" s="5"/>
      <c r="M687" s="5"/>
      <c r="N687" s="5"/>
    </row>
    <row r="688" customFormat="false" ht="15" hidden="false" customHeight="false" outlineLevel="0" collapsed="false">
      <c r="A688" s="71" t="n">
        <f aca="false">A687+$F$3</f>
        <v>13640</v>
      </c>
      <c r="B688" s="71" t="n">
        <f aca="false">SUMPRODUCT(固有振動数!$Q$6:$Q$22*(1-($A688/固有振動数!$O$6:$O$22)^2)/((1-($A688/固有振動数!$O$6:$O$22)^2)^2+固有振動数!$P$6:$P$22^2))</f>
        <v>10.7351420135083</v>
      </c>
      <c r="C688" s="71" t="n">
        <f aca="false">-SUMPRODUCT(固有振動数!$Q$6:$Q$22*固有振動数!$P$6:$P$22/((1-($A688/固有振動数!$O$6:$O$22)^2)^2+固有振動数!$P$6:$P$22^2))</f>
        <v>-1.12591245597927</v>
      </c>
      <c r="D688" s="71" t="n">
        <f aca="false">SQRT(B688^2+C688^2)</f>
        <v>10.7940239442351</v>
      </c>
      <c r="E688" s="72" t="n">
        <f aca="false">20*LOG10(MAX(D688,0.000000000001)/$K$3)</f>
        <v>20.663667542395</v>
      </c>
      <c r="F688" s="5"/>
      <c r="G688" s="5"/>
      <c r="H688" s="5"/>
      <c r="I688" s="5"/>
      <c r="J688" s="5"/>
      <c r="K688" s="5"/>
      <c r="L688" s="5"/>
      <c r="M688" s="5"/>
      <c r="N688" s="5"/>
    </row>
    <row r="689" customFormat="false" ht="15" hidden="false" customHeight="false" outlineLevel="0" collapsed="false">
      <c r="A689" s="71" t="n">
        <f aca="false">A688+$F$3</f>
        <v>13660</v>
      </c>
      <c r="B689" s="71" t="n">
        <f aca="false">SUMPRODUCT(固有振動数!$Q$6:$Q$22*(1-($A689/固有振動数!$O$6:$O$22)^2)/((1-($A689/固有振動数!$O$6:$O$22)^2)^2+固有振動数!$P$6:$P$22^2))</f>
        <v>11.0296881777251</v>
      </c>
      <c r="C689" s="71" t="n">
        <f aca="false">-SUMPRODUCT(固有振動数!$Q$6:$Q$22*固有振動数!$P$6:$P$22/((1-($A689/固有振動数!$O$6:$O$22)^2)^2+固有振動数!$P$6:$P$22^2))</f>
        <v>-1.11671981733469</v>
      </c>
      <c r="D689" s="71" t="n">
        <f aca="false">SQRT(B689^2+C689^2)</f>
        <v>11.0860761520151</v>
      </c>
      <c r="E689" s="72" t="n">
        <f aca="false">20*LOG10(MAX(D689,0.000000000001)/$K$3)</f>
        <v>20.8955571500871</v>
      </c>
      <c r="F689" s="5"/>
      <c r="G689" s="5"/>
      <c r="H689" s="5"/>
      <c r="I689" s="5"/>
      <c r="J689" s="5"/>
      <c r="K689" s="5"/>
      <c r="L689" s="5"/>
      <c r="M689" s="5"/>
      <c r="N689" s="5"/>
    </row>
    <row r="690" customFormat="false" ht="15" hidden="false" customHeight="false" outlineLevel="0" collapsed="false">
      <c r="A690" s="71" t="n">
        <f aca="false">A689+$F$3</f>
        <v>13680</v>
      </c>
      <c r="B690" s="71" t="n">
        <f aca="false">SUMPRODUCT(固有振動数!$Q$6:$Q$22*(1-($A690/固有振動数!$O$6:$O$22)^2)/((1-($A690/固有振動数!$O$6:$O$22)^2)^2+固有振動数!$P$6:$P$22^2))</f>
        <v>11.3206050054064</v>
      </c>
      <c r="C690" s="71" t="n">
        <f aca="false">-SUMPRODUCT(固有振動数!$Q$6:$Q$22*固有振動数!$P$6:$P$22/((1-($A690/固有振動数!$O$6:$O$22)^2)^2+固有振動数!$P$6:$P$22^2))</f>
        <v>-1.10939413478502</v>
      </c>
      <c r="D690" s="71" t="n">
        <f aca="false">SQRT(B690^2+C690^2)</f>
        <v>11.3748341981203</v>
      </c>
      <c r="E690" s="72" t="n">
        <f aca="false">20*LOG10(MAX(D690,0.000000000001)/$K$3)</f>
        <v>21.1189015002248</v>
      </c>
      <c r="F690" s="5"/>
      <c r="G690" s="5"/>
      <c r="H690" s="5"/>
      <c r="I690" s="5"/>
      <c r="J690" s="5"/>
      <c r="K690" s="5"/>
      <c r="L690" s="5"/>
      <c r="M690" s="5"/>
      <c r="N690" s="5"/>
    </row>
    <row r="691" customFormat="false" ht="15" hidden="false" customHeight="false" outlineLevel="0" collapsed="false">
      <c r="A691" s="71" t="n">
        <f aca="false">A690+$F$3</f>
        <v>13700</v>
      </c>
      <c r="B691" s="71" t="n">
        <f aca="false">SUMPRODUCT(固有振動数!$Q$6:$Q$22*(1-($A691/固有振動数!$O$6:$O$22)^2)/((1-($A691/固有振動数!$O$6:$O$22)^2)^2+固有振動数!$P$6:$P$22^2))</f>
        <v>11.6084318364595</v>
      </c>
      <c r="C691" s="71" t="n">
        <f aca="false">-SUMPRODUCT(固有振動数!$Q$6:$Q$22*固有振動数!$P$6:$P$22/((1-($A691/固有振動数!$O$6:$O$22)^2)^2+固有振動数!$P$6:$P$22^2))</f>
        <v>-1.10386032584974</v>
      </c>
      <c r="D691" s="71" t="n">
        <f aca="false">SQRT(B691^2+C691^2)</f>
        <v>11.6607974564654</v>
      </c>
      <c r="E691" s="72" t="n">
        <f aca="false">20*LOG10(MAX(D691,0.000000000001)/$K$3)</f>
        <v>21.3345650377907</v>
      </c>
      <c r="F691" s="5"/>
      <c r="G691" s="5"/>
      <c r="H691" s="5"/>
      <c r="I691" s="5"/>
      <c r="J691" s="5"/>
      <c r="K691" s="5"/>
      <c r="L691" s="5"/>
      <c r="M691" s="5"/>
      <c r="N691" s="5"/>
    </row>
    <row r="692" customFormat="false" ht="15" hidden="false" customHeight="false" outlineLevel="0" collapsed="false">
      <c r="A692" s="71" t="n">
        <f aca="false">A691+$F$3</f>
        <v>13720</v>
      </c>
      <c r="B692" s="71" t="n">
        <f aca="false">SUMPRODUCT(固有振動数!$Q$6:$Q$22*(1-($A692/固有振動数!$O$6:$O$22)^2)/((1-($A692/固有振動数!$O$6:$O$22)^2)^2+固有振動数!$P$6:$P$22^2))</f>
        <v>11.8936852664416</v>
      </c>
      <c r="C692" s="71" t="n">
        <f aca="false">-SUMPRODUCT(固有振動数!$Q$6:$Q$22*固有振動数!$P$6:$P$22/((1-($A692/固有振動数!$O$6:$O$22)^2)^2+固有振動数!$P$6:$P$22^2))</f>
        <v>-1.10005691484217</v>
      </c>
      <c r="D692" s="71" t="n">
        <f aca="false">SQRT(B692^2+C692^2)</f>
        <v>11.9444495240702</v>
      </c>
      <c r="E692" s="72" t="n">
        <f aca="false">20*LOG10(MAX(D692,0.000000000001)/$K$3)</f>
        <v>21.5433227901021</v>
      </c>
      <c r="F692" s="5"/>
      <c r="G692" s="5"/>
      <c r="H692" s="5"/>
      <c r="I692" s="5"/>
      <c r="J692" s="5"/>
      <c r="K692" s="5"/>
      <c r="L692" s="5"/>
      <c r="M692" s="5"/>
      <c r="N692" s="5"/>
    </row>
    <row r="693" customFormat="false" ht="15" hidden="false" customHeight="false" outlineLevel="0" collapsed="false">
      <c r="A693" s="71" t="n">
        <f aca="false">A692+$F$3</f>
        <v>13740</v>
      </c>
      <c r="B693" s="71" t="n">
        <f aca="false">SUMPRODUCT(固有振動数!$Q$6:$Q$22*(1-($A693/固有振動数!$O$6:$O$22)^2)/((1-($A693/固有振動数!$O$6:$O$22)^2)^2+固有振動数!$P$6:$P$22^2))</f>
        <v>12.1768629201961</v>
      </c>
      <c r="C693" s="71" t="n">
        <f aca="false">-SUMPRODUCT(固有振動数!$Q$6:$Q$22*固有振動数!$P$6:$P$22/((1-($A693/固有振動数!$O$6:$O$22)^2)^2+固有振動数!$P$6:$P$22^2))</f>
        <v>-1.09793502328987</v>
      </c>
      <c r="D693" s="71" t="n">
        <f aca="false">SQRT(B693^2+C693^2)</f>
        <v>12.2262607485941</v>
      </c>
      <c r="E693" s="72" t="n">
        <f aca="false">20*LOG10(MAX(D693,0.000000000001)/$K$3)</f>
        <v>21.7458730744016</v>
      </c>
      <c r="F693" s="5"/>
      <c r="G693" s="5"/>
      <c r="H693" s="5"/>
      <c r="I693" s="5"/>
      <c r="J693" s="5"/>
      <c r="K693" s="5"/>
      <c r="L693" s="5"/>
      <c r="M693" s="5"/>
      <c r="N693" s="5"/>
    </row>
    <row r="694" customFormat="false" ht="15" hidden="false" customHeight="false" outlineLevel="0" collapsed="false">
      <c r="A694" s="71" t="n">
        <f aca="false">A693+$F$3</f>
        <v>13760</v>
      </c>
      <c r="B694" s="71" t="n">
        <f aca="false">SUMPRODUCT(固有振動数!$Q$6:$Q$22*(1-($A694/固有振動数!$O$6:$O$22)^2)/((1-($A694/固有振動数!$O$6:$O$22)^2)^2+固有振動数!$P$6:$P$22^2))</f>
        <v>12.4584469475156</v>
      </c>
      <c r="C694" s="71" t="n">
        <f aca="false">-SUMPRODUCT(固有振動数!$Q$6:$Q$22*固有振動数!$P$6:$P$22/((1-($A694/固有振動数!$O$6:$O$22)^2)^2+固有振動数!$P$6:$P$22^2))</f>
        <v>-1.09745756506013</v>
      </c>
      <c r="D694" s="71" t="n">
        <f aca="false">SQRT(B694^2+C694^2)</f>
        <v>12.5066907474027</v>
      </c>
      <c r="E694" s="72" t="n">
        <f aca="false">20*LOG10(MAX(D694,0.000000000001)/$K$3)</f>
        <v>21.9428482238209</v>
      </c>
      <c r="F694" s="5"/>
      <c r="G694" s="5"/>
      <c r="H694" s="5"/>
      <c r="I694" s="5"/>
      <c r="J694" s="5"/>
      <c r="K694" s="5"/>
      <c r="L694" s="5"/>
      <c r="M694" s="5"/>
      <c r="N694" s="5"/>
    </row>
    <row r="695" customFormat="false" ht="15" hidden="false" customHeight="false" outlineLevel="0" collapsed="false">
      <c r="A695" s="71" t="n">
        <f aca="false">A694+$F$3</f>
        <v>13780</v>
      </c>
      <c r="B695" s="71" t="n">
        <f aca="false">SUMPRODUCT(固有振動数!$Q$6:$Q$22*(1-($A695/固有振動数!$O$6:$O$22)^2)/((1-($A695/固有振動数!$O$6:$O$22)^2)^2+固有振動数!$P$6:$P$22^2))</f>
        <v>12.7389072944197</v>
      </c>
      <c r="C695" s="71" t="n">
        <f aca="false">-SUMPRODUCT(固有振動数!$Q$6:$Q$22*固有振動数!$P$6:$P$22/((1-($A695/固有振動数!$O$6:$O$22)^2)^2+固有振動数!$P$6:$P$22^2))</f>
        <v>-1.09859862462039</v>
      </c>
      <c r="D695" s="71" t="n">
        <f aca="false">SQRT(B695^2+C695^2)</f>
        <v>12.7861909102687</v>
      </c>
      <c r="E695" s="72" t="n">
        <f aca="false">20*LOG10(MAX(D695,0.000000000001)/$K$3)</f>
        <v>22.1348236917071</v>
      </c>
      <c r="F695" s="5"/>
      <c r="G695" s="5"/>
      <c r="H695" s="5"/>
      <c r="I695" s="5"/>
      <c r="J695" s="5"/>
      <c r="K695" s="5"/>
      <c r="L695" s="5"/>
      <c r="M695" s="5"/>
      <c r="N695" s="5"/>
    </row>
    <row r="696" customFormat="false" ht="15" hidden="false" customHeight="false" outlineLevel="0" collapsed="false">
      <c r="A696" s="71" t="n">
        <f aca="false">A695+$F$3</f>
        <v>13800</v>
      </c>
      <c r="B696" s="71" t="n">
        <f aca="false">SUMPRODUCT(固有振動数!$Q$6:$Q$22*(1-($A696/固有振動数!$O$6:$O$22)^2)/((1-($A696/固有振動数!$O$6:$O$22)^2)^2+固有振動数!$P$6:$P$22^2))</f>
        <v>13.0187047981697</v>
      </c>
      <c r="C696" s="71" t="n">
        <f aca="false">-SUMPRODUCT(固有振動数!$Q$6:$Q$22*固有振動数!$P$6:$P$22/((1-($A696/固有振動数!$O$6:$O$22)^2)^2+固有振動数!$P$6:$P$22^2))</f>
        <v>-1.10134300188407</v>
      </c>
      <c r="D696" s="71" t="n">
        <f aca="false">SQRT(B696^2+C696^2)</f>
        <v>13.0652068881317</v>
      </c>
      <c r="E696" s="72" t="n">
        <f aca="false">20*LOG10(MAX(D696,0.000000000001)/$K$3)</f>
        <v>22.3223258238043</v>
      </c>
      <c r="F696" s="5"/>
      <c r="G696" s="5"/>
      <c r="H696" s="5"/>
      <c r="I696" s="5"/>
      <c r="J696" s="5"/>
      <c r="K696" s="5"/>
      <c r="L696" s="5"/>
      <c r="M696" s="5"/>
      <c r="N696" s="5"/>
    </row>
    <row r="697" customFormat="false" ht="15" hidden="false" customHeight="false" outlineLevel="0" collapsed="false">
      <c r="A697" s="71" t="n">
        <f aca="false">A696+$F$3</f>
        <v>13820</v>
      </c>
      <c r="B697" s="71" t="n">
        <f aca="false">SUMPRODUCT(固有振動数!$Q$6:$Q$22*(1-($A697/固有振動数!$O$6:$O$22)^2)/((1-($A697/固有振動数!$O$6:$O$22)^2)^2+固有振動数!$P$6:$P$22^2))</f>
        <v>13.2982941499017</v>
      </c>
      <c r="C697" s="71" t="n">
        <f aca="false">-SUMPRODUCT(固有振動数!$Q$6:$Q$22*固有振動数!$P$6:$P$22/((1-($A697/固有振動数!$O$6:$O$22)^2)^2+固有振動数!$P$6:$P$22^2))</f>
        <v>-1.1056859114539</v>
      </c>
      <c r="D697" s="71" t="n">
        <f aca="false">SQRT(B697^2+C697^2)</f>
        <v>13.344181077612</v>
      </c>
      <c r="E697" s="72" t="n">
        <f aca="false">20*LOG10(MAX(D697,0.000000000001)/$K$3)</f>
        <v>22.5058385322913</v>
      </c>
      <c r="F697" s="5"/>
      <c r="G697" s="5"/>
      <c r="H697" s="5"/>
      <c r="I697" s="5"/>
      <c r="J697" s="5"/>
      <c r="K697" s="5"/>
      <c r="L697" s="5"/>
      <c r="M697" s="5"/>
      <c r="N697" s="5"/>
    </row>
    <row r="698" customFormat="false" ht="15" hidden="false" customHeight="false" outlineLevel="0" collapsed="false">
      <c r="A698" s="71" t="n">
        <f aca="false">A697+$F$3</f>
        <v>13840</v>
      </c>
      <c r="B698" s="71" t="n">
        <f aca="false">SUMPRODUCT(固有振動数!$Q$6:$Q$22*(1-($A698/固有振動数!$O$6:$O$22)^2)/((1-($A698/固有振動数!$O$6:$O$22)^2)^2+固有振動数!$P$6:$P$22^2))</f>
        <v>13.5781267655925</v>
      </c>
      <c r="C698" s="71" t="n">
        <f aca="false">-SUMPRODUCT(固有振動数!$Q$6:$Q$22*固有振動数!$P$6:$P$22/((1-($A698/固有振動数!$O$6:$O$22)^2)^2+固有振動数!$P$6:$P$22^2))</f>
        <v>-1.11163282795605</v>
      </c>
      <c r="D698" s="71" t="n">
        <f aca="false">SQRT(B698^2+C698^2)</f>
        <v>13.6235551162936</v>
      </c>
      <c r="E698" s="72" t="n">
        <f aca="false">20*LOG10(MAX(D698,0.000000000001)/$K$3)</f>
        <v>22.6858090618428</v>
      </c>
      <c r="F698" s="5"/>
      <c r="G698" s="5"/>
      <c r="H698" s="5"/>
      <c r="I698" s="5"/>
      <c r="J698" s="5"/>
      <c r="K698" s="5"/>
      <c r="L698" s="5"/>
      <c r="M698" s="5"/>
      <c r="N698" s="5"/>
    </row>
    <row r="699" customFormat="false" ht="15" hidden="false" customHeight="false" outlineLevel="0" collapsed="false">
      <c r="A699" s="71" t="n">
        <f aca="false">A698+$F$3</f>
        <v>13860</v>
      </c>
      <c r="B699" s="71" t="n">
        <f aca="false">SUMPRODUCT(固有振動数!$Q$6:$Q$22*(1-($A699/固有振動数!$O$6:$O$22)^2)/((1-($A699/固有振動数!$O$6:$O$22)^2)^2+固有振動数!$P$6:$P$22^2))</f>
        <v>13.8586536038543</v>
      </c>
      <c r="C699" s="71" t="n">
        <f aca="false">-SUMPRODUCT(固有振動数!$Q$6:$Q$22*固有振動数!$P$6:$P$22/((1-($A699/固有振動数!$O$6:$O$22)^2)^2+固有振動数!$P$6:$P$22^2))</f>
        <v>-1.11919947270919</v>
      </c>
      <c r="D699" s="71" t="n">
        <f aca="false">SQRT(B699^2+C699^2)</f>
        <v>13.9037724079235</v>
      </c>
      <c r="E699" s="72" t="n">
        <f aca="false">20*LOG10(MAX(D699,0.000000000001)/$K$3)</f>
        <v>22.8626530031622</v>
      </c>
      <c r="F699" s="5"/>
      <c r="G699" s="5"/>
      <c r="H699" s="5"/>
      <c r="I699" s="5"/>
      <c r="J699" s="5"/>
      <c r="K699" s="5"/>
      <c r="L699" s="5"/>
      <c r="M699" s="5"/>
      <c r="N699" s="5"/>
    </row>
    <row r="700" customFormat="false" ht="15" hidden="false" customHeight="false" outlineLevel="0" collapsed="false">
      <c r="A700" s="71" t="n">
        <f aca="false">A699+$F$3</f>
        <v>13880</v>
      </c>
      <c r="B700" s="71" t="n">
        <f aca="false">SUMPRODUCT(固有振動数!$Q$6:$Q$22*(1-($A700/固有振動数!$O$6:$O$22)^2)/((1-($A700/固有振動数!$O$6:$O$22)^2)^2+固有振動数!$P$6:$P$22^2))</f>
        <v>14.1403279677273</v>
      </c>
      <c r="C700" s="71" t="n">
        <f aca="false">-SUMPRODUCT(固有振動数!$Q$6:$Q$22*固有振動数!$P$6:$P$22/((1-($A700/固有振動数!$O$6:$O$22)^2)^2+固有振動数!$P$6:$P$22^2))</f>
        <v>-1.12841194032659</v>
      </c>
      <c r="D700" s="71" t="n">
        <f aca="false">SQRT(B700^2+C700^2)</f>
        <v>14.185280700147</v>
      </c>
      <c r="E700" s="72" t="n">
        <f aca="false">20*LOG10(MAX(D700,0.000000000001)/$K$3)</f>
        <v>23.036758681832</v>
      </c>
      <c r="F700" s="5"/>
      <c r="G700" s="5"/>
      <c r="H700" s="5"/>
      <c r="I700" s="5"/>
      <c r="J700" s="5"/>
      <c r="K700" s="5"/>
      <c r="L700" s="5"/>
      <c r="M700" s="5"/>
      <c r="N700" s="5"/>
    </row>
    <row r="701" customFormat="false" ht="15" hidden="false" customHeight="false" outlineLevel="0" collapsed="false">
      <c r="A701" s="71" t="n">
        <f aca="false">A700+$F$3</f>
        <v>13900</v>
      </c>
      <c r="B701" s="71" t="n">
        <f aca="false">SUMPRODUCT(固有振動数!$Q$6:$Q$22*(1-($A701/固有振動数!$O$6:$O$22)^2)/((1-($A701/固有振動数!$O$6:$O$22)^2)^2+固有振動数!$P$6:$P$22^2))</f>
        <v>14.4236083271332</v>
      </c>
      <c r="C701" s="71" t="n">
        <f aca="false">-SUMPRODUCT(固有振動数!$Q$6:$Q$22*固有振動数!$P$6:$P$22/((1-($A701/固有振動数!$O$6:$O$22)^2)^2+固有振動数!$P$6:$P$22^2))</f>
        <v>-1.13930696712913</v>
      </c>
      <c r="D701" s="71" t="n">
        <f aca="false">SQRT(B701^2+C701^2)</f>
        <v>14.4685347405982</v>
      </c>
      <c r="E701" s="72" t="n">
        <f aca="false">20*LOG10(MAX(D701,0.000000000001)/$K$3)</f>
        <v>23.2084910283322</v>
      </c>
      <c r="F701" s="5"/>
      <c r="G701" s="5"/>
      <c r="H701" s="5"/>
      <c r="I701" s="5"/>
      <c r="J701" s="5"/>
      <c r="K701" s="5"/>
      <c r="L701" s="5"/>
      <c r="M701" s="5"/>
      <c r="N701" s="5"/>
    </row>
    <row r="702" customFormat="false" ht="15" hidden="false" customHeight="false" outlineLevel="0" collapsed="false">
      <c r="A702" s="71" t="n">
        <f aca="false">A701+$F$3</f>
        <v>13920</v>
      </c>
      <c r="B702" s="71" t="n">
        <f aca="false">SUMPRODUCT(固有振動数!$Q$6:$Q$22*(1-($A702/固有振動数!$O$6:$O$22)^2)/((1-($A702/固有振動数!$O$6:$O$22)^2)^2+固有振動数!$P$6:$P$22^2))</f>
        <v>14.7089611989589</v>
      </c>
      <c r="C702" s="71" t="n">
        <f aca="false">-SUMPRODUCT(固有振動数!$Q$6:$Q$22*固有振動数!$P$6:$P$22/((1-($A702/固有振動数!$O$6:$O$22)^2)^2+固有振動数!$P$6:$P$22^2))</f>
        <v>-1.15193234656808</v>
      </c>
      <c r="D702" s="71" t="n">
        <f aca="false">SQRT(B702^2+C702^2)</f>
        <v>14.7539990403805</v>
      </c>
      <c r="E702" s="72" t="n">
        <f aca="false">20*LOG10(MAX(D702,0.000000000001)/$K$3)</f>
        <v>23.3781950175056</v>
      </c>
      <c r="F702" s="5"/>
      <c r="G702" s="5"/>
      <c r="H702" s="5"/>
      <c r="I702" s="5"/>
      <c r="J702" s="5"/>
      <c r="K702" s="5"/>
      <c r="L702" s="5"/>
      <c r="M702" s="5"/>
      <c r="N702" s="5"/>
    </row>
    <row r="703" customFormat="false" ht="15" hidden="false" customHeight="false" outlineLevel="0" collapsed="false">
      <c r="A703" s="71" t="n">
        <f aca="false">A702+$F$3</f>
        <v>13940</v>
      </c>
      <c r="B703" s="71" t="n">
        <f aca="false">SUMPRODUCT(固有振動数!$Q$6:$Q$22*(1-($A703/固有振動数!$O$6:$O$22)^2)/((1-($A703/固有振動数!$O$6:$O$22)^2)^2+固有振動数!$P$6:$P$22^2))</f>
        <v>14.9968641228665</v>
      </c>
      <c r="C703" s="71" t="n">
        <f aca="false">-SUMPRODUCT(固有振動数!$Q$6:$Q$22*固有振動数!$P$6:$P$22/((1-($A703/固有振動数!$O$6:$O$22)^2)^2+固有振動数!$P$6:$P$22^2))</f>
        <v>-1.16634750033976</v>
      </c>
      <c r="D703" s="71" t="n">
        <f aca="false">SQRT(B703^2+C703^2)</f>
        <v>15.042150777441</v>
      </c>
      <c r="E703" s="72" t="n">
        <f aca="false">20*LOG10(MAX(D703,0.000000000001)/$K$3)</f>
        <v>23.5461987516988</v>
      </c>
      <c r="F703" s="5"/>
      <c r="G703" s="5"/>
      <c r="H703" s="5"/>
      <c r="I703" s="5"/>
      <c r="J703" s="5"/>
      <c r="K703" s="5"/>
      <c r="L703" s="5"/>
      <c r="M703" s="5"/>
      <c r="N703" s="5"/>
    </row>
    <row r="704" customFormat="false" ht="15" hidden="false" customHeight="false" outlineLevel="0" collapsed="false">
      <c r="A704" s="71" t="n">
        <f aca="false">A703+$F$3</f>
        <v>13960</v>
      </c>
      <c r="B704" s="71" t="n">
        <f aca="false">SUMPRODUCT(固有振動数!$Q$6:$Q$22*(1-($A704/固有振動数!$O$6:$O$22)^2)/((1-($A704/固有振動数!$O$6:$O$22)^2)^2+固有振動数!$P$6:$P$22^2))</f>
        <v>15.2878087728951</v>
      </c>
      <c r="C704" s="71" t="n">
        <f aca="false">-SUMPRODUCT(固有振動数!$Q$6:$Q$22*固有振動数!$P$6:$P$22/((1-($A704/固有振動数!$O$6:$O$22)^2)^2+固有振動数!$P$6:$P$22^2))</f>
        <v>-1.18262421764336</v>
      </c>
      <c r="D704" s="71" t="n">
        <f aca="false">SQRT(B704^2+C704^2)</f>
        <v>15.3334828762667</v>
      </c>
      <c r="E704" s="72" t="n">
        <f aca="false">20*LOG10(MAX(D704,0.000000000001)/$K$3)</f>
        <v>23.7128162505697</v>
      </c>
      <c r="F704" s="5"/>
      <c r="G704" s="5"/>
      <c r="H704" s="5"/>
      <c r="I704" s="5"/>
      <c r="J704" s="5"/>
      <c r="K704" s="5"/>
      <c r="L704" s="5"/>
      <c r="M704" s="5"/>
      <c r="N704" s="5"/>
    </row>
    <row r="705" customFormat="false" ht="15" hidden="false" customHeight="false" outlineLevel="0" collapsed="false">
      <c r="A705" s="71" t="n">
        <f aca="false">A704+$F$3</f>
        <v>13980</v>
      </c>
      <c r="B705" s="71" t="n">
        <f aca="false">SUMPRODUCT(固有振動数!$Q$6:$Q$22*(1-($A705/固有振動数!$O$6:$O$22)^2)/((1-($A705/固有振動数!$O$6:$O$22)^2)^2+固有振動数!$P$6:$P$22^2))</f>
        <v>15.5823042478056</v>
      </c>
      <c r="C705" s="71" t="n">
        <f aca="false">-SUMPRODUCT(固有振動数!$Q$6:$Q$22*固有振動数!$P$6:$P$22/((1-($A705/固有振動数!$O$6:$O$22)^2)^2+固有振動数!$P$6:$P$22^2))</f>
        <v>-1.20084757922933</v>
      </c>
      <c r="D705" s="71" t="n">
        <f aca="false">SQRT(B705^2+C705^2)</f>
        <v>15.6285073049131</v>
      </c>
      <c r="E705" s="72" t="n">
        <f aca="false">20*LOG10(MAX(D705,0.000000000001)/$K$3)</f>
        <v>23.8783500015906</v>
      </c>
      <c r="F705" s="5"/>
      <c r="G705" s="5"/>
      <c r="H705" s="5"/>
      <c r="I705" s="5"/>
      <c r="J705" s="5"/>
      <c r="K705" s="5"/>
      <c r="L705" s="5"/>
      <c r="M705" s="5"/>
      <c r="N705" s="5"/>
    </row>
    <row r="706" customFormat="false" ht="15" hidden="false" customHeight="false" outlineLevel="0" collapsed="false">
      <c r="A706" s="71" t="n">
        <f aca="false">A705+$F$3</f>
        <v>14000</v>
      </c>
      <c r="B706" s="71" t="n">
        <f aca="false">SUMPRODUCT(固有振動数!$Q$6:$Q$22*(1-($A706/固有振動数!$O$6:$O$22)^2)/((1-($A706/固有振動数!$O$6:$O$22)^2)^2+固有振動数!$P$6:$P$22^2))</f>
        <v>15.8808805870033</v>
      </c>
      <c r="C706" s="71" t="n">
        <f aca="false">-SUMPRODUCT(固有振動数!$Q$6:$Q$22*固有振動数!$P$6:$P$22/((1-($A706/固有振動数!$O$6:$O$22)^2)^2+固有振動数!$P$6:$P$22^2))</f>
        <v>-1.22111708766847</v>
      </c>
      <c r="D706" s="71" t="n">
        <f aca="false">SQRT(B706^2+C706^2)</f>
        <v>15.9277586358048</v>
      </c>
      <c r="E706" s="72" t="n">
        <f aca="false">20*LOG10(MAX(D706,0.000000000001)/$K$3)</f>
        <v>24.0430933181717</v>
      </c>
      <c r="F706" s="5"/>
      <c r="G706" s="5"/>
      <c r="H706" s="5"/>
      <c r="I706" s="5"/>
      <c r="J706" s="5"/>
      <c r="K706" s="5"/>
      <c r="L706" s="5"/>
      <c r="M706" s="5"/>
      <c r="N706" s="5"/>
    </row>
    <row r="707" customFormat="false" ht="15" hidden="false" customHeight="false" outlineLevel="0" collapsed="false">
      <c r="A707" s="71" t="n">
        <f aca="false">A706+$F$3</f>
        <v>14020</v>
      </c>
      <c r="B707" s="71" t="n">
        <f aca="false">SUMPRODUCT(固有振動数!$Q$6:$Q$22*(1-($A707/固有振動数!$O$6:$O$22)^2)/((1-($A707/固有振動数!$O$6:$O$22)^2)^2+固有振動数!$P$6:$P$22^2))</f>
        <v>16.1840925638916</v>
      </c>
      <c r="C707" s="71" t="n">
        <f aca="false">-SUMPRODUCT(固有振動数!$Q$6:$Q$22*固有振動数!$P$6:$P$22/((1-($A707/固有振動数!$O$6:$O$22)^2)^2+固有振動数!$P$6:$P$22^2))</f>
        <v>-1.24354803083223</v>
      </c>
      <c r="D707" s="71" t="n">
        <f aca="false">SQRT(B707^2+C707^2)</f>
        <v>16.2317979232615</v>
      </c>
      <c r="E707" s="72" t="n">
        <f aca="false">20*LOG10(MAX(D707,0.000000000001)/$K$3)</f>
        <v>24.2073325467469</v>
      </c>
      <c r="F707" s="5"/>
      <c r="G707" s="5"/>
      <c r="H707" s="5"/>
      <c r="I707" s="5"/>
      <c r="J707" s="5"/>
      <c r="K707" s="5"/>
      <c r="L707" s="5"/>
      <c r="M707" s="5"/>
      <c r="N707" s="5"/>
    </row>
    <row r="708" customFormat="false" ht="15" hidden="false" customHeight="false" outlineLevel="0" collapsed="false">
      <c r="A708" s="71" t="n">
        <f aca="false">A707+$F$3</f>
        <v>14040</v>
      </c>
      <c r="B708" s="71" t="n">
        <f aca="false">SUMPRODUCT(固有振動数!$Q$6:$Q$22*(1-($A708/固有振動数!$O$6:$O$22)^2)/((1-($A708/固有振動数!$O$6:$O$22)^2)^2+固有振動数!$P$6:$P$22^2))</f>
        <v>16.492523814821</v>
      </c>
      <c r="C708" s="71" t="n">
        <f aca="false">-SUMPRODUCT(固有振動数!$Q$6:$Q$22*固有振動数!$P$6:$P$22/((1-($A708/固有振動数!$O$6:$O$22)^2)^2+固有振動数!$P$6:$P$22^2))</f>
        <v>-1.26827311214325</v>
      </c>
      <c r="D708" s="71" t="n">
        <f aca="false">SQRT(B708^2+C708^2)</f>
        <v>16.5412169585379</v>
      </c>
      <c r="E708" s="72" t="n">
        <f aca="false">20*LOG10(MAX(D708,0.000000000001)/$K$3)</f>
        <v>24.3713491598751</v>
      </c>
      <c r="F708" s="5"/>
      <c r="G708" s="5"/>
      <c r="H708" s="5"/>
      <c r="I708" s="5"/>
      <c r="J708" s="5"/>
      <c r="K708" s="5"/>
      <c r="L708" s="5"/>
      <c r="M708" s="5"/>
      <c r="N708" s="5"/>
    </row>
    <row r="709" customFormat="false" ht="15" hidden="false" customHeight="false" outlineLevel="0" collapsed="false">
      <c r="A709" s="71" t="n">
        <f aca="false">A708+$F$3</f>
        <v>14060</v>
      </c>
      <c r="B709" s="71" t="n">
        <f aca="false">SUMPRODUCT(固有振動数!$Q$6:$Q$22*(1-($A709/固有振動数!$O$6:$O$22)^2)/((1-($A709/固有振動数!$O$6:$O$22)^2)^2+固有振動数!$P$6:$P$22^2))</f>
        <v>16.8067913696257</v>
      </c>
      <c r="C709" s="71" t="n">
        <f aca="false">-SUMPRODUCT(固有振動数!$Q$6:$Q$22*固有振動数!$P$6:$P$22/((1-($A709/固有振動数!$O$6:$O$22)^2)^2+固有振動数!$P$6:$P$22^2))</f>
        <v>-1.29544438901656</v>
      </c>
      <c r="D709" s="71" t="n">
        <f aca="false">SQRT(B709^2+C709^2)</f>
        <v>16.8566429726432</v>
      </c>
      <c r="E709" s="72" t="n">
        <f aca="false">20*LOG10(MAX(D709,0.000000000001)/$K$3)</f>
        <v>24.5354217692117</v>
      </c>
      <c r="F709" s="5"/>
      <c r="G709" s="5"/>
      <c r="H709" s="5"/>
      <c r="I709" s="5"/>
      <c r="J709" s="5"/>
      <c r="K709" s="5"/>
      <c r="L709" s="5"/>
      <c r="M709" s="5"/>
      <c r="N709" s="5"/>
    </row>
    <row r="710" customFormat="false" ht="15" hidden="false" customHeight="false" outlineLevel="0" collapsed="false">
      <c r="A710" s="71" t="n">
        <f aca="false">A709+$F$3</f>
        <v>14080</v>
      </c>
      <c r="B710" s="71" t="n">
        <f aca="false">SUMPRODUCT(固有振動数!$Q$6:$Q$22*(1-($A710/固有振動数!$O$6:$O$22)^2)/((1-($A710/固有振動数!$O$6:$O$22)^2)^2+固有振動数!$P$6:$P$22^2))</f>
        <v>17.1275506593528</v>
      </c>
      <c r="C710" s="71" t="n">
        <f aca="false">-SUMPRODUCT(固有振動数!$Q$6:$Q$22*固有振動数!$P$6:$P$22/((1-($A710/固有振動数!$O$6:$O$22)^2)^2+固有振動数!$P$6:$P$22^2))</f>
        <v>-1.32523557042448</v>
      </c>
      <c r="D710" s="71" t="n">
        <f aca="false">SQRT(B710^2+C710^2)</f>
        <v>17.1787438686831</v>
      </c>
      <c r="E710" s="72" t="n">
        <f aca="false">20*LOG10(MAX(D710,0.000000000001)/$K$3)</f>
        <v>24.6998280899697</v>
      </c>
      <c r="F710" s="5"/>
      <c r="G710" s="5"/>
      <c r="H710" s="5"/>
      <c r="I710" s="5"/>
      <c r="J710" s="5"/>
      <c r="K710" s="5"/>
      <c r="L710" s="5"/>
      <c r="M710" s="5"/>
      <c r="N710" s="5"/>
    </row>
    <row r="711" customFormat="false" ht="15" hidden="false" customHeight="false" outlineLevel="0" collapsed="false">
      <c r="A711" s="71" t="n">
        <f aca="false">A710+$F$3</f>
        <v>14100</v>
      </c>
      <c r="B711" s="71" t="n">
        <f aca="false">SUMPRODUCT(固有振動数!$Q$6:$Q$22*(1-($A711/固有振動数!$O$6:$O$22)^2)/((1-($A711/固有振動数!$O$6:$O$22)^2)^2+固有振動数!$P$6:$P$22^2))</f>
        <v>17.4555010885385</v>
      </c>
      <c r="C711" s="71" t="n">
        <f aca="false">-SUMPRODUCT(固有振動数!$Q$6:$Q$22*固有振動数!$P$6:$P$22/((1-($A711/固有振動数!$O$6:$O$22)^2)^2+固有振動数!$P$6:$P$22^2))</f>
        <v>-1.35784473613209</v>
      </c>
      <c r="D711" s="71" t="n">
        <f aca="false">SQRT(B711^2+C711^2)</f>
        <v>17.5082340794099</v>
      </c>
      <c r="E711" s="72" t="n">
        <f aca="false">20*LOG10(MAX(D711,0.000000000001)/$K$3)</f>
        <v>24.8648468871245</v>
      </c>
      <c r="F711" s="5"/>
      <c r="G711" s="5"/>
      <c r="H711" s="5"/>
      <c r="I711" s="5"/>
      <c r="J711" s="5"/>
      <c r="K711" s="5"/>
      <c r="L711" s="5"/>
      <c r="M711" s="5"/>
      <c r="N711" s="5"/>
    </row>
    <row r="712" customFormat="false" ht="15" hidden="false" customHeight="false" outlineLevel="0" collapsed="false">
      <c r="A712" s="71" t="n">
        <f aca="false">A711+$F$3</f>
        <v>14120</v>
      </c>
      <c r="B712" s="71" t="n">
        <f aca="false">SUMPRODUCT(固有振動数!$Q$6:$Q$22*(1-($A712/固有振動数!$O$6:$O$22)^2)/((1-($A712/固有振動数!$O$6:$O$22)^2)^2+固有振動数!$P$6:$P$22^2))</f>
        <v>17.7913922736978</v>
      </c>
      <c r="C712" s="71" t="n">
        <f aca="false">-SUMPRODUCT(固有振動数!$Q$6:$Q$22*固有振動数!$P$6:$P$22/((1-($A712/固有振動数!$O$6:$O$22)^2)^2+固有振動数!$P$6:$P$22^2))</f>
        <v>-1.39349755444409</v>
      </c>
      <c r="D712" s="71" t="n">
        <f aca="false">SQRT(B712^2+C712^2)</f>
        <v>17.8458811626334</v>
      </c>
      <c r="E712" s="72" t="n">
        <f aca="false">20*LOG10(MAX(D712,0.000000000001)/$K$3)</f>
        <v>25.0307599330529</v>
      </c>
      <c r="F712" s="5"/>
      <c r="G712" s="5"/>
      <c r="H712" s="5"/>
      <c r="I712" s="5"/>
      <c r="J712" s="5"/>
      <c r="K712" s="5"/>
      <c r="L712" s="5"/>
      <c r="M712" s="5"/>
      <c r="N712" s="5"/>
    </row>
    <row r="713" customFormat="false" ht="15" hidden="false" customHeight="false" outlineLevel="0" collapsed="false">
      <c r="A713" s="71" t="n">
        <f aca="false">A712+$F$3</f>
        <v>14140</v>
      </c>
      <c r="B713" s="71" t="n">
        <f aca="false">SUMPRODUCT(固有振動数!$Q$6:$Q$22*(1-($A713/固有振動数!$O$6:$O$22)^2)/((1-($A713/固有振動数!$O$6:$O$22)^2)^2+固有振動数!$P$6:$P$22^2))</f>
        <v>18.1360310671246</v>
      </c>
      <c r="C713" s="71" t="n">
        <f aca="false">-SUMPRODUCT(固有振動数!$Q$6:$Q$22*固有振動数!$P$6:$P$22/((1-($A713/固有振動数!$O$6:$O$22)^2)^2+固有振動数!$P$6:$P$22^2))</f>
        <v>-1.43245109302067</v>
      </c>
      <c r="D713" s="71" t="n">
        <f aca="false">SQRT(B713^2+C713^2)</f>
        <v>18.1925132678694</v>
      </c>
      <c r="E713" s="72" t="n">
        <f aca="false">20*LOG10(MAX(D713,0.000000000001)/$K$3)</f>
        <v>25.1978540065246</v>
      </c>
      <c r="F713" s="5"/>
      <c r="G713" s="5"/>
      <c r="H713" s="5"/>
      <c r="I713" s="5"/>
      <c r="J713" s="5"/>
      <c r="K713" s="5"/>
      <c r="L713" s="5"/>
      <c r="M713" s="5"/>
      <c r="N713" s="5"/>
    </row>
    <row r="714" customFormat="false" ht="15" hidden="false" customHeight="false" outlineLevel="0" collapsed="false">
      <c r="A714" s="71" t="n">
        <f aca="false">A713+$F$3</f>
        <v>14160</v>
      </c>
      <c r="B714" s="71" t="n">
        <f aca="false">SUMPRODUCT(固有振動数!$Q$6:$Q$22*(1-($A714/固有振動数!$O$6:$O$22)^2)/((1-($A714/固有振動数!$O$6:$O$22)^2)^2+固有振動数!$P$6:$P$22^2))</f>
        <v>18.4902895063142</v>
      </c>
      <c r="C714" s="71" t="n">
        <f aca="false">-SUMPRODUCT(固有振動数!$Q$6:$Q$22*固有振動数!$P$6:$P$22/((1-($A714/固有振動数!$O$6:$O$22)^2)^2+固有振動数!$P$6:$P$22^2))</f>
        <v>-1.47499833942387</v>
      </c>
      <c r="D714" s="71" t="n">
        <f aca="false">SQRT(B714^2+C714^2)</f>
        <v>18.5490276329682</v>
      </c>
      <c r="E714" s="72" t="n">
        <f aca="false">20*LOG10(MAX(D714,0.000000000001)/$K$3)</f>
        <v>25.3664229639758</v>
      </c>
      <c r="F714" s="5"/>
      <c r="G714" s="5"/>
      <c r="H714" s="5"/>
      <c r="I714" s="5"/>
      <c r="J714" s="5"/>
      <c r="K714" s="5"/>
      <c r="L714" s="5"/>
      <c r="M714" s="5"/>
      <c r="N714" s="5"/>
    </row>
    <row r="715" customFormat="false" ht="15" hidden="false" customHeight="false" outlineLevel="0" collapsed="false">
      <c r="A715" s="71" t="n">
        <f aca="false">A714+$F$3</f>
        <v>14180</v>
      </c>
      <c r="B715" s="71" t="n">
        <f aca="false">SUMPRODUCT(固有振動数!$Q$6:$Q$22*(1-($A715/固有振動数!$O$6:$O$22)^2)/((1-($A715/固有振動数!$O$6:$O$22)^2)^2+固有振動数!$P$6:$P$22^2))</f>
        <v>18.855113855196</v>
      </c>
      <c r="C715" s="71" t="n">
        <f aca="false">-SUMPRODUCT(固有振動数!$Q$6:$Q$22*固有振動数!$P$6:$P$22/((1-($A715/固有振動数!$O$6:$O$22)^2)^2+固有振動数!$P$6:$P$22^2))</f>
        <v>-1.52147357580732</v>
      </c>
      <c r="D715" s="71" t="n">
        <f aca="false">SQRT(B715^2+C715^2)</f>
        <v>18.9164003006461</v>
      </c>
      <c r="E715" s="72" t="n">
        <f aca="false">20*LOG10(MAX(D715,0.000000000001)/$K$3)</f>
        <v>25.5367699158361</v>
      </c>
      <c r="F715" s="5"/>
      <c r="G715" s="5"/>
      <c r="H715" s="5"/>
      <c r="I715" s="5"/>
      <c r="J715" s="5"/>
      <c r="K715" s="5"/>
      <c r="L715" s="5"/>
      <c r="M715" s="5"/>
      <c r="N715" s="5"/>
    </row>
    <row r="716" customFormat="false" ht="15" hidden="false" customHeight="false" outlineLevel="0" collapsed="false">
      <c r="A716" s="71" t="n">
        <f aca="false">A715+$F$3</f>
        <v>14200</v>
      </c>
      <c r="B716" s="71" t="n">
        <f aca="false">SUMPRODUCT(固有振動数!$Q$6:$Q$22*(1-($A716/固有振動数!$O$6:$O$22)^2)/((1-($A716/固有振動数!$O$6:$O$22)^2)^2+固有振動数!$P$6:$P$22^2))</f>
        <v>19.2315349349521</v>
      </c>
      <c r="C716" s="71" t="n">
        <f aca="false">-SUMPRODUCT(固有振動数!$Q$6:$Q$22*固有振動数!$P$6:$P$22/((1-($A716/固有振動数!$O$6:$O$22)^2)^2+固有振動数!$P$6:$P$22^2))</f>
        <v>-1.57225878721664</v>
      </c>
      <c r="D716" s="71" t="n">
        <f aca="false">SQRT(B716^2+C716^2)</f>
        <v>19.2956972832874</v>
      </c>
      <c r="E716" s="72" t="n">
        <f aca="false">20*LOG10(MAX(D716,0.000000000001)/$K$3)</f>
        <v>25.7092095434164</v>
      </c>
      <c r="F716" s="5"/>
      <c r="G716" s="5"/>
      <c r="H716" s="5"/>
      <c r="I716" s="5"/>
      <c r="J716" s="5"/>
      <c r="K716" s="5"/>
      <c r="L716" s="5"/>
      <c r="M716" s="5"/>
      <c r="N716" s="5"/>
    </row>
    <row r="717" customFormat="false" ht="15" hidden="false" customHeight="false" outlineLevel="0" collapsed="false">
      <c r="A717" s="71" t="n">
        <f aca="false">A716+$F$3</f>
        <v>14220</v>
      </c>
      <c r="B717" s="71" t="n">
        <f aca="false">SUMPRODUCT(固有振動数!$Q$6:$Q$22*(1-($A717/固有振動数!$O$6:$O$22)^2)/((1-($A717/固有振動数!$O$6:$O$22)^2)^2+固有振動数!$P$6:$P$22^2))</f>
        <v>19.6206799808766</v>
      </c>
      <c r="C717" s="71" t="n">
        <f aca="false">-SUMPRODUCT(固有振動数!$Q$6:$Q$22*固有振動数!$P$6:$P$22/((1-($A717/固有振動数!$O$6:$O$22)^2)^2+固有振動数!$P$6:$P$22^2))</f>
        <v>-1.62779132751826</v>
      </c>
      <c r="D717" s="71" t="n">
        <f aca="false">SQRT(B717^2+C717^2)</f>
        <v>19.688087452008</v>
      </c>
      <c r="E717" s="72" t="n">
        <f aca="false">20*LOG10(MAX(D717,0.000000000001)/$K$3)</f>
        <v>25.8840705956098</v>
      </c>
      <c r="F717" s="5"/>
      <c r="G717" s="5"/>
      <c r="H717" s="5"/>
      <c r="I717" s="5"/>
      <c r="J717" s="5"/>
      <c r="K717" s="5"/>
      <c r="L717" s="5"/>
      <c r="M717" s="5"/>
      <c r="N717" s="5"/>
    </row>
    <row r="718" customFormat="false" ht="15" hidden="false" customHeight="false" outlineLevel="0" collapsed="false">
      <c r="A718" s="71" t="n">
        <f aca="false">A717+$F$3</f>
        <v>14240</v>
      </c>
      <c r="B718" s="71" t="n">
        <f aca="false">SUMPRODUCT(固有振動数!$Q$6:$Q$22*(1-($A718/固有振動数!$O$6:$O$22)^2)/((1-($A718/固有振動数!$O$6:$O$22)^2)^2+固有振動数!$P$6:$P$22^2))</f>
        <v>20.0237863091752</v>
      </c>
      <c r="C718" s="71" t="n">
        <f aca="false">-SUMPRODUCT(固有振動数!$Q$6:$Q$22*固有振動数!$P$6:$P$22/((1-($A718/固有振動数!$O$6:$O$22)^2)^2+固有振動数!$P$6:$P$22^2))</f>
        <v>-1.68857312394321</v>
      </c>
      <c r="D718" s="71" t="n">
        <f aca="false">SQRT(B718^2+C718^2)</f>
        <v>20.094857485198</v>
      </c>
      <c r="E718" s="72" t="n">
        <f aca="false">20*LOG10(MAX(D718,0.000000000001)/$K$3)</f>
        <v>26.0616986095543</v>
      </c>
      <c r="F718" s="5"/>
      <c r="G718" s="5"/>
      <c r="H718" s="5"/>
      <c r="I718" s="5"/>
      <c r="J718" s="5"/>
      <c r="K718" s="5"/>
      <c r="L718" s="5"/>
      <c r="M718" s="5"/>
      <c r="N718" s="5"/>
    </row>
    <row r="719" customFormat="false" ht="15" hidden="false" customHeight="false" outlineLevel="0" collapsed="false">
      <c r="A719" s="71" t="n">
        <f aca="false">A718+$F$3</f>
        <v>14260</v>
      </c>
      <c r="B719" s="71" t="n">
        <f aca="false">SUMPRODUCT(固有振動数!$Q$6:$Q$22*(1-($A719/固有振動数!$O$6:$O$22)^2)/((1-($A719/固有振動数!$O$6:$O$22)^2)^2+固有振動数!$P$6:$P$22^2))</f>
        <v>20.4422171360011</v>
      </c>
      <c r="C719" s="71" t="n">
        <f aca="false">-SUMPRODUCT(固有振動数!$Q$6:$Q$22*固有振動数!$P$6:$P$22/((1-($A719/固有振動数!$O$6:$O$22)^2)^2+固有振動数!$P$6:$P$22^2))</f>
        <v>-1.75518177454054</v>
      </c>
      <c r="D719" s="71" t="n">
        <f aca="false">SQRT(B719^2+C719^2)</f>
        <v>20.5174292857828</v>
      </c>
      <c r="E719" s="72" t="n">
        <f aca="false">20*LOG10(MAX(D719,0.000000000001)/$K$3)</f>
        <v>26.2424589056588</v>
      </c>
      <c r="F719" s="5"/>
      <c r="G719" s="5"/>
      <c r="H719" s="5"/>
      <c r="I719" s="5"/>
      <c r="J719" s="5"/>
      <c r="K719" s="5"/>
      <c r="L719" s="5"/>
      <c r="M719" s="5"/>
      <c r="N719" s="5"/>
    </row>
    <row r="720" customFormat="false" ht="15" hidden="false" customHeight="false" outlineLevel="0" collapsed="false">
      <c r="A720" s="71" t="n">
        <f aca="false">A719+$F$3</f>
        <v>14280</v>
      </c>
      <c r="B720" s="71" t="n">
        <f aca="false">SUMPRODUCT(固有振動数!$Q$6:$Q$22*(1-($A720/固有振動数!$O$6:$O$22)^2)/((1-($A720/固有振動数!$O$6:$O$22)^2)^2+固有振動数!$P$6:$P$22^2))</f>
        <v>20.8774799630562</v>
      </c>
      <c r="C720" s="71" t="n">
        <f aca="false">-SUMPRODUCT(固有振動数!$Q$6:$Q$22*固有振動数!$P$6:$P$22/((1-($A720/固有振動数!$O$6:$O$22)^2)^2+固有振動数!$P$6:$P$22^2))</f>
        <v>-1.8282839877848</v>
      </c>
      <c r="D720" s="71" t="n">
        <f aca="false">SQRT(B720^2+C720^2)</f>
        <v>20.9573803694021</v>
      </c>
      <c r="E720" s="72" t="n">
        <f aca="false">20*LOG10(MAX(D720,0.000000000001)/$K$3)</f>
        <v>26.4267399152654</v>
      </c>
      <c r="F720" s="5"/>
      <c r="G720" s="5"/>
      <c r="H720" s="5"/>
      <c r="I720" s="5"/>
      <c r="J720" s="5"/>
      <c r="K720" s="5"/>
      <c r="L720" s="5"/>
      <c r="M720" s="5"/>
      <c r="N720" s="5"/>
    </row>
    <row r="721" customFormat="false" ht="15" hidden="false" customHeight="false" outlineLevel="0" collapsed="false">
      <c r="A721" s="71" t="n">
        <f aca="false">A720+$F$3</f>
        <v>14300</v>
      </c>
      <c r="B721" s="71" t="n">
        <f aca="false">SUMPRODUCT(固有振動数!$Q$6:$Q$22*(1-($A721/固有振動数!$O$6:$O$22)^2)/((1-($A721/固有振動数!$O$6:$O$22)^2)^2+固有振動数!$P$6:$P$22^2))</f>
        <v>21.3312480332212</v>
      </c>
      <c r="C721" s="71" t="n">
        <f aca="false">-SUMPRODUCT(固有振動数!$Q$6:$Q$22*固有振動数!$P$6:$P$22/((1-($A721/固有振動数!$O$6:$O$22)^2)^2+固有振動数!$P$6:$P$22^2))</f>
        <v>-1.90865193739055</v>
      </c>
      <c r="D721" s="71" t="n">
        <f aca="false">SQRT(B721^2+C721^2)</f>
        <v>21.4164678430619</v>
      </c>
      <c r="E721" s="72" t="n">
        <f aca="false">20*LOG10(MAX(D721,0.000000000001)/$K$3)</f>
        <v>26.6149569090397</v>
      </c>
      <c r="F721" s="5"/>
      <c r="G721" s="5"/>
      <c r="H721" s="5"/>
      <c r="I721" s="5"/>
      <c r="J721" s="5"/>
      <c r="K721" s="5"/>
      <c r="L721" s="5"/>
      <c r="M721" s="5"/>
      <c r="N721" s="5"/>
    </row>
    <row r="722" customFormat="false" ht="15" hidden="false" customHeight="false" outlineLevel="0" collapsed="false">
      <c r="A722" s="71" t="n">
        <f aca="false">A721+$F$3</f>
        <v>14320</v>
      </c>
      <c r="B722" s="71" t="n">
        <f aca="false">SUMPRODUCT(固有振動数!$Q$6:$Q$22*(1-($A722/固有振動数!$O$6:$O$22)^2)/((1-($A722/固有振動数!$O$6:$O$22)^2)^2+固有振動数!$P$6:$P$22^2))</f>
        <v>21.8053854702346</v>
      </c>
      <c r="C722" s="71" t="n">
        <f aca="false">-SUMPRODUCT(固有振動数!$Q$6:$Q$22*固有振動数!$P$6:$P$22/((1-($A722/固有振動数!$O$6:$O$22)^2)^2+固有振動数!$P$6:$P$22^2))</f>
        <v>-1.99718326796425</v>
      </c>
      <c r="D722" s="71" t="n">
        <f aca="false">SQRT(B722^2+C722^2)</f>
        <v>21.8966567427851</v>
      </c>
      <c r="E722" s="72" t="n">
        <f aca="false">20*LOG10(MAX(D722,0.000000000001)/$K$3)</f>
        <v>26.807556206392</v>
      </c>
      <c r="F722" s="5"/>
      <c r="G722" s="5"/>
      <c r="H722" s="5"/>
      <c r="I722" s="5"/>
      <c r="J722" s="5"/>
      <c r="K722" s="5"/>
      <c r="L722" s="5"/>
      <c r="M722" s="5"/>
      <c r="N722" s="5"/>
    </row>
    <row r="723" customFormat="false" ht="15" hidden="false" customHeight="false" outlineLevel="0" collapsed="false">
      <c r="A723" s="71" t="n">
        <f aca="false">A722+$F$3</f>
        <v>14340</v>
      </c>
      <c r="B723" s="71" t="n">
        <f aca="false">SUMPRODUCT(固有振動数!$Q$6:$Q$22*(1-($A723/固有振動数!$O$6:$O$22)^2)/((1-($A723/固有振動数!$O$6:$O$22)^2)^2+固有振動数!$P$6:$P$22^2))</f>
        <v>22.3019768538979</v>
      </c>
      <c r="C723" s="71" t="n">
        <f aca="false">-SUMPRODUCT(固有振動数!$Q$6:$Q$22*固有振動数!$P$6:$P$22/((1-($A723/固有振動数!$O$6:$O$22)^2)^2+固有振動数!$P$6:$P$22^2))</f>
        <v>-2.09492570217524</v>
      </c>
      <c r="D723" s="71" t="n">
        <f aca="false">SQRT(B723^2+C723^2)</f>
        <v>22.400153688969</v>
      </c>
      <c r="E723" s="72" t="n">
        <f aca="false">20*LOG10(MAX(D723,0.000000000001)/$K$3)</f>
        <v>27.0050199613638</v>
      </c>
      <c r="F723" s="5"/>
      <c r="G723" s="5"/>
      <c r="H723" s="5"/>
      <c r="I723" s="5"/>
      <c r="J723" s="5"/>
      <c r="K723" s="5"/>
      <c r="L723" s="5"/>
      <c r="M723" s="5"/>
      <c r="N723" s="5"/>
    </row>
    <row r="724" customFormat="false" ht="15" hidden="false" customHeight="false" outlineLevel="0" collapsed="false">
      <c r="A724" s="71" t="n">
        <f aca="false">A723+$F$3</f>
        <v>14360</v>
      </c>
      <c r="B724" s="71" t="n">
        <f aca="false">SUMPRODUCT(固有振動数!$Q$6:$Q$22*(1-($A724/固有振動数!$O$6:$O$22)^2)/((1-($A724/固有振動数!$O$6:$O$22)^2)^2+固有振動数!$P$6:$P$22^2))</f>
        <v>22.8233621534926</v>
      </c>
      <c r="C724" s="71" t="n">
        <f aca="false">-SUMPRODUCT(固有振動数!$Q$6:$Q$22*固有振動数!$P$6:$P$22/((1-($A724/固有振動数!$O$6:$O$22)^2)^2+固有振動数!$P$6:$P$22^2))</f>
        <v>-2.20310748678168</v>
      </c>
      <c r="D724" s="71" t="n">
        <f aca="false">SQRT(B724^2+C724^2)</f>
        <v>22.9294470624085</v>
      </c>
      <c r="E724" s="72" t="n">
        <f aca="false">20*LOG10(MAX(D724,0.000000000001)/$K$3)</f>
        <v>27.2078716391777</v>
      </c>
      <c r="F724" s="5"/>
      <c r="G724" s="5"/>
      <c r="H724" s="5"/>
      <c r="I724" s="5"/>
      <c r="J724" s="5"/>
      <c r="K724" s="5"/>
      <c r="L724" s="5"/>
      <c r="M724" s="5"/>
      <c r="N724" s="5"/>
    </row>
    <row r="725" customFormat="false" ht="15" hidden="false" customHeight="false" outlineLevel="0" collapsed="false">
      <c r="A725" s="71" t="n">
        <f aca="false">A724+$F$3</f>
        <v>14380</v>
      </c>
      <c r="B725" s="71" t="n">
        <f aca="false">SUMPRODUCT(固有振動数!$Q$6:$Q$22*(1-($A725/固有振動数!$O$6:$O$22)^2)/((1-($A725/固有振動数!$O$6:$O$22)^2)^2+固有振動数!$P$6:$P$22^2))</f>
        <v>23.3721781555852</v>
      </c>
      <c r="C725" s="71" t="n">
        <f aca="false">-SUMPRODUCT(固有振動数!$Q$6:$Q$22*固有振動数!$P$6:$P$22/((1-($A725/固有振動数!$O$6:$O$22)^2)^2+固有振動数!$P$6:$P$22^2))</f>
        <v>-2.32317530002525</v>
      </c>
      <c r="D725" s="71" t="n">
        <f aca="false">SQRT(B725^2+C725^2)</f>
        <v>23.487355219587</v>
      </c>
      <c r="E725" s="72" t="n">
        <f aca="false">20*LOG10(MAX(D725,0.000000000001)/$K$3)</f>
        <v>27.4166823209023</v>
      </c>
      <c r="F725" s="5"/>
      <c r="G725" s="5"/>
      <c r="H725" s="5"/>
      <c r="I725" s="5"/>
      <c r="J725" s="5"/>
      <c r="K725" s="5"/>
      <c r="L725" s="5"/>
      <c r="M725" s="5"/>
      <c r="N725" s="5"/>
    </row>
    <row r="726" customFormat="false" ht="15" hidden="false" customHeight="false" outlineLevel="0" collapsed="false">
      <c r="A726" s="71" t="n">
        <f aca="false">A725+$F$3</f>
        <v>14400</v>
      </c>
      <c r="B726" s="71" t="n">
        <f aca="false">SUMPRODUCT(固有振動数!$Q$6:$Q$22*(1-($A726/固有振動数!$O$6:$O$22)^2)/((1-($A726/固有振動数!$O$6:$O$22)^2)^2+固有振動数!$P$6:$P$22^2))</f>
        <v>23.9514077886036</v>
      </c>
      <c r="C726" s="71" t="n">
        <f aca="false">-SUMPRODUCT(固有振動数!$Q$6:$Q$22*固有振動数!$P$6:$P$22/((1-($A726/固有振動数!$O$6:$O$22)^2)^2+固有振動数!$P$6:$P$22^2))</f>
        <v>-2.45684176486113</v>
      </c>
      <c r="D726" s="71" t="n">
        <f aca="false">SQRT(B726^2+C726^2)</f>
        <v>24.0770846763794</v>
      </c>
      <c r="E726" s="72" t="n">
        <f aca="false">20*LOG10(MAX(D726,0.000000000001)/$K$3)</f>
        <v>27.6320780025377</v>
      </c>
      <c r="F726" s="5"/>
      <c r="G726" s="5"/>
      <c r="H726" s="5"/>
      <c r="I726" s="5"/>
      <c r="J726" s="5"/>
      <c r="K726" s="5"/>
      <c r="L726" s="5"/>
      <c r="M726" s="5"/>
      <c r="N726" s="5"/>
    </row>
    <row r="727" customFormat="false" ht="15" hidden="false" customHeight="false" outlineLevel="0" collapsed="false">
      <c r="A727" s="71" t="n">
        <f aca="false">A726+$F$3</f>
        <v>14420</v>
      </c>
      <c r="B727" s="71" t="n">
        <f aca="false">SUMPRODUCT(固有振動数!$Q$6:$Q$22*(1-($A727/固有振動数!$O$6:$O$22)^2)/((1-($A727/固有振動数!$O$6:$O$22)^2)^2+固有振動数!$P$6:$P$22^2))</f>
        <v>24.564439078008</v>
      </c>
      <c r="C727" s="71" t="n">
        <f aca="false">-SUMPRODUCT(固有振動数!$Q$6:$Q$22*固有振動数!$P$6:$P$22/((1-($A727/固有振動数!$O$6:$O$22)^2)^2+固有振動数!$P$6:$P$22^2))</f>
        <v>-2.60614542608144</v>
      </c>
      <c r="D727" s="71" t="n">
        <f aca="false">SQRT(B727^2+C727^2)</f>
        <v>24.7023007268362</v>
      </c>
      <c r="E727" s="72" t="n">
        <f aca="false">20*LOG10(MAX(D727,0.000000000001)/$K$3)</f>
        <v>27.8547480906479</v>
      </c>
      <c r="F727" s="5"/>
      <c r="G727" s="5"/>
      <c r="H727" s="5"/>
      <c r="I727" s="5"/>
      <c r="J727" s="5"/>
      <c r="K727" s="5"/>
      <c r="L727" s="5"/>
      <c r="M727" s="5"/>
      <c r="N727" s="5"/>
    </row>
    <row r="728" customFormat="false" ht="15" hidden="false" customHeight="false" outlineLevel="0" collapsed="false">
      <c r="A728" s="71" t="n">
        <f aca="false">A727+$F$3</f>
        <v>14440</v>
      </c>
      <c r="B728" s="71" t="n">
        <f aca="false">SUMPRODUCT(固有振動数!$Q$6:$Q$22*(1-($A728/固有振動数!$O$6:$O$22)^2)/((1-($A728/固有振動数!$O$6:$O$22)^2)^2+固有振動数!$P$6:$P$22^2))</f>
        <v>25.2151358768752</v>
      </c>
      <c r="C728" s="71" t="n">
        <f aca="false">-SUMPRODUCT(固有振動数!$Q$6:$Q$22*固有振動数!$P$6:$P$22/((1-($A728/固有振動数!$O$6:$O$22)^2)^2+固有振動数!$P$6:$P$22^2))</f>
        <v>-2.77352703412</v>
      </c>
      <c r="D728" s="71" t="n">
        <f aca="false">SQRT(B728^2+C728^2)</f>
        <v>25.3672136723424</v>
      </c>
      <c r="E728" s="72" t="n">
        <f aca="false">20*LOG10(MAX(D728,0.000000000001)/$K$3)</f>
        <v>28.0854553411379</v>
      </c>
      <c r="F728" s="5"/>
      <c r="G728" s="5"/>
      <c r="H728" s="5"/>
      <c r="I728" s="5"/>
      <c r="J728" s="5"/>
      <c r="K728" s="5"/>
      <c r="L728" s="5"/>
      <c r="M728" s="5"/>
      <c r="N728" s="5"/>
    </row>
    <row r="729" customFormat="false" ht="15" hidden="false" customHeight="false" outlineLevel="0" collapsed="false">
      <c r="A729" s="71" t="n">
        <f aca="false">A728+$F$3</f>
        <v>14460</v>
      </c>
      <c r="B729" s="71" t="n">
        <f aca="false">SUMPRODUCT(固有振動数!$Q$6:$Q$22*(1-($A729/固有振動数!$O$6:$O$22)^2)/((1-($A729/固有振動数!$O$6:$O$22)^2)^2+固有振動数!$P$6:$P$22^2))</f>
        <v>25.9079230224441</v>
      </c>
      <c r="C729" s="71" t="n">
        <f aca="false">-SUMPRODUCT(固有振動数!$Q$6:$Q$22*固有振動数!$P$6:$P$22/((1-($A729/固有振動数!$O$6:$O$22)^2)^2+固有振動数!$P$6:$P$22^2))</f>
        <v>-2.96192735059172</v>
      </c>
      <c r="D729" s="71" t="n">
        <f aca="false">SQRT(B729^2+C729^2)</f>
        <v>26.0766847771544</v>
      </c>
      <c r="E729" s="72" t="n">
        <f aca="false">20*LOG10(MAX(D729,0.000000000001)/$K$3)</f>
        <v>28.3250475429563</v>
      </c>
      <c r="F729" s="5"/>
      <c r="G729" s="5"/>
      <c r="H729" s="5"/>
      <c r="I729" s="5"/>
      <c r="J729" s="5"/>
      <c r="K729" s="5"/>
      <c r="L729" s="5"/>
      <c r="M729" s="5"/>
      <c r="N729" s="5"/>
    </row>
    <row r="730" customFormat="false" ht="15" hidden="false" customHeight="false" outlineLevel="0" collapsed="false">
      <c r="A730" s="71" t="n">
        <f aca="false">A729+$F$3</f>
        <v>14480</v>
      </c>
      <c r="B730" s="71" t="n">
        <f aca="false">SUMPRODUCT(固有振動数!$Q$6:$Q$22*(1-($A730/固有振動数!$O$6:$O$22)^2)/((1-($A730/固有振動数!$O$6:$O$22)^2)^2+固有振動数!$P$6:$P$22^2))</f>
        <v>26.6478891829831</v>
      </c>
      <c r="C730" s="71" t="n">
        <f aca="false">-SUMPRODUCT(固有振動数!$Q$6:$Q$22*固有振動数!$P$6:$P$22/((1-($A730/固有振動数!$O$6:$O$22)^2)^2+固有振動数!$P$6:$P$22^2))</f>
        <v>-3.1749136227299</v>
      </c>
      <c r="D730" s="71" t="n">
        <f aca="false">SQRT(B730^2+C730^2)</f>
        <v>26.8363573239801</v>
      </c>
      <c r="E730" s="72" t="n">
        <f aca="false">20*LOG10(MAX(D730,0.000000000001)/$K$3)</f>
        <v>28.5744713167817</v>
      </c>
      <c r="F730" s="5"/>
      <c r="G730" s="5"/>
      <c r="H730" s="5"/>
      <c r="I730" s="5"/>
      <c r="J730" s="5"/>
      <c r="K730" s="5"/>
      <c r="L730" s="5"/>
      <c r="M730" s="5"/>
      <c r="N730" s="5"/>
    </row>
    <row r="731" customFormat="false" ht="15" hidden="false" customHeight="false" outlineLevel="0" collapsed="false">
      <c r="A731" s="71" t="n">
        <f aca="false">A730+$F$3</f>
        <v>14500</v>
      </c>
      <c r="B731" s="71" t="n">
        <f aca="false">SUMPRODUCT(固有振動数!$Q$6:$Q$22*(1-($A731/固有振動数!$O$6:$O$22)^2)/((1-($A731/固有振動数!$O$6:$O$22)^2)^2+固有振動数!$P$6:$P$22^2))</f>
        <v>27.4409113866115</v>
      </c>
      <c r="C731" s="71" t="n">
        <f aca="false">-SUMPRODUCT(固有振動数!$Q$6:$Q$22*固有振動数!$P$6:$P$22/((1-($A731/固有振動数!$O$6:$O$22)^2)^2+固有振動数!$P$6:$P$22^2))</f>
        <v>-3.41684462379716</v>
      </c>
      <c r="D731" s="71" t="n">
        <f aca="false">SQRT(B731^2+C731^2)</f>
        <v>27.65281983652</v>
      </c>
      <c r="E731" s="72" t="n">
        <f aca="false">20*LOG10(MAX(D731,0.000000000001)/$K$3)</f>
        <v>28.8347884827951</v>
      </c>
      <c r="F731" s="5"/>
      <c r="G731" s="5"/>
      <c r="H731" s="5"/>
      <c r="I731" s="5"/>
      <c r="J731" s="5"/>
      <c r="K731" s="5"/>
      <c r="L731" s="5"/>
      <c r="M731" s="5"/>
      <c r="N731" s="5"/>
    </row>
    <row r="732" customFormat="false" ht="15" hidden="false" customHeight="false" outlineLevel="0" collapsed="false">
      <c r="A732" s="71" t="n">
        <f aca="false">A731+$F$3</f>
        <v>14520</v>
      </c>
      <c r="B732" s="71" t="n">
        <f aca="false">SUMPRODUCT(固有振動数!$Q$6:$Q$22*(1-($A732/固有振動数!$O$6:$O$22)^2)/((1-($A732/固有振動数!$O$6:$O$22)^2)^2+固有振動数!$P$6:$P$22^2))</f>
        <v>28.2938060488526</v>
      </c>
      <c r="C732" s="71" t="n">
        <f aca="false">-SUMPRODUCT(固有振動数!$Q$6:$Q$22*固有振動数!$P$6:$P$22/((1-($A732/固有振動数!$O$6:$O$22)^2)^2+固有振動数!$P$6:$P$22^2))</f>
        <v>-3.69308811500369</v>
      </c>
      <c r="D732" s="71" t="n">
        <f aca="false">SQRT(B732^2+C732^2)</f>
        <v>28.53381083128</v>
      </c>
      <c r="E732" s="72" t="n">
        <f aca="false">20*LOG10(MAX(D732,0.000000000001)/$K$3)</f>
        <v>29.1071955540481</v>
      </c>
      <c r="F732" s="5"/>
      <c r="G732" s="5"/>
      <c r="H732" s="5"/>
      <c r="I732" s="5"/>
      <c r="J732" s="5"/>
      <c r="K732" s="5"/>
      <c r="L732" s="5"/>
      <c r="M732" s="5"/>
      <c r="N732" s="5"/>
    </row>
    <row r="733" customFormat="false" ht="15" hidden="false" customHeight="false" outlineLevel="0" collapsed="false">
      <c r="A733" s="71" t="n">
        <f aca="false">A732+$F$3</f>
        <v>14540</v>
      </c>
      <c r="B733" s="71" t="n">
        <f aca="false">SUMPRODUCT(固有振動数!$Q$6:$Q$22*(1-($A733/固有振動数!$O$6:$O$22)^2)/((1-($A733/固有振動数!$O$6:$O$22)^2)^2+固有振動数!$P$6:$P$22^2))</f>
        <v>29.214512175101</v>
      </c>
      <c r="C733" s="71" t="n">
        <f aca="false">-SUMPRODUCT(固有振動数!$Q$6:$Q$22*固有振動数!$P$6:$P$22/((1-($A733/固有振動数!$O$6:$O$22)^2)^2+固有振動数!$P$6:$P$22^2))</f>
        <v>-4.01031035043456</v>
      </c>
      <c r="D733" s="71" t="n">
        <f aca="false">SQRT(B733^2+C733^2)</f>
        <v>29.4884775927128</v>
      </c>
      <c r="E733" s="72" t="n">
        <f aca="false">20*LOG10(MAX(D733,0.000000000001)/$K$3)</f>
        <v>29.3930470345212</v>
      </c>
      <c r="F733" s="5"/>
      <c r="G733" s="5"/>
      <c r="H733" s="5"/>
      <c r="I733" s="5"/>
      <c r="J733" s="5"/>
      <c r="K733" s="5"/>
      <c r="L733" s="5"/>
      <c r="M733" s="5"/>
      <c r="N733" s="5"/>
    </row>
    <row r="734" customFormat="false" ht="15" hidden="false" customHeight="false" outlineLevel="0" collapsed="false">
      <c r="A734" s="71" t="n">
        <f aca="false">A733+$F$3</f>
        <v>14560</v>
      </c>
      <c r="B734" s="71" t="n">
        <f aca="false">SUMPRODUCT(固有振動数!$Q$6:$Q$22*(1-($A734/固有振動数!$O$6:$O$22)^2)/((1-($A734/固有振動数!$O$6:$O$22)^2)^2+固有振動数!$P$6:$P$22^2))</f>
        <v>30.2123131413564</v>
      </c>
      <c r="C734" s="71" t="n">
        <f aca="false">-SUMPRODUCT(固有振動数!$Q$6:$Q$22*固有振動数!$P$6:$P$22/((1-($A734/固有振動数!$O$6:$O$22)^2)^2+固有振動数!$P$6:$P$22^2))</f>
        <v>-4.37686574929628</v>
      </c>
      <c r="D734" s="71" t="n">
        <f aca="false">SQRT(B734^2+C734^2)</f>
        <v>30.5277057627778</v>
      </c>
      <c r="E734" s="72" t="n">
        <f aca="false">20*LOG10(MAX(D734,0.000000000001)/$K$3)</f>
        <v>29.6938833430942</v>
      </c>
      <c r="F734" s="5"/>
      <c r="G734" s="5"/>
      <c r="H734" s="5"/>
      <c r="I734" s="5"/>
      <c r="J734" s="5"/>
      <c r="K734" s="5"/>
      <c r="L734" s="5"/>
      <c r="M734" s="5"/>
      <c r="N734" s="5"/>
    </row>
    <row r="735" customFormat="false" ht="15" hidden="false" customHeight="false" outlineLevel="0" collapsed="false">
      <c r="A735" s="71" t="n">
        <f aca="false">A734+$F$3</f>
        <v>14580</v>
      </c>
      <c r="B735" s="71" t="n">
        <f aca="false">SUMPRODUCT(固有振動数!$Q$6:$Q$22*(1-($A735/固有振動数!$O$6:$O$22)^2)/((1-($A735/固有振動数!$O$6:$O$22)^2)^2+固有振動数!$P$6:$P$22^2))</f>
        <v>31.2981036706862</v>
      </c>
      <c r="C735" s="71" t="n">
        <f aca="false">-SUMPRODUCT(固有振動数!$Q$6:$Q$22*固有振動数!$P$6:$P$22/((1-($A735/固有振動数!$O$6:$O$22)^2)^2+固有振動数!$P$6:$P$22^2))</f>
        <v>-4.80332755869353</v>
      </c>
      <c r="D735" s="71" t="n">
        <f aca="false">SQRT(B735^2+C735^2)</f>
        <v>31.6645424570943</v>
      </c>
      <c r="E735" s="72" t="n">
        <f aca="false">20*LOG10(MAX(D735,0.000000000001)/$K$3)</f>
        <v>30.0114643397381</v>
      </c>
      <c r="F735" s="5"/>
      <c r="G735" s="5"/>
      <c r="H735" s="5"/>
      <c r="I735" s="5"/>
      <c r="J735" s="5"/>
      <c r="K735" s="5"/>
      <c r="L735" s="5"/>
      <c r="M735" s="5"/>
      <c r="N735" s="5"/>
    </row>
    <row r="736" customFormat="false" ht="15" hidden="false" customHeight="false" outlineLevel="0" collapsed="false">
      <c r="A736" s="71" t="n">
        <f aca="false">A735+$F$3</f>
        <v>14600</v>
      </c>
      <c r="B736" s="71" t="n">
        <f aca="false">SUMPRODUCT(固有振動数!$Q$6:$Q$22*(1-($A736/固有振動数!$O$6:$O$22)^2)/((1-($A736/固有振動数!$O$6:$O$22)^2)^2+固有振動数!$P$6:$P$22^2))</f>
        <v>32.4847075024686</v>
      </c>
      <c r="C736" s="71" t="n">
        <f aca="false">-SUMPRODUCT(固有振動数!$Q$6:$Q$22*固有振動数!$P$6:$P$22/((1-($A736/固有振動数!$O$6:$O$22)^2)^2+固有振動数!$P$6:$P$22^2))</f>
        <v>-5.30321954290704</v>
      </c>
      <c r="D736" s="71" t="n">
        <f aca="false">SQRT(B736^2+C736^2)</f>
        <v>32.9147437942514</v>
      </c>
      <c r="E736" s="72" t="n">
        <f aca="false">20*LOG10(MAX(D736,0.000000000001)/$K$3)</f>
        <v>30.3478095785508</v>
      </c>
      <c r="F736" s="5"/>
      <c r="G736" s="5"/>
      <c r="H736" s="5"/>
      <c r="I736" s="5"/>
      <c r="J736" s="5"/>
      <c r="K736" s="5"/>
      <c r="L736" s="5"/>
      <c r="M736" s="5"/>
      <c r="N736" s="5"/>
    </row>
    <row r="737" customFormat="false" ht="15" hidden="false" customHeight="false" outlineLevel="0" collapsed="false">
      <c r="A737" s="71" t="n">
        <f aca="false">A736+$F$3</f>
        <v>14620</v>
      </c>
      <c r="B737" s="71" t="n">
        <f aca="false">SUMPRODUCT(固有振動数!$Q$6:$Q$22*(1-($A737/固有振動数!$O$6:$O$22)^2)/((1-($A737/固有振動数!$O$6:$O$22)^2)^2+固有振動数!$P$6:$P$22^2))</f>
        <v>33.7872470708381</v>
      </c>
      <c r="C737" s="71" t="n">
        <f aca="false">-SUMPRODUCT(固有振動数!$Q$6:$Q$22*固有振動数!$P$6:$P$22/((1-($A737/固有振動数!$O$6:$O$22)^2)^2+固有振動数!$P$6:$P$22^2))</f>
        <v>-5.89403818119444</v>
      </c>
      <c r="D737" s="71" t="n">
        <f aca="false">SQRT(B737^2+C737^2)</f>
        <v>34.2974889854524</v>
      </c>
      <c r="E737" s="72" t="n">
        <f aca="false">20*LOG10(MAX(D737,0.000000000001)/$K$3)</f>
        <v>30.7052465059977</v>
      </c>
      <c r="F737" s="5"/>
      <c r="G737" s="5"/>
      <c r="H737" s="5"/>
      <c r="I737" s="5"/>
      <c r="J737" s="5"/>
      <c r="K737" s="5"/>
      <c r="L737" s="5"/>
      <c r="M737" s="5"/>
      <c r="N737" s="5"/>
    </row>
    <row r="738" customFormat="false" ht="15" hidden="false" customHeight="false" outlineLevel="0" collapsed="false">
      <c r="A738" s="71" t="n">
        <f aca="false">A737+$F$3</f>
        <v>14640</v>
      </c>
      <c r="B738" s="71" t="n">
        <f aca="false">SUMPRODUCT(固有振動数!$Q$6:$Q$22*(1-($A738/固有振動数!$O$6:$O$22)^2)/((1-($A738/固有振動数!$O$6:$O$22)^2)^2+固有振動数!$P$6:$P$22^2))</f>
        <v>35.2235556776293</v>
      </c>
      <c r="C738" s="71" t="n">
        <f aca="false">-SUMPRODUCT(固有振動数!$Q$6:$Q$22*固有振動数!$P$6:$P$22/((1-($A738/固有振動数!$O$6:$O$22)^2)^2+固有振動数!$P$6:$P$22^2))</f>
        <v>-6.59870055193612</v>
      </c>
      <c r="D738" s="71" t="n">
        <f aca="false">SQRT(B738^2+C738^2)</f>
        <v>35.8363184988243</v>
      </c>
      <c r="E738" s="72" t="n">
        <f aca="false">20*LOG10(MAX(D738,0.000000000001)/$K$3)</f>
        <v>31.0864677554218</v>
      </c>
      <c r="F738" s="5"/>
      <c r="G738" s="5"/>
      <c r="H738" s="5"/>
      <c r="I738" s="5"/>
      <c r="J738" s="5"/>
      <c r="K738" s="5"/>
      <c r="L738" s="5"/>
      <c r="M738" s="5"/>
      <c r="N738" s="5"/>
    </row>
    <row r="739" customFormat="false" ht="15" hidden="false" customHeight="false" outlineLevel="0" collapsed="false">
      <c r="A739" s="71" t="n">
        <f aca="false">A738+$F$3</f>
        <v>14660</v>
      </c>
      <c r="B739" s="71" t="n">
        <f aca="false">SUMPRODUCT(固有振動数!$Q$6:$Q$22*(1-($A739/固有振動数!$O$6:$O$22)^2)/((1-($A739/固有振動数!$O$6:$O$22)^2)^2+固有振動数!$P$6:$P$22^2))</f>
        <v>36.8145976912068</v>
      </c>
      <c r="C739" s="71" t="n">
        <f aca="false">-SUMPRODUCT(固有振動数!$Q$6:$Q$22*固有振動数!$P$6:$P$22/((1-($A739/固有振動数!$O$6:$O$22)^2)^2+固有振動数!$P$6:$P$22^2))</f>
        <v>-7.44762479360363</v>
      </c>
      <c r="D739" s="71" t="n">
        <f aca="false">SQRT(B739^2+C739^2)</f>
        <v>37.5603743089936</v>
      </c>
      <c r="E739" s="72" t="n">
        <f aca="false">20*LOG10(MAX(D739,0.000000000001)/$K$3)</f>
        <v>31.4945982317965</v>
      </c>
      <c r="F739" s="5"/>
      <c r="G739" s="5"/>
      <c r="H739" s="5"/>
      <c r="I739" s="5"/>
      <c r="J739" s="5"/>
      <c r="K739" s="5"/>
      <c r="L739" s="5"/>
      <c r="M739" s="5"/>
      <c r="N739" s="5"/>
    </row>
    <row r="740" customFormat="false" ht="15" hidden="false" customHeight="false" outlineLevel="0" collapsed="false">
      <c r="A740" s="71" t="n">
        <f aca="false">A739+$F$3</f>
        <v>14680</v>
      </c>
      <c r="B740" s="71" t="n">
        <f aca="false">SUMPRODUCT(固有振動数!$Q$6:$Q$22*(1-($A740/固有振動数!$O$6:$O$22)^2)/((1-($A740/固有振動数!$O$6:$O$22)^2)^2+固有振動数!$P$6:$P$22^2))</f>
        <v>38.5848075653647</v>
      </c>
      <c r="C740" s="71" t="n">
        <f aca="false">-SUMPRODUCT(固有振動数!$Q$6:$Q$22*固有振動数!$P$6:$P$22/((1-($A740/固有振動数!$O$6:$O$22)^2)^2+固有振動数!$P$6:$P$22^2))</f>
        <v>-8.48176354376676</v>
      </c>
      <c r="D740" s="71" t="n">
        <f aca="false">SQRT(B740^2+C740^2)</f>
        <v>39.5060462166058</v>
      </c>
      <c r="E740" s="72" t="n">
        <f aca="false">20*LOG10(MAX(D740,0.000000000001)/$K$3)</f>
        <v>31.9332713492694</v>
      </c>
      <c r="F740" s="5"/>
      <c r="G740" s="5"/>
      <c r="H740" s="5"/>
      <c r="I740" s="5"/>
      <c r="J740" s="5"/>
      <c r="K740" s="5"/>
      <c r="L740" s="5"/>
      <c r="M740" s="5"/>
      <c r="N740" s="5"/>
    </row>
    <row r="741" customFormat="false" ht="15" hidden="false" customHeight="false" outlineLevel="0" collapsed="false">
      <c r="A741" s="71" t="n">
        <f aca="false">A740+$F$3</f>
        <v>14700</v>
      </c>
      <c r="B741" s="71" t="n">
        <f aca="false">SUMPRODUCT(固有振動数!$Q$6:$Q$22*(1-($A741/固有振動数!$O$6:$O$22)^2)/((1-($A741/固有振動数!$O$6:$O$22)^2)^2+固有振動数!$P$6:$P$22^2))</f>
        <v>40.5621407596571</v>
      </c>
      <c r="C741" s="71" t="n">
        <f aca="false">-SUMPRODUCT(固有振動数!$Q$6:$Q$22*固有振動数!$P$6:$P$22/((1-($A741/固有振動数!$O$6:$O$22)^2)^2+固有振動数!$P$6:$P$22^2))</f>
        <v>-9.75709102625758</v>
      </c>
      <c r="D741" s="71" t="n">
        <f aca="false">SQRT(B741^2+C741^2)</f>
        <v>41.7191573297078</v>
      </c>
      <c r="E741" s="72" t="n">
        <f aca="false">20*LOG10(MAX(D741,0.000000000001)/$K$3)</f>
        <v>32.406710553693</v>
      </c>
      <c r="F741" s="5"/>
      <c r="G741" s="5"/>
      <c r="H741" s="5"/>
      <c r="I741" s="5"/>
      <c r="J741" s="5"/>
      <c r="K741" s="5"/>
      <c r="L741" s="5"/>
      <c r="M741" s="5"/>
      <c r="N741" s="5"/>
    </row>
    <row r="742" customFormat="false" ht="15" hidden="false" customHeight="false" outlineLevel="0" collapsed="false">
      <c r="A742" s="71" t="n">
        <f aca="false">A741+$F$3</f>
        <v>14720</v>
      </c>
      <c r="B742" s="71" t="n">
        <f aca="false">SUMPRODUCT(固有振動数!$Q$6:$Q$22*(1-($A742/固有振動数!$O$6:$O$22)^2)/((1-($A742/固有振動数!$O$6:$O$22)^2)^2+固有振動数!$P$6:$P$22^2))</f>
        <v>42.7773776456569</v>
      </c>
      <c r="C742" s="71" t="n">
        <f aca="false">-SUMPRODUCT(固有振動数!$Q$6:$Q$22*固有振動数!$P$6:$P$22/((1-($A742/固有振動数!$O$6:$O$22)^2)^2+固有振動数!$P$6:$P$22^2))</f>
        <v>-11.3513287103508</v>
      </c>
      <c r="D742" s="71" t="n">
        <f aca="false">SQRT(B742^2+C742^2)</f>
        <v>44.2578433922122</v>
      </c>
      <c r="E742" s="72" t="n">
        <f aca="false">20*LOG10(MAX(D742,0.000000000001)/$K$3)</f>
        <v>32.9198049538306</v>
      </c>
      <c r="F742" s="5"/>
      <c r="G742" s="5"/>
      <c r="H742" s="5"/>
      <c r="I742" s="5"/>
      <c r="J742" s="5"/>
      <c r="K742" s="5"/>
      <c r="L742" s="5"/>
      <c r="M742" s="5"/>
      <c r="N742" s="5"/>
    </row>
    <row r="743" customFormat="false" ht="15" hidden="false" customHeight="false" outlineLevel="0" collapsed="false">
      <c r="A743" s="71" t="n">
        <f aca="false">A742+$F$3</f>
        <v>14740</v>
      </c>
      <c r="B743" s="71" t="n">
        <f aca="false">SUMPRODUCT(固有振動数!$Q$6:$Q$22*(1-($A743/固有振動数!$O$6:$O$22)^2)/((1-($A743/固有振動数!$O$6:$O$22)^2)^2+固有振動数!$P$6:$P$22^2))</f>
        <v>45.2616799474288</v>
      </c>
      <c r="C743" s="71" t="n">
        <f aca="false">-SUMPRODUCT(固有振動数!$Q$6:$Q$22*固有振動数!$P$6:$P$22/((1-($A743/固有振動数!$O$6:$O$22)^2)^2+固有振動数!$P$6:$P$22^2))</f>
        <v>-13.3741297516335</v>
      </c>
      <c r="D743" s="71" t="n">
        <f aca="false">SQRT(B743^2+C743^2)</f>
        <v>47.1962606387095</v>
      </c>
      <c r="E743" s="72" t="n">
        <f aca="false">20*LOG10(MAX(D743,0.000000000001)/$K$3)</f>
        <v>33.4781518166196</v>
      </c>
      <c r="F743" s="5"/>
      <c r="G743" s="5"/>
      <c r="H743" s="5"/>
      <c r="I743" s="5"/>
      <c r="J743" s="5"/>
      <c r="K743" s="5"/>
      <c r="L743" s="5"/>
      <c r="M743" s="5"/>
      <c r="N743" s="5"/>
    </row>
    <row r="744" customFormat="false" ht="15" hidden="false" customHeight="false" outlineLevel="0" collapsed="false">
      <c r="A744" s="71" t="n">
        <f aca="false">A743+$F$3</f>
        <v>14760</v>
      </c>
      <c r="B744" s="71" t="n">
        <f aca="false">SUMPRODUCT(固有振動数!$Q$6:$Q$22*(1-($A744/固有振動数!$O$6:$O$22)^2)/((1-($A744/固有振動数!$O$6:$O$22)^2)^2+固有振動数!$P$6:$P$22^2))</f>
        <v>48.0402269964793</v>
      </c>
      <c r="C744" s="71" t="n">
        <f aca="false">-SUMPRODUCT(固有振動数!$Q$6:$Q$22*固有振動数!$P$6:$P$22/((1-($A744/固有振動数!$O$6:$O$22)^2)^2+固有振動数!$P$6:$P$22^2))</f>
        <v>-15.9825556617099</v>
      </c>
      <c r="D744" s="71" t="n">
        <f aca="false">SQRT(B744^2+C744^2)</f>
        <v>50.6290973191594</v>
      </c>
      <c r="E744" s="72" t="n">
        <f aca="false">20*LOG10(MAX(D744,0.000000000001)/$K$3)</f>
        <v>34.0880036858752</v>
      </c>
      <c r="F744" s="5"/>
      <c r="G744" s="5"/>
      <c r="H744" s="5"/>
      <c r="I744" s="5"/>
      <c r="J744" s="5"/>
      <c r="K744" s="5"/>
      <c r="L744" s="5"/>
      <c r="M744" s="5"/>
      <c r="N744" s="5"/>
    </row>
    <row r="745" customFormat="false" ht="15" hidden="false" customHeight="false" outlineLevel="0" collapsed="false">
      <c r="A745" s="71" t="n">
        <f aca="false">A744+$F$3</f>
        <v>14780</v>
      </c>
      <c r="B745" s="71" t="n">
        <f aca="false">SUMPRODUCT(固有振動数!$Q$6:$Q$22*(1-($A745/固有振動数!$O$6:$O$22)^2)/((1-($A745/固有振動数!$O$6:$O$22)^2)^2+固有振動数!$P$6:$P$22^2))</f>
        <v>51.1172079710589</v>
      </c>
      <c r="C745" s="71" t="n">
        <f aca="false">-SUMPRODUCT(固有振動数!$Q$6:$Q$22*固有振動数!$P$6:$P$22/((1-($A745/固有振動数!$O$6:$O$22)^2)^2+固有振動数!$P$6:$P$22^2))</f>
        <v>-19.4043395479895</v>
      </c>
      <c r="D745" s="71" t="n">
        <f aca="false">SQRT(B745^2+C745^2)</f>
        <v>54.6762959979016</v>
      </c>
      <c r="E745" s="72" t="n">
        <f aca="false">20*LOG10(MAX(D745,0.000000000001)/$K$3)</f>
        <v>34.7559817191744</v>
      </c>
      <c r="F745" s="5"/>
      <c r="G745" s="5"/>
      <c r="H745" s="5"/>
      <c r="I745" s="5"/>
      <c r="J745" s="5"/>
      <c r="K745" s="5"/>
      <c r="L745" s="5"/>
      <c r="M745" s="5"/>
      <c r="N745" s="5"/>
    </row>
    <row r="746" customFormat="false" ht="15" hidden="false" customHeight="false" outlineLevel="0" collapsed="false">
      <c r="A746" s="71" t="n">
        <f aca="false">A745+$F$3</f>
        <v>14800</v>
      </c>
      <c r="B746" s="71" t="n">
        <f aca="false">SUMPRODUCT(固有振動数!$Q$6:$Q$22*(1-($A746/固有振動数!$O$6:$O$22)^2)/((1-($A746/固有振動数!$O$6:$O$22)^2)^2+固有振動数!$P$6:$P$22^2))</f>
        <v>54.4419262862852</v>
      </c>
      <c r="C746" s="71" t="n">
        <f aca="false">-SUMPRODUCT(固有振動数!$Q$6:$Q$22*固有振動数!$P$6:$P$22/((1-($A746/固有振動数!$O$6:$O$22)^2)^2+固有振動数!$P$6:$P$22^2))</f>
        <v>-23.9713335321775</v>
      </c>
      <c r="D746" s="71" t="n">
        <f aca="false">SQRT(B746^2+C746^2)</f>
        <v>59.4856971806854</v>
      </c>
      <c r="E746" s="72" t="n">
        <f aca="false">20*LOG10(MAX(D746,0.000000000001)/$K$3)</f>
        <v>35.4882511188698</v>
      </c>
      <c r="F746" s="5"/>
      <c r="G746" s="5"/>
      <c r="H746" s="5"/>
      <c r="I746" s="5"/>
      <c r="J746" s="5"/>
      <c r="K746" s="5"/>
      <c r="L746" s="5"/>
      <c r="M746" s="5"/>
      <c r="N746" s="5"/>
    </row>
    <row r="747" customFormat="false" ht="15" hidden="false" customHeight="false" outlineLevel="0" collapsed="false">
      <c r="A747" s="71" t="n">
        <f aca="false">A746+$F$3</f>
        <v>14820</v>
      </c>
      <c r="B747" s="71" t="n">
        <f aca="false">SUMPRODUCT(固有振動数!$Q$6:$Q$22*(1-($A747/固有振動数!$O$6:$O$22)^2)/((1-($A747/固有振動数!$O$6:$O$22)^2)^2+固有振動数!$P$6:$P$22^2))</f>
        <v>57.8342567783857</v>
      </c>
      <c r="C747" s="71" t="n">
        <f aca="false">-SUMPRODUCT(固有振動数!$Q$6:$Q$22*固有振動数!$P$6:$P$22/((1-($A747/固有振動数!$O$6:$O$22)^2)^2+固有振動数!$P$6:$P$22^2))</f>
        <v>-30.1614180524993</v>
      </c>
      <c r="D747" s="71" t="n">
        <f aca="false">SQRT(B747^2+C747^2)</f>
        <v>65.2266233684213</v>
      </c>
      <c r="E747" s="72" t="n">
        <f aca="false">20*LOG10(MAX(D747,0.000000000001)/$K$3)</f>
        <v>36.2884979336511</v>
      </c>
      <c r="F747" s="5"/>
      <c r="G747" s="5"/>
      <c r="H747" s="5"/>
      <c r="I747" s="5"/>
      <c r="J747" s="5"/>
      <c r="K747" s="5"/>
      <c r="L747" s="5"/>
      <c r="M747" s="5"/>
      <c r="N747" s="5"/>
    </row>
    <row r="748" customFormat="false" ht="15" hidden="false" customHeight="false" outlineLevel="0" collapsed="false">
      <c r="A748" s="71" t="n">
        <f aca="false">A747+$F$3</f>
        <v>14840</v>
      </c>
      <c r="B748" s="71" t="n">
        <f aca="false">SUMPRODUCT(固有振動数!$Q$6:$Q$22*(1-($A748/固有振動数!$O$6:$O$22)^2)/((1-($A748/固有振動数!$O$6:$O$22)^2)^2+固有振動数!$P$6:$P$22^2))</f>
        <v>60.8264781266142</v>
      </c>
      <c r="C748" s="71" t="n">
        <f aca="false">-SUMPRODUCT(固有振動数!$Q$6:$Q$22*固有振動数!$P$6:$P$22/((1-($A748/固有振動数!$O$6:$O$22)^2)^2+固有振動数!$P$6:$P$22^2))</f>
        <v>-38.6276968718667</v>
      </c>
      <c r="D748" s="71" t="n">
        <f aca="false">SQRT(B748^2+C748^2)</f>
        <v>72.0552524588756</v>
      </c>
      <c r="E748" s="72" t="n">
        <f aca="false">20*LOG10(MAX(D748,0.000000000001)/$K$3)</f>
        <v>37.1533128829483</v>
      </c>
      <c r="F748" s="5"/>
      <c r="G748" s="5"/>
      <c r="H748" s="5"/>
      <c r="I748" s="5"/>
      <c r="J748" s="5"/>
      <c r="K748" s="5"/>
      <c r="L748" s="5"/>
      <c r="M748" s="5"/>
      <c r="N748" s="5"/>
    </row>
    <row r="749" customFormat="false" ht="15" hidden="false" customHeight="false" outlineLevel="0" collapsed="false">
      <c r="A749" s="71" t="n">
        <f aca="false">A748+$F$3</f>
        <v>14860</v>
      </c>
      <c r="B749" s="71" t="n">
        <f aca="false">SUMPRODUCT(固有振動数!$Q$6:$Q$22*(1-($A749/固有振動数!$O$6:$O$22)^2)/((1-($A749/固有振動数!$O$6:$O$22)^2)^2+固有振動数!$P$6:$P$22^2))</f>
        <v>62.3548678264312</v>
      </c>
      <c r="C749" s="71" t="n">
        <f aca="false">-SUMPRODUCT(固有振動数!$Q$6:$Q$22*固有振動数!$P$6:$P$22/((1-($A749/固有振動数!$O$6:$O$22)^2)^2+固有振動数!$P$6:$P$22^2))</f>
        <v>-50.1256505256258</v>
      </c>
      <c r="D749" s="71" t="n">
        <f aca="false">SQRT(B749^2+C749^2)</f>
        <v>80.0044397659835</v>
      </c>
      <c r="E749" s="72" t="n">
        <f aca="false">20*LOG10(MAX(D749,0.000000000001)/$K$3)</f>
        <v>38.0622817679303</v>
      </c>
      <c r="F749" s="5"/>
      <c r="G749" s="5"/>
      <c r="H749" s="5"/>
      <c r="I749" s="5"/>
      <c r="J749" s="5"/>
      <c r="K749" s="5"/>
      <c r="L749" s="5"/>
      <c r="M749" s="5"/>
      <c r="N749" s="5"/>
    </row>
    <row r="750" customFormat="false" ht="15" hidden="false" customHeight="false" outlineLevel="0" collapsed="false">
      <c r="A750" s="71" t="n">
        <f aca="false">A749+$F$3</f>
        <v>14880</v>
      </c>
      <c r="B750" s="71" t="n">
        <f aca="false">SUMPRODUCT(固有振動数!$Q$6:$Q$22*(1-($A750/固有振動数!$O$6:$O$22)^2)/((1-($A750/固有振動数!$O$6:$O$22)^2)^2+固有振動数!$P$6:$P$22^2))</f>
        <v>60.28918695899</v>
      </c>
      <c r="C750" s="71" t="n">
        <f aca="false">-SUMPRODUCT(固有振動数!$Q$6:$Q$22*固有振動数!$P$6:$P$22/((1-($A750/固有振動数!$O$6:$O$22)^2)^2+固有振動数!$P$6:$P$22^2))</f>
        <v>-65.0654310095987</v>
      </c>
      <c r="D750" s="71" t="n">
        <f aca="false">SQRT(B750^2+C750^2)</f>
        <v>88.7034180662781</v>
      </c>
      <c r="E750" s="72" t="n">
        <f aca="false">20*LOG10(MAX(D750,0.000000000001)/$K$3)</f>
        <v>38.9588071020962</v>
      </c>
      <c r="F750" s="5"/>
      <c r="G750" s="5"/>
      <c r="H750" s="5"/>
      <c r="I750" s="5"/>
      <c r="J750" s="5"/>
      <c r="K750" s="5"/>
      <c r="L750" s="5"/>
      <c r="M750" s="5"/>
      <c r="N750" s="5"/>
    </row>
    <row r="751" customFormat="false" ht="15" hidden="false" customHeight="false" outlineLevel="0" collapsed="false">
      <c r="A751" s="71" t="n">
        <f aca="false">A750+$F$3</f>
        <v>14900</v>
      </c>
      <c r="B751" s="71" t="n">
        <f aca="false">SUMPRODUCT(固有振動数!$Q$6:$Q$22*(1-($A751/固有振動数!$O$6:$O$22)^2)/((1-($A751/固有振動数!$O$6:$O$22)^2)^2+固有振動数!$P$6:$P$22^2))</f>
        <v>51.2545183114713</v>
      </c>
      <c r="C751" s="71" t="n">
        <f aca="false">-SUMPRODUCT(固有振動数!$Q$6:$Q$22*固有振動数!$P$6:$P$22/((1-($A751/固有振動数!$O$6:$O$22)^2)^2+固有振動数!$P$6:$P$22^2))</f>
        <v>-82.168641184438</v>
      </c>
      <c r="D751" s="71" t="n">
        <f aca="false">SQRT(B751^2+C751^2)</f>
        <v>96.8437465272687</v>
      </c>
      <c r="E751" s="72" t="n">
        <f aca="false">20*LOG10(MAX(D751,0.000000000001)/$K$3)</f>
        <v>39.7214316469192</v>
      </c>
      <c r="F751" s="5"/>
      <c r="G751" s="5"/>
      <c r="H751" s="5"/>
      <c r="I751" s="5"/>
      <c r="J751" s="5"/>
      <c r="K751" s="5"/>
      <c r="L751" s="5"/>
      <c r="M751" s="5"/>
      <c r="N751" s="5"/>
    </row>
    <row r="752" customFormat="false" ht="15" hidden="false" customHeight="false" outlineLevel="0" collapsed="false">
      <c r="A752" s="71" t="n">
        <f aca="false">A751+$F$3</f>
        <v>14920</v>
      </c>
      <c r="B752" s="71" t="n">
        <f aca="false">SUMPRODUCT(固有振動数!$Q$6:$Q$22*(1-($A752/固有振動数!$O$6:$O$22)^2)/((1-($A752/固有振動数!$O$6:$O$22)^2)^2+固有振動数!$P$6:$P$22^2))</f>
        <v>32.4638115090601</v>
      </c>
      <c r="C752" s="71" t="n">
        <f aca="false">-SUMPRODUCT(固有振動数!$Q$6:$Q$22*固有振動数!$P$6:$P$22/((1-($A752/固有振動数!$O$6:$O$22)^2)^2+固有振動数!$P$6:$P$22^2))</f>
        <v>-96.4184040465814</v>
      </c>
      <c r="D752" s="71" t="n">
        <f aca="false">SQRT(B752^2+C752^2)</f>
        <v>101.736953446551</v>
      </c>
      <c r="E752" s="72" t="n">
        <f aca="false">20*LOG10(MAX(D752,0.000000000001)/$K$3)</f>
        <v>40.1495745673885</v>
      </c>
      <c r="F752" s="5"/>
      <c r="G752" s="5"/>
      <c r="H752" s="5"/>
      <c r="I752" s="5"/>
      <c r="J752" s="5"/>
      <c r="K752" s="5"/>
      <c r="L752" s="5"/>
      <c r="M752" s="5"/>
      <c r="N752" s="5"/>
    </row>
    <row r="753" customFormat="false" ht="15" hidden="false" customHeight="false" outlineLevel="0" collapsed="false">
      <c r="A753" s="71" t="n">
        <f aca="false">A752+$F$3</f>
        <v>14940</v>
      </c>
      <c r="B753" s="71" t="n">
        <f aca="false">SUMPRODUCT(固有振動数!$Q$6:$Q$22*(1-($A753/固有振動数!$O$6:$O$22)^2)/((1-($A753/固有振動数!$O$6:$O$22)^2)^2+固有振動数!$P$6:$P$22^2))</f>
        <v>6.66084736135508</v>
      </c>
      <c r="C753" s="71" t="n">
        <f aca="false">-SUMPRODUCT(固有振動数!$Q$6:$Q$22*固有振動数!$P$6:$P$22/((1-($A753/固有振動数!$O$6:$O$22)^2)^2+固有振動数!$P$6:$P$22^2))</f>
        <v>-100.136907446126</v>
      </c>
      <c r="D753" s="71" t="n">
        <f aca="false">SQRT(B753^2+C753^2)</f>
        <v>100.358194087206</v>
      </c>
      <c r="E753" s="72" t="n">
        <f aca="false">20*LOG10(MAX(D753,0.000000000001)/$K$3)</f>
        <v>40.0310567545219</v>
      </c>
      <c r="F753" s="5"/>
      <c r="G753" s="5"/>
      <c r="H753" s="5"/>
      <c r="I753" s="5"/>
      <c r="J753" s="5"/>
      <c r="K753" s="5"/>
      <c r="L753" s="5"/>
      <c r="M753" s="5"/>
      <c r="N753" s="5"/>
    </row>
    <row r="754" customFormat="false" ht="15" hidden="false" customHeight="false" outlineLevel="0" collapsed="false">
      <c r="A754" s="71" t="n">
        <f aca="false">A753+$F$3</f>
        <v>14960</v>
      </c>
      <c r="B754" s="71" t="n">
        <f aca="false">SUMPRODUCT(固有振動数!$Q$6:$Q$22*(1-($A754/固有振動数!$O$6:$O$22)^2)/((1-($A754/固有振動数!$O$6:$O$22)^2)^2+固有振動数!$P$6:$P$22^2))</f>
        <v>-16.8453921891988</v>
      </c>
      <c r="C754" s="71" t="n">
        <f aca="false">-SUMPRODUCT(固有振動数!$Q$6:$Q$22*固有振動数!$P$6:$P$22/((1-($A754/固有振動数!$O$6:$O$22)^2)^2+固有振動数!$P$6:$P$22^2))</f>
        <v>-90.7296023917834</v>
      </c>
      <c r="D754" s="71" t="n">
        <f aca="false">SQRT(B754^2+C754^2)</f>
        <v>92.2801603172591</v>
      </c>
      <c r="E754" s="72" t="n">
        <f aca="false">20*LOG10(MAX(D754,0.000000000001)/$K$3)</f>
        <v>39.3021668068902</v>
      </c>
      <c r="F754" s="5"/>
      <c r="G754" s="5"/>
      <c r="H754" s="5"/>
      <c r="I754" s="5"/>
      <c r="J754" s="5"/>
      <c r="K754" s="5"/>
      <c r="L754" s="5"/>
      <c r="M754" s="5"/>
      <c r="N754" s="5"/>
    </row>
    <row r="755" customFormat="false" ht="15" hidden="false" customHeight="false" outlineLevel="0" collapsed="false">
      <c r="A755" s="71" t="n">
        <f aca="false">A754+$F$3</f>
        <v>14980</v>
      </c>
      <c r="B755" s="71" t="n">
        <f aca="false">SUMPRODUCT(固有振動数!$Q$6:$Q$22*(1-($A755/固有振動数!$O$6:$O$22)^2)/((1-($A755/固有振動数!$O$6:$O$22)^2)^2+固有振動数!$P$6:$P$22^2))</f>
        <v>-31.0721055874249</v>
      </c>
      <c r="C755" s="71" t="n">
        <f aca="false">-SUMPRODUCT(固有振動数!$Q$6:$Q$22*固有振動数!$P$6:$P$22/((1-($A755/固有振動数!$O$6:$O$22)^2)^2+固有振動数!$P$6:$P$22^2))</f>
        <v>-74.1918944632514</v>
      </c>
      <c r="D755" s="71" t="n">
        <f aca="false">SQRT(B755^2+C755^2)</f>
        <v>80.435769093621</v>
      </c>
      <c r="E755" s="72" t="n">
        <f aca="false">20*LOG10(MAX(D755,0.000000000001)/$K$3)</f>
        <v>38.1089843743424</v>
      </c>
      <c r="F755" s="5"/>
      <c r="G755" s="5"/>
      <c r="H755" s="5"/>
      <c r="I755" s="5"/>
      <c r="J755" s="5"/>
      <c r="K755" s="5"/>
      <c r="L755" s="5"/>
      <c r="M755" s="5"/>
      <c r="N755" s="5"/>
    </row>
    <row r="756" customFormat="false" ht="15" hidden="false" customHeight="false" outlineLevel="0" collapsed="false">
      <c r="A756" s="71" t="n">
        <f aca="false">A755+$F$3</f>
        <v>15000</v>
      </c>
      <c r="B756" s="71" t="n">
        <f aca="false">SUMPRODUCT(固有振動数!$Q$6:$Q$22*(1-($A756/固有振動数!$O$6:$O$22)^2)/((1-($A756/固有振動数!$O$6:$O$22)^2)^2+固有振動数!$P$6:$P$22^2))</f>
        <v>-36.4201311294511</v>
      </c>
      <c r="C756" s="71" t="n">
        <f aca="false">-SUMPRODUCT(固有振動数!$Q$6:$Q$22*固有振動数!$P$6:$P$22/((1-($A756/固有振動数!$O$6:$O$22)^2)^2+固有振動数!$P$6:$P$22^2))</f>
        <v>-57.6335610047952</v>
      </c>
      <c r="D756" s="71" t="n">
        <f aca="false">SQRT(B756^2+C756^2)</f>
        <v>68.1766331346736</v>
      </c>
      <c r="E756" s="72" t="n">
        <f aca="false">20*LOG10(MAX(D756,0.000000000001)/$K$3)</f>
        <v>36.6727110005922</v>
      </c>
      <c r="F756" s="5"/>
      <c r="G756" s="5"/>
      <c r="H756" s="5"/>
      <c r="I756" s="5"/>
      <c r="J756" s="5"/>
      <c r="K756" s="5"/>
      <c r="L756" s="5"/>
      <c r="M756" s="5"/>
      <c r="N756" s="5"/>
    </row>
    <row r="757" customFormat="false" ht="15" hidden="false" customHeight="false" outlineLevel="0" collapsed="false">
      <c r="A757" s="71" t="n">
        <f aca="false">A756+$F$3</f>
        <v>15020</v>
      </c>
      <c r="B757" s="71" t="n">
        <f aca="false">SUMPRODUCT(固有振動数!$Q$6:$Q$22*(1-($A757/固有振動数!$O$6:$O$22)^2)/((1-($A757/固有振動数!$O$6:$O$22)^2)^2+固有振動数!$P$6:$P$22^2))</f>
        <v>-36.4222635184817</v>
      </c>
      <c r="C757" s="71" t="n">
        <f aca="false">-SUMPRODUCT(固有振動数!$Q$6:$Q$22*固有振動数!$P$6:$P$22/((1-($A757/固有振動数!$O$6:$O$22)^2)^2+固有振動数!$P$6:$P$22^2))</f>
        <v>-44.1957248714093</v>
      </c>
      <c r="D757" s="71" t="n">
        <f aca="false">SQRT(B757^2+C757^2)</f>
        <v>57.2699168562259</v>
      </c>
      <c r="E757" s="72" t="n">
        <f aca="false">20*LOG10(MAX(D757,0.000000000001)/$K$3)</f>
        <v>35.158531052206</v>
      </c>
      <c r="F757" s="5"/>
      <c r="G757" s="5"/>
      <c r="H757" s="5"/>
      <c r="I757" s="5"/>
      <c r="J757" s="5"/>
      <c r="K757" s="5"/>
      <c r="L757" s="5"/>
      <c r="M757" s="5"/>
      <c r="N757" s="5"/>
    </row>
    <row r="758" customFormat="false" ht="15" hidden="false" customHeight="false" outlineLevel="0" collapsed="false">
      <c r="A758" s="71" t="n">
        <f aca="false">A757+$F$3</f>
        <v>15040</v>
      </c>
      <c r="B758" s="71" t="n">
        <f aca="false">SUMPRODUCT(固有振動数!$Q$6:$Q$22*(1-($A758/固有振動数!$O$6:$O$22)^2)/((1-($A758/固有振動数!$O$6:$O$22)^2)^2+固有振動数!$P$6:$P$22^2))</f>
        <v>-33.9595037113787</v>
      </c>
      <c r="C758" s="71" t="n">
        <f aca="false">-SUMPRODUCT(固有振動数!$Q$6:$Q$22*固有振動数!$P$6:$P$22/((1-($A758/固有振動数!$O$6:$O$22)^2)^2+固有振動数!$P$6:$P$22^2))</f>
        <v>-34.1459178608827</v>
      </c>
      <c r="D758" s="71" t="n">
        <f aca="false">SQRT(B758^2+C758^2)</f>
        <v>48.1579858267068</v>
      </c>
      <c r="E758" s="72" t="n">
        <f aca="false">20*LOG10(MAX(D758,0.000000000001)/$K$3)</f>
        <v>33.653366291474</v>
      </c>
      <c r="F758" s="5"/>
      <c r="G758" s="5"/>
      <c r="H758" s="5"/>
      <c r="I758" s="5"/>
      <c r="J758" s="5"/>
      <c r="K758" s="5"/>
      <c r="L758" s="5"/>
      <c r="M758" s="5"/>
      <c r="N758" s="5"/>
    </row>
    <row r="759" customFormat="false" ht="15" hidden="false" customHeight="false" outlineLevel="0" collapsed="false">
      <c r="A759" s="71" t="n">
        <f aca="false">A758+$F$3</f>
        <v>15060</v>
      </c>
      <c r="B759" s="71" t="n">
        <f aca="false">SUMPRODUCT(固有振動数!$Q$6:$Q$22*(1-($A759/固有振動数!$O$6:$O$22)^2)/((1-($A759/固有振動数!$O$6:$O$22)^2)^2+固有振動数!$P$6:$P$22^2))</f>
        <v>-30.6267366189332</v>
      </c>
      <c r="C759" s="71" t="n">
        <f aca="false">-SUMPRODUCT(固有振動数!$Q$6:$Q$22*固有振動数!$P$6:$P$22/((1-($A759/固有振動数!$O$6:$O$22)^2)^2+固有振動数!$P$6:$P$22^2))</f>
        <v>-26.8074794120748</v>
      </c>
      <c r="D759" s="71" t="n">
        <f aca="false">SQRT(B759^2+C759^2)</f>
        <v>40.7018175067689</v>
      </c>
      <c r="E759" s="72" t="n">
        <f aca="false">20*LOG10(MAX(D759,0.000000000001)/$K$3)</f>
        <v>32.192276054547</v>
      </c>
      <c r="F759" s="5"/>
      <c r="G759" s="5"/>
      <c r="H759" s="5"/>
      <c r="I759" s="5"/>
      <c r="J759" s="5"/>
      <c r="K759" s="5"/>
      <c r="L759" s="5"/>
      <c r="M759" s="5"/>
      <c r="N759" s="5"/>
    </row>
    <row r="760" customFormat="false" ht="15" hidden="false" customHeight="false" outlineLevel="0" collapsed="false">
      <c r="A760" s="71" t="n">
        <f aca="false">A759+$F$3</f>
        <v>15080</v>
      </c>
      <c r="B760" s="71" t="n">
        <f aca="false">SUMPRODUCT(固有振動数!$Q$6:$Q$22*(1-($A760/固有振動数!$O$6:$O$22)^2)/((1-($A760/固有振動数!$O$6:$O$22)^2)^2+固有振動数!$P$6:$P$22^2))</f>
        <v>-27.16865656497</v>
      </c>
      <c r="C760" s="71" t="n">
        <f aca="false">-SUMPRODUCT(固有振動数!$Q$6:$Q$22*固有振動数!$P$6:$P$22/((1-($A760/固有振動数!$O$6:$O$22)^2)^2+固有振動数!$P$6:$P$22^2))</f>
        <v>-21.4389524792458</v>
      </c>
      <c r="D760" s="71" t="n">
        <f aca="false">SQRT(B760^2+C760^2)</f>
        <v>34.6087356451033</v>
      </c>
      <c r="E760" s="72" t="n">
        <f aca="false">20*LOG10(MAX(D760,0.000000000001)/$K$3)</f>
        <v>30.7837146715891</v>
      </c>
      <c r="F760" s="5"/>
      <c r="G760" s="5"/>
      <c r="H760" s="5"/>
      <c r="I760" s="5"/>
      <c r="J760" s="5"/>
      <c r="K760" s="5"/>
      <c r="L760" s="5"/>
      <c r="M760" s="5"/>
      <c r="N760" s="5"/>
    </row>
    <row r="761" customFormat="false" ht="15" hidden="false" customHeight="false" outlineLevel="0" collapsed="false">
      <c r="A761" s="71" t="n">
        <f aca="false">A760+$F$3</f>
        <v>15100</v>
      </c>
      <c r="B761" s="71" t="n">
        <f aca="false">SUMPRODUCT(固有振動数!$Q$6:$Q$22*(1-($A761/固有振動数!$O$6:$O$22)^2)/((1-($A761/固有振動数!$O$6:$O$22)^2)^2+固有振動数!$P$6:$P$22^2))</f>
        <v>-23.8936426474492</v>
      </c>
      <c r="C761" s="71" t="n">
        <f aca="false">-SUMPRODUCT(固有振動数!$Q$6:$Q$22*固有振動数!$P$6:$P$22/((1-($A761/固有振動数!$O$6:$O$22)^2)^2+固有振動数!$P$6:$P$22^2))</f>
        <v>-17.4615135388982</v>
      </c>
      <c r="D761" s="71" t="n">
        <f aca="false">SQRT(B761^2+C761^2)</f>
        <v>29.5940976215381</v>
      </c>
      <c r="E761" s="72" t="n">
        <f aca="false">20*LOG10(MAX(D761,0.000000000001)/$K$3)</f>
        <v>29.4241020414463</v>
      </c>
      <c r="F761" s="5"/>
      <c r="G761" s="5"/>
      <c r="H761" s="5"/>
      <c r="I761" s="5"/>
      <c r="J761" s="5"/>
      <c r="K761" s="5"/>
      <c r="L761" s="5"/>
      <c r="M761" s="5"/>
      <c r="N761" s="5"/>
    </row>
    <row r="762" customFormat="false" ht="15" hidden="false" customHeight="false" outlineLevel="0" collapsed="false">
      <c r="A762" s="71" t="n">
        <f aca="false">A761+$F$3</f>
        <v>15120</v>
      </c>
      <c r="B762" s="71" t="n">
        <f aca="false">SUMPRODUCT(固有振動数!$Q$6:$Q$22*(1-($A762/固有振動数!$O$6:$O$22)^2)/((1-($A762/固有振動数!$O$6:$O$22)^2)^2+固有振動数!$P$6:$P$22^2))</f>
        <v>-20.9077338032072</v>
      </c>
      <c r="C762" s="71" t="n">
        <f aca="false">-SUMPRODUCT(固有振動数!$Q$6:$Q$22*固有振動数!$P$6:$P$22/((1-($A762/固有振動数!$O$6:$O$22)^2)^2+固有振動数!$P$6:$P$22^2))</f>
        <v>-14.4655298108754</v>
      </c>
      <c r="D762" s="71" t="n">
        <f aca="false">SQRT(B762^2+C762^2)</f>
        <v>25.4241004854665</v>
      </c>
      <c r="E762" s="72" t="n">
        <f aca="false">20*LOG10(MAX(D762,0.000000000001)/$K$3)</f>
        <v>28.1049119271885</v>
      </c>
      <c r="F762" s="5"/>
      <c r="G762" s="5"/>
      <c r="H762" s="5"/>
      <c r="I762" s="5"/>
      <c r="J762" s="5"/>
      <c r="K762" s="5"/>
      <c r="L762" s="5"/>
      <c r="M762" s="5"/>
      <c r="N762" s="5"/>
    </row>
    <row r="763" customFormat="false" ht="15" hidden="false" customHeight="false" outlineLevel="0" collapsed="false">
      <c r="A763" s="71" t="n">
        <f aca="false">A762+$F$3</f>
        <v>15140</v>
      </c>
      <c r="B763" s="71" t="n">
        <f aca="false">SUMPRODUCT(固有振動数!$Q$6:$Q$22*(1-($A763/固有振動数!$O$6:$O$22)^2)/((1-($A763/固有振動数!$O$6:$O$22)^2)^2+固有振動数!$P$6:$P$22^2))</f>
        <v>-18.2286510349472</v>
      </c>
      <c r="C763" s="71" t="n">
        <f aca="false">-SUMPRODUCT(固有振動数!$Q$6:$Q$22*固有振動数!$P$6:$P$22/((1-($A763/固有振動数!$O$6:$O$22)^2)^2+固有振動数!$P$6:$P$22^2))</f>
        <v>-12.1694396221267</v>
      </c>
      <c r="D763" s="71" t="n">
        <f aca="false">SQRT(B763^2+C763^2)</f>
        <v>21.9175495726705</v>
      </c>
      <c r="E763" s="72" t="n">
        <f aca="false">20*LOG10(MAX(D763,0.000000000001)/$K$3)</f>
        <v>26.8158399501193</v>
      </c>
      <c r="F763" s="5"/>
      <c r="G763" s="5"/>
      <c r="H763" s="5"/>
      <c r="I763" s="5"/>
      <c r="J763" s="5"/>
      <c r="K763" s="5"/>
      <c r="L763" s="5"/>
      <c r="M763" s="5"/>
      <c r="N763" s="5"/>
    </row>
    <row r="764" customFormat="false" ht="15" hidden="false" customHeight="false" outlineLevel="0" collapsed="false">
      <c r="A764" s="71" t="n">
        <f aca="false">A763+$F$3</f>
        <v>15160</v>
      </c>
      <c r="B764" s="71" t="n">
        <f aca="false">SUMPRODUCT(固有振動数!$Q$6:$Q$22*(1-($A764/固有振動数!$O$6:$O$22)^2)/((1-($A764/固有振動数!$O$6:$O$22)^2)^2+固有振動数!$P$6:$P$22^2))</f>
        <v>-15.838332973243</v>
      </c>
      <c r="C764" s="71" t="n">
        <f aca="false">-SUMPRODUCT(固有振動数!$Q$6:$Q$22*固有振動数!$P$6:$P$22/((1-($A764/固有振動数!$O$6:$O$22)^2)^2+固有振動数!$P$6:$P$22^2))</f>
        <v>-10.3801603535702</v>
      </c>
      <c r="D764" s="71" t="n">
        <f aca="false">SQRT(B764^2+C764^2)</f>
        <v>18.9367505221236</v>
      </c>
      <c r="E764" s="72" t="n">
        <f aca="false">20*LOG10(MAX(D764,0.000000000001)/$K$3)</f>
        <v>25.5461091539735</v>
      </c>
      <c r="F764" s="5"/>
      <c r="G764" s="5"/>
      <c r="H764" s="5"/>
      <c r="I764" s="5"/>
      <c r="J764" s="5"/>
      <c r="K764" s="5"/>
      <c r="L764" s="5"/>
      <c r="M764" s="5"/>
      <c r="N764" s="5"/>
    </row>
    <row r="765" customFormat="false" ht="15" hidden="false" customHeight="false" outlineLevel="0" collapsed="false">
      <c r="A765" s="71" t="n">
        <f aca="false">A764+$F$3</f>
        <v>15180</v>
      </c>
      <c r="B765" s="71" t="n">
        <f aca="false">SUMPRODUCT(固有振動数!$Q$6:$Q$22*(1-($A765/固有振動数!$O$6:$O$22)^2)/((1-($A765/固有振動数!$O$6:$O$22)^2)^2+固有振動数!$P$6:$P$22^2))</f>
        <v>-13.7064448440258</v>
      </c>
      <c r="C765" s="71" t="n">
        <f aca="false">-SUMPRODUCT(固有振動数!$Q$6:$Q$22*固有振動数!$P$6:$P$22/((1-($A765/固有振動数!$O$6:$O$22)^2)^2+固有振動数!$P$6:$P$22^2))</f>
        <v>-8.96406758394732</v>
      </c>
      <c r="D765" s="71" t="n">
        <f aca="false">SQRT(B765^2+C765^2)</f>
        <v>16.3774582250084</v>
      </c>
      <c r="E765" s="72" t="n">
        <f aca="false">20*LOG10(MAX(D765,0.000000000001)/$K$3)</f>
        <v>24.2849300064741</v>
      </c>
      <c r="F765" s="5"/>
      <c r="G765" s="5"/>
      <c r="H765" s="5"/>
      <c r="I765" s="5"/>
      <c r="J765" s="5"/>
      <c r="K765" s="5"/>
      <c r="L765" s="5"/>
      <c r="M765" s="5"/>
      <c r="N765" s="5"/>
    </row>
    <row r="766" customFormat="false" ht="15" hidden="false" customHeight="false" outlineLevel="0" collapsed="false">
      <c r="A766" s="71" t="n">
        <f aca="false">A765+$F$3</f>
        <v>15200</v>
      </c>
      <c r="B766" s="71" t="n">
        <f aca="false">SUMPRODUCT(固有振動数!$Q$6:$Q$22*(1-($A766/固有振動数!$O$6:$O$22)^2)/((1-($A766/固有振動数!$O$6:$O$22)^2)^2+固有振動数!$P$6:$P$22^2))</f>
        <v>-11.8005598925609</v>
      </c>
      <c r="C766" s="71" t="n">
        <f aca="false">-SUMPRODUCT(固有振動数!$Q$6:$Q$22*固有振動数!$P$6:$P$22/((1-($A766/固有振動数!$O$6:$O$22)^2)^2+固有振動数!$P$6:$P$22^2))</f>
        <v>-7.82738189837004</v>
      </c>
      <c r="D766" s="71" t="n">
        <f aca="false">SQRT(B766^2+C766^2)</f>
        <v>14.1605480529832</v>
      </c>
      <c r="E766" s="72" t="n">
        <f aca="false">20*LOG10(MAX(D766,0.000000000001)/$K$3)</f>
        <v>23.0216012419061</v>
      </c>
      <c r="F766" s="5"/>
      <c r="G766" s="5"/>
      <c r="H766" s="5"/>
      <c r="I766" s="5"/>
      <c r="J766" s="5"/>
      <c r="K766" s="5"/>
      <c r="L766" s="5"/>
      <c r="M766" s="5"/>
      <c r="N766" s="5"/>
    </row>
    <row r="767" customFormat="false" ht="15" hidden="false" customHeight="false" outlineLevel="0" collapsed="false">
      <c r="A767" s="71" t="n">
        <f aca="false">A766+$F$3</f>
        <v>15220</v>
      </c>
      <c r="B767" s="71" t="n">
        <f aca="false">SUMPRODUCT(固有振動数!$Q$6:$Q$22*(1-($A767/固有振動数!$O$6:$O$22)^2)/((1-($A767/固有振動数!$O$6:$O$22)^2)^2+固有振動数!$P$6:$P$22^2))</f>
        <v>-10.090288716325</v>
      </c>
      <c r="C767" s="71" t="n">
        <f aca="false">-SUMPRODUCT(固有振動数!$Q$6:$Q$22*固有振動数!$P$6:$P$22/((1-($A767/固有振動数!$O$6:$O$22)^2)^2+固有振動数!$P$6:$P$22^2))</f>
        <v>-6.90324251976293</v>
      </c>
      <c r="D767" s="71" t="n">
        <f aca="false">SQRT(B767^2+C767^2)</f>
        <v>12.2257385734138</v>
      </c>
      <c r="E767" s="72" t="n">
        <f aca="false">20*LOG10(MAX(D767,0.000000000001)/$K$3)</f>
        <v>21.7455020981122</v>
      </c>
      <c r="F767" s="5"/>
      <c r="G767" s="5"/>
      <c r="H767" s="5"/>
      <c r="I767" s="5"/>
      <c r="J767" s="5"/>
      <c r="K767" s="5"/>
      <c r="L767" s="5"/>
      <c r="M767" s="5"/>
      <c r="N767" s="5"/>
    </row>
    <row r="768" customFormat="false" ht="15" hidden="false" customHeight="false" outlineLevel="0" collapsed="false">
      <c r="A768" s="71" t="n">
        <f aca="false">A767+$F$3</f>
        <v>15240</v>
      </c>
      <c r="B768" s="71" t="n">
        <f aca="false">SUMPRODUCT(固有振動数!$Q$6:$Q$22*(1-($A768/固有振動数!$O$6:$O$22)^2)/((1-($A768/固有振動数!$O$6:$O$22)^2)^2+固有振動数!$P$6:$P$22^2))</f>
        <v>-8.54869378613651</v>
      </c>
      <c r="C768" s="71" t="n">
        <f aca="false">-SUMPRODUCT(固有振動数!$Q$6:$Q$22*固有振動数!$P$6:$P$22/((1-($A768/固有振動数!$O$6:$O$22)^2)^2+固有振動数!$P$6:$P$22^2))</f>
        <v>-6.14321096004753</v>
      </c>
      <c r="D768" s="71" t="n">
        <f aca="false">SQRT(B768^2+C768^2)</f>
        <v>10.527070169272</v>
      </c>
      <c r="E768" s="72" t="n">
        <f aca="false">20*LOG10(MAX(D768,0.000000000001)/$K$3)</f>
        <v>20.4461503555876</v>
      </c>
      <c r="F768" s="5"/>
      <c r="G768" s="5"/>
      <c r="H768" s="5"/>
      <c r="I768" s="5"/>
      <c r="J768" s="5"/>
      <c r="K768" s="5"/>
      <c r="L768" s="5"/>
      <c r="M768" s="5"/>
      <c r="N768" s="5"/>
    </row>
    <row r="769" customFormat="false" ht="15" hidden="false" customHeight="false" outlineLevel="0" collapsed="false">
      <c r="A769" s="71" t="n">
        <f aca="false">A768+$F$3</f>
        <v>15260</v>
      </c>
      <c r="B769" s="71" t="n">
        <f aca="false">SUMPRODUCT(固有振動数!$Q$6:$Q$22*(1-($A769/固有振動数!$O$6:$O$22)^2)/((1-($A769/固有振動数!$O$6:$O$22)^2)^2+固有振動数!$P$6:$P$22^2))</f>
        <v>-7.152519843889</v>
      </c>
      <c r="C769" s="71" t="n">
        <f aca="false">-SUMPRODUCT(固有振動数!$Q$6:$Q$22*固有振動数!$P$6:$P$22/((1-($A769/固有振動数!$O$6:$O$22)^2)^2+固有振動数!$P$6:$P$22^2))</f>
        <v>-5.51164514094361</v>
      </c>
      <c r="D769" s="71" t="n">
        <f aca="false">SQRT(B769^2+C769^2)</f>
        <v>9.02977144101186</v>
      </c>
      <c r="E769" s="72" t="n">
        <f aca="false">20*LOG10(MAX(D769,0.000000000001)/$K$3)</f>
        <v>19.1135351543021</v>
      </c>
      <c r="F769" s="5"/>
      <c r="G769" s="5"/>
      <c r="H769" s="5"/>
      <c r="I769" s="5"/>
      <c r="J769" s="5"/>
      <c r="K769" s="5"/>
      <c r="L769" s="5"/>
      <c r="M769" s="5"/>
      <c r="N769" s="5"/>
    </row>
    <row r="770" customFormat="false" ht="15" hidden="false" customHeight="false" outlineLevel="0" collapsed="false">
      <c r="A770" s="71" t="n">
        <f aca="false">A769+$F$3</f>
        <v>15280</v>
      </c>
      <c r="B770" s="71" t="n">
        <f aca="false">SUMPRODUCT(固有振動数!$Q$6:$Q$22*(1-($A770/固有振動数!$O$6:$O$22)^2)/((1-($A770/固有振動数!$O$6:$O$22)^2)^2+固有振動数!$P$6:$P$22^2))</f>
        <v>-5.88194159416866</v>
      </c>
      <c r="C770" s="71" t="n">
        <f aca="false">-SUMPRODUCT(固有振動数!$Q$6:$Q$22*固有振動数!$P$6:$P$22/((1-($A770/固有振動数!$O$6:$O$22)^2)^2+固有振動数!$P$6:$P$22^2))</f>
        <v>-4.98192917532106</v>
      </c>
      <c r="D770" s="71" t="n">
        <f aca="false">SQRT(B770^2+C770^2)</f>
        <v>7.70823295088612</v>
      </c>
      <c r="E770" s="72" t="n">
        <f aca="false">20*LOG10(MAX(D770,0.000000000001)/$K$3)</f>
        <v>17.7390966203317</v>
      </c>
      <c r="F770" s="5"/>
      <c r="G770" s="5"/>
      <c r="H770" s="5"/>
      <c r="I770" s="5"/>
      <c r="J770" s="5"/>
      <c r="K770" s="5"/>
      <c r="L770" s="5"/>
      <c r="M770" s="5"/>
      <c r="N770" s="5"/>
    </row>
    <row r="771" customFormat="false" ht="15" hidden="false" customHeight="false" outlineLevel="0" collapsed="false">
      <c r="A771" s="71" t="n">
        <f aca="false">A770+$F$3</f>
        <v>15300</v>
      </c>
      <c r="B771" s="71" t="n">
        <f aca="false">SUMPRODUCT(固有振動数!$Q$6:$Q$22*(1-($A771/固有振動数!$O$6:$O$22)^2)/((1-($A771/固有振動数!$O$6:$O$22)^2)^2+固有振動数!$P$6:$P$22^2))</f>
        <v>-4.72014689340363</v>
      </c>
      <c r="C771" s="71" t="n">
        <f aca="false">-SUMPRODUCT(固有振動数!$Q$6:$Q$22*固有振動数!$P$6:$P$22/((1-($A771/固有振動数!$O$6:$O$22)^2)^2+固有振動数!$P$6:$P$22^2))</f>
        <v>-4.53391106277542</v>
      </c>
      <c r="D771" s="71" t="n">
        <f aca="false">SQRT(B771^2+C771^2)</f>
        <v>6.54493210205157</v>
      </c>
      <c r="E771" s="72" t="n">
        <f aca="false">20*LOG10(MAX(D771,0.000000000001)/$K$3)</f>
        <v>16.3181029096918</v>
      </c>
      <c r="F771" s="5"/>
      <c r="G771" s="5"/>
      <c r="H771" s="5"/>
      <c r="I771" s="5"/>
      <c r="J771" s="5"/>
      <c r="K771" s="5"/>
      <c r="L771" s="5"/>
      <c r="M771" s="5"/>
      <c r="N771" s="5"/>
    </row>
    <row r="772" customFormat="false" ht="15" hidden="false" customHeight="false" outlineLevel="0" collapsed="false">
      <c r="A772" s="71" t="n">
        <f aca="false">A771+$F$3</f>
        <v>15320</v>
      </c>
      <c r="B772" s="71" t="n">
        <f aca="false">SUMPRODUCT(固有振動数!$Q$6:$Q$22*(1-($A772/固有振動数!$O$6:$O$22)^2)/((1-($A772/固有振動数!$O$6:$O$22)^2)^2+固有振動数!$P$6:$P$22^2))</f>
        <v>-3.65289552973612</v>
      </c>
      <c r="C772" s="71" t="n">
        <f aca="false">-SUMPRODUCT(固有振動数!$Q$6:$Q$22*固有振動数!$P$6:$P$22/((1-($A772/固有振動数!$O$6:$O$22)^2)^2+固有振動数!$P$6:$P$22^2))</f>
        <v>-4.15213557421688</v>
      </c>
      <c r="D772" s="71" t="n">
        <f aca="false">SQRT(B772^2+C772^2)</f>
        <v>5.53026903304383</v>
      </c>
      <c r="E772" s="72" t="n">
        <f aca="false">20*LOG10(MAX(D772,0.000000000001)/$K$3)</f>
        <v>14.8549251820591</v>
      </c>
      <c r="F772" s="5"/>
      <c r="G772" s="5"/>
      <c r="H772" s="5"/>
      <c r="I772" s="5"/>
      <c r="J772" s="5"/>
      <c r="K772" s="5"/>
      <c r="L772" s="5"/>
      <c r="M772" s="5"/>
      <c r="N772" s="5"/>
    </row>
    <row r="773" customFormat="false" ht="15" hidden="false" customHeight="false" outlineLevel="0" collapsed="false">
      <c r="A773" s="71" t="n">
        <f aca="false">A772+$F$3</f>
        <v>15340</v>
      </c>
      <c r="B773" s="71" t="n">
        <f aca="false">SUMPRODUCT(固有振動数!$Q$6:$Q$22*(1-($A773/固有振動数!$O$6:$O$22)^2)/((1-($A773/固有振動数!$O$6:$O$22)^2)^2+固有振動数!$P$6:$P$22^2))</f>
        <v>-2.66811092354867</v>
      </c>
      <c r="C773" s="71" t="n">
        <f aca="false">-SUMPRODUCT(固有振動数!$Q$6:$Q$22*固有振動数!$P$6:$P$22/((1-($A773/固有振動数!$O$6:$O$22)^2)^2+固有振動数!$P$6:$P$22^2))</f>
        <v>-3.82460761634217</v>
      </c>
      <c r="D773" s="71" t="n">
        <f aca="false">SQRT(B773^2+C773^2)</f>
        <v>4.66330776588274</v>
      </c>
      <c r="E773" s="72" t="n">
        <f aca="false">20*LOG10(MAX(D773,0.000000000001)/$K$3)</f>
        <v>13.3738815735713</v>
      </c>
      <c r="F773" s="5"/>
      <c r="G773" s="5"/>
      <c r="H773" s="5"/>
      <c r="I773" s="5"/>
      <c r="J773" s="5"/>
      <c r="K773" s="5"/>
      <c r="L773" s="5"/>
      <c r="M773" s="5"/>
      <c r="N773" s="5"/>
    </row>
    <row r="774" customFormat="false" ht="15" hidden="false" customHeight="false" outlineLevel="0" collapsed="false">
      <c r="A774" s="71" t="n">
        <f aca="false">A773+$F$3</f>
        <v>15360</v>
      </c>
      <c r="B774" s="71" t="n">
        <f aca="false">SUMPRODUCT(固有振動数!$Q$6:$Q$22*(1-($A774/固有振動数!$O$6:$O$22)^2)/((1-($A774/固有振動数!$O$6:$O$22)^2)^2+固有振動数!$P$6:$P$22^2))</f>
        <v>-1.75552407954754</v>
      </c>
      <c r="C774" s="71" t="n">
        <f aca="false">-SUMPRODUCT(固有振動数!$Q$6:$Q$22*固有振動数!$P$6:$P$22/((1-($A774/固有振動数!$O$6:$O$22)^2)^2+固有振動数!$P$6:$P$22^2))</f>
        <v>-3.54191447994797</v>
      </c>
      <c r="D774" s="71" t="n">
        <f aca="false">SQRT(B774^2+C774^2)</f>
        <v>3.95310295554471</v>
      </c>
      <c r="E774" s="72" t="n">
        <f aca="false">20*LOG10(MAX(D774,0.000000000001)/$K$3)</f>
        <v>11.9387625071614</v>
      </c>
      <c r="F774" s="5"/>
      <c r="G774" s="5"/>
      <c r="H774" s="5"/>
      <c r="I774" s="5"/>
      <c r="J774" s="5"/>
      <c r="K774" s="5"/>
      <c r="L774" s="5"/>
      <c r="M774" s="5"/>
      <c r="N774" s="5"/>
    </row>
    <row r="775" customFormat="false" ht="15" hidden="false" customHeight="false" outlineLevel="0" collapsed="false">
      <c r="A775" s="71" t="n">
        <f aca="false">A774+$F$3</f>
        <v>15380</v>
      </c>
      <c r="B775" s="71" t="n">
        <f aca="false">SUMPRODUCT(固有振動数!$Q$6:$Q$22*(1-($A775/固有振動数!$O$6:$O$22)^2)/((1-($A775/固有振動数!$O$6:$O$22)^2)^2+固有振動数!$P$6:$P$22^2))</f>
        <v>-0.906372255010621</v>
      </c>
      <c r="C775" s="71" t="n">
        <f aca="false">-SUMPRODUCT(固有振動数!$Q$6:$Q$22*固有振動数!$P$6:$P$22/((1-($A775/固有振動数!$O$6:$O$22)^2)^2+固有振動数!$P$6:$P$22^2))</f>
        <v>-3.29659432461931</v>
      </c>
      <c r="D775" s="71" t="n">
        <f aca="false">SQRT(B775^2+C775^2)</f>
        <v>3.41892451010041</v>
      </c>
      <c r="E775" s="72" t="n">
        <f aca="false">20*LOG10(MAX(D775,0.000000000001)/$K$3)</f>
        <v>10.677790233488</v>
      </c>
      <c r="F775" s="5"/>
      <c r="G775" s="5"/>
      <c r="H775" s="5"/>
      <c r="I775" s="5"/>
      <c r="J775" s="5"/>
      <c r="K775" s="5"/>
      <c r="L775" s="5"/>
      <c r="M775" s="5"/>
      <c r="N775" s="5"/>
    </row>
    <row r="776" customFormat="false" ht="15" hidden="false" customHeight="false" outlineLevel="0" collapsed="false">
      <c r="A776" s="71" t="n">
        <f aca="false">A775+$F$3</f>
        <v>15400</v>
      </c>
      <c r="B776" s="71" t="n">
        <f aca="false">SUMPRODUCT(固有振動数!$Q$6:$Q$22*(1-($A776/固有振動数!$O$6:$O$22)^2)/((1-($A776/固有振動数!$O$6:$O$22)^2)^2+固有振動数!$P$6:$P$22^2))</f>
        <v>-0.113147896831626</v>
      </c>
      <c r="C776" s="71" t="n">
        <f aca="false">-SUMPRODUCT(固有振動数!$Q$6:$Q$22*固有振動数!$P$6:$P$22/((1-($A776/固有振動数!$O$6:$O$22)^2)^2+固有振動数!$P$6:$P$22^2))</f>
        <v>-3.08267595266605</v>
      </c>
      <c r="D776" s="71" t="n">
        <f aca="false">SQRT(B776^2+C776^2)</f>
        <v>3.08475176889535</v>
      </c>
      <c r="E776" s="72" t="n">
        <f aca="false">20*LOG10(MAX(D776,0.000000000001)/$K$3)</f>
        <v>9.78440443878592</v>
      </c>
      <c r="F776" s="5"/>
      <c r="G776" s="5"/>
      <c r="H776" s="5"/>
      <c r="I776" s="5"/>
      <c r="J776" s="5"/>
      <c r="K776" s="5"/>
      <c r="L776" s="5"/>
      <c r="M776" s="5"/>
      <c r="N776" s="5"/>
    </row>
    <row r="777" customFormat="false" ht="15" hidden="false" customHeight="false" outlineLevel="0" collapsed="false">
      <c r="A777" s="71" t="n">
        <f aca="false">A776+$F$3</f>
        <v>15420</v>
      </c>
      <c r="B777" s="71" t="n">
        <f aca="false">SUMPRODUCT(固有振動数!$Q$6:$Q$22*(1-($A777/固有振動数!$O$6:$O$22)^2)/((1-($A777/固有振動数!$O$6:$O$22)^2)^2+固有振動数!$P$6:$P$22^2))</f>
        <v>0.630608893442775</v>
      </c>
      <c r="C777" s="71" t="n">
        <f aca="false">-SUMPRODUCT(固有振動数!$Q$6:$Q$22*固有振動数!$P$6:$P$22/((1-($A777/固有振動数!$O$6:$O$22)^2)^2+固有振動数!$P$6:$P$22^2))</f>
        <v>-2.89533932795687</v>
      </c>
      <c r="D777" s="71" t="n">
        <f aca="false">SQRT(B777^2+C777^2)</f>
        <v>2.96321740689118</v>
      </c>
      <c r="E777" s="72" t="n">
        <f aca="false">20*LOG10(MAX(D777,0.000000000001)/$K$3)</f>
        <v>9.43527032389332</v>
      </c>
      <c r="F777" s="5"/>
      <c r="G777" s="5"/>
      <c r="H777" s="5"/>
      <c r="I777" s="5"/>
      <c r="J777" s="5"/>
      <c r="K777" s="5"/>
      <c r="L777" s="5"/>
      <c r="M777" s="5"/>
      <c r="N777" s="5"/>
    </row>
    <row r="778" customFormat="false" ht="15" hidden="false" customHeight="false" outlineLevel="0" collapsed="false">
      <c r="A778" s="71" t="n">
        <f aca="false">A777+$F$3</f>
        <v>15440</v>
      </c>
      <c r="B778" s="71" t="n">
        <f aca="false">SUMPRODUCT(固有振動数!$Q$6:$Q$22*(1-($A778/固有振動数!$O$6:$O$22)^2)/((1-($A778/固有振動数!$O$6:$O$22)^2)^2+固有振動数!$P$6:$P$22^2))</f>
        <v>1.33048133829106</v>
      </c>
      <c r="C778" s="71" t="n">
        <f aca="false">-SUMPRODUCT(固有振動数!$Q$6:$Q$22*固有振動数!$P$6:$P$22/((1-($A778/固有振動数!$O$6:$O$22)^2)^2+固有振動数!$P$6:$P$22^2))</f>
        <v>-2.73066229485667</v>
      </c>
      <c r="D778" s="71" t="n">
        <f aca="false">SQRT(B778^2+C778^2)</f>
        <v>3.03754788605755</v>
      </c>
      <c r="E778" s="72" t="n">
        <f aca="false">20*LOG10(MAX(D778,0.000000000001)/$K$3)</f>
        <v>9.65046266372655</v>
      </c>
      <c r="F778" s="5"/>
      <c r="G778" s="5"/>
      <c r="H778" s="5"/>
      <c r="I778" s="5"/>
      <c r="J778" s="5"/>
      <c r="K778" s="5"/>
      <c r="L778" s="5"/>
      <c r="M778" s="5"/>
      <c r="N778" s="5"/>
    </row>
    <row r="779" customFormat="false" ht="15" hidden="false" customHeight="false" outlineLevel="0" collapsed="false">
      <c r="A779" s="71" t="n">
        <f aca="false">A778+$F$3</f>
        <v>15460</v>
      </c>
      <c r="B779" s="71" t="n">
        <f aca="false">SUMPRODUCT(固有振動数!$Q$6:$Q$22*(1-($A779/固有振動数!$O$6:$O$22)^2)/((1-($A779/固有振動数!$O$6:$O$22)^2)^2+固有振動数!$P$6:$P$22^2))</f>
        <v>1.99131676502043</v>
      </c>
      <c r="C779" s="71" t="n">
        <f aca="false">-SUMPRODUCT(固有振動数!$Q$6:$Q$22*固有振動数!$P$6:$P$22/((1-($A779/固有振動数!$O$6:$O$22)^2)^2+固有振動数!$P$6:$P$22^2))</f>
        <v>-2.58542958029304</v>
      </c>
      <c r="D779" s="71" t="n">
        <f aca="false">SQRT(B779^2+C779^2)</f>
        <v>3.26340138096827</v>
      </c>
      <c r="E779" s="72" t="n">
        <f aca="false">20*LOG10(MAX(D779,0.000000000001)/$K$3)</f>
        <v>10.2734098595709</v>
      </c>
      <c r="F779" s="5"/>
      <c r="G779" s="5"/>
      <c r="H779" s="5"/>
      <c r="I779" s="5"/>
      <c r="J779" s="5"/>
      <c r="K779" s="5"/>
      <c r="L779" s="5"/>
      <c r="M779" s="5"/>
      <c r="N779" s="5"/>
    </row>
    <row r="780" customFormat="false" ht="15" hidden="false" customHeight="false" outlineLevel="0" collapsed="false">
      <c r="A780" s="71" t="n">
        <f aca="false">A779+$F$3</f>
        <v>15480</v>
      </c>
      <c r="B780" s="71" t="n">
        <f aca="false">SUMPRODUCT(固有振動数!$Q$6:$Q$22*(1-($A780/固有振動数!$O$6:$O$22)^2)/((1-($A780/固有振動数!$O$6:$O$22)^2)^2+固有振動数!$P$6:$P$22^2))</f>
        <v>2.61734265977196</v>
      </c>
      <c r="C780" s="71" t="n">
        <f aca="false">-SUMPRODUCT(固有振動数!$Q$6:$Q$22*固有振動数!$P$6:$P$22/((1-($A780/固有振動数!$O$6:$O$22)^2)^2+固有振動数!$P$6:$P$22^2))</f>
        <v>-2.45698731334987</v>
      </c>
      <c r="D780" s="71" t="n">
        <f aca="false">SQRT(B780^2+C780^2)</f>
        <v>3.58988429571544</v>
      </c>
      <c r="E780" s="72" t="n">
        <f aca="false">20*LOG10(MAX(D780,0.000000000001)/$K$3)</f>
        <v>11.1016090242566</v>
      </c>
      <c r="F780" s="5"/>
      <c r="G780" s="5"/>
      <c r="H780" s="5"/>
      <c r="I780" s="5"/>
      <c r="J780" s="5"/>
      <c r="K780" s="5"/>
      <c r="L780" s="5"/>
      <c r="M780" s="5"/>
      <c r="N780" s="5"/>
    </row>
    <row r="781" customFormat="false" ht="15" hidden="false" customHeight="false" outlineLevel="0" collapsed="false">
      <c r="A781" s="71" t="n">
        <f aca="false">A780+$F$3</f>
        <v>15500</v>
      </c>
      <c r="B781" s="71" t="n">
        <f aca="false">SUMPRODUCT(固有振動数!$Q$6:$Q$22*(1-($A781/固有振動数!$O$6:$O$22)^2)/((1-($A781/固有振動数!$O$6:$O$22)^2)^2+固有振動数!$P$6:$P$22^2))</f>
        <v>3.2122625600542</v>
      </c>
      <c r="C781" s="71" t="n">
        <f aca="false">-SUMPRODUCT(固有振動数!$Q$6:$Q$22*固有振動数!$P$6:$P$22/((1-($A781/固有振動数!$O$6:$O$22)^2)^2+固有振動数!$P$6:$P$22^2))</f>
        <v>-2.34313116983653</v>
      </c>
      <c r="D781" s="71" t="n">
        <f aca="false">SQRT(B781^2+C781^2)</f>
        <v>3.97604004428847</v>
      </c>
      <c r="E781" s="72" t="n">
        <f aca="false">20*LOG10(MAX(D781,0.000000000001)/$K$3)</f>
        <v>11.9890149940123</v>
      </c>
      <c r="F781" s="5"/>
      <c r="G781" s="5"/>
      <c r="H781" s="5"/>
      <c r="I781" s="5"/>
      <c r="J781" s="5"/>
      <c r="K781" s="5"/>
      <c r="L781" s="5"/>
      <c r="M781" s="5"/>
      <c r="N781" s="5"/>
    </row>
    <row r="782" customFormat="false" ht="15" hidden="false" customHeight="false" outlineLevel="0" collapsed="false">
      <c r="A782" s="71" t="n">
        <f aca="false">A781+$F$3</f>
        <v>15520</v>
      </c>
      <c r="B782" s="71" t="n">
        <f aca="false">SUMPRODUCT(固有振動数!$Q$6:$Q$22*(1-($A782/固有振動数!$O$6:$O$22)^2)/((1-($A782/固有振動数!$O$6:$O$22)^2)^2+固有振動数!$P$6:$P$22^2))</f>
        <v>3.77933553122919</v>
      </c>
      <c r="C782" s="71" t="n">
        <f aca="false">-SUMPRODUCT(固有振動数!$Q$6:$Q$22*固有振動数!$P$6:$P$22/((1-($A782/固有振動数!$O$6:$O$22)^2)^2+固有振動数!$P$6:$P$22^2))</f>
        <v>-2.24201961041871</v>
      </c>
      <c r="D782" s="71" t="n">
        <f aca="false">SQRT(B782^2+C782^2)</f>
        <v>4.39431780724989</v>
      </c>
      <c r="E782" s="72" t="n">
        <f aca="false">20*LOG10(MAX(D782,0.000000000001)/$K$3)</f>
        <v>12.8578292580794</v>
      </c>
      <c r="F782" s="5"/>
      <c r="G782" s="5"/>
      <c r="H782" s="5"/>
      <c r="I782" s="5"/>
      <c r="J782" s="5"/>
      <c r="K782" s="5"/>
      <c r="L782" s="5"/>
      <c r="M782" s="5"/>
      <c r="N782" s="5"/>
    </row>
    <row r="783" customFormat="false" ht="15" hidden="false" customHeight="false" outlineLevel="0" collapsed="false">
      <c r="A783" s="71" t="n">
        <f aca="false">A782+$F$3</f>
        <v>15540</v>
      </c>
      <c r="B783" s="71" t="n">
        <f aca="false">SUMPRODUCT(固有振動数!$Q$6:$Q$22*(1-($A783/固有振動数!$O$6:$O$22)^2)/((1-($A783/固有振動数!$O$6:$O$22)^2)^2+固有振動数!$P$6:$P$22^2))</f>
        <v>4.32144227122597</v>
      </c>
      <c r="C783" s="71" t="n">
        <f aca="false">-SUMPRODUCT(固有振動数!$Q$6:$Q$22*固有振動数!$P$6:$P$22/((1-($A783/固有振動数!$O$6:$O$22)^2)^2+固有振動数!$P$6:$P$22^2))</f>
        <v>-2.152106026377</v>
      </c>
      <c r="D783" s="71" t="n">
        <f aca="false">SQRT(B783^2+C783^2)</f>
        <v>4.8276726952339</v>
      </c>
      <c r="E783" s="72" t="n">
        <f aca="false">20*LOG10(MAX(D783,0.000000000001)/$K$3)</f>
        <v>13.6747563657377</v>
      </c>
      <c r="F783" s="5"/>
      <c r="G783" s="5"/>
      <c r="H783" s="5"/>
      <c r="I783" s="5"/>
      <c r="J783" s="5"/>
      <c r="K783" s="5"/>
      <c r="L783" s="5"/>
      <c r="M783" s="5"/>
      <c r="N783" s="5"/>
    </row>
    <row r="784" customFormat="false" ht="15" hidden="false" customHeight="false" outlineLevel="0" collapsed="false">
      <c r="A784" s="71" t="n">
        <f aca="false">A783+$F$3</f>
        <v>15560</v>
      </c>
      <c r="B784" s="71" t="n">
        <f aca="false">SUMPRODUCT(固有振動数!$Q$6:$Q$22*(1-($A784/固有振動数!$O$6:$O$22)^2)/((1-($A784/固有振動数!$O$6:$O$22)^2)^2+固有振動数!$P$6:$P$22^2))</f>
        <v>4.84114030622794</v>
      </c>
      <c r="C784" s="71" t="n">
        <f aca="false">-SUMPRODUCT(固有振動数!$Q$6:$Q$22*固有振動数!$P$6:$P$22/((1-($A784/固有振動数!$O$6:$O$22)^2)^2+固有振動数!$P$6:$P$22^2))</f>
        <v>-2.07208526211279</v>
      </c>
      <c r="D784" s="71" t="n">
        <f aca="false">SQRT(B784^2+C784^2)</f>
        <v>5.26594500522459</v>
      </c>
      <c r="E784" s="72" t="n">
        <f aca="false">20*LOG10(MAX(D784,0.000000000001)/$K$3)</f>
        <v>14.4295263849862</v>
      </c>
      <c r="F784" s="5"/>
      <c r="G784" s="5"/>
      <c r="H784" s="5"/>
      <c r="I784" s="5"/>
      <c r="J784" s="5"/>
      <c r="K784" s="5"/>
      <c r="L784" s="5"/>
      <c r="M784" s="5"/>
      <c r="N784" s="5"/>
    </row>
    <row r="785" customFormat="false" ht="15" hidden="false" customHeight="false" outlineLevel="0" collapsed="false">
      <c r="A785" s="71" t="n">
        <f aca="false">A784+$F$3</f>
        <v>15580</v>
      </c>
      <c r="B785" s="71" t="n">
        <f aca="false">SUMPRODUCT(固有振動数!$Q$6:$Q$22*(1-($A785/固有振動数!$O$6:$O$22)^2)/((1-($A785/固有振動数!$O$6:$O$22)^2)^2+固有振動数!$P$6:$P$22^2))</f>
        <v>5.34071026605717</v>
      </c>
      <c r="C785" s="71" t="n">
        <f aca="false">-SUMPRODUCT(固有振動数!$Q$6:$Q$22*固有振動数!$P$6:$P$22/((1-($A785/固有振動数!$O$6:$O$22)^2)^2+固有振動数!$P$6:$P$22^2))</f>
        <v>-2.00085116384737</v>
      </c>
      <c r="D785" s="71" t="n">
        <f aca="false">SQRT(B785^2+C785^2)</f>
        <v>5.70320887973059</v>
      </c>
      <c r="E785" s="72" t="n">
        <f aca="false">20*LOG10(MAX(D785,0.000000000001)/$K$3)</f>
        <v>15.1223855577871</v>
      </c>
      <c r="F785" s="5"/>
      <c r="G785" s="5"/>
      <c r="H785" s="5"/>
      <c r="I785" s="5"/>
      <c r="J785" s="5"/>
      <c r="K785" s="5"/>
      <c r="L785" s="5"/>
      <c r="M785" s="5"/>
      <c r="N785" s="5"/>
    </row>
    <row r="786" customFormat="false" ht="15" hidden="false" customHeight="false" outlineLevel="0" collapsed="false">
      <c r="A786" s="71" t="n">
        <f aca="false">A785+$F$3</f>
        <v>15600</v>
      </c>
      <c r="B786" s="71" t="n">
        <f aca="false">SUMPRODUCT(固有振動数!$Q$6:$Q$22*(1-($A786/固有振動数!$O$6:$O$22)^2)/((1-($A786/固有振動数!$O$6:$O$22)^2)^2+固有振動数!$P$6:$P$22^2))</f>
        <v>5.82219484536716</v>
      </c>
      <c r="C786" s="71" t="n">
        <f aca="false">-SUMPRODUCT(固有振動数!$Q$6:$Q$22*固有振動数!$P$6:$P$22/((1-($A786/固有振動数!$O$6:$O$22)^2)^2+固有振動数!$P$6:$P$22^2))</f>
        <v>-1.93746265428399</v>
      </c>
      <c r="D786" s="71" t="n">
        <f aca="false">SQRT(B786^2+C786^2)</f>
        <v>6.13609927838241</v>
      </c>
      <c r="E786" s="72" t="n">
        <f aca="false">20*LOG10(MAX(D786,0.000000000001)/$K$3)</f>
        <v>15.7578475524067</v>
      </c>
      <c r="F786" s="5"/>
      <c r="G786" s="5"/>
      <c r="H786" s="5"/>
      <c r="I786" s="5"/>
      <c r="J786" s="5"/>
      <c r="K786" s="5"/>
      <c r="L786" s="5"/>
      <c r="M786" s="5"/>
      <c r="N786" s="5"/>
    </row>
    <row r="787" customFormat="false" ht="15" hidden="false" customHeight="false" outlineLevel="0" collapsed="false">
      <c r="A787" s="71" t="n">
        <f aca="false">A786+$F$3</f>
        <v>15620</v>
      </c>
      <c r="B787" s="71" t="n">
        <f aca="false">SUMPRODUCT(固有振動数!$Q$6:$Q$22*(1-($A787/固有振動数!$O$6:$O$22)^2)/((1-($A787/固有振動数!$O$6:$O$22)^2)^2+固有振動数!$P$6:$P$22^2))</f>
        <v>6.28743174957477</v>
      </c>
      <c r="C787" s="71" t="n">
        <f aca="false">-SUMPRODUCT(固有振動数!$Q$6:$Q$22*固有振動数!$P$6:$P$22/((1-($A787/固有振動数!$O$6:$O$22)^2)^2+固有振動数!$P$6:$P$22^2))</f>
        <v>-1.88111645151178</v>
      </c>
      <c r="D787" s="71" t="n">
        <f aca="false">SQRT(B787^2+C787^2)</f>
        <v>6.56280405845772</v>
      </c>
      <c r="E787" s="72" t="n">
        <f aca="false">20*LOG10(MAX(D787,0.000000000001)/$K$3)</f>
        <v>16.3417887598271</v>
      </c>
      <c r="F787" s="5"/>
      <c r="G787" s="5"/>
      <c r="H787" s="5"/>
      <c r="I787" s="5"/>
      <c r="J787" s="5"/>
      <c r="K787" s="5"/>
      <c r="L787" s="5"/>
      <c r="M787" s="5"/>
      <c r="N787" s="5"/>
    </row>
    <row r="788" customFormat="false" ht="15" hidden="false" customHeight="false" outlineLevel="0" collapsed="false">
      <c r="A788" s="71" t="n">
        <f aca="false">A787+$F$3</f>
        <v>15640</v>
      </c>
      <c r="B788" s="71" t="n">
        <f aca="false">SUMPRODUCT(固有振動数!$Q$6:$Q$22*(1-($A788/固有振動数!$O$6:$O$22)^2)/((1-($A788/固有振動数!$O$6:$O$22)^2)^2+固有振動数!$P$6:$P$22^2))</f>
        <v>6.73808167843886</v>
      </c>
      <c r="C788" s="71" t="n">
        <f aca="false">-SUMPRODUCT(固有振動数!$Q$6:$Q$22*固有振動数!$P$6:$P$22/((1-($A788/固有振動数!$O$6:$O$22)^2)^2+固有振動数!$P$6:$P$22^2))</f>
        <v>-1.8311250044693</v>
      </c>
      <c r="D788" s="71" t="n">
        <f aca="false">SQRT(B788^2+C788^2)</f>
        <v>6.98246113396316</v>
      </c>
      <c r="E788" s="72" t="n">
        <f aca="false">20*LOG10(MAX(D788,0.000000000001)/$K$3)</f>
        <v>16.880170539871</v>
      </c>
      <c r="F788" s="5"/>
      <c r="G788" s="5"/>
      <c r="H788" s="5"/>
      <c r="I788" s="5"/>
      <c r="J788" s="5"/>
      <c r="K788" s="5"/>
      <c r="L788" s="5"/>
      <c r="M788" s="5"/>
      <c r="N788" s="5"/>
    </row>
    <row r="789" customFormat="false" ht="15" hidden="false" customHeight="false" outlineLevel="0" collapsed="false">
      <c r="A789" s="71" t="n">
        <f aca="false">A788+$F$3</f>
        <v>15660</v>
      </c>
      <c r="B789" s="71" t="n">
        <f aca="false">SUMPRODUCT(固有振動数!$Q$6:$Q$22*(1-($A789/固有振動数!$O$6:$O$22)^2)/((1-($A789/固有振動数!$O$6:$O$22)^2)^2+固有振動数!$P$6:$P$22^2))</f>
        <v>7.17565220327553</v>
      </c>
      <c r="C789" s="71" t="n">
        <f aca="false">-SUMPRODUCT(固有振動数!$Q$6:$Q$22*固有振動数!$P$6:$P$22/((1-($A789/固有振動数!$O$6:$O$22)^2)^2+固有振動数!$P$6:$P$22^2))</f>
        <v>-1.78689855351592</v>
      </c>
      <c r="D789" s="71" t="n">
        <f aca="false">SQRT(B789^2+C789^2)</f>
        <v>7.39479485739329</v>
      </c>
      <c r="E789" s="72" t="n">
        <f aca="false">20*LOG10(MAX(D789,0.000000000001)/$K$3)</f>
        <v>17.3785226105044</v>
      </c>
      <c r="F789" s="5"/>
      <c r="G789" s="5"/>
      <c r="H789" s="5"/>
      <c r="I789" s="5"/>
      <c r="J789" s="5"/>
      <c r="K789" s="5"/>
      <c r="L789" s="5"/>
      <c r="M789" s="5"/>
      <c r="N789" s="5"/>
    </row>
    <row r="790" customFormat="false" ht="15" hidden="false" customHeight="false" outlineLevel="0" collapsed="false">
      <c r="A790" s="71" t="n">
        <f aca="false">A789+$F$3</f>
        <v>15680</v>
      </c>
      <c r="B790" s="71" t="n">
        <f aca="false">SUMPRODUCT(固有振動数!$Q$6:$Q$22*(1-($A790/固有振動数!$O$6:$O$22)^2)/((1-($A790/固有振動数!$O$6:$O$22)^2)^2+固有振動数!$P$6:$P$22^2))</f>
        <v>7.60151823607762</v>
      </c>
      <c r="C790" s="71" t="n">
        <f aca="false">-SUMPRODUCT(固有振動数!$Q$6:$Q$22*固有振動数!$P$6:$P$22/((1-($A790/固有振動数!$O$6:$O$22)^2)^2+固有振動数!$P$6:$P$22^2))</f>
        <v>-1.74793047574059</v>
      </c>
      <c r="D790" s="71" t="n">
        <f aca="false">SQRT(B790^2+C790^2)</f>
        <v>7.79989361731577</v>
      </c>
      <c r="E790" s="72" t="n">
        <f aca="false">20*LOG10(MAX(D790,0.000000000001)/$K$3)</f>
        <v>17.8417735878409</v>
      </c>
      <c r="F790" s="5"/>
      <c r="G790" s="5"/>
      <c r="H790" s="5"/>
      <c r="I790" s="5"/>
      <c r="J790" s="5"/>
      <c r="K790" s="5"/>
      <c r="L790" s="5"/>
      <c r="M790" s="5"/>
      <c r="N790" s="5"/>
    </row>
    <row r="791" customFormat="false" ht="15" hidden="false" customHeight="false" outlineLevel="0" collapsed="false">
      <c r="A791" s="71" t="n">
        <f aca="false">A790+$F$3</f>
        <v>15700</v>
      </c>
      <c r="B791" s="71" t="n">
        <f aca="false">SUMPRODUCT(固有振動数!$Q$6:$Q$22*(1-($A791/固有振動数!$O$6:$O$22)^2)/((1-($A791/固有振動数!$O$6:$O$22)^2)^2+固有振動数!$P$6:$P$22^2))</f>
        <v>8.0169396623027</v>
      </c>
      <c r="C791" s="71" t="n">
        <f aca="false">-SUMPRODUCT(固有振動数!$Q$6:$Q$22*固有振動数!$P$6:$P$22/((1-($A791/固有振動数!$O$6:$O$22)^2)^2+固有振動数!$P$6:$P$22^2))</f>
        <v>-1.71378526364281</v>
      </c>
      <c r="D791" s="71" t="n">
        <f aca="false">SQRT(B791^2+C791^2)</f>
        <v>8.19807181469407</v>
      </c>
      <c r="E791" s="72" t="n">
        <f aca="false">20*LOG10(MAX(D791,0.000000000001)/$K$3)</f>
        <v>18.2742343678964</v>
      </c>
      <c r="F791" s="5"/>
      <c r="G791" s="5"/>
      <c r="H791" s="5"/>
      <c r="I791" s="5"/>
      <c r="J791" s="5"/>
      <c r="K791" s="5"/>
      <c r="L791" s="5"/>
      <c r="M791" s="5"/>
      <c r="N791" s="5"/>
    </row>
    <row r="792" customFormat="false" ht="15" hidden="false" customHeight="false" outlineLevel="0" collapsed="false">
      <c r="A792" s="71" t="n">
        <f aca="false">A791+$F$3</f>
        <v>15720</v>
      </c>
      <c r="B792" s="71" t="n">
        <f aca="false">SUMPRODUCT(固有振動数!$Q$6:$Q$22*(1-($A792/固有振動数!$O$6:$O$22)^2)/((1-($A792/固有振動数!$O$6:$O$22)^2)^2+固有振動数!$P$6:$P$22^2))</f>
        <v>8.42307660743105</v>
      </c>
      <c r="C792" s="71" t="n">
        <f aca="false">-SUMPRODUCT(固有振動数!$Q$6:$Q$22*固有振動数!$P$6:$P$22/((1-($A792/固有振動数!$O$6:$O$22)^2)^2+固有振動数!$P$6:$P$22^2))</f>
        <v>-1.68408862920062</v>
      </c>
      <c r="D792" s="71" t="n">
        <f aca="false">SQRT(B792^2+C792^2)</f>
        <v>8.58978311982643</v>
      </c>
      <c r="E792" s="72" t="n">
        <f aca="false">20*LOG10(MAX(D792,0.000000000001)/$K$3)</f>
        <v>18.6796439726628</v>
      </c>
      <c r="F792" s="5"/>
      <c r="G792" s="5"/>
      <c r="H792" s="5"/>
      <c r="I792" s="5"/>
      <c r="J792" s="5"/>
      <c r="K792" s="5"/>
      <c r="L792" s="5"/>
      <c r="M792" s="5"/>
      <c r="N792" s="5"/>
    </row>
    <row r="793" customFormat="false" ht="15" hidden="false" customHeight="false" outlineLevel="0" collapsed="false">
      <c r="A793" s="71" t="n">
        <f aca="false">A792+$F$3</f>
        <v>15740</v>
      </c>
      <c r="B793" s="71" t="n">
        <f aca="false">SUMPRODUCT(固有振動数!$Q$6:$Q$22*(1-($A793/固有振動数!$O$6:$O$22)^2)/((1-($A793/固有振動数!$O$6:$O$22)^2)^2+固有振動数!$P$6:$P$22^2))</f>
        <v>8.82100272552179</v>
      </c>
      <c r="C793" s="71" t="n">
        <f aca="false">-SUMPRODUCT(固有振動数!$Q$6:$Q$22*固有振動数!$P$6:$P$22/((1-($A793/固有振動数!$O$6:$O$22)^2)^2+固有振動数!$P$6:$P$22^2))</f>
        <v>-1.6585193349289</v>
      </c>
      <c r="D793" s="71" t="n">
        <f aca="false">SQRT(B793^2+C793^2)</f>
        <v>8.97556546786864</v>
      </c>
      <c r="E793" s="72" t="n">
        <f aca="false">20*LOG10(MAX(D793,0.000000000001)/$K$3)</f>
        <v>19.061236380303</v>
      </c>
      <c r="F793" s="5"/>
      <c r="G793" s="5"/>
      <c r="H793" s="5"/>
      <c r="I793" s="5"/>
      <c r="J793" s="5"/>
      <c r="K793" s="5"/>
      <c r="L793" s="5"/>
      <c r="M793" s="5"/>
      <c r="N793" s="5"/>
    </row>
    <row r="794" customFormat="false" ht="15" hidden="false" customHeight="false" outlineLevel="0" collapsed="false">
      <c r="A794" s="71" t="n">
        <f aca="false">A793+$F$3</f>
        <v>15760</v>
      </c>
      <c r="B794" s="71" t="n">
        <f aca="false">SUMPRODUCT(固有振動数!$Q$6:$Q$22*(1-($A794/固有振動数!$O$6:$O$22)^2)/((1-($A794/固有振動数!$O$6:$O$22)^2)^2+固有振動数!$P$6:$P$22^2))</f>
        <v>9.21171683191175</v>
      </c>
      <c r="C794" s="71" t="n">
        <f aca="false">-SUMPRODUCT(固有振動数!$Q$6:$Q$22*固有振動数!$P$6:$P$22/((1-($A794/固有振動数!$O$6:$O$22)^2)^2+固有振動数!$P$6:$P$22^2))</f>
        <v>-1.63680243790904</v>
      </c>
      <c r="D794" s="71" t="n">
        <f aca="false">SQRT(B794^2+C794^2)</f>
        <v>9.35600605023699</v>
      </c>
      <c r="E794" s="72" t="n">
        <f aca="false">20*LOG10(MAX(D794,0.000000000001)/$K$3)</f>
        <v>19.4218098796378</v>
      </c>
      <c r="F794" s="5"/>
      <c r="G794" s="5"/>
      <c r="H794" s="5"/>
      <c r="I794" s="5"/>
      <c r="J794" s="5"/>
      <c r="K794" s="5"/>
      <c r="L794" s="5"/>
      <c r="M794" s="5"/>
      <c r="N794" s="5"/>
    </row>
    <row r="795" customFormat="false" ht="15" hidden="false" customHeight="false" outlineLevel="0" collapsed="false">
      <c r="A795" s="71" t="n">
        <f aca="false">A794+$F$3</f>
        <v>15780</v>
      </c>
      <c r="B795" s="71" t="n">
        <f aca="false">SUMPRODUCT(固有振動数!$Q$6:$Q$22*(1-($A795/固有振動数!$O$6:$O$22)^2)/((1-($A795/固有振動数!$O$6:$O$22)^2)^2+固有振動数!$P$6:$P$22^2))</f>
        <v>9.59615314875462</v>
      </c>
      <c r="C795" s="71" t="n">
        <f aca="false">-SUMPRODUCT(固有振動数!$Q$6:$Q$22*固有振動数!$P$6:$P$22/((1-($A795/固有振動数!$O$6:$O$22)^2)^2+固有振動数!$P$6:$P$22^2))</f>
        <v>-1.61870369821609</v>
      </c>
      <c r="D795" s="71" t="n">
        <f aca="false">SQRT(B795^2+C795^2)</f>
        <v>9.73171911416331</v>
      </c>
      <c r="E795" s="72" t="n">
        <f aca="false">20*LOG10(MAX(D795,0.000000000001)/$K$3)</f>
        <v>19.76379130865</v>
      </c>
      <c r="F795" s="5"/>
      <c r="G795" s="5"/>
      <c r="H795" s="5"/>
      <c r="I795" s="5"/>
      <c r="J795" s="5"/>
      <c r="K795" s="5"/>
      <c r="L795" s="5"/>
      <c r="M795" s="5"/>
      <c r="N795" s="5"/>
    </row>
    <row r="796" customFormat="false" ht="15" hidden="false" customHeight="false" outlineLevel="0" collapsed="false">
      <c r="A796" s="71" t="n">
        <f aca="false">A795+$F$3</f>
        <v>15800</v>
      </c>
      <c r="B796" s="71" t="n">
        <f aca="false">SUMPRODUCT(固有振動数!$Q$6:$Q$22*(1-($A796/固有振動数!$O$6:$O$22)^2)/((1-($A796/固有振動数!$O$6:$O$22)^2)^2+固有振動数!$P$6:$P$22^2))</f>
        <v>9.97519038879618</v>
      </c>
      <c r="C796" s="71" t="n">
        <f aca="false">-SUMPRODUCT(固有振動数!$Q$6:$Q$22*固有振動数!$P$6:$P$22/((1-($A796/固有振動数!$O$6:$O$22)^2)^2+固有振動数!$P$6:$P$22^2))</f>
        <v>-1.60402495430739</v>
      </c>
      <c r="D796" s="71" t="n">
        <f aca="false">SQRT(B796^2+C796^2)</f>
        <v>10.1033320912842</v>
      </c>
      <c r="E796" s="72" t="n">
        <f aca="false">20*LOG10(MAX(D796,0.000000000001)/$K$3)</f>
        <v>20.0892925651628</v>
      </c>
      <c r="F796" s="5"/>
      <c r="G796" s="5"/>
      <c r="H796" s="5"/>
      <c r="I796" s="5"/>
      <c r="J796" s="5"/>
      <c r="K796" s="5"/>
      <c r="L796" s="5"/>
      <c r="M796" s="5"/>
      <c r="N796" s="5"/>
    </row>
    <row r="797" customFormat="false" ht="15" hidden="false" customHeight="false" outlineLevel="0" collapsed="false">
      <c r="A797" s="71" t="n">
        <f aca="false">A796+$F$3</f>
        <v>15820</v>
      </c>
      <c r="B797" s="71" t="n">
        <f aca="false">SUMPRODUCT(固有振動数!$Q$6:$Q$22*(1-($A797/固有振動数!$O$6:$O$22)^2)/((1-($A797/固有振動数!$O$6:$O$22)^2)^2+固有振動数!$P$6:$P$22^2))</f>
        <v>10.3496598676628</v>
      </c>
      <c r="C797" s="71" t="n">
        <f aca="false">-SUMPRODUCT(固有振動数!$Q$6:$Q$22*固有振動数!$P$6:$P$22/((1-($A797/固有振動数!$O$6:$O$22)^2)^2+固有振動数!$P$6:$P$22^2))</f>
        <v>-1.59260030820451</v>
      </c>
      <c r="D797" s="71" t="n">
        <f aca="false">SQRT(B797^2+C797^2)</f>
        <v>10.4714772175659</v>
      </c>
      <c r="E797" s="72" t="n">
        <f aca="false">20*LOG10(MAX(D797,0.000000000001)/$K$3)</f>
        <v>20.4001590436697</v>
      </c>
      <c r="F797" s="5"/>
      <c r="G797" s="5"/>
      <c r="H797" s="5"/>
      <c r="I797" s="5"/>
      <c r="J797" s="5"/>
      <c r="K797" s="5"/>
      <c r="L797" s="5"/>
      <c r="M797" s="5"/>
      <c r="N797" s="5"/>
    </row>
    <row r="798" customFormat="false" ht="15" hidden="false" customHeight="false" outlineLevel="0" collapsed="false">
      <c r="A798" s="71" t="n">
        <f aca="false">A797+$F$3</f>
        <v>15840</v>
      </c>
      <c r="B798" s="71" t="n">
        <f aca="false">SUMPRODUCT(固有振動数!$Q$6:$Q$22*(1-($A798/固有振動数!$O$6:$O$22)^2)/((1-($A798/固有振動数!$O$6:$O$22)^2)^2+固有振動数!$P$6:$P$22^2))</f>
        <v>10.7203528064507</v>
      </c>
      <c r="C798" s="71" t="n">
        <f aca="false">-SUMPRODUCT(固有振動数!$Q$6:$Q$22*固有振動数!$P$6:$P$22/((1-($A798/固有振動数!$O$6:$O$22)^2)^2+固有振動数!$P$6:$P$22^2))</f>
        <v>-1.58429299527356</v>
      </c>
      <c r="D798" s="71" t="n">
        <f aca="false">SQRT(B798^2+C798^2)</f>
        <v>10.8367868203471</v>
      </c>
      <c r="E798" s="72" t="n">
        <f aca="false">20*LOG10(MAX(D798,0.000000000001)/$K$3)</f>
        <v>20.698010601511</v>
      </c>
      <c r="F798" s="5"/>
      <c r="G798" s="5"/>
      <c r="H798" s="5"/>
      <c r="I798" s="5"/>
      <c r="J798" s="5"/>
      <c r="K798" s="5"/>
      <c r="L798" s="5"/>
      <c r="M798" s="5"/>
      <c r="N798" s="5"/>
    </row>
    <row r="799" customFormat="false" ht="15" hidden="false" customHeight="false" outlineLevel="0" collapsed="false">
      <c r="A799" s="71" t="n">
        <f aca="false">A798+$F$3</f>
        <v>15860</v>
      </c>
      <c r="B799" s="71" t="n">
        <f aca="false">SUMPRODUCT(固有振動数!$Q$6:$Q$22*(1-($A799/固有振動数!$O$6:$O$22)^2)/((1-($A799/固有振動数!$O$6:$O$22)^2)^2+固有振動数!$P$6:$P$22^2))</f>
        <v>11.0880269633212</v>
      </c>
      <c r="C799" s="71" t="n">
        <f aca="false">-SUMPRODUCT(固有振動数!$Q$6:$Q$22*固有振動数!$P$6:$P$22/((1-($A799/固有振動数!$O$6:$O$22)^2)^2+固有振動数!$P$6:$P$22^2))</f>
        <v>-1.57899283902996</v>
      </c>
      <c r="D799" s="71" t="n">
        <f aca="false">SQRT(B799^2+C799^2)</f>
        <v>11.19989108541</v>
      </c>
      <c r="E799" s="72" t="n">
        <f aca="false">20*LOG10(MAX(D799,0.000000000001)/$K$3)</f>
        <v>20.9842759869118</v>
      </c>
      <c r="F799" s="5"/>
      <c r="G799" s="5"/>
      <c r="H799" s="5"/>
      <c r="I799" s="5"/>
      <c r="J799" s="5"/>
      <c r="K799" s="5"/>
      <c r="L799" s="5"/>
      <c r="M799" s="5"/>
      <c r="N799" s="5"/>
    </row>
    <row r="800" customFormat="false" ht="15" hidden="false" customHeight="false" outlineLevel="0" collapsed="false">
      <c r="A800" s="71" t="n">
        <f aca="false">A799+$F$3</f>
        <v>15880</v>
      </c>
      <c r="B800" s="71" t="n">
        <f aca="false">SUMPRODUCT(固有振動数!$Q$6:$Q$22*(1-($A800/固有振動数!$O$6:$O$22)^2)/((1-($A800/固有振動数!$O$6:$O$22)^2)^2+固有振動数!$P$6:$P$22^2))</f>
        <v>11.4534127141619</v>
      </c>
      <c r="C800" s="71" t="n">
        <f aca="false">-SUMPRODUCT(固有振動数!$Q$6:$Q$22*固有振動数!$P$6:$P$22/((1-($A800/固有振動数!$O$6:$O$22)^2)^2+固有振動数!$P$6:$P$22^2))</f>
        <v>-1.57661421214486</v>
      </c>
      <c r="D800" s="71" t="n">
        <f aca="false">SQRT(B800^2+C800^2)</f>
        <v>11.5614175244588</v>
      </c>
      <c r="E800" s="72" t="n">
        <f aca="false">20*LOG10(MAX(D800,0.000000000001)/$K$3)</f>
        <v>21.2602217081758</v>
      </c>
      <c r="F800" s="5"/>
      <c r="G800" s="5"/>
      <c r="H800" s="5"/>
      <c r="I800" s="5"/>
      <c r="J800" s="5"/>
      <c r="K800" s="5"/>
      <c r="L800" s="5"/>
      <c r="M800" s="5"/>
      <c r="N800" s="5"/>
    </row>
    <row r="801" customFormat="false" ht="15" hidden="false" customHeight="false" outlineLevel="0" collapsed="false">
      <c r="A801" s="71" t="n">
        <f aca="false">A800+$F$3</f>
        <v>15900</v>
      </c>
      <c r="B801" s="71" t="n">
        <f aca="false">SUMPRODUCT(固有振動数!$Q$6:$Q$22*(1-($A801/固有振動数!$O$6:$O$22)^2)/((1-($A801/固有振動数!$O$6:$O$22)^2)^2+固有振動数!$P$6:$P$22^2))</f>
        <v>11.8172186874064</v>
      </c>
      <c r="C801" s="71" t="n">
        <f aca="false">-SUMPRODUCT(固有振動数!$Q$6:$Q$22*固有振動数!$P$6:$P$22/((1-($A801/固有振動数!$O$6:$O$22)^2)^2+固有振動数!$P$6:$P$22^2))</f>
        <v>-1.57709444185166</v>
      </c>
      <c r="D801" s="71" t="n">
        <f aca="false">SQRT(B801^2+C801^2)</f>
        <v>11.9219916282686</v>
      </c>
      <c r="E801" s="72" t="n">
        <f aca="false">20*LOG10(MAX(D801,0.000000000001)/$K$3)</f>
        <v>21.5269762505603</v>
      </c>
      <c r="F801" s="5"/>
      <c r="G801" s="5"/>
      <c r="H801" s="5"/>
      <c r="I801" s="5"/>
      <c r="J801" s="5"/>
      <c r="K801" s="5"/>
      <c r="L801" s="5"/>
      <c r="M801" s="5"/>
      <c r="N801" s="5"/>
    </row>
    <row r="802" customFormat="false" ht="15" hidden="false" customHeight="false" outlineLevel="0" collapsed="false">
      <c r="A802" s="71" t="n">
        <f aca="false">A801+$F$3</f>
        <v>15920</v>
      </c>
      <c r="B802" s="71" t="n">
        <f aca="false">SUMPRODUCT(固有振動数!$Q$6:$Q$22*(1-($A802/固有振動数!$O$6:$O$22)^2)/((1-($A802/固有振動数!$O$6:$O$22)^2)^2+固有振動数!$P$6:$P$22^2))</f>
        <v>12.1801370462206</v>
      </c>
      <c r="C802" s="71" t="n">
        <f aca="false">-SUMPRODUCT(固有振動数!$Q$6:$Q$22*固有振動数!$P$6:$P$22/((1-($A802/固有振動数!$O$6:$O$22)^2)^2+固有振動数!$P$6:$P$22^2))</f>
        <v>-1.5803926121296</v>
      </c>
      <c r="D802" s="71" t="n">
        <f aca="false">SQRT(B802^2+C802^2)</f>
        <v>12.2822383657536</v>
      </c>
      <c r="E802" s="72" t="n">
        <f aca="false">20*LOG10(MAX(D802,0.000000000001)/$K$3)</f>
        <v>21.7855504326978</v>
      </c>
      <c r="F802" s="5"/>
      <c r="G802" s="5"/>
      <c r="H802" s="5"/>
      <c r="I802" s="5"/>
      <c r="J802" s="5"/>
      <c r="K802" s="5"/>
      <c r="L802" s="5"/>
      <c r="M802" s="5"/>
      <c r="N802" s="5"/>
    </row>
    <row r="803" customFormat="false" ht="15" hidden="false" customHeight="false" outlineLevel="0" collapsed="false">
      <c r="A803" s="71" t="n">
        <f aca="false">A802+$F$3</f>
        <v>15940</v>
      </c>
      <c r="B803" s="71" t="n">
        <f aca="false">SUMPRODUCT(固有振動数!$Q$6:$Q$22*(1-($A803/固有振動数!$O$6:$O$22)^2)/((1-($A803/固有振動数!$O$6:$O$22)^2)^2+固有振動数!$P$6:$P$22^2))</f>
        <v>12.5428485019891</v>
      </c>
      <c r="C803" s="71" t="n">
        <f aca="false">-SUMPRODUCT(固有振動数!$Q$6:$Q$22*固有振動数!$P$6:$P$22/((1-($A803/固有振動数!$O$6:$O$22)^2)^2+固有振動数!$P$6:$P$22^2))</f>
        <v>-1.58648872708123</v>
      </c>
      <c r="D803" s="71" t="n">
        <f aca="false">SQRT(B803^2+C803^2)</f>
        <v>12.642784306671</v>
      </c>
      <c r="E803" s="72" t="n">
        <f aca="false">20*LOG10(MAX(D803,0.000000000001)/$K$3)</f>
        <v>22.0368545736456</v>
      </c>
      <c r="F803" s="5"/>
      <c r="G803" s="5"/>
      <c r="H803" s="5"/>
      <c r="I803" s="5"/>
      <c r="J803" s="5"/>
      <c r="K803" s="5"/>
      <c r="L803" s="5"/>
      <c r="M803" s="5"/>
      <c r="N803" s="5"/>
    </row>
    <row r="804" customFormat="false" ht="15" hidden="false" customHeight="false" outlineLevel="0" collapsed="false">
      <c r="A804" s="71" t="n">
        <f aca="false">A803+$F$3</f>
        <v>15960</v>
      </c>
      <c r="B804" s="71" t="n">
        <f aca="false">SUMPRODUCT(固有振動数!$Q$6:$Q$22*(1-($A804/固有振動数!$O$6:$O$22)^2)/((1-($A804/固有振動数!$O$6:$O$22)^2)^2+固有振動数!$P$6:$P$22^2))</f>
        <v>12.9060271360251</v>
      </c>
      <c r="C804" s="71" t="n">
        <f aca="false">-SUMPRODUCT(固有振動数!$Q$6:$Q$22*固有振動数!$P$6:$P$22/((1-($A804/固有振動数!$O$6:$O$22)^2)^2+固有振動数!$P$6:$P$22^2))</f>
        <v>-1.59538321038724</v>
      </c>
      <c r="D804" s="71" t="n">
        <f aca="false">SQRT(B804^2+C804^2)</f>
        <v>13.0042602259337</v>
      </c>
      <c r="E804" s="72" t="n">
        <f aca="false">20*LOG10(MAX(D804,0.000000000001)/$K$3)</f>
        <v>22.2817130300104</v>
      </c>
      <c r="F804" s="5"/>
      <c r="G804" s="5"/>
      <c r="H804" s="5"/>
      <c r="I804" s="5"/>
      <c r="J804" s="5"/>
      <c r="K804" s="5"/>
      <c r="L804" s="5"/>
      <c r="M804" s="5"/>
      <c r="N804" s="5"/>
    </row>
    <row r="805" customFormat="false" ht="15" hidden="false" customHeight="false" outlineLevel="0" collapsed="false">
      <c r="A805" s="71" t="n">
        <f aca="false">A804+$F$3</f>
        <v>15980</v>
      </c>
      <c r="B805" s="71" t="n">
        <f aca="false">SUMPRODUCT(固有振動数!$Q$6:$Q$22*(1-($A805/固有振動数!$O$6:$O$22)^2)/((1-($A805/固有振動数!$O$6:$O$22)^2)^2+固有振動数!$P$6:$P$22^2))</f>
        <v>13.2703451014024</v>
      </c>
      <c r="C805" s="71" t="n">
        <f aca="false">-SUMPRODUCT(固有振動数!$Q$6:$Q$22*固有振動数!$P$6:$P$22/((1-($A805/固有振動数!$O$6:$O$22)^2)^2+固有振動数!$P$6:$P$22^2))</f>
        <v>-1.6070967250855</v>
      </c>
      <c r="D805" s="71" t="n">
        <f aca="false">SQRT(B805^2+C805^2)</f>
        <v>13.3673041034494</v>
      </c>
      <c r="E805" s="72" t="n">
        <f aca="false">20*LOG10(MAX(D805,0.000000000001)/$K$3)</f>
        <v>22.5208765655065</v>
      </c>
      <c r="F805" s="5"/>
      <c r="G805" s="5"/>
      <c r="H805" s="5"/>
      <c r="I805" s="5"/>
      <c r="J805" s="5"/>
      <c r="K805" s="5"/>
      <c r="L805" s="5"/>
      <c r="M805" s="5"/>
      <c r="N805" s="5"/>
    </row>
    <row r="806" customFormat="false" ht="15" hidden="false" customHeight="false" outlineLevel="0" collapsed="false">
      <c r="A806" s="71" t="n">
        <f aca="false">A805+$F$3</f>
        <v>16000</v>
      </c>
      <c r="B806" s="71" t="n">
        <f aca="false">SUMPRODUCT(固有振動数!$Q$6:$Q$22*(1-($A806/固有振動数!$O$6:$O$22)^2)/((1-($A806/固有振動数!$O$6:$O$22)^2)^2+固有振動数!$P$6:$P$22^2))</f>
        <v>13.6364772735932</v>
      </c>
      <c r="C806" s="71" t="n">
        <f aca="false">-SUMPRODUCT(固有振動数!$Q$6:$Q$22*固有振動数!$P$6:$P$22/((1-($A806/固有振動数!$O$6:$O$22)^2)^2+固有振動数!$P$6:$P$22^2))</f>
        <v>-1.62167030658226</v>
      </c>
      <c r="D806" s="71" t="n">
        <f aca="false">SQRT(B806^2+C806^2)</f>
        <v>13.7325644734141</v>
      </c>
      <c r="E806" s="72" t="n">
        <f aca="false">20*LOG10(MAX(D806,0.000000000001)/$K$3)</f>
        <v>22.7550329335981</v>
      </c>
      <c r="F806" s="5"/>
      <c r="G806" s="5"/>
      <c r="H806" s="5"/>
      <c r="I806" s="5"/>
      <c r="J806" s="5"/>
      <c r="K806" s="5"/>
      <c r="L806" s="5"/>
      <c r="M806" s="5"/>
      <c r="N806" s="5"/>
    </row>
    <row r="807" customFormat="false" ht="15" hidden="false" customHeight="false" outlineLevel="0" collapsed="false">
      <c r="A807" s="71" t="n">
        <f aca="false">A806+$F$3</f>
        <v>16020</v>
      </c>
      <c r="B807" s="71" t="n">
        <f aca="false">SUMPRODUCT(固有振動数!$Q$6:$Q$22*(1-($A807/固有振動数!$O$6:$O$22)^2)/((1-($A807/固有振動数!$O$6:$O$22)^2)^2+固有振動数!$P$6:$P$22^2))</f>
        <v>14.0051059170482</v>
      </c>
      <c r="C807" s="71" t="n">
        <f aca="false">-SUMPRODUCT(固有振動数!$Q$6:$Q$22*固有振動数!$P$6:$P$22/((1-($A807/固有振動数!$O$6:$O$22)^2)^2+固有振動数!$P$6:$P$22^2))</f>
        <v>-1.63916581012129</v>
      </c>
      <c r="D807" s="71" t="n">
        <f aca="false">SQRT(B807^2+C807^2)</f>
        <v>14.1007041065618</v>
      </c>
      <c r="E807" s="72" t="n">
        <f aca="false">20*LOG10(MAX(D807,0.000000000001)/$K$3)</f>
        <v>22.9848159863837</v>
      </c>
      <c r="F807" s="5"/>
      <c r="G807" s="5"/>
      <c r="H807" s="5"/>
      <c r="I807" s="5"/>
      <c r="J807" s="5"/>
      <c r="K807" s="5"/>
      <c r="L807" s="5"/>
      <c r="M807" s="5"/>
      <c r="N807" s="5"/>
    </row>
    <row r="808" customFormat="false" ht="15" hidden="false" customHeight="false" outlineLevel="0" collapsed="false">
      <c r="A808" s="71" t="n">
        <f aca="false">A807+$F$3</f>
        <v>16040</v>
      </c>
      <c r="B808" s="71" t="n">
        <f aca="false">SUMPRODUCT(固有振動数!$Q$6:$Q$22*(1-($A808/固有振動数!$O$6:$O$22)^2)/((1-($A808/固有振動数!$O$6:$O$22)^2)^2+固有振動数!$P$6:$P$22^2))</f>
        <v>14.3769254349301</v>
      </c>
      <c r="C808" s="71" t="n">
        <f aca="false">-SUMPRODUCT(固有振動数!$Q$6:$Q$22*固有振動数!$P$6:$P$22/((1-($A808/固有振動数!$O$6:$O$22)^2)^2+固有振動数!$P$6:$P$22^2))</f>
        <v>-1.65966668224761</v>
      </c>
      <c r="D808" s="71" t="n">
        <f aca="false">SQRT(B808^2+C808^2)</f>
        <v>14.4724040317323</v>
      </c>
      <c r="E808" s="72" t="n">
        <f aca="false">20*LOG10(MAX(D808,0.000000000001)/$K$3)</f>
        <v>23.2108135677794</v>
      </c>
      <c r="F808" s="5"/>
      <c r="G808" s="5"/>
      <c r="H808" s="5"/>
      <c r="I808" s="5"/>
      <c r="J808" s="5"/>
      <c r="K808" s="5"/>
      <c r="L808" s="5"/>
      <c r="M808" s="5"/>
      <c r="N808" s="5"/>
    </row>
    <row r="809" customFormat="false" ht="15" hidden="false" customHeight="false" outlineLevel="0" collapsed="false">
      <c r="A809" s="71" t="n">
        <f aca="false">A808+$F$3</f>
        <v>16060</v>
      </c>
      <c r="B809" s="71" t="n">
        <f aca="false">SUMPRODUCT(固有振動数!$Q$6:$Q$22*(1-($A809/固有振動数!$O$6:$O$22)^2)/((1-($A809/固有振動数!$O$6:$O$22)^2)^2+固有振動数!$P$6:$P$22^2))</f>
        <v>14.7526472708902</v>
      </c>
      <c r="C809" s="71" t="n">
        <f aca="false">-SUMPRODUCT(固有振動数!$Q$6:$Q$22*固有振動数!$P$6:$P$22/((1-($A809/固有振動数!$O$6:$O$22)^2)^2+固有振動数!$P$6:$P$22^2))</f>
        <v>-1.68327907444075</v>
      </c>
      <c r="D809" s="71" t="n">
        <f aca="false">SQRT(B809^2+C809^2)</f>
        <v>14.8483679218207</v>
      </c>
      <c r="E809" s="72" t="n">
        <f aca="false">20*LOG10(MAX(D809,0.000000000001)/$K$3)</f>
        <v>23.4335744043773</v>
      </c>
      <c r="F809" s="5"/>
      <c r="G809" s="5"/>
      <c r="H809" s="5"/>
      <c r="I809" s="5"/>
      <c r="J809" s="5"/>
      <c r="K809" s="5"/>
      <c r="L809" s="5"/>
      <c r="M809" s="5"/>
      <c r="N809" s="5"/>
    </row>
    <row r="810" customFormat="false" ht="15" hidden="false" customHeight="false" outlineLevel="0" collapsed="false">
      <c r="A810" s="71" t="n">
        <f aca="false">A809+$F$3</f>
        <v>16080</v>
      </c>
      <c r="B810" s="71" t="n">
        <f aca="false">SUMPRODUCT(固有振動数!$Q$6:$Q$22*(1-($A810/固有振動数!$O$6:$O$22)^2)/((1-($A810/固有振動数!$O$6:$O$22)^2)^2+固有振動数!$P$6:$P$22^2))</f>
        <v>15.1330050351118</v>
      </c>
      <c r="C810" s="71" t="n">
        <f aca="false">-SUMPRODUCT(固有振動数!$Q$6:$Q$22*固有振動数!$P$6:$P$22/((1-($A810/固有振動数!$O$6:$O$22)^2)^2+固有振動数!$P$6:$P$22^2))</f>
        <v>-1.7101333264081</v>
      </c>
      <c r="D810" s="71" t="n">
        <f aca="false">SQRT(B810^2+C810^2)</f>
        <v>15.2293268855458</v>
      </c>
      <c r="E810" s="72" t="n">
        <f aca="false">20*LOG10(MAX(D810,0.000000000001)/$K$3)</f>
        <v>23.6536141713127</v>
      </c>
      <c r="F810" s="5"/>
      <c r="G810" s="5"/>
      <c r="H810" s="5"/>
      <c r="I810" s="5"/>
      <c r="J810" s="5"/>
      <c r="K810" s="5"/>
      <c r="L810" s="5"/>
      <c r="M810" s="5"/>
      <c r="N810" s="5"/>
    </row>
    <row r="811" customFormat="false" ht="15" hidden="false" customHeight="false" outlineLevel="0" collapsed="false">
      <c r="A811" s="71" t="n">
        <f aca="false">A810+$F$3</f>
        <v>16100</v>
      </c>
      <c r="B811" s="71" t="n">
        <f aca="false">SUMPRODUCT(固有振動数!$Q$6:$Q$22*(1-($A811/固有振動数!$O$6:$O$22)^2)/((1-($A811/固有振動数!$O$6:$O$22)^2)^2+固有振動数!$P$6:$P$22^2))</f>
        <v>15.5187599319423</v>
      </c>
      <c r="C811" s="71" t="n">
        <f aca="false">-SUMPRODUCT(固有振動数!$Q$6:$Q$22*固有振動数!$P$6:$P$22/((1-($A811/固有振動数!$O$6:$O$22)^2)^2+固有振動数!$P$6:$P$22^2))</f>
        <v>-1.74038585690916</v>
      </c>
      <c r="D811" s="71" t="n">
        <f aca="false">SQRT(B811^2+C811^2)</f>
        <v>15.6160447218938</v>
      </c>
      <c r="E811" s="72" t="n">
        <f aca="false">20*LOG10(MAX(D811,0.000000000001)/$K$3)</f>
        <v>23.8714208815085</v>
      </c>
      <c r="F811" s="5"/>
      <c r="G811" s="5"/>
      <c r="H811" s="5"/>
      <c r="I811" s="5"/>
      <c r="J811" s="5"/>
      <c r="K811" s="5"/>
      <c r="L811" s="5"/>
      <c r="M811" s="5"/>
      <c r="N811" s="5"/>
    </row>
    <row r="812" customFormat="false" ht="15" hidden="false" customHeight="false" outlineLevel="0" collapsed="false">
      <c r="A812" s="71" t="n">
        <f aca="false">A811+$F$3</f>
        <v>16120</v>
      </c>
      <c r="B812" s="71" t="n">
        <f aca="false">SUMPRODUCT(固有振動数!$Q$6:$Q$22*(1-($A812/固有振動数!$O$6:$O$22)^2)/((1-($A812/固有振動数!$O$6:$O$22)^2)^2+固有振動数!$P$6:$P$22^2))</f>
        <v>15.9107065734694</v>
      </c>
      <c r="C812" s="71" t="n">
        <f aca="false">-SUMPRODUCT(固有振動数!$Q$6:$Q$22*固有振動数!$P$6:$P$22/((1-($A812/固有振動数!$O$6:$O$22)^2)^2+固有振動数!$P$6:$P$22^2))</f>
        <v>-1.77422151187173</v>
      </c>
      <c r="D812" s="71" t="n">
        <f aca="false">SQRT(B812^2+C812^2)</f>
        <v>16.009323709646</v>
      </c>
      <c r="E812" s="72" t="n">
        <f aca="false">20*LOG10(MAX(D812,0.000000000001)/$K$3)</f>
        <v>24.0874597234922</v>
      </c>
      <c r="F812" s="5"/>
      <c r="G812" s="5"/>
      <c r="H812" s="5"/>
      <c r="I812" s="5"/>
      <c r="J812" s="5"/>
      <c r="K812" s="5"/>
      <c r="L812" s="5"/>
      <c r="M812" s="5"/>
      <c r="N812" s="5"/>
    </row>
    <row r="813" customFormat="false" ht="15" hidden="false" customHeight="false" outlineLevel="0" collapsed="false">
      <c r="A813" s="71" t="n">
        <f aca="false">A812+$F$3</f>
        <v>16140</v>
      </c>
      <c r="B813" s="71" t="n">
        <f aca="false">SUMPRODUCT(固有振動数!$Q$6:$Q$22*(1-($A813/固有振動数!$O$6:$O$22)^2)/((1-($A813/固有振動数!$O$6:$O$22)^2)^2+固有振動数!$P$6:$P$22^2))</f>
        <v>16.3096792725915</v>
      </c>
      <c r="C813" s="71" t="n">
        <f aca="false">-SUMPRODUCT(固有振動数!$Q$6:$Q$22*固有振動数!$P$6:$P$22/((1-($A813/固有振動数!$O$6:$O$22)^2)^2+固有振動数!$P$6:$P$22^2))</f>
        <v>-1.81185643349323</v>
      </c>
      <c r="D813" s="71" t="n">
        <f aca="false">SQRT(B813^2+C813^2)</f>
        <v>16.410011021032</v>
      </c>
      <c r="E813" s="72" t="n">
        <f aca="false">20*LOG10(MAX(D813,0.000000000001)/$K$3)</f>
        <v>24.3021774545436</v>
      </c>
      <c r="F813" s="5"/>
      <c r="G813" s="5"/>
      <c r="H813" s="5"/>
      <c r="I813" s="5"/>
      <c r="J813" s="5"/>
      <c r="K813" s="5"/>
      <c r="L813" s="5"/>
      <c r="M813" s="5"/>
      <c r="N813" s="5"/>
    </row>
    <row r="814" customFormat="false" ht="15" hidden="false" customHeight="false" outlineLevel="0" collapsed="false">
      <c r="A814" s="71" t="n">
        <f aca="false">A813+$F$3</f>
        <v>16160</v>
      </c>
      <c r="B814" s="71" t="n">
        <f aca="false">SUMPRODUCT(固有振動数!$Q$6:$Q$22*(1-($A814/固有振動数!$O$6:$O$22)^2)/((1-($A814/固有振動数!$O$6:$O$22)^2)^2+固有振動数!$P$6:$P$22^2))</f>
        <v>16.7165589208259</v>
      </c>
      <c r="C814" s="71" t="n">
        <f aca="false">-SUMPRODUCT(固有振動数!$Q$6:$Q$22*固有振動数!$P$6:$P$22/((1-($A814/固有振動数!$O$6:$O$22)^2)^2+固有振動数!$P$6:$P$22^2))</f>
        <v>-1.8535415306468</v>
      </c>
      <c r="D814" s="71" t="n">
        <f aca="false">SQRT(B814^2+C814^2)</f>
        <v>16.8190058671515</v>
      </c>
      <c r="E814" s="72" t="n">
        <f aca="false">20*LOG10(MAX(D814,0.000000000001)/$K$3)</f>
        <v>24.5160064414021</v>
      </c>
      <c r="F814" s="5"/>
      <c r="G814" s="5"/>
      <c r="H814" s="5"/>
      <c r="I814" s="5"/>
      <c r="J814" s="5"/>
      <c r="K814" s="5"/>
      <c r="L814" s="5"/>
      <c r="M814" s="5"/>
      <c r="N814" s="5"/>
    </row>
    <row r="815" customFormat="false" ht="15" hidden="false" customHeight="false" outlineLevel="0" collapsed="false">
      <c r="A815" s="71" t="n">
        <f aca="false">A814+$F$3</f>
        <v>16180</v>
      </c>
      <c r="B815" s="71" t="n">
        <f aca="false">SUMPRODUCT(固有振動数!$Q$6:$Q$22*(1-($A815/固有振動数!$O$6:$O$22)^2)/((1-($A815/固有振動数!$O$6:$O$22)^2)^2+固有振動数!$P$6:$P$22^2))</f>
        <v>17.1322805706827</v>
      </c>
      <c r="C815" s="71" t="n">
        <f aca="false">-SUMPRODUCT(固有振動数!$Q$6:$Q$22*固有振動数!$P$6:$P$22/((1-($A815/固有振動数!$O$6:$O$22)^2)^2+固有振動数!$P$6:$P$22^2))</f>
        <v>-1.89956665104685</v>
      </c>
      <c r="D815" s="71" t="n">
        <f aca="false">SQRT(B815^2+C815^2)</f>
        <v>17.2372675042874</v>
      </c>
      <c r="E815" s="72" t="n">
        <f aca="false">20*LOG10(MAX(D815,0.000000000001)/$K$3)</f>
        <v>24.7293684294667</v>
      </c>
      <c r="F815" s="5"/>
      <c r="G815" s="5"/>
      <c r="H815" s="5"/>
      <c r="I815" s="5"/>
      <c r="J815" s="5"/>
      <c r="K815" s="5"/>
      <c r="L815" s="5"/>
      <c r="M815" s="5"/>
      <c r="N815" s="5"/>
    </row>
    <row r="816" customFormat="false" ht="15" hidden="false" customHeight="false" outlineLevel="0" collapsed="false">
      <c r="A816" s="71" t="n">
        <f aca="false">A815+$F$3</f>
        <v>16200</v>
      </c>
      <c r="B816" s="71" t="n">
        <f aca="false">SUMPRODUCT(固有振動数!$Q$6:$Q$22*(1-($A816/固有振動数!$O$6:$O$22)^2)/((1-($A816/固有振動数!$O$6:$O$22)^2)^2+固有振動数!$P$6:$P$22^2))</f>
        <v>17.5578418604381</v>
      </c>
      <c r="C816" s="71" t="n">
        <f aca="false">-SUMPRODUCT(固有振動数!$Q$6:$Q$22*固有振動数!$P$6:$P$22/((1-($A816/固有振動数!$O$6:$O$22)^2)^2+固有振動数!$P$6:$P$22^2))</f>
        <v>-1.95026558030841</v>
      </c>
      <c r="D816" s="71" t="n">
        <f aca="false">SQRT(B816^2+C816^2)</f>
        <v>17.665824255604</v>
      </c>
      <c r="E816" s="72" t="n">
        <f aca="false">20*LOG10(MAX(D816,0.000000000001)/$K$3)</f>
        <v>24.942678112869</v>
      </c>
      <c r="F816" s="5"/>
      <c r="G816" s="5"/>
      <c r="H816" s="5"/>
      <c r="I816" s="5"/>
      <c r="J816" s="5"/>
      <c r="K816" s="5"/>
      <c r="L816" s="5"/>
      <c r="M816" s="5"/>
      <c r="N816" s="5"/>
    </row>
    <row r="817" customFormat="false" ht="15" hidden="false" customHeight="false" outlineLevel="0" collapsed="false">
      <c r="A817" s="71" t="n">
        <f aca="false">A816+$F$3</f>
        <v>16220</v>
      </c>
      <c r="B817" s="71" t="n">
        <f aca="false">SUMPRODUCT(固有振動数!$Q$6:$Q$22*(1-($A817/固有振動数!$O$6:$O$22)^2)/((1-($A817/固有振動数!$O$6:$O$22)^2)^2+固有振動数!$P$6:$P$22^2))</f>
        <v>17.9943124412265</v>
      </c>
      <c r="C817" s="71" t="n">
        <f aca="false">-SUMPRODUCT(固有振動数!$Q$6:$Q$22*固有振動数!$P$6:$P$22/((1-($A817/固有振動数!$O$6:$O$22)^2)^2+固有振動数!$P$6:$P$22^2))</f>
        <v>-2.00602202358778</v>
      </c>
      <c r="D817" s="71" t="n">
        <f aca="false">SQRT(B817^2+C817^2)</f>
        <v>18.1057837331499</v>
      </c>
      <c r="E817" s="72" t="n">
        <f aca="false">20*LOG10(MAX(D817,0.000000000001)/$K$3)</f>
        <v>25.1563465715892</v>
      </c>
      <c r="F817" s="5"/>
      <c r="G817" s="5"/>
      <c r="H817" s="5"/>
      <c r="I817" s="5"/>
      <c r="J817" s="5"/>
      <c r="K817" s="5"/>
      <c r="L817" s="5"/>
      <c r="M817" s="5"/>
      <c r="N817" s="5"/>
    </row>
    <row r="818" customFormat="false" ht="15" hidden="false" customHeight="false" outlineLevel="0" collapsed="false">
      <c r="A818" s="71" t="n">
        <f aca="false">A817+$F$3</f>
        <v>16240</v>
      </c>
      <c r="B818" s="71" t="n">
        <f aca="false">SUMPRODUCT(固有振動数!$Q$6:$Q$22*(1-($A818/固有振動数!$O$6:$O$22)^2)/((1-($A818/固有振動数!$O$6:$O$22)^2)^2+固有振動数!$P$6:$P$22^2))</f>
        <v>18.4428445933479</v>
      </c>
      <c r="C818" s="71" t="n">
        <f aca="false">-SUMPRODUCT(固有振動数!$Q$6:$Q$22*固有振動数!$P$6:$P$22/((1-($A818/固有振動数!$O$6:$O$22)^2)^2+固有振動数!$P$6:$P$22^2))</f>
        <v>-2.0672767636467</v>
      </c>
      <c r="D818" s="71" t="n">
        <f aca="false">SQRT(B818^2+C818^2)</f>
        <v>18.5583444819815</v>
      </c>
      <c r="E818" s="72" t="n">
        <f aca="false">20*LOG10(MAX(D818,0.000000000001)/$K$3)</f>
        <v>25.3707846376483</v>
      </c>
      <c r="F818" s="5"/>
      <c r="G818" s="5"/>
      <c r="H818" s="5"/>
      <c r="I818" s="5"/>
      <c r="J818" s="5"/>
      <c r="K818" s="5"/>
      <c r="L818" s="5"/>
      <c r="M818" s="5"/>
      <c r="N818" s="5"/>
    </row>
    <row r="819" customFormat="false" ht="15" hidden="false" customHeight="false" outlineLevel="0" collapsed="false">
      <c r="A819" s="71" t="n">
        <f aca="false">A818+$F$3</f>
        <v>16260</v>
      </c>
      <c r="B819" s="71" t="n">
        <f aca="false">SUMPRODUCT(固有振動数!$Q$6:$Q$22*(1-($A819/固有振動数!$O$6:$O$22)^2)/((1-($A819/固有振動数!$O$6:$O$22)^2)^2+固有振動数!$P$6:$P$22^2))</f>
        <v>18.9046852515756</v>
      </c>
      <c r="C819" s="71" t="n">
        <f aca="false">-SUMPRODUCT(固有振動数!$Q$6:$Q$22*固有振動数!$P$6:$P$22/((1-($A819/固有振動数!$O$6:$O$22)^2)^2+固有振動数!$P$6:$P$22^2))</f>
        <v>-2.13453623719782</v>
      </c>
      <c r="D819" s="71" t="n">
        <f aca="false">SQRT(B819^2+C819^2)</f>
        <v>19.0248093133427</v>
      </c>
      <c r="E819" s="72" t="n">
        <f aca="false">20*LOG10(MAX(D819,0.000000000001)/$K$3)</f>
        <v>25.586406250163</v>
      </c>
      <c r="F819" s="5"/>
      <c r="G819" s="5"/>
      <c r="H819" s="5"/>
      <c r="I819" s="5"/>
      <c r="J819" s="5"/>
      <c r="K819" s="5"/>
      <c r="L819" s="5"/>
      <c r="M819" s="5"/>
      <c r="N819" s="5"/>
    </row>
    <row r="820" customFormat="false" ht="15" hidden="false" customHeight="false" outlineLevel="0" collapsed="false">
      <c r="A820" s="71" t="n">
        <f aca="false">A819+$F$3</f>
        <v>16280</v>
      </c>
      <c r="B820" s="71" t="n">
        <f aca="false">SUMPRODUCT(固有振動数!$Q$6:$Q$22*(1-($A820/固有振動数!$O$6:$O$22)^2)/((1-($A820/固有振動数!$O$6:$O$22)^2)^2+固有振動数!$P$6:$P$22^2))</f>
        <v>19.3811896993056</v>
      </c>
      <c r="C820" s="71" t="n">
        <f aca="false">-SUMPRODUCT(固有振動数!$Q$6:$Q$22*固有振動数!$P$6:$P$22/((1-($A820/固有振動数!$O$6:$O$22)^2)^2+固有振動数!$P$6:$P$22^2))</f>
        <v>-2.20838283224983</v>
      </c>
      <c r="D820" s="71" t="n">
        <f aca="false">SQRT(B820^2+C820^2)</f>
        <v>19.5066006493763</v>
      </c>
      <c r="E820" s="72" t="n">
        <f aca="false">20*LOG10(MAX(D820,0.000000000001)/$K$3)</f>
        <v>25.803631858575</v>
      </c>
      <c r="F820" s="5"/>
      <c r="G820" s="5"/>
      <c r="H820" s="5"/>
      <c r="I820" s="5"/>
      <c r="J820" s="5"/>
      <c r="K820" s="5"/>
      <c r="L820" s="5"/>
      <c r="M820" s="5"/>
      <c r="N820" s="5"/>
    </row>
    <row r="821" customFormat="false" ht="15" hidden="false" customHeight="false" outlineLevel="0" collapsed="false">
      <c r="A821" s="71" t="n">
        <f aca="false">A820+$F$3</f>
        <v>16300</v>
      </c>
      <c r="B821" s="71" t="n">
        <f aca="false">SUMPRODUCT(固有振動数!$Q$6:$Q$22*(1-($A821/固有振動数!$O$6:$O$22)^2)/((1-($A821/固有振動数!$O$6:$O$22)^2)^2+固有振動数!$P$6:$P$22^2))</f>
        <v>19.8738372401572</v>
      </c>
      <c r="C821" s="71" t="n">
        <f aca="false">-SUMPRODUCT(固有振動数!$Q$6:$Q$22*固有振動数!$P$6:$P$22/((1-($A821/固有振動数!$O$6:$O$22)^2)^2+固有振動数!$P$6:$P$22^2))</f>
        <v>-2.2894872868413</v>
      </c>
      <c r="D821" s="71" t="n">
        <f aca="false">SQRT(B821^2+C821^2)</f>
        <v>20.0052782706182</v>
      </c>
      <c r="E821" s="72" t="n">
        <f aca="false">20*LOG10(MAX(D821,0.000000000001)/$K$3)</f>
        <v>26.0228919346487</v>
      </c>
      <c r="F821" s="5"/>
      <c r="G821" s="5"/>
      <c r="H821" s="5"/>
      <c r="I821" s="5"/>
      <c r="J821" s="5"/>
      <c r="K821" s="5"/>
      <c r="L821" s="5"/>
      <c r="M821" s="5"/>
      <c r="N821" s="5"/>
    </row>
    <row r="822" customFormat="false" ht="15" hidden="false" customHeight="false" outlineLevel="0" collapsed="false">
      <c r="A822" s="71" t="n">
        <f aca="false">A821+$F$3</f>
        <v>16320</v>
      </c>
      <c r="B822" s="71" t="n">
        <f aca="false">SUMPRODUCT(固有振動数!$Q$6:$Q$22*(1-($A822/固有振動数!$O$6:$O$22)^2)/((1-($A822/固有振動数!$O$6:$O$22)^2)^2+固有振動数!$P$6:$P$22^2))</f>
        <v>20.3842492150016</v>
      </c>
      <c r="C822" s="71" t="n">
        <f aca="false">-SUMPRODUCT(固有振動数!$Q$6:$Q$22*固有振動数!$P$6:$P$22/((1-($A822/固有振動数!$O$6:$O$22)^2)^2+固有振動数!$P$6:$P$22^2))</f>
        <v>-2.37862366934388</v>
      </c>
      <c r="D822" s="71" t="n">
        <f aca="false">SQRT(B822^2+C822^2)</f>
        <v>20.5225599431371</v>
      </c>
      <c r="E822" s="72" t="n">
        <f aca="false">20*LOG10(MAX(D822,0.000000000001)/$K$3)</f>
        <v>26.2446306569005</v>
      </c>
      <c r="F822" s="5"/>
      <c r="G822" s="5"/>
      <c r="H822" s="5"/>
      <c r="I822" s="5"/>
      <c r="J822" s="5"/>
      <c r="K822" s="5"/>
      <c r="L822" s="5"/>
      <c r="M822" s="5"/>
      <c r="N822" s="5"/>
    </row>
    <row r="823" customFormat="false" ht="15" hidden="false" customHeight="false" outlineLevel="0" collapsed="false">
      <c r="A823" s="71" t="n">
        <f aca="false">A822+$F$3</f>
        <v>16340</v>
      </c>
      <c r="B823" s="71" t="n">
        <f aca="false">SUMPRODUCT(固有振動数!$Q$6:$Q$22*(1-($A823/固有振動数!$O$6:$O$22)^2)/((1-($A823/固有振動数!$O$6:$O$22)^2)^2+固有振動数!$P$6:$P$22^2))</f>
        <v>20.9142098046705</v>
      </c>
      <c r="C823" s="71" t="n">
        <f aca="false">-SUMPRODUCT(固有振動数!$Q$6:$Q$22*固有振動数!$P$6:$P$22/((1-($A823/固有振動数!$O$6:$O$22)^2)^2+固有振動数!$P$6:$P$22^2))</f>
        <v>-2.47668754959105</v>
      </c>
      <c r="D823" s="71" t="n">
        <f aca="false">SQRT(B823^2+C823^2)</f>
        <v>21.0603455093233</v>
      </c>
      <c r="E823" s="72" t="n">
        <f aca="false">20*LOG10(MAX(D823,0.000000000001)/$K$3)</f>
        <v>26.4693098360983</v>
      </c>
      <c r="F823" s="5"/>
      <c r="G823" s="5"/>
      <c r="H823" s="5"/>
      <c r="I823" s="5"/>
      <c r="J823" s="5"/>
      <c r="K823" s="5"/>
      <c r="L823" s="5"/>
      <c r="M823" s="5"/>
      <c r="N823" s="5"/>
    </row>
    <row r="824" customFormat="false" ht="15" hidden="false" customHeight="false" outlineLevel="0" collapsed="false">
      <c r="A824" s="71" t="n">
        <f aca="false">A823+$F$3</f>
        <v>16360</v>
      </c>
      <c r="B824" s="71" t="n">
        <f aca="false">SUMPRODUCT(固有振動数!$Q$6:$Q$22*(1-($A824/固有振動数!$O$6:$O$22)^2)/((1-($A824/固有振動数!$O$6:$O$22)^2)^2+固有振動数!$P$6:$P$22^2))</f>
        <v>21.4656901465231</v>
      </c>
      <c r="C824" s="71" t="n">
        <f aca="false">-SUMPRODUCT(固有振動数!$Q$6:$Q$22*固有振動数!$P$6:$P$22/((1-($A824/固有振動数!$O$6:$O$22)^2)^2+固有振動数!$P$6:$P$22^2))</f>
        <v>-2.58471813817982</v>
      </c>
      <c r="D824" s="71" t="n">
        <f aca="false">SQRT(B824^2+C824^2)</f>
        <v>21.6207451610802</v>
      </c>
      <c r="E824" s="72" t="n">
        <f aca="false">20*LOG10(MAX(D824,0.000000000001)/$K$3)</f>
        <v>26.697413157534</v>
      </c>
      <c r="F824" s="5"/>
      <c r="G824" s="5"/>
      <c r="H824" s="5"/>
      <c r="I824" s="5"/>
      <c r="J824" s="5"/>
      <c r="K824" s="5"/>
      <c r="L824" s="5"/>
      <c r="M824" s="5"/>
      <c r="N824" s="5"/>
    </row>
    <row r="825" customFormat="false" ht="15" hidden="false" customHeight="false" outlineLevel="0" collapsed="false">
      <c r="A825" s="71" t="n">
        <f aca="false">A824+$F$3</f>
        <v>16380</v>
      </c>
      <c r="B825" s="71" t="n">
        <f aca="false">SUMPRODUCT(固有振動数!$Q$6:$Q$22*(1-($A825/固有振動数!$O$6:$O$22)^2)/((1-($A825/固有振動数!$O$6:$O$22)^2)^2+固有振動数!$P$6:$P$22^2))</f>
        <v>22.0408763999118</v>
      </c>
      <c r="C825" s="71" t="n">
        <f aca="false">-SUMPRODUCT(固有振動数!$Q$6:$Q$22*固有振動数!$P$6:$P$22/((1-($A825/固有振動数!$O$6:$O$22)^2)^2+固有振動数!$P$6:$P$22^2))</f>
        <v>-2.70392539172487</v>
      </c>
      <c r="D825" s="71" t="n">
        <f aca="false">SQRT(B825^2+C825^2)</f>
        <v>22.2061127845511</v>
      </c>
      <c r="E825" s="72" t="n">
        <f aca="false">20*LOG10(MAX(D825,0.000000000001)/$K$3)</f>
        <v>26.9294508252049</v>
      </c>
      <c r="F825" s="5"/>
      <c r="G825" s="5"/>
      <c r="H825" s="5"/>
      <c r="I825" s="5"/>
      <c r="J825" s="5"/>
      <c r="K825" s="5"/>
      <c r="L825" s="5"/>
      <c r="M825" s="5"/>
      <c r="N825" s="5"/>
    </row>
    <row r="826" customFormat="false" ht="15" hidden="false" customHeight="false" outlineLevel="0" collapsed="false">
      <c r="A826" s="71" t="n">
        <f aca="false">A825+$F$3</f>
        <v>16400</v>
      </c>
      <c r="B826" s="71" t="n">
        <f aca="false">SUMPRODUCT(固有振動数!$Q$6:$Q$22*(1-($A826/固有振動数!$O$6:$O$22)^2)/((1-($A826/固有振動数!$O$6:$O$22)^2)^2+固有振動数!$P$6:$P$22^2))</f>
        <v>22.6422025251225</v>
      </c>
      <c r="C826" s="71" t="n">
        <f aca="false">-SUMPRODUCT(固有振動数!$Q$6:$Q$22*固有振動数!$P$6:$P$22/((1-($A826/固有振動数!$O$6:$O$22)^2)^2+固有振動数!$P$6:$P$22^2))</f>
        <v>-2.83572337299929</v>
      </c>
      <c r="D826" s="71" t="n">
        <f aca="false">SQRT(B826^2+C826^2)</f>
        <v>22.8190854820441</v>
      </c>
      <c r="E826" s="72" t="n">
        <f aca="false">20*LOG10(MAX(D826,0.000000000001)/$K$3)</f>
        <v>27.1659647051843</v>
      </c>
      <c r="F826" s="5"/>
      <c r="G826" s="5"/>
      <c r="H826" s="5"/>
      <c r="I826" s="5"/>
      <c r="J826" s="5"/>
      <c r="K826" s="5"/>
      <c r="L826" s="5"/>
      <c r="M826" s="5"/>
      <c r="N826" s="5"/>
    </row>
    <row r="827" customFormat="false" ht="15" hidden="false" customHeight="false" outlineLevel="0" collapsed="false">
      <c r="A827" s="71" t="n">
        <f aca="false">A826+$F$3</f>
        <v>16420</v>
      </c>
      <c r="B827" s="71" t="n">
        <f aca="false">SUMPRODUCT(固有振動数!$Q$6:$Q$22*(1-($A827/固有振動数!$O$6:$O$22)^2)/((1-($A827/固有振動数!$O$6:$O$22)^2)^2+固有振動数!$P$6:$P$22^2))</f>
        <v>23.2723886967398</v>
      </c>
      <c r="C827" s="71" t="n">
        <f aca="false">-SUMPRODUCT(固有振動数!$Q$6:$Q$22*固有振動数!$P$6:$P$22/((1-($A827/固有振動数!$O$6:$O$22)^2)^2+固有振動数!$P$6:$P$22^2))</f>
        <v>-2.98177154233905</v>
      </c>
      <c r="D827" s="71" t="n">
        <f aca="false">SQRT(B827^2+C827^2)</f>
        <v>23.4626306535061</v>
      </c>
      <c r="E827" s="72" t="n">
        <f aca="false">20*LOG10(MAX(D827,0.000000000001)/$K$3)</f>
        <v>27.4075340807831</v>
      </c>
      <c r="F827" s="5"/>
      <c r="G827" s="5"/>
      <c r="H827" s="5"/>
      <c r="I827" s="5"/>
      <c r="J827" s="5"/>
      <c r="K827" s="5"/>
      <c r="L827" s="5"/>
      <c r="M827" s="5"/>
      <c r="N827" s="5"/>
    </row>
    <row r="828" customFormat="false" ht="15" hidden="false" customHeight="false" outlineLevel="0" collapsed="false">
      <c r="A828" s="71" t="n">
        <f aca="false">A827+$F$3</f>
        <v>16440</v>
      </c>
      <c r="B828" s="71" t="n">
        <f aca="false">SUMPRODUCT(固有振動数!$Q$6:$Q$22*(1-($A828/固有振動数!$O$6:$O$22)^2)/((1-($A828/固有振動数!$O$6:$O$22)^2)^2+固有振動数!$P$6:$P$22^2))</f>
        <v>23.9344864598021</v>
      </c>
      <c r="C828" s="71" t="n">
        <f aca="false">-SUMPRODUCT(固有振動数!$Q$6:$Q$22*固有振動数!$P$6:$P$22/((1-($A828/固有振動数!$O$6:$O$22)^2)^2+固有振動数!$P$6:$P$22^2))</f>
        <v>-3.14402617626799</v>
      </c>
      <c r="D828" s="71" t="n">
        <f aca="false">SQRT(B828^2+C828^2)</f>
        <v>24.1401023753319</v>
      </c>
      <c r="E828" s="72" t="n">
        <f aca="false">20*LOG10(MAX(D828,0.000000000001)/$K$3)</f>
        <v>27.65478215114</v>
      </c>
      <c r="F828" s="5"/>
      <c r="G828" s="5"/>
      <c r="H828" s="5"/>
      <c r="I828" s="5"/>
      <c r="J828" s="5"/>
      <c r="K828" s="5"/>
      <c r="L828" s="5"/>
      <c r="M828" s="5"/>
      <c r="N828" s="5"/>
    </row>
    <row r="829" customFormat="false" ht="15" hidden="false" customHeight="false" outlineLevel="0" collapsed="false">
      <c r="A829" s="71" t="n">
        <f aca="false">A828+$F$3</f>
        <v>16460</v>
      </c>
      <c r="B829" s="71" t="n">
        <f aca="false">SUMPRODUCT(固有振動数!$Q$6:$Q$22*(1-($A829/固有振動数!$O$6:$O$22)^2)/((1-($A829/固有振動数!$O$6:$O$22)^2)^2+固有振動数!$P$6:$P$22^2))</f>
        <v>24.6319319591662</v>
      </c>
      <c r="C829" s="71" t="n">
        <f aca="false">-SUMPRODUCT(固有振動数!$Q$6:$Q$22*固有振動数!$P$6:$P$22/((1-($A829/固有振動数!$O$6:$O$22)^2)^2+固有振動数!$P$6:$P$22^2))</f>
        <v>-3.32480481171738</v>
      </c>
      <c r="D829" s="71" t="n">
        <f aca="false">SQRT(B829^2+C829^2)</f>
        <v>24.8553092734131</v>
      </c>
      <c r="E829" s="72" t="n">
        <f aca="false">20*LOG10(MAX(D829,0.000000000001)/$K$3)</f>
        <v>27.9083834282781</v>
      </c>
      <c r="F829" s="5"/>
      <c r="G829" s="5"/>
      <c r="H829" s="5"/>
      <c r="I829" s="5"/>
      <c r="J829" s="5"/>
      <c r="K829" s="5"/>
      <c r="L829" s="5"/>
      <c r="M829" s="5"/>
      <c r="N829" s="5"/>
    </row>
    <row r="830" customFormat="false" ht="15" hidden="false" customHeight="false" outlineLevel="0" collapsed="false">
      <c r="A830" s="71" t="n">
        <f aca="false">A829+$F$3</f>
        <v>16480</v>
      </c>
      <c r="B830" s="71" t="n">
        <f aca="false">SUMPRODUCT(固有振動数!$Q$6:$Q$22*(1-($A830/固有振動数!$O$6:$O$22)^2)/((1-($A830/固有振動数!$O$6:$O$22)^2)^2+固有振動数!$P$6:$P$22^2))</f>
        <v>25.3686088307224</v>
      </c>
      <c r="C830" s="71" t="n">
        <f aca="false">-SUMPRODUCT(固有振動数!$Q$6:$Q$22*固有振動数!$P$6:$P$22/((1-($A830/固有振動数!$O$6:$O$22)^2)^2+固有振動数!$P$6:$P$22^2))</f>
        <v>-3.52686757180336</v>
      </c>
      <c r="D830" s="71" t="n">
        <f aca="false">SQRT(B830^2+C830^2)</f>
        <v>25.6125966835705</v>
      </c>
      <c r="E830" s="72" t="n">
        <f aca="false">20*LOG10(MAX(D830,0.000000000001)/$K$3)</f>
        <v>28.1690722161299</v>
      </c>
      <c r="F830" s="5"/>
      <c r="G830" s="5"/>
      <c r="H830" s="5"/>
      <c r="I830" s="5"/>
      <c r="J830" s="5"/>
      <c r="K830" s="5"/>
      <c r="L830" s="5"/>
      <c r="M830" s="5"/>
      <c r="N830" s="5"/>
    </row>
    <row r="831" customFormat="false" ht="15" hidden="false" customHeight="false" outlineLevel="0" collapsed="false">
      <c r="A831" s="71" t="n">
        <f aca="false">A830+$F$3</f>
        <v>16500</v>
      </c>
      <c r="B831" s="71" t="n">
        <f aca="false">SUMPRODUCT(固有振動数!$Q$6:$Q$22*(1-($A831/固有振動数!$O$6:$O$22)^2)/((1-($A831/固有振動数!$O$6:$O$22)^2)^2+固有振動数!$P$6:$P$22^2))</f>
        <v>26.1489226341559</v>
      </c>
      <c r="C831" s="71" t="n">
        <f aca="false">-SUMPRODUCT(固有振動数!$Q$6:$Q$22*固有振動数!$P$6:$P$22/((1-($A831/固有振動数!$O$6:$O$22)^2)^2+固有振動数!$P$6:$P$22^2))</f>
        <v>-3.75352054602986</v>
      </c>
      <c r="D831" s="71" t="n">
        <f aca="false">SQRT(B831^2+C831^2)</f>
        <v>26.4169466709637</v>
      </c>
      <c r="E831" s="72" t="n">
        <f aca="false">20*LOG10(MAX(D831,0.000000000001)/$K$3)</f>
        <v>28.4376523892776</v>
      </c>
      <c r="F831" s="5"/>
      <c r="G831" s="5"/>
      <c r="H831" s="5"/>
      <c r="I831" s="5"/>
      <c r="J831" s="5"/>
      <c r="K831" s="5"/>
      <c r="L831" s="5"/>
      <c r="M831" s="5"/>
      <c r="N831" s="5"/>
    </row>
    <row r="832" customFormat="false" ht="15" hidden="false" customHeight="false" outlineLevel="0" collapsed="false">
      <c r="A832" s="71" t="n">
        <f aca="false">A831+$F$3</f>
        <v>16520</v>
      </c>
      <c r="B832" s="71" t="n">
        <f aca="false">SUMPRODUCT(固有振動数!$Q$6:$Q$22*(1-($A832/固有振動数!$O$6:$O$22)^2)/((1-($A832/固有振動数!$O$6:$O$22)^2)^2+固有振動数!$P$6:$P$22^2))</f>
        <v>26.9778890173922</v>
      </c>
      <c r="C832" s="71" t="n">
        <f aca="false">-SUMPRODUCT(固有振動数!$Q$6:$Q$22*固有振動数!$P$6:$P$22/((1-($A832/固有振動数!$O$6:$O$22)^2)^2+固有振動数!$P$6:$P$22^2))</f>
        <v>-4.00874822531734</v>
      </c>
      <c r="D832" s="71" t="n">
        <f aca="false">SQRT(B832^2+C832^2)</f>
        <v>27.2741005015512</v>
      </c>
      <c r="E832" s="72" t="n">
        <f aca="false">20*LOG10(MAX(D832,0.000000000001)/$K$3)</f>
        <v>28.7150087297323</v>
      </c>
      <c r="F832" s="5"/>
      <c r="G832" s="5"/>
      <c r="H832" s="5"/>
      <c r="I832" s="5"/>
      <c r="J832" s="5"/>
      <c r="K832" s="5"/>
      <c r="L832" s="5"/>
      <c r="M832" s="5"/>
      <c r="N832" s="5"/>
    </row>
    <row r="833" customFormat="false" ht="15" hidden="false" customHeight="false" outlineLevel="0" collapsed="false">
      <c r="A833" s="71" t="n">
        <f aca="false">A832+$F$3</f>
        <v>16540</v>
      </c>
      <c r="B833" s="71" t="n">
        <f aca="false">SUMPRODUCT(固有振動数!$Q$6:$Q$22*(1-($A833/固有振動数!$O$6:$O$22)^2)/((1-($A833/固有振動数!$O$6:$O$22)^2)^2+固有振動数!$P$6:$P$22^2))</f>
        <v>27.8612380991944</v>
      </c>
      <c r="C833" s="71" t="n">
        <f aca="false">-SUMPRODUCT(固有振動数!$Q$6:$Q$22*固有振動数!$P$6:$P$22/((1-($A833/固有振動数!$O$6:$O$22)^2)^2+固有振動数!$P$6:$P$22^2))</f>
        <v>-4.29738455234627</v>
      </c>
      <c r="D833" s="71" t="n">
        <f aca="false">SQRT(B833^2+C833^2)</f>
        <v>28.190709505274</v>
      </c>
      <c r="E833" s="72" t="n">
        <f aca="false">20*LOG10(MAX(D833,0.000000000001)/$K$3)</f>
        <v>29.0021201271148</v>
      </c>
      <c r="F833" s="5"/>
      <c r="G833" s="5"/>
      <c r="H833" s="5"/>
      <c r="I833" s="5"/>
      <c r="J833" s="5"/>
      <c r="K833" s="5"/>
      <c r="L833" s="5"/>
      <c r="M833" s="5"/>
      <c r="N833" s="5"/>
    </row>
    <row r="834" customFormat="false" ht="15" hidden="false" customHeight="false" outlineLevel="0" collapsed="false">
      <c r="A834" s="71" t="n">
        <f aca="false">A833+$F$3</f>
        <v>16560</v>
      </c>
      <c r="B834" s="71" t="n">
        <f aca="false">SUMPRODUCT(固有振動数!$Q$6:$Q$22*(1-($A834/固有振動数!$O$6:$O$22)^2)/((1-($A834/固有振動数!$O$6:$O$22)^2)^2+固有振動数!$P$6:$P$22^2))</f>
        <v>28.8055377667114</v>
      </c>
      <c r="C834" s="71" t="n">
        <f aca="false">-SUMPRODUCT(固有振動数!$Q$6:$Q$22*固有振動数!$P$6:$P$22/((1-($A834/固有振動数!$O$6:$O$22)^2)^2+固有振動数!$P$6:$P$22^2))</f>
        <v>-4.62533576887101</v>
      </c>
      <c r="D834" s="71" t="n">
        <f aca="false">SQRT(B834^2+C834^2)</f>
        <v>29.1745220527129</v>
      </c>
      <c r="E834" s="72" t="n">
        <f aca="false">20*LOG10(MAX(D834,0.000000000001)/$K$3)</f>
        <v>29.300075000213</v>
      </c>
      <c r="F834" s="5"/>
      <c r="G834" s="5"/>
      <c r="H834" s="5"/>
      <c r="I834" s="5"/>
      <c r="J834" s="5"/>
      <c r="K834" s="5"/>
      <c r="L834" s="5"/>
      <c r="M834" s="5"/>
      <c r="N834" s="5"/>
    </row>
    <row r="835" customFormat="false" ht="15" hidden="false" customHeight="false" outlineLevel="0" collapsed="false">
      <c r="A835" s="71" t="n">
        <f aca="false">A834+$F$3</f>
        <v>16580</v>
      </c>
      <c r="B835" s="71" t="n">
        <f aca="false">SUMPRODUCT(固有振動数!$Q$6:$Q$22*(1-($A835/固有振動数!$O$6:$O$22)^2)/((1-($A835/固有振動数!$O$6:$O$22)^2)^2+固有振動数!$P$6:$P$22^2))</f>
        <v>29.8183385645376</v>
      </c>
      <c r="C835" s="71" t="n">
        <f aca="false">-SUMPRODUCT(固有振動数!$Q$6:$Q$22*固有振動数!$P$6:$P$22/((1-($A835/固有振動数!$O$6:$O$22)^2)^2+固有振動数!$P$6:$P$22^2))</f>
        <v>-4.99987341469697</v>
      </c>
      <c r="D835" s="71" t="n">
        <f aca="false">SQRT(B835^2+C835^2)</f>
        <v>30.2346167316933</v>
      </c>
      <c r="E835" s="72" t="n">
        <f aca="false">20*LOG10(MAX(D835,0.000000000001)/$K$3)</f>
        <v>29.6100893530904</v>
      </c>
      <c r="F835" s="5"/>
      <c r="G835" s="5"/>
      <c r="H835" s="5"/>
      <c r="I835" s="5"/>
      <c r="J835" s="5"/>
      <c r="K835" s="5"/>
      <c r="L835" s="5"/>
      <c r="M835" s="5"/>
      <c r="N835" s="5"/>
    </row>
    <row r="836" customFormat="false" ht="15" hidden="false" customHeight="false" outlineLevel="0" collapsed="false">
      <c r="A836" s="71" t="n">
        <f aca="false">A835+$F$3</f>
        <v>16600</v>
      </c>
      <c r="B836" s="71" t="n">
        <f aca="false">SUMPRODUCT(固有振動数!$Q$6:$Q$22*(1-($A836/固有振動数!$O$6:$O$22)^2)/((1-($A836/固有振動数!$O$6:$O$22)^2)^2+固有振動数!$P$6:$P$22^2))</f>
        <v>30.9083423198421</v>
      </c>
      <c r="C836" s="71" t="n">
        <f aca="false">-SUMPRODUCT(固有振動数!$Q$6:$Q$22*固有振動数!$P$6:$P$22/((1-($A836/固有振動数!$O$6:$O$22)^2)^2+固有振動数!$P$6:$P$22^2))</f>
        <v>-5.43002329747521</v>
      </c>
      <c r="D836" s="71" t="n">
        <f aca="false">SQRT(B836^2+C836^2)</f>
        <v>31.3816949505865</v>
      </c>
      <c r="E836" s="72" t="n">
        <f aca="false">20*LOG10(MAX(D836,0.000000000001)/$K$3)</f>
        <v>29.9335279295738</v>
      </c>
      <c r="F836" s="5"/>
      <c r="G836" s="5"/>
      <c r="H836" s="5"/>
      <c r="I836" s="5"/>
      <c r="J836" s="5"/>
      <c r="K836" s="5"/>
      <c r="L836" s="5"/>
      <c r="M836" s="5"/>
      <c r="N836" s="5"/>
    </row>
    <row r="837" customFormat="false" ht="15" hidden="false" customHeight="false" outlineLevel="0" collapsed="false">
      <c r="A837" s="71" t="n">
        <f aca="false">A836+$F$3</f>
        <v>16620</v>
      </c>
      <c r="B837" s="71" t="n">
        <f aca="false">SUMPRODUCT(固有振動数!$Q$6:$Q$22*(1-($A837/固有振動数!$O$6:$O$22)^2)/((1-($A837/固有振動数!$O$6:$O$22)^2)^2+固有振動数!$P$6:$P$22^2))</f>
        <v>32.0855950661131</v>
      </c>
      <c r="C837" s="71" t="n">
        <f aca="false">-SUMPRODUCT(固有振動数!$Q$6:$Q$22*固有振動数!$P$6:$P$22/((1-($A837/固有振動数!$O$6:$O$22)^2)^2+固有振動数!$P$6:$P$22^2))</f>
        <v>-5.92708713135739</v>
      </c>
      <c r="D837" s="71" t="n">
        <f aca="false">SQRT(B837^2+C837^2)</f>
        <v>32.6284503556219</v>
      </c>
      <c r="E837" s="72" t="n">
        <f aca="false">20*LOG10(MAX(D837,0.000000000001)/$K$3)</f>
        <v>30.2719289609039</v>
      </c>
      <c r="F837" s="5"/>
      <c r="G837" s="5"/>
      <c r="H837" s="5"/>
      <c r="I837" s="5"/>
      <c r="J837" s="5"/>
      <c r="K837" s="5"/>
      <c r="L837" s="5"/>
      <c r="M837" s="5"/>
      <c r="N837" s="5"/>
    </row>
    <row r="838" customFormat="false" ht="15" hidden="false" customHeight="false" outlineLevel="0" collapsed="false">
      <c r="A838" s="71" t="n">
        <f aca="false">A837+$F$3</f>
        <v>16640</v>
      </c>
      <c r="B838" s="71" t="n">
        <f aca="false">SUMPRODUCT(固有振動数!$Q$6:$Q$22*(1-($A838/固有振動数!$O$6:$O$22)^2)/((1-($A838/固有振動数!$O$6:$O$22)^2)^2+固有振動数!$P$6:$P$22^2))</f>
        <v>33.3617011720909</v>
      </c>
      <c r="C838" s="71" t="n">
        <f aca="false">-SUMPRODUCT(固有振動数!$Q$6:$Q$22*固有振動数!$P$6:$P$22/((1-($A838/固有振動数!$O$6:$O$22)^2)^2+固有振動数!$P$6:$P$22^2))</f>
        <v>-6.50534955130916</v>
      </c>
      <c r="D838" s="71" t="n">
        <f aca="false">SQRT(B838^2+C838^2)</f>
        <v>33.9900379211411</v>
      </c>
      <c r="E838" s="72" t="n">
        <f aca="false">20*LOG10(MAX(D838,0.000000000001)/$K$3)</f>
        <v>30.6270329821191</v>
      </c>
      <c r="F838" s="5"/>
      <c r="G838" s="5"/>
      <c r="H838" s="5"/>
      <c r="I838" s="5"/>
      <c r="J838" s="5"/>
      <c r="K838" s="5"/>
      <c r="L838" s="5"/>
      <c r="M838" s="5"/>
      <c r="N838" s="5"/>
    </row>
    <row r="839" customFormat="false" ht="15" hidden="false" customHeight="false" outlineLevel="0" collapsed="false">
      <c r="A839" s="71" t="n">
        <f aca="false">A838+$F$3</f>
        <v>16660</v>
      </c>
      <c r="B839" s="71" t="n">
        <f aca="false">SUMPRODUCT(固有振動数!$Q$6:$Q$22*(1-($A839/固有振動数!$O$6:$O$22)^2)/((1-($A839/固有振動数!$O$6:$O$22)^2)^2+固有振動数!$P$6:$P$22^2))</f>
        <v>34.7500479036392</v>
      </c>
      <c r="C839" s="71" t="n">
        <f aca="false">-SUMPRODUCT(固有振動数!$Q$6:$Q$22*固有振動数!$P$6:$P$22/((1-($A839/固有振動数!$O$6:$O$22)^2)^2+固有振動数!$P$6:$P$22^2))</f>
        <v>-7.1830469767668</v>
      </c>
      <c r="D839" s="71" t="n">
        <f aca="false">SQRT(B839^2+C839^2)</f>
        <v>35.4846726513809</v>
      </c>
      <c r="E839" s="72" t="n">
        <f aca="false">20*LOG10(MAX(D839,0.000000000001)/$K$3)</f>
        <v>31.0008160637204</v>
      </c>
      <c r="F839" s="5"/>
      <c r="G839" s="5"/>
      <c r="H839" s="5"/>
      <c r="I839" s="5"/>
      <c r="J839" s="5"/>
      <c r="K839" s="5"/>
      <c r="L839" s="5"/>
      <c r="M839" s="5"/>
      <c r="N839" s="5"/>
    </row>
    <row r="840" customFormat="false" ht="15" hidden="false" customHeight="false" outlineLevel="0" collapsed="false">
      <c r="A840" s="71" t="n">
        <f aca="false">A839+$F$3</f>
        <v>16680</v>
      </c>
      <c r="B840" s="71" t="n">
        <f aca="false">SUMPRODUCT(固有振動数!$Q$6:$Q$22*(1-($A840/固有振動数!$O$6:$O$22)^2)/((1-($A840/固有振動数!$O$6:$O$22)^2)^2+固有振動数!$P$6:$P$22^2))</f>
        <v>36.266014216956</v>
      </c>
      <c r="C840" s="71" t="n">
        <f aca="false">-SUMPRODUCT(固有振動数!$Q$6:$Q$22*固有振動数!$P$6:$P$22/((1-($A840/固有振動数!$O$6:$O$22)^2)^2+固有振動数!$P$6:$P$22^2))</f>
        <v>-7.9837103411734</v>
      </c>
      <c r="D840" s="71" t="n">
        <f aca="false">SQRT(B840^2+C840^2)</f>
        <v>37.1343966962736</v>
      </c>
      <c r="E840" s="72" t="n">
        <f aca="false">20*LOG10(MAX(D840,0.000000000001)/$K$3)</f>
        <v>31.395527450931</v>
      </c>
      <c r="F840" s="5"/>
      <c r="G840" s="5"/>
      <c r="H840" s="5"/>
      <c r="I840" s="5"/>
      <c r="J840" s="5"/>
      <c r="K840" s="5"/>
      <c r="L840" s="5"/>
      <c r="M840" s="5"/>
      <c r="N840" s="5"/>
    </row>
    <row r="841" customFormat="false" ht="15" hidden="false" customHeight="false" outlineLevel="0" collapsed="false">
      <c r="A841" s="71" t="n">
        <f aca="false">A840+$F$3</f>
        <v>16700</v>
      </c>
      <c r="B841" s="71" t="n">
        <f aca="false">SUMPRODUCT(固有振動数!$Q$6:$Q$22*(1-($A841/固有振動数!$O$6:$O$22)^2)/((1-($A841/固有振動数!$O$6:$O$22)^2)^2+固有振動数!$P$6:$P$22^2))</f>
        <v>37.9271072135127</v>
      </c>
      <c r="C841" s="71" t="n">
        <f aca="false">-SUMPRODUCT(固有振動数!$Q$6:$Q$22*固有振動数!$P$6:$P$22/((1-($A841/固有振動数!$O$6:$O$22)^2)^2+固有振動数!$P$6:$P$22^2))</f>
        <v>-8.93804709365237</v>
      </c>
      <c r="D841" s="71" t="n">
        <f aca="false">SQRT(B841^2+C841^2)</f>
        <v>38.9660640485235</v>
      </c>
      <c r="E841" s="72" t="n">
        <f aca="false">20*LOG10(MAX(D841,0.000000000001)/$K$3)</f>
        <v>31.813730800824</v>
      </c>
      <c r="F841" s="5"/>
      <c r="G841" s="5"/>
      <c r="H841" s="5"/>
      <c r="I841" s="5"/>
      <c r="J841" s="5"/>
      <c r="K841" s="5"/>
      <c r="L841" s="5"/>
      <c r="M841" s="5"/>
      <c r="N841" s="5"/>
    </row>
    <row r="842" customFormat="false" ht="15" hidden="false" customHeight="false" outlineLevel="0" collapsed="false">
      <c r="A842" s="71" t="n">
        <f aca="false">A841+$F$3</f>
        <v>16720</v>
      </c>
      <c r="B842" s="71" t="n">
        <f aca="false">SUMPRODUCT(固有振動数!$Q$6:$Q$22*(1-($A842/固有振動数!$O$6:$O$22)^2)/((1-($A842/固有振動数!$O$6:$O$22)^2)^2+固有振動数!$P$6:$P$22^2))</f>
        <v>39.7529103788141</v>
      </c>
      <c r="C842" s="71" t="n">
        <f aca="false">-SUMPRODUCT(固有振動数!$Q$6:$Q$22*固有振動数!$P$6:$P$22/((1-($A842/固有振動数!$O$6:$O$22)^2)^2+固有振動数!$P$6:$P$22^2))</f>
        <v>-10.086608017311</v>
      </c>
      <c r="D842" s="71" t="n">
        <f aca="false">SQRT(B842^2+C842^2)</f>
        <v>41.0126022690697</v>
      </c>
      <c r="E842" s="72" t="n">
        <f aca="false">20*LOG10(MAX(D842,0.000000000001)/$K$3)</f>
        <v>32.258346527053</v>
      </c>
      <c r="F842" s="5"/>
      <c r="G842" s="5"/>
      <c r="H842" s="5"/>
      <c r="I842" s="5"/>
      <c r="J842" s="5"/>
      <c r="K842" s="5"/>
      <c r="L842" s="5"/>
      <c r="M842" s="5"/>
      <c r="N842" s="5"/>
    </row>
    <row r="843" customFormat="false" ht="15" hidden="false" customHeight="false" outlineLevel="0" collapsed="false">
      <c r="A843" s="71" t="n">
        <f aca="false">A842+$F$3</f>
        <v>16740</v>
      </c>
      <c r="B843" s="71" t="n">
        <f aca="false">SUMPRODUCT(固有振動数!$Q$6:$Q$22*(1-($A843/固有振動数!$O$6:$O$22)^2)/((1-($A843/固有振動数!$O$6:$O$22)^2)^2+固有振動数!$P$6:$P$22^2))</f>
        <v>41.7646119067067</v>
      </c>
      <c r="C843" s="71" t="n">
        <f aca="false">-SUMPRODUCT(固有振動数!$Q$6:$Q$22*固有振動数!$P$6:$P$22/((1-($A843/固有振動数!$O$6:$O$22)^2)^2+固有振動数!$P$6:$P$22^2))</f>
        <v>-11.4836034543053</v>
      </c>
      <c r="D843" s="71" t="n">
        <f aca="false">SQRT(B843^2+C843^2)</f>
        <v>43.3146159629006</v>
      </c>
      <c r="E843" s="72" t="n">
        <f aca="false">20*LOG10(MAX(D843,0.000000000001)/$K$3)</f>
        <v>32.7326893639963</v>
      </c>
      <c r="F843" s="5"/>
      <c r="G843" s="5"/>
      <c r="H843" s="5"/>
      <c r="I843" s="5"/>
      <c r="J843" s="5"/>
      <c r="K843" s="5"/>
      <c r="L843" s="5"/>
      <c r="M843" s="5"/>
      <c r="N843" s="5"/>
    </row>
    <row r="844" customFormat="false" ht="15" hidden="false" customHeight="false" outlineLevel="0" collapsed="false">
      <c r="A844" s="71" t="n">
        <f aca="false">A843+$F$3</f>
        <v>16760</v>
      </c>
      <c r="B844" s="71" t="n">
        <f aca="false">SUMPRODUCT(固有振動数!$Q$6:$Q$22*(1-($A844/固有振動数!$O$6:$O$22)^2)/((1-($A844/固有振動数!$O$6:$O$22)^2)^2+固有振動数!$P$6:$P$22^2))</f>
        <v>43.9836542403448</v>
      </c>
      <c r="C844" s="71" t="n">
        <f aca="false">-SUMPRODUCT(固有振動数!$Q$6:$Q$22*固有振動数!$P$6:$P$22/((1-($A844/固有振動数!$O$6:$O$22)^2)^2+固有振動数!$P$6:$P$22^2))</f>
        <v>-13.20240521895</v>
      </c>
      <c r="D844" s="71" t="n">
        <f aca="false">SQRT(B844^2+C844^2)</f>
        <v>45.9223839091522</v>
      </c>
      <c r="E844" s="72" t="n">
        <f aca="false">20*LOG10(MAX(D844,0.000000000001)/$K$3)</f>
        <v>33.240488498825</v>
      </c>
      <c r="F844" s="5"/>
      <c r="G844" s="5"/>
      <c r="H844" s="5"/>
      <c r="I844" s="5"/>
      <c r="J844" s="5"/>
      <c r="K844" s="5"/>
      <c r="L844" s="5"/>
      <c r="M844" s="5"/>
      <c r="N844" s="5"/>
    </row>
    <row r="845" customFormat="false" ht="15" hidden="false" customHeight="false" outlineLevel="0" collapsed="false">
      <c r="A845" s="71" t="n">
        <f aca="false">A844+$F$3</f>
        <v>16780</v>
      </c>
      <c r="B845" s="71" t="n">
        <f aca="false">SUMPRODUCT(固有振動数!$Q$6:$Q$22*(1-($A845/固有振動数!$O$6:$O$22)^2)/((1-($A845/固有振動数!$O$6:$O$22)^2)^2+固有振動数!$P$6:$P$22^2))</f>
        <v>46.4285976720339</v>
      </c>
      <c r="C845" s="71" t="n">
        <f aca="false">-SUMPRODUCT(固有振動数!$Q$6:$Q$22*固有振動数!$P$6:$P$22/((1-($A845/固有振動数!$O$6:$O$22)^2)^2+固有振動数!$P$6:$P$22^2))</f>
        <v>-15.3435006320444</v>
      </c>
      <c r="D845" s="71" t="n">
        <f aca="false">SQRT(B845^2+C845^2)</f>
        <v>48.8982381424642</v>
      </c>
      <c r="E845" s="72" t="n">
        <f aca="false">20*LOG10(MAX(D845,0.000000000001)/$K$3)</f>
        <v>33.7858642259119</v>
      </c>
      <c r="F845" s="5"/>
      <c r="G845" s="5"/>
      <c r="H845" s="5"/>
      <c r="I845" s="5"/>
      <c r="J845" s="5"/>
      <c r="K845" s="5"/>
      <c r="L845" s="5"/>
      <c r="M845" s="5"/>
      <c r="N845" s="5"/>
    </row>
    <row r="846" customFormat="false" ht="15" hidden="false" customHeight="false" outlineLevel="0" collapsed="false">
      <c r="A846" s="71" t="n">
        <f aca="false">A845+$F$3</f>
        <v>16800</v>
      </c>
      <c r="B846" s="71" t="n">
        <f aca="false">SUMPRODUCT(固有振動数!$Q$6:$Q$22*(1-($A846/固有振動数!$O$6:$O$22)^2)/((1-($A846/固有振動数!$O$6:$O$22)^2)^2+固有振動数!$P$6:$P$22^2))</f>
        <v>49.1084021917522</v>
      </c>
      <c r="C846" s="71" t="n">
        <f aca="false">-SUMPRODUCT(固有振動数!$Q$6:$Q$22*固有振動数!$P$6:$P$22/((1-($A846/固有振動数!$O$6:$O$22)^2)^2+固有振動数!$P$6:$P$22^2))</f>
        <v>-18.0459167422332</v>
      </c>
      <c r="D846" s="71" t="n">
        <f aca="false">SQRT(B846^2+C846^2)</f>
        <v>52.319119611233</v>
      </c>
      <c r="E846" s="72" t="n">
        <f aca="false">20*LOG10(MAX(D846,0.000000000001)/$K$3)</f>
        <v>34.3732085476085</v>
      </c>
      <c r="F846" s="5"/>
      <c r="G846" s="5"/>
      <c r="H846" s="5"/>
      <c r="I846" s="5"/>
      <c r="J846" s="5"/>
      <c r="K846" s="5"/>
      <c r="L846" s="5"/>
      <c r="M846" s="5"/>
      <c r="N846" s="5"/>
    </row>
    <row r="847" customFormat="false" ht="15" hidden="false" customHeight="false" outlineLevel="0" collapsed="false">
      <c r="A847" s="71" t="n">
        <f aca="false">A846+$F$3</f>
        <v>16820</v>
      </c>
      <c r="B847" s="71" t="n">
        <f aca="false">SUMPRODUCT(固有振動数!$Q$6:$Q$22*(1-($A847/固有振動数!$O$6:$O$22)^2)/((1-($A847/固有振動数!$O$6:$O$22)^2)^2+固有振動数!$P$6:$P$22^2))</f>
        <v>52.0085739655666</v>
      </c>
      <c r="C847" s="71" t="n">
        <f aca="false">-SUMPRODUCT(固有振動数!$Q$6:$Q$22*固有振動数!$P$6:$P$22/((1-($A847/固有振動数!$O$6:$O$22)^2)^2+固有振動数!$P$6:$P$22^2))</f>
        <v>-21.5032139984932</v>
      </c>
      <c r="D847" s="71" t="n">
        <f aca="false">SQRT(B847^2+C847^2)</f>
        <v>56.2785925392312</v>
      </c>
      <c r="E847" s="72" t="n">
        <f aca="false">20*LOG10(MAX(D847,0.000000000001)/$K$3)</f>
        <v>35.006864554185</v>
      </c>
      <c r="F847" s="5"/>
      <c r="G847" s="5"/>
      <c r="H847" s="5"/>
      <c r="I847" s="5"/>
      <c r="J847" s="5"/>
      <c r="K847" s="5"/>
      <c r="L847" s="5"/>
      <c r="M847" s="5"/>
      <c r="N847" s="5"/>
    </row>
    <row r="848" customFormat="false" ht="15" hidden="false" customHeight="false" outlineLevel="0" collapsed="false">
      <c r="A848" s="71" t="n">
        <f aca="false">A847+$F$3</f>
        <v>16840</v>
      </c>
      <c r="B848" s="71" t="n">
        <f aca="false">SUMPRODUCT(固有振動数!$Q$6:$Q$22*(1-($A848/固有振動数!$O$6:$O$22)^2)/((1-($A848/固有振動数!$O$6:$O$22)^2)^2+固有振動数!$P$6:$P$22^2))</f>
        <v>55.0632105104182</v>
      </c>
      <c r="C848" s="71" t="n">
        <f aca="false">-SUMPRODUCT(固有振動数!$Q$6:$Q$22*固有振動数!$P$6:$P$22/((1-($A848/固有振動数!$O$6:$O$22)^2)^2+固有振動数!$P$6:$P$22^2))</f>
        <v>-25.9843755328638</v>
      </c>
      <c r="D848" s="71" t="n">
        <f aca="false">SQRT(B848^2+C848^2)</f>
        <v>60.8863278868706</v>
      </c>
      <c r="E848" s="72" t="n">
        <f aca="false">20*LOG10(MAX(D848,0.000000000001)/$K$3)</f>
        <v>35.6903956425096</v>
      </c>
      <c r="F848" s="5"/>
      <c r="G848" s="5"/>
      <c r="H848" s="5"/>
      <c r="I848" s="5"/>
      <c r="J848" s="5"/>
      <c r="K848" s="5"/>
      <c r="L848" s="5"/>
      <c r="M848" s="5"/>
      <c r="N848" s="5"/>
    </row>
    <row r="849" customFormat="false" ht="15" hidden="false" customHeight="false" outlineLevel="0" collapsed="false">
      <c r="A849" s="71" t="n">
        <f aca="false">A848+$F$3</f>
        <v>16860</v>
      </c>
      <c r="B849" s="71" t="n">
        <f aca="false">SUMPRODUCT(固有振動数!$Q$6:$Q$22*(1-($A849/固有振動数!$O$6:$O$22)^2)/((1-($A849/固有振動数!$O$6:$O$22)^2)^2+固有振動数!$P$6:$P$22^2))</f>
        <v>58.0997326828841</v>
      </c>
      <c r="C849" s="71" t="n">
        <f aca="false">-SUMPRODUCT(固有振動数!$Q$6:$Q$22*固有振動数!$P$6:$P$22/((1-($A849/固有振動数!$O$6:$O$22)^2)^2+固有振動数!$P$6:$P$22^2))</f>
        <v>-31.8561632805233</v>
      </c>
      <c r="D849" s="71" t="n">
        <f aca="false">SQRT(B849^2+C849^2)</f>
        <v>66.2600488739478</v>
      </c>
      <c r="E849" s="72" t="n">
        <f aca="false">20*LOG10(MAX(D849,0.000000000001)/$K$3)</f>
        <v>36.4250350377036</v>
      </c>
      <c r="F849" s="5"/>
      <c r="G849" s="5"/>
      <c r="H849" s="5"/>
      <c r="I849" s="5"/>
      <c r="J849" s="5"/>
      <c r="K849" s="5"/>
      <c r="L849" s="5"/>
      <c r="M849" s="5"/>
      <c r="N849" s="5"/>
    </row>
    <row r="850" customFormat="false" ht="15" hidden="false" customHeight="false" outlineLevel="0" collapsed="false">
      <c r="A850" s="71" t="n">
        <f aca="false">A849+$F$3</f>
        <v>16880</v>
      </c>
      <c r="B850" s="71" t="n">
        <f aca="false">SUMPRODUCT(固有振動数!$Q$6:$Q$22*(1-($A850/固有振動数!$O$6:$O$22)^2)/((1-($A850/固有振動数!$O$6:$O$22)^2)^2+固有振動数!$P$6:$P$22^2))</f>
        <v>60.7334676319319</v>
      </c>
      <c r="C850" s="71" t="n">
        <f aca="false">-SUMPRODUCT(固有振動数!$Q$6:$Q$22*固有振動数!$P$6:$P$22/((1-($A850/固有振動数!$O$6:$O$22)^2)^2+固有振動数!$P$6:$P$22^2))</f>
        <v>-39.5907911747305</v>
      </c>
      <c r="D850" s="71" t="n">
        <f aca="false">SQRT(B850^2+C850^2)</f>
        <v>72.4981712627293</v>
      </c>
      <c r="E850" s="72" t="n">
        <f aca="false">20*LOG10(MAX(D850,0.000000000001)/$K$3)</f>
        <v>37.2065410361034</v>
      </c>
      <c r="F850" s="5"/>
      <c r="G850" s="5"/>
      <c r="H850" s="5"/>
      <c r="I850" s="5"/>
      <c r="J850" s="5"/>
      <c r="K850" s="5"/>
      <c r="L850" s="5"/>
      <c r="M850" s="5"/>
      <c r="N850" s="5"/>
    </row>
    <row r="851" customFormat="false" ht="15" hidden="false" customHeight="false" outlineLevel="0" collapsed="false">
      <c r="A851" s="71" t="n">
        <f aca="false">A850+$F$3</f>
        <v>16900</v>
      </c>
      <c r="B851" s="71" t="n">
        <f aca="false">SUMPRODUCT(固有振動数!$Q$6:$Q$22*(1-($A851/固有振動数!$O$6:$O$22)^2)/((1-($A851/固有振動数!$O$6:$O$22)^2)^2+固有振動数!$P$6:$P$22^2))</f>
        <v>62.1825258355018</v>
      </c>
      <c r="C851" s="71" t="n">
        <f aca="false">-SUMPRODUCT(固有振動数!$Q$6:$Q$22*固有振動数!$P$6:$P$22/((1-($A851/固有振動数!$O$6:$O$22)^2)^2+固有振動数!$P$6:$P$22^2))</f>
        <v>-49.7066622479275</v>
      </c>
      <c r="D851" s="71" t="n">
        <f aca="false">SQRT(B851^2+C851^2)</f>
        <v>79.6079065866726</v>
      </c>
      <c r="E851" s="72" t="n">
        <f aca="false">20*LOG10(MAX(D851,0.000000000001)/$K$3)</f>
        <v>38.019124072451</v>
      </c>
      <c r="F851" s="5"/>
      <c r="G851" s="5"/>
      <c r="H851" s="5"/>
      <c r="I851" s="5"/>
      <c r="J851" s="5"/>
      <c r="K851" s="5"/>
      <c r="L851" s="5"/>
      <c r="M851" s="5"/>
      <c r="N851" s="5"/>
    </row>
    <row r="852" customFormat="false" ht="15" hidden="false" customHeight="false" outlineLevel="0" collapsed="false">
      <c r="A852" s="71" t="n">
        <f aca="false">A851+$F$3</f>
        <v>16920</v>
      </c>
      <c r="B852" s="71" t="n">
        <f aca="false">SUMPRODUCT(固有振動数!$Q$6:$Q$22*(1-($A852/固有振動数!$O$6:$O$22)^2)/((1-($A852/固有振動数!$O$6:$O$22)^2)^2+固有振動数!$P$6:$P$22^2))</f>
        <v>61.0067169498021</v>
      </c>
      <c r="C852" s="71" t="n">
        <f aca="false">-SUMPRODUCT(固有振動数!$Q$6:$Q$22*固有振動数!$P$6:$P$22/((1-($A852/固有振動数!$O$6:$O$22)^2)^2+固有振動数!$P$6:$P$22^2))</f>
        <v>-62.5078175715545</v>
      </c>
      <c r="D852" s="71" t="n">
        <f aca="false">SQRT(B852^2+C852^2)</f>
        <v>87.344414650005</v>
      </c>
      <c r="E852" s="72" t="n">
        <f aca="false">20*LOG10(MAX(D852,0.000000000001)/$K$3)</f>
        <v>38.8247027738461</v>
      </c>
      <c r="F852" s="5"/>
      <c r="G852" s="5"/>
      <c r="H852" s="5"/>
      <c r="I852" s="5"/>
      <c r="J852" s="5"/>
      <c r="K852" s="5"/>
      <c r="L852" s="5"/>
      <c r="M852" s="5"/>
      <c r="N852" s="5"/>
    </row>
    <row r="853" customFormat="false" ht="15" hidden="false" customHeight="false" outlineLevel="0" collapsed="false">
      <c r="A853" s="71" t="n">
        <f aca="false">A852+$F$3</f>
        <v>16940</v>
      </c>
      <c r="B853" s="71" t="n">
        <f aca="false">SUMPRODUCT(固有振動数!$Q$6:$Q$22*(1-($A853/固有振動数!$O$6:$O$22)^2)/((1-($A853/固有振動数!$O$6:$O$22)^2)^2+固有振動数!$P$6:$P$22^2))</f>
        <v>54.9702708812475</v>
      </c>
      <c r="C853" s="71" t="n">
        <f aca="false">-SUMPRODUCT(固有振動数!$Q$6:$Q$22*固有振動数!$P$6:$P$22/((1-($A853/固有振動数!$O$6:$O$22)^2)^2+固有振動数!$P$6:$P$22^2))</f>
        <v>-77.3854444442959</v>
      </c>
      <c r="D853" s="71" t="n">
        <f aca="false">SQRT(B853^2+C853^2)</f>
        <v>94.9222718470167</v>
      </c>
      <c r="E853" s="72" t="n">
        <f aca="false">20*LOG10(MAX(D853,0.000000000001)/$K$3)</f>
        <v>39.5473624794049</v>
      </c>
      <c r="F853" s="5"/>
      <c r="G853" s="5"/>
      <c r="H853" s="5"/>
      <c r="I853" s="5"/>
      <c r="J853" s="5"/>
      <c r="K853" s="5"/>
      <c r="L853" s="5"/>
      <c r="M853" s="5"/>
      <c r="N853" s="5"/>
    </row>
    <row r="854" customFormat="false" ht="15" hidden="false" customHeight="false" outlineLevel="0" collapsed="false">
      <c r="A854" s="71" t="n">
        <f aca="false">A853+$F$3</f>
        <v>16960</v>
      </c>
      <c r="B854" s="71" t="n">
        <f aca="false">SUMPRODUCT(固有振動数!$Q$6:$Q$22*(1-($A854/固有振動数!$O$6:$O$22)^2)/((1-($A854/固有振動数!$O$6:$O$22)^2)^2+固有振動数!$P$6:$P$22^2))</f>
        <v>41.7418631954579</v>
      </c>
      <c r="C854" s="71" t="n">
        <f aca="false">-SUMPRODUCT(固有振動数!$Q$6:$Q$22*固有振動数!$P$6:$P$22/((1-($A854/固有振動数!$O$6:$O$22)^2)^2+固有振動数!$P$6:$P$22^2))</f>
        <v>-91.6554852944664</v>
      </c>
      <c r="D854" s="71" t="n">
        <f aca="false">SQRT(B854^2+C854^2)</f>
        <v>100.713013695314</v>
      </c>
      <c r="E854" s="72" t="n">
        <f aca="false">20*LOG10(MAX(D854,0.000000000001)/$K$3)</f>
        <v>40.0617118362758</v>
      </c>
      <c r="F854" s="5"/>
      <c r="G854" s="5"/>
      <c r="H854" s="5"/>
      <c r="I854" s="5"/>
      <c r="J854" s="5"/>
      <c r="K854" s="5"/>
      <c r="L854" s="5"/>
      <c r="M854" s="5"/>
      <c r="N854" s="5"/>
    </row>
    <row r="855" customFormat="false" ht="15" hidden="false" customHeight="false" outlineLevel="0" collapsed="false">
      <c r="A855" s="71" t="n">
        <f aca="false">A854+$F$3</f>
        <v>16980</v>
      </c>
      <c r="B855" s="71" t="n">
        <f aca="false">SUMPRODUCT(固有振動数!$Q$6:$Q$22*(1-($A855/固有振動数!$O$6:$O$22)^2)/((1-($A855/固有振動数!$O$6:$O$22)^2)^2+固有振動数!$P$6:$P$22^2))</f>
        <v>21.3099320780872</v>
      </c>
      <c r="C855" s="71" t="n">
        <f aca="false">-SUMPRODUCT(固有振動数!$Q$6:$Q$22*固有振動数!$P$6:$P$22/((1-($A855/固有振動数!$O$6:$O$22)^2)^2+固有振動数!$P$6:$P$22^2))</f>
        <v>-100.23617949961</v>
      </c>
      <c r="D855" s="71" t="n">
        <f aca="false">SQRT(B855^2+C855^2)</f>
        <v>102.47636257133</v>
      </c>
      <c r="E855" s="72" t="n">
        <f aca="false">20*LOG10(MAX(D855,0.000000000001)/$K$3)</f>
        <v>40.2124740319934</v>
      </c>
      <c r="F855" s="5"/>
      <c r="G855" s="5"/>
      <c r="H855" s="5"/>
      <c r="I855" s="5"/>
      <c r="J855" s="5"/>
      <c r="K855" s="5"/>
      <c r="L855" s="5"/>
      <c r="M855" s="5"/>
      <c r="N855" s="5"/>
    </row>
    <row r="856" customFormat="false" ht="15" hidden="false" customHeight="false" outlineLevel="0" collapsed="false">
      <c r="A856" s="71" t="n">
        <f aca="false">A855+$F$3</f>
        <v>17000</v>
      </c>
      <c r="B856" s="71" t="n">
        <f aca="false">SUMPRODUCT(固有振動数!$Q$6:$Q$22*(1-($A856/固有振動数!$O$6:$O$22)^2)/((1-($A856/固有振動数!$O$6:$O$22)^2)^2+固有振動数!$P$6:$P$22^2))</f>
        <v>-1.65224498906755</v>
      </c>
      <c r="C856" s="71" t="n">
        <f aca="false">-SUMPRODUCT(固有振動数!$Q$6:$Q$22*固有振動数!$P$6:$P$22/((1-($A856/固有振動数!$O$6:$O$22)^2)^2+固有振動数!$P$6:$P$22^2))</f>
        <v>-98.7306176940175</v>
      </c>
      <c r="D856" s="71" t="n">
        <f aca="false">SQRT(B856^2+C856^2)</f>
        <v>98.7444417865945</v>
      </c>
      <c r="E856" s="72" t="n">
        <f aca="false">20*LOG10(MAX(D856,0.000000000001)/$K$3)</f>
        <v>39.8902531807856</v>
      </c>
      <c r="F856" s="5"/>
      <c r="G856" s="5"/>
      <c r="H856" s="5"/>
      <c r="I856" s="5"/>
      <c r="J856" s="5"/>
      <c r="K856" s="5"/>
      <c r="L856" s="5"/>
      <c r="M856" s="5"/>
      <c r="N856" s="5"/>
    </row>
    <row r="857" customFormat="false" ht="15" hidden="false" customHeight="false" outlineLevel="0" collapsed="false">
      <c r="A857" s="71" t="n">
        <f aca="false">A856+$F$3</f>
        <v>17020</v>
      </c>
      <c r="B857" s="71" t="n">
        <f aca="false">SUMPRODUCT(固有振動数!$Q$6:$Q$22*(1-($A857/固有振動数!$O$6:$O$22)^2)/((1-($A857/固有振動数!$O$6:$O$22)^2)^2+固有振動数!$P$6:$P$22^2))</f>
        <v>-20.3352169733261</v>
      </c>
      <c r="C857" s="71" t="n">
        <f aca="false">-SUMPRODUCT(固有振動数!$Q$6:$Q$22*固有振動数!$P$6:$P$22/((1-($A857/固有振動数!$O$6:$O$22)^2)^2+固有振動数!$P$6:$P$22^2))</f>
        <v>-87.9637751683878</v>
      </c>
      <c r="D857" s="71" t="n">
        <f aca="false">SQRT(B857^2+C857^2)</f>
        <v>90.2837016920935</v>
      </c>
      <c r="E857" s="72" t="n">
        <f aca="false">20*LOG10(MAX(D857,0.000000000001)/$K$3)</f>
        <v>39.1121871426942</v>
      </c>
      <c r="F857" s="5"/>
      <c r="G857" s="5"/>
      <c r="H857" s="5"/>
      <c r="I857" s="5"/>
      <c r="J857" s="5"/>
      <c r="K857" s="5"/>
      <c r="L857" s="5"/>
      <c r="M857" s="5"/>
      <c r="N857" s="5"/>
    </row>
    <row r="858" customFormat="false" ht="15" hidden="false" customHeight="false" outlineLevel="0" collapsed="false">
      <c r="A858" s="71" t="n">
        <f aca="false">A857+$F$3</f>
        <v>17040</v>
      </c>
      <c r="B858" s="71" t="n">
        <f aca="false">SUMPRODUCT(固有振動数!$Q$6:$Q$22*(1-($A858/固有振動数!$O$6:$O$22)^2)/((1-($A858/固有振動数!$O$6:$O$22)^2)^2+固有振動数!$P$6:$P$22^2))</f>
        <v>-31.3622838657484</v>
      </c>
      <c r="C858" s="71" t="n">
        <f aca="false">-SUMPRODUCT(固有振動数!$Q$6:$Q$22*固有振動数!$P$6:$P$22/((1-($A858/固有振動数!$O$6:$O$22)^2)^2+固有振動数!$P$6:$P$22^2))</f>
        <v>-73.0476060136292</v>
      </c>
      <c r="D858" s="71" t="n">
        <f aca="false">SQRT(B858^2+C858^2)</f>
        <v>79.4955696476111</v>
      </c>
      <c r="E858" s="72" t="n">
        <f aca="false">20*LOG10(MAX(D858,0.000000000001)/$K$3)</f>
        <v>38.0068585149635</v>
      </c>
      <c r="F858" s="5"/>
      <c r="G858" s="5"/>
      <c r="H858" s="5"/>
      <c r="I858" s="5"/>
      <c r="J858" s="5"/>
      <c r="K858" s="5"/>
      <c r="L858" s="5"/>
      <c r="M858" s="5"/>
      <c r="N858" s="5"/>
    </row>
    <row r="859" customFormat="false" ht="15" hidden="false" customHeight="false" outlineLevel="0" collapsed="false">
      <c r="A859" s="71" t="n">
        <f aca="false">A858+$F$3</f>
        <v>17060</v>
      </c>
      <c r="B859" s="71" t="n">
        <f aca="false">SUMPRODUCT(固有振動数!$Q$6:$Q$22*(1-($A859/固有振動数!$O$6:$O$22)^2)/((1-($A859/固有振動数!$O$6:$O$22)^2)^2+固有振動数!$P$6:$P$22^2))</f>
        <v>-35.7091149249022</v>
      </c>
      <c r="C859" s="71" t="n">
        <f aca="false">-SUMPRODUCT(固有振動数!$Q$6:$Q$22*固有振動数!$P$6:$P$22/((1-($A859/固有振動数!$O$6:$O$22)^2)^2+固有振動数!$P$6:$P$22^2))</f>
        <v>-58.553140523804</v>
      </c>
      <c r="D859" s="71" t="n">
        <f aca="false">SQRT(B859^2+C859^2)</f>
        <v>68.5828779938565</v>
      </c>
      <c r="E859" s="72" t="n">
        <f aca="false">20*LOG10(MAX(D859,0.000000000001)/$K$3)</f>
        <v>36.7243141156151</v>
      </c>
      <c r="F859" s="5"/>
      <c r="G859" s="5"/>
      <c r="H859" s="5"/>
      <c r="I859" s="5"/>
      <c r="J859" s="5"/>
      <c r="K859" s="5"/>
      <c r="L859" s="5"/>
      <c r="M859" s="5"/>
      <c r="N859" s="5"/>
    </row>
    <row r="860" customFormat="false" ht="15" hidden="false" customHeight="false" outlineLevel="0" collapsed="false">
      <c r="A860" s="71" t="n">
        <f aca="false">A859+$F$3</f>
        <v>17080</v>
      </c>
      <c r="B860" s="71" t="n">
        <f aca="false">SUMPRODUCT(固有振動数!$Q$6:$Q$22*(1-($A860/固有振動数!$O$6:$O$22)^2)/((1-($A860/固有振動数!$O$6:$O$22)^2)^2+固有振動数!$P$6:$P$22^2))</f>
        <v>-35.8601970293381</v>
      </c>
      <c r="C860" s="71" t="n">
        <f aca="false">-SUMPRODUCT(固有振動数!$Q$6:$Q$22*固有振動数!$P$6:$P$22/((1-($A860/固有振動数!$O$6:$O$22)^2)^2+固有振動数!$P$6:$P$22^2))</f>
        <v>-46.4868564293241</v>
      </c>
      <c r="D860" s="71" t="n">
        <f aca="false">SQRT(B860^2+C860^2)</f>
        <v>58.7110002611397</v>
      </c>
      <c r="E860" s="72" t="n">
        <f aca="false">20*LOG10(MAX(D860,0.000000000001)/$K$3)</f>
        <v>35.3743895905861</v>
      </c>
      <c r="F860" s="5"/>
      <c r="G860" s="5"/>
      <c r="H860" s="5"/>
      <c r="I860" s="5"/>
      <c r="J860" s="5"/>
      <c r="K860" s="5"/>
      <c r="L860" s="5"/>
      <c r="M860" s="5"/>
      <c r="N860" s="5"/>
    </row>
    <row r="861" customFormat="false" ht="15" hidden="false" customHeight="false" outlineLevel="0" collapsed="false">
      <c r="A861" s="71" t="n">
        <f aca="false">A860+$F$3</f>
        <v>17100</v>
      </c>
      <c r="B861" s="71" t="n">
        <f aca="false">SUMPRODUCT(固有振動数!$Q$6:$Q$22*(1-($A861/固有振動数!$O$6:$O$22)^2)/((1-($A861/固有振動数!$O$6:$O$22)^2)^2+固有振動数!$P$6:$P$22^2))</f>
        <v>-33.8600484424059</v>
      </c>
      <c r="C861" s="71" t="n">
        <f aca="false">-SUMPRODUCT(固有振動数!$Q$6:$Q$22*固有振動数!$P$6:$P$22/((1-($A861/固有振動数!$O$6:$O$22)^2)^2+固有振動数!$P$6:$P$22^2))</f>
        <v>-37.0981620776814</v>
      </c>
      <c r="D861" s="71" t="n">
        <f aca="false">SQRT(B861^2+C861^2)</f>
        <v>50.2272486810097</v>
      </c>
      <c r="E861" s="72" t="n">
        <f aca="false">20*LOG10(MAX(D861,0.000000000001)/$K$3)</f>
        <v>34.0187877856154</v>
      </c>
      <c r="F861" s="5"/>
      <c r="G861" s="5"/>
      <c r="H861" s="5"/>
      <c r="I861" s="5"/>
      <c r="J861" s="5"/>
      <c r="K861" s="5"/>
      <c r="L861" s="5"/>
      <c r="M861" s="5"/>
      <c r="N861" s="5"/>
    </row>
    <row r="862" customFormat="false" ht="15" hidden="false" customHeight="false" outlineLevel="0" collapsed="false">
      <c r="A862" s="71" t="n">
        <f aca="false">A861+$F$3</f>
        <v>17120</v>
      </c>
      <c r="B862" s="71" t="n">
        <f aca="false">SUMPRODUCT(固有振動数!$Q$6:$Q$22*(1-($A862/固有振動数!$O$6:$O$22)^2)/((1-($A862/固有振動数!$O$6:$O$22)^2)^2+固有振動数!$P$6:$P$22^2))</f>
        <v>-30.9467345231376</v>
      </c>
      <c r="C862" s="71" t="n">
        <f aca="false">-SUMPRODUCT(固有振動数!$Q$6:$Q$22*固有振動数!$P$6:$P$22/((1-($A862/固有振動数!$O$6:$O$22)^2)^2+固有振動数!$P$6:$P$22^2))</f>
        <v>-29.9696077099904</v>
      </c>
      <c r="D862" s="71" t="n">
        <f aca="false">SQRT(B862^2+C862^2)</f>
        <v>43.0798997670174</v>
      </c>
      <c r="E862" s="72" t="n">
        <f aca="false">20*LOG10(MAX(D862,0.000000000001)/$K$3)</f>
        <v>32.6854936832887</v>
      </c>
      <c r="F862" s="5"/>
      <c r="G862" s="5"/>
      <c r="H862" s="5"/>
      <c r="I862" s="5"/>
      <c r="J862" s="5"/>
      <c r="K862" s="5"/>
      <c r="L862" s="5"/>
      <c r="M862" s="5"/>
      <c r="N862" s="5"/>
    </row>
    <row r="863" customFormat="false" ht="15" hidden="false" customHeight="false" outlineLevel="0" collapsed="false">
      <c r="A863" s="71" t="n">
        <f aca="false">A862+$F$3</f>
        <v>17140</v>
      </c>
      <c r="B863" s="71" t="n">
        <f aca="false">SUMPRODUCT(固有振動数!$Q$6:$Q$22*(1-($A863/固有振動数!$O$6:$O$22)^2)/((1-($A863/固有振動数!$O$6:$O$22)^2)^2+固有振動数!$P$6:$P$22^2))</f>
        <v>-27.7696426312524</v>
      </c>
      <c r="C863" s="71" t="n">
        <f aca="false">-SUMPRODUCT(固有振動数!$Q$6:$Q$22*固有振動数!$P$6:$P$22/((1-($A863/固有振動数!$O$6:$O$22)^2)^2+固有振動数!$P$6:$P$22^2))</f>
        <v>-24.5750388871767</v>
      </c>
      <c r="D863" s="71" t="n">
        <f aca="false">SQRT(B863^2+C863^2)</f>
        <v>37.0821464882188</v>
      </c>
      <c r="E863" s="72" t="n">
        <f aca="false">20*LOG10(MAX(D863,0.000000000001)/$K$3)</f>
        <v>31.3832973039519</v>
      </c>
      <c r="F863" s="5"/>
      <c r="G863" s="5"/>
      <c r="H863" s="5"/>
      <c r="I863" s="5"/>
      <c r="J863" s="5"/>
      <c r="K863" s="5"/>
      <c r="L863" s="5"/>
      <c r="M863" s="5"/>
      <c r="N863" s="5"/>
    </row>
    <row r="864" customFormat="false" ht="15" hidden="false" customHeight="false" outlineLevel="0" collapsed="false">
      <c r="A864" s="71" t="n">
        <f aca="false">A863+$F$3</f>
        <v>17160</v>
      </c>
      <c r="B864" s="71" t="n">
        <f aca="false">SUMPRODUCT(固有振動数!$Q$6:$Q$22*(1-($A864/固有振動数!$O$6:$O$22)^2)/((1-($A864/固有振動数!$O$6:$O$22)^2)^2+固有振動数!$P$6:$P$22^2))</f>
        <v>-24.6390782467982</v>
      </c>
      <c r="C864" s="71" t="n">
        <f aca="false">-SUMPRODUCT(固有振動数!$Q$6:$Q$22*固有振動数!$P$6:$P$22/((1-($A864/固有振動数!$O$6:$O$22)^2)^2+固有振動数!$P$6:$P$22^2))</f>
        <v>-20.4653916810017</v>
      </c>
      <c r="D864" s="71" t="n">
        <f aca="false">SQRT(B864^2+C864^2)</f>
        <v>32.0299302763627</v>
      </c>
      <c r="E864" s="72" t="n">
        <f aca="false">20*LOG10(MAX(D864,0.000000000001)/$K$3)</f>
        <v>30.1111198656124</v>
      </c>
      <c r="F864" s="5"/>
      <c r="G864" s="5"/>
      <c r="H864" s="5"/>
      <c r="I864" s="5"/>
      <c r="J864" s="5"/>
      <c r="K864" s="5"/>
      <c r="L864" s="5"/>
      <c r="M864" s="5"/>
      <c r="N864" s="5"/>
    </row>
    <row r="865" customFormat="false" ht="15" hidden="false" customHeight="false" outlineLevel="0" collapsed="false">
      <c r="A865" s="71" t="n">
        <f aca="false">A864+$F$3</f>
        <v>17180</v>
      </c>
      <c r="B865" s="71" t="n">
        <f aca="false">SUMPRODUCT(固有振動数!$Q$6:$Q$22*(1-($A865/固有振動数!$O$6:$O$22)^2)/((1-($A865/固有振動数!$O$6:$O$22)^2)^2+固有振動数!$P$6:$P$22^2))</f>
        <v>-21.6884058640926</v>
      </c>
      <c r="C865" s="71" t="n">
        <f aca="false">-SUMPRODUCT(固有振動数!$Q$6:$Q$22*固有振動数!$P$6:$P$22/((1-($A865/固有振動数!$O$6:$O$22)^2)^2+固有振動数!$P$6:$P$22^2))</f>
        <v>-17.3001757626513</v>
      </c>
      <c r="D865" s="71" t="n">
        <f aca="false">SQRT(B865^2+C865^2)</f>
        <v>27.7431618663813</v>
      </c>
      <c r="E865" s="72" t="n">
        <f aca="false">20*LOG10(MAX(D865,0.000000000001)/$K$3)</f>
        <v>28.8631191151842</v>
      </c>
      <c r="F865" s="5"/>
      <c r="G865" s="5"/>
      <c r="H865" s="5"/>
      <c r="I865" s="5"/>
      <c r="J865" s="5"/>
      <c r="K865" s="5"/>
      <c r="L865" s="5"/>
      <c r="M865" s="5"/>
      <c r="N865" s="5"/>
    </row>
    <row r="866" customFormat="false" ht="15" hidden="false" customHeight="false" outlineLevel="0" collapsed="false">
      <c r="A866" s="71" t="n">
        <f aca="false">A865+$F$3</f>
        <v>17200</v>
      </c>
      <c r="B866" s="71" t="n">
        <f aca="false">SUMPRODUCT(固有振動数!$Q$6:$Q$22*(1-($A866/固有振動数!$O$6:$O$22)^2)/((1-($A866/固有振動数!$O$6:$O$22)^2)^2+固有振動数!$P$6:$P$22^2))</f>
        <v>-18.9633914913403</v>
      </c>
      <c r="C866" s="71" t="n">
        <f aca="false">-SUMPRODUCT(固有振動数!$Q$6:$Q$22*固有振動数!$P$6:$P$22/((1-($A866/固有振動数!$O$6:$O$22)^2)^2+固有振動数!$P$6:$P$22^2))</f>
        <v>-14.8321089077568</v>
      </c>
      <c r="D866" s="71" t="n">
        <f aca="false">SQRT(B866^2+C866^2)</f>
        <v>24.0749178919762</v>
      </c>
      <c r="E866" s="72" t="n">
        <f aca="false">20*LOG10(MAX(D866,0.000000000001)/$K$3)</f>
        <v>27.6312962925691</v>
      </c>
      <c r="F866" s="5"/>
      <c r="G866" s="5"/>
      <c r="H866" s="5"/>
      <c r="I866" s="5"/>
      <c r="J866" s="5"/>
      <c r="K866" s="5"/>
      <c r="L866" s="5"/>
      <c r="M866" s="5"/>
      <c r="N866" s="5"/>
    </row>
    <row r="867" customFormat="false" ht="15" hidden="false" customHeight="false" outlineLevel="0" collapsed="false">
      <c r="A867" s="71" t="n">
        <f aca="false">A866+$F$3</f>
        <v>17220</v>
      </c>
      <c r="B867" s="71" t="n">
        <f aca="false">SUMPRODUCT(固有振動数!$Q$6:$Q$22*(1-($A867/固有振動数!$O$6:$O$22)^2)/((1-($A867/固有振動数!$O$6:$O$22)^2)^2+固有振動数!$P$6:$P$22^2))</f>
        <v>-16.4683220533384</v>
      </c>
      <c r="C867" s="71" t="n">
        <f aca="false">-SUMPRODUCT(固有振動数!$Q$6:$Q$22*固有振動数!$P$6:$P$22/((1-($A867/固有振動数!$O$6:$O$22)^2)^2+固有振動数!$P$6:$P$22^2))</f>
        <v>-12.8838975119136</v>
      </c>
      <c r="D867" s="71" t="n">
        <f aca="false">SQRT(B867^2+C867^2)</f>
        <v>20.9093387353585</v>
      </c>
      <c r="E867" s="72" t="n">
        <f aca="false">20*LOG10(MAX(D867,0.000000000001)/$K$3)</f>
        <v>26.4068059666108</v>
      </c>
      <c r="F867" s="5"/>
      <c r="G867" s="5"/>
      <c r="H867" s="5"/>
      <c r="I867" s="5"/>
      <c r="J867" s="5"/>
      <c r="K867" s="5"/>
      <c r="L867" s="5"/>
      <c r="M867" s="5"/>
      <c r="N867" s="5"/>
    </row>
    <row r="868" customFormat="false" ht="15" hidden="false" customHeight="false" outlineLevel="0" collapsed="false">
      <c r="A868" s="71" t="n">
        <f aca="false">A867+$F$3</f>
        <v>17240</v>
      </c>
      <c r="B868" s="71" t="n">
        <f aca="false">SUMPRODUCT(固有振動数!$Q$6:$Q$22*(1-($A868/固有振動数!$O$6:$O$22)^2)/((1-($A868/固有振動数!$O$6:$O$22)^2)^2+固有振動数!$P$6:$P$22^2))</f>
        <v>-14.1891079154604</v>
      </c>
      <c r="C868" s="71" t="n">
        <f aca="false">-SUMPRODUCT(固有振動数!$Q$6:$Q$22*固有振動数!$P$6:$P$22/((1-($A868/固有振動数!$O$6:$O$22)^2)^2+固有振動数!$P$6:$P$22^2))</f>
        <v>-11.3283097130504</v>
      </c>
      <c r="D868" s="71" t="n">
        <f aca="false">SQRT(B868^2+C868^2)</f>
        <v>18.1565796446184</v>
      </c>
      <c r="E868" s="72" t="n">
        <f aca="false">20*LOG10(MAX(D868,0.000000000001)/$K$3)</f>
        <v>25.1806807808664</v>
      </c>
      <c r="F868" s="5"/>
      <c r="G868" s="5"/>
      <c r="H868" s="5"/>
      <c r="I868" s="5"/>
      <c r="J868" s="5"/>
      <c r="K868" s="5"/>
      <c r="L868" s="5"/>
      <c r="M868" s="5"/>
      <c r="N868" s="5"/>
    </row>
    <row r="869" customFormat="false" ht="15" hidden="false" customHeight="false" outlineLevel="0" collapsed="false">
      <c r="A869" s="71" t="n">
        <f aca="false">A868+$F$3</f>
        <v>17260</v>
      </c>
      <c r="B869" s="71" t="n">
        <f aca="false">SUMPRODUCT(固有振動数!$Q$6:$Q$22*(1-($A869/固有振動数!$O$6:$O$22)^2)/((1-($A869/固有振動数!$O$6:$O$22)^2)^2+固有振動数!$P$6:$P$22^2))</f>
        <v>-12.1046227101065</v>
      </c>
      <c r="C869" s="71" t="n">
        <f aca="false">-SUMPRODUCT(固有振動数!$Q$6:$Q$22*固有振動数!$P$6:$P$22/((1-($A869/固有振動数!$O$6:$O$22)^2)^2+固有振動数!$P$6:$P$22^2))</f>
        <v>-10.073356747466</v>
      </c>
      <c r="D869" s="71" t="n">
        <f aca="false">SQRT(B869^2+C869^2)</f>
        <v>15.7478381727698</v>
      </c>
      <c r="E869" s="72" t="n">
        <f aca="false">20*LOG10(MAX(D869,0.000000000001)/$K$3)</f>
        <v>23.9444188652719</v>
      </c>
      <c r="F869" s="5"/>
      <c r="G869" s="5"/>
      <c r="H869" s="5"/>
      <c r="I869" s="5"/>
      <c r="J869" s="5"/>
      <c r="K869" s="5"/>
      <c r="L869" s="5"/>
      <c r="M869" s="5"/>
      <c r="N869" s="5"/>
    </row>
    <row r="870" customFormat="false" ht="15" hidden="false" customHeight="false" outlineLevel="0" collapsed="false">
      <c r="A870" s="71" t="n">
        <f aca="false">A869+$F$3</f>
        <v>17280</v>
      </c>
      <c r="B870" s="71" t="n">
        <f aca="false">SUMPRODUCT(固有振動数!$Q$6:$Q$22*(1-($A870/固有振動数!$O$6:$O$22)^2)/((1-($A870/固有振動数!$O$6:$O$22)^2)^2+固有振動数!$P$6:$P$22^2))</f>
        <v>-10.1921248648902</v>
      </c>
      <c r="C870" s="71" t="n">
        <f aca="false">-SUMPRODUCT(固有振動数!$Q$6:$Q$22*固有振動数!$P$6:$P$22/((1-($A870/固有振動数!$O$6:$O$22)^2)^2+固有振動数!$P$6:$P$22^2))</f>
        <v>-9.05183520865848</v>
      </c>
      <c r="D870" s="71" t="n">
        <f aca="false">SQRT(B870^2+C870^2)</f>
        <v>13.6314023455484</v>
      </c>
      <c r="E870" s="72" t="n">
        <f aca="false">20*LOG10(MAX(D870,0.000000000001)/$K$3)</f>
        <v>22.6908107331351</v>
      </c>
      <c r="F870" s="5"/>
      <c r="G870" s="5"/>
      <c r="H870" s="5"/>
      <c r="I870" s="5"/>
      <c r="J870" s="5"/>
      <c r="K870" s="5"/>
      <c r="L870" s="5"/>
      <c r="M870" s="5"/>
      <c r="N870" s="5"/>
    </row>
    <row r="871" customFormat="false" ht="15" hidden="false" customHeight="false" outlineLevel="0" collapsed="false">
      <c r="A871" s="71" t="n">
        <f aca="false">A870+$F$3</f>
        <v>17300</v>
      </c>
      <c r="B871" s="71" t="n">
        <f aca="false">SUMPRODUCT(固有振動数!$Q$6:$Q$22*(1-($A871/固有振動数!$O$6:$O$22)^2)/((1-($A871/固有振動数!$O$6:$O$22)^2)^2+固有振動数!$P$6:$P$22^2))</f>
        <v>-8.42972281346275</v>
      </c>
      <c r="C871" s="71" t="n">
        <f aca="false">-SUMPRODUCT(固有振動数!$Q$6:$Q$22*固有振動数!$P$6:$P$22/((1-($A871/固有振動数!$O$6:$O$22)^2)^2+固有振動数!$P$6:$P$22^2))</f>
        <v>-8.21408229723681</v>
      </c>
      <c r="D871" s="71" t="n">
        <f aca="false">SQRT(B871^2+C871^2)</f>
        <v>11.7699352036277</v>
      </c>
      <c r="E871" s="72" t="n">
        <f aca="false">20*LOG10(MAX(D871,0.000000000001)/$K$3)</f>
        <v>21.4154814390532</v>
      </c>
      <c r="F871" s="5"/>
      <c r="G871" s="5"/>
      <c r="H871" s="5"/>
      <c r="I871" s="5"/>
      <c r="J871" s="5"/>
      <c r="K871" s="5"/>
      <c r="L871" s="5"/>
      <c r="M871" s="5"/>
      <c r="N871" s="5"/>
    </row>
    <row r="872" customFormat="false" ht="15" hidden="false" customHeight="false" outlineLevel="0" collapsed="false">
      <c r="A872" s="71" t="n">
        <f aca="false">A871+$F$3</f>
        <v>17320</v>
      </c>
      <c r="B872" s="71" t="n">
        <f aca="false">SUMPRODUCT(固有振動数!$Q$6:$Q$22*(1-($A872/固有振動数!$O$6:$O$22)^2)/((1-($A872/固有振動数!$O$6:$O$22)^2)^2+固有振動数!$P$6:$P$22^2))</f>
        <v>-6.7973758470187</v>
      </c>
      <c r="C872" s="71" t="n">
        <f aca="false">-SUMPRODUCT(固有振動数!$Q$6:$Q$22*固有振動数!$P$6:$P$22/((1-($A872/固有振動数!$O$6:$O$22)^2)^2+固有振動数!$P$6:$P$22^2))</f>
        <v>-7.52297301928442</v>
      </c>
      <c r="D872" s="71" t="n">
        <f aca="false">SQRT(B872^2+C872^2)</f>
        <v>10.1390059401558</v>
      </c>
      <c r="E872" s="72" t="n">
        <f aca="false">20*LOG10(MAX(D872,0.000000000001)/$K$3)</f>
        <v>20.1199075499115</v>
      </c>
      <c r="F872" s="5"/>
      <c r="G872" s="5"/>
      <c r="H872" s="5"/>
      <c r="I872" s="5"/>
      <c r="J872" s="5"/>
      <c r="K872" s="5"/>
      <c r="L872" s="5"/>
      <c r="M872" s="5"/>
      <c r="N872" s="5"/>
    </row>
    <row r="873" customFormat="false" ht="15" hidden="false" customHeight="false" outlineLevel="0" collapsed="false">
      <c r="A873" s="71" t="n">
        <f aca="false">A872+$F$3</f>
        <v>17340</v>
      </c>
      <c r="B873" s="71" t="n">
        <f aca="false">SUMPRODUCT(固有振動数!$Q$6:$Q$22*(1-($A873/固有振動数!$O$6:$O$22)^2)/((1-($A873/固有振動数!$O$6:$O$22)^2)^2+固有振動数!$P$6:$P$22^2))</f>
        <v>-5.27718233594312</v>
      </c>
      <c r="C873" s="71" t="n">
        <f aca="false">-SUMPRODUCT(固有振動数!$Q$6:$Q$22*固有振動数!$P$6:$P$22/((1-($A873/固有振動数!$O$6:$O$22)^2)^2+固有振動数!$P$6:$P$22^2))</f>
        <v>-6.95045067235691</v>
      </c>
      <c r="D873" s="71" t="n">
        <f aca="false">SQRT(B873^2+C873^2)</f>
        <v>8.72682175569415</v>
      </c>
      <c r="E873" s="72" t="n">
        <f aca="false">20*LOG10(MAX(D873,0.000000000001)/$K$3)</f>
        <v>18.817122112874</v>
      </c>
      <c r="F873" s="5"/>
      <c r="G873" s="5"/>
      <c r="H873" s="5"/>
      <c r="I873" s="5"/>
      <c r="J873" s="5"/>
      <c r="K873" s="5"/>
      <c r="L873" s="5"/>
      <c r="M873" s="5"/>
      <c r="N873" s="5"/>
    </row>
    <row r="874" customFormat="false" ht="15" hidden="false" customHeight="false" outlineLevel="0" collapsed="false">
      <c r="A874" s="71" t="n">
        <f aca="false">A873+$F$3</f>
        <v>17360</v>
      </c>
      <c r="B874" s="71" t="n">
        <f aca="false">SUMPRODUCT(固有振動数!$Q$6:$Q$22*(1-($A874/固有振動数!$O$6:$O$22)^2)/((1-($A874/固有振動数!$O$6:$O$22)^2)^2+固有振動数!$P$6:$P$22^2))</f>
        <v>-3.85333419446325</v>
      </c>
      <c r="C874" s="71" t="n">
        <f aca="false">-SUMPRODUCT(固有振動数!$Q$6:$Q$22*固有振動数!$P$6:$P$22/((1-($A874/固有振動数!$O$6:$O$22)^2)^2+固有振動数!$P$6:$P$22^2))</f>
        <v>-6.47510134696693</v>
      </c>
      <c r="D874" s="71" t="n">
        <f aca="false">SQRT(B874^2+C874^2)</f>
        <v>7.53492679909452</v>
      </c>
      <c r="E874" s="72" t="n">
        <f aca="false">20*LOG10(MAX(D874,0.000000000001)/$K$3)</f>
        <v>17.5415807510522</v>
      </c>
      <c r="F874" s="5"/>
      <c r="G874" s="5"/>
      <c r="H874" s="5"/>
      <c r="I874" s="5"/>
      <c r="J874" s="5"/>
      <c r="K874" s="5"/>
      <c r="L874" s="5"/>
      <c r="M874" s="5"/>
      <c r="N874" s="5"/>
    </row>
    <row r="875" customFormat="false" ht="15" hidden="false" customHeight="false" outlineLevel="0" collapsed="false">
      <c r="A875" s="71" t="n">
        <f aca="false">A874+$F$3</f>
        <v>17380</v>
      </c>
      <c r="B875" s="71" t="n">
        <f aca="false">SUMPRODUCT(固有振動数!$Q$6:$Q$22*(1-($A875/固有振動数!$O$6:$O$22)^2)/((1-($A875/固有振動数!$O$6:$O$22)^2)^2+固有振動数!$P$6:$P$22^2))</f>
        <v>-2.51192767421537</v>
      </c>
      <c r="C875" s="71" t="n">
        <f aca="false">-SUMPRODUCT(固有振動数!$Q$6:$Q$22*固有振動数!$P$6:$P$22/((1-($A875/固有振動数!$O$6:$O$22)^2)^2+固有振動数!$P$6:$P$22^2))</f>
        <v>-6.08044181823011</v>
      </c>
      <c r="D875" s="71" t="n">
        <f aca="false">SQRT(B875^2+C875^2)</f>
        <v>6.57887173802397</v>
      </c>
      <c r="E875" s="72" t="n">
        <f aca="false">20*LOG10(MAX(D875,0.000000000001)/$K$3)</f>
        <v>16.3630283891037</v>
      </c>
      <c r="F875" s="5"/>
      <c r="G875" s="5"/>
      <c r="H875" s="5"/>
      <c r="I875" s="5"/>
      <c r="J875" s="5"/>
      <c r="K875" s="5"/>
      <c r="L875" s="5"/>
      <c r="M875" s="5"/>
      <c r="N875" s="5"/>
    </row>
    <row r="876" customFormat="false" ht="15" hidden="false" customHeight="false" outlineLevel="0" collapsed="false">
      <c r="A876" s="71" t="n">
        <f aca="false">A875+$F$3</f>
        <v>17400</v>
      </c>
      <c r="B876" s="71" t="n">
        <f aca="false">SUMPRODUCT(固有振動数!$Q$6:$Q$22*(1-($A876/固有振動数!$O$6:$O$22)^2)/((1-($A876/固有振動数!$O$6:$O$22)^2)^2+固有振動数!$P$6:$P$22^2))</f>
        <v>-1.24072444433282</v>
      </c>
      <c r="C876" s="71" t="n">
        <f aca="false">-SUMPRODUCT(固有振動数!$Q$6:$Q$22*固有振動数!$P$6:$P$22/((1-($A876/固有振動数!$O$6:$O$22)^2)^2+固有振動数!$P$6:$P$22^2))</f>
        <v>-5.75369873843066</v>
      </c>
      <c r="D876" s="71" t="n">
        <f aca="false">SQRT(B876^2+C876^2)</f>
        <v>5.8859533059126</v>
      </c>
      <c r="E876" s="72" t="n">
        <f aca="false">20*LOG10(MAX(D876,0.000000000001)/$K$3)</f>
        <v>15.3963362491729</v>
      </c>
      <c r="F876" s="5"/>
      <c r="G876" s="5"/>
      <c r="H876" s="5"/>
      <c r="I876" s="5"/>
      <c r="J876" s="5"/>
      <c r="K876" s="5"/>
      <c r="L876" s="5"/>
      <c r="M876" s="5"/>
      <c r="N876" s="5"/>
    </row>
    <row r="877" customFormat="false" ht="15" hidden="false" customHeight="false" outlineLevel="0" collapsed="false">
      <c r="A877" s="71" t="n">
        <f aca="false">A876+$F$3</f>
        <v>17420</v>
      </c>
      <c r="B877" s="71" t="n">
        <f aca="false">SUMPRODUCT(固有振動数!$Q$6:$Q$22*(1-($A877/固有振動数!$O$6:$O$22)^2)/((1-($A877/固有振動数!$O$6:$O$22)^2)^2+固有振動数!$P$6:$P$22^2))</f>
        <v>-0.0289078164646878</v>
      </c>
      <c r="C877" s="71" t="n">
        <f aca="false">-SUMPRODUCT(固有振動数!$Q$6:$Q$22*固有振動数!$P$6:$P$22/((1-($A877/固有振動数!$O$6:$O$22)^2)^2+固有振動数!$P$6:$P$22^2))</f>
        <v>-5.48492968120607</v>
      </c>
      <c r="D877" s="71" t="n">
        <f aca="false">SQRT(B877^2+C877^2)</f>
        <v>5.48500585866853</v>
      </c>
      <c r="E877" s="72" t="n">
        <f aca="false">20*LOG10(MAX(D877,0.000000000001)/$K$3)</f>
        <v>14.7835419158301</v>
      </c>
      <c r="F877" s="5"/>
      <c r="G877" s="5"/>
      <c r="H877" s="5"/>
      <c r="I877" s="5"/>
      <c r="J877" s="5"/>
      <c r="K877" s="5"/>
      <c r="L877" s="5"/>
      <c r="M877" s="5"/>
      <c r="N877" s="5"/>
    </row>
    <row r="878" customFormat="false" ht="15" hidden="false" customHeight="false" outlineLevel="0" collapsed="false">
      <c r="A878" s="71" t="n">
        <f aca="false">A877+$F$3</f>
        <v>17440</v>
      </c>
      <c r="B878" s="71" t="n">
        <f aca="false">SUMPRODUCT(固有振動数!$Q$6:$Q$22*(1-($A878/固有振動数!$O$6:$O$22)^2)/((1-($A878/固有振動数!$O$6:$O$22)^2)^2+固有振動数!$P$6:$P$22^2))</f>
        <v>1.13314605056313</v>
      </c>
      <c r="C878" s="71" t="n">
        <f aca="false">-SUMPRODUCT(固有振動数!$Q$6:$Q$22*固有振動数!$P$6:$P$22/((1-($A878/固有振動数!$O$6:$O$22)^2)^2+固有振動数!$P$6:$P$22^2))</f>
        <v>-5.26638489449543</v>
      </c>
      <c r="D878" s="71" t="n">
        <f aca="false">SQRT(B878^2+C878^2)</f>
        <v>5.38691282915144</v>
      </c>
      <c r="E878" s="72" t="n">
        <f aca="false">20*LOG10(MAX(D878,0.000000000001)/$K$3)</f>
        <v>14.6267989572721</v>
      </c>
      <c r="F878" s="5"/>
      <c r="G878" s="5"/>
      <c r="H878" s="5"/>
      <c r="I878" s="5"/>
      <c r="J878" s="5"/>
      <c r="K878" s="5"/>
      <c r="L878" s="5"/>
      <c r="M878" s="5"/>
      <c r="N878" s="5"/>
    </row>
    <row r="879" customFormat="false" ht="15" hidden="false" customHeight="false" outlineLevel="0" collapsed="false">
      <c r="A879" s="71" t="n">
        <f aca="false">A878+$F$3</f>
        <v>17460</v>
      </c>
      <c r="B879" s="71" t="n">
        <f aca="false">SUMPRODUCT(固有振動数!$Q$6:$Q$22*(1-($A879/固有振動数!$O$6:$O$22)^2)/((1-($A879/固有振動数!$O$6:$O$22)^2)^2+固有振動数!$P$6:$P$22^2))</f>
        <v>2.2540747470249</v>
      </c>
      <c r="C879" s="71" t="n">
        <f aca="false">-SUMPRODUCT(固有振動数!$Q$6:$Q$22*固有振動数!$P$6:$P$22/((1-($A879/固有振動数!$O$6:$O$22)^2)^2+固有振動数!$P$6:$P$22^2))</f>
        <v>-5.09204080362502</v>
      </c>
      <c r="D879" s="71" t="n">
        <f aca="false">SQRT(B879^2+C879^2)</f>
        <v>5.56863829952687</v>
      </c>
      <c r="E879" s="72" t="n">
        <f aca="false">20*LOG10(MAX(D879,0.000000000001)/$K$3)</f>
        <v>14.9149802004203</v>
      </c>
      <c r="F879" s="5"/>
      <c r="G879" s="5"/>
      <c r="H879" s="5"/>
      <c r="I879" s="5"/>
      <c r="J879" s="5"/>
      <c r="K879" s="5"/>
      <c r="L879" s="5"/>
      <c r="M879" s="5"/>
      <c r="N879" s="5"/>
    </row>
    <row r="880" customFormat="false" ht="15" hidden="false" customHeight="false" outlineLevel="0" collapsed="false">
      <c r="A880" s="71" t="n">
        <f aca="false">A879+$F$3</f>
        <v>17480</v>
      </c>
      <c r="B880" s="71" t="n">
        <f aca="false">SUMPRODUCT(固有振動数!$Q$6:$Q$22*(1-($A880/固有振動数!$O$6:$O$22)^2)/((1-($A880/固有振動数!$O$6:$O$22)^2)^2+固有振動数!$P$6:$P$22^2))</f>
        <v>3.34171299117436</v>
      </c>
      <c r="C880" s="71" t="n">
        <f aca="false">-SUMPRODUCT(固有振動数!$Q$6:$Q$22*固有振動数!$P$6:$P$22/((1-($A880/固有振動数!$O$6:$O$22)^2)^2+固有振動数!$P$6:$P$22^2))</f>
        <v>-4.95725789363334</v>
      </c>
      <c r="D880" s="71" t="n">
        <f aca="false">SQRT(B880^2+C880^2)</f>
        <v>5.97841547062209</v>
      </c>
      <c r="E880" s="72" t="n">
        <f aca="false">20*LOG10(MAX(D880,0.000000000001)/$K$3)</f>
        <v>15.5317218618695</v>
      </c>
      <c r="F880" s="5"/>
      <c r="G880" s="5"/>
      <c r="H880" s="5"/>
      <c r="I880" s="5"/>
      <c r="J880" s="5"/>
      <c r="K880" s="5"/>
      <c r="L880" s="5"/>
      <c r="M880" s="5"/>
      <c r="N880" s="5"/>
    </row>
    <row r="881" customFormat="false" ht="15" hidden="false" customHeight="false" outlineLevel="0" collapsed="false">
      <c r="A881" s="71" t="n">
        <f aca="false">A880+$F$3</f>
        <v>17500</v>
      </c>
      <c r="B881" s="71" t="n">
        <f aca="false">SUMPRODUCT(固有振動数!$Q$6:$Q$22*(1-($A881/固有振動数!$O$6:$O$22)^2)/((1-($A881/固有振動数!$O$6:$O$22)^2)^2+固有振動数!$P$6:$P$22^2))</f>
        <v>4.40325466854824</v>
      </c>
      <c r="C881" s="71" t="n">
        <f aca="false">-SUMPRODUCT(固有振動数!$Q$6:$Q$22*固有振動数!$P$6:$P$22/((1-($A881/固有振動数!$O$6:$O$22)^2)^2+固有振動数!$P$6:$P$22^2))</f>
        <v>-4.85853022795039</v>
      </c>
      <c r="D881" s="71" t="n">
        <f aca="false">SQRT(B881^2+C881^2)</f>
        <v>6.55697854594626</v>
      </c>
      <c r="E881" s="72" t="n">
        <f aca="false">20*LOG10(MAX(D881,0.000000000001)/$K$3)</f>
        <v>16.3340752536494</v>
      </c>
      <c r="F881" s="5"/>
      <c r="G881" s="5"/>
      <c r="H881" s="5"/>
      <c r="I881" s="5"/>
      <c r="J881" s="5"/>
      <c r="K881" s="5"/>
      <c r="L881" s="5"/>
      <c r="M881" s="5"/>
      <c r="N881" s="5"/>
    </row>
    <row r="882" customFormat="false" ht="15" hidden="false" customHeight="false" outlineLevel="0" collapsed="false">
      <c r="A882" s="71" t="n">
        <f aca="false">A881+$F$3</f>
        <v>17520</v>
      </c>
      <c r="B882" s="71" t="n">
        <f aca="false">SUMPRODUCT(固有振動数!$Q$6:$Q$22*(1-($A882/固有振動数!$O$6:$O$22)^2)/((1-($A882/固有振動数!$O$6:$O$22)^2)^2+固有振動数!$P$6:$P$22^2))</f>
        <v>5.44539662539387</v>
      </c>
      <c r="C882" s="71" t="n">
        <f aca="false">-SUMPRODUCT(固有振動数!$Q$6:$Q$22*固有振動数!$P$6:$P$22/((1-($A882/固有振動数!$O$6:$O$22)^2)^2+固有振動数!$P$6:$P$22^2))</f>
        <v>-4.79330390625438</v>
      </c>
      <c r="D882" s="71" t="n">
        <f aca="false">SQRT(B882^2+C882^2)</f>
        <v>7.25452319215842</v>
      </c>
      <c r="E882" s="72" t="n">
        <f aca="false">20*LOG10(MAX(D882,0.000000000001)/$K$3)</f>
        <v>17.2121774689846</v>
      </c>
      <c r="F882" s="5"/>
      <c r="G882" s="5"/>
      <c r="H882" s="5"/>
      <c r="I882" s="5"/>
      <c r="J882" s="5"/>
      <c r="K882" s="5"/>
      <c r="L882" s="5"/>
      <c r="M882" s="5"/>
      <c r="N882" s="5"/>
    </row>
    <row r="883" customFormat="false" ht="15" hidden="false" customHeight="false" outlineLevel="0" collapsed="false">
      <c r="A883" s="71" t="n">
        <f aca="false">A882+$F$3</f>
        <v>17540</v>
      </c>
      <c r="B883" s="71" t="n">
        <f aca="false">SUMPRODUCT(固有振動数!$Q$6:$Q$22*(1-($A883/固有振動数!$O$6:$O$22)^2)/((1-($A883/固有振動数!$O$6:$O$22)^2)^2+固有振動数!$P$6:$P$22^2))</f>
        <v>6.47446769783057</v>
      </c>
      <c r="C883" s="71" t="n">
        <f aca="false">-SUMPRODUCT(固有振動数!$Q$6:$Q$22*固有振動数!$P$6:$P$22/((1-($A883/固有振動数!$O$6:$O$22)^2)^2+固有振動数!$P$6:$P$22^2))</f>
        <v>-4.75984878549766</v>
      </c>
      <c r="D883" s="71" t="n">
        <f aca="false">SQRT(B883^2+C883^2)</f>
        <v>8.03585044852473</v>
      </c>
      <c r="E883" s="72" t="n">
        <f aca="false">20*LOG10(MAX(D883,0.000000000001)/$K$3)</f>
        <v>18.1006369139761</v>
      </c>
      <c r="F883" s="5"/>
      <c r="G883" s="5"/>
      <c r="H883" s="5"/>
      <c r="I883" s="5"/>
      <c r="J883" s="5"/>
      <c r="K883" s="5"/>
      <c r="L883" s="5"/>
      <c r="M883" s="5"/>
      <c r="N883" s="5"/>
    </row>
    <row r="884" customFormat="false" ht="15" hidden="false" customHeight="false" outlineLevel="0" collapsed="false">
      <c r="A884" s="71" t="n">
        <f aca="false">A883+$F$3</f>
        <v>17560</v>
      </c>
      <c r="B884" s="71" t="n">
        <f aca="false">SUMPRODUCT(固有振動数!$Q$6:$Q$22*(1-($A884/固有振動数!$O$6:$O$22)^2)/((1-($A884/固有振動数!$O$6:$O$22)^2)^2+固有振動数!$P$6:$P$22^2))</f>
        <v>7.49654646490046</v>
      </c>
      <c r="C884" s="71" t="n">
        <f aca="false">-SUMPRODUCT(固有振動数!$Q$6:$Q$22*固有振動数!$P$6:$P$22/((1-($A884/固有振動数!$O$6:$O$22)^2)^2+固有振動数!$P$6:$P$22^2))</f>
        <v>-4.75717281517235</v>
      </c>
      <c r="D884" s="71" t="n">
        <f aca="false">SQRT(B884^2+C884^2)</f>
        <v>8.8785641910067</v>
      </c>
      <c r="E884" s="72" t="n">
        <f aca="false">20*LOG10(MAX(D884,0.000000000001)/$K$3)</f>
        <v>18.9668547787694</v>
      </c>
      <c r="F884" s="5"/>
      <c r="G884" s="5"/>
      <c r="H884" s="5"/>
      <c r="I884" s="5"/>
      <c r="J884" s="5"/>
      <c r="K884" s="5"/>
      <c r="L884" s="5"/>
      <c r="M884" s="5"/>
      <c r="N884" s="5"/>
    </row>
    <row r="885" customFormat="false" ht="15" hidden="false" customHeight="false" outlineLevel="0" collapsed="false">
      <c r="A885" s="71" t="n">
        <f aca="false">A884+$F$3</f>
        <v>17580</v>
      </c>
      <c r="B885" s="71" t="n">
        <f aca="false">SUMPRODUCT(固有振動数!$Q$6:$Q$22*(1-($A885/固有振動数!$O$6:$O$22)^2)/((1-($A885/固有振動数!$O$6:$O$22)^2)^2+固有振動数!$P$6:$P$22^2))</f>
        <v>8.51757107074733</v>
      </c>
      <c r="C885" s="71" t="n">
        <f aca="false">-SUMPRODUCT(固有振動数!$Q$6:$Q$22*固有振動数!$P$6:$P$22/((1-($A885/固有振動数!$O$6:$O$22)^2)^2+固有振動数!$P$6:$P$22^2))</f>
        <v>-4.78497206456329</v>
      </c>
      <c r="D885" s="71" t="n">
        <f aca="false">SQRT(B885^2+C885^2)</f>
        <v>9.76959439300746</v>
      </c>
      <c r="E885" s="72" t="n">
        <f aca="false">20*LOG10(MAX(D885,0.000000000001)/$K$3)</f>
        <v>19.7975306673431</v>
      </c>
      <c r="F885" s="5"/>
      <c r="G885" s="5"/>
      <c r="H885" s="5"/>
      <c r="I885" s="5"/>
      <c r="J885" s="5"/>
      <c r="K885" s="5"/>
      <c r="L885" s="5"/>
      <c r="M885" s="5"/>
      <c r="N885" s="5"/>
    </row>
    <row r="886" customFormat="false" ht="15" hidden="false" customHeight="false" outlineLevel="0" collapsed="false">
      <c r="A886" s="71" t="n">
        <f aca="false">A885+$F$3</f>
        <v>17600</v>
      </c>
      <c r="B886" s="71" t="n">
        <f aca="false">SUMPRODUCT(固有振動数!$Q$6:$Q$22*(1-($A886/固有振動数!$O$6:$O$22)^2)/((1-($A886/固有振動数!$O$6:$O$22)^2)^2+固有振動数!$P$6:$P$22^2))</f>
        <v>9.54344428595752</v>
      </c>
      <c r="C886" s="71" t="n">
        <f aca="false">-SUMPRODUCT(固有振動数!$Q$6:$Q$22*固有振動数!$P$6:$P$22/((1-($A886/固有振動数!$O$6:$O$22)^2)^2+固有振動数!$P$6:$P$22^2))</f>
        <v>-4.84361242716824</v>
      </c>
      <c r="D886" s="71" t="n">
        <f aca="false">SQRT(B886^2+C886^2)</f>
        <v>10.7022385594694</v>
      </c>
      <c r="E886" s="72" t="n">
        <f aca="false">20*LOG10(MAX(D886,0.000000000001)/$K$3)</f>
        <v>20.5894925487364</v>
      </c>
      <c r="F886" s="5"/>
      <c r="G886" s="5"/>
      <c r="H886" s="5"/>
      <c r="I886" s="5"/>
      <c r="J886" s="5"/>
      <c r="K886" s="5"/>
      <c r="L886" s="5"/>
      <c r="M886" s="5"/>
      <c r="N886" s="5"/>
    </row>
    <row r="887" customFormat="false" ht="15" hidden="false" customHeight="false" outlineLevel="0" collapsed="false">
      <c r="A887" s="71" t="n">
        <f aca="false">A886+$F$3</f>
        <v>17620</v>
      </c>
      <c r="B887" s="71" t="n">
        <f aca="false">SUMPRODUCT(固有振動数!$Q$6:$Q$22*(1-($A887/固有振動数!$O$6:$O$22)^2)/((1-($A887/固有振動数!$O$6:$O$22)^2)^2+固有振動数!$P$6:$P$22^2))</f>
        <v>10.5801368252779</v>
      </c>
      <c r="C887" s="71" t="n">
        <f aca="false">-SUMPRODUCT(固有振動数!$Q$6:$Q$22*固有振動数!$P$6:$P$22/((1-($A887/固有振動数!$O$6:$O$22)^2)^2+固有振動数!$P$6:$P$22^2))</f>
        <v>-4.93414142661409</v>
      </c>
      <c r="D887" s="71" t="n">
        <f aca="false">SQRT(B887^2+C887^2)</f>
        <v>11.6741186759186</v>
      </c>
      <c r="E887" s="72" t="n">
        <f aca="false">20*LOG10(MAX(D887,0.000000000001)/$K$3)</f>
        <v>21.3444820783257</v>
      </c>
      <c r="F887" s="5"/>
      <c r="G887" s="5"/>
      <c r="H887" s="5"/>
      <c r="I887" s="5"/>
      <c r="J887" s="5"/>
      <c r="K887" s="5"/>
      <c r="L887" s="5"/>
      <c r="M887" s="5"/>
      <c r="N887" s="5"/>
    </row>
    <row r="888" customFormat="false" ht="15" hidden="false" customHeight="false" outlineLevel="0" collapsed="false">
      <c r="A888" s="71" t="n">
        <f aca="false">A887+$F$3</f>
        <v>17640</v>
      </c>
      <c r="B888" s="71" t="n">
        <f aca="false">SUMPRODUCT(固有振動数!$Q$6:$Q$22*(1-($A888/固有振動数!$O$6:$O$22)^2)/((1-($A888/固有振動数!$O$6:$O$22)^2)^2+固有振動数!$P$6:$P$22^2))</f>
        <v>11.633791826855</v>
      </c>
      <c r="C888" s="71" t="n">
        <f aca="false">-SUMPRODUCT(固有振動数!$Q$6:$Q$22*固有振動数!$P$6:$P$22/((1-($A888/固有振動数!$O$6:$O$22)^2)^2+固有振動数!$P$6:$P$22^2))</f>
        <v>-5.05833079694194</v>
      </c>
      <c r="D888" s="71" t="n">
        <f aca="false">SQRT(B888^2+C888^2)</f>
        <v>12.6858906948582</v>
      </c>
      <c r="E888" s="72" t="n">
        <f aca="false">20*LOG10(MAX(D888,0.000000000001)/$K$3)</f>
        <v>22.0664193015246</v>
      </c>
      <c r="F888" s="5"/>
      <c r="G888" s="5"/>
      <c r="H888" s="5"/>
      <c r="I888" s="5"/>
      <c r="J888" s="5"/>
      <c r="K888" s="5"/>
      <c r="L888" s="5"/>
      <c r="M888" s="5"/>
      <c r="N888" s="5"/>
    </row>
    <row r="889" customFormat="false" ht="15" hidden="false" customHeight="false" outlineLevel="0" collapsed="false">
      <c r="A889" s="71" t="n">
        <f aca="false">A888+$F$3</f>
        <v>17660</v>
      </c>
      <c r="B889" s="71" t="n">
        <f aca="false">SUMPRODUCT(固有振動数!$Q$6:$Q$22*(1-($A889/固有振動数!$O$6:$O$22)^2)/((1-($A889/固有振動数!$O$6:$O$22)^2)^2+固有振動数!$P$6:$P$22^2))</f>
        <v>12.7108333199199</v>
      </c>
      <c r="C889" s="71" t="n">
        <f aca="false">-SUMPRODUCT(固有振動数!$Q$6:$Q$22*固有振動数!$P$6:$P$22/((1-($A889/固有振動数!$O$6:$O$22)^2)^2+固有振動数!$P$6:$P$22^2))</f>
        <v>-5.21875281514706</v>
      </c>
      <c r="D889" s="71" t="n">
        <f aca="false">SQRT(B889^2+C889^2)</f>
        <v>13.740475415079</v>
      </c>
      <c r="E889" s="72" t="n">
        <f aca="false">20*LOG10(MAX(D889,0.000000000001)/$K$3)</f>
        <v>22.7600351880565</v>
      </c>
      <c r="F889" s="5"/>
      <c r="G889" s="5"/>
      <c r="H889" s="5"/>
      <c r="I889" s="5"/>
      <c r="J889" s="5"/>
      <c r="K889" s="5"/>
      <c r="L889" s="5"/>
      <c r="M889" s="5"/>
      <c r="N889" s="5"/>
    </row>
    <row r="890" customFormat="false" ht="15" hidden="false" customHeight="false" outlineLevel="0" collapsed="false">
      <c r="A890" s="71" t="n">
        <f aca="false">A889+$F$3</f>
        <v>17680</v>
      </c>
      <c r="B890" s="71" t="n">
        <f aca="false">SUMPRODUCT(固有振動数!$Q$6:$Q$22*(1-($A890/固有振動数!$O$6:$O$22)^2)/((1-($A890/固有振動数!$O$6:$O$22)^2)^2+固有振動数!$P$6:$P$22^2))</f>
        <v>13.8180814317278</v>
      </c>
      <c r="C890" s="71" t="n">
        <f aca="false">-SUMPRODUCT(固有振動数!$Q$6:$Q$22*固有振動数!$P$6:$P$22/((1-($A890/固有振動数!$O$6:$O$22)^2)^2+固有振動数!$P$6:$P$22^2))</f>
        <v>-5.41889597836107</v>
      </c>
      <c r="D890" s="71" t="n">
        <f aca="false">SQRT(B890^2+C890^2)</f>
        <v>14.8426348091624</v>
      </c>
      <c r="E890" s="72" t="n">
        <f aca="false">20*LOG10(MAX(D890,0.000000000001)/$K$3)</f>
        <v>23.4302200424581</v>
      </c>
      <c r="F890" s="5"/>
      <c r="G890" s="5"/>
      <c r="H890" s="5"/>
      <c r="I890" s="5"/>
      <c r="J890" s="5"/>
      <c r="K890" s="5"/>
      <c r="L890" s="5"/>
      <c r="M890" s="5"/>
      <c r="N890" s="5"/>
    </row>
    <row r="891" customFormat="false" ht="15" hidden="false" customHeight="false" outlineLevel="0" collapsed="false">
      <c r="A891" s="71" t="n">
        <f aca="false">A890+$F$3</f>
        <v>17700</v>
      </c>
      <c r="B891" s="71" t="n">
        <f aca="false">SUMPRODUCT(固有振動数!$Q$6:$Q$22*(1-($A891/固有振動数!$O$6:$O$22)^2)/((1-($A891/固有振動数!$O$6:$O$22)^2)^2+固有振動数!$P$6:$P$22^2))</f>
        <v>14.9628769446297</v>
      </c>
      <c r="C891" s="71" t="n">
        <f aca="false">-SUMPRODUCT(固有振動数!$Q$6:$Q$22*固有振動数!$P$6:$P$22/((1-($A891/固有振動数!$O$6:$O$22)^2)^2+固有振動数!$P$6:$P$22^2))</f>
        <v>-5.66332883812361</v>
      </c>
      <c r="D891" s="71" t="n">
        <f aca="false">SQRT(B891^2+C891^2)</f>
        <v>15.9987805781832</v>
      </c>
      <c r="E891" s="72" t="n">
        <f aca="false">20*LOG10(MAX(D891,0.000000000001)/$K$3)</f>
        <v>24.0817376426833</v>
      </c>
      <c r="F891" s="5"/>
      <c r="G891" s="5"/>
      <c r="H891" s="5"/>
      <c r="I891" s="5"/>
      <c r="J891" s="5"/>
      <c r="K891" s="5"/>
      <c r="L891" s="5"/>
      <c r="M891" s="5"/>
      <c r="N891" s="5"/>
    </row>
    <row r="892" customFormat="false" ht="15" hidden="false" customHeight="false" outlineLevel="0" collapsed="false">
      <c r="A892" s="71" t="n">
        <f aca="false">A891+$F$3</f>
        <v>17720</v>
      </c>
      <c r="B892" s="71" t="n">
        <f aca="false">SUMPRODUCT(固有振動数!$Q$6:$Q$22*(1-($A892/固有振動数!$O$6:$O$22)^2)/((1-($A892/固有振動数!$O$6:$O$22)^2)^2+固有振動数!$P$6:$P$22^2))</f>
        <v>16.1532174878199</v>
      </c>
      <c r="C892" s="71" t="n">
        <f aca="false">-SUMPRODUCT(固有振動数!$Q$6:$Q$22*固有振動数!$P$6:$P$22/((1-($A892/固有振動数!$O$6:$O$22)^2)^2+固有振動数!$P$6:$P$22^2))</f>
        <v>-5.95792501326275</v>
      </c>
      <c r="D892" s="71" t="n">
        <f aca="false">SQRT(B892^2+C892^2)</f>
        <v>17.2169482101931</v>
      </c>
      <c r="E892" s="72" t="n">
        <f aca="false">20*LOG10(MAX(D892,0.000000000001)/$K$3)</f>
        <v>24.7191234615968</v>
      </c>
      <c r="F892" s="5"/>
      <c r="G892" s="5"/>
      <c r="H892" s="5"/>
      <c r="I892" s="5"/>
      <c r="J892" s="5"/>
      <c r="K892" s="5"/>
      <c r="L892" s="5"/>
      <c r="M892" s="5"/>
      <c r="N892" s="5"/>
    </row>
    <row r="893" customFormat="false" ht="15" hidden="false" customHeight="false" outlineLevel="0" collapsed="false">
      <c r="A893" s="71" t="n">
        <f aca="false">A892+$F$3</f>
        <v>17740</v>
      </c>
      <c r="B893" s="71" t="n">
        <f aca="false">SUMPRODUCT(固有振動数!$Q$6:$Q$22*(1-($A893/固有振動数!$O$6:$O$22)^2)/((1-($A893/固有振動数!$O$6:$O$22)^2)^2+固有振動数!$P$6:$P$22^2))</f>
        <v>17.3979069130039</v>
      </c>
      <c r="C893" s="71" t="n">
        <f aca="false">-SUMPRODUCT(固有振動数!$Q$6:$Q$22*固有振動数!$P$6:$P$22/((1-($A893/固有振動数!$O$6:$O$22)^2)^2+固有振動数!$P$6:$P$22^2))</f>
        <v>-6.3101681311438</v>
      </c>
      <c r="D893" s="71" t="n">
        <f aca="false">SQRT(B893^2+C893^2)</f>
        <v>18.5069010587092</v>
      </c>
      <c r="E893" s="72" t="n">
        <f aca="false">20*LOG10(MAX(D893,0.000000000001)/$K$3)</f>
        <v>25.3466740630363</v>
      </c>
      <c r="F893" s="5"/>
      <c r="G893" s="5"/>
      <c r="H893" s="5"/>
      <c r="I893" s="5"/>
      <c r="J893" s="5"/>
      <c r="K893" s="5"/>
      <c r="L893" s="5"/>
      <c r="M893" s="5"/>
      <c r="N893" s="5"/>
    </row>
    <row r="894" customFormat="false" ht="15" hidden="false" customHeight="false" outlineLevel="0" collapsed="false">
      <c r="A894" s="71" t="n">
        <f aca="false">A893+$F$3</f>
        <v>17760</v>
      </c>
      <c r="B894" s="71" t="n">
        <f aca="false">SUMPRODUCT(固有振動数!$Q$6:$Q$22*(1-($A894/固有振動数!$O$6:$O$22)^2)/((1-($A894/固有振動数!$O$6:$O$22)^2)^2+固有振動数!$P$6:$P$22^2))</f>
        <v>18.7067178561866</v>
      </c>
      <c r="C894" s="71" t="n">
        <f aca="false">-SUMPRODUCT(固有振動数!$Q$6:$Q$22*固有振動数!$P$6:$P$22/((1-($A894/固有振動数!$O$6:$O$22)^2)^2+固有振動数!$P$6:$P$22^2))</f>
        <v>-6.72956345594497</v>
      </c>
      <c r="D894" s="71" t="n">
        <f aca="false">SQRT(B894^2+C894^2)</f>
        <v>19.8803500285725</v>
      </c>
      <c r="E894" s="72" t="n">
        <f aca="false">20*LOG10(MAX(D894,0.000000000001)/$K$3)</f>
        <v>25.9684805329555</v>
      </c>
      <c r="F894" s="5"/>
      <c r="G894" s="5"/>
      <c r="H894" s="5"/>
      <c r="I894" s="5"/>
      <c r="J894" s="5"/>
      <c r="K894" s="5"/>
      <c r="L894" s="5"/>
      <c r="M894" s="5"/>
      <c r="N894" s="5"/>
    </row>
    <row r="895" customFormat="false" ht="15" hidden="false" customHeight="false" outlineLevel="0" collapsed="false">
      <c r="A895" s="71" t="n">
        <f aca="false">A894+$F$3</f>
        <v>17780</v>
      </c>
      <c r="B895" s="71" t="n">
        <f aca="false">SUMPRODUCT(固有振動数!$Q$6:$Q$22*(1-($A895/固有振動数!$O$6:$O$22)^2)/((1-($A895/固有振動数!$O$6:$O$22)^2)^2+固有振動数!$P$6:$P$22^2))</f>
        <v>20.0905643981074</v>
      </c>
      <c r="C895" s="71" t="n">
        <f aca="false">-SUMPRODUCT(固有振動数!$Q$6:$Q$22*固有振動数!$P$6:$P$22/((1-($A895/固有振動数!$O$6:$O$22)^2)^2+固有振動数!$P$6:$P$22^2))</f>
        <v>-7.22819436868716</v>
      </c>
      <c r="D895" s="71" t="n">
        <f aca="false">SQRT(B895^2+C895^2)</f>
        <v>21.3512896956137</v>
      </c>
      <c r="E895" s="72" t="n">
        <f aca="false">20*LOG10(MAX(D895,0.000000000001)/$K$3)</f>
        <v>26.5884822624169</v>
      </c>
      <c r="F895" s="5"/>
      <c r="G895" s="5"/>
      <c r="H895" s="5"/>
      <c r="I895" s="5"/>
      <c r="J895" s="5"/>
      <c r="K895" s="5"/>
      <c r="L895" s="5"/>
      <c r="M895" s="5"/>
      <c r="N895" s="5"/>
    </row>
    <row r="896" customFormat="false" ht="15" hidden="false" customHeight="false" outlineLevel="0" collapsed="false">
      <c r="A896" s="71" t="n">
        <f aca="false">A895+$F$3</f>
        <v>17800</v>
      </c>
      <c r="B896" s="71" t="n">
        <f aca="false">SUMPRODUCT(固有振動数!$Q$6:$Q$22*(1-($A896/固有振動数!$O$6:$O$22)^2)/((1-($A896/固有振動数!$O$6:$O$22)^2)^2+固有振動数!$P$6:$P$22^2))</f>
        <v>21.5616757704047</v>
      </c>
      <c r="C896" s="71" t="n">
        <f aca="false">-SUMPRODUCT(固有振動数!$Q$6:$Q$22*固有振動数!$P$6:$P$22/((1-($A896/固有振動数!$O$6:$O$22)^2)^2+固有振動数!$P$6:$P$22^2))</f>
        <v>-7.82147831901723</v>
      </c>
      <c r="D896" s="71" t="n">
        <f aca="false">SQRT(B896^2+C896^2)</f>
        <v>22.9364640937289</v>
      </c>
      <c r="E896" s="72" t="n">
        <f aca="false">20*LOG10(MAX(D896,0.000000000001)/$K$3)</f>
        <v>27.2105293498206</v>
      </c>
      <c r="F896" s="5"/>
      <c r="G896" s="5"/>
      <c r="H896" s="5"/>
      <c r="I896" s="5"/>
      <c r="J896" s="5"/>
      <c r="K896" s="5"/>
      <c r="L896" s="5"/>
      <c r="M896" s="5"/>
      <c r="N896" s="5"/>
    </row>
    <row r="897" customFormat="false" ht="15" hidden="false" customHeight="false" outlineLevel="0" collapsed="false">
      <c r="A897" s="71" t="n">
        <f aca="false">A896+$F$3</f>
        <v>17820</v>
      </c>
      <c r="B897" s="71" t="n">
        <f aca="false">SUMPRODUCT(固有振動数!$Q$6:$Q$22*(1-($A897/固有振動数!$O$6:$O$22)^2)/((1-($A897/固有振動数!$O$6:$O$22)^2)^2+固有振動数!$P$6:$P$22^2))</f>
        <v>23.1337507644378</v>
      </c>
      <c r="C897" s="71" t="n">
        <f aca="false">-SUMPRODUCT(固有振動数!$Q$6:$Q$22*固有振動数!$P$6:$P$22/((1-($A897/固有振動数!$O$6:$O$22)^2)^2+固有振動数!$P$6:$P$22^2))</f>
        <v>-8.52920081632032</v>
      </c>
      <c r="D897" s="71" t="n">
        <f aca="false">SQRT(B897^2+C897^2)</f>
        <v>24.6559869199399</v>
      </c>
      <c r="E897" s="72" t="n">
        <f aca="false">20*LOG10(MAX(D897,0.000000000001)/$K$3)</f>
        <v>27.8384478196028</v>
      </c>
      <c r="F897" s="5"/>
      <c r="G897" s="5"/>
      <c r="H897" s="5"/>
      <c r="I897" s="5"/>
      <c r="J897" s="5"/>
      <c r="K897" s="5"/>
      <c r="L897" s="5"/>
      <c r="M897" s="5"/>
      <c r="N897" s="5"/>
    </row>
    <row r="898" customFormat="false" ht="15" hidden="false" customHeight="false" outlineLevel="0" collapsed="false">
      <c r="A898" s="71" t="n">
        <f aca="false">A897+$F$3</f>
        <v>17840</v>
      </c>
      <c r="B898" s="71" t="n">
        <f aca="false">SUMPRODUCT(固有振動数!$Q$6:$Q$22*(1-($A898/固有振動数!$O$6:$O$22)^2)/((1-($A898/固有振動数!$O$6:$O$22)^2)^2+固有振動数!$P$6:$P$22^2))</f>
        <v>24.8220513474637</v>
      </c>
      <c r="C898" s="71" t="n">
        <f aca="false">-SUMPRODUCT(固有振動数!$Q$6:$Q$22*固有振動数!$P$6:$P$22/((1-($A898/固有振動数!$O$6:$O$22)^2)^2+固有振動数!$P$6:$P$22^2))</f>
        <v>-9.37694103667427</v>
      </c>
      <c r="D898" s="71" t="n">
        <f aca="false">SQRT(B898^2+C898^2)</f>
        <v>26.5341526395962</v>
      </c>
      <c r="E898" s="72" t="n">
        <f aca="false">20*LOG10(MAX(D898,0.000000000001)/$K$3)</f>
        <v>28.4761044623919</v>
      </c>
      <c r="F898" s="5"/>
      <c r="G898" s="5"/>
      <c r="H898" s="5"/>
      <c r="I898" s="5"/>
      <c r="J898" s="5"/>
      <c r="K898" s="5"/>
      <c r="L898" s="5"/>
      <c r="M898" s="5"/>
      <c r="N898" s="5"/>
    </row>
    <row r="899" customFormat="false" ht="15" hidden="false" customHeight="false" outlineLevel="0" collapsed="false">
      <c r="A899" s="71" t="n">
        <f aca="false">A898+$F$3</f>
        <v>17860</v>
      </c>
      <c r="B899" s="71" t="n">
        <f aca="false">SUMPRODUCT(固有振動数!$Q$6:$Q$22*(1-($A899/固有振動数!$O$6:$O$22)^2)/((1-($A899/固有振動数!$O$6:$O$22)^2)^2+固有振動数!$P$6:$P$22^2))</f>
        <v>26.6433544892833</v>
      </c>
      <c r="C899" s="71" t="n">
        <f aca="false">-SUMPRODUCT(固有振動数!$Q$6:$Q$22*固有振動数!$P$6:$P$22/((1-($A899/固有振動数!$O$6:$O$22)^2)^2+固有振動数!$P$6:$P$22^2))</f>
        <v>-10.3980537436125</v>
      </c>
      <c r="D899" s="71" t="n">
        <f aca="false">SQRT(B899^2+C899^2)</f>
        <v>28.6004870604797</v>
      </c>
      <c r="E899" s="72" t="n">
        <f aca="false">20*LOG10(MAX(D899,0.000000000001)/$K$3)</f>
        <v>29.1274685827749</v>
      </c>
      <c r="F899" s="5"/>
      <c r="G899" s="5"/>
      <c r="H899" s="5"/>
      <c r="I899" s="5"/>
      <c r="J899" s="5"/>
      <c r="K899" s="5"/>
      <c r="L899" s="5"/>
      <c r="M899" s="5"/>
      <c r="N899" s="5"/>
    </row>
    <row r="900" customFormat="false" ht="15" hidden="false" customHeight="false" outlineLevel="0" collapsed="false">
      <c r="A900" s="71" t="n">
        <f aca="false">A899+$F$3</f>
        <v>17880</v>
      </c>
      <c r="B900" s="71" t="n">
        <f aca="false">SUMPRODUCT(固有振動数!$Q$6:$Q$22*(1-($A900/固有振動数!$O$6:$O$22)^2)/((1-($A900/固有振動数!$O$6:$O$22)^2)^2+固有振動数!$P$6:$P$22^2))</f>
        <v>28.6156073203168</v>
      </c>
      <c r="C900" s="71" t="n">
        <f aca="false">-SUMPRODUCT(固有振動数!$Q$6:$Q$22*固有振動数!$P$6:$P$22/((1-($A900/固有振動数!$O$6:$O$22)^2)^2+固有振動数!$P$6:$P$22^2))</f>
        <v>-11.6364461010046</v>
      </c>
      <c r="D900" s="71" t="n">
        <f aca="false">SQRT(B900^2+C900^2)</f>
        <v>30.8910967783948</v>
      </c>
      <c r="E900" s="72" t="n">
        <f aca="false">20*LOG10(MAX(D900,0.000000000001)/$K$3)</f>
        <v>29.7966665612046</v>
      </c>
      <c r="F900" s="5"/>
      <c r="G900" s="5"/>
      <c r="H900" s="5"/>
      <c r="I900" s="5"/>
      <c r="J900" s="5"/>
      <c r="K900" s="5"/>
      <c r="L900" s="5"/>
      <c r="M900" s="5"/>
      <c r="N900" s="5"/>
    </row>
    <row r="901" customFormat="false" ht="15" hidden="false" customHeight="false" outlineLevel="0" collapsed="false">
      <c r="A901" s="71" t="n">
        <f aca="false">A900+$F$3</f>
        <v>17900</v>
      </c>
      <c r="B901" s="71" t="n">
        <f aca="false">SUMPRODUCT(固有振動数!$Q$6:$Q$22*(1-($A901/固有振動数!$O$6:$O$22)^2)/((1-($A901/固有振動数!$O$6:$O$22)^2)^2+固有振動数!$P$6:$P$22^2))</f>
        <v>30.7569919347284</v>
      </c>
      <c r="C901" s="71" t="n">
        <f aca="false">-SUMPRODUCT(固有振動数!$Q$6:$Q$22*固有振動数!$P$6:$P$22/((1-($A901/固有振動数!$O$6:$O$22)^2)^2+固有振動数!$P$6:$P$22^2))</f>
        <v>-13.1504918271305</v>
      </c>
      <c r="D901" s="71" t="n">
        <f aca="false">SQRT(B901^2+C901^2)</f>
        <v>33.4503809868942</v>
      </c>
      <c r="E901" s="72" t="n">
        <f aca="false">20*LOG10(MAX(D901,0.000000000001)/$K$3)</f>
        <v>30.4880213715618</v>
      </c>
      <c r="F901" s="5"/>
      <c r="G901" s="5"/>
      <c r="H901" s="5"/>
      <c r="I901" s="5"/>
      <c r="J901" s="5"/>
      <c r="K901" s="5"/>
      <c r="L901" s="5"/>
      <c r="M901" s="5"/>
      <c r="N901" s="5"/>
    </row>
    <row r="902" customFormat="false" ht="15" hidden="false" customHeight="false" outlineLevel="0" collapsed="false">
      <c r="A902" s="71" t="n">
        <f aca="false">A901+$F$3</f>
        <v>17920</v>
      </c>
      <c r="B902" s="71" t="n">
        <f aca="false">SUMPRODUCT(固有振動数!$Q$6:$Q$22*(1-($A902/固有振動数!$O$6:$O$22)^2)/((1-($A902/固有振動数!$O$6:$O$22)^2)^2+固有振動数!$P$6:$P$22^2))</f>
        <v>33.0838439014987</v>
      </c>
      <c r="C902" s="71" t="n">
        <f aca="false">-SUMPRODUCT(固有振動数!$Q$6:$Q$22*固有振動数!$P$6:$P$22/((1-($A902/固有振動数!$O$6:$O$22)^2)^2+固有振動数!$P$6:$P$22^2))</f>
        <v>-15.0185620494311</v>
      </c>
      <c r="D902" s="71" t="n">
        <f aca="false">SQRT(B902^2+C902^2)</f>
        <v>36.3331519872876</v>
      </c>
      <c r="E902" s="72" t="n">
        <f aca="false">20*LOG10(MAX(D902,0.000000000001)/$K$3)</f>
        <v>31.2060615115109</v>
      </c>
      <c r="F902" s="5"/>
      <c r="G902" s="5"/>
      <c r="H902" s="5"/>
      <c r="I902" s="5"/>
      <c r="J902" s="5"/>
      <c r="K902" s="5"/>
      <c r="L902" s="5"/>
      <c r="M902" s="5"/>
      <c r="N902" s="5"/>
    </row>
    <row r="903" customFormat="false" ht="15" hidden="false" customHeight="false" outlineLevel="0" collapsed="false">
      <c r="A903" s="71" t="n">
        <f aca="false">A902+$F$3</f>
        <v>17940</v>
      </c>
      <c r="B903" s="71" t="n">
        <f aca="false">SUMPRODUCT(固有振動数!$Q$6:$Q$22*(1-($A903/固有振動数!$O$6:$O$22)^2)/((1-($A903/固有振動数!$O$6:$O$22)^2)^2+固有振動数!$P$6:$P$22^2))</f>
        <v>35.6063709098105</v>
      </c>
      <c r="C903" s="71" t="n">
        <f aca="false">-SUMPRODUCT(固有振動数!$Q$6:$Q$22*固有振動数!$P$6:$P$22/((1-($A903/固有振動数!$O$6:$O$22)^2)^2+固有振動数!$P$6:$P$22^2))</f>
        <v>-17.3468050053105</v>
      </c>
      <c r="D903" s="71" t="n">
        <f aca="false">SQRT(B903^2+C903^2)</f>
        <v>39.6071368980297</v>
      </c>
      <c r="E903" s="72" t="n">
        <f aca="false">20*LOG10(MAX(D903,0.000000000001)/$K$3)</f>
        <v>31.9554689892987</v>
      </c>
      <c r="F903" s="5"/>
      <c r="G903" s="5"/>
      <c r="H903" s="5"/>
      <c r="I903" s="5"/>
      <c r="J903" s="5"/>
      <c r="K903" s="5"/>
      <c r="L903" s="5"/>
      <c r="M903" s="5"/>
      <c r="N903" s="5"/>
    </row>
    <row r="904" customFormat="false" ht="15" hidden="false" customHeight="false" outlineLevel="0" collapsed="false">
      <c r="A904" s="71" t="n">
        <f aca="false">A903+$F$3</f>
        <v>17960</v>
      </c>
      <c r="B904" s="71" t="n">
        <f aca="false">SUMPRODUCT(固有振動数!$Q$6:$Q$22*(1-($A904/固有振動数!$O$6:$O$22)^2)/((1-($A904/固有振動数!$O$6:$O$22)^2)^2+固有振動数!$P$6:$P$22^2))</f>
        <v>38.3201742399601</v>
      </c>
      <c r="C904" s="71" t="n">
        <f aca="false">-SUMPRODUCT(固有振動数!$Q$6:$Q$22*固有振動数!$P$6:$P$22/((1-($A904/固有振動数!$O$6:$O$22)^2)^2+固有振動数!$P$6:$P$22^2))</f>
        <v>-20.279889983846</v>
      </c>
      <c r="D904" s="71" t="n">
        <f aca="false">SQRT(B904^2+C904^2)</f>
        <v>43.3556189154047</v>
      </c>
      <c r="E904" s="72" t="n">
        <f aca="false">20*LOG10(MAX(D904,0.000000000001)/$K$3)</f>
        <v>32.7409078059414</v>
      </c>
      <c r="F904" s="5"/>
      <c r="G904" s="5"/>
      <c r="H904" s="5"/>
      <c r="I904" s="5"/>
      <c r="J904" s="5"/>
      <c r="K904" s="5"/>
      <c r="L904" s="5"/>
      <c r="M904" s="5"/>
      <c r="N904" s="5"/>
    </row>
    <row r="905" customFormat="false" ht="15" hidden="false" customHeight="false" outlineLevel="0" collapsed="false">
      <c r="A905" s="71" t="n">
        <f aca="false">A904+$F$3</f>
        <v>17980</v>
      </c>
      <c r="B905" s="71" t="n">
        <f aca="false">SUMPRODUCT(固有振動数!$Q$6:$Q$22*(1-($A905/固有振動数!$O$6:$O$22)^2)/((1-($A905/固有振動数!$O$6:$O$22)^2)^2+固有振動数!$P$6:$P$22^2))</f>
        <v>41.1898079892</v>
      </c>
      <c r="C905" s="71" t="n">
        <f aca="false">-SUMPRODUCT(固有振動数!$Q$6:$Q$22*固有振動数!$P$6:$P$22/((1-($A905/固有振動数!$O$6:$O$22)^2)^2+固有振動数!$P$6:$P$22^2))</f>
        <v>-24.0151554023212</v>
      </c>
      <c r="D905" s="71" t="n">
        <f aca="false">SQRT(B905^2+C905^2)</f>
        <v>47.6794292246121</v>
      </c>
      <c r="E905" s="72" t="n">
        <f aca="false">20*LOG10(MAX(D905,0.000000000001)/$K$3)</f>
        <v>33.5666209555811</v>
      </c>
      <c r="F905" s="5"/>
      <c r="G905" s="5"/>
      <c r="H905" s="5"/>
      <c r="I905" s="5"/>
      <c r="J905" s="5"/>
      <c r="K905" s="5"/>
      <c r="L905" s="5"/>
      <c r="M905" s="5"/>
      <c r="N905" s="5"/>
    </row>
    <row r="906" customFormat="false" ht="15" hidden="false" customHeight="false" outlineLevel="0" collapsed="false">
      <c r="A906" s="71" t="n">
        <f aca="false">A905+$F$3</f>
        <v>18000</v>
      </c>
      <c r="B906" s="71" t="n">
        <f aca="false">SUMPRODUCT(固有振動数!$Q$6:$Q$22*(1-($A906/固有振動数!$O$6:$O$22)^2)/((1-($A906/固有振動数!$O$6:$O$22)^2)^2+固有振動数!$P$6:$P$22^2))</f>
        <v>44.1174253824413</v>
      </c>
      <c r="C906" s="71" t="n">
        <f aca="false">-SUMPRODUCT(固有振動数!$Q$6:$Q$22*固有振動数!$P$6:$P$22/((1-($A906/固有振動数!$O$6:$O$22)^2)^2+固有振動数!$P$6:$P$22^2))</f>
        <v>-28.8191099886541</v>
      </c>
      <c r="D906" s="71" t="n">
        <f aca="false">SQRT(B906^2+C906^2)</f>
        <v>52.6961888841444</v>
      </c>
      <c r="E906" s="72" t="n">
        <f aca="false">20*LOG10(MAX(D906,0.000000000001)/$K$3)</f>
        <v>34.4355841424154</v>
      </c>
      <c r="F906" s="5"/>
      <c r="G906" s="5"/>
      <c r="H906" s="5"/>
      <c r="I906" s="5"/>
      <c r="J906" s="5"/>
      <c r="K906" s="5"/>
      <c r="L906" s="5"/>
      <c r="M906" s="5"/>
      <c r="N906" s="5"/>
    </row>
    <row r="907" customFormat="false" ht="15" hidden="false" customHeight="false" outlineLevel="0" collapsed="false">
      <c r="A907" s="71" t="n">
        <f aca="false">A906+$F$3</f>
        <v>18020</v>
      </c>
      <c r="B907" s="71" t="n">
        <f aca="false">SUMPRODUCT(固有振動数!$Q$6:$Q$22*(1-($A907/固有振動数!$O$6:$O$22)^2)/((1-($A907/固有振動数!$O$6:$O$22)^2)^2+固有振動数!$P$6:$P$22^2))</f>
        <v>46.8843871256618</v>
      </c>
      <c r="C907" s="71" t="n">
        <f aca="false">-SUMPRODUCT(固有振動数!$Q$6:$Q$22*固有振動数!$P$6:$P$22/((1-($A907/固有振動数!$O$6:$O$22)^2)^2+固有振動数!$P$6:$P$22^2))</f>
        <v>-35.0402012503194</v>
      </c>
      <c r="D907" s="71" t="n">
        <f aca="false">SQRT(B907^2+C907^2)</f>
        <v>58.5317132827308</v>
      </c>
      <c r="E907" s="72" t="n">
        <f aca="false">20*LOG10(MAX(D907,0.000000000001)/$K$3)</f>
        <v>35.3478247308215</v>
      </c>
      <c r="F907" s="5"/>
      <c r="G907" s="5"/>
      <c r="H907" s="5"/>
      <c r="I907" s="5"/>
      <c r="J907" s="5"/>
      <c r="K907" s="5"/>
      <c r="L907" s="5"/>
      <c r="M907" s="5"/>
      <c r="N907" s="5"/>
    </row>
    <row r="908" customFormat="false" ht="15" hidden="false" customHeight="false" outlineLevel="0" collapsed="false">
      <c r="A908" s="71" t="n">
        <f aca="false">A907+$F$3</f>
        <v>18040</v>
      </c>
      <c r="B908" s="71" t="n">
        <f aca="false">SUMPRODUCT(固有振動数!$Q$6:$Q$22*(1-($A908/固有振動数!$O$6:$O$22)^2)/((1-($A908/固有振動数!$O$6:$O$22)^2)^2+固有振動数!$P$6:$P$22^2))</f>
        <v>49.047660116858</v>
      </c>
      <c r="C908" s="71" t="n">
        <f aca="false">-SUMPRODUCT(固有振動数!$Q$6:$Q$22*固有振動数!$P$6:$P$22/((1-($A908/固有振動数!$O$6:$O$22)^2)^2+固有振動数!$P$6:$P$22^2))</f>
        <v>-43.0974905289524</v>
      </c>
      <c r="D908" s="71" t="n">
        <f aca="false">SQRT(B908^2+C908^2)</f>
        <v>65.2921637934597</v>
      </c>
      <c r="E908" s="72" t="n">
        <f aca="false">20*LOG10(MAX(D908,0.000000000001)/$K$3)</f>
        <v>36.2972212287252</v>
      </c>
      <c r="F908" s="5"/>
      <c r="G908" s="5"/>
      <c r="H908" s="5"/>
      <c r="I908" s="5"/>
      <c r="J908" s="5"/>
      <c r="K908" s="5"/>
      <c r="L908" s="5"/>
      <c r="M908" s="5"/>
      <c r="N908" s="5"/>
    </row>
    <row r="909" customFormat="false" ht="15" hidden="false" customHeight="false" outlineLevel="0" collapsed="false">
      <c r="A909" s="71" t="n">
        <f aca="false">A908+$F$3</f>
        <v>18060</v>
      </c>
      <c r="B909" s="71" t="n">
        <f aca="false">SUMPRODUCT(固有振動数!$Q$6:$Q$22*(1-($A909/固有振動数!$O$6:$O$22)^2)/((1-($A909/固有振動数!$O$6:$O$22)^2)^2+固有振動数!$P$6:$P$22^2))</f>
        <v>49.7756085881259</v>
      </c>
      <c r="C909" s="71" t="n">
        <f aca="false">-SUMPRODUCT(固有振動数!$Q$6:$Q$22*固有振動数!$P$6:$P$22/((1-($A909/固有振動数!$O$6:$O$22)^2)^2+固有振動数!$P$6:$P$22^2))</f>
        <v>-53.3901800624823</v>
      </c>
      <c r="D909" s="71" t="n">
        <f aca="false">SQRT(B909^2+C909^2)</f>
        <v>72.9939897349268</v>
      </c>
      <c r="E909" s="72" t="n">
        <f aca="false">20*LOG10(MAX(D909,0.000000000001)/$K$3)</f>
        <v>37.2657420428434</v>
      </c>
      <c r="F909" s="5"/>
      <c r="G909" s="5"/>
      <c r="H909" s="5"/>
      <c r="I909" s="5"/>
      <c r="J909" s="5"/>
      <c r="K909" s="5"/>
      <c r="L909" s="5"/>
      <c r="M909" s="5"/>
      <c r="N909" s="5"/>
    </row>
    <row r="910" customFormat="false" ht="15" hidden="false" customHeight="false" outlineLevel="0" collapsed="false">
      <c r="A910" s="71" t="n">
        <f aca="false">A909+$F$3</f>
        <v>18080</v>
      </c>
      <c r="B910" s="71" t="n">
        <f aca="false">SUMPRODUCT(固有振動数!$Q$6:$Q$22*(1-($A910/固有振動数!$O$6:$O$22)^2)/((1-($A910/固有振動数!$O$6:$O$22)^2)^2+固有振動数!$P$6:$P$22^2))</f>
        <v>47.6578864797837</v>
      </c>
      <c r="C910" s="71" t="n">
        <f aca="false">-SUMPRODUCT(固有振動数!$Q$6:$Q$22*固有振動数!$P$6:$P$22/((1-($A910/固有振動数!$O$6:$O$22)^2)^2+固有振動数!$P$6:$P$22^2))</f>
        <v>-66.0089789287904</v>
      </c>
      <c r="D910" s="71" t="n">
        <f aca="false">SQRT(B910^2+C910^2)</f>
        <v>81.4153513960447</v>
      </c>
      <c r="E910" s="72" t="n">
        <f aca="false">20*LOG10(MAX(D910,0.000000000001)/$K$3)</f>
        <v>38.2141260334097</v>
      </c>
      <c r="F910" s="5"/>
      <c r="G910" s="5"/>
      <c r="H910" s="5"/>
      <c r="I910" s="5"/>
      <c r="J910" s="5"/>
      <c r="K910" s="5"/>
      <c r="L910" s="5"/>
      <c r="M910" s="5"/>
      <c r="N910" s="5"/>
    </row>
    <row r="911" customFormat="false" ht="15" hidden="false" customHeight="false" outlineLevel="0" collapsed="false">
      <c r="A911" s="71" t="n">
        <f aca="false">A910+$F$3</f>
        <v>18100</v>
      </c>
      <c r="B911" s="71" t="n">
        <f aca="false">SUMPRODUCT(固有振動数!$Q$6:$Q$22*(1-($A911/固有振動数!$O$6:$O$22)^2)/((1-($A911/固有振動数!$O$6:$O$22)^2)^2+固有振動数!$P$6:$P$22^2))</f>
        <v>40.7150292116109</v>
      </c>
      <c r="C911" s="71" t="n">
        <f aca="false">-SUMPRODUCT(固有振動数!$Q$6:$Q$22*固有振動数!$P$6:$P$22/((1-($A911/固有振動数!$O$6:$O$22)^2)^2+固有振動数!$P$6:$P$22^2))</f>
        <v>-80.0933661642941</v>
      </c>
      <c r="D911" s="71" t="n">
        <f aca="false">SQRT(B911^2+C911^2)</f>
        <v>89.847987775075</v>
      </c>
      <c r="E911" s="72" t="n">
        <f aca="false">20*LOG10(MAX(D911,0.000000000001)/$K$3)</f>
        <v>39.0701671029194</v>
      </c>
      <c r="F911" s="5"/>
      <c r="G911" s="5"/>
      <c r="H911" s="5"/>
      <c r="I911" s="5"/>
      <c r="J911" s="5"/>
      <c r="K911" s="5"/>
      <c r="L911" s="5"/>
      <c r="M911" s="5"/>
      <c r="N911" s="5"/>
    </row>
    <row r="912" customFormat="false" ht="15" hidden="false" customHeight="false" outlineLevel="0" collapsed="false">
      <c r="A912" s="71" t="n">
        <f aca="false">A911+$F$3</f>
        <v>18120</v>
      </c>
      <c r="B912" s="71" t="n">
        <f aca="false">SUMPRODUCT(固有振動数!$Q$6:$Q$22*(1-($A912/固有振動数!$O$6:$O$22)^2)/((1-($A912/固有振動数!$O$6:$O$22)^2)^2+固有振動数!$P$6:$P$22^2))</f>
        <v>27.1940609401186</v>
      </c>
      <c r="C912" s="71" t="n">
        <f aca="false">-SUMPRODUCT(固有振動数!$Q$6:$Q$22*固有振動数!$P$6:$P$22/((1-($A912/固有振動数!$O$6:$O$22)^2)^2+固有振動数!$P$6:$P$22^2))</f>
        <v>-92.9707108086872</v>
      </c>
      <c r="D912" s="71" t="n">
        <f aca="false">SQRT(B912^2+C912^2)</f>
        <v>96.8662480882141</v>
      </c>
      <c r="E912" s="72" t="n">
        <f aca="false">20*LOG10(MAX(D912,0.000000000001)/$K$3)</f>
        <v>39.7234495714597</v>
      </c>
      <c r="F912" s="5"/>
      <c r="G912" s="5"/>
      <c r="H912" s="5"/>
      <c r="I912" s="5"/>
      <c r="J912" s="5"/>
      <c r="K912" s="5"/>
      <c r="L912" s="5"/>
      <c r="M912" s="5"/>
      <c r="N912" s="5"/>
    </row>
    <row r="913" customFormat="false" ht="15" hidden="false" customHeight="false" outlineLevel="0" collapsed="false">
      <c r="A913" s="71" t="n">
        <f aca="false">A912+$F$3</f>
        <v>18140</v>
      </c>
      <c r="B913" s="71" t="n">
        <f aca="false">SUMPRODUCT(固有振動数!$Q$6:$Q$22*(1-($A913/固有振動数!$O$6:$O$22)^2)/((1-($A913/固有振動数!$O$6:$O$22)^2)^2+固有振動数!$P$6:$P$22^2))</f>
        <v>7.57326991160541</v>
      </c>
      <c r="C913" s="71" t="n">
        <f aca="false">-SUMPRODUCT(固有振動数!$Q$6:$Q$22*固有振動数!$P$6:$P$22/((1-($A913/固有振動数!$O$6:$O$22)^2)^2+固有振動数!$P$6:$P$22^2))</f>
        <v>-100.259100128456</v>
      </c>
      <c r="D913" s="71" t="n">
        <f aca="false">SQRT(B913^2+C913^2)</f>
        <v>100.544724256033</v>
      </c>
      <c r="E913" s="72" t="n">
        <f aca="false">20*LOG10(MAX(D913,0.000000000001)/$K$3)</f>
        <v>40.0471857479632</v>
      </c>
      <c r="F913" s="5"/>
      <c r="G913" s="5"/>
      <c r="H913" s="5"/>
      <c r="I913" s="5"/>
      <c r="J913" s="5"/>
      <c r="K913" s="5"/>
      <c r="L913" s="5"/>
      <c r="M913" s="5"/>
      <c r="N913" s="5"/>
    </row>
    <row r="914" customFormat="false" ht="15" hidden="false" customHeight="false" outlineLevel="0" collapsed="false">
      <c r="A914" s="71" t="n">
        <f aca="false">A913+$F$3</f>
        <v>18160</v>
      </c>
      <c r="B914" s="71" t="n">
        <f aca="false">SUMPRODUCT(固有振動数!$Q$6:$Q$22*(1-($A914/固有振動数!$O$6:$O$22)^2)/((1-($A914/固有振動数!$O$6:$O$22)^2)^2+固有振動数!$P$6:$P$22^2))</f>
        <v>-13.9481488153441</v>
      </c>
      <c r="C914" s="71" t="n">
        <f aca="false">-SUMPRODUCT(固有振動数!$Q$6:$Q$22*固有振動数!$P$6:$P$22/((1-($A914/固有振動数!$O$6:$O$22)^2)^2+固有振動数!$P$6:$P$22^2))</f>
        <v>-98.5458387826789</v>
      </c>
      <c r="D914" s="71" t="n">
        <f aca="false">SQRT(B914^2+C914^2)</f>
        <v>99.5280523106764</v>
      </c>
      <c r="E914" s="72" t="n">
        <f aca="false">20*LOG10(MAX(D914,0.000000000001)/$K$3)</f>
        <v>39.9589101067066</v>
      </c>
      <c r="F914" s="5"/>
      <c r="G914" s="5"/>
      <c r="H914" s="5"/>
      <c r="I914" s="5"/>
      <c r="J914" s="5"/>
      <c r="K914" s="5"/>
      <c r="L914" s="5"/>
      <c r="M914" s="5"/>
      <c r="N914" s="5"/>
    </row>
    <row r="915" customFormat="false" ht="15" hidden="false" customHeight="false" outlineLevel="0" collapsed="false">
      <c r="A915" s="71" t="n">
        <f aca="false">A914+$F$3</f>
        <v>18180</v>
      </c>
      <c r="B915" s="71" t="n">
        <f aca="false">SUMPRODUCT(固有振動数!$Q$6:$Q$22*(1-($A915/固有振動数!$O$6:$O$22)^2)/((1-($A915/固有振動数!$O$6:$O$22)^2)^2+固有振動数!$P$6:$P$22^2))</f>
        <v>-31.7192977460834</v>
      </c>
      <c r="C915" s="71" t="n">
        <f aca="false">-SUMPRODUCT(固有振動数!$Q$6:$Q$22*固有振動数!$P$6:$P$22/((1-($A915/固有振動数!$O$6:$O$22)^2)^2+固有振動数!$P$6:$P$22^2))</f>
        <v>-88.6542732484075</v>
      </c>
      <c r="D915" s="71" t="n">
        <f aca="false">SQRT(B915^2+C915^2)</f>
        <v>94.1578144112744</v>
      </c>
      <c r="E915" s="72" t="n">
        <f aca="false">20*LOG10(MAX(D915,0.000000000001)/$K$3)</f>
        <v>39.4771273824044</v>
      </c>
      <c r="F915" s="5"/>
      <c r="G915" s="5"/>
      <c r="H915" s="5"/>
      <c r="I915" s="5"/>
      <c r="J915" s="5"/>
      <c r="K915" s="5"/>
      <c r="L915" s="5"/>
      <c r="M915" s="5"/>
      <c r="N915" s="5"/>
    </row>
    <row r="916" customFormat="false" ht="15" hidden="false" customHeight="false" outlineLevel="0" collapsed="false">
      <c r="A916" s="71" t="n">
        <f aca="false">A915+$F$3</f>
        <v>18200</v>
      </c>
      <c r="B916" s="71" t="n">
        <f aca="false">SUMPRODUCT(固有振動数!$Q$6:$Q$22*(1-($A916/固有振動数!$O$6:$O$22)^2)/((1-($A916/固有振動数!$O$6:$O$22)^2)^2+固有振動数!$P$6:$P$22^2))</f>
        <v>-42.8058281960527</v>
      </c>
      <c r="C916" s="71" t="n">
        <f aca="false">-SUMPRODUCT(固有振動数!$Q$6:$Q$22*固有振動数!$P$6:$P$22/((1-($A916/固有振動数!$O$6:$O$22)^2)^2+固有振動数!$P$6:$P$22^2))</f>
        <v>-74.7926283413675</v>
      </c>
      <c r="D916" s="71" t="n">
        <f aca="false">SQRT(B916^2+C916^2)</f>
        <v>86.1758445375496</v>
      </c>
      <c r="E916" s="72" t="n">
        <f aca="false">20*LOG10(MAX(D916,0.000000000001)/$K$3)</f>
        <v>38.7077109651739</v>
      </c>
      <c r="F916" s="5"/>
      <c r="G916" s="5"/>
      <c r="H916" s="5"/>
      <c r="I916" s="5"/>
      <c r="J916" s="5"/>
      <c r="K916" s="5"/>
      <c r="L916" s="5"/>
      <c r="M916" s="5"/>
      <c r="N916" s="5"/>
    </row>
    <row r="917" customFormat="false" ht="15" hidden="false" customHeight="false" outlineLevel="0" collapsed="false">
      <c r="A917" s="71" t="n">
        <f aca="false">A916+$F$3</f>
        <v>18220</v>
      </c>
      <c r="B917" s="71" t="n">
        <f aca="false">SUMPRODUCT(固有振動数!$Q$6:$Q$22*(1-($A917/固有振動数!$O$6:$O$22)^2)/((1-($A917/固有振動数!$O$6:$O$22)^2)^2+固有振動数!$P$6:$P$22^2))</f>
        <v>-47.7821195434563</v>
      </c>
      <c r="C917" s="71" t="n">
        <f aca="false">-SUMPRODUCT(固有振動数!$Q$6:$Q$22*固有振動数!$P$6:$P$22/((1-($A917/固有振動数!$O$6:$O$22)^2)^2+固有振動数!$P$6:$P$22^2))</f>
        <v>-60.9194789730106</v>
      </c>
      <c r="D917" s="71" t="n">
        <f aca="false">SQRT(B917^2+C917^2)</f>
        <v>77.4229543895622</v>
      </c>
      <c r="E917" s="72" t="n">
        <f aca="false">20*LOG10(MAX(D917,0.000000000001)/$K$3)</f>
        <v>37.7773947916359</v>
      </c>
      <c r="F917" s="5"/>
      <c r="G917" s="5"/>
      <c r="H917" s="5"/>
      <c r="I917" s="5"/>
      <c r="J917" s="5"/>
      <c r="K917" s="5"/>
      <c r="L917" s="5"/>
      <c r="M917" s="5"/>
      <c r="N917" s="5"/>
    </row>
    <row r="918" customFormat="false" ht="15" hidden="false" customHeight="false" outlineLevel="0" collapsed="false">
      <c r="A918" s="71" t="n">
        <f aca="false">A917+$F$3</f>
        <v>18240</v>
      </c>
      <c r="B918" s="71" t="n">
        <f aca="false">SUMPRODUCT(固有振動数!$Q$6:$Q$22*(1-($A918/固有振動数!$O$6:$O$22)^2)/((1-($A918/固有振動数!$O$6:$O$22)^2)^2+固有振動数!$P$6:$P$22^2))</f>
        <v>-48.6648241243647</v>
      </c>
      <c r="C918" s="71" t="n">
        <f aca="false">-SUMPRODUCT(固有振動数!$Q$6:$Q$22*固有振動数!$P$6:$P$22/((1-($A918/固有振動数!$O$6:$O$22)^2)^2+固有振動数!$P$6:$P$22^2))</f>
        <v>-49.0028113566859</v>
      </c>
      <c r="D918" s="71" t="n">
        <f aca="false">SQRT(B918^2+C918^2)</f>
        <v>69.0618608778702</v>
      </c>
      <c r="E918" s="72" t="n">
        <f aca="false">20*LOG10(MAX(D918,0.000000000001)/$K$3)</f>
        <v>36.7847655254764</v>
      </c>
      <c r="F918" s="5"/>
      <c r="G918" s="5"/>
      <c r="H918" s="5"/>
      <c r="I918" s="5"/>
      <c r="J918" s="5"/>
      <c r="K918" s="5"/>
      <c r="L918" s="5"/>
      <c r="M918" s="5"/>
      <c r="N918" s="5"/>
    </row>
    <row r="919" customFormat="false" ht="15" hidden="false" customHeight="false" outlineLevel="0" collapsed="false">
      <c r="A919" s="71" t="n">
        <f aca="false">A918+$F$3</f>
        <v>18260</v>
      </c>
      <c r="B919" s="71" t="n">
        <f aca="false">SUMPRODUCT(固有振動数!$Q$6:$Q$22*(1-($A919/固有振動数!$O$6:$O$22)^2)/((1-($A919/固有振動数!$O$6:$O$22)^2)^2+固有振動数!$P$6:$P$22^2))</f>
        <v>-47.280649690659</v>
      </c>
      <c r="C919" s="71" t="n">
        <f aca="false">-SUMPRODUCT(固有振動数!$Q$6:$Q$22*固有振動数!$P$6:$P$22/((1-($A919/固有振動数!$O$6:$O$22)^2)^2+固有振動数!$P$6:$P$22^2))</f>
        <v>-39.4696415576843</v>
      </c>
      <c r="D919" s="71" t="n">
        <f aca="false">SQRT(B919^2+C919^2)</f>
        <v>61.589872867728</v>
      </c>
      <c r="E919" s="72" t="n">
        <f aca="false">20*LOG10(MAX(D919,0.000000000001)/$K$3)</f>
        <v>35.7901861526279</v>
      </c>
      <c r="F919" s="5"/>
      <c r="G919" s="5"/>
      <c r="H919" s="5"/>
      <c r="I919" s="5"/>
      <c r="J919" s="5"/>
      <c r="K919" s="5"/>
      <c r="L919" s="5"/>
      <c r="M919" s="5"/>
      <c r="N919" s="5"/>
    </row>
    <row r="920" customFormat="false" ht="15" hidden="false" customHeight="false" outlineLevel="0" collapsed="false">
      <c r="A920" s="71" t="n">
        <f aca="false">A919+$F$3</f>
        <v>18280</v>
      </c>
      <c r="B920" s="71" t="n">
        <f aca="false">SUMPRODUCT(固有振動数!$Q$6:$Q$22*(1-($A920/固有振動数!$O$6:$O$22)^2)/((1-($A920/固有振動数!$O$6:$O$22)^2)^2+固有振動数!$P$6:$P$22^2))</f>
        <v>-44.8263080425889</v>
      </c>
      <c r="C920" s="71" t="n">
        <f aca="false">-SUMPRODUCT(固有振動数!$Q$6:$Q$22*固有振動数!$P$6:$P$22/((1-($A920/固有振動数!$O$6:$O$22)^2)^2+固有振動数!$P$6:$P$22^2))</f>
        <v>-32.0621576845084</v>
      </c>
      <c r="D920" s="71" t="n">
        <f aca="false">SQRT(B920^2+C920^2)</f>
        <v>55.1124291618084</v>
      </c>
      <c r="E920" s="72" t="n">
        <f aca="false">20*LOG10(MAX(D920,0.000000000001)/$K$3)</f>
        <v>34.8249910723762</v>
      </c>
      <c r="F920" s="5"/>
      <c r="G920" s="5"/>
      <c r="H920" s="5"/>
      <c r="I920" s="5"/>
      <c r="J920" s="5"/>
      <c r="K920" s="5"/>
      <c r="L920" s="5"/>
      <c r="M920" s="5"/>
      <c r="N920" s="5"/>
    </row>
    <row r="921" customFormat="false" ht="15" hidden="false" customHeight="false" outlineLevel="0" collapsed="false">
      <c r="A921" s="71" t="n">
        <f aca="false">A920+$F$3</f>
        <v>18300</v>
      </c>
      <c r="B921" s="71" t="n">
        <f aca="false">SUMPRODUCT(固有振動数!$Q$6:$Q$22*(1-($A921/固有振動数!$O$6:$O$22)^2)/((1-($A921/固有振動数!$O$6:$O$22)^2)^2+固有振動数!$P$6:$P$22^2))</f>
        <v>-41.9771108341457</v>
      </c>
      <c r="C921" s="71" t="n">
        <f aca="false">-SUMPRODUCT(固有振動数!$Q$6:$Q$22*固有振動数!$P$6:$P$22/((1-($A921/固有振動数!$O$6:$O$22)^2)^2+固有振動数!$P$6:$P$22^2))</f>
        <v>-26.3485345509002</v>
      </c>
      <c r="D921" s="71" t="n">
        <f aca="false">SQRT(B921^2+C921^2)</f>
        <v>49.5613065501923</v>
      </c>
      <c r="E921" s="72" t="n">
        <f aca="false">20*LOG10(MAX(D921,0.000000000001)/$K$3)</f>
        <v>33.9028549371554</v>
      </c>
      <c r="F921" s="5"/>
      <c r="G921" s="5"/>
      <c r="H921" s="5"/>
      <c r="I921" s="5"/>
      <c r="J921" s="5"/>
      <c r="K921" s="5"/>
      <c r="L921" s="5"/>
      <c r="M921" s="5"/>
      <c r="N921" s="5"/>
    </row>
    <row r="922" customFormat="false" ht="15" hidden="false" customHeight="false" outlineLevel="0" collapsed="false">
      <c r="A922" s="71" t="n">
        <f aca="false">A921+$F$3</f>
        <v>18320</v>
      </c>
      <c r="B922" s="71" t="n">
        <f aca="false">SUMPRODUCT(固有振動数!$Q$6:$Q$22*(1-($A922/固有振動数!$O$6:$O$22)^2)/((1-($A922/固有振動数!$O$6:$O$22)^2)^2+固有振動数!$P$6:$P$22^2))</f>
        <v>-39.0818285526384</v>
      </c>
      <c r="C922" s="71" t="n">
        <f aca="false">-SUMPRODUCT(固有振動数!$Q$6:$Q$22*固有振動数!$P$6:$P$22/((1-($A922/固有振動数!$O$6:$O$22)^2)^2+固有振動数!$P$6:$P$22^2))</f>
        <v>-21.9253006474235</v>
      </c>
      <c r="D922" s="71" t="n">
        <f aca="false">SQRT(B922^2+C922^2)</f>
        <v>44.8119195248065</v>
      </c>
      <c r="E922" s="72" t="n">
        <f aca="false">20*LOG10(MAX(D922,0.000000000001)/$K$3)</f>
        <v>33.0278709475207</v>
      </c>
      <c r="F922" s="5"/>
      <c r="G922" s="5"/>
      <c r="H922" s="5"/>
      <c r="I922" s="5"/>
      <c r="J922" s="5"/>
      <c r="K922" s="5"/>
      <c r="L922" s="5"/>
      <c r="M922" s="5"/>
      <c r="N922" s="5"/>
    </row>
    <row r="923" customFormat="false" ht="15" hidden="false" customHeight="false" outlineLevel="0" collapsed="false">
      <c r="A923" s="71" t="n">
        <f aca="false">A922+$F$3</f>
        <v>18340</v>
      </c>
      <c r="B923" s="71" t="n">
        <f aca="false">SUMPRODUCT(固有振動数!$Q$6:$Q$22*(1-($A923/固有振動数!$O$6:$O$22)^2)/((1-($A923/固有振動数!$O$6:$O$22)^2)^2+固有振動数!$P$6:$P$22^2))</f>
        <v>-36.3067379974223</v>
      </c>
      <c r="C923" s="71" t="n">
        <f aca="false">-SUMPRODUCT(固有振動数!$Q$6:$Q$22*固有振動数!$P$6:$P$22/((1-($A923/固有振動数!$O$6:$O$22)^2)^2+固有振動数!$P$6:$P$22^2))</f>
        <v>-18.4702691343697</v>
      </c>
      <c r="D923" s="71" t="n">
        <f aca="false">SQRT(B923^2+C923^2)</f>
        <v>40.7348753024914</v>
      </c>
      <c r="E923" s="72" t="n">
        <f aca="false">20*LOG10(MAX(D923,0.000000000001)/$K$3)</f>
        <v>32.1993278237481</v>
      </c>
      <c r="F923" s="5"/>
      <c r="G923" s="5"/>
      <c r="H923" s="5"/>
      <c r="I923" s="5"/>
      <c r="J923" s="5"/>
      <c r="K923" s="5"/>
      <c r="L923" s="5"/>
      <c r="M923" s="5"/>
      <c r="N923" s="5"/>
    </row>
    <row r="924" customFormat="false" ht="15" hidden="false" customHeight="false" outlineLevel="0" collapsed="false">
      <c r="A924" s="71" t="n">
        <f aca="false">A923+$F$3</f>
        <v>18360</v>
      </c>
      <c r="B924" s="71" t="n">
        <f aca="false">SUMPRODUCT(固有振動数!$Q$6:$Q$22*(1-($A924/固有振動数!$O$6:$O$22)^2)/((1-($A924/固有振動数!$O$6:$O$22)^2)^2+固有振動数!$P$6:$P$22^2))</f>
        <v>-33.7217803159867</v>
      </c>
      <c r="C924" s="71" t="n">
        <f aca="false">-SUMPRODUCT(固有振動数!$Q$6:$Q$22*固有振動数!$P$6:$P$22/((1-($A924/固有振動数!$O$6:$O$22)^2)^2+固有振動数!$P$6:$P$22^2))</f>
        <v>-15.7410801683022</v>
      </c>
      <c r="D924" s="71" t="n">
        <f aca="false">SQRT(B924^2+C924^2)</f>
        <v>37.2147829839781</v>
      </c>
      <c r="E924" s="72" t="n">
        <f aca="false">20*LOG10(MAX(D924,0.000000000001)/$K$3)</f>
        <v>31.4143098154034</v>
      </c>
      <c r="F924" s="5"/>
      <c r="G924" s="5"/>
      <c r="H924" s="5"/>
      <c r="I924" s="5"/>
      <c r="J924" s="5"/>
      <c r="K924" s="5"/>
      <c r="L924" s="5"/>
      <c r="M924" s="5"/>
      <c r="N924" s="5"/>
    </row>
    <row r="925" customFormat="false" ht="15" hidden="false" customHeight="false" outlineLevel="0" collapsed="false">
      <c r="A925" s="71" t="n">
        <f aca="false">A924+$F$3</f>
        <v>18380</v>
      </c>
      <c r="B925" s="71" t="n">
        <f aca="false">SUMPRODUCT(固有振動数!$Q$6:$Q$22*(1-($A925/固有振動数!$O$6:$O$22)^2)/((1-($A925/固有振動数!$O$6:$O$22)^2)^2+固有振動数!$P$6:$P$22^2))</f>
        <v>-31.3479783041171</v>
      </c>
      <c r="C925" s="71" t="n">
        <f aca="false">-SUMPRODUCT(固有振動数!$Q$6:$Q$22*固有振動数!$P$6:$P$22/((1-($A925/固有振動数!$O$6:$O$22)^2)^2+固有振動数!$P$6:$P$22^2))</f>
        <v>-13.5594299113926</v>
      </c>
      <c r="D925" s="71" t="n">
        <f aca="false">SQRT(B925^2+C925^2)</f>
        <v>34.1548515335283</v>
      </c>
      <c r="E925" s="72" t="n">
        <f aca="false">20*LOG10(MAX(D925,0.000000000001)/$K$3)</f>
        <v>30.6690480371234</v>
      </c>
      <c r="F925" s="5"/>
      <c r="G925" s="5"/>
      <c r="H925" s="5"/>
      <c r="I925" s="5"/>
      <c r="J925" s="5"/>
      <c r="K925" s="5"/>
      <c r="L925" s="5"/>
      <c r="M925" s="5"/>
      <c r="N925" s="5"/>
    </row>
    <row r="926" customFormat="false" ht="15" hidden="false" customHeight="false" outlineLevel="0" collapsed="false">
      <c r="A926" s="71" t="n">
        <f aca="false">A925+$F$3</f>
        <v>18400</v>
      </c>
      <c r="B926" s="71" t="n">
        <f aca="false">SUMPRODUCT(固有振動数!$Q$6:$Q$22*(1-($A926/固有振動数!$O$6:$O$22)^2)/((1-($A926/固有振動数!$O$6:$O$22)^2)^2+固有振動数!$P$6:$P$22^2))</f>
        <v>-29.1825765934175</v>
      </c>
      <c r="C926" s="71" t="n">
        <f aca="false">-SUMPRODUCT(固有振動数!$Q$6:$Q$22*固有振動数!$P$6:$P$22/((1-($A926/固有振動数!$O$6:$O$22)^2)^2+固有振動数!$P$6:$P$22^2))</f>
        <v>-11.794791448464</v>
      </c>
      <c r="D926" s="71" t="n">
        <f aca="false">SQRT(B926^2+C926^2)</f>
        <v>31.4760207450598</v>
      </c>
      <c r="E926" s="72" t="n">
        <f aca="false">20*LOG10(MAX(D926,0.000000000001)/$K$3)</f>
        <v>29.9595964574146</v>
      </c>
      <c r="F926" s="5"/>
      <c r="G926" s="5"/>
      <c r="H926" s="5"/>
      <c r="I926" s="5"/>
      <c r="J926" s="5"/>
      <c r="K926" s="5"/>
      <c r="L926" s="5"/>
      <c r="M926" s="5"/>
      <c r="N926" s="5"/>
    </row>
    <row r="927" customFormat="false" ht="15" hidden="false" customHeight="false" outlineLevel="0" collapsed="false">
      <c r="A927" s="71" t="n">
        <f aca="false">A926+$F$3</f>
        <v>18420</v>
      </c>
      <c r="B927" s="71" t="n">
        <f aca="false">SUMPRODUCT(固有振動数!$Q$6:$Q$22*(1-($A927/固有振動数!$O$6:$O$22)^2)/((1-($A927/固有振動数!$O$6:$O$22)^2)^2+固有振動数!$P$6:$P$22^2))</f>
        <v>-27.2121040392136</v>
      </c>
      <c r="C927" s="71" t="n">
        <f aca="false">-SUMPRODUCT(固有振動数!$Q$6:$Q$22*固有振動数!$P$6:$P$22/((1-($A927/固有振動数!$O$6:$O$22)^2)^2+固有振動数!$P$6:$P$22^2))</f>
        <v>-10.3512731554253</v>
      </c>
      <c r="D927" s="71" t="n">
        <f aca="false">SQRT(B927^2+C927^2)</f>
        <v>29.1143858286452</v>
      </c>
      <c r="E927" s="72" t="n">
        <f aca="false">20*LOG10(MAX(D927,0.000000000001)/$K$3)</f>
        <v>29.2821526609615</v>
      </c>
      <c r="F927" s="5"/>
      <c r="G927" s="5"/>
      <c r="H927" s="5"/>
      <c r="I927" s="5"/>
      <c r="J927" s="5"/>
      <c r="K927" s="5"/>
      <c r="L927" s="5"/>
      <c r="M927" s="5"/>
      <c r="N927" s="5"/>
    </row>
    <row r="928" customFormat="false" ht="15" hidden="false" customHeight="false" outlineLevel="0" collapsed="false">
      <c r="A928" s="71" t="n">
        <f aca="false">A927+$F$3</f>
        <v>18440</v>
      </c>
      <c r="B928" s="71" t="n">
        <f aca="false">SUMPRODUCT(固有振動数!$Q$6:$Q$22*(1-($A928/固有振動数!$O$6:$O$22)^2)/((1-($A928/固有振動数!$O$6:$O$22)^2)^2+固有振動数!$P$6:$P$22^2))</f>
        <v>-25.4190417238421</v>
      </c>
      <c r="C928" s="71" t="n">
        <f aca="false">-SUMPRODUCT(固有振動数!$Q$6:$Q$22*固有振動数!$P$6:$P$22/((1-($A928/固有振動数!$O$6:$O$22)^2)^2+固有振動数!$P$6:$P$22^2))</f>
        <v>-9.1578750246522</v>
      </c>
      <c r="D928" s="71" t="n">
        <f aca="false">SQRT(B928^2+C928^2)</f>
        <v>27.0184077459345</v>
      </c>
      <c r="E928" s="72" t="n">
        <f aca="false">20*LOG10(MAX(D928,0.000000000001)/$K$3)</f>
        <v>28.6331950302635</v>
      </c>
      <c r="F928" s="5"/>
      <c r="G928" s="5"/>
      <c r="H928" s="5"/>
      <c r="I928" s="5"/>
      <c r="J928" s="5"/>
      <c r="K928" s="5"/>
      <c r="L928" s="5"/>
      <c r="M928" s="5"/>
      <c r="N928" s="5"/>
    </row>
    <row r="929" customFormat="false" ht="15" hidden="false" customHeight="false" outlineLevel="0" collapsed="false">
      <c r="A929" s="71" t="n">
        <f aca="false">A928+$F$3</f>
        <v>18460</v>
      </c>
      <c r="B929" s="71" t="n">
        <f aca="false">SUMPRODUCT(固有振動数!$Q$6:$Q$22*(1-($A929/固有振動数!$O$6:$O$22)^2)/((1-($A929/固有振動数!$O$6:$O$22)^2)^2+固有振動数!$P$6:$P$22^2))</f>
        <v>-23.7851380320486</v>
      </c>
      <c r="C929" s="71" t="n">
        <f aca="false">-SUMPRODUCT(固有振動数!$Q$6:$Q$22*固有振動数!$P$6:$P$22/((1-($A929/固有振動数!$O$6:$O$22)^2)^2+固有振動数!$P$6:$P$22^2))</f>
        <v>-8.16150546739303</v>
      </c>
      <c r="D929" s="71" t="n">
        <f aca="false">SQRT(B929^2+C929^2)</f>
        <v>25.1464304166196</v>
      </c>
      <c r="E929" s="72" t="n">
        <f aca="false">20*LOG10(MAX(D929,0.000000000001)/$K$3)</f>
        <v>28.0095268968727</v>
      </c>
      <c r="F929" s="5"/>
      <c r="G929" s="5"/>
      <c r="H929" s="5"/>
      <c r="I929" s="5"/>
      <c r="J929" s="5"/>
      <c r="K929" s="5"/>
      <c r="L929" s="5"/>
      <c r="M929" s="5"/>
      <c r="N929" s="5"/>
    </row>
    <row r="930" customFormat="false" ht="15" hidden="false" customHeight="false" outlineLevel="0" collapsed="false">
      <c r="A930" s="71" t="n">
        <f aca="false">A929+$F$3</f>
        <v>18480</v>
      </c>
      <c r="B930" s="71" t="n">
        <f aca="false">SUMPRODUCT(固有振動数!$Q$6:$Q$22*(1-($A930/固有振動数!$O$6:$O$22)^2)/((1-($A930/固有振動数!$O$6:$O$22)^2)^2+固有振動数!$P$6:$P$22^2))</f>
        <v>-22.2929756002484</v>
      </c>
      <c r="C930" s="71" t="n">
        <f aca="false">-SUMPRODUCT(固有振動数!$Q$6:$Q$22*固有振動数!$P$6:$P$22/((1-($A930/固有振動数!$O$6:$O$22)^2)^2+固有振動数!$P$6:$P$22^2))</f>
        <v>-7.32203606132398</v>
      </c>
      <c r="D930" s="71" t="n">
        <f aca="false">SQRT(B930^2+C930^2)</f>
        <v>23.4646323899737</v>
      </c>
      <c r="E930" s="72" t="n">
        <f aca="false">20*LOG10(MAX(D930,0.000000000001)/$K$3)</f>
        <v>27.4082750940416</v>
      </c>
      <c r="F930" s="5"/>
      <c r="G930" s="5"/>
      <c r="H930" s="5"/>
      <c r="I930" s="5"/>
      <c r="J930" s="5"/>
      <c r="K930" s="5"/>
      <c r="L930" s="5"/>
      <c r="M930" s="5"/>
      <c r="N930" s="5"/>
    </row>
    <row r="931" customFormat="false" ht="15" hidden="false" customHeight="false" outlineLevel="0" collapsed="false">
      <c r="A931" s="71" t="n">
        <f aca="false">A930+$F$3</f>
        <v>18500</v>
      </c>
      <c r="B931" s="71" t="n">
        <f aca="false">SUMPRODUCT(固有振動数!$Q$6:$Q$22*(1-($A931/固有振動数!$O$6:$O$22)^2)/((1-($A931/固有振動数!$O$6:$O$22)^2)^2+固有振動数!$P$6:$P$22^2))</f>
        <v>-20.9266344191593</v>
      </c>
      <c r="C931" s="71" t="n">
        <f aca="false">-SUMPRODUCT(固有振動数!$Q$6:$Q$22*固有振動数!$P$6:$P$22/((1-($A931/固有振動数!$O$6:$O$22)^2)^2+固有振動数!$P$6:$P$22^2))</f>
        <v>-6.60880359558805</v>
      </c>
      <c r="D931" s="71" t="n">
        <f aca="false">SQRT(B931^2+C931^2)</f>
        <v>21.9453938920722</v>
      </c>
      <c r="E931" s="72" t="n">
        <f aca="false">20*LOG10(MAX(D931,0.000000000001)/$K$3)</f>
        <v>26.8268676057554</v>
      </c>
      <c r="F931" s="5"/>
      <c r="G931" s="5"/>
      <c r="H931" s="5"/>
      <c r="I931" s="5"/>
      <c r="J931" s="5"/>
      <c r="K931" s="5"/>
      <c r="L931" s="5"/>
      <c r="M931" s="5"/>
      <c r="N931" s="5"/>
    </row>
    <row r="932" customFormat="false" ht="15" hidden="false" customHeight="false" outlineLevel="0" collapsed="false">
      <c r="A932" s="71" t="n">
        <f aca="false">A931+$F$3</f>
        <v>18520</v>
      </c>
      <c r="B932" s="71" t="n">
        <f aca="false">SUMPRODUCT(固有振動数!$Q$6:$Q$22*(1-($A932/固有振動数!$O$6:$O$22)^2)/((1-($A932/固有振動数!$O$6:$O$22)^2)^2+固有振動数!$P$6:$P$22^2))</f>
        <v>-19.6718956499167</v>
      </c>
      <c r="C932" s="71" t="n">
        <f aca="false">-SUMPRODUCT(固有振動数!$Q$6:$Q$22*固有振動数!$P$6:$P$22/((1-($A932/固有振動数!$O$6:$O$22)^2)^2+固有振動数!$P$6:$P$22^2))</f>
        <v>-5.99812474715098</v>
      </c>
      <c r="D932" s="71" t="n">
        <f aca="false">SQRT(B932^2+C932^2)</f>
        <v>20.5660151449812</v>
      </c>
      <c r="E932" s="72" t="n">
        <f aca="false">20*LOG10(MAX(D932,0.000000000001)/$K$3)</f>
        <v>26.2630030257322</v>
      </c>
      <c r="F932" s="5"/>
      <c r="G932" s="5"/>
      <c r="H932" s="5"/>
      <c r="I932" s="5"/>
      <c r="J932" s="5"/>
      <c r="K932" s="5"/>
      <c r="L932" s="5"/>
      <c r="M932" s="5"/>
      <c r="N932" s="5"/>
    </row>
    <row r="933" customFormat="false" ht="15" hidden="false" customHeight="false" outlineLevel="0" collapsed="false">
      <c r="A933" s="71" t="n">
        <f aca="false">A932+$F$3</f>
        <v>18540</v>
      </c>
      <c r="B933" s="71" t="n">
        <f aca="false">SUMPRODUCT(固有振動数!$Q$6:$Q$22*(1-($A933/固有振動数!$O$6:$O$22)^2)/((1-($A933/固有振動数!$O$6:$O$22)^2)^2+固有振動数!$P$6:$P$22^2))</f>
        <v>-18.5162202988209</v>
      </c>
      <c r="C933" s="71" t="n">
        <f aca="false">-SUMPRODUCT(固有振動数!$Q$6:$Q$22*固有振動数!$P$6:$P$22/((1-($A933/固有振動数!$O$6:$O$22)^2)^2+固有振動数!$P$6:$P$22^2))</f>
        <v>-5.47151699127453</v>
      </c>
      <c r="D933" s="71" t="n">
        <f aca="false">SQRT(B933^2+C933^2)</f>
        <v>19.3077163937187</v>
      </c>
      <c r="E933" s="72" t="n">
        <f aca="false">20*LOG10(MAX(D933,0.000000000001)/$K$3)</f>
        <v>25.7146182189807</v>
      </c>
      <c r="F933" s="5"/>
      <c r="G933" s="5"/>
      <c r="H933" s="5"/>
      <c r="I933" s="5"/>
      <c r="J933" s="5"/>
      <c r="K933" s="5"/>
      <c r="L933" s="5"/>
      <c r="M933" s="5"/>
      <c r="N933" s="5"/>
    </row>
    <row r="934" customFormat="false" ht="15" hidden="false" customHeight="false" outlineLevel="0" collapsed="false">
      <c r="A934" s="71" t="n">
        <f aca="false">A933+$F$3</f>
        <v>18560</v>
      </c>
      <c r="B934" s="71" t="n">
        <f aca="false">SUMPRODUCT(固有振動数!$Q$6:$Q$22*(1-($A934/固有振動数!$O$6:$O$22)^2)/((1-($A934/固有振動数!$O$6:$O$22)^2)^2+固有振動数!$P$6:$P$22^2))</f>
        <v>-17.4486255935259</v>
      </c>
      <c r="C934" s="71" t="n">
        <f aca="false">-SUMPRODUCT(固有振動数!$Q$6:$Q$22*固有振動数!$P$6:$P$22/((1-($A934/固有振動数!$O$6:$O$22)^2)^2+固有振動数!$P$6:$P$22^2))</f>
        <v>-5.01441351691426</v>
      </c>
      <c r="D934" s="71" t="n">
        <f aca="false">SQRT(B934^2+C934^2)</f>
        <v>18.1548582484595</v>
      </c>
      <c r="E934" s="72" t="n">
        <f aca="false">20*LOG10(MAX(D934,0.000000000001)/$K$3)</f>
        <v>25.1798572465787</v>
      </c>
      <c r="F934" s="5"/>
      <c r="G934" s="5"/>
      <c r="H934" s="5"/>
      <c r="I934" s="5"/>
      <c r="J934" s="5"/>
      <c r="K934" s="5"/>
      <c r="L934" s="5"/>
      <c r="M934" s="5"/>
      <c r="N934" s="5"/>
    </row>
    <row r="935" customFormat="false" ht="15" hidden="false" customHeight="false" outlineLevel="0" collapsed="false">
      <c r="A935" s="71" t="n">
        <f aca="false">A934+$F$3</f>
        <v>18580</v>
      </c>
      <c r="B935" s="71" t="n">
        <f aca="false">SUMPRODUCT(固有振動数!$Q$6:$Q$22*(1-($A935/固有振動数!$O$6:$O$22)^2)/((1-($A935/固有振動数!$O$6:$O$22)^2)^2+固有振動数!$P$6:$P$22^2))</f>
        <v>-16.4595227360088</v>
      </c>
      <c r="C935" s="71" t="n">
        <f aca="false">-SUMPRODUCT(固有振動数!$Q$6:$Q$22*固有振動数!$P$6:$P$22/((1-($A935/固有振動数!$O$6:$O$22)^2)^2+固有振動数!$P$6:$P$22^2))</f>
        <v>-4.61522588734095</v>
      </c>
      <c r="D935" s="71" t="n">
        <f aca="false">SQRT(B935^2+C935^2)</f>
        <v>17.0943323557363</v>
      </c>
      <c r="E935" s="72" t="n">
        <f aca="false">20*LOG10(MAX(D935,0.000000000001)/$K$3)</f>
        <v>24.6570428690965</v>
      </c>
      <c r="F935" s="5"/>
      <c r="G935" s="5"/>
      <c r="H935" s="5"/>
      <c r="I935" s="5"/>
      <c r="J935" s="5"/>
      <c r="K935" s="5"/>
      <c r="L935" s="5"/>
      <c r="M935" s="5"/>
      <c r="N935" s="5"/>
    </row>
    <row r="936" customFormat="false" ht="15" hidden="false" customHeight="false" outlineLevel="0" collapsed="false">
      <c r="A936" s="71" t="n">
        <f aca="false">A935+$F$3</f>
        <v>18600</v>
      </c>
      <c r="B936" s="71" t="n">
        <f aca="false">SUMPRODUCT(固有振動数!$Q$6:$Q$22*(1-($A936/固有振動数!$O$6:$O$22)^2)/((1-($A936/固有振動数!$O$6:$O$22)^2)^2+固有振動数!$P$6:$P$22^2))</f>
        <v>-15.5405481674821</v>
      </c>
      <c r="C936" s="71" t="n">
        <f aca="false">-SUMPRODUCT(固有振動数!$Q$6:$Q$22*固有振動数!$P$6:$P$22/((1-($A936/固有振動数!$O$6:$O$22)^2)^2+固有振動数!$P$6:$P$22^2))</f>
        <v>-4.264653492421</v>
      </c>
      <c r="D936" s="71" t="n">
        <f aca="false">SQRT(B936^2+C936^2)</f>
        <v>16.1150832066189</v>
      </c>
      <c r="E936" s="72" t="n">
        <f aca="false">20*LOG10(MAX(D936,0.000000000001)/$K$3)</f>
        <v>24.1446510447265</v>
      </c>
      <c r="F936" s="5"/>
      <c r="G936" s="5"/>
      <c r="H936" s="5"/>
      <c r="I936" s="5"/>
      <c r="J936" s="5"/>
      <c r="K936" s="5"/>
      <c r="L936" s="5"/>
      <c r="M936" s="5"/>
      <c r="N936" s="5"/>
    </row>
    <row r="937" customFormat="false" ht="15" hidden="false" customHeight="false" outlineLevel="0" collapsed="false">
      <c r="A937" s="71" t="n">
        <f aca="false">A936+$F$3</f>
        <v>18620</v>
      </c>
      <c r="B937" s="71" t="n">
        <f aca="false">SUMPRODUCT(固有振動数!$Q$6:$Q$22*(1-($A937/固有振動数!$O$6:$O$22)^2)/((1-($A937/固有振動数!$O$6:$O$22)^2)^2+固有振動数!$P$6:$P$22^2))</f>
        <v>-14.684403694047</v>
      </c>
      <c r="C937" s="71" t="n">
        <f aca="false">-SUMPRODUCT(固有振動数!$Q$6:$Q$22*固有振動数!$P$6:$P$22/((1-($A937/固有振動数!$O$6:$O$22)^2)^2+固有振動数!$P$6:$P$22^2))</f>
        <v>-3.95516974481253</v>
      </c>
      <c r="D937" s="71" t="n">
        <f aca="false">SQRT(B937^2+C937^2)</f>
        <v>15.207730914243</v>
      </c>
      <c r="E937" s="72" t="n">
        <f aca="false">20*LOG10(MAX(D937,0.000000000001)/$K$3)</f>
        <v>23.6412883902812</v>
      </c>
      <c r="F937" s="5"/>
      <c r="G937" s="5"/>
      <c r="H937" s="5"/>
      <c r="I937" s="5"/>
      <c r="J937" s="5"/>
      <c r="K937" s="5"/>
      <c r="L937" s="5"/>
      <c r="M937" s="5"/>
      <c r="N937" s="5"/>
    </row>
    <row r="938" customFormat="false" ht="15" hidden="false" customHeight="false" outlineLevel="0" collapsed="false">
      <c r="A938" s="71" t="n">
        <f aca="false">A937+$F$3</f>
        <v>18640</v>
      </c>
      <c r="B938" s="71" t="n">
        <f aca="false">SUMPRODUCT(固有振動数!$Q$6:$Q$22*(1-($A938/固有振動数!$O$6:$O$22)^2)/((1-($A938/固有振動数!$O$6:$O$22)^2)^2+固有振動数!$P$6:$P$22^2))</f>
        <v>-13.8847119655556</v>
      </c>
      <c r="C938" s="71" t="n">
        <f aca="false">-SUMPRODUCT(固有振動数!$Q$6:$Q$22*固有振動数!$P$6:$P$22/((1-($A938/固有振動数!$O$6:$O$22)^2)^2+固有振動数!$P$6:$P$22^2))</f>
        <v>-3.6806360606141</v>
      </c>
      <c r="D938" s="71" t="n">
        <f aca="false">SQRT(B938^2+C938^2)</f>
        <v>14.3642719334164</v>
      </c>
      <c r="E938" s="72" t="n">
        <f aca="false">20*LOG10(MAX(D938,0.000000000001)/$K$3)</f>
        <v>23.1456723652605</v>
      </c>
      <c r="F938" s="5"/>
      <c r="G938" s="5"/>
      <c r="H938" s="5"/>
      <c r="I938" s="5"/>
      <c r="J938" s="5"/>
      <c r="K938" s="5"/>
      <c r="L938" s="5"/>
      <c r="M938" s="5"/>
      <c r="N938" s="5"/>
    </row>
    <row r="939" customFormat="false" ht="15" hidden="false" customHeight="false" outlineLevel="0" collapsed="false">
      <c r="A939" s="71" t="n">
        <f aca="false">A938+$F$3</f>
        <v>18660</v>
      </c>
      <c r="B939" s="71" t="n">
        <f aca="false">SUMPRODUCT(固有振動数!$Q$6:$Q$22*(1-($A939/固有振動数!$O$6:$O$22)^2)/((1-($A939/固有振動数!$O$6:$O$22)^2)^2+固有振動数!$P$6:$P$22^2))</f>
        <v>-13.1358892224017</v>
      </c>
      <c r="C939" s="71" t="n">
        <f aca="false">-SUMPRODUCT(固有振動数!$Q$6:$Q$22*固有振動数!$P$6:$P$22/((1-($A939/固有振動数!$O$6:$O$22)^2)^2+固有振動数!$P$6:$P$22^2))</f>
        <v>-3.43600911522787</v>
      </c>
      <c r="D939" s="71" t="n">
        <f aca="false">SQRT(B939^2+C939^2)</f>
        <v>13.5778401928709</v>
      </c>
      <c r="E939" s="72" t="n">
        <f aca="false">20*LOG10(MAX(D939,0.000000000001)/$K$3)</f>
        <v>22.6566138570388</v>
      </c>
      <c r="F939" s="5"/>
      <c r="G939" s="5"/>
      <c r="H939" s="5"/>
      <c r="I939" s="5"/>
      <c r="J939" s="5"/>
      <c r="K939" s="5"/>
      <c r="L939" s="5"/>
      <c r="M939" s="5"/>
      <c r="N939" s="5"/>
    </row>
    <row r="940" customFormat="false" ht="15" hidden="false" customHeight="false" outlineLevel="0" collapsed="false">
      <c r="A940" s="71" t="n">
        <f aca="false">A939+$F$3</f>
        <v>18680</v>
      </c>
      <c r="B940" s="71" t="n">
        <f aca="false">SUMPRODUCT(固有振動数!$Q$6:$Q$22*(1-($A940/固有振動数!$O$6:$O$22)^2)/((1-($A940/固有振動数!$O$6:$O$22)^2)^2+固有振動数!$P$6:$P$22^2))</f>
        <v>-12.4330349549711</v>
      </c>
      <c r="C940" s="71" t="n">
        <f aca="false">-SUMPRODUCT(固有振動数!$Q$6:$Q$22*固有振動数!$P$6:$P$22/((1-($A940/固有振動数!$O$6:$O$22)^2)^2+固有振動数!$P$6:$P$22^2))</f>
        <v>-3.2171168312697</v>
      </c>
      <c r="D940" s="71" t="n">
        <f aca="false">SQRT(B940^2+C940^2)</f>
        <v>12.8425152870289</v>
      </c>
      <c r="E940" s="72" t="n">
        <f aca="false">20*LOG10(MAX(D940,0.000000000001)/$K$3)</f>
        <v>22.1730018271424</v>
      </c>
      <c r="F940" s="5"/>
      <c r="G940" s="5"/>
      <c r="H940" s="5"/>
      <c r="I940" s="5"/>
      <c r="J940" s="5"/>
      <c r="K940" s="5"/>
      <c r="L940" s="5"/>
      <c r="M940" s="5"/>
      <c r="N940" s="5"/>
    </row>
    <row r="941" customFormat="false" ht="15" hidden="false" customHeight="false" outlineLevel="0" collapsed="false">
      <c r="A941" s="71" t="n">
        <f aca="false">A940+$F$3</f>
        <v>18700</v>
      </c>
      <c r="B941" s="71" t="n">
        <f aca="false">SUMPRODUCT(固有振動数!$Q$6:$Q$22*(1-($A941/固有振動数!$O$6:$O$22)^2)/((1-($A941/固有振動数!$O$6:$O$22)^2)^2+固有振動数!$P$6:$P$22^2))</f>
        <v>-11.7718370872201</v>
      </c>
      <c r="C941" s="71" t="n">
        <f aca="false">-SUMPRODUCT(固有振動数!$Q$6:$Q$22*固有振動数!$P$6:$P$22/((1-($A941/固有振動数!$O$6:$O$22)^2)^2+固有振動数!$P$6:$P$22^2))</f>
        <v>-3.02048548237728</v>
      </c>
      <c r="D941" s="71" t="n">
        <f aca="false">SQRT(B941^2+C941^2)</f>
        <v>12.1531675277396</v>
      </c>
      <c r="E941" s="72" t="n">
        <f aca="false">20*LOG10(MAX(D941,0.000000000001)/$K$3)</f>
        <v>21.6937896912525</v>
      </c>
      <c r="F941" s="5"/>
      <c r="G941" s="5"/>
      <c r="H941" s="5"/>
      <c r="I941" s="5"/>
      <c r="J941" s="5"/>
      <c r="K941" s="5"/>
      <c r="L941" s="5"/>
      <c r="M941" s="5"/>
      <c r="N941" s="5"/>
    </row>
    <row r="942" customFormat="false" ht="15" hidden="false" customHeight="false" outlineLevel="0" collapsed="false">
      <c r="A942" s="71" t="n">
        <f aca="false">A941+$F$3</f>
        <v>18720</v>
      </c>
      <c r="B942" s="71" t="n">
        <f aca="false">SUMPRODUCT(固有振動数!$Q$6:$Q$22*(1-($A942/固有振動数!$O$6:$O$22)^2)/((1-($A942/固有振動数!$O$6:$O$22)^2)^2+固有振動数!$P$6:$P$22^2))</f>
        <v>-11.1484909147944</v>
      </c>
      <c r="C942" s="71" t="n">
        <f aca="false">-SUMPRODUCT(固有振動数!$Q$6:$Q$22*固有振動数!$P$6:$P$22/((1-($A942/固有振動数!$O$6:$O$22)^2)^2+固有振動数!$P$6:$P$22^2))</f>
        <v>-2.84320515232732</v>
      </c>
      <c r="D942" s="71" t="n">
        <f aca="false">SQRT(B942^2+C942^2)</f>
        <v>11.5053320341255</v>
      </c>
      <c r="E942" s="72" t="n">
        <f aca="false">20*LOG10(MAX(D942,0.000000000001)/$K$3)</f>
        <v>21.2179831311193</v>
      </c>
      <c r="F942" s="5"/>
      <c r="G942" s="5"/>
      <c r="H942" s="5"/>
      <c r="I942" s="5"/>
      <c r="J942" s="5"/>
      <c r="K942" s="5"/>
      <c r="L942" s="5"/>
      <c r="M942" s="5"/>
      <c r="N942" s="5"/>
    </row>
    <row r="943" customFormat="false" ht="15" hidden="false" customHeight="false" outlineLevel="0" collapsed="false">
      <c r="A943" s="71" t="n">
        <f aca="false">A942+$F$3</f>
        <v>18740</v>
      </c>
      <c r="B943" s="71" t="n">
        <f aca="false">SUMPRODUCT(固有振動数!$Q$6:$Q$22*(1-($A943/固有振動数!$O$6:$O$22)^2)/((1-($A943/固有振動数!$O$6:$O$22)^2)^2+固有振動数!$P$6:$P$22^2))</f>
        <v>-10.5596299800965</v>
      </c>
      <c r="C943" s="71" t="n">
        <f aca="false">-SUMPRODUCT(固有振動数!$Q$6:$Q$22*固有振動数!$P$6:$P$22/((1-($A943/固有振動数!$O$6:$O$22)^2)^2+固有振動数!$P$6:$P$22^2))</f>
        <v>-2.68282422238935</v>
      </c>
      <c r="D943" s="71" t="n">
        <f aca="false">SQRT(B943^2+C943^2)</f>
        <v>10.8951058335746</v>
      </c>
      <c r="E943" s="72" t="n">
        <f aca="false">20*LOG10(MAX(D943,0.000000000001)/$K$3)</f>
        <v>20.7446290656046</v>
      </c>
      <c r="F943" s="5"/>
      <c r="G943" s="5"/>
      <c r="H943" s="5"/>
      <c r="I943" s="5"/>
      <c r="J943" s="5"/>
      <c r="K943" s="5"/>
      <c r="L943" s="5"/>
      <c r="M943" s="5"/>
      <c r="N943" s="5"/>
    </row>
    <row r="944" customFormat="false" ht="15" hidden="false" customHeight="false" outlineLevel="0" collapsed="false">
      <c r="A944" s="71" t="n">
        <f aca="false">A943+$F$3</f>
        <v>18760</v>
      </c>
      <c r="B944" s="71" t="n">
        <f aca="false">SUMPRODUCT(固有振動数!$Q$6:$Q$22*(1-($A944/固有振動数!$O$6:$O$22)^2)/((1-($A944/固有振動数!$O$6:$O$22)^2)^2+固有振動数!$P$6:$P$22^2))</f>
        <v>-10.0022671783722</v>
      </c>
      <c r="C944" s="71" t="n">
        <f aca="false">-SUMPRODUCT(固有振動数!$Q$6:$Q$22*固有振動数!$P$6:$P$22/((1-($A944/固有振動数!$O$6:$O$22)^2)^2+固有振動数!$P$6:$P$22^2))</f>
        <v>-2.53726600936002</v>
      </c>
      <c r="D944" s="71" t="n">
        <f aca="false">SQRT(B944^2+C944^2)</f>
        <v>10.3190633058333</v>
      </c>
      <c r="E944" s="72" t="n">
        <f aca="false">20*LOG10(MAX(D944,0.000000000001)/$K$3)</f>
        <v>20.2728055358034</v>
      </c>
      <c r="F944" s="5"/>
      <c r="G944" s="5"/>
      <c r="H944" s="5"/>
      <c r="I944" s="5"/>
      <c r="J944" s="5"/>
      <c r="K944" s="5"/>
      <c r="L944" s="5"/>
      <c r="M944" s="5"/>
      <c r="N944" s="5"/>
    </row>
    <row r="945" customFormat="false" ht="15" hidden="false" customHeight="false" outlineLevel="0" collapsed="false">
      <c r="A945" s="71" t="n">
        <f aca="false">A944+$F$3</f>
        <v>18780</v>
      </c>
      <c r="B945" s="71" t="n">
        <f aca="false">SUMPRODUCT(固有振動数!$Q$6:$Q$22*(1-($A945/固有振動数!$O$6:$O$22)^2)/((1-($A945/固有振動数!$O$6:$O$22)^2)^2+固有振動数!$P$6:$P$22^2))</f>
        <v>-9.47374456718669</v>
      </c>
      <c r="C945" s="71" t="n">
        <f aca="false">-SUMPRODUCT(固有振動数!$Q$6:$Q$22*固有振動数!$P$6:$P$22/((1-($A945/固有振動数!$O$6:$O$22)^2)^2+固有振動数!$P$6:$P$22^2))</f>
        <v>-2.40476243963758</v>
      </c>
      <c r="D945" s="71" t="n">
        <f aca="false">SQRT(B945^2+C945^2)</f>
        <v>9.77418633520924</v>
      </c>
      <c r="E945" s="72" t="n">
        <f aca="false">20*LOG10(MAX(D945,0.000000000001)/$K$3)</f>
        <v>19.801612283329</v>
      </c>
      <c r="F945" s="5"/>
      <c r="G945" s="5"/>
      <c r="H945" s="5"/>
      <c r="I945" s="5"/>
      <c r="J945" s="5"/>
      <c r="K945" s="5"/>
      <c r="L945" s="5"/>
      <c r="M945" s="5"/>
      <c r="N945" s="5"/>
    </row>
    <row r="946" customFormat="false" ht="15" hidden="false" customHeight="false" outlineLevel="0" collapsed="false">
      <c r="A946" s="71" t="n">
        <f aca="false">A945+$F$3</f>
        <v>18800</v>
      </c>
      <c r="B946" s="71" t="n">
        <f aca="false">SUMPRODUCT(固有振動数!$Q$6:$Q$22*(1-($A946/固有振動数!$O$6:$O$22)^2)/((1-($A946/固有振動数!$O$6:$O$22)^2)^2+固有振動数!$P$6:$P$22^2))</f>
        <v>-8.97169054794165</v>
      </c>
      <c r="C946" s="71" t="n">
        <f aca="false">-SUMPRODUCT(固有振動数!$Q$6:$Q$22*固有振動数!$P$6:$P$22/((1-($A946/固有振動数!$O$6:$O$22)^2)^2+固有振動数!$P$6:$P$22^2))</f>
        <v>-2.28380092442958</v>
      </c>
      <c r="D946" s="71" t="n">
        <f aca="false">SQRT(B946^2+C946^2)</f>
        <v>9.257806324959</v>
      </c>
      <c r="E946" s="72" t="n">
        <f aca="false">20*LOG10(MAX(D946,0.000000000001)/$K$3)</f>
        <v>19.3301618203997</v>
      </c>
      <c r="F946" s="5"/>
      <c r="G946" s="5"/>
      <c r="H946" s="5"/>
      <c r="I946" s="5"/>
      <c r="J946" s="5"/>
      <c r="K946" s="5"/>
      <c r="L946" s="5"/>
      <c r="M946" s="5"/>
      <c r="N946" s="5"/>
    </row>
    <row r="947" customFormat="false" ht="15" hidden="false" customHeight="false" outlineLevel="0" collapsed="false">
      <c r="A947" s="71" t="n">
        <f aca="false">A946+$F$3</f>
        <v>18820</v>
      </c>
      <c r="B947" s="71" t="n">
        <f aca="false">SUMPRODUCT(固有振動数!$Q$6:$Q$22*(1-($A947/固有振動数!$O$6:$O$22)^2)/((1-($A947/固有振動数!$O$6:$O$22)^2)^2+固有振動数!$P$6:$P$22^2))</f>
        <v>-8.49398327812234</v>
      </c>
      <c r="C947" s="71" t="n">
        <f aca="false">-SUMPRODUCT(固有振動数!$Q$6:$Q$22*固有振動数!$P$6:$P$22/((1-($A947/固有振動数!$O$6:$O$22)^2)^2+固有振動数!$P$6:$P$22^2))</f>
        <v>-2.1730815379873</v>
      </c>
      <c r="D947" s="71" t="n">
        <f aca="false">SQRT(B947^2+C947^2)</f>
        <v>8.7675558338549</v>
      </c>
      <c r="E947" s="72" t="n">
        <f aca="false">20*LOG10(MAX(D947,0.000000000001)/$K$3)</f>
        <v>18.8575708050323</v>
      </c>
      <c r="F947" s="5"/>
      <c r="G947" s="5"/>
      <c r="H947" s="5"/>
      <c r="I947" s="5"/>
      <c r="J947" s="5"/>
      <c r="K947" s="5"/>
      <c r="L947" s="5"/>
      <c r="M947" s="5"/>
      <c r="N947" s="5"/>
    </row>
    <row r="948" customFormat="false" ht="15" hidden="false" customHeight="false" outlineLevel="0" collapsed="false">
      <c r="A948" s="71" t="n">
        <f aca="false">A947+$F$3</f>
        <v>18840</v>
      </c>
      <c r="B948" s="71" t="n">
        <f aca="false">SUMPRODUCT(固有振動数!$Q$6:$Q$22*(1-($A948/固有振動数!$O$6:$O$22)^2)/((1-($A948/固有振動数!$O$6:$O$22)^2)^2+固有振動数!$P$6:$P$22^2))</f>
        <v>-8.03871934578658</v>
      </c>
      <c r="C948" s="71" t="n">
        <f aca="false">-SUMPRODUCT(固有振動数!$Q$6:$Q$22*固有振動数!$P$6:$P$22/((1-($A948/固有振動数!$O$6:$O$22)^2)^2+固有振動数!$P$6:$P$22^2))</f>
        <v>-2.07148229211383</v>
      </c>
      <c r="D948" s="71" t="n">
        <f aca="false">SQRT(B948^2+C948^2)</f>
        <v>8.30132806283817</v>
      </c>
      <c r="E948" s="72" t="n">
        <f aca="false">20*LOG10(MAX(D948,0.000000000001)/$K$3)</f>
        <v>18.3829515444452</v>
      </c>
      <c r="F948" s="5"/>
      <c r="G948" s="5"/>
      <c r="H948" s="5"/>
      <c r="I948" s="5"/>
      <c r="J948" s="5"/>
      <c r="K948" s="5"/>
      <c r="L948" s="5"/>
      <c r="M948" s="5"/>
      <c r="N948" s="5"/>
    </row>
    <row r="949" customFormat="false" ht="15" hidden="false" customHeight="false" outlineLevel="0" collapsed="false">
      <c r="A949" s="71" t="n">
        <f aca="false">A948+$F$3</f>
        <v>18860</v>
      </c>
      <c r="B949" s="71" t="n">
        <f aca="false">SUMPRODUCT(固有振動数!$Q$6:$Q$22*(1-($A949/固有振動数!$O$6:$O$22)^2)/((1-($A949/固有振動数!$O$6:$O$22)^2)^2+固有振動数!$P$6:$P$22^2))</f>
        <v>-7.60418688956147</v>
      </c>
      <c r="C949" s="71" t="n">
        <f aca="false">-SUMPRODUCT(固有振動数!$Q$6:$Q$22*固有振動数!$P$6:$P$22/((1-($A949/固有振動数!$O$6:$O$22)^2)^2+固有振動数!$P$6:$P$22^2))</f>
        <v>-1.97803081442039</v>
      </c>
      <c r="D949" s="71" t="n">
        <f aca="false">SQRT(B949^2+C949^2)</f>
        <v>7.8572427832017</v>
      </c>
      <c r="E949" s="72" t="n">
        <f aca="false">20*LOG10(MAX(D949,0.000000000001)/$K$3)</f>
        <v>17.9054034548434</v>
      </c>
      <c r="F949" s="5"/>
      <c r="G949" s="5"/>
      <c r="H949" s="5"/>
      <c r="I949" s="5"/>
      <c r="J949" s="5"/>
      <c r="K949" s="5"/>
      <c r="L949" s="5"/>
      <c r="M949" s="5"/>
      <c r="N949" s="5"/>
    </row>
    <row r="950" customFormat="false" ht="15" hidden="false" customHeight="false" outlineLevel="0" collapsed="false">
      <c r="A950" s="71" t="n">
        <f aca="false">A949+$F$3</f>
        <v>18880</v>
      </c>
      <c r="B950" s="71" t="n">
        <f aca="false">SUMPRODUCT(固有振動数!$Q$6:$Q$22*(1-($A950/固有振動数!$O$6:$O$22)^2)/((1-($A950/固有振動数!$O$6:$O$22)^2)^2+固有振動数!$P$6:$P$22^2))</f>
        <v>-7.1888424778636</v>
      </c>
      <c r="C950" s="71" t="n">
        <f aca="false">-SUMPRODUCT(固有振動数!$Q$6:$Q$22*固有振動数!$P$6:$P$22/((1-($A950/固有振動数!$O$6:$O$22)^2)^2+固有振動数!$P$6:$P$22^2))</f>
        <v>-1.89188112318519</v>
      </c>
      <c r="D950" s="71" t="n">
        <f aca="false">SQRT(B950^2+C950^2)</f>
        <v>7.43361758202563</v>
      </c>
      <c r="E950" s="72" t="n">
        <f aca="false">20*LOG10(MAX(D950,0.000000000001)/$K$3)</f>
        <v>17.4240043063322</v>
      </c>
      <c r="F950" s="5"/>
      <c r="G950" s="5"/>
      <c r="H950" s="5"/>
      <c r="I950" s="5"/>
      <c r="J950" s="5"/>
      <c r="K950" s="5"/>
      <c r="L950" s="5"/>
      <c r="M950" s="5"/>
      <c r="N950" s="5"/>
    </row>
    <row r="951" customFormat="false" ht="15" hidden="false" customHeight="false" outlineLevel="0" collapsed="false">
      <c r="A951" s="71" t="n">
        <f aca="false">A950+$F$3</f>
        <v>18900</v>
      </c>
      <c r="B951" s="71" t="n">
        <f aca="false">SUMPRODUCT(固有振動数!$Q$6:$Q$22*(1-($A951/固有振動数!$O$6:$O$22)^2)/((1-($A951/固有振動数!$O$6:$O$22)^2)^2+固有振動数!$P$6:$P$22^2))</f>
        <v>-6.79129117172643</v>
      </c>
      <c r="C951" s="71" t="n">
        <f aca="false">-SUMPRODUCT(固有振動数!$Q$6:$Q$22*固有振動数!$P$6:$P$22/((1-($A951/固有振動数!$O$6:$O$22)^2)^2+固有振動数!$P$6:$P$22^2))</f>
        <v>-1.81229448259053</v>
      </c>
      <c r="D951" s="71" t="n">
        <f aca="false">SQRT(B951^2+C951^2)</f>
        <v>7.0289435245133</v>
      </c>
      <c r="E951" s="72" t="n">
        <f aca="false">20*LOG10(MAX(D951,0.000000000001)/$K$3)</f>
        <v>16.9378010780532</v>
      </c>
      <c r="F951" s="5"/>
      <c r="G951" s="5"/>
      <c r="H951" s="5"/>
      <c r="I951" s="5"/>
      <c r="J951" s="5"/>
      <c r="K951" s="5"/>
      <c r="L951" s="5"/>
      <c r="M951" s="5"/>
      <c r="N951" s="5"/>
    </row>
    <row r="952" customFormat="false" ht="15" hidden="false" customHeight="false" outlineLevel="0" collapsed="false">
      <c r="A952" s="71" t="n">
        <f aca="false">A951+$F$3</f>
        <v>18920</v>
      </c>
      <c r="B952" s="71" t="n">
        <f aca="false">SUMPRODUCT(固有振動数!$Q$6:$Q$22*(1-($A952/固有振動数!$O$6:$O$22)^2)/((1-($A952/固有振動数!$O$6:$O$22)^2)^2+固有振動数!$P$6:$P$22^2))</f>
        <v>-6.41026928871383</v>
      </c>
      <c r="C952" s="71" t="n">
        <f aca="false">-SUMPRODUCT(固有振動数!$Q$6:$Q$22*固有振動数!$P$6:$P$22/((1-($A952/固有振動数!$O$6:$O$22)^2)^2+固有振動数!$P$6:$P$22^2))</f>
        <v>-1.7386235432621</v>
      </c>
      <c r="D952" s="71" t="n">
        <f aca="false">SQRT(B952^2+C952^2)</f>
        <v>6.64186451073891</v>
      </c>
      <c r="E952" s="72" t="n">
        <f aca="false">20*LOG10(MAX(D952,0.000000000001)/$K$3)</f>
        <v>16.4458002411503</v>
      </c>
      <c r="F952" s="5"/>
      <c r="G952" s="5"/>
      <c r="H952" s="5"/>
      <c r="I952" s="5"/>
      <c r="J952" s="5"/>
      <c r="K952" s="5"/>
      <c r="L952" s="5"/>
      <c r="M952" s="5"/>
      <c r="N952" s="5"/>
    </row>
    <row r="953" customFormat="false" ht="15" hidden="false" customHeight="false" outlineLevel="0" collapsed="false">
      <c r="A953" s="71" t="n">
        <f aca="false">A952+$F$3</f>
        <v>18940</v>
      </c>
      <c r="B953" s="71" t="n">
        <f aca="false">SUMPRODUCT(固有振動数!$Q$6:$Q$22*(1-($A953/固有振動数!$O$6:$O$22)^2)/((1-($A953/固有振動数!$O$6:$O$22)^2)^2+固有振動数!$P$6:$P$22^2))</f>
        <v>-6.04462946331463</v>
      </c>
      <c r="C953" s="71" t="n">
        <f aca="false">-SUMPRODUCT(固有振動数!$Q$6:$Q$22*固有振動数!$P$6:$P$22/((1-($A953/固有振動数!$O$6:$O$22)^2)^2+固有振動数!$P$6:$P$22^2))</f>
        <v>-1.67029914227493</v>
      </c>
      <c r="D953" s="71" t="n">
        <f aca="false">SQRT(B953^2+C953^2)</f>
        <v>6.27115974708472</v>
      </c>
      <c r="E953" s="72" t="n">
        <f aca="false">20*LOG10(MAX(D953,0.000000000001)/$K$3)</f>
        <v>15.94695727653</v>
      </c>
      <c r="F953" s="5"/>
      <c r="G953" s="5"/>
      <c r="H953" s="5"/>
      <c r="I953" s="5"/>
      <c r="J953" s="5"/>
      <c r="K953" s="5"/>
      <c r="L953" s="5"/>
      <c r="M953" s="5"/>
      <c r="N953" s="5"/>
    </row>
    <row r="954" customFormat="false" ht="15" hidden="false" customHeight="false" outlineLevel="0" collapsed="false">
      <c r="A954" s="71" t="n">
        <f aca="false">A953+$F$3</f>
        <v>18960</v>
      </c>
      <c r="B954" s="71" t="n">
        <f aca="false">SUMPRODUCT(固有振動数!$Q$6:$Q$22*(1-($A954/固有振動数!$O$6:$O$22)^2)/((1-($A954/固有振動数!$O$6:$O$22)^2)^2+固有振動数!$P$6:$P$22^2))</f>
        <v>-5.69332766423003</v>
      </c>
      <c r="C954" s="71" t="n">
        <f aca="false">-SUMPRODUCT(固有振動数!$Q$6:$Q$22*固有振動数!$P$6:$P$22/((1-($A954/固有振動数!$O$6:$O$22)^2)^2+固有振動数!$P$6:$P$22^2))</f>
        <v>-1.60681926713919</v>
      </c>
      <c r="D954" s="71" t="n">
        <f aca="false">SQRT(B954^2+C954^2)</f>
        <v>5.91572886883237</v>
      </c>
      <c r="E954" s="72" t="n">
        <f aca="false">20*LOG10(MAX(D954,0.000000000001)/$K$3)</f>
        <v>15.4401652217495</v>
      </c>
      <c r="F954" s="5"/>
      <c r="G954" s="5"/>
      <c r="H954" s="5"/>
      <c r="I954" s="5"/>
      <c r="J954" s="5"/>
      <c r="K954" s="5"/>
      <c r="L954" s="5"/>
      <c r="M954" s="5"/>
      <c r="N954" s="5"/>
    </row>
    <row r="955" customFormat="false" ht="15" hidden="false" customHeight="false" outlineLevel="0" collapsed="false">
      <c r="A955" s="71" t="n">
        <f aca="false">A954+$F$3</f>
        <v>18980</v>
      </c>
      <c r="B955" s="71" t="n">
        <f aca="false">SUMPRODUCT(固有振動数!$Q$6:$Q$22*(1-($A955/固有振動数!$O$6:$O$22)^2)/((1-($A955/固有振動数!$O$6:$O$22)^2)^2+固有振動数!$P$6:$P$22^2))</f>
        <v>-5.35541188313145</v>
      </c>
      <c r="C955" s="71" t="n">
        <f aca="false">-SUMPRODUCT(固有振動数!$Q$6:$Q$22*固有振動数!$P$6:$P$22/((1-($A955/固有振動数!$O$6:$O$22)^2)^2+固有振動数!$P$6:$P$22^2))</f>
        <v>-1.54773978929326</v>
      </c>
      <c r="D955" s="71" t="n">
        <f aca="false">SQRT(B955^2+C955^2)</f>
        <v>5.57457934676215</v>
      </c>
      <c r="E955" s="72" t="n">
        <f aca="false">20*LOG10(MAX(D955,0.000000000001)/$K$3)</f>
        <v>14.9242420289419</v>
      </c>
      <c r="F955" s="5"/>
      <c r="G955" s="5"/>
      <c r="H955" s="5"/>
      <c r="I955" s="5"/>
      <c r="J955" s="5"/>
      <c r="K955" s="5"/>
      <c r="L955" s="5"/>
      <c r="M955" s="5"/>
      <c r="N955" s="5"/>
    </row>
    <row r="956" customFormat="false" ht="15" hidden="false" customHeight="false" outlineLevel="0" collapsed="false">
      <c r="A956" s="71" t="n">
        <f aca="false">A955+$F$3</f>
        <v>19000</v>
      </c>
      <c r="B956" s="71" t="n">
        <f aca="false">SUMPRODUCT(固有振動数!$Q$6:$Q$22*(1-($A956/固有振動数!$O$6:$O$22)^2)/((1-($A956/固有振動数!$O$6:$O$22)^2)^2+固有振動数!$P$6:$P$22^2))</f>
        <v>-5.03001225458141</v>
      </c>
      <c r="C956" s="71" t="n">
        <f aca="false">-SUMPRODUCT(固有振動数!$Q$6:$Q$22*固有振動数!$P$6:$P$22/((1-($A956/固有振動数!$O$6:$O$22)^2)^2+固有振動数!$P$6:$P$22^2))</f>
        <v>-1.49266665137814</v>
      </c>
      <c r="D956" s="71" t="n">
        <f aca="false">SQRT(B956^2+C956^2)</f>
        <v>5.24681589284164</v>
      </c>
      <c r="E956" s="72" t="n">
        <f aca="false">20*LOG10(MAX(D956,0.000000000001)/$K$3)</f>
        <v>14.3979165074249</v>
      </c>
      <c r="F956" s="5"/>
      <c r="G956" s="5"/>
      <c r="H956" s="5"/>
      <c r="I956" s="5"/>
      <c r="J956" s="5"/>
      <c r="K956" s="5"/>
      <c r="L956" s="5"/>
      <c r="M956" s="5"/>
      <c r="N956" s="5"/>
    </row>
    <row r="957" customFormat="false" ht="15" hidden="false" customHeight="false" outlineLevel="0" collapsed="false">
      <c r="A957" s="71" t="n">
        <f aca="false">A956+$F$3</f>
        <v>19020</v>
      </c>
      <c r="B957" s="71" t="n">
        <f aca="false">SUMPRODUCT(固有振動数!$Q$6:$Q$22*(1-($A957/固有振動数!$O$6:$O$22)^2)/((1-($A957/固有振動数!$O$6:$O$22)^2)^2+固有振動数!$P$6:$P$22^2))</f>
        <v>-4.71633240439502</v>
      </c>
      <c r="C957" s="71" t="n">
        <f aca="false">-SUMPRODUCT(固有振動数!$Q$6:$Q$22*固有振動数!$P$6:$P$22/((1-($A957/固有振動数!$O$6:$O$22)^2)^2+固有振動数!$P$6:$P$22^2))</f>
        <v>-1.44124925430262</v>
      </c>
      <c r="D957" s="71" t="n">
        <f aca="false">SQRT(B957^2+C957^2)</f>
        <v>4.93163165309154</v>
      </c>
      <c r="E957" s="72" t="n">
        <f aca="false">20*LOG10(MAX(D957,0.000000000001)/$K$3)</f>
        <v>13.8598126277205</v>
      </c>
      <c r="F957" s="5"/>
      <c r="G957" s="5"/>
      <c r="H957" s="5"/>
      <c r="I957" s="5"/>
      <c r="J957" s="5"/>
      <c r="K957" s="5"/>
      <c r="L957" s="5"/>
      <c r="M957" s="5"/>
      <c r="N957" s="5"/>
    </row>
    <row r="958" customFormat="false" ht="15" hidden="false" customHeight="false" outlineLevel="0" collapsed="false">
      <c r="A958" s="71" t="n">
        <f aca="false">A957+$F$3</f>
        <v>19040</v>
      </c>
      <c r="B958" s="71" t="n">
        <f aca="false">SUMPRODUCT(固有振動数!$Q$6:$Q$22*(1-($A958/固有振動数!$O$6:$O$22)^2)/((1-($A958/固有振動数!$O$6:$O$22)^2)^2+固有振動数!$P$6:$P$22^2))</f>
        <v>-4.41364185506102</v>
      </c>
      <c r="C958" s="71" t="n">
        <f aca="false">-SUMPRODUCT(固有振動数!$Q$6:$Q$22*固有振動数!$P$6:$P$22/((1-($A958/固有振動数!$O$6:$O$22)^2)^2+固有振動数!$P$6:$P$22^2))</f>
        <v>-1.3931748387717</v>
      </c>
      <c r="D958" s="71" t="n">
        <f aca="false">SQRT(B958^2+C958^2)</f>
        <v>4.62830104424215</v>
      </c>
      <c r="E958" s="72" t="n">
        <f aca="false">20*LOG10(MAX(D958,0.000000000001)/$K$3)</f>
        <v>13.3084319909057</v>
      </c>
      <c r="F958" s="5"/>
      <c r="G958" s="5"/>
      <c r="H958" s="5"/>
      <c r="I958" s="5"/>
      <c r="J958" s="5"/>
      <c r="K958" s="5"/>
      <c r="L958" s="5"/>
      <c r="M958" s="5"/>
      <c r="N958" s="5"/>
    </row>
    <row r="959" customFormat="false" ht="15" hidden="false" customHeight="false" outlineLevel="0" collapsed="false">
      <c r="A959" s="71" t="n">
        <f aca="false">A958+$F$3</f>
        <v>19060</v>
      </c>
      <c r="B959" s="71" t="n">
        <f aca="false">SUMPRODUCT(固有振動数!$Q$6:$Q$22*(1-($A959/固有振動数!$O$6:$O$22)^2)/((1-($A959/固有振動数!$O$6:$O$22)^2)^2+固有振動数!$P$6:$P$22^2))</f>
        <v>-4.12126934301166</v>
      </c>
      <c r="C959" s="71" t="n">
        <f aca="false">-SUMPRODUCT(固有振動数!$Q$6:$Q$22*固有振動数!$P$6:$P$22/((1-($A959/固有振動数!$O$6:$O$22)^2)^2+固有振動数!$P$6:$P$22^2))</f>
        <v>-1.3481636945114</v>
      </c>
      <c r="D959" s="71" t="n">
        <f aca="false">SQRT(B959^2+C959^2)</f>
        <v>4.33617415988408</v>
      </c>
      <c r="E959" s="72" t="n">
        <f aca="false">20*LOG10(MAX(D959,0.000000000001)/$K$3)</f>
        <v>12.74213434126</v>
      </c>
      <c r="F959" s="5"/>
      <c r="G959" s="5"/>
      <c r="H959" s="5"/>
      <c r="I959" s="5"/>
      <c r="J959" s="5"/>
      <c r="K959" s="5"/>
      <c r="L959" s="5"/>
      <c r="M959" s="5"/>
      <c r="N959" s="5"/>
    </row>
    <row r="960" customFormat="false" ht="15" hidden="false" customHeight="false" outlineLevel="0" collapsed="false">
      <c r="A960" s="71" t="n">
        <f aca="false">A959+$F$3</f>
        <v>19080</v>
      </c>
      <c r="B960" s="71" t="n">
        <f aca="false">SUMPRODUCT(固有振動数!$Q$6:$Q$22*(1-($A960/固有振動数!$O$6:$O$22)^2)/((1-($A960/固有振動数!$O$6:$O$22)^2)^2+固有振動数!$P$6:$P$22^2))</f>
        <v>-3.83859692442088</v>
      </c>
      <c r="C960" s="71" t="n">
        <f aca="false">-SUMPRODUCT(固有振動数!$Q$6:$Q$22*固有振動数!$P$6:$P$22/((1-($A960/固有振動数!$O$6:$O$22)^2)^2+固有振動数!$P$6:$P$22^2))</f>
        <v>-1.30596506113146</v>
      </c>
      <c r="D960" s="71" t="n">
        <f aca="false">SQRT(B960^2+C960^2)</f>
        <v>4.05467274746921</v>
      </c>
      <c r="E960" s="72" t="n">
        <f aca="false">20*LOG10(MAX(D960,0.000000000001)/$K$3)</f>
        <v>12.1591161613081</v>
      </c>
      <c r="F960" s="5"/>
      <c r="G960" s="5"/>
      <c r="H960" s="5"/>
      <c r="I960" s="5"/>
      <c r="J960" s="5"/>
      <c r="K960" s="5"/>
      <c r="L960" s="5"/>
      <c r="M960" s="5"/>
      <c r="N960" s="5"/>
    </row>
    <row r="961" customFormat="false" ht="15" hidden="false" customHeight="false" outlineLevel="0" collapsed="false">
      <c r="A961" s="71" t="n">
        <f aca="false">A960+$F$3</f>
        <v>19100</v>
      </c>
      <c r="B961" s="71" t="n">
        <f aca="false">SUMPRODUCT(固有振動数!$Q$6:$Q$22*(1-($A961/固有振動数!$O$6:$O$22)^2)/((1-($A961/固有振動数!$O$6:$O$22)^2)^2+固有振動数!$P$6:$P$22^2))</f>
        <v>-3.56505476454983</v>
      </c>
      <c r="C961" s="71" t="n">
        <f aca="false">-SUMPRODUCT(固有振動数!$Q$6:$Q$22*固有振動数!$P$6:$P$22/((1-($A961/固有振動数!$O$6:$O$22)^2)^2+固有振動数!$P$6:$P$22^2))</f>
        <v>-1.26635360914056</v>
      </c>
      <c r="D961" s="71" t="n">
        <f aca="false">SQRT(B961^2+C961^2)</f>
        <v>3.78328784757686</v>
      </c>
      <c r="E961" s="72" t="n">
        <f aca="false">20*LOG10(MAX(D961,0.000000000001)/$K$3)</f>
        <v>11.5573877080039</v>
      </c>
      <c r="F961" s="5"/>
      <c r="G961" s="5"/>
      <c r="H961" s="5"/>
      <c r="I961" s="5"/>
      <c r="J961" s="5"/>
      <c r="K961" s="5"/>
      <c r="L961" s="5"/>
      <c r="M961" s="5"/>
      <c r="N961" s="5"/>
    </row>
    <row r="962" customFormat="false" ht="15" hidden="false" customHeight="false" outlineLevel="0" collapsed="false">
      <c r="A962" s="71" t="n">
        <f aca="false">A961+$F$3</f>
        <v>19120</v>
      </c>
      <c r="B962" s="71" t="n">
        <f aca="false">SUMPRODUCT(固有振動数!$Q$6:$Q$22*(1-($A962/固有振動数!$O$6:$O$22)^2)/((1-($A962/固有振動数!$O$6:$O$22)^2)^2+固有振動数!$P$6:$P$22^2))</f>
        <v>-3.30011652105984</v>
      </c>
      <c r="C962" s="71" t="n">
        <f aca="false">-SUMPRODUCT(固有振動数!$Q$6:$Q$22*固有振動数!$P$6:$P$22/((1-($A962/固有振動数!$O$6:$O$22)^2)^2+固有振動数!$P$6:$P$22^2))</f>
        <v>-1.22912640938463</v>
      </c>
      <c r="D962" s="71" t="n">
        <f aca="false">SQRT(B962^2+C962^2)</f>
        <v>3.52157930236121</v>
      </c>
      <c r="E962" s="72" t="n">
        <f aca="false">20*LOG10(MAX(D962,0.000000000001)/$K$3)</f>
        <v>10.9347494541131</v>
      </c>
      <c r="F962" s="5"/>
      <c r="G962" s="5"/>
      <c r="H962" s="5"/>
      <c r="I962" s="5"/>
      <c r="J962" s="5"/>
      <c r="K962" s="5"/>
      <c r="L962" s="5"/>
      <c r="M962" s="5"/>
      <c r="N962" s="5"/>
    </row>
    <row r="963" customFormat="false" ht="15" hidden="false" customHeight="false" outlineLevel="0" collapsed="false">
      <c r="A963" s="71" t="n">
        <f aca="false">A962+$F$3</f>
        <v>19140</v>
      </c>
      <c r="B963" s="71" t="n">
        <f aca="false">SUMPRODUCT(固有振動数!$Q$6:$Q$22*(1-($A963/固有振動数!$O$6:$O$22)^2)/((1-($A963/固有振動数!$O$6:$O$22)^2)^2+固有振動数!$P$6:$P$22^2))</f>
        <v>-3.04329524466987</v>
      </c>
      <c r="C963" s="71" t="n">
        <f aca="false">-SUMPRODUCT(固有振動数!$Q$6:$Q$22*固有振動数!$P$6:$P$22/((1-($A963/固有振動数!$O$6:$O$22)^2)^2+固有振動数!$P$6:$P$22^2))</f>
        <v>-1.19410031513195</v>
      </c>
      <c r="D963" s="71" t="n">
        <f aca="false">SQRT(B963^2+C963^2)</f>
        <v>3.2691774972963</v>
      </c>
      <c r="E963" s="72" t="n">
        <f aca="false">20*LOG10(MAX(D963,0.000000000001)/$K$3)</f>
        <v>10.2887700176253</v>
      </c>
      <c r="F963" s="5"/>
      <c r="G963" s="5"/>
      <c r="H963" s="5"/>
      <c r="I963" s="5"/>
      <c r="J963" s="5"/>
      <c r="K963" s="5"/>
      <c r="L963" s="5"/>
      <c r="M963" s="5"/>
      <c r="N963" s="5"/>
    </row>
    <row r="964" customFormat="false" ht="15" hidden="false" customHeight="false" outlineLevel="0" collapsed="false">
      <c r="A964" s="71" t="n">
        <f aca="false">A963+$F$3</f>
        <v>19160</v>
      </c>
      <c r="B964" s="71" t="n">
        <f aca="false">SUMPRODUCT(固有振動数!$Q$6:$Q$22*(1-($A964/固有振動数!$O$6:$O$22)^2)/((1-($A964/固有振動数!$O$6:$O$22)^2)^2+固有振動数!$P$6:$P$22^2))</f>
        <v>-2.79413973146407</v>
      </c>
      <c r="C964" s="71" t="n">
        <f aca="false">-SUMPRODUCT(固有振動数!$Q$6:$Q$22*固有振動数!$P$6:$P$22/((1-($A964/固有振動数!$O$6:$O$22)^2)^2+固有振動数!$P$6:$P$22^2))</f>
        <v>-1.16110969396692</v>
      </c>
      <c r="D964" s="71" t="n">
        <f aca="false">SQRT(B964^2+C964^2)</f>
        <v>3.0257879238919</v>
      </c>
      <c r="E964" s="72" t="n">
        <f aca="false">20*LOG10(MAX(D964,0.000000000001)/$K$3)</f>
        <v>9.61676970499808</v>
      </c>
      <c r="F964" s="5"/>
      <c r="G964" s="5"/>
      <c r="H964" s="5"/>
      <c r="I964" s="5"/>
      <c r="J964" s="5"/>
      <c r="K964" s="5"/>
      <c r="L964" s="5"/>
      <c r="M964" s="5"/>
      <c r="N964" s="5"/>
    </row>
    <row r="965" customFormat="false" ht="15" hidden="false" customHeight="false" outlineLevel="0" collapsed="false">
      <c r="A965" s="71" t="n">
        <f aca="false">A964+$F$3</f>
        <v>19180</v>
      </c>
      <c r="B965" s="71" t="n">
        <f aca="false">SUMPRODUCT(固有振動数!$Q$6:$Q$22*(1-($A965/固有振動数!$O$6:$O$22)^2)/((1-($A965/固有振動数!$O$6:$O$22)^2)^2+固有振動数!$P$6:$P$22^2))</f>
        <v>-2.55223127038944</v>
      </c>
      <c r="C965" s="71" t="n">
        <f aca="false">-SUMPRODUCT(固有振動数!$Q$6:$Q$22*固有振動数!$P$6:$P$22/((1-($A965/固有振動数!$O$6:$O$22)^2)^2+固有振動数!$P$6:$P$22^2))</f>
        <v>-1.13000445719071</v>
      </c>
      <c r="D965" s="71" t="n">
        <f aca="false">SQRT(B965^2+C965^2)</f>
        <v>2.79119947886649</v>
      </c>
      <c r="E965" s="72" t="n">
        <f aca="false">20*LOG10(MAX(D965,0.000000000001)/$K$3)</f>
        <v>8.9158175070941</v>
      </c>
      <c r="F965" s="5"/>
      <c r="G965" s="5"/>
      <c r="H965" s="5"/>
      <c r="I965" s="5"/>
      <c r="J965" s="5"/>
      <c r="K965" s="5"/>
      <c r="L965" s="5"/>
      <c r="M965" s="5"/>
      <c r="N965" s="5"/>
    </row>
    <row r="966" customFormat="false" ht="15" hidden="false" customHeight="false" outlineLevel="0" collapsed="false">
      <c r="A966" s="71" t="n">
        <f aca="false">A965+$F$3</f>
        <v>19200</v>
      </c>
      <c r="B966" s="71" t="n">
        <f aca="false">SUMPRODUCT(固有振動数!$Q$6:$Q$22*(1-($A966/固有振動数!$O$6:$O$22)^2)/((1-($A966/固有振動数!$O$6:$O$22)^2)^2+固有振動数!$P$6:$P$22^2))</f>
        <v>-2.31718073730779</v>
      </c>
      <c r="C966" s="71" t="n">
        <f aca="false">-SUMPRODUCT(固有振動数!$Q$6:$Q$22*固有振動数!$P$6:$P$22/((1-($A966/固有振動数!$O$6:$O$22)^2)^2+固有振動数!$P$6:$P$22^2))</f>
        <v>-1.10064834304189</v>
      </c>
      <c r="D966" s="71" t="n">
        <f aca="false">SQRT(B966^2+C966^2)</f>
        <v>2.56529790558351</v>
      </c>
      <c r="E966" s="72" t="n">
        <f aca="false">20*LOG10(MAX(D966,0.000000000001)/$K$3)</f>
        <v>8.18275613155664</v>
      </c>
      <c r="F966" s="5"/>
      <c r="G966" s="5"/>
      <c r="H966" s="5"/>
      <c r="I966" s="5"/>
      <c r="J966" s="5"/>
      <c r="K966" s="5"/>
      <c r="L966" s="5"/>
      <c r="M966" s="5"/>
      <c r="N966" s="5"/>
    </row>
    <row r="967" customFormat="false" ht="15" hidden="false" customHeight="false" outlineLevel="0" collapsed="false">
      <c r="A967" s="71" t="n">
        <f aca="false">A966+$F$3</f>
        <v>19220</v>
      </c>
      <c r="B967" s="71" t="n">
        <f aca="false">SUMPRODUCT(固有振動数!$Q$6:$Q$22*(1-($A967/固有振動数!$O$6:$O$22)^2)/((1-($A967/固有振動数!$O$6:$O$22)^2)^2+固有振動数!$P$6:$P$22^2))</f>
        <v>-2.08862599360989</v>
      </c>
      <c r="C967" s="71" t="n">
        <f aca="false">-SUMPRODUCT(固有振動数!$Q$6:$Q$22*固有振動数!$P$6:$P$22/((1-($A967/固有振動数!$O$6:$O$22)^2)^2+固有振動数!$P$6:$P$22^2))</f>
        <v>-1.07291741712026</v>
      </c>
      <c r="D967" s="71" t="n">
        <f aca="false">SQRT(B967^2+C967^2)</f>
        <v>2.34808652420283</v>
      </c>
      <c r="E967" s="72" t="n">
        <f aca="false">20*LOG10(MAX(D967,0.000000000001)/$K$3)</f>
        <v>7.41428192213757</v>
      </c>
      <c r="F967" s="5"/>
      <c r="G967" s="5"/>
      <c r="H967" s="5"/>
      <c r="I967" s="5"/>
      <c r="J967" s="5"/>
      <c r="K967" s="5"/>
      <c r="L967" s="5"/>
      <c r="M967" s="5"/>
      <c r="N967" s="5"/>
    </row>
    <row r="968" customFormat="false" ht="15" hidden="false" customHeight="false" outlineLevel="0" collapsed="false">
      <c r="A968" s="71" t="n">
        <f aca="false">A967+$F$3</f>
        <v>19240</v>
      </c>
      <c r="B968" s="71" t="n">
        <f aca="false">SUMPRODUCT(固有振動数!$Q$6:$Q$22*(1-($A968/固有振動数!$O$6:$O$22)^2)/((1-($A968/固有振動数!$O$6:$O$22)^2)^2+固有振動数!$P$6:$P$22^2))</f>
        <v>-1.86622955305253</v>
      </c>
      <c r="C968" s="71" t="n">
        <f aca="false">-SUMPRODUCT(固有振動数!$Q$6:$Q$22*固有振動数!$P$6:$P$22/((1-($A968/固有振動数!$O$6:$O$22)^2)^2+固有振動数!$P$6:$P$22^2))</f>
        <v>-1.04669875922207</v>
      </c>
      <c r="D968" s="71" t="n">
        <f aca="false">SQRT(B968^2+C968^2)</f>
        <v>2.13971751342173</v>
      </c>
      <c r="E968" s="72" t="n">
        <f aca="false">20*LOG10(MAX(D968,0.000000000001)/$K$3)</f>
        <v>6.60712882716988</v>
      </c>
      <c r="F968" s="5"/>
      <c r="G968" s="5"/>
      <c r="H968" s="5"/>
      <c r="I968" s="5"/>
      <c r="J968" s="5"/>
      <c r="K968" s="5"/>
      <c r="L968" s="5"/>
      <c r="M968" s="5"/>
      <c r="N968" s="5"/>
    </row>
    <row r="969" customFormat="false" ht="15" hidden="false" customHeight="false" outlineLevel="0" collapsed="false">
      <c r="A969" s="71" t="n">
        <f aca="false">A968+$F$3</f>
        <v>19260</v>
      </c>
      <c r="B969" s="71" t="n">
        <f aca="false">SUMPRODUCT(固有振動数!$Q$6:$Q$22*(1-($A969/固有振動数!$O$6:$O$22)^2)/((1-($A969/固有振動数!$O$6:$O$22)^2)^2+固有振動数!$P$6:$P$22^2))</f>
        <v>-1.64967648530135</v>
      </c>
      <c r="C969" s="71" t="n">
        <f aca="false">-SUMPRODUCT(固有振動数!$Q$6:$Q$22*固有振動数!$P$6:$P$22/((1-($A969/固有振動数!$O$6:$O$22)^2)^2+固有振動数!$P$6:$P$22^2))</f>
        <v>-1.02188931061015</v>
      </c>
      <c r="D969" s="71" t="n">
        <f aca="false">SQRT(B969^2+C969^2)</f>
        <v>1.94053865441931</v>
      </c>
      <c r="E969" s="72" t="n">
        <f aca="false">20*LOG10(MAX(D969,0.000000000001)/$K$3)</f>
        <v>5.75844596119405</v>
      </c>
      <c r="F969" s="5"/>
      <c r="G969" s="5"/>
      <c r="H969" s="5"/>
      <c r="I969" s="5"/>
      <c r="J969" s="5"/>
      <c r="K969" s="5"/>
      <c r="L969" s="5"/>
      <c r="M969" s="5"/>
      <c r="N969" s="5"/>
    </row>
    <row r="970" customFormat="false" ht="15" hidden="false" customHeight="false" outlineLevel="0" collapsed="false">
      <c r="A970" s="71" t="n">
        <f aca="false">A969+$F$3</f>
        <v>19280</v>
      </c>
      <c r="B970" s="71" t="n">
        <f aca="false">SUMPRODUCT(固有振動数!$Q$6:$Q$22*(1-($A970/固有振動数!$O$6:$O$22)^2)/((1-($A970/固有振動数!$O$6:$O$22)^2)^2+固有振動数!$P$6:$P$22^2))</f>
        <v>-1.43867252878601</v>
      </c>
      <c r="C970" s="71" t="n">
        <f aca="false">-SUMPRODUCT(固有振動数!$Q$6:$Q$22*固有振動数!$P$6:$P$22/((1-($A970/固有振動数!$O$6:$O$22)^2)^2+固有振動数!$P$6:$P$22^2))</f>
        <v>-0.998394859737351</v>
      </c>
      <c r="D970" s="71" t="n">
        <f aca="false">SQRT(B970^2+C970^2)</f>
        <v>1.75116273973423</v>
      </c>
      <c r="E970" s="72" t="n">
        <f aca="false">20*LOG10(MAX(D970,0.000000000001)/$K$3)</f>
        <v>4.86653015964003</v>
      </c>
      <c r="F970" s="5"/>
      <c r="G970" s="5"/>
      <c r="H970" s="5"/>
      <c r="I970" s="5"/>
      <c r="J970" s="5"/>
      <c r="K970" s="5"/>
      <c r="L970" s="5"/>
      <c r="M970" s="5"/>
      <c r="N970" s="5"/>
    </row>
    <row r="971" customFormat="false" ht="15" hidden="false" customHeight="false" outlineLevel="0" collapsed="false">
      <c r="A971" s="71" t="n">
        <f aca="false">A970+$F$3</f>
        <v>19300</v>
      </c>
      <c r="B971" s="71" t="n">
        <f aca="false">SUMPRODUCT(固有振動数!$Q$6:$Q$22*(1-($A971/固有振動数!$O$6:$O$22)^2)/((1-($A971/固有振動数!$O$6:$O$22)^2)^2+固有振動数!$P$6:$P$22^2))</f>
        <v>-1.23294238900567</v>
      </c>
      <c r="C971" s="71" t="n">
        <f aca="false">-SUMPRODUCT(固有振動数!$Q$6:$Q$22*固有振動数!$P$6:$P$22/((1-($A971/固有振動数!$O$6:$O$22)^2)^2+固有振動数!$P$6:$P$22^2))</f>
        <v>-0.976129147767011</v>
      </c>
      <c r="D971" s="71" t="n">
        <f aca="false">SQRT(B971^2+C971^2)</f>
        <v>1.57256956848572</v>
      </c>
      <c r="E971" s="72" t="n">
        <f aca="false">20*LOG10(MAX(D971,0.000000000001)/$K$3)</f>
        <v>3.93219734360089</v>
      </c>
      <c r="F971" s="5"/>
      <c r="G971" s="5"/>
      <c r="H971" s="5"/>
      <c r="I971" s="5"/>
      <c r="J971" s="5"/>
      <c r="K971" s="5"/>
      <c r="L971" s="5"/>
      <c r="M971" s="5"/>
      <c r="N971" s="5"/>
    </row>
    <row r="972" customFormat="false" ht="15" hidden="false" customHeight="false" outlineLevel="0" collapsed="false">
      <c r="A972" s="71" t="n">
        <f aca="false">A971+$F$3</f>
        <v>19320</v>
      </c>
      <c r="B972" s="71" t="n">
        <f aca="false">SUMPRODUCT(固有振動数!$Q$6:$Q$22*(1-($A972/固有振動数!$O$6:$O$22)^2)/((1-($A972/固有振動数!$O$6:$O$22)^2)^2+固有振動数!$P$6:$P$22^2))</f>
        <v>-1.03222820145637</v>
      </c>
      <c r="C972" s="71" t="n">
        <f aca="false">-SUMPRODUCT(固有振動数!$Q$6:$Q$22*固有振動数!$P$6:$P$22/((1-($A972/固有振動数!$O$6:$O$22)^2)^2+固有振動数!$P$6:$P$22^2))</f>
        <v>-0.955013078010692</v>
      </c>
      <c r="D972" s="71" t="n">
        <f aca="false">SQRT(B972^2+C972^2)</f>
        <v>1.40625212499513</v>
      </c>
      <c r="E972" s="72" t="n">
        <f aca="false">20*LOG10(MAX(D972,0.000000000001)/$K$3)</f>
        <v>2.96126383441309</v>
      </c>
      <c r="F972" s="5"/>
      <c r="G972" s="5"/>
      <c r="H972" s="5"/>
      <c r="I972" s="5"/>
      <c r="J972" s="5"/>
      <c r="K972" s="5"/>
      <c r="L972" s="5"/>
      <c r="M972" s="5"/>
      <c r="N972" s="5"/>
    </row>
    <row r="973" customFormat="false" ht="15" hidden="false" customHeight="false" outlineLevel="0" collapsed="false">
      <c r="A973" s="71" t="n">
        <f aca="false">A972+$F$3</f>
        <v>19340</v>
      </c>
      <c r="B973" s="71" t="n">
        <f aca="false">SUMPRODUCT(固有振動数!$Q$6:$Q$22*(1-($A973/固有振動数!$O$6:$O$22)^2)/((1-($A973/固有振動数!$O$6:$O$22)^2)^2+固有振動数!$P$6:$P$22^2))</f>
        <v>-0.836288140963137</v>
      </c>
      <c r="C973" s="71" t="n">
        <f aca="false">-SUMPRODUCT(固有振動数!$Q$6:$Q$22*固有振動数!$P$6:$P$22/((1-($A973/固有振動数!$O$6:$O$22)^2)^2+固有振動数!$P$6:$P$22^2))</f>
        <v>-0.934974015729461</v>
      </c>
      <c r="D973" s="71" t="n">
        <f aca="false">SQRT(B973^2+C973^2)</f>
        <v>1.25441391287121</v>
      </c>
      <c r="E973" s="72" t="n">
        <f aca="false">20*LOG10(MAX(D973,0.000000000001)/$K$3)</f>
        <v>1.96881724369637</v>
      </c>
      <c r="F973" s="5"/>
      <c r="G973" s="5"/>
      <c r="H973" s="5"/>
      <c r="I973" s="5"/>
      <c r="J973" s="5"/>
      <c r="K973" s="5"/>
      <c r="L973" s="5"/>
      <c r="M973" s="5"/>
      <c r="N973" s="5"/>
    </row>
    <row r="974" customFormat="false" ht="15" hidden="false" customHeight="false" outlineLevel="0" collapsed="false">
      <c r="A974" s="71" t="n">
        <f aca="false">A973+$F$3</f>
        <v>19360</v>
      </c>
      <c r="B974" s="71" t="n">
        <f aca="false">SUMPRODUCT(固有振動数!$Q$6:$Q$22*(1-($A974/固有振動数!$O$6:$O$22)^2)/((1-($A974/固有振動数!$O$6:$O$22)^2)^2+固有振動数!$P$6:$P$22^2))</f>
        <v>-0.644895161450062</v>
      </c>
      <c r="C974" s="71" t="n">
        <f aca="false">-SUMPRODUCT(固有振動数!$Q$6:$Q$22*固有振動数!$P$6:$P$22/((1-($A974/固有振動数!$O$6:$O$22)^2)^2+固有振動数!$P$6:$P$22^2))</f>
        <v>-0.915945166698994</v>
      </c>
      <c r="D974" s="71" t="n">
        <f aca="false">SQRT(B974^2+C974^2)</f>
        <v>1.12019878488639</v>
      </c>
      <c r="E974" s="72" t="n">
        <f aca="false">20*LOG10(MAX(D974,0.000000000001)/$K$3)</f>
        <v>0.985901944811539</v>
      </c>
      <c r="F974" s="5"/>
      <c r="G974" s="5"/>
      <c r="H974" s="5"/>
      <c r="I974" s="5"/>
      <c r="J974" s="5"/>
      <c r="K974" s="5"/>
      <c r="L974" s="5"/>
      <c r="M974" s="5"/>
      <c r="N974" s="5"/>
    </row>
    <row r="975" customFormat="false" ht="15" hidden="false" customHeight="false" outlineLevel="0" collapsed="false">
      <c r="A975" s="71" t="n">
        <f aca="false">A974+$F$3</f>
        <v>19380</v>
      </c>
      <c r="B975" s="71" t="n">
        <f aca="false">SUMPRODUCT(固有振動数!$Q$6:$Q$22*(1-($A975/固有振動数!$O$6:$O$22)^2)/((1-($A975/固有振動数!$O$6:$O$22)^2)^2+固有振動数!$P$6:$P$22^2))</f>
        <v>-0.457835852128012</v>
      </c>
      <c r="C975" s="71" t="n">
        <f aca="false">-SUMPRODUCT(固有振動数!$Q$6:$Q$22*固有振動数!$P$6:$P$22/((1-($A975/固有振動数!$O$6:$O$22)^2)^2+固有振動数!$P$6:$P$22^2))</f>
        <v>-0.897865024585423</v>
      </c>
      <c r="D975" s="71" t="n">
        <f aca="false">SQRT(B975^2+C975^2)</f>
        <v>1.00785677051234</v>
      </c>
      <c r="E975" s="72" t="n">
        <f aca="false">20*LOG10(MAX(D975,0.000000000001)/$K$3)</f>
        <v>0.0679763525887898</v>
      </c>
      <c r="F975" s="5"/>
      <c r="G975" s="5"/>
      <c r="H975" s="5"/>
      <c r="I975" s="5"/>
      <c r="J975" s="5"/>
      <c r="K975" s="5"/>
      <c r="L975" s="5"/>
      <c r="M975" s="5"/>
      <c r="N975" s="5"/>
    </row>
    <row r="976" customFormat="false" ht="15" hidden="false" customHeight="false" outlineLevel="0" collapsed="false">
      <c r="A976" s="71" t="n">
        <f aca="false">A975+$F$3</f>
        <v>19400</v>
      </c>
      <c r="B976" s="71" t="n">
        <f aca="false">SUMPRODUCT(固有振動数!$Q$6:$Q$22*(1-($A976/固有振動数!$O$6:$O$22)^2)/((1-($A976/固有振動数!$O$6:$O$22)^2)^2+固有振動数!$P$6:$P$22^2))</f>
        <v>-0.274909397764494</v>
      </c>
      <c r="C976" s="71" t="n">
        <f aca="false">-SUMPRODUCT(固有振動数!$Q$6:$Q$22*固有振動数!$P$6:$P$22/((1-($A976/固有振動数!$O$6:$O$22)^2)^2+固有振動数!$P$6:$P$22^2))</f>
        <v>-0.880676878570189</v>
      </c>
      <c r="D976" s="71" t="n">
        <f aca="false">SQRT(B976^2+C976^2)</f>
        <v>0.922587091513516</v>
      </c>
      <c r="E976" s="72" t="n">
        <f aca="false">20*LOG10(MAX(D976,0.000000000001)/$K$3)</f>
        <v>-0.699852523357744</v>
      </c>
      <c r="F976" s="5"/>
      <c r="G976" s="5"/>
      <c r="H976" s="5"/>
      <c r="I976" s="5"/>
      <c r="J976" s="5"/>
      <c r="K976" s="5"/>
      <c r="L976" s="5"/>
      <c r="M976" s="5"/>
      <c r="N976" s="5"/>
    </row>
    <row r="977" customFormat="false" ht="15" hidden="false" customHeight="false" outlineLevel="0" collapsed="false">
      <c r="A977" s="71" t="n">
        <f aca="false">A976+$F$3</f>
        <v>19420</v>
      </c>
      <c r="B977" s="71" t="n">
        <f aca="false">SUMPRODUCT(固有振動数!$Q$6:$Q$22*(1-($A977/固有振動数!$O$6:$O$22)^2)/((1-($A977/固有振動数!$O$6:$O$22)^2)^2+固有振動数!$P$6:$P$22^2))</f>
        <v>-0.0959266321628359</v>
      </c>
      <c r="C977" s="71" t="n">
        <f aca="false">-SUMPRODUCT(固有振動数!$Q$6:$Q$22*固有振動数!$P$6:$P$22/((1-($A977/固有振動数!$O$6:$O$22)^2)^2+固有振動数!$P$6:$P$22^2))</f>
        <v>-0.864328373841099</v>
      </c>
      <c r="D977" s="71" t="n">
        <f aca="false">SQRT(B977^2+C977^2)</f>
        <v>0.869635243412376</v>
      </c>
      <c r="E977" s="72" t="n">
        <f aca="false">20*LOG10(MAX(D977,0.000000000001)/$K$3)</f>
        <v>-1.21325736120057</v>
      </c>
      <c r="F977" s="5"/>
      <c r="G977" s="5"/>
      <c r="H977" s="5"/>
      <c r="I977" s="5"/>
      <c r="J977" s="5"/>
      <c r="K977" s="5"/>
      <c r="L977" s="5"/>
      <c r="M977" s="5"/>
      <c r="N977" s="5"/>
    </row>
    <row r="978" customFormat="false" ht="15" hidden="false" customHeight="false" outlineLevel="0" collapsed="false">
      <c r="A978" s="71" t="n">
        <f aca="false">A977+$F$3</f>
        <v>19440</v>
      </c>
      <c r="B978" s="71" t="n">
        <f aca="false">SUMPRODUCT(固有振動数!$Q$6:$Q$22*(1-($A978/固有振動数!$O$6:$O$22)^2)/((1-($A978/固有振動数!$O$6:$O$22)^2)^2+固有振動数!$P$6:$P$22^2))</f>
        <v>0.0792908247515351</v>
      </c>
      <c r="C978" s="71" t="n">
        <f aca="false">-SUMPRODUCT(固有振動数!$Q$6:$Q$22*固有振動数!$P$6:$P$22/((1-($A978/固有振動数!$O$6:$O$22)^2)^2+固有振動数!$P$6:$P$22^2))</f>
        <v>-0.848771118568206</v>
      </c>
      <c r="D978" s="71" t="n">
        <f aca="false">SQRT(B978^2+C978^2)</f>
        <v>0.852466683574967</v>
      </c>
      <c r="E978" s="72" t="n">
        <f aca="false">20*LOG10(MAX(D978,0.000000000001)/$K$3)</f>
        <v>-1.38645170529672</v>
      </c>
      <c r="F978" s="5"/>
      <c r="G978" s="5"/>
      <c r="H978" s="5"/>
      <c r="I978" s="5"/>
      <c r="J978" s="5"/>
      <c r="K978" s="5"/>
      <c r="L978" s="5"/>
      <c r="M978" s="5"/>
      <c r="N978" s="5"/>
    </row>
    <row r="979" customFormat="false" ht="15" hidden="false" customHeight="false" outlineLevel="0" collapsed="false">
      <c r="A979" s="71" t="n">
        <f aca="false">A978+$F$3</f>
        <v>19460</v>
      </c>
      <c r="B979" s="71" t="n">
        <f aca="false">SUMPRODUCT(固有振動数!$Q$6:$Q$22*(1-($A979/固有振動数!$O$6:$O$22)^2)/((1-($A979/固有振動数!$O$6:$O$22)^2)^2+固有振動数!$P$6:$P$22^2))</f>
        <v>0.25091135473103</v>
      </c>
      <c r="C979" s="71" t="n">
        <f aca="false">-SUMPRODUCT(固有振動数!$Q$6:$Q$22*固有振動数!$P$6:$P$22/((1-($A979/固有振動数!$O$6:$O$22)^2)^2+固有振動数!$P$6:$P$22^2))</f>
        <v>-0.833960331836372</v>
      </c>
      <c r="D979" s="71" t="n">
        <f aca="false">SQRT(B979^2+C979^2)</f>
        <v>0.870888249438234</v>
      </c>
      <c r="E979" s="72" t="n">
        <f aca="false">20*LOG10(MAX(D979,0.000000000001)/$K$3)</f>
        <v>-1.2007513835665</v>
      </c>
      <c r="F979" s="5"/>
      <c r="G979" s="5"/>
      <c r="H979" s="5"/>
      <c r="I979" s="5"/>
      <c r="J979" s="5"/>
      <c r="K979" s="5"/>
      <c r="L979" s="5"/>
      <c r="M979" s="5"/>
      <c r="N979" s="5"/>
    </row>
    <row r="980" customFormat="false" ht="15" hidden="false" customHeight="false" outlineLevel="0" collapsed="false">
      <c r="A980" s="71" t="n">
        <f aca="false">A979+$F$3</f>
        <v>19480</v>
      </c>
      <c r="B980" s="71" t="n">
        <f aca="false">SUMPRODUCT(固有振動数!$Q$6:$Q$22*(1-($A980/固有振動数!$O$6:$O$22)^2)/((1-($A980/固有振動数!$O$6:$O$22)^2)^2+固有振動数!$P$6:$P$22^2))</f>
        <v>0.419094061419632</v>
      </c>
      <c r="C980" s="71" t="n">
        <f aca="false">-SUMPRODUCT(固有振動数!$Q$6:$Q$22*固有振動数!$P$6:$P$22/((1-($A980/固有振動数!$O$6:$O$22)^2)^2+固有振動数!$P$6:$P$22^2))</f>
        <v>-0.81985452773456</v>
      </c>
      <c r="D980" s="71" t="n">
        <f aca="false">SQRT(B980^2+C980^2)</f>
        <v>0.920761249708121</v>
      </c>
      <c r="E980" s="72" t="n">
        <f aca="false">20*LOG10(MAX(D980,0.000000000001)/$K$3)</f>
        <v>-0.717059326054773</v>
      </c>
      <c r="F980" s="5"/>
      <c r="G980" s="5"/>
      <c r="H980" s="5"/>
      <c r="I980" s="5"/>
      <c r="J980" s="5"/>
      <c r="K980" s="5"/>
      <c r="L980" s="5"/>
      <c r="M980" s="5"/>
      <c r="N980" s="5"/>
    </row>
    <row r="981" customFormat="false" ht="15" hidden="false" customHeight="false" outlineLevel="0" collapsed="false">
      <c r="A981" s="71" t="n">
        <f aca="false">A980+$F$3</f>
        <v>19500</v>
      </c>
      <c r="B981" s="71" t="n">
        <f aca="false">SUMPRODUCT(固有振動数!$Q$6:$Q$22*(1-($A981/固有振動数!$O$6:$O$22)^2)/((1-($A981/固有振動数!$O$6:$O$22)^2)^2+固有振動数!$P$6:$P$22^2))</f>
        <v>0.583989429662166</v>
      </c>
      <c r="C981" s="71" t="n">
        <f aca="false">-SUMPRODUCT(固有振動数!$Q$6:$Q$22*固有振動数!$P$6:$P$22/((1-($A981/固有振動数!$O$6:$O$22)^2)^2+固有振動数!$P$6:$P$22^2))</f>
        <v>-0.806415231425453</v>
      </c>
      <c r="D981" s="71" t="n">
        <f aca="false">SQRT(B981^2+C981^2)</f>
        <v>0.995665194446461</v>
      </c>
      <c r="E981" s="72" t="n">
        <f aca="false">20*LOG10(MAX(D981,0.000000000001)/$K$3)</f>
        <v>-0.0377334855162575</v>
      </c>
      <c r="F981" s="5"/>
      <c r="G981" s="5"/>
      <c r="H981" s="5"/>
      <c r="I981" s="5"/>
      <c r="J981" s="5"/>
      <c r="K981" s="5"/>
      <c r="L981" s="5"/>
      <c r="M981" s="5"/>
      <c r="N981" s="5"/>
    </row>
    <row r="982" customFormat="false" ht="15" hidden="false" customHeight="false" outlineLevel="0" collapsed="false">
      <c r="A982" s="71" t="n">
        <f aca="false">A981+$F$3</f>
        <v>19520</v>
      </c>
      <c r="B982" s="71" t="n">
        <f aca="false">SUMPRODUCT(固有振動数!$Q$6:$Q$22*(1-($A982/固有振動数!$O$6:$O$22)^2)/((1-($A982/固有振動数!$O$6:$O$22)^2)^2+固有振動数!$P$6:$P$22^2))</f>
        <v>0.745739929849974</v>
      </c>
      <c r="C982" s="71" t="n">
        <f aca="false">-SUMPRODUCT(固有振動数!$Q$6:$Q$22*固有振動数!$P$6:$P$22/((1-($A982/固有振動数!$O$6:$O$22)^2)^2+固有振動数!$P$6:$P$22^2))</f>
        <v>-0.793606723553829</v>
      </c>
      <c r="D982" s="71" t="n">
        <f aca="false">SQRT(B982^2+C982^2)</f>
        <v>1.08900857418226</v>
      </c>
      <c r="E982" s="72" t="n">
        <f aca="false">20*LOG10(MAX(D982,0.000000000001)/$K$3)</f>
        <v>0.740625982725875</v>
      </c>
      <c r="F982" s="5"/>
      <c r="G982" s="5"/>
      <c r="H982" s="5"/>
      <c r="I982" s="5"/>
      <c r="J982" s="5"/>
      <c r="K982" s="5"/>
      <c r="L982" s="5"/>
      <c r="M982" s="5"/>
      <c r="N982" s="5"/>
    </row>
    <row r="983" customFormat="false" ht="15" hidden="false" customHeight="false" outlineLevel="0" collapsed="false">
      <c r="A983" s="71" t="n">
        <f aca="false">A982+$F$3</f>
        <v>19540</v>
      </c>
      <c r="B983" s="71" t="n">
        <f aca="false">SUMPRODUCT(固有振動数!$Q$6:$Q$22*(1-($A983/固有振動数!$O$6:$O$22)^2)/((1-($A983/固有振動数!$O$6:$O$22)^2)^2+固有振動数!$P$6:$P$22^2))</f>
        <v>0.904480572594217</v>
      </c>
      <c r="C983" s="71" t="n">
        <f aca="false">-SUMPRODUCT(固有振動数!$Q$6:$Q$22*固有振動数!$P$6:$P$22/((1-($A983/固有振動数!$O$6:$O$22)^2)^2+固有振動数!$P$6:$P$22^2))</f>
        <v>-0.781395809812054</v>
      </c>
      <c r="D983" s="71" t="n">
        <f aca="false">SQRT(B983^2+C983^2)</f>
        <v>1.19526755071498</v>
      </c>
      <c r="E983" s="72" t="n">
        <f aca="false">20*LOG10(MAX(D983,0.000000000001)/$K$3)</f>
        <v>1.54930258758178</v>
      </c>
      <c r="F983" s="5"/>
      <c r="G983" s="5"/>
      <c r="H983" s="5"/>
      <c r="I983" s="5"/>
      <c r="J983" s="5"/>
      <c r="K983" s="5"/>
      <c r="L983" s="5"/>
      <c r="M983" s="5"/>
      <c r="N983" s="5"/>
    </row>
    <row r="984" customFormat="false" ht="15" hidden="false" customHeight="false" outlineLevel="0" collapsed="false">
      <c r="A984" s="71" t="n">
        <f aca="false">A983+$F$3</f>
        <v>19560</v>
      </c>
      <c r="B984" s="71" t="n">
        <f aca="false">SUMPRODUCT(固有振動数!$Q$6:$Q$22*(1-($A984/固有振動数!$O$6:$O$22)^2)/((1-($A984/固有振動数!$O$6:$O$22)^2)^2+固有振動数!$P$6:$P$22^2))</f>
        <v>1.06033941844676</v>
      </c>
      <c r="C984" s="71" t="n">
        <f aca="false">-SUMPRODUCT(固有振動数!$Q$6:$Q$22*固有振動数!$P$6:$P$22/((1-($A984/固有振動数!$O$6:$O$22)^2)^2+固有振動数!$P$6:$P$22^2))</f>
        <v>-0.769751612877363</v>
      </c>
      <c r="D984" s="71" t="n">
        <f aca="false">SQRT(B984^2+C984^2)</f>
        <v>1.31028135445763</v>
      </c>
      <c r="E984" s="72" t="n">
        <f aca="false">20*LOG10(MAX(D984,0.000000000001)/$K$3)</f>
        <v>2.34729121950565</v>
      </c>
      <c r="F984" s="5"/>
      <c r="G984" s="5"/>
      <c r="H984" s="5"/>
      <c r="I984" s="5"/>
      <c r="J984" s="5"/>
      <c r="K984" s="5"/>
      <c r="L984" s="5"/>
      <c r="M984" s="5"/>
      <c r="N984" s="5"/>
    </row>
    <row r="985" customFormat="false" ht="15" hidden="false" customHeight="false" outlineLevel="0" collapsed="false">
      <c r="A985" s="71" t="n">
        <f aca="false">A984+$F$3</f>
        <v>19580</v>
      </c>
      <c r="B985" s="71" t="n">
        <f aca="false">SUMPRODUCT(固有振動数!$Q$6:$Q$22*(1-($A985/固有振動数!$O$6:$O$22)^2)/((1-($A985/固有振動数!$O$6:$O$22)^2)^2+固有振動数!$P$6:$P$22^2))</f>
        <v>1.21343804688492</v>
      </c>
      <c r="C985" s="71" t="n">
        <f aca="false">-SUMPRODUCT(固有振動数!$Q$6:$Q$22*固有振動数!$P$6:$P$22/((1-($A985/固有振動数!$O$6:$O$22)^2)^2+固有振動数!$P$6:$P$22^2))</f>
        <v>-0.758645384277996</v>
      </c>
      <c r="D985" s="71" t="n">
        <f aca="false">SQRT(B985^2+C985^2)</f>
        <v>1.43107467055853</v>
      </c>
      <c r="E985" s="72" t="n">
        <f aca="false">20*LOG10(MAX(D985,0.000000000001)/$K$3)</f>
        <v>3.11324589903166</v>
      </c>
      <c r="F985" s="5"/>
      <c r="G985" s="5"/>
      <c r="H985" s="5"/>
      <c r="I985" s="5"/>
      <c r="J985" s="5"/>
      <c r="K985" s="5"/>
      <c r="L985" s="5"/>
      <c r="M985" s="5"/>
      <c r="N985" s="5"/>
    </row>
    <row r="986" customFormat="false" ht="15" hidden="false" customHeight="false" outlineLevel="0" collapsed="false">
      <c r="A986" s="71" t="n">
        <f aca="false">A985+$F$3</f>
        <v>19600</v>
      </c>
      <c r="B986" s="71" t="n">
        <f aca="false">SUMPRODUCT(固有振動数!$Q$6:$Q$22*(1-($A986/固有振動数!$O$6:$O$22)^2)/((1-($A986/固有振動数!$O$6:$O$22)^2)^2+固有振動数!$P$6:$P$22^2))</f>
        <v>1.36389198833278</v>
      </c>
      <c r="C986" s="71" t="n">
        <f aca="false">-SUMPRODUCT(固有振動数!$Q$6:$Q$22*固有振動数!$P$6:$P$22/((1-($A986/固有振動数!$O$6:$O$22)^2)^2+固有振動数!$P$6:$P$22^2))</f>
        <v>-0.748050334041464</v>
      </c>
      <c r="D986" s="71" t="n">
        <f aca="false">SQRT(B986^2+C986^2)</f>
        <v>1.55556441785543</v>
      </c>
      <c r="E986" s="72" t="n">
        <f aca="false">20*LOG10(MAX(D986,0.000000000001)/$K$3)</f>
        <v>3.837760009825</v>
      </c>
      <c r="F986" s="5"/>
      <c r="G986" s="5"/>
      <c r="H986" s="5"/>
      <c r="I986" s="5"/>
      <c r="J986" s="5"/>
      <c r="K986" s="5"/>
      <c r="L986" s="5"/>
      <c r="M986" s="5"/>
      <c r="N986" s="5"/>
    </row>
    <row r="987" customFormat="false" ht="15" hidden="false" customHeight="false" outlineLevel="0" collapsed="false">
      <c r="A987" s="71" t="n">
        <f aca="false">A986+$F$3</f>
        <v>19620</v>
      </c>
      <c r="B987" s="71" t="n">
        <f aca="false">SUMPRODUCT(固有振動数!$Q$6:$Q$22*(1-($A987/固有振動数!$O$6:$O$22)^2)/((1-($A987/固有振動数!$O$6:$O$22)^2)^2+固有振動数!$P$6:$P$22^2))</f>
        <v>1.5118111226002</v>
      </c>
      <c r="C987" s="71" t="n">
        <f aca="false">-SUMPRODUCT(固有振動数!$Q$6:$Q$22*固有振動数!$P$6:$P$22/((1-($A987/固有振動数!$O$6:$O$22)^2)^2+固有振動数!$P$6:$P$22^2))</f>
        <v>-0.737941476235095</v>
      </c>
      <c r="D987" s="71" t="n">
        <f aca="false">SQRT(B987^2+C987^2)</f>
        <v>1.68229916862778</v>
      </c>
      <c r="E987" s="72" t="n">
        <f aca="false">20*LOG10(MAX(D987,0.000000000001)/$K$3)</f>
        <v>4.51806460606099</v>
      </c>
      <c r="F987" s="5"/>
      <c r="G987" s="5"/>
      <c r="H987" s="5"/>
      <c r="I987" s="5"/>
      <c r="J987" s="5"/>
      <c r="K987" s="5"/>
      <c r="L987" s="5"/>
      <c r="M987" s="5"/>
      <c r="N987" s="5"/>
    </row>
    <row r="988" customFormat="false" ht="15" hidden="false" customHeight="false" outlineLevel="0" collapsed="false">
      <c r="A988" s="71" t="n">
        <f aca="false">A987+$F$3</f>
        <v>19640</v>
      </c>
      <c r="B988" s="71" t="n">
        <f aca="false">SUMPRODUCT(固有振動数!$Q$6:$Q$22*(1-($A988/固有振動数!$O$6:$O$22)^2)/((1-($A988/固有振動数!$O$6:$O$22)^2)^2+固有振動数!$P$6:$P$22^2))</f>
        <v>1.65730004677236</v>
      </c>
      <c r="C988" s="71" t="n">
        <f aca="false">-SUMPRODUCT(固有振動数!$Q$6:$Q$22*固有振動数!$P$6:$P$22/((1-($A988/固有振動数!$O$6:$O$22)^2)^2+固有振動数!$P$6:$P$22^2))</f>
        <v>-0.728295488732381</v>
      </c>
      <c r="D988" s="71" t="n">
        <f aca="false">SQRT(B988^2+C988^2)</f>
        <v>1.81026455633965</v>
      </c>
      <c r="E988" s="72" t="n">
        <f aca="false">20*LOG10(MAX(D988,0.000000000001)/$K$3)</f>
        <v>5.15484096658274</v>
      </c>
      <c r="F988" s="5"/>
      <c r="G988" s="5"/>
      <c r="H988" s="5"/>
      <c r="I988" s="5"/>
      <c r="J988" s="5"/>
      <c r="K988" s="5"/>
      <c r="L988" s="5"/>
      <c r="M988" s="5"/>
      <c r="N988" s="5"/>
    </row>
    <row r="989" customFormat="false" ht="15" hidden="false" customHeight="false" outlineLevel="0" collapsed="false">
      <c r="A989" s="71" t="n">
        <f aca="false">A988+$F$3</f>
        <v>19660</v>
      </c>
      <c r="B989" s="71" t="n">
        <f aca="false">SUMPRODUCT(固有振動数!$Q$6:$Q$22*(1-($A989/固有振動数!$O$6:$O$22)^2)/((1-($A989/固有振動数!$O$6:$O$22)^2)^2+固有振動数!$P$6:$P$22^2))</f>
        <v>1.80045841527666</v>
      </c>
      <c r="C989" s="71" t="n">
        <f aca="false">-SUMPRODUCT(固有振動数!$Q$6:$Q$22*固有振動数!$P$6:$P$22/((1-($A989/固有振動数!$O$6:$O$22)^2)^2+固有振動数!$P$6:$P$22^2))</f>
        <v>-0.719090585732879</v>
      </c>
      <c r="D989" s="71" t="n">
        <f aca="false">SQRT(B989^2+C989^2)</f>
        <v>1.93874747598294</v>
      </c>
      <c r="E989" s="72" t="n">
        <f aca="false">20*LOG10(MAX(D989,0.000000000001)/$K$3)</f>
        <v>5.75042490845235</v>
      </c>
      <c r="F989" s="5"/>
      <c r="G989" s="5"/>
      <c r="H989" s="5"/>
      <c r="I989" s="5"/>
      <c r="J989" s="5"/>
      <c r="K989" s="5"/>
      <c r="L989" s="5"/>
      <c r="M989" s="5"/>
      <c r="N989" s="5"/>
    </row>
    <row r="990" customFormat="false" ht="15" hidden="false" customHeight="false" outlineLevel="0" collapsed="false">
      <c r="A990" s="71" t="n">
        <f aca="false">A989+$F$3</f>
        <v>19680</v>
      </c>
      <c r="B990" s="71" t="n">
        <f aca="false">SUMPRODUCT(固有振動数!$Q$6:$Q$22*(1-($A990/固有振動数!$O$6:$O$22)^2)/((1-($A990/固有振動数!$O$6:$O$22)^2)^2+固有振動数!$P$6:$P$22^2))</f>
        <v>1.94138125457984</v>
      </c>
      <c r="C990" s="71" t="n">
        <f aca="false">-SUMPRODUCT(固有振動数!$Q$6:$Q$22*固有振動数!$P$6:$P$22/((1-($A990/固有振動数!$O$6:$O$22)^2)^2+固有振動数!$P$6:$P$22^2))</f>
        <v>-0.710306401733023</v>
      </c>
      <c r="D990" s="71" t="n">
        <f aca="false">SQRT(B990^2+C990^2)</f>
        <v>2.067243662459</v>
      </c>
      <c r="E990" s="72" t="n">
        <f aca="false">20*LOG10(MAX(D990,0.000000000001)/$K$3)</f>
        <v>6.30783338377617</v>
      </c>
      <c r="F990" s="5"/>
      <c r="G990" s="5"/>
      <c r="H990" s="5"/>
      <c r="I990" s="5"/>
      <c r="J990" s="5"/>
      <c r="K990" s="5"/>
      <c r="L990" s="5"/>
      <c r="M990" s="5"/>
      <c r="N990" s="5"/>
    </row>
    <row r="991" customFormat="false" ht="15" hidden="false" customHeight="false" outlineLevel="0" collapsed="false">
      <c r="A991" s="71" t="n">
        <f aca="false">A990+$F$3</f>
        <v>19700</v>
      </c>
      <c r="B991" s="71" t="n">
        <f aca="false">SUMPRODUCT(固有振動数!$Q$6:$Q$22*(1-($A991/固有振動数!$O$6:$O$22)^2)/((1-($A991/固有振動数!$O$6:$O$22)^2)^2+固有振動数!$P$6:$P$22^2))</f>
        <v>2.0801592547258</v>
      </c>
      <c r="C991" s="71" t="n">
        <f aca="false">-SUMPRODUCT(固有振動数!$Q$6:$Q$22*固有振動数!$P$6:$P$22/((1-($A991/固有振動数!$O$6:$O$22)^2)^2+固有振動数!$P$6:$P$22^2))</f>
        <v>-0.701923885793356</v>
      </c>
      <c r="D991" s="71" t="n">
        <f aca="false">SQRT(B991^2+C991^2)</f>
        <v>2.19539510486578</v>
      </c>
      <c r="E991" s="72" t="n">
        <f aca="false">20*LOG10(MAX(D991,0.000000000001)/$K$3)</f>
        <v>6.83025383025416</v>
      </c>
      <c r="F991" s="5"/>
      <c r="G991" s="5"/>
      <c r="H991" s="5"/>
      <c r="I991" s="5"/>
      <c r="J991" s="5"/>
      <c r="K991" s="5"/>
      <c r="L991" s="5"/>
      <c r="M991" s="5"/>
      <c r="N991" s="5"/>
    </row>
    <row r="992" customFormat="false" ht="15" hidden="false" customHeight="false" outlineLevel="0" collapsed="false">
      <c r="A992" s="71" t="n">
        <f aca="false">A991+$F$3</f>
        <v>19720</v>
      </c>
      <c r="B992" s="71" t="n">
        <f aca="false">SUMPRODUCT(固有振動数!$Q$6:$Q$22*(1-($A992/固有振動数!$O$6:$O$22)^2)/((1-($A992/固有振動数!$O$6:$O$22)^2)^2+固有振動数!$P$6:$P$22^2))</f>
        <v>2.21687903970887</v>
      </c>
      <c r="C992" s="71" t="n">
        <f aca="false">-SUMPRODUCT(固有振動数!$Q$6:$Q$22*固有振動数!$P$6:$P$22/((1-($A992/固有振動数!$O$6:$O$22)^2)^2+固有振動数!$P$6:$P$22^2))</f>
        <v>-0.693925205077341</v>
      </c>
      <c r="D992" s="71" t="n">
        <f aca="false">SQRT(B992^2+C992^2)</f>
        <v>2.32294745247114</v>
      </c>
      <c r="E992" s="72" t="n">
        <f aca="false">20*LOG10(MAX(D992,0.000000000001)/$K$3)</f>
        <v>7.32078771421444</v>
      </c>
      <c r="F992" s="5"/>
      <c r="G992" s="5"/>
      <c r="H992" s="5"/>
      <c r="I992" s="5"/>
      <c r="J992" s="5"/>
      <c r="K992" s="5"/>
      <c r="L992" s="5"/>
      <c r="M992" s="5"/>
      <c r="N992" s="5"/>
    </row>
    <row r="993" customFormat="false" ht="15" hidden="false" customHeight="false" outlineLevel="0" collapsed="false">
      <c r="A993" s="71" t="n">
        <f aca="false">A992+$F$3</f>
        <v>19740</v>
      </c>
      <c r="B993" s="71" t="n">
        <f aca="false">SUMPRODUCT(固有振動数!$Q$6:$Q$22*(1-($A993/固有振動数!$O$6:$O$22)^2)/((1-($A993/固有振動数!$O$6:$O$22)^2)^2+固有振動数!$P$6:$P$22^2))</f>
        <v>2.35162341848448</v>
      </c>
      <c r="C993" s="71" t="n">
        <f aca="false">-SUMPRODUCT(固有振動数!$Q$6:$Q$22*固有振動数!$P$6:$P$22/((1-($A993/固有振動数!$O$6:$O$22)^2)^2+固有振動数!$P$6:$P$22^2))</f>
        <v>-0.686293656750672</v>
      </c>
      <c r="D993" s="71" t="n">
        <f aca="false">SQRT(B993^2+C993^2)</f>
        <v>2.44972073625971</v>
      </c>
      <c r="E993" s="72" t="n">
        <f aca="false">20*LOG10(MAX(D993,0.000000000001)/$K$3)</f>
        <v>7.78233156799152</v>
      </c>
      <c r="F993" s="5"/>
      <c r="G993" s="5"/>
      <c r="H993" s="5"/>
      <c r="I993" s="5"/>
      <c r="J993" s="5"/>
      <c r="K993" s="5"/>
      <c r="L993" s="5"/>
      <c r="M993" s="5"/>
      <c r="N993" s="5"/>
    </row>
    <row r="994" customFormat="false" ht="15" hidden="false" customHeight="false" outlineLevel="0" collapsed="false">
      <c r="A994" s="71" t="n">
        <f aca="false">A993+$F$3</f>
        <v>19760</v>
      </c>
      <c r="B994" s="71" t="n">
        <f aca="false">SUMPRODUCT(固有振動数!$Q$6:$Q$22*(1-($A994/固有振動数!$O$6:$O$22)^2)/((1-($A994/固有振動数!$O$6:$O$22)^2)^2+固有振動数!$P$6:$P$22^2))</f>
        <v>2.4844716182475</v>
      </c>
      <c r="C994" s="71" t="n">
        <f aca="false">-SUMPRODUCT(固有振動数!$Q$6:$Q$22*固有振動数!$P$6:$P$22/((1-($A994/固有振動数!$O$6:$O$22)^2)^2+固有振動数!$P$6:$P$22^2))</f>
        <v>-0.679013587429886</v>
      </c>
      <c r="D994" s="71" t="n">
        <f aca="false">SQRT(B994^2+C994^2)</f>
        <v>2.57558899550991</v>
      </c>
      <c r="E994" s="72" t="n">
        <f aca="false">20*LOG10(MAX(D994,0.000000000001)/$K$3)</f>
        <v>8.21753121705269</v>
      </c>
      <c r="F994" s="5"/>
      <c r="G994" s="5"/>
      <c r="H994" s="5"/>
      <c r="I994" s="5"/>
      <c r="J994" s="5"/>
      <c r="K994" s="5"/>
      <c r="L994" s="5"/>
      <c r="M994" s="5"/>
      <c r="N994" s="5"/>
    </row>
    <row r="995" customFormat="false" ht="15" hidden="false" customHeight="false" outlineLevel="0" collapsed="false">
      <c r="A995" s="71" t="n">
        <f aca="false">A994+$F$3</f>
        <v>19780</v>
      </c>
      <c r="B995" s="71" t="n">
        <f aca="false">SUMPRODUCT(固有振動数!$Q$6:$Q$22*(1-($A995/固有振動数!$O$6:$O$22)^2)/((1-($A995/固有振動数!$O$6:$O$22)^2)^2+固有振動数!$P$6:$P$22^2))</f>
        <v>2.61549950145466</v>
      </c>
      <c r="C995" s="71" t="n">
        <f aca="false">-SUMPRODUCT(固有振動数!$Q$6:$Q$22*固有振動数!$P$6:$P$22/((1-($A995/固有振動数!$O$6:$O$22)^2)^2+固有振動数!$P$6:$P$22^2))</f>
        <v>-0.672070319457021</v>
      </c>
      <c r="D995" s="71" t="n">
        <f aca="false">SQRT(B995^2+C995^2)</f>
        <v>2.70046591469039</v>
      </c>
      <c r="E995" s="72" t="n">
        <f aca="false">20*LOG10(MAX(D995,0.000000000001)/$K$3)</f>
        <v>8.62877399964439</v>
      </c>
      <c r="F995" s="5"/>
      <c r="G995" s="5"/>
      <c r="H995" s="5"/>
      <c r="I995" s="5"/>
      <c r="J995" s="5"/>
      <c r="K995" s="5"/>
      <c r="L995" s="5"/>
      <c r="M995" s="5"/>
      <c r="N995" s="5"/>
    </row>
    <row r="996" customFormat="false" ht="15" hidden="false" customHeight="false" outlineLevel="0" collapsed="false">
      <c r="A996" s="71" t="n">
        <f aca="false">A995+$F$3</f>
        <v>19800</v>
      </c>
      <c r="B996" s="71" t="n">
        <f aca="false">SUMPRODUCT(固有振動数!$Q$6:$Q$22*(1-($A996/固有振動数!$O$6:$O$22)^2)/((1-($A996/固有振動数!$O$6:$O$22)^2)^2+固有振動数!$P$6:$P$22^2))</f>
        <v>2.7447797679301</v>
      </c>
      <c r="C996" s="71" t="n">
        <f aca="false">-SUMPRODUCT(固有振動数!$Q$6:$Q$22*固有振動数!$P$6:$P$22/((1-($A996/固有振動数!$O$6:$O$22)^2)^2+固有振動数!$P$6:$P$22^2))</f>
        <v>-0.665450083354498</v>
      </c>
      <c r="D996" s="71" t="n">
        <f aca="false">SQRT(B996^2+C996^2)</f>
        <v>2.82429456464351</v>
      </c>
      <c r="E996" s="72" t="n">
        <f aca="false">20*LOG10(MAX(D996,0.000000000001)/$K$3)</f>
        <v>9.01819980459097</v>
      </c>
      <c r="F996" s="5"/>
      <c r="G996" s="5"/>
      <c r="H996" s="5"/>
      <c r="I996" s="5"/>
      <c r="J996" s="5"/>
      <c r="K996" s="5"/>
      <c r="L996" s="5"/>
      <c r="M996" s="5"/>
      <c r="N996" s="5"/>
    </row>
    <row r="997" customFormat="false" ht="15" hidden="false" customHeight="false" outlineLevel="0" collapsed="false">
      <c r="A997" s="71" t="n">
        <f aca="false">A996+$F$3</f>
        <v>19820</v>
      </c>
      <c r="B997" s="71" t="n">
        <f aca="false">SUMPRODUCT(固有振動数!$Q$6:$Q$22*(1-($A997/固有振動数!$O$6:$O$22)^2)/((1-($A997/固有振動数!$O$6:$O$22)^2)^2+固有振動数!$P$6:$P$22^2))</f>
        <v>2.87238214327023</v>
      </c>
      <c r="C997" s="71" t="n">
        <f aca="false">-SUMPRODUCT(固有振動数!$Q$6:$Q$22*固有振動数!$P$6:$P$22/((1-($A997/固有振動数!$O$6:$O$22)^2)^2+固有振動数!$P$6:$P$22^2))</f>
        <v>-0.659139955882792</v>
      </c>
      <c r="D997" s="71" t="n">
        <f aca="false">SQRT(B997^2+C997^2)</f>
        <v>2.94703998249411</v>
      </c>
      <c r="E997" s="72" t="n">
        <f aca="false">20*LOG10(MAX(D997,0.000000000001)/$K$3)</f>
        <v>9.38772055927046</v>
      </c>
      <c r="F997" s="5"/>
      <c r="G997" s="5"/>
      <c r="H997" s="5"/>
      <c r="I997" s="5"/>
      <c r="J997" s="5"/>
      <c r="K997" s="5"/>
      <c r="L997" s="5"/>
      <c r="M997" s="5"/>
      <c r="N997" s="5"/>
    </row>
    <row r="998" customFormat="false" ht="15" hidden="false" customHeight="false" outlineLevel="0" collapsed="false">
      <c r="A998" s="71" t="n">
        <f aca="false">A997+$F$3</f>
        <v>19840</v>
      </c>
      <c r="B998" s="71" t="n">
        <f aca="false">SUMPRODUCT(固有振動数!$Q$6:$Q$22*(1-($A998/固有振動数!$O$6:$O$22)^2)/((1-($A998/固有振動数!$O$6:$O$22)^2)^2+固有振動数!$P$6:$P$22^2))</f>
        <v>2.99837355465272</v>
      </c>
      <c r="C998" s="71" t="n">
        <f aca="false">-SUMPRODUCT(固有振動数!$Q$6:$Q$22*固有振動数!$P$6:$P$22/((1-($A998/固有振動数!$O$6:$O$22)^2)^2+固有振動数!$P$6:$P$22^2))</f>
        <v>-0.653127803183964</v>
      </c>
      <c r="D998" s="71" t="n">
        <f aca="false">SQRT(B998^2+C998^2)</f>
        <v>3.06868374071567</v>
      </c>
      <c r="E998" s="72" t="n">
        <f aca="false">20*LOG10(MAX(D998,0.000000000001)/$K$3)</f>
        <v>9.73904264488646</v>
      </c>
      <c r="F998" s="5"/>
      <c r="G998" s="5"/>
      <c r="H998" s="5"/>
      <c r="I998" s="5"/>
      <c r="J998" s="5"/>
      <c r="K998" s="5"/>
      <c r="L998" s="5"/>
      <c r="M998" s="5"/>
      <c r="N998" s="5"/>
    </row>
    <row r="999" customFormat="false" ht="15" hidden="false" customHeight="false" outlineLevel="0" collapsed="false">
      <c r="A999" s="71" t="n">
        <f aca="false">A998+$F$3</f>
        <v>19860</v>
      </c>
      <c r="B999" s="71" t="n">
        <f aca="false">SUMPRODUCT(固有振動数!$Q$6:$Q$22*(1-($A999/固有振動数!$O$6:$O$22)^2)/((1-($A999/固有振動数!$O$6:$O$22)^2)^2+固有振動数!$P$6:$P$22^2))</f>
        <v>3.12281829505576</v>
      </c>
      <c r="C999" s="71" t="n">
        <f aca="false">-SUMPRODUCT(固有振動数!$Q$6:$Q$22*固有振動数!$P$6:$P$22/((1-($A999/固有振動数!$O$6:$O$22)^2)^2+固有振動数!$P$6:$P$22^2))</f>
        <v>-0.647402228547599</v>
      </c>
      <c r="D999" s="71" t="n">
        <f aca="false">SQRT(B999^2+C999^2)</f>
        <v>3.18921992804877</v>
      </c>
      <c r="E999" s="72" t="n">
        <f aca="false">20*LOG10(MAX(D999,0.000000000001)/$K$3)</f>
        <v>10.073689382944</v>
      </c>
      <c r="F999" s="5"/>
      <c r="G999" s="5"/>
      <c r="H999" s="5"/>
      <c r="I999" s="5"/>
      <c r="J999" s="5"/>
      <c r="K999" s="5"/>
      <c r="L999" s="5"/>
      <c r="M999" s="5"/>
      <c r="N999" s="5"/>
    </row>
    <row r="1000" customFormat="false" ht="15" hidden="false" customHeight="false" outlineLevel="0" collapsed="false">
      <c r="A1000" s="71" t="n">
        <f aca="false">A999+$F$3</f>
        <v>19880</v>
      </c>
      <c r="B1000" s="71" t="n">
        <f aca="false">SUMPRODUCT(固有振動数!$Q$6:$Q$22*(1-($A1000/固有振動数!$O$6:$O$22)^2)/((1-($A1000/固有振動数!$O$6:$O$22)^2)^2+固有振動数!$P$6:$P$22^2))</f>
        <v>3.2457781768044</v>
      </c>
      <c r="C1000" s="71" t="n">
        <f aca="false">-SUMPRODUCT(固有振動数!$Q$6:$Q$22*固有振動数!$P$6:$P$22/((1-($A1000/固有振動数!$O$6:$O$22)^2)^2+固有振動数!$P$6:$P$22^2))</f>
        <v>-0.641952524383202</v>
      </c>
      <c r="D1000" s="71" t="n">
        <f aca="false">SQRT(B1000^2+C1000^2)</f>
        <v>3.30865214499525</v>
      </c>
      <c r="E1000" s="72" t="n">
        <f aca="false">20*LOG10(MAX(D1000,0.000000000001)/$K$3)</f>
        <v>10.3930222005544</v>
      </c>
      <c r="F1000" s="5"/>
      <c r="G1000" s="5"/>
      <c r="H1000" s="5"/>
      <c r="I1000" s="5"/>
      <c r="J1000" s="5"/>
      <c r="K1000" s="5"/>
      <c r="L1000" s="5"/>
      <c r="M1000" s="5"/>
      <c r="N1000" s="5"/>
    </row>
    <row r="1001" customFormat="false" ht="15" hidden="false" customHeight="false" outlineLevel="0" collapsed="false">
      <c r="A1001" s="71" t="n">
        <f aca="false">A1000+$F$3</f>
        <v>19900</v>
      </c>
      <c r="B1001" s="71" t="n">
        <f aca="false">SUMPRODUCT(固有振動数!$Q$6:$Q$22*(1-($A1001/固有振動数!$O$6:$O$22)^2)/((1-($A1001/固有振動数!$O$6:$O$22)^2)^2+固有振動数!$P$6:$P$22^2))</f>
        <v>3.36731267527982</v>
      </c>
      <c r="C1001" s="71" t="n">
        <f aca="false">-SUMPRODUCT(固有振動数!$Q$6:$Q$22*固有振動数!$P$6:$P$22/((1-($A1001/固有振動数!$O$6:$O$22)^2)^2+固有振動数!$P$6:$P$22^2))</f>
        <v>-0.636768628025254</v>
      </c>
      <c r="D1001" s="71" t="n">
        <f aca="false">SQRT(B1001^2+C1001^2)</f>
        <v>3.4269912370383</v>
      </c>
      <c r="E1001" s="72" t="n">
        <f aca="false">20*LOG10(MAX(D1001,0.000000000001)/$K$3)</f>
        <v>10.6982598784382</v>
      </c>
      <c r="F1001" s="5"/>
      <c r="G1001" s="5"/>
      <c r="H1001" s="5"/>
      <c r="I1001" s="5"/>
      <c r="J1001" s="5"/>
      <c r="K1001" s="5"/>
      <c r="L1001" s="5"/>
      <c r="M1001" s="5"/>
      <c r="N1001" s="5"/>
    </row>
    <row r="1002" customFormat="false" ht="15" hidden="false" customHeight="false" outlineLevel="0" collapsed="false">
      <c r="A1002" s="71" t="n">
        <f aca="false">A1001+$F$3</f>
        <v>19920</v>
      </c>
      <c r="B1002" s="71" t="n">
        <f aca="false">SUMPRODUCT(固有振動数!$Q$6:$Q$22*(1-($A1002/固有振動数!$O$6:$O$22)^2)/((1-($A1002/固有振動数!$O$6:$O$22)^2)^2+固有振動数!$P$6:$P$22^2))</f>
        <v>3.48747906355532</v>
      </c>
      <c r="C1002" s="71" t="n">
        <f aca="false">-SUMPRODUCT(固有振動数!$Q$6:$Q$22*固有振動数!$P$6:$P$22/((1-($A1002/固有振動数!$O$6:$O$22)^2)^2+固有振動数!$P$6:$P$22^2))</f>
        <v>-0.631841081034615</v>
      </c>
      <c r="D1002" s="71" t="n">
        <f aca="false">SQRT(B1002^2+C1002^2)</f>
        <v>3.54425357027678</v>
      </c>
      <c r="E1002" s="72" t="n">
        <f aca="false">20*LOG10(MAX(D1002,0.000000000001)/$K$3)</f>
        <v>10.9904957103077</v>
      </c>
      <c r="F1002" s="5"/>
      <c r="G1002" s="5"/>
      <c r="H1002" s="5"/>
      <c r="I1002" s="5"/>
      <c r="J1002" s="5"/>
      <c r="K1002" s="5"/>
      <c r="L1002" s="5"/>
      <c r="M1002" s="5"/>
      <c r="N1002" s="5"/>
    </row>
    <row r="1003" customFormat="false" ht="15" hidden="false" customHeight="false" outlineLevel="0" collapsed="false">
      <c r="A1003" s="71" t="n">
        <f aca="false">A1002+$F$3</f>
        <v>19940</v>
      </c>
      <c r="B1003" s="71" t="n">
        <f aca="false">SUMPRODUCT(固有振動数!$Q$6:$Q$22*(1-($A1003/固有振動数!$O$6:$O$22)^2)/((1-($A1003/固有振動数!$O$6:$O$22)^2)^2+固有振動数!$P$6:$P$22^2))</f>
        <v>3.6063325386574</v>
      </c>
      <c r="C1003" s="71" t="n">
        <f aca="false">-SUMPRODUCT(固有振動数!$Q$6:$Q$22*固有振動数!$P$6:$P$22/((1-($A1003/固有振動数!$O$6:$O$22)^2)^2+固有振動数!$P$6:$P$22^2))</f>
        <v>-0.627160991693354</v>
      </c>
      <c r="D1003" s="71" t="n">
        <f aca="false">SQRT(B1003^2+C1003^2)</f>
        <v>3.66045971004749</v>
      </c>
      <c r="E1003" s="72" t="n">
        <f aca="false">20*LOG10(MAX(D1003,0.000000000001)/$K$3)</f>
        <v>11.2707126204542</v>
      </c>
      <c r="F1003" s="5"/>
      <c r="G1003" s="5"/>
      <c r="H1003" s="5"/>
      <c r="I1003" s="5"/>
      <c r="J1003" s="5"/>
      <c r="K1003" s="5"/>
      <c r="L1003" s="5"/>
      <c r="M1003" s="5"/>
      <c r="N1003" s="5"/>
    </row>
    <row r="1004" customFormat="false" ht="15" hidden="false" customHeight="false" outlineLevel="0" collapsed="false">
      <c r="A1004" s="71" t="n">
        <f aca="false">A1003+$F$3</f>
        <v>19960</v>
      </c>
      <c r="B1004" s="71" t="n">
        <f aca="false">SUMPRODUCT(固有振動数!$Q$6:$Q$22*(1-($A1004/固有振動数!$O$6:$O$22)^2)/((1-($A1004/固有振動数!$O$6:$O$22)^2)^2+固有振動数!$P$6:$P$22^2))</f>
        <v>3.72392634009066</v>
      </c>
      <c r="C1004" s="71" t="n">
        <f aca="false">-SUMPRODUCT(固有振動数!$Q$6:$Q$22*固有振動数!$P$6:$P$22/((1-($A1004/固有振動数!$O$6:$O$22)^2)^2+固有振動数!$P$6:$P$22^2))</f>
        <v>-0.622720000419855</v>
      </c>
      <c r="D1004" s="71" t="n">
        <f aca="false">SQRT(B1004^2+C1004^2)</f>
        <v>3.77563340187364</v>
      </c>
      <c r="E1004" s="72" t="n">
        <f aca="false">20*LOG10(MAX(D1004,0.000000000001)/$K$3)</f>
        <v>11.5397963901028</v>
      </c>
      <c r="F1004" s="5"/>
      <c r="G1004" s="5"/>
      <c r="H1004" s="5"/>
      <c r="I1004" s="5"/>
      <c r="J1004" s="5"/>
      <c r="K1004" s="5"/>
      <c r="L1004" s="5"/>
      <c r="M1004" s="5"/>
      <c r="N1004" s="5"/>
    </row>
    <row r="1005" customFormat="false" ht="15" hidden="false" customHeight="false" outlineLevel="0" collapsed="false">
      <c r="A1005" s="71" t="n">
        <f aca="false">A1004+$F$3</f>
        <v>19980</v>
      </c>
      <c r="B1005" s="71" t="n">
        <f aca="false">SUMPRODUCT(固有振動数!$Q$6:$Q$22*(1-($A1005/固有振動数!$O$6:$O$22)^2)/((1-($A1005/固有振動数!$O$6:$O$22)^2)^2+固有振動数!$P$6:$P$22^2))</f>
        <v>3.84031186121242</v>
      </c>
      <c r="C1005" s="71" t="n">
        <f aca="false">-SUMPRODUCT(固有振動数!$Q$6:$Q$22*固有振動数!$P$6:$P$22/((1-($A1005/固有振動数!$O$6:$O$22)^2)^2+固有振動数!$P$6:$P$22^2))</f>
        <v>-0.618510247857668</v>
      </c>
      <c r="D1005" s="71" t="n">
        <f aca="false">SQRT(B1005^2+C1005^2)</f>
        <v>3.8898007812835</v>
      </c>
      <c r="E1005" s="72" t="n">
        <f aca="false">20*LOG10(MAX(D1005,0.000000000001)/$K$3)</f>
        <v>11.79854718433</v>
      </c>
      <c r="F1005" s="5"/>
      <c r="G1005" s="5"/>
      <c r="H1005" s="5"/>
      <c r="I1005" s="5"/>
      <c r="J1005" s="5"/>
      <c r="K1005" s="5"/>
      <c r="L1005" s="5"/>
      <c r="M1005" s="5"/>
      <c r="N1005" s="5"/>
    </row>
    <row r="1006" customFormat="false" ht="15" hidden="false" customHeight="false" outlineLevel="0" collapsed="false">
      <c r="A1006" s="71" t="n">
        <f aca="false">A1005+$F$3</f>
        <v>20000</v>
      </c>
      <c r="B1006" s="71" t="n">
        <f aca="false">SUMPRODUCT(固有振動数!$Q$6:$Q$22*(1-($A1006/固有振動数!$O$6:$O$22)^2)/((1-($A1006/固有振動数!$O$6:$O$22)^2)^2+固有振動数!$P$6:$P$22^2))</f>
        <v>3.95553875399429</v>
      </c>
      <c r="C1006" s="71" t="n">
        <f aca="false">-SUMPRODUCT(固有振動数!$Q$6:$Q$22*固有振動数!$P$6:$P$22/((1-($A1006/固有振動数!$O$6:$O$22)^2)^2+固有振動数!$P$6:$P$22^2))</f>
        <v>-0.614524345415295</v>
      </c>
      <c r="D1006" s="71" t="n">
        <f aca="false">SQRT(B1006^2+C1006^2)</f>
        <v>4.00298975835048</v>
      </c>
      <c r="E1006" s="72" t="n">
        <f aca="false">20*LOG10(MAX(D1006,0.000000000001)/$K$3)</f>
        <v>12.0476895792814</v>
      </c>
      <c r="F1006" s="5"/>
      <c r="G1006" s="5"/>
      <c r="H1006" s="5"/>
      <c r="I1006" s="5"/>
      <c r="J1006" s="5"/>
      <c r="K1006" s="5"/>
      <c r="L1006" s="5"/>
      <c r="M1006" s="5"/>
      <c r="N1006" s="5"/>
    </row>
    <row r="1007" customFormat="false" ht="15" hidden="false" customHeight="false" outlineLevel="0" collapsed="false">
      <c r="A1007" s="71" t="n">
        <f aca="false">A1006+$F$3</f>
        <v>20020</v>
      </c>
      <c r="B1007" s="71" t="n">
        <f aca="false">SUMPRODUCT(固有振動数!$Q$6:$Q$22*(1-($A1007/固有振動数!$O$6:$O$22)^2)/((1-($A1007/固有振動数!$O$6:$O$22)^2)^2+固有振動数!$P$6:$P$22^2))</f>
        <v>4.06965502766382</v>
      </c>
      <c r="C1007" s="71" t="n">
        <f aca="false">-SUMPRODUCT(固有振動数!$Q$6:$Q$22*固有振動数!$P$6:$P$22/((1-($A1007/固有振動数!$O$6:$O$22)^2)^2+固有振動数!$P$6:$P$22^2))</f>
        <v>-0.61075534805547</v>
      </c>
      <c r="D1007" s="71" t="n">
        <f aca="false">SQRT(B1007^2+C1007^2)</f>
        <v>4.11522953665622</v>
      </c>
      <c r="E1007" s="72" t="n">
        <f aca="false">20*LOG10(MAX(D1007,0.000000000001)/$K$3)</f>
        <v>12.2878812805066</v>
      </c>
      <c r="F1007" s="5"/>
      <c r="G1007" s="5"/>
      <c r="H1007" s="5"/>
      <c r="I1007" s="5"/>
      <c r="J1007" s="5"/>
      <c r="K1007" s="5"/>
      <c r="L1007" s="5"/>
      <c r="M1007" s="5"/>
      <c r="N1007" s="5"/>
    </row>
    <row r="1008" customFormat="false" ht="15" hidden="false" customHeight="false" outlineLevel="0" collapsed="false">
      <c r="A1008" s="71" t="n">
        <f aca="false">A1007+$F$3</f>
        <v>20040</v>
      </c>
      <c r="B1008" s="71" t="n">
        <f aca="false">SUMPRODUCT(固有振動数!$Q$6:$Q$22*(1-($A1008/固有振動数!$O$6:$O$22)^2)/((1-($A1008/固有振動数!$O$6:$O$22)^2)^2+固有振動数!$P$6:$P$22^2))</f>
        <v>4.18270714168001</v>
      </c>
      <c r="C1008" s="71" t="n">
        <f aca="false">-SUMPRODUCT(固有振動数!$Q$6:$Q$22*固有振動数!$P$6:$P$22/((1-($A1008/固有振動数!$O$6:$O$22)^2)^2+固有振動数!$P$6:$P$22^2))</f>
        <v>-0.607196729151533</v>
      </c>
      <c r="D1008" s="71" t="n">
        <f aca="false">SQRT(B1008^2+C1008^2)</f>
        <v>4.22655023641661</v>
      </c>
      <c r="E1008" s="72" t="n">
        <f aca="false">20*LOG10(MAX(D1008,0.000000000001)/$K$3)</f>
        <v>12.5197207065924</v>
      </c>
      <c r="F1008" s="5"/>
      <c r="G1008" s="5"/>
      <c r="H1008" s="5"/>
      <c r="I1008" s="5"/>
      <c r="J1008" s="5"/>
      <c r="K1008" s="5"/>
      <c r="L1008" s="5"/>
      <c r="M1008" s="5"/>
      <c r="N1008" s="5"/>
    </row>
    <row r="1009" customFormat="false" ht="15" hidden="false" customHeight="false" outlineLevel="0" collapsed="false">
      <c r="A1009" s="71" t="n">
        <f aca="false">A1008+$F$3</f>
        <v>20060</v>
      </c>
      <c r="B1009" s="71" t="n">
        <f aca="false">SUMPRODUCT(固有振動数!$Q$6:$Q$22*(1-($A1009/固有振動数!$O$6:$O$22)^2)/((1-($A1009/固有振動数!$O$6:$O$22)^2)^2+固有振動数!$P$6:$P$22^2))</f>
        <v>4.29474009346027</v>
      </c>
      <c r="C1009" s="71" t="n">
        <f aca="false">-SUMPRODUCT(固有振動数!$Q$6:$Q$22*固有振動数!$P$6:$P$22/((1-($A1009/固有振動数!$O$6:$O$22)^2)^2+固有振動数!$P$6:$P$22^2))</f>
        <v>-0.603842357245633</v>
      </c>
      <c r="D1009" s="71" t="n">
        <f aca="false">SQRT(B1009^2+C1009^2)</f>
        <v>4.33698259885593</v>
      </c>
      <c r="E1009" s="72" t="n">
        <f aca="false">20*LOG10(MAX(D1009,0.000000000001)/$K$3)</f>
        <v>12.7437535929129</v>
      </c>
      <c r="F1009" s="5"/>
      <c r="G1009" s="5"/>
      <c r="H1009" s="5"/>
      <c r="I1009" s="5"/>
      <c r="J1009" s="5"/>
      <c r="K1009" s="5"/>
      <c r="L1009" s="5"/>
      <c r="M1009" s="5"/>
      <c r="N1009" s="5"/>
    </row>
    <row r="1010" customFormat="false" ht="15" hidden="false" customHeight="false" outlineLevel="0" collapsed="false">
      <c r="A1010" s="71" t="n">
        <f aca="false">A1009+$F$3</f>
        <v>20080</v>
      </c>
      <c r="B1010" s="71" t="n">
        <f aca="false">SUMPRODUCT(固有振動数!$Q$6:$Q$22*(1-($A1010/固有振動数!$O$6:$O$22)^2)/((1-($A1010/固有振動数!$O$6:$O$22)^2)^2+固有振動数!$P$6:$P$22^2))</f>
        <v>4.4057975012433</v>
      </c>
      <c r="C1010" s="71" t="n">
        <f aca="false">-SUMPRODUCT(固有振動数!$Q$6:$Q$22*固有振動数!$P$6:$P$22/((1-($A1010/固有振動数!$O$6:$O$22)^2)^2+固有振動数!$P$6:$P$22^2))</f>
        <v>-0.600686474558961</v>
      </c>
      <c r="D1010" s="71" t="n">
        <f aca="false">SQRT(B1010^2+C1010^2)</f>
        <v>4.44655775433984</v>
      </c>
      <c r="E1010" s="72" t="n">
        <f aca="false">20*LOG10(MAX(D1010,0.000000000001)/$K$3)</f>
        <v>12.9604787508823</v>
      </c>
      <c r="F1010" s="5"/>
      <c r="G1010" s="5"/>
      <c r="H1010" s="5"/>
      <c r="I1010" s="5"/>
      <c r="J1010" s="5"/>
      <c r="K1010" s="5"/>
      <c r="L1010" s="5"/>
      <c r="M1010" s="5"/>
      <c r="N1010" s="5"/>
    </row>
    <row r="1011" customFormat="false" ht="15" hidden="false" customHeight="false" outlineLevel="0" collapsed="false">
      <c r="A1011" s="71" t="n">
        <f aca="false">A1010+$F$3</f>
        <v>20100</v>
      </c>
      <c r="B1011" s="71" t="n">
        <f aca="false">SUMPRODUCT(固有振動数!$Q$6:$Q$22*(1-($A1011/固有振動数!$O$6:$O$22)^2)/((1-($A1011/固有振動数!$O$6:$O$22)^2)^2+固有振動数!$P$6:$P$22^2))</f>
        <v>4.51592168244297</v>
      </c>
      <c r="C1011" s="71" t="n">
        <f aca="false">-SUMPRODUCT(固有振動数!$Q$6:$Q$22*固有振動数!$P$6:$P$22/((1-($A1011/固有振動数!$O$6:$O$22)^2)^2+固有振動数!$P$6:$P$22^2))</f>
        <v>-0.59772367711804</v>
      </c>
      <c r="D1011" s="71" t="n">
        <f aca="false">SQRT(B1011^2+C1011^2)</f>
        <v>4.55530704082019</v>
      </c>
      <c r="E1011" s="72" t="n">
        <f aca="false">20*LOG10(MAX(D1011,0.000000000001)/$K$3)</f>
        <v>13.170353099901</v>
      </c>
      <c r="F1011" s="5"/>
      <c r="G1011" s="5"/>
      <c r="H1011" s="5"/>
      <c r="I1011" s="5"/>
      <c r="J1011" s="5"/>
      <c r="K1011" s="5"/>
      <c r="L1011" s="5"/>
      <c r="M1011" s="5"/>
      <c r="N1011" s="5"/>
    </row>
    <row r="1012" customFormat="false" ht="15" hidden="false" customHeight="false" outlineLevel="0" collapsed="false">
      <c r="A1012" s="71" t="n">
        <f aca="false">A1011+$F$3</f>
        <v>20120</v>
      </c>
      <c r="B1012" s="71" t="n">
        <f aca="false">SUMPRODUCT(固有振動数!$Q$6:$Q$22*(1-($A1012/固有振動数!$O$6:$O$22)^2)/((1-($A1012/固有振動数!$O$6:$O$22)^2)^2+固有振動数!$P$6:$P$22^2))</f>
        <v>4.62515372782096</v>
      </c>
      <c r="C1012" s="71" t="n">
        <f aca="false">-SUMPRODUCT(固有振動数!$Q$6:$Q$22*固有振動数!$P$6:$P$22/((1-($A1012/固有振動数!$O$6:$O$22)^2)^2+固有振動数!$P$6:$P$22^2))</f>
        <v>-0.594948896373604</v>
      </c>
      <c r="D1012" s="71" t="n">
        <f aca="false">SQRT(B1012^2+C1012^2)</f>
        <v>4.66326186218106</v>
      </c>
      <c r="E1012" s="72" t="n">
        <f aca="false">20*LOG10(MAX(D1012,0.000000000001)/$K$3)</f>
        <v>13.3737960727918</v>
      </c>
      <c r="F1012" s="5"/>
      <c r="G1012" s="5"/>
      <c r="H1012" s="5"/>
      <c r="I1012" s="5"/>
      <c r="J1012" s="5"/>
      <c r="K1012" s="5"/>
      <c r="L1012" s="5"/>
      <c r="M1012" s="5"/>
      <c r="N1012" s="5"/>
    </row>
    <row r="1013" customFormat="false" ht="15" hidden="false" customHeight="false" outlineLevel="0" collapsed="false">
      <c r="A1013" s="71" t="n">
        <f aca="false">A1012+$F$3</f>
        <v>20140</v>
      </c>
      <c r="B1013" s="71" t="n">
        <f aca="false">SUMPRODUCT(固有振動数!$Q$6:$Q$22*(1-($A1013/固有振動数!$O$6:$O$22)^2)/((1-($A1013/固有振動数!$O$6:$O$22)^2)^2+固有振動数!$P$6:$P$22^2))</f>
        <v>4.73353357178125</v>
      </c>
      <c r="C1013" s="71" t="n">
        <f aca="false">-SUMPRODUCT(固有振動数!$Q$6:$Q$22*固有振動数!$P$6:$P$22/((1-($A1013/固有振動数!$O$6:$O$22)^2)^2+固有振動数!$P$6:$P$22^2))</f>
        <v>-0.592357382199917</v>
      </c>
      <c r="D1013" s="71" t="n">
        <f aca="false">SQRT(B1013^2+C1013^2)</f>
        <v>4.77045357837458</v>
      </c>
      <c r="E1013" s="72" t="n">
        <f aca="false">20*LOG10(MAX(D1013,0.000000000001)/$K$3)</f>
        <v>13.5711934810961</v>
      </c>
      <c r="F1013" s="5"/>
      <c r="G1013" s="5"/>
      <c r="H1013" s="5"/>
      <c r="I1013" s="5"/>
      <c r="J1013" s="5"/>
      <c r="K1013" s="5"/>
      <c r="L1013" s="5"/>
      <c r="M1013" s="5"/>
      <c r="N1013" s="5"/>
    </row>
    <row r="1014" customFormat="false" ht="15" hidden="false" customHeight="false" outlineLevel="0" collapsed="false">
      <c r="A1014" s="71" t="n">
        <f aca="false">A1013+$F$3</f>
        <v>20160</v>
      </c>
      <c r="B1014" s="71" t="n">
        <f aca="false">SUMPRODUCT(固有振動数!$Q$6:$Q$22*(1-($A1014/固有振動数!$O$6:$O$22)^2)/((1-($A1014/固有振動数!$O$6:$O$22)^2)^2+固有振動数!$P$6:$P$22^2))</f>
        <v>4.84110005906688</v>
      </c>
      <c r="C1014" s="71" t="n">
        <f aca="false">-SUMPRODUCT(固有振動数!$Q$6:$Q$22*固有振動数!$P$6:$P$22/((1-($A1014/固有振動数!$O$6:$O$22)^2)^2+固有振動数!$P$6:$P$22^2))</f>
        <v>-0.589944687172574</v>
      </c>
      <c r="D1014" s="71" t="n">
        <f aca="false">SQRT(B1014^2+C1014^2)</f>
        <v>4.87691342098878</v>
      </c>
      <c r="E1014" s="72" t="n">
        <f aca="false">20*LOG10(MAX(D1014,0.000000000001)/$K$3)</f>
        <v>13.7629009140844</v>
      </c>
      <c r="F1014" s="5"/>
      <c r="G1014" s="5"/>
      <c r="H1014" s="5"/>
      <c r="I1014" s="5"/>
      <c r="J1014" s="5"/>
      <c r="K1014" s="5"/>
      <c r="L1014" s="5"/>
      <c r="M1014" s="5"/>
      <c r="N1014" s="5"/>
    </row>
    <row r="1015" customFormat="false" ht="15" hidden="false" customHeight="false" outlineLevel="0" collapsed="false">
      <c r="A1015" s="71" t="n">
        <f aca="false">A1014+$F$3</f>
        <v>20180</v>
      </c>
      <c r="B1015" s="71" t="n">
        <f aca="false">SUMPRODUCT(固有振動数!$Q$6:$Q$22*(1-($A1015/固有振動数!$O$6:$O$22)^2)/((1-($A1015/固有振動数!$O$6:$O$22)^2)^2+固有振動数!$P$6:$P$22^2))</f>
        <v>4.94789100811952</v>
      </c>
      <c r="C1015" s="71" t="n">
        <f aca="false">-SUMPRODUCT(固有振動数!$Q$6:$Q$22*固有振動数!$P$6:$P$22/((1-($A1015/固有振動数!$O$6:$O$22)^2)^2+固有振動数!$P$6:$P$22^2))</f>
        <v>-0.587706652032019</v>
      </c>
      <c r="D1015" s="71" t="n">
        <f aca="false">SQRT(B1015^2+C1015^2)</f>
        <v>4.98267242923641</v>
      </c>
      <c r="E1015" s="72" t="n">
        <f aca="false">20*LOG10(MAX(D1015,0.000000000001)/$K$3)</f>
        <v>13.9492467345861</v>
      </c>
      <c r="F1015" s="5"/>
      <c r="G1015" s="5"/>
      <c r="H1015" s="5"/>
      <c r="I1015" s="5"/>
      <c r="J1015" s="5"/>
      <c r="K1015" s="5"/>
      <c r="L1015" s="5"/>
      <c r="M1015" s="5"/>
      <c r="N1015" s="5"/>
    </row>
    <row r="1016" customFormat="false" ht="15" hidden="false" customHeight="false" outlineLevel="0" collapsed="false">
      <c r="A1016" s="71" t="n">
        <f aca="false">A1015+$F$3</f>
        <v>20200</v>
      </c>
      <c r="B1016" s="71" t="n">
        <f aca="false">SUMPRODUCT(固有振動数!$Q$6:$Q$22*(1-($A1016/固有振動数!$O$6:$O$22)^2)/((1-($A1016/固有振動数!$O$6:$O$22)^2)^2+固有振動数!$P$6:$P$22^2))</f>
        <v>5.05394327134268</v>
      </c>
      <c r="C1016" s="71" t="n">
        <f aca="false">-SUMPRODUCT(固有振動数!$Q$6:$Q$22*固有振動数!$P$6:$P$22/((1-($A1016/固有振動数!$O$6:$O$22)^2)^2+固有振動数!$P$6:$P$22^2))</f>
        <v>-0.585639392248467</v>
      </c>
      <c r="D1016" s="71" t="n">
        <f aca="false">SQRT(B1016^2+C1016^2)</f>
        <v>5.08776140239527</v>
      </c>
      <c r="E1016" s="72" t="n">
        <f aca="false">20*LOG10(MAX(D1016,0.000000000001)/$K$3)</f>
        <v>14.1305347255555</v>
      </c>
      <c r="F1016" s="5"/>
      <c r="G1016" s="5"/>
      <c r="H1016" s="5"/>
      <c r="I1016" s="5"/>
      <c r="J1016" s="5"/>
      <c r="K1016" s="5"/>
      <c r="L1016" s="5"/>
      <c r="M1016" s="5"/>
      <c r="N1016" s="5"/>
    </row>
    <row r="1017" customFormat="false" ht="15" hidden="false" customHeight="false" outlineLevel="0" collapsed="false">
      <c r="A1017" s="71" t="n">
        <f aca="false">A1016+$F$3</f>
        <v>20220</v>
      </c>
      <c r="B1017" s="71" t="n">
        <f aca="false">SUMPRODUCT(固有振動数!$Q$6:$Q$22*(1-($A1017/固有振動数!$O$6:$O$22)^2)/((1-($A1017/固有振動数!$O$6:$O$22)^2)^2+固有振動数!$P$6:$P$22^2))</f>
        <v>5.15929279249333</v>
      </c>
      <c r="C1017" s="71" t="n">
        <f aca="false">-SUMPRODUCT(固有振動数!$Q$6:$Q$22*固有振動数!$P$6:$P$22/((1-($A1017/固有振動数!$O$6:$O$22)^2)^2+固有振動数!$P$6:$P$22^2))</f>
        <v>-0.583739285611436</v>
      </c>
      <c r="D1017" s="71" t="n">
        <f aca="false">SQRT(B1017^2+C1017^2)</f>
        <v>5.19221086554079</v>
      </c>
      <c r="E1017" s="72" t="n">
        <f aca="false">20*LOG10(MAX(D1017,0.000000000001)/$K$3)</f>
        <v>14.307046433478</v>
      </c>
      <c r="F1017" s="5"/>
      <c r="G1017" s="5"/>
      <c r="H1017" s="5"/>
      <c r="I1017" s="5"/>
      <c r="J1017" s="5"/>
      <c r="K1017" s="5"/>
      <c r="L1017" s="5"/>
      <c r="M1017" s="5"/>
      <c r="N1017" s="5"/>
    </row>
    <row r="1018" customFormat="false" ht="15" hidden="false" customHeight="false" outlineLevel="0" collapsed="false">
      <c r="A1018" s="71" t="n">
        <f aca="false">A1017+$F$3</f>
        <v>20240</v>
      </c>
      <c r="B1018" s="71" t="n">
        <f aca="false">SUMPRODUCT(固有振動数!$Q$6:$Q$22*(1-($A1018/固有振動数!$O$6:$O$22)^2)/((1-($A1018/固有振動数!$O$6:$O$22)^2)^2+固有振動数!$P$6:$P$22^2))</f>
        <v>5.26397466141065</v>
      </c>
      <c r="C1018" s="71" t="n">
        <f aca="false">-SUMPRODUCT(固有振動数!$Q$6:$Q$22*固有振動数!$P$6:$P$22/((1-($A1018/固有振動数!$O$6:$O$22)^2)^2+固有振動数!$P$6:$P$22^2))</f>
        <v>-0.582002960774037</v>
      </c>
      <c r="D1018" s="71" t="n">
        <f aca="false">SQRT(B1018^2+C1018^2)</f>
        <v>5.29605104604582</v>
      </c>
      <c r="E1018" s="72" t="n">
        <f aca="false">20*LOG10(MAX(D1018,0.000000000001)/$K$3)</f>
        <v>14.4790432480784</v>
      </c>
      <c r="F1018" s="5"/>
      <c r="G1018" s="5"/>
      <c r="H1018" s="5"/>
      <c r="I1018" s="5"/>
      <c r="J1018" s="5"/>
      <c r="K1018" s="5"/>
      <c r="L1018" s="5"/>
      <c r="M1018" s="5"/>
      <c r="N1018" s="5"/>
    </row>
    <row r="1019" customFormat="false" ht="15" hidden="false" customHeight="false" outlineLevel="0" collapsed="false">
      <c r="A1019" s="71" t="n">
        <f aca="false">A1018+$F$3</f>
        <v>20260</v>
      </c>
      <c r="B1019" s="71" t="n">
        <f aca="false">SUMPRODUCT(固有振動数!$Q$6:$Q$22*(1-($A1019/固有振動数!$O$6:$O$22)^2)/((1-($A1019/固有振動数!$O$6:$O$22)^2)^2+固有振動数!$P$6:$P$22^2))</f>
        <v>5.36802316627615</v>
      </c>
      <c r="C1019" s="71" t="n">
        <f aca="false">-SUMPRODUCT(固有振動数!$Q$6:$Q$22*固有振動数!$P$6:$P$22/((1-($A1019/固有振動数!$O$6:$O$22)^2)^2+固有振動数!$P$6:$P$22^2))</f>
        <v>-0.580427286688475</v>
      </c>
      <c r="D1019" s="71" t="n">
        <f aca="false">SQRT(B1019^2+C1019^2)</f>
        <v>5.39931185882145</v>
      </c>
      <c r="E1019" s="72" t="n">
        <f aca="false">20*LOG10(MAX(D1019,0.000000000001)/$K$3)</f>
        <v>14.6467682521617</v>
      </c>
      <c r="F1019" s="5"/>
      <c r="G1019" s="5"/>
      <c r="H1019" s="5"/>
      <c r="I1019" s="5"/>
      <c r="J1019" s="5"/>
      <c r="K1019" s="5"/>
      <c r="L1019" s="5"/>
      <c r="M1019" s="5"/>
      <c r="N1019" s="5"/>
    </row>
    <row r="1020" customFormat="false" ht="15" hidden="false" customHeight="false" outlineLevel="0" collapsed="false">
      <c r="A1020" s="71" t="n">
        <f aca="false">A1019+$F$3</f>
        <v>20280</v>
      </c>
      <c r="B1020" s="71" t="n">
        <f aca="false">SUMPRODUCT(固有振動数!$Q$6:$Q$22*(1-($A1020/固有振動数!$O$6:$O$22)^2)/((1-($A1020/固有振動数!$O$6:$O$22)^2)^2+固有振動数!$P$6:$P$22^2))</f>
        <v>5.47147184358734</v>
      </c>
      <c r="C1020" s="71" t="n">
        <f aca="false">-SUMPRODUCT(固有振動数!$Q$6:$Q$22*固有振動数!$P$6:$P$22/((1-($A1020/固有振動数!$O$6:$O$22)^2)^2+固有振動数!$P$6:$P$22^2))</f>
        <v>-0.579009362874912</v>
      </c>
      <c r="D1020" s="71" t="n">
        <f aca="false">SQRT(B1020^2+C1020^2)</f>
        <v>5.5020228986679</v>
      </c>
      <c r="E1020" s="72" t="n">
        <f aca="false">20*LOG10(MAX(D1020,0.000000000001)/$K$3)</f>
        <v>14.810447870635</v>
      </c>
      <c r="F1020" s="5"/>
      <c r="G1020" s="5"/>
      <c r="H1020" s="5"/>
      <c r="I1020" s="5"/>
      <c r="J1020" s="5"/>
      <c r="K1020" s="5"/>
      <c r="L1020" s="5"/>
      <c r="M1020" s="5"/>
      <c r="N1020" s="5"/>
    </row>
    <row r="1021" customFormat="false" ht="15" hidden="false" customHeight="false" outlineLevel="0" collapsed="false">
      <c r="A1021" s="71" t="n">
        <f aca="false">A1020+$F$3</f>
        <v>20300</v>
      </c>
      <c r="B1021" s="71" t="n">
        <f aca="false">SUMPRODUCT(固有振動数!$Q$6:$Q$22*(1-($A1021/固有振動数!$O$6:$O$22)^2)/((1-($A1021/固有振動数!$O$6:$O$22)^2)^2+固有振動数!$P$6:$P$22^2))</f>
        <v>5.57435352601415</v>
      </c>
      <c r="C1021" s="71" t="n">
        <f aca="false">-SUMPRODUCT(固有振動数!$Q$6:$Q$22*固有振動数!$P$6:$P$22/((1-($A1021/固有振動数!$O$6:$O$22)^2)^2+固有振動数!$P$6:$P$22^2))</f>
        <v>-0.577746510471119</v>
      </c>
      <c r="D1021" s="71" t="n">
        <f aca="false">SQRT(B1021^2+C1021^2)</f>
        <v>5.60421343841827</v>
      </c>
      <c r="E1021" s="72" t="n">
        <f aca="false">20*LOG10(MAX(D1021,0.000000000001)/$K$3)</f>
        <v>14.9702933437026</v>
      </c>
      <c r="F1021" s="5"/>
      <c r="G1021" s="5"/>
      <c r="H1021" s="5"/>
      <c r="I1021" s="5"/>
      <c r="J1021" s="5"/>
      <c r="K1021" s="5"/>
      <c r="L1021" s="5"/>
      <c r="M1021" s="5"/>
      <c r="N1021" s="5"/>
    </row>
    <row r="1022" customFormat="false" ht="15" hidden="false" customHeight="false" outlineLevel="0" collapsed="false">
      <c r="A1022" s="71" t="n">
        <f aca="false">A1021+$F$3</f>
        <v>20320</v>
      </c>
      <c r="B1022" s="71" t="n">
        <f aca="false">SUMPRODUCT(固有振動数!$Q$6:$Q$22*(1-($A1022/固有振動数!$O$6:$O$22)^2)/((1-($A1022/固有振動数!$O$6:$O$22)^2)^2+固有振動数!$P$6:$P$22^2))</f>
        <v>5.67670038829748</v>
      </c>
      <c r="C1022" s="71" t="n">
        <f aca="false">-SUMPRODUCT(固有振動数!$Q$6:$Q$22*固有振動数!$P$6:$P$22/((1-($A1022/固有振動数!$O$6:$O$22)^2)^2+固有振動数!$P$6:$P$22^2))</f>
        <v>-0.576636264015108</v>
      </c>
      <c r="D1022" s="71" t="n">
        <f aca="false">SQRT(B1022^2+C1022^2)</f>
        <v>5.70591243180914</v>
      </c>
      <c r="E1022" s="72" t="n">
        <f aca="false">20*LOG10(MAX(D1022,0.000000000001)/$K$3)</f>
        <v>15.1265020457766</v>
      </c>
      <c r="F1022" s="5"/>
      <c r="G1022" s="5"/>
      <c r="H1022" s="5"/>
      <c r="I1022" s="5"/>
      <c r="J1022" s="5"/>
      <c r="K1022" s="5"/>
      <c r="L1022" s="5"/>
      <c r="M1022" s="5"/>
      <c r="N1022" s="5"/>
    </row>
    <row r="1023" customFormat="false" ht="15" hidden="false" customHeight="false" outlineLevel="0" collapsed="false">
      <c r="A1023" s="71" t="n">
        <f aca="false">A1022+$F$3</f>
        <v>20340</v>
      </c>
      <c r="B1023" s="71" t="n">
        <f aca="false">SUMPRODUCT(固有振動数!$Q$6:$Q$22*(1-($A1023/固有振動数!$O$6:$O$22)^2)/((1-($A1023/固有振動数!$O$6:$O$22)^2)^2+固有振動数!$P$6:$P$22^2))</f>
        <v>5.77854399133879</v>
      </c>
      <c r="C1023" s="71" t="n">
        <f aca="false">-SUMPRODUCT(固有振動数!$Q$6:$Q$22*固有振動数!$P$6:$P$22/((1-($A1023/固有振動数!$O$6:$O$22)^2)^2+固有振動数!$P$6:$P$22^2))</f>
        <v>-0.575676363917384</v>
      </c>
      <c r="D1023" s="71" t="n">
        <f aca="false">SQRT(B1023^2+C1023^2)</f>
        <v>5.80714852021289</v>
      </c>
      <c r="E1023" s="72" t="n">
        <f aca="false">20*LOG10(MAX(D1023,0.000000000001)/$K$3)</f>
        <v>15.2792586687088</v>
      </c>
      <c r="F1023" s="5"/>
      <c r="G1023" s="5"/>
      <c r="H1023" s="5"/>
      <c r="I1023" s="5"/>
      <c r="J1023" s="5"/>
      <c r="K1023" s="5"/>
      <c r="L1023" s="5"/>
      <c r="M1023" s="5"/>
      <c r="N1023" s="5"/>
    </row>
    <row r="1024" customFormat="false" ht="15" hidden="false" customHeight="false" outlineLevel="0" collapsed="false">
      <c r="A1024" s="71" t="n">
        <f aca="false">A1023+$F$3</f>
        <v>20360</v>
      </c>
      <c r="B1024" s="71" t="n">
        <f aca="false">SUMPRODUCT(固有振動数!$Q$6:$Q$22*(1-($A1024/固有振動数!$O$6:$O$22)^2)/((1-($A1024/固有振動数!$O$6:$O$22)^2)^2+固有振動数!$P$6:$P$22^2))</f>
        <v>5.87991532462087</v>
      </c>
      <c r="C1024" s="71" t="n">
        <f aca="false">-SUMPRODUCT(固有振動数!$Q$6:$Q$22*固有振動数!$P$6:$P$22/((1-($A1024/固有振動数!$O$6:$O$22)^2)^2+固有振動数!$P$6:$P$22^2))</f>
        <v>-0.574864749583458</v>
      </c>
      <c r="D1024" s="71" t="n">
        <f aca="false">SQRT(B1024^2+C1024^2)</f>
        <v>5.90795004252955</v>
      </c>
      <c r="E1024" s="72" t="n">
        <f aca="false">20*LOG10(MAX(D1024,0.000000000001)/$K$3)</f>
        <v>15.428736285454</v>
      </c>
      <c r="F1024" s="5"/>
      <c r="G1024" s="5"/>
      <c r="H1024" s="5"/>
      <c r="I1024" s="5"/>
      <c r="J1024" s="5"/>
      <c r="K1024" s="5"/>
      <c r="L1024" s="5"/>
      <c r="M1024" s="5"/>
      <c r="N1024" s="5"/>
    </row>
    <row r="1025" customFormat="false" ht="15" hidden="false" customHeight="false" outlineLevel="0" collapsed="false">
      <c r="A1025" s="71" t="n">
        <f aca="false">A1024+$F$3</f>
        <v>20380</v>
      </c>
      <c r="B1025" s="71" t="n">
        <f aca="false">SUMPRODUCT(固有振動数!$Q$6:$Q$22*(1-($A1025/固有振動数!$O$6:$O$22)^2)/((1-($A1025/固有振動数!$O$6:$O$22)^2)^2+固有振動数!$P$6:$P$22^2))</f>
        <v>5.98084484709188</v>
      </c>
      <c r="C1025" s="71" t="n">
        <f aca="false">-SUMPRODUCT(固有振動数!$Q$6:$Q$22*固有振動数!$P$6:$P$22/((1-($A1025/固有振動数!$O$6:$O$22)^2)^2+固有振動数!$P$6:$P$22^2))</f>
        <v>-0.574199553150992</v>
      </c>
      <c r="D1025" s="71" t="n">
        <f aca="false">SQRT(B1025^2+C1025^2)</f>
        <v>6.00834504766698</v>
      </c>
      <c r="E1025" s="72" t="n">
        <f aca="false">20*LOG10(MAX(D1025,0.000000000001)/$K$3)</f>
        <v>15.575097308134</v>
      </c>
      <c r="F1025" s="5"/>
      <c r="G1025" s="5"/>
      <c r="H1025" s="5"/>
      <c r="I1025" s="5"/>
      <c r="J1025" s="5"/>
      <c r="K1025" s="5"/>
      <c r="L1025" s="5"/>
      <c r="M1025" s="5"/>
      <c r="N1025" s="5"/>
    </row>
    <row r="1026" customFormat="false" ht="15" hidden="false" customHeight="false" outlineLevel="0" collapsed="false">
      <c r="A1026" s="71" t="n">
        <f aca="false">A1025+$F$3</f>
        <v>20400</v>
      </c>
      <c r="B1026" s="71" t="n">
        <f aca="false">SUMPRODUCT(固有振動数!$Q$6:$Q$22*(1-($A1026/固有振動数!$O$6:$O$22)^2)/((1-($A1026/固有振動数!$O$6:$O$22)^2)^2+固有振動数!$P$6:$P$22^2))</f>
        <v>6.08136252663702</v>
      </c>
      <c r="C1026" s="71" t="n">
        <f aca="false">-SUMPRODUCT(固有振動数!$Q$6:$Q$22*固有振動数!$P$6:$P$22/((1-($A1026/固有振動数!$O$6:$O$22)^2)^2+固有振動数!$P$6:$P$22^2))</f>
        <v>-0.573679093809442</v>
      </c>
      <c r="D1026" s="71" t="n">
        <f aca="false">SQRT(B1026^2+C1026^2)</f>
        <v>6.10836130914495</v>
      </c>
      <c r="E1026" s="72" t="n">
        <f aca="false">20*LOG10(MAX(D1026,0.000000000001)/$K$3)</f>
        <v>15.7184943526486</v>
      </c>
      <c r="F1026" s="5"/>
      <c r="G1026" s="5"/>
      <c r="H1026" s="5"/>
      <c r="I1026" s="5"/>
      <c r="J1026" s="5"/>
      <c r="K1026" s="5"/>
      <c r="L1026" s="5"/>
      <c r="M1026" s="5"/>
      <c r="N1026" s="5"/>
    </row>
    <row r="1027" customFormat="false" ht="15" hidden="false" customHeight="false" outlineLevel="0" collapsed="false">
      <c r="A1027" s="71" t="n">
        <f aca="false">A1026+$F$3</f>
        <v>20420</v>
      </c>
      <c r="B1027" s="71" t="n">
        <f aca="false">SUMPRODUCT(固有振動数!$Q$6:$Q$22*(1-($A1027/固有振動数!$O$6:$O$22)^2)/((1-($A1027/固有振動数!$O$6:$O$22)^2)^2+固有振動数!$P$6:$P$22^2))</f>
        <v>6.18149787825552</v>
      </c>
      <c r="C1027" s="71" t="n">
        <f aca="false">-SUMPRODUCT(固有振動数!$Q$6:$Q$22*固有振動数!$P$6:$P$22/((1-($A1027/固有振動数!$O$6:$O$22)^2)^2+固有振動数!$P$6:$P$22^2))</f>
        <v>-0.573301872673183</v>
      </c>
      <c r="D1027" s="71" t="n">
        <f aca="false">SQRT(B1027^2+C1027^2)</f>
        <v>6.20802634144605</v>
      </c>
      <c r="E1027" s="72" t="n">
        <f aca="false">20*LOG10(MAX(D1027,0.000000000001)/$K$3)</f>
        <v>15.8590710204163</v>
      </c>
      <c r="F1027" s="5"/>
      <c r="G1027" s="5"/>
      <c r="H1027" s="5"/>
      <c r="I1027" s="5"/>
      <c r="J1027" s="5"/>
      <c r="K1027" s="5"/>
      <c r="L1027" s="5"/>
      <c r="M1027" s="5"/>
      <c r="N1027" s="5"/>
    </row>
    <row r="1028" customFormat="false" ht="15" hidden="false" customHeight="false" outlineLevel="0" collapsed="false">
      <c r="A1028" s="71" t="n">
        <f aca="false">A1027+$F$3</f>
        <v>20440</v>
      </c>
      <c r="B1028" s="71" t="n">
        <f aca="false">SUMPRODUCT(固有振動数!$Q$6:$Q$22*(1-($A1028/固有振動数!$O$6:$O$22)^2)/((1-($A1028/固有振動数!$O$6:$O$22)^2)^2+固有振動数!$P$6:$P$22^2))</f>
        <v>6.28128000105476</v>
      </c>
      <c r="C1028" s="71" t="n">
        <f aca="false">-SUMPRODUCT(固有振動数!$Q$6:$Q$22*固有振動数!$P$6:$P$22/((1-($A1028/固有振動数!$O$6:$O$22)^2)^2+固有振動数!$P$6:$P$22^2))</f>
        <v>-0.573066568182107</v>
      </c>
      <c r="D1028" s="71" t="n">
        <f aca="false">SQRT(B1028^2+C1028^2)</f>
        <v>6.3073674178074</v>
      </c>
      <c r="E1028" s="72" t="n">
        <f aca="false">20*LOG10(MAX(D1028,0.000000000001)/$K$3)</f>
        <v>15.9969626064801</v>
      </c>
      <c r="F1028" s="5"/>
      <c r="G1028" s="5"/>
      <c r="H1028" s="5"/>
      <c r="I1028" s="5"/>
      <c r="J1028" s="5"/>
      <c r="K1028" s="5"/>
      <c r="L1028" s="5"/>
      <c r="M1028" s="5"/>
      <c r="N1028" s="5"/>
    </row>
    <row r="1029" customFormat="false" ht="15" hidden="false" customHeight="false" outlineLevel="0" collapsed="false">
      <c r="A1029" s="71" t="n">
        <f aca="false">A1028+$F$3</f>
        <v>20460</v>
      </c>
      <c r="B1029" s="71" t="n">
        <f aca="false">SUMPRODUCT(固有振動数!$Q$6:$Q$22*(1-($A1029/固有振動数!$O$6:$O$22)^2)/((1-($A1029/固有振動数!$O$6:$O$22)^2)^2+固有振動数!$P$6:$P$22^2))</f>
        <v>6.38073761416737</v>
      </c>
      <c r="C1029" s="71" t="n">
        <f aca="false">-SUMPRODUCT(固有振動数!$Q$6:$Q$22*固有振動数!$P$6:$P$22/((1-($A1029/固有振動数!$O$6:$O$22)^2)^2+固有振動数!$P$6:$P$22^2))</f>
        <v>-0.572972032006449</v>
      </c>
      <c r="D1029" s="71" t="n">
        <f aca="false">SQRT(B1029^2+C1029^2)</f>
        <v>6.40641158920592</v>
      </c>
      <c r="E1029" s="72" t="n">
        <f aca="false">20*LOG10(MAX(D1029,0.000000000001)/$K$3)</f>
        <v>16.1322967420627</v>
      </c>
      <c r="F1029" s="5"/>
      <c r="G1029" s="5"/>
      <c r="H1029" s="5"/>
      <c r="I1029" s="5"/>
      <c r="J1029" s="5"/>
      <c r="K1029" s="5"/>
      <c r="L1029" s="5"/>
      <c r="M1029" s="5"/>
      <c r="N1029" s="5"/>
    </row>
    <row r="1030" customFormat="false" ht="15" hidden="false" customHeight="false" outlineLevel="0" collapsed="false">
      <c r="A1030" s="71" t="n">
        <f aca="false">A1029+$F$3</f>
        <v>20480</v>
      </c>
      <c r="B1030" s="71" t="n">
        <f aca="false">SUMPRODUCT(固有振動数!$Q$6:$Q$22*(1-($A1030/固有振動数!$O$6:$O$22)^2)/((1-($A1030/固有振動数!$O$6:$O$22)^2)^2+固有振動数!$P$6:$P$22^2))</f>
        <v>6.47989909169238</v>
      </c>
      <c r="C1030" s="71" t="n">
        <f aca="false">-SUMPRODUCT(固有振動数!$Q$6:$Q$22*固有振動数!$P$6:$P$22/((1-($A1030/固有振動数!$O$6:$O$22)^2)^2+固有振動数!$P$6:$P$22^2))</f>
        <v>-0.573017285435146</v>
      </c>
      <c r="D1030" s="71" t="n">
        <f aca="false">SQRT(B1030^2+C1030^2)</f>
        <v>6.50518570433798</v>
      </c>
      <c r="E1030" s="72" t="n">
        <f aca="false">20*LOG10(MAX(D1030,0.000000000001)/$K$3)</f>
        <v>16.2651939786533</v>
      </c>
      <c r="F1030" s="5"/>
      <c r="G1030" s="5"/>
      <c r="H1030" s="5"/>
      <c r="I1030" s="5"/>
      <c r="J1030" s="5"/>
      <c r="K1030" s="5"/>
      <c r="L1030" s="5"/>
      <c r="M1030" s="5"/>
      <c r="N1030" s="5"/>
    </row>
    <row r="1031" customFormat="false" ht="15" hidden="false" customHeight="false" outlineLevel="0" collapsed="false">
      <c r="A1031" s="71" t="n">
        <f aca="false">A1030+$F$3</f>
        <v>20500</v>
      </c>
      <c r="B1031" s="71" t="n">
        <f aca="false">SUMPRODUCT(固有振動数!$Q$6:$Q$22*(1-($A1031/固有振動数!$O$6:$O$22)^2)/((1-($A1031/固有振動数!$O$6:$O$22)^2)^2+固有振動数!$P$6:$P$22^2))</f>
        <v>6.57879249675709</v>
      </c>
      <c r="C1031" s="71" t="n">
        <f aca="false">-SUMPRODUCT(固有振動数!$Q$6:$Q$22*固有振動数!$P$6:$P$22/((1-($A1031/固有振動数!$O$6:$O$22)^2)^2+固有振動数!$P$6:$P$22^2))</f>
        <v>-0.573201516229499</v>
      </c>
      <c r="D1031" s="71" t="n">
        <f aca="false">SQRT(B1031^2+C1031^2)</f>
        <v>6.60371643043485</v>
      </c>
      <c r="E1031" s="72" t="n">
        <f aca="false">20*LOG10(MAX(D1031,0.000000000001)/$K$3)</f>
        <v>16.3957683198542</v>
      </c>
      <c r="F1031" s="5"/>
      <c r="G1031" s="5"/>
      <c r="H1031" s="5"/>
      <c r="I1031" s="5"/>
      <c r="J1031" s="5"/>
      <c r="K1031" s="5"/>
      <c r="L1031" s="5"/>
      <c r="M1031" s="5"/>
      <c r="N1031" s="5"/>
    </row>
    <row r="1032" customFormat="false" ht="15" hidden="false" customHeight="false" outlineLevel="0" collapsed="false">
      <c r="A1032" s="71" t="n">
        <f aca="false">A1031+$F$3</f>
        <v>20520</v>
      </c>
      <c r="B1032" s="71" t="n">
        <f aca="false">SUMPRODUCT(固有振動数!$Q$6:$Q$22*(1-($A1032/固有振動数!$O$6:$O$22)^2)/((1-($A1032/固有振動数!$O$6:$O$22)^2)^2+固有振動数!$P$6:$P$22^2))</f>
        <v>6.67744561479193</v>
      </c>
      <c r="C1032" s="71" t="n">
        <f aca="false">-SUMPRODUCT(固有振動数!$Q$6:$Q$22*固有振動数!$P$6:$P$22/((1-($A1032/固有振動数!$O$6:$O$22)^2)^2+固有振動数!$P$6:$P$22^2))</f>
        <v>-0.573524075926154</v>
      </c>
      <c r="D1032" s="71" t="n">
        <f aca="false">SQRT(B1032^2+C1032^2)</f>
        <v>6.7020302747877</v>
      </c>
      <c r="E1032" s="72" t="n">
        <f aca="false">20*LOG10(MAX(D1032,0.000000000001)/$K$3)</f>
        <v>16.5241277064624</v>
      </c>
      <c r="F1032" s="5"/>
      <c r="G1032" s="5"/>
      <c r="H1032" s="5"/>
      <c r="I1032" s="5"/>
      <c r="J1032" s="5"/>
      <c r="K1032" s="5"/>
      <c r="L1032" s="5"/>
      <c r="M1032" s="5"/>
      <c r="N1032" s="5"/>
    </row>
    <row r="1033" customFormat="false" ht="15" hidden="false" customHeight="false" outlineLevel="0" collapsed="false">
      <c r="A1033" s="71" t="n">
        <f aca="false">A1032+$F$3</f>
        <v>20540</v>
      </c>
      <c r="B1033" s="71" t="n">
        <f aca="false">SUMPRODUCT(固有振動数!$Q$6:$Q$22*(1-($A1033/固有振動数!$O$6:$O$22)^2)/((1-($A1033/固有振動数!$O$6:$O$22)^2)^2+固有振動数!$P$6:$P$22^2))</f>
        <v>6.77588598610743</v>
      </c>
      <c r="C1033" s="71" t="n">
        <f aca="false">-SUMPRODUCT(固有振動数!$Q$6:$Q$22*固有振動数!$P$6:$P$22/((1-($A1033/固有振動数!$O$6:$O$22)^2)^2+固有振動数!$P$6:$P$22^2))</f>
        <v>-0.573984477575639</v>
      </c>
      <c r="D1033" s="71" t="n">
        <f aca="false">SQRT(B1033^2+C1033^2)</f>
        <v>6.80015360688454</v>
      </c>
      <c r="E1033" s="72" t="n">
        <f aca="false">20*LOG10(MAX(D1033,0.000000000001)/$K$3)</f>
        <v>16.6503744596214</v>
      </c>
      <c r="F1033" s="5"/>
      <c r="G1033" s="5"/>
      <c r="H1033" s="5"/>
      <c r="I1033" s="5"/>
      <c r="J1033" s="5"/>
      <c r="K1033" s="5"/>
      <c r="L1033" s="5"/>
      <c r="M1033" s="5"/>
      <c r="N1033" s="5"/>
    </row>
    <row r="1034" customFormat="false" ht="15" hidden="false" customHeight="false" outlineLevel="0" collapsed="false">
      <c r="A1034" s="71" t="n">
        <f aca="false">A1033+$F$3</f>
        <v>20560</v>
      </c>
      <c r="B1034" s="71" t="n">
        <f aca="false">SUMPRODUCT(固有振動数!$Q$6:$Q$22*(1-($A1034/固有振動数!$O$6:$O$22)^2)/((1-($A1034/固有振動数!$O$6:$O$22)^2)^2+固有振動数!$P$6:$P$22^2))</f>
        <v>6.87414093785909</v>
      </c>
      <c r="C1034" s="71" t="n">
        <f aca="false">-SUMPRODUCT(固有振動数!$Q$6:$Q$22*固有振動数!$P$6:$P$22/((1-($A1034/固有振動数!$O$6:$O$22)^2)^2+固有振動数!$P$6:$P$22^2))</f>
        <v>-0.574582393904679</v>
      </c>
      <c r="D1034" s="71" t="n">
        <f aca="false">SQRT(B1034^2+C1034^2)</f>
        <v>6.89811268108426</v>
      </c>
      <c r="E1034" s="72" t="n">
        <f aca="false">20*LOG10(MAX(D1034,0.000000000001)/$K$3)</f>
        <v>16.7746056863143</v>
      </c>
      <c r="F1034" s="5"/>
      <c r="G1034" s="5"/>
      <c r="H1034" s="5"/>
      <c r="I1034" s="5"/>
      <c r="J1034" s="5"/>
      <c r="K1034" s="5"/>
      <c r="L1034" s="5"/>
      <c r="M1034" s="5"/>
      <c r="N1034" s="5"/>
    </row>
    <row r="1035" customFormat="false" ht="15" hidden="false" customHeight="false" outlineLevel="0" collapsed="false">
      <c r="A1035" s="71" t="n">
        <f aca="false">A1034+$F$3</f>
        <v>20580</v>
      </c>
      <c r="B1035" s="71" t="n">
        <f aca="false">SUMPRODUCT(固有振動数!$Q$6:$Q$22*(1-($A1035/固有振動数!$O$6:$O$22)^2)/((1-($A1035/固有振動数!$O$6:$O$22)^2)^2+固有振動数!$P$6:$P$22^2))</f>
        <v>6.97223761548297</v>
      </c>
      <c r="C1035" s="71" t="n">
        <f aca="false">-SUMPRODUCT(固有振動数!$Q$6:$Q$22*固有振動数!$P$6:$P$22/((1-($A1035/固有振動数!$O$6:$O$22)^2)^2+固有振動数!$P$6:$P$22^2))</f>
        <v>-0.575317655892568</v>
      </c>
      <c r="D1035" s="71" t="n">
        <f aca="false">SQRT(B1035^2+C1035^2)</f>
        <v>6.99593365977246</v>
      </c>
      <c r="E1035" s="72" t="n">
        <f aca="false">20*LOG10(MAX(D1035,0.000000000001)/$K$3)</f>
        <v>16.8969136509774</v>
      </c>
      <c r="F1035" s="5"/>
      <c r="G1035" s="5"/>
      <c r="H1035" s="5"/>
      <c r="I1035" s="5"/>
      <c r="J1035" s="5"/>
      <c r="K1035" s="5"/>
      <c r="L1035" s="5"/>
      <c r="M1035" s="5"/>
      <c r="N1035" s="5"/>
    </row>
    <row r="1036" customFormat="false" ht="15" hidden="false" customHeight="false" outlineLevel="0" collapsed="false">
      <c r="A1036" s="71" t="n">
        <f aca="false">A1035+$F$3</f>
        <v>20600</v>
      </c>
      <c r="B1036" s="71" t="n">
        <f aca="false">SUMPRODUCT(固有振動数!$Q$6:$Q$22*(1-($A1036/固有振動数!$O$6:$O$22)^2)/((1-($A1036/固有振動数!$O$6:$O$22)^2)^2+固有振動数!$P$6:$P$22^2))</f>
        <v>7.07020301368282</v>
      </c>
      <c r="C1036" s="71" t="n">
        <f aca="false">-SUMPRODUCT(固有振動数!$Q$6:$Q$22*固有振動数!$P$6:$P$22/((1-($A1036/固有振動数!$O$6:$O$22)^2)^2+固有振動数!$P$6:$P$22^2))</f>
        <v>-0.57619025175371</v>
      </c>
      <c r="D1036" s="71" t="n">
        <f aca="false">SQRT(B1036^2+C1036^2)</f>
        <v>7.09364263696062</v>
      </c>
      <c r="E1036" s="72" t="n">
        <f aca="false">20*LOG10(MAX(D1036,0.000000000001)/$K$3)</f>
        <v>17.0173861165913</v>
      </c>
      <c r="F1036" s="5"/>
      <c r="G1036" s="5"/>
      <c r="H1036" s="5"/>
      <c r="I1036" s="5"/>
      <c r="J1036" s="5"/>
      <c r="K1036" s="5"/>
      <c r="L1036" s="5"/>
      <c r="M1036" s="5"/>
      <c r="N1036" s="5"/>
    </row>
    <row r="1037" customFormat="false" ht="15" hidden="false" customHeight="false" outlineLevel="0" collapsed="false">
      <c r="A1037" s="71" t="n">
        <f aca="false">A1036+$F$3</f>
        <v>20620</v>
      </c>
      <c r="B1037" s="71" t="n">
        <f aca="false">SUMPRODUCT(固有振動数!$Q$6:$Q$22*(1-($A1037/固有振動数!$O$6:$O$22)^2)/((1-($A1037/固有振動数!$O$6:$O$22)^2)^2+固有振動数!$P$6:$P$22^2))</f>
        <v>7.16806400704736</v>
      </c>
      <c r="C1037" s="71" t="n">
        <f aca="false">-SUMPRODUCT(固有振動数!$Q$6:$Q$22*固有振動数!$P$6:$P$22/((1-($A1037/固有振動数!$O$6:$O$22)^2)^2+固有振動数!$P$6:$P$22^2))</f>
        <v>-0.577200326320306</v>
      </c>
      <c r="D1037" s="71" t="n">
        <f aca="false">SQRT(B1037^2+C1037^2)</f>
        <v>7.19126566230397</v>
      </c>
      <c r="E1037" s="72" t="n">
        <f aca="false">20*LOG10(MAX(D1037,0.000000000001)/$K$3)</f>
        <v>17.13610665823</v>
      </c>
      <c r="F1037" s="5"/>
      <c r="G1037" s="5"/>
      <c r="H1037" s="5"/>
      <c r="I1037" s="5"/>
      <c r="J1037" s="5"/>
      <c r="K1037" s="5"/>
      <c r="L1037" s="5"/>
      <c r="M1037" s="5"/>
      <c r="N1037" s="5"/>
    </row>
    <row r="1038" customFormat="false" ht="15" hidden="false" customHeight="false" outlineLevel="0" collapsed="false">
      <c r="A1038" s="71" t="n">
        <f aca="false">A1037+$F$3</f>
        <v>20640</v>
      </c>
      <c r="B1038" s="71" t="n">
        <f aca="false">SUMPRODUCT(固有振動数!$Q$6:$Q$22*(1-($A1038/固有振動数!$O$6:$O$22)^2)/((1-($A1038/固有振動数!$O$6:$O$22)^2)^2+固有振動数!$P$6:$P$22^2))</f>
        <v>7.26584738037456</v>
      </c>
      <c r="C1038" s="71" t="n">
        <f aca="false">-SUMPRODUCT(固有振動数!$Q$6:$Q$22*固有振動数!$P$6:$P$22/((1-($A1038/固有振動数!$O$6:$O$22)^2)^2+固有振動数!$P$6:$P$22^2))</f>
        <v>-0.578348180820953</v>
      </c>
      <c r="D1038" s="71" t="n">
        <f aca="false">SQRT(B1038^2+C1038^2)</f>
        <v>7.28882876552569</v>
      </c>
      <c r="E1038" s="72" t="n">
        <f aca="false">20*LOG10(MAX(D1038,0.000000000001)/$K$3)</f>
        <v>17.2531549517227</v>
      </c>
      <c r="F1038" s="5"/>
      <c r="G1038" s="5"/>
      <c r="H1038" s="5"/>
      <c r="I1038" s="5"/>
      <c r="J1038" s="5"/>
      <c r="K1038" s="5"/>
      <c r="L1038" s="5"/>
      <c r="M1038" s="5"/>
      <c r="N1038" s="5"/>
    </row>
    <row r="1039" customFormat="false" ht="15" hidden="false" customHeight="false" outlineLevel="0" collapsed="false">
      <c r="A1039" s="71" t="n">
        <f aca="false">A1038+$F$3</f>
        <v>20660</v>
      </c>
      <c r="B1039" s="71" t="n">
        <f aca="false">SUMPRODUCT(固有振動数!$Q$6:$Q$22*(1-($A1039/固有振動数!$O$6:$O$22)^2)/((1-($A1039/固有振動数!$O$6:$O$22)^2)^2+固有振動数!$P$6:$P$22^2))</f>
        <v>7.36357985877865</v>
      </c>
      <c r="C1039" s="71" t="n">
        <f aca="false">-SUMPRODUCT(固有振動数!$Q$6:$Q$22*固有振動数!$P$6:$P$22/((1-($A1039/固有振動数!$O$6:$O$22)^2)^2+固有振動数!$P$6:$P$22^2))</f>
        <v>-0.579634273052664</v>
      </c>
      <c r="D1039" s="71" t="n">
        <f aca="false">SQRT(B1039^2+C1039^2)</f>
        <v>7.38635798124542</v>
      </c>
      <c r="E1039" s="72" t="n">
        <f aca="false">20*LOG10(MAX(D1039,0.000000000001)/$K$3)</f>
        <v>17.3686070397951</v>
      </c>
      <c r="F1039" s="5"/>
      <c r="G1039" s="5"/>
      <c r="H1039" s="5"/>
      <c r="I1039" s="5"/>
      <c r="J1039" s="5"/>
      <c r="K1039" s="5"/>
      <c r="L1039" s="5"/>
      <c r="M1039" s="5"/>
      <c r="N1039" s="5"/>
    </row>
    <row r="1040" customFormat="false" ht="15" hidden="false" customHeight="false" outlineLevel="0" collapsed="false">
      <c r="A1040" s="71" t="n">
        <f aca="false">A1039+$F$3</f>
        <v>20680</v>
      </c>
      <c r="B1040" s="71" t="n">
        <f aca="false">SUMPRODUCT(固有振動数!$Q$6:$Q$22*(1-($A1040/固有振動数!$O$6:$O$22)^2)/((1-($A1040/固有振動数!$O$6:$O$22)^2)^2+固有振動数!$P$6:$P$22^2))</f>
        <v>7.46128813765455</v>
      </c>
      <c r="C1040" s="71" t="n">
        <f aca="false">-SUMPRODUCT(固有振動数!$Q$6:$Q$22*固有振動数!$P$6:$P$22/((1-($A1040/固有振動数!$O$6:$O$22)^2)^2+固有振動数!$P$6:$P$22^2))</f>
        <v>-0.581059217945545</v>
      </c>
      <c r="D1040" s="71" t="n">
        <f aca="false">SQRT(B1040^2+C1040^2)</f>
        <v>7.48387937421923</v>
      </c>
      <c r="E1040" s="72" t="n">
        <f aca="false">20*LOG10(MAX(D1040,0.000000000001)/$K$3)</f>
        <v>17.482535577807</v>
      </c>
      <c r="F1040" s="5"/>
      <c r="G1040" s="5"/>
      <c r="H1040" s="5"/>
      <c r="I1040" s="5"/>
      <c r="J1040" s="5"/>
      <c r="K1040" s="5"/>
      <c r="L1040" s="5"/>
      <c r="M1040" s="5"/>
      <c r="N1040" s="5"/>
    </row>
    <row r="1041" customFormat="false" ht="15" hidden="false" customHeight="false" outlineLevel="0" collapsed="false">
      <c r="A1041" s="71" t="n">
        <f aca="false">A1040+$F$3</f>
        <v>20700</v>
      </c>
      <c r="B1041" s="71" t="n">
        <f aca="false">SUMPRODUCT(固有振動数!$Q$6:$Q$22*(1-($A1041/固有振動数!$O$6:$O$22)^2)/((1-($A1041/固有振動数!$O$6:$O$22)^2)^2+固有振動数!$P$6:$P$22^2))</f>
        <v>7.55899891257351</v>
      </c>
      <c r="C1041" s="71" t="n">
        <f aca="false">-SUMPRODUCT(固有振動数!$Q$6:$Q$22*固有振動数!$P$6:$P$22/((1-($A1041/固有振動数!$O$6:$O$22)^2)^2+固有振動数!$P$6:$P$22^2))</f>
        <v>-0.582623788521104</v>
      </c>
      <c r="D1041" s="71" t="n">
        <f aca="false">SQRT(B1041^2+C1041^2)</f>
        <v>7.58141906500612</v>
      </c>
      <c r="E1041" s="72" t="n">
        <f aca="false">20*LOG10(MAX(D1041,0.000000000001)/$K$3)</f>
        <v>17.5950100609795</v>
      </c>
      <c r="F1041" s="5"/>
      <c r="G1041" s="5"/>
      <c r="H1041" s="5"/>
      <c r="I1041" s="5"/>
      <c r="J1041" s="5"/>
      <c r="K1041" s="5"/>
      <c r="L1041" s="5"/>
      <c r="M1041" s="5"/>
      <c r="N1041" s="5"/>
    </row>
    <row r="1042" customFormat="false" ht="15" hidden="false" customHeight="false" outlineLevel="0" collapsed="false">
      <c r="A1042" s="71" t="n">
        <f aca="false">A1041+$F$3</f>
        <v>20720</v>
      </c>
      <c r="B1042" s="71" t="n">
        <f aca="false">SUMPRODUCT(固有振動数!$Q$6:$Q$22*(1-($A1042/固有振動数!$O$6:$O$22)^2)/((1-($A1042/固有振動数!$O$6:$O$22)^2)^2+固有振動数!$P$6:$P$22^2))</f>
        <v>7.65673890918377</v>
      </c>
      <c r="C1042" s="71" t="n">
        <f aca="false">-SUMPRODUCT(固有振動数!$Q$6:$Q$22*固有振動数!$P$6:$P$22/((1-($A1042/固有振動数!$O$6:$O$22)^2)^2+固有振動数!$P$6:$P$22^2))</f>
        <v>-0.584328917246841</v>
      </c>
      <c r="D1042" s="71" t="n">
        <f aca="false">SQRT(B1042^2+C1042^2)</f>
        <v>7.6790032560834</v>
      </c>
      <c r="E1042" s="72" t="n">
        <f aca="false">20*LOG10(MAX(D1042,0.000000000001)/$K$3)</f>
        <v>17.7060970348078</v>
      </c>
      <c r="F1042" s="5"/>
      <c r="G1042" s="5"/>
      <c r="H1042" s="5"/>
      <c r="I1042" s="5"/>
      <c r="J1042" s="5"/>
      <c r="K1042" s="5"/>
      <c r="L1042" s="5"/>
      <c r="M1042" s="5"/>
      <c r="N1042" s="5"/>
    </row>
    <row r="1043" customFormat="false" ht="15" hidden="false" customHeight="false" outlineLevel="0" collapsed="false">
      <c r="A1043" s="71" t="n">
        <f aca="false">A1042+$F$3</f>
        <v>20740</v>
      </c>
      <c r="B1043" s="71" t="n">
        <f aca="false">SUMPRODUCT(固有振動数!$Q$6:$Q$22*(1-($A1043/固有振動数!$O$6:$O$22)^2)/((1-($A1043/固有振動数!$O$6:$O$22)^2)^2+固有振動数!$P$6:$P$22^2))</f>
        <v>7.7545349131897</v>
      </c>
      <c r="C1043" s="71" t="n">
        <f aca="false">-SUMPRODUCT(固有振動数!$Q$6:$Q$22*固有振動数!$P$6:$P$22/((1-($A1043/固有振動数!$O$6:$O$22)^2)^2+固有振動数!$P$6:$P$22^2))</f>
        <v>-0.586175697791542</v>
      </c>
      <c r="D1043" s="71" t="n">
        <f aca="false">SQRT(B1043^2+C1043^2)</f>
        <v>7.77665825843977</v>
      </c>
      <c r="E1043" s="72" t="n">
        <f aca="false">20*LOG10(MAX(D1043,0.000000000001)/$K$3)</f>
        <v>17.8158602901869</v>
      </c>
      <c r="F1043" s="5"/>
      <c r="G1043" s="5"/>
      <c r="H1043" s="5"/>
      <c r="I1043" s="5"/>
      <c r="J1043" s="5"/>
      <c r="K1043" s="5"/>
      <c r="L1043" s="5"/>
      <c r="M1043" s="5"/>
      <c r="N1043" s="5"/>
    </row>
    <row r="1044" customFormat="false" ht="15" hidden="false" customHeight="false" outlineLevel="0" collapsed="false">
      <c r="A1044" s="71" t="n">
        <f aca="false">A1043+$F$3</f>
        <v>20760</v>
      </c>
      <c r="B1044" s="71" t="n">
        <f aca="false">SUMPRODUCT(固有振動数!$Q$6:$Q$22*(1-($A1044/固有振動数!$O$6:$O$22)^2)/((1-($A1044/固有振動数!$O$6:$O$22)^2)^2+固有振動数!$P$6:$P$22^2))</f>
        <v>7.85241380048328</v>
      </c>
      <c r="C1044" s="71" t="n">
        <f aca="false">-SUMPRODUCT(固有振動数!$Q$6:$Q$22*固有振動数!$P$6:$P$22/((1-($A1044/固有振動数!$O$6:$O$22)^2)^2+固有振動数!$P$6:$P$22^2))</f>
        <v>-0.588165387187405</v>
      </c>
      <c r="D1044" s="71" t="n">
        <f aca="false">SQRT(B1044^2+C1044^2)</f>
        <v>7.87441051868046</v>
      </c>
      <c r="E1044" s="72" t="n">
        <f aca="false">20*LOG10(MAX(D1044,0.000000000001)/$K$3)</f>
        <v>17.9243610446195</v>
      </c>
      <c r="F1044" s="5"/>
      <c r="G1044" s="5"/>
      <c r="H1044" s="5"/>
      <c r="I1044" s="5"/>
      <c r="J1044" s="5"/>
      <c r="K1044" s="5"/>
      <c r="L1044" s="5"/>
      <c r="M1044" s="5"/>
      <c r="N1044" s="5"/>
    </row>
    <row r="1045" customFormat="false" ht="15" hidden="false" customHeight="false" outlineLevel="0" collapsed="false">
      <c r="A1045" s="71" t="n">
        <f aca="false">A1044+$F$3</f>
        <v>20780</v>
      </c>
      <c r="B1045" s="71" t="n">
        <f aca="false">SUMPRODUCT(固有振動数!$Q$6:$Q$22*(1-($A1045/固有振動数!$O$6:$O$22)^2)/((1-($A1045/固有振動数!$O$6:$O$22)^2)^2+固有振動数!$P$6:$P$22^2))</f>
        <v>7.95040256750234</v>
      </c>
      <c r="C1045" s="71" t="n">
        <f aca="false">-SUMPRODUCT(固有振動数!$Q$6:$Q$22*固有振動数!$P$6:$P$22/((1-($A1045/固有振動数!$O$6:$O$22)^2)^2+固有振動数!$P$6:$P$22^2))</f>
        <v>-0.590299408406951</v>
      </c>
      <c r="D1045" s="71" t="n">
        <f aca="false">SQRT(B1045^2+C1045^2)</f>
        <v>7.97228664668509</v>
      </c>
      <c r="E1045" s="72" t="n">
        <f aca="false">20*LOG10(MAX(D1045,0.000000000001)/$K$3)</f>
        <v>18.0316581107435</v>
      </c>
      <c r="F1045" s="5"/>
      <c r="G1045" s="5"/>
      <c r="H1045" s="5"/>
      <c r="I1045" s="5"/>
      <c r="J1045" s="5"/>
      <c r="K1045" s="5"/>
      <c r="L1045" s="5"/>
      <c r="M1045" s="5"/>
      <c r="N1045" s="5"/>
    </row>
    <row r="1046" customFormat="false" ht="15" hidden="false" customHeight="false" outlineLevel="0" collapsed="false">
      <c r="A1046" s="71" t="n">
        <f aca="false">A1045+$F$3</f>
        <v>20800</v>
      </c>
      <c r="B1046" s="71" t="n">
        <f aca="false">SUMPRODUCT(固有振動数!$Q$6:$Q$22*(1-($A1046/固有振動数!$O$6:$O$22)^2)/((1-($A1046/固有振動数!$O$6:$O$22)^2)^2+固有振動数!$P$6:$P$22^2))</f>
        <v>8.04852836189094</v>
      </c>
      <c r="C1046" s="71" t="n">
        <f aca="false">-SUMPRODUCT(固有振動数!$Q$6:$Q$22*固有振動数!$P$6:$P$22/((1-($A1046/固有振動数!$O$6:$O$22)^2)^2+固有振動数!$P$6:$P$22^2))</f>
        <v>-0.59257935336445</v>
      </c>
      <c r="D1046" s="71" t="n">
        <f aca="false">SQRT(B1046^2+C1046^2)</f>
        <v>8.07031344386305</v>
      </c>
      <c r="E1046" s="72" t="n">
        <f aca="false">20*LOG10(MAX(D1046,0.000000000001)/$K$3)</f>
        <v>18.1378080532928</v>
      </c>
      <c r="F1046" s="5"/>
      <c r="G1046" s="5"/>
      <c r="H1046" s="5"/>
      <c r="I1046" s="5"/>
      <c r="J1046" s="5"/>
      <c r="K1046" s="5"/>
      <c r="L1046" s="5"/>
      <c r="M1046" s="5"/>
      <c r="N1046" s="5"/>
    </row>
    <row r="1047" customFormat="false" ht="15" hidden="false" customHeight="false" outlineLevel="0" collapsed="false">
      <c r="A1047" s="71" t="n">
        <f aca="false">A1046+$F$3</f>
        <v>20820</v>
      </c>
      <c r="B1047" s="71" t="n">
        <f aca="false">SUMPRODUCT(固有振動数!$Q$6:$Q$22*(1-($A1047/固有振動数!$O$6:$O$22)^2)/((1-($A1047/固有振動数!$O$6:$O$22)^2)^2+固有振動数!$P$6:$P$22^2))</f>
        <v>8.1468185135384</v>
      </c>
      <c r="C1047" s="71" t="n">
        <f aca="false">-SUMPRODUCT(固有振動数!$Q$6:$Q$22*固有振動数!$P$6:$P$22/((1-($A1047/固有振動数!$O$6:$O$22)^2)^2+固有振動数!$P$6:$P$22^2))</f>
        <v>-0.595006986353552</v>
      </c>
      <c r="D1047" s="71" t="n">
        <f aca="false">SQRT(B1047^2+C1047^2)</f>
        <v>8.1685179320573</v>
      </c>
      <c r="E1047" s="72" t="n">
        <f aca="false">20*LOG10(MAX(D1047,0.000000000001)/$K$3)</f>
        <v>18.2428653355027</v>
      </c>
      <c r="F1047" s="5"/>
      <c r="G1047" s="5"/>
      <c r="H1047" s="5"/>
      <c r="I1047" s="5"/>
      <c r="J1047" s="5"/>
      <c r="K1047" s="5"/>
      <c r="L1047" s="5"/>
      <c r="M1047" s="5"/>
      <c r="N1047" s="5"/>
    </row>
    <row r="1048" customFormat="false" ht="15" hidden="false" customHeight="false" outlineLevel="0" collapsed="false">
      <c r="A1048" s="71" t="n">
        <f aca="false">A1047+$F$3</f>
        <v>20840</v>
      </c>
      <c r="B1048" s="71" t="n">
        <f aca="false">SUMPRODUCT(固有振動数!$Q$6:$Q$22*(1-($A1048/固有振動数!$O$6:$O$22)^2)/((1-($A1048/固有振動数!$O$6:$O$22)^2)^2+固有振動数!$P$6:$P$22^2))</f>
        <v>8.24530056607507</v>
      </c>
      <c r="C1048" s="71" t="n">
        <f aca="false">-SUMPRODUCT(固有振動数!$Q$6:$Q$22*固有振動数!$P$6:$P$22/((1-($A1048/固有振動数!$O$6:$O$22)^2)^2+固有振動数!$P$6:$P$22^2))</f>
        <v>-0.597584247934677</v>
      </c>
      <c r="D1048" s="71" t="n">
        <f aca="false">SQRT(B1048^2+C1048^2)</f>
        <v>8.26692738315134</v>
      </c>
      <c r="E1048" s="72" t="n">
        <f aca="false">20*LOG10(MAX(D1048,0.000000000001)/$K$3)</f>
        <v>18.3468824558694</v>
      </c>
      <c r="F1048" s="5"/>
      <c r="G1048" s="5"/>
      <c r="H1048" s="5"/>
      <c r="I1048" s="5"/>
      <c r="J1048" s="5"/>
      <c r="K1048" s="5"/>
      <c r="L1048" s="5"/>
      <c r="M1048" s="5"/>
      <c r="N1048" s="5"/>
    </row>
    <row r="1049" customFormat="false" ht="15" hidden="false" customHeight="false" outlineLevel="0" collapsed="false">
      <c r="A1049" s="71" t="n">
        <f aca="false">A1048+$F$3</f>
        <v>20860</v>
      </c>
      <c r="B1049" s="71" t="n">
        <f aca="false">SUMPRODUCT(固有振動数!$Q$6:$Q$22*(1-($A1049/固有振動数!$O$6:$O$22)^2)/((1-($A1049/固有振動数!$O$6:$O$22)^2)^2+固有振動数!$P$6:$P$22^2))</f>
        <v>8.34400230890495</v>
      </c>
      <c r="C1049" s="71" t="n">
        <f aca="false">-SUMPRODUCT(固有振動数!$Q$6:$Q$22*固有振動数!$P$6:$P$22/((1-($A1049/固有振動数!$O$6:$O$22)^2)^2+固有振動数!$P$6:$P$22^2))</f>
        <v>-0.600313259287867</v>
      </c>
      <c r="D1049" s="71" t="n">
        <f aca="false">SQRT(B1049^2+C1049^2)</f>
        <v>8.36556934943988</v>
      </c>
      <c r="E1049" s="72" t="n">
        <f aca="false">20*LOG10(MAX(D1049,0.000000000001)/$K$3)</f>
        <v>18.4499100760951</v>
      </c>
      <c r="F1049" s="5"/>
      <c r="G1049" s="5"/>
      <c r="H1049" s="5"/>
      <c r="I1049" s="5"/>
      <c r="J1049" s="5"/>
      <c r="K1049" s="5"/>
      <c r="L1049" s="5"/>
      <c r="M1049" s="5"/>
      <c r="N1049" s="5"/>
    </row>
    <row r="1050" customFormat="false" ht="15" hidden="false" customHeight="false" outlineLevel="0" collapsed="false">
      <c r="A1050" s="71" t="n">
        <f aca="false">A1049+$F$3</f>
        <v>20880</v>
      </c>
      <c r="B1050" s="71" t="n">
        <f aca="false">SUMPRODUCT(固有振動数!$Q$6:$Q$22*(1-($A1050/固有振動数!$O$6:$O$22)^2)/((1-($A1050/固有振動数!$O$6:$O$22)^2)^2+固有振動数!$P$6:$P$22^2))</f>
        <v>8.44295180985735</v>
      </c>
      <c r="C1050" s="71" t="n">
        <f aca="false">-SUMPRODUCT(固有振動数!$Q$6:$Q$22*固有振動数!$P$6:$P$22/((1-($A1050/固有振動数!$O$6:$O$22)^2)^2+固有振動数!$P$6:$P$22^2))</f>
        <v>-0.603196327048848</v>
      </c>
      <c r="D1050" s="71" t="n">
        <f aca="false">SQRT(B1050^2+C1050^2)</f>
        <v>8.46447169482767</v>
      </c>
      <c r="E1050" s="72" t="n">
        <f aca="false">20*LOG10(MAX(D1050,0.000000000001)/$K$3)</f>
        <v>18.5519971409696</v>
      </c>
      <c r="F1050" s="5"/>
      <c r="G1050" s="5"/>
      <c r="H1050" s="5"/>
      <c r="I1050" s="5"/>
      <c r="J1050" s="5"/>
      <c r="K1050" s="5"/>
      <c r="L1050" s="5"/>
      <c r="M1050" s="5"/>
      <c r="N1050" s="5"/>
    </row>
    <row r="1051" customFormat="false" ht="15" hidden="false" customHeight="false" outlineLevel="0" collapsed="false">
      <c r="A1051" s="71" t="n">
        <f aca="false">A1050+$F$3</f>
        <v>20900</v>
      </c>
      <c r="B1051" s="71" t="n">
        <f aca="false">SUMPRODUCT(固有振動数!$Q$6:$Q$22*(1-($A1051/固有振動数!$O$6:$O$22)^2)/((1-($A1051/固有振動数!$O$6:$O$22)^2)^2+固有振動数!$P$6:$P$22^2))</f>
        <v>8.54217744854253</v>
      </c>
      <c r="C1051" s="71" t="n">
        <f aca="false">-SUMPRODUCT(固有振動数!$Q$6:$Q$22*固有振動数!$P$6:$P$22/((1-($A1051/固有振動数!$O$6:$O$22)^2)^2+固有振動数!$P$6:$P$22^2))</f>
        <v>-0.606235948648381</v>
      </c>
      <c r="D1051" s="71" t="n">
        <f aca="false">SQRT(B1051^2+C1051^2)</f>
        <v>8.56366262692676</v>
      </c>
      <c r="E1051" s="72" t="n">
        <f aca="false">20*LOG10(MAX(D1051,0.000000000001)/$K$3)</f>
        <v>18.6531909908737</v>
      </c>
      <c r="F1051" s="5"/>
      <c r="G1051" s="5"/>
      <c r="H1051" s="5"/>
      <c r="I1051" s="5"/>
      <c r="J1051" s="5"/>
      <c r="K1051" s="5"/>
      <c r="L1051" s="5"/>
      <c r="M1051" s="5"/>
      <c r="N1051" s="5"/>
    </row>
    <row r="1052" customFormat="false" ht="15" hidden="false" customHeight="false" outlineLevel="0" collapsed="false">
      <c r="A1052" s="71" t="n">
        <f aca="false">A1051+$F$3</f>
        <v>20920</v>
      </c>
      <c r="B1052" s="71" t="n">
        <f aca="false">SUMPRODUCT(固有振動数!$Q$6:$Q$22*(1-($A1052/固有振動数!$O$6:$O$22)^2)/((1-($A1052/固有振動数!$O$6:$O$22)^2)^2+固有振動数!$P$6:$P$22^2))</f>
        <v>8.64170795049908</v>
      </c>
      <c r="C1052" s="71" t="n">
        <f aca="false">-SUMPRODUCT(固有振動数!$Q$6:$Q$22*固有振動数!$P$6:$P$22/((1-($A1052/固有振動数!$O$6:$O$22)^2)^2+固有振動数!$P$6:$P$22^2))</f>
        <v>-0.609434818177316</v>
      </c>
      <c r="D1052" s="71" t="n">
        <f aca="false">SQRT(B1052^2+C1052^2)</f>
        <v>8.66317073012681</v>
      </c>
      <c r="E1052" s="72" t="n">
        <f aca="false">20*LOG10(MAX(D1052,0.000000000001)/$K$3)</f>
        <v>18.7535374675284</v>
      </c>
      <c r="F1052" s="5"/>
      <c r="G1052" s="5"/>
      <c r="H1052" s="5"/>
      <c r="I1052" s="5"/>
      <c r="J1052" s="5"/>
      <c r="K1052" s="5"/>
      <c r="L1052" s="5"/>
      <c r="M1052" s="5"/>
      <c r="N1052" s="5"/>
    </row>
    <row r="1053" customFormat="false" ht="15" hidden="false" customHeight="false" outlineLevel="0" collapsed="false">
      <c r="A1053" s="71" t="n">
        <f aca="false">A1052+$F$3</f>
        <v>20940</v>
      </c>
      <c r="B1053" s="71" t="n">
        <f aca="false">SUMPRODUCT(固有振動数!$Q$6:$Q$22*(1-($A1053/固有振動数!$O$6:$O$22)^2)/((1-($A1053/固有振動数!$O$6:$O$22)^2)^2+固有振動数!$P$6:$P$22^2))</f>
        <v>8.74157242222464</v>
      </c>
      <c r="C1053" s="71" t="n">
        <f aca="false">-SUMPRODUCT(固有振動数!$Q$6:$Q$22*固有振動数!$P$6:$P$22/((1-($A1053/固有振動数!$O$6:$O$22)^2)^2+固有振動数!$P$6:$P$22^2))</f>
        <v>-0.612795832802345</v>
      </c>
      <c r="D1053" s="71" t="n">
        <f aca="false">SQRT(B1053^2+C1053^2)</f>
        <v>8.76302499971889</v>
      </c>
      <c r="E1053" s="72" t="n">
        <f aca="false">20*LOG10(MAX(D1053,0.000000000001)/$K$3)</f>
        <v>18.8530810135618</v>
      </c>
      <c r="F1053" s="5"/>
      <c r="G1053" s="5"/>
      <c r="H1053" s="5"/>
      <c r="I1053" s="5"/>
      <c r="J1053" s="5"/>
      <c r="K1053" s="5"/>
      <c r="L1053" s="5"/>
      <c r="M1053" s="5"/>
      <c r="N1053" s="5"/>
    </row>
    <row r="1054" customFormat="false" ht="15" hidden="false" customHeight="false" outlineLevel="0" collapsed="false">
      <c r="A1054" s="71" t="n">
        <f aca="false">A1053+$F$3</f>
        <v>20960</v>
      </c>
      <c r="B1054" s="71" t="n">
        <f aca="false">SUMPRODUCT(固有振動数!$Q$6:$Q$22*(1-($A1054/固有振動数!$O$6:$O$22)^2)/((1-($A1054/固有振動数!$O$6:$O$22)^2)^2+固有振動数!$P$6:$P$22^2))</f>
        <v>8.84180038718462</v>
      </c>
      <c r="C1054" s="71" t="n">
        <f aca="false">-SUMPRODUCT(固有振動数!$Q$6:$Q$22*固有振動数!$P$6:$P$22/((1-($A1054/固有振動数!$O$6:$O$22)^2)^2+固有振動数!$P$6:$P$22^2))</f>
        <v>-0.616322099760102</v>
      </c>
      <c r="D1054" s="71" t="n">
        <f aca="false">SQRT(B1054^2+C1054^2)</f>
        <v>8.86325487715832</v>
      </c>
      <c r="E1054" s="72" t="n">
        <f aca="false">20*LOG10(MAX(D1054,0.000000000001)/$K$3)</f>
        <v>18.9518647664133</v>
      </c>
      <c r="F1054" s="5"/>
      <c r="G1054" s="5"/>
      <c r="H1054" s="5"/>
      <c r="I1054" s="5"/>
      <c r="J1054" s="5"/>
      <c r="K1054" s="5"/>
      <c r="L1054" s="5"/>
      <c r="M1054" s="5"/>
      <c r="N1054" s="5"/>
    </row>
    <row r="1055" customFormat="false" ht="15" hidden="false" customHeight="false" outlineLevel="0" collapsed="false">
      <c r="A1055" s="71" t="n">
        <f aca="false">A1054+$F$3</f>
        <v>20980</v>
      </c>
      <c r="B1055" s="71" t="n">
        <f aca="false">SUMPRODUCT(固有振動数!$Q$6:$Q$22*(1-($A1055/固有振動数!$O$6:$O$22)^2)/((1-($A1055/固有振動数!$O$6:$O$22)^2)^2+固有振動数!$P$6:$P$22^2))</f>
        <v>8.94242182289879</v>
      </c>
      <c r="C1055" s="71" t="n">
        <f aca="false">-SUMPRODUCT(固有振動数!$Q$6:$Q$22*固有振動数!$P$6:$P$22/((1-($A1055/固有振動数!$O$6:$O$22)^2)^2+固有振動数!$P$6:$P$22^2))</f>
        <v>-0.620016943960189</v>
      </c>
      <c r="D1055" s="71" t="n">
        <f aca="false">SQRT(B1055^2+C1055^2)</f>
        <v>8.9638902865583</v>
      </c>
      <c r="E1055" s="72" t="n">
        <f aca="false">20*LOG10(MAX(D1055,0.000000000001)/$K$3)</f>
        <v>19.0499306470554</v>
      </c>
      <c r="F1055" s="5"/>
      <c r="G1055" s="5"/>
      <c r="H1055" s="5"/>
      <c r="I1055" s="5"/>
      <c r="J1055" s="5"/>
      <c r="K1055" s="5"/>
      <c r="L1055" s="5"/>
      <c r="M1055" s="5"/>
      <c r="N1055" s="5"/>
    </row>
    <row r="1056" customFormat="false" ht="15" hidden="false" customHeight="false" outlineLevel="0" collapsed="false">
      <c r="A1056" s="71" t="n">
        <f aca="false">A1055+$F$3</f>
        <v>21000</v>
      </c>
      <c r="B1056" s="71" t="n">
        <f aca="false">SUMPRODUCT(固有振動数!$Q$6:$Q$22*(1-($A1056/固有振動数!$O$6:$O$22)^2)/((1-($A1056/固有振動数!$O$6:$O$22)^2)^2+固有振動数!$P$6:$P$22^2))</f>
        <v>9.04346719920968</v>
      </c>
      <c r="C1056" s="71" t="n">
        <f aca="false">-SUMPRODUCT(固有振動数!$Q$6:$Q$22*固有振動数!$P$6:$P$22/((1-($A1056/固有振動数!$O$6:$O$22)^2)^2+固有振動数!$P$6:$P$22^2))</f>
        <v>-0.62388391623079</v>
      </c>
      <c r="D1056" s="71" t="n">
        <f aca="false">SQRT(B1056^2+C1056^2)</f>
        <v>9.06496167251207</v>
      </c>
      <c r="E1056" s="72" t="n">
        <f aca="false">20*LOG10(MAX(D1056,0.000000000001)/$K$3)</f>
        <v>19.1473194439715</v>
      </c>
      <c r="F1056" s="5"/>
      <c r="G1056" s="5"/>
      <c r="H1056" s="5"/>
      <c r="I1056" s="5"/>
      <c r="J1056" s="5"/>
      <c r="K1056" s="5"/>
      <c r="L1056" s="5"/>
      <c r="M1056" s="5"/>
      <c r="N1056" s="5"/>
    </row>
    <row r="1057" customFormat="false" ht="15" hidden="false" customHeight="false" outlineLevel="0" collapsed="false">
      <c r="A1057" s="71" t="n">
        <f aca="false">A1056+$F$3</f>
        <v>21020</v>
      </c>
      <c r="B1057" s="71" t="n">
        <f aca="false">SUMPRODUCT(固有振動数!$Q$6:$Q$22*(1-($A1057/固有振動数!$O$6:$O$22)^2)/((1-($A1057/固有振動数!$O$6:$O$22)^2)^2+固有振動数!$P$6:$P$22^2))</f>
        <v>9.14496751784215</v>
      </c>
      <c r="C1057" s="71" t="n">
        <f aca="false">-SUMPRODUCT(固有振動数!$Q$6:$Q$22*固有振動数!$P$6:$P$22/((1-($A1057/固有振動数!$O$6:$O$22)^2)^2+固有振動数!$P$6:$P$22^2))</f>
        <v>-0.627926802243861</v>
      </c>
      <c r="D1057" s="71" t="n">
        <f aca="false">SQRT(B1057^2+C1057^2)</f>
        <v>9.16650003934785</v>
      </c>
      <c r="E1057" s="72" t="n">
        <f aca="false">20*LOG10(MAX(D1057,0.000000000001)/$K$3)</f>
        <v>19.244070892795</v>
      </c>
      <c r="F1057" s="5"/>
      <c r="G1057" s="5"/>
      <c r="H1057" s="5"/>
      <c r="I1057" s="5"/>
      <c r="J1057" s="5"/>
      <c r="K1057" s="5"/>
      <c r="L1057" s="5"/>
      <c r="M1057" s="5"/>
      <c r="N1057" s="5"/>
    </row>
    <row r="1058" customFormat="false" ht="15" hidden="false" customHeight="false" outlineLevel="0" collapsed="false">
      <c r="A1058" s="71" t="n">
        <f aca="false">A1057+$F$3</f>
        <v>21040</v>
      </c>
      <c r="B1058" s="71" t="n">
        <f aca="false">SUMPRODUCT(固有振動数!$Q$6:$Q$22*(1-($A1058/固有振動数!$O$6:$O$22)^2)/((1-($A1058/固有振動数!$O$6:$O$22)^2)^2+固有振動数!$P$6:$P$22^2))</f>
        <v>9.24695435336962</v>
      </c>
      <c r="C1058" s="71" t="n">
        <f aca="false">-SUMPRODUCT(固有振動数!$Q$6:$Q$22*固有振動数!$P$6:$P$22/((1-($A1058/固有振動数!$O$6:$O$22)^2)^2+固有振動数!$P$6:$P$22^2))</f>
        <v>-0.632149632160487</v>
      </c>
      <c r="D1058" s="71" t="n">
        <f aca="false">SQRT(B1058^2+C1058^2)</f>
        <v>9.26853699192824</v>
      </c>
      <c r="E1058" s="72" t="n">
        <f aca="false">20*LOG10(MAX(D1058,0.000000000001)/$K$3)</f>
        <v>19.3402237519818</v>
      </c>
      <c r="F1058" s="5"/>
      <c r="G1058" s="5"/>
      <c r="H1058" s="5"/>
      <c r="I1058" s="5"/>
      <c r="J1058" s="5"/>
      <c r="K1058" s="5"/>
      <c r="L1058" s="5"/>
      <c r="M1058" s="5"/>
      <c r="N1058" s="5"/>
    </row>
    <row r="1059" customFormat="false" ht="15" hidden="false" customHeight="false" outlineLevel="0" collapsed="false">
      <c r="A1059" s="71" t="n">
        <f aca="false">A1058+$F$3</f>
        <v>21060</v>
      </c>
      <c r="B1059" s="71" t="n">
        <f aca="false">SUMPRODUCT(固有振動数!$Q$6:$Q$22*(1-($A1059/固有振動数!$O$6:$O$22)^2)/((1-($A1059/固有振動数!$O$6:$O$22)^2)^2+固有振動数!$P$6:$P$22^2))</f>
        <v>9.34945989570851</v>
      </c>
      <c r="C1059" s="71" t="n">
        <f aca="false">-SUMPRODUCT(固有振動数!$Q$6:$Q$22*固有振動数!$P$6:$P$22/((1-($A1059/固有振動数!$O$6:$O$22)^2)^2+固有振動数!$P$6:$P$22^2))</f>
        <v>-0.636556691040881</v>
      </c>
      <c r="D1059" s="71" t="n">
        <f aca="false">SQRT(B1059^2+C1059^2)</f>
        <v>9.37110477811291</v>
      </c>
      <c r="E1059" s="72" t="n">
        <f aca="false">20*LOG10(MAX(D1059,0.000000000001)/$K$3)</f>
        <v>19.435815874863</v>
      </c>
      <c r="F1059" s="5"/>
      <c r="G1059" s="5"/>
      <c r="H1059" s="5"/>
      <c r="I1059" s="5"/>
      <c r="J1059" s="5"/>
      <c r="K1059" s="5"/>
      <c r="L1059" s="5"/>
      <c r="M1059" s="5"/>
      <c r="N1059" s="5"/>
    </row>
    <row r="1060" customFormat="false" ht="15" hidden="false" customHeight="false" outlineLevel="0" collapsed="false">
      <c r="A1060" s="71" t="n">
        <f aca="false">A1059+$F$3</f>
        <v>21080</v>
      </c>
      <c r="B1060" s="71" t="n">
        <f aca="false">SUMPRODUCT(固有振動数!$Q$6:$Q$22*(1-($A1060/固有振動数!$O$6:$O$22)^2)/((1-($A1060/固有振動数!$O$6:$O$22)^2)^2+固有振動数!$P$6:$P$22^2))</f>
        <v>9.45251699426954</v>
      </c>
      <c r="C1060" s="71" t="n">
        <f aca="false">-SUMPRODUCT(固有振動数!$Q$6:$Q$22*固有振動数!$P$6:$P$22/((1-($A1060/固有振動数!$O$6:$O$22)^2)^2+固有振動数!$P$6:$P$22^2))</f>
        <v>-0.641152530067709</v>
      </c>
      <c r="D1060" s="71" t="n">
        <f aca="false">SQRT(B1060^2+C1060^2)</f>
        <v>9.47423633301211</v>
      </c>
      <c r="E1060" s="72" t="n">
        <f aca="false">20*LOG10(MAX(D1060,0.000000000001)/$K$3)</f>
        <v>19.5308842783959</v>
      </c>
      <c r="F1060" s="5"/>
      <c r="G1060" s="5"/>
      <c r="H1060" s="5"/>
      <c r="I1060" s="5"/>
      <c r="J1060" s="5"/>
      <c r="K1060" s="5"/>
      <c r="L1060" s="5"/>
      <c r="M1060" s="5"/>
      <c r="N1060" s="5"/>
    </row>
    <row r="1061" customFormat="false" ht="15" hidden="false" customHeight="false" outlineLevel="0" collapsed="false">
      <c r="A1061" s="71" t="n">
        <f aca="false">A1060+$F$3</f>
        <v>21100</v>
      </c>
      <c r="B1061" s="71" t="n">
        <f aca="false">SUMPRODUCT(固有振動数!$Q$6:$Q$22*(1-($A1061/固有振動数!$O$6:$O$22)^2)/((1-($A1061/固有振動数!$O$6:$O$22)^2)^2+固有振動数!$P$6:$P$22^2))</f>
        <v>9.55615920390251</v>
      </c>
      <c r="C1061" s="71" t="n">
        <f aca="false">-SUMPRODUCT(固有振動数!$Q$6:$Q$22*固有振動数!$P$6:$P$22/((1-($A1061/固有振動数!$O$6:$O$22)^2)^2+固有振動数!$P$6:$P$22^2))</f>
        <v>-0.645941978635964</v>
      </c>
      <c r="D1061" s="71" t="n">
        <f aca="false">SQRT(B1061^2+C1061^2)</f>
        <v>9.57796532516665</v>
      </c>
      <c r="E1061" s="72" t="n">
        <f aca="false">20*LOG10(MAX(D1061,0.000000000001)/$K$3)</f>
        <v>19.6254652089114</v>
      </c>
      <c r="F1061" s="5"/>
      <c r="G1061" s="5"/>
      <c r="H1061" s="5"/>
      <c r="I1061" s="5"/>
      <c r="J1061" s="5"/>
      <c r="K1061" s="5"/>
      <c r="L1061" s="5"/>
      <c r="M1061" s="5"/>
      <c r="N1061" s="5"/>
    </row>
    <row r="1062" customFormat="false" ht="15" hidden="false" customHeight="false" outlineLevel="0" collapsed="false">
      <c r="A1062" s="71" t="n">
        <f aca="false">A1061+$F$3</f>
        <v>21120</v>
      </c>
      <c r="B1062" s="71" t="n">
        <f aca="false">SUMPRODUCT(固有振動数!$Q$6:$Q$22*(1-($A1062/固有振動数!$O$6:$O$22)^2)/((1-($A1062/固有振動数!$O$6:$O$22)^2)^2+固有振動数!$P$6:$P$22^2))</f>
        <v>9.66042083277927</v>
      </c>
      <c r="C1062" s="71" t="n">
        <f aca="false">-SUMPRODUCT(固有振動数!$Q$6:$Q$22*固有振動数!$P$6:$P$22/((1-($A1062/固有振動数!$O$6:$O$22)^2)^2+固有振動数!$P$6:$P$22^2))</f>
        <v>-0.650930157367631</v>
      </c>
      <c r="D1062" s="71" t="n">
        <f aca="false">SQRT(B1062^2+C1062^2)</f>
        <v>9.68232620480049</v>
      </c>
      <c r="E1062" s="72" t="n">
        <f aca="false">20*LOG10(MAX(D1062,0.000000000001)/$K$3)</f>
        <v>19.7195942051355</v>
      </c>
      <c r="F1062" s="5"/>
      <c r="G1062" s="5"/>
      <c r="H1062" s="5"/>
      <c r="I1062" s="5"/>
      <c r="J1062" s="5"/>
      <c r="K1062" s="5"/>
      <c r="L1062" s="5"/>
      <c r="M1062" s="5"/>
      <c r="N1062" s="5"/>
    </row>
    <row r="1063" customFormat="false" ht="15" hidden="false" customHeight="false" outlineLevel="0" collapsed="false">
      <c r="A1063" s="71" t="n">
        <f aca="false">A1062+$F$3</f>
        <v>21140</v>
      </c>
      <c r="B1063" s="71" t="n">
        <f aca="false">SUMPRODUCT(固有振動数!$Q$6:$Q$22*(1-($A1063/固有振動数!$O$6:$O$22)^2)/((1-($A1063/固有振動数!$O$6:$O$22)^2)^2+固有振動数!$P$6:$P$22^2))</f>
        <v>9.76533699236919</v>
      </c>
      <c r="C1063" s="71" t="n">
        <f aca="false">-SUMPRODUCT(固有振動数!$Q$6:$Q$22*固有振動数!$P$6:$P$22/((1-($A1063/固有振動数!$O$6:$O$22)^2)^2+固有振動数!$P$6:$P$22^2))</f>
        <v>-0.656122492114707</v>
      </c>
      <c r="D1063" s="71" t="n">
        <f aca="false">SQRT(B1063^2+C1063^2)</f>
        <v>9.78735425430146</v>
      </c>
      <c r="E1063" s="72" t="n">
        <f aca="false">20*LOG10(MAX(D1063,0.000000000001)/$K$3)</f>
        <v>19.8133061587424</v>
      </c>
      <c r="F1063" s="5"/>
      <c r="G1063" s="5"/>
      <c r="H1063" s="5"/>
      <c r="I1063" s="5"/>
      <c r="J1063" s="5"/>
      <c r="K1063" s="5"/>
      <c r="L1063" s="5"/>
      <c r="M1063" s="5"/>
      <c r="N1063" s="5"/>
    </row>
    <row r="1064" customFormat="false" ht="15" hidden="false" customHeight="false" outlineLevel="0" collapsed="false">
      <c r="A1064" s="71" t="n">
        <f aca="false">A1063+$F$3</f>
        <v>21160</v>
      </c>
      <c r="B1064" s="71" t="n">
        <f aca="false">SUMPRODUCT(固有振動数!$Q$6:$Q$22*(1-($A1064/固有振動数!$O$6:$O$22)^2)/((1-($A1064/固有振動数!$O$6:$O$22)^2)^2+固有振動数!$P$6:$P$22^2))</f>
        <v>9.87094364967138</v>
      </c>
      <c r="C1064" s="71" t="n">
        <f aca="false">-SUMPRODUCT(固有振動数!$Q$6:$Q$22*固有振動数!$P$6:$P$22/((1-($A1064/固有振動数!$O$6:$O$22)^2)^2+固有振動数!$P$6:$P$22^2))</f>
        <v>-0.661524729020131</v>
      </c>
      <c r="D1064" s="71" t="n">
        <f aca="false">SQRT(B1064^2+C1064^2)</f>
        <v>9.89308564109767</v>
      </c>
      <c r="E1064" s="72" t="n">
        <f aca="false">20*LOG10(MAX(D1064,0.000000000001)/$K$3)</f>
        <v>19.9066353726837</v>
      </c>
      <c r="F1064" s="5"/>
      <c r="G1064" s="5"/>
      <c r="H1064" s="5"/>
      <c r="I1064" s="5"/>
      <c r="J1064" s="5"/>
      <c r="K1064" s="5"/>
      <c r="L1064" s="5"/>
      <c r="M1064" s="5"/>
      <c r="N1064" s="5"/>
    </row>
    <row r="1065" customFormat="false" ht="15" hidden="false" customHeight="false" outlineLevel="0" collapsed="false">
      <c r="A1065" s="71" t="n">
        <f aca="false">A1064+$F$3</f>
        <v>21180</v>
      </c>
      <c r="B1065" s="71" t="n">
        <f aca="false">SUMPRODUCT(固有振動数!$Q$6:$Q$22*(1-($A1065/固有振動数!$O$6:$O$22)^2)/((1-($A1065/固有振動数!$O$6:$O$22)^2)^2+固有振動数!$P$6:$P$22^2))</f>
        <v>9.97727768187896</v>
      </c>
      <c r="C1065" s="71" t="n">
        <f aca="false">-SUMPRODUCT(固有振動数!$Q$6:$Q$22*固有振動数!$P$6:$P$22/((1-($A1065/固有振動数!$O$6:$O$22)^2)^2+固有振動数!$P$6:$P$22^2))</f>
        <v>-0.667142950712522</v>
      </c>
      <c r="D1065" s="71" t="n">
        <f aca="false">SQRT(B1065^2+C1065^2)</f>
        <v>9.99955747310877</v>
      </c>
      <c r="E1065" s="72" t="n">
        <f aca="false">20*LOG10(MAX(D1065,0.000000000001)/$K$3)</f>
        <v>19.999615617521</v>
      </c>
      <c r="F1065" s="5"/>
      <c r="G1065" s="5"/>
      <c r="H1065" s="5"/>
      <c r="I1065" s="5"/>
      <c r="J1065" s="5"/>
      <c r="K1065" s="5"/>
      <c r="L1065" s="5"/>
      <c r="M1065" s="5"/>
      <c r="N1065" s="5"/>
    </row>
    <row r="1066" customFormat="false" ht="15" hidden="false" customHeight="false" outlineLevel="0" collapsed="false">
      <c r="A1066" s="71" t="n">
        <f aca="false">A1065+$F$3</f>
        <v>21200</v>
      </c>
      <c r="B1066" s="71" t="n">
        <f aca="false">SUMPRODUCT(固有振動数!$Q$6:$Q$22*(1-($A1066/固有振動数!$O$6:$O$22)^2)/((1-($A1066/固有振動数!$O$6:$O$22)^2)^2+固有振動数!$P$6:$P$22^2))</f>
        <v>10.084376933663</v>
      </c>
      <c r="C1066" s="71" t="n">
        <f aca="false">-SUMPRODUCT(固有振動数!$Q$6:$Q$22*固有振動数!$P$6:$P$22/((1-($A1066/固有振動数!$O$6:$O$22)^2)^2+固有振動数!$P$6:$P$22^2))</f>
        <v>-0.672983593717745</v>
      </c>
      <c r="D1066" s="71" t="n">
        <f aca="false">SQRT(B1066^2+C1066^2)</f>
        <v>10.106807856965</v>
      </c>
      <c r="E1066" s="72" t="n">
        <f aca="false">20*LOG10(MAX(D1066,0.000000000001)/$K$3)</f>
        <v>20.0922801859795</v>
      </c>
      <c r="F1066" s="5"/>
      <c r="G1066" s="5"/>
      <c r="H1066" s="5"/>
      <c r="I1066" s="5"/>
      <c r="J1066" s="5"/>
      <c r="K1066" s="5"/>
      <c r="L1066" s="5"/>
      <c r="M1066" s="5"/>
      <c r="N1066" s="5"/>
    </row>
    <row r="1067" customFormat="false" ht="15" hidden="false" customHeight="false" outlineLevel="0" collapsed="false">
      <c r="A1067" s="71" t="n">
        <f aca="false">A1066+$F$3</f>
        <v>21220</v>
      </c>
      <c r="B1067" s="71" t="n">
        <f aca="false">SUMPRODUCT(固有振動数!$Q$6:$Q$22*(1-($A1067/固有振動数!$O$6:$O$22)^2)/((1-($A1067/固有振動数!$O$6:$O$22)^2)^2+固有振動数!$P$6:$P$22^2))</f>
        <v>10.1922802772768</v>
      </c>
      <c r="C1067" s="71" t="n">
        <f aca="false">-SUMPRODUCT(固有振動数!$Q$6:$Q$22*固有振動数!$P$6:$P$22/((1-($A1067/固有振動数!$O$6:$O$22)^2)^2+固有振動数!$P$6:$P$22^2))</f>
        <v>-0.679053467177999</v>
      </c>
      <c r="D1067" s="71" t="n">
        <f aca="false">SQRT(B1067^2+C1067^2)</f>
        <v>10.2148759592005</v>
      </c>
      <c r="E1067" s="72" t="n">
        <f aca="false">20*LOG10(MAX(D1067,0.000000000001)/$K$3)</f>
        <v>20.1846619459247</v>
      </c>
      <c r="F1067" s="5"/>
      <c r="G1067" s="5"/>
      <c r="H1067" s="5"/>
      <c r="I1067" s="5"/>
      <c r="J1067" s="5"/>
      <c r="K1067" s="5"/>
      <c r="L1067" s="5"/>
      <c r="M1067" s="5"/>
      <c r="N1067" s="5"/>
    </row>
    <row r="1068" customFormat="false" ht="15" hidden="false" customHeight="false" outlineLevel="0" collapsed="false">
      <c r="A1068" s="71" t="n">
        <f aca="false">A1067+$F$3</f>
        <v>21240</v>
      </c>
      <c r="B1068" s="71" t="n">
        <f aca="false">SUMPRODUCT(固有振動数!$Q$6:$Q$22*(1-($A1068/固有振動数!$O$6:$O$22)^2)/((1-($A1068/固有振動数!$O$6:$O$22)^2)^2+固有振動数!$P$6:$P$22^2))</f>
        <v>10.3010276756954</v>
      </c>
      <c r="C1068" s="71" t="n">
        <f aca="false">-SUMPRODUCT(固有振動数!$Q$6:$Q$22*固有振動数!$P$6:$P$22/((1-($A1068/固有振動数!$O$6:$O$22)^2)^2+固有振動数!$P$6:$P$22^2))</f>
        <v>-0.685359772977596</v>
      </c>
      <c r="D1068" s="71" t="n">
        <f aca="false">SQRT(B1068^2+C1068^2)</f>
        <v>10.3238020706452</v>
      </c>
      <c r="E1068" s="72" t="n">
        <f aca="false">20*LOG10(MAX(D1068,0.000000000001)/$K$3)</f>
        <v>20.2767933919608</v>
      </c>
      <c r="F1068" s="5"/>
      <c r="G1068" s="5"/>
      <c r="H1068" s="5"/>
      <c r="I1068" s="5"/>
      <c r="J1068" s="5"/>
      <c r="K1068" s="5"/>
      <c r="L1068" s="5"/>
      <c r="M1068" s="5"/>
      <c r="N1068" s="5"/>
    </row>
    <row r="1069" customFormat="false" ht="15" hidden="false" customHeight="false" outlineLevel="0" collapsed="false">
      <c r="A1069" s="71" t="n">
        <f aca="false">A1068+$F$3</f>
        <v>21260</v>
      </c>
      <c r="B1069" s="71" t="n">
        <f aca="false">SUMPRODUCT(固有振動数!$Q$6:$Q$22*(1-($A1069/固有振動数!$O$6:$O$22)^2)/((1-($A1069/固有振動数!$O$6:$O$22)^2)^2+固有振動数!$P$6:$P$22^2))</f>
        <v>10.4106602490216</v>
      </c>
      <c r="C1069" s="71" t="n">
        <f aca="false">-SUMPRODUCT(固有振動数!$Q$6:$Q$22*固有振動数!$P$6:$P$22/((1-($A1069/固有振動数!$O$6:$O$22)^2)^2+固有振動数!$P$6:$P$22^2))</f>
        <v>-0.691910127383898</v>
      </c>
      <c r="D1069" s="71" t="n">
        <f aca="false">SQRT(B1069^2+C1069^2)</f>
        <v>10.4336276742528</v>
      </c>
      <c r="E1069" s="72" t="n">
        <f aca="false">20*LOG10(MAX(D1069,0.000000000001)/$K$3)</f>
        <v>20.3687066958341</v>
      </c>
      <c r="F1069" s="5"/>
      <c r="G1069" s="5"/>
      <c r="H1069" s="5"/>
      <c r="I1069" s="5"/>
      <c r="J1069" s="5"/>
      <c r="K1069" s="5"/>
      <c r="L1069" s="5"/>
      <c r="M1069" s="5"/>
      <c r="N1069" s="5"/>
    </row>
    <row r="1070" customFormat="false" ht="15" hidden="false" customHeight="false" outlineLevel="0" collapsed="false">
      <c r="A1070" s="71" t="n">
        <f aca="false">A1069+$F$3</f>
        <v>21280</v>
      </c>
      <c r="B1070" s="71" t="n">
        <f aca="false">SUMPRODUCT(固有振動数!$Q$6:$Q$22*(1-($A1070/固有振動数!$O$6:$O$22)^2)/((1-($A1070/固有振動数!$O$6:$O$22)^2)^2+固有振動数!$P$6:$P$22^2))</f>
        <v>10.5212203444067</v>
      </c>
      <c r="C1070" s="71" t="n">
        <f aca="false">-SUMPRODUCT(固有振動数!$Q$6:$Q$22*固有振動数!$P$6:$P$22/((1-($A1070/固有振動数!$O$6:$O$22)^2)^2+固有振動数!$P$6:$P$22^2))</f>
        <v>-0.698712584322115</v>
      </c>
      <c r="D1070" s="71" t="n">
        <f aca="false">SQRT(B1070^2+C1070^2)</f>
        <v>10.5443955166262</v>
      </c>
      <c r="E1070" s="72" t="n">
        <f aca="false">20*LOG10(MAX(D1070,0.000000000001)/$K$3)</f>
        <v>20.4604337558232</v>
      </c>
      <c r="F1070" s="5"/>
      <c r="G1070" s="5"/>
      <c r="H1070" s="5"/>
      <c r="I1070" s="5"/>
      <c r="J1070" s="5"/>
      <c r="K1070" s="5"/>
      <c r="L1070" s="5"/>
      <c r="M1070" s="5"/>
      <c r="N1070" s="5"/>
    </row>
    <row r="1071" customFormat="false" ht="15" hidden="false" customHeight="false" outlineLevel="0" collapsed="false">
      <c r="A1071" s="71" t="n">
        <f aca="false">A1070+$F$3</f>
        <v>21300</v>
      </c>
      <c r="B1071" s="71" t="n">
        <f aca="false">SUMPRODUCT(固有振動数!$Q$6:$Q$22*(1-($A1071/固有振動数!$O$6:$O$22)^2)/((1-($A1071/固有振動数!$O$6:$O$22)^2)^2+固有振動数!$P$6:$P$22^2))</f>
        <v>10.6327516097527</v>
      </c>
      <c r="C1071" s="71" t="n">
        <f aca="false">-SUMPRODUCT(固有振動数!$Q$6:$Q$22*固有振動数!$P$6:$P$22/((1-($A1071/固有振動数!$O$6:$O$22)^2)^2+固有振動数!$P$6:$P$22^2))</f>
        <v>-0.705775660413884</v>
      </c>
      <c r="D1071" s="71" t="n">
        <f aca="false">SQRT(B1071^2+C1071^2)</f>
        <v>10.6561496835175</v>
      </c>
      <c r="E1071" s="72" t="n">
        <f aca="false">20*LOG10(MAX(D1071,0.000000000001)/$K$3)</f>
        <v>20.5520062452879</v>
      </c>
      <c r="F1071" s="5"/>
      <c r="G1071" s="5"/>
      <c r="H1071" s="5"/>
      <c r="I1071" s="5"/>
      <c r="J1071" s="5"/>
      <c r="K1071" s="5"/>
      <c r="L1071" s="5"/>
      <c r="M1071" s="5"/>
      <c r="N1071" s="5"/>
    </row>
    <row r="1072" customFormat="false" ht="15" hidden="false" customHeight="false" outlineLevel="0" collapsed="false">
      <c r="A1072" s="71" t="n">
        <f aca="false">A1071+$F$3</f>
        <v>21320</v>
      </c>
      <c r="B1072" s="71" t="n">
        <f aca="false">SUMPRODUCT(固有振動数!$Q$6:$Q$22*(1-($A1072/固有振動数!$O$6:$O$22)^2)/((1-($A1072/固有振動数!$O$6:$O$22)^2)^2+固有振動数!$P$6:$P$22^2))</f>
        <v>10.7452990714838</v>
      </c>
      <c r="C1072" s="71" t="n">
        <f aca="false">-SUMPRODUCT(固有振動数!$Q$6:$Q$22*固有振動数!$P$6:$P$22/((1-($A1072/固有振動数!$O$6:$O$22)^2)^2+固有振動数!$P$6:$P$22^2))</f>
        <v>-0.713108361922025</v>
      </c>
      <c r="D1072" s="71" t="n">
        <f aca="false">SQRT(B1072^2+C1072^2)</f>
        <v>10.7689356796052</v>
      </c>
      <c r="E1072" s="72" t="n">
        <f aca="false">20*LOG10(MAX(D1072,0.000000000001)/$K$3)</f>
        <v>20.6434556605459</v>
      </c>
      <c r="F1072" s="5"/>
      <c r="G1072" s="5"/>
      <c r="H1072" s="5"/>
      <c r="I1072" s="5"/>
      <c r="J1072" s="5"/>
      <c r="K1072" s="5"/>
      <c r="L1072" s="5"/>
      <c r="M1072" s="5"/>
      <c r="N1072" s="5"/>
    </row>
    <row r="1073" customFormat="false" ht="15" hidden="false" customHeight="false" outlineLevel="0" collapsed="false">
      <c r="A1073" s="71" t="n">
        <f aca="false">A1072+$F$3</f>
        <v>21340</v>
      </c>
      <c r="B1073" s="71" t="n">
        <f aca="false">SUMPRODUCT(固有振動数!$Q$6:$Q$22*(1-($A1073/固有振動数!$O$6:$O$22)^2)/((1-($A1073/固有振動数!$O$6:$O$22)^2)^2+固有振動数!$P$6:$P$22^2))</f>
        <v>10.8589092166978</v>
      </c>
      <c r="C1073" s="71" t="n">
        <f aca="false">-SUMPRODUCT(固有振動数!$Q$6:$Q$22*固有振動数!$P$6:$P$22/((1-($A1073/固有振動数!$O$6:$O$22)^2)^2+固有振動数!$P$6:$P$22^2))</f>
        <v>-0.720720213757472</v>
      </c>
      <c r="D1073" s="71" t="n">
        <f aca="false">SQRT(B1073^2+C1073^2)</f>
        <v>10.8828005128736</v>
      </c>
      <c r="E1073" s="72" t="n">
        <f aca="false">20*LOG10(MAX(D1073,0.000000000001)/$K$3)</f>
        <v>20.7348133682419</v>
      </c>
      <c r="F1073" s="5"/>
      <c r="G1073" s="5"/>
      <c r="H1073" s="5"/>
      <c r="I1073" s="5"/>
      <c r="J1073" s="5"/>
      <c r="K1073" s="5"/>
      <c r="L1073" s="5"/>
      <c r="M1073" s="5"/>
      <c r="N1073" s="5"/>
    </row>
    <row r="1074" customFormat="false" ht="15" hidden="false" customHeight="false" outlineLevel="0" collapsed="false">
      <c r="A1074" s="71" t="n">
        <f aca="false">A1073+$F$3</f>
        <v>21360</v>
      </c>
      <c r="B1074" s="71" t="n">
        <f aca="false">SUMPRODUCT(固有振動数!$Q$6:$Q$22*(1-($A1074/固有振動数!$O$6:$O$22)^2)/((1-($A1074/固有振動数!$O$6:$O$22)^2)^2+固有振動数!$P$6:$P$22^2))</f>
        <v>10.9736300800314</v>
      </c>
      <c r="C1074" s="71" t="n">
        <f aca="false">-SUMPRODUCT(固有振動数!$Q$6:$Q$22*固有振動数!$P$6:$P$22/((1-($A1074/固有振動数!$O$6:$O$22)^2)^2+固有振動数!$P$6:$P$22^2))</f>
        <v>-0.728621290719615</v>
      </c>
      <c r="D1074" s="71" t="n">
        <f aca="false">SQRT(B1074^2+C1074^2)</f>
        <v>10.9977927839481</v>
      </c>
      <c r="E1074" s="72" t="n">
        <f aca="false">20*LOG10(MAX(D1074,0.000000000001)/$K$3)</f>
        <v>20.8261106523696</v>
      </c>
      <c r="F1074" s="5"/>
      <c r="G1074" s="5"/>
      <c r="H1074" s="5"/>
      <c r="I1074" s="5"/>
      <c r="J1074" s="5"/>
      <c r="K1074" s="5"/>
      <c r="L1074" s="5"/>
      <c r="M1074" s="5"/>
      <c r="N1074" s="5"/>
    </row>
    <row r="1075" customFormat="false" ht="15" hidden="false" customHeight="false" outlineLevel="0" collapsed="false">
      <c r="A1075" s="71" t="n">
        <f aca="false">A1074+$F$3</f>
        <v>21380</v>
      </c>
      <c r="B1075" s="71" t="n">
        <f aca="false">SUMPRODUCT(固有振動数!$Q$6:$Q$22*(1-($A1075/固有振動数!$O$6:$O$22)^2)/((1-($A1075/固有振動数!$O$6:$O$22)^2)^2+固有振動数!$P$6:$P$22^2))</f>
        <v>11.0895113356032</v>
      </c>
      <c r="C1075" s="71" t="n">
        <f aca="false">-SUMPRODUCT(固有振動数!$Q$6:$Q$22*固有振動数!$P$6:$P$22/((1-($A1075/固有振動数!$O$6:$O$22)^2)^2+固有振動数!$P$6:$P$22^2))</f>
        <v>-0.736822251157906</v>
      </c>
      <c r="D1075" s="71" t="n">
        <f aca="false">SQRT(B1075^2+C1075^2)</f>
        <v>11.1139627807669</v>
      </c>
      <c r="E1075" s="72" t="n">
        <f aca="false">20*LOG10(MAX(D1075,0.000000000001)/$K$3)</f>
        <v>20.9173787611078</v>
      </c>
      <c r="F1075" s="5"/>
      <c r="G1075" s="5"/>
      <c r="H1075" s="5"/>
      <c r="I1075" s="5"/>
      <c r="J1075" s="5"/>
      <c r="K1075" s="5"/>
      <c r="L1075" s="5"/>
      <c r="M1075" s="5"/>
      <c r="N1075" s="5"/>
    </row>
    <row r="1076" customFormat="false" ht="15" hidden="false" customHeight="false" outlineLevel="0" collapsed="false">
      <c r="A1076" s="71" t="n">
        <f aca="false">A1075+$F$3</f>
        <v>21400</v>
      </c>
      <c r="B1076" s="71" t="n">
        <f aca="false">SUMPRODUCT(固有振動数!$Q$6:$Q$22*(1-($A1076/固有振動数!$O$6:$O$22)^2)/((1-($A1076/固有振動数!$O$6:$O$22)^2)^2+固有振動数!$P$6:$P$22^2))</f>
        <v>11.2066043944238</v>
      </c>
      <c r="C1076" s="71" t="n">
        <f aca="false">-SUMPRODUCT(固有振動数!$Q$6:$Q$22*固有振動数!$P$6:$P$22/((1-($A1076/固有振動数!$O$6:$O$22)^2)^2+固有振動数!$P$6:$P$22^2))</f>
        <v>-0.745334373261241</v>
      </c>
      <c r="D1076" s="71" t="n">
        <f aca="false">SQRT(B1076^2+C1076^2)</f>
        <v>11.2313625790054</v>
      </c>
      <c r="E1076" s="72" t="n">
        <f aca="false">20*LOG10(MAX(D1076,0.000000000001)/$K$3)</f>
        <v>21.0086489536278</v>
      </c>
      <c r="F1076" s="5"/>
      <c r="G1076" s="5"/>
      <c r="H1076" s="5"/>
      <c r="I1076" s="5"/>
      <c r="J1076" s="5"/>
      <c r="K1076" s="5"/>
      <c r="L1076" s="5"/>
      <c r="M1076" s="5"/>
      <c r="N1076" s="5"/>
    </row>
    <row r="1077" customFormat="false" ht="15" hidden="false" customHeight="false" outlineLevel="0" collapsed="false">
      <c r="A1077" s="71" t="n">
        <f aca="false">A1076+$F$3</f>
        <v>21420</v>
      </c>
      <c r="B1077" s="71" t="n">
        <f aca="false">SUMPRODUCT(固有振動数!$Q$6:$Q$22*(1-($A1077/固有振動数!$O$6:$O$22)^2)/((1-($A1077/固有振動数!$O$6:$O$22)^2)^2+固有振動数!$P$6:$P$22^2))</f>
        <v>11.3249625076996</v>
      </c>
      <c r="C1077" s="71" t="n">
        <f aca="false">-SUMPRODUCT(固有振動数!$Q$6:$Q$22*固有振動数!$P$6:$P$22/((1-($A1077/固有振動数!$O$6:$O$22)^2)^2+固有振動数!$P$6:$P$22^2))</f>
        <v>-0.754169594202059</v>
      </c>
      <c r="D1077" s="71" t="n">
        <f aca="false">SQRT(B1077^2+C1077^2)</f>
        <v>11.3500461487</v>
      </c>
      <c r="E1077" s="72" t="n">
        <f aca="false">20*LOG10(MAX(D1077,0.000000000001)/$K$3)</f>
        <v>21.0999525470322</v>
      </c>
      <c r="F1077" s="5"/>
      <c r="G1077" s="5"/>
      <c r="H1077" s="5"/>
      <c r="I1077" s="5"/>
      <c r="J1077" s="5"/>
      <c r="K1077" s="5"/>
      <c r="L1077" s="5"/>
      <c r="M1077" s="5"/>
      <c r="N1077" s="5"/>
    </row>
    <row r="1078" customFormat="false" ht="15" hidden="false" customHeight="false" outlineLevel="0" collapsed="false">
      <c r="A1078" s="71" t="n">
        <f aca="false">A1077+$F$3</f>
        <v>21440</v>
      </c>
      <c r="B1078" s="71" t="n">
        <f aca="false">SUMPRODUCT(固有振動数!$Q$6:$Q$22*(1-($A1078/固有振動数!$O$6:$O$22)^2)/((1-($A1078/固有振動数!$O$6:$O$22)^2)^2+固有振動数!$P$6:$P$22^2))</f>
        <v>11.4446408764881</v>
      </c>
      <c r="C1078" s="71" t="n">
        <f aca="false">-SUMPRODUCT(固有振動数!$Q$6:$Q$22*固有振動数!$P$6:$P$22/((1-($A1078/固有振動数!$O$6:$O$22)^2)^2+固有振動数!$P$6:$P$22^2))</f>
        <v>-0.763340552385024</v>
      </c>
      <c r="D1078" s="71" t="n">
        <f aca="false">SQRT(B1078^2+C1078^2)</f>
        <v>11.470069467562</v>
      </c>
      <c r="E1078" s="72" t="n">
        <f aca="false">20*LOG10(MAX(D1078,0.000000000001)/$K$3)</f>
        <v>21.1913209635833</v>
      </c>
      <c r="F1078" s="5"/>
      <c r="G1078" s="5"/>
      <c r="H1078" s="5"/>
      <c r="I1078" s="5"/>
      <c r="J1078" s="5"/>
      <c r="K1078" s="5"/>
      <c r="L1078" s="5"/>
      <c r="M1078" s="5"/>
      <c r="N1078" s="5"/>
    </row>
    <row r="1079" customFormat="false" ht="15" hidden="false" customHeight="false" outlineLevel="0" collapsed="false">
      <c r="A1079" s="71" t="n">
        <f aca="false">A1078+$F$3</f>
        <v>21460</v>
      </c>
      <c r="B1079" s="71" t="n">
        <f aca="false">SUMPRODUCT(固有振動数!$Q$6:$Q$22*(1-($A1079/固有振動数!$O$6:$O$22)^2)/((1-($A1079/固有振動数!$O$6:$O$22)^2)^2+固有振動数!$P$6:$P$22^2))</f>
        <v>11.5656967682058</v>
      </c>
      <c r="C1079" s="71" t="n">
        <f aca="false">-SUMPRODUCT(固有振動数!$Q$6:$Q$22*固有振動数!$P$6:$P$22/((1-($A1079/固有振動数!$O$6:$O$22)^2)^2+固有振動数!$P$6:$P$22^2))</f>
        <v>-0.772860633075416</v>
      </c>
      <c r="D1079" s="71" t="n">
        <f aca="false">SQRT(B1079^2+C1079^2)</f>
        <v>11.5914906415113</v>
      </c>
      <c r="E1079" s="72" t="n">
        <f aca="false">20*LOG10(MAX(D1079,0.000000000001)/$K$3)</f>
        <v>21.2827857783839</v>
      </c>
      <c r="F1079" s="5"/>
      <c r="G1079" s="5"/>
      <c r="H1079" s="5"/>
      <c r="I1079" s="5"/>
      <c r="J1079" s="5"/>
      <c r="K1079" s="5"/>
      <c r="L1079" s="5"/>
      <c r="M1079" s="5"/>
      <c r="N1079" s="5"/>
    </row>
    <row r="1080" customFormat="false" ht="15" hidden="false" customHeight="false" outlineLevel="0" collapsed="false">
      <c r="A1080" s="71" t="n">
        <f aca="false">A1079+$F$3</f>
        <v>21480</v>
      </c>
      <c r="B1080" s="71" t="n">
        <f aca="false">SUMPRODUCT(固有振動数!$Q$6:$Q$22*(1-($A1080/固有振動数!$O$6:$O$22)^2)/((1-($A1080/固有振動数!$O$6:$O$22)^2)^2+固有振動数!$P$6:$P$22^2))</f>
        <v>11.688189640529</v>
      </c>
      <c r="C1080" s="71" t="n">
        <f aca="false">-SUMPRODUCT(固有振動数!$Q$6:$Q$22*固有振動数!$P$6:$P$22/((1-($A1080/固有振動数!$O$6:$O$22)^2)^2+固有振動数!$P$6:$P$22^2))</f>
        <v>-0.782744017710612</v>
      </c>
      <c r="D1080" s="71" t="n">
        <f aca="false">SQRT(B1080^2+C1080^2)</f>
        <v>11.7143700330078</v>
      </c>
      <c r="E1080" s="72" t="n">
        <f aca="false">20*LOG10(MAX(D1080,0.000000000001)/$K$3)</f>
        <v>21.3743787676739</v>
      </c>
      <c r="F1080" s="5"/>
      <c r="G1080" s="5"/>
      <c r="H1080" s="5"/>
      <c r="I1080" s="5"/>
      <c r="J1080" s="5"/>
      <c r="K1080" s="5"/>
      <c r="L1080" s="5"/>
      <c r="M1080" s="5"/>
      <c r="N1080" s="5"/>
    </row>
    <row r="1081" customFormat="false" ht="15" hidden="false" customHeight="false" outlineLevel="0" collapsed="false">
      <c r="A1081" s="71" t="n">
        <f aca="false">A1080+$F$3</f>
        <v>21500</v>
      </c>
      <c r="B1081" s="71" t="n">
        <f aca="false">SUMPRODUCT(固有振動数!$Q$6:$Q$22*(1-($A1081/固有振動数!$O$6:$O$22)^2)/((1-($A1081/固有振動数!$O$6:$O$22)^2)^2+固有振動数!$P$6:$P$22^2))</f>
        <v>11.8121812732786</v>
      </c>
      <c r="C1081" s="71" t="n">
        <f aca="false">-SUMPRODUCT(固有振動数!$Q$6:$Q$22*固有振動数!$P$6:$P$22/((1-($A1081/固有振動数!$O$6:$O$22)^2)^2+固有振動数!$P$6:$P$22^2))</f>
        <v>-0.793005737229484</v>
      </c>
      <c r="D1081" s="71" t="n">
        <f aca="false">SQRT(B1081^2+C1081^2)</f>
        <v>11.8387703978104</v>
      </c>
      <c r="E1081" s="72" t="n">
        <f aca="false">20*LOG10(MAX(D1081,0.000000000001)/$K$3)</f>
        <v>21.4661319579126</v>
      </c>
      <c r="F1081" s="5"/>
      <c r="G1081" s="5"/>
      <c r="H1081" s="5"/>
      <c r="I1081" s="5"/>
      <c r="J1081" s="5"/>
      <c r="K1081" s="5"/>
      <c r="L1081" s="5"/>
      <c r="M1081" s="5"/>
      <c r="N1081" s="5"/>
    </row>
    <row r="1082" customFormat="false" ht="15" hidden="false" customHeight="false" outlineLevel="0" collapsed="false">
      <c r="A1082" s="71" t="n">
        <f aca="false">A1081+$F$3</f>
        <v>21520</v>
      </c>
      <c r="B1082" s="71" t="n">
        <f aca="false">SUMPRODUCT(固有振動数!$Q$6:$Q$22*(1-($A1082/固有振動数!$O$6:$O$22)^2)/((1-($A1082/固有振動数!$O$6:$O$22)^2)^2+固有振動数!$P$6:$P$22^2))</f>
        <v>11.9377359089304</v>
      </c>
      <c r="C1082" s="71" t="n">
        <f aca="false">-SUMPRODUCT(固有振動数!$Q$6:$Q$22*固有振動数!$P$6:$P$22/((1-($A1082/固有振動数!$O$6:$O$22)^2)^2+固有振動数!$P$6:$P$22^2))</f>
        <v>-0.803661729789513</v>
      </c>
      <c r="D1082" s="71" t="n">
        <f aca="false">SQRT(B1082^2+C1082^2)</f>
        <v>11.9647570308508</v>
      </c>
      <c r="E1082" s="72" t="n">
        <f aca="false">20*LOG10(MAX(D1082,0.000000000001)/$K$3)</f>
        <v>21.5580776758179</v>
      </c>
      <c r="F1082" s="5"/>
      <c r="G1082" s="5"/>
      <c r="H1082" s="5"/>
      <c r="I1082" s="5"/>
      <c r="J1082" s="5"/>
      <c r="K1082" s="5"/>
      <c r="L1082" s="5"/>
      <c r="M1082" s="5"/>
      <c r="N1082" s="5"/>
    </row>
    <row r="1083" customFormat="false" ht="15" hidden="false" customHeight="false" outlineLevel="0" collapsed="false">
      <c r="A1083" s="71" t="n">
        <f aca="false">A1082+$F$3</f>
        <v>21540</v>
      </c>
      <c r="B1083" s="71" t="n">
        <f aca="false">SUMPRODUCT(固有振動数!$Q$6:$Q$22*(1-($A1083/固有振動数!$O$6:$O$22)^2)/((1-($A1083/固有振動数!$O$6:$O$22)^2)^2+固有振動数!$P$6:$P$22^2))</f>
        <v>12.0649204024491</v>
      </c>
      <c r="C1083" s="71" t="n">
        <f aca="false">-SUMPRODUCT(固有振動数!$Q$6:$Q$22*固有振動数!$P$6:$P$22/((1-($A1083/固有振動数!$O$6:$O$22)^2)^2+固有振動数!$P$6:$P$22^2))</f>
        <v>-0.814728903280657</v>
      </c>
      <c r="D1083" s="71" t="n">
        <f aca="false">SQRT(B1083^2+C1083^2)</f>
        <v>12.0923979219704</v>
      </c>
      <c r="E1083" s="72" t="n">
        <f aca="false">20*LOG10(MAX(D1083,0.000000000001)/$K$3)</f>
        <v>21.6502485995442</v>
      </c>
      <c r="F1083" s="5"/>
      <c r="G1083" s="5"/>
      <c r="H1083" s="5"/>
      <c r="I1083" s="5"/>
      <c r="J1083" s="5"/>
      <c r="K1083" s="5"/>
      <c r="L1083" s="5"/>
      <c r="M1083" s="5"/>
      <c r="N1083" s="5"/>
    </row>
    <row r="1084" customFormat="false" ht="15" hidden="false" customHeight="false" outlineLevel="0" collapsed="false">
      <c r="A1084" s="71" t="n">
        <f aca="false">A1083+$F$3</f>
        <v>21560</v>
      </c>
      <c r="B1084" s="71" t="n">
        <f aca="false">SUMPRODUCT(固有振動数!$Q$6:$Q$22*(1-($A1084/固有振動数!$O$6:$O$22)^2)/((1-($A1084/固有振動数!$O$6:$O$22)^2)^2+固有振動数!$P$6:$P$22^2))</f>
        <v>12.1938043812105</v>
      </c>
      <c r="C1084" s="71" t="n">
        <f aca="false">-SUMPRODUCT(固有振動数!$Q$6:$Q$22*固有振動数!$P$6:$P$22/((1-($A1084/固有振動数!$O$6:$O$22)^2)^2+固有振動数!$P$6:$P$22^2))</f>
        <v>-0.826225203088689</v>
      </c>
      <c r="D1084" s="71" t="n">
        <f aca="false">SQRT(B1084^2+C1084^2)</f>
        <v>12.2217639223415</v>
      </c>
      <c r="E1084" s="72" t="n">
        <f aca="false">20*LOG10(MAX(D1084,0.000000000001)/$K$3)</f>
        <v>21.7426778111836</v>
      </c>
      <c r="F1084" s="5"/>
      <c r="G1084" s="5"/>
      <c r="H1084" s="5"/>
      <c r="I1084" s="5"/>
      <c r="J1084" s="5"/>
      <c r="K1084" s="5"/>
      <c r="L1084" s="5"/>
      <c r="M1084" s="5"/>
      <c r="N1084" s="5"/>
    </row>
    <row r="1085" customFormat="false" ht="15" hidden="false" customHeight="false" outlineLevel="0" collapsed="false">
      <c r="A1085" s="71" t="n">
        <f aca="false">A1084+$F$3</f>
        <v>21580</v>
      </c>
      <c r="B1085" s="71" t="n">
        <f aca="false">SUMPRODUCT(固有振動数!$Q$6:$Q$22*(1-($A1085/固有振動数!$O$6:$O$22)^2)/((1-($A1085/固有振動数!$O$6:$O$22)^2)^2+固有振動数!$P$6:$P$22^2))</f>
        <v>12.3244604158428</v>
      </c>
      <c r="C1085" s="71" t="n">
        <f aca="false">-SUMPRODUCT(固有振動数!$Q$6:$Q$22*固有振動数!$P$6:$P$22/((1-($A1085/固有振動数!$O$6:$O$22)^2)^2+固有振動数!$P$6:$P$22^2))</f>
        <v>-0.838169685609816</v>
      </c>
      <c r="D1085" s="71" t="n">
        <f aca="false">SQRT(B1085^2+C1085^2)</f>
        <v>12.3529289224682</v>
      </c>
      <c r="E1085" s="72" t="n">
        <f aca="false">20*LOG10(MAX(D1085,0.000000000001)/$K$3)</f>
        <v>21.8353988507871</v>
      </c>
      <c r="F1085" s="5"/>
      <c r="G1085" s="5"/>
      <c r="H1085" s="5"/>
      <c r="I1085" s="5"/>
      <c r="J1085" s="5"/>
      <c r="K1085" s="5"/>
      <c r="L1085" s="5"/>
      <c r="M1085" s="5"/>
      <c r="N1085" s="5"/>
    </row>
    <row r="1086" customFormat="false" ht="15" hidden="false" customHeight="false" outlineLevel="0" collapsed="false">
      <c r="A1086" s="71" t="n">
        <f aca="false">A1085+$F$3</f>
        <v>21600</v>
      </c>
      <c r="B1086" s="71" t="n">
        <f aca="false">SUMPRODUCT(固有振動数!$Q$6:$Q$22*(1-($A1086/固有振動数!$O$6:$O$22)^2)/((1-($A1086/固有振動数!$O$6:$O$22)^2)^2+固有振動数!$P$6:$P$22^2))</f>
        <v>12.4569642028978</v>
      </c>
      <c r="C1086" s="71" t="n">
        <f aca="false">-SUMPRODUCT(固有振動数!$Q$6:$Q$22*固有振動数!$P$6:$P$22/((1-($A1086/固有振動数!$O$6:$O$22)^2)^2+固有振動数!$P$6:$P$22^2))</f>
        <v>-0.850582598073193</v>
      </c>
      <c r="D1086" s="71" t="n">
        <f aca="false">SQRT(B1086^2+C1086^2)</f>
        <v>12.4859700427489</v>
      </c>
      <c r="E1086" s="72" t="n">
        <f aca="false">20*LOG10(MAX(D1086,0.000000000001)/$K$3)</f>
        <v>21.9284457721097</v>
      </c>
      <c r="F1086" s="5"/>
      <c r="G1086" s="5"/>
      <c r="H1086" s="5"/>
      <c r="I1086" s="5"/>
      <c r="J1086" s="5"/>
      <c r="K1086" s="5"/>
      <c r="L1086" s="5"/>
      <c r="M1086" s="5"/>
      <c r="N1086" s="5"/>
    </row>
    <row r="1087" customFormat="false" ht="15" hidden="false" customHeight="false" outlineLevel="0" collapsed="false">
      <c r="A1087" s="71" t="n">
        <f aca="false">A1086+$F$3</f>
        <v>21620</v>
      </c>
      <c r="B1087" s="71" t="n">
        <f aca="false">SUMPRODUCT(固有振動数!$Q$6:$Q$22*(1-($A1087/固有振動数!$O$6:$O$22)^2)/((1-($A1087/固有振動数!$O$6:$O$22)^2)^2+固有振動数!$P$6:$P$22^2))</f>
        <v>12.5913947603482</v>
      </c>
      <c r="C1087" s="71" t="n">
        <f aca="false">-SUMPRODUCT(固有振動数!$Q$6:$Q$22*固有振動数!$P$6:$P$22/((1-($A1087/固有振動数!$O$6:$O$22)^2)^2+固有振動数!$P$6:$P$22^2))</f>
        <v>-0.863485465289776</v>
      </c>
      <c r="D1087" s="71" t="n">
        <f aca="false">SQRT(B1087^2+C1087^2)</f>
        <v>12.6209678376775</v>
      </c>
      <c r="E1087" s="72" t="n">
        <f aca="false">20*LOG10(MAX(D1087,0.000000000001)/$K$3)</f>
        <v>22.0218532002954</v>
      </c>
      <c r="F1087" s="5"/>
      <c r="G1087" s="5"/>
      <c r="H1087" s="5"/>
      <c r="I1087" s="5"/>
      <c r="J1087" s="5"/>
      <c r="K1087" s="5"/>
      <c r="L1087" s="5"/>
      <c r="M1087" s="5"/>
      <c r="N1087" s="5"/>
    </row>
    <row r="1088" customFormat="false" ht="15" hidden="false" customHeight="false" outlineLevel="0" collapsed="false">
      <c r="A1088" s="71" t="n">
        <f aca="false">A1087+$F$3</f>
        <v>21640</v>
      </c>
      <c r="B1088" s="71" t="n">
        <f aca="false">SUMPRODUCT(固有振動数!$Q$6:$Q$22*(1-($A1088/固有振動数!$O$6:$O$22)^2)/((1-($A1088/固有振動数!$O$6:$O$22)^2)^2+固有振動数!$P$6:$P$22^2))</f>
        <v>12.7278346369991</v>
      </c>
      <c r="C1088" s="71" t="n">
        <f aca="false">-SUMPRODUCT(固有振動数!$Q$6:$Q$22*固有振動数!$P$6:$P$22/((1-($A1088/固有振動数!$O$6:$O$22)^2)^2+固有振動数!$P$6:$P$22^2))</f>
        <v>-0.876901184015079</v>
      </c>
      <c r="D1088" s="71" t="n">
        <f aca="false">SQRT(B1088^2+C1088^2)</f>
        <v>12.7580065148643</v>
      </c>
      <c r="E1088" s="72" t="n">
        <f aca="false">20*LOG10(MAX(D1088,0.000000000001)/$K$3)</f>
        <v>22.1156563917315</v>
      </c>
      <c r="F1088" s="5"/>
      <c r="G1088" s="5"/>
      <c r="H1088" s="5"/>
      <c r="I1088" s="5"/>
      <c r="J1088" s="5"/>
      <c r="K1088" s="5"/>
      <c r="L1088" s="5"/>
      <c r="M1088" s="5"/>
      <c r="N1088" s="5"/>
    </row>
    <row r="1089" customFormat="false" ht="15" hidden="false" customHeight="false" outlineLevel="0" collapsed="false">
      <c r="A1089" s="71" t="n">
        <f aca="false">A1088+$F$3</f>
        <v>21660</v>
      </c>
      <c r="B1089" s="71" t="n">
        <f aca="false">SUMPRODUCT(固有振動数!$Q$6:$Q$22*(1-($A1089/固有振動数!$O$6:$O$22)^2)/((1-($A1089/固有振動数!$O$6:$O$22)^2)^2+固有振動数!$P$6:$P$22^2))</f>
        <v>12.8663701370112</v>
      </c>
      <c r="C1089" s="71" t="n">
        <f aca="false">-SUMPRODUCT(固有振動数!$Q$6:$Q$22*固有振動数!$P$6:$P$22/((1-($A1089/固有振動数!$O$6:$O$22)^2)^2+固有振動数!$P$6:$P$22^2))</f>
        <v>-0.890854125691594</v>
      </c>
      <c r="D1089" s="71" t="n">
        <f aca="false">SQRT(B1089^2+C1089^2)</f>
        <v>12.8971741701752</v>
      </c>
      <c r="E1089" s="72" t="n">
        <f aca="false">20*LOG10(MAX(D1089,0.000000000001)/$K$3)</f>
        <v>22.2098912963151</v>
      </c>
      <c r="F1089" s="5"/>
      <c r="G1089" s="5"/>
      <c r="H1089" s="5"/>
      <c r="I1089" s="5"/>
      <c r="J1089" s="5"/>
      <c r="K1089" s="5"/>
      <c r="L1089" s="5"/>
      <c r="M1089" s="5"/>
      <c r="N1089" s="5"/>
    </row>
    <row r="1090" customFormat="false" ht="15" hidden="false" customHeight="false" outlineLevel="0" collapsed="false">
      <c r="A1090" s="71" t="n">
        <f aca="false">A1089+$F$3</f>
        <v>21680</v>
      </c>
      <c r="B1090" s="71" t="n">
        <f aca="false">SUMPRODUCT(固有振動数!$Q$6:$Q$22*(1-($A1090/固有振動数!$O$6:$O$22)^2)/((1-($A1090/固有振動数!$O$6:$O$22)^2)^2+固有振動数!$P$6:$P$22^2))</f>
        <v>13.0070915608452</v>
      </c>
      <c r="C1090" s="71" t="n">
        <f aca="false">-SUMPRODUCT(固有振動数!$Q$6:$Q$22*固有振動数!$P$6:$P$22/((1-($A1090/固有振動数!$O$6:$O$22)^2)^2+固有振動数!$P$6:$P$22^2))</f>
        <v>-0.905370248424423</v>
      </c>
      <c r="D1090" s="71" t="n">
        <f aca="false">SQRT(B1090^2+C1090^2)</f>
        <v>13.0385630404176</v>
      </c>
      <c r="E1090" s="72" t="n">
        <f aca="false">20*LOG10(MAX(D1090,0.000000000001)/$K$3)</f>
        <v>22.3045946223894</v>
      </c>
      <c r="F1090" s="5"/>
      <c r="G1090" s="5"/>
      <c r="H1090" s="5"/>
      <c r="I1090" s="5"/>
      <c r="J1090" s="5"/>
      <c r="K1090" s="5"/>
      <c r="L1090" s="5"/>
      <c r="M1090" s="5"/>
      <c r="N1090" s="5"/>
    </row>
    <row r="1091" customFormat="false" ht="15" hidden="false" customHeight="false" outlineLevel="0" collapsed="false">
      <c r="A1091" s="71" t="n">
        <f aca="false">A1090+$F$3</f>
        <v>21700</v>
      </c>
      <c r="B1091" s="71" t="n">
        <f aca="false">SUMPRODUCT(固有振動数!$Q$6:$Q$22*(1-($A1091/固有振動数!$O$6:$O$22)^2)/((1-($A1091/固有振動数!$O$6:$O$22)^2)^2+固有振動数!$P$6:$P$22^2))</f>
        <v>13.1500934640693</v>
      </c>
      <c r="C1091" s="71" t="n">
        <f aca="false">-SUMPRODUCT(固有振動数!$Q$6:$Q$22*固有振動数!$P$6:$P$22/((1-($A1091/固有振動数!$O$6:$O$22)^2)^2+固有振動数!$P$6:$P$22^2))</f>
        <v>-0.920477219143024</v>
      </c>
      <c r="D1091" s="71" t="n">
        <f aca="false">SQRT(B1091^2+C1091^2)</f>
        <v>13.1822697751457</v>
      </c>
      <c r="E1091" s="72" t="n">
        <f aca="false">20*LOG10(MAX(D1091,0.000000000001)/$K$3)</f>
        <v>22.39980390463</v>
      </c>
      <c r="F1091" s="5"/>
      <c r="G1091" s="5"/>
      <c r="H1091" s="5"/>
      <c r="I1091" s="5"/>
      <c r="J1091" s="5"/>
      <c r="K1091" s="5"/>
      <c r="L1091" s="5"/>
      <c r="M1091" s="5"/>
      <c r="N1091" s="5"/>
    </row>
    <row r="1092" customFormat="false" ht="15" hidden="false" customHeight="false" outlineLevel="0" collapsed="false">
      <c r="A1092" s="71" t="n">
        <f aca="false">A1091+$F$3</f>
        <v>21720</v>
      </c>
      <c r="B1092" s="71" t="n">
        <f aca="false">SUMPRODUCT(固有振動数!$Q$6:$Q$22*(1-($A1092/固有振動数!$O$6:$O$22)^2)/((1-($A1092/固有振動数!$O$6:$O$22)^2)^2+固有振動数!$P$6:$P$22^2))</f>
        <v>13.2954749356134</v>
      </c>
      <c r="C1092" s="71" t="n">
        <f aca="false">-SUMPRODUCT(固有振動数!$Q$6:$Q$22*固有振動数!$P$6:$P$22/((1-($A1092/固有振動数!$O$6:$O$22)^2)^2+固有振動数!$P$6:$P$22^2))</f>
        <v>-0.936204547014137</v>
      </c>
      <c r="D1092" s="71" t="n">
        <f aca="false">SQRT(B1092^2+C1092^2)</f>
        <v>13.3283957293207</v>
      </c>
      <c r="E1092" s="72" t="n">
        <f aca="false">20*LOG10(MAX(D1092,0.000000000001)/$K$3)</f>
        <v>22.4955575751752</v>
      </c>
      <c r="F1092" s="5"/>
      <c r="G1092" s="5"/>
      <c r="H1092" s="5"/>
      <c r="I1092" s="5"/>
      <c r="J1092" s="5"/>
      <c r="K1092" s="5"/>
      <c r="L1092" s="5"/>
      <c r="M1092" s="5"/>
      <c r="N1092" s="5"/>
    </row>
    <row r="1093" customFormat="false" ht="15" hidden="false" customHeight="false" outlineLevel="0" collapsed="false">
      <c r="A1093" s="71" t="n">
        <f aca="false">A1092+$F$3</f>
        <v>21740</v>
      </c>
      <c r="B1093" s="71" t="n">
        <f aca="false">SUMPRODUCT(固有振動数!$Q$6:$Q$22*(1-($A1093/固有振動数!$O$6:$O$22)^2)/((1-($A1093/固有振動数!$O$6:$O$22)^2)^2+固有振動数!$P$6:$P$22^2))</f>
        <v>13.4433398972148</v>
      </c>
      <c r="C1093" s="71" t="n">
        <f aca="false">-SUMPRODUCT(固有振動数!$Q$6:$Q$22*固有振動数!$P$6:$P$22/((1-($A1093/固有振動数!$O$6:$O$22)^2)^2+固有振動数!$P$6:$P$22^2))</f>
        <v>-0.952583729298022</v>
      </c>
      <c r="D1093" s="71" t="n">
        <f aca="false">SQRT(B1093^2+C1093^2)</f>
        <v>13.4770472787392</v>
      </c>
      <c r="E1093" s="72" t="n">
        <f aca="false">20*LOG10(MAX(D1093,0.000000000001)/$K$3)</f>
        <v>22.5918950383233</v>
      </c>
      <c r="F1093" s="5"/>
      <c r="G1093" s="5"/>
      <c r="H1093" s="5"/>
      <c r="I1093" s="5"/>
      <c r="J1093" s="5"/>
      <c r="K1093" s="5"/>
      <c r="L1093" s="5"/>
      <c r="M1093" s="5"/>
      <c r="N1093" s="5"/>
    </row>
    <row r="1094" customFormat="false" ht="15" hidden="false" customHeight="false" outlineLevel="0" collapsed="false">
      <c r="A1094" s="71" t="n">
        <f aca="false">A1093+$F$3</f>
        <v>21760</v>
      </c>
      <c r="B1094" s="71" t="n">
        <f aca="false">SUMPRODUCT(固有振動数!$Q$6:$Q$22*(1-($A1094/固有振動数!$O$6:$O$22)^2)/((1-($A1094/固有振動数!$O$6:$O$22)^2)^2+固有振動数!$P$6:$P$22^2))</f>
        <v>13.593797425978</v>
      </c>
      <c r="C1094" s="71" t="n">
        <f aca="false">-SUMPRODUCT(固有振動数!$Q$6:$Q$22*固有振動数!$P$6:$P$22/((1-($A1094/固有振動数!$O$6:$O$22)^2)^2+固有振動数!$P$6:$P$22^2))</f>
        <v>-0.969648410984127</v>
      </c>
      <c r="D1094" s="71" t="n">
        <f aca="false">SQRT(B1094^2+C1094^2)</f>
        <v>13.6283361603481</v>
      </c>
      <c r="E1094" s="72" t="n">
        <f aca="false">20*LOG10(MAX(D1094,0.000000000001)/$K$3)</f>
        <v>22.6888567491402</v>
      </c>
      <c r="F1094" s="5"/>
      <c r="G1094" s="5"/>
      <c r="H1094" s="5"/>
      <c r="I1094" s="5"/>
      <c r="J1094" s="5"/>
      <c r="K1094" s="5"/>
      <c r="L1094" s="5"/>
      <c r="M1094" s="5"/>
      <c r="N1094" s="5"/>
    </row>
    <row r="1095" customFormat="false" ht="15" hidden="false" customHeight="false" outlineLevel="0" collapsed="false">
      <c r="A1095" s="71" t="n">
        <f aca="false">A1094+$F$3</f>
        <v>21780</v>
      </c>
      <c r="B1095" s="71" t="n">
        <f aca="false">SUMPRODUCT(固有振動数!$Q$6:$Q$22*(1-($A1095/固有振動数!$O$6:$O$22)^2)/((1-($A1095/固有振動数!$O$6:$O$22)^2)^2+固有振動数!$P$6:$P$22^2))</f>
        <v>13.7469621021692</v>
      </c>
      <c r="C1095" s="71" t="n">
        <f aca="false">-SUMPRODUCT(固有振動数!$Q$6:$Q$22*固有振動数!$P$6:$P$22/((1-($A1095/固有振動数!$O$6:$O$22)^2)^2+固有振動数!$P$6:$P$22^2))</f>
        <v>-0.987434559706008</v>
      </c>
      <c r="D1095" s="71" t="n">
        <f aca="false">SQRT(B1095^2+C1095^2)</f>
        <v>13.7823798397874</v>
      </c>
      <c r="E1095" s="72" t="n">
        <f aca="false">20*LOG10(MAX(D1095,0.000000000001)/$K$3)</f>
        <v>22.7864842963514</v>
      </c>
      <c r="F1095" s="5"/>
      <c r="G1095" s="5"/>
      <c r="H1095" s="5"/>
      <c r="I1095" s="5"/>
      <c r="J1095" s="5"/>
      <c r="K1095" s="5"/>
      <c r="L1095" s="5"/>
      <c r="M1095" s="5"/>
      <c r="N1095" s="5"/>
    </row>
    <row r="1096" customFormat="false" ht="15" hidden="false" customHeight="false" outlineLevel="0" collapsed="false">
      <c r="A1096" s="71" t="n">
        <f aca="false">A1095+$F$3</f>
        <v>21800</v>
      </c>
      <c r="B1096" s="71" t="n">
        <f aca="false">SUMPRODUCT(固有振動数!$Q$6:$Q$22*(1-($A1096/固有振動数!$O$6:$O$22)^2)/((1-($A1096/固有振動数!$O$6:$O$22)^2)^2+固有振動数!$P$6:$P$22^2))</f>
        <v>13.9029543845898</v>
      </c>
      <c r="C1096" s="71" t="n">
        <f aca="false">-SUMPRODUCT(固有振動数!$Q$6:$Q$22*固有振動数!$P$6:$P$22/((1-($A1096/固有振動数!$O$6:$O$22)^2)^2+固有振動数!$P$6:$P$22^2))</f>
        <v>-1.00598065762125</v>
      </c>
      <c r="D1096" s="71" t="n">
        <f aca="false">SQRT(B1096^2+C1096^2)</f>
        <v>13.9393019087576</v>
      </c>
      <c r="E1096" s="72" t="n">
        <f aca="false">20*LOG10(MAX(D1096,0.000000000001)/$K$3)</f>
        <v>22.8848204899228</v>
      </c>
      <c r="F1096" s="5"/>
      <c r="G1096" s="5"/>
      <c r="H1096" s="5"/>
      <c r="I1096" s="5"/>
      <c r="J1096" s="5"/>
      <c r="K1096" s="5"/>
      <c r="L1096" s="5"/>
      <c r="M1096" s="5"/>
      <c r="N1096" s="5"/>
    </row>
    <row r="1097" customFormat="false" ht="15" hidden="false" customHeight="false" outlineLevel="0" collapsed="false">
      <c r="A1097" s="71" t="n">
        <f aca="false">A1096+$F$3</f>
        <v>21820</v>
      </c>
      <c r="B1097" s="71" t="n">
        <f aca="false">SUMPRODUCT(固有振動数!$Q$6:$Q$22*(1-($A1097/固有振動数!$O$6:$O$22)^2)/((1-($A1097/固有振動数!$O$6:$O$22)^2)^2+固有振動数!$P$6:$P$22^2))</f>
        <v>14.0619010161198</v>
      </c>
      <c r="C1097" s="71" t="n">
        <f aca="false">-SUMPRODUCT(固有振動数!$Q$6:$Q$22*固有振動数!$P$6:$P$22/((1-($A1097/固有振動数!$O$6:$O$22)^2)^2+固有振動数!$P$6:$P$22^2))</f>
        <v>-1.02532791215433</v>
      </c>
      <c r="D1097" s="71" t="n">
        <f aca="false">SQRT(B1097^2+C1097^2)</f>
        <v>14.0992325150908</v>
      </c>
      <c r="E1097" s="72" t="n">
        <f aca="false">20*LOG10(MAX(D1097,0.000000000001)/$K$3)</f>
        <v>22.9839094537704</v>
      </c>
      <c r="F1097" s="5"/>
      <c r="G1097" s="5"/>
      <c r="H1097" s="5"/>
      <c r="I1097" s="5"/>
      <c r="J1097" s="5"/>
      <c r="K1097" s="5"/>
      <c r="L1097" s="5"/>
      <c r="M1097" s="5"/>
      <c r="N1097" s="5"/>
    </row>
    <row r="1098" customFormat="false" ht="15" hidden="false" customHeight="false" outlineLevel="0" collapsed="false">
      <c r="A1098" s="71" t="n">
        <f aca="false">A1097+$F$3</f>
        <v>21840</v>
      </c>
      <c r="B1098" s="71" t="n">
        <f aca="false">SUMPRODUCT(固有振動数!$Q$6:$Q$22*(1-($A1098/固有振動数!$O$6:$O$22)^2)/((1-($A1098/固有振動数!$O$6:$O$22)^2)^2+固有振動数!$P$6:$P$22^2))</f>
        <v>14.2239354623009</v>
      </c>
      <c r="C1098" s="71" t="n">
        <f aca="false">-SUMPRODUCT(固有振動数!$Q$6:$Q$22*固有振動数!$P$6:$P$22/((1-($A1098/固有振動数!$O$6:$O$22)^2)^2+固有振動数!$P$6:$P$22^2))</f>
        <v>-1.04552048774216</v>
      </c>
      <c r="D1098" s="71" t="n">
        <f aca="false">SQRT(B1098^2+C1098^2)</f>
        <v>14.2623088287272</v>
      </c>
      <c r="E1098" s="72" t="n">
        <f aca="false">20*LOG10(MAX(D1098,0.000000000001)/$K$3)</f>
        <v>23.0837967240763</v>
      </c>
      <c r="F1098" s="5"/>
      <c r="G1098" s="5"/>
      <c r="H1098" s="5"/>
      <c r="I1098" s="5"/>
      <c r="J1098" s="5"/>
      <c r="K1098" s="5"/>
      <c r="L1098" s="5"/>
      <c r="M1098" s="5"/>
      <c r="N1098" s="5"/>
    </row>
    <row r="1099" customFormat="false" ht="15" hidden="false" customHeight="false" outlineLevel="0" collapsed="false">
      <c r="A1099" s="71" t="n">
        <f aca="false">A1098+$F$3</f>
        <v>21860</v>
      </c>
      <c r="B1099" s="71" t="n">
        <f aca="false">SUMPRODUCT(固有振動数!$Q$6:$Q$22*(1-($A1099/固有振動数!$O$6:$O$22)^2)/((1-($A1099/固有振動数!$O$6:$O$22)^2)^2+固有振動数!$P$6:$P$22^2))</f>
        <v>14.389198386141</v>
      </c>
      <c r="C1099" s="71" t="n">
        <f aca="false">-SUMPRODUCT(固有振動数!$Q$6:$Q$22*固有振動数!$P$6:$P$22/((1-($A1099/固有振動数!$O$6:$O$22)^2)^2+固有振動数!$P$6:$P$22^2))</f>
        <v>-1.06660576099888</v>
      </c>
      <c r="D1099" s="71" t="n">
        <f aca="false">SQRT(B1099^2+C1099^2)</f>
        <v>14.4286755471567</v>
      </c>
      <c r="E1099" s="72" t="n">
        <f aca="false">20*LOG10(MAX(D1099,0.000000000001)/$K$3)</f>
        <v>23.1845293537335</v>
      </c>
      <c r="F1099" s="5"/>
      <c r="G1099" s="5"/>
      <c r="H1099" s="5"/>
      <c r="I1099" s="5"/>
      <c r="J1099" s="5"/>
      <c r="K1099" s="5"/>
      <c r="L1099" s="5"/>
      <c r="M1099" s="5"/>
      <c r="N1099" s="5"/>
    </row>
    <row r="1100" customFormat="false" ht="15" hidden="false" customHeight="false" outlineLevel="0" collapsed="false">
      <c r="A1100" s="71" t="n">
        <f aca="false">A1099+$F$3</f>
        <v>21880</v>
      </c>
      <c r="B1100" s="71" t="n">
        <f aca="false">SUMPRODUCT(固有振動数!$Q$6:$Q$22*(1-($A1100/固有振動数!$O$6:$O$22)^2)/((1-($A1100/固有振動数!$O$6:$O$22)^2)^2+固有振動数!$P$6:$P$22^2))</f>
        <v>14.5578381626702</v>
      </c>
      <c r="C1100" s="71" t="n">
        <f aca="false">-SUMPRODUCT(固有振動数!$Q$6:$Q$22*固有振動数!$P$6:$P$22/((1-($A1100/固有振動数!$O$6:$O$22)^2)^2+固有振動数!$P$6:$P$22^2))</f>
        <v>-1.08863460203319</v>
      </c>
      <c r="D1100" s="71" t="n">
        <f aca="false">SQRT(B1100^2+C1100^2)</f>
        <v>14.5984854442932</v>
      </c>
      <c r="E1100" s="72" t="n">
        <f aca="false">20*LOG10(MAX(D1100,0.000000000001)/$K$3)</f>
        <v>23.2861560234895</v>
      </c>
      <c r="F1100" s="5"/>
      <c r="G1100" s="5"/>
      <c r="H1100" s="5"/>
      <c r="I1100" s="5"/>
      <c r="J1100" s="5"/>
      <c r="K1100" s="5"/>
      <c r="L1100" s="5"/>
      <c r="M1100" s="5"/>
      <c r="N1100" s="5"/>
    </row>
    <row r="1101" customFormat="false" ht="15" hidden="false" customHeight="false" outlineLevel="0" collapsed="false">
      <c r="A1101" s="71" t="n">
        <f aca="false">A1100+$F$3</f>
        <v>21900</v>
      </c>
      <c r="B1101" s="71" t="n">
        <f aca="false">SUMPRODUCT(固有振動数!$Q$6:$Q$22*(1-($A1101/固有振動数!$O$6:$O$22)^2)/((1-($A1101/固有振動数!$O$6:$O$22)^2)^2+固有振動数!$P$6:$P$22^2))</f>
        <v>14.7300114371731</v>
      </c>
      <c r="C1101" s="71" t="n">
        <f aca="false">-SUMPRODUCT(固有振動数!$Q$6:$Q$22*固有振動数!$P$6:$P$22/((1-($A1101/固有振動数!$O$6:$O$22)^2)^2+固有振動数!$P$6:$P$22^2))</f>
        <v>-1.11166168501513</v>
      </c>
      <c r="D1101" s="71" t="n">
        <f aca="false">SQRT(B1101^2+C1101^2)</f>
        <v>14.7718999672073</v>
      </c>
      <c r="E1101" s="72" t="n">
        <f aca="false">20*LOG10(MAX(D1101,0.000000000001)/$K$3)</f>
        <v>23.3887271604115</v>
      </c>
      <c r="F1101" s="5"/>
      <c r="G1101" s="5"/>
      <c r="H1101" s="5"/>
      <c r="I1101" s="5"/>
      <c r="J1101" s="5"/>
      <c r="K1101" s="5"/>
      <c r="L1101" s="5"/>
      <c r="M1101" s="5"/>
      <c r="N1101" s="5"/>
    </row>
    <row r="1102" customFormat="false" ht="15" hidden="false" customHeight="false" outlineLevel="0" collapsed="false">
      <c r="A1102" s="71" t="n">
        <f aca="false">A1101+$F$3</f>
        <v>21920</v>
      </c>
      <c r="B1102" s="71" t="n">
        <f aca="false">SUMPRODUCT(固有振動数!$Q$6:$Q$22*(1-($A1102/固有振動数!$O$6:$O$22)^2)/((1-($A1102/固有振動数!$O$6:$O$22)^2)^2+固有振動数!$P$6:$P$22^2))</f>
        <v>14.9058837314631</v>
      </c>
      <c r="C1102" s="71" t="n">
        <f aca="false">-SUMPRODUCT(固有振動数!$Q$6:$Q$22*固有振動数!$P$6:$P$22/((1-($A1102/固有振動数!$O$6:$O$22)^2)^2+固有振動数!$P$6:$P$22^2))</f>
        <v>-1.13574583150715</v>
      </c>
      <c r="D1102" s="71" t="n">
        <f aca="false">SQRT(B1102^2+C1102^2)</f>
        <v>14.9490898856647</v>
      </c>
      <c r="E1102" s="72" t="n">
        <f aca="false">20*LOG10(MAX(D1102,0.000000000001)/$K$3)</f>
        <v>23.4922950643591</v>
      </c>
      <c r="F1102" s="5"/>
      <c r="G1102" s="5"/>
      <c r="H1102" s="5"/>
      <c r="I1102" s="5"/>
      <c r="J1102" s="5"/>
      <c r="K1102" s="5"/>
      <c r="L1102" s="5"/>
      <c r="M1102" s="5"/>
      <c r="N1102" s="5"/>
    </row>
    <row r="1103" customFormat="false" ht="15" hidden="false" customHeight="false" outlineLevel="0" collapsed="false">
      <c r="A1103" s="71" t="n">
        <f aca="false">A1102+$F$3</f>
        <v>21940</v>
      </c>
      <c r="B1103" s="71" t="n">
        <f aca="false">SUMPRODUCT(固有振動数!$Q$6:$Q$22*(1-($A1103/固有振動数!$O$6:$O$22)^2)/((1-($A1103/固有振動数!$O$6:$O$22)^2)^2+固有振動数!$P$6:$P$22^2))</f>
        <v>15.0856301030643</v>
      </c>
      <c r="C1103" s="71" t="n">
        <f aca="false">-SUMPRODUCT(固有振動数!$Q$6:$Q$22*固有振動数!$P$6:$P$22/((1-($A1103/固有振動数!$O$6:$O$22)^2)^2+固有振動数!$P$6:$P$22^2))</f>
        <v>-1.16095039055565</v>
      </c>
      <c r="D1103" s="71" t="n">
        <f aca="false">SQRT(B1103^2+C1103^2)</f>
        <v>15.1302360000038</v>
      </c>
      <c r="E1103" s="72" t="n">
        <f aca="false">20*LOG10(MAX(D1103,0.000000000001)/$K$3)</f>
        <v>23.5969140432133</v>
      </c>
      <c r="F1103" s="5"/>
      <c r="G1103" s="5"/>
      <c r="H1103" s="5"/>
      <c r="I1103" s="5"/>
      <c r="J1103" s="5"/>
      <c r="K1103" s="5"/>
      <c r="L1103" s="5"/>
      <c r="M1103" s="5"/>
      <c r="N1103" s="5"/>
    </row>
    <row r="1104" customFormat="false" ht="15" hidden="false" customHeight="false" outlineLevel="0" collapsed="false">
      <c r="A1104" s="71" t="n">
        <f aca="false">A1103+$F$3</f>
        <v>21960</v>
      </c>
      <c r="B1104" s="71" t="n">
        <f aca="false">SUMPRODUCT(固有振動数!$Q$6:$Q$22*(1-($A1104/固有振動数!$O$6:$O$22)^2)/((1-($A1104/固有振動数!$O$6:$O$22)^2)^2+固有振動数!$P$6:$P$22^2))</f>
        <v>15.2694358627266</v>
      </c>
      <c r="C1104" s="71" t="n">
        <f aca="false">-SUMPRODUCT(固有振動数!$Q$6:$Q$22*固有振動数!$P$6:$P$22/((1-($A1104/固有振動数!$O$6:$O$22)^2)^2+固有振動数!$P$6:$P$22^2))</f>
        <v>-1.18734366009467</v>
      </c>
      <c r="D1104" s="71" t="n">
        <f aca="false">SQRT(B1104^2+C1104^2)</f>
        <v>15.3155299135579</v>
      </c>
      <c r="E1104" s="72" t="n">
        <f aca="false">20*LOG10(MAX(D1104,0.000000000001)/$K$3)</f>
        <v>23.7026405576905</v>
      </c>
      <c r="F1104" s="5"/>
      <c r="G1104" s="5"/>
      <c r="H1104" s="5"/>
      <c r="I1104" s="5"/>
      <c r="J1104" s="5"/>
      <c r="K1104" s="5"/>
      <c r="L1104" s="5"/>
      <c r="M1104" s="5"/>
      <c r="N1104" s="5"/>
    </row>
    <row r="1105" customFormat="false" ht="15" hidden="false" customHeight="false" outlineLevel="0" collapsed="false">
      <c r="A1105" s="71" t="n">
        <f aca="false">A1104+$F$3</f>
        <v>21980</v>
      </c>
      <c r="B1105" s="71" t="n">
        <f aca="false">SUMPRODUCT(固有振動数!$Q$6:$Q$22*(1-($A1105/固有振動数!$O$6:$O$22)^2)/((1-($A1105/固有振動数!$O$6:$O$22)^2)^2+固有振動数!$P$6:$P$22^2))</f>
        <v>15.4574973563378</v>
      </c>
      <c r="C1105" s="71" t="n">
        <f aca="false">-SUMPRODUCT(固有振動数!$Q$6:$Q$22*固有振動数!$P$6:$P$22/((1-($A1105/固有振動数!$O$6:$O$22)^2)^2+固有振動数!$P$6:$P$22^2))</f>
        <v>-1.21499935485578</v>
      </c>
      <c r="D1105" s="71" t="n">
        <f aca="false">SQRT(B1105^2+C1105^2)</f>
        <v>15.5051748765853</v>
      </c>
      <c r="E1105" s="72" t="n">
        <f aca="false">20*LOG10(MAX(D1105,0.000000000001)/$K$3)</f>
        <v>23.8095333766494</v>
      </c>
      <c r="F1105" s="5"/>
      <c r="G1105" s="5"/>
      <c r="H1105" s="5"/>
      <c r="I1105" s="5"/>
      <c r="J1105" s="5"/>
      <c r="K1105" s="5"/>
      <c r="L1105" s="5"/>
      <c r="M1105" s="5"/>
      <c r="N1105" s="5"/>
    </row>
    <row r="1106" customFormat="false" ht="15" hidden="false" customHeight="false" outlineLevel="0" collapsed="false">
      <c r="A1106" s="71" t="n">
        <f aca="false">A1105+$F$3</f>
        <v>22000</v>
      </c>
      <c r="B1106" s="71" t="n">
        <f aca="false">SUMPRODUCT(固有振動数!$Q$6:$Q$22*(1-($A1106/固有振動数!$O$6:$O$22)^2)/((1-($A1106/固有振動数!$O$6:$O$22)^2)^2+固有振動数!$P$6:$P$22^2))</f>
        <v>15.6500228180134</v>
      </c>
      <c r="C1106" s="71" t="n">
        <f aca="false">-SUMPRODUCT(固有振動数!$Q$6:$Q$22*固有振動数!$P$6:$P$22/((1-($A1106/固有振動数!$O$6:$O$22)^2)^2+固有振動数!$P$6:$P$22^2))</f>
        <v>-1.24399712672256</v>
      </c>
      <c r="D1106" s="71" t="n">
        <f aca="false">SQRT(B1106^2+C1106^2)</f>
        <v>15.6993867095385</v>
      </c>
      <c r="E1106" s="72" t="n">
        <f aca="false">20*LOG10(MAX(D1106,0.000000000001)/$K$3)</f>
        <v>23.9176537438973</v>
      </c>
      <c r="F1106" s="5"/>
      <c r="G1106" s="5"/>
      <c r="H1106" s="5"/>
      <c r="I1106" s="5"/>
      <c r="J1106" s="5"/>
      <c r="K1106" s="5"/>
      <c r="L1106" s="5"/>
      <c r="M1106" s="5"/>
      <c r="N1106" s="5"/>
    </row>
    <row r="1107" customFormat="false" ht="15" hidden="false" customHeight="false" outlineLevel="0" collapsed="false">
      <c r="A1107" s="71" t="n">
        <f aca="false">A1106+$F$3</f>
        <v>22020</v>
      </c>
      <c r="B1107" s="71" t="n">
        <f aca="false">SUMPRODUCT(固有振動数!$Q$6:$Q$22*(1-($A1107/固有振動数!$O$6:$O$22)^2)/((1-($A1107/固有振動数!$O$6:$O$22)^2)^2+固有振動数!$P$6:$P$22^2))</f>
        <v>15.8472333019584</v>
      </c>
      <c r="C1107" s="71" t="n">
        <f aca="false">-SUMPRODUCT(固有振動数!$Q$6:$Q$22*固有振動数!$P$6:$P$22/((1-($A1107/固有振動数!$O$6:$O$22)^2)^2+固有振動数!$P$6:$P$22^2))</f>
        <v>-1.27442314433246</v>
      </c>
      <c r="D1107" s="71" t="n">
        <f aca="false">SQRT(B1107^2+C1107^2)</f>
        <v>15.8983948144933</v>
      </c>
      <c r="E1107" s="72" t="n">
        <f aca="false">20*LOG10(MAX(D1107,0.000000000001)/$K$3)</f>
        <v>24.0270655576048</v>
      </c>
      <c r="F1107" s="5"/>
      <c r="G1107" s="5"/>
      <c r="H1107" s="5"/>
      <c r="I1107" s="5"/>
      <c r="J1107" s="5"/>
      <c r="K1107" s="5"/>
      <c r="L1107" s="5"/>
      <c r="M1107" s="5"/>
      <c r="N1107" s="5"/>
    </row>
    <row r="1108" customFormat="false" ht="15" hidden="false" customHeight="false" outlineLevel="0" collapsed="false">
      <c r="A1108" s="71" t="n">
        <f aca="false">A1107+$F$3</f>
        <v>22040</v>
      </c>
      <c r="B1108" s="71" t="n">
        <f aca="false">SUMPRODUCT(固有振動数!$Q$6:$Q$22*(1-($A1108/固有振動数!$O$6:$O$22)^2)/((1-($A1108/固有振動数!$O$6:$O$22)^2)^2+固有振動数!$P$6:$P$22^2))</f>
        <v>16.0493637016219</v>
      </c>
      <c r="C1108" s="71" t="n">
        <f aca="false">-SUMPRODUCT(固有振動数!$Q$6:$Q$22*固有振動数!$P$6:$P$22/((1-($A1108/固有振動数!$O$6:$O$22)^2)^2+固有振動数!$P$6:$P$22^2))</f>
        <v>-1.30637073973472</v>
      </c>
      <c r="D1108" s="71" t="n">
        <f aca="false">SQRT(B1108^2+C1108^2)</f>
        <v>16.1024432846874</v>
      </c>
      <c r="E1108" s="72" t="n">
        <f aca="false">20*LOG10(MAX(D1108,0.000000000001)/$K$3)</f>
        <v>24.137835563557</v>
      </c>
      <c r="F1108" s="5"/>
      <c r="G1108" s="5"/>
      <c r="H1108" s="5"/>
      <c r="I1108" s="5"/>
      <c r="J1108" s="5"/>
      <c r="K1108" s="5"/>
      <c r="L1108" s="5"/>
      <c r="M1108" s="5"/>
      <c r="N1108" s="5"/>
    </row>
    <row r="1109" customFormat="false" ht="15" hidden="false" customHeight="false" outlineLevel="0" collapsed="false">
      <c r="A1109" s="71" t="n">
        <f aca="false">A1108+$F$3</f>
        <v>22060</v>
      </c>
      <c r="B1109" s="71" t="n">
        <f aca="false">SUMPRODUCT(固有振動数!$Q$6:$Q$22*(1-($A1109/固有振動数!$O$6:$O$22)^2)/((1-($A1109/固有振動数!$O$6:$O$22)^2)^2+固有振動数!$P$6:$P$22^2))</f>
        <v>16.2566638657119</v>
      </c>
      <c r="C1109" s="71" t="n">
        <f aca="false">-SUMPRODUCT(固有振動数!$Q$6:$Q$22*固有振動数!$P$6:$P$22/((1-($A1109/固有振動数!$O$6:$O$22)^2)^2+固有振動数!$P$6:$P$22^2))</f>
        <v>-1.33994113108638</v>
      </c>
      <c r="D1109" s="71" t="n">
        <f aca="false">SQRT(B1109^2+C1109^2)</f>
        <v>16.3117921234155</v>
      </c>
      <c r="E1109" s="72" t="n">
        <f aca="false">20*LOG10(MAX(D1109,0.000000000001)/$K$3)</f>
        <v>24.2500335636057</v>
      </c>
      <c r="F1109" s="5"/>
      <c r="G1109" s="5"/>
      <c r="H1109" s="5"/>
      <c r="I1109" s="5"/>
      <c r="J1109" s="5"/>
      <c r="K1109" s="5"/>
      <c r="L1109" s="5"/>
      <c r="M1109" s="5"/>
      <c r="N1109" s="5"/>
    </row>
    <row r="1110" customFormat="false" ht="15" hidden="false" customHeight="false" outlineLevel="0" collapsed="false">
      <c r="A1110" s="71" t="n">
        <f aca="false">A1109+$F$3</f>
        <v>22080</v>
      </c>
      <c r="B1110" s="71" t="n">
        <f aca="false">SUMPRODUCT(固有振動数!$Q$6:$Q$22*(1-($A1110/固有振動数!$O$6:$O$22)^2)/((1-($A1110/固有振動数!$O$6:$O$22)^2)^2+固有振動数!$P$6:$P$22^2))</f>
        <v>16.4693998218325</v>
      </c>
      <c r="C1110" s="71" t="n">
        <f aca="false">-SUMPRODUCT(固有振動数!$Q$6:$Q$22*固有振動数!$P$6:$P$22/((1-($A1110/固有振動数!$O$6:$O$22)^2)^2+固有振動数!$P$6:$P$22^2))</f>
        <v>-1.37524423174043</v>
      </c>
      <c r="D1110" s="71" t="n">
        <f aca="false">SQRT(B1110^2+C1110^2)</f>
        <v>16.5267185850159</v>
      </c>
      <c r="E1110" s="72" t="n">
        <f aca="false">20*LOG10(MAX(D1110,0.000000000001)/$K$3)</f>
        <v>24.3637326408308</v>
      </c>
      <c r="F1110" s="5"/>
      <c r="G1110" s="5"/>
      <c r="H1110" s="5"/>
      <c r="I1110" s="5"/>
      <c r="J1110" s="5"/>
      <c r="K1110" s="5"/>
      <c r="L1110" s="5"/>
      <c r="M1110" s="5"/>
      <c r="N1110" s="5"/>
    </row>
    <row r="1111" customFormat="false" ht="15" hidden="false" customHeight="false" outlineLevel="0" collapsed="false">
      <c r="A1111" s="71" t="n">
        <f aca="false">A1110+$F$3</f>
        <v>22100</v>
      </c>
      <c r="B1111" s="71" t="n">
        <f aca="false">SUMPRODUCT(固有振動数!$Q$6:$Q$22*(1-($A1111/固有振動数!$O$6:$O$22)^2)/((1-($A1111/固有振動数!$O$6:$O$22)^2)^2+固有振動数!$P$6:$P$22^2))</f>
        <v>16.6878551198662</v>
      </c>
      <c r="C1111" s="71" t="n">
        <f aca="false">-SUMPRODUCT(固有振動数!$Q$6:$Q$22*固有振動数!$P$6:$P$22/((1-($A1111/固有振動数!$O$6:$O$22)^2)^2+固有振動数!$P$6:$P$22^2))</f>
        <v>-1.41239955768751</v>
      </c>
      <c r="D1111" s="71" t="n">
        <f aca="false">SQRT(B1111^2+C1111^2)</f>
        <v>16.7475186523915</v>
      </c>
      <c r="E1111" s="72" t="n">
        <f aca="false">20*LOG10(MAX(D1111,0.000000000001)/$K$3)</f>
        <v>24.4790094030961</v>
      </c>
      <c r="F1111" s="5"/>
      <c r="G1111" s="5"/>
      <c r="H1111" s="5"/>
      <c r="I1111" s="5"/>
      <c r="J1111" s="5"/>
      <c r="K1111" s="5"/>
      <c r="L1111" s="5"/>
      <c r="M1111" s="5"/>
      <c r="N1111" s="5"/>
    </row>
    <row r="1112" customFormat="false" ht="15" hidden="false" customHeight="false" outlineLevel="0" collapsed="false">
      <c r="A1112" s="71" t="n">
        <f aca="false">A1111+$F$3</f>
        <v>22120</v>
      </c>
      <c r="B1112" s="71" t="n">
        <f aca="false">SUMPRODUCT(固有振動数!$Q$6:$Q$22*(1-($A1112/固有振動数!$O$6:$O$22)^2)/((1-($A1112/固有振動数!$O$6:$O$22)^2)^2+固有振動数!$P$6:$P$22^2))</f>
        <v>16.9123323087749</v>
      </c>
      <c r="C1112" s="71" t="n">
        <f aca="false">-SUMPRODUCT(固有振動数!$Q$6:$Q$22*固有振動数!$P$6:$P$22/((1-($A1112/固有振動数!$O$6:$O$22)^2)^2+固有振動数!$P$6:$P$22^2))</f>
        <v>-1.45153724720169</v>
      </c>
      <c r="D1112" s="71" t="n">
        <f aca="false">SQRT(B1112^2+C1112^2)</f>
        <v>16.9745086674827</v>
      </c>
      <c r="E1112" s="72" t="n">
        <f aca="false">20*LOG10(MAX(D1112,0.000000000001)/$K$3)</f>
        <v>24.5959442468691</v>
      </c>
      <c r="F1112" s="5"/>
      <c r="G1112" s="5"/>
      <c r="H1112" s="5"/>
      <c r="I1112" s="5"/>
      <c r="J1112" s="5"/>
      <c r="K1112" s="5"/>
      <c r="L1112" s="5"/>
      <c r="M1112" s="5"/>
      <c r="N1112" s="5"/>
    </row>
    <row r="1113" customFormat="false" ht="15" hidden="false" customHeight="false" outlineLevel="0" collapsed="false">
      <c r="A1113" s="71" t="n">
        <f aca="false">A1112+$F$3</f>
        <v>22140</v>
      </c>
      <c r="B1113" s="71" t="n">
        <f aca="false">SUMPRODUCT(固有振動数!$Q$6:$Q$22*(1-($A1113/固有振動数!$O$6:$O$22)^2)/((1-($A1113/固有振動数!$O$6:$O$22)^2)^2+固有振動数!$P$6:$P$22^2))</f>
        <v>17.1431545622634</v>
      </c>
      <c r="C1113" s="71" t="n">
        <f aca="false">-SUMPRODUCT(固有振動数!$Q$6:$Q$22*固有振動数!$P$6:$P$22/((1-($A1113/固有振動数!$O$6:$O$22)^2)^2+固有振動数!$P$6:$P$22^2))</f>
        <v>-1.49279920876499</v>
      </c>
      <c r="D1113" s="71" t="n">
        <f aca="false">SQRT(B1113^2+C1113^2)</f>
        <v>17.2080271333858</v>
      </c>
      <c r="E1113" s="72" t="n">
        <f aca="false">20*LOG10(MAX(D1113,0.000000000001)/$K$3)</f>
        <v>24.7146216433929</v>
      </c>
      <c r="F1113" s="5"/>
      <c r="G1113" s="5"/>
      <c r="H1113" s="5"/>
      <c r="I1113" s="5"/>
      <c r="J1113" s="5"/>
      <c r="K1113" s="5"/>
      <c r="L1113" s="5"/>
      <c r="M1113" s="5"/>
      <c r="N1113" s="5"/>
    </row>
    <row r="1114" customFormat="false" ht="15" hidden="false" customHeight="false" outlineLevel="0" collapsed="false">
      <c r="A1114" s="71" t="n">
        <f aca="false">A1113+$F$3</f>
        <v>22160</v>
      </c>
      <c r="B1114" s="71" t="n">
        <f aca="false">SUMPRODUCT(固有振動数!$Q$6:$Q$22*(1-($A1114/固有振動数!$O$6:$O$22)^2)/((1-($A1114/固有振動数!$O$6:$O$22)^2)^2+固有振動数!$P$6:$P$22^2))</f>
        <v>17.3806674707792</v>
      </c>
      <c r="C1114" s="71" t="n">
        <f aca="false">-SUMPRODUCT(固有振動数!$Q$6:$Q$22*固有振動数!$P$6:$P$22/((1-($A1114/固有振動数!$O$6:$O$22)^2)^2+固有振動数!$P$6:$P$22^2))</f>
        <v>-1.53634041597273</v>
      </c>
      <c r="D1114" s="71" t="n">
        <f aca="false">SQRT(B1114^2+C1114^2)</f>
        <v>17.4484367094463</v>
      </c>
      <c r="E1114" s="72" t="n">
        <f aca="false">20*LOG10(MAX(D1114,0.000000000001)/$K$3)</f>
        <v>24.8351304495436</v>
      </c>
      <c r="F1114" s="5"/>
      <c r="G1114" s="5"/>
      <c r="H1114" s="5"/>
      <c r="I1114" s="5"/>
      <c r="J1114" s="5"/>
      <c r="K1114" s="5"/>
      <c r="L1114" s="5"/>
      <c r="M1114" s="5"/>
      <c r="N1114" s="5"/>
    </row>
    <row r="1115" customFormat="false" ht="15" hidden="false" customHeight="false" outlineLevel="0" collapsed="false">
      <c r="A1115" s="71" t="n">
        <f aca="false">A1114+$F$3</f>
        <v>22180</v>
      </c>
      <c r="B1115" s="71" t="n">
        <f aca="false">SUMPRODUCT(固有振動数!$Q$6:$Q$22*(1-($A1115/固有振動数!$O$6:$O$22)^2)/((1-($A1115/固有振動数!$O$6:$O$22)^2)^2+固有振動数!$P$6:$P$22^2))</f>
        <v>17.6252410196399</v>
      </c>
      <c r="C1115" s="71" t="n">
        <f aca="false">-SUMPRODUCT(固有振動数!$Q$6:$Q$22*固有振動数!$P$6:$P$22/((1-($A1115/固有振動数!$O$6:$O$22)^2)^2+固有振動数!$P$6:$P$22^2))</f>
        <v>-1.5823303712316</v>
      </c>
      <c r="D1115" s="71" t="n">
        <f aca="false">SQRT(B1115^2+C1115^2)</f>
        <v>17.6961264237154</v>
      </c>
      <c r="E1115" s="72" t="n">
        <f aca="false">20*LOG10(MAX(D1115,0.000000000001)/$K$3)</f>
        <v>24.9575642459797</v>
      </c>
      <c r="F1115" s="5"/>
      <c r="G1115" s="5"/>
      <c r="H1115" s="5"/>
      <c r="I1115" s="5"/>
      <c r="J1115" s="5"/>
      <c r="K1115" s="5"/>
      <c r="L1115" s="5"/>
      <c r="M1115" s="5"/>
      <c r="N1115" s="5"/>
    </row>
    <row r="1116" customFormat="false" ht="15" hidden="false" customHeight="false" outlineLevel="0" collapsed="false">
      <c r="A1116" s="71" t="n">
        <f aca="false">A1115+$F$3</f>
        <v>22200</v>
      </c>
      <c r="B1116" s="71" t="n">
        <f aca="false">SUMPRODUCT(固有振動数!$Q$6:$Q$22*(1-($A1116/固有振動数!$O$6:$O$22)^2)/((1-($A1116/固有振動数!$O$6:$O$22)^2)^2+固有振動数!$P$6:$P$22^2))</f>
        <v>17.8772717757434</v>
      </c>
      <c r="C1116" s="71" t="n">
        <f aca="false">-SUMPRODUCT(固有振動数!$Q$6:$Q$22*固有振動数!$P$6:$P$22/((1-($A1116/固有振動数!$O$6:$O$22)^2)^2+固有振動数!$P$6:$P$22^2))</f>
        <v>-1.630954763756</v>
      </c>
      <c r="D1116" s="71" t="n">
        <f aca="false">SQRT(B1116^2+C1116^2)</f>
        <v>17.9515141307136</v>
      </c>
      <c r="E1116" s="72" t="n">
        <f aca="false">20*LOG10(MAX(D1116,0.000000000001)/$K$3)</f>
        <v>25.082021705508</v>
      </c>
      <c r="F1116" s="5"/>
      <c r="G1116" s="5"/>
      <c r="H1116" s="5"/>
      <c r="I1116" s="5"/>
      <c r="J1116" s="5"/>
      <c r="K1116" s="5"/>
      <c r="L1116" s="5"/>
      <c r="M1116" s="5"/>
      <c r="N1116" s="5"/>
    </row>
    <row r="1117" customFormat="false" ht="15" hidden="false" customHeight="false" outlineLevel="0" collapsed="false">
      <c r="A1117" s="71" t="n">
        <f aca="false">A1116+$F$3</f>
        <v>22220</v>
      </c>
      <c r="B1117" s="71" t="n">
        <f aca="false">SUMPRODUCT(固有振動数!$Q$6:$Q$22*(1-($A1117/固有振動数!$O$6:$O$22)^2)/((1-($A1117/固有振動数!$O$6:$O$22)^2)^2+固有振動数!$P$6:$P$22^2))</f>
        <v>18.1371853083686</v>
      </c>
      <c r="C1117" s="71" t="n">
        <f aca="false">-SUMPRODUCT(固有振動数!$Q$6:$Q$22*固有振動数!$P$6:$P$22/((1-($A1117/固有振動数!$O$6:$O$22)^2)^2+固有振動数!$P$6:$P$22^2))</f>
        <v>-1.68241735176512</v>
      </c>
      <c r="D1117" s="71" t="n">
        <f aca="false">SQRT(B1117^2+C1117^2)</f>
        <v>18.2150492465878</v>
      </c>
      <c r="E1117" s="72" t="n">
        <f aca="false">20*LOG10(MAX(D1117,0.000000000001)/$K$3)</f>
        <v>25.2086069949432</v>
      </c>
      <c r="F1117" s="5"/>
      <c r="G1117" s="5"/>
      <c r="H1117" s="5"/>
      <c r="I1117" s="5"/>
      <c r="J1117" s="5"/>
      <c r="K1117" s="5"/>
      <c r="L1117" s="5"/>
      <c r="M1117" s="5"/>
      <c r="N1117" s="5"/>
    </row>
    <row r="1118" customFormat="false" ht="15" hidden="false" customHeight="false" outlineLevel="0" collapsed="false">
      <c r="A1118" s="71" t="n">
        <f aca="false">A1117+$F$3</f>
        <v>22240</v>
      </c>
      <c r="B1118" s="71" t="n">
        <f aca="false">SUMPRODUCT(固有振動数!$Q$6:$Q$22*(1-($A1118/固有振動数!$O$6:$O$22)^2)/((1-($A1118/固有振動数!$O$6:$O$22)^2)^2+固有振動数!$P$6:$P$22^2))</f>
        <v>18.4054388730881</v>
      </c>
      <c r="C1118" s="71" t="n">
        <f aca="false">-SUMPRODUCT(固有振動数!$Q$6:$Q$22*固有振動数!$P$6:$P$22/((1-($A1118/固有振動数!$O$6:$O$22)^2)^2+固有振動数!$P$6:$P$22^2))</f>
        <v>-1.73694210403509</v>
      </c>
      <c r="D1118" s="71" t="n">
        <f aca="false">SQRT(B1118^2+C1118^2)</f>
        <v>18.4872157985931</v>
      </c>
      <c r="E1118" s="72" t="n">
        <f aca="false">20*LOG10(MAX(D1118,0.000000000001)/$K$3)</f>
        <v>25.3374302141474</v>
      </c>
      <c r="F1118" s="5"/>
      <c r="G1118" s="5"/>
      <c r="H1118" s="5"/>
      <c r="I1118" s="5"/>
      <c r="J1118" s="5"/>
      <c r="K1118" s="5"/>
      <c r="L1118" s="5"/>
      <c r="M1118" s="5"/>
      <c r="N1118" s="5"/>
    </row>
    <row r="1119" customFormat="false" ht="15" hidden="false" customHeight="false" outlineLevel="0" collapsed="false">
      <c r="A1119" s="71" t="n">
        <f aca="false">A1118+$F$3</f>
        <v>22260</v>
      </c>
      <c r="B1119" s="71" t="n">
        <f aca="false">SUMPRODUCT(固有振動数!$Q$6:$Q$22*(1-($A1119/固有振動数!$O$6:$O$22)^2)/((1-($A1119/固有振動数!$O$6:$O$22)^2)^2+固有振動数!$P$6:$P$22^2))</f>
        <v>18.6825243918507</v>
      </c>
      <c r="C1119" s="71" t="n">
        <f aca="false">-SUMPRODUCT(固有振動数!$Q$6:$Q$22*固有振動数!$P$6:$P$22/((1-($A1119/固有振動数!$O$6:$O$22)^2)^2+固有振動数!$P$6:$P$22^2))</f>
        <v>-1.79477564225109</v>
      </c>
      <c r="D1119" s="71" t="n">
        <f aca="false">SQRT(B1119^2+C1119^2)</f>
        <v>18.768535831495</v>
      </c>
      <c r="E1119" s="72" t="n">
        <f aca="false">20*LOG10(MAX(D1119,0.000000000001)/$K$3)</f>
        <v>25.4686078763963</v>
      </c>
      <c r="F1119" s="5"/>
      <c r="G1119" s="5"/>
      <c r="H1119" s="5"/>
      <c r="I1119" s="5"/>
      <c r="J1119" s="5"/>
      <c r="K1119" s="5"/>
      <c r="L1119" s="5"/>
      <c r="M1119" s="5"/>
      <c r="N1119" s="5"/>
    </row>
    <row r="1120" customFormat="false" ht="15" hidden="false" customHeight="false" outlineLevel="0" collapsed="false">
      <c r="A1120" s="71" t="n">
        <f aca="false">A1119+$F$3</f>
        <v>22280</v>
      </c>
      <c r="B1120" s="71" t="n">
        <f aca="false">SUMPRODUCT(固有振動数!$Q$6:$Q$22*(1-($A1120/固有振動数!$O$6:$O$22)^2)/((1-($A1120/固有振動数!$O$6:$O$22)^2)^2+固有振動数!$P$6:$P$22^2))</f>
        <v>18.9689717669426</v>
      </c>
      <c r="C1120" s="71" t="n">
        <f aca="false">-SUMPRODUCT(固有振動数!$Q$6:$Q$22*固有振動数!$P$6:$P$22/((1-($A1120/固有振動数!$O$6:$O$22)^2)^2+固有振動数!$P$6:$P$22^2))</f>
        <v>-1.8561900331634</v>
      </c>
      <c r="D1120" s="71" t="n">
        <f aca="false">SQRT(B1120^2+C1120^2)</f>
        <v>19.0595732201505</v>
      </c>
      <c r="E1120" s="72" t="n">
        <f aca="false">20*LOG10(MAX(D1120,0.000000000001)/$K$3)</f>
        <v>25.6022634347463</v>
      </c>
      <c r="F1120" s="5"/>
      <c r="G1120" s="5"/>
      <c r="H1120" s="5"/>
      <c r="I1120" s="5"/>
      <c r="J1120" s="5"/>
      <c r="K1120" s="5"/>
      <c r="L1120" s="5"/>
      <c r="M1120" s="5"/>
      <c r="N1120" s="5"/>
    </row>
    <row r="1121" customFormat="false" ht="15" hidden="false" customHeight="false" outlineLevel="0" collapsed="false">
      <c r="A1121" s="71" t="n">
        <f aca="false">A1120+$F$3</f>
        <v>22300</v>
      </c>
      <c r="B1121" s="71" t="n">
        <f aca="false">SUMPRODUCT(固有振動数!$Q$6:$Q$22*(1-($A1121/固有振動数!$O$6:$O$22)^2)/((1-($A1121/固有振動数!$O$6:$O$22)^2)^2+固有振動数!$P$6:$P$22^2))</f>
        <v>19.2653525718916</v>
      </c>
      <c r="C1121" s="71" t="n">
        <f aca="false">-SUMPRODUCT(固有振動数!$Q$6:$Q$22*固有振動数!$P$6:$P$22/((1-($A1121/固有振動数!$O$6:$O$22)^2)^2+固有振動数!$P$6:$P$22^2))</f>
        <v>-1.9214859886635</v>
      </c>
      <c r="D1121" s="71" t="n">
        <f aca="false">SQRT(B1121^2+C1121^2)</f>
        <v>19.3609379453559</v>
      </c>
      <c r="E1121" s="72" t="n">
        <f aca="false">20*LOG10(MAX(D1121,0.000000000001)/$K$3)</f>
        <v>25.7385278596802</v>
      </c>
      <c r="F1121" s="5"/>
      <c r="G1121" s="5"/>
      <c r="H1121" s="5"/>
      <c r="I1121" s="5"/>
      <c r="J1121" s="5"/>
      <c r="K1121" s="5"/>
      <c r="L1121" s="5"/>
      <c r="M1121" s="5"/>
      <c r="N1121" s="5"/>
    </row>
    <row r="1122" customFormat="false" ht="15" hidden="false" customHeight="false" outlineLevel="0" collapsed="false">
      <c r="A1122" s="71" t="n">
        <f aca="false">A1121+$F$3</f>
        <v>22320</v>
      </c>
      <c r="B1122" s="71" t="n">
        <f aca="false">SUMPRODUCT(固有振動数!$Q$6:$Q$22*(1-($A1122/固有振動数!$O$6:$O$22)^2)/((1-($A1122/固有振動数!$O$6:$O$22)^2)^2+固有振動数!$P$6:$P$22^2))</f>
        <v>19.5722841685551</v>
      </c>
      <c r="C1122" s="71" t="n">
        <f aca="false">-SUMPRODUCT(固有振動数!$Q$6:$Q$22*固有振動数!$P$6:$P$22/((1-($A1122/固有振動数!$O$6:$O$22)^2)^2+固有振動数!$P$6:$P$22^2))</f>
        <v>-1.99099654291906</v>
      </c>
      <c r="D1122" s="71" t="n">
        <f aca="false">SQRT(B1122^2+C1122^2)</f>
        <v>19.6732908993028</v>
      </c>
      <c r="E1122" s="72" t="n">
        <f aca="false">20*LOG10(MAX(D1122,0.000000000001)/$K$3)</f>
        <v>25.8775402739972</v>
      </c>
      <c r="F1122" s="5"/>
      <c r="G1122" s="5"/>
      <c r="H1122" s="5"/>
      <c r="I1122" s="5"/>
      <c r="J1122" s="5"/>
      <c r="K1122" s="5"/>
      <c r="L1122" s="5"/>
      <c r="M1122" s="5"/>
      <c r="N1122" s="5"/>
    </row>
    <row r="1123" customFormat="false" ht="15" hidden="false" customHeight="false" outlineLevel="0" collapsed="false">
      <c r="A1123" s="71" t="n">
        <f aca="false">A1122+$F$3</f>
        <v>22340</v>
      </c>
      <c r="B1123" s="71" t="n">
        <f aca="false">SUMPRODUCT(固有振動数!$Q$6:$Q$22*(1-($A1123/固有振動数!$O$6:$O$22)^2)/((1-($A1123/固有振動数!$O$6:$O$22)^2)^2+固有振動数!$P$6:$P$22^2))</f>
        <v>19.8904343067443</v>
      </c>
      <c r="C1123" s="71" t="n">
        <f aca="false">-SUMPRODUCT(固有振動数!$Q$6:$Q$22*固有振動数!$P$6:$P$22/((1-($A1123/固有振動数!$O$6:$O$22)^2)^2+固有振動数!$P$6:$P$22^2))</f>
        <v>-2.06509128908332</v>
      </c>
      <c r="D1123" s="71" t="n">
        <f aca="false">SQRT(B1123^2+C1123^2)</f>
        <v>19.9973492979234</v>
      </c>
      <c r="E1123" s="72" t="n">
        <f aca="false">20*LOG10(MAX(D1123,0.000000000001)/$K$3)</f>
        <v>26.0194486517016</v>
      </c>
      <c r="F1123" s="5"/>
      <c r="G1123" s="5"/>
      <c r="H1123" s="5"/>
      <c r="I1123" s="5"/>
      <c r="J1123" s="5"/>
      <c r="K1123" s="5"/>
      <c r="L1123" s="5"/>
      <c r="M1123" s="5"/>
      <c r="N1123" s="5"/>
    </row>
    <row r="1124" customFormat="false" ht="15" hidden="false" customHeight="false" outlineLevel="0" collapsed="false">
      <c r="A1124" s="71" t="n">
        <f aca="false">A1123+$F$3</f>
        <v>22360</v>
      </c>
      <c r="B1124" s="71" t="n">
        <f aca="false">SUMPRODUCT(固有振動数!$Q$6:$Q$22*(1-($A1124/固有振動数!$O$6:$O$22)^2)/((1-($A1124/固有振動数!$O$6:$O$22)^2)^2+固有振動数!$P$6:$P$22^2))</f>
        <v>20.2205262709434</v>
      </c>
      <c r="C1124" s="71" t="n">
        <f aca="false">-SUMPRODUCT(固有振動数!$Q$6:$Q$22*固有振動数!$P$6:$P$22/((1-($A1124/固有振動数!$O$6:$O$22)^2)^2+固有振動数!$P$6:$P$22^2))</f>
        <v>-2.14418127438966</v>
      </c>
      <c r="D1124" s="71" t="n">
        <f aca="false">SQRT(B1124^2+C1124^2)</f>
        <v>20.3338927903969</v>
      </c>
      <c r="E1124" s="72" t="n">
        <f aca="false">20*LOG10(MAX(D1124,0.000000000001)/$K$3)</f>
        <v>26.1644105885497</v>
      </c>
      <c r="F1124" s="5"/>
      <c r="G1124" s="5"/>
      <c r="H1124" s="5"/>
      <c r="I1124" s="5"/>
      <c r="J1124" s="5"/>
      <c r="K1124" s="5"/>
      <c r="L1124" s="5"/>
      <c r="M1124" s="5"/>
      <c r="N1124" s="5"/>
    </row>
    <row r="1125" customFormat="false" ht="15" hidden="false" customHeight="false" outlineLevel="0" collapsed="false">
      <c r="A1125" s="71" t="n">
        <f aca="false">A1124+$F$3</f>
        <v>22380</v>
      </c>
      <c r="B1125" s="71" t="n">
        <f aca="false">SUMPRODUCT(固有振動数!$Q$6:$Q$22*(1-($A1125/固有振動数!$O$6:$O$22)^2)/((1-($A1125/固有振動数!$O$6:$O$22)^2)^2+固有振動数!$P$6:$P$22^2))</f>
        <v>20.5633446481217</v>
      </c>
      <c r="C1125" s="71" t="n">
        <f aca="false">-SUMPRODUCT(固有振動数!$Q$6:$Q$22*固有振動数!$P$6:$P$22/((1-($A1125/固有振動数!$O$6:$O$22)^2)^2+固有振動数!$P$6:$P$22^2))</f>
        <v>-2.22872467236209</v>
      </c>
      <c r="D1125" s="71" t="n">
        <f aca="false">SQRT(B1125^2+C1125^2)</f>
        <v>20.6837703715409</v>
      </c>
      <c r="E1125" s="72" t="n">
        <f aca="false">20*LOG10(MAX(D1125,0.000000000001)/$K$3)</f>
        <v>26.312594152948</v>
      </c>
      <c r="F1125" s="5"/>
      <c r="G1125" s="5"/>
      <c r="H1125" s="5"/>
      <c r="I1125" s="5"/>
      <c r="J1125" s="5"/>
      <c r="K1125" s="5"/>
      <c r="L1125" s="5"/>
      <c r="M1125" s="5"/>
      <c r="N1125" s="5"/>
    </row>
    <row r="1126" customFormat="false" ht="15" hidden="false" customHeight="false" outlineLevel="0" collapsed="false">
      <c r="A1126" s="71" t="n">
        <f aca="false">A1125+$F$3</f>
        <v>22400</v>
      </c>
      <c r="B1126" s="71" t="n">
        <f aca="false">SUMPRODUCT(固有振動数!$Q$6:$Q$22*(1-($A1126/固有振動数!$O$6:$O$22)^2)/((1-($A1126/固有振動数!$O$6:$O$22)^2)^2+固有振動数!$P$6:$P$22^2))</f>
        <v>20.9197418015017</v>
      </c>
      <c r="C1126" s="71" t="n">
        <f aca="false">-SUMPRODUCT(固有振動数!$Q$6:$Q$22*固有振動数!$P$6:$P$22/((1-($A1126/固有振動数!$O$6:$O$22)^2)^2+固有振動数!$P$6:$P$22^2))</f>
        <v>-2.31923337531903</v>
      </c>
      <c r="D1126" s="71" t="n">
        <f aca="false">SQRT(B1126^2+C1126^2)</f>
        <v>21.0479082212625</v>
      </c>
      <c r="E1126" s="72" t="n">
        <f aca="false">20*LOG10(MAX(D1126,0.000000000001)/$K$3)</f>
        <v>26.4641788270887</v>
      </c>
      <c r="F1126" s="5"/>
      <c r="G1126" s="5"/>
      <c r="H1126" s="5"/>
      <c r="I1126" s="5"/>
      <c r="J1126" s="5"/>
      <c r="K1126" s="5"/>
      <c r="L1126" s="5"/>
      <c r="M1126" s="5"/>
      <c r="N1126" s="5"/>
    </row>
    <row r="1127" customFormat="false" ht="15" hidden="false" customHeight="false" outlineLevel="0" collapsed="false">
      <c r="A1127" s="71" t="n">
        <f aca="false">A1126+$F$3</f>
        <v>22420</v>
      </c>
      <c r="B1127" s="71" t="n">
        <f aca="false">SUMPRODUCT(固有振動数!$Q$6:$Q$22*(1-($A1127/固有振動数!$O$6:$O$22)^2)/((1-($A1127/固有振動数!$O$6:$O$22)^2)^2+固有振動数!$P$6:$P$22^2))</f>
        <v>21.2906451476056</v>
      </c>
      <c r="C1127" s="71" t="n">
        <f aca="false">-SUMPRODUCT(固有振動数!$Q$6:$Q$22*固有振動数!$P$6:$P$22/((1-($A1127/固有振動数!$O$6:$O$22)^2)^2+固有振動数!$P$6:$P$22^2))</f>
        <v>-2.41628068046442</v>
      </c>
      <c r="D1127" s="71" t="n">
        <f aca="false">SQRT(B1127^2+C1127^2)</f>
        <v>21.4273186173176</v>
      </c>
      <c r="E1127" s="72" t="n">
        <f aca="false">20*LOG10(MAX(D1127,0.000000000001)/$K$3)</f>
        <v>26.6193565495699</v>
      </c>
      <c r="F1127" s="5"/>
      <c r="G1127" s="5"/>
      <c r="H1127" s="5"/>
      <c r="I1127" s="5"/>
      <c r="J1127" s="5"/>
      <c r="K1127" s="5"/>
      <c r="L1127" s="5"/>
      <c r="M1127" s="5"/>
      <c r="N1127" s="5"/>
    </row>
    <row r="1128" customFormat="false" ht="15" hidden="false" customHeight="false" outlineLevel="0" collapsed="false">
      <c r="A1128" s="71" t="n">
        <f aca="false">A1127+$F$3</f>
        <v>22440</v>
      </c>
      <c r="B1128" s="71" t="n">
        <f aca="false">SUMPRODUCT(固有振動数!$Q$6:$Q$22*(1-($A1128/固有振動数!$O$6:$O$22)^2)/((1-($A1128/固有振動数!$O$6:$O$22)^2)^2+固有振動数!$P$6:$P$22^2))</f>
        <v>21.6770653481667</v>
      </c>
      <c r="C1128" s="71" t="n">
        <f aca="false">-SUMPRODUCT(固有振動数!$Q$6:$Q$22*固有振動数!$P$6:$P$22/((1-($A1128/固有振動数!$O$6:$O$22)^2)^2+固有振動数!$P$6:$P$22^2))</f>
        <v>-2.52051028011604</v>
      </c>
      <c r="D1128" s="71" t="n">
        <f aca="false">SQRT(B1128^2+C1128^2)</f>
        <v>21.8231100941378</v>
      </c>
      <c r="E1128" s="72" t="n">
        <f aca="false">20*LOG10(MAX(D1128,0.000000000001)/$K$3)</f>
        <v>26.7783328723162</v>
      </c>
      <c r="F1128" s="5"/>
      <c r="G1128" s="5"/>
      <c r="H1128" s="5"/>
      <c r="I1128" s="5"/>
      <c r="J1128" s="5"/>
      <c r="K1128" s="5"/>
      <c r="L1128" s="5"/>
      <c r="M1128" s="5"/>
      <c r="N1128" s="5"/>
    </row>
    <row r="1129" customFormat="false" ht="15" hidden="false" customHeight="false" outlineLevel="0" collapsed="false">
      <c r="A1129" s="71" t="n">
        <f aca="false">A1128+$F$3</f>
        <v>22460</v>
      </c>
      <c r="B1129" s="71" t="n">
        <f aca="false">SUMPRODUCT(固有振動数!$Q$6:$Q$22*(1-($A1129/固有振動数!$O$6:$O$22)^2)/((1-($A1129/固有振動数!$O$6:$O$22)^2)^2+固有振動数!$P$6:$P$22^2))</f>
        <v>22.0801055447178</v>
      </c>
      <c r="C1129" s="71" t="n">
        <f aca="false">-SUMPRODUCT(固有振動数!$Q$6:$Q$22*固有振動数!$P$6:$P$22/((1-($A1129/固有振動数!$O$6:$O$22)^2)^2+固有振動数!$P$6:$P$22^2))</f>
        <v>-2.63264681289767</v>
      </c>
      <c r="D1129" s="71" t="n">
        <f aca="false">SQRT(B1129^2+C1129^2)</f>
        <v>22.2364990523989</v>
      </c>
      <c r="E1129" s="72" t="n">
        <f aca="false">20*LOG10(MAX(D1129,0.000000000001)/$K$3)</f>
        <v>26.9413282464121</v>
      </c>
      <c r="F1129" s="5"/>
      <c r="G1129" s="5"/>
      <c r="H1129" s="5"/>
      <c r="I1129" s="5"/>
      <c r="J1129" s="5"/>
      <c r="K1129" s="5"/>
      <c r="L1129" s="5"/>
      <c r="M1129" s="5"/>
      <c r="N1129" s="5"/>
    </row>
    <row r="1130" customFormat="false" ht="15" hidden="false" customHeight="false" outlineLevel="0" collapsed="false">
      <c r="A1130" s="71" t="n">
        <f aca="false">A1129+$F$3</f>
        <v>22480</v>
      </c>
      <c r="B1130" s="71" t="n">
        <f aca="false">SUMPRODUCT(固有振動数!$Q$6:$Q$22*(1-($A1130/固有振動数!$O$6:$O$22)^2)/((1-($A1130/固有振動数!$O$6:$O$22)^2)^2+固有振動数!$P$6:$P$22^2))</f>
        <v>22.500971782033</v>
      </c>
      <c r="C1130" s="71" t="n">
        <f aca="false">-SUMPRODUCT(固有振動数!$Q$6:$Q$22*固有振動数!$P$6:$P$22/((1-($A1130/固有振動数!$O$6:$O$22)^2)^2+固有振動数!$P$6:$P$22^2))</f>
        <v>-2.75350829045476</v>
      </c>
      <c r="D1130" s="71" t="n">
        <f aca="false">SQRT(B1130^2+C1130^2)</f>
        <v>22.6688230625556</v>
      </c>
      <c r="E1130" s="72" t="n">
        <f aca="false">20*LOG10(MAX(D1130,0.000000000001)/$K$3)</f>
        <v>27.1085794535173</v>
      </c>
      <c r="F1130" s="5"/>
      <c r="G1130" s="5"/>
      <c r="H1130" s="5"/>
      <c r="I1130" s="5"/>
      <c r="J1130" s="5"/>
      <c r="K1130" s="5"/>
      <c r="L1130" s="5"/>
      <c r="M1130" s="5"/>
      <c r="N1130" s="5"/>
    </row>
    <row r="1131" customFormat="false" ht="15" hidden="false" customHeight="false" outlineLevel="0" collapsed="false">
      <c r="A1131" s="71" t="n">
        <f aca="false">A1130+$F$3</f>
        <v>22500</v>
      </c>
      <c r="B1131" s="71" t="n">
        <f aca="false">SUMPRODUCT(固有振動数!$Q$6:$Q$22*(1-($A1131/固有振動数!$O$6:$O$22)^2)/((1-($A1131/固有振動数!$O$6:$O$22)^2)^2+固有振動数!$P$6:$P$22^2))</f>
        <v>22.9409847871621</v>
      </c>
      <c r="C1131" s="71" t="n">
        <f aca="false">-SUMPRODUCT(固有振動数!$Q$6:$Q$22*固有振動数!$P$6:$P$22/((1-($A1131/固有振動数!$O$6:$O$22)^2)^2+固有振動数!$P$6:$P$22^2))</f>
        <v>-2.884020786599</v>
      </c>
      <c r="D1131" s="71" t="n">
        <f aca="false">SQRT(B1131^2+C1131^2)</f>
        <v>23.1215561522649</v>
      </c>
      <c r="E1131" s="72" t="n">
        <f aca="false">20*LOG10(MAX(D1131,0.000000000001)/$K$3)</f>
        <v>27.2803412018889</v>
      </c>
      <c r="F1131" s="5"/>
      <c r="G1131" s="5"/>
      <c r="H1131" s="5"/>
      <c r="I1131" s="5"/>
      <c r="J1131" s="5"/>
      <c r="K1131" s="5"/>
      <c r="L1131" s="5"/>
      <c r="M1131" s="5"/>
      <c r="N1131" s="5"/>
    </row>
    <row r="1132" customFormat="false" ht="15" hidden="false" customHeight="false" outlineLevel="0" collapsed="false">
      <c r="A1132" s="71" t="n">
        <f aca="false">A1131+$F$3</f>
        <v>22520</v>
      </c>
      <c r="B1132" s="71" t="n">
        <f aca="false">SUMPRODUCT(固有振動数!$Q$6:$Q$22*(1-($A1132/固有振動数!$O$6:$O$22)^2)/((1-($A1132/固有振動数!$O$6:$O$22)^2)^2+固有振動数!$P$6:$P$22^2))</f>
        <v>23.4015932935136</v>
      </c>
      <c r="C1132" s="71" t="n">
        <f aca="false">-SUMPRODUCT(固有振動数!$Q$6:$Q$22*固有振動数!$P$6:$P$22/((1-($A1132/固有振動数!$O$6:$O$22)^2)^2+固有振動数!$P$6:$P$22^2))</f>
        <v>-3.02523586685957</v>
      </c>
      <c r="D1132" s="71" t="n">
        <f aca="false">SQRT(B1132^2+C1132^2)</f>
        <v>23.5963264243643</v>
      </c>
      <c r="E1132" s="72" t="n">
        <f aca="false">20*LOG10(MAX(D1132,0.000000000001)/$K$3)</f>
        <v>27.4568879087146</v>
      </c>
      <c r="F1132" s="5"/>
      <c r="G1132" s="5"/>
      <c r="H1132" s="5"/>
      <c r="I1132" s="5"/>
      <c r="J1132" s="5"/>
      <c r="K1132" s="5"/>
      <c r="L1132" s="5"/>
      <c r="M1132" s="5"/>
      <c r="N1132" s="5"/>
    </row>
    <row r="1133" customFormat="false" ht="15" hidden="false" customHeight="false" outlineLevel="0" collapsed="false">
      <c r="A1133" s="71" t="n">
        <f aca="false">A1132+$F$3</f>
        <v>22540</v>
      </c>
      <c r="B1133" s="71" t="n">
        <f aca="false">SUMPRODUCT(固有振動数!$Q$6:$Q$22*(1-($A1133/固有振動数!$O$6:$O$22)^2)/((1-($A1133/固有振動数!$O$6:$O$22)^2)^2+固有振動数!$P$6:$P$22^2))</f>
        <v>23.8843891240353</v>
      </c>
      <c r="C1133" s="71" t="n">
        <f aca="false">-SUMPRODUCT(固有振動数!$Q$6:$Q$22*固有振動数!$P$6:$P$22/((1-($A1133/固有振動数!$O$6:$O$22)^2)^2+固有振動数!$P$6:$P$22^2))</f>
        <v>-3.17835135161206</v>
      </c>
      <c r="D1133" s="71" t="n">
        <f aca="false">SQRT(B1133^2+C1133^2)</f>
        <v>24.0949364212199</v>
      </c>
      <c r="E1133" s="72" t="n">
        <f aca="false">20*LOG10(MAX(D1133,0.000000000001)/$K$3)</f>
        <v>27.6385156935084</v>
      </c>
      <c r="F1133" s="5"/>
      <c r="G1133" s="5"/>
      <c r="H1133" s="5"/>
      <c r="I1133" s="5"/>
      <c r="J1133" s="5"/>
      <c r="K1133" s="5"/>
      <c r="L1133" s="5"/>
      <c r="M1133" s="5"/>
      <c r="N1133" s="5"/>
    </row>
    <row r="1134" customFormat="false" ht="15" hidden="false" customHeight="false" outlineLevel="0" collapsed="false">
      <c r="A1134" s="71" t="n">
        <f aca="false">A1133+$F$3</f>
        <v>22560</v>
      </c>
      <c r="B1134" s="71" t="n">
        <f aca="false">SUMPRODUCT(固有振動数!$Q$6:$Q$22*(1-($A1134/固有振動数!$O$6:$O$22)^2)/((1-($A1134/固有振動数!$O$6:$O$22)^2)^2+固有振動数!$P$6:$P$22^2))</f>
        <v>24.3911242733238</v>
      </c>
      <c r="C1134" s="71" t="n">
        <f aca="false">-SUMPRODUCT(固有振動数!$Q$6:$Q$22*固有振動数!$P$6:$P$22/((1-($A1134/固有振動数!$O$6:$O$22)^2)^2+固有振動数!$P$6:$P$22^2))</f>
        <v>-3.34473615236156</v>
      </c>
      <c r="D1134" s="71" t="n">
        <f aca="false">SQRT(B1134^2+C1134^2)</f>
        <v>24.6193867357747</v>
      </c>
      <c r="E1134" s="72" t="n">
        <f aca="false">20*LOG10(MAX(D1134,0.000000000001)/$K$3)</f>
        <v>27.8255446107474</v>
      </c>
      <c r="F1134" s="5"/>
      <c r="G1134" s="5"/>
      <c r="H1134" s="5"/>
      <c r="I1134" s="5"/>
      <c r="J1134" s="5"/>
      <c r="K1134" s="5"/>
      <c r="L1134" s="5"/>
      <c r="M1134" s="5"/>
      <c r="N1134" s="5"/>
    </row>
    <row r="1135" customFormat="false" ht="15" hidden="false" customHeight="false" outlineLevel="0" collapsed="false">
      <c r="A1135" s="71" t="n">
        <f aca="false">A1134+$F$3</f>
        <v>22580</v>
      </c>
      <c r="B1135" s="71" t="n">
        <f aca="false">SUMPRODUCT(固有振動数!$Q$6:$Q$22*(1-($A1135/固有振動数!$O$6:$O$22)^2)/((1-($A1135/固有振動数!$O$6:$O$22)^2)^2+固有振動数!$P$6:$P$22^2))</f>
        <v>24.9237302541694</v>
      </c>
      <c r="C1135" s="71" t="n">
        <f aca="false">-SUMPRODUCT(固有振動数!$Q$6:$Q$22*固有振動数!$P$6:$P$22/((1-($A1135/固有振動数!$O$6:$O$22)^2)^2+固有振動数!$P$6:$P$22^2))</f>
        <v>-3.52596010776967</v>
      </c>
      <c r="D1135" s="71" t="n">
        <f aca="false">SQRT(B1135^2+C1135^2)</f>
        <v>25.1719034732017</v>
      </c>
      <c r="E1135" s="72" t="n">
        <f aca="false">20*LOG10(MAX(D1135,0.000000000001)/$K$3)</f>
        <v>28.0183211537573</v>
      </c>
      <c r="F1135" s="5"/>
      <c r="G1135" s="5"/>
      <c r="H1135" s="5"/>
      <c r="I1135" s="5"/>
      <c r="J1135" s="5"/>
      <c r="K1135" s="5"/>
      <c r="L1135" s="5"/>
      <c r="M1135" s="5"/>
      <c r="N1135" s="5"/>
    </row>
    <row r="1136" customFormat="false" ht="15" hidden="false" customHeight="false" outlineLevel="0" collapsed="false">
      <c r="A1136" s="71" t="n">
        <f aca="false">A1135+$F$3</f>
        <v>22600</v>
      </c>
      <c r="B1136" s="71" t="n">
        <f aca="false">SUMPRODUCT(固有振動数!$Q$6:$Q$22*(1-($A1136/固有振動数!$O$6:$O$22)^2)/((1-($A1136/固有振動数!$O$6:$O$22)^2)^2+固有振動数!$P$6:$P$22^2))</f>
        <v>25.4843399972562</v>
      </c>
      <c r="C1136" s="71" t="n">
        <f aca="false">-SUMPRODUCT(固有振動数!$Q$6:$Q$22*固有振動数!$P$6:$P$22/((1-($A1136/固有振動数!$O$6:$O$22)^2)^2+固有振動数!$P$6:$P$22^2))</f>
        <v>-3.72382998611401</v>
      </c>
      <c r="D1136" s="71" t="n">
        <f aca="false">SQRT(B1136^2+C1136^2)</f>
        <v>25.7549702943186</v>
      </c>
      <c r="E1136" s="72" t="n">
        <f aca="false">20*LOG10(MAX(D1136,0.000000000001)/$K$3)</f>
        <v>28.2172210660668</v>
      </c>
      <c r="F1136" s="5"/>
      <c r="G1136" s="5"/>
      <c r="H1136" s="5"/>
      <c r="I1136" s="5"/>
      <c r="J1136" s="5"/>
      <c r="K1136" s="5"/>
      <c r="L1136" s="5"/>
      <c r="M1136" s="5"/>
      <c r="N1136" s="5"/>
    </row>
    <row r="1137" customFormat="false" ht="15" hidden="false" customHeight="false" outlineLevel="0" collapsed="false">
      <c r="A1137" s="71" t="n">
        <f aca="false">A1136+$F$3</f>
        <v>22620</v>
      </c>
      <c r="B1137" s="71" t="n">
        <f aca="false">SUMPRODUCT(固有振動数!$Q$6:$Q$22*(1-($A1137/固有振動数!$O$6:$O$22)^2)/((1-($A1137/固有振動数!$O$6:$O$22)^2)^2+固有振動数!$P$6:$P$22^2))</f>
        <v>26.075312609505</v>
      </c>
      <c r="C1137" s="71" t="n">
        <f aca="false">-SUMPRODUCT(固有振動数!$Q$6:$Q$22*固有振動数!$P$6:$P$22/((1-($A1137/固有振動数!$O$6:$O$22)^2)^2+固有振動数!$P$6:$P$22^2))</f>
        <v>-3.94043313074133</v>
      </c>
      <c r="D1137" s="71" t="n">
        <f aca="false">SQRT(B1137^2+C1137^2)</f>
        <v>26.3713659286214</v>
      </c>
      <c r="E1137" s="72" t="n">
        <f aca="false">20*LOG10(MAX(D1137,0.000000000001)/$K$3)</f>
        <v>28.4226525009879</v>
      </c>
      <c r="F1137" s="5"/>
      <c r="G1137" s="5"/>
      <c r="H1137" s="5"/>
      <c r="I1137" s="5"/>
      <c r="J1137" s="5"/>
      <c r="K1137" s="5"/>
      <c r="L1137" s="5"/>
      <c r="M1137" s="5"/>
      <c r="N1137" s="5"/>
    </row>
    <row r="1138" customFormat="false" ht="15" hidden="false" customHeight="false" outlineLevel="0" collapsed="false">
      <c r="A1138" s="71" t="n">
        <f aca="false">A1137+$F$3</f>
        <v>22640</v>
      </c>
      <c r="B1138" s="71" t="n">
        <f aca="false">SUMPRODUCT(固有振動数!$Q$6:$Q$22*(1-($A1138/固有振動数!$O$6:$O$22)^2)/((1-($A1138/固有振動数!$O$6:$O$22)^2)^2+固有振動数!$P$6:$P$22^2))</f>
        <v>26.6992613002565</v>
      </c>
      <c r="C1138" s="71" t="n">
        <f aca="false">-SUMPRODUCT(固有振動数!$Q$6:$Q$22*固有振動数!$P$6:$P$22/((1-($A1138/固有振動数!$O$6:$O$22)^2)^2+固有振動数!$P$6:$P$22^2))</f>
        <v>-4.178190627115</v>
      </c>
      <c r="D1138" s="71" t="n">
        <f aca="false">SQRT(B1138^2+C1138^2)</f>
        <v>27.0242082380943</v>
      </c>
      <c r="E1138" s="72" t="n">
        <f aca="false">20*LOG10(MAX(D1138,0.000000000001)/$K$3)</f>
        <v>28.6350595749019</v>
      </c>
      <c r="F1138" s="5"/>
      <c r="G1138" s="5"/>
      <c r="H1138" s="5"/>
      <c r="I1138" s="5"/>
      <c r="J1138" s="5"/>
      <c r="K1138" s="5"/>
      <c r="L1138" s="5"/>
      <c r="M1138" s="5"/>
      <c r="N1138" s="5"/>
    </row>
    <row r="1139" customFormat="false" ht="15" hidden="false" customHeight="false" outlineLevel="0" collapsed="false">
      <c r="A1139" s="71" t="n">
        <f aca="false">A1138+$F$3</f>
        <v>22660</v>
      </c>
      <c r="B1139" s="71" t="n">
        <f aca="false">SUMPRODUCT(固有振動数!$Q$6:$Q$22*(1-($A1139/固有振動数!$O$6:$O$22)^2)/((1-($A1139/固有振動数!$O$6:$O$22)^2)^2+固有振動数!$P$6:$P$22^2))</f>
        <v>27.3590847643854</v>
      </c>
      <c r="C1139" s="71" t="n">
        <f aca="false">-SUMPRODUCT(固有振動数!$Q$6:$Q$22*固有振動数!$P$6:$P$22/((1-($A1139/固有振動数!$O$6:$O$22)^2)^2+固有振動数!$P$6:$P$22^2))</f>
        <v>-4.43992239448751</v>
      </c>
      <c r="D1139" s="71" t="n">
        <f aca="false">SQRT(B1139^2+C1139^2)</f>
        <v>27.7170061517094</v>
      </c>
      <c r="E1139" s="72" t="n">
        <f aca="false">20*LOG10(MAX(D1139,0.000000000001)/$K$3)</f>
        <v>28.8549263643864</v>
      </c>
      <c r="F1139" s="5"/>
      <c r="G1139" s="5"/>
      <c r="H1139" s="5"/>
      <c r="I1139" s="5"/>
      <c r="J1139" s="5"/>
      <c r="K1139" s="5"/>
      <c r="L1139" s="5"/>
      <c r="M1139" s="5"/>
      <c r="N1139" s="5"/>
    </row>
    <row r="1140" customFormat="false" ht="15" hidden="false" customHeight="false" outlineLevel="0" collapsed="false">
      <c r="A1140" s="71" t="n">
        <f aca="false">A1139+$F$3</f>
        <v>22680</v>
      </c>
      <c r="B1140" s="71" t="n">
        <f aca="false">SUMPRODUCT(固有振動数!$Q$6:$Q$22*(1-($A1140/固有振動数!$O$6:$O$22)^2)/((1-($A1140/固有振動数!$O$6:$O$22)^2)^2+固有振動数!$P$6:$P$22^2))</f>
        <v>28.0580022501551</v>
      </c>
      <c r="C1140" s="71" t="n">
        <f aca="false">-SUMPRODUCT(固有振動数!$Q$6:$Q$22*固有振動数!$P$6:$P$22/((1-($A1140/固有振動数!$O$6:$O$22)^2)^2+固有振動数!$P$6:$P$22^2))</f>
        <v>-4.72892729297974</v>
      </c>
      <c r="D1140" s="71" t="n">
        <f aca="false">SQRT(B1140^2+C1140^2)</f>
        <v>28.45372108551</v>
      </c>
      <c r="E1140" s="72" t="n">
        <f aca="false">20*LOG10(MAX(D1140,0.000000000001)/$K$3)</f>
        <v>29.0827814014256</v>
      </c>
      <c r="F1140" s="5"/>
      <c r="G1140" s="5"/>
      <c r="H1140" s="5"/>
      <c r="I1140" s="5"/>
      <c r="J1140" s="5"/>
      <c r="K1140" s="5"/>
      <c r="L1140" s="5"/>
      <c r="M1140" s="5"/>
      <c r="N1140" s="5"/>
    </row>
    <row r="1141" customFormat="false" ht="15" hidden="false" customHeight="false" outlineLevel="0" collapsed="false">
      <c r="A1141" s="71" t="n">
        <f aca="false">A1140+$F$3</f>
        <v>22700</v>
      </c>
      <c r="B1141" s="71" t="n">
        <f aca="false">SUMPRODUCT(固有振動数!$Q$6:$Q$22*(1-($A1141/固有振動数!$O$6:$O$22)^2)/((1-($A1141/固有振動数!$O$6:$O$22)^2)^2+固有振動数!$P$6:$P$22^2))</f>
        <v>28.7995924093814</v>
      </c>
      <c r="C1141" s="71" t="n">
        <f aca="false">-SUMPRODUCT(固有振動数!$Q$6:$Q$22*固有振動数!$P$6:$P$22/((1-($A1141/固有振動数!$O$6:$O$22)^2)^2+固有振動数!$P$6:$P$22^2))</f>
        <v>-5.04908224360446</v>
      </c>
      <c r="D1141" s="71" t="n">
        <f aca="false">SQRT(B1141^2+C1141^2)</f>
        <v>29.2388398273457</v>
      </c>
      <c r="E1141" s="72" t="n">
        <f aca="false">20*LOG10(MAX(D1141,0.000000000001)/$K$3)</f>
        <v>29.3192027237343</v>
      </c>
      <c r="F1141" s="5"/>
      <c r="G1141" s="5"/>
      <c r="H1141" s="5"/>
      <c r="I1141" s="5"/>
      <c r="J1141" s="5"/>
      <c r="K1141" s="5"/>
      <c r="L1141" s="5"/>
      <c r="M1141" s="5"/>
      <c r="N1141" s="5"/>
    </row>
    <row r="1142" customFormat="false" ht="15" hidden="false" customHeight="false" outlineLevel="0" collapsed="false">
      <c r="A1142" s="71" t="n">
        <f aca="false">A1141+$F$3</f>
        <v>22720</v>
      </c>
      <c r="B1142" s="71" t="n">
        <f aca="false">SUMPRODUCT(固有振動数!$Q$6:$Q$22*(1-($A1142/固有振動数!$O$6:$O$22)^2)/((1-($A1142/固有振動数!$O$6:$O$22)^2)^2+固有振動数!$P$6:$P$22^2))</f>
        <v>29.5878357837914</v>
      </c>
      <c r="C1142" s="71" t="n">
        <f aca="false">-SUMPRODUCT(固有振動数!$Q$6:$Q$22*固有振動数!$P$6:$P$22/((1-($A1142/固有振動数!$O$6:$O$22)^2)^2+固有振動数!$P$6:$P$22^2))</f>
        <v>-5.40496556047714</v>
      </c>
      <c r="D1142" s="71" t="n">
        <f aca="false">SQRT(B1142^2+C1142^2)</f>
        <v>30.0774613137238</v>
      </c>
      <c r="E1142" s="72" t="n">
        <f aca="false">20*LOG10(MAX(D1142,0.000000000001)/$K$3)</f>
        <v>29.5648235373485</v>
      </c>
      <c r="F1142" s="5"/>
      <c r="G1142" s="5"/>
      <c r="H1142" s="5"/>
      <c r="I1142" s="5"/>
      <c r="J1142" s="5"/>
      <c r="K1142" s="5"/>
      <c r="L1142" s="5"/>
      <c r="M1142" s="5"/>
      <c r="N1142" s="5"/>
    </row>
    <row r="1143" customFormat="false" ht="15" hidden="false" customHeight="false" outlineLevel="0" collapsed="false">
      <c r="A1143" s="71" t="n">
        <f aca="false">A1142+$F$3</f>
        <v>22740</v>
      </c>
      <c r="B1143" s="71" t="n">
        <f aca="false">SUMPRODUCT(固有振動数!$Q$6:$Q$22*(1-($A1143/固有振動数!$O$6:$O$22)^2)/((1-($A1143/固有振動数!$O$6:$O$22)^2)^2+固有振動数!$P$6:$P$22^2))</f>
        <v>30.4271603532749</v>
      </c>
      <c r="C1143" s="71" t="n">
        <f aca="false">-SUMPRODUCT(固有振動数!$Q$6:$Q$22*固有振動数!$P$6:$P$22/((1-($A1143/固有振動数!$O$6:$O$22)^2)^2+固有振動数!$P$6:$P$22^2))</f>
        <v>-5.80201129493623</v>
      </c>
      <c r="D1143" s="71" t="n">
        <f aca="false">SQRT(B1143^2+C1143^2)</f>
        <v>30.9754002755488</v>
      </c>
      <c r="E1143" s="72" t="n">
        <f aca="false">20*LOG10(MAX(D1143,0.000000000001)/$K$3)</f>
        <v>29.8203385439573</v>
      </c>
      <c r="F1143" s="5"/>
      <c r="G1143" s="5"/>
      <c r="H1143" s="5"/>
      <c r="I1143" s="5"/>
      <c r="J1143" s="5"/>
      <c r="K1143" s="5"/>
      <c r="L1143" s="5"/>
      <c r="M1143" s="5"/>
      <c r="N1143" s="5"/>
    </row>
    <row r="1144" customFormat="false" ht="15" hidden="false" customHeight="false" outlineLevel="0" collapsed="false">
      <c r="A1144" s="71" t="n">
        <f aca="false">A1143+$F$3</f>
        <v>22760</v>
      </c>
      <c r="B1144" s="71" t="n">
        <f aca="false">SUMPRODUCT(固有振動数!$Q$6:$Q$22*(1-($A1144/固有振動数!$O$6:$O$22)^2)/((1-($A1144/固有振動数!$O$6:$O$22)^2)^2+固有振動数!$P$6:$P$22^2))</f>
        <v>31.3224888450916</v>
      </c>
      <c r="C1144" s="71" t="n">
        <f aca="false">-SUMPRODUCT(固有振動数!$Q$6:$Q$22*固有振動数!$P$6:$P$22/((1-($A1144/固有振動数!$O$6:$O$22)^2)^2+固有振動数!$P$6:$P$22^2))</f>
        <v>-6.24670353247101</v>
      </c>
      <c r="D1144" s="71" t="n">
        <f aca="false">SQRT(B1144^2+C1144^2)</f>
        <v>31.9393113963572</v>
      </c>
      <c r="E1144" s="72" t="n">
        <f aca="false">20*LOG10(MAX(D1144,0.000000000001)/$K$3)</f>
        <v>30.0865109724387</v>
      </c>
      <c r="F1144" s="5"/>
      <c r="G1144" s="5"/>
      <c r="H1144" s="5"/>
      <c r="I1144" s="5"/>
      <c r="J1144" s="5"/>
      <c r="K1144" s="5"/>
      <c r="L1144" s="5"/>
      <c r="M1144" s="5"/>
      <c r="N1144" s="5"/>
    </row>
    <row r="1145" customFormat="false" ht="15" hidden="false" customHeight="false" outlineLevel="0" collapsed="false">
      <c r="A1145" s="71" t="n">
        <f aca="false">A1144+$F$3</f>
        <v>22780</v>
      </c>
      <c r="B1145" s="71" t="n">
        <f aca="false">SUMPRODUCT(固有振動数!$Q$6:$Q$22*(1-($A1145/固有振動数!$O$6:$O$22)^2)/((1-($A1145/固有振動数!$O$6:$O$22)^2)^2+固有振動数!$P$6:$P$22^2))</f>
        <v>32.2792852949179</v>
      </c>
      <c r="C1145" s="71" t="n">
        <f aca="false">-SUMPRODUCT(固有振動数!$Q$6:$Q$22*固有振動数!$P$6:$P$22/((1-($A1145/固有振動数!$O$6:$O$22)^2)^2+固有振動数!$P$6:$P$22^2))</f>
        <v>-6.74682245884896</v>
      </c>
      <c r="D1145" s="71" t="n">
        <f aca="false">SQRT(B1145^2+C1145^2)</f>
        <v>32.9768384239898</v>
      </c>
      <c r="E1145" s="72" t="n">
        <f aca="false">20*LOG10(MAX(D1145,0.000000000001)/$K$3)</f>
        <v>30.36418032706</v>
      </c>
      <c r="F1145" s="5"/>
      <c r="G1145" s="5"/>
      <c r="H1145" s="5"/>
      <c r="I1145" s="5"/>
      <c r="J1145" s="5"/>
      <c r="K1145" s="5"/>
      <c r="L1145" s="5"/>
      <c r="M1145" s="5"/>
      <c r="N1145" s="5"/>
    </row>
    <row r="1146" customFormat="false" ht="15" hidden="false" customHeight="false" outlineLevel="0" collapsed="false">
      <c r="A1146" s="71" t="n">
        <f aca="false">A1145+$F$3</f>
        <v>22800</v>
      </c>
      <c r="B1146" s="71" t="n">
        <f aca="false">SUMPRODUCT(固有振動数!$Q$6:$Q$22*(1-($A1146/固有振動数!$O$6:$O$22)^2)/((1-($A1146/固有振動数!$O$6:$O$22)^2)^2+固有振動数!$P$6:$P$22^2))</f>
        <v>33.3035963650892</v>
      </c>
      <c r="C1146" s="71" t="n">
        <f aca="false">-SUMPRODUCT(固有振動数!$Q$6:$Q$22*固有振動数!$P$6:$P$22/((1-($A1146/固有振動数!$O$6:$O$22)^2)^2+固有振動数!$P$6:$P$22^2))</f>
        <v>-7.31175788408438</v>
      </c>
      <c r="D1146" s="71" t="n">
        <f aca="false">SQRT(B1146^2+C1146^2)</f>
        <v>34.0967936059133</v>
      </c>
      <c r="E1146" s="72" t="n">
        <f aca="false">20*LOG10(MAX(D1146,0.000000000001)/$K$3)</f>
        <v>30.6542708146116</v>
      </c>
      <c r="F1146" s="5"/>
      <c r="G1146" s="5"/>
      <c r="H1146" s="5"/>
      <c r="I1146" s="5"/>
      <c r="J1146" s="5"/>
      <c r="K1146" s="5"/>
      <c r="L1146" s="5"/>
      <c r="M1146" s="5"/>
      <c r="N1146" s="5"/>
    </row>
    <row r="1147" customFormat="false" ht="15" hidden="false" customHeight="false" outlineLevel="0" collapsed="false">
      <c r="A1147" s="71" t="n">
        <f aca="false">A1146+$F$3</f>
        <v>22820</v>
      </c>
      <c r="B1147" s="71" t="n">
        <f aca="false">SUMPRODUCT(固有振動数!$Q$6:$Q$22*(1-($A1147/固有振動数!$O$6:$O$22)^2)/((1-($A1147/固有振動数!$O$6:$O$22)^2)^2+固有振動数!$P$6:$P$22^2))</f>
        <v>34.4020796823324</v>
      </c>
      <c r="C1147" s="71" t="n">
        <f aca="false">-SUMPRODUCT(固有振動数!$Q$6:$Q$22*固有振動数!$P$6:$P$22/((1-($A1147/固有振動数!$O$6:$O$22)^2)^2+固有振動数!$P$6:$P$22^2))</f>
        <v>-7.95291113321503</v>
      </c>
      <c r="D1147" s="71" t="n">
        <f aca="false">SQRT(B1147^2+C1147^2)</f>
        <v>35.3093738540117</v>
      </c>
      <c r="E1147" s="72" t="n">
        <f aca="false">20*LOG10(MAX(D1147,0.000000000001)/$K$3)</f>
        <v>30.9578003245507</v>
      </c>
      <c r="F1147" s="5"/>
      <c r="G1147" s="5"/>
      <c r="H1147" s="5"/>
      <c r="I1147" s="5"/>
      <c r="J1147" s="5"/>
      <c r="K1147" s="5"/>
      <c r="L1147" s="5"/>
      <c r="M1147" s="5"/>
      <c r="N1147" s="5"/>
    </row>
    <row r="1148" customFormat="false" ht="15" hidden="false" customHeight="false" outlineLevel="0" collapsed="false">
      <c r="A1148" s="71" t="n">
        <f aca="false">A1147+$F$3</f>
        <v>22840</v>
      </c>
      <c r="B1148" s="71" t="n">
        <f aca="false">SUMPRODUCT(固有振動数!$Q$6:$Q$22*(1-($A1148/固有振動数!$O$6:$O$22)^2)/((1-($A1148/固有振動数!$O$6:$O$22)^2)^2+固有振動数!$P$6:$P$22^2))</f>
        <v>35.5820061723512</v>
      </c>
      <c r="C1148" s="71" t="n">
        <f aca="false">-SUMPRODUCT(固有振動数!$Q$6:$Q$22*固有振動数!$P$6:$P$22/((1-($A1148/固有振動数!$O$6:$O$22)^2)^2+固有振動数!$P$6:$P$22^2))</f>
        <v>-8.68421324053609</v>
      </c>
      <c r="D1148" s="71" t="n">
        <f aca="false">SQRT(B1148^2+C1148^2)</f>
        <v>36.6264211035741</v>
      </c>
      <c r="E1148" s="72" t="n">
        <f aca="false">20*LOG10(MAX(D1148,0.000000000001)/$K$3)</f>
        <v>31.2758896859284</v>
      </c>
      <c r="F1148" s="5"/>
      <c r="G1148" s="5"/>
      <c r="H1148" s="5"/>
      <c r="I1148" s="5"/>
      <c r="J1148" s="5"/>
      <c r="K1148" s="5"/>
      <c r="L1148" s="5"/>
      <c r="M1148" s="5"/>
      <c r="N1148" s="5"/>
    </row>
    <row r="1149" customFormat="false" ht="15" hidden="false" customHeight="false" outlineLevel="0" collapsed="false">
      <c r="A1149" s="71" t="n">
        <f aca="false">A1148+$F$3</f>
        <v>22860</v>
      </c>
      <c r="B1149" s="71" t="n">
        <f aca="false">SUMPRODUCT(固有振動数!$Q$6:$Q$22*(1-($A1149/固有振動数!$O$6:$O$22)^2)/((1-($A1149/固有振動数!$O$6:$O$22)^2)^2+固有振動数!$P$6:$P$22^2))</f>
        <v>36.8512147532885</v>
      </c>
      <c r="C1149" s="71" t="n">
        <f aca="false">-SUMPRODUCT(固有振動数!$Q$6:$Q$22*固有振動数!$P$6:$P$22/((1-($A1149/固有振動数!$O$6:$O$22)^2)^2+固有振動数!$P$6:$P$22^2))</f>
        <v>-9.52279679349255</v>
      </c>
      <c r="D1149" s="71" t="n">
        <f aca="false">SQRT(B1149^2+C1149^2)</f>
        <v>38.061735214821</v>
      </c>
      <c r="E1149" s="72" t="n">
        <f aca="false">20*LOG10(MAX(D1149,0.000000000001)/$K$3)</f>
        <v>31.6097716732625</v>
      </c>
      <c r="F1149" s="5"/>
      <c r="G1149" s="5"/>
      <c r="H1149" s="5"/>
      <c r="I1149" s="5"/>
      <c r="J1149" s="5"/>
      <c r="K1149" s="5"/>
      <c r="L1149" s="5"/>
      <c r="M1149" s="5"/>
      <c r="N1149" s="5"/>
    </row>
    <row r="1150" customFormat="false" ht="15" hidden="false" customHeight="false" outlineLevel="0" collapsed="false">
      <c r="A1150" s="71" t="n">
        <f aca="false">A1149+$F$3</f>
        <v>22880</v>
      </c>
      <c r="B1150" s="71" t="n">
        <f aca="false">SUMPRODUCT(固有振動数!$Q$6:$Q$22*(1-($A1150/固有振動数!$O$6:$O$22)^2)/((1-($A1150/固有振動数!$O$6:$O$22)^2)^2+固有振動数!$P$6:$P$22^2))</f>
        <v>38.2179836752727</v>
      </c>
      <c r="C1150" s="71" t="n">
        <f aca="false">-SUMPRODUCT(固有振動数!$Q$6:$Q$22*固有振動数!$P$6:$P$22/((1-($A1150/固有振動数!$O$6:$O$22)^2)^2+固有振動数!$P$6:$P$22^2))</f>
        <v>-10.489871220868</v>
      </c>
      <c r="D1150" s="71" t="n">
        <f aca="false">SQRT(B1150^2+C1150^2)</f>
        <v>39.6314480486621</v>
      </c>
      <c r="E1150" s="72" t="n">
        <f aca="false">20*LOG10(MAX(D1150,0.000000000001)/$K$3)</f>
        <v>31.9607988163807</v>
      </c>
      <c r="F1150" s="5"/>
      <c r="G1150" s="5"/>
      <c r="H1150" s="5"/>
      <c r="I1150" s="5"/>
      <c r="J1150" s="5"/>
      <c r="K1150" s="5"/>
      <c r="L1150" s="5"/>
      <c r="M1150" s="5"/>
      <c r="N1150" s="5"/>
    </row>
    <row r="1151" customFormat="false" ht="15" hidden="false" customHeight="false" outlineLevel="0" collapsed="false">
      <c r="A1151" s="71" t="n">
        <f aca="false">A1150+$F$3</f>
        <v>22900</v>
      </c>
      <c r="B1151" s="71" t="n">
        <f aca="false">SUMPRODUCT(固有振動数!$Q$6:$Q$22*(1-($A1151/固有振動数!$O$6:$O$22)^2)/((1-($A1151/固有振動数!$O$6:$O$22)^2)^2+固有振動数!$P$6:$P$22^2))</f>
        <v>39.6907597249586</v>
      </c>
      <c r="C1151" s="71" t="n">
        <f aca="false">-SUMPRODUCT(固有振動数!$Q$6:$Q$22*固有振動数!$P$6:$P$22/((1-($A1151/固有振動数!$O$6:$O$22)^2)^2+固有振動数!$P$6:$P$22^2))</f>
        <v>-11.6118674076054</v>
      </c>
      <c r="D1151" s="71" t="n">
        <f aca="false">SQRT(B1151^2+C1151^2)</f>
        <v>41.3544661703691</v>
      </c>
      <c r="E1151" s="72" t="n">
        <f aca="false">20*LOG10(MAX(D1151,0.000000000001)/$K$3)</f>
        <v>32.3304483809903</v>
      </c>
      <c r="F1151" s="5"/>
      <c r="G1151" s="5"/>
      <c r="H1151" s="5"/>
      <c r="I1151" s="5"/>
      <c r="J1151" s="5"/>
      <c r="K1151" s="5"/>
      <c r="L1151" s="5"/>
      <c r="M1151" s="5"/>
      <c r="N1151" s="5"/>
    </row>
    <row r="1152" customFormat="false" ht="15" hidden="false" customHeight="false" outlineLevel="0" collapsed="false">
      <c r="A1152" s="71" t="n">
        <f aca="false">A1151+$F$3</f>
        <v>22920</v>
      </c>
      <c r="B1152" s="71" t="n">
        <f aca="false">SUMPRODUCT(固有振動数!$Q$6:$Q$22*(1-($A1152/固有振動数!$O$6:$O$22)^2)/((1-($A1152/固有振動数!$O$6:$O$22)^2)^2+固有振動数!$P$6:$P$22^2))</f>
        <v>41.2776485708636</v>
      </c>
      <c r="C1152" s="71" t="n">
        <f aca="false">-SUMPRODUCT(固有振動数!$Q$6:$Q$22*固有振動数!$P$6:$P$22/((1-($A1152/固有振動数!$O$6:$O$22)^2)^2+固有振動数!$P$6:$P$22^2))</f>
        <v>-12.9219373906235</v>
      </c>
      <c r="D1152" s="71" t="n">
        <f aca="false">SQRT(B1152^2+C1152^2)</f>
        <v>43.2529853012126</v>
      </c>
      <c r="E1152" s="72" t="n">
        <f aca="false">20*LOG10(MAX(D1152,0.000000000001)/$K$3)</f>
        <v>32.7203217528261</v>
      </c>
      <c r="F1152" s="5"/>
      <c r="G1152" s="5"/>
      <c r="H1152" s="5"/>
      <c r="I1152" s="5"/>
      <c r="J1152" s="5"/>
      <c r="K1152" s="5"/>
      <c r="L1152" s="5"/>
      <c r="M1152" s="5"/>
      <c r="N1152" s="5"/>
    </row>
    <row r="1153" customFormat="false" ht="15" hidden="false" customHeight="false" outlineLevel="0" collapsed="false">
      <c r="A1153" s="71" t="n">
        <f aca="false">A1152+$F$3</f>
        <v>22940</v>
      </c>
      <c r="B1153" s="71" t="n">
        <f aca="false">SUMPRODUCT(固有振動数!$Q$6:$Q$22*(1-($A1153/固有振動数!$O$6:$O$22)^2)/((1-($A1153/固有振動数!$O$6:$O$22)^2)^2+固有振動数!$P$6:$P$22^2))</f>
        <v>42.9855069302495</v>
      </c>
      <c r="C1153" s="71" t="n">
        <f aca="false">-SUMPRODUCT(固有振動数!$Q$6:$Q$22*固有振動数!$P$6:$P$22/((1-($A1153/固有振動数!$O$6:$O$22)^2)^2+固有振動数!$P$6:$P$22^2))</f>
        <v>-14.4619172347816</v>
      </c>
      <c r="D1153" s="71" t="n">
        <f aca="false">SQRT(B1153^2+C1153^2)</f>
        <v>45.3530688725272</v>
      </c>
      <c r="E1153" s="72" t="n">
        <f aca="false">20*LOG10(MAX(D1153,0.000000000001)/$K$3)</f>
        <v>33.1321335894705</v>
      </c>
      <c r="F1153" s="5"/>
      <c r="G1153" s="5"/>
      <c r="H1153" s="5"/>
      <c r="I1153" s="5"/>
      <c r="J1153" s="5"/>
      <c r="K1153" s="5"/>
      <c r="L1153" s="5"/>
      <c r="M1153" s="5"/>
      <c r="N1153" s="5"/>
    </row>
    <row r="1154" customFormat="false" ht="15" hidden="false" customHeight="false" outlineLevel="0" collapsed="false">
      <c r="A1154" s="71" t="n">
        <f aca="false">A1153+$F$3</f>
        <v>22960</v>
      </c>
      <c r="B1154" s="71" t="n">
        <f aca="false">SUMPRODUCT(固有振動数!$Q$6:$Q$22*(1-($A1154/固有振動数!$O$6:$O$22)^2)/((1-($A1154/固有振動数!$O$6:$O$22)^2)^2+固有振動数!$P$6:$P$22^2))</f>
        <v>44.8183738602178</v>
      </c>
      <c r="C1154" s="71" t="n">
        <f aca="false">-SUMPRODUCT(固有振動数!$Q$6:$Q$22*固有振動数!$P$6:$P$22/((1-($A1154/固有振動数!$O$6:$O$22)^2)^2+固有振動数!$P$6:$P$22^2))</f>
        <v>-16.2848808737806</v>
      </c>
      <c r="D1154" s="71" t="n">
        <f aca="false">SQRT(B1154^2+C1154^2)</f>
        <v>47.6852595730324</v>
      </c>
      <c r="E1154" s="72" t="n">
        <f aca="false">20*LOG10(MAX(D1154,0.000000000001)/$K$3)</f>
        <v>33.5676830208724</v>
      </c>
      <c r="F1154" s="5"/>
      <c r="G1154" s="5"/>
      <c r="H1154" s="5"/>
      <c r="I1154" s="5"/>
      <c r="J1154" s="5"/>
      <c r="K1154" s="5"/>
      <c r="L1154" s="5"/>
      <c r="M1154" s="5"/>
      <c r="N1154" s="5"/>
    </row>
    <row r="1155" customFormat="false" ht="15" hidden="false" customHeight="false" outlineLevel="0" collapsed="false">
      <c r="A1155" s="71" t="n">
        <f aca="false">A1154+$F$3</f>
        <v>22980</v>
      </c>
      <c r="B1155" s="71" t="n">
        <f aca="false">SUMPRODUCT(固有振動数!$Q$6:$Q$22*(1-($A1155/固有振動数!$O$6:$O$22)^2)/((1-($A1155/固有振動数!$O$6:$O$22)^2)^2+固有振動数!$P$6:$P$22^2))</f>
        <v>46.7748082091251</v>
      </c>
      <c r="C1155" s="71" t="n">
        <f aca="false">-SUMPRODUCT(固有振動数!$Q$6:$Q$22*固有振動数!$P$6:$P$22/((1-($A1155/固有振動数!$O$6:$O$22)^2)^2+固有振動数!$P$6:$P$22^2))</f>
        <v>-18.4584153976801</v>
      </c>
      <c r="D1155" s="71" t="n">
        <f aca="false">SQRT(B1155^2+C1155^2)</f>
        <v>50.2851447446833</v>
      </c>
      <c r="E1155" s="72" t="n">
        <f aca="false">20*LOG10(MAX(D1155,0.000000000001)/$K$3)</f>
        <v>34.0287940914653</v>
      </c>
      <c r="F1155" s="5"/>
      <c r="G1155" s="5"/>
      <c r="H1155" s="5"/>
      <c r="I1155" s="5"/>
      <c r="J1155" s="5"/>
      <c r="K1155" s="5"/>
      <c r="L1155" s="5"/>
      <c r="M1155" s="5"/>
      <c r="N1155" s="5"/>
    </row>
    <row r="1156" customFormat="false" ht="15" hidden="false" customHeight="false" outlineLevel="0" collapsed="false">
      <c r="A1156" s="71" t="n">
        <f aca="false">A1155+$F$3</f>
        <v>23000</v>
      </c>
      <c r="B1156" s="71" t="n">
        <f aca="false">SUMPRODUCT(固有振動数!$Q$6:$Q$22*(1-($A1156/固有振動数!$O$6:$O$22)^2)/((1-($A1156/固有振動数!$O$6:$O$22)^2)^2+固有振動数!$P$6:$P$22^2))</f>
        <v>48.8434216049796</v>
      </c>
      <c r="C1156" s="71" t="n">
        <f aca="false">-SUMPRODUCT(固有振動数!$Q$6:$Q$22*固有振動数!$P$6:$P$22/((1-($A1156/固有振動数!$O$6:$O$22)^2)^2+固有振動数!$P$6:$P$22^2))</f>
        <v>-21.0686985502717</v>
      </c>
      <c r="D1156" s="71" t="n">
        <f aca="false">SQRT(B1156^2+C1156^2)</f>
        <v>53.1937016260761</v>
      </c>
      <c r="E1156" s="72" t="n">
        <f aca="false">20*LOG10(MAX(D1156,0.000000000001)/$K$3)</f>
        <v>34.5172042583173</v>
      </c>
      <c r="F1156" s="5"/>
      <c r="G1156" s="5"/>
      <c r="H1156" s="5"/>
      <c r="I1156" s="5"/>
      <c r="J1156" s="5"/>
      <c r="K1156" s="5"/>
      <c r="L1156" s="5"/>
      <c r="M1156" s="5"/>
      <c r="N1156" s="5"/>
    </row>
    <row r="1157" customFormat="false" ht="15" hidden="false" customHeight="false" outlineLevel="0" collapsed="false">
      <c r="A1157" s="71" t="n">
        <f aca="false">A1156+$F$3</f>
        <v>23020</v>
      </c>
      <c r="B1157" s="71" t="n">
        <f aca="false">SUMPRODUCT(固有振動数!$Q$6:$Q$22*(1-($A1157/固有振動数!$O$6:$O$22)^2)/((1-($A1157/固有振動数!$O$6:$O$22)^2)^2+固有振動数!$P$6:$P$22^2))</f>
        <v>50.9954540676064</v>
      </c>
      <c r="C1157" s="71" t="n">
        <f aca="false">-SUMPRODUCT(固有振動数!$Q$6:$Q$22*固有振動数!$P$6:$P$22/((1-($A1157/固有振動数!$O$6:$O$22)^2)^2+固有振動数!$P$6:$P$22^2))</f>
        <v>-24.2252749818575</v>
      </c>
      <c r="D1157" s="71" t="n">
        <f aca="false">SQRT(B1157^2+C1157^2)</f>
        <v>56.4570658421775</v>
      </c>
      <c r="E1157" s="72" t="n">
        <f aca="false">20*LOG10(MAX(D1157,0.000000000001)/$K$3)</f>
        <v>35.0343660693232</v>
      </c>
      <c r="F1157" s="5"/>
      <c r="G1157" s="5"/>
      <c r="H1157" s="5"/>
      <c r="I1157" s="5"/>
      <c r="J1157" s="5"/>
      <c r="K1157" s="5"/>
      <c r="L1157" s="5"/>
      <c r="M1157" s="5"/>
      <c r="N1157" s="5"/>
    </row>
    <row r="1158" customFormat="false" ht="15" hidden="false" customHeight="false" outlineLevel="0" collapsed="false">
      <c r="A1158" s="71" t="n">
        <f aca="false">A1157+$F$3</f>
        <v>23040</v>
      </c>
      <c r="B1158" s="71" t="n">
        <f aca="false">SUMPRODUCT(固有振動数!$Q$6:$Q$22*(1-($A1158/固有振動数!$O$6:$O$22)^2)/((1-($A1158/固有振動数!$O$6:$O$22)^2)^2+固有振動数!$P$6:$P$22^2))</f>
        <v>53.1725694947672</v>
      </c>
      <c r="C1158" s="71" t="n">
        <f aca="false">-SUMPRODUCT(固有振動数!$Q$6:$Q$22*固有振動数!$P$6:$P$22/((1-($A1158/固有振動数!$O$6:$O$22)^2)^2+固有振動数!$P$6:$P$22^2))</f>
        <v>-28.065927806165</v>
      </c>
      <c r="D1158" s="71" t="n">
        <f aca="false">SQRT(B1158^2+C1158^2)</f>
        <v>60.1250234951864</v>
      </c>
      <c r="E1158" s="72" t="n">
        <f aca="false">20*LOG10(MAX(D1158,0.000000000001)/$K$3)</f>
        <v>35.5811051818424</v>
      </c>
      <c r="F1158" s="5"/>
      <c r="G1158" s="5"/>
      <c r="H1158" s="5"/>
      <c r="I1158" s="5"/>
      <c r="J1158" s="5"/>
      <c r="K1158" s="5"/>
      <c r="L1158" s="5"/>
      <c r="M1158" s="5"/>
      <c r="N1158" s="5"/>
    </row>
    <row r="1159" customFormat="false" ht="15" hidden="false" customHeight="false" outlineLevel="0" collapsed="false">
      <c r="A1159" s="71" t="n">
        <f aca="false">A1158+$F$3</f>
        <v>23060</v>
      </c>
      <c r="B1159" s="71" t="n">
        <f aca="false">SUMPRODUCT(固有振動数!$Q$6:$Q$22*(1-($A1159/固有振動数!$O$6:$O$22)^2)/((1-($A1159/固有振動数!$O$6:$O$22)^2)^2+固有振動数!$P$6:$P$22^2))</f>
        <v>55.2671427278865</v>
      </c>
      <c r="C1159" s="71" t="n">
        <f aca="false">-SUMPRODUCT(固有振動数!$Q$6:$Q$22*固有振動数!$P$6:$P$22/((1-($A1159/固有振動数!$O$6:$O$22)^2)^2+固有振動数!$P$6:$P$22^2))</f>
        <v>-32.7598462412432</v>
      </c>
      <c r="D1159" s="71" t="n">
        <f aca="false">SQRT(B1159^2+C1159^2)</f>
        <v>64.2469033577064</v>
      </c>
      <c r="E1159" s="72" t="n">
        <f aca="false">20*LOG10(MAX(D1159,0.000000000001)/$K$3)</f>
        <v>36.157043998177</v>
      </c>
      <c r="F1159" s="5"/>
      <c r="G1159" s="5"/>
      <c r="H1159" s="5"/>
      <c r="I1159" s="5"/>
      <c r="J1159" s="5"/>
      <c r="K1159" s="5"/>
      <c r="L1159" s="5"/>
      <c r="M1159" s="5"/>
      <c r="N1159" s="5"/>
    </row>
    <row r="1160" customFormat="false" ht="15" hidden="false" customHeight="false" outlineLevel="0" collapsed="false">
      <c r="A1160" s="71" t="n">
        <f aca="false">A1159+$F$3</f>
        <v>23080</v>
      </c>
      <c r="B1160" s="71" t="n">
        <f aca="false">SUMPRODUCT(固有振動数!$Q$6:$Q$22*(1-($A1160/固有振動数!$O$6:$O$22)^2)/((1-($A1160/固有振動数!$O$6:$O$22)^2)^2+固有振動数!$P$6:$P$22^2))</f>
        <v>57.0914257237709</v>
      </c>
      <c r="C1160" s="71" t="n">
        <f aca="false">-SUMPRODUCT(固有振動数!$Q$6:$Q$22*固有振動数!$P$6:$P$22/((1-($A1160/固有振動数!$O$6:$O$22)^2)^2+固有振動数!$P$6:$P$22^2))</f>
        <v>-38.5046635366443</v>
      </c>
      <c r="D1160" s="71" t="n">
        <f aca="false">SQRT(B1160^2+C1160^2)</f>
        <v>68.8624716753838</v>
      </c>
      <c r="E1160" s="72" t="n">
        <f aca="false">20*LOG10(MAX(D1160,0.000000000001)/$K$3)</f>
        <v>36.759652134935</v>
      </c>
      <c r="F1160" s="5"/>
      <c r="G1160" s="5"/>
      <c r="H1160" s="5"/>
      <c r="I1160" s="5"/>
      <c r="J1160" s="5"/>
      <c r="K1160" s="5"/>
      <c r="L1160" s="5"/>
      <c r="M1160" s="5"/>
      <c r="N1160" s="5"/>
    </row>
    <row r="1161" customFormat="false" ht="15" hidden="false" customHeight="false" outlineLevel="0" collapsed="false">
      <c r="A1161" s="71" t="n">
        <f aca="false">A1160+$F$3</f>
        <v>23100</v>
      </c>
      <c r="B1161" s="71" t="n">
        <f aca="false">SUMPRODUCT(固有振動数!$Q$6:$Q$22*(1-($A1161/固有振動数!$O$6:$O$22)^2)/((1-($A1161/固有振動数!$O$6:$O$22)^2)^2+固有振動数!$P$6:$P$22^2))</f>
        <v>58.3322417762579</v>
      </c>
      <c r="C1161" s="71" t="n">
        <f aca="false">-SUMPRODUCT(固有振動数!$Q$6:$Q$22*固有振動数!$P$6:$P$22/((1-($A1161/固有振動数!$O$6:$O$22)^2)^2+固有振動数!$P$6:$P$22^2))</f>
        <v>-45.5076730176504</v>
      </c>
      <c r="D1161" s="71" t="n">
        <f aca="false">SQRT(B1161^2+C1161^2)</f>
        <v>73.9837734515157</v>
      </c>
      <c r="E1161" s="72" t="n">
        <f aca="false">20*LOG10(MAX(D1161,0.000000000001)/$K$3)</f>
        <v>37.3827295640206</v>
      </c>
      <c r="F1161" s="5"/>
      <c r="G1161" s="5"/>
      <c r="H1161" s="5"/>
      <c r="I1161" s="5"/>
      <c r="J1161" s="5"/>
      <c r="K1161" s="5"/>
      <c r="L1161" s="5"/>
      <c r="M1161" s="5"/>
      <c r="N1161" s="5"/>
    </row>
    <row r="1162" customFormat="false" ht="15" hidden="false" customHeight="false" outlineLevel="0" collapsed="false">
      <c r="A1162" s="71" t="n">
        <f aca="false">A1161+$F$3</f>
        <v>23120</v>
      </c>
      <c r="B1162" s="71" t="n">
        <f aca="false">SUMPRODUCT(固有振動数!$Q$6:$Q$22*(1-($A1162/固有振動数!$O$6:$O$22)^2)/((1-($A1162/固有振動数!$O$6:$O$22)^2)^2+固有振動数!$P$6:$P$22^2))</f>
        <v>58.4926712360385</v>
      </c>
      <c r="C1162" s="71" t="n">
        <f aca="false">-SUMPRODUCT(固有振動数!$Q$6:$Q$22*固有振動数!$P$6:$P$22/((1-($A1162/固有振動数!$O$6:$O$22)^2)^2+固有振動数!$P$6:$P$22^2))</f>
        <v>-53.932407586865</v>
      </c>
      <c r="D1162" s="71" t="n">
        <f aca="false">SQRT(B1162^2+C1162^2)</f>
        <v>79.5619078230469</v>
      </c>
      <c r="E1162" s="72" t="n">
        <f aca="false">20*LOG10(MAX(D1162,0.000000000001)/$K$3)</f>
        <v>38.0141037713727</v>
      </c>
      <c r="F1162" s="5"/>
      <c r="G1162" s="5"/>
      <c r="H1162" s="5"/>
      <c r="I1162" s="5"/>
      <c r="J1162" s="5"/>
      <c r="K1162" s="5"/>
      <c r="L1162" s="5"/>
      <c r="M1162" s="5"/>
      <c r="N1162" s="5"/>
    </row>
    <row r="1163" customFormat="false" ht="15" hidden="false" customHeight="false" outlineLevel="0" collapsed="false">
      <c r="A1163" s="71" t="n">
        <f aca="false">A1162+$F$3</f>
        <v>23140</v>
      </c>
      <c r="B1163" s="71" t="n">
        <f aca="false">SUMPRODUCT(固有振動数!$Q$6:$Q$22*(1-($A1163/固有振動数!$O$6:$O$22)^2)/((1-($A1163/固有振動数!$O$6:$O$22)^2)^2+固有振動数!$P$6:$P$22^2))</f>
        <v>56.8395360292967</v>
      </c>
      <c r="C1163" s="71" t="n">
        <f aca="false">-SUMPRODUCT(固有振動数!$Q$6:$Q$22*固有振動数!$P$6:$P$22/((1-($A1163/固有振動数!$O$6:$O$22)^2)^2+固有振動数!$P$6:$P$22^2))</f>
        <v>-63.7805385573849</v>
      </c>
      <c r="D1163" s="71" t="n">
        <f aca="false">SQRT(B1163^2+C1163^2)</f>
        <v>85.4323706489278</v>
      </c>
      <c r="E1163" s="72" t="n">
        <f aca="false">20*LOG10(MAX(D1163,0.000000000001)/$K$3)</f>
        <v>38.6324491539391</v>
      </c>
      <c r="F1163" s="5"/>
      <c r="G1163" s="5"/>
      <c r="H1163" s="5"/>
      <c r="I1163" s="5"/>
      <c r="J1163" s="5"/>
      <c r="K1163" s="5"/>
      <c r="L1163" s="5"/>
      <c r="M1163" s="5"/>
      <c r="N1163" s="5"/>
    </row>
    <row r="1164" customFormat="false" ht="15" hidden="false" customHeight="false" outlineLevel="0" collapsed="false">
      <c r="A1164" s="71" t="n">
        <f aca="false">A1163+$F$3</f>
        <v>23160</v>
      </c>
      <c r="B1164" s="71" t="n">
        <f aca="false">SUMPRODUCT(固有振動数!$Q$6:$Q$22*(1-($A1164/固有振動数!$O$6:$O$22)^2)/((1-($A1164/固有振動数!$O$6:$O$22)^2)^2+固有振動数!$P$6:$P$22^2))</f>
        <v>52.4175058257907</v>
      </c>
      <c r="C1164" s="71" t="n">
        <f aca="false">-SUMPRODUCT(固有振動数!$Q$6:$Q$22*固有振動数!$P$6:$P$22/((1-($A1164/固有振動数!$O$6:$O$22)^2)^2+固有振動数!$P$6:$P$22^2))</f>
        <v>-74.6801072379776</v>
      </c>
      <c r="D1164" s="71" t="n">
        <f aca="false">SQRT(B1164^2+C1164^2)</f>
        <v>91.2398670213445</v>
      </c>
      <c r="E1164" s="72" t="n">
        <f aca="false">20*LOG10(MAX(D1164,0.000000000001)/$K$3)</f>
        <v>39.2036928727458</v>
      </c>
      <c r="F1164" s="5"/>
      <c r="G1164" s="5"/>
      <c r="H1164" s="5"/>
      <c r="I1164" s="5"/>
      <c r="J1164" s="5"/>
      <c r="K1164" s="5"/>
      <c r="L1164" s="5"/>
      <c r="M1164" s="5"/>
      <c r="N1164" s="5"/>
    </row>
    <row r="1165" customFormat="false" ht="15" hidden="false" customHeight="false" outlineLevel="0" collapsed="false">
      <c r="A1165" s="71" t="n">
        <f aca="false">A1164+$F$3</f>
        <v>23180</v>
      </c>
      <c r="B1165" s="71" t="n">
        <f aca="false">SUMPRODUCT(固有振動数!$Q$6:$Q$22*(1-($A1165/固有振動数!$O$6:$O$22)^2)/((1-($A1165/固有振動数!$O$6:$O$22)^2)^2+固有振動数!$P$6:$P$22^2))</f>
        <v>44.254491295149</v>
      </c>
      <c r="C1165" s="71" t="n">
        <f aca="false">-SUMPRODUCT(固有振動数!$Q$6:$Q$22*固有振動数!$P$6:$P$22/((1-($A1165/固有振動数!$O$6:$O$22)^2)^2+固有振動数!$P$6:$P$22^2))</f>
        <v>-85.608125917896</v>
      </c>
      <c r="D1165" s="71" t="n">
        <f aca="false">SQRT(B1165^2+C1165^2)</f>
        <v>96.3701780789408</v>
      </c>
      <c r="E1165" s="72" t="n">
        <f aca="false">20*LOG10(MAX(D1165,0.000000000001)/$K$3)</f>
        <v>39.6788532300316</v>
      </c>
      <c r="F1165" s="5"/>
      <c r="G1165" s="5"/>
      <c r="H1165" s="5"/>
      <c r="I1165" s="5"/>
      <c r="J1165" s="5"/>
      <c r="K1165" s="5"/>
      <c r="L1165" s="5"/>
      <c r="M1165" s="5"/>
      <c r="N1165" s="5"/>
    </row>
    <row r="1166" customFormat="false" ht="15" hidden="false" customHeight="false" outlineLevel="0" collapsed="false">
      <c r="A1166" s="71" t="n">
        <f aca="false">A1165+$F$3</f>
        <v>23200</v>
      </c>
      <c r="B1166" s="71" t="n">
        <f aca="false">SUMPRODUCT(固有振動数!$Q$6:$Q$22*(1-($A1166/固有振動数!$O$6:$O$22)^2)/((1-($A1166/固有振動数!$O$6:$O$22)^2)^2+固有振動数!$P$6:$P$22^2))</f>
        <v>31.8865822155365</v>
      </c>
      <c r="C1166" s="71" t="n">
        <f aca="false">-SUMPRODUCT(固有振動数!$Q$6:$Q$22*固有振動数!$P$6:$P$22/((1-($A1166/固有振動数!$O$6:$O$22)^2)^2+固有振動数!$P$6:$P$22^2))</f>
        <v>-94.7464414659261</v>
      </c>
      <c r="D1166" s="71" t="n">
        <f aca="false">SQRT(B1166^2+C1166^2)</f>
        <v>99.9682064250646</v>
      </c>
      <c r="E1166" s="72" t="n">
        <f aca="false">20*LOG10(MAX(D1166,0.000000000001)/$K$3)</f>
        <v>39.9972380060775</v>
      </c>
      <c r="F1166" s="5"/>
      <c r="G1166" s="5"/>
      <c r="H1166" s="5"/>
      <c r="I1166" s="5"/>
      <c r="J1166" s="5"/>
      <c r="K1166" s="5"/>
      <c r="L1166" s="5"/>
      <c r="M1166" s="5"/>
      <c r="N1166" s="5"/>
    </row>
    <row r="1167" customFormat="false" ht="15" hidden="false" customHeight="false" outlineLevel="0" collapsed="false">
      <c r="A1167" s="71" t="n">
        <f aca="false">A1166+$F$3</f>
        <v>23220</v>
      </c>
      <c r="B1167" s="71" t="n">
        <f aca="false">SUMPRODUCT(固有振動数!$Q$6:$Q$22*(1-($A1167/固有振動数!$O$6:$O$22)^2)/((1-($A1167/固有振動数!$O$6:$O$22)^2)^2+固有振動数!$P$6:$P$22^2))</f>
        <v>16.0714703893157</v>
      </c>
      <c r="C1167" s="71" t="n">
        <f aca="false">-SUMPRODUCT(固有振動数!$Q$6:$Q$22*固有振動数!$P$6:$P$22/((1-($A1167/固有振動数!$O$6:$O$22)^2)^2+固有振動数!$P$6:$P$22^2))</f>
        <v>-99.8658665760071</v>
      </c>
      <c r="D1167" s="71" t="n">
        <f aca="false">SQRT(B1167^2+C1167^2)</f>
        <v>101.150795683729</v>
      </c>
      <c r="E1167" s="72" t="n">
        <f aca="false">20*LOG10(MAX(D1167,0.000000000001)/$K$3)</f>
        <v>40.0993860683241</v>
      </c>
      <c r="F1167" s="5"/>
      <c r="G1167" s="5"/>
      <c r="H1167" s="5"/>
      <c r="I1167" s="5"/>
      <c r="J1167" s="5"/>
      <c r="K1167" s="5"/>
      <c r="L1167" s="5"/>
      <c r="M1167" s="5"/>
      <c r="N1167" s="5"/>
    </row>
    <row r="1168" customFormat="false" ht="15" hidden="false" customHeight="false" outlineLevel="0" collapsed="false">
      <c r="A1168" s="71" t="n">
        <f aca="false">A1167+$F$3</f>
        <v>23240</v>
      </c>
      <c r="B1168" s="71" t="n">
        <f aca="false">SUMPRODUCT(固有振動数!$Q$6:$Q$22*(1-($A1168/固有振動数!$O$6:$O$22)^2)/((1-($A1168/固有振動数!$O$6:$O$22)^2)^2+固有振動数!$P$6:$P$22^2))</f>
        <v>-0.962365096717815</v>
      </c>
      <c r="C1168" s="71" t="n">
        <f aca="false">-SUMPRODUCT(固有振動数!$Q$6:$Q$22*固有振動数!$P$6:$P$22/((1-($A1168/固有振動数!$O$6:$O$22)^2)^2+固有振動数!$P$6:$P$22^2))</f>
        <v>-99.4022611488377</v>
      </c>
      <c r="D1168" s="71" t="n">
        <f aca="false">SQRT(B1168^2+C1168^2)</f>
        <v>99.4069196187122</v>
      </c>
      <c r="E1168" s="72" t="n">
        <f aca="false">20*LOG10(MAX(D1168,0.000000000001)/$K$3)</f>
        <v>39.948332325296</v>
      </c>
      <c r="F1168" s="5"/>
      <c r="G1168" s="5"/>
      <c r="H1168" s="5"/>
      <c r="I1168" s="5"/>
      <c r="J1168" s="5"/>
      <c r="K1168" s="5"/>
      <c r="L1168" s="5"/>
      <c r="M1168" s="5"/>
      <c r="N1168" s="5"/>
    </row>
    <row r="1169" customFormat="false" ht="15" hidden="false" customHeight="false" outlineLevel="0" collapsed="false">
      <c r="A1169" s="71" t="n">
        <f aca="false">A1168+$F$3</f>
        <v>23260</v>
      </c>
      <c r="B1169" s="71" t="n">
        <f aca="false">SUMPRODUCT(固有振動数!$Q$6:$Q$22*(1-($A1169/固有振動数!$O$6:$O$22)^2)/((1-($A1169/固有振動数!$O$6:$O$22)^2)^2+固有振動数!$P$6:$P$22^2))</f>
        <v>-16.3677079513471</v>
      </c>
      <c r="C1169" s="71" t="n">
        <f aca="false">-SUMPRODUCT(固有振動数!$Q$6:$Q$22*固有振動数!$P$6:$P$22/((1-($A1169/固有振動数!$O$6:$O$22)^2)^2+固有振動数!$P$6:$P$22^2))</f>
        <v>-93.4932674691161</v>
      </c>
      <c r="D1169" s="71" t="n">
        <f aca="false">SQRT(B1169^2+C1169^2)</f>
        <v>94.9151880661482</v>
      </c>
      <c r="E1169" s="72" t="n">
        <f aca="false">20*LOG10(MAX(D1169,0.000000000001)/$K$3)</f>
        <v>39.5467142518222</v>
      </c>
      <c r="F1169" s="5"/>
      <c r="G1169" s="5"/>
      <c r="H1169" s="5"/>
      <c r="I1169" s="5"/>
      <c r="J1169" s="5"/>
      <c r="K1169" s="5"/>
      <c r="L1169" s="5"/>
      <c r="M1169" s="5"/>
      <c r="N1169" s="5"/>
    </row>
    <row r="1170" customFormat="false" ht="15" hidden="false" customHeight="false" outlineLevel="0" collapsed="false">
      <c r="A1170" s="71" t="n">
        <f aca="false">A1169+$F$3</f>
        <v>23280</v>
      </c>
      <c r="B1170" s="71" t="n">
        <f aca="false">SUMPRODUCT(固有振動数!$Q$6:$Q$22*(1-($A1170/固有振動数!$O$6:$O$22)^2)/((1-($A1170/固有振動数!$O$6:$O$22)^2)^2+固有振動数!$P$6:$P$22^2))</f>
        <v>-28.1015581105913</v>
      </c>
      <c r="C1170" s="71" t="n">
        <f aca="false">-SUMPRODUCT(固有振動数!$Q$6:$Q$22*固有振動数!$P$6:$P$22/((1-($A1170/固有振動数!$O$6:$O$22)^2)^2+固有振動数!$P$6:$P$22^2))</f>
        <v>-83.8824951757153</v>
      </c>
      <c r="D1170" s="71" t="n">
        <f aca="false">SQRT(B1170^2+C1170^2)</f>
        <v>88.4645158532326</v>
      </c>
      <c r="E1170" s="72" t="n">
        <f aca="false">20*LOG10(MAX(D1170,0.000000000001)/$K$3)</f>
        <v>38.9353821010972</v>
      </c>
      <c r="F1170" s="5"/>
      <c r="G1170" s="5"/>
      <c r="H1170" s="5"/>
      <c r="I1170" s="5"/>
      <c r="J1170" s="5"/>
      <c r="K1170" s="5"/>
      <c r="L1170" s="5"/>
      <c r="M1170" s="5"/>
      <c r="N1170" s="5"/>
    </row>
    <row r="1171" customFormat="false" ht="15" hidden="false" customHeight="false" outlineLevel="0" collapsed="false">
      <c r="A1171" s="71" t="n">
        <f aca="false">A1170+$F$3</f>
        <v>23300</v>
      </c>
      <c r="B1171" s="71" t="n">
        <f aca="false">SUMPRODUCT(固有振動数!$Q$6:$Q$22*(1-($A1171/固有振動数!$O$6:$O$22)^2)/((1-($A1171/固有振動数!$O$6:$O$22)^2)^2+固有振動数!$P$6:$P$22^2))</f>
        <v>-35.620639922351</v>
      </c>
      <c r="C1171" s="71" t="n">
        <f aca="false">-SUMPRODUCT(固有振動数!$Q$6:$Q$22*固有振動数!$P$6:$P$22/((1-($A1171/固有振動数!$O$6:$O$22)^2)^2+固有振動数!$P$6:$P$22^2))</f>
        <v>-72.8000725104755</v>
      </c>
      <c r="D1171" s="71" t="n">
        <f aca="false">SQRT(B1171^2+C1171^2)</f>
        <v>81.0473969107477</v>
      </c>
      <c r="E1171" s="72" t="n">
        <f aca="false">20*LOG10(MAX(D1171,0.000000000001)/$K$3)</f>
        <v>38.1747814138072</v>
      </c>
      <c r="F1171" s="5"/>
      <c r="G1171" s="5"/>
      <c r="H1171" s="5"/>
      <c r="I1171" s="5"/>
      <c r="J1171" s="5"/>
      <c r="K1171" s="5"/>
      <c r="L1171" s="5"/>
      <c r="M1171" s="5"/>
      <c r="N1171" s="5"/>
    </row>
    <row r="1172" customFormat="false" ht="15" hidden="false" customHeight="false" outlineLevel="0" collapsed="false">
      <c r="A1172" s="71" t="n">
        <f aca="false">A1171+$F$3</f>
        <v>23320</v>
      </c>
      <c r="B1172" s="71" t="n">
        <f aca="false">SUMPRODUCT(固有振動数!$Q$6:$Q$22*(1-($A1172/固有振動数!$O$6:$O$22)^2)/((1-($A1172/固有振動数!$O$6:$O$22)^2)^2+固有振動数!$P$6:$P$22^2))</f>
        <v>-39.5129016197802</v>
      </c>
      <c r="C1172" s="71" t="n">
        <f aca="false">-SUMPRODUCT(固有振動数!$Q$6:$Q$22*固有振動数!$P$6:$P$22/((1-($A1172/固有振動数!$O$6:$O$22)^2)^2+固有振動数!$P$6:$P$22^2))</f>
        <v>-61.961038873236</v>
      </c>
      <c r="D1172" s="71" t="n">
        <f aca="false">SQRT(B1172^2+C1172^2)</f>
        <v>73.4876842243998</v>
      </c>
      <c r="E1172" s="72" t="n">
        <f aca="false">20*LOG10(MAX(D1172,0.000000000001)/$K$3)</f>
        <v>37.3242912384051</v>
      </c>
      <c r="F1172" s="5"/>
      <c r="G1172" s="5"/>
      <c r="H1172" s="5"/>
      <c r="I1172" s="5"/>
      <c r="J1172" s="5"/>
      <c r="K1172" s="5"/>
      <c r="L1172" s="5"/>
      <c r="M1172" s="5"/>
      <c r="N1172" s="5"/>
    </row>
    <row r="1173" customFormat="false" ht="15" hidden="false" customHeight="false" outlineLevel="0" collapsed="false">
      <c r="A1173" s="71" t="n">
        <f aca="false">A1172+$F$3</f>
        <v>23340</v>
      </c>
      <c r="B1173" s="71" t="n">
        <f aca="false">SUMPRODUCT(固有振動数!$Q$6:$Q$22*(1-($A1173/固有振動数!$O$6:$O$22)^2)/((1-($A1173/固有振動数!$O$6:$O$22)^2)^2+固有振動数!$P$6:$P$22^2))</f>
        <v>-40.7797681691076</v>
      </c>
      <c r="C1173" s="71" t="n">
        <f aca="false">-SUMPRODUCT(固有振動数!$Q$6:$Q$22*固有振動数!$P$6:$P$22/((1-($A1173/固有振動数!$O$6:$O$22)^2)^2+固有振動数!$P$6:$P$22^2))</f>
        <v>-52.2791827707801</v>
      </c>
      <c r="D1173" s="71" t="n">
        <f aca="false">SQRT(B1173^2+C1173^2)</f>
        <v>66.303110357711</v>
      </c>
      <c r="E1173" s="72" t="n">
        <f aca="false">20*LOG10(MAX(D1173,0.000000000001)/$K$3)</f>
        <v>36.4306780430596</v>
      </c>
      <c r="F1173" s="5"/>
      <c r="G1173" s="5"/>
      <c r="H1173" s="5"/>
      <c r="I1173" s="5"/>
      <c r="J1173" s="5"/>
      <c r="K1173" s="5"/>
      <c r="L1173" s="5"/>
      <c r="M1173" s="5"/>
      <c r="N1173" s="5"/>
    </row>
    <row r="1174" customFormat="false" ht="15" hidden="false" customHeight="false" outlineLevel="0" collapsed="false">
      <c r="A1174" s="71" t="n">
        <f aca="false">A1173+$F$3</f>
        <v>23360</v>
      </c>
      <c r="B1174" s="71" t="n">
        <f aca="false">SUMPRODUCT(固有振動数!$Q$6:$Q$22*(1-($A1174/固有振動数!$O$6:$O$22)^2)/((1-($A1174/固有振動数!$O$6:$O$22)^2)^2+固有振動数!$P$6:$P$22^2))</f>
        <v>-40.3566332819953</v>
      </c>
      <c r="C1174" s="71" t="n">
        <f aca="false">-SUMPRODUCT(固有振動数!$Q$6:$Q$22*固有振動数!$P$6:$P$22/((1-($A1174/固有振動数!$O$6:$O$22)^2)^2+固有振動数!$P$6:$P$22^2))</f>
        <v>-44.053136319164</v>
      </c>
      <c r="D1174" s="71" t="n">
        <f aca="false">SQRT(B1174^2+C1174^2)</f>
        <v>59.7439257951157</v>
      </c>
      <c r="E1174" s="72" t="n">
        <f aca="false">20*LOG10(MAX(D1174,0.000000000001)/$K$3)</f>
        <v>35.5258751370857</v>
      </c>
      <c r="F1174" s="5"/>
      <c r="G1174" s="5"/>
      <c r="H1174" s="5"/>
      <c r="I1174" s="5"/>
      <c r="J1174" s="5"/>
      <c r="K1174" s="5"/>
      <c r="L1174" s="5"/>
      <c r="M1174" s="5"/>
      <c r="N1174" s="5"/>
    </row>
    <row r="1175" customFormat="false" ht="15" hidden="false" customHeight="false" outlineLevel="0" collapsed="false">
      <c r="A1175" s="71" t="n">
        <f aca="false">A1174+$F$3</f>
        <v>23380</v>
      </c>
      <c r="B1175" s="71" t="n">
        <f aca="false">SUMPRODUCT(固有振動数!$Q$6:$Q$22*(1-($A1175/固有振動数!$O$6:$O$22)^2)/((1-($A1175/固有振動数!$O$6:$O$22)^2)^2+固有振動数!$P$6:$P$22^2))</f>
        <v>-38.9439427725299</v>
      </c>
      <c r="C1175" s="71" t="n">
        <f aca="false">-SUMPRODUCT(固有振動数!$Q$6:$Q$22*固有振動数!$P$6:$P$22/((1-($A1175/固有振動数!$O$6:$O$22)^2)^2+固有振動数!$P$6:$P$22^2))</f>
        <v>-37.2432870029033</v>
      </c>
      <c r="D1175" s="71" t="n">
        <f aca="false">SQRT(B1175^2+C1175^2)</f>
        <v>53.8859267847433</v>
      </c>
      <c r="E1175" s="72" t="n">
        <f aca="false">20*LOG10(MAX(D1175,0.000000000001)/$K$3)</f>
        <v>34.6295071338741</v>
      </c>
      <c r="F1175" s="5"/>
      <c r="G1175" s="5"/>
      <c r="H1175" s="5"/>
      <c r="I1175" s="5"/>
      <c r="J1175" s="5"/>
      <c r="K1175" s="5"/>
      <c r="L1175" s="5"/>
      <c r="M1175" s="5"/>
      <c r="N1175" s="5"/>
    </row>
    <row r="1176" customFormat="false" ht="15" hidden="false" customHeight="false" outlineLevel="0" collapsed="false">
      <c r="A1176" s="71" t="n">
        <f aca="false">A1175+$F$3</f>
        <v>23400</v>
      </c>
      <c r="B1176" s="71" t="n">
        <f aca="false">SUMPRODUCT(固有振動数!$Q$6:$Q$22*(1-($A1176/固有振動数!$O$6:$O$22)^2)/((1-($A1176/固有振動数!$O$6:$O$22)^2)^2+固有振動数!$P$6:$P$22^2))</f>
        <v>-37.0094435018146</v>
      </c>
      <c r="C1176" s="71" t="n">
        <f aca="false">-SUMPRODUCT(固有振動数!$Q$6:$Q$22*固有振動数!$P$6:$P$22/((1-($A1176/固有振動数!$O$6:$O$22)^2)^2+固有振動数!$P$6:$P$22^2))</f>
        <v>-31.6707565122751</v>
      </c>
      <c r="D1176" s="71" t="n">
        <f aca="false">SQRT(B1176^2+C1176^2)</f>
        <v>48.7107352271943</v>
      </c>
      <c r="E1176" s="72" t="n">
        <f aca="false">20*LOG10(MAX(D1176,0.000000000001)/$K$3)</f>
        <v>33.7524936949885</v>
      </c>
      <c r="F1176" s="5"/>
      <c r="G1176" s="5"/>
      <c r="H1176" s="5"/>
      <c r="I1176" s="5"/>
      <c r="J1176" s="5"/>
      <c r="K1176" s="5"/>
      <c r="L1176" s="5"/>
      <c r="M1176" s="5"/>
      <c r="N1176" s="5"/>
    </row>
    <row r="1177" customFormat="false" ht="15" hidden="false" customHeight="false" outlineLevel="0" collapsed="false">
      <c r="A1177" s="71" t="n">
        <f aca="false">A1176+$F$3</f>
        <v>23420</v>
      </c>
      <c r="B1177" s="71" t="n">
        <f aca="false">SUMPRODUCT(固有振動数!$Q$6:$Q$22*(1-($A1177/固有振動数!$O$6:$O$22)^2)/((1-($A1177/固有振動数!$O$6:$O$22)^2)^2+固有振動数!$P$6:$P$22^2))</f>
        <v>-34.8447697410043</v>
      </c>
      <c r="C1177" s="71" t="n">
        <f aca="false">-SUMPRODUCT(固有振動数!$Q$6:$Q$22*固有振動数!$P$6:$P$22/((1-($A1177/固有振動数!$O$6:$O$22)^2)^2+固有振動数!$P$6:$P$22^2))</f>
        <v>-27.1245530811892</v>
      </c>
      <c r="D1177" s="71" t="n">
        <f aca="false">SQRT(B1177^2+C1177^2)</f>
        <v>44.1576647724703</v>
      </c>
      <c r="E1177" s="72" t="n">
        <f aca="false">20*LOG10(MAX(D1177,0.000000000001)/$K$3)</f>
        <v>32.9001219632424</v>
      </c>
      <c r="F1177" s="5"/>
      <c r="G1177" s="5"/>
      <c r="H1177" s="5"/>
      <c r="I1177" s="5"/>
      <c r="J1177" s="5"/>
      <c r="K1177" s="5"/>
      <c r="L1177" s="5"/>
      <c r="M1177" s="5"/>
      <c r="N1177" s="5"/>
    </row>
    <row r="1178" customFormat="false" ht="15" hidden="false" customHeight="false" outlineLevel="0" collapsed="false">
      <c r="A1178" s="71" t="n">
        <f aca="false">A1177+$F$3</f>
        <v>23440</v>
      </c>
      <c r="B1178" s="71" t="n">
        <f aca="false">SUMPRODUCT(固有振動数!$Q$6:$Q$22*(1-($A1178/固有振動数!$O$6:$O$22)^2)/((1-($A1178/固有振動数!$O$6:$O$22)^2)^2+固有振動数!$P$6:$P$22^2))</f>
        <v>-32.6230365259159</v>
      </c>
      <c r="C1178" s="71" t="n">
        <f aca="false">-SUMPRODUCT(固有振動数!$Q$6:$Q$22*固有振動数!$P$6:$P$22/((1-($A1178/固有振動数!$O$6:$O$22)^2)^2+固有振動数!$P$6:$P$22^2))</f>
        <v>-23.4084249637501</v>
      </c>
      <c r="D1178" s="71" t="n">
        <f aca="false">SQRT(B1178^2+C1178^2)</f>
        <v>40.1524204931006</v>
      </c>
      <c r="E1178" s="72" t="n">
        <f aca="false">20*LOG10(MAX(D1178,0.000000000001)/$K$3)</f>
        <v>32.07423461626</v>
      </c>
      <c r="F1178" s="5"/>
      <c r="G1178" s="5"/>
      <c r="H1178" s="5"/>
      <c r="I1178" s="5"/>
      <c r="J1178" s="5"/>
      <c r="K1178" s="5"/>
      <c r="L1178" s="5"/>
      <c r="M1178" s="5"/>
      <c r="N1178" s="5"/>
    </row>
    <row r="1179" customFormat="false" ht="15" hidden="false" customHeight="false" outlineLevel="0" collapsed="false">
      <c r="A1179" s="71" t="n">
        <f aca="false">A1178+$F$3</f>
        <v>23460</v>
      </c>
      <c r="B1179" s="71" t="n">
        <f aca="false">SUMPRODUCT(固有振動数!$Q$6:$Q$22*(1-($A1179/固有振動数!$O$6:$O$22)^2)/((1-($A1179/固有振動数!$O$6:$O$22)^2)^2+固有振動数!$P$6:$P$22^2))</f>
        <v>-30.4423175407407</v>
      </c>
      <c r="C1179" s="71" t="n">
        <f aca="false">-SUMPRODUCT(固有振動数!$Q$6:$Q$22*固有振動数!$P$6:$P$22/((1-($A1179/固有振動数!$O$6:$O$22)^2)^2+固有振動数!$P$6:$P$22^2))</f>
        <v>-20.3563187397904</v>
      </c>
      <c r="D1179" s="71" t="n">
        <f aca="false">SQRT(B1179^2+C1179^2)</f>
        <v>36.6212289510774</v>
      </c>
      <c r="E1179" s="72" t="n">
        <f aca="false">20*LOG10(MAX(D1179,0.000000000001)/$K$3)</f>
        <v>31.2746582890546</v>
      </c>
      <c r="F1179" s="5"/>
      <c r="G1179" s="5"/>
      <c r="H1179" s="5"/>
      <c r="I1179" s="5"/>
      <c r="J1179" s="5"/>
      <c r="K1179" s="5"/>
      <c r="L1179" s="5"/>
      <c r="M1179" s="5"/>
      <c r="N1179" s="5"/>
    </row>
    <row r="1180" customFormat="false" ht="15" hidden="false" customHeight="false" outlineLevel="0" collapsed="false">
      <c r="A1180" s="71" t="n">
        <f aca="false">A1179+$F$3</f>
        <v>23480</v>
      </c>
      <c r="B1180" s="71" t="n">
        <f aca="false">SUMPRODUCT(固有振動数!$Q$6:$Q$22*(1-($A1180/固有振動数!$O$6:$O$22)^2)/((1-($A1180/固有振動数!$O$6:$O$22)^2)^2+固有振動数!$P$6:$P$22^2))</f>
        <v>-28.3548267006516</v>
      </c>
      <c r="C1180" s="71" t="n">
        <f aca="false">-SUMPRODUCT(固有振動数!$Q$6:$Q$22*固有振動数!$P$6:$P$22/((1-($A1180/固有振動数!$O$6:$O$22)^2)^2+固有振動数!$P$6:$P$22^2))</f>
        <v>-17.8338490183446</v>
      </c>
      <c r="D1180" s="71" t="n">
        <f aca="false">SQRT(B1180^2+C1180^2)</f>
        <v>33.4969008720672</v>
      </c>
      <c r="E1180" s="72" t="n">
        <f aca="false">20*LOG10(MAX(D1180,0.000000000001)/$K$3)</f>
        <v>30.5000925607842</v>
      </c>
      <c r="F1180" s="5"/>
      <c r="G1180" s="5"/>
      <c r="H1180" s="5"/>
      <c r="I1180" s="5"/>
      <c r="J1180" s="5"/>
      <c r="K1180" s="5"/>
      <c r="L1180" s="5"/>
      <c r="M1180" s="5"/>
      <c r="N1180" s="5"/>
    </row>
    <row r="1181" customFormat="false" ht="15" hidden="false" customHeight="false" outlineLevel="0" collapsed="false">
      <c r="A1181" s="71" t="n">
        <f aca="false">A1180+$F$3</f>
        <v>23500</v>
      </c>
      <c r="B1181" s="71" t="n">
        <f aca="false">SUMPRODUCT(固有振動数!$Q$6:$Q$22*(1-($A1181/固有振動数!$O$6:$O$22)^2)/((1-($A1181/固有振動数!$O$6:$O$22)^2)^2+固有振動数!$P$6:$P$22^2))</f>
        <v>-26.3854266226632</v>
      </c>
      <c r="C1181" s="71" t="n">
        <f aca="false">-SUMPRODUCT(固有振動数!$Q$6:$Q$22*固有振動数!$P$6:$P$22/((1-($A1181/固有振動数!$O$6:$O$22)^2)^2+固有振動数!$P$6:$P$22^2))</f>
        <v>-15.7345490845919</v>
      </c>
      <c r="D1181" s="71" t="n">
        <f aca="false">SQRT(B1181^2+C1181^2)</f>
        <v>30.7207873101484</v>
      </c>
      <c r="E1181" s="72" t="n">
        <f aca="false">20*LOG10(MAX(D1181,0.000000000001)/$K$3)</f>
        <v>29.7486468314027</v>
      </c>
      <c r="F1181" s="5"/>
      <c r="G1181" s="5"/>
      <c r="H1181" s="5"/>
      <c r="I1181" s="5"/>
      <c r="J1181" s="5"/>
      <c r="K1181" s="5"/>
      <c r="L1181" s="5"/>
      <c r="M1181" s="5"/>
      <c r="N1181" s="5"/>
    </row>
    <row r="1182" customFormat="false" ht="15" hidden="false" customHeight="false" outlineLevel="0" collapsed="false">
      <c r="A1182" s="71" t="n">
        <f aca="false">A1181+$F$3</f>
        <v>23520</v>
      </c>
      <c r="B1182" s="71" t="n">
        <f aca="false">SUMPRODUCT(固有振動数!$Q$6:$Q$22*(1-($A1182/固有振動数!$O$6:$O$22)^2)/((1-($A1182/固有振動数!$O$6:$O$22)^2)^2+固有振動数!$P$6:$P$22^2))</f>
        <v>-24.5430270669056</v>
      </c>
      <c r="C1182" s="71" t="n">
        <f aca="false">-SUMPRODUCT(固有振動数!$Q$6:$Q$22*固有振動数!$P$6:$P$22/((1-($A1182/固有振動数!$O$6:$O$22)^2)^2+固有振動数!$P$6:$P$22^2))</f>
        <v>-13.9748313428464</v>
      </c>
      <c r="D1182" s="71" t="n">
        <f aca="false">SQRT(B1182^2+C1182^2)</f>
        <v>28.2428059630743</v>
      </c>
      <c r="E1182" s="72" t="n">
        <f aca="false">20*LOG10(MAX(D1182,0.000000000001)/$K$3)</f>
        <v>29.0181568459962</v>
      </c>
      <c r="F1182" s="5"/>
      <c r="G1182" s="5"/>
      <c r="H1182" s="5"/>
      <c r="I1182" s="5"/>
      <c r="J1182" s="5"/>
      <c r="K1182" s="5"/>
      <c r="L1182" s="5"/>
      <c r="M1182" s="5"/>
      <c r="N1182" s="5"/>
    </row>
    <row r="1183" customFormat="false" ht="15" hidden="false" customHeight="false" outlineLevel="0" collapsed="false">
      <c r="A1183" s="71" t="n">
        <f aca="false">A1182+$F$3</f>
        <v>23540</v>
      </c>
      <c r="B1183" s="71" t="n">
        <f aca="false">SUMPRODUCT(固有振動数!$Q$6:$Q$22*(1-($A1183/固有振動数!$O$6:$O$22)^2)/((1-($A1183/固有振動数!$O$6:$O$22)^2)^2+固有振動数!$P$6:$P$22^2))</f>
        <v>-22.8274901846211</v>
      </c>
      <c r="C1183" s="71" t="n">
        <f aca="false">-SUMPRODUCT(固有振動数!$Q$6:$Q$22*固有振動数!$P$6:$P$22/((1-($A1183/固有振動数!$O$6:$O$22)^2)^2+固有振動数!$P$6:$P$22^2))</f>
        <v>-12.4892140762043</v>
      </c>
      <c r="D1183" s="71" t="n">
        <f aca="false">SQRT(B1183^2+C1183^2)</f>
        <v>26.0206605675227</v>
      </c>
      <c r="E1183" s="72" t="n">
        <f aca="false">20*LOG10(MAX(D1183,0.000000000001)/$K$3)</f>
        <v>28.3063663496525</v>
      </c>
      <c r="F1183" s="5"/>
      <c r="G1183" s="5"/>
      <c r="H1183" s="5"/>
      <c r="I1183" s="5"/>
      <c r="J1183" s="5"/>
      <c r="K1183" s="5"/>
      <c r="L1183" s="5"/>
      <c r="M1183" s="5"/>
      <c r="N1183" s="5"/>
    </row>
    <row r="1184" customFormat="false" ht="15" hidden="false" customHeight="false" outlineLevel="0" collapsed="false">
      <c r="A1184" s="71" t="n">
        <f aca="false">A1183+$F$3</f>
        <v>23560</v>
      </c>
      <c r="B1184" s="71" t="n">
        <f aca="false">SUMPRODUCT(固有振動数!$Q$6:$Q$22*(1-($A1184/固有振動数!$O$6:$O$22)^2)/((1-($A1184/固有振動数!$O$6:$O$22)^2)^2+固有振動数!$P$6:$P$22^2))</f>
        <v>-21.2337686163848</v>
      </c>
      <c r="C1184" s="71" t="n">
        <f aca="false">-SUMPRODUCT(固有振動数!$Q$6:$Q$22*固有振動数!$P$6:$P$22/((1-($A1184/固有振動数!$O$6:$O$22)^2)^2+固有振動数!$P$6:$P$22^2))</f>
        <v>-11.2263070611247</v>
      </c>
      <c r="D1184" s="71" t="n">
        <f aca="false">SQRT(B1184^2+C1184^2)</f>
        <v>24.0188030485457</v>
      </c>
      <c r="E1184" s="72" t="n">
        <f aca="false">20*LOG10(MAX(D1184,0.000000000001)/$K$3)</f>
        <v>27.6110272200687</v>
      </c>
      <c r="F1184" s="5"/>
      <c r="G1184" s="5"/>
      <c r="H1184" s="5"/>
      <c r="I1184" s="5"/>
      <c r="J1184" s="5"/>
      <c r="K1184" s="5"/>
      <c r="L1184" s="5"/>
      <c r="M1184" s="5"/>
      <c r="N1184" s="5"/>
    </row>
    <row r="1185" customFormat="false" ht="15" hidden="false" customHeight="false" outlineLevel="0" collapsed="false">
      <c r="A1185" s="71" t="n">
        <f aca="false">A1184+$F$3</f>
        <v>23580</v>
      </c>
      <c r="B1185" s="71" t="n">
        <f aca="false">SUMPRODUCT(固有振動数!$Q$6:$Q$22*(1-($A1185/固有振動数!$O$6:$O$22)^2)/((1-($A1185/固有振動数!$O$6:$O$22)^2)^2+固有振動数!$P$6:$P$22^2))</f>
        <v>-19.754360671498</v>
      </c>
      <c r="C1185" s="71" t="n">
        <f aca="false">-SUMPRODUCT(固有振動数!$Q$6:$Q$22*固有振動数!$P$6:$P$22/((1-($A1185/固有振動数!$O$6:$O$22)^2)^2+固有振動数!$P$6:$P$22^2))</f>
        <v>-10.1456120670692</v>
      </c>
      <c r="D1185" s="71" t="n">
        <f aca="false">SQRT(B1185^2+C1185^2)</f>
        <v>22.2073908813054</v>
      </c>
      <c r="E1185" s="72" t="n">
        <f aca="false">20*LOG10(MAX(D1185,0.000000000001)/$K$3)</f>
        <v>26.9299507365581</v>
      </c>
      <c r="F1185" s="5"/>
      <c r="G1185" s="5"/>
      <c r="H1185" s="5"/>
      <c r="I1185" s="5"/>
      <c r="J1185" s="5"/>
      <c r="K1185" s="5"/>
      <c r="L1185" s="5"/>
      <c r="M1185" s="5"/>
      <c r="N1185" s="5"/>
    </row>
    <row r="1186" customFormat="false" ht="15" hidden="false" customHeight="false" outlineLevel="0" collapsed="false">
      <c r="A1186" s="71" t="n">
        <f aca="false">A1185+$F$3</f>
        <v>23600</v>
      </c>
      <c r="B1186" s="71" t="n">
        <f aca="false">SUMPRODUCT(固有振動数!$Q$6:$Q$22*(1-($A1186/固有振動数!$O$6:$O$22)^2)/((1-($A1186/固有振動数!$O$6:$O$22)^2)^2+固有振動数!$P$6:$P$22^2))</f>
        <v>-18.3807481248426</v>
      </c>
      <c r="C1186" s="71" t="n">
        <f aca="false">-SUMPRODUCT(固有振動数!$Q$6:$Q$22*固有振動数!$P$6:$P$22/((1-($A1186/固有振動数!$O$6:$O$22)^2)^2+固有振動数!$P$6:$P$22^2))</f>
        <v>-9.21503916277726</v>
      </c>
      <c r="D1186" s="71" t="n">
        <f aca="false">SQRT(B1186^2+C1186^2)</f>
        <v>20.5613435456058</v>
      </c>
      <c r="E1186" s="72" t="n">
        <f aca="false">20*LOG10(MAX(D1186,0.000000000001)/$K$3)</f>
        <v>26.2610297895179</v>
      </c>
      <c r="F1186" s="5"/>
      <c r="G1186" s="5"/>
      <c r="H1186" s="5"/>
      <c r="I1186" s="5"/>
      <c r="J1186" s="5"/>
      <c r="K1186" s="5"/>
      <c r="L1186" s="5"/>
      <c r="M1186" s="5"/>
      <c r="N1186" s="5"/>
    </row>
    <row r="1187" customFormat="false" ht="15" hidden="false" customHeight="false" outlineLevel="0" collapsed="false">
      <c r="A1187" s="71" t="n">
        <f aca="false">A1186+$F$3</f>
        <v>23620</v>
      </c>
      <c r="B1187" s="71" t="n">
        <f aca="false">SUMPRODUCT(固有振動数!$Q$6:$Q$22*(1-($A1187/固有振動数!$O$6:$O$22)^2)/((1-($A1187/固有振動数!$O$6:$O$22)^2)^2+固有振動数!$P$6:$P$22^2))</f>
        <v>-17.1042210174228</v>
      </c>
      <c r="C1187" s="71" t="n">
        <f aca="false">-SUMPRODUCT(固有振動数!$Q$6:$Q$22*固有振動数!$P$6:$P$22/((1-($A1187/固有振動数!$O$6:$O$22)^2)^2+固有振動数!$P$6:$P$22^2))</f>
        <v>-8.40900275239547</v>
      </c>
      <c r="D1187" s="71" t="n">
        <f aca="false">SQRT(B1187^2+C1187^2)</f>
        <v>19.0595305268163</v>
      </c>
      <c r="E1187" s="72" t="n">
        <f aca="false">20*LOG10(MAX(D1187,0.000000000001)/$K$3)</f>
        <v>25.6022439783818</v>
      </c>
      <c r="F1187" s="5"/>
      <c r="G1187" s="5"/>
      <c r="H1187" s="5"/>
      <c r="I1187" s="5"/>
      <c r="J1187" s="5"/>
      <c r="K1187" s="5"/>
      <c r="L1187" s="5"/>
      <c r="M1187" s="5"/>
      <c r="N1187" s="5"/>
    </row>
    <row r="1188" customFormat="false" ht="15" hidden="false" customHeight="false" outlineLevel="0" collapsed="false">
      <c r="A1188" s="71" t="n">
        <f aca="false">A1187+$F$3</f>
        <v>23640</v>
      </c>
      <c r="B1188" s="71" t="n">
        <f aca="false">SUMPRODUCT(固有振動数!$Q$6:$Q$22*(1-($A1188/固有振動数!$O$6:$O$22)^2)/((1-($A1188/固有振動数!$O$6:$O$22)^2)^2+固有振動数!$P$6:$P$22^2))</f>
        <v>-15.916334310583</v>
      </c>
      <c r="C1188" s="71" t="n">
        <f aca="false">-SUMPRODUCT(固有振動数!$Q$6:$Q$22*固有振動数!$P$6:$P$22/((1-($A1188/固有振動数!$O$6:$O$22)^2)^2+固有振動数!$P$6:$P$22^2))</f>
        <v>-7.70696915096289</v>
      </c>
      <c r="D1188" s="71" t="n">
        <f aca="false">SQRT(B1188^2+C1188^2)</f>
        <v>17.6840909118941</v>
      </c>
      <c r="E1188" s="72" t="n">
        <f aca="false">20*LOG10(MAX(D1188,0.000000000001)/$K$3)</f>
        <v>24.9516547779593</v>
      </c>
      <c r="F1188" s="5"/>
      <c r="G1188" s="5"/>
      <c r="H1188" s="5"/>
      <c r="I1188" s="5"/>
      <c r="J1188" s="5"/>
      <c r="K1188" s="5"/>
      <c r="L1188" s="5"/>
      <c r="M1188" s="5"/>
      <c r="N1188" s="5"/>
    </row>
    <row r="1189" customFormat="false" ht="15" hidden="false" customHeight="false" outlineLevel="0" collapsed="false">
      <c r="A1189" s="71" t="n">
        <f aca="false">A1188+$F$3</f>
        <v>23660</v>
      </c>
      <c r="B1189" s="71" t="n">
        <f aca="false">SUMPRODUCT(固有振動数!$Q$6:$Q$22*(1-($A1189/固有振動数!$O$6:$O$22)^2)/((1-($A1189/固有振動数!$O$6:$O$22)^2)^2+固有振動数!$P$6:$P$22^2))</f>
        <v>-14.8091446134576</v>
      </c>
      <c r="C1189" s="71" t="n">
        <f aca="false">-SUMPRODUCT(固有振動数!$Q$6:$Q$22*固有振動数!$P$6:$P$22/((1-($A1189/固有振動数!$O$6:$O$22)^2)^2+固有振動数!$P$6:$P$22^2))</f>
        <v>-7.09234904296748</v>
      </c>
      <c r="D1189" s="71" t="n">
        <f aca="false">SQRT(B1189^2+C1189^2)</f>
        <v>16.4198714711651</v>
      </c>
      <c r="E1189" s="72" t="n">
        <f aca="false">20*LOG10(MAX(D1189,0.000000000001)/$K$3)</f>
        <v>24.3073950659215</v>
      </c>
      <c r="F1189" s="5"/>
      <c r="G1189" s="5"/>
      <c r="H1189" s="5"/>
      <c r="I1189" s="5"/>
      <c r="J1189" s="5"/>
      <c r="K1189" s="5"/>
      <c r="L1189" s="5"/>
      <c r="M1189" s="5"/>
      <c r="N1189" s="5"/>
    </row>
    <row r="1190" customFormat="false" ht="15" hidden="false" customHeight="false" outlineLevel="0" collapsed="false">
      <c r="A1190" s="71" t="n">
        <f aca="false">A1189+$F$3</f>
        <v>23680</v>
      </c>
      <c r="B1190" s="71" t="n">
        <f aca="false">SUMPRODUCT(固有振動数!$Q$6:$Q$22*(1-($A1190/固有振動数!$O$6:$O$22)^2)/((1-($A1190/固有振動数!$O$6:$O$22)^2)^2+固有振動数!$P$6:$P$22^2))</f>
        <v>-13.775316792461</v>
      </c>
      <c r="C1190" s="71" t="n">
        <f aca="false">-SUMPRODUCT(固有振動数!$Q$6:$Q$22*固有振動数!$P$6:$P$22/((1-($A1190/固有振動数!$O$6:$O$22)^2)^2+固有振動数!$P$6:$P$22^2))</f>
        <v>-6.55165094872304</v>
      </c>
      <c r="D1190" s="71" t="n">
        <f aca="false">SQRT(B1190^2+C1190^2)</f>
        <v>15.253966136273</v>
      </c>
      <c r="E1190" s="72" t="n">
        <f aca="false">20*LOG10(MAX(D1190,0.000000000001)/$K$3)</f>
        <v>23.6676555584446</v>
      </c>
      <c r="F1190" s="5"/>
      <c r="G1190" s="5"/>
      <c r="H1190" s="5"/>
      <c r="I1190" s="5"/>
      <c r="J1190" s="5"/>
      <c r="K1190" s="5"/>
      <c r="L1190" s="5"/>
      <c r="M1190" s="5"/>
      <c r="N1190" s="5"/>
    </row>
    <row r="1191" customFormat="false" ht="15" hidden="false" customHeight="false" outlineLevel="0" collapsed="false">
      <c r="A1191" s="71" t="n">
        <f aca="false">A1190+$F$3</f>
        <v>23700</v>
      </c>
      <c r="B1191" s="71" t="n">
        <f aca="false">SUMPRODUCT(固有振動数!$Q$6:$Q$22*(1-($A1191/固有振動数!$O$6:$O$22)^2)/((1-($A1191/固有振動数!$O$6:$O$22)^2)^2+固有振動数!$P$6:$P$22^2))</f>
        <v>-12.8081549133009</v>
      </c>
      <c r="C1191" s="71" t="n">
        <f aca="false">-SUMPRODUCT(固有振動数!$Q$6:$Q$22*固有振動数!$P$6:$P$22/((1-($A1191/固有振動数!$O$6:$O$22)^2)^2+固有振動数!$P$6:$P$22^2))</f>
        <v>-6.07383158450461</v>
      </c>
      <c r="D1191" s="71" t="n">
        <f aca="false">SQRT(B1191^2+C1191^2)</f>
        <v>14.1753399394879</v>
      </c>
      <c r="E1191" s="72" t="n">
        <f aca="false">20*LOG10(MAX(D1191,0.000000000001)/$K$3)</f>
        <v>23.0306696505208</v>
      </c>
      <c r="F1191" s="5"/>
      <c r="G1191" s="5"/>
      <c r="H1191" s="5"/>
      <c r="I1191" s="5"/>
      <c r="J1191" s="5"/>
      <c r="K1191" s="5"/>
      <c r="L1191" s="5"/>
      <c r="M1191" s="5"/>
      <c r="N1191" s="5"/>
    </row>
    <row r="1192" customFormat="false" ht="15" hidden="false" customHeight="false" outlineLevel="0" collapsed="false">
      <c r="A1192" s="71" t="n">
        <f aca="false">A1191+$F$3</f>
        <v>23720</v>
      </c>
      <c r="B1192" s="71" t="n">
        <f aca="false">SUMPRODUCT(固有振動数!$Q$6:$Q$22*(1-($A1192/固有振動数!$O$6:$O$22)^2)/((1-($A1192/固有振動数!$O$6:$O$22)^2)^2+固有振動数!$P$6:$P$22^2))</f>
        <v>-11.9015904972716</v>
      </c>
      <c r="C1192" s="71" t="n">
        <f aca="false">-SUMPRODUCT(固有振動数!$Q$6:$Q$22*固有振動数!$P$6:$P$22/((1-($A1192/固有振動数!$O$6:$O$22)^2)^2+固有振動数!$P$6:$P$22^2))</f>
        <v>-5.64979480701167</v>
      </c>
      <c r="D1192" s="71" t="n">
        <f aca="false">SQRT(B1192^2+C1192^2)</f>
        <v>13.1745222959347</v>
      </c>
      <c r="E1192" s="72" t="n">
        <f aca="false">20*LOG10(MAX(D1192,0.000000000001)/$K$3)</f>
        <v>22.394697535755</v>
      </c>
      <c r="F1192" s="5"/>
      <c r="G1192" s="5"/>
      <c r="H1192" s="5"/>
      <c r="I1192" s="5"/>
      <c r="J1192" s="5"/>
      <c r="K1192" s="5"/>
      <c r="L1192" s="5"/>
      <c r="M1192" s="5"/>
      <c r="N1192" s="5"/>
    </row>
    <row r="1193" customFormat="false" ht="15" hidden="false" customHeight="false" outlineLevel="0" collapsed="false">
      <c r="A1193" s="71" t="n">
        <f aca="false">A1192+$F$3</f>
        <v>23740</v>
      </c>
      <c r="B1193" s="71" t="n">
        <f aca="false">SUMPRODUCT(固有振動数!$Q$6:$Q$22*(1-($A1193/固有振動数!$O$6:$O$22)^2)/((1-($A1193/固有振動数!$O$6:$O$22)^2)^2+固有振動数!$P$6:$P$22^2))</f>
        <v>-11.0501479937594</v>
      </c>
      <c r="C1193" s="71" t="n">
        <f aca="false">-SUMPRODUCT(固有振動数!$Q$6:$Q$22*固有振動数!$P$6:$P$22/((1-($A1193/固有振動数!$O$6:$O$22)^2)^2+固有振動数!$P$6:$P$22^2))</f>
        <v>-5.27200297897724</v>
      </c>
      <c r="D1193" s="71" t="n">
        <f aca="false">SQRT(B1193^2+C1193^2)</f>
        <v>12.2433568147927</v>
      </c>
      <c r="E1193" s="72" t="n">
        <f aca="false">20*LOG10(MAX(D1193,0.000000000001)/$K$3)</f>
        <v>21.7580101311434</v>
      </c>
      <c r="F1193" s="5"/>
      <c r="G1193" s="5"/>
      <c r="H1193" s="5"/>
      <c r="I1193" s="5"/>
      <c r="J1193" s="5"/>
      <c r="K1193" s="5"/>
      <c r="L1193" s="5"/>
      <c r="M1193" s="5"/>
      <c r="N1193" s="5"/>
    </row>
    <row r="1194" customFormat="false" ht="15" hidden="false" customHeight="false" outlineLevel="0" collapsed="false">
      <c r="A1194" s="71" t="n">
        <f aca="false">A1193+$F$3</f>
        <v>23760</v>
      </c>
      <c r="B1194" s="71" t="n">
        <f aca="false">SUMPRODUCT(固有振動数!$Q$6:$Q$22*(1-($A1194/固有振動数!$O$6:$O$22)^2)/((1-($A1194/固有振動数!$O$6:$O$22)^2)^2+固有振動数!$P$6:$P$22^2))</f>
        <v>-10.2488993787698</v>
      </c>
      <c r="C1194" s="71" t="n">
        <f aca="false">-SUMPRODUCT(固有振動数!$Q$6:$Q$22*固有振動数!$P$6:$P$22/((1-($A1194/固有振動数!$O$6:$O$22)^2)^2+固有振動数!$P$6:$P$22^2))</f>
        <v>-4.93417373611613</v>
      </c>
      <c r="D1194" s="71" t="n">
        <f aca="false">SQRT(B1194^2+C1194^2)</f>
        <v>11.3747970942046</v>
      </c>
      <c r="E1194" s="72" t="n">
        <f aca="false">20*LOG10(MAX(D1194,0.000000000001)/$K$3)</f>
        <v>21.1188731674125</v>
      </c>
      <c r="F1194" s="5"/>
      <c r="G1194" s="5"/>
      <c r="H1194" s="5"/>
      <c r="I1194" s="5"/>
      <c r="J1194" s="5"/>
      <c r="K1194" s="5"/>
      <c r="L1194" s="5"/>
      <c r="M1194" s="5"/>
      <c r="N1194" s="5"/>
    </row>
    <row r="1195" customFormat="false" ht="15" hidden="false" customHeight="false" outlineLevel="0" collapsed="false">
      <c r="A1195" s="71" t="n">
        <f aca="false">A1194+$F$3</f>
        <v>23780</v>
      </c>
      <c r="B1195" s="71" t="n">
        <f aca="false">SUMPRODUCT(固有振動数!$Q$6:$Q$22*(1-($A1195/固有振動数!$O$6:$O$22)^2)/((1-($A1195/固有振動数!$O$6:$O$22)^2)^2+固有振動数!$P$6:$P$22^2))</f>
        <v>-9.49341489789681</v>
      </c>
      <c r="C1195" s="71" t="n">
        <f aca="false">-SUMPRODUCT(固有振動数!$Q$6:$Q$22*固有振動数!$P$6:$P$22/((1-($A1195/固有振動数!$O$6:$O$22)^2)^2+固有振動数!$P$6:$P$22^2))</f>
        <v>-4.63104194689582</v>
      </c>
      <c r="D1195" s="71" t="n">
        <f aca="false">SQRT(B1195^2+C1195^2)</f>
        <v>10.5627399824817</v>
      </c>
      <c r="E1195" s="72" t="n">
        <f aca="false">20*LOG10(MAX(D1195,0.000000000001)/$K$3)</f>
        <v>20.4755317823665</v>
      </c>
      <c r="F1195" s="5"/>
      <c r="G1195" s="5"/>
      <c r="H1195" s="5"/>
      <c r="I1195" s="5"/>
      <c r="J1195" s="5"/>
      <c r="K1195" s="5"/>
      <c r="L1195" s="5"/>
      <c r="M1195" s="5"/>
      <c r="N1195" s="5"/>
    </row>
    <row r="1196" customFormat="false" ht="15" hidden="false" customHeight="false" outlineLevel="0" collapsed="false">
      <c r="A1196" s="71" t="n">
        <f aca="false">A1195+$F$3</f>
        <v>23800</v>
      </c>
      <c r="B1196" s="71" t="n">
        <f aca="false">SUMPRODUCT(固有振動数!$Q$6:$Q$22*(1-($A1196/固有振動数!$O$6:$O$22)^2)/((1-($A1196/固有振動数!$O$6:$O$22)^2)^2+固有振動数!$P$6:$P$22^2))</f>
        <v>-8.77971397966469</v>
      </c>
      <c r="C1196" s="71" t="n">
        <f aca="false">-SUMPRODUCT(固有振動数!$Q$6:$Q$22*固有振動数!$P$6:$P$22/((1-($A1196/固有振動数!$O$6:$O$22)^2)^2+固有振動数!$P$6:$P$22^2))</f>
        <v>-4.35817170789993</v>
      </c>
      <c r="D1196" s="71" t="n">
        <f aca="false">SQRT(B1196^2+C1196^2)</f>
        <v>9.80188952193703</v>
      </c>
      <c r="E1196" s="72" t="n">
        <f aca="false">20*LOG10(MAX(D1196,0.000000000001)/$K$3)</f>
        <v>19.8261960645657</v>
      </c>
      <c r="F1196" s="5"/>
      <c r="G1196" s="5"/>
      <c r="H1196" s="5"/>
      <c r="I1196" s="5"/>
      <c r="J1196" s="5"/>
      <c r="K1196" s="5"/>
      <c r="L1196" s="5"/>
      <c r="M1196" s="5"/>
      <c r="N1196" s="5"/>
    </row>
    <row r="1197" customFormat="false" ht="15" hidden="false" customHeight="false" outlineLevel="0" collapsed="false">
      <c r="A1197" s="71" t="n">
        <f aca="false">A1196+$F$3</f>
        <v>23820</v>
      </c>
      <c r="B1197" s="71" t="n">
        <f aca="false">SUMPRODUCT(固有振動数!$Q$6:$Q$22*(1-($A1197/固有振動数!$O$6:$O$22)^2)/((1-($A1197/固有振動数!$O$6:$O$22)^2)^2+固有振動数!$P$6:$P$22^2))</f>
        <v>-8.104218520611</v>
      </c>
      <c r="C1197" s="71" t="n">
        <f aca="false">-SUMPRODUCT(固有振動数!$Q$6:$Q$22*固有振動数!$P$6:$P$22/((1-($A1197/固有振動数!$O$6:$O$22)^2)^2+固有振動数!$P$6:$P$22^2))</f>
        <v>-4.11180696057077</v>
      </c>
      <c r="D1197" s="71" t="n">
        <f aca="false">SQRT(B1197^2+C1197^2)</f>
        <v>9.08764624701097</v>
      </c>
      <c r="E1197" s="72" t="n">
        <f aca="false">20*LOG10(MAX(D1197,0.000000000001)/$K$3)</f>
        <v>19.1690282600297</v>
      </c>
      <c r="F1197" s="5"/>
      <c r="G1197" s="5"/>
      <c r="H1197" s="5"/>
      <c r="I1197" s="5"/>
      <c r="J1197" s="5"/>
      <c r="K1197" s="5"/>
      <c r="L1197" s="5"/>
      <c r="M1197" s="5"/>
      <c r="N1197" s="5"/>
    </row>
    <row r="1198" customFormat="false" ht="15" hidden="false" customHeight="false" outlineLevel="0" collapsed="false">
      <c r="A1198" s="71" t="n">
        <f aca="false">A1197+$F$3</f>
        <v>23840</v>
      </c>
      <c r="B1198" s="71" t="n">
        <f aca="false">SUMPRODUCT(固有振動数!$Q$6:$Q$22*(1-($A1198/固有振動数!$O$6:$O$22)^2)/((1-($A1198/固有振動数!$O$6:$O$22)^2)^2+固有振動数!$P$6:$P$22^2))</f>
        <v>-7.46370963953468</v>
      </c>
      <c r="C1198" s="71" t="n">
        <f aca="false">-SUMPRODUCT(固有振動数!$Q$6:$Q$22*固有振動数!$P$6:$P$22/((1-($A1198/固有振動数!$O$6:$O$22)^2)^2+固有振動数!$P$6:$P$22^2))</f>
        <v>-3.88875209289481</v>
      </c>
      <c r="D1198" s="71" t="n">
        <f aca="false">SQRT(B1198^2+C1198^2)</f>
        <v>8.41601772950109</v>
      </c>
      <c r="E1198" s="72" t="n">
        <f aca="false">20*LOG10(MAX(D1198,0.000000000001)/$K$3)</f>
        <v>18.502132834236</v>
      </c>
      <c r="F1198" s="5"/>
      <c r="G1198" s="5"/>
      <c r="H1198" s="5"/>
      <c r="I1198" s="5"/>
      <c r="J1198" s="5"/>
      <c r="K1198" s="5"/>
      <c r="L1198" s="5"/>
      <c r="M1198" s="5"/>
      <c r="N1198" s="5"/>
    </row>
    <row r="1199" customFormat="false" ht="15" hidden="false" customHeight="false" outlineLevel="0" collapsed="false">
      <c r="A1199" s="71" t="n">
        <f aca="false">A1198+$F$3</f>
        <v>23860</v>
      </c>
      <c r="B1199" s="71" t="n">
        <f aca="false">SUMPRODUCT(固有振動数!$Q$6:$Q$22*(1-($A1199/固有振動数!$O$6:$O$22)^2)/((1-($A1199/固有振動数!$O$6:$O$22)^2)^2+固有振動数!$P$6:$P$22^2))</f>
        <v>-6.85528833979851</v>
      </c>
      <c r="C1199" s="71" t="n">
        <f aca="false">-SUMPRODUCT(固有振動数!$Q$6:$Q$22*固有振動数!$P$6:$P$22/((1-($A1199/固有振動数!$O$6:$O$22)^2)^2+固有振動数!$P$6:$P$22^2))</f>
        <v>-3.68627595730795</v>
      </c>
      <c r="D1199" s="71" t="n">
        <f aca="false">SQRT(B1199^2+C1199^2)</f>
        <v>7.78354730538744</v>
      </c>
      <c r="E1199" s="72" t="n">
        <f aca="false">20*LOG10(MAX(D1199,0.000000000001)/$K$3)</f>
        <v>17.8235513846474</v>
      </c>
      <c r="F1199" s="5"/>
      <c r="G1199" s="5"/>
      <c r="H1199" s="5"/>
      <c r="I1199" s="5"/>
      <c r="J1199" s="5"/>
      <c r="K1199" s="5"/>
      <c r="L1199" s="5"/>
      <c r="M1199" s="5"/>
      <c r="N1199" s="5"/>
    </row>
    <row r="1200" customFormat="false" ht="15" hidden="false" customHeight="false" outlineLevel="0" collapsed="false">
      <c r="A1200" s="71" t="n">
        <f aca="false">A1199+$F$3</f>
        <v>23880</v>
      </c>
      <c r="B1200" s="71" t="n">
        <f aca="false">SUMPRODUCT(固有振動数!$Q$6:$Q$22*(1-($A1200/固有振動数!$O$6:$O$22)^2)/((1-($A1200/固有振動数!$O$6:$O$22)^2)^2+固有振動数!$P$6:$P$22^2))</f>
        <v>-6.27634013517043</v>
      </c>
      <c r="C1200" s="71" t="n">
        <f aca="false">-SUMPRODUCT(固有振動数!$Q$6:$Q$22*固有振動数!$P$6:$P$22/((1-($A1200/固有振動数!$O$6:$O$22)^2)^2+固有振動数!$P$6:$P$22^2))</f>
        <v>-3.50203428141536</v>
      </c>
      <c r="D1200" s="71" t="n">
        <f aca="false">SQRT(B1200^2+C1200^2)</f>
        <v>7.1872588377322</v>
      </c>
      <c r="E1200" s="72" t="n">
        <f aca="false">20*LOG10(MAX(D1200,0.000000000001)/$K$3)</f>
        <v>17.1312657113123</v>
      </c>
      <c r="F1200" s="5"/>
      <c r="G1200" s="5"/>
      <c r="H1200" s="5"/>
      <c r="I1200" s="5"/>
      <c r="J1200" s="5"/>
      <c r="K1200" s="5"/>
      <c r="L1200" s="5"/>
      <c r="M1200" s="5"/>
      <c r="N1200" s="5"/>
    </row>
    <row r="1201" customFormat="false" ht="15" hidden="false" customHeight="false" outlineLevel="0" collapsed="false">
      <c r="A1201" s="71" t="n">
        <f aca="false">A1200+$F$3</f>
        <v>23900</v>
      </c>
      <c r="B1201" s="71" t="n">
        <f aca="false">SUMPRODUCT(固有振動数!$Q$6:$Q$22*(1-($A1201/固有振動数!$O$6:$O$22)^2)/((1-($A1201/固有振動数!$O$6:$O$22)^2)^2+固有振動数!$P$6:$P$22^2))</f>
        <v>-5.72450348071924</v>
      </c>
      <c r="C1201" s="71" t="n">
        <f aca="false">-SUMPRODUCT(固有振動数!$Q$6:$Q$22*固有振動数!$P$6:$P$22/((1-($A1201/固有振動数!$O$6:$O$22)^2)^2+固有振動数!$P$6:$P$22^2))</f>
        <v>-3.33400660840197</v>
      </c>
      <c r="D1201" s="71" t="n">
        <f aca="false">SQRT(B1201^2+C1201^2)</f>
        <v>6.62461622780027</v>
      </c>
      <c r="E1201" s="72" t="n">
        <f aca="false">20*LOG10(MAX(D1201,0.000000000001)/$K$3)</f>
        <v>16.4232144824373</v>
      </c>
      <c r="F1201" s="5"/>
      <c r="G1201" s="5"/>
      <c r="H1201" s="5"/>
      <c r="I1201" s="5"/>
      <c r="J1201" s="5"/>
      <c r="K1201" s="5"/>
      <c r="L1201" s="5"/>
      <c r="M1201" s="5"/>
      <c r="N1201" s="5"/>
    </row>
    <row r="1202" customFormat="false" ht="15" hidden="false" customHeight="false" outlineLevel="0" collapsed="false">
      <c r="A1202" s="71" t="n">
        <f aca="false">A1201+$F$3</f>
        <v>23920</v>
      </c>
      <c r="B1202" s="71" t="n">
        <f aca="false">SUMPRODUCT(固有振動数!$Q$6:$Q$22*(1-($A1202/固有振動数!$O$6:$O$22)^2)/((1-($A1202/固有振動数!$O$6:$O$22)^2)^2+固有振動数!$P$6:$P$22^2))</f>
        <v>-5.19764173984369</v>
      </c>
      <c r="C1202" s="71" t="n">
        <f aca="false">-SUMPRODUCT(固有振動数!$Q$6:$Q$22*固有振動数!$P$6:$P$22/((1-($A1202/固有振動数!$O$6:$O$22)^2)^2+固有振動数!$P$6:$P$22^2))</f>
        <v>-3.18044477957185</v>
      </c>
      <c r="D1202" s="71" t="n">
        <f aca="false">SQRT(B1202^2+C1202^2)</f>
        <v>6.09349724310032</v>
      </c>
      <c r="E1202" s="72" t="n">
        <f aca="false">20*LOG10(MAX(D1202,0.000000000001)/$K$3)</f>
        <v>15.6973323795693</v>
      </c>
      <c r="F1202" s="5"/>
      <c r="G1202" s="5"/>
      <c r="H1202" s="5"/>
      <c r="I1202" s="5"/>
      <c r="J1202" s="5"/>
      <c r="K1202" s="5"/>
      <c r="L1202" s="5"/>
      <c r="M1202" s="5"/>
      <c r="N1202" s="5"/>
    </row>
    <row r="1203" customFormat="false" ht="15" hidden="false" customHeight="false" outlineLevel="0" collapsed="false">
      <c r="A1203" s="71" t="n">
        <f aca="false">A1202+$F$3</f>
        <v>23940</v>
      </c>
      <c r="B1203" s="71" t="n">
        <f aca="false">SUMPRODUCT(固有振動数!$Q$6:$Q$22*(1-($A1203/固有振動数!$O$6:$O$22)^2)/((1-($A1203/固有振動数!$O$6:$O$22)^2)^2+固有振動数!$P$6:$P$22^2))</f>
        <v>-4.69381837054406</v>
      </c>
      <c r="C1203" s="71" t="n">
        <f aca="false">-SUMPRODUCT(固有振動数!$Q$6:$Q$22*固有振動数!$P$6:$P$22/((1-($A1203/固有振動数!$O$6:$O$22)^2)^2+固有振動数!$P$6:$P$22^2))</f>
        <v>-3.03983063565144</v>
      </c>
      <c r="D1203" s="71" t="n">
        <f aca="false">SQRT(B1203^2+C1203^2)</f>
        <v>5.5921821491348</v>
      </c>
      <c r="E1203" s="72" t="n">
        <f aca="false">20*LOG10(MAX(D1203,0.000000000001)/$K$3)</f>
        <v>14.951626177055</v>
      </c>
      <c r="F1203" s="5"/>
      <c r="G1203" s="5"/>
      <c r="H1203" s="5"/>
      <c r="I1203" s="5"/>
      <c r="J1203" s="5"/>
      <c r="K1203" s="5"/>
      <c r="L1203" s="5"/>
      <c r="M1203" s="5"/>
      <c r="N1203" s="5"/>
    </row>
    <row r="1204" customFormat="false" ht="15" hidden="false" customHeight="false" outlineLevel="0" collapsed="false">
      <c r="A1204" s="71" t="n">
        <f aca="false">A1203+$F$3</f>
        <v>23960</v>
      </c>
      <c r="B1204" s="71" t="n">
        <f aca="false">SUMPRODUCT(固有振動数!$Q$6:$Q$22*(1-($A1204/固有振動数!$O$6:$O$22)^2)/((1-($A1204/固有振動数!$O$6:$O$22)^2)^2+固有振動数!$P$6:$P$22^2))</f>
        <v>-4.21127500290818</v>
      </c>
      <c r="C1204" s="71" t="n">
        <f aca="false">-SUMPRODUCT(固有振動数!$Q$6:$Q$22*固有振動数!$P$6:$P$22/((1-($A1204/固有振動数!$O$6:$O$22)^2)^2+固有振動数!$P$6:$P$22^2))</f>
        <v>-2.91084112005429</v>
      </c>
      <c r="D1204" s="71" t="n">
        <f aca="false">SQRT(B1204^2+C1204^2)</f>
        <v>5.11935866845821</v>
      </c>
      <c r="E1204" s="72" t="n">
        <f aca="false">20*LOG10(MAX(D1204,0.000000000001)/$K$3)</f>
        <v>14.1843111562539</v>
      </c>
      <c r="F1204" s="5"/>
      <c r="G1204" s="5"/>
      <c r="H1204" s="5"/>
      <c r="I1204" s="5"/>
      <c r="J1204" s="5"/>
      <c r="K1204" s="5"/>
      <c r="L1204" s="5"/>
      <c r="M1204" s="5"/>
      <c r="N1204" s="5"/>
    </row>
    <row r="1205" customFormat="false" ht="15" hidden="false" customHeight="false" outlineLevel="0" collapsed="false">
      <c r="A1205" s="71" t="n">
        <f aca="false">A1204+$F$3</f>
        <v>23980</v>
      </c>
      <c r="B1205" s="71" t="n">
        <f aca="false">SUMPRODUCT(固有振動数!$Q$6:$Q$22*(1-($A1205/固有振動数!$O$6:$O$22)^2)/((1-($A1205/固有振動数!$O$6:$O$22)^2)^2+固有振動数!$P$6:$P$22^2))</f>
        <v>-3.74841208957936</v>
      </c>
      <c r="C1205" s="71" t="n">
        <f aca="false">-SUMPRODUCT(固有振動数!$Q$6:$Q$22*固有振動数!$P$6:$P$22/((1-($A1205/固有振動数!$O$6:$O$22)^2)^2+固有振動数!$P$6:$P$22^2))</f>
        <v>-2.79231935574169</v>
      </c>
      <c r="D1205" s="71" t="n">
        <f aca="false">SQRT(B1205^2+C1205^2)</f>
        <v>4.6741459730901</v>
      </c>
      <c r="E1205" s="72" t="n">
        <f aca="false">20*LOG10(MAX(D1205,0.000000000001)/$K$3)</f>
        <v>13.3940454247853</v>
      </c>
      <c r="F1205" s="5"/>
      <c r="G1205" s="5"/>
      <c r="H1205" s="5"/>
      <c r="I1205" s="5"/>
      <c r="J1205" s="5"/>
      <c r="K1205" s="5"/>
      <c r="L1205" s="5"/>
      <c r="M1205" s="5"/>
      <c r="N1205" s="5"/>
    </row>
    <row r="1206" customFormat="false" ht="15" hidden="false" customHeight="false" outlineLevel="0" collapsed="false">
      <c r="A1206" s="71" t="n">
        <f aca="false">A1205+$F$3</f>
        <v>24000</v>
      </c>
      <c r="B1206" s="71" t="n">
        <f aca="false">SUMPRODUCT(固有振動数!$Q$6:$Q$22*(1-($A1206/固有振動数!$O$6:$O$22)^2)/((1-($A1206/固有振動数!$O$6:$O$22)^2)^2+固有振動数!$P$6:$P$22^2))</f>
        <v>-3.30377183187772</v>
      </c>
      <c r="C1206" s="71" t="n">
        <f aca="false">-SUMPRODUCT(固有振動数!$Q$6:$Q$22*固有振動数!$P$6:$P$22/((1-($A1206/固有振動数!$O$6:$O$22)^2)^2+固有振動数!$P$6:$P$22^2))</f>
        <v>-2.68325056677238</v>
      </c>
      <c r="D1206" s="71" t="n">
        <f aca="false">SQRT(B1206^2+C1206^2)</f>
        <v>4.25614167071457</v>
      </c>
      <c r="E1206" s="72" t="n">
        <f aca="false">20*LOG10(MAX(D1206,0.000000000001)/$K$3)</f>
        <v>12.5803215106721</v>
      </c>
      <c r="F1206" s="5"/>
      <c r="G1206" s="5"/>
      <c r="H1206" s="5"/>
      <c r="I1206" s="5"/>
      <c r="J1206" s="5"/>
      <c r="K1206" s="5"/>
      <c r="L1206" s="5"/>
      <c r="M1206" s="5"/>
      <c r="N1206" s="5"/>
    </row>
    <row r="1207" customFormat="false" ht="15" hidden="false" customHeight="false" outlineLevel="0" collapsed="false">
      <c r="A1207" s="71" t="n">
        <f aca="false">A1206+$F$3</f>
        <v>24020</v>
      </c>
      <c r="B1207" s="71" t="n">
        <f aca="false">SUMPRODUCT(固有振動数!$Q$6:$Q$22*(1-($A1207/固有振動数!$O$6:$O$22)^2)/((1-($A1207/固有振動数!$O$6:$O$22)^2)^2+固有振動数!$P$6:$P$22^2))</f>
        <v>-2.87602311028091</v>
      </c>
      <c r="C1207" s="71" t="n">
        <f aca="false">-SUMPRODUCT(固有振動数!$Q$6:$Q$22*固有振動数!$P$6:$P$22/((1-($A1207/固有振動数!$O$6:$O$22)^2)^2+固有振動数!$P$6:$P$22^2))</f>
        <v>-2.58274194772932</v>
      </c>
      <c r="D1207" s="71" t="n">
        <f aca="false">SQRT(B1207^2+C1207^2)</f>
        <v>3.86549672091835</v>
      </c>
      <c r="E1207" s="72" t="n">
        <f aca="false">20*LOG10(MAX(D1207,0.000000000001)/$K$3)</f>
        <v>11.7441061839378</v>
      </c>
      <c r="F1207" s="5"/>
      <c r="G1207" s="5"/>
      <c r="H1207" s="5"/>
      <c r="I1207" s="5"/>
      <c r="J1207" s="5"/>
      <c r="K1207" s="5"/>
      <c r="L1207" s="5"/>
      <c r="M1207" s="5"/>
      <c r="N1207" s="5"/>
    </row>
    <row r="1208" customFormat="false" ht="15" hidden="false" customHeight="false" outlineLevel="0" collapsed="false">
      <c r="A1208" s="71" t="n">
        <f aca="false">A1207+$F$3</f>
        <v>24040</v>
      </c>
      <c r="B1208" s="71" t="n">
        <f aca="false">SUMPRODUCT(固有振動数!$Q$6:$Q$22*(1-($A1208/固有振動数!$O$6:$O$22)^2)/((1-($A1208/固有振動数!$O$6:$O$22)^2)^2+固有振動数!$P$6:$P$22^2))</f>
        <v>-2.46394817556862</v>
      </c>
      <c r="C1208" s="71" t="n">
        <f aca="false">-SUMPRODUCT(固有振動数!$Q$6:$Q$22*固有振動数!$P$6:$P$22/((1-($A1208/固有振動数!$O$6:$O$22)^2)^2+固有振動数!$P$6:$P$22^2))</f>
        <v>-2.49000576503688</v>
      </c>
      <c r="D1208" s="71" t="n">
        <f aca="false">SQRT(B1208^2+C1208^2)</f>
        <v>3.50302288342581</v>
      </c>
      <c r="E1208" s="72" t="n">
        <f aca="false">20*LOG10(MAX(D1208,0.000000000001)/$K$3)</f>
        <v>10.8888594869367</v>
      </c>
      <c r="F1208" s="5"/>
      <c r="G1208" s="5"/>
      <c r="H1208" s="5"/>
      <c r="I1208" s="5"/>
      <c r="J1208" s="5"/>
      <c r="K1208" s="5"/>
      <c r="L1208" s="5"/>
      <c r="M1208" s="5"/>
      <c r="N1208" s="5"/>
    </row>
    <row r="1209" customFormat="false" ht="15" hidden="false" customHeight="false" outlineLevel="0" collapsed="false">
      <c r="A1209" s="71" t="n">
        <f aca="false">A1208+$F$3</f>
        <v>24060</v>
      </c>
      <c r="B1209" s="71" t="n">
        <f aca="false">SUMPRODUCT(固有振動数!$Q$6:$Q$22*(1-($A1209/固有振動数!$O$6:$O$22)^2)/((1-($A1209/固有振動数!$O$6:$O$22)^2)^2+固有振動数!$P$6:$P$22^2))</f>
        <v>-2.06643088403383</v>
      </c>
      <c r="C1209" s="71" t="n">
        <f aca="false">-SUMPRODUCT(固有振動数!$Q$6:$Q$22*固有振動数!$P$6:$P$22/((1-($A1209/固有振動数!$O$6:$O$22)^2)^2+固有振動数!$P$6:$P$22^2))</f>
        <v>-2.40434511578485</v>
      </c>
      <c r="D1209" s="71" t="n">
        <f aca="false">SQRT(B1209^2+C1209^2)</f>
        <v>3.17033311093445</v>
      </c>
      <c r="E1209" s="72" t="n">
        <f aca="false">20*LOG10(MAX(D1209,0.000000000001)/$K$3)</f>
        <v>10.0220979297821</v>
      </c>
      <c r="F1209" s="5"/>
      <c r="G1209" s="5"/>
      <c r="H1209" s="5"/>
      <c r="I1209" s="5"/>
      <c r="J1209" s="5"/>
      <c r="K1209" s="5"/>
      <c r="L1209" s="5"/>
      <c r="M1209" s="5"/>
      <c r="N1209" s="5"/>
    </row>
    <row r="1210" customFormat="false" ht="15" hidden="false" customHeight="false" outlineLevel="0" collapsed="false">
      <c r="A1210" s="71" t="n">
        <f aca="false">A1209+$F$3</f>
        <v>24080</v>
      </c>
      <c r="B1210" s="71" t="n">
        <f aca="false">SUMPRODUCT(固有振動数!$Q$6:$Q$22*(1-($A1210/固有振動数!$O$6:$O$22)^2)/((1-($A1210/固有振動数!$O$6:$O$22)^2)^2+固有振動数!$P$6:$P$22^2))</f>
        <v>-1.68244628564558</v>
      </c>
      <c r="C1210" s="71" t="n">
        <f aca="false">-SUMPRODUCT(固有振動数!$Q$6:$Q$22*固有振動数!$P$6:$P$22/((1-($A1210/固有振動数!$O$6:$O$22)^2)^2+固有振動数!$P$6:$P$22^2))</f>
        <v>-2.32514188111801</v>
      </c>
      <c r="D1210" s="71" t="n">
        <f aca="false">SQRT(B1210^2+C1210^2)</f>
        <v>2.87000178944397</v>
      </c>
      <c r="E1210" s="72" t="n">
        <f aca="false">20*LOG10(MAX(D1210,0.000000000001)/$K$3)</f>
        <v>9.15764335032723</v>
      </c>
      <c r="F1210" s="5"/>
      <c r="G1210" s="5"/>
      <c r="H1210" s="5"/>
      <c r="I1210" s="5"/>
      <c r="J1210" s="5"/>
      <c r="K1210" s="5"/>
      <c r="L1210" s="5"/>
      <c r="M1210" s="5"/>
      <c r="N1210" s="5"/>
    </row>
    <row r="1211" customFormat="false" ht="15" hidden="false" customHeight="false" outlineLevel="0" collapsed="false">
      <c r="A1211" s="71" t="n">
        <f aca="false">A1210+$F$3</f>
        <v>24100</v>
      </c>
      <c r="B1211" s="71" t="n">
        <f aca="false">SUMPRODUCT(固有振動数!$Q$6:$Q$22*(1-($A1211/固有振動数!$O$6:$O$22)^2)/((1-($A1211/固有振動数!$O$6:$O$22)^2)^2+固有振動数!$P$6:$P$22^2))</f>
        <v>-1.31105139737323</v>
      </c>
      <c r="C1211" s="71" t="n">
        <f aca="false">-SUMPRODUCT(固有振動数!$Q$6:$Q$22*固有振動数!$P$6:$P$22/((1-($A1211/固有振動数!$O$6:$O$22)^2)^2+固有振動数!$P$6:$P$22^2))</f>
        <v>-2.25184649938428</v>
      </c>
      <c r="D1211" s="71" t="n">
        <f aca="false">SQRT(B1211^2+C1211^2)</f>
        <v>2.6056992196613</v>
      </c>
      <c r="E1211" s="72" t="n">
        <f aca="false">20*LOG10(MAX(D1211,0.000000000001)/$K$3)</f>
        <v>8.31848565822714</v>
      </c>
      <c r="F1211" s="5"/>
      <c r="G1211" s="5"/>
      <c r="H1211" s="5"/>
      <c r="I1211" s="5"/>
      <c r="J1211" s="5"/>
      <c r="K1211" s="5"/>
      <c r="L1211" s="5"/>
      <c r="M1211" s="5"/>
      <c r="N1211" s="5"/>
    </row>
    <row r="1212" customFormat="false" ht="15" hidden="false" customHeight="false" outlineLevel="0" collapsed="false">
      <c r="A1212" s="71" t="n">
        <f aca="false">A1211+$F$3</f>
        <v>24120</v>
      </c>
      <c r="B1212" s="71" t="n">
        <f aca="false">SUMPRODUCT(固有振動数!$Q$6:$Q$22*(1-($A1212/固有振動数!$O$6:$O$22)^2)/((1-($A1212/固有振動数!$O$6:$O$22)^2)^2+固有振動数!$P$6:$P$22^2))</f>
        <v>-0.951377014851966</v>
      </c>
      <c r="C1212" s="71" t="n">
        <f aca="false">-SUMPRODUCT(固有振動数!$Q$6:$Q$22*固有振動数!$P$6:$P$22/((1-($A1212/固有振動数!$O$6:$O$22)^2)^2+固有振動数!$P$6:$P$22^2))</f>
        <v>-2.18396925426343</v>
      </c>
      <c r="D1212" s="71" t="n">
        <f aca="false">SQRT(B1212^2+C1212^2)</f>
        <v>2.38219225251796</v>
      </c>
      <c r="E1212" s="72" t="n">
        <f aca="false">20*LOG10(MAX(D1212,0.000000000001)/$K$3)</f>
        <v>7.53953615753159</v>
      </c>
      <c r="F1212" s="5"/>
      <c r="G1212" s="5"/>
      <c r="H1212" s="5"/>
      <c r="I1212" s="5"/>
      <c r="J1212" s="5"/>
      <c r="K1212" s="5"/>
      <c r="L1212" s="5"/>
      <c r="M1212" s="5"/>
      <c r="N1212" s="5"/>
    </row>
    <row r="1213" customFormat="false" ht="15" hidden="false" customHeight="false" outlineLevel="0" collapsed="false">
      <c r="A1213" s="71" t="n">
        <f aca="false">A1212+$F$3</f>
        <v>24140</v>
      </c>
      <c r="B1213" s="71" t="n">
        <f aca="false">SUMPRODUCT(固有振動数!$Q$6:$Q$22*(1-($A1213/固有振動数!$O$6:$O$22)^2)/((1-($A1213/固有振動数!$O$6:$O$22)^2)^2+固有振動数!$P$6:$P$22^2))</f>
        <v>-0.602620434196385</v>
      </c>
      <c r="C1213" s="71" t="n">
        <f aca="false">-SUMPRODUCT(固有振動数!$Q$6:$Q$22*固有振動数!$P$6:$P$22/((1-($A1213/固有振動数!$O$6:$O$22)^2)^2+固有振動数!$P$6:$P$22^2))</f>
        <v>-2.12107282899812</v>
      </c>
      <c r="D1213" s="71" t="n">
        <f aca="false">SQRT(B1213^2+C1213^2)</f>
        <v>2.20501730914411</v>
      </c>
      <c r="E1213" s="72" t="n">
        <f aca="false">20*LOG10(MAX(D1213,0.000000000001)/$K$3)</f>
        <v>6.86824005962607</v>
      </c>
      <c r="F1213" s="5"/>
      <c r="G1213" s="5"/>
      <c r="H1213" s="5"/>
      <c r="I1213" s="5"/>
      <c r="J1213" s="5"/>
      <c r="K1213" s="5"/>
      <c r="L1213" s="5"/>
      <c r="M1213" s="5"/>
      <c r="N1213" s="5"/>
    </row>
    <row r="1214" customFormat="false" ht="15" hidden="false" customHeight="false" outlineLevel="0" collapsed="false">
      <c r="A1214" s="71" t="n">
        <f aca="false">A1213+$F$3</f>
        <v>24160</v>
      </c>
      <c r="B1214" s="71" t="n">
        <f aca="false">SUMPRODUCT(固有振動数!$Q$6:$Q$22*(1-($A1214/固有振動数!$O$6:$O$22)^2)/((1-($A1214/固有振動数!$O$6:$O$22)^2)^2+固有振動数!$P$6:$P$22^2))</f>
        <v>-0.26403897217634</v>
      </c>
      <c r="C1214" s="71" t="n">
        <f aca="false">-SUMPRODUCT(固有振動数!$Q$6:$Q$22*固有振動数!$P$6:$P$22/((1-($A1214/固有振動数!$O$6:$O$22)^2)^2+固有振動数!$P$6:$P$22^2))</f>
        <v>-2.06276592266951</v>
      </c>
      <c r="D1214" s="71" t="n">
        <f aca="false">SQRT(B1214^2+C1214^2)</f>
        <v>2.07959607389381</v>
      </c>
      <c r="E1214" s="72" t="n">
        <f aca="false">20*LOG10(MAX(D1214,0.000000000001)/$K$3)</f>
        <v>6.35957977700171</v>
      </c>
      <c r="F1214" s="5"/>
      <c r="G1214" s="5"/>
      <c r="H1214" s="5"/>
      <c r="I1214" s="5"/>
      <c r="J1214" s="5"/>
      <c r="K1214" s="5"/>
      <c r="L1214" s="5"/>
      <c r="M1214" s="5"/>
      <c r="N1214" s="5"/>
    </row>
    <row r="1215" customFormat="false" ht="15" hidden="false" customHeight="false" outlineLevel="0" collapsed="false">
      <c r="A1215" s="71" t="n">
        <f aca="false">A1214+$F$3</f>
        <v>24180</v>
      </c>
      <c r="B1215" s="71" t="n">
        <f aca="false">SUMPRODUCT(固有振動数!$Q$6:$Q$22*(1-($A1215/固有振動数!$O$6:$O$22)^2)/((1-($A1215/固有振動数!$O$6:$O$22)^2)^2+固有振動数!$P$6:$P$22^2))</f>
        <v>0.0650558126665618</v>
      </c>
      <c r="C1215" s="71" t="n">
        <f aca="false">-SUMPRODUCT(固有振動数!$Q$6:$Q$22*固有振動数!$P$6:$P$22/((1-($A1215/固有振動数!$O$6:$O$22)^2)^2+固有振動数!$P$6:$P$22^2))</f>
        <v>-2.00869776055089</v>
      </c>
      <c r="D1215" s="71" t="n">
        <f aca="false">SQRT(B1215^2+C1215^2)</f>
        <v>2.0097509676584</v>
      </c>
      <c r="E1215" s="72" t="n">
        <f aca="false">20*LOG10(MAX(D1215,0.000000000001)/$K$3)</f>
        <v>6.06284492878542</v>
      </c>
      <c r="F1215" s="5"/>
      <c r="G1215" s="5"/>
      <c r="H1215" s="5"/>
      <c r="I1215" s="5"/>
      <c r="J1215" s="5"/>
      <c r="K1215" s="5"/>
      <c r="L1215" s="5"/>
      <c r="M1215" s="5"/>
      <c r="N1215" s="5"/>
    </row>
    <row r="1216" customFormat="false" ht="15" hidden="false" customHeight="false" outlineLevel="0" collapsed="false">
      <c r="A1216" s="71" t="n">
        <f aca="false">A1215+$F$3</f>
        <v>24200</v>
      </c>
      <c r="B1216" s="71" t="n">
        <f aca="false">SUMPRODUCT(固有振動数!$Q$6:$Q$22*(1-($A1216/固有振動数!$O$6:$O$22)^2)/((1-($A1216/固有振動数!$O$6:$O$22)^2)^2+固有振動数!$P$6:$P$22^2))</f>
        <v>0.385303282853581</v>
      </c>
      <c r="C1216" s="71" t="n">
        <f aca="false">-SUMPRODUCT(固有振動数!$Q$6:$Q$22*固有振動数!$P$6:$P$22/((1-($A1216/固有振動数!$O$6:$O$22)^2)^2+固有振動数!$P$6:$P$22^2))</f>
        <v>-1.95855335975872</v>
      </c>
      <c r="D1216" s="71" t="n">
        <f aca="false">SQRT(B1216^2+C1216^2)</f>
        <v>1.99609365581877</v>
      </c>
      <c r="E1216" s="72" t="n">
        <f aca="false">20*LOG10(MAX(D1216,0.000000000001)/$K$3)</f>
        <v>6.00361828663292</v>
      </c>
      <c r="F1216" s="5"/>
      <c r="G1216" s="5"/>
      <c r="H1216" s="5"/>
      <c r="I1216" s="5"/>
      <c r="J1216" s="5"/>
      <c r="K1216" s="5"/>
      <c r="L1216" s="5"/>
      <c r="M1216" s="5"/>
      <c r="N1216" s="5"/>
    </row>
    <row r="1217" customFormat="false" ht="15" hidden="false" customHeight="false" outlineLevel="0" collapsed="false">
      <c r="A1217" s="71" t="n">
        <f aca="false">A1216+$F$3</f>
        <v>24220</v>
      </c>
      <c r="B1217" s="71" t="n">
        <f aca="false">SUMPRODUCT(固有振動数!$Q$6:$Q$22*(1-($A1217/固有振動数!$O$6:$O$22)^2)/((1-($A1217/固有振動数!$O$6:$O$22)^2)^2+固有振動数!$P$6:$P$22^2))</f>
        <v>0.697298342756926</v>
      </c>
      <c r="C1217" s="71" t="n">
        <f aca="false">-SUMPRODUCT(固有振動数!$Q$6:$Q$22*固有振動数!$P$6:$P$22/((1-($A1217/固有振動数!$O$6:$O$22)^2)^2+固有振動数!$P$6:$P$22^2))</f>
        <v>-1.9120494351155</v>
      </c>
      <c r="D1217" s="71" t="n">
        <f aca="false">SQRT(B1217^2+C1217^2)</f>
        <v>2.03522923061189</v>
      </c>
      <c r="E1217" s="72" t="n">
        <f aca="false">20*LOG10(MAX(D1217,0.000000000001)/$K$3)</f>
        <v>6.17226662978193</v>
      </c>
      <c r="F1217" s="5"/>
      <c r="G1217" s="5"/>
      <c r="H1217" s="5"/>
      <c r="I1217" s="5"/>
      <c r="J1217" s="5"/>
      <c r="K1217" s="5"/>
      <c r="L1217" s="5"/>
      <c r="M1217" s="5"/>
      <c r="N1217" s="5"/>
    </row>
    <row r="1218" customFormat="false" ht="15" hidden="false" customHeight="false" outlineLevel="0" collapsed="false">
      <c r="A1218" s="71" t="n">
        <f aca="false">A1217+$F$3</f>
        <v>24240</v>
      </c>
      <c r="B1218" s="71" t="n">
        <f aca="false">SUMPRODUCT(固有振動数!$Q$6:$Q$22*(1-($A1218/固有振動数!$O$6:$O$22)^2)/((1-($A1218/固有振動数!$O$6:$O$22)^2)^2+固有振動数!$P$6:$P$22^2))</f>
        <v>1.0015955818856</v>
      </c>
      <c r="C1218" s="71" t="n">
        <f aca="false">-SUMPRODUCT(固有振動数!$Q$6:$Q$22*固有振動数!$P$6:$P$22/((1-($A1218/固有振動数!$O$6:$O$22)^2)^2+固有振動数!$P$6:$P$22^2))</f>
        <v>-1.86893084945474</v>
      </c>
      <c r="D1218" s="71" t="n">
        <f aca="false">SQRT(B1218^2+C1218^2)</f>
        <v>2.12040001643472</v>
      </c>
      <c r="E1218" s="72" t="n">
        <f aca="false">20*LOG10(MAX(D1218,0.000000000001)/$K$3)</f>
        <v>6.52835597841007</v>
      </c>
      <c r="F1218" s="5"/>
      <c r="G1218" s="5"/>
      <c r="H1218" s="5"/>
      <c r="I1218" s="5"/>
      <c r="J1218" s="5"/>
      <c r="K1218" s="5"/>
      <c r="L1218" s="5"/>
      <c r="M1218" s="5"/>
      <c r="N1218" s="5"/>
    </row>
    <row r="1219" customFormat="false" ht="15" hidden="false" customHeight="false" outlineLevel="0" collapsed="false">
      <c r="A1219" s="71" t="n">
        <f aca="false">A1218+$F$3</f>
        <v>24260</v>
      </c>
      <c r="B1219" s="71" t="n">
        <f aca="false">SUMPRODUCT(固有振動数!$Q$6:$Q$22*(1-($A1219/固有振動数!$O$6:$O$22)^2)/((1-($A1219/固有振動数!$O$6:$O$22)^2)^2+固有振動数!$P$6:$P$22^2))</f>
        <v>1.29871299701992</v>
      </c>
      <c r="C1219" s="71" t="n">
        <f aca="false">-SUMPRODUCT(固有振動数!$Q$6:$Q$22*固有振動数!$P$6:$P$22/((1-($A1219/固有振動数!$O$6:$O$22)^2)^2+固有振動数!$P$6:$P$22^2))</f>
        <v>-1.82896752840186</v>
      </c>
      <c r="D1219" s="71" t="n">
        <f aca="false">SQRT(B1219^2+C1219^2)</f>
        <v>2.24316242581247</v>
      </c>
      <c r="E1219" s="72" t="n">
        <f aca="false">20*LOG10(MAX(D1219,0.000000000001)/$K$3)</f>
        <v>7.01721443358636</v>
      </c>
      <c r="F1219" s="5"/>
      <c r="G1219" s="5"/>
      <c r="H1219" s="5"/>
      <c r="I1219" s="5"/>
      <c r="J1219" s="5"/>
      <c r="K1219" s="5"/>
      <c r="L1219" s="5"/>
      <c r="M1219" s="5"/>
      <c r="N1219" s="5"/>
    </row>
    <row r="1220" customFormat="false" ht="15" hidden="false" customHeight="false" outlineLevel="0" collapsed="false">
      <c r="A1220" s="71" t="n">
        <f aca="false">A1219+$F$3</f>
        <v>24280</v>
      </c>
      <c r="B1220" s="71" t="n">
        <f aca="false">SUMPRODUCT(固有振動数!$Q$6:$Q$22*(1-($A1220/固有振動数!$O$6:$O$22)^2)/((1-($A1220/固有振動数!$O$6:$O$22)^2)^2+固有振動数!$P$6:$P$22^2))</f>
        <v>1.58913534243983</v>
      </c>
      <c r="C1220" s="71" t="n">
        <f aca="false">-SUMPRODUCT(固有振動数!$Q$6:$Q$22*固有振動数!$P$6:$P$22/((1-($A1220/固有振動数!$O$6:$O$22)^2)^2+固有振動数!$P$6:$P$22^2))</f>
        <v>-1.79195177264509</v>
      </c>
      <c r="D1220" s="71" t="n">
        <f aca="false">SQRT(B1220^2+C1220^2)</f>
        <v>2.39508711575952</v>
      </c>
      <c r="E1220" s="72" t="n">
        <f aca="false">20*LOG10(MAX(D1220,0.000000000001)/$K$3)</f>
        <v>7.58642628992252</v>
      </c>
      <c r="F1220" s="5"/>
      <c r="G1220" s="5"/>
      <c r="H1220" s="5"/>
      <c r="I1220" s="5"/>
      <c r="J1220" s="5"/>
      <c r="K1220" s="5"/>
      <c r="L1220" s="5"/>
      <c r="M1220" s="5"/>
      <c r="N1220" s="5"/>
    </row>
    <row r="1221" customFormat="false" ht="15" hidden="false" customHeight="false" outlineLevel="0" collapsed="false">
      <c r="A1221" s="71" t="n">
        <f aca="false">A1220+$F$3</f>
        <v>24300</v>
      </c>
      <c r="B1221" s="71" t="n">
        <f aca="false">SUMPRODUCT(固有振動数!$Q$6:$Q$22*(1-($A1221/固有振動数!$O$6:$O$22)^2)/((1-($A1221/固有振動数!$O$6:$O$22)^2)^2+固有振動数!$P$6:$P$22^2))</f>
        <v>1.87331715134157</v>
      </c>
      <c r="C1221" s="71" t="n">
        <f aca="false">-SUMPRODUCT(固有振動数!$Q$6:$Q$22*固有振動数!$P$6:$P$22/((1-($A1221/固有振動数!$O$6:$O$22)^2)^2+固有振動数!$P$6:$P$22^2))</f>
        <v>-1.75769591140818</v>
      </c>
      <c r="D1221" s="71" t="n">
        <f aca="false">SQRT(B1221^2+C1221^2)</f>
        <v>2.5688153040831</v>
      </c>
      <c r="E1221" s="72" t="n">
        <f aca="false">20*LOG10(MAX(D1221,0.000000000001)/$K$3)</f>
        <v>8.19465759874788</v>
      </c>
      <c r="F1221" s="5"/>
      <c r="G1221" s="5"/>
      <c r="H1221" s="5"/>
      <c r="I1221" s="5"/>
      <c r="J1221" s="5"/>
      <c r="K1221" s="5"/>
      <c r="L1221" s="5"/>
      <c r="M1221" s="5"/>
      <c r="N1221" s="5"/>
    </row>
    <row r="1222" customFormat="false" ht="15" hidden="false" customHeight="false" outlineLevel="0" collapsed="false">
      <c r="A1222" s="71" t="n">
        <f aca="false">A1221+$F$3</f>
        <v>24320</v>
      </c>
      <c r="B1222" s="71" t="n">
        <f aca="false">SUMPRODUCT(固有振動数!$Q$6:$Q$22*(1-($A1222/固有振動数!$O$6:$O$22)^2)/((1-($A1222/固有振動数!$O$6:$O$22)^2)^2+固有振動数!$P$6:$P$22^2))</f>
        <v>2.15168546620441</v>
      </c>
      <c r="C1222" s="71" t="n">
        <f aca="false">-SUMPRODUCT(固有振動数!$Q$6:$Q$22*固有振動数!$P$6:$P$22/((1-($A1222/固有振動数!$O$6:$O$22)^2)^2+固有振動数!$P$6:$P$22^2))</f>
        <v>-1.72603024968589</v>
      </c>
      <c r="D1222" s="71" t="n">
        <f aca="false">SQRT(B1222^2+C1222^2)</f>
        <v>2.7584290399258</v>
      </c>
      <c r="E1222" s="72" t="n">
        <f aca="false">20*LOG10(MAX(D1222,0.000000000001)/$K$3)</f>
        <v>8.81323632585311</v>
      </c>
      <c r="F1222" s="5"/>
      <c r="G1222" s="5"/>
      <c r="H1222" s="5"/>
      <c r="I1222" s="5"/>
      <c r="J1222" s="5"/>
      <c r="K1222" s="5"/>
      <c r="L1222" s="5"/>
      <c r="M1222" s="5"/>
      <c r="N1222" s="5"/>
    </row>
    <row r="1223" customFormat="false" ht="15" hidden="false" customHeight="false" outlineLevel="0" collapsed="false">
      <c r="A1223" s="71" t="n">
        <f aca="false">A1222+$F$3</f>
        <v>24340</v>
      </c>
      <c r="B1223" s="71" t="n">
        <f aca="false">SUMPRODUCT(固有振動数!$Q$6:$Q$22*(1-($A1223/固有振動数!$O$6:$O$22)^2)/((1-($A1223/固有振動数!$O$6:$O$22)^2)^2+固有振動数!$P$6:$P$22^2))</f>
        <v>2.42464231124892</v>
      </c>
      <c r="C1223" s="71" t="n">
        <f aca="false">-SUMPRODUCT(固有振動数!$Q$6:$Q$22*固有振動数!$P$6:$P$22/((1-($A1223/固有振動数!$O$6:$O$22)^2)^2+固有振動数!$P$6:$P$22^2))</f>
        <v>-1.69680126914718</v>
      </c>
      <c r="D1223" s="71" t="n">
        <f aca="false">SQRT(B1223^2+C1223^2)</f>
        <v>2.95939603373358</v>
      </c>
      <c r="E1223" s="72" t="n">
        <f aca="false">20*LOG10(MAX(D1223,0.000000000001)/$K$3)</f>
        <v>9.42406174833742</v>
      </c>
      <c r="F1223" s="5"/>
      <c r="G1223" s="5"/>
      <c r="H1223" s="5"/>
      <c r="I1223" s="5"/>
      <c r="J1223" s="5"/>
      <c r="K1223" s="5"/>
      <c r="L1223" s="5"/>
      <c r="M1223" s="5"/>
      <c r="N1223" s="5"/>
    </row>
    <row r="1224" customFormat="false" ht="15" hidden="false" customHeight="false" outlineLevel="0" collapsed="false">
      <c r="A1224" s="71" t="n">
        <f aca="false">A1223+$F$3</f>
        <v>24360</v>
      </c>
      <c r="B1224" s="71" t="n">
        <f aca="false">SUMPRODUCT(固有振動数!$Q$6:$Q$22*(1-($A1224/固有振動数!$O$6:$O$22)^2)/((1-($A1224/固有振動数!$O$6:$O$22)^2)^2+固有振動数!$P$6:$P$22^2))</f>
        <v>2.6925669361191</v>
      </c>
      <c r="C1224" s="71" t="n">
        <f aca="false">-SUMPRODUCT(固有振動数!$Q$6:$Q$22*固有振動数!$P$6:$P$22/((1-($A1224/固有振動数!$O$6:$O$22)^2)^2+固有振動数!$P$6:$P$22^2))</f>
        <v>-1.66987004872721</v>
      </c>
      <c r="D1224" s="71" t="n">
        <f aca="false">SQRT(B1224^2+C1224^2)</f>
        <v>3.16834068324699</v>
      </c>
      <c r="E1224" s="72" t="n">
        <f aca="false">20*LOG10(MAX(D1224,0.000000000001)/$K$3)</f>
        <v>10.0166374791778</v>
      </c>
      <c r="F1224" s="5"/>
      <c r="G1224" s="5"/>
      <c r="H1224" s="5"/>
      <c r="I1224" s="5"/>
      <c r="J1224" s="5"/>
      <c r="K1224" s="5"/>
      <c r="L1224" s="5"/>
      <c r="M1224" s="5"/>
      <c r="N1224" s="5"/>
    </row>
    <row r="1225" customFormat="false" ht="15" hidden="false" customHeight="false" outlineLevel="0" collapsed="false">
      <c r="A1225" s="71" t="n">
        <f aca="false">A1224+$F$3</f>
        <v>24380</v>
      </c>
      <c r="B1225" s="71" t="n">
        <f aca="false">SUMPRODUCT(固有振動数!$Q$6:$Q$22*(1-($A1225/固有振動数!$O$6:$O$22)^2)/((1-($A1225/固有振動数!$O$6:$O$22)^2)^2+固有振動数!$P$6:$P$22^2))</f>
        <v>2.95581785644319</v>
      </c>
      <c r="C1225" s="71" t="n">
        <f aca="false">-SUMPRODUCT(固有振動数!$Q$6:$Q$22*固有振動数!$P$6:$P$22/((1-($A1225/固有振動数!$O$6:$O$22)^2)^2+固有振動数!$P$6:$P$22^2))</f>
        <v>-1.64511087603831</v>
      </c>
      <c r="D1225" s="71" t="n">
        <f aca="false">SQRT(B1225^2+C1225^2)</f>
        <v>3.38278716370509</v>
      </c>
      <c r="E1225" s="72" t="n">
        <f aca="false">20*LOG10(MAX(D1225,0.000000000001)/$K$3)</f>
        <v>10.5854934790454</v>
      </c>
      <c r="F1225" s="5"/>
      <c r="G1225" s="5"/>
      <c r="H1225" s="5"/>
      <c r="I1225" s="5"/>
      <c r="J1225" s="5"/>
      <c r="K1225" s="5"/>
      <c r="L1225" s="5"/>
      <c r="M1225" s="5"/>
      <c r="N1225" s="5"/>
    </row>
    <row r="1226" customFormat="false" ht="15" hidden="false" customHeight="false" outlineLevel="0" collapsed="false">
      <c r="A1226" s="71" t="n">
        <f aca="false">A1225+$F$3</f>
        <v>24400</v>
      </c>
      <c r="B1226" s="71" t="n">
        <f aca="false">SUMPRODUCT(固有振動数!$Q$6:$Q$22*(1-($A1226/固有振動数!$O$6:$O$22)^2)/((1-($A1226/固有振動数!$O$6:$O$22)^2)^2+固有振動数!$P$6:$P$22^2))</f>
        <v>3.21473471390638</v>
      </c>
      <c r="C1226" s="71" t="n">
        <f aca="false">-SUMPRODUCT(固有振動数!$Q$6:$Q$22*固有振動数!$P$6:$P$22/((1-($A1226/固有振動数!$O$6:$O$22)^2)^2+固有振動数!$P$6:$P$22^2))</f>
        <v>-1.62241002501345</v>
      </c>
      <c r="D1226" s="71" t="n">
        <f aca="false">SQRT(B1226^2+C1226^2)</f>
        <v>3.6009350966185</v>
      </c>
      <c r="E1226" s="72" t="n">
        <f aca="false">20*LOG10(MAX(D1226,0.000000000001)/$K$3)</f>
        <v>11.1283058740546</v>
      </c>
      <c r="F1226" s="5"/>
      <c r="G1226" s="5"/>
      <c r="H1226" s="5"/>
      <c r="I1226" s="5"/>
      <c r="J1226" s="5"/>
      <c r="K1226" s="5"/>
      <c r="L1226" s="5"/>
      <c r="M1226" s="5"/>
      <c r="N1226" s="5"/>
    </row>
    <row r="1227" customFormat="false" ht="15" hidden="false" customHeight="false" outlineLevel="0" collapsed="false">
      <c r="A1227" s="71" t="n">
        <f aca="false">A1226+$F$3</f>
        <v>24420</v>
      </c>
      <c r="B1227" s="71" t="n">
        <f aca="false">SUMPRODUCT(固有振動数!$Q$6:$Q$22*(1-($A1227/固有振動数!$O$6:$O$22)^2)/((1-($A1227/固有振動数!$O$6:$O$22)^2)^2+固有振動数!$P$6:$P$22^2))</f>
        <v>3.46963997584374</v>
      </c>
      <c r="C1227" s="71" t="n">
        <f aca="false">-SUMPRODUCT(固有振動数!$Q$6:$Q$22*固有振動数!$P$6:$P$22/((1-($A1227/固有振動数!$O$6:$O$22)^2)^2+固有振動数!$P$6:$P$22^2))</f>
        <v>-1.60166467879634</v>
      </c>
      <c r="D1227" s="71" t="n">
        <f aca="false">SQRT(B1227^2+C1227^2)</f>
        <v>3.82148286732738</v>
      </c>
      <c r="E1227" s="72" t="n">
        <f aca="false">20*LOG10(MAX(D1227,0.000000000001)/$K$3)</f>
        <v>11.6446383374707</v>
      </c>
      <c r="F1227" s="5"/>
      <c r="G1227" s="5"/>
      <c r="H1227" s="5"/>
      <c r="I1227" s="5"/>
      <c r="J1227" s="5"/>
      <c r="K1227" s="5"/>
      <c r="L1227" s="5"/>
      <c r="M1227" s="5"/>
      <c r="N1227" s="5"/>
    </row>
    <row r="1228" customFormat="false" ht="15" hidden="false" customHeight="false" outlineLevel="0" collapsed="false">
      <c r="A1228" s="71" t="n">
        <f aca="false">A1227+$F$3</f>
        <v>24440</v>
      </c>
      <c r="B1228" s="71" t="n">
        <f aca="false">SUMPRODUCT(固有振動数!$Q$6:$Q$22*(1-($A1228/固有振動数!$O$6:$O$22)^2)/((1-($A1228/固有振動数!$O$6:$O$22)^2)^2+固有振動数!$P$6:$P$22^2))</f>
        <v>3.72084049207616</v>
      </c>
      <c r="C1228" s="71" t="n">
        <f aca="false">-SUMPRODUCT(固有振動数!$Q$6:$Q$22*固有振動数!$P$6:$P$22/((1-($A1228/固有振動数!$O$6:$O$22)^2)^2+固有振動数!$P$6:$P$22^2))</f>
        <v>-1.58278197993054</v>
      </c>
      <c r="D1228" s="71" t="n">
        <f aca="false">SQRT(B1228^2+C1228^2)</f>
        <v>4.0434951172799</v>
      </c>
      <c r="E1228" s="72" t="n">
        <f aca="false">20*LOG10(MAX(D1228,0.000000000001)/$K$3)</f>
        <v>12.1351384602982</v>
      </c>
      <c r="F1228" s="5"/>
      <c r="G1228" s="5"/>
      <c r="H1228" s="5"/>
      <c r="I1228" s="5"/>
      <c r="J1228" s="5"/>
      <c r="K1228" s="5"/>
      <c r="L1228" s="5"/>
      <c r="M1228" s="5"/>
      <c r="N1228" s="5"/>
    </row>
    <row r="1229" customFormat="false" ht="15" hidden="false" customHeight="false" outlineLevel="0" collapsed="false">
      <c r="A1229" s="71" t="n">
        <f aca="false">A1228+$F$3</f>
        <v>24460</v>
      </c>
      <c r="B1229" s="71" t="n">
        <f aca="false">SUMPRODUCT(固有振動数!$Q$6:$Q$22*(1-($A1229/固有振動数!$O$6:$O$22)^2)/((1-($A1229/固有振動数!$O$6:$O$22)^2)^2+固有振動数!$P$6:$P$22^2))</f>
        <v>3.96862892472551</v>
      </c>
      <c r="C1229" s="71" t="n">
        <f aca="false">-SUMPRODUCT(固有振動数!$Q$6:$Q$22*固有振動数!$P$6:$P$22/((1-($A1229/固有振動数!$O$6:$O$22)^2)^2+固有振動数!$P$6:$P$22^2))</f>
        <v>-1.56567819247009</v>
      </c>
      <c r="D1229" s="71" t="n">
        <f aca="false">SQRT(B1229^2+C1229^2)</f>
        <v>4.2663056318722</v>
      </c>
      <c r="E1229" s="72" t="n">
        <f aca="false">20*LOG10(MAX(D1229,0.000000000001)/$K$3)</f>
        <v>12.6010392889397</v>
      </c>
      <c r="F1229" s="5"/>
      <c r="G1229" s="5"/>
      <c r="H1229" s="5"/>
      <c r="I1229" s="5"/>
      <c r="J1229" s="5"/>
      <c r="K1229" s="5"/>
      <c r="L1229" s="5"/>
      <c r="M1229" s="5"/>
      <c r="N1229" s="5"/>
    </row>
    <row r="1230" customFormat="false" ht="15" hidden="false" customHeight="false" outlineLevel="0" collapsed="false">
      <c r="A1230" s="71" t="n">
        <f aca="false">A1229+$F$3</f>
        <v>24480</v>
      </c>
      <c r="B1230" s="71" t="n">
        <f aca="false">SUMPRODUCT(固有振動数!$Q$6:$Q$22*(1-($A1230/固有振動数!$O$6:$O$22)^2)/((1-($A1230/固有振動数!$O$6:$O$22)^2)^2+固有振動数!$P$6:$P$22^2))</f>
        <v>4.21328506501302</v>
      </c>
      <c r="C1230" s="71" t="n">
        <f aca="false">-SUMPRODUCT(固有振動数!$Q$6:$Q$22*固有振動数!$P$6:$P$22/((1-($A1230/固有振動数!$O$6:$O$22)^2)^2+固有振動数!$P$6:$P$22^2))</f>
        <v>-1.55027796281713</v>
      </c>
      <c r="D1230" s="71" t="n">
        <f aca="false">SQRT(B1230^2+C1230^2)</f>
        <v>4.48944682573011</v>
      </c>
      <c r="E1230" s="72" t="n">
        <f aca="false">20*LOG10(MAX(D1230,0.000000000001)/$K$3)</f>
        <v>13.0438566404088</v>
      </c>
      <c r="F1230" s="5"/>
      <c r="G1230" s="5"/>
      <c r="H1230" s="5"/>
      <c r="I1230" s="5"/>
      <c r="J1230" s="5"/>
      <c r="K1230" s="5"/>
      <c r="L1230" s="5"/>
      <c r="M1230" s="5"/>
      <c r="N1230" s="5"/>
    </row>
    <row r="1231" customFormat="false" ht="15" hidden="false" customHeight="false" outlineLevel="0" collapsed="false">
      <c r="A1231" s="71" t="n">
        <f aca="false">A1230+$F$3</f>
        <v>24500</v>
      </c>
      <c r="B1231" s="71" t="n">
        <f aca="false">SUMPRODUCT(固有振動数!$Q$6:$Q$22*(1-($A1231/固有振動数!$O$6:$O$22)^2)/((1-($A1231/固有振動数!$O$6:$O$22)^2)^2+固有振動数!$P$6:$P$22^2))</f>
        <v>4.45507704953596</v>
      </c>
      <c r="C1231" s="71" t="n">
        <f aca="false">-SUMPRODUCT(固有振動数!$Q$6:$Q$22*固有振動数!$P$6:$P$22/((1-($A1231/固有振動数!$O$6:$O$22)^2)^2+固有振動数!$P$6:$P$22^2))</f>
        <v>-1.53651366795053</v>
      </c>
      <c r="D1231" s="71" t="n">
        <f aca="false">SQRT(B1231^2+C1231^2)</f>
        <v>4.71259862168431</v>
      </c>
      <c r="E1231" s="72" t="n">
        <f aca="false">20*LOG10(MAX(D1231,0.000000000001)/$K$3)</f>
        <v>13.4652090378796</v>
      </c>
      <c r="F1231" s="5"/>
      <c r="G1231" s="5"/>
      <c r="H1231" s="5"/>
      <c r="I1231" s="5"/>
      <c r="J1231" s="5"/>
      <c r="K1231" s="5"/>
      <c r="L1231" s="5"/>
      <c r="M1231" s="5"/>
      <c r="N1231" s="5"/>
    </row>
    <row r="1232" customFormat="false" ht="15" hidden="false" customHeight="false" outlineLevel="0" collapsed="false">
      <c r="A1232" s="71" t="n">
        <f aca="false">A1231+$F$3</f>
        <v>24520</v>
      </c>
      <c r="B1232" s="71" t="n">
        <f aca="false">SUMPRODUCT(固有振動数!$Q$6:$Q$22*(1-($A1232/固有振動数!$O$6:$O$22)^2)/((1-($A1232/固有振動数!$O$6:$O$22)^2)^2+固有振動数!$P$6:$P$22^2))</f>
        <v>4.69426248720382</v>
      </c>
      <c r="C1232" s="71" t="n">
        <f aca="false">-SUMPRODUCT(固有振動数!$Q$6:$Q$22*固有振動数!$P$6:$P$22/((1-($A1232/固有振動数!$O$6:$O$22)^2)^2+固有振動数!$P$6:$P$22^2))</f>
        <v>-1.52432484129891</v>
      </c>
      <c r="D1232" s="71" t="n">
        <f aca="false">SQRT(B1232^2+C1232^2)</f>
        <v>4.93555128841449</v>
      </c>
      <c r="E1232" s="72" t="n">
        <f aca="false">20*LOG10(MAX(D1232,0.000000000001)/$K$3)</f>
        <v>13.866713385886</v>
      </c>
      <c r="F1232" s="5"/>
      <c r="G1232" s="5"/>
      <c r="H1232" s="5"/>
      <c r="I1232" s="5"/>
      <c r="J1232" s="5"/>
      <c r="K1232" s="5"/>
      <c r="L1232" s="5"/>
      <c r="M1232" s="5"/>
      <c r="N1232" s="5"/>
    </row>
    <row r="1233" customFormat="false" ht="15" hidden="false" customHeight="false" outlineLevel="0" collapsed="false">
      <c r="A1233" s="71" t="n">
        <f aca="false">A1232+$F$3</f>
        <v>24540</v>
      </c>
      <c r="B1233" s="71" t="n">
        <f aca="false">SUMPRODUCT(固有振動数!$Q$6:$Q$22*(1-($A1233/固有振動数!$O$6:$O$22)^2)/((1-($A1233/固有振動数!$O$6:$O$22)^2)^2+固有振動数!$P$6:$P$22^2))</f>
        <v>4.93108950686818</v>
      </c>
      <c r="C1233" s="71" t="n">
        <f aca="false">-SUMPRODUCT(固有振動数!$Q$6:$Q$22*固有振動数!$P$6:$P$22/((1-($A1233/固有振動数!$O$6:$O$22)^2)^2+固有振動数!$P$6:$P$22^2))</f>
        <v>-1.51365766787438</v>
      </c>
      <c r="D1233" s="71" t="n">
        <f aca="false">SQRT(B1233^2+C1233^2)</f>
        <v>5.15817828891755</v>
      </c>
      <c r="E1233" s="72" t="n">
        <f aca="false">20*LOG10(MAX(D1233,0.000000000001)/$K$3)</f>
        <v>14.2499269830834</v>
      </c>
      <c r="F1233" s="5"/>
      <c r="G1233" s="5"/>
      <c r="H1233" s="5"/>
      <c r="I1233" s="5"/>
      <c r="J1233" s="5"/>
      <c r="K1233" s="5"/>
      <c r="L1233" s="5"/>
      <c r="M1233" s="5"/>
      <c r="N1233" s="5"/>
    </row>
    <row r="1234" customFormat="false" ht="15" hidden="false" customHeight="false" outlineLevel="0" collapsed="false">
      <c r="A1234" s="71" t="n">
        <f aca="false">A1233+$F$3</f>
        <v>24560</v>
      </c>
      <c r="B1234" s="71" t="n">
        <f aca="false">SUMPRODUCT(固有振動数!$Q$6:$Q$22*(1-($A1234/固有振動数!$O$6:$O$22)^2)/((1-($A1234/固有振動数!$O$6:$O$22)^2)^2+固有振動数!$P$6:$P$22^2))</f>
        <v>5.16579773468289</v>
      </c>
      <c r="C1234" s="71" t="n">
        <f aca="false">-SUMPRODUCT(固有振動数!$Q$6:$Q$22*固有振動数!$P$6:$P$22/((1-($A1234/固有振動数!$O$6:$O$22)^2)^2+固有振動数!$P$6:$P$22^2))</f>
        <v>-1.50446454145743</v>
      </c>
      <c r="D1234" s="71" t="n">
        <f aca="false">SQRT(B1234^2+C1234^2)</f>
        <v>5.38041632145298</v>
      </c>
      <c r="E1234" s="72" t="n">
        <f aca="false">20*LOG10(MAX(D1234,0.000000000001)/$K$3)</f>
        <v>14.6163176289947</v>
      </c>
      <c r="F1234" s="5"/>
      <c r="G1234" s="5"/>
      <c r="H1234" s="5"/>
      <c r="I1234" s="5"/>
      <c r="J1234" s="5"/>
      <c r="K1234" s="5"/>
      <c r="L1234" s="5"/>
      <c r="M1234" s="5"/>
      <c r="N1234" s="5"/>
    </row>
    <row r="1235" customFormat="false" ht="15" hidden="false" customHeight="false" outlineLevel="0" collapsed="false">
      <c r="A1235" s="71" t="n">
        <f aca="false">A1234+$F$3</f>
        <v>24580</v>
      </c>
      <c r="B1235" s="71" t="n">
        <f aca="false">SUMPRODUCT(固有振動数!$Q$6:$Q$22*(1-($A1235/固有振動数!$O$6:$O$22)^2)/((1-($A1235/固有振動数!$O$6:$O$22)^2)^2+固有振動数!$P$6:$P$22^2))</f>
        <v>5.3986192093624</v>
      </c>
      <c r="C1235" s="71" t="n">
        <f aca="false">-SUMPRODUCT(固有振動数!$Q$6:$Q$22*固有振動数!$P$6:$P$22/((1-($A1235/固有振動数!$O$6:$O$22)^2)^2+固有振動数!$P$6:$P$22^2))</f>
        <v>-1.4967036776388</v>
      </c>
      <c r="D1235" s="71" t="n">
        <f aca="false">SQRT(B1235^2+C1235^2)</f>
        <v>5.60225055369306</v>
      </c>
      <c r="E1235" s="72" t="n">
        <f aca="false">20*LOG10(MAX(D1235,0.000000000001)/$K$3)</f>
        <v>14.9672505640566</v>
      </c>
      <c r="F1235" s="5"/>
      <c r="G1235" s="5"/>
      <c r="H1235" s="5"/>
      <c r="I1235" s="5"/>
      <c r="J1235" s="5"/>
      <c r="K1235" s="5"/>
      <c r="L1235" s="5"/>
      <c r="M1235" s="5"/>
      <c r="N1235" s="5"/>
    </row>
    <row r="1236" customFormat="false" ht="15" hidden="false" customHeight="false" outlineLevel="0" collapsed="false">
      <c r="A1236" s="71" t="n">
        <f aca="false">A1235+$F$3</f>
        <v>24600</v>
      </c>
      <c r="B1236" s="71" t="n">
        <f aca="false">SUMPRODUCT(固有振動数!$Q$6:$Q$22*(1-($A1236/固有振動数!$O$6:$O$22)^2)/((1-($A1236/固有振動数!$O$6:$O$22)^2)^2+固有振動数!$P$6:$P$22^2))</f>
        <v>5.6297792427514</v>
      </c>
      <c r="C1236" s="71" t="n">
        <f aca="false">-SUMPRODUCT(固有振動数!$Q$6:$Q$22*固有振動数!$P$6:$P$22/((1-($A1236/固有振動数!$O$6:$O$22)^2)^2+固有振動数!$P$6:$P$22^2))</f>
        <v>-1.49033877740627</v>
      </c>
      <c r="D1236" s="71" t="n">
        <f aca="false">SQRT(B1236^2+C1236^2)</f>
        <v>5.82370363201591</v>
      </c>
      <c r="E1236" s="72" t="n">
        <f aca="false">20*LOG10(MAX(D1236,0.000000000001)/$K$3)</f>
        <v>15.303985312861</v>
      </c>
      <c r="F1236" s="5"/>
      <c r="G1236" s="5"/>
      <c r="H1236" s="5"/>
      <c r="I1236" s="5"/>
      <c r="J1236" s="5"/>
      <c r="K1236" s="5"/>
      <c r="L1236" s="5"/>
      <c r="M1236" s="5"/>
      <c r="N1236" s="5"/>
    </row>
    <row r="1237" customFormat="false" ht="15" hidden="false" customHeight="false" outlineLevel="0" collapsed="false">
      <c r="A1237" s="71" t="n">
        <f aca="false">A1236+$F$3</f>
        <v>24620</v>
      </c>
      <c r="B1237" s="71" t="n">
        <f aca="false">SUMPRODUCT(固有振動数!$Q$6:$Q$22*(1-($A1237/固有振動数!$O$6:$O$22)^2)/((1-($A1237/固有振動数!$O$6:$O$22)^2)^2+固有振動数!$P$6:$P$22^2))</f>
        <v>5.85949723246349</v>
      </c>
      <c r="C1237" s="71" t="n">
        <f aca="false">-SUMPRODUCT(固有振動数!$Q$6:$Q$22*固有振動数!$P$6:$P$22/((1-($A1237/固有振動数!$O$6:$O$22)^2)^2+固有振動数!$P$6:$P$22^2))</f>
        <v>-1.48533873673545</v>
      </c>
      <c r="D1237" s="71" t="n">
        <f aca="false">SQRT(B1237^2+C1237^2)</f>
        <v>6.04482745660239</v>
      </c>
      <c r="E1237" s="72" t="n">
        <f aca="false">20*LOG10(MAX(D1237,0.000000000001)/$K$3)</f>
        <v>15.6276781776664</v>
      </c>
      <c r="F1237" s="5"/>
      <c r="G1237" s="5"/>
      <c r="H1237" s="5"/>
      <c r="I1237" s="5"/>
      <c r="J1237" s="5"/>
      <c r="K1237" s="5"/>
      <c r="L1237" s="5"/>
      <c r="M1237" s="5"/>
      <c r="N1237" s="5"/>
    </row>
    <row r="1238" customFormat="false" ht="15" hidden="false" customHeight="false" outlineLevel="0" collapsed="false">
      <c r="A1238" s="71" t="n">
        <f aca="false">A1237+$F$3</f>
        <v>24640</v>
      </c>
      <c r="B1238" s="71" t="n">
        <f aca="false">SUMPRODUCT(固有振動数!$Q$6:$Q$22*(1-($A1238/固有振動数!$O$6:$O$22)^2)/((1-($A1238/固有振動数!$O$6:$O$22)^2)^2+固有振動数!$P$6:$P$22^2))</f>
        <v>6.08798743278241</v>
      </c>
      <c r="C1238" s="71" t="n">
        <f aca="false">-SUMPRODUCT(固有振動数!$Q$6:$Q$22*固有振動数!$P$6:$P$22/((1-($A1238/固有振動数!$O$6:$O$22)^2)^2+固有振動数!$P$6:$P$22^2))</f>
        <v>-1.48167739832049</v>
      </c>
      <c r="D1238" s="71" t="n">
        <f aca="false">SQRT(B1238^2+C1238^2)</f>
        <v>6.26569699988838</v>
      </c>
      <c r="E1238" s="72" t="n">
        <f aca="false">20*LOG10(MAX(D1238,0.000000000001)/$K$3)</f>
        <v>15.9393877839165</v>
      </c>
      <c r="F1238" s="5"/>
      <c r="G1238" s="5"/>
      <c r="H1238" s="5"/>
      <c r="I1238" s="5"/>
      <c r="J1238" s="5"/>
      <c r="K1238" s="5"/>
      <c r="L1238" s="5"/>
      <c r="M1238" s="5"/>
      <c r="N1238" s="5"/>
    </row>
    <row r="1239" customFormat="false" ht="15" hidden="false" customHeight="false" outlineLevel="0" collapsed="false">
      <c r="A1239" s="71" t="n">
        <f aca="false">A1238+$F$3</f>
        <v>24660</v>
      </c>
      <c r="B1239" s="71" t="n">
        <f aca="false">SUMPRODUCT(固有振動数!$Q$6:$Q$22*(1-($A1239/固有振動数!$O$6:$O$22)^2)/((1-($A1239/固有振動数!$O$6:$O$22)^2)^2+固有振動数!$P$6:$P$22^2))</f>
        <v>6.31545968953187</v>
      </c>
      <c r="C1239" s="71" t="n">
        <f aca="false">-SUMPRODUCT(固有振動数!$Q$6:$Q$22*固有振動数!$P$6:$P$22/((1-($A1239/固有振動数!$O$6:$O$22)^2)^2+固有振動数!$P$6:$P$22^2))</f>
        <v>-1.47933334218039</v>
      </c>
      <c r="D1239" s="71" t="n">
        <f aca="false">SQRT(B1239^2+C1239^2)</f>
        <v>6.48640564776738</v>
      </c>
      <c r="E1239" s="72" t="n">
        <f aca="false">20*LOG10(MAX(D1239,0.000000000001)/$K$3)</f>
        <v>16.240082103138</v>
      </c>
      <c r="F1239" s="5"/>
      <c r="G1239" s="5"/>
      <c r="H1239" s="5"/>
      <c r="I1239" s="5"/>
      <c r="J1239" s="5"/>
      <c r="K1239" s="5"/>
      <c r="L1239" s="5"/>
      <c r="M1239" s="5"/>
      <c r="N1239" s="5"/>
    </row>
    <row r="1240" customFormat="false" ht="15" hidden="false" customHeight="false" outlineLevel="0" collapsed="false">
      <c r="A1240" s="71" t="n">
        <f aca="false">A1239+$F$3</f>
        <v>24680</v>
      </c>
      <c r="B1240" s="71" t="n">
        <f aca="false">SUMPRODUCT(固有振動数!$Q$6:$Q$22*(1-($A1240/固有振動数!$O$6:$O$22)^2)/((1-($A1240/固有振動数!$O$6:$O$22)^2)^2+固有振動数!$P$6:$P$22^2))</f>
        <v>6.54212014420606</v>
      </c>
      <c r="C1240" s="71" t="n">
        <f aca="false">-SUMPRODUCT(固有振動数!$Q$6:$Q$22*固有振動数!$P$6:$P$22/((1-($A1240/固有振動数!$O$6:$O$22)^2)^2+固有振動数!$P$6:$P$22^2))</f>
        <v>-1.47828971241067</v>
      </c>
      <c r="D1240" s="71" t="n">
        <f aca="false">SQRT(B1240^2+C1240^2)</f>
        <v>6.70706168564491</v>
      </c>
      <c r="E1240" s="72" t="n">
        <f aca="false">20*LOG10(MAX(D1240,0.000000000001)/$K$3)</f>
        <v>16.5306460123416</v>
      </c>
      <c r="F1240" s="5"/>
      <c r="G1240" s="5"/>
      <c r="H1240" s="5"/>
      <c r="I1240" s="5"/>
      <c r="J1240" s="5"/>
      <c r="K1240" s="5"/>
      <c r="L1240" s="5"/>
      <c r="M1240" s="5"/>
      <c r="N1240" s="5"/>
    </row>
    <row r="1241" customFormat="false" ht="15" hidden="false" customHeight="false" outlineLevel="0" collapsed="false">
      <c r="A1241" s="71" t="n">
        <f aca="false">A1240+$F$3</f>
        <v>24700</v>
      </c>
      <c r="B1241" s="71" t="n">
        <f aca="false">SUMPRODUCT(固有振動数!$Q$6:$Q$22*(1-($A1241/固有振動数!$O$6:$O$22)^2)/((1-($A1241/固有振動数!$O$6:$O$22)^2)^2+固有振動数!$P$6:$P$22^2))</f>
        <v>6.76817191230011</v>
      </c>
      <c r="C1241" s="71" t="n">
        <f aca="false">-SUMPRODUCT(固有振動数!$Q$6:$Q$22*固有振動数!$P$6:$P$22/((1-($A1241/固有振動数!$O$6:$O$22)^2)^2+固有振動数!$P$6:$P$22^2))</f>
        <v>-1.47853407783148</v>
      </c>
      <c r="D1241" s="71" t="n">
        <f aca="false">SQRT(B1241^2+C1241^2)</f>
        <v>6.92778565298878</v>
      </c>
      <c r="E1241" s="72" t="n">
        <f aca="false">20*LOG10(MAX(D1241,0.000000000001)/$K$3)</f>
        <v>16.8118888412589</v>
      </c>
      <c r="F1241" s="5"/>
      <c r="G1241" s="5"/>
      <c r="H1241" s="5"/>
      <c r="I1241" s="5"/>
      <c r="J1241" s="5"/>
      <c r="K1241" s="5"/>
      <c r="L1241" s="5"/>
      <c r="M1241" s="5"/>
      <c r="N1241" s="5"/>
    </row>
    <row r="1242" customFormat="false" ht="15" hidden="false" customHeight="false" outlineLevel="0" collapsed="false">
      <c r="A1242" s="71" t="n">
        <f aca="false">A1241+$F$3</f>
        <v>24720</v>
      </c>
      <c r="B1242" s="71" t="n">
        <f aca="false">SUMPRODUCT(固有振動数!$Q$6:$Q$22*(1-($A1242/固有振動数!$O$6:$O$22)^2)/((1-($A1242/固有振動数!$O$6:$O$22)^2)^2+固有振動数!$P$6:$P$22^2))</f>
        <v>6.99381574048874</v>
      </c>
      <c r="C1242" s="71" t="n">
        <f aca="false">-SUMPRODUCT(固有振動数!$Q$6:$Q$22*固有振動数!$P$6:$P$22/((1-($A1242/固有振動数!$O$6:$O$22)^2)^2+固有振動数!$P$6:$P$22^2))</f>
        <v>-1.48005832472062</v>
      </c>
      <c r="D1242" s="71" t="n">
        <f aca="false">SQRT(B1242^2+C1242^2)</f>
        <v>7.14870836280812</v>
      </c>
      <c r="E1242" s="72" t="n">
        <f aca="false">20*LOG10(MAX(D1242,0.000000000001)/$K$3)</f>
        <v>17.0845516008366</v>
      </c>
      <c r="F1242" s="5"/>
      <c r="G1242" s="5"/>
      <c r="H1242" s="5"/>
      <c r="I1242" s="5"/>
      <c r="J1242" s="5"/>
      <c r="K1242" s="5"/>
      <c r="L1242" s="5"/>
      <c r="M1242" s="5"/>
      <c r="N1242" s="5"/>
    </row>
    <row r="1243" customFormat="false" ht="15" hidden="false" customHeight="false" outlineLevel="0" collapsed="false">
      <c r="A1243" s="71" t="n">
        <f aca="false">A1242+$F$3</f>
        <v>24740</v>
      </c>
      <c r="B1243" s="71" t="n">
        <f aca="false">SUMPRODUCT(固有振動数!$Q$6:$Q$22*(1-($A1243/固有振動数!$O$6:$O$22)^2)/((1-($A1243/固有振動数!$O$6:$O$22)^2)^2+固有振動数!$P$6:$P$22^2))</f>
        <v>7.21925064705947</v>
      </c>
      <c r="C1243" s="71" t="n">
        <f aca="false">-SUMPRODUCT(固有振動数!$Q$6:$Q$22*固有振動数!$P$6:$P$22/((1-($A1243/固有振動数!$O$6:$O$22)^2)^2+固有振動数!$P$6:$P$22^2))</f>
        <v>-1.48285858022225</v>
      </c>
      <c r="D1243" s="71" t="n">
        <f aca="false">SQRT(B1243^2+C1243^2)</f>
        <v>7.36996943507959</v>
      </c>
      <c r="E1243" s="72" t="n">
        <f aca="false">20*LOG10(MAX(D1243,0.000000000001)/$K$3)</f>
        <v>17.3493137349183</v>
      </c>
      <c r="F1243" s="5"/>
      <c r="G1243" s="5"/>
      <c r="H1243" s="5"/>
      <c r="I1243" s="5"/>
      <c r="J1243" s="5"/>
      <c r="K1243" s="5"/>
      <c r="L1243" s="5"/>
      <c r="M1243" s="5"/>
      <c r="N1243" s="5"/>
    </row>
    <row r="1244" customFormat="false" ht="15" hidden="false" customHeight="false" outlineLevel="0" collapsed="false">
      <c r="A1244" s="71" t="n">
        <f aca="false">A1243+$F$3</f>
        <v>24760</v>
      </c>
      <c r="B1244" s="71" t="n">
        <f aca="false">SUMPRODUCT(固有振動数!$Q$6:$Q$22*(1-($A1244/固有振動数!$O$6:$O$22)^2)/((1-($A1244/固有振動数!$O$6:$O$22)^2)^2+固有振動数!$P$6:$P$22^2))</f>
        <v>7.44467454981892</v>
      </c>
      <c r="C1244" s="71" t="n">
        <f aca="false">-SUMPRODUCT(固有振動数!$Q$6:$Q$22*固有振動数!$P$6:$P$22/((1-($A1244/固有振動数!$O$6:$O$22)^2)^2+固有振動数!$P$6:$P$22^2))</f>
        <v>-1.48693516539801</v>
      </c>
      <c r="D1244" s="71" t="n">
        <f aca="false">SQRT(B1244^2+C1244^2)</f>
        <v>7.59171623144719</v>
      </c>
      <c r="E1244" s="72" t="n">
        <f aca="false">20*LOG10(MAX(D1244,0.000000000001)/$K$3)</f>
        <v>17.6067993271101</v>
      </c>
      <c r="F1244" s="5"/>
      <c r="G1244" s="5"/>
      <c r="H1244" s="5"/>
      <c r="I1244" s="5"/>
      <c r="J1244" s="5"/>
      <c r="K1244" s="5"/>
      <c r="L1244" s="5"/>
      <c r="M1244" s="5"/>
      <c r="N1244" s="5"/>
    </row>
    <row r="1245" customFormat="false" ht="15" hidden="false" customHeight="false" outlineLevel="0" collapsed="false">
      <c r="A1245" s="71" t="n">
        <f aca="false">A1244+$F$3</f>
        <v>24780</v>
      </c>
      <c r="B1245" s="71" t="n">
        <f aca="false">SUMPRODUCT(固有振動数!$Q$6:$Q$22*(1-($A1245/固有振動数!$O$6:$O$22)^2)/((1-($A1245/固有振動数!$O$6:$O$22)^2)^2+固有振動数!$P$6:$P$22^2))</f>
        <v>7.67028488554412</v>
      </c>
      <c r="C1245" s="71" t="n">
        <f aca="false">-SUMPRODUCT(固有振動数!$Q$6:$Q$22*固有振動数!$P$6:$P$22/((1-($A1245/固有振動数!$O$6:$O$22)^2)^2+固有振動数!$P$6:$P$22^2))</f>
        <v>-1.49229257724232</v>
      </c>
      <c r="D1245" s="71" t="n">
        <f aca="false">SQRT(B1245^2+C1245^2)</f>
        <v>7.81410310665908</v>
      </c>
      <c r="E1245" s="72" t="n">
        <f aca="false">20*LOG10(MAX(D1245,0.000000000001)/$K$3)</f>
        <v>17.8575827483657</v>
      </c>
      <c r="F1245" s="5"/>
      <c r="G1245" s="5"/>
      <c r="H1245" s="5"/>
      <c r="I1245" s="5"/>
      <c r="J1245" s="5"/>
      <c r="K1245" s="5"/>
      <c r="L1245" s="5"/>
      <c r="M1245" s="5"/>
      <c r="N1245" s="5"/>
    </row>
    <row r="1246" customFormat="false" ht="15" hidden="false" customHeight="false" outlineLevel="0" collapsed="false">
      <c r="A1246" s="71" t="n">
        <f aca="false">A1245+$F$3</f>
        <v>24800</v>
      </c>
      <c r="B1246" s="71" t="n">
        <f aca="false">SUMPRODUCT(固有振動数!$Q$6:$Q$22*(1-($A1246/固有振動数!$O$6:$O$22)^2)/((1-($A1246/固有振動数!$O$6:$O$22)^2)^2+固有振動数!$P$6:$P$22^2))</f>
        <v>7.89627922495297</v>
      </c>
      <c r="C1246" s="71" t="n">
        <f aca="false">-SUMPRODUCT(固有振動数!$Q$6:$Q$22*固有振動数!$P$6:$P$22/((1-($A1246/固有振動数!$O$6:$O$22)^2)^2+固有振動数!$P$6:$P$22^2))</f>
        <v>-1.49893949932572</v>
      </c>
      <c r="D1246" s="71" t="n">
        <f aca="false">SQRT(B1246^2+C1246^2)</f>
        <v>8.03729091305414</v>
      </c>
      <c r="E1246" s="72" t="n">
        <f aca="false">20*LOG10(MAX(D1246,0.000000000001)/$K$3)</f>
        <v>18.1021937615994</v>
      </c>
      <c r="F1246" s="5"/>
      <c r="G1246" s="5"/>
      <c r="H1246" s="5"/>
      <c r="I1246" s="5"/>
      <c r="J1246" s="5"/>
      <c r="K1246" s="5"/>
      <c r="L1246" s="5"/>
      <c r="M1246" s="5"/>
      <c r="N1246" s="5"/>
    </row>
    <row r="1247" customFormat="false" ht="15" hidden="false" customHeight="false" outlineLevel="0" collapsed="false">
      <c r="A1247" s="71" t="n">
        <f aca="false">A1246+$F$3</f>
        <v>24820</v>
      </c>
      <c r="B1247" s="71" t="n">
        <f aca="false">SUMPRODUCT(固有振動数!$Q$6:$Q$22*(1-($A1247/固有振動数!$O$6:$O$22)^2)/((1-($A1247/固有振動数!$O$6:$O$22)^2)^2+固有振動数!$P$6:$P$22^2))</f>
        <v>8.12285588710877</v>
      </c>
      <c r="C1247" s="71" t="n">
        <f aca="false">-SUMPRODUCT(固有振動数!$Q$6:$Q$22*固有振動数!$P$6:$P$22/((1-($A1247/固有振動数!$O$6:$O$22)^2)^2+固有振動数!$P$6:$P$22^2))</f>
        <v>-1.50688884106471</v>
      </c>
      <c r="D1247" s="71" t="n">
        <f aca="false">SQRT(B1247^2+C1247^2)</f>
        <v>8.26144670999354</v>
      </c>
      <c r="E1247" s="72" t="n">
        <f aca="false">20*LOG10(MAX(D1247,0.000000000001)/$K$3)</f>
        <v>18.3411221162658</v>
      </c>
      <c r="F1247" s="5"/>
      <c r="G1247" s="5"/>
      <c r="H1247" s="5"/>
      <c r="I1247" s="5"/>
      <c r="J1247" s="5"/>
      <c r="K1247" s="5"/>
      <c r="L1247" s="5"/>
      <c r="M1247" s="5"/>
      <c r="N1247" s="5"/>
    </row>
    <row r="1248" customFormat="false" ht="15" hidden="false" customHeight="false" outlineLevel="0" collapsed="false">
      <c r="A1248" s="71" t="n">
        <f aca="false">A1247+$F$3</f>
        <v>24840</v>
      </c>
      <c r="B1248" s="71" t="n">
        <f aca="false">SUMPRODUCT(固有振動数!$Q$6:$Q$22*(1-($A1248/固有振動数!$O$6:$O$22)^2)/((1-($A1248/固有振動数!$O$6:$O$22)^2)^2+固有振動数!$P$6:$P$22^2))</f>
        <v>8.35021455715747</v>
      </c>
      <c r="C1248" s="71" t="n">
        <f aca="false">-SUMPRODUCT(固有振動数!$Q$6:$Q$22*固有振動数!$P$6:$P$22/((1-($A1248/固有振動数!$O$6:$O$22)^2)^2+固有振動数!$P$6:$P$22^2))</f>
        <v>-1.51615780594926</v>
      </c>
      <c r="D1248" s="71" t="n">
        <f aca="false">SQRT(B1248^2+C1248^2)</f>
        <v>8.48674364188677</v>
      </c>
      <c r="E1248" s="72" t="n">
        <f aca="false">20*LOG10(MAX(D1248,0.000000000001)/$K$3)</f>
        <v>18.5748216738017</v>
      </c>
      <c r="F1248" s="5"/>
      <c r="G1248" s="5"/>
      <c r="H1248" s="5"/>
      <c r="I1248" s="5"/>
      <c r="J1248" s="5"/>
      <c r="K1248" s="5"/>
      <c r="L1248" s="5"/>
      <c r="M1248" s="5"/>
      <c r="N1248" s="5"/>
    </row>
    <row r="1249" customFormat="false" ht="15" hidden="false" customHeight="false" outlineLevel="0" collapsed="false">
      <c r="A1249" s="71" t="n">
        <f aca="false">A1248+$F$3</f>
        <v>24860</v>
      </c>
      <c r="B1249" s="71" t="n">
        <f aca="false">SUMPRODUCT(固有振動数!$Q$6:$Q$22*(1-($A1249/固有振動数!$O$6:$O$22)^2)/((1-($A1249/固有振動数!$O$6:$O$22)^2)^2+固有振動数!$P$6:$P$22^2))</f>
        <v>8.57855691132005</v>
      </c>
      <c r="C1249" s="71" t="n">
        <f aca="false">-SUMPRODUCT(固有振動数!$Q$6:$Q$22*固有振動数!$P$6:$P$22/((1-($A1249/固有振動数!$O$6:$O$22)^2)^2+固有振動数!$P$6:$P$22^2))</f>
        <v>-1.52676798939709</v>
      </c>
      <c r="D1249" s="71" t="n">
        <f aca="false">SQRT(B1249^2+C1249^2)</f>
        <v>8.71336095741503</v>
      </c>
      <c r="E1249" s="72" t="n">
        <f aca="false">20*LOG10(MAX(D1249,0.000000000001)/$K$3)</f>
        <v>18.8037141075299</v>
      </c>
      <c r="F1249" s="5"/>
      <c r="G1249" s="5"/>
      <c r="H1249" s="5"/>
      <c r="I1249" s="5"/>
      <c r="J1249" s="5"/>
      <c r="K1249" s="5"/>
      <c r="L1249" s="5"/>
      <c r="M1249" s="5"/>
      <c r="N1249" s="5"/>
    </row>
    <row r="1250" customFormat="false" ht="15" hidden="false" customHeight="false" outlineLevel="0" collapsed="false">
      <c r="A1250" s="71" t="n">
        <f aca="false">A1249+$F$3</f>
        <v>24880</v>
      </c>
      <c r="B1250" s="71" t="n">
        <f aca="false">SUMPRODUCT(固有振動数!$Q$6:$Q$22*(1-($A1250/固有振動数!$O$6:$O$22)^2)/((1-($A1250/固有振動数!$O$6:$O$22)^2)^2+固有振動数!$P$6:$P$22^2))</f>
        <v>8.80808725312782</v>
      </c>
      <c r="C1250" s="71" t="n">
        <f aca="false">-SUMPRODUCT(固有振動数!$Q$6:$Q$22*固有振動数!$P$6:$P$22/((1-($A1250/固有振動数!$O$6:$O$22)^2)^2+固有振動数!$P$6:$P$22^2))</f>
        <v>-1.53874550725151</v>
      </c>
      <c r="D1250" s="71" t="n">
        <f aca="false">SQRT(B1250^2+C1250^2)</f>
        <v>8.94148414944631</v>
      </c>
      <c r="E1250" s="72" t="n">
        <f aca="false">20*LOG10(MAX(D1250,0.000000000001)/$K$3)</f>
        <v>19.0281922202551</v>
      </c>
      <c r="F1250" s="5"/>
      <c r="G1250" s="5"/>
      <c r="H1250" s="5"/>
      <c r="I1250" s="5"/>
      <c r="J1250" s="5"/>
      <c r="K1250" s="5"/>
      <c r="L1250" s="5"/>
      <c r="M1250" s="5"/>
      <c r="N1250" s="5"/>
    </row>
    <row r="1251" customFormat="false" ht="15" hidden="false" customHeight="false" outlineLevel="0" collapsed="false">
      <c r="A1251" s="71" t="n">
        <f aca="false">A1250+$F$3</f>
        <v>24900</v>
      </c>
      <c r="B1251" s="71" t="n">
        <f aca="false">SUMPRODUCT(固有振動数!$Q$6:$Q$22*(1-($A1251/固有振動数!$O$6:$O$22)^2)/((1-($A1251/固有振動数!$O$6:$O$22)^2)^2+固有振動数!$P$6:$P$22^2))</f>
        <v>9.03901316499475</v>
      </c>
      <c r="C1251" s="71" t="n">
        <f aca="false">-SUMPRODUCT(固有振動数!$Q$6:$Q$22*固有振動数!$P$6:$P$22/((1-($A1251/固有振動数!$O$6:$O$22)^2)^2+固有振動数!$P$6:$P$22^2))</f>
        <v>-1.55212115630377</v>
      </c>
      <c r="D1251" s="71" t="n">
        <f aca="false">SQRT(B1251^2+C1251^2)</f>
        <v>9.17130520050413</v>
      </c>
      <c r="E1251" s="72" t="n">
        <f aca="false">20*LOG10(MAX(D1251,0.000000000001)/$K$3)</f>
        <v>19.2486229206855</v>
      </c>
      <c r="F1251" s="5"/>
      <c r="G1251" s="5"/>
      <c r="H1251" s="5"/>
      <c r="I1251" s="5"/>
      <c r="J1251" s="5"/>
      <c r="K1251" s="5"/>
      <c r="L1251" s="5"/>
      <c r="M1251" s="5"/>
      <c r="N1251" s="5"/>
    </row>
    <row r="1252" customFormat="false" ht="15" hidden="false" customHeight="false" outlineLevel="0" collapsed="false">
      <c r="A1252" s="71" t="n">
        <f aca="false">A1251+$F$3</f>
        <v>24920</v>
      </c>
      <c r="B1252" s="71" t="n">
        <f aca="false">SUMPRODUCT(固有振動数!$Q$6:$Q$22*(1-($A1252/固有振動数!$O$6:$O$22)^2)/((1-($A1252/固有振動数!$O$6:$O$22)^2)^2+固有振動数!$P$6:$P$22^2))</f>
        <v>9.2715461793716</v>
      </c>
      <c r="C1252" s="71" t="n">
        <f aca="false">-SUMPRODUCT(固有振動数!$Q$6:$Q$22*固有振動数!$P$6:$P$22/((1-($A1252/固有振動数!$O$6:$O$22)^2)^2+固有振動数!$P$6:$P$22^2))</f>
        <v>-1.56693060860904</v>
      </c>
      <c r="D1252" s="71" t="n">
        <f aca="false">SQRT(B1252^2+C1252^2)</f>
        <v>9.40302292289113</v>
      </c>
      <c r="E1252" s="72" t="n">
        <f aca="false">20*LOG10(MAX(D1252,0.000000000001)/$K$3)</f>
        <v>19.4653498968446</v>
      </c>
      <c r="F1252" s="5"/>
      <c r="G1252" s="5"/>
      <c r="H1252" s="5"/>
      <c r="I1252" s="5"/>
      <c r="J1252" s="5"/>
      <c r="K1252" s="5"/>
      <c r="L1252" s="5"/>
      <c r="M1252" s="5"/>
      <c r="N1252" s="5"/>
    </row>
    <row r="1253" customFormat="false" ht="15" hidden="false" customHeight="false" outlineLevel="0" collapsed="false">
      <c r="A1253" s="71" t="n">
        <f aca="false">A1252+$F$3</f>
        <v>24940</v>
      </c>
      <c r="B1253" s="71" t="n">
        <f aca="false">SUMPRODUCT(固有振動数!$Q$6:$Q$22*(1-($A1253/固有振動数!$O$6:$O$22)^2)/((1-($A1253/固有振動数!$O$6:$O$22)^2)^2+固有振動数!$P$6:$P$22^2))</f>
        <v>9.50590247392092</v>
      </c>
      <c r="C1253" s="71" t="n">
        <f aca="false">-SUMPRODUCT(固有振動数!$Q$6:$Q$22*固有振動数!$P$6:$P$22/((1-($A1253/固有振動数!$O$6:$O$22)^2)^2+固有振動数!$P$6:$P$22^2))</f>
        <v>-1.58321464178255</v>
      </c>
      <c r="D1253" s="71" t="n">
        <f aca="false">SQRT(B1253^2+C1253^2)</f>
        <v>9.63684338596672</v>
      </c>
      <c r="E1253" s="72" t="n">
        <f aca="false">20*LOG10(MAX(D1253,0.000000000001)/$K$3)</f>
        <v>19.6786960213025</v>
      </c>
      <c r="F1253" s="5"/>
      <c r="G1253" s="5"/>
      <c r="H1253" s="5"/>
      <c r="I1253" s="5"/>
      <c r="J1253" s="5"/>
      <c r="K1253" s="5"/>
      <c r="L1253" s="5"/>
      <c r="M1253" s="5"/>
      <c r="N1253" s="5"/>
    </row>
    <row r="1254" customFormat="false" ht="15" hidden="false" customHeight="false" outlineLevel="0" collapsed="false">
      <c r="A1254" s="71" t="n">
        <f aca="false">A1253+$F$3</f>
        <v>24960</v>
      </c>
      <c r="B1254" s="71" t="n">
        <f aca="false">SUMPRODUCT(固有振動数!$Q$6:$Q$22*(1-($A1254/固有振動数!$O$6:$O$22)^2)/((1-($A1254/固有振動数!$O$6:$O$22)^2)^2+固有振動数!$P$6:$P$22^2))</f>
        <v>9.74230359539652</v>
      </c>
      <c r="C1254" s="71" t="n">
        <f aca="false">-SUMPRODUCT(固有振動数!$Q$6:$Q$22*固有振動数!$P$6:$P$22/((1-($A1254/固有振動数!$O$6:$O$22)^2)^2+固有振動数!$P$6:$P$22^2))</f>
        <v>-1.60101940791854</v>
      </c>
      <c r="D1254" s="71" t="n">
        <f aca="false">SQRT(B1254^2+C1254^2)</f>
        <v>9.87298042585965</v>
      </c>
      <c r="E1254" s="72" t="n">
        <f aca="false">20*LOG10(MAX(D1254,0.000000000001)/$K$3)</f>
        <v>19.88896551968</v>
      </c>
      <c r="F1254" s="5"/>
      <c r="G1254" s="5"/>
      <c r="H1254" s="5"/>
      <c r="I1254" s="5"/>
      <c r="J1254" s="5"/>
      <c r="K1254" s="5"/>
      <c r="L1254" s="5"/>
      <c r="M1254" s="5"/>
      <c r="N1254" s="5"/>
    </row>
    <row r="1255" customFormat="false" ht="15" hidden="false" customHeight="false" outlineLevel="0" collapsed="false">
      <c r="A1255" s="71" t="n">
        <f aca="false">A1254+$F$3</f>
        <v>24980</v>
      </c>
      <c r="B1255" s="71" t="n">
        <f aca="false">SUMPRODUCT(固有振動数!$Q$6:$Q$22*(1-($A1255/固有振動数!$O$6:$O$22)^2)/((1-($A1255/固有振動数!$O$6:$O$22)^2)^2+固有振動数!$P$6:$P$22^2))</f>
        <v>9.98097721720536</v>
      </c>
      <c r="C1255" s="71" t="n">
        <f aca="false">-SUMPRODUCT(固有振動数!$Q$6:$Q$22*固有振動数!$P$6:$P$22/((1-($A1255/固有振動数!$O$6:$O$22)^2)^2+固有振動数!$P$6:$P$22^2))</f>
        <v>-1.62039674427798</v>
      </c>
      <c r="D1255" s="71" t="n">
        <f aca="false">SQRT(B1255^2+C1255^2)</f>
        <v>10.1116562352188</v>
      </c>
      <c r="E1255" s="72" t="n">
        <f aca="false">20*LOG10(MAX(D1255,0.000000000001)/$K$3)</f>
        <v>20.0964459306228</v>
      </c>
      <c r="F1255" s="5"/>
      <c r="G1255" s="5"/>
      <c r="H1255" s="5"/>
      <c r="I1255" s="5"/>
      <c r="J1255" s="5"/>
      <c r="K1255" s="5"/>
      <c r="L1255" s="5"/>
      <c r="M1255" s="5"/>
      <c r="N1255" s="5"/>
    </row>
    <row r="1256" customFormat="false" ht="15" hidden="false" customHeight="false" outlineLevel="0" collapsed="false">
      <c r="A1256" s="71" t="n">
        <f aca="false">A1255+$F$3</f>
        <v>25000</v>
      </c>
      <c r="B1256" s="71" t="n">
        <f aca="false">SUMPRODUCT(固有振動数!$Q$6:$Q$22*(1-($A1256/固有振動数!$O$6:$O$22)^2)/((1-($A1256/固有振動数!$O$6:$O$22)^2)^2+固有振動数!$P$6:$P$22^2))</f>
        <v>10.2221579359816</v>
      </c>
      <c r="C1256" s="71" t="n">
        <f aca="false">-SUMPRODUCT(固有振動数!$Q$6:$Q$22*固有振動数!$P$6:$P$22/((1-($A1256/固有振動数!$O$6:$O$22)^2)^2+固有振動数!$P$6:$P$22^2))</f>
        <v>-1.6414045294507</v>
      </c>
      <c r="D1256" s="71" t="n">
        <f aca="false">SQRT(B1256^2+C1256^2)</f>
        <v>10.3531020326013</v>
      </c>
      <c r="E1256" s="72" t="n">
        <f aca="false">20*LOG10(MAX(D1256,0.000000000001)/$K$3)</f>
        <v>20.3014098824201</v>
      </c>
      <c r="F1256" s="5"/>
      <c r="G1256" s="5"/>
      <c r="H1256" s="5"/>
      <c r="I1256" s="5"/>
      <c r="J1256" s="5"/>
      <c r="K1256" s="5"/>
      <c r="L1256" s="5"/>
      <c r="M1256" s="5"/>
      <c r="N1256" s="5"/>
    </row>
    <row r="1257" customFormat="false" ht="15" hidden="false" customHeight="false" outlineLevel="0" collapsed="false">
      <c r="A1257" s="71" t="n">
        <f aca="false">A1256+$F$3</f>
        <v>25020</v>
      </c>
      <c r="B1257" s="71" t="n">
        <f aca="false">SUMPRODUCT(固有振動数!$Q$6:$Q$22*(1-($A1257/固有振動数!$O$6:$O$22)^2)/((1-($A1257/固有振動数!$O$6:$O$22)^2)^2+固有振動数!$P$6:$P$22^2))</f>
        <v>10.4660881129141</v>
      </c>
      <c r="C1257" s="71" t="n">
        <f aca="false">-SUMPRODUCT(固有振動数!$Q$6:$Q$22*固有振動数!$P$6:$P$22/((1-($A1257/固有振動数!$O$6:$O$22)^2)^2+固有振動数!$P$6:$P$22^2))</f>
        <v>-1.66410708932611</v>
      </c>
      <c r="D1257" s="71" t="n">
        <f aca="false">SQRT(B1257^2+C1257^2)</f>
        <v>10.5975588128601</v>
      </c>
      <c r="E1257" s="72" t="n">
        <f aca="false">20*LOG10(MAX(D1257,0.000000000001)/$K$3)</f>
        <v>20.5041167086829</v>
      </c>
      <c r="F1257" s="5"/>
      <c r="G1257" s="5"/>
      <c r="H1257" s="5"/>
      <c r="I1257" s="5"/>
      <c r="J1257" s="5"/>
      <c r="K1257" s="5"/>
      <c r="L1257" s="5"/>
      <c r="M1257" s="5"/>
      <c r="N1257" s="5"/>
    </row>
    <row r="1258" customFormat="false" ht="15" hidden="false" customHeight="false" outlineLevel="0" collapsed="false">
      <c r="A1258" s="71" t="n">
        <f aca="false">A1257+$F$3</f>
        <v>25040</v>
      </c>
      <c r="B1258" s="71" t="n">
        <f aca="false">SUMPRODUCT(固有振動数!$Q$6:$Q$22*(1-($A1258/固有振動数!$O$6:$O$22)^2)/((1-($A1258/固有振動数!$O$6:$O$22)^2)^2+固有振動数!$P$6:$P$22^2))</f>
        <v>10.7130187660498</v>
      </c>
      <c r="C1258" s="71" t="n">
        <f aca="false">-SUMPRODUCT(固有振動数!$Q$6:$Q$22*固有振動数!$P$6:$P$22/((1-($A1258/固有振動数!$O$6:$O$22)^2)^2+固有振動数!$P$6:$P$22^2))</f>
        <v>-1.68857565791729</v>
      </c>
      <c r="D1258" s="71" t="n">
        <f aca="false">SQRT(B1258^2+C1258^2)</f>
        <v>10.8452781815059</v>
      </c>
      <c r="E1258" s="72" t="n">
        <f aca="false">20*LOG10(MAX(D1258,0.000000000001)/$K$3)</f>
        <v>20.7048139230273</v>
      </c>
      <c r="F1258" s="5"/>
      <c r="G1258" s="5"/>
      <c r="H1258" s="5"/>
      <c r="I1258" s="5"/>
      <c r="J1258" s="5"/>
      <c r="K1258" s="5"/>
      <c r="L1258" s="5"/>
      <c r="M1258" s="5"/>
      <c r="N1258" s="5"/>
    </row>
    <row r="1259" customFormat="false" ht="15" hidden="false" customHeight="false" outlineLevel="0" collapsed="false">
      <c r="A1259" s="71" t="n">
        <f aca="false">A1258+$F$3</f>
        <v>25060</v>
      </c>
      <c r="B1259" s="71" t="n">
        <f aca="false">SUMPRODUCT(固有振動数!$Q$6:$Q$22*(1-($A1259/固有振動数!$O$6:$O$22)^2)/((1-($A1259/固有振動数!$O$6:$O$22)^2)^2+固有振動数!$P$6:$P$22^2))</f>
        <v>10.9632105203476</v>
      </c>
      <c r="C1259" s="71" t="n">
        <f aca="false">-SUMPRODUCT(固有振動数!$Q$6:$Q$22*固有振動数!$P$6:$P$22/((1-($A1259/固有振動数!$O$6:$O$22)^2)^2+固有振動数!$P$6:$P$22^2))</f>
        <v>-1.71488889889018</v>
      </c>
      <c r="D1259" s="71" t="n">
        <f aca="false">SQRT(B1259^2+C1259^2)</f>
        <v>11.0965232775404</v>
      </c>
      <c r="E1259" s="72" t="n">
        <f aca="false">20*LOG10(MAX(D1259,0.000000000001)/$K$3)</f>
        <v>20.9037385705149</v>
      </c>
      <c r="F1259" s="5"/>
      <c r="G1259" s="5"/>
      <c r="H1259" s="5"/>
      <c r="I1259" s="5"/>
      <c r="J1259" s="5"/>
      <c r="K1259" s="5"/>
      <c r="L1259" s="5"/>
      <c r="M1259" s="5"/>
      <c r="N1259" s="5"/>
    </row>
    <row r="1260" customFormat="false" ht="15" hidden="false" customHeight="false" outlineLevel="0" collapsed="false">
      <c r="A1260" s="71" t="n">
        <f aca="false">A1259+$F$3</f>
        <v>25080</v>
      </c>
      <c r="B1260" s="71" t="n">
        <f aca="false">SUMPRODUCT(固有振動数!$Q$6:$Q$22*(1-($A1260/固有振動数!$O$6:$O$22)^2)/((1-($A1260/固有振動数!$O$6:$O$22)^2)^2+固有振動数!$P$6:$P$22^2))</f>
        <v>11.2169346228976</v>
      </c>
      <c r="C1260" s="71" t="n">
        <f aca="false">-SUMPRODUCT(固有振動数!$Q$6:$Q$22*固有振動数!$P$6:$P$22/((1-($A1260/固有振動数!$O$6:$O$22)^2)^2+固有振動数!$P$6:$P$22^2))</f>
        <v>-1.74313349457317</v>
      </c>
      <c r="D1260" s="71" t="n">
        <f aca="false">SQRT(B1260^2+C1260^2)</f>
        <v>11.3515697907497</v>
      </c>
      <c r="E1260" s="72" t="n">
        <f aca="false">20*LOG10(MAX(D1260,0.000000000001)/$K$3)</f>
        <v>21.1011184716736</v>
      </c>
      <c r="F1260" s="5"/>
      <c r="G1260" s="5"/>
      <c r="H1260" s="5"/>
      <c r="I1260" s="5"/>
      <c r="J1260" s="5"/>
      <c r="K1260" s="5"/>
      <c r="L1260" s="5"/>
      <c r="M1260" s="5"/>
      <c r="N1260" s="5"/>
    </row>
    <row r="1261" customFormat="false" ht="15" hidden="false" customHeight="false" outlineLevel="0" collapsed="false">
      <c r="A1261" s="71" t="n">
        <f aca="false">A1260+$F$3</f>
        <v>25100</v>
      </c>
      <c r="B1261" s="71" t="n">
        <f aca="false">SUMPRODUCT(固有振動数!$Q$6:$Q$22*(1-($A1261/固有振動数!$O$6:$O$22)^2)/((1-($A1261/固有振動数!$O$6:$O$22)^2)^2+固有振動数!$P$6:$P$22^2))</f>
        <v>11.4744740314507</v>
      </c>
      <c r="C1261" s="71" t="n">
        <f aca="false">-SUMPRODUCT(固有振動数!$Q$6:$Q$22*固有振動数!$P$6:$P$22/((1-($A1261/固有振動数!$O$6:$O$22)^2)^2+固有振動数!$P$6:$P$22^2))</f>
        <v>-1.77340481028162</v>
      </c>
      <c r="D1261" s="71" t="n">
        <f aca="false">SQRT(B1261^2+C1261^2)</f>
        <v>11.6107070809476</v>
      </c>
      <c r="E1261" s="72" t="n">
        <f aca="false">20*LOG10(MAX(D1261,0.000000000001)/$K$3)</f>
        <v>21.2971733732437</v>
      </c>
      <c r="F1261" s="5"/>
      <c r="G1261" s="5"/>
      <c r="H1261" s="5"/>
      <c r="I1261" s="5"/>
      <c r="J1261" s="5"/>
      <c r="K1261" s="5"/>
      <c r="L1261" s="5"/>
      <c r="M1261" s="5"/>
      <c r="N1261" s="5"/>
    </row>
    <row r="1262" customFormat="false" ht="15" hidden="false" customHeight="false" outlineLevel="0" collapsed="false">
      <c r="A1262" s="71" t="n">
        <f aca="false">A1261+$F$3</f>
        <v>25120</v>
      </c>
      <c r="B1262" s="71" t="n">
        <f aca="false">SUMPRODUCT(固有振動数!$Q$6:$Q$22*(1-($A1262/固有振動数!$O$6:$O$22)^2)/((1-($A1262/固有振動数!$O$6:$O$22)^2)^2+固有振動数!$P$6:$P$22^2))</f>
        <v>11.7361245852374</v>
      </c>
      <c r="C1262" s="71" t="n">
        <f aca="false">-SUMPRODUCT(固有振動数!$Q$6:$Q$22*固有振動数!$P$6:$P$22/((1-($A1262/固有振動数!$O$6:$O$22)^2)^2+固有振動数!$P$6:$P$22^2))</f>
        <v>-1.80580764301423</v>
      </c>
      <c r="D1262" s="71" t="n">
        <f aca="false">SQRT(B1262^2+C1262^2)</f>
        <v>11.8742394082225</v>
      </c>
      <c r="E1262" s="72" t="n">
        <f aca="false">20*LOG10(MAX(D1262,0.000000000001)/$K$3)</f>
        <v>21.4921160183323</v>
      </c>
      <c r="F1262" s="5"/>
      <c r="G1262" s="5"/>
      <c r="H1262" s="5"/>
      <c r="I1262" s="5"/>
      <c r="J1262" s="5"/>
      <c r="K1262" s="5"/>
      <c r="L1262" s="5"/>
      <c r="M1262" s="5"/>
      <c r="N1262" s="5"/>
    </row>
    <row r="1263" customFormat="false" ht="15" hidden="false" customHeight="false" outlineLevel="0" collapsed="false">
      <c r="A1263" s="71" t="n">
        <f aca="false">A1262+$F$3</f>
        <v>25140</v>
      </c>
      <c r="B1263" s="71" t="n">
        <f aca="false">SUMPRODUCT(固有振動数!$Q$6:$Q$22*(1-($A1263/固有振動数!$O$6:$O$22)^2)/((1-($A1263/固有振動数!$O$6:$O$22)^2)^2+固有振動数!$P$6:$P$22^2))</f>
        <v>12.0021962680096</v>
      </c>
      <c r="C1263" s="71" t="n">
        <f aca="false">-SUMPRODUCT(固有振動数!$Q$6:$Q$22*固有振動数!$P$6:$P$22/((1-($A1263/固有振動数!$O$6:$O$22)^2)^2+固有振動数!$P$6:$P$22^2))</f>
        <v>-1.84045706499262</v>
      </c>
      <c r="D1263" s="71" t="n">
        <f aca="false">SQRT(B1263^2+C1263^2)</f>
        <v>12.1424872848978</v>
      </c>
      <c r="E1263" s="72" t="n">
        <f aca="false">20*LOG10(MAX(D1263,0.000000000001)/$K$3)</f>
        <v>21.6861531474078</v>
      </c>
      <c r="F1263" s="5"/>
      <c r="G1263" s="5"/>
      <c r="H1263" s="5"/>
      <c r="I1263" s="5"/>
      <c r="J1263" s="5"/>
      <c r="K1263" s="5"/>
      <c r="L1263" s="5"/>
      <c r="M1263" s="5"/>
      <c r="N1263" s="5"/>
    </row>
    <row r="1264" customFormat="false" ht="15" hidden="false" customHeight="false" outlineLevel="0" collapsed="false">
      <c r="A1264" s="71" t="n">
        <f aca="false">A1263+$F$3</f>
        <v>25160</v>
      </c>
      <c r="B1264" s="71" t="n">
        <f aca="false">SUMPRODUCT(固有振動数!$Q$6:$Q$22*(1-($A1264/固有振動数!$O$6:$O$22)^2)/((1-($A1264/固有振動数!$O$6:$O$22)^2)^2+固有振動数!$P$6:$P$22^2))</f>
        <v>12.2730145743249</v>
      </c>
      <c r="C1264" s="71" t="n">
        <f aca="false">-SUMPRODUCT(固有振動数!$Q$6:$Q$22*固有振動数!$P$6:$P$22/((1-($A1264/固有振動数!$O$6:$O$22)^2)^2+固有振動数!$P$6:$P$22^2))</f>
        <v>-1.87747937415804</v>
      </c>
      <c r="D1264" s="71" t="n">
        <f aca="false">SQRT(B1264^2+C1264^2)</f>
        <v>12.4157889617205</v>
      </c>
      <c r="E1264" s="72" t="n">
        <f aca="false">20*LOG10(MAX(D1264,0.000000000001)/$K$3)</f>
        <v>21.8794864404936</v>
      </c>
      <c r="F1264" s="5"/>
      <c r="G1264" s="5"/>
      <c r="H1264" s="5"/>
      <c r="I1264" s="5"/>
      <c r="J1264" s="5"/>
      <c r="K1264" s="5"/>
      <c r="L1264" s="5"/>
      <c r="M1264" s="5"/>
      <c r="N1264" s="5"/>
    </row>
    <row r="1265" customFormat="false" ht="15" hidden="false" customHeight="false" outlineLevel="0" collapsed="false">
      <c r="A1265" s="71" t="n">
        <f aca="false">A1264+$F$3</f>
        <v>25180</v>
      </c>
      <c r="B1265" s="71" t="n">
        <f aca="false">SUMPRODUCT(固有振動数!$Q$6:$Q$22*(1-($A1265/固有振動数!$O$6:$O$22)^2)/((1-($A1265/固有振動数!$O$6:$O$22)^2)^2+固有振動数!$P$6:$P$22^2))</f>
        <v>12.5489219913296</v>
      </c>
      <c r="C1265" s="71" t="n">
        <f aca="false">-SUMPRODUCT(固有振動数!$Q$6:$Q$22*固有振動数!$P$6:$P$22/((1-($A1265/固有振動数!$O$6:$O$22)^2)^2+固有振動数!$P$6:$P$22^2))</f>
        <v>-1.91701316565408</v>
      </c>
      <c r="D1265" s="71" t="n">
        <f aca="false">SQRT(B1265^2+C1265^2)</f>
        <v>12.6945020627737</v>
      </c>
      <c r="E1265" s="72" t="n">
        <f aca="false">20*LOG10(MAX(D1265,0.000000000001)/$K$3)</f>
        <v>22.0723134100147</v>
      </c>
      <c r="F1265" s="5"/>
      <c r="G1265" s="5"/>
      <c r="H1265" s="5"/>
      <c r="I1265" s="5"/>
      <c r="J1265" s="5"/>
      <c r="K1265" s="5"/>
      <c r="L1265" s="5"/>
      <c r="M1265" s="5"/>
      <c r="N1265" s="5"/>
    </row>
    <row r="1266" customFormat="false" ht="15" hidden="false" customHeight="false" outlineLevel="0" collapsed="false">
      <c r="A1266" s="71" t="n">
        <f aca="false">A1265+$F$3</f>
        <v>25200</v>
      </c>
      <c r="B1266" s="71" t="n">
        <f aca="false">SUMPRODUCT(固有振動数!$Q$6:$Q$22*(1-($A1266/固有振動数!$O$6:$O$22)^2)/((1-($A1266/固有振動数!$O$6:$O$22)^2)^2+固有振動数!$P$6:$P$22^2))</f>
        <v>12.8302796097027</v>
      </c>
      <c r="C1266" s="71" t="n">
        <f aca="false">-SUMPRODUCT(固有振動数!$Q$6:$Q$22*固有振動数!$P$6:$P$22/((1-($A1266/固有振動数!$O$6:$O$22)^2)^2+固有振動数!$P$6:$P$22^2))</f>
        <v>-1.95921054056222</v>
      </c>
      <c r="D1266" s="71" t="n">
        <f aca="false">SQRT(B1266^2+C1266^2)</f>
        <v>12.97900538583</v>
      </c>
      <c r="E1266" s="72" t="n">
        <f aca="false">20*LOG10(MAX(D1266,0.000000000001)/$K$3)</f>
        <v>22.2648282529909</v>
      </c>
      <c r="F1266" s="5"/>
      <c r="G1266" s="5"/>
      <c r="H1266" s="5"/>
      <c r="I1266" s="5"/>
      <c r="J1266" s="5"/>
      <c r="K1266" s="5"/>
      <c r="L1266" s="5"/>
      <c r="M1266" s="5"/>
      <c r="N1266" s="5"/>
    </row>
    <row r="1267" customFormat="false" ht="15" hidden="false" customHeight="false" outlineLevel="0" collapsed="false">
      <c r="A1267" s="71" t="n">
        <f aca="false">A1266+$F$3</f>
        <v>25220</v>
      </c>
      <c r="B1267" s="71" t="n">
        <f aca="false">SUMPRODUCT(固有振動数!$Q$6:$Q$22*(1-($A1267/固有振動数!$O$6:$O$22)^2)/((1-($A1267/固有振動数!$O$6:$O$22)^2)^2+固有振動数!$P$6:$P$22^2))</f>
        <v>13.1174688790244</v>
      </c>
      <c r="C1267" s="71" t="n">
        <f aca="false">-SUMPRODUCT(固有振動数!$Q$6:$Q$22*固有振動数!$P$6:$P$22/((1-($A1267/固有振動数!$O$6:$O$22)^2)^2+固有振動数!$P$6:$P$22^2))</f>
        <v>-2.00423847078114</v>
      </c>
      <c r="D1267" s="71" t="n">
        <f aca="false">SQRT(B1267^2+C1267^2)</f>
        <v>13.2697008873574</v>
      </c>
      <c r="E1267" s="72" t="n">
        <f aca="false">20*LOG10(MAX(D1267,0.000000000001)/$K$3)</f>
        <v>22.4572226706509</v>
      </c>
      <c r="F1267" s="5"/>
      <c r="G1267" s="5"/>
      <c r="H1267" s="5"/>
      <c r="I1267" s="5"/>
      <c r="J1267" s="5"/>
      <c r="K1267" s="5"/>
      <c r="L1267" s="5"/>
      <c r="M1267" s="5"/>
      <c r="N1267" s="5"/>
    </row>
    <row r="1268" customFormat="false" ht="15" hidden="false" customHeight="false" outlineLevel="0" collapsed="false">
      <c r="A1268" s="71" t="n">
        <f aca="false">A1267+$F$3</f>
        <v>25240</v>
      </c>
      <c r="B1268" s="71" t="n">
        <f aca="false">SUMPRODUCT(固有振動数!$Q$6:$Q$22*(1-($A1268/固有振動数!$O$6:$O$22)^2)/((1-($A1268/固有振動数!$O$6:$O$22)^2)^2+固有振動数!$P$6:$P$22^2))</f>
        <v>13.4108935246504</v>
      </c>
      <c r="C1268" s="71" t="n">
        <f aca="false">-SUMPRODUCT(固有振動数!$Q$6:$Q$22*固有振動数!$P$6:$P$22/((1-($A1268/固有振動数!$O$6:$O$22)^2)^2+固有振動数!$P$6:$P$22^2))</f>
        <v>-2.05228034202731</v>
      </c>
      <c r="D1268" s="71" t="n">
        <f aca="false">SQRT(B1268^2+C1268^2)</f>
        <v>13.5670158742364</v>
      </c>
      <c r="E1268" s="72" t="n">
        <f aca="false">20*LOG10(MAX(D1268,0.000000000001)/$K$3)</f>
        <v>22.6496866630381</v>
      </c>
      <c r="F1268" s="5"/>
      <c r="G1268" s="5"/>
      <c r="H1268" s="5"/>
      <c r="I1268" s="5"/>
      <c r="J1268" s="5"/>
      <c r="K1268" s="5"/>
      <c r="L1268" s="5"/>
      <c r="M1268" s="5"/>
      <c r="N1268" s="5"/>
    </row>
    <row r="1269" customFormat="false" ht="15" hidden="false" customHeight="false" outlineLevel="0" collapsed="false">
      <c r="A1269" s="71" t="n">
        <f aca="false">A1268+$F$3</f>
        <v>25260</v>
      </c>
      <c r="B1269" s="71" t="n">
        <f aca="false">SUMPRODUCT(固有振動数!$Q$6:$Q$22*(1-($A1269/固有振動数!$O$6:$O$22)^2)/((1-($A1269/固有振動数!$O$6:$O$22)^2)^2+固有振動数!$P$6:$P$22^2))</f>
        <v>13.710981645243</v>
      </c>
      <c r="C1269" s="71" t="n">
        <f aca="false">-SUMPRODUCT(固有振動数!$Q$6:$Q$22*固有振動数!$P$6:$P$22/((1-($A1269/固有振動数!$O$6:$O$22)^2)^2+固有振動数!$P$6:$P$22^2))</f>
        <v>-2.10353770057404</v>
      </c>
      <c r="D1269" s="71" t="n">
        <f aca="false">SQRT(B1269^2+C1269^2)</f>
        <v>13.8714054274946</v>
      </c>
      <c r="E1269" s="72" t="n">
        <f aca="false">20*LOG10(MAX(D1269,0.000000000001)/$K$3)</f>
        <v>22.842409305797</v>
      </c>
      <c r="F1269" s="5"/>
      <c r="G1269" s="5"/>
      <c r="H1269" s="5"/>
      <c r="I1269" s="5"/>
      <c r="J1269" s="5"/>
      <c r="K1269" s="5"/>
      <c r="L1269" s="5"/>
      <c r="M1269" s="5"/>
      <c r="N1269" s="5"/>
    </row>
    <row r="1270" customFormat="false" ht="15" hidden="false" customHeight="false" outlineLevel="0" collapsed="false">
      <c r="A1270" s="71" t="n">
        <f aca="false">A1269+$F$3</f>
        <v>25280</v>
      </c>
      <c r="B1270" s="71" t="n">
        <f aca="false">SUMPRODUCT(固有振動数!$Q$6:$Q$22*(1-($A1270/固有振動数!$O$6:$O$22)^2)/((1-($A1270/固有振動数!$O$6:$O$22)^2)^2+固有振動数!$P$6:$P$22^2))</f>
        <v>14.0181880124569</v>
      </c>
      <c r="C1270" s="71" t="n">
        <f aca="false">-SUMPRODUCT(固有振動数!$Q$6:$Q$22*固有振動数!$P$6:$P$22/((1-($A1270/固有振動数!$O$6:$O$22)^2)^2+固有振動数!$P$6:$P$22^2))</f>
        <v>-2.15823223365251</v>
      </c>
      <c r="D1270" s="71" t="n">
        <f aca="false">SQRT(B1270^2+C1270^2)</f>
        <v>14.1833550871071</v>
      </c>
      <c r="E1270" s="72" t="n">
        <f aca="false">20*LOG10(MAX(D1270,0.000000000001)/$K$3)</f>
        <v>23.0355795160447</v>
      </c>
      <c r="F1270" s="5"/>
      <c r="G1270" s="5"/>
      <c r="H1270" s="5"/>
      <c r="I1270" s="5"/>
      <c r="J1270" s="5"/>
      <c r="K1270" s="5"/>
      <c r="L1270" s="5"/>
      <c r="M1270" s="5"/>
      <c r="N1270" s="5"/>
    </row>
    <row r="1271" customFormat="false" ht="15" hidden="false" customHeight="false" outlineLevel="0" collapsed="false">
      <c r="A1271" s="71" t="n">
        <f aca="false">A1270+$F$3</f>
        <v>25300</v>
      </c>
      <c r="B1271" s="71" t="n">
        <f aca="false">SUMPRODUCT(固有振動数!$Q$6:$Q$22*(1-($A1271/固有振動数!$O$6:$O$22)^2)/((1-($A1271/固有振動数!$O$6:$O$22)^2)^2+固有振動数!$P$6:$P$22^2))</f>
        <v>14.3329965969474</v>
      </c>
      <c r="C1271" s="71" t="n">
        <f aca="false">-SUMPRODUCT(固有振動数!$Q$6:$Q$22*固有振動数!$P$6:$P$22/((1-($A1271/固有振動数!$O$6:$O$22)^2)^2+固有振動数!$P$6:$P$22^2))</f>
        <v>-2.21660801854629</v>
      </c>
      <c r="D1271" s="71" t="n">
        <f aca="false">SQRT(B1271^2+C1271^2)</f>
        <v>14.5033838312302</v>
      </c>
      <c r="E1271" s="72" t="n">
        <f aca="false">20*LOG10(MAX(D1271,0.000000000001)/$K$3)</f>
        <v>23.2293868140533</v>
      </c>
      <c r="F1271" s="5"/>
      <c r="G1271" s="5"/>
      <c r="H1271" s="5"/>
      <c r="I1271" s="5"/>
      <c r="J1271" s="5"/>
      <c r="K1271" s="5"/>
      <c r="L1271" s="5"/>
      <c r="M1271" s="5"/>
      <c r="N1271" s="5"/>
    </row>
    <row r="1272" customFormat="false" ht="15" hidden="false" customHeight="false" outlineLevel="0" collapsed="false">
      <c r="A1272" s="71" t="n">
        <f aca="false">A1271+$F$3</f>
        <v>25320</v>
      </c>
      <c r="B1272" s="71" t="n">
        <f aca="false">SUMPRODUCT(固有振動数!$Q$6:$Q$22*(1-($A1272/固有振動数!$O$6:$O$22)^2)/((1-($A1272/固有振動数!$O$6:$O$22)^2)^2+固有振動数!$P$6:$P$22^2))</f>
        <v>14.6559233478977</v>
      </c>
      <c r="C1272" s="71" t="n">
        <f aca="false">-SUMPRODUCT(固有振動数!$Q$6:$Q$22*固有振動数!$P$6:$P$22/((1-($A1272/固有振動数!$O$6:$O$22)^2)^2+固有振動数!$P$6:$P$22^2))</f>
        <v>-2.27893408148949</v>
      </c>
      <c r="D1272" s="71" t="n">
        <f aca="false">SQRT(B1272^2+C1272^2)</f>
        <v>14.8320473882478</v>
      </c>
      <c r="E1272" s="72" t="n">
        <f aca="false">20*LOG10(MAX(D1272,0.000000000001)/$K$3)</f>
        <v>23.4240220873861</v>
      </c>
      <c r="F1272" s="5"/>
      <c r="G1272" s="5"/>
      <c r="H1272" s="5"/>
      <c r="I1272" s="5"/>
      <c r="J1272" s="5"/>
      <c r="K1272" s="5"/>
      <c r="L1272" s="5"/>
      <c r="M1272" s="5"/>
      <c r="N1272" s="5"/>
    </row>
    <row r="1273" customFormat="false" ht="15" hidden="false" customHeight="false" outlineLevel="0" collapsed="false">
      <c r="A1273" s="71" t="n">
        <f aca="false">A1272+$F$3</f>
        <v>25340</v>
      </c>
      <c r="B1273" s="71" t="n">
        <f aca="false">SUMPRODUCT(固有振動数!$Q$6:$Q$22*(1-($A1273/固有振動数!$O$6:$O$22)^2)/((1-($A1273/固有振動数!$O$6:$O$22)^2)^2+固有振動数!$P$6:$P$22^2))</f>
        <v>14.987519256695</v>
      </c>
      <c r="C1273" s="71" t="n">
        <f aca="false">-SUMPRODUCT(固有振動数!$Q$6:$Q$22*固有振動数!$P$6:$P$22/((1-($A1273/固有振動数!$O$6:$O$22)^2)^2+固有振動数!$P$6:$P$22^2))</f>
        <v>-2.34550731473317</v>
      </c>
      <c r="D1273" s="71" t="n">
        <f aca="false">SQRT(B1273^2+C1273^2)</f>
        <v>15.1699419258371</v>
      </c>
      <c r="E1273" s="72" t="n">
        <f aca="false">20*LOG10(MAX(D1273,0.000000000001)/$K$3)</f>
        <v>23.619678364137</v>
      </c>
      <c r="F1273" s="5"/>
      <c r="G1273" s="5"/>
      <c r="H1273" s="5"/>
      <c r="I1273" s="5"/>
      <c r="J1273" s="5"/>
      <c r="K1273" s="5"/>
      <c r="L1273" s="5"/>
      <c r="M1273" s="5"/>
      <c r="N1273" s="5"/>
    </row>
    <row r="1274" customFormat="false" ht="15" hidden="false" customHeight="false" outlineLevel="0" collapsed="false">
      <c r="A1274" s="71" t="n">
        <f aca="false">A1273+$F$3</f>
        <v>25360</v>
      </c>
      <c r="B1274" s="71" t="n">
        <f aca="false">SUMPRODUCT(固有振動数!$Q$6:$Q$22*(1-($A1274/固有振動数!$O$6:$O$22)^2)/((1-($A1274/固有振動数!$O$6:$O$22)^2)^2+固有振動数!$P$6:$P$22^2))</f>
        <v>15.3283737392786</v>
      </c>
      <c r="C1274" s="71" t="n">
        <f aca="false">-SUMPRODUCT(固有振動数!$Q$6:$Q$22*固有振動数!$P$6:$P$22/((1-($A1274/固有振動数!$O$6:$O$22)^2)^2+固有振動数!$P$6:$P$22^2))</f>
        <v>-2.4166558088283</v>
      </c>
      <c r="D1274" s="71" t="n">
        <f aca="false">SQRT(B1274^2+C1274^2)</f>
        <v>15.5177081680688</v>
      </c>
      <c r="E1274" s="72" t="n">
        <f aca="false">20*LOG10(MAX(D1274,0.000000000001)/$K$3)</f>
        <v>23.8165516020279</v>
      </c>
      <c r="F1274" s="5"/>
      <c r="G1274" s="5"/>
      <c r="H1274" s="5"/>
      <c r="I1274" s="5"/>
      <c r="J1274" s="5"/>
      <c r="K1274" s="5"/>
      <c r="L1274" s="5"/>
      <c r="M1274" s="5"/>
      <c r="N1274" s="5"/>
    </row>
    <row r="1275" customFormat="false" ht="15" hidden="false" customHeight="false" outlineLevel="0" collapsed="false">
      <c r="A1275" s="71" t="n">
        <f aca="false">A1274+$F$3</f>
        <v>25380</v>
      </c>
      <c r="B1275" s="71" t="n">
        <f aca="false">SUMPRODUCT(固有振動数!$Q$6:$Q$22*(1-($A1275/固有振動数!$O$6:$O$22)^2)/((1-($A1275/固有振動数!$O$6:$O$22)^2)^2+固有振動数!$P$6:$P$22^2))</f>
        <v>15.6791183760803</v>
      </c>
      <c r="C1275" s="71" t="n">
        <f aca="false">-SUMPRODUCT(固有振動数!$Q$6:$Q$22*固有振動数!$P$6:$P$22/((1-($A1275/固有振動数!$O$6:$O$22)^2)^2+固有振動数!$P$6:$P$22^2))</f>
        <v>-2.49274266760256</v>
      </c>
      <c r="D1275" s="71" t="n">
        <f aca="false">SQRT(B1275^2+C1275^2)</f>
        <v>15.876035999519</v>
      </c>
      <c r="E1275" s="72" t="n">
        <f aca="false">20*LOG10(MAX(D1275,0.000000000001)/$K$3)</f>
        <v>24.0148415003119</v>
      </c>
      <c r="F1275" s="5"/>
      <c r="G1275" s="5"/>
      <c r="H1275" s="5"/>
      <c r="I1275" s="5"/>
      <c r="J1275" s="5"/>
      <c r="K1275" s="5"/>
      <c r="L1275" s="5"/>
      <c r="M1275" s="5"/>
      <c r="N1275" s="5"/>
    </row>
    <row r="1276" customFormat="false" ht="15" hidden="false" customHeight="false" outlineLevel="0" collapsed="false">
      <c r="A1276" s="71" t="n">
        <f aca="false">A1275+$F$3</f>
        <v>25400</v>
      </c>
      <c r="B1276" s="71" t="n">
        <f aca="false">SUMPRODUCT(固有振動数!$Q$6:$Q$22*(1-($A1276/固有振動数!$O$6:$O$22)^2)/((1-($A1276/固有振動数!$O$6:$O$22)^2)^2+固有振動数!$P$6:$P$22^2))</f>
        <v>16.0404310534437</v>
      </c>
      <c r="C1276" s="71" t="n">
        <f aca="false">-SUMPRODUCT(固有振動数!$Q$6:$Q$22*固有振動数!$P$6:$P$22/((1-($A1276/固有振動数!$O$6:$O$22)^2)^2+固有振動数!$P$6:$P$22^2))</f>
        <v>-2.57417038586968</v>
      </c>
      <c r="D1276" s="71" t="n">
        <f aca="false">SQRT(B1276^2+C1276^2)</f>
        <v>16.2456696247267</v>
      </c>
      <c r="E1276" s="72" t="n">
        <f aca="false">20*LOG10(MAX(D1276,0.000000000001)/$K$3)</f>
        <v>24.2147523417274</v>
      </c>
      <c r="F1276" s="5"/>
      <c r="G1276" s="5"/>
      <c r="H1276" s="5"/>
      <c r="I1276" s="5"/>
      <c r="J1276" s="5"/>
      <c r="K1276" s="5"/>
      <c r="L1276" s="5"/>
      <c r="M1276" s="5"/>
      <c r="N1276" s="5"/>
    </row>
    <row r="1277" customFormat="false" ht="15" hidden="false" customHeight="false" outlineLevel="0" collapsed="false">
      <c r="A1277" s="71" t="n">
        <f aca="false">A1276+$F$3</f>
        <v>25420</v>
      </c>
      <c r="B1277" s="71" t="n">
        <f aca="false">SUMPRODUCT(固有振動数!$Q$6:$Q$22*(1-($A1277/固有振動数!$O$6:$O$22)^2)/((1-($A1277/固有振動数!$O$6:$O$22)^2)^2+固有振動数!$P$6:$P$22^2))</f>
        <v>16.413040555987</v>
      </c>
      <c r="C1277" s="71" t="n">
        <f aca="false">-SUMPRODUCT(固有振動数!$Q$6:$Q$22*固有振動数!$P$6:$P$22/((1-($A1277/固有振動数!$O$6:$O$22)^2)^2+固有振動数!$P$6:$P$22^2))</f>
        <v>-2.66138588509353</v>
      </c>
      <c r="D1277" s="71" t="n">
        <f aca="false">SQRT(B1277^2+C1277^2)</f>
        <v>16.6274133623318</v>
      </c>
      <c r="E1277" s="72" t="n">
        <f aca="false">20*LOG10(MAX(D1277,0.000000000001)/$K$3)</f>
        <v>24.4164938721364</v>
      </c>
      <c r="F1277" s="5"/>
      <c r="G1277" s="5"/>
      <c r="H1277" s="5"/>
      <c r="I1277" s="5"/>
      <c r="J1277" s="5"/>
      <c r="K1277" s="5"/>
      <c r="L1277" s="5"/>
      <c r="M1277" s="5"/>
      <c r="N1277" s="5"/>
    </row>
    <row r="1278" customFormat="false" ht="15" hidden="false" customHeight="false" outlineLevel="0" collapsed="false">
      <c r="A1278" s="71" t="n">
        <f aca="false">A1277+$F$3</f>
        <v>25440</v>
      </c>
      <c r="B1278" s="71" t="n">
        <f aca="false">SUMPRODUCT(固有振動数!$Q$6:$Q$22*(1-($A1278/固有振動数!$O$6:$O$22)^2)/((1-($A1278/固有振動数!$O$6:$O$22)^2)^2+固有振動数!$P$6:$P$22^2))</f>
        <v>16.7977316656267</v>
      </c>
      <c r="C1278" s="71" t="n">
        <f aca="false">-SUMPRODUCT(固有振動数!$Q$6:$Q$22*固有振動数!$P$6:$P$22/((1-($A1278/固有振動数!$O$6:$O$22)^2)^2+固有振動数!$P$6:$P$22^2))</f>
        <v>-2.75488632063938</v>
      </c>
      <c r="D1278" s="71" t="n">
        <f aca="false">SQRT(B1278^2+C1278^2)</f>
        <v>17.0221381662247</v>
      </c>
      <c r="E1278" s="72" t="n">
        <f aca="false">20*LOG10(MAX(D1278,0.000000000001)/$K$3)</f>
        <v>24.6202822259815</v>
      </c>
      <c r="F1278" s="5"/>
      <c r="G1278" s="5"/>
      <c r="H1278" s="5"/>
      <c r="I1278" s="5"/>
      <c r="J1278" s="5"/>
      <c r="K1278" s="5"/>
      <c r="L1278" s="5"/>
      <c r="M1278" s="5"/>
      <c r="N1278" s="5"/>
    </row>
    <row r="1279" customFormat="false" ht="15" hidden="false" customHeight="false" outlineLevel="0" collapsed="false">
      <c r="A1279" s="71" t="n">
        <f aca="false">A1278+$F$3</f>
        <v>25460</v>
      </c>
      <c r="B1279" s="71" t="n">
        <f aca="false">SUMPRODUCT(固有振動数!$Q$6:$Q$22*(1-($A1279/固有振動数!$O$6:$O$22)^2)/((1-($A1279/固有振動数!$O$6:$O$22)^2)^2+固有振動数!$P$6:$P$22^2))</f>
        <v>17.1953508299324</v>
      </c>
      <c r="C1279" s="71" t="n">
        <f aca="false">-SUMPRODUCT(固有振動数!$Q$6:$Q$22*固有振動数!$P$6:$P$22/((1-($A1279/固有振動数!$O$6:$O$22)^2)^2+固有振動数!$P$6:$P$22^2))</f>
        <v>-2.85522579664671</v>
      </c>
      <c r="D1279" s="71" t="n">
        <f aca="false">SQRT(B1279^2+C1279^2)</f>
        <v>17.4307889814056</v>
      </c>
      <c r="E1279" s="72" t="n">
        <f aca="false">20*LOG10(MAX(D1279,0.000000000001)/$K$3)</f>
        <v>24.826340906303</v>
      </c>
      <c r="F1279" s="5"/>
      <c r="G1279" s="5"/>
      <c r="H1279" s="5"/>
      <c r="I1279" s="5"/>
      <c r="J1279" s="5"/>
      <c r="K1279" s="5"/>
      <c r="L1279" s="5"/>
      <c r="M1279" s="5"/>
      <c r="N1279" s="5"/>
    </row>
    <row r="1280" customFormat="false" ht="15" hidden="false" customHeight="false" outlineLevel="0" collapsed="false">
      <c r="A1280" s="71" t="n">
        <f aca="false">A1279+$F$3</f>
        <v>25480</v>
      </c>
      <c r="B1280" s="71" t="n">
        <f aca="false">SUMPRODUCT(固有振動数!$Q$6:$Q$22*(1-($A1280/固有振動数!$O$6:$O$22)^2)/((1-($A1280/固有振動数!$O$6:$O$22)^2)^2+固有振動数!$P$6:$P$22^2))</f>
        <v>17.6068124701636</v>
      </c>
      <c r="C1280" s="71" t="n">
        <f aca="false">-SUMPRODUCT(固有振動数!$Q$6:$Q$22*固有振動数!$P$6:$P$22/((1-($A1280/固有振動数!$O$6:$O$22)^2)^2+固有振動数!$P$6:$P$22^2))</f>
        <v>-2.96302315191165</v>
      </c>
      <c r="D1280" s="71" t="n">
        <f aca="false">SQRT(B1280^2+C1280^2)</f>
        <v>17.8543930604843</v>
      </c>
      <c r="E1280" s="72" t="n">
        <f aca="false">20*LOG10(MAX(D1280,0.000000000001)/$K$3)</f>
        <v>25.0349018287864</v>
      </c>
      <c r="F1280" s="5"/>
      <c r="G1280" s="5"/>
      <c r="H1280" s="5"/>
      <c r="I1280" s="5"/>
      <c r="J1280" s="5"/>
      <c r="K1280" s="5"/>
      <c r="L1280" s="5"/>
      <c r="M1280" s="5"/>
      <c r="N1280" s="5"/>
    </row>
    <row r="1281" customFormat="false" ht="15" hidden="false" customHeight="false" outlineLevel="0" collapsed="false">
      <c r="A1281" s="71" t="n">
        <f aca="false">A1280+$F$3</f>
        <v>25500</v>
      </c>
      <c r="B1281" s="71" t="n">
        <f aca="false">SUMPRODUCT(固有振動数!$Q$6:$Q$22*(1-($A1281/固有振動数!$O$6:$O$22)^2)/((1-($A1281/固有振動数!$O$6:$O$22)^2)^2+固有振動数!$P$6:$P$22^2))</f>
        <v>18.0331060077222</v>
      </c>
      <c r="C1281" s="71" t="n">
        <f aca="false">-SUMPRODUCT(固有振動数!$Q$6:$Q$22*固有振動数!$P$6:$P$22/((1-($A1281/固有振動数!$O$6:$O$22)^2)^2+固有振動数!$P$6:$P$22^2))</f>
        <v>-3.07897101368738</v>
      </c>
      <c r="D1281" s="71" t="n">
        <f aca="false">SQRT(B1281^2+C1281^2)</f>
        <v>18.294069388435</v>
      </c>
      <c r="E1281" s="72" t="n">
        <f aca="false">20*LOG10(MAX(D1281,0.000000000001)/$K$3)</f>
        <v>25.2462064401617</v>
      </c>
      <c r="F1281" s="5"/>
      <c r="G1281" s="5"/>
      <c r="H1281" s="5"/>
      <c r="I1281" s="5"/>
      <c r="J1281" s="5"/>
      <c r="K1281" s="5"/>
      <c r="L1281" s="5"/>
      <c r="M1281" s="5"/>
      <c r="N1281" s="5"/>
    </row>
    <row r="1282" customFormat="false" ht="15" hidden="false" customHeight="false" outlineLevel="0" collapsed="false">
      <c r="A1282" s="71" t="n">
        <f aca="false">A1281+$F$3</f>
        <v>25520</v>
      </c>
      <c r="B1282" s="71" t="n">
        <f aca="false">SUMPRODUCT(固有振動数!$Q$6:$Q$22*(1-($A1282/固有振動数!$O$6:$O$22)^2)/((1-($A1282/固有振動数!$O$6:$O$22)^2)^2+固有振動数!$P$6:$P$22^2))</f>
        <v>18.4753036967666</v>
      </c>
      <c r="C1282" s="71" t="n">
        <f aca="false">-SUMPRODUCT(固有振動数!$Q$6:$Q$22*固有振動数!$P$6:$P$22/((1-($A1282/固有振動数!$O$6:$O$22)^2)^2+固有振動数!$P$6:$P$22^2))</f>
        <v>-3.20384635754059</v>
      </c>
      <c r="D1282" s="71" t="n">
        <f aca="false">SQRT(B1282^2+C1282^2)</f>
        <v>18.7510393890708</v>
      </c>
      <c r="E1282" s="72" t="n">
        <f aca="false">20*LOG10(MAX(D1282,0.000000000001)/$K$3)</f>
        <v>25.4605069222635</v>
      </c>
      <c r="F1282" s="5"/>
      <c r="G1282" s="5"/>
      <c r="H1282" s="5"/>
      <c r="I1282" s="5"/>
      <c r="J1282" s="5"/>
      <c r="K1282" s="5"/>
      <c r="L1282" s="5"/>
      <c r="M1282" s="5"/>
      <c r="N1282" s="5"/>
    </row>
    <row r="1283" customFormat="false" ht="15" hidden="false" customHeight="false" outlineLevel="0" collapsed="false">
      <c r="A1283" s="71" t="n">
        <f aca="false">A1282+$F$3</f>
        <v>25540</v>
      </c>
      <c r="B1283" s="71" t="n">
        <f aca="false">SUMPRODUCT(固有振動数!$Q$6:$Q$22*(1-($A1283/固有振動数!$O$6:$O$22)^2)/((1-($A1283/固有振動数!$O$6:$O$22)^2)^2+固有振動数!$P$6:$P$22^2))</f>
        <v>18.9345693601958</v>
      </c>
      <c r="C1283" s="71" t="n">
        <f aca="false">-SUMPRODUCT(固有振動数!$Q$6:$Q$22*固有振動数!$P$6:$P$22/((1-($A1283/固有振動数!$O$6:$O$22)^2)^2+固有振動数!$P$6:$P$22^2))</f>
        <v>-3.33852286230514</v>
      </c>
      <c r="D1283" s="71" t="n">
        <f aca="false">SQRT(B1283^2+C1283^2)</f>
        <v>19.2266391175941</v>
      </c>
      <c r="E1283" s="72" t="n">
        <f aca="false">20*LOG10(MAX(D1283,0.000000000001)/$K$3)</f>
        <v>25.6780674941836</v>
      </c>
      <c r="F1283" s="5"/>
      <c r="G1283" s="5"/>
      <c r="H1283" s="5"/>
      <c r="I1283" s="5"/>
      <c r="J1283" s="5"/>
      <c r="K1283" s="5"/>
      <c r="L1283" s="5"/>
      <c r="M1283" s="5"/>
      <c r="N1283" s="5"/>
    </row>
    <row r="1284" customFormat="false" ht="15" hidden="false" customHeight="false" outlineLevel="0" collapsed="false">
      <c r="A1284" s="71" t="n">
        <f aca="false">A1283+$F$3</f>
        <v>25560</v>
      </c>
      <c r="B1284" s="71" t="n">
        <f aca="false">SUMPRODUCT(固有振動数!$Q$6:$Q$22*(1-($A1284/固有振動数!$O$6:$O$22)^2)/((1-($A1284/固有振動数!$O$6:$O$22)^2)^2+固有振動数!$P$6:$P$22^2))</f>
        <v>19.4121681358157</v>
      </c>
      <c r="C1284" s="71" t="n">
        <f aca="false">-SUMPRODUCT(固有振動数!$Q$6:$Q$22*固有振動数!$P$6:$P$22/((1-($A1284/固有振動数!$O$6:$O$22)^2)^2+固有振動数!$P$6:$P$22^2))</f>
        <v>-3.48398541226425</v>
      </c>
      <c r="D1284" s="71" t="n">
        <f aca="false">SQRT(B1284^2+C1284^2)</f>
        <v>19.7223331805861</v>
      </c>
      <c r="E1284" s="72" t="n">
        <f aca="false">20*LOG10(MAX(D1284,0.000000000001)/$K$3)</f>
        <v>25.8991658262162</v>
      </c>
      <c r="F1284" s="5"/>
      <c r="G1284" s="5"/>
      <c r="H1284" s="5"/>
      <c r="I1284" s="5"/>
      <c r="J1284" s="5"/>
      <c r="K1284" s="5"/>
      <c r="L1284" s="5"/>
      <c r="M1284" s="5"/>
      <c r="N1284" s="5"/>
    </row>
    <row r="1285" customFormat="false" ht="15" hidden="false" customHeight="false" outlineLevel="0" collapsed="false">
      <c r="A1285" s="71" t="n">
        <f aca="false">A1284+$F$3</f>
        <v>25580</v>
      </c>
      <c r="B1285" s="71" t="n">
        <f aca="false">SUMPRODUCT(固有振動数!$Q$6:$Q$22*(1-($A1285/固有振動数!$O$6:$O$22)^2)/((1-($A1285/固有振動数!$O$6:$O$22)^2)^2+固有振動数!$P$6:$P$22^2))</f>
        <v>19.9094773486898</v>
      </c>
      <c r="C1285" s="71" t="n">
        <f aca="false">-SUMPRODUCT(固有振動数!$Q$6:$Q$22*固有振動数!$P$6:$P$22/((1-($A1285/固有振動数!$O$6:$O$22)^2)^2+固有振動数!$P$6:$P$22^2))</f>
        <v>-3.64134717719658</v>
      </c>
      <c r="D1285" s="71" t="n">
        <f aca="false">SQRT(B1285^2+C1285^2)</f>
        <v>20.2397306692275</v>
      </c>
      <c r="E1285" s="72" t="n">
        <f aca="false">20*LOG10(MAX(D1285,0.000000000001)/$K$3)</f>
        <v>26.1240945807006</v>
      </c>
      <c r="F1285" s="5"/>
      <c r="G1285" s="5"/>
      <c r="H1285" s="5"/>
      <c r="I1285" s="5"/>
      <c r="J1285" s="5"/>
      <c r="K1285" s="5"/>
      <c r="L1285" s="5"/>
      <c r="M1285" s="5"/>
      <c r="N1285" s="5"/>
    </row>
    <row r="1286" customFormat="false" ht="15" hidden="false" customHeight="false" outlineLevel="0" collapsed="false">
      <c r="A1286" s="71" t="n">
        <f aca="false">A1285+$F$3</f>
        <v>25600</v>
      </c>
      <c r="B1286" s="71" t="n">
        <f aca="false">SUMPRODUCT(固有振動数!$Q$6:$Q$22*(1-($A1286/固有振動数!$O$6:$O$22)^2)/((1-($A1286/固有振動数!$O$6:$O$22)^2)^2+固有振動数!$P$6:$P$22^2))</f>
        <v>20.4279986335852</v>
      </c>
      <c r="C1286" s="71" t="n">
        <f aca="false">-SUMPRODUCT(固有振動数!$Q$6:$Q$22*固有振動数!$P$6:$P$22/((1-($A1286/固有振動数!$O$6:$O$22)^2)^2+固有振動数!$P$6:$P$22^2))</f>
        <v>-3.81186979899933</v>
      </c>
      <c r="D1286" s="71" t="n">
        <f aca="false">SQRT(B1286^2+C1286^2)</f>
        <v>20.7806034449984</v>
      </c>
      <c r="E1286" s="72" t="n">
        <f aca="false">20*LOG10(MAX(D1286,0.000000000001)/$K$3)</f>
        <v>26.3531630964037</v>
      </c>
      <c r="F1286" s="5"/>
      <c r="G1286" s="5"/>
      <c r="H1286" s="5"/>
      <c r="I1286" s="5"/>
      <c r="J1286" s="5"/>
      <c r="K1286" s="5"/>
      <c r="L1286" s="5"/>
      <c r="M1286" s="5"/>
      <c r="N1286" s="5"/>
    </row>
    <row r="1287" customFormat="false" ht="15" hidden="false" customHeight="false" outlineLevel="0" collapsed="false">
      <c r="A1287" s="71" t="n">
        <f aca="false">A1286+$F$3</f>
        <v>25620</v>
      </c>
      <c r="B1287" s="71" t="n">
        <f aca="false">SUMPRODUCT(固有振動数!$Q$6:$Q$22*(1-($A1287/固有振動数!$O$6:$O$22)^2)/((1-($A1287/固有振動数!$O$6:$O$22)^2)^2+固有振動数!$P$6:$P$22^2))</f>
        <v>20.9693714366457</v>
      </c>
      <c r="C1287" s="71" t="n">
        <f aca="false">-SUMPRODUCT(固有振動数!$Q$6:$Q$22*固有振動数!$P$6:$P$22/((1-($A1287/固有振動数!$O$6:$O$22)^2)^2+固有振動数!$P$6:$P$22^2))</f>
        <v>-3.996987336636</v>
      </c>
      <c r="D1287" s="71" t="n">
        <f aca="false">SQRT(B1287^2+C1287^2)</f>
        <v>21.346907181539</v>
      </c>
      <c r="E1287" s="72" t="n">
        <f aca="false">20*LOG10(MAX(D1287,0.000000000001)/$K$3)</f>
        <v>26.5866992347245</v>
      </c>
      <c r="F1287" s="5"/>
      <c r="G1287" s="5"/>
      <c r="H1287" s="5"/>
      <c r="I1287" s="5"/>
      <c r="J1287" s="5"/>
      <c r="K1287" s="5"/>
      <c r="L1287" s="5"/>
      <c r="M1287" s="5"/>
      <c r="N1287" s="5"/>
    </row>
    <row r="1288" customFormat="false" ht="15" hidden="false" customHeight="false" outlineLevel="0" collapsed="false">
      <c r="A1288" s="71" t="n">
        <f aca="false">A1287+$F$3</f>
        <v>25640</v>
      </c>
      <c r="B1288" s="71" t="n">
        <f aca="false">SUMPRODUCT(固有振動数!$Q$6:$Q$22*(1-($A1288/固有振動数!$O$6:$O$22)^2)/((1-($A1288/固有振動数!$O$6:$O$22)^2)^2+固有振動数!$P$6:$P$22^2))</f>
        <v>21.5353880258055</v>
      </c>
      <c r="C1288" s="71" t="n">
        <f aca="false">-SUMPRODUCT(固有振動数!$Q$6:$Q$22*固有振動数!$P$6:$P$22/((1-($A1288/固有振動数!$O$6:$O$22)^2)^2+固有振動数!$P$6:$P$22^2))</f>
        <v>-4.19833477613923</v>
      </c>
      <c r="D1288" s="71" t="n">
        <f aca="false">SQRT(B1288^2+C1288^2)</f>
        <v>21.9408056441541</v>
      </c>
      <c r="E1288" s="72" t="n">
        <f aca="false">20*LOG10(MAX(D1288,0.000000000001)/$K$3)</f>
        <v>26.825051407697</v>
      </c>
      <c r="F1288" s="5"/>
      <c r="G1288" s="5"/>
      <c r="H1288" s="5"/>
      <c r="I1288" s="5"/>
      <c r="J1288" s="5"/>
      <c r="K1288" s="5"/>
      <c r="L1288" s="5"/>
      <c r="M1288" s="5"/>
      <c r="N1288" s="5"/>
    </row>
    <row r="1289" customFormat="false" ht="15" hidden="false" customHeight="false" outlineLevel="0" collapsed="false">
      <c r="A1289" s="71" t="n">
        <f aca="false">A1288+$F$3</f>
        <v>25660</v>
      </c>
      <c r="B1289" s="71" t="n">
        <f aca="false">SUMPRODUCT(固有振動数!$Q$6:$Q$22*(1-($A1289/固有振動数!$O$6:$O$22)^2)/((1-($A1289/固有振動数!$O$6:$O$22)^2)^2+固有振動数!$P$6:$P$22^2))</f>
        <v>22.1280101316705</v>
      </c>
      <c r="C1289" s="71" t="n">
        <f aca="false">-SUMPRODUCT(固有振動数!$Q$6:$Q$22*固有振動数!$P$6:$P$22/((1-($A1289/固有振動数!$O$6:$O$22)^2)^2+固有振動数!$P$6:$P$22^2))</f>
        <v>-4.41778210844325</v>
      </c>
      <c r="D1289" s="71" t="n">
        <f aca="false">SQRT(B1289^2+C1289^2)</f>
        <v>22.5646987825008</v>
      </c>
      <c r="E1289" s="72" t="n">
        <f aca="false">20*LOG10(MAX(D1289,0.000000000001)/$K$3)</f>
        <v>27.0685908094425</v>
      </c>
      <c r="F1289" s="5"/>
      <c r="G1289" s="5"/>
      <c r="H1289" s="5"/>
      <c r="I1289" s="5"/>
      <c r="J1289" s="5"/>
      <c r="K1289" s="5"/>
      <c r="L1289" s="5"/>
      <c r="M1289" s="5"/>
      <c r="N1289" s="5"/>
    </row>
    <row r="1290" customFormat="false" ht="15" hidden="false" customHeight="false" outlineLevel="0" collapsed="false">
      <c r="A1290" s="71" t="n">
        <f aca="false">A1289+$F$3</f>
        <v>25680</v>
      </c>
      <c r="B1290" s="71" t="n">
        <f aca="false">SUMPRODUCT(固有振動数!$Q$6:$Q$22*(1-($A1290/固有振動数!$O$6:$O$22)^2)/((1-($A1290/固有振動数!$O$6:$O$22)^2)^2+固有振動数!$P$6:$P$22^2))</f>
        <v>22.7493873195904</v>
      </c>
      <c r="C1290" s="71" t="n">
        <f aca="false">-SUMPRODUCT(固有振動数!$Q$6:$Q$22*固有振動数!$P$6:$P$22/((1-($A1290/固有振動数!$O$6:$O$22)^2)^2+固有振動数!$P$6:$P$22^2))</f>
        <v>-4.65747522684477</v>
      </c>
      <c r="D1290" s="71" t="n">
        <f aca="false">SQRT(B1290^2+C1290^2)</f>
        <v>23.2212553257875</v>
      </c>
      <c r="E1290" s="72" t="n">
        <f aca="false">20*LOG10(MAX(D1290,0.000000000001)/$K$3)</f>
        <v>27.3177138742235</v>
      </c>
      <c r="F1290" s="5"/>
      <c r="G1290" s="5"/>
      <c r="H1290" s="5"/>
      <c r="I1290" s="5"/>
      <c r="J1290" s="5"/>
      <c r="K1290" s="5"/>
      <c r="L1290" s="5"/>
      <c r="M1290" s="5"/>
      <c r="N1290" s="5"/>
    </row>
    <row r="1291" customFormat="false" ht="15" hidden="false" customHeight="false" outlineLevel="0" collapsed="false">
      <c r="A1291" s="71" t="n">
        <f aca="false">A1290+$F$3</f>
        <v>25700</v>
      </c>
      <c r="B1291" s="71" t="n">
        <f aca="false">SUMPRODUCT(固有振動数!$Q$6:$Q$22*(1-($A1291/固有振動数!$O$6:$O$22)^2)/((1-($A1291/固有振動数!$O$6:$O$22)^2)^2+固有振動数!$P$6:$P$22^2))</f>
        <v>23.4018771517564</v>
      </c>
      <c r="C1291" s="71" t="n">
        <f aca="false">-SUMPRODUCT(固有振動数!$Q$6:$Q$22*固有振動数!$P$6:$P$22/((1-($A1291/固有振動数!$O$6:$O$22)^2)^2+固有振動数!$P$6:$P$22^2))</f>
        <v>-4.91988521353194</v>
      </c>
      <c r="D1291" s="71" t="n">
        <f aca="false">SQRT(B1291^2+C1291^2)</f>
        <v>23.9134507075041</v>
      </c>
      <c r="E1291" s="72" t="n">
        <f aca="false">20*LOG10(MAX(D1291,0.000000000001)/$K$3)</f>
        <v>27.5728449853828</v>
      </c>
      <c r="F1291" s="5"/>
      <c r="G1291" s="5"/>
      <c r="H1291" s="5"/>
      <c r="I1291" s="5"/>
      <c r="J1291" s="5"/>
      <c r="K1291" s="5"/>
      <c r="L1291" s="5"/>
      <c r="M1291" s="5"/>
      <c r="N1291" s="5"/>
    </row>
    <row r="1292" customFormat="false" ht="15" hidden="false" customHeight="false" outlineLevel="0" collapsed="false">
      <c r="A1292" s="71" t="n">
        <f aca="false">A1291+$F$3</f>
        <v>25720</v>
      </c>
      <c r="B1292" s="71" t="n">
        <f aca="false">SUMPRODUCT(固有振動数!$Q$6:$Q$22*(1-($A1292/固有振動数!$O$6:$O$22)^2)/((1-($A1292/固有振動数!$O$6:$O$22)^2)^2+固有振動数!$P$6:$P$22^2))</f>
        <v>24.0880671237862</v>
      </c>
      <c r="C1292" s="71" t="n">
        <f aca="false">-SUMPRODUCT(固有振動数!$Q$6:$Q$22*固有振動数!$P$6:$P$22/((1-($A1292/固有振動数!$O$6:$O$22)^2)^2+固有振動数!$P$6:$P$22^2))</f>
        <v>-5.20786799143611</v>
      </c>
      <c r="D1292" s="71" t="n">
        <f aca="false">SQRT(B1292^2+C1292^2)</f>
        <v>24.6446113131503</v>
      </c>
      <c r="E1292" s="72" t="n">
        <f aca="false">20*LOG10(MAX(D1292,0.000000000001)/$K$3)</f>
        <v>27.8344394598492</v>
      </c>
      <c r="F1292" s="5"/>
      <c r="G1292" s="5"/>
      <c r="H1292" s="5"/>
      <c r="I1292" s="5"/>
      <c r="J1292" s="5"/>
      <c r="K1292" s="5"/>
      <c r="L1292" s="5"/>
      <c r="M1292" s="5"/>
      <c r="N1292" s="5"/>
    </row>
    <row r="1293" customFormat="false" ht="15" hidden="false" customHeight="false" outlineLevel="0" collapsed="false">
      <c r="A1293" s="71" t="n">
        <f aca="false">A1292+$F$3</f>
        <v>25740</v>
      </c>
      <c r="B1293" s="71" t="n">
        <f aca="false">SUMPRODUCT(固有振動数!$Q$6:$Q$22*(1-($A1293/固有振動数!$O$6:$O$22)^2)/((1-($A1293/固有振動数!$O$6:$O$22)^2)^2+固有振動数!$P$6:$P$22^2))</f>
        <v>24.8107982358442</v>
      </c>
      <c r="C1293" s="71" t="n">
        <f aca="false">-SUMPRODUCT(固有振動数!$Q$6:$Q$22*固有振動数!$P$6:$P$22/((1-($A1293/固有振動数!$O$6:$O$22)^2)^2+固有振動数!$P$6:$P$22^2))</f>
        <v>-5.52473684073876</v>
      </c>
      <c r="D1293" s="71" t="n">
        <f aca="false">SQRT(B1293^2+C1293^2)</f>
        <v>25.418466245216</v>
      </c>
      <c r="E1293" s="72" t="n">
        <f aca="false">20*LOG10(MAX(D1293,0.000000000001)/$K$3)</f>
        <v>28.1029868320425</v>
      </c>
      <c r="F1293" s="5"/>
      <c r="G1293" s="5"/>
      <c r="H1293" s="5"/>
      <c r="I1293" s="5"/>
      <c r="J1293" s="5"/>
      <c r="K1293" s="5"/>
      <c r="L1293" s="5"/>
      <c r="M1293" s="5"/>
      <c r="N1293" s="5"/>
    </row>
    <row r="1294" customFormat="false" ht="15" hidden="false" customHeight="false" outlineLevel="0" collapsed="false">
      <c r="A1294" s="71" t="n">
        <f aca="false">A1293+$F$3</f>
        <v>25760</v>
      </c>
      <c r="B1294" s="71" t="n">
        <f aca="false">SUMPRODUCT(固有振動数!$Q$6:$Q$22*(1-($A1294/固有振動数!$O$6:$O$22)^2)/((1-($A1294/固有振動数!$O$6:$O$22)^2)^2+固有振動数!$P$6:$P$22^2))</f>
        <v>25.5731898573166</v>
      </c>
      <c r="C1294" s="71" t="n">
        <f aca="false">-SUMPRODUCT(固有振動数!$Q$6:$Q$22*固有振動数!$P$6:$P$22/((1-($A1294/固有振動数!$O$6:$O$22)^2)^2+固有振動数!$P$6:$P$22^2))</f>
        <v>-5.87435095441509</v>
      </c>
      <c r="D1294" s="71" t="n">
        <f aca="false">SQRT(B1294^2+C1294^2)</f>
        <v>26.239208040907</v>
      </c>
      <c r="E1294" s="72" t="n">
        <f aca="false">20*LOG10(MAX(D1294,0.000000000001)/$K$3)</f>
        <v>28.3790144580858</v>
      </c>
      <c r="F1294" s="5"/>
      <c r="G1294" s="5"/>
      <c r="H1294" s="5"/>
      <c r="I1294" s="5"/>
      <c r="J1294" s="5"/>
      <c r="K1294" s="5"/>
      <c r="L1294" s="5"/>
      <c r="M1294" s="5"/>
      <c r="N1294" s="5"/>
    </row>
    <row r="1295" customFormat="false" ht="15" hidden="false" customHeight="false" outlineLevel="0" collapsed="false">
      <c r="A1295" s="71" t="n">
        <f aca="false">A1294+$F$3</f>
        <v>25780</v>
      </c>
      <c r="B1295" s="71" t="n">
        <f aca="false">SUMPRODUCT(固有振動数!$Q$6:$Q$22*(1-($A1295/固有振動数!$O$6:$O$22)^2)/((1-($A1295/固有振動数!$O$6:$O$22)^2)^2+固有振動数!$P$6:$P$22^2))</f>
        <v>26.3786652260632</v>
      </c>
      <c r="C1295" s="71" t="n">
        <f aca="false">-SUMPRODUCT(固有振動数!$Q$6:$Q$22*固有振動数!$P$6:$P$22/((1-($A1295/固有振動数!$O$6:$O$22)^2)^2+固有振動数!$P$6:$P$22^2))</f>
        <v>-6.26122408126087</v>
      </c>
      <c r="D1295" s="71" t="n">
        <f aca="false">SQRT(B1295^2+C1295^2)</f>
        <v>27.1115640659936</v>
      </c>
      <c r="E1295" s="72" t="n">
        <f aca="false">20*LOG10(MAX(D1295,0.000000000001)/$K$3)</f>
        <v>28.6630914549934</v>
      </c>
      <c r="F1295" s="5"/>
      <c r="G1295" s="5"/>
      <c r="H1295" s="5"/>
      <c r="I1295" s="5"/>
      <c r="J1295" s="5"/>
      <c r="K1295" s="5"/>
      <c r="L1295" s="5"/>
      <c r="M1295" s="5"/>
      <c r="N1295" s="5"/>
    </row>
    <row r="1296" customFormat="false" ht="15" hidden="false" customHeight="false" outlineLevel="0" collapsed="false">
      <c r="A1296" s="71" t="n">
        <f aca="false">A1295+$F$3</f>
        <v>25800</v>
      </c>
      <c r="B1296" s="71" t="n">
        <f aca="false">SUMPRODUCT(固有振動数!$Q$6:$Q$22*(1-($A1296/固有振動数!$O$6:$O$22)^2)/((1-($A1296/固有振動数!$O$6:$O$22)^2)^2+固有振動数!$P$6:$P$22^2))</f>
        <v>27.2309764268837</v>
      </c>
      <c r="C1296" s="71" t="n">
        <f aca="false">-SUMPRODUCT(固有振動数!$Q$6:$Q$22*固有振動数!$P$6:$P$22/((1-($A1296/固有振動数!$O$6:$O$22)^2)^2+固有振動数!$P$6:$P$22^2))</f>
        <v>-6.69065843974507</v>
      </c>
      <c r="D1296" s="71" t="n">
        <f aca="false">SQRT(B1296^2+C1296^2)</f>
        <v>28.0408806480615</v>
      </c>
      <c r="E1296" s="72" t="n">
        <f aca="false">20*LOG10(MAX(D1296,0.000000000001)/$K$3)</f>
        <v>28.9558329780378</v>
      </c>
      <c r="F1296" s="5"/>
      <c r="G1296" s="5"/>
      <c r="H1296" s="5"/>
      <c r="I1296" s="5"/>
      <c r="J1296" s="5"/>
      <c r="K1296" s="5"/>
      <c r="L1296" s="5"/>
      <c r="M1296" s="5"/>
      <c r="N1296" s="5"/>
    </row>
    <row r="1297" customFormat="false" ht="15" hidden="false" customHeight="false" outlineLevel="0" collapsed="false">
      <c r="A1297" s="71" t="n">
        <f aca="false">A1296+$F$3</f>
        <v>25820</v>
      </c>
      <c r="B1297" s="71" t="n">
        <f aca="false">SUMPRODUCT(固有振動数!$Q$6:$Q$22*(1-($A1297/固有振動数!$O$6:$O$22)^2)/((1-($A1297/固有振動数!$O$6:$O$22)^2)^2+固有振動数!$P$6:$P$22^2))</f>
        <v>28.1342269251834</v>
      </c>
      <c r="C1297" s="71" t="n">
        <f aca="false">-SUMPRODUCT(固有振動数!$Q$6:$Q$22*固有振動数!$P$6:$P$22/((1-($A1297/固有振動数!$O$6:$O$22)^2)^2+固有振動数!$P$6:$P$22^2))</f>
        <v>-7.16891056247755</v>
      </c>
      <c r="D1297" s="71" t="n">
        <f aca="false">SQRT(B1297^2+C1297^2)</f>
        <v>29.0332224069344</v>
      </c>
      <c r="E1297" s="72" t="n">
        <f aca="false">20*LOG10(MAX(D1297,0.000000000001)/$K$3)</f>
        <v>29.2579048198943</v>
      </c>
      <c r="F1297" s="5"/>
      <c r="G1297" s="5"/>
      <c r="H1297" s="5"/>
      <c r="I1297" s="5"/>
      <c r="J1297" s="5"/>
      <c r="K1297" s="5"/>
      <c r="L1297" s="5"/>
      <c r="M1297" s="5"/>
      <c r="N1297" s="5"/>
    </row>
    <row r="1298" customFormat="false" ht="15" hidden="false" customHeight="false" outlineLevel="0" collapsed="false">
      <c r="A1298" s="71" t="n">
        <f aca="false">A1297+$F$3</f>
        <v>25840</v>
      </c>
      <c r="B1298" s="71" t="n">
        <f aca="false">SUMPRODUCT(固有振動数!$Q$6:$Q$22*(1-($A1298/固有振動数!$O$6:$O$22)^2)/((1-($A1298/固有振動数!$O$6:$O$22)^2)^2+固有振動数!$P$6:$P$22^2))</f>
        <v>29.0928885468518</v>
      </c>
      <c r="C1298" s="71" t="n">
        <f aca="false">-SUMPRODUCT(固有振動数!$Q$6:$Q$22*固有振動数!$P$6:$P$22/((1-($A1298/固有振動数!$O$6:$O$22)^2)^2+固有振動数!$P$6:$P$22^2))</f>
        <v>-7.70339765338758</v>
      </c>
      <c r="D1298" s="71" t="n">
        <f aca="false">SQRT(B1298^2+C1298^2)</f>
        <v>30.0954896854289</v>
      </c>
      <c r="E1298" s="72" t="n">
        <f aca="false">20*LOG10(MAX(D1298,0.000000000001)/$K$3)</f>
        <v>29.5700282829716</v>
      </c>
      <c r="F1298" s="5"/>
      <c r="G1298" s="5"/>
      <c r="H1298" s="5"/>
      <c r="I1298" s="5"/>
      <c r="J1298" s="5"/>
      <c r="K1298" s="5"/>
      <c r="L1298" s="5"/>
      <c r="M1298" s="5"/>
      <c r="N1298" s="5"/>
    </row>
    <row r="1299" customFormat="false" ht="15" hidden="false" customHeight="false" outlineLevel="0" collapsed="false">
      <c r="A1299" s="71" t="n">
        <f aca="false">A1298+$F$3</f>
        <v>25860</v>
      </c>
      <c r="B1299" s="71" t="n">
        <f aca="false">SUMPRODUCT(固有振動数!$Q$6:$Q$22*(1-($A1299/固有振動数!$O$6:$O$22)^2)/((1-($A1299/固有振動数!$O$6:$O$22)^2)^2+固有振動数!$P$6:$P$22^2))</f>
        <v>30.1118079719405</v>
      </c>
      <c r="C1299" s="71" t="n">
        <f aca="false">-SUMPRODUCT(固有振動数!$Q$6:$Q$22*固有振動数!$P$6:$P$22/((1-($A1299/固有振動数!$O$6:$O$22)^2)^2+固有振動数!$P$6:$P$22^2))</f>
        <v>-8.30295554013778</v>
      </c>
      <c r="D1299" s="71" t="n">
        <f aca="false">SQRT(B1299^2+C1299^2)</f>
        <v>31.2355574632585</v>
      </c>
      <c r="E1299" s="72" t="n">
        <f aca="false">20*LOG10(MAX(D1299,0.000000000001)/$K$3)</f>
        <v>29.8929852247262</v>
      </c>
      <c r="F1299" s="5"/>
      <c r="G1299" s="5"/>
      <c r="H1299" s="5"/>
      <c r="I1299" s="5"/>
      <c r="J1299" s="5"/>
      <c r="K1299" s="5"/>
      <c r="L1299" s="5"/>
      <c r="M1299" s="5"/>
      <c r="N1299" s="5"/>
    </row>
    <row r="1300" customFormat="false" ht="15" hidden="false" customHeight="false" outlineLevel="0" collapsed="false">
      <c r="A1300" s="71" t="n">
        <f aca="false">A1299+$F$3</f>
        <v>25880</v>
      </c>
      <c r="B1300" s="71" t="n">
        <f aca="false">SUMPRODUCT(固有振動数!$Q$6:$Q$22*(1-($A1300/固有振動数!$O$6:$O$22)^2)/((1-($A1300/固有振動数!$O$6:$O$22)^2)^2+固有振動数!$P$6:$P$22^2))</f>
        <v>31.1961950037994</v>
      </c>
      <c r="C1300" s="71" t="n">
        <f aca="false">-SUMPRODUCT(固有振動数!$Q$6:$Q$22*固有振動数!$P$6:$P$22/((1-($A1300/固有振動数!$O$6:$O$22)^2)^2+固有振動数!$P$6:$P$22^2))</f>
        <v>-8.97816254527239</v>
      </c>
      <c r="D1300" s="71" t="n">
        <f aca="false">SQRT(B1300^2+C1300^2)</f>
        <v>32.4624396095612</v>
      </c>
      <c r="E1300" s="72" t="n">
        <f aca="false">20*LOG10(MAX(D1300,0.000000000001)/$K$3)</f>
        <v>30.2276230942513</v>
      </c>
      <c r="F1300" s="5"/>
      <c r="G1300" s="5"/>
      <c r="H1300" s="5"/>
      <c r="I1300" s="5"/>
      <c r="J1300" s="5"/>
      <c r="K1300" s="5"/>
      <c r="L1300" s="5"/>
      <c r="M1300" s="5"/>
      <c r="N1300" s="5"/>
    </row>
    <row r="1301" customFormat="false" ht="15" hidden="false" customHeight="false" outlineLevel="0" collapsed="false">
      <c r="A1301" s="71" t="n">
        <f aca="false">A1300+$F$3</f>
        <v>25900</v>
      </c>
      <c r="B1301" s="71" t="n">
        <f aca="false">SUMPRODUCT(固有振動数!$Q$6:$Q$22*(1-($A1301/固有振動数!$O$6:$O$22)^2)/((1-($A1301/固有振動数!$O$6:$O$22)^2)^2+固有振動数!$P$6:$P$22^2))</f>
        <v>32.351580551497</v>
      </c>
      <c r="C1301" s="71" t="n">
        <f aca="false">-SUMPRODUCT(固有振動数!$Q$6:$Q$22*固有振動数!$P$6:$P$22/((1-($A1301/固有振動数!$O$6:$O$22)^2)^2+固有振動数!$P$6:$P$22^2))</f>
        <v>-9.74174776907189</v>
      </c>
      <c r="D1301" s="71" t="n">
        <f aca="false">SQRT(B1301^2+C1301^2)</f>
        <v>33.7864827079739</v>
      </c>
      <c r="E1301" s="72" t="n">
        <f aca="false">20*LOG10(MAX(D1301,0.000000000001)/$K$3)</f>
        <v>30.5748596508122</v>
      </c>
      <c r="F1301" s="5"/>
      <c r="G1301" s="5"/>
      <c r="H1301" s="5"/>
      <c r="I1301" s="5"/>
      <c r="J1301" s="5"/>
      <c r="K1301" s="5"/>
      <c r="L1301" s="5"/>
      <c r="M1301" s="5"/>
      <c r="N1301" s="5"/>
    </row>
    <row r="1302" customFormat="false" ht="15" hidden="false" customHeight="false" outlineLevel="0" collapsed="false">
      <c r="A1302" s="71" t="n">
        <f aca="false">A1301+$F$3</f>
        <v>25920</v>
      </c>
      <c r="B1302" s="71" t="n">
        <f aca="false">SUMPRODUCT(固有振動数!$Q$6:$Q$22*(1-($A1302/固有振動数!$O$6:$O$22)^2)/((1-($A1302/固有振動数!$O$6:$O$22)^2)^2+固有振動数!$P$6:$P$22^2))</f>
        <v>33.5837255852127</v>
      </c>
      <c r="C1302" s="71" t="n">
        <f aca="false">-SUMPRODUCT(固有振動数!$Q$6:$Q$22*固有振動数!$P$6:$P$22/((1-($A1302/固有振動数!$O$6:$O$22)^2)^2+固有振動数!$P$6:$P$22^2))</f>
        <v>-10.6091075674776</v>
      </c>
      <c r="D1302" s="71" t="n">
        <f aca="false">SQRT(B1302^2+C1302^2)</f>
        <v>35.219593801763</v>
      </c>
      <c r="E1302" s="72" t="n">
        <f aca="false">20*LOG10(MAX(D1302,0.000000000001)/$K$3)</f>
        <v>30.9356868562083</v>
      </c>
      <c r="F1302" s="5"/>
      <c r="G1302" s="5"/>
      <c r="H1302" s="5"/>
      <c r="I1302" s="5"/>
      <c r="J1302" s="5"/>
      <c r="K1302" s="5"/>
      <c r="L1302" s="5"/>
      <c r="M1302" s="5"/>
      <c r="N1302" s="5"/>
    </row>
    <row r="1303" customFormat="false" ht="15" hidden="false" customHeight="false" outlineLevel="0" collapsed="false">
      <c r="A1303" s="71" t="n">
        <f aca="false">A1302+$F$3</f>
        <v>25940</v>
      </c>
      <c r="B1303" s="71" t="n">
        <f aca="false">SUMPRODUCT(固有振動数!$Q$6:$Q$22*(1-($A1303/固有振動数!$O$6:$O$22)^2)/((1-($A1303/固有振動数!$O$6:$O$22)^2)^2+固有振動数!$P$6:$P$22^2))</f>
        <v>34.8984519813254</v>
      </c>
      <c r="C1303" s="71" t="n">
        <f aca="false">-SUMPRODUCT(固有振動数!$Q$6:$Q$22*固有振動数!$P$6:$P$22/((1-($A1303/固有振動数!$O$6:$O$22)^2)^2+固有振動数!$P$6:$P$22^2))</f>
        <v>-11.5989605584672</v>
      </c>
      <c r="D1303" s="71" t="n">
        <f aca="false">SQRT(B1303^2+C1303^2)</f>
        <v>36.7755059343818</v>
      </c>
      <c r="E1303" s="72" t="n">
        <f aca="false">20*LOG10(MAX(D1303,0.000000000001)/$K$3)</f>
        <v>31.3111731238439</v>
      </c>
      <c r="F1303" s="5"/>
      <c r="G1303" s="5"/>
      <c r="H1303" s="5"/>
      <c r="I1303" s="5"/>
      <c r="J1303" s="5"/>
      <c r="K1303" s="5"/>
      <c r="L1303" s="5"/>
      <c r="M1303" s="5"/>
      <c r="N1303" s="5"/>
    </row>
    <row r="1304" customFormat="false" ht="15" hidden="false" customHeight="false" outlineLevel="0" collapsed="false">
      <c r="A1304" s="71" t="n">
        <f aca="false">A1303+$F$3</f>
        <v>25960</v>
      </c>
      <c r="B1304" s="71" t="n">
        <f aca="false">SUMPRODUCT(固有振動数!$Q$6:$Q$22*(1-($A1304/固有振動数!$O$6:$O$22)^2)/((1-($A1304/固有振動数!$O$6:$O$22)^2)^2+固有振動数!$P$6:$P$22^2))</f>
        <v>36.3013501105391</v>
      </c>
      <c r="C1304" s="71" t="n">
        <f aca="false">-SUMPRODUCT(固有振動数!$Q$6:$Q$22*固有振動数!$P$6:$P$22/((1-($A1304/固有振動数!$O$6:$O$22)^2)^2+固有振動数!$P$6:$P$22^2))</f>
        <v>-12.7341792474785</v>
      </c>
      <c r="D1304" s="71" t="n">
        <f aca="false">SQRT(B1304^2+C1304^2)</f>
        <v>38.4700837139049</v>
      </c>
      <c r="E1304" s="72" t="n">
        <f aca="false">20*LOG10(MAX(D1304,0.000000000001)/$K$3)</f>
        <v>31.7024626273307</v>
      </c>
      <c r="F1304" s="5"/>
      <c r="G1304" s="5"/>
      <c r="H1304" s="5"/>
      <c r="I1304" s="5"/>
      <c r="J1304" s="5"/>
      <c r="K1304" s="5"/>
      <c r="L1304" s="5"/>
      <c r="M1304" s="5"/>
      <c r="N1304" s="5"/>
    </row>
    <row r="1305" customFormat="false" ht="15" hidden="false" customHeight="false" outlineLevel="0" collapsed="false">
      <c r="A1305" s="71" t="n">
        <f aca="false">A1304+$F$3</f>
        <v>25980</v>
      </c>
      <c r="B1305" s="71" t="n">
        <f aca="false">SUMPRODUCT(固有振動数!$Q$6:$Q$22*(1-($A1305/固有振動数!$O$6:$O$22)^2)/((1-($A1305/固有振動数!$O$6:$O$22)^2)^2+固有振動数!$P$6:$P$22^2))</f>
        <v>37.7972930207396</v>
      </c>
      <c r="C1305" s="71" t="n">
        <f aca="false">-SUMPRODUCT(固有振動数!$Q$6:$Q$22*固有振動数!$P$6:$P$22/((1-($A1305/固有振動数!$O$6:$O$22)^2)^2+固有振動数!$P$6:$P$22^2))</f>
        <v>-14.0428447809995</v>
      </c>
      <c r="D1305" s="71" t="n">
        <f aca="false">SQRT(B1305^2+C1305^2)</f>
        <v>40.3216672427976</v>
      </c>
      <c r="E1305" s="72" t="n">
        <f aca="false">20*LOG10(MAX(D1305,0.000000000001)/$K$3)</f>
        <v>32.1107696251864</v>
      </c>
      <c r="F1305" s="5"/>
      <c r="G1305" s="5"/>
      <c r="H1305" s="5"/>
      <c r="I1305" s="5"/>
      <c r="J1305" s="5"/>
      <c r="K1305" s="5"/>
      <c r="L1305" s="5"/>
      <c r="M1305" s="5"/>
      <c r="N1305" s="5"/>
    </row>
    <row r="1306" customFormat="false" ht="15" hidden="false" customHeight="false" outlineLevel="0" collapsed="false">
      <c r="A1306" s="71" t="n">
        <f aca="false">A1305+$F$3</f>
        <v>26000</v>
      </c>
      <c r="B1306" s="71" t="n">
        <f aca="false">SUMPRODUCT(固有振動数!$Q$6:$Q$22*(1-($A1306/固有振動数!$O$6:$O$22)^2)/((1-($A1306/固有振動数!$O$6:$O$22)^2)^2+固有振動数!$P$6:$P$22^2))</f>
        <v>39.3896481241217</v>
      </c>
      <c r="C1306" s="71" t="n">
        <f aca="false">-SUMPRODUCT(固有振動数!$Q$6:$Q$22*固有振動数!$P$6:$P$22/((1-($A1306/固有振動数!$O$6:$O$22)^2)^2+固有振動数!$P$6:$P$22^2))</f>
        <v>-15.5595787383959</v>
      </c>
      <c r="D1306" s="71" t="n">
        <f aca="false">SQRT(B1306^2+C1306^2)</f>
        <v>42.3514447198495</v>
      </c>
      <c r="E1306" s="72" t="n">
        <f aca="false">20*LOG10(MAX(D1306,0.000000000001)/$K$3)</f>
        <v>32.5373645970685</v>
      </c>
      <c r="F1306" s="5"/>
      <c r="G1306" s="5"/>
      <c r="H1306" s="5"/>
      <c r="I1306" s="5"/>
      <c r="J1306" s="5"/>
      <c r="K1306" s="5"/>
      <c r="L1306" s="5"/>
      <c r="M1306" s="5"/>
      <c r="N1306" s="5"/>
    </row>
    <row r="1307" customFormat="false" ht="15" hidden="false" customHeight="false" outlineLevel="0" collapsed="false">
      <c r="A1307" s="71" t="n">
        <f aca="false">A1306+$F$3</f>
        <v>26020</v>
      </c>
      <c r="B1307" s="71" t="n">
        <f aca="false">SUMPRODUCT(固有振動数!$Q$6:$Q$22*(1-($A1307/固有振動数!$O$6:$O$22)^2)/((1-($A1307/固有振動数!$O$6:$O$22)^2)^2+固有振動数!$P$6:$P$22^2))</f>
        <v>41.0790167596155</v>
      </c>
      <c r="C1307" s="71" t="n">
        <f aca="false">-SUMPRODUCT(固有振動数!$Q$6:$Q$22*固有振動数!$P$6:$P$22/((1-($A1307/固有振動数!$O$6:$O$22)^2)^2+固有振動数!$P$6:$P$22^2))</f>
        <v>-17.3272081263224</v>
      </c>
      <c r="D1307" s="71" t="n">
        <f aca="false">SQRT(B1307^2+C1307^2)</f>
        <v>44.583828451465</v>
      </c>
      <c r="E1307" s="72" t="n">
        <f aca="false">20*LOG10(MAX(D1307,0.000000000001)/$K$3)</f>
        <v>32.9835471796793</v>
      </c>
      <c r="F1307" s="5"/>
      <c r="G1307" s="5"/>
      <c r="H1307" s="5"/>
      <c r="I1307" s="5"/>
      <c r="J1307" s="5"/>
      <c r="K1307" s="5"/>
      <c r="L1307" s="5"/>
      <c r="M1307" s="5"/>
      <c r="N1307" s="5"/>
    </row>
    <row r="1308" customFormat="false" ht="15" hidden="false" customHeight="false" outlineLevel="0" collapsed="false">
      <c r="A1308" s="71" t="n">
        <f aca="false">A1307+$F$3</f>
        <v>26040</v>
      </c>
      <c r="B1308" s="71" t="n">
        <f aca="false">SUMPRODUCT(固有振動数!$Q$6:$Q$22*(1-($A1308/固有振動数!$O$6:$O$22)^2)/((1-($A1308/固有振動数!$O$6:$O$22)^2)^2+固有振動数!$P$6:$P$22^2))</f>
        <v>42.8612385062011</v>
      </c>
      <c r="C1308" s="71" t="n">
        <f aca="false">-SUMPRODUCT(固有振動数!$Q$6:$Q$22*固有振動数!$P$6:$P$22/((1-($A1308/固有振動数!$O$6:$O$22)^2)^2+固有振動数!$P$6:$P$22^2))</f>
        <v>-19.3988076097868</v>
      </c>
      <c r="D1308" s="71" t="n">
        <f aca="false">SQRT(B1308^2+C1308^2)</f>
        <v>47.0467799425952</v>
      </c>
      <c r="E1308" s="72" t="n">
        <f aca="false">20*LOG10(MAX(D1308,0.000000000001)/$K$3)</f>
        <v>33.4505980808685</v>
      </c>
      <c r="F1308" s="5"/>
      <c r="G1308" s="5"/>
      <c r="H1308" s="5"/>
      <c r="I1308" s="5"/>
      <c r="J1308" s="5"/>
      <c r="K1308" s="5"/>
      <c r="L1308" s="5"/>
      <c r="M1308" s="5"/>
      <c r="N1308" s="5"/>
    </row>
    <row r="1309" customFormat="false" ht="15" hidden="false" customHeight="false" outlineLevel="0" collapsed="false">
      <c r="A1309" s="71" t="n">
        <f aca="false">A1308+$F$3</f>
        <v>26060</v>
      </c>
      <c r="B1309" s="71" t="n">
        <f aca="false">SUMPRODUCT(固有振動数!$Q$6:$Q$22*(1-($A1309/固有振動数!$O$6:$O$22)^2)/((1-($A1309/固有振動数!$O$6:$O$22)^2)^2+固有振動数!$P$6:$P$22^2))</f>
        <v>44.72425482127</v>
      </c>
      <c r="C1309" s="71" t="n">
        <f aca="false">-SUMPRODUCT(固有振動数!$Q$6:$Q$22*固有振動数!$P$6:$P$22/((1-($A1309/固有振動数!$O$6:$O$22)^2)^2+固有振動数!$P$6:$P$22^2))</f>
        <v>-21.8401169031932</v>
      </c>
      <c r="D1309" s="71" t="n">
        <f aca="false">SQRT(B1309^2+C1309^2)</f>
        <v>49.7719768108826</v>
      </c>
      <c r="E1309" s="72" t="n">
        <f aca="false">20*LOG10(MAX(D1309,0.000000000001)/$K$3)</f>
        <v>33.9396978022258</v>
      </c>
      <c r="F1309" s="5"/>
      <c r="G1309" s="5"/>
      <c r="H1309" s="5"/>
      <c r="I1309" s="5"/>
      <c r="J1309" s="5"/>
      <c r="K1309" s="5"/>
      <c r="L1309" s="5"/>
      <c r="M1309" s="5"/>
      <c r="N1309" s="5"/>
    </row>
    <row r="1310" customFormat="false" ht="15" hidden="false" customHeight="false" outlineLevel="0" collapsed="false">
      <c r="A1310" s="71" t="n">
        <f aca="false">A1309+$F$3</f>
        <v>26080</v>
      </c>
      <c r="B1310" s="71" t="n">
        <f aca="false">SUMPRODUCT(固有振動数!$Q$6:$Q$22*(1-($A1310/固有振動数!$O$6:$O$22)^2)/((1-($A1310/固有振動数!$O$6:$O$22)^2)^2+固有振動数!$P$6:$P$22^2))</f>
        <v>46.6432161906245</v>
      </c>
      <c r="C1310" s="71" t="n">
        <f aca="false">-SUMPRODUCT(固有振動数!$Q$6:$Q$22*固有振動数!$P$6:$P$22/((1-($A1310/固有振動数!$O$6:$O$22)^2)^2+固有振動数!$P$6:$P$22^2))</f>
        <v>-24.7322111368852</v>
      </c>
      <c r="D1310" s="71" t="n">
        <f aca="false">SQRT(B1310^2+C1310^2)</f>
        <v>52.7946198426014</v>
      </c>
      <c r="E1310" s="72" t="n">
        <f aca="false">20*LOG10(MAX(D1310,0.000000000001)/$K$3)</f>
        <v>34.4517933401752</v>
      </c>
      <c r="F1310" s="5"/>
      <c r="G1310" s="5"/>
      <c r="H1310" s="5"/>
      <c r="I1310" s="5"/>
      <c r="J1310" s="5"/>
      <c r="K1310" s="5"/>
      <c r="L1310" s="5"/>
      <c r="M1310" s="5"/>
      <c r="N1310" s="5"/>
    </row>
    <row r="1311" customFormat="false" ht="15" hidden="false" customHeight="false" outlineLevel="0" collapsed="false">
      <c r="A1311" s="71" t="n">
        <f aca="false">A1310+$F$3</f>
        <v>26100</v>
      </c>
      <c r="B1311" s="71" t="n">
        <f aca="false">SUMPRODUCT(固有振動数!$Q$6:$Q$22*(1-($A1311/固有振動数!$O$6:$O$22)^2)/((1-($A1311/固有振動数!$O$6:$O$22)^2)^2+固有振動数!$P$6:$P$22^2))</f>
        <v>48.5729232666707</v>
      </c>
      <c r="C1311" s="71" t="n">
        <f aca="false">-SUMPRODUCT(固有振動数!$Q$6:$Q$22*固有振動数!$P$6:$P$22/((1-($A1311/固有振動数!$O$6:$O$22)^2)^2+固有振動数!$P$6:$P$22^2))</f>
        <v>-28.1740290991493</v>
      </c>
      <c r="D1311" s="71" t="n">
        <f aca="false">SQRT(B1311^2+C1311^2)</f>
        <v>56.1525136601167</v>
      </c>
      <c r="E1311" s="72" t="n">
        <f aca="false">20*LOG10(MAX(D1311,0.000000000001)/$K$3)</f>
        <v>34.9873840433951</v>
      </c>
      <c r="F1311" s="5"/>
      <c r="G1311" s="5"/>
      <c r="H1311" s="5"/>
      <c r="I1311" s="5"/>
      <c r="J1311" s="5"/>
      <c r="K1311" s="5"/>
      <c r="L1311" s="5"/>
      <c r="M1311" s="5"/>
      <c r="N1311" s="5"/>
    </row>
    <row r="1312" customFormat="false" ht="15" hidden="false" customHeight="false" outlineLevel="0" collapsed="false">
      <c r="A1312" s="71" t="n">
        <f aca="false">A1311+$F$3</f>
        <v>26120</v>
      </c>
      <c r="B1312" s="71" t="n">
        <f aca="false">SUMPRODUCT(固有振動数!$Q$6:$Q$22*(1-($A1312/固有振動数!$O$6:$O$22)^2)/((1-($A1312/固有振動数!$O$6:$O$22)^2)^2+固有振動数!$P$6:$P$22^2))</f>
        <v>50.4363300953254</v>
      </c>
      <c r="C1312" s="71" t="n">
        <f aca="false">-SUMPRODUCT(固有振動数!$Q$6:$Q$22*固有振動数!$P$6:$P$22/((1-($A1312/固有振動数!$O$6:$O$22)^2)^2+固有振動数!$P$6:$P$22^2))</f>
        <v>-32.2837903395351</v>
      </c>
      <c r="D1312" s="71" t="n">
        <f aca="false">SQRT(B1312^2+C1312^2)</f>
        <v>59.8837750327389</v>
      </c>
      <c r="E1312" s="72" t="n">
        <f aca="false">20*LOG10(MAX(D1312,0.000000000001)/$K$3)</f>
        <v>35.546183403297</v>
      </c>
      <c r="F1312" s="5"/>
      <c r="G1312" s="5"/>
      <c r="H1312" s="5"/>
      <c r="I1312" s="5"/>
      <c r="J1312" s="5"/>
      <c r="K1312" s="5"/>
      <c r="L1312" s="5"/>
      <c r="M1312" s="5"/>
      <c r="N1312" s="5"/>
    </row>
    <row r="1313" customFormat="false" ht="15" hidden="false" customHeight="false" outlineLevel="0" collapsed="false">
      <c r="A1313" s="71" t="n">
        <f aca="false">A1312+$F$3</f>
        <v>26140</v>
      </c>
      <c r="B1313" s="71" t="n">
        <f aca="false">SUMPRODUCT(固有振動数!$Q$6:$Q$22*(1-($A1313/固有振動数!$O$6:$O$22)^2)/((1-($A1313/固有振動数!$O$6:$O$22)^2)^2+固有振動数!$P$6:$P$22^2))</f>
        <v>52.1075236061382</v>
      </c>
      <c r="C1313" s="71" t="n">
        <f aca="false">-SUMPRODUCT(固有振動数!$Q$6:$Q$22*固有振動数!$P$6:$P$22/((1-($A1313/固有振動数!$O$6:$O$22)^2)^2+固有振動数!$P$6:$P$22^2))</f>
        <v>-37.1971986233482</v>
      </c>
      <c r="D1313" s="71" t="n">
        <f aca="false">SQRT(B1313^2+C1313^2)</f>
        <v>64.0220712082097</v>
      </c>
      <c r="E1313" s="72" t="n">
        <f aca="false">20*LOG10(MAX(D1313,0.000000000001)/$K$3)</f>
        <v>36.1265944020185</v>
      </c>
      <c r="F1313" s="5"/>
      <c r="G1313" s="5"/>
      <c r="H1313" s="5"/>
      <c r="I1313" s="5"/>
      <c r="J1313" s="5"/>
      <c r="K1313" s="5"/>
      <c r="L1313" s="5"/>
      <c r="M1313" s="5"/>
      <c r="N1313" s="5"/>
    </row>
    <row r="1314" customFormat="false" ht="15" hidden="false" customHeight="false" outlineLevel="0" collapsed="false">
      <c r="A1314" s="71" t="n">
        <f aca="false">A1313+$F$3</f>
        <v>26160</v>
      </c>
      <c r="B1314" s="71" t="n">
        <f aca="false">SUMPRODUCT(固有振動数!$Q$6:$Q$22*(1-($A1314/固有振動数!$O$6:$O$22)^2)/((1-($A1314/固有振動数!$O$6:$O$22)^2)^2+固有振動数!$P$6:$P$22^2))</f>
        <v>53.3877254840984</v>
      </c>
      <c r="C1314" s="71" t="n">
        <f aca="false">-SUMPRODUCT(固有振動数!$Q$6:$Q$22*固有振動数!$P$6:$P$22/((1-($A1314/固有振動数!$O$6:$O$22)^2)^2+固有振動数!$P$6:$P$22^2))</f>
        <v>-43.0582469637088</v>
      </c>
      <c r="D1314" s="71" t="n">
        <f aca="false">SQRT(B1314^2+C1314^2)</f>
        <v>68.5876217983478</v>
      </c>
      <c r="E1314" s="72" t="n">
        <f aca="false">20*LOG10(MAX(D1314,0.000000000001)/$K$3)</f>
        <v>36.7249148885561</v>
      </c>
      <c r="F1314" s="5"/>
      <c r="G1314" s="5"/>
      <c r="H1314" s="5"/>
      <c r="I1314" s="5"/>
      <c r="J1314" s="5"/>
      <c r="K1314" s="5"/>
      <c r="L1314" s="5"/>
      <c r="M1314" s="5"/>
      <c r="N1314" s="5"/>
    </row>
    <row r="1315" customFormat="false" ht="15" hidden="false" customHeight="false" outlineLevel="0" collapsed="false">
      <c r="A1315" s="71" t="n">
        <f aca="false">A1314+$F$3</f>
        <v>26180</v>
      </c>
      <c r="B1315" s="71" t="n">
        <f aca="false">SUMPRODUCT(固有振動数!$Q$6:$Q$22*(1-($A1315/固有振動数!$O$6:$O$22)^2)/((1-($A1315/固有振動数!$O$6:$O$22)^2)^2+固有振動数!$P$6:$P$22^2))</f>
        <v>53.9744913613167</v>
      </c>
      <c r="C1315" s="71" t="n">
        <f aca="false">-SUMPRODUCT(固有振動数!$Q$6:$Q$22*固有振動数!$P$6:$P$22/((1-($A1315/固有振動数!$O$6:$O$22)^2)^2+固有振動数!$P$6:$P$22^2))</f>
        <v>-49.9950219941582</v>
      </c>
      <c r="D1315" s="71" t="n">
        <f aca="false">SQRT(B1315^2+C1315^2)</f>
        <v>73.5713799103239</v>
      </c>
      <c r="E1315" s="72" t="n">
        <f aca="false">20*LOG10(MAX(D1315,0.000000000001)/$K$3)</f>
        <v>37.3341780355758</v>
      </c>
      <c r="F1315" s="5"/>
      <c r="G1315" s="5"/>
      <c r="H1315" s="5"/>
      <c r="I1315" s="5"/>
      <c r="J1315" s="5"/>
      <c r="K1315" s="5"/>
      <c r="L1315" s="5"/>
      <c r="M1315" s="5"/>
      <c r="N1315" s="5"/>
    </row>
    <row r="1316" customFormat="false" ht="15" hidden="false" customHeight="false" outlineLevel="0" collapsed="false">
      <c r="A1316" s="71" t="n">
        <f aca="false">A1315+$F$3</f>
        <v>26200</v>
      </c>
      <c r="B1316" s="71" t="n">
        <f aca="false">SUMPRODUCT(固有振動数!$Q$6:$Q$22*(1-($A1316/固有振動数!$O$6:$O$22)^2)/((1-($A1316/固有振動数!$O$6:$O$22)^2)^2+固有振動数!$P$6:$P$22^2))</f>
        <v>53.429699153793</v>
      </c>
      <c r="C1316" s="71" t="n">
        <f aca="false">-SUMPRODUCT(固有振動数!$Q$6:$Q$22*固有振動数!$P$6:$P$22/((1-($A1316/固有振動数!$O$6:$O$22)^2)^2+固有振動数!$P$6:$P$22^2))</f>
        <v>-58.0684565779381</v>
      </c>
      <c r="D1316" s="71" t="n">
        <f aca="false">SQRT(B1316^2+C1316^2)</f>
        <v>78.9093049076515</v>
      </c>
      <c r="E1316" s="72" t="n">
        <f aca="false">20*LOG10(MAX(D1316,0.000000000001)/$K$3)</f>
        <v>37.9425643561475</v>
      </c>
      <c r="F1316" s="5"/>
      <c r="G1316" s="5"/>
      <c r="H1316" s="5"/>
      <c r="I1316" s="5"/>
      <c r="J1316" s="5"/>
      <c r="K1316" s="5"/>
      <c r="L1316" s="5"/>
      <c r="M1316" s="5"/>
      <c r="N1316" s="5"/>
    </row>
    <row r="1317" customFormat="false" ht="15" hidden="false" customHeight="false" outlineLevel="0" collapsed="false">
      <c r="A1317" s="71" t="n">
        <f aca="false">A1316+$F$3</f>
        <v>26220</v>
      </c>
      <c r="B1317" s="71" t="n">
        <f aca="false">SUMPRODUCT(固有振動数!$Q$6:$Q$22*(1-($A1317/固有振動数!$O$6:$O$22)^2)/((1-($A1317/固有振動数!$O$6:$O$22)^2)^2+固有振動数!$P$6:$P$22^2))</f>
        <v>51.1648836413174</v>
      </c>
      <c r="C1317" s="71" t="n">
        <f aca="false">-SUMPRODUCT(固有振動数!$Q$6:$Q$22*固有振動数!$P$6:$P$22/((1-($A1317/固有振動数!$O$6:$O$22)^2)^2+固有振動数!$P$6:$P$22^2))</f>
        <v>-67.179593464714</v>
      </c>
      <c r="D1317" s="71" t="n">
        <f aca="false">SQRT(B1317^2+C1317^2)</f>
        <v>84.4449116058144</v>
      </c>
      <c r="E1317" s="72" t="n">
        <f aca="false">20*LOG10(MAX(D1317,0.000000000001)/$K$3)</f>
        <v>38.5314697085503</v>
      </c>
      <c r="F1317" s="5"/>
      <c r="G1317" s="5"/>
      <c r="H1317" s="5"/>
      <c r="I1317" s="5"/>
      <c r="J1317" s="5"/>
      <c r="K1317" s="5"/>
      <c r="L1317" s="5"/>
      <c r="M1317" s="5"/>
      <c r="N1317" s="5"/>
    </row>
    <row r="1318" customFormat="false" ht="15" hidden="false" customHeight="false" outlineLevel="0" collapsed="false">
      <c r="A1318" s="71" t="n">
        <f aca="false">A1317+$F$3</f>
        <v>26240</v>
      </c>
      <c r="B1318" s="71" t="n">
        <f aca="false">SUMPRODUCT(固有振動数!$Q$6:$Q$22*(1-($A1318/固有振動数!$O$6:$O$22)^2)/((1-($A1318/固有振動数!$O$6:$O$22)^2)^2+固有振動数!$P$6:$P$22^2))</f>
        <v>46.4854697723301</v>
      </c>
      <c r="C1318" s="71" t="n">
        <f aca="false">-SUMPRODUCT(固有振動数!$Q$6:$Q$22*固有振動数!$P$6:$P$22/((1-($A1318/固有振動数!$O$6:$O$22)^2)^2+固有振動数!$P$6:$P$22^2))</f>
        <v>-76.9306932909586</v>
      </c>
      <c r="D1318" s="71" t="n">
        <f aca="false">SQRT(B1318^2+C1318^2)</f>
        <v>89.8845396616223</v>
      </c>
      <c r="E1318" s="72" t="n">
        <f aca="false">20*LOG10(MAX(D1318,0.000000000001)/$K$3)</f>
        <v>39.0736999710265</v>
      </c>
      <c r="F1318" s="5"/>
      <c r="G1318" s="5"/>
      <c r="H1318" s="5"/>
      <c r="I1318" s="5"/>
      <c r="J1318" s="5"/>
      <c r="K1318" s="5"/>
      <c r="L1318" s="5"/>
      <c r="M1318" s="5"/>
      <c r="N1318" s="5"/>
    </row>
    <row r="1319" customFormat="false" ht="15" hidden="false" customHeight="false" outlineLevel="0" collapsed="false">
      <c r="A1319" s="71" t="n">
        <f aca="false">A1318+$F$3</f>
        <v>26260</v>
      </c>
      <c r="B1319" s="71" t="n">
        <f aca="false">SUMPRODUCT(固有振動数!$Q$6:$Q$22*(1-($A1319/固有振動数!$O$6:$O$22)^2)/((1-($A1319/固有振動数!$O$6:$O$22)^2)^2+固有振動数!$P$6:$P$22^2))</f>
        <v>38.7579017113903</v>
      </c>
      <c r="C1319" s="71" t="n">
        <f aca="false">-SUMPRODUCT(固有振動数!$Q$6:$Q$22*固有振動数!$P$6:$P$22/((1-($A1319/固有振動数!$O$6:$O$22)^2)^2+固有振動数!$P$6:$P$22^2))</f>
        <v>-86.4769750765999</v>
      </c>
      <c r="D1319" s="71" t="n">
        <f aca="false">SQRT(B1319^2+C1319^2)</f>
        <v>94.7651948949015</v>
      </c>
      <c r="E1319" s="72" t="n">
        <f aca="false">20*LOG10(MAX(D1319,0.000000000001)/$K$3)</f>
        <v>39.5329772023379</v>
      </c>
      <c r="F1319" s="5"/>
      <c r="G1319" s="5"/>
      <c r="H1319" s="5"/>
      <c r="I1319" s="5"/>
      <c r="J1319" s="5"/>
      <c r="K1319" s="5"/>
      <c r="L1319" s="5"/>
      <c r="M1319" s="5"/>
      <c r="N1319" s="5"/>
    </row>
    <row r="1320" customFormat="false" ht="15" hidden="false" customHeight="false" outlineLevel="0" collapsed="false">
      <c r="A1320" s="71" t="n">
        <f aca="false">A1319+$F$3</f>
        <v>26280</v>
      </c>
      <c r="B1320" s="71" t="n">
        <f aca="false">SUMPRODUCT(固有振動数!$Q$6:$Q$22*(1-($A1320/固有振動数!$O$6:$O$22)^2)/((1-($A1320/固有振動数!$O$6:$O$22)^2)^2+固有振動数!$P$6:$P$22^2))</f>
        <v>27.7400801857734</v>
      </c>
      <c r="C1320" s="71" t="n">
        <f aca="false">-SUMPRODUCT(固有振動数!$Q$6:$Q$22*固有振動数!$P$6:$P$22/((1-($A1320/固有振動数!$O$6:$O$22)^2)^2+固有振動数!$P$6:$P$22^2))</f>
        <v>-94.4895622910383</v>
      </c>
      <c r="D1320" s="71" t="n">
        <f aca="false">SQRT(B1320^2+C1320^2)</f>
        <v>98.4773549130212</v>
      </c>
      <c r="E1320" s="72" t="n">
        <f aca="false">20*LOG10(MAX(D1320,0.000000000001)/$K$3)</f>
        <v>39.8667274999058</v>
      </c>
      <c r="F1320" s="5"/>
      <c r="G1320" s="5"/>
      <c r="H1320" s="5"/>
      <c r="I1320" s="5"/>
      <c r="J1320" s="5"/>
      <c r="K1320" s="5"/>
      <c r="L1320" s="5"/>
      <c r="M1320" s="5"/>
      <c r="N1320" s="5"/>
    </row>
    <row r="1321" customFormat="false" ht="15" hidden="false" customHeight="false" outlineLevel="0" collapsed="false">
      <c r="A1321" s="71" t="n">
        <f aca="false">A1320+$F$3</f>
        <v>26300</v>
      </c>
      <c r="B1321" s="71" t="n">
        <f aca="false">SUMPRODUCT(固有振動数!$Q$6:$Q$22*(1-($A1321/固有振動数!$O$6:$O$22)^2)/((1-($A1321/固有振動数!$O$6:$O$22)^2)^2+固有振動数!$P$6:$P$22^2))</f>
        <v>13.9752403602536</v>
      </c>
      <c r="C1321" s="71" t="n">
        <f aca="false">-SUMPRODUCT(固有振動数!$Q$6:$Q$22*固有振動数!$P$6:$P$22/((1-($A1321/固有振動数!$O$6:$O$22)^2)^2+固有振動数!$P$6:$P$22^2))</f>
        <v>-99.4134503609296</v>
      </c>
      <c r="D1321" s="71" t="n">
        <f aca="false">SQRT(B1321^2+C1321^2)</f>
        <v>100.390943096436</v>
      </c>
      <c r="E1321" s="72" t="n">
        <f aca="false">20*LOG10(MAX(D1321,0.000000000001)/$K$3)</f>
        <v>40.0338906823429</v>
      </c>
      <c r="F1321" s="5"/>
      <c r="G1321" s="5"/>
      <c r="H1321" s="5"/>
      <c r="I1321" s="5"/>
      <c r="J1321" s="5"/>
      <c r="K1321" s="5"/>
      <c r="L1321" s="5"/>
      <c r="M1321" s="5"/>
      <c r="N1321" s="5"/>
    </row>
    <row r="1322" customFormat="false" ht="15" hidden="false" customHeight="false" outlineLevel="0" collapsed="false">
      <c r="A1322" s="71" t="n">
        <f aca="false">A1321+$F$3</f>
        <v>26320</v>
      </c>
      <c r="B1322" s="71" t="n">
        <f aca="false">SUMPRODUCT(固有振動数!$Q$6:$Q$22*(1-($A1322/固有振動数!$O$6:$O$22)^2)/((1-($A1322/固有振動数!$O$6:$O$22)^2)^2+固有振動数!$P$6:$P$22^2))</f>
        <v>-1.06730956359104</v>
      </c>
      <c r="C1322" s="71" t="n">
        <f aca="false">-SUMPRODUCT(固有振動数!$Q$6:$Q$22*固有振動数!$P$6:$P$22/((1-($A1322/固有振動数!$O$6:$O$22)^2)^2+固有振動数!$P$6:$P$22^2))</f>
        <v>-100.071687928855</v>
      </c>
      <c r="D1322" s="71" t="n">
        <f aca="false">SQRT(B1322^2+C1322^2)</f>
        <v>100.077379435289</v>
      </c>
      <c r="E1322" s="72" t="n">
        <f aca="false">20*LOG10(MAX(D1322,0.000000000001)/$K$3)</f>
        <v>40.0067184933207</v>
      </c>
      <c r="F1322" s="5"/>
      <c r="G1322" s="5"/>
      <c r="H1322" s="5"/>
      <c r="I1322" s="5"/>
      <c r="J1322" s="5"/>
      <c r="K1322" s="5"/>
      <c r="L1322" s="5"/>
      <c r="M1322" s="5"/>
      <c r="N1322" s="5"/>
    </row>
    <row r="1323" customFormat="false" ht="15" hidden="false" customHeight="false" outlineLevel="0" collapsed="false">
      <c r="A1323" s="71" t="n">
        <f aca="false">A1322+$F$3</f>
        <v>26340</v>
      </c>
      <c r="B1323" s="71" t="n">
        <f aca="false">SUMPRODUCT(固有振動数!$Q$6:$Q$22*(1-($A1323/固有振動数!$O$6:$O$22)^2)/((1-($A1323/固有振動数!$O$6:$O$22)^2)^2+固有振動数!$P$6:$P$22^2))</f>
        <v>-15.4056954992562</v>
      </c>
      <c r="C1323" s="71" t="n">
        <f aca="false">-SUMPRODUCT(固有振動数!$Q$6:$Q$22*固有振動数!$P$6:$P$22/((1-($A1323/固有振動数!$O$6:$O$22)^2)^2+固有振動数!$P$6:$P$22^2))</f>
        <v>-96.2851056408239</v>
      </c>
      <c r="D1323" s="71" t="n">
        <f aca="false">SQRT(B1323^2+C1323^2)</f>
        <v>97.5097791099971</v>
      </c>
      <c r="E1323" s="72" t="n">
        <f aca="false">20*LOG10(MAX(D1323,0.000000000001)/$K$3)</f>
        <v>39.7809634525429</v>
      </c>
      <c r="F1323" s="5"/>
      <c r="G1323" s="5"/>
      <c r="H1323" s="5"/>
      <c r="I1323" s="5"/>
      <c r="J1323" s="5"/>
      <c r="K1323" s="5"/>
      <c r="L1323" s="5"/>
      <c r="M1323" s="5"/>
      <c r="N1323" s="5"/>
    </row>
    <row r="1324" customFormat="false" ht="15" hidden="false" customHeight="false" outlineLevel="0" collapsed="false">
      <c r="A1324" s="71" t="n">
        <f aca="false">A1323+$F$3</f>
        <v>26360</v>
      </c>
      <c r="B1324" s="71" t="n">
        <f aca="false">SUMPRODUCT(固有振動数!$Q$6:$Q$22*(1-($A1324/固有振動数!$O$6:$O$22)^2)/((1-($A1324/固有振動数!$O$6:$O$22)^2)^2+固有振動数!$P$6:$P$22^2))</f>
        <v>-27.3417411332008</v>
      </c>
      <c r="C1324" s="71" t="n">
        <f aca="false">-SUMPRODUCT(固有振動数!$Q$6:$Q$22*固有振動数!$P$6:$P$22/((1-($A1324/固有振動数!$O$6:$O$22)^2)^2+固有振動数!$P$6:$P$22^2))</f>
        <v>-88.9787804103153</v>
      </c>
      <c r="D1324" s="71" t="n">
        <f aca="false">SQRT(B1324^2+C1324^2)</f>
        <v>93.0848761695586</v>
      </c>
      <c r="E1324" s="72" t="n">
        <f aca="false">20*LOG10(MAX(D1324,0.000000000001)/$K$3)</f>
        <v>39.3775825069188</v>
      </c>
      <c r="F1324" s="5"/>
      <c r="G1324" s="5"/>
      <c r="H1324" s="5"/>
      <c r="I1324" s="5"/>
      <c r="J1324" s="5"/>
      <c r="K1324" s="5"/>
      <c r="L1324" s="5"/>
      <c r="M1324" s="5"/>
      <c r="N1324" s="5"/>
    </row>
    <row r="1325" customFormat="false" ht="15" hidden="false" customHeight="false" outlineLevel="0" collapsed="false">
      <c r="A1325" s="71" t="n">
        <f aca="false">A1324+$F$3</f>
        <v>26380</v>
      </c>
      <c r="B1325" s="71" t="n">
        <f aca="false">SUMPRODUCT(固有振動数!$Q$6:$Q$22*(1-($A1325/固有振動数!$O$6:$O$22)^2)/((1-($A1325/固有振動数!$O$6:$O$22)^2)^2+固有振動数!$P$6:$P$22^2))</f>
        <v>-36.0413132148428</v>
      </c>
      <c r="C1325" s="71" t="n">
        <f aca="false">-SUMPRODUCT(固有振動数!$Q$6:$Q$22*固有振動数!$P$6:$P$22/((1-($A1325/固有振動数!$O$6:$O$22)^2)^2+固有振動数!$P$6:$P$22^2))</f>
        <v>-79.6718175348959</v>
      </c>
      <c r="D1325" s="71" t="n">
        <f aca="false">SQRT(B1325^2+C1325^2)</f>
        <v>87.4446954798526</v>
      </c>
      <c r="E1325" s="72" t="n">
        <f aca="false">20*LOG10(MAX(D1325,0.000000000001)/$K$3)</f>
        <v>38.8346693938007</v>
      </c>
      <c r="F1325" s="5"/>
      <c r="G1325" s="5"/>
      <c r="H1325" s="5"/>
      <c r="I1325" s="5"/>
      <c r="J1325" s="5"/>
      <c r="K1325" s="5"/>
      <c r="L1325" s="5"/>
      <c r="M1325" s="5"/>
      <c r="N1325" s="5"/>
    </row>
    <row r="1326" customFormat="false" ht="15" hidden="false" customHeight="false" outlineLevel="0" collapsed="false">
      <c r="A1326" s="71" t="n">
        <f aca="false">A1325+$F$3</f>
        <v>26400</v>
      </c>
      <c r="B1326" s="71" t="n">
        <f aca="false">SUMPRODUCT(固有振動数!$Q$6:$Q$22*(1-($A1326/固有振動数!$O$6:$O$22)^2)/((1-($A1326/固有振動数!$O$6:$O$22)^2)^2+固有振動数!$P$6:$P$22^2))</f>
        <v>-41.5470821236308</v>
      </c>
      <c r="C1326" s="71" t="n">
        <f aca="false">-SUMPRODUCT(固有振動数!$Q$6:$Q$22*固有振動数!$P$6:$P$22/((1-($A1326/固有振動数!$O$6:$O$22)^2)^2+固有振動数!$P$6:$P$22^2))</f>
        <v>-69.8121804428336</v>
      </c>
      <c r="D1326" s="71" t="n">
        <f aca="false">SQRT(B1326^2+C1326^2)</f>
        <v>81.2397721019113</v>
      </c>
      <c r="E1326" s="72" t="n">
        <f aca="false">20*LOG10(MAX(D1326,0.000000000001)/$K$3)</f>
        <v>38.1953739285743</v>
      </c>
      <c r="F1326" s="5"/>
      <c r="G1326" s="5"/>
      <c r="H1326" s="5"/>
      <c r="I1326" s="5"/>
      <c r="J1326" s="5"/>
      <c r="K1326" s="5"/>
      <c r="L1326" s="5"/>
      <c r="M1326" s="5"/>
      <c r="N1326" s="5"/>
    </row>
    <row r="1327" customFormat="false" ht="15" hidden="false" customHeight="false" outlineLevel="0" collapsed="false">
      <c r="A1327" s="71" t="n">
        <f aca="false">A1326+$F$3</f>
        <v>26420</v>
      </c>
      <c r="B1327" s="71" t="n">
        <f aca="false">SUMPRODUCT(固有振動数!$Q$6:$Q$22*(1-($A1327/固有振動数!$O$6:$O$22)^2)/((1-($A1327/固有振動数!$O$6:$O$22)^2)^2+固有振動数!$P$6:$P$22^2))</f>
        <v>-44.4198240600999</v>
      </c>
      <c r="C1327" s="71" t="n">
        <f aca="false">-SUMPRODUCT(固有振動数!$Q$6:$Q$22*固有振動数!$P$6:$P$22/((1-($A1327/固有振動数!$O$6:$O$22)^2)^2+固有振動数!$P$6:$P$22^2))</f>
        <v>-60.4013695360644</v>
      </c>
      <c r="D1327" s="71" t="n">
        <f aca="false">SQRT(B1327^2+C1327^2)</f>
        <v>74.9763043325185</v>
      </c>
      <c r="E1327" s="72" t="n">
        <f aca="false">20*LOG10(MAX(D1327,0.000000000001)/$K$3)</f>
        <v>37.4984805948635</v>
      </c>
      <c r="F1327" s="5"/>
      <c r="G1327" s="5"/>
      <c r="H1327" s="5"/>
      <c r="I1327" s="5"/>
      <c r="J1327" s="5"/>
      <c r="K1327" s="5"/>
      <c r="L1327" s="5"/>
      <c r="M1327" s="5"/>
      <c r="N1327" s="5"/>
    </row>
    <row r="1328" customFormat="false" ht="15" hidden="false" customHeight="false" outlineLevel="0" collapsed="false">
      <c r="A1328" s="71" t="n">
        <f aca="false">A1327+$F$3</f>
        <v>26440</v>
      </c>
      <c r="B1328" s="71" t="n">
        <f aca="false">SUMPRODUCT(固有振動数!$Q$6:$Q$22*(1-($A1328/固有振動数!$O$6:$O$22)^2)/((1-($A1328/固有振動数!$O$6:$O$22)^2)^2+固有振動数!$P$6:$P$22^2))</f>
        <v>-45.3656954866032</v>
      </c>
      <c r="C1328" s="71" t="n">
        <f aca="false">-SUMPRODUCT(固有振動数!$Q$6:$Q$22*固有振動数!$P$6:$P$22/((1-($A1328/固有振動数!$O$6:$O$22)^2)^2+固有振動数!$P$6:$P$22^2))</f>
        <v>-51.9597914398018</v>
      </c>
      <c r="D1328" s="71" t="n">
        <f aca="false">SQRT(B1328^2+C1328^2)</f>
        <v>68.9772879537237</v>
      </c>
      <c r="E1328" s="72" t="n">
        <f aca="false">20*LOG10(MAX(D1328,0.000000000001)/$K$3)</f>
        <v>36.7741222958762</v>
      </c>
      <c r="F1328" s="5"/>
      <c r="G1328" s="5"/>
      <c r="H1328" s="5"/>
      <c r="I1328" s="5"/>
      <c r="J1328" s="5"/>
      <c r="K1328" s="5"/>
      <c r="L1328" s="5"/>
      <c r="M1328" s="5"/>
      <c r="N1328" s="5"/>
    </row>
    <row r="1329" customFormat="false" ht="15" hidden="false" customHeight="false" outlineLevel="0" collapsed="false">
      <c r="A1329" s="71" t="n">
        <f aca="false">A1328+$F$3</f>
        <v>26460</v>
      </c>
      <c r="B1329" s="71" t="n">
        <f aca="false">SUMPRODUCT(固有振動数!$Q$6:$Q$22*(1-($A1329/固有振動数!$O$6:$O$22)^2)/((1-($A1329/固有振動数!$O$6:$O$22)^2)^2+固有振動数!$P$6:$P$22^2))</f>
        <v>-45.0184063459745</v>
      </c>
      <c r="C1329" s="71" t="n">
        <f aca="false">-SUMPRODUCT(固有振動数!$Q$6:$Q$22*固有振動数!$P$6:$P$22/((1-($A1329/固有振動数!$O$6:$O$22)^2)^2+固有振動数!$P$6:$P$22^2))</f>
        <v>-44.6592795750006</v>
      </c>
      <c r="D1329" s="71" t="n">
        <f aca="false">SQRT(B1329^2+C1329^2)</f>
        <v>63.4122083047842</v>
      </c>
      <c r="E1329" s="72" t="n">
        <f aca="false">20*LOG10(MAX(D1329,0.000000000001)/$K$3)</f>
        <v>36.0434575516379</v>
      </c>
      <c r="F1329" s="5"/>
      <c r="G1329" s="5"/>
      <c r="H1329" s="5"/>
      <c r="I1329" s="5"/>
      <c r="J1329" s="5"/>
      <c r="K1329" s="5"/>
      <c r="L1329" s="5"/>
      <c r="M1329" s="5"/>
      <c r="N1329" s="5"/>
    </row>
    <row r="1330" customFormat="false" ht="15" hidden="false" customHeight="false" outlineLevel="0" collapsed="false">
      <c r="A1330" s="71" t="n">
        <f aca="false">A1329+$F$3</f>
        <v>26480</v>
      </c>
      <c r="B1330" s="71" t="n">
        <f aca="false">SUMPRODUCT(固有振動数!$Q$6:$Q$22*(1-($A1330/固有振動数!$O$6:$O$22)^2)/((1-($A1330/固有振動数!$O$6:$O$22)^2)^2+固有振動数!$P$6:$P$22^2))</f>
        <v>-43.8643683066457</v>
      </c>
      <c r="C1330" s="71" t="n">
        <f aca="false">-SUMPRODUCT(固有振動数!$Q$6:$Q$22*固有振動数!$P$6:$P$22/((1-($A1330/固有振動数!$O$6:$O$22)^2)^2+固有振動数!$P$6:$P$22^2))</f>
        <v>-38.4730491517763</v>
      </c>
      <c r="D1330" s="71" t="n">
        <f aca="false">SQRT(B1330^2+C1330^2)</f>
        <v>58.3460222978059</v>
      </c>
      <c r="E1330" s="72" t="n">
        <f aca="false">20*LOG10(MAX(D1330,0.000000000001)/$K$3)</f>
        <v>35.3202250729242</v>
      </c>
      <c r="F1330" s="5"/>
      <c r="G1330" s="5"/>
      <c r="H1330" s="5"/>
      <c r="I1330" s="5"/>
      <c r="J1330" s="5"/>
      <c r="K1330" s="5"/>
      <c r="L1330" s="5"/>
      <c r="M1330" s="5"/>
      <c r="N1330" s="5"/>
    </row>
    <row r="1331" customFormat="false" ht="15" hidden="false" customHeight="false" outlineLevel="0" collapsed="false">
      <c r="A1331" s="71" t="n">
        <f aca="false">A1330+$F$3</f>
        <v>26500</v>
      </c>
      <c r="B1331" s="71" t="n">
        <f aca="false">SUMPRODUCT(固有振動数!$Q$6:$Q$22*(1-($A1331/固有振動数!$O$6:$O$22)^2)/((1-($A1331/固有振動数!$O$6:$O$22)^2)^2+固有振動数!$P$6:$P$22^2))</f>
        <v>-42.2453419821128</v>
      </c>
      <c r="C1331" s="71" t="n">
        <f aca="false">-SUMPRODUCT(固有振動数!$Q$6:$Q$22*固有振動数!$P$6:$P$22/((1-($A1331/固有振動数!$O$6:$O$22)^2)^2+固有振動数!$P$6:$P$22^2))</f>
        <v>-33.2838993918673</v>
      </c>
      <c r="D1331" s="71" t="n">
        <f aca="false">SQRT(B1331^2+C1331^2)</f>
        <v>53.7818452445954</v>
      </c>
      <c r="E1331" s="72" t="n">
        <f aca="false">20*LOG10(MAX(D1331,0.000000000001)/$K$3)</f>
        <v>34.6127139740334</v>
      </c>
      <c r="F1331" s="5"/>
      <c r="G1331" s="5"/>
      <c r="H1331" s="5"/>
      <c r="I1331" s="5"/>
      <c r="J1331" s="5"/>
      <c r="K1331" s="5"/>
      <c r="L1331" s="5"/>
      <c r="M1331" s="5"/>
      <c r="N1331" s="5"/>
    </row>
    <row r="1332" customFormat="false" ht="15" hidden="false" customHeight="false" outlineLevel="0" collapsed="false">
      <c r="A1332" s="71" t="n">
        <f aca="false">A1331+$F$3</f>
        <v>26520</v>
      </c>
      <c r="B1332" s="71" t="n">
        <f aca="false">SUMPRODUCT(固有振動数!$Q$6:$Q$22*(1-($A1332/固有振動数!$O$6:$O$22)^2)/((1-($A1332/固有振動数!$O$6:$O$22)^2)^2+固有振動数!$P$6:$P$22^2))</f>
        <v>-40.3884295651</v>
      </c>
      <c r="C1332" s="71" t="n">
        <f aca="false">-SUMPRODUCT(固有振動数!$Q$6:$Q$22*固有振動数!$P$6:$P$22/((1-($A1332/固有振動数!$O$6:$O$22)^2)^2+固有振動数!$P$6:$P$22^2))</f>
        <v>-28.9470216600676</v>
      </c>
      <c r="D1332" s="71" t="n">
        <f aca="false">SQRT(B1332^2+C1332^2)</f>
        <v>49.6905957473189</v>
      </c>
      <c r="E1332" s="72" t="n">
        <f aca="false">20*LOG10(MAX(D1332,0.000000000001)/$K$3)</f>
        <v>33.9254840718486</v>
      </c>
      <c r="F1332" s="5"/>
      <c r="G1332" s="5"/>
      <c r="H1332" s="5"/>
      <c r="I1332" s="5"/>
      <c r="J1332" s="5"/>
      <c r="K1332" s="5"/>
      <c r="L1332" s="5"/>
      <c r="M1332" s="5"/>
      <c r="N1332" s="5"/>
    </row>
    <row r="1333" customFormat="false" ht="15" hidden="false" customHeight="false" outlineLevel="0" collapsed="false">
      <c r="A1333" s="71" t="n">
        <f aca="false">A1332+$F$3</f>
        <v>26540</v>
      </c>
      <c r="B1333" s="71" t="n">
        <f aca="false">SUMPRODUCT(固有振動数!$Q$6:$Q$22*(1-($A1333/固有振動数!$O$6:$O$22)^2)/((1-($A1333/固有振動数!$O$6:$O$22)^2)^2+固有振動数!$P$6:$P$22^2))</f>
        <v>-38.4386188060867</v>
      </c>
      <c r="C1333" s="71" t="n">
        <f aca="false">-SUMPRODUCT(固有振動数!$Q$6:$Q$22*固有振動数!$P$6:$P$22/((1-($A1333/固有振動数!$O$6:$O$22)^2)^2+固有振動数!$P$6:$P$22^2))</f>
        <v>-25.3210530852857</v>
      </c>
      <c r="D1333" s="71" t="n">
        <f aca="false">SQRT(B1333^2+C1333^2)</f>
        <v>46.0291553807747</v>
      </c>
      <c r="E1333" s="72" t="n">
        <f aca="false">20*LOG10(MAX(D1333,0.000000000001)/$K$3)</f>
        <v>33.2606601162439</v>
      </c>
      <c r="F1333" s="5"/>
      <c r="G1333" s="5"/>
      <c r="H1333" s="5"/>
      <c r="I1333" s="5"/>
      <c r="J1333" s="5"/>
      <c r="K1333" s="5"/>
      <c r="L1333" s="5"/>
      <c r="M1333" s="5"/>
      <c r="N1333" s="5"/>
    </row>
    <row r="1334" customFormat="false" ht="15" hidden="false" customHeight="false" outlineLevel="0" collapsed="false">
      <c r="A1334" s="71" t="n">
        <f aca="false">A1333+$F$3</f>
        <v>26560</v>
      </c>
      <c r="B1334" s="71" t="n">
        <f aca="false">SUMPRODUCT(固有振動数!$Q$6:$Q$22*(1-($A1334/固有振動数!$O$6:$O$22)^2)/((1-($A1334/固有振動数!$O$6:$O$22)^2)^2+固有振動数!$P$6:$P$22^2))</f>
        <v>-36.4852729037953</v>
      </c>
      <c r="C1334" s="71" t="n">
        <f aca="false">-SUMPRODUCT(固有振動数!$Q$6:$Q$22*固有振動数!$P$6:$P$22/((1-($A1334/固有振動数!$O$6:$O$22)^2)^2+固有振動数!$P$6:$P$22^2))</f>
        <v>-22.2808024709352</v>
      </c>
      <c r="D1334" s="71" t="n">
        <f aca="false">SQRT(B1334^2+C1334^2)</f>
        <v>42.750547337002</v>
      </c>
      <c r="E1334" s="72" t="n">
        <f aca="false">20*LOG10(MAX(D1334,0.000000000001)/$K$3)</f>
        <v>32.6188335877952</v>
      </c>
      <c r="F1334" s="5"/>
      <c r="G1334" s="5"/>
      <c r="H1334" s="5"/>
      <c r="I1334" s="5"/>
      <c r="J1334" s="5"/>
      <c r="K1334" s="5"/>
      <c r="L1334" s="5"/>
      <c r="M1334" s="5"/>
      <c r="N1334" s="5"/>
    </row>
    <row r="1335" customFormat="false" ht="15" hidden="false" customHeight="false" outlineLevel="0" collapsed="false">
      <c r="A1335" s="71" t="n">
        <f aca="false">A1334+$F$3</f>
        <v>26580</v>
      </c>
      <c r="B1335" s="71" t="n">
        <f aca="false">SUMPRODUCT(固有振動数!$Q$6:$Q$22*(1-($A1335/固有振動数!$O$6:$O$22)^2)/((1-($A1335/固有振動数!$O$6:$O$22)^2)^2+固有振動数!$P$6:$P$22^2))</f>
        <v>-34.5813066185748</v>
      </c>
      <c r="C1335" s="71" t="n">
        <f aca="false">-SUMPRODUCT(固有振動数!$Q$6:$Q$22*固有振動数!$P$6:$P$22/((1-($A1335/固有振動数!$O$6:$O$22)^2)^2+固有振動数!$P$6:$P$22^2))</f>
        <v>-19.7206452107003</v>
      </c>
      <c r="D1335" s="71" t="n">
        <f aca="false">SQRT(B1335^2+C1335^2)</f>
        <v>39.8091775219509</v>
      </c>
      <c r="E1335" s="72" t="n">
        <f aca="false">20*LOG10(MAX(D1335,0.000000000001)/$K$3)</f>
        <v>31.9996640985957</v>
      </c>
      <c r="F1335" s="5"/>
      <c r="G1335" s="5"/>
      <c r="H1335" s="5"/>
      <c r="I1335" s="5"/>
      <c r="J1335" s="5"/>
      <c r="K1335" s="5"/>
      <c r="L1335" s="5"/>
      <c r="M1335" s="5"/>
      <c r="N1335" s="5"/>
    </row>
    <row r="1336" customFormat="false" ht="15" hidden="false" customHeight="false" outlineLevel="0" collapsed="false">
      <c r="A1336" s="71" t="n">
        <f aca="false">A1335+$F$3</f>
        <v>26600</v>
      </c>
      <c r="B1336" s="71" t="n">
        <f aca="false">SUMPRODUCT(固有振動数!$Q$6:$Q$22*(1-($A1336/固有振動数!$O$6:$O$22)^2)/((1-($A1336/固有振動数!$O$6:$O$22)^2)^2+固有振動数!$P$6:$P$22^2))</f>
        <v>-32.7562718635834</v>
      </c>
      <c r="C1336" s="71" t="n">
        <f aca="false">-SUMPRODUCT(固有振動数!$Q$6:$Q$22*固有振動数!$P$6:$P$22/((1-($A1336/固有振動数!$O$6:$O$22)^2)^2+固有振動数!$P$6:$P$22^2))</f>
        <v>-17.5537035703615</v>
      </c>
      <c r="D1336" s="71" t="n">
        <f aca="false">SQRT(B1336^2+C1336^2)</f>
        <v>37.1632325751825</v>
      </c>
      <c r="E1336" s="72" t="n">
        <f aca="false">20*LOG10(MAX(D1336,0.000000000001)/$K$3)</f>
        <v>31.4022696653691</v>
      </c>
      <c r="F1336" s="5"/>
      <c r="G1336" s="5"/>
      <c r="H1336" s="5"/>
      <c r="I1336" s="5"/>
      <c r="J1336" s="5"/>
      <c r="K1336" s="5"/>
      <c r="L1336" s="5"/>
      <c r="M1336" s="5"/>
      <c r="N1336" s="5"/>
    </row>
    <row r="1337" customFormat="false" ht="15" hidden="false" customHeight="false" outlineLevel="0" collapsed="false">
      <c r="A1337" s="71" t="n">
        <f aca="false">A1336+$F$3</f>
        <v>26620</v>
      </c>
      <c r="B1337" s="71" t="n">
        <f aca="false">SUMPRODUCT(固有振動数!$Q$6:$Q$22*(1-($A1337/固有振動数!$O$6:$O$22)^2)/((1-($A1337/固有振動数!$O$6:$O$22)^2)^2+固有振動数!$P$6:$P$22^2))</f>
        <v>-31.0250037334988</v>
      </c>
      <c r="C1337" s="71" t="n">
        <f aca="false">-SUMPRODUCT(固有振動数!$Q$6:$Q$22*固有振動数!$P$6:$P$22/((1-($A1337/固有振動数!$O$6:$O$22)^2)^2+固有振動数!$P$6:$P$22^2))</f>
        <v>-15.7094437050571</v>
      </c>
      <c r="D1337" s="71" t="n">
        <f aca="false">SQRT(B1337^2+C1337^2)</f>
        <v>34.7755298764227</v>
      </c>
      <c r="E1337" s="72" t="n">
        <f aca="false">20*LOG10(MAX(D1337,0.000000000001)/$K$3)</f>
        <v>30.8254751216085</v>
      </c>
      <c r="F1337" s="5"/>
      <c r="G1337" s="5"/>
      <c r="H1337" s="5"/>
      <c r="I1337" s="5"/>
      <c r="J1337" s="5"/>
      <c r="K1337" s="5"/>
      <c r="L1337" s="5"/>
      <c r="M1337" s="5"/>
      <c r="N1337" s="5"/>
    </row>
    <row r="1338" customFormat="false" ht="15" hidden="false" customHeight="false" outlineLevel="0" collapsed="false">
      <c r="A1338" s="71" t="n">
        <f aca="false">A1337+$F$3</f>
        <v>26640</v>
      </c>
      <c r="B1338" s="71" t="n">
        <f aca="false">SUMPRODUCT(固有振動数!$Q$6:$Q$22*(1-($A1338/固有振動数!$O$6:$O$22)^2)/((1-($A1338/固有振動数!$O$6:$O$22)^2)^2+固有振動数!$P$6:$P$22^2))</f>
        <v>-29.3932286860317</v>
      </c>
      <c r="C1338" s="71" t="n">
        <f aca="false">-SUMPRODUCT(固有振動数!$Q$6:$Q$22*固有振動数!$P$6:$P$22/((1-($A1338/固有振動数!$O$6:$O$22)^2)^2+固有振動数!$P$6:$P$22^2))</f>
        <v>-14.1309320511352</v>
      </c>
      <c r="D1338" s="71" t="n">
        <f aca="false">SQRT(B1338^2+C1338^2)</f>
        <v>32.6135728374424</v>
      </c>
      <c r="E1338" s="72" t="n">
        <f aca="false">20*LOG10(MAX(D1338,0.000000000001)/$K$3)</f>
        <v>30.2679675729238</v>
      </c>
      <c r="F1338" s="5"/>
      <c r="G1338" s="5"/>
      <c r="H1338" s="5"/>
      <c r="I1338" s="5"/>
      <c r="J1338" s="5"/>
      <c r="K1338" s="5"/>
      <c r="L1338" s="5"/>
      <c r="M1338" s="5"/>
      <c r="N1338" s="5"/>
    </row>
    <row r="1339" customFormat="false" ht="15" hidden="false" customHeight="false" outlineLevel="0" collapsed="false">
      <c r="A1339" s="71" t="n">
        <f aca="false">A1338+$F$3</f>
        <v>26660</v>
      </c>
      <c r="B1339" s="71" t="n">
        <f aca="false">SUMPRODUCT(固有振動数!$Q$6:$Q$22*(1-($A1339/固有振動数!$O$6:$O$22)^2)/((1-($A1339/固有振動数!$O$6:$O$22)^2)^2+固有振動数!$P$6:$P$22^2))</f>
        <v>-27.8611613783923</v>
      </c>
      <c r="C1339" s="71" t="n">
        <f aca="false">-SUMPRODUCT(固有振動数!$Q$6:$Q$22*固有振動数!$P$6:$P$22/((1-($A1339/固有振動数!$O$6:$O$22)^2)^2+固有振動数!$P$6:$P$22^2))</f>
        <v>-12.7722780452357</v>
      </c>
      <c r="D1339" s="71" t="n">
        <f aca="false">SQRT(B1339^2+C1339^2)</f>
        <v>30.6492316350285</v>
      </c>
      <c r="E1339" s="72" t="n">
        <f aca="false">20*LOG10(MAX(D1339,0.000000000001)/$K$3)</f>
        <v>29.7283918277575</v>
      </c>
      <c r="F1339" s="5"/>
      <c r="G1339" s="5"/>
      <c r="H1339" s="5"/>
      <c r="I1339" s="5"/>
      <c r="J1339" s="5"/>
      <c r="K1339" s="5"/>
      <c r="L1339" s="5"/>
      <c r="M1339" s="5"/>
      <c r="N1339" s="5"/>
    </row>
    <row r="1340" customFormat="false" ht="15" hidden="false" customHeight="false" outlineLevel="0" collapsed="false">
      <c r="A1340" s="71" t="n">
        <f aca="false">A1339+$F$3</f>
        <v>26680</v>
      </c>
      <c r="B1340" s="71" t="n">
        <f aca="false">SUMPRODUCT(固有振動数!$Q$6:$Q$22*(1-($A1340/固有振動数!$O$6:$O$22)^2)/((1-($A1340/固有振動数!$O$6:$O$22)^2)^2+固有振動数!$P$6:$P$22^2))</f>
        <v>-26.4257929726216</v>
      </c>
      <c r="C1340" s="71" t="n">
        <f aca="false">-SUMPRODUCT(固有振動数!$Q$6:$Q$22*固有振動数!$P$6:$P$22/((1-($A1340/固有振動数!$O$6:$O$22)^2)^2+固有振動数!$P$6:$P$22^2))</f>
        <v>-11.5964441461517</v>
      </c>
      <c r="D1340" s="71" t="n">
        <f aca="false">SQRT(B1340^2+C1340^2)</f>
        <v>28.8582752614683</v>
      </c>
      <c r="E1340" s="72" t="n">
        <f aca="false">20*LOG10(MAX(D1340,0.000000000001)/$K$3)</f>
        <v>29.2054074313309</v>
      </c>
      <c r="F1340" s="5"/>
      <c r="G1340" s="5"/>
      <c r="H1340" s="5"/>
      <c r="I1340" s="5"/>
      <c r="J1340" s="5"/>
      <c r="K1340" s="5"/>
      <c r="L1340" s="5"/>
      <c r="M1340" s="5"/>
      <c r="N1340" s="5"/>
    </row>
    <row r="1341" customFormat="false" ht="15" hidden="false" customHeight="false" outlineLevel="0" collapsed="false">
      <c r="A1341" s="71" t="n">
        <f aca="false">A1340+$F$3</f>
        <v>26700</v>
      </c>
      <c r="B1341" s="71" t="n">
        <f aca="false">SUMPRODUCT(固有振動数!$Q$6:$Q$22*(1-($A1341/固有振動数!$O$6:$O$22)^2)/((1-($A1341/固有振動数!$O$6:$O$22)^2)^2+固有振動数!$P$6:$P$22^2))</f>
        <v>-25.0823359639627</v>
      </c>
      <c r="C1341" s="71" t="n">
        <f aca="false">-SUMPRODUCT(固有振動数!$Q$6:$Q$22*固有振動数!$P$6:$P$22/((1-($A1341/固有振動数!$O$6:$O$22)^2)^2+固有振動数!$P$6:$P$22^2))</f>
        <v>-10.5734483971474</v>
      </c>
      <c r="D1341" s="71" t="n">
        <f aca="false">SQRT(B1341^2+C1341^2)</f>
        <v>27.2198712049898</v>
      </c>
      <c r="E1341" s="72" t="n">
        <f aca="false">20*LOG10(MAX(D1341,0.000000000001)/$K$3)</f>
        <v>28.6977213188198</v>
      </c>
      <c r="F1341" s="5"/>
      <c r="G1341" s="5"/>
      <c r="H1341" s="5"/>
      <c r="I1341" s="5"/>
      <c r="J1341" s="5"/>
      <c r="K1341" s="5"/>
      <c r="L1341" s="5"/>
      <c r="M1341" s="5"/>
      <c r="N1341" s="5"/>
    </row>
    <row r="1342" customFormat="false" ht="15" hidden="false" customHeight="false" outlineLevel="0" collapsed="false">
      <c r="A1342" s="71" t="n">
        <f aca="false">A1341+$F$3</f>
        <v>26720</v>
      </c>
      <c r="B1342" s="71" t="n">
        <f aca="false">SUMPRODUCT(固有振動数!$Q$6:$Q$22*(1-($A1342/固有振動数!$O$6:$O$22)^2)/((1-($A1342/固有振動数!$O$6:$O$22)^2)^2+固有振動数!$P$6:$P$22^2))</f>
        <v>-23.8251278943426</v>
      </c>
      <c r="C1342" s="71" t="n">
        <f aca="false">-SUMPRODUCT(固有振動数!$Q$6:$Q$22*固有振動数!$P$6:$P$22/((1-($A1342/固有振動数!$O$6:$O$22)^2)^2+固有振動数!$P$6:$P$22^2))</f>
        <v>-9.67892222102774</v>
      </c>
      <c r="D1342" s="71" t="n">
        <f aca="false">SQRT(B1342^2+C1342^2)</f>
        <v>25.716108853061</v>
      </c>
      <c r="E1342" s="72" t="n">
        <f aca="false">20*LOG10(MAX(D1342,0.000000000001)/$K$3)</f>
        <v>28.2041051081475</v>
      </c>
      <c r="F1342" s="5"/>
      <c r="G1342" s="5"/>
      <c r="H1342" s="5"/>
      <c r="I1342" s="5"/>
      <c r="J1342" s="5"/>
      <c r="K1342" s="5"/>
      <c r="L1342" s="5"/>
      <c r="M1342" s="5"/>
      <c r="N1342" s="5"/>
    </row>
    <row r="1343" customFormat="false" ht="15" hidden="false" customHeight="false" outlineLevel="0" collapsed="false">
      <c r="A1343" s="71" t="n">
        <f aca="false">A1342+$F$3</f>
        <v>26740</v>
      </c>
      <c r="B1343" s="71" t="n">
        <f aca="false">SUMPRODUCT(固有振動数!$Q$6:$Q$22*(1-($A1343/固有振動数!$O$6:$O$22)^2)/((1-($A1343/固有振動数!$O$6:$O$22)^2)^2+固有振動数!$P$6:$P$22^2))</f>
        <v>-22.6481888573612</v>
      </c>
      <c r="C1343" s="71" t="n">
        <f aca="false">-SUMPRODUCT(固有振動数!$Q$6:$Q$22*固有振動数!$P$6:$P$22/((1-($A1343/固有振動数!$O$6:$O$22)^2)^2+固有振動数!$P$6:$P$22^2))</f>
        <v>-8.89296700177547</v>
      </c>
      <c r="D1343" s="71" t="n">
        <f aca="false">SQRT(B1343^2+C1343^2)</f>
        <v>24.3315704510286</v>
      </c>
      <c r="E1343" s="72" t="n">
        <f aca="false">20*LOG10(MAX(D1343,0.000000000001)/$K$3)</f>
        <v>27.7234028166802</v>
      </c>
      <c r="F1343" s="5"/>
      <c r="G1343" s="5"/>
      <c r="H1343" s="5"/>
      <c r="I1343" s="5"/>
      <c r="J1343" s="5"/>
      <c r="K1343" s="5"/>
      <c r="L1343" s="5"/>
      <c r="M1343" s="5"/>
      <c r="N1343" s="5"/>
    </row>
    <row r="1344" customFormat="false" ht="15" hidden="false" customHeight="false" outlineLevel="0" collapsed="false">
      <c r="A1344" s="71" t="n">
        <f aca="false">A1343+$F$3</f>
        <v>26760</v>
      </c>
      <c r="B1344" s="71" t="n">
        <f aca="false">SUMPRODUCT(固有振動数!$Q$6:$Q$22*(1-($A1344/固有振動数!$O$6:$O$22)^2)/((1-($A1344/固有振動数!$O$6:$O$22)^2)^2+固有振動数!$P$6:$P$22^2))</f>
        <v>-21.5455579937649</v>
      </c>
      <c r="C1344" s="71" t="n">
        <f aca="false">-SUMPRODUCT(固有振動数!$Q$6:$Q$22*固有振動数!$P$6:$P$22/((1-($A1344/固有振動数!$O$6:$O$22)^2)^2+固有振動数!$P$6:$P$22^2))</f>
        <v>-8.19925269430381</v>
      </c>
      <c r="D1344" s="71" t="n">
        <f aca="false">SQRT(B1344^2+C1344^2)</f>
        <v>23.0529567302708</v>
      </c>
      <c r="E1344" s="72" t="n">
        <f aca="false">20*LOG10(MAX(D1344,0.000000000001)/$K$3)</f>
        <v>27.2545327023571</v>
      </c>
      <c r="F1344" s="5"/>
      <c r="G1344" s="5"/>
      <c r="H1344" s="5"/>
      <c r="I1344" s="5"/>
      <c r="J1344" s="5"/>
      <c r="K1344" s="5"/>
      <c r="L1344" s="5"/>
      <c r="M1344" s="5"/>
      <c r="N1344" s="5"/>
    </row>
    <row r="1345" customFormat="false" ht="15" hidden="false" customHeight="false" outlineLevel="0" collapsed="false">
      <c r="A1345" s="71" t="n">
        <f aca="false">A1344+$F$3</f>
        <v>26780</v>
      </c>
      <c r="B1345" s="71" t="n">
        <f aca="false">SUMPRODUCT(固有振動数!$Q$6:$Q$22*(1-($A1345/固有振動数!$O$6:$O$22)^2)/((1-($A1345/固有振動数!$O$6:$O$22)^2)^2+固有振動数!$P$6:$P$22^2))</f>
        <v>-20.511489339834</v>
      </c>
      <c r="C1345" s="71" t="n">
        <f aca="false">-SUMPRODUCT(固有振動数!$Q$6:$Q$22*固有振動数!$P$6:$P$22/((1-($A1345/固有振動数!$O$6:$O$22)^2)^2+固有振動数!$P$6:$P$22^2))</f>
        <v>-7.58430852191397</v>
      </c>
      <c r="D1345" s="71" t="n">
        <f aca="false">SQRT(B1345^2+C1345^2)</f>
        <v>21.8687660990213</v>
      </c>
      <c r="E1345" s="72" t="n">
        <f aca="false">20*LOG10(MAX(D1345,0.000000000001)/$K$3)</f>
        <v>26.7964855907904</v>
      </c>
      <c r="F1345" s="5"/>
      <c r="G1345" s="5"/>
      <c r="H1345" s="5"/>
      <c r="I1345" s="5"/>
      <c r="J1345" s="5"/>
      <c r="K1345" s="5"/>
      <c r="L1345" s="5"/>
      <c r="M1345" s="5"/>
      <c r="N1345" s="5"/>
    </row>
    <row r="1346" customFormat="false" ht="15" hidden="false" customHeight="false" outlineLevel="0" collapsed="false">
      <c r="A1346" s="71" t="n">
        <f aca="false">A1345+$F$3</f>
        <v>26800</v>
      </c>
      <c r="B1346" s="71" t="n">
        <f aca="false">SUMPRODUCT(固有振動数!$Q$6:$Q$22*(1-($A1346/固有振動数!$O$6:$O$22)^2)/((1-($A1346/固有振動数!$O$6:$O$22)^2)^2+固有振動数!$P$6:$P$22^2))</f>
        <v>-19.540558640447</v>
      </c>
      <c r="C1346" s="71" t="n">
        <f aca="false">-SUMPRODUCT(固有振動数!$Q$6:$Q$22*固有振動数!$P$6:$P$22/((1-($A1346/固有振動数!$O$6:$O$22)^2)^2+固有振動数!$P$6:$P$22^2))</f>
        <v>-7.03696446548492</v>
      </c>
      <c r="D1346" s="71" t="n">
        <f aca="false">SQRT(B1346^2+C1346^2)</f>
        <v>20.769022626721</v>
      </c>
      <c r="E1346" s="72" t="n">
        <f aca="false">20*LOG10(MAX(D1346,0.000000000001)/$K$3)</f>
        <v>26.3483211894316</v>
      </c>
      <c r="F1346" s="5"/>
      <c r="G1346" s="5"/>
      <c r="H1346" s="5"/>
      <c r="I1346" s="5"/>
      <c r="J1346" s="5"/>
      <c r="K1346" s="5"/>
      <c r="L1346" s="5"/>
      <c r="M1346" s="5"/>
      <c r="N1346" s="5"/>
    </row>
    <row r="1347" customFormat="false" ht="15" hidden="false" customHeight="false" outlineLevel="0" collapsed="false">
      <c r="A1347" s="71" t="n">
        <f aca="false">A1346+$F$3</f>
        <v>26820</v>
      </c>
      <c r="B1347" s="71" t="n">
        <f aca="false">SUMPRODUCT(固有振動数!$Q$6:$Q$22*(1-($A1347/固有振動数!$O$6:$O$22)^2)/((1-($A1347/固有振動数!$O$6:$O$22)^2)^2+固有振動数!$P$6:$P$22^2))</f>
        <v>-18.6277143016432</v>
      </c>
      <c r="C1347" s="71" t="n">
        <f aca="false">-SUMPRODUCT(固有振動数!$Q$6:$Q$22*固有振動数!$P$6:$P$22/((1-($A1347/固有振動数!$O$6:$O$22)^2)^2+固有振動数!$P$6:$P$22^2))</f>
        <v>-6.54791049999595</v>
      </c>
      <c r="D1347" s="71" t="n">
        <f aca="false">SQRT(B1347^2+C1347^2)</f>
        <v>19.7450467717755</v>
      </c>
      <c r="E1347" s="72" t="n">
        <f aca="false">20*LOG10(MAX(D1347,0.000000000001)/$K$3)</f>
        <v>25.9091633364828</v>
      </c>
      <c r="F1347" s="5"/>
      <c r="G1347" s="5"/>
      <c r="H1347" s="5"/>
      <c r="I1347" s="5"/>
      <c r="J1347" s="5"/>
      <c r="K1347" s="5"/>
      <c r="L1347" s="5"/>
      <c r="M1347" s="5"/>
      <c r="N1347" s="5"/>
    </row>
    <row r="1348" customFormat="false" ht="15" hidden="false" customHeight="false" outlineLevel="0" collapsed="false">
      <c r="A1348" s="71" t="n">
        <f aca="false">A1347+$F$3</f>
        <v>26840</v>
      </c>
      <c r="B1348" s="71" t="n">
        <f aca="false">SUMPRODUCT(固有振動数!$Q$6:$Q$22*(1-($A1348/固有振動数!$O$6:$O$22)^2)/((1-($A1348/固有振動数!$O$6:$O$22)^2)^2+固有振動数!$P$6:$P$22^2))</f>
        <v>-17.7682938134115</v>
      </c>
      <c r="C1348" s="71" t="n">
        <f aca="false">-SUMPRODUCT(固有振動数!$Q$6:$Q$22*固有振動数!$P$6:$P$22/((1-($A1348/固有振動数!$O$6:$O$22)^2)^2+固有振動数!$P$6:$P$22^2))</f>
        <v>-6.10934761256988</v>
      </c>
      <c r="D1348" s="71" t="n">
        <f aca="false">SQRT(B1348^2+C1348^2)</f>
        <v>18.7892627128083</v>
      </c>
      <c r="E1348" s="72" t="n">
        <f aca="false">20*LOG10(MAX(D1348,0.000000000001)/$K$3)</f>
        <v>25.4781947759955</v>
      </c>
      <c r="F1348" s="5"/>
      <c r="G1348" s="5"/>
      <c r="H1348" s="5"/>
      <c r="I1348" s="5"/>
      <c r="J1348" s="5"/>
      <c r="K1348" s="5"/>
      <c r="L1348" s="5"/>
      <c r="M1348" s="5"/>
      <c r="N1348" s="5"/>
    </row>
    <row r="1349" customFormat="false" ht="15" hidden="false" customHeight="false" outlineLevel="0" collapsed="false">
      <c r="A1349" s="71" t="n">
        <f aca="false">A1348+$F$3</f>
        <v>26860</v>
      </c>
      <c r="B1349" s="71" t="n">
        <f aca="false">SUMPRODUCT(固有振動数!$Q$6:$Q$22*(1-($A1349/固有振動数!$O$6:$O$22)^2)/((1-($A1349/固有振動数!$O$6:$O$22)^2)^2+固有振動数!$P$6:$P$22^2))</f>
        <v>-16.9580193450059</v>
      </c>
      <c r="C1349" s="71" t="n">
        <f aca="false">-SUMPRODUCT(固有振動数!$Q$6:$Q$22*固有振動数!$P$6:$P$22/((1-($A1349/固有振動数!$O$6:$O$22)^2)^2+固有振動数!$P$6:$P$22^2))</f>
        <v>-5.71471039888049</v>
      </c>
      <c r="D1349" s="71" t="n">
        <f aca="false">SQRT(B1349^2+C1349^2)</f>
        <v>17.8950366037252</v>
      </c>
      <c r="E1349" s="72" t="n">
        <f aca="false">20*LOG10(MAX(D1349,0.000000000001)/$K$3)</f>
        <v>25.0546518212482</v>
      </c>
      <c r="F1349" s="5"/>
      <c r="G1349" s="5"/>
      <c r="H1349" s="5"/>
      <c r="I1349" s="5"/>
      <c r="J1349" s="5"/>
      <c r="K1349" s="5"/>
      <c r="L1349" s="5"/>
      <c r="M1349" s="5"/>
      <c r="N1349" s="5"/>
    </row>
    <row r="1350" customFormat="false" ht="15" hidden="false" customHeight="false" outlineLevel="0" collapsed="false">
      <c r="A1350" s="71" t="n">
        <f aca="false">A1349+$F$3</f>
        <v>26880</v>
      </c>
      <c r="B1350" s="71" t="n">
        <f aca="false">SUMPRODUCT(固有振動数!$Q$6:$Q$22*(1-($A1350/固有振動数!$O$6:$O$22)^2)/((1-($A1350/固有振動数!$O$6:$O$22)^2)^2+固有振動数!$P$6:$P$22^2))</f>
        <v>-16.1929812885774</v>
      </c>
      <c r="C1350" s="71" t="n">
        <f aca="false">-SUMPRODUCT(固有振動数!$Q$6:$Q$22*固有振動数!$P$6:$P$22/((1-($A1350/固有振動数!$O$6:$O$22)^2)^2+固有振動数!$P$6:$P$22^2))</f>
        <v>-5.3584455944868</v>
      </c>
      <c r="D1350" s="71" t="n">
        <f aca="false">SQRT(B1350^2+C1350^2)</f>
        <v>17.0565407454528</v>
      </c>
      <c r="E1350" s="72" t="n">
        <f aca="false">20*LOG10(MAX(D1350,0.000000000001)/$K$3)</f>
        <v>24.6378191210426</v>
      </c>
      <c r="F1350" s="5"/>
      <c r="G1350" s="5"/>
      <c r="H1350" s="5"/>
      <c r="I1350" s="5"/>
      <c r="J1350" s="5"/>
      <c r="K1350" s="5"/>
      <c r="L1350" s="5"/>
      <c r="M1350" s="5"/>
      <c r="N1350" s="5"/>
    </row>
    <row r="1351" customFormat="false" ht="15" hidden="false" customHeight="false" outlineLevel="0" collapsed="false">
      <c r="A1351" s="71" t="n">
        <f aca="false">A1350+$F$3</f>
        <v>26900</v>
      </c>
      <c r="B1351" s="71" t="n">
        <f aca="false">SUMPRODUCT(固有振動数!$Q$6:$Q$22*(1-($A1351/固有振動数!$O$6:$O$22)^2)/((1-($A1351/固有振動数!$O$6:$O$22)^2)^2+固有振動数!$P$6:$P$22^2))</f>
        <v>-15.4696153379024</v>
      </c>
      <c r="C1351" s="71" t="n">
        <f aca="false">-SUMPRODUCT(固有振動数!$Q$6:$Q$22*固有振動数!$P$6:$P$22/((1-($A1351/固有振動数!$O$6:$O$22)^2)^2+固有振動数!$P$6:$P$22^2))</f>
        <v>-5.03583444820586</v>
      </c>
      <c r="D1351" s="71" t="n">
        <f aca="false">SQRT(B1351^2+C1351^2)</f>
        <v>16.2686393804892</v>
      </c>
      <c r="E1351" s="72" t="n">
        <f aca="false">20*LOG10(MAX(D1351,0.000000000001)/$K$3)</f>
        <v>24.2270246490813</v>
      </c>
      <c r="F1351" s="5"/>
      <c r="G1351" s="5"/>
      <c r="H1351" s="5"/>
      <c r="I1351" s="5"/>
      <c r="J1351" s="5"/>
      <c r="K1351" s="5"/>
      <c r="L1351" s="5"/>
      <c r="M1351" s="5"/>
      <c r="N1351" s="5"/>
    </row>
    <row r="1352" customFormat="false" ht="15" hidden="false" customHeight="false" outlineLevel="0" collapsed="false">
      <c r="A1352" s="71" t="n">
        <f aca="false">A1351+$F$3</f>
        <v>26920</v>
      </c>
      <c r="B1352" s="71" t="n">
        <f aca="false">SUMPRODUCT(固有振動数!$Q$6:$Q$22*(1-($A1352/固有振動数!$O$6:$O$22)^2)/((1-($A1352/固有振動数!$O$6:$O$22)^2)^2+固有振動数!$P$6:$P$22^2))</f>
        <v>-14.7846766216355</v>
      </c>
      <c r="C1352" s="71" t="n">
        <f aca="false">-SUMPRODUCT(固有振動数!$Q$6:$Q$22*固有振動数!$P$6:$P$22/((1-($A1352/固有振動数!$O$6:$O$22)^2)^2+固有振動数!$P$6:$P$22^2))</f>
        <v>-4.74284958512385</v>
      </c>
      <c r="D1352" s="71" t="n">
        <f aca="false">SQRT(B1352^2+C1352^2)</f>
        <v>15.5267924889027</v>
      </c>
      <c r="E1352" s="72" t="n">
        <f aca="false">20*LOG10(MAX(D1352,0.000000000001)/$K$3)</f>
        <v>23.8216349764603</v>
      </c>
      <c r="F1352" s="5"/>
      <c r="G1352" s="5"/>
      <c r="H1352" s="5"/>
      <c r="I1352" s="5"/>
      <c r="J1352" s="5"/>
      <c r="K1352" s="5"/>
      <c r="L1352" s="5"/>
      <c r="M1352" s="5"/>
      <c r="N1352" s="5"/>
    </row>
    <row r="1353" customFormat="false" ht="15" hidden="false" customHeight="false" outlineLevel="0" collapsed="false">
      <c r="A1353" s="71" t="n">
        <f aca="false">A1352+$F$3</f>
        <v>26940</v>
      </c>
      <c r="B1353" s="71" t="n">
        <f aca="false">SUMPRODUCT(固有振動数!$Q$6:$Q$22*(1-($A1353/固有振動数!$O$6:$O$22)^2)/((1-($A1353/固有振動数!$O$6:$O$22)^2)^2+固有振動数!$P$6:$P$22^2))</f>
        <v>-14.1352130700333</v>
      </c>
      <c r="C1353" s="71" t="n">
        <f aca="false">-SUMPRODUCT(固有振動数!$Q$6:$Q$22*固有振動数!$P$6:$P$22/((1-($A1353/固有振動数!$O$6:$O$22)^2)^2+固有振動数!$P$6:$P$22^2))</f>
        <v>-4.47603911288669</v>
      </c>
      <c r="D1353" s="71" t="n">
        <f aca="false">SQRT(B1353^2+C1353^2)</f>
        <v>14.826974562443</v>
      </c>
      <c r="E1353" s="72" t="n">
        <f aca="false">20*LOG10(MAX(D1353,0.000000000001)/$K$3)</f>
        <v>23.4210508494541</v>
      </c>
      <c r="F1353" s="5"/>
      <c r="G1353" s="5"/>
      <c r="H1353" s="5"/>
      <c r="I1353" s="5"/>
      <c r="J1353" s="5"/>
      <c r="K1353" s="5"/>
      <c r="L1353" s="5"/>
      <c r="M1353" s="5"/>
      <c r="N1353" s="5"/>
    </row>
    <row r="1354" customFormat="false" ht="15" hidden="false" customHeight="false" outlineLevel="0" collapsed="false">
      <c r="A1354" s="71" t="n">
        <f aca="false">A1353+$F$3</f>
        <v>26960</v>
      </c>
      <c r="B1354" s="71" t="n">
        <f aca="false">SUMPRODUCT(固有振動数!$Q$6:$Q$22*(1-($A1354/固有振動数!$O$6:$O$22)^2)/((1-($A1354/固有振動数!$O$6:$O$22)^2)^2+固有振動数!$P$6:$P$22^2))</f>
        <v>-13.5185393263429</v>
      </c>
      <c r="C1354" s="71" t="n">
        <f aca="false">-SUMPRODUCT(固有振動数!$Q$6:$Q$22*固有振動数!$P$6:$P$22/((1-($A1354/固有振動数!$O$6:$O$22)^2)^2+固有振動数!$P$6:$P$22^2))</f>
        <v>-4.23243234099702</v>
      </c>
      <c r="D1354" s="71" t="n">
        <f aca="false">SQRT(B1354^2+C1354^2)</f>
        <v>14.1656058479331</v>
      </c>
      <c r="E1354" s="72" t="n">
        <f aca="false">20*LOG10(MAX(D1354,0.000000000001)/$K$3)</f>
        <v>23.0247030713579</v>
      </c>
      <c r="F1354" s="5"/>
      <c r="G1354" s="5"/>
      <c r="H1354" s="5"/>
      <c r="I1354" s="5"/>
      <c r="J1354" s="5"/>
      <c r="K1354" s="5"/>
      <c r="L1354" s="5"/>
      <c r="M1354" s="5"/>
      <c r="N1354" s="5"/>
    </row>
    <row r="1355" customFormat="false" ht="15" hidden="false" customHeight="false" outlineLevel="0" collapsed="false">
      <c r="A1355" s="71" t="n">
        <f aca="false">A1354+$F$3</f>
        <v>26980</v>
      </c>
      <c r="B1355" s="71" t="n">
        <f aca="false">SUMPRODUCT(固有振動数!$Q$6:$Q$22*(1-($A1355/固有振動数!$O$6:$O$22)^2)/((1-($A1355/固有振動数!$O$6:$O$22)^2)^2+固有振動数!$P$6:$P$22^2))</f>
        <v>-12.932211954618</v>
      </c>
      <c r="C1355" s="71" t="n">
        <f aca="false">-SUMPRODUCT(固有振動数!$Q$6:$Q$22*固有振動数!$P$6:$P$22/((1-($A1355/固有振動数!$O$6:$O$22)^2)^2+固有振動数!$P$6:$P$22^2))</f>
        <v>-4.00946272349776</v>
      </c>
      <c r="D1355" s="71" t="n">
        <f aca="false">SQRT(B1355^2+C1355^2)</f>
        <v>13.539493985016</v>
      </c>
      <c r="E1355" s="72" t="n">
        <f aca="false">20*LOG10(MAX(D1355,0.000000000001)/$K$3)</f>
        <v>22.6320486730655</v>
      </c>
      <c r="F1355" s="5"/>
      <c r="G1355" s="5"/>
      <c r="H1355" s="5"/>
      <c r="I1355" s="5"/>
      <c r="J1355" s="5"/>
      <c r="K1355" s="5"/>
      <c r="L1355" s="5"/>
      <c r="M1355" s="5"/>
      <c r="N1355" s="5"/>
    </row>
    <row r="1356" customFormat="false" ht="15" hidden="false" customHeight="false" outlineLevel="0" collapsed="false">
      <c r="A1356" s="71" t="n">
        <f aca="false">A1355+$F$3</f>
        <v>27000</v>
      </c>
      <c r="B1356" s="71" t="n">
        <f aca="false">SUMPRODUCT(固有振動数!$Q$6:$Q$22*(1-($A1356/固有振動数!$O$6:$O$22)^2)/((1-($A1356/固有振動数!$O$6:$O$22)^2)^2+固有振動数!$P$6:$P$22^2))</f>
        <v>-12.3740063378209</v>
      </c>
      <c r="C1356" s="71" t="n">
        <f aca="false">-SUMPRODUCT(固有振動数!$Q$6:$Q$22*固有振動数!$P$6:$P$22/((1-($A1356/固有振動数!$O$6:$O$22)^2)^2+固有振動数!$P$6:$P$22^2))</f>
        <v>-3.8049045895136</v>
      </c>
      <c r="D1356" s="71" t="n">
        <f aca="false">SQRT(B1356^2+C1356^2)</f>
        <v>12.9457843247805</v>
      </c>
      <c r="E1356" s="72" t="n">
        <f aca="false">20*LOG10(MAX(D1356,0.000000000001)/$K$3)</f>
        <v>22.2425673489604</v>
      </c>
      <c r="F1356" s="5"/>
      <c r="G1356" s="5"/>
      <c r="H1356" s="5"/>
      <c r="I1356" s="5"/>
      <c r="J1356" s="5"/>
      <c r="K1356" s="5"/>
      <c r="L1356" s="5"/>
      <c r="M1356" s="5"/>
      <c r="N1356" s="5"/>
    </row>
    <row r="1357" customFormat="false" ht="15" hidden="false" customHeight="false" outlineLevel="0" collapsed="false">
      <c r="A1357" s="71" t="n">
        <f aca="false">A1356+$F$3</f>
        <v>27020</v>
      </c>
      <c r="B1357" s="71" t="n">
        <f aca="false">SUMPRODUCT(固有振動数!$Q$6:$Q$22*(1-($A1357/固有振動数!$O$6:$O$22)^2)/((1-($A1357/固有振動数!$O$6:$O$22)^2)^2+固有振動数!$P$6:$P$22^2))</f>
        <v>-11.8418954339638</v>
      </c>
      <c r="C1357" s="71" t="n">
        <f aca="false">-SUMPRODUCT(固有振動数!$Q$6:$Q$22*固有振動数!$P$6:$P$22/((1-($A1357/固有振動数!$O$6:$O$22)^2)^2+固有振動数!$P$6:$P$22^2))</f>
        <v>-3.61682096176416</v>
      </c>
      <c r="D1357" s="71" t="n">
        <f aca="false">SQRT(B1357^2+C1357^2)</f>
        <v>12.3819175146012</v>
      </c>
      <c r="E1357" s="72" t="n">
        <f aca="false">20*LOG10(MAX(D1357,0.000000000001)/$K$3)</f>
        <v>21.8557581303931</v>
      </c>
      <c r="F1357" s="5"/>
      <c r="G1357" s="5"/>
      <c r="H1357" s="5"/>
      <c r="I1357" s="5"/>
      <c r="J1357" s="5"/>
      <c r="K1357" s="5"/>
      <c r="L1357" s="5"/>
      <c r="M1357" s="5"/>
      <c r="N1357" s="5"/>
    </row>
    <row r="1358" customFormat="false" ht="15" hidden="false" customHeight="false" outlineLevel="0" collapsed="false">
      <c r="A1358" s="71" t="n">
        <f aca="false">A1357+$F$3</f>
        <v>27040</v>
      </c>
      <c r="B1358" s="71" t="n">
        <f aca="false">SUMPRODUCT(固有振動数!$Q$6:$Q$22*(1-($A1358/固有振動数!$O$6:$O$22)^2)/((1-($A1358/固有振動数!$O$6:$O$22)^2)^2+固有振動数!$P$6:$P$22^2))</f>
        <v>-11.3340304181133</v>
      </c>
      <c r="C1358" s="71" t="n">
        <f aca="false">-SUMPRODUCT(固有振動数!$Q$6:$Q$22*固有振動数!$P$6:$P$22/((1-($A1358/固有振動数!$O$6:$O$22)^2)^2+固有振動数!$P$6:$P$22^2))</f>
        <v>-3.44352033220951</v>
      </c>
      <c r="D1358" s="71" t="n">
        <f aca="false">SQRT(B1358^2+C1358^2)</f>
        <v>11.8455931804641</v>
      </c>
      <c r="E1358" s="72" t="n">
        <f aca="false">20*LOG10(MAX(D1358,0.000000000001)/$K$3)</f>
        <v>21.4711362670719</v>
      </c>
      <c r="F1358" s="5"/>
      <c r="G1358" s="5"/>
      <c r="H1358" s="5"/>
      <c r="I1358" s="5"/>
      <c r="J1358" s="5"/>
      <c r="K1358" s="5"/>
      <c r="L1358" s="5"/>
      <c r="M1358" s="5"/>
      <c r="N1358" s="5"/>
    </row>
    <row r="1359" customFormat="false" ht="15" hidden="false" customHeight="false" outlineLevel="0" collapsed="false">
      <c r="A1359" s="71" t="n">
        <f aca="false">A1358+$F$3</f>
        <v>27060</v>
      </c>
      <c r="B1359" s="71" t="n">
        <f aca="false">SUMPRODUCT(固有振動数!$Q$6:$Q$22*(1-($A1359/固有振動数!$O$6:$O$22)^2)/((1-($A1359/固有振動数!$O$6:$O$22)^2)^2+固有振動数!$P$6:$P$22^2))</f>
        <v>-10.8487231542813</v>
      </c>
      <c r="C1359" s="71" t="n">
        <f aca="false">-SUMPRODUCT(固有振動数!$Q$6:$Q$22*固有振動数!$P$6:$P$22/((1-($A1359/固有振動数!$O$6:$O$22)^2)^2+固有振動数!$P$6:$P$22^2))</f>
        <v>-3.28352070576301</v>
      </c>
      <c r="D1359" s="71" t="n">
        <f aca="false">SQRT(B1359^2+C1359^2)</f>
        <v>11.3347387399716</v>
      </c>
      <c r="E1359" s="72" t="n">
        <f aca="false">20*LOG10(MAX(D1359,0.000000000001)/$K$3)</f>
        <v>21.0882302861694</v>
      </c>
      <c r="F1359" s="5"/>
      <c r="G1359" s="5"/>
      <c r="H1359" s="5"/>
      <c r="I1359" s="5"/>
      <c r="J1359" s="5"/>
      <c r="K1359" s="5"/>
      <c r="L1359" s="5"/>
      <c r="M1359" s="5"/>
      <c r="N1359" s="5"/>
    </row>
    <row r="1360" customFormat="false" ht="15" hidden="false" customHeight="false" outlineLevel="0" collapsed="false">
      <c r="A1360" s="71" t="n">
        <f aca="false">A1359+$F$3</f>
        <v>27080</v>
      </c>
      <c r="B1360" s="71" t="n">
        <f aca="false">SUMPRODUCT(固有振動数!$Q$6:$Q$22*(1-($A1360/固有振動数!$O$6:$O$22)^2)/((1-($A1360/固有振動数!$O$6:$O$22)^2)^2+固有振動数!$P$6:$P$22^2))</f>
        <v>-10.3844303938327</v>
      </c>
      <c r="C1360" s="71" t="n">
        <f aca="false">-SUMPRODUCT(固有振動数!$Q$6:$Q$22*固有振動数!$P$6:$P$22/((1-($A1360/固有振動数!$O$6:$O$22)^2)^2+固有振動数!$P$6:$P$22^2))</f>
        <v>-3.13551956732391</v>
      </c>
      <c r="D1360" s="71" t="n">
        <f aca="false">SQRT(B1360^2+C1360^2)</f>
        <v>10.8474825448778</v>
      </c>
      <c r="E1360" s="72" t="n">
        <f aca="false">20*LOG10(MAX(D1360,0.000000000001)/$K$3)</f>
        <v>20.7065791992204</v>
      </c>
      <c r="F1360" s="5"/>
      <c r="G1360" s="5"/>
      <c r="H1360" s="5"/>
      <c r="I1360" s="5"/>
      <c r="J1360" s="5"/>
      <c r="K1360" s="5"/>
      <c r="L1360" s="5"/>
      <c r="M1360" s="5"/>
      <c r="N1360" s="5"/>
    </row>
    <row r="1361" customFormat="false" ht="15" hidden="false" customHeight="false" outlineLevel="0" collapsed="false">
      <c r="A1361" s="71" t="n">
        <f aca="false">A1360+$F$3</f>
        <v>27100</v>
      </c>
      <c r="B1361" s="71" t="n">
        <f aca="false">SUMPRODUCT(固有振動数!$Q$6:$Q$22*(1-($A1361/固有振動数!$O$6:$O$22)^2)/((1-($A1361/固有振動数!$O$6:$O$22)^2)^2+固有振動数!$P$6:$P$22^2))</f>
        <v>-9.93973957300631</v>
      </c>
      <c r="C1361" s="71" t="n">
        <f aca="false">-SUMPRODUCT(固有振動数!$Q$6:$Q$22*固有振動数!$P$6:$P$22/((1-($A1361/固有振動数!$O$6:$O$22)^2)^2+固有振動数!$P$6:$P$22^2))</f>
        <v>-2.99836869683049</v>
      </c>
      <c r="D1361" s="71" t="n">
        <f aca="false">SQRT(B1361^2+C1361^2)</f>
        <v>10.382130687933</v>
      </c>
      <c r="E1361" s="72" t="n">
        <f aca="false">20*LOG10(MAX(D1361,0.000000000001)/$K$3)</f>
        <v>20.3257298275758</v>
      </c>
      <c r="F1361" s="5"/>
      <c r="G1361" s="5"/>
      <c r="H1361" s="5"/>
      <c r="I1361" s="5"/>
      <c r="J1361" s="5"/>
      <c r="K1361" s="5"/>
      <c r="L1361" s="5"/>
      <c r="M1361" s="5"/>
      <c r="N1361" s="5"/>
    </row>
    <row r="1362" customFormat="false" ht="15" hidden="false" customHeight="false" outlineLevel="0" collapsed="false">
      <c r="A1362" s="71" t="n">
        <f aca="false">A1361+$F$3</f>
        <v>27120</v>
      </c>
      <c r="B1362" s="71" t="n">
        <f aca="false">SUMPRODUCT(固有振動数!$Q$6:$Q$22*(1-($A1362/固有振動数!$O$6:$O$22)^2)/((1-($A1362/固有振動数!$O$6:$O$22)^2)^2+固有振動数!$P$6:$P$22^2))</f>
        <v>-9.51335607287806</v>
      </c>
      <c r="C1362" s="71" t="n">
        <f aca="false">-SUMPRODUCT(固有振動数!$Q$6:$Q$22*固有振動数!$P$6:$P$22/((1-($A1362/固有振動数!$O$6:$O$22)^2)^2+固有振動数!$P$6:$P$22^2))</f>
        <v>-2.87105296877652</v>
      </c>
      <c r="D1362" s="71" t="n">
        <f aca="false">SQRT(B1362^2+C1362^2)</f>
        <v>9.93714692046395</v>
      </c>
      <c r="E1362" s="72" t="n">
        <f aca="false">20*LOG10(MAX(D1362,0.000000000001)/$K$3)</f>
        <v>19.9452342180083</v>
      </c>
      <c r="F1362" s="5"/>
      <c r="G1362" s="5"/>
      <c r="H1362" s="5"/>
      <c r="I1362" s="5"/>
      <c r="J1362" s="5"/>
      <c r="K1362" s="5"/>
      <c r="L1362" s="5"/>
      <c r="M1362" s="5"/>
      <c r="N1362" s="5"/>
    </row>
    <row r="1363" customFormat="false" ht="15" hidden="false" customHeight="false" outlineLevel="0" collapsed="false">
      <c r="A1363" s="71" t="n">
        <f aca="false">A1362+$F$3</f>
        <v>27140</v>
      </c>
      <c r="B1363" s="71" t="n">
        <f aca="false">SUMPRODUCT(固有振動数!$Q$6:$Q$22*(1-($A1363/固有振動数!$O$6:$O$22)^2)/((1-($A1363/固有振動数!$O$6:$O$22)^2)^2+固有振動数!$P$6:$P$22^2))</f>
        <v>-9.10409180495935</v>
      </c>
      <c r="C1363" s="71" t="n">
        <f aca="false">-SUMPRODUCT(固有振動数!$Q$6:$Q$22*固有振動数!$P$6:$P$22/((1-($A1363/固有振動数!$O$6:$O$22)^2)^2+固有振動数!$P$6:$P$22^2))</f>
        <v>-2.7526724397283</v>
      </c>
      <c r="D1363" s="71" t="n">
        <f aca="false">SQRT(B1363^2+C1363^2)</f>
        <v>9.51113521897191</v>
      </c>
      <c r="E1363" s="72" t="n">
        <f aca="false">20*LOG10(MAX(D1363,0.000000000001)/$K$3)</f>
        <v>19.5646471208965</v>
      </c>
      <c r="F1363" s="5"/>
      <c r="G1363" s="5"/>
      <c r="H1363" s="5"/>
      <c r="I1363" s="5"/>
      <c r="J1363" s="5"/>
      <c r="K1363" s="5"/>
      <c r="L1363" s="5"/>
      <c r="M1363" s="5"/>
      <c r="N1363" s="5"/>
    </row>
    <row r="1364" customFormat="false" ht="15" hidden="false" customHeight="false" outlineLevel="0" collapsed="false">
      <c r="A1364" s="71" t="n">
        <f aca="false">A1363+$F$3</f>
        <v>27160</v>
      </c>
      <c r="B1364" s="71" t="n">
        <f aca="false">SUMPRODUCT(固有振動数!$Q$6:$Q$22*(1-($A1364/固有振動数!$O$6:$O$22)^2)/((1-($A1364/固有振動数!$O$6:$O$22)^2)^2+固有振動数!$P$6:$P$22^2))</f>
        <v>-8.7108549908969</v>
      </c>
      <c r="C1364" s="71" t="n">
        <f aca="false">-SUMPRODUCT(固有振動数!$Q$6:$Q$22*固有振動数!$P$6:$P$22/((1-($A1364/固有振動数!$O$6:$O$22)^2)^2+固有振動数!$P$6:$P$22^2))</f>
        <v>-2.64242715979669</v>
      </c>
      <c r="D1364" s="71" t="n">
        <f aca="false">SQRT(B1364^2+C1364^2)</f>
        <v>9.10282461477011</v>
      </c>
      <c r="E1364" s="72" t="n">
        <f aca="false">20*LOG10(MAX(D1364,0.000000000001)/$K$3)</f>
        <v>19.1835235041431</v>
      </c>
      <c r="F1364" s="5"/>
      <c r="G1364" s="5"/>
      <c r="H1364" s="5"/>
      <c r="I1364" s="5"/>
      <c r="J1364" s="5"/>
      <c r="K1364" s="5"/>
      <c r="L1364" s="5"/>
      <c r="M1364" s="5"/>
      <c r="N1364" s="5"/>
    </row>
    <row r="1365" customFormat="false" ht="15" hidden="false" customHeight="false" outlineLevel="0" collapsed="false">
      <c r="A1365" s="71" t="n">
        <f aca="false">A1364+$F$3</f>
        <v>27180</v>
      </c>
      <c r="B1365" s="71" t="n">
        <f aca="false">SUMPRODUCT(固有振動数!$Q$6:$Q$22*(1-($A1365/固有振動数!$O$6:$O$22)^2)/((1-($A1365/固有振動数!$O$6:$O$22)^2)^2+固有振動数!$P$6:$P$22^2))</f>
        <v>-8.33264101302647</v>
      </c>
      <c r="C1365" s="71" t="n">
        <f aca="false">-SUMPRODUCT(固有振動数!$Q$6:$Q$22*固有振動数!$P$6:$P$22/((1-($A1365/固有振動数!$O$6:$O$22)^2)^2+固有振動数!$P$6:$P$22^2))</f>
        <v>-2.53960424939374</v>
      </c>
      <c r="D1365" s="71" t="n">
        <f aca="false">SQRT(B1365^2+C1365^2)</f>
        <v>8.71105596328652</v>
      </c>
      <c r="E1365" s="72" t="n">
        <f aca="false">20*LOG10(MAX(D1365,0.000000000001)/$K$3)</f>
        <v>18.8014160765743</v>
      </c>
      <c r="F1365" s="5"/>
      <c r="G1365" s="5"/>
      <c r="H1365" s="5"/>
      <c r="I1365" s="5"/>
      <c r="J1365" s="5"/>
      <c r="K1365" s="5"/>
      <c r="L1365" s="5"/>
      <c r="M1365" s="5"/>
      <c r="N1365" s="5"/>
    </row>
    <row r="1366" customFormat="false" ht="15" hidden="false" customHeight="false" outlineLevel="0" collapsed="false">
      <c r="A1366" s="71" t="n">
        <f aca="false">A1365+$F$3</f>
        <v>27200</v>
      </c>
      <c r="B1366" s="71" t="n">
        <f aca="false">SUMPRODUCT(固有振動数!$Q$6:$Q$22*(1-($A1366/固有振動数!$O$6:$O$22)^2)/((1-($A1366/固有振動数!$O$6:$O$22)^2)^2+固有振動数!$P$6:$P$22^2))</f>
        <v>-7.96852422227761</v>
      </c>
      <c r="C1366" s="71" t="n">
        <f aca="false">-SUMPRODUCT(固有振動数!$Q$6:$Q$22*固有振動数!$P$6:$P$22/((1-($A1366/固有振動数!$O$6:$O$22)^2)^2+固有振動数!$P$6:$P$22^2))</f>
        <v>-2.44356686680614</v>
      </c>
      <c r="D1366" s="71" t="n">
        <f aca="false">SQRT(B1366^2+C1366^2)</f>
        <v>8.33477038157487</v>
      </c>
      <c r="E1366" s="72" t="n">
        <f aca="false">20*LOG10(MAX(D1366,0.000000000001)/$K$3)</f>
        <v>18.4178727950055</v>
      </c>
      <c r="F1366" s="5"/>
      <c r="G1366" s="5"/>
      <c r="H1366" s="5"/>
      <c r="I1366" s="5"/>
      <c r="J1366" s="5"/>
      <c r="K1366" s="5"/>
      <c r="L1366" s="5"/>
      <c r="M1366" s="5"/>
      <c r="N1366" s="5"/>
    </row>
    <row r="1367" customFormat="false" ht="15" hidden="false" customHeight="false" outlineLevel="0" collapsed="false">
      <c r="A1367" s="71" t="n">
        <f aca="false">A1366+$F$3</f>
        <v>27220</v>
      </c>
      <c r="B1367" s="71" t="n">
        <f aca="false">SUMPRODUCT(固有振動数!$Q$6:$Q$22*(1-($A1367/固有振動数!$O$6:$O$22)^2)/((1-($A1367/固有振動数!$O$6:$O$22)^2)^2+固有振動数!$P$6:$P$22^2))</f>
        <v>-7.61765060015205</v>
      </c>
      <c r="C1367" s="71" t="n">
        <f aca="false">-SUMPRODUCT(固有振動数!$Q$6:$Q$22*固有振動数!$P$6:$P$22/((1-($A1367/固有振動数!$O$6:$O$22)^2)^2+固有振動数!$P$6:$P$22^2))</f>
        <v>-2.3537447596756</v>
      </c>
      <c r="D1367" s="71" t="n">
        <f aca="false">SQRT(B1367^2+C1367^2)</f>
        <v>7.97299912578054</v>
      </c>
      <c r="E1367" s="72" t="n">
        <f aca="false">20*LOG10(MAX(D1367,0.000000000001)/$K$3)</f>
        <v>18.0324343294811</v>
      </c>
      <c r="F1367" s="5"/>
      <c r="G1367" s="5"/>
      <c r="H1367" s="5"/>
      <c r="I1367" s="5"/>
      <c r="J1367" s="5"/>
      <c r="K1367" s="5"/>
      <c r="L1367" s="5"/>
      <c r="M1367" s="5"/>
      <c r="N1367" s="5"/>
    </row>
    <row r="1368" customFormat="false" ht="15" hidden="false" customHeight="false" outlineLevel="0" collapsed="false">
      <c r="A1368" s="71" t="n">
        <f aca="false">A1367+$F$3</f>
        <v>27240</v>
      </c>
      <c r="B1368" s="71" t="n">
        <f aca="false">SUMPRODUCT(固有振動数!$Q$6:$Q$22*(1-($A1368/固有振動数!$O$6:$O$22)^2)/((1-($A1368/固有振動数!$O$6:$O$22)^2)^2+固有振動数!$P$6:$P$22^2))</f>
        <v>-7.27923118160255</v>
      </c>
      <c r="C1368" s="71" t="n">
        <f aca="false">-SUMPRODUCT(固有振動数!$Q$6:$Q$22*固有振動数!$P$6:$P$22/((1-($A1368/固有振動数!$O$6:$O$22)^2)^2+固有振動数!$P$6:$P$22^2))</f>
        <v>-2.26962614789581</v>
      </c>
      <c r="D1368" s="71" t="n">
        <f aca="false">SQRT(B1368^2+C1368^2)</f>
        <v>7.62485471641442</v>
      </c>
      <c r="E1368" s="72" t="n">
        <f aca="false">20*LOG10(MAX(D1368,0.000000000001)/$K$3)</f>
        <v>17.6446314614633</v>
      </c>
      <c r="F1368" s="5"/>
      <c r="G1368" s="5"/>
      <c r="H1368" s="5"/>
      <c r="I1368" s="5"/>
      <c r="J1368" s="5"/>
      <c r="K1368" s="5"/>
      <c r="L1368" s="5"/>
      <c r="M1368" s="5"/>
      <c r="N1368" s="5"/>
    </row>
    <row r="1369" customFormat="false" ht="15" hidden="false" customHeight="false" outlineLevel="0" collapsed="false">
      <c r="A1369" s="71" t="n">
        <f aca="false">A1368+$F$3</f>
        <v>27260</v>
      </c>
      <c r="B1369" s="71" t="n">
        <f aca="false">SUMPRODUCT(固有振動数!$Q$6:$Q$22*(1-($A1369/固有振動数!$O$6:$O$22)^2)/((1-($A1369/固有振動数!$O$6:$O$22)^2)^2+固有振動数!$P$6:$P$22^2))</f>
        <v>-6.95253615526914</v>
      </c>
      <c r="C1369" s="71" t="n">
        <f aca="false">-SUMPRODUCT(固有振動数!$Q$6:$Q$22*固有振動数!$P$6:$P$22/((1-($A1369/固有振動数!$O$6:$O$22)^2)^2+固有振動数!$P$6:$P$22^2))</f>
        <v>-2.19075072944281</v>
      </c>
      <c r="D1369" s="71" t="n">
        <f aca="false">SQRT(B1369^2+C1369^2)</f>
        <v>7.28952314962226</v>
      </c>
      <c r="E1369" s="72" t="n">
        <f aca="false">20*LOG10(MAX(D1369,0.000000000001)/$K$3)</f>
        <v>17.2539823900599</v>
      </c>
      <c r="F1369" s="5"/>
      <c r="G1369" s="5"/>
      <c r="H1369" s="5"/>
      <c r="I1369" s="5"/>
      <c r="J1369" s="5"/>
      <c r="K1369" s="5"/>
      <c r="L1369" s="5"/>
      <c r="M1369" s="5"/>
      <c r="N1369" s="5"/>
    </row>
    <row r="1370" customFormat="false" ht="15" hidden="false" customHeight="false" outlineLevel="0" collapsed="false">
      <c r="A1370" s="71" t="n">
        <f aca="false">A1369+$F$3</f>
        <v>27280</v>
      </c>
      <c r="B1370" s="71" t="n">
        <f aca="false">SUMPRODUCT(固有振動数!$Q$6:$Q$22*(1-($A1370/固有振動数!$O$6:$O$22)^2)/((1-($A1370/固有振動数!$O$6:$O$22)^2)^2+固有振動数!$P$6:$P$22^2))</f>
        <v>-6.63688956649431</v>
      </c>
      <c r="C1370" s="71" t="n">
        <f aca="false">-SUMPRODUCT(固有振動数!$Q$6:$Q$22*固有振動数!$P$6:$P$22/((1-($A1370/固有振動数!$O$6:$O$22)^2)^2+固有振動数!$P$6:$P$22^2))</f>
        <v>-2.11670363637939</v>
      </c>
      <c r="D1370" s="71" t="n">
        <f aca="false">SQRT(B1370^2+C1370^2)</f>
        <v>6.9662570582848</v>
      </c>
      <c r="E1370" s="72" t="n">
        <f aca="false">20*LOG10(MAX(D1370,0.000000000001)/$K$3)</f>
        <v>16.8599899219242</v>
      </c>
      <c r="F1370" s="5"/>
      <c r="G1370" s="5"/>
      <c r="H1370" s="5"/>
      <c r="I1370" s="5"/>
      <c r="J1370" s="5"/>
      <c r="K1370" s="5"/>
      <c r="L1370" s="5"/>
      <c r="M1370" s="5"/>
      <c r="N1370" s="5"/>
    </row>
    <row r="1371" customFormat="false" ht="15" hidden="false" customHeight="false" outlineLevel="0" collapsed="false">
      <c r="A1371" s="71" t="n">
        <f aca="false">A1370+$F$3</f>
        <v>27300</v>
      </c>
      <c r="B1371" s="71" t="n">
        <f aca="false">SUMPRODUCT(固有振動数!$Q$6:$Q$22*(1-($A1371/固有振動数!$O$6:$O$22)^2)/((1-($A1371/固有振動数!$O$6:$O$22)^2)^2+固有振動数!$P$6:$P$22^2))</f>
        <v>-6.33166455675045</v>
      </c>
      <c r="C1371" s="71" t="n">
        <f aca="false">-SUMPRODUCT(固有振動数!$Q$6:$Q$22*固有振動数!$P$6:$P$22/((1-($A1371/固有振動数!$O$6:$O$22)^2)^2+固有振動数!$P$6:$P$22^2))</f>
        <v>-2.0471101973804</v>
      </c>
      <c r="D1371" s="71" t="n">
        <f aca="false">SQRT(B1371^2+C1371^2)</f>
        <v>6.65436970865226</v>
      </c>
      <c r="E1371" s="72" t="n">
        <f aca="false">20*LOG10(MAX(D1371,0.000000000001)/$K$3)</f>
        <v>16.4621385214802</v>
      </c>
      <c r="F1371" s="5"/>
      <c r="G1371" s="5"/>
      <c r="H1371" s="5"/>
      <c r="I1371" s="5"/>
      <c r="J1371" s="5"/>
      <c r="K1371" s="5"/>
      <c r="L1371" s="5"/>
      <c r="M1371" s="5"/>
      <c r="N1371" s="5"/>
    </row>
    <row r="1372" customFormat="false" ht="15" hidden="false" customHeight="false" outlineLevel="0" collapsed="false">
      <c r="A1372" s="71" t="n">
        <f aca="false">A1371+$F$3</f>
        <v>27320</v>
      </c>
      <c r="B1372" s="71" t="n">
        <f aca="false">SUMPRODUCT(固有振動数!$Q$6:$Q$22*(1-($A1372/固有振動数!$O$6:$O$22)^2)/((1-($A1372/固有振動数!$O$6:$O$22)^2)^2+固有振動数!$P$6:$P$22^2))</f>
        <v>-6.03627908054883</v>
      </c>
      <c r="C1372" s="71" t="n">
        <f aca="false">-SUMPRODUCT(固有振動数!$Q$6:$Q$22*固有振動数!$P$6:$P$22/((1-($A1372/固有振動数!$O$6:$O$22)^2)^2+固有振動数!$P$6:$P$22^2))</f>
        <v>-1.9816313869275</v>
      </c>
      <c r="D1372" s="71" t="n">
        <f aca="false">SQRT(B1372^2+C1372^2)</f>
        <v>6.35322973706505</v>
      </c>
      <c r="E1372" s="72" t="n">
        <f aca="false">20*LOG10(MAX(D1372,0.000000000001)/$K$3)</f>
        <v>16.0598912000019</v>
      </c>
      <c r="F1372" s="5"/>
      <c r="G1372" s="5"/>
      <c r="H1372" s="5"/>
      <c r="I1372" s="5"/>
      <c r="J1372" s="5"/>
      <c r="K1372" s="5"/>
      <c r="L1372" s="5"/>
      <c r="M1372" s="5"/>
      <c r="N1372" s="5"/>
    </row>
    <row r="1373" customFormat="false" ht="15" hidden="false" customHeight="false" outlineLevel="0" collapsed="false">
      <c r="A1373" s="71" t="n">
        <f aca="false">A1372+$F$3</f>
        <v>27340</v>
      </c>
      <c r="B1373" s="71" t="n">
        <f aca="false">SUMPRODUCT(固有振動数!$Q$6:$Q$22*(1-($A1373/固有振動数!$O$6:$O$22)^2)/((1-($A1373/固有振動数!$O$6:$O$22)^2)^2+固有振動数!$P$6:$P$22^2))</f>
        <v>-5.75019204758038</v>
      </c>
      <c r="C1373" s="71" t="n">
        <f aca="false">-SUMPRODUCT(固有振動数!$Q$6:$Q$22*固有振動数!$P$6:$P$22/((1-($A1373/固有振動数!$O$6:$O$22)^2)^2+固有振動数!$P$6:$P$22^2))</f>
        <v>-1.919959860854</v>
      </c>
      <c r="D1373" s="71" t="n">
        <f aca="false">SQRT(B1373^2+C1373^2)</f>
        <v>6.06225654780026</v>
      </c>
      <c r="E1373" s="72" t="n">
        <f aca="false">20*LOG10(MAX(D1373,0.000000000001)/$K$3)</f>
        <v>15.6526862253778</v>
      </c>
      <c r="F1373" s="5"/>
      <c r="G1373" s="5"/>
      <c r="H1373" s="5"/>
      <c r="I1373" s="5"/>
      <c r="J1373" s="5"/>
      <c r="K1373" s="5"/>
      <c r="L1373" s="5"/>
      <c r="M1373" s="5"/>
      <c r="N1373" s="5"/>
    </row>
    <row r="1374" customFormat="false" ht="15" hidden="false" customHeight="false" outlineLevel="0" collapsed="false">
      <c r="A1374" s="71" t="n">
        <f aca="false">A1373+$F$3</f>
        <v>27360</v>
      </c>
      <c r="B1374" s="71" t="n">
        <f aca="false">SUMPRODUCT(固有振動数!$Q$6:$Q$22*(1-($A1374/固有振動数!$O$6:$O$22)^2)/((1-($A1374/固有振動数!$O$6:$O$22)^2)^2+固有振動数!$P$6:$P$22^2))</f>
        <v>-5.4728998438027</v>
      </c>
      <c r="C1374" s="71" t="n">
        <f aca="false">-SUMPRODUCT(固有振動数!$Q$6:$Q$22*固有振動数!$P$6:$P$22/((1-($A1374/固有振動数!$O$6:$O$22)^2)^2+固有振動数!$P$6:$P$22^2))</f>
        <v>-1.86181649400366</v>
      </c>
      <c r="D1374" s="71" t="n">
        <f aca="false">SQRT(B1374^2+C1374^2)</f>
        <v>5.78091630778718</v>
      </c>
      <c r="E1374" s="72" t="n">
        <f aca="false">20*LOG10(MAX(D1374,0.000000000001)/$K$3)</f>
        <v>15.2399336399524</v>
      </c>
      <c r="F1374" s="5"/>
      <c r="G1374" s="5"/>
      <c r="H1374" s="5"/>
      <c r="I1374" s="5"/>
      <c r="J1374" s="5"/>
      <c r="K1374" s="5"/>
      <c r="L1374" s="5"/>
      <c r="M1374" s="5"/>
      <c r="N1374" s="5"/>
    </row>
    <row r="1375" customFormat="false" ht="15" hidden="false" customHeight="false" outlineLevel="0" collapsed="false">
      <c r="A1375" s="71" t="n">
        <f aca="false">A1374+$F$3</f>
        <v>27380</v>
      </c>
      <c r="B1375" s="71" t="n">
        <f aca="false">SUMPRODUCT(固有振動数!$Q$6:$Q$22*(1-($A1375/固有振動数!$O$6:$O$22)^2)/((1-($A1375/固有振動数!$O$6:$O$22)^2)^2+固有振動数!$P$6:$P$22^2))</f>
        <v>-5.20393319048992</v>
      </c>
      <c r="C1375" s="71" t="n">
        <f aca="false">-SUMPRODUCT(固有振動数!$Q$6:$Q$22*固有振動数!$P$6:$P$22/((1-($A1375/固有振動数!$O$6:$O$22)^2)^2+固有振動数!$P$6:$P$22^2))</f>
        <v>-1.8069473490554</v>
      </c>
      <c r="D1375" s="71" t="n">
        <f aca="false">SQRT(B1375^2+C1375^2)</f>
        <v>5.50871848739259</v>
      </c>
      <c r="E1375" s="72" t="n">
        <f aca="false">20*LOG10(MAX(D1375,0.000000000001)/$K$3)</f>
        <v>14.8210115828963</v>
      </c>
      <c r="F1375" s="5"/>
      <c r="G1375" s="5"/>
      <c r="H1375" s="5"/>
      <c r="I1375" s="5"/>
      <c r="J1375" s="5"/>
      <c r="K1375" s="5"/>
      <c r="L1375" s="5"/>
      <c r="M1375" s="5"/>
      <c r="N1375" s="5"/>
    </row>
    <row r="1376" customFormat="false" ht="15" hidden="false" customHeight="false" outlineLevel="0" collapsed="false">
      <c r="A1376" s="71" t="n">
        <f aca="false">A1375+$F$3</f>
        <v>27400</v>
      </c>
      <c r="B1376" s="71" t="n">
        <f aca="false">SUMPRODUCT(固有振動数!$Q$6:$Q$22*(1-($A1376/固有振動数!$O$6:$O$22)^2)/((1-($A1376/固有振動数!$O$6:$O$22)^2)^2+固有振動数!$P$6:$P$22^2))</f>
        <v>-4.94285430496465</v>
      </c>
      <c r="C1376" s="71" t="n">
        <f aca="false">-SUMPRODUCT(固有振動数!$Q$6:$Q$22*固有振動数!$P$6:$P$22/((1-($A1376/固有振動数!$O$6:$O$22)^2)^2+固有振動数!$P$6:$P$22^2))</f>
        <v>-1.7551210165805</v>
      </c>
      <c r="D1376" s="71" t="n">
        <f aca="false">SQRT(B1376^2+C1376^2)</f>
        <v>5.24521290921066</v>
      </c>
      <c r="E1376" s="72" t="n">
        <f aca="false">20*LOG10(MAX(D1376,0.000000000001)/$K$3)</f>
        <v>14.3952624279745</v>
      </c>
      <c r="F1376" s="5"/>
      <c r="G1376" s="5"/>
      <c r="H1376" s="5"/>
      <c r="I1376" s="5"/>
      <c r="J1376" s="5"/>
      <c r="K1376" s="5"/>
      <c r="L1376" s="5"/>
      <c r="M1376" s="5"/>
      <c r="N1376" s="5"/>
    </row>
    <row r="1377" customFormat="false" ht="15" hidden="false" customHeight="false" outlineLevel="0" collapsed="false">
      <c r="A1377" s="71" t="n">
        <f aca="false">A1376+$F$3</f>
        <v>27420</v>
      </c>
      <c r="B1377" s="71" t="n">
        <f aca="false">SUMPRODUCT(固有振動数!$Q$6:$Q$22*(1-($A1377/固有振動数!$O$6:$O$22)^2)/((1-($A1377/固有振動数!$O$6:$O$22)^2)^2+固有振動数!$P$6:$P$22^2))</f>
        <v>-4.68925433088431</v>
      </c>
      <c r="C1377" s="71" t="n">
        <f aca="false">-SUMPRODUCT(固有振動数!$Q$6:$Q$22*固有振動数!$P$6:$P$22/((1-($A1377/固有振動数!$O$6:$O$22)^2)^2+固有振動数!$P$6:$P$22^2))</f>
        <v>-1.70612627555651</v>
      </c>
      <c r="D1377" s="71" t="n">
        <f aca="false">SQRT(B1377^2+C1377^2)</f>
        <v>4.98998727932863</v>
      </c>
      <c r="E1377" s="72" t="n">
        <f aca="false">20*LOG10(MAX(D1377,0.000000000001)/$K$3)</f>
        <v>13.9619887700853</v>
      </c>
      <c r="F1377" s="5"/>
      <c r="G1377" s="5"/>
      <c r="H1377" s="5"/>
      <c r="I1377" s="5"/>
      <c r="J1377" s="5"/>
      <c r="K1377" s="5"/>
      <c r="L1377" s="5"/>
      <c r="M1377" s="5"/>
      <c r="N1377" s="5"/>
    </row>
    <row r="1378" customFormat="false" ht="15" hidden="false" customHeight="false" outlineLevel="0" collapsed="false">
      <c r="A1378" s="71" t="n">
        <f aca="false">A1377+$F$3</f>
        <v>27440</v>
      </c>
      <c r="B1378" s="71" t="n">
        <f aca="false">SUMPRODUCT(固有振動数!$Q$6:$Q$22*(1-($A1378/固有振動数!$O$6:$O$22)^2)/((1-($A1378/固有振動数!$O$6:$O$22)^2)^2+固有振動数!$P$6:$P$22^2))</f>
        <v>-4.44275100962642</v>
      </c>
      <c r="C1378" s="71" t="n">
        <f aca="false">-SUMPRODUCT(固有振動数!$Q$6:$Q$22*固有振動数!$P$6:$P$22/((1-($A1378/固有振動数!$O$6:$O$22)^2)^2+固有振動数!$P$6:$P$22^2))</f>
        <v>-1.6597700312013</v>
      </c>
      <c r="D1378" s="71" t="n">
        <f aca="false">SQRT(B1378^2+C1378^2)</f>
        <v>4.742665188479</v>
      </c>
      <c r="E1378" s="72" t="n">
        <f aca="false">20*LOG10(MAX(D1378,0.000000000001)/$K$3)</f>
        <v>13.5204493286753</v>
      </c>
      <c r="F1378" s="5"/>
      <c r="G1378" s="5"/>
      <c r="H1378" s="5"/>
      <c r="I1378" s="5"/>
      <c r="J1378" s="5"/>
      <c r="K1378" s="5"/>
      <c r="L1378" s="5"/>
      <c r="M1378" s="5"/>
      <c r="N1378" s="5"/>
    </row>
    <row r="1379" customFormat="false" ht="15" hidden="false" customHeight="false" outlineLevel="0" collapsed="false">
      <c r="A1379" s="71" t="n">
        <f aca="false">A1378+$F$3</f>
        <v>27460</v>
      </c>
      <c r="B1379" s="71" t="n">
        <f aca="false">SUMPRODUCT(固有振動数!$Q$6:$Q$22*(1-($A1379/固有振動数!$O$6:$O$22)^2)/((1-($A1379/固有振動数!$O$6:$O$22)^2)^2+固有振動数!$P$6:$P$22^2))</f>
        <v>-4.20298656755246</v>
      </c>
      <c r="C1379" s="71" t="n">
        <f aca="false">-SUMPRODUCT(固有振動数!$Q$6:$Q$22*固有振動数!$P$6:$P$22/((1-($A1379/固有振動数!$O$6:$O$22)^2)^2+固有振動数!$P$6:$P$22^2))</f>
        <v>-1.61587549337973</v>
      </c>
      <c r="D1379" s="71" t="n">
        <f aca="false">SQRT(B1379^2+C1379^2)</f>
        <v>4.50290458450227</v>
      </c>
      <c r="E1379" s="72" t="n">
        <f aca="false">20*LOG10(MAX(D1379,0.000000000001)/$K$3)</f>
        <v>13.0698548892334</v>
      </c>
      <c r="F1379" s="5"/>
      <c r="G1379" s="5"/>
      <c r="H1379" s="5"/>
      <c r="I1379" s="5"/>
      <c r="J1379" s="5"/>
      <c r="K1379" s="5"/>
      <c r="L1379" s="5"/>
      <c r="M1379" s="5"/>
      <c r="N1379" s="5"/>
    </row>
    <row r="1380" customFormat="false" ht="15" hidden="false" customHeight="false" outlineLevel="0" collapsed="false">
      <c r="A1380" s="71" t="n">
        <f aca="false">A1379+$F$3</f>
        <v>27480</v>
      </c>
      <c r="B1380" s="71" t="n">
        <f aca="false">SUMPRODUCT(固有振動数!$Q$6:$Q$22*(1-($A1380/固有振動数!$O$6:$O$22)^2)/((1-($A1380/固有振動数!$O$6:$O$22)^2)^2+固有振動数!$P$6:$P$22^2))</f>
        <v>-3.96962579678556</v>
      </c>
      <c r="C1380" s="71" t="n">
        <f aca="false">-SUMPRODUCT(固有振動数!$Q$6:$Q$22*固有振動数!$P$6:$P$22/((1-($A1380/固有振動数!$O$6:$O$22)^2)^2+固有振動数!$P$6:$P$22^2))</f>
        <v>-1.57428056419724</v>
      </c>
      <c r="D1380" s="71" t="n">
        <f aca="false">SQRT(B1380^2+C1380^2)</f>
        <v>4.27039673347976</v>
      </c>
      <c r="E1380" s="72" t="n">
        <f aca="false">20*LOG10(MAX(D1380,0.000000000001)/$K$3)</f>
        <v>12.6093644848435</v>
      </c>
      <c r="F1380" s="5"/>
      <c r="G1380" s="5"/>
      <c r="H1380" s="5"/>
      <c r="I1380" s="5"/>
      <c r="J1380" s="5"/>
      <c r="K1380" s="5"/>
      <c r="L1380" s="5"/>
      <c r="M1380" s="5"/>
      <c r="N1380" s="5"/>
    </row>
    <row r="1381" customFormat="false" ht="15" hidden="false" customHeight="false" outlineLevel="0" collapsed="false">
      <c r="A1381" s="71" t="n">
        <f aca="false">A1380+$F$3</f>
        <v>27500</v>
      </c>
      <c r="B1381" s="71" t="n">
        <f aca="false">SUMPRODUCT(固有振動数!$Q$6:$Q$22*(1-($A1381/固有振動数!$O$6:$O$22)^2)/((1-($A1381/固有振動数!$O$6:$O$22)^2)^2+固有振動数!$P$6:$P$22^2))</f>
        <v>-3.7423543096502</v>
      </c>
      <c r="C1381" s="71" t="n">
        <f aca="false">-SUMPRODUCT(固有振動数!$Q$6:$Q$22*固有振動数!$P$6:$P$22/((1-($A1381/固有振動数!$O$6:$O$22)^2)^2+固有振動数!$P$6:$P$22^2))</f>
        <v>-1.5348364079042</v>
      </c>
      <c r="D1381" s="71" t="n">
        <f aca="false">SQRT(B1381^2+C1381^2)</f>
        <v>4.04486570580355</v>
      </c>
      <c r="E1381" s="72" t="n">
        <f aca="false">20*LOG10(MAX(D1381,0.000000000001)/$K$3)</f>
        <v>12.1380821422209</v>
      </c>
      <c r="F1381" s="5"/>
      <c r="G1381" s="5"/>
      <c r="H1381" s="5"/>
      <c r="I1381" s="5"/>
      <c r="J1381" s="5"/>
      <c r="K1381" s="5"/>
      <c r="L1381" s="5"/>
      <c r="M1381" s="5"/>
      <c r="N1381" s="5"/>
    </row>
    <row r="1382" customFormat="false" ht="15" hidden="false" customHeight="false" outlineLevel="0" collapsed="false">
      <c r="A1382" s="71" t="n">
        <f aca="false">A1381+$F$3</f>
        <v>27520</v>
      </c>
      <c r="B1382" s="71" t="n">
        <f aca="false">SUMPRODUCT(固有振動数!$Q$6:$Q$22*(1-($A1382/固有振動数!$O$6:$O$22)^2)/((1-($A1382/固有振動数!$O$6:$O$22)^2)^2+固有振動数!$P$6:$P$22^2))</f>
        <v>-3.52087694914073</v>
      </c>
      <c r="C1382" s="71" t="n">
        <f aca="false">-SUMPRODUCT(固有振動数!$Q$6:$Q$22*固有振動数!$P$6:$P$22/((1-($A1382/固有振動数!$O$6:$O$22)^2)^2+固有振動数!$P$6:$P$22^2))</f>
        <v>-1.49740618004025</v>
      </c>
      <c r="D1382" s="71" t="n">
        <f aca="false">SQRT(B1382^2+C1382^2)</f>
        <v>3.82606844672352</v>
      </c>
      <c r="E1382" s="72" t="n">
        <f aca="false">20*LOG10(MAX(D1382,0.000000000001)/$K$3)</f>
        <v>11.6550547020557</v>
      </c>
      <c r="F1382" s="5"/>
      <c r="G1382" s="5"/>
      <c r="H1382" s="5"/>
      <c r="I1382" s="5"/>
      <c r="J1382" s="5"/>
      <c r="K1382" s="5"/>
      <c r="L1382" s="5"/>
      <c r="M1382" s="5"/>
      <c r="N1382" s="5"/>
    </row>
    <row r="1383" customFormat="false" ht="15" hidden="false" customHeight="false" outlineLevel="0" collapsed="false">
      <c r="A1383" s="71" t="n">
        <f aca="false">A1382+$F$3</f>
        <v>27540</v>
      </c>
      <c r="B1383" s="71" t="n">
        <f aca="false">SUMPRODUCT(固有振動数!$Q$6:$Q$22*(1-($A1383/固有振動数!$O$6:$O$22)^2)/((1-($A1383/固有振動数!$O$6:$O$22)^2)^2+固有振動数!$P$6:$P$22^2))</f>
        <v>-3.3049163397391</v>
      </c>
      <c r="C1383" s="71" t="n">
        <f aca="false">-SUMPRODUCT(固有振動数!$Q$6:$Q$22*固有振動数!$P$6:$P$22/((1-($A1383/固有振動数!$O$6:$O$22)^2)^2+固有振動数!$P$6:$P$22^2))</f>
        <v>-1.46186389596643</v>
      </c>
      <c r="D1383" s="71" t="n">
        <f aca="false">SQRT(B1383^2+C1383^2)</f>
        <v>3.61379552036424</v>
      </c>
      <c r="E1383" s="72" t="n">
        <f aca="false">20*LOG10(MAX(D1383,0.000000000001)/$K$3)</f>
        <v>11.1592715041229</v>
      </c>
      <c r="F1383" s="5"/>
      <c r="G1383" s="5"/>
      <c r="H1383" s="5"/>
      <c r="I1383" s="5"/>
      <c r="J1383" s="5"/>
      <c r="K1383" s="5"/>
      <c r="L1383" s="5"/>
      <c r="M1383" s="5"/>
      <c r="N1383" s="5"/>
    </row>
    <row r="1384" customFormat="false" ht="15" hidden="false" customHeight="false" outlineLevel="0" collapsed="false">
      <c r="A1384" s="71" t="n">
        <f aca="false">A1383+$F$3</f>
        <v>27560</v>
      </c>
      <c r="B1384" s="71" t="n">
        <f aca="false">SUMPRODUCT(固有振動数!$Q$6:$Q$22*(1-($A1384/固有振動数!$O$6:$O$22)^2)/((1-($A1384/固有振動数!$O$6:$O$22)^2)^2+固有振動数!$P$6:$P$22^2))</f>
        <v>-3.09421156462628</v>
      </c>
      <c r="C1384" s="71" t="n">
        <f aca="false">-SUMPRODUCT(固有振動数!$Q$6:$Q$22*固有振動数!$P$6:$P$22/((1-($A1384/固有振動数!$O$6:$O$22)^2)^2+固有振動数!$P$6:$P$22^2))</f>
        <v>-1.4280934216624</v>
      </c>
      <c r="D1384" s="71" t="n">
        <f aca="false">SQRT(B1384^2+C1384^2)</f>
        <v>3.40787265426137</v>
      </c>
      <c r="E1384" s="72" t="n">
        <f aca="false">20*LOG10(MAX(D1384,0.000000000001)/$K$3)</f>
        <v>10.649667152733</v>
      </c>
      <c r="F1384" s="5"/>
      <c r="G1384" s="5"/>
      <c r="H1384" s="5"/>
      <c r="I1384" s="5"/>
      <c r="J1384" s="5"/>
      <c r="K1384" s="5"/>
      <c r="L1384" s="5"/>
      <c r="M1384" s="5"/>
      <c r="N1384" s="5"/>
    </row>
    <row r="1385" customFormat="false" ht="15" hidden="false" customHeight="false" outlineLevel="0" collapsed="false">
      <c r="A1385" s="71" t="n">
        <f aca="false">A1384+$F$3</f>
        <v>27580</v>
      </c>
      <c r="B1385" s="71" t="n">
        <f aca="false">SUMPRODUCT(固有振動数!$Q$6:$Q$22*(1-($A1385/固有振動数!$O$6:$O$22)^2)/((1-($A1385/固有振動数!$O$6:$O$22)^2)^2+固有振動数!$P$6:$P$22^2))</f>
        <v>-2.88851695685303</v>
      </c>
      <c r="C1385" s="71" t="n">
        <f aca="false">-SUMPRODUCT(固有振動数!$Q$6:$Q$22*固有振動数!$P$6:$P$22/((1-($A1385/固有振動数!$O$6:$O$22)^2)^2+固有振動数!$P$6:$P$22^2))</f>
        <v>-1.3959875719868</v>
      </c>
      <c r="D1385" s="71" t="n">
        <f aca="false">SQRT(B1385^2+C1385^2)</f>
        <v>3.20816326130219</v>
      </c>
      <c r="E1385" s="72" t="n">
        <f aca="false">20*LOG10(MAX(D1385,0.000000000001)/$K$3)</f>
        <v>10.1251292226571</v>
      </c>
      <c r="F1385" s="5"/>
      <c r="G1385" s="5"/>
      <c r="H1385" s="5"/>
      <c r="I1385" s="5"/>
      <c r="J1385" s="5"/>
      <c r="K1385" s="5"/>
      <c r="L1385" s="5"/>
      <c r="M1385" s="5"/>
      <c r="N1385" s="5"/>
    </row>
    <row r="1386" customFormat="false" ht="15" hidden="false" customHeight="false" outlineLevel="0" collapsed="false">
      <c r="A1386" s="71" t="n">
        <f aca="false">A1385+$F$3</f>
        <v>27600</v>
      </c>
      <c r="B1386" s="71" t="n">
        <f aca="false">SUMPRODUCT(固有振動数!$Q$6:$Q$22*(1-($A1386/固有振動数!$O$6:$O$22)^2)/((1-($A1386/固有振動数!$O$6:$O$22)^2)^2+固有振動数!$P$6:$P$22^2))</f>
        <v>-2.68760099337996</v>
      </c>
      <c r="C1386" s="71" t="n">
        <f aca="false">-SUMPRODUCT(固有振動数!$Q$6:$Q$22*固有振動数!$P$6:$P$22/((1-($A1386/固有振動数!$O$6:$O$22)^2)^2+固有振動数!$P$6:$P$22^2))</f>
        <v>-1.36544730357676</v>
      </c>
      <c r="D1386" s="71" t="n">
        <f aca="false">SQRT(B1386^2+C1386^2)</f>
        <v>3.01457218166393</v>
      </c>
      <c r="E1386" s="72" t="n">
        <f aca="false">20*LOG10(MAX(D1386,0.000000000001)/$K$3)</f>
        <v>9.58451374361298</v>
      </c>
      <c r="F1386" s="5"/>
      <c r="G1386" s="5"/>
      <c r="H1386" s="5"/>
      <c r="I1386" s="5"/>
      <c r="J1386" s="5"/>
      <c r="K1386" s="5"/>
      <c r="L1386" s="5"/>
      <c r="M1386" s="5"/>
      <c r="N1386" s="5"/>
    </row>
    <row r="1387" customFormat="false" ht="15" hidden="false" customHeight="false" outlineLevel="0" collapsed="false">
      <c r="A1387" s="71" t="n">
        <f aca="false">A1386+$F$3</f>
        <v>27620</v>
      </c>
      <c r="B1387" s="71" t="n">
        <f aca="false">SUMPRODUCT(固有振動数!$Q$6:$Q$22*(1-($A1387/固有振動数!$O$6:$O$22)^2)/((1-($A1387/固有振動数!$O$6:$O$22)^2)^2+固有振動数!$P$6:$P$22^2))</f>
        <v>-2.49124528208375</v>
      </c>
      <c r="C1387" s="71" t="n">
        <f aca="false">-SUMPRODUCT(固有振動数!$Q$6:$Q$22*固有振動数!$P$6:$P$22/((1-($A1387/固有振動数!$O$6:$O$22)^2)^2+固有振動数!$P$6:$P$22^2))</f>
        <v>-1.3363809912524</v>
      </c>
      <c r="D1387" s="71" t="n">
        <f aca="false">SQRT(B1387^2+C1387^2)</f>
        <v>2.82705097394534</v>
      </c>
      <c r="E1387" s="72" t="n">
        <f aca="false">20*LOG10(MAX(D1387,0.000000000001)/$K$3)</f>
        <v>9.02667278460184</v>
      </c>
      <c r="F1387" s="5"/>
      <c r="G1387" s="5"/>
      <c r="H1387" s="5"/>
      <c r="I1387" s="5"/>
      <c r="J1387" s="5"/>
      <c r="K1387" s="5"/>
      <c r="L1387" s="5"/>
      <c r="M1387" s="5"/>
      <c r="N1387" s="5"/>
    </row>
    <row r="1388" customFormat="false" ht="15" hidden="false" customHeight="false" outlineLevel="0" collapsed="false">
      <c r="A1388" s="71" t="n">
        <f aca="false">A1387+$F$3</f>
        <v>27640</v>
      </c>
      <c r="B1388" s="71" t="n">
        <f aca="false">SUMPRODUCT(固有振動数!$Q$6:$Q$22*(1-($A1388/固有振動数!$O$6:$O$22)^2)/((1-($A1388/固有振動数!$O$6:$O$22)^2)^2+固有振動数!$P$6:$P$22^2))</f>
        <v>-2.29924363287671</v>
      </c>
      <c r="C1388" s="71" t="n">
        <f aca="false">-SUMPRODUCT(固有振動数!$Q$6:$Q$22*固有振動数!$P$6:$P$22/((1-($A1388/固有振動数!$O$6:$O$22)^2)^2+固有振動数!$P$6:$P$22^2))</f>
        <v>-1.30870377823864</v>
      </c>
      <c r="D1388" s="71" t="n">
        <f aca="false">SQRT(B1388^2+C1388^2)</f>
        <v>2.64560519777615</v>
      </c>
      <c r="E1388" s="72" t="n">
        <f aca="false">20*LOG10(MAX(D1388,0.000000000001)/$K$3)</f>
        <v>8.45050070315135</v>
      </c>
      <c r="F1388" s="5"/>
      <c r="G1388" s="5"/>
      <c r="H1388" s="5"/>
      <c r="I1388" s="5"/>
      <c r="J1388" s="5"/>
      <c r="K1388" s="5"/>
      <c r="L1388" s="5"/>
      <c r="M1388" s="5"/>
      <c r="N1388" s="5"/>
    </row>
    <row r="1389" customFormat="false" ht="15" hidden="false" customHeight="false" outlineLevel="0" collapsed="false">
      <c r="A1389" s="71" t="n">
        <f aca="false">A1388+$F$3</f>
        <v>27660</v>
      </c>
      <c r="B1389" s="71" t="n">
        <f aca="false">SUMPRODUCT(固有振動数!$Q$6:$Q$22*(1-($A1389/固有振動数!$O$6:$O$22)^2)/((1-($A1389/固有振動数!$O$6:$O$22)^2)^2+固有振動数!$P$6:$P$22^2))</f>
        <v>-2.11140120501831</v>
      </c>
      <c r="C1389" s="71" t="n">
        <f aca="false">-SUMPRODUCT(固有振動数!$Q$6:$Q$22*固有振動数!$P$6:$P$22/((1-($A1389/固有振動数!$O$6:$O$22)^2)^2+固有振動数!$P$6:$P$22^2))</f>
        <v>-1.2823369917593</v>
      </c>
      <c r="D1389" s="71" t="n">
        <f aca="false">SQRT(B1389^2+C1389^2)</f>
        <v>2.47030427457572</v>
      </c>
      <c r="E1389" s="72" t="n">
        <f aca="false">20*LOG10(MAX(D1389,0.000000000001)/$K$3)</f>
        <v>7.85500899742454</v>
      </c>
      <c r="F1389" s="5"/>
      <c r="G1389" s="5"/>
      <c r="H1389" s="5"/>
      <c r="I1389" s="5"/>
      <c r="J1389" s="5"/>
      <c r="K1389" s="5"/>
      <c r="L1389" s="5"/>
      <c r="M1389" s="5"/>
      <c r="N1389" s="5"/>
    </row>
    <row r="1390" customFormat="false" ht="15" hidden="false" customHeight="false" outlineLevel="0" collapsed="false">
      <c r="A1390" s="71" t="n">
        <f aca="false">A1389+$F$3</f>
        <v>27680</v>
      </c>
      <c r="B1390" s="71" t="n">
        <f aca="false">SUMPRODUCT(固有振動数!$Q$6:$Q$22*(1-($A1390/固有振動数!$O$6:$O$22)^2)/((1-($A1390/固有振動数!$O$6:$O$22)^2)^2+固有振動数!$P$6:$P$22^2))</f>
        <v>-1.92753372351976</v>
      </c>
      <c r="C1390" s="71" t="n">
        <f aca="false">-SUMPRODUCT(固有振動数!$Q$6:$Q$22*固有振動数!$P$6:$P$22/((1-($A1390/固有振動数!$O$6:$O$22)^2)^2+固有振動数!$P$6:$P$22^2))</f>
        <v>-1.25720761662548</v>
      </c>
      <c r="D1390" s="71" t="n">
        <f aca="false">SQRT(B1390^2+C1390^2)</f>
        <v>2.30129468921454</v>
      </c>
      <c r="E1390" s="72" t="n">
        <f aca="false">20*LOG10(MAX(D1390,0.000000000001)/$K$3)</f>
        <v>7.2394447045778</v>
      </c>
      <c r="F1390" s="5"/>
      <c r="G1390" s="5"/>
      <c r="H1390" s="5"/>
      <c r="I1390" s="5"/>
      <c r="J1390" s="5"/>
      <c r="K1390" s="5"/>
      <c r="L1390" s="5"/>
      <c r="M1390" s="5"/>
      <c r="N1390" s="5"/>
    </row>
    <row r="1391" customFormat="false" ht="15" hidden="false" customHeight="false" outlineLevel="0" collapsed="false">
      <c r="A1391" s="71" t="n">
        <f aca="false">A1390+$F$3</f>
        <v>27700</v>
      </c>
      <c r="B1391" s="71" t="n">
        <f aca="false">SUMPRODUCT(固有振動数!$Q$6:$Q$22*(1-($A1391/固有振動数!$O$6:$O$22)^2)/((1-($A1391/固有振動数!$O$6:$O$22)^2)^2+固有振動数!$P$6:$P$22^2))</f>
        <v>-1.74746675827586</v>
      </c>
      <c r="C1391" s="71" t="n">
        <f aca="false">-SUMPRODUCT(固有振動数!$Q$6:$Q$22*固有振動数!$P$6:$P$22/((1-($A1391/固有振動数!$O$6:$O$22)^2)^2+固有振動数!$P$6:$P$22^2))</f>
        <v>-1.23324782036175</v>
      </c>
      <c r="D1391" s="71" t="n">
        <f aca="false">SQRT(B1391^2+C1391^2)</f>
        <v>2.13881749050875</v>
      </c>
      <c r="E1391" s="72" t="n">
        <f aca="false">20*LOG10(MAX(D1391,0.000000000001)/$K$3)</f>
        <v>6.60347453905398</v>
      </c>
      <c r="F1391" s="5"/>
      <c r="G1391" s="5"/>
      <c r="H1391" s="5"/>
      <c r="I1391" s="5"/>
      <c r="J1391" s="5"/>
      <c r="K1391" s="5"/>
      <c r="L1391" s="5"/>
      <c r="M1391" s="5"/>
      <c r="N1391" s="5"/>
    </row>
    <row r="1392" customFormat="false" ht="15" hidden="false" customHeight="false" outlineLevel="0" collapsed="false">
      <c r="A1392" s="71" t="n">
        <f aca="false">A1391+$F$3</f>
        <v>27720</v>
      </c>
      <c r="B1392" s="71" t="n">
        <f aca="false">SUMPRODUCT(固有振動数!$Q$6:$Q$22*(1-($A1392/固有振動数!$O$6:$O$22)^2)/((1-($A1392/固有振動数!$O$6:$O$22)^2)^2+固有振動数!$P$6:$P$22^2))</f>
        <v>-1.5710350602066</v>
      </c>
      <c r="C1392" s="71" t="n">
        <f aca="false">-SUMPRODUCT(固有振動数!$Q$6:$Q$22*固有振動数!$P$6:$P$22/((1-($A1392/固有振動数!$O$6:$O$22)^2)^2+固有振動数!$P$6:$P$22^2))</f>
        <v>-1.21039452420827</v>
      </c>
      <c r="D1392" s="71" t="n">
        <f aca="false">SQRT(B1392^2+C1392^2)</f>
        <v>1.98323121814672</v>
      </c>
      <c r="E1392" s="72" t="n">
        <f aca="false">20*LOG10(MAX(D1392,0.000000000001)/$K$3)</f>
        <v>5.94746700131621</v>
      </c>
      <c r="F1392" s="5"/>
      <c r="G1392" s="5"/>
      <c r="H1392" s="5"/>
      <c r="I1392" s="5"/>
      <c r="J1392" s="5"/>
      <c r="K1392" s="5"/>
      <c r="L1392" s="5"/>
      <c r="M1392" s="5"/>
      <c r="N1392" s="5"/>
    </row>
    <row r="1393" customFormat="false" ht="15" hidden="false" customHeight="false" outlineLevel="0" collapsed="false">
      <c r="A1393" s="71" t="n">
        <f aca="false">A1392+$F$3</f>
        <v>27740</v>
      </c>
      <c r="B1393" s="71" t="n">
        <f aca="false">SUMPRODUCT(固有振動数!$Q$6:$Q$22*(1-($A1393/固有振動数!$O$6:$O$22)^2)/((1-($A1393/固有振動数!$O$6:$O$22)^2)^2+固有振動数!$P$6:$P$22^2))</f>
        <v>-1.39808194926937</v>
      </c>
      <c r="C1393" s="71" t="n">
        <f aca="false">-SUMPRODUCT(固有振動数!$Q$6:$Q$22*固有振動数!$P$6:$P$22/((1-($A1393/固有振動数!$O$6:$O$22)^2)^2+固有振動数!$P$6:$P$22^2))</f>
        <v>-1.18858901502552</v>
      </c>
      <c r="D1393" s="71" t="n">
        <f aca="false">SQRT(B1393^2+C1393^2)</f>
        <v>1.83504141193385</v>
      </c>
      <c r="E1393" s="72" t="n">
        <f aca="false">20*LOG10(MAX(D1393,0.000000000001)/$K$3)</f>
        <v>5.27291739106917</v>
      </c>
      <c r="F1393" s="5"/>
      <c r="G1393" s="5"/>
      <c r="H1393" s="5"/>
      <c r="I1393" s="5"/>
      <c r="J1393" s="5"/>
      <c r="K1393" s="5"/>
      <c r="L1393" s="5"/>
      <c r="M1393" s="5"/>
      <c r="N1393" s="5"/>
    </row>
    <row r="1394" customFormat="false" ht="15" hidden="false" customHeight="false" outlineLevel="0" collapsed="false">
      <c r="A1394" s="71" t="n">
        <f aca="false">A1393+$F$3</f>
        <v>27760</v>
      </c>
      <c r="B1394" s="71" t="n">
        <f aca="false">SUMPRODUCT(固有振動数!$Q$6:$Q$22*(1-($A1394/固有振動数!$O$6:$O$22)^2)/((1-($A1394/固有振動数!$O$6:$O$22)^2)^2+固有振動数!$P$6:$P$22^2))</f>
        <v>-1.22845874971511</v>
      </c>
      <c r="C1394" s="71" t="n">
        <f aca="false">-SUMPRODUCT(固有振動数!$Q$6:$Q$22*固有振動数!$P$6:$P$22/((1-($A1394/固有振動数!$O$6:$O$22)^2)^2+固有振動数!$P$6:$P$22^2))</f>
        <v>-1.16777659372473</v>
      </c>
      <c r="D1394" s="71" t="n">
        <f aca="false">SQRT(B1394^2+C1394^2)</f>
        <v>1.69493748339074</v>
      </c>
      <c r="E1394" s="72" t="n">
        <f aca="false">20*LOG10(MAX(D1394,0.000000000001)/$K$3)</f>
        <v>4.58307368359456</v>
      </c>
      <c r="F1394" s="5"/>
      <c r="G1394" s="5"/>
      <c r="H1394" s="5"/>
      <c r="I1394" s="5"/>
      <c r="J1394" s="5"/>
      <c r="K1394" s="5"/>
      <c r="L1394" s="5"/>
      <c r="M1394" s="5"/>
      <c r="N1394" s="5"/>
    </row>
    <row r="1395" customFormat="false" ht="15" hidden="false" customHeight="false" outlineLevel="0" collapsed="false">
      <c r="A1395" s="71" t="n">
        <f aca="false">A1394+$F$3</f>
        <v>27780</v>
      </c>
      <c r="B1395" s="71" t="n">
        <f aca="false">SUMPRODUCT(固有振動数!$Q$6:$Q$22*(1-($A1395/固有振動数!$O$6:$O$22)^2)/((1-($A1395/固有振動数!$O$6:$O$22)^2)^2+固有振動数!$P$6:$P$22^2))</f>
        <v>-1.06202426842154</v>
      </c>
      <c r="C1395" s="71" t="n">
        <f aca="false">-SUMPRODUCT(固有振動数!$Q$6:$Q$22*固有振動数!$P$6:$P$22/((1-($A1395/固有振動数!$O$6:$O$22)^2)^2+固有振動数!$P$6:$P$22^2))</f>
        <v>-1.14790625636626</v>
      </c>
      <c r="D1395" s="71" t="n">
        <f aca="false">SQRT(B1395^2+C1395^2)</f>
        <v>1.56383641092063</v>
      </c>
      <c r="E1395" s="72" t="n">
        <f aca="false">20*LOG10(MAX(D1395,0.000000000001)/$K$3)</f>
        <v>3.88382641245222</v>
      </c>
      <c r="F1395" s="5"/>
      <c r="G1395" s="5"/>
      <c r="H1395" s="5"/>
      <c r="I1395" s="5"/>
      <c r="J1395" s="5"/>
      <c r="K1395" s="5"/>
      <c r="L1395" s="5"/>
      <c r="M1395" s="5"/>
      <c r="N1395" s="5"/>
    </row>
    <row r="1396" customFormat="false" ht="15" hidden="false" customHeight="false" outlineLevel="0" collapsed="false">
      <c r="A1396" s="71" t="n">
        <f aca="false">A1395+$F$3</f>
        <v>27800</v>
      </c>
      <c r="B1396" s="71" t="n">
        <f aca="false">SUMPRODUCT(固有振動数!$Q$6:$Q$22*(1-($A1396/固有振動数!$O$6:$O$22)^2)/((1-($A1396/固有振動数!$O$6:$O$22)^2)^2+固有振動数!$P$6:$P$22^2))</f>
        <v>-0.898644312543252</v>
      </c>
      <c r="C1396" s="71" t="n">
        <f aca="false">-SUMPRODUCT(固有振動数!$Q$6:$Q$22*固有振動数!$P$6:$P$22/((1-($A1396/固有振動数!$O$6:$O$22)^2)^2+固有振動数!$P$6:$P$22^2))</f>
        <v>-1.1289304045189</v>
      </c>
      <c r="D1396" s="71" t="n">
        <f aca="false">SQRT(B1396^2+C1396^2)</f>
        <v>1.44292947115011</v>
      </c>
      <c r="E1396" s="72" t="n">
        <f aca="false">20*LOG10(MAX(D1396,0.000000000001)/$K$3)</f>
        <v>3.18490207524622</v>
      </c>
      <c r="F1396" s="5"/>
      <c r="G1396" s="5"/>
      <c r="H1396" s="5"/>
      <c r="I1396" s="5"/>
      <c r="J1396" s="5"/>
      <c r="K1396" s="5"/>
      <c r="L1396" s="5"/>
      <c r="M1396" s="5"/>
      <c r="N1396" s="5"/>
    </row>
    <row r="1397" customFormat="false" ht="15" hidden="false" customHeight="false" outlineLevel="0" collapsed="false">
      <c r="A1397" s="71" t="n">
        <f aca="false">A1396+$F$3</f>
        <v>27820</v>
      </c>
      <c r="B1397" s="71" t="n">
        <f aca="false">SUMPRODUCT(固有振動数!$Q$6:$Q$22*(1-($A1397/固有振動数!$O$6:$O$22)^2)/((1-($A1397/固有振動数!$O$6:$O$22)^2)^2+固有振動数!$P$6:$P$22^2))</f>
        <v>-0.73819124308362</v>
      </c>
      <c r="C1397" s="71" t="n">
        <f aca="false">-SUMPRODUCT(固有振動数!$Q$6:$Q$22*固有振動数!$P$6:$P$22/((1-($A1397/固有振動数!$O$6:$O$22)^2)^2+固有振動数!$P$6:$P$22^2))</f>
        <v>-1.11080458186728</v>
      </c>
      <c r="D1397" s="71" t="n">
        <f aca="false">SQRT(B1397^2+C1397^2)</f>
        <v>1.33372153407774</v>
      </c>
      <c r="E1397" s="72" t="n">
        <f aca="false">20*LOG10(MAX(D1397,0.000000000001)/$K$3)</f>
        <v>2.50130326570937</v>
      </c>
      <c r="F1397" s="5"/>
      <c r="G1397" s="5"/>
      <c r="H1397" s="5"/>
      <c r="I1397" s="5"/>
      <c r="J1397" s="5"/>
      <c r="K1397" s="5"/>
      <c r="L1397" s="5"/>
      <c r="M1397" s="5"/>
      <c r="N1397" s="5"/>
    </row>
    <row r="1398" customFormat="false" ht="15" hidden="false" customHeight="false" outlineLevel="0" collapsed="false">
      <c r="A1398" s="71" t="n">
        <f aca="false">A1397+$F$3</f>
        <v>27840</v>
      </c>
      <c r="B1398" s="71" t="n">
        <f aca="false">SUMPRODUCT(固有振動数!$Q$6:$Q$22*(1-($A1398/固有振動数!$O$6:$O$22)^2)/((1-($A1398/固有振動数!$O$6:$O$22)^2)^2+固有振動数!$P$6:$P$22^2))</f>
        <v>-0.580543561319713</v>
      </c>
      <c r="C1398" s="71" t="n">
        <f aca="false">-SUMPRODUCT(固有振動数!$Q$6:$Q$22*固有振動数!$P$6:$P$22/((1-($A1398/固有振動数!$O$6:$O$22)^2)^2+固有振動数!$P$6:$P$22^2))</f>
        <v>-1.09348723439813</v>
      </c>
      <c r="D1398" s="71" t="n">
        <f aca="false">SQRT(B1398^2+C1398^2)</f>
        <v>1.23804085489189</v>
      </c>
      <c r="E1398" s="72" t="n">
        <f aca="false">20*LOG10(MAX(D1398,0.000000000001)/$K$3)</f>
        <v>1.85469952956803</v>
      </c>
      <c r="F1398" s="5"/>
      <c r="G1398" s="5"/>
      <c r="H1398" s="5"/>
      <c r="I1398" s="5"/>
      <c r="J1398" s="5"/>
      <c r="K1398" s="5"/>
      <c r="L1398" s="5"/>
      <c r="M1398" s="5"/>
      <c r="N1398" s="5"/>
    </row>
    <row r="1399" customFormat="false" ht="15" hidden="false" customHeight="false" outlineLevel="0" collapsed="false">
      <c r="A1399" s="71" t="n">
        <f aca="false">A1398+$F$3</f>
        <v>27860</v>
      </c>
      <c r="B1399" s="71" t="n">
        <f aca="false">SUMPRODUCT(固有振動数!$Q$6:$Q$22*(1-($A1399/固有振動数!$O$6:$O$22)^2)/((1-($A1399/固有振動数!$O$6:$O$22)^2)^2+固有振動数!$P$6:$P$22^2))</f>
        <v>-0.42558552530238</v>
      </c>
      <c r="C1399" s="71" t="n">
        <f aca="false">-SUMPRODUCT(固有振動数!$Q$6:$Q$22*固有振動数!$P$6:$P$22/((1-($A1399/固有振動数!$O$6:$O$22)^2)^2+固有振動数!$P$6:$P$22^2))</f>
        <v>-1.07693949179729</v>
      </c>
      <c r="D1399" s="71" t="n">
        <f aca="false">SQRT(B1399^2+C1399^2)</f>
        <v>1.15798173920814</v>
      </c>
      <c r="E1399" s="72" t="n">
        <f aca="false">20*LOG10(MAX(D1399,0.000000000001)/$K$3)</f>
        <v>1.27403421678048</v>
      </c>
      <c r="F1399" s="5"/>
      <c r="G1399" s="5"/>
      <c r="H1399" s="5"/>
      <c r="I1399" s="5"/>
      <c r="J1399" s="5"/>
      <c r="K1399" s="5"/>
      <c r="L1399" s="5"/>
      <c r="M1399" s="5"/>
      <c r="N1399" s="5"/>
    </row>
    <row r="1400" customFormat="false" ht="15" hidden="false" customHeight="false" outlineLevel="0" collapsed="false">
      <c r="A1400" s="71" t="n">
        <f aca="false">A1399+$F$3</f>
        <v>27880</v>
      </c>
      <c r="B1400" s="71" t="n">
        <f aca="false">SUMPRODUCT(固有振動数!$Q$6:$Q$22*(1-($A1400/固有振動数!$O$6:$O$22)^2)/((1-($A1400/固有振動数!$O$6:$O$22)^2)^2+固有振動数!$P$6:$P$22^2))</f>
        <v>-0.273206793915421</v>
      </c>
      <c r="C1400" s="71" t="n">
        <f aca="false">-SUMPRODUCT(固有振動数!$Q$6:$Q$22*固有振動数!$P$6:$P$22/((1-($A1400/固有振動数!$O$6:$O$22)^2)^2+固有振動数!$P$6:$P$22^2))</f>
        <v>-1.0611249679532</v>
      </c>
      <c r="D1400" s="71" t="n">
        <f aca="false">SQRT(B1400^2+C1400^2)</f>
        <v>1.09573178737099</v>
      </c>
      <c r="E1400" s="72" t="n">
        <f aca="false">20*LOG10(MAX(D1400,0.000000000001)/$K$3)</f>
        <v>0.794085215814637</v>
      </c>
      <c r="F1400" s="5"/>
      <c r="G1400" s="5"/>
      <c r="H1400" s="5"/>
      <c r="I1400" s="5"/>
      <c r="J1400" s="5"/>
      <c r="K1400" s="5"/>
      <c r="L1400" s="5"/>
      <c r="M1400" s="5"/>
      <c r="N1400" s="5"/>
    </row>
    <row r="1401" customFormat="false" ht="15" hidden="false" customHeight="false" outlineLevel="0" collapsed="false">
      <c r="A1401" s="71" t="n">
        <f aca="false">A1400+$F$3</f>
        <v>27900</v>
      </c>
      <c r="B1401" s="71" t="n">
        <f aca="false">SUMPRODUCT(固有振動数!$Q$6:$Q$22*(1-($A1401/固有振動数!$O$6:$O$22)^2)/((1-($A1401/固有振動数!$O$6:$O$22)^2)^2+固有振動数!$P$6:$P$22^2))</f>
        <v>-0.123302096211537</v>
      </c>
      <c r="C1401" s="71" t="n">
        <f aca="false">-SUMPRODUCT(固有振動数!$Q$6:$Q$22*固有振動数!$P$6:$P$22/((1-($A1401/固有振動数!$O$6:$O$22)^2)^2+固有振動数!$P$6:$P$22^2))</f>
        <v>-1.04600957869424</v>
      </c>
      <c r="D1401" s="71" t="n">
        <f aca="false">SQRT(B1401^2+C1401^2)</f>
        <v>1.05325184341176</v>
      </c>
      <c r="E1401" s="72" t="n">
        <f aca="false">20*LOG10(MAX(D1401,0.000000000001)/$K$3)</f>
        <v>0.450644558120659</v>
      </c>
      <c r="F1401" s="5"/>
      <c r="G1401" s="5"/>
      <c r="H1401" s="5"/>
      <c r="I1401" s="5"/>
      <c r="J1401" s="5"/>
      <c r="K1401" s="5"/>
      <c r="L1401" s="5"/>
      <c r="M1401" s="5"/>
      <c r="N1401" s="5"/>
    </row>
    <row r="1402" customFormat="false" ht="15" hidden="false" customHeight="false" outlineLevel="0" collapsed="false">
      <c r="A1402" s="71" t="n">
        <f aca="false">A1401+$F$3</f>
        <v>27920</v>
      </c>
      <c r="B1402" s="71" t="n">
        <f aca="false">SUMPRODUCT(固有振動数!$Q$6:$Q$22*(1-($A1402/固有振動数!$O$6:$O$22)^2)/((1-($A1402/固有振動数!$O$6:$O$22)^2)^2+固有振動数!$P$6:$P$22^2))</f>
        <v>0.0242290760464554</v>
      </c>
      <c r="C1402" s="71" t="n">
        <f aca="false">-SUMPRODUCT(固有振動数!$Q$6:$Q$22*固有振動数!$P$6:$P$22/((1-($A1402/固有振動数!$O$6:$O$22)^2)^2+固有振動数!$P$6:$P$22^2))</f>
        <v>-1.03156137509123</v>
      </c>
      <c r="D1402" s="71" t="n">
        <f aca="false">SQRT(B1402^2+C1402^2)</f>
        <v>1.03184587933769</v>
      </c>
      <c r="E1402" s="72" t="n">
        <f aca="false">20*LOG10(MAX(D1402,0.000000000001)/$K$3)</f>
        <v>0.27229668319424</v>
      </c>
      <c r="F1402" s="5"/>
      <c r="G1402" s="5"/>
      <c r="H1402" s="5"/>
      <c r="I1402" s="5"/>
      <c r="J1402" s="5"/>
      <c r="K1402" s="5"/>
      <c r="L1402" s="5"/>
      <c r="M1402" s="5"/>
      <c r="N1402" s="5"/>
    </row>
    <row r="1403" customFormat="false" ht="15" hidden="false" customHeight="false" outlineLevel="0" collapsed="false">
      <c r="A1403" s="71" t="n">
        <f aca="false">A1402+$F$3</f>
        <v>27940</v>
      </c>
      <c r="B1403" s="71" t="n">
        <f aca="false">SUMPRODUCT(固有振動数!$Q$6:$Q$22*(1-($A1403/固有振動数!$O$6:$O$22)^2)/((1-($A1403/固有振動数!$O$6:$O$22)^2)^2+固有振動数!$P$6:$P$22^2))</f>
        <v>0.169482754522541</v>
      </c>
      <c r="C1403" s="71" t="n">
        <f aca="false">-SUMPRODUCT(固有振動数!$Q$6:$Q$22*固有振動数!$P$6:$P$22/((1-($A1403/固有振動数!$O$6:$O$22)^2)^2+固有振動数!$P$6:$P$22^2))</f>
        <v>-1.01775039083557</v>
      </c>
      <c r="D1403" s="71" t="n">
        <f aca="false">SQRT(B1403^2+C1403^2)</f>
        <v>1.03176560425636</v>
      </c>
      <c r="E1403" s="72" t="n">
        <f aca="false">20*LOG10(MAX(D1403,0.000000000001)/$K$3)</f>
        <v>0.271620915974492</v>
      </c>
      <c r="F1403" s="5"/>
      <c r="G1403" s="5"/>
      <c r="H1403" s="5"/>
      <c r="I1403" s="5"/>
      <c r="J1403" s="5"/>
      <c r="K1403" s="5"/>
      <c r="L1403" s="5"/>
      <c r="M1403" s="5"/>
      <c r="N1403" s="5"/>
    </row>
    <row r="1404" customFormat="false" ht="15" hidden="false" customHeight="false" outlineLevel="0" collapsed="false">
      <c r="A1404" s="71" t="n">
        <f aca="false">A1403+$F$3</f>
        <v>27960</v>
      </c>
      <c r="B1404" s="71" t="n">
        <f aca="false">SUMPRODUCT(固有振動数!$Q$6:$Q$22*(1-($A1404/固有振動数!$O$6:$O$22)^2)/((1-($A1404/固有振動数!$O$6:$O$22)^2)^2+固有振動数!$P$6:$P$22^2))</f>
        <v>0.312550760834787</v>
      </c>
      <c r="C1404" s="71" t="n">
        <f aca="false">-SUMPRODUCT(固有振動数!$Q$6:$Q$22*固有振動数!$P$6:$P$22/((1-($A1404/固有振動数!$O$6:$O$22)^2)^2+固有振動数!$P$6:$P$22^2))</f>
        <v>-1.00454850236242</v>
      </c>
      <c r="D1404" s="71" t="n">
        <f aca="false">SQRT(B1404^2+C1404^2)</f>
        <v>1.05204832194011</v>
      </c>
      <c r="E1404" s="72" t="n">
        <f aca="false">20*LOG10(MAX(D1404,0.000000000001)/$K$3)</f>
        <v>0.440713759662</v>
      </c>
      <c r="F1404" s="5"/>
      <c r="G1404" s="5"/>
      <c r="H1404" s="5"/>
      <c r="I1404" s="5"/>
      <c r="J1404" s="5"/>
      <c r="K1404" s="5"/>
      <c r="L1404" s="5"/>
      <c r="M1404" s="5"/>
      <c r="N1404" s="5"/>
    </row>
    <row r="1405" customFormat="false" ht="15" hidden="false" customHeight="false" outlineLevel="0" collapsed="false">
      <c r="A1405" s="71" t="n">
        <f aca="false">A1404+$F$3</f>
        <v>27980</v>
      </c>
      <c r="B1405" s="71" t="n">
        <f aca="false">SUMPRODUCT(固有振動数!$Q$6:$Q$22*(1-($A1405/固有振動数!$O$6:$O$22)^2)/((1-($A1405/固有振動数!$O$6:$O$22)^2)^2+固有振動数!$P$6:$P$22^2))</f>
        <v>0.453520955033413</v>
      </c>
      <c r="C1405" s="71" t="n">
        <f aca="false">-SUMPRODUCT(固有振動数!$Q$6:$Q$22*固有振動数!$P$6:$P$22/((1-($A1405/固有振動数!$O$6:$O$22)^2)^2+固有振動数!$P$6:$P$22^2))</f>
        <v>-0.99192930052777</v>
      </c>
      <c r="D1405" s="71" t="n">
        <f aca="false">SQRT(B1405^2+C1405^2)</f>
        <v>1.09069014568755</v>
      </c>
      <c r="E1405" s="72" t="n">
        <f aca="false">20*LOG10(MAX(D1405,0.000000000001)/$K$3)</f>
        <v>0.754027786633852</v>
      </c>
      <c r="F1405" s="5"/>
      <c r="G1405" s="5"/>
      <c r="H1405" s="5"/>
      <c r="I1405" s="5"/>
      <c r="J1405" s="5"/>
      <c r="K1405" s="5"/>
      <c r="L1405" s="5"/>
      <c r="M1405" s="5"/>
      <c r="N1405" s="5"/>
    </row>
    <row r="1406" customFormat="false" ht="15" hidden="false" customHeight="false" outlineLevel="0" collapsed="false">
      <c r="A1406" s="71" t="n">
        <f aca="false">A1405+$F$3</f>
        <v>28000</v>
      </c>
      <c r="B1406" s="71" t="n">
        <f aca="false">SUMPRODUCT(固有振動数!$Q$6:$Q$22*(1-($A1406/固有振動数!$O$6:$O$22)^2)/((1-($A1406/固有振動数!$O$6:$O$22)^2)^2+固有振動数!$P$6:$P$22^2))</f>
        <v>0.592477467451068</v>
      </c>
      <c r="C1406" s="71" t="n">
        <f aca="false">-SUMPRODUCT(固有振動数!$Q$6:$Q$22*固有振動数!$P$6:$P$22/((1-($A1406/固有振動数!$O$6:$O$22)^2)^2+固有振動数!$P$6:$P$22^2))</f>
        <v>-0.979867972772279</v>
      </c>
      <c r="D1406" s="71" t="n">
        <f aca="false">SQRT(B1406^2+C1406^2)</f>
        <v>1.14506366351487</v>
      </c>
      <c r="E1406" s="72" t="n">
        <f aca="false">20*LOG10(MAX(D1406,0.000000000001)/$K$3)</f>
        <v>1.17659266704793</v>
      </c>
      <c r="F1406" s="5"/>
      <c r="G1406" s="5"/>
      <c r="H1406" s="5"/>
      <c r="I1406" s="5"/>
      <c r="J1406" s="5"/>
      <c r="K1406" s="5"/>
      <c r="L1406" s="5"/>
      <c r="M1406" s="5"/>
      <c r="N1406" s="5"/>
    </row>
    <row r="1407" customFormat="false" ht="15" hidden="false" customHeight="false" outlineLevel="0" collapsed="false">
      <c r="A1407" s="71" t="n">
        <f aca="false">A1406+$F$3</f>
        <v>28020</v>
      </c>
      <c r="B1407" s="71" t="n">
        <f aca="false">SUMPRODUCT(固有振動数!$Q$6:$Q$22*(1-($A1407/固有振動数!$O$6:$O$22)^2)/((1-($A1407/固有振動数!$O$6:$O$22)^2)^2+固有振動数!$P$6:$P$22^2))</f>
        <v>0.729500915223045</v>
      </c>
      <c r="C1407" s="71" t="n">
        <f aca="false">-SUMPRODUCT(固有振動数!$Q$6:$Q$22*固有振動数!$P$6:$P$22/((1-($A1407/固有振動数!$O$6:$O$22)^2)^2+固有振動数!$P$6:$P$22^2))</f>
        <v>-0.968341194814712</v>
      </c>
      <c r="D1407" s="71" t="n">
        <f aca="false">SQRT(B1407^2+C1407^2)</f>
        <v>1.21237628436325</v>
      </c>
      <c r="E1407" s="72" t="n">
        <f aca="false">20*LOG10(MAX(D1407,0.000000000001)/$K$3)</f>
        <v>1.67274864841993</v>
      </c>
      <c r="F1407" s="5"/>
      <c r="G1407" s="5"/>
      <c r="H1407" s="5"/>
      <c r="I1407" s="5"/>
      <c r="J1407" s="5"/>
      <c r="K1407" s="5"/>
      <c r="L1407" s="5"/>
      <c r="M1407" s="5"/>
      <c r="N1407" s="5"/>
    </row>
    <row r="1408" customFormat="false" ht="15" hidden="false" customHeight="false" outlineLevel="0" collapsed="false">
      <c r="A1408" s="71" t="n">
        <f aca="false">A1407+$F$3</f>
        <v>28040</v>
      </c>
      <c r="B1408" s="71" t="n">
        <f aca="false">SUMPRODUCT(固有振動数!$Q$6:$Q$22*(1-($A1408/固有振動数!$O$6:$O$22)^2)/((1-($A1408/固有振動数!$O$6:$O$22)^2)^2+固有振動数!$P$6:$P$22^2))</f>
        <v>0.864668604662041</v>
      </c>
      <c r="C1408" s="71" t="n">
        <f aca="false">-SUMPRODUCT(固有振動数!$Q$6:$Q$22*固有振動数!$P$6:$P$22/((1-($A1408/固有振動数!$O$6:$O$22)^2)^2+固有振動数!$P$6:$P$22^2))</f>
        <v>-0.957327031014854</v>
      </c>
      <c r="D1408" s="71" t="n">
        <f aca="false">SQRT(B1408^2+C1408^2)</f>
        <v>1.29001040313631</v>
      </c>
      <c r="E1408" s="72" t="n">
        <f aca="false">20*LOG10(MAX(D1408,0.000000000001)/$K$3)</f>
        <v>2.21186425259704</v>
      </c>
      <c r="F1408" s="5"/>
      <c r="G1408" s="5"/>
      <c r="H1408" s="5"/>
      <c r="I1408" s="5"/>
      <c r="J1408" s="5"/>
      <c r="K1408" s="5"/>
      <c r="L1408" s="5"/>
      <c r="M1408" s="5"/>
      <c r="N1408" s="5"/>
    </row>
    <row r="1409" customFormat="false" ht="15" hidden="false" customHeight="false" outlineLevel="0" collapsed="false">
      <c r="A1409" s="71" t="n">
        <f aca="false">A1408+$F$3</f>
        <v>28060</v>
      </c>
      <c r="B1409" s="71" t="n">
        <f aca="false">SUMPRODUCT(固有振動数!$Q$6:$Q$22*(1-($A1409/固有振動数!$O$6:$O$22)^2)/((1-($A1409/固有振動数!$O$6:$O$22)^2)^2+固有振動数!$P$6:$P$22^2))</f>
        <v>0.998054720570994</v>
      </c>
      <c r="C1409" s="71" t="n">
        <f aca="false">-SUMPRODUCT(固有振動数!$Q$6:$Q$22*固有振動数!$P$6:$P$22/((1-($A1409/固有振動数!$O$6:$O$22)^2)^2+固有振動数!$P$6:$P$22^2))</f>
        <v>-0.946804842632595</v>
      </c>
      <c r="D1409" s="71" t="n">
        <f aca="false">SQRT(B1409^2+C1409^2)</f>
        <v>1.37570077970705</v>
      </c>
      <c r="E1409" s="72" t="n">
        <f aca="false">20*LOG10(MAX(D1409,0.000000000001)/$K$3)</f>
        <v>2.77047966849328</v>
      </c>
      <c r="F1409" s="5"/>
      <c r="G1409" s="5"/>
      <c r="H1409" s="5"/>
      <c r="I1409" s="5"/>
      <c r="J1409" s="5"/>
      <c r="K1409" s="5"/>
      <c r="L1409" s="5"/>
      <c r="M1409" s="5"/>
      <c r="N1409" s="5"/>
    </row>
    <row r="1410" customFormat="false" ht="15" hidden="false" customHeight="false" outlineLevel="0" collapsed="false">
      <c r="A1410" s="71" t="n">
        <f aca="false">A1409+$F$3</f>
        <v>28080</v>
      </c>
      <c r="B1410" s="71" t="n">
        <f aca="false">SUMPRODUCT(固有振動数!$Q$6:$Q$22*(1-($A1410/固有振動数!$O$6:$O$22)^2)/((1-($A1410/固有振動数!$O$6:$O$22)^2)^2+固有振動数!$P$6:$P$22^2))</f>
        <v>1.12973050348514</v>
      </c>
      <c r="C1410" s="71" t="n">
        <f aca="false">-SUMPRODUCT(固有振動数!$Q$6:$Q$22*固有振動数!$P$6:$P$22/((1-($A1410/固有振動数!$O$6:$O$22)^2)^2+固有振動数!$P$6:$P$22^2))</f>
        <v>-0.936755203286801</v>
      </c>
      <c r="D1410" s="71" t="n">
        <f aca="false">SQRT(B1410^2+C1410^2)</f>
        <v>1.4675834972463</v>
      </c>
      <c r="E1410" s="72" t="n">
        <f aca="false">20*LOG10(MAX(D1410,0.000000000001)/$K$3)</f>
        <v>3.33205639071656</v>
      </c>
      <c r="F1410" s="5"/>
      <c r="G1410" s="5"/>
      <c r="H1410" s="5"/>
      <c r="I1410" s="5"/>
      <c r="J1410" s="5"/>
      <c r="K1410" s="5"/>
      <c r="L1410" s="5"/>
      <c r="M1410" s="5"/>
      <c r="N1410" s="5"/>
    </row>
    <row r="1411" customFormat="false" ht="15" hidden="false" customHeight="false" outlineLevel="0" collapsed="false">
      <c r="A1411" s="71" t="n">
        <f aca="false">A1410+$F$3</f>
        <v>28100</v>
      </c>
      <c r="B1411" s="71" t="n">
        <f aca="false">SUMPRODUCT(固有振動数!$Q$6:$Q$22*(1-($A1411/固有振動数!$O$6:$O$22)^2)/((1-($A1411/固有振動数!$O$6:$O$22)^2)^2+固有振動数!$P$6:$P$22^2))</f>
        <v>1.25976441575119</v>
      </c>
      <c r="C1411" s="71" t="n">
        <f aca="false">-SUMPRODUCT(固有振動数!$Q$6:$Q$22*固有振動数!$P$6:$P$22/((1-($A1411/固有振動数!$O$6:$O$22)^2)^2+固有振動数!$P$6:$P$22^2))</f>
        <v>-0.927159820986276</v>
      </c>
      <c r="D1411" s="71" t="n">
        <f aca="false">SQRT(B1411^2+C1411^2)</f>
        <v>1.56417125559967</v>
      </c>
      <c r="E1411" s="72" t="n">
        <f aca="false">20*LOG10(MAX(D1411,0.000000000001)/$K$3)</f>
        <v>3.88568601399364</v>
      </c>
      <c r="F1411" s="5"/>
      <c r="G1411" s="5"/>
      <c r="H1411" s="5"/>
      <c r="I1411" s="5"/>
      <c r="J1411" s="5"/>
      <c r="K1411" s="5"/>
      <c r="L1411" s="5"/>
      <c r="M1411" s="5"/>
      <c r="N1411" s="5"/>
    </row>
    <row r="1412" customFormat="false" ht="15" hidden="false" customHeight="false" outlineLevel="0" collapsed="false">
      <c r="A1412" s="71" t="n">
        <f aca="false">A1411+$F$3</f>
        <v>28120</v>
      </c>
      <c r="B1412" s="71" t="n">
        <f aca="false">SUMPRODUCT(固有振動数!$Q$6:$Q$22*(1-($A1412/固有振動数!$O$6:$O$22)^2)/((1-($A1412/固有振動数!$O$6:$O$22)^2)^2+固有振動数!$P$6:$P$22^2))</f>
        <v>1.38822229727617</v>
      </c>
      <c r="C1412" s="71" t="n">
        <f aca="false">-SUMPRODUCT(固有振動数!$Q$6:$Q$22*固有振動数!$P$6:$P$22/((1-($A1412/固有振動数!$O$6:$O$22)^2)^2+固有振動数!$P$6:$P$22^2))</f>
        <v>-0.918001466166311</v>
      </c>
      <c r="D1412" s="71" t="n">
        <f aca="false">SQRT(B1412^2+C1412^2)</f>
        <v>1.66429800172272</v>
      </c>
      <c r="E1412" s="72" t="n">
        <f aca="false">20*LOG10(MAX(D1412,0.000000000001)/$K$3)</f>
        <v>4.42462183472336</v>
      </c>
      <c r="F1412" s="5"/>
      <c r="G1412" s="5"/>
      <c r="H1412" s="5"/>
      <c r="I1412" s="5"/>
      <c r="J1412" s="5"/>
      <c r="K1412" s="5"/>
      <c r="L1412" s="5"/>
      <c r="M1412" s="5"/>
      <c r="N1412" s="5"/>
    </row>
    <row r="1413" customFormat="false" ht="15" hidden="false" customHeight="false" outlineLevel="0" collapsed="false">
      <c r="A1413" s="71" t="n">
        <f aca="false">A1412+$F$3</f>
        <v>28140</v>
      </c>
      <c r="B1413" s="71" t="n">
        <f aca="false">SUMPRODUCT(固有振動数!$Q$6:$Q$22*(1-($A1413/固有振動数!$O$6:$O$22)^2)/((1-($A1413/固有振動数!$O$6:$O$22)^2)^2+固有振動数!$P$6:$P$22^2))</f>
        <v>1.51516751170981</v>
      </c>
      <c r="C1413" s="71" t="n">
        <f aca="false">-SUMPRODUCT(固有振動数!$Q$6:$Q$22*固有振動数!$P$6:$P$22/((1-($A1413/固有振動数!$O$6:$O$22)^2)^2+固有振動数!$P$6:$P$22^2))</f>
        <v>-0.909263905219058</v>
      </c>
      <c r="D1413" s="71" t="n">
        <f aca="false">SQRT(B1413^2+C1413^2)</f>
        <v>1.76705784791418</v>
      </c>
      <c r="E1413" s="72" t="n">
        <f aca="false">20*LOG10(MAX(D1413,0.000000000001)/$K$3)</f>
        <v>4.94501534348775</v>
      </c>
      <c r="F1413" s="5"/>
      <c r="G1413" s="5"/>
      <c r="H1413" s="5"/>
      <c r="I1413" s="5"/>
      <c r="J1413" s="5"/>
      <c r="K1413" s="5"/>
      <c r="L1413" s="5"/>
      <c r="M1413" s="5"/>
      <c r="N1413" s="5"/>
    </row>
    <row r="1414" customFormat="false" ht="15" hidden="false" customHeight="false" outlineLevel="0" collapsed="false">
      <c r="A1414" s="71" t="n">
        <f aca="false">A1413+$F$3</f>
        <v>28160</v>
      </c>
      <c r="B1414" s="71" t="n">
        <f aca="false">SUMPRODUCT(固有振動数!$Q$6:$Q$22*(1-($A1414/固有振動数!$O$6:$O$22)^2)/((1-($A1414/固有振動数!$O$6:$O$22)^2)^2+固有振動数!$P$6:$P$22^2))</f>
        <v>1.64066108376171</v>
      </c>
      <c r="C1414" s="71" t="n">
        <f aca="false">-SUMPRODUCT(固有振動数!$Q$6:$Q$22*固有振動数!$P$6:$P$22/((1-($A1414/固有振動数!$O$6:$O$22)^2)^2+固有振動数!$P$6:$P$22^2))</f>
        <v>-0.900931839054935</v>
      </c>
      <c r="D1414" s="71" t="n">
        <f aca="false">SQRT(B1414^2+C1414^2)</f>
        <v>1.87174970826578</v>
      </c>
      <c r="E1414" s="72" t="n">
        <f aca="false">20*LOG10(MAX(D1414,0.000000000001)/$K$3)</f>
        <v>5.44495548220353</v>
      </c>
      <c r="F1414" s="5"/>
      <c r="G1414" s="5"/>
      <c r="H1414" s="5"/>
      <c r="I1414" s="5"/>
      <c r="J1414" s="5"/>
      <c r="K1414" s="5"/>
      <c r="L1414" s="5"/>
      <c r="M1414" s="5"/>
      <c r="N1414" s="5"/>
    </row>
    <row r="1415" customFormat="false" ht="15" hidden="false" customHeight="false" outlineLevel="0" collapsed="false">
      <c r="A1415" s="71" t="n">
        <f aca="false">A1414+$F$3</f>
        <v>28180</v>
      </c>
      <c r="B1415" s="71" t="n">
        <f aca="false">SUMPRODUCT(固有振動数!$Q$6:$Q$22*(1-($A1415/固有振動数!$O$6:$O$22)^2)/((1-($A1415/固有振動数!$O$6:$O$22)^2)^2+固有振動数!$P$6:$P$22^2))</f>
        <v>1.76476182829872</v>
      </c>
      <c r="C1415" s="71" t="n">
        <f aca="false">-SUMPRODUCT(固有振動数!$Q$6:$Q$22*固有振動数!$P$6:$P$22/((1-($A1415/固有振動数!$O$6:$O$22)^2)^2+固有振動数!$P$6:$P$22^2))</f>
        <v>-0.892990846276042</v>
      </c>
      <c r="D1415" s="71" t="n">
        <f aca="false">SQRT(B1415^2+C1415^2)</f>
        <v>1.9778313785945</v>
      </c>
      <c r="E1415" s="72" t="n">
        <f aca="false">20*LOG10(MAX(D1415,0.000000000001)/$K$3)</f>
        <v>5.92378525515703</v>
      </c>
      <c r="F1415" s="5"/>
      <c r="G1415" s="5"/>
      <c r="H1415" s="5"/>
      <c r="I1415" s="5"/>
      <c r="J1415" s="5"/>
      <c r="K1415" s="5"/>
      <c r="L1415" s="5"/>
      <c r="M1415" s="5"/>
      <c r="N1415" s="5"/>
    </row>
    <row r="1416" customFormat="false" ht="15" hidden="false" customHeight="false" outlineLevel="0" collapsed="false">
      <c r="A1416" s="71" t="n">
        <f aca="false">A1415+$F$3</f>
        <v>28200</v>
      </c>
      <c r="B1416" s="71" t="n">
        <f aca="false">SUMPRODUCT(固有振動数!$Q$6:$Q$22*(1-($A1416/固有振動数!$O$6:$O$22)^2)/((1-($A1416/固有振動数!$O$6:$O$22)^2)^2+固有振動数!$P$6:$P$22^2))</f>
        <v>1.88752647181575</v>
      </c>
      <c r="C1416" s="71" t="n">
        <f aca="false">-SUMPRODUCT(固有振動数!$Q$6:$Q$22*固有振動数!$P$6:$P$22/((1-($A1416/固有振動数!$O$6:$O$22)^2)^2+固有振動数!$P$6:$P$22^2))</f>
        <v>-0.885427330581918</v>
      </c>
      <c r="D1416" s="71" t="n">
        <f aca="false">SQRT(B1416^2+C1416^2)</f>
        <v>2.08488314769596</v>
      </c>
      <c r="E1416" s="72" t="n">
        <f aca="false">20*LOG10(MAX(D1416,0.000000000001)/$K$3)</f>
        <v>6.3816343782054</v>
      </c>
      <c r="F1416" s="5"/>
      <c r="G1416" s="5"/>
      <c r="H1416" s="5"/>
      <c r="I1416" s="5"/>
      <c r="J1416" s="5"/>
      <c r="K1416" s="5"/>
      <c r="L1416" s="5"/>
      <c r="M1416" s="5"/>
      <c r="N1416" s="5"/>
    </row>
    <row r="1417" customFormat="false" ht="15" hidden="false" customHeight="false" outlineLevel="0" collapsed="false">
      <c r="A1417" s="71" t="n">
        <f aca="false">A1416+$F$3</f>
        <v>28220</v>
      </c>
      <c r="B1417" s="71" t="n">
        <f aca="false">SUMPRODUCT(固有振動数!$Q$6:$Q$22*(1-($A1417/固有振動数!$O$6:$O$22)^2)/((1-($A1417/固有振動数!$O$6:$O$22)^2)^2+固有振動数!$P$6:$P$22^2))</f>
        <v>2.00900976682664</v>
      </c>
      <c r="C1417" s="71" t="n">
        <f aca="false">-SUMPRODUCT(固有振動数!$Q$6:$Q$22*固有振動数!$P$6:$P$22/((1-($A1417/固有振動数!$O$6:$O$22)^2)^2+固有振動数!$P$6:$P$22^2))</f>
        <v>-0.87822847206325</v>
      </c>
      <c r="D1417" s="71" t="n">
        <f aca="false">SQRT(B1417^2+C1417^2)</f>
        <v>2.19257964333052</v>
      </c>
      <c r="E1417" s="72" t="n">
        <f aca="false">20*LOG10(MAX(D1417,0.000000000001)/$K$3)</f>
        <v>6.81910755301476</v>
      </c>
      <c r="F1417" s="5"/>
      <c r="G1417" s="5"/>
      <c r="H1417" s="5"/>
      <c r="I1417" s="5"/>
      <c r="J1417" s="5"/>
      <c r="K1417" s="5"/>
      <c r="L1417" s="5"/>
      <c r="M1417" s="5"/>
      <c r="N1417" s="5"/>
    </row>
    <row r="1418" customFormat="false" ht="15" hidden="false" customHeight="false" outlineLevel="0" collapsed="false">
      <c r="A1418" s="71" t="n">
        <f aca="false">A1417+$F$3</f>
        <v>28240</v>
      </c>
      <c r="B1418" s="71" t="n">
        <f aca="false">SUMPRODUCT(固有振動数!$Q$6:$Q$22*(1-($A1418/固有振動数!$O$6:$O$22)^2)/((1-($A1418/固有振動数!$O$6:$O$22)^2)^2+固有振動数!$P$6:$P$22^2))</f>
        <v>2.12926459967899</v>
      </c>
      <c r="C1418" s="71" t="n">
        <f aca="false">-SUMPRODUCT(固有振動数!$Q$6:$Q$22*固有振動数!$P$6:$P$22/((1-($A1418/固有振動数!$O$6:$O$22)^2)^2+固有振動数!$P$6:$P$22^2))</f>
        <v>-0.871382182070845</v>
      </c>
      <c r="D1418" s="71" t="n">
        <f aca="false">SQRT(B1418^2+C1418^2)</f>
        <v>2.30066830348851</v>
      </c>
      <c r="E1418" s="72" t="n">
        <f aca="false">20*LOG10(MAX(D1418,0.000000000001)/$K$3)</f>
        <v>7.23708018433744</v>
      </c>
      <c r="F1418" s="5"/>
      <c r="G1418" s="5"/>
      <c r="H1418" s="5"/>
      <c r="I1418" s="5"/>
      <c r="J1418" s="5"/>
      <c r="K1418" s="5"/>
      <c r="L1418" s="5"/>
      <c r="M1418" s="5"/>
      <c r="N1418" s="5"/>
    </row>
    <row r="1419" customFormat="false" ht="15" hidden="false" customHeight="false" outlineLevel="0" collapsed="false">
      <c r="A1419" s="71" t="n">
        <f aca="false">A1418+$F$3</f>
        <v>28260</v>
      </c>
      <c r="B1419" s="71" t="n">
        <f aca="false">SUMPRODUCT(固有振動数!$Q$6:$Q$22*(1-($A1419/固有振動数!$O$6:$O$22)^2)/((1-($A1419/固有振動数!$O$6:$O$22)^2)^2+固有振動数!$P$6:$P$22^2))</f>
        <v>2.24834209225784</v>
      </c>
      <c r="C1419" s="71" t="n">
        <f aca="false">-SUMPRODUCT(固有振動数!$Q$6:$Q$22*固有振動数!$P$6:$P$22/((1-($A1419/固有振動数!$O$6:$O$22)^2)^2+固有振動数!$P$6:$P$22^2))</f>
        <v>-0.864877061375747</v>
      </c>
      <c r="D1419" s="71" t="n">
        <f aca="false">SQRT(B1419^2+C1419^2)</f>
        <v>2.40895298731883</v>
      </c>
      <c r="E1419" s="72" t="n">
        <f aca="false">20*LOG10(MAX(D1419,0.000000000001)/$K$3)</f>
        <v>7.63656648940448</v>
      </c>
      <c r="F1419" s="5"/>
      <c r="G1419" s="5"/>
      <c r="H1419" s="5"/>
      <c r="I1419" s="5"/>
      <c r="J1419" s="5"/>
      <c r="K1419" s="5"/>
      <c r="L1419" s="5"/>
      <c r="M1419" s="5"/>
      <c r="N1419" s="5"/>
    </row>
    <row r="1420" customFormat="false" ht="15" hidden="false" customHeight="false" outlineLevel="0" collapsed="false">
      <c r="A1420" s="71" t="n">
        <f aca="false">A1419+$F$3</f>
        <v>28280</v>
      </c>
      <c r="B1420" s="71" t="n">
        <f aca="false">SUMPRODUCT(固有振動数!$Q$6:$Q$22*(1-($A1420/固有振動数!$O$6:$O$22)^2)/((1-($A1420/固有振動数!$O$6:$O$22)^2)^2+固有振動数!$P$6:$P$22^2))</f>
        <v>2.36629169800755</v>
      </c>
      <c r="C1420" s="71" t="n">
        <f aca="false">-SUMPRODUCT(固有振動数!$Q$6:$Q$22*固有振動数!$P$6:$P$22/((1-($A1420/固有振動数!$O$6:$O$22)^2)^2+固有振動数!$P$6:$P$22^2))</f>
        <v>-0.858702361362067</v>
      </c>
      <c r="D1420" s="71" t="n">
        <f aca="false">SQRT(B1420^2+C1420^2)</f>
        <v>2.51728149905175</v>
      </c>
      <c r="E1420" s="72" t="n">
        <f aca="false">20*LOG10(MAX(D1420,0.000000000001)/$K$3)</f>
        <v>8.01863567885748</v>
      </c>
      <c r="F1420" s="5"/>
      <c r="G1420" s="5"/>
      <c r="H1420" s="5"/>
      <c r="I1420" s="5"/>
      <c r="J1420" s="5"/>
      <c r="K1420" s="5"/>
      <c r="L1420" s="5"/>
      <c r="M1420" s="5"/>
      <c r="N1420" s="5"/>
    </row>
    <row r="1421" customFormat="false" ht="15" hidden="false" customHeight="false" outlineLevel="0" collapsed="false">
      <c r="A1421" s="71" t="n">
        <f aca="false">A1420+$F$3</f>
        <v>28300</v>
      </c>
      <c r="B1421" s="71" t="n">
        <f aca="false">SUMPRODUCT(固有振動数!$Q$6:$Q$22*(1-($A1421/固有振動数!$O$6:$O$22)^2)/((1-($A1421/固有振動数!$O$6:$O$22)^2)^2+固有振動数!$P$6:$P$22^2))</f>
        <v>2.48316129266848</v>
      </c>
      <c r="C1421" s="71" t="n">
        <f aca="false">-SUMPRODUCT(固有振動数!$Q$6:$Q$22*固有振動数!$P$6:$P$22/((1-($A1421/固有振動数!$O$6:$O$22)^2)^2+固有振動数!$P$6:$P$22^2))</f>
        <v>-0.852847948017336</v>
      </c>
      <c r="D1421" s="71" t="n">
        <f aca="false">SQRT(B1421^2+C1421^2)</f>
        <v>2.62553606485312</v>
      </c>
      <c r="E1421" s="72" t="n">
        <f aca="false">20*LOG10(MAX(D1421,0.000000000001)/$K$3)</f>
        <v>8.38435976428117</v>
      </c>
      <c r="F1421" s="5"/>
      <c r="G1421" s="5"/>
      <c r="H1421" s="5"/>
      <c r="I1421" s="5"/>
      <c r="J1421" s="5"/>
      <c r="K1421" s="5"/>
      <c r="L1421" s="5"/>
      <c r="M1421" s="5"/>
      <c r="N1421" s="5"/>
    </row>
    <row r="1422" customFormat="false" ht="15" hidden="false" customHeight="false" outlineLevel="0" collapsed="false">
      <c r="A1422" s="71" t="n">
        <f aca="false">A1421+$F$3</f>
        <v>28320</v>
      </c>
      <c r="B1422" s="71" t="n">
        <f aca="false">SUMPRODUCT(固有振動数!$Q$6:$Q$22*(1-($A1422/固有振動数!$O$6:$O$22)^2)/((1-($A1422/固有振動数!$O$6:$O$22)^2)^2+固有振動数!$P$6:$P$22^2))</f>
        <v>2.59899726009617</v>
      </c>
      <c r="C1422" s="71" t="n">
        <f aca="false">-SUMPRODUCT(固有振動数!$Q$6:$Q$22*固有振動数!$P$6:$P$22/((1-($A1422/固有振動数!$O$6:$O$22)^2)^2+固有振動数!$P$6:$P$22^2))</f>
        <v>-0.847304268506057</v>
      </c>
      <c r="D1422" s="71" t="n">
        <f aca="false">SQRT(B1422^2+C1422^2)</f>
        <v>2.73362603174172</v>
      </c>
      <c r="E1422" s="72" t="n">
        <f aca="false">20*LOG10(MAX(D1422,0.000000000001)/$K$3)</f>
        <v>8.73478203009531</v>
      </c>
      <c r="F1422" s="5"/>
      <c r="G1422" s="5"/>
      <c r="H1422" s="5"/>
      <c r="I1422" s="5"/>
      <c r="J1422" s="5"/>
      <c r="K1422" s="5"/>
      <c r="L1422" s="5"/>
      <c r="M1422" s="5"/>
      <c r="N1422" s="5"/>
    </row>
    <row r="1423" customFormat="false" ht="15" hidden="false" customHeight="false" outlineLevel="0" collapsed="false">
      <c r="A1423" s="71" t="n">
        <f aca="false">A1422+$F$3</f>
        <v>28340</v>
      </c>
      <c r="B1423" s="71" t="n">
        <f aca="false">SUMPRODUCT(固有振動数!$Q$6:$Q$22*(1-($A1423/固有振動数!$O$6:$O$22)^2)/((1-($A1423/固有振動数!$O$6:$O$22)^2)^2+固有振動数!$P$6:$P$22^2))</f>
        <v>2.71384457350228</v>
      </c>
      <c r="C1423" s="71" t="n">
        <f aca="false">-SUMPRODUCT(固有振動数!$Q$6:$Q$22*固有振動数!$P$6:$P$22/((1-($A1423/固有振動数!$O$6:$O$22)^2)^2+固有振動数!$P$6:$P$22^2))</f>
        <v>-0.84206232013117</v>
      </c>
      <c r="D1423" s="71" t="n">
        <f aca="false">SQRT(B1423^2+C1423^2)</f>
        <v>2.84148223997836</v>
      </c>
      <c r="E1423" s="72" t="n">
        <f aca="false">20*LOG10(MAX(D1423,0.000000000001)/$K$3)</f>
        <v>9.07089891865844</v>
      </c>
      <c r="F1423" s="5"/>
      <c r="G1423" s="5"/>
      <c r="H1423" s="5"/>
      <c r="I1423" s="5"/>
      <c r="J1423" s="5"/>
      <c r="K1423" s="5"/>
      <c r="L1423" s="5"/>
      <c r="M1423" s="5"/>
      <c r="N1423" s="5"/>
    </row>
    <row r="1424" customFormat="false" ht="15" hidden="false" customHeight="false" outlineLevel="0" collapsed="false">
      <c r="A1424" s="71" t="n">
        <f aca="false">A1423+$F$3</f>
        <v>28360</v>
      </c>
      <c r="B1424" s="71" t="n">
        <f aca="false">SUMPRODUCT(固有振動数!$Q$6:$Q$22*(1-($A1424/固有振動数!$O$6:$O$22)^2)/((1-($A1424/固有振動数!$O$6:$O$22)^2)^2+固有振動数!$P$6:$P$22^2))</f>
        <v>2.827746872433</v>
      </c>
      <c r="C1424" s="71" t="n">
        <f aca="false">-SUMPRODUCT(固有振動数!$Q$6:$Q$22*固有振動数!$P$6:$P$22/((1-($A1424/固有振動数!$O$6:$O$22)^2)^2+固有振動数!$P$6:$P$22^2))</f>
        <v>-0.837113621505198</v>
      </c>
      <c r="D1424" s="71" t="n">
        <f aca="false">SQRT(B1424^2+C1424^2)</f>
        <v>2.94905265973061</v>
      </c>
      <c r="E1424" s="72" t="n">
        <f aca="false">20*LOG10(MAX(D1424,0.000000000001)/$K$3)</f>
        <v>9.39365055192598</v>
      </c>
      <c r="F1424" s="5"/>
      <c r="G1424" s="5"/>
      <c r="H1424" s="5"/>
      <c r="I1424" s="5"/>
      <c r="J1424" s="5"/>
      <c r="K1424" s="5"/>
      <c r="L1424" s="5"/>
      <c r="M1424" s="5"/>
      <c r="N1424" s="5"/>
    </row>
    <row r="1425" customFormat="false" ht="15" hidden="false" customHeight="false" outlineLevel="0" collapsed="false">
      <c r="A1425" s="71" t="n">
        <f aca="false">A1424+$F$3</f>
        <v>28380</v>
      </c>
      <c r="B1425" s="71" t="n">
        <f aca="false">SUMPRODUCT(固有振動数!$Q$6:$Q$22*(1-($A1425/固有振動数!$O$6:$O$22)^2)/((1-($A1425/固有振動数!$O$6:$O$22)^2)^2+固有振動数!$P$6:$P$22^2))</f>
        <v>2.9407465357771</v>
      </c>
      <c r="C1425" s="71" t="n">
        <f aca="false">-SUMPRODUCT(固有振動数!$Q$6:$Q$22*固有振動数!$P$6:$P$22/((1-($A1425/固有振動数!$O$6:$O$22)^2)^2+固有振動数!$P$6:$P$22^2))</f>
        <v>-0.832450185768396</v>
      </c>
      <c r="D1425" s="71" t="n">
        <f aca="false">SQRT(B1425^2+C1425^2)</f>
        <v>3.0562989872509</v>
      </c>
      <c r="E1425" s="72" t="n">
        <f aca="false">20*LOG10(MAX(D1425,0.000000000001)/$K$3)</f>
        <v>9.70391675044019</v>
      </c>
      <c r="F1425" s="5"/>
      <c r="G1425" s="5"/>
      <c r="H1425" s="5"/>
      <c r="I1425" s="5"/>
      <c r="J1425" s="5"/>
      <c r="K1425" s="5"/>
      <c r="L1425" s="5"/>
      <c r="M1425" s="5"/>
      <c r="N1425" s="5"/>
    </row>
    <row r="1426" customFormat="false" ht="15" hidden="false" customHeight="false" outlineLevel="0" collapsed="false">
      <c r="A1426" s="71" t="n">
        <f aca="false">A1425+$F$3</f>
        <v>28400</v>
      </c>
      <c r="B1426" s="71" t="n">
        <f aca="false">SUMPRODUCT(固有振動数!$Q$6:$Q$22*(1-($A1426/固有振動数!$O$6:$O$22)^2)/((1-($A1426/固有振動数!$O$6:$O$22)^2)^2+固有振動数!$P$6:$P$22^2))</f>
        <v>3.05288475107498</v>
      </c>
      <c r="C1426" s="71" t="n">
        <f aca="false">-SUMPRODUCT(固有振動数!$Q$6:$Q$22*固有振動数!$P$6:$P$22/((1-($A1426/固有振動数!$O$6:$O$22)^2)^2+固有振動数!$P$6:$P$22^2))</f>
        <v>-0.82806449570534</v>
      </c>
      <c r="D1426" s="71" t="n">
        <f aca="false">SQRT(B1426^2+C1426^2)</f>
        <v>3.16319397324822</v>
      </c>
      <c r="E1426" s="72" t="n">
        <f aca="false">20*LOG10(MAX(D1426,0.000000000001)/$K$3)</f>
        <v>10.0025164904065</v>
      </c>
      <c r="F1426" s="5"/>
      <c r="G1426" s="5"/>
      <c r="H1426" s="5"/>
      <c r="I1426" s="5"/>
      <c r="J1426" s="5"/>
      <c r="K1426" s="5"/>
      <c r="L1426" s="5"/>
      <c r="M1426" s="5"/>
      <c r="N1426" s="5"/>
    </row>
    <row r="1427" customFormat="false" ht="15" hidden="false" customHeight="false" outlineLevel="0" collapsed="false">
      <c r="A1427" s="71" t="n">
        <f aca="false">A1426+$F$3</f>
        <v>28420</v>
      </c>
      <c r="B1427" s="71" t="n">
        <f aca="false">SUMPRODUCT(固有振動数!$Q$6:$Q$22*(1-($A1427/固有振動数!$O$6:$O$22)^2)/((1-($A1427/固有振動数!$O$6:$O$22)^2)^2+固有振動数!$P$6:$P$22^2))</f>
        <v>3.16420158038146</v>
      </c>
      <c r="C1427" s="71" t="n">
        <f aca="false">-SUMPRODUCT(固有振動数!$Q$6:$Q$22*固有振動数!$P$6:$P$22/((1-($A1427/固有振動数!$O$6:$O$22)^2)^2+固有振動数!$P$6:$P$22^2))</f>
        <v>-0.823949480624131</v>
      </c>
      <c r="D1427" s="71" t="n">
        <f aca="false">SQRT(B1427^2+C1427^2)</f>
        <v>3.26971931332176</v>
      </c>
      <c r="E1427" s="72" t="n">
        <f aca="false">20*LOG10(MAX(D1427,0.000000000001)/$K$3)</f>
        <v>10.2902094513244</v>
      </c>
      <c r="F1427" s="5"/>
      <c r="G1427" s="5"/>
      <c r="H1427" s="5"/>
      <c r="I1427" s="5"/>
      <c r="J1427" s="5"/>
      <c r="K1427" s="5"/>
      <c r="L1427" s="5"/>
      <c r="M1427" s="5"/>
      <c r="N1427" s="5"/>
    </row>
    <row r="1428" customFormat="false" ht="15" hidden="false" customHeight="false" outlineLevel="0" collapsed="false">
      <c r="A1428" s="71" t="n">
        <f aca="false">A1427+$F$3</f>
        <v>28440</v>
      </c>
      <c r="B1428" s="71" t="n">
        <f aca="false">SUMPRODUCT(固有振動数!$Q$6:$Q$22*(1-($A1428/固有振動数!$O$6:$O$22)^2)/((1-($A1428/固有振動数!$O$6:$O$22)^2)^2+固有振動数!$P$6:$P$22^2))</f>
        <v>3.2747360229169</v>
      </c>
      <c r="C1428" s="71" t="n">
        <f aca="false">-SUMPRODUCT(固有振動数!$Q$6:$Q$22*固有振動数!$P$6:$P$22/((1-($A1428/固有振動数!$O$6:$O$22)^2)^2+固有振動数!$P$6:$P$22^2))</f>
        <v>-0.820098494874066</v>
      </c>
      <c r="D1428" s="71" t="n">
        <f aca="false">SQRT(B1428^2+C1428^2)</f>
        <v>3.37586397253863</v>
      </c>
      <c r="E1428" s="72" t="n">
        <f aca="false">20*LOG10(MAX(D1428,0.000000000001)/$K$3)</f>
        <v>10.5676987758611</v>
      </c>
      <c r="F1428" s="5"/>
      <c r="G1428" s="5"/>
      <c r="H1428" s="5"/>
      <c r="I1428" s="5"/>
      <c r="J1428" s="5"/>
      <c r="K1428" s="5"/>
      <c r="L1428" s="5"/>
      <c r="M1428" s="5"/>
      <c r="N1428" s="5"/>
    </row>
    <row r="1429" customFormat="false" ht="15" hidden="false" customHeight="false" outlineLevel="0" collapsed="false">
      <c r="A1429" s="71" t="n">
        <f aca="false">A1428+$F$3</f>
        <v>28460</v>
      </c>
      <c r="B1429" s="71" t="n">
        <f aca="false">SUMPRODUCT(固有振動数!$Q$6:$Q$22*(1-($A1429/固有振動数!$O$6:$O$22)^2)/((1-($A1429/固有振動数!$O$6:$O$22)^2)^2+固有振動数!$P$6:$P$22^2))</f>
        <v>3.38452607472555</v>
      </c>
      <c r="C1429" s="71" t="n">
        <f aca="false">-SUMPRODUCT(固有振動数!$Q$6:$Q$22*固有振動数!$P$6:$P$22/((1-($A1429/固有振動数!$O$6:$O$22)^2)^2+固有振動数!$P$6:$P$22^2))</f>
        <v>-0.816505297888176</v>
      </c>
      <c r="D1429" s="71" t="n">
        <f aca="false">SQRT(B1429^2+C1429^2)</f>
        <v>3.48162284746303</v>
      </c>
      <c r="E1429" s="72" t="n">
        <f aca="false">20*LOG10(MAX(D1429,0.000000000001)/$K$3)</f>
        <v>10.8356344732654</v>
      </c>
      <c r="F1429" s="5"/>
      <c r="G1429" s="5"/>
      <c r="H1429" s="5"/>
      <c r="I1429" s="5"/>
      <c r="J1429" s="5"/>
      <c r="K1429" s="5"/>
      <c r="L1429" s="5"/>
      <c r="M1429" s="5"/>
      <c r="N1429" s="5"/>
    </row>
    <row r="1430" customFormat="false" ht="15" hidden="false" customHeight="false" outlineLevel="0" collapsed="false">
      <c r="A1430" s="71" t="n">
        <f aca="false">A1429+$F$3</f>
        <v>28480</v>
      </c>
      <c r="B1430" s="71" t="n">
        <f aca="false">SUMPRODUCT(固有振動数!$Q$6:$Q$22*(1-($A1430/固有振動数!$O$6:$O$22)^2)/((1-($A1430/固有振動数!$O$6:$O$22)^2)^2+固有振動数!$P$6:$P$22^2))</f>
        <v>3.493608785545</v>
      </c>
      <c r="C1430" s="71" t="n">
        <f aca="false">-SUMPRODUCT(固有振動数!$Q$6:$Q$22*固有振動数!$P$6:$P$22/((1-($A1430/固有振動数!$O$6:$O$22)^2)^2+固有振動数!$P$6:$P$22^2))</f>
        <v>-0.813164035646734</v>
      </c>
      <c r="D1430" s="71" t="n">
        <f aca="false">SQRT(B1430^2+C1430^2)</f>
        <v>3.58699569212266</v>
      </c>
      <c r="E1430" s="72" t="n">
        <f aca="false">20*LOG10(MAX(D1430,0.000000000001)/$K$3)</f>
        <v>11.0946171020252</v>
      </c>
      <c r="F1430" s="5"/>
      <c r="G1430" s="5"/>
      <c r="H1430" s="5"/>
      <c r="I1430" s="5"/>
      <c r="J1430" s="5"/>
      <c r="K1430" s="5"/>
      <c r="L1430" s="5"/>
      <c r="M1430" s="5"/>
      <c r="N1430" s="5"/>
    </row>
    <row r="1431" customFormat="false" ht="15" hidden="false" customHeight="false" outlineLevel="0" collapsed="false">
      <c r="A1431" s="71" t="n">
        <f aca="false">A1430+$F$3</f>
        <v>28500</v>
      </c>
      <c r="B1431" s="71" t="n">
        <f aca="false">SUMPRODUCT(固有振動数!$Q$6:$Q$22*(1-($A1431/固有振動数!$O$6:$O$22)^2)/((1-($A1431/固有振動数!$O$6:$O$22)^2)^2+固有振動数!$P$6:$P$22^2))</f>
        <v>3.60202031307758</v>
      </c>
      <c r="C1431" s="71" t="n">
        <f aca="false">-SUMPRODUCT(固有振動数!$Q$6:$Q$22*固有振動数!$P$6:$P$22/((1-($A1431/固有振動数!$O$6:$O$22)^2)^2+固有振動数!$P$6:$P$22^2))</f>
        <v>-0.81006922346655</v>
      </c>
      <c r="D1431" s="71" t="n">
        <f aca="false">SQRT(B1431^2+C1431^2)</f>
        <v>3.69198625168502</v>
      </c>
      <c r="E1431" s="72" t="n">
        <f aca="false">20*LOG10(MAX(D1431,0.000000000001)/$K$3)</f>
        <v>11.3452015023947</v>
      </c>
      <c r="F1431" s="5"/>
      <c r="G1431" s="5"/>
      <c r="H1431" s="5"/>
      <c r="I1431" s="5"/>
      <c r="J1431" s="5"/>
      <c r="K1431" s="5"/>
      <c r="L1431" s="5"/>
      <c r="M1431" s="5"/>
      <c r="N1431" s="5"/>
    </row>
    <row r="1432" customFormat="false" ht="15" hidden="false" customHeight="false" outlineLevel="0" collapsed="false">
      <c r="A1432" s="71" t="n">
        <f aca="false">A1431+$F$3</f>
        <v>28520</v>
      </c>
      <c r="B1432" s="71" t="n">
        <f aca="false">SUMPRODUCT(固有振動数!$Q$6:$Q$22*(1-($A1432/固有振動数!$O$6:$O$22)^2)/((1-($A1432/固有振動数!$O$6:$O$22)^2)^2+固有振動数!$P$6:$P$22^2))</f>
        <v>3.70979597484106</v>
      </c>
      <c r="C1432" s="71" t="n">
        <f aca="false">-SUMPRODUCT(固有振動数!$Q$6:$Q$22*固有振動数!$P$6:$P$22/((1-($A1432/固有振動数!$O$6:$O$22)^2)^2+固有振動数!$P$6:$P$22^2))</f>
        <v>-0.807215730029025</v>
      </c>
      <c r="D1432" s="71" t="n">
        <f aca="false">SQRT(B1432^2+C1432^2)</f>
        <v>3.79660156057404</v>
      </c>
      <c r="E1432" s="72" t="n">
        <f aca="false">20*LOG10(MAX(D1432,0.000000000001)/$K$3)</f>
        <v>11.5879004383255</v>
      </c>
      <c r="F1432" s="5"/>
      <c r="G1432" s="5"/>
      <c r="H1432" s="5"/>
      <c r="I1432" s="5"/>
      <c r="J1432" s="5"/>
      <c r="K1432" s="5"/>
      <c r="L1432" s="5"/>
      <c r="M1432" s="5"/>
      <c r="N1432" s="5"/>
    </row>
    <row r="1433" customFormat="false" ht="15" hidden="false" customHeight="false" outlineLevel="0" collapsed="false">
      <c r="A1433" s="71" t="n">
        <f aca="false">A1432+$F$3</f>
        <v>28540</v>
      </c>
      <c r="B1433" s="71" t="n">
        <f aca="false">SUMPRODUCT(固有振動数!$Q$6:$Q$22*(1-($A1433/固有振動数!$O$6:$O$22)^2)/((1-($A1433/固有振動数!$O$6:$O$22)^2)^2+固有振動数!$P$6:$P$22^2))</f>
        <v>3.8169702977657</v>
      </c>
      <c r="C1433" s="71" t="n">
        <f aca="false">-SUMPRODUCT(固有振動数!$Q$6:$Q$22*固有振動数!$P$6:$P$22/((1-($A1433/固有振動数!$O$6:$O$22)^2)^2+固有振動数!$P$6:$P$22^2))</f>
        <v>-0.804598762567197</v>
      </c>
      <c r="D1433" s="71" t="n">
        <f aca="false">SQRT(B1433^2+C1433^2)</f>
        <v>3.90085137152779</v>
      </c>
      <c r="E1433" s="72" t="n">
        <f aca="false">20*LOG10(MAX(D1433,0.000000000001)/$K$3)</f>
        <v>11.8231880667074</v>
      </c>
      <c r="F1433" s="5"/>
      <c r="G1433" s="5"/>
      <c r="H1433" s="5"/>
      <c r="I1433" s="5"/>
      <c r="J1433" s="5"/>
      <c r="K1433" s="5"/>
      <c r="L1433" s="5"/>
      <c r="M1433" s="5"/>
      <c r="N1433" s="5"/>
    </row>
    <row r="1434" customFormat="false" ht="15" hidden="false" customHeight="false" outlineLevel="0" collapsed="false">
      <c r="A1434" s="71" t="n">
        <f aca="false">A1433+$F$3</f>
        <v>28560</v>
      </c>
      <c r="B1434" s="71" t="n">
        <f aca="false">SUMPRODUCT(固有振動数!$Q$6:$Q$22*(1-($A1434/固有振動数!$O$6:$O$22)^2)/((1-($A1434/固有振動数!$O$6:$O$22)^2)^2+固有振動数!$P$6:$P$22^2))</f>
        <v>3.92357706569362</v>
      </c>
      <c r="C1434" s="71" t="n">
        <f aca="false">-SUMPRODUCT(固有振動数!$Q$6:$Q$22*固有振動数!$P$6:$P$22/((1-($A1434/固有振動数!$O$6:$O$22)^2)^2+固有振動数!$P$6:$P$22^2))</f>
        <v>-0.802213853138816</v>
      </c>
      <c r="D1434" s="71" t="n">
        <f aca="false">SQRT(B1434^2+C1434^2)</f>
        <v>4.00474768950615</v>
      </c>
      <c r="E1434" s="72" t="n">
        <f aca="false">20*LOG10(MAX(D1434,0.000000000001)/$K$3)</f>
        <v>12.0515031898934</v>
      </c>
      <c r="F1434" s="5"/>
      <c r="G1434" s="5"/>
      <c r="H1434" s="5"/>
      <c r="I1434" s="5"/>
      <c r="J1434" s="5"/>
      <c r="K1434" s="5"/>
      <c r="L1434" s="5"/>
      <c r="M1434" s="5"/>
      <c r="N1434" s="5"/>
    </row>
    <row r="1435" customFormat="false" ht="15" hidden="false" customHeight="false" outlineLevel="0" collapsed="false">
      <c r="A1435" s="71" t="n">
        <f aca="false">A1434+$F$3</f>
        <v>28580</v>
      </c>
      <c r="B1435" s="71" t="n">
        <f aca="false">SUMPRODUCT(固有振動数!$Q$6:$Q$22*(1-($A1435/固有振動数!$O$6:$O$22)^2)/((1-($A1435/固有振動数!$O$6:$O$22)^2)^2+固有振動数!$P$6:$P$22^2))</f>
        <v>4.02964936492662</v>
      </c>
      <c r="C1435" s="71" t="n">
        <f aca="false">-SUMPRODUCT(固有振動数!$Q$6:$Q$22*固有振動数!$P$6:$P$22/((1-($A1435/固有振動数!$O$6:$O$22)^2)^2+固有振動数!$P$6:$P$22^2))</f>
        <v>-0.800056845918642</v>
      </c>
      <c r="D1435" s="71" t="n">
        <f aca="false">SQRT(B1435^2+C1435^2)</f>
        <v>4.10830439000749</v>
      </c>
      <c r="E1435" s="72" t="n">
        <f aca="false">20*LOG10(MAX(D1435,0.000000000001)/$K$3)</f>
        <v>12.2732522720356</v>
      </c>
      <c r="F1435" s="5"/>
      <c r="G1435" s="5"/>
      <c r="H1435" s="5"/>
      <c r="I1435" s="5"/>
      <c r="J1435" s="5"/>
      <c r="K1435" s="5"/>
      <c r="L1435" s="5"/>
      <c r="M1435" s="5"/>
      <c r="N1435" s="5"/>
    </row>
    <row r="1436" customFormat="false" ht="15" hidden="false" customHeight="false" outlineLevel="0" collapsed="false">
      <c r="A1436" s="71" t="n">
        <f aca="false">A1435+$F$3</f>
        <v>28600</v>
      </c>
      <c r="B1436" s="71" t="n">
        <f aca="false">SUMPRODUCT(固有振動数!$Q$6:$Q$22*(1-($A1436/固有振動数!$O$6:$O$22)^2)/((1-($A1436/固有振動数!$O$6:$O$22)^2)^2+固有振動数!$P$6:$P$22^2))</f>
        <v>4.13521962796019</v>
      </c>
      <c r="C1436" s="71" t="n">
        <f aca="false">-SUMPRODUCT(固有振動数!$Q$6:$Q$22*固有振動数!$P$6:$P$22/((1-($A1436/固有振動数!$O$6:$O$22)^2)^2+固有振動数!$P$6:$P$22^2))</f>
        <v>-0.798123885448849</v>
      </c>
      <c r="D1436" s="71" t="n">
        <f aca="false">SQRT(B1436^2+C1436^2)</f>
        <v>4.21153690569027</v>
      </c>
      <c r="E1436" s="72" t="n">
        <f aca="false">20*LOG10(MAX(D1436,0.000000000001)/$K$3)</f>
        <v>12.4888122153198</v>
      </c>
      <c r="F1436" s="5"/>
      <c r="G1436" s="5"/>
      <c r="H1436" s="5"/>
      <c r="I1436" s="5"/>
      <c r="J1436" s="5"/>
      <c r="K1436" s="5"/>
      <c r="L1436" s="5"/>
      <c r="M1436" s="5"/>
      <c r="N1436" s="5"/>
    </row>
    <row r="1437" customFormat="false" ht="15" hidden="false" customHeight="false" outlineLevel="0" collapsed="false">
      <c r="A1437" s="71" t="n">
        <f aca="false">A1436+$F$3</f>
        <v>28620</v>
      </c>
      <c r="B1437" s="71" t="n">
        <f aca="false">SUMPRODUCT(固有振動数!$Q$6:$Q$22*(1-($A1437/固有振動数!$O$6:$O$22)^2)/((1-($A1437/固有振動数!$O$6:$O$22)^2)^2+固有振動数!$P$6:$P$22^2))</f>
        <v>4.24031967553308</v>
      </c>
      <c r="C1437" s="71" t="n">
        <f aca="false">-SUMPRODUCT(固有振動数!$Q$6:$Q$22*固有振動数!$P$6:$P$22/((1-($A1437/固有振動数!$O$6:$O$22)^2)^2+固有振動数!$P$6:$P$22^2))</f>
        <v>-0.796411405791653</v>
      </c>
      <c r="D1437" s="71" t="n">
        <f aca="false">SQRT(B1437^2+C1437^2)</f>
        <v>4.31446196854116</v>
      </c>
      <c r="E1437" s="72" t="n">
        <f aca="false">20*LOG10(MAX(D1437,0.000000000001)/$K$3)</f>
        <v>12.6985329017777</v>
      </c>
      <c r="F1437" s="5"/>
      <c r="G1437" s="5"/>
      <c r="H1437" s="5"/>
      <c r="I1437" s="5"/>
      <c r="J1437" s="5"/>
      <c r="K1437" s="5"/>
      <c r="L1437" s="5"/>
      <c r="M1437" s="5"/>
      <c r="N1437" s="5"/>
    </row>
    <row r="1438" customFormat="false" ht="15" hidden="false" customHeight="false" outlineLevel="0" collapsed="false">
      <c r="A1438" s="71" t="n">
        <f aca="false">A1437+$F$3</f>
        <v>28640</v>
      </c>
      <c r="B1438" s="71" t="n">
        <f aca="false">SUMPRODUCT(固有振動数!$Q$6:$Q$22*(1-($A1438/固有振動数!$O$6:$O$22)^2)/((1-($A1438/固有振動数!$O$6:$O$22)^2)^2+固有振動数!$P$6:$P$22^2))</f>
        <v>4.34498075711414</v>
      </c>
      <c r="C1438" s="71" t="n">
        <f aca="false">-SUMPRODUCT(固有振動数!$Q$6:$Q$22*固有振動数!$P$6:$P$22/((1-($A1438/固有振動数!$O$6:$O$22)^2)^2+固有振動数!$P$6:$P$22^2))</f>
        <v>-0.794916120533102</v>
      </c>
      <c r="D1438" s="71" t="n">
        <f aca="false">SQRT(B1438^2+C1438^2)</f>
        <v>4.41709739742917</v>
      </c>
      <c r="E1438" s="72" t="n">
        <f aca="false">20*LOG10(MAX(D1438,0.000000000001)/$K$3)</f>
        <v>12.9027395119946</v>
      </c>
      <c r="F1438" s="5"/>
      <c r="G1438" s="5"/>
      <c r="H1438" s="5"/>
      <c r="I1438" s="5"/>
      <c r="J1438" s="5"/>
      <c r="K1438" s="5"/>
      <c r="L1438" s="5"/>
      <c r="M1438" s="5"/>
      <c r="N1438" s="5"/>
    </row>
    <row r="1439" customFormat="false" ht="15" hidden="false" customHeight="false" outlineLevel="0" collapsed="false">
      <c r="A1439" s="71" t="n">
        <f aca="false">A1438+$F$3</f>
        <v>28660</v>
      </c>
      <c r="B1439" s="71" t="n">
        <f aca="false">SUMPRODUCT(固有振動数!$Q$6:$Q$22*(1-($A1439/固有振動数!$O$6:$O$22)^2)/((1-($A1439/固有振動数!$O$6:$O$22)^2)^2+固有振動数!$P$6:$P$22^2))</f>
        <v>4.44923358994159</v>
      </c>
      <c r="C1439" s="71" t="n">
        <f aca="false">-SUMPRODUCT(固有振動数!$Q$6:$Q$22*固有振動数!$P$6:$P$22/((1-($A1439/固有振動数!$O$6:$O$22)^2)^2+固有振動数!$P$6:$P$22^2))</f>
        <v>-0.793635013591414</v>
      </c>
      <c r="D1439" s="71" t="n">
        <f aca="false">SQRT(B1439^2+C1439^2)</f>
        <v>4.51946192291326</v>
      </c>
      <c r="E1439" s="72" t="n">
        <f aca="false">20*LOG10(MAX(D1439,0.000000000001)/$K$3)</f>
        <v>13.1017346350772</v>
      </c>
      <c r="F1439" s="5"/>
      <c r="G1439" s="5"/>
      <c r="H1439" s="5"/>
      <c r="I1439" s="5"/>
      <c r="J1439" s="5"/>
      <c r="K1439" s="5"/>
      <c r="L1439" s="5"/>
      <c r="M1439" s="5"/>
      <c r="N1439" s="5"/>
    </row>
    <row r="1440" customFormat="false" ht="15" hidden="false" customHeight="false" outlineLevel="0" collapsed="false">
      <c r="A1440" s="71" t="n">
        <f aca="false">A1439+$F$3</f>
        <v>28680</v>
      </c>
      <c r="B1440" s="71" t="n">
        <f aca="false">SUMPRODUCT(固有振動数!$Q$6:$Q$22*(1-($A1440/固有振動数!$O$6:$O$22)^2)/((1-($A1440/固有振動数!$O$6:$O$22)^2)^2+固有振動数!$P$6:$P$22^2))</f>
        <v>4.55310839672355</v>
      </c>
      <c r="C1440" s="71" t="n">
        <f aca="false">-SUMPRODUCT(固有振動数!$Q$6:$Q$22*固有振動数!$P$6:$P$22/((1-($A1440/固有振動数!$O$6:$O$22)^2)^2+固有振動数!$P$6:$P$22^2))</f>
        <v>-0.792565330787384</v>
      </c>
      <c r="D1440" s="71" t="n">
        <f aca="false">SQRT(B1440^2+C1440^2)</f>
        <v>4.621575042762</v>
      </c>
      <c r="E1440" s="72" t="n">
        <f aca="false">20*LOG10(MAX(D1440,0.000000000001)/$K$3)</f>
        <v>13.2958001856125</v>
      </c>
      <c r="F1440" s="5"/>
      <c r="G1440" s="5"/>
      <c r="H1440" s="5"/>
      <c r="I1440" s="5"/>
      <c r="J1440" s="5"/>
      <c r="K1440" s="5"/>
      <c r="L1440" s="5"/>
      <c r="M1440" s="5"/>
      <c r="N1440" s="5"/>
    </row>
    <row r="1441" customFormat="false" ht="15" hidden="false" customHeight="false" outlineLevel="0" collapsed="false">
      <c r="A1441" s="71" t="n">
        <f aca="false">A1440+$F$3</f>
        <v>28700</v>
      </c>
      <c r="B1441" s="71" t="n">
        <f aca="false">SUMPRODUCT(固有振動数!$Q$6:$Q$22*(1-($A1441/固有振動数!$O$6:$O$22)^2)/((1-($A1441/固有振動数!$O$6:$O$22)^2)^2+固有振動数!$P$6:$P$22^2))</f>
        <v>4.65663494210257</v>
      </c>
      <c r="C1441" s="71" t="n">
        <f aca="false">-SUMPRODUCT(固有振動数!$Q$6:$Q$22*固有振動数!$P$6:$P$22/((1-($A1441/固有振動数!$O$6:$O$22)^2)^2+固有振動数!$P$6:$P$22^2))</f>
        <v>-0.791704572138176</v>
      </c>
      <c r="D1441" s="71" t="n">
        <f aca="false">SQRT(B1441^2+C1441^2)</f>
        <v>4.72345690290015</v>
      </c>
      <c r="E1441" s="72" t="n">
        <f aca="false">20*LOG10(MAX(D1441,0.000000000001)/$K$3)</f>
        <v>13.4851991436358</v>
      </c>
      <c r="F1441" s="5"/>
      <c r="G1441" s="5"/>
      <c r="H1441" s="5"/>
      <c r="I1441" s="5"/>
      <c r="J1441" s="5"/>
      <c r="K1441" s="5"/>
      <c r="L1441" s="5"/>
      <c r="M1441" s="5"/>
      <c r="N1441" s="5"/>
    </row>
    <row r="1442" customFormat="false" ht="15" hidden="false" customHeight="false" outlineLevel="0" collapsed="false">
      <c r="A1442" s="71" t="n">
        <f aca="false">A1441+$F$3</f>
        <v>28720</v>
      </c>
      <c r="B1442" s="71" t="n">
        <f aca="false">SUMPRODUCT(固有振動数!$Q$6:$Q$22*(1-($A1442/固有振動数!$O$6:$O$22)^2)/((1-($A1442/固有振動数!$O$6:$O$22)^2)^2+固有振動数!$P$6:$P$22^2))</f>
        <v>4.75984256798216</v>
      </c>
      <c r="C1442" s="71" t="n">
        <f aca="false">-SUMPRODUCT(固有振動数!$Q$6:$Q$22*固有振動数!$P$6:$P$22/((1-($A1442/固有振動数!$O$6:$O$22)^2)^2+固有振動数!$P$6:$P$22^2))</f>
        <v>-0.791050484839414</v>
      </c>
      <c r="D1442" s="71" t="n">
        <f aca="false">SQRT(B1442^2+C1442^2)</f>
        <v>4.8251281994927</v>
      </c>
      <c r="E1442" s="72" t="n">
        <f aca="false">20*LOG10(MAX(D1442,0.000000000001)/$K$3)</f>
        <v>13.6701771332548</v>
      </c>
      <c r="F1442" s="5"/>
      <c r="G1442" s="5"/>
      <c r="H1442" s="5"/>
      <c r="I1442" s="5"/>
      <c r="J1442" s="5"/>
      <c r="K1442" s="5"/>
      <c r="L1442" s="5"/>
      <c r="M1442" s="5"/>
      <c r="N1442" s="5"/>
    </row>
    <row r="1443" customFormat="false" ht="15" hidden="false" customHeight="false" outlineLevel="0" collapsed="false">
      <c r="A1443" s="71" t="n">
        <f aca="false">A1442+$F$3</f>
        <v>28740</v>
      </c>
      <c r="B1443" s="71" t="n">
        <f aca="false">SUMPRODUCT(固有振動数!$Q$6:$Q$22*(1-($A1443/固有振動数!$O$6:$O$22)^2)/((1-($A1443/固有振動数!$O$6:$O$22)^2)^2+固有振動数!$P$6:$P$22^2))</f>
        <v>4.86276022780799</v>
      </c>
      <c r="C1443" s="71" t="n">
        <f aca="false">-SUMPRODUCT(固有振動数!$Q$6:$Q$22*固有振動数!$P$6:$P$22/((1-($A1443/固有振動数!$O$6:$O$22)^2)^2+固有振動数!$P$6:$P$22^2))</f>
        <v>-0.790601056903759</v>
      </c>
      <c r="D1443" s="71" t="n">
        <f aca="false">SQRT(B1443^2+C1443^2)</f>
        <v>4.92661009867115</v>
      </c>
      <c r="E1443" s="72" t="n">
        <f aca="false">20*LOG10(MAX(D1443,0.000000000001)/$K$3)</f>
        <v>13.8509638548099</v>
      </c>
      <c r="F1443" s="5"/>
      <c r="G1443" s="5"/>
      <c r="H1443" s="5"/>
      <c r="I1443" s="5"/>
      <c r="J1443" s="5"/>
      <c r="K1443" s="5"/>
      <c r="L1443" s="5"/>
      <c r="M1443" s="5"/>
      <c r="N1443" s="5"/>
    </row>
    <row r="1444" customFormat="false" ht="15" hidden="false" customHeight="false" outlineLevel="0" collapsed="false">
      <c r="A1444" s="71" t="n">
        <f aca="false">A1443+$F$3</f>
        <v>28760</v>
      </c>
      <c r="B1444" s="71" t="n">
        <f aca="false">SUMPRODUCT(固有振動数!$Q$6:$Q$22*(1-($A1444/固有振動数!$O$6:$O$22)^2)/((1-($A1444/固有振動数!$O$6:$O$22)^2)^2+固有振動数!$P$6:$P$22^2))</f>
        <v>4.96541651989245</v>
      </c>
      <c r="C1444" s="71" t="n">
        <f aca="false">-SUMPRODUCT(固有振動数!$Q$6:$Q$22*固有振動数!$P$6:$P$22/((1-($A1444/固有振動数!$O$6:$O$22)^2)^2+固有振動数!$P$6:$P$22^2))</f>
        <v>-0.790354511427249</v>
      </c>
      <c r="D1444" s="71" t="n">
        <f aca="false">SQRT(B1444^2+C1444^2)</f>
        <v>5.02792417104259</v>
      </c>
      <c r="E1444" s="72" t="n">
        <f aca="false">20*LOG10(MAX(D1444,0.000000000001)/$K$3)</f>
        <v>14.0277743844705</v>
      </c>
      <c r="F1444" s="5"/>
      <c r="G1444" s="5"/>
      <c r="H1444" s="5"/>
      <c r="I1444" s="5"/>
      <c r="J1444" s="5"/>
      <c r="K1444" s="5"/>
      <c r="L1444" s="5"/>
      <c r="M1444" s="5"/>
      <c r="N1444" s="5"/>
    </row>
    <row r="1445" customFormat="false" ht="15" hidden="false" customHeight="false" outlineLevel="0" collapsed="false">
      <c r="A1445" s="71" t="n">
        <f aca="false">A1444+$F$3</f>
        <v>28780</v>
      </c>
      <c r="B1445" s="71" t="n">
        <f aca="false">SUMPRODUCT(固有振動数!$Q$6:$Q$22*(1-($A1445/固有振動数!$O$6:$O$22)^2)/((1-($A1445/固有振動数!$O$6:$O$22)^2)^2+固有振動数!$P$6:$P$22^2))</f>
        <v>5.0678397198672</v>
      </c>
      <c r="C1445" s="71" t="n">
        <f aca="false">-SUMPRODUCT(固有振動数!$Q$6:$Q$22*固有振動数!$P$6:$P$22/((1-($A1445/固有振動数!$O$6:$O$22)^2)^2+固有振動数!$P$6:$P$22^2))</f>
        <v>-0.790309301457632</v>
      </c>
      <c r="D1445" s="71" t="n">
        <f aca="false">SQRT(B1445^2+C1445^2)</f>
        <v>5.12909233863401</v>
      </c>
      <c r="E1445" s="72" t="n">
        <f aca="false">20*LOG10(MAX(D1445,0.000000000001)/$K$3)</f>
        <v>14.2008103540904</v>
      </c>
      <c r="F1445" s="5"/>
      <c r="G1445" s="5"/>
      <c r="H1445" s="5"/>
      <c r="I1445" s="5"/>
      <c r="J1445" s="5"/>
      <c r="K1445" s="5"/>
      <c r="L1445" s="5"/>
      <c r="M1445" s="5"/>
      <c r="N1445" s="5"/>
    </row>
    <row r="1446" customFormat="false" ht="15" hidden="false" customHeight="false" outlineLevel="0" collapsed="false">
      <c r="A1446" s="71" t="n">
        <f aca="false">A1445+$F$3</f>
        <v>28800</v>
      </c>
      <c r="B1446" s="71" t="n">
        <f aca="false">SUMPRODUCT(固有振動数!$Q$6:$Q$22*(1-($A1446/固有振動数!$O$6:$O$22)^2)/((1-($A1446/固有振動数!$O$6:$O$22)^2)^2+固有振動数!$P$6:$P$22^2))</f>
        <v>5.17005781234434</v>
      </c>
      <c r="C1446" s="71" t="n">
        <f aca="false">-SUMPRODUCT(固有振動数!$Q$6:$Q$22*固有振動数!$P$6:$P$22/((1-($A1446/固有振動数!$O$6:$O$22)^2)^2+固有振動数!$P$6:$P$22^2))</f>
        <v>-0.790464105441575</v>
      </c>
      <c r="D1446" s="71" t="n">
        <f aca="false">SQRT(B1446^2+C1446^2)</f>
        <v>5.23013683233759</v>
      </c>
      <c r="E1446" s="72" t="n">
        <f aca="false">20*LOG10(MAX(D1446,0.000000000001)/$K$3)</f>
        <v>14.3702610230503</v>
      </c>
      <c r="F1446" s="5"/>
      <c r="G1446" s="5"/>
      <c r="H1446" s="5"/>
      <c r="I1446" s="5"/>
      <c r="J1446" s="5"/>
      <c r="K1446" s="5"/>
      <c r="L1446" s="5"/>
      <c r="M1446" s="5"/>
      <c r="N1446" s="5"/>
    </row>
    <row r="1447" customFormat="false" ht="15" hidden="false" customHeight="false" outlineLevel="0" collapsed="false">
      <c r="A1447" s="71" t="n">
        <f aca="false">A1446+$F$3</f>
        <v>28820</v>
      </c>
      <c r="B1447" s="71" t="n">
        <f aca="false">SUMPRODUCT(固有振動数!$Q$6:$Q$22*(1-($A1447/固有振動数!$O$6:$O$22)^2)/((1-($A1447/固有振動数!$O$6:$O$22)^2)^2+固有振動数!$P$6:$P$22^2))</f>
        <v>5.27209852186432</v>
      </c>
      <c r="C1447" s="71" t="n">
        <f aca="false">-SUMPRODUCT(固有振動数!$Q$6:$Q$22*固有振動数!$P$6:$P$22/((1-($A1447/固有振動数!$O$6:$O$22)^2)^2+固有振動数!$P$6:$P$22^2))</f>
        <v>-0.790817823230259</v>
      </c>
      <c r="D1447" s="71" t="n">
        <f aca="false">SQRT(B1447^2+C1447^2)</f>
        <v>5.33108015825898</v>
      </c>
      <c r="E1447" s="72" t="n">
        <f aca="false">20*LOG10(MAX(D1447,0.000000000001)/$K$3)</f>
        <v>14.5363042527421</v>
      </c>
      <c r="F1447" s="5"/>
      <c r="G1447" s="5"/>
      <c r="H1447" s="5"/>
      <c r="I1447" s="5"/>
      <c r="J1447" s="5"/>
      <c r="K1447" s="5"/>
      <c r="L1447" s="5"/>
      <c r="M1447" s="5"/>
      <c r="N1447" s="5"/>
    </row>
    <row r="1448" customFormat="false" ht="15" hidden="false" customHeight="false" outlineLevel="0" collapsed="false">
      <c r="A1448" s="71" t="n">
        <f aca="false">A1447+$F$3</f>
        <v>28840</v>
      </c>
      <c r="B1448" s="71" t="n">
        <f aca="false">SUMPRODUCT(固有振動数!$Q$6:$Q$22*(1-($A1448/固有振動数!$O$6:$O$22)^2)/((1-($A1448/固有振動数!$O$6:$O$22)^2)^2+固有振動数!$P$6:$P$22^2))</f>
        <v>5.3739893432051</v>
      </c>
      <c r="C1448" s="71" t="n">
        <f aca="false">-SUMPRODUCT(固有振動数!$Q$6:$Q$22*固有振動数!$P$6:$P$22/((1-($A1448/固有振動数!$O$6:$O$22)^2)^2+固有振動数!$P$6:$P$22^2))</f>
        <v>-0.79136957262528</v>
      </c>
      <c r="D1448" s="71" t="n">
        <f aca="false">SQRT(B1448^2+C1448^2)</f>
        <v>5.43194507164415</v>
      </c>
      <c r="E1448" s="72" t="n">
        <f aca="false">20*LOG10(MAX(D1448,0.000000000001)/$K$3)</f>
        <v>14.6991073933338</v>
      </c>
      <c r="F1448" s="5"/>
      <c r="G1448" s="5"/>
      <c r="H1448" s="5"/>
      <c r="I1448" s="5"/>
      <c r="J1448" s="5"/>
      <c r="K1448" s="5"/>
      <c r="L1448" s="5"/>
      <c r="M1448" s="5"/>
      <c r="N1448" s="5"/>
    </row>
    <row r="1449" customFormat="false" ht="15" hidden="false" customHeight="false" outlineLevel="0" collapsed="false">
      <c r="A1449" s="71" t="n">
        <f aca="false">A1448+$F$3</f>
        <v>28860</v>
      </c>
      <c r="B1449" s="71" t="n">
        <f aca="false">SUMPRODUCT(固有振動数!$Q$6:$Q$22*(1-($A1449/固有振動数!$O$6:$O$22)^2)/((1-($A1449/固有振動数!$O$6:$O$22)^2)^2+固有振動数!$P$6:$P$22^2))</f>
        <v>5.47575757112472</v>
      </c>
      <c r="C1449" s="71" t="n">
        <f aca="false">-SUMPRODUCT(固有振動数!$Q$6:$Q$22*固有振動数!$P$6:$P$22/((1-($A1449/固有振動数!$O$6:$O$22)^2)^2+固有振動数!$P$6:$P$22^2))</f>
        <v>-0.7921186864491</v>
      </c>
      <c r="D1449" s="71" t="n">
        <f aca="false">SQRT(B1449^2+C1449^2)</f>
        <v>5.53275455728442</v>
      </c>
      <c r="E1449" s="72" t="n">
        <f aca="false">20*LOG10(MAX(D1449,0.000000000001)/$K$3)</f>
        <v>14.8588280915004</v>
      </c>
      <c r="F1449" s="5"/>
      <c r="G1449" s="5"/>
      <c r="H1449" s="5"/>
      <c r="I1449" s="5"/>
      <c r="J1449" s="5"/>
      <c r="K1449" s="5"/>
      <c r="L1449" s="5"/>
      <c r="M1449" s="5"/>
      <c r="N1449" s="5"/>
    </row>
    <row r="1450" customFormat="false" ht="15" hidden="false" customHeight="false" outlineLevel="0" collapsed="false">
      <c r="A1450" s="71" t="n">
        <f aca="false">A1449+$F$3</f>
        <v>28880</v>
      </c>
      <c r="B1450" s="71" t="n">
        <f aca="false">SUMPRODUCT(固有振動数!$Q$6:$Q$22*(1-($A1450/固有振動数!$O$6:$O$22)^2)/((1-($A1450/固有振動数!$O$6:$O$22)^2)^2+固有振動数!$P$6:$P$22^2))</f>
        <v>5.57743032960737</v>
      </c>
      <c r="C1450" s="71" t="n">
        <f aca="false">-SUMPRODUCT(固有振動数!$Q$6:$Q$22*固有振動数!$P$6:$P$22/((1-($A1450/固有振動数!$O$6:$O$22)^2)^2+固有振動数!$P$6:$P$22^2))</f>
        <v>-0.793064710126491</v>
      </c>
      <c r="D1450" s="71" t="n">
        <f aca="false">SQRT(B1450^2+C1450^2)</f>
        <v>5.63353181548415</v>
      </c>
      <c r="E1450" s="72" t="n">
        <f aca="false">20*LOG10(MAX(D1450,0.000000000001)/$K$3)</f>
        <v>15.015615026937</v>
      </c>
      <c r="F1450" s="5"/>
      <c r="G1450" s="5"/>
      <c r="H1450" s="5"/>
      <c r="I1450" s="5"/>
      <c r="J1450" s="5"/>
      <c r="K1450" s="5"/>
      <c r="L1450" s="5"/>
      <c r="M1450" s="5"/>
      <c r="N1450" s="5"/>
    </row>
    <row r="1451" customFormat="false" ht="15" hidden="false" customHeight="false" outlineLevel="0" collapsed="false">
      <c r="A1451" s="71" t="n">
        <f aca="false">A1450+$F$3</f>
        <v>28900</v>
      </c>
      <c r="B1451" s="71" t="n">
        <f aca="false">SUMPRODUCT(固有振動数!$Q$6:$Q$22*(1-($A1451/固有振動数!$O$6:$O$22)^2)/((1-($A1451/固有振動数!$O$6:$O$22)^2)^2+固有振動数!$P$6:$P$22^2))</f>
        <v>5.67903460068056</v>
      </c>
      <c r="C1451" s="71" t="n">
        <f aca="false">-SUMPRODUCT(固有振動数!$Q$6:$Q$22*固有振動数!$P$6:$P$22/((1-($A1451/固有振動数!$O$6:$O$22)^2)^2+固有振動数!$P$6:$P$22^2))</f>
        <v>-0.794207399765555</v>
      </c>
      <c r="D1451" s="71" t="n">
        <f aca="false">SQRT(B1451^2+C1451^2)</f>
        <v>5.73430025282679</v>
      </c>
      <c r="E1451" s="72" t="n">
        <f aca="false">20*LOG10(MAX(D1451,0.000000000001)/$K$3)</f>
        <v>15.169608584668</v>
      </c>
      <c r="F1451" s="5"/>
      <c r="G1451" s="5"/>
      <c r="H1451" s="5"/>
      <c r="I1451" s="5"/>
      <c r="J1451" s="5"/>
      <c r="K1451" s="5"/>
      <c r="L1451" s="5"/>
      <c r="M1451" s="5"/>
      <c r="N1451" s="5"/>
    </row>
    <row r="1452" customFormat="false" ht="15" hidden="false" customHeight="false" outlineLevel="0" collapsed="false">
      <c r="A1452" s="71" t="n">
        <f aca="false">A1451+$F$3</f>
        <v>28920</v>
      </c>
      <c r="B1452" s="71" t="n">
        <f aca="false">SUMPRODUCT(固有振動数!$Q$6:$Q$22*(1-($A1452/固有振動数!$O$6:$O$22)^2)/((1-($A1452/固有振動数!$O$6:$O$22)^2)^2+固有振動数!$P$6:$P$22^2))</f>
        <v>5.78059725286964</v>
      </c>
      <c r="C1452" s="71" t="n">
        <f aca="false">-SUMPRODUCT(固有振動数!$Q$6:$Q$22*固有振動数!$P$6:$P$22/((1-($A1452/固有振動数!$O$6:$O$22)^2)^2+固有振動数!$P$6:$P$22^2))</f>
        <v>-0.795546720728929</v>
      </c>
      <c r="D1452" s="71" t="n">
        <f aca="false">SQRT(B1452^2+C1452^2)</f>
        <v>5.83508347710182</v>
      </c>
      <c r="E1452" s="72" t="n">
        <f aca="false">20*LOG10(MAX(D1452,0.000000000001)/$K$3)</f>
        <v>15.3209414694456</v>
      </c>
      <c r="F1452" s="5"/>
      <c r="G1452" s="5"/>
      <c r="H1452" s="5"/>
      <c r="I1452" s="5"/>
      <c r="J1452" s="5"/>
      <c r="K1452" s="5"/>
      <c r="L1452" s="5"/>
      <c r="M1452" s="5"/>
      <c r="N1452" s="5"/>
    </row>
    <row r="1453" customFormat="false" ht="15" hidden="false" customHeight="false" outlineLevel="0" collapsed="false">
      <c r="A1453" s="71" t="n">
        <f aca="false">A1452+$F$3</f>
        <v>28940</v>
      </c>
      <c r="B1453" s="71" t="n">
        <f aca="false">SUMPRODUCT(固有振動数!$Q$6:$Q$22*(1-($A1453/固有振動数!$O$6:$O$22)^2)/((1-($A1453/固有振動数!$O$6:$O$22)^2)^2+固有振動数!$P$6:$P$22^2))</f>
        <v>5.8821450693541</v>
      </c>
      <c r="C1453" s="71" t="n">
        <f aca="false">-SUMPRODUCT(固有振動数!$Q$6:$Q$22*固有振動数!$P$6:$P$22/((1-($A1453/固有振動数!$O$6:$O$22)^2)^2+固有振動数!$P$6:$P$22^2))</f>
        <v>-0.797082846687768</v>
      </c>
      <c r="D1453" s="71" t="n">
        <f aca="false">SQRT(B1453^2+C1453^2)</f>
        <v>5.93590529585931</v>
      </c>
      <c r="E1453" s="72" t="n">
        <f aca="false">20*LOG10(MAX(D1453,0.000000000001)/$K$3)</f>
        <v>15.4697392678796</v>
      </c>
      <c r="F1453" s="5"/>
      <c r="G1453" s="5"/>
      <c r="H1453" s="5"/>
      <c r="I1453" s="5"/>
      <c r="J1453" s="5"/>
      <c r="K1453" s="5"/>
      <c r="L1453" s="5"/>
      <c r="M1453" s="5"/>
      <c r="N1453" s="5"/>
    </row>
    <row r="1454" customFormat="false" ht="15" hidden="false" customHeight="false" outlineLevel="0" collapsed="false">
      <c r="A1454" s="71" t="n">
        <f aca="false">A1453+$F$3</f>
        <v>28960</v>
      </c>
      <c r="B1454" s="71" t="n">
        <f aca="false">SUMPRODUCT(固有振動数!$Q$6:$Q$22*(1-($A1454/固有振動数!$O$6:$O$22)^2)/((1-($A1454/固有振動数!$O$6:$O$22)^2)^2+固有振動数!$P$6:$P$22^2))</f>
        <v>5.9837047758892</v>
      </c>
      <c r="C1454" s="71" t="n">
        <f aca="false">-SUMPRODUCT(固有振動数!$Q$6:$Q$22*固有振動数!$P$6:$P$22/((1-($A1454/固有振動数!$O$6:$O$22)^2)^2+固有振動数!$P$6:$P$22^2))</f>
        <v>-0.798816159153042</v>
      </c>
      <c r="D1454" s="71" t="n">
        <f aca="false">SQRT(B1454^2+C1454^2)</f>
        <v>6.03678971814682</v>
      </c>
      <c r="E1454" s="72" t="n">
        <f aca="false">20*LOG10(MAX(D1454,0.000000000001)/$K$3)</f>
        <v>15.6161209633539</v>
      </c>
      <c r="F1454" s="5"/>
      <c r="G1454" s="5"/>
      <c r="H1454" s="5"/>
      <c r="I1454" s="5"/>
      <c r="J1454" s="5"/>
      <c r="K1454" s="5"/>
      <c r="L1454" s="5"/>
      <c r="M1454" s="5"/>
      <c r="N1454" s="5"/>
    </row>
    <row r="1455" customFormat="false" ht="15" hidden="false" customHeight="false" outlineLevel="0" collapsed="false">
      <c r="A1455" s="71" t="n">
        <f aca="false">A1454+$F$3</f>
        <v>28980</v>
      </c>
      <c r="B1455" s="71" t="n">
        <f aca="false">SUMPRODUCT(固有振動数!$Q$6:$Q$22*(1-($A1455/固有振動数!$O$6:$O$22)^2)/((1-($A1455/固有振動数!$O$6:$O$22)^2)^2+固有振動数!$P$6:$P$22^2))</f>
        <v>6.08530306855513</v>
      </c>
      <c r="C1455" s="71" t="n">
        <f aca="false">-SUMPRODUCT(固有振動数!$Q$6:$Q$22*固有振動数!$P$6:$P$22/((1-($A1455/固有振動数!$O$6:$O$22)^2)^2+固有振動数!$P$6:$P$22^2))</f>
        <v>-0.800747247480543</v>
      </c>
      <c r="D1455" s="71" t="n">
        <f aca="false">SQRT(B1455^2+C1455^2)</f>
        <v>6.13776095905617</v>
      </c>
      <c r="E1455" s="72" t="n">
        <f aca="false">20*LOG10(MAX(D1455,0.000000000001)/$K$3)</f>
        <v>15.7601994082621</v>
      </c>
      <c r="F1455" s="5"/>
      <c r="G1455" s="5"/>
      <c r="H1455" s="5"/>
      <c r="I1455" s="5"/>
      <c r="J1455" s="5"/>
      <c r="K1455" s="5"/>
      <c r="L1455" s="5"/>
      <c r="M1455" s="5"/>
      <c r="N1455" s="5"/>
    </row>
    <row r="1456" customFormat="false" ht="15" hidden="false" customHeight="false" outlineLevel="0" collapsed="false">
      <c r="A1456" s="71" t="n">
        <f aca="false">A1455+$F$3</f>
        <v>29000</v>
      </c>
      <c r="B1456" s="71" t="n">
        <f aca="false">SUMPRODUCT(固有振動数!$Q$6:$Q$22*(1-($A1456/固有振動数!$O$6:$O$22)^2)/((1-($A1456/固有振動数!$O$6:$O$22)^2)^2+固有振動数!$P$6:$P$22^2))</f>
        <v>6.18696664139541</v>
      </c>
      <c r="C1456" s="71" t="n">
        <f aca="false">-SUMPRODUCT(固有振動数!$Q$6:$Q$22*固有振動数!$P$6:$P$22/((1-($A1456/固有振動数!$O$6:$O$22)^2)^2+固有振動数!$P$6:$P$22^2))</f>
        <v>-0.8028769093479</v>
      </c>
      <c r="D1456" s="71" t="n">
        <f aca="false">SQRT(B1456^2+C1456^2)</f>
        <v>6.23884344676989</v>
      </c>
      <c r="E1456" s="72" t="n">
        <f aca="false">20*LOG10(MAX(D1456,0.000000000001)/$K$3)</f>
        <v>15.9020817576241</v>
      </c>
      <c r="F1456" s="5"/>
      <c r="G1456" s="5"/>
      <c r="H1456" s="5"/>
      <c r="I1456" s="5"/>
      <c r="J1456" s="5"/>
      <c r="K1456" s="5"/>
      <c r="L1456" s="5"/>
      <c r="M1456" s="5"/>
      <c r="N1456" s="5"/>
    </row>
    <row r="1457" customFormat="false" ht="15" hidden="false" customHeight="false" outlineLevel="0" collapsed="false">
      <c r="A1457" s="71" t="n">
        <f aca="false">A1456+$F$3</f>
        <v>29020</v>
      </c>
      <c r="B1457" s="71" t="n">
        <f aca="false">SUMPRODUCT(固有振動数!$Q$6:$Q$22*(1-($A1457/固有振動数!$O$6:$O$22)^2)/((1-($A1457/固有振動数!$O$6:$O$22)^2)^2+固有振動数!$P$6:$P$22^2))</f>
        <v>6.28872221400542</v>
      </c>
      <c r="C1457" s="71" t="n">
        <f aca="false">-SUMPRODUCT(固有振動数!$Q$6:$Q$22*固有振動数!$P$6:$P$22/((1-($A1457/固有振動数!$O$6:$O$22)^2)^2+固有振動数!$P$6:$P$22^2))</f>
        <v>-0.805206151703703</v>
      </c>
      <c r="D1457" s="71" t="n">
        <f aca="false">SQRT(B1457^2+C1457^2)</f>
        <v>6.34006183184886</v>
      </c>
      <c r="E1457" s="72" t="n">
        <f aca="false">20*LOG10(MAX(D1457,0.000000000001)/$K$3)</f>
        <v>16.0418698677287</v>
      </c>
      <c r="F1457" s="5"/>
      <c r="G1457" s="5"/>
      <c r="H1457" s="5"/>
      <c r="I1457" s="5"/>
      <c r="J1457" s="5"/>
      <c r="K1457" s="5"/>
      <c r="L1457" s="5"/>
      <c r="M1457" s="5"/>
      <c r="N1457" s="5"/>
    </row>
    <row r="1458" customFormat="false" ht="15" hidden="false" customHeight="false" outlineLevel="0" collapsed="false">
      <c r="A1458" s="71" t="n">
        <f aca="false">A1457+$F$3</f>
        <v>29040</v>
      </c>
      <c r="B1458" s="71" t="n">
        <f aca="false">SUMPRODUCT(固有振動数!$Q$6:$Q$22*(1-($A1458/固有振動数!$O$6:$O$22)^2)/((1-($A1458/固有振動数!$O$6:$O$22)^2)^2+固有振動数!$P$6:$P$22^2))</f>
        <v>6.39059655913212</v>
      </c>
      <c r="C1458" s="71" t="n">
        <f aca="false">-SUMPRODUCT(固有振動数!$Q$6:$Q$22*固有振動数!$P$6:$P$22/((1-($A1458/固有振動数!$O$6:$O$22)^2)^2+固有振動数!$P$6:$P$22^2))</f>
        <v>-0.807736192190709</v>
      </c>
      <c r="D1458" s="71" t="n">
        <f aca="false">SQRT(B1458^2+C1458^2)</f>
        <v>6.4414409985473</v>
      </c>
      <c r="E1458" s="72" t="n">
        <f aca="false">20*LOG10(MAX(D1458,0.000000000001)/$K$3)</f>
        <v>16.1796606630728</v>
      </c>
      <c r="F1458" s="5"/>
      <c r="G1458" s="5"/>
      <c r="H1458" s="5"/>
      <c r="I1458" s="5"/>
      <c r="J1458" s="5"/>
      <c r="K1458" s="5"/>
      <c r="L1458" s="5"/>
      <c r="M1458" s="5"/>
      <c r="N1458" s="5"/>
    </row>
    <row r="1459" customFormat="false" ht="15" hidden="false" customHeight="false" outlineLevel="0" collapsed="false">
      <c r="A1459" s="71" t="n">
        <f aca="false">A1458+$F$3</f>
        <v>29060</v>
      </c>
      <c r="B1459" s="71" t="n">
        <f aca="false">SUMPRODUCT(固有振動数!$Q$6:$Q$22*(1-($A1459/固有振動数!$O$6:$O$22)^2)/((1-($A1459/固有振動数!$O$6:$O$22)^2)^2+固有振動数!$P$6:$P$22^2))</f>
        <v>6.49261653034543</v>
      </c>
      <c r="C1459" s="71" t="n">
        <f aca="false">-SUMPRODUCT(固有振動数!$Q$6:$Q$22*固有振動数!$P$6:$P$22/((1-($A1459/固有振動数!$O$6:$O$22)^2)^2+固有振動数!$P$6:$P$22^2))</f>
        <v>-0.810468461046922</v>
      </c>
      <c r="D1459" s="71" t="n">
        <f aca="false">SQRT(B1459^2+C1459^2)</f>
        <v>6.54300607797873</v>
      </c>
      <c r="E1459" s="72" t="n">
        <f aca="false">20*LOG10(MAX(D1459,0.000000000001)/$K$3)</f>
        <v>16.3155464745333</v>
      </c>
      <c r="F1459" s="5"/>
      <c r="G1459" s="5"/>
      <c r="H1459" s="5"/>
      <c r="I1459" s="5"/>
      <c r="J1459" s="5"/>
      <c r="K1459" s="5"/>
      <c r="L1459" s="5"/>
      <c r="M1459" s="5"/>
      <c r="N1459" s="5"/>
    </row>
    <row r="1460" customFormat="false" ht="15" hidden="false" customHeight="false" outlineLevel="0" collapsed="false">
      <c r="A1460" s="71" t="n">
        <f aca="false">A1459+$F$3</f>
        <v>29080</v>
      </c>
      <c r="B1460" s="71" t="n">
        <f aca="false">SUMPRODUCT(固有振動数!$Q$6:$Q$22*(1-($A1460/固有振動数!$O$6:$O$22)^2)/((1-($A1460/固有振動数!$O$6:$O$22)^2)^2+固有振動数!$P$6:$P$22^2))</f>
        <v>6.59480908984219</v>
      </c>
      <c r="C1460" s="71" t="n">
        <f aca="false">-SUMPRODUCT(固有振動数!$Q$6:$Q$22*固有振動数!$P$6:$P$22/((1-($A1460/固有振動数!$O$6:$O$22)^2)^2+固有振動数!$P$6:$P$22^2))</f>
        <v>-0.813404603490225</v>
      </c>
      <c r="D1460" s="71" t="n">
        <f aca="false">SQRT(B1460^2+C1460^2)</f>
        <v>6.64478246298886</v>
      </c>
      <c r="E1460" s="72" t="n">
        <f aca="false">20*LOG10(MAX(D1460,0.000000000001)/$K$3)</f>
        <v>16.449615351414</v>
      </c>
      <c r="F1460" s="5"/>
      <c r="G1460" s="5"/>
      <c r="H1460" s="5"/>
      <c r="I1460" s="5"/>
      <c r="J1460" s="5"/>
      <c r="K1460" s="5"/>
      <c r="L1460" s="5"/>
      <c r="M1460" s="5"/>
      <c r="N1460" s="5"/>
    </row>
    <row r="1461" customFormat="false" ht="15" hidden="false" customHeight="false" outlineLevel="0" collapsed="false">
      <c r="A1461" s="71" t="n">
        <f aca="false">A1460+$F$3</f>
        <v>29100</v>
      </c>
      <c r="B1461" s="71" t="n">
        <f aca="false">SUMPRODUCT(固有振動数!$Q$6:$Q$22*(1-($A1461/固有振動数!$O$6:$O$22)^2)/((1-($A1461/固有振動数!$O$6:$O$22)^2)^2+固有振動数!$P$6:$P$22^2))</f>
        <v>6.69720133644406</v>
      </c>
      <c r="C1461" s="71" t="n">
        <f aca="false">-SUMPRODUCT(固有振動数!$Q$6:$Q$22*固有振動数!$P$6:$P$22/((1-($A1461/固有振動数!$O$6:$O$22)^2)^2+固有振動数!$P$6:$P$22^2))</f>
        <v>-0.816546482594097</v>
      </c>
      <c r="D1461" s="71" t="n">
        <f aca="false">SQRT(B1461^2+C1461^2)</f>
        <v>6.74679582461963</v>
      </c>
      <c r="E1461" s="72" t="n">
        <f aca="false">20*LOG10(MAX(D1461,0.000000000001)/$K$3)</f>
        <v>16.5819513497407</v>
      </c>
      <c r="F1461" s="5"/>
      <c r="G1461" s="5"/>
      <c r="H1461" s="5"/>
      <c r="I1461" s="5"/>
      <c r="J1461" s="5"/>
      <c r="K1461" s="5"/>
      <c r="L1461" s="5"/>
      <c r="M1461" s="5"/>
      <c r="N1461" s="5"/>
    </row>
    <row r="1462" customFormat="false" ht="15" hidden="false" customHeight="false" outlineLevel="0" collapsed="false">
      <c r="A1462" s="71" t="n">
        <f aca="false">A1461+$F$3</f>
        <v>29120</v>
      </c>
      <c r="B1462" s="71" t="n">
        <f aca="false">SUMPRODUCT(固有振動数!$Q$6:$Q$22*(1-($A1462/固有振動数!$O$6:$O$22)^2)/((1-($A1462/固有振動数!$O$6:$O$22)^2)^2+固有振動数!$P$6:$P$22^2))</f>
        <v>6.79982053385111</v>
      </c>
      <c r="C1462" s="71" t="n">
        <f aca="false">-SUMPRODUCT(固有振動数!$Q$6:$Q$22*固有振動数!$P$6:$P$22/((1-($A1462/固有振動数!$O$6:$O$22)^2)^2+固有振動数!$P$6:$P$22^2))</f>
        <v>-0.819896182663913</v>
      </c>
      <c r="D1462" s="71" t="n">
        <f aca="false">SQRT(B1462^2+C1462^2)</f>
        <v>6.84907213007208</v>
      </c>
      <c r="E1462" s="72" t="n">
        <f aca="false">20*LOG10(MAX(D1462,0.000000000001)/$K$3)</f>
        <v>16.7126347989456</v>
      </c>
      <c r="F1462" s="5"/>
      <c r="G1462" s="5"/>
      <c r="H1462" s="5"/>
      <c r="I1462" s="5"/>
      <c r="J1462" s="5"/>
      <c r="K1462" s="5"/>
      <c r="L1462" s="5"/>
      <c r="M1462" s="5"/>
      <c r="N1462" s="5"/>
    </row>
    <row r="1463" customFormat="false" ht="15" hidden="false" customHeight="false" outlineLevel="0" collapsed="false">
      <c r="A1463" s="71" t="n">
        <f aca="false">A1462+$F$3</f>
        <v>29140</v>
      </c>
      <c r="B1463" s="71" t="n">
        <f aca="false">SUMPRODUCT(固有振動数!$Q$6:$Q$22*(1-($A1463/固有振動数!$O$6:$O$22)^2)/((1-($A1463/固有振動数!$O$6:$O$22)^2)^2+固有振動数!$P$6:$P$22^2))</f>
        <v>6.90269413921393</v>
      </c>
      <c r="C1463" s="71" t="n">
        <f aca="false">-SUMPRODUCT(固有振動数!$Q$6:$Q$22*固有振動数!$P$6:$P$22/((1-($A1463/固有振動数!$O$6:$O$22)^2)^2+固有振動数!$P$6:$P$22^2))</f>
        <v>-0.823456013125265</v>
      </c>
      <c r="D1463" s="71" t="n">
        <f aca="false">SQRT(B1463^2+C1463^2)</f>
        <v>6.95163766209737</v>
      </c>
      <c r="E1463" s="72" t="n">
        <f aca="false">20*LOG10(MAX(D1463,0.000000000001)/$K$3)</f>
        <v>16.8417425488678</v>
      </c>
      <c r="F1463" s="5"/>
      <c r="G1463" s="5"/>
      <c r="H1463" s="5"/>
      <c r="I1463" s="5"/>
      <c r="J1463" s="5"/>
      <c r="K1463" s="5"/>
      <c r="L1463" s="5"/>
      <c r="M1463" s="5"/>
      <c r="N1463" s="5"/>
    </row>
    <row r="1464" customFormat="false" ht="15" hidden="false" customHeight="false" outlineLevel="0" collapsed="false">
      <c r="A1464" s="71" t="n">
        <f aca="false">A1463+$F$3</f>
        <v>29160</v>
      </c>
      <c r="B1464" s="71" t="n">
        <f aca="false">SUMPRODUCT(固有振動数!$Q$6:$Q$22*(1-($A1464/固有振動数!$O$6:$O$22)^2)/((1-($A1464/固有振動数!$O$6:$O$22)^2)^2+固有振動数!$P$6:$P$22^2))</f>
        <v>7.00584983208791</v>
      </c>
      <c r="C1464" s="71" t="n">
        <f aca="false">-SUMPRODUCT(固有振動数!$Q$6:$Q$22*固有振動数!$P$6:$P$22/((1-($A1464/固有振動数!$O$6:$O$22)^2)^2+固有振動数!$P$6:$P$22^2))</f>
        <v>-0.827228512937791</v>
      </c>
      <c r="D1464" s="71" t="n">
        <f aca="false">SQRT(B1464^2+C1464^2)</f>
        <v>7.05451903976334</v>
      </c>
      <c r="E1464" s="72" t="n">
        <f aca="false">20*LOG10(MAX(D1464,0.000000000001)/$K$3)</f>
        <v>16.9693481988107</v>
      </c>
      <c r="F1464" s="5"/>
      <c r="G1464" s="5"/>
      <c r="H1464" s="5"/>
      <c r="I1464" s="5"/>
      <c r="J1464" s="5"/>
      <c r="K1464" s="5"/>
      <c r="L1464" s="5"/>
      <c r="M1464" s="5"/>
      <c r="N1464" s="5"/>
    </row>
    <row r="1465" customFormat="false" ht="15" hidden="false" customHeight="false" outlineLevel="0" collapsed="false">
      <c r="A1465" s="71" t="n">
        <f aca="false">A1464+$F$3</f>
        <v>29180</v>
      </c>
      <c r="B1465" s="71" t="n">
        <f aca="false">SUMPRODUCT(固有振動数!$Q$6:$Q$22*(1-($A1465/固有振動数!$O$6:$O$22)^2)/((1-($A1465/固有振動数!$O$6:$O$22)^2)^2+固有振動数!$P$6:$P$22^2))</f>
        <v>7.10931554383501</v>
      </c>
      <c r="C1465" s="71" t="n">
        <f aca="false">-SUMPRODUCT(固有振動数!$Q$6:$Q$22*固有振動数!$P$6:$P$22/((1-($A1465/固有振動数!$O$6:$O$22)^2)^2+固有振動数!$P$6:$P$22^2))</f>
        <v>-0.831216455550135</v>
      </c>
      <c r="D1465" s="71" t="n">
        <f aca="false">SQRT(B1465^2+C1465^2)</f>
        <v>7.15774324056063</v>
      </c>
      <c r="E1465" s="72" t="n">
        <f aca="false">20*LOG10(MAX(D1465,0.000000000001)/$K$3)</f>
        <v>17.0955223102284</v>
      </c>
      <c r="F1465" s="5"/>
      <c r="G1465" s="5"/>
      <c r="H1465" s="5"/>
      <c r="I1465" s="5"/>
      <c r="J1465" s="5"/>
      <c r="K1465" s="5"/>
      <c r="L1465" s="5"/>
      <c r="M1465" s="5"/>
      <c r="N1465" s="5"/>
    </row>
    <row r="1466" customFormat="false" ht="15" hidden="false" customHeight="false" outlineLevel="0" collapsed="false">
      <c r="A1466" s="71" t="n">
        <f aca="false">A1465+$F$3</f>
        <v>29200</v>
      </c>
      <c r="B1466" s="71" t="n">
        <f aca="false">SUMPRODUCT(固有振動数!$Q$6:$Q$22*(1-($A1466/固有振動数!$O$6:$O$22)^2)/((1-($A1466/固有振動数!$O$6:$O$22)^2)^2+固有振動数!$P$6:$P$22^2))</f>
        <v>7.21311948753959</v>
      </c>
      <c r="C1466" s="71" t="n">
        <f aca="false">-SUMPRODUCT(固有振動数!$Q$6:$Q$22*固有振動数!$P$6:$P$22/((1-($A1466/固有振動数!$O$6:$O$22)^2)^2+固有振動数!$P$6:$P$22^2))</f>
        <v>-0.83542285441381</v>
      </c>
      <c r="D1466" s="71" t="n">
        <f aca="false">SQRT(B1466^2+C1466^2)</f>
        <v>7.26133762382664</v>
      </c>
      <c r="E1466" s="72" t="n">
        <f aca="false">20*LOG10(MAX(D1466,0.000000000001)/$K$3)</f>
        <v>17.2203326044622</v>
      </c>
      <c r="F1466" s="5"/>
      <c r="G1466" s="5"/>
      <c r="H1466" s="5"/>
      <c r="I1466" s="5"/>
      <c r="J1466" s="5"/>
      <c r="K1466" s="5"/>
      <c r="L1466" s="5"/>
      <c r="M1466" s="5"/>
      <c r="N1466" s="5"/>
    </row>
    <row r="1467" customFormat="false" ht="15" hidden="false" customHeight="false" outlineLevel="0" collapsed="false">
      <c r="A1467" s="71" t="n">
        <f aca="false">A1466+$F$3</f>
        <v>29220</v>
      </c>
      <c r="B1467" s="71" t="n">
        <f aca="false">SUMPRODUCT(固有振動数!$Q$6:$Q$22*(1-($A1467/固有振動数!$O$6:$O$22)^2)/((1-($A1467/固有振動数!$O$6:$O$22)^2)^2+固有振動数!$P$6:$P$22^2))</f>
        <v>7.31729018850693</v>
      </c>
      <c r="C1467" s="71" t="n">
        <f aca="false">-SUMPRODUCT(固有振動数!$Q$6:$Q$22*固有振動数!$P$6:$P$22/((1-($A1467/固有振動数!$O$6:$O$22)^2)^2+固有振動数!$P$6:$P$22^2))</f>
        <v>-0.83985096907608</v>
      </c>
      <c r="D1467" s="71" t="n">
        <f aca="false">SQRT(B1467^2+C1467^2)</f>
        <v>7.36532995547911</v>
      </c>
      <c r="E1467" s="72" t="n">
        <f aca="false">20*LOG10(MAX(D1467,0.000000000001)/$K$3)</f>
        <v>17.3438441468155</v>
      </c>
      <c r="F1467" s="5"/>
      <c r="G1467" s="5"/>
      <c r="H1467" s="5"/>
      <c r="I1467" s="5"/>
      <c r="J1467" s="5"/>
      <c r="K1467" s="5"/>
      <c r="L1467" s="5"/>
      <c r="M1467" s="5"/>
      <c r="N1467" s="5"/>
    </row>
    <row r="1468" customFormat="false" ht="15" hidden="false" customHeight="false" outlineLevel="0" collapsed="false">
      <c r="A1468" s="71" t="n">
        <f aca="false">A1467+$F$3</f>
        <v>29240</v>
      </c>
      <c r="B1468" s="71" t="n">
        <f aca="false">SUMPRODUCT(固有振動数!$Q$6:$Q$22*(1-($A1468/固有振動数!$O$6:$O$22)^2)/((1-($A1468/固有振動数!$O$6:$O$22)^2)^2+固有振動数!$P$6:$P$22^2))</f>
        <v>7.42185651541493</v>
      </c>
      <c r="C1468" s="71" t="n">
        <f aca="false">-SUMPRODUCT(固有振動数!$Q$6:$Q$22*固有振動数!$P$6:$P$22/((1-($A1468/固有振動数!$O$6:$O$22)^2)^2+固有振動数!$P$6:$P$22^2))</f>
        <v>-0.844504311874384</v>
      </c>
      <c r="D1468" s="71" t="n">
        <f aca="false">SQRT(B1468^2+C1468^2)</f>
        <v>7.46974843406265</v>
      </c>
      <c r="E1468" s="72" t="n">
        <f aca="false">20*LOG10(MAX(D1468,0.000000000001)/$K$3)</f>
        <v>17.4661195181336</v>
      </c>
      <c r="F1468" s="5"/>
      <c r="G1468" s="5"/>
      <c r="H1468" s="5"/>
      <c r="I1468" s="5"/>
      <c r="J1468" s="5"/>
      <c r="K1468" s="5"/>
      <c r="L1468" s="5"/>
      <c r="M1468" s="5"/>
      <c r="N1468" s="5"/>
    </row>
    <row r="1469" customFormat="false" ht="15" hidden="false" customHeight="false" outlineLevel="0" collapsed="false">
      <c r="A1469" s="71" t="n">
        <f aca="false">A1468+$F$3</f>
        <v>29260</v>
      </c>
      <c r="B1469" s="71" t="n">
        <f aca="false">SUMPRODUCT(固有振動数!$Q$6:$Q$22*(1-($A1469/固有振動数!$O$6:$O$22)^2)/((1-($A1469/固有振動数!$O$6:$O$22)^2)^2+固有振動数!$P$6:$P$22^2))</f>
        <v>7.52684771219231</v>
      </c>
      <c r="C1469" s="71" t="n">
        <f aca="false">-SUMPRODUCT(固有振動数!$Q$6:$Q$22*固有振動数!$P$6:$P$22/((1-($A1469/固有振動数!$O$6:$O$22)^2)^2+固有振動数!$P$6:$P$22^2))</f>
        <v>-0.849386655257333</v>
      </c>
      <c r="D1469" s="71" t="n">
        <f aca="false">SQRT(B1469^2+C1469^2)</f>
        <v>7.57462171812322</v>
      </c>
      <c r="E1469" s="72" t="n">
        <f aca="false">20*LOG10(MAX(D1469,0.000000000001)/$K$3)</f>
        <v>17.5872189749485</v>
      </c>
      <c r="F1469" s="5"/>
      <c r="G1469" s="5"/>
      <c r="H1469" s="5"/>
      <c r="I1469" s="5"/>
      <c r="J1469" s="5"/>
      <c r="K1469" s="5"/>
      <c r="L1469" s="5"/>
      <c r="M1469" s="5"/>
      <c r="N1469" s="5"/>
    </row>
    <row r="1470" customFormat="false" ht="15" hidden="false" customHeight="false" outlineLevel="0" collapsed="false">
      <c r="A1470" s="71" t="n">
        <f aca="false">A1469+$F$3</f>
        <v>29280</v>
      </c>
      <c r="B1470" s="71" t="n">
        <f aca="false">SUMPRODUCT(固有振動数!$Q$6:$Q$22*(1-($A1470/固有振動数!$O$6:$O$22)^2)/((1-($A1470/固有振動数!$O$6:$O$22)^2)^2+固有振動数!$P$6:$P$22^2))</f>
        <v>7.63229343069868</v>
      </c>
      <c r="C1470" s="71" t="n">
        <f aca="false">-SUMPRODUCT(固有振動数!$Q$6:$Q$22*固有振動数!$P$6:$P$22/((1-($A1470/固有振動数!$O$6:$O$22)^2)^2+固有振動数!$P$6:$P$22^2))</f>
        <v>-0.854502039760055</v>
      </c>
      <c r="D1470" s="71" t="n">
        <f aca="false">SQRT(B1470^2+C1470^2)</f>
        <v>7.67997895493473</v>
      </c>
      <c r="E1470" s="72" t="n">
        <f aca="false">20*LOG10(MAX(D1470,0.000000000001)/$K$3)</f>
        <v>17.7072005991504</v>
      </c>
      <c r="F1470" s="5"/>
      <c r="G1470" s="5"/>
      <c r="H1470" s="5"/>
      <c r="I1470" s="5"/>
      <c r="J1470" s="5"/>
      <c r="K1470" s="5"/>
      <c r="L1470" s="5"/>
      <c r="M1470" s="5"/>
      <c r="N1470" s="5"/>
    </row>
    <row r="1471" customFormat="false" ht="15" hidden="false" customHeight="false" outlineLevel="0" collapsed="false">
      <c r="A1471" s="71" t="n">
        <f aca="false">A1470+$F$3</f>
        <v>29300</v>
      </c>
      <c r="B1471" s="71" t="n">
        <f aca="false">SUMPRODUCT(固有振動数!$Q$6:$Q$22*(1-($A1471/固有振動数!$O$6:$O$22)^2)/((1-($A1471/固有振動数!$O$6:$O$22)^2)^2+固有振動数!$P$6:$P$22^2))</f>
        <v>7.73822376428529</v>
      </c>
      <c r="C1471" s="71" t="n">
        <f aca="false">-SUMPRODUCT(固有振動数!$Q$6:$Q$22*固有振動数!$P$6:$P$22/((1-($A1471/固有振動数!$O$6:$O$22)^2)^2+固有振動数!$P$6:$P$22^2))</f>
        <v>-0.859854782664495</v>
      </c>
      <c r="D1471" s="71" t="n">
        <f aca="false">SQRT(B1471^2+C1471^2)</f>
        <v>7.78584981061288</v>
      </c>
      <c r="E1471" s="72" t="n">
        <f aca="false">20*LOG10(MAX(D1471,0.000000000001)/$K$3)</f>
        <v>17.8261204380637</v>
      </c>
      <c r="F1471" s="5"/>
      <c r="G1471" s="5"/>
      <c r="H1471" s="5"/>
      <c r="I1471" s="5"/>
      <c r="J1471" s="5"/>
      <c r="K1471" s="5"/>
      <c r="L1471" s="5"/>
      <c r="M1471" s="5"/>
      <c r="N1471" s="5"/>
    </row>
    <row r="1472" customFormat="false" ht="15" hidden="false" customHeight="false" outlineLevel="0" collapsed="false">
      <c r="A1472" s="71" t="n">
        <f aca="false">A1471+$F$3</f>
        <v>29320</v>
      </c>
      <c r="B1472" s="71" t="n">
        <f aca="false">SUMPRODUCT(固有振動数!$Q$6:$Q$22*(1-($A1472/固有振動数!$O$6:$O$22)^2)/((1-($A1472/固有振動数!$O$6:$O$22)^2)^2+固有振動数!$P$6:$P$22^2))</f>
        <v>7.84466928231857</v>
      </c>
      <c r="C1472" s="71" t="n">
        <f aca="false">-SUMPRODUCT(固有振動数!$Q$6:$Q$22*固有振動数!$P$6:$P$22/((1-($A1472/固有振動数!$O$6:$O$22)^2)^2+固有振動数!$P$6:$P$22^2))</f>
        <v>-0.865449487378313</v>
      </c>
      <c r="D1472" s="71" t="n">
        <f aca="false">SQRT(B1472^2+C1472^2)</f>
        <v>7.89226450165958</v>
      </c>
      <c r="E1472" s="72" t="n">
        <f aca="false">20*LOG10(MAX(D1472,0.000000000001)/$K$3)</f>
        <v>17.9440326357244</v>
      </c>
      <c r="F1472" s="5"/>
      <c r="G1472" s="5"/>
      <c r="H1472" s="5"/>
      <c r="I1472" s="5"/>
      <c r="J1472" s="5"/>
      <c r="K1472" s="5"/>
      <c r="L1472" s="5"/>
      <c r="M1472" s="5"/>
      <c r="N1472" s="5"/>
    </row>
    <row r="1473" customFormat="false" ht="15" hidden="false" customHeight="false" outlineLevel="0" collapsed="false">
      <c r="A1473" s="71" t="n">
        <f aca="false">A1472+$F$3</f>
        <v>29340</v>
      </c>
      <c r="B1473" s="71" t="n">
        <f aca="false">SUMPRODUCT(固有振動数!$Q$6:$Q$22*(1-($A1473/固有振動数!$O$6:$O$22)^2)/((1-($A1473/固有振動数!$O$6:$O$22)^2)^2+固有振動数!$P$6:$P$22^2))</f>
        <v>7.95166106575182</v>
      </c>
      <c r="C1473" s="71" t="n">
        <f aca="false">-SUMPRODUCT(固有振動数!$Q$6:$Q$22*固有振動数!$P$6:$P$22/((1-($A1473/固有振動数!$O$6:$O$22)^2)^2+固有振動数!$P$6:$P$22^2))</f>
        <v>-0.871291053569278</v>
      </c>
      <c r="D1473" s="71" t="n">
        <f aca="false">SQRT(B1473^2+C1473^2)</f>
        <v>7.99925382799066</v>
      </c>
      <c r="E1473" s="72" t="n">
        <f aca="false">20*LOG10(MAX(D1473,0.000000000001)/$K$3)</f>
        <v>18.0609895560892</v>
      </c>
      <c r="F1473" s="5"/>
      <c r="G1473" s="5"/>
      <c r="H1473" s="5"/>
      <c r="I1473" s="5"/>
      <c r="J1473" s="5"/>
      <c r="K1473" s="5"/>
      <c r="L1473" s="5"/>
      <c r="M1473" s="5"/>
      <c r="N1473" s="5"/>
    </row>
    <row r="1474" customFormat="false" ht="15" hidden="false" customHeight="false" outlineLevel="0" collapsed="false">
      <c r="A1474" s="71" t="n">
        <f aca="false">A1473+$F$3</f>
        <v>29360</v>
      </c>
      <c r="B1474" s="71" t="n">
        <f aca="false">SUMPRODUCT(固有振動数!$Q$6:$Q$22*(1-($A1474/固有振動数!$O$6:$O$22)^2)/((1-($A1474/固有振動数!$O$6:$O$22)^2)^2+固有振動数!$P$6:$P$22^2))</f>
        <v>8.05923074383496</v>
      </c>
      <c r="C1474" s="71" t="n">
        <f aca="false">-SUMPRODUCT(固有振動数!$Q$6:$Q$22*固有振動数!$P$6:$P$22/((1-($A1474/固有振動数!$O$6:$O$22)^2)^2+固有振動数!$P$6:$P$22^2))</f>
        <v>-0.877384688095539</v>
      </c>
      <c r="D1474" s="71" t="n">
        <f aca="false">SQRT(B1474^2+C1474^2)</f>
        <v>8.10684920750837</v>
      </c>
      <c r="E1474" s="72" t="n">
        <f aca="false">20*LOG10(MAX(D1474,0.000000000001)/$K$3)</f>
        <v>18.1770418988404</v>
      </c>
      <c r="F1474" s="5"/>
      <c r="G1474" s="5"/>
      <c r="H1474" s="5"/>
      <c r="I1474" s="5"/>
      <c r="J1474" s="5"/>
      <c r="K1474" s="5"/>
      <c r="L1474" s="5"/>
      <c r="M1474" s="5"/>
      <c r="N1474" s="5"/>
    </row>
    <row r="1475" customFormat="false" ht="15" hidden="false" customHeight="false" outlineLevel="0" collapsed="false">
      <c r="A1475" s="71" t="n">
        <f aca="false">A1474+$F$3</f>
        <v>29380</v>
      </c>
      <c r="B1475" s="71" t="n">
        <f aca="false">SUMPRODUCT(固有振動数!$Q$6:$Q$22*(1-($A1475/固有振動数!$O$6:$O$22)^2)/((1-($A1475/固有振動数!$O$6:$O$22)^2)^2+固有振動数!$P$6:$P$22^2))</f>
        <v>8.16741053205614</v>
      </c>
      <c r="C1475" s="71" t="n">
        <f aca="false">-SUMPRODUCT(固有振動数!$Q$6:$Q$22*固有振動数!$P$6:$P$22/((1-($A1475/固有振動数!$O$6:$O$22)^2)^2+固有振動数!$P$6:$P$22^2))</f>
        <v>-0.883735916775853</v>
      </c>
      <c r="D1475" s="71" t="n">
        <f aca="false">SQRT(B1475^2+C1475^2)</f>
        <v>8.21508271228849</v>
      </c>
      <c r="E1475" s="72" t="n">
        <f aca="false">20*LOG10(MAX(D1475,0.000000000001)/$K$3)</f>
        <v>18.292238808397</v>
      </c>
      <c r="F1475" s="5"/>
      <c r="G1475" s="5"/>
      <c r="H1475" s="5"/>
      <c r="I1475" s="5"/>
      <c r="J1475" s="5"/>
      <c r="K1475" s="5"/>
      <c r="L1475" s="5"/>
      <c r="M1475" s="5"/>
      <c r="N1475" s="5"/>
    </row>
    <row r="1476" customFormat="false" ht="15" hidden="false" customHeight="false" outlineLevel="0" collapsed="false">
      <c r="A1476" s="71" t="n">
        <f aca="false">A1475+$F$3</f>
        <v>29400</v>
      </c>
      <c r="B1476" s="71" t="n">
        <f aca="false">SUMPRODUCT(固有振動数!$Q$6:$Q$22*(1-($A1476/固有振動数!$O$6:$O$22)^2)/((1-($A1476/固有振動数!$O$6:$O$22)^2)^2+固有振動数!$P$6:$P$22^2))</f>
        <v>8.2762332714143</v>
      </c>
      <c r="C1476" s="71" t="n">
        <f aca="false">-SUMPRODUCT(固有振動数!$Q$6:$Q$22*固有振動数!$P$6:$P$22/((1-($A1476/固有振動数!$O$6:$O$22)^2)^2+固有振動数!$P$6:$P$22^2))</f>
        <v>-0.890350597047905</v>
      </c>
      <c r="D1476" s="71" t="n">
        <f aca="false">SQRT(B1476^2+C1476^2)</f>
        <v>8.32398710646098</v>
      </c>
      <c r="E1476" s="72" t="n">
        <f aca="false">20*LOG10(MAX(D1476,0.000000000001)/$K$3)</f>
        <v>18.4066279766899</v>
      </c>
      <c r="F1476" s="5"/>
      <c r="G1476" s="5"/>
      <c r="H1476" s="5"/>
      <c r="I1476" s="5"/>
      <c r="J1476" s="5"/>
      <c r="K1476" s="5"/>
      <c r="L1476" s="5"/>
      <c r="M1476" s="5"/>
      <c r="N1476" s="5"/>
    </row>
    <row r="1477" customFormat="false" ht="15" hidden="false" customHeight="false" outlineLevel="0" collapsed="false">
      <c r="A1477" s="71" t="n">
        <f aca="false">A1476+$F$3</f>
        <v>29420</v>
      </c>
      <c r="B1477" s="71" t="n">
        <f aca="false">SUMPRODUCT(固有振動数!$Q$6:$Q$22*(1-($A1477/固有振動数!$O$6:$O$22)^2)/((1-($A1477/固有振動数!$O$6:$O$22)^2)^2+固有振動数!$P$6:$P$22^2))</f>
        <v>8.3857324691265</v>
      </c>
      <c r="C1477" s="71" t="n">
        <f aca="false">-SUMPRODUCT(固有振動数!$Q$6:$Q$22*固有振動数!$P$6:$P$22/((1-($A1477/固有振動数!$O$6:$O$22)^2)^2+固有振動数!$P$6:$P$22^2))</f>
        <v>-0.89723493156709</v>
      </c>
      <c r="D1477" s="71" t="n">
        <f aca="false">SQRT(B1477^2+C1477^2)</f>
        <v>8.43359588587138</v>
      </c>
      <c r="E1477" s="72" t="n">
        <f aca="false">20*LOG10(MAX(D1477,0.000000000001)/$K$3)</f>
        <v>18.5202557402146</v>
      </c>
      <c r="F1477" s="5"/>
      <c r="G1477" s="5"/>
      <c r="H1477" s="5"/>
      <c r="I1477" s="5"/>
      <c r="J1477" s="5"/>
      <c r="K1477" s="5"/>
      <c r="L1477" s="5"/>
      <c r="M1477" s="5"/>
      <c r="N1477" s="5"/>
    </row>
    <row r="1478" customFormat="false" ht="15" hidden="false" customHeight="false" outlineLevel="0" collapsed="false">
      <c r="A1478" s="71" t="n">
        <f aca="false">A1477+$F$3</f>
        <v>29440</v>
      </c>
      <c r="B1478" s="71" t="n">
        <f aca="false">SUMPRODUCT(固有振動数!$Q$6:$Q$22*(1-($A1478/固有振動数!$O$6:$O$22)^2)/((1-($A1478/固有振動数!$O$6:$O$22)^2)^2+固有振動数!$P$6:$P$22^2))</f>
        <v>8.49594234088017</v>
      </c>
      <c r="C1478" s="71" t="n">
        <f aca="false">-SUMPRODUCT(固有振動数!$Q$6:$Q$22*固有振動数!$P$6:$P$22/((1-($A1478/固有振動数!$O$6:$O$22)^2)^2+固有振動数!$P$6:$P$22^2))</f>
        <v>-0.90439548280287</v>
      </c>
      <c r="D1478" s="71" t="n">
        <f aca="false">SQRT(B1478^2+C1478^2)</f>
        <v>8.54394331961974</v>
      </c>
      <c r="E1478" s="72" t="n">
        <f aca="false">20*LOG10(MAX(D1478,0.000000000001)/$K$3)</f>
        <v>18.6331671718309</v>
      </c>
      <c r="F1478" s="5"/>
      <c r="G1478" s="5"/>
      <c r="H1478" s="5"/>
      <c r="I1478" s="5"/>
      <c r="J1478" s="5"/>
      <c r="K1478" s="5"/>
      <c r="L1478" s="5"/>
      <c r="M1478" s="5"/>
      <c r="N1478" s="5"/>
    </row>
    <row r="1479" customFormat="false" ht="15" hidden="false" customHeight="false" outlineLevel="0" collapsed="false">
      <c r="A1479" s="71" t="n">
        <f aca="false">A1478+$F$3</f>
        <v>29460</v>
      </c>
      <c r="B1479" s="71" t="n">
        <f aca="false">SUMPRODUCT(固有振動数!$Q$6:$Q$22*(1-($A1479/固有振動数!$O$6:$O$22)^2)/((1-($A1479/固有振動数!$O$6:$O$22)^2)^2+固有振動数!$P$6:$P$22^2))</f>
        <v>8.6068978547461</v>
      </c>
      <c r="C1479" s="71" t="n">
        <f aca="false">-SUMPRODUCT(固有振動数!$Q$6:$Q$22*固有振動数!$P$6:$P$22/((1-($A1479/固有振動数!$O$6:$O$22)^2)^2+固有振動数!$P$6:$P$22^2))</f>
        <v>-0.911839188694781</v>
      </c>
      <c r="D1479" s="71" t="n">
        <f aca="false">SQRT(B1479^2+C1479^2)</f>
        <v>8.65506449358251</v>
      </c>
      <c r="E1479" s="72" t="n">
        <f aca="false">20*LOG10(MAX(D1479,0.000000000001)/$K$3)</f>
        <v>18.7454061677468</v>
      </c>
      <c r="F1479" s="5"/>
      <c r="G1479" s="5"/>
      <c r="H1479" s="5"/>
      <c r="I1479" s="5"/>
      <c r="J1479" s="5"/>
      <c r="K1479" s="5"/>
      <c r="L1479" s="5"/>
      <c r="M1479" s="5"/>
      <c r="N1479" s="5"/>
    </row>
    <row r="1480" customFormat="false" ht="15" hidden="false" customHeight="false" outlineLevel="0" collapsed="false">
      <c r="A1480" s="71" t="n">
        <f aca="false">A1479+$F$3</f>
        <v>29480</v>
      </c>
      <c r="B1480" s="71" t="n">
        <f aca="false">SUMPRODUCT(固有振動数!$Q$6:$Q$22*(1-($A1480/固有振動数!$O$6:$O$22)^2)/((1-($A1480/固有振動数!$O$6:$O$22)^2)^2+固有振動数!$P$6:$P$22^2))</f>
        <v>8.71863477687512</v>
      </c>
      <c r="C1480" s="71" t="n">
        <f aca="false">-SUMPRODUCT(固有振動数!$Q$6:$Q$22*固有振動数!$P$6:$P$22/((1-($A1480/固有振動数!$O$6:$O$22)^2)^2+固有振動数!$P$6:$P$22^2))</f>
        <v>-0.919573379435653</v>
      </c>
      <c r="D1480" s="71" t="n">
        <f aca="false">SQRT(B1480^2+C1480^2)</f>
        <v>8.76699535603293</v>
      </c>
      <c r="E1480" s="72" t="n">
        <f aca="false">20*LOG10(MAX(D1480,0.000000000001)/$K$3)</f>
        <v>18.8570155300834</v>
      </c>
      <c r="F1480" s="5"/>
      <c r="G1480" s="5"/>
      <c r="H1480" s="5"/>
      <c r="I1480" s="5"/>
      <c r="J1480" s="5"/>
      <c r="K1480" s="5"/>
      <c r="L1480" s="5"/>
      <c r="M1480" s="5"/>
      <c r="N1480" s="5"/>
    </row>
    <row r="1481" customFormat="false" ht="15" hidden="false" customHeight="false" outlineLevel="0" collapsed="false">
      <c r="A1481" s="71" t="n">
        <f aca="false">A1480+$F$3</f>
        <v>29500</v>
      </c>
      <c r="B1481" s="71" t="n">
        <f aca="false">SUMPRODUCT(固有振動数!$Q$6:$Q$22*(1-($A1481/固有振動数!$O$6:$O$22)^2)/((1-($A1481/固有振動数!$O$6:$O$22)^2)^2+固有振動数!$P$6:$P$22^2))</f>
        <v>8.83118971910871</v>
      </c>
      <c r="C1481" s="71" t="n">
        <f aca="false">-SUMPRODUCT(固有振動数!$Q$6:$Q$22*固有振動数!$P$6:$P$22/((1-($A1481/固有振動数!$O$6:$O$22)^2)^2+固有振動数!$P$6:$P$22^2))</f>
        <v>-0.927605795455472</v>
      </c>
      <c r="D1481" s="71" t="n">
        <f aca="false">SQRT(B1481^2+C1481^2)</f>
        <v>8.87977276548527</v>
      </c>
      <c r="E1481" s="72" t="n">
        <f aca="false">20*LOG10(MAX(D1481,0.000000000001)/$K$3)</f>
        <v>18.9680370453951</v>
      </c>
      <c r="F1481" s="5"/>
      <c r="G1481" s="5"/>
      <c r="H1481" s="5"/>
      <c r="I1481" s="5"/>
      <c r="J1481" s="5"/>
      <c r="K1481" s="5"/>
      <c r="L1481" s="5"/>
      <c r="M1481" s="5"/>
      <c r="N1481" s="5"/>
    </row>
    <row r="1482" customFormat="false" ht="15" hidden="false" customHeight="false" outlineLevel="0" collapsed="false">
      <c r="A1482" s="71" t="n">
        <f aca="false">A1481+$F$3</f>
        <v>29520</v>
      </c>
      <c r="B1482" s="71" t="n">
        <f aca="false">SUMPRODUCT(固有振動数!$Q$6:$Q$22*(1-($A1482/固有振動数!$O$6:$O$22)^2)/((1-($A1482/固有振動数!$O$6:$O$22)^2)^2+固有振動数!$P$6:$P$22^2))</f>
        <v>8.94460018864173</v>
      </c>
      <c r="C1482" s="71" t="n">
        <f aca="false">-SUMPRODUCT(固有振動数!$Q$6:$Q$22*固有振動数!$P$6:$P$22/((1-($A1482/固有振動数!$O$6:$O$22)^2)^2+固有振動数!$P$6:$P$22^2))</f>
        <v>-0.935944606685762</v>
      </c>
      <c r="D1482" s="71" t="n">
        <f aca="false">SQRT(B1482^2+C1482^2)</f>
        <v>8.99343454089892</v>
      </c>
      <c r="E1482" s="72" t="n">
        <f aca="false">20*LOG10(MAX(D1482,0.000000000001)/$K$3)</f>
        <v>19.0785115594852</v>
      </c>
      <c r="F1482" s="5"/>
      <c r="G1482" s="5"/>
      <c r="H1482" s="5"/>
      <c r="I1482" s="5"/>
      <c r="J1482" s="5"/>
      <c r="K1482" s="5"/>
      <c r="L1482" s="5"/>
      <c r="M1482" s="5"/>
      <c r="N1482" s="5"/>
    </row>
    <row r="1483" customFormat="false" ht="15" hidden="false" customHeight="false" outlineLevel="0" collapsed="false">
      <c r="A1483" s="71" t="n">
        <f aca="false">A1482+$F$3</f>
        <v>29540</v>
      </c>
      <c r="B1483" s="71" t="n">
        <f aca="false">SUMPRODUCT(固有振動数!$Q$6:$Q$22*(1-($A1483/固有振動数!$O$6:$O$22)^2)/((1-($A1483/固有振動数!$O$6:$O$22)^2)^2+固有振動数!$P$6:$P$22^2))</f>
        <v>9.05890463988431</v>
      </c>
      <c r="C1483" s="71" t="n">
        <f aca="false">-SUMPRODUCT(固有振動数!$Q$6:$Q$22*固有振動数!$P$6:$P$22/((1-($A1483/固有振動数!$O$6:$O$22)^2)^2+固有振動数!$P$6:$P$22^2))</f>
        <v>-0.944598433191305</v>
      </c>
      <c r="D1483" s="71" t="n">
        <f aca="false">SQRT(B1483^2+C1483^2)</f>
        <v>9.10801951438977</v>
      </c>
      <c r="E1483" s="72" t="n">
        <f aca="false">20*LOG10(MAX(D1483,0.000000000001)/$K$3)</f>
        <v>19.1884790488373</v>
      </c>
      <c r="F1483" s="5"/>
      <c r="G1483" s="5"/>
      <c r="H1483" s="5"/>
      <c r="I1483" s="5"/>
      <c r="J1483" s="5"/>
      <c r="K1483" s="5"/>
      <c r="L1483" s="5"/>
      <c r="M1483" s="5"/>
      <c r="N1483" s="5"/>
    </row>
    <row r="1484" customFormat="false" ht="15" hidden="false" customHeight="false" outlineLevel="0" collapsed="false">
      <c r="A1484" s="71" t="n">
        <f aca="false">A1483+$F$3</f>
        <v>29560</v>
      </c>
      <c r="B1484" s="71" t="n">
        <f aca="false">SUMPRODUCT(固有振動数!$Q$6:$Q$22*(1-($A1484/固有振動数!$O$6:$O$22)^2)/((1-($A1484/固有振動数!$O$6:$O$22)^2)^2+固有振動数!$P$6:$P$22^2))</f>
        <v>9.17414252867903</v>
      </c>
      <c r="C1484" s="71" t="n">
        <f aca="false">-SUMPRODUCT(固有振動数!$Q$6:$Q$22*固有振動数!$P$6:$P$22/((1-($A1484/固有振動数!$O$6:$O$22)^2)^2+固有振動数!$P$6:$P$22^2))</f>
        <v>-0.953576367263595</v>
      </c>
      <c r="D1484" s="71" t="n">
        <f aca="false">SQRT(B1484^2+C1484^2)</f>
        <v>9.22356758660774</v>
      </c>
      <c r="E1484" s="72" t="n">
        <f aca="false">20*LOG10(MAX(D1484,0.000000000001)/$K$3)</f>
        <v>19.2979786889589</v>
      </c>
      <c r="F1484" s="5"/>
      <c r="G1484" s="5"/>
      <c r="H1484" s="5"/>
      <c r="I1484" s="5"/>
      <c r="J1484" s="5"/>
      <c r="K1484" s="5"/>
      <c r="L1484" s="5"/>
      <c r="M1484" s="5"/>
      <c r="N1484" s="5"/>
    </row>
    <row r="1485" customFormat="false" ht="15" hidden="false" customHeight="false" outlineLevel="0" collapsed="false">
      <c r="A1485" s="71" t="n">
        <f aca="false">A1484+$F$3</f>
        <v>29580</v>
      </c>
      <c r="B1485" s="71" t="n">
        <f aca="false">SUMPRODUCT(固有振動数!$Q$6:$Q$22*(1-($A1485/固有振動数!$O$6:$O$22)^2)/((1-($A1485/固有振動数!$O$6:$O$22)^2)^2+固有振動数!$P$6:$P$22^2))</f>
        <v>9.29035436904029</v>
      </c>
      <c r="C1485" s="71" t="n">
        <f aca="false">-SUMPRODUCT(固有振動数!$Q$6:$Q$22*固有振動数!$P$6:$P$22/((1-($A1485/固有振動数!$O$6:$O$22)^2)^2+固有振動数!$P$6:$P$22^2))</f>
        <v>-0.962887997078732</v>
      </c>
      <c r="D1485" s="71" t="n">
        <f aca="false">SQRT(B1485^2+C1485^2)</f>
        <v>9.34011978495267</v>
      </c>
      <c r="E1485" s="72" t="n">
        <f aca="false">20*LOG10(MAX(D1485,0.000000000001)/$K$3)</f>
        <v>19.4070489199132</v>
      </c>
      <c r="F1485" s="5"/>
      <c r="G1485" s="5"/>
      <c r="H1485" s="5"/>
      <c r="I1485" s="5"/>
      <c r="J1485" s="5"/>
      <c r="K1485" s="5"/>
      <c r="L1485" s="5"/>
      <c r="M1485" s="5"/>
      <c r="N1485" s="5"/>
    </row>
    <row r="1486" customFormat="false" ht="15" hidden="false" customHeight="false" outlineLevel="0" collapsed="false">
      <c r="A1486" s="71" t="n">
        <f aca="false">A1485+$F$3</f>
        <v>29600</v>
      </c>
      <c r="B1486" s="71" t="n">
        <f aca="false">SUMPRODUCT(固有振動数!$Q$6:$Q$22*(1-($A1486/固有振動数!$O$6:$O$22)^2)/((1-($A1486/固有振動数!$O$6:$O$22)^2)^2+固有振動数!$P$6:$P$22^2))</f>
        <v>9.40758179259341</v>
      </c>
      <c r="C1486" s="71" t="n">
        <f aca="false">-SUMPRODUCT(固有振動数!$Q$6:$Q$22*固有振動数!$P$6:$P$22/((1-($A1486/固有振動数!$O$6:$O$22)^2)^2+固有振動数!$P$6:$P$22^2))</f>
        <v>-0.972543432031415</v>
      </c>
      <c r="D1486" s="71" t="n">
        <f aca="false">SQRT(B1486^2+C1486^2)</f>
        <v>9.457718324814</v>
      </c>
      <c r="E1486" s="72" t="n">
        <f aca="false">20*LOG10(MAX(D1486,0.000000000001)/$K$3)</f>
        <v>19.5157275092984</v>
      </c>
      <c r="F1486" s="5"/>
      <c r="G1486" s="5"/>
      <c r="H1486" s="5"/>
      <c r="I1486" s="5"/>
      <c r="J1486" s="5"/>
      <c r="K1486" s="5"/>
      <c r="L1486" s="5"/>
      <c r="M1486" s="5"/>
      <c r="N1486" s="5"/>
    </row>
    <row r="1487" customFormat="false" ht="15" hidden="false" customHeight="false" outlineLevel="0" collapsed="false">
      <c r="A1487" s="71" t="n">
        <f aca="false">A1486+$F$3</f>
        <v>29620</v>
      </c>
      <c r="B1487" s="71" t="n">
        <f aca="false">SUMPRODUCT(固有振動数!$Q$6:$Q$22*(1-($A1487/固有振動数!$O$6:$O$22)^2)/((1-($A1487/固有振動数!$O$6:$O$22)^2)^2+固有振動数!$P$6:$P$22^2))</f>
        <v>9.52586761090333</v>
      </c>
      <c r="C1487" s="71" t="n">
        <f aca="false">-SUMPRODUCT(固有振動数!$Q$6:$Q$22*固有振動数!$P$6:$P$22/((1-($A1487/固有振動数!$O$6:$O$22)^2)^2+固有振動数!$P$6:$P$22^2))</f>
        <v>-0.982553329866579</v>
      </c>
      <c r="D1487" s="71" t="n">
        <f aca="false">SQRT(B1487^2+C1487^2)</f>
        <v>9.57640667403432</v>
      </c>
      <c r="E1487" s="72" t="n">
        <f aca="false">20*LOG10(MAX(D1487,0.000000000001)/$K$3)</f>
        <v>19.6240516129188</v>
      </c>
      <c r="F1487" s="5"/>
      <c r="G1487" s="5"/>
      <c r="H1487" s="5"/>
      <c r="I1487" s="5"/>
      <c r="J1487" s="5"/>
      <c r="K1487" s="5"/>
      <c r="L1487" s="5"/>
      <c r="M1487" s="5"/>
      <c r="N1487" s="5"/>
    </row>
    <row r="1488" customFormat="false" ht="15" hidden="false" customHeight="false" outlineLevel="0" collapsed="false">
      <c r="A1488" s="71" t="n">
        <f aca="false">A1487+$F$3</f>
        <v>29640</v>
      </c>
      <c r="B1488" s="71" t="n">
        <f aca="false">SUMPRODUCT(固有振動数!$Q$6:$Q$22*(1-($A1488/固有振動数!$O$6:$O$22)^2)/((1-($A1488/固有振動数!$O$6:$O$22)^2)^2+固有振動数!$P$6:$P$22^2))</f>
        <v>9.64525588089575</v>
      </c>
      <c r="C1488" s="71" t="n">
        <f aca="false">-SUMPRODUCT(固有振動数!$Q$6:$Q$22*固有振動数!$P$6:$P$22/((1-($A1488/固有振動数!$O$6:$O$22)^2)^2+固有振動数!$P$6:$P$22^2))</f>
        <v>-0.992928925741009</v>
      </c>
      <c r="D1488" s="71" t="n">
        <f aca="false">SQRT(B1488^2+C1488^2)</f>
        <v>9.69622962081279</v>
      </c>
      <c r="E1488" s="72" t="n">
        <f aca="false">20*LOG10(MAX(D1488,0.000000000001)/$K$3)</f>
        <v>19.7320578333731</v>
      </c>
      <c r="F1488" s="5"/>
      <c r="G1488" s="5"/>
      <c r="H1488" s="5"/>
      <c r="I1488" s="5"/>
      <c r="J1488" s="5"/>
      <c r="K1488" s="5"/>
      <c r="L1488" s="5"/>
      <c r="M1488" s="5"/>
      <c r="N1488" s="5"/>
    </row>
    <row r="1489" customFormat="false" ht="15" hidden="false" customHeight="false" outlineLevel="0" collapsed="false">
      <c r="A1489" s="71" t="n">
        <f aca="false">A1488+$F$3</f>
        <v>29660</v>
      </c>
      <c r="B1489" s="71" t="n">
        <f aca="false">SUMPRODUCT(固有振動数!$Q$6:$Q$22*(1-($A1489/固有振動数!$O$6:$O$22)^2)/((1-($A1489/固有振動数!$O$6:$O$22)^2)^2+固有振動数!$P$6:$P$22^2))</f>
        <v>9.76579197358785</v>
      </c>
      <c r="C1489" s="71" t="n">
        <f aca="false">-SUMPRODUCT(固有振動数!$Q$6:$Q$22*固有振動数!$P$6:$P$22/((1-($A1489/固有振動数!$O$6:$O$22)^2)^2+固有振動数!$P$6:$P$22^2))</f>
        <v>-1.003682063359</v>
      </c>
      <c r="D1489" s="71" t="n">
        <f aca="false">SQRT(B1489^2+C1489^2)</f>
        <v>9.81723334528122</v>
      </c>
      <c r="E1489" s="72" t="n">
        <f aca="false">20*LOG10(MAX(D1489,0.000000000001)/$K$3)</f>
        <v>19.83978227678</v>
      </c>
      <c r="F1489" s="5"/>
      <c r="G1489" s="5"/>
      <c r="H1489" s="5"/>
      <c r="I1489" s="5"/>
      <c r="J1489" s="5"/>
      <c r="K1489" s="5"/>
      <c r="L1489" s="5"/>
      <c r="M1489" s="5"/>
      <c r="N1489" s="5"/>
    </row>
    <row r="1490" customFormat="false" ht="15" hidden="false" customHeight="false" outlineLevel="0" collapsed="false">
      <c r="A1490" s="71" t="n">
        <f aca="false">A1489+$F$3</f>
        <v>29680</v>
      </c>
      <c r="B1490" s="71" t="n">
        <f aca="false">SUMPRODUCT(固有振動数!$Q$6:$Q$22*(1-($A1490/固有振動数!$O$6:$O$22)^2)/((1-($A1490/固有振動数!$O$6:$O$22)^2)^2+固有振動数!$P$6:$P$22^2))</f>
        <v>9.88752264636118</v>
      </c>
      <c r="C1490" s="71" t="n">
        <f aca="false">-SUMPRODUCT(固有振動数!$Q$6:$Q$22*固有振動数!$P$6:$P$22/((1-($A1490/固有振動数!$O$6:$O$22)^2)^2+固有振動数!$P$6:$P$22^2))</f>
        <v>-1.01482522833909</v>
      </c>
      <c r="D1490" s="71" t="n">
        <f aca="false">SQRT(B1490^2+C1490^2)</f>
        <v>9.93946549500418</v>
      </c>
      <c r="E1490" s="72" t="n">
        <f aca="false">20*LOG10(MAX(D1490,0.000000000001)/$K$3)</f>
        <v>19.9472606078422</v>
      </c>
      <c r="F1490" s="5"/>
      <c r="G1490" s="5"/>
      <c r="H1490" s="5"/>
      <c r="I1490" s="5"/>
      <c r="J1490" s="5"/>
      <c r="K1490" s="5"/>
      <c r="L1490" s="5"/>
      <c r="M1490" s="5"/>
      <c r="N1490" s="5"/>
    </row>
    <row r="1491" customFormat="false" ht="15" hidden="false" customHeight="false" outlineLevel="0" collapsed="false">
      <c r="A1491" s="71" t="n">
        <f aca="false">A1490+$F$3</f>
        <v>29700</v>
      </c>
      <c r="B1491" s="71" t="n">
        <f aca="false">SUMPRODUCT(固有振動数!$Q$6:$Q$22*(1-($A1491/固有振動数!$O$6:$O$22)^2)/((1-($A1491/固有振動数!$O$6:$O$22)^2)^2+固有振動数!$P$6:$P$22^2))</f>
        <v>10.0104961190259</v>
      </c>
      <c r="C1491" s="71" t="n">
        <f aca="false">-SUMPRODUCT(固有振動数!$Q$6:$Q$22*固有振動数!$P$6:$P$22/((1-($A1491/固有振動数!$O$6:$O$22)^2)^2+固有振動数!$P$6:$P$22^2))</f>
        <v>-1.02637158398308</v>
      </c>
      <c r="D1491" s="71" t="n">
        <f aca="false">SQRT(B1491^2+C1491^2)</f>
        <v>10.062975264674</v>
      </c>
      <c r="E1491" s="72" t="n">
        <f aca="false">20*LOG10(MAX(D1491,0.000000000001)/$K$3)</f>
        <v>20.0545281034462</v>
      </c>
      <c r="F1491" s="5"/>
      <c r="G1491" s="5"/>
      <c r="H1491" s="5"/>
      <c r="I1491" s="5"/>
      <c r="J1491" s="5"/>
      <c r="K1491" s="5"/>
      <c r="L1491" s="5"/>
      <c r="M1491" s="5"/>
      <c r="N1491" s="5"/>
    </row>
    <row r="1492" customFormat="false" ht="15" hidden="false" customHeight="false" outlineLevel="0" collapsed="false">
      <c r="A1492" s="71" t="n">
        <f aca="false">A1491+$F$3</f>
        <v>29720</v>
      </c>
      <c r="B1492" s="71" t="n">
        <f aca="false">SUMPRODUCT(固有振動数!$Q$6:$Q$22*(1-($A1492/固有振動数!$O$6:$O$22)^2)/((1-($A1492/固有振動数!$O$6:$O$22)^2)^2+固有振動数!$P$6:$P$22^2))</f>
        <v>10.134762153944</v>
      </c>
      <c r="C1492" s="71" t="n">
        <f aca="false">-SUMPRODUCT(固有振動数!$Q$6:$Q$22*固有振動数!$P$6:$P$22/((1-($A1492/固有振動数!$O$6:$O$22)^2)^2+固有振動数!$P$6:$P$22^2))</f>
        <v>-1.03833500963406</v>
      </c>
      <c r="D1492" s="71" t="n">
        <f aca="false">SQRT(B1492^2+C1492^2)</f>
        <v>10.1878134802934</v>
      </c>
      <c r="E1492" s="72" t="n">
        <f aca="false">20*LOG10(MAX(D1492,0.000000000001)/$K$3)</f>
        <v>20.1616197049818</v>
      </c>
      <c r="F1492" s="5"/>
      <c r="G1492" s="5"/>
      <c r="H1492" s="5"/>
      <c r="I1492" s="5"/>
      <c r="J1492" s="5"/>
      <c r="K1492" s="5"/>
      <c r="L1492" s="5"/>
      <c r="M1492" s="5"/>
      <c r="N1492" s="5"/>
    </row>
    <row r="1493" customFormat="false" ht="15" hidden="false" customHeight="false" outlineLevel="0" collapsed="false">
      <c r="A1493" s="71" t="n">
        <f aca="false">A1492+$F$3</f>
        <v>29740</v>
      </c>
      <c r="B1493" s="71" t="n">
        <f aca="false">SUMPRODUCT(固有振動数!$Q$6:$Q$22*(1-($A1493/固有振動数!$O$6:$O$22)^2)/((1-($A1493/固有振動数!$O$6:$O$22)^2)^2+固有振動数!$P$6:$P$22^2))</f>
        <v>10.260372140499</v>
      </c>
      <c r="C1493" s="71" t="n">
        <f aca="false">-SUMPRODUCT(固有振動数!$Q$6:$Q$22*固有振動数!$P$6:$P$22/((1-($A1493/固有振動数!$O$6:$O$22)^2)^2+固有振動数!$P$6:$P$22^2))</f>
        <v>-1.05073014182728</v>
      </c>
      <c r="D1493" s="71" t="n">
        <f aca="false">SQRT(B1493^2+C1493^2)</f>
        <v>10.3140326881619</v>
      </c>
      <c r="E1493" s="72" t="n">
        <f aca="false">20*LOG10(MAX(D1493,0.000000000001)/$K$3)</f>
        <v>20.2685700695618</v>
      </c>
      <c r="F1493" s="5"/>
      <c r="G1493" s="5"/>
      <c r="H1493" s="5"/>
      <c r="I1493" s="5"/>
      <c r="J1493" s="5"/>
      <c r="K1493" s="5"/>
      <c r="L1493" s="5"/>
      <c r="M1493" s="5"/>
      <c r="N1493" s="5"/>
    </row>
    <row r="1494" customFormat="false" ht="15" hidden="false" customHeight="false" outlineLevel="0" collapsed="false">
      <c r="A1494" s="71" t="n">
        <f aca="false">A1493+$F$3</f>
        <v>29760</v>
      </c>
      <c r="B1494" s="71" t="n">
        <f aca="false">SUMPRODUCT(固有振動数!$Q$6:$Q$22*(1-($A1494/固有振動数!$O$6:$O$22)^2)/((1-($A1494/固有振動数!$O$6:$O$22)^2)^2+固有振動数!$P$6:$P$22^2))</f>
        <v>10.3873791842206</v>
      </c>
      <c r="C1494" s="71" t="n">
        <f aca="false">-SUMPRODUCT(固有振動数!$Q$6:$Q$22*固有振動数!$P$6:$P$22/((1-($A1494/固有振動数!$O$6:$O$22)^2)^2+固有振動数!$P$6:$P$22^2))</f>
        <v>-1.06357241845662</v>
      </c>
      <c r="D1494" s="71" t="n">
        <f aca="false">SQRT(B1494^2+C1494^2)</f>
        <v>10.4416872490072</v>
      </c>
      <c r="E1494" s="72" t="n">
        <f aca="false">20*LOG10(MAX(D1494,0.000000000001)/$K$3)</f>
        <v>20.3754136203124</v>
      </c>
      <c r="F1494" s="5"/>
      <c r="G1494" s="5"/>
      <c r="H1494" s="5"/>
      <c r="I1494" s="5"/>
      <c r="J1494" s="5"/>
      <c r="K1494" s="5"/>
      <c r="L1494" s="5"/>
      <c r="M1494" s="5"/>
      <c r="N1494" s="5"/>
    </row>
    <row r="1495" customFormat="false" ht="15" hidden="false" customHeight="false" outlineLevel="0" collapsed="false">
      <c r="A1495" s="71" t="n">
        <f aca="false">A1494+$F$3</f>
        <v>29780</v>
      </c>
      <c r="B1495" s="71" t="n">
        <f aca="false">SUMPRODUCT(固有振動数!$Q$6:$Q$22*(1-($A1495/固有振動数!$O$6:$O$22)^2)/((1-($A1495/固有振動数!$O$6:$O$22)^2)^2+固有振動数!$P$6:$P$22^2))</f>
        <v>10.5158382008965</v>
      </c>
      <c r="C1495" s="71" t="n">
        <f aca="false">-SUMPRODUCT(固有振動数!$Q$6:$Q$22*固有振動数!$P$6:$P$22/((1-($A1495/固有振動数!$O$6:$O$22)^2)^2+固有振動数!$P$6:$P$22^2))</f>
        <v>-1.07687812619996</v>
      </c>
      <c r="D1495" s="71" t="n">
        <f aca="false">SQRT(B1495^2+C1495^2)</f>
        <v>10.5708334376303</v>
      </c>
      <c r="E1495" s="72" t="n">
        <f aca="false">20*LOG10(MAX(D1495,0.000000000001)/$K$3)</f>
        <v>20.4821845959017</v>
      </c>
      <c r="F1495" s="5"/>
      <c r="G1495" s="5"/>
      <c r="H1495" s="5"/>
      <c r="I1495" s="5"/>
      <c r="J1495" s="5"/>
      <c r="K1495" s="5"/>
      <c r="L1495" s="5"/>
      <c r="M1495" s="5"/>
      <c r="N1495" s="5"/>
    </row>
    <row r="1496" customFormat="false" ht="15" hidden="false" customHeight="false" outlineLevel="0" collapsed="false">
      <c r="A1496" s="71" t="n">
        <f aca="false">A1495+$F$3</f>
        <v>29800</v>
      </c>
      <c r="B1496" s="71" t="n">
        <f aca="false">SUMPRODUCT(固有振動数!$Q$6:$Q$22*(1-($A1496/固有振動数!$O$6:$O$22)^2)/((1-($A1496/固有振動数!$O$6:$O$22)^2)^2+固有振動数!$P$6:$P$22^2))</f>
        <v>10.6458060160309</v>
      </c>
      <c r="C1496" s="71" t="n">
        <f aca="false">-SUMPRODUCT(固有振動数!$Q$6:$Q$22*固有振動数!$P$6:$P$22/((1-($A1496/固有振動数!$O$6:$O$22)^2)^2+固有振動数!$P$6:$P$22^2))</f>
        <v>-1.09066445146982</v>
      </c>
      <c r="D1496" s="71" t="n">
        <f aca="false">SQRT(B1496^2+C1496^2)</f>
        <v>10.7015295484646</v>
      </c>
      <c r="E1496" s="72" t="n">
        <f aca="false">20*LOG10(MAX(D1496,0.000000000001)/$K$3)</f>
        <v>20.5889170994687</v>
      </c>
      <c r="F1496" s="5"/>
      <c r="G1496" s="5"/>
      <c r="H1496" s="5"/>
      <c r="I1496" s="5"/>
      <c r="J1496" s="5"/>
      <c r="K1496" s="5"/>
      <c r="L1496" s="5"/>
      <c r="M1496" s="5"/>
      <c r="N1496" s="5"/>
    </row>
    <row r="1497" customFormat="false" ht="15" hidden="false" customHeight="false" outlineLevel="0" collapsed="false">
      <c r="A1497" s="71" t="n">
        <f aca="false">A1496+$F$3</f>
        <v>29820</v>
      </c>
      <c r="B1497" s="71" t="n">
        <f aca="false">SUMPRODUCT(固有振動数!$Q$6:$Q$22*(1-($A1497/固有振動数!$O$6:$O$22)^2)/((1-($A1497/固有振動数!$O$6:$O$22)^2)^2+固有振動数!$P$6:$P$22^2))</f>
        <v>10.7773414700321</v>
      </c>
      <c r="C1497" s="71" t="n">
        <f aca="false">-SUMPRODUCT(固有振動数!$Q$6:$Q$22*固有振動数!$P$6:$P$22/((1-($A1497/固有振動数!$O$6:$O$22)^2)^2+固有振動数!$P$6:$P$22^2))</f>
        <v>-1.10494953518065</v>
      </c>
      <c r="D1497" s="71" t="n">
        <f aca="false">SQRT(B1497^2+C1497^2)</f>
        <v>10.8338360074799</v>
      </c>
      <c r="E1497" s="72" t="n">
        <f aca="false">20*LOG10(MAX(D1497,0.000000000001)/$K$3)</f>
        <v>20.6956451471105</v>
      </c>
      <c r="F1497" s="5"/>
      <c r="G1497" s="5"/>
      <c r="H1497" s="5"/>
      <c r="I1497" s="5"/>
      <c r="J1497" s="5"/>
      <c r="K1497" s="5"/>
      <c r="L1497" s="5"/>
      <c r="M1497" s="5"/>
      <c r="N1497" s="5"/>
    </row>
    <row r="1498" customFormat="false" ht="15" hidden="false" customHeight="false" outlineLevel="0" collapsed="false">
      <c r="A1498" s="71" t="n">
        <f aca="false">A1497+$F$3</f>
        <v>29840</v>
      </c>
      <c r="B1498" s="71" t="n">
        <f aca="false">SUMPRODUCT(固有振動数!$Q$6:$Q$22*(1-($A1498/固有振動数!$O$6:$O$22)^2)/((1-($A1498/固有振動数!$O$6:$O$22)^2)^2+固有振動数!$P$6:$P$22^2))</f>
        <v>10.910505529548</v>
      </c>
      <c r="C1498" s="71" t="n">
        <f aca="false">-SUMPRODUCT(固有振動数!$Q$6:$Q$22*固有振動数!$P$6:$P$22/((1-($A1498/固有振動数!$O$6:$O$22)^2)^2+固有振動数!$P$6:$P$22^2))</f>
        <v>-1.11975253165221</v>
      </c>
      <c r="D1498" s="71" t="n">
        <f aca="false">SQRT(B1498^2+C1498^2)</f>
        <v>10.9678154909006</v>
      </c>
      <c r="E1498" s="72" t="n">
        <f aca="false">20*LOG10(MAX(D1498,0.000000000001)/$K$3)</f>
        <v>20.8024027160855</v>
      </c>
      <c r="F1498" s="5"/>
      <c r="G1498" s="5"/>
      <c r="H1498" s="5"/>
      <c r="I1498" s="5"/>
      <c r="J1498" s="5"/>
      <c r="K1498" s="5"/>
      <c r="L1498" s="5"/>
      <c r="M1498" s="5"/>
      <c r="N1498" s="5"/>
    </row>
    <row r="1499" customFormat="false" ht="15" hidden="false" customHeight="false" outlineLevel="0" collapsed="false">
      <c r="A1499" s="71" t="n">
        <f aca="false">A1498+$F$3</f>
        <v>29860</v>
      </c>
      <c r="B1499" s="71" t="n">
        <f aca="false">SUMPRODUCT(固有振動数!$Q$6:$Q$22*(1-($A1499/固有振動数!$O$6:$O$22)^2)/((1-($A1499/固有振動数!$O$6:$O$22)^2)^2+固有振動数!$P$6:$P$22^2))</f>
        <v>11.0453614053976</v>
      </c>
      <c r="C1499" s="71" t="n">
        <f aca="false">-SUMPRODUCT(固有振動数!$Q$6:$Q$22*固有振動数!$P$6:$P$22/((1-($A1499/固有振動数!$O$6:$O$22)^2)^2+固有振動数!$P$6:$P$22^2))</f>
        <v>-1.13509367199924</v>
      </c>
      <c r="D1499" s="71" t="n">
        <f aca="false">SQRT(B1499^2+C1499^2)</f>
        <v>11.1035330512436</v>
      </c>
      <c r="E1499" s="72" t="n">
        <f aca="false">20*LOG10(MAX(D1499,0.000000000001)/$K$3)</f>
        <v>20.9092237928851</v>
      </c>
      <c r="F1499" s="5"/>
      <c r="G1499" s="5"/>
      <c r="H1499" s="5"/>
      <c r="I1499" s="5"/>
      <c r="J1499" s="5"/>
      <c r="K1499" s="5"/>
      <c r="L1499" s="5"/>
      <c r="M1499" s="5"/>
      <c r="N1499" s="5"/>
    </row>
    <row r="1500" customFormat="false" ht="15" hidden="false" customHeight="false" outlineLevel="0" collapsed="false">
      <c r="A1500" s="71" t="n">
        <f aca="false">A1499+$F$3</f>
        <v>29880</v>
      </c>
      <c r="B1500" s="71" t="n">
        <f aca="false">SUMPRODUCT(固有振動数!$Q$6:$Q$22*(1-($A1500/固有振動数!$O$6:$O$22)^2)/((1-($A1500/固有振動数!$O$6:$O$22)^2)^2+固有振動数!$P$6:$P$22^2))</f>
        <v>11.1819746775823</v>
      </c>
      <c r="C1500" s="71" t="n">
        <f aca="false">-SUMPRODUCT(固有振動数!$Q$6:$Q$22*固有振動数!$P$6:$P$22/((1-($A1500/固有振動数!$O$6:$O$22)^2)^2+固有振動数!$P$6:$P$22^2))</f>
        <v>-1.15099433239162</v>
      </c>
      <c r="D1500" s="71" t="n">
        <f aca="false">SQRT(B1500^2+C1500^2)</f>
        <v>11.2410562512288</v>
      </c>
      <c r="E1500" s="72" t="n">
        <f aca="false">20*LOG10(MAX(D1500,0.000000000001)/$K$3)</f>
        <v>21.0161424213295</v>
      </c>
      <c r="F1500" s="5"/>
      <c r="G1500" s="5"/>
      <c r="H1500" s="5"/>
      <c r="I1500" s="5"/>
      <c r="J1500" s="5"/>
      <c r="K1500" s="5"/>
      <c r="L1500" s="5"/>
      <c r="M1500" s="5"/>
      <c r="N1500" s="5"/>
    </row>
    <row r="1501" customFormat="false" ht="15" hidden="false" customHeight="false" outlineLevel="0" collapsed="false">
      <c r="A1501" s="71" t="n">
        <f aca="false">A1500+$F$3</f>
        <v>29900</v>
      </c>
      <c r="B1501" s="71" t="n">
        <f aca="false">SUMPRODUCT(固有振動数!$Q$6:$Q$22*(1-($A1501/固有振動数!$O$6:$O$22)^2)/((1-($A1501/固有振動数!$O$6:$O$22)^2)^2+固有振動数!$P$6:$P$22^2))</f>
        <v>11.3204134279028</v>
      </c>
      <c r="C1501" s="71" t="n">
        <f aca="false">-SUMPRODUCT(固有振動数!$Q$6:$Q$22*固有振動数!$P$6:$P$22/((1-($A1501/固有振動数!$O$6:$O$22)^2)^2+固有振動数!$P$6:$P$22^2))</f>
        <v>-1.16747710760725</v>
      </c>
      <c r="D1501" s="71" t="n">
        <f aca="false">SQRT(B1501^2+C1501^2)</f>
        <v>11.3804553061566</v>
      </c>
      <c r="E1501" s="72" t="n">
        <f aca="false">20*LOG10(MAX(D1501,0.000000000001)/$K$3)</f>
        <v>21.1231927508398</v>
      </c>
      <c r="F1501" s="5"/>
      <c r="G1501" s="5"/>
      <c r="H1501" s="5"/>
      <c r="I1501" s="5"/>
      <c r="J1501" s="5"/>
      <c r="K1501" s="5"/>
      <c r="L1501" s="5"/>
      <c r="M1501" s="5"/>
      <c r="N1501" s="5"/>
    </row>
    <row r="1502" customFormat="false" ht="15" hidden="false" customHeight="false" outlineLevel="0" collapsed="false">
      <c r="A1502" s="71" t="n">
        <f aca="false">A1501+$F$3</f>
        <v>29920</v>
      </c>
      <c r="B1502" s="71" t="n">
        <f aca="false">SUMPRODUCT(固有振動数!$Q$6:$Q$22*(1-($A1502/固有振動数!$O$6:$O$22)^2)/((1-($A1502/固有振動数!$O$6:$O$22)^2)^2+固有振動数!$P$6:$P$22^2))</f>
        <v>11.4607483807477</v>
      </c>
      <c r="C1502" s="71" t="n">
        <f aca="false">-SUMPRODUCT(固有振動数!$Q$6:$Q$22*固有振動数!$P$6:$P$22/((1-($A1502/固有振動数!$O$6:$O$22)^2)^2+固有振動数!$P$6:$P$22^2))</f>
        <v>-1.18456589034182</v>
      </c>
      <c r="D1502" s="71" t="n">
        <f aca="false">SQRT(B1502^2+C1502^2)</f>
        <v>11.5218032354043</v>
      </c>
      <c r="E1502" s="72" t="n">
        <f aca="false">20*LOG10(MAX(D1502,0.000000000001)/$K$3)</f>
        <v>21.2304090850418</v>
      </c>
      <c r="F1502" s="5"/>
      <c r="G1502" s="5"/>
      <c r="H1502" s="5"/>
      <c r="I1502" s="5"/>
      <c r="J1502" s="5"/>
      <c r="K1502" s="5"/>
      <c r="L1502" s="5"/>
      <c r="M1502" s="5"/>
      <c r="N1502" s="5"/>
    </row>
    <row r="1503" customFormat="false" ht="15" hidden="false" customHeight="false" outlineLevel="0" collapsed="false">
      <c r="A1503" s="71" t="n">
        <f aca="false">A1502+$F$3</f>
        <v>29940</v>
      </c>
      <c r="B1503" s="71" t="n">
        <f aca="false">SUMPRODUCT(固有振動数!$Q$6:$Q$22*(1-($A1503/固有振動数!$O$6:$O$22)^2)/((1-($A1503/固有振動数!$O$6:$O$22)^2)^2+固有振動数!$P$6:$P$22^2))</f>
        <v>11.6030530526692</v>
      </c>
      <c r="C1503" s="71" t="n">
        <f aca="false">-SUMPRODUCT(固有振動数!$Q$6:$Q$22*固有振動数!$P$6:$P$22/((1-($A1503/固有振動数!$O$6:$O$22)^2)^2+固有振動数!$P$6:$P$22^2))</f>
        <v>-1.20228595678605</v>
      </c>
      <c r="D1503" s="71" t="n">
        <f aca="false">SQRT(B1503^2+C1503^2)</f>
        <v>11.6651760237444</v>
      </c>
      <c r="E1503" s="72" t="n">
        <f aca="false">20*LOG10(MAX(D1503,0.000000000001)/$K$3)</f>
        <v>21.3378259308579</v>
      </c>
      <c r="F1503" s="5"/>
      <c r="G1503" s="5"/>
      <c r="H1503" s="5"/>
      <c r="I1503" s="5"/>
      <c r="J1503" s="5"/>
      <c r="K1503" s="5"/>
      <c r="L1503" s="5"/>
      <c r="M1503" s="5"/>
      <c r="N1503" s="5"/>
    </row>
    <row r="1504" customFormat="false" ht="15" hidden="false" customHeight="false" outlineLevel="0" collapsed="false">
      <c r="A1504" s="71" t="n">
        <f aca="false">A1503+$F$3</f>
        <v>29960</v>
      </c>
      <c r="B1504" s="71" t="n">
        <f aca="false">SUMPRODUCT(固有振動数!$Q$6:$Q$22*(1-($A1504/固有振動数!$O$6:$O$22)^2)/((1-($A1504/固有振動数!$O$6:$O$22)^2)^2+固有振動数!$P$6:$P$22^2))</f>
        <v>11.7474039114099</v>
      </c>
      <c r="C1504" s="71" t="n">
        <f aca="false">-SUMPRODUCT(固有振動数!$Q$6:$Q$22*固有振動数!$P$6:$P$22/((1-($A1504/固有振動数!$O$6:$O$22)^2)^2+固有振動数!$P$6:$P$22^2))</f>
        <v>-1.22066405903304</v>
      </c>
      <c r="D1504" s="71" t="n">
        <f aca="false">SQRT(B1504^2+C1504^2)</f>
        <v>11.8106527932551</v>
      </c>
      <c r="E1504" s="72" t="n">
        <f aca="false">20*LOG10(MAX(D1504,0.000000000001)/$K$3)</f>
        <v>21.4454780482457</v>
      </c>
      <c r="F1504" s="5"/>
      <c r="G1504" s="5"/>
      <c r="H1504" s="5"/>
      <c r="I1504" s="5"/>
      <c r="J1504" s="5"/>
      <c r="K1504" s="5"/>
      <c r="L1504" s="5"/>
      <c r="M1504" s="5"/>
      <c r="N1504" s="5"/>
    </row>
    <row r="1505" customFormat="false" ht="15" hidden="false" customHeight="false" outlineLevel="0" collapsed="false">
      <c r="A1505" s="71" t="n">
        <f aca="false">A1504+$F$3</f>
        <v>29980</v>
      </c>
      <c r="B1505" s="71" t="n">
        <f aca="false">SUMPRODUCT(固有振動数!$Q$6:$Q$22*(1-($A1505/固有振動数!$O$6:$O$22)^2)/((1-($A1505/固有振動数!$O$6:$O$22)^2)^2+固有振動数!$P$6:$P$22^2))</f>
        <v>11.893880545104</v>
      </c>
      <c r="C1505" s="71" t="n">
        <f aca="false">-SUMPRODUCT(固有振動数!$Q$6:$Q$22*固有振動数!$P$6:$P$22/((1-($A1505/固有振動数!$O$6:$O$22)^2)^2+固有振動数!$P$6:$P$22^2))</f>
        <v>-1.23972852493605</v>
      </c>
      <c r="D1505" s="71" t="n">
        <f aca="false">SQRT(B1505^2+C1505^2)</f>
        <v>11.9583159866573</v>
      </c>
      <c r="E1505" s="72" t="n">
        <f aca="false">20*LOG10(MAX(D1505,0.000000000001)/$K$3)</f>
        <v>21.5534005007469</v>
      </c>
      <c r="F1505" s="5"/>
      <c r="G1505" s="5"/>
      <c r="H1505" s="5"/>
      <c r="I1505" s="5"/>
      <c r="J1505" s="5"/>
      <c r="K1505" s="5"/>
      <c r="L1505" s="5"/>
      <c r="M1505" s="5"/>
      <c r="N1505" s="5"/>
    </row>
    <row r="1506" customFormat="false" ht="15" hidden="false" customHeight="false" outlineLevel="0" collapsed="false">
      <c r="A1506" s="71" t="n">
        <f aca="false">A1505+$F$3</f>
        <v>30000</v>
      </c>
      <c r="B1506" s="71" t="n">
        <f aca="false">SUMPRODUCT(固有振動数!$Q$6:$Q$22*(1-($A1506/固有振動数!$O$6:$O$22)^2)/((1-($A1506/固有振動数!$O$6:$O$22)^2)^2+固有振動数!$P$6:$P$22^2))</f>
        <v>12.0425658424352</v>
      </c>
      <c r="C1506" s="71" t="n">
        <f aca="false">-SUMPRODUCT(固有振動数!$Q$6:$Q$22*固有振動数!$P$6:$P$22/((1-($A1506/固有振動数!$O$6:$O$22)^2)^2+固有振動数!$P$6:$P$22^2))</f>
        <v>-1.25950936610125</v>
      </c>
      <c r="D1506" s="71" t="n">
        <f aca="false">SQRT(B1506^2+C1506^2)</f>
        <v>12.1082515629914</v>
      </c>
      <c r="E1506" s="72" t="n">
        <f aca="false">20*LOG10(MAX(D1506,0.000000000001)/$K$3)</f>
        <v>21.6616287070123</v>
      </c>
      <c r="F1506" s="5"/>
      <c r="G1506" s="5"/>
      <c r="H1506" s="5"/>
      <c r="I1506" s="5"/>
      <c r="J1506" s="5"/>
      <c r="K1506" s="5"/>
      <c r="L1506" s="5"/>
      <c r="M1506" s="5"/>
      <c r="N1506" s="5"/>
    </row>
    <row r="1507" customFormat="false" ht="15" hidden="false" customHeight="false" outlineLevel="0" collapsed="false">
      <c r="A1507" s="71" t="n">
        <f aca="false">A1506+$F$3</f>
        <v>30020</v>
      </c>
      <c r="B1507" s="71" t="n">
        <f aca="false">SUMPRODUCT(固有振動数!$Q$6:$Q$22*(1-($A1507/固有振動数!$O$6:$O$22)^2)/((1-($A1507/固有振動数!$O$6:$O$22)^2)^2+固有振動数!$P$6:$P$22^2))</f>
        <v>12.1935461846033</v>
      </c>
      <c r="C1507" s="71" t="n">
        <f aca="false">-SUMPRODUCT(固有振動数!$Q$6:$Q$22*固有振動数!$P$6:$P$22/((1-($A1507/固有振動数!$O$6:$O$22)^2)^2+固有振動数!$P$6:$P$22^2))</f>
        <v>-1.28003839477183</v>
      </c>
      <c r="D1507" s="71" t="n">
        <f aca="false">SQRT(B1507^2+C1507^2)</f>
        <v>12.2605492066278</v>
      </c>
      <c r="E1507" s="72" t="n">
        <f aca="false">20*LOG10(MAX(D1507,0.000000000001)/$K$3)</f>
        <v>21.7701984934777</v>
      </c>
      <c r="F1507" s="5"/>
      <c r="G1507" s="5"/>
      <c r="H1507" s="5"/>
      <c r="I1507" s="5"/>
      <c r="J1507" s="5"/>
      <c r="K1507" s="5"/>
      <c r="L1507" s="5"/>
      <c r="M1507" s="5"/>
      <c r="N1507" s="5"/>
    </row>
    <row r="1508" customFormat="false" ht="15" hidden="false" customHeight="false" outlineLevel="0" collapsed="false">
      <c r="A1508" s="71" t="n">
        <f aca="false">A1507+$F$3</f>
        <v>30040</v>
      </c>
      <c r="B1508" s="71" t="n">
        <f aca="false">SUMPRODUCT(固有振動数!$Q$6:$Q$22*(1-($A1508/固有振動数!$O$6:$O$22)^2)/((1-($A1508/固有振動数!$O$6:$O$22)^2)^2+固有振動数!$P$6:$P$22^2))</f>
        <v>12.3469116500229</v>
      </c>
      <c r="C1508" s="71" t="n">
        <f aca="false">-SUMPRODUCT(固有振動数!$Q$6:$Q$22*固有振動数!$P$6:$P$22/((1-($A1508/固有振動数!$O$6:$O$22)^2)^2+固有振動数!$P$6:$P$22^2))</f>
        <v>-1.30134935044</v>
      </c>
      <c r="D1508" s="71" t="n">
        <f aca="false">SQRT(B1508^2+C1508^2)</f>
        <v>12.4153025506977</v>
      </c>
      <c r="E1508" s="72" t="n">
        <f aca="false">20*LOG10(MAX(D1508,0.000000000001)/$K$3)</f>
        <v>21.8791461483674</v>
      </c>
      <c r="F1508" s="5"/>
      <c r="G1508" s="5"/>
      <c r="H1508" s="5"/>
      <c r="I1508" s="5"/>
      <c r="J1508" s="5"/>
      <c r="K1508" s="5"/>
      <c r="L1508" s="5"/>
      <c r="M1508" s="5"/>
      <c r="N1508" s="5"/>
    </row>
    <row r="1509" customFormat="false" ht="15" hidden="false" customHeight="false" outlineLevel="0" collapsed="false">
      <c r="A1509" s="71" t="n">
        <f aca="false">A1508+$F$3</f>
        <v>30060</v>
      </c>
      <c r="B1509" s="71" t="n">
        <f aca="false">SUMPRODUCT(固有振動数!$Q$6:$Q$22*(1-($A1509/固有振動数!$O$6:$O$22)^2)/((1-($A1509/固有振動数!$O$6:$O$22)^2)^2+固有振動数!$P$6:$P$22^2))</f>
        <v>12.5027562327629</v>
      </c>
      <c r="C1509" s="71" t="n">
        <f aca="false">-SUMPRODUCT(固有振動数!$Q$6:$Q$22*固有振動数!$P$6:$P$22/((1-($A1509/固有振動数!$O$6:$O$22)^2)^2+固有振動数!$P$6:$P$22^2))</f>
        <v>-1.32347803711315</v>
      </c>
      <c r="D1509" s="71" t="n">
        <f aca="false">SQRT(B1509^2+C1509^2)</f>
        <v>12.5726094161321</v>
      </c>
      <c r="E1509" s="72" t="n">
        <f aca="false">20*LOG10(MAX(D1509,0.000000000001)/$K$3)</f>
        <v>21.9885084772144</v>
      </c>
      <c r="F1509" s="5"/>
      <c r="G1509" s="5"/>
      <c r="H1509" s="5"/>
      <c r="I1509" s="5"/>
      <c r="J1509" s="5"/>
      <c r="K1509" s="5"/>
      <c r="L1509" s="5"/>
      <c r="M1509" s="5"/>
      <c r="N1509" s="5"/>
    </row>
    <row r="1510" customFormat="false" ht="15" hidden="false" customHeight="false" outlineLevel="0" collapsed="false">
      <c r="A1510" s="71" t="n">
        <f aca="false">A1509+$F$3</f>
        <v>30080</v>
      </c>
      <c r="B1510" s="71" t="n">
        <f aca="false">SUMPRODUCT(固有振動数!$Q$6:$Q$22*(1-($A1510/固有振動数!$O$6:$O$22)^2)/((1-($A1510/固有振動数!$O$6:$O$22)^2)^2+固有振動数!$P$6:$P$22^2))</f>
        <v>12.6611780758199</v>
      </c>
      <c r="C1510" s="71" t="n">
        <f aca="false">-SUMPRODUCT(固有振動数!$Q$6:$Q$22*固有振動数!$P$6:$P$22/((1-($A1510/固有振動数!$O$6:$O$22)^2)^2+固有振動数!$P$6:$P$22^2))</f>
        <v>-1.34646247226072</v>
      </c>
      <c r="D1510" s="71" t="n">
        <f aca="false">SQRT(B1510^2+C1510^2)</f>
        <v>12.7325720676079</v>
      </c>
      <c r="E1510" s="72" t="n">
        <f aca="false">20*LOG10(MAX(D1510,0.000000000001)/$K$3)</f>
        <v>22.0983228600915</v>
      </c>
      <c r="F1510" s="5"/>
      <c r="G1510" s="5"/>
      <c r="H1510" s="5"/>
      <c r="I1510" s="5"/>
      <c r="J1510" s="5"/>
      <c r="K1510" s="5"/>
      <c r="L1510" s="5"/>
      <c r="M1510" s="5"/>
      <c r="N1510" s="5"/>
    </row>
    <row r="1511" customFormat="false" ht="15" hidden="false" customHeight="false" outlineLevel="0" collapsed="false">
      <c r="A1511" s="71" t="n">
        <f aca="false">A1510+$F$3</f>
        <v>30100</v>
      </c>
      <c r="B1511" s="71" t="n">
        <f aca="false">SUMPRODUCT(固有振動数!$Q$6:$Q$22*(1-($A1511/固有振動数!$O$6:$O$22)^2)/((1-($A1511/固有振動数!$O$6:$O$22)^2)^2+固有振動数!$P$6:$P$22^2))</f>
        <v>12.8222797204204</v>
      </c>
      <c r="C1511" s="71" t="n">
        <f aca="false">-SUMPRODUCT(固有振動数!$Q$6:$Q$22*固有振動数!$P$6:$P$22/((1-($A1511/固有振動数!$O$6:$O$22)^2)^2+固有振動数!$P$6:$P$22^2))</f>
        <v>-1.37034304858132</v>
      </c>
      <c r="D1511" s="71" t="n">
        <f aca="false">SQRT(B1511^2+C1511^2)</f>
        <v>12.8952974878248</v>
      </c>
      <c r="E1511" s="72" t="n">
        <f aca="false">20*LOG10(MAX(D1511,0.000000000001)/$K$3)</f>
        <v>22.2086273107594</v>
      </c>
      <c r="F1511" s="5"/>
      <c r="G1511" s="5"/>
      <c r="H1511" s="5"/>
      <c r="I1511" s="5"/>
      <c r="J1511" s="5"/>
      <c r="K1511" s="5"/>
      <c r="L1511" s="5"/>
      <c r="M1511" s="5"/>
      <c r="N1511" s="5"/>
    </row>
    <row r="1512" customFormat="false" ht="15" hidden="false" customHeight="false" outlineLevel="0" collapsed="false">
      <c r="A1512" s="71" t="n">
        <f aca="false">A1511+$F$3</f>
        <v>30120</v>
      </c>
      <c r="B1512" s="71" t="n">
        <f aca="false">SUMPRODUCT(固有振動数!$Q$6:$Q$22*(1-($A1512/固有振動数!$O$6:$O$22)^2)/((1-($A1512/固有振動数!$O$6:$O$22)^2)^2+固有振動数!$P$6:$P$22^2))</f>
        <v>12.9861683726547</v>
      </c>
      <c r="C1512" s="71" t="n">
        <f aca="false">-SUMPRODUCT(固有振動数!$Q$6:$Q$22*固有振動数!$P$6:$P$22/((1-($A1512/固有振動数!$O$6:$O$22)^2)^2+固有振動数!$P$6:$P$22^2))</f>
        <v>-1.39516270985546</v>
      </c>
      <c r="D1512" s="71" t="n">
        <f aca="false">SQRT(B1512^2+C1512^2)</f>
        <v>13.0608976716728</v>
      </c>
      <c r="E1512" s="72" t="n">
        <f aca="false">20*LOG10(MAX(D1512,0.000000000001)/$K$3)</f>
        <v>22.3194605379488</v>
      </c>
      <c r="F1512" s="5"/>
      <c r="G1512" s="5"/>
      <c r="H1512" s="5"/>
      <c r="I1512" s="5"/>
      <c r="J1512" s="5"/>
      <c r="K1512" s="5"/>
      <c r="L1512" s="5"/>
      <c r="M1512" s="5"/>
      <c r="N1512" s="5"/>
    </row>
    <row r="1513" customFormat="false" ht="15" hidden="false" customHeight="false" outlineLevel="0" collapsed="false">
      <c r="A1513" s="71" t="n">
        <f aca="false">A1512+$F$3</f>
        <v>30140</v>
      </c>
      <c r="B1513" s="71" t="n">
        <f aca="false">SUMPRODUCT(固有振動数!$Q$6:$Q$22*(1-($A1513/固有振動数!$O$6:$O$22)^2)/((1-($A1513/固有振動数!$O$6:$O$22)^2)^2+固有振動数!$P$6:$P$22^2))</f>
        <v>13.1529561888607</v>
      </c>
      <c r="C1513" s="71" t="n">
        <f aca="false">-SUMPRODUCT(固有振動数!$Q$6:$Q$22*固有振動数!$P$6:$P$22/((1-($A1513/固有振動数!$O$6:$O$22)^2)^2+固有振動数!$P$6:$P$22^2))</f>
        <v>-1.42096714229205</v>
      </c>
      <c r="D1513" s="71" t="n">
        <f aca="false">SQRT(B1513^2+C1513^2)</f>
        <v>13.2294899420031</v>
      </c>
      <c r="E1513" s="72" t="n">
        <f aca="false">20*LOG10(MAX(D1513,0.000000000001)/$K$3)</f>
        <v>22.4308620090053</v>
      </c>
      <c r="F1513" s="5"/>
      <c r="G1513" s="5"/>
      <c r="H1513" s="5"/>
      <c r="I1513" s="5"/>
      <c r="J1513" s="5"/>
      <c r="K1513" s="5"/>
      <c r="L1513" s="5"/>
      <c r="M1513" s="5"/>
      <c r="N1513" s="5"/>
    </row>
    <row r="1514" customFormat="false" ht="15" hidden="false" customHeight="false" outlineLevel="0" collapsed="false">
      <c r="A1514" s="71" t="n">
        <f aca="false">A1513+$F$3</f>
        <v>30160</v>
      </c>
      <c r="B1514" s="71" t="n">
        <f aca="false">SUMPRODUCT(固有振動数!$Q$6:$Q$22*(1-($A1514/固有振動数!$O$6:$O$22)^2)/((1-($A1514/固有振動数!$O$6:$O$22)^2)^2+固有振動数!$P$6:$P$22^2))</f>
        <v>13.3227605813113</v>
      </c>
      <c r="C1514" s="71" t="n">
        <f aca="false">-SUMPRODUCT(固有振動数!$Q$6:$Q$22*固有振動数!$P$6:$P$22/((1-($A1514/固有振動数!$O$6:$O$22)^2)^2+固有振動数!$P$6:$P$22^2))</f>
        <v>-1.44780498293655</v>
      </c>
      <c r="D1514" s="71" t="n">
        <f aca="false">SQRT(B1514^2+C1514^2)</f>
        <v>13.4011972888827</v>
      </c>
      <c r="E1514" s="72" t="n">
        <f aca="false">20*LOG10(MAX(D1514,0.000000000001)/$K$3)</f>
        <v>22.5428720161416</v>
      </c>
      <c r="F1514" s="5"/>
      <c r="G1514" s="5"/>
      <c r="H1514" s="5"/>
      <c r="I1514" s="5"/>
      <c r="J1514" s="5"/>
      <c r="K1514" s="5"/>
      <c r="L1514" s="5"/>
      <c r="M1514" s="5"/>
      <c r="N1514" s="5"/>
    </row>
    <row r="1515" customFormat="false" ht="15" hidden="false" customHeight="false" outlineLevel="0" collapsed="false">
      <c r="A1515" s="71" t="n">
        <f aca="false">A1514+$F$3</f>
        <v>30180</v>
      </c>
      <c r="B1515" s="71" t="n">
        <f aca="false">SUMPRODUCT(固有振動数!$Q$6:$Q$22*(1-($A1515/固有振動数!$O$6:$O$22)^2)/((1-($A1515/固有振動数!$O$6:$O$22)^2)^2+固有振動数!$P$6:$P$22^2))</f>
        <v>13.4957045459008</v>
      </c>
      <c r="C1515" s="71" t="n">
        <f aca="false">-SUMPRODUCT(固有振動数!$Q$6:$Q$22*固有振動数!$P$6:$P$22/((1-($A1515/固有振動数!$O$6:$O$22)^2)^2+固有振動数!$P$6:$P$22^2))</f>
        <v>-1.4757280468889</v>
      </c>
      <c r="D1515" s="71" t="n">
        <f aca="false">SQRT(B1515^2+C1515^2)</f>
        <v>13.5761487344026</v>
      </c>
      <c r="E1515" s="72" t="n">
        <f aca="false">20*LOG10(MAX(D1515,0.000000000001)/$K$3)</f>
        <v>22.6555317455567</v>
      </c>
      <c r="F1515" s="5"/>
      <c r="G1515" s="5"/>
      <c r="H1515" s="5"/>
      <c r="I1515" s="5"/>
      <c r="J1515" s="5"/>
      <c r="K1515" s="5"/>
      <c r="L1515" s="5"/>
      <c r="M1515" s="5"/>
      <c r="N1515" s="5"/>
    </row>
    <row r="1516" customFormat="false" ht="15" hidden="false" customHeight="false" outlineLevel="0" collapsed="false">
      <c r="A1516" s="71" t="n">
        <f aca="false">A1515+$F$3</f>
        <v>30200</v>
      </c>
      <c r="B1516" s="71" t="n">
        <f aca="false">SUMPRODUCT(固有振動数!$Q$6:$Q$22*(1-($A1516/固有振動数!$O$6:$O$22)^2)/((1-($A1516/固有振動数!$O$6:$O$22)^2)^2+固有振動数!$P$6:$P$22^2))</f>
        <v>13.6719170136855</v>
      </c>
      <c r="C1516" s="71" t="n">
        <f aca="false">-SUMPRODUCT(固有振動数!$Q$6:$Q$22*固有振動数!$P$6:$P$22/((1-($A1516/固有振動数!$O$6:$O$22)^2)^2+固有振動数!$P$6:$P$22^2))</f>
        <v>-1.50479157528329</v>
      </c>
      <c r="D1516" s="71" t="n">
        <f aca="false">SQRT(B1516^2+C1516^2)</f>
        <v>13.7544797253167</v>
      </c>
      <c r="E1516" s="72" t="n">
        <f aca="false">20*LOG10(MAX(D1516,0.000000000001)/$K$3)</f>
        <v>22.7688833496977</v>
      </c>
      <c r="F1516" s="5"/>
      <c r="G1516" s="5"/>
      <c r="H1516" s="5"/>
      <c r="I1516" s="5"/>
      <c r="J1516" s="5"/>
      <c r="K1516" s="5"/>
      <c r="L1516" s="5"/>
      <c r="M1516" s="5"/>
      <c r="N1516" s="5"/>
    </row>
    <row r="1517" customFormat="false" ht="15" hidden="false" customHeight="false" outlineLevel="0" collapsed="false">
      <c r="A1517" s="71" t="n">
        <f aca="false">A1516+$F$3</f>
        <v>30220</v>
      </c>
      <c r="B1517" s="71" t="n">
        <f aca="false">SUMPRODUCT(固有振動数!$Q$6:$Q$22*(1-($A1517/固有振動数!$O$6:$O$22)^2)/((1-($A1517/固有振動数!$O$6:$O$22)^2)^2+固有振動数!$P$6:$P$22^2))</f>
        <v>13.8515332283093</v>
      </c>
      <c r="C1517" s="71" t="n">
        <f aca="false">-SUMPRODUCT(固有振動数!$Q$6:$Q$22*固有振動数!$P$6:$P$22/((1-($A1517/固有振動数!$O$6:$O$22)^2)^2+固有振動数!$P$6:$P$22^2))</f>
        <v>-1.53505450621201</v>
      </c>
      <c r="D1517" s="71" t="n">
        <f aca="false">SQRT(B1517^2+C1517^2)</f>
        <v>13.9363325560205</v>
      </c>
      <c r="E1517" s="72" t="n">
        <f aca="false">20*LOG10(MAX(D1517,0.000000000001)/$K$3)</f>
        <v>22.8829700229638</v>
      </c>
      <c r="F1517" s="5"/>
      <c r="G1517" s="5"/>
      <c r="H1517" s="5"/>
      <c r="I1517" s="5"/>
      <c r="J1517" s="5"/>
      <c r="K1517" s="5"/>
      <c r="L1517" s="5"/>
      <c r="M1517" s="5"/>
      <c r="N1517" s="5"/>
    </row>
    <row r="1518" customFormat="false" ht="15" hidden="false" customHeight="false" outlineLevel="0" collapsed="false">
      <c r="A1518" s="71" t="n">
        <f aca="false">A1517+$F$3</f>
        <v>30240</v>
      </c>
      <c r="B1518" s="71" t="n">
        <f aca="false">SUMPRODUCT(固有振動数!$Q$6:$Q$22*(1-($A1518/固有振動数!$O$6:$O$22)^2)/((1-($A1518/固有振動数!$O$6:$O$22)^2)^2+固有振動数!$P$6:$P$22^2))</f>
        <v>14.0346951515407</v>
      </c>
      <c r="C1518" s="71" t="n">
        <f aca="false">-SUMPRODUCT(固有振動数!$Q$6:$Q$22*固有振動数!$P$6:$P$22/((1-($A1518/固有振動数!$O$6:$O$22)^2)^2+固有振動数!$P$6:$P$22^2))</f>
        <v>-1.56657977103583</v>
      </c>
      <c r="D1518" s="71" t="n">
        <f aca="false">SQRT(B1518^2+C1518^2)</f>
        <v>14.1218568246424</v>
      </c>
      <c r="E1518" s="72" t="n">
        <f aca="false">20*LOG10(MAX(D1518,0.000000000001)/$K$3)</f>
        <v>22.9978360811685</v>
      </c>
      <c r="F1518" s="5"/>
      <c r="G1518" s="5"/>
      <c r="H1518" s="5"/>
      <c r="I1518" s="5"/>
      <c r="J1518" s="5"/>
      <c r="K1518" s="5"/>
      <c r="L1518" s="5"/>
      <c r="M1518" s="5"/>
      <c r="N1518" s="5"/>
    </row>
    <row r="1519" customFormat="false" ht="15" hidden="false" customHeight="false" outlineLevel="0" collapsed="false">
      <c r="A1519" s="71" t="n">
        <f aca="false">A1518+$F$3</f>
        <v>30260</v>
      </c>
      <c r="B1519" s="71" t="n">
        <f aca="false">SUMPRODUCT(固有振動数!$Q$6:$Q$22*(1-($A1519/固有振動数!$O$6:$O$22)^2)/((1-($A1519/固有振動数!$O$6:$O$22)^2)^2+固有振動数!$P$6:$P$22^2))</f>
        <v>14.2215518993611</v>
      </c>
      <c r="C1519" s="71" t="n">
        <f aca="false">-SUMPRODUCT(固有振動数!$Q$6:$Q$22*固有振動数!$P$6:$P$22/((1-($A1519/固有振動数!$O$6:$O$22)^2)^2+固有振動数!$P$6:$P$22^2))</f>
        <v>-1.5994346188195</v>
      </c>
      <c r="D1519" s="71" t="n">
        <f aca="false">SQRT(B1519^2+C1519^2)</f>
        <v>14.3112099253033</v>
      </c>
      <c r="E1519" s="72" t="n">
        <f aca="false">20*LOG10(MAX(D1519,0.000000000001)/$K$3)</f>
        <v>23.1135270451043</v>
      </c>
      <c r="F1519" s="5"/>
      <c r="G1519" s="5"/>
      <c r="H1519" s="5"/>
      <c r="I1519" s="5"/>
      <c r="J1519" s="5"/>
      <c r="K1519" s="5"/>
      <c r="L1519" s="5"/>
      <c r="M1519" s="5"/>
      <c r="N1519" s="5"/>
    </row>
    <row r="1520" customFormat="false" ht="15" hidden="false" customHeight="false" outlineLevel="0" collapsed="false">
      <c r="A1520" s="71" t="n">
        <f aca="false">A1519+$F$3</f>
        <v>30280</v>
      </c>
      <c r="B1520" s="71" t="n">
        <f aca="false">SUMPRODUCT(固有振動数!$Q$6:$Q$22*(1-($A1520/固有振動数!$O$6:$O$22)^2)/((1-($A1520/固有振動数!$O$6:$O$22)^2)^2+固有振動数!$P$6:$P$22^2))</f>
        <v>14.412260211281</v>
      </c>
      <c r="C1520" s="71" t="n">
        <f aca="false">-SUMPRODUCT(固有振動数!$Q$6:$Q$22*固有振動数!$P$6:$P$22/((1-($A1520/固有振動数!$O$6:$O$22)^2)^2+固有振動数!$P$6:$P$22^2))</f>
        <v>-1.63369097196592</v>
      </c>
      <c r="D1520" s="71" t="n">
        <f aca="false">SQRT(B1520^2+C1520^2)</f>
        <v>14.5045575799318</v>
      </c>
      <c r="E1520" s="72" t="n">
        <f aca="false">20*LOG10(MAX(D1520,0.000000000001)/$K$3)</f>
        <v>23.2300897285791</v>
      </c>
      <c r="F1520" s="5"/>
      <c r="G1520" s="5"/>
      <c r="H1520" s="5"/>
      <c r="I1520" s="5"/>
      <c r="J1520" s="5"/>
      <c r="K1520" s="5"/>
      <c r="L1520" s="5"/>
      <c r="M1520" s="5"/>
      <c r="N1520" s="5"/>
    </row>
    <row r="1521" customFormat="false" ht="15" hidden="false" customHeight="false" outlineLevel="0" collapsed="false">
      <c r="A1521" s="71" t="n">
        <f aca="false">A1520+$F$3</f>
        <v>30300</v>
      </c>
      <c r="B1521" s="71" t="n">
        <f aca="false">SUMPRODUCT(固有振動数!$Q$6:$Q$22*(1-($A1521/固有振動数!$O$6:$O$22)^2)/((1-($A1521/固有振動数!$O$6:$O$22)^2)^2+固有振動数!$P$6:$P$22^2))</f>
        <v>14.6069849558267</v>
      </c>
      <c r="C1521" s="71" t="n">
        <f aca="false">-SUMPRODUCT(固有振動数!$Q$6:$Q$22*固有振動数!$P$6:$P$22/((1-($A1521/固有振動数!$O$6:$O$22)^2)^2+固有振動数!$P$6:$P$22^2))</f>
        <v>-1.66942581650433</v>
      </c>
      <c r="D1521" s="71" t="n">
        <f aca="false">SQRT(B1521^2+C1521^2)</f>
        <v>14.7020744133799</v>
      </c>
      <c r="E1521" s="72" t="n">
        <f aca="false">20*LOG10(MAX(D1521,0.000000000001)/$K$3)</f>
        <v>23.3475723313222</v>
      </c>
      <c r="F1521" s="5"/>
      <c r="G1521" s="5"/>
      <c r="H1521" s="5"/>
      <c r="I1521" s="5"/>
      <c r="J1521" s="5"/>
      <c r="K1521" s="5"/>
      <c r="L1521" s="5"/>
      <c r="M1521" s="5"/>
      <c r="N1521" s="5"/>
    </row>
    <row r="1522" customFormat="false" ht="15" hidden="false" customHeight="false" outlineLevel="0" collapsed="false">
      <c r="A1522" s="71" t="n">
        <f aca="false">A1521+$F$3</f>
        <v>30320</v>
      </c>
      <c r="B1522" s="71" t="n">
        <f aca="false">SUMPRODUCT(固有振動数!$Q$6:$Q$22*(1-($A1522/固有振動数!$O$6:$O$22)^2)/((1-($A1522/固有振動数!$O$6:$O$22)^2)^2+固有振動数!$P$6:$P$22^2))</f>
        <v>14.8058996754276</v>
      </c>
      <c r="C1522" s="71" t="n">
        <f aca="false">-SUMPRODUCT(固有振動数!$Q$6:$Q$22*固有振動数!$P$6:$P$22/((1-($A1522/固有振動数!$O$6:$O$22)^2)^2+固有振動数!$P$6:$P$22^2))</f>
        <v>-1.70672163092278</v>
      </c>
      <c r="D1522" s="71" t="n">
        <f aca="false">SQRT(B1522^2+C1522^2)</f>
        <v>14.9039445759935</v>
      </c>
      <c r="E1522" s="72" t="n">
        <f aca="false">20*LOG10(MAX(D1522,0.000000000001)/$K$3)</f>
        <v>23.4660245371935</v>
      </c>
      <c r="F1522" s="5"/>
      <c r="G1522" s="5"/>
      <c r="H1522" s="5"/>
      <c r="I1522" s="5"/>
      <c r="J1522" s="5"/>
      <c r="K1522" s="5"/>
      <c r="L1522" s="5"/>
      <c r="M1522" s="5"/>
      <c r="N1522" s="5"/>
    </row>
    <row r="1523" customFormat="false" ht="15" hidden="false" customHeight="false" outlineLevel="0" collapsed="false">
      <c r="A1523" s="71" t="n">
        <f aca="false">A1522+$F$3</f>
        <v>30340</v>
      </c>
      <c r="B1523" s="71" t="n">
        <f aca="false">SUMPRODUCT(固有振動数!$Q$6:$Q$22*(1-($A1523/固有振動数!$O$6:$O$22)^2)/((1-($A1523/固有振動数!$O$6:$O$22)^2)^2+固有振動数!$P$6:$P$22^2))</f>
        <v>15.009187174259</v>
      </c>
      <c r="C1523" s="71" t="n">
        <f aca="false">-SUMPRODUCT(固有振動数!$Q$6:$Q$22*固有振動数!$P$6:$P$22/((1-($A1523/固有振動数!$O$6:$O$22)^2)^2+固有振動数!$P$6:$P$22^2))</f>
        <v>-1.74566685793054</v>
      </c>
      <c r="D1523" s="71" t="n">
        <f aca="false">SQRT(B1523^2+C1523^2)</f>
        <v>15.1103624182486</v>
      </c>
      <c r="E1523" s="72" t="n">
        <f aca="false">20*LOG10(MAX(D1523,0.000000000001)/$K$3)</f>
        <v>23.585497618161</v>
      </c>
      <c r="F1523" s="5"/>
      <c r="G1523" s="5"/>
      <c r="H1523" s="5"/>
      <c r="I1523" s="5"/>
      <c r="J1523" s="5"/>
      <c r="K1523" s="5"/>
      <c r="L1523" s="5"/>
      <c r="M1523" s="5"/>
      <c r="N1523" s="5"/>
    </row>
    <row r="1524" customFormat="false" ht="15" hidden="false" customHeight="false" outlineLevel="0" collapsed="false">
      <c r="A1524" s="71" t="n">
        <f aca="false">A1523+$F$3</f>
        <v>30360</v>
      </c>
      <c r="B1524" s="71" t="n">
        <f aca="false">SUMPRODUCT(固有振動数!$Q$6:$Q$22*(1-($A1524/固有振動数!$O$6:$O$22)^2)/((1-($A1524/固有振動数!$O$6:$O$22)^2)^2+固有振動数!$P$6:$P$22^2))</f>
        <v>15.2170401529533</v>
      </c>
      <c r="C1524" s="71" t="n">
        <f aca="false">-SUMPRODUCT(固有振動数!$Q$6:$Q$22*固有振動数!$P$6:$P$22/((1-($A1524/固有振動数!$O$6:$O$22)^2)^2+固有振動数!$P$6:$P$22^2))</f>
        <v>-1.7863564241035</v>
      </c>
      <c r="D1524" s="71" t="n">
        <f aca="false">SQRT(B1524^2+C1524^2)</f>
        <v>15.3215332225769</v>
      </c>
      <c r="E1524" s="72" t="n">
        <f aca="false">20*LOG10(MAX(D1524,0.000000000001)/$K$3)</f>
        <v>23.7060445445568</v>
      </c>
      <c r="F1524" s="5"/>
      <c r="G1524" s="5"/>
      <c r="H1524" s="5"/>
      <c r="I1524" s="5"/>
      <c r="J1524" s="5"/>
      <c r="K1524" s="5"/>
      <c r="L1524" s="5"/>
      <c r="M1524" s="5"/>
      <c r="N1524" s="5"/>
    </row>
    <row r="1525" customFormat="false" ht="15" hidden="false" customHeight="false" outlineLevel="0" collapsed="false">
      <c r="A1525" s="71" t="n">
        <f aca="false">A1524+$F$3</f>
        <v>30380</v>
      </c>
      <c r="B1525" s="71" t="n">
        <f aca="false">SUMPRODUCT(固有振動数!$Q$6:$Q$22*(1-($A1525/固有振動数!$O$6:$O$22)^2)/((1-($A1525/固有振動数!$O$6:$O$22)^2)^2+固有振動数!$P$6:$P$22^2))</f>
        <v>15.4296618944861</v>
      </c>
      <c r="C1525" s="71" t="n">
        <f aca="false">-SUMPRODUCT(固有振動数!$Q$6:$Q$22*固有振動数!$P$6:$P$22/((1-($A1525/固有振動数!$O$6:$O$22)^2)^2+固有振動数!$P$6:$P$22^2))</f>
        <v>-1.828892313014</v>
      </c>
      <c r="D1525" s="71" t="n">
        <f aca="false">SQRT(B1525^2+C1525^2)</f>
        <v>15.5376739980847</v>
      </c>
      <c r="E1525" s="72" t="n">
        <f aca="false">20*LOG10(MAX(D1525,0.000000000001)/$K$3)</f>
        <v>23.8277201021621</v>
      </c>
      <c r="F1525" s="5"/>
      <c r="G1525" s="5"/>
      <c r="H1525" s="5"/>
      <c r="I1525" s="5"/>
      <c r="J1525" s="5"/>
      <c r="K1525" s="5"/>
      <c r="L1525" s="5"/>
      <c r="M1525" s="5"/>
      <c r="N1525" s="5"/>
    </row>
    <row r="1526" customFormat="false" ht="15" hidden="false" customHeight="false" outlineLevel="0" collapsed="false">
      <c r="A1526" s="71" t="n">
        <f aca="false">A1525+$F$3</f>
        <v>30400</v>
      </c>
      <c r="B1526" s="71" t="n">
        <f aca="false">SUMPRODUCT(固有振動数!$Q$6:$Q$22*(1-($A1526/固有振動数!$O$6:$O$22)^2)/((1-($A1526/固有振動数!$O$6:$O$22)^2)^2+固有振動数!$P$6:$P$22^2))</f>
        <v>15.647267005988</v>
      </c>
      <c r="C1526" s="71" t="n">
        <f aca="false">-SUMPRODUCT(固有振動数!$Q$6:$Q$22*固有振動数!$P$6:$P$22/((1-($A1526/固有振動数!$O$6:$O$22)^2)^2+固有振動数!$P$6:$P$22^2))</f>
        <v>-1.87338419819095</v>
      </c>
      <c r="D1526" s="71" t="n">
        <f aca="false">SQRT(B1526^2+C1526^2)</f>
        <v>15.7590143445176</v>
      </c>
      <c r="E1526" s="72" t="n">
        <f aca="false">20*LOG10(MAX(D1526,0.000000000001)/$K$3)</f>
        <v>23.950581016721</v>
      </c>
      <c r="F1526" s="5"/>
      <c r="G1526" s="5"/>
      <c r="H1526" s="5"/>
      <c r="I1526" s="5"/>
      <c r="J1526" s="5"/>
      <c r="K1526" s="5"/>
      <c r="L1526" s="5"/>
      <c r="M1526" s="5"/>
      <c r="N1526" s="5"/>
    </row>
    <row r="1527" customFormat="false" ht="15" hidden="false" customHeight="false" outlineLevel="0" collapsed="false">
      <c r="A1527" s="71" t="n">
        <f aca="false">A1526+$F$3</f>
        <v>30420</v>
      </c>
      <c r="B1527" s="71" t="n">
        <f aca="false">SUMPRODUCT(固有振動数!$Q$6:$Q$22*(1-($A1527/固有振動数!$O$6:$O$22)^2)/((1-($A1527/固有振動数!$O$6:$O$22)^2)^2+固有振動数!$P$6:$P$22^2))</f>
        <v>15.8700822217168</v>
      </c>
      <c r="C1527" s="71" t="n">
        <f aca="false">-SUMPRODUCT(固有振動数!$Q$6:$Q$22*固有振動数!$P$6:$P$22/((1-($A1527/固有振動数!$O$6:$O$22)^2)^2+固有振動数!$P$6:$P$22^2))</f>
        <v>-1.91995014311085</v>
      </c>
      <c r="D1527" s="71" t="n">
        <f aca="false">SQRT(B1527^2+C1527^2)</f>
        <v>15.9857973925633</v>
      </c>
      <c r="E1527" s="72" t="n">
        <f aca="false">20*LOG10(MAX(D1527,0.000000000001)/$K$3)</f>
        <v>24.0746860865401</v>
      </c>
      <c r="F1527" s="5"/>
      <c r="G1527" s="5"/>
      <c r="H1527" s="5"/>
      <c r="I1527" s="5"/>
      <c r="J1527" s="5"/>
      <c r="K1527" s="5"/>
      <c r="L1527" s="5"/>
      <c r="M1527" s="5"/>
      <c r="N1527" s="5"/>
    </row>
    <row r="1528" customFormat="false" ht="15" hidden="false" customHeight="false" outlineLevel="0" collapsed="false">
      <c r="A1528" s="71" t="n">
        <f aca="false">A1527+$F$3</f>
        <v>30440</v>
      </c>
      <c r="B1528" s="71" t="n">
        <f aca="false">SUMPRODUCT(固有振動数!$Q$6:$Q$22*(1-($A1528/固有振動数!$O$6:$O$22)^2)/((1-($A1528/固有振動数!$O$6:$O$22)^2)^2+固有振動数!$P$6:$P$22^2))</f>
        <v>16.0983472729698</v>
      </c>
      <c r="C1528" s="71" t="n">
        <f aca="false">-SUMPRODUCT(固有振動数!$Q$6:$Q$22*固有振動数!$P$6:$P$22/((1-($A1528/固有振動数!$O$6:$O$22)^2)^2+固有振動数!$P$6:$P$22^2))</f>
        <v>-1.96871737640413</v>
      </c>
      <c r="D1528" s="71" t="n">
        <f aca="false">SQRT(B1528^2+C1528^2)</f>
        <v>16.2182808284136</v>
      </c>
      <c r="E1528" s="72" t="n">
        <f aca="false">20*LOG10(MAX(D1528,0.000000000001)/$K$3)</f>
        <v>24.200096323885</v>
      </c>
      <c r="F1528" s="5"/>
      <c r="G1528" s="5"/>
      <c r="H1528" s="5"/>
      <c r="I1528" s="5"/>
      <c r="J1528" s="5"/>
      <c r="K1528" s="5"/>
      <c r="L1528" s="5"/>
      <c r="M1528" s="5"/>
      <c r="N1528" s="5"/>
    </row>
    <row r="1529" customFormat="false" ht="15" hidden="false" customHeight="false" outlineLevel="0" collapsed="false">
      <c r="A1529" s="71" t="n">
        <f aca="false">A1528+$F$3</f>
        <v>30460</v>
      </c>
      <c r="B1529" s="71" t="n">
        <f aca="false">SUMPRODUCT(固有振動数!$Q$6:$Q$22*(1-($A1529/固有振動数!$O$6:$O$22)^2)/((1-($A1529/固有振動数!$O$6:$O$22)^2)^2+固有振動数!$P$6:$P$22^2))</f>
        <v>16.3323158313148</v>
      </c>
      <c r="C1529" s="71" t="n">
        <f aca="false">-SUMPRODUCT(固有振動数!$Q$6:$Q$22*固有振動数!$P$6:$P$22/((1-($A1529/固有振動数!$O$6:$O$22)^2)^2+固有振動数!$P$6:$P$22^2))</f>
        <v>-2.01982315159611</v>
      </c>
      <c r="D1529" s="71" t="n">
        <f aca="false">SQRT(B1529^2+C1529^2)</f>
        <v>16.4567380114511</v>
      </c>
      <c r="E1529" s="72" t="n">
        <f aca="false">20*LOG10(MAX(D1529,0.000000000001)/$K$3)</f>
        <v>24.3268751059573</v>
      </c>
      <c r="F1529" s="5"/>
      <c r="G1529" s="5"/>
      <c r="H1529" s="5"/>
      <c r="I1529" s="5"/>
      <c r="J1529" s="5"/>
      <c r="K1529" s="5"/>
      <c r="L1529" s="5"/>
      <c r="M1529" s="5"/>
      <c r="N1529" s="5"/>
    </row>
    <row r="1530" customFormat="false" ht="15" hidden="false" customHeight="false" outlineLevel="0" collapsed="false">
      <c r="A1530" s="71" t="n">
        <f aca="false">A1529+$F$3</f>
        <v>30480</v>
      </c>
      <c r="B1530" s="71" t="n">
        <f aca="false">SUMPRODUCT(固有振動数!$Q$6:$Q$22*(1-($A1530/固有振動数!$O$6:$O$22)^2)/((1-($A1530/固有振動数!$O$6:$O$22)^2)^2+固有振動数!$P$6:$P$22^2))</f>
        <v>16.5722565321872</v>
      </c>
      <c r="C1530" s="71" t="n">
        <f aca="false">-SUMPRODUCT(固有振動数!$Q$6:$Q$22*固有振動数!$P$6:$P$22/((1-($A1530/固有振動数!$O$6:$O$22)^2)^2+固有振動数!$P$6:$P$22^2))</f>
        <v>-2.07341570201232</v>
      </c>
      <c r="D1530" s="71" t="n">
        <f aca="false">SQRT(B1530^2+C1530^2)</f>
        <v>16.7014591949917</v>
      </c>
      <c r="E1530" s="72" t="n">
        <f aca="false">20*LOG10(MAX(D1530,0.000000000001)/$K$3)</f>
        <v>24.4550883363029</v>
      </c>
      <c r="F1530" s="5"/>
      <c r="G1530" s="5"/>
      <c r="H1530" s="5"/>
      <c r="I1530" s="5"/>
      <c r="J1530" s="5"/>
      <c r="K1530" s="5"/>
      <c r="L1530" s="5"/>
      <c r="M1530" s="5"/>
      <c r="N1530" s="5"/>
    </row>
    <row r="1531" customFormat="false" ht="15" hidden="false" customHeight="false" outlineLevel="0" collapsed="false">
      <c r="A1531" s="71" t="n">
        <f aca="false">A1530+$F$3</f>
        <v>30500</v>
      </c>
      <c r="B1531" s="71" t="n">
        <f aca="false">SUMPRODUCT(固有振動数!$Q$6:$Q$22*(1-($A1531/固有振動数!$O$6:$O$22)^2)/((1-($A1531/固有振動数!$O$6:$O$22)^2)^2+固有振動数!$P$6:$P$22^2))</f>
        <v>16.8184540866402</v>
      </c>
      <c r="C1531" s="71" t="n">
        <f aca="false">-SUMPRODUCT(固有振動数!$Q$6:$Q$22*固有振動数!$P$6:$P$22/((1-($A1531/固有振動数!$O$6:$O$22)^2)^2+固有振動数!$P$6:$P$22^2))</f>
        <v>-2.12965530299526</v>
      </c>
      <c r="D1531" s="71" t="n">
        <f aca="false">SQRT(B1531^2+C1531^2)</f>
        <v>16.9527528612317</v>
      </c>
      <c r="E1531" s="72" t="n">
        <f aca="false">20*LOG10(MAX(D1531,0.000000000001)/$K$3)</f>
        <v>24.5848046175875</v>
      </c>
      <c r="F1531" s="5"/>
      <c r="G1531" s="5"/>
      <c r="H1531" s="5"/>
      <c r="I1531" s="5"/>
      <c r="J1531" s="5"/>
      <c r="K1531" s="5"/>
      <c r="L1531" s="5"/>
      <c r="M1531" s="5"/>
      <c r="N1531" s="5"/>
    </row>
    <row r="1532" customFormat="false" ht="15" hidden="false" customHeight="false" outlineLevel="0" collapsed="false">
      <c r="A1532" s="71" t="n">
        <f aca="false">A1531+$F$3</f>
        <v>30520</v>
      </c>
      <c r="B1532" s="71" t="n">
        <f aca="false">SUMPRODUCT(固有振動数!$Q$6:$Q$22*(1-($A1532/固有振動数!$O$6:$O$22)^2)/((1-($A1532/固有振動数!$O$6:$O$22)^2)^2+固有振動数!$P$6:$P$22^2))</f>
        <v>17.0712104898536</v>
      </c>
      <c r="C1532" s="71" t="n">
        <f aca="false">-SUMPRODUCT(固有振動数!$Q$6:$Q$22*固有振動数!$P$6:$P$22/((1-($A1532/固有振動数!$O$6:$O$22)^2)^2+固有振動数!$P$6:$P$22^2))</f>
        <v>-2.1887154553399</v>
      </c>
      <c r="D1532" s="71" t="n">
        <f aca="false">SQRT(B1532^2+C1532^2)</f>
        <v>17.210947182922</v>
      </c>
      <c r="E1532" s="72" t="n">
        <f aca="false">20*LOG10(MAX(D1532,0.000000000001)/$K$3)</f>
        <v>24.7160954367626</v>
      </c>
      <c r="F1532" s="5"/>
      <c r="G1532" s="5"/>
      <c r="H1532" s="5"/>
      <c r="I1532" s="5"/>
      <c r="J1532" s="5"/>
      <c r="K1532" s="5"/>
      <c r="L1532" s="5"/>
      <c r="M1532" s="5"/>
      <c r="N1532" s="5"/>
    </row>
    <row r="1533" customFormat="false" ht="15" hidden="false" customHeight="false" outlineLevel="0" collapsed="false">
      <c r="A1533" s="71" t="n">
        <f aca="false">A1532+$F$3</f>
        <v>30540</v>
      </c>
      <c r="B1533" s="71" t="n">
        <f aca="false">SUMPRODUCT(固有振動数!$Q$6:$Q$22*(1-($A1533/固有振動数!$O$6:$O$22)^2)/((1-($A1533/固有振動数!$O$6:$O$22)^2)^2+固有振動数!$P$6:$P$22^2))</f>
        <v>17.3308463359203</v>
      </c>
      <c r="C1533" s="71" t="n">
        <f aca="false">-SUMPRODUCT(固有振動数!$Q$6:$Q$22*固有振動数!$P$6:$P$22/((1-($A1533/固有振動数!$O$6:$O$22)^2)^2+固有振動数!$P$6:$P$22^2))</f>
        <v>-2.25078420590022</v>
      </c>
      <c r="D1533" s="71" t="n">
        <f aca="false">SQRT(B1533^2+C1533^2)</f>
        <v>17.476391625871</v>
      </c>
      <c r="E1533" s="72" t="n">
        <f aca="false">20*LOG10(MAX(D1533,0.000000000001)/$K$3)</f>
        <v>24.8490353637456</v>
      </c>
      <c r="F1533" s="5"/>
      <c r="G1533" s="5"/>
      <c r="H1533" s="5"/>
      <c r="I1533" s="5"/>
      <c r="J1533" s="5"/>
      <c r="K1533" s="5"/>
      <c r="L1533" s="5"/>
      <c r="M1533" s="5"/>
      <c r="N1533" s="5"/>
    </row>
    <row r="1534" customFormat="false" ht="15" hidden="false" customHeight="false" outlineLevel="0" collapsed="false">
      <c r="A1534" s="71" t="n">
        <f aca="false">A1533+$F$3</f>
        <v>30560</v>
      </c>
      <c r="B1534" s="71" t="n">
        <f aca="false">SUMPRODUCT(固有振動数!$Q$6:$Q$22*(1-($A1534/固有振動数!$O$6:$O$22)^2)/((1-($A1534/固有振動数!$O$6:$O$22)^2)^2+固有振動数!$P$6:$P$22^2))</f>
        <v>17.5977022494295</v>
      </c>
      <c r="C1534" s="71" t="n">
        <f aca="false">-SUMPRODUCT(固有振動数!$Q$6:$Q$22*固有振動数!$P$6:$P$22/((1-($A1534/固有振動数!$O$6:$O$22)^2)^2+固有振動数!$P$6:$P$22^2))</f>
        <v>-2.31606562370196</v>
      </c>
      <c r="D1534" s="71" t="n">
        <f aca="false">SQRT(B1534^2+C1534^2)</f>
        <v>17.7494587081655</v>
      </c>
      <c r="E1534" s="72" t="n">
        <f aca="false">20*LOG10(MAX(D1534,0.000000000001)/$K$3)</f>
        <v>24.9837022648461</v>
      </c>
      <c r="F1534" s="5"/>
      <c r="G1534" s="5"/>
      <c r="H1534" s="5"/>
      <c r="I1534" s="5"/>
      <c r="J1534" s="5"/>
      <c r="K1534" s="5"/>
      <c r="L1534" s="5"/>
      <c r="M1534" s="5"/>
      <c r="N1534" s="5"/>
    </row>
    <row r="1535" customFormat="false" ht="15" hidden="false" customHeight="false" outlineLevel="0" collapsed="false">
      <c r="A1535" s="71" t="n">
        <f aca="false">A1534+$F$3</f>
        <v>30580</v>
      </c>
      <c r="B1535" s="71" t="n">
        <f aca="false">SUMPRODUCT(固有振動数!$Q$6:$Q$22*(1-($A1535/固有振動数!$O$6:$O$22)^2)/((1-($A1535/固有振動数!$O$6:$O$22)^2)^2+固有振動数!$P$6:$P$22^2))</f>
        <v>17.8721404454813</v>
      </c>
      <c r="C1535" s="71" t="n">
        <f aca="false">-SUMPRODUCT(固有振動数!$Q$6:$Q$22*固有振動数!$P$6:$P$22/((1-($A1535/固有振動数!$O$6:$O$22)^2)^2+固有振動数!$P$6:$P$22^2))</f>
        <v>-2.38478145267753</v>
      </c>
      <c r="D1535" s="71" t="n">
        <f aca="false">SQRT(B1535^2+C1535^2)</f>
        <v>18.0305459340543</v>
      </c>
      <c r="E1535" s="72" t="n">
        <f aca="false">20*LOG10(MAX(D1535,0.000000000001)/$K$3)</f>
        <v>25.1201775322936</v>
      </c>
      <c r="F1535" s="5"/>
      <c r="G1535" s="5"/>
      <c r="H1535" s="5"/>
      <c r="I1535" s="5"/>
      <c r="J1535" s="5"/>
      <c r="K1535" s="5"/>
      <c r="L1535" s="5"/>
      <c r="M1535" s="5"/>
      <c r="N1535" s="5"/>
    </row>
    <row r="1536" customFormat="false" ht="15" hidden="false" customHeight="false" outlineLevel="0" collapsed="false">
      <c r="A1536" s="71" t="n">
        <f aca="false">A1535+$F$3</f>
        <v>30600</v>
      </c>
      <c r="B1536" s="71" t="n">
        <f aca="false">SUMPRODUCT(固有振動数!$Q$6:$Q$22*(1-($A1536/固有振動数!$O$6:$O$22)^2)/((1-($A1536/固有振動数!$O$6:$O$22)^2)^2+固有振動数!$P$6:$P$22^2))</f>
        <v>18.1545464309902</v>
      </c>
      <c r="C1536" s="71" t="n">
        <f aca="false">-SUMPRODUCT(固有振動数!$Q$6:$Q$22*固有振動数!$P$6:$P$22/((1-($A1536/固有振動数!$O$6:$O$22)^2)^2+固有振動数!$P$6:$P$22^2))</f>
        <v>-2.45717296539191</v>
      </c>
      <c r="D1536" s="71" t="n">
        <f aca="false">SQRT(B1536^2+C1536^2)</f>
        <v>18.3200779227827</v>
      </c>
      <c r="E1536" s="72" t="n">
        <f aca="false">20*LOG10(MAX(D1536,0.000000000001)/$K$3)</f>
        <v>25.2585463313556</v>
      </c>
      <c r="F1536" s="5"/>
      <c r="G1536" s="5"/>
      <c r="H1536" s="5"/>
      <c r="I1536" s="5"/>
      <c r="J1536" s="5"/>
      <c r="K1536" s="5"/>
      <c r="L1536" s="5"/>
      <c r="M1536" s="5"/>
      <c r="N1536" s="5"/>
    </row>
    <row r="1537" customFormat="false" ht="15" hidden="false" customHeight="false" outlineLevel="0" collapsed="false">
      <c r="A1537" s="71" t="n">
        <f aca="false">A1536+$F$3</f>
        <v>30620</v>
      </c>
      <c r="B1537" s="71" t="n">
        <f aca="false">SUMPRODUCT(固有振動数!$Q$6:$Q$22*(1-($A1537/固有振動数!$O$6:$O$22)^2)/((1-($A1537/固有振動数!$O$6:$O$22)^2)^2+固有振動数!$P$6:$P$22^2))</f>
        <v>18.4453308614833</v>
      </c>
      <c r="C1537" s="71" t="n">
        <f aca="false">-SUMPRODUCT(固有振動数!$Q$6:$Q$22*固有振動数!$P$6:$P$22/((1-($A1537/固有振動数!$O$6:$O$22)^2)^2+固有振動数!$P$6:$P$22^2))</f>
        <v>-2.53350304594283</v>
      </c>
      <c r="D1537" s="71" t="n">
        <f aca="false">SQRT(B1537^2+C1537^2)</f>
        <v>18.6185087553593</v>
      </c>
      <c r="E1537" s="72" t="n">
        <f aca="false">20*LOG10(MAX(D1537,0.000000000001)/$K$3)</f>
        <v>25.3988978666828</v>
      </c>
      <c r="F1537" s="5"/>
      <c r="G1537" s="5"/>
      <c r="H1537" s="5"/>
      <c r="I1537" s="5"/>
      <c r="J1537" s="5"/>
      <c r="K1537" s="5"/>
      <c r="L1537" s="5"/>
      <c r="M1537" s="5"/>
      <c r="N1537" s="5"/>
    </row>
    <row r="1538" customFormat="false" ht="15" hidden="false" customHeight="false" outlineLevel="0" collapsed="false">
      <c r="A1538" s="71" t="n">
        <f aca="false">A1537+$F$3</f>
        <v>30640</v>
      </c>
      <c r="B1538" s="71" t="n">
        <f aca="false">SUMPRODUCT(固有振動数!$Q$6:$Q$22*(1-($A1538/固有振動数!$O$6:$O$22)^2)/((1-($A1538/固有振動数!$O$6:$O$22)^2)^2+固有振動数!$P$6:$P$22^2))</f>
        <v>18.7449315690742</v>
      </c>
      <c r="C1538" s="71" t="n">
        <f aca="false">-SUMPRODUCT(固有振動数!$Q$6:$Q$22*固有振動数!$P$6:$P$22/((1-($A1538/固有振動数!$O$6:$O$22)^2)^2+固有振動数!$P$6:$P$22^2))</f>
        <v>-2.61405853470028</v>
      </c>
      <c r="D1538" s="71" t="n">
        <f aca="false">SQRT(B1538^2+C1538^2)</f>
        <v>18.9263245653274</v>
      </c>
      <c r="E1538" s="72" t="n">
        <f aca="false">20*LOG10(MAX(D1538,0.000000000001)/$K$3)</f>
        <v>25.5413256696853</v>
      </c>
      <c r="F1538" s="5"/>
      <c r="G1538" s="5"/>
      <c r="H1538" s="5"/>
      <c r="I1538" s="5"/>
      <c r="J1538" s="5"/>
      <c r="K1538" s="5"/>
      <c r="L1538" s="5"/>
      <c r="M1538" s="5"/>
      <c r="N1538" s="5"/>
    </row>
    <row r="1539" customFormat="false" ht="15" hidden="false" customHeight="false" outlineLevel="0" collapsed="false">
      <c r="A1539" s="71" t="n">
        <f aca="false">A1538+$F$3</f>
        <v>30660</v>
      </c>
      <c r="B1539" s="71" t="n">
        <f aca="false">SUMPRODUCT(固有振動数!$Q$6:$Q$22*(1-($A1539/固有振動数!$O$6:$O$22)^2)/((1-($A1539/固有振動数!$O$6:$O$22)^2)^2+固有振動数!$P$6:$P$22^2))</f>
        <v>19.0538157789054</v>
      </c>
      <c r="C1539" s="71" t="n">
        <f aca="false">-SUMPRODUCT(固有振動数!$Q$6:$Q$22*固有振動数!$P$6:$P$22/((1-($A1539/固有振動数!$O$6:$O$22)^2)^2+固有振動数!$P$6:$P$22^2))</f>
        <v>-2.69915287283061</v>
      </c>
      <c r="D1539" s="71" t="n">
        <f aca="false">SQRT(B1539^2+C1539^2)</f>
        <v>19.2440464031703</v>
      </c>
      <c r="E1539" s="72" t="n">
        <f aca="false">20*LOG10(MAX(D1539,0.000000000001)/$K$3)</f>
        <v>25.685927908922</v>
      </c>
      <c r="F1539" s="5"/>
      <c r="G1539" s="5"/>
      <c r="H1539" s="5"/>
      <c r="I1539" s="5"/>
      <c r="J1539" s="5"/>
      <c r="K1539" s="5"/>
      <c r="L1539" s="5"/>
      <c r="M1539" s="5"/>
      <c r="N1539" s="5"/>
    </row>
    <row r="1540" customFormat="false" ht="15" hidden="false" customHeight="false" outlineLevel="0" collapsed="false">
      <c r="A1540" s="71" t="n">
        <f aca="false">A1539+$F$3</f>
        <v>30680</v>
      </c>
      <c r="B1540" s="71" t="n">
        <f aca="false">SUMPRODUCT(固有振動数!$Q$6:$Q$22*(1-($A1540/固有振動数!$O$6:$O$22)^2)/((1-($A1540/固有振動数!$O$6:$O$22)^2)^2+固有振動数!$P$6:$P$22^2))</f>
        <v>19.372482533097</v>
      </c>
      <c r="C1540" s="71" t="n">
        <f aca="false">-SUMPRODUCT(固有振動数!$Q$6:$Q$22*固有振動数!$P$6:$P$22/((1-($A1540/固有振動数!$O$6:$O$22)^2)^2+固有振動数!$P$6:$P$22^2))</f>
        <v>-2.7891290907842</v>
      </c>
      <c r="D1540" s="71" t="n">
        <f aca="false">SQRT(B1540^2+C1540^2)</f>
        <v>19.572233408076</v>
      </c>
      <c r="E1540" s="72" t="n">
        <f aca="false">20*LOG10(MAX(D1540,0.000000000001)/$K$3)</f>
        <v>25.8328077256891</v>
      </c>
      <c r="F1540" s="5"/>
      <c r="G1540" s="5"/>
      <c r="H1540" s="5"/>
      <c r="I1540" s="5"/>
      <c r="J1540" s="5"/>
      <c r="K1540" s="5"/>
      <c r="L1540" s="5"/>
      <c r="M1540" s="5"/>
      <c r="N1540" s="5"/>
    </row>
    <row r="1541" customFormat="false" ht="15" hidden="false" customHeight="false" outlineLevel="0" collapsed="false">
      <c r="A1541" s="71" t="n">
        <f aca="false">A1540+$F$3</f>
        <v>30700</v>
      </c>
      <c r="B1541" s="71" t="n">
        <f aca="false">SUMPRODUCT(固有振動数!$Q$6:$Q$22*(1-($A1541/固有振動数!$O$6:$O$22)^2)/((1-($A1541/固有振動数!$O$6:$O$22)^2)^2+固有振動数!$P$6:$P$22^2))</f>
        <v>19.7014653431213</v>
      </c>
      <c r="C1541" s="71" t="n">
        <f aca="false">-SUMPRODUCT(固有振動数!$Q$6:$Q$22*固有振動数!$P$6:$P$22/((1-($A1541/固有振動数!$O$6:$O$22)^2)^2+固有振動数!$P$6:$P$22^2))</f>
        <v>-2.88436319230533</v>
      </c>
      <c r="D1541" s="71" t="n">
        <f aca="false">SQRT(B1541^2+C1541^2)</f>
        <v>19.9114863255192</v>
      </c>
      <c r="E1541" s="72" t="n">
        <f aca="false">20*LOG10(MAX(D1541,0.000000000001)/$K$3)</f>
        <v>25.9820735972116</v>
      </c>
      <c r="F1541" s="5"/>
      <c r="G1541" s="5"/>
      <c r="H1541" s="5"/>
      <c r="I1541" s="5"/>
      <c r="J1541" s="5"/>
      <c r="K1541" s="5"/>
      <c r="L1541" s="5"/>
      <c r="M1541" s="5"/>
      <c r="N1541" s="5"/>
    </row>
    <row r="1542" customFormat="false" ht="15" hidden="false" customHeight="false" outlineLevel="0" collapsed="false">
      <c r="A1542" s="71" t="n">
        <f aca="false">A1541+$F$3</f>
        <v>30720</v>
      </c>
      <c r="B1542" s="71" t="n">
        <f aca="false">SUMPRODUCT(固有振動数!$Q$6:$Q$22*(1-($A1542/固有振動数!$O$6:$O$22)^2)/((1-($A1542/固有振動数!$O$6:$O$22)^2)^2+固有振動数!$P$6:$P$22^2))</f>
        <v>20.0413350935236</v>
      </c>
      <c r="C1542" s="71" t="n">
        <f aca="false">-SUMPRODUCT(固有振動数!$Q$6:$Q$22*固有振動数!$P$6:$P$22/((1-($A1542/固有振動数!$O$6:$O$22)^2)^2+固有振動数!$P$6:$P$22^2))</f>
        <v>-2.98526799428019</v>
      </c>
      <c r="D1542" s="71" t="n">
        <f aca="false">SQRT(B1542^2+C1542^2)</f>
        <v>20.2624514145888</v>
      </c>
      <c r="E1542" s="72" t="n">
        <f aca="false">20*LOG10(MAX(D1542,0.000000000001)/$K$3)</f>
        <v>26.1338397300851</v>
      </c>
      <c r="F1542" s="5"/>
      <c r="G1542" s="5"/>
      <c r="H1542" s="5"/>
      <c r="I1542" s="5"/>
      <c r="J1542" s="5"/>
      <c r="K1542" s="5"/>
      <c r="L1542" s="5"/>
      <c r="M1542" s="5"/>
      <c r="N1542" s="5"/>
    </row>
    <row r="1543" customFormat="false" ht="15" hidden="false" customHeight="false" outlineLevel="0" collapsed="false">
      <c r="A1543" s="71" t="n">
        <f aca="false">A1542+$F$3</f>
        <v>30740</v>
      </c>
      <c r="B1543" s="71" t="n">
        <f aca="false">SUMPRODUCT(固有振動数!$Q$6:$Q$22*(1-($A1543/固有振動数!$O$6:$O$22)^2)/((1-($A1543/固有振動数!$O$6:$O$22)^2)^2+固有振動数!$P$6:$P$22^2))</f>
        <v>20.3927032220127</v>
      </c>
      <c r="C1543" s="71" t="n">
        <f aca="false">-SUMPRODUCT(固有振動数!$Q$6:$Q$22*固有振動数!$P$6:$P$22/((1-($A1543/固有振動数!$O$6:$O$22)^2)^2+固有振動数!$P$6:$P$22^2))</f>
        <v>-3.09229749315751</v>
      </c>
      <c r="D1543" s="71" t="n">
        <f aca="false">SQRT(B1543^2+C1543^2)</f>
        <v>20.6258247953209</v>
      </c>
      <c r="E1543" s="72" t="n">
        <f aca="false">20*LOG10(MAX(D1543,0.000000000001)/$K$3)</f>
        <v>26.2882264868824</v>
      </c>
      <c r="F1543" s="5"/>
      <c r="G1543" s="5"/>
      <c r="H1543" s="5"/>
      <c r="I1543" s="5"/>
      <c r="J1543" s="5"/>
      <c r="K1543" s="5"/>
      <c r="L1543" s="5"/>
      <c r="M1543" s="5"/>
      <c r="N1543" s="5"/>
    </row>
    <row r="1544" customFormat="false" ht="15" hidden="false" customHeight="false" outlineLevel="0" collapsed="false">
      <c r="A1544" s="71" t="n">
        <f aca="false">A1543+$F$3</f>
        <v>30760</v>
      </c>
      <c r="B1544" s="71" t="n">
        <f aca="false">SUMPRODUCT(固有振動数!$Q$6:$Q$22*(1-($A1544/固有振動数!$O$6:$O$22)^2)/((1-($A1544/固有振動数!$O$6:$O$22)^2)^2+固有振動数!$P$6:$P$22^2))</f>
        <v>20.7562252031166</v>
      </c>
      <c r="C1544" s="71" t="n">
        <f aca="false">-SUMPRODUCT(固有振動数!$Q$6:$Q$22*固有振動数!$P$6:$P$22/((1-($A1544/固有振動数!$O$6:$O$22)^2)^2+固有振動数!$P$6:$P$22^2))</f>
        <v>-3.20595184110501</v>
      </c>
      <c r="D1544" s="71" t="n">
        <f aca="false">SQRT(B1544^2+C1544^2)</f>
        <v>21.0023572936463</v>
      </c>
      <c r="E1544" s="72" t="n">
        <f aca="false">20*LOG10(MAX(D1544,0.000000000001)/$K$3)</f>
        <v>26.4453608491237</v>
      </c>
      <c r="F1544" s="5"/>
      <c r="G1544" s="5"/>
      <c r="H1544" s="5"/>
      <c r="I1544" s="5"/>
      <c r="J1544" s="5"/>
      <c r="K1544" s="5"/>
      <c r="L1544" s="5"/>
      <c r="M1544" s="5"/>
      <c r="N1544" s="5"/>
    </row>
    <row r="1545" customFormat="false" ht="15" hidden="false" customHeight="false" outlineLevel="0" collapsed="false">
      <c r="A1545" s="71" t="n">
        <f aca="false">A1544+$F$3</f>
        <v>30780</v>
      </c>
      <c r="B1545" s="71" t="n">
        <f aca="false">SUMPRODUCT(固有振動数!$Q$6:$Q$22*(1-($A1545/固有振動数!$O$6:$O$22)^2)/((1-($A1545/固有振動数!$O$6:$O$22)^2)^2+固有振動数!$P$6:$P$22^2))</f>
        <v>21.1326043647643</v>
      </c>
      <c r="C1545" s="71" t="n">
        <f aca="false">-SUMPRODUCT(固有振動数!$Q$6:$Q$22*固有振動数!$P$6:$P$22/((1-($A1545/固有振動数!$O$6:$O$22)^2)^2+固有振動数!$P$6:$P$22^2))</f>
        <v>-3.32678302993009</v>
      </c>
      <c r="D1545" s="71" t="n">
        <f aca="false">SQRT(B1545^2+C1545^2)</f>
        <v>21.3928598500968</v>
      </c>
      <c r="E1545" s="72" t="n">
        <f aca="false">20*LOG10(MAX(D1545,0.000000000001)/$K$3)</f>
        <v>26.6053769201304</v>
      </c>
      <c r="F1545" s="5"/>
      <c r="G1545" s="5"/>
      <c r="H1545" s="5"/>
      <c r="I1545" s="5"/>
      <c r="J1545" s="5"/>
      <c r="K1545" s="5"/>
      <c r="L1545" s="5"/>
      <c r="M1545" s="5"/>
      <c r="N1545" s="5"/>
    </row>
    <row r="1546" customFormat="false" ht="15" hidden="false" customHeight="false" outlineLevel="0" collapsed="false">
      <c r="A1546" s="71" t="n">
        <f aca="false">A1545+$F$3</f>
        <v>30800</v>
      </c>
      <c r="B1546" s="71" t="n">
        <f aca="false">SUMPRODUCT(固有振動数!$Q$6:$Q$22*(1-($A1546/固有振動数!$O$6:$O$22)^2)/((1-($A1546/固有振動数!$O$6:$O$22)^2)^2+固有振動数!$P$6:$P$22^2))</f>
        <v>21.5225960692455</v>
      </c>
      <c r="C1546" s="71" t="n">
        <f aca="false">-SUMPRODUCT(固有振動数!$Q$6:$Q$22*固有振動数!$P$6:$P$22/((1-($A1546/固有振動数!$O$6:$O$22)^2)^2+固有振動数!$P$6:$P$22^2))</f>
        <v>-3.45540139862246</v>
      </c>
      <c r="D1546" s="71" t="n">
        <f aca="false">SQRT(B1546^2+C1546^2)</f>
        <v>21.7982095683454</v>
      </c>
      <c r="E1546" s="72" t="n">
        <f aca="false">20*LOG10(MAX(D1546,0.000000000001)/$K$3)</f>
        <v>26.7684164716144</v>
      </c>
      <c r="F1546" s="5"/>
      <c r="G1546" s="5"/>
      <c r="H1546" s="5"/>
      <c r="I1546" s="5"/>
      <c r="J1546" s="5"/>
      <c r="K1546" s="5"/>
      <c r="L1546" s="5"/>
      <c r="M1546" s="5"/>
      <c r="N1546" s="5"/>
    </row>
    <row r="1547" customFormat="false" ht="15" hidden="false" customHeight="false" outlineLevel="0" collapsed="false">
      <c r="A1547" s="71" t="n">
        <f aca="false">A1546+$F$3</f>
        <v>30820</v>
      </c>
      <c r="B1547" s="71" t="n">
        <f aca="false">SUMPRODUCT(固有振動数!$Q$6:$Q$22*(1-($A1547/固有振動数!$O$6:$O$22)^2)/((1-($A1547/固有振動数!$O$6:$O$22)^2)^2+固有振動数!$P$6:$P$22^2))</f>
        <v>21.927012291857</v>
      </c>
      <c r="C1547" s="71" t="n">
        <f aca="false">-SUMPRODUCT(固有振動数!$Q$6:$Q$22*固有振動数!$P$6:$P$22/((1-($A1547/固有振動数!$O$6:$O$22)^2)^2+固有振動数!$P$6:$P$22^2))</f>
        <v>-3.5924831018183</v>
      </c>
      <c r="D1547" s="71" t="n">
        <f aca="false">SQRT(B1547^2+C1547^2)</f>
        <v>22.219356491224</v>
      </c>
      <c r="E1547" s="72" t="n">
        <f aca="false">20*LOG10(MAX(D1547,0.000000000001)/$K$3)</f>
        <v>26.9346295382199</v>
      </c>
      <c r="F1547" s="5"/>
      <c r="G1547" s="5"/>
      <c r="H1547" s="5"/>
      <c r="I1547" s="5"/>
      <c r="J1547" s="5"/>
      <c r="K1547" s="5"/>
      <c r="L1547" s="5"/>
      <c r="M1547" s="5"/>
      <c r="N1547" s="5"/>
    </row>
    <row r="1548" customFormat="false" ht="15" hidden="false" customHeight="false" outlineLevel="0" collapsed="false">
      <c r="A1548" s="71" t="n">
        <f aca="false">A1547+$F$3</f>
        <v>30840</v>
      </c>
      <c r="B1548" s="71" t="n">
        <f aca="false">SUMPRODUCT(固有振動数!$Q$6:$Q$22*(1-($A1548/固有振動数!$O$6:$O$22)^2)/((1-($A1548/固有振動数!$O$6:$O$22)^2)^2+固有振動数!$P$6:$P$22^2))</f>
        <v>22.3467266319775</v>
      </c>
      <c r="C1548" s="71" t="n">
        <f aca="false">-SUMPRODUCT(固有振動数!$Q$6:$Q$22*固有振動数!$P$6:$P$22/((1-($A1548/固有振動数!$O$6:$O$22)^2)^2+固有振動数!$P$6:$P$22^2))</f>
        <v>-3.73877870234652</v>
      </c>
      <c r="D1548" s="71" t="n">
        <f aca="false">SQRT(B1548^2+C1548^2)</f>
        <v>22.6573312053616</v>
      </c>
      <c r="E1548" s="72" t="n">
        <f aca="false">20*LOG10(MAX(D1548,0.000000000001)/$K$3)</f>
        <v>27.1041750646132</v>
      </c>
      <c r="F1548" s="5"/>
      <c r="G1548" s="5"/>
      <c r="H1548" s="5"/>
      <c r="I1548" s="5"/>
      <c r="J1548" s="5"/>
      <c r="K1548" s="5"/>
      <c r="L1548" s="5"/>
      <c r="M1548" s="5"/>
      <c r="N1548" s="5"/>
    </row>
    <row r="1549" customFormat="false" ht="15" hidden="false" customHeight="false" outlineLevel="0" collapsed="false">
      <c r="A1549" s="71" t="n">
        <f aca="false">A1548+$F$3</f>
        <v>30860</v>
      </c>
      <c r="B1549" s="71" t="n">
        <f aca="false">SUMPRODUCT(固有振動数!$Q$6:$Q$22*(1-($A1549/固有振動数!$O$6:$O$22)^2)/((1-($A1549/固有振動数!$O$6:$O$22)^2)^2+固有振動数!$P$6:$P$22^2))</f>
        <v>22.7826797920329</v>
      </c>
      <c r="C1549" s="71" t="n">
        <f aca="false">-SUMPRODUCT(固有振動数!$Q$6:$Q$22*固有振動数!$P$6:$P$22/((1-($A1549/固有振動数!$O$6:$O$22)^2)^2+固有振動数!$P$6:$P$22^2))</f>
        <v>-3.89512308229628</v>
      </c>
      <c r="D1549" s="71" t="n">
        <f aca="false">SQRT(B1549^2+C1549^2)</f>
        <v>23.1132533913454</v>
      </c>
      <c r="E1549" s="72" t="n">
        <f aca="false">20*LOG10(MAX(D1549,0.000000000001)/$K$3)</f>
        <v>27.2772216101127</v>
      </c>
      <c r="F1549" s="5"/>
      <c r="G1549" s="5"/>
      <c r="H1549" s="5"/>
      <c r="I1549" s="5"/>
      <c r="J1549" s="5"/>
      <c r="K1549" s="5"/>
      <c r="L1549" s="5"/>
      <c r="M1549" s="5"/>
      <c r="N1549" s="5"/>
    </row>
    <row r="1550" customFormat="false" ht="15" hidden="false" customHeight="false" outlineLevel="0" collapsed="false">
      <c r="A1550" s="71" t="n">
        <f aca="false">A1549+$F$3</f>
        <v>30880</v>
      </c>
      <c r="B1550" s="71" t="n">
        <f aca="false">SUMPRODUCT(固有振動数!$Q$6:$Q$22*(1-($A1550/固有振動数!$O$6:$O$22)^2)/((1-($A1550/固有振動数!$O$6:$O$22)^2)^2+固有振動数!$P$6:$P$22^2))</f>
        <v>23.2358855593967</v>
      </c>
      <c r="C1550" s="71" t="n">
        <f aca="false">-SUMPRODUCT(固有振動数!$Q$6:$Q$22*固有振動数!$P$6:$P$22/((1-($A1550/固有振動数!$O$6:$O$22)^2)^2+固有振動数!$P$6:$P$22^2))</f>
        <v>-4.06244690498413</v>
      </c>
      <c r="D1550" s="71" t="n">
        <f aca="false">SQRT(B1550^2+C1550^2)</f>
        <v>23.5883414547355</v>
      </c>
      <c r="E1550" s="72" t="n">
        <f aca="false">20*LOG10(MAX(D1550,0.000000000001)/$K$3)</f>
        <v>27.4539481162464</v>
      </c>
      <c r="F1550" s="5"/>
      <c r="G1550" s="5"/>
      <c r="H1550" s="5"/>
      <c r="I1550" s="5"/>
      <c r="J1550" s="5"/>
      <c r="K1550" s="5"/>
      <c r="L1550" s="5"/>
      <c r="M1550" s="5"/>
      <c r="N1550" s="5"/>
    </row>
    <row r="1551" customFormat="false" ht="15" hidden="false" customHeight="false" outlineLevel="0" collapsed="false">
      <c r="A1551" s="71" t="n">
        <f aca="false">A1550+$F$3</f>
        <v>30900</v>
      </c>
      <c r="B1551" s="71" t="n">
        <f aca="false">SUMPRODUCT(固有振動数!$Q$6:$Q$22*(1-($A1551/固有振動数!$O$6:$O$22)^2)/((1-($A1551/固有振動数!$O$6:$O$22)^2)^2+固有振動数!$P$6:$P$22^2))</f>
        <v>23.7074373241332</v>
      </c>
      <c r="C1551" s="71" t="n">
        <f aca="false">-SUMPRODUCT(固有振動数!$Q$6:$Q$22*固有振動数!$P$6:$P$22/((1-($A1551/固有振動数!$O$6:$O$22)^2)^2+固有振動数!$P$6:$P$22^2))</f>
        <v>-4.24178990635168</v>
      </c>
      <c r="D1551" s="71" t="n">
        <f aca="false">SQRT(B1551^2+C1551^2)</f>
        <v>24.0839233948153</v>
      </c>
      <c r="E1551" s="72" t="n">
        <f aca="false">20*LOG10(MAX(D1551,0.000000000001)/$K$3)</f>
        <v>27.6345447430142</v>
      </c>
      <c r="F1551" s="5"/>
      <c r="G1551" s="5"/>
      <c r="H1551" s="5"/>
      <c r="I1551" s="5"/>
      <c r="J1551" s="5"/>
      <c r="K1551" s="5"/>
      <c r="L1551" s="5"/>
      <c r="M1551" s="5"/>
      <c r="N1551" s="5"/>
    </row>
    <row r="1552" customFormat="false" ht="15" hidden="false" customHeight="false" outlineLevel="0" collapsed="false">
      <c r="A1552" s="71" t="n">
        <f aca="false">A1551+$F$3</f>
        <v>30920</v>
      </c>
      <c r="B1552" s="71" t="n">
        <f aca="false">SUMPRODUCT(固有振動数!$Q$6:$Q$22*(1-($A1552/固有振動数!$O$6:$O$22)^2)/((1-($A1552/固有振動数!$O$6:$O$22)^2)^2+固有振動数!$P$6:$P$22^2))</f>
        <v>24.1985151607894</v>
      </c>
      <c r="C1552" s="71" t="n">
        <f aca="false">-SUMPRODUCT(固有振動数!$Q$6:$Q$22*固有振動数!$P$6:$P$22/((1-($A1552/固有振動数!$O$6:$O$22)^2)^2+固有振動数!$P$6:$P$22^2))</f>
        <v>-4.43431635063008</v>
      </c>
      <c r="D1552" s="71" t="n">
        <f aca="false">SQRT(B1552^2+C1552^2)</f>
        <v>24.6014490931819</v>
      </c>
      <c r="E1552" s="72" t="n">
        <f aca="false">20*LOG10(MAX(D1552,0.000000000001)/$K$3)</f>
        <v>27.8192137799843</v>
      </c>
      <c r="F1552" s="5"/>
      <c r="G1552" s="5"/>
      <c r="H1552" s="5"/>
      <c r="I1552" s="5"/>
      <c r="J1552" s="5"/>
      <c r="K1552" s="5"/>
      <c r="L1552" s="5"/>
      <c r="M1552" s="5"/>
      <c r="N1552" s="5"/>
    </row>
    <row r="1553" customFormat="false" ht="15" hidden="false" customHeight="false" outlineLevel="0" collapsed="false">
      <c r="A1553" s="71" t="n">
        <f aca="false">A1552+$F$3</f>
        <v>30940</v>
      </c>
      <c r="B1553" s="71" t="n">
        <f aca="false">SUMPRODUCT(固有振動数!$Q$6:$Q$22*(1-($A1553/固有振動数!$O$6:$O$22)^2)/((1-($A1553/固有振動数!$O$6:$O$22)^2)^2+固有振動数!$P$6:$P$22^2))</f>
        <v>24.7103934939924</v>
      </c>
      <c r="C1553" s="71" t="n">
        <f aca="false">-SUMPRODUCT(固有振動数!$Q$6:$Q$22*固有振動数!$P$6:$P$22/((1-($A1553/固有振動数!$O$6:$O$22)^2)^2+固有振動数!$P$6:$P$22^2))</f>
        <v>-4.64133305399464</v>
      </c>
      <c r="D1553" s="71" t="n">
        <f aca="false">SQRT(B1553^2+C1553^2)</f>
        <v>25.1425042337879</v>
      </c>
      <c r="E1553" s="72" t="n">
        <f aca="false">20*LOG10(MAX(D1553,0.000000000001)/$K$3)</f>
        <v>28.0081706386389</v>
      </c>
      <c r="F1553" s="5"/>
      <c r="G1553" s="5"/>
      <c r="H1553" s="5"/>
      <c r="I1553" s="5"/>
      <c r="J1553" s="5"/>
      <c r="K1553" s="5"/>
      <c r="L1553" s="5"/>
      <c r="M1553" s="5"/>
      <c r="N1553" s="5"/>
    </row>
    <row r="1554" customFormat="false" ht="15" hidden="false" customHeight="false" outlineLevel="0" collapsed="false">
      <c r="A1554" s="71" t="n">
        <f aca="false">A1553+$F$3</f>
        <v>30960</v>
      </c>
      <c r="B1554" s="71" t="n">
        <f aca="false">SUMPRODUCT(固有振動数!$Q$6:$Q$22*(1-($A1554/固有振動数!$O$6:$O$22)^2)/((1-($A1554/固有振動数!$O$6:$O$22)^2)^2+固有振動数!$P$6:$P$22^2))</f>
        <v>25.2444493537515</v>
      </c>
      <c r="C1554" s="71" t="n">
        <f aca="false">-SUMPRODUCT(固有振動数!$Q$6:$Q$22*固有振動数!$P$6:$P$22/((1-($A1554/固有振動数!$O$6:$O$22)^2)^2+固有振動数!$P$6:$P$22^2))</f>
        <v>-4.86431046445532</v>
      </c>
      <c r="D1554" s="71" t="n">
        <f aca="false">SQRT(B1554^2+C1554^2)</f>
        <v>25.708826100558</v>
      </c>
      <c r="E1554" s="72" t="n">
        <f aca="false">20*LOG10(MAX(D1554,0.000000000001)/$K$3)</f>
        <v>28.2016449325544</v>
      </c>
      <c r="F1554" s="5"/>
      <c r="G1554" s="5"/>
      <c r="H1554" s="5"/>
      <c r="I1554" s="5"/>
      <c r="J1554" s="5"/>
      <c r="K1554" s="5"/>
      <c r="L1554" s="5"/>
      <c r="M1554" s="5"/>
      <c r="N1554" s="5"/>
    </row>
    <row r="1555" customFormat="false" ht="15" hidden="false" customHeight="false" outlineLevel="0" collapsed="false">
      <c r="A1555" s="71" t="n">
        <f aca="false">A1554+$F$3</f>
        <v>30980</v>
      </c>
      <c r="B1555" s="71" t="n">
        <f aca="false">SUMPRODUCT(固有振動数!$Q$6:$Q$22*(1-($A1555/固有振動数!$O$6:$O$22)^2)/((1-($A1555/固有振動数!$O$6:$O$22)^2)^2+固有振動数!$P$6:$P$22^2))</f>
        <v>25.8021712047257</v>
      </c>
      <c r="C1555" s="71" t="n">
        <f aca="false">-SUMPRODUCT(固有振動数!$Q$6:$Q$22*固有振動数!$P$6:$P$22/((1-($A1555/固有振動数!$O$6:$O$22)^2)^2+固有振動数!$P$6:$P$22^2))</f>
        <v>-5.10490739021657</v>
      </c>
      <c r="D1555" s="71" t="n">
        <f aca="false">SQRT(B1555^2+C1555^2)</f>
        <v>26.3023215389947</v>
      </c>
      <c r="E1555" s="72" t="n">
        <f aca="false">20*LOG10(MAX(D1555,0.000000000001)/$K$3)</f>
        <v>28.3998816519841</v>
      </c>
      <c r="F1555" s="5"/>
      <c r="G1555" s="5"/>
      <c r="H1555" s="5"/>
      <c r="I1555" s="5"/>
      <c r="J1555" s="5"/>
      <c r="K1555" s="5"/>
      <c r="L1555" s="5"/>
      <c r="M1555" s="5"/>
      <c r="N1555" s="5"/>
    </row>
    <row r="1556" customFormat="false" ht="15" hidden="false" customHeight="false" outlineLevel="0" collapsed="false">
      <c r="A1556" s="71" t="n">
        <f aca="false">A1555+$F$3</f>
        <v>31000</v>
      </c>
      <c r="B1556" s="71" t="n">
        <f aca="false">SUMPRODUCT(固有振動数!$Q$6:$Q$22*(1-($A1556/固有振動数!$O$6:$O$22)^2)/((1-($A1556/固有振動数!$O$6:$O$22)^2)^2+固有振動数!$P$6:$P$22^2))</f>
        <v>26.3851683009997</v>
      </c>
      <c r="C1556" s="71" t="n">
        <f aca="false">-SUMPRODUCT(固有振動数!$Q$6:$Q$22*固有振動数!$P$6:$P$22/((1-($A1556/固有振動数!$O$6:$O$22)^2)^2+固有振動数!$P$6:$P$22^2))</f>
        <v>-5.36500009701815</v>
      </c>
      <c r="D1556" s="71" t="n">
        <f aca="false">SQRT(B1556^2+C1556^2)</f>
        <v>26.9250874151429</v>
      </c>
      <c r="E1556" s="72" t="n">
        <f aca="false">20*LOG10(MAX(D1556,0.000000000001)/$K$3)</f>
        <v>28.6031424391052</v>
      </c>
      <c r="F1556" s="5"/>
      <c r="G1556" s="5"/>
      <c r="H1556" s="5"/>
      <c r="I1556" s="5"/>
      <c r="J1556" s="5"/>
      <c r="K1556" s="5"/>
      <c r="L1556" s="5"/>
      <c r="M1556" s="5"/>
      <c r="N1556" s="5"/>
    </row>
    <row r="1557" customFormat="false" ht="15" hidden="false" customHeight="false" outlineLevel="0" collapsed="false">
      <c r="A1557" s="71" t="n">
        <f aca="false">A1556+$F$3</f>
        <v>31020</v>
      </c>
      <c r="B1557" s="71" t="n">
        <f aca="false">SUMPRODUCT(固有振動数!$Q$6:$Q$22*(1-($A1557/固有振動数!$O$6:$O$22)^2)/((1-($A1557/固有振動数!$O$6:$O$22)^2)^2+固有振動数!$P$6:$P$22^2))</f>
        <v>26.9951804694103</v>
      </c>
      <c r="C1557" s="71" t="n">
        <f aca="false">-SUMPRODUCT(固有振動数!$Q$6:$Q$22*固有振動数!$P$6:$P$22/((1-($A1557/固有振動数!$O$6:$O$22)^2)^2+固有振動数!$P$6:$P$22^2))</f>
        <v>-5.64671665360333</v>
      </c>
      <c r="D1557" s="71" t="n">
        <f aca="false">SQRT(B1557^2+C1557^2)</f>
        <v>27.5794339597845</v>
      </c>
      <c r="E1557" s="72" t="n">
        <f aca="false">20*LOG10(MAX(D1557,0.000000000001)/$K$3)</f>
        <v>28.8117069694545</v>
      </c>
      <c r="F1557" s="5"/>
      <c r="G1557" s="5"/>
      <c r="H1557" s="5"/>
      <c r="I1557" s="5"/>
      <c r="J1557" s="5"/>
      <c r="K1557" s="5"/>
      <c r="L1557" s="5"/>
      <c r="M1557" s="5"/>
      <c r="N1557" s="5"/>
    </row>
    <row r="1558" customFormat="false" ht="15" hidden="false" customHeight="false" outlineLevel="0" collapsed="false">
      <c r="A1558" s="71" t="n">
        <f aca="false">A1557+$F$3</f>
        <v>31040</v>
      </c>
      <c r="B1558" s="71" t="n">
        <f aca="false">SUMPRODUCT(固有振動数!$Q$6:$Q$22*(1-($A1558/固有振動数!$O$6:$O$22)^2)/((1-($A1558/固有振動数!$O$6:$O$22)^2)^2+固有振動数!$P$6:$P$22^2))</f>
        <v>27.6340881535603</v>
      </c>
      <c r="C1558" s="71" t="n">
        <f aca="false">-SUMPRODUCT(固有振動数!$Q$6:$Q$22*固有振動数!$P$6:$P$22/((1-($A1558/固有振動数!$O$6:$O$22)^2)^2+固有振動数!$P$6:$P$22^2))</f>
        <v>-5.95247760107808</v>
      </c>
      <c r="D1558" s="71" t="n">
        <f aca="false">SQRT(B1558^2+C1558^2)</f>
        <v>28.2679114486741</v>
      </c>
      <c r="E1558" s="72" t="n">
        <f aca="false">20*LOG10(MAX(D1558,0.000000000001)/$K$3)</f>
        <v>29.0258744437038</v>
      </c>
      <c r="F1558" s="5"/>
      <c r="G1558" s="5"/>
      <c r="H1558" s="5"/>
      <c r="I1558" s="5"/>
      <c r="J1558" s="5"/>
      <c r="K1558" s="5"/>
      <c r="L1558" s="5"/>
      <c r="M1558" s="5"/>
      <c r="N1558" s="5"/>
    </row>
    <row r="1559" customFormat="false" ht="15" hidden="false" customHeight="false" outlineLevel="0" collapsed="false">
      <c r="A1559" s="71" t="n">
        <f aca="false">A1558+$F$3</f>
        <v>31060</v>
      </c>
      <c r="B1559" s="71" t="n">
        <f aca="false">SUMPRODUCT(固有振動数!$Q$6:$Q$22*(1-($A1559/固有振動数!$O$6:$O$22)^2)/((1-($A1559/固有振動数!$O$6:$O$22)^2)^2+固有振動数!$P$6:$P$22^2))</f>
        <v>28.3039224479445</v>
      </c>
      <c r="C1559" s="71" t="n">
        <f aca="false">-SUMPRODUCT(固有振動数!$Q$6:$Q$22*固有振動数!$P$6:$P$22/((1-($A1559/固有振動数!$O$6:$O$22)^2)^2+固有振動数!$P$6:$P$22^2))</f>
        <v>-6.28504426609511</v>
      </c>
      <c r="D1559" s="71" t="n">
        <f aca="false">SQRT(B1559^2+C1559^2)</f>
        <v>28.9933407417295</v>
      </c>
      <c r="E1559" s="72" t="n">
        <f aca="false">20*LOG10(MAX(D1559,0.000000000001)/$K$3)</f>
        <v>29.2459651916172</v>
      </c>
      <c r="F1559" s="5"/>
      <c r="G1559" s="5"/>
      <c r="H1559" s="5"/>
      <c r="I1559" s="5"/>
      <c r="J1559" s="5"/>
      <c r="K1559" s="5"/>
      <c r="L1559" s="5"/>
      <c r="M1559" s="5"/>
      <c r="N1559" s="5"/>
    </row>
    <row r="1560" customFormat="false" ht="15" hidden="false" customHeight="false" outlineLevel="0" collapsed="false">
      <c r="A1560" s="71" t="n">
        <f aca="false">A1559+$F$3</f>
        <v>31080</v>
      </c>
      <c r="B1560" s="71" t="n">
        <f aca="false">SUMPRODUCT(固有振動数!$Q$6:$Q$22*(1-($A1560/固有振動数!$O$6:$O$22)^2)/((1-($A1560/固有振動数!$O$6:$O$22)^2)^2+固有振動数!$P$6:$P$22^2))</f>
        <v>29.0068747037442</v>
      </c>
      <c r="C1560" s="71" t="n">
        <f aca="false">-SUMPRODUCT(固有振動数!$Q$6:$Q$22*固有振動数!$P$6:$P$22/((1-($A1560/固有振動数!$O$6:$O$22)^2)^2+固有振動数!$P$6:$P$22^2))</f>
        <v>-6.64757634147765</v>
      </c>
      <c r="D1560" s="71" t="n">
        <f aca="false">SQRT(B1560^2+C1560^2)</f>
        <v>29.7588482857534</v>
      </c>
      <c r="E1560" s="72" t="n">
        <f aca="false">20*LOG10(MAX(D1560,0.000000000001)/$K$3)</f>
        <v>29.4723223863875</v>
      </c>
      <c r="F1560" s="5"/>
      <c r="G1560" s="5"/>
      <c r="H1560" s="5"/>
      <c r="I1560" s="5"/>
      <c r="J1560" s="5"/>
      <c r="K1560" s="5"/>
      <c r="L1560" s="5"/>
      <c r="M1560" s="5"/>
      <c r="N1560" s="5"/>
    </row>
    <row r="1561" customFormat="false" ht="15" hidden="false" customHeight="false" outlineLevel="0" collapsed="false">
      <c r="A1561" s="71" t="n">
        <f aca="false">A1560+$F$3</f>
        <v>31100</v>
      </c>
      <c r="B1561" s="71" t="n">
        <f aca="false">SUMPRODUCT(固有振動数!$Q$6:$Q$22*(1-($A1561/固有振動数!$O$6:$O$22)^2)/((1-($A1561/固有振動数!$O$6:$O$22)^2)^2+固有振動数!$P$6:$P$22^2))</f>
        <v>29.7453050757876</v>
      </c>
      <c r="C1561" s="71" t="n">
        <f aca="false">-SUMPRODUCT(固有振動数!$Q$6:$Q$22*固有振動数!$P$6:$P$22/((1-($A1561/固有振動数!$O$6:$O$22)^2)^2+固有振動数!$P$6:$P$22^2))</f>
        <v>-7.04370073594375</v>
      </c>
      <c r="D1561" s="71" t="n">
        <f aca="false">SQRT(B1561^2+C1561^2)</f>
        <v>30.5679062761781</v>
      </c>
      <c r="E1561" s="72" t="n">
        <f aca="false">20*LOG10(MAX(D1561,0.000000000001)/$K$3)</f>
        <v>29.7053138619654</v>
      </c>
      <c r="F1561" s="5"/>
      <c r="G1561" s="5"/>
      <c r="H1561" s="5"/>
      <c r="I1561" s="5"/>
      <c r="J1561" s="5"/>
      <c r="K1561" s="5"/>
      <c r="L1561" s="5"/>
      <c r="M1561" s="5"/>
      <c r="N1561" s="5"/>
    </row>
    <row r="1562" customFormat="false" ht="15" hidden="false" customHeight="false" outlineLevel="0" collapsed="false">
      <c r="A1562" s="71" t="n">
        <f aca="false">A1561+$F$3</f>
        <v>31120</v>
      </c>
      <c r="B1562" s="71" t="n">
        <f aca="false">SUMPRODUCT(固有振動数!$Q$6:$Q$22*(1-($A1562/固有振動数!$O$6:$O$22)^2)/((1-($A1562/固有振動数!$O$6:$O$22)^2)^2+固有振動数!$P$6:$P$22^2))</f>
        <v>30.5217490767163</v>
      </c>
      <c r="C1562" s="71" t="n">
        <f aca="false">-SUMPRODUCT(固有振動数!$Q$6:$Q$22*固有振動数!$P$6:$P$22/((1-($A1562/固有振動数!$O$6:$O$22)^2)^2+固有振動数!$P$6:$P$22^2))</f>
        <v>-7.47759416526549</v>
      </c>
      <c r="D1562" s="71" t="n">
        <f aca="false">SQRT(B1562^2+C1562^2)</f>
        <v>31.4243787719415</v>
      </c>
      <c r="E1562" s="72" t="n">
        <f aca="false">20*LOG10(MAX(D1562,0.000000000001)/$K$3)</f>
        <v>29.9453340176391</v>
      </c>
      <c r="F1562" s="5"/>
      <c r="G1562" s="5"/>
      <c r="H1562" s="5"/>
      <c r="I1562" s="5"/>
      <c r="J1562" s="5"/>
      <c r="K1562" s="5"/>
      <c r="L1562" s="5"/>
      <c r="M1562" s="5"/>
      <c r="N1562" s="5"/>
    </row>
    <row r="1563" customFormat="false" ht="15" hidden="false" customHeight="false" outlineLevel="0" collapsed="false">
      <c r="A1563" s="71" t="n">
        <f aca="false">A1562+$F$3</f>
        <v>31140</v>
      </c>
      <c r="B1563" s="71" t="n">
        <f aca="false">SUMPRODUCT(固有振動数!$Q$6:$Q$22*(1-($A1563/固有振動数!$O$6:$O$22)^2)/((1-($A1563/固有振動数!$O$6:$O$22)^2)^2+固有振動数!$P$6:$P$22^2))</f>
        <v>31.338920770527</v>
      </c>
      <c r="C1563" s="71" t="n">
        <f aca="false">-SUMPRODUCT(固有振動数!$Q$6:$Q$22*固有振動数!$P$6:$P$22/((1-($A1563/固有振動数!$O$6:$O$22)^2)^2+固有振動数!$P$6:$P$22^2))</f>
        <v>-7.95408254260591</v>
      </c>
      <c r="D1563" s="71" t="n">
        <f aca="false">SQRT(B1563^2+C1563^2)</f>
        <v>32.3325746601775</v>
      </c>
      <c r="E1563" s="72" t="n">
        <f aca="false">20*LOG10(MAX(D1563,0.000000000001)/$K$3)</f>
        <v>30.1928057817992</v>
      </c>
      <c r="F1563" s="5"/>
      <c r="G1563" s="5"/>
      <c r="H1563" s="5"/>
      <c r="I1563" s="5"/>
      <c r="J1563" s="5"/>
      <c r="K1563" s="5"/>
      <c r="L1563" s="5"/>
      <c r="M1563" s="5"/>
      <c r="N1563" s="5"/>
    </row>
    <row r="1564" customFormat="false" ht="15" hidden="false" customHeight="false" outlineLevel="0" collapsed="false">
      <c r="A1564" s="71" t="n">
        <f aca="false">A1563+$F$3</f>
        <v>31160</v>
      </c>
      <c r="B1564" s="71" t="n">
        <f aca="false">SUMPRODUCT(固有振動数!$Q$6:$Q$22*(1-($A1564/固有振動数!$O$6:$O$22)^2)/((1-($A1564/固有振動数!$O$6:$O$22)^2)^2+固有振動数!$P$6:$P$22^2))</f>
        <v>32.1997106172243</v>
      </c>
      <c r="C1564" s="71" t="n">
        <f aca="false">-SUMPRODUCT(固有振動数!$Q$6:$Q$22*固有振動数!$P$6:$P$22/((1-($A1564/固有振動数!$O$6:$O$22)^2)^2+固有振動数!$P$6:$P$22^2))</f>
        <v>-8.47876095202106</v>
      </c>
      <c r="D1564" s="71" t="n">
        <f aca="false">SQRT(B1564^2+C1564^2)</f>
        <v>33.2973084665188</v>
      </c>
      <c r="E1564" s="72" t="n">
        <f aca="false">20*LOG10(MAX(D1564,0.000000000001)/$K$3)</f>
        <v>30.4481825888163</v>
      </c>
      <c r="F1564" s="5"/>
      <c r="G1564" s="5"/>
      <c r="H1564" s="5"/>
      <c r="I1564" s="5"/>
      <c r="J1564" s="5"/>
      <c r="K1564" s="5"/>
      <c r="L1564" s="5"/>
      <c r="M1564" s="5"/>
      <c r="N1564" s="5"/>
    </row>
    <row r="1565" customFormat="false" ht="15" hidden="false" customHeight="false" outlineLevel="0" collapsed="false">
      <c r="A1565" s="71" t="n">
        <f aca="false">A1564+$F$3</f>
        <v>31180</v>
      </c>
      <c r="B1565" s="71" t="n">
        <f aca="false">SUMPRODUCT(固有振動数!$Q$6:$Q$22*(1-($A1565/固有振動数!$O$6:$O$22)^2)/((1-($A1565/固有振動数!$O$6:$O$22)^2)^2+固有振動数!$P$6:$P$22^2))</f>
        <v>33.1071750922956</v>
      </c>
      <c r="C1565" s="71" t="n">
        <f aca="false">-SUMPRODUCT(固有振動数!$Q$6:$Q$22*固有振動数!$P$6:$P$22/((1-($A1565/固有振動数!$O$6:$O$22)^2)^2+固有振動数!$P$6:$P$22^2))</f>
        <v>-9.05813888576271</v>
      </c>
      <c r="D1565" s="71" t="n">
        <f aca="false">SQRT(B1565^2+C1565^2)</f>
        <v>34.3239700889289</v>
      </c>
      <c r="E1565" s="72" t="n">
        <f aca="false">20*LOG10(MAX(D1565,0.000000000001)/$K$3)</f>
        <v>30.711950296818</v>
      </c>
      <c r="F1565" s="5"/>
      <c r="G1565" s="5"/>
      <c r="H1565" s="5"/>
      <c r="I1565" s="5"/>
      <c r="J1565" s="5"/>
      <c r="K1565" s="5"/>
      <c r="L1565" s="5"/>
      <c r="M1565" s="5"/>
      <c r="N1565" s="5"/>
    </row>
    <row r="1566" customFormat="false" ht="15" hidden="false" customHeight="false" outlineLevel="0" collapsed="false">
      <c r="A1566" s="71" t="n">
        <f aca="false">A1565+$F$3</f>
        <v>31200</v>
      </c>
      <c r="B1566" s="71" t="n">
        <f aca="false">SUMPRODUCT(固有振動数!$Q$6:$Q$22*(1-($A1566/固有振動数!$O$6:$O$22)^2)/((1-($A1566/固有振動数!$O$6:$O$22)^2)^2+固有振動数!$P$6:$P$22^2))</f>
        <v>34.0645139317873</v>
      </c>
      <c r="C1566" s="71" t="n">
        <f aca="false">-SUMPRODUCT(固有振動数!$Q$6:$Q$22*固有振動数!$P$6:$P$22/((1-($A1566/固有振動数!$O$6:$O$22)^2)^2+固有振動数!$P$6:$P$22^2))</f>
        <v>-9.69981652415481</v>
      </c>
      <c r="D1566" s="71" t="n">
        <f aca="false">SQRT(B1566^2+C1566^2)</f>
        <v>35.4186045745904</v>
      </c>
      <c r="E1566" s="72" t="n">
        <f aca="false">20*LOG10(MAX(D1566,0.000000000001)/$K$3)</f>
        <v>30.9846289363509</v>
      </c>
      <c r="F1566" s="5"/>
      <c r="G1566" s="5"/>
      <c r="H1566" s="5"/>
      <c r="I1566" s="5"/>
      <c r="J1566" s="5"/>
      <c r="K1566" s="5"/>
      <c r="L1566" s="5"/>
      <c r="M1566" s="5"/>
      <c r="N1566" s="5"/>
    </row>
    <row r="1567" customFormat="false" ht="15" hidden="false" customHeight="false" outlineLevel="0" collapsed="false">
      <c r="A1567" s="71" t="n">
        <f aca="false">A1566+$F$3</f>
        <v>31220</v>
      </c>
      <c r="B1567" s="71" t="n">
        <f aca="false">SUMPRODUCT(固有振動数!$Q$6:$Q$22*(1-($A1567/固有振動数!$O$6:$O$22)^2)/((1-($A1567/固有振動数!$O$6:$O$22)^2)^2+固有振動数!$P$6:$P$22^2))</f>
        <v>35.0750290257554</v>
      </c>
      <c r="C1567" s="71" t="n">
        <f aca="false">-SUMPRODUCT(固有振動数!$Q$6:$Q$22*固有振動数!$P$6:$P$22/((1-($A1567/固有振動数!$O$6:$O$22)^2)^2+固有振動数!$P$6:$P$22^2))</f>
        <v>-10.4126991643133</v>
      </c>
      <c r="D1567" s="71" t="n">
        <f aca="false">SQRT(B1567^2+C1567^2)</f>
        <v>36.5880030207181</v>
      </c>
      <c r="E1567" s="72" t="n">
        <f aca="false">20*LOG10(MAX(D1567,0.000000000001)/$K$3)</f>
        <v>31.2667741253702</v>
      </c>
      <c r="F1567" s="5"/>
      <c r="G1567" s="5"/>
      <c r="H1567" s="5"/>
      <c r="I1567" s="5"/>
      <c r="J1567" s="5"/>
      <c r="K1567" s="5"/>
      <c r="L1567" s="5"/>
      <c r="M1567" s="5"/>
      <c r="N1567" s="5"/>
    </row>
    <row r="1568" customFormat="false" ht="15" hidden="false" customHeight="false" outlineLevel="0" collapsed="false">
      <c r="A1568" s="71" t="n">
        <f aca="false">A1567+$F$3</f>
        <v>31240</v>
      </c>
      <c r="B1568" s="71" t="n">
        <f aca="false">SUMPRODUCT(固有振動数!$Q$6:$Q$22*(1-($A1568/固有振動数!$O$6:$O$22)^2)/((1-($A1568/固有振動数!$O$6:$O$22)^2)^2+固有振動数!$P$6:$P$22^2))</f>
        <v>36.1420563524579</v>
      </c>
      <c r="C1568" s="71" t="n">
        <f aca="false">-SUMPRODUCT(固有振動数!$Q$6:$Q$22*固有振動数!$P$6:$P$22/((1-($A1568/固有振動数!$O$6:$O$22)^2)^2+固有振動数!$P$6:$P$22^2))</f>
        <v>-11.2072584753927</v>
      </c>
      <c r="D1568" s="71" t="n">
        <f aca="false">SQRT(B1568^2+C1568^2)</f>
        <v>37.839805495252</v>
      </c>
      <c r="E1568" s="72" t="n">
        <f aca="false">20*LOG10(MAX(D1568,0.000000000001)/$K$3)</f>
        <v>31.5589779073668</v>
      </c>
      <c r="F1568" s="5"/>
      <c r="G1568" s="5"/>
      <c r="H1568" s="5"/>
      <c r="I1568" s="5"/>
      <c r="J1568" s="5"/>
      <c r="K1568" s="5"/>
      <c r="L1568" s="5"/>
      <c r="M1568" s="5"/>
      <c r="N1568" s="5"/>
    </row>
    <row r="1569" customFormat="false" ht="15" hidden="false" customHeight="false" outlineLevel="0" collapsed="false">
      <c r="A1569" s="71" t="n">
        <f aca="false">A1568+$F$3</f>
        <v>31260</v>
      </c>
      <c r="B1569" s="71" t="n">
        <f aca="false">SUMPRODUCT(固有振動数!$Q$6:$Q$22*(1-($A1569/固有振動数!$O$6:$O$22)^2)/((1-($A1569/固有振動数!$O$6:$O$22)^2)^2+固有振動数!$P$6:$P$22^2))</f>
        <v>37.2688585534553</v>
      </c>
      <c r="C1569" s="71" t="n">
        <f aca="false">-SUMPRODUCT(固有振動数!$Q$6:$Q$22*固有振動数!$P$6:$P$22/((1-($A1569/固有振動数!$O$6:$O$22)^2)^2+固有振動数!$P$6:$P$22^2))</f>
        <v>-12.0958510547249</v>
      </c>
      <c r="D1569" s="71" t="n">
        <f aca="false">SQRT(B1569^2+C1569^2)</f>
        <v>39.1826164340202</v>
      </c>
      <c r="E1569" s="72" t="n">
        <f aca="false">20*LOG10(MAX(D1569,0.000000000001)/$K$3)</f>
        <v>31.8618686561033</v>
      </c>
      <c r="F1569" s="5"/>
      <c r="G1569" s="5"/>
      <c r="H1569" s="5"/>
      <c r="I1569" s="5"/>
      <c r="J1569" s="5"/>
      <c r="K1569" s="5"/>
      <c r="L1569" s="5"/>
      <c r="M1569" s="5"/>
      <c r="N1569" s="5"/>
    </row>
    <row r="1570" customFormat="false" ht="15" hidden="false" customHeight="false" outlineLevel="0" collapsed="false">
      <c r="A1570" s="71" t="n">
        <f aca="false">A1569+$F$3</f>
        <v>31280</v>
      </c>
      <c r="B1570" s="71" t="n">
        <f aca="false">SUMPRODUCT(固有振動数!$Q$6:$Q$22*(1-($A1570/固有振動数!$O$6:$O$22)^2)/((1-($A1570/固有振動数!$O$6:$O$22)^2)^2+固有振動数!$P$6:$P$22^2))</f>
        <v>38.4584602742908</v>
      </c>
      <c r="C1570" s="71" t="n">
        <f aca="false">-SUMPRODUCT(固有振動数!$Q$6:$Q$22*固有振動数!$P$6:$P$22/((1-($A1570/固有振動数!$O$6:$O$22)^2)^2+固有振動数!$P$6:$P$22^2))</f>
        <v>-13.0931066912731</v>
      </c>
      <c r="D1570" s="71" t="n">
        <f aca="false">SQRT(B1570^2+C1570^2)</f>
        <v>40.6261321011275</v>
      </c>
      <c r="E1570" s="72" t="n">
        <f aca="false">20*LOG10(MAX(D1570,0.000000000001)/$K$3)</f>
        <v>32.1761095269618</v>
      </c>
      <c r="F1570" s="5"/>
      <c r="G1570" s="5"/>
      <c r="H1570" s="5"/>
      <c r="I1570" s="5"/>
      <c r="J1570" s="5"/>
      <c r="K1570" s="5"/>
      <c r="L1570" s="5"/>
      <c r="M1570" s="5"/>
      <c r="N1570" s="5"/>
    </row>
    <row r="1571" customFormat="false" ht="15" hidden="false" customHeight="false" outlineLevel="0" collapsed="false">
      <c r="A1571" s="71" t="n">
        <f aca="false">A1570+$F$3</f>
        <v>31300</v>
      </c>
      <c r="B1571" s="71" t="n">
        <f aca="false">SUMPRODUCT(固有振動数!$Q$6:$Q$22*(1-($A1571/固有振動数!$O$6:$O$22)^2)/((1-($A1571/固有振動数!$O$6:$O$22)^2)^2+固有振動数!$P$6:$P$22^2))</f>
        <v>39.7134004835266</v>
      </c>
      <c r="C1571" s="71" t="n">
        <f aca="false">-SUMPRODUCT(固有振動数!$Q$6:$Q$22*固有振動数!$P$6:$P$22/((1-($A1571/固有振動数!$O$6:$O$22)^2)^2+固有振動数!$P$6:$P$22^2))</f>
        <v>-14.2164005785374</v>
      </c>
      <c r="D1571" s="71" t="n">
        <f aca="false">SQRT(B1571^2+C1571^2)</f>
        <v>42.1812781145191</v>
      </c>
      <c r="E1571" s="72" t="n">
        <f aca="false">20*LOG10(MAX(D1571,0.000000000001)/$K$3)</f>
        <v>32.5023946990002</v>
      </c>
      <c r="F1571" s="5"/>
      <c r="G1571" s="5"/>
      <c r="H1571" s="5"/>
      <c r="I1571" s="5"/>
      <c r="J1571" s="5"/>
      <c r="K1571" s="5"/>
      <c r="L1571" s="5"/>
      <c r="M1571" s="5"/>
      <c r="N1571" s="5"/>
    </row>
    <row r="1572" customFormat="false" ht="15" hidden="false" customHeight="false" outlineLevel="0" collapsed="false">
      <c r="A1572" s="71" t="n">
        <f aca="false">A1571+$F$3</f>
        <v>31320</v>
      </c>
      <c r="B1572" s="71" t="n">
        <f aca="false">SUMPRODUCT(固有振動数!$Q$6:$Q$22*(1-($A1572/固有振動数!$O$6:$O$22)^2)/((1-($A1572/固有振動数!$O$6:$O$22)^2)^2+固有振動数!$P$6:$P$22^2))</f>
        <v>41.0353645569433</v>
      </c>
      <c r="C1572" s="71" t="n">
        <f aca="false">-SUMPRODUCT(固有振動数!$Q$6:$Q$22*固有振動数!$P$6:$P$22/((1-($A1572/固有振動数!$O$6:$O$22)^2)^2+固有振動数!$P$6:$P$22^2))</f>
        <v>-15.4864249559518</v>
      </c>
      <c r="D1572" s="71" t="n">
        <f aca="false">SQRT(B1572^2+C1572^2)</f>
        <v>43.8603522812752</v>
      </c>
      <c r="E1572" s="72" t="n">
        <f aca="false">20*LOG10(MAX(D1572,0.000000000001)/$K$3)</f>
        <v>32.8414423111709</v>
      </c>
      <c r="F1572" s="5"/>
      <c r="G1572" s="5"/>
      <c r="H1572" s="5"/>
      <c r="I1572" s="5"/>
      <c r="J1572" s="5"/>
      <c r="K1572" s="5"/>
      <c r="L1572" s="5"/>
      <c r="M1572" s="5"/>
      <c r="N1572" s="5"/>
    </row>
    <row r="1573" customFormat="false" ht="15" hidden="false" customHeight="false" outlineLevel="0" collapsed="false">
      <c r="A1573" s="71" t="n">
        <f aca="false">A1572+$F$3</f>
        <v>31340</v>
      </c>
      <c r="B1573" s="71" t="n">
        <f aca="false">SUMPRODUCT(固有振動数!$Q$6:$Q$22*(1-($A1573/固有振動数!$O$6:$O$22)^2)/((1-($A1573/固有振動数!$O$6:$O$22)^2)^2+固有振動数!$P$6:$P$22^2))</f>
        <v>42.4246424566667</v>
      </c>
      <c r="C1573" s="71" t="n">
        <f aca="false">-SUMPRODUCT(固有振動数!$Q$6:$Q$22*固有振動数!$P$6:$P$22/((1-($A1573/固有振動数!$O$6:$O$22)^2)^2+固有振動数!$P$6:$P$22^2))</f>
        <v>-16.9278752905175</v>
      </c>
      <c r="D1573" s="71" t="n">
        <f aca="false">SQRT(B1573^2+C1573^2)</f>
        <v>45.6771633250941</v>
      </c>
      <c r="E1573" s="72" t="n">
        <f aca="false">20*LOG10(MAX(D1573,0.000000000001)/$K$3)</f>
        <v>33.1939825043567</v>
      </c>
      <c r="F1573" s="5"/>
      <c r="G1573" s="5"/>
      <c r="H1573" s="5"/>
      <c r="I1573" s="5"/>
      <c r="J1573" s="5"/>
      <c r="K1573" s="5"/>
      <c r="L1573" s="5"/>
      <c r="M1573" s="5"/>
      <c r="N1573" s="5"/>
    </row>
    <row r="1574" customFormat="false" ht="15" hidden="false" customHeight="false" outlineLevel="0" collapsed="false">
      <c r="A1574" s="71" t="n">
        <f aca="false">A1573+$F$3</f>
        <v>31360</v>
      </c>
      <c r="B1574" s="71" t="n">
        <f aca="false">SUMPRODUCT(固有振動数!$Q$6:$Q$22*(1-($A1574/固有振動数!$O$6:$O$22)^2)/((1-($A1574/固有振動数!$O$6:$O$22)^2)^2+固有振動数!$P$6:$P$22^2))</f>
        <v>43.8793357720817</v>
      </c>
      <c r="C1574" s="71" t="n">
        <f aca="false">-SUMPRODUCT(固有振動数!$Q$6:$Q$22*固有振動数!$P$6:$P$22/((1-($A1574/固有振動数!$O$6:$O$22)^2)^2+固有振動数!$P$6:$P$22^2))</f>
        <v>-18.5702622183181</v>
      </c>
      <c r="D1574" s="71" t="n">
        <f aca="false">SQRT(B1574^2+C1574^2)</f>
        <v>47.6471483580726</v>
      </c>
      <c r="E1574" s="72" t="n">
        <f aca="false">20*LOG10(MAX(D1574,0.000000000001)/$K$3)</f>
        <v>33.5607382718215</v>
      </c>
      <c r="F1574" s="5"/>
      <c r="G1574" s="5"/>
      <c r="H1574" s="5"/>
      <c r="I1574" s="5"/>
      <c r="J1574" s="5"/>
      <c r="K1574" s="5"/>
      <c r="L1574" s="5"/>
      <c r="M1574" s="5"/>
      <c r="N1574" s="5"/>
    </row>
    <row r="1575" customFormat="false" ht="15" hidden="false" customHeight="false" outlineLevel="0" collapsed="false">
      <c r="A1575" s="71" t="n">
        <f aca="false">A1574+$F$3</f>
        <v>31380</v>
      </c>
      <c r="B1575" s="71" t="n">
        <f aca="false">SUMPRODUCT(固有振動数!$Q$6:$Q$22*(1-($A1575/固有振動数!$O$6:$O$22)^2)/((1-($A1575/固有振動数!$O$6:$O$22)^2)^2+固有振動数!$P$6:$P$22^2))</f>
        <v>45.3942030263648</v>
      </c>
      <c r="C1575" s="71" t="n">
        <f aca="false">-SUMPRODUCT(固有振動数!$Q$6:$Q$22*固有振動数!$P$6:$P$22/((1-($A1575/固有振動数!$O$6:$O$22)^2)^2+固有振動数!$P$6:$P$22^2))</f>
        <v>-20.448849491904</v>
      </c>
      <c r="D1575" s="71" t="n">
        <f aca="false">SQRT(B1575^2+C1575^2)</f>
        <v>49.7874393189825</v>
      </c>
      <c r="E1575" s="72" t="n">
        <f aca="false">20*LOG10(MAX(D1575,0.000000000001)/$K$3)</f>
        <v>33.9423958019768</v>
      </c>
      <c r="F1575" s="5"/>
      <c r="G1575" s="5"/>
      <c r="H1575" s="5"/>
      <c r="I1575" s="5"/>
      <c r="J1575" s="5"/>
      <c r="K1575" s="5"/>
      <c r="L1575" s="5"/>
      <c r="M1575" s="5"/>
      <c r="N1575" s="5"/>
    </row>
    <row r="1576" customFormat="false" ht="15" hidden="false" customHeight="false" outlineLevel="0" collapsed="false">
      <c r="A1576" s="71" t="n">
        <f aca="false">A1575+$F$3</f>
        <v>31400</v>
      </c>
      <c r="B1576" s="71" t="n">
        <f aca="false">SUMPRODUCT(固有振動数!$Q$6:$Q$22*(1-($A1576/固有振動数!$O$6:$O$22)^2)/((1-($A1576/固有振動数!$O$6:$O$22)^2)^2+固有振動数!$P$6:$P$22^2))</f>
        <v>46.9589863324276</v>
      </c>
      <c r="C1576" s="71" t="n">
        <f aca="false">-SUMPRODUCT(固有振動数!$Q$6:$Q$22*固有振動数!$P$6:$P$22/((1-($A1576/固有振動数!$O$6:$O$22)^2)^2+固有振動数!$P$6:$P$22^2))</f>
        <v>-22.6056936982815</v>
      </c>
      <c r="D1576" s="71" t="n">
        <f aca="false">SQRT(B1576^2+C1576^2)</f>
        <v>52.1168282318643</v>
      </c>
      <c r="E1576" s="72" t="n">
        <f aca="false">20*LOG10(MAX(D1576,0.000000000001)/$K$3)</f>
        <v>34.3395595439904</v>
      </c>
      <c r="F1576" s="5"/>
      <c r="G1576" s="5"/>
      <c r="H1576" s="5"/>
      <c r="I1576" s="5"/>
      <c r="J1576" s="5"/>
      <c r="K1576" s="5"/>
      <c r="L1576" s="5"/>
      <c r="M1576" s="5"/>
      <c r="N1576" s="5"/>
    </row>
    <row r="1577" customFormat="false" ht="15" hidden="false" customHeight="false" outlineLevel="0" collapsed="false">
      <c r="A1577" s="71" t="n">
        <f aca="false">A1576+$F$3</f>
        <v>31420</v>
      </c>
      <c r="B1577" s="71" t="n">
        <f aca="false">SUMPRODUCT(固有振動数!$Q$6:$Q$22*(1-($A1577/固有振動数!$O$6:$O$22)^2)/((1-($A1577/固有振動数!$O$6:$O$22)^2)^2+固有振動数!$P$6:$P$22^2))</f>
        <v>48.5560003484867</v>
      </c>
      <c r="C1577" s="71" t="n">
        <f aca="false">-SUMPRODUCT(固有振動数!$Q$6:$Q$22*固有振動数!$P$6:$P$22/((1-($A1577/固有振動数!$O$6:$O$22)^2)^2+固有振動数!$P$6:$P$22^2))</f>
        <v>-25.0907121877677</v>
      </c>
      <c r="D1577" s="71" t="n">
        <f aca="false">SQRT(B1577^2+C1577^2)</f>
        <v>54.6555487387295</v>
      </c>
      <c r="E1577" s="72" t="n">
        <f aca="false">20*LOG10(MAX(D1577,0.000000000001)/$K$3)</f>
        <v>34.7526851790665</v>
      </c>
      <c r="F1577" s="5"/>
      <c r="G1577" s="5"/>
      <c r="H1577" s="5"/>
      <c r="I1577" s="5"/>
      <c r="J1577" s="5"/>
      <c r="K1577" s="5"/>
      <c r="L1577" s="5"/>
      <c r="M1577" s="5"/>
      <c r="N1577" s="5"/>
    </row>
    <row r="1578" customFormat="false" ht="15" hidden="false" customHeight="false" outlineLevel="0" collapsed="false">
      <c r="A1578" s="71" t="n">
        <f aca="false">A1577+$F$3</f>
        <v>31440</v>
      </c>
      <c r="B1578" s="71" t="n">
        <f aca="false">SUMPRODUCT(固有振動数!$Q$6:$Q$22*(1-($A1578/固有振動数!$O$6:$O$22)^2)/((1-($A1578/固有振動数!$O$6:$O$22)^2)^2+固有振動数!$P$6:$P$22^2))</f>
        <v>50.156686216886</v>
      </c>
      <c r="C1578" s="71" t="n">
        <f aca="false">-SUMPRODUCT(固有振動数!$Q$6:$Q$22*固有振動数!$P$6:$P$22/((1-($A1578/固有振動数!$O$6:$O$22)^2)^2+固有振動数!$P$6:$P$22^2))</f>
        <v>-27.9626120513298</v>
      </c>
      <c r="D1578" s="71" t="n">
        <f aca="false">SQRT(B1578^2+C1578^2)</f>
        <v>57.4247407046156</v>
      </c>
      <c r="E1578" s="72" t="n">
        <f aca="false">20*LOG10(MAX(D1578,0.000000000001)/$K$3)</f>
        <v>35.1819808572076</v>
      </c>
      <c r="F1578" s="5"/>
      <c r="G1578" s="5"/>
      <c r="H1578" s="5"/>
      <c r="I1578" s="5"/>
      <c r="J1578" s="5"/>
      <c r="K1578" s="5"/>
      <c r="L1578" s="5"/>
      <c r="M1578" s="5"/>
      <c r="N1578" s="5"/>
    </row>
    <row r="1579" customFormat="false" ht="15" hidden="false" customHeight="false" outlineLevel="0" collapsed="false">
      <c r="A1579" s="71" t="n">
        <f aca="false">A1578+$F$3</f>
        <v>31460</v>
      </c>
      <c r="B1579" s="71" t="n">
        <f aca="false">SUMPRODUCT(固有振動数!$Q$6:$Q$22*(1-($A1579/固有振動数!$O$6:$O$22)^2)/((1-($A1579/固有振動数!$O$6:$O$22)^2)^2+固有振動数!$P$6:$P$22^2))</f>
        <v>51.7167465216384</v>
      </c>
      <c r="C1579" s="71" t="n">
        <f aca="false">-SUMPRODUCT(固有振動数!$Q$6:$Q$22*固有振動数!$P$6:$P$22/((1-($A1579/固有振動数!$O$6:$O$22)^2)^2+固有振動数!$P$6:$P$22^2))</f>
        <v>-31.2893430914204</v>
      </c>
      <c r="D1579" s="71" t="n">
        <f aca="false">SQRT(B1579^2+C1579^2)</f>
        <v>60.4453874325909</v>
      </c>
      <c r="E1579" s="72" t="n">
        <f aca="false">20*LOG10(MAX(D1579,0.000000000001)/$K$3)</f>
        <v>35.6272633118751</v>
      </c>
      <c r="F1579" s="5"/>
      <c r="G1579" s="5"/>
      <c r="H1579" s="5"/>
      <c r="I1579" s="5"/>
      <c r="J1579" s="5"/>
      <c r="K1579" s="5"/>
      <c r="L1579" s="5"/>
      <c r="M1579" s="5"/>
      <c r="N1579" s="5"/>
    </row>
    <row r="1580" customFormat="false" ht="15" hidden="false" customHeight="false" outlineLevel="0" collapsed="false">
      <c r="A1580" s="71" t="n">
        <f aca="false">A1579+$F$3</f>
        <v>31480</v>
      </c>
      <c r="B1580" s="71" t="n">
        <f aca="false">SUMPRODUCT(固有振動数!$Q$6:$Q$22*(1-($A1580/固有振動数!$O$6:$O$22)^2)/((1-($A1580/固有振動数!$O$6:$O$22)^2)^2+固有振動数!$P$6:$P$22^2))</f>
        <v>53.1694104788943</v>
      </c>
      <c r="C1580" s="71" t="n">
        <f aca="false">-SUMPRODUCT(固有振動数!$Q$6:$Q$22*固有振動数!$P$6:$P$22/((1-($A1580/固有振動数!$O$6:$O$22)^2)^2+固有振動数!$P$6:$P$22^2))</f>
        <v>-35.1474421246464</v>
      </c>
      <c r="D1580" s="71" t="n">
        <f aca="false">SQRT(B1580^2+C1580^2)</f>
        <v>63.7364016757969</v>
      </c>
      <c r="E1580" s="72" t="n">
        <f aca="false">20*LOG10(MAX(D1580,0.000000000001)/$K$3)</f>
        <v>36.0877508230248</v>
      </c>
      <c r="F1580" s="5"/>
      <c r="G1580" s="5"/>
      <c r="H1580" s="5"/>
      <c r="I1580" s="5"/>
      <c r="J1580" s="5"/>
      <c r="K1580" s="5"/>
      <c r="L1580" s="5"/>
      <c r="M1580" s="5"/>
      <c r="N1580" s="5"/>
    </row>
    <row r="1581" customFormat="false" ht="15" hidden="false" customHeight="false" outlineLevel="0" collapsed="false">
      <c r="A1581" s="71" t="n">
        <f aca="false">A1580+$F$3</f>
        <v>31500</v>
      </c>
      <c r="B1581" s="71" t="n">
        <f aca="false">SUMPRODUCT(固有振動数!$Q$6:$Q$22*(1-($A1581/固有振動数!$O$6:$O$22)^2)/((1-($A1581/固有振動数!$O$6:$O$22)^2)^2+固有振動数!$P$6:$P$22^2))</f>
        <v>54.416405634876</v>
      </c>
      <c r="C1581" s="71" t="n">
        <f aca="false">-SUMPRODUCT(固有振動数!$Q$6:$Q$22*固有振動数!$P$6:$P$22/((1-($A1581/固有振動数!$O$6:$O$22)^2)^2+固有振動数!$P$6:$P$22^2))</f>
        <v>-39.6191470151637</v>
      </c>
      <c r="D1581" s="71" t="n">
        <f aca="false">SQRT(B1581^2+C1581^2)</f>
        <v>67.3113810022385</v>
      </c>
      <c r="E1581" s="72" t="n">
        <f aca="false">20*LOG10(MAX(D1581,0.000000000001)/$K$3)</f>
        <v>36.5617700180876</v>
      </c>
      <c r="F1581" s="5"/>
      <c r="G1581" s="5"/>
      <c r="H1581" s="5"/>
      <c r="I1581" s="5"/>
      <c r="J1581" s="5"/>
      <c r="K1581" s="5"/>
      <c r="L1581" s="5"/>
      <c r="M1581" s="5"/>
      <c r="N1581" s="5"/>
    </row>
    <row r="1582" customFormat="false" ht="15" hidden="false" customHeight="false" outlineLevel="0" collapsed="false">
      <c r="A1582" s="71" t="n">
        <f aca="false">A1581+$F$3</f>
        <v>31520</v>
      </c>
      <c r="B1582" s="71" t="n">
        <f aca="false">SUMPRODUCT(固有振動数!$Q$6:$Q$22*(1-($A1582/固有振動数!$O$6:$O$22)^2)/((1-($A1582/固有振動数!$O$6:$O$22)^2)^2+固有振動数!$P$6:$P$22^2))</f>
        <v>55.3164998269337</v>
      </c>
      <c r="C1582" s="71" t="n">
        <f aca="false">-SUMPRODUCT(固有振動数!$Q$6:$Q$22*固有振動数!$P$6:$P$22/((1-($A1582/固有振動数!$O$6:$O$22)^2)^2+固有振動数!$P$6:$P$22^2))</f>
        <v>-44.7854077211356</v>
      </c>
      <c r="D1582" s="71" t="n">
        <f aca="false">SQRT(B1582^2+C1582^2)</f>
        <v>71.1733650873099</v>
      </c>
      <c r="E1582" s="72" t="n">
        <f aca="false">20*LOG10(MAX(D1582,0.000000000001)/$K$3)</f>
        <v>37.0463499964038</v>
      </c>
      <c r="F1582" s="5"/>
      <c r="G1582" s="5"/>
      <c r="H1582" s="5"/>
      <c r="I1582" s="5"/>
      <c r="J1582" s="5"/>
      <c r="K1582" s="5"/>
      <c r="L1582" s="5"/>
      <c r="M1582" s="5"/>
      <c r="N1582" s="5"/>
    </row>
    <row r="1583" customFormat="false" ht="15" hidden="false" customHeight="false" outlineLevel="0" collapsed="false">
      <c r="A1583" s="71" t="n">
        <f aca="false">A1582+$F$3</f>
        <v>31540</v>
      </c>
      <c r="B1583" s="71" t="n">
        <f aca="false">SUMPRODUCT(固有振動数!$Q$6:$Q$22*(1-($A1583/固有振動数!$O$6:$O$22)^2)/((1-($A1583/固有振動数!$O$6:$O$22)^2)^2+固有振動数!$P$6:$P$22^2))</f>
        <v>55.6723550436424</v>
      </c>
      <c r="C1583" s="71" t="n">
        <f aca="false">-SUMPRODUCT(固有振動数!$Q$6:$Q$22*固有振動数!$P$6:$P$22/((1-($A1583/固有振動数!$O$6:$O$22)^2)^2+固有振動数!$P$6:$P$22^2))</f>
        <v>-50.7119074707034</v>
      </c>
      <c r="D1583" s="71" t="n">
        <f aca="false">SQRT(B1583^2+C1583^2)</f>
        <v>75.3067638092526</v>
      </c>
      <c r="E1583" s="72" t="n">
        <f aca="false">20*LOG10(MAX(D1583,0.000000000001)/$K$3)</f>
        <v>37.5366796974837</v>
      </c>
      <c r="F1583" s="5"/>
      <c r="G1583" s="5"/>
      <c r="H1583" s="5"/>
      <c r="I1583" s="5"/>
      <c r="J1583" s="5"/>
      <c r="K1583" s="5"/>
      <c r="L1583" s="5"/>
      <c r="M1583" s="5"/>
      <c r="N1583" s="5"/>
    </row>
    <row r="1584" customFormat="false" ht="15" hidden="false" customHeight="false" outlineLevel="0" collapsed="false">
      <c r="A1584" s="71" t="n">
        <f aca="false">A1583+$F$3</f>
        <v>31560</v>
      </c>
      <c r="B1584" s="71" t="n">
        <f aca="false">SUMPRODUCT(固有振動数!$Q$6:$Q$22*(1-($A1584/固有振動数!$O$6:$O$22)^2)/((1-($A1584/固有振動数!$O$6:$O$22)^2)^2+固有振動数!$P$6:$P$22^2))</f>
        <v>55.2184606721344</v>
      </c>
      <c r="C1584" s="71" t="n">
        <f aca="false">-SUMPRODUCT(固有振動数!$Q$6:$Q$22*固有振動数!$P$6:$P$22/((1-($A1584/固有振動数!$O$6:$O$22)^2)^2+固有振動数!$P$6:$P$22^2))</f>
        <v>-57.4241886000547</v>
      </c>
      <c r="D1584" s="71" t="n">
        <f aca="false">SQRT(B1584^2+C1584^2)</f>
        <v>79.6656502852685</v>
      </c>
      <c r="E1584" s="72" t="n">
        <f aca="false">20*LOG10(MAX(D1584,0.000000000001)/$K$3)</f>
        <v>38.0254221099297</v>
      </c>
      <c r="F1584" s="5"/>
      <c r="G1584" s="5"/>
      <c r="H1584" s="5"/>
      <c r="I1584" s="5"/>
      <c r="J1584" s="5"/>
      <c r="K1584" s="5"/>
      <c r="L1584" s="5"/>
      <c r="M1584" s="5"/>
      <c r="N1584" s="5"/>
    </row>
    <row r="1585" customFormat="false" ht="15" hidden="false" customHeight="false" outlineLevel="0" collapsed="false">
      <c r="A1585" s="71" t="n">
        <f aca="false">A1584+$F$3</f>
        <v>31580</v>
      </c>
      <c r="B1585" s="71" t="n">
        <f aca="false">SUMPRODUCT(固有振動数!$Q$6:$Q$22*(1-($A1585/固有振動数!$O$6:$O$22)^2)/((1-($A1585/固有振動数!$O$6:$O$22)^2)^2+固有振動数!$P$6:$P$22^2))</f>
        <v>53.6167853816558</v>
      </c>
      <c r="C1585" s="71" t="n">
        <f aca="false">-SUMPRODUCT(固有振動数!$Q$6:$Q$22*固有振動数!$P$6:$P$22/((1-($A1585/固有振動数!$O$6:$O$22)^2)^2+固有振動数!$P$6:$P$22^2))</f>
        <v>-64.8678824591608</v>
      </c>
      <c r="D1585" s="71" t="n">
        <f aca="false">SQRT(B1585^2+C1585^2)</f>
        <v>84.1581953786916</v>
      </c>
      <c r="E1585" s="72" t="n">
        <f aca="false">20*LOG10(MAX(D1585,0.000000000001)/$K$3)</f>
        <v>38.5019282848912</v>
      </c>
      <c r="F1585" s="5"/>
      <c r="G1585" s="5"/>
      <c r="H1585" s="5"/>
      <c r="I1585" s="5"/>
      <c r="J1585" s="5"/>
      <c r="K1585" s="5"/>
      <c r="L1585" s="5"/>
      <c r="M1585" s="5"/>
      <c r="N1585" s="5"/>
    </row>
    <row r="1586" customFormat="false" ht="15" hidden="false" customHeight="false" outlineLevel="0" collapsed="false">
      <c r="A1586" s="71" t="n">
        <f aca="false">A1585+$F$3</f>
        <v>31600</v>
      </c>
      <c r="B1586" s="71" t="n">
        <f aca="false">SUMPRODUCT(固有振動数!$Q$6:$Q$22*(1-($A1586/固有振動数!$O$6:$O$22)^2)/((1-($A1586/固有振動数!$O$6:$O$22)^2)^2+固有振動数!$P$6:$P$22^2))</f>
        <v>50.4727059968711</v>
      </c>
      <c r="C1586" s="71" t="n">
        <f aca="false">-SUMPRODUCT(固有振動数!$Q$6:$Q$22*固有振動数!$P$6:$P$22/((1-($A1586/固有振動数!$O$6:$O$22)^2)^2+固有振動数!$P$6:$P$22^2))</f>
        <v>-72.8530756416126</v>
      </c>
      <c r="D1586" s="71" t="n">
        <f aca="false">SQRT(B1586^2+C1586^2)</f>
        <v>88.6288027736419</v>
      </c>
      <c r="E1586" s="72" t="n">
        <f aca="false">20*LOG10(MAX(D1586,0.000000000001)/$K$3)</f>
        <v>38.9514976550896</v>
      </c>
      <c r="F1586" s="5"/>
      <c r="G1586" s="5"/>
      <c r="H1586" s="5"/>
      <c r="I1586" s="5"/>
      <c r="J1586" s="5"/>
      <c r="K1586" s="5"/>
      <c r="L1586" s="5"/>
      <c r="M1586" s="5"/>
      <c r="N1586" s="5"/>
    </row>
    <row r="1587" customFormat="false" ht="15" hidden="false" customHeight="false" outlineLevel="0" collapsed="false">
      <c r="A1587" s="71" t="n">
        <f aca="false">A1586+$F$3</f>
        <v>31620</v>
      </c>
      <c r="B1587" s="71" t="n">
        <f aca="false">SUMPRODUCT(固有振動数!$Q$6:$Q$22*(1-($A1587/固有振動数!$O$6:$O$22)^2)/((1-($A1587/固有振動数!$O$6:$O$22)^2)^2+固有振動数!$P$6:$P$22^2))</f>
        <v>45.3895903463826</v>
      </c>
      <c r="C1587" s="71" t="n">
        <f aca="false">-SUMPRODUCT(固有振動数!$Q$6:$Q$22*固有振動数!$P$6:$P$22/((1-($A1587/固有振動数!$O$6:$O$22)^2)^2+固有振動数!$P$6:$P$22^2))</f>
        <v>-80.9916498070863</v>
      </c>
      <c r="D1587" s="71" t="n">
        <f aca="false">SQRT(B1587^2+C1587^2)</f>
        <v>92.8432132699323</v>
      </c>
      <c r="E1587" s="72" t="n">
        <f aca="false">20*LOG10(MAX(D1587,0.000000000001)/$K$3)</f>
        <v>39.3550032563694</v>
      </c>
      <c r="F1587" s="5"/>
      <c r="G1587" s="5"/>
      <c r="H1587" s="5"/>
      <c r="I1587" s="5"/>
      <c r="J1587" s="5"/>
      <c r="K1587" s="5"/>
      <c r="L1587" s="5"/>
      <c r="M1587" s="5"/>
      <c r="N1587" s="5"/>
    </row>
    <row r="1588" customFormat="false" ht="15" hidden="false" customHeight="false" outlineLevel="0" collapsed="false">
      <c r="A1588" s="71" t="n">
        <f aca="false">A1587+$F$3</f>
        <v>31640</v>
      </c>
      <c r="B1588" s="71" t="n">
        <f aca="false">SUMPRODUCT(固有振動数!$Q$6:$Q$22*(1-($A1588/固有振動数!$O$6:$O$22)^2)/((1-($A1588/固有振動数!$O$6:$O$22)^2)^2+固有振動数!$P$6:$P$22^2))</f>
        <v>38.078559522721</v>
      </c>
      <c r="C1588" s="71" t="n">
        <f aca="false">-SUMPRODUCT(固有振動数!$Q$6:$Q$22*固有振動数!$P$6:$P$22/((1-($A1588/固有振動数!$O$6:$O$22)^2)^2+固有振動数!$P$6:$P$22^2))</f>
        <v>-88.655665377638</v>
      </c>
      <c r="D1588" s="71" t="n">
        <f aca="false">SQRT(B1588^2+C1588^2)</f>
        <v>96.4873240321086</v>
      </c>
      <c r="E1588" s="72" t="n">
        <f aca="false">20*LOG10(MAX(D1588,0.000000000001)/$K$3)</f>
        <v>39.6894052379625</v>
      </c>
      <c r="F1588" s="5"/>
      <c r="G1588" s="5"/>
      <c r="H1588" s="5"/>
      <c r="I1588" s="5"/>
      <c r="J1588" s="5"/>
      <c r="K1588" s="5"/>
      <c r="L1588" s="5"/>
      <c r="M1588" s="5"/>
      <c r="N1588" s="5"/>
    </row>
    <row r="1589" customFormat="false" ht="15" hidden="false" customHeight="false" outlineLevel="0" collapsed="false">
      <c r="A1589" s="71" t="n">
        <f aca="false">A1588+$F$3</f>
        <v>31660</v>
      </c>
      <c r="B1589" s="71" t="n">
        <f aca="false">SUMPRODUCT(固有振動数!$Q$6:$Q$22*(1-($A1589/固有振動数!$O$6:$O$22)^2)/((1-($A1589/固有振動数!$O$6:$O$22)^2)^2+固有振動数!$P$6:$P$22^2))</f>
        <v>28.5169829878745</v>
      </c>
      <c r="C1589" s="71" t="n">
        <f aca="false">-SUMPRODUCT(固有振動数!$Q$6:$Q$22*固有振動数!$P$6:$P$22/((1-($A1589/固有振動数!$O$6:$O$22)^2)^2+固有振動数!$P$6:$P$22^2))</f>
        <v>-95.0070881632067</v>
      </c>
      <c r="D1589" s="71" t="n">
        <f aca="false">SQRT(B1589^2+C1589^2)</f>
        <v>99.1945821100228</v>
      </c>
      <c r="E1589" s="72" t="n">
        <f aca="false">20*LOG10(MAX(D1589,0.000000000001)/$K$3)</f>
        <v>39.9297590430881</v>
      </c>
      <c r="F1589" s="5"/>
      <c r="G1589" s="5"/>
      <c r="H1589" s="5"/>
      <c r="I1589" s="5"/>
      <c r="J1589" s="5"/>
      <c r="K1589" s="5"/>
      <c r="L1589" s="5"/>
      <c r="M1589" s="5"/>
      <c r="N1589" s="5"/>
    </row>
    <row r="1590" customFormat="false" ht="15" hidden="false" customHeight="false" outlineLevel="0" collapsed="false">
      <c r="A1590" s="71" t="n">
        <f aca="false">A1589+$F$3</f>
        <v>31680</v>
      </c>
      <c r="B1590" s="71" t="n">
        <f aca="false">SUMPRODUCT(固有振動数!$Q$6:$Q$22*(1-($A1590/固有振動数!$O$6:$O$22)^2)/((1-($A1590/固有振動数!$O$6:$O$22)^2)^2+固有振動数!$P$6:$P$22^2))</f>
        <v>17.0984060570694</v>
      </c>
      <c r="C1590" s="71" t="n">
        <f aca="false">-SUMPRODUCT(固有振動数!$Q$6:$Q$22*固有振動数!$P$6:$P$22/((1-($A1590/固有振動数!$O$6:$O$22)^2)^2+固有振動数!$P$6:$P$22^2))</f>
        <v>-99.1485089804561</v>
      </c>
      <c r="D1590" s="71" t="n">
        <f aca="false">SQRT(B1590^2+C1590^2)</f>
        <v>100.612038657111</v>
      </c>
      <c r="E1590" s="72" t="n">
        <f aca="false">20*LOG10(MAX(D1590,0.000000000001)/$K$3)</f>
        <v>40.0529989801129</v>
      </c>
      <c r="F1590" s="5"/>
      <c r="G1590" s="5"/>
      <c r="H1590" s="5"/>
      <c r="I1590" s="5"/>
      <c r="J1590" s="5"/>
      <c r="K1590" s="5"/>
      <c r="L1590" s="5"/>
      <c r="M1590" s="5"/>
      <c r="N1590" s="5"/>
    </row>
    <row r="1591" customFormat="false" ht="15" hidden="false" customHeight="false" outlineLevel="0" collapsed="false">
      <c r="A1591" s="71" t="n">
        <f aca="false">A1590+$F$3</f>
        <v>31700</v>
      </c>
      <c r="B1591" s="71" t="n">
        <f aca="false">SUMPRODUCT(固有振動数!$Q$6:$Q$22*(1-($A1591/固有振動数!$O$6:$O$22)^2)/((1-($A1591/固有振動数!$O$6:$O$22)^2)^2+固有振動数!$P$6:$P$22^2))</f>
        <v>4.66712639911697</v>
      </c>
      <c r="C1591" s="71" t="n">
        <f aca="false">-SUMPRODUCT(固有振動数!$Q$6:$Q$22*固有振動数!$P$6:$P$22/((1-($A1591/固有振動数!$O$6:$O$22)^2)^2+固有振動数!$P$6:$P$22^2))</f>
        <v>-100.386115711041</v>
      </c>
      <c r="D1591" s="71" t="n">
        <f aca="false">SQRT(B1591^2+C1591^2)</f>
        <v>100.494548590338</v>
      </c>
      <c r="E1591" s="72" t="n">
        <f aca="false">20*LOG10(MAX(D1591,0.000000000001)/$K$3)</f>
        <v>40.0428500746629</v>
      </c>
      <c r="F1591" s="5"/>
      <c r="G1591" s="5"/>
      <c r="H1591" s="5"/>
      <c r="I1591" s="5"/>
      <c r="J1591" s="5"/>
      <c r="K1591" s="5"/>
      <c r="L1591" s="5"/>
      <c r="M1591" s="5"/>
      <c r="N1591" s="5"/>
    </row>
    <row r="1592" customFormat="false" ht="15" hidden="false" customHeight="false" outlineLevel="0" collapsed="false">
      <c r="A1592" s="71" t="n">
        <f aca="false">A1591+$F$3</f>
        <v>31720</v>
      </c>
      <c r="B1592" s="71" t="n">
        <f aca="false">SUMPRODUCT(固有振動数!$Q$6:$Q$22*(1-($A1592/固有振動数!$O$6:$O$22)^2)/((1-($A1592/固有振動数!$O$6:$O$22)^2)^2+固有振動数!$P$6:$P$22^2))</f>
        <v>-7.64618844636617</v>
      </c>
      <c r="C1592" s="71" t="n">
        <f aca="false">-SUMPRODUCT(固有振動数!$Q$6:$Q$22*固有振動数!$P$6:$P$22/((1-($A1592/固有振動数!$O$6:$O$22)^2)^2+固有振動数!$P$6:$P$22^2))</f>
        <v>-98.4915537066874</v>
      </c>
      <c r="D1592" s="71" t="n">
        <f aca="false">SQRT(B1592^2+C1592^2)</f>
        <v>98.7879058858656</v>
      </c>
      <c r="E1592" s="72" t="n">
        <f aca="false">20*LOG10(MAX(D1592,0.000000000001)/$K$3)</f>
        <v>39.8940755863817</v>
      </c>
      <c r="F1592" s="5"/>
      <c r="G1592" s="5"/>
      <c r="H1592" s="5"/>
      <c r="I1592" s="5"/>
      <c r="J1592" s="5"/>
      <c r="K1592" s="5"/>
      <c r="L1592" s="5"/>
      <c r="M1592" s="5"/>
      <c r="N1592" s="5"/>
    </row>
    <row r="1593" customFormat="false" ht="15" hidden="false" customHeight="false" outlineLevel="0" collapsed="false">
      <c r="A1593" s="71" t="n">
        <f aca="false">A1592+$F$3</f>
        <v>31740</v>
      </c>
      <c r="B1593" s="71" t="n">
        <f aca="false">SUMPRODUCT(固有振動数!$Q$6:$Q$22*(1-($A1593/固有振動数!$O$6:$O$22)^2)/((1-($A1593/固有振動数!$O$6:$O$22)^2)^2+固有振動数!$P$6:$P$22^2))</f>
        <v>-18.7436399604239</v>
      </c>
      <c r="C1593" s="71" t="n">
        <f aca="false">-SUMPRODUCT(固有振動数!$Q$6:$Q$22*固有振動数!$P$6:$P$22/((1-($A1593/固有振動数!$O$6:$O$22)^2)^2+固有振動数!$P$6:$P$22^2))</f>
        <v>-93.7985652580362</v>
      </c>
      <c r="D1593" s="71" t="n">
        <f aca="false">SQRT(B1593^2+C1593^2)</f>
        <v>95.6529920255089</v>
      </c>
      <c r="E1593" s="72" t="n">
        <f aca="false">20*LOG10(MAX(D1593,0.000000000001)/$K$3)</f>
        <v>39.6139711861362</v>
      </c>
      <c r="F1593" s="5"/>
      <c r="G1593" s="5"/>
      <c r="H1593" s="5"/>
      <c r="I1593" s="5"/>
      <c r="J1593" s="5"/>
      <c r="K1593" s="5"/>
      <c r="L1593" s="5"/>
      <c r="M1593" s="5"/>
      <c r="N1593" s="5"/>
    </row>
    <row r="1594" customFormat="false" ht="15" hidden="false" customHeight="false" outlineLevel="0" collapsed="false">
      <c r="A1594" s="71" t="n">
        <f aca="false">A1593+$F$3</f>
        <v>31760</v>
      </c>
      <c r="B1594" s="71" t="n">
        <f aca="false">SUMPRODUCT(固有振動数!$Q$6:$Q$22*(1-($A1594/固有振動数!$O$6:$O$22)^2)/((1-($A1594/固有振動数!$O$6:$O$22)^2)^2+固有振動数!$P$6:$P$22^2))</f>
        <v>-27.8610384965424</v>
      </c>
      <c r="C1594" s="71" t="n">
        <f aca="false">-SUMPRODUCT(固有振動数!$Q$6:$Q$22*固有振動数!$P$6:$P$22/((1-($A1594/固有振動数!$O$6:$O$22)^2)^2+固有振動数!$P$6:$P$22^2))</f>
        <v>-87.0650799853233</v>
      </c>
      <c r="D1594" s="71" t="n">
        <f aca="false">SQRT(B1594^2+C1594^2)</f>
        <v>91.4142528217377</v>
      </c>
      <c r="E1594" s="72" t="n">
        <f aca="false">20*LOG10(MAX(D1594,0.000000000001)/$K$3)</f>
        <v>39.2202782777526</v>
      </c>
      <c r="F1594" s="5"/>
      <c r="G1594" s="5"/>
      <c r="H1594" s="5"/>
      <c r="I1594" s="5"/>
      <c r="J1594" s="5"/>
      <c r="K1594" s="5"/>
      <c r="L1594" s="5"/>
      <c r="M1594" s="5"/>
      <c r="N1594" s="5"/>
    </row>
    <row r="1595" customFormat="false" ht="15" hidden="false" customHeight="false" outlineLevel="0" collapsed="false">
      <c r="A1595" s="71" t="n">
        <f aca="false">A1594+$F$3</f>
        <v>31780</v>
      </c>
      <c r="B1595" s="71" t="n">
        <f aca="false">SUMPRODUCT(固有振動数!$Q$6:$Q$22*(1-($A1595/固有振動数!$O$6:$O$22)^2)/((1-($A1595/固有振動数!$O$6:$O$22)^2)^2+固有振動数!$P$6:$P$22^2))</f>
        <v>-34.6935365667955</v>
      </c>
      <c r="C1595" s="71" t="n">
        <f aca="false">-SUMPRODUCT(固有振動数!$Q$6:$Q$22*固有振動数!$P$6:$P$22/((1-($A1595/固有振動数!$O$6:$O$22)^2)^2+固有振動数!$P$6:$P$22^2))</f>
        <v>-79.1978606295893</v>
      </c>
      <c r="D1595" s="71" t="n">
        <f aca="false">SQRT(B1595^2+C1595^2)</f>
        <v>86.4635333988579</v>
      </c>
      <c r="E1595" s="72" t="n">
        <f aca="false">20*LOG10(MAX(D1595,0.000000000001)/$K$3)</f>
        <v>38.7366595867727</v>
      </c>
      <c r="F1595" s="5"/>
      <c r="G1595" s="5"/>
      <c r="H1595" s="5"/>
      <c r="I1595" s="5"/>
      <c r="J1595" s="5"/>
      <c r="K1595" s="5"/>
      <c r="L1595" s="5"/>
      <c r="M1595" s="5"/>
      <c r="N1595" s="5"/>
    </row>
    <row r="1596" customFormat="false" ht="15" hidden="false" customHeight="false" outlineLevel="0" collapsed="false">
      <c r="A1596" s="71" t="n">
        <f aca="false">A1595+$F$3</f>
        <v>31800</v>
      </c>
      <c r="B1596" s="71" t="n">
        <f aca="false">SUMPRODUCT(固有振動数!$Q$6:$Q$22*(1-($A1596/固有振動数!$O$6:$O$22)^2)/((1-($A1596/固有振動数!$O$6:$O$22)^2)^2+固有振動数!$P$6:$P$22^2))</f>
        <v>-39.3303742919294</v>
      </c>
      <c r="C1596" s="71" t="n">
        <f aca="false">-SUMPRODUCT(固有振動数!$Q$6:$Q$22*固有振動数!$P$6:$P$22/((1-($A1596/固有振動数!$O$6:$O$22)^2)^2+固有振動数!$P$6:$P$22^2))</f>
        <v>-71.0045638320455</v>
      </c>
      <c r="D1596" s="71" t="n">
        <f aca="false">SQRT(B1596^2+C1596^2)</f>
        <v>81.1697383691871</v>
      </c>
      <c r="E1596" s="72" t="n">
        <f aca="false">20*LOG10(MAX(D1596,0.000000000001)/$K$3)</f>
        <v>38.1878829225449</v>
      </c>
      <c r="F1596" s="5"/>
      <c r="G1596" s="5"/>
      <c r="H1596" s="5"/>
      <c r="I1596" s="5"/>
      <c r="J1596" s="5"/>
      <c r="K1596" s="5"/>
      <c r="L1596" s="5"/>
      <c r="M1596" s="5"/>
      <c r="N1596" s="5"/>
    </row>
    <row r="1597" customFormat="false" ht="15" hidden="false" customHeight="false" outlineLevel="0" collapsed="false">
      <c r="A1597" s="71" t="n">
        <f aca="false">A1596+$F$3</f>
        <v>31820</v>
      </c>
      <c r="B1597" s="71" t="n">
        <f aca="false">SUMPRODUCT(固有振動数!$Q$6:$Q$22*(1-($A1597/固有振動数!$O$6:$O$22)^2)/((1-($A1597/固有振動数!$O$6:$O$22)^2)^2+固有振動数!$P$6:$P$22^2))</f>
        <v>-42.0954274427481</v>
      </c>
      <c r="C1597" s="71" t="n">
        <f aca="false">-SUMPRODUCT(固有振動数!$Q$6:$Q$22*固有振動数!$P$6:$P$22/((1-($A1597/固有振動数!$O$6:$O$22)^2)^2+固有振動数!$P$6:$P$22^2))</f>
        <v>-63.0675654395105</v>
      </c>
      <c r="D1597" s="71" t="n">
        <f aca="false">SQRT(B1597^2+C1597^2)</f>
        <v>75.8257398384916</v>
      </c>
      <c r="E1597" s="72" t="n">
        <f aca="false">20*LOG10(MAX(D1597,0.000000000001)/$K$3)</f>
        <v>37.5963331290657</v>
      </c>
      <c r="F1597" s="5"/>
      <c r="G1597" s="5"/>
      <c r="H1597" s="5"/>
      <c r="I1597" s="5"/>
      <c r="J1597" s="5"/>
      <c r="K1597" s="5"/>
      <c r="L1597" s="5"/>
      <c r="M1597" s="5"/>
      <c r="N1597" s="5"/>
    </row>
    <row r="1598" customFormat="false" ht="15" hidden="false" customHeight="false" outlineLevel="0" collapsed="false">
      <c r="A1598" s="71" t="n">
        <f aca="false">A1597+$F$3</f>
        <v>31840</v>
      </c>
      <c r="B1598" s="71" t="n">
        <f aca="false">SUMPRODUCT(固有振動数!$Q$6:$Q$22*(1-($A1598/固有振動数!$O$6:$O$22)^2)/((1-($A1598/固有振動数!$O$6:$O$22)^2)^2+固有振動数!$P$6:$P$22^2))</f>
        <v>-43.3946664652779</v>
      </c>
      <c r="C1598" s="71" t="n">
        <f aca="false">-SUMPRODUCT(固有振動数!$Q$6:$Q$22*固有振動数!$P$6:$P$22/((1-($A1598/固有振動数!$O$6:$O$22)^2)^2+固有振動数!$P$6:$P$22^2))</f>
        <v>-55.7323354786554</v>
      </c>
      <c r="D1598" s="71" t="n">
        <f aca="false">SQRT(B1598^2+C1598^2)</f>
        <v>70.6342006080489</v>
      </c>
      <c r="E1598" s="72" t="n">
        <f aca="false">20*LOG10(MAX(D1598,0.000000000001)/$K$3)</f>
        <v>36.9803006892736</v>
      </c>
      <c r="F1598" s="5"/>
      <c r="G1598" s="5"/>
      <c r="H1598" s="5"/>
      <c r="I1598" s="5"/>
      <c r="J1598" s="5"/>
      <c r="K1598" s="5"/>
      <c r="L1598" s="5"/>
      <c r="M1598" s="5"/>
      <c r="N1598" s="5"/>
    </row>
    <row r="1599" customFormat="false" ht="15" hidden="false" customHeight="false" outlineLevel="0" collapsed="false">
      <c r="A1599" s="71" t="n">
        <f aca="false">A1598+$F$3</f>
        <v>31860</v>
      </c>
      <c r="B1599" s="71" t="n">
        <f aca="false">SUMPRODUCT(固有振動数!$Q$6:$Q$22*(1-($A1599/固有振動数!$O$6:$O$22)^2)/((1-($A1599/固有振動数!$O$6:$O$22)^2)^2+固有振動数!$P$6:$P$22^2))</f>
        <v>-43.6170408235518</v>
      </c>
      <c r="C1599" s="71" t="n">
        <f aca="false">-SUMPRODUCT(固有振動数!$Q$6:$Q$22*固有振動数!$P$6:$P$22/((1-($A1599/固有振動数!$O$6:$O$22)^2)^2+固有振動数!$P$6:$P$22^2))</f>
        <v>-49.1567890252559</v>
      </c>
      <c r="D1599" s="71" t="n">
        <f aca="false">SQRT(B1599^2+C1599^2)</f>
        <v>65.717852654183</v>
      </c>
      <c r="E1599" s="72" t="n">
        <f aca="false">20*LOG10(MAX(D1599,0.000000000001)/$K$3)</f>
        <v>36.3536672864732</v>
      </c>
      <c r="F1599" s="5"/>
      <c r="G1599" s="5"/>
      <c r="H1599" s="5"/>
      <c r="I1599" s="5"/>
      <c r="J1599" s="5"/>
      <c r="K1599" s="5"/>
      <c r="L1599" s="5"/>
      <c r="M1599" s="5"/>
      <c r="N1599" s="5"/>
    </row>
    <row r="1600" customFormat="false" ht="15" hidden="false" customHeight="false" outlineLevel="0" collapsed="false">
      <c r="A1600" s="71" t="n">
        <f aca="false">A1599+$F$3</f>
        <v>31880</v>
      </c>
      <c r="B1600" s="71" t="n">
        <f aca="false">SUMPRODUCT(固有振動数!$Q$6:$Q$22*(1-($A1600/固有振動数!$O$6:$O$22)^2)/((1-($A1600/固有振動数!$O$6:$O$22)^2)^2+固有振動数!$P$6:$P$22^2))</f>
        <v>-43.0886788501556</v>
      </c>
      <c r="C1600" s="71" t="n">
        <f aca="false">-SUMPRODUCT(固有振動数!$Q$6:$Q$22*固有振動数!$P$6:$P$22/((1-($A1600/固有振動数!$O$6:$O$22)^2)^2+固有振動数!$P$6:$P$22^2))</f>
        <v>-43.3745455640523</v>
      </c>
      <c r="D1600" s="71" t="n">
        <f aca="false">SQRT(B1600^2+C1600^2)</f>
        <v>61.1390664627773</v>
      </c>
      <c r="E1600" s="72" t="n">
        <f aca="false">20*LOG10(MAX(D1600,0.000000000001)/$K$3)</f>
        <v>35.7263760632807</v>
      </c>
      <c r="F1600" s="5"/>
      <c r="G1600" s="5"/>
      <c r="H1600" s="5"/>
      <c r="I1600" s="5"/>
      <c r="J1600" s="5"/>
      <c r="K1600" s="5"/>
      <c r="L1600" s="5"/>
      <c r="M1600" s="5"/>
      <c r="N1600" s="5"/>
    </row>
    <row r="1601" customFormat="false" ht="15" hidden="false" customHeight="false" outlineLevel="0" collapsed="false">
      <c r="A1601" s="71" t="n">
        <f aca="false">A1600+$F$3</f>
        <v>31900</v>
      </c>
      <c r="B1601" s="71" t="n">
        <f aca="false">SUMPRODUCT(固有振動数!$Q$6:$Q$22*(1-($A1601/固有振動数!$O$6:$O$22)^2)/((1-($A1601/固有振動数!$O$6:$O$22)^2)^2+固有振動数!$P$6:$P$22^2))</f>
        <v>-42.0622130879396</v>
      </c>
      <c r="C1601" s="71" t="n">
        <f aca="false">-SUMPRODUCT(固有振動数!$Q$6:$Q$22*固有振動数!$P$6:$P$22/((1-($A1601/固有振動数!$O$6:$O$22)^2)^2+固有振動数!$P$6:$P$22^2))</f>
        <v>-38.3481547520608</v>
      </c>
      <c r="D1601" s="71" t="n">
        <f aca="false">SQRT(B1601^2+C1601^2)</f>
        <v>56.9193354032111</v>
      </c>
      <c r="E1601" s="72" t="n">
        <f aca="false">20*LOG10(MAX(D1601,0.000000000001)/$K$3)</f>
        <v>35.1051964113781</v>
      </c>
      <c r="F1601" s="5"/>
      <c r="G1601" s="5"/>
      <c r="H1601" s="5"/>
      <c r="I1601" s="5"/>
      <c r="J1601" s="5"/>
      <c r="K1601" s="5"/>
      <c r="L1601" s="5"/>
      <c r="M1601" s="5"/>
      <c r="N1601" s="5"/>
    </row>
    <row r="1602" customFormat="false" ht="15" hidden="false" customHeight="false" outlineLevel="0" collapsed="false">
      <c r="A1602" s="71" t="n">
        <f aca="false">A1601+$F$3</f>
        <v>31920</v>
      </c>
      <c r="B1602" s="71" t="n">
        <f aca="false">SUMPRODUCT(固有振動数!$Q$6:$Q$22*(1-($A1602/固有振動数!$O$6:$O$22)^2)/((1-($A1602/固有振動数!$O$6:$O$22)^2)^2+固有振動数!$P$6:$P$22^2))</f>
        <v>-40.7235557300481</v>
      </c>
      <c r="C1602" s="71" t="n">
        <f aca="false">-SUMPRODUCT(固有振動数!$Q$6:$Q$22*固有振動数!$P$6:$P$22/((1-($A1602/固有振動数!$O$6:$O$22)^2)^2+固有振動数!$P$6:$P$22^2))</f>
        <v>-34.0059901159016</v>
      </c>
      <c r="D1602" s="71" t="n">
        <f aca="false">SQRT(B1602^2+C1602^2)</f>
        <v>53.0548334750108</v>
      </c>
      <c r="E1602" s="72" t="n">
        <f aca="false">20*LOG10(MAX(D1602,0.000000000001)/$K$3)</f>
        <v>34.4944991147577</v>
      </c>
      <c r="F1602" s="5"/>
      <c r="G1602" s="5"/>
      <c r="H1602" s="5"/>
      <c r="I1602" s="5"/>
      <c r="J1602" s="5"/>
      <c r="K1602" s="5"/>
      <c r="L1602" s="5"/>
      <c r="M1602" s="5"/>
      <c r="N1602" s="5"/>
    </row>
    <row r="1603" customFormat="false" ht="15" hidden="false" customHeight="false" outlineLevel="0" collapsed="false">
      <c r="A1603" s="71" t="n">
        <f aca="false">A1602+$F$3</f>
        <v>31940</v>
      </c>
      <c r="B1603" s="71" t="n">
        <f aca="false">SUMPRODUCT(固有振動数!$Q$6:$Q$22*(1-($A1603/固有振動数!$O$6:$O$22)^2)/((1-($A1603/固有振動数!$O$6:$O$22)^2)^2+固有振動数!$P$6:$P$22^2))</f>
        <v>-39.2047192497202</v>
      </c>
      <c r="C1603" s="71" t="n">
        <f aca="false">-SUMPRODUCT(固有振動数!$Q$6:$Q$22*固有振動数!$P$6:$P$22/((1-($A1603/固有振動数!$O$6:$O$22)^2)^2+固有振動数!$P$6:$P$22^2))</f>
        <v>-30.2647919675878</v>
      </c>
      <c r="D1603" s="71" t="n">
        <f aca="false">SQRT(B1603^2+C1603^2)</f>
        <v>49.5274433449855</v>
      </c>
      <c r="E1603" s="72" t="n">
        <f aca="false">20*LOG10(MAX(D1603,0.000000000001)/$K$3)</f>
        <v>33.8969181971121</v>
      </c>
      <c r="F1603" s="5"/>
      <c r="G1603" s="5"/>
      <c r="H1603" s="5"/>
      <c r="I1603" s="5"/>
      <c r="J1603" s="5"/>
      <c r="K1603" s="5"/>
      <c r="L1603" s="5"/>
      <c r="M1603" s="5"/>
      <c r="N1603" s="5"/>
    </row>
    <row r="1604" customFormat="false" ht="15" hidden="false" customHeight="false" outlineLevel="0" collapsed="false">
      <c r="A1604" s="71" t="n">
        <f aca="false">A1603+$F$3</f>
        <v>31960</v>
      </c>
      <c r="B1604" s="71" t="n">
        <f aca="false">SUMPRODUCT(固有振動数!$Q$6:$Q$22*(1-($A1604/固有振動数!$O$6:$O$22)^2)/((1-($A1604/固有振動数!$O$6:$O$22)^2)^2+固有振動数!$P$6:$P$22^2))</f>
        <v>-37.596915278893</v>
      </c>
      <c r="C1604" s="71" t="n">
        <f aca="false">-SUMPRODUCT(固有振動数!$Q$6:$Q$22*固有振動数!$P$6:$P$22/((1-($A1604/固有振動数!$O$6:$O$22)^2)^2+固有振動数!$P$6:$P$22^2))</f>
        <v>-27.0420435473829</v>
      </c>
      <c r="D1604" s="71" t="n">
        <f aca="false">SQRT(B1604^2+C1604^2)</f>
        <v>46.3119871923761</v>
      </c>
      <c r="E1604" s="72" t="n">
        <f aca="false">20*LOG10(MAX(D1604,0.000000000001)/$K$3)</f>
        <v>33.3138683290843</v>
      </c>
      <c r="F1604" s="5"/>
      <c r="G1604" s="5"/>
      <c r="H1604" s="5"/>
      <c r="I1604" s="5"/>
      <c r="J1604" s="5"/>
      <c r="K1604" s="5"/>
      <c r="L1604" s="5"/>
      <c r="M1604" s="5"/>
      <c r="N1604" s="5"/>
    </row>
    <row r="1605" customFormat="false" ht="15" hidden="false" customHeight="false" outlineLevel="0" collapsed="false">
      <c r="A1605" s="71" t="n">
        <f aca="false">A1604+$F$3</f>
        <v>31980</v>
      </c>
      <c r="B1605" s="71" t="n">
        <f aca="false">SUMPRODUCT(固有振動数!$Q$6:$Q$22*(1-($A1605/固有振動数!$O$6:$O$22)^2)/((1-($A1605/固有振動数!$O$6:$O$22)^2)^2+固有振動数!$P$6:$P$22^2))</f>
        <v>-35.9616679302644</v>
      </c>
      <c r="C1605" s="71" t="n">
        <f aca="false">-SUMPRODUCT(固有振動数!$Q$6:$Q$22*固有振動数!$P$6:$P$22/((1-($A1605/固有振動数!$O$6:$O$22)^2)^2+固有振動数!$P$6:$P$22^2))</f>
        <v>-24.2619589265599</v>
      </c>
      <c r="D1605" s="71" t="n">
        <f aca="false">SQRT(B1605^2+C1605^2)</f>
        <v>43.3806893822665</v>
      </c>
      <c r="E1605" s="72" t="n">
        <f aca="false">20*LOG10(MAX(D1605,0.000000000001)/$K$3)</f>
        <v>32.7459289860832</v>
      </c>
      <c r="F1605" s="5"/>
      <c r="G1605" s="5"/>
      <c r="H1605" s="5"/>
      <c r="I1605" s="5"/>
      <c r="J1605" s="5"/>
      <c r="K1605" s="5"/>
      <c r="L1605" s="5"/>
      <c r="M1605" s="5"/>
      <c r="N1605" s="5"/>
    </row>
    <row r="1606" customFormat="false" ht="15" hidden="false" customHeight="false" outlineLevel="0" collapsed="false">
      <c r="A1606" s="71" t="n">
        <f aca="false">A1605+$F$3</f>
        <v>32000</v>
      </c>
      <c r="B1606" s="71" t="n">
        <f aca="false">SUMPRODUCT(固有振動数!$Q$6:$Q$22*(1-($A1606/固有振動数!$O$6:$O$22)^2)/((1-($A1606/固有振動数!$O$6:$O$22)^2)^2+固有振動数!$P$6:$P$22^2))</f>
        <v>-34.3394434217484</v>
      </c>
      <c r="C1606" s="71" t="n">
        <f aca="false">-SUMPRODUCT(固有振動数!$Q$6:$Q$22*固有振動数!$P$6:$P$22/((1-($A1606/固有振動数!$O$6:$O$22)^2)^2+固有振動数!$P$6:$P$22^2))</f>
        <v>-21.8577850119552</v>
      </c>
      <c r="D1606" s="71" t="n">
        <f aca="false">SQRT(B1606^2+C1606^2)</f>
        <v>40.7057752676977</v>
      </c>
      <c r="E1606" s="72" t="n">
        <f aca="false">20*LOG10(MAX(D1606,0.000000000001)/$K$3)</f>
        <v>32.1931206115103</v>
      </c>
      <c r="F1606" s="5"/>
      <c r="G1606" s="5"/>
      <c r="H1606" s="5"/>
      <c r="I1606" s="5"/>
      <c r="J1606" s="5"/>
      <c r="K1606" s="5"/>
      <c r="L1606" s="5"/>
      <c r="M1606" s="5"/>
      <c r="N1606" s="5"/>
    </row>
    <row r="1607" customFormat="false" ht="15" hidden="false" customHeight="false" outlineLevel="0" collapsed="false">
      <c r="A1607" s="71" t="n">
        <f aca="false">A1606+$F$3</f>
        <v>32020</v>
      </c>
      <c r="B1607" s="71" t="n">
        <f aca="false">SUMPRODUCT(固有振動数!$Q$6:$Q$22*(1-($A1607/固有振動数!$O$6:$O$22)^2)/((1-($A1607/固有振動数!$O$6:$O$22)^2)^2+固有振動数!$P$6:$P$22^2))</f>
        <v>-32.7560299299772</v>
      </c>
      <c r="C1607" s="71" t="n">
        <f aca="false">-SUMPRODUCT(固有振動数!$Q$6:$Q$22*固有振動数!$P$6:$P$22/((1-($A1607/固有振動数!$O$6:$O$22)^2)^2+固有振動数!$P$6:$P$22^2))</f>
        <v>-19.7721367429338</v>
      </c>
      <c r="D1607" s="71" t="n">
        <f aca="false">SQRT(B1607^2+C1607^2)</f>
        <v>38.2608793437218</v>
      </c>
      <c r="E1607" s="72" t="n">
        <f aca="false">20*LOG10(MAX(D1607,0.000000000001)/$K$3)</f>
        <v>31.6550989425435</v>
      </c>
      <c r="F1607" s="5"/>
      <c r="G1607" s="5"/>
      <c r="H1607" s="5"/>
      <c r="I1607" s="5"/>
      <c r="J1607" s="5"/>
      <c r="K1607" s="5"/>
      <c r="L1607" s="5"/>
      <c r="M1607" s="5"/>
      <c r="N1607" s="5"/>
    </row>
    <row r="1608" customFormat="false" ht="15" hidden="false" customHeight="false" outlineLevel="0" collapsed="false">
      <c r="A1608" s="71" t="n">
        <f aca="false">A1607+$F$3</f>
        <v>32040</v>
      </c>
      <c r="B1608" s="71" t="n">
        <f aca="false">SUMPRODUCT(固有振動数!$Q$6:$Q$22*(1-($A1608/固有振動数!$O$6:$O$22)^2)/((1-($A1608/固有振動数!$O$6:$O$22)^2)^2+固有振動数!$P$6:$P$22^2))</f>
        <v>-31.2271186605054</v>
      </c>
      <c r="C1608" s="71" t="n">
        <f aca="false">-SUMPRODUCT(固有振動数!$Q$6:$Q$22*固有振動数!$P$6:$P$22/((1-($A1608/固有振動数!$O$6:$O$22)^2)^2+固有振動数!$P$6:$P$22^2))</f>
        <v>-17.9563803720033</v>
      </c>
      <c r="D1608" s="71" t="n">
        <f aca="false">SQRT(B1608^2+C1608^2)</f>
        <v>36.0217231112192</v>
      </c>
      <c r="E1608" s="72" t="n">
        <f aca="false">20*LOG10(MAX(D1608,0.000000000001)/$K$3)</f>
        <v>31.1312896720553</v>
      </c>
      <c r="F1608" s="5"/>
      <c r="G1608" s="5"/>
      <c r="H1608" s="5"/>
      <c r="I1608" s="5"/>
      <c r="J1608" s="5"/>
      <c r="K1608" s="5"/>
      <c r="L1608" s="5"/>
      <c r="M1608" s="5"/>
      <c r="N1608" s="5"/>
    </row>
    <row r="1609" customFormat="false" ht="15" hidden="false" customHeight="false" outlineLevel="0" collapsed="false">
      <c r="A1609" s="71" t="n">
        <f aca="false">A1608+$F$3</f>
        <v>32060</v>
      </c>
      <c r="B1609" s="71" t="n">
        <f aca="false">SUMPRODUCT(固有振動数!$Q$6:$Q$22*(1-($A1609/固有振動数!$O$6:$O$22)^2)/((1-($A1609/固有振動数!$O$6:$O$22)^2)^2+固有振動数!$P$6:$P$22^2))</f>
        <v>-29.7615347703325</v>
      </c>
      <c r="C1609" s="71" t="n">
        <f aca="false">-SUMPRODUCT(固有振動数!$Q$6:$Q$22*固有振動数!$P$6:$P$22/((1-($A1609/固有振動数!$O$6:$O$22)^2)^2+固有振動数!$P$6:$P$22^2))</f>
        <v>-16.3696297966622</v>
      </c>
      <c r="D1609" s="71" t="n">
        <f aca="false">SQRT(B1609^2+C1609^2)</f>
        <v>33.9663617652153</v>
      </c>
      <c r="E1609" s="72" t="n">
        <f aca="false">20*LOG10(MAX(D1609,0.000000000001)/$K$3)</f>
        <v>30.6209806165819</v>
      </c>
      <c r="F1609" s="5"/>
      <c r="G1609" s="5"/>
      <c r="H1609" s="5"/>
      <c r="I1609" s="5"/>
      <c r="J1609" s="5"/>
      <c r="K1609" s="5"/>
      <c r="L1609" s="5"/>
      <c r="M1609" s="5"/>
      <c r="N1609" s="5"/>
    </row>
    <row r="1610" customFormat="false" ht="15" hidden="false" customHeight="false" outlineLevel="0" collapsed="false">
      <c r="A1610" s="71" t="n">
        <f aca="false">A1609+$F$3</f>
        <v>32080</v>
      </c>
      <c r="B1610" s="71" t="n">
        <f aca="false">SUMPRODUCT(固有振動数!$Q$6:$Q$22*(1-($A1610/固有振動数!$O$6:$O$22)^2)/((1-($A1610/固有振動数!$O$6:$O$22)^2)^2+固有振動数!$P$6:$P$22^2))</f>
        <v>-28.3634902434138</v>
      </c>
      <c r="C1610" s="71" t="n">
        <f aca="false">-SUMPRODUCT(固有振動数!$Q$6:$Q$22*固有振動数!$P$6:$P$22/((1-($A1610/固有振動数!$O$6:$O$22)^2)^2+固有振動数!$P$6:$P$22^2))</f>
        <v>-14.9776523381694</v>
      </c>
      <c r="D1610" s="71" t="n">
        <f aca="false">SQRT(B1610^2+C1610^2)</f>
        <v>32.0751874250378</v>
      </c>
      <c r="E1610" s="72" t="n">
        <f aca="false">20*LOG10(MAX(D1610,0.000000000001)/$K$3)</f>
        <v>30.1233840553723</v>
      </c>
      <c r="F1610" s="5"/>
      <c r="G1610" s="5"/>
      <c r="H1610" s="5"/>
      <c r="I1610" s="5"/>
      <c r="J1610" s="5"/>
      <c r="K1610" s="5"/>
      <c r="L1610" s="5"/>
      <c r="M1610" s="5"/>
      <c r="N1610" s="5"/>
    </row>
    <row r="1611" customFormat="false" ht="15" hidden="false" customHeight="false" outlineLevel="0" collapsed="false">
      <c r="A1611" s="71" t="n">
        <f aca="false">A1610+$F$3</f>
        <v>32100</v>
      </c>
      <c r="B1611" s="71" t="n">
        <f aca="false">SUMPRODUCT(固有振動数!$Q$6:$Q$22*(1-($A1611/固有振動数!$O$6:$O$22)^2)/((1-($A1611/固有振動数!$O$6:$O$22)^2)^2+固有振動数!$P$6:$P$22^2))</f>
        <v>-27.034142879465</v>
      </c>
      <c r="C1611" s="71" t="n">
        <f aca="false">-SUMPRODUCT(固有振動数!$Q$6:$Q$22*固有振動数!$P$6:$P$22/((1-($A1611/固有振動数!$O$6:$O$22)^2)^2+固有振動数!$P$6:$P$22^2))</f>
        <v>-13.7518276254505</v>
      </c>
      <c r="D1611" s="71" t="n">
        <f aca="false">SQRT(B1611^2+C1611^2)</f>
        <v>30.3308035545949</v>
      </c>
      <c r="E1611" s="72" t="n">
        <f aca="false">20*LOG10(MAX(D1611,0.000000000001)/$K$3)</f>
        <v>29.6376783247122</v>
      </c>
      <c r="F1611" s="5"/>
      <c r="G1611" s="5"/>
      <c r="H1611" s="5"/>
      <c r="I1611" s="5"/>
      <c r="J1611" s="5"/>
      <c r="K1611" s="5"/>
      <c r="L1611" s="5"/>
      <c r="M1611" s="5"/>
      <c r="N1611" s="5"/>
    </row>
    <row r="1612" customFormat="false" ht="15" hidden="false" customHeight="false" outlineLevel="0" collapsed="false">
      <c r="A1612" s="71" t="n">
        <f aca="false">A1611+$F$3</f>
        <v>32120</v>
      </c>
      <c r="B1612" s="71" t="n">
        <f aca="false">SUMPRODUCT(固有振動数!$Q$6:$Q$22*(1-($A1612/固有振動数!$O$6:$O$22)^2)/((1-($A1612/固有振動数!$O$6:$O$22)^2)^2+固有振動数!$P$6:$P$22^2))</f>
        <v>-25.7726690385728</v>
      </c>
      <c r="C1612" s="71" t="n">
        <f aca="false">-SUMPRODUCT(固有振動数!$Q$6:$Q$22*固有振動数!$P$6:$P$22/((1-($A1612/固有振動数!$O$6:$O$22)^2)^2+固有振動数!$P$6:$P$22^2))</f>
        <v>-12.6682199862822</v>
      </c>
      <c r="D1612" s="71" t="n">
        <f aca="false">SQRT(B1612^2+C1612^2)</f>
        <v>28.7178388287254</v>
      </c>
      <c r="E1612" s="72" t="n">
        <f aca="false">20*LOG10(MAX(D1612,0.000000000001)/$K$3)</f>
        <v>29.1630350762556</v>
      </c>
      <c r="F1612" s="5"/>
      <c r="G1612" s="5"/>
      <c r="H1612" s="5"/>
      <c r="I1612" s="5"/>
      <c r="J1612" s="5"/>
      <c r="K1612" s="5"/>
      <c r="L1612" s="5"/>
      <c r="M1612" s="5"/>
      <c r="N1612" s="5"/>
    </row>
    <row r="1613" customFormat="false" ht="15" hidden="false" customHeight="false" outlineLevel="0" collapsed="false">
      <c r="A1613" s="71" t="n">
        <f aca="false">A1612+$F$3</f>
        <v>32140</v>
      </c>
      <c r="B1613" s="71" t="n">
        <f aca="false">SUMPRODUCT(固有振動数!$Q$6:$Q$22*(1-($A1613/固有振動数!$O$6:$O$22)^2)/((1-($A1613/固有振動数!$O$6:$O$22)^2)^2+固有振動数!$P$6:$P$22^2))</f>
        <v>-24.576998106401</v>
      </c>
      <c r="C1613" s="71" t="n">
        <f aca="false">-SUMPRODUCT(固有振動数!$Q$6:$Q$22*固有振動数!$P$6:$P$22/((1-($A1613/固有振動数!$O$6:$O$22)^2)^2+固有振動数!$P$6:$P$22^2))</f>
        <v>-11.7067814588476</v>
      </c>
      <c r="D1613" s="71" t="n">
        <f aca="false">SQRT(B1613^2+C1613^2)</f>
        <v>27.2227399070567</v>
      </c>
      <c r="E1613" s="72" t="n">
        <f aca="false">20*LOG10(MAX(D1613,0.000000000001)/$K$3)</f>
        <v>28.698636676444</v>
      </c>
      <c r="F1613" s="5"/>
      <c r="G1613" s="5"/>
      <c r="H1613" s="5"/>
      <c r="I1613" s="5"/>
      <c r="J1613" s="5"/>
      <c r="K1613" s="5"/>
      <c r="L1613" s="5"/>
      <c r="M1613" s="5"/>
      <c r="N1613" s="5"/>
    </row>
    <row r="1614" customFormat="false" ht="15" hidden="false" customHeight="false" outlineLevel="0" collapsed="false">
      <c r="A1614" s="71" t="n">
        <f aca="false">A1613+$F$3</f>
        <v>32160</v>
      </c>
      <c r="B1614" s="71" t="n">
        <f aca="false">SUMPRODUCT(固有振動数!$Q$6:$Q$22*(1-($A1614/固有振動数!$O$6:$O$22)^2)/((1-($A1614/固有振動数!$O$6:$O$22)^2)^2+固有振動数!$P$6:$P$22^2))</f>
        <v>-23.4443125974497</v>
      </c>
      <c r="C1614" s="71" t="n">
        <f aca="false">-SUMPRODUCT(固有振動数!$Q$6:$Q$22*固有振動数!$P$6:$P$22/((1-($A1614/固有振動数!$O$6:$O$22)^2)^2+固有振動数!$P$6:$P$22^2))</f>
        <v>-10.8506814880176</v>
      </c>
      <c r="D1614" s="71" t="n">
        <f aca="false">SQRT(B1614^2+C1614^2)</f>
        <v>25.8335650253957</v>
      </c>
      <c r="E1614" s="72" t="n">
        <f aca="false">20*LOG10(MAX(D1614,0.000000000001)/$K$3)</f>
        <v>28.2436868567391</v>
      </c>
      <c r="F1614" s="5"/>
      <c r="G1614" s="5"/>
      <c r="H1614" s="5"/>
      <c r="I1614" s="5"/>
      <c r="J1614" s="5"/>
      <c r="K1614" s="5"/>
      <c r="L1614" s="5"/>
      <c r="M1614" s="5"/>
      <c r="N1614" s="5"/>
    </row>
    <row r="1615" customFormat="false" ht="15" hidden="false" customHeight="false" outlineLevel="0" collapsed="false">
      <c r="A1615" s="71" t="n">
        <f aca="false">A1614+$F$3</f>
        <v>32180</v>
      </c>
      <c r="B1615" s="71" t="n">
        <f aca="false">SUMPRODUCT(固有振動数!$Q$6:$Q$22*(1-($A1615/固有振動数!$O$6:$O$22)^2)/((1-($A1615/固有振動数!$O$6:$O$22)^2)^2+固有振動数!$P$6:$P$22^2))</f>
        <v>-22.3713862825134</v>
      </c>
      <c r="C1615" s="71" t="n">
        <f aca="false">-SUMPRODUCT(固有振動数!$Q$6:$Q$22*固有振動数!$P$6:$P$22/((1-($A1615/固有振動数!$O$6:$O$22)^2)^2+固有振動数!$P$6:$P$22^2))</f>
        <v>-10.0857503043997</v>
      </c>
      <c r="D1615" s="71" t="n">
        <f aca="false">SQRT(B1615^2+C1615^2)</f>
        <v>24.5397897995099</v>
      </c>
      <c r="E1615" s="72" t="n">
        <f aca="false">20*LOG10(MAX(D1615,0.000000000001)/$K$3)</f>
        <v>27.797416767409</v>
      </c>
      <c r="F1615" s="5"/>
      <c r="G1615" s="5"/>
      <c r="H1615" s="5"/>
      <c r="I1615" s="5"/>
      <c r="J1615" s="5"/>
      <c r="K1615" s="5"/>
      <c r="L1615" s="5"/>
      <c r="M1615" s="5"/>
      <c r="N1615" s="5"/>
    </row>
    <row r="1616" customFormat="false" ht="15" hidden="false" customHeight="false" outlineLevel="0" collapsed="false">
      <c r="A1616" s="71" t="n">
        <f aca="false">A1615+$F$3</f>
        <v>32200</v>
      </c>
      <c r="B1616" s="71" t="n">
        <f aca="false">SUMPRODUCT(固有振動数!$Q$6:$Q$22*(1-($A1616/固有振動数!$O$6:$O$22)^2)/((1-($A1616/固有振動数!$O$6:$O$22)^2)^2+固有振動数!$P$6:$P$22^2))</f>
        <v>-21.3548105466059</v>
      </c>
      <c r="C1616" s="71" t="n">
        <f aca="false">-SUMPRODUCT(固有振動数!$Q$6:$Q$22*固有振動数!$P$6:$P$22/((1-($A1616/固有振動数!$O$6:$O$22)^2)^2+固有振動数!$P$6:$P$22^2))</f>
        <v>-9.40002012431232</v>
      </c>
      <c r="D1616" s="71" t="n">
        <f aca="false">SQRT(B1616^2+C1616^2)</f>
        <v>23.3321304603525</v>
      </c>
      <c r="E1616" s="72" t="n">
        <f aca="false">20*LOG10(MAX(D1616,0.000000000001)/$K$3)</f>
        <v>27.35908792198</v>
      </c>
      <c r="F1616" s="5"/>
      <c r="G1616" s="5"/>
      <c r="H1616" s="5"/>
      <c r="I1616" s="5"/>
      <c r="J1616" s="5"/>
      <c r="K1616" s="5"/>
      <c r="L1616" s="5"/>
      <c r="M1616" s="5"/>
      <c r="N1616" s="5"/>
    </row>
    <row r="1617" customFormat="false" ht="15" hidden="false" customHeight="false" outlineLevel="0" collapsed="false">
      <c r="A1617" s="71" t="n">
        <f aca="false">A1616+$F$3</f>
        <v>32220</v>
      </c>
      <c r="B1617" s="71" t="n">
        <f aca="false">SUMPRODUCT(固有振動数!$Q$6:$Q$22*(1-($A1617/固有振動数!$O$6:$O$22)^2)/((1-($A1617/固有振動数!$O$6:$O$22)^2)^2+固有振動数!$P$6:$P$22^2))</f>
        <v>-20.3911437349584</v>
      </c>
      <c r="C1617" s="71" t="n">
        <f aca="false">-SUMPRODUCT(固有振動数!$Q$6:$Q$22*固有振動数!$P$6:$P$22/((1-($A1617/固有振動数!$O$6:$O$22)^2)^2+固有振動数!$P$6:$P$22^2))</f>
        <v>-8.78334848034037</v>
      </c>
      <c r="D1617" s="71" t="n">
        <f aca="false">SQRT(B1617^2+C1617^2)</f>
        <v>22.2023862083973</v>
      </c>
      <c r="E1617" s="72" t="n">
        <f aca="false">20*LOG10(MAX(D1617,0.000000000001)/$K$3)</f>
        <v>26.9279930578852</v>
      </c>
      <c r="F1617" s="5"/>
      <c r="G1617" s="5"/>
      <c r="H1617" s="5"/>
      <c r="I1617" s="5"/>
      <c r="J1617" s="5"/>
      <c r="K1617" s="5"/>
      <c r="L1617" s="5"/>
      <c r="M1617" s="5"/>
      <c r="N1617" s="5"/>
    </row>
    <row r="1618" customFormat="false" ht="15" hidden="false" customHeight="false" outlineLevel="0" collapsed="false">
      <c r="A1618" s="71" t="n">
        <f aca="false">A1617+$F$3</f>
        <v>32240</v>
      </c>
      <c r="B1618" s="71" t="n">
        <f aca="false">SUMPRODUCT(固有振動数!$Q$6:$Q$22*(1-($A1618/固有振動数!$O$6:$O$22)^2)/((1-($A1618/固有振動数!$O$6:$O$22)^2)^2+固有振動数!$P$6:$P$22^2))</f>
        <v>-19.4770075397238</v>
      </c>
      <c r="C1618" s="71" t="n">
        <f aca="false">-SUMPRODUCT(固有振動数!$Q$6:$Q$22*固有振動数!$P$6:$P$22/((1-($A1618/固有振動数!$O$6:$O$22)^2)^2+固有振動数!$P$6:$P$22^2))</f>
        <v>-8.22710949442602</v>
      </c>
      <c r="D1618" s="71" t="n">
        <f aca="false">SQRT(B1618^2+C1618^2)</f>
        <v>21.1433004362075</v>
      </c>
      <c r="E1618" s="72" t="n">
        <f aca="false">20*LOG10(MAX(D1618,0.000000000001)/$K$3)</f>
        <v>26.5034556190821</v>
      </c>
      <c r="F1618" s="5"/>
      <c r="G1618" s="5"/>
      <c r="H1618" s="5"/>
      <c r="I1618" s="5"/>
      <c r="J1618" s="5"/>
      <c r="K1618" s="5"/>
      <c r="L1618" s="5"/>
      <c r="M1618" s="5"/>
      <c r="N1618" s="5"/>
    </row>
    <row r="1619" customFormat="false" ht="15" hidden="false" customHeight="false" outlineLevel="0" collapsed="false">
      <c r="A1619" s="71" t="n">
        <f aca="false">A1618+$F$3</f>
        <v>32260</v>
      </c>
      <c r="B1619" s="71" t="n">
        <f aca="false">SUMPRODUCT(固有振動数!$Q$6:$Q$22*(1-($A1619/固有振動数!$O$6:$O$22)^2)/((1-($A1619/固有振動数!$O$6:$O$22)^2)^2+固有振動数!$P$6:$P$22^2))</f>
        <v>-18.6091470781541</v>
      </c>
      <c r="C1619" s="71" t="n">
        <f aca="false">-SUMPRODUCT(固有振動数!$Q$6:$Q$22*固有振動数!$P$6:$P$22/((1-($A1619/固有振動数!$O$6:$O$22)^2)^2+固有振動数!$P$6:$P$22^2))</f>
        <v>-7.72394085828095</v>
      </c>
      <c r="D1619" s="71" t="n">
        <f aca="false">SQRT(B1619^2+C1619^2)</f>
        <v>20.1484395762698</v>
      </c>
      <c r="E1619" s="72" t="n">
        <f aca="false">20*LOG10(MAX(D1619,0.000000000001)/$K$3)</f>
        <v>26.0848283448708</v>
      </c>
      <c r="F1619" s="5"/>
      <c r="G1619" s="5"/>
      <c r="H1619" s="5"/>
      <c r="I1619" s="5"/>
      <c r="J1619" s="5"/>
      <c r="K1619" s="5"/>
      <c r="L1619" s="5"/>
      <c r="M1619" s="5"/>
      <c r="N1619" s="5"/>
    </row>
    <row r="1620" customFormat="false" ht="15" hidden="false" customHeight="false" outlineLevel="0" collapsed="false">
      <c r="A1620" s="71" t="n">
        <f aca="false">A1619+$F$3</f>
        <v>32280</v>
      </c>
      <c r="B1620" s="71" t="n">
        <f aca="false">SUMPRODUCT(固有振動数!$Q$6:$Q$22*(1-($A1620/固有振動数!$O$6:$O$22)^2)/((1-($A1620/固有振動数!$O$6:$O$22)^2)^2+固有振動数!$P$6:$P$22^2))</f>
        <v>-17.784466196421</v>
      </c>
      <c r="C1620" s="71" t="n">
        <f aca="false">-SUMPRODUCT(固有振動数!$Q$6:$Q$22*固有振動数!$P$6:$P$22/((1-($A1620/固有振動数!$O$6:$O$22)^2)^2+固有振動数!$P$6:$P$22^2))</f>
        <v>-7.26753625709637</v>
      </c>
      <c r="D1620" s="71" t="n">
        <f aca="false">SQRT(B1620^2+C1620^2)</f>
        <v>19.2120878912171</v>
      </c>
      <c r="E1620" s="72" t="n">
        <f aca="false">20*LOG10(MAX(D1620,0.000000000001)/$K$3)</f>
        <v>25.6714912955276</v>
      </c>
      <c r="F1620" s="5"/>
      <c r="G1620" s="5"/>
      <c r="H1620" s="5"/>
      <c r="I1620" s="5"/>
      <c r="J1620" s="5"/>
      <c r="K1620" s="5"/>
      <c r="L1620" s="5"/>
      <c r="M1620" s="5"/>
      <c r="N1620" s="5"/>
    </row>
    <row r="1621" customFormat="false" ht="15" hidden="false" customHeight="false" outlineLevel="0" collapsed="false">
      <c r="A1621" s="71" t="n">
        <f aca="false">A1620+$F$3</f>
        <v>32300</v>
      </c>
      <c r="B1621" s="71" t="n">
        <f aca="false">SUMPRODUCT(固有振動数!$Q$6:$Q$22*(1-($A1621/固有振動数!$O$6:$O$22)^2)/((1-($A1621/固有振動数!$O$6:$O$22)^2)^2+固有振動数!$P$6:$P$22^2))</f>
        <v>-17.0000459931231</v>
      </c>
      <c r="C1621" s="71" t="n">
        <f aca="false">-SUMPRODUCT(固有振動数!$Q$6:$Q$22*固有振動数!$P$6:$P$22/((1-($A1621/固有振動数!$O$6:$O$22)^2)^2+固有振動数!$P$6:$P$22^2))</f>
        <v>-6.85247476928174</v>
      </c>
      <c r="D1621" s="71" t="n">
        <f aca="false">SQRT(B1621^2+C1621^2)</f>
        <v>18.3291563971707</v>
      </c>
      <c r="E1621" s="72" t="n">
        <f aca="false">20*LOG10(MAX(D1621,0.000000000001)/$K$3)</f>
        <v>25.2628495387591</v>
      </c>
      <c r="F1621" s="5"/>
      <c r="G1621" s="5"/>
      <c r="H1621" s="5"/>
      <c r="I1621" s="5"/>
      <c r="J1621" s="5"/>
      <c r="K1621" s="5"/>
      <c r="L1621" s="5"/>
      <c r="M1621" s="5"/>
      <c r="N1621" s="5"/>
    </row>
    <row r="1622" customFormat="false" ht="15" hidden="false" customHeight="false" outlineLevel="0" collapsed="false">
      <c r="A1622" s="71" t="n">
        <f aca="false">A1621+$F$3</f>
        <v>32320</v>
      </c>
      <c r="B1622" s="71" t="n">
        <f aca="false">SUMPRODUCT(固有振動数!$Q$6:$Q$22*(1-($A1622/固有振動数!$O$6:$O$22)^2)/((1-($A1622/固有振動数!$O$6:$O$22)^2)^2+固有振動数!$P$6:$P$22^2))</f>
        <v>-16.2531521032863</v>
      </c>
      <c r="C1622" s="71" t="n">
        <f aca="false">-SUMPRODUCT(固有振動数!$Q$6:$Q$22*固有振動数!$P$6:$P$22/((1-($A1622/固有振動数!$O$6:$O$22)^2)^2+固有振動数!$P$6:$P$22^2))</f>
        <v>-6.47408032859732</v>
      </c>
      <c r="D1622" s="71" t="n">
        <f aca="false">SQRT(B1622^2+C1622^2)</f>
        <v>17.4951041549827</v>
      </c>
      <c r="E1622" s="72" t="n">
        <f aca="false">20*LOG10(MAX(D1622,0.000000000001)/$K$3)</f>
        <v>24.8583306469239</v>
      </c>
      <c r="F1622" s="5"/>
      <c r="G1622" s="5"/>
      <c r="H1622" s="5"/>
      <c r="I1622" s="5"/>
      <c r="J1622" s="5"/>
      <c r="K1622" s="5"/>
      <c r="L1622" s="5"/>
      <c r="M1622" s="5"/>
      <c r="N1622" s="5"/>
    </row>
    <row r="1623" customFormat="false" ht="15" hidden="false" customHeight="false" outlineLevel="0" collapsed="false">
      <c r="A1623" s="71" t="n">
        <f aca="false">A1622+$F$3</f>
        <v>32340</v>
      </c>
      <c r="B1623" s="71" t="n">
        <f aca="false">SUMPRODUCT(固有振動数!$Q$6:$Q$22*(1-($A1623/固有振動数!$O$6:$O$22)^2)/((1-($A1623/固有振動数!$O$6:$O$22)^2)^2+固有振動数!$P$6:$P$22^2))</f>
        <v>-15.5412345803967</v>
      </c>
      <c r="C1623" s="71" t="n">
        <f aca="false">-SUMPRODUCT(固有振動数!$Q$6:$Q$22*固有振動数!$P$6:$P$22/((1-($A1623/固有振動数!$O$6:$O$22)^2)^2+固有振動数!$P$6:$P$22^2))</f>
        <v>-6.12830563812166</v>
      </c>
      <c r="D1623" s="71" t="n">
        <f aca="false">SQRT(B1623^2+C1623^2)</f>
        <v>16.7058702939162</v>
      </c>
      <c r="E1623" s="72" t="n">
        <f aca="false">20*LOG10(MAX(D1623,0.000000000001)/$K$3)</f>
        <v>24.457382103524</v>
      </c>
      <c r="F1623" s="5"/>
      <c r="G1623" s="5"/>
      <c r="H1623" s="5"/>
      <c r="I1623" s="5"/>
      <c r="J1623" s="5"/>
      <c r="K1623" s="5"/>
      <c r="L1623" s="5"/>
      <c r="M1623" s="5"/>
      <c r="N1623" s="5"/>
    </row>
    <row r="1624" customFormat="false" ht="15" hidden="false" customHeight="false" outlineLevel="0" collapsed="false">
      <c r="A1624" s="71" t="n">
        <f aca="false">A1623+$F$3</f>
        <v>32360</v>
      </c>
      <c r="B1624" s="71" t="n">
        <f aca="false">SUMPRODUCT(固有振動数!$Q$6:$Q$22*(1-($A1624/固有振動数!$O$6:$O$22)^2)/((1-($A1624/固有振動数!$O$6:$O$22)^2)^2+固有振動数!$P$6:$P$22^2))</f>
        <v>-14.861923029202</v>
      </c>
      <c r="C1624" s="71" t="n">
        <f aca="false">-SUMPRODUCT(固有振動数!$Q$6:$Q$22*固有振動数!$P$6:$P$22/((1-($A1624/固有振動数!$O$6:$O$22)^2)^2+固有振動数!$P$6:$P$22^2))</f>
        <v>-5.81163599829522</v>
      </c>
      <c r="D1624" s="71" t="n">
        <f aca="false">SQRT(B1624^2+C1624^2)</f>
        <v>15.957815298549</v>
      </c>
      <c r="E1624" s="72" t="n">
        <f aca="false">20*LOG10(MAX(D1624,0.000000000001)/$K$3)</f>
        <v>24.0594686817357</v>
      </c>
      <c r="F1624" s="5"/>
      <c r="G1624" s="5"/>
      <c r="H1624" s="5"/>
      <c r="I1624" s="5"/>
      <c r="J1624" s="5"/>
      <c r="K1624" s="5"/>
      <c r="L1624" s="5"/>
      <c r="M1624" s="5"/>
      <c r="N1624" s="5"/>
    </row>
    <row r="1625" customFormat="false" ht="15" hidden="false" customHeight="false" outlineLevel="0" collapsed="false">
      <c r="A1625" s="71" t="n">
        <f aca="false">A1624+$F$3</f>
        <v>32380</v>
      </c>
      <c r="B1625" s="71" t="n">
        <f aca="false">SUMPRODUCT(固有振動数!$Q$6:$Q$22*(1-($A1625/固有振動数!$O$6:$O$22)^2)/((1-($A1625/固有振動数!$O$6:$O$22)^2)^2+固有振動数!$P$6:$P$22^2))</f>
        <v>-14.2130188164702</v>
      </c>
      <c r="C1625" s="71" t="n">
        <f aca="false">-SUMPRODUCT(固有振動数!$Q$6:$Q$22*固有振動数!$P$6:$P$22/((1-($A1625/固有振動数!$O$6:$O$22)^2)^2+固有振動数!$P$6:$P$22^2))</f>
        <v>-5.52100938434488</v>
      </c>
      <c r="D1625" s="71" t="n">
        <f aca="false">SQRT(B1625^2+C1625^2)</f>
        <v>15.2476702646457</v>
      </c>
      <c r="E1625" s="72" t="n">
        <f aca="false">20*LOG10(MAX(D1625,0.000000000001)/$K$3)</f>
        <v>23.6640698329978</v>
      </c>
      <c r="F1625" s="5"/>
      <c r="G1625" s="5"/>
      <c r="H1625" s="5"/>
      <c r="I1625" s="5"/>
      <c r="J1625" s="5"/>
      <c r="K1625" s="5"/>
      <c r="L1625" s="5"/>
      <c r="M1625" s="5"/>
      <c r="N1625" s="5"/>
    </row>
    <row r="1626" customFormat="false" ht="15" hidden="false" customHeight="false" outlineLevel="0" collapsed="false">
      <c r="A1626" s="71" t="n">
        <f aca="false">A1625+$F$3</f>
        <v>32400</v>
      </c>
      <c r="B1626" s="71" t="n">
        <f aca="false">SUMPRODUCT(固有振動数!$Q$6:$Q$22*(1-($A1626/固有振動数!$O$6:$O$22)^2)/((1-($A1626/固有振動数!$O$6:$O$22)^2)^2+固有振動数!$P$6:$P$22^2))</f>
        <v>-13.5924856109492</v>
      </c>
      <c r="C1626" s="71" t="n">
        <f aca="false">-SUMPRODUCT(固有振動数!$Q$6:$Q$22*固有振動数!$P$6:$P$22/((1-($A1626/固有振動数!$O$6:$O$22)^2)^2+固有振動数!$P$6:$P$22^2))</f>
        <v>-5.25374981388742</v>
      </c>
      <c r="D1626" s="71" t="n">
        <f aca="false">SQRT(B1626^2+C1626^2)</f>
        <v>14.5724929984811</v>
      </c>
      <c r="E1626" s="72" t="n">
        <f aca="false">20*LOG10(MAX(D1626,0.000000000001)/$K$3)</f>
        <v>23.2706771065969</v>
      </c>
      <c r="F1626" s="5"/>
      <c r="G1626" s="5"/>
      <c r="H1626" s="5"/>
      <c r="I1626" s="5"/>
      <c r="J1626" s="5"/>
      <c r="K1626" s="5"/>
      <c r="L1626" s="5"/>
      <c r="M1626" s="5"/>
      <c r="N1626" s="5"/>
    </row>
    <row r="1627" customFormat="false" ht="15" hidden="false" customHeight="false" outlineLevel="0" collapsed="false">
      <c r="A1627" s="71" t="n">
        <f aca="false">A1626+$F$3</f>
        <v>32420</v>
      </c>
      <c r="B1627" s="71" t="n">
        <f aca="false">SUMPRODUCT(固有振動数!$Q$6:$Q$22*(1-($A1627/固有振動数!$O$6:$O$22)^2)/((1-($A1627/固有振動数!$O$6:$O$22)^2)^2+固有振動数!$P$6:$P$22^2))</f>
        <v>-12.9984391017149</v>
      </c>
      <c r="C1627" s="71" t="n">
        <f aca="false">-SUMPRODUCT(固有振動数!$Q$6:$Q$22*固有振動数!$P$6:$P$22/((1-($A1627/固有振動数!$O$6:$O$22)^2)^2+固有振動数!$P$6:$P$22^2))</f>
        <v>-5.00751161323873</v>
      </c>
      <c r="D1627" s="71" t="n">
        <f aca="false">SQRT(B1627^2+C1627^2)</f>
        <v>13.9296299892608</v>
      </c>
      <c r="E1627" s="72" t="n">
        <f aca="false">20*LOG10(MAX(D1627,0.000000000001)/$K$3)</f>
        <v>22.878791609518</v>
      </c>
      <c r="F1627" s="5"/>
      <c r="G1627" s="5"/>
      <c r="H1627" s="5"/>
      <c r="I1627" s="5"/>
      <c r="J1627" s="5"/>
      <c r="K1627" s="5"/>
      <c r="L1627" s="5"/>
      <c r="M1627" s="5"/>
      <c r="N1627" s="5"/>
    </row>
    <row r="1628" customFormat="false" ht="15" hidden="false" customHeight="false" outlineLevel="0" collapsed="false">
      <c r="A1628" s="71" t="n">
        <f aca="false">A1627+$F$3</f>
        <v>32440</v>
      </c>
      <c r="B1628" s="71" t="n">
        <f aca="false">SUMPRODUCT(固有振動数!$Q$6:$Q$22*(1-($A1628/固有振動数!$O$6:$O$22)^2)/((1-($A1628/固有振動数!$O$6:$O$22)^2)^2+固有振動数!$P$6:$P$22^2))</f>
        <v>-12.429136463505</v>
      </c>
      <c r="C1628" s="71" t="n">
        <f aca="false">-SUMPRODUCT(固有振動数!$Q$6:$Q$22*固有振動数!$P$6:$P$22/((1-($A1628/固有振動数!$O$6:$O$22)^2)^2+固有振動数!$P$6:$P$22^2))</f>
        <v>-4.78023264686452</v>
      </c>
      <c r="D1628" s="71" t="n">
        <f aca="false">SQRT(B1628^2+C1628^2)</f>
        <v>13.3166834229315</v>
      </c>
      <c r="E1628" s="72" t="n">
        <f aca="false">20*LOG10(MAX(D1628,0.000000000001)/$K$3)</f>
        <v>22.4879215079919</v>
      </c>
      <c r="F1628" s="5"/>
      <c r="G1628" s="5"/>
      <c r="H1628" s="5"/>
      <c r="I1628" s="5"/>
      <c r="J1628" s="5"/>
      <c r="K1628" s="5"/>
      <c r="L1628" s="5"/>
      <c r="M1628" s="5"/>
      <c r="N1628" s="5"/>
    </row>
    <row r="1629" customFormat="false" ht="15" hidden="false" customHeight="false" outlineLevel="0" collapsed="false">
      <c r="A1629" s="71" t="n">
        <f aca="false">A1628+$F$3</f>
        <v>32460</v>
      </c>
      <c r="B1629" s="71" t="n">
        <f aca="false">SUMPRODUCT(固有振動数!$Q$6:$Q$22*(1-($A1629/固有振動数!$O$6:$O$22)^2)/((1-($A1629/固有振動数!$O$6:$O$22)^2)^2+固有振動数!$P$6:$P$22^2))</f>
        <v>-11.8829659420748</v>
      </c>
      <c r="C1629" s="71" t="n">
        <f aca="false">-SUMPRODUCT(固有振動数!$Q$6:$Q$22*固有振動数!$P$6:$P$22/((1-($A1629/固有振動数!$O$6:$O$22)^2)^2+固有振動数!$P$6:$P$22^2))</f>
        <v>-4.57009494027938</v>
      </c>
      <c r="D1629" s="71" t="n">
        <f aca="false">SQRT(B1629^2+C1629^2)</f>
        <v>12.7314825273287</v>
      </c>
      <c r="E1629" s="72" t="n">
        <f aca="false">20*LOG10(MAX(D1629,0.000000000001)/$K$3)</f>
        <v>22.0975795671025</v>
      </c>
      <c r="F1629" s="5"/>
      <c r="G1629" s="5"/>
      <c r="H1629" s="5"/>
      <c r="I1629" s="5"/>
      <c r="J1629" s="5"/>
      <c r="K1629" s="5"/>
      <c r="L1629" s="5"/>
      <c r="M1629" s="5"/>
      <c r="N1629" s="5"/>
    </row>
    <row r="1630" customFormat="false" ht="15" hidden="false" customHeight="false" outlineLevel="0" collapsed="false">
      <c r="A1630" s="71" t="n">
        <f aca="false">A1629+$F$3</f>
        <v>32480</v>
      </c>
      <c r="B1630" s="71" t="n">
        <f aca="false">SUMPRODUCT(固有振動数!$Q$6:$Q$22*(1-($A1630/固有振動数!$O$6:$O$22)^2)/((1-($A1630/固有振動数!$O$6:$O$22)^2)^2+固有振動数!$P$6:$P$22^2))</f>
        <v>-11.3584367967153</v>
      </c>
      <c r="C1630" s="71" t="n">
        <f aca="false">-SUMPRODUCT(固有振動数!$Q$6:$Q$22*固有振動数!$P$6:$P$22/((1-($A1630/固有振動数!$O$6:$O$22)^2)^2+固有振動数!$P$6:$P$22^2))</f>
        <v>-4.3754914204215</v>
      </c>
      <c r="D1630" s="71" t="n">
        <f aca="false">SQRT(B1630^2+C1630^2)</f>
        <v>12.1720586440897</v>
      </c>
      <c r="E1630" s="72" t="n">
        <f aca="false">20*LOG10(MAX(D1630,0.000000000001)/$K$3)</f>
        <v>21.7072807218054</v>
      </c>
      <c r="F1630" s="5"/>
      <c r="G1630" s="5"/>
      <c r="H1630" s="5"/>
      <c r="I1630" s="5"/>
      <c r="J1630" s="5"/>
      <c r="K1630" s="5"/>
      <c r="L1630" s="5"/>
      <c r="M1630" s="5"/>
      <c r="N1630" s="5"/>
    </row>
    <row r="1631" customFormat="false" ht="15" hidden="false" customHeight="false" outlineLevel="0" collapsed="false">
      <c r="A1631" s="71" t="n">
        <f aca="false">A1630+$F$3</f>
        <v>32500</v>
      </c>
      <c r="B1631" s="71" t="n">
        <f aca="false">SUMPRODUCT(固有振動数!$Q$6:$Q$22*(1-($A1631/固有振動数!$O$6:$O$22)^2)/((1-($A1631/固有振動数!$O$6:$O$22)^2)^2+固有振動数!$P$6:$P$22^2))</f>
        <v>-10.854169743078</v>
      </c>
      <c r="C1631" s="71" t="n">
        <f aca="false">-SUMPRODUCT(固有振動数!$Q$6:$Q$22*固有振動数!$P$6:$P$22/((1-($A1631/固有振動数!$O$6:$O$22)^2)^2+固有振動数!$P$6:$P$22^2))</f>
        <v>-4.1949977335927</v>
      </c>
      <c r="D1631" s="71" t="n">
        <f aca="false">SQRT(B1631^2+C1631^2)</f>
        <v>11.6366235135626</v>
      </c>
      <c r="E1631" s="72" t="n">
        <f aca="false">20*LOG10(MAX(D1631,0.000000000001)/$K$3)</f>
        <v>21.3165396713093</v>
      </c>
      <c r="F1631" s="5"/>
      <c r="G1631" s="5"/>
      <c r="H1631" s="5"/>
      <c r="I1631" s="5"/>
      <c r="J1631" s="5"/>
      <c r="K1631" s="5"/>
      <c r="L1631" s="5"/>
      <c r="M1631" s="5"/>
      <c r="N1631" s="5"/>
    </row>
    <row r="1632" customFormat="false" ht="15" hidden="false" customHeight="false" outlineLevel="0" collapsed="false">
      <c r="A1632" s="71" t="n">
        <f aca="false">A1631+$F$3</f>
        <v>32520</v>
      </c>
      <c r="B1632" s="71" t="n">
        <f aca="false">SUMPRODUCT(固有振動数!$Q$6:$Q$22*(1-($A1632/固有振動数!$O$6:$O$22)^2)/((1-($A1632/固有振動数!$O$6:$O$22)^2)^2+固有振動数!$P$6:$P$22^2))</f>
        <v>-10.368887974925</v>
      </c>
      <c r="C1632" s="71" t="n">
        <f aca="false">-SUMPRODUCT(固有振動数!$Q$6:$Q$22*固有振動数!$P$6:$P$22/((1-($A1632/固有振動数!$O$6:$O$22)^2)^2+固有振動数!$P$6:$P$22^2))</f>
        <v>-4.02734829108897</v>
      </c>
      <c r="D1632" s="71" t="n">
        <f aca="false">SQRT(B1632^2+C1632^2)</f>
        <v>11.1235503367532</v>
      </c>
      <c r="E1632" s="72" t="n">
        <f aca="false">20*LOG10(MAX(D1632,0.000000000001)/$K$3)</f>
        <v>20.9248684887509</v>
      </c>
      <c r="F1632" s="5"/>
      <c r="G1632" s="5"/>
      <c r="H1632" s="5"/>
      <c r="I1632" s="5"/>
      <c r="J1632" s="5"/>
      <c r="K1632" s="5"/>
      <c r="L1632" s="5"/>
      <c r="M1632" s="5"/>
      <c r="N1632" s="5"/>
    </row>
    <row r="1633" customFormat="false" ht="15" hidden="false" customHeight="false" outlineLevel="0" collapsed="false">
      <c r="A1633" s="71" t="n">
        <f aca="false">A1632+$F$3</f>
        <v>32540</v>
      </c>
      <c r="B1633" s="71" t="n">
        <f aca="false">SUMPRODUCT(固有振動数!$Q$6:$Q$22*(1-($A1633/固有振動数!$O$6:$O$22)^2)/((1-($A1633/固有振動数!$O$6:$O$22)^2)^2+固有振動数!$P$6:$P$22^2))</f>
        <v>-9.90140879961519</v>
      </c>
      <c r="C1633" s="71" t="n">
        <f aca="false">-SUMPRODUCT(固有振動数!$Q$6:$Q$22*固有振動数!$P$6:$P$22/((1-($A1633/固有振動数!$O$6:$O$22)^2)^2+固有振動数!$P$6:$P$22^2))</f>
        <v>-3.87141584594693</v>
      </c>
      <c r="D1633" s="71" t="n">
        <f aca="false">SQRT(B1633^2+C1633^2)</f>
        <v>10.631357244931</v>
      </c>
      <c r="E1633" s="72" t="n">
        <f aca="false">20*LOG10(MAX(D1633,0.000000000001)/$K$3)</f>
        <v>20.5317742393973</v>
      </c>
      <c r="F1633" s="5"/>
      <c r="G1633" s="5"/>
      <c r="H1633" s="5"/>
      <c r="I1633" s="5"/>
      <c r="J1633" s="5"/>
      <c r="K1633" s="5"/>
      <c r="L1633" s="5"/>
      <c r="M1633" s="5"/>
      <c r="N1633" s="5"/>
    </row>
    <row r="1634" customFormat="false" ht="15" hidden="false" customHeight="false" outlineLevel="0" collapsed="false">
      <c r="A1634" s="71" t="n">
        <f aca="false">A1633+$F$3</f>
        <v>32560</v>
      </c>
      <c r="B1634" s="71" t="n">
        <f aca="false">SUMPRODUCT(固有振動数!$Q$6:$Q$22*(1-($A1634/固有振動数!$O$6:$O$22)^2)/((1-($A1634/固有振動数!$O$6:$O$22)^2)^2+固有振動数!$P$6:$P$22^2))</f>
        <v>-9.45063589286961</v>
      </c>
      <c r="C1634" s="71" t="n">
        <f aca="false">-SUMPRODUCT(固有振動数!$Q$6:$Q$22*固有振動数!$P$6:$P$22/((1-($A1634/固有振動数!$O$6:$O$22)^2)^2+固有振動数!$P$6:$P$22^2))</f>
        <v>-3.72619402818333</v>
      </c>
      <c r="D1634" s="71" t="n">
        <f aca="false">SQRT(B1634^2+C1634^2)</f>
        <v>10.158692864501</v>
      </c>
      <c r="E1634" s="72" t="n">
        <f aca="false">20*LOG10(MAX(D1634,0.000000000001)/$K$3)</f>
        <v>20.1367566033379</v>
      </c>
      <c r="F1634" s="5"/>
      <c r="G1634" s="5"/>
      <c r="H1634" s="5"/>
      <c r="I1634" s="5"/>
      <c r="J1634" s="5"/>
      <c r="K1634" s="5"/>
      <c r="L1634" s="5"/>
      <c r="M1634" s="5"/>
      <c r="N1634" s="5"/>
    </row>
    <row r="1635" customFormat="false" ht="15" hidden="false" customHeight="false" outlineLevel="0" collapsed="false">
      <c r="A1635" s="71" t="n">
        <f aca="false">A1634+$F$3</f>
        <v>32580</v>
      </c>
      <c r="B1635" s="71" t="n">
        <f aca="false">SUMPRODUCT(固有振動数!$Q$6:$Q$22*(1-($A1635/固有振動数!$O$6:$O$22)^2)/((1-($A1635/固有振動数!$O$6:$O$22)^2)^2+固有振動数!$P$6:$P$22^2))</f>
        <v>-9.01555215929307</v>
      </c>
      <c r="C1635" s="71" t="n">
        <f aca="false">-SUMPRODUCT(固有振動数!$Q$6:$Q$22*固有振動数!$P$6:$P$22/((1-($A1635/固有振動数!$O$6:$O$22)^2)^2+固有振動数!$P$6:$P$22^2))</f>
        <v>-3.5907823663883</v>
      </c>
      <c r="D1635" s="71" t="n">
        <f aca="false">SQRT(B1635^2+C1635^2)</f>
        <v>9.70432371367006</v>
      </c>
      <c r="E1635" s="72" t="n">
        <f aca="false">20*LOG10(MAX(D1635,0.000000000001)/$K$3)</f>
        <v>19.7393055030808</v>
      </c>
      <c r="F1635" s="5"/>
      <c r="G1635" s="5"/>
      <c r="H1635" s="5"/>
      <c r="I1635" s="5"/>
      <c r="J1635" s="5"/>
      <c r="K1635" s="5"/>
      <c r="L1635" s="5"/>
      <c r="M1635" s="5"/>
      <c r="N1635" s="5"/>
    </row>
    <row r="1636" customFormat="false" ht="15" hidden="false" customHeight="false" outlineLevel="0" collapsed="false">
      <c r="A1636" s="71" t="n">
        <f aca="false">A1635+$F$3</f>
        <v>32600</v>
      </c>
      <c r="B1636" s="71" t="n">
        <f aca="false">SUMPRODUCT(固有振動数!$Q$6:$Q$22*(1-($A1636/固有振動数!$O$6:$O$22)^2)/((1-($A1636/固有振動数!$O$6:$O$22)^2)^2+固有振動数!$P$6:$P$22^2))</f>
        <v>-8.59521317316724</v>
      </c>
      <c r="C1636" s="71" t="n">
        <f aca="false">-SUMPRODUCT(固有振動数!$Q$6:$Q$22*固有振動数!$P$6:$P$22/((1-($A1636/固有振動数!$O$6:$O$22)^2)^2+固有振動数!$P$6:$P$22^2))</f>
        <v>-3.46437340520537</v>
      </c>
      <c r="D1636" s="71" t="n">
        <f aca="false">SQRT(B1636^2+C1636^2)</f>
        <v>9.2671232096526</v>
      </c>
      <c r="E1636" s="72" t="n">
        <f aca="false">20*LOG10(MAX(D1636,0.000000000001)/$K$3)</f>
        <v>19.3388987431384</v>
      </c>
      <c r="F1636" s="5"/>
      <c r="G1636" s="5"/>
      <c r="H1636" s="5"/>
      <c r="I1636" s="5"/>
      <c r="J1636" s="5"/>
      <c r="K1636" s="5"/>
      <c r="L1636" s="5"/>
      <c r="M1636" s="5"/>
      <c r="N1636" s="5"/>
    </row>
    <row r="1637" customFormat="false" ht="15" hidden="false" customHeight="false" outlineLevel="0" collapsed="false">
      <c r="A1637" s="71" t="n">
        <f aca="false">A1636+$F$3</f>
        <v>32620</v>
      </c>
      <c r="B1637" s="71" t="n">
        <f aca="false">SUMPRODUCT(固有振動数!$Q$6:$Q$22*(1-($A1637/固有振動数!$O$6:$O$22)^2)/((1-($A1637/固有振動数!$O$6:$O$22)^2)^2+固有振動数!$P$6:$P$22^2))</f>
        <v>-8.1887411670076</v>
      </c>
      <c r="C1637" s="71" t="n">
        <f aca="false">-SUMPRODUCT(固有振動数!$Q$6:$Q$22*固有振動数!$P$6:$P$22/((1-($A1637/固有振動数!$O$6:$O$22)^2)^2+固有振動数!$P$6:$P$22^2))</f>
        <v>-3.3462415948058</v>
      </c>
      <c r="D1637" s="71" t="n">
        <f aca="false">SQRT(B1637^2+C1637^2)</f>
        <v>8.8460621019216</v>
      </c>
      <c r="E1637" s="72" t="n">
        <f aca="false">20*LOG10(MAX(D1637,0.000000000001)/$K$3)</f>
        <v>18.9349996783502</v>
      </c>
      <c r="F1637" s="5"/>
      <c r="G1637" s="5"/>
      <c r="H1637" s="5"/>
      <c r="I1637" s="5"/>
      <c r="J1637" s="5"/>
      <c r="K1637" s="5"/>
      <c r="L1637" s="5"/>
      <c r="M1637" s="5"/>
      <c r="N1637" s="5"/>
    </row>
    <row r="1638" customFormat="false" ht="15" hidden="false" customHeight="false" outlineLevel="0" collapsed="false">
      <c r="A1638" s="71" t="n">
        <f aca="false">A1637+$F$3</f>
        <v>32640</v>
      </c>
      <c r="B1638" s="71" t="n">
        <f aca="false">SUMPRODUCT(固有振動数!$Q$6:$Q$22*(1-($A1638/固有振動数!$O$6:$O$22)^2)/((1-($A1638/固有振動数!$O$6:$O$22)^2)^2+固有振動数!$P$6:$P$22^2))</f>
        <v>-7.79531953173441</v>
      </c>
      <c r="C1638" s="71" t="n">
        <f aca="false">-SUMPRODUCT(固有振動数!$Q$6:$Q$22*固有振動数!$P$6:$P$22/((1-($A1638/固有振動数!$O$6:$O$22)^2)^2+固有振動数!$P$6:$P$22^2))</f>
        <v>-3.23573368288186</v>
      </c>
      <c r="D1638" s="71" t="n">
        <f aca="false">SQRT(B1638^2+C1638^2)</f>
        <v>8.44020017940192</v>
      </c>
      <c r="E1638" s="72" t="n">
        <f aca="false">20*LOG10(MAX(D1638,0.000000000001)/$K$3)</f>
        <v>18.5270549414673</v>
      </c>
      <c r="F1638" s="5"/>
      <c r="G1638" s="5"/>
      <c r="H1638" s="5"/>
      <c r="I1638" s="5"/>
      <c r="J1638" s="5"/>
      <c r="K1638" s="5"/>
      <c r="L1638" s="5"/>
      <c r="M1638" s="5"/>
      <c r="N1638" s="5"/>
    </row>
    <row r="1639" customFormat="false" ht="15" hidden="false" customHeight="false" outlineLevel="0" collapsed="false">
      <c r="A1639" s="71" t="n">
        <f aca="false">A1638+$F$3</f>
        <v>32660</v>
      </c>
      <c r="B1639" s="71" t="n">
        <f aca="false">SUMPRODUCT(固有振動数!$Q$6:$Q$22*(1-($A1639/固有振動数!$O$6:$O$22)^2)/((1-($A1639/固有振動数!$O$6:$O$22)^2)^2+固有振動数!$P$6:$P$22^2))</f>
        <v>-7.41418779096933</v>
      </c>
      <c r="C1639" s="71" t="n">
        <f aca="false">-SUMPRODUCT(固有振動数!$Q$6:$Q$22*固有振動数!$P$6:$P$22/((1-($A1639/固有振動数!$O$6:$O$22)^2)^2+固有振動数!$P$6:$P$22^2))</f>
        <v>-3.13226038429693</v>
      </c>
      <c r="D1639" s="71" t="n">
        <f aca="false">SQRT(B1639^2+C1639^2)</f>
        <v>8.04867912857723</v>
      </c>
      <c r="E1639" s="72" t="n">
        <f aca="false">20*LOG10(MAX(D1639,0.000000000001)/$K$3)</f>
        <v>18.1144922800571</v>
      </c>
      <c r="F1639" s="5"/>
      <c r="G1639" s="5"/>
      <c r="H1639" s="5"/>
      <c r="I1639" s="5"/>
      <c r="J1639" s="5"/>
      <c r="K1639" s="5"/>
      <c r="L1639" s="5"/>
      <c r="M1639" s="5"/>
      <c r="N1639" s="5"/>
    </row>
    <row r="1640" customFormat="false" ht="15" hidden="false" customHeight="false" outlineLevel="0" collapsed="false">
      <c r="A1640" s="71" t="n">
        <f aca="false">A1639+$F$3</f>
        <v>32680</v>
      </c>
      <c r="B1640" s="71" t="n">
        <f aca="false">SUMPRODUCT(固有振動数!$Q$6:$Q$22*(1-($A1640/固有振動数!$O$6:$O$22)^2)/((1-($A1640/固有振動数!$O$6:$O$22)^2)^2+固有振動数!$P$6:$P$22^2))</f>
        <v>-7.04463701215297</v>
      </c>
      <c r="C1640" s="71" t="n">
        <f aca="false">-SUMPRODUCT(固有振動数!$Q$6:$Q$22*固有振動数!$P$6:$P$22/((1-($A1640/固有振動数!$O$6:$O$22)^2)^2+固有振動数!$P$6:$P$22^2))</f>
        <v>-3.03528914020925</v>
      </c>
      <c r="D1640" s="71" t="n">
        <f aca="false">SQRT(B1640^2+C1640^2)</f>
        <v>7.67071644617814</v>
      </c>
      <c r="E1640" s="72" t="n">
        <f aca="false">20*LOG10(MAX(D1640,0.000000000001)/$K$3)</f>
        <v>17.6967185803893</v>
      </c>
      <c r="F1640" s="5"/>
      <c r="G1640" s="5"/>
      <c r="H1640" s="5"/>
      <c r="I1640" s="5"/>
      <c r="J1640" s="5"/>
      <c r="K1640" s="5"/>
      <c r="L1640" s="5"/>
      <c r="M1640" s="5"/>
      <c r="N1640" s="5"/>
    </row>
    <row r="1641" customFormat="false" ht="15" hidden="false" customHeight="false" outlineLevel="0" collapsed="false">
      <c r="A1641" s="71" t="n">
        <f aca="false">A1640+$F$3</f>
        <v>32700</v>
      </c>
      <c r="B1641" s="71" t="n">
        <f aca="false">SUMPRODUCT(固有振動数!$Q$6:$Q$22*(1-($A1641/固有振動数!$O$6:$O$22)^2)/((1-($A1641/固有振動数!$O$6:$O$22)^2)^2+固有振動数!$P$6:$P$22^2))</f>
        <v>-6.68600561834749</v>
      </c>
      <c r="C1641" s="71" t="n">
        <f aca="false">-SUMPRODUCT(固有振動数!$Q$6:$Q$22*固有振動数!$P$6:$P$22/((1-($A1641/固有振動数!$O$6:$O$22)^2)^2+固有振動数!$P$6:$P$22^2))</f>
        <v>-2.94433780873016</v>
      </c>
      <c r="D1641" s="71" t="n">
        <f aca="false">SQRT(B1641^2+C1641^2)</f>
        <v>7.30560033539285</v>
      </c>
      <c r="E1641" s="72" t="n">
        <f aca="false">20*LOG10(MAX(D1641,0.000000000001)/$K$3)</f>
        <v>17.2731181949634</v>
      </c>
      <c r="F1641" s="5"/>
      <c r="G1641" s="5"/>
      <c r="H1641" s="5"/>
      <c r="I1641" s="5"/>
      <c r="J1641" s="5"/>
      <c r="K1641" s="5"/>
      <c r="L1641" s="5"/>
      <c r="M1641" s="5"/>
      <c r="N1641" s="5"/>
    </row>
    <row r="1642" customFormat="false" ht="15" hidden="false" customHeight="false" outlineLevel="0" collapsed="false">
      <c r="A1642" s="71" t="n">
        <f aca="false">A1641+$F$3</f>
        <v>32720</v>
      </c>
      <c r="B1642" s="71" t="n">
        <f aca="false">SUMPRODUCT(固有振動数!$Q$6:$Q$22*(1-($A1642/固有振動数!$O$6:$O$22)^2)/((1-($A1642/固有振動数!$O$6:$O$22)^2)^2+固有振動数!$P$6:$P$22^2))</f>
        <v>-6.33767556636544</v>
      </c>
      <c r="C1642" s="71" t="n">
        <f aca="false">-SUMPRODUCT(固有振動数!$Q$6:$Q$22*固有振動数!$P$6:$P$22/((1-($A1642/固有振動数!$O$6:$O$22)^2)^2+固有振動数!$P$6:$P$22^2))</f>
        <v>-2.85896915418883</v>
      </c>
      <c r="D1642" s="71" t="n">
        <f aca="false">SQRT(B1642^2+C1642^2)</f>
        <v>6.95268553935159</v>
      </c>
      <c r="E1642" s="72" t="n">
        <f aca="false">20*LOG10(MAX(D1642,0.000000000001)/$K$3)</f>
        <v>16.8430517454493</v>
      </c>
      <c r="F1642" s="5"/>
      <c r="G1642" s="5"/>
      <c r="H1642" s="5"/>
      <c r="I1642" s="5"/>
      <c r="J1642" s="5"/>
      <c r="K1642" s="5"/>
      <c r="L1642" s="5"/>
      <c r="M1642" s="5"/>
      <c r="N1642" s="5"/>
    </row>
    <row r="1643" customFormat="false" ht="15" hidden="false" customHeight="false" outlineLevel="0" collapsed="false">
      <c r="A1643" s="71" t="n">
        <f aca="false">A1642+$F$3</f>
        <v>32740</v>
      </c>
      <c r="B1643" s="71" t="n">
        <f aca="false">SUMPRODUCT(固有振動数!$Q$6:$Q$22*(1-($A1643/固有振動数!$O$6:$O$22)^2)/((1-($A1643/固有振動数!$O$6:$O$22)^2)^2+固有振動数!$P$6:$P$22^2))</f>
        <v>-5.99906885898153</v>
      </c>
      <c r="C1643" s="71" t="n">
        <f aca="false">-SUMPRODUCT(固有振動数!$Q$6:$Q$22*固有振動数!$P$6:$P$22/((1-($A1643/固有振動数!$O$6:$O$22)^2)^2+固有振動数!$P$6:$P$22^2))</f>
        <v>-2.77878602281565</v>
      </c>
      <c r="D1643" s="71" t="n">
        <f aca="false">SQRT(B1643^2+C1643^2)</f>
        <v>6.61139009100186</v>
      </c>
      <c r="E1643" s="72" t="n">
        <f aca="false">20*LOG10(MAX(D1643,0.000000000001)/$K$3)</f>
        <v>16.4058556507718</v>
      </c>
      <c r="F1643" s="5"/>
      <c r="G1643" s="5"/>
      <c r="H1643" s="5"/>
      <c r="I1643" s="5"/>
      <c r="J1643" s="5"/>
      <c r="K1643" s="5"/>
      <c r="L1643" s="5"/>
      <c r="M1643" s="5"/>
      <c r="N1643" s="5"/>
    </row>
    <row r="1644" customFormat="false" ht="15" hidden="false" customHeight="false" outlineLevel="0" collapsed="false">
      <c r="A1644" s="71" t="n">
        <f aca="false">A1643+$F$3</f>
        <v>32760</v>
      </c>
      <c r="B1644" s="71" t="n">
        <f aca="false">SUMPRODUCT(固有振動数!$Q$6:$Q$22*(1-($A1644/固有振動数!$O$6:$O$22)^2)/((1-($A1644/固有振動数!$O$6:$O$22)^2)^2+固有振動数!$P$6:$P$22^2))</f>
        <v>-5.66964436126507</v>
      </c>
      <c r="C1644" s="71" t="n">
        <f aca="false">-SUMPRODUCT(固有振動数!$Q$6:$Q$22*固有振動数!$P$6:$P$22/((1-($A1644/固有振動数!$O$6:$O$22)^2)^2+固有振動数!$P$6:$P$22^2))</f>
        <v>-2.70342710990634</v>
      </c>
      <c r="D1644" s="71" t="n">
        <f aca="false">SQRT(B1644^2+C1644^2)</f>
        <v>6.28119298555628</v>
      </c>
      <c r="E1644" s="72" t="n">
        <f aca="false">20*LOG10(MAX(D1644,0.000000000001)/$K$3)</f>
        <v>15.9608427404732</v>
      </c>
      <c r="F1644" s="5"/>
      <c r="G1644" s="5"/>
      <c r="H1644" s="5"/>
      <c r="I1644" s="5"/>
      <c r="J1644" s="5"/>
      <c r="K1644" s="5"/>
      <c r="L1644" s="5"/>
      <c r="M1644" s="5"/>
      <c r="N1644" s="5"/>
    </row>
    <row r="1645" customFormat="false" ht="15" hidden="false" customHeight="false" outlineLevel="0" collapsed="false">
      <c r="A1645" s="71" t="n">
        <f aca="false">A1644+$F$3</f>
        <v>32780</v>
      </c>
      <c r="B1645" s="71" t="n">
        <f aca="false">SUMPRODUCT(固有振動数!$Q$6:$Q$22*(1-($A1645/固有振動数!$O$6:$O$22)^2)/((1-($A1645/固有振動数!$O$6:$O$22)^2)^2+固有振動数!$P$6:$P$22^2))</f>
        <v>-5.34889489339044</v>
      </c>
      <c r="C1645" s="71" t="n">
        <f aca="false">-SUMPRODUCT(固有振動数!$Q$6:$Q$22*固有振動数!$P$6:$P$22/((1-($A1645/固有振動数!$O$6:$O$22)^2)^2+固有振動数!$P$6:$P$22^2))</f>
        <v>-2.63256323791353</v>
      </c>
      <c r="D1645" s="71" t="n">
        <f aca="false">SQRT(B1645^2+C1645^2)</f>
        <v>5.9616328117515</v>
      </c>
      <c r="E1645" s="72" t="n">
        <f aca="false">20*LOG10(MAX(D1645,0.000000000001)/$K$3)</f>
        <v>15.5073044700241</v>
      </c>
      <c r="F1645" s="5"/>
      <c r="G1645" s="5"/>
      <c r="H1645" s="5"/>
      <c r="I1645" s="5"/>
      <c r="J1645" s="5"/>
      <c r="K1645" s="5"/>
      <c r="L1645" s="5"/>
      <c r="M1645" s="5"/>
      <c r="N1645" s="5"/>
    </row>
    <row r="1646" customFormat="false" ht="15" hidden="false" customHeight="false" outlineLevel="0" collapsed="false">
      <c r="A1646" s="71" t="n">
        <f aca="false">A1645+$F$3</f>
        <v>32800</v>
      </c>
      <c r="B1646" s="71" t="n">
        <f aca="false">SUMPRODUCT(固有振動数!$Q$6:$Q$22*(1-($A1646/固有振動数!$O$6:$O$22)^2)/((1-($A1646/固有振動数!$O$6:$O$22)^2)^2+固有振動数!$P$6:$P$22^2))</f>
        <v>-5.03634457456113</v>
      </c>
      <c r="C1646" s="71" t="n">
        <f aca="false">-SUMPRODUCT(固有振動数!$Q$6:$Q$22*固有振動数!$P$6:$P$22/((1-($A1646/固有振動数!$O$6:$O$22)^2)^2+固有振動数!$P$6:$P$22^2))</f>
        <v>-2.56589407694179</v>
      </c>
      <c r="D1646" s="71" t="n">
        <f aca="false">SQRT(B1646^2+C1646^2)</f>
        <v>5.65230741271176</v>
      </c>
      <c r="E1646" s="72" t="n">
        <f aca="false">20*LOG10(MAX(D1646,0.000000000001)/$K$3)</f>
        <v>15.0445154768842</v>
      </c>
      <c r="F1646" s="5"/>
      <c r="G1646" s="5"/>
      <c r="H1646" s="5"/>
      <c r="I1646" s="5"/>
      <c r="J1646" s="5"/>
      <c r="K1646" s="5"/>
      <c r="L1646" s="5"/>
      <c r="M1646" s="5"/>
      <c r="N1646" s="5"/>
    </row>
    <row r="1647" customFormat="false" ht="15" hidden="false" customHeight="false" outlineLevel="0" collapsed="false">
      <c r="A1647" s="71" t="n">
        <f aca="false">A1646+$F$3</f>
        <v>32820</v>
      </c>
      <c r="B1647" s="71" t="n">
        <f aca="false">SUMPRODUCT(固有振動数!$Q$6:$Q$22*(1-($A1647/固有振動数!$O$6:$O$22)^2)/((1-($A1647/固有振動数!$O$6:$O$22)^2)^2+固有振動数!$P$6:$P$22^2))</f>
        <v>-4.73154639487205</v>
      </c>
      <c r="C1647" s="71" t="n">
        <f aca="false">-SUMPRODUCT(固有振動数!$Q$6:$Q$22*固有振動数!$P$6:$P$22/((1-($A1647/固有振動数!$O$6:$O$22)^2)^2+固有振動数!$P$6:$P$22^2))</f>
        <v>-2.50314524920827</v>
      </c>
      <c r="D1647" s="71" t="n">
        <f aca="false">SQRT(B1647^2+C1647^2)</f>
        <v>5.35287468800275</v>
      </c>
      <c r="E1647" s="72" t="n">
        <f aca="false">20*LOG10(MAX(D1647,0.000000000001)/$K$3)</f>
        <v>14.5717415314238</v>
      </c>
      <c r="F1647" s="5"/>
      <c r="G1647" s="5"/>
      <c r="H1647" s="5"/>
      <c r="I1647" s="5"/>
      <c r="J1647" s="5"/>
      <c r="K1647" s="5"/>
      <c r="L1647" s="5"/>
      <c r="M1647" s="5"/>
      <c r="N1647" s="5"/>
    </row>
    <row r="1648" customFormat="false" ht="15" hidden="false" customHeight="false" outlineLevel="0" collapsed="false">
      <c r="A1648" s="71" t="n">
        <f aca="false">A1647+$F$3</f>
        <v>32840</v>
      </c>
      <c r="B1648" s="71" t="n">
        <f aca="false">SUMPRODUCT(固有振動数!$Q$6:$Q$22*(1-($A1648/固有振動数!$O$6:$O$22)^2)/((1-($A1648/固有振動数!$O$6:$O$22)^2)^2+固有振動数!$P$6:$P$22^2))</f>
        <v>-4.43407999400026</v>
      </c>
      <c r="C1648" s="71" t="n">
        <f aca="false">-SUMPRODUCT(固有振動数!$Q$6:$Q$22*固有振動数!$P$6:$P$22/((1-($A1648/固有振動数!$O$6:$O$22)^2)^2+固有振動数!$P$6:$P$22^2))</f>
        <v>-2.44406576751083</v>
      </c>
      <c r="D1648" s="71" t="n">
        <f aca="false">SQRT(B1648^2+C1648^2)</f>
        <v>5.06305469742443</v>
      </c>
      <c r="E1648" s="72" t="n">
        <f aca="false">20*LOG10(MAX(D1648,0.000000000001)/$K$3)</f>
        <v>14.0882523840445</v>
      </c>
      <c r="F1648" s="5"/>
      <c r="G1648" s="5"/>
      <c r="H1648" s="5"/>
      <c r="I1648" s="5"/>
      <c r="J1648" s="5"/>
      <c r="K1648" s="5"/>
      <c r="L1648" s="5"/>
      <c r="M1648" s="5"/>
      <c r="N1648" s="5"/>
    </row>
    <row r="1649" customFormat="false" ht="15" hidden="false" customHeight="false" outlineLevel="0" collapsed="false">
      <c r="A1649" s="71" t="n">
        <f aca="false">A1648+$F$3</f>
        <v>32860</v>
      </c>
      <c r="B1649" s="71" t="n">
        <f aca="false">SUMPRODUCT(固有振動数!$Q$6:$Q$22*(1-($A1649/固有振動数!$O$6:$O$22)^2)/((1-($A1649/固有振動数!$O$6:$O$22)^2)^2+固有振動数!$P$6:$P$22^2))</f>
        <v>-4.14354962753966</v>
      </c>
      <c r="C1649" s="71" t="n">
        <f aca="false">-SUMPRODUCT(固有振動数!$Q$6:$Q$22*固有振動数!$P$6:$P$22/((1-($A1649/固有振動数!$O$6:$O$22)^2)^2+固有振動数!$P$6:$P$22^2))</f>
        <v>-2.3884257648916</v>
      </c>
      <c r="D1649" s="71" t="n">
        <f aca="false">SQRT(B1649^2+C1649^2)</f>
        <v>4.78263328620144</v>
      </c>
      <c r="E1649" s="72" t="n">
        <f aca="false">20*LOG10(MAX(D1649,0.000000000001)/$K$3)</f>
        <v>13.5933416425918</v>
      </c>
      <c r="F1649" s="5"/>
      <c r="G1649" s="5"/>
      <c r="H1649" s="5"/>
      <c r="I1649" s="5"/>
      <c r="J1649" s="5"/>
      <c r="K1649" s="5"/>
      <c r="L1649" s="5"/>
      <c r="M1649" s="5"/>
      <c r="N1649" s="5"/>
    </row>
    <row r="1650" customFormat="false" ht="15" hidden="false" customHeight="false" outlineLevel="0" collapsed="false">
      <c r="A1650" s="71" t="n">
        <f aca="false">A1649+$F$3</f>
        <v>32880</v>
      </c>
      <c r="B1650" s="71" t="n">
        <f aca="false">SUMPRODUCT(固有振動数!$Q$6:$Q$22*(1-($A1650/固有振動数!$O$6:$O$22)^2)/((1-($A1650/固有振動数!$O$6:$O$22)^2)^2+固有振動数!$P$6:$P$22^2))</f>
        <v>-3.85958230357935</v>
      </c>
      <c r="C1650" s="71" t="n">
        <f aca="false">-SUMPRODUCT(固有振動数!$Q$6:$Q$22*固有振動数!$P$6:$P$22/((1-($A1650/固有振動数!$O$6:$O$22)^2)^2+固有振動数!$P$6:$P$22^2))</f>
        <v>-2.33601447872398</v>
      </c>
      <c r="D1650" s="71" t="n">
        <f aca="false">SQRT(B1650^2+C1650^2)</f>
        <v>4.51146752209422</v>
      </c>
      <c r="E1650" s="72" t="n">
        <f aca="false">20*LOG10(MAX(D1650,0.000000000001)/$K$3)</f>
        <v>13.0863567048658</v>
      </c>
      <c r="F1650" s="5"/>
      <c r="G1650" s="5"/>
      <c r="H1650" s="5"/>
      <c r="I1650" s="5"/>
      <c r="J1650" s="5"/>
      <c r="K1650" s="5"/>
      <c r="L1650" s="5"/>
      <c r="M1650" s="5"/>
      <c r="N1650" s="5"/>
    </row>
    <row r="1651" customFormat="false" ht="15" hidden="false" customHeight="false" outlineLevel="0" collapsed="false">
      <c r="A1651" s="71" t="n">
        <f aca="false">A1650+$F$3</f>
        <v>32900</v>
      </c>
      <c r="B1651" s="71" t="n">
        <f aca="false">SUMPRODUCT(固有振動数!$Q$6:$Q$22*(1-($A1651/固有振動数!$O$6:$O$22)^2)/((1-($A1651/固有振動数!$O$6:$O$22)^2)^2+固有振動数!$P$6:$P$22^2))</f>
        <v>-3.58182607376016</v>
      </c>
      <c r="C1651" s="71" t="n">
        <f aca="false">-SUMPRODUCT(固有振動数!$Q$6:$Q$22*固有振動数!$P$6:$P$22/((1-($A1651/固有振動数!$O$6:$O$22)^2)^2+固有振動数!$P$6:$P$22^2))</f>
        <v>-2.2866384575661</v>
      </c>
      <c r="D1651" s="71" t="n">
        <f aca="false">SQRT(B1651^2+C1651^2)</f>
        <v>4.24949331783078</v>
      </c>
      <c r="E1651" s="72" t="n">
        <f aca="false">20*LOG10(MAX(D1651,0.000000000001)/$K$3)</f>
        <v>12.5667430132967</v>
      </c>
      <c r="F1651" s="5"/>
      <c r="G1651" s="5"/>
      <c r="H1651" s="5"/>
      <c r="I1651" s="5"/>
      <c r="J1651" s="5"/>
      <c r="K1651" s="5"/>
      <c r="L1651" s="5"/>
      <c r="M1651" s="5"/>
      <c r="N1651" s="5"/>
    </row>
    <row r="1652" customFormat="false" ht="15" hidden="false" customHeight="false" outlineLevel="0" collapsed="false">
      <c r="A1652" s="71" t="n">
        <f aca="false">A1651+$F$3</f>
        <v>32920</v>
      </c>
      <c r="B1652" s="71" t="n">
        <f aca="false">SUMPRODUCT(固有振動数!$Q$6:$Q$22*(1-($A1652/固有振動数!$O$6:$O$22)^2)/((1-($A1652/固有振動数!$O$6:$O$22)^2)^2+固有振動数!$P$6:$P$22^2))</f>
        <v>-3.30994846453863</v>
      </c>
      <c r="C1652" s="71" t="n">
        <f aca="false">-SUMPRODUCT(固有振動数!$Q$6:$Q$22*固有振動数!$P$6:$P$22/((1-($A1652/固有振動数!$O$6:$O$22)^2)^2+固有振動数!$P$6:$P$22^2))</f>
        <v>-2.2401199634675</v>
      </c>
      <c r="D1652" s="71" t="n">
        <f aca="false">SQRT(B1652^2+C1652^2)</f>
        <v>3.99673570412496</v>
      </c>
      <c r="E1652" s="72" t="n">
        <f aca="false">20*LOG10(MAX(D1652,0.000000000001)/$K$3)</f>
        <v>12.0341086042554</v>
      </c>
      <c r="F1652" s="5"/>
      <c r="G1652" s="5"/>
      <c r="H1652" s="5"/>
      <c r="I1652" s="5"/>
      <c r="J1652" s="5"/>
      <c r="K1652" s="5"/>
      <c r="L1652" s="5"/>
      <c r="M1652" s="5"/>
      <c r="N1652" s="5"/>
    </row>
    <row r="1653" customFormat="false" ht="15" hidden="false" customHeight="false" outlineLevel="0" collapsed="false">
      <c r="A1653" s="71" t="n">
        <f aca="false">A1652+$F$3</f>
        <v>32940</v>
      </c>
      <c r="B1653" s="71" t="n">
        <f aca="false">SUMPRODUCT(固有振動数!$Q$6:$Q$22*(1-($A1653/固有振動数!$O$6:$O$22)^2)/((1-($A1653/固有振動数!$O$6:$O$22)^2)^2+固有振動数!$P$6:$P$22^2))</f>
        <v>-3.04363503574923</v>
      </c>
      <c r="C1653" s="71" t="n">
        <f aca="false">-SUMPRODUCT(固有振動数!$Q$6:$Q$22*固有振動数!$P$6:$P$22/((1-($A1653/固有振動数!$O$6:$O$22)^2)^2+固有振動数!$P$6:$P$22^2))</f>
        <v>-2.19629554611376</v>
      </c>
      <c r="D1653" s="71" t="n">
        <f aca="false">SQRT(B1653^2+C1653^2)</f>
        <v>3.75332230919746</v>
      </c>
      <c r="E1653" s="72" t="n">
        <f aca="false">20*LOG10(MAX(D1653,0.000000000001)/$K$3)</f>
        <v>11.488317204039</v>
      </c>
      <c r="F1653" s="5"/>
      <c r="G1653" s="5"/>
      <c r="H1653" s="5"/>
      <c r="I1653" s="5"/>
      <c r="J1653" s="5"/>
      <c r="K1653" s="5"/>
      <c r="L1653" s="5"/>
      <c r="M1653" s="5"/>
      <c r="N1653" s="5"/>
    </row>
    <row r="1654" customFormat="false" ht="15" hidden="false" customHeight="false" outlineLevel="0" collapsed="false">
      <c r="A1654" s="71" t="n">
        <f aca="false">A1653+$F$3</f>
        <v>32960</v>
      </c>
      <c r="B1654" s="71" t="n">
        <f aca="false">SUMPRODUCT(固有振動数!$Q$6:$Q$22*(1-($A1654/固有振動数!$O$6:$O$22)^2)/((1-($A1654/固有振動数!$O$6:$O$22)^2)^2+固有振動数!$P$6:$P$22^2))</f>
        <v>-2.78258805478891</v>
      </c>
      <c r="C1654" s="71" t="n">
        <f aca="false">-SUMPRODUCT(固有振動数!$Q$6:$Q$22*固有振動数!$P$6:$P$22/((1-($A1654/固有振動数!$O$6:$O$22)^2)^2+固有振動数!$P$6:$P$22^2))</f>
        <v>-2.15501476834756</v>
      </c>
      <c r="D1654" s="71" t="n">
        <f aca="false">SQRT(B1654^2+C1654^2)</f>
        <v>3.5195006654993</v>
      </c>
      <c r="E1654" s="72" t="n">
        <f aca="false">20*LOG10(MAX(D1654,0.000000000001)/$K$3)</f>
        <v>10.9296210331928</v>
      </c>
      <c r="F1654" s="5"/>
      <c r="G1654" s="5"/>
      <c r="H1654" s="5"/>
      <c r="I1654" s="5"/>
      <c r="J1654" s="5"/>
      <c r="K1654" s="5"/>
      <c r="L1654" s="5"/>
      <c r="M1654" s="5"/>
      <c r="N1654" s="5"/>
    </row>
    <row r="1655" customFormat="false" ht="15" hidden="false" customHeight="false" outlineLevel="0" collapsed="false">
      <c r="A1655" s="71" t="n">
        <f aca="false">A1654+$F$3</f>
        <v>32980</v>
      </c>
      <c r="B1655" s="71" t="n">
        <f aca="false">SUMPRODUCT(固有振動数!$Q$6:$Q$22*(1-($A1655/固有振動数!$O$6:$O$22)^2)/((1-($A1655/固有振動数!$O$6:$O$22)^2)^2+固有振動数!$P$6:$P$22^2))</f>
        <v>-2.52652527586455</v>
      </c>
      <c r="C1655" s="71" t="n">
        <f aca="false">-SUMPRODUCT(固有振動数!$Q$6:$Q$22*固有振動数!$P$6:$P$22/((1-($A1655/固有振動数!$O$6:$O$22)^2)^2+固有振動数!$P$6:$P$22^2))</f>
        <v>-2.11613906530203</v>
      </c>
      <c r="D1655" s="71" t="n">
        <f aca="false">SQRT(B1655^2+C1655^2)</f>
        <v>3.29565995109929</v>
      </c>
      <c r="E1655" s="72" t="n">
        <f aca="false">20*LOG10(MAX(D1655,0.000000000001)/$K$3)</f>
        <v>10.3588478895074</v>
      </c>
      <c r="F1655" s="5"/>
      <c r="G1655" s="5"/>
      <c r="H1655" s="5"/>
      <c r="I1655" s="5"/>
      <c r="J1655" s="5"/>
      <c r="K1655" s="5"/>
      <c r="L1655" s="5"/>
      <c r="M1655" s="5"/>
      <c r="N1655" s="5"/>
    </row>
    <row r="1656" customFormat="false" ht="15" hidden="false" customHeight="false" outlineLevel="0" collapsed="false">
      <c r="A1656" s="71" t="n">
        <f aca="false">A1655+$F$3</f>
        <v>33000</v>
      </c>
      <c r="B1656" s="71" t="n">
        <f aca="false">SUMPRODUCT(固有振動数!$Q$6:$Q$22*(1-($A1656/固有振動数!$O$6:$O$22)^2)/((1-($A1656/固有振動数!$O$6:$O$22)^2)^2+固有振動数!$P$6:$P$22^2))</f>
        <v>-2.27517881475426</v>
      </c>
      <c r="C1656" s="71" t="n">
        <f aca="false">-SUMPRODUCT(固有振動数!$Q$6:$Q$22*固有振動数!$P$6:$P$22/((1-($A1656/固有振動数!$O$6:$O$22)^2)^2+固有振動数!$P$6:$P$22^2))</f>
        <v>-2.07954072169392</v>
      </c>
      <c r="D1656" s="71" t="n">
        <f aca="false">SQRT(B1656^2+C1656^2)</f>
        <v>3.08235758021192</v>
      </c>
      <c r="E1656" s="72" t="n">
        <f aca="false">20*LOG10(MAX(D1656,0.000000000001)/$K$3)</f>
        <v>9.77766038462877</v>
      </c>
      <c r="F1656" s="5"/>
      <c r="G1656" s="5"/>
      <c r="H1656" s="5"/>
      <c r="I1656" s="5"/>
      <c r="J1656" s="5"/>
      <c r="K1656" s="5"/>
      <c r="L1656" s="5"/>
      <c r="M1656" s="5"/>
      <c r="N1656" s="5"/>
    </row>
    <row r="1657" customFormat="false" ht="15" hidden="false" customHeight="false" outlineLevel="0" collapsed="false">
      <c r="A1657" s="71" t="n">
        <f aca="false">A1656+$F$3</f>
        <v>33020</v>
      </c>
      <c r="B1657" s="71" t="n">
        <f aca="false">SUMPRODUCT(固有振動数!$Q$6:$Q$22*(1-($A1657/固有振動数!$O$6:$O$22)^2)/((1-($A1657/固有振動数!$O$6:$O$22)^2)^2+固有振動数!$P$6:$P$22^2))</f>
        <v>-2.02829411044159</v>
      </c>
      <c r="C1657" s="71" t="n">
        <f aca="false">-SUMPRODUCT(固有振動数!$Q$6:$Q$22*固有振動数!$P$6:$P$22/((1-($A1657/固有振動数!$O$6:$O$22)^2)^2+固有振動数!$P$6:$P$22^2))</f>
        <v>-2.04510195380919</v>
      </c>
      <c r="D1657" s="71" t="n">
        <f aca="false">SQRT(B1657^2+C1657^2)</f>
        <v>2.88035049949241</v>
      </c>
      <c r="E1657" s="72" t="n">
        <f aca="false">20*LOG10(MAX(D1657,0.000000000001)/$K$3)</f>
        <v>9.18890677416751</v>
      </c>
      <c r="F1657" s="5"/>
      <c r="G1657" s="5"/>
      <c r="H1657" s="5"/>
      <c r="I1657" s="5"/>
      <c r="J1657" s="5"/>
      <c r="K1657" s="5"/>
      <c r="L1657" s="5"/>
      <c r="M1657" s="5"/>
      <c r="N1657" s="5"/>
    </row>
    <row r="1658" customFormat="false" ht="15" hidden="false" customHeight="false" outlineLevel="0" collapsed="false">
      <c r="A1658" s="71" t="n">
        <f aca="false">A1657+$F$3</f>
        <v>33040</v>
      </c>
      <c r="B1658" s="71" t="n">
        <f aca="false">SUMPRODUCT(固有振動数!$Q$6:$Q$22*(1-($A1658/固有振動数!$O$6:$O$22)^2)/((1-($A1658/固有振動数!$O$6:$O$22)^2)^2+固有振動数!$P$6:$P$22^2))</f>
        <v>-1.785628965804</v>
      </c>
      <c r="C1658" s="71" t="n">
        <f aca="false">-SUMPRODUCT(固有振動数!$Q$6:$Q$22*固有振動数!$P$6:$P$22/((1-($A1658/固有振動数!$O$6:$O$22)^2)^2+固有振動数!$P$6:$P$22^2))</f>
        <v>-2.01271408442228</v>
      </c>
      <c r="D1658" s="71" t="n">
        <f aca="false">SQRT(B1658^2+C1658^2)</f>
        <v>2.69062981272974</v>
      </c>
      <c r="E1658" s="72" t="n">
        <f aca="false">20*LOG10(MAX(D1658,0.000000000001)/$K$3)</f>
        <v>8.59707899914031</v>
      </c>
      <c r="F1658" s="5"/>
      <c r="G1658" s="5"/>
      <c r="H1658" s="5"/>
      <c r="I1658" s="5"/>
      <c r="J1658" s="5"/>
      <c r="K1658" s="5"/>
      <c r="L1658" s="5"/>
      <c r="M1658" s="5"/>
      <c r="N1658" s="5"/>
    </row>
    <row r="1659" customFormat="false" ht="15" hidden="false" customHeight="false" outlineLevel="0" collapsed="false">
      <c r="A1659" s="71" t="n">
        <f aca="false">A1658+$F$3</f>
        <v>33060</v>
      </c>
      <c r="B1659" s="71" t="n">
        <f aca="false">SUMPRODUCT(固有振動数!$Q$6:$Q$22*(1-($A1659/固有振動数!$O$6:$O$22)^2)/((1-($A1659/固有振動数!$O$6:$O$22)^2)^2+固有振動数!$P$6:$P$22^2))</f>
        <v>-1.54695266027342</v>
      </c>
      <c r="C1659" s="71" t="n">
        <f aca="false">-SUMPRODUCT(固有振動数!$Q$6:$Q$22*固有振動数!$P$6:$P$22/((1-($A1659/固有振動数!$O$6:$O$22)^2)^2+固有振動数!$P$6:$P$22^2))</f>
        <v>-1.98227680036452</v>
      </c>
      <c r="D1659" s="71" t="n">
        <f aca="false">SQRT(B1659^2+C1659^2)</f>
        <v>2.51445497998879</v>
      </c>
      <c r="E1659" s="72" t="n">
        <f aca="false">20*LOG10(MAX(D1659,0.000000000001)/$K$3)</f>
        <v>8.00887728418583</v>
      </c>
      <c r="F1659" s="5"/>
      <c r="G1659" s="5"/>
      <c r="H1659" s="5"/>
      <c r="I1659" s="5"/>
      <c r="J1659" s="5"/>
      <c r="K1659" s="5"/>
      <c r="L1659" s="5"/>
      <c r="M1659" s="5"/>
      <c r="N1659" s="5"/>
    </row>
    <row r="1660" customFormat="false" ht="15" hidden="false" customHeight="false" outlineLevel="0" collapsed="false">
      <c r="A1660" s="71" t="n">
        <f aca="false">A1659+$F$3</f>
        <v>33080</v>
      </c>
      <c r="B1660" s="71" t="n">
        <f aca="false">SUMPRODUCT(固有振動数!$Q$6:$Q$22*(1-($A1660/固有振動数!$O$6:$O$22)^2)/((1-($A1660/固有振動数!$O$6:$O$22)^2)^2+固有振動数!$P$6:$P$22^2))</f>
        <v>-1.31204512805334</v>
      </c>
      <c r="C1660" s="71" t="n">
        <f aca="false">-SUMPRODUCT(固有振動数!$Q$6:$Q$22*固有振動数!$P$6:$P$22/((1-($A1660/固有振動数!$O$6:$O$22)^2)^2+固有振動数!$P$6:$P$22^2))</f>
        <v>-1.95369748373049</v>
      </c>
      <c r="D1660" s="71" t="n">
        <f aca="false">SQRT(B1660^2+C1660^2)</f>
        <v>2.35337975600695</v>
      </c>
      <c r="E1660" s="72" t="n">
        <f aca="false">20*LOG10(MAX(D1660,0.000000000001)/$K$3)</f>
        <v>7.43384026583946</v>
      </c>
      <c r="F1660" s="5"/>
      <c r="G1660" s="5"/>
      <c r="H1660" s="5"/>
      <c r="I1660" s="5"/>
      <c r="J1660" s="5"/>
      <c r="K1660" s="5"/>
      <c r="L1660" s="5"/>
      <c r="M1660" s="5"/>
      <c r="N1660" s="5"/>
    </row>
    <row r="1661" customFormat="false" ht="15" hidden="false" customHeight="false" outlineLevel="0" collapsed="false">
      <c r="A1661" s="71" t="n">
        <f aca="false">A1660+$F$3</f>
        <v>33100</v>
      </c>
      <c r="B1661" s="71" t="n">
        <f aca="false">SUMPRODUCT(固有振動数!$Q$6:$Q$22*(1-($A1661/固有振動数!$O$6:$O$22)^2)/((1-($A1661/固有振動数!$O$6:$O$22)^2)^2+固有振動数!$P$6:$P$22^2))</f>
        <v>-1.08069619607331</v>
      </c>
      <c r="C1661" s="71" t="n">
        <f aca="false">-SUMPRODUCT(固有振動数!$Q$6:$Q$22*固有振動数!$P$6:$P$22/((1-($A1661/固有振動数!$O$6:$O$22)^2)^2+固有振動数!$P$6:$P$22^2))</f>
        <v>-1.92689060881479</v>
      </c>
      <c r="D1661" s="71" t="n">
        <f aca="false">SQRT(B1661^2+C1661^2)</f>
        <v>2.2092559124162</v>
      </c>
      <c r="E1661" s="72" t="n">
        <f aca="false">20*LOG10(MAX(D1661,0.000000000001)/$K$3)</f>
        <v>6.88492051854095</v>
      </c>
      <c r="F1661" s="5"/>
      <c r="G1661" s="5"/>
      <c r="H1661" s="5"/>
      <c r="I1661" s="5"/>
      <c r="J1661" s="5"/>
      <c r="K1661" s="5"/>
      <c r="L1661" s="5"/>
      <c r="M1661" s="5"/>
      <c r="N1661" s="5"/>
    </row>
    <row r="1662" customFormat="false" ht="15" hidden="false" customHeight="false" outlineLevel="0" collapsed="false">
      <c r="A1662" s="71" t="n">
        <f aca="false">A1661+$F$3</f>
        <v>33120</v>
      </c>
      <c r="B1662" s="71" t="n">
        <f aca="false">SUMPRODUCT(固有振動数!$Q$6:$Q$22*(1-($A1662/固有振動数!$O$6:$O$22)^2)/((1-($A1662/固有振動数!$O$6:$O$22)^2)^2+固有振動数!$P$6:$P$22^2))</f>
        <v>-0.852704876400424</v>
      </c>
      <c r="C1662" s="71" t="n">
        <f aca="false">-SUMPRODUCT(固有振動数!$Q$6:$Q$22*固有振動数!$P$6:$P$22/((1-($A1662/固有振動数!$O$6:$O$22)^2)^2+固有振動数!$P$6:$P$22^2))</f>
        <v>-1.90177719782906</v>
      </c>
      <c r="D1662" s="71" t="n">
        <f aca="false">SQRT(B1662^2+C1662^2)</f>
        <v>2.08419339707706</v>
      </c>
      <c r="E1662" s="72" t="n">
        <f aca="false">20*LOG10(MAX(D1662,0.000000000001)/$K$3)</f>
        <v>6.37876031353238</v>
      </c>
      <c r="F1662" s="5"/>
      <c r="G1662" s="5"/>
      <c r="H1662" s="5"/>
      <c r="I1662" s="5"/>
      <c r="J1662" s="5"/>
      <c r="K1662" s="5"/>
      <c r="L1662" s="5"/>
      <c r="M1662" s="5"/>
      <c r="N1662" s="5"/>
    </row>
    <row r="1663" customFormat="false" ht="15" hidden="false" customHeight="false" outlineLevel="0" collapsed="false">
      <c r="A1663" s="71" t="n">
        <f aca="false">A1662+$F$3</f>
        <v>33140</v>
      </c>
      <c r="B1663" s="71" t="n">
        <f aca="false">SUMPRODUCT(固有振動数!$Q$6:$Q$22*(1-($A1663/固有振動数!$O$6:$O$22)^2)/((1-($A1663/固有振動数!$O$6:$O$22)^2)^2+固有振動数!$P$6:$P$22^2))</f>
        <v>-0.627878708310846</v>
      </c>
      <c r="C1663" s="71" t="n">
        <f aca="false">-SUMPRODUCT(固有振動数!$Q$6:$Q$22*固有振動数!$P$6:$P$22/((1-($A1663/固有振動数!$O$6:$O$22)^2)^2+固有振動数!$P$6:$P$22^2))</f>
        <v>-1.87828432928145</v>
      </c>
      <c r="D1663" s="71" t="n">
        <f aca="false">SQRT(B1663^2+C1663^2)</f>
        <v>1.98045037654933</v>
      </c>
      <c r="E1663" s="72" t="n">
        <f aca="false">20*LOG10(MAX(D1663,0.000000000001)/$K$3)</f>
        <v>5.93527929824175</v>
      </c>
      <c r="F1663" s="5"/>
      <c r="G1663" s="5"/>
      <c r="H1663" s="5"/>
      <c r="I1663" s="5"/>
      <c r="J1663" s="5"/>
      <c r="K1663" s="5"/>
      <c r="L1663" s="5"/>
      <c r="M1663" s="5"/>
      <c r="N1663" s="5"/>
    </row>
    <row r="1664" customFormat="false" ht="15" hidden="false" customHeight="false" outlineLevel="0" collapsed="false">
      <c r="A1664" s="71" t="n">
        <f aca="false">A1663+$F$3</f>
        <v>33160</v>
      </c>
      <c r="B1664" s="71" t="n">
        <f aca="false">SUMPRODUCT(固有振動数!$Q$6:$Q$22*(1-($A1664/固有振動数!$O$6:$O$22)^2)/((1-($A1664/固有振動数!$O$6:$O$22)^2)^2+固有振動数!$P$6:$P$22^2))</f>
        <v>-0.406033145659723</v>
      </c>
      <c r="C1664" s="71" t="n">
        <f aca="false">-SUMPRODUCT(固有振動数!$Q$6:$Q$22*固有振動数!$P$6:$P$22/((1-($A1664/固有振動数!$O$6:$O$22)^2)^2+固有振動数!$P$6:$P$22^2))</f>
        <v>-1.85634469362651</v>
      </c>
      <c r="D1664" s="71" t="n">
        <f aca="false">SQRT(B1664^2+C1664^2)</f>
        <v>1.9002311798646</v>
      </c>
      <c r="E1664" s="72" t="n">
        <f aca="false">20*LOG10(MAX(D1664,0.000000000001)/$K$3)</f>
        <v>5.57612879834075</v>
      </c>
      <c r="F1664" s="5"/>
      <c r="G1664" s="5"/>
      <c r="H1664" s="5"/>
      <c r="I1664" s="5"/>
      <c r="J1664" s="5"/>
      <c r="K1664" s="5"/>
      <c r="L1664" s="5"/>
      <c r="M1664" s="5"/>
      <c r="N1664" s="5"/>
    </row>
    <row r="1665" customFormat="false" ht="15" hidden="false" customHeight="false" outlineLevel="0" collapsed="false">
      <c r="A1665" s="71" t="n">
        <f aca="false">A1664+$F$3</f>
        <v>33180</v>
      </c>
      <c r="B1665" s="71" t="n">
        <f aca="false">SUMPRODUCT(固有振動数!$Q$6:$Q$22*(1-($A1665/固有振動数!$O$6:$O$22)^2)/((1-($A1665/固有振動数!$O$6:$O$22)^2)^2+固有振動数!$P$6:$P$22^2))</f>
        <v>-0.186990985578187</v>
      </c>
      <c r="C1665" s="71" t="n">
        <f aca="false">-SUMPRODUCT(固有振動数!$Q$6:$Q$22*固有振動数!$P$6:$P$22/((1-($A1665/固有振動数!$O$6:$O$22)^2)^2+固有振動数!$P$6:$P$22^2))</f>
        <v>-1.83589619142647</v>
      </c>
      <c r="D1665" s="71" t="n">
        <f aca="false">SQRT(B1665^2+C1665^2)</f>
        <v>1.84539438992908</v>
      </c>
      <c r="E1665" s="72" t="n">
        <f aca="false">20*LOG10(MAX(D1665,0.000000000001)/$K$3)</f>
        <v>5.32178392010045</v>
      </c>
      <c r="F1665" s="5"/>
      <c r="G1665" s="5"/>
      <c r="H1665" s="5"/>
      <c r="I1665" s="5"/>
      <c r="J1665" s="5"/>
      <c r="K1665" s="5"/>
      <c r="L1665" s="5"/>
      <c r="M1665" s="5"/>
      <c r="N1665" s="5"/>
    </row>
    <row r="1666" customFormat="false" ht="15" hidden="false" customHeight="false" outlineLevel="0" collapsed="false">
      <c r="A1666" s="71" t="n">
        <f aca="false">A1665+$F$3</f>
        <v>33200</v>
      </c>
      <c r="B1666" s="71" t="n">
        <f aca="false">SUMPRODUCT(固有振動数!$Q$6:$Q$22*(1-($A1666/固有振動数!$O$6:$O$22)^2)/((1-($A1666/固有振動数!$O$6:$O$22)^2)^2+固有振動数!$P$6:$P$22^2))</f>
        <v>0.0294181651205531</v>
      </c>
      <c r="C1666" s="71" t="n">
        <f aca="false">-SUMPRODUCT(固有振動数!$Q$6:$Q$22*固有振動数!$P$6:$P$22/((1-($A1666/固有振動数!$O$6:$O$22)^2)^2+固有振動数!$P$6:$P$22^2))</f>
        <v>-1.81688156981932</v>
      </c>
      <c r="D1666" s="71" t="n">
        <f aca="false">SQRT(B1666^2+C1666^2)</f>
        <v>1.81711971735166</v>
      </c>
      <c r="E1666" s="72" t="n">
        <f aca="false">20*LOG10(MAX(D1666,0.000000000001)/$K$3)</f>
        <v>5.18767081773428</v>
      </c>
      <c r="F1666" s="5"/>
      <c r="G1666" s="5"/>
      <c r="H1666" s="5"/>
      <c r="I1666" s="5"/>
      <c r="J1666" s="5"/>
      <c r="K1666" s="5"/>
      <c r="L1666" s="5"/>
      <c r="M1666" s="5"/>
      <c r="N1666" s="5"/>
    </row>
    <row r="1667" customFormat="false" ht="15" hidden="false" customHeight="false" outlineLevel="0" collapsed="false">
      <c r="A1667" s="71" t="n">
        <f aca="false">A1666+$F$3</f>
        <v>33220</v>
      </c>
      <c r="B1667" s="71" t="n">
        <f aca="false">SUMPRODUCT(固有振動数!$Q$6:$Q$22*(1-($A1667/固有振動数!$O$6:$O$22)^2)/((1-($A1667/固有振動数!$O$6:$O$22)^2)^2+固有振動数!$P$6:$P$22^2))</f>
        <v>0.243358389129111</v>
      </c>
      <c r="C1667" s="71" t="n">
        <f aca="false">-SUMPRODUCT(固有振動数!$Q$6:$Q$22*固有振動数!$P$6:$P$22/((1-($A1667/固有振動数!$O$6:$O$22)^2)^2+固有振動数!$P$6:$P$22^2))</f>
        <v>-1.79924809357422</v>
      </c>
      <c r="D1667" s="71" t="n">
        <f aca="false">SQRT(B1667^2+C1667^2)</f>
        <v>1.81563129731506</v>
      </c>
      <c r="E1667" s="72" t="n">
        <f aca="false">20*LOG10(MAX(D1667,0.000000000001)/$K$3)</f>
        <v>5.18055320750214</v>
      </c>
      <c r="F1667" s="5"/>
      <c r="G1667" s="5"/>
      <c r="H1667" s="5"/>
      <c r="I1667" s="5"/>
      <c r="J1667" s="5"/>
      <c r="K1667" s="5"/>
      <c r="L1667" s="5"/>
      <c r="M1667" s="5"/>
      <c r="N1667" s="5"/>
    </row>
    <row r="1668" customFormat="false" ht="15" hidden="false" customHeight="false" outlineLevel="0" collapsed="false">
      <c r="A1668" s="71" t="n">
        <f aca="false">A1667+$F$3</f>
        <v>33240</v>
      </c>
      <c r="B1668" s="71" t="n">
        <f aca="false">SUMPRODUCT(固有振動数!$Q$6:$Q$22*(1-($A1668/固有振動数!$O$6:$O$22)^2)/((1-($A1668/固有振動数!$O$6:$O$22)^2)^2+固有振動数!$P$6:$P$22^2))</f>
        <v>0.454987926445143</v>
      </c>
      <c r="C1668" s="71" t="n">
        <f aca="false">-SUMPRODUCT(固有振動数!$Q$6:$Q$22*固有振動数!$P$6:$P$22/((1-($A1668/固有振動数!$O$6:$O$22)^2)^2+固有振動数!$P$6:$P$22^2))</f>
        <v>-1.78294724744185</v>
      </c>
      <c r="D1668" s="71" t="n">
        <f aca="false">SQRT(B1668^2+C1668^2)</f>
        <v>1.84008556876339</v>
      </c>
      <c r="E1668" s="72" t="n">
        <f aca="false">20*LOG10(MAX(D1668,0.000000000001)/$K$3)</f>
        <v>5.29676038603515</v>
      </c>
      <c r="F1668" s="5"/>
      <c r="G1668" s="5"/>
      <c r="H1668" s="5"/>
      <c r="I1668" s="5"/>
      <c r="J1668" s="5"/>
      <c r="K1668" s="5"/>
      <c r="L1668" s="5"/>
      <c r="M1668" s="5"/>
      <c r="N1668" s="5"/>
    </row>
    <row r="1669" customFormat="false" ht="15" hidden="false" customHeight="false" outlineLevel="0" collapsed="false">
      <c r="A1669" s="71" t="n">
        <f aca="false">A1668+$F$3</f>
        <v>33260</v>
      </c>
      <c r="B1669" s="71" t="n">
        <f aca="false">SUMPRODUCT(固有振動数!$Q$6:$Q$22*(1-($A1669/固有振動数!$O$6:$O$22)^2)/((1-($A1669/固有振動数!$O$6:$O$22)^2)^2+固有振動数!$P$6:$P$22^2))</f>
        <v>0.664459613544113</v>
      </c>
      <c r="C1669" s="71" t="n">
        <f aca="false">-SUMPRODUCT(固有振動数!$Q$6:$Q$22*固有振動数!$P$6:$P$22/((1-($A1669/固有振動数!$O$6:$O$22)^2)^2+固有振動数!$P$6:$P$22^2))</f>
        <v>-1.76793446688232</v>
      </c>
      <c r="D1669" s="71" t="n">
        <f aca="false">SQRT(B1669^2+C1669^2)</f>
        <v>1.88867648294292</v>
      </c>
      <c r="E1669" s="72" t="n">
        <f aca="false">20*LOG10(MAX(D1669,0.000000000001)/$K$3)</f>
        <v>5.52315145377304</v>
      </c>
      <c r="F1669" s="5"/>
      <c r="G1669" s="5"/>
      <c r="H1669" s="5"/>
      <c r="I1669" s="5"/>
      <c r="J1669" s="5"/>
      <c r="K1669" s="5"/>
      <c r="L1669" s="5"/>
      <c r="M1669" s="5"/>
      <c r="N1669" s="5"/>
    </row>
    <row r="1670" customFormat="false" ht="15" hidden="false" customHeight="false" outlineLevel="0" collapsed="false">
      <c r="A1670" s="71" t="n">
        <f aca="false">A1669+$F$3</f>
        <v>33280</v>
      </c>
      <c r="B1670" s="71" t="n">
        <f aca="false">SUMPRODUCT(固有振動数!$Q$6:$Q$22*(1-($A1670/固有振動数!$O$6:$O$22)^2)/((1-($A1670/固有振動数!$O$6:$O$22)^2)^2+固有振動数!$P$6:$P$22^2))</f>
        <v>0.871921296456832</v>
      </c>
      <c r="C1670" s="71" t="n">
        <f aca="false">-SUMPRODUCT(固有振動数!$Q$6:$Q$22*固有振動数!$P$6:$P$22/((1-($A1670/固有振動数!$O$6:$O$22)^2)^2+固有振動数!$P$6:$P$22^2))</f>
        <v>-1.75416889458483</v>
      </c>
      <c r="D1670" s="71" t="n">
        <f aca="false">SQRT(B1670^2+C1670^2)</f>
        <v>1.95891685835411</v>
      </c>
      <c r="E1670" s="72" t="n">
        <f aca="false">20*LOG10(MAX(D1670,0.000000000001)/$K$3)</f>
        <v>5.84032007544068</v>
      </c>
      <c r="F1670" s="5"/>
      <c r="G1670" s="5"/>
      <c r="H1670" s="5"/>
      <c r="I1670" s="5"/>
      <c r="J1670" s="5"/>
      <c r="K1670" s="5"/>
      <c r="L1670" s="5"/>
      <c r="M1670" s="5"/>
      <c r="N1670" s="5"/>
    </row>
    <row r="1671" customFormat="false" ht="15" hidden="false" customHeight="false" outlineLevel="0" collapsed="false">
      <c r="A1671" s="71" t="n">
        <f aca="false">A1670+$F$3</f>
        <v>33300</v>
      </c>
      <c r="B1671" s="71" t="n">
        <f aca="false">SUMPRODUCT(固有振動数!$Q$6:$Q$22*(1-($A1671/固有振動数!$O$6:$O$22)^2)/((1-($A1671/固有振動数!$O$6:$O$22)^2)^2+固有振動数!$P$6:$P$22^2))</f>
        <v>1.07751622007718</v>
      </c>
      <c r="C1671" s="71" t="n">
        <f aca="false">-SUMPRODUCT(固有振動数!$Q$6:$Q$22*固有振動数!$P$6:$P$22/((1-($A1671/固有振動数!$O$6:$O$22)^2)^2+固有振動数!$P$6:$P$22^2))</f>
        <v>-1.74161316048576</v>
      </c>
      <c r="D1671" s="71" t="n">
        <f aca="false">SQRT(B1671^2+C1671^2)</f>
        <v>2.04798867313923</v>
      </c>
      <c r="E1671" s="72" t="n">
        <f aca="false">20*LOG10(MAX(D1671,0.000000000001)/$K$3)</f>
        <v>6.22655100694762</v>
      </c>
      <c r="F1671" s="5"/>
      <c r="G1671" s="5"/>
      <c r="H1671" s="5"/>
      <c r="I1671" s="5"/>
      <c r="J1671" s="5"/>
      <c r="K1671" s="5"/>
      <c r="L1671" s="5"/>
      <c r="M1671" s="5"/>
      <c r="N1671" s="5"/>
    </row>
    <row r="1672" customFormat="false" ht="15" hidden="false" customHeight="false" outlineLevel="0" collapsed="false">
      <c r="A1672" s="71" t="n">
        <f aca="false">A1671+$F$3</f>
        <v>33320</v>
      </c>
      <c r="B1672" s="71" t="n">
        <f aca="false">SUMPRODUCT(固有振動数!$Q$6:$Q$22*(1-($A1672/固有振動数!$O$6:$O$22)^2)/((1-($A1672/固有振動数!$O$6:$O$22)^2)^2+固有振動数!$P$6:$P$22^2))</f>
        <v>1.28138339583798</v>
      </c>
      <c r="C1672" s="71" t="n">
        <f aca="false">-SUMPRODUCT(固有振動数!$Q$6:$Q$22*固有振動数!$P$6:$P$22/((1-($A1672/固有振動数!$O$6:$O$22)^2)^2+固有振動数!$P$6:$P$22^2))</f>
        <v>-1.7302331832514</v>
      </c>
      <c r="D1672" s="71" t="n">
        <f aca="false">SQRT(B1672^2+C1672^2)</f>
        <v>2.15305603167998</v>
      </c>
      <c r="E1672" s="72" t="n">
        <f aca="false">20*LOG10(MAX(D1672,0.000000000001)/$K$3)</f>
        <v>6.66110664322112</v>
      </c>
      <c r="F1672" s="5"/>
      <c r="G1672" s="5"/>
      <c r="H1672" s="5"/>
      <c r="I1672" s="5"/>
      <c r="J1672" s="5"/>
      <c r="K1672" s="5"/>
      <c r="L1672" s="5"/>
      <c r="M1672" s="5"/>
      <c r="N1672" s="5"/>
    </row>
    <row r="1673" customFormat="false" ht="15" hidden="false" customHeight="false" outlineLevel="0" collapsed="false">
      <c r="A1673" s="71" t="n">
        <f aca="false">A1672+$F$3</f>
        <v>33340</v>
      </c>
      <c r="B1673" s="71" t="n">
        <f aca="false">SUMPRODUCT(固有振動数!$Q$6:$Q$22*(1-($A1673/固有振動数!$O$6:$O$22)^2)/((1-($A1673/固有振動数!$O$6:$O$22)^2)^2+固有振動数!$P$6:$P$22^2))</f>
        <v>1.48365794972833</v>
      </c>
      <c r="C1673" s="71" t="n">
        <f aca="false">-SUMPRODUCT(固有振動数!$Q$6:$Q$22*固有振動数!$P$6:$P$22/((1-($A1673/固有振動数!$O$6:$O$22)^2)^2+固有振動数!$P$6:$P$22^2))</f>
        <v>-1.71999799142228</v>
      </c>
      <c r="D1673" s="71" t="n">
        <f aca="false">SQRT(B1673^2+C1673^2)</f>
        <v>2.27148277613738</v>
      </c>
      <c r="E1673" s="72" t="n">
        <f aca="false">20*LOG10(MAX(D1673,0.000000000001)/$K$3)</f>
        <v>7.12618896118719</v>
      </c>
      <c r="F1673" s="5"/>
      <c r="G1673" s="5"/>
      <c r="H1673" s="5"/>
      <c r="I1673" s="5"/>
      <c r="J1673" s="5"/>
      <c r="K1673" s="5"/>
      <c r="L1673" s="5"/>
      <c r="M1673" s="5"/>
      <c r="N1673" s="5"/>
    </row>
    <row r="1674" customFormat="false" ht="15" hidden="false" customHeight="false" outlineLevel="0" collapsed="false">
      <c r="A1674" s="71" t="n">
        <f aca="false">A1673+$F$3</f>
        <v>33360</v>
      </c>
      <c r="B1674" s="71" t="n">
        <f aca="false">SUMPRODUCT(固有振動数!$Q$6:$Q$22*(1-($A1674/固有振動数!$O$6:$O$22)^2)/((1-($A1674/固有振動数!$O$6:$O$22)^2)^2+固有振動数!$P$6:$P$22^2))</f>
        <v>1.68447145247274</v>
      </c>
      <c r="C1674" s="71" t="n">
        <f aca="false">-SUMPRODUCT(固有振動数!$Q$6:$Q$22*固有振動数!$P$6:$P$22/((1-($A1674/固有振動数!$O$6:$O$22)^2)^2+固有振動数!$P$6:$P$22^2))</f>
        <v>-1.71087956262105</v>
      </c>
      <c r="D1674" s="71" t="n">
        <f aca="false">SQRT(B1674^2+C1674^2)</f>
        <v>2.40094834429857</v>
      </c>
      <c r="E1674" s="72" t="n">
        <f aca="false">20*LOG10(MAX(D1674,0.000000000001)/$K$3)</f>
        <v>7.60765632877555</v>
      </c>
      <c r="F1674" s="5"/>
      <c r="G1674" s="5"/>
      <c r="H1674" s="5"/>
      <c r="I1674" s="5"/>
      <c r="J1674" s="5"/>
      <c r="K1674" s="5"/>
      <c r="L1674" s="5"/>
      <c r="M1674" s="5"/>
      <c r="N1674" s="5"/>
    </row>
    <row r="1675" customFormat="false" ht="15" hidden="false" customHeight="false" outlineLevel="0" collapsed="false">
      <c r="A1675" s="71" t="n">
        <f aca="false">A1674+$F$3</f>
        <v>33380</v>
      </c>
      <c r="B1675" s="71" t="n">
        <f aca="false">SUMPRODUCT(固有振動数!$Q$6:$Q$22*(1-($A1675/固有振動数!$O$6:$O$22)^2)/((1-($A1675/固有振動数!$O$6:$O$22)^2)^2+固有振動数!$P$6:$P$22^2))</f>
        <v>1.88395223356121</v>
      </c>
      <c r="C1675" s="71" t="n">
        <f aca="false">-SUMPRODUCT(固有振動数!$Q$6:$Q$22*固有振動数!$P$6:$P$22/((1-($A1675/固有振動数!$O$6:$O$22)^2)^2+固有振動数!$P$6:$P$22^2))</f>
        <v>-1.70285267940964</v>
      </c>
      <c r="D1675" s="71" t="n">
        <f aca="false">SQRT(B1675^2+C1675^2)</f>
        <v>2.53948484266256</v>
      </c>
      <c r="E1675" s="72" t="n">
        <f aca="false">20*LOG10(MAX(D1675,0.000000000001)/$K$3)</f>
        <v>8.09491250027081</v>
      </c>
      <c r="F1675" s="5"/>
      <c r="G1675" s="5"/>
      <c r="H1675" s="5"/>
      <c r="I1675" s="5"/>
      <c r="J1675" s="5"/>
      <c r="K1675" s="5"/>
      <c r="L1675" s="5"/>
      <c r="M1675" s="5"/>
      <c r="N1675" s="5"/>
    </row>
    <row r="1676" customFormat="false" ht="15" hidden="false" customHeight="false" outlineLevel="0" collapsed="false">
      <c r="A1676" s="71" t="n">
        <f aca="false">A1675+$F$3</f>
        <v>33400</v>
      </c>
      <c r="B1676" s="71" t="n">
        <f aca="false">SUMPRODUCT(固有振動数!$Q$6:$Q$22*(1-($A1676/固有振動数!$O$6:$O$22)^2)/((1-($A1676/固有振動数!$O$6:$O$22)^2)^2+固有振動数!$P$6:$P$22^2))</f>
        <v>2.082225680697</v>
      </c>
      <c r="C1676" s="71" t="n">
        <f aca="false">-SUMPRODUCT(固有振動数!$Q$6:$Q$22*固有振動数!$P$6:$P$22/((1-($A1676/固有振動数!$O$6:$O$22)^2)^2+固有振動数!$P$6:$P$22^2))</f>
        <v>-1.69589480054564</v>
      </c>
      <c r="D1676" s="71" t="n">
        <f aca="false">SQRT(B1676^2+C1676^2)</f>
        <v>2.68546512914836</v>
      </c>
      <c r="E1676" s="72" t="n">
        <f aca="false">20*LOG10(MAX(D1676,0.000000000001)/$K$3)</f>
        <v>8.58039034840448</v>
      </c>
      <c r="F1676" s="5"/>
      <c r="G1676" s="5"/>
      <c r="H1676" s="5"/>
      <c r="I1676" s="5"/>
      <c r="J1676" s="5"/>
      <c r="K1676" s="5"/>
      <c r="L1676" s="5"/>
      <c r="M1676" s="5"/>
      <c r="N1676" s="5"/>
    </row>
    <row r="1677" customFormat="false" ht="15" hidden="false" customHeight="false" outlineLevel="0" collapsed="false">
      <c r="A1677" s="71" t="n">
        <f aca="false">A1676+$F$3</f>
        <v>33420</v>
      </c>
      <c r="B1677" s="71" t="n">
        <f aca="false">SUMPRODUCT(固有振動数!$Q$6:$Q$22*(1-($A1677/固有振動数!$O$6:$O$22)^2)/((1-($A1677/固有振動数!$O$6:$O$22)^2)^2+固有振動数!$P$6:$P$22^2))</f>
        <v>2.2794145261225</v>
      </c>
      <c r="C1677" s="71" t="n">
        <f aca="false">-SUMPRODUCT(固有振動数!$Q$6:$Q$22*固有振動数!$P$6:$P$22/((1-($A1677/固有振動数!$O$6:$O$22)^2)^2+固有振動数!$P$6:$P$22^2))</f>
        <v>-1.68998594653604</v>
      </c>
      <c r="D1677" s="71" t="n">
        <f aca="false">SQRT(B1677^2+C1677^2)</f>
        <v>2.83756640122968</v>
      </c>
      <c r="E1677" s="72" t="n">
        <f aca="false">20*LOG10(MAX(D1677,0.000000000001)/$K$3)</f>
        <v>9.05892066287982</v>
      </c>
      <c r="F1677" s="5"/>
      <c r="G1677" s="5"/>
      <c r="H1677" s="5"/>
      <c r="I1677" s="5"/>
      <c r="J1677" s="5"/>
      <c r="K1677" s="5"/>
      <c r="L1677" s="5"/>
      <c r="M1677" s="5"/>
      <c r="N1677" s="5"/>
    </row>
    <row r="1678" customFormat="false" ht="15" hidden="false" customHeight="false" outlineLevel="0" collapsed="false">
      <c r="A1678" s="71" t="n">
        <f aca="false">A1677+$F$3</f>
        <v>33440</v>
      </c>
      <c r="B1678" s="71" t="n">
        <f aca="false">SUMPRODUCT(固有振動数!$Q$6:$Q$22*(1-($A1678/固有振動数!$O$6:$O$22)^2)/((1-($A1678/固有振動数!$O$6:$O$22)^2)^2+固有振動数!$P$6:$P$22^2))</f>
        <v>2.47563912118765</v>
      </c>
      <c r="C1678" s="71" t="n">
        <f aca="false">-SUMPRODUCT(固有振動数!$Q$6:$Q$22*固有振動数!$P$6:$P$22/((1-($A1678/固有振動数!$O$6:$O$22)^2)^2+固有振動数!$P$6:$P$22^2))</f>
        <v>-1.68510859851975</v>
      </c>
      <c r="D1678" s="71" t="n">
        <f aca="false">SQRT(B1678^2+C1678^2)</f>
        <v>2.99472537090798</v>
      </c>
      <c r="E1678" s="72" t="n">
        <f aca="false">20*LOG10(MAX(D1678,0.000000000001)/$K$3)</f>
        <v>9.52714003789328</v>
      </c>
      <c r="F1678" s="5"/>
      <c r="G1678" s="5"/>
      <c r="H1678" s="5"/>
      <c r="I1678" s="5"/>
      <c r="J1678" s="5"/>
      <c r="K1678" s="5"/>
      <c r="L1678" s="5"/>
      <c r="M1678" s="5"/>
      <c r="N1678" s="5"/>
    </row>
    <row r="1679" customFormat="false" ht="15" hidden="false" customHeight="false" outlineLevel="0" collapsed="false">
      <c r="A1679" s="71" t="n">
        <f aca="false">A1678+$F$3</f>
        <v>33460</v>
      </c>
      <c r="B1679" s="71" t="n">
        <f aca="false">SUMPRODUCT(固有振動数!$Q$6:$Q$22*(1-($A1679/固有振動数!$O$6:$O$22)^2)/((1-($A1679/固有振動数!$O$6:$O$22)^2)^2+固有振動数!$P$6:$P$22^2))</f>
        <v>2.67101770044052</v>
      </c>
      <c r="C1679" s="71" t="n">
        <f aca="false">-SUMPRODUCT(固有振動数!$Q$6:$Q$22*固有振動数!$P$6:$P$22/((1-($A1679/固有振動数!$O$6:$O$22)^2)^2+固有振動数!$P$6:$P$22^2))</f>
        <v>-1.68124760963181</v>
      </c>
      <c r="D1679" s="71" t="n">
        <f aca="false">SQRT(B1679^2+C1679^2)</f>
        <v>3.15609395946306</v>
      </c>
      <c r="E1679" s="72" t="n">
        <f aca="false">20*LOG10(MAX(D1679,0.000000000001)/$K$3)</f>
        <v>9.98299848053796</v>
      </c>
      <c r="F1679" s="5"/>
      <c r="G1679" s="5"/>
      <c r="H1679" s="5"/>
      <c r="I1679" s="5"/>
      <c r="J1679" s="5"/>
      <c r="K1679" s="5"/>
      <c r="L1679" s="5"/>
      <c r="M1679" s="5"/>
      <c r="N1679" s="5"/>
    </row>
    <row r="1680" customFormat="false" ht="15" hidden="false" customHeight="false" outlineLevel="0" collapsed="false">
      <c r="A1680" s="71" t="n">
        <f aca="false">A1679+$F$3</f>
        <v>33480</v>
      </c>
      <c r="B1680" s="71" t="n">
        <f aca="false">SUMPRODUCT(固有振動数!$Q$6:$Q$22*(1-($A1680/固有振動数!$O$6:$O$22)^2)/((1-($A1680/固有振動数!$O$6:$O$22)^2)^2+固有振動数!$P$6:$P$22^2))</f>
        <v>2.86566663644415</v>
      </c>
      <c r="C1680" s="71" t="n">
        <f aca="false">-SUMPRODUCT(固有振動数!$Q$6:$Q$22*固有振動数!$P$6:$P$22/((1-($A1680/固有振動数!$O$6:$O$22)^2)^2+固有振動数!$P$6:$P$22^2))</f>
        <v>-1.67839012811232</v>
      </c>
      <c r="D1680" s="71" t="n">
        <f aca="false">SQRT(B1680^2+C1680^2)</f>
        <v>3.32099965272115</v>
      </c>
      <c r="E1680" s="72" t="n">
        <f aca="false">20*LOG10(MAX(D1680,0.000000000001)/$K$3)</f>
        <v>10.4253766036793</v>
      </c>
      <c r="F1680" s="5"/>
      <c r="G1680" s="5"/>
      <c r="H1680" s="5"/>
      <c r="I1680" s="5"/>
      <c r="J1680" s="5"/>
      <c r="K1680" s="5"/>
      <c r="L1680" s="5"/>
      <c r="M1680" s="5"/>
      <c r="N1680" s="5"/>
    </row>
    <row r="1681" customFormat="false" ht="15" hidden="false" customHeight="false" outlineLevel="0" collapsed="false">
      <c r="A1681" s="71" t="n">
        <f aca="false">A1680+$F$3</f>
        <v>33500</v>
      </c>
      <c r="B1681" s="71" t="n">
        <f aca="false">SUMPRODUCT(固有振動数!$Q$6:$Q$22*(1-($A1681/固有振動数!$O$6:$O$22)^2)/((1-($A1681/固有振動数!$O$6:$O$22)^2)^2+固有振動数!$P$6:$P$22^2))</f>
        <v>3.05970068645861</v>
      </c>
      <c r="C1681" s="71" t="n">
        <f aca="false">-SUMPRODUCT(固有振動数!$Q$6:$Q$22*固有振動数!$P$6:$P$22/((1-($A1681/固有振動数!$O$6:$O$22)^2)^2+固有振動数!$P$6:$P$22^2))</f>
        <v>-1.67652553152483</v>
      </c>
      <c r="D1681" s="71" t="n">
        <f aca="false">SQRT(B1681^2+C1681^2)</f>
        <v>3.48891188604268</v>
      </c>
      <c r="E1681" s="72" t="n">
        <f aca="false">20*LOG10(MAX(D1681,0.000000000001)/$K$3)</f>
        <v>10.8538000258859</v>
      </c>
      <c r="F1681" s="5"/>
      <c r="G1681" s="5"/>
      <c r="H1681" s="5"/>
      <c r="I1681" s="5"/>
      <c r="J1681" s="5"/>
      <c r="K1681" s="5"/>
      <c r="L1681" s="5"/>
      <c r="M1681" s="5"/>
      <c r="N1681" s="5"/>
    </row>
    <row r="1682" customFormat="false" ht="15" hidden="false" customHeight="false" outlineLevel="0" collapsed="false">
      <c r="A1682" s="71" t="n">
        <f aca="false">A1681+$F$3</f>
        <v>33520</v>
      </c>
      <c r="B1682" s="71" t="n">
        <f aca="false">SUMPRODUCT(固有振動数!$Q$6:$Q$22*(1-($A1682/固有振動数!$O$6:$O$22)^2)/((1-($A1682/固有振動数!$O$6:$O$22)^2)^2+固有振動数!$P$6:$P$22^2))</f>
        <v>3.25323323206852</v>
      </c>
      <c r="C1682" s="71" t="n">
        <f aca="false">-SUMPRODUCT(固有振動数!$Q$6:$Q$22*固有振動数!$P$6:$P$22/((1-($A1682/固有振動数!$O$6:$O$22)^2)^2+固有振動数!$P$6:$P$22^2))</f>
        <v>-1.67564537154184</v>
      </c>
      <c r="D1682" s="71" t="n">
        <f aca="false">SQRT(B1682^2+C1682^2)</f>
        <v>3.65941441673453</v>
      </c>
      <c r="E1682" s="72" t="n">
        <f aca="false">20*LOG10(MAX(D1682,0.000000000001)/$K$3)</f>
        <v>11.2682318940755</v>
      </c>
      <c r="F1682" s="5"/>
      <c r="G1682" s="5"/>
      <c r="H1682" s="5"/>
      <c r="I1682" s="5"/>
      <c r="J1682" s="5"/>
      <c r="K1682" s="5"/>
      <c r="L1682" s="5"/>
      <c r="M1682" s="5"/>
      <c r="N1682" s="5"/>
    </row>
    <row r="1683" customFormat="false" ht="15" hidden="false" customHeight="false" outlineLevel="0" collapsed="false">
      <c r="A1683" s="71" t="n">
        <f aca="false">A1682+$F$3</f>
        <v>33540</v>
      </c>
      <c r="B1683" s="71" t="n">
        <f aca="false">SUMPRODUCT(固有振動数!$Q$6:$Q$22*(1-($A1683/固有振動数!$O$6:$O$22)^2)/((1-($A1683/固有振動数!$O$6:$O$22)^2)^2+固有振動数!$P$6:$P$22^2))</f>
        <v>3.44637651278757</v>
      </c>
      <c r="C1683" s="71" t="n">
        <f aca="false">-SUMPRODUCT(固有振動数!$Q$6:$Q$22*固有振動数!$P$6:$P$22/((1-($A1683/固有振動数!$O$6:$O$22)^2)^2+固有振動数!$P$6:$P$22^2))</f>
        <v>-1.67574332884209</v>
      </c>
      <c r="D1683" s="71" t="n">
        <f aca="false">SQRT(B1683^2+C1683^2)</f>
        <v>3.83218302956064</v>
      </c>
      <c r="E1683" s="72" t="n">
        <f aca="false">20*LOG10(MAX(D1683,0.000000000001)/$K$3)</f>
        <v>11.668924866324</v>
      </c>
      <c r="F1683" s="5"/>
      <c r="G1683" s="5"/>
      <c r="H1683" s="5"/>
      <c r="I1683" s="5"/>
      <c r="J1683" s="5"/>
      <c r="K1683" s="5"/>
      <c r="L1683" s="5"/>
      <c r="M1683" s="5"/>
      <c r="N1683" s="5"/>
    </row>
    <row r="1684" customFormat="false" ht="15" hidden="false" customHeight="false" outlineLevel="0" collapsed="false">
      <c r="A1684" s="71" t="n">
        <f aca="false">A1683+$F$3</f>
        <v>33560</v>
      </c>
      <c r="B1684" s="71" t="n">
        <f aca="false">SUMPRODUCT(固有振動数!$Q$6:$Q$22*(1-($A1684/固有振動数!$O$6:$O$22)^2)/((1-($A1684/固有振動数!$O$6:$O$22)^2)^2+固有振動数!$P$6:$P$22^2))</f>
        <v>3.63924185462811</v>
      </c>
      <c r="C1684" s="71" t="n">
        <f aca="false">-SUMPRODUCT(固有振動数!$Q$6:$Q$22*固有振動数!$P$6:$P$22/((1-($A1684/固有振動数!$O$6:$O$22)^2)^2+固有振動数!$P$6:$P$22^2))</f>
        <v>-1.67681517774544</v>
      </c>
      <c r="D1684" s="71" t="n">
        <f aca="false">SQRT(B1684^2+C1684^2)</f>
        <v>4.00696773343566</v>
      </c>
      <c r="E1684" s="72" t="n">
        <f aca="false">20*LOG10(MAX(D1684,0.000000000001)/$K$3)</f>
        <v>12.0563169048194</v>
      </c>
      <c r="F1684" s="5"/>
      <c r="G1684" s="5"/>
      <c r="H1684" s="5"/>
      <c r="I1684" s="5"/>
      <c r="J1684" s="5"/>
      <c r="K1684" s="5"/>
      <c r="L1684" s="5"/>
      <c r="M1684" s="5"/>
      <c r="N1684" s="5"/>
    </row>
    <row r="1685" customFormat="false" ht="15" hidden="false" customHeight="false" outlineLevel="0" collapsed="false">
      <c r="A1685" s="71" t="n">
        <f aca="false">A1684+$F$3</f>
        <v>33580</v>
      </c>
      <c r="B1685" s="71" t="n">
        <f aca="false">SUMPRODUCT(固有振動数!$Q$6:$Q$22*(1-($A1685/固有振動数!$O$6:$O$22)^2)/((1-($A1685/固有振動数!$O$6:$O$22)^2)^2+固有振動数!$P$6:$P$22^2))</f>
        <v>3.83193989458918</v>
      </c>
      <c r="C1685" s="71" t="n">
        <f aca="false">-SUMPRODUCT(固有振動数!$Q$6:$Q$22*固有振動数!$P$6:$P$22/((1-($A1685/固有振動数!$O$6:$O$22)^2)^2+固有振動数!$P$6:$P$22^2))</f>
        <v>-1.67885876028767</v>
      </c>
      <c r="D1685" s="71" t="n">
        <f aca="false">SQRT(B1685^2+C1685^2)</f>
        <v>4.18357862275096</v>
      </c>
      <c r="E1685" s="72" t="n">
        <f aca="false">20*LOG10(MAX(D1685,0.000000000001)/$K$3)</f>
        <v>12.430958703466</v>
      </c>
      <c r="F1685" s="5"/>
      <c r="G1685" s="5"/>
      <c r="H1685" s="5"/>
      <c r="I1685" s="5"/>
      <c r="J1685" s="5"/>
      <c r="K1685" s="5"/>
      <c r="L1685" s="5"/>
      <c r="M1685" s="5"/>
      <c r="N1685" s="5"/>
    </row>
    <row r="1686" customFormat="false" ht="15" hidden="false" customHeight="false" outlineLevel="0" collapsed="false">
      <c r="A1686" s="71" t="n">
        <f aca="false">A1685+$F$3</f>
        <v>33600</v>
      </c>
      <c r="B1686" s="71" t="n">
        <f aca="false">SUMPRODUCT(固有振動数!$Q$6:$Q$22*(1-($A1686/固有振動数!$O$6:$O$22)^2)/((1-($A1686/固有振動数!$O$6:$O$22)^2)^2+固有振動数!$P$6:$P$22^2))</f>
        <v>4.02458080198673</v>
      </c>
      <c r="C1686" s="71" t="n">
        <f aca="false">-SUMPRODUCT(固有振動数!$Q$6:$Q$22*固有振動数!$P$6:$P$22/((1-($A1686/固有振動数!$O$6:$O$22)^2)^2+固有振動数!$P$6:$P$22^2))</f>
        <v>-1.68187396951053</v>
      </c>
      <c r="D1686" s="71" t="n">
        <f aca="false">SQRT(B1686^2+C1686^2)</f>
        <v>4.36187467507232</v>
      </c>
      <c r="E1686" s="72" t="n">
        <f aca="false">20*LOG10(MAX(D1686,0.000000000001)/$K$3)</f>
        <v>12.7934636663647</v>
      </c>
      <c r="F1686" s="5"/>
      <c r="G1686" s="5"/>
      <c r="H1686" s="5"/>
      <c r="I1686" s="5"/>
      <c r="J1686" s="5"/>
      <c r="K1686" s="5"/>
      <c r="L1686" s="5"/>
      <c r="M1686" s="5"/>
      <c r="N1686" s="5"/>
    </row>
    <row r="1687" customFormat="false" ht="15" hidden="false" customHeight="false" outlineLevel="0" collapsed="false">
      <c r="A1687" s="71" t="n">
        <f aca="false">A1686+$F$3</f>
        <v>33620</v>
      </c>
      <c r="B1687" s="71" t="n">
        <f aca="false">SUMPRODUCT(固有振動数!$Q$6:$Q$22*(1-($A1687/固有振動数!$O$6:$O$22)^2)/((1-($A1687/固有振動数!$O$6:$O$22)^2)^2+固有振動数!$P$6:$P$22^2))</f>
        <v>4.21727449752758</v>
      </c>
      <c r="C1687" s="71" t="n">
        <f aca="false">-SUMPRODUCT(固有振動数!$Q$6:$Q$22*固有振動数!$P$6:$P$22/((1-($A1687/固有振動数!$O$6:$O$22)^2)^2+固有振動数!$P$6:$P$22^2))</f>
        <v>-1.68586274181276</v>
      </c>
      <c r="D1687" s="71" t="n">
        <f aca="false">SQRT(B1687^2+C1687^2)</f>
        <v>4.54175487798813</v>
      </c>
      <c r="E1687" s="72" t="n">
        <f aca="false">20*LOG10(MAX(D1687,0.000000000001)/$K$3)</f>
        <v>13.1444738261647</v>
      </c>
      <c r="F1687" s="5"/>
      <c r="G1687" s="5"/>
      <c r="H1687" s="5"/>
      <c r="I1687" s="5"/>
      <c r="J1687" s="5"/>
      <c r="K1687" s="5"/>
      <c r="L1687" s="5"/>
      <c r="M1687" s="5"/>
      <c r="N1687" s="5"/>
    </row>
    <row r="1688" customFormat="false" ht="15" hidden="false" customHeight="false" outlineLevel="0" collapsed="false">
      <c r="A1688" s="71" t="n">
        <f aca="false">A1687+$F$3</f>
        <v>33640</v>
      </c>
      <c r="B1688" s="71" t="n">
        <f aca="false">SUMPRODUCT(固有振動数!$Q$6:$Q$22*(1-($A1688/固有振動数!$O$6:$O$22)^2)/((1-($A1688/固有振動数!$O$6:$O$22)^2)^2+固有振動数!$P$6:$P$22^2))</f>
        <v>4.41013087101096</v>
      </c>
      <c r="C1688" s="71" t="n">
        <f aca="false">-SUMPRODUCT(固有振動数!$Q$6:$Q$22*固有振動数!$P$6:$P$22/((1-($A1688/固有振動数!$O$6:$O$22)^2)^2+固有振動数!$P$6:$P$22^2))</f>
        <v>-1.69082905827544</v>
      </c>
      <c r="D1688" s="71" t="n">
        <f aca="false">SQRT(B1688^2+C1688^2)</f>
        <v>4.72315119425077</v>
      </c>
      <c r="E1688" s="72" t="n">
        <f aca="false">20*LOG10(MAX(D1688,0.000000000001)/$K$3)</f>
        <v>13.4846369626787</v>
      </c>
      <c r="F1688" s="5"/>
      <c r="G1688" s="5"/>
      <c r="H1688" s="5"/>
      <c r="I1688" s="5"/>
      <c r="J1688" s="5"/>
      <c r="K1688" s="5"/>
      <c r="L1688" s="5"/>
      <c r="M1688" s="5"/>
      <c r="N1688" s="5"/>
    </row>
    <row r="1689" customFormat="false" ht="15" hidden="false" customHeight="false" outlineLevel="0" collapsed="false">
      <c r="A1689" s="71" t="n">
        <f aca="false">A1688+$F$3</f>
        <v>33660</v>
      </c>
      <c r="B1689" s="71" t="n">
        <f aca="false">SUMPRODUCT(固有振動数!$Q$6:$Q$22*(1-($A1689/固有振動数!$O$6:$O$22)^2)/((1-($A1689/固有振動数!$O$6:$O$22)^2)^2+固有振動数!$P$6:$P$22^2))</f>
        <v>4.60325999853189</v>
      </c>
      <c r="C1689" s="71" t="n">
        <f aca="false">-SUMPRODUCT(固有振動数!$Q$6:$Q$22*固有振動数!$P$6:$P$22/((1-($A1689/固有振動数!$O$6:$O$22)^2)^2+固有振動数!$P$6:$P$22^2))</f>
        <v>-1.69677895494294</v>
      </c>
      <c r="D1689" s="71" t="n">
        <f aca="false">SQRT(B1689^2+C1689^2)</f>
        <v>4.9060229754885</v>
      </c>
      <c r="E1689" s="72" t="n">
        <f aca="false">20*LOG10(MAX(D1689,0.000000000001)/$K$3)</f>
        <v>13.8145915545558</v>
      </c>
      <c r="F1689" s="5"/>
      <c r="G1689" s="5"/>
      <c r="H1689" s="5"/>
      <c r="I1689" s="5"/>
      <c r="J1689" s="5"/>
      <c r="K1689" s="5"/>
      <c r="L1689" s="5"/>
      <c r="M1689" s="5"/>
      <c r="N1689" s="5"/>
    </row>
    <row r="1690" customFormat="false" ht="15" hidden="false" customHeight="false" outlineLevel="0" collapsed="false">
      <c r="A1690" s="71" t="n">
        <f aca="false">A1689+$F$3</f>
        <v>33680</v>
      </c>
      <c r="B1690" s="71" t="n">
        <f aca="false">SUMPRODUCT(固有振動数!$Q$6:$Q$22*(1-($A1690/固有振動数!$O$6:$O$22)^2)/((1-($A1690/固有振動数!$O$6:$O$22)^2)^2+固有振動数!$P$6:$P$22^2))</f>
        <v>4.79677236005426</v>
      </c>
      <c r="C1690" s="71" t="n">
        <f aca="false">-SUMPRODUCT(固有振動数!$Q$6:$Q$22*固有振動数!$P$6:$P$22/((1-($A1690/固有振動数!$O$6:$O$22)^2)^2+固有振動数!$P$6:$P$22^2))</f>
        <v>-1.70372054210648</v>
      </c>
      <c r="D1690" s="71" t="n">
        <f aca="false">SQRT(B1690^2+C1690^2)</f>
        <v>5.09035251822269</v>
      </c>
      <c r="E1690" s="72" t="n">
        <f aca="false">20*LOG10(MAX(D1690,0.000000000001)/$K$3)</f>
        <v>14.1349571847219</v>
      </c>
      <c r="F1690" s="5"/>
      <c r="G1690" s="5"/>
      <c r="H1690" s="5"/>
      <c r="I1690" s="5"/>
      <c r="J1690" s="5"/>
      <c r="K1690" s="5"/>
      <c r="L1690" s="5"/>
      <c r="M1690" s="5"/>
      <c r="N1690" s="5"/>
    </row>
    <row r="1691" customFormat="false" ht="15" hidden="false" customHeight="false" outlineLevel="0" collapsed="false">
      <c r="A1691" s="71" t="n">
        <f aca="false">A1690+$F$3</f>
        <v>33700</v>
      </c>
      <c r="B1691" s="71" t="n">
        <f aca="false">SUMPRODUCT(固有振動数!$Q$6:$Q$22*(1-($A1691/固有振動数!$O$6:$O$22)^2)/((1-($A1691/固有振動数!$O$6:$O$22)^2)^2+固有振動数!$P$6:$P$22^2))</f>
        <v>4.99077905822261</v>
      </c>
      <c r="C1691" s="71" t="n">
        <f aca="false">-SUMPRODUCT(固有振動数!$Q$6:$Q$22*固有振動数!$P$6:$P$22/((1-($A1691/固有振動数!$O$6:$O$22)^2)^2+固有振動数!$P$6:$P$22^2))</f>
        <v>-1.71166403270483</v>
      </c>
      <c r="D1691" s="71" t="n">
        <f aca="false">SQRT(B1691^2+C1691^2)</f>
        <v>5.27614152282222</v>
      </c>
      <c r="E1691" s="72" t="n">
        <f aca="false">20*LOG10(MAX(D1691,0.000000000001)/$K$3)</f>
        <v>14.4463287236747</v>
      </c>
      <c r="F1691" s="5"/>
      <c r="G1691" s="5"/>
      <c r="H1691" s="5"/>
      <c r="I1691" s="5"/>
      <c r="J1691" s="5"/>
      <c r="K1691" s="5"/>
      <c r="L1691" s="5"/>
      <c r="M1691" s="5"/>
      <c r="N1691" s="5"/>
    </row>
    <row r="1692" customFormat="false" ht="15" hidden="false" customHeight="false" outlineLevel="0" collapsed="false">
      <c r="A1692" s="71" t="n">
        <f aca="false">A1691+$F$3</f>
        <v>33720</v>
      </c>
      <c r="B1692" s="71" t="n">
        <f aca="false">SUMPRODUCT(固有振動数!$Q$6:$Q$22*(1-($A1692/固有振動数!$O$6:$O$22)^2)/((1-($A1692/固有振動数!$O$6:$O$22)^2)^2+固有振動数!$P$6:$P$22^2))</f>
        <v>5.18539203928736</v>
      </c>
      <c r="C1692" s="71" t="n">
        <f aca="false">-SUMPRODUCT(固有振動数!$Q$6:$Q$22*固有振動数!$P$6:$P$22/((1-($A1692/固有振動数!$O$6:$O$22)^2)^2+固有振動数!$P$6:$P$22^2))</f>
        <v>-1.72062178002437</v>
      </c>
      <c r="D1692" s="71" t="n">
        <f aca="false">SQRT(B1692^2+C1692^2)</f>
        <v>5.46340826874571</v>
      </c>
      <c r="E1692" s="72" t="n">
        <f aca="false">20*LOG10(MAX(D1692,0.000000000001)/$K$3)</f>
        <v>14.7492731123904</v>
      </c>
      <c r="F1692" s="5"/>
      <c r="G1692" s="5"/>
      <c r="H1692" s="5"/>
      <c r="I1692" s="5"/>
      <c r="J1692" s="5"/>
      <c r="K1692" s="5"/>
      <c r="L1692" s="5"/>
      <c r="M1692" s="5"/>
      <c r="N1692" s="5"/>
    </row>
    <row r="1693" customFormat="false" ht="15" hidden="false" customHeight="false" outlineLevel="0" collapsed="false">
      <c r="A1693" s="71" t="n">
        <f aca="false">A1692+$F$3</f>
        <v>33740</v>
      </c>
      <c r="B1693" s="71" t="n">
        <f aca="false">SUMPRODUCT(固有振動数!$Q$6:$Q$22*(1-($A1693/固有振動数!$O$6:$O$22)^2)/((1-($A1693/固有振動数!$O$6:$O$22)^2)^2+固有振動数!$P$6:$P$22^2))</f>
        <v>5.38072431703032</v>
      </c>
      <c r="C1693" s="71" t="n">
        <f aca="false">-SUMPRODUCT(固有振動数!$Q$6:$Q$22*固有振動数!$P$6:$P$22/((1-($A1693/固有振動数!$O$6:$O$22)^2)^2+固有振動数!$P$6:$P$22^2))</f>
        <v>-1.73060832495069</v>
      </c>
      <c r="D1693" s="71" t="n">
        <f aca="false">SQRT(B1693^2+C1693^2)</f>
        <v>5.6521853605725</v>
      </c>
      <c r="E1693" s="72" t="n">
        <f aca="false">20*LOG10(MAX(D1693,0.000000000001)/$K$3)</f>
        <v>15.0443279175778</v>
      </c>
      <c r="F1693" s="5"/>
      <c r="G1693" s="5"/>
      <c r="H1693" s="5"/>
      <c r="I1693" s="5"/>
      <c r="J1693" s="5"/>
      <c r="K1693" s="5"/>
      <c r="L1693" s="5"/>
      <c r="M1693" s="5"/>
      <c r="N1693" s="5"/>
    </row>
    <row r="1694" customFormat="false" ht="15" hidden="false" customHeight="false" outlineLevel="0" collapsed="false">
      <c r="A1694" s="71" t="n">
        <f aca="false">A1693+$F$3</f>
        <v>33760</v>
      </c>
      <c r="B1694" s="71" t="n">
        <f aca="false">SUMPRODUCT(固有振動数!$Q$6:$Q$22*(1-($A1694/固有振動数!$O$6:$O$22)^2)/((1-($A1694/固有振動数!$O$6:$O$22)^2)^2+固有振動数!$P$6:$P$22^2))</f>
        <v>5.57689020059453</v>
      </c>
      <c r="C1694" s="71" t="n">
        <f aca="false">-SUMPRODUCT(固有振動数!$Q$6:$Q$22*固有振動数!$P$6:$P$22/((1-($A1694/固有振動数!$O$6:$O$22)^2)^2+固有振動数!$P$6:$P$22^2))</f>
        <v>-1.74164045309647</v>
      </c>
      <c r="D1694" s="71" t="n">
        <f aca="false">SQRT(B1694^2+C1694^2)</f>
        <v>5.8425179312818</v>
      </c>
      <c r="E1694" s="72" t="n">
        <f aca="false">20*LOG10(MAX(D1694,0.000000000001)/$K$3)</f>
        <v>15.332001079205</v>
      </c>
      <c r="F1694" s="5"/>
      <c r="G1694" s="5"/>
      <c r="H1694" s="5"/>
      <c r="I1694" s="5"/>
      <c r="J1694" s="5"/>
      <c r="K1694" s="5"/>
      <c r="L1694" s="5"/>
      <c r="M1694" s="5"/>
      <c r="N1694" s="5"/>
    </row>
    <row r="1695" customFormat="false" ht="15" hidden="false" customHeight="false" outlineLevel="0" collapsed="false">
      <c r="A1695" s="71" t="n">
        <f aca="false">A1694+$F$3</f>
        <v>33780</v>
      </c>
      <c r="B1695" s="71" t="n">
        <f aca="false">SUMPRODUCT(固有振動数!$Q$6:$Q$22*(1-($A1695/固有振動数!$O$6:$O$22)^2)/((1-($A1695/固有振動数!$O$6:$O$22)^2)^2+固有振動数!$P$6:$P$22^2))</f>
        <v>5.77400552714591</v>
      </c>
      <c r="C1695" s="71" t="n">
        <f aca="false">-SUMPRODUCT(固有振動数!$Q$6:$Q$22*固有振動数!$P$6:$P$22/((1-($A1695/固有振動数!$O$6:$O$22)^2)^2+固有振動数!$P$6:$P$22^2))</f>
        <v>-1.75373726220594</v>
      </c>
      <c r="D1695" s="71" t="n">
        <f aca="false">SQRT(B1695^2+C1695^2)</f>
        <v>6.03446221401387</v>
      </c>
      <c r="E1695" s="72" t="n">
        <f aca="false">20*LOG10(MAX(D1695,0.000000000001)/$K$3)</f>
        <v>15.6127714442825</v>
      </c>
      <c r="F1695" s="5"/>
      <c r="G1695" s="5"/>
      <c r="H1695" s="5"/>
      <c r="I1695" s="5"/>
      <c r="J1695" s="5"/>
      <c r="K1695" s="5"/>
      <c r="L1695" s="5"/>
      <c r="M1695" s="5"/>
      <c r="N1695" s="5"/>
    </row>
    <row r="1696" customFormat="false" ht="15" hidden="false" customHeight="false" outlineLevel="0" collapsed="false">
      <c r="A1696" s="71" t="n">
        <f aca="false">A1695+$F$3</f>
        <v>33800</v>
      </c>
      <c r="B1696" s="71" t="n">
        <f aca="false">SUMPRODUCT(固有振動数!$Q$6:$Q$22*(1-($A1696/固有振動数!$O$6:$O$22)^2)/((1-($A1696/固有振動数!$O$6:$O$22)^2)^2+固有振動数!$P$6:$P$22^2))</f>
        <v>5.97218790032411</v>
      </c>
      <c r="C1696" s="71" t="n">
        <f aca="false">-SUMPRODUCT(固有振動数!$Q$6:$Q$22*固有振動数!$P$6:$P$22/((1-($A1696/固有振動数!$O$6:$O$22)^2)^2+固有振動数!$P$6:$P$22^2))</f>
        <v>-1.76692024031707</v>
      </c>
      <c r="D1696" s="71" t="n">
        <f aca="false">SQRT(B1696^2+C1696^2)</f>
        <v>6.22808441275645</v>
      </c>
      <c r="E1696" s="72" t="n">
        <f aca="false">20*LOG10(MAX(D1696,0.000000000001)/$K$3)</f>
        <v>15.8870898035025</v>
      </c>
      <c r="F1696" s="5"/>
      <c r="G1696" s="5"/>
      <c r="H1696" s="5"/>
      <c r="I1696" s="5"/>
      <c r="J1696" s="5"/>
      <c r="K1696" s="5"/>
      <c r="L1696" s="5"/>
      <c r="M1696" s="5"/>
      <c r="N1696" s="5"/>
    </row>
    <row r="1697" customFormat="false" ht="15" hidden="false" customHeight="false" outlineLevel="0" collapsed="false">
      <c r="A1697" s="71" t="n">
        <f aca="false">A1696+$F$3</f>
        <v>33820</v>
      </c>
      <c r="B1697" s="71" t="n">
        <f aca="false">SUMPRODUCT(固有振動数!$Q$6:$Q$22*(1-($A1697/固有振動数!$O$6:$O$22)^2)/((1-($A1697/固有振動数!$O$6:$O$22)^2)^2+固有振動数!$P$6:$P$22^2))</f>
        <v>6.17155693547526</v>
      </c>
      <c r="C1697" s="71" t="n">
        <f aca="false">-SUMPRODUCT(固有振動数!$Q$6:$Q$22*固有振動数!$P$6:$P$22/((1-($A1697/固有振動数!$O$6:$O$22)^2)^2+固有振動数!$P$6:$P$22^2))</f>
        <v>-1.78121335524776</v>
      </c>
      <c r="D1697" s="71" t="n">
        <f aca="false">SQRT(B1697^2+C1697^2)</f>
        <v>6.42345981732008</v>
      </c>
      <c r="E1697" s="72" t="n">
        <f aca="false">20*LOG10(MAX(D1697,0.000000000001)/$K$3)</f>
        <v>16.1553802337651</v>
      </c>
      <c r="F1697" s="5"/>
      <c r="G1697" s="5"/>
      <c r="H1697" s="5"/>
      <c r="I1697" s="5"/>
      <c r="J1697" s="5"/>
      <c r="K1697" s="5"/>
      <c r="L1697" s="5"/>
      <c r="M1697" s="5"/>
      <c r="N1697" s="5"/>
    </row>
    <row r="1698" customFormat="false" ht="15" hidden="false" customHeight="false" outlineLevel="0" collapsed="false">
      <c r="A1698" s="71" t="n">
        <f aca="false">A1697+$F$3</f>
        <v>33840</v>
      </c>
      <c r="B1698" s="71" t="n">
        <f aca="false">SUMPRODUCT(固有振動数!$Q$6:$Q$22*(1-($A1698/固有振動数!$O$6:$O$22)^2)/((1-($A1698/固有振動数!$O$6:$O$22)^2)^2+固有振動数!$P$6:$P$22^2))</f>
        <v>6.37223451270215</v>
      </c>
      <c r="C1698" s="71" t="n">
        <f aca="false">-SUMPRODUCT(固有振動数!$Q$6:$Q$22*固有振動数!$P$6:$P$22/((1-($A1698/固有振動数!$O$6:$O$22)^2)^2+固有振動数!$P$6:$P$22^2))</f>
        <v>-1.7966431560644</v>
      </c>
      <c r="D1698" s="71" t="n">
        <f aca="false">SQRT(B1698^2+C1698^2)</f>
        <v>6.62067211958918</v>
      </c>
      <c r="E1698" s="72" t="n">
        <f aca="false">20*LOG10(MAX(D1698,0.000000000001)/$K$3)</f>
        <v>16.4180416105818</v>
      </c>
      <c r="F1698" s="5"/>
      <c r="G1698" s="5"/>
      <c r="H1698" s="5"/>
      <c r="I1698" s="5"/>
      <c r="J1698" s="5"/>
      <c r="K1698" s="5"/>
      <c r="L1698" s="5"/>
      <c r="M1698" s="5"/>
      <c r="N1698" s="5"/>
    </row>
    <row r="1699" customFormat="false" ht="15" hidden="false" customHeight="false" outlineLevel="0" collapsed="false">
      <c r="A1699" s="71" t="n">
        <f aca="false">A1698+$F$3</f>
        <v>33860</v>
      </c>
      <c r="B1699" s="71" t="n">
        <f aca="false">SUMPRODUCT(固有振動数!$Q$6:$Q$22*(1-($A1699/固有振動数!$O$6:$O$22)^2)/((1-($A1699/固有振動数!$O$6:$O$22)^2)^2+固有振動数!$P$6:$P$22^2))</f>
        <v>6.57434503881695</v>
      </c>
      <c r="C1699" s="71" t="n">
        <f aca="false">-SUMPRODUCT(固有振動数!$Q$6:$Q$22*固有振動数!$P$6:$P$22/((1-($A1699/固有振動数!$O$6:$O$22)^2)^2+固有振動数!$P$6:$P$22^2))</f>
        <v>-1.81323888729062</v>
      </c>
      <c r="D1699" s="71" t="n">
        <f aca="false">SQRT(B1699^2+C1699^2)</f>
        <v>6.81981289712555</v>
      </c>
      <c r="E1699" s="72" t="n">
        <f aca="false">20*LOG10(MAX(D1699,0.000000000001)/$K$3)</f>
        <v>16.6754491973508</v>
      </c>
      <c r="F1699" s="5"/>
      <c r="G1699" s="5"/>
      <c r="H1699" s="5"/>
      <c r="I1699" s="5"/>
      <c r="J1699" s="5"/>
      <c r="K1699" s="5"/>
      <c r="L1699" s="5"/>
      <c r="M1699" s="5"/>
      <c r="N1699" s="5"/>
    </row>
    <row r="1700" customFormat="false" ht="15" hidden="false" customHeight="false" outlineLevel="0" collapsed="false">
      <c r="A1700" s="71" t="n">
        <f aca="false">A1699+$F$3</f>
        <v>33880</v>
      </c>
      <c r="B1700" s="71" t="n">
        <f aca="false">SUMPRODUCT(固有振動数!$Q$6:$Q$22*(1-($A1700/固有振動数!$O$6:$O$22)^2)/((1-($A1700/固有振動数!$O$6:$O$22)^2)^2+固有振動数!$P$6:$P$22^2))</f>
        <v>6.77801571933826</v>
      </c>
      <c r="C1700" s="71" t="n">
        <f aca="false">-SUMPRODUCT(固有振動数!$Q$6:$Q$22*固有振動数!$P$6:$P$22/((1-($A1700/固有振動数!$O$6:$O$22)^2)^2+固有振動数!$P$6:$P$22^2))</f>
        <v>-1.83103261672211</v>
      </c>
      <c r="D1700" s="71" t="n">
        <f aca="false">SQRT(B1700^2+C1700^2)</f>
        <v>7.02098123734117</v>
      </c>
      <c r="E1700" s="72" t="n">
        <f aca="false">20*LOG10(MAX(D1700,0.000000000001)/$K$3)</f>
        <v>16.9279562488146</v>
      </c>
      <c r="F1700" s="5"/>
      <c r="G1700" s="5"/>
      <c r="H1700" s="5"/>
      <c r="I1700" s="5"/>
      <c r="J1700" s="5"/>
      <c r="K1700" s="5"/>
      <c r="L1700" s="5"/>
      <c r="M1700" s="5"/>
      <c r="N1700" s="5"/>
    </row>
    <row r="1701" customFormat="false" ht="15" hidden="false" customHeight="false" outlineLevel="0" collapsed="false">
      <c r="A1701" s="71" t="n">
        <f aca="false">A1700+$F$3</f>
        <v>33900</v>
      </c>
      <c r="B1701" s="71" t="n">
        <f aca="false">SUMPRODUCT(固有振動数!$Q$6:$Q$22*(1-($A1701/固有振動数!$O$6:$O$22)^2)/((1-($A1701/固有振動数!$O$6:$O$22)^2)^2+固有振動数!$P$6:$P$22^2))</f>
        <v>6.98337684173945</v>
      </c>
      <c r="C1701" s="71" t="n">
        <f aca="false">-SUMPRODUCT(固有振動数!$Q$6:$Q$22*固有振動数!$P$6:$P$22/((1-($A1701/固有振動数!$O$6:$O$22)^2)^2+固有振動数!$P$6:$P$22^2))</f>
        <v>-1.85005937783152</v>
      </c>
      <c r="D1701" s="71" t="n">
        <f aca="false">SQRT(B1701^2+C1701^2)</f>
        <v>7.2242834810966</v>
      </c>
      <c r="E1701" s="72" t="n">
        <f aca="false">20*LOG10(MAX(D1701,0.000000000001)/$K$3)</f>
        <v>17.1758955873616</v>
      </c>
      <c r="F1701" s="5"/>
      <c r="G1701" s="5"/>
      <c r="H1701" s="5"/>
      <c r="I1701" s="5"/>
      <c r="J1701" s="5"/>
      <c r="K1701" s="5"/>
      <c r="L1701" s="5"/>
      <c r="M1701" s="5"/>
      <c r="N1701" s="5"/>
    </row>
    <row r="1702" customFormat="false" ht="15" hidden="false" customHeight="false" outlineLevel="0" collapsed="false">
      <c r="A1702" s="71" t="n">
        <f aca="false">A1701+$F$3</f>
        <v>33920</v>
      </c>
      <c r="B1702" s="71" t="n">
        <f aca="false">SUMPRODUCT(固有振動数!$Q$6:$Q$22*(1-($A1702/固有振動数!$O$6:$O$22)^2)/((1-($A1702/固有振動数!$O$6:$O$22)^2)^2+固有振動数!$P$6:$P$22^2))</f>
        <v>7.19056207122883</v>
      </c>
      <c r="C1702" s="71" t="n">
        <f aca="false">-SUMPRODUCT(固有振動数!$Q$6:$Q$22*固有振動数!$P$6:$P$22/((1-($A1702/固有振動数!$O$6:$O$22)^2)^2+固有振動数!$P$6:$P$22^2))</f>
        <v>-1.87035732787778</v>
      </c>
      <c r="D1702" s="71" t="n">
        <f aca="false">SQRT(B1702^2+C1702^2)</f>
        <v>7.4298330690629</v>
      </c>
      <c r="E1702" s="72" t="n">
        <f aca="false">20*LOG10(MAX(D1702,0.000000000001)/$K$3)</f>
        <v>17.4195811258192</v>
      </c>
      <c r="F1702" s="5"/>
      <c r="G1702" s="5"/>
      <c r="H1702" s="5"/>
      <c r="I1702" s="5"/>
      <c r="J1702" s="5"/>
      <c r="K1702" s="5"/>
      <c r="L1702" s="5"/>
      <c r="M1702" s="5"/>
      <c r="N1702" s="5"/>
    </row>
    <row r="1703" customFormat="false" ht="15" hidden="false" customHeight="false" outlineLevel="0" collapsed="false">
      <c r="A1703" s="71" t="n">
        <f aca="false">A1702+$F$3</f>
        <v>33940</v>
      </c>
      <c r="B1703" s="71" t="n">
        <f aca="false">SUMPRODUCT(固有振動数!$Q$6:$Q$22*(1-($A1703/固有振動数!$O$6:$O$22)^2)/((1-($A1703/固有振動数!$O$6:$O$22)^2)^2+固有振動数!$P$6:$P$22^2))</f>
        <v>7.39970876042405</v>
      </c>
      <c r="C1703" s="71" t="n">
        <f aca="false">-SUMPRODUCT(固有振動数!$Q$6:$Q$22*固有振動数!$P$6:$P$22/((1-($A1703/固有振動数!$O$6:$O$22)^2)^2+固有振動数!$P$6:$P$22^2))</f>
        <v>-1.89196792297704</v>
      </c>
      <c r="D1703" s="71" t="n">
        <f aca="false">SQRT(B1703^2+C1703^2)</f>
        <v>7.63775047776965</v>
      </c>
      <c r="E1703" s="72" t="n">
        <f aca="false">20*LOG10(MAX(D1703,0.000000000001)/$K$3)</f>
        <v>17.6593093208668</v>
      </c>
      <c r="F1703" s="5"/>
      <c r="G1703" s="5"/>
      <c r="H1703" s="5"/>
      <c r="I1703" s="5"/>
      <c r="J1703" s="5"/>
      <c r="K1703" s="5"/>
      <c r="L1703" s="5"/>
      <c r="M1703" s="5"/>
      <c r="N1703" s="5"/>
    </row>
    <row r="1704" customFormat="false" ht="15" hidden="false" customHeight="false" outlineLevel="0" collapsed="false">
      <c r="A1704" s="71" t="n">
        <f aca="false">A1703+$F$3</f>
        <v>33960</v>
      </c>
      <c r="B1704" s="71" t="n">
        <f aca="false">SUMPRODUCT(固有振動数!$Q$6:$Q$22*(1-($A1704/固有振動数!$O$6:$O$22)^2)/((1-($A1704/固有振動数!$O$6:$O$22)^2)^2+固有振動数!$P$6:$P$22^2))</f>
        <v>7.61095827437689</v>
      </c>
      <c r="C1704" s="71" t="n">
        <f aca="false">-SUMPRODUCT(固有振動数!$Q$6:$Q$22*固有振動数!$P$6:$P$22/((1-($A1704/固有振動数!$O$6:$O$22)^2)^2+固有振動数!$P$6:$P$22^2))</f>
        <v>-1.91493611155179</v>
      </c>
      <c r="D1704" s="71" t="n">
        <f aca="false">SQRT(B1704^2+C1704^2)</f>
        <v>7.84816323515453</v>
      </c>
      <c r="E1704" s="72" t="n">
        <f aca="false">20*LOG10(MAX(D1704,0.000000000001)/$K$3)</f>
        <v>17.8953605484715</v>
      </c>
      <c r="F1704" s="5"/>
      <c r="G1704" s="5"/>
      <c r="H1704" s="5"/>
      <c r="I1704" s="5"/>
      <c r="J1704" s="5"/>
      <c r="K1704" s="5"/>
      <c r="L1704" s="5"/>
      <c r="M1704" s="5"/>
      <c r="N1704" s="5"/>
    </row>
    <row r="1705" customFormat="false" ht="15" hidden="false" customHeight="false" outlineLevel="0" collapsed="false">
      <c r="A1705" s="71" t="n">
        <f aca="false">A1704+$F$3</f>
        <v>33980</v>
      </c>
      <c r="B1705" s="71" t="n">
        <f aca="false">SUMPRODUCT(固有振動数!$Q$6:$Q$22*(1-($A1705/固有振動数!$O$6:$O$22)^2)/((1-($A1705/固有振動数!$O$6:$O$22)^2)^2+固有振動数!$P$6:$P$22^2))</f>
        <v>7.82445633250677</v>
      </c>
      <c r="C1705" s="71" t="n">
        <f aca="false">-SUMPRODUCT(固有振動数!$Q$6:$Q$22*固有振動数!$P$6:$P$22/((1-($A1705/固有振動数!$O$6:$O$22)^2)^2+固有振動数!$P$6:$P$22^2))</f>
        <v>-1.93931054775098</v>
      </c>
      <c r="D1705" s="71" t="n">
        <f aca="false">SQRT(B1705^2+C1705^2)</f>
        <v>8.06120600778342</v>
      </c>
      <c r="E1705" s="72" t="n">
        <f aca="false">20*LOG10(MAX(D1705,0.000000000001)/$K$3)</f>
        <v>18.1280003977505</v>
      </c>
      <c r="F1705" s="5"/>
      <c r="G1705" s="5"/>
      <c r="H1705" s="5"/>
      <c r="I1705" s="5"/>
      <c r="J1705" s="5"/>
      <c r="K1705" s="5"/>
      <c r="L1705" s="5"/>
      <c r="M1705" s="5"/>
      <c r="N1705" s="5"/>
    </row>
    <row r="1706" customFormat="false" ht="15" hidden="false" customHeight="false" outlineLevel="0" collapsed="false">
      <c r="A1706" s="71" t="n">
        <f aca="false">A1705+$F$3</f>
        <v>34000</v>
      </c>
      <c r="B1706" s="71" t="n">
        <f aca="false">SUMPRODUCT(固有振動数!$Q$6:$Q$22*(1-($A1706/固有振動数!$O$6:$O$22)^2)/((1-($A1706/固有振動数!$O$6:$O$22)^2)^2+固有振動数!$P$6:$P$22^2))</f>
        <v>8.04035336911664</v>
      </c>
      <c r="C1706" s="71" t="n">
        <f aca="false">-SUMPRODUCT(固有振動数!$Q$6:$Q$22*固有振動数!$P$6:$P$22/((1-($A1706/固有振動数!$O$6:$O$22)^2)^2+固有振動数!$P$6:$P$22^2))</f>
        <v>-1.96514382663092</v>
      </c>
      <c r="D1706" s="71" t="n">
        <f aca="false">SQRT(B1706^2+C1706^2)</f>
        <v>8.27702075384682</v>
      </c>
      <c r="E1706" s="72" t="n">
        <f aca="false">20*LOG10(MAX(D1706,0.000000000001)/$K$3)</f>
        <v>18.3574808830511</v>
      </c>
      <c r="F1706" s="5"/>
      <c r="G1706" s="5"/>
      <c r="H1706" s="5"/>
      <c r="I1706" s="5"/>
      <c r="J1706" s="5"/>
      <c r="K1706" s="5"/>
      <c r="L1706" s="5"/>
      <c r="M1706" s="5"/>
      <c r="N1706" s="5"/>
    </row>
    <row r="1707" customFormat="false" ht="15" hidden="false" customHeight="false" outlineLevel="0" collapsed="false">
      <c r="A1707" s="71" t="n">
        <f aca="false">A1706+$F$3</f>
        <v>34020</v>
      </c>
      <c r="B1707" s="71" t="n">
        <f aca="false">SUMPRODUCT(固有振動数!$Q$6:$Q$22*(1-($A1707/固有振動数!$O$6:$O$22)^2)/((1-($A1707/固有振動数!$O$6:$O$22)^2)^2+固有振動数!$P$6:$P$22^2))</f>
        <v>8.25880491429283</v>
      </c>
      <c r="C1707" s="71" t="n">
        <f aca="false">-SUMPRODUCT(固有振動数!$Q$6:$Q$22*固有振動数!$P$6:$P$22/((1-($A1707/固有振動数!$O$6:$O$22)^2)^2+固有振動数!$P$6:$P$22^2))</f>
        <v>-1.99249274310702</v>
      </c>
      <c r="D1707" s="71" t="n">
        <f aca="false">SQRT(B1707^2+C1707^2)</f>
        <v>8.49575693765315</v>
      </c>
      <c r="E1707" s="72" t="n">
        <f aca="false">20*LOG10(MAX(D1707,0.000000000001)/$K$3)</f>
        <v>18.5840415762874</v>
      </c>
      <c r="F1707" s="5"/>
      <c r="G1707" s="5"/>
      <c r="H1707" s="5"/>
      <c r="I1707" s="5"/>
      <c r="J1707" s="5"/>
      <c r="K1707" s="5"/>
      <c r="L1707" s="5"/>
      <c r="M1707" s="5"/>
      <c r="N1707" s="5"/>
    </row>
    <row r="1708" customFormat="false" ht="15" hidden="false" customHeight="false" outlineLevel="0" collapsed="false">
      <c r="A1708" s="71" t="n">
        <f aca="false">A1707+$F$3</f>
        <v>34040</v>
      </c>
      <c r="B1708" s="71" t="n">
        <f aca="false">SUMPRODUCT(固有振動数!$Q$6:$Q$22*(1-($A1708/固有振動数!$O$6:$O$22)^2)/((1-($A1708/固有振動数!$O$6:$O$22)^2)^2+固有振動数!$P$6:$P$22^2))</f>
        <v>8.47997199713124</v>
      </c>
      <c r="C1708" s="71" t="n">
        <f aca="false">-SUMPRODUCT(固有振動数!$Q$6:$Q$22*固有振動数!$P$6:$P$22/((1-($A1708/固有振動数!$O$6:$O$22)^2)^2+固有振動数!$P$6:$P$22^2))</f>
        <v>-2.02141857693278</v>
      </c>
      <c r="D1708" s="71" t="n">
        <f aca="false">SQRT(B1708^2+C1708^2)</f>
        <v>8.71757180270395</v>
      </c>
      <c r="E1708" s="72" t="n">
        <f aca="false">20*LOG10(MAX(D1708,0.000000000001)/$K$3)</f>
        <v>18.8079106630072</v>
      </c>
      <c r="F1708" s="5"/>
      <c r="G1708" s="5"/>
      <c r="H1708" s="5"/>
      <c r="I1708" s="5"/>
      <c r="J1708" s="5"/>
      <c r="K1708" s="5"/>
      <c r="L1708" s="5"/>
      <c r="M1708" s="5"/>
      <c r="N1708" s="5"/>
    </row>
    <row r="1709" customFormat="false" ht="15" hidden="false" customHeight="false" outlineLevel="0" collapsed="false">
      <c r="A1709" s="71" t="n">
        <f aca="false">A1708+$F$3</f>
        <v>34060</v>
      </c>
      <c r="B1709" s="71" t="n">
        <f aca="false">SUMPRODUCT(固有振動数!$Q$6:$Q$22*(1-($A1709/固有振動数!$O$6:$O$22)^2)/((1-($A1709/固有振動数!$O$6:$O$22)^2)^2+固有振動数!$P$6:$P$22^2))</f>
        <v>8.70402157338938</v>
      </c>
      <c r="C1709" s="71" t="n">
        <f aca="false">-SUMPRODUCT(固有振動数!$Q$6:$Q$22*固有振動数!$P$6:$P$22/((1-($A1709/固有振動数!$O$6:$O$22)^2)^2+固有振動数!$P$6:$P$22^2))</f>
        <v>-2.05198740624026</v>
      </c>
      <c r="D1709" s="71" t="n">
        <f aca="false">SQRT(B1709^2+C1709^2)</f>
        <v>8.94263070161104</v>
      </c>
      <c r="E1709" s="72" t="n">
        <f aca="false">20*LOG10(MAX(D1709,0.000000000001)/$K$3)</f>
        <v>19.0293059265429</v>
      </c>
      <c r="F1709" s="5"/>
      <c r="G1709" s="5"/>
      <c r="H1709" s="5"/>
      <c r="I1709" s="5"/>
      <c r="J1709" s="5"/>
      <c r="K1709" s="5"/>
      <c r="L1709" s="5"/>
      <c r="M1709" s="5"/>
      <c r="N1709" s="5"/>
    </row>
    <row r="1710" customFormat="false" ht="15" hidden="false" customHeight="false" outlineLevel="0" collapsed="false">
      <c r="A1710" s="71" t="n">
        <f aca="false">A1709+$F$3</f>
        <v>34080</v>
      </c>
      <c r="B1710" s="71" t="n">
        <f aca="false">SUMPRODUCT(固有振動数!$Q$6:$Q$22*(1-($A1710/固有振動数!$O$6:$O$22)^2)/((1-($A1710/固有振動数!$O$6:$O$22)^2)^2+固有振動数!$P$6:$P$22^2))</f>
        <v>8.93112697983694</v>
      </c>
      <c r="C1710" s="71" t="n">
        <f aca="false">-SUMPRODUCT(固有振動数!$Q$6:$Q$22*固有振動数!$P$6:$P$22/((1-($A1710/固有振動数!$O$6:$O$22)^2)^2+固有振動数!$P$6:$P$22^2))</f>
        <v>-2.084270452488</v>
      </c>
      <c r="D1710" s="71" t="n">
        <f aca="false">SQRT(B1710^2+C1710^2)</f>
        <v>9.17110748214662</v>
      </c>
      <c r="E1710" s="72" t="n">
        <f aca="false">20*LOG10(MAX(D1710,0.000000000001)/$K$3)</f>
        <v>19.2484356650761</v>
      </c>
      <c r="F1710" s="5"/>
      <c r="G1710" s="5"/>
      <c r="H1710" s="5"/>
      <c r="I1710" s="5"/>
      <c r="J1710" s="5"/>
      <c r="K1710" s="5"/>
      <c r="L1710" s="5"/>
      <c r="M1710" s="5"/>
      <c r="N1710" s="5"/>
    </row>
    <row r="1711" customFormat="false" ht="15" hidden="false" customHeight="false" outlineLevel="0" collapsed="false">
      <c r="A1711" s="71" t="n">
        <f aca="false">A1710+$F$3</f>
        <v>34100</v>
      </c>
      <c r="B1711" s="71" t="n">
        <f aca="false">SUMPRODUCT(固有振動数!$Q$6:$Q$22*(1-($A1711/固有振動数!$O$6:$O$22)^2)/((1-($A1711/固有振動数!$O$6:$O$22)^2)^2+固有振動数!$P$6:$P$22^2))</f>
        <v>9.16146841776751</v>
      </c>
      <c r="C1711" s="71" t="n">
        <f aca="false">-SUMPRODUCT(固有振動数!$Q$6:$Q$22*固有振動数!$P$6:$P$22/((1-($A1711/固有振動数!$O$6:$O$22)^2)^2+固有振動数!$P$6:$P$22^2))</f>
        <v>-2.11834446001495</v>
      </c>
      <c r="D1711" s="71" t="n">
        <f aca="false">SQRT(B1711^2+C1711^2)</f>
        <v>9.403184929641</v>
      </c>
      <c r="E1711" s="72" t="n">
        <f aca="false">20*LOG10(MAX(D1711,0.000000000001)/$K$3)</f>
        <v>19.4654995466582</v>
      </c>
      <c r="F1711" s="5"/>
      <c r="G1711" s="5"/>
      <c r="H1711" s="5"/>
      <c r="I1711" s="5"/>
      <c r="J1711" s="5"/>
      <c r="K1711" s="5"/>
      <c r="L1711" s="5"/>
      <c r="M1711" s="5"/>
      <c r="N1711" s="5"/>
    </row>
    <row r="1712" customFormat="false" ht="15" hidden="false" customHeight="false" outlineLevel="0" collapsed="false">
      <c r="A1712" s="71" t="n">
        <f aca="false">A1711+$F$3</f>
        <v>34120</v>
      </c>
      <c r="B1712" s="71" t="n">
        <f aca="false">SUMPRODUCT(固有振動数!$Q$6:$Q$22*(1-($A1712/固有振動数!$O$6:$O$22)^2)/((1-($A1712/固有振動数!$O$6:$O$22)^2)^2+固有振動数!$P$6:$P$22^2))</f>
        <v>9.39523346834687</v>
      </c>
      <c r="C1712" s="71" t="n">
        <f aca="false">-SUMPRODUCT(固有振動数!$Q$6:$Q$22*固有振動数!$P$6:$P$22/((1-($A1712/固有振動数!$O$6:$O$22)^2)^2+固有振動数!$P$6:$P$22^2))</f>
        <v>-2.15429211379749</v>
      </c>
      <c r="D1712" s="71" t="n">
        <f aca="false">SQRT(B1712^2+C1712^2)</f>
        <v>9.63905526679431</v>
      </c>
      <c r="E1712" s="72" t="n">
        <f aca="false">20*LOG10(MAX(D1712,0.000000000001)/$K$3)</f>
        <v>19.6806894072599</v>
      </c>
      <c r="F1712" s="5"/>
      <c r="G1712" s="5"/>
      <c r="H1712" s="5"/>
      <c r="I1712" s="5"/>
      <c r="J1712" s="5"/>
      <c r="K1712" s="5"/>
      <c r="L1712" s="5"/>
      <c r="M1712" s="5"/>
      <c r="N1712" s="5"/>
    </row>
    <row r="1713" customFormat="false" ht="15" hidden="false" customHeight="false" outlineLevel="0" collapsed="false">
      <c r="A1713" s="71" t="n">
        <f aca="false">A1712+$F$3</f>
        <v>34140</v>
      </c>
      <c r="B1713" s="71" t="n">
        <f aca="false">SUMPRODUCT(固有振動数!$Q$6:$Q$22*(1-($A1713/固有振動数!$O$6:$O$22)^2)/((1-($A1713/固有振動数!$O$6:$O$22)^2)^2+固有振動数!$P$6:$P$22^2))</f>
        <v>9.63261764270385</v>
      </c>
      <c r="C1713" s="71" t="n">
        <f aca="false">-SUMPRODUCT(固有振動数!$Q$6:$Q$22*固有振動数!$P$6:$P$22/((1-($A1713/固有振動数!$O$6:$O$22)^2)^2+固有振動数!$P$6:$P$22^2))</f>
        <v>-2.19220249945801</v>
      </c>
      <c r="D1713" s="71" t="n">
        <f aca="false">SQRT(B1713^2+C1713^2)</f>
        <v>9.87892071276815</v>
      </c>
      <c r="E1713" s="72" t="n">
        <f aca="false">20*LOG10(MAX(D1713,0.000000000001)/$K$3)</f>
        <v>19.8941899968277</v>
      </c>
      <c r="F1713" s="5"/>
      <c r="G1713" s="5"/>
      <c r="H1713" s="5"/>
      <c r="I1713" s="5"/>
      <c r="J1713" s="5"/>
      <c r="K1713" s="5"/>
      <c r="L1713" s="5"/>
      <c r="M1713" s="5"/>
      <c r="N1713" s="5"/>
    </row>
    <row r="1714" customFormat="false" ht="15" hidden="false" customHeight="false" outlineLevel="0" collapsed="false">
      <c r="A1714" s="71" t="n">
        <f aca="false">A1713+$F$3</f>
        <v>34160</v>
      </c>
      <c r="B1714" s="71" t="n">
        <f aca="false">SUMPRODUCT(固有振動数!$Q$6:$Q$22*(1-($A1714/固有振動数!$O$6:$O$22)^2)/((1-($A1714/固有振動数!$O$6:$O$22)^2)^2+固有振動数!$P$6:$P$22^2))</f>
        <v>9.87382496992715</v>
      </c>
      <c r="C1714" s="71" t="n">
        <f aca="false">-SUMPRODUCT(固有振動数!$Q$6:$Q$22*固有振動数!$P$6:$P$22/((1-($A1714/固有振動数!$O$6:$O$22)^2)^2+固有振動数!$P$6:$P$22^2))</f>
        <v>-2.23217161008601</v>
      </c>
      <c r="D1714" s="71" t="n">
        <f aca="false">SQRT(B1714^2+C1714^2)</f>
        <v>10.1229941041982</v>
      </c>
      <c r="E1714" s="72" t="n">
        <f aca="false">20*LOG10(MAX(D1714,0.000000000001)/$K$3)</f>
        <v>20.1061796781638</v>
      </c>
      <c r="F1714" s="5"/>
      <c r="G1714" s="5"/>
      <c r="H1714" s="5"/>
      <c r="I1714" s="5"/>
      <c r="J1714" s="5"/>
      <c r="K1714" s="5"/>
      <c r="L1714" s="5"/>
      <c r="M1714" s="5"/>
      <c r="N1714" s="5"/>
    </row>
    <row r="1715" customFormat="false" ht="15" hidden="false" customHeight="false" outlineLevel="0" collapsed="false">
      <c r="A1715" s="71" t="n">
        <f aca="false">A1714+$F$3</f>
        <v>34180</v>
      </c>
      <c r="B1715" s="71" t="n">
        <f aca="false">SUMPRODUCT(固有振動数!$Q$6:$Q$22*(1-($A1715/固有振動数!$O$6:$O$22)^2)/((1-($A1715/固有振動数!$O$6:$O$22)^2)^2+固有振動数!$P$6:$P$22^2))</f>
        <v>10.1190686264118</v>
      </c>
      <c r="C1715" s="71" t="n">
        <f aca="false">-SUMPRODUCT(固有振動数!$Q$6:$Q$22*固有振動数!$P$6:$P$22/((1-($A1715/固有振動数!$O$6:$O$22)^2)^2+固有振動数!$P$6:$P$22^2))</f>
        <v>-2.27430290501566</v>
      </c>
      <c r="D1715" s="71" t="n">
        <f aca="false">SQRT(B1715^2+C1715^2)</f>
        <v>10.3714995815357</v>
      </c>
      <c r="E1715" s="72" t="n">
        <f aca="false">20*LOG10(MAX(D1715,0.000000000001)/$K$3)</f>
        <v>20.3168310832332</v>
      </c>
      <c r="F1715" s="5"/>
      <c r="G1715" s="5"/>
      <c r="H1715" s="5"/>
      <c r="I1715" s="5"/>
      <c r="J1715" s="5"/>
      <c r="K1715" s="5"/>
      <c r="L1715" s="5"/>
      <c r="M1715" s="5"/>
      <c r="N1715" s="5"/>
    </row>
    <row r="1716" customFormat="false" ht="15" hidden="false" customHeight="false" outlineLevel="0" collapsed="false">
      <c r="A1716" s="71" t="n">
        <f aca="false">A1715+$F$3</f>
        <v>34200</v>
      </c>
      <c r="B1716" s="71" t="n">
        <f aca="false">SUMPRODUCT(固有振動数!$Q$6:$Q$22*(1-($A1716/固有振動数!$O$6:$O$22)^2)/((1-($A1716/固有振動数!$O$6:$O$22)^2)^2+固有振動数!$P$6:$P$22^2))</f>
        <v>10.3685716103109</v>
      </c>
      <c r="C1716" s="71" t="n">
        <f aca="false">-SUMPRODUCT(固有振動数!$Q$6:$Q$22*固有振動数!$P$6:$P$22/((1-($A1716/固有振動数!$O$6:$O$22)^2)^2+固有振動数!$P$6:$P$22^2))</f>
        <v>-2.3187079263679</v>
      </c>
      <c r="D1716" s="71" t="n">
        <f aca="false">SQRT(B1716^2+C1716^2)</f>
        <v>10.6246733449056</v>
      </c>
      <c r="E1716" s="72" t="n">
        <f aca="false">20*LOG10(MAX(D1716,0.000000000001)/$K$3)</f>
        <v>20.5263117312738</v>
      </c>
      <c r="F1716" s="5"/>
      <c r="G1716" s="5"/>
      <c r="H1716" s="5"/>
      <c r="I1716" s="5"/>
      <c r="J1716" s="5"/>
      <c r="K1716" s="5"/>
      <c r="L1716" s="5"/>
      <c r="M1716" s="5"/>
      <c r="N1716" s="5"/>
    </row>
    <row r="1717" customFormat="false" ht="15" hidden="false" customHeight="false" outlineLevel="0" collapsed="false">
      <c r="A1717" s="71" t="n">
        <f aca="false">A1716+$F$3</f>
        <v>34220</v>
      </c>
      <c r="B1717" s="71" t="n">
        <f aca="false">SUMPRODUCT(固有振動数!$Q$6:$Q$22*(1-($A1717/固有振動数!$O$6:$O$22)^2)/((1-($A1717/固有振動数!$O$6:$O$22)^2)^2+固有振動数!$P$6:$P$22^2))</f>
        <v>10.6225674651858</v>
      </c>
      <c r="C1717" s="71" t="n">
        <f aca="false">-SUMPRODUCT(固有振動数!$Q$6:$Q$22*固有振動数!$P$6:$P$22/((1-($A1717/固有振動数!$O$6:$O$22)^2)^2+固有振動数!$P$6:$P$22^2))</f>
        <v>-2.36550697992308</v>
      </c>
      <c r="D1717" s="71" t="n">
        <f aca="false">SQRT(B1717^2+C1717^2)</f>
        <v>10.8827644844722</v>
      </c>
      <c r="E1717" s="72" t="n">
        <f aca="false">20*LOG10(MAX(D1717,0.000000000001)/$K$3)</f>
        <v>20.7347846128461</v>
      </c>
      <c r="F1717" s="5"/>
      <c r="G1717" s="5"/>
      <c r="H1717" s="5"/>
      <c r="I1717" s="5"/>
      <c r="J1717" s="5"/>
      <c r="K1717" s="5"/>
      <c r="L1717" s="5"/>
      <c r="M1717" s="5"/>
      <c r="N1717" s="5"/>
    </row>
    <row r="1718" customFormat="false" ht="15" hidden="false" customHeight="false" outlineLevel="0" collapsed="false">
      <c r="A1718" s="71" t="n">
        <f aca="false">A1717+$F$3</f>
        <v>34240</v>
      </c>
      <c r="B1718" s="71" t="n">
        <f aca="false">SUMPRODUCT(固有振動数!$Q$6:$Q$22*(1-($A1718/固有振動数!$O$6:$O$22)^2)/((1-($A1718/固有振動数!$O$6:$O$22)^2)^2+固有振動数!$P$6:$P$22^2))</f>
        <v>10.8813010573239</v>
      </c>
      <c r="C1718" s="71" t="n">
        <f aca="false">-SUMPRODUCT(固有振動数!$Q$6:$Q$22*固有振動数!$P$6:$P$22/((1-($A1718/固有振動数!$O$6:$O$22)^2)^2+固有振動数!$P$6:$P$22^2))</f>
        <v>-2.41482988775729</v>
      </c>
      <c r="D1718" s="71" t="n">
        <f aca="false">SQRT(B1718^2+C1718^2)</f>
        <v>11.1460358911554</v>
      </c>
      <c r="E1718" s="72" t="n">
        <f aca="false">20*LOG10(MAX(D1718,0.000000000001)/$K$3)</f>
        <v>20.9424087437301</v>
      </c>
      <c r="F1718" s="5"/>
      <c r="G1718" s="5"/>
      <c r="H1718" s="5"/>
      <c r="I1718" s="5"/>
      <c r="J1718" s="5"/>
      <c r="K1718" s="5"/>
      <c r="L1718" s="5"/>
      <c r="M1718" s="5"/>
      <c r="N1718" s="5"/>
    </row>
    <row r="1719" customFormat="false" ht="15" hidden="false" customHeight="false" outlineLevel="0" collapsed="false">
      <c r="A1719" s="71" t="n">
        <f aca="false">A1718+$F$3</f>
        <v>34260</v>
      </c>
      <c r="B1719" s="71" t="n">
        <f aca="false">SUMPRODUCT(固有振動数!$Q$6:$Q$22*(1-($A1719/固有振動数!$O$6:$O$22)^2)/((1-($A1719/固有振動数!$O$6:$O$22)^2)^2+固有振動数!$P$6:$P$22^2))</f>
        <v>11.145029411601</v>
      </c>
      <c r="C1719" s="71" t="n">
        <f aca="false">-SUMPRODUCT(固有振動数!$Q$6:$Q$22*固有振動数!$P$6:$P$22/((1-($A1719/固有振動数!$O$6:$O$22)^2)^2+固有振動数!$P$6:$P$22^2))</f>
        <v>-2.46681682106853</v>
      </c>
      <c r="D1719" s="71" t="n">
        <f aca="false">SQRT(B1719^2+C1719^2)</f>
        <v>11.4147652544482</v>
      </c>
      <c r="E1719" s="72" t="n">
        <f aca="false">20*LOG10(MAX(D1719,0.000000000001)/$K$3)</f>
        <v>21.1493396923532</v>
      </c>
      <c r="F1719" s="5"/>
      <c r="G1719" s="5"/>
      <c r="H1719" s="5"/>
      <c r="I1719" s="5"/>
      <c r="J1719" s="5"/>
      <c r="K1719" s="5"/>
      <c r="L1719" s="5"/>
      <c r="M1719" s="5"/>
      <c r="N1719" s="5"/>
    </row>
    <row r="1720" customFormat="false" ht="15" hidden="false" customHeight="false" outlineLevel="0" collapsed="false">
      <c r="A1720" s="71" t="n">
        <f aca="false">A1719+$F$3</f>
        <v>34280</v>
      </c>
      <c r="B1720" s="71" t="n">
        <f aca="false">SUMPRODUCT(固有振動数!$Q$6:$Q$22*(1-($A1720/固有振動数!$O$6:$O$22)^2)/((1-($A1720/固有振動数!$O$6:$O$22)^2)^2+固有振動数!$P$6:$P$22^2))</f>
        <v>11.4140226112132</v>
      </c>
      <c r="C1720" s="71" t="n">
        <f aca="false">-SUMPRODUCT(固有振動数!$Q$6:$Q$22*固有振動数!$P$6:$P$22/((1-($A1720/固有振動数!$O$6:$O$22)^2)^2+固有振動数!$P$6:$P$22^2))</f>
        <v>-2.52161922275881</v>
      </c>
      <c r="D1720" s="71" t="n">
        <f aca="false">SQRT(B1720^2+C1720^2)</f>
        <v>11.6892461550723</v>
      </c>
      <c r="E1720" s="72" t="n">
        <f aca="false">20*LOG10(MAX(D1720,0.000000000001)/$K$3)</f>
        <v>21.355730084231</v>
      </c>
      <c r="F1720" s="5"/>
      <c r="G1720" s="5"/>
      <c r="H1720" s="5"/>
      <c r="I1720" s="5"/>
      <c r="J1720" s="5"/>
      <c r="K1720" s="5"/>
      <c r="L1720" s="5"/>
      <c r="M1720" s="5"/>
      <c r="N1720" s="5"/>
    </row>
    <row r="1721" customFormat="false" ht="15" hidden="false" customHeight="false" outlineLevel="0" collapsed="false">
      <c r="A1721" s="71" t="n">
        <f aca="false">A1720+$F$3</f>
        <v>34300</v>
      </c>
      <c r="B1721" s="71" t="n">
        <f aca="false">SUMPRODUCT(固有振動数!$Q$6:$Q$22*(1-($A1721/固有振動数!$O$6:$O$22)^2)/((1-($A1721/固有振動数!$O$6:$O$22)^2)^2+固有振動数!$P$6:$P$22^2))</f>
        <v>11.6885647670923</v>
      </c>
      <c r="C1721" s="71" t="n">
        <f aca="false">-SUMPRODUCT(固有振動数!$Q$6:$Q$22*固有振動数!$P$6:$P$22/((1-($A1721/固有振動数!$O$6:$O$22)^2)^2+固有振動数!$P$6:$P$22^2))</f>
        <v>-2.57940083064919</v>
      </c>
      <c r="D1721" s="71" t="n">
        <f aca="false">SQRT(B1721^2+C1721^2)</f>
        <v>11.9697892612888</v>
      </c>
      <c r="E1721" s="72" t="n">
        <f aca="false">20*LOG10(MAX(D1721,0.000000000001)/$K$3)</f>
        <v>21.5617300867162</v>
      </c>
      <c r="F1721" s="5"/>
      <c r="G1721" s="5"/>
      <c r="H1721" s="5"/>
      <c r="I1721" s="5"/>
      <c r="J1721" s="5"/>
      <c r="K1721" s="5"/>
      <c r="L1721" s="5"/>
      <c r="M1721" s="5"/>
      <c r="N1721" s="5"/>
    </row>
    <row r="1722" customFormat="false" ht="15" hidden="false" customHeight="false" outlineLevel="0" collapsed="false">
      <c r="A1722" s="71" t="n">
        <f aca="false">A1721+$F$3</f>
        <v>34320</v>
      </c>
      <c r="B1722" s="71" t="n">
        <f aca="false">SUMPRODUCT(固有振動数!$Q$6:$Q$22*(1-($A1722/固有振動数!$O$6:$O$22)^2)/((1-($A1722/固有振動数!$O$6:$O$22)^2)^2+固有振動数!$P$6:$P$22^2))</f>
        <v>11.968955063352</v>
      </c>
      <c r="C1722" s="71" t="n">
        <f aca="false">-SUMPRODUCT(固有振動数!$Q$6:$Q$22*固有振動数!$P$6:$P$22/((1-($A1722/固有振動数!$O$6:$O$22)^2)^2+固有振動数!$P$6:$P$22^2))</f>
        <v>-2.64033881371431</v>
      </c>
      <c r="D1722" s="71" t="n">
        <f aca="false">SQRT(B1722^2+C1722^2)</f>
        <v>12.2567236388746</v>
      </c>
      <c r="E1722" s="72" t="n">
        <f aca="false">20*LOG10(MAX(D1722,0.000000000001)/$K$3)</f>
        <v>21.767487877188</v>
      </c>
      <c r="F1722" s="5"/>
      <c r="G1722" s="5"/>
      <c r="H1722" s="5"/>
      <c r="I1722" s="5"/>
      <c r="J1722" s="5"/>
      <c r="K1722" s="5"/>
      <c r="L1722" s="5"/>
      <c r="M1722" s="5"/>
      <c r="N1722" s="5"/>
    </row>
    <row r="1723" customFormat="false" ht="15" hidden="false" customHeight="false" outlineLevel="0" collapsed="false">
      <c r="A1723" s="71" t="n">
        <f aca="false">A1722+$F$3</f>
        <v>34340</v>
      </c>
      <c r="B1723" s="71" t="n">
        <f aca="false">SUMPRODUCT(固有振動数!$Q$6:$Q$22*(1-($A1723/固有振動数!$O$6:$O$22)^2)/((1-($A1723/固有振動数!$O$6:$O$22)^2)^2+固有振動数!$P$6:$P$22^2))</f>
        <v>12.2555088856903</v>
      </c>
      <c r="C1723" s="71" t="n">
        <f aca="false">-SUMPRODUCT(固有振動数!$Q$6:$Q$22*固有振動数!$P$6:$P$22/((1-($A1723/固有振動数!$O$6:$O$22)^2)^2+固有振動数!$P$6:$P$22^2))</f>
        <v>-2.70462503546626</v>
      </c>
      <c r="D1723" s="71" t="n">
        <f aca="false">SQRT(B1723^2+C1723^2)</f>
        <v>12.5503981861017</v>
      </c>
      <c r="E1723" s="72" t="n">
        <f aca="false">20*LOG10(MAX(D1723,0.000000000001)/$K$3)</f>
        <v>21.9731500976694</v>
      </c>
      <c r="F1723" s="5"/>
      <c r="G1723" s="5"/>
      <c r="H1723" s="5"/>
      <c r="I1723" s="5"/>
      <c r="J1723" s="5"/>
      <c r="K1723" s="5"/>
      <c r="L1723" s="5"/>
      <c r="M1723" s="5"/>
      <c r="N1723" s="5"/>
    </row>
    <row r="1724" customFormat="false" ht="15" hidden="false" customHeight="false" outlineLevel="0" collapsed="false">
      <c r="A1724" s="71" t="n">
        <f aca="false">A1723+$F$3</f>
        <v>34360</v>
      </c>
      <c r="B1724" s="71" t="n">
        <f aca="false">SUMPRODUCT(固有振動数!$Q$6:$Q$22*(1-($A1724/固有振動数!$O$6:$O$22)^2)/((1-($A1724/固有振動数!$O$6:$O$22)^2)^2+固有振動数!$P$6:$P$22^2))</f>
        <v>12.5485590403004</v>
      </c>
      <c r="C1724" s="71" t="n">
        <f aca="false">-SUMPRODUCT(固有振動数!$Q$6:$Q$22*固有振動数!$P$6:$P$22/((1-($A1724/固有振動数!$O$6:$O$22)^2)^2+固有振動数!$P$6:$P$22^2))</f>
        <v>-2.77246746063279</v>
      </c>
      <c r="D1724" s="71" t="n">
        <f aca="false">SQRT(B1724^2+C1724^2)</f>
        <v>12.8511832065445</v>
      </c>
      <c r="E1724" s="72" t="n">
        <f aca="false">20*LOG10(MAX(D1724,0.000000000001)/$K$3)</f>
        <v>22.1788622987424</v>
      </c>
      <c r="F1724" s="5"/>
      <c r="G1724" s="5"/>
      <c r="H1724" s="5"/>
      <c r="I1724" s="5"/>
      <c r="J1724" s="5"/>
      <c r="K1724" s="5"/>
      <c r="L1724" s="5"/>
      <c r="M1724" s="5"/>
      <c r="N1724" s="5"/>
    </row>
    <row r="1725" customFormat="false" ht="15" hidden="false" customHeight="false" outlineLevel="0" collapsed="false">
      <c r="A1725" s="71" t="n">
        <f aca="false">A1724+$F$3</f>
        <v>34380</v>
      </c>
      <c r="B1725" s="71" t="n">
        <f aca="false">SUMPRODUCT(固有振動数!$Q$6:$Q$22*(1-($A1725/固有振動数!$O$6:$O$22)^2)/((1-($A1725/固有振動数!$O$6:$O$22)^2)^2+固有振動数!$P$6:$P$22^2))</f>
        <v>12.8484570715182</v>
      </c>
      <c r="C1725" s="71" t="n">
        <f aca="false">-SUMPRODUCT(固有振動数!$Q$6:$Q$22*固有振動数!$P$6:$P$22/((1-($A1725/固有振動数!$O$6:$O$22)^2)^2+固有振動数!$P$6:$P$22^2))</f>
        <v>-2.84409172360995</v>
      </c>
      <c r="D1725" s="71" t="n">
        <f aca="false">SQRT(B1725^2+C1725^2)</f>
        <v>13.1594721342064</v>
      </c>
      <c r="E1725" s="72" t="n">
        <f aca="false">20*LOG10(MAX(D1725,0.000000000001)/$K$3)</f>
        <v>22.3847693755295</v>
      </c>
      <c r="F1725" s="5"/>
      <c r="G1725" s="5"/>
      <c r="H1725" s="5"/>
      <c r="I1725" s="5"/>
      <c r="J1725" s="5"/>
      <c r="K1725" s="5"/>
      <c r="L1725" s="5"/>
      <c r="M1725" s="5"/>
      <c r="N1725" s="5"/>
    </row>
    <row r="1726" customFormat="false" ht="15" hidden="false" customHeight="false" outlineLevel="0" collapsed="false">
      <c r="A1726" s="71" t="n">
        <f aca="false">A1725+$F$3</f>
        <v>34400</v>
      </c>
      <c r="B1726" s="71" t="n">
        <f aca="false">SUMPRODUCT(固有振動数!$Q$6:$Q$22*(1-($A1726/固有振動数!$O$6:$O$22)^2)/((1-($A1726/固有振動数!$O$6:$O$22)^2)^2+固有振動数!$P$6:$P$22^2))</f>
        <v>13.1555746871602</v>
      </c>
      <c r="C1726" s="71" t="n">
        <f aca="false">-SUMPRODUCT(固有振動数!$Q$6:$Q$22*固有振動数!$P$6:$P$22/((1-($A1726/固有振動数!$O$6:$O$22)^2)^2+固有振動数!$P$6:$P$22^2))</f>
        <v>-2.91974287988066</v>
      </c>
      <c r="D1726" s="71" t="n">
        <f aca="false">SQRT(B1726^2+C1726^2)</f>
        <v>13.4756834273466</v>
      </c>
      <c r="E1726" s="72" t="n">
        <f aca="false">20*LOG10(MAX(D1726,0.000000000001)/$K$3)</f>
        <v>22.5910159984354</v>
      </c>
      <c r="F1726" s="5"/>
      <c r="G1726" s="5"/>
      <c r="H1726" s="5"/>
      <c r="I1726" s="5"/>
      <c r="J1726" s="5"/>
      <c r="K1726" s="5"/>
      <c r="L1726" s="5"/>
      <c r="M1726" s="5"/>
      <c r="N1726" s="5"/>
    </row>
    <row r="1727" customFormat="false" ht="15" hidden="false" customHeight="false" outlineLevel="0" collapsed="false">
      <c r="A1727" s="71" t="n">
        <f aca="false">A1726+$F$3</f>
        <v>34420</v>
      </c>
      <c r="B1727" s="71" t="n">
        <f aca="false">SUMPRODUCT(固有振動数!$Q$6:$Q$22*(1-($A1727/固有振動数!$O$6:$O$22)^2)/((1-($A1727/固有振動数!$O$6:$O$22)^2)^2+固有振動数!$P$6:$P$22^2))</f>
        <v>13.4703053012711</v>
      </c>
      <c r="C1727" s="71" t="n">
        <f aca="false">-SUMPRODUCT(固有振動数!$Q$6:$Q$22*固有振動数!$P$6:$P$22/((1-($A1727/固有振動数!$O$6:$O$22)^2)^2+固有振動数!$P$6:$P$22^2))</f>
        <v>-2.99968736474387</v>
      </c>
      <c r="D1727" s="71" t="n">
        <f aca="false">SQRT(B1727^2+C1727^2)</f>
        <v>13.8002626495171</v>
      </c>
      <c r="E1727" s="72" t="n">
        <f aca="false">20*LOG10(MAX(D1727,0.000000000001)/$K$3)</f>
        <v>22.7977470412863</v>
      </c>
      <c r="F1727" s="5"/>
      <c r="G1727" s="5"/>
      <c r="H1727" s="5"/>
      <c r="I1727" s="5"/>
      <c r="J1727" s="5"/>
      <c r="K1727" s="5"/>
      <c r="L1727" s="5"/>
      <c r="M1727" s="5"/>
      <c r="N1727" s="5"/>
    </row>
    <row r="1728" customFormat="false" ht="15" hidden="false" customHeight="false" outlineLevel="0" collapsed="false">
      <c r="A1728" s="71" t="n">
        <f aca="false">A1727+$F$3</f>
        <v>34440</v>
      </c>
      <c r="B1728" s="71" t="n">
        <f aca="false">SUMPRODUCT(固有振動数!$Q$6:$Q$22*(1-($A1728/固有振動数!$O$6:$O$22)^2)/((1-($A1728/固有振動数!$O$6:$O$22)^2)^2+固有振動数!$P$6:$P$22^2))</f>
        <v>13.7930657048218</v>
      </c>
      <c r="C1728" s="71" t="n">
        <f aca="false">-SUMPRODUCT(固有振動数!$Q$6:$Q$22*固有振動数!$P$6:$P$22/((1-($A1728/固有振動数!$O$6:$O$22)^2)^2+固有振動数!$P$6:$P$22^2))</f>
        <v>-3.0842151873759</v>
      </c>
      <c r="D1728" s="71" t="n">
        <f aca="false">SQRT(B1728^2+C1728^2)</f>
        <v>14.1336847587447</v>
      </c>
      <c r="E1728" s="72" t="n">
        <f aca="false">20*LOG10(MAX(D1728,0.000000000001)/$K$3)</f>
        <v>23.0051080094701</v>
      </c>
      <c r="F1728" s="5"/>
      <c r="G1728" s="5"/>
      <c r="H1728" s="5"/>
      <c r="I1728" s="5"/>
      <c r="J1728" s="5"/>
      <c r="K1728" s="5"/>
      <c r="L1728" s="5"/>
      <c r="M1728" s="5"/>
      <c r="N1728" s="5"/>
    </row>
    <row r="1729" customFormat="false" ht="15" hidden="false" customHeight="false" outlineLevel="0" collapsed="false">
      <c r="A1729" s="71" t="n">
        <f aca="false">A1728+$F$3</f>
        <v>34460</v>
      </c>
      <c r="B1729" s="71" t="n">
        <f aca="false">SUMPRODUCT(固有振動数!$Q$6:$Q$22*(1-($A1729/固有振動数!$O$6:$O$22)^2)/((1-($A1729/固有振動数!$O$6:$O$22)^2)^2+固有振動数!$P$6:$P$22^2))</f>
        <v>14.1242978757384</v>
      </c>
      <c r="C1729" s="71" t="n">
        <f aca="false">-SUMPRODUCT(固有振動数!$Q$6:$Q$22*固有振動数!$P$6:$P$22/((1-($A1729/固有振動数!$O$6:$O$22)^2)^2+固有振動数!$P$6:$P$22^2))</f>
        <v>-3.17364239253903</v>
      </c>
      <c r="D1729" s="71" t="n">
        <f aca="false">SQRT(B1729^2+C1729^2)</f>
        <v>14.4764566285507</v>
      </c>
      <c r="E1729" s="72" t="n">
        <f aca="false">20*LOG10(MAX(D1729,0.000000000001)/$K$3)</f>
        <v>23.2132454706687</v>
      </c>
      <c r="F1729" s="5"/>
      <c r="G1729" s="5"/>
      <c r="H1729" s="5"/>
      <c r="I1729" s="5"/>
      <c r="J1729" s="5"/>
      <c r="K1729" s="5"/>
      <c r="L1729" s="5"/>
      <c r="M1729" s="5"/>
      <c r="N1729" s="5"/>
    </row>
    <row r="1730" customFormat="false" ht="15" hidden="false" customHeight="false" outlineLevel="0" collapsed="false">
      <c r="A1730" s="71" t="n">
        <f aca="false">A1729+$F$3</f>
        <v>34480</v>
      </c>
      <c r="B1730" s="71" t="n">
        <f aca="false">SUMPRODUCT(固有振動数!$Q$6:$Q$22*(1-($A1730/固有振動数!$O$6:$O$22)^2)/((1-($A1730/固有振動数!$O$6:$O$22)^2)^2+固有振動数!$P$6:$P$22^2))</f>
        <v>14.4644709405146</v>
      </c>
      <c r="C1730" s="71" t="n">
        <f aca="false">-SUMPRODUCT(固有振動数!$Q$6:$Q$22*固有振動数!$P$6:$P$22/((1-($A1730/固有振動数!$O$6:$O$22)^2)^2+固有振動数!$P$6:$P$22^2))</f>
        <v>-3.26831382727937</v>
      </c>
      <c r="D1730" s="71" t="n">
        <f aca="false">SQRT(B1730^2+C1730^2)</f>
        <v>14.8291198276424</v>
      </c>
      <c r="E1730" s="72" t="n">
        <f aca="false">20*LOG10(MAX(D1730,0.000000000001)/$K$3)</f>
        <v>23.4223074907739</v>
      </c>
      <c r="F1730" s="5"/>
      <c r="G1730" s="5"/>
      <c r="H1730" s="5"/>
      <c r="I1730" s="5"/>
      <c r="J1730" s="5"/>
      <c r="K1730" s="5"/>
      <c r="L1730" s="5"/>
      <c r="M1730" s="5"/>
      <c r="N1730" s="5"/>
    </row>
    <row r="1731" customFormat="false" ht="15" hidden="false" customHeight="false" outlineLevel="0" collapsed="false">
      <c r="A1731" s="71" t="n">
        <f aca="false">A1730+$F$3</f>
        <v>34500</v>
      </c>
      <c r="B1731" s="71" t="n">
        <f aca="false">SUMPRODUCT(固有振動数!$Q$6:$Q$22*(1-($A1731/固有振動数!$O$6:$O$22)^2)/((1-($A1731/固有振動数!$O$6:$O$22)^2)^2+固有振動数!$P$6:$P$22^2))</f>
        <v>14.8140833005334</v>
      </c>
      <c r="C1731" s="71" t="n">
        <f aca="false">-SUMPRODUCT(固有振動数!$Q$6:$Q$22*固有振動数!$P$6:$P$22/((1-($A1731/固有振動数!$O$6:$O$22)^2)^2+固有振動数!$P$6:$P$22^2))</f>
        <v>-3.36860625585277</v>
      </c>
      <c r="D1731" s="71" t="n">
        <f aca="false">SQRT(B1731^2+C1731^2)</f>
        <v>15.1922536887097</v>
      </c>
      <c r="E1731" s="72" t="n">
        <f aca="false">20*LOG10(MAX(D1731,0.000000000001)/$K$3)</f>
        <v>23.6324440776109</v>
      </c>
      <c r="F1731" s="5"/>
      <c r="G1731" s="5"/>
      <c r="H1731" s="5"/>
      <c r="I1731" s="5"/>
      <c r="J1731" s="5"/>
      <c r="K1731" s="5"/>
      <c r="L1731" s="5"/>
      <c r="M1731" s="5"/>
      <c r="N1731" s="5"/>
    </row>
    <row r="1732" customFormat="false" ht="15" hidden="false" customHeight="false" outlineLevel="0" collapsed="false">
      <c r="A1732" s="71" t="n">
        <f aca="false">A1731+$F$3</f>
        <v>34520</v>
      </c>
      <c r="B1732" s="71" t="n">
        <f aca="false">SUMPRODUCT(固有振動数!$Q$6:$Q$22*(1-($A1732/固有振動数!$O$6:$O$22)^2)/((1-($A1732/固有振動数!$O$6:$O$22)^2)^2+固有振動数!$P$6:$P$22^2))</f>
        <v>15.1736649370634</v>
      </c>
      <c r="C1732" s="71" t="n">
        <f aca="false">-SUMPRODUCT(固有振動数!$Q$6:$Q$22*固有振動数!$P$6:$P$22/((1-($A1732/固有振動数!$O$6:$O$22)^2)^2+固有振動数!$P$6:$P$22^2))</f>
        <v>-3.47493187304881</v>
      </c>
      <c r="D1732" s="71" t="n">
        <f aca="false">SQRT(B1732^2+C1732^2)</f>
        <v>15.5664787008687</v>
      </c>
      <c r="E1732" s="72" t="n">
        <f aca="false">20*LOG10(MAX(D1732,0.000000000001)/$K$3)</f>
        <v>23.8438076351281</v>
      </c>
      <c r="F1732" s="5"/>
      <c r="G1732" s="5"/>
      <c r="H1732" s="5"/>
      <c r="I1732" s="5"/>
      <c r="J1732" s="5"/>
      <c r="K1732" s="5"/>
      <c r="L1732" s="5"/>
      <c r="M1732" s="5"/>
      <c r="N1732" s="5"/>
    </row>
    <row r="1733" customFormat="false" ht="15" hidden="false" customHeight="false" outlineLevel="0" collapsed="false">
      <c r="A1733" s="71" t="n">
        <f aca="false">A1732+$F$3</f>
        <v>34540</v>
      </c>
      <c r="B1733" s="71" t="n">
        <f aca="false">SUMPRODUCT(固有振動数!$Q$6:$Q$22*(1-($A1733/固有振動数!$O$6:$O$22)^2)/((1-($A1733/固有振動数!$O$6:$O$22)^2)^2+固有振動数!$P$6:$P$22^2))</f>
        <v>15.5437799096774</v>
      </c>
      <c r="C1733" s="71" t="n">
        <f aca="false">-SUMPRODUCT(固有振動数!$Q$6:$Q$22*固有振動数!$P$6:$P$22/((1-($A1733/固有振動数!$O$6:$O$22)^2)^2+固有振動数!$P$6:$P$22^2))</f>
        <v>-3.58774227425158</v>
      </c>
      <c r="D1733" s="71" t="n">
        <f aca="false">SQRT(B1733^2+C1733^2)</f>
        <v>15.9524602650169</v>
      </c>
      <c r="E1733" s="72" t="n">
        <f aca="false">20*LOG10(MAX(D1733,0.000000000001)/$K$3)</f>
        <v>24.0565534307776</v>
      </c>
      <c r="F1733" s="5"/>
      <c r="G1733" s="5"/>
      <c r="H1733" s="5"/>
      <c r="I1733" s="5"/>
      <c r="J1733" s="5"/>
      <c r="K1733" s="5"/>
      <c r="L1733" s="5"/>
      <c r="M1733" s="5"/>
      <c r="N1733" s="5"/>
    </row>
    <row r="1734" customFormat="false" ht="15" hidden="false" customHeight="false" outlineLevel="0" collapsed="false">
      <c r="A1734" s="71" t="n">
        <f aca="false">A1733+$F$3</f>
        <v>34560</v>
      </c>
      <c r="B1734" s="71" t="n">
        <f aca="false">SUMPRODUCT(固有振動数!$Q$6:$Q$22*(1-($A1734/固有振動数!$O$6:$O$22)^2)/((1-($A1734/固有振動数!$O$6:$O$22)^2)^2+固有振動数!$P$6:$P$22^2))</f>
        <v>15.9250290634925</v>
      </c>
      <c r="C1734" s="71" t="n">
        <f aca="false">-SUMPRODUCT(固有振動数!$Q$6:$Q$22*固有振動数!$P$6:$P$22/((1-($A1734/固有振動数!$O$6:$O$22)^2)^2+固有振動数!$P$6:$P$22^2))</f>
        <v>-3.7075329502198</v>
      </c>
      <c r="D1734" s="71" t="n">
        <f aca="false">SQRT(B1734^2+C1734^2)</f>
        <v>16.350912856781</v>
      </c>
      <c r="E1734" s="72" t="n">
        <f aca="false">20*LOG10(MAX(D1734,0.000000000001)/$K$3)</f>
        <v>24.2708400788813</v>
      </c>
      <c r="F1734" s="5"/>
      <c r="G1734" s="5"/>
      <c r="H1734" s="5"/>
      <c r="I1734" s="5"/>
      <c r="J1734" s="5"/>
      <c r="K1734" s="5"/>
      <c r="L1734" s="5"/>
      <c r="M1734" s="5"/>
      <c r="N1734" s="5"/>
    </row>
    <row r="1735" customFormat="false" ht="15" hidden="false" customHeight="false" outlineLevel="0" collapsed="false">
      <c r="A1735" s="71" t="n">
        <f aca="false">A1734+$F$3</f>
        <v>34580</v>
      </c>
      <c r="B1735" s="71" t="n">
        <f aca="false">SUMPRODUCT(固有振動数!$Q$6:$Q$22*(1-($A1735/固有振動数!$O$6:$O$22)^2)/((1-($A1735/固有振動数!$O$6:$O$22)^2)^2+固有振動数!$P$6:$P$22^2))</f>
        <v>16.3180529610777</v>
      </c>
      <c r="C1735" s="71" t="n">
        <f aca="false">-SUMPRODUCT(固有振動数!$Q$6:$Q$22*固有振動数!$P$6:$P$22/((1-($A1735/固有振動数!$O$6:$O$22)^2)^2+固有振動数!$P$6:$P$22^2))</f>
        <v>-3.83484838598334</v>
      </c>
      <c r="D1735" s="71" t="n">
        <f aca="false">SQRT(B1735^2+C1735^2)</f>
        <v>16.7626046479661</v>
      </c>
      <c r="E1735" s="72" t="n">
        <f aca="false">20*LOG10(MAX(D1735,0.000000000001)/$K$3)</f>
        <v>24.4868300428663</v>
      </c>
      <c r="F1735" s="5"/>
      <c r="G1735" s="5"/>
      <c r="H1735" s="5"/>
      <c r="I1735" s="5"/>
      <c r="J1735" s="5"/>
      <c r="K1735" s="5"/>
      <c r="L1735" s="5"/>
      <c r="M1735" s="5"/>
      <c r="N1735" s="5"/>
    </row>
    <row r="1736" customFormat="false" ht="15" hidden="false" customHeight="false" outlineLevel="0" collapsed="false">
      <c r="A1736" s="71" t="n">
        <f aca="false">A1735+$F$3</f>
        <v>34600</v>
      </c>
      <c r="B1736" s="71" t="n">
        <f aca="false">SUMPRODUCT(固有振動数!$Q$6:$Q$22*(1-($A1736/固有振動数!$O$6:$O$22)^2)/((1-($A1736/固有振動数!$O$6:$O$22)^2)^2+固有振動数!$P$6:$P$22^2))</f>
        <v>16.7235350550103</v>
      </c>
      <c r="C1736" s="71" t="n">
        <f aca="false">-SUMPRODUCT(固有振動数!$Q$6:$Q$22*固有振動数!$P$6:$P$22/((1-($A1736/固有振動数!$O$6:$O$22)^2)^2+固有振動数!$P$6:$P$22^2))</f>
        <v>-3.97028785679444</v>
      </c>
      <c r="D1736" s="71" t="n">
        <f aca="false">SQRT(B1736^2+C1736^2)</f>
        <v>17.1883626445909</v>
      </c>
      <c r="E1736" s="72" t="n">
        <f aca="false">20*LOG10(MAX(D1736,0.000000000001)/$K$3)</f>
        <v>24.7046901593521</v>
      </c>
      <c r="F1736" s="5"/>
      <c r="G1736" s="5"/>
      <c r="H1736" s="5"/>
      <c r="I1736" s="5"/>
      <c r="J1736" s="5"/>
      <c r="K1736" s="5"/>
      <c r="L1736" s="5"/>
      <c r="M1736" s="5"/>
      <c r="N1736" s="5"/>
    </row>
    <row r="1737" customFormat="false" ht="15" hidden="false" customHeight="false" outlineLevel="0" collapsed="false">
      <c r="A1737" s="71" t="n">
        <f aca="false">A1736+$F$3</f>
        <v>34620</v>
      </c>
      <c r="B1737" s="71" t="n">
        <f aca="false">SUMPRODUCT(固有振動数!$Q$6:$Q$22*(1-($A1737/固有振動数!$O$6:$O$22)^2)/((1-($A1737/固有振動数!$O$6:$O$22)^2)^2+固有振動数!$P$6:$P$22^2))</f>
        <v>17.1422051167256</v>
      </c>
      <c r="C1737" s="71" t="n">
        <f aca="false">-SUMPRODUCT(固有振動数!$Q$6:$Q$22*固有振動数!$P$6:$P$22/((1-($A1737/固有振動数!$O$6:$O$22)^2)^2+固有振動数!$P$6:$P$22^2))</f>
        <v>-4.11451203016881</v>
      </c>
      <c r="D1737" s="71" t="n">
        <f aca="false">SQRT(B1737^2+C1737^2)</f>
        <v>17.629078407855</v>
      </c>
      <c r="E1737" s="72" t="n">
        <f aca="false">20*LOG10(MAX(D1737,0.000000000001)/$K$3)</f>
        <v>24.9245921871723</v>
      </c>
      <c r="F1737" s="5"/>
      <c r="G1737" s="5"/>
      <c r="H1737" s="5"/>
      <c r="I1737" s="5"/>
      <c r="J1737" s="5"/>
      <c r="K1737" s="5"/>
      <c r="L1737" s="5"/>
      <c r="M1737" s="5"/>
      <c r="N1737" s="5"/>
    </row>
    <row r="1738" customFormat="false" ht="15" hidden="false" customHeight="false" outlineLevel="0" collapsed="false">
      <c r="A1738" s="71" t="n">
        <f aca="false">A1737+$F$3</f>
        <v>34640</v>
      </c>
      <c r="B1738" s="71" t="n">
        <f aca="false">SUMPRODUCT(固有振動数!$Q$6:$Q$22*(1-($A1738/固有振動数!$O$6:$O$22)^2)/((1-($A1738/固有振動数!$O$6:$O$22)^2)^2+固有振動数!$P$6:$P$22^2))</f>
        <v>17.5748429362936</v>
      </c>
      <c r="C1738" s="71" t="n">
        <f aca="false">-SUMPRODUCT(固有振動数!$Q$6:$Q$22*固有振動数!$P$6:$P$22/((1-($A1738/固有振動数!$O$6:$O$22)^2)^2+固有振動数!$P$6:$P$22^2))</f>
        <v>-4.26825050223718</v>
      </c>
      <c r="D1738" s="71" t="n">
        <f aca="false">SQRT(B1738^2+C1738^2)</f>
        <v>18.0857144339182</v>
      </c>
      <c r="E1738" s="72" t="n">
        <f aca="false">20*LOG10(MAX(D1738,0.000000000001)/$K$3)</f>
        <v>25.1467133845184</v>
      </c>
      <c r="F1738" s="5"/>
      <c r="G1738" s="5"/>
      <c r="H1738" s="5"/>
      <c r="I1738" s="5"/>
      <c r="J1738" s="5"/>
      <c r="K1738" s="5"/>
      <c r="L1738" s="5"/>
      <c r="M1738" s="5"/>
      <c r="N1738" s="5"/>
    </row>
    <row r="1739" customFormat="false" ht="15" hidden="false" customHeight="false" outlineLevel="0" collapsed="false">
      <c r="A1739" s="71" t="n">
        <f aca="false">A1738+$F$3</f>
        <v>34660</v>
      </c>
      <c r="B1739" s="71" t="n">
        <f aca="false">SUMPRODUCT(固有振動数!$Q$6:$Q$22*(1-($A1739/固有振動数!$O$6:$O$22)^2)/((1-($A1739/固有振動数!$O$6:$O$22)^2)^2+固有振動数!$P$6:$P$22^2))</f>
        <v>18.0222823057865</v>
      </c>
      <c r="C1739" s="71" t="n">
        <f aca="false">-SUMPRODUCT(固有振動数!$Q$6:$Q$22*固有振動数!$P$6:$P$22/((1-($A1739/固有振動数!$O$6:$O$22)^2)^2+固有振動数!$P$6:$P$22^2))</f>
        <v>-4.43231041953993</v>
      </c>
      <c r="D1739" s="71" t="n">
        <f aca="false">SQRT(B1739^2+C1739^2)</f>
        <v>18.5593112793721</v>
      </c>
      <c r="E1739" s="72" t="n">
        <f aca="false">20*LOG10(MAX(D1739,0.000000000001)/$K$3)</f>
        <v>25.3712371174866</v>
      </c>
      <c r="F1739" s="5"/>
      <c r="G1739" s="5"/>
      <c r="H1739" s="5"/>
      <c r="I1739" s="5"/>
      <c r="J1739" s="5"/>
      <c r="K1739" s="5"/>
      <c r="L1739" s="5"/>
      <c r="M1739" s="5"/>
      <c r="N1739" s="5"/>
    </row>
    <row r="1740" customFormat="false" ht="15" hidden="false" customHeight="false" outlineLevel="0" collapsed="false">
      <c r="A1740" s="71" t="n">
        <f aca="false">A1739+$F$3</f>
        <v>34680</v>
      </c>
      <c r="B1740" s="71" t="n">
        <f aca="false">SUMPRODUCT(固有振動数!$Q$6:$Q$22*(1-($A1740/固有振動数!$O$6:$O$22)^2)/((1-($A1740/固有振動数!$O$6:$O$22)^2)^2+固有振動数!$P$6:$P$22^2))</f>
        <v>18.4854152955864</v>
      </c>
      <c r="C1740" s="71" t="n">
        <f aca="false">-SUMPRODUCT(固有振動数!$Q$6:$Q$22*固有振動数!$P$6:$P$22/((1-($A1740/固有振動数!$O$6:$O$22)^2)^2+固有振動数!$P$6:$P$22^2))</f>
        <v>-4.60758636482899</v>
      </c>
      <c r="D1740" s="71" t="n">
        <f aca="false">SQRT(B1740^2+C1740^2)</f>
        <v>19.0509955319835</v>
      </c>
      <c r="E1740" s="72" t="n">
        <f aca="false">20*LOG10(MAX(D1740,0.000000000001)/$K$3)</f>
        <v>25.5983535033826</v>
      </c>
      <c r="F1740" s="5"/>
      <c r="G1740" s="5"/>
      <c r="H1740" s="5"/>
      <c r="I1740" s="5"/>
      <c r="J1740" s="5"/>
      <c r="K1740" s="5"/>
      <c r="L1740" s="5"/>
      <c r="M1740" s="5"/>
      <c r="N1740" s="5"/>
    </row>
    <row r="1741" customFormat="false" ht="15" hidden="false" customHeight="false" outlineLevel="0" collapsed="false">
      <c r="A1741" s="71" t="n">
        <f aca="false">A1740+$F$3</f>
        <v>34700</v>
      </c>
      <c r="B1741" s="71" t="n">
        <f aca="false">SUMPRODUCT(固有振動数!$Q$6:$Q$22*(1-($A1741/固有振動数!$O$6:$O$22)^2)/((1-($A1741/固有振動数!$O$6:$O$22)^2)^2+固有振動数!$P$6:$P$22^2))</f>
        <v>18.9651968277937</v>
      </c>
      <c r="C1741" s="71" t="n">
        <f aca="false">-SUMPRODUCT(固有振動数!$Q$6:$Q$22*固有振動数!$P$6:$P$22/((1-($A1741/固有振動数!$O$6:$O$22)^2)^2+固有振動数!$P$6:$P$22^2))</f>
        <v>-4.79507171835164</v>
      </c>
      <c r="D1741" s="71" t="n">
        <f aca="false">SQRT(B1741^2+C1741^2)</f>
        <v>19.561988740951</v>
      </c>
      <c r="E1741" s="72" t="n">
        <f aca="false">20*LOG10(MAX(D1741,0.000000000001)/$K$3)</f>
        <v>25.828260092177</v>
      </c>
      <c r="F1741" s="5"/>
      <c r="G1741" s="5"/>
      <c r="H1741" s="5"/>
      <c r="I1741" s="5"/>
      <c r="J1741" s="5"/>
      <c r="K1741" s="5"/>
      <c r="L1741" s="5"/>
      <c r="M1741" s="5"/>
      <c r="N1741" s="5"/>
    </row>
    <row r="1742" customFormat="false" ht="15" hidden="false" customHeight="false" outlineLevel="0" collapsed="false">
      <c r="A1742" s="71" t="n">
        <f aca="false">A1741+$F$3</f>
        <v>34720</v>
      </c>
      <c r="B1742" s="71" t="n">
        <f aca="false">SUMPRODUCT(固有振動数!$Q$6:$Q$22*(1-($A1742/固有振動数!$O$6:$O$22)^2)/((1-($A1742/固有振動数!$O$6:$O$22)^2)^2+固有振動数!$P$6:$P$22^2))</f>
        <v>19.4626495431379</v>
      </c>
      <c r="C1742" s="71" t="n">
        <f aca="false">-SUMPRODUCT(固有振動数!$Q$6:$Q$22*固有振動数!$P$6:$P$22/((1-($A1742/固有振動数!$O$6:$O$22)^2)^2+固有振動数!$P$6:$P$22^2))</f>
        <v>-4.99587174566742</v>
      </c>
      <c r="D1742" s="71" t="n">
        <f aca="false">SQRT(B1742^2+C1742^2)</f>
        <v>20.0936174378375</v>
      </c>
      <c r="E1742" s="72" t="n">
        <f aca="false">20*LOG10(MAX(D1742,0.000000000001)/$K$3)</f>
        <v>26.0611625894867</v>
      </c>
      <c r="F1742" s="5"/>
      <c r="G1742" s="5"/>
      <c r="H1742" s="5"/>
      <c r="I1742" s="5"/>
      <c r="J1742" s="5"/>
      <c r="K1742" s="5"/>
      <c r="L1742" s="5"/>
      <c r="M1742" s="5"/>
      <c r="N1742" s="5"/>
    </row>
    <row r="1743" customFormat="false" ht="15" hidden="false" customHeight="false" outlineLevel="0" collapsed="false">
      <c r="A1743" s="71" t="n">
        <f aca="false">A1742+$F$3</f>
        <v>34740</v>
      </c>
      <c r="B1743" s="71" t="n">
        <f aca="false">SUMPRODUCT(固有振動数!$Q$6:$Q$22*(1-($A1743/固有振動数!$O$6:$O$22)^2)/((1-($A1743/固有振動数!$O$6:$O$22)^2)^2+固有振動数!$P$6:$P$22^2))</f>
        <v>19.9788689464661</v>
      </c>
      <c r="C1743" s="71" t="n">
        <f aca="false">-SUMPRODUCT(固有振動数!$Q$6:$Q$22*固有振動数!$P$6:$P$22/((1-($A1743/固有振動数!$O$6:$O$22)^2)^2+固有振動数!$P$6:$P$22^2))</f>
        <v>-5.21121871073749</v>
      </c>
      <c r="D1743" s="71" t="n">
        <f aca="false">SQRT(B1743^2+C1743^2)</f>
        <v>20.6473243988466</v>
      </c>
      <c r="E1743" s="72" t="n">
        <f aca="false">20*LOG10(MAX(D1743,0.000000000001)/$K$3)</f>
        <v>26.2972756243494</v>
      </c>
      <c r="F1743" s="5"/>
      <c r="G1743" s="5"/>
      <c r="H1743" s="5"/>
      <c r="I1743" s="5"/>
      <c r="J1743" s="5"/>
      <c r="K1743" s="5"/>
      <c r="L1743" s="5"/>
      <c r="M1743" s="5"/>
      <c r="N1743" s="5"/>
    </row>
    <row r="1744" customFormat="false" ht="15" hidden="false" customHeight="false" outlineLevel="0" collapsed="false">
      <c r="A1744" s="71" t="n">
        <f aca="false">A1743+$F$3</f>
        <v>34760</v>
      </c>
      <c r="B1744" s="71" t="n">
        <f aca="false">SUMPRODUCT(固有振動数!$Q$6:$Q$22*(1-($A1744/固有振動数!$O$6:$O$22)^2)/((1-($A1744/固有振動数!$O$6:$O$22)^2)^2+固有振動数!$P$6:$P$22^2))</f>
        <v>20.5150287997172</v>
      </c>
      <c r="C1744" s="71" t="n">
        <f aca="false">-SUMPRODUCT(固有振動数!$Q$6:$Q$22*固有振動数!$P$6:$P$22/((1-($A1744/固有振動数!$O$6:$O$22)^2)^2+固有振動数!$P$6:$P$22^2))</f>
        <v>-5.44248937061308</v>
      </c>
      <c r="D1744" s="71" t="n">
        <f aca="false">SQRT(B1744^2+C1744^2)</f>
        <v>21.2246813215762</v>
      </c>
      <c r="E1744" s="72" t="n">
        <f aca="false">20*LOG10(MAX(D1744,0.000000000001)/$K$3)</f>
        <v>26.5368235648263</v>
      </c>
      <c r="F1744" s="5"/>
      <c r="G1744" s="5"/>
      <c r="H1744" s="5"/>
      <c r="I1744" s="5"/>
      <c r="J1744" s="5"/>
      <c r="K1744" s="5"/>
      <c r="L1744" s="5"/>
      <c r="M1744" s="5"/>
      <c r="N1744" s="5"/>
    </row>
    <row r="1745" customFormat="false" ht="15" hidden="false" customHeight="false" outlineLevel="0" collapsed="false">
      <c r="A1745" s="71" t="n">
        <f aca="false">A1744+$F$3</f>
        <v>34780</v>
      </c>
      <c r="B1745" s="71" t="n">
        <f aca="false">SUMPRODUCT(固有振動数!$Q$6:$Q$22*(1-($A1745/固有振動数!$O$6:$O$22)^2)/((1-($A1745/固有振動数!$O$6:$O$22)^2)^2+固有振動数!$P$6:$P$22^2))</f>
        <v>21.0723867084465</v>
      </c>
      <c r="C1745" s="71" t="n">
        <f aca="false">-SUMPRODUCT(固有振動数!$Q$6:$Q$22*固有振動数!$P$6:$P$22/((1-($A1745/固有振動数!$O$6:$O$22)^2)^2+固有振動数!$P$6:$P$22^2))</f>
        <v>-5.69122527771215</v>
      </c>
      <c r="D1745" s="71" t="n">
        <f aca="false">SQRT(B1745^2+C1745^2)</f>
        <v>21.8274031151665</v>
      </c>
      <c r="E1745" s="72" t="n">
        <f aca="false">20*LOG10(MAX(D1745,0.000000000001)/$K$3)</f>
        <v>26.7800413840494</v>
      </c>
      <c r="F1745" s="5"/>
      <c r="G1745" s="5"/>
      <c r="H1745" s="5"/>
      <c r="I1745" s="5"/>
      <c r="J1745" s="5"/>
      <c r="K1745" s="5"/>
      <c r="L1745" s="5"/>
      <c r="M1745" s="5"/>
      <c r="N1745" s="5"/>
    </row>
    <row r="1746" customFormat="false" ht="15" hidden="false" customHeight="false" outlineLevel="0" collapsed="false">
      <c r="A1746" s="71" t="n">
        <f aca="false">A1745+$F$3</f>
        <v>34800</v>
      </c>
      <c r="B1746" s="71" t="n">
        <f aca="false">SUMPRODUCT(固有振動数!$Q$6:$Q$22*(1-($A1746/固有振動数!$O$6:$O$22)^2)/((1-($A1746/固有振動数!$O$6:$O$22)^2)^2+固有振動数!$P$6:$P$22^2))</f>
        <v>21.6522898160364</v>
      </c>
      <c r="C1746" s="71" t="n">
        <f aca="false">-SUMPRODUCT(固有振動数!$Q$6:$Q$22*固有振動数!$P$6:$P$22/((1-($A1746/固有振動数!$O$6:$O$22)^2)^2+固有振動数!$P$6:$P$22^2))</f>
        <v>-5.95915640009874</v>
      </c>
      <c r="D1746" s="71" t="n">
        <f aca="false">SQRT(B1746^2+C1746^2)</f>
        <v>22.4573640322828</v>
      </c>
      <c r="E1746" s="72" t="n">
        <f aca="false">20*LOG10(MAX(D1746,0.000000000001)/$K$3)</f>
        <v>27.027175578654</v>
      </c>
      <c r="F1746" s="5"/>
      <c r="G1746" s="5"/>
      <c r="H1746" s="5"/>
      <c r="I1746" s="5"/>
      <c r="J1746" s="5"/>
      <c r="K1746" s="5"/>
      <c r="L1746" s="5"/>
      <c r="M1746" s="5"/>
      <c r="N1746" s="5"/>
    </row>
    <row r="1747" customFormat="false" ht="15" hidden="false" customHeight="false" outlineLevel="0" collapsed="false">
      <c r="A1747" s="71" t="n">
        <f aca="false">A1746+$F$3</f>
        <v>34820</v>
      </c>
      <c r="B1747" s="71" t="n">
        <f aca="false">SUMPRODUCT(固有振動数!$Q$6:$Q$22*(1-($A1747/固有振動数!$O$6:$O$22)^2)/((1-($A1747/固有振動数!$O$6:$O$22)^2)^2+固有振動数!$P$6:$P$22^2))</f>
        <v>22.2561804753722</v>
      </c>
      <c r="C1747" s="71" t="n">
        <f aca="false">-SUMPRODUCT(固有振動数!$Q$6:$Q$22*固有振動数!$P$6:$P$22/((1-($A1747/固有振動数!$O$6:$O$22)^2)^2+固有振動数!$P$6:$P$22^2))</f>
        <v>-6.24822867263503</v>
      </c>
      <c r="D1747" s="71" t="n">
        <f aca="false">SQRT(B1747^2+C1747^2)</f>
        <v>23.1166159049692</v>
      </c>
      <c r="E1747" s="72" t="n">
        <f aca="false">20*LOG10(MAX(D1747,0.000000000001)/$K$3)</f>
        <v>27.2784851404986</v>
      </c>
      <c r="F1747" s="5"/>
      <c r="G1747" s="5"/>
      <c r="H1747" s="5"/>
      <c r="I1747" s="5"/>
      <c r="J1747" s="5"/>
      <c r="K1747" s="5"/>
      <c r="L1747" s="5"/>
      <c r="M1747" s="5"/>
      <c r="N1747" s="5"/>
    </row>
    <row r="1748" customFormat="false" ht="15" hidden="false" customHeight="false" outlineLevel="0" collapsed="false">
      <c r="A1748" s="71" t="n">
        <f aca="false">A1747+$F$3</f>
        <v>34840</v>
      </c>
      <c r="B1748" s="71" t="n">
        <f aca="false">SUMPRODUCT(固有振動数!$Q$6:$Q$22*(1-($A1748/固有振動数!$O$6:$O$22)^2)/((1-($A1748/固有振動数!$O$6:$O$22)^2)^2+固有振動数!$P$6:$P$22^2))</f>
        <v>22.8856017063979</v>
      </c>
      <c r="C1748" s="71" t="n">
        <f aca="false">-SUMPRODUCT(固有振動数!$Q$6:$Q$22*固有振動数!$P$6:$P$22/((1-($A1748/固有振動数!$O$6:$O$22)^2)^2+固有振動数!$P$6:$P$22^2))</f>
        <v>-6.56063621636132</v>
      </c>
      <c r="D1748" s="71" t="n">
        <f aca="false">SQRT(B1748^2+C1748^2)</f>
        <v>23.8074087843955</v>
      </c>
      <c r="E1748" s="72" t="n">
        <f aca="false">20*LOG10(MAX(D1748,0.000000000001)/$K$3)</f>
        <v>27.5342425810264</v>
      </c>
      <c r="F1748" s="5"/>
      <c r="G1748" s="5"/>
      <c r="H1748" s="5"/>
      <c r="I1748" s="5"/>
      <c r="J1748" s="5"/>
      <c r="K1748" s="5"/>
      <c r="L1748" s="5"/>
      <c r="M1748" s="5"/>
      <c r="N1748" s="5"/>
    </row>
    <row r="1749" customFormat="false" ht="15" hidden="false" customHeight="false" outlineLevel="0" collapsed="false">
      <c r="A1749" s="71" t="n">
        <f aca="false">A1748+$F$3</f>
        <v>34860</v>
      </c>
      <c r="B1749" s="71" t="n">
        <f aca="false">SUMPRODUCT(固有振動数!$Q$6:$Q$22*(1-($A1749/固有振動数!$O$6:$O$22)^2)/((1-($A1749/固有振動数!$O$6:$O$22)^2)^2+固有振動数!$P$6:$P$22^2))</f>
        <v>23.5422021633611</v>
      </c>
      <c r="C1749" s="71" t="n">
        <f aca="false">-SUMPRODUCT(固有振動数!$Q$6:$Q$22*固有振動数!$P$6:$P$22/((1-($A1749/固有振動数!$O$6:$O$22)^2)^2+固有振動数!$P$6:$P$22^2))</f>
        <v>-6.89885911481139</v>
      </c>
      <c r="D1749" s="71" t="n">
        <f aca="false">SQRT(B1749^2+C1749^2)</f>
        <v>24.5322143270146</v>
      </c>
      <c r="E1749" s="72" t="n">
        <f aca="false">20*LOG10(MAX(D1749,0.000000000001)/$K$3)</f>
        <v>27.7947350053842</v>
      </c>
      <c r="F1749" s="5"/>
      <c r="G1749" s="5"/>
      <c r="H1749" s="5"/>
      <c r="I1749" s="5"/>
      <c r="J1749" s="5"/>
      <c r="K1749" s="5"/>
      <c r="L1749" s="5"/>
      <c r="M1749" s="5"/>
      <c r="N1749" s="5"/>
    </row>
    <row r="1750" customFormat="false" ht="15" hidden="false" customHeight="false" outlineLevel="0" collapsed="false">
      <c r="A1750" s="71" t="n">
        <f aca="false">A1749+$F$3</f>
        <v>34880</v>
      </c>
      <c r="B1750" s="71" t="n">
        <f aca="false">SUMPRODUCT(固有振動数!$Q$6:$Q$22*(1-($A1750/固有振動数!$O$6:$O$22)^2)/((1-($A1750/固有振動数!$O$6:$O$22)^2)^2+固有振動数!$P$6:$P$22^2))</f>
        <v>24.2277402190669</v>
      </c>
      <c r="C1750" s="71" t="n">
        <f aca="false">-SUMPRODUCT(固有振動数!$Q$6:$Q$22*固有振動数!$P$6:$P$22/((1-($A1750/固有振動数!$O$6:$O$22)^2)^2+固有振動数!$P$6:$P$22^2))</f>
        <v>-7.26570782001259</v>
      </c>
      <c r="D1750" s="71" t="n">
        <f aca="false">SQRT(B1750^2+C1750^2)</f>
        <v>25.2937523164987</v>
      </c>
      <c r="E1750" s="72" t="n">
        <f aca="false">20*LOG10(MAX(D1750,0.000000000001)/$K$3)</f>
        <v>28.0602652301999</v>
      </c>
      <c r="F1750" s="5"/>
      <c r="G1750" s="5"/>
      <c r="H1750" s="5"/>
      <c r="I1750" s="5"/>
      <c r="J1750" s="5"/>
      <c r="K1750" s="5"/>
      <c r="L1750" s="5"/>
      <c r="M1750" s="5"/>
      <c r="N1750" s="5"/>
    </row>
    <row r="1751" customFormat="false" ht="15" hidden="false" customHeight="false" outlineLevel="0" collapsed="false">
      <c r="A1751" s="71" t="n">
        <f aca="false">A1750+$F$3</f>
        <v>34900</v>
      </c>
      <c r="B1751" s="71" t="n">
        <f aca="false">SUMPRODUCT(固有振動数!$Q$6:$Q$22*(1-($A1751/固有振動数!$O$6:$O$22)^2)/((1-($A1751/固有振動数!$O$6:$O$22)^2)^2+固有振動数!$P$6:$P$22^2))</f>
        <v>24.9440866132308</v>
      </c>
      <c r="C1751" s="71" t="n">
        <f aca="false">-SUMPRODUCT(固有振動数!$Q$6:$Q$22*固有振動数!$P$6:$P$22/((1-($A1751/固有振動数!$O$6:$O$22)^2)^2+固有振動数!$P$6:$P$22^2))</f>
        <v>-7.66437548456772</v>
      </c>
      <c r="D1751" s="71" t="n">
        <f aca="false">SQRT(B1751^2+C1751^2)</f>
        <v>26.095020761379</v>
      </c>
      <c r="E1751" s="72" t="n">
        <f aca="false">20*LOG10(MAX(D1751,0.000000000001)/$K$3)</f>
        <v>28.3311529343862</v>
      </c>
      <c r="F1751" s="5"/>
      <c r="G1751" s="5"/>
      <c r="H1751" s="5"/>
      <c r="I1751" s="5"/>
      <c r="J1751" s="5"/>
      <c r="K1751" s="5"/>
      <c r="L1751" s="5"/>
      <c r="M1751" s="5"/>
      <c r="N1751" s="5"/>
    </row>
    <row r="1752" customFormat="false" ht="15" hidden="false" customHeight="false" outlineLevel="0" collapsed="false">
      <c r="A1752" s="71" t="n">
        <f aca="false">A1751+$F$3</f>
        <v>34920</v>
      </c>
      <c r="B1752" s="71" t="n">
        <f aca="false">SUMPRODUCT(固有振動数!$Q$6:$Q$22*(1-($A1752/固有振動数!$O$6:$O$22)^2)/((1-($A1752/固有振動数!$O$6:$O$22)^2)^2+固有振動数!$P$6:$P$22^2))</f>
        <v>25.6932248916251</v>
      </c>
      <c r="C1752" s="71" t="n">
        <f aca="false">-SUMPRODUCT(固有振動数!$Q$6:$Q$22*固有振動数!$P$6:$P$22/((1-($A1752/固有振動数!$O$6:$O$22)^2)^2+固有振動数!$P$6:$P$22^2))</f>
        <v>-8.09849978753955</v>
      </c>
      <c r="D1752" s="71" t="n">
        <f aca="false">SQRT(B1752^2+C1752^2)</f>
        <v>26.939330061091</v>
      </c>
      <c r="E1752" s="72" t="n">
        <f aca="false">20*LOG10(MAX(D1752,0.000000000001)/$K$3)</f>
        <v>28.6077358259657</v>
      </c>
      <c r="F1752" s="5"/>
      <c r="G1752" s="5"/>
      <c r="H1752" s="5"/>
      <c r="I1752" s="5"/>
      <c r="J1752" s="5"/>
      <c r="K1752" s="5"/>
      <c r="L1752" s="5"/>
      <c r="M1752" s="5"/>
      <c r="N1752" s="5"/>
    </row>
    <row r="1753" customFormat="false" ht="15" hidden="false" customHeight="false" outlineLevel="0" collapsed="false">
      <c r="A1753" s="71" t="n">
        <f aca="false">A1752+$F$3</f>
        <v>34940</v>
      </c>
      <c r="B1753" s="71" t="n">
        <f aca="false">SUMPRODUCT(固有振動数!$Q$6:$Q$22*(1-($A1753/固有振動数!$O$6:$O$22)^2)/((1-($A1753/固有振動数!$O$6:$O$22)^2)^2+固有振動数!$P$6:$P$22^2))</f>
        <v>26.4772485593828</v>
      </c>
      <c r="C1753" s="71" t="n">
        <f aca="false">-SUMPRODUCT(固有振動数!$Q$6:$Q$22*固有振動数!$P$6:$P$22/((1-($A1753/固有振動数!$O$6:$O$22)^2)^2+固有振動数!$P$6:$P$22^2))</f>
        <v>-8.57223615000114</v>
      </c>
      <c r="D1753" s="71" t="n">
        <f aca="false">SQRT(B1753^2+C1753^2)</f>
        <v>27.830341785302</v>
      </c>
      <c r="E1753" s="72" t="n">
        <f aca="false">20*LOG10(MAX(D1753,0.000000000001)/$K$3)</f>
        <v>28.8903707990195</v>
      </c>
      <c r="F1753" s="5"/>
      <c r="G1753" s="5"/>
      <c r="H1753" s="5"/>
      <c r="I1753" s="5"/>
      <c r="J1753" s="5"/>
      <c r="K1753" s="5"/>
      <c r="L1753" s="5"/>
      <c r="M1753" s="5"/>
      <c r="N1753" s="5"/>
    </row>
    <row r="1754" customFormat="false" ht="15" hidden="false" customHeight="false" outlineLevel="0" collapsed="false">
      <c r="A1754" s="71" t="n">
        <f aca="false">A1753+$F$3</f>
        <v>34960</v>
      </c>
      <c r="B1754" s="71" t="n">
        <f aca="false">SUMPRODUCT(固有振動数!$Q$6:$Q$22*(1-($A1754/固有振動数!$O$6:$O$22)^2)/((1-($A1754/固有振動数!$O$6:$O$22)^2)^2+固有振動数!$P$6:$P$22^2))</f>
        <v>27.2983534539516</v>
      </c>
      <c r="C1754" s="71" t="n">
        <f aca="false">-SUMPRODUCT(固有振動数!$Q$6:$Q$22*固有振動数!$P$6:$P$22/((1-($A1754/固有振動数!$O$6:$O$22)^2)^2+固有振動数!$P$6:$P$22^2))</f>
        <v>-9.09034463098773</v>
      </c>
      <c r="D1754" s="71" t="n">
        <f aca="false">SQRT(B1754^2+C1754^2)</f>
        <v>28.7721126580409</v>
      </c>
      <c r="E1754" s="72" t="n">
        <f aca="false">20*LOG10(MAX(D1754,0.000000000001)/$K$3)</f>
        <v>29.1794350424941</v>
      </c>
      <c r="F1754" s="5"/>
      <c r="G1754" s="5"/>
      <c r="H1754" s="5"/>
      <c r="I1754" s="5"/>
      <c r="J1754" s="5"/>
      <c r="K1754" s="5"/>
      <c r="L1754" s="5"/>
      <c r="M1754" s="5"/>
      <c r="N1754" s="5"/>
    </row>
    <row r="1755" customFormat="false" ht="15" hidden="false" customHeight="false" outlineLevel="0" collapsed="false">
      <c r="A1755" s="71" t="n">
        <f aca="false">A1754+$F$3</f>
        <v>34980</v>
      </c>
      <c r="B1755" s="71" t="n">
        <f aca="false">SUMPRODUCT(固有振動数!$Q$6:$Q$22*(1-($A1755/固有振動数!$O$6:$O$22)^2)/((1-($A1755/固有振動数!$O$6:$O$22)^2)^2+固有振動数!$P$6:$P$22^2))</f>
        <v>28.1588232667382</v>
      </c>
      <c r="C1755" s="71" t="n">
        <f aca="false">-SUMPRODUCT(固有振動数!$Q$6:$Q$22*固有振動数!$P$6:$P$22/((1-($A1755/固有振動数!$O$6:$O$22)^2)^2+固有振動数!$P$6:$P$22^2))</f>
        <v>-9.65829326603871</v>
      </c>
      <c r="D1755" s="71" t="n">
        <f aca="false">SQRT(B1755^2+C1755^2)</f>
        <v>29.7691443709792</v>
      </c>
      <c r="E1755" s="72" t="n">
        <f aca="false">20*LOG10(MAX(D1755,0.000000000001)/$K$3)</f>
        <v>29.4753270454354</v>
      </c>
      <c r="F1755" s="5"/>
      <c r="G1755" s="5"/>
      <c r="H1755" s="5"/>
      <c r="I1755" s="5"/>
      <c r="J1755" s="5"/>
      <c r="K1755" s="5"/>
      <c r="L1755" s="5"/>
      <c r="M1755" s="5"/>
      <c r="N1755" s="5"/>
    </row>
    <row r="1756" customFormat="false" ht="15" hidden="false" customHeight="false" outlineLevel="0" collapsed="false">
      <c r="A1756" s="71" t="n">
        <f aca="false">A1755+$F$3</f>
        <v>35000</v>
      </c>
      <c r="B1756" s="71" t="n">
        <f aca="false">SUMPRODUCT(固有振動数!$Q$6:$Q$22*(1-($A1756/固有振動数!$O$6:$O$22)^2)/((1-($A1756/固有振動数!$O$6:$O$22)^2)^2+固有振動数!$P$6:$P$22^2))</f>
        <v>29.0610053460626</v>
      </c>
      <c r="C1756" s="71" t="n">
        <f aca="false">-SUMPRODUCT(固有振動数!$Q$6:$Q$22*固有振動数!$P$6:$P$22/((1-($A1756/固有振動数!$O$6:$O$22)^2)^2+固有振動数!$P$6:$P$22^2))</f>
        <v>-10.2823811667155</v>
      </c>
      <c r="D1756" s="71" t="n">
        <f aca="false">SQRT(B1756^2+C1756^2)</f>
        <v>30.8264398557716</v>
      </c>
      <c r="E1756" s="72" t="n">
        <f aca="false">20*LOG10(MAX(D1756,0.000000000001)/$K$3)</f>
        <v>29.7784674194266</v>
      </c>
      <c r="F1756" s="5"/>
      <c r="G1756" s="5"/>
      <c r="H1756" s="5"/>
      <c r="I1756" s="5"/>
      <c r="J1756" s="5"/>
      <c r="K1756" s="5"/>
      <c r="L1756" s="5"/>
      <c r="M1756" s="5"/>
      <c r="N1756" s="5"/>
    </row>
    <row r="1757" customFormat="false" ht="15" hidden="false" customHeight="false" outlineLevel="0" collapsed="false">
      <c r="A1757" s="71" t="n">
        <f aca="false">A1756+$F$3</f>
        <v>35020</v>
      </c>
      <c r="B1757" s="71" t="n">
        <f aca="false">SUMPRODUCT(固有振動数!$Q$6:$Q$22*(1-($A1757/固有振動数!$O$6:$O$22)^2)/((1-($A1757/固有振動数!$O$6:$O$22)^2)^2+固有振動数!$P$6:$P$22^2))</f>
        <v>30.0072728119294</v>
      </c>
      <c r="C1757" s="71" t="n">
        <f aca="false">-SUMPRODUCT(固有振動数!$Q$6:$Q$22*固有振動数!$P$6:$P$22/((1-($A1757/固有振動数!$O$6:$O$22)^2)^2+固有振動数!$P$6:$P$22^2))</f>
        <v>-10.9698853437204</v>
      </c>
      <c r="D1757" s="71" t="n">
        <f aca="false">SQRT(B1757^2+C1757^2)</f>
        <v>31.9495666021298</v>
      </c>
      <c r="E1757" s="72" t="n">
        <f aca="false">20*LOG10(MAX(D1757,0.000000000001)/$K$3)</f>
        <v>30.0892994260511</v>
      </c>
      <c r="F1757" s="5"/>
      <c r="G1757" s="5"/>
      <c r="H1757" s="5"/>
      <c r="I1757" s="5"/>
      <c r="J1757" s="5"/>
      <c r="K1757" s="5"/>
      <c r="L1757" s="5"/>
      <c r="M1757" s="5"/>
      <c r="N1757" s="5"/>
    </row>
    <row r="1758" customFormat="false" ht="15" hidden="false" customHeight="false" outlineLevel="0" collapsed="false">
      <c r="A1758" s="71" t="n">
        <f aca="false">A1757+$F$3</f>
        <v>35040</v>
      </c>
      <c r="B1758" s="71" t="n">
        <f aca="false">SUMPRODUCT(固有振動数!$Q$6:$Q$22*(1-($A1758/固有振動数!$O$6:$O$22)^2)/((1-($A1758/固有振動数!$O$6:$O$22)^2)^2+固有振動数!$P$6:$P$22^2))</f>
        <v>30.9999674856924</v>
      </c>
      <c r="C1758" s="71" t="n">
        <f aca="false">-SUMPRODUCT(固有振動数!$Q$6:$Q$22*固有振動数!$P$6:$P$22/((1-($A1758/固有振動数!$O$6:$O$22)^2)^2+固有振動数!$P$6:$P$22^2))</f>
        <v>-11.729235941226</v>
      </c>
      <c r="D1758" s="71" t="n">
        <f aca="false">SQRT(B1758^2+C1758^2)</f>
        <v>33.1447274823452</v>
      </c>
      <c r="E1758" s="72" t="n">
        <f aca="false">20*LOG10(MAX(D1758,0.000000000001)/$K$3)</f>
        <v>30.4082890515331</v>
      </c>
      <c r="F1758" s="5"/>
      <c r="G1758" s="5"/>
      <c r="H1758" s="5"/>
      <c r="I1758" s="5"/>
      <c r="J1758" s="5"/>
      <c r="K1758" s="5"/>
      <c r="L1758" s="5"/>
      <c r="M1758" s="5"/>
      <c r="N1758" s="5"/>
    </row>
    <row r="1759" customFormat="false" ht="15" hidden="false" customHeight="false" outlineLevel="0" collapsed="false">
      <c r="A1759" s="71" t="n">
        <f aca="false">A1758+$F$3</f>
        <v>35060</v>
      </c>
      <c r="B1759" s="71" t="n">
        <f aca="false">SUMPRODUCT(固有振動数!$Q$6:$Q$22*(1-($A1759/固有振動数!$O$6:$O$22)^2)/((1-($A1759/固有振動数!$O$6:$O$22)^2)^2+固有振動数!$P$6:$P$22^2))</f>
        <v>32.0413160181552</v>
      </c>
      <c r="C1759" s="71" t="n">
        <f aca="false">-SUMPRODUCT(固有振動数!$Q$6:$Q$22*固有振動数!$P$6:$P$22/((1-($A1759/固有振動数!$O$6:$O$22)^2)^2+固有振動数!$P$6:$P$22^2))</f>
        <v>-12.5702253476668</v>
      </c>
      <c r="D1759" s="71" t="n">
        <f aca="false">SQRT(B1759^2+C1759^2)</f>
        <v>34.4188392812195</v>
      </c>
      <c r="E1759" s="72" t="n">
        <f aca="false">20*LOG10(MAX(D1759,0.000000000001)/$K$3)</f>
        <v>30.7359244074187</v>
      </c>
      <c r="F1759" s="5"/>
      <c r="G1759" s="5"/>
      <c r="H1759" s="5"/>
      <c r="I1759" s="5"/>
      <c r="J1759" s="5"/>
      <c r="K1759" s="5"/>
      <c r="L1759" s="5"/>
      <c r="M1759" s="5"/>
      <c r="N1759" s="5"/>
    </row>
    <row r="1760" customFormat="false" ht="15" hidden="false" customHeight="false" outlineLevel="0" collapsed="false">
      <c r="A1760" s="71" t="n">
        <f aca="false">A1759+$F$3</f>
        <v>35080</v>
      </c>
      <c r="B1760" s="71" t="n">
        <f aca="false">SUMPRODUCT(固有振動数!$Q$6:$Q$22*(1-($A1760/固有振動数!$O$6:$O$22)^2)/((1-($A1760/固有振動数!$O$6:$O$22)^2)^2+固有振動数!$P$6:$P$22^2))</f>
        <v>33.1333086563845</v>
      </c>
      <c r="C1760" s="71" t="n">
        <f aca="false">-SUMPRODUCT(固有振動数!$Q$6:$Q$22*固有振動数!$P$6:$P$22/((1-($A1760/固有振動数!$O$6:$O$22)^2)^2+固有振動数!$P$6:$P$22^2))</f>
        <v>-13.5042574119817</v>
      </c>
      <c r="D1760" s="71" t="n">
        <f aca="false">SQRT(B1760^2+C1760^2)</f>
        <v>35.7796186504036</v>
      </c>
      <c r="E1760" s="72" t="n">
        <f aca="false">20*LOG10(MAX(D1760,0.000000000001)/$K$3)</f>
        <v>31.0727141483789</v>
      </c>
      <c r="F1760" s="5"/>
      <c r="G1760" s="5"/>
      <c r="H1760" s="5"/>
      <c r="I1760" s="5"/>
      <c r="J1760" s="5"/>
      <c r="K1760" s="5"/>
      <c r="L1760" s="5"/>
      <c r="M1760" s="5"/>
      <c r="N1760" s="5"/>
    </row>
    <row r="1761" customFormat="false" ht="15" hidden="false" customHeight="false" outlineLevel="0" collapsed="false">
      <c r="A1761" s="71" t="n">
        <f aca="false">A1760+$F$3</f>
        <v>35100</v>
      </c>
      <c r="B1761" s="71" t="n">
        <f aca="false">SUMPRODUCT(固有振動数!$Q$6:$Q$22*(1-($A1761/固有振動数!$O$6:$O$22)^2)/((1-($A1761/固有振動数!$O$6:$O$22)^2)^2+固有振動数!$P$6:$P$22^2))</f>
        <v>34.277526002846</v>
      </c>
      <c r="C1761" s="71" t="n">
        <f aca="false">-SUMPRODUCT(固有振動数!$Q$6:$Q$22*固有振動数!$P$6:$P$22/((1-($A1761/固有振動数!$O$6:$O$22)^2)^2+固有振動数!$P$6:$P$22^2))</f>
        <v>-14.5446436087507</v>
      </c>
      <c r="D1761" s="71" t="n">
        <f aca="false">SQRT(B1761^2+C1761^2)</f>
        <v>37.2356743806441</v>
      </c>
      <c r="E1761" s="72" t="n">
        <f aca="false">20*LOG10(MAX(D1761,0.000000000001)/$K$3)</f>
        <v>31.4191844764065</v>
      </c>
      <c r="F1761" s="5"/>
      <c r="G1761" s="5"/>
      <c r="H1761" s="5"/>
      <c r="I1761" s="5"/>
      <c r="J1761" s="5"/>
      <c r="K1761" s="5"/>
      <c r="L1761" s="5"/>
      <c r="M1761" s="5"/>
      <c r="N1761" s="5"/>
    </row>
    <row r="1762" customFormat="false" ht="15" hidden="false" customHeight="false" outlineLevel="0" collapsed="false">
      <c r="A1762" s="71" t="n">
        <f aca="false">A1761+$F$3</f>
        <v>35120</v>
      </c>
      <c r="B1762" s="71" t="n">
        <f aca="false">SUMPRODUCT(固有振動数!$Q$6:$Q$22*(1-($A1762/固有振動数!$O$6:$O$22)^2)/((1-($A1762/固有振動数!$O$6:$O$22)^2)^2+固有振動数!$P$6:$P$22^2))</f>
        <v>35.4748934542346</v>
      </c>
      <c r="C1762" s="71" t="n">
        <f aca="false">-SUMPRODUCT(固有振動数!$Q$6:$Q$22*固有振動数!$P$6:$P$22/((1-($A1762/固有振動数!$O$6:$O$22)^2)^2+固有振動数!$P$6:$P$22^2))</f>
        <v>-15.7069532053118</v>
      </c>
      <c r="D1762" s="71" t="n">
        <f aca="false">SQRT(B1762^2+C1762^2)</f>
        <v>38.7966035186477</v>
      </c>
      <c r="E1762" s="72" t="n">
        <f aca="false">20*LOG10(MAX(D1762,0.000000000001)/$K$3)</f>
        <v>31.775874131639</v>
      </c>
      <c r="F1762" s="5"/>
      <c r="G1762" s="5"/>
      <c r="H1762" s="5"/>
      <c r="I1762" s="5"/>
      <c r="J1762" s="5"/>
      <c r="K1762" s="5"/>
      <c r="L1762" s="5"/>
      <c r="M1762" s="5"/>
      <c r="N1762" s="5"/>
    </row>
    <row r="1763" customFormat="false" ht="15" hidden="false" customHeight="false" outlineLevel="0" collapsed="false">
      <c r="A1763" s="71" t="n">
        <f aca="false">A1762+$F$3</f>
        <v>35140</v>
      </c>
      <c r="B1763" s="71" t="n">
        <f aca="false">SUMPRODUCT(固有振動数!$Q$6:$Q$22*(1-($A1763/固有振動数!$O$6:$O$22)^2)/((1-($A1763/固有振動数!$O$6:$O$22)^2)^2+固有振動数!$P$6:$P$22^2))</f>
        <v>36.7253351771323</v>
      </c>
      <c r="C1763" s="71" t="n">
        <f aca="false">-SUMPRODUCT(固有振動数!$Q$6:$Q$22*固有振動数!$P$6:$P$22/((1-($A1763/固有振動数!$O$6:$O$22)^2)^2+固有振動数!$P$6:$P$22^2))</f>
        <v>-17.0094238269191</v>
      </c>
      <c r="D1763" s="71" t="n">
        <f aca="false">SQRT(B1763^2+C1763^2)</f>
        <v>40.4730866477524</v>
      </c>
      <c r="E1763" s="72" t="n">
        <f aca="false">20*LOG10(MAX(D1763,0.000000000001)/$K$3)</f>
        <v>32.1433265355548</v>
      </c>
      <c r="F1763" s="5"/>
      <c r="G1763" s="5"/>
      <c r="H1763" s="5"/>
      <c r="I1763" s="5"/>
      <c r="J1763" s="5"/>
      <c r="K1763" s="5"/>
      <c r="L1763" s="5"/>
      <c r="M1763" s="5"/>
      <c r="N1763" s="5"/>
    </row>
    <row r="1764" customFormat="false" ht="15" hidden="false" customHeight="false" outlineLevel="0" collapsed="false">
      <c r="A1764" s="71" t="n">
        <f aca="false">A1763+$F$3</f>
        <v>35160</v>
      </c>
      <c r="B1764" s="71" t="n">
        <f aca="false">SUMPRODUCT(固有振動数!$Q$6:$Q$22*(1-($A1764/固有振動数!$O$6:$O$22)^2)/((1-($A1764/固有振動数!$O$6:$O$22)^2)^2+固有振動数!$P$6:$P$22^2))</f>
        <v>38.0272887239795</v>
      </c>
      <c r="C1764" s="71" t="n">
        <f aca="false">-SUMPRODUCT(固有振動数!$Q$6:$Q$22*固有振動数!$P$6:$P$22/((1-($A1764/固有振動数!$O$6:$O$22)^2)^2+固有振動数!$P$6:$P$22^2))</f>
        <v>-18.4734364813623</v>
      </c>
      <c r="D1764" s="71" t="n">
        <f aca="false">SQRT(B1764^2+C1764^2)</f>
        <v>42.276974148203</v>
      </c>
      <c r="E1764" s="72" t="n">
        <f aca="false">20*LOG10(MAX(D1764,0.000000000001)/$K$3)</f>
        <v>32.522077927597</v>
      </c>
      <c r="F1764" s="5"/>
      <c r="G1764" s="5"/>
      <c r="H1764" s="5"/>
      <c r="I1764" s="5"/>
      <c r="J1764" s="5"/>
      <c r="K1764" s="5"/>
      <c r="L1764" s="5"/>
      <c r="M1764" s="5"/>
      <c r="N1764" s="5"/>
    </row>
    <row r="1765" customFormat="false" ht="15" hidden="false" customHeight="false" outlineLevel="0" collapsed="false">
      <c r="A1765" s="71" t="n">
        <f aca="false">A1764+$F$3</f>
        <v>35180</v>
      </c>
      <c r="B1765" s="71" t="n">
        <f aca="false">SUMPRODUCT(固有振動数!$Q$6:$Q$22*(1-($A1765/固有振動数!$O$6:$O$22)^2)/((1-($A1765/固有振動数!$O$6:$O$22)^2)^2+固有振動数!$P$6:$P$22^2))</f>
        <v>39.3770267798441</v>
      </c>
      <c r="C1765" s="71" t="n">
        <f aca="false">-SUMPRODUCT(固有振動数!$Q$6:$Q$22*固有振動数!$P$6:$P$22/((1-($A1765/固有振動数!$O$6:$O$22)^2)^2+固有振動数!$P$6:$P$22^2))</f>
        <v>-20.1240536988116</v>
      </c>
      <c r="D1765" s="71" t="n">
        <f aca="false">SQRT(B1765^2+C1765^2)</f>
        <v>44.2213497678804</v>
      </c>
      <c r="E1765" s="72" t="n">
        <f aca="false">20*LOG10(MAX(D1765,0.000000000001)/$K$3)</f>
        <v>32.9126398882352</v>
      </c>
      <c r="F1765" s="5"/>
      <c r="G1765" s="5"/>
      <c r="H1765" s="5"/>
      <c r="I1765" s="5"/>
      <c r="J1765" s="5"/>
      <c r="K1765" s="5"/>
      <c r="L1765" s="5"/>
      <c r="M1765" s="5"/>
      <c r="N1765" s="5"/>
    </row>
    <row r="1766" customFormat="false" ht="15" hidden="false" customHeight="false" outlineLevel="0" collapsed="false">
      <c r="A1766" s="71" t="n">
        <f aca="false">A1765+$F$3</f>
        <v>35200</v>
      </c>
      <c r="B1766" s="71" t="n">
        <f aca="false">SUMPRODUCT(固有振動数!$Q$6:$Q$22*(1-($A1766/固有振動数!$O$6:$O$22)^2)/((1-($A1766/固有振動数!$O$6:$O$22)^2)^2+固有振動数!$P$6:$P$22^2))</f>
        <v>40.7677130164778</v>
      </c>
      <c r="C1766" s="71" t="n">
        <f aca="false">-SUMPRODUCT(固有振動数!$Q$6:$Q$22*固有振動数!$P$6:$P$22/((1-($A1766/固有振動数!$O$6:$O$22)^2)^2+固有振動数!$P$6:$P$22^2))</f>
        <v>-21.9906086161435</v>
      </c>
      <c r="D1766" s="71" t="n">
        <f aca="false">SQRT(B1766^2+C1766^2)</f>
        <v>46.3205493480194</v>
      </c>
      <c r="E1766" s="72" t="n">
        <f aca="false">20*LOG10(MAX(D1766,0.000000000001)/$K$3)</f>
        <v>33.3154740270813</v>
      </c>
      <c r="F1766" s="5"/>
      <c r="G1766" s="5"/>
      <c r="H1766" s="5"/>
      <c r="I1766" s="5"/>
      <c r="J1766" s="5"/>
      <c r="K1766" s="5"/>
      <c r="L1766" s="5"/>
      <c r="M1766" s="5"/>
      <c r="N1766" s="5"/>
    </row>
    <row r="1767" customFormat="false" ht="15" hidden="false" customHeight="false" outlineLevel="0" collapsed="false">
      <c r="A1767" s="71" t="n">
        <f aca="false">A1766+$F$3</f>
        <v>35220</v>
      </c>
      <c r="B1767" s="71" t="n">
        <f aca="false">SUMPRODUCT(固有振動数!$Q$6:$Q$22*(1-($A1767/固有振動数!$O$6:$O$22)^2)/((1-($A1767/固有振動数!$O$6:$O$22)^2)^2+固有振動数!$P$6:$P$22^2))</f>
        <v>42.1880937114835</v>
      </c>
      <c r="C1767" s="71" t="n">
        <f aca="false">-SUMPRODUCT(固有振動数!$Q$6:$Q$22*固有振動数!$P$6:$P$22/((1-($A1767/固有振動数!$O$6:$O$22)^2)^2+固有振動数!$P$6:$P$22^2))</f>
        <v>-24.1073126996033</v>
      </c>
      <c r="D1767" s="71" t="n">
        <f aca="false">SQRT(B1767^2+C1767^2)</f>
        <v>48.5900995739397</v>
      </c>
      <c r="E1767" s="72" t="n">
        <f aca="false">20*LOG10(MAX(D1767,0.000000000001)/$K$3)</f>
        <v>33.7309557809589</v>
      </c>
      <c r="F1767" s="5"/>
      <c r="G1767" s="5"/>
      <c r="H1767" s="5"/>
      <c r="I1767" s="5"/>
      <c r="J1767" s="5"/>
      <c r="K1767" s="5"/>
      <c r="L1767" s="5"/>
      <c r="M1767" s="5"/>
      <c r="N1767" s="5"/>
    </row>
    <row r="1768" customFormat="false" ht="15" hidden="false" customHeight="false" outlineLevel="0" collapsed="false">
      <c r="A1768" s="71" t="n">
        <f aca="false">A1767+$F$3</f>
        <v>35240</v>
      </c>
      <c r="B1768" s="71" t="n">
        <f aca="false">SUMPRODUCT(固有振動数!$Q$6:$Q$22*(1-($A1768/固有振動数!$O$6:$O$22)^2)/((1-($A1768/固有振動数!$O$6:$O$22)^2)^2+固有振動数!$P$6:$P$22^2))</f>
        <v>43.6206955222424</v>
      </c>
      <c r="C1768" s="71" t="n">
        <f aca="false">-SUMPRODUCT(固有振動数!$Q$6:$Q$22*固有振動数!$P$6:$P$22/((1-($A1768/固有振動数!$O$6:$O$22)^2)^2+固有振動数!$P$6:$P$22^2))</f>
        <v>-26.5138140668393</v>
      </c>
      <c r="D1768" s="71" t="n">
        <f aca="false">SQRT(B1768^2+C1768^2)</f>
        <v>51.0465220579729</v>
      </c>
      <c r="E1768" s="72" t="n">
        <f aca="false">20*LOG10(MAX(D1768,0.000000000001)/$K$3)</f>
        <v>34.1593231547132</v>
      </c>
      <c r="F1768" s="5"/>
      <c r="G1768" s="5"/>
      <c r="H1768" s="5"/>
      <c r="I1768" s="5"/>
      <c r="J1768" s="5"/>
      <c r="K1768" s="5"/>
      <c r="L1768" s="5"/>
      <c r="M1768" s="5"/>
      <c r="N1768" s="5"/>
    </row>
    <row r="1769" customFormat="false" ht="15" hidden="false" customHeight="false" outlineLevel="0" collapsed="false">
      <c r="A1769" s="71" t="n">
        <f aca="false">A1768+$F$3</f>
        <v>35260</v>
      </c>
      <c r="B1769" s="71" t="n">
        <f aca="false">SUMPRODUCT(固有振動数!$Q$6:$Q$22*(1-($A1769/固有振動数!$O$6:$O$22)^2)/((1-($A1769/固有振動数!$O$6:$O$22)^2)^2+固有振動数!$P$6:$P$22^2))</f>
        <v>45.0393645942547</v>
      </c>
      <c r="C1769" s="71" t="n">
        <f aca="false">-SUMPRODUCT(固有振動数!$Q$6:$Q$22*固有振動数!$P$6:$P$22/((1-($A1769/固有振動数!$O$6:$O$22)^2)^2+固有振動数!$P$6:$P$22^2))</f>
        <v>-29.2555771774742</v>
      </c>
      <c r="D1769" s="71" t="n">
        <f aca="false">SQRT(B1769^2+C1769^2)</f>
        <v>53.7069190983932</v>
      </c>
      <c r="E1769" s="72" t="n">
        <f aca="false">20*LOG10(MAX(D1769,0.000000000001)/$K$3)</f>
        <v>34.6006047950638</v>
      </c>
      <c r="F1769" s="5"/>
      <c r="G1769" s="5"/>
      <c r="H1769" s="5"/>
      <c r="I1769" s="5"/>
      <c r="J1769" s="5"/>
      <c r="K1769" s="5"/>
      <c r="L1769" s="5"/>
      <c r="M1769" s="5"/>
      <c r="N1769" s="5"/>
    </row>
    <row r="1770" customFormat="false" ht="15" hidden="false" customHeight="false" outlineLevel="0" collapsed="false">
      <c r="A1770" s="71" t="n">
        <f aca="false">A1769+$F$3</f>
        <v>35280</v>
      </c>
      <c r="B1770" s="71" t="n">
        <f aca="false">SUMPRODUCT(固有振動数!$Q$6:$Q$22*(1-($A1770/固有振動数!$O$6:$O$22)^2)/((1-($A1770/固有振動数!$O$6:$O$22)^2)^2+固有振動数!$P$6:$P$22^2))</f>
        <v>46.40595008136</v>
      </c>
      <c r="C1770" s="71" t="n">
        <f aca="false">-SUMPRODUCT(固有振動数!$Q$6:$Q$22*固有振動数!$P$6:$P$22/((1-($A1770/固有振動数!$O$6:$O$22)^2)^2+固有振動数!$P$6:$P$22^2))</f>
        <v>-32.3838532532009</v>
      </c>
      <c r="D1770" s="71" t="n">
        <f aca="false">SQRT(B1770^2+C1770^2)</f>
        <v>56.5882156855871</v>
      </c>
      <c r="E1770" s="72" t="n">
        <f aca="false">20*LOG10(MAX(D1770,0.000000000001)/$K$3)</f>
        <v>35.054520003421</v>
      </c>
      <c r="F1770" s="5"/>
      <c r="G1770" s="5"/>
      <c r="H1770" s="5"/>
      <c r="I1770" s="5"/>
      <c r="J1770" s="5"/>
      <c r="K1770" s="5"/>
      <c r="L1770" s="5"/>
      <c r="M1770" s="5"/>
      <c r="N1770" s="5"/>
    </row>
    <row r="1771" customFormat="false" ht="15" hidden="false" customHeight="false" outlineLevel="0" collapsed="false">
      <c r="A1771" s="71" t="n">
        <f aca="false">A1770+$F$3</f>
        <v>35300</v>
      </c>
      <c r="B1771" s="71" t="n">
        <f aca="false">SUMPRODUCT(固有振動数!$Q$6:$Q$22*(1-($A1771/固有振動数!$O$6:$O$22)^2)/((1-($A1771/固有振動数!$O$6:$O$22)^2)^2+固有振動数!$P$6:$P$22^2))</f>
        <v>47.6659238478405</v>
      </c>
      <c r="C1771" s="71" t="n">
        <f aca="false">-SUMPRODUCT(固有振動数!$Q$6:$Q$22*固有振動数!$P$6:$P$22/((1-($A1771/固有振動数!$O$6:$O$22)^2)^2+固有振動数!$P$6:$P$22^2))</f>
        <v>-35.9548487584913</v>
      </c>
      <c r="D1771" s="71" t="n">
        <f aca="false">SQRT(B1771^2+C1771^2)</f>
        <v>59.7058744640267</v>
      </c>
      <c r="E1771" s="72" t="n">
        <f aca="false">20*LOG10(MAX(D1771,0.000000000001)/$K$3)</f>
        <v>35.5203412697559</v>
      </c>
      <c r="F1771" s="5"/>
      <c r="G1771" s="5"/>
      <c r="H1771" s="5"/>
      <c r="I1771" s="5"/>
      <c r="J1771" s="5"/>
      <c r="K1771" s="5"/>
      <c r="L1771" s="5"/>
      <c r="M1771" s="5"/>
      <c r="N1771" s="5"/>
    </row>
    <row r="1772" customFormat="false" ht="15" hidden="false" customHeight="false" outlineLevel="0" collapsed="false">
      <c r="A1772" s="71" t="n">
        <f aca="false">A1771+$F$3</f>
        <v>35320</v>
      </c>
      <c r="B1772" s="71" t="n">
        <f aca="false">SUMPRODUCT(固有振動数!$Q$6:$Q$22*(1-($A1772/固有振動数!$O$6:$O$22)^2)/((1-($A1772/固有振動数!$O$6:$O$22)^2)^2+固有振動数!$P$6:$P$22^2))</f>
        <v>48.742775965023</v>
      </c>
      <c r="C1772" s="71" t="n">
        <f aca="false">-SUMPRODUCT(固有振動数!$Q$6:$Q$22*固有振動数!$P$6:$P$22/((1-($A1772/固有振動数!$O$6:$O$22)^2)^2+固有振動数!$P$6:$P$22^2))</f>
        <v>-40.0274525072286</v>
      </c>
      <c r="D1772" s="71" t="n">
        <f aca="false">SQRT(B1772^2+C1772^2)</f>
        <v>63.0718254293854</v>
      </c>
      <c r="E1772" s="72" t="n">
        <f aca="false">20*LOG10(MAX(D1772,0.000000000001)/$K$3)</f>
        <v>35.9967080111576</v>
      </c>
      <c r="F1772" s="5"/>
      <c r="G1772" s="5"/>
      <c r="H1772" s="5"/>
      <c r="I1772" s="5"/>
      <c r="J1772" s="5"/>
      <c r="K1772" s="5"/>
      <c r="L1772" s="5"/>
      <c r="M1772" s="5"/>
      <c r="N1772" s="5"/>
    </row>
    <row r="1773" customFormat="false" ht="15" hidden="false" customHeight="false" outlineLevel="0" collapsed="false">
      <c r="A1773" s="71" t="n">
        <f aca="false">A1772+$F$3</f>
        <v>35340</v>
      </c>
      <c r="B1773" s="71" t="n">
        <f aca="false">SUMPRODUCT(固有振動数!$Q$6:$Q$22*(1-($A1773/固有振動数!$O$6:$O$22)^2)/((1-($A1773/固有振動数!$O$6:$O$22)^2)^2+固有振動数!$P$6:$P$22^2))</f>
        <v>49.5312076987216</v>
      </c>
      <c r="C1773" s="71" t="n">
        <f aca="false">-SUMPRODUCT(固有振動数!$Q$6:$Q$22*固有振動数!$P$6:$P$22/((1-($A1773/固有振動数!$O$6:$O$22)^2)^2+固有振動数!$P$6:$P$22^2))</f>
        <v>-44.6585324535825</v>
      </c>
      <c r="D1773" s="71" t="n">
        <f aca="false">SQRT(B1773^2+C1773^2)</f>
        <v>66.6912667221247</v>
      </c>
      <c r="E1773" s="72" t="n">
        <f aca="false">20*LOG10(MAX(D1773,0.000000000001)/$K$3)</f>
        <v>36.4813793281914</v>
      </c>
      <c r="F1773" s="5"/>
      <c r="G1773" s="5"/>
      <c r="H1773" s="5"/>
      <c r="I1773" s="5"/>
      <c r="J1773" s="5"/>
      <c r="K1773" s="5"/>
      <c r="L1773" s="5"/>
      <c r="M1773" s="5"/>
      <c r="N1773" s="5"/>
    </row>
    <row r="1774" customFormat="false" ht="15" hidden="false" customHeight="false" outlineLevel="0" collapsed="false">
      <c r="A1774" s="71" t="n">
        <f aca="false">A1773+$F$3</f>
        <v>35360</v>
      </c>
      <c r="B1774" s="71" t="n">
        <f aca="false">SUMPRODUCT(固有振動数!$Q$6:$Q$22*(1-($A1774/固有振動数!$O$6:$O$22)^2)/((1-($A1774/固有振動数!$O$6:$O$22)^2)^2+固有振動数!$P$6:$P$22^2))</f>
        <v>49.8895925722953</v>
      </c>
      <c r="C1774" s="71" t="n">
        <f aca="false">-SUMPRODUCT(固有振動数!$Q$6:$Q$22*固有振動数!$P$6:$P$22/((1-($A1774/固有振動数!$O$6:$O$22)^2)^2+固有振動数!$P$6:$P$22^2))</f>
        <v>-49.8943776734085</v>
      </c>
      <c r="D1774" s="71" t="n">
        <f aca="false">SQRT(B1774^2+C1774^2)</f>
        <v>70.5579220955829</v>
      </c>
      <c r="E1774" s="72" t="n">
        <f aca="false">20*LOG10(MAX(D1774,0.000000000001)/$K$3)</f>
        <v>36.9709156500404</v>
      </c>
      <c r="F1774" s="5"/>
      <c r="G1774" s="5"/>
      <c r="H1774" s="5"/>
      <c r="I1774" s="5"/>
      <c r="J1774" s="5"/>
      <c r="K1774" s="5"/>
      <c r="L1774" s="5"/>
      <c r="M1774" s="5"/>
      <c r="N1774" s="5"/>
    </row>
    <row r="1775" customFormat="false" ht="15" hidden="false" customHeight="false" outlineLevel="0" collapsed="false">
      <c r="A1775" s="71" t="n">
        <f aca="false">A1774+$F$3</f>
        <v>35380</v>
      </c>
      <c r="B1775" s="71" t="n">
        <f aca="false">SUMPRODUCT(固有振動数!$Q$6:$Q$22*(1-($A1775/固有振動数!$O$6:$O$22)^2)/((1-($A1775/固有振動数!$O$6:$O$22)^2)^2+固有振動数!$P$6:$P$22^2))</f>
        <v>49.633094560541</v>
      </c>
      <c r="C1775" s="71" t="n">
        <f aca="false">-SUMPRODUCT(固有振動数!$Q$6:$Q$22*固有振動数!$P$6:$P$22/((1-($A1775/固有振動数!$O$6:$O$22)^2)^2+固有振動数!$P$6:$P$22^2))</f>
        <v>-55.7564569834334</v>
      </c>
      <c r="D1775" s="71" t="n">
        <f aca="false">SQRT(B1775^2+C1775^2)</f>
        <v>74.6473480506914</v>
      </c>
      <c r="E1775" s="72" t="n">
        <f aca="false">20*LOG10(MAX(D1775,0.000000000001)/$K$3)</f>
        <v>37.4602876685728</v>
      </c>
      <c r="F1775" s="5"/>
      <c r="G1775" s="5"/>
      <c r="H1775" s="5"/>
      <c r="I1775" s="5"/>
      <c r="J1775" s="5"/>
      <c r="K1775" s="5"/>
      <c r="L1775" s="5"/>
      <c r="M1775" s="5"/>
      <c r="N1775" s="5"/>
    </row>
    <row r="1776" customFormat="false" ht="15" hidden="false" customHeight="false" outlineLevel="0" collapsed="false">
      <c r="A1776" s="71" t="n">
        <f aca="false">A1775+$F$3</f>
        <v>35400</v>
      </c>
      <c r="B1776" s="71" t="n">
        <f aca="false">SUMPRODUCT(固有振動数!$Q$6:$Q$22*(1-($A1776/固有振動数!$O$6:$O$22)^2)/((1-($A1776/固有振動数!$O$6:$O$22)^2)^2+固有振動数!$P$6:$P$22^2))</f>
        <v>48.5304556572773</v>
      </c>
      <c r="C1776" s="71" t="n">
        <f aca="false">-SUMPRODUCT(固有振動数!$Q$6:$Q$22*固有振動数!$P$6:$P$22/((1-($A1776/固有振動数!$O$6:$O$22)^2)^2+固有振動数!$P$6:$P$22^2))</f>
        <v>-62.2196361487433</v>
      </c>
      <c r="D1776" s="71" t="n">
        <f aca="false">SQRT(B1776^2+C1776^2)</f>
        <v>78.9081000201181</v>
      </c>
      <c r="E1776" s="72" t="n">
        <f aca="false">20*LOG10(MAX(D1776,0.000000000001)/$K$3)</f>
        <v>37.9424317279353</v>
      </c>
      <c r="F1776" s="5"/>
      <c r="G1776" s="5"/>
      <c r="H1776" s="5"/>
      <c r="I1776" s="5"/>
      <c r="J1776" s="5"/>
      <c r="K1776" s="5"/>
      <c r="L1776" s="5"/>
      <c r="M1776" s="5"/>
      <c r="N1776" s="5"/>
    </row>
    <row r="1777" customFormat="false" ht="15" hidden="false" customHeight="false" outlineLevel="0" collapsed="false">
      <c r="A1777" s="71" t="n">
        <f aca="false">A1776+$F$3</f>
        <v>35420</v>
      </c>
      <c r="B1777" s="71" t="n">
        <f aca="false">SUMPRODUCT(固有振動数!$Q$6:$Q$22*(1-($A1777/固有振動数!$O$6:$O$22)^2)/((1-($A1777/固有振動数!$O$6:$O$22)^2)^2+固有振動数!$P$6:$P$22^2))</f>
        <v>46.3098716987766</v>
      </c>
      <c r="C1777" s="71" t="n">
        <f aca="false">-SUMPRODUCT(固有振動数!$Q$6:$Q$22*固有振動数!$P$6:$P$22/((1-($A1777/固有振動数!$O$6:$O$22)^2)^2+固有振動数!$P$6:$P$22^2))</f>
        <v>-69.1820806280528</v>
      </c>
      <c r="D1777" s="71" t="n">
        <f aca="false">SQRT(B1777^2+C1777^2)</f>
        <v>83.2512131850554</v>
      </c>
      <c r="E1777" s="72" t="n">
        <f aca="false">20*LOG10(MAX(D1777,0.000000000001)/$K$3)</f>
        <v>38.4078114203206</v>
      </c>
      <c r="F1777" s="5"/>
      <c r="G1777" s="5"/>
      <c r="H1777" s="5"/>
      <c r="I1777" s="5"/>
      <c r="J1777" s="5"/>
      <c r="K1777" s="5"/>
      <c r="L1777" s="5"/>
      <c r="M1777" s="5"/>
      <c r="N1777" s="5"/>
    </row>
    <row r="1778" customFormat="false" ht="15" hidden="false" customHeight="false" outlineLevel="0" collapsed="false">
      <c r="A1778" s="71" t="n">
        <f aca="false">A1777+$F$3</f>
        <v>35440</v>
      </c>
      <c r="B1778" s="71" t="n">
        <f aca="false">SUMPRODUCT(固有振動数!$Q$6:$Q$22*(1-($A1778/固有振動数!$O$6:$O$22)^2)/((1-($A1778/固有振動数!$O$6:$O$22)^2)^2+固有振動数!$P$6:$P$22^2))</f>
        <v>42.6819906018097</v>
      </c>
      <c r="C1778" s="71" t="n">
        <f aca="false">-SUMPRODUCT(固有振動数!$Q$6:$Q$22*固有振動数!$P$6:$P$22/((1-($A1778/固有振動数!$O$6:$O$22)^2)^2+固有振動数!$P$6:$P$22^2))</f>
        <v>-76.4294760559281</v>
      </c>
      <c r="D1778" s="71" t="n">
        <f aca="false">SQRT(B1778^2+C1778^2)</f>
        <v>87.5398031293003</v>
      </c>
      <c r="E1778" s="72" t="n">
        <f aca="false">20*LOG10(MAX(D1778,0.000000000001)/$K$3)</f>
        <v>38.8441113116249</v>
      </c>
      <c r="F1778" s="5"/>
      <c r="G1778" s="5"/>
      <c r="H1778" s="5"/>
      <c r="I1778" s="5"/>
      <c r="J1778" s="5"/>
      <c r="K1778" s="5"/>
      <c r="L1778" s="5"/>
      <c r="M1778" s="5"/>
      <c r="N1778" s="5"/>
    </row>
    <row r="1779" customFormat="false" ht="15" hidden="false" customHeight="false" outlineLevel="0" collapsed="false">
      <c r="A1779" s="71" t="n">
        <f aca="false">A1778+$F$3</f>
        <v>35460</v>
      </c>
      <c r="B1779" s="71" t="n">
        <f aca="false">SUMPRODUCT(固有振動数!$Q$6:$Q$22*(1-($A1779/固有振動数!$O$6:$O$22)^2)/((1-($A1779/固有振動数!$O$6:$O$22)^2)^2+固有振動数!$P$6:$P$22^2))</f>
        <v>37.3888091045062</v>
      </c>
      <c r="C1779" s="71" t="n">
        <f aca="false">-SUMPRODUCT(固有振動数!$Q$6:$Q$22*固有振動数!$P$6:$P$22/((1-($A1779/固有振動数!$O$6:$O$22)^2)^2+固有振動数!$P$6:$P$22^2))</f>
        <v>-83.6030980700397</v>
      </c>
      <c r="D1779" s="71" t="n">
        <f aca="false">SQRT(B1779^2+C1779^2)</f>
        <v>91.5827552171362</v>
      </c>
      <c r="E1779" s="72" t="n">
        <f aca="false">20*LOG10(MAX(D1779,0.000000000001)/$K$3)</f>
        <v>39.2362740980068</v>
      </c>
      <c r="F1779" s="5"/>
      <c r="G1779" s="5"/>
      <c r="H1779" s="5"/>
      <c r="I1779" s="5"/>
      <c r="J1779" s="5"/>
      <c r="K1779" s="5"/>
      <c r="L1779" s="5"/>
      <c r="M1779" s="5"/>
      <c r="N1779" s="5"/>
    </row>
    <row r="1780" customFormat="false" ht="15" hidden="false" customHeight="false" outlineLevel="0" collapsed="false">
      <c r="A1780" s="71" t="n">
        <f aca="false">A1779+$F$3</f>
        <v>35480</v>
      </c>
      <c r="B1780" s="71" t="n">
        <f aca="false">SUMPRODUCT(固有振動数!$Q$6:$Q$22*(1-($A1780/固有振動数!$O$6:$O$22)^2)/((1-($A1780/固有振動数!$O$6:$O$22)^2)^2+固有振動数!$P$6:$P$22^2))</f>
        <v>30.2819438972103</v>
      </c>
      <c r="C1780" s="71" t="n">
        <f aca="false">-SUMPRODUCT(固有振動数!$Q$6:$Q$22*固有振動数!$P$6:$P$22/((1-($A1780/固有振動数!$O$6:$O$22)^2)^2+固有振動数!$P$6:$P$22^2))</f>
        <v>-90.1909593143969</v>
      </c>
      <c r="D1780" s="71" t="n">
        <f aca="false">SQRT(B1780^2+C1780^2)</f>
        <v>95.1388735914242</v>
      </c>
      <c r="E1780" s="72" t="n">
        <f aca="false">20*LOG10(MAX(D1780,0.000000000001)/$K$3)</f>
        <v>39.5671601046113</v>
      </c>
      <c r="F1780" s="5"/>
      <c r="G1780" s="5"/>
      <c r="H1780" s="5"/>
      <c r="I1780" s="5"/>
      <c r="J1780" s="5"/>
      <c r="K1780" s="5"/>
      <c r="L1780" s="5"/>
      <c r="M1780" s="5"/>
      <c r="N1780" s="5"/>
    </row>
    <row r="1781" customFormat="false" ht="15" hidden="false" customHeight="false" outlineLevel="0" collapsed="false">
      <c r="A1781" s="71" t="n">
        <f aca="false">A1780+$F$3</f>
        <v>35500</v>
      </c>
      <c r="B1781" s="71" t="n">
        <f aca="false">SUMPRODUCT(固有振動数!$Q$6:$Q$22*(1-($A1781/固有振動数!$O$6:$O$22)^2)/((1-($A1781/固有振動数!$O$6:$O$22)^2)^2+固有振動数!$P$6:$P$22^2))</f>
        <v>21.4179538079803</v>
      </c>
      <c r="C1781" s="71" t="n">
        <f aca="false">-SUMPRODUCT(固有振動数!$Q$6:$Q$22*固有振動数!$P$6:$P$22/((1-($A1781/固有振動数!$O$6:$O$22)^2)^2+固有振動数!$P$6:$P$22^2))</f>
        <v>-95.5679610042445</v>
      </c>
      <c r="D1781" s="71" t="n">
        <f aca="false">SQRT(B1781^2+C1781^2)</f>
        <v>97.9385721553545</v>
      </c>
      <c r="E1781" s="72" t="n">
        <f aca="false">20*LOG10(MAX(D1781,0.000000000001)/$K$3)</f>
        <v>39.8190753631415</v>
      </c>
      <c r="F1781" s="5"/>
      <c r="G1781" s="5"/>
      <c r="H1781" s="5"/>
      <c r="I1781" s="5"/>
      <c r="J1781" s="5"/>
      <c r="K1781" s="5"/>
      <c r="L1781" s="5"/>
      <c r="M1781" s="5"/>
      <c r="N1781" s="5"/>
    </row>
    <row r="1782" customFormat="false" ht="15" hidden="false" customHeight="false" outlineLevel="0" collapsed="false">
      <c r="A1782" s="71" t="n">
        <f aca="false">A1781+$F$3</f>
        <v>35520</v>
      </c>
      <c r="B1782" s="71" t="n">
        <f aca="false">SUMPRODUCT(固有振動数!$Q$6:$Q$22*(1-($A1782/固有振動数!$O$6:$O$22)^2)/((1-($A1782/固有振動数!$O$6:$O$22)^2)^2+固有振動数!$P$6:$P$22^2))</f>
        <v>11.1340984537879</v>
      </c>
      <c r="C1782" s="71" t="n">
        <f aca="false">-SUMPRODUCT(固有振動数!$Q$6:$Q$22*固有振動数!$P$6:$P$22/((1-($A1782/固有振動数!$O$6:$O$22)^2)^2+固有振動数!$P$6:$P$22^2))</f>
        <v>-99.102634922519</v>
      </c>
      <c r="D1782" s="71" t="n">
        <f aca="false">SQRT(B1782^2+C1782^2)</f>
        <v>99.7261269525931</v>
      </c>
      <c r="E1782" s="72" t="n">
        <f aca="false">20*LOG10(MAX(D1782,0.000000000001)/$K$3)</f>
        <v>39.9761790548699</v>
      </c>
      <c r="F1782" s="5"/>
      <c r="G1782" s="5"/>
      <c r="H1782" s="5"/>
      <c r="I1782" s="5"/>
      <c r="J1782" s="5"/>
      <c r="K1782" s="5"/>
      <c r="L1782" s="5"/>
      <c r="M1782" s="5"/>
      <c r="N1782" s="5"/>
    </row>
    <row r="1783" customFormat="false" ht="15" hidden="false" customHeight="false" outlineLevel="0" collapsed="false">
      <c r="A1783" s="71" t="n">
        <f aca="false">A1782+$F$3</f>
        <v>35540</v>
      </c>
      <c r="B1783" s="71" t="n">
        <f aca="false">SUMPRODUCT(固有振動数!$Q$6:$Q$22*(1-($A1783/固有振動数!$O$6:$O$22)^2)/((1-($A1783/固有振動数!$O$6:$O$22)^2)^2+固有振動数!$P$6:$P$22^2))</f>
        <v>0.0520563473489023</v>
      </c>
      <c r="C1783" s="71" t="n">
        <f aca="false">-SUMPRODUCT(固有振動数!$Q$6:$Q$22*固有振動数!$P$6:$P$22/((1-($A1783/固有振動数!$O$6:$O$22)^2)^2+固有振動数!$P$6:$P$22^2))</f>
        <v>-100.315106900337</v>
      </c>
      <c r="D1783" s="71" t="n">
        <f aca="false">SQRT(B1783^2+C1783^2)</f>
        <v>100.315120407092</v>
      </c>
      <c r="E1783" s="72" t="n">
        <f aca="false">20*LOG10(MAX(D1783,0.000000000001)/$K$3)</f>
        <v>40.027327975352</v>
      </c>
      <c r="F1783" s="5"/>
      <c r="G1783" s="5"/>
      <c r="H1783" s="5"/>
      <c r="I1783" s="5"/>
      <c r="J1783" s="5"/>
      <c r="K1783" s="5"/>
      <c r="L1783" s="5"/>
      <c r="M1783" s="5"/>
      <c r="N1783" s="5"/>
    </row>
    <row r="1784" customFormat="false" ht="15" hidden="false" customHeight="false" outlineLevel="0" collapsed="false">
      <c r="A1784" s="71" t="n">
        <f aca="false">A1783+$F$3</f>
        <v>35560</v>
      </c>
      <c r="B1784" s="71" t="n">
        <f aca="false">SUMPRODUCT(固有振動数!$Q$6:$Q$22*(1-($A1784/固有振動数!$O$6:$O$22)^2)/((1-($A1784/固有振動数!$O$6:$O$22)^2)^2+固有振動数!$P$6:$P$22^2))</f>
        <v>-11.0239935625464</v>
      </c>
      <c r="C1784" s="71" t="n">
        <f aca="false">-SUMPRODUCT(固有振動数!$Q$6:$Q$22*固有振動数!$P$6:$P$22/((1-($A1784/固有振動数!$O$6:$O$22)^2)^2+固有振動数!$P$6:$P$22^2))</f>
        <v>-99.0257709821699</v>
      </c>
      <c r="D1784" s="71" t="n">
        <f aca="false">SQRT(B1784^2+C1784^2)</f>
        <v>99.637501738453</v>
      </c>
      <c r="E1784" s="72" t="n">
        <f aca="false">20*LOG10(MAX(D1784,0.000000000001)/$K$3)</f>
        <v>39.9684565943094</v>
      </c>
      <c r="F1784" s="5"/>
      <c r="G1784" s="5"/>
      <c r="H1784" s="5"/>
      <c r="I1784" s="5"/>
      <c r="J1784" s="5"/>
      <c r="K1784" s="5"/>
      <c r="L1784" s="5"/>
      <c r="M1784" s="5"/>
      <c r="N1784" s="5"/>
    </row>
    <row r="1785" customFormat="false" ht="15" hidden="false" customHeight="false" outlineLevel="0" collapsed="false">
      <c r="A1785" s="71" t="n">
        <f aca="false">A1784+$F$3</f>
        <v>35580</v>
      </c>
      <c r="B1785" s="71" t="n">
        <f aca="false">SUMPRODUCT(固有振動数!$Q$6:$Q$22*(1-($A1785/固有振動数!$O$6:$O$22)^2)/((1-($A1785/固有振動数!$O$6:$O$22)^2)^2+固有振動数!$P$6:$P$22^2))</f>
        <v>-21.2901881409269</v>
      </c>
      <c r="C1785" s="71" t="n">
        <f aca="false">-SUMPRODUCT(固有振動数!$Q$6:$Q$22*固有振動数!$P$6:$P$22/((1-($A1785/固有振動数!$O$6:$O$22)^2)^2+固有振動数!$P$6:$P$22^2))</f>
        <v>-95.4169951860571</v>
      </c>
      <c r="D1785" s="71" t="n">
        <f aca="false">SQRT(B1785^2+C1785^2)</f>
        <v>97.7633626744299</v>
      </c>
      <c r="E1785" s="72" t="n">
        <f aca="false">20*LOG10(MAX(D1785,0.000000000001)/$K$3)</f>
        <v>39.8035226234837</v>
      </c>
      <c r="F1785" s="5"/>
      <c r="G1785" s="5"/>
      <c r="H1785" s="5"/>
      <c r="I1785" s="5"/>
      <c r="J1785" s="5"/>
      <c r="K1785" s="5"/>
      <c r="L1785" s="5"/>
      <c r="M1785" s="5"/>
      <c r="N1785" s="5"/>
    </row>
    <row r="1786" customFormat="false" ht="15" hidden="false" customHeight="false" outlineLevel="0" collapsed="false">
      <c r="A1786" s="71" t="n">
        <f aca="false">A1785+$F$3</f>
        <v>35600</v>
      </c>
      <c r="B1786" s="71" t="n">
        <f aca="false">SUMPRODUCT(固有振動数!$Q$6:$Q$22*(1-($A1786/固有振動数!$O$6:$O$22)^2)/((1-($A1786/固有振動数!$O$6:$O$22)^2)^2+固有振動数!$P$6:$P$22^2))</f>
        <v>-30.1258761708325</v>
      </c>
      <c r="C1786" s="71" t="n">
        <f aca="false">-SUMPRODUCT(固有振動数!$Q$6:$Q$22*固有振動数!$P$6:$P$22/((1-($A1786/固有振動数!$O$6:$O$22)^2)^2+固有振動数!$P$6:$P$22^2))</f>
        <v>-89.9713428226985</v>
      </c>
      <c r="D1786" s="71" t="n">
        <f aca="false">SQRT(B1786^2+C1786^2)</f>
        <v>94.8810357467701</v>
      </c>
      <c r="E1786" s="72" t="n">
        <f aca="false">20*LOG10(MAX(D1786,0.000000000001)/$K$3)</f>
        <v>39.5435883384163</v>
      </c>
      <c r="F1786" s="5"/>
      <c r="G1786" s="5"/>
      <c r="H1786" s="5"/>
      <c r="I1786" s="5"/>
      <c r="J1786" s="5"/>
      <c r="K1786" s="5"/>
      <c r="L1786" s="5"/>
      <c r="M1786" s="5"/>
      <c r="N1786" s="5"/>
    </row>
    <row r="1787" customFormat="false" ht="15" hidden="false" customHeight="false" outlineLevel="0" collapsed="false">
      <c r="A1787" s="71" t="n">
        <f aca="false">A1786+$F$3</f>
        <v>35620</v>
      </c>
      <c r="B1787" s="71" t="n">
        <f aca="false">SUMPRODUCT(固有振動数!$Q$6:$Q$22*(1-($A1787/固有振動数!$O$6:$O$22)^2)/((1-($A1787/固有振動数!$O$6:$O$22)^2)^2+固有振動数!$P$6:$P$22^2))</f>
        <v>-37.1956267956949</v>
      </c>
      <c r="C1787" s="71" t="n">
        <f aca="false">-SUMPRODUCT(固有振動数!$Q$6:$Q$22*固有振動数!$P$6:$P$22/((1-($A1787/固有振動数!$O$6:$O$22)^2)^2+固有振動数!$P$6:$P$22^2))</f>
        <v>-83.3226300422858</v>
      </c>
      <c r="D1787" s="71" t="n">
        <f aca="false">SQRT(B1787^2+C1787^2)</f>
        <v>91.2478784952737</v>
      </c>
      <c r="E1787" s="72" t="n">
        <f aca="false">20*LOG10(MAX(D1787,0.000000000001)/$K$3)</f>
        <v>39.204455518788</v>
      </c>
      <c r="F1787" s="5"/>
      <c r="G1787" s="5"/>
      <c r="H1787" s="5"/>
      <c r="I1787" s="5"/>
      <c r="J1787" s="5"/>
      <c r="K1787" s="5"/>
      <c r="L1787" s="5"/>
      <c r="M1787" s="5"/>
      <c r="N1787" s="5"/>
    </row>
    <row r="1788" customFormat="false" ht="15" hidden="false" customHeight="false" outlineLevel="0" collapsed="false">
      <c r="A1788" s="71" t="n">
        <f aca="false">A1787+$F$3</f>
        <v>35640</v>
      </c>
      <c r="B1788" s="71" t="n">
        <f aca="false">SUMPRODUCT(固有振動数!$Q$6:$Q$22*(1-($A1788/固有振動数!$O$6:$O$22)^2)/((1-($A1788/固有振動数!$O$6:$O$22)^2)^2+固有振動数!$P$6:$P$22^2))</f>
        <v>-42.445373353009</v>
      </c>
      <c r="C1788" s="71" t="n">
        <f aca="false">-SUMPRODUCT(固有振動数!$Q$6:$Q$22*固有振動数!$P$6:$P$22/((1-($A1788/固有振動数!$O$6:$O$22)^2)^2+固有振動数!$P$6:$P$22^2))</f>
        <v>-76.0975826886364</v>
      </c>
      <c r="D1788" s="71" t="n">
        <f aca="false">SQRT(B1788^2+C1788^2)</f>
        <v>87.1346762783346</v>
      </c>
      <c r="E1788" s="72" t="n">
        <f aca="false">20*LOG10(MAX(D1788,0.000000000001)/$K$3)</f>
        <v>38.803820440989</v>
      </c>
      <c r="F1788" s="5"/>
      <c r="G1788" s="5"/>
      <c r="H1788" s="5"/>
      <c r="I1788" s="5"/>
      <c r="J1788" s="5"/>
      <c r="K1788" s="5"/>
      <c r="L1788" s="5"/>
      <c r="M1788" s="5"/>
      <c r="N1788" s="5"/>
    </row>
    <row r="1789" customFormat="false" ht="15" hidden="false" customHeight="false" outlineLevel="0" collapsed="false">
      <c r="A1789" s="71" t="n">
        <f aca="false">A1788+$F$3</f>
        <v>35660</v>
      </c>
      <c r="B1789" s="71" t="n">
        <f aca="false">SUMPRODUCT(固有振動数!$Q$6:$Q$22*(1-($A1789/固有振動数!$O$6:$O$22)^2)/((1-($A1789/固有振動数!$O$6:$O$22)^2)^2+固有振動数!$P$6:$P$22^2))</f>
        <v>-46.0262675741146</v>
      </c>
      <c r="C1789" s="71" t="n">
        <f aca="false">-SUMPRODUCT(固有振動数!$Q$6:$Q$22*固有振動数!$P$6:$P$22/((1-($A1789/固有振動数!$O$6:$O$22)^2)^2+固有振動数!$P$6:$P$22^2))</f>
        <v>-68.8088539701845</v>
      </c>
      <c r="D1789" s="71" t="n">
        <f aca="false">SQRT(B1789^2+C1789^2)</f>
        <v>82.7833056328036</v>
      </c>
      <c r="E1789" s="72" t="n">
        <f aca="false">20*LOG10(MAX(D1789,0.000000000001)/$K$3)</f>
        <v>38.3588552858038</v>
      </c>
      <c r="F1789" s="5"/>
      <c r="G1789" s="5"/>
      <c r="H1789" s="5"/>
      <c r="I1789" s="5"/>
      <c r="J1789" s="5"/>
      <c r="K1789" s="5"/>
      <c r="L1789" s="5"/>
      <c r="M1789" s="5"/>
      <c r="N1789" s="5"/>
    </row>
    <row r="1790" customFormat="false" ht="15" hidden="false" customHeight="false" outlineLevel="0" collapsed="false">
      <c r="A1790" s="71" t="n">
        <f aca="false">A1789+$F$3</f>
        <v>35680</v>
      </c>
      <c r="B1790" s="71" t="n">
        <f aca="false">SUMPRODUCT(固有振動数!$Q$6:$Q$22*(1-($A1790/固有振動数!$O$6:$O$22)^2)/((1-($A1790/固有振動数!$O$6:$O$22)^2)^2+固有振動数!$P$6:$P$22^2))</f>
        <v>-48.1989114192401</v>
      </c>
      <c r="C1790" s="71" t="n">
        <f aca="false">-SUMPRODUCT(固有振動数!$Q$6:$Q$22*固有振動数!$P$6:$P$22/((1-($A1790/固有振動数!$O$6:$O$22)^2)^2+固有振動数!$P$6:$P$22^2))</f>
        <v>-61.8149072046364</v>
      </c>
      <c r="D1790" s="71" t="n">
        <f aca="false">SQRT(B1790^2+C1790^2)</f>
        <v>78.3850611705927</v>
      </c>
      <c r="E1790" s="72" t="n">
        <f aca="false">20*LOG10(MAX(D1790,0.000000000001)/$K$3)</f>
        <v>37.8846660319096</v>
      </c>
      <c r="F1790" s="5"/>
      <c r="G1790" s="5"/>
      <c r="H1790" s="5"/>
      <c r="I1790" s="5"/>
      <c r="J1790" s="5"/>
      <c r="K1790" s="5"/>
      <c r="L1790" s="5"/>
      <c r="M1790" s="5"/>
      <c r="N1790" s="5"/>
    </row>
    <row r="1791" customFormat="false" ht="15" hidden="false" customHeight="false" outlineLevel="0" collapsed="false">
      <c r="A1791" s="71" t="n">
        <f aca="false">A1790+$F$3</f>
        <v>35700</v>
      </c>
      <c r="B1791" s="71" t="n">
        <f aca="false">SUMPRODUCT(固有振動数!$Q$6:$Q$22*(1-($A1791/固有振動数!$O$6:$O$22)^2)/((1-($A1791/固有振動数!$O$6:$O$22)^2)^2+固有振動数!$P$6:$P$22^2))</f>
        <v>-49.25477103449</v>
      </c>
      <c r="C1791" s="71" t="n">
        <f aca="false">-SUMPRODUCT(固有振動数!$Q$6:$Q$22*固有振動数!$P$6:$P$22/((1-($A1791/固有振動数!$O$6:$O$22)^2)^2+固有振動数!$P$6:$P$22^2))</f>
        <v>-55.3291152487525</v>
      </c>
      <c r="D1791" s="71" t="n">
        <f aca="false">SQRT(B1791^2+C1791^2)</f>
        <v>74.0766053749075</v>
      </c>
      <c r="E1791" s="72" t="n">
        <f aca="false">20*LOG10(MAX(D1791,0.000000000001)/$K$3)</f>
        <v>37.3936214441241</v>
      </c>
      <c r="F1791" s="5"/>
      <c r="G1791" s="5"/>
      <c r="H1791" s="5"/>
      <c r="I1791" s="5"/>
      <c r="J1791" s="5"/>
      <c r="K1791" s="5"/>
      <c r="L1791" s="5"/>
      <c r="M1791" s="5"/>
      <c r="N1791" s="5"/>
    </row>
    <row r="1792" customFormat="false" ht="15" hidden="false" customHeight="false" outlineLevel="0" collapsed="false">
      <c r="A1792" s="71" t="n">
        <f aca="false">A1791+$F$3</f>
        <v>35720</v>
      </c>
      <c r="B1792" s="71" t="n">
        <f aca="false">SUMPRODUCT(固有振動数!$Q$6:$Q$22*(1-($A1792/固有振動数!$O$6:$O$22)^2)/((1-($A1792/固有振動数!$O$6:$O$22)^2)^2+固有振動数!$P$6:$P$22^2))</f>
        <v>-49.4671591916004</v>
      </c>
      <c r="C1792" s="71" t="n">
        <f aca="false">-SUMPRODUCT(固有振動数!$Q$6:$Q$22*固有振動数!$P$6:$P$22/((1-($A1792/固有振動数!$O$6:$O$22)^2)^2+固有振動数!$P$6:$P$22^2))</f>
        <v>-49.4520030283305</v>
      </c>
      <c r="D1792" s="71" t="n">
        <f aca="false">SQRT(B1792^2+C1792^2)</f>
        <v>69.9464112160242</v>
      </c>
      <c r="E1792" s="72" t="n">
        <f aca="false">20*LOG10(MAX(D1792,0.000000000001)/$K$3)</f>
        <v>36.8953087356533</v>
      </c>
      <c r="F1792" s="5"/>
      <c r="G1792" s="5"/>
      <c r="H1792" s="5"/>
      <c r="I1792" s="5"/>
      <c r="J1792" s="5"/>
      <c r="K1792" s="5"/>
      <c r="L1792" s="5"/>
      <c r="M1792" s="5"/>
      <c r="N1792" s="5"/>
    </row>
    <row r="1793" customFormat="false" ht="15" hidden="false" customHeight="false" outlineLevel="0" collapsed="false">
      <c r="A1793" s="71" t="n">
        <f aca="false">A1792+$F$3</f>
        <v>35740</v>
      </c>
      <c r="B1793" s="71" t="n">
        <f aca="false">SUMPRODUCT(固有振動数!$Q$6:$Q$22*(1-($A1793/固有振動数!$O$6:$O$22)^2)/((1-($A1793/固有振動数!$O$6:$O$22)^2)^2+固有振動数!$P$6:$P$22^2))</f>
        <v>-49.0682687661233</v>
      </c>
      <c r="C1793" s="71" t="n">
        <f aca="false">-SUMPRODUCT(固有振動数!$Q$6:$Q$22*固有振動数!$P$6:$P$22/((1-($A1793/固有振動数!$O$6:$O$22)^2)^2+固有振動数!$P$6:$P$22^2))</f>
        <v>-44.2072932758069</v>
      </c>
      <c r="D1793" s="71" t="n">
        <f aca="false">SQRT(B1793^2+C1793^2)</f>
        <v>66.0452858157016</v>
      </c>
      <c r="E1793" s="72" t="n">
        <f aca="false">20*LOG10(MAX(D1793,0.000000000001)/$K$3)</f>
        <v>36.3968364791946</v>
      </c>
      <c r="F1793" s="5"/>
      <c r="G1793" s="5"/>
      <c r="H1793" s="5"/>
      <c r="I1793" s="5"/>
      <c r="J1793" s="5"/>
      <c r="K1793" s="5"/>
      <c r="L1793" s="5"/>
      <c r="M1793" s="5"/>
      <c r="N1793" s="5"/>
    </row>
    <row r="1794" customFormat="false" ht="15" hidden="false" customHeight="false" outlineLevel="0" collapsed="false">
      <c r="A1794" s="71" t="n">
        <f aca="false">A1793+$F$3</f>
        <v>35760</v>
      </c>
      <c r="B1794" s="71" t="n">
        <f aca="false">SUMPRODUCT(固有振動数!$Q$6:$Q$22*(1-($A1794/固有振動数!$O$6:$O$22)^2)/((1-($A1794/固有振動数!$O$6:$O$22)^2)^2+固有振動数!$P$6:$P$22^2))</f>
        <v>-48.2434071632786</v>
      </c>
      <c r="C1794" s="71" t="n">
        <f aca="false">-SUMPRODUCT(固有振動数!$Q$6:$Q$22*固有振動数!$P$6:$P$22/((1-($A1794/固有振動数!$O$6:$O$22)^2)^2+固有振動数!$P$6:$P$22^2))</f>
        <v>-39.5721803978631</v>
      </c>
      <c r="D1794" s="71" t="n">
        <f aca="false">SQRT(B1794^2+C1794^2)</f>
        <v>62.3969854733616</v>
      </c>
      <c r="E1794" s="72" t="n">
        <f aca="false">20*LOG10(MAX(D1794,0.000000000001)/$K$3)</f>
        <v>35.9032721706007</v>
      </c>
      <c r="F1794" s="5"/>
      <c r="G1794" s="5"/>
      <c r="H1794" s="5"/>
      <c r="I1794" s="5"/>
      <c r="J1794" s="5"/>
      <c r="K1794" s="5"/>
      <c r="L1794" s="5"/>
      <c r="M1794" s="5"/>
      <c r="N1794" s="5"/>
    </row>
    <row r="1795" customFormat="false" ht="15" hidden="false" customHeight="false" outlineLevel="0" collapsed="false">
      <c r="A1795" s="71" t="n">
        <f aca="false">A1794+$F$3</f>
        <v>35780</v>
      </c>
      <c r="B1795" s="71" t="n">
        <f aca="false">SUMPRODUCT(固有振動数!$Q$6:$Q$22*(1-($A1795/固有振動数!$O$6:$O$22)^2)/((1-($A1795/固有振動数!$O$6:$O$22)^2)^2+固有振動数!$P$6:$P$22^2))</f>
        <v>-47.1343379951399</v>
      </c>
      <c r="C1795" s="71" t="n">
        <f aca="false">-SUMPRODUCT(固有振動数!$Q$6:$Q$22*固有振動数!$P$6:$P$22/((1-($A1795/固有振動数!$O$6:$O$22)^2)^2+固有振動数!$P$6:$P$22^2))</f>
        <v>-35.4992051682022</v>
      </c>
      <c r="D1795" s="71" t="n">
        <f aca="false">SQRT(B1795^2+C1795^2)</f>
        <v>59.0071130103329</v>
      </c>
      <c r="E1795" s="72" t="n">
        <f aca="false">20*LOG10(MAX(D1795,0.000000000001)/$K$3)</f>
        <v>35.4180873362122</v>
      </c>
      <c r="F1795" s="5"/>
      <c r="G1795" s="5"/>
      <c r="H1795" s="5"/>
      <c r="I1795" s="5"/>
      <c r="J1795" s="5"/>
      <c r="K1795" s="5"/>
      <c r="L1795" s="5"/>
      <c r="M1795" s="5"/>
      <c r="N1795" s="5"/>
    </row>
    <row r="1796" customFormat="false" ht="15" hidden="false" customHeight="false" outlineLevel="0" collapsed="false">
      <c r="A1796" s="71" t="n">
        <f aca="false">A1795+$F$3</f>
        <v>35800</v>
      </c>
      <c r="B1796" s="71" t="n">
        <f aca="false">SUMPRODUCT(固有振動数!$Q$6:$Q$22*(1-($A1796/固有振動数!$O$6:$O$22)^2)/((1-($A1796/固有振動数!$O$6:$O$22)^2)^2+固有振動数!$P$6:$P$22^2))</f>
        <v>-45.8462781982489</v>
      </c>
      <c r="C1796" s="71" t="n">
        <f aca="false">-SUMPRODUCT(固有振動数!$Q$6:$Q$22*固有振動数!$P$6:$P$22/((1-($A1796/固有振動数!$O$6:$O$22)^2)^2+固有振動数!$P$6:$P$22^2))</f>
        <v>-31.9305273132938</v>
      </c>
      <c r="D1796" s="71" t="n">
        <f aca="false">SQRT(B1796^2+C1796^2)</f>
        <v>55.8698469582317</v>
      </c>
      <c r="E1796" s="72" t="n">
        <f aca="false">20*LOG10(MAX(D1796,0.000000000001)/$K$3)</f>
        <v>34.9435496343676</v>
      </c>
      <c r="F1796" s="5"/>
      <c r="G1796" s="5"/>
      <c r="H1796" s="5"/>
      <c r="I1796" s="5"/>
      <c r="J1796" s="5"/>
      <c r="K1796" s="5"/>
      <c r="L1796" s="5"/>
      <c r="M1796" s="5"/>
      <c r="N1796" s="5"/>
    </row>
    <row r="1797" customFormat="false" ht="15" hidden="false" customHeight="false" outlineLevel="0" collapsed="false">
      <c r="A1797" s="71" t="n">
        <f aca="false">A1796+$F$3</f>
        <v>35820</v>
      </c>
      <c r="B1797" s="71" t="n">
        <f aca="false">SUMPRODUCT(固有振動数!$Q$6:$Q$22*(1-($A1797/固有振動数!$O$6:$O$22)^2)/((1-($A1797/固有振動数!$O$6:$O$22)^2)^2+固有振動数!$P$6:$P$22^2))</f>
        <v>-44.4555263661318</v>
      </c>
      <c r="C1797" s="71" t="n">
        <f aca="false">-SUMPRODUCT(固有振動数!$Q$6:$Q$22*固有振動数!$P$6:$P$22/((1-($A1797/固有振動数!$O$6:$O$22)^2)^2+固有振動数!$P$6:$P$22^2))</f>
        <v>-28.8064787923095</v>
      </c>
      <c r="D1797" s="71" t="n">
        <f aca="false">SQRT(B1797^2+C1797^2)</f>
        <v>52.9727009402165</v>
      </c>
      <c r="E1797" s="72" t="n">
        <f aca="false">20*LOG10(MAX(D1797,0.000000000001)/$K$3)</f>
        <v>34.4810423409197</v>
      </c>
      <c r="F1797" s="5"/>
      <c r="G1797" s="5"/>
      <c r="H1797" s="5"/>
      <c r="I1797" s="5"/>
      <c r="J1797" s="5"/>
      <c r="K1797" s="5"/>
      <c r="L1797" s="5"/>
      <c r="M1797" s="5"/>
      <c r="N1797" s="5"/>
    </row>
    <row r="1798" customFormat="false" ht="15" hidden="false" customHeight="false" outlineLevel="0" collapsed="false">
      <c r="A1798" s="71" t="n">
        <f aca="false">A1797+$F$3</f>
        <v>35840</v>
      </c>
      <c r="B1798" s="71" t="n">
        <f aca="false">SUMPRODUCT(固有振動数!$Q$6:$Q$22*(1-($A1798/固有振動数!$O$6:$O$22)^2)/((1-($A1798/固有振動数!$O$6:$O$22)^2)^2+固有振動数!$P$6:$P$22^2))</f>
        <v>-43.0163330011741</v>
      </c>
      <c r="C1798" s="71" t="n">
        <f aca="false">-SUMPRODUCT(固有振動数!$Q$6:$Q$22*固有振動数!$P$6:$P$22/((1-($A1798/固有振動数!$O$6:$O$22)^2)^2+固有振動数!$P$6:$P$22^2))</f>
        <v>-26.0702447972834</v>
      </c>
      <c r="D1798" s="71" t="n">
        <f aca="false">SQRT(B1798^2+C1798^2)</f>
        <v>50.2997273219068</v>
      </c>
      <c r="E1798" s="72" t="n">
        <f aca="false">20*LOG10(MAX(D1798,0.000000000001)/$K$3)</f>
        <v>34.0313126144735</v>
      </c>
      <c r="F1798" s="5"/>
      <c r="G1798" s="5"/>
      <c r="H1798" s="5"/>
      <c r="I1798" s="5"/>
      <c r="J1798" s="5"/>
      <c r="K1798" s="5"/>
      <c r="L1798" s="5"/>
      <c r="M1798" s="5"/>
      <c r="N1798" s="5"/>
    </row>
    <row r="1799" customFormat="false" ht="15" hidden="false" customHeight="false" outlineLevel="0" collapsed="false">
      <c r="A1799" s="71" t="n">
        <f aca="false">A1798+$F$3</f>
        <v>35860</v>
      </c>
      <c r="B1799" s="71" t="n">
        <f aca="false">SUMPRODUCT(固有振動数!$Q$6:$Q$22*(1-($A1799/固有振動数!$O$6:$O$22)^2)/((1-($A1799/固有振動数!$O$6:$O$22)^2)^2+固有振動数!$P$6:$P$22^2))</f>
        <v>-41.5665466967594</v>
      </c>
      <c r="C1799" s="71" t="n">
        <f aca="false">-SUMPRODUCT(固有振動数!$Q$6:$Q$22*固有振動数!$P$6:$P$22/((1-($A1799/固有振動数!$O$6:$O$22)^2)^2+固有振動数!$P$6:$P$22^2))</f>
        <v>-23.670108506377</v>
      </c>
      <c r="D1799" s="71" t="n">
        <f aca="false">SQRT(B1799^2+C1799^2)</f>
        <v>47.8335848645859</v>
      </c>
      <c r="E1799" s="72" t="n">
        <f aca="false">20*LOG10(MAX(D1799,0.000000000001)/$K$3)</f>
        <v>33.5946586015775</v>
      </c>
      <c r="F1799" s="5"/>
      <c r="G1799" s="5"/>
      <c r="H1799" s="5"/>
      <c r="I1799" s="5"/>
      <c r="J1799" s="5"/>
      <c r="K1799" s="5"/>
      <c r="L1799" s="5"/>
      <c r="M1799" s="5"/>
      <c r="N1799" s="5"/>
    </row>
    <row r="1800" customFormat="false" ht="15" hidden="false" customHeight="false" outlineLevel="0" collapsed="false">
      <c r="A1800" s="71" t="n">
        <f aca="false">A1799+$F$3</f>
        <v>35880</v>
      </c>
      <c r="B1800" s="71" t="n">
        <f aca="false">SUMPRODUCT(固有振動数!$Q$6:$Q$22*(1-($A1800/固有振動数!$O$6:$O$22)^2)/((1-($A1800/固有振動数!$O$6:$O$22)^2)^2+固有振動数!$P$6:$P$22^2))</f>
        <v>-40.13202015072</v>
      </c>
      <c r="C1800" s="71" t="n">
        <f aca="false">-SUMPRODUCT(固有振動数!$Q$6:$Q$22*固有振動数!$P$6:$P$22/((1-($A1800/固有振動数!$O$6:$O$22)^2)^2+固有振動数!$P$6:$P$22^2))</f>
        <v>-21.5602547769147</v>
      </c>
      <c r="D1800" s="71" t="n">
        <f aca="false">SQRT(B1800^2+C1800^2)</f>
        <v>45.5568175734793</v>
      </c>
      <c r="E1800" s="72" t="n">
        <f aca="false">20*LOG10(MAX(D1800,0.000000000001)/$K$3)</f>
        <v>33.1710675660208</v>
      </c>
      <c r="F1800" s="5"/>
      <c r="G1800" s="5"/>
      <c r="H1800" s="5"/>
      <c r="I1800" s="5"/>
      <c r="J1800" s="5"/>
      <c r="K1800" s="5"/>
      <c r="L1800" s="5"/>
      <c r="M1800" s="5"/>
      <c r="N1800" s="5"/>
    </row>
    <row r="1801" customFormat="false" ht="15" hidden="false" customHeight="false" outlineLevel="0" collapsed="false">
      <c r="A1801" s="71" t="n">
        <f aca="false">A1800+$F$3</f>
        <v>35900</v>
      </c>
      <c r="B1801" s="71" t="n">
        <f aca="false">SUMPRODUCT(固有振動数!$Q$6:$Q$22*(1-($A1801/固有振動数!$O$6:$O$22)^2)/((1-($A1801/固有振動数!$O$6:$O$22)^2)^2+固有振動数!$P$6:$P$22^2))</f>
        <v>-38.7299413346028</v>
      </c>
      <c r="C1801" s="71" t="n">
        <f aca="false">-SUMPRODUCT(固有振動数!$Q$6:$Q$22*固有振動数!$P$6:$P$22/((1-($A1801/固有振動数!$O$6:$O$22)^2)^2+固有振動数!$P$6:$P$22^2))</f>
        <v>-19.7007750630419</v>
      </c>
      <c r="D1801" s="71" t="n">
        <f aca="false">SQRT(B1801^2+C1801^2)</f>
        <v>43.4526051447592</v>
      </c>
      <c r="E1801" s="72" t="n">
        <f aca="false">20*LOG10(MAX(D1801,0.000000000001)/$K$3)</f>
        <v>32.7603163825876</v>
      </c>
      <c r="F1801" s="5"/>
      <c r="G1801" s="5"/>
      <c r="H1801" s="5"/>
      <c r="I1801" s="5"/>
      <c r="J1801" s="5"/>
      <c r="K1801" s="5"/>
      <c r="L1801" s="5"/>
      <c r="M1801" s="5"/>
      <c r="N1801" s="5"/>
    </row>
    <row r="1802" customFormat="false" ht="15" hidden="false" customHeight="false" outlineLevel="0" collapsed="false">
      <c r="A1802" s="71" t="n">
        <f aca="false">A1801+$F$3</f>
        <v>35920</v>
      </c>
      <c r="B1802" s="71" t="n">
        <f aca="false">SUMPRODUCT(固有振動数!$Q$6:$Q$22*(1-($A1802/固有振動数!$O$6:$O$22)^2)/((1-($A1802/固有振動数!$O$6:$O$22)^2)^2+固有振動数!$P$6:$P$22^2))</f>
        <v>-37.3713018465003</v>
      </c>
      <c r="C1802" s="71" t="n">
        <f aca="false">-SUMPRODUCT(固有振動数!$Q$6:$Q$22*固有振動数!$P$6:$P$22/((1-($A1802/固有振動数!$O$6:$O$22)^2)^2+固有振動数!$P$6:$P$22^2))</f>
        <v>-18.0572671482106</v>
      </c>
      <c r="D1802" s="71" t="n">
        <f aca="false">SQRT(B1802^2+C1802^2)</f>
        <v>41.5051695402402</v>
      </c>
      <c r="E1802" s="72" t="n">
        <f aca="false">20*LOG10(MAX(D1802,0.000000000001)/$K$3)</f>
        <v>32.3620438441111</v>
      </c>
      <c r="F1802" s="5"/>
      <c r="G1802" s="5"/>
      <c r="H1802" s="5"/>
      <c r="I1802" s="5"/>
      <c r="J1802" s="5"/>
      <c r="K1802" s="5"/>
      <c r="L1802" s="5"/>
      <c r="M1802" s="5"/>
      <c r="N1802" s="5"/>
    </row>
    <row r="1803" customFormat="false" ht="15" hidden="false" customHeight="false" outlineLevel="0" collapsed="false">
      <c r="A1803" s="71" t="n">
        <f aca="false">A1802+$F$3</f>
        <v>35940</v>
      </c>
      <c r="B1803" s="71" t="n">
        <f aca="false">SUMPRODUCT(固有振動数!$Q$6:$Q$22*(1-($A1803/固有振動数!$O$6:$O$22)^2)/((1-($A1803/固有振動数!$O$6:$O$22)^2)^2+固有振動数!$P$6:$P$22^2))</f>
        <v>-36.0627020736148</v>
      </c>
      <c r="C1803" s="71" t="n">
        <f aca="false">-SUMPRODUCT(固有振動数!$Q$6:$Q$22*固有振動数!$P$6:$P$22/((1-($A1803/固有振動数!$O$6:$O$22)^2)^2+固有振動数!$P$6:$P$22^2))</f>
        <v>-16.6002602760566</v>
      </c>
      <c r="D1803" s="71" t="n">
        <f aca="false">SQRT(B1803^2+C1803^2)</f>
        <v>39.699963754179</v>
      </c>
      <c r="E1803" s="72" t="n">
        <f aca="false">20*LOG10(MAX(D1803,0.000000000001)/$K$3)</f>
        <v>31.9758022051025</v>
      </c>
      <c r="F1803" s="5"/>
      <c r="G1803" s="5"/>
      <c r="H1803" s="5"/>
      <c r="I1803" s="5"/>
      <c r="J1803" s="5"/>
      <c r="K1803" s="5"/>
      <c r="L1803" s="5"/>
      <c r="M1803" s="5"/>
      <c r="N1803" s="5"/>
    </row>
    <row r="1804" customFormat="false" ht="15" hidden="false" customHeight="false" outlineLevel="0" collapsed="false">
      <c r="A1804" s="71" t="n">
        <f aca="false">A1803+$F$3</f>
        <v>35960</v>
      </c>
      <c r="B1804" s="71" t="n">
        <f aca="false">SUMPRODUCT(固有振動数!$Q$6:$Q$22*(1-($A1804/固有振動数!$O$6:$O$22)^2)/((1-($A1804/固有振動数!$O$6:$O$22)^2)^2+固有振動数!$P$6:$P$22^2))</f>
        <v>-34.8076598137246</v>
      </c>
      <c r="C1804" s="71" t="n">
        <f aca="false">-SUMPRODUCT(固有振動数!$Q$6:$Q$22*固有振動数!$P$6:$P$22/((1-($A1804/固有振動数!$O$6:$O$22)^2)^2+固有振動数!$P$6:$P$22^2))</f>
        <v>-15.3045944332989</v>
      </c>
      <c r="D1804" s="71" t="n">
        <f aca="false">SQRT(B1804^2+C1804^2)</f>
        <v>38.0237267042006</v>
      </c>
      <c r="E1804" s="72" t="n">
        <f aca="false">20*LOG10(MAX(D1804,0.000000000001)/$K$3)</f>
        <v>31.6010935960664</v>
      </c>
      <c r="F1804" s="5"/>
      <c r="G1804" s="5"/>
      <c r="H1804" s="5"/>
      <c r="I1804" s="5"/>
      <c r="J1804" s="5"/>
      <c r="K1804" s="5"/>
      <c r="L1804" s="5"/>
      <c r="M1804" s="5"/>
      <c r="N1804" s="5"/>
    </row>
    <row r="1805" customFormat="false" ht="15" hidden="false" customHeight="false" outlineLevel="0" collapsed="false">
      <c r="A1805" s="71" t="n">
        <f aca="false">A1804+$F$3</f>
        <v>35980</v>
      </c>
      <c r="B1805" s="71" t="n">
        <f aca="false">SUMPRODUCT(固有振動数!$Q$6:$Q$22*(1-($A1805/固有振動数!$O$6:$O$22)^2)/((1-($A1805/固有振動数!$O$6:$O$22)^2)^2+固有振動数!$P$6:$P$22^2))</f>
        <v>-33.6075531563666</v>
      </c>
      <c r="C1805" s="71" t="n">
        <f aca="false">-SUMPRODUCT(固有振動数!$Q$6:$Q$22*固有振動数!$P$6:$P$22/((1-($A1805/固有振動数!$O$6:$O$22)^2)^2+固有振動数!$P$6:$P$22^2))</f>
        <v>-14.148821220295</v>
      </c>
      <c r="D1805" s="71" t="n">
        <f aca="false">SQRT(B1805^2+C1805^2)</f>
        <v>36.464459012604</v>
      </c>
      <c r="E1805" s="72" t="n">
        <f aca="false">20*LOG10(MAX(D1805,0.000000000001)/$K$3)</f>
        <v>31.2373954949151</v>
      </c>
      <c r="F1805" s="5"/>
      <c r="G1805" s="5"/>
      <c r="H1805" s="5"/>
      <c r="I1805" s="5"/>
      <c r="J1805" s="5"/>
      <c r="K1805" s="5"/>
      <c r="L1805" s="5"/>
      <c r="M1805" s="5"/>
      <c r="N1805" s="5"/>
    </row>
    <row r="1806" customFormat="false" ht="15" hidden="false" customHeight="false" outlineLevel="0" collapsed="false">
      <c r="A1806" s="71" t="n">
        <f aca="false">A1805+$F$3</f>
        <v>36000</v>
      </c>
      <c r="B1806" s="71" t="n">
        <f aca="false">SUMPRODUCT(固有振動数!$Q$6:$Q$22*(1-($A1806/固有振動数!$O$6:$O$22)^2)/((1-($A1806/固有振動数!$O$6:$O$22)^2)^2+固有振動数!$P$6:$P$22^2))</f>
        <v>-32.4622967154669</v>
      </c>
      <c r="C1806" s="71" t="n">
        <f aca="false">-SUMPRODUCT(固有振動数!$Q$6:$Q$22*固有振動数!$P$6:$P$22/((1-($A1806/固有振動数!$O$6:$O$22)^2)^2+固有振動数!$P$6:$P$22^2))</f>
        <v>-13.1146580282389</v>
      </c>
      <c r="D1806" s="71" t="n">
        <f aca="false">SQRT(B1806^2+C1806^2)</f>
        <v>35.0113547758533</v>
      </c>
      <c r="E1806" s="72" t="n">
        <f aca="false">20*LOG10(MAX(D1806,0.000000000001)/$K$3)</f>
        <v>30.8841783251513</v>
      </c>
      <c r="F1806" s="5"/>
      <c r="G1806" s="5"/>
      <c r="H1806" s="5"/>
      <c r="I1806" s="5"/>
      <c r="J1806" s="5"/>
      <c r="K1806" s="5"/>
      <c r="L1806" s="5"/>
      <c r="M1806" s="5"/>
      <c r="N1806" s="5"/>
    </row>
    <row r="1807" customFormat="false" ht="15" hidden="false" customHeight="false" outlineLevel="0" collapsed="false">
      <c r="A1807" s="71" t="n">
        <f aca="false">A1806+$F$3</f>
        <v>36020</v>
      </c>
      <c r="B1807" s="71" t="n">
        <f aca="false">SUMPRODUCT(固有振動数!$Q$6:$Q$22*(1-($A1807/固有振動数!$O$6:$O$22)^2)/((1-($A1807/固有振動数!$O$6:$O$22)^2)^2+固有振動数!$P$6:$P$22^2))</f>
        <v>-31.3708246930928</v>
      </c>
      <c r="C1807" s="71" t="n">
        <f aca="false">-SUMPRODUCT(固有振動数!$Q$6:$Q$22*固有振動数!$P$6:$P$22/((1-($A1807/固有振動数!$O$6:$O$22)^2)^2+固有振動数!$P$6:$P$22^2))</f>
        <v>-12.1865071811037</v>
      </c>
      <c r="D1807" s="71" t="n">
        <f aca="false">SQRT(B1807^2+C1807^2)</f>
        <v>33.6547113967696</v>
      </c>
      <c r="E1807" s="72" t="n">
        <f aca="false">20*LOG10(MAX(D1807,0.000000000001)/$K$3)</f>
        <v>30.5409174130371</v>
      </c>
      <c r="F1807" s="5"/>
      <c r="G1807" s="5"/>
      <c r="H1807" s="5"/>
      <c r="I1807" s="5"/>
      <c r="J1807" s="5"/>
      <c r="K1807" s="5"/>
      <c r="L1807" s="5"/>
      <c r="M1807" s="5"/>
      <c r="N1807" s="5"/>
    </row>
    <row r="1808" customFormat="false" ht="15" hidden="false" customHeight="false" outlineLevel="0" collapsed="false">
      <c r="A1808" s="71" t="n">
        <f aca="false">A1807+$F$3</f>
        <v>36040</v>
      </c>
      <c r="B1808" s="71" t="n">
        <f aca="false">SUMPRODUCT(固有振動数!$Q$6:$Q$22*(1-($A1808/固有振動数!$O$6:$O$22)^2)/((1-($A1808/固有振動数!$O$6:$O$22)^2)^2+固有振動数!$P$6:$P$22^2))</f>
        <v>-30.3314345502246</v>
      </c>
      <c r="C1808" s="71" t="n">
        <f aca="false">-SUMPRODUCT(固有振動数!$Q$6:$Q$22*固有振動数!$P$6:$P$22/((1-($A1808/固有振動数!$O$6:$O$22)^2)^2+固有振動数!$P$6:$P$22^2))</f>
        <v>-11.3510409640402</v>
      </c>
      <c r="D1808" s="71" t="n">
        <f aca="false">SQRT(B1808^2+C1808^2)</f>
        <v>32.3858310506598</v>
      </c>
      <c r="E1808" s="72" t="n">
        <f aca="false">20*LOG10(MAX(D1808,0.000000000001)/$K$3)</f>
        <v>30.2071009186952</v>
      </c>
      <c r="F1808" s="5"/>
      <c r="G1808" s="5"/>
      <c r="H1808" s="5"/>
      <c r="I1808" s="5"/>
      <c r="J1808" s="5"/>
      <c r="K1808" s="5"/>
      <c r="L1808" s="5"/>
      <c r="M1808" s="5"/>
      <c r="N1808" s="5"/>
    </row>
    <row r="1809" customFormat="false" ht="15" hidden="false" customHeight="false" outlineLevel="0" collapsed="false">
      <c r="A1809" s="71" t="n">
        <f aca="false">A1808+$F$3</f>
        <v>36060</v>
      </c>
      <c r="B1809" s="71" t="n">
        <f aca="false">SUMPRODUCT(固有振動数!$Q$6:$Q$22*(1-($A1809/固有振動数!$O$6:$O$22)^2)/((1-($A1809/固有振動数!$O$6:$O$22)^2)^2+固有振動数!$P$6:$P$22^2))</f>
        <v>-29.3420303276159</v>
      </c>
      <c r="C1809" s="71" t="n">
        <f aca="false">-SUMPRODUCT(固有振動数!$Q$6:$Q$22*固有振動数!$P$6:$P$22/((1-($A1809/固有振動数!$O$6:$O$22)^2)^2+固有振動数!$P$6:$P$22^2))</f>
        <v>-10.5968481402396</v>
      </c>
      <c r="D1809" s="71" t="n">
        <f aca="false">SQRT(B1809^2+C1809^2)</f>
        <v>31.1969218714609</v>
      </c>
      <c r="E1809" s="72" t="n">
        <f aca="false">20*LOG10(MAX(D1809,0.000000000001)/$K$3)</f>
        <v>29.8822349058899</v>
      </c>
      <c r="F1809" s="5"/>
      <c r="G1809" s="5"/>
      <c r="H1809" s="5"/>
      <c r="I1809" s="5"/>
      <c r="J1809" s="5"/>
      <c r="K1809" s="5"/>
      <c r="L1809" s="5"/>
      <c r="M1809" s="5"/>
      <c r="N1809" s="5"/>
    </row>
    <row r="1810" customFormat="false" ht="15" hidden="false" customHeight="false" outlineLevel="0" collapsed="false">
      <c r="A1810" s="71" t="n">
        <f aca="false">A1809+$F$3</f>
        <v>36080</v>
      </c>
      <c r="B1810" s="71" t="n">
        <f aca="false">SUMPRODUCT(固有振動数!$Q$6:$Q$22*(1-($A1810/固有振動数!$O$6:$O$22)^2)/((1-($A1810/固有振動数!$O$6:$O$22)^2)^2+固有振動数!$P$6:$P$22^2))</f>
        <v>-28.4002938323329</v>
      </c>
      <c r="C1810" s="71" t="n">
        <f aca="false">-SUMPRODUCT(固有振動数!$Q$6:$Q$22*固有振動数!$P$6:$P$22/((1-($A1810/固有振動数!$O$6:$O$22)^2)^2+固有振動数!$P$6:$P$22^2))</f>
        <v>-9.91413529778068</v>
      </c>
      <c r="D1810" s="71" t="n">
        <f aca="false">SQRT(B1810^2+C1810^2)</f>
        <v>30.0810034484481</v>
      </c>
      <c r="E1810" s="72" t="n">
        <f aca="false">20*LOG10(MAX(D1810,0.000000000001)/$K$3)</f>
        <v>29.5658463889607</v>
      </c>
      <c r="F1810" s="5"/>
      <c r="G1810" s="5"/>
      <c r="H1810" s="5"/>
      <c r="I1810" s="5"/>
      <c r="J1810" s="5"/>
      <c r="K1810" s="5"/>
      <c r="L1810" s="5"/>
      <c r="M1810" s="5"/>
      <c r="N1810" s="5"/>
    </row>
    <row r="1811" customFormat="false" ht="15" hidden="false" customHeight="false" outlineLevel="0" collapsed="false">
      <c r="A1811" s="71" t="n">
        <f aca="false">A1810+$F$3</f>
        <v>36100</v>
      </c>
      <c r="B1811" s="71" t="n">
        <f aca="false">SUMPRODUCT(固有振動数!$Q$6:$Q$22*(1-($A1811/固有振動数!$O$6:$O$22)^2)/((1-($A1811/固有振動数!$O$6:$O$22)^2)^2+固有振動数!$P$6:$P$22^2))</f>
        <v>-27.5038040311128</v>
      </c>
      <c r="C1811" s="71" t="n">
        <f aca="false">-SUMPRODUCT(固有振動数!$Q$6:$Q$22*固有振動数!$P$6:$P$22/((1-($A1811/固有振動数!$O$6:$O$22)^2)^2+固有振動数!$P$6:$P$22^2))</f>
        <v>-9.29447577156722</v>
      </c>
      <c r="D1811" s="71" t="n">
        <f aca="false">SQRT(B1811^2+C1811^2)</f>
        <v>29.0318190275791</v>
      </c>
      <c r="E1811" s="72" t="n">
        <f aca="false">20*LOG10(MAX(D1811,0.000000000001)/$K$3)</f>
        <v>29.2574849597547</v>
      </c>
      <c r="F1811" s="5"/>
      <c r="G1811" s="5"/>
      <c r="H1811" s="5"/>
      <c r="I1811" s="5"/>
      <c r="J1811" s="5"/>
      <c r="K1811" s="5"/>
      <c r="L1811" s="5"/>
      <c r="M1811" s="5"/>
      <c r="N1811" s="5"/>
    </row>
    <row r="1812" customFormat="false" ht="15" hidden="false" customHeight="false" outlineLevel="0" collapsed="false">
      <c r="A1812" s="71" t="n">
        <f aca="false">A1811+$F$3</f>
        <v>36120</v>
      </c>
      <c r="B1812" s="71" t="n">
        <f aca="false">SUMPRODUCT(固有振動数!$Q$6:$Q$22*(1-($A1812/固有振動数!$O$6:$O$22)^2)/((1-($A1812/固有振動数!$O$6:$O$22)^2)^2+固有振動数!$P$6:$P$22^2))</f>
        <v>-26.6501192999149</v>
      </c>
      <c r="C1812" s="71" t="n">
        <f aca="false">-SUMPRODUCT(固有振動数!$Q$6:$Q$22*固有振動数!$P$6:$P$22/((1-($A1812/固有振動数!$O$6:$O$22)^2)^2+固有振動数!$P$6:$P$22^2))</f>
        <v>-8.73059914306968</v>
      </c>
      <c r="D1812" s="71" t="n">
        <f aca="false">SQRT(B1812^2+C1812^2)</f>
        <v>28.0437554563697</v>
      </c>
      <c r="E1812" s="72" t="n">
        <f aca="false">20*LOG10(MAX(D1812,0.000000000001)/$K$3)</f>
        <v>28.9567234275246</v>
      </c>
      <c r="F1812" s="5"/>
      <c r="G1812" s="5"/>
      <c r="H1812" s="5"/>
      <c r="I1812" s="5"/>
      <c r="J1812" s="5"/>
      <c r="K1812" s="5"/>
      <c r="L1812" s="5"/>
      <c r="M1812" s="5"/>
      <c r="N1812" s="5"/>
    </row>
    <row r="1813" customFormat="false" ht="15" hidden="false" customHeight="false" outlineLevel="0" collapsed="false">
      <c r="A1813" s="71" t="n">
        <f aca="false">A1812+$F$3</f>
        <v>36140</v>
      </c>
      <c r="B1813" s="71" t="n">
        <f aca="false">SUMPRODUCT(固有振動数!$Q$6:$Q$22*(1-($A1813/固有振動数!$O$6:$O$22)^2)/((1-($A1813/固有振動数!$O$6:$O$22)^2)^2+固有振動数!$P$6:$P$22^2))</f>
        <v>-25.8368330785204</v>
      </c>
      <c r="C1813" s="71" t="n">
        <f aca="false">-SUMPRODUCT(固有振動数!$Q$6:$Q$22*固有振動数!$P$6:$P$22/((1-($A1813/固有振動数!$O$6:$O$22)^2)^2+固有振動数!$P$6:$P$22^2))</f>
        <v>-8.21621497228503</v>
      </c>
      <c r="D1813" s="71" t="n">
        <f aca="false">SQRT(B1813^2+C1813^2)</f>
        <v>27.1117710966681</v>
      </c>
      <c r="E1813" s="72" t="n">
        <f aca="false">20*LOG10(MAX(D1813,0.000000000001)/$K$3)</f>
        <v>28.6631577823628</v>
      </c>
      <c r="F1813" s="5"/>
      <c r="G1813" s="5"/>
      <c r="H1813" s="5"/>
      <c r="I1813" s="5"/>
      <c r="J1813" s="5"/>
      <c r="K1813" s="5"/>
      <c r="L1813" s="5"/>
      <c r="M1813" s="5"/>
      <c r="N1813" s="5"/>
    </row>
    <row r="1814" customFormat="false" ht="15" hidden="false" customHeight="false" outlineLevel="0" collapsed="false">
      <c r="A1814" s="71" t="n">
        <f aca="false">A1813+$F$3</f>
        <v>36160</v>
      </c>
      <c r="B1814" s="71" t="n">
        <f aca="false">SUMPRODUCT(固有振動数!$Q$6:$Q$22*(1-($A1814/固有振動数!$O$6:$O$22)^2)/((1-($A1814/固有振動数!$O$6:$O$22)^2)^2+固有振動数!$P$6:$P$22^2))</f>
        <v>-25.0616105289611</v>
      </c>
      <c r="C1814" s="71" t="n">
        <f aca="false">-SUMPRODUCT(固有振動数!$Q$6:$Q$22*固有振動数!$P$6:$P$22/((1-($A1814/固有振動数!$O$6:$O$22)^2)^2+固有振動数!$P$6:$P$22^2))</f>
        <v>-7.74586520857599</v>
      </c>
      <c r="D1814" s="71" t="n">
        <f aca="false">SQRT(B1814^2+C1814^2)</f>
        <v>26.2313314594353</v>
      </c>
      <c r="E1814" s="72" t="n">
        <f aca="false">20*LOG10(MAX(D1814,0.000000000001)/$K$3)</f>
        <v>28.3764067045329</v>
      </c>
      <c r="F1814" s="5"/>
      <c r="G1814" s="5"/>
      <c r="H1814" s="5"/>
      <c r="I1814" s="5"/>
      <c r="J1814" s="5"/>
      <c r="K1814" s="5"/>
      <c r="L1814" s="5"/>
      <c r="M1814" s="5"/>
      <c r="N1814" s="5"/>
    </row>
    <row r="1815" customFormat="false" ht="15" hidden="false" customHeight="false" outlineLevel="0" collapsed="false">
      <c r="A1815" s="71" t="n">
        <f aca="false">A1814+$F$3</f>
        <v>36180</v>
      </c>
      <c r="B1815" s="71" t="n">
        <f aca="false">SUMPRODUCT(固有振動数!$Q$6:$Q$22*(1-($A1815/固有振動数!$O$6:$O$22)^2)/((1-($A1815/固有振動数!$O$6:$O$22)^2)^2+固有振動数!$P$6:$P$22^2))</f>
        <v>-24.3222116744378</v>
      </c>
      <c r="C1815" s="71" t="n">
        <f aca="false">-SUMPRODUCT(固有振動数!$Q$6:$Q$22*固有振動数!$P$6:$P$22/((1-($A1815/固有振動数!$O$6:$O$22)^2)^2+固有振動数!$P$6:$P$22^2))</f>
        <v>-7.31480052636684</v>
      </c>
      <c r="D1815" s="71" t="n">
        <f aca="false">SQRT(B1815^2+C1815^2)</f>
        <v>25.3983520622243</v>
      </c>
      <c r="E1815" s="72" t="n">
        <f aca="false">20*LOG10(MAX(D1815,0.000000000001)/$K$3)</f>
        <v>28.0961107784615</v>
      </c>
      <c r="F1815" s="5"/>
      <c r="G1815" s="5"/>
      <c r="H1815" s="5"/>
      <c r="I1815" s="5"/>
      <c r="J1815" s="5"/>
      <c r="K1815" s="5"/>
      <c r="L1815" s="5"/>
      <c r="M1815" s="5"/>
      <c r="N1815" s="5"/>
    </row>
    <row r="1816" customFormat="false" ht="15" hidden="false" customHeight="false" outlineLevel="0" collapsed="false">
      <c r="A1816" s="71" t="n">
        <f aca="false">A1815+$F$3</f>
        <v>36200</v>
      </c>
      <c r="B1816" s="71" t="n">
        <f aca="false">SUMPRODUCT(固有振動数!$Q$6:$Q$22*(1-($A1816/固有振動数!$O$6:$O$22)^2)/((1-($A1816/固有振動数!$O$6:$O$22)^2)^2+固有振動数!$P$6:$P$22^2))</f>
        <v>-23.6165049677621</v>
      </c>
      <c r="C1816" s="71" t="n">
        <f aca="false">-SUMPRODUCT(固有振動数!$Q$6:$Q$22*固有振動数!$P$6:$P$22/((1-($A1816/固有振動数!$O$6:$O$22)^2)^2+固有振動数!$P$6:$P$22^2))</f>
        <v>-6.91887657303864</v>
      </c>
      <c r="D1816" s="71" t="n">
        <f aca="false">SQRT(B1816^2+C1816^2)</f>
        <v>24.6091478910846</v>
      </c>
      <c r="E1816" s="72" t="n">
        <f aca="false">20*LOG10(MAX(D1816,0.000000000001)/$K$3)</f>
        <v>27.821931524274</v>
      </c>
      <c r="F1816" s="5"/>
      <c r="G1816" s="5"/>
      <c r="H1816" s="5"/>
      <c r="I1816" s="5"/>
      <c r="J1816" s="5"/>
      <c r="K1816" s="5"/>
      <c r="L1816" s="5"/>
      <c r="M1816" s="5"/>
      <c r="N1816" s="5"/>
    </row>
    <row r="1817" customFormat="false" ht="15" hidden="false" customHeight="false" outlineLevel="0" collapsed="false">
      <c r="A1817" s="71" t="n">
        <f aca="false">A1816+$F$3</f>
        <v>36220</v>
      </c>
      <c r="B1817" s="71" t="n">
        <f aca="false">SUMPRODUCT(固有振動数!$Q$6:$Q$22*(1-($A1817/固有振動数!$O$6:$O$22)^2)/((1-($A1817/固有振動数!$O$6:$O$22)^2)^2+固有振動数!$P$6:$P$22^2))</f>
        <v>-22.9424741373493</v>
      </c>
      <c r="C1817" s="71" t="n">
        <f aca="false">-SUMPRODUCT(固有振動数!$Q$6:$Q$22*固有振動数!$P$6:$P$22/((1-($A1817/固有振動数!$O$6:$O$22)^2)^2+固有振動数!$P$6:$P$22^2))</f>
        <v>-6.55446677295422</v>
      </c>
      <c r="D1817" s="71" t="n">
        <f aca="false">SQRT(B1817^2+C1817^2)</f>
        <v>23.8603888111804</v>
      </c>
      <c r="E1817" s="72" t="n">
        <f aca="false">20*LOG10(MAX(D1817,0.000000000001)/$K$3)</f>
        <v>27.5535503266482</v>
      </c>
      <c r="F1817" s="5"/>
      <c r="G1817" s="5"/>
      <c r="H1817" s="5"/>
      <c r="I1817" s="5"/>
      <c r="J1817" s="5"/>
      <c r="K1817" s="5"/>
      <c r="L1817" s="5"/>
      <c r="M1817" s="5"/>
      <c r="N1817" s="5"/>
    </row>
    <row r="1818" customFormat="false" ht="15" hidden="false" customHeight="false" outlineLevel="0" collapsed="false">
      <c r="A1818" s="71" t="n">
        <f aca="false">A1817+$F$3</f>
        <v>36240</v>
      </c>
      <c r="B1818" s="71" t="n">
        <f aca="false">SUMPRODUCT(固有振動数!$Q$6:$Q$22*(1-($A1818/固有振動数!$O$6:$O$22)^2)/((1-($A1818/固有振動数!$O$6:$O$22)^2)^2+固有振動数!$P$6:$P$22^2))</f>
        <v>-22.2982203640888</v>
      </c>
      <c r="C1818" s="71" t="n">
        <f aca="false">-SUMPRODUCT(固有振動数!$Q$6:$Q$22*固有振動数!$P$6:$P$22/((1-($A1818/固有振動数!$O$6:$O$22)^2)^2+固有振動数!$P$6:$P$22^2))</f>
        <v>-6.2183888970281</v>
      </c>
      <c r="D1818" s="71" t="n">
        <f aca="false">SQRT(B1818^2+C1818^2)</f>
        <v>23.1490602807143</v>
      </c>
      <c r="E1818" s="72" t="n">
        <f aca="false">20*LOG10(MAX(D1818,0.000000000001)/$K$3)</f>
        <v>27.2906673168559</v>
      </c>
      <c r="F1818" s="5"/>
      <c r="G1818" s="5"/>
      <c r="H1818" s="5"/>
      <c r="I1818" s="5"/>
      <c r="J1818" s="5"/>
      <c r="K1818" s="5"/>
      <c r="L1818" s="5"/>
      <c r="M1818" s="5"/>
      <c r="N1818" s="5"/>
    </row>
    <row r="1819" customFormat="false" ht="15" hidden="false" customHeight="false" outlineLevel="0" collapsed="false">
      <c r="A1819" s="71" t="n">
        <f aca="false">A1818+$F$3</f>
        <v>36260</v>
      </c>
      <c r="B1819" s="71" t="n">
        <f aca="false">SUMPRODUCT(固有振動数!$Q$6:$Q$22*(1-($A1819/固有振動数!$O$6:$O$22)^2)/((1-($A1819/固有振動数!$O$6:$O$22)^2)^2+固有振動数!$P$6:$P$22^2))</f>
        <v>-21.6819612679301</v>
      </c>
      <c r="C1819" s="71" t="n">
        <f aca="false">-SUMPRODUCT(固有振動数!$Q$6:$Q$22*固有振動数!$P$6:$P$22/((1-($A1819/固有振動数!$O$6:$O$22)^2)^2+固有振動数!$P$6:$P$22^2))</f>
        <v>-5.90784308570508</v>
      </c>
      <c r="D1819" s="71" t="n">
        <f aca="false">SQRT(B1819^2+C1819^2)</f>
        <v>22.4724287594674</v>
      </c>
      <c r="E1819" s="72" t="n">
        <f aca="false">20*LOG10(MAX(D1819,0.000000000001)/$K$3)</f>
        <v>27.0330002466315</v>
      </c>
      <c r="F1819" s="5"/>
      <c r="G1819" s="5"/>
      <c r="H1819" s="5"/>
      <c r="I1819" s="5"/>
      <c r="J1819" s="5"/>
      <c r="K1819" s="5"/>
      <c r="L1819" s="5"/>
      <c r="M1819" s="5"/>
      <c r="N1819" s="5"/>
    </row>
    <row r="1820" customFormat="false" ht="15" hidden="false" customHeight="false" outlineLevel="0" collapsed="false">
      <c r="A1820" s="71" t="n">
        <f aca="false">A1819+$F$3</f>
        <v>36280</v>
      </c>
      <c r="B1820" s="71" t="n">
        <f aca="false">SUMPRODUCT(固有振動数!$Q$6:$Q$22*(1-($A1820/固有振動数!$O$6:$O$22)^2)/((1-($A1820/固有振動数!$O$6:$O$22)^2)^2+固有振動数!$P$6:$P$22^2))</f>
        <v>-21.0920277670973</v>
      </c>
      <c r="C1820" s="71" t="n">
        <f aca="false">-SUMPRODUCT(固有振動数!$Q$6:$Q$22*固有振動数!$P$6:$P$22/((1-($A1820/固有振動数!$O$6:$O$22)^2)^2+固有振動数!$P$6:$P$22^2))</f>
        <v>-5.62035941333502</v>
      </c>
      <c r="D1820" s="71" t="n">
        <f aca="false">SQRT(B1820^2+C1820^2)</f>
        <v>21.8280112530451</v>
      </c>
      <c r="E1820" s="72" t="n">
        <f aca="false">20*LOG10(MAX(D1820,0.000000000001)/$K$3)</f>
        <v>26.7802833800801</v>
      </c>
      <c r="F1820" s="5"/>
      <c r="G1820" s="5"/>
      <c r="H1820" s="5"/>
      <c r="I1820" s="5"/>
      <c r="J1820" s="5"/>
      <c r="K1820" s="5"/>
      <c r="L1820" s="5"/>
      <c r="M1820" s="5"/>
      <c r="N1820" s="5"/>
    </row>
    <row r="1821" customFormat="false" ht="15" hidden="false" customHeight="false" outlineLevel="0" collapsed="false">
      <c r="A1821" s="71" t="n">
        <f aca="false">A1820+$F$3</f>
        <v>36300</v>
      </c>
      <c r="B1821" s="71" t="n">
        <f aca="false">SUMPRODUCT(固有振動数!$Q$6:$Q$22*(1-($A1821/固有振動数!$O$6:$O$22)^2)/((1-($A1821/固有振動数!$O$6:$O$22)^2)^2+固有振動数!$P$6:$P$22^2))</f>
        <v>-20.5268595713715</v>
      </c>
      <c r="C1821" s="71" t="n">
        <f aca="false">-SUMPRODUCT(固有振動数!$Q$6:$Q$22*固有振動数!$P$6:$P$22/((1-($A1821/固有振動数!$O$6:$O$22)^2)^2+固有振動数!$P$6:$P$22^2))</f>
        <v>-5.35375341404016</v>
      </c>
      <c r="D1821" s="71" t="n">
        <f aca="false">SQRT(B1821^2+C1821^2)</f>
        <v>21.2135484886699</v>
      </c>
      <c r="E1821" s="72" t="n">
        <f aca="false">20*LOG10(MAX(D1821,0.000000000001)/$K$3)</f>
        <v>26.5322664209194</v>
      </c>
      <c r="F1821" s="5"/>
      <c r="G1821" s="5"/>
      <c r="H1821" s="5"/>
      <c r="I1821" s="5"/>
      <c r="J1821" s="5"/>
      <c r="K1821" s="5"/>
      <c r="L1821" s="5"/>
      <c r="M1821" s="5"/>
      <c r="N1821" s="5"/>
    </row>
    <row r="1822" customFormat="false" ht="15" hidden="false" customHeight="false" outlineLevel="0" collapsed="false">
      <c r="A1822" s="71" t="n">
        <f aca="false">A1821+$F$3</f>
        <v>36320</v>
      </c>
      <c r="B1822" s="71" t="n">
        <f aca="false">SUMPRODUCT(固有振動数!$Q$6:$Q$22*(1-($A1822/固有振動数!$O$6:$O$22)^2)/((1-($A1822/固有振動数!$O$6:$O$22)^2)^2+固有振動数!$P$6:$P$22^2))</f>
        <v>-19.9849998521517</v>
      </c>
      <c r="C1822" s="71" t="n">
        <f aca="false">-SUMPRODUCT(固有振動数!$Q$6:$Q$22*固有振動数!$P$6:$P$22/((1-($A1822/固有振動数!$O$6:$O$22)^2)^2+固有振動数!$P$6:$P$22^2))</f>
        <v>-5.10608826347572</v>
      </c>
      <c r="D1822" s="71" t="n">
        <f aca="false">SQRT(B1822^2+C1822^2)</f>
        <v>20.6269812731991</v>
      </c>
      <c r="E1822" s="72" t="n">
        <f aca="false">20*LOG10(MAX(D1822,0.000000000001)/$K$3)</f>
        <v>26.2887134859585</v>
      </c>
      <c r="F1822" s="5"/>
      <c r="G1822" s="5"/>
      <c r="H1822" s="5"/>
      <c r="I1822" s="5"/>
      <c r="J1822" s="5"/>
      <c r="K1822" s="5"/>
      <c r="L1822" s="5"/>
      <c r="M1822" s="5"/>
      <c r="N1822" s="5"/>
    </row>
    <row r="1823" customFormat="false" ht="15" hidden="false" customHeight="false" outlineLevel="0" collapsed="false">
      <c r="A1823" s="71" t="n">
        <f aca="false">A1822+$F$3</f>
        <v>36340</v>
      </c>
      <c r="B1823" s="71" t="n">
        <f aca="false">SUMPRODUCT(固有振動数!$Q$6:$Q$22*(1-($A1823/固有振動数!$O$6:$O$22)^2)/((1-($A1823/固有振動数!$O$6:$O$22)^2)^2+固有振動数!$P$6:$P$22^2))</f>
        <v>-19.4650894732541</v>
      </c>
      <c r="C1823" s="71" t="n">
        <f aca="false">-SUMPRODUCT(固有振動数!$Q$6:$Q$22*固有振動数!$P$6:$P$22/((1-($A1823/固有振動数!$O$6:$O$22)^2)^2+固有振動数!$P$6:$P$22^2))</f>
        <v>-4.87564253678595</v>
      </c>
      <c r="D1823" s="71" t="n">
        <f aca="false">SQRT(B1823^2+C1823^2)</f>
        <v>20.0664296362931</v>
      </c>
      <c r="E1823" s="72" t="n">
        <f aca="false">20*LOG10(MAX(D1823,0.000000000001)/$K$3)</f>
        <v>26.0494021311706</v>
      </c>
      <c r="F1823" s="5"/>
      <c r="G1823" s="5"/>
      <c r="H1823" s="5"/>
      <c r="I1823" s="5"/>
      <c r="J1823" s="5"/>
      <c r="K1823" s="5"/>
      <c r="L1823" s="5"/>
      <c r="M1823" s="5"/>
      <c r="N1823" s="5"/>
    </row>
    <row r="1824" customFormat="false" ht="15" hidden="false" customHeight="false" outlineLevel="0" collapsed="false">
      <c r="A1824" s="71" t="n">
        <f aca="false">A1823+$F$3</f>
        <v>36360</v>
      </c>
      <c r="B1824" s="71" t="n">
        <f aca="false">SUMPRODUCT(固有振動数!$Q$6:$Q$22*(1-($A1824/固有振動数!$O$6:$O$22)^2)/((1-($A1824/固有振動数!$O$6:$O$22)^2)^2+固有振動数!$P$6:$P$22^2))</f>
        <v>-18.9658610512202</v>
      </c>
      <c r="C1824" s="71" t="n">
        <f aca="false">-SUMPRODUCT(固有振動数!$Q$6:$Q$22*固有振動数!$P$6:$P$22/((1-($A1824/固有振動数!$O$6:$O$22)^2)^2+固有振動数!$P$6:$P$22^2))</f>
        <v>-4.66088264880212</v>
      </c>
      <c r="D1824" s="71" t="n">
        <f aca="false">SQRT(B1824^2+C1824^2)</f>
        <v>19.5301744098739</v>
      </c>
      <c r="E1824" s="72" t="n">
        <f aca="false">20*LOG10(MAX(D1824,0.000000000001)/$K$3)</f>
        <v>25.8141224335068</v>
      </c>
      <c r="F1824" s="5"/>
      <c r="G1824" s="5"/>
      <c r="H1824" s="5"/>
      <c r="I1824" s="5"/>
      <c r="J1824" s="5"/>
      <c r="K1824" s="5"/>
      <c r="L1824" s="5"/>
      <c r="M1824" s="5"/>
      <c r="N1824" s="5"/>
    </row>
    <row r="1825" customFormat="false" ht="15" hidden="false" customHeight="false" outlineLevel="0" collapsed="false">
      <c r="A1825" s="71" t="n">
        <f aca="false">A1824+$F$3</f>
        <v>36380</v>
      </c>
      <c r="B1825" s="71" t="n">
        <f aca="false">SUMPRODUCT(固有振動数!$Q$6:$Q$22*(1-($A1825/固有振動数!$O$6:$O$22)^2)/((1-($A1825/固有振動数!$O$6:$O$22)^2)^2+固有振動数!$P$6:$P$22^2))</f>
        <v>-18.4861330304035</v>
      </c>
      <c r="C1825" s="71" t="n">
        <f aca="false">-SUMPRODUCT(固有振動数!$Q$6:$Q$22*固有振動数!$P$6:$P$22/((1-($A1825/固有振動数!$O$6:$O$22)^2)^2+固有振動数!$P$6:$P$22^2))</f>
        <v>-4.46043923516927</v>
      </c>
      <c r="D1825" s="71" t="n">
        <f aca="false">SQRT(B1825^2+C1825^2)</f>
        <v>19.0166409386204</v>
      </c>
      <c r="E1825" s="72" t="n">
        <f aca="false">20*LOG10(MAX(D1825,0.000000000001)/$K$3)</f>
        <v>25.5826761293616</v>
      </c>
      <c r="F1825" s="5"/>
      <c r="G1825" s="5"/>
      <c r="H1825" s="5"/>
      <c r="I1825" s="5"/>
      <c r="J1825" s="5"/>
      <c r="K1825" s="5"/>
      <c r="L1825" s="5"/>
      <c r="M1825" s="5"/>
      <c r="N1825" s="5"/>
    </row>
    <row r="1826" customFormat="false" ht="15" hidden="false" customHeight="false" outlineLevel="0" collapsed="false">
      <c r="A1826" s="71" t="n">
        <f aca="false">A1825+$F$3</f>
        <v>36400</v>
      </c>
      <c r="B1826" s="71" t="n">
        <f aca="false">SUMPRODUCT(固有振動数!$Q$6:$Q$22*(1-($A1826/固有振動数!$O$6:$O$22)^2)/((1-($A1826/固有振動数!$O$6:$O$22)^2)^2+固有振動数!$P$6:$P$22^2))</f>
        <v>-18.0248038977051</v>
      </c>
      <c r="C1826" s="71" t="n">
        <f aca="false">-SUMPRODUCT(固有振動数!$Q$6:$Q$22*固有振動数!$P$6:$P$22/((1-($A1826/固有振動数!$O$6:$O$22)^2)^2+固有振動数!$P$6:$P$22^2))</f>
        <v>-4.27308685854963</v>
      </c>
      <c r="D1826" s="71" t="n">
        <f aca="false">SQRT(B1826^2+C1826^2)</f>
        <v>18.5243846551359</v>
      </c>
      <c r="E1826" s="72" t="n">
        <f aca="false">20*LOG10(MAX(D1826,0.000000000001)/$K$3)</f>
        <v>25.3548758090678</v>
      </c>
      <c r="F1826" s="5"/>
      <c r="G1826" s="5"/>
      <c r="H1826" s="5"/>
      <c r="I1826" s="5"/>
      <c r="J1826" s="5"/>
      <c r="K1826" s="5"/>
      <c r="L1826" s="5"/>
      <c r="M1826" s="5"/>
      <c r="N1826" s="5"/>
    </row>
    <row r="1827" customFormat="false" ht="15" hidden="false" customHeight="false" outlineLevel="0" collapsed="false">
      <c r="A1827" s="71" t="n">
        <f aca="false">A1826+$F$3</f>
        <v>36420</v>
      </c>
      <c r="B1827" s="71" t="n">
        <f aca="false">SUMPRODUCT(固有振動数!$Q$6:$Q$22*(1-($A1827/固有振動数!$O$6:$O$22)^2)/((1-($A1827/固有振動数!$O$6:$O$22)^2)^2+固有振動数!$P$6:$P$22^2))</f>
        <v>-17.5808466182721</v>
      </c>
      <c r="C1827" s="71" t="n">
        <f aca="false">-SUMPRODUCT(固有振動数!$Q$6:$Q$22*固有振動数!$P$6:$P$22/((1-($A1827/固有振動数!$O$6:$O$22)^2)^2+固有振動数!$P$6:$P$22^2))</f>
        <v>-4.09772652724514</v>
      </c>
      <c r="D1827" s="71" t="n">
        <f aca="false">SQRT(B1827^2+C1827^2)</f>
        <v>18.0520782877567</v>
      </c>
      <c r="E1827" s="72" t="n">
        <f aca="false">20*LOG10(MAX(D1827,0.000000000001)/$K$3)</f>
        <v>25.1305441657712</v>
      </c>
      <c r="F1827" s="5"/>
      <c r="G1827" s="5"/>
      <c r="H1827" s="5"/>
      <c r="I1827" s="5"/>
      <c r="J1827" s="5"/>
      <c r="K1827" s="5"/>
      <c r="L1827" s="5"/>
      <c r="M1827" s="5"/>
      <c r="N1827" s="5"/>
    </row>
    <row r="1828" customFormat="false" ht="15" hidden="false" customHeight="false" outlineLevel="0" collapsed="false">
      <c r="A1828" s="71" t="n">
        <f aca="false">A1827+$F$3</f>
        <v>36440</v>
      </c>
      <c r="B1828" s="71" t="n">
        <f aca="false">SUMPRODUCT(固有振動数!$Q$6:$Q$22*(1-($A1828/固有振動数!$O$6:$O$22)^2)/((1-($A1828/固有振動数!$O$6:$O$22)^2)^2+固有振動数!$P$6:$P$22^2))</f>
        <v>-17.1533033422402</v>
      </c>
      <c r="C1828" s="71" t="n">
        <f aca="false">-SUMPRODUCT(固有振動数!$Q$6:$Q$22*固有振動数!$P$6:$P$22/((1-($A1828/固有振動数!$O$6:$O$22)^2)^2+固有振動数!$P$6:$P$22^2))</f>
        <v>-3.93337059856926</v>
      </c>
      <c r="D1828" s="71" t="n">
        <f aca="false">SQRT(B1828^2+C1828^2)</f>
        <v>17.5985004990936</v>
      </c>
      <c r="E1828" s="72" t="n">
        <f aca="false">20*LOG10(MAX(D1828,0.000000000001)/$K$3)</f>
        <v>24.9095132963822</v>
      </c>
      <c r="F1828" s="5"/>
      <c r="G1828" s="5"/>
      <c r="H1828" s="5"/>
      <c r="I1828" s="5"/>
      <c r="J1828" s="5"/>
      <c r="K1828" s="5"/>
      <c r="L1828" s="5"/>
      <c r="M1828" s="5"/>
      <c r="N1828" s="5"/>
    </row>
    <row r="1829" customFormat="false" ht="15" hidden="false" customHeight="false" outlineLevel="0" collapsed="false">
      <c r="A1829" s="71" t="n">
        <f aca="false">A1828+$F$3</f>
        <v>36460</v>
      </c>
      <c r="B1829" s="71" t="n">
        <f aca="false">SUMPRODUCT(固有振動数!$Q$6:$Q$22*(1-($A1829/固有振動数!$O$6:$O$22)^2)/((1-($A1829/固有振動数!$O$6:$O$22)^2)^2+固有振動数!$P$6:$P$22^2))</f>
        <v>-16.741280410346</v>
      </c>
      <c r="C1829" s="71" t="n">
        <f aca="false">-SUMPRODUCT(固有振動数!$Q$6:$Q$22*固有振動数!$P$6:$P$22/((1-($A1829/固有振動数!$O$6:$O$22)^2)^2+固有振動数!$P$6:$P$22^2))</f>
        <v>-3.77912970938794</v>
      </c>
      <c r="D1829" s="71" t="n">
        <f aca="false">SQRT(B1829^2+C1829^2)</f>
        <v>17.162525779681</v>
      </c>
      <c r="E1829" s="72" t="n">
        <f aca="false">20*LOG10(MAX(D1829,0.000000000001)/$K$3)</f>
        <v>24.6916240519054</v>
      </c>
      <c r="F1829" s="5"/>
      <c r="G1829" s="5"/>
      <c r="H1829" s="5"/>
      <c r="I1829" s="5"/>
      <c r="J1829" s="5"/>
      <c r="K1829" s="5"/>
      <c r="L1829" s="5"/>
      <c r="M1829" s="5"/>
      <c r="N1829" s="5"/>
    </row>
    <row r="1830" customFormat="false" ht="15" hidden="false" customHeight="false" outlineLevel="0" collapsed="false">
      <c r="A1830" s="71" t="n">
        <f aca="false">A1829+$F$3</f>
        <v>36480</v>
      </c>
      <c r="B1830" s="71" t="n">
        <f aca="false">SUMPRODUCT(固有振動数!$Q$6:$Q$22*(1-($A1830/固有振動数!$O$6:$O$22)^2)/((1-($A1830/固有振動数!$O$6:$O$22)^2)^2+固有振動数!$P$6:$P$22^2))</f>
        <v>-16.3439436705484</v>
      </c>
      <c r="C1830" s="71" t="n">
        <f aca="false">-SUMPRODUCT(固有振動数!$Q$6:$Q$22*固有振動数!$P$6:$P$22/((1-($A1830/固有振動数!$O$6:$O$22)^2)^2+固有振動数!$P$6:$P$22^2))</f>
        <v>-3.63420143415774</v>
      </c>
      <c r="D1830" s="71" t="n">
        <f aca="false">SQRT(B1830^2+C1830^2)</f>
        <v>16.7431154439696</v>
      </c>
      <c r="E1830" s="72" t="n">
        <f aca="false">20*LOG10(MAX(D1830,0.000000000001)/$K$3)</f>
        <v>24.4767254342398</v>
      </c>
      <c r="F1830" s="5"/>
      <c r="G1830" s="5"/>
      <c r="H1830" s="5"/>
      <c r="I1830" s="5"/>
      <c r="J1830" s="5"/>
      <c r="K1830" s="5"/>
      <c r="L1830" s="5"/>
      <c r="M1830" s="5"/>
      <c r="N1830" s="5"/>
    </row>
    <row r="1831" customFormat="false" ht="15" hidden="false" customHeight="false" outlineLevel="0" collapsed="false">
      <c r="A1831" s="71" t="n">
        <f aca="false">A1830+$F$3</f>
        <v>36500</v>
      </c>
      <c r="B1831" s="71" t="n">
        <f aca="false">SUMPRODUCT(固有振動数!$Q$6:$Q$22*(1-($A1831/固有振動数!$O$6:$O$22)^2)/((1-($A1831/固有振動数!$O$6:$O$22)^2)^2+固有振動数!$P$6:$P$22^2))</f>
        <v>-15.9605141069031</v>
      </c>
      <c r="C1831" s="71" t="n">
        <f aca="false">-SUMPRODUCT(固有振動数!$Q$6:$Q$22*固有振動数!$P$6:$P$22/((1-($A1831/固有振動数!$O$6:$O$22)^2)^2+固有振動数!$P$6:$P$22^2))</f>
        <v>-3.49786041872668</v>
      </c>
      <c r="D1831" s="71" t="n">
        <f aca="false">SQRT(B1831^2+C1831^2)</f>
        <v>16.3393095957433</v>
      </c>
      <c r="E1831" s="72" t="n">
        <f aca="false">20*LOG10(MAX(D1831,0.000000000001)/$K$3)</f>
        <v>24.2646740364694</v>
      </c>
      <c r="F1831" s="5"/>
      <c r="G1831" s="5"/>
      <c r="H1831" s="5"/>
      <c r="I1831" s="5"/>
      <c r="J1831" s="5"/>
      <c r="K1831" s="5"/>
      <c r="L1831" s="5"/>
      <c r="M1831" s="5"/>
      <c r="N1831" s="5"/>
    </row>
    <row r="1832" customFormat="false" ht="15" hidden="false" customHeight="false" outlineLevel="0" collapsed="false">
      <c r="A1832" s="71" t="n">
        <f aca="false">A1831+$F$3</f>
        <v>36520</v>
      </c>
      <c r="B1832" s="71" t="n">
        <f aca="false">SUMPRODUCT(固有振動数!$Q$6:$Q$22*(1-($A1832/固有振動数!$O$6:$O$22)^2)/((1-($A1832/固有振動数!$O$6:$O$22)^2)^2+固有振動数!$P$6:$P$22^2))</f>
        <v>-15.5902637745176</v>
      </c>
      <c r="C1832" s="71" t="n">
        <f aca="false">-SUMPRODUCT(固有振動数!$Q$6:$Q$22*固有振動数!$P$6:$P$22/((1-($A1832/固有振動数!$O$6:$O$22)^2)^2+固有振動数!$P$6:$P$22^2))</f>
        <v>-3.36944977792221</v>
      </c>
      <c r="D1832" s="71" t="n">
        <f aca="false">SQRT(B1832^2+C1832^2)</f>
        <v>15.9502199472288</v>
      </c>
      <c r="E1832" s="72" t="n">
        <f aca="false">20*LOG10(MAX(D1832,0.000000000001)/$K$3)</f>
        <v>24.0553335236749</v>
      </c>
      <c r="F1832" s="5"/>
      <c r="G1832" s="5"/>
      <c r="H1832" s="5"/>
      <c r="I1832" s="5"/>
      <c r="J1832" s="5"/>
      <c r="K1832" s="5"/>
      <c r="L1832" s="5"/>
      <c r="M1832" s="5"/>
      <c r="N1832" s="5"/>
    </row>
    <row r="1833" customFormat="false" ht="15" hidden="false" customHeight="false" outlineLevel="0" collapsed="false">
      <c r="A1833" s="71" t="n">
        <f aca="false">A1832+$F$3</f>
        <v>36540</v>
      </c>
      <c r="B1833" s="71" t="n">
        <f aca="false">SUMPRODUCT(固有振動数!$Q$6:$Q$22*(1-($A1833/固有振動数!$O$6:$O$22)^2)/((1-($A1833/固有振動数!$O$6:$O$22)^2)^2+固有振動数!$P$6:$P$22^2))</f>
        <v>-15.2325120295302</v>
      </c>
      <c r="C1833" s="71" t="n">
        <f aca="false">-SUMPRODUCT(固有振動数!$Q$6:$Q$22*固有振動数!$P$6:$P$22/((1-($A1833/固有振動数!$O$6:$O$22)^2)^2+固有振動数!$P$6:$P$22^2))</f>
        <v>-3.24837357800553</v>
      </c>
      <c r="D1833" s="71" t="n">
        <f aca="false">SQRT(B1833^2+C1833^2)</f>
        <v>15.57502339106</v>
      </c>
      <c r="E1833" s="72" t="n">
        <f aca="false">20*LOG10(MAX(D1833,0.000000000001)/$K$3)</f>
        <v>23.8485741513762</v>
      </c>
      <c r="F1833" s="5"/>
      <c r="G1833" s="5"/>
      <c r="H1833" s="5"/>
      <c r="I1833" s="5"/>
      <c r="J1833" s="5"/>
      <c r="K1833" s="5"/>
      <c r="L1833" s="5"/>
      <c r="M1833" s="5"/>
      <c r="N1833" s="5"/>
    </row>
    <row r="1834" customFormat="false" ht="15" hidden="false" customHeight="false" outlineLevel="0" collapsed="false">
      <c r="A1834" s="71" t="n">
        <f aca="false">A1833+$F$3</f>
        <v>36560</v>
      </c>
      <c r="B1834" s="71" t="n">
        <f aca="false">SUMPRODUCT(固有振動数!$Q$6:$Q$22*(1-($A1834/固有振動数!$O$6:$O$22)^2)/((1-($A1834/固有振動数!$O$6:$O$22)^2)^2+固有振動数!$P$6:$P$22^2))</f>
        <v>-14.886622039991</v>
      </c>
      <c r="C1834" s="71" t="n">
        <f aca="false">-SUMPRODUCT(固有振動数!$Q$6:$Q$22*固有振動数!$P$6:$P$22/((1-($A1834/固有振動数!$O$6:$O$22)^2)^2+固有振動数!$P$6:$P$22^2))</f>
        <v>-3.1340902526067</v>
      </c>
      <c r="D1834" s="71" t="n">
        <f aca="false">SQRT(B1834^2+C1834^2)</f>
        <v>15.2129562371365</v>
      </c>
      <c r="E1834" s="72" t="n">
        <f aca="false">20*LOG10(MAX(D1834,0.000000000001)/$K$3)</f>
        <v>23.6442723188294</v>
      </c>
      <c r="F1834" s="5"/>
      <c r="G1834" s="5"/>
      <c r="H1834" s="5"/>
      <c r="I1834" s="5"/>
      <c r="J1834" s="5"/>
      <c r="K1834" s="5"/>
      <c r="L1834" s="5"/>
      <c r="M1834" s="5"/>
      <c r="N1834" s="5"/>
    </row>
    <row r="1835" customFormat="false" ht="15" hidden="false" customHeight="false" outlineLevel="0" collapsed="false">
      <c r="A1835" s="71" t="n">
        <f aca="false">A1834+$F$3</f>
        <v>36580</v>
      </c>
      <c r="B1835" s="71" t="n">
        <f aca="false">SUMPRODUCT(固有振動数!$Q$6:$Q$22*(1-($A1835/固有振動数!$O$6:$O$22)^2)/((1-($A1835/固有振動数!$O$6:$O$22)^2)^2+固有振動数!$P$6:$P$22^2))</f>
        <v>-14.5519975617677</v>
      </c>
      <c r="C1835" s="71" t="n">
        <f aca="false">-SUMPRODUCT(固有振動数!$Q$6:$Q$22*固有振動数!$P$6:$P$22/((1-($A1835/固有振動数!$O$6:$O$22)^2)^2+固有振動数!$P$6:$P$22^2))</f>
        <v>-3.02610682374859</v>
      </c>
      <c r="D1835" s="71" t="n">
        <f aca="false">SQRT(B1835^2+C1835^2)</f>
        <v>14.8633090375741</v>
      </c>
      <c r="E1835" s="72" t="n">
        <f aca="false">20*LOG10(MAX(D1835,0.000000000001)/$K$3)</f>
        <v>23.4423101545417</v>
      </c>
      <c r="F1835" s="5"/>
      <c r="G1835" s="5"/>
      <c r="H1835" s="5"/>
      <c r="I1835" s="5"/>
      <c r="J1835" s="5"/>
      <c r="K1835" s="5"/>
      <c r="L1835" s="5"/>
      <c r="M1835" s="5"/>
      <c r="N1835" s="5"/>
    </row>
    <row r="1836" customFormat="false" ht="15" hidden="false" customHeight="false" outlineLevel="0" collapsed="false">
      <c r="A1836" s="71" t="n">
        <f aca="false">A1835+$F$3</f>
        <v>36600</v>
      </c>
      <c r="B1836" s="71" t="n">
        <f aca="false">SUMPRODUCT(固有振動数!$Q$6:$Q$22*(1-($A1836/固有振動数!$O$6:$O$22)^2)/((1-($A1836/固有振動数!$O$6:$O$22)^2)^2+固有振動数!$P$6:$P$22^2))</f>
        <v>-14.2280799627688</v>
      </c>
      <c r="C1836" s="71" t="n">
        <f aca="false">-SUMPRODUCT(固有振動数!$Q$6:$Q$22*固有振動数!$P$6:$P$22/((1-($A1836/固有振動数!$O$6:$O$22)^2)^2+固有振動数!$P$6:$P$22^2))</f>
        <v>-2.92397381881123</v>
      </c>
      <c r="D1836" s="71" t="n">
        <f aca="false">SQRT(B1836^2+C1836^2)</f>
        <v>14.5254219325993</v>
      </c>
      <c r="E1836" s="72" t="n">
        <f aca="false">20*LOG10(MAX(D1836,0.000000000001)/$K$3)</f>
        <v>23.2425751315237</v>
      </c>
      <c r="F1836" s="5"/>
      <c r="G1836" s="5"/>
      <c r="H1836" s="5"/>
      <c r="I1836" s="5"/>
      <c r="J1836" s="5"/>
      <c r="K1836" s="5"/>
      <c r="L1836" s="5"/>
      <c r="M1836" s="5"/>
      <c r="N1836" s="5"/>
    </row>
    <row r="1837" customFormat="false" ht="15" hidden="false" customHeight="false" outlineLevel="0" collapsed="false">
      <c r="A1837" s="71" t="n">
        <f aca="false">A1836+$F$3</f>
        <v>36620</v>
      </c>
      <c r="B1837" s="71" t="n">
        <f aca="false">SUMPRODUCT(固有振動数!$Q$6:$Q$22*(1-($A1837/固有振動数!$O$6:$O$22)^2)/((1-($A1837/固有振動数!$O$6:$O$22)^2)^2+固有振動数!$P$6:$P$22^2))</f>
        <v>-13.9143454785971</v>
      </c>
      <c r="C1837" s="71" t="n">
        <f aca="false">-SUMPRODUCT(固有振動数!$Q$6:$Q$22*固有振動数!$P$6:$P$22/((1-($A1837/固有振動数!$O$6:$O$22)^2)^2+固有振動数!$P$6:$P$22^2))</f>
        <v>-2.82728079043108</v>
      </c>
      <c r="D1837" s="71" t="n">
        <f aca="false">SQRT(B1837^2+C1837^2)</f>
        <v>14.1986804586094</v>
      </c>
      <c r="E1837" s="72" t="n">
        <f aca="false">20*LOG10(MAX(D1837,0.000000000001)/$K$3)</f>
        <v>23.0449597099533</v>
      </c>
      <c r="F1837" s="5"/>
      <c r="G1837" s="5"/>
      <c r="H1837" s="5"/>
      <c r="I1837" s="5"/>
      <c r="J1837" s="5"/>
      <c r="K1837" s="5"/>
      <c r="L1837" s="5"/>
      <c r="M1837" s="5"/>
      <c r="N1837" s="5"/>
    </row>
    <row r="1838" customFormat="false" ht="15" hidden="false" customHeight="false" outlineLevel="0" collapsed="false">
      <c r="A1838" s="71" t="n">
        <f aca="false">A1837+$F$3</f>
        <v>36640</v>
      </c>
      <c r="B1838" s="71" t="n">
        <f aca="false">SUMPRODUCT(固有振動数!$Q$6:$Q$22*(1-($A1838/固有振動数!$O$6:$O$22)^2)/((1-($A1838/固有振動数!$O$6:$O$22)^2)^2+固有振動数!$P$6:$P$22^2))</f>
        <v>-13.6103026830087</v>
      </c>
      <c r="C1838" s="71" t="n">
        <f aca="false">-SUMPRODUCT(固有振動数!$Q$6:$Q$22*固有振動数!$P$6:$P$22/((1-($A1838/固有振動数!$O$6:$O$22)^2)^2+固有振動数!$P$6:$P$22^2))</f>
        <v>-2.73565235990154</v>
      </c>
      <c r="D1838" s="71" t="n">
        <f aca="false">SQRT(B1838^2+C1838^2)</f>
        <v>13.8825117668723</v>
      </c>
      <c r="E1838" s="72" t="n">
        <f aca="false">20*LOG10(MAX(D1838,0.000000000001)/$K$3)</f>
        <v>22.8493610050899</v>
      </c>
      <c r="F1838" s="5"/>
      <c r="G1838" s="5"/>
      <c r="H1838" s="5"/>
      <c r="I1838" s="5"/>
      <c r="J1838" s="5"/>
      <c r="K1838" s="5"/>
      <c r="L1838" s="5"/>
      <c r="M1838" s="5"/>
      <c r="N1838" s="5"/>
    </row>
    <row r="1839" customFormat="false" ht="15" hidden="false" customHeight="false" outlineLevel="0" collapsed="false">
      <c r="A1839" s="71" t="n">
        <f aca="false">A1838+$F$3</f>
        <v>36660</v>
      </c>
      <c r="B1839" s="71" t="n">
        <f aca="false">SUMPRODUCT(固有振動数!$Q$6:$Q$22*(1-($A1839/固有振動数!$O$6:$O$22)^2)/((1-($A1839/固有振動数!$O$6:$O$22)^2)^2+固有振動数!$P$6:$P$22^2))</f>
        <v>-13.315490157113</v>
      </c>
      <c r="C1839" s="71" t="n">
        <f aca="false">-SUMPRODUCT(固有振動数!$Q$6:$Q$22*固有振動数!$P$6:$P$22/((1-($A1839/固有振動数!$O$6:$O$22)^2)^2+固有振動数!$P$6:$P$22^2))</f>
        <v>-2.64874471608002</v>
      </c>
      <c r="D1839" s="71" t="n">
        <f aca="false">SQRT(B1839^2+C1839^2)</f>
        <v>13.576381207639</v>
      </c>
      <c r="E1839" s="72" t="n">
        <f aca="false">20*LOG10(MAX(D1839,0.000000000001)/$K$3)</f>
        <v>22.6556804784283</v>
      </c>
      <c r="F1839" s="5"/>
      <c r="G1839" s="5"/>
      <c r="H1839" s="5"/>
      <c r="I1839" s="5"/>
      <c r="J1839" s="5"/>
      <c r="K1839" s="5"/>
      <c r="L1839" s="5"/>
      <c r="M1839" s="5"/>
      <c r="N1839" s="5"/>
    </row>
    <row r="1840" customFormat="false" ht="15" hidden="false" customHeight="false" outlineLevel="0" collapsed="false">
      <c r="A1840" s="71" t="n">
        <f aca="false">A1839+$F$3</f>
        <v>36680</v>
      </c>
      <c r="B1840" s="71" t="n">
        <f aca="false">SUMPRODUCT(固有振動数!$Q$6:$Q$22*(1-($A1840/固有振動数!$O$6:$O$22)^2)/((1-($A1840/固有振動数!$O$6:$O$22)^2)^2+固有振動数!$P$6:$P$22^2))</f>
        <v>-13.0294743420007</v>
      </c>
      <c r="C1840" s="71" t="n">
        <f aca="false">-SUMPRODUCT(固有振動数!$Q$6:$Q$22*固有振動数!$P$6:$P$22/((1-($A1840/固有振動数!$O$6:$O$22)^2)^2+固有振動数!$P$6:$P$22^2))</f>
        <v>-2.56624251146716</v>
      </c>
      <c r="D1840" s="71" t="n">
        <f aca="false">SQRT(B1840^2+C1840^2)</f>
        <v>13.2797892399133</v>
      </c>
      <c r="E1840" s="72" t="n">
        <f aca="false">20*LOG10(MAX(D1840,0.000000000001)/$K$3)</f>
        <v>22.4638236502348</v>
      </c>
      <c r="F1840" s="5"/>
      <c r="G1840" s="5"/>
      <c r="H1840" s="5"/>
      <c r="I1840" s="5"/>
      <c r="J1840" s="5"/>
      <c r="K1840" s="5"/>
      <c r="L1840" s="5"/>
      <c r="M1840" s="5"/>
      <c r="N1840" s="5"/>
    </row>
    <row r="1841" customFormat="false" ht="15" hidden="false" customHeight="false" outlineLevel="0" collapsed="false">
      <c r="A1841" s="71" t="n">
        <f aca="false">A1840+$F$3</f>
        <v>36700</v>
      </c>
      <c r="B1841" s="71" t="n">
        <f aca="false">SUMPRODUCT(固有振動数!$Q$6:$Q$22*(1-($A1841/固有振動数!$O$6:$O$22)^2)/((1-($A1841/固有振動数!$O$6:$O$22)^2)^2+固有振動数!$P$6:$P$22^2))</f>
        <v>-12.7518475603414</v>
      </c>
      <c r="C1841" s="71" t="n">
        <f aca="false">-SUMPRODUCT(固有振動数!$Q$6:$Q$22*固有振動数!$P$6:$P$22/((1-($A1841/固有振動数!$O$6:$O$22)^2)^2+固有振動数!$P$6:$P$22^2))</f>
        <v>-2.48785610530293</v>
      </c>
      <c r="D1841" s="71" t="n">
        <f aca="false">SQRT(B1841^2+C1841^2)</f>
        <v>12.9922686318779</v>
      </c>
      <c r="E1841" s="72" t="n">
        <f aca="false">20*LOG10(MAX(D1841,0.000000000001)/$K$3)</f>
        <v>22.2736998317476</v>
      </c>
      <c r="F1841" s="5"/>
      <c r="G1841" s="5"/>
      <c r="H1841" s="5"/>
      <c r="I1841" s="5"/>
      <c r="J1841" s="5"/>
      <c r="K1841" s="5"/>
      <c r="L1841" s="5"/>
      <c r="M1841" s="5"/>
      <c r="N1841" s="5"/>
    </row>
    <row r="1842" customFormat="false" ht="15" hidden="false" customHeight="false" outlineLevel="0" collapsed="false">
      <c r="A1842" s="71" t="n">
        <f aca="false">A1841+$F$3</f>
        <v>36720</v>
      </c>
      <c r="B1842" s="71" t="n">
        <f aca="false">SUMPRODUCT(固有振動数!$Q$6:$Q$22*(1-($A1842/固有振動数!$O$6:$O$22)^2)/((1-($A1842/固有振動数!$O$6:$O$22)^2)^2+固有振動数!$P$6:$P$22^2))</f>
        <v>-12.4822261934128</v>
      </c>
      <c r="C1842" s="71" t="n">
        <f aca="false">-SUMPRODUCT(固有振動数!$Q$6:$Q$22*固有振動数!$P$6:$P$22/((1-($A1842/固有振動数!$O$6:$O$22)^2)^2+固有振動数!$P$6:$P$22^2))</f>
        <v>-2.41331911046437</v>
      </c>
      <c r="D1842" s="71" t="n">
        <f aca="false">SQRT(B1842^2+C1842^2)</f>
        <v>12.7133819211276</v>
      </c>
      <c r="E1842" s="72" t="n">
        <f aca="false">20*LOG10(MAX(D1842,0.000000000001)/$K$3)</f>
        <v>22.0852218754603</v>
      </c>
      <c r="F1842" s="5"/>
      <c r="G1842" s="5"/>
      <c r="H1842" s="5"/>
      <c r="I1842" s="5"/>
      <c r="J1842" s="5"/>
      <c r="K1842" s="5"/>
      <c r="L1842" s="5"/>
      <c r="M1842" s="5"/>
      <c r="N1842" s="5"/>
    </row>
    <row r="1843" customFormat="false" ht="15" hidden="false" customHeight="false" outlineLevel="0" collapsed="false">
      <c r="A1843" s="71" t="n">
        <f aca="false">A1842+$F$3</f>
        <v>36740</v>
      </c>
      <c r="B1843" s="71" t="n">
        <f aca="false">SUMPRODUCT(固有振動数!$Q$6:$Q$22*(1-($A1843/固有振動数!$O$6:$O$22)^2)/((1-($A1843/固有振動数!$O$6:$O$22)^2)^2+固有振動数!$P$6:$P$22^2))</f>
        <v>-12.2202490009515</v>
      </c>
      <c r="C1843" s="71" t="n">
        <f aca="false">-SUMPRODUCT(固有振動数!$Q$6:$Q$22*固有振動数!$P$6:$P$22/((1-($A1843/固有振動数!$O$6:$O$22)^2)^2+固有振動数!$P$6:$P$22^2))</f>
        <v>-2.34238620684909</v>
      </c>
      <c r="D1843" s="71" t="n">
        <f aca="false">SQRT(B1843^2+C1843^2)</f>
        <v>12.4427191074657</v>
      </c>
      <c r="E1843" s="72" t="n">
        <f aca="false">20*LOG10(MAX(D1843,0.000000000001)/$K$3)</f>
        <v>21.898305942029</v>
      </c>
      <c r="F1843" s="5"/>
      <c r="G1843" s="5"/>
      <c r="H1843" s="5"/>
      <c r="I1843" s="5"/>
      <c r="J1843" s="5"/>
      <c r="K1843" s="5"/>
      <c r="L1843" s="5"/>
      <c r="M1843" s="5"/>
      <c r="N1843" s="5"/>
    </row>
    <row r="1844" customFormat="false" ht="15" hidden="false" customHeight="false" outlineLevel="0" collapsed="false">
      <c r="A1844" s="71" t="n">
        <f aca="false">A1843+$F$3</f>
        <v>36760</v>
      </c>
      <c r="B1844" s="71" t="n">
        <f aca="false">SUMPRODUCT(固有振動数!$Q$6:$Q$22*(1-($A1844/固有振動数!$O$6:$O$22)^2)/((1-($A1844/固有振動数!$O$6:$O$22)^2)^2+固有振動数!$P$6:$P$22^2))</f>
        <v>-11.965575572138</v>
      </c>
      <c r="C1844" s="71" t="n">
        <f aca="false">-SUMPRODUCT(固有振動数!$Q$6:$Q$22*固有振動数!$P$6:$P$22/((1-($A1844/固有振動数!$O$6:$O$22)^2)^2+固有振動数!$P$6:$P$22^2))</f>
        <v>-2.27483118895871</v>
      </c>
      <c r="D1844" s="71" t="n">
        <f aca="false">SQRT(B1844^2+C1844^2)</f>
        <v>12.1798955541829</v>
      </c>
      <c r="E1844" s="72" t="n">
        <f aca="false">20*LOG10(MAX(D1844,0.000000000001)/$K$3)</f>
        <v>21.7128712824618</v>
      </c>
      <c r="F1844" s="5"/>
      <c r="G1844" s="5"/>
      <c r="H1844" s="5"/>
      <c r="I1844" s="5"/>
      <c r="J1844" s="5"/>
      <c r="K1844" s="5"/>
      <c r="L1844" s="5"/>
      <c r="M1844" s="5"/>
      <c r="N1844" s="5"/>
    </row>
    <row r="1845" customFormat="false" ht="15" hidden="false" customHeight="false" outlineLevel="0" collapsed="false">
      <c r="A1845" s="71" t="n">
        <f aca="false">A1844+$F$3</f>
        <v>36780</v>
      </c>
      <c r="B1845" s="71" t="n">
        <f aca="false">SUMPRODUCT(固有振動数!$Q$6:$Q$22*(1-($A1845/固有振動数!$O$6:$O$22)^2)/((1-($A1845/固有振動数!$O$6:$O$22)^2)^2+固有振動数!$P$6:$P$22^2))</f>
        <v>-11.7178848969223</v>
      </c>
      <c r="C1845" s="71" t="n">
        <f aca="false">-SUMPRODUCT(固有振動数!$Q$6:$Q$22*固有振動数!$P$6:$P$22/((1-($A1845/固有振動数!$O$6:$O$22)^2)^2+固有振動数!$P$6:$P$22^2))</f>
        <v>-2.21044521968998</v>
      </c>
      <c r="D1845" s="71" t="n">
        <f aca="false">SQRT(B1845^2+C1845^2)</f>
        <v>11.9245500764922</v>
      </c>
      <c r="E1845" s="72" t="n">
        <f aca="false">20*LOG10(MAX(D1845,0.000000000001)/$K$3)</f>
        <v>21.5288400343555</v>
      </c>
      <c r="F1845" s="5"/>
      <c r="G1845" s="5"/>
      <c r="H1845" s="5"/>
      <c r="I1845" s="5"/>
      <c r="J1845" s="5"/>
      <c r="K1845" s="5"/>
      <c r="L1845" s="5"/>
      <c r="M1845" s="5"/>
      <c r="N1845" s="5"/>
    </row>
    <row r="1846" customFormat="false" ht="15" hidden="false" customHeight="false" outlineLevel="0" collapsed="false">
      <c r="A1846" s="71" t="n">
        <f aca="false">A1845+$F$3</f>
        <v>36800</v>
      </c>
      <c r="B1846" s="71" t="n">
        <f aca="false">SUMPRODUCT(固有振動数!$Q$6:$Q$22*(1-($A1846/固有振動数!$O$6:$O$22)^2)/((1-($A1846/固有振動数!$O$6:$O$22)^2)^2+固有振動数!$P$6:$P$22^2))</f>
        <v>-11.4768740477463</v>
      </c>
      <c r="C1846" s="71" t="n">
        <f aca="false">-SUMPRODUCT(固有振動数!$Q$6:$Q$22*固有振動数!$P$6:$P$22/((1-($A1846/固有振動数!$O$6:$O$22)^2)^2+固有振動数!$P$6:$P$22^2))</f>
        <v>-2.14903526601678</v>
      </c>
      <c r="D1846" s="71" t="n">
        <f aca="false">SQRT(B1846^2+C1846^2)</f>
        <v>11.6763431982114</v>
      </c>
      <c r="E1846" s="72" t="n">
        <f aca="false">20*LOG10(MAX(D1846,0.000000000001)/$K$3)</f>
        <v>21.3461370310453</v>
      </c>
      <c r="F1846" s="5"/>
      <c r="G1846" s="5"/>
      <c r="H1846" s="5"/>
      <c r="I1846" s="5"/>
      <c r="J1846" s="5"/>
      <c r="K1846" s="5"/>
      <c r="L1846" s="5"/>
      <c r="M1846" s="5"/>
      <c r="N1846" s="5"/>
    </row>
    <row r="1847" customFormat="false" ht="15" hidden="false" customHeight="false" outlineLevel="0" collapsed="false">
      <c r="A1847" s="71" t="n">
        <f aca="false">A1846+$F$3</f>
        <v>36820</v>
      </c>
      <c r="B1847" s="71" t="n">
        <f aca="false">SUMPRODUCT(固有振動数!$Q$6:$Q$22*(1-($A1847/固有振動数!$O$6:$O$22)^2)/((1-($A1847/固有振動数!$O$6:$O$22)^2)^2+固有振動数!$P$6:$P$22^2))</f>
        <v>-11.2422569625271</v>
      </c>
      <c r="C1847" s="71" t="n">
        <f aca="false">-SUMPRODUCT(固有振動数!$Q$6:$Q$22*固有振動数!$P$6:$P$22/((1-($A1847/固有振動数!$O$6:$O$22)^2)^2+固有振動数!$P$6:$P$22^2))</f>
        <v>-2.09042269539799</v>
      </c>
      <c r="D1847" s="71" t="n">
        <f aca="false">SQRT(B1847^2+C1847^2)</f>
        <v>11.4349555599016</v>
      </c>
      <c r="E1847" s="72" t="n">
        <f aca="false">20*LOG10(MAX(D1847,0.000000000001)/$K$3)</f>
        <v>21.1646896226209</v>
      </c>
      <c r="F1847" s="5"/>
      <c r="G1847" s="5"/>
      <c r="H1847" s="5"/>
      <c r="I1847" s="5"/>
      <c r="J1847" s="5"/>
      <c r="K1847" s="5"/>
      <c r="L1847" s="5"/>
      <c r="M1847" s="5"/>
      <c r="N1847" s="5"/>
    </row>
    <row r="1848" customFormat="false" ht="15" hidden="false" customHeight="false" outlineLevel="0" collapsed="false">
      <c r="A1848" s="71" t="n">
        <f aca="false">A1847+$F$3</f>
        <v>36840</v>
      </c>
      <c r="B1848" s="71" t="n">
        <f aca="false">SUMPRODUCT(固有振動数!$Q$6:$Q$22*(1-($A1848/固有振動数!$O$6:$O$22)^2)/((1-($A1848/固有振動数!$O$6:$O$22)^2)^2+固有振動数!$P$6:$P$22^2))</f>
        <v>-11.0137633205188</v>
      </c>
      <c r="C1848" s="71" t="n">
        <f aca="false">-SUMPRODUCT(固有振動数!$Q$6:$Q$22*固有振動数!$P$6:$P$22/((1-($A1848/固有振動数!$O$6:$O$22)^2)^2+固有振動数!$P$6:$P$22^2))</f>
        <v>-2.03444201445451</v>
      </c>
      <c r="D1848" s="71" t="n">
        <f aca="false">SQRT(B1848^2+C1848^2)</f>
        <v>11.2000864635316</v>
      </c>
      <c r="E1848" s="72" t="n">
        <f aca="false">20*LOG10(MAX(D1848,0.000000000001)/$K$3)</f>
        <v>20.9844275078496</v>
      </c>
      <c r="F1848" s="5"/>
      <c r="G1848" s="5"/>
      <c r="H1848" s="5"/>
      <c r="I1848" s="5"/>
      <c r="J1848" s="5"/>
      <c r="K1848" s="5"/>
      <c r="L1848" s="5"/>
      <c r="M1848" s="5"/>
      <c r="N1848" s="5"/>
    </row>
    <row r="1849" customFormat="false" ht="15" hidden="false" customHeight="false" outlineLevel="0" collapsed="false">
      <c r="A1849" s="71" t="n">
        <f aca="false">A1848+$F$3</f>
        <v>36860</v>
      </c>
      <c r="B1849" s="71" t="n">
        <f aca="false">SUMPRODUCT(固有振動数!$Q$6:$Q$22*(1-($A1849/固有振動数!$O$6:$O$22)^2)/((1-($A1849/固有振動数!$O$6:$O$22)^2)^2+固有振動数!$P$6:$P$22^2))</f>
        <v>-10.7911375033724</v>
      </c>
      <c r="C1849" s="71" t="n">
        <f aca="false">-SUMPRODUCT(固有振動数!$Q$6:$Q$22*固有振動数!$P$6:$P$22/((1-($A1849/固有振動数!$O$6:$O$22)^2)^2+固有振動数!$P$6:$P$22^2))</f>
        <v>-1.98093973379074</v>
      </c>
      <c r="D1849" s="71" t="n">
        <f aca="false">SQRT(B1849^2+C1849^2)</f>
        <v>10.9714525403705</v>
      </c>
      <c r="E1849" s="72" t="n">
        <f aca="false">20*LOG10(MAX(D1849,0.000000000001)/$K$3)</f>
        <v>20.8052825761198</v>
      </c>
      <c r="F1849" s="5"/>
      <c r="G1849" s="5"/>
      <c r="H1849" s="5"/>
      <c r="I1849" s="5"/>
      <c r="J1849" s="5"/>
      <c r="K1849" s="5"/>
      <c r="L1849" s="5"/>
      <c r="M1849" s="5"/>
      <c r="N1849" s="5"/>
    </row>
    <row r="1850" customFormat="false" ht="15" hidden="false" customHeight="false" outlineLevel="0" collapsed="false">
      <c r="A1850" s="71" t="n">
        <f aca="false">A1849+$F$3</f>
        <v>36880</v>
      </c>
      <c r="B1850" s="71" t="n">
        <f aca="false">SUMPRODUCT(固有振動数!$Q$6:$Q$22*(1-($A1850/固有振動数!$O$6:$O$22)^2)/((1-($A1850/固有振動数!$O$6:$O$22)^2)^2+固有振動数!$P$6:$P$22^2))</f>
        <v>-10.574137634363</v>
      </c>
      <c r="C1850" s="71" t="n">
        <f aca="false">-SUMPRODUCT(固有振動数!$Q$6:$Q$22*固有振動数!$P$6:$P$22/((1-($A1850/固有振動数!$O$6:$O$22)^2)^2+固有振動数!$P$6:$P$22^2))</f>
        <v>-1.92977334484752</v>
      </c>
      <c r="D1850" s="71" t="n">
        <f aca="false">SQRT(B1850^2+C1850^2)</f>
        <v>10.7487865302524</v>
      </c>
      <c r="E1850" s="72" t="n">
        <f aca="false">20*LOG10(MAX(D1850,0.000000000001)/$K$3)</f>
        <v>20.6271887585918</v>
      </c>
      <c r="F1850" s="5"/>
      <c r="G1850" s="5"/>
      <c r="H1850" s="5"/>
      <c r="I1850" s="5"/>
      <c r="J1850" s="5"/>
      <c r="K1850" s="5"/>
      <c r="L1850" s="5"/>
      <c r="M1850" s="5"/>
      <c r="N1850" s="5"/>
    </row>
    <row r="1851" customFormat="false" ht="15" hidden="false" customHeight="false" outlineLevel="0" collapsed="false">
      <c r="A1851" s="71" t="n">
        <f aca="false">A1850+$F$3</f>
        <v>36900</v>
      </c>
      <c r="B1851" s="71" t="n">
        <f aca="false">SUMPRODUCT(固有振動数!$Q$6:$Q$22*(1-($A1851/固有振動数!$O$6:$O$22)^2)/((1-($A1851/固有振動数!$O$6:$O$22)^2)^2+固有振動数!$P$6:$P$22^2))</f>
        <v>-10.3625346893553</v>
      </c>
      <c r="C1851" s="71" t="n">
        <f aca="false">-SUMPRODUCT(固有振動数!$Q$6:$Q$22*固有振動数!$P$6:$P$22/((1-($A1851/固有振動数!$O$6:$O$22)^2)^2+固有振動数!$P$6:$P$22^2))</f>
        <v>-1.88081039641249</v>
      </c>
      <c r="D1851" s="71" t="n">
        <f aca="false">SQRT(B1851^2+C1851^2)</f>
        <v>10.5318361616265</v>
      </c>
      <c r="E1851" s="72" t="n">
        <f aca="false">20*LOG10(MAX(D1851,0.000000000001)/$K$3)</f>
        <v>20.4500818878015</v>
      </c>
      <c r="F1851" s="5"/>
      <c r="G1851" s="5"/>
      <c r="H1851" s="5"/>
      <c r="I1851" s="5"/>
      <c r="J1851" s="5"/>
      <c r="K1851" s="5"/>
      <c r="L1851" s="5"/>
      <c r="M1851" s="5"/>
      <c r="N1851" s="5"/>
    </row>
    <row r="1852" customFormat="false" ht="15" hidden="false" customHeight="false" outlineLevel="0" collapsed="false">
      <c r="A1852" s="71" t="n">
        <f aca="false">A1851+$F$3</f>
        <v>36920</v>
      </c>
      <c r="B1852" s="71" t="n">
        <f aca="false">SUMPRODUCT(固有振動数!$Q$6:$Q$22*(1-($A1852/固有振動数!$O$6:$O$22)^2)/((1-($A1852/固有振動数!$O$6:$O$22)^2)^2+固有振動数!$P$6:$P$22^2))</f>
        <v>-10.1561116736288</v>
      </c>
      <c r="C1852" s="71" t="n">
        <f aca="false">-SUMPRODUCT(固有振動数!$Q$6:$Q$22*固有振動数!$P$6:$P$22/((1-($A1852/固有振動数!$O$6:$O$22)^2)^2+固有振動数!$P$6:$P$22^2))</f>
        <v>-1.83392765991989</v>
      </c>
      <c r="D1852" s="71" t="n">
        <f aca="false">SQRT(B1852^2+C1852^2)</f>
        <v>10.3203631229254</v>
      </c>
      <c r="E1852" s="72" t="n">
        <f aca="false">20*LOG10(MAX(D1852,0.000000000001)/$K$3)</f>
        <v>20.273899565026</v>
      </c>
      <c r="F1852" s="5"/>
      <c r="G1852" s="5"/>
      <c r="H1852" s="5"/>
      <c r="I1852" s="5"/>
      <c r="J1852" s="5"/>
      <c r="K1852" s="5"/>
      <c r="L1852" s="5"/>
      <c r="M1852" s="5"/>
      <c r="N1852" s="5"/>
    </row>
    <row r="1853" customFormat="false" ht="15" hidden="false" customHeight="false" outlineLevel="0" collapsed="false">
      <c r="A1853" s="71" t="n">
        <f aca="false">A1852+$F$3</f>
        <v>36940</v>
      </c>
      <c r="B1853" s="71" t="n">
        <f aca="false">SUMPRODUCT(固有振動数!$Q$6:$Q$22*(1-($A1853/固有振動数!$O$6:$O$22)^2)/((1-($A1853/固有振動数!$O$6:$O$22)^2)^2+固有振動数!$P$6:$P$22^2))</f>
        <v>-9.95466285918979</v>
      </c>
      <c r="C1853" s="71" t="n">
        <f aca="false">-SUMPRODUCT(固有振動数!$Q$6:$Q$22*固有振動数!$P$6:$P$22/((1-($A1853/固有振動数!$O$6:$O$22)^2)^2+固有振動数!$P$6:$P$22^2))</f>
        <v>-1.78901037397787</v>
      </c>
      <c r="D1853" s="71" t="n">
        <f aca="false">SQRT(B1853^2+C1853^2)</f>
        <v>10.1141421167756</v>
      </c>
      <c r="E1853" s="72" t="n">
        <f aca="false">20*LOG10(MAX(D1853,0.000000000001)/$K$3)</f>
        <v>20.0985810347693</v>
      </c>
      <c r="F1853" s="5"/>
      <c r="G1853" s="5"/>
      <c r="H1853" s="5"/>
      <c r="I1853" s="5"/>
      <c r="J1853" s="5"/>
      <c r="K1853" s="5"/>
      <c r="L1853" s="5"/>
      <c r="M1853" s="5"/>
      <c r="N1853" s="5"/>
    </row>
    <row r="1854" customFormat="false" ht="15" hidden="false" customHeight="false" outlineLevel="0" collapsed="false">
      <c r="A1854" s="71" t="n">
        <f aca="false">A1853+$F$3</f>
        <v>36960</v>
      </c>
      <c r="B1854" s="71" t="n">
        <f aca="false">SUMPRODUCT(固有振動数!$Q$6:$Q$22*(1-($A1854/固有振動数!$O$6:$O$22)^2)/((1-($A1854/固有振動数!$O$6:$O$22)^2)^2+固有振動数!$P$6:$P$22^2))</f>
        <v>-9.7579930776616</v>
      </c>
      <c r="C1854" s="71" t="n">
        <f aca="false">-SUMPRODUCT(固有振動数!$Q$6:$Q$22*固有振動数!$P$6:$P$22/((1-($A1854/固有振動数!$O$6:$O$22)^2)^2+固有振動数!$P$6:$P$22^2))</f>
        <v>-1.7459515596972</v>
      </c>
      <c r="D1854" s="71" t="n">
        <f aca="false">SQRT(B1854^2+C1854^2)</f>
        <v>9.91295998945324</v>
      </c>
      <c r="E1854" s="72" t="n">
        <f aca="false">20*LOG10(MAX(D1854,0.000000000001)/$K$3)</f>
        <v>19.9240670657742</v>
      </c>
      <c r="F1854" s="5"/>
      <c r="G1854" s="5"/>
      <c r="H1854" s="5"/>
      <c r="I1854" s="5"/>
      <c r="J1854" s="5"/>
      <c r="K1854" s="5"/>
      <c r="L1854" s="5"/>
      <c r="M1854" s="5"/>
      <c r="N1854" s="5"/>
    </row>
    <row r="1855" customFormat="false" ht="15" hidden="false" customHeight="false" outlineLevel="0" collapsed="false">
      <c r="A1855" s="71" t="n">
        <f aca="false">A1854+$F$3</f>
        <v>36980</v>
      </c>
      <c r="B1855" s="71" t="n">
        <f aca="false">SUMPRODUCT(固有振動数!$Q$6:$Q$22*(1-($A1855/固有振動数!$O$6:$O$22)^2)/((1-($A1855/固有振動数!$O$6:$O$22)^2)^2+固有振動数!$P$6:$P$22^2))</f>
        <v>-9.56591706426683</v>
      </c>
      <c r="C1855" s="71" t="n">
        <f aca="false">-SUMPRODUCT(固有振動数!$Q$6:$Q$22*固有振動数!$P$6:$P$22/((1-($A1855/固有振動数!$O$6:$O$22)^2)^2+固有振動数!$P$6:$P$22^2))</f>
        <v>-1.70465139938362</v>
      </c>
      <c r="D1855" s="71" t="n">
        <f aca="false">SQRT(B1855^2+C1855^2)</f>
        <v>9.71661492876258</v>
      </c>
      <c r="E1855" s="72" t="n">
        <f aca="false">20*LOG10(MAX(D1855,0.000000000001)/$K$3)</f>
        <v>19.7502998380129</v>
      </c>
      <c r="F1855" s="5"/>
      <c r="G1855" s="5"/>
      <c r="H1855" s="5"/>
      <c r="I1855" s="5"/>
      <c r="J1855" s="5"/>
      <c r="K1855" s="5"/>
      <c r="L1855" s="5"/>
      <c r="M1855" s="5"/>
      <c r="N1855" s="5"/>
    </row>
    <row r="1856" customFormat="false" ht="15" hidden="false" customHeight="false" outlineLevel="0" collapsed="false">
      <c r="A1856" s="71" t="n">
        <f aca="false">A1855+$F$3</f>
        <v>37000</v>
      </c>
      <c r="B1856" s="71" t="n">
        <f aca="false">SUMPRODUCT(固有振動数!$Q$6:$Q$22*(1-($A1856/固有振動数!$O$6:$O$22)^2)/((1-($A1856/固有振動数!$O$6:$O$22)^2)^2+固有振動数!$P$6:$P$22^2))</f>
        <v>-9.3782588488036</v>
      </c>
      <c r="C1856" s="71" t="n">
        <f aca="false">-SUMPRODUCT(固有振動数!$Q$6:$Q$22*固有振動数!$P$6:$P$22/((1-($A1856/固有振動数!$O$6:$O$22)^2)^2+固有振動数!$P$6:$P$22^2))</f>
        <v>-1.66501667201861</v>
      </c>
      <c r="D1856" s="71" t="n">
        <f aca="false">SQRT(B1856^2+C1856^2)</f>
        <v>9.5249157242079</v>
      </c>
      <c r="E1856" s="72" t="n">
        <f aca="false">20*LOG10(MAX(D1856,0.000000000001)/$K$3)</f>
        <v>19.5772228351455</v>
      </c>
      <c r="F1856" s="5"/>
      <c r="G1856" s="5"/>
      <c r="H1856" s="5"/>
      <c r="I1856" s="5"/>
      <c r="J1856" s="5"/>
      <c r="K1856" s="5"/>
      <c r="L1856" s="5"/>
      <c r="M1856" s="5"/>
      <c r="N1856" s="5"/>
    </row>
    <row r="1857" customFormat="false" ht="15" hidden="false" customHeight="false" outlineLevel="0" collapsed="false">
      <c r="A1857" s="71" t="n">
        <f aca="false">A1856+$F$3</f>
        <v>37020</v>
      </c>
      <c r="B1857" s="71" t="n">
        <f aca="false">SUMPRODUCT(固有振動数!$Q$6:$Q$22*(1-($A1857/固有振動数!$O$6:$O$22)^2)/((1-($A1857/固有振動数!$O$6:$O$22)^2)^2+固有振動数!$P$6:$P$22^2))</f>
        <v>-9.1948511898683</v>
      </c>
      <c r="C1857" s="71" t="n">
        <f aca="false">-SUMPRODUCT(固有振動数!$Q$6:$Q$22*固有振動数!$P$6:$P$22/((1-($A1857/固有振動数!$O$6:$O$22)^2)^2+固有振動数!$P$6:$P$22^2))</f>
        <v>-1.62696023970616</v>
      </c>
      <c r="D1857" s="71" t="n">
        <f aca="false">SQRT(B1857^2+C1857^2)</f>
        <v>9.33768108394194</v>
      </c>
      <c r="E1857" s="72" t="n">
        <f aca="false">20*LOG10(MAX(D1857,0.000000000001)/$K$3)</f>
        <v>19.404780741972</v>
      </c>
      <c r="F1857" s="5"/>
      <c r="G1857" s="5"/>
      <c r="H1857" s="5"/>
      <c r="I1857" s="5"/>
      <c r="J1857" s="5"/>
      <c r="K1857" s="5"/>
      <c r="L1857" s="5"/>
      <c r="M1857" s="5"/>
      <c r="N1857" s="5"/>
    </row>
    <row r="1858" customFormat="false" ht="15" hidden="false" customHeight="false" outlineLevel="0" collapsed="false">
      <c r="A1858" s="71" t="n">
        <f aca="false">A1857+$F$3</f>
        <v>37040</v>
      </c>
      <c r="B1858" s="71" t="n">
        <f aca="false">SUMPRODUCT(固有振動数!$Q$6:$Q$22*(1-($A1858/固有振動数!$O$6:$O$22)^2)/((1-($A1858/固有振動数!$O$6:$O$22)^2)^2+固有振動数!$P$6:$P$22^2))</f>
        <v>-9.01553504890182</v>
      </c>
      <c r="C1858" s="71" t="n">
        <f aca="false">-SUMPRODUCT(固有振動数!$Q$6:$Q$22*固有振動数!$P$6:$P$22/((1-($A1858/固有振動数!$O$6:$O$22)^2)^2+固有振動数!$P$6:$P$22^2))</f>
        <v>-1.59040057992292</v>
      </c>
      <c r="D1858" s="71" t="n">
        <f aca="false">SQRT(B1858^2+C1858^2)</f>
        <v>9.15473900352141</v>
      </c>
      <c r="E1858" s="72" t="n">
        <f aca="false">20*LOG10(MAX(D1858,0.000000000001)/$K$3)</f>
        <v>19.2329193464382</v>
      </c>
      <c r="F1858" s="5"/>
      <c r="G1858" s="5"/>
      <c r="H1858" s="5"/>
      <c r="I1858" s="5"/>
      <c r="J1858" s="5"/>
      <c r="K1858" s="5"/>
      <c r="L1858" s="5"/>
      <c r="M1858" s="5"/>
      <c r="N1858" s="5"/>
    </row>
    <row r="1859" customFormat="false" ht="15" hidden="false" customHeight="false" outlineLevel="0" collapsed="false">
      <c r="A1859" s="71" t="n">
        <f aca="false">A1858+$F$3</f>
        <v>37060</v>
      </c>
      <c r="B1859" s="71" t="n">
        <f aca="false">SUMPRODUCT(固有振動数!$Q$6:$Q$22*(1-($A1859/固有振動数!$O$6:$O$22)^2)/((1-($A1859/固有振動数!$O$6:$O$22)^2)^2+固有振動数!$P$6:$P$22^2))</f>
        <v>-8.84015910092542</v>
      </c>
      <c r="C1859" s="71" t="n">
        <f aca="false">-SUMPRODUCT(固有振動数!$Q$6:$Q$22*固有振動数!$P$6:$P$22/((1-($A1859/固有振動数!$O$6:$O$22)^2)^2+固有振動数!$P$6:$P$22^2))</f>
        <v>-1.55526135898621</v>
      </c>
      <c r="D1859" s="71" t="n">
        <f aca="false">SQRT(B1859^2+C1859^2)</f>
        <v>8.97592618198424</v>
      </c>
      <c r="E1859" s="72" t="n">
        <f aca="false">20*LOG10(MAX(D1859,0.000000000001)/$K$3)</f>
        <v>19.0615854457802</v>
      </c>
      <c r="F1859" s="5"/>
      <c r="G1859" s="5"/>
      <c r="H1859" s="5"/>
      <c r="I1859" s="5"/>
      <c r="J1859" s="5"/>
      <c r="K1859" s="5"/>
      <c r="L1859" s="5"/>
      <c r="M1859" s="5"/>
      <c r="N1859" s="5"/>
    </row>
    <row r="1860" customFormat="false" ht="15" hidden="false" customHeight="false" outlineLevel="0" collapsed="false">
      <c r="A1860" s="71" t="n">
        <f aca="false">A1859+$F$3</f>
        <v>37080</v>
      </c>
      <c r="B1860" s="71" t="n">
        <f aca="false">SUMPRODUCT(固有振動数!$Q$6:$Q$22*(1-($A1860/固有振動数!$O$6:$O$22)^2)/((1-($A1860/固有振動数!$O$6:$O$22)^2)^2+固有振動数!$P$6:$P$22^2))</f>
        <v>-8.66857927910326</v>
      </c>
      <c r="C1860" s="71" t="n">
        <f aca="false">-SUMPRODUCT(固有振動数!$Q$6:$Q$22*固有振動数!$P$6:$P$22/((1-($A1860/固有振動数!$O$6:$O$22)^2)^2+固有振動数!$P$6:$P$22^2))</f>
        <v>-1.52147104266217</v>
      </c>
      <c r="D1860" s="71" t="n">
        <f aca="false">SQRT(B1860^2+C1860^2)</f>
        <v>8.80108748120128</v>
      </c>
      <c r="E1860" s="72" t="n">
        <f aca="false">20*LOG10(MAX(D1860,0.000000000001)/$K$3)</f>
        <v>18.8907267564245</v>
      </c>
      <c r="F1860" s="5"/>
      <c r="G1860" s="5"/>
      <c r="H1860" s="5"/>
      <c r="I1860" s="5"/>
      <c r="J1860" s="5"/>
      <c r="K1860" s="5"/>
      <c r="L1860" s="5"/>
      <c r="M1860" s="5"/>
      <c r="N1860" s="5"/>
    </row>
    <row r="1861" customFormat="false" ht="15" hidden="false" customHeight="false" outlineLevel="0" collapsed="false">
      <c r="A1861" s="71" t="n">
        <f aca="false">A1860+$F$3</f>
        <v>37100</v>
      </c>
      <c r="B1861" s="71" t="n">
        <f aca="false">SUMPRODUCT(固有振動数!$Q$6:$Q$22*(1-($A1861/固有振動数!$O$6:$O$22)^2)/((1-($A1861/固有振動数!$O$6:$O$22)^2)^2+固有振動数!$P$6:$P$22^2))</f>
        <v>-8.50065835050858</v>
      </c>
      <c r="C1861" s="71" t="n">
        <f aca="false">-SUMPRODUCT(固有振動数!$Q$6:$Q$22*固有振動数!$P$6:$P$22/((1-($A1861/固有振動数!$O$6:$O$22)^2)^2+固有振動数!$P$6:$P$22^2))</f>
        <v>-1.48896254028197</v>
      </c>
      <c r="D1861" s="71" t="n">
        <f aca="false">SQRT(B1861^2+C1861^2)</f>
        <v>8.6300754248404</v>
      </c>
      <c r="E1861" s="72" t="n">
        <f aca="false">20*LOG10(MAX(D1861,0.000000000001)/$K$3)</f>
        <v>18.7202918272795</v>
      </c>
      <c r="F1861" s="5"/>
      <c r="G1861" s="5"/>
      <c r="H1861" s="5"/>
      <c r="I1861" s="5"/>
      <c r="J1861" s="5"/>
      <c r="K1861" s="5"/>
      <c r="L1861" s="5"/>
      <c r="M1861" s="5"/>
      <c r="N1861" s="5"/>
    </row>
    <row r="1862" customFormat="false" ht="15" hidden="false" customHeight="false" outlineLevel="0" collapsed="false">
      <c r="A1862" s="71" t="n">
        <f aca="false">A1861+$F$3</f>
        <v>37120</v>
      </c>
      <c r="B1862" s="71" t="n">
        <f aca="false">SUMPRODUCT(固有振動数!$Q$6:$Q$22*(1-($A1862/固有振動数!$O$6:$O$22)^2)/((1-($A1862/固有振動数!$O$6:$O$22)^2)^2+固有振動数!$P$6:$P$22^2))</f>
        <v>-8.33626552069347</v>
      </c>
      <c r="C1862" s="71" t="n">
        <f aca="false">-SUMPRODUCT(固有振動数!$Q$6:$Q$22*固有振動数!$P$6:$P$22/((1-($A1862/固有振動数!$O$6:$O$22)^2)^2+固有振動数!$P$6:$P$22^2))</f>
        <v>-1.45767287912683</v>
      </c>
      <c r="D1862" s="71" t="n">
        <f aca="false">SQRT(B1862^2+C1862^2)</f>
        <v>8.46274973362941</v>
      </c>
      <c r="E1862" s="72" t="n">
        <f aca="false">20*LOG10(MAX(D1862,0.000000000001)/$K$3)</f>
        <v>18.5502299560783</v>
      </c>
      <c r="F1862" s="5"/>
      <c r="G1862" s="5"/>
      <c r="H1862" s="5"/>
      <c r="I1862" s="5"/>
      <c r="J1862" s="5"/>
      <c r="K1862" s="5"/>
      <c r="L1862" s="5"/>
      <c r="M1862" s="5"/>
      <c r="N1862" s="5"/>
    </row>
    <row r="1863" customFormat="false" ht="15" hidden="false" customHeight="false" outlineLevel="0" collapsed="false">
      <c r="A1863" s="71" t="n">
        <f aca="false">A1862+$F$3</f>
        <v>37140</v>
      </c>
      <c r="B1863" s="71" t="n">
        <f aca="false">SUMPRODUCT(固有振動数!$Q$6:$Q$22*(1-($A1863/固有振動数!$O$6:$O$22)^2)/((1-($A1863/固有振動数!$O$6:$O$22)^2)^2+固有振動数!$P$6:$P$22^2))</f>
        <v>-8.17527606486334</v>
      </c>
      <c r="C1863" s="71" t="n">
        <f aca="false">-SUMPRODUCT(固有振動数!$Q$6:$Q$22*固有振動数!$P$6:$P$22/((1-($A1863/固有振動数!$O$6:$O$22)^2)^2+固有振動数!$P$6:$P$22^2))</f>
        <v>-1.4275429061889</v>
      </c>
      <c r="D1863" s="71" t="n">
        <f aca="false">SQRT(B1863^2+C1863^2)</f>
        <v>8.29897689391516</v>
      </c>
      <c r="E1863" s="72" t="n">
        <f aca="false">20*LOG10(MAX(D1863,0.000000000001)/$K$3)</f>
        <v>18.3804911084501</v>
      </c>
      <c r="F1863" s="5"/>
      <c r="G1863" s="5"/>
      <c r="H1863" s="5"/>
      <c r="I1863" s="5"/>
      <c r="J1863" s="5"/>
      <c r="K1863" s="5"/>
      <c r="L1863" s="5"/>
      <c r="M1863" s="5"/>
      <c r="N1863" s="5"/>
    </row>
    <row r="1864" customFormat="false" ht="15" hidden="false" customHeight="false" outlineLevel="0" collapsed="false">
      <c r="A1864" s="71" t="n">
        <f aca="false">A1863+$F$3</f>
        <v>37160</v>
      </c>
      <c r="B1864" s="71" t="n">
        <f aca="false">SUMPRODUCT(固有振動数!$Q$6:$Q$22*(1-($A1864/固有振動数!$O$6:$O$22)^2)/((1-($A1864/固有振動数!$O$6:$O$22)^2)^2+固有振動数!$P$6:$P$22^2))</f>
        <v>-8.01757098364074</v>
      </c>
      <c r="C1864" s="71" t="n">
        <f aca="false">-SUMPRODUCT(固有振動数!$Q$6:$Q$22*固有振動数!$P$6:$P$22/((1-($A1864/固有振動数!$O$6:$O$22)^2)^2+固有振動数!$P$6:$P$22^2))</f>
        <v>-1.39851701472106</v>
      </c>
      <c r="D1864" s="71" t="n">
        <f aca="false">SQRT(B1864^2+C1864^2)</f>
        <v>8.13862975679458</v>
      </c>
      <c r="E1864" s="72" t="n">
        <f aca="false">20*LOG10(MAX(D1864,0.000000000001)/$K$3)</f>
        <v>18.2110258394164</v>
      </c>
      <c r="F1864" s="5"/>
      <c r="G1864" s="5"/>
      <c r="H1864" s="5"/>
      <c r="I1864" s="5"/>
      <c r="J1864" s="5"/>
      <c r="K1864" s="5"/>
      <c r="L1864" s="5"/>
      <c r="M1864" s="5"/>
      <c r="N1864" s="5"/>
    </row>
    <row r="1865" customFormat="false" ht="15" hidden="false" customHeight="false" outlineLevel="0" collapsed="false">
      <c r="A1865" s="71" t="n">
        <f aca="false">A1864+$F$3</f>
        <v>37180</v>
      </c>
      <c r="B1865" s="71" t="n">
        <f aca="false">SUMPRODUCT(固有振動数!$Q$6:$Q$22*(1-($A1865/固有振動数!$O$6:$O$22)^2)/((1-($A1865/固有振動数!$O$6:$O$22)^2)^2+固有振動数!$P$6:$P$22^2))</f>
        <v>-7.8630366815704</v>
      </c>
      <c r="C1865" s="71" t="n">
        <f aca="false">-SUMPRODUCT(固有振動数!$Q$6:$Q$22*固有振動数!$P$6:$P$22/((1-($A1865/固有振動数!$O$6:$O$22)^2)^2+固有振動数!$P$6:$P$22^2))</f>
        <v>-1.37054289325905</v>
      </c>
      <c r="D1865" s="71" t="n">
        <f aca="false">SQRT(B1865^2+C1865^2)</f>
        <v>7.98158716534403</v>
      </c>
      <c r="E1865" s="72" t="n">
        <f aca="false">20*LOG10(MAX(D1865,0.000000000001)/$K$3)</f>
        <v>18.0417852170189</v>
      </c>
      <c r="F1865" s="5"/>
      <c r="G1865" s="5"/>
      <c r="H1865" s="5"/>
      <c r="I1865" s="5"/>
      <c r="J1865" s="5"/>
      <c r="K1865" s="5"/>
      <c r="L1865" s="5"/>
      <c r="M1865" s="5"/>
      <c r="N1865" s="5"/>
    </row>
    <row r="1866" customFormat="false" ht="15" hidden="false" customHeight="false" outlineLevel="0" collapsed="false">
      <c r="A1866" s="71" t="n">
        <f aca="false">A1865+$F$3</f>
        <v>37200</v>
      </c>
      <c r="B1866" s="71" t="n">
        <f aca="false">SUMPRODUCT(固有振動数!$Q$6:$Q$22*(1-($A1866/固有振動数!$O$6:$O$22)^2)/((1-($A1866/固有振動数!$O$6:$O$22)^2)^2+固有振動数!$P$6:$P$22^2))</f>
        <v>-7.71156466667045</v>
      </c>
      <c r="C1866" s="71" t="n">
        <f aca="false">-SUMPRODUCT(固有振動数!$Q$6:$Q$22*固有振動数!$P$6:$P$22/((1-($A1866/固有振動数!$O$6:$O$22)^2)^2+固有振動数!$P$6:$P$22^2))</f>
        <v>-1.34357129503913</v>
      </c>
      <c r="D1866" s="71" t="n">
        <f aca="false">SQRT(B1866^2+C1866^2)</f>
        <v>7.82773360769854</v>
      </c>
      <c r="E1866" s="72" t="n">
        <f aca="false">20*LOG10(MAX(D1866,0.000000000001)/$K$3)</f>
        <v>17.8727207478053</v>
      </c>
      <c r="F1866" s="5"/>
      <c r="G1866" s="5"/>
      <c r="H1866" s="5"/>
      <c r="I1866" s="5"/>
      <c r="J1866" s="5"/>
      <c r="K1866" s="5"/>
      <c r="L1866" s="5"/>
      <c r="M1866" s="5"/>
      <c r="N1866" s="5"/>
    </row>
    <row r="1867" customFormat="false" ht="15" hidden="false" customHeight="false" outlineLevel="0" collapsed="false">
      <c r="A1867" s="71" t="n">
        <f aca="false">A1866+$F$3</f>
        <v>37220</v>
      </c>
      <c r="B1867" s="71" t="n">
        <f aca="false">SUMPRODUCT(固有振動数!$Q$6:$Q$22*(1-($A1867/固有振動数!$O$6:$O$22)^2)/((1-($A1867/固有振動数!$O$6:$O$22)^2)^2+固有振動数!$P$6:$P$22^2))</f>
        <v>-7.56305126947271</v>
      </c>
      <c r="C1867" s="71" t="n">
        <f aca="false">-SUMPRODUCT(固有振動数!$Q$6:$Q$22*固有振動数!$P$6:$P$22/((1-($A1867/固有振動数!$O$6:$O$22)^2)^2+固有振動数!$P$6:$P$22^2))</f>
        <v>-1.31755582594691</v>
      </c>
      <c r="D1867" s="71" t="n">
        <f aca="false">SQRT(B1867^2+C1867^2)</f>
        <v>7.67695889393446</v>
      </c>
      <c r="E1867" s="72" t="n">
        <f aca="false">20*LOG10(MAX(D1867,0.000000000001)/$K$3)</f>
        <v>17.703784303904</v>
      </c>
      <c r="F1867" s="5"/>
      <c r="G1867" s="5"/>
      <c r="H1867" s="5"/>
      <c r="I1867" s="5"/>
      <c r="J1867" s="5"/>
      <c r="K1867" s="5"/>
      <c r="L1867" s="5"/>
      <c r="M1867" s="5"/>
      <c r="N1867" s="5"/>
    </row>
    <row r="1868" customFormat="false" ht="15" hidden="false" customHeight="false" outlineLevel="0" collapsed="false">
      <c r="A1868" s="71" t="n">
        <f aca="false">A1867+$F$3</f>
        <v>37240</v>
      </c>
      <c r="B1868" s="71" t="n">
        <f aca="false">SUMPRODUCT(固有振動数!$Q$6:$Q$22*(1-($A1868/固有振動数!$O$6:$O$22)^2)/((1-($A1868/固有振動数!$O$6:$O$22)^2)^2+固有振動数!$P$6:$P$22^2))</f>
        <v>-7.41739738012296</v>
      </c>
      <c r="C1868" s="71" t="n">
        <f aca="false">-SUMPRODUCT(固有振動数!$Q$6:$Q$22*固有振動数!$P$6:$P$22/((1-($A1868/固有振動数!$O$6:$O$22)^2)^2+固有振動数!$P$6:$P$22^2))</f>
        <v>-1.29245274932171</v>
      </c>
      <c r="D1868" s="71" t="n">
        <f aca="false">SQRT(B1868^2+C1868^2)</f>
        <v>7.52915785489216</v>
      </c>
      <c r="E1868" s="72" t="n">
        <f aca="false">20*LOG10(MAX(D1868,0.000000000001)/$K$3)</f>
        <v>17.5349280514331</v>
      </c>
      <c r="F1868" s="5"/>
      <c r="G1868" s="5"/>
      <c r="H1868" s="5"/>
      <c r="I1868" s="5"/>
      <c r="J1868" s="5"/>
      <c r="K1868" s="5"/>
      <c r="L1868" s="5"/>
      <c r="M1868" s="5"/>
      <c r="N1868" s="5"/>
    </row>
    <row r="1869" customFormat="false" ht="15" hidden="false" customHeight="false" outlineLevel="0" collapsed="false">
      <c r="A1869" s="71" t="n">
        <f aca="false">A1868+$F$3</f>
        <v>37260</v>
      </c>
      <c r="B1869" s="71" t="n">
        <f aca="false">SUMPRODUCT(固有振動数!$Q$6:$Q$22*(1-($A1869/固有振動数!$O$6:$O$22)^2)/((1-($A1869/固有振動数!$O$6:$O$22)^2)^2+固有振動数!$P$6:$P$22^2))</f>
        <v>-7.2745082022266</v>
      </c>
      <c r="C1869" s="71" t="n">
        <f aca="false">-SUMPRODUCT(固有振動数!$Q$6:$Q$22*固有振動数!$P$6:$P$22/((1-($A1869/固有振動数!$O$6:$O$22)^2)^2+固有振動数!$P$6:$P$22^2))</f>
        <v>-1.26822080610867</v>
      </c>
      <c r="D1869" s="71" t="n">
        <f aca="false">SQRT(B1869^2+C1869^2)</f>
        <v>7.38423006123922</v>
      </c>
      <c r="E1869" s="72" t="n">
        <f aca="false">20*LOG10(MAX(D1869,0.000000000001)/$K$3)</f>
        <v>17.3661043799948</v>
      </c>
      <c r="F1869" s="5"/>
      <c r="G1869" s="5"/>
      <c r="H1869" s="5"/>
      <c r="I1869" s="5"/>
      <c r="J1869" s="5"/>
      <c r="K1869" s="5"/>
      <c r="L1869" s="5"/>
      <c r="M1869" s="5"/>
      <c r="N1869" s="5"/>
    </row>
    <row r="1870" customFormat="false" ht="15" hidden="false" customHeight="false" outlineLevel="0" collapsed="false">
      <c r="A1870" s="71" t="n">
        <f aca="false">A1869+$F$3</f>
        <v>37280</v>
      </c>
      <c r="B1870" s="71" t="n">
        <f aca="false">SUMPRODUCT(固有振動数!$Q$6:$Q$22*(1-($A1870/固有振動数!$O$6:$O$22)^2)/((1-($A1870/固有振動数!$O$6:$O$22)^2)^2+固有振動数!$P$6:$P$22^2))</f>
        <v>-7.1342930222315</v>
      </c>
      <c r="C1870" s="71" t="n">
        <f aca="false">-SUMPRODUCT(固有振動数!$Q$6:$Q$22*固有振動数!$P$6:$P$22/((1-($A1870/固有振動数!$O$6:$O$22)^2)^2+固有振動数!$P$6:$P$22^2))</f>
        <v>-1.24482104900025</v>
      </c>
      <c r="D1870" s="71" t="n">
        <f aca="false">SQRT(B1870^2+C1870^2)</f>
        <v>7.24207956122377</v>
      </c>
      <c r="E1870" s="72" t="n">
        <f aca="false">20*LOG10(MAX(D1870,0.000000000001)/$K$3)</f>
        <v>17.197265833013</v>
      </c>
      <c r="F1870" s="5"/>
      <c r="G1870" s="5"/>
      <c r="H1870" s="5"/>
      <c r="I1870" s="5"/>
      <c r="J1870" s="5"/>
      <c r="K1870" s="5"/>
      <c r="L1870" s="5"/>
      <c r="M1870" s="5"/>
      <c r="N1870" s="5"/>
    </row>
    <row r="1871" customFormat="false" ht="15" hidden="false" customHeight="false" outlineLevel="0" collapsed="false">
      <c r="A1871" s="71" t="n">
        <f aca="false">A1870+$F$3</f>
        <v>37300</v>
      </c>
      <c r="B1871" s="71" t="n">
        <f aca="false">SUMPRODUCT(固有振動数!$Q$6:$Q$22*(1-($A1871/固有振動数!$O$6:$O$22)^2)/((1-($A1871/固有振動数!$O$6:$O$22)^2)^2+固有振動数!$P$6:$P$22^2))</f>
        <v>-6.99666499323592</v>
      </c>
      <c r="C1871" s="71" t="n">
        <f aca="false">-SUMPRODUCT(固有振動数!$Q$6:$Q$22*固有振動数!$P$6:$P$22/((1-($A1871/固有振動数!$O$6:$O$22)^2)^2+固有振動数!$P$6:$P$22^2))</f>
        <v>-1.22221668934208</v>
      </c>
      <c r="D1871" s="71" t="n">
        <f aca="false">SQRT(B1871^2+C1871^2)</f>
        <v>7.10261463570137</v>
      </c>
      <c r="E1871" s="72" t="n">
        <f aca="false">20*LOG10(MAX(D1871,0.000000000001)/$K$3)</f>
        <v>17.0283650386795</v>
      </c>
      <c r="F1871" s="5"/>
      <c r="G1871" s="5"/>
      <c r="H1871" s="5"/>
      <c r="I1871" s="5"/>
      <c r="J1871" s="5"/>
      <c r="K1871" s="5"/>
      <c r="L1871" s="5"/>
      <c r="M1871" s="5"/>
      <c r="N1871" s="5"/>
    </row>
    <row r="1872" customFormat="false" ht="15" hidden="false" customHeight="false" outlineLevel="0" collapsed="false">
      <c r="A1872" s="71" t="n">
        <f aca="false">A1871+$F$3</f>
        <v>37320</v>
      </c>
      <c r="B1872" s="71" t="n">
        <f aca="false">SUMPRODUCT(固有振動数!$Q$6:$Q$22*(1-($A1872/固有振動数!$O$6:$O$22)^2)/((1-($A1872/固有振動数!$O$6:$O$22)^2)^2+固有振動数!$P$6:$P$22^2))</f>
        <v>-6.86154093219744</v>
      </c>
      <c r="C1872" s="71" t="n">
        <f aca="false">-SUMPRODUCT(固有振動数!$Q$6:$Q$22*固有振動数!$P$6:$P$22/((1-($A1872/固有振動数!$O$6:$O$22)^2)^2+固有振動数!$P$6:$P$22^2))</f>
        <v>-1.20037295569683</v>
      </c>
      <c r="D1872" s="71" t="n">
        <f aca="false">SQRT(B1872^2+C1872^2)</f>
        <v>6.96574756914068</v>
      </c>
      <c r="E1872" s="72" t="n">
        <f aca="false">20*LOG10(MAX(D1872,0.000000000001)/$K$3)</f>
        <v>16.8593546412739</v>
      </c>
      <c r="F1872" s="5"/>
      <c r="G1872" s="5"/>
      <c r="H1872" s="5"/>
      <c r="I1872" s="5"/>
      <c r="J1872" s="5"/>
      <c r="K1872" s="5"/>
      <c r="L1872" s="5"/>
      <c r="M1872" s="5"/>
      <c r="N1872" s="5"/>
    </row>
    <row r="1873" customFormat="false" ht="15" hidden="false" customHeight="false" outlineLevel="0" collapsed="false">
      <c r="A1873" s="71" t="n">
        <f aca="false">A1872+$F$3</f>
        <v>37340</v>
      </c>
      <c r="B1873" s="71" t="n">
        <f aca="false">SUMPRODUCT(固有振動数!$Q$6:$Q$22*(1-($A1873/固有振動数!$O$6:$O$22)^2)/((1-($A1873/固有振動数!$O$6:$O$22)^2)^2+固有振動数!$P$6:$P$22^2))</f>
        <v>-6.72884112959924</v>
      </c>
      <c r="C1873" s="71" t="n">
        <f aca="false">-SUMPRODUCT(固有振動数!$Q$6:$Q$22*固有振動数!$P$6:$P$22/((1-($A1873/固有振動数!$O$6:$O$22)^2)^2+固有振動数!$P$6:$P$22^2))</f>
        <v>-1.17925696306633</v>
      </c>
      <c r="D1873" s="71" t="n">
        <f aca="false">SQRT(B1873^2+C1873^2)</f>
        <v>6.83139443542288</v>
      </c>
      <c r="E1873" s="72" t="n">
        <f aca="false">20*LOG10(MAX(D1873,0.000000000001)/$K$3)</f>
        <v>16.6901872326284</v>
      </c>
      <c r="F1873" s="5"/>
      <c r="G1873" s="5"/>
      <c r="H1873" s="5"/>
      <c r="I1873" s="5"/>
      <c r="J1873" s="5"/>
      <c r="K1873" s="5"/>
      <c r="L1873" s="5"/>
      <c r="M1873" s="5"/>
      <c r="N1873" s="5"/>
    </row>
    <row r="1874" customFormat="false" ht="15" hidden="false" customHeight="false" outlineLevel="0" collapsed="false">
      <c r="A1874" s="71" t="n">
        <f aca="false">A1873+$F$3</f>
        <v>37360</v>
      </c>
      <c r="B1874" s="71" t="n">
        <f aca="false">SUMPRODUCT(固有振動数!$Q$6:$Q$22*(1-($A1874/固有振動数!$O$6:$O$22)^2)/((1-($A1874/固有振動数!$O$6:$O$22)^2)^2+固有振動数!$P$6:$P$22^2))</f>
        <v>-6.59848917070477</v>
      </c>
      <c r="C1874" s="71" t="n">
        <f aca="false">-SUMPRODUCT(固有振動数!$Q$6:$Q$22*固有振動数!$P$6:$P$22/((1-($A1874/固有振動数!$O$6:$O$22)^2)^2+固有振動数!$P$6:$P$22^2))</f>
        <v>-1.15883759186708</v>
      </c>
      <c r="D1874" s="71" t="n">
        <f aca="false">SQRT(B1874^2+C1874^2)</f>
        <v>6.69947489735072</v>
      </c>
      <c r="E1874" s="72" t="n">
        <f aca="false">20*LOG10(MAX(D1874,0.000000000001)/$K$3)</f>
        <v>16.5208152835091</v>
      </c>
      <c r="F1874" s="5"/>
      <c r="G1874" s="5"/>
      <c r="H1874" s="5"/>
      <c r="I1874" s="5"/>
      <c r="J1874" s="5"/>
      <c r="K1874" s="5"/>
      <c r="L1874" s="5"/>
      <c r="M1874" s="5"/>
      <c r="N1874" s="5"/>
    </row>
    <row r="1875" customFormat="false" ht="15" hidden="false" customHeight="false" outlineLevel="0" collapsed="false">
      <c r="A1875" s="71" t="n">
        <f aca="false">A1874+$F$3</f>
        <v>37380</v>
      </c>
      <c r="B1875" s="71" t="n">
        <f aca="false">SUMPRODUCT(固有振動数!$Q$6:$Q$22*(1-($A1875/固有振動数!$O$6:$O$22)^2)/((1-($A1875/固有振動数!$O$6:$O$22)^2)^2+固有振動数!$P$6:$P$22^2))</f>
        <v>-6.47041176759712</v>
      </c>
      <c r="C1875" s="71" t="n">
        <f aca="false">-SUMPRODUCT(固有振動数!$Q$6:$Q$22*固有振動数!$P$6:$P$22/((1-($A1875/固有振動数!$O$6:$O$22)^2)^2+固有振動数!$P$6:$P$22^2))</f>
        <v>-1.13908537583953</v>
      </c>
      <c r="D1875" s="71" t="n">
        <f aca="false">SQRT(B1875^2+C1875^2)</f>
        <v>6.5699120188714</v>
      </c>
      <c r="E1875" s="72" t="n">
        <f aca="false">20*LOG10(MAX(D1875,0.000000000001)/$K$3)</f>
        <v>16.3511910746827</v>
      </c>
      <c r="F1875" s="5"/>
      <c r="G1875" s="5"/>
      <c r="H1875" s="5"/>
      <c r="I1875" s="5"/>
      <c r="J1875" s="5"/>
      <c r="K1875" s="5"/>
      <c r="L1875" s="5"/>
      <c r="M1875" s="5"/>
      <c r="N1875" s="5"/>
    </row>
    <row r="1876" customFormat="false" ht="15" hidden="false" customHeight="false" outlineLevel="0" collapsed="false">
      <c r="A1876" s="71" t="n">
        <f aca="false">A1875+$F$3</f>
        <v>37400</v>
      </c>
      <c r="B1876" s="71" t="n">
        <f aca="false">SUMPRODUCT(固有振動数!$Q$6:$Q$22*(1-($A1876/固有振動数!$O$6:$O$22)^2)/((1-($A1876/固有振動数!$O$6:$O$22)^2)^2+固有振動数!$P$6:$P$22^2))</f>
        <v>-6.34453860126344</v>
      </c>
      <c r="C1876" s="71" t="n">
        <f aca="false">-SUMPRODUCT(固有振動数!$Q$6:$Q$22*固有振動数!$P$6:$P$22/((1-($A1876/固有振動数!$O$6:$O$22)^2)^2+固有振動数!$P$6:$P$22^2))</f>
        <v>-1.11997239814789</v>
      </c>
      <c r="D1876" s="71" t="n">
        <f aca="false">SQRT(B1876^2+C1876^2)</f>
        <v>6.44263208910264</v>
      </c>
      <c r="E1876" s="72" t="n">
        <f aca="false">20*LOG10(MAX(D1876,0.000000000001)/$K$3)</f>
        <v>16.1812666274401</v>
      </c>
      <c r="F1876" s="5"/>
      <c r="G1876" s="5"/>
      <c r="H1876" s="5"/>
      <c r="I1876" s="5"/>
      <c r="J1876" s="5"/>
      <c r="K1876" s="5"/>
      <c r="L1876" s="5"/>
      <c r="M1876" s="5"/>
      <c r="N1876" s="5"/>
    </row>
    <row r="1877" customFormat="false" ht="15" hidden="false" customHeight="false" outlineLevel="0" collapsed="false">
      <c r="A1877" s="71" t="n">
        <f aca="false">A1876+$F$3</f>
        <v>37420</v>
      </c>
      <c r="B1877" s="71" t="n">
        <f aca="false">SUMPRODUCT(固有振動数!$Q$6:$Q$22*(1-($A1877/固有振動数!$O$6:$O$22)^2)/((1-($A1877/固有振動数!$O$6:$O$22)^2)^2+固有振動数!$P$6:$P$22^2))</f>
        <v>-6.22080217303989</v>
      </c>
      <c r="C1877" s="71" t="n">
        <f aca="false">-SUMPRODUCT(固有振動数!$Q$6:$Q$22*固有振動数!$P$6:$P$22/((1-($A1877/固有振動数!$O$6:$O$22)^2)^2+固有振動数!$P$6:$P$22^2))</f>
        <v>-1.10147219499597</v>
      </c>
      <c r="D1877" s="71" t="n">
        <f aca="false">SQRT(B1877^2+C1877^2)</f>
        <v>6.31756445732428</v>
      </c>
      <c r="E1877" s="72" t="n">
        <f aca="false">20*LOG10(MAX(D1877,0.000000000001)/$K$3)</f>
        <v>16.0109936333426</v>
      </c>
      <c r="F1877" s="5"/>
      <c r="G1877" s="5"/>
      <c r="H1877" s="5"/>
      <c r="I1877" s="5"/>
      <c r="J1877" s="5"/>
      <c r="K1877" s="5"/>
      <c r="L1877" s="5"/>
      <c r="M1877" s="5"/>
      <c r="N1877" s="5"/>
    </row>
    <row r="1878" customFormat="false" ht="15" hidden="false" customHeight="false" outlineLevel="0" collapsed="false">
      <c r="A1878" s="71" t="n">
        <f aca="false">A1877+$F$3</f>
        <v>37440</v>
      </c>
      <c r="B1878" s="71" t="n">
        <f aca="false">SUMPRODUCT(固有振動数!$Q$6:$Q$22*(1-($A1878/固有振動数!$O$6:$O$22)^2)/((1-($A1878/固有振動数!$O$6:$O$22)^2)^2+固有振動数!$P$6:$P$22^2))</f>
        <v>-6.09913766478487</v>
      </c>
      <c r="C1878" s="71" t="n">
        <f aca="false">-SUMPRODUCT(固有振動数!$Q$6:$Q$22*固有振動数!$P$6:$P$22/((1-($A1878/固有振動数!$O$6:$O$22)^2)^2+固有振動数!$P$6:$P$22^2))</f>
        <v>-1.08355966614604</v>
      </c>
      <c r="D1878" s="71" t="n">
        <f aca="false">SQRT(B1878^2+C1878^2)</f>
        <v>6.19464137816678</v>
      </c>
      <c r="E1878" s="72" t="n">
        <f aca="false">20*LOG10(MAX(D1878,0.000000000001)/$K$3)</f>
        <v>15.8403233829536</v>
      </c>
      <c r="F1878" s="5"/>
      <c r="G1878" s="5"/>
      <c r="H1878" s="5"/>
      <c r="I1878" s="5"/>
      <c r="J1878" s="5"/>
      <c r="K1878" s="5"/>
      <c r="L1878" s="5"/>
      <c r="M1878" s="5"/>
      <c r="N1878" s="5"/>
    </row>
    <row r="1879" customFormat="false" ht="15" hidden="false" customHeight="false" outlineLevel="0" collapsed="false">
      <c r="A1879" s="71" t="n">
        <f aca="false">A1878+$F$3</f>
        <v>37460</v>
      </c>
      <c r="B1879" s="71" t="n">
        <f aca="false">SUMPRODUCT(固有振動数!$Q$6:$Q$22*(1-($A1879/固有振動数!$O$6:$O$22)^2)/((1-($A1879/固有振動数!$O$6:$O$22)^2)^2+固有振動数!$P$6:$P$22^2))</f>
        <v>-5.97948280719577</v>
      </c>
      <c r="C1879" s="71" t="n">
        <f aca="false">-SUMPRODUCT(固有振動数!$Q$6:$Q$22*固有振動数!$P$6:$P$22/((1-($A1879/固有振動数!$O$6:$O$22)^2)^2+固有振動数!$P$6:$P$22^2))</f>
        <v>-1.06621099178318</v>
      </c>
      <c r="D1879" s="71" t="n">
        <f aca="false">SQRT(B1879^2+C1879^2)</f>
        <v>6.07379786629001</v>
      </c>
      <c r="E1879" s="72" t="n">
        <f aca="false">20*LOG10(MAX(D1879,0.000000000001)/$K$3)</f>
        <v>15.6692066933125</v>
      </c>
      <c r="F1879" s="5"/>
      <c r="G1879" s="5"/>
      <c r="H1879" s="5"/>
      <c r="I1879" s="5"/>
      <c r="J1879" s="5"/>
      <c r="K1879" s="5"/>
      <c r="L1879" s="5"/>
      <c r="M1879" s="5"/>
      <c r="N1879" s="5"/>
    </row>
    <row r="1880" customFormat="false" ht="15" hidden="false" customHeight="false" outlineLevel="0" collapsed="false">
      <c r="A1880" s="71" t="n">
        <f aca="false">A1879+$F$3</f>
        <v>37480</v>
      </c>
      <c r="B1880" s="71" t="n">
        <f aca="false">SUMPRODUCT(固有振動数!$Q$6:$Q$22*(1-($A1880/固有振動数!$O$6:$O$22)^2)/((1-($A1880/固有振動数!$O$6:$O$22)^2)^2+固有振動数!$P$6:$P$22^2))</f>
        <v>-5.86177775572828</v>
      </c>
      <c r="C1880" s="71" t="n">
        <f aca="false">-SUMPRODUCT(固有振動数!$Q$6:$Q$22*固有振動数!$P$6:$P$22/((1-($A1880/固有振動数!$O$6:$O$22)^2)^2+固有振動数!$P$6:$P$22^2))</f>
        <v>-1.04940355521787</v>
      </c>
      <c r="D1880" s="71" t="n">
        <f aca="false">SQRT(B1880^2+C1880^2)</f>
        <v>5.9549715599031</v>
      </c>
      <c r="E1880" s="72" t="n">
        <f aca="false">20*LOG10(MAX(D1880,0.000000000001)/$K$3)</f>
        <v>15.4975938339019</v>
      </c>
      <c r="F1880" s="5"/>
      <c r="G1880" s="5"/>
      <c r="H1880" s="5"/>
      <c r="I1880" s="5"/>
      <c r="J1880" s="5"/>
      <c r="K1880" s="5"/>
      <c r="L1880" s="5"/>
      <c r="M1880" s="5"/>
      <c r="N1880" s="5"/>
    </row>
    <row r="1881" customFormat="false" ht="15" hidden="false" customHeight="false" outlineLevel="0" collapsed="false">
      <c r="A1881" s="71" t="n">
        <f aca="false">A1880+$F$3</f>
        <v>37500</v>
      </c>
      <c r="B1881" s="71" t="n">
        <f aca="false">SUMPRODUCT(固有振動数!$Q$6:$Q$22*(1-($A1881/固有振動数!$O$6:$O$22)^2)/((1-($A1881/固有振動数!$O$6:$O$22)^2)^2+固有振動数!$P$6:$P$22^2))</f>
        <v>-5.74596497361707</v>
      </c>
      <c r="C1881" s="71" t="n">
        <f aca="false">-SUMPRODUCT(固有振動数!$Q$6:$Q$22*固有振動数!$P$6:$P$22/((1-($A1881/固有振動数!$O$6:$O$22)^2)^2+固有振動数!$P$6:$P$22^2))</f>
        <v>-1.03311587096402</v>
      </c>
      <c r="D1881" s="71" t="n">
        <f aca="false">SQRT(B1881^2+C1881^2)</f>
        <v>5.83810259252712</v>
      </c>
      <c r="E1881" s="72" t="n">
        <f aca="false">20*LOG10(MAX(D1881,0.000000000001)/$K$3)</f>
        <v>15.3254344508506</v>
      </c>
      <c r="F1881" s="5"/>
      <c r="G1881" s="5"/>
      <c r="H1881" s="5"/>
      <c r="I1881" s="5"/>
      <c r="J1881" s="5"/>
      <c r="K1881" s="5"/>
      <c r="L1881" s="5"/>
      <c r="M1881" s="5"/>
      <c r="N1881" s="5"/>
    </row>
    <row r="1882" customFormat="false" ht="15" hidden="false" customHeight="false" outlineLevel="0" collapsed="false">
      <c r="A1882" s="71" t="n">
        <f aca="false">A1881+$F$3</f>
        <v>37520</v>
      </c>
      <c r="B1882" s="71" t="n">
        <f aca="false">SUMPRODUCT(固有振動数!$Q$6:$Q$22*(1-($A1882/固有振動数!$O$6:$O$22)^2)/((1-($A1882/固有振動数!$O$6:$O$22)^2)^2+固有振動数!$P$6:$P$22^2))</f>
        <v>-5.63198912153389</v>
      </c>
      <c r="C1882" s="71" t="n">
        <f aca="false">-SUMPRODUCT(固有振動数!$Q$6:$Q$22*固有振動数!$P$6:$P$22/((1-($A1882/固有振動数!$O$6:$O$22)^2)^2+固有振動数!$P$6:$P$22^2))</f>
        <v>-1.01732751777115</v>
      </c>
      <c r="D1882" s="71" t="n">
        <f aca="false">SQRT(B1882^2+C1882^2)</f>
        <v>5.72313347245113</v>
      </c>
      <c r="E1882" s="72" t="n">
        <f aca="false">20*LOG10(MAX(D1882,0.000000000001)/$K$3)</f>
        <v>15.1526774891029</v>
      </c>
      <c r="F1882" s="5"/>
      <c r="G1882" s="5"/>
      <c r="H1882" s="5"/>
      <c r="I1882" s="5"/>
      <c r="J1882" s="5"/>
      <c r="K1882" s="5"/>
      <c r="L1882" s="5"/>
      <c r="M1882" s="5"/>
      <c r="N1882" s="5"/>
    </row>
    <row r="1883" customFormat="false" ht="15" hidden="false" customHeight="false" outlineLevel="0" collapsed="false">
      <c r="A1883" s="71" t="n">
        <f aca="false">A1882+$F$3</f>
        <v>37540</v>
      </c>
      <c r="B1883" s="71" t="n">
        <f aca="false">SUMPRODUCT(固有振動数!$Q$6:$Q$22*(1-($A1883/固有振動数!$O$6:$O$22)^2)/((1-($A1883/固有振動数!$O$6:$O$22)^2)^2+固有振動数!$P$6:$P$22^2))</f>
        <v>-5.51979695345264</v>
      </c>
      <c r="C1883" s="71" t="n">
        <f aca="false">-SUMPRODUCT(固有振動数!$Q$6:$Q$22*固有振動数!$P$6:$P$22/((1-($A1883/固有振動数!$O$6:$O$22)^2)^2+固有振動数!$P$6:$P$22^2))</f>
        <v>-1.00201907622529</v>
      </c>
      <c r="D1883" s="71" t="n">
        <f aca="false">SQRT(B1883^2+C1883^2)</f>
        <v>5.61000896937469</v>
      </c>
      <c r="E1883" s="72" t="n">
        <f aca="false">20*LOG10(MAX(D1883,0.000000000001)/$K$3)</f>
        <v>14.9792711122777</v>
      </c>
      <c r="F1883" s="5"/>
      <c r="G1883" s="5"/>
      <c r="H1883" s="5"/>
      <c r="I1883" s="5"/>
      <c r="J1883" s="5"/>
      <c r="K1883" s="5"/>
      <c r="L1883" s="5"/>
      <c r="M1883" s="5"/>
      <c r="N1883" s="5"/>
    </row>
    <row r="1884" customFormat="false" ht="15" hidden="false" customHeight="false" outlineLevel="0" collapsed="false">
      <c r="A1884" s="71" t="n">
        <f aca="false">A1883+$F$3</f>
        <v>37560</v>
      </c>
      <c r="B1884" s="71" t="n">
        <f aca="false">SUMPRODUCT(固有振動数!$Q$6:$Q$22*(1-($A1884/固有振動数!$O$6:$O$22)^2)/((1-($A1884/固有振動数!$O$6:$O$22)^2)^2+固有振動数!$P$6:$P$22^2))</f>
        <v>-5.40933721832223</v>
      </c>
      <c r="C1884" s="71" t="n">
        <f aca="false">-SUMPRODUCT(固有振動数!$Q$6:$Q$22*固有振動数!$P$6:$P$22/((1-($A1884/固有振動数!$O$6:$O$22)^2)^2+固有振動数!$P$6:$P$22^2))</f>
        <v>-0.987172070567171</v>
      </c>
      <c r="D1884" s="71" t="n">
        <f aca="false">SQRT(B1884^2+C1884^2)</f>
        <v>5.49867600777077</v>
      </c>
      <c r="E1884" s="72" t="n">
        <f aca="false">20*LOG10(MAX(D1884,0.000000000001)/$K$3)</f>
        <v>14.8051626199237</v>
      </c>
      <c r="F1884" s="5"/>
      <c r="G1884" s="5"/>
      <c r="H1884" s="5"/>
      <c r="I1884" s="5"/>
      <c r="J1884" s="5"/>
      <c r="K1884" s="5"/>
      <c r="L1884" s="5"/>
      <c r="M1884" s="5"/>
      <c r="N1884" s="5"/>
    </row>
    <row r="1885" customFormat="false" ht="15" hidden="false" customHeight="false" outlineLevel="0" collapsed="false">
      <c r="A1885" s="71" t="n">
        <f aca="false">A1884+$F$3</f>
        <v>37580</v>
      </c>
      <c r="B1885" s="71" t="n">
        <f aca="false">SUMPRODUCT(固有振動数!$Q$6:$Q$22*(1-($A1885/固有振動数!$O$6:$O$22)^2)/((1-($A1885/固有振動数!$O$6:$O$22)^2)^2+固有振動数!$P$6:$P$22^2))</f>
        <v>-5.30056056717687</v>
      </c>
      <c r="C1885" s="71" t="n">
        <f aca="false">-SUMPRODUCT(固有振動数!$Q$6:$Q$22*固有振動数!$P$6:$P$22/((1-($A1885/固有振動数!$O$6:$O$22)^2)^2+固有振動数!$P$6:$P$22^2))</f>
        <v>-0.972768914405854</v>
      </c>
      <c r="D1885" s="71" t="n">
        <f aca="false">SQRT(B1885^2+C1885^2)</f>
        <v>5.38908356653937</v>
      </c>
      <c r="E1885" s="72" t="n">
        <f aca="false">20*LOG10(MAX(D1885,0.000000000001)/$K$3)</f>
        <v>14.630298361865</v>
      </c>
      <c r="F1885" s="5"/>
      <c r="G1885" s="5"/>
      <c r="H1885" s="5"/>
      <c r="I1885" s="5"/>
      <c r="J1885" s="5"/>
      <c r="K1885" s="5"/>
      <c r="L1885" s="5"/>
      <c r="M1885" s="5"/>
      <c r="N1885" s="5"/>
    </row>
    <row r="1886" customFormat="false" ht="15" hidden="false" customHeight="false" outlineLevel="0" collapsed="false">
      <c r="A1886" s="71" t="n">
        <f aca="false">A1885+$F$3</f>
        <v>37600</v>
      </c>
      <c r="B1886" s="71" t="n">
        <f aca="false">SUMPRODUCT(固有振動数!$Q$6:$Q$22*(1-($A1886/固有振動数!$O$6:$O$22)^2)/((1-($A1886/固有振動数!$O$6:$O$22)^2)^2+固有振動数!$P$6:$P$22^2))</f>
        <v>-5.19341946533986</v>
      </c>
      <c r="C1886" s="71" t="n">
        <f aca="false">-SUMPRODUCT(固有振動数!$Q$6:$Q$22*固有振動数!$P$6:$P$22/((1-($A1886/固有振動数!$O$6:$O$22)^2)^2+固有振動数!$P$6:$P$22^2))</f>
        <v>-0.958792860033462</v>
      </c>
      <c r="D1886" s="71" t="n">
        <f aca="false">SQRT(B1886^2+C1886^2)</f>
        <v>5.28118258455642</v>
      </c>
      <c r="E1886" s="72" t="n">
        <f aca="false">20*LOG10(MAX(D1886,0.000000000001)/$K$3)</f>
        <v>14.4546236493139</v>
      </c>
      <c r="F1886" s="5"/>
      <c r="G1886" s="5"/>
      <c r="H1886" s="5"/>
      <c r="I1886" s="5"/>
      <c r="J1886" s="5"/>
      <c r="K1886" s="5"/>
      <c r="L1886" s="5"/>
      <c r="M1886" s="5"/>
      <c r="N1886" s="5"/>
    </row>
    <row r="1887" customFormat="false" ht="15" hidden="false" customHeight="false" outlineLevel="0" collapsed="false">
      <c r="A1887" s="71" t="n">
        <f aca="false">A1886+$F$3</f>
        <v>37620</v>
      </c>
      <c r="B1887" s="71" t="n">
        <f aca="false">SUMPRODUCT(固有振動数!$Q$6:$Q$22*(1-($A1887/固有振動数!$O$6:$O$22)^2)/((1-($A1887/固有振動数!$O$6:$O$22)^2)^2+固有振動数!$P$6:$P$22^2))</f>
        <v>-5.08786810940079</v>
      </c>
      <c r="C1887" s="71" t="n">
        <f aca="false">-SUMPRODUCT(固有振動数!$Q$6:$Q$22*固有振動数!$P$6:$P$22/((1-($A1887/固有振動数!$O$6:$O$22)^2)^2+固有振動数!$P$6:$P$22^2))</f>
        <v>-0.945227951071309</v>
      </c>
      <c r="D1887" s="71" t="n">
        <f aca="false">SQRT(B1887^2+C1887^2)</f>
        <v>5.17492587175353</v>
      </c>
      <c r="E1887" s="72" t="n">
        <f aca="false">20*LOG10(MAX(D1887,0.000000000001)/$K$3)</f>
        <v>14.2780826624092</v>
      </c>
      <c r="F1887" s="5"/>
      <c r="G1887" s="5"/>
      <c r="H1887" s="5"/>
      <c r="I1887" s="5"/>
      <c r="J1887" s="5"/>
      <c r="K1887" s="5"/>
      <c r="L1887" s="5"/>
      <c r="M1887" s="5"/>
      <c r="N1887" s="5"/>
    </row>
    <row r="1888" customFormat="false" ht="15" hidden="false" customHeight="false" outlineLevel="0" collapsed="false">
      <c r="A1888" s="71" t="n">
        <f aca="false">A1887+$F$3</f>
        <v>37640</v>
      </c>
      <c r="B1888" s="71" t="n">
        <f aca="false">SUMPRODUCT(固有振動数!$Q$6:$Q$22*(1-($A1888/固有振動数!$O$6:$O$22)^2)/((1-($A1888/固有振動数!$O$6:$O$22)^2)^2+固有振動数!$P$6:$P$22^2))</f>
        <v>-4.98386234866935</v>
      </c>
      <c r="C1888" s="71" t="n">
        <f aca="false">-SUMPRODUCT(固有振動数!$Q$6:$Q$22*固有振動数!$P$6:$P$22/((1-($A1888/固有振動数!$O$6:$O$22)^2)^2+固有振動数!$P$6:$P$22^2))</f>
        <v>-0.932058978200218</v>
      </c>
      <c r="D1888" s="71" t="n">
        <f aca="false">SQRT(B1888^2+C1888^2)</f>
        <v>5.07026802539349</v>
      </c>
      <c r="E1888" s="72" t="n">
        <f aca="false">20*LOG10(MAX(D1888,0.000000000001)/$K$3)</f>
        <v>14.1006183538175</v>
      </c>
      <c r="F1888" s="5"/>
      <c r="G1888" s="5"/>
      <c r="H1888" s="5"/>
      <c r="I1888" s="5"/>
      <c r="J1888" s="5"/>
      <c r="K1888" s="5"/>
      <c r="L1888" s="5"/>
      <c r="M1888" s="5"/>
      <c r="N1888" s="5"/>
    </row>
    <row r="1889" customFormat="false" ht="15" hidden="false" customHeight="false" outlineLevel="0" collapsed="false">
      <c r="A1889" s="71" t="n">
        <f aca="false">A1888+$F$3</f>
        <v>37660</v>
      </c>
      <c r="B1889" s="71" t="n">
        <f aca="false">SUMPRODUCT(固有振動数!$Q$6:$Q$22*(1-($A1889/固有振動数!$O$6:$O$22)^2)/((1-($A1889/固有振動数!$O$6:$O$22)^2)^2+固有振動数!$P$6:$P$22^2))</f>
        <v>-4.88135961082888</v>
      </c>
      <c r="C1889" s="71" t="n">
        <f aca="false">-SUMPRODUCT(固有振動数!$Q$6:$Q$22*固有振動数!$P$6:$P$22/((1-($A1889/固有振動数!$O$6:$O$22)^2)^2+固有振動数!$P$6:$P$22^2))</f>
        <v>-0.919271437748167</v>
      </c>
      <c r="D1889" s="71" t="n">
        <f aca="false">SQRT(B1889^2+C1889^2)</f>
        <v>4.96716535123314</v>
      </c>
      <c r="E1889" s="72" t="n">
        <f aca="false">20*LOG10(MAX(D1889,0.000000000001)/$K$3)</f>
        <v>13.9221723480134</v>
      </c>
      <c r="F1889" s="5"/>
      <c r="G1889" s="5"/>
      <c r="H1889" s="5"/>
      <c r="I1889" s="5"/>
      <c r="J1889" s="5"/>
      <c r="K1889" s="5"/>
      <c r="L1889" s="5"/>
      <c r="M1889" s="5"/>
      <c r="N1889" s="5"/>
    </row>
    <row r="1890" customFormat="false" ht="15" hidden="false" customHeight="false" outlineLevel="0" collapsed="false">
      <c r="A1890" s="71" t="n">
        <f aca="false">A1889+$F$3</f>
        <v>37680</v>
      </c>
      <c r="B1890" s="71" t="n">
        <f aca="false">SUMPRODUCT(固有振動数!$Q$6:$Q$22*(1-($A1890/固有振動数!$O$6:$O$22)^2)/((1-($A1890/固有振動数!$O$6:$O$22)^2)^2+固有振動数!$P$6:$P$22^2))</f>
        <v>-4.78031883153269</v>
      </c>
      <c r="C1890" s="71" t="n">
        <f aca="false">-SUMPRODUCT(固有振動数!$Q$6:$Q$22*固有振動数!$P$6:$P$22/((1-($A1890/固有振動数!$O$6:$O$22)^2)^2+固有振動数!$P$6:$P$22^2))</f>
        <v>-0.906851492927038</v>
      </c>
      <c r="D1890" s="71" t="n">
        <f aca="false">SQRT(B1890^2+C1890^2)</f>
        <v>4.86557578929052</v>
      </c>
      <c r="E1890" s="72" t="n">
        <f aca="false">20*LOG10(MAX(D1890,0.000000000001)/$K$3)</f>
        <v>13.7426848358281</v>
      </c>
      <c r="F1890" s="5"/>
      <c r="G1890" s="5"/>
      <c r="H1890" s="5"/>
      <c r="I1890" s="5"/>
      <c r="J1890" s="5"/>
      <c r="K1890" s="5"/>
      <c r="L1890" s="5"/>
      <c r="M1890" s="5"/>
      <c r="N1890" s="5"/>
    </row>
    <row r="1891" customFormat="false" ht="15" hidden="false" customHeight="false" outlineLevel="0" collapsed="false">
      <c r="A1891" s="71" t="n">
        <f aca="false">A1890+$F$3</f>
        <v>37700</v>
      </c>
      <c r="B1891" s="71" t="n">
        <f aca="false">SUMPRODUCT(固有振動数!$Q$6:$Q$22*(1-($A1891/固有振動数!$O$6:$O$22)^2)/((1-($A1891/固有振動数!$O$6:$O$22)^2)^2+固有振動数!$P$6:$P$22^2))</f>
        <v>-4.68070038770296</v>
      </c>
      <c r="C1891" s="71" t="n">
        <f aca="false">-SUMPRODUCT(固有振動数!$Q$6:$Q$22*固有振動数!$P$6:$P$22/((1-($A1891/固有振動数!$O$6:$O$22)^2)^2+固有振動数!$P$6:$P$22^2))</f>
        <v>-0.894785937526978</v>
      </c>
      <c r="D1891" s="71" t="n">
        <f aca="false">SQRT(B1891^2+C1891^2)</f>
        <v>4.76545884395602</v>
      </c>
      <c r="E1891" s="72" t="n">
        <f aca="false">20*LOG10(MAX(D1891,0.000000000001)/$K$3)</f>
        <v>13.5620944638281</v>
      </c>
      <c r="F1891" s="5"/>
      <c r="G1891" s="5"/>
      <c r="H1891" s="5"/>
      <c r="I1891" s="5"/>
      <c r="J1891" s="5"/>
      <c r="K1891" s="5"/>
      <c r="L1891" s="5"/>
      <c r="M1891" s="5"/>
      <c r="N1891" s="5"/>
    </row>
    <row r="1892" customFormat="false" ht="15" hidden="false" customHeight="false" outlineLevel="0" collapsed="false">
      <c r="A1892" s="71" t="n">
        <f aca="false">A1891+$F$3</f>
        <v>37720</v>
      </c>
      <c r="B1892" s="71" t="n">
        <f aca="false">SUMPRODUCT(固有振動数!$Q$6:$Q$22*(1-($A1892/固有振動数!$O$6:$O$22)^2)/((1-($A1892/固有振動数!$O$6:$O$22)^2)^2+固有振動数!$P$6:$P$22^2))</f>
        <v>-4.58246603430908</v>
      </c>
      <c r="C1892" s="71" t="n">
        <f aca="false">-SUMPRODUCT(固有振動数!$Q$6:$Q$22*固有振動数!$P$6:$P$22/((1-($A1892/固有振動数!$O$6:$O$22)^2)^2+固有振動数!$P$6:$P$22^2))</f>
        <v>-0.88306216189241</v>
      </c>
      <c r="D1892" s="71" t="n">
        <f aca="false">SQRT(B1892^2+C1892^2)</f>
        <v>4.66677551820982</v>
      </c>
      <c r="E1892" s="72" t="n">
        <f aca="false">20*LOG10(MAX(D1892,0.000000000001)/$K$3)</f>
        <v>13.3803382180567</v>
      </c>
      <c r="F1892" s="5"/>
      <c r="G1892" s="5"/>
      <c r="H1892" s="5"/>
      <c r="I1892" s="5"/>
      <c r="J1892" s="5"/>
      <c r="K1892" s="5"/>
      <c r="L1892" s="5"/>
      <c r="M1892" s="5"/>
      <c r="N1892" s="5"/>
    </row>
    <row r="1893" customFormat="false" ht="15" hidden="false" customHeight="false" outlineLevel="0" collapsed="false">
      <c r="A1893" s="71" t="n">
        <f aca="false">A1892+$F$3</f>
        <v>37740</v>
      </c>
      <c r="B1893" s="71" t="n">
        <f aca="false">SUMPRODUCT(固有振動数!$Q$6:$Q$22*(1-($A1893/固有振動数!$O$6:$O$22)^2)/((1-($A1893/固有振動数!$O$6:$O$22)^2)^2+固有振動数!$P$6:$P$22^2))</f>
        <v>-4.48557884441742</v>
      </c>
      <c r="C1893" s="71" t="n">
        <f aca="false">-SUMPRODUCT(固有振動数!$Q$6:$Q$22*固有振動数!$P$6:$P$22/((1-($A1893/固有振動数!$O$6:$O$22)^2)^2+固有振動数!$P$6:$P$22^2))</f>
        <v>-0.871668121017709</v>
      </c>
      <c r="D1893" s="71" t="n">
        <f aca="false">SQRT(B1893^2+C1893^2)</f>
        <v>4.56948825172838</v>
      </c>
      <c r="E1893" s="72" t="n">
        <f aca="false">20*LOG10(MAX(D1893,0.000000000001)/$K$3)</f>
        <v>13.197351301637</v>
      </c>
      <c r="F1893" s="5"/>
      <c r="G1893" s="5"/>
      <c r="H1893" s="5"/>
      <c r="I1893" s="5"/>
      <c r="J1893" s="5"/>
      <c r="K1893" s="5"/>
      <c r="L1893" s="5"/>
      <c r="M1893" s="5"/>
      <c r="N1893" s="5"/>
    </row>
    <row r="1894" customFormat="false" ht="15" hidden="false" customHeight="false" outlineLevel="0" collapsed="false">
      <c r="A1894" s="71" t="n">
        <f aca="false">A1893+$F$3</f>
        <v>37760</v>
      </c>
      <c r="B1894" s="71" t="n">
        <f aca="false">SUMPRODUCT(固有振動数!$Q$6:$Q$22*(1-($A1894/固有振動数!$O$6:$O$22)^2)/((1-($A1894/固有振動数!$O$6:$O$22)^2)^2+固有振動数!$P$6:$P$22^2))</f>
        <v>-4.39000315231763</v>
      </c>
      <c r="C1894" s="71" t="n">
        <f aca="false">-SUMPRODUCT(固有振動数!$Q$6:$Q$22*固有振動数!$P$6:$P$22/((1-($A1894/固有振動数!$O$6:$O$22)^2)^2+固有振動数!$P$6:$P$22^2))</f>
        <v>-0.860592304613272</v>
      </c>
      <c r="D1894" s="71" t="n">
        <f aca="false">SQRT(B1894^2+C1894^2)</f>
        <v>4.4735608626818</v>
      </c>
      <c r="E1894" s="72" t="n">
        <f aca="false">20*LOG10(MAX(D1894,0.000000000001)/$K$3)</f>
        <v>13.0130670056979</v>
      </c>
      <c r="F1894" s="5"/>
      <c r="G1894" s="5"/>
      <c r="H1894" s="5"/>
      <c r="I1894" s="5"/>
      <c r="J1894" s="5"/>
      <c r="K1894" s="5"/>
      <c r="L1894" s="5"/>
      <c r="M1894" s="5"/>
      <c r="N1894" s="5"/>
    </row>
    <row r="1895" customFormat="false" ht="15" hidden="false" customHeight="false" outlineLevel="0" collapsed="false">
      <c r="A1895" s="71" t="n">
        <f aca="false">A1894+$F$3</f>
        <v>37780</v>
      </c>
      <c r="B1895" s="71" t="n">
        <f aca="false">SUMPRODUCT(固有振動数!$Q$6:$Q$22*(1-($A1895/固有振動数!$O$6:$O$22)^2)/((1-($A1895/固有振動数!$O$6:$O$22)^2)^2+固有振動数!$P$6:$P$22^2))</f>
        <v>-4.29570449954476</v>
      </c>
      <c r="C1895" s="71" t="n">
        <f aca="false">-SUMPRODUCT(固有振動数!$Q$6:$Q$22*固有振動数!$P$6:$P$22/((1-($A1895/固有振動数!$O$6:$O$22)^2)^2+固有振動数!$P$6:$P$22^2))</f>
        <v>-0.849823709004523</v>
      </c>
      <c r="D1895" s="71" t="n">
        <f aca="false">SQRT(B1895^2+C1895^2)</f>
        <v>4.37895849304322</v>
      </c>
      <c r="E1895" s="72" t="n">
        <f aca="false">20*LOG10(MAX(D1895,0.000000000001)/$K$3)</f>
        <v>12.8274165730468</v>
      </c>
      <c r="F1895" s="5"/>
      <c r="G1895" s="5"/>
      <c r="H1895" s="5"/>
      <c r="I1895" s="5"/>
      <c r="J1895" s="5"/>
      <c r="K1895" s="5"/>
      <c r="L1895" s="5"/>
      <c r="M1895" s="5"/>
      <c r="N1895" s="5"/>
    </row>
    <row r="1896" customFormat="false" ht="15" hidden="false" customHeight="false" outlineLevel="0" collapsed="false">
      <c r="A1896" s="71" t="n">
        <f aca="false">A1895+$F$3</f>
        <v>37800</v>
      </c>
      <c r="B1896" s="71" t="n">
        <f aca="false">SUMPRODUCT(固有振動数!$Q$6:$Q$22*(1-($A1896/固有振動数!$O$6:$O$22)^2)/((1-($A1896/固有振動数!$O$6:$O$22)^2)^2+固有振動数!$P$6:$P$22^2))</f>
        <v>-4.20264958362753</v>
      </c>
      <c r="C1896" s="71" t="n">
        <f aca="false">-SUMPRODUCT(固有振動数!$Q$6:$Q$22*固有振動数!$P$6:$P$22/((1-($A1896/固有振動数!$O$6:$O$22)^2)^2+固有振動数!$P$6:$P$22^2))</f>
        <v>-0.839351810736996</v>
      </c>
      <c r="D1896" s="71" t="n">
        <f aca="false">SQRT(B1896^2+C1896^2)</f>
        <v>4.28564755724875</v>
      </c>
      <c r="E1896" s="72" t="n">
        <f aca="false">20*LOG10(MAX(D1896,0.000000000001)/$K$3)</f>
        <v>12.6403290539682</v>
      </c>
      <c r="F1896" s="5"/>
      <c r="G1896" s="5"/>
      <c r="H1896" s="5"/>
      <c r="I1896" s="5"/>
      <c r="J1896" s="5"/>
      <c r="K1896" s="5"/>
      <c r="L1896" s="5"/>
      <c r="M1896" s="5"/>
      <c r="N1896" s="5"/>
    </row>
    <row r="1897" customFormat="false" ht="15" hidden="false" customHeight="false" outlineLevel="0" collapsed="false">
      <c r="A1897" s="71" t="n">
        <f aca="false">A1896+$F$3</f>
        <v>37820</v>
      </c>
      <c r="B1897" s="71" t="n">
        <f aca="false">SUMPRODUCT(固有振動数!$Q$6:$Q$22*(1-($A1897/固有振動数!$O$6:$O$22)^2)/((1-($A1897/固有振動数!$O$6:$O$22)^2)^2+固有振動数!$P$6:$P$22^2))</f>
        <v>-4.11080620940462</v>
      </c>
      <c r="C1897" s="71" t="n">
        <f aca="false">-SUMPRODUCT(固有振動数!$Q$6:$Q$22*固有振動数!$P$6:$P$22/((1-($A1897/固有振動数!$O$6:$O$22)^2)^2+固有振動数!$P$6:$P$22^2))</f>
        <v>-0.829166541770411</v>
      </c>
      <c r="D1897" s="71" t="n">
        <f aca="false">SQRT(B1897^2+C1897^2)</f>
        <v>4.19359569406388</v>
      </c>
      <c r="E1897" s="72" t="n">
        <f aca="false">20*LOG10(MAX(D1897,0.000000000001)/$K$3)</f>
        <v>12.4517311534829</v>
      </c>
      <c r="F1897" s="5"/>
      <c r="G1897" s="5"/>
      <c r="H1897" s="5"/>
      <c r="I1897" s="5"/>
      <c r="J1897" s="5"/>
      <c r="K1897" s="5"/>
      <c r="L1897" s="5"/>
      <c r="M1897" s="5"/>
      <c r="N1897" s="5"/>
    </row>
    <row r="1898" customFormat="false" ht="15" hidden="false" customHeight="false" outlineLevel="0" collapsed="false">
      <c r="A1898" s="71" t="n">
        <f aca="false">A1897+$F$3</f>
        <v>37840</v>
      </c>
      <c r="B1898" s="71" t="n">
        <f aca="false">SUMPRODUCT(固有振動数!$Q$6:$Q$22*(1-($A1898/固有振動数!$O$6:$O$22)^2)/((1-($A1898/固有振動数!$O$6:$O$22)^2)^2+固有振動数!$P$6:$P$22^2))</f>
        <v>-4.020143242761</v>
      </c>
      <c r="C1898" s="71" t="n">
        <f aca="false">-SUMPRODUCT(固有振動数!$Q$6:$Q$22*固有振動数!$P$6:$P$22/((1-($A1898/固有振動数!$O$6:$O$22)^2)^2+固有振動数!$P$6:$P$22^2))</f>
        <v>-0.819258266153615</v>
      </c>
      <c r="D1898" s="71" t="n">
        <f aca="false">SQRT(B1898^2+C1898^2)</f>
        <v>4.10277172152899</v>
      </c>
      <c r="E1898" s="72" t="n">
        <f aca="false">20*LOG10(MAX(D1898,0.000000000001)/$K$3)</f>
        <v>12.2615470693488</v>
      </c>
      <c r="F1898" s="5"/>
      <c r="G1898" s="5"/>
      <c r="H1898" s="5"/>
      <c r="I1898" s="5"/>
      <c r="J1898" s="5"/>
      <c r="K1898" s="5"/>
      <c r="L1898" s="5"/>
      <c r="M1898" s="5"/>
      <c r="N1898" s="5"/>
    </row>
    <row r="1899" customFormat="false" ht="15" hidden="false" customHeight="false" outlineLevel="0" collapsed="false">
      <c r="A1899" s="71" t="n">
        <f aca="false">A1898+$F$3</f>
        <v>37860</v>
      </c>
      <c r="B1899" s="71" t="n">
        <f aca="false">SUMPRODUCT(固有振動数!$Q$6:$Q$22*(1-($A1899/固有振動数!$O$6:$O$22)^2)/((1-($A1899/固有振動数!$O$6:$O$22)^2)^2+固有振動数!$P$6:$P$22^2))</f>
        <v>-3.93063056664614</v>
      </c>
      <c r="C1899" s="71" t="n">
        <f aca="false">-SUMPRODUCT(固有振動数!$Q$6:$Q$22*固有振動数!$P$6:$P$22/((1-($A1899/固有振動数!$O$6:$O$22)^2)^2+固有振動数!$P$6:$P$22^2))</f>
        <v>-0.809617758080472</v>
      </c>
      <c r="D1899" s="71" t="n">
        <f aca="false">SQRT(B1899^2+C1899^2)</f>
        <v>4.01314559487345</v>
      </c>
      <c r="E1899" s="72" t="n">
        <f aca="false">20*LOG10(MAX(D1899,0.000000000001)/$K$3)</f>
        <v>12.069698320035</v>
      </c>
      <c r="F1899" s="5"/>
      <c r="G1899" s="5"/>
      <c r="H1899" s="5"/>
      <c r="I1899" s="5"/>
      <c r="J1899" s="5"/>
      <c r="K1899" s="5"/>
      <c r="L1899" s="5"/>
      <c r="M1899" s="5"/>
      <c r="N1899" s="5"/>
    </row>
    <row r="1900" customFormat="false" ht="15" hidden="false" customHeight="false" outlineLevel="0" collapsed="false">
      <c r="A1900" s="71" t="n">
        <f aca="false">A1899+$F$3</f>
        <v>37880</v>
      </c>
      <c r="B1900" s="71" t="n">
        <f aca="false">SUMPRODUCT(固有振動数!$Q$6:$Q$22*(1-($A1900/固有振動数!$O$6:$O$22)^2)/((1-($A1900/固有振動数!$O$6:$O$22)^2)^2+固有振動数!$P$6:$P$22^2))</f>
        <v>-3.84223903924448</v>
      </c>
      <c r="C1900" s="71" t="n">
        <f aca="false">-SUMPRODUCT(固有振動数!$Q$6:$Q$22*固有振動数!$P$6:$P$22/((1-($A1900/固有振動数!$O$6:$O$22)^2)^2+固有振動数!$P$6:$P$22^2))</f>
        <v>-0.800236181234226</v>
      </c>
      <c r="D1900" s="71" t="n">
        <f aca="false">SQRT(B1900^2+C1900^2)</f>
        <v>3.92468836730391</v>
      </c>
      <c r="E1900" s="72" t="n">
        <f aca="false">20*LOG10(MAX(D1900,0.000000000001)/$K$3)</f>
        <v>11.8761035618375</v>
      </c>
      <c r="F1900" s="5"/>
      <c r="G1900" s="5"/>
      <c r="H1900" s="5"/>
      <c r="I1900" s="5"/>
      <c r="J1900" s="5"/>
      <c r="K1900" s="5"/>
      <c r="L1900" s="5"/>
      <c r="M1900" s="5"/>
      <c r="N1900" s="5"/>
    </row>
    <row r="1901" customFormat="false" ht="15" hidden="false" customHeight="false" outlineLevel="0" collapsed="false">
      <c r="A1901" s="71" t="n">
        <f aca="false">A1900+$F$3</f>
        <v>37900</v>
      </c>
      <c r="B1901" s="71" t="n">
        <f aca="false">SUMPRODUCT(固有振動数!$Q$6:$Q$22*(1-($A1901/固有振動数!$O$6:$O$22)^2)/((1-($A1901/固有振動数!$O$6:$O$22)^2)^2+固有振動数!$P$6:$P$22^2))</f>
        <v>-3.75494045417704</v>
      </c>
      <c r="C1901" s="71" t="n">
        <f aca="false">-SUMPRODUCT(固有振動数!$Q$6:$Q$22*固有振動数!$P$6:$P$22/((1-($A1901/固有振動数!$O$6:$O$22)^2)^2+固有振動数!$P$6:$P$22^2))</f>
        <v>-0.791105069334839</v>
      </c>
      <c r="D1901" s="71" t="n">
        <f aca="false">SQRT(B1901^2+C1901^2)</f>
        <v>3.8373721535893</v>
      </c>
      <c r="E1901" s="72" t="n">
        <f aca="false">20*LOG10(MAX(D1901,0.000000000001)/$K$3)</f>
        <v>11.680678394249</v>
      </c>
      <c r="F1901" s="5"/>
      <c r="G1901" s="5"/>
      <c r="H1901" s="5"/>
      <c r="I1901" s="5"/>
      <c r="J1901" s="5"/>
      <c r="K1901" s="5"/>
      <c r="L1901" s="5"/>
      <c r="M1901" s="5"/>
      <c r="N1901" s="5"/>
    </row>
    <row r="1902" customFormat="false" ht="15" hidden="false" customHeight="false" outlineLevel="0" collapsed="false">
      <c r="A1902" s="71" t="n">
        <f aca="false">A1901+$F$3</f>
        <v>37920</v>
      </c>
      <c r="B1902" s="71" t="n">
        <f aca="false">SUMPRODUCT(固有振動数!$Q$6:$Q$22*(1-($A1902/固有振動数!$O$6:$O$22)^2)/((1-($A1902/固有振動数!$O$6:$O$22)^2)^2+固有振動数!$P$6:$P$22^2))</f>
        <v>-3.66870750262075</v>
      </c>
      <c r="C1902" s="71" t="n">
        <f aca="false">-SUMPRODUCT(固有振動数!$Q$6:$Q$22*固有振動数!$P$6:$P$22/((1-($A1902/固有振動数!$O$6:$O$22)^2)^2+固有振動数!$P$6:$P$22^2))</f>
        <v>-0.782216307810049</v>
      </c>
      <c r="D1902" s="71" t="n">
        <f aca="false">SQRT(B1902^2+C1902^2)</f>
        <v>3.75117009638189</v>
      </c>
      <c r="E1902" s="72" t="n">
        <f aca="false">20*LOG10(MAX(D1902,0.000000000001)/$K$3)</f>
        <v>11.4833351526234</v>
      </c>
      <c r="F1902" s="5"/>
      <c r="G1902" s="5"/>
      <c r="H1902" s="5"/>
      <c r="I1902" s="5"/>
      <c r="J1902" s="5"/>
      <c r="K1902" s="5"/>
      <c r="L1902" s="5"/>
      <c r="M1902" s="5"/>
      <c r="N1902" s="5"/>
    </row>
    <row r="1903" customFormat="false" ht="15" hidden="false" customHeight="false" outlineLevel="0" collapsed="false">
      <c r="A1903" s="71" t="n">
        <f aca="false">A1902+$F$3</f>
        <v>37940</v>
      </c>
      <c r="B1903" s="71" t="n">
        <f aca="false">SUMPRODUCT(固有振動数!$Q$6:$Q$22*(1-($A1903/固有振動数!$O$6:$O$22)^2)/((1-($A1903/固有振動数!$O$6:$O$22)^2)^2+固有振動数!$P$6:$P$22^2))</f>
        <v>-3.58351373723881</v>
      </c>
      <c r="C1903" s="71" t="n">
        <f aca="false">-SUMPRODUCT(固有振動数!$Q$6:$Q$22*固有振動数!$P$6:$P$22/((1-($A1903/固有振動数!$O$6:$O$22)^2)^2+固有振動数!$P$6:$P$22^2))</f>
        <v>-0.773562116516754</v>
      </c>
      <c r="D1903" s="71" t="n">
        <f aca="false">SQRT(B1903^2+C1903^2)</f>
        <v>3.66605633523125</v>
      </c>
      <c r="E1903" s="72" t="n">
        <f aca="false">20*LOG10(MAX(D1903,0.000000000001)/$K$3)</f>
        <v>11.2839826871125</v>
      </c>
      <c r="F1903" s="5"/>
      <c r="G1903" s="5"/>
      <c r="H1903" s="5"/>
      <c r="I1903" s="5"/>
      <c r="J1903" s="5"/>
      <c r="K1903" s="5"/>
      <c r="L1903" s="5"/>
      <c r="M1903" s="5"/>
      <c r="N1903" s="5"/>
    </row>
    <row r="1904" customFormat="false" ht="15" hidden="false" customHeight="false" outlineLevel="0" collapsed="false">
      <c r="A1904" s="71" t="n">
        <f aca="false">A1903+$F$3</f>
        <v>37960</v>
      </c>
      <c r="B1904" s="71" t="n">
        <f aca="false">SUMPRODUCT(固有振動数!$Q$6:$Q$22*(1-($A1904/固有振動数!$O$6:$O$22)^2)/((1-($A1904/固有振動数!$O$6:$O$22)^2)^2+固有振動数!$P$6:$P$22^2))</f>
        <v>-3.49933353782284</v>
      </c>
      <c r="C1904" s="71" t="n">
        <f aca="false">-SUMPRODUCT(固有振動数!$Q$6:$Q$22*固有振動数!$P$6:$P$22/((1-($A1904/固有振動数!$O$6:$O$22)^2)^2+固有振動数!$P$6:$P$22^2))</f>
        <v>-0.765135033444652</v>
      </c>
      <c r="D1904" s="71" t="n">
        <f aca="false">SQRT(B1904^2+C1904^2)</f>
        <v>3.58200597826637</v>
      </c>
      <c r="E1904" s="72" t="n">
        <f aca="false">20*LOG10(MAX(D1904,0.000000000001)/$K$3)</f>
        <v>11.0825261267758</v>
      </c>
      <c r="F1904" s="5"/>
      <c r="G1904" s="5"/>
      <c r="H1904" s="5"/>
      <c r="I1904" s="5"/>
      <c r="J1904" s="5"/>
      <c r="K1904" s="5"/>
      <c r="L1904" s="5"/>
      <c r="M1904" s="5"/>
      <c r="N1904" s="5"/>
    </row>
    <row r="1905" customFormat="false" ht="15" hidden="false" customHeight="false" outlineLevel="0" collapsed="false">
      <c r="A1905" s="71" t="n">
        <f aca="false">A1904+$F$3</f>
        <v>37980</v>
      </c>
      <c r="B1905" s="71" t="n">
        <f aca="false">SUMPRODUCT(固有振動数!$Q$6:$Q$22*(1-($A1905/固有振動数!$O$6:$O$22)^2)/((1-($A1905/固有振動数!$O$6:$O$22)^2)^2+固有振動数!$P$6:$P$22^2))</f>
        <v>-3.41614207855257</v>
      </c>
      <c r="C1905" s="71" t="n">
        <f aca="false">-SUMPRODUCT(固有振動数!$Q$6:$Q$22*固有振動数!$P$6:$P$22/((1-($A1905/固有振動数!$O$6:$O$22)^2)^2+固有振動数!$P$6:$P$22^2))</f>
        <v>-0.75692789933896</v>
      </c>
      <c r="D1905" s="71" t="n">
        <f aca="false">SQRT(B1905^2+C1905^2)</f>
        <v>3.49899507654057</v>
      </c>
      <c r="E1905" s="72" t="n">
        <f aca="false">20*LOG10(MAX(D1905,0.000000000001)/$K$3)</f>
        <v>10.8788666276932</v>
      </c>
      <c r="F1905" s="5"/>
      <c r="G1905" s="5"/>
      <c r="H1905" s="5"/>
      <c r="I1905" s="5"/>
      <c r="J1905" s="5"/>
      <c r="K1905" s="5"/>
      <c r="L1905" s="5"/>
      <c r="M1905" s="5"/>
      <c r="N1905" s="5"/>
    </row>
    <row r="1906" customFormat="false" ht="15" hidden="false" customHeight="false" outlineLevel="0" collapsed="false">
      <c r="A1906" s="71" t="n">
        <f aca="false">A1905+$F$3</f>
        <v>38000</v>
      </c>
      <c r="B1906" s="71" t="n">
        <f aca="false">SUMPRODUCT(固有振動数!$Q$6:$Q$22*(1-($A1906/固有振動数!$O$6:$O$22)^2)/((1-($A1906/固有振動数!$O$6:$O$22)^2)^2+固有振動数!$P$6:$P$22^2))</f>
        <v>-3.33391529678615</v>
      </c>
      <c r="C1906" s="71" t="n">
        <f aca="false">-SUMPRODUCT(固有振動数!$Q$6:$Q$22*固有振動数!$P$6:$P$22/((1-($A1906/固有振動数!$O$6:$O$22)^2)^2+固有振動数!$P$6:$P$22^2))</f>
        <v>-0.748933843183636</v>
      </c>
      <c r="D1906" s="71" t="n">
        <f aca="false">SQRT(B1906^2+C1906^2)</f>
        <v>3.41700060105504</v>
      </c>
      <c r="E1906" s="72" t="n">
        <f aca="false">20*LOG10(MAX(D1906,0.000000000001)/$K$3)</f>
        <v>10.6729011038352</v>
      </c>
      <c r="F1906" s="5"/>
      <c r="G1906" s="5"/>
      <c r="H1906" s="5"/>
      <c r="I1906" s="5"/>
      <c r="J1906" s="5"/>
      <c r="K1906" s="5"/>
      <c r="L1906" s="5"/>
      <c r="M1906" s="5"/>
      <c r="N1906" s="5"/>
    </row>
    <row r="1907" customFormat="false" ht="15" hidden="false" customHeight="false" outlineLevel="0" collapsed="false">
      <c r="A1907" s="71" t="n">
        <f aca="false">A1906+$F$3</f>
        <v>38020</v>
      </c>
      <c r="B1907" s="71" t="n">
        <f aca="false">SUMPRODUCT(固有振動数!$Q$6:$Q$22*(1-($A1907/固有振動数!$O$6:$O$22)^2)/((1-($A1907/固有振動数!$O$6:$O$22)^2)^2+固有振動数!$P$6:$P$22^2))</f>
        <v>-3.25262986329775</v>
      </c>
      <c r="C1907" s="71" t="n">
        <f aca="false">-SUMPRODUCT(固有振動数!$Q$6:$Q$22*固有振動数!$P$6:$P$22/((1-($A1907/固有振動数!$O$6:$O$22)^2)^2+固有振動数!$P$6:$P$22^2))</f>
        <v>-0.741146268490558</v>
      </c>
      <c r="D1907" s="71" t="n">
        <f aca="false">SQRT(B1907^2+C1907^2)</f>
        <v>3.33600042249905</v>
      </c>
      <c r="E1907" s="72" t="n">
        <f aca="false">20*LOG10(MAX(D1907,0.000000000001)/$K$3)</f>
        <v>10.4645219393679</v>
      </c>
      <c r="F1907" s="5"/>
      <c r="G1907" s="5"/>
      <c r="H1907" s="5"/>
      <c r="I1907" s="5"/>
      <c r="J1907" s="5"/>
      <c r="K1907" s="5"/>
      <c r="L1907" s="5"/>
      <c r="M1907" s="5"/>
      <c r="N1907" s="5"/>
    </row>
    <row r="1908" customFormat="false" ht="15" hidden="false" customHeight="false" outlineLevel="0" collapsed="false">
      <c r="A1908" s="71" t="n">
        <f aca="false">A1907+$F$3</f>
        <v>38040</v>
      </c>
      <c r="B1908" s="71" t="n">
        <f aca="false">SUMPRODUCT(固有振動数!$Q$6:$Q$22*(1-($A1908/固有振動数!$O$6:$O$22)^2)/((1-($A1908/固有振動数!$O$6:$O$22)^2)^2+固有振動数!$P$6:$P$22^2))</f>
        <v>-3.17226315388556</v>
      </c>
      <c r="C1908" s="71" t="n">
        <f aca="false">-SUMPRODUCT(固有振動数!$Q$6:$Q$22*固有振動数!$P$6:$P$22/((1-($A1908/固有振動数!$O$6:$O$22)^2)^2+固有振動数!$P$6:$P$22^2))</f>
        <v>-0.733558840344103</v>
      </c>
      <c r="D1908" s="71" t="n">
        <f aca="false">SQRT(B1908^2+C1908^2)</f>
        <v>3.25597329377053</v>
      </c>
      <c r="E1908" s="72" t="n">
        <f aca="false">20*LOG10(MAX(D1908,0.000000000001)/$K$3)</f>
        <v>10.2536166810039</v>
      </c>
      <c r="F1908" s="5"/>
      <c r="G1908" s="5"/>
      <c r="H1908" s="5"/>
      <c r="I1908" s="5"/>
      <c r="J1908" s="5"/>
      <c r="K1908" s="5"/>
      <c r="L1908" s="5"/>
      <c r="M1908" s="5"/>
      <c r="N1908" s="5"/>
    </row>
    <row r="1909" customFormat="false" ht="15" hidden="false" customHeight="false" outlineLevel="0" collapsed="false">
      <c r="A1909" s="71" t="n">
        <f aca="false">A1908+$F$3</f>
        <v>38060</v>
      </c>
      <c r="B1909" s="71" t="n">
        <f aca="false">SUMPRODUCT(固有振動数!$Q$6:$Q$22*(1-($A1909/固有振動数!$O$6:$O$22)^2)/((1-($A1909/固有振動数!$O$6:$O$22)^2)^2+固有振動数!$P$6:$P$22^2))</f>
        <v>-3.09279322227729</v>
      </c>
      <c r="C1909" s="71" t="n">
        <f aca="false">-SUMPRODUCT(固有振動数!$Q$6:$Q$22*固有振動数!$P$6:$P$22/((1-($A1909/固有振動数!$O$6:$O$22)^2)^2+固有振動数!$P$6:$P$22^2))</f>
        <v>-0.726165473154013</v>
      </c>
      <c r="D1909" s="71" t="n">
        <f aca="false">SQRT(B1909^2+C1909^2)</f>
        <v>3.17689883536844</v>
      </c>
      <c r="E1909" s="72" t="n">
        <f aca="false">20*LOG10(MAX(D1909,0.000000000001)/$K$3)</f>
        <v>10.0400677089397</v>
      </c>
      <c r="F1909" s="5"/>
      <c r="G1909" s="5"/>
      <c r="H1909" s="5"/>
      <c r="I1909" s="5"/>
      <c r="J1909" s="5"/>
      <c r="K1909" s="5"/>
      <c r="L1909" s="5"/>
      <c r="M1909" s="5"/>
      <c r="N1909" s="5"/>
    </row>
    <row r="1910" customFormat="false" ht="15" hidden="false" customHeight="false" outlineLevel="0" collapsed="false">
      <c r="A1910" s="71" t="n">
        <f aca="false">A1909+$F$3</f>
        <v>38080</v>
      </c>
      <c r="B1910" s="71" t="n">
        <f aca="false">SUMPRODUCT(固有振動数!$Q$6:$Q$22*(1-($A1910/固有振動数!$O$6:$O$22)^2)/((1-($A1910/固有振動数!$O$6:$O$22)^2)^2+固有振動数!$P$6:$P$22^2))</f>
        <v>-3.01419877426469</v>
      </c>
      <c r="C1910" s="71" t="n">
        <f aca="false">-SUMPRODUCT(固有振動数!$Q$6:$Q$22*固有振動数!$P$6:$P$22/((1-($A1910/固有振動数!$O$6:$O$22)^2)^2+固有振動数!$P$6:$P$22^2))</f>
        <v>-0.718960319072744</v>
      </c>
      <c r="D1910" s="71" t="n">
        <f aca="false">SQRT(B1910^2+C1910^2)</f>
        <v>3.09875752377948</v>
      </c>
      <c r="E1910" s="72" t="n">
        <f aca="false">20*LOG10(MAX(D1910,0.000000000001)/$K$3)</f>
        <v>9.82375188487258</v>
      </c>
      <c r="F1910" s="5"/>
      <c r="G1910" s="5"/>
      <c r="H1910" s="5"/>
      <c r="I1910" s="5"/>
      <c r="J1910" s="5"/>
      <c r="K1910" s="5"/>
      <c r="L1910" s="5"/>
      <c r="M1910" s="5"/>
      <c r="N1910" s="5"/>
    </row>
    <row r="1911" customFormat="false" ht="15" hidden="false" customHeight="false" outlineLevel="0" collapsed="false">
      <c r="A1911" s="71" t="n">
        <f aca="false">A1910+$F$3</f>
        <v>38100</v>
      </c>
      <c r="B1911" s="71" t="n">
        <f aca="false">SUMPRODUCT(固有振動数!$Q$6:$Q$22*(1-($A1911/固有振動数!$O$6:$O$22)^2)/((1-($A1911/固有振動数!$O$6:$O$22)^2)^2+固有振動数!$P$6:$P$22^2))</f>
        <v>-2.93645914300276</v>
      </c>
      <c r="C1911" s="71" t="n">
        <f aca="false">-SUMPRODUCT(固有振動数!$Q$6:$Q$22*固有振動数!$P$6:$P$22/((1-($A1911/固有振動数!$O$6:$O$22)^2)^2+固有振動数!$P$6:$P$22^2))</f>
        <v>-0.711937757036513</v>
      </c>
      <c r="D1911" s="71" t="n">
        <f aca="false">SQRT(B1911^2+C1911^2)</f>
        <v>3.02153068301791</v>
      </c>
      <c r="E1911" s="72" t="n">
        <f aca="false">20*LOG10(MAX(D1911,0.000000000001)/$K$3)</f>
        <v>9.60454017554657</v>
      </c>
      <c r="F1911" s="5"/>
      <c r="G1911" s="5"/>
      <c r="H1911" s="5"/>
      <c r="I1911" s="5"/>
      <c r="J1911" s="5"/>
      <c r="K1911" s="5"/>
      <c r="L1911" s="5"/>
      <c r="M1911" s="5"/>
      <c r="N1911" s="5"/>
    </row>
    <row r="1912" customFormat="false" ht="15" hidden="false" customHeight="false" outlineLevel="0" collapsed="false">
      <c r="A1912" s="71" t="n">
        <f aca="false">A1911+$F$3</f>
        <v>38120</v>
      </c>
      <c r="B1912" s="71" t="n">
        <f aca="false">SUMPRODUCT(固有振動数!$Q$6:$Q$22*(1-($A1912/固有振動数!$O$6:$O$22)^2)/((1-($A1912/固有振動数!$O$6:$O$22)^2)^2+固有振動数!$P$6:$P$22^2))</f>
        <v>-2.85955426541311</v>
      </c>
      <c r="C1912" s="71" t="n">
        <f aca="false">-SUMPRODUCT(固有振動数!$Q$6:$Q$22*固有振動数!$P$6:$P$22/((1-($A1912/固有振動数!$O$6:$O$22)^2)^2+固有振動数!$P$6:$P$22^2))</f>
        <v>-0.70509238239203</v>
      </c>
      <c r="D1912" s="71" t="n">
        <f aca="false">SQRT(B1912^2+C1912^2)</f>
        <v>2.9452004795174</v>
      </c>
      <c r="E1912" s="72" t="n">
        <f aca="false">20*LOG10(MAX(D1912,0.000000000001)/$K$3)</f>
        <v>9.38229725027056</v>
      </c>
      <c r="F1912" s="5"/>
      <c r="G1912" s="5"/>
      <c r="H1912" s="5"/>
      <c r="I1912" s="5"/>
      <c r="J1912" s="5"/>
      <c r="K1912" s="5"/>
      <c r="L1912" s="5"/>
      <c r="M1912" s="5"/>
      <c r="N1912" s="5"/>
    </row>
    <row r="1913" customFormat="false" ht="15" hidden="false" customHeight="false" outlineLevel="0" collapsed="false">
      <c r="A1913" s="71" t="n">
        <f aca="false">A1912+$F$3</f>
        <v>38140</v>
      </c>
      <c r="B1913" s="71" t="n">
        <f aca="false">SUMPRODUCT(固有振動数!$Q$6:$Q$22*(1-($A1913/固有振動数!$O$6:$O$22)^2)/((1-($A1913/固有振動数!$O$6:$O$22)^2)^2+固有振動数!$P$6:$P$22^2))</f>
        <v>-2.78346465963447</v>
      </c>
      <c r="C1913" s="71" t="n">
        <f aca="false">-SUMPRODUCT(固有振動数!$Q$6:$Q$22*固有振動数!$P$6:$P$22/((1-($A1913/固有振動数!$O$6:$O$22)^2)^2+固有振動数!$P$6:$P$22^2))</f>
        <v>-0.698418997073517</v>
      </c>
      <c r="D1913" s="71" t="n">
        <f aca="false">SQRT(B1913^2+C1913^2)</f>
        <v>2.86974992062152</v>
      </c>
      <c r="E1913" s="72" t="n">
        <f aca="false">20*LOG10(MAX(D1913,0.000000000001)/$K$3)</f>
        <v>9.15688105087354</v>
      </c>
      <c r="F1913" s="5"/>
      <c r="G1913" s="5"/>
      <c r="H1913" s="5"/>
      <c r="I1913" s="5"/>
      <c r="J1913" s="5"/>
      <c r="K1913" s="5"/>
      <c r="L1913" s="5"/>
      <c r="M1913" s="5"/>
      <c r="N1913" s="5"/>
    </row>
    <row r="1914" customFormat="false" ht="15" hidden="false" customHeight="false" outlineLevel="0" collapsed="false">
      <c r="A1914" s="71" t="n">
        <f aca="false">A1913+$F$3</f>
        <v>38160</v>
      </c>
      <c r="B1914" s="71" t="n">
        <f aca="false">SUMPRODUCT(固有振動数!$Q$6:$Q$22*(1-($A1914/固有振動数!$O$6:$O$22)^2)/((1-($A1914/固有振動数!$O$6:$O$22)^2)^2+固有振動数!$P$6:$P$22^2))</f>
        <v>-2.70817140346667</v>
      </c>
      <c r="C1914" s="71" t="n">
        <f aca="false">-SUMPRODUCT(固有振動数!$Q$6:$Q$22*固有振動数!$P$6:$P$22/((1-($A1914/固有振動数!$O$6:$O$22)^2)^2+固有振動数!$P$6:$P$22^2))</f>
        <v>-0.691912600296966</v>
      </c>
      <c r="D1914" s="71" t="n">
        <f aca="false">SQRT(B1914^2+C1914^2)</f>
        <v>2.79516285697351</v>
      </c>
      <c r="E1914" s="72" t="n">
        <f aca="false">20*LOG10(MAX(D1914,0.000000000001)/$K$3)</f>
        <v>8.92814233263816</v>
      </c>
      <c r="F1914" s="5"/>
      <c r="G1914" s="5"/>
      <c r="H1914" s="5"/>
      <c r="I1914" s="5"/>
      <c r="J1914" s="5"/>
      <c r="K1914" s="5"/>
      <c r="L1914" s="5"/>
      <c r="M1914" s="5"/>
      <c r="N1914" s="5"/>
    </row>
    <row r="1915" customFormat="false" ht="15" hidden="false" customHeight="false" outlineLevel="0" collapsed="false">
      <c r="A1915" s="71" t="n">
        <f aca="false">A1914+$F$3</f>
        <v>38180</v>
      </c>
      <c r="B1915" s="71" t="n">
        <f aca="false">SUMPRODUCT(固有振動数!$Q$6:$Q$22*(1-($A1915/固有振動数!$O$6:$O$22)^2)/((1-($A1915/固有振動数!$O$6:$O$22)^2)^2+固有振動数!$P$6:$P$22^2))</f>
        <v>-2.6336561137573</v>
      </c>
      <c r="C1915" s="71" t="n">
        <f aca="false">-SUMPRODUCT(固有振動数!$Q$6:$Q$22*固有振動数!$P$6:$P$22/((1-($A1915/固有振動数!$O$6:$O$22)^2)^2+固有振動数!$P$6:$P$22^2))</f>
        <v>-0.685568379740818</v>
      </c>
      <c r="D1915" s="71" t="n">
        <f aca="false">SQRT(B1915^2+C1915^2)</f>
        <v>2.72142398917032</v>
      </c>
      <c r="E1915" s="72" t="n">
        <f aca="false">20*LOG10(MAX(D1915,0.000000000001)/$K$3)</f>
        <v>8.6959241748998</v>
      </c>
      <c r="F1915" s="5"/>
      <c r="G1915" s="5"/>
      <c r="H1915" s="5"/>
      <c r="I1915" s="5"/>
      <c r="J1915" s="5"/>
      <c r="K1915" s="5"/>
      <c r="L1915" s="5"/>
      <c r="M1915" s="5"/>
      <c r="N1915" s="5"/>
    </row>
    <row r="1916" customFormat="false" ht="15" hidden="false" customHeight="false" outlineLevel="0" collapsed="false">
      <c r="A1916" s="71" t="n">
        <f aca="false">A1915+$F$3</f>
        <v>38200</v>
      </c>
      <c r="B1916" s="71" t="n">
        <f aca="false">SUMPRODUCT(固有振動数!$Q$6:$Q$22*(1-($A1916/固有振動数!$O$6:$O$22)^2)/((1-($A1916/固有振動数!$O$6:$O$22)^2)^2+固有振動数!$P$6:$P$22^2))</f>
        <v>-2.5599009266838</v>
      </c>
      <c r="C1916" s="71" t="n">
        <f aca="false">-SUMPRODUCT(固有振動数!$Q$6:$Q$22*固有振動数!$P$6:$P$22/((1-($A1916/固有振動数!$O$6:$O$22)^2)^2+固有振動数!$P$6:$P$22^2))</f>
        <v>-0.679381703184311</v>
      </c>
      <c r="D1916" s="71" t="n">
        <f aca="false">SQRT(B1916^2+C1916^2)</f>
        <v>2.64851887912059</v>
      </c>
      <c r="E1916" s="72" t="n">
        <f aca="false">20*LOG10(MAX(D1916,0.000000000001)/$K$3)</f>
        <v>8.46006146024202</v>
      </c>
      <c r="F1916" s="5"/>
      <c r="G1916" s="5"/>
      <c r="H1916" s="5"/>
      <c r="I1916" s="5"/>
      <c r="J1916" s="5"/>
      <c r="K1916" s="5"/>
      <c r="L1916" s="5"/>
      <c r="M1916" s="5"/>
      <c r="N1916" s="5"/>
    </row>
    <row r="1917" customFormat="false" ht="15" hidden="false" customHeight="false" outlineLevel="0" collapsed="false">
      <c r="A1917" s="71" t="n">
        <f aca="false">A1916+$F$3</f>
        <v>38220</v>
      </c>
      <c r="B1917" s="71" t="n">
        <f aca="false">SUMPRODUCT(固有振動数!$Q$6:$Q$22*(1-($A1917/固有振動数!$O$6:$O$22)^2)/((1-($A1917/固有振動数!$O$6:$O$22)^2)^2+固有振動数!$P$6:$P$22^2))</f>
        <v>-2.4868884788855</v>
      </c>
      <c r="C1917" s="71" t="n">
        <f aca="false">-SUMPRODUCT(固有振動数!$Q$6:$Q$22*固有振動数!$P$6:$P$22/((1-($A1917/固有振動数!$O$6:$O$22)^2)^2+固有振動数!$P$6:$P$22^2))</f>
        <v>-0.673348110576589</v>
      </c>
      <c r="D1917" s="71" t="n">
        <f aca="false">SQRT(B1917^2+C1917^2)</f>
        <v>2.57643396663498</v>
      </c>
      <c r="E1917" s="72" t="n">
        <f aca="false">20*LOG10(MAX(D1917,0.000000000001)/$K$3)</f>
        <v>8.22038032159257</v>
      </c>
      <c r="F1917" s="5"/>
      <c r="G1917" s="5"/>
      <c r="H1917" s="5"/>
      <c r="I1917" s="5"/>
      <c r="J1917" s="5"/>
      <c r="K1917" s="5"/>
      <c r="L1917" s="5"/>
      <c r="M1917" s="5"/>
      <c r="N1917" s="5"/>
    </row>
    <row r="1918" customFormat="false" ht="15" hidden="false" customHeight="false" outlineLevel="0" collapsed="false">
      <c r="A1918" s="71" t="n">
        <f aca="false">A1917+$F$3</f>
        <v>38240</v>
      </c>
      <c r="B1918" s="71" t="n">
        <f aca="false">SUMPRODUCT(固有振動数!$Q$6:$Q$22*(1-($A1918/固有振動数!$O$6:$O$22)^2)/((1-($A1918/固有振動数!$O$6:$O$22)^2)^2+固有振動数!$P$6:$P$22^2))</f>
        <v>-2.41460188940361</v>
      </c>
      <c r="C1918" s="71" t="n">
        <f aca="false">-SUMPRODUCT(固有振動数!$Q$6:$Q$22*固有振動数!$P$6:$P$22/((1-($A1918/固有振動数!$O$6:$O$22)^2)^2+固有振動数!$P$6:$P$22^2))</f>
        <v>-0.66746330651149</v>
      </c>
      <c r="D1918" s="71" t="n">
        <f aca="false">SQRT(B1918^2+C1918^2)</f>
        <v>2.50515659188218</v>
      </c>
      <c r="E1918" s="72" t="n">
        <f aca="false">20*LOG10(MAX(D1918,0.000000000001)/$K$3)</f>
        <v>7.97669755707777</v>
      </c>
      <c r="F1918" s="5"/>
      <c r="G1918" s="5"/>
      <c r="H1918" s="5"/>
      <c r="I1918" s="5"/>
      <c r="J1918" s="5"/>
      <c r="K1918" s="5"/>
      <c r="L1918" s="5"/>
      <c r="M1918" s="5"/>
      <c r="N1918" s="5"/>
    </row>
    <row r="1919" customFormat="false" ht="15" hidden="false" customHeight="false" outlineLevel="0" collapsed="false">
      <c r="A1919" s="71" t="n">
        <f aca="false">A1918+$F$3</f>
        <v>38260</v>
      </c>
      <c r="B1919" s="71" t="n">
        <f aca="false">SUMPRODUCT(固有振動数!$Q$6:$Q$22*(1-($A1919/固有振動数!$O$6:$O$22)^2)/((1-($A1919/固有振動数!$O$6:$O$22)^2)^2+固有振動数!$P$6:$P$22^2))</f>
        <v>-2.34302474238891</v>
      </c>
      <c r="C1919" s="71" t="n">
        <f aca="false">-SUMPRODUCT(固有振動数!$Q$6:$Q$22*固有振動数!$P$6:$P$22/((1-($A1919/固有振動数!$O$6:$O$22)^2)^2+固有振動数!$P$6:$P$22^2))</f>
        <v>-0.661723153084518</v>
      </c>
      <c r="D1919" s="71" t="n">
        <f aca="false">SQRT(B1919^2+C1919^2)</f>
        <v>2.43467502446933</v>
      </c>
      <c r="E1919" s="72" t="n">
        <f aca="false">20*LOG10(MAX(D1919,0.000000000001)/$K$3)</f>
        <v>7.72882001328397</v>
      </c>
      <c r="F1919" s="5"/>
      <c r="G1919" s="5"/>
      <c r="H1919" s="5"/>
      <c r="I1919" s="5"/>
      <c r="J1919" s="5"/>
      <c r="K1919" s="5"/>
      <c r="L1919" s="5"/>
      <c r="M1919" s="5"/>
      <c r="N1919" s="5"/>
    </row>
    <row r="1920" customFormat="false" ht="15" hidden="false" customHeight="false" outlineLevel="0" collapsed="false">
      <c r="A1920" s="71" t="n">
        <f aca="false">A1919+$F$3</f>
        <v>38280</v>
      </c>
      <c r="B1920" s="71" t="n">
        <f aca="false">SUMPRODUCT(固有振動数!$Q$6:$Q$22*(1-($A1920/固有振動数!$O$6:$O$22)^2)/((1-($A1920/固有振動数!$O$6:$O$22)^2)^2+固有振動数!$P$6:$P$22^2))</f>
        <v>-2.27214107053939</v>
      </c>
      <c r="C1920" s="71" t="n">
        <f aca="false">-SUMPRODUCT(固有振動数!$Q$6:$Q$22*固有振動数!$P$6:$P$22/((1-($A1920/固有振動数!$O$6:$O$22)^2)^2+固有振動数!$P$6:$P$22^2))</f>
        <v>-0.656123663110035</v>
      </c>
      <c r="D1920" s="71" t="n">
        <f aca="false">SQRT(B1920^2+C1920^2)</f>
        <v>2.36497850005551</v>
      </c>
      <c r="E1920" s="72" t="n">
        <f aca="false">20*LOG10(MAX(D1920,0.000000000001)/$K$3)</f>
        <v>7.47654393868847</v>
      </c>
      <c r="F1920" s="5"/>
      <c r="G1920" s="5"/>
      <c r="H1920" s="5"/>
      <c r="I1920" s="5"/>
      <c r="J1920" s="5"/>
      <c r="K1920" s="5"/>
      <c r="L1920" s="5"/>
      <c r="M1920" s="5"/>
      <c r="N1920" s="5"/>
    </row>
    <row r="1921" customFormat="false" ht="15" hidden="false" customHeight="false" outlineLevel="0" collapsed="false">
      <c r="A1921" s="71" t="n">
        <f aca="false">A1920+$F$3</f>
        <v>38300</v>
      </c>
      <c r="B1921" s="71" t="n">
        <f aca="false">SUMPRODUCT(固有振動数!$Q$6:$Q$22*(1-($A1921/固有振動数!$O$6:$O$22)^2)/((1-($A1921/固有振動数!$O$6:$O$22)^2)^2+固有振動数!$P$6:$P$22^2))</f>
        <v>-2.20193533923208</v>
      </c>
      <c r="C1921" s="71" t="n">
        <f aca="false">-SUMPRODUCT(固有振動数!$Q$6:$Q$22*固有振動数!$P$6:$P$22/((1-($A1921/固有振動数!$O$6:$O$22)^2)^2+固有振動数!$P$6:$P$22^2))</f>
        <v>-0.650660993678114</v>
      </c>
      <c r="D1921" s="71" t="n">
        <f aca="false">SQRT(B1921^2+C1921^2)</f>
        <v>2.29605726558666</v>
      </c>
      <c r="E1921" s="72" t="n">
        <f aca="false">20*LOG10(MAX(D1921,0.000000000001)/$K$3)</f>
        <v>7.21965431056528</v>
      </c>
      <c r="F1921" s="5"/>
      <c r="G1921" s="5"/>
      <c r="H1921" s="5"/>
      <c r="I1921" s="5"/>
      <c r="J1921" s="5"/>
      <c r="K1921" s="5"/>
      <c r="L1921" s="5"/>
      <c r="M1921" s="5"/>
      <c r="N1921" s="5"/>
    </row>
    <row r="1922" customFormat="false" ht="15" hidden="false" customHeight="false" outlineLevel="0" collapsed="false">
      <c r="A1922" s="71" t="n">
        <f aca="false">A1921+$F$3</f>
        <v>38320</v>
      </c>
      <c r="B1922" s="71" t="n">
        <f aca="false">SUMPRODUCT(固有振動数!$Q$6:$Q$22*(1-($A1922/固有振動数!$O$6:$O$22)^2)/((1-($A1922/固有振動数!$O$6:$O$22)^2)^2+固有振動数!$P$6:$P$22^2))</f>
        <v>-2.13239243131565</v>
      </c>
      <c r="C1922" s="71" t="n">
        <f aca="false">-SUMPRODUCT(固有振動数!$Q$6:$Q$22*固有振動数!$P$6:$P$22/((1-($A1922/固有振動数!$O$6:$O$22)^2)^2+固有振動数!$P$6:$P$22^2))</f>
        <v>-0.645331440031818</v>
      </c>
      <c r="D1922" s="71" t="n">
        <f aca="false">SQRT(B1922^2+C1922^2)</f>
        <v>2.22790263445821</v>
      </c>
      <c r="E1922" s="72" t="n">
        <f aca="false">20*LOG10(MAX(D1922,0.000000000001)/$K$3)</f>
        <v>6.95792414079228</v>
      </c>
      <c r="F1922" s="5"/>
      <c r="G1922" s="5"/>
      <c r="H1922" s="5"/>
      <c r="I1922" s="5"/>
      <c r="J1922" s="5"/>
      <c r="K1922" s="5"/>
      <c r="L1922" s="5"/>
      <c r="M1922" s="5"/>
      <c r="N1922" s="5"/>
    </row>
    <row r="1923" customFormat="false" ht="15" hidden="false" customHeight="false" outlineLevel="0" collapsed="false">
      <c r="A1923" s="71" t="n">
        <f aca="false">A1922+$F$3</f>
        <v>38340</v>
      </c>
      <c r="B1923" s="71" t="n">
        <f aca="false">SUMPRODUCT(固有振動数!$Q$6:$Q$22*(1-($A1923/固有振動数!$O$6:$O$22)^2)/((1-($A1923/固有振動数!$O$6:$O$22)^2)^2+固有振動数!$P$6:$P$22^2))</f>
        <v>-2.06349763253142</v>
      </c>
      <c r="C1923" s="71" t="n">
        <f aca="false">-SUMPRODUCT(固有振動数!$Q$6:$Q$22*固有振動数!$P$6:$P$22/((1-($A1923/固有振動数!$O$6:$O$22)^2)^2+固有振動数!$P$6:$P$22^2))</f>
        <v>-0.640131429746871</v>
      </c>
      <c r="D1923" s="71" t="n">
        <f aca="false">SQRT(B1923^2+C1923^2)</f>
        <v>2.16050705317352</v>
      </c>
      <c r="E1923" s="72" t="n">
        <f aca="false">20*LOG10(MAX(D1923,0.000000000001)/$K$3)</f>
        <v>6.69111376887501</v>
      </c>
      <c r="F1923" s="5"/>
      <c r="G1923" s="5"/>
      <c r="H1923" s="5"/>
      <c r="I1923" s="5"/>
      <c r="J1923" s="5"/>
      <c r="K1923" s="5"/>
      <c r="L1923" s="5"/>
      <c r="M1923" s="5"/>
      <c r="N1923" s="5"/>
    </row>
    <row r="1924" customFormat="false" ht="15" hidden="false" customHeight="false" outlineLevel="0" collapsed="false">
      <c r="A1924" s="71" t="n">
        <f aca="false">A1923+$F$3</f>
        <v>38360</v>
      </c>
      <c r="B1924" s="71" t="n">
        <f aca="false">SUMPRODUCT(固有振動数!$Q$6:$Q$22*(1-($A1924/固有振動数!$O$6:$O$22)^2)/((1-($A1924/固有振動数!$O$6:$O$22)^2)^2+固有振動数!$P$6:$P$22^2))</f>
        <v>-1.995236617533</v>
      </c>
      <c r="C1924" s="71" t="n">
        <f aca="false">-SUMPRODUCT(固有振動数!$Q$6:$Q$22*固有振動数!$P$6:$P$22/((1-($A1924/固有振動数!$O$6:$O$22)^2)^2+固有振動数!$P$6:$P$22^2))</f>
        <v>-0.635057517196802</v>
      </c>
      <c r="D1924" s="71" t="n">
        <f aca="false">SQRT(B1924^2+C1924^2)</f>
        <v>2.09386418138634</v>
      </c>
      <c r="E1924" s="72" t="n">
        <f aca="false">20*LOG10(MAX(D1924,0.000000000001)/$K$3)</f>
        <v>6.41897015442618</v>
      </c>
      <c r="F1924" s="5"/>
      <c r="G1924" s="5"/>
      <c r="H1924" s="5"/>
      <c r="I1924" s="5"/>
      <c r="J1924" s="5"/>
      <c r="K1924" s="5"/>
      <c r="L1924" s="5"/>
      <c r="M1924" s="5"/>
      <c r="N1924" s="5"/>
    </row>
    <row r="1925" customFormat="false" ht="15" hidden="false" customHeight="false" outlineLevel="0" collapsed="false">
      <c r="A1925" s="71" t="n">
        <f aca="false">A1924+$F$3</f>
        <v>38380</v>
      </c>
      <c r="B1925" s="71" t="n">
        <f aca="false">SUMPRODUCT(固有振動数!$Q$6:$Q$22*(1-($A1925/固有振動数!$O$6:$O$22)^2)/((1-($A1925/固有振動数!$O$6:$O$22)^2)^2+固有振動数!$P$6:$P$22^2))</f>
        <v>-1.92759543647598</v>
      </c>
      <c r="C1925" s="71" t="n">
        <f aca="false">-SUMPRODUCT(固有振動数!$Q$6:$Q$22*固有振動数!$P$6:$P$22/((1-($A1925/固有振動数!$O$6:$O$22)^2)^2+固有振動数!$P$6:$P$22^2))</f>
        <v>-0.630106378287762</v>
      </c>
      <c r="D1925" s="71" t="n">
        <f aca="false">SQRT(B1925^2+C1925^2)</f>
        <v>2.0279689876036</v>
      </c>
      <c r="E1925" s="72" t="n">
        <f aca="false">20*LOG10(MAX(D1925,0.000000000001)/$K$3)</f>
        <v>6.14122618664204</v>
      </c>
      <c r="F1925" s="5"/>
      <c r="G1925" s="5"/>
      <c r="H1925" s="5"/>
      <c r="I1925" s="5"/>
      <c r="J1925" s="5"/>
      <c r="K1925" s="5"/>
      <c r="L1925" s="5"/>
      <c r="M1925" s="5"/>
      <c r="N1925" s="5"/>
    </row>
    <row r="1926" customFormat="false" ht="15" hidden="false" customHeight="false" outlineLevel="0" collapsed="false">
      <c r="A1926" s="71" t="n">
        <f aca="false">A1925+$F$3</f>
        <v>38400</v>
      </c>
      <c r="B1926" s="71" t="n">
        <f aca="false">SUMPRODUCT(固有振動数!$Q$6:$Q$22*(1-($A1926/固有振動数!$O$6:$O$22)^2)/((1-($A1926/固有振動数!$O$6:$O$22)^2)^2+固有振動数!$P$6:$P$22^2))</f>
        <v>-1.86056050215057</v>
      </c>
      <c r="C1926" s="71" t="n">
        <f aca="false">-SUMPRODUCT(固有振動数!$Q$6:$Q$22*固有振動数!$P$6:$P$22/((1-($A1926/固有振動数!$O$6:$O$22)^2)^2+固有振動数!$P$6:$P$22^2))</f>
        <v>-0.625274805448107</v>
      </c>
      <c r="D1926" s="71" t="n">
        <f aca="false">SQRT(B1926^2+C1926^2)</f>
        <v>1.96281786330035</v>
      </c>
      <c r="E1926" s="72" t="n">
        <f aca="false">20*LOG10(MAX(D1926,0.000000000001)/$K$3)</f>
        <v>5.85760003546907</v>
      </c>
      <c r="F1926" s="5"/>
      <c r="G1926" s="5"/>
      <c r="H1926" s="5"/>
      <c r="I1926" s="5"/>
      <c r="J1926" s="5"/>
      <c r="K1926" s="5"/>
      <c r="L1926" s="5"/>
      <c r="M1926" s="5"/>
      <c r="N1926" s="5"/>
    </row>
    <row r="1927" customFormat="false" ht="15" hidden="false" customHeight="false" outlineLevel="0" collapsed="false">
      <c r="A1927" s="71" t="n">
        <f aca="false">A1926+$F$3</f>
        <v>38420</v>
      </c>
      <c r="B1927" s="71" t="n">
        <f aca="false">SUMPRODUCT(固有振動数!$Q$6:$Q$22*(1-($A1927/固有振動数!$O$6:$O$22)^2)/((1-($A1927/固有振動数!$O$6:$O$22)^2)^2+固有振動数!$P$6:$P$22^2))</f>
        <v>-1.79411857763181</v>
      </c>
      <c r="C1927" s="71" t="n">
        <f aca="false">-SUMPRODUCT(固有振動数!$Q$6:$Q$22*固有振動数!$P$6:$P$22/((1-($A1927/固有振動数!$O$6:$O$22)^2)^2+固有振動数!$P$6:$P$22^2))</f>
        <v>-0.62055970285883</v>
      </c>
      <c r="D1927" s="71" t="n">
        <f aca="false">SQRT(B1927^2+C1927^2)</f>
        <v>1.89840875878085</v>
      </c>
      <c r="E1927" s="72" t="n">
        <f aca="false">20*LOG10(MAX(D1927,0.000000000001)/$K$3)</f>
        <v>5.56779457878969</v>
      </c>
      <c r="F1927" s="5"/>
      <c r="G1927" s="5"/>
      <c r="H1927" s="5"/>
      <c r="I1927" s="5"/>
      <c r="J1927" s="5"/>
      <c r="K1927" s="5"/>
      <c r="L1927" s="5"/>
      <c r="M1927" s="5"/>
      <c r="N1927" s="5"/>
    </row>
    <row r="1928" customFormat="false" ht="15" hidden="false" customHeight="false" outlineLevel="0" collapsed="false">
      <c r="A1928" s="71" t="n">
        <f aca="false">A1927+$F$3</f>
        <v>38440</v>
      </c>
      <c r="B1928" s="71" t="n">
        <f aca="false">SUMPRODUCT(固有振動数!$Q$6:$Q$22*(1-($A1928/固有振動数!$O$6:$O$22)^2)/((1-($A1928/固有振動数!$O$6:$O$22)^2)^2+固有振動数!$P$6:$P$22^2))</f>
        <v>-1.72825676442305</v>
      </c>
      <c r="C1928" s="71" t="n">
        <f aca="false">-SUMPRODUCT(固有振動数!$Q$6:$Q$22*固有振動数!$P$6:$P$22/((1-($A1928/固有振動数!$O$6:$O$22)^2)^2+固有振動数!$P$6:$P$22^2))</f>
        <v>-0.615958081911738</v>
      </c>
      <c r="D1928" s="71" t="n">
        <f aca="false">SQRT(B1928^2+C1928^2)</f>
        <v>1.83474134483486</v>
      </c>
      <c r="E1928" s="72" t="n">
        <f aca="false">20*LOG10(MAX(D1928,0.000000000001)/$K$3)</f>
        <v>5.27149695292097</v>
      </c>
      <c r="F1928" s="5"/>
      <c r="G1928" s="5"/>
      <c r="H1928" s="5"/>
      <c r="I1928" s="5"/>
      <c r="J1928" s="5"/>
      <c r="K1928" s="5"/>
      <c r="L1928" s="5"/>
      <c r="M1928" s="5"/>
      <c r="N1928" s="5"/>
    </row>
    <row r="1929" customFormat="false" ht="15" hidden="false" customHeight="false" outlineLevel="0" collapsed="false">
      <c r="A1929" s="71" t="n">
        <f aca="false">A1928+$F$3</f>
        <v>38460</v>
      </c>
      <c r="B1929" s="71" t="n">
        <f aca="false">SUMPRODUCT(固有振動数!$Q$6:$Q$22*(1-($A1929/固有振動数!$O$6:$O$22)^2)/((1-($A1929/固有振動数!$O$6:$O$22)^2)^2+固有振動数!$P$6:$P$22^2))</f>
        <v>-1.66296249106984</v>
      </c>
      <c r="C1929" s="71" t="n">
        <f aca="false">-SUMPRODUCT(固有振動数!$Q$6:$Q$22*固有振動数!$P$6:$P$22/((1-($A1929/固有振動数!$O$6:$O$22)^2)^2+固有振動数!$P$6:$P$22^2))</f>
        <v>-0.611467056883066</v>
      </c>
      <c r="D1929" s="71" t="n">
        <f aca="false">SQRT(B1929^2+C1929^2)</f>
        <v>1.77181720511978</v>
      </c>
      <c r="E1929" s="72" t="n">
        <f aca="false">20*LOG10(MAX(D1929,0.000000000001)/$K$3)</f>
        <v>4.96837829117018</v>
      </c>
      <c r="F1929" s="5"/>
      <c r="G1929" s="5"/>
      <c r="H1929" s="5"/>
      <c r="I1929" s="5"/>
      <c r="J1929" s="5"/>
      <c r="K1929" s="5"/>
      <c r="L1929" s="5"/>
      <c r="M1929" s="5"/>
      <c r="N1929" s="5"/>
    </row>
    <row r="1930" customFormat="false" ht="15" hidden="false" customHeight="false" outlineLevel="0" collapsed="false">
      <c r="A1930" s="71" t="n">
        <f aca="false">A1929+$F$3</f>
        <v>38480</v>
      </c>
      <c r="B1930" s="71" t="n">
        <f aca="false">SUMPRODUCT(固有振動数!$Q$6:$Q$22*(1-($A1930/固有振動数!$O$6:$O$22)^2)/((1-($A1930/固有振動数!$O$6:$O$22)^2)^2+固有振動数!$P$6:$P$22^2))</f>
        <v>-1.59822350222257</v>
      </c>
      <c r="C1930" s="71" t="n">
        <f aca="false">-SUMPRODUCT(固有振動数!$Q$6:$Q$22*固有振動数!$P$6:$P$22/((1-($A1930/固有振動数!$O$6:$O$22)^2)^2+固有振動数!$P$6:$P$22^2))</f>
        <v>-0.607083840810987</v>
      </c>
      <c r="D1930" s="71" t="n">
        <f aca="false">SQRT(B1930^2+C1930^2)</f>
        <v>1.70964006528579</v>
      </c>
      <c r="E1930" s="72" t="n">
        <f aca="false">20*LOG10(MAX(D1930,0.000000000001)/$K$3)</f>
        <v>4.658093738673</v>
      </c>
      <c r="F1930" s="5"/>
      <c r="G1930" s="5"/>
      <c r="H1930" s="5"/>
      <c r="I1930" s="5"/>
      <c r="J1930" s="5"/>
      <c r="K1930" s="5"/>
      <c r="L1930" s="5"/>
      <c r="M1930" s="5"/>
      <c r="N1930" s="5"/>
    </row>
    <row r="1931" customFormat="false" ht="15" hidden="false" customHeight="false" outlineLevel="0" collapsed="false">
      <c r="A1931" s="71" t="n">
        <f aca="false">A1930+$F$3</f>
        <v>38500</v>
      </c>
      <c r="B1931" s="71" t="n">
        <f aca="false">SUMPRODUCT(固有振動数!$Q$6:$Q$22*(1-($A1931/固有振動数!$O$6:$O$22)^2)/((1-($A1931/固有振動数!$O$6:$O$22)^2)^2+固有振動数!$P$6:$P$22^2))</f>
        <v>-1.53402784812719</v>
      </c>
      <c r="C1931" s="71" t="n">
        <f aca="false">-SUMPRODUCT(固有振動数!$Q$6:$Q$22*固有振動数!$P$6:$P$22/((1-($A1931/固有振動数!$O$6:$O$22)^2)^2+固有振動数!$P$6:$P$22^2))</f>
        <v>-0.602805741566142</v>
      </c>
      <c r="D1931" s="71" t="n">
        <f aca="false">SQRT(B1931^2+C1931^2)</f>
        <v>1.64821606620456</v>
      </c>
      <c r="E1931" s="72" t="n">
        <f aca="false">20*LOG10(MAX(D1931,0.000000000001)/$K$3)</f>
        <v>4.34028286335725</v>
      </c>
      <c r="F1931" s="5"/>
      <c r="G1931" s="5"/>
      <c r="H1931" s="5"/>
      <c r="I1931" s="5"/>
      <c r="J1931" s="5"/>
      <c r="K1931" s="5"/>
      <c r="L1931" s="5"/>
      <c r="M1931" s="5"/>
      <c r="N1931" s="5"/>
    </row>
    <row r="1932" customFormat="false" ht="15" hidden="false" customHeight="false" outlineLevel="0" collapsed="false">
      <c r="A1932" s="71" t="n">
        <f aca="false">A1931+$F$3</f>
        <v>38520</v>
      </c>
      <c r="B1932" s="71" t="n">
        <f aca="false">SUMPRODUCT(固有振動数!$Q$6:$Q$22*(1-($A1932/固有振動数!$O$6:$O$22)^2)/((1-($A1932/固有振動数!$O$6:$O$22)^2)^2+固有振動数!$P$6:$P$22^2))</f>
        <v>-1.47036387452453</v>
      </c>
      <c r="C1932" s="71" t="n">
        <f aca="false">-SUMPRODUCT(固有振動数!$Q$6:$Q$22*固有振動数!$P$6:$P$22/((1-($A1932/固有振動数!$O$6:$O$22)^2)^2+固有振動数!$P$6:$P$22^2))</f>
        <v>-0.598630158104964</v>
      </c>
      <c r="D1932" s="71" t="n">
        <f aca="false">SQRT(B1932^2+C1932^2)</f>
        <v>1.58755409032245</v>
      </c>
      <c r="E1932" s="72" t="n">
        <f aca="false">20*LOG10(MAX(D1932,0.000000000001)/$K$3)</f>
        <v>4.01457062546448</v>
      </c>
      <c r="F1932" s="5"/>
      <c r="G1932" s="5"/>
      <c r="H1932" s="5"/>
      <c r="I1932" s="5"/>
      <c r="J1932" s="5"/>
      <c r="K1932" s="5"/>
      <c r="L1932" s="5"/>
      <c r="M1932" s="5"/>
      <c r="N1932" s="5"/>
    </row>
    <row r="1933" customFormat="false" ht="15" hidden="false" customHeight="false" outlineLevel="0" collapsed="false">
      <c r="A1933" s="71" t="n">
        <f aca="false">A1932+$F$3</f>
        <v>38540</v>
      </c>
      <c r="B1933" s="71" t="n">
        <f aca="false">SUMPRODUCT(固有振動数!$Q$6:$Q$22*(1-($A1933/固有振動数!$O$6:$O$22)^2)/((1-($A1933/固有振動数!$O$6:$O$22)^2)^2+固有振動数!$P$6:$P$22^2))</f>
        <v>-1.40722021293981</v>
      </c>
      <c r="C1933" s="71" t="n">
        <f aca="false">-SUMPRODUCT(固有振動数!$Q$6:$Q$22*固有振動数!$P$6:$P$22/((1-($A1933/固有振動数!$O$6:$O$22)^2)^2+固有振動数!$P$6:$P$22^2))</f>
        <v>-0.594554576896213</v>
      </c>
      <c r="D1933" s="71" t="n">
        <f aca="false">SQRT(B1933^2+C1933^2)</f>
        <v>1.52766615221213</v>
      </c>
      <c r="E1933" s="72" t="n">
        <f aca="false">20*LOG10(MAX(D1933,0.000000000001)/$K$3)</f>
        <v>3.68056912545594</v>
      </c>
      <c r="F1933" s="5"/>
      <c r="G1933" s="5"/>
      <c r="H1933" s="5"/>
      <c r="I1933" s="5"/>
      <c r="J1933" s="5"/>
      <c r="K1933" s="5"/>
      <c r="L1933" s="5"/>
      <c r="M1933" s="5"/>
      <c r="N1933" s="5"/>
    </row>
    <row r="1934" customFormat="false" ht="15" hidden="false" customHeight="false" outlineLevel="0" collapsed="false">
      <c r="A1934" s="71" t="n">
        <f aca="false">A1933+$F$3</f>
        <v>38560</v>
      </c>
      <c r="B1934" s="71" t="n">
        <f aca="false">SUMPRODUCT(固有振動数!$Q$6:$Q$22*(1-($A1934/固有振動数!$O$6:$O$22)^2)/((1-($A1934/固有振動数!$O$6:$O$22)^2)^2+固有振動数!$P$6:$P$22^2))</f>
        <v>-1.34458577134465</v>
      </c>
      <c r="C1934" s="71" t="n">
        <f aca="false">-SUMPRODUCT(固有振動数!$Q$6:$Q$22*固有振動数!$P$6:$P$22/((1-($A1934/固有振動数!$O$6:$O$22)^2)^2+固有振動数!$P$6:$P$22^2))</f>
        <v>-0.590576568511635</v>
      </c>
      <c r="D1934" s="71" t="n">
        <f aca="false">SQRT(B1934^2+C1934^2)</f>
        <v>1.46856786692936</v>
      </c>
      <c r="E1934" s="72" t="n">
        <f aca="false">20*LOG10(MAX(D1934,0.000000000001)/$K$3)</f>
        <v>3.33788042748444</v>
      </c>
      <c r="F1934" s="5"/>
      <c r="G1934" s="5"/>
      <c r="H1934" s="5"/>
      <c r="I1934" s="5"/>
      <c r="J1934" s="5"/>
      <c r="K1934" s="5"/>
      <c r="L1934" s="5"/>
      <c r="M1934" s="5"/>
      <c r="N1934" s="5"/>
    </row>
    <row r="1935" customFormat="false" ht="15" hidden="false" customHeight="false" outlineLevel="0" collapsed="false">
      <c r="A1935" s="71" t="n">
        <f aca="false">A1934+$F$3</f>
        <v>38580</v>
      </c>
      <c r="B1935" s="71" t="n">
        <f aca="false">SUMPRODUCT(固有振動数!$Q$6:$Q$22*(1-($A1935/固有振動数!$O$6:$O$22)^2)/((1-($A1935/固有振動数!$O$6:$O$22)^2)^2+固有振動数!$P$6:$P$22^2))</f>
        <v>-1.28244972517492</v>
      </c>
      <c r="C1935" s="71" t="n">
        <f aca="false">-SUMPRODUCT(固有振動数!$Q$6:$Q$22*固有振動数!$P$6:$P$22/((1-($A1935/固有振動数!$O$6:$O$22)^2)^2+固有振動数!$P$6:$P$22^2))</f>
        <v>-0.586693784372253</v>
      </c>
      <c r="D1935" s="71" t="n">
        <f aca="false">SQRT(B1935^2+C1935^2)</f>
        <v>1.4102790128986</v>
      </c>
      <c r="E1935" s="72" t="n">
        <f aca="false">20*LOG10(MAX(D1935,0.000000000001)/$K$3)</f>
        <v>2.98610085984237</v>
      </c>
      <c r="F1935" s="5"/>
      <c r="G1935" s="5"/>
      <c r="H1935" s="5"/>
      <c r="I1935" s="5"/>
      <c r="J1935" s="5"/>
      <c r="K1935" s="5"/>
      <c r="L1935" s="5"/>
      <c r="M1935" s="5"/>
      <c r="N1935" s="5"/>
    </row>
    <row r="1936" customFormat="false" ht="15" hidden="false" customHeight="false" outlineLevel="0" collapsed="false">
      <c r="A1936" s="71" t="n">
        <f aca="false">A1935+$F$3</f>
        <v>38600</v>
      </c>
      <c r="B1936" s="71" t="n">
        <f aca="false">SUMPRODUCT(固有振動数!$Q$6:$Q$22*(1-($A1936/固有振動数!$O$6:$O$22)^2)/((1-($A1936/固有振動数!$O$6:$O$22)^2)^2+固有振動数!$P$6:$P$22^2))</f>
        <v>-1.2208015086887</v>
      </c>
      <c r="C1936" s="71" t="n">
        <f aca="false">-SUMPRODUCT(固有振動数!$Q$6:$Q$22*固有振動数!$P$6:$P$22/((1-($A1936/固有振動数!$O$6:$O$22)^2)^2+固有振動数!$P$6:$P$22^2))</f>
        <v>-0.582903953642251</v>
      </c>
      <c r="D1936" s="71" t="n">
        <f aca="false">SQRT(B1936^2+C1936^2)</f>
        <v>1.35282420986187</v>
      </c>
      <c r="E1936" s="72" t="n">
        <f aca="false">20*LOG10(MAX(D1936,0.000000000001)/$K$3)</f>
        <v>2.62482733406655</v>
      </c>
      <c r="F1936" s="5"/>
      <c r="G1936" s="5"/>
      <c r="H1936" s="5"/>
      <c r="I1936" s="5"/>
      <c r="J1936" s="5"/>
      <c r="K1936" s="5"/>
      <c r="L1936" s="5"/>
      <c r="M1936" s="5"/>
      <c r="N1936" s="5"/>
    </row>
    <row r="1937" customFormat="false" ht="15" hidden="false" customHeight="false" outlineLevel="0" collapsed="false">
      <c r="A1937" s="71" t="n">
        <f aca="false">A1936+$F$3</f>
        <v>38620</v>
      </c>
      <c r="B1937" s="71" t="n">
        <f aca="false">SUMPRODUCT(固有振動数!$Q$6:$Q$22*(1-($A1937/固有振動数!$O$6:$O$22)^2)/((1-($A1937/固有振動数!$O$6:$O$22)^2)^2+固有振動数!$P$6:$P$22^2))</f>
        <v>-1.15963080664925</v>
      </c>
      <c r="C1937" s="71" t="n">
        <f aca="false">-SUMPRODUCT(固有振動数!$Q$6:$Q$22*固有振動数!$P$6:$P$22/((1-($A1937/固有振動数!$O$6:$O$22)^2)^2+固有振動数!$P$6:$P$22^2))</f>
        <v>-0.579204880262892</v>
      </c>
      <c r="D1937" s="71" t="n">
        <f aca="false">SQRT(B1937^2+C1937^2)</f>
        <v>1.29623373704372</v>
      </c>
      <c r="E1937" s="72" t="n">
        <f aca="false">20*LOG10(MAX(D1937,0.000000000001)/$K$3)</f>
        <v>2.25366641272146</v>
      </c>
      <c r="F1937" s="5"/>
      <c r="G1937" s="5"/>
      <c r="H1937" s="5"/>
      <c r="I1937" s="5"/>
      <c r="J1937" s="5"/>
      <c r="K1937" s="5"/>
      <c r="L1937" s="5"/>
      <c r="M1937" s="5"/>
      <c r="N1937" s="5"/>
    </row>
    <row r="1938" customFormat="false" ht="15" hidden="false" customHeight="false" outlineLevel="0" collapsed="false">
      <c r="A1938" s="71" t="n">
        <f aca="false">A1937+$F$3</f>
        <v>38640</v>
      </c>
      <c r="B1938" s="71" t="n">
        <f aca="false">SUMPRODUCT(固有振動数!$Q$6:$Q$22*(1-($A1938/固有振動数!$O$6:$O$22)^2)/((1-($A1938/固有振動数!$O$6:$O$22)^2)^2+固有振動数!$P$6:$P$22^2))</f>
        <v>-1.09892754631866</v>
      </c>
      <c r="C1938" s="71" t="n">
        <f aca="false">-SUMPRODUCT(固有振動数!$Q$6:$Q$22*固有振動数!$P$6:$P$22/((1-($A1938/固有振動数!$O$6:$O$22)^2)^2+固有振動数!$P$6:$P$22^2))</f>
        <v>-0.575594440119344</v>
      </c>
      <c r="D1938" s="71" t="n">
        <f aca="false">SQRT(B1938^2+C1938^2)</f>
        <v>1.24054452219751</v>
      </c>
      <c r="E1938" s="72" t="n">
        <f aca="false">20*LOG10(MAX(D1938,0.000000000001)/$K$3)</f>
        <v>1.87224710771833</v>
      </c>
      <c r="F1938" s="5"/>
      <c r="G1938" s="5"/>
      <c r="H1938" s="5"/>
      <c r="I1938" s="5"/>
      <c r="J1938" s="5"/>
      <c r="K1938" s="5"/>
      <c r="L1938" s="5"/>
      <c r="M1938" s="5"/>
      <c r="N1938" s="5"/>
    </row>
    <row r="1939" customFormat="false" ht="15" hidden="false" customHeight="false" outlineLevel="0" collapsed="false">
      <c r="A1939" s="71" t="n">
        <f aca="false">A1938+$F$3</f>
        <v>38660</v>
      </c>
      <c r="B1939" s="71" t="n">
        <f aca="false">SUMPRODUCT(固有振動数!$Q$6:$Q$22*(1-($A1939/固有振動数!$O$6:$O$22)^2)/((1-($A1939/固有振動数!$O$6:$O$22)^2)^2+固有振動数!$P$6:$P$22^2))</f>
        <v>-1.03868188974877</v>
      </c>
      <c r="C1939" s="71" t="n">
        <f aca="false">-SUMPRODUCT(固有振動数!$Q$6:$Q$22*固有振動数!$P$6:$P$22/((1-($A1939/固有振動数!$O$6:$O$22)^2)^2+固有振動数!$P$6:$P$22^2))</f>
        <v>-0.572070578333682</v>
      </c>
      <c r="D1939" s="71" t="n">
        <f aca="false">SQRT(B1939^2+C1939^2)</f>
        <v>1.18580133862595</v>
      </c>
      <c r="E1939" s="72" t="n">
        <f aca="false">20*LOG10(MAX(D1939,0.000000000001)/$K$3)</f>
        <v>1.48023872550081</v>
      </c>
      <c r="F1939" s="5"/>
      <c r="G1939" s="5"/>
      <c r="H1939" s="5"/>
      <c r="I1939" s="5"/>
      <c r="J1939" s="5"/>
      <c r="K1939" s="5"/>
      <c r="L1939" s="5"/>
      <c r="M1939" s="5"/>
      <c r="N1939" s="5"/>
    </row>
    <row r="1940" customFormat="false" ht="15" hidden="false" customHeight="false" outlineLevel="0" collapsed="false">
      <c r="A1940" s="71" t="n">
        <f aca="false">A1939+$F$3</f>
        <v>38680</v>
      </c>
      <c r="B1940" s="71" t="n">
        <f aca="false">SUMPRODUCT(固有振動数!$Q$6:$Q$22*(1-($A1940/固有振動数!$O$6:$O$22)^2)/((1-($A1940/固有振動数!$O$6:$O$22)^2)^2+固有振動数!$P$6:$P$22^2))</f>
        <v>-0.978884226356208</v>
      </c>
      <c r="C1940" s="71" t="n">
        <f aca="false">-SUMPRODUCT(固有振動数!$Q$6:$Q$22*固有振動数!$P$6:$P$22/((1-($A1940/固有振動数!$O$6:$O$22)^2)^2+固有振動数!$P$6:$P$22^2))</f>
        <v>-0.568631306677736</v>
      </c>
      <c r="D1940" s="71" t="n">
        <f aca="false">SQRT(B1940^2+C1940^2)</f>
        <v>1.13205825448297</v>
      </c>
      <c r="E1940" s="72" t="n">
        <f aca="false">20*LOG10(MAX(D1940,0.000000000001)/$K$3)</f>
        <v>1.07737551495216</v>
      </c>
      <c r="F1940" s="5"/>
      <c r="G1940" s="5"/>
      <c r="H1940" s="5"/>
      <c r="I1940" s="5"/>
      <c r="J1940" s="5"/>
      <c r="K1940" s="5"/>
      <c r="L1940" s="5"/>
      <c r="M1940" s="5"/>
      <c r="N1940" s="5"/>
    </row>
    <row r="1941" customFormat="false" ht="15" hidden="false" customHeight="false" outlineLevel="0" collapsed="false">
      <c r="A1941" s="71" t="n">
        <f aca="false">A1940+$F$3</f>
        <v>38700</v>
      </c>
      <c r="B1941" s="71" t="n">
        <f aca="false">SUMPRODUCT(固有振動数!$Q$6:$Q$22*(1-($A1941/固有振動数!$O$6:$O$22)^2)/((1-($A1941/固有振動数!$O$6:$O$22)^2)^2+固有振動数!$P$6:$P$22^2))</f>
        <v>-0.919525165769496</v>
      </c>
      <c r="C1941" s="71" t="n">
        <f aca="false">-SUMPRODUCT(固有振動数!$Q$6:$Q$22*固有振動数!$P$6:$P$22/((1-($A1941/固有振動数!$O$6:$O$22)^2)^2+固有振動数!$P$6:$P$22^2))</f>
        <v>-0.56527470109978</v>
      </c>
      <c r="D1941" s="71" t="n">
        <f aca="false">SQRT(B1941^2+C1941^2)</f>
        <v>1.0793803862341</v>
      </c>
      <c r="E1941" s="72" t="n">
        <f aca="false">20*LOG10(MAX(D1941,0.000000000001)/$K$3)</f>
        <v>0.663490441941798</v>
      </c>
      <c r="F1941" s="5"/>
      <c r="G1941" s="5"/>
      <c r="H1941" s="5"/>
      <c r="I1941" s="5"/>
      <c r="J1941" s="5"/>
      <c r="K1941" s="5"/>
      <c r="L1941" s="5"/>
      <c r="M1941" s="5"/>
      <c r="N1941" s="5"/>
    </row>
    <row r="1942" customFormat="false" ht="15" hidden="false" customHeight="false" outlineLevel="0" collapsed="false">
      <c r="A1942" s="71" t="n">
        <f aca="false">A1941+$F$3</f>
        <v>38720</v>
      </c>
      <c r="B1942" s="71" t="n">
        <f aca="false">SUMPRODUCT(固有振動数!$Q$6:$Q$22*(1-($A1942/固有振動数!$O$6:$O$22)^2)/((1-($A1942/固有振動数!$O$6:$O$22)^2)^2+固有振動数!$P$6:$P$22^2))</f>
        <v>-0.860595530936407</v>
      </c>
      <c r="C1942" s="71" t="n">
        <f aca="false">-SUMPRODUCT(固有振動数!$Q$6:$Q$22*固有振動数!$P$6:$P$22/((1-($A1942/固有振動数!$O$6:$O$22)^2)^2+固有振動数!$P$6:$P$22^2))</f>
        <v>-0.561998899359437</v>
      </c>
      <c r="D1942" s="71" t="n">
        <f aca="false">SQRT(B1942^2+C1942^2)</f>
        <v>1.0278460150961</v>
      </c>
      <c r="E1942" s="72" t="n">
        <f aca="false">20*LOG10(MAX(D1942,0.000000000001)/$K$3)</f>
        <v>0.238561129699276</v>
      </c>
      <c r="F1942" s="5"/>
      <c r="G1942" s="5"/>
      <c r="H1942" s="5"/>
      <c r="I1942" s="5"/>
      <c r="J1942" s="5"/>
      <c r="K1942" s="5"/>
      <c r="L1942" s="5"/>
      <c r="M1942" s="5"/>
      <c r="N1942" s="5"/>
    </row>
    <row r="1943" customFormat="false" ht="15" hidden="false" customHeight="false" outlineLevel="0" collapsed="false">
      <c r="A1943" s="71" t="n">
        <f aca="false">A1942+$F$3</f>
        <v>38740</v>
      </c>
      <c r="B1943" s="71" t="n">
        <f aca="false">SUMPRODUCT(固有振動数!$Q$6:$Q$22*(1-($A1943/固有振動数!$O$6:$O$22)^2)/((1-($A1943/固有振動数!$O$6:$O$22)^2)^2+固有振動数!$P$6:$P$22^2))</f>
        <v>-0.802086351480538</v>
      </c>
      <c r="C1943" s="71" t="n">
        <f aca="false">-SUMPRODUCT(固有振動数!$Q$6:$Q$22*固有振動数!$P$6:$P$22/((1-($A1943/固有振動数!$O$6:$O$22)^2)^2+固有振動数!$P$6:$P$22^2))</f>
        <v>-0.558802098765432</v>
      </c>
      <c r="D1943" s="71" t="n">
        <f aca="false">SQRT(B1943^2+C1943^2)</f>
        <v>0.977549129617541</v>
      </c>
      <c r="E1943" s="72" t="n">
        <f aca="false">20*LOG10(MAX(D1943,0.000000000001)/$K$3)</f>
        <v>-0.197228132644628</v>
      </c>
      <c r="F1943" s="5"/>
      <c r="G1943" s="5"/>
      <c r="H1943" s="5"/>
      <c r="I1943" s="5"/>
      <c r="J1943" s="5"/>
      <c r="K1943" s="5"/>
      <c r="L1943" s="5"/>
      <c r="M1943" s="5"/>
      <c r="N1943" s="5"/>
    </row>
    <row r="1944" customFormat="false" ht="15" hidden="false" customHeight="false" outlineLevel="0" collapsed="false">
      <c r="A1944" s="71" t="n">
        <f aca="false">A1943+$F$3</f>
        <v>38760</v>
      </c>
      <c r="B1944" s="71" t="n">
        <f aca="false">SUMPRODUCT(固有振動数!$Q$6:$Q$22*(1-($A1944/固有振動数!$O$6:$O$22)^2)/((1-($A1944/固有振動数!$O$6:$O$22)^2)^2+固有振動数!$P$6:$P$22^2))</f>
        <v>-0.743988857296483</v>
      </c>
      <c r="C1944" s="71" t="n">
        <f aca="false">-SUMPRODUCT(固有振動数!$Q$6:$Q$22*固有振動数!$P$6:$P$22/((1-($A1944/固有振動数!$O$6:$O$22)^2)^2+固有振動数!$P$6:$P$22^2))</f>
        <v>-0.555682554011183</v>
      </c>
      <c r="D1944" s="71" t="n">
        <f aca="false">SQRT(B1944^2+C1944^2)</f>
        <v>0.928602455636273</v>
      </c>
      <c r="E1944" s="72" t="n">
        <f aca="false">20*LOG10(MAX(D1944,0.000000000001)/$K$3)</f>
        <v>-0.643403444026381</v>
      </c>
      <c r="F1944" s="5"/>
      <c r="G1944" s="5"/>
      <c r="H1944" s="5"/>
      <c r="I1944" s="5"/>
      <c r="J1944" s="5"/>
      <c r="K1944" s="5"/>
      <c r="L1944" s="5"/>
      <c r="M1944" s="5"/>
      <c r="N1944" s="5"/>
    </row>
    <row r="1945" customFormat="false" ht="15" hidden="false" customHeight="false" outlineLevel="0" collapsed="false">
      <c r="A1945" s="71" t="n">
        <f aca="false">A1944+$F$3</f>
        <v>38780</v>
      </c>
      <c r="B1945" s="71" t="n">
        <f aca="false">SUMPRODUCT(固有振動数!$Q$6:$Q$22*(1-($A1945/固有振動数!$O$6:$O$22)^2)/((1-($A1945/固有振動数!$O$6:$O$22)^2)^2+固有振動数!$P$6:$P$22^2))</f>
        <v>-0.686294472373549</v>
      </c>
      <c r="C1945" s="71" t="n">
        <f aca="false">-SUMPRODUCT(固有振動数!$Q$6:$Q$22*固有振動数!$P$6:$P$22/((1-($A1945/固有振動数!$O$6:$O$22)^2)^2+固有振動数!$P$6:$P$22^2))</f>
        <v>-0.552638575103437</v>
      </c>
      <c r="D1945" s="71" t="n">
        <f aca="false">SQRT(B1945^2+C1945^2)</f>
        <v>0.881141020213476</v>
      </c>
      <c r="E1945" s="72" t="n">
        <f aca="false">20*LOG10(MAX(D1945,0.000000000001)/$K$3)</f>
        <v>-1.09909160702725</v>
      </c>
      <c r="F1945" s="5"/>
      <c r="G1945" s="5"/>
      <c r="H1945" s="5"/>
      <c r="I1945" s="5"/>
      <c r="J1945" s="5"/>
      <c r="K1945" s="5"/>
      <c r="L1945" s="5"/>
      <c r="M1945" s="5"/>
      <c r="N1945" s="5"/>
    </row>
    <row r="1946" customFormat="false" ht="15" hidden="false" customHeight="false" outlineLevel="0" collapsed="false">
      <c r="A1946" s="71" t="n">
        <f aca="false">A1945+$F$3</f>
        <v>38800</v>
      </c>
      <c r="B1946" s="71" t="n">
        <f aca="false">SUMPRODUCT(固有振動数!$Q$6:$Q$22*(1-($A1946/固有振動数!$O$6:$O$22)^2)/((1-($A1946/固有振動数!$O$6:$O$22)^2)^2+固有振動数!$P$6:$P$22^2))</f>
        <v>-0.628994808838388</v>
      </c>
      <c r="C1946" s="71" t="n">
        <f aca="false">-SUMPRODUCT(固有振動数!$Q$6:$Q$22*固有振動数!$P$6:$P$22/((1-($A1946/固有振動数!$O$6:$O$22)^2)^2+固有振動数!$P$6:$P$22^2))</f>
        <v>-0.549668525379462</v>
      </c>
      <c r="D1946" s="71" t="n">
        <f aca="false">SQRT(B1946^2+C1946^2)</f>
        <v>0.835326258020465</v>
      </c>
      <c r="E1946" s="72" t="n">
        <f aca="false">20*LOG10(MAX(D1946,0.000000000001)/$K$3)</f>
        <v>-1.56287733143852</v>
      </c>
      <c r="F1946" s="5"/>
      <c r="G1946" s="5"/>
      <c r="H1946" s="5"/>
      <c r="I1946" s="5"/>
      <c r="J1946" s="5"/>
      <c r="K1946" s="5"/>
      <c r="L1946" s="5"/>
      <c r="M1946" s="5"/>
      <c r="N1946" s="5"/>
    </row>
    <row r="1947" customFormat="false" ht="15" hidden="false" customHeight="false" outlineLevel="0" collapsed="false">
      <c r="A1947" s="71" t="n">
        <f aca="false">A1946+$F$3</f>
        <v>38820</v>
      </c>
      <c r="B1947" s="71" t="n">
        <f aca="false">SUMPRODUCT(固有振動数!$Q$6:$Q$22*(1-($A1947/固有振動数!$O$6:$O$22)^2)/((1-($A1947/固有振動数!$O$6:$O$22)^2)^2+固有振動数!$P$6:$P$22^2))</f>
        <v>-0.572081661207493</v>
      </c>
      <c r="C1947" s="71" t="n">
        <f aca="false">-SUMPRODUCT(固有振動数!$Q$6:$Q$22*固有振動数!$P$6:$P$22/((1-($A1947/固有振動数!$O$6:$O$22)^2)^2+固有振動数!$P$6:$P$22^2))</f>
        <v>-0.546770819608528</v>
      </c>
      <c r="D1947" s="71" t="n">
        <f aca="false">SQRT(B1947^2+C1947^2)</f>
        <v>0.791350589982282</v>
      </c>
      <c r="E1947" s="72" t="n">
        <f aca="false">20*LOG10(MAX(D1947,0.000000000001)/$K$3)</f>
        <v>-2.03262139042029</v>
      </c>
      <c r="F1947" s="5"/>
      <c r="G1947" s="5"/>
      <c r="H1947" s="5"/>
      <c r="I1947" s="5"/>
      <c r="J1947" s="5"/>
      <c r="K1947" s="5"/>
      <c r="L1947" s="5"/>
      <c r="M1947" s="5"/>
      <c r="N1947" s="5"/>
    </row>
    <row r="1948" customFormat="false" ht="15" hidden="false" customHeight="false" outlineLevel="0" collapsed="false">
      <c r="A1948" s="71" t="n">
        <f aca="false">A1947+$F$3</f>
        <v>38840</v>
      </c>
      <c r="B1948" s="71" t="n">
        <f aca="false">SUMPRODUCT(固有振動数!$Q$6:$Q$22*(1-($A1948/固有振動数!$O$6:$O$22)^2)/((1-($A1948/固有振動数!$O$6:$O$22)^2)^2+固有振動数!$P$6:$P$22^2))</f>
        <v>-0.515547000840713</v>
      </c>
      <c r="C1948" s="71" t="n">
        <f aca="false">-SUMPRODUCT(固有振動数!$Q$6:$Q$22*固有振動数!$P$6:$P$22/((1-($A1948/固有振動数!$O$6:$O$22)^2)^2+固有振動数!$P$6:$P$22^2))</f>
        <v>-0.543943922173644</v>
      </c>
      <c r="D1948" s="71" t="n">
        <f aca="false">SQRT(B1948^2+C1948^2)</f>
        <v>0.749442259647467</v>
      </c>
      <c r="E1948" s="72" t="n">
        <f aca="false">20*LOG10(MAX(D1948,0.000000000001)/$K$3)</f>
        <v>-2.50523642996203</v>
      </c>
      <c r="F1948" s="5"/>
      <c r="G1948" s="5"/>
      <c r="H1948" s="5"/>
      <c r="I1948" s="5"/>
      <c r="J1948" s="5"/>
      <c r="K1948" s="5"/>
      <c r="L1948" s="5"/>
      <c r="M1948" s="5"/>
      <c r="N1948" s="5"/>
    </row>
    <row r="1949" customFormat="false" ht="15" hidden="false" customHeight="false" outlineLevel="0" collapsed="false">
      <c r="A1949" s="71" t="n">
        <f aca="false">A1948+$F$3</f>
        <v>38860</v>
      </c>
      <c r="B1949" s="71" t="n">
        <f aca="false">SUMPRODUCT(固有振動数!$Q$6:$Q$22*(1-($A1949/固有振動数!$O$6:$O$22)^2)/((1-($A1949/固有振動数!$O$6:$O$22)^2)^2+固有振動数!$P$6:$P$22^2))</f>
        <v>-0.459382970587654</v>
      </c>
      <c r="C1949" s="71" t="n">
        <f aca="false">-SUMPRODUCT(固有振動数!$Q$6:$Q$22*固有振動数!$P$6:$P$22/((1-($A1949/固有振動数!$O$6:$O$22)^2)^2+固有振動数!$P$6:$P$22^2))</f>
        <v>-0.541186345329752</v>
      </c>
      <c r="D1949" s="71" t="n">
        <f aca="false">SQRT(B1949^2+C1949^2)</f>
        <v>0.70986996980948</v>
      </c>
      <c r="E1949" s="72" t="n">
        <f aca="false">20*LOG10(MAX(D1949,0.000000000001)/$K$3)</f>
        <v>-2.97642391480081</v>
      </c>
      <c r="F1949" s="5"/>
      <c r="G1949" s="5"/>
      <c r="H1949" s="5"/>
      <c r="I1949" s="5"/>
      <c r="J1949" s="5"/>
      <c r="K1949" s="5"/>
      <c r="L1949" s="5"/>
      <c r="M1949" s="5"/>
      <c r="N1949" s="5"/>
    </row>
    <row r="1950" customFormat="false" ht="15" hidden="false" customHeight="false" outlineLevel="0" collapsed="false">
      <c r="A1950" s="71" t="n">
        <f aca="false">A1949+$F$3</f>
        <v>38880</v>
      </c>
      <c r="B1950" s="71" t="n">
        <f aca="false">SUMPRODUCT(固有振動数!$Q$6:$Q$22*(1-($A1950/固有振動数!$O$6:$O$22)^2)/((1-($A1950/固有振動数!$O$6:$O$22)^2)^2+固有振動数!$P$6:$P$22^2))</f>
        <v>-0.403581879618856</v>
      </c>
      <c r="C1950" s="71" t="n">
        <f aca="false">-SUMPRODUCT(固有振動数!$Q$6:$Q$22*固有振動数!$P$6:$P$22/((1-($A1950/固有振動数!$O$6:$O$22)^2)^2+固有振動数!$P$6:$P$22^2))</f>
        <v>-0.538496647534736</v>
      </c>
      <c r="D1950" s="71" t="n">
        <f aca="false">SQRT(B1950^2+C1950^2)</f>
        <v>0.672946485957716</v>
      </c>
      <c r="E1950" s="72" t="n">
        <f aca="false">20*LOG10(MAX(D1950,0.000000000001)/$K$3)</f>
        <v>-3.44038940726856</v>
      </c>
      <c r="F1950" s="5"/>
      <c r="G1950" s="5"/>
      <c r="H1950" s="5"/>
      <c r="I1950" s="5"/>
      <c r="J1950" s="5"/>
      <c r="K1950" s="5"/>
      <c r="L1950" s="5"/>
      <c r="M1950" s="5"/>
      <c r="N1950" s="5"/>
    </row>
    <row r="1951" customFormat="false" ht="15" hidden="false" customHeight="false" outlineLevel="0" collapsed="false">
      <c r="A1951" s="71" t="n">
        <f aca="false">A1950+$F$3</f>
        <v>38900</v>
      </c>
      <c r="B1951" s="71" t="n">
        <f aca="false">SUMPRODUCT(固有振動数!$Q$6:$Q$22*(1-($A1951/固有振動数!$O$6:$O$22)^2)/((1-($A1951/固有振動数!$O$6:$O$22)^2)^2+固有振動数!$P$6:$P$22^2))</f>
        <v>-0.348136198434387</v>
      </c>
      <c r="C1951" s="71" t="n">
        <f aca="false">-SUMPRODUCT(固有振動数!$Q$6:$Q$22*固有振動数!$P$6:$P$22/((1-($A1951/固有振動数!$O$6:$O$22)^2)^2+固有振動数!$P$6:$P$22^2))</f>
        <v>-0.535873431849861</v>
      </c>
      <c r="D1951" s="71" t="n">
        <f aca="false">SQRT(B1951^2+C1951^2)</f>
        <v>0.63902984877304</v>
      </c>
      <c r="E1951" s="72" t="n">
        <f aca="false">20*LOG10(MAX(D1951,0.000000000001)/$K$3)</f>
        <v>-3.88957711368123</v>
      </c>
      <c r="F1951" s="5"/>
      <c r="G1951" s="5"/>
      <c r="H1951" s="5"/>
      <c r="I1951" s="5"/>
      <c r="J1951" s="5"/>
      <c r="K1951" s="5"/>
      <c r="L1951" s="5"/>
      <c r="M1951" s="5"/>
      <c r="N1951" s="5"/>
    </row>
    <row r="1952" customFormat="false" ht="15" hidden="false" customHeight="false" outlineLevel="0" collapsed="false">
      <c r="A1952" s="71" t="n">
        <f aca="false">A1951+$F$3</f>
        <v>38920</v>
      </c>
      <c r="B1952" s="71" t="n">
        <f aca="false">SUMPRODUCT(固有振動数!$Q$6:$Q$22*(1-($A1952/固有振動数!$O$6:$O$22)^2)/((1-($A1952/固有振動数!$O$6:$O$22)^2)^2+固有振動数!$P$6:$P$22^2))</f>
        <v>-0.293038554042454</v>
      </c>
      <c r="C1952" s="71" t="n">
        <f aca="false">-SUMPRODUCT(固有振動数!$Q$6:$Q$22*固有振動数!$P$6:$P$22/((1-($A1952/固有振動数!$O$6:$O$22)^2)^2+固有振動数!$P$6:$P$22^2))</f>
        <v>-0.533315344406373</v>
      </c>
      <c r="D1952" s="71" t="n">
        <f aca="false">SQRT(B1952^2+C1952^2)</f>
        <v>0.608520213907953</v>
      </c>
      <c r="E1952" s="72" t="n">
        <f aca="false">20*LOG10(MAX(D1952,0.000000000001)/$K$3)</f>
        <v>-4.31449981481235</v>
      </c>
      <c r="F1952" s="5"/>
      <c r="G1952" s="5"/>
      <c r="H1952" s="5"/>
      <c r="I1952" s="5"/>
      <c r="J1952" s="5"/>
      <c r="K1952" s="5"/>
      <c r="L1952" s="5"/>
      <c r="M1952" s="5"/>
      <c r="N1952" s="5"/>
    </row>
    <row r="1953" customFormat="false" ht="15" hidden="false" customHeight="false" outlineLevel="0" collapsed="false">
      <c r="A1953" s="71" t="n">
        <f aca="false">A1952+$F$3</f>
        <v>38940</v>
      </c>
      <c r="B1953" s="71" t="n">
        <f aca="false">SUMPRODUCT(固有振動数!$Q$6:$Q$22*(1-($A1953/固有振動数!$O$6:$O$22)^2)/((1-($A1953/固有振動数!$O$6:$O$22)^2)^2+固有振動数!$P$6:$P$22^2))</f>
        <v>-0.238281725301397</v>
      </c>
      <c r="C1953" s="71" t="n">
        <f aca="false">-SUMPRODUCT(固有振動数!$Q$6:$Q$22*固有振動数!$P$6:$P$22/((1-($A1953/固有振動数!$O$6:$O$22)^2)^2+固有振動数!$P$6:$P$22^2))</f>
        <v>-0.530821072935218</v>
      </c>
      <c r="D1953" s="71" t="n">
        <f aca="false">SQRT(B1953^2+C1953^2)</f>
        <v>0.581849801997652</v>
      </c>
      <c r="E1953" s="72" t="n">
        <f aca="false">20*LOG10(MAX(D1953,0.000000000001)/$K$3)</f>
        <v>-4.70378218267598</v>
      </c>
      <c r="F1953" s="5"/>
      <c r="G1953" s="5"/>
      <c r="H1953" s="5"/>
      <c r="I1953" s="5"/>
      <c r="J1953" s="5"/>
      <c r="K1953" s="5"/>
      <c r="L1953" s="5"/>
      <c r="M1953" s="5"/>
      <c r="N1953" s="5"/>
    </row>
    <row r="1954" customFormat="false" ht="15" hidden="false" customHeight="false" outlineLevel="0" collapsed="false">
      <c r="A1954" s="71" t="n">
        <f aca="false">A1953+$F$3</f>
        <v>38960</v>
      </c>
      <c r="B1954" s="71" t="n">
        <f aca="false">SUMPRODUCT(固有振動数!$Q$6:$Q$22*(1-($A1954/固有振動数!$O$6:$O$22)^2)/((1-($A1954/固有振動数!$O$6:$O$22)^2)^2+固有振動数!$P$6:$P$22^2))</f>
        <v>-0.183858638418198</v>
      </c>
      <c r="C1954" s="71" t="n">
        <f aca="false">-SUMPRODUCT(固有振動数!$Q$6:$Q$22*固有振動数!$P$6:$P$22/((1-($A1954/固有振動数!$O$6:$O$22)^2)^2+固有振動数!$P$6:$P$22^2))</f>
        <v>-0.528389345356939</v>
      </c>
      <c r="D1954" s="71" t="n">
        <f aca="false">SQRT(B1954^2+C1954^2)</f>
        <v>0.559463402920806</v>
      </c>
      <c r="E1954" s="72" t="n">
        <f aca="false">20*LOG10(MAX(D1954,0.000000000001)/$K$3)</f>
        <v>-5.04456634819549</v>
      </c>
      <c r="F1954" s="5"/>
      <c r="G1954" s="5"/>
      <c r="H1954" s="5"/>
      <c r="I1954" s="5"/>
      <c r="J1954" s="5"/>
      <c r="K1954" s="5"/>
      <c r="L1954" s="5"/>
      <c r="M1954" s="5"/>
      <c r="N1954" s="5"/>
    </row>
    <row r="1955" customFormat="false" ht="15" hidden="false" customHeight="false" outlineLevel="0" collapsed="false">
      <c r="A1955" s="71" t="n">
        <f aca="false">A1954+$F$3</f>
        <v>38980</v>
      </c>
      <c r="B1955" s="71" t="n">
        <f aca="false">SUMPRODUCT(固有振動数!$Q$6:$Q$22*(1-($A1955/固有振動数!$O$6:$O$22)^2)/((1-($A1955/固有振動数!$O$6:$O$22)^2)^2+固有振動数!$P$6:$P$22^2))</f>
        <v>-0.129762362597529</v>
      </c>
      <c r="C1955" s="71" t="n">
        <f aca="false">-SUMPRODUCT(固有振動数!$Q$6:$Q$22*固有振動数!$P$6:$P$22/((1-($A1955/固有振動数!$O$6:$O$22)^2)^2+固有振動数!$P$6:$P$22^2))</f>
        <v>-0.526018928429026</v>
      </c>
      <c r="D1955" s="71" t="n">
        <f aca="false">SQRT(B1955^2+C1955^2)</f>
        <v>0.541787950966532</v>
      </c>
      <c r="E1955" s="72" t="n">
        <f aca="false">20*LOG10(MAX(D1955,0.000000000001)/$K$3)</f>
        <v>-5.32341315279508</v>
      </c>
      <c r="F1955" s="5"/>
      <c r="G1955" s="5"/>
      <c r="H1955" s="5"/>
      <c r="I1955" s="5"/>
      <c r="J1955" s="5"/>
      <c r="K1955" s="5"/>
      <c r="L1955" s="5"/>
      <c r="M1955" s="5"/>
      <c r="N1955" s="5"/>
    </row>
    <row r="1956" customFormat="false" ht="15" hidden="false" customHeight="false" outlineLevel="0" collapsed="false">
      <c r="A1956" s="71" t="n">
        <f aca="false">A1955+$F$3</f>
        <v>39000</v>
      </c>
      <c r="B1956" s="71" t="n">
        <f aca="false">SUMPRODUCT(固有振動数!$Q$6:$Q$22*(1-($A1956/固有振動数!$O$6:$O$22)^2)/((1-($A1956/固有振動数!$O$6:$O$22)^2)^2+固有振動数!$P$6:$P$22^2))</f>
        <v>-0.0759861058351695</v>
      </c>
      <c r="C1956" s="71" t="n">
        <f aca="false">-SUMPRODUCT(固有振動数!$Q$6:$Q$22*固有振動数!$P$6:$P$22/((1-($A1956/固有振動数!$O$6:$O$22)^2)^2+固有振動数!$P$6:$P$22^2))</f>
        <v>-0.523708626448068</v>
      </c>
      <c r="D1956" s="71" t="n">
        <f aca="false">SQRT(B1956^2+C1956^2)</f>
        <v>0.529192416514178</v>
      </c>
      <c r="E1956" s="72" t="n">
        <f aca="false">20*LOG10(MAX(D1956,0.000000000001)/$K$3)</f>
        <v>-5.52772776019882</v>
      </c>
      <c r="F1956" s="5"/>
      <c r="G1956" s="5"/>
      <c r="H1956" s="5"/>
      <c r="I1956" s="5"/>
      <c r="J1956" s="5"/>
      <c r="K1956" s="5"/>
      <c r="L1956" s="5"/>
      <c r="M1956" s="5"/>
      <c r="N1956" s="5"/>
    </row>
    <row r="1957" customFormat="false" ht="15" hidden="false" customHeight="false" outlineLevel="0" collapsed="false">
      <c r="A1957" s="71" t="n">
        <f aca="false">A1956+$F$3</f>
        <v>39020</v>
      </c>
      <c r="B1957" s="71" t="n">
        <f aca="false">SUMPRODUCT(固有振動数!$Q$6:$Q$22*(1-($A1957/固有振動数!$O$6:$O$22)^2)/((1-($A1957/固有振動数!$O$6:$O$22)^2)^2+固有振動数!$P$6:$P$22^2))</f>
        <v>-0.0225232108501022</v>
      </c>
      <c r="C1957" s="71" t="n">
        <f aca="false">-SUMPRODUCT(固有振動数!$Q$6:$Q$22*固有振動数!$P$6:$P$22/((1-($A1957/固有振動数!$O$6:$O$22)^2)^2+固有振動数!$P$6:$P$22^2))</f>
        <v>-0.521457280004257</v>
      </c>
      <c r="D1957" s="71" t="n">
        <f aca="false">SQRT(B1957^2+C1957^2)</f>
        <v>0.521943473851753</v>
      </c>
      <c r="E1957" s="72" t="n">
        <f aca="false">20*LOG10(MAX(D1957,0.000000000001)/$K$3)</f>
        <v>-5.64753056537771</v>
      </c>
      <c r="F1957" s="5"/>
      <c r="G1957" s="5"/>
      <c r="H1957" s="5"/>
      <c r="I1957" s="5"/>
      <c r="J1957" s="5"/>
      <c r="K1957" s="5"/>
      <c r="L1957" s="5"/>
      <c r="M1957" s="5"/>
      <c r="N1957" s="5"/>
    </row>
    <row r="1958" customFormat="false" ht="15" hidden="false" customHeight="false" outlineLevel="0" collapsed="false">
      <c r="A1958" s="71" t="n">
        <f aca="false">A1957+$F$3</f>
        <v>39040</v>
      </c>
      <c r="B1958" s="71" t="n">
        <f aca="false">SUMPRODUCT(固有振動数!$Q$6:$Q$22*(1-($A1958/固有振動数!$O$6:$O$22)^2)/((1-($A1958/固有振動数!$O$6:$O$22)^2)^2+固有振動数!$P$6:$P$22^2))</f>
        <v>0.0306328488500952</v>
      </c>
      <c r="C1958" s="71" t="n">
        <f aca="false">-SUMPRODUCT(固有振動数!$Q$6:$Q$22*固有振動数!$P$6:$P$22/((1-($A1958/固有振動数!$O$6:$O$22)^2)^2+固有振動数!$P$6:$P$22^2))</f>
        <v>-0.519263764785865</v>
      </c>
      <c r="D1958" s="71" t="n">
        <f aca="false">SQRT(B1958^2+C1958^2)</f>
        <v>0.520166539531584</v>
      </c>
      <c r="E1958" s="72" t="n">
        <f aca="false">20*LOG10(MAX(D1958,0.000000000001)/$K$3)</f>
        <v>-5.67715175730392</v>
      </c>
      <c r="F1958" s="5"/>
      <c r="G1958" s="5"/>
      <c r="H1958" s="5"/>
      <c r="I1958" s="5"/>
      <c r="J1958" s="5"/>
      <c r="K1958" s="5"/>
      <c r="L1958" s="5"/>
      <c r="M1958" s="5"/>
      <c r="N1958" s="5"/>
    </row>
    <row r="1959" customFormat="false" ht="15" hidden="false" customHeight="false" outlineLevel="0" collapsed="false">
      <c r="A1959" s="71" t="n">
        <f aca="false">A1958+$F$3</f>
        <v>39060</v>
      </c>
      <c r="B1959" s="71" t="n">
        <f aca="false">SUMPRODUCT(固有振動数!$Q$6:$Q$22*(1-($A1959/固有振動数!$O$6:$O$22)^2)/((1-($A1959/固有振動数!$O$6:$O$22)^2)^2+固有振動数!$P$6:$P$22^2))</f>
        <v>0.0834884727758716</v>
      </c>
      <c r="C1959" s="71" t="n">
        <f aca="false">-SUMPRODUCT(固有振動数!$Q$6:$Q$22*固有振動数!$P$6:$P$22/((1-($A1959/固有振動数!$O$6:$O$22)^2)^2+固有振動数!$P$6:$P$22^2))</f>
        <v>-0.517126990431472</v>
      </c>
      <c r="D1959" s="71" t="n">
        <f aca="false">SQRT(B1959^2+C1959^2)</f>
        <v>0.523823108805978</v>
      </c>
      <c r="E1959" s="72" t="n">
        <f aca="false">20*LOG10(MAX(D1959,0.000000000001)/$K$3)</f>
        <v>-5.61630692594603</v>
      </c>
      <c r="F1959" s="5"/>
      <c r="G1959" s="5"/>
      <c r="H1959" s="5"/>
      <c r="I1959" s="5"/>
      <c r="J1959" s="5"/>
      <c r="K1959" s="5"/>
      <c r="L1959" s="5"/>
      <c r="M1959" s="5"/>
      <c r="N1959" s="5"/>
    </row>
    <row r="1960" customFormat="false" ht="15" hidden="false" customHeight="false" outlineLevel="0" collapsed="false">
      <c r="A1960" s="71" t="n">
        <f aca="false">A1959+$F$3</f>
        <v>39080</v>
      </c>
      <c r="B1960" s="71" t="n">
        <f aca="false">SUMPRODUCT(固有振動数!$Q$6:$Q$22*(1-($A1960/固有振動数!$O$6:$O$22)^2)/((1-($A1960/固有振動数!$O$6:$O$22)^2)^2+固有振動数!$P$6:$P$22^2))</f>
        <v>0.136049937139326</v>
      </c>
      <c r="C1960" s="71" t="n">
        <f aca="false">-SUMPRODUCT(固有振動数!$Q$6:$Q$22*固有振動数!$P$6:$P$22/((1-($A1960/固有振動数!$O$6:$O$22)^2)^2+固有振動数!$P$6:$P$22^2))</f>
        <v>-0.515045899427806</v>
      </c>
      <c r="D1960" s="71" t="n">
        <f aca="false">SQRT(B1960^2+C1960^2)</f>
        <v>0.532711801927658</v>
      </c>
      <c r="E1960" s="72" t="n">
        <f aca="false">20*LOG10(MAX(D1960,0.000000000001)/$K$3)</f>
        <v>-5.47015363121608</v>
      </c>
      <c r="F1960" s="5"/>
      <c r="G1960" s="5"/>
      <c r="H1960" s="5"/>
      <c r="I1960" s="5"/>
      <c r="J1960" s="5"/>
      <c r="K1960" s="5"/>
      <c r="L1960" s="5"/>
      <c r="M1960" s="5"/>
      <c r="N1960" s="5"/>
    </row>
    <row r="1961" customFormat="false" ht="15" hidden="false" customHeight="false" outlineLevel="0" collapsed="false">
      <c r="A1961" s="71" t="n">
        <f aca="false">A1960+$F$3</f>
        <v>39100</v>
      </c>
      <c r="B1961" s="71" t="n">
        <f aca="false">SUMPRODUCT(固有振動数!$Q$6:$Q$22*(1-($A1961/固有振動数!$O$6:$O$22)^2)/((1-($A1961/固有振動数!$O$6:$O$22)^2)^2+固有振動数!$P$6:$P$22^2))</f>
        <v>0.188323398419571</v>
      </c>
      <c r="C1961" s="71" t="n">
        <f aca="false">-SUMPRODUCT(固有振動数!$Q$6:$Q$22*固有振動数!$P$6:$P$22/((1-($A1961/固有振動数!$O$6:$O$22)^2)^2+固有振動数!$P$6:$P$22^2))</f>
        <v>-0.513019466051199</v>
      </c>
      <c r="D1961" s="71" t="n">
        <f aca="false">SQRT(B1961^2+C1961^2)</f>
        <v>0.546493069434328</v>
      </c>
      <c r="E1961" s="72" t="n">
        <f aca="false">20*LOG10(MAX(D1961,0.000000000001)/$K$3)</f>
        <v>-5.24830682709483</v>
      </c>
      <c r="F1961" s="5"/>
      <c r="G1961" s="5"/>
      <c r="H1961" s="5"/>
      <c r="I1961" s="5"/>
      <c r="J1961" s="5"/>
      <c r="K1961" s="5"/>
      <c r="L1961" s="5"/>
      <c r="M1961" s="5"/>
      <c r="N1961" s="5"/>
    </row>
    <row r="1962" customFormat="false" ht="15" hidden="false" customHeight="false" outlineLevel="0" collapsed="false">
      <c r="A1962" s="71" t="n">
        <f aca="false">A1961+$F$3</f>
        <v>39120</v>
      </c>
      <c r="B1962" s="71" t="n">
        <f aca="false">SUMPRODUCT(固有振動数!$Q$6:$Q$22*(1-($A1962/固有振動数!$O$6:$O$22)^2)/((1-($A1962/固有振動数!$O$6:$O$22)^2)^2+固有振動数!$P$6:$P$22^2))</f>
        <v>0.240314896814433</v>
      </c>
      <c r="C1962" s="71" t="n">
        <f aca="false">-SUMPRODUCT(固有振動数!$Q$6:$Q$22*固有振動数!$P$6:$P$22/((1-($A1962/固有振動数!$O$6:$O$22)^2)^2+固有振動数!$P$6:$P$22^2))</f>
        <v>-0.511046695350722</v>
      </c>
      <c r="D1962" s="71" t="n">
        <f aca="false">SQRT(B1962^2+C1962^2)</f>
        <v>0.564730001381037</v>
      </c>
      <c r="E1962" s="72" t="n">
        <f aca="false">20*LOG10(MAX(D1962,0.000000000001)/$K$3)</f>
        <v>-4.96318279358429</v>
      </c>
      <c r="F1962" s="5"/>
      <c r="G1962" s="5"/>
      <c r="H1962" s="5"/>
      <c r="I1962" s="5"/>
      <c r="J1962" s="5"/>
      <c r="K1962" s="5"/>
      <c r="L1962" s="5"/>
      <c r="M1962" s="5"/>
      <c r="N1962" s="5"/>
    </row>
    <row r="1963" customFormat="false" ht="15" hidden="false" customHeight="false" outlineLevel="0" collapsed="false">
      <c r="A1963" s="71" t="n">
        <f aca="false">A1962+$F$3</f>
        <v>39140</v>
      </c>
      <c r="B1963" s="71" t="n">
        <f aca="false">SUMPRODUCT(固有振動数!$Q$6:$Q$22*(1-($A1963/固有振動数!$O$6:$O$22)^2)/((1-($A1963/固有振動数!$O$6:$O$22)^2)^2+固有振動数!$P$6:$P$22^2))</f>
        <v>0.292030359582869</v>
      </c>
      <c r="C1963" s="71" t="n">
        <f aca="false">-SUMPRODUCT(固有振動数!$Q$6:$Q$22*固有振動数!$P$6:$P$22/((1-($A1963/固有振動数!$O$6:$O$22)^2)^2+固有振動数!$P$6:$P$22^2))</f>
        <v>-0.509126622171197</v>
      </c>
      <c r="D1963" s="71" t="n">
        <f aca="false">SQRT(B1963^2+C1963^2)</f>
        <v>0.586934109011865</v>
      </c>
      <c r="E1963" s="72" t="n">
        <f aca="false">20*LOG10(MAX(D1963,0.000000000001)/$K$3)</f>
        <v>-4.62821302440915</v>
      </c>
      <c r="F1963" s="5"/>
      <c r="G1963" s="5"/>
      <c r="H1963" s="5"/>
      <c r="I1963" s="5"/>
      <c r="J1963" s="5"/>
      <c r="K1963" s="5"/>
      <c r="L1963" s="5"/>
      <c r="M1963" s="5"/>
      <c r="N1963" s="5"/>
    </row>
    <row r="1964" customFormat="false" ht="15" hidden="false" customHeight="false" outlineLevel="0" collapsed="false">
      <c r="A1964" s="71" t="n">
        <f aca="false">A1963+$F$3</f>
        <v>39160</v>
      </c>
      <c r="B1964" s="71" t="n">
        <f aca="false">SUMPRODUCT(固有振動数!$Q$6:$Q$22*(1-($A1964/固有振動数!$O$6:$O$22)^2)/((1-($A1964/固有振動数!$O$6:$O$22)^2)^2+固有振動数!$P$6:$P$22^2))</f>
        <v>0.343475604282235</v>
      </c>
      <c r="C1964" s="71" t="n">
        <f aca="false">-SUMPRODUCT(固有振動数!$Q$6:$Q$22*固有振動数!$P$6:$P$22/((1-($A1964/固有振動数!$O$6:$O$22)^2)^2+固有振動数!$P$6:$P$22^2))</f>
        <v>-0.507258310214333</v>
      </c>
      <c r="D1964" s="71" t="n">
        <f aca="false">SQRT(B1964^2+C1964^2)</f>
        <v>0.612606304259552</v>
      </c>
      <c r="E1964" s="72" t="n">
        <f aca="false">20*LOG10(MAX(D1964,0.000000000001)/$K$3)</f>
        <v>-4.25637076465852</v>
      </c>
      <c r="F1964" s="5"/>
      <c r="G1964" s="5"/>
      <c r="H1964" s="5"/>
      <c r="I1964" s="5"/>
      <c r="J1964" s="5"/>
      <c r="K1964" s="5"/>
      <c r="L1964" s="5"/>
      <c r="M1964" s="5"/>
      <c r="N1964" s="5"/>
    </row>
    <row r="1965" customFormat="false" ht="15" hidden="false" customHeight="false" outlineLevel="0" collapsed="false">
      <c r="A1965" s="71" t="n">
        <f aca="false">A1964+$F$3</f>
        <v>39180</v>
      </c>
      <c r="B1965" s="71" t="n">
        <f aca="false">SUMPRODUCT(固有振動数!$Q$6:$Q$22*(1-($A1965/固有振動数!$O$6:$O$22)^2)/((1-($A1965/固有振動数!$O$6:$O$22)^2)^2+固有振動数!$P$6:$P$22^2))</f>
        <v>0.394656341904546</v>
      </c>
      <c r="C1965" s="71" t="n">
        <f aca="false">-SUMPRODUCT(固有振動数!$Q$6:$Q$22*固有振動数!$P$6:$P$22/((1-($A1965/固有振動数!$O$6:$O$22)^2)^2+固有振動数!$P$6:$P$22^2))</f>
        <v>-0.505440851136367</v>
      </c>
      <c r="D1965" s="71" t="n">
        <f aca="false">SQRT(B1965^2+C1965^2)</f>
        <v>0.641267558982156</v>
      </c>
      <c r="E1965" s="72" t="n">
        <f aca="false">20*LOG10(MAX(D1965,0.000000000001)/$K$3)</f>
        <v>-3.85921460010846</v>
      </c>
      <c r="F1965" s="5"/>
      <c r="G1965" s="5"/>
      <c r="H1965" s="5"/>
      <c r="I1965" s="5"/>
      <c r="J1965" s="5"/>
      <c r="K1965" s="5"/>
      <c r="L1965" s="5"/>
      <c r="M1965" s="5"/>
      <c r="N1965" s="5"/>
    </row>
    <row r="1966" customFormat="false" ht="15" hidden="false" customHeight="false" outlineLevel="0" collapsed="false">
      <c r="A1966" s="71" t="n">
        <f aca="false">A1965+$F$3</f>
        <v>39200</v>
      </c>
      <c r="B1966" s="71" t="n">
        <f aca="false">SUMPRODUCT(固有振動数!$Q$6:$Q$22*(1-($A1966/固有振動数!$O$6:$O$22)^2)/((1-($A1966/固有振動数!$O$6:$O$22)^2)^2+固有振動数!$P$6:$P$22^2))</f>
        <v>0.445578179915363</v>
      </c>
      <c r="C1966" s="71" t="n">
        <f aca="false">-SUMPRODUCT(固有振動数!$Q$6:$Q$22*固有振動数!$P$6:$P$22/((1-($A1966/固有振動数!$O$6:$O$22)^2)^2+固有振動数!$P$6:$P$22^2))</f>
        <v>-0.503673363680618</v>
      </c>
      <c r="D1966" s="71" t="n">
        <f aca="false">SQRT(B1966^2+C1966^2)</f>
        <v>0.672478082689715</v>
      </c>
      <c r="E1966" s="72" t="n">
        <f aca="false">20*LOG10(MAX(D1966,0.000000000001)/$K$3)</f>
        <v>-3.44643731118103</v>
      </c>
      <c r="F1966" s="5"/>
      <c r="G1966" s="5"/>
      <c r="H1966" s="5"/>
      <c r="I1966" s="5"/>
      <c r="J1966" s="5"/>
      <c r="K1966" s="5"/>
      <c r="L1966" s="5"/>
      <c r="M1966" s="5"/>
      <c r="N1966" s="5"/>
    </row>
    <row r="1967" customFormat="false" ht="15" hidden="false" customHeight="false" outlineLevel="0" collapsed="false">
      <c r="A1967" s="71" t="n">
        <f aca="false">A1966+$F$3</f>
        <v>39220</v>
      </c>
      <c r="B1967" s="71" t="n">
        <f aca="false">SUMPRODUCT(固有振動数!$Q$6:$Q$22*(1-($A1967/固有振動数!$O$6:$O$22)^2)/((1-($A1967/固有振動数!$O$6:$O$22)^2)^2+固有振動数!$P$6:$P$22^2))</f>
        <v>0.496246625199179</v>
      </c>
      <c r="C1967" s="71" t="n">
        <f aca="false">-SUMPRODUCT(固有振動数!$Q$6:$Q$22*固有振動数!$P$6:$P$22/((1-($A1967/固有振動数!$O$6:$O$22)^2)^2+固有振動数!$P$6:$P$22^2))</f>
        <v>-0.501954992843484</v>
      </c>
      <c r="D1967" s="71" t="n">
        <f aca="false">SQRT(B1967^2+C1967^2)</f>
        <v>0.705846674471217</v>
      </c>
      <c r="E1967" s="72" t="n">
        <f aca="false">20*LOG10(MAX(D1967,0.000000000001)/$K$3)</f>
        <v>-3.02579254164955</v>
      </c>
      <c r="F1967" s="5"/>
      <c r="G1967" s="5"/>
      <c r="H1967" s="5"/>
      <c r="I1967" s="5"/>
      <c r="J1967" s="5"/>
      <c r="K1967" s="5"/>
      <c r="L1967" s="5"/>
      <c r="M1967" s="5"/>
      <c r="N1967" s="5"/>
    </row>
    <row r="1968" customFormat="false" ht="15" hidden="false" customHeight="false" outlineLevel="0" collapsed="false">
      <c r="A1968" s="71" t="n">
        <f aca="false">A1967+$F$3</f>
        <v>39240</v>
      </c>
      <c r="B1968" s="71" t="n">
        <f aca="false">SUMPRODUCT(固有振動数!$Q$6:$Q$22*(1-($A1968/固有振動数!$O$6:$O$22)^2)/((1-($A1968/固有振動数!$O$6:$O$22)^2)^2+固有振動数!$P$6:$P$22^2))</f>
        <v>0.546667086914722</v>
      </c>
      <c r="C1968" s="71" t="n">
        <f aca="false">-SUMPRODUCT(固有振動数!$Q$6:$Q$22*固有振動数!$P$6:$P$22/((1-($A1968/固有振動数!$O$6:$O$22)^2)^2+固有振動数!$P$6:$P$22^2))</f>
        <v>-0.500284909072451</v>
      </c>
      <c r="D1968" s="71" t="n">
        <f aca="false">SQRT(B1968^2+C1968^2)</f>
        <v>0.741032991277351</v>
      </c>
      <c r="E1968" s="72" t="n">
        <f aca="false">20*LOG10(MAX(D1968,0.000000000001)/$K$3)</f>
        <v>-2.60324913027159</v>
      </c>
      <c r="F1968" s="5"/>
      <c r="G1968" s="5"/>
      <c r="H1968" s="5"/>
      <c r="I1968" s="5"/>
      <c r="J1968" s="5"/>
      <c r="K1968" s="5"/>
      <c r="L1968" s="5"/>
      <c r="M1968" s="5"/>
      <c r="N1968" s="5"/>
    </row>
    <row r="1969" customFormat="false" ht="15" hidden="false" customHeight="false" outlineLevel="0" collapsed="false">
      <c r="A1969" s="71" t="n">
        <f aca="false">A1968+$F$3</f>
        <v>39260</v>
      </c>
      <c r="B1969" s="71" t="n">
        <f aca="false">SUMPRODUCT(固有振動数!$Q$6:$Q$22*(1-($A1969/固有振動数!$O$6:$O$22)^2)/((1-($A1969/固有振動数!$O$6:$O$22)^2)^2+固有振動数!$P$6:$P$22^2))</f>
        <v>0.596844879263537</v>
      </c>
      <c r="C1969" s="71" t="n">
        <f aca="false">-SUMPRODUCT(固有振動数!$Q$6:$Q$22*固有振動数!$P$6:$P$22/((1-($A1969/固有振動数!$O$6:$O$22)^2)^2+固有振動数!$P$6:$P$22^2))</f>
        <v>-0.498662307494782</v>
      </c>
      <c r="D1969" s="71" t="n">
        <f aca="false">SQRT(B1969^2+C1969^2)</f>
        <v>0.77774539974154</v>
      </c>
      <c r="E1969" s="72" t="n">
        <f aca="false">20*LOG10(MAX(D1969,0.000000000001)/$K$3)</f>
        <v>-2.18325098009134</v>
      </c>
      <c r="F1969" s="5"/>
      <c r="G1969" s="5"/>
      <c r="H1969" s="5"/>
      <c r="I1969" s="5"/>
      <c r="J1969" s="5"/>
      <c r="K1969" s="5"/>
      <c r="L1969" s="5"/>
      <c r="M1969" s="5"/>
      <c r="N1969" s="5"/>
    </row>
    <row r="1970" customFormat="false" ht="15" hidden="false" customHeight="false" outlineLevel="0" collapsed="false">
      <c r="A1970" s="71" t="n">
        <f aca="false">A1969+$F$3</f>
        <v>39280</v>
      </c>
      <c r="B1970" s="71" t="n">
        <f aca="false">SUMPRODUCT(固有振動数!$Q$6:$Q$22*(1-($A1970/固有振動数!$O$6:$O$22)^2)/((1-($A1970/固有振動数!$O$6:$O$22)^2)^2+固有振動数!$P$6:$P$22^2))</f>
        <v>0.646785224175164</v>
      </c>
      <c r="C1970" s="71" t="n">
        <f aca="false">-SUMPRODUCT(固有振動数!$Q$6:$Q$22*固有振動数!$P$6:$P$22/((1-($A1970/固有振動数!$O$6:$O$22)^2)^2+固有振動数!$P$6:$P$22^2))</f>
        <v>-0.497086407175582</v>
      </c>
      <c r="D1970" s="71" t="n">
        <f aca="false">SQRT(B1970^2+C1970^2)</f>
        <v>0.815736490792245</v>
      </c>
      <c r="E1970" s="72" t="n">
        <f aca="false">20*LOG10(MAX(D1970,0.000000000001)/$K$3)</f>
        <v>-1.76900219445394</v>
      </c>
      <c r="F1970" s="5"/>
      <c r="G1970" s="5"/>
      <c r="H1970" s="5"/>
      <c r="I1970" s="5"/>
      <c r="J1970" s="5"/>
      <c r="K1970" s="5"/>
      <c r="L1970" s="5"/>
      <c r="M1970" s="5"/>
      <c r="N1970" s="5"/>
    </row>
    <row r="1971" customFormat="false" ht="15" hidden="false" customHeight="false" outlineLevel="0" collapsed="false">
      <c r="A1971" s="71" t="n">
        <f aca="false">A1970+$F$3</f>
        <v>39300</v>
      </c>
      <c r="B1971" s="71" t="n">
        <f aca="false">SUMPRODUCT(固有振動数!$Q$6:$Q$22*(1-($A1971/固有振動数!$O$6:$O$22)^2)/((1-($A1971/固有振動数!$O$6:$O$22)^2)^2+固有振動数!$P$6:$P$22^2))</f>
        <v>0.696493253911936</v>
      </c>
      <c r="C1971" s="71" t="n">
        <f aca="false">-SUMPRODUCT(固有振動数!$Q$6:$Q$22*固有振動数!$P$6:$P$22/((1-($A1971/固有振動数!$O$6:$O$22)^2)^2+固有振動数!$P$6:$P$22^2))</f>
        <v>-0.49555645040403</v>
      </c>
      <c r="D1971" s="71" t="n">
        <f aca="false">SQRT(B1971^2+C1971^2)</f>
        <v>0.854797665112556</v>
      </c>
      <c r="E1971" s="72" t="n">
        <f aca="false">20*LOG10(MAX(D1971,0.000000000001)/$K$3)</f>
        <v>-1.36273345571195</v>
      </c>
      <c r="F1971" s="5"/>
      <c r="G1971" s="5"/>
      <c r="H1971" s="5"/>
      <c r="I1971" s="5"/>
      <c r="J1971" s="5"/>
      <c r="K1971" s="5"/>
      <c r="L1971" s="5"/>
      <c r="M1971" s="5"/>
      <c r="N1971" s="5"/>
    </row>
    <row r="1972" customFormat="false" ht="15" hidden="false" customHeight="false" outlineLevel="0" collapsed="false">
      <c r="A1972" s="71" t="n">
        <f aca="false">A1971+$F$3</f>
        <v>39320</v>
      </c>
      <c r="B1972" s="71" t="n">
        <f aca="false">SUMPRODUCT(固有振動数!$Q$6:$Q$22*(1-($A1972/固有振動数!$O$6:$O$22)^2)/((1-($A1972/固有振動数!$O$6:$O$22)^2)^2+固有振動数!$P$6:$P$22^2))</f>
        <v>0.745974013596435</v>
      </c>
      <c r="C1972" s="71" t="n">
        <f aca="false">-SUMPRODUCT(固有振動数!$Q$6:$Q$22*固有振動数!$P$6:$P$22/((1-($A1972/固有振動数!$O$6:$O$22)^2)^2+固有振動数!$P$6:$P$22^2))</f>
        <v>-0.494071702006608</v>
      </c>
      <c r="D1972" s="71" t="n">
        <f aca="false">SQRT(B1972^2+C1972^2)</f>
        <v>0.894753639660035</v>
      </c>
      <c r="E1972" s="72" t="n">
        <f aca="false">20*LOG10(MAX(D1972,0.000000000001)/$K$3)</f>
        <v>-0.965930526408132</v>
      </c>
      <c r="F1972" s="5"/>
      <c r="G1972" s="5"/>
      <c r="H1972" s="5"/>
      <c r="I1972" s="5"/>
      <c r="J1972" s="5"/>
      <c r="K1972" s="5"/>
      <c r="L1972" s="5"/>
      <c r="M1972" s="5"/>
      <c r="N1972" s="5"/>
    </row>
    <row r="1973" customFormat="false" ht="15" hidden="false" customHeight="false" outlineLevel="0" collapsed="false">
      <c r="A1973" s="71" t="n">
        <f aca="false">A1972+$F$3</f>
        <v>39340</v>
      </c>
      <c r="B1973" s="71" t="n">
        <f aca="false">SUMPRODUCT(固有振動数!$Q$6:$Q$22*(1-($A1973/固有振動数!$O$6:$O$22)^2)/((1-($A1973/固有振動数!$O$6:$O$22)^2)^2+固有振動数!$P$6:$P$22^2))</f>
        <v>0.795232463664404</v>
      </c>
      <c r="C1973" s="71" t="n">
        <f aca="false">-SUMPRODUCT(固有振動数!$Q$6:$Q$22*固有振動数!$P$6:$P$22/((1-($A1973/固有振動数!$O$6:$O$22)^2)^2+固有振動数!$P$6:$P$22^2))</f>
        <v>-0.49263144868622</v>
      </c>
      <c r="D1973" s="71" t="n">
        <f aca="false">SQRT(B1973^2+C1973^2)</f>
        <v>0.935457329598972</v>
      </c>
      <c r="E1973" s="72" t="n">
        <f aca="false">20*LOG10(MAX(D1973,0.000000000001)/$K$3)</f>
        <v>-0.57952035659537</v>
      </c>
      <c r="F1973" s="5"/>
      <c r="G1973" s="5"/>
      <c r="H1973" s="5"/>
      <c r="I1973" s="5"/>
      <c r="J1973" s="5"/>
      <c r="K1973" s="5"/>
      <c r="L1973" s="5"/>
      <c r="M1973" s="5"/>
      <c r="N1973" s="5"/>
    </row>
    <row r="1974" customFormat="false" ht="15" hidden="false" customHeight="false" outlineLevel="0" collapsed="false">
      <c r="A1974" s="71" t="n">
        <f aca="false">A1973+$F$3</f>
        <v>39360</v>
      </c>
      <c r="B1974" s="71" t="n">
        <f aca="false">SUMPRODUCT(固有振動数!$Q$6:$Q$22*(1-($A1974/固有振動数!$O$6:$O$22)^2)/((1-($A1974/固有振動数!$O$6:$O$22)^2)^2+固有振動数!$P$6:$P$22^2))</f>
        <v>0.844273482245892</v>
      </c>
      <c r="C1974" s="71" t="n">
        <f aca="false">-SUMPRODUCT(固有振動数!$Q$6:$Q$22*固有振動数!$P$6:$P$22/((1-($A1974/固有振動数!$O$6:$O$22)^2)^2+固有振動数!$P$6:$P$22^2))</f>
        <v>-0.491234998386139</v>
      </c>
      <c r="D1974" s="71" t="n">
        <f aca="false">SQRT(B1974^2+C1974^2)</f>
        <v>0.976785307251821</v>
      </c>
      <c r="E1974" s="72" t="n">
        <f aca="false">20*LOG10(MAX(D1974,0.000000000001)/$K$3)</f>
        <v>-0.204017632931149</v>
      </c>
      <c r="F1974" s="5"/>
      <c r="G1974" s="5"/>
      <c r="H1974" s="5"/>
      <c r="I1974" s="5"/>
      <c r="J1974" s="5"/>
      <c r="K1974" s="5"/>
      <c r="L1974" s="5"/>
      <c r="M1974" s="5"/>
      <c r="N1974" s="5"/>
    </row>
    <row r="1975" customFormat="false" ht="15" hidden="false" customHeight="false" outlineLevel="0" collapsed="false">
      <c r="A1975" s="71" t="n">
        <f aca="false">A1974+$F$3</f>
        <v>39380</v>
      </c>
      <c r="B1975" s="71" t="n">
        <f aca="false">SUMPRODUCT(固有振動数!$Q$6:$Q$22*(1-($A1975/固有振動数!$O$6:$O$22)^2)/((1-($A1975/固有振動数!$O$6:$O$22)^2)^2+固有振動数!$P$6:$P$22^2))</f>
        <v>0.893101867477246</v>
      </c>
      <c r="C1975" s="71" t="n">
        <f aca="false">-SUMPRODUCT(固有振動数!$Q$6:$Q$22*固有振動数!$P$6:$P$22/((1-($A1975/固有振動数!$O$6:$O$22)^2)^2+固有振動数!$P$6:$P$22^2))</f>
        <v>-0.489881679677783</v>
      </c>
      <c r="D1975" s="71" t="n">
        <f aca="false">SQRT(B1975^2+C1975^2)</f>
        <v>1.01863389192353</v>
      </c>
      <c r="E1975" s="72" t="n">
        <f aca="false">20*LOG10(MAX(D1975,0.000000000001)/$K$3)</f>
        <v>0.160362437991084</v>
      </c>
      <c r="F1975" s="5"/>
      <c r="G1975" s="5"/>
      <c r="H1975" s="5"/>
      <c r="I1975" s="5"/>
      <c r="J1975" s="5"/>
      <c r="K1975" s="5"/>
      <c r="L1975" s="5"/>
      <c r="M1975" s="5"/>
      <c r="N1975" s="5"/>
    </row>
    <row r="1976" customFormat="false" ht="15" hidden="false" customHeight="false" outlineLevel="0" collapsed="false">
      <c r="A1976" s="71" t="n">
        <f aca="false">A1975+$F$3</f>
        <v>39400</v>
      </c>
      <c r="B1976" s="71" t="n">
        <f aca="false">SUMPRODUCT(固有振動数!$Q$6:$Q$22*(1-($A1976/固有振動数!$O$6:$O$22)^2)/((1-($A1976/固有振動数!$O$6:$O$22)^2)^2+固有振動数!$P$6:$P$22^2))</f>
        <v>0.941722339746483</v>
      </c>
      <c r="C1976" s="71" t="n">
        <f aca="false">-SUMPRODUCT(固有振動数!$Q$6:$Q$22*固有振動数!$P$6:$P$22/((1-($A1976/固有振動数!$O$6:$O$22)^2)^2+固有振動数!$P$6:$P$22^2))</f>
        <v>-0.488570841171341</v>
      </c>
      <c r="D1976" s="71" t="n">
        <f aca="false">SQRT(B1976^2+C1976^2)</f>
        <v>1.06091584587113</v>
      </c>
      <c r="E1976" s="72" t="n">
        <f aca="false">20*LOG10(MAX(D1976,0.000000000001)/$K$3)</f>
        <v>0.513618721885854</v>
      </c>
      <c r="F1976" s="5"/>
      <c r="G1976" s="5"/>
      <c r="H1976" s="5"/>
      <c r="I1976" s="5"/>
      <c r="J1976" s="5"/>
      <c r="K1976" s="5"/>
      <c r="L1976" s="5"/>
      <c r="M1976" s="5"/>
      <c r="N1976" s="5"/>
    </row>
    <row r="1977" customFormat="false" ht="15" hidden="false" customHeight="false" outlineLevel="0" collapsed="false">
      <c r="A1977" s="71" t="n">
        <f aca="false">A1976+$F$3</f>
        <v>39420</v>
      </c>
      <c r="B1977" s="71" t="n">
        <f aca="false">SUMPRODUCT(固有振動数!$Q$6:$Q$22*(1-($A1977/固有振動数!$O$6:$O$22)^2)/((1-($A1977/固有振動数!$O$6:$O$22)^2)^2+固有振動数!$P$6:$P$22^2))</f>
        <v>0.990139543874443</v>
      </c>
      <c r="C1977" s="71" t="n">
        <f aca="false">-SUMPRODUCT(固有振動数!$Q$6:$Q$22*固有振動数!$P$6:$P$22/((1-($A1977/固有振動数!$O$6:$O$22)^2)^2+固有振動数!$P$6:$P$22^2))</f>
        <v>-0.487301850948358</v>
      </c>
      <c r="D1977" s="71" t="n">
        <f aca="false">SQRT(B1977^2+C1977^2)</f>
        <v>1.10355761529772</v>
      </c>
      <c r="E1977" s="72" t="n">
        <f aca="false">20*LOG10(MAX(D1977,0.000000000001)/$K$3)</f>
        <v>0.855900240713381</v>
      </c>
      <c r="F1977" s="5"/>
      <c r="G1977" s="5"/>
      <c r="H1977" s="5"/>
      <c r="I1977" s="5"/>
      <c r="J1977" s="5"/>
      <c r="K1977" s="5"/>
      <c r="L1977" s="5"/>
      <c r="M1977" s="5"/>
      <c r="N1977" s="5"/>
    </row>
    <row r="1978" customFormat="false" ht="15" hidden="false" customHeight="false" outlineLevel="0" collapsed="false">
      <c r="A1978" s="71" t="n">
        <f aca="false">A1977+$F$3</f>
        <v>39440</v>
      </c>
      <c r="B1978" s="71" t="n">
        <f aca="false">SUMPRODUCT(固有振動数!$Q$6:$Q$22*(1-($A1978/固有振動数!$O$6:$O$22)^2)/((1-($A1978/固有振動数!$O$6:$O$22)^2)^2+固有振動数!$P$6:$P$22^2))</f>
        <v>1.03835805123409</v>
      </c>
      <c r="C1978" s="71" t="n">
        <f aca="false">-SUMPRODUCT(固有振動数!$Q$6:$Q$22*固有振動数!$P$6:$P$22/((1-($A1978/固有振動数!$O$6:$O$22)^2)^2+固有振動数!$P$6:$P$22^2))</f>
        <v>-0.486074096015387</v>
      </c>
      <c r="D1978" s="71" t="n">
        <f aca="false">SQRT(B1978^2+C1978^2)</f>
        <v>1.1464970429006</v>
      </c>
      <c r="E1978" s="72" t="n">
        <f aca="false">20*LOG10(MAX(D1978,0.000000000001)/$K$3)</f>
        <v>1.18745877829068</v>
      </c>
      <c r="F1978" s="5"/>
      <c r="G1978" s="5"/>
      <c r="H1978" s="5"/>
      <c r="I1978" s="5"/>
      <c r="J1978" s="5"/>
      <c r="K1978" s="5"/>
      <c r="L1978" s="5"/>
      <c r="M1978" s="5"/>
      <c r="N1978" s="5"/>
    </row>
    <row r="1979" customFormat="false" ht="15" hidden="false" customHeight="false" outlineLevel="0" collapsed="false">
      <c r="A1979" s="71" t="n">
        <f aca="false">A1978+$F$3</f>
        <v>39460</v>
      </c>
      <c r="B1979" s="71" t="n">
        <f aca="false">SUMPRODUCT(固有振動数!$Q$6:$Q$22*(1-($A1979/固有振動数!$O$6:$O$22)^2)/((1-($A1979/固有振動数!$O$6:$O$22)^2)^2+固有振動数!$P$6:$P$22^2))</f>
        <v>1.08638236181014</v>
      </c>
      <c r="C1979" s="71" t="n">
        <f aca="false">-SUMPRODUCT(固有振動数!$Q$6:$Q$22*固有振動数!$P$6:$P$22/((1-($A1979/固有振動数!$O$6:$O$22)^2)^2+固有振動数!$P$6:$P$22^2))</f>
        <v>-0.484886981777875</v>
      </c>
      <c r="D1979" s="71" t="n">
        <f aca="false">SQRT(B1979^2+C1979^2)</f>
        <v>1.18968147886308</v>
      </c>
      <c r="E1979" s="72" t="n">
        <f aca="false">20*LOG10(MAX(D1979,0.000000000001)/$K$3)</f>
        <v>1.50861400955244</v>
      </c>
      <c r="F1979" s="5"/>
      <c r="G1979" s="5"/>
      <c r="H1979" s="5"/>
      <c r="I1979" s="5"/>
      <c r="J1979" s="5"/>
      <c r="K1979" s="5"/>
      <c r="L1979" s="5"/>
      <c r="M1979" s="5"/>
      <c r="N1979" s="5"/>
    </row>
    <row r="1980" customFormat="false" ht="15" hidden="false" customHeight="false" outlineLevel="0" collapsed="false">
      <c r="A1980" s="71" t="n">
        <f aca="false">A1979+$F$3</f>
        <v>39480</v>
      </c>
      <c r="B1980" s="71" t="n">
        <f aca="false">SUMPRODUCT(固有振動数!$Q$6:$Q$22*(1-($A1980/固有振動数!$O$6:$O$22)^2)/((1-($A1980/固有振動数!$O$6:$O$22)^2)^2+固有振動数!$P$6:$P$22^2))</f>
        <v>1.13421690620127</v>
      </c>
      <c r="C1980" s="71" t="n">
        <f aca="false">-SUMPRODUCT(固有振動数!$Q$6:$Q$22*固有振動数!$P$6:$P$22/((1-($A1980/固有振動数!$O$6:$O$22)^2)^2+固有振動数!$P$6:$P$22^2))</f>
        <v>-0.483739931533497</v>
      </c>
      <c r="D1980" s="71" t="n">
        <f aca="false">SQRT(B1980^2+C1980^2)</f>
        <v>1.23306622355525</v>
      </c>
      <c r="E1980" s="72" t="n">
        <f aca="false">20*LOG10(MAX(D1980,0.000000000001)/$K$3)</f>
        <v>1.81972803235731</v>
      </c>
      <c r="F1980" s="5"/>
      <c r="G1980" s="5"/>
      <c r="H1980" s="5"/>
      <c r="I1980" s="5"/>
      <c r="J1980" s="5"/>
      <c r="K1980" s="5"/>
      <c r="L1980" s="5"/>
      <c r="M1980" s="5"/>
      <c r="N1980" s="5"/>
    </row>
    <row r="1981" customFormat="false" ht="15" hidden="false" customHeight="false" outlineLevel="0" collapsed="false">
      <c r="A1981" s="71" t="n">
        <f aca="false">A1980+$F$3</f>
        <v>39500</v>
      </c>
      <c r="B1981" s="71" t="n">
        <f aca="false">SUMPRODUCT(固有振動数!$Q$6:$Q$22*(1-($A1981/固有振動数!$O$6:$O$22)^2)/((1-($A1981/固有振動数!$O$6:$O$22)^2)^2+固有振動数!$P$6:$P$22^2))</f>
        <v>1.18186604756676</v>
      </c>
      <c r="C1981" s="71" t="n">
        <f aca="false">-SUMPRODUCT(固有振動数!$Q$6:$Q$22*固有振動数!$P$6:$P$22/((1-($A1981/固有振動数!$O$6:$O$22)^2)^2+固有振動数!$P$6:$P$22^2))</f>
        <v>-0.482632385984175</v>
      </c>
      <c r="D1981" s="71" t="n">
        <f aca="false">SQRT(B1981^2+C1981^2)</f>
        <v>1.2766132438573</v>
      </c>
      <c r="E1981" s="72" t="n">
        <f aca="false">20*LOG10(MAX(D1981,0.000000000001)/$K$3)</f>
        <v>2.12118691160954</v>
      </c>
      <c r="F1981" s="5"/>
      <c r="G1981" s="5"/>
      <c r="H1981" s="5"/>
      <c r="I1981" s="5"/>
      <c r="J1981" s="5"/>
      <c r="K1981" s="5"/>
      <c r="L1981" s="5"/>
      <c r="M1981" s="5"/>
      <c r="N1981" s="5"/>
    </row>
    <row r="1982" customFormat="false" ht="15" hidden="false" customHeight="false" outlineLevel="0" collapsed="false">
      <c r="A1982" s="71" t="n">
        <f aca="false">A1981+$F$3</f>
        <v>39520</v>
      </c>
      <c r="B1982" s="71" t="n">
        <f aca="false">SUMPRODUCT(固有振動数!$Q$6:$Q$22*(1-($A1982/固有振動数!$O$6:$O$22)^2)/((1-($A1982/固有振動数!$O$6:$O$22)^2)^2+固有振動数!$P$6:$P$22^2))</f>
        <v>1.22933408351989</v>
      </c>
      <c r="C1982" s="71" t="n">
        <f aca="false">-SUMPRODUCT(固有振動数!$Q$6:$Q$22*固有振動数!$P$6:$P$22/((1-($A1982/固有振動数!$O$6:$O$22)^2)^2+固有振動数!$P$6:$P$22^2))</f>
        <v>-0.481563802766049</v>
      </c>
      <c r="D1982" s="71" t="n">
        <f aca="false">SQRT(B1982^2+C1982^2)</f>
        <v>1.32029011396669</v>
      </c>
      <c r="E1982" s="72" t="n">
        <f aca="false">20*LOG10(MAX(D1982,0.000000000001)/$K$3)</f>
        <v>2.41338742792154</v>
      </c>
      <c r="F1982" s="5"/>
      <c r="G1982" s="5"/>
      <c r="H1982" s="5"/>
      <c r="I1982" s="5"/>
      <c r="J1982" s="5"/>
      <c r="K1982" s="5"/>
      <c r="L1982" s="5"/>
      <c r="M1982" s="5"/>
      <c r="N1982" s="5"/>
    </row>
    <row r="1983" customFormat="false" ht="15" hidden="false" customHeight="false" outlineLevel="0" collapsed="false">
      <c r="A1983" s="71" t="n">
        <f aca="false">A1982+$F$3</f>
        <v>39540</v>
      </c>
      <c r="B1983" s="71" t="n">
        <f aca="false">SUMPRODUCT(固有振動数!$Q$6:$Q$22*(1-($A1983/固有振動数!$O$6:$O$22)^2)/((1-($A1983/固有振動数!$O$6:$O$22)^2)^2+固有振動数!$P$6:$P$22^2))</f>
        <v>1.27662524796962</v>
      </c>
      <c r="C1983" s="71" t="n">
        <f aca="false">-SUMPRODUCT(固有振動数!$Q$6:$Q$22*固有振動数!$P$6:$P$22/((1-($A1983/固有振動数!$O$6:$O$22)^2)^2+固有振動数!$P$6:$P$22^2))</f>
        <v>-0.480533655996725</v>
      </c>
      <c r="D1983" s="71" t="n">
        <f aca="false">SQRT(B1983^2+C1983^2)</f>
        <v>1.36406913985292</v>
      </c>
      <c r="E1983" s="72" t="n">
        <f aca="false">20*LOG10(MAX(D1983,0.000000000001)/$K$3)</f>
        <v>2.69672767467323</v>
      </c>
      <c r="F1983" s="5"/>
      <c r="G1983" s="5"/>
      <c r="H1983" s="5"/>
      <c r="I1983" s="5"/>
      <c r="J1983" s="5"/>
      <c r="K1983" s="5"/>
      <c r="L1983" s="5"/>
      <c r="M1983" s="5"/>
      <c r="N1983" s="5"/>
    </row>
    <row r="1984" customFormat="false" ht="15" hidden="false" customHeight="false" outlineLevel="0" collapsed="false">
      <c r="A1984" s="71" t="n">
        <f aca="false">A1983+$F$3</f>
        <v>39560</v>
      </c>
      <c r="B1984" s="71" t="n">
        <f aca="false">SUMPRODUCT(固有振動数!$Q$6:$Q$22*(1-($A1984/固有振動数!$O$6:$O$22)^2)/((1-($A1984/固有振動数!$O$6:$O$22)^2)^2+固有振動数!$P$6:$P$22^2))</f>
        <v>1.32374371291273</v>
      </c>
      <c r="C1984" s="71" t="n">
        <f aca="false">-SUMPRODUCT(固有振動数!$Q$6:$Q$22*固有振動数!$P$6:$P$22/((1-($A1984/固有振動数!$O$6:$O$22)^2)^2+固有振動数!$P$6:$P$22^2))</f>
        <v>-0.479541435839119</v>
      </c>
      <c r="D1984" s="71" t="n">
        <f aca="false">SQRT(B1984^2+C1984^2)</f>
        <v>1.40792663379972</v>
      </c>
      <c r="E1984" s="72" t="n">
        <f aca="false">20*LOG10(MAX(D1984,0.000000000001)/$K$3)</f>
        <v>2.97160049148987</v>
      </c>
      <c r="F1984" s="5"/>
      <c r="G1984" s="5"/>
      <c r="H1984" s="5"/>
      <c r="I1984" s="5"/>
      <c r="J1984" s="5"/>
      <c r="K1984" s="5"/>
      <c r="L1984" s="5"/>
      <c r="M1984" s="5"/>
      <c r="N1984" s="5"/>
    </row>
    <row r="1985" customFormat="false" ht="15" hidden="false" customHeight="false" outlineLevel="0" collapsed="false">
      <c r="A1985" s="71" t="n">
        <f aca="false">A1984+$F$3</f>
        <v>39580</v>
      </c>
      <c r="B1985" s="71" t="n">
        <f aca="false">SUMPRODUCT(固有振動数!$Q$6:$Q$22*(1-($A1985/固有振動数!$O$6:$O$22)^2)/((1-($A1985/固有振動数!$O$6:$O$22)^2)^2+固有振動数!$P$6:$P$22^2))</f>
        <v>1.37069359017787</v>
      </c>
      <c r="C1985" s="71" t="n">
        <f aca="false">-SUMPRODUCT(固有振動数!$Q$6:$Q$22*固有振動数!$P$6:$P$22/((1-($A1985/固有振動数!$O$6:$O$22)^2)^2+固有振動数!$P$6:$P$22^2))</f>
        <v>-0.478586648081292</v>
      </c>
      <c r="D1985" s="71" t="n">
        <f aca="false">SQRT(B1985^2+C1985^2)</f>
        <v>1.45184231164282</v>
      </c>
      <c r="E1985" s="72" t="n">
        <f aca="false">20*LOG10(MAX(D1985,0.000000000001)/$K$3)</f>
        <v>3.23838898151957</v>
      </c>
      <c r="F1985" s="5"/>
      <c r="G1985" s="5"/>
      <c r="H1985" s="5"/>
      <c r="I1985" s="5"/>
      <c r="J1985" s="5"/>
      <c r="K1985" s="5"/>
      <c r="L1985" s="5"/>
      <c r="M1985" s="5"/>
      <c r="N1985" s="5"/>
    </row>
    <row r="1986" customFormat="false" ht="15" hidden="false" customHeight="false" outlineLevel="0" collapsed="false">
      <c r="A1986" s="71" t="n">
        <f aca="false">A1985+$F$3</f>
        <v>39600</v>
      </c>
      <c r="B1986" s="71" t="n">
        <f aca="false">SUMPRODUCT(固有振動数!$Q$6:$Q$22*(1-($A1986/固有振動数!$O$6:$O$22)^2)/((1-($A1986/固有振動数!$O$6:$O$22)^2)^2+固有振動数!$P$6:$P$22^2))</f>
        <v>1.41747893312355</v>
      </c>
      <c r="C1986" s="71" t="n">
        <f aca="false">-SUMPRODUCT(固有振動数!$Q$6:$Q$22*固有振動数!$P$6:$P$22/((1-($A1986/固有振動数!$O$6:$O$22)^2)^2+固有振動数!$P$6:$P$22^2))</f>
        <v>-0.477668813731646</v>
      </c>
      <c r="D1986" s="71" t="n">
        <f aca="false">SQRT(B1986^2+C1986^2)</f>
        <v>1.49579879043302</v>
      </c>
      <c r="E1986" s="72" t="n">
        <f aca="false">20*LOG10(MAX(D1986,0.000000000001)/$K$3)</f>
        <v>3.49746355396872</v>
      </c>
      <c r="F1986" s="5"/>
      <c r="G1986" s="5"/>
      <c r="H1986" s="5"/>
      <c r="I1986" s="5"/>
      <c r="J1986" s="5"/>
      <c r="K1986" s="5"/>
      <c r="L1986" s="5"/>
      <c r="M1986" s="5"/>
      <c r="N1986" s="5"/>
    </row>
    <row r="1987" customFormat="false" ht="15" hidden="false" customHeight="false" outlineLevel="0" collapsed="false">
      <c r="A1987" s="71" t="n">
        <f aca="false">A1986+$F$3</f>
        <v>39620</v>
      </c>
      <c r="B1987" s="71" t="n">
        <f aca="false">SUMPRODUCT(固有振動数!$Q$6:$Q$22*(1-($A1987/固有振動数!$O$6:$O$22)^2)/((1-($A1987/固有振動数!$O$6:$O$22)^2)^2+固有振動数!$P$6:$P$22^2))</f>
        <v>1.46410373829147</v>
      </c>
      <c r="C1987" s="71" t="n">
        <f aca="false">-SUMPRODUCT(固有振動数!$Q$6:$Q$22*固有振動数!$P$6:$P$22/((1-($A1987/固有振動数!$O$6:$O$22)^2)^2+固有振動数!$P$6:$P$22^2))</f>
        <v>-0.476787468628925</v>
      </c>
      <c r="D1987" s="71" t="n">
        <f aca="false">SQRT(B1987^2+C1987^2)</f>
        <v>1.5397811684524</v>
      </c>
      <c r="E1987" s="72" t="n">
        <f aca="false">20*LOG10(MAX(D1987,0.000000000001)/$K$3)</f>
        <v>3.7491800779428</v>
      </c>
      <c r="F1987" s="5"/>
      <c r="G1987" s="5"/>
      <c r="H1987" s="5"/>
      <c r="I1987" s="5"/>
      <c r="J1987" s="5"/>
      <c r="K1987" s="5"/>
      <c r="L1987" s="5"/>
      <c r="M1987" s="5"/>
      <c r="N1987" s="5"/>
    </row>
    <row r="1988" customFormat="false" ht="15" hidden="false" customHeight="false" outlineLevel="0" collapsed="false">
      <c r="A1988" s="71" t="n">
        <f aca="false">A1987+$F$3</f>
        <v>39640</v>
      </c>
      <c r="B1988" s="71" t="n">
        <f aca="false">SUMPRODUCT(固有振動数!$Q$6:$Q$22*(1-($A1988/固有振動数!$O$6:$O$22)^2)/((1-($A1988/固有振動数!$O$6:$O$22)^2)^2+固有振動数!$P$6:$P$22^2))</f>
        <v>1.51057194701676</v>
      </c>
      <c r="C1988" s="71" t="n">
        <f aca="false">-SUMPRODUCT(固有振動数!$Q$6:$Q$22*固有振動数!$P$6:$P$22/((1-($A1988/固有振動数!$O$6:$O$22)^2)^2+固有振動数!$P$6:$P$22^2))</f>
        <v>-0.475942163066462</v>
      </c>
      <c r="D1988" s="71" t="n">
        <f aca="false">SQRT(B1988^2+C1988^2)</f>
        <v>1.58377667292406</v>
      </c>
      <c r="E1988" s="72" t="n">
        <f aca="false">20*LOG10(MAX(D1988,0.000000000001)/$K$3)</f>
        <v>3.99387884109676</v>
      </c>
      <c r="F1988" s="5"/>
      <c r="G1988" s="5"/>
      <c r="H1988" s="5"/>
      <c r="I1988" s="5"/>
      <c r="J1988" s="5"/>
      <c r="K1988" s="5"/>
      <c r="L1988" s="5"/>
      <c r="M1988" s="5"/>
      <c r="N1988" s="5"/>
    </row>
    <row r="1989" customFormat="false" ht="15" hidden="false" customHeight="false" outlineLevel="0" collapsed="false">
      <c r="A1989" s="71" t="n">
        <f aca="false">A1988+$F$3</f>
        <v>39660</v>
      </c>
      <c r="B1989" s="71" t="n">
        <f aca="false">SUMPRODUCT(固有振動数!$Q$6:$Q$22*(1-($A1989/固有振動数!$O$6:$O$22)^2)/((1-($A1989/固有振動数!$O$6:$O$22)^2)^2+固有振動数!$P$6:$P$22^2))</f>
        <v>1.55688744699689</v>
      </c>
      <c r="C1989" s="71" t="n">
        <f aca="false">-SUMPRODUCT(固有振動数!$Q$6:$Q$22*固有振動数!$P$6:$P$22/((1-($A1989/固有振動数!$O$6:$O$22)^2)^2+固有振動数!$P$6:$P$22^2))</f>
        <v>-0.475132461430154</v>
      </c>
      <c r="D1989" s="71" t="n">
        <f aca="false">SQRT(B1989^2+C1989^2)</f>
        <v>1.62777436351639</v>
      </c>
      <c r="E1989" s="72" t="n">
        <f aca="false">20*LOG10(MAX(D1989,0.000000000001)/$K$3)</f>
        <v>4.23188408635678</v>
      </c>
      <c r="F1989" s="5"/>
      <c r="G1989" s="5"/>
      <c r="H1989" s="5"/>
      <c r="I1989" s="5"/>
      <c r="J1989" s="5"/>
      <c r="K1989" s="5"/>
      <c r="L1989" s="5"/>
      <c r="M1989" s="5"/>
      <c r="N1989" s="5"/>
    </row>
    <row r="1990" customFormat="false" ht="15" hidden="false" customHeight="false" outlineLevel="0" collapsed="false">
      <c r="A1990" s="71" t="n">
        <f aca="false">A1989+$F$3</f>
        <v>39680</v>
      </c>
      <c r="B1990" s="71" t="n">
        <f aca="false">SUMPRODUCT(固有振動数!$Q$6:$Q$22*(1-($A1990/固有振動数!$O$6:$O$22)^2)/((1-($A1990/固有振動数!$O$6:$O$22)^2)^2+固有振動数!$P$6:$P$22^2))</f>
        <v>1.60305407382041</v>
      </c>
      <c r="C1990" s="71" t="n">
        <f aca="false">-SUMPRODUCT(固有振動数!$Q$6:$Q$22*固有振動数!$P$6:$P$22/((1-($A1990/固有振動数!$O$6:$O$22)^2)^2+固有振動数!$P$6:$P$22^2))</f>
        <v>-0.474357941849648</v>
      </c>
      <c r="D1990" s="71" t="n">
        <f aca="false">SQRT(B1990^2+C1990^2)</f>
        <v>1.67176488196996</v>
      </c>
      <c r="E1990" s="72" t="n">
        <f aca="false">20*LOG10(MAX(D1990,0.000000000001)/$K$3)</f>
        <v>4.46350395915154</v>
      </c>
      <c r="F1990" s="5"/>
      <c r="G1990" s="5"/>
      <c r="H1990" s="5"/>
      <c r="I1990" s="5"/>
      <c r="J1990" s="5"/>
      <c r="K1990" s="5"/>
      <c r="L1990" s="5"/>
      <c r="M1990" s="5"/>
      <c r="N1990" s="5"/>
    </row>
    <row r="1991" customFormat="false" ht="15" hidden="false" customHeight="false" outlineLevel="0" collapsed="false">
      <c r="A1991" s="71" t="n">
        <f aca="false">A1990+$F$3</f>
        <v>39700</v>
      </c>
      <c r="B1991" s="71" t="n">
        <f aca="false">SUMPRODUCT(固有振動数!$Q$6:$Q$22*(1-($A1991/固有振動数!$O$6:$O$22)^2)/((1-($A1991/固有振動数!$O$6:$O$22)^2)^2+固有振動数!$P$6:$P$22^2))</f>
        <v>1.64907561245711</v>
      </c>
      <c r="C1991" s="71" t="n">
        <f aca="false">-SUMPRODUCT(固有振動数!$Q$6:$Q$22*固有振動数!$P$6:$P$22/((1-($A1991/固有振動数!$O$6:$O$22)^2)^2+固有振動数!$P$6:$P$22^2))</f>
        <v>-0.473618195862283</v>
      </c>
      <c r="D1991" s="71" t="n">
        <f aca="false">SQRT(B1991^2+C1991^2)</f>
        <v>1.71574023997009</v>
      </c>
      <c r="E1991" s="72" t="n">
        <f aca="false">20*LOG10(MAX(D1991,0.000000000001)/$K$3)</f>
        <v>4.68903074150116</v>
      </c>
      <c r="F1991" s="5"/>
      <c r="G1991" s="5"/>
      <c r="H1991" s="5"/>
      <c r="I1991" s="5"/>
      <c r="J1991" s="5"/>
      <c r="K1991" s="5"/>
      <c r="L1991" s="5"/>
      <c r="M1991" s="5"/>
      <c r="N1991" s="5"/>
    </row>
    <row r="1992" customFormat="false" ht="15" hidden="false" customHeight="false" outlineLevel="0" collapsed="false">
      <c r="A1992" s="71" t="n">
        <f aca="false">A1991+$F$3</f>
        <v>39720</v>
      </c>
      <c r="B1992" s="71" t="n">
        <f aca="false">SUMPRODUCT(固有振動数!$Q$6:$Q$22*(1-($A1992/固有振動数!$O$6:$O$22)^2)/((1-($A1992/固有振動数!$O$6:$O$22)^2)^2+固有振動数!$P$6:$P$22^2))</f>
        <v>1.69495579871096</v>
      </c>
      <c r="C1992" s="71" t="n">
        <f aca="false">-SUMPRODUCT(固有振動数!$Q$6:$Q$22*固有振動数!$P$6:$P$22/((1-($A1992/固有振動数!$O$6:$O$22)^2)^2+固有振動数!$P$6:$P$22^2))</f>
        <v>-0.4729128280893</v>
      </c>
      <c r="D1992" s="71" t="n">
        <f aca="false">SQRT(B1992^2+C1992^2)</f>
        <v>1.75969363883471</v>
      </c>
      <c r="E1992" s="72" t="n">
        <f aca="false">20*LOG10(MAX(D1992,0.000000000001)/$K$3)</f>
        <v>4.90874128190898</v>
      </c>
      <c r="F1992" s="5"/>
      <c r="G1992" s="5"/>
      <c r="H1992" s="5"/>
      <c r="I1992" s="5"/>
      <c r="J1992" s="5"/>
      <c r="K1992" s="5"/>
      <c r="L1992" s="5"/>
      <c r="M1992" s="5"/>
      <c r="N1992" s="5"/>
    </row>
    <row r="1993" customFormat="false" ht="15" hidden="false" customHeight="false" outlineLevel="0" collapsed="false">
      <c r="A1993" s="71" t="n">
        <f aca="false">A1992+$F$3</f>
        <v>39740</v>
      </c>
      <c r="B1993" s="71" t="n">
        <f aca="false">SUMPRODUCT(固有振動数!$Q$6:$Q$22*(1-($A1993/固有振動数!$O$6:$O$22)^2)/((1-($A1993/固有振動数!$O$6:$O$22)^2)^2+固有振動数!$P$6:$P$22^2))</f>
        <v>1.74069832063703</v>
      </c>
      <c r="C1993" s="71" t="n">
        <f aca="false">-SUMPRODUCT(固有振動数!$Q$6:$Q$22*固有振動数!$P$6:$P$22/((1-($A1993/固有振動数!$O$6:$O$22)^2)^2+固有振動数!$P$6:$P$22^2))</f>
        <v>-0.472241455923903</v>
      </c>
      <c r="D1993" s="71" t="n">
        <f aca="false">SQRT(B1993^2+C1993^2)</f>
        <v>1.80361931575421</v>
      </c>
      <c r="E1993" s="72" t="n">
        <f aca="false">20*LOG10(MAX(D1993,0.000000000001)/$K$3)</f>
        <v>5.12289755420928</v>
      </c>
      <c r="F1993" s="5"/>
      <c r="G1993" s="5"/>
      <c r="H1993" s="5"/>
      <c r="I1993" s="5"/>
      <c r="J1993" s="5"/>
      <c r="K1993" s="5"/>
      <c r="L1993" s="5"/>
      <c r="M1993" s="5"/>
      <c r="N1993" s="5"/>
    </row>
    <row r="1994" customFormat="false" ht="15" hidden="false" customHeight="false" outlineLevel="0" collapsed="false">
      <c r="A1994" s="71" t="n">
        <f aca="false">A1993+$F$3</f>
        <v>39760</v>
      </c>
      <c r="B1994" s="71" t="n">
        <f aca="false">SUMPRODUCT(固有振動数!$Q$6:$Q$22*(1-($A1994/固有振動数!$O$6:$O$22)^2)/((1-($A1994/固有振動数!$O$6:$O$22)^2)^2+固有振動数!$P$6:$P$22^2))</f>
        <v>1.78630681992374</v>
      </c>
      <c r="C1994" s="71" t="n">
        <f aca="false">-SUMPRODUCT(固有振動数!$Q$6:$Q$22*固有振動数!$P$6:$P$22/((1-($A1994/固有振動数!$O$6:$O$22)^2)^2+固有振動数!$P$6:$P$22^2))</f>
        <v>-0.471603709230745</v>
      </c>
      <c r="D1994" s="71" t="n">
        <f aca="false">SQRT(B1994^2+C1994^2)</f>
        <v>1.84751241226311</v>
      </c>
      <c r="E1994" s="72" t="n">
        <f aca="false">20*LOG10(MAX(D1994,0.000000000001)/$K$3)</f>
        <v>5.33174729651202</v>
      </c>
      <c r="F1994" s="5"/>
      <c r="G1994" s="5"/>
      <c r="H1994" s="5"/>
      <c r="I1994" s="5"/>
      <c r="J1994" s="5"/>
      <c r="K1994" s="5"/>
      <c r="L1994" s="5"/>
      <c r="M1994" s="5"/>
      <c r="N1994" s="5"/>
    </row>
    <row r="1995" customFormat="false" ht="15" hidden="false" customHeight="false" outlineLevel="0" collapsed="false">
      <c r="A1995" s="71" t="n">
        <f aca="false">A1994+$F$3</f>
        <v>39780</v>
      </c>
      <c r="B1995" s="71" t="n">
        <f aca="false">SUMPRODUCT(固有振動数!$Q$6:$Q$22*(1-($A1995/固有振動数!$O$6:$O$22)^2)/((1-($A1995/固有振動数!$O$6:$O$22)^2)^2+固有振動数!$P$6:$P$22^2))</f>
        <v>1.83178489324169</v>
      </c>
      <c r="C1995" s="71" t="n">
        <f aca="false">-SUMPRODUCT(固有振動数!$Q$6:$Q$22*固有振動数!$P$6:$P$22/((1-($A1995/固有振動数!$O$6:$O$22)^2)^2+固有振動数!$P$6:$P$22^2))</f>
        <v>-0.47099923005643</v>
      </c>
      <c r="D1995" s="71" t="n">
        <f aca="false">SQRT(B1995^2+C1995^2)</f>
        <v>1.89136886138643</v>
      </c>
      <c r="E1995" s="72" t="n">
        <f aca="false">20*LOG10(MAX(D1995,0.000000000001)/$K$3)</f>
        <v>5.53552469475225</v>
      </c>
      <c r="F1995" s="5"/>
      <c r="G1995" s="5"/>
      <c r="H1995" s="5"/>
      <c r="I1995" s="5"/>
      <c r="J1995" s="5"/>
      <c r="K1995" s="5"/>
      <c r="L1995" s="5"/>
      <c r="M1995" s="5"/>
      <c r="N1995" s="5"/>
    </row>
    <row r="1996" customFormat="false" ht="15" hidden="false" customHeight="false" outlineLevel="0" collapsed="false">
      <c r="A1996" s="71" t="n">
        <f aca="false">A1995+$F$3</f>
        <v>39800</v>
      </c>
      <c r="B1996" s="71" t="n">
        <f aca="false">SUMPRODUCT(固有振動数!$Q$6:$Q$22*(1-($A1996/固有振動数!$O$6:$O$22)^2)/((1-($A1996/固有振動数!$O$6:$O$22)^2)^2+固有振動数!$P$6:$P$22^2))</f>
        <v>1.87713609356011</v>
      </c>
      <c r="C1996" s="71" t="n">
        <f aca="false">-SUMPRODUCT(固有振動数!$Q$6:$Q$22*固有振動数!$P$6:$P$22/((1-($A1996/固有振動数!$O$6:$O$22)^2)^2+固有振動数!$P$6:$P$22^2))</f>
        <v>-0.470427672350664</v>
      </c>
      <c r="D1996" s="71" t="n">
        <f aca="false">SQRT(B1996^2+C1996^2)</f>
        <v>1.93518529052372</v>
      </c>
      <c r="E1996" s="72" t="n">
        <f aca="false">20*LOG10(MAX(D1996,0.000000000001)/$K$3)</f>
        <v>5.73445108528379</v>
      </c>
      <c r="F1996" s="5"/>
      <c r="G1996" s="5"/>
      <c r="H1996" s="5"/>
      <c r="I1996" s="5"/>
      <c r="J1996" s="5"/>
      <c r="K1996" s="5"/>
      <c r="L1996" s="5"/>
      <c r="M1996" s="5"/>
      <c r="N1996" s="5"/>
    </row>
    <row r="1997" customFormat="false" ht="15" hidden="false" customHeight="false" outlineLevel="0" collapsed="false">
      <c r="A1997" s="71" t="n">
        <f aca="false">A1996+$F$3</f>
        <v>39820</v>
      </c>
      <c r="B1997" s="71" t="n">
        <f aca="false">SUMPRODUCT(固有振動数!$Q$6:$Q$22*(1-($A1997/固有振動数!$O$6:$O$22)^2)/((1-($A1997/固有振動数!$O$6:$O$22)^2)^2+固有振動数!$P$6:$P$22^2))</f>
        <v>1.9223639314322</v>
      </c>
      <c r="C1997" s="71" t="n">
        <f aca="false">-SUMPRODUCT(固有振動数!$Q$6:$Q$22*固有振動数!$P$6:$P$22/((1-($A1997/固有振動数!$O$6:$O$22)^2)^2+固有振動数!$P$6:$P$22^2))</f>
        <v>-0.469888701697672</v>
      </c>
      <c r="D1997" s="71" t="n">
        <f aca="false">SQRT(B1997^2+C1997^2)</f>
        <v>1.97895893763731</v>
      </c>
      <c r="E1997" s="72" t="n">
        <f aca="false">20*LOG10(MAX(D1997,0.000000000001)/$K$3)</f>
        <v>5.92873565833163</v>
      </c>
      <c r="F1997" s="5"/>
      <c r="G1997" s="5"/>
      <c r="H1997" s="5"/>
      <c r="I1997" s="5"/>
      <c r="J1997" s="5"/>
      <c r="K1997" s="5"/>
      <c r="L1997" s="5"/>
      <c r="M1997" s="5"/>
      <c r="N1997" s="5"/>
    </row>
    <row r="1998" customFormat="false" ht="15" hidden="false" customHeight="false" outlineLevel="0" collapsed="false">
      <c r="A1998" s="71" t="n">
        <f aca="false">A1997+$F$3</f>
        <v>39840</v>
      </c>
      <c r="B1998" s="71" t="n">
        <f aca="false">SUMPRODUCT(固有振動数!$Q$6:$Q$22*(1-($A1998/固有振動数!$O$6:$O$22)^2)/((1-($A1998/固有振動数!$O$6:$O$22)^2)^2+固有振動数!$P$6:$P$22^2))</f>
        <v>1.9674718762504</v>
      </c>
      <c r="C1998" s="71" t="n">
        <f aca="false">-SUMPRODUCT(固有振動数!$Q$6:$Q$22*固有振動数!$P$6:$P$22/((1-($A1998/固有振動数!$O$6:$O$22)^2)^2+固有振動数!$P$6:$P$22^2))</f>
        <v>-0.469381995057538</v>
      </c>
      <c r="D1998" s="71" t="n">
        <f aca="false">SQRT(B1998^2+C1998^2)</f>
        <v>2.02268757872304</v>
      </c>
      <c r="E1998" s="72" t="n">
        <f aca="false">20*LOG10(MAX(D1998,0.000000000001)/$K$3)</f>
        <v>6.11857614958558</v>
      </c>
      <c r="F1998" s="5"/>
      <c r="G1998" s="5"/>
      <c r="H1998" s="5"/>
      <c r="I1998" s="5"/>
      <c r="J1998" s="5"/>
      <c r="K1998" s="5"/>
      <c r="L1998" s="5"/>
      <c r="M1998" s="5"/>
      <c r="N1998" s="5"/>
    </row>
    <row r="1999" customFormat="false" ht="15" hidden="false" customHeight="false" outlineLevel="0" collapsed="false">
      <c r="A1999" s="71" t="n">
        <f aca="false">A1998+$F$3</f>
        <v>39860</v>
      </c>
      <c r="B1999" s="71" t="n">
        <f aca="false">SUMPRODUCT(固有振動数!$Q$6:$Q$22*(1-($A1999/固有振動数!$O$6:$O$22)^2)/((1-($A1999/固有振動数!$O$6:$O$22)^2)^2+固有振動数!$P$6:$P$22^2))</f>
        <v>2.01246335747263</v>
      </c>
      <c r="C1999" s="71" t="n">
        <f aca="false">-SUMPRODUCT(固有振動数!$Q$6:$Q$22*固有振動数!$P$6:$P$22/((1-($A1999/固有振動数!$O$6:$O$22)^2)^2+固有振動数!$P$6:$P$22^2))</f>
        <v>-0.468907240517132</v>
      </c>
      <c r="D1999" s="71" t="n">
        <f aca="false">SQRT(B1999^2+C1999^2)</f>
        <v>2.06636946487781</v>
      </c>
      <c r="E1999" s="72" t="n">
        <f aca="false">20*LOG10(MAX(D1999,0.000000000001)/$K$3)</f>
        <v>6.30415951126251</v>
      </c>
      <c r="F1999" s="5"/>
      <c r="G1999" s="5"/>
      <c r="H1999" s="5"/>
      <c r="I1999" s="5"/>
      <c r="J1999" s="5"/>
      <c r="K1999" s="5"/>
      <c r="L1999" s="5"/>
      <c r="M1999" s="5"/>
      <c r="N1999" s="5"/>
    </row>
    <row r="2000" customFormat="false" ht="15" hidden="false" customHeight="false" outlineLevel="0" collapsed="false">
      <c r="A2000" s="71" t="n">
        <f aca="false">A1999+$F$3</f>
        <v>39880</v>
      </c>
      <c r="B2000" s="71" t="n">
        <f aca="false">SUMPRODUCT(固有振動数!$Q$6:$Q$22*(1-($A2000/固有振動数!$O$6:$O$22)^2)/((1-($A2000/固有振動数!$O$6:$O$22)^2)^2+固有振動数!$P$6:$P$22^2))</f>
        <v>2.0573417658206</v>
      </c>
      <c r="C2000" s="71" t="n">
        <f aca="false">-SUMPRODUCT(固有振動数!$Q$6:$Q$22*固有振動数!$P$6:$P$22/((1-($A2000/固有振動数!$O$6:$O$22)^2)^2+固有振動数!$P$6:$P$22^2))</f>
        <v>-0.468464137050304</v>
      </c>
      <c r="D2000" s="71" t="n">
        <f aca="false">SQRT(B2000^2+C2000^2)</f>
        <v>2.11000326755484</v>
      </c>
      <c r="E2000" s="72" t="n">
        <f aca="false">20*LOG10(MAX(D2000,0.000000000001)/$K$3)</f>
        <v>6.48566255694852</v>
      </c>
      <c r="F2000" s="5"/>
      <c r="G2000" s="5"/>
      <c r="H2000" s="5"/>
      <c r="I2000" s="5"/>
      <c r="J2000" s="5"/>
      <c r="K2000" s="5"/>
      <c r="L2000" s="5"/>
      <c r="M2000" s="5"/>
      <c r="N2000" s="5"/>
    </row>
    <row r="2001" customFormat="false" ht="15" hidden="false" customHeight="false" outlineLevel="0" collapsed="false">
      <c r="A2001" s="71" t="n">
        <f aca="false">A2000+$F$3</f>
        <v>39900</v>
      </c>
      <c r="B2001" s="71" t="n">
        <f aca="false">SUMPRODUCT(固有振動数!$Q$6:$Q$22*(1-($A2001/固有振動数!$O$6:$O$22)^2)/((1-($A2001/固有振動数!$O$6:$O$22)^2)^2+固有振動数!$P$6:$P$22^2))</f>
        <v>2.102110454451</v>
      </c>
      <c r="C2001" s="71" t="n">
        <f aca="false">-SUMPRODUCT(固有振動数!$Q$6:$Q$22*固有振動数!$P$6:$P$22/((1-($A2001/固有振動数!$O$6:$O$22)^2)^2+固有振動数!$P$6:$P$22^2))</f>
        <v>-0.46805239428703</v>
      </c>
      <c r="D2001" s="71" t="n">
        <f aca="false">SQRT(B2001^2+C2001^2)</f>
        <v>2.15358803082437</v>
      </c>
      <c r="E2001" s="72" t="n">
        <f aca="false">20*LOG10(MAX(D2001,0.000000000001)/$K$3)</f>
        <v>6.66325257671929</v>
      </c>
      <c r="F2001" s="5"/>
      <c r="G2001" s="5"/>
      <c r="H2001" s="5"/>
      <c r="I2001" s="5"/>
      <c r="J2001" s="5"/>
      <c r="K2001" s="5"/>
      <c r="L2001" s="5"/>
      <c r="M2001" s="5"/>
      <c r="N2001" s="5"/>
    </row>
    <row r="2002" customFormat="false" ht="15" hidden="false" customHeight="false" outlineLevel="0" collapsed="false">
      <c r="A2002" s="71" t="n">
        <f aca="false">A2001+$F$3</f>
        <v>39920</v>
      </c>
      <c r="B2002" s="71" t="n">
        <f aca="false">SUMPRODUCT(固有振動数!$Q$6:$Q$22*(1-($A2002/固有振動数!$O$6:$O$22)^2)/((1-($A2002/固有振動数!$O$6:$O$22)^2)^2+固有振動数!$P$6:$P$22^2))</f>
        <v>2.1467727401008</v>
      </c>
      <c r="C2002" s="71" t="n">
        <f aca="false">-SUMPRODUCT(固有振動数!$Q$6:$Q$22*固有振動数!$P$6:$P$22/((1-($A2002/固有振動数!$O$6:$O$22)^2)^2+固有振動数!$P$6:$P$22^2))</f>
        <v>-0.467671732291232</v>
      </c>
      <c r="D2002" s="71" t="n">
        <f aca="false">SQRT(B2002^2+C2002^2)</f>
        <v>2.19712312964572</v>
      </c>
      <c r="E2002" s="72" t="n">
        <f aca="false">20*LOG10(MAX(D2002,0.000000000001)/$K$3)</f>
        <v>6.83708792063391</v>
      </c>
      <c r="F2002" s="5"/>
      <c r="G2002" s="5"/>
      <c r="H2002" s="5"/>
      <c r="I2002" s="5"/>
      <c r="J2002" s="5"/>
      <c r="K2002" s="5"/>
      <c r="L2002" s="5"/>
      <c r="M2002" s="5"/>
      <c r="N2002" s="5"/>
    </row>
    <row r="2003" customFormat="false" ht="15" hidden="false" customHeight="false" outlineLevel="0" collapsed="false">
      <c r="A2003" s="71" t="n">
        <f aca="false">A2002+$F$3</f>
        <v>39940</v>
      </c>
      <c r="B2003" s="71" t="n">
        <f aca="false">SUMPRODUCT(固有振動数!$Q$6:$Q$22*(1-($A2003/固有振動数!$O$6:$O$22)^2)/((1-($A2003/固有振動数!$O$6:$O$22)^2)^2+固有振動数!$P$6:$P$22^2))</f>
        <v>2.19133190420736</v>
      </c>
      <c r="C2003" s="71" t="n">
        <f aca="false">-SUMPRODUCT(固有振動数!$Q$6:$Q$22*固有振動数!$P$6:$P$22/((1-($A2003/固有振動数!$O$6:$O$22)^2)^2+固有振動数!$P$6:$P$22^2))</f>
        <v>-0.467321881346971</v>
      </c>
      <c r="D2003" s="71" t="n">
        <f aca="false">SQRT(B2003^2+C2003^2)</f>
        <v>2.24060823331138</v>
      </c>
      <c r="E2003" s="72" t="n">
        <f aca="false">20*LOG10(MAX(D2003,0.000000000001)/$K$3)</f>
        <v>7.00731854984686</v>
      </c>
      <c r="F2003" s="5"/>
      <c r="G2003" s="5"/>
      <c r="H2003" s="5"/>
      <c r="I2003" s="5"/>
      <c r="J2003" s="5"/>
      <c r="K2003" s="5"/>
      <c r="L2003" s="5"/>
      <c r="M2003" s="5"/>
      <c r="N2003" s="5"/>
    </row>
    <row r="2004" customFormat="false" ht="15" hidden="false" customHeight="false" outlineLevel="0" collapsed="false">
      <c r="A2004" s="71" t="n">
        <f aca="false">A2003+$F$3</f>
        <v>39960</v>
      </c>
      <c r="B2004" s="71" t="n">
        <f aca="false">SUMPRODUCT(固有振動数!$Q$6:$Q$22*(1-($A2004/固有振動数!$O$6:$O$22)^2)/((1-($A2004/固有振動数!$O$6:$O$22)^2)^2+固有振動数!$P$6:$P$22^2))</f>
        <v>2.23579119400426</v>
      </c>
      <c r="C2004" s="71" t="n">
        <f aca="false">-SUMPRODUCT(固有振動数!$Q$6:$Q$22*固有振動数!$P$6:$P$22/((1-($A2004/固有振動数!$O$6:$O$22)^2)^2+固有振動数!$P$6:$P$22^2))</f>
        <v>-0.467002581752764</v>
      </c>
      <c r="D2004" s="71" t="n">
        <f aca="false">SQRT(B2004^2+C2004^2)</f>
        <v>2.28404327335336</v>
      </c>
      <c r="E2004" s="72" t="n">
        <f aca="false">20*LOG10(MAX(D2004,0.000000000001)/$K$3)</f>
        <v>7.17408655540395</v>
      </c>
      <c r="F2004" s="5"/>
      <c r="G2004" s="5"/>
      <c r="H2004" s="5"/>
      <c r="I2004" s="5"/>
      <c r="J2004" s="5"/>
      <c r="K2004" s="5"/>
      <c r="L2004" s="5"/>
      <c r="M2004" s="5"/>
      <c r="N2004" s="5"/>
    </row>
    <row r="2005" customFormat="false" ht="15" hidden="false" customHeight="false" outlineLevel="0" collapsed="false">
      <c r="A2005" s="71" t="n">
        <f aca="false">A2004+$F$3</f>
        <v>39980</v>
      </c>
      <c r="B2005" s="71" t="n">
        <f aca="false">SUMPRODUCT(固有振動数!$Q$6:$Q$22*(1-($A2005/固有振動数!$O$6:$O$22)^2)/((1-($A2005/固有振動数!$O$6:$O$22)^2)^2+固有振動数!$P$6:$P$22^2))</f>
        <v>2.28015382359388</v>
      </c>
      <c r="C2005" s="71" t="n">
        <f aca="false">-SUMPRODUCT(固有振動数!$Q$6:$Q$22*固有振動数!$P$6:$P$22/((1-($A2005/固有振動数!$O$6:$O$22)^2)^2+固有振動数!$P$6:$P$22^2))</f>
        <v>-0.46671358362375</v>
      </c>
      <c r="D2005" s="71" t="n">
        <f aca="false">SQRT(B2005^2+C2005^2)</f>
        <v>2.3274284153092</v>
      </c>
      <c r="E2005" s="72" t="n">
        <f aca="false">20*LOG10(MAX(D2005,0.000000000001)/$K$3)</f>
        <v>7.33752664536151</v>
      </c>
      <c r="F2005" s="5"/>
      <c r="G2005" s="5"/>
      <c r="H2005" s="5"/>
      <c r="I2005" s="5"/>
      <c r="J2005" s="5"/>
      <c r="K2005" s="5"/>
      <c r="L2005" s="5"/>
      <c r="M2005" s="5"/>
      <c r="N2005" s="5"/>
    </row>
    <row r="2006" customFormat="false" ht="15" hidden="false" customHeight="false" outlineLevel="0" collapsed="false">
      <c r="A2006" s="71" t="n">
        <f aca="false">A2005+$F$3</f>
        <v>40000</v>
      </c>
      <c r="B2006" s="71" t="n">
        <f aca="false">SUMPRODUCT(固有振動数!$Q$6:$Q$22*(1-($A2006/固有振動数!$O$6:$O$22)^2)/((1-($A2006/固有振動数!$O$6:$O$22)^2)^2+固有振動数!$P$6:$P$22^2))</f>
        <v>2.32442297499735</v>
      </c>
      <c r="C2006" s="71" t="n">
        <f aca="false">-SUMPRODUCT(固有振動数!$Q$6:$Q$22*固有振動数!$P$6:$P$22/((1-($A2006/固有振動数!$O$6:$O$22)^2)^2+固有振動数!$P$6:$P$22^2))</f>
        <v>-0.466454646701476</v>
      </c>
      <c r="D2006" s="71" t="n">
        <f aca="false">SQRT(B2006^2+C2006^2)</f>
        <v>2.37076403383485</v>
      </c>
      <c r="E2006" s="72" t="n">
        <f aca="false">20*LOG10(MAX(D2006,0.000000000001)/$K$3)</f>
        <v>7.49776660125745</v>
      </c>
      <c r="F2006" s="5"/>
      <c r="G2006" s="5"/>
      <c r="H2006" s="5"/>
      <c r="I2006" s="5"/>
      <c r="J2006" s="5"/>
      <c r="K2006" s="5"/>
      <c r="L2006" s="5"/>
      <c r="M2006" s="5"/>
      <c r="N2006" s="5"/>
    </row>
    <row r="2007" customFormat="false" ht="15" hidden="false" customHeight="false" outlineLevel="0" collapsed="false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</row>
    <row r="2008" customFormat="false" ht="15" hidden="false" customHeight="false" outlineLevel="0" collapsed="false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</row>
    <row r="2009" customFormat="false" ht="15" hidden="false" customHeight="false" outlineLevel="0" collapsed="false">
      <c r="A2009" s="6" t="s">
        <v>541</v>
      </c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</row>
    <row r="2010" customFormat="false" ht="15" hidden="false" customHeight="false" outlineLevel="0" collapsed="false">
      <c r="A2010" s="18" t="s">
        <v>542</v>
      </c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</row>
    <row r="2011" customFormat="false" ht="15" hidden="false" customHeight="false" outlineLevel="0" collapsed="false">
      <c r="A2011" s="18" t="s">
        <v>543</v>
      </c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</row>
    <row r="2012" customFormat="false" ht="15" hidden="false" customHeight="false" outlineLevel="0" collapsed="false">
      <c r="A2012" s="18" t="s">
        <v>544</v>
      </c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</row>
    <row r="2013" customFormat="false" ht="15" hidden="false" customHeight="false" outlineLevel="0" collapsed="false">
      <c r="A2013" s="18" t="s">
        <v>545</v>
      </c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</row>
    <row r="2014" customFormat="false" ht="15" hidden="false" customHeight="false" outlineLevel="0" collapsed="false">
      <c r="A2014" s="18" t="s">
        <v>546</v>
      </c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</row>
    <row r="2015" customFormat="false" ht="15" hidden="false" customHeight="false" outlineLevel="0" collapsed="false">
      <c r="A2015" s="18" t="s">
        <v>547</v>
      </c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</row>
    <row r="2016" customFormat="false" ht="15" hidden="false" customHeight="false" outlineLevel="0" collapsed="false">
      <c r="A2016" s="6" t="s">
        <v>548</v>
      </c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</row>
    <row r="2017" customFormat="false" ht="15" hidden="false" customHeight="false" outlineLevel="0" collapsed="false">
      <c r="A2017" s="59" t="s">
        <v>549</v>
      </c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</row>
    <row r="2018" customFormat="false" ht="15" hidden="false" customHeight="false" outlineLevel="0" collapsed="false">
      <c r="A2018" s="59" t="s">
        <v>550</v>
      </c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</row>
    <row r="2019" customFormat="false" ht="15" hidden="false" customHeight="false" outlineLevel="0" collapsed="false">
      <c r="A2019" s="59" t="s">
        <v>551</v>
      </c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</row>
    <row r="2020" customFormat="false" ht="15" hidden="false" customHeight="false" outlineLevel="0" collapsed="false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</row>
    <row r="2021" customFormat="false" ht="15" hidden="false" customHeight="false" outlineLevel="0" collapsed="false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</row>
    <row r="2022" customFormat="false" ht="15" hidden="false" customHeight="false" outlineLevel="0" collapsed="false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AP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3" style="0" width="15"/>
    <col collapsed="false" customWidth="true" hidden="false" outlineLevel="0" max="5" min="5" style="0" width="13"/>
    <col collapsed="false" customWidth="true" hidden="false" outlineLevel="0" max="7" min="6" style="0" width="2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552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customFormat="false" ht="15" hidden="false" customHeight="false" outlineLevel="0" collapsed="false">
      <c r="A2" s="22" t="s">
        <v>553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customFormat="false" ht="15" hidden="false" customHeight="false" outlineLevel="0" collapsed="false">
      <c r="A3" s="9" t="s">
        <v>554</v>
      </c>
      <c r="B3" s="5"/>
      <c r="C3" s="49" t="n">
        <v>1250</v>
      </c>
      <c r="D3" s="9" t="s">
        <v>555</v>
      </c>
      <c r="E3" s="5"/>
      <c r="F3" s="49" t="n">
        <v>16000</v>
      </c>
      <c r="G3" s="9" t="s">
        <v>556</v>
      </c>
      <c r="H3" s="5"/>
      <c r="I3" s="73" t="n">
        <v>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customFormat="false" ht="15" hidden="false" customHeight="false" outlineLevel="0" collapsed="false">
      <c r="A4" s="9" t="s">
        <v>557</v>
      </c>
      <c r="B4" s="5"/>
      <c r="C4" s="52" t="n">
        <v>1</v>
      </c>
      <c r="D4" s="9" t="s">
        <v>558</v>
      </c>
      <c r="E4" s="5"/>
      <c r="F4" s="5"/>
      <c r="G4" s="44" t="s">
        <v>559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customFormat="false" ht="19.4" hidden="false" customHeight="false" outlineLevel="0" collapsed="false">
      <c r="A6" s="6" t="s">
        <v>560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customFormat="false" ht="15" hidden="false" customHeight="false" outlineLevel="0" collapsed="false">
      <c r="A7" s="10" t="s">
        <v>561</v>
      </c>
      <c r="B7" s="49" t="n">
        <v>1800</v>
      </c>
      <c r="C7" s="44" t="s">
        <v>562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customFormat="false" ht="15" hidden="false" customHeight="false" outlineLevel="0" collapsed="false">
      <c r="A8" s="10" t="s">
        <v>563</v>
      </c>
      <c r="B8" s="49" t="n">
        <v>3200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customFormat="false" ht="15" hidden="false" customHeight="false" outlineLevel="0" collapsed="false">
      <c r="A9" s="10" t="s">
        <v>564</v>
      </c>
      <c r="B9" s="49" t="n">
        <v>5000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customFormat="false" ht="15" hidden="false" customHeight="false" outlineLevel="0" collapsed="false">
      <c r="A10" s="10" t="s">
        <v>565</v>
      </c>
      <c r="B10" s="49" t="n">
        <v>7100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customFormat="false" ht="15" hidden="false" customHeight="false" outlineLevel="0" collapsed="false">
      <c r="A11" s="10" t="s">
        <v>566</v>
      </c>
      <c r="B11" s="49" t="n">
        <v>9400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customFormat="false" ht="15" hidden="false" customHeight="false" outlineLevel="0" collapsed="false">
      <c r="A12" s="10" t="s">
        <v>567</v>
      </c>
      <c r="B12" s="49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customFormat="false" ht="15" hidden="false" customHeight="false" outlineLevel="0" collapsed="false">
      <c r="A13" s="10" t="s">
        <v>568</v>
      </c>
      <c r="B13" s="49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customFormat="false" ht="15" hidden="false" customHeight="false" outlineLevel="0" collapsed="false">
      <c r="A14" s="10" t="s">
        <v>569</v>
      </c>
      <c r="B14" s="4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customFormat="false" ht="15" hidden="false" customHeight="false" outlineLevel="0" collapsed="false">
      <c r="A15" s="10" t="s">
        <v>570</v>
      </c>
      <c r="B15" s="49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customFormat="false" ht="15" hidden="false" customHeight="false" outlineLevel="0" collapsed="false">
      <c r="A16" s="10" t="s">
        <v>571</v>
      </c>
      <c r="B16" s="49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customFormat="false" ht="26.85" hidden="false" customHeight="false" outlineLevel="0" collapsed="false">
      <c r="A18" s="51" t="s">
        <v>472</v>
      </c>
      <c r="B18" s="50" t="s">
        <v>488</v>
      </c>
      <c r="C18" s="50" t="s">
        <v>572</v>
      </c>
      <c r="D18" s="50" t="s">
        <v>573</v>
      </c>
      <c r="E18" s="50" t="s">
        <v>574</v>
      </c>
      <c r="F18" s="50" t="s">
        <v>575</v>
      </c>
      <c r="G18" s="50" t="s">
        <v>576</v>
      </c>
      <c r="H18" s="50" t="s">
        <v>577</v>
      </c>
      <c r="I18" s="50" t="s">
        <v>578</v>
      </c>
      <c r="J18" s="50" t="s">
        <v>579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customFormat="false" ht="15" hidden="false" customHeight="false" outlineLevel="0" collapsed="false">
      <c r="A19" s="37" t="n">
        <v>1</v>
      </c>
      <c r="B19" s="26" t="str">
        <f aca="false">固有振動数!$R$6</f>
        <v>面外曲げ 1次</v>
      </c>
      <c r="C19" s="58" t="n">
        <f aca="false">固有振動数!$I$6</f>
        <v>2153.60873540861</v>
      </c>
      <c r="D19" s="58" t="n">
        <f aca="false">C19*$C$4</f>
        <v>2153.60873540861</v>
      </c>
      <c r="E19" s="66" t="str">
        <f aca="false">IF(AND(D19&gt;=$C$3,D19&lt;=$F$3),"○ 帯域内","− 帯域外")</f>
        <v>○ 帯域内</v>
      </c>
      <c r="F19" s="45" t="n">
        <f aca="false">MIN(L19:AB19)</f>
        <v>97.1942494703107</v>
      </c>
      <c r="G19" s="45" t="n">
        <f aca="false">MIN(AD19:AM19)</f>
        <v>16.4193583353719</v>
      </c>
      <c r="H19" s="74" t="str">
        <f aca="false">IF(E19="− 帯域外","− 対象外",IF(OR(F19&lt;$I$3,G19&lt;$I$3),"🔴 高リスク",IF(OR(F19&lt;$I$3*2,G19&lt;$I$3*2),"🟡 中リスク","🟢 低リスク")))</f>
        <v>🟢 低リスク</v>
      </c>
      <c r="I19" s="38" t="n">
        <f aca="false">IF(E19="○ 帯域内",F19,1000000)</f>
        <v>97.1942494703107</v>
      </c>
      <c r="J19" s="38" t="n">
        <f aca="false">IF(E19="○ 帯域内",G19,1000000)</f>
        <v>16.4193583353719</v>
      </c>
      <c r="K19" s="5"/>
      <c r="L19" s="75" t="n">
        <f aca="false">IF(OR(0=0,$D19&lt;=0,$D$19&lt;=0),1000000,ABS($D19-$D$19)/$D19*100)</f>
        <v>1000000</v>
      </c>
      <c r="M19" s="75" t="n">
        <f aca="false">IF(OR(1=0,$D19&lt;=0,$D$20&lt;=0),1000000,ABS($D19-$D$20)/$D19*100)</f>
        <v>171.947674801756</v>
      </c>
      <c r="N19" s="75" t="n">
        <f aca="false">IF(OR(2=0,$D19&lt;=0,$D$21&lt;=0),1000000,ABS($D19-$D$21)/$D19*100)</f>
        <v>422.709096299057</v>
      </c>
      <c r="O19" s="75" t="n">
        <f aca="false">IF(OR(3=0,$D19&lt;=0,$D$22&lt;=0),1000000,ABS($D19-$D$22)/$D19*100)</f>
        <v>742.605136709209</v>
      </c>
      <c r="P19" s="75" t="n">
        <f aca="false">IF(OR(4=0,$D19&lt;=0,$D$23&lt;=0),1000000,ABS($D19-$D$23)/$D19*100)</f>
        <v>1121.80458540657</v>
      </c>
      <c r="Q19" s="75" t="n">
        <f aca="false">IF(OR(5=0,$D19&lt;=0,$D$24&lt;=0),1000000,ABS($D19-$D$24)/$D19*100)</f>
        <v>1550.23968959702</v>
      </c>
      <c r="R19" s="75" t="n">
        <f aca="false">IF(OR(6=0,$D19&lt;=0,$D$25&lt;=0),1000000,ABS($D19-$D$25)/$D19*100)</f>
        <v>97.1942494703107</v>
      </c>
      <c r="S19" s="75" t="n">
        <f aca="false">IF(OR(7=0,$D19&lt;=0,$D$26&lt;=0),1000000,ABS($D19-$D$26)/$D19*100)</f>
        <v>294.388498940621</v>
      </c>
      <c r="T19" s="75" t="n">
        <f aca="false">IF(OR(8=0,$D19&lt;=0,$D$27&lt;=0),1000000,ABS($D19-$D$27)/$D19*100)</f>
        <v>491.582748410932</v>
      </c>
      <c r="U19" s="75" t="n">
        <f aca="false">IF(OR(9=0,$D19&lt;=0,$D$28&lt;=0),1000000,ABS($D19-$D$28)/$D19*100)</f>
        <v>688.776997881243</v>
      </c>
      <c r="V19" s="75" t="n">
        <f aca="false">IF(OR(10=0,$D19&lt;=0,$D$29&lt;=0),1000000,ABS($D19-$D$29)/$D19*100)</f>
        <v>593.506994853579</v>
      </c>
      <c r="W19" s="75" t="n">
        <f aca="false">IF(OR(11=0,$D19&lt;=0,$D$30&lt;=0),1000000,ABS($D19-$D$30)/$D19*100)</f>
        <v>1371.8487762335</v>
      </c>
      <c r="X19" s="75" t="n">
        <f aca="false">IF(OR(12=0,$D19&lt;=0,$D$31&lt;=0),1000000,ABS($D19-$D$31)/$D19*100)</f>
        <v>2171.38781070664</v>
      </c>
      <c r="Y19" s="75" t="n">
        <f aca="false">IF(OR(13=0,$D19&lt;=0,$D$32&lt;=0),1000000,ABS($D19-$D$32)/$D19*100)</f>
        <v>2958.60874138721</v>
      </c>
      <c r="Z19" s="75" t="n">
        <f aca="false">IF(OR(14=0,$D19&lt;=0,$D$33&lt;=0),1000000,ABS($D19-$D$33)/$D19*100)</f>
        <v>978.580631470841</v>
      </c>
      <c r="AA19" s="75" t="n">
        <f aca="false">IF(OR(15=0,$D19&lt;=0,$D$34&lt;=0),1000000,ABS($D19-$D$34)/$D19*100)</f>
        <v>2057.16126294168</v>
      </c>
      <c r="AB19" s="75" t="n">
        <f aca="false">IF(OR(16=0,$D19&lt;=0,$D$35&lt;=0),1000000,ABS($D19-$D$35)/$D19*100)</f>
        <v>3135.74189441252</v>
      </c>
      <c r="AC19" s="75"/>
      <c r="AD19" s="75" t="n">
        <f aca="false">IF(OR($B$7="",$B$7&lt;=0,$D19&lt;=0),1000000,ABS($D19-$B$7)/$D19*100)</f>
        <v>16.4193583353719</v>
      </c>
      <c r="AE19" s="75" t="n">
        <f aca="false">IF(OR($B$8="",$B$8&lt;=0,$D19&lt;=0),1000000,ABS($D19-$B$8)/$D19*100)</f>
        <v>48.5878074037834</v>
      </c>
      <c r="AF19" s="75" t="n">
        <f aca="false">IF(OR($B$9="",$B$9&lt;=0,$D19&lt;=0),1000000,ABS($D19-$B$9)/$D19*100)</f>
        <v>132.168449068411</v>
      </c>
      <c r="AG19" s="75" t="n">
        <f aca="false">IF(OR($B$10="",$B$10&lt;=0,$D19&lt;=0),1000000,ABS($D19-$B$10)/$D19*100)</f>
        <v>229.679197677144</v>
      </c>
      <c r="AH19" s="75" t="n">
        <f aca="false">IF(OR($B$11="",$B$11&lt;=0,$D19&lt;=0),1000000,ABS($D19-$B$11)/$D19*100)</f>
        <v>336.476684248614</v>
      </c>
      <c r="AI19" s="75" t="n">
        <f aca="false">IF(OR($B$12="",$B$12&lt;=0,$D19&lt;=0),1000000,ABS($D19-$B$12)/$D19*100)</f>
        <v>1000000</v>
      </c>
      <c r="AJ19" s="75" t="n">
        <f aca="false">IF(OR($B$13="",$B$13&lt;=0,$D19&lt;=0),1000000,ABS($D19-$B$13)/$D19*100)</f>
        <v>1000000</v>
      </c>
      <c r="AK19" s="75" t="n">
        <f aca="false">IF(OR($B$14="",$B$14&lt;=0,$D19&lt;=0),1000000,ABS($D19-$B$14)/$D19*100)</f>
        <v>1000000</v>
      </c>
      <c r="AL19" s="75" t="n">
        <f aca="false">IF(OR($B$15="",$B$15&lt;=0,$D19&lt;=0),1000000,ABS($D19-$B$15)/$D19*100)</f>
        <v>1000000</v>
      </c>
      <c r="AM19" s="75" t="n">
        <f aca="false">IF(OR($B$16="",$B$16&lt;=0,$D19&lt;=0),1000000,ABS($D19-$B$16)/$D19*100)</f>
        <v>1000000</v>
      </c>
      <c r="AN19" s="5"/>
      <c r="AO19" s="5"/>
      <c r="AP19" s="5"/>
    </row>
    <row r="20" customFormat="false" ht="15" hidden="false" customHeight="false" outlineLevel="0" collapsed="false">
      <c r="A20" s="37" t="n">
        <v>2</v>
      </c>
      <c r="B20" s="26" t="str">
        <f aca="false">固有振動数!$R$7</f>
        <v>面外曲げ 2次</v>
      </c>
      <c r="C20" s="58" t="n">
        <f aca="false">固有振動数!$I$7</f>
        <v>5856.68888027122</v>
      </c>
      <c r="D20" s="58" t="n">
        <f aca="false">C20*$C$4</f>
        <v>5856.68888027122</v>
      </c>
      <c r="E20" s="66" t="str">
        <f aca="false">IF(AND(D20&gt;=$C$3,D20&lt;=$F$3),"○ 帯域内","− 帯域外")</f>
        <v>○ 帯域内</v>
      </c>
      <c r="F20" s="45" t="n">
        <f aca="false">MIN(L20:AB20)</f>
        <v>27.4881649147907</v>
      </c>
      <c r="G20" s="45" t="n">
        <f aca="false">MIN(AD20:AM20)</f>
        <v>14.6275292709683</v>
      </c>
      <c r="H20" s="74" t="str">
        <f aca="false">IF(E20="− 帯域外","− 対象外",IF(OR(F20&lt;$I$3,G20&lt;$I$3),"🔴 高リスク",IF(OR(F20&lt;$I$3*2,G20&lt;$I$3*2),"🟡 中リスク","🟢 低リスク")))</f>
        <v>🟢 低リスク</v>
      </c>
      <c r="I20" s="38" t="n">
        <f aca="false">IF(E20="○ 帯域内",F20,1000000)</f>
        <v>27.4881649147907</v>
      </c>
      <c r="J20" s="38" t="n">
        <f aca="false">IF(E20="○ 帯域内",G20,1000000)</f>
        <v>14.6275292709683</v>
      </c>
      <c r="K20" s="5"/>
      <c r="L20" s="75" t="n">
        <f aca="false">IF(OR(0=1,$D20&lt;=0,$D$19&lt;=0),1000000,ABS($D20-$D$19)/$D20*100)</f>
        <v>63.2282202549083</v>
      </c>
      <c r="M20" s="75" t="n">
        <f aca="false">IF(OR(1=1,$D20&lt;=0,$D$20&lt;=0),1000000,ABS($D20-$D$20)/$D20*100)</f>
        <v>1000000</v>
      </c>
      <c r="N20" s="75" t="n">
        <f aca="false">IF(OR(2=1,$D20&lt;=0,$D$21&lt;=0),1000000,ABS($D20-$D$21)/$D20*100)</f>
        <v>92.2094375986486</v>
      </c>
      <c r="O20" s="75" t="n">
        <f aca="false">IF(OR(3=1,$D20&lt;=0,$D$22&lt;=0),1000000,ABS($D20-$D$22)/$D20*100)</f>
        <v>209.840904991539</v>
      </c>
      <c r="P20" s="75" t="n">
        <f aca="false">IF(OR(4=1,$D20&lt;=0,$D$23&lt;=0),1000000,ABS($D20-$D$23)/$D20*100)</f>
        <v>349.279291061136</v>
      </c>
      <c r="Q20" s="75" t="n">
        <f aca="false">IF(OR(5=1,$D20&lt;=0,$D$24&lt;=0),1000000,ABS($D20-$D$24)/$D20*100)</f>
        <v>506.822503924702</v>
      </c>
      <c r="R20" s="75" t="n">
        <f aca="false">IF(OR(6=1,$D20&lt;=0,$D$25&lt;=0),1000000,ABS($D20-$D$25)/$D20*100)</f>
        <v>27.4881649147907</v>
      </c>
      <c r="S20" s="75" t="n">
        <f aca="false">IF(OR(7=1,$D20&lt;=0,$D$26&lt;=0),1000000,ABS($D20-$D$26)/$D20*100)</f>
        <v>45.0236701704187</v>
      </c>
      <c r="T20" s="75" t="n">
        <f aca="false">IF(OR(8=1,$D20&lt;=0,$D$27&lt;=0),1000000,ABS($D20-$D$27)/$D20*100)</f>
        <v>117.535505255628</v>
      </c>
      <c r="U20" s="75" t="n">
        <f aca="false">IF(OR(9=1,$D20&lt;=0,$D$28&lt;=0),1000000,ABS($D20-$D$28)/$D20*100)</f>
        <v>190.047340340837</v>
      </c>
      <c r="V20" s="75" t="n">
        <f aca="false">IF(OR(10=1,$D20&lt;=0,$D$29&lt;=0),1000000,ABS($D20-$D$29)/$D20*100)</f>
        <v>155.014864664363</v>
      </c>
      <c r="W20" s="75" t="n">
        <f aca="false">IF(OR(11=1,$D20&lt;=0,$D$30&lt;=0),1000000,ABS($D20-$D$30)/$D20*100)</f>
        <v>441.224990177411</v>
      </c>
      <c r="X20" s="75" t="n">
        <f aca="false">IF(OR(12=1,$D20&lt;=0,$D$31&lt;=0),1000000,ABS($D20-$D$31)/$D20*100)</f>
        <v>735.229722909906</v>
      </c>
      <c r="Y20" s="75" t="n">
        <f aca="false">IF(OR(13=1,$D20&lt;=0,$D$32&lt;=0),1000000,ABS($D20-$D$32)/$D20*100)</f>
        <v>1024.70486964703</v>
      </c>
      <c r="Z20" s="75" t="n">
        <f aca="false">IF(OR(14=1,$D20&lt;=0,$D$33&lt;=0),1000000,ABS($D20-$D$33)/$D20*100)</f>
        <v>296.613294177677</v>
      </c>
      <c r="AA20" s="75" t="n">
        <f aca="false">IF(OR(15=1,$D20&lt;=0,$D$34&lt;=0),1000000,ABS($D20-$D$34)/$D20*100)</f>
        <v>693.226588355354</v>
      </c>
      <c r="AB20" s="75" t="n">
        <f aca="false">IF(OR(16=1,$D20&lt;=0,$D$35&lt;=0),1000000,ABS($D20-$D$35)/$D20*100)</f>
        <v>1089.83988253303</v>
      </c>
      <c r="AC20" s="75"/>
      <c r="AD20" s="75" t="n">
        <f aca="false">IF(OR($B$7="",$B$7&lt;=0,$D20&lt;=0),1000000,ABS($D20-$B$7)/$D20*100)</f>
        <v>69.2659105375486</v>
      </c>
      <c r="AE20" s="75" t="n">
        <f aca="false">IF(OR($B$8="",$B$8&lt;=0,$D20&lt;=0),1000000,ABS($D20-$B$8)/$D20*100)</f>
        <v>45.3616187334197</v>
      </c>
      <c r="AF20" s="75" t="n">
        <f aca="false">IF(OR($B$9="",$B$9&lt;=0,$D20&lt;=0),1000000,ABS($D20-$B$9)/$D20*100)</f>
        <v>14.6275292709683</v>
      </c>
      <c r="AG20" s="75" t="n">
        <f aca="false">IF(OR($B$10="",$B$10&lt;=0,$D20&lt;=0),1000000,ABS($D20-$B$10)/$D20*100)</f>
        <v>21.228908435225</v>
      </c>
      <c r="AH20" s="75" t="n">
        <f aca="false">IF(OR($B$11="",$B$11&lt;=0,$D20&lt;=0),1000000,ABS($D20-$B$11)/$D20*100)</f>
        <v>60.5002449705796</v>
      </c>
      <c r="AI20" s="75" t="n">
        <f aca="false">IF(OR($B$12="",$B$12&lt;=0,$D20&lt;=0),1000000,ABS($D20-$B$12)/$D20*100)</f>
        <v>1000000</v>
      </c>
      <c r="AJ20" s="75" t="n">
        <f aca="false">IF(OR($B$13="",$B$13&lt;=0,$D20&lt;=0),1000000,ABS($D20-$B$13)/$D20*100)</f>
        <v>1000000</v>
      </c>
      <c r="AK20" s="75" t="n">
        <f aca="false">IF(OR($B$14="",$B$14&lt;=0,$D20&lt;=0),1000000,ABS($D20-$B$14)/$D20*100)</f>
        <v>1000000</v>
      </c>
      <c r="AL20" s="75" t="n">
        <f aca="false">IF(OR($B$15="",$B$15&lt;=0,$D20&lt;=0),1000000,ABS($D20-$B$15)/$D20*100)</f>
        <v>1000000</v>
      </c>
      <c r="AM20" s="75" t="n">
        <f aca="false">IF(OR($B$16="",$B$16&lt;=0,$D20&lt;=0),1000000,ABS($D20-$B$16)/$D20*100)</f>
        <v>1000000</v>
      </c>
      <c r="AN20" s="5"/>
      <c r="AO20" s="5"/>
      <c r="AP20" s="5"/>
    </row>
    <row r="21" customFormat="false" ht="15" hidden="false" customHeight="false" outlineLevel="0" collapsed="false">
      <c r="A21" s="37" t="n">
        <v>3</v>
      </c>
      <c r="B21" s="26" t="str">
        <f aca="false">固有振動数!$R$8</f>
        <v>面外曲げ 3次</v>
      </c>
      <c r="C21" s="58" t="n">
        <f aca="false">固有振動数!$I$8</f>
        <v>11257.1087586719</v>
      </c>
      <c r="D21" s="58" t="n">
        <f aca="false">C21*$C$4</f>
        <v>11257.1087586719</v>
      </c>
      <c r="E21" s="66" t="str">
        <f aca="false">IF(AND(D21&gt;=$C$3,D21&lt;=$F$3),"○ 帯域内","− 帯域外")</f>
        <v>○ 帯域内</v>
      </c>
      <c r="F21" s="45" t="n">
        <f aca="false">MIN(L21:AB21)</f>
        <v>13.1762872694434</v>
      </c>
      <c r="G21" s="45" t="n">
        <f aca="false">MIN(AD21:AM21)</f>
        <v>16.4972089946388</v>
      </c>
      <c r="H21" s="74" t="str">
        <f aca="false">IF(E21="− 帯域外","− 対象外",IF(OR(F21&lt;$I$3,G21&lt;$I$3),"🔴 高リスク",IF(OR(F21&lt;$I$3*2,G21&lt;$I$3*2),"🟡 中リスク","🟢 低リスク")))</f>
        <v>🟢 低リスク</v>
      </c>
      <c r="I21" s="38" t="n">
        <f aca="false">IF(E21="○ 帯域内",F21,1000000)</f>
        <v>13.1762872694434</v>
      </c>
      <c r="J21" s="38" t="n">
        <f aca="false">IF(E21="○ 帯域内",G21,1000000)</f>
        <v>16.4972089946388</v>
      </c>
      <c r="K21" s="5"/>
      <c r="L21" s="75" t="n">
        <f aca="false">IF(OR(0=2,$D21&lt;=0,$D$19&lt;=0),1000000,ABS($D21-$D$19)/$D21*100)</f>
        <v>80.8688999850909</v>
      </c>
      <c r="M21" s="75" t="n">
        <f aca="false">IF(OR(1=2,$D21&lt;=0,$D$20&lt;=0),1000000,ABS($D21-$D$20)/$D21*100)</f>
        <v>47.9734183454564</v>
      </c>
      <c r="N21" s="75" t="n">
        <f aca="false">IF(OR(2=2,$D21&lt;=0,$D$21&lt;=0),1000000,ABS($D21-$D$21)/$D21*100)</f>
        <v>1000000</v>
      </c>
      <c r="O21" s="75" t="n">
        <f aca="false">IF(OR(3=2,$D21&lt;=0,$D$22&lt;=0),1000000,ABS($D21-$D$22)/$D21*100)</f>
        <v>61.1996314346002</v>
      </c>
      <c r="P21" s="75" t="n">
        <f aca="false">IF(OR(4=2,$D21&lt;=0,$D$23&lt;=0),1000000,ABS($D21-$D$23)/$D21*100)</f>
        <v>133.744657220877</v>
      </c>
      <c r="Q21" s="75" t="n">
        <f aca="false">IF(OR(5=2,$D21&lt;=0,$D$24&lt;=0),1000000,ABS($D21-$D$24)/$D21*100)</f>
        <v>215.709005502531</v>
      </c>
      <c r="R21" s="75" t="n">
        <f aca="false">IF(OR(6=2,$D21&lt;=0,$D$25&lt;=0),1000000,ABS($D21-$D$25)/$D21*100)</f>
        <v>62.2745709101855</v>
      </c>
      <c r="S21" s="75" t="n">
        <f aca="false">IF(OR(7=2,$D21&lt;=0,$D$26&lt;=0),1000000,ABS($D21-$D$26)/$D21*100)</f>
        <v>24.5491418203711</v>
      </c>
      <c r="T21" s="75" t="n">
        <f aca="false">IF(OR(8=2,$D21&lt;=0,$D$27&lt;=0),1000000,ABS($D21-$D$27)/$D21*100)</f>
        <v>13.1762872694434</v>
      </c>
      <c r="U21" s="75" t="n">
        <f aca="false">IF(OR(9=2,$D21&lt;=0,$D$28&lt;=0),1000000,ABS($D21-$D$28)/$D21*100)</f>
        <v>50.9017163592578</v>
      </c>
      <c r="V21" s="75" t="n">
        <f aca="false">IF(OR(10=2,$D21&lt;=0,$D$29&lt;=0),1000000,ABS($D21-$D$29)/$D21*100)</f>
        <v>32.6755167958286</v>
      </c>
      <c r="W21" s="75" t="n">
        <f aca="false">IF(OR(11=2,$D21&lt;=0,$D$30&lt;=0),1000000,ABS($D21-$D$30)/$D21*100)</f>
        <v>181.580861449446</v>
      </c>
      <c r="X21" s="75" t="n">
        <f aca="false">IF(OR(12=2,$D21&lt;=0,$D$31&lt;=0),1000000,ABS($D21-$D$31)/$D21*100)</f>
        <v>334.541473792741</v>
      </c>
      <c r="Y21" s="75" t="n">
        <f aca="false">IF(OR(13=2,$D21&lt;=0,$D$32&lt;=0),1000000,ABS($D21-$D$32)/$D21*100)</f>
        <v>485.145497379539</v>
      </c>
      <c r="Z21" s="75" t="n">
        <f aca="false">IF(OR(14=2,$D21&lt;=0,$D$33&lt;=0),1000000,ABS($D21-$D$33)/$D21*100)</f>
        <v>106.344339348124</v>
      </c>
      <c r="AA21" s="75" t="n">
        <f aca="false">IF(OR(15=2,$D21&lt;=0,$D$34&lt;=0),1000000,ABS($D21-$D$34)/$D21*100)</f>
        <v>312.688678696249</v>
      </c>
      <c r="AB21" s="75" t="n">
        <f aca="false">IF(OR(16=2,$D21&lt;=0,$D$35&lt;=0),1000000,ABS($D21-$D$35)/$D21*100)</f>
        <v>519.033018044373</v>
      </c>
      <c r="AC21" s="75"/>
      <c r="AD21" s="75" t="n">
        <f aca="false">IF(OR($B$7="",$B$7&lt;=0,$D21&lt;=0),1000000,ABS($D21-$B$7)/$D21*100)</f>
        <v>84.0101038500372</v>
      </c>
      <c r="AE21" s="75" t="n">
        <f aca="false">IF(OR($B$8="",$B$8&lt;=0,$D21&lt;=0),1000000,ABS($D21-$B$8)/$D21*100)</f>
        <v>71.5735179556217</v>
      </c>
      <c r="AF21" s="75" t="n">
        <f aca="false">IF(OR($B$9="",$B$9&lt;=0,$D21&lt;=0),1000000,ABS($D21-$B$9)/$D21*100)</f>
        <v>55.5836218056589</v>
      </c>
      <c r="AG21" s="75" t="n">
        <f aca="false">IF(OR($B$10="",$B$10&lt;=0,$D21&lt;=0),1000000,ABS($D21-$B$10)/$D21*100)</f>
        <v>36.9287429640357</v>
      </c>
      <c r="AH21" s="75" t="n">
        <f aca="false">IF(OR($B$11="",$B$11&lt;=0,$D21&lt;=0),1000000,ABS($D21-$B$11)/$D21*100)</f>
        <v>16.4972089946388</v>
      </c>
      <c r="AI21" s="75" t="n">
        <f aca="false">IF(OR($B$12="",$B$12&lt;=0,$D21&lt;=0),1000000,ABS($D21-$B$12)/$D21*100)</f>
        <v>1000000</v>
      </c>
      <c r="AJ21" s="75" t="n">
        <f aca="false">IF(OR($B$13="",$B$13&lt;=0,$D21&lt;=0),1000000,ABS($D21-$B$13)/$D21*100)</f>
        <v>1000000</v>
      </c>
      <c r="AK21" s="75" t="n">
        <f aca="false">IF(OR($B$14="",$B$14&lt;=0,$D21&lt;=0),1000000,ABS($D21-$B$14)/$D21*100)</f>
        <v>1000000</v>
      </c>
      <c r="AL21" s="75" t="n">
        <f aca="false">IF(OR($B$15="",$B$15&lt;=0,$D21&lt;=0),1000000,ABS($D21-$B$15)/$D21*100)</f>
        <v>1000000</v>
      </c>
      <c r="AM21" s="75" t="n">
        <f aca="false">IF(OR($B$16="",$B$16&lt;=0,$D21&lt;=0),1000000,ABS($D21-$B$16)/$D21*100)</f>
        <v>1000000</v>
      </c>
      <c r="AN21" s="5"/>
      <c r="AO21" s="5"/>
      <c r="AP21" s="5"/>
    </row>
    <row r="22" customFormat="false" ht="15" hidden="false" customHeight="false" outlineLevel="0" collapsed="false">
      <c r="A22" s="37" t="n">
        <v>4</v>
      </c>
      <c r="B22" s="26" t="str">
        <f aca="false">固有振動数!$R$9</f>
        <v>面外曲げ 4次</v>
      </c>
      <c r="C22" s="58" t="n">
        <f aca="false">固有振動数!$I$9</f>
        <v>18146.4178291712</v>
      </c>
      <c r="D22" s="58" t="n">
        <f aca="false">C22*$C$4</f>
        <v>18146.4178291712</v>
      </c>
      <c r="E22" s="66" t="str">
        <f aca="false">IF(AND(D22&gt;=$C$3,D22&lt;=$F$3),"○ 帯域内","− 帯域外")</f>
        <v>− 帯域外</v>
      </c>
      <c r="F22" s="45" t="n">
        <f aca="false">MIN(L22:AB22)</f>
        <v>6.38829939230991</v>
      </c>
      <c r="G22" s="45" t="n">
        <f aca="false">MIN(AD22:AM22)</f>
        <v>48.19914272618</v>
      </c>
      <c r="H22" s="74" t="str">
        <f aca="false">IF(E22="− 帯域外","− 対象外",IF(OR(F22&lt;$I$3,G22&lt;$I$3),"🔴 高リスク",IF(OR(F22&lt;$I$3*2,G22&lt;$I$3*2),"🟡 中リスク","🟢 低リスク")))</f>
        <v>− 対象外</v>
      </c>
      <c r="I22" s="38" t="n">
        <f aca="false">IF(E22="○ 帯域内",F22,1000000)</f>
        <v>1000000</v>
      </c>
      <c r="J22" s="38" t="n">
        <f aca="false">IF(E22="○ 帯域内",G22,1000000)</f>
        <v>1000000</v>
      </c>
      <c r="K22" s="5"/>
      <c r="L22" s="75" t="n">
        <f aca="false">IF(OR(0=3,$D22&lt;=0,$D$19&lt;=0),1000000,ABS($D22-$D$19)/$D22*100)</f>
        <v>88.1320448163241</v>
      </c>
      <c r="M22" s="75" t="n">
        <f aca="false">IF(OR(1=3,$D22&lt;=0,$D$20&lt;=0),1000000,ABS($D22-$D$20)/$D22*100)</f>
        <v>67.7253718314789</v>
      </c>
      <c r="N22" s="75" t="n">
        <f aca="false">IF(OR(2=3,$D22&lt;=0,$D$21&lt;=0),1000000,ABS($D22-$D$21)/$D22*100)</f>
        <v>37.9651187102306</v>
      </c>
      <c r="O22" s="75" t="n">
        <f aca="false">IF(OR(3=3,$D22&lt;=0,$D$22&lt;=0),1000000,ABS($D22-$D$22)/$D22*100)</f>
        <v>1000000</v>
      </c>
      <c r="P22" s="75" t="n">
        <f aca="false">IF(OR(4=3,$D22&lt;=0,$D$23&lt;=0),1000000,ABS($D22-$D$23)/$D22*100)</f>
        <v>45.0032206281492</v>
      </c>
      <c r="Q22" s="75" t="n">
        <f aca="false">IF(OR(5=3,$D22&lt;=0,$D$24&lt;=0),1000000,ABS($D22-$D$24)/$D22*100)</f>
        <v>95.8497067846067</v>
      </c>
      <c r="R22" s="75" t="n">
        <f aca="false">IF(OR(6=3,$D22&lt;=0,$D$25&lt;=0),1000000,ABS($D22-$D$25)/$D22*100)</f>
        <v>76.5970748480775</v>
      </c>
      <c r="S22" s="75" t="n">
        <f aca="false">IF(OR(7=3,$D22&lt;=0,$D$26&lt;=0),1000000,ABS($D22-$D$26)/$D22*100)</f>
        <v>53.194149696155</v>
      </c>
      <c r="T22" s="75" t="n">
        <f aca="false">IF(OR(8=3,$D22&lt;=0,$D$27&lt;=0),1000000,ABS($D22-$D$27)/$D22*100)</f>
        <v>29.7912245442324</v>
      </c>
      <c r="U22" s="75" t="n">
        <f aca="false">IF(OR(9=3,$D22&lt;=0,$D$28&lt;=0),1000000,ABS($D22-$D$28)/$D22*100)</f>
        <v>6.38829939230991</v>
      </c>
      <c r="V22" s="75" t="n">
        <f aca="false">IF(OR(10=3,$D22&lt;=0,$D$29&lt;=0),1000000,ABS($D22-$D$29)/$D22*100)</f>
        <v>17.6949006551197</v>
      </c>
      <c r="W22" s="75" t="n">
        <f aca="false">IF(OR(11=3,$D22&lt;=0,$D$30&lt;=0),1000000,ABS($D22-$D$30)/$D22*100)</f>
        <v>74.6783531348741</v>
      </c>
      <c r="X22" s="75" t="n">
        <f aca="false">IF(OR(12=3,$D22&lt;=0,$D$31&lt;=0),1000000,ABS($D22-$D$31)/$D22*100)</f>
        <v>169.567287422141</v>
      </c>
      <c r="Y22" s="75" t="n">
        <f aca="false">IF(OR(13=3,$D22&lt;=0,$D$32&lt;=0),1000000,ABS($D22-$D$32)/$D22*100)</f>
        <v>262.994314671828</v>
      </c>
      <c r="Z22" s="75" t="n">
        <f aca="false">IF(OR(14=3,$D22&lt;=0,$D$33&lt;=0),1000000,ABS($D22-$D$33)/$D22*100)</f>
        <v>28.0054659627679</v>
      </c>
      <c r="AA22" s="75" t="n">
        <f aca="false">IF(OR(15=3,$D22&lt;=0,$D$34&lt;=0),1000000,ABS($D22-$D$34)/$D22*100)</f>
        <v>156.010931925536</v>
      </c>
      <c r="AB22" s="75" t="n">
        <f aca="false">IF(OR(16=3,$D22&lt;=0,$D$35&lt;=0),1000000,ABS($D22-$D$35)/$D22*100)</f>
        <v>284.016397888304</v>
      </c>
      <c r="AC22" s="75"/>
      <c r="AD22" s="75" t="n">
        <f aca="false">IF(OR($B$7="",$B$7&lt;=0,$D22&lt;=0),1000000,ABS($D22-$B$7)/$D22*100)</f>
        <v>90.0806869050132</v>
      </c>
      <c r="AE22" s="75" t="n">
        <f aca="false">IF(OR($B$8="",$B$8&lt;=0,$D22&lt;=0),1000000,ABS($D22-$B$8)/$D22*100)</f>
        <v>82.3656656089123</v>
      </c>
      <c r="AF22" s="75" t="n">
        <f aca="false">IF(OR($B$9="",$B$9&lt;=0,$D22&lt;=0),1000000,ABS($D22-$B$9)/$D22*100)</f>
        <v>72.4463525139255</v>
      </c>
      <c r="AG22" s="75" t="n">
        <f aca="false">IF(OR($B$10="",$B$10&lt;=0,$D22&lt;=0),1000000,ABS($D22-$B$10)/$D22*100)</f>
        <v>60.8738205697742</v>
      </c>
      <c r="AH22" s="75" t="n">
        <f aca="false">IF(OR($B$11="",$B$11&lt;=0,$D22&lt;=0),1000000,ABS($D22-$B$11)/$D22*100)</f>
        <v>48.19914272618</v>
      </c>
      <c r="AI22" s="75" t="n">
        <f aca="false">IF(OR($B$12="",$B$12&lt;=0,$D22&lt;=0),1000000,ABS($D22-$B$12)/$D22*100)</f>
        <v>1000000</v>
      </c>
      <c r="AJ22" s="75" t="n">
        <f aca="false">IF(OR($B$13="",$B$13&lt;=0,$D22&lt;=0),1000000,ABS($D22-$B$13)/$D22*100)</f>
        <v>1000000</v>
      </c>
      <c r="AK22" s="75" t="n">
        <f aca="false">IF(OR($B$14="",$B$14&lt;=0,$D22&lt;=0),1000000,ABS($D22-$B$14)/$D22*100)</f>
        <v>1000000</v>
      </c>
      <c r="AL22" s="75" t="n">
        <f aca="false">IF(OR($B$15="",$B$15&lt;=0,$D22&lt;=0),1000000,ABS($D22-$B$15)/$D22*100)</f>
        <v>1000000</v>
      </c>
      <c r="AM22" s="75" t="n">
        <f aca="false">IF(OR($B$16="",$B$16&lt;=0,$D22&lt;=0),1000000,ABS($D22-$B$16)/$D22*100)</f>
        <v>1000000</v>
      </c>
      <c r="AN22" s="5"/>
      <c r="AO22" s="5"/>
      <c r="AP22" s="5"/>
    </row>
    <row r="23" customFormat="false" ht="15" hidden="false" customHeight="false" outlineLevel="0" collapsed="false">
      <c r="A23" s="37" t="n">
        <v>5</v>
      </c>
      <c r="B23" s="26" t="str">
        <f aca="false">固有振動数!$R$10</f>
        <v>面外曲げ 5次</v>
      </c>
      <c r="C23" s="58" t="n">
        <f aca="false">固有振動数!$I$10</f>
        <v>26312.8902809389</v>
      </c>
      <c r="D23" s="58" t="n">
        <f aca="false">C23*$C$4</f>
        <v>26312.8902809389</v>
      </c>
      <c r="E23" s="66" t="str">
        <f aca="false">IF(AND(D23&gt;=$C$3,D23&lt;=$F$3),"○ 帯域内","− 帯域外")</f>
        <v>− 帯域外</v>
      </c>
      <c r="F23" s="45" t="n">
        <f aca="false">MIN(L23:AB23)</f>
        <v>11.7223290570703</v>
      </c>
      <c r="G23" s="45" t="n">
        <f aca="false">MIN(AD23:AM23)</f>
        <v>64.2760643181438</v>
      </c>
      <c r="H23" s="74" t="str">
        <f aca="false">IF(E23="− 帯域外","− 対象外",IF(OR(F23&lt;$I$3,G23&lt;$I$3),"🔴 高リスク",IF(OR(F23&lt;$I$3*2,G23&lt;$I$3*2),"🟡 中リスク","🟢 低リスク")))</f>
        <v>− 対象外</v>
      </c>
      <c r="I23" s="38" t="n">
        <f aca="false">IF(E23="○ 帯域内",F23,1000000)</f>
        <v>1000000</v>
      </c>
      <c r="J23" s="38" t="n">
        <f aca="false">IF(E23="○ 帯域内",G23,1000000)</f>
        <v>1000000</v>
      </c>
      <c r="K23" s="5"/>
      <c r="L23" s="75" t="n">
        <f aca="false">IF(OR(0=4,$D23&lt;=0,$D$19&lt;=0),1000000,ABS($D23-$D$19)/$D23*100)</f>
        <v>91.8153851119552</v>
      </c>
      <c r="M23" s="75" t="n">
        <f aca="false">IF(OR(1=4,$D23&lt;=0,$D$20&lt;=0),1000000,ABS($D23-$D$20)/$D23*100)</f>
        <v>77.7421301204839</v>
      </c>
      <c r="N23" s="75" t="n">
        <f aca="false">IF(OR(2=4,$D23&lt;=0,$D$21&lt;=0),1000000,ABS($D23-$D$21)/$D23*100)</f>
        <v>57.2182734831431</v>
      </c>
      <c r="O23" s="75" t="n">
        <f aca="false">IF(OR(3=4,$D23&lt;=0,$D$22&lt;=0),1000000,ABS($D23-$D$22)/$D23*100)</f>
        <v>31.0360145334681</v>
      </c>
      <c r="P23" s="75" t="n">
        <f aca="false">IF(OR(4=4,$D23&lt;=0,$D$23&lt;=0),1000000,ABS($D23-$D$23)/$D23*100)</f>
        <v>1000000</v>
      </c>
      <c r="Q23" s="75" t="n">
        <f aca="false">IF(OR(5=4,$D23&lt;=0,$D$24&lt;=0),1000000,ABS($D23-$D$24)/$D23*100)</f>
        <v>35.0657633231815</v>
      </c>
      <c r="R23" s="75" t="n">
        <f aca="false">IF(OR(6=4,$D23&lt;=0,$D$25&lt;=0),1000000,ABS($D23-$D$25)/$D23*100)</f>
        <v>83.8604100994848</v>
      </c>
      <c r="S23" s="75" t="n">
        <f aca="false">IF(OR(7=4,$D23&lt;=0,$D$26&lt;=0),1000000,ABS($D23-$D$26)/$D23*100)</f>
        <v>67.7208201989696</v>
      </c>
      <c r="T23" s="75" t="n">
        <f aca="false">IF(OR(8=4,$D23&lt;=0,$D$27&lt;=0),1000000,ABS($D23-$D$27)/$D23*100)</f>
        <v>51.5812302984544</v>
      </c>
      <c r="U23" s="75" t="n">
        <f aca="false">IF(OR(9=4,$D23&lt;=0,$D$28&lt;=0),1000000,ABS($D23-$D$28)/$D23*100)</f>
        <v>35.4416403979393</v>
      </c>
      <c r="V23" s="75" t="n">
        <f aca="false">IF(OR(10=4,$D23&lt;=0,$D$29&lt;=0),1000000,ABS($D23-$D$29)/$D23*100)</f>
        <v>43.2391232495821</v>
      </c>
      <c r="W23" s="75" t="n">
        <f aca="false">IF(OR(11=4,$D23&lt;=0,$D$30&lt;=0),1000000,ABS($D23-$D$30)/$D23*100)</f>
        <v>20.4651540691118</v>
      </c>
      <c r="X23" s="75" t="n">
        <f aca="false">IF(OR(12=4,$D23&lt;=0,$D$31&lt;=0),1000000,ABS($D23-$D$31)/$D23*100)</f>
        <v>85.9043449203297</v>
      </c>
      <c r="Y23" s="75" t="n">
        <f aca="false">IF(OR(13=4,$D23&lt;=0,$D$32&lt;=0),1000000,ABS($D23-$D$32)/$D23*100)</f>
        <v>150.335346414616</v>
      </c>
      <c r="Z23" s="75" t="n">
        <f aca="false">IF(OR(14=4,$D23&lt;=0,$D$33&lt;=0),1000000,ABS($D23-$D$33)/$D23*100)</f>
        <v>11.7223290570703</v>
      </c>
      <c r="AA23" s="75" t="n">
        <f aca="false">IF(OR(15=4,$D23&lt;=0,$D$34&lt;=0),1000000,ABS($D23-$D$34)/$D23*100)</f>
        <v>76.5553418858594</v>
      </c>
      <c r="AB23" s="75" t="n">
        <f aca="false">IF(OR(16=4,$D23&lt;=0,$D$35&lt;=0),1000000,ABS($D23-$D$35)/$D23*100)</f>
        <v>164.833012828789</v>
      </c>
      <c r="AC23" s="75"/>
      <c r="AD23" s="75" t="n">
        <f aca="false">IF(OR($B$7="",$B$7&lt;=0,$D23&lt;=0),1000000,ABS($D23-$B$7)/$D23*100)</f>
        <v>93.1592463587935</v>
      </c>
      <c r="AE23" s="75" t="n">
        <f aca="false">IF(OR($B$8="",$B$8&lt;=0,$D23&lt;=0),1000000,ABS($D23-$B$8)/$D23*100)</f>
        <v>87.8386601934107</v>
      </c>
      <c r="AF23" s="75" t="n">
        <f aca="false">IF(OR($B$9="",$B$9&lt;=0,$D23&lt;=0),1000000,ABS($D23-$B$9)/$D23*100)</f>
        <v>80.9979065522042</v>
      </c>
      <c r="AG23" s="75" t="n">
        <f aca="false">IF(OR($B$10="",$B$10&lt;=0,$D23&lt;=0),1000000,ABS($D23-$B$10)/$D23*100)</f>
        <v>73.0170273041299</v>
      </c>
      <c r="AH23" s="75" t="n">
        <f aca="false">IF(OR($B$11="",$B$11&lt;=0,$D23&lt;=0),1000000,ABS($D23-$B$11)/$D23*100)</f>
        <v>64.2760643181438</v>
      </c>
      <c r="AI23" s="75" t="n">
        <f aca="false">IF(OR($B$12="",$B$12&lt;=0,$D23&lt;=0),1000000,ABS($D23-$B$12)/$D23*100)</f>
        <v>1000000</v>
      </c>
      <c r="AJ23" s="75" t="n">
        <f aca="false">IF(OR($B$13="",$B$13&lt;=0,$D23&lt;=0),1000000,ABS($D23-$B$13)/$D23*100)</f>
        <v>1000000</v>
      </c>
      <c r="AK23" s="75" t="n">
        <f aca="false">IF(OR($B$14="",$B$14&lt;=0,$D23&lt;=0),1000000,ABS($D23-$B$14)/$D23*100)</f>
        <v>1000000</v>
      </c>
      <c r="AL23" s="75" t="n">
        <f aca="false">IF(OR($B$15="",$B$15&lt;=0,$D23&lt;=0),1000000,ABS($D23-$B$15)/$D23*100)</f>
        <v>1000000</v>
      </c>
      <c r="AM23" s="75" t="n">
        <f aca="false">IF(OR($B$16="",$B$16&lt;=0,$D23&lt;=0),1000000,ABS($D23-$B$16)/$D23*100)</f>
        <v>1000000</v>
      </c>
      <c r="AN23" s="5"/>
      <c r="AO23" s="5"/>
      <c r="AP23" s="5"/>
    </row>
    <row r="24" customFormat="false" ht="15" hidden="false" customHeight="false" outlineLevel="0" collapsed="false">
      <c r="A24" s="37" t="n">
        <v>6</v>
      </c>
      <c r="B24" s="26" t="str">
        <f aca="false">固有振動数!$R$11</f>
        <v>面外曲げ 6次</v>
      </c>
      <c r="C24" s="58" t="n">
        <f aca="false">固有振動数!$I$11</f>
        <v>35539.7061103414</v>
      </c>
      <c r="D24" s="58" t="n">
        <f aca="false">C24*$C$4</f>
        <v>35539.7061103414</v>
      </c>
      <c r="E24" s="66" t="str">
        <f aca="false">IF(AND(D24&gt;=$C$3,D24&lt;=$F$3),"○ 帯域内","− 帯域外")</f>
        <v>− 帯域外</v>
      </c>
      <c r="F24" s="45" t="n">
        <f aca="false">MIN(L24:AB24)</f>
        <v>10.8100001768278</v>
      </c>
      <c r="G24" s="45" t="n">
        <f aca="false">MIN(AD24:AM24)</f>
        <v>73.5507098150573</v>
      </c>
      <c r="H24" s="74" t="str">
        <f aca="false">IF(E24="− 帯域外","− 対象外",IF(OR(F24&lt;$I$3,G24&lt;$I$3),"🔴 高リスク",IF(OR(F24&lt;$I$3*2,G24&lt;$I$3*2),"🟡 中リスク","🟢 低リスク")))</f>
        <v>− 対象外</v>
      </c>
      <c r="I24" s="38" t="n">
        <f aca="false">IF(E24="○ 帯域内",F24,1000000)</f>
        <v>1000000</v>
      </c>
      <c r="J24" s="38" t="n">
        <f aca="false">IF(E24="○ 帯域内",G24,1000000)</f>
        <v>1000000</v>
      </c>
      <c r="K24" s="5"/>
      <c r="L24" s="75" t="n">
        <f aca="false">IF(OR(0=5,$D24&lt;=0,$D$19&lt;=0),1000000,ABS($D24-$D$19)/$D24*100)</f>
        <v>93.9402742140798</v>
      </c>
      <c r="M24" s="75" t="n">
        <f aca="false">IF(OR(1=5,$D24&lt;=0,$D$20&lt;=0),1000000,ABS($D24-$D$20)/$D24*100)</f>
        <v>83.5207166258276</v>
      </c>
      <c r="N24" s="75" t="n">
        <f aca="false">IF(OR(2=5,$D24&lt;=0,$D$21&lt;=0),1000000,ABS($D24-$D$21)/$D24*100)</f>
        <v>68.3252621062157</v>
      </c>
      <c r="O24" s="75" t="n">
        <f aca="false">IF(OR(3=5,$D24&lt;=0,$D$22&lt;=0),1000000,ABS($D24-$D$22)/$D24*100)</f>
        <v>48.940439257344</v>
      </c>
      <c r="P24" s="75" t="n">
        <f aca="false">IF(OR(4=5,$D24&lt;=0,$D$23&lt;=0),1000000,ABS($D24-$D$23)/$D24*100)</f>
        <v>25.9619924845626</v>
      </c>
      <c r="Q24" s="75" t="n">
        <f aca="false">IF(OR(5=5,$D24&lt;=0,$D$24&lt;=0),1000000,ABS($D24-$D$24)/$D24*100)</f>
        <v>1000000</v>
      </c>
      <c r="R24" s="75" t="n">
        <f aca="false">IF(OR(6=5,$D24&lt;=0,$D$25&lt;=0),1000000,ABS($D24-$D$25)/$D24*100)</f>
        <v>88.0505692164958</v>
      </c>
      <c r="S24" s="75" t="n">
        <f aca="false">IF(OR(7=5,$D24&lt;=0,$D$26&lt;=0),1000000,ABS($D24-$D$26)/$D24*100)</f>
        <v>76.1011384329916</v>
      </c>
      <c r="T24" s="75" t="n">
        <f aca="false">IF(OR(8=5,$D24&lt;=0,$D$27&lt;=0),1000000,ABS($D24-$D$27)/$D24*100)</f>
        <v>64.1517076494874</v>
      </c>
      <c r="U24" s="75" t="n">
        <f aca="false">IF(OR(9=5,$D24&lt;=0,$D$28&lt;=0),1000000,ABS($D24-$D$28)/$D24*100)</f>
        <v>52.2022768659832</v>
      </c>
      <c r="V24" s="75" t="n">
        <f aca="false">IF(OR(10=5,$D24&lt;=0,$D$29&lt;=0),1000000,ABS($D24-$D$29)/$D24*100)</f>
        <v>57.9753778056975</v>
      </c>
      <c r="W24" s="75" t="n">
        <f aca="false">IF(OR(11=5,$D24&lt;=0,$D$30&lt;=0),1000000,ABS($D24-$D$30)/$D24*100)</f>
        <v>10.8100001768278</v>
      </c>
      <c r="X24" s="75" t="n">
        <f aca="false">IF(OR(12=5,$D24&lt;=0,$D$31&lt;=0),1000000,ABS($D24-$D$31)/$D24*100)</f>
        <v>37.6398728636383</v>
      </c>
      <c r="Y24" s="75" t="n">
        <f aca="false">IF(OR(13=5,$D24&lt;=0,$D$32&lt;=0),1000000,ABS($D24-$D$32)/$D24*100)</f>
        <v>85.3433025922498</v>
      </c>
      <c r="Z24" s="75" t="n">
        <f aca="false">IF(OR(14=5,$D24&lt;=0,$D$33&lt;=0),1000000,ABS($D24-$D$33)/$D24*100)</f>
        <v>34.6409713528206</v>
      </c>
      <c r="AA24" s="75" t="n">
        <f aca="false">IF(OR(15=5,$D24&lt;=0,$D$34&lt;=0),1000000,ABS($D24-$D$34)/$D24*100)</f>
        <v>30.7180572943587</v>
      </c>
      <c r="AB24" s="75" t="n">
        <f aca="false">IF(OR(16=5,$D24&lt;=0,$D$35&lt;=0),1000000,ABS($D24-$D$35)/$D24*100)</f>
        <v>96.0770859415381</v>
      </c>
      <c r="AC24" s="75"/>
      <c r="AD24" s="75" t="n">
        <f aca="false">IF(OR($B$7="",$B$7&lt;=0,$D24&lt;=0),1000000,ABS($D24-$B$7)/$D24*100)</f>
        <v>94.935242305011</v>
      </c>
      <c r="AE24" s="75" t="n">
        <f aca="false">IF(OR($B$8="",$B$8&lt;=0,$D24&lt;=0),1000000,ABS($D24-$B$8)/$D24*100)</f>
        <v>90.9959863200195</v>
      </c>
      <c r="AF24" s="75" t="n">
        <f aca="false">IF(OR($B$9="",$B$9&lt;=0,$D24&lt;=0),1000000,ABS($D24-$B$9)/$D24*100)</f>
        <v>85.9312286250305</v>
      </c>
      <c r="AG24" s="75" t="n">
        <f aca="false">IF(OR($B$10="",$B$10&lt;=0,$D24&lt;=0),1000000,ABS($D24-$B$10)/$D24*100)</f>
        <v>80.0223446475433</v>
      </c>
      <c r="AH24" s="75" t="n">
        <f aca="false">IF(OR($B$11="",$B$11&lt;=0,$D24&lt;=0),1000000,ABS($D24-$B$11)/$D24*100)</f>
        <v>73.5507098150573</v>
      </c>
      <c r="AI24" s="75" t="n">
        <f aca="false">IF(OR($B$12="",$B$12&lt;=0,$D24&lt;=0),1000000,ABS($D24-$B$12)/$D24*100)</f>
        <v>1000000</v>
      </c>
      <c r="AJ24" s="75" t="n">
        <f aca="false">IF(OR($B$13="",$B$13&lt;=0,$D24&lt;=0),1000000,ABS($D24-$B$13)/$D24*100)</f>
        <v>1000000</v>
      </c>
      <c r="AK24" s="75" t="n">
        <f aca="false">IF(OR($B$14="",$B$14&lt;=0,$D24&lt;=0),1000000,ABS($D24-$B$14)/$D24*100)</f>
        <v>1000000</v>
      </c>
      <c r="AL24" s="75" t="n">
        <f aca="false">IF(OR($B$15="",$B$15&lt;=0,$D24&lt;=0),1000000,ABS($D24-$B$15)/$D24*100)</f>
        <v>1000000</v>
      </c>
      <c r="AM24" s="75" t="n">
        <f aca="false">IF(OR($B$16="",$B$16&lt;=0,$D24&lt;=0),1000000,ABS($D24-$B$16)/$D24*100)</f>
        <v>1000000</v>
      </c>
      <c r="AN24" s="5"/>
      <c r="AO24" s="5"/>
      <c r="AP24" s="5"/>
    </row>
    <row r="25" customFormat="false" ht="15" hidden="false" customHeight="false" outlineLevel="0" collapsed="false">
      <c r="A25" s="37" t="n">
        <v>7</v>
      </c>
      <c r="B25" s="26" t="str">
        <f aca="false">固有振動数!$R$12</f>
        <v>ねじり 1次</v>
      </c>
      <c r="C25" s="58" t="n">
        <f aca="false">固有振動数!$I$12</f>
        <v>4246.79258231606</v>
      </c>
      <c r="D25" s="58" t="n">
        <f aca="false">C25*$C$4</f>
        <v>4246.79258231606</v>
      </c>
      <c r="E25" s="66" t="str">
        <f aca="false">IF(AND(D25&gt;=$C$3,D25&lt;=$F$3),"○ 帯域内","− 帯域外")</f>
        <v>○ 帯域内</v>
      </c>
      <c r="F25" s="45" t="n">
        <f aca="false">MIN(L25:AB25)</f>
        <v>37.9085219433339</v>
      </c>
      <c r="G25" s="45" t="n">
        <f aca="false">MIN(AD25:AM25)</f>
        <v>17.735912528913</v>
      </c>
      <c r="H25" s="74" t="str">
        <f aca="false">IF(E25="− 帯域外","− 対象外",IF(OR(F25&lt;$I$3,G25&lt;$I$3),"🔴 高リスク",IF(OR(F25&lt;$I$3*2,G25&lt;$I$3*2),"🟡 中リスク","🟢 低リスク")))</f>
        <v>🟢 低リスク</v>
      </c>
      <c r="I25" s="38" t="n">
        <f aca="false">IF(E25="○ 帯域内",F25,1000000)</f>
        <v>37.9085219433339</v>
      </c>
      <c r="J25" s="38" t="n">
        <f aca="false">IF(E25="○ 帯域内",G25,1000000)</f>
        <v>17.735912528913</v>
      </c>
      <c r="K25" s="5"/>
      <c r="L25" s="75" t="n">
        <f aca="false">IF(OR(0=6,$D25&lt;=0,$D$19&lt;=0),1000000,ABS($D25-$D$19)/$D25*100)</f>
        <v>49.2885820612858</v>
      </c>
      <c r="M25" s="75" t="n">
        <f aca="false">IF(OR(1=6,$D25&lt;=0,$D$20&lt;=0),1000000,ABS($D25-$D$20)/$D25*100)</f>
        <v>37.9085219433339</v>
      </c>
      <c r="N25" s="75" t="n">
        <f aca="false">IF(OR(2=6,$D25&lt;=0,$D$21&lt;=0),1000000,ABS($D25-$D$21)/$D25*100)</f>
        <v>165.073194427891</v>
      </c>
      <c r="O25" s="75" t="n">
        <f aca="false">IF(OR(3=6,$D25&lt;=0,$D$22&lt;=0),1000000,ABS($D25-$D$22)/$D25*100)</f>
        <v>327.297012449681</v>
      </c>
      <c r="P25" s="75" t="n">
        <f aca="false">IF(OR(4=6,$D25&lt;=0,$D$23&lt;=0),1000000,ABS($D25-$D$23)/$D25*100)</f>
        <v>519.594429699902</v>
      </c>
      <c r="Q25" s="75" t="n">
        <f aca="false">IF(OR(5=6,$D25&lt;=0,$D$24&lt;=0),1000000,ABS($D25-$D$24)/$D25*100)</f>
        <v>736.859945982086</v>
      </c>
      <c r="R25" s="75" t="n">
        <f aca="false">IF(OR(6=6,$D25&lt;=0,$D$25&lt;=0),1000000,ABS($D25-$D$25)/$D25*100)</f>
        <v>1000000</v>
      </c>
      <c r="S25" s="75" t="n">
        <f aca="false">IF(OR(7=6,$D25&lt;=0,$D$26&lt;=0),1000000,ABS($D25-$D$26)/$D25*100)</f>
        <v>100</v>
      </c>
      <c r="T25" s="75" t="n">
        <f aca="false">IF(OR(8=6,$D25&lt;=0,$D$27&lt;=0),1000000,ABS($D25-$D$27)/$D25*100)</f>
        <v>200</v>
      </c>
      <c r="U25" s="75" t="n">
        <f aca="false">IF(OR(9=6,$D25&lt;=0,$D$28&lt;=0),1000000,ABS($D25-$D$28)/$D25*100)</f>
        <v>300</v>
      </c>
      <c r="V25" s="75" t="n">
        <f aca="false">IF(OR(10=6,$D25&lt;=0,$D$29&lt;=0),1000000,ABS($D25-$D$29)/$D25*100)</f>
        <v>251.687230594416</v>
      </c>
      <c r="W25" s="75" t="n">
        <f aca="false">IF(OR(11=6,$D25&lt;=0,$D$30&lt;=0),1000000,ABS($D25-$D$30)/$D25*100)</f>
        <v>646.395384341621</v>
      </c>
      <c r="X25" s="75" t="n">
        <f aca="false">IF(OR(12=6,$D25&lt;=0,$D$31&lt;=0),1000000,ABS($D25-$D$31)/$D25*100)</f>
        <v>1051.85296569646</v>
      </c>
      <c r="Y25" s="75" t="n">
        <f aca="false">IF(OR(13=6,$D25&lt;=0,$D$32&lt;=0),1000000,ABS($D25-$D$32)/$D25*100)</f>
        <v>1451.06386195491</v>
      </c>
      <c r="Z25" s="75" t="n">
        <f aca="false">IF(OR(14=6,$D25&lt;=0,$D$33&lt;=0),1000000,ABS($D25-$D$33)/$D25*100)</f>
        <v>446.963531831201</v>
      </c>
      <c r="AA25" s="75" t="n">
        <f aca="false">IF(OR(15=6,$D25&lt;=0,$D$34&lt;=0),1000000,ABS($D25-$D$34)/$D25*100)</f>
        <v>993.927063662402</v>
      </c>
      <c r="AB25" s="75" t="n">
        <f aca="false">IF(OR(16=6,$D25&lt;=0,$D$35&lt;=0),1000000,ABS($D25-$D$35)/$D25*100)</f>
        <v>1540.8905954936</v>
      </c>
      <c r="AC25" s="75"/>
      <c r="AD25" s="75" t="n">
        <f aca="false">IF(OR($B$7="",$B$7&lt;=0,$D25&lt;=0),1000000,ABS($D25-$B$7)/$D25*100)</f>
        <v>57.6150714895913</v>
      </c>
      <c r="AE25" s="75" t="n">
        <f aca="false">IF(OR($B$8="",$B$8&lt;=0,$D25&lt;=0),1000000,ABS($D25-$B$8)/$D25*100)</f>
        <v>24.6490159814957</v>
      </c>
      <c r="AF25" s="75" t="n">
        <f aca="false">IF(OR($B$9="",$B$9&lt;=0,$D25&lt;=0),1000000,ABS($D25-$B$9)/$D25*100)</f>
        <v>17.735912528913</v>
      </c>
      <c r="AG25" s="75" t="n">
        <f aca="false">IF(OR($B$10="",$B$10&lt;=0,$D25&lt;=0),1000000,ABS($D25-$B$10)/$D25*100)</f>
        <v>67.1849957910565</v>
      </c>
      <c r="AH25" s="75" t="n">
        <f aca="false">IF(OR($B$11="",$B$11&lt;=0,$D25&lt;=0),1000000,ABS($D25-$B$11)/$D25*100)</f>
        <v>121.343515554356</v>
      </c>
      <c r="AI25" s="75" t="n">
        <f aca="false">IF(OR($B$12="",$B$12&lt;=0,$D25&lt;=0),1000000,ABS($D25-$B$12)/$D25*100)</f>
        <v>1000000</v>
      </c>
      <c r="AJ25" s="75" t="n">
        <f aca="false">IF(OR($B$13="",$B$13&lt;=0,$D25&lt;=0),1000000,ABS($D25-$B$13)/$D25*100)</f>
        <v>1000000</v>
      </c>
      <c r="AK25" s="75" t="n">
        <f aca="false">IF(OR($B$14="",$B$14&lt;=0,$D25&lt;=0),1000000,ABS($D25-$B$14)/$D25*100)</f>
        <v>1000000</v>
      </c>
      <c r="AL25" s="75" t="n">
        <f aca="false">IF(OR($B$15="",$B$15&lt;=0,$D25&lt;=0),1000000,ABS($D25-$B$15)/$D25*100)</f>
        <v>1000000</v>
      </c>
      <c r="AM25" s="75" t="n">
        <f aca="false">IF(OR($B$16="",$B$16&lt;=0,$D25&lt;=0),1000000,ABS($D25-$B$16)/$D25*100)</f>
        <v>1000000</v>
      </c>
      <c r="AN25" s="5"/>
      <c r="AO25" s="5"/>
      <c r="AP25" s="5"/>
    </row>
    <row r="26" customFormat="false" ht="15" hidden="false" customHeight="false" outlineLevel="0" collapsed="false">
      <c r="A26" s="37" t="n">
        <v>8</v>
      </c>
      <c r="B26" s="26" t="str">
        <f aca="false">固有振動数!$R$13</f>
        <v>ねじり 2次</v>
      </c>
      <c r="C26" s="58" t="n">
        <f aca="false">固有振動数!$I$13</f>
        <v>8493.58516463212</v>
      </c>
      <c r="D26" s="58" t="n">
        <f aca="false">C26*$C$4</f>
        <v>8493.58516463212</v>
      </c>
      <c r="E26" s="66" t="str">
        <f aca="false">IF(AND(D26&gt;=$C$3,D26&lt;=$F$3),"○ 帯域内","− 帯域外")</f>
        <v>○ 帯域内</v>
      </c>
      <c r="F26" s="45" t="n">
        <f aca="false">MIN(L26:AB26)</f>
        <v>31.045739028333</v>
      </c>
      <c r="G26" s="45" t="n">
        <f aca="false">MIN(AD26:AM26)</f>
        <v>10.6717577771782</v>
      </c>
      <c r="H26" s="74" t="str">
        <f aca="false">IF(E26="− 帯域外","− 対象外",IF(OR(F26&lt;$I$3,G26&lt;$I$3),"🔴 高リスク",IF(OR(F26&lt;$I$3*2,G26&lt;$I$3*2),"🟡 中リスク","🟢 低リスク")))</f>
        <v>🟢 低リスク</v>
      </c>
      <c r="I26" s="38" t="n">
        <f aca="false">IF(E26="○ 帯域内",F26,1000000)</f>
        <v>31.045739028333</v>
      </c>
      <c r="J26" s="38" t="n">
        <f aca="false">IF(E26="○ 帯域内",G26,1000000)</f>
        <v>10.6717577771782</v>
      </c>
      <c r="K26" s="5"/>
      <c r="L26" s="75" t="n">
        <f aca="false">IF(OR(0=7,$D26&lt;=0,$D$19&lt;=0),1000000,ABS($D26-$D$19)/$D26*100)</f>
        <v>74.6442910306429</v>
      </c>
      <c r="M26" s="75" t="n">
        <f aca="false">IF(OR(1=7,$D26&lt;=0,$D$20&lt;=0),1000000,ABS($D26-$D$20)/$D26*100)</f>
        <v>31.045739028333</v>
      </c>
      <c r="N26" s="75" t="n">
        <f aca="false">IF(OR(2=7,$D26&lt;=0,$D$21&lt;=0),1000000,ABS($D26-$D$21)/$D26*100)</f>
        <v>32.5365972139455</v>
      </c>
      <c r="O26" s="75" t="n">
        <f aca="false">IF(OR(3=7,$D26&lt;=0,$D$22&lt;=0),1000000,ABS($D26-$D$22)/$D26*100)</f>
        <v>113.648506224841</v>
      </c>
      <c r="P26" s="75" t="n">
        <f aca="false">IF(OR(4=7,$D26&lt;=0,$D$23&lt;=0),1000000,ABS($D26-$D$23)/$D26*100)</f>
        <v>209.797214849951</v>
      </c>
      <c r="Q26" s="75" t="n">
        <f aca="false">IF(OR(5=7,$D26&lt;=0,$D$24&lt;=0),1000000,ABS($D26-$D$24)/$D26*100)</f>
        <v>318.429972991043</v>
      </c>
      <c r="R26" s="75" t="n">
        <f aca="false">IF(OR(6=7,$D26&lt;=0,$D$25&lt;=0),1000000,ABS($D26-$D$25)/$D26*100)</f>
        <v>50</v>
      </c>
      <c r="S26" s="75" t="n">
        <f aca="false">IF(OR(7=7,$D26&lt;=0,$D$26&lt;=0),1000000,ABS($D26-$D$26)/$D26*100)</f>
        <v>1000000</v>
      </c>
      <c r="T26" s="75" t="n">
        <f aca="false">IF(OR(8=7,$D26&lt;=0,$D$27&lt;=0),1000000,ABS($D26-$D$27)/$D26*100)</f>
        <v>50</v>
      </c>
      <c r="U26" s="75" t="n">
        <f aca="false">IF(OR(9=7,$D26&lt;=0,$D$28&lt;=0),1000000,ABS($D26-$D$28)/$D26*100)</f>
        <v>100</v>
      </c>
      <c r="V26" s="75" t="n">
        <f aca="false">IF(OR(10=7,$D26&lt;=0,$D$29&lt;=0),1000000,ABS($D26-$D$29)/$D26*100)</f>
        <v>75.8436152972079</v>
      </c>
      <c r="W26" s="75" t="n">
        <f aca="false">IF(OR(11=7,$D26&lt;=0,$D$30&lt;=0),1000000,ABS($D26-$D$30)/$D26*100)</f>
        <v>273.197692170811</v>
      </c>
      <c r="X26" s="75" t="n">
        <f aca="false">IF(OR(12=7,$D26&lt;=0,$D$31&lt;=0),1000000,ABS($D26-$D$31)/$D26*100)</f>
        <v>475.926482848227</v>
      </c>
      <c r="Y26" s="75" t="n">
        <f aca="false">IF(OR(13=7,$D26&lt;=0,$D$32&lt;=0),1000000,ABS($D26-$D$32)/$D26*100)</f>
        <v>675.531930977457</v>
      </c>
      <c r="Z26" s="75" t="n">
        <f aca="false">IF(OR(14=7,$D26&lt;=0,$D$33&lt;=0),1000000,ABS($D26-$D$33)/$D26*100)</f>
        <v>173.481765915601</v>
      </c>
      <c r="AA26" s="75" t="n">
        <f aca="false">IF(OR(15=7,$D26&lt;=0,$D$34&lt;=0),1000000,ABS($D26-$D$34)/$D26*100)</f>
        <v>446.963531831201</v>
      </c>
      <c r="AB26" s="75" t="n">
        <f aca="false">IF(OR(16=7,$D26&lt;=0,$D$35&lt;=0),1000000,ABS($D26-$D$35)/$D26*100)</f>
        <v>720.445297746801</v>
      </c>
      <c r="AC26" s="75"/>
      <c r="AD26" s="75" t="n">
        <f aca="false">IF(OR($B$7="",$B$7&lt;=0,$D26&lt;=0),1000000,ABS($D26-$B$7)/$D26*100)</f>
        <v>78.8075357447957</v>
      </c>
      <c r="AE26" s="75" t="n">
        <f aca="false">IF(OR($B$8="",$B$8&lt;=0,$D26&lt;=0),1000000,ABS($D26-$B$8)/$D26*100)</f>
        <v>62.3245079907478</v>
      </c>
      <c r="AF26" s="75" t="n">
        <f aca="false">IF(OR($B$9="",$B$9&lt;=0,$D26&lt;=0),1000000,ABS($D26-$B$9)/$D26*100)</f>
        <v>41.1320437355435</v>
      </c>
      <c r="AG26" s="75" t="n">
        <f aca="false">IF(OR($B$10="",$B$10&lt;=0,$D26&lt;=0),1000000,ABS($D26-$B$10)/$D26*100)</f>
        <v>16.4075021044718</v>
      </c>
      <c r="AH26" s="75" t="n">
        <f aca="false">IF(OR($B$11="",$B$11&lt;=0,$D26&lt;=0),1000000,ABS($D26-$B$11)/$D26*100)</f>
        <v>10.6717577771782</v>
      </c>
      <c r="AI26" s="75" t="n">
        <f aca="false">IF(OR($B$12="",$B$12&lt;=0,$D26&lt;=0),1000000,ABS($D26-$B$12)/$D26*100)</f>
        <v>1000000</v>
      </c>
      <c r="AJ26" s="75" t="n">
        <f aca="false">IF(OR($B$13="",$B$13&lt;=0,$D26&lt;=0),1000000,ABS($D26-$B$13)/$D26*100)</f>
        <v>1000000</v>
      </c>
      <c r="AK26" s="75" t="n">
        <f aca="false">IF(OR($B$14="",$B$14&lt;=0,$D26&lt;=0),1000000,ABS($D26-$B$14)/$D26*100)</f>
        <v>1000000</v>
      </c>
      <c r="AL26" s="75" t="n">
        <f aca="false">IF(OR($B$15="",$B$15&lt;=0,$D26&lt;=0),1000000,ABS($D26-$B$15)/$D26*100)</f>
        <v>1000000</v>
      </c>
      <c r="AM26" s="75" t="n">
        <f aca="false">IF(OR($B$16="",$B$16&lt;=0,$D26&lt;=0),1000000,ABS($D26-$B$16)/$D26*100)</f>
        <v>1000000</v>
      </c>
      <c r="AN26" s="5"/>
      <c r="AO26" s="5"/>
      <c r="AP26" s="5"/>
    </row>
    <row r="27" customFormat="false" ht="15" hidden="false" customHeight="false" outlineLevel="0" collapsed="false">
      <c r="A27" s="37" t="n">
        <v>9</v>
      </c>
      <c r="B27" s="26" t="str">
        <f aca="false">固有振動数!$R$14</f>
        <v>ねじり 3次</v>
      </c>
      <c r="C27" s="58" t="n">
        <f aca="false">固有振動数!$I$14</f>
        <v>12740.3777469482</v>
      </c>
      <c r="D27" s="58" t="n">
        <f aca="false">C27*$C$4</f>
        <v>12740.3777469482</v>
      </c>
      <c r="E27" s="66" t="str">
        <f aca="false">IF(AND(D27&gt;=$C$3,D27&lt;=$F$3),"○ 帯域内","− 帯域外")</f>
        <v>○ 帯域内</v>
      </c>
      <c r="F27" s="45" t="n">
        <f aca="false">MIN(L27:AB27)</f>
        <v>11.6422685240364</v>
      </c>
      <c r="G27" s="45" t="n">
        <f aca="false">MIN(AD27:AM27)</f>
        <v>26.2188281485478</v>
      </c>
      <c r="H27" s="74" t="str">
        <f aca="false">IF(E27="− 帯域外","− 対象外",IF(OR(F27&lt;$I$3,G27&lt;$I$3),"🔴 高リスク",IF(OR(F27&lt;$I$3*2,G27&lt;$I$3*2),"🟡 中リスク","🟢 低リスク")))</f>
        <v>🟢 低リスク</v>
      </c>
      <c r="I27" s="38" t="n">
        <f aca="false">IF(E27="○ 帯域内",F27,1000000)</f>
        <v>11.6422685240364</v>
      </c>
      <c r="J27" s="38" t="n">
        <f aca="false">IF(E27="○ 帯域内",G27,1000000)</f>
        <v>26.2188281485478</v>
      </c>
      <c r="K27" s="5"/>
      <c r="L27" s="75" t="n">
        <f aca="false">IF(OR(0=8,$D27&lt;=0,$D$19&lt;=0),1000000,ABS($D27-$D$19)/$D27*100)</f>
        <v>83.0961940204286</v>
      </c>
      <c r="M27" s="75" t="n">
        <f aca="false">IF(OR(1=8,$D27&lt;=0,$D$20&lt;=0),1000000,ABS($D27-$D$20)/$D27*100)</f>
        <v>54.0304926855554</v>
      </c>
      <c r="N27" s="75" t="n">
        <f aca="false">IF(OR(2=8,$D27&lt;=0,$D$21&lt;=0),1000000,ABS($D27-$D$21)/$D27*100)</f>
        <v>11.6422685240364</v>
      </c>
      <c r="O27" s="75" t="n">
        <f aca="false">IF(OR(3=8,$D27&lt;=0,$D$22&lt;=0),1000000,ABS($D27-$D$22)/$D27*100)</f>
        <v>42.4323374832271</v>
      </c>
      <c r="P27" s="75" t="n">
        <f aca="false">IF(OR(4=8,$D27&lt;=0,$D$23&lt;=0),1000000,ABS($D27-$D$23)/$D27*100)</f>
        <v>106.531476566634</v>
      </c>
      <c r="Q27" s="75" t="n">
        <f aca="false">IF(OR(5=8,$D27&lt;=0,$D$24&lt;=0),1000000,ABS($D27-$D$24)/$D27*100)</f>
        <v>178.953315327362</v>
      </c>
      <c r="R27" s="75" t="n">
        <f aca="false">IF(OR(6=8,$D27&lt;=0,$D$25&lt;=0),1000000,ABS($D27-$D$25)/$D27*100)</f>
        <v>66.6666666666667</v>
      </c>
      <c r="S27" s="75" t="n">
        <f aca="false">IF(OR(7=8,$D27&lt;=0,$D$26&lt;=0),1000000,ABS($D27-$D$26)/$D27*100)</f>
        <v>33.3333333333333</v>
      </c>
      <c r="T27" s="75" t="n">
        <f aca="false">IF(OR(8=8,$D27&lt;=0,$D$27&lt;=0),1000000,ABS($D27-$D$27)/$D27*100)</f>
        <v>1000000</v>
      </c>
      <c r="U27" s="75" t="n">
        <f aca="false">IF(OR(9=8,$D27&lt;=0,$D$28&lt;=0),1000000,ABS($D27-$D$28)/$D27*100)</f>
        <v>33.3333333333333</v>
      </c>
      <c r="V27" s="75" t="n">
        <f aca="false">IF(OR(10=8,$D27&lt;=0,$D$29&lt;=0),1000000,ABS($D27-$D$29)/$D27*100)</f>
        <v>17.2290768648053</v>
      </c>
      <c r="W27" s="75" t="n">
        <f aca="false">IF(OR(11=8,$D27&lt;=0,$D$30&lt;=0),1000000,ABS($D27-$D$30)/$D27*100)</f>
        <v>148.798461447207</v>
      </c>
      <c r="X27" s="75" t="n">
        <f aca="false">IF(OR(12=8,$D27&lt;=0,$D$31&lt;=0),1000000,ABS($D27-$D$31)/$D27*100)</f>
        <v>283.950988565485</v>
      </c>
      <c r="Y27" s="75" t="n">
        <f aca="false">IF(OR(13=8,$D27&lt;=0,$D$32&lt;=0),1000000,ABS($D27-$D$32)/$D27*100)</f>
        <v>417.021287318305</v>
      </c>
      <c r="Z27" s="75" t="n">
        <f aca="false">IF(OR(14=8,$D27&lt;=0,$D$33&lt;=0),1000000,ABS($D27-$D$33)/$D27*100)</f>
        <v>82.321177277067</v>
      </c>
      <c r="AA27" s="75" t="n">
        <f aca="false">IF(OR(15=8,$D27&lt;=0,$D$34&lt;=0),1000000,ABS($D27-$D$34)/$D27*100)</f>
        <v>264.642354554134</v>
      </c>
      <c r="AB27" s="75" t="n">
        <f aca="false">IF(OR(16=8,$D27&lt;=0,$D$35&lt;=0),1000000,ABS($D27-$D$35)/$D27*100)</f>
        <v>446.963531831201</v>
      </c>
      <c r="AC27" s="75"/>
      <c r="AD27" s="75" t="n">
        <f aca="false">IF(OR($B$7="",$B$7&lt;=0,$D27&lt;=0),1000000,ABS($D27-$B$7)/$D27*100)</f>
        <v>85.8716904965304</v>
      </c>
      <c r="AE27" s="75" t="n">
        <f aca="false">IF(OR($B$8="",$B$8&lt;=0,$D27&lt;=0),1000000,ABS($D27-$B$8)/$D27*100)</f>
        <v>74.8830053271652</v>
      </c>
      <c r="AF27" s="75" t="n">
        <f aca="false">IF(OR($B$9="",$B$9&lt;=0,$D27&lt;=0),1000000,ABS($D27-$B$9)/$D27*100)</f>
        <v>60.7546958236957</v>
      </c>
      <c r="AG27" s="75" t="n">
        <f aca="false">IF(OR($B$10="",$B$10&lt;=0,$D27&lt;=0),1000000,ABS($D27-$B$10)/$D27*100)</f>
        <v>44.2716680696478</v>
      </c>
      <c r="AH27" s="75" t="n">
        <f aca="false">IF(OR($B$11="",$B$11&lt;=0,$D27&lt;=0),1000000,ABS($D27-$B$11)/$D27*100)</f>
        <v>26.2188281485478</v>
      </c>
      <c r="AI27" s="75" t="n">
        <f aca="false">IF(OR($B$12="",$B$12&lt;=0,$D27&lt;=0),1000000,ABS($D27-$B$12)/$D27*100)</f>
        <v>1000000</v>
      </c>
      <c r="AJ27" s="75" t="n">
        <f aca="false">IF(OR($B$13="",$B$13&lt;=0,$D27&lt;=0),1000000,ABS($D27-$B$13)/$D27*100)</f>
        <v>1000000</v>
      </c>
      <c r="AK27" s="75" t="n">
        <f aca="false">IF(OR($B$14="",$B$14&lt;=0,$D27&lt;=0),1000000,ABS($D27-$B$14)/$D27*100)</f>
        <v>1000000</v>
      </c>
      <c r="AL27" s="75" t="n">
        <f aca="false">IF(OR($B$15="",$B$15&lt;=0,$D27&lt;=0),1000000,ABS($D27-$B$15)/$D27*100)</f>
        <v>1000000</v>
      </c>
      <c r="AM27" s="75" t="n">
        <f aca="false">IF(OR($B$16="",$B$16&lt;=0,$D27&lt;=0),1000000,ABS($D27-$B$16)/$D27*100)</f>
        <v>1000000</v>
      </c>
      <c r="AN27" s="5"/>
      <c r="AO27" s="5"/>
      <c r="AP27" s="5"/>
    </row>
    <row r="28" customFormat="false" ht="15" hidden="false" customHeight="false" outlineLevel="0" collapsed="false">
      <c r="A28" s="37" t="n">
        <v>10</v>
      </c>
      <c r="B28" s="26" t="str">
        <f aca="false">固有振動数!$R$15</f>
        <v>ねじり 4次</v>
      </c>
      <c r="C28" s="58" t="n">
        <f aca="false">固有振動数!$I$15</f>
        <v>16987.1703292642</v>
      </c>
      <c r="D28" s="58" t="n">
        <f aca="false">C28*$C$4</f>
        <v>16987.1703292642</v>
      </c>
      <c r="E28" s="66" t="str">
        <f aca="false">IF(AND(D28&gt;=$C$3,D28&lt;=$F$3),"○ 帯域内","− 帯域外")</f>
        <v>− 帯域外</v>
      </c>
      <c r="F28" s="45" t="n">
        <f aca="false">MIN(L28:AB28)</f>
        <v>6.82425311242035</v>
      </c>
      <c r="G28" s="45" t="n">
        <f aca="false">MIN(AD28:AM28)</f>
        <v>44.6641211114109</v>
      </c>
      <c r="H28" s="74" t="str">
        <f aca="false">IF(E28="− 帯域外","− 対象外",IF(OR(F28&lt;$I$3,G28&lt;$I$3),"🔴 高リスク",IF(OR(F28&lt;$I$3*2,G28&lt;$I$3*2),"🟡 中リスク","🟢 低リスク")))</f>
        <v>− 対象外</v>
      </c>
      <c r="I28" s="38" t="n">
        <f aca="false">IF(E28="○ 帯域内",F28,1000000)</f>
        <v>1000000</v>
      </c>
      <c r="J28" s="38" t="n">
        <f aca="false">IF(E28="○ 帯域内",G28,1000000)</f>
        <v>1000000</v>
      </c>
      <c r="K28" s="5"/>
      <c r="L28" s="75" t="n">
        <f aca="false">IF(OR(0=9,$D28&lt;=0,$D$19&lt;=0),1000000,ABS($D28-$D$19)/$D28*100)</f>
        <v>87.3221455153215</v>
      </c>
      <c r="M28" s="75" t="n">
        <f aca="false">IF(OR(1=9,$D28&lt;=0,$D$20&lt;=0),1000000,ABS($D28-$D$20)/$D28*100)</f>
        <v>65.5228695141665</v>
      </c>
      <c r="N28" s="75" t="n">
        <f aca="false">IF(OR(2=9,$D28&lt;=0,$D$21&lt;=0),1000000,ABS($D28-$D$21)/$D28*100)</f>
        <v>33.7317013930273</v>
      </c>
      <c r="O28" s="75" t="n">
        <f aca="false">IF(OR(3=9,$D28&lt;=0,$D$22&lt;=0),1000000,ABS($D28-$D$22)/$D28*100)</f>
        <v>6.82425311242035</v>
      </c>
      <c r="P28" s="75" t="n">
        <f aca="false">IF(OR(4=9,$D28&lt;=0,$D$23&lt;=0),1000000,ABS($D28-$D$23)/$D28*100)</f>
        <v>54.8986074249754</v>
      </c>
      <c r="Q28" s="75" t="n">
        <f aca="false">IF(OR(5=9,$D28&lt;=0,$D$24&lt;=0),1000000,ABS($D28-$D$24)/$D28*100)</f>
        <v>109.214986495521</v>
      </c>
      <c r="R28" s="75" t="n">
        <f aca="false">IF(OR(6=9,$D28&lt;=0,$D$25&lt;=0),1000000,ABS($D28-$D$25)/$D28*100)</f>
        <v>75</v>
      </c>
      <c r="S28" s="75" t="n">
        <f aca="false">IF(OR(7=9,$D28&lt;=0,$D$26&lt;=0),1000000,ABS($D28-$D$26)/$D28*100)</f>
        <v>50</v>
      </c>
      <c r="T28" s="75" t="n">
        <f aca="false">IF(OR(8=9,$D28&lt;=0,$D$27&lt;=0),1000000,ABS($D28-$D$27)/$D28*100)</f>
        <v>25</v>
      </c>
      <c r="U28" s="75" t="n">
        <f aca="false">IF(OR(9=9,$D28&lt;=0,$D$28&lt;=0),1000000,ABS($D28-$D$28)/$D28*100)</f>
        <v>1000000</v>
      </c>
      <c r="V28" s="75" t="n">
        <f aca="false">IF(OR(10=9,$D28&lt;=0,$D$29&lt;=0),1000000,ABS($D28-$D$29)/$D28*100)</f>
        <v>12.078192351396</v>
      </c>
      <c r="W28" s="75" t="n">
        <f aca="false">IF(OR(11=9,$D28&lt;=0,$D$30&lt;=0),1000000,ABS($D28-$D$30)/$D28*100)</f>
        <v>86.5988460854053</v>
      </c>
      <c r="X28" s="75" t="n">
        <f aca="false">IF(OR(12=9,$D28&lt;=0,$D$31&lt;=0),1000000,ABS($D28-$D$31)/$D28*100)</f>
        <v>187.963241424114</v>
      </c>
      <c r="Y28" s="75" t="n">
        <f aca="false">IF(OR(13=9,$D28&lt;=0,$D$32&lt;=0),1000000,ABS($D28-$D$32)/$D28*100)</f>
        <v>287.765965488729</v>
      </c>
      <c r="Z28" s="75" t="n">
        <f aca="false">IF(OR(14=9,$D28&lt;=0,$D$33&lt;=0),1000000,ABS($D28-$D$33)/$D28*100)</f>
        <v>36.7408829578003</v>
      </c>
      <c r="AA28" s="75" t="n">
        <f aca="false">IF(OR(15=9,$D28&lt;=0,$D$34&lt;=0),1000000,ABS($D28-$D$34)/$D28*100)</f>
        <v>173.481765915601</v>
      </c>
      <c r="AB28" s="75" t="n">
        <f aca="false">IF(OR(16=9,$D28&lt;=0,$D$35&lt;=0),1000000,ABS($D28-$D$35)/$D28*100)</f>
        <v>310.222648873401</v>
      </c>
      <c r="AC28" s="75"/>
      <c r="AD28" s="75" t="n">
        <f aca="false">IF(OR($B$7="",$B$7&lt;=0,$D28&lt;=0),1000000,ABS($D28-$B$7)/$D28*100)</f>
        <v>89.4037678723978</v>
      </c>
      <c r="AE28" s="75" t="n">
        <f aca="false">IF(OR($B$8="",$B$8&lt;=0,$D28&lt;=0),1000000,ABS($D28-$B$8)/$D28*100)</f>
        <v>81.1622539953739</v>
      </c>
      <c r="AF28" s="75" t="n">
        <f aca="false">IF(OR($B$9="",$B$9&lt;=0,$D28&lt;=0),1000000,ABS($D28-$B$9)/$D28*100)</f>
        <v>70.5660218677717</v>
      </c>
      <c r="AG28" s="75" t="n">
        <f aca="false">IF(OR($B$10="",$B$10&lt;=0,$D28&lt;=0),1000000,ABS($D28-$B$10)/$D28*100)</f>
        <v>58.2037510522359</v>
      </c>
      <c r="AH28" s="75" t="n">
        <f aca="false">IF(OR($B$11="",$B$11&lt;=0,$D28&lt;=0),1000000,ABS($D28-$B$11)/$D28*100)</f>
        <v>44.6641211114109</v>
      </c>
      <c r="AI28" s="75" t="n">
        <f aca="false">IF(OR($B$12="",$B$12&lt;=0,$D28&lt;=0),1000000,ABS($D28-$B$12)/$D28*100)</f>
        <v>1000000</v>
      </c>
      <c r="AJ28" s="75" t="n">
        <f aca="false">IF(OR($B$13="",$B$13&lt;=0,$D28&lt;=0),1000000,ABS($D28-$B$13)/$D28*100)</f>
        <v>1000000</v>
      </c>
      <c r="AK28" s="75" t="n">
        <f aca="false">IF(OR($B$14="",$B$14&lt;=0,$D28&lt;=0),1000000,ABS($D28-$B$14)/$D28*100)</f>
        <v>1000000</v>
      </c>
      <c r="AL28" s="75" t="n">
        <f aca="false">IF(OR($B$15="",$B$15&lt;=0,$D28&lt;=0),1000000,ABS($D28-$B$15)/$D28*100)</f>
        <v>1000000</v>
      </c>
      <c r="AM28" s="75" t="n">
        <f aca="false">IF(OR($B$16="",$B$16&lt;=0,$D28&lt;=0),1000000,ABS($D28-$B$16)/$D28*100)</f>
        <v>1000000</v>
      </c>
      <c r="AN28" s="5"/>
      <c r="AO28" s="5"/>
      <c r="AP28" s="5"/>
    </row>
    <row r="29" customFormat="false" ht="15" hidden="false" customHeight="false" outlineLevel="0" collapsed="false">
      <c r="A29" s="37" t="n">
        <v>11</v>
      </c>
      <c r="B29" s="26" t="str">
        <f aca="false">固有振動数!$R$16</f>
        <v>面内曲げ 1次</v>
      </c>
      <c r="C29" s="58" t="n">
        <f aca="false">固有振動数!$I$16</f>
        <v>14935.4272218364</v>
      </c>
      <c r="D29" s="58" t="n">
        <f aca="false">C29*$C$4</f>
        <v>14935.4272218364</v>
      </c>
      <c r="E29" s="66" t="str">
        <f aca="false">IF(AND(D29&gt;=$C$3,D29&lt;=$F$3),"○ 帯域内","− 帯域外")</f>
        <v>○ 帯域内</v>
      </c>
      <c r="F29" s="45" t="n">
        <f aca="false">MIN(L29:AB29)</f>
        <v>13.7374249624949</v>
      </c>
      <c r="G29" s="45" t="n">
        <f aca="false">MIN(AD29:AM29)</f>
        <v>37.0623962717539</v>
      </c>
      <c r="H29" s="74" t="str">
        <f aca="false">IF(E29="− 帯域外","− 対象外",IF(OR(F29&lt;$I$3,G29&lt;$I$3),"🔴 高リスク",IF(OR(F29&lt;$I$3*2,G29&lt;$I$3*2),"🟡 中リスク","🟢 低リスク")))</f>
        <v>🟢 低リスク</v>
      </c>
      <c r="I29" s="38" t="n">
        <f aca="false">IF(E29="○ 帯域内",F29,1000000)</f>
        <v>13.7374249624949</v>
      </c>
      <c r="J29" s="38" t="n">
        <f aca="false">IF(E29="○ 帯域内",G29,1000000)</f>
        <v>37.0623962717539</v>
      </c>
      <c r="K29" s="5"/>
      <c r="L29" s="75" t="n">
        <f aca="false">IF(OR(0=10,$D29&lt;=0,$D$19&lt;=0),1000000,ABS($D29-$D$19)/$D29*100)</f>
        <v>85.5805347686344</v>
      </c>
      <c r="M29" s="75" t="n">
        <f aca="false">IF(OR(1=10,$D29&lt;=0,$D$20&lt;=0),1000000,ABS($D29-$D$20)/$D29*100)</f>
        <v>60.7865995844537</v>
      </c>
      <c r="N29" s="75" t="n">
        <f aca="false">IF(OR(2=10,$D29&lt;=0,$D$21&lt;=0),1000000,ABS($D29-$D$21)/$D29*100)</f>
        <v>24.6281435979723</v>
      </c>
      <c r="O29" s="75" t="n">
        <f aca="false">IF(OR(3=10,$D29&lt;=0,$D$22&lt;=0),1000000,ABS($D29-$D$22)/$D29*100)</f>
        <v>21.4991547254847</v>
      </c>
      <c r="P29" s="75" t="n">
        <f aca="false">IF(OR(4=10,$D29&lt;=0,$D$23&lt;=0),1000000,ABS($D29-$D$23)/$D29*100)</f>
        <v>76.1776873879309</v>
      </c>
      <c r="Q29" s="75" t="n">
        <f aca="false">IF(OR(5=10,$D29&lt;=0,$D$24&lt;=0),1000000,ABS($D29-$D$24)/$D29*100)</f>
        <v>137.955738275637</v>
      </c>
      <c r="R29" s="75" t="n">
        <f aca="false">IF(OR(6=10,$D29&lt;=0,$D$25&lt;=0),1000000,ABS($D29-$D$25)/$D29*100)</f>
        <v>71.5656437593763</v>
      </c>
      <c r="S29" s="75" t="n">
        <f aca="false">IF(OR(7=10,$D29&lt;=0,$D$26&lt;=0),1000000,ABS($D29-$D$26)/$D29*100)</f>
        <v>43.1312875187526</v>
      </c>
      <c r="T29" s="75" t="n">
        <f aca="false">IF(OR(8=10,$D29&lt;=0,$D$27&lt;=0),1000000,ABS($D29-$D$27)/$D29*100)</f>
        <v>14.6969312781288</v>
      </c>
      <c r="U29" s="75" t="n">
        <f aca="false">IF(OR(9=10,$D29&lt;=0,$D$28&lt;=0),1000000,ABS($D29-$D$28)/$D29*100)</f>
        <v>13.7374249624949</v>
      </c>
      <c r="V29" s="75" t="n">
        <f aca="false">IF(OR(10=10,$D29&lt;=0,$D$29&lt;=0),1000000,ABS($D29-$D$29)/$D29*100)</f>
        <v>1000000</v>
      </c>
      <c r="W29" s="75" t="n">
        <f aca="false">IF(OR(11=10,$D29&lt;=0,$D$30&lt;=0),1000000,ABS($D29-$D$30)/$D29*100)</f>
        <v>112.232722547269</v>
      </c>
      <c r="X29" s="75" t="n">
        <f aca="false">IF(OR(12=10,$D29&lt;=0,$D$31&lt;=0),1000000,ABS($D29-$D$31)/$D29*100)</f>
        <v>227.521975634319</v>
      </c>
      <c r="Y29" s="75" t="n">
        <f aca="false">IF(OR(13=10,$D29&lt;=0,$D$32&lt;=0),1000000,ABS($D29-$D$32)/$D29*100)</f>
        <v>341.035024027836</v>
      </c>
      <c r="Z29" s="75" t="n">
        <f aca="false">IF(OR(14=10,$D29&lt;=0,$D$33&lt;=0),1000000,ABS($D29-$D$33)/$D29*100)</f>
        <v>55.525559147181</v>
      </c>
      <c r="AA29" s="75" t="n">
        <f aca="false">IF(OR(15=10,$D29&lt;=0,$D$34&lt;=0),1000000,ABS($D29-$D$34)/$D29*100)</f>
        <v>211.051118294362</v>
      </c>
      <c r="AB29" s="75" t="n">
        <f aca="false">IF(OR(16=10,$D29&lt;=0,$D$35&lt;=0),1000000,ABS($D29-$D$35)/$D29*100)</f>
        <v>366.576677441543</v>
      </c>
      <c r="AC29" s="75"/>
      <c r="AD29" s="75" t="n">
        <f aca="false">IF(OR($B$7="",$B$7&lt;=0,$D29&lt;=0),1000000,ABS($D29-$B$7)/$D29*100)</f>
        <v>87.9481184350167</v>
      </c>
      <c r="AE29" s="75" t="n">
        <f aca="false">IF(OR($B$8="",$B$8&lt;=0,$D29&lt;=0),1000000,ABS($D29-$B$8)/$D29*100)</f>
        <v>78.574432773363</v>
      </c>
      <c r="AF29" s="75" t="n">
        <f aca="false">IF(OR($B$9="",$B$9&lt;=0,$D29&lt;=0),1000000,ABS($D29-$B$9)/$D29*100)</f>
        <v>66.5225512083797</v>
      </c>
      <c r="AG29" s="75" t="n">
        <f aca="false">IF(OR($B$10="",$B$10&lt;=0,$D29&lt;=0),1000000,ABS($D29-$B$10)/$D29*100)</f>
        <v>52.4620227158992</v>
      </c>
      <c r="AH29" s="75" t="n">
        <f aca="false">IF(OR($B$11="",$B$11&lt;=0,$D29&lt;=0),1000000,ABS($D29-$B$11)/$D29*100)</f>
        <v>37.0623962717539</v>
      </c>
      <c r="AI29" s="75" t="n">
        <f aca="false">IF(OR($B$12="",$B$12&lt;=0,$D29&lt;=0),1000000,ABS($D29-$B$12)/$D29*100)</f>
        <v>1000000</v>
      </c>
      <c r="AJ29" s="75" t="n">
        <f aca="false">IF(OR($B$13="",$B$13&lt;=0,$D29&lt;=0),1000000,ABS($D29-$B$13)/$D29*100)</f>
        <v>1000000</v>
      </c>
      <c r="AK29" s="75" t="n">
        <f aca="false">IF(OR($B$14="",$B$14&lt;=0,$D29&lt;=0),1000000,ABS($D29-$B$14)/$D29*100)</f>
        <v>1000000</v>
      </c>
      <c r="AL29" s="75" t="n">
        <f aca="false">IF(OR($B$15="",$B$15&lt;=0,$D29&lt;=0),1000000,ABS($D29-$B$15)/$D29*100)</f>
        <v>1000000</v>
      </c>
      <c r="AM29" s="75" t="n">
        <f aca="false">IF(OR($B$16="",$B$16&lt;=0,$D29&lt;=0),1000000,ABS($D29-$B$16)/$D29*100)</f>
        <v>1000000</v>
      </c>
      <c r="AN29" s="5"/>
      <c r="AO29" s="5"/>
      <c r="AP29" s="5"/>
    </row>
    <row r="30" customFormat="false" ht="15" hidden="false" customHeight="false" outlineLevel="0" collapsed="false">
      <c r="A30" s="37" t="n">
        <v>12</v>
      </c>
      <c r="B30" s="26" t="str">
        <f aca="false">固有振動数!$R$17</f>
        <v>面内曲げ 2次</v>
      </c>
      <c r="C30" s="58" t="n">
        <f aca="false">固有振動数!$I$17</f>
        <v>31697.8638169694</v>
      </c>
      <c r="D30" s="58" t="n">
        <f aca="false">C30*$C$4</f>
        <v>31697.8638169694</v>
      </c>
      <c r="E30" s="66" t="str">
        <f aca="false">IF(AND(D30&gt;=$C$3,D30&lt;=$F$3),"○ 帯域内","− 帯域外")</f>
        <v>− 帯域外</v>
      </c>
      <c r="F30" s="45" t="n">
        <f aca="false">MIN(L30:AB30)</f>
        <v>12.1201930690208</v>
      </c>
      <c r="G30" s="45" t="n">
        <f aca="false">MIN(AD30:AM30)</f>
        <v>70.3450047792567</v>
      </c>
      <c r="H30" s="74" t="str">
        <f aca="false">IF(E30="− 帯域外","− 対象外",IF(OR(F30&lt;$I$3,G30&lt;$I$3),"🔴 高リスク",IF(OR(F30&lt;$I$3*2,G30&lt;$I$3*2),"🟡 中リスク","🟢 低リスク")))</f>
        <v>− 対象外</v>
      </c>
      <c r="I30" s="38" t="n">
        <f aca="false">IF(E30="○ 帯域内",F30,1000000)</f>
        <v>1000000</v>
      </c>
      <c r="J30" s="38" t="n">
        <f aca="false">IF(E30="○ 帯域内",G30,1000000)</f>
        <v>1000000</v>
      </c>
      <c r="K30" s="5"/>
      <c r="L30" s="75" t="n">
        <f aca="false">IF(OR(0=11,$D30&lt;=0,$D$19&lt;=0),1000000,ABS($D30-$D$19)/$D30*100)</f>
        <v>93.2058237493731</v>
      </c>
      <c r="M30" s="75" t="n">
        <f aca="false">IF(OR(1=11,$D30&lt;=0,$D$20&lt;=0),1000000,ABS($D30-$D$20)/$D30*100)</f>
        <v>81.5233956644869</v>
      </c>
      <c r="N30" s="75" t="n">
        <f aca="false">IF(OR(2=11,$D30&lt;=0,$D$21&lt;=0),1000000,ABS($D30-$D$21)/$D30*100)</f>
        <v>64.4862227193827</v>
      </c>
      <c r="O30" s="75" t="n">
        <f aca="false">IF(OR(3=11,$D30&lt;=0,$D$22&lt;=0),1000000,ABS($D30-$D$22)/$D30*100)</f>
        <v>42.7519219151401</v>
      </c>
      <c r="P30" s="75" t="n">
        <f aca="false">IF(OR(4=11,$D30&lt;=0,$D$23&lt;=0),1000000,ABS($D30-$D$23)/$D30*100)</f>
        <v>16.9884430292355</v>
      </c>
      <c r="Q30" s="75" t="n">
        <f aca="false">IF(OR(5=11,$D30&lt;=0,$D$24&lt;=0),1000000,ABS($D30-$D$24)/$D30*100)</f>
        <v>12.1201930690208</v>
      </c>
      <c r="R30" s="75" t="n">
        <f aca="false">IF(OR(6=11,$D30&lt;=0,$D$25&lt;=0),1000000,ABS($D30-$D$25)/$D30*100)</f>
        <v>86.6022751348861</v>
      </c>
      <c r="S30" s="75" t="n">
        <f aca="false">IF(OR(7=11,$D30&lt;=0,$D$26&lt;=0),1000000,ABS($D30-$D$26)/$D30*100)</f>
        <v>73.2045502697722</v>
      </c>
      <c r="T30" s="75" t="n">
        <f aca="false">IF(OR(8=11,$D30&lt;=0,$D$27&lt;=0),1000000,ABS($D30-$D$27)/$D30*100)</f>
        <v>59.8068254046582</v>
      </c>
      <c r="U30" s="75" t="n">
        <f aca="false">IF(OR(9=11,$D30&lt;=0,$D$28&lt;=0),1000000,ABS($D30-$D$28)/$D30*100)</f>
        <v>46.4091005395443</v>
      </c>
      <c r="V30" s="75" t="n">
        <f aca="false">IF(OR(10=11,$D30&lt;=0,$D$29&lt;=0),1000000,ABS($D30-$D$29)/$D30*100)</f>
        <v>52.8819124592214</v>
      </c>
      <c r="W30" s="75" t="n">
        <f aca="false">IF(OR(11=11,$D30&lt;=0,$D$30&lt;=0),1000000,ABS($D30-$D$30)/$D30*100)</f>
        <v>1000000</v>
      </c>
      <c r="X30" s="75" t="n">
        <f aca="false">IF(OR(12=11,$D30&lt;=0,$D$31&lt;=0),1000000,ABS($D30-$D$31)/$D30*100)</f>
        <v>54.3220911946661</v>
      </c>
      <c r="Y30" s="75" t="n">
        <f aca="false">IF(OR(13=11,$D30&lt;=0,$D$32&lt;=0),1000000,ABS($D30-$D$32)/$D30*100)</f>
        <v>107.80726870693</v>
      </c>
      <c r="Z30" s="75" t="n">
        <f aca="false">IF(OR(14=11,$D30&lt;=0,$D$33&lt;=0),1000000,ABS($D30-$D$33)/$D30*100)</f>
        <v>26.7193308927459</v>
      </c>
      <c r="AA30" s="75" t="n">
        <f aca="false">IF(OR(15=11,$D30&lt;=0,$D$34&lt;=0),1000000,ABS($D30-$D$34)/$D30*100)</f>
        <v>46.5613382145082</v>
      </c>
      <c r="AB30" s="75" t="n">
        <f aca="false">IF(OR(16=11,$D30&lt;=0,$D$35&lt;=0),1000000,ABS($D30-$D$35)/$D30*100)</f>
        <v>119.842007321762</v>
      </c>
      <c r="AC30" s="75"/>
      <c r="AD30" s="75" t="n">
        <f aca="false">IF(OR($B$7="",$B$7&lt;=0,$D30&lt;=0),1000000,ABS($D30-$B$7)/$D30*100)</f>
        <v>94.3213838939002</v>
      </c>
      <c r="AE30" s="75" t="n">
        <f aca="false">IF(OR($B$8="",$B$8&lt;=0,$D30&lt;=0),1000000,ABS($D30-$B$8)/$D30*100)</f>
        <v>89.9046824780448</v>
      </c>
      <c r="AF30" s="75" t="n">
        <f aca="false">IF(OR($B$9="",$B$9&lt;=0,$D30&lt;=0),1000000,ABS($D30-$B$9)/$D30*100)</f>
        <v>84.226066371945</v>
      </c>
      <c r="AG30" s="75" t="n">
        <f aca="false">IF(OR($B$10="",$B$10&lt;=0,$D30&lt;=0),1000000,ABS($D30-$B$10)/$D30*100)</f>
        <v>77.601014248162</v>
      </c>
      <c r="AH30" s="75" t="n">
        <f aca="false">IF(OR($B$11="",$B$11&lt;=0,$D30&lt;=0),1000000,ABS($D30-$B$11)/$D30*100)</f>
        <v>70.3450047792567</v>
      </c>
      <c r="AI30" s="75" t="n">
        <f aca="false">IF(OR($B$12="",$B$12&lt;=0,$D30&lt;=0),1000000,ABS($D30-$B$12)/$D30*100)</f>
        <v>1000000</v>
      </c>
      <c r="AJ30" s="75" t="n">
        <f aca="false">IF(OR($B$13="",$B$13&lt;=0,$D30&lt;=0),1000000,ABS($D30-$B$13)/$D30*100)</f>
        <v>1000000</v>
      </c>
      <c r="AK30" s="75" t="n">
        <f aca="false">IF(OR($B$14="",$B$14&lt;=0,$D30&lt;=0),1000000,ABS($D30-$B$14)/$D30*100)</f>
        <v>1000000</v>
      </c>
      <c r="AL30" s="75" t="n">
        <f aca="false">IF(OR($B$15="",$B$15&lt;=0,$D30&lt;=0),1000000,ABS($D30-$B$15)/$D30*100)</f>
        <v>1000000</v>
      </c>
      <c r="AM30" s="75" t="n">
        <f aca="false">IF(OR($B$16="",$B$16&lt;=0,$D30&lt;=0),1000000,ABS($D30-$B$16)/$D30*100)</f>
        <v>1000000</v>
      </c>
      <c r="AN30" s="5"/>
      <c r="AO30" s="5"/>
      <c r="AP30" s="5"/>
    </row>
    <row r="31" customFormat="false" ht="15" hidden="false" customHeight="false" outlineLevel="0" collapsed="false">
      <c r="A31" s="37" t="n">
        <v>13</v>
      </c>
      <c r="B31" s="26" t="str">
        <f aca="false">固有振動数!$R$18</f>
        <v>面内曲げ 3次</v>
      </c>
      <c r="C31" s="58" t="n">
        <f aca="false">固有振動数!$I$18</f>
        <v>48916.8063063846</v>
      </c>
      <c r="D31" s="58" t="n">
        <f aca="false">C31*$C$4</f>
        <v>48916.8063063846</v>
      </c>
      <c r="E31" s="66" t="str">
        <f aca="false">IF(AND(D31&gt;=$C$3,D31&lt;=$F$3),"○ 帯域内","− 帯域外")</f>
        <v>− 帯域外</v>
      </c>
      <c r="F31" s="45" t="n">
        <f aca="false">MIN(L31:AB31)</f>
        <v>5.02893196954427</v>
      </c>
      <c r="G31" s="45" t="n">
        <f aca="false">MIN(AD31:AM31)</f>
        <v>80.7837005115906</v>
      </c>
      <c r="H31" s="74" t="str">
        <f aca="false">IF(E31="− 帯域外","− 対象外",IF(OR(F31&lt;$I$3,G31&lt;$I$3),"🔴 高リスク",IF(OR(F31&lt;$I$3*2,G31&lt;$I$3*2),"🟡 中リスク","🟢 低リスク")))</f>
        <v>− 対象外</v>
      </c>
      <c r="I31" s="38" t="n">
        <f aca="false">IF(E31="○ 帯域内",F31,1000000)</f>
        <v>1000000</v>
      </c>
      <c r="J31" s="38" t="n">
        <f aca="false">IF(E31="○ 帯域内",G31,1000000)</f>
        <v>1000000</v>
      </c>
      <c r="K31" s="5"/>
      <c r="L31" s="75" t="n">
        <f aca="false">IF(OR(0=12,$D31&lt;=0,$D$19&lt;=0),1000000,ABS($D31-$D$19)/$D31*100)</f>
        <v>95.5974052722908</v>
      </c>
      <c r="M31" s="75" t="n">
        <f aca="false">IF(OR(1=12,$D31&lt;=0,$D$20&lt;=0),1000000,ABS($D31-$D$20)/$D31*100)</f>
        <v>88.0272460070501</v>
      </c>
      <c r="N31" s="75" t="n">
        <f aca="false">IF(OR(2=12,$D31&lt;=0,$D$21&lt;=0),1000000,ABS($D31-$D$21)/$D31*100)</f>
        <v>76.9872368850813</v>
      </c>
      <c r="O31" s="75" t="n">
        <f aca="false">IF(OR(3=12,$D31&lt;=0,$D$22&lt;=0),1000000,ABS($D31-$D$22)/$D31*100)</f>
        <v>62.9035106758334</v>
      </c>
      <c r="P31" s="75" t="n">
        <f aca="false">IF(OR(4=12,$D31&lt;=0,$D$23&lt;=0),1000000,ABS($D31-$D$23)/$D31*100)</f>
        <v>46.2088957399809</v>
      </c>
      <c r="Q31" s="75" t="n">
        <f aca="false">IF(OR(5=12,$D31&lt;=0,$D$24&lt;=0),1000000,ABS($D31-$D$24)/$D31*100)</f>
        <v>27.3466344312368</v>
      </c>
      <c r="R31" s="75" t="n">
        <f aca="false">IF(OR(6=12,$D31&lt;=0,$D$25&lt;=0),1000000,ABS($D31-$D$25)/$D31*100)</f>
        <v>91.3183363694744</v>
      </c>
      <c r="S31" s="75" t="n">
        <f aca="false">IF(OR(7=12,$D31&lt;=0,$D$26&lt;=0),1000000,ABS($D31-$D$26)/$D31*100)</f>
        <v>82.6366727389487</v>
      </c>
      <c r="T31" s="75" t="n">
        <f aca="false">IF(OR(8=12,$D31&lt;=0,$D$27&lt;=0),1000000,ABS($D31-$D$27)/$D31*100)</f>
        <v>73.9550091084231</v>
      </c>
      <c r="U31" s="75" t="n">
        <f aca="false">IF(OR(9=12,$D31&lt;=0,$D$28&lt;=0),1000000,ABS($D31-$D$28)/$D31*100)</f>
        <v>65.2733454778975</v>
      </c>
      <c r="V31" s="75" t="n">
        <f aca="false">IF(OR(10=12,$D31&lt;=0,$D$29&lt;=0),1000000,ABS($D31-$D$29)/$D31*100)</f>
        <v>69.4676976082818</v>
      </c>
      <c r="W31" s="75" t="n">
        <f aca="false">IF(OR(11=12,$D31&lt;=0,$D$30&lt;=0),1000000,ABS($D31-$D$30)/$D31*100)</f>
        <v>35.2004633776915</v>
      </c>
      <c r="X31" s="75" t="n">
        <f aca="false">IF(OR(12=12,$D31&lt;=0,$D$31&lt;=0),1000000,ABS($D31-$D$31)/$D31*100)</f>
        <v>1000000</v>
      </c>
      <c r="Y31" s="75" t="n">
        <f aca="false">IF(OR(13=12,$D31&lt;=0,$D$32&lt;=0),1000000,ABS($D31-$D$32)/$D31*100)</f>
        <v>34.6581471895661</v>
      </c>
      <c r="Z31" s="75" t="n">
        <f aca="false">IF(OR(14=12,$D31&lt;=0,$D$33&lt;=0),1000000,ABS($D31-$D$33)/$D31*100)</f>
        <v>52.5144659847721</v>
      </c>
      <c r="AA31" s="75" t="n">
        <f aca="false">IF(OR(15=12,$D31&lt;=0,$D$34&lt;=0),1000000,ABS($D31-$D$34)/$D31*100)</f>
        <v>5.02893196954427</v>
      </c>
      <c r="AB31" s="75" t="n">
        <f aca="false">IF(OR(16=12,$D31&lt;=0,$D$35&lt;=0),1000000,ABS($D31-$D$35)/$D31*100)</f>
        <v>42.4566020456836</v>
      </c>
      <c r="AC31" s="75"/>
      <c r="AD31" s="75" t="n">
        <f aca="false">IF(OR($B$7="",$B$7&lt;=0,$D31&lt;=0),1000000,ABS($D31-$B$7)/$D31*100)</f>
        <v>96.3202830766876</v>
      </c>
      <c r="AE31" s="75" t="n">
        <f aca="false">IF(OR($B$8="",$B$8&lt;=0,$D31&lt;=0),1000000,ABS($D31-$B$8)/$D31*100)</f>
        <v>93.4582810252223</v>
      </c>
      <c r="AF31" s="75" t="n">
        <f aca="false">IF(OR($B$9="",$B$9&lt;=0,$D31&lt;=0),1000000,ABS($D31-$B$9)/$D31*100)</f>
        <v>89.7785641019099</v>
      </c>
      <c r="AG31" s="75" t="n">
        <f aca="false">IF(OR($B$10="",$B$10&lt;=0,$D31&lt;=0),1000000,ABS($D31-$B$10)/$D31*100)</f>
        <v>85.485561024712</v>
      </c>
      <c r="AH31" s="75" t="n">
        <f aca="false">IF(OR($B$11="",$B$11&lt;=0,$D31&lt;=0),1000000,ABS($D31-$B$11)/$D31*100)</f>
        <v>80.7837005115906</v>
      </c>
      <c r="AI31" s="75" t="n">
        <f aca="false">IF(OR($B$12="",$B$12&lt;=0,$D31&lt;=0),1000000,ABS($D31-$B$12)/$D31*100)</f>
        <v>1000000</v>
      </c>
      <c r="AJ31" s="75" t="n">
        <f aca="false">IF(OR($B$13="",$B$13&lt;=0,$D31&lt;=0),1000000,ABS($D31-$B$13)/$D31*100)</f>
        <v>1000000</v>
      </c>
      <c r="AK31" s="75" t="n">
        <f aca="false">IF(OR($B$14="",$B$14&lt;=0,$D31&lt;=0),1000000,ABS($D31-$B$14)/$D31*100)</f>
        <v>1000000</v>
      </c>
      <c r="AL31" s="75" t="n">
        <f aca="false">IF(OR($B$15="",$B$15&lt;=0,$D31&lt;=0),1000000,ABS($D31-$B$15)/$D31*100)</f>
        <v>1000000</v>
      </c>
      <c r="AM31" s="75" t="n">
        <f aca="false">IF(OR($B$16="",$B$16&lt;=0,$D31&lt;=0),1000000,ABS($D31-$B$16)/$D31*100)</f>
        <v>1000000</v>
      </c>
      <c r="AN31" s="5"/>
      <c r="AO31" s="5"/>
      <c r="AP31" s="5"/>
    </row>
    <row r="32" customFormat="false" ht="15" hidden="false" customHeight="false" outlineLevel="0" collapsed="false">
      <c r="A32" s="37" t="n">
        <v>14</v>
      </c>
      <c r="B32" s="26" t="str">
        <f aca="false">固有振動数!$R$19</f>
        <v>面内曲げ 4次</v>
      </c>
      <c r="C32" s="58" t="n">
        <f aca="false">固有振動数!$I$19</f>
        <v>65870.4650364863</v>
      </c>
      <c r="D32" s="58" t="n">
        <f aca="false">C32*$C$4</f>
        <v>65870.4650364863</v>
      </c>
      <c r="E32" s="66" t="str">
        <f aca="false">IF(AND(D32&gt;=$C$3,D32&lt;=$F$3),"○ 帯域内","− 帯域外")</f>
        <v>− 帯域外</v>
      </c>
      <c r="F32" s="45" t="n">
        <f aca="false">MIN(L32:AB32)</f>
        <v>5.791298201318</v>
      </c>
      <c r="G32" s="45" t="n">
        <f aca="false">MIN(AD32:AM32)</f>
        <v>85.7295678802431</v>
      </c>
      <c r="H32" s="74" t="str">
        <f aca="false">IF(E32="− 帯域外","− 対象外",IF(OR(F32&lt;$I$3,G32&lt;$I$3),"🔴 高リスク",IF(OR(F32&lt;$I$3*2,G32&lt;$I$3*2),"🟡 中リスク","🟢 低リスク")))</f>
        <v>− 対象外</v>
      </c>
      <c r="I32" s="38" t="n">
        <f aca="false">IF(E32="○ 帯域内",F32,1000000)</f>
        <v>1000000</v>
      </c>
      <c r="J32" s="38" t="n">
        <f aca="false">IF(E32="○ 帯域内",G32,1000000)</f>
        <v>1000000</v>
      </c>
      <c r="K32" s="5"/>
      <c r="L32" s="75" t="n">
        <f aca="false">IF(OR(0=13,$D32&lt;=0,$D$19&lt;=0),1000000,ABS($D32-$D$19)/$D32*100)</f>
        <v>96.7305396520038</v>
      </c>
      <c r="M32" s="75" t="n">
        <f aca="false">IF(OR(1=13,$D32&lt;=0,$D$20&lt;=0),1000000,ABS($D32-$D$20)/$D32*100)</f>
        <v>91.108778605059</v>
      </c>
      <c r="N32" s="75" t="n">
        <f aca="false">IF(OR(2=13,$D32&lt;=0,$D$21&lt;=0),1000000,ABS($D32-$D$21)/$D32*100)</f>
        <v>82.9102333611332</v>
      </c>
      <c r="O32" s="75" t="n">
        <f aca="false">IF(OR(3=13,$D32&lt;=0,$D$22&lt;=0),1000000,ABS($D32-$D$22)/$D32*100)</f>
        <v>72.4513591651134</v>
      </c>
      <c r="P32" s="75" t="n">
        <f aca="false">IF(OR(4=13,$D32&lt;=0,$D$23&lt;=0),1000000,ABS($D32-$D$23)/$D32*100)</f>
        <v>60.0535835501329</v>
      </c>
      <c r="Q32" s="75" t="n">
        <f aca="false">IF(OR(5=13,$D32&lt;=0,$D$24&lt;=0),1000000,ABS($D32-$D$24)/$D32*100)</f>
        <v>46.0460677017301</v>
      </c>
      <c r="R32" s="75" t="n">
        <f aca="false">IF(OR(6=13,$D32&lt;=0,$D$25&lt;=0),1000000,ABS($D32-$D$25)/$D32*100)</f>
        <v>93.5528122050395</v>
      </c>
      <c r="S32" s="75" t="n">
        <f aca="false">IF(OR(7=13,$D32&lt;=0,$D$26&lt;=0),1000000,ABS($D32-$D$26)/$D32*100)</f>
        <v>87.105624410079</v>
      </c>
      <c r="T32" s="75" t="n">
        <f aca="false">IF(OR(8=13,$D32&lt;=0,$D$27&lt;=0),1000000,ABS($D32-$D$27)/$D32*100)</f>
        <v>80.6584366151186</v>
      </c>
      <c r="U32" s="75" t="n">
        <f aca="false">IF(OR(9=13,$D32&lt;=0,$D$28&lt;=0),1000000,ABS($D32-$D$28)/$D32*100)</f>
        <v>74.2112488201581</v>
      </c>
      <c r="V32" s="75" t="n">
        <f aca="false">IF(OR(10=13,$D32&lt;=0,$D$29&lt;=0),1000000,ABS($D32-$D$29)/$D32*100)</f>
        <v>77.3260637926823</v>
      </c>
      <c r="W32" s="75" t="n">
        <f aca="false">IF(OR(11=13,$D32&lt;=0,$D$30&lt;=0),1000000,ABS($D32-$D$30)/$D32*100)</f>
        <v>51.8784878785786</v>
      </c>
      <c r="X32" s="75" t="n">
        <f aca="false">IF(OR(12=13,$D32&lt;=0,$D$31&lt;=0),1000000,ABS($D32-$D$31)/$D32*100)</f>
        <v>25.7378761797278</v>
      </c>
      <c r="Y32" s="75" t="n">
        <f aca="false">IF(OR(13=13,$D32&lt;=0,$D$32&lt;=0),1000000,ABS($D32-$D$32)/$D32*100)</f>
        <v>1000000</v>
      </c>
      <c r="Z32" s="75" t="n">
        <f aca="false">IF(OR(14=13,$D32&lt;=0,$D$33&lt;=0),1000000,ABS($D32-$D$33)/$D32*100)</f>
        <v>64.736233932894</v>
      </c>
      <c r="AA32" s="75" t="n">
        <f aca="false">IF(OR(15=13,$D32&lt;=0,$D$34&lt;=0),1000000,ABS($D32-$D$34)/$D32*100)</f>
        <v>29.472467865788</v>
      </c>
      <c r="AB32" s="75" t="n">
        <f aca="false">IF(OR(16=13,$D32&lt;=0,$D$35&lt;=0),1000000,ABS($D32-$D$35)/$D32*100)</f>
        <v>5.791298201318</v>
      </c>
      <c r="AC32" s="75"/>
      <c r="AD32" s="75" t="n">
        <f aca="false">IF(OR($B$7="",$B$7&lt;=0,$D32&lt;=0),1000000,ABS($D32-$B$7)/$D32*100)</f>
        <v>97.2673640621742</v>
      </c>
      <c r="AE32" s="75" t="n">
        <f aca="false">IF(OR($B$8="",$B$8&lt;=0,$D32&lt;=0),1000000,ABS($D32-$B$8)/$D32*100)</f>
        <v>95.1419805549764</v>
      </c>
      <c r="AF32" s="75" t="n">
        <f aca="false">IF(OR($B$9="",$B$9&lt;=0,$D32&lt;=0),1000000,ABS($D32-$B$9)/$D32*100)</f>
        <v>92.4093446171506</v>
      </c>
      <c r="AG32" s="75" t="n">
        <f aca="false">IF(OR($B$10="",$B$10&lt;=0,$D32&lt;=0),1000000,ABS($D32-$B$10)/$D32*100)</f>
        <v>89.2212693563538</v>
      </c>
      <c r="AH32" s="75" t="n">
        <f aca="false">IF(OR($B$11="",$B$11&lt;=0,$D32&lt;=0),1000000,ABS($D32-$B$11)/$D32*100)</f>
        <v>85.7295678802431</v>
      </c>
      <c r="AI32" s="75" t="n">
        <f aca="false">IF(OR($B$12="",$B$12&lt;=0,$D32&lt;=0),1000000,ABS($D32-$B$12)/$D32*100)</f>
        <v>1000000</v>
      </c>
      <c r="AJ32" s="75" t="n">
        <f aca="false">IF(OR($B$13="",$B$13&lt;=0,$D32&lt;=0),1000000,ABS($D32-$B$13)/$D32*100)</f>
        <v>1000000</v>
      </c>
      <c r="AK32" s="75" t="n">
        <f aca="false">IF(OR($B$14="",$B$14&lt;=0,$D32&lt;=0),1000000,ABS($D32-$B$14)/$D32*100)</f>
        <v>1000000</v>
      </c>
      <c r="AL32" s="75" t="n">
        <f aca="false">IF(OR($B$15="",$B$15&lt;=0,$D32&lt;=0),1000000,ABS($D32-$B$15)/$D32*100)</f>
        <v>1000000</v>
      </c>
      <c r="AM32" s="75" t="n">
        <f aca="false">IF(OR($B$16="",$B$16&lt;=0,$D32&lt;=0),1000000,ABS($D32-$B$16)/$D32*100)</f>
        <v>1000000</v>
      </c>
      <c r="AN32" s="5"/>
      <c r="AO32" s="5"/>
      <c r="AP32" s="5"/>
    </row>
    <row r="33" customFormat="false" ht="15" hidden="false" customHeight="false" outlineLevel="0" collapsed="false">
      <c r="A33" s="37" t="n">
        <v>15</v>
      </c>
      <c r="B33" s="26" t="str">
        <f aca="false">固有振動数!$R$20</f>
        <v>面内伸縮 1次</v>
      </c>
      <c r="C33" s="58" t="n">
        <f aca="false">固有振動数!$I$20</f>
        <v>23228.4066977814</v>
      </c>
      <c r="D33" s="58" t="n">
        <f aca="false">C33*$C$4</f>
        <v>23228.4066977814</v>
      </c>
      <c r="E33" s="66" t="str">
        <f aca="false">IF(AND(D33&gt;=$C$3,D33&lt;=$F$3),"○ 帯域内","− 帯域外")</f>
        <v>− 帯域外</v>
      </c>
      <c r="F33" s="45" t="n">
        <f aca="false">MIN(L33:AB33)</f>
        <v>13.2789287844359</v>
      </c>
      <c r="G33" s="45" t="n">
        <f aca="false">MIN(AD33:AM33)</f>
        <v>59.5323083399524</v>
      </c>
      <c r="H33" s="74" t="str">
        <f aca="false">IF(E33="− 帯域外","− 対象外",IF(OR(F33&lt;$I$3,G33&lt;$I$3),"🔴 高リスク",IF(OR(F33&lt;$I$3*2,G33&lt;$I$3*2),"🟡 中リスク","🟢 低リスク")))</f>
        <v>− 対象外</v>
      </c>
      <c r="I33" s="38" t="n">
        <f aca="false">IF(E33="○ 帯域内",F33,1000000)</f>
        <v>1000000</v>
      </c>
      <c r="J33" s="38" t="n">
        <f aca="false">IF(E33="○ 帯域内",G33,1000000)</f>
        <v>1000000</v>
      </c>
      <c r="K33" s="5"/>
      <c r="L33" s="75" t="n">
        <f aca="false">IF(OR(0=14,$D33&lt;=0,$D$19&lt;=0),1000000,ABS($D33-$D$19)/$D33*100)</f>
        <v>90.7285559296914</v>
      </c>
      <c r="M33" s="75" t="n">
        <f aca="false">IF(OR(1=14,$D33&lt;=0,$D$20&lt;=0),1000000,ABS($D33-$D$20)/$D33*100)</f>
        <v>74.7865234302506</v>
      </c>
      <c r="N33" s="75" t="n">
        <f aca="false">IF(OR(2=14,$D33&lt;=0,$D$21&lt;=0),1000000,ABS($D33-$D$21)/$D33*100)</f>
        <v>51.5373184862176</v>
      </c>
      <c r="O33" s="75" t="n">
        <f aca="false">IF(OR(3=14,$D33&lt;=0,$D$22&lt;=0),1000000,ABS($D33-$D$22)/$D33*100)</f>
        <v>21.8783360164586</v>
      </c>
      <c r="P33" s="75" t="n">
        <f aca="false">IF(OR(4=14,$D33&lt;=0,$D$23&lt;=0),1000000,ABS($D33-$D$23)/$D33*100)</f>
        <v>13.2789287844359</v>
      </c>
      <c r="Q33" s="75" t="n">
        <f aca="false">IF(OR(5=14,$D33&lt;=0,$D$24&lt;=0),1000000,ABS($D33-$D$24)/$D33*100)</f>
        <v>53.0010498470215</v>
      </c>
      <c r="R33" s="75" t="n">
        <f aca="false">IF(OR(6=14,$D33&lt;=0,$D$25&lt;=0),1000000,ABS($D33-$D$25)/$D33*100)</f>
        <v>81.7172454504954</v>
      </c>
      <c r="S33" s="75" t="n">
        <f aca="false">IF(OR(7=14,$D33&lt;=0,$D$26&lt;=0),1000000,ABS($D33-$D$26)/$D33*100)</f>
        <v>63.4344909009908</v>
      </c>
      <c r="T33" s="75" t="n">
        <f aca="false">IF(OR(8=14,$D33&lt;=0,$D$27&lt;=0),1000000,ABS($D33-$D$27)/$D33*100)</f>
        <v>45.1517363514862</v>
      </c>
      <c r="U33" s="75" t="n">
        <f aca="false">IF(OR(9=14,$D33&lt;=0,$D$28&lt;=0),1000000,ABS($D33-$D$28)/$D33*100)</f>
        <v>26.8689818019816</v>
      </c>
      <c r="V33" s="75" t="n">
        <f aca="false">IF(OR(10=14,$D33&lt;=0,$D$29&lt;=0),1000000,ABS($D33-$D$29)/$D33*100)</f>
        <v>35.7018868484727</v>
      </c>
      <c r="W33" s="75" t="n">
        <f aca="false">IF(OR(11=14,$D33&lt;=0,$D$30&lt;=0),1000000,ABS($D33-$D$30)/$D33*100)</f>
        <v>36.4616360880102</v>
      </c>
      <c r="X33" s="75" t="n">
        <f aca="false">IF(OR(12=14,$D33&lt;=0,$D$31&lt;=0),1000000,ABS($D33-$D$31)/$D33*100)</f>
        <v>110.590450489472</v>
      </c>
      <c r="Y33" s="75" t="n">
        <f aca="false">IF(OR(13=14,$D33&lt;=0,$D$32&lt;=0),1000000,ABS($D33-$D$32)/$D33*100)</f>
        <v>183.577198787284</v>
      </c>
      <c r="Z33" s="75" t="n">
        <f aca="false">IF(OR(14=14,$D33&lt;=0,$D$33&lt;=0),1000000,ABS($D33-$D$33)/$D33*100)</f>
        <v>1000000</v>
      </c>
      <c r="AA33" s="75" t="n">
        <f aca="false">IF(OR(15=14,$D33&lt;=0,$D$34&lt;=0),1000000,ABS($D33-$D$34)/$D33*100)</f>
        <v>100</v>
      </c>
      <c r="AB33" s="75" t="n">
        <f aca="false">IF(OR(16=14,$D33&lt;=0,$D$35&lt;=0),1000000,ABS($D33-$D$35)/$D33*100)</f>
        <v>200</v>
      </c>
      <c r="AC33" s="75"/>
      <c r="AD33" s="75" t="n">
        <f aca="false">IF(OR($B$7="",$B$7&lt;=0,$D33&lt;=0),1000000,ABS($D33-$B$7)/$D33*100)</f>
        <v>92.250867554459</v>
      </c>
      <c r="AE33" s="75" t="n">
        <f aca="false">IF(OR($B$8="",$B$8&lt;=0,$D33&lt;=0),1000000,ABS($D33-$B$8)/$D33*100)</f>
        <v>86.2237645412604</v>
      </c>
      <c r="AF33" s="75" t="n">
        <f aca="false">IF(OR($B$9="",$B$9&lt;=0,$D33&lt;=0),1000000,ABS($D33-$B$9)/$D33*100)</f>
        <v>78.4746320957194</v>
      </c>
      <c r="AG33" s="75" t="n">
        <f aca="false">IF(OR($B$10="",$B$10&lt;=0,$D33&lt;=0),1000000,ABS($D33-$B$10)/$D33*100)</f>
        <v>69.4339775759215</v>
      </c>
      <c r="AH33" s="75" t="n">
        <f aca="false">IF(OR($B$11="",$B$11&lt;=0,$D33&lt;=0),1000000,ABS($D33-$B$11)/$D33*100)</f>
        <v>59.5323083399524</v>
      </c>
      <c r="AI33" s="75" t="n">
        <f aca="false">IF(OR($B$12="",$B$12&lt;=0,$D33&lt;=0),1000000,ABS($D33-$B$12)/$D33*100)</f>
        <v>1000000</v>
      </c>
      <c r="AJ33" s="75" t="n">
        <f aca="false">IF(OR($B$13="",$B$13&lt;=0,$D33&lt;=0),1000000,ABS($D33-$B$13)/$D33*100)</f>
        <v>1000000</v>
      </c>
      <c r="AK33" s="75" t="n">
        <f aca="false">IF(OR($B$14="",$B$14&lt;=0,$D33&lt;=0),1000000,ABS($D33-$B$14)/$D33*100)</f>
        <v>1000000</v>
      </c>
      <c r="AL33" s="75" t="n">
        <f aca="false">IF(OR($B$15="",$B$15&lt;=0,$D33&lt;=0),1000000,ABS($D33-$B$15)/$D33*100)</f>
        <v>1000000</v>
      </c>
      <c r="AM33" s="75" t="n">
        <f aca="false">IF(OR($B$16="",$B$16&lt;=0,$D33&lt;=0),1000000,ABS($D33-$B$16)/$D33*100)</f>
        <v>1000000</v>
      </c>
      <c r="AN33" s="5"/>
      <c r="AO33" s="5"/>
      <c r="AP33" s="5"/>
    </row>
    <row r="34" customFormat="false" ht="15" hidden="false" customHeight="false" outlineLevel="0" collapsed="false">
      <c r="A34" s="37" t="n">
        <v>16</v>
      </c>
      <c r="B34" s="26" t="str">
        <f aca="false">固有振動数!$R$21</f>
        <v>面内伸縮 2次</v>
      </c>
      <c r="C34" s="58" t="n">
        <f aca="false">固有振動数!$I$21</f>
        <v>46456.8133955628</v>
      </c>
      <c r="D34" s="58" t="n">
        <f aca="false">C34*$C$4</f>
        <v>46456.8133955628</v>
      </c>
      <c r="E34" s="66" t="str">
        <f aca="false">IF(AND(D34&gt;=$C$3,D34&lt;=$F$3),"○ 帯域内","− 帯域外")</f>
        <v>− 帯域外</v>
      </c>
      <c r="F34" s="45" t="n">
        <f aca="false">MIN(L34:AB34)</f>
        <v>5.29522524473618</v>
      </c>
      <c r="G34" s="45" t="n">
        <f aca="false">MIN(AD34:AM34)</f>
        <v>79.7661541699762</v>
      </c>
      <c r="H34" s="74" t="str">
        <f aca="false">IF(E34="− 帯域外","− 対象外",IF(OR(F34&lt;$I$3,G34&lt;$I$3),"🔴 高リスク",IF(OR(F34&lt;$I$3*2,G34&lt;$I$3*2),"🟡 中リスク","🟢 低リスク")))</f>
        <v>− 対象外</v>
      </c>
      <c r="I34" s="38" t="n">
        <f aca="false">IF(E34="○ 帯域内",F34,1000000)</f>
        <v>1000000</v>
      </c>
      <c r="J34" s="38" t="n">
        <f aca="false">IF(E34="○ 帯域内",G34,1000000)</f>
        <v>1000000</v>
      </c>
      <c r="K34" s="5"/>
      <c r="L34" s="75" t="n">
        <f aca="false">IF(OR(0=15,$D34&lt;=0,$D$19&lt;=0),1000000,ABS($D34-$D$19)/$D34*100)</f>
        <v>95.3642779648457</v>
      </c>
      <c r="M34" s="75" t="n">
        <f aca="false">IF(OR(1=15,$D34&lt;=0,$D$20&lt;=0),1000000,ABS($D34-$D$20)/$D34*100)</f>
        <v>87.3932617151253</v>
      </c>
      <c r="N34" s="75" t="n">
        <f aca="false">IF(OR(2=15,$D34&lt;=0,$D$21&lt;=0),1000000,ABS($D34-$D$21)/$D34*100)</f>
        <v>75.7686592431088</v>
      </c>
      <c r="O34" s="75" t="n">
        <f aca="false">IF(OR(3=15,$D34&lt;=0,$D$22&lt;=0),1000000,ABS($D34-$D$22)/$D34*100)</f>
        <v>60.9391680082293</v>
      </c>
      <c r="P34" s="75" t="n">
        <f aca="false">IF(OR(4=15,$D34&lt;=0,$D$23&lt;=0),1000000,ABS($D34-$D$23)/$D34*100)</f>
        <v>43.360535607782</v>
      </c>
      <c r="Q34" s="75" t="n">
        <f aca="false">IF(OR(5=15,$D34&lt;=0,$D$24&lt;=0),1000000,ABS($D34-$D$24)/$D34*100)</f>
        <v>23.4994750764892</v>
      </c>
      <c r="R34" s="75" t="n">
        <f aca="false">IF(OR(6=15,$D34&lt;=0,$D$25&lt;=0),1000000,ABS($D34-$D$25)/$D34*100)</f>
        <v>90.8586227252477</v>
      </c>
      <c r="S34" s="75" t="n">
        <f aca="false">IF(OR(7=15,$D34&lt;=0,$D$26&lt;=0),1000000,ABS($D34-$D$26)/$D34*100)</f>
        <v>81.7172454504954</v>
      </c>
      <c r="T34" s="75" t="n">
        <f aca="false">IF(OR(8=15,$D34&lt;=0,$D$27&lt;=0),1000000,ABS($D34-$D$27)/$D34*100)</f>
        <v>72.5758681757431</v>
      </c>
      <c r="U34" s="75" t="n">
        <f aca="false">IF(OR(9=15,$D34&lt;=0,$D$28&lt;=0),1000000,ABS($D34-$D$28)/$D34*100)</f>
        <v>63.4344909009908</v>
      </c>
      <c r="V34" s="75" t="n">
        <f aca="false">IF(OR(10=15,$D34&lt;=0,$D$29&lt;=0),1000000,ABS($D34-$D$29)/$D34*100)</f>
        <v>67.8509434242363</v>
      </c>
      <c r="W34" s="75" t="n">
        <f aca="false">IF(OR(11=15,$D34&lt;=0,$D$30&lt;=0),1000000,ABS($D34-$D$30)/$D34*100)</f>
        <v>31.7691819559949</v>
      </c>
      <c r="X34" s="75" t="n">
        <f aca="false">IF(OR(12=15,$D34&lt;=0,$D$31&lt;=0),1000000,ABS($D34-$D$31)/$D34*100)</f>
        <v>5.29522524473618</v>
      </c>
      <c r="Y34" s="75" t="n">
        <f aca="false">IF(OR(13=15,$D34&lt;=0,$D$32&lt;=0),1000000,ABS($D34-$D$32)/$D34*100)</f>
        <v>41.788599393642</v>
      </c>
      <c r="Z34" s="75" t="n">
        <f aca="false">IF(OR(14=15,$D34&lt;=0,$D$33&lt;=0),1000000,ABS($D34-$D$33)/$D34*100)</f>
        <v>50</v>
      </c>
      <c r="AA34" s="75" t="n">
        <f aca="false">IF(OR(15=15,$D34&lt;=0,$D$34&lt;=0),1000000,ABS($D34-$D$34)/$D34*100)</f>
        <v>1000000</v>
      </c>
      <c r="AB34" s="75" t="n">
        <f aca="false">IF(OR(16=15,$D34&lt;=0,$D$35&lt;=0),1000000,ABS($D34-$D$35)/$D34*100)</f>
        <v>50</v>
      </c>
      <c r="AC34" s="75"/>
      <c r="AD34" s="75" t="n">
        <f aca="false">IF(OR($B$7="",$B$7&lt;=0,$D34&lt;=0),1000000,ABS($D34-$B$7)/$D34*100)</f>
        <v>96.1254337772295</v>
      </c>
      <c r="AE34" s="75" t="n">
        <f aca="false">IF(OR($B$8="",$B$8&lt;=0,$D34&lt;=0),1000000,ABS($D34-$B$8)/$D34*100)</f>
        <v>93.1118822706302</v>
      </c>
      <c r="AF34" s="75" t="n">
        <f aca="false">IF(OR($B$9="",$B$9&lt;=0,$D34&lt;=0),1000000,ABS($D34-$B$9)/$D34*100)</f>
        <v>89.2373160478597</v>
      </c>
      <c r="AG34" s="75" t="n">
        <f aca="false">IF(OR($B$10="",$B$10&lt;=0,$D34&lt;=0),1000000,ABS($D34-$B$10)/$D34*100)</f>
        <v>84.7169887879608</v>
      </c>
      <c r="AH34" s="75" t="n">
        <f aca="false">IF(OR($B$11="",$B$11&lt;=0,$D34&lt;=0),1000000,ABS($D34-$B$11)/$D34*100)</f>
        <v>79.7661541699762</v>
      </c>
      <c r="AI34" s="75" t="n">
        <f aca="false">IF(OR($B$12="",$B$12&lt;=0,$D34&lt;=0),1000000,ABS($D34-$B$12)/$D34*100)</f>
        <v>1000000</v>
      </c>
      <c r="AJ34" s="75" t="n">
        <f aca="false">IF(OR($B$13="",$B$13&lt;=0,$D34&lt;=0),1000000,ABS($D34-$B$13)/$D34*100)</f>
        <v>1000000</v>
      </c>
      <c r="AK34" s="75" t="n">
        <f aca="false">IF(OR($B$14="",$B$14&lt;=0,$D34&lt;=0),1000000,ABS($D34-$B$14)/$D34*100)</f>
        <v>1000000</v>
      </c>
      <c r="AL34" s="75" t="n">
        <f aca="false">IF(OR($B$15="",$B$15&lt;=0,$D34&lt;=0),1000000,ABS($D34-$B$15)/$D34*100)</f>
        <v>1000000</v>
      </c>
      <c r="AM34" s="75" t="n">
        <f aca="false">IF(OR($B$16="",$B$16&lt;=0,$D34&lt;=0),1000000,ABS($D34-$B$16)/$D34*100)</f>
        <v>1000000</v>
      </c>
      <c r="AN34" s="5"/>
      <c r="AO34" s="5"/>
      <c r="AP34" s="5"/>
    </row>
    <row r="35" customFormat="false" ht="15" hidden="false" customHeight="false" outlineLevel="0" collapsed="false">
      <c r="A35" s="37" t="n">
        <v>17</v>
      </c>
      <c r="B35" s="26" t="str">
        <f aca="false">固有振動数!$R$22</f>
        <v>面内伸縮 3次</v>
      </c>
      <c r="C35" s="58" t="n">
        <f aca="false">固有振動数!$I$22</f>
        <v>69685.2200933441</v>
      </c>
      <c r="D35" s="58" t="n">
        <f aca="false">C35*$C$4</f>
        <v>69685.2200933441</v>
      </c>
      <c r="E35" s="66" t="str">
        <f aca="false">IF(AND(D35&gt;=$C$3,D35&lt;=$F$3),"○ 帯域内","− 帯域外")</f>
        <v>− 帯域外</v>
      </c>
      <c r="F35" s="45" t="n">
        <f aca="false">MIN(L35:AB35)</f>
        <v>5.47426707090531</v>
      </c>
      <c r="G35" s="45" t="n">
        <f aca="false">MIN(AD35:AM35)</f>
        <v>86.5107694466508</v>
      </c>
      <c r="H35" s="74" t="str">
        <f aca="false">IF(E35="− 帯域外","− 対象外",IF(OR(F35&lt;$I$3,G35&lt;$I$3),"🔴 高リスク",IF(OR(F35&lt;$I$3*2,G35&lt;$I$3*2),"🟡 中リスク","🟢 低リスク")))</f>
        <v>− 対象外</v>
      </c>
      <c r="I35" s="38" t="n">
        <f aca="false">IF(E35="○ 帯域内",F35,1000000)</f>
        <v>1000000</v>
      </c>
      <c r="J35" s="38" t="n">
        <f aca="false">IF(E35="○ 帯域内",G35,1000000)</f>
        <v>1000000</v>
      </c>
      <c r="K35" s="5"/>
      <c r="L35" s="75" t="n">
        <f aca="false">IF(OR(0=16,$D35&lt;=0,$D$19&lt;=0),1000000,ABS($D35-$D$19)/$D35*100)</f>
        <v>96.9095186432305</v>
      </c>
      <c r="M35" s="75" t="n">
        <f aca="false">IF(OR(1=16,$D35&lt;=0,$D$20&lt;=0),1000000,ABS($D35-$D$20)/$D35*100)</f>
        <v>91.5955078100835</v>
      </c>
      <c r="N35" s="75" t="n">
        <f aca="false">IF(OR(2=16,$D35&lt;=0,$D$21&lt;=0),1000000,ABS($D35-$D$21)/$D35*100)</f>
        <v>83.8457728287392</v>
      </c>
      <c r="O35" s="75" t="n">
        <f aca="false">IF(OR(3=16,$D35&lt;=0,$D$22&lt;=0),1000000,ABS($D35-$D$22)/$D35*100)</f>
        <v>73.9594453388195</v>
      </c>
      <c r="P35" s="75" t="n">
        <f aca="false">IF(OR(4=16,$D35&lt;=0,$D$23&lt;=0),1000000,ABS($D35-$D$23)/$D35*100)</f>
        <v>62.2403570718547</v>
      </c>
      <c r="Q35" s="75" t="n">
        <f aca="false">IF(OR(5=16,$D35&lt;=0,$D$24&lt;=0),1000000,ABS($D35-$D$24)/$D35*100)</f>
        <v>48.9996500509928</v>
      </c>
      <c r="R35" s="75" t="n">
        <f aca="false">IF(OR(6=16,$D35&lt;=0,$D$25&lt;=0),1000000,ABS($D35-$D$25)/$D35*100)</f>
        <v>93.9057484834985</v>
      </c>
      <c r="S35" s="75" t="n">
        <f aca="false">IF(OR(7=16,$D35&lt;=0,$D$26&lt;=0),1000000,ABS($D35-$D$26)/$D35*100)</f>
        <v>87.8114969669969</v>
      </c>
      <c r="T35" s="75" t="n">
        <f aca="false">IF(OR(8=16,$D35&lt;=0,$D$27&lt;=0),1000000,ABS($D35-$D$27)/$D35*100)</f>
        <v>81.7172454504954</v>
      </c>
      <c r="U35" s="75" t="n">
        <f aca="false">IF(OR(9=16,$D35&lt;=0,$D$28&lt;=0),1000000,ABS($D35-$D$28)/$D35*100)</f>
        <v>75.6229939339938</v>
      </c>
      <c r="V35" s="75" t="n">
        <f aca="false">IF(OR(10=16,$D35&lt;=0,$D$29&lt;=0),1000000,ABS($D35-$D$29)/$D35*100)</f>
        <v>78.5672956161576</v>
      </c>
      <c r="W35" s="75" t="n">
        <f aca="false">IF(OR(11=16,$D35&lt;=0,$D$30&lt;=0),1000000,ABS($D35-$D$30)/$D35*100)</f>
        <v>54.5127879706633</v>
      </c>
      <c r="X35" s="75" t="n">
        <f aca="false">IF(OR(12=16,$D35&lt;=0,$D$31&lt;=0),1000000,ABS($D35-$D$31)/$D35*100)</f>
        <v>29.8031831701759</v>
      </c>
      <c r="Y35" s="75" t="n">
        <f aca="false">IF(OR(13=16,$D35&lt;=0,$D$32&lt;=0),1000000,ABS($D35-$D$32)/$D35*100)</f>
        <v>5.47426707090531</v>
      </c>
      <c r="Z35" s="75" t="n">
        <f aca="false">IF(OR(14=16,$D35&lt;=0,$D$33&lt;=0),1000000,ABS($D35-$D$33)/$D35*100)</f>
        <v>66.6666666666667</v>
      </c>
      <c r="AA35" s="75" t="n">
        <f aca="false">IF(OR(15=16,$D35&lt;=0,$D$34&lt;=0),1000000,ABS($D35-$D$34)/$D35*100)</f>
        <v>33.3333333333333</v>
      </c>
      <c r="AB35" s="75" t="n">
        <f aca="false">IF(OR(16=16,$D35&lt;=0,$D$35&lt;=0),1000000,ABS($D35-$D$35)/$D35*100)</f>
        <v>1000000</v>
      </c>
      <c r="AC35" s="75"/>
      <c r="AD35" s="75" t="n">
        <f aca="false">IF(OR($B$7="",$B$7&lt;=0,$D35&lt;=0),1000000,ABS($D35-$B$7)/$D35*100)</f>
        <v>97.4169558514863</v>
      </c>
      <c r="AE35" s="75" t="n">
        <f aca="false">IF(OR($B$8="",$B$8&lt;=0,$D35&lt;=0),1000000,ABS($D35-$B$8)/$D35*100)</f>
        <v>95.4079215137535</v>
      </c>
      <c r="AF35" s="75" t="n">
        <f aca="false">IF(OR($B$9="",$B$9&lt;=0,$D35&lt;=0),1000000,ABS($D35-$B$9)/$D35*100)</f>
        <v>92.8248773652398</v>
      </c>
      <c r="AG35" s="75" t="n">
        <f aca="false">IF(OR($B$10="",$B$10&lt;=0,$D35&lt;=0),1000000,ABS($D35-$B$10)/$D35*100)</f>
        <v>89.8113258586405</v>
      </c>
      <c r="AH35" s="75" t="n">
        <f aca="false">IF(OR($B$11="",$B$11&lt;=0,$D35&lt;=0),1000000,ABS($D35-$B$11)/$D35*100)</f>
        <v>86.5107694466508</v>
      </c>
      <c r="AI35" s="75" t="n">
        <f aca="false">IF(OR($B$12="",$B$12&lt;=0,$D35&lt;=0),1000000,ABS($D35-$B$12)/$D35*100)</f>
        <v>1000000</v>
      </c>
      <c r="AJ35" s="75" t="n">
        <f aca="false">IF(OR($B$13="",$B$13&lt;=0,$D35&lt;=0),1000000,ABS($D35-$B$13)/$D35*100)</f>
        <v>1000000</v>
      </c>
      <c r="AK35" s="75" t="n">
        <f aca="false">IF(OR($B$14="",$B$14&lt;=0,$D35&lt;=0),1000000,ABS($D35-$B$14)/$D35*100)</f>
        <v>1000000</v>
      </c>
      <c r="AL35" s="75" t="n">
        <f aca="false">IF(OR($B$15="",$B$15&lt;=0,$D35&lt;=0),1000000,ABS($D35-$B$15)/$D35*100)</f>
        <v>1000000</v>
      </c>
      <c r="AM35" s="75" t="n">
        <f aca="false">IF(OR($B$16="",$B$16&lt;=0,$D35&lt;=0),1000000,ABS($D35-$B$16)/$D35*100)</f>
        <v>1000000</v>
      </c>
      <c r="AN35" s="5"/>
      <c r="AO35" s="5"/>
      <c r="AP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customFormat="false" ht="15" hidden="false" customHeight="false" outlineLevel="0" collapsed="false">
      <c r="A37" s="6" t="s">
        <v>580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customFormat="false" ht="15" hidden="false" customHeight="false" outlineLevel="0" collapsed="false">
      <c r="A38" s="8" t="s">
        <v>581</v>
      </c>
      <c r="B38" s="5"/>
      <c r="C38" s="30" t="n">
        <f aca="false">COUNTIF($E$19:$E$35,"○ 帯域内")</f>
        <v>7</v>
      </c>
      <c r="D38" s="9" t="s">
        <v>582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customFormat="false" ht="15" hidden="false" customHeight="false" outlineLevel="0" collapsed="false">
      <c r="A39" s="8" t="s">
        <v>583</v>
      </c>
      <c r="B39" s="5"/>
      <c r="C39" s="43" t="n">
        <f aca="false">IF($F$3-$C$3&lt;=0,0,$C$38/(($F$3-$C$3)/1000))</f>
        <v>0.474576271186441</v>
      </c>
      <c r="D39" s="17" t="s">
        <v>584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customFormat="false" ht="15" hidden="false" customHeight="false" outlineLevel="0" collapsed="false">
      <c r="A40" s="8" t="s">
        <v>585</v>
      </c>
      <c r="B40" s="5"/>
      <c r="C40" s="30" t="n">
        <f aca="false">COUNTIF($H$19:$H$35,"🔴 高リスク")</f>
        <v>0</v>
      </c>
      <c r="D40" s="9" t="s">
        <v>586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customFormat="false" ht="15" hidden="false" customHeight="false" outlineLevel="0" collapsed="false">
      <c r="A41" s="8" t="s">
        <v>587</v>
      </c>
      <c r="B41" s="5"/>
      <c r="C41" s="30" t="n">
        <f aca="false">COUNTIF($H$19:$H$35,"🟡 中リスク")</f>
        <v>0</v>
      </c>
      <c r="D41" s="9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customFormat="false" ht="15" hidden="false" customHeight="false" outlineLevel="0" collapsed="false">
      <c r="A42" s="8" t="s">
        <v>588</v>
      </c>
      <c r="B42" s="5"/>
      <c r="C42" s="45" t="n">
        <f aca="false">IF($C$38=0,100,MIN(MIN($I$19:$I$35),100))</f>
        <v>11.6422685240364</v>
      </c>
      <c r="D42" s="9" t="s">
        <v>589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customFormat="false" ht="15" hidden="false" customHeight="false" outlineLevel="0" collapsed="false">
      <c r="A43" s="8" t="s">
        <v>590</v>
      </c>
      <c r="B43" s="5"/>
      <c r="C43" s="45" t="n">
        <f aca="false">IF($C$38=0,100,MIN(MIN($J$19:$J$35),100))</f>
        <v>10.6717577771782</v>
      </c>
      <c r="D43" s="17" t="s">
        <v>591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customFormat="false" ht="15" hidden="false" customHeight="false" outlineLevel="0" collapsed="false">
      <c r="A44" s="11" t="s">
        <v>592</v>
      </c>
      <c r="B44" s="5"/>
      <c r="C44" s="76" t="n">
        <f aca="false">MAX(0,MIN(100,ROUND(12*$C$40+5*$C$41+MAX(0,15-3*$C$42)+MAX(0,15-3*$C$43)+MIN(15,$C$39*3),0)))</f>
        <v>1</v>
      </c>
      <c r="D44" s="17" t="s">
        <v>593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customFormat="false" ht="15" hidden="false" customHeight="false" outlineLevel="0" collapsed="false">
      <c r="A45" s="11" t="s">
        <v>594</v>
      </c>
      <c r="B45" s="5"/>
      <c r="C45" s="77" t="str">
        <f aca="false">IF($C$44&gt;=70,"🔴 A：鳴きやすい設計",IF($C$44&gt;=40,"🟡 B：条件次第で鳴く","🟢 C：比較的おとなしい"))</f>
        <v>🟢 C：比較的おとなしい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customFormat="false" ht="15" hidden="false" customHeight="false" outlineLevel="0" collapsed="false">
      <c r="A47" s="6" t="s">
        <v>595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customFormat="false" ht="15" hidden="false" customHeight="false" outlineLevel="0" collapsed="false">
      <c r="A48" s="18" t="s">
        <v>596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customFormat="false" ht="15" hidden="false" customHeight="false" outlineLevel="0" collapsed="false">
      <c r="A49" s="18" t="s">
        <v>597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customFormat="false" ht="15" hidden="false" customHeight="false" outlineLevel="0" collapsed="false">
      <c r="A50" s="18" t="s">
        <v>598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customFormat="false" ht="15" hidden="false" customHeight="false" outlineLevel="0" collapsed="false">
      <c r="A51" s="18" t="s">
        <v>599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customFormat="false" ht="15" hidden="false" customHeight="false" outlineLevel="0" collapsed="false">
      <c r="A52" s="18" t="s">
        <v>600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customFormat="false" ht="15" hidden="false" customHeight="false" outlineLevel="0" collapsed="false">
      <c r="A53" s="18" t="s">
        <v>601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customFormat="false" ht="15" hidden="false" customHeight="false" outlineLevel="0" collapsed="false">
      <c r="A54" s="18" t="s">
        <v>602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customFormat="false" ht="15" hidden="false" customHeight="false" outlineLevel="0" collapsed="false">
      <c r="A55" s="18" t="s">
        <v>603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customFormat="false" ht="15" hidden="false" customHeight="false" outlineLevel="0" collapsed="false">
      <c r="A56" s="18" t="s">
        <v>604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customFormat="false" ht="15" hidden="false" customHeight="false" outlineLevel="0" collapsed="false">
      <c r="A58" s="6" t="s">
        <v>605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customFormat="false" ht="15" hidden="false" customHeight="false" outlineLevel="0" collapsed="false">
      <c r="A59" s="18" t="s">
        <v>606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customFormat="false" ht="15" hidden="false" customHeight="false" outlineLevel="0" collapsed="false">
      <c r="A60" s="18" t="s">
        <v>607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customFormat="false" ht="15" hidden="false" customHeight="false" outlineLevel="0" collapsed="false">
      <c r="A61" s="78" t="s">
        <v>608</v>
      </c>
    </row>
    <row r="62" customFormat="false" ht="15" hidden="false" customHeight="false" outlineLevel="0" collapsed="false">
      <c r="A62" s="78" t="s">
        <v>609</v>
      </c>
    </row>
    <row r="63" customFormat="false" ht="15" hidden="false" customHeight="false" outlineLevel="0" collapsed="false">
      <c r="A63" s="78" t="s">
        <v>610</v>
      </c>
    </row>
    <row r="64" customFormat="false" ht="15" hidden="false" customHeight="false" outlineLevel="0" collapsed="false">
      <c r="A64" s="78" t="s">
        <v>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55F7"/>
    <pageSetUpPr fitToPage="false"/>
  </sheetPr>
  <dimension ref="A1:AC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4" min="3" style="0" width="17"/>
    <col collapsed="false" customWidth="true" hidden="false" outlineLevel="0" max="6" min="5" style="0" width="15"/>
    <col collapsed="false" customWidth="true" hidden="false" outlineLevel="0" max="7" min="7" style="0" width="14"/>
    <col collapsed="false" customWidth="true" hidden="false" outlineLevel="0" max="9" min="8" style="0" width="17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612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false" outlineLevel="0" collapsed="false">
      <c r="A2" s="22" t="s">
        <v>613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19.4" hidden="false" customHeight="false" outlineLevel="0" collapsed="false">
      <c r="A3" s="20" t="s">
        <v>614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customFormat="false" ht="15" hidden="false" customHeight="false" outlineLevel="0" collapsed="false">
      <c r="A4" s="50" t="s">
        <v>615</v>
      </c>
      <c r="B4" s="51" t="s">
        <v>616</v>
      </c>
      <c r="C4" s="51" t="s">
        <v>476</v>
      </c>
      <c r="D4" s="50" t="s">
        <v>617</v>
      </c>
      <c r="E4" s="51" t="s">
        <v>618</v>
      </c>
      <c r="F4" s="51" t="s">
        <v>619</v>
      </c>
      <c r="G4" s="50" t="s">
        <v>620</v>
      </c>
      <c r="H4" s="50" t="s">
        <v>621</v>
      </c>
      <c r="I4" s="5"/>
      <c r="J4" s="5"/>
      <c r="K4" s="5"/>
      <c r="L4" s="5"/>
      <c r="M4" s="5"/>
      <c r="N4" s="5"/>
    </row>
    <row r="5" customFormat="false" ht="15" hidden="false" customHeight="false" outlineLevel="0" collapsed="false">
      <c r="A5" s="79" t="n">
        <v>1</v>
      </c>
      <c r="B5" s="79" t="n">
        <v>4.730041</v>
      </c>
      <c r="C5" s="79" t="n">
        <f aca="false">B5^2</f>
        <v>22.373287861681</v>
      </c>
      <c r="D5" s="73" t="n">
        <v>2150</v>
      </c>
      <c r="E5" s="43" t="n">
        <f aca="false">IF(OR($D$5="",$D$5=0,D5=""),"",D5/$D$5)</f>
        <v>1</v>
      </c>
      <c r="F5" s="43" t="n">
        <f aca="false">C5/$C$5</f>
        <v>1</v>
      </c>
      <c r="G5" s="43" t="n">
        <f aca="false">IF(E5="","",(E5/F5-1)*100)</f>
        <v>0</v>
      </c>
      <c r="H5" s="66" t="str">
        <f aca="false">IF(G5="","",IF(ABS(G5)&lt;5,"🟢 曲げモードで整合",IF(ABS(G5)&lt;15,"🟡 せん断/形状の影響","🔴 別種のモードの可能性")))</f>
        <v>🟢 曲げモードで整合</v>
      </c>
      <c r="I5" s="5"/>
      <c r="J5" s="5"/>
      <c r="K5" s="5"/>
      <c r="L5" s="5"/>
      <c r="M5" s="5"/>
      <c r="N5" s="5"/>
    </row>
    <row r="6" customFormat="false" ht="15" hidden="false" customHeight="false" outlineLevel="0" collapsed="false">
      <c r="A6" s="79" t="n">
        <v>2</v>
      </c>
      <c r="B6" s="79" t="n">
        <v>7.853205</v>
      </c>
      <c r="C6" s="79" t="n">
        <f aca="false">B6^2</f>
        <v>61.672828772025</v>
      </c>
      <c r="D6" s="73" t="n">
        <v>5930</v>
      </c>
      <c r="E6" s="43" t="n">
        <f aca="false">IF(OR($D$5="",$D$5=0,D6=""),"",D6/$D$5)</f>
        <v>2.75813953488372</v>
      </c>
      <c r="F6" s="43" t="n">
        <f aca="false">C6/$C$5</f>
        <v>2.75653847361669</v>
      </c>
      <c r="G6" s="43" t="n">
        <f aca="false">IF(E6="","",(E6/F6-1)*100)</f>
        <v>0.0580823116511198</v>
      </c>
      <c r="H6" s="66" t="str">
        <f aca="false">IF(G6="","",IF(ABS(G6)&lt;5,"🟢 曲げモードで整合",IF(ABS(G6)&lt;15,"🟡 せん断/形状の影響","🔴 別種のモードの可能性")))</f>
        <v>🟢 曲げモードで整合</v>
      </c>
      <c r="I6" s="5"/>
      <c r="J6" s="5"/>
      <c r="K6" s="5"/>
      <c r="L6" s="5"/>
      <c r="M6" s="5"/>
      <c r="N6" s="5"/>
    </row>
    <row r="7" customFormat="false" ht="15" hidden="false" customHeight="false" outlineLevel="0" collapsed="false">
      <c r="A7" s="79" t="n">
        <v>3</v>
      </c>
      <c r="B7" s="79" t="n">
        <v>10.995608</v>
      </c>
      <c r="C7" s="79" t="n">
        <f aca="false">B7^2</f>
        <v>120.903395289664</v>
      </c>
      <c r="D7" s="73" t="n">
        <v>11600</v>
      </c>
      <c r="E7" s="43" t="n">
        <f aca="false">IF(OR($D$5="",$D$5=0,D7=""),"",D7/$D$5)</f>
        <v>5.3953488372093</v>
      </c>
      <c r="F7" s="43" t="n">
        <f aca="false">C7/$C$5</f>
        <v>5.40391720864311</v>
      </c>
      <c r="G7" s="43" t="n">
        <f aca="false">IF(E7="","",(E7/F7-1)*100)</f>
        <v>-0.158558525288022</v>
      </c>
      <c r="H7" s="66" t="str">
        <f aca="false">IF(G7="","",IF(ABS(G7)&lt;5,"🟢 曲げモードで整合",IF(ABS(G7)&lt;15,"🟡 せん断/形状の影響","🔴 別種のモードの可能性")))</f>
        <v>🟢 曲げモードで整合</v>
      </c>
      <c r="I7" s="5"/>
      <c r="J7" s="5"/>
      <c r="K7" s="5"/>
      <c r="L7" s="5"/>
      <c r="M7" s="5"/>
      <c r="N7" s="5"/>
    </row>
    <row r="8" customFormat="false" ht="15" hidden="false" customHeight="false" outlineLevel="0" collapsed="false">
      <c r="A8" s="79" t="n">
        <v>4</v>
      </c>
      <c r="B8" s="79" t="n">
        <v>14.137165</v>
      </c>
      <c r="C8" s="79" t="n">
        <f aca="false">B8^2</f>
        <v>199.859434237225</v>
      </c>
      <c r="D8" s="73"/>
      <c r="E8" s="43" t="str">
        <f aca="false">IF(OR($D$5="",$D$5=0,D8=""),"",D8/$D$5)</f>
        <v/>
      </c>
      <c r="F8" s="43" t="n">
        <f aca="false">C8/$C$5</f>
        <v>8.93294876787093</v>
      </c>
      <c r="G8" s="43" t="str">
        <f aca="false">IF(E8="","",(E8/F8-1)*100)</f>
        <v/>
      </c>
      <c r="H8" s="66" t="str">
        <f aca="false">IF(G8="","",IF(ABS(G8)&lt;5,"🟢 曲げモードで整合",IF(ABS(G8)&lt;15,"🟡 せん断/形状の影響","🔴 別種のモードの可能性")))</f>
        <v/>
      </c>
      <c r="I8" s="5"/>
      <c r="J8" s="5"/>
      <c r="K8" s="5"/>
      <c r="L8" s="5"/>
      <c r="M8" s="5"/>
      <c r="N8" s="5"/>
    </row>
    <row r="9" customFormat="false" ht="15" hidden="false" customHeight="false" outlineLevel="0" collapsed="false">
      <c r="A9" s="79" t="n">
        <v>5</v>
      </c>
      <c r="B9" s="79" t="n">
        <v>17.27876</v>
      </c>
      <c r="C9" s="79" t="n">
        <f aca="false">B9^2</f>
        <v>298.5555471376</v>
      </c>
      <c r="D9" s="73"/>
      <c r="E9" s="43" t="str">
        <f aca="false">IF(OR($D$5="",$D$5=0,D9=""),"",D9/$D$5)</f>
        <v/>
      </c>
      <c r="F9" s="43" t="n">
        <f aca="false">C9/$C$5</f>
        <v>13.3442857832683</v>
      </c>
      <c r="G9" s="43" t="str">
        <f aca="false">IF(E9="","",(E9/F9-1)*100)</f>
        <v/>
      </c>
      <c r="H9" s="66" t="str">
        <f aca="false">IF(G9="","",IF(ABS(G9)&lt;5,"🟢 曲げモードで整合",IF(ABS(G9)&lt;15,"🟡 せん断/形状の影響","🔴 別種のモードの可能性")))</f>
        <v/>
      </c>
      <c r="I9" s="5"/>
      <c r="J9" s="5"/>
      <c r="K9" s="5"/>
      <c r="L9" s="5"/>
      <c r="M9" s="5"/>
      <c r="N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customFormat="false" ht="15" hidden="false" customHeight="false" outlineLevel="0" collapsed="false">
      <c r="A11" s="18" t="s">
        <v>622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15" hidden="false" customHeight="false" outlineLevel="0" collapsed="false">
      <c r="A12" s="59" t="s">
        <v>623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9.4" hidden="false" customHeight="false" outlineLevel="0" collapsed="false">
      <c r="A14" s="20" t="s">
        <v>624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15" hidden="false" customHeight="false" outlineLevel="0" collapsed="false">
      <c r="A15" s="8" t="s">
        <v>625</v>
      </c>
      <c r="B15" s="5"/>
      <c r="C15" s="43" t="n">
        <f aca="false">形状!$B$71</f>
        <v>110</v>
      </c>
      <c r="D15" s="9" t="s">
        <v>626</v>
      </c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false" outlineLevel="0" collapsed="false">
      <c r="A16" s="8" t="s">
        <v>627</v>
      </c>
      <c r="B16" s="5"/>
      <c r="C16" s="43" t="n">
        <f aca="false">形状!$B$72</f>
        <v>31.8072742203335</v>
      </c>
      <c r="D16" s="9" t="s">
        <v>628</v>
      </c>
      <c r="E16" s="5"/>
      <c r="F16" s="5"/>
      <c r="G16" s="5"/>
      <c r="H16" s="5"/>
      <c r="I16" s="5"/>
      <c r="J16" s="5"/>
      <c r="K16" s="5"/>
      <c r="L16" s="5"/>
      <c r="M16" s="5"/>
      <c r="N16" s="5"/>
    </row>
    <row r="17" customFormat="false" ht="15" hidden="false" customHeight="false" outlineLevel="0" collapsed="false">
      <c r="A17" s="8" t="s">
        <v>629</v>
      </c>
      <c r="B17" s="5"/>
      <c r="C17" s="43" t="n">
        <f aca="false">断面!$B$10</f>
        <v>0</v>
      </c>
      <c r="D17" s="9" t="s">
        <v>630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customFormat="false" ht="15" hidden="false" customHeight="false" outlineLevel="0" collapsed="false">
      <c r="A18" s="8" t="s">
        <v>631</v>
      </c>
      <c r="B18" s="5"/>
      <c r="C18" s="43" t="n">
        <f aca="false">断面!$D$10</f>
        <v>0.8</v>
      </c>
      <c r="D18" s="9" t="s">
        <v>235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customFormat="false" ht="15" hidden="false" customHeight="false" outlineLevel="0" collapsed="false">
      <c r="A19" s="8" t="s">
        <v>632</v>
      </c>
      <c r="B19" s="5"/>
      <c r="C19" s="43" t="n">
        <f aca="false">断面!$E$10</f>
        <v>205</v>
      </c>
      <c r="D19" s="9" t="s">
        <v>633</v>
      </c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Format="false" ht="15" hidden="false" customHeight="false" outlineLevel="0" collapsed="false">
      <c r="A20" s="8" t="s">
        <v>634</v>
      </c>
      <c r="B20" s="5"/>
      <c r="C20" s="43" t="n">
        <f aca="false">断面!$F$10</f>
        <v>7850</v>
      </c>
      <c r="D20" s="9" t="s">
        <v>235</v>
      </c>
      <c r="E20" s="5"/>
      <c r="F20" s="5"/>
      <c r="G20" s="5"/>
      <c r="H20" s="5"/>
      <c r="I20" s="5"/>
      <c r="J20" s="5"/>
      <c r="K20" s="5"/>
      <c r="L20" s="5"/>
      <c r="M20" s="5"/>
      <c r="N20" s="5"/>
    </row>
    <row r="21" customFormat="false" ht="15" hidden="false" customHeight="false" outlineLevel="0" collapsed="false">
      <c r="A21" s="8" t="s">
        <v>635</v>
      </c>
      <c r="B21" s="5"/>
      <c r="C21" s="43" t="n">
        <f aca="false">断面!$D$11</f>
        <v>5</v>
      </c>
      <c r="D21" s="9" t="s">
        <v>636</v>
      </c>
      <c r="E21" s="5"/>
      <c r="F21" s="5"/>
      <c r="G21" s="5"/>
      <c r="H21" s="5"/>
      <c r="I21" s="5"/>
      <c r="J21" s="5"/>
      <c r="K21" s="5"/>
      <c r="L21" s="5"/>
      <c r="M21" s="5"/>
      <c r="N21" s="5"/>
    </row>
    <row r="22" customFormat="false" ht="15" hidden="false" customHeight="false" outlineLevel="0" collapsed="false">
      <c r="A22" s="8" t="s">
        <v>637</v>
      </c>
      <c r="B22" s="5"/>
      <c r="C22" s="43" t="n">
        <f aca="false">断面!$F$11</f>
        <v>7850</v>
      </c>
      <c r="D22" s="9" t="s">
        <v>638</v>
      </c>
      <c r="E22" s="5"/>
      <c r="F22" s="5"/>
      <c r="G22" s="5"/>
      <c r="H22" s="5"/>
      <c r="I22" s="5"/>
      <c r="J22" s="5"/>
      <c r="K22" s="5"/>
      <c r="L22" s="5"/>
      <c r="M22" s="5"/>
      <c r="N22" s="5"/>
    </row>
    <row r="23" customFormat="false" ht="15" hidden="false" customHeight="false" outlineLevel="0" collapsed="false">
      <c r="A23" s="8" t="s">
        <v>639</v>
      </c>
      <c r="B23" s="5"/>
      <c r="C23" s="43" t="n">
        <f aca="false">断面!$E$11</f>
        <v>205</v>
      </c>
      <c r="D23" s="9" t="s">
        <v>640</v>
      </c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customFormat="false" ht="19.4" hidden="false" customHeight="false" outlineLevel="0" collapsed="false">
      <c r="A25" s="20" t="s">
        <v>641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customFormat="false" ht="15" hidden="false" customHeight="false" outlineLevel="0" collapsed="false">
      <c r="A26" s="10" t="s">
        <v>642</v>
      </c>
      <c r="B26" s="5"/>
      <c r="C26" s="57" t="n">
        <f aca="false">$C$15/1000</f>
        <v>0.11</v>
      </c>
      <c r="D26" s="9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customFormat="false" ht="15" hidden="false" customHeight="false" outlineLevel="0" collapsed="false">
      <c r="A27" s="10" t="s">
        <v>643</v>
      </c>
      <c r="B27" s="5"/>
      <c r="C27" s="57" t="n">
        <f aca="false">$C$16/1000</f>
        <v>0.0318072742203335</v>
      </c>
      <c r="D27" s="9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customFormat="false" ht="15" hidden="false" customHeight="false" outlineLevel="0" collapsed="false">
      <c r="A28" s="10" t="s">
        <v>644</v>
      </c>
      <c r="B28" s="5"/>
      <c r="C28" s="57" t="n">
        <f aca="false">IF($C$17=1,$C$18/1000,0)</f>
        <v>0</v>
      </c>
      <c r="D28" s="9" t="s">
        <v>645</v>
      </c>
      <c r="E28" s="5"/>
      <c r="F28" s="5"/>
      <c r="G28" s="5"/>
      <c r="H28" s="5"/>
      <c r="I28" s="5"/>
      <c r="J28" s="5"/>
      <c r="K28" s="5"/>
      <c r="L28" s="5"/>
      <c r="M28" s="5"/>
      <c r="N28" s="5"/>
    </row>
    <row r="29" customFormat="false" ht="15" hidden="false" customHeight="false" outlineLevel="0" collapsed="false">
      <c r="A29" s="10" t="s">
        <v>646</v>
      </c>
      <c r="B29" s="5"/>
      <c r="C29" s="57" t="n">
        <f aca="false">$C$21/1000</f>
        <v>0.005</v>
      </c>
      <c r="D29" s="9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customFormat="false" ht="15" hidden="false" customHeight="false" outlineLevel="0" collapsed="false">
      <c r="A30" s="10" t="s">
        <v>647</v>
      </c>
      <c r="B30" s="5"/>
      <c r="C30" s="57" t="n">
        <f aca="false">$C$28+$C$29</f>
        <v>0.005</v>
      </c>
      <c r="D30" s="9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customFormat="false" ht="15" hidden="false" customHeight="false" outlineLevel="0" collapsed="false">
      <c r="A31" s="10" t="s">
        <v>648</v>
      </c>
      <c r="B31" s="5"/>
      <c r="C31" s="57" t="n">
        <f aca="false">$C$20*$C$27*$C$28+$C$22*$C$27*$C$29</f>
        <v>1.24843551314809</v>
      </c>
      <c r="D31" s="17" t="s">
        <v>649</v>
      </c>
      <c r="E31" s="5"/>
      <c r="F31" s="5"/>
      <c r="G31" s="5"/>
      <c r="H31" s="5"/>
      <c r="I31" s="5"/>
      <c r="J31" s="5"/>
      <c r="K31" s="5"/>
      <c r="L31" s="5"/>
      <c r="M31" s="5"/>
      <c r="N31" s="5"/>
    </row>
    <row r="32" customFormat="false" ht="15" hidden="false" customHeight="false" outlineLevel="0" collapsed="false">
      <c r="A32" s="8" t="s">
        <v>650</v>
      </c>
      <c r="B32" s="5"/>
      <c r="C32" s="49" t="n">
        <v>1</v>
      </c>
      <c r="D32" s="9" t="s">
        <v>651</v>
      </c>
      <c r="E32" s="5"/>
      <c r="F32" s="5"/>
      <c r="G32" s="5"/>
      <c r="H32" s="5"/>
      <c r="I32" s="5"/>
      <c r="J32" s="5"/>
      <c r="K32" s="5"/>
      <c r="L32" s="5"/>
      <c r="M32" s="5"/>
      <c r="N32" s="5"/>
    </row>
    <row r="33" customFormat="false" ht="15" hidden="false" customHeight="false" outlineLevel="0" collapsed="false">
      <c r="A33" s="8" t="s">
        <v>652</v>
      </c>
      <c r="B33" s="5"/>
      <c r="C33" s="52" t="n">
        <v>0.3</v>
      </c>
      <c r="D33" s="9" t="s">
        <v>653</v>
      </c>
      <c r="E33" s="5"/>
      <c r="F33" s="5"/>
      <c r="G33" s="5"/>
      <c r="H33" s="5"/>
      <c r="I33" s="5"/>
      <c r="J33" s="5"/>
      <c r="K33" s="5"/>
      <c r="L33" s="5"/>
      <c r="M33" s="5"/>
      <c r="N33" s="5"/>
    </row>
    <row r="34" customFormat="false" ht="15" hidden="false" customHeight="false" outlineLevel="0" collapsed="false">
      <c r="A34" s="8" t="s">
        <v>654</v>
      </c>
      <c r="B34" s="5"/>
      <c r="C34" s="56" t="n">
        <f aca="false">$C$30/SQRT(12)</f>
        <v>0.00144337567297406</v>
      </c>
      <c r="D34" s="9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customFormat="false" ht="15" hidden="false" customHeight="false" outlineLevel="0" collapsed="false">
      <c r="A35" s="8" t="s">
        <v>655</v>
      </c>
      <c r="B35" s="5"/>
      <c r="C35" s="57" t="n">
        <f aca="false">1+$C$5*($C$34/$C$26)^2*(1+2*(1+$C$33)/(5/6))</f>
        <v>1.01587085846937</v>
      </c>
      <c r="D35" s="17" t="s">
        <v>656</v>
      </c>
      <c r="E35" s="5"/>
      <c r="F35" s="5"/>
      <c r="G35" s="5"/>
      <c r="H35" s="5"/>
      <c r="I35" s="5"/>
      <c r="J35" s="5"/>
      <c r="K35" s="5"/>
      <c r="L35" s="5"/>
      <c r="M35" s="5"/>
      <c r="N35" s="5"/>
    </row>
    <row r="36" customFormat="false" ht="15" hidden="false" customHeight="false" outlineLevel="0" collapsed="false">
      <c r="A36" s="10" t="s">
        <v>657</v>
      </c>
      <c r="B36" s="5"/>
      <c r="C36" s="45" t="n">
        <f aca="false">IF(OR($D$5="",$D$5=0),0,$D$5*IF($C$32=1,SQRT($C$35),1))</f>
        <v>2166.99401089959</v>
      </c>
      <c r="D36" s="9" t="s">
        <v>658</v>
      </c>
      <c r="E36" s="5"/>
      <c r="F36" s="5"/>
      <c r="G36" s="5"/>
      <c r="H36" s="5"/>
      <c r="I36" s="5"/>
      <c r="J36" s="5"/>
      <c r="K36" s="5"/>
      <c r="L36" s="5"/>
      <c r="M36" s="5"/>
      <c r="N36" s="5"/>
    </row>
    <row r="37" customFormat="false" ht="15" hidden="false" customHeight="false" outlineLevel="0" collapsed="false">
      <c r="A37" s="10" t="s">
        <v>659</v>
      </c>
      <c r="B37" s="5"/>
      <c r="C37" s="43" t="n">
        <f aca="false">IF($C$36=0,0,(2*PI()*$C$36*$C$26^2/$C$5)^2)</f>
        <v>54.2233416455059</v>
      </c>
      <c r="D37" s="17" t="s">
        <v>660</v>
      </c>
      <c r="E37" s="5"/>
      <c r="F37" s="5"/>
      <c r="G37" s="5"/>
      <c r="H37" s="5"/>
      <c r="I37" s="5"/>
      <c r="J37" s="5"/>
      <c r="K37" s="5"/>
      <c r="L37" s="5"/>
      <c r="M37" s="5"/>
      <c r="N37" s="5"/>
    </row>
    <row r="38" customFormat="false" ht="15" hidden="false" customHeight="false" outlineLevel="0" collapsed="false">
      <c r="A38" s="8" t="s">
        <v>661</v>
      </c>
      <c r="B38" s="5"/>
      <c r="C38" s="39" t="n">
        <f aca="false">$C$37*$C$31</f>
        <v>67.6943453518113</v>
      </c>
      <c r="D38" s="17" t="s">
        <v>662</v>
      </c>
      <c r="E38" s="5"/>
      <c r="F38" s="5"/>
      <c r="G38" s="5"/>
      <c r="H38" s="5"/>
      <c r="I38" s="5"/>
      <c r="J38" s="5"/>
      <c r="K38" s="5"/>
      <c r="L38" s="5"/>
      <c r="M38" s="5"/>
      <c r="N38" s="5"/>
    </row>
    <row r="39" customFormat="false" ht="15" hidden="false" customHeight="false" outlineLevel="0" collapsed="false">
      <c r="A39" s="8" t="s">
        <v>663</v>
      </c>
      <c r="B39" s="5"/>
      <c r="C39" s="39" t="n">
        <f aca="false">IF($C$28=0,0,$C$19*1000000000*$C$27*$C$28^3/12)</f>
        <v>0</v>
      </c>
      <c r="D39" s="9" t="s">
        <v>664</v>
      </c>
      <c r="E39" s="5"/>
      <c r="F39" s="5"/>
      <c r="G39" s="5"/>
      <c r="H39" s="5"/>
      <c r="I39" s="5"/>
      <c r="J39" s="5"/>
      <c r="K39" s="5"/>
      <c r="L39" s="5"/>
      <c r="M39" s="5"/>
      <c r="N39" s="5"/>
    </row>
    <row r="40" customFormat="false" ht="15" hidden="false" customHeight="false" outlineLevel="0" collapsed="false">
      <c r="A40" s="8" t="s">
        <v>665</v>
      </c>
      <c r="B40" s="5"/>
      <c r="C40" s="14" t="str">
        <f aca="false">IF($C$38&lt;$C$39,"🔴 解なし：f1が低すぎ or 寸法/密度を疑う","🟢 解あり")</f>
        <v>🟢 解あり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customFormat="false" ht="19.4" hidden="false" customHeight="false" outlineLevel="0" collapsed="false">
      <c r="A42" s="20" t="s">
        <v>666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customFormat="false" ht="15" hidden="false" customHeight="false" outlineLevel="0" collapsed="false">
      <c r="A43" s="50" t="s">
        <v>667</v>
      </c>
      <c r="B43" s="50" t="s">
        <v>668</v>
      </c>
      <c r="C43" s="50" t="s">
        <v>669</v>
      </c>
      <c r="D43" s="50" t="s">
        <v>670</v>
      </c>
      <c r="E43" s="51" t="s">
        <v>671</v>
      </c>
      <c r="F43" s="51" t="s">
        <v>672</v>
      </c>
      <c r="G43" s="50" t="s">
        <v>673</v>
      </c>
      <c r="H43" s="51" t="s">
        <v>674</v>
      </c>
      <c r="I43" s="51" t="s">
        <v>675</v>
      </c>
      <c r="J43" s="5"/>
      <c r="K43" s="5"/>
      <c r="L43" s="5"/>
      <c r="M43" s="5"/>
      <c r="N43" s="5"/>
    </row>
    <row r="44" customFormat="false" ht="15" hidden="false" customHeight="false" outlineLevel="0" collapsed="false">
      <c r="A44" s="80" t="n">
        <v>1</v>
      </c>
      <c r="B44" s="81" t="n">
        <v>1</v>
      </c>
      <c r="C44" s="81" t="n">
        <v>500</v>
      </c>
      <c r="D44" s="81" t="n">
        <f aca="false">($B44+$C44)/2</f>
        <v>250.5</v>
      </c>
      <c r="E44" s="54" t="n">
        <f aca="false">$C$19*1000000000*$C$27*$C$28</f>
        <v>0</v>
      </c>
      <c r="F44" s="54" t="n">
        <f aca="false">$D44*1000000000*$C$27*$C$29</f>
        <v>39838610.9609677</v>
      </c>
      <c r="G44" s="54" t="n">
        <f aca="false">IF($E44+$F44=0,0,($E44*($C$28/2)+$F44*($C$28+$C$29/2))/($E44+$F44))</f>
        <v>0.0025</v>
      </c>
      <c r="H44" s="54" t="n">
        <f aca="false">$C$19*1000000000*$C$27*($C$28^3/12+$C$28*($C$28/2-$G44)^2)+$D44*1000000000*$C$27*($C$29^3/12+$C$29*($C$28+$C$29/2-$G44)^2)</f>
        <v>82.9971061686828</v>
      </c>
      <c r="I44" s="54" t="n">
        <f aca="false">$H44-$C$38</f>
        <v>15.3027608168714</v>
      </c>
      <c r="J44" s="5"/>
      <c r="K44" s="5"/>
      <c r="L44" s="5"/>
      <c r="M44" s="5"/>
      <c r="N44" s="5"/>
    </row>
    <row r="45" customFormat="false" ht="15" hidden="false" customHeight="false" outlineLevel="0" collapsed="false">
      <c r="A45" s="80" t="n">
        <v>2</v>
      </c>
      <c r="B45" s="81" t="n">
        <f aca="false">IF($I44&lt;0,$D44,$B44)</f>
        <v>1</v>
      </c>
      <c r="C45" s="81" t="n">
        <f aca="false">IF($I44&lt;0,$C44,$D44)</f>
        <v>250.5</v>
      </c>
      <c r="D45" s="81" t="n">
        <f aca="false">($B45+$C45)/2</f>
        <v>125.75</v>
      </c>
      <c r="E45" s="54" t="n">
        <f aca="false">$C$19*1000000000*$C$27*$C$28</f>
        <v>0</v>
      </c>
      <c r="F45" s="54" t="n">
        <f aca="false">$D45*1000000000*$C$27*$C$29</f>
        <v>19998823.6660347</v>
      </c>
      <c r="G45" s="54" t="n">
        <f aca="false">IF($E45+$F45=0,0,($E45*($C$28/2)+$F45*($C$28+$C$29/2))/($E45+$F45))</f>
        <v>0.0025</v>
      </c>
      <c r="H45" s="54" t="n">
        <f aca="false">$C$19*1000000000*$C$27*($C$28^3/12+$C$28*($C$28/2-$G45)^2)+$D45*1000000000*$C$27*($C$29^3/12+$C$29*($C$28+$C$29/2-$G45)^2)</f>
        <v>41.6642159709056</v>
      </c>
      <c r="I45" s="54" t="n">
        <f aca="false">$H45-$C$38</f>
        <v>-26.0301293809057</v>
      </c>
      <c r="J45" s="5"/>
      <c r="K45" s="5"/>
      <c r="L45" s="5"/>
      <c r="M45" s="5"/>
      <c r="N45" s="5"/>
    </row>
    <row r="46" customFormat="false" ht="15" hidden="false" customHeight="false" outlineLevel="0" collapsed="false">
      <c r="A46" s="80" t="n">
        <v>3</v>
      </c>
      <c r="B46" s="81" t="n">
        <f aca="false">IF($I45&lt;0,$D45,$B45)</f>
        <v>125.75</v>
      </c>
      <c r="C46" s="81" t="n">
        <f aca="false">IF($I45&lt;0,$C45,$D45)</f>
        <v>250.5</v>
      </c>
      <c r="D46" s="81" t="n">
        <f aca="false">($B46+$C46)/2</f>
        <v>188.125</v>
      </c>
      <c r="E46" s="54" t="n">
        <f aca="false">$C$19*1000000000*$C$27*$C$28</f>
        <v>0</v>
      </c>
      <c r="F46" s="54" t="n">
        <f aca="false">$D46*1000000000*$C$27*$C$29</f>
        <v>29918717.3135012</v>
      </c>
      <c r="G46" s="54" t="n">
        <f aca="false">IF($E46+$F46=0,0,($E46*($C$28/2)+$F46*($C$28+$C$29/2))/($E46+$F46))</f>
        <v>0.0025</v>
      </c>
      <c r="H46" s="54" t="n">
        <f aca="false">$C$19*1000000000*$C$27*($C$28^3/12+$C$28*($C$28/2-$G46)^2)+$D46*1000000000*$C$27*($C$29^3/12+$C$29*($C$28+$C$29/2-$G46)^2)</f>
        <v>62.3306610697942</v>
      </c>
      <c r="I46" s="54" t="n">
        <f aca="false">$H46-$C$38</f>
        <v>-5.36368428201715</v>
      </c>
      <c r="J46" s="5"/>
      <c r="K46" s="5"/>
      <c r="L46" s="5"/>
      <c r="M46" s="5"/>
      <c r="N46" s="5"/>
    </row>
    <row r="47" customFormat="false" ht="15" hidden="false" customHeight="false" outlineLevel="0" collapsed="false">
      <c r="A47" s="80" t="n">
        <v>4</v>
      </c>
      <c r="B47" s="81" t="n">
        <f aca="false">IF($I46&lt;0,$D46,$B46)</f>
        <v>188.125</v>
      </c>
      <c r="C47" s="81" t="n">
        <f aca="false">IF($I46&lt;0,$C46,$D46)</f>
        <v>250.5</v>
      </c>
      <c r="D47" s="81" t="n">
        <f aca="false">($B47+$C47)/2</f>
        <v>219.3125</v>
      </c>
      <c r="E47" s="54" t="n">
        <f aca="false">$C$19*1000000000*$C$27*$C$28</f>
        <v>0</v>
      </c>
      <c r="F47" s="54" t="n">
        <f aca="false">$D47*1000000000*$C$27*$C$29</f>
        <v>34878664.1372345</v>
      </c>
      <c r="G47" s="54" t="n">
        <f aca="false">IF($E47+$F47=0,0,($E47*($C$28/2)+$F47*($C$28+$C$29/2))/($E47+$F47))</f>
        <v>0.0025</v>
      </c>
      <c r="H47" s="54" t="n">
        <f aca="false">$C$19*1000000000*$C$27*($C$28^3/12+$C$28*($C$28/2-$G47)^2)+$D47*1000000000*$C$27*($C$29^3/12+$C$29*($C$28+$C$29/2-$G47)^2)</f>
        <v>72.6638836192385</v>
      </c>
      <c r="I47" s="54" t="n">
        <f aca="false">$H47-$C$38</f>
        <v>4.96953826742714</v>
      </c>
      <c r="J47" s="5"/>
      <c r="K47" s="5"/>
      <c r="L47" s="5"/>
      <c r="M47" s="5"/>
      <c r="N47" s="5"/>
    </row>
    <row r="48" customFormat="false" ht="15" hidden="false" customHeight="false" outlineLevel="0" collapsed="false">
      <c r="A48" s="80" t="n">
        <v>5</v>
      </c>
      <c r="B48" s="81" t="n">
        <f aca="false">IF($I47&lt;0,$D47,$B47)</f>
        <v>188.125</v>
      </c>
      <c r="C48" s="81" t="n">
        <f aca="false">IF($I47&lt;0,$C47,$D47)</f>
        <v>219.3125</v>
      </c>
      <c r="D48" s="81" t="n">
        <f aca="false">($B48+$C48)/2</f>
        <v>203.71875</v>
      </c>
      <c r="E48" s="54" t="n">
        <f aca="false">$C$19*1000000000*$C$27*$C$28</f>
        <v>0</v>
      </c>
      <c r="F48" s="54" t="n">
        <f aca="false">$D48*1000000000*$C$27*$C$29</f>
        <v>32398690.7253678</v>
      </c>
      <c r="G48" s="54" t="n">
        <f aca="false">IF($E48+$F48=0,0,($E48*($C$28/2)+$F48*($C$28+$C$29/2))/($E48+$F48))</f>
        <v>0.0025</v>
      </c>
      <c r="H48" s="54" t="n">
        <f aca="false">$C$19*1000000000*$C$27*($C$28^3/12+$C$28*($C$28/2-$G48)^2)+$D48*1000000000*$C$27*($C$29^3/12+$C$29*($C$28+$C$29/2-$G48)^2)</f>
        <v>67.4972723445163</v>
      </c>
      <c r="I48" s="54" t="n">
        <f aca="false">$H48-$C$38</f>
        <v>-0.197073007295003</v>
      </c>
      <c r="J48" s="5"/>
      <c r="K48" s="5"/>
      <c r="L48" s="5"/>
      <c r="M48" s="5"/>
      <c r="N48" s="5"/>
    </row>
    <row r="49" customFormat="false" ht="15" hidden="false" customHeight="false" outlineLevel="0" collapsed="false">
      <c r="A49" s="80" t="n">
        <v>6</v>
      </c>
      <c r="B49" s="81" t="n">
        <f aca="false">IF($I48&lt;0,$D48,$B48)</f>
        <v>203.71875</v>
      </c>
      <c r="C49" s="81" t="n">
        <f aca="false">IF($I48&lt;0,$C48,$D48)</f>
        <v>219.3125</v>
      </c>
      <c r="D49" s="81" t="n">
        <f aca="false">($B49+$C49)/2</f>
        <v>211.515625</v>
      </c>
      <c r="E49" s="54" t="n">
        <f aca="false">$C$19*1000000000*$C$27*$C$28</f>
        <v>0</v>
      </c>
      <c r="F49" s="54" t="n">
        <f aca="false">$D49*1000000000*$C$27*$C$29</f>
        <v>33638677.4313012</v>
      </c>
      <c r="G49" s="54" t="n">
        <f aca="false">IF($E49+$F49=0,0,($E49*($C$28/2)+$F49*($C$28+$C$29/2))/($E49+$F49))</f>
        <v>0.0025</v>
      </c>
      <c r="H49" s="54" t="n">
        <f aca="false">$C$19*1000000000*$C$27*($C$28^3/12+$C$28*($C$28/2-$G49)^2)+$D49*1000000000*$C$27*($C$29^3/12+$C$29*($C$28+$C$29/2-$G49)^2)</f>
        <v>70.0805779818774</v>
      </c>
      <c r="I49" s="54" t="n">
        <f aca="false">$H49-$C$38</f>
        <v>2.38623263006606</v>
      </c>
      <c r="J49" s="5"/>
      <c r="K49" s="5"/>
      <c r="L49" s="5"/>
      <c r="M49" s="5"/>
      <c r="N49" s="5"/>
    </row>
    <row r="50" customFormat="false" ht="15" hidden="false" customHeight="false" outlineLevel="0" collapsed="false">
      <c r="A50" s="80" t="n">
        <v>7</v>
      </c>
      <c r="B50" s="81" t="n">
        <f aca="false">IF($I49&lt;0,$D49,$B49)</f>
        <v>203.71875</v>
      </c>
      <c r="C50" s="81" t="n">
        <f aca="false">IF($I49&lt;0,$C49,$D49)</f>
        <v>211.515625</v>
      </c>
      <c r="D50" s="81" t="n">
        <f aca="false">($B50+$C50)/2</f>
        <v>207.6171875</v>
      </c>
      <c r="E50" s="54" t="n">
        <f aca="false">$C$19*1000000000*$C$27*$C$28</f>
        <v>0</v>
      </c>
      <c r="F50" s="54" t="n">
        <f aca="false">$D50*1000000000*$C$27*$C$29</f>
        <v>33018684.0783345</v>
      </c>
      <c r="G50" s="54" t="n">
        <f aca="false">IF($E50+$F50=0,0,($E50*($C$28/2)+$F50*($C$28+$C$29/2))/($E50+$F50))</f>
        <v>0.0025</v>
      </c>
      <c r="H50" s="54" t="n">
        <f aca="false">$C$19*1000000000*$C$27*($C$28^3/12+$C$28*($C$28/2-$G50)^2)+$D50*1000000000*$C$27*($C$29^3/12+$C$29*($C$28+$C$29/2-$G50)^2)</f>
        <v>68.7889251631969</v>
      </c>
      <c r="I50" s="54" t="n">
        <f aca="false">$H50-$C$38</f>
        <v>1.09457981138553</v>
      </c>
      <c r="J50" s="5"/>
      <c r="K50" s="5"/>
      <c r="L50" s="5"/>
      <c r="M50" s="5"/>
      <c r="N50" s="5"/>
    </row>
    <row r="51" customFormat="false" ht="15" hidden="false" customHeight="false" outlineLevel="0" collapsed="false">
      <c r="A51" s="80" t="n">
        <v>8</v>
      </c>
      <c r="B51" s="81" t="n">
        <f aca="false">IF($I50&lt;0,$D50,$B50)</f>
        <v>203.71875</v>
      </c>
      <c r="C51" s="81" t="n">
        <f aca="false">IF($I50&lt;0,$C50,$D50)</f>
        <v>207.6171875</v>
      </c>
      <c r="D51" s="81" t="n">
        <f aca="false">($B51+$C51)/2</f>
        <v>205.66796875</v>
      </c>
      <c r="E51" s="54" t="n">
        <f aca="false">$C$19*1000000000*$C$27*$C$28</f>
        <v>0</v>
      </c>
      <c r="F51" s="54" t="n">
        <f aca="false">$D51*1000000000*$C$27*$C$29</f>
        <v>32708687.4018512</v>
      </c>
      <c r="G51" s="54" t="n">
        <f aca="false">IF($E51+$F51=0,0,($E51*($C$28/2)+$F51*($C$28+$C$29/2))/($E51+$F51))</f>
        <v>0.0025</v>
      </c>
      <c r="H51" s="54" t="n">
        <f aca="false">$C$19*1000000000*$C$27*($C$28^3/12+$C$28*($C$28/2-$G51)^2)+$D51*1000000000*$C$27*($C$29^3/12+$C$29*($C$28+$C$29/2-$G51)^2)</f>
        <v>68.1430987538566</v>
      </c>
      <c r="I51" s="54" t="n">
        <f aca="false">$H51-$C$38</f>
        <v>0.448753402045256</v>
      </c>
      <c r="J51" s="5"/>
      <c r="K51" s="5"/>
      <c r="L51" s="5"/>
      <c r="M51" s="5"/>
      <c r="N51" s="5"/>
    </row>
    <row r="52" customFormat="false" ht="15" hidden="false" customHeight="false" outlineLevel="0" collapsed="false">
      <c r="A52" s="80" t="n">
        <v>9</v>
      </c>
      <c r="B52" s="81" t="n">
        <f aca="false">IF($I51&lt;0,$D51,$B51)</f>
        <v>203.71875</v>
      </c>
      <c r="C52" s="81" t="n">
        <f aca="false">IF($I51&lt;0,$C51,$D51)</f>
        <v>205.66796875</v>
      </c>
      <c r="D52" s="81" t="n">
        <f aca="false">($B52+$C52)/2</f>
        <v>204.693359375</v>
      </c>
      <c r="E52" s="54" t="n">
        <f aca="false">$C$19*1000000000*$C$27*$C$28</f>
        <v>0</v>
      </c>
      <c r="F52" s="54" t="n">
        <f aca="false">$D52*1000000000*$C$27*$C$29</f>
        <v>32553689.0636095</v>
      </c>
      <c r="G52" s="54" t="n">
        <f aca="false">IF($E52+$F52=0,0,($E52*($C$28/2)+$F52*($C$28+$C$29/2))/($E52+$F52))</f>
        <v>0.0025</v>
      </c>
      <c r="H52" s="54" t="n">
        <f aca="false">$C$19*1000000000*$C$27*($C$28^3/12+$C$28*($C$28/2-$G52)^2)+$D52*1000000000*$C$27*($C$29^3/12+$C$29*($C$28+$C$29/2-$G52)^2)</f>
        <v>67.8201855491865</v>
      </c>
      <c r="I52" s="54" t="n">
        <f aca="false">$H52-$C$38</f>
        <v>0.125840197375126</v>
      </c>
      <c r="J52" s="5"/>
      <c r="K52" s="5"/>
      <c r="L52" s="5"/>
      <c r="M52" s="5"/>
      <c r="N52" s="5"/>
    </row>
    <row r="53" customFormat="false" ht="15" hidden="false" customHeight="false" outlineLevel="0" collapsed="false">
      <c r="A53" s="80" t="n">
        <v>10</v>
      </c>
      <c r="B53" s="81" t="n">
        <f aca="false">IF($I52&lt;0,$D52,$B52)</f>
        <v>203.71875</v>
      </c>
      <c r="C53" s="81" t="n">
        <f aca="false">IF($I52&lt;0,$C52,$D52)</f>
        <v>204.693359375</v>
      </c>
      <c r="D53" s="81" t="n">
        <f aca="false">($B53+$C53)/2</f>
        <v>204.2060546875</v>
      </c>
      <c r="E53" s="54" t="n">
        <f aca="false">$C$19*1000000000*$C$27*$C$28</f>
        <v>0</v>
      </c>
      <c r="F53" s="54" t="n">
        <f aca="false">$D53*1000000000*$C$27*$C$29</f>
        <v>32476189.8944887</v>
      </c>
      <c r="G53" s="54" t="n">
        <f aca="false">IF($E53+$F53=0,0,($E53*($C$28/2)+$F53*($C$28+$C$29/2))/($E53+$F53))</f>
        <v>0.0025</v>
      </c>
      <c r="H53" s="54" t="n">
        <f aca="false">$C$19*1000000000*$C$27*($C$28^3/12+$C$28*($C$28/2-$G53)^2)+$D53*1000000000*$C$27*($C$29^3/12+$C$29*($C$28+$C$29/2-$G53)^2)</f>
        <v>67.6587289468514</v>
      </c>
      <c r="I53" s="54" t="n">
        <f aca="false">$H53-$C$38</f>
        <v>-0.0356164049599386</v>
      </c>
      <c r="J53" s="5"/>
      <c r="K53" s="5"/>
      <c r="L53" s="5"/>
      <c r="M53" s="5"/>
      <c r="N53" s="5"/>
    </row>
    <row r="54" customFormat="false" ht="15" hidden="false" customHeight="false" outlineLevel="0" collapsed="false">
      <c r="A54" s="80" t="n">
        <v>11</v>
      </c>
      <c r="B54" s="81" t="n">
        <f aca="false">IF($I53&lt;0,$D53,$B53)</f>
        <v>204.2060546875</v>
      </c>
      <c r="C54" s="81" t="n">
        <f aca="false">IF($I53&lt;0,$C53,$D53)</f>
        <v>204.693359375</v>
      </c>
      <c r="D54" s="81" t="n">
        <f aca="false">($B54+$C54)/2</f>
        <v>204.44970703125</v>
      </c>
      <c r="E54" s="54" t="n">
        <f aca="false">$C$19*1000000000*$C$27*$C$28</f>
        <v>0</v>
      </c>
      <c r="F54" s="54" t="n">
        <f aca="false">$D54*1000000000*$C$27*$C$29</f>
        <v>32514939.4790491</v>
      </c>
      <c r="G54" s="54" t="n">
        <f aca="false">IF($E54+$F54=0,0,($E54*($C$28/2)+$F54*($C$28+$C$29/2))/($E54+$F54))</f>
        <v>0.0025</v>
      </c>
      <c r="H54" s="54" t="n">
        <f aca="false">$C$19*1000000000*$C$27*($C$28^3/12+$C$28*($C$28/2-$G54)^2)+$D54*1000000000*$C$27*($C$29^3/12+$C$29*($C$28+$C$29/2-$G54)^2)</f>
        <v>67.7394572480189</v>
      </c>
      <c r="I54" s="54" t="n">
        <f aca="false">$H54-$C$38</f>
        <v>0.0451118962075867</v>
      </c>
      <c r="J54" s="5"/>
      <c r="K54" s="5"/>
      <c r="L54" s="5"/>
      <c r="M54" s="5"/>
      <c r="N54" s="5"/>
    </row>
    <row r="55" customFormat="false" ht="15" hidden="false" customHeight="false" outlineLevel="0" collapsed="false">
      <c r="A55" s="80" t="n">
        <v>12</v>
      </c>
      <c r="B55" s="81" t="n">
        <f aca="false">IF($I54&lt;0,$D54,$B54)</f>
        <v>204.2060546875</v>
      </c>
      <c r="C55" s="81" t="n">
        <f aca="false">IF($I54&lt;0,$C54,$D54)</f>
        <v>204.44970703125</v>
      </c>
      <c r="D55" s="81" t="n">
        <f aca="false">($B55+$C55)/2</f>
        <v>204.327880859375</v>
      </c>
      <c r="E55" s="54" t="n">
        <f aca="false">$C$19*1000000000*$C$27*$C$28</f>
        <v>0</v>
      </c>
      <c r="F55" s="54" t="n">
        <f aca="false">$D55*1000000000*$C$27*$C$29</f>
        <v>32495564.6867689</v>
      </c>
      <c r="G55" s="54" t="n">
        <f aca="false">IF($E55+$F55=0,0,($E55*($C$28/2)+$F55*($C$28+$C$29/2))/($E55+$F55))</f>
        <v>0.0025</v>
      </c>
      <c r="H55" s="54" t="n">
        <f aca="false">$C$19*1000000000*$C$27*($C$28^3/12+$C$28*($C$28/2-$G55)^2)+$D55*1000000000*$C$27*($C$29^3/12+$C$29*($C$28+$C$29/2-$G55)^2)</f>
        <v>67.6990930974352</v>
      </c>
      <c r="I55" s="54" t="n">
        <f aca="false">$H55-$C$38</f>
        <v>0.00474774562383118</v>
      </c>
      <c r="J55" s="5"/>
      <c r="K55" s="5"/>
      <c r="L55" s="5"/>
      <c r="M55" s="5"/>
      <c r="N55" s="5"/>
    </row>
    <row r="56" customFormat="false" ht="15" hidden="false" customHeight="false" outlineLevel="0" collapsed="false">
      <c r="A56" s="80" t="n">
        <v>13</v>
      </c>
      <c r="B56" s="81" t="n">
        <f aca="false">IF($I55&lt;0,$D55,$B55)</f>
        <v>204.2060546875</v>
      </c>
      <c r="C56" s="81" t="n">
        <f aca="false">IF($I55&lt;0,$C55,$D55)</f>
        <v>204.327880859375</v>
      </c>
      <c r="D56" s="81" t="n">
        <f aca="false">($B56+$C56)/2</f>
        <v>204.266967773438</v>
      </c>
      <c r="E56" s="54" t="n">
        <f aca="false">$C$19*1000000000*$C$27*$C$28</f>
        <v>0</v>
      </c>
      <c r="F56" s="54" t="n">
        <f aca="false">$D56*1000000000*$C$27*$C$29</f>
        <v>32485877.2906288</v>
      </c>
      <c r="G56" s="54" t="n">
        <f aca="false">IF($E56+$F56=0,0,($E56*($C$28/2)+$F56*($C$28+$C$29/2))/($E56+$F56))</f>
        <v>0.0025</v>
      </c>
      <c r="H56" s="54" t="n">
        <f aca="false">$C$19*1000000000*$C$27*($C$28^3/12+$C$28*($C$28/2-$G56)^2)+$D56*1000000000*$C$27*($C$29^3/12+$C$29*($C$28+$C$29/2-$G56)^2)</f>
        <v>67.6789110221433</v>
      </c>
      <c r="I56" s="54" t="n">
        <f aca="false">$H56-$C$38</f>
        <v>-0.0154343296680537</v>
      </c>
      <c r="J56" s="5"/>
      <c r="K56" s="5"/>
      <c r="L56" s="5"/>
      <c r="M56" s="5"/>
      <c r="N56" s="5"/>
    </row>
    <row r="57" customFormat="false" ht="15" hidden="false" customHeight="false" outlineLevel="0" collapsed="false">
      <c r="A57" s="80" t="n">
        <v>14</v>
      </c>
      <c r="B57" s="81" t="n">
        <f aca="false">IF($I56&lt;0,$D56,$B56)</f>
        <v>204.266967773438</v>
      </c>
      <c r="C57" s="81" t="n">
        <f aca="false">IF($I56&lt;0,$C56,$D56)</f>
        <v>204.327880859375</v>
      </c>
      <c r="D57" s="81" t="n">
        <f aca="false">($B57+$C57)/2</f>
        <v>204.297424316406</v>
      </c>
      <c r="E57" s="54" t="n">
        <f aca="false">$C$19*1000000000*$C$27*$C$28</f>
        <v>0</v>
      </c>
      <c r="F57" s="54" t="n">
        <f aca="false">$D57*1000000000*$C$27*$C$29</f>
        <v>32490720.9886988</v>
      </c>
      <c r="G57" s="54" t="n">
        <f aca="false">IF($E57+$F57=0,0,($E57*($C$28/2)+$F57*($C$28+$C$29/2))/($E57+$F57))</f>
        <v>0.0025</v>
      </c>
      <c r="H57" s="54" t="n">
        <f aca="false">$C$19*1000000000*$C$27*($C$28^3/12+$C$28*($C$28/2-$G57)^2)+$D57*1000000000*$C$27*($C$29^3/12+$C$29*($C$28+$C$29/2-$G57)^2)</f>
        <v>67.6890020597892</v>
      </c>
      <c r="I57" s="54" t="n">
        <f aca="false">$H57-$C$38</f>
        <v>-0.00534329202210415</v>
      </c>
      <c r="J57" s="5"/>
      <c r="K57" s="5"/>
      <c r="L57" s="5"/>
      <c r="M57" s="5"/>
      <c r="N57" s="5"/>
    </row>
    <row r="58" customFormat="false" ht="15" hidden="false" customHeight="false" outlineLevel="0" collapsed="false">
      <c r="A58" s="80" t="n">
        <v>15</v>
      </c>
      <c r="B58" s="81" t="n">
        <f aca="false">IF($I57&lt;0,$D57,$B57)</f>
        <v>204.297424316406</v>
      </c>
      <c r="C58" s="81" t="n">
        <f aca="false">IF($I57&lt;0,$C57,$D57)</f>
        <v>204.327880859375</v>
      </c>
      <c r="D58" s="81" t="n">
        <f aca="false">($B58+$C58)/2</f>
        <v>204.312652587891</v>
      </c>
      <c r="E58" s="54" t="n">
        <f aca="false">$C$19*1000000000*$C$27*$C$28</f>
        <v>0</v>
      </c>
      <c r="F58" s="54" t="n">
        <f aca="false">$D58*1000000000*$C$27*$C$29</f>
        <v>32493142.8377338</v>
      </c>
      <c r="G58" s="54" t="n">
        <f aca="false">IF($E58+$F58=0,0,($E58*($C$28/2)+$F58*($C$28+$C$29/2))/($E58+$F58))</f>
        <v>0.0025</v>
      </c>
      <c r="H58" s="54" t="n">
        <f aca="false">$C$19*1000000000*$C$27*($C$28^3/12+$C$28*($C$28/2-$G58)^2)+$D58*1000000000*$C$27*($C$29^3/12+$C$29*($C$28+$C$29/2-$G58)^2)</f>
        <v>67.6940475786122</v>
      </c>
      <c r="I58" s="54" t="n">
        <f aca="false">$H58-$C$38</f>
        <v>-0.000297773199136486</v>
      </c>
      <c r="J58" s="5"/>
      <c r="K58" s="5"/>
      <c r="L58" s="5"/>
      <c r="M58" s="5"/>
      <c r="N58" s="5"/>
    </row>
    <row r="59" customFormat="false" ht="15" hidden="false" customHeight="false" outlineLevel="0" collapsed="false">
      <c r="A59" s="80" t="n">
        <v>16</v>
      </c>
      <c r="B59" s="81" t="n">
        <f aca="false">IF($I58&lt;0,$D58,$B58)</f>
        <v>204.312652587891</v>
      </c>
      <c r="C59" s="81" t="n">
        <f aca="false">IF($I58&lt;0,$C58,$D58)</f>
        <v>204.327880859375</v>
      </c>
      <c r="D59" s="81" t="n">
        <f aca="false">($B59+$C59)/2</f>
        <v>204.320266723633</v>
      </c>
      <c r="E59" s="54" t="n">
        <f aca="false">$C$19*1000000000*$C$27*$C$28</f>
        <v>0</v>
      </c>
      <c r="F59" s="54" t="n">
        <f aca="false">$D59*1000000000*$C$27*$C$29</f>
        <v>32494353.7622514</v>
      </c>
      <c r="G59" s="54" t="n">
        <f aca="false">IF($E59+$F59=0,0,($E59*($C$28/2)+$F59*($C$28+$C$29/2))/($E59+$F59))</f>
        <v>0.0025</v>
      </c>
      <c r="H59" s="54" t="n">
        <f aca="false">$C$19*1000000000*$C$27*($C$28^3/12+$C$28*($C$28/2-$G59)^2)+$D59*1000000000*$C$27*($C$29^3/12+$C$29*($C$28+$C$29/2-$G59)^2)</f>
        <v>67.6965703380237</v>
      </c>
      <c r="I59" s="54" t="n">
        <f aca="false">$H59-$C$38</f>
        <v>0.00222498621234024</v>
      </c>
      <c r="J59" s="5"/>
      <c r="K59" s="5"/>
      <c r="L59" s="5"/>
      <c r="M59" s="5"/>
      <c r="N59" s="5"/>
    </row>
    <row r="60" customFormat="false" ht="15" hidden="false" customHeight="false" outlineLevel="0" collapsed="false">
      <c r="A60" s="80" t="n">
        <v>17</v>
      </c>
      <c r="B60" s="81" t="n">
        <f aca="false">IF($I59&lt;0,$D59,$B59)</f>
        <v>204.312652587891</v>
      </c>
      <c r="C60" s="81" t="n">
        <f aca="false">IF($I59&lt;0,$C59,$D59)</f>
        <v>204.320266723633</v>
      </c>
      <c r="D60" s="81" t="n">
        <f aca="false">($B60+$C60)/2</f>
        <v>204.316459655762</v>
      </c>
      <c r="E60" s="54" t="n">
        <f aca="false">$C$19*1000000000*$C$27*$C$28</f>
        <v>0</v>
      </c>
      <c r="F60" s="54" t="n">
        <f aca="false">$D60*1000000000*$C$27*$C$29</f>
        <v>32493748.2999926</v>
      </c>
      <c r="G60" s="54" t="n">
        <f aca="false">IF($E60+$F60=0,0,($E60*($C$28/2)+$F60*($C$28+$C$29/2))/($E60+$F60))</f>
        <v>0.0025</v>
      </c>
      <c r="H60" s="54" t="n">
        <f aca="false">$C$19*1000000000*$C$27*($C$28^3/12+$C$28*($C$28/2-$G60)^2)+$D60*1000000000*$C$27*($C$29^3/12+$C$29*($C$28+$C$29/2-$G60)^2)</f>
        <v>67.6953089583179</v>
      </c>
      <c r="I60" s="54" t="n">
        <f aca="false">$H60-$C$38</f>
        <v>0.000963606506587666</v>
      </c>
      <c r="J60" s="5"/>
      <c r="K60" s="5"/>
      <c r="L60" s="5"/>
      <c r="M60" s="5"/>
      <c r="N60" s="5"/>
    </row>
    <row r="61" customFormat="false" ht="15" hidden="false" customHeight="false" outlineLevel="0" collapsed="false">
      <c r="A61" s="80" t="n">
        <v>18</v>
      </c>
      <c r="B61" s="81" t="n">
        <f aca="false">IF($I60&lt;0,$D60,$B60)</f>
        <v>204.312652587891</v>
      </c>
      <c r="C61" s="81" t="n">
        <f aca="false">IF($I60&lt;0,$C60,$D60)</f>
        <v>204.316459655762</v>
      </c>
      <c r="D61" s="81" t="n">
        <f aca="false">($B61+$C61)/2</f>
        <v>204.314556121826</v>
      </c>
      <c r="E61" s="54" t="n">
        <f aca="false">$C$19*1000000000*$C$27*$C$28</f>
        <v>0</v>
      </c>
      <c r="F61" s="54" t="n">
        <f aca="false">$D61*1000000000*$C$27*$C$29</f>
        <v>32493445.5688632</v>
      </c>
      <c r="G61" s="54" t="n">
        <f aca="false">IF($E61+$F61=0,0,($E61*($C$28/2)+$F61*($C$28+$C$29/2))/($E61+$F61))</f>
        <v>0.0025</v>
      </c>
      <c r="H61" s="54" t="n">
        <f aca="false">$C$19*1000000000*$C$27*($C$28^3/12+$C$28*($C$28/2-$G61)^2)+$D61*1000000000*$C$27*($C$29^3/12+$C$29*($C$28+$C$29/2-$G61)^2)</f>
        <v>67.6946782684651</v>
      </c>
      <c r="I61" s="54" t="n">
        <f aca="false">$H61-$C$38</f>
        <v>0.000332916653732696</v>
      </c>
      <c r="J61" s="5"/>
      <c r="K61" s="5"/>
      <c r="L61" s="5"/>
      <c r="M61" s="5"/>
      <c r="N61" s="5"/>
    </row>
    <row r="62" customFormat="false" ht="15" hidden="false" customHeight="false" outlineLevel="0" collapsed="false">
      <c r="A62" s="80" t="n">
        <v>19</v>
      </c>
      <c r="B62" s="81" t="n">
        <f aca="false">IF($I61&lt;0,$D61,$B61)</f>
        <v>204.312652587891</v>
      </c>
      <c r="C62" s="81" t="n">
        <f aca="false">IF($I61&lt;0,$C61,$D61)</f>
        <v>204.314556121826</v>
      </c>
      <c r="D62" s="81" t="n">
        <f aca="false">($B62+$C62)/2</f>
        <v>204.313604354858</v>
      </c>
      <c r="E62" s="54" t="n">
        <f aca="false">$C$19*1000000000*$C$27*$C$28</f>
        <v>0</v>
      </c>
      <c r="F62" s="54" t="n">
        <f aca="false">$D62*1000000000*$C$27*$C$29</f>
        <v>32493294.2032985</v>
      </c>
      <c r="G62" s="54" t="n">
        <f aca="false">IF($E62+$F62=0,0,($E62*($C$28/2)+$F62*($C$28+$C$29/2))/($E62+$F62))</f>
        <v>0.0025</v>
      </c>
      <c r="H62" s="54" t="n">
        <f aca="false">$C$19*1000000000*$C$27*($C$28^3/12+$C$28*($C$28/2-$G62)^2)+$D62*1000000000*$C$27*($C$29^3/12+$C$29*($C$28+$C$29/2-$G62)^2)</f>
        <v>67.6943629235386</v>
      </c>
      <c r="I62" s="54" t="n">
        <f aca="false">$H62-$C$38</f>
        <v>1.75717272981046E-005</v>
      </c>
      <c r="J62" s="5"/>
      <c r="K62" s="5"/>
      <c r="L62" s="5"/>
      <c r="M62" s="5"/>
      <c r="N62" s="5"/>
    </row>
    <row r="63" customFormat="false" ht="15" hidden="false" customHeight="false" outlineLevel="0" collapsed="false">
      <c r="A63" s="80" t="n">
        <v>20</v>
      </c>
      <c r="B63" s="81" t="n">
        <f aca="false">IF($I62&lt;0,$D62,$B62)</f>
        <v>204.312652587891</v>
      </c>
      <c r="C63" s="81" t="n">
        <f aca="false">IF($I62&lt;0,$C62,$D62)</f>
        <v>204.313604354858</v>
      </c>
      <c r="D63" s="81" t="n">
        <f aca="false">($B63+$C63)/2</f>
        <v>204.313128471375</v>
      </c>
      <c r="E63" s="54" t="n">
        <f aca="false">$C$19*1000000000*$C$27*$C$28</f>
        <v>0</v>
      </c>
      <c r="F63" s="54" t="n">
        <f aca="false">$D63*1000000000*$C$27*$C$29</f>
        <v>32493218.5205162</v>
      </c>
      <c r="G63" s="54" t="n">
        <f aca="false">IF($E63+$F63=0,0,($E63*($C$28/2)+$F63*($C$28+$C$29/2))/($E63+$F63))</f>
        <v>0.0025</v>
      </c>
      <c r="H63" s="54" t="n">
        <f aca="false">$C$19*1000000000*$C$27*($C$28^3/12+$C$28*($C$28/2-$G63)^2)+$D63*1000000000*$C$27*($C$29^3/12+$C$29*($C$28+$C$29/2-$G63)^2)</f>
        <v>67.6942052510754</v>
      </c>
      <c r="I63" s="54" t="n">
        <f aca="false">$H63-$C$38</f>
        <v>-0.000140100735919191</v>
      </c>
      <c r="J63" s="5"/>
      <c r="K63" s="5"/>
      <c r="L63" s="5"/>
      <c r="M63" s="5"/>
      <c r="N63" s="5"/>
    </row>
    <row r="64" customFormat="false" ht="15" hidden="false" customHeight="false" outlineLevel="0" collapsed="false">
      <c r="A64" s="80" t="n">
        <v>21</v>
      </c>
      <c r="B64" s="81" t="n">
        <f aca="false">IF($I63&lt;0,$D63,$B63)</f>
        <v>204.313128471375</v>
      </c>
      <c r="C64" s="81" t="n">
        <f aca="false">IF($I63&lt;0,$C63,$D63)</f>
        <v>204.313604354858</v>
      </c>
      <c r="D64" s="81" t="n">
        <f aca="false">($B64+$C64)/2</f>
        <v>204.313366413116</v>
      </c>
      <c r="E64" s="54" t="n">
        <f aca="false">$C$19*1000000000*$C$27*$C$28</f>
        <v>0</v>
      </c>
      <c r="F64" s="54" t="n">
        <f aca="false">$D64*1000000000*$C$27*$C$29</f>
        <v>32493256.3619074</v>
      </c>
      <c r="G64" s="54" t="n">
        <f aca="false">IF($E64+$F64=0,0,($E64*($C$28/2)+$F64*($C$28+$C$29/2))/($E64+$F64))</f>
        <v>0.0025</v>
      </c>
      <c r="H64" s="54" t="n">
        <f aca="false">$C$19*1000000000*$C$27*($C$28^3/12+$C$28*($C$28/2-$G64)^2)+$D64*1000000000*$C$27*($C$29^3/12+$C$29*($C$28+$C$29/2-$G64)^2)</f>
        <v>67.694284087307</v>
      </c>
      <c r="I64" s="54" t="n">
        <f aca="false">$H64-$C$38</f>
        <v>-6.12645043105431E-005</v>
      </c>
      <c r="J64" s="5"/>
      <c r="K64" s="5"/>
      <c r="L64" s="5"/>
      <c r="M64" s="5"/>
      <c r="N64" s="5"/>
    </row>
    <row r="65" customFormat="false" ht="15" hidden="false" customHeight="false" outlineLevel="0" collapsed="false">
      <c r="A65" s="80" t="n">
        <v>22</v>
      </c>
      <c r="B65" s="81" t="n">
        <f aca="false">IF($I64&lt;0,$D64,$B64)</f>
        <v>204.313366413116</v>
      </c>
      <c r="C65" s="81" t="n">
        <f aca="false">IF($I64&lt;0,$C64,$D64)</f>
        <v>204.313604354858</v>
      </c>
      <c r="D65" s="81" t="n">
        <f aca="false">($B65+$C65)/2</f>
        <v>204.313485383987</v>
      </c>
      <c r="E65" s="54" t="n">
        <f aca="false">$C$19*1000000000*$C$27*$C$28</f>
        <v>0</v>
      </c>
      <c r="F65" s="54" t="n">
        <f aca="false">$D65*1000000000*$C$27*$C$29</f>
        <v>32493275.282603</v>
      </c>
      <c r="G65" s="54" t="n">
        <f aca="false">IF($E65+$F65=0,0,($E65*($C$28/2)+$F65*($C$28+$C$29/2))/($E65+$F65))</f>
        <v>0.0025</v>
      </c>
      <c r="H65" s="54" t="n">
        <f aca="false">$C$19*1000000000*$C$27*($C$28^3/12+$C$28*($C$28/2-$G65)^2)+$D65*1000000000*$C$27*($C$29^3/12+$C$29*($C$28+$C$29/2-$G65)^2)</f>
        <v>67.6943235054228</v>
      </c>
      <c r="I65" s="54" t="n">
        <f aca="false">$H65-$C$38</f>
        <v>-2.18463885062192E-005</v>
      </c>
      <c r="J65" s="5"/>
      <c r="K65" s="5"/>
      <c r="L65" s="5"/>
      <c r="M65" s="5"/>
      <c r="N65" s="5"/>
    </row>
    <row r="66" customFormat="false" ht="15" hidden="false" customHeight="false" outlineLevel="0" collapsed="false">
      <c r="A66" s="80" t="n">
        <v>23</v>
      </c>
      <c r="B66" s="81" t="n">
        <f aca="false">IF($I65&lt;0,$D65,$B65)</f>
        <v>204.313485383987</v>
      </c>
      <c r="C66" s="81" t="n">
        <f aca="false">IF($I65&lt;0,$C65,$D65)</f>
        <v>204.313604354858</v>
      </c>
      <c r="D66" s="81" t="n">
        <f aca="false">($B66+$C66)/2</f>
        <v>204.313544869423</v>
      </c>
      <c r="E66" s="54" t="n">
        <f aca="false">$C$19*1000000000*$C$27*$C$28</f>
        <v>0</v>
      </c>
      <c r="F66" s="54" t="n">
        <f aca="false">$D66*1000000000*$C$27*$C$29</f>
        <v>32493284.7429507</v>
      </c>
      <c r="G66" s="54" t="n">
        <f aca="false">IF($E66+$F66=0,0,($E66*($C$28/2)+$F66*($C$28+$C$29/2))/($E66+$F66))</f>
        <v>0.0025</v>
      </c>
      <c r="H66" s="54" t="n">
        <f aca="false">$C$19*1000000000*$C$27*($C$28^3/12+$C$28*($C$28/2-$G66)^2)+$D66*1000000000*$C$27*($C$29^3/12+$C$29*($C$28+$C$29/2-$G66)^2)</f>
        <v>67.6943432144807</v>
      </c>
      <c r="I66" s="54" t="n">
        <f aca="false">$H66-$C$38</f>
        <v>-2.13733061116272E-006</v>
      </c>
      <c r="J66" s="5"/>
      <c r="K66" s="5"/>
      <c r="L66" s="5"/>
      <c r="M66" s="5"/>
      <c r="N66" s="5"/>
    </row>
    <row r="67" customFormat="false" ht="15" hidden="false" customHeight="false" outlineLevel="0" collapsed="false">
      <c r="A67" s="80" t="n">
        <v>24</v>
      </c>
      <c r="B67" s="81" t="n">
        <f aca="false">IF($I66&lt;0,$D66,$B66)</f>
        <v>204.313544869423</v>
      </c>
      <c r="C67" s="81" t="n">
        <f aca="false">IF($I66&lt;0,$C66,$D66)</f>
        <v>204.313604354858</v>
      </c>
      <c r="D67" s="81" t="n">
        <f aca="false">($B67+$C67)/2</f>
        <v>204.313574612141</v>
      </c>
      <c r="E67" s="54" t="n">
        <f aca="false">$C$19*1000000000*$C$27*$C$28</f>
        <v>0</v>
      </c>
      <c r="F67" s="54" t="n">
        <f aca="false">$D67*1000000000*$C$27*$C$29</f>
        <v>32493289.4731246</v>
      </c>
      <c r="G67" s="54" t="n">
        <f aca="false">IF($E67+$F67=0,0,($E67*($C$28/2)+$F67*($C$28+$C$29/2))/($E67+$F67))</f>
        <v>0.0025</v>
      </c>
      <c r="H67" s="54" t="n">
        <f aca="false">$C$19*1000000000*$C$27*($C$28^3/12+$C$28*($C$28/2-$G67)^2)+$D67*1000000000*$C$27*($C$29^3/12+$C$29*($C$28+$C$29/2-$G67)^2)</f>
        <v>67.6943530690097</v>
      </c>
      <c r="I67" s="54" t="n">
        <f aca="false">$H67-$C$38</f>
        <v>7.71719834347096E-006</v>
      </c>
      <c r="J67" s="5"/>
      <c r="K67" s="5"/>
      <c r="L67" s="5"/>
      <c r="M67" s="5"/>
      <c r="N67" s="5"/>
    </row>
    <row r="68" customFormat="false" ht="15" hidden="false" customHeight="false" outlineLevel="0" collapsed="false">
      <c r="A68" s="80" t="n">
        <v>25</v>
      </c>
      <c r="B68" s="81" t="n">
        <f aca="false">IF($I67&lt;0,$D67,$B67)</f>
        <v>204.313544869423</v>
      </c>
      <c r="C68" s="81" t="n">
        <f aca="false">IF($I67&lt;0,$C67,$D67)</f>
        <v>204.313574612141</v>
      </c>
      <c r="D68" s="81" t="n">
        <f aca="false">($B68+$C68)/2</f>
        <v>204.313559740782</v>
      </c>
      <c r="E68" s="54" t="n">
        <f aca="false">$C$19*1000000000*$C$27*$C$28</f>
        <v>0</v>
      </c>
      <c r="F68" s="54" t="n">
        <f aca="false">$D68*1000000000*$C$27*$C$29</f>
        <v>32493287.1080377</v>
      </c>
      <c r="G68" s="54" t="n">
        <f aca="false">IF($E68+$F68=0,0,($E68*($C$28/2)+$F68*($C$28+$C$29/2))/($E68+$F68))</f>
        <v>0.0025</v>
      </c>
      <c r="H68" s="54" t="n">
        <f aca="false">$C$19*1000000000*$C$27*($C$28^3/12+$C$28*($C$28/2-$G68)^2)+$D68*1000000000*$C$27*($C$29^3/12+$C$29*($C$28+$C$29/2-$G68)^2)</f>
        <v>67.6943481417452</v>
      </c>
      <c r="I68" s="54" t="n">
        <f aca="false">$H68-$C$38</f>
        <v>2.78993387325954E-006</v>
      </c>
      <c r="J68" s="5"/>
      <c r="K68" s="5"/>
      <c r="L68" s="5"/>
      <c r="M68" s="5"/>
      <c r="N68" s="5"/>
    </row>
    <row r="69" customFormat="false" ht="15" hidden="false" customHeight="false" outlineLevel="0" collapsed="false">
      <c r="A69" s="80" t="n">
        <v>26</v>
      </c>
      <c r="B69" s="81" t="n">
        <f aca="false">IF($I68&lt;0,$D68,$B68)</f>
        <v>204.313544869423</v>
      </c>
      <c r="C69" s="81" t="n">
        <f aca="false">IF($I68&lt;0,$C68,$D68)</f>
        <v>204.313559740782</v>
      </c>
      <c r="D69" s="81" t="n">
        <f aca="false">($B69+$C69)/2</f>
        <v>204.313552305102</v>
      </c>
      <c r="E69" s="54" t="n">
        <f aca="false">$C$19*1000000000*$C$27*$C$28</f>
        <v>0</v>
      </c>
      <c r="F69" s="54" t="n">
        <f aca="false">$D69*1000000000*$C$27*$C$29</f>
        <v>32493285.9254942</v>
      </c>
      <c r="G69" s="54" t="n">
        <f aca="false">IF($E69+$F69=0,0,($E69*($C$28/2)+$F69*($C$28+$C$29/2))/($E69+$F69))</f>
        <v>0.0025</v>
      </c>
      <c r="H69" s="54" t="n">
        <f aca="false">$C$19*1000000000*$C$27*($C$28^3/12+$C$28*($C$28/2-$G69)^2)+$D69*1000000000*$C$27*($C$29^3/12+$C$29*($C$28+$C$29/2-$G69)^2)</f>
        <v>67.694345678113</v>
      </c>
      <c r="I69" s="54" t="n">
        <f aca="false">$H69-$C$38</f>
        <v>3.26301631048409E-007</v>
      </c>
      <c r="J69" s="5"/>
      <c r="K69" s="5"/>
      <c r="L69" s="5"/>
      <c r="M69" s="5"/>
      <c r="N69" s="5"/>
    </row>
    <row r="70" customFormat="false" ht="15" hidden="false" customHeight="false" outlineLevel="0" collapsed="false">
      <c r="A70" s="80" t="n">
        <v>27</v>
      </c>
      <c r="B70" s="81" t="n">
        <f aca="false">IF($I69&lt;0,$D69,$B69)</f>
        <v>204.313544869423</v>
      </c>
      <c r="C70" s="81" t="n">
        <f aca="false">IF($I69&lt;0,$C69,$D69)</f>
        <v>204.313552305102</v>
      </c>
      <c r="D70" s="81" t="n">
        <f aca="false">($B70+$C70)/2</f>
        <v>204.313548587263</v>
      </c>
      <c r="E70" s="54" t="n">
        <f aca="false">$C$19*1000000000*$C$27*$C$28</f>
        <v>0</v>
      </c>
      <c r="F70" s="54" t="n">
        <f aca="false">$D70*1000000000*$C$27*$C$29</f>
        <v>32493285.3342225</v>
      </c>
      <c r="G70" s="54" t="n">
        <f aca="false">IF($E70+$F70=0,0,($E70*($C$28/2)+$F70*($C$28+$C$29/2))/($E70+$F70))</f>
        <v>0.0025</v>
      </c>
      <c r="H70" s="54" t="n">
        <f aca="false">$C$19*1000000000*$C$27*($C$28^3/12+$C$28*($C$28/2-$G70)^2)+$D70*1000000000*$C$27*($C$29^3/12+$C$29*($C$28+$C$29/2-$G70)^2)</f>
        <v>67.6943444462969</v>
      </c>
      <c r="I70" s="54" t="n">
        <f aca="false">$H70-$C$38</f>
        <v>-9.0551448295173E-007</v>
      </c>
      <c r="J70" s="5"/>
      <c r="K70" s="5"/>
      <c r="L70" s="5"/>
      <c r="M70" s="5"/>
      <c r="N70" s="5"/>
    </row>
    <row r="71" customFormat="false" ht="15" hidden="false" customHeight="false" outlineLevel="0" collapsed="false">
      <c r="A71" s="80" t="n">
        <v>28</v>
      </c>
      <c r="B71" s="81" t="n">
        <f aca="false">IF($I70&lt;0,$D70,$B70)</f>
        <v>204.313548587263</v>
      </c>
      <c r="C71" s="81" t="n">
        <f aca="false">IF($I70&lt;0,$C70,$D70)</f>
        <v>204.313552305102</v>
      </c>
      <c r="D71" s="81" t="n">
        <f aca="false">($B71+$C71)/2</f>
        <v>204.313550446183</v>
      </c>
      <c r="E71" s="54" t="n">
        <f aca="false">$C$19*1000000000*$C$27*$C$28</f>
        <v>0</v>
      </c>
      <c r="F71" s="54" t="n">
        <f aca="false">$D71*1000000000*$C$27*$C$29</f>
        <v>32493285.6298584</v>
      </c>
      <c r="G71" s="54" t="n">
        <f aca="false">IF($E71+$F71=0,0,($E71*($C$28/2)+$F71*($C$28+$C$29/2))/($E71+$F71))</f>
        <v>0.0025</v>
      </c>
      <c r="H71" s="54" t="n">
        <f aca="false">$C$19*1000000000*$C$27*($C$28^3/12+$C$28*($C$28/2-$G71)^2)+$D71*1000000000*$C$27*($C$29^3/12+$C$29*($C$28+$C$29/2-$G71)^2)</f>
        <v>67.6943450622049</v>
      </c>
      <c r="I71" s="54" t="n">
        <f aca="false">$H71-$C$38</f>
        <v>-2.89606433057088E-007</v>
      </c>
      <c r="J71" s="5"/>
      <c r="K71" s="5"/>
      <c r="L71" s="5"/>
      <c r="M71" s="5"/>
      <c r="N71" s="5"/>
    </row>
    <row r="72" customFormat="false" ht="15" hidden="false" customHeight="false" outlineLevel="0" collapsed="false">
      <c r="A72" s="80" t="n">
        <v>29</v>
      </c>
      <c r="B72" s="81" t="n">
        <f aca="false">IF($I71&lt;0,$D71,$B71)</f>
        <v>204.313550446183</v>
      </c>
      <c r="C72" s="81" t="n">
        <f aca="false">IF($I71&lt;0,$C71,$D71)</f>
        <v>204.313552305102</v>
      </c>
      <c r="D72" s="81" t="n">
        <f aca="false">($B72+$C72)/2</f>
        <v>204.313551375642</v>
      </c>
      <c r="E72" s="54" t="n">
        <f aca="false">$C$19*1000000000*$C$27*$C$28</f>
        <v>0</v>
      </c>
      <c r="F72" s="54" t="n">
        <f aca="false">$D72*1000000000*$C$27*$C$29</f>
        <v>32493285.7776763</v>
      </c>
      <c r="G72" s="54" t="n">
        <f aca="false">IF($E72+$F72=0,0,($E72*($C$28/2)+$F72*($C$28+$C$29/2))/($E72+$F72))</f>
        <v>0.0025</v>
      </c>
      <c r="H72" s="54" t="n">
        <f aca="false">$C$19*1000000000*$C$27*($C$28^3/12+$C$28*($C$28/2-$G72)^2)+$D72*1000000000*$C$27*($C$29^3/12+$C$29*($C$28+$C$29/2-$G72)^2)</f>
        <v>67.6943453701589</v>
      </c>
      <c r="I72" s="54" t="n">
        <f aca="false">$H72-$C$38</f>
        <v>1.83476061010879E-008</v>
      </c>
      <c r="J72" s="5"/>
      <c r="K72" s="5"/>
      <c r="L72" s="5"/>
      <c r="M72" s="5"/>
      <c r="N72" s="5"/>
    </row>
    <row r="73" customFormat="false" ht="15" hidden="false" customHeight="false" outlineLevel="0" collapsed="false">
      <c r="A73" s="80" t="n">
        <v>30</v>
      </c>
      <c r="B73" s="81" t="n">
        <f aca="false">IF($I72&lt;0,$D72,$B72)</f>
        <v>204.313550446183</v>
      </c>
      <c r="C73" s="81" t="n">
        <f aca="false">IF($I72&lt;0,$C72,$D72)</f>
        <v>204.313551375642</v>
      </c>
      <c r="D73" s="81" t="n">
        <f aca="false">($B73+$C73)/2</f>
        <v>204.313550910912</v>
      </c>
      <c r="E73" s="54" t="n">
        <f aca="false">$C$19*1000000000*$C$27*$C$28</f>
        <v>0</v>
      </c>
      <c r="F73" s="54" t="n">
        <f aca="false">$D73*1000000000*$C$27*$C$29</f>
        <v>32493285.7037673</v>
      </c>
      <c r="G73" s="54" t="n">
        <f aca="false">IF($E73+$F73=0,0,($E73*($C$28/2)+$F73*($C$28+$C$29/2))/($E73+$F73))</f>
        <v>0.0025</v>
      </c>
      <c r="H73" s="54" t="n">
        <f aca="false">$C$19*1000000000*$C$27*($C$28^3/12+$C$28*($C$28/2-$G73)^2)+$D73*1000000000*$C$27*($C$29^3/12+$C$29*($C$28+$C$29/2-$G73)^2)</f>
        <v>67.6943452161819</v>
      </c>
      <c r="I73" s="54" t="n">
        <f aca="false">$H73-$C$38</f>
        <v>-1.35629420583427E-007</v>
      </c>
      <c r="J73" s="5"/>
      <c r="K73" s="5"/>
      <c r="L73" s="5"/>
      <c r="M73" s="5"/>
      <c r="N73" s="5"/>
    </row>
    <row r="74" customFormat="false" ht="15" hidden="false" customHeight="false" outlineLevel="0" collapsed="false">
      <c r="A74" s="80" t="n">
        <v>31</v>
      </c>
      <c r="B74" s="81" t="n">
        <f aca="false">IF($I73&lt;0,$D73,$B73)</f>
        <v>204.313550910912</v>
      </c>
      <c r="C74" s="81" t="n">
        <f aca="false">IF($I73&lt;0,$C73,$D73)</f>
        <v>204.313551375642</v>
      </c>
      <c r="D74" s="81" t="n">
        <f aca="false">($B74+$C74)/2</f>
        <v>204.313551143277</v>
      </c>
      <c r="E74" s="54" t="n">
        <f aca="false">$C$19*1000000000*$C$27*$C$28</f>
        <v>0</v>
      </c>
      <c r="F74" s="54" t="n">
        <f aca="false">$D74*1000000000*$C$27*$C$29</f>
        <v>32493285.7407218</v>
      </c>
      <c r="G74" s="54" t="n">
        <f aca="false">IF($E74+$F74=0,0,($E74*($C$28/2)+$F74*($C$28+$C$29/2))/($E74+$F74))</f>
        <v>0.0025</v>
      </c>
      <c r="H74" s="54" t="n">
        <f aca="false">$C$19*1000000000*$C$27*($C$28^3/12+$C$28*($C$28/2-$G74)^2)+$D74*1000000000*$C$27*($C$29^3/12+$C$29*($C$28+$C$29/2-$G74)^2)</f>
        <v>67.6943452931704</v>
      </c>
      <c r="I74" s="54" t="n">
        <f aca="false">$H74-$C$38</f>
        <v>-5.86409072411698E-008</v>
      </c>
      <c r="J74" s="5"/>
      <c r="K74" s="5"/>
      <c r="L74" s="5"/>
      <c r="M74" s="5"/>
      <c r="N74" s="5"/>
    </row>
    <row r="75" customFormat="false" ht="15" hidden="false" customHeight="false" outlineLevel="0" collapsed="false">
      <c r="A75" s="80" t="n">
        <v>32</v>
      </c>
      <c r="B75" s="81" t="n">
        <f aca="false">IF($I74&lt;0,$D74,$B74)</f>
        <v>204.313551143277</v>
      </c>
      <c r="C75" s="81" t="n">
        <f aca="false">IF($I74&lt;0,$C74,$D74)</f>
        <v>204.313551375642</v>
      </c>
      <c r="D75" s="81" t="n">
        <f aca="false">($B75+$C75)/2</f>
        <v>204.31355125946</v>
      </c>
      <c r="E75" s="54" t="n">
        <f aca="false">$C$19*1000000000*$C$27*$C$28</f>
        <v>0</v>
      </c>
      <c r="F75" s="54" t="n">
        <f aca="false">$D75*1000000000*$C$27*$C$29</f>
        <v>32493285.759199</v>
      </c>
      <c r="G75" s="54" t="n">
        <f aca="false">IF($E75+$F75=0,0,($E75*($C$28/2)+$F75*($C$28+$C$29/2))/($E75+$F75))</f>
        <v>0.0025</v>
      </c>
      <c r="H75" s="54" t="n">
        <f aca="false">$C$19*1000000000*$C$27*($C$28^3/12+$C$28*($C$28/2-$G75)^2)+$D75*1000000000*$C$27*($C$29^3/12+$C$29*($C$28+$C$29/2-$G75)^2)</f>
        <v>67.6943453316647</v>
      </c>
      <c r="I75" s="54" t="n">
        <f aca="false">$H75-$C$38</f>
        <v>-2.01466576754683E-008</v>
      </c>
      <c r="J75" s="5"/>
      <c r="K75" s="5"/>
      <c r="L75" s="5"/>
      <c r="M75" s="5"/>
      <c r="N75" s="5"/>
    </row>
    <row r="76" customFormat="false" ht="15" hidden="false" customHeight="false" outlineLevel="0" collapsed="false">
      <c r="A76" s="80" t="n">
        <v>33</v>
      </c>
      <c r="B76" s="81" t="n">
        <f aca="false">IF($I75&lt;0,$D75,$B75)</f>
        <v>204.31355125946</v>
      </c>
      <c r="C76" s="81" t="n">
        <f aca="false">IF($I75&lt;0,$C75,$D75)</f>
        <v>204.313551375642</v>
      </c>
      <c r="D76" s="81" t="n">
        <f aca="false">($B76+$C76)/2</f>
        <v>204.313551317551</v>
      </c>
      <c r="E76" s="54" t="n">
        <f aca="false">$C$19*1000000000*$C$27*$C$28</f>
        <v>0</v>
      </c>
      <c r="F76" s="54" t="n">
        <f aca="false">$D76*1000000000*$C$27*$C$29</f>
        <v>32493285.7684377</v>
      </c>
      <c r="G76" s="54" t="n">
        <f aca="false">IF($E76+$F76=0,0,($E76*($C$28/2)+$F76*($C$28+$C$29/2))/($E76+$F76))</f>
        <v>0.0025</v>
      </c>
      <c r="H76" s="54" t="n">
        <f aca="false">$C$19*1000000000*$C$27*($C$28^3/12+$C$28*($C$28/2-$G76)^2)+$D76*1000000000*$C$27*($C$29^3/12+$C$29*($C$28+$C$29/2-$G76)^2)</f>
        <v>67.6943453509118</v>
      </c>
      <c r="I76" s="54" t="n">
        <f aca="false">$H76-$C$38</f>
        <v>-8.99518681762856E-010</v>
      </c>
      <c r="J76" s="5"/>
      <c r="K76" s="5"/>
      <c r="L76" s="5"/>
      <c r="M76" s="5"/>
      <c r="N76" s="5"/>
    </row>
    <row r="77" customFormat="false" ht="15" hidden="false" customHeight="false" outlineLevel="0" collapsed="false">
      <c r="A77" s="80" t="n">
        <v>34</v>
      </c>
      <c r="B77" s="81" t="n">
        <f aca="false">IF($I76&lt;0,$D76,$B76)</f>
        <v>204.313551317551</v>
      </c>
      <c r="C77" s="81" t="n">
        <f aca="false">IF($I76&lt;0,$C76,$D76)</f>
        <v>204.313551375642</v>
      </c>
      <c r="D77" s="81" t="n">
        <f aca="false">($B77+$C77)/2</f>
        <v>204.313551346597</v>
      </c>
      <c r="E77" s="54" t="n">
        <f aca="false">$C$19*1000000000*$C$27*$C$28</f>
        <v>0</v>
      </c>
      <c r="F77" s="54" t="n">
        <f aca="false">$D77*1000000000*$C$27*$C$29</f>
        <v>32493285.773057</v>
      </c>
      <c r="G77" s="54" t="n">
        <f aca="false">IF($E77+$F77=0,0,($E77*($C$28/2)+$F77*($C$28+$C$29/2))/($E77+$F77))</f>
        <v>0.0025</v>
      </c>
      <c r="H77" s="54" t="n">
        <f aca="false">$C$19*1000000000*$C$27*($C$28^3/12+$C$28*($C$28/2-$G77)^2)+$D77*1000000000*$C$27*($C$29^3/12+$C$29*($C$28+$C$29/2-$G77)^2)</f>
        <v>67.6943453605354</v>
      </c>
      <c r="I77" s="54" t="n">
        <f aca="false">$H77-$C$38</f>
        <v>8.7240294988078E-009</v>
      </c>
      <c r="J77" s="5"/>
      <c r="K77" s="5"/>
      <c r="L77" s="5"/>
      <c r="M77" s="5"/>
      <c r="N77" s="5"/>
    </row>
    <row r="78" customFormat="false" ht="15" hidden="false" customHeight="false" outlineLevel="0" collapsed="false">
      <c r="A78" s="80" t="n">
        <v>35</v>
      </c>
      <c r="B78" s="81" t="n">
        <f aca="false">IF($I77&lt;0,$D77,$B77)</f>
        <v>204.313551317551</v>
      </c>
      <c r="C78" s="81" t="n">
        <f aca="false">IF($I77&lt;0,$C77,$D77)</f>
        <v>204.313551346597</v>
      </c>
      <c r="D78" s="81" t="n">
        <f aca="false">($B78+$C78)/2</f>
        <v>204.313551332074</v>
      </c>
      <c r="E78" s="54" t="n">
        <f aca="false">$C$19*1000000000*$C$27*$C$28</f>
        <v>0</v>
      </c>
      <c r="F78" s="54" t="n">
        <f aca="false">$D78*1000000000*$C$27*$C$29</f>
        <v>32493285.7707473</v>
      </c>
      <c r="G78" s="54" t="n">
        <f aca="false">IF($E78+$F78=0,0,($E78*($C$28/2)+$F78*($C$28+$C$29/2))/($E78+$F78))</f>
        <v>0.0025</v>
      </c>
      <c r="H78" s="54" t="n">
        <f aca="false">$C$19*1000000000*$C$27*($C$28^3/12+$C$28*($C$28/2-$G78)^2)+$D78*1000000000*$C$27*($C$29^3/12+$C$29*($C$28+$C$29/2-$G78)^2)</f>
        <v>67.6943453557236</v>
      </c>
      <c r="I78" s="54" t="n">
        <f aca="false">$H78-$C$38</f>
        <v>3.91224830309511E-009</v>
      </c>
      <c r="J78" s="5"/>
      <c r="K78" s="5"/>
      <c r="L78" s="5"/>
      <c r="M78" s="5"/>
      <c r="N78" s="5"/>
    </row>
    <row r="79" customFormat="false" ht="15" hidden="false" customHeight="false" outlineLevel="0" collapsed="false">
      <c r="A79" s="80" t="n">
        <v>36</v>
      </c>
      <c r="B79" s="81" t="n">
        <f aca="false">IF($I78&lt;0,$D78,$B78)</f>
        <v>204.313551317551</v>
      </c>
      <c r="C79" s="81" t="n">
        <f aca="false">IF($I78&lt;0,$C78,$D78)</f>
        <v>204.313551332074</v>
      </c>
      <c r="D79" s="81" t="n">
        <f aca="false">($B79+$C79)/2</f>
        <v>204.313551324813</v>
      </c>
      <c r="E79" s="54" t="n">
        <f aca="false">$C$19*1000000000*$C$27*$C$28</f>
        <v>0</v>
      </c>
      <c r="F79" s="54" t="n">
        <f aca="false">$D79*1000000000*$C$27*$C$29</f>
        <v>32493285.7695925</v>
      </c>
      <c r="G79" s="54" t="n">
        <f aca="false">IF($E79+$F79=0,0,($E79*($C$28/2)+$F79*($C$28+$C$29/2))/($E79+$F79))</f>
        <v>0.0025</v>
      </c>
      <c r="H79" s="54" t="n">
        <f aca="false">$C$19*1000000000*$C$27*($C$28^3/12+$C$28*($C$28/2-$G79)^2)+$D79*1000000000*$C$27*($C$29^3/12+$C$29*($C$28+$C$29/2-$G79)^2)</f>
        <v>67.6943453533177</v>
      </c>
      <c r="I79" s="54" t="n">
        <f aca="false">$H79-$C$38</f>
        <v>1.50636481066613E-009</v>
      </c>
      <c r="J79" s="5"/>
      <c r="K79" s="5"/>
      <c r="L79" s="5"/>
      <c r="M79" s="5"/>
      <c r="N79" s="5"/>
    </row>
    <row r="80" customFormat="false" ht="15" hidden="false" customHeight="false" outlineLevel="0" collapsed="false">
      <c r="A80" s="80" t="n">
        <v>37</v>
      </c>
      <c r="B80" s="81" t="n">
        <f aca="false">IF($I79&lt;0,$D79,$B79)</f>
        <v>204.313551317551</v>
      </c>
      <c r="C80" s="81" t="n">
        <f aca="false">IF($I79&lt;0,$C79,$D79)</f>
        <v>204.313551324813</v>
      </c>
      <c r="D80" s="81" t="n">
        <f aca="false">($B80+$C80)/2</f>
        <v>204.313551321182</v>
      </c>
      <c r="E80" s="54" t="n">
        <f aca="false">$C$19*1000000000*$C$27*$C$28</f>
        <v>0</v>
      </c>
      <c r="F80" s="54" t="n">
        <f aca="false">$D80*1000000000*$C$27*$C$29</f>
        <v>32493285.7690151</v>
      </c>
      <c r="G80" s="54" t="n">
        <f aca="false">IF($E80+$F80=0,0,($E80*($C$28/2)+$F80*($C$28+$C$29/2))/($E80+$F80))</f>
        <v>0.0025</v>
      </c>
      <c r="H80" s="54" t="n">
        <f aca="false">$C$19*1000000000*$C$27*($C$28^3/12+$C$28*($C$28/2-$G80)^2)+$D80*1000000000*$C$27*($C$29^3/12+$C$29*($C$28+$C$29/2-$G80)^2)</f>
        <v>67.6943453521148</v>
      </c>
      <c r="I80" s="54" t="n">
        <f aca="false">$H80-$C$38</f>
        <v>3.03415959024278E-010</v>
      </c>
      <c r="J80" s="5"/>
      <c r="K80" s="5"/>
      <c r="L80" s="5"/>
      <c r="M80" s="5"/>
      <c r="N80" s="5"/>
    </row>
    <row r="81" customFormat="false" ht="15" hidden="false" customHeight="false" outlineLevel="0" collapsed="false">
      <c r="A81" s="80" t="n">
        <v>38</v>
      </c>
      <c r="B81" s="81" t="n">
        <f aca="false">IF($I80&lt;0,$D80,$B80)</f>
        <v>204.313551317551</v>
      </c>
      <c r="C81" s="81" t="n">
        <f aca="false">IF($I80&lt;0,$C80,$D80)</f>
        <v>204.313551321182</v>
      </c>
      <c r="D81" s="81" t="n">
        <f aca="false">($B81+$C81)/2</f>
        <v>204.313551319367</v>
      </c>
      <c r="E81" s="54" t="n">
        <f aca="false">$C$19*1000000000*$C$27*$C$28</f>
        <v>0</v>
      </c>
      <c r="F81" s="54" t="n">
        <f aca="false">$D81*1000000000*$C$27*$C$29</f>
        <v>32493285.7687264</v>
      </c>
      <c r="G81" s="54" t="n">
        <f aca="false">IF($E81+$F81=0,0,($E81*($C$28/2)+$F81*($C$28+$C$29/2))/($E81+$F81))</f>
        <v>0.0025</v>
      </c>
      <c r="H81" s="54" t="n">
        <f aca="false">$C$19*1000000000*$C$27*($C$28^3/12+$C$28*($C$28/2-$G81)^2)+$D81*1000000000*$C$27*($C$29^3/12+$C$29*($C$28+$C$29/2-$G81)^2)</f>
        <v>67.6943453515133</v>
      </c>
      <c r="I81" s="54" t="n">
        <f aca="false">$H81-$C$38</f>
        <v>-2.98058466796647E-010</v>
      </c>
      <c r="J81" s="5"/>
      <c r="K81" s="5"/>
      <c r="L81" s="5"/>
      <c r="M81" s="5"/>
      <c r="N81" s="5"/>
    </row>
    <row r="82" customFormat="false" ht="15" hidden="false" customHeight="false" outlineLevel="0" collapsed="false">
      <c r="A82" s="80" t="n">
        <v>39</v>
      </c>
      <c r="B82" s="81" t="n">
        <f aca="false">IF($I81&lt;0,$D81,$B81)</f>
        <v>204.313551319367</v>
      </c>
      <c r="C82" s="81" t="n">
        <f aca="false">IF($I81&lt;0,$C81,$D81)</f>
        <v>204.313551321182</v>
      </c>
      <c r="D82" s="81" t="n">
        <f aca="false">($B82+$C82)/2</f>
        <v>204.313551320274</v>
      </c>
      <c r="E82" s="54" t="n">
        <f aca="false">$C$19*1000000000*$C$27*$C$28</f>
        <v>0</v>
      </c>
      <c r="F82" s="54" t="n">
        <f aca="false">$D82*1000000000*$C$27*$C$29</f>
        <v>32493285.7688707</v>
      </c>
      <c r="G82" s="54" t="n">
        <f aca="false">IF($E82+$F82=0,0,($E82*($C$28/2)+$F82*($C$28+$C$29/2))/($E82+$F82))</f>
        <v>0.0025</v>
      </c>
      <c r="H82" s="54" t="n">
        <f aca="false">$C$19*1000000000*$C$27*($C$28^3/12+$C$28*($C$28/2-$G82)^2)+$D82*1000000000*$C$27*($C$29^3/12+$C$29*($C$28+$C$29/2-$G82)^2)</f>
        <v>67.694345351814</v>
      </c>
      <c r="I82" s="54" t="n">
        <f aca="false">$H82-$C$38</f>
        <v>2.68585154117318E-012</v>
      </c>
      <c r="J82" s="5"/>
      <c r="K82" s="5"/>
      <c r="L82" s="5"/>
      <c r="M82" s="5"/>
      <c r="N82" s="5"/>
    </row>
    <row r="83" customFormat="false" ht="15" hidden="false" customHeight="false" outlineLevel="0" collapsed="false">
      <c r="A83" s="80" t="n">
        <v>40</v>
      </c>
      <c r="B83" s="81" t="n">
        <f aca="false">IF($I82&lt;0,$D82,$B82)</f>
        <v>204.313551319367</v>
      </c>
      <c r="C83" s="81" t="n">
        <f aca="false">IF($I82&lt;0,$C82,$D82)</f>
        <v>204.313551320274</v>
      </c>
      <c r="D83" s="81" t="n">
        <f aca="false">($B83+$C83)/2</f>
        <v>204.31355131982</v>
      </c>
      <c r="E83" s="54" t="n">
        <f aca="false">$C$19*1000000000*$C$27*$C$28</f>
        <v>0</v>
      </c>
      <c r="F83" s="54" t="n">
        <f aca="false">$D83*1000000000*$C$27*$C$29</f>
        <v>32493285.7687986</v>
      </c>
      <c r="G83" s="54" t="n">
        <f aca="false">IF($E83+$F83=0,0,($E83*($C$28/2)+$F83*($C$28+$C$29/2))/($E83+$F83))</f>
        <v>0.0025</v>
      </c>
      <c r="H83" s="54" t="n">
        <f aca="false">$C$19*1000000000*$C$27*($C$28^3/12+$C$28*($C$28/2-$G83)^2)+$D83*1000000000*$C$27*($C$29^3/12+$C$29*($C$28+$C$29/2-$G83)^2)</f>
        <v>67.6943453516637</v>
      </c>
      <c r="I83" s="54" t="n">
        <f aca="false">$H83-$C$38</f>
        <v>-1.47679202200379E-010</v>
      </c>
      <c r="J83" s="5"/>
      <c r="K83" s="5"/>
      <c r="L83" s="5"/>
      <c r="M83" s="5"/>
      <c r="N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customFormat="false" ht="19.4" hidden="false" customHeight="false" outlineLevel="0" collapsed="false">
      <c r="A85" s="20" t="s">
        <v>676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customFormat="false" ht="15" hidden="false" customHeight="false" outlineLevel="0" collapsed="false">
      <c r="A86" s="8" t="s">
        <v>677</v>
      </c>
      <c r="B86" s="5"/>
      <c r="C86" s="82" t="n">
        <f aca="false">$D$83</f>
        <v>204.31355131982</v>
      </c>
      <c r="D86" s="9" t="s">
        <v>678</v>
      </c>
      <c r="E86" s="5"/>
      <c r="F86" s="5"/>
      <c r="G86" s="5"/>
      <c r="H86" s="5"/>
      <c r="I86" s="5"/>
      <c r="J86" s="5"/>
      <c r="K86" s="5"/>
      <c r="L86" s="5"/>
      <c r="M86" s="5"/>
      <c r="N86" s="5"/>
    </row>
    <row r="87" customFormat="false" ht="15" hidden="false" customHeight="false" outlineLevel="0" collapsed="false">
      <c r="A87" s="8" t="s">
        <v>679</v>
      </c>
      <c r="B87" s="5"/>
      <c r="C87" s="55" t="n">
        <f aca="false">ABS($I$83)</f>
        <v>1.47679202200379E-010</v>
      </c>
      <c r="D87" s="17" t="s">
        <v>680</v>
      </c>
      <c r="E87" s="5"/>
      <c r="F87" s="5"/>
      <c r="G87" s="5"/>
      <c r="H87" s="5"/>
      <c r="I87" s="5"/>
      <c r="J87" s="5"/>
      <c r="K87" s="5"/>
      <c r="L87" s="5"/>
      <c r="M87" s="5"/>
      <c r="N87" s="5"/>
    </row>
    <row r="88" customFormat="false" ht="15" hidden="false" customHeight="false" outlineLevel="0" collapsed="false">
      <c r="A88" s="8" t="s">
        <v>681</v>
      </c>
      <c r="B88" s="5"/>
      <c r="C88" s="57" t="n">
        <f aca="false">IF($C$38=0,0,ABS($I$83)/$C$38*100)</f>
        <v>2.18155890913609E-010</v>
      </c>
      <c r="D88" s="17" t="s">
        <v>682</v>
      </c>
      <c r="E88" s="5"/>
      <c r="F88" s="5"/>
      <c r="G88" s="5"/>
      <c r="H88" s="5"/>
      <c r="I88" s="5"/>
      <c r="J88" s="5"/>
      <c r="K88" s="5"/>
      <c r="L88" s="5"/>
      <c r="M88" s="5"/>
      <c r="N88" s="5"/>
    </row>
    <row r="89" customFormat="false" ht="15" hidden="false" customHeight="false" outlineLevel="0" collapsed="false">
      <c r="A89" s="8" t="s">
        <v>683</v>
      </c>
      <c r="B89" s="5"/>
      <c r="C89" s="14" t="str">
        <f aca="false">IF($C$88&lt;0.01,"🟢 収束","🔴 未収束：lo/hiの範囲外／寸法・密度が不整合")</f>
        <v>🟢 収束</v>
      </c>
      <c r="D89" s="9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customFormat="false" ht="15" hidden="false" customHeight="false" outlineLevel="0" collapsed="false">
      <c r="A90" s="8" t="s">
        <v>684</v>
      </c>
      <c r="B90" s="5"/>
      <c r="C90" s="45" t="n">
        <f aca="false">IF(OR($C$30=0,$C$27=0),0,12*$C$37*($C$31/($C$27*$C$30))/$C$30^2/1000000000)</f>
        <v>204.313551320266</v>
      </c>
      <c r="D90" s="17" t="s">
        <v>685</v>
      </c>
      <c r="E90" s="5"/>
      <c r="F90" s="5"/>
      <c r="G90" s="5"/>
      <c r="H90" s="5"/>
      <c r="I90" s="5"/>
      <c r="J90" s="5"/>
      <c r="K90" s="5"/>
      <c r="L90" s="5"/>
      <c r="M90" s="5"/>
      <c r="N90" s="5"/>
    </row>
    <row r="91" customFormat="false" ht="15" hidden="false" customHeight="false" outlineLevel="0" collapsed="false">
      <c r="A91" s="8" t="s">
        <v>686</v>
      </c>
      <c r="B91" s="5"/>
      <c r="C91" s="58" t="n">
        <f aca="false">IF($C$30=0,0,SQRT(MAX(12*$C$37/$C$30^2,0)))</f>
        <v>5101.68638685708</v>
      </c>
      <c r="D91" s="9" t="s">
        <v>687</v>
      </c>
      <c r="E91" s="5"/>
      <c r="F91" s="5"/>
      <c r="G91" s="5"/>
      <c r="H91" s="5"/>
      <c r="I91" s="5"/>
      <c r="J91" s="5"/>
      <c r="K91" s="5"/>
      <c r="L91" s="5"/>
      <c r="M91" s="5"/>
      <c r="N91" s="5"/>
    </row>
    <row r="92" customFormat="false" ht="15" hidden="false" customHeight="false" outlineLevel="0" collapsed="false">
      <c r="A92" s="8" t="s">
        <v>688</v>
      </c>
      <c r="B92" s="5"/>
      <c r="C92" s="45" t="n">
        <f aca="false">IF($C$31=0,0,$C$5/(2*PI()*$C$26^2)*SQRT($H$83/$C$31)/IF($C$32=1,SQRT($C$35),1))</f>
        <v>2149.99999999766</v>
      </c>
      <c r="D92" s="9" t="s">
        <v>689</v>
      </c>
      <c r="E92" s="5"/>
      <c r="F92" s="5"/>
      <c r="G92" s="5"/>
      <c r="H92" s="5"/>
      <c r="I92" s="5"/>
      <c r="J92" s="5"/>
      <c r="K92" s="5"/>
      <c r="L92" s="5"/>
      <c r="M92" s="5"/>
      <c r="N92" s="5"/>
    </row>
    <row r="93" customFormat="false" ht="15" hidden="false" customHeight="false" outlineLevel="0" collapsed="false">
      <c r="A93" s="8" t="s">
        <v>690</v>
      </c>
      <c r="B93" s="5"/>
      <c r="C93" s="39" t="n">
        <f aca="false">IF(OR($D$5="",$D$5=0),0,($C$92/$D$5-1)*100)</f>
        <v>-1.09057207708929E-010</v>
      </c>
      <c r="D93" s="17" t="s">
        <v>691</v>
      </c>
      <c r="E93" s="5"/>
      <c r="F93" s="5"/>
      <c r="G93" s="5"/>
      <c r="H93" s="5"/>
      <c r="I93" s="5"/>
      <c r="J93" s="5"/>
      <c r="K93" s="5"/>
      <c r="L93" s="5"/>
      <c r="M93" s="5"/>
      <c r="N93" s="5"/>
    </row>
    <row r="94" customFormat="false" ht="15" hidden="false" customHeight="false" outlineLevel="0" collapsed="false">
      <c r="A94" s="8" t="s">
        <v>692</v>
      </c>
      <c r="B94" s="5"/>
      <c r="C94" s="45" t="n">
        <f aca="false">IF($C$31=0,0,$C$6/(2*PI()*$C$26^2)*SQRT($H$83/$C$31)/IF($C$32=1,SQRT(1+$C$6*($C$34/$C$26)^2*(1+2*(1+$C$33)/(5/6))),1))</f>
        <v>5846.87500823138</v>
      </c>
      <c r="D94" s="9" t="s">
        <v>693</v>
      </c>
      <c r="E94" s="5"/>
      <c r="F94" s="5"/>
      <c r="G94" s="5"/>
      <c r="H94" s="5"/>
      <c r="I94" s="5"/>
      <c r="J94" s="5"/>
      <c r="K94" s="5"/>
      <c r="L94" s="5"/>
      <c r="M94" s="5"/>
      <c r="N94" s="5"/>
    </row>
    <row r="95" customFormat="false" ht="15" hidden="false" customHeight="false" outlineLevel="0" collapsed="false">
      <c r="A95" s="10" t="s">
        <v>694</v>
      </c>
      <c r="B95" s="5"/>
      <c r="C95" s="45" t="n">
        <f aca="false">IF(OR($D$6="",$D$6=0),0,($C$94/$D$6-1)*100)</f>
        <v>-1.40177051886375</v>
      </c>
      <c r="D95" s="17" t="s">
        <v>695</v>
      </c>
      <c r="E95" s="5"/>
      <c r="F95" s="5"/>
      <c r="G95" s="5"/>
      <c r="H95" s="5"/>
      <c r="I95" s="5"/>
      <c r="J95" s="5"/>
      <c r="K95" s="5"/>
      <c r="L95" s="5"/>
      <c r="M95" s="5"/>
      <c r="N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customFormat="false" ht="19.4" hidden="false" customHeight="false" outlineLevel="0" collapsed="false">
      <c r="A97" s="20" t="s">
        <v>696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customFormat="false" ht="15" hidden="false" customHeight="false" outlineLevel="0" collapsed="false">
      <c r="A98" s="18" t="s">
        <v>697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customFormat="false" ht="15" hidden="false" customHeight="false" outlineLevel="0" collapsed="false">
      <c r="A99" s="33" t="s">
        <v>698</v>
      </c>
      <c r="B99" s="33" t="s">
        <v>699</v>
      </c>
      <c r="C99" s="33" t="s">
        <v>617</v>
      </c>
      <c r="D99" s="32" t="s">
        <v>700</v>
      </c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customFormat="false" ht="15" hidden="false" customHeight="false" outlineLevel="0" collapsed="false">
      <c r="A100" s="26" t="s">
        <v>701</v>
      </c>
      <c r="B100" s="64" t="n">
        <f aca="false">固有振動数!$I$6</f>
        <v>2153.60873540861</v>
      </c>
      <c r="C100" s="64" t="n">
        <f aca="false">IF($D$5="","",$D$5)</f>
        <v>2150</v>
      </c>
      <c r="D100" s="39" t="n">
        <f aca="false">IF(OR(C100="",C100=0,B100=0),"",C100/B100)</f>
        <v>0.998324330994169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customFormat="false" ht="15" hidden="false" customHeight="false" outlineLevel="0" collapsed="false">
      <c r="A101" s="26" t="s">
        <v>702</v>
      </c>
      <c r="B101" s="64" t="n">
        <f aca="false">固有振動数!$I$7</f>
        <v>5856.68888027122</v>
      </c>
      <c r="C101" s="64" t="n">
        <f aca="false">IF($D$6="","",$D$6)</f>
        <v>5930</v>
      </c>
      <c r="D101" s="39" t="n">
        <f aca="false">IF(OR(C101="",C101=0,B101=0),"",C101/B101)</f>
        <v>1.01251750284632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customFormat="false" ht="15" hidden="false" customHeight="false" outlineLevel="0" collapsed="false">
      <c r="A102" s="26" t="s">
        <v>703</v>
      </c>
      <c r="B102" s="64" t="n">
        <f aca="false">固有振動数!$I$8</f>
        <v>11257.1087586719</v>
      </c>
      <c r="C102" s="64" t="n">
        <f aca="false">IF($D$7="","",$D$7)</f>
        <v>11600</v>
      </c>
      <c r="D102" s="39" t="n">
        <f aca="false">IF(OR(C102="",C102=0,B102=0),"",C102/B102)</f>
        <v>1.03045997410871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customFormat="false" ht="15" hidden="false" customHeight="false" outlineLevel="0" collapsed="false">
      <c r="A103" s="26" t="s">
        <v>704</v>
      </c>
      <c r="B103" s="64" t="n">
        <f aca="false">固有振動数!$I$9</f>
        <v>18146.4178291712</v>
      </c>
      <c r="C103" s="64" t="str">
        <f aca="false">IF($D$8="","",$D$8)</f>
        <v/>
      </c>
      <c r="D103" s="39" t="str">
        <f aca="false">IF(OR(C103="",C103=0,B103=0),"",C103/B103)</f>
        <v/>
      </c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customFormat="false" ht="15" hidden="false" customHeight="false" outlineLevel="0" collapsed="false">
      <c r="A104" s="26" t="s">
        <v>705</v>
      </c>
      <c r="B104" s="64" t="n">
        <f aca="false">固有振動数!$I$10</f>
        <v>26312.8902809389</v>
      </c>
      <c r="C104" s="64" t="str">
        <f aca="false">IF($D$9="","",$D$9)</f>
        <v/>
      </c>
      <c r="D104" s="39" t="str">
        <f aca="false">IF(OR(C104="",C104=0,B104=0),"",C104/B104)</f>
        <v/>
      </c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customFormat="false" ht="15" hidden="false" customHeight="false" outlineLevel="0" collapsed="false">
      <c r="A106" s="11" t="s">
        <v>706</v>
      </c>
      <c r="B106" s="5"/>
      <c r="C106" s="5"/>
      <c r="D106" s="39" t="n">
        <f aca="false">IFERROR(AVERAGE($D$100:$D$104),"")</f>
        <v>1.0137672693164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customFormat="false" ht="15" hidden="false" customHeight="false" outlineLevel="0" collapsed="false">
      <c r="A107" s="10" t="s">
        <v>707</v>
      </c>
      <c r="B107" s="5"/>
      <c r="C107" s="5"/>
      <c r="D107" s="39" t="n">
        <f aca="false">IFERROR(STDEV($D$100:$D$104)/$D$106,"")</f>
        <v>0.01588553278596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customFormat="false" ht="15" hidden="false" customHeight="false" outlineLevel="0" collapsed="false">
      <c r="A108" s="8" t="s">
        <v>708</v>
      </c>
      <c r="B108" s="5"/>
      <c r="C108" s="5"/>
      <c r="D108" s="14" t="str">
        <f aca="false">IF(NOT(ISNUMBER($D$107)),"← 実測を2点以上入れてください",IF($D$107&lt;0.03,"🟢 全モード同じ係数で合う＝形状効果は一定",IF($D$107&lt;0.1,"🟡 次数で効き方が違う（せん断補正を疑う）","🔴 はり近似の限界。FEMへ")))</f>
        <v>🟢 全モード同じ係数で合う＝形状効果は一定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customFormat="false" ht="15" hidden="false" customHeight="false" outlineLevel="0" collapsed="false">
      <c r="A110" s="6" t="s">
        <v>709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customFormat="false" ht="15" hidden="false" customHeight="false" outlineLevel="0" collapsed="false">
      <c r="A111" s="18" t="s">
        <v>710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customFormat="false" ht="15" hidden="false" customHeight="false" outlineLevel="0" collapsed="false">
      <c r="A112" s="18" t="s">
        <v>711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customFormat="false" ht="15" hidden="false" customHeight="false" outlineLevel="0" collapsed="false">
      <c r="A113" s="18" t="s">
        <v>712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customFormat="false" ht="15" hidden="false" customHeight="false" outlineLevel="0" collapsed="false">
      <c r="A114" s="18" t="s">
        <v>713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customFormat="false" ht="15" hidden="false" customHeight="false" outlineLevel="0" collapsed="false">
      <c r="A115" s="18" t="s">
        <v>714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customFormat="false" ht="15" hidden="false" customHeight="false" outlineLevel="0" collapsed="false">
      <c r="A116" s="18" t="s">
        <v>715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customFormat="false" ht="15" hidden="false" customHeight="false" outlineLevel="0" collapsed="false">
      <c r="A117" s="18" t="s">
        <v>716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customFormat="false" ht="15" hidden="false" customHeight="false" outlineLevel="0" collapsed="false">
      <c r="A118" s="59" t="s">
        <v>717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5"/>
    <col collapsed="false" customWidth="true" hidden="false" outlineLevel="0" max="5" min="4" style="0" width="15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15"/>
    <col collapsed="false" customWidth="true" hidden="false" outlineLevel="0" max="10" min="9" style="0" width="14"/>
    <col collapsed="false" customWidth="true" hidden="false" outlineLevel="0" max="11" min="11" style="0" width="40"/>
    <col collapsed="false" customWidth="true" hidden="false" outlineLevel="0" max="12" min="12" style="0" width="12"/>
  </cols>
  <sheetData>
    <row r="1" customFormat="false" ht="21.6" hidden="false" customHeight="false" outlineLevel="0" collapsed="false">
      <c r="A1" s="1" t="s">
        <v>718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false" outlineLevel="0" collapsed="false">
      <c r="A2" s="4" t="s">
        <v>719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customFormat="false" ht="26.85" hidden="false" customHeight="false" outlineLevel="0" collapsed="false">
      <c r="A4" s="51" t="s">
        <v>472</v>
      </c>
      <c r="B4" s="50" t="s">
        <v>473</v>
      </c>
      <c r="C4" s="51" t="s">
        <v>474</v>
      </c>
      <c r="D4" s="50" t="s">
        <v>699</v>
      </c>
      <c r="E4" s="50" t="s">
        <v>720</v>
      </c>
      <c r="F4" s="50" t="s">
        <v>721</v>
      </c>
      <c r="G4" s="50" t="s">
        <v>708</v>
      </c>
      <c r="H4" s="50" t="s">
        <v>722</v>
      </c>
      <c r="I4" s="50" t="s">
        <v>723</v>
      </c>
      <c r="J4" s="50" t="s">
        <v>724</v>
      </c>
      <c r="K4" s="50" t="s">
        <v>725</v>
      </c>
      <c r="L4" s="32" t="s">
        <v>726</v>
      </c>
      <c r="M4" s="5"/>
      <c r="N4" s="5"/>
    </row>
    <row r="5" customFormat="false" ht="15" hidden="false" customHeight="false" outlineLevel="0" collapsed="false">
      <c r="A5" s="37" t="n">
        <v>1</v>
      </c>
      <c r="B5" s="83" t="s">
        <v>489</v>
      </c>
      <c r="C5" s="83" t="n">
        <v>1</v>
      </c>
      <c r="D5" s="58" t="n">
        <f aca="false">固有振動数!$I$6</f>
        <v>2153.60873540861</v>
      </c>
      <c r="E5" s="73"/>
      <c r="F5" s="45" t="str">
        <f aca="false">IF(OR(E5="",D5=0),"",(E5-D5)/D5*100)</f>
        <v/>
      </c>
      <c r="G5" s="66" t="str">
        <f aca="false">IF(F5="","",IF(ABS(F5)&lt;=5,"🟢 良く一致",IF(ABS(F5)&lt;=15,"🟡 まずまず","🔴 要確認(モード誤同定/寸法/E値)")))</f>
        <v/>
      </c>
      <c r="H5" s="52"/>
      <c r="I5" s="57" t="str">
        <f aca="false">IF(OR(H5="",E5="",E5=0),"",H5/E5)</f>
        <v/>
      </c>
      <c r="J5" s="47"/>
      <c r="K5" s="84"/>
      <c r="L5" s="41" t="str">
        <f aca="false">IF(ISNUMBER(F5),ABS(F5),"")</f>
        <v/>
      </c>
      <c r="M5" s="5"/>
      <c r="N5" s="5"/>
    </row>
    <row r="6" customFormat="false" ht="15" hidden="false" customHeight="false" outlineLevel="0" collapsed="false">
      <c r="A6" s="83" t="n">
        <v>2</v>
      </c>
      <c r="B6" s="83" t="s">
        <v>489</v>
      </c>
      <c r="C6" s="83" t="n">
        <v>2</v>
      </c>
      <c r="D6" s="58" t="n">
        <f aca="false">固有振動数!$I$7</f>
        <v>5856.68888027122</v>
      </c>
      <c r="E6" s="73"/>
      <c r="F6" s="45" t="str">
        <f aca="false">IF(OR(E6="",D6=0),"",(E6-D6)/D6*100)</f>
        <v/>
      </c>
      <c r="G6" s="66" t="str">
        <f aca="false">IF(F6="","",IF(ABS(F6)&lt;=5,"🟢 良く一致",IF(ABS(F6)&lt;=15,"🟡 まずまず","🔴 要確認(モード誤同定/寸法/E値)")))</f>
        <v/>
      </c>
      <c r="H6" s="52"/>
      <c r="I6" s="57" t="str">
        <f aca="false">IF(OR(H6="",E6="",E6=0),"",H6/E6)</f>
        <v/>
      </c>
      <c r="J6" s="47"/>
      <c r="K6" s="84"/>
      <c r="L6" s="41" t="str">
        <f aca="false">IF(ISNUMBER(F6),ABS(F6),"")</f>
        <v/>
      </c>
      <c r="M6" s="5"/>
      <c r="N6" s="5"/>
    </row>
    <row r="7" customFormat="false" ht="15" hidden="false" customHeight="false" outlineLevel="0" collapsed="false">
      <c r="A7" s="83" t="n">
        <v>3</v>
      </c>
      <c r="B7" s="83" t="s">
        <v>489</v>
      </c>
      <c r="C7" s="83" t="n">
        <v>3</v>
      </c>
      <c r="D7" s="58" t="n">
        <f aca="false">固有振動数!$I$8</f>
        <v>11257.1087586719</v>
      </c>
      <c r="E7" s="73"/>
      <c r="F7" s="45" t="str">
        <f aca="false">IF(OR(E7="",D7=0),"",(E7-D7)/D7*100)</f>
        <v/>
      </c>
      <c r="G7" s="66" t="str">
        <f aca="false">IF(F7="","",IF(ABS(F7)&lt;=5,"🟢 良く一致",IF(ABS(F7)&lt;=15,"🟡 まずまず","🔴 要確認(モード誤同定/寸法/E値)")))</f>
        <v/>
      </c>
      <c r="H7" s="52"/>
      <c r="I7" s="57" t="str">
        <f aca="false">IF(OR(H7="",E7="",E7=0),"",H7/E7)</f>
        <v/>
      </c>
      <c r="J7" s="47"/>
      <c r="K7" s="84"/>
      <c r="L7" s="41" t="str">
        <f aca="false">IF(ISNUMBER(F7),ABS(F7),"")</f>
        <v/>
      </c>
      <c r="M7" s="5"/>
      <c r="N7" s="5"/>
    </row>
    <row r="8" customFormat="false" ht="15" hidden="false" customHeight="false" outlineLevel="0" collapsed="false">
      <c r="A8" s="83" t="n">
        <v>4</v>
      </c>
      <c r="B8" s="83" t="s">
        <v>489</v>
      </c>
      <c r="C8" s="83" t="n">
        <v>4</v>
      </c>
      <c r="D8" s="58" t="n">
        <f aca="false">固有振動数!$I$9</f>
        <v>18146.4178291712</v>
      </c>
      <c r="E8" s="73"/>
      <c r="F8" s="45" t="str">
        <f aca="false">IF(OR(E8="",D8=0),"",(E8-D8)/D8*100)</f>
        <v/>
      </c>
      <c r="G8" s="66" t="str">
        <f aca="false">IF(F8="","",IF(ABS(F8)&lt;=5,"🟢 良く一致",IF(ABS(F8)&lt;=15,"🟡 まずまず","🔴 要確認(モード誤同定/寸法/E値)")))</f>
        <v/>
      </c>
      <c r="H8" s="52"/>
      <c r="I8" s="57" t="str">
        <f aca="false">IF(OR(H8="",E8="",E8=0),"",H8/E8)</f>
        <v/>
      </c>
      <c r="J8" s="47"/>
      <c r="K8" s="84"/>
      <c r="L8" s="41" t="str">
        <f aca="false">IF(ISNUMBER(F8),ABS(F8),"")</f>
        <v/>
      </c>
      <c r="M8" s="5"/>
      <c r="N8" s="5"/>
    </row>
    <row r="9" customFormat="false" ht="15" hidden="false" customHeight="false" outlineLevel="0" collapsed="false">
      <c r="A9" s="83" t="n">
        <v>5</v>
      </c>
      <c r="B9" s="83" t="s">
        <v>489</v>
      </c>
      <c r="C9" s="83" t="n">
        <v>5</v>
      </c>
      <c r="D9" s="58" t="n">
        <f aca="false">固有振動数!$I$10</f>
        <v>26312.8902809389</v>
      </c>
      <c r="E9" s="73"/>
      <c r="F9" s="45" t="str">
        <f aca="false">IF(OR(E9="",D9=0),"",(E9-D9)/D9*100)</f>
        <v/>
      </c>
      <c r="G9" s="66" t="str">
        <f aca="false">IF(F9="","",IF(ABS(F9)&lt;=5,"🟢 良く一致",IF(ABS(F9)&lt;=15,"🟡 まずまず","🔴 要確認(モード誤同定/寸法/E値)")))</f>
        <v/>
      </c>
      <c r="H9" s="52"/>
      <c r="I9" s="57" t="str">
        <f aca="false">IF(OR(H9="",E9="",E9=0),"",H9/E9)</f>
        <v/>
      </c>
      <c r="J9" s="47"/>
      <c r="K9" s="84"/>
      <c r="L9" s="41" t="str">
        <f aca="false">IF(ISNUMBER(F9),ABS(F9),"")</f>
        <v/>
      </c>
      <c r="M9" s="5"/>
      <c r="N9" s="5"/>
    </row>
    <row r="10" customFormat="false" ht="15" hidden="false" customHeight="false" outlineLevel="0" collapsed="false">
      <c r="A10" s="83" t="n">
        <v>6</v>
      </c>
      <c r="B10" s="83" t="s">
        <v>489</v>
      </c>
      <c r="C10" s="83" t="n">
        <v>6</v>
      </c>
      <c r="D10" s="58" t="n">
        <f aca="false">固有振動数!$I$11</f>
        <v>35539.7061103414</v>
      </c>
      <c r="E10" s="73"/>
      <c r="F10" s="45" t="str">
        <f aca="false">IF(OR(E10="",D10=0),"",(E10-D10)/D10*100)</f>
        <v/>
      </c>
      <c r="G10" s="66" t="str">
        <f aca="false">IF(F10="","",IF(ABS(F10)&lt;=5,"🟢 良く一致",IF(ABS(F10)&lt;=15,"🟡 まずまず","🔴 要確認(モード誤同定/寸法/E値)")))</f>
        <v/>
      </c>
      <c r="H10" s="52"/>
      <c r="I10" s="57" t="str">
        <f aca="false">IF(OR(H10="",E10="",E10=0),"",H10/E10)</f>
        <v/>
      </c>
      <c r="J10" s="47"/>
      <c r="K10" s="84"/>
      <c r="L10" s="41" t="str">
        <f aca="false">IF(ISNUMBER(F10),ABS(F10),"")</f>
        <v/>
      </c>
      <c r="M10" s="5"/>
      <c r="N10" s="5"/>
    </row>
    <row r="11" customFormat="false" ht="15" hidden="false" customHeight="false" outlineLevel="0" collapsed="false">
      <c r="A11" s="83" t="n">
        <v>7</v>
      </c>
      <c r="B11" s="83" t="s">
        <v>491</v>
      </c>
      <c r="C11" s="83" t="n">
        <v>1</v>
      </c>
      <c r="D11" s="58" t="n">
        <f aca="false">固有振動数!$I$12</f>
        <v>4246.79258231606</v>
      </c>
      <c r="E11" s="73"/>
      <c r="F11" s="45" t="str">
        <f aca="false">IF(OR(E11="",D11=0),"",(E11-D11)/D11*100)</f>
        <v/>
      </c>
      <c r="G11" s="66" t="str">
        <f aca="false">IF(F11="","",IF(ABS(F11)&lt;=5,"🟢 良く一致",IF(ABS(F11)&lt;=15,"🟡 まずまず","🔴 要確認(モード誤同定/寸法/E値)")))</f>
        <v/>
      </c>
      <c r="H11" s="52"/>
      <c r="I11" s="57" t="str">
        <f aca="false">IF(OR(H11="",E11="",E11=0),"",H11/E11)</f>
        <v/>
      </c>
      <c r="J11" s="47"/>
      <c r="K11" s="84"/>
      <c r="L11" s="41" t="str">
        <f aca="false">IF(ISNUMBER(F11),ABS(F11),"")</f>
        <v/>
      </c>
      <c r="M11" s="5"/>
      <c r="N11" s="5"/>
    </row>
    <row r="12" customFormat="false" ht="15" hidden="false" customHeight="false" outlineLevel="0" collapsed="false">
      <c r="A12" s="83" t="n">
        <v>8</v>
      </c>
      <c r="B12" s="83" t="s">
        <v>491</v>
      </c>
      <c r="C12" s="83" t="n">
        <v>2</v>
      </c>
      <c r="D12" s="58" t="n">
        <f aca="false">固有振動数!$I$13</f>
        <v>8493.58516463212</v>
      </c>
      <c r="E12" s="73"/>
      <c r="F12" s="45" t="str">
        <f aca="false">IF(OR(E12="",D12=0),"",(E12-D12)/D12*100)</f>
        <v/>
      </c>
      <c r="G12" s="66" t="str">
        <f aca="false">IF(F12="","",IF(ABS(F12)&lt;=5,"🟢 良く一致",IF(ABS(F12)&lt;=15,"🟡 まずまず","🔴 要確認(モード誤同定/寸法/E値)")))</f>
        <v/>
      </c>
      <c r="H12" s="52"/>
      <c r="I12" s="57" t="str">
        <f aca="false">IF(OR(H12="",E12="",E12=0),"",H12/E12)</f>
        <v/>
      </c>
      <c r="J12" s="47"/>
      <c r="K12" s="84"/>
      <c r="L12" s="41" t="str">
        <f aca="false">IF(ISNUMBER(F12),ABS(F12),"")</f>
        <v/>
      </c>
      <c r="M12" s="5"/>
      <c r="N12" s="5"/>
    </row>
    <row r="13" customFormat="false" ht="15" hidden="false" customHeight="false" outlineLevel="0" collapsed="false">
      <c r="A13" s="83" t="n">
        <v>9</v>
      </c>
      <c r="B13" s="83" t="s">
        <v>491</v>
      </c>
      <c r="C13" s="83" t="n">
        <v>3</v>
      </c>
      <c r="D13" s="58" t="n">
        <f aca="false">固有振動数!$I$14</f>
        <v>12740.3777469482</v>
      </c>
      <c r="E13" s="73"/>
      <c r="F13" s="45" t="str">
        <f aca="false">IF(OR(E13="",D13=0),"",(E13-D13)/D13*100)</f>
        <v/>
      </c>
      <c r="G13" s="66" t="str">
        <f aca="false">IF(F13="","",IF(ABS(F13)&lt;=5,"🟢 良く一致",IF(ABS(F13)&lt;=15,"🟡 まずまず","🔴 要確認(モード誤同定/寸法/E値)")))</f>
        <v/>
      </c>
      <c r="H13" s="52"/>
      <c r="I13" s="57" t="str">
        <f aca="false">IF(OR(H13="",E13="",E13=0),"",H13/E13)</f>
        <v/>
      </c>
      <c r="J13" s="47"/>
      <c r="K13" s="84"/>
      <c r="L13" s="41" t="str">
        <f aca="false">IF(ISNUMBER(F13),ABS(F13),"")</f>
        <v/>
      </c>
      <c r="M13" s="5"/>
      <c r="N13" s="5"/>
    </row>
    <row r="14" customFormat="false" ht="15" hidden="false" customHeight="false" outlineLevel="0" collapsed="false">
      <c r="A14" s="83" t="n">
        <v>10</v>
      </c>
      <c r="B14" s="83" t="s">
        <v>491</v>
      </c>
      <c r="C14" s="83" t="n">
        <v>4</v>
      </c>
      <c r="D14" s="58" t="n">
        <f aca="false">固有振動数!$I$15</f>
        <v>16987.1703292642</v>
      </c>
      <c r="E14" s="73"/>
      <c r="F14" s="45" t="str">
        <f aca="false">IF(OR(E14="",D14=0),"",(E14-D14)/D14*100)</f>
        <v/>
      </c>
      <c r="G14" s="66" t="str">
        <f aca="false">IF(F14="","",IF(ABS(F14)&lt;=5,"🟢 良く一致",IF(ABS(F14)&lt;=15,"🟡 まずまず","🔴 要確認(モード誤同定/寸法/E値)")))</f>
        <v/>
      </c>
      <c r="H14" s="52"/>
      <c r="I14" s="57" t="str">
        <f aca="false">IF(OR(H14="",E14="",E14=0),"",H14/E14)</f>
        <v/>
      </c>
      <c r="J14" s="47"/>
      <c r="K14" s="84"/>
      <c r="L14" s="41" t="str">
        <f aca="false">IF(ISNUMBER(F14),ABS(F14),"")</f>
        <v/>
      </c>
      <c r="M14" s="5"/>
      <c r="N14" s="5"/>
    </row>
    <row r="15" customFormat="false" ht="15" hidden="false" customHeight="false" outlineLevel="0" collapsed="false">
      <c r="A15" s="83" t="n">
        <v>11</v>
      </c>
      <c r="B15" s="83" t="s">
        <v>493</v>
      </c>
      <c r="C15" s="83" t="n">
        <v>1</v>
      </c>
      <c r="D15" s="58" t="n">
        <f aca="false">固有振動数!$I$16</f>
        <v>14935.4272218364</v>
      </c>
      <c r="E15" s="73"/>
      <c r="F15" s="45" t="str">
        <f aca="false">IF(OR(E15="",D15=0),"",(E15-D15)/D15*100)</f>
        <v/>
      </c>
      <c r="G15" s="66" t="str">
        <f aca="false">IF(F15="","",IF(ABS(F15)&lt;=5,"🟢 良く一致",IF(ABS(F15)&lt;=15,"🟡 まずまず","🔴 要確認(モード誤同定/寸法/E値)")))</f>
        <v/>
      </c>
      <c r="H15" s="52"/>
      <c r="I15" s="57" t="str">
        <f aca="false">IF(OR(H15="",E15="",E15=0),"",H15/E15)</f>
        <v/>
      </c>
      <c r="J15" s="47"/>
      <c r="K15" s="84"/>
      <c r="L15" s="41" t="str">
        <f aca="false">IF(ISNUMBER(F15),ABS(F15),"")</f>
        <v/>
      </c>
      <c r="M15" s="5"/>
      <c r="N15" s="5"/>
    </row>
    <row r="16" customFormat="false" ht="15" hidden="false" customHeight="false" outlineLevel="0" collapsed="false">
      <c r="A16" s="83" t="n">
        <v>12</v>
      </c>
      <c r="B16" s="83" t="s">
        <v>493</v>
      </c>
      <c r="C16" s="83" t="n">
        <v>2</v>
      </c>
      <c r="D16" s="58" t="n">
        <f aca="false">固有振動数!$I$17</f>
        <v>31697.8638169694</v>
      </c>
      <c r="E16" s="73"/>
      <c r="F16" s="45" t="str">
        <f aca="false">IF(OR(E16="",D16=0),"",(E16-D16)/D16*100)</f>
        <v/>
      </c>
      <c r="G16" s="66" t="str">
        <f aca="false">IF(F16="","",IF(ABS(F16)&lt;=5,"🟢 良く一致",IF(ABS(F16)&lt;=15,"🟡 まずまず","🔴 要確認(モード誤同定/寸法/E値)")))</f>
        <v/>
      </c>
      <c r="H16" s="52"/>
      <c r="I16" s="57" t="str">
        <f aca="false">IF(OR(H16="",E16="",E16=0),"",H16/E16)</f>
        <v/>
      </c>
      <c r="J16" s="47"/>
      <c r="K16" s="84"/>
      <c r="L16" s="41" t="str">
        <f aca="false">IF(ISNUMBER(F16),ABS(F16),"")</f>
        <v/>
      </c>
      <c r="M16" s="5"/>
      <c r="N16" s="5"/>
    </row>
    <row r="17" customFormat="false" ht="15" hidden="false" customHeight="false" outlineLevel="0" collapsed="false">
      <c r="A17" s="83" t="n">
        <v>13</v>
      </c>
      <c r="B17" s="83" t="s">
        <v>493</v>
      </c>
      <c r="C17" s="83" t="n">
        <v>3</v>
      </c>
      <c r="D17" s="58" t="n">
        <f aca="false">固有振動数!$I$18</f>
        <v>48916.8063063846</v>
      </c>
      <c r="E17" s="73"/>
      <c r="F17" s="45" t="str">
        <f aca="false">IF(OR(E17="",D17=0),"",(E17-D17)/D17*100)</f>
        <v/>
      </c>
      <c r="G17" s="66" t="str">
        <f aca="false">IF(F17="","",IF(ABS(F17)&lt;=5,"🟢 良く一致",IF(ABS(F17)&lt;=15,"🟡 まずまず","🔴 要確認(モード誤同定/寸法/E値)")))</f>
        <v/>
      </c>
      <c r="H17" s="52"/>
      <c r="I17" s="57" t="str">
        <f aca="false">IF(OR(H17="",E17="",E17=0),"",H17/E17)</f>
        <v/>
      </c>
      <c r="J17" s="47"/>
      <c r="K17" s="84"/>
      <c r="L17" s="41" t="str">
        <f aca="false">IF(ISNUMBER(F17),ABS(F17),"")</f>
        <v/>
      </c>
      <c r="M17" s="5"/>
      <c r="N17" s="5"/>
    </row>
    <row r="18" customFormat="false" ht="15" hidden="false" customHeight="false" outlineLevel="0" collapsed="false">
      <c r="A18" s="83" t="n">
        <v>14</v>
      </c>
      <c r="B18" s="83" t="s">
        <v>493</v>
      </c>
      <c r="C18" s="83" t="n">
        <v>4</v>
      </c>
      <c r="D18" s="58" t="n">
        <f aca="false">固有振動数!$I$19</f>
        <v>65870.4650364863</v>
      </c>
      <c r="E18" s="73"/>
      <c r="F18" s="45" t="str">
        <f aca="false">IF(OR(E18="",D18=0),"",(E18-D18)/D18*100)</f>
        <v/>
      </c>
      <c r="G18" s="66" t="str">
        <f aca="false">IF(F18="","",IF(ABS(F18)&lt;=5,"🟢 良く一致",IF(ABS(F18)&lt;=15,"🟡 まずまず","🔴 要確認(モード誤同定/寸法/E値)")))</f>
        <v/>
      </c>
      <c r="H18" s="52"/>
      <c r="I18" s="57" t="str">
        <f aca="false">IF(OR(H18="",E18="",E18=0),"",H18/E18)</f>
        <v/>
      </c>
      <c r="J18" s="47"/>
      <c r="K18" s="84"/>
      <c r="L18" s="41" t="str">
        <f aca="false">IF(ISNUMBER(F18),ABS(F18),"")</f>
        <v/>
      </c>
      <c r="M18" s="5"/>
      <c r="N18" s="5"/>
    </row>
    <row r="19" customFormat="false" ht="15" hidden="false" customHeight="false" outlineLevel="0" collapsed="false">
      <c r="A19" s="83" t="n">
        <v>15</v>
      </c>
      <c r="B19" s="83" t="s">
        <v>495</v>
      </c>
      <c r="C19" s="83" t="n">
        <v>1</v>
      </c>
      <c r="D19" s="58" t="n">
        <f aca="false">固有振動数!$I$20</f>
        <v>23228.4066977814</v>
      </c>
      <c r="E19" s="73"/>
      <c r="F19" s="45" t="str">
        <f aca="false">IF(OR(E19="",D19=0),"",(E19-D19)/D19*100)</f>
        <v/>
      </c>
      <c r="G19" s="66" t="str">
        <f aca="false">IF(F19="","",IF(ABS(F19)&lt;=5,"🟢 良く一致",IF(ABS(F19)&lt;=15,"🟡 まずまず","🔴 要確認(モード誤同定/寸法/E値)")))</f>
        <v/>
      </c>
      <c r="H19" s="52"/>
      <c r="I19" s="57" t="str">
        <f aca="false">IF(OR(H19="",E19="",E19=0),"",H19/E19)</f>
        <v/>
      </c>
      <c r="J19" s="47"/>
      <c r="K19" s="84"/>
      <c r="L19" s="41" t="str">
        <f aca="false">IF(ISNUMBER(F19),ABS(F19),"")</f>
        <v/>
      </c>
      <c r="M19" s="5"/>
      <c r="N19" s="5"/>
    </row>
    <row r="20" customFormat="false" ht="15" hidden="false" customHeight="false" outlineLevel="0" collapsed="false">
      <c r="A20" s="83" t="n">
        <v>16</v>
      </c>
      <c r="B20" s="83" t="s">
        <v>495</v>
      </c>
      <c r="C20" s="83" t="n">
        <v>2</v>
      </c>
      <c r="D20" s="58" t="n">
        <f aca="false">固有振動数!$I$21</f>
        <v>46456.8133955628</v>
      </c>
      <c r="E20" s="73"/>
      <c r="F20" s="45" t="str">
        <f aca="false">IF(OR(E20="",D20=0),"",(E20-D20)/D20*100)</f>
        <v/>
      </c>
      <c r="G20" s="66" t="str">
        <f aca="false">IF(F20="","",IF(ABS(F20)&lt;=5,"🟢 良く一致",IF(ABS(F20)&lt;=15,"🟡 まずまず","🔴 要確認(モード誤同定/寸法/E値)")))</f>
        <v/>
      </c>
      <c r="H20" s="52"/>
      <c r="I20" s="57" t="str">
        <f aca="false">IF(OR(H20="",E20="",E20=0),"",H20/E20)</f>
        <v/>
      </c>
      <c r="J20" s="47"/>
      <c r="K20" s="84"/>
      <c r="L20" s="41" t="str">
        <f aca="false">IF(ISNUMBER(F20),ABS(F20),"")</f>
        <v/>
      </c>
      <c r="M20" s="5"/>
      <c r="N20" s="5"/>
    </row>
    <row r="21" customFormat="false" ht="15" hidden="false" customHeight="false" outlineLevel="0" collapsed="false">
      <c r="A21" s="83" t="n">
        <v>17</v>
      </c>
      <c r="B21" s="83" t="s">
        <v>495</v>
      </c>
      <c r="C21" s="83" t="n">
        <v>3</v>
      </c>
      <c r="D21" s="58" t="n">
        <f aca="false">固有振動数!$I$22</f>
        <v>69685.2200933441</v>
      </c>
      <c r="E21" s="73"/>
      <c r="F21" s="45" t="str">
        <f aca="false">IF(OR(E21="",D21=0),"",(E21-D21)/D21*100)</f>
        <v/>
      </c>
      <c r="G21" s="66" t="str">
        <f aca="false">IF(F21="","",IF(ABS(F21)&lt;=5,"🟢 良く一致",IF(ABS(F21)&lt;=15,"🟡 まずまず","🔴 要確認(モード誤同定/寸法/E値)")))</f>
        <v/>
      </c>
      <c r="H21" s="52"/>
      <c r="I21" s="57" t="str">
        <f aca="false">IF(OR(H21="",E21="",E21=0),"",H21/E21)</f>
        <v/>
      </c>
      <c r="J21" s="47"/>
      <c r="K21" s="84"/>
      <c r="L21" s="41" t="str">
        <f aca="false">IF(ISNUMBER(F21),ABS(F21),"")</f>
        <v/>
      </c>
      <c r="M21" s="5"/>
      <c r="N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customFormat="false" ht="15" hidden="false" customHeight="false" outlineLevel="0" collapsed="false">
      <c r="A23" s="6" t="s">
        <v>727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Format="false" ht="15" hidden="false" customHeight="false" outlineLevel="0" collapsed="false">
      <c r="A24" s="8" t="s">
        <v>728</v>
      </c>
      <c r="B24" s="5"/>
      <c r="C24" s="5"/>
      <c r="D24" s="30" t="n">
        <f aca="false">COUNT($E$5:$E$21)</f>
        <v>0</v>
      </c>
      <c r="E24" s="5"/>
      <c r="F24" s="5"/>
      <c r="G24" s="5"/>
      <c r="H24" s="5"/>
      <c r="I24" s="5"/>
      <c r="J24" s="5"/>
      <c r="K24" s="5"/>
      <c r="L24" s="5"/>
      <c r="M24" s="5"/>
      <c r="N24" s="5"/>
    </row>
    <row r="25" customFormat="false" ht="15" hidden="false" customHeight="false" outlineLevel="0" collapsed="false">
      <c r="A25" s="8" t="s">
        <v>729</v>
      </c>
      <c r="B25" s="5"/>
      <c r="C25" s="5"/>
      <c r="D25" s="45" t="str">
        <f aca="false">IFERROR(AVERAGE($F$5:$F$21),"")</f>
        <v/>
      </c>
      <c r="E25" s="5"/>
      <c r="F25" s="5"/>
      <c r="G25" s="5"/>
      <c r="H25" s="5"/>
      <c r="I25" s="5"/>
      <c r="J25" s="5"/>
      <c r="K25" s="5"/>
      <c r="L25" s="5"/>
      <c r="M25" s="5"/>
      <c r="N25" s="5"/>
    </row>
    <row r="26" customFormat="false" ht="15" hidden="false" customHeight="false" outlineLevel="0" collapsed="false">
      <c r="A26" s="8" t="s">
        <v>730</v>
      </c>
      <c r="B26" s="5"/>
      <c r="C26" s="5"/>
      <c r="D26" s="45" t="str">
        <f aca="false">IFERROR(AVERAGE($L$5:$L$21),"")</f>
        <v/>
      </c>
      <c r="E26" s="5"/>
      <c r="F26" s="5"/>
      <c r="G26" s="5"/>
      <c r="H26" s="5"/>
      <c r="I26" s="5"/>
      <c r="J26" s="5"/>
      <c r="K26" s="5"/>
      <c r="L26" s="5"/>
      <c r="M26" s="5"/>
      <c r="N26" s="5"/>
    </row>
    <row r="27" customFormat="false" ht="15" hidden="false" customHeight="false" outlineLevel="0" collapsed="false">
      <c r="A27" s="8" t="s">
        <v>731</v>
      </c>
      <c r="B27" s="5"/>
      <c r="C27" s="5"/>
      <c r="D27" s="45" t="n">
        <f aca="false">IFERROR(MAX($L$5:$L$21),"")</f>
        <v>0</v>
      </c>
      <c r="E27" s="5"/>
      <c r="F27" s="5"/>
      <c r="G27" s="5"/>
      <c r="H27" s="5"/>
      <c r="I27" s="5"/>
      <c r="J27" s="5"/>
      <c r="K27" s="5"/>
      <c r="L27" s="5"/>
      <c r="M27" s="5"/>
      <c r="N27" s="5"/>
    </row>
    <row r="28" customFormat="false" ht="15" hidden="false" customHeight="false" outlineLevel="0" collapsed="false">
      <c r="A28" s="8" t="s">
        <v>732</v>
      </c>
      <c r="B28" s="5"/>
      <c r="C28" s="5"/>
      <c r="D28" s="30" t="n">
        <f aca="false">COUNTIF($G$5:$G$21,"🟢*")</f>
        <v>0</v>
      </c>
      <c r="E28" s="5"/>
      <c r="F28" s="5"/>
      <c r="G28" s="5"/>
      <c r="H28" s="5"/>
      <c r="I28" s="5"/>
      <c r="J28" s="5"/>
      <c r="K28" s="5"/>
      <c r="L28" s="5"/>
      <c r="M28" s="5"/>
      <c r="N28" s="5"/>
    </row>
    <row r="29" customFormat="false" ht="15" hidden="false" customHeight="false" outlineLevel="0" collapsed="false">
      <c r="A29" s="8" t="s">
        <v>733</v>
      </c>
      <c r="B29" s="5"/>
      <c r="C29" s="5"/>
      <c r="D29" s="30" t="n">
        <f aca="false">COUNTIF($G$5:$G$21,"🔴*")</f>
        <v>0</v>
      </c>
      <c r="E29" s="5"/>
      <c r="F29" s="5"/>
      <c r="G29" s="5"/>
      <c r="H29" s="5"/>
      <c r="I29" s="5"/>
      <c r="J29" s="5"/>
      <c r="K29" s="5"/>
      <c r="L29" s="5"/>
      <c r="M29" s="5"/>
      <c r="N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customFormat="false" ht="15" hidden="false" customHeight="false" outlineLevel="0" collapsed="false">
      <c r="A31" s="6" t="s">
        <v>734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customFormat="false" ht="15" hidden="false" customHeight="false" outlineLevel="0" collapsed="false">
      <c r="A32" s="18" t="s">
        <v>735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customFormat="false" ht="15" hidden="false" customHeight="false" outlineLevel="0" collapsed="false">
      <c r="A33" s="18" t="s">
        <v>736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customFormat="false" ht="15" hidden="false" customHeight="false" outlineLevel="0" collapsed="false">
      <c r="A34" s="59" t="s">
        <v>737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customFormat="false" ht="15" hidden="false" customHeight="false" outlineLevel="0" collapsed="false">
      <c r="A35" s="18" t="s">
        <v>738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customFormat="false" ht="15" hidden="false" customHeight="false" outlineLevel="0" collapsed="false">
      <c r="A36" s="18" t="s">
        <v>739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customFormat="false" ht="15" hidden="false" customHeight="false" outlineLevel="0" collapsed="false">
      <c r="A37" s="18" t="s">
        <v>740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customFormat="false" ht="15" hidden="false" customHeight="false" outlineLevel="0" collapsed="false">
      <c r="A38" s="18" t="s">
        <v>741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B6D4"/>
    <pageSetUpPr fitToPage="false"/>
  </sheetPr>
  <dimension ref="A1:AC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60"/>
    <col collapsed="false" customWidth="true" hidden="false" outlineLevel="0" max="7" min="6" style="0" width="14"/>
  </cols>
  <sheetData>
    <row r="1" customFormat="false" ht="21.6" hidden="false" customHeight="false" outlineLevel="0" collapsed="false">
      <c r="A1" s="1" t="s">
        <v>742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false" outlineLevel="0" collapsed="false">
      <c r="A2" s="4" t="s">
        <v>743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19.4" hidden="false" customHeight="false" outlineLevel="0" collapsed="false">
      <c r="A3" s="20" t="s">
        <v>744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customFormat="false" ht="15" hidden="false" customHeight="false" outlineLevel="0" collapsed="false">
      <c r="A4" s="8" t="s">
        <v>745</v>
      </c>
      <c r="B4" s="5"/>
      <c r="C4" s="49" t="n">
        <v>40000</v>
      </c>
      <c r="D4" s="5"/>
      <c r="E4" s="9" t="s">
        <v>746</v>
      </c>
      <c r="F4" s="5"/>
      <c r="G4" s="5"/>
      <c r="H4" s="5"/>
      <c r="I4" s="5"/>
      <c r="J4" s="5"/>
      <c r="K4" s="5"/>
      <c r="L4" s="5"/>
      <c r="M4" s="5"/>
      <c r="N4" s="5"/>
    </row>
    <row r="5" customFormat="false" ht="15" hidden="false" customHeight="false" outlineLevel="0" collapsed="false">
      <c r="A5" s="8" t="s">
        <v>747</v>
      </c>
      <c r="B5" s="5"/>
      <c r="C5" s="52" t="n">
        <v>2.56</v>
      </c>
      <c r="D5" s="5"/>
      <c r="E5" s="9" t="s">
        <v>748</v>
      </c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false" outlineLevel="0" collapsed="false">
      <c r="A6" s="8" t="s">
        <v>749</v>
      </c>
      <c r="B6" s="5"/>
      <c r="C6" s="30" t="n">
        <f aca="false">$C$4*$C$5</f>
        <v>102400</v>
      </c>
      <c r="D6" s="5"/>
      <c r="E6" s="9" t="s">
        <v>750</v>
      </c>
      <c r="F6" s="5"/>
      <c r="G6" s="5"/>
      <c r="H6" s="5"/>
      <c r="I6" s="5"/>
      <c r="J6" s="5"/>
      <c r="K6" s="5"/>
      <c r="L6" s="5"/>
      <c r="M6" s="5"/>
      <c r="N6" s="5"/>
    </row>
    <row r="7" customFormat="false" ht="15" hidden="false" customHeight="false" outlineLevel="0" collapsed="false">
      <c r="A7" s="10" t="s">
        <v>751</v>
      </c>
      <c r="B7" s="5"/>
      <c r="C7" s="49" t="n">
        <v>6400</v>
      </c>
      <c r="D7" s="5"/>
      <c r="E7" s="17" t="s">
        <v>752</v>
      </c>
      <c r="F7" s="5"/>
      <c r="G7" s="5"/>
      <c r="H7" s="5"/>
      <c r="I7" s="5"/>
      <c r="J7" s="5"/>
      <c r="K7" s="5"/>
      <c r="L7" s="5"/>
      <c r="M7" s="5"/>
      <c r="N7" s="5"/>
    </row>
    <row r="8" customFormat="false" ht="15" hidden="false" customHeight="false" outlineLevel="0" collapsed="false">
      <c r="A8" s="8" t="s">
        <v>753</v>
      </c>
      <c r="B8" s="5"/>
      <c r="C8" s="43" t="n">
        <f aca="false">IF($C$7=0,0,$C$4/$C$7)</f>
        <v>6.25</v>
      </c>
      <c r="D8" s="5"/>
      <c r="E8" s="17" t="s">
        <v>754</v>
      </c>
      <c r="F8" s="5"/>
      <c r="G8" s="5"/>
      <c r="H8" s="5"/>
      <c r="I8" s="5"/>
      <c r="J8" s="5"/>
      <c r="K8" s="5"/>
      <c r="L8" s="5"/>
      <c r="M8" s="5"/>
      <c r="N8" s="5"/>
    </row>
    <row r="9" customFormat="false" ht="15" hidden="false" customHeight="false" outlineLevel="0" collapsed="false">
      <c r="A9" s="10" t="s">
        <v>755</v>
      </c>
      <c r="B9" s="5"/>
      <c r="C9" s="39" t="n">
        <f aca="false">IF($C$8=0,0,1/$C$8)</f>
        <v>0.16</v>
      </c>
      <c r="D9" s="5"/>
      <c r="E9" s="17" t="s">
        <v>756</v>
      </c>
      <c r="F9" s="5"/>
      <c r="G9" s="5"/>
      <c r="H9" s="5"/>
      <c r="I9" s="5"/>
      <c r="J9" s="5"/>
      <c r="K9" s="5"/>
      <c r="L9" s="5"/>
      <c r="M9" s="5"/>
      <c r="N9" s="5"/>
    </row>
    <row r="10" customFormat="false" ht="15" hidden="false" customHeight="false" outlineLevel="0" collapsed="false">
      <c r="A10" s="8" t="s">
        <v>757</v>
      </c>
      <c r="B10" s="5"/>
      <c r="C10" s="30" t="n">
        <f aca="false">$C$7*2.56</f>
        <v>16384</v>
      </c>
      <c r="D10" s="5"/>
      <c r="E10" s="9" t="s">
        <v>758</v>
      </c>
      <c r="F10" s="5"/>
      <c r="G10" s="5"/>
      <c r="H10" s="5"/>
      <c r="I10" s="5"/>
      <c r="J10" s="5"/>
      <c r="K10" s="5"/>
      <c r="L10" s="5"/>
      <c r="M10" s="5"/>
      <c r="N10" s="5"/>
    </row>
    <row r="11" customFormat="false" ht="15" hidden="false" customHeight="false" outlineLevel="0" collapsed="false">
      <c r="A11" s="8" t="s">
        <v>759</v>
      </c>
      <c r="B11" s="5"/>
      <c r="C11" s="73" t="n">
        <v>20</v>
      </c>
      <c r="D11" s="5"/>
      <c r="E11" s="9" t="s">
        <v>760</v>
      </c>
      <c r="F11" s="5"/>
      <c r="G11" s="5"/>
      <c r="H11" s="5"/>
      <c r="I11" s="5"/>
      <c r="J11" s="5"/>
      <c r="K11" s="5"/>
      <c r="L11" s="5"/>
      <c r="M11" s="5"/>
      <c r="N11" s="5"/>
    </row>
    <row r="12" customFormat="false" ht="15" hidden="false" customHeight="false" outlineLevel="0" collapsed="false">
      <c r="A12" s="10" t="s">
        <v>761</v>
      </c>
      <c r="B12" s="5"/>
      <c r="C12" s="45" t="n">
        <f aca="false">IF($C$8=0,0,$C$11/$C$8)</f>
        <v>3.2</v>
      </c>
      <c r="D12" s="5"/>
      <c r="E12" s="17" t="s">
        <v>762</v>
      </c>
      <c r="F12" s="5"/>
      <c r="G12" s="5"/>
      <c r="H12" s="5"/>
      <c r="I12" s="5"/>
      <c r="J12" s="5"/>
      <c r="K12" s="5"/>
      <c r="L12" s="5"/>
      <c r="M12" s="5"/>
      <c r="N12" s="5"/>
    </row>
    <row r="13" customFormat="false" ht="15" hidden="false" customHeight="false" outlineLevel="0" collapsed="false">
      <c r="A13" s="8" t="s">
        <v>763</v>
      </c>
      <c r="B13" s="5"/>
      <c r="C13" s="14" t="str">
        <f aca="false">IF($C$12&gt;=5,"🟢 十分",IF($C$12&gt;=3,"🟡 ぎりぎり","🔴 ライン数を増やす"))</f>
        <v>🟡 ぎりぎり</v>
      </c>
      <c r="D13" s="5"/>
      <c r="E13" s="9" t="s">
        <v>764</v>
      </c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19.4" hidden="false" customHeight="false" outlineLevel="0" collapsed="false">
      <c r="A15" s="20" t="s">
        <v>765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false" outlineLevel="0" collapsed="false">
      <c r="A16" s="8" t="s">
        <v>766</v>
      </c>
      <c r="B16" s="5"/>
      <c r="C16" s="49" t="n">
        <v>2</v>
      </c>
      <c r="D16" s="5"/>
      <c r="E16" s="17" t="s">
        <v>767</v>
      </c>
      <c r="F16" s="5"/>
      <c r="G16" s="5"/>
      <c r="H16" s="5"/>
      <c r="I16" s="5"/>
      <c r="J16" s="5"/>
      <c r="K16" s="5"/>
      <c r="L16" s="5"/>
      <c r="M16" s="5"/>
      <c r="N16" s="5"/>
    </row>
    <row r="17" customFormat="false" ht="15" hidden="false" customHeight="false" outlineLevel="0" collapsed="false">
      <c r="A17" s="8" t="s">
        <v>768</v>
      </c>
      <c r="B17" s="5"/>
      <c r="C17" s="52" t="n">
        <v>0.4</v>
      </c>
      <c r="D17" s="5"/>
      <c r="E17" s="9" t="s">
        <v>769</v>
      </c>
      <c r="F17" s="5"/>
      <c r="G17" s="5"/>
      <c r="H17" s="5"/>
      <c r="I17" s="5"/>
      <c r="J17" s="5"/>
      <c r="K17" s="5"/>
      <c r="L17" s="5"/>
      <c r="M17" s="5"/>
      <c r="N17" s="5"/>
    </row>
    <row r="18" customFormat="false" ht="15" hidden="false" customHeight="false" outlineLevel="0" collapsed="false">
      <c r="A18" s="8" t="s">
        <v>770</v>
      </c>
      <c r="B18" s="5"/>
      <c r="C18" s="49" t="n">
        <v>205</v>
      </c>
      <c r="D18" s="5"/>
      <c r="E18" s="9" t="s">
        <v>771</v>
      </c>
      <c r="F18" s="5"/>
      <c r="G18" s="5"/>
      <c r="H18" s="5"/>
      <c r="I18" s="5"/>
      <c r="J18" s="5"/>
      <c r="K18" s="5"/>
      <c r="L18" s="5"/>
      <c r="M18" s="5"/>
      <c r="N18" s="5"/>
    </row>
    <row r="19" customFormat="false" ht="15" hidden="false" customHeight="false" outlineLevel="0" collapsed="false">
      <c r="A19" s="8" t="s">
        <v>772</v>
      </c>
      <c r="B19" s="5"/>
      <c r="C19" s="49" t="n">
        <v>300</v>
      </c>
      <c r="D19" s="5"/>
      <c r="E19" s="9" t="s">
        <v>773</v>
      </c>
      <c r="F19" s="5"/>
      <c r="G19" s="5"/>
      <c r="H19" s="5"/>
      <c r="I19" s="5"/>
      <c r="J19" s="5"/>
      <c r="K19" s="5"/>
      <c r="L19" s="5"/>
      <c r="M19" s="5"/>
      <c r="N19" s="5"/>
    </row>
    <row r="20" customFormat="false" ht="15" hidden="false" customHeight="false" outlineLevel="0" collapsed="false">
      <c r="A20" s="8" t="s">
        <v>774</v>
      </c>
      <c r="B20" s="5"/>
      <c r="C20" s="45" t="n">
        <f aca="false">断面!$D$32</f>
        <v>137.32790644629</v>
      </c>
      <c r="D20" s="5"/>
      <c r="E20" s="9" t="s">
        <v>775</v>
      </c>
      <c r="F20" s="5"/>
      <c r="G20" s="5"/>
      <c r="H20" s="5"/>
      <c r="I20" s="5"/>
      <c r="J20" s="5"/>
      <c r="K20" s="5"/>
      <c r="L20" s="5"/>
      <c r="M20" s="5"/>
      <c r="N20" s="5"/>
    </row>
    <row r="21" customFormat="false" ht="15" hidden="false" customHeight="false" outlineLevel="0" collapsed="false">
      <c r="A21" s="8" t="s">
        <v>776</v>
      </c>
      <c r="B21" s="5"/>
      <c r="C21" s="55" t="n">
        <f aca="false">PI()*($C$17/1000)^2/4</f>
        <v>1.25663706143592E-007</v>
      </c>
      <c r="D21" s="5"/>
      <c r="E21" s="17" t="s">
        <v>777</v>
      </c>
      <c r="F21" s="5"/>
      <c r="G21" s="5"/>
      <c r="H21" s="5"/>
      <c r="I21" s="5"/>
      <c r="J21" s="5"/>
      <c r="K21" s="5"/>
      <c r="L21" s="5"/>
      <c r="M21" s="5"/>
      <c r="N21" s="5"/>
    </row>
    <row r="22" customFormat="false" ht="15" hidden="false" customHeight="false" outlineLevel="0" collapsed="false">
      <c r="A22" s="8" t="s">
        <v>778</v>
      </c>
      <c r="B22" s="5"/>
      <c r="C22" s="58" t="n">
        <f aca="false">IF($C$19=0,0,$C$16*$C$18*1000000000*$C$21/($C$19/1000))</f>
        <v>171740.398396242</v>
      </c>
      <c r="D22" s="5"/>
      <c r="E22" s="17" t="s">
        <v>779</v>
      </c>
      <c r="F22" s="5"/>
      <c r="G22" s="5"/>
      <c r="H22" s="5"/>
      <c r="I22" s="5"/>
      <c r="J22" s="5"/>
      <c r="K22" s="5"/>
      <c r="L22" s="5"/>
      <c r="M22" s="5"/>
      <c r="N22" s="5"/>
    </row>
    <row r="23" customFormat="false" ht="15" hidden="false" customHeight="false" outlineLevel="0" collapsed="false">
      <c r="A23" s="8" t="s">
        <v>780</v>
      </c>
      <c r="B23" s="5"/>
      <c r="C23" s="45" t="n">
        <f aca="false">IF($C$20=0,0,1/(2*PI())*SQRT($C$22/($C$20/1000)))</f>
        <v>177.982361593203</v>
      </c>
      <c r="D23" s="5"/>
      <c r="E23" s="9" t="s">
        <v>781</v>
      </c>
      <c r="F23" s="5"/>
      <c r="G23" s="5"/>
      <c r="H23" s="5"/>
      <c r="I23" s="5"/>
      <c r="J23" s="5"/>
      <c r="K23" s="5"/>
      <c r="L23" s="5"/>
      <c r="M23" s="5"/>
      <c r="N23" s="5"/>
    </row>
    <row r="24" customFormat="false" ht="15" hidden="false" customHeight="false" outlineLevel="0" collapsed="false">
      <c r="A24" s="8" t="s">
        <v>782</v>
      </c>
      <c r="B24" s="5"/>
      <c r="C24" s="43" t="n">
        <f aca="false">IF($C$19=0,0,1/(2*PI())*SQRT(9.80665/($C$19/1000)))</f>
        <v>0.909954845750661</v>
      </c>
      <c r="D24" s="5"/>
      <c r="E24" s="9" t="s">
        <v>783</v>
      </c>
      <c r="F24" s="5"/>
      <c r="G24" s="5"/>
      <c r="H24" s="5"/>
      <c r="I24" s="5"/>
      <c r="J24" s="5"/>
      <c r="K24" s="5"/>
      <c r="L24" s="5"/>
      <c r="M24" s="5"/>
      <c r="N24" s="5"/>
    </row>
    <row r="25" customFormat="false" ht="15" hidden="false" customHeight="false" outlineLevel="0" collapsed="false">
      <c r="A25" s="10" t="s">
        <v>784</v>
      </c>
      <c r="B25" s="5"/>
      <c r="C25" s="58" t="n">
        <f aca="false">固有振動数!$I$6</f>
        <v>2153.60873540861</v>
      </c>
      <c r="D25" s="5"/>
      <c r="E25" s="9" t="s">
        <v>785</v>
      </c>
      <c r="F25" s="5"/>
      <c r="G25" s="5"/>
      <c r="H25" s="5"/>
      <c r="I25" s="5"/>
      <c r="J25" s="5"/>
      <c r="K25" s="5"/>
      <c r="L25" s="5"/>
      <c r="M25" s="5"/>
      <c r="N25" s="5"/>
    </row>
    <row r="26" customFormat="false" ht="15" hidden="false" customHeight="false" outlineLevel="0" collapsed="false">
      <c r="A26" s="10" t="s">
        <v>786</v>
      </c>
      <c r="B26" s="5"/>
      <c r="C26" s="45" t="n">
        <f aca="false">IF($C$23=0,0,$C$25/$C$23)</f>
        <v>12.1001245074549</v>
      </c>
      <c r="D26" s="5"/>
      <c r="E26" s="17" t="s">
        <v>787</v>
      </c>
      <c r="F26" s="5"/>
      <c r="G26" s="5"/>
      <c r="H26" s="5"/>
      <c r="I26" s="5"/>
      <c r="J26" s="5"/>
      <c r="K26" s="5"/>
      <c r="L26" s="5"/>
      <c r="M26" s="5"/>
      <c r="N26" s="5"/>
    </row>
    <row r="27" customFormat="false" ht="15" hidden="false" customHeight="false" outlineLevel="0" collapsed="false">
      <c r="A27" s="8" t="s">
        <v>788</v>
      </c>
      <c r="B27" s="5"/>
      <c r="C27" s="14" t="str">
        <f aca="false">IF($C$26&gt;=10,"🟢 OK（自由−自由とみなせる）",IF($C$26&gt;=5,"🟡 やや影響あり（線を細く/長く）","🔴 NG：線を細くするか長くする"))</f>
        <v>🟢 OK（自由−自由とみなせる）</v>
      </c>
      <c r="D27" s="5"/>
      <c r="E27" s="9" t="s">
        <v>789</v>
      </c>
      <c r="F27" s="5"/>
      <c r="G27" s="5"/>
      <c r="H27" s="5"/>
      <c r="I27" s="5"/>
      <c r="J27" s="5"/>
      <c r="K27" s="5"/>
      <c r="L27" s="5"/>
      <c r="M27" s="5"/>
      <c r="N27" s="5"/>
    </row>
    <row r="28" customFormat="false" ht="15" hidden="false" customHeight="false" outlineLevel="0" collapsed="false">
      <c r="A28" s="59" t="s">
        <v>790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customFormat="false" ht="15" hidden="false" customHeight="false" outlineLevel="0" collapsed="false">
      <c r="A29" s="29" t="s">
        <v>791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customFormat="false" ht="19.4" hidden="false" customHeight="false" outlineLevel="0" collapsed="false">
      <c r="A30" s="20" t="s">
        <v>792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customFormat="false" ht="15" hidden="false" customHeight="false" outlineLevel="0" collapsed="false">
      <c r="A31" s="8" t="s">
        <v>793</v>
      </c>
      <c r="B31" s="5"/>
      <c r="C31" s="30" t="n">
        <f aca="false">$C$4</f>
        <v>40000</v>
      </c>
      <c r="D31" s="5"/>
      <c r="E31" s="17" t="s">
        <v>794</v>
      </c>
      <c r="F31" s="5"/>
      <c r="G31" s="5"/>
      <c r="H31" s="5"/>
      <c r="I31" s="5"/>
      <c r="J31" s="5"/>
      <c r="K31" s="5"/>
      <c r="L31" s="5"/>
      <c r="M31" s="5"/>
      <c r="N31" s="5"/>
    </row>
    <row r="32" customFormat="false" ht="15" hidden="false" customHeight="false" outlineLevel="0" collapsed="false">
      <c r="A32" s="8" t="s">
        <v>795</v>
      </c>
      <c r="B32" s="5"/>
      <c r="C32" s="56" t="n">
        <f aca="false">IF($C$31=0,0,1/(2*$C$31))</f>
        <v>1.25E-005</v>
      </c>
      <c r="D32" s="5"/>
      <c r="E32" s="17" t="s">
        <v>796</v>
      </c>
      <c r="F32" s="5"/>
      <c r="G32" s="5"/>
      <c r="H32" s="5"/>
      <c r="I32" s="5"/>
      <c r="J32" s="5"/>
      <c r="K32" s="5"/>
      <c r="L32" s="5"/>
      <c r="M32" s="5"/>
      <c r="N32" s="5"/>
    </row>
    <row r="33" customFormat="false" ht="15" hidden="false" customHeight="false" outlineLevel="0" collapsed="false">
      <c r="A33" s="8" t="s">
        <v>797</v>
      </c>
      <c r="B33" s="5"/>
      <c r="C33" s="58" t="n">
        <f aca="false">$C$32*1000000</f>
        <v>12.5</v>
      </c>
      <c r="D33" s="5"/>
      <c r="E33" s="17" t="s">
        <v>798</v>
      </c>
      <c r="F33" s="5"/>
      <c r="G33" s="5"/>
      <c r="H33" s="5"/>
      <c r="I33" s="5"/>
      <c r="J33" s="5"/>
      <c r="K33" s="5"/>
      <c r="L33" s="5"/>
      <c r="M33" s="5"/>
      <c r="N33" s="5"/>
    </row>
    <row r="34" customFormat="false" ht="15" hidden="false" customHeight="false" outlineLevel="0" collapsed="false">
      <c r="A34" s="8" t="s">
        <v>799</v>
      </c>
      <c r="B34" s="5"/>
      <c r="C34" s="14" t="str">
        <f aca="false">IF($C$31&lt;=2000,"ゴム（軟）",IF($C$31&lt;=6000,"プラスチック（中）",IF($C$31&lt;=15000,"硬質プラ/アルミ","スチール（最硬）＋小型ハンマー")))</f>
        <v>スチール（最硬）＋小型ハンマー</v>
      </c>
      <c r="D34" s="5"/>
      <c r="E34" s="9" t="s">
        <v>800</v>
      </c>
      <c r="F34" s="5"/>
      <c r="G34" s="5"/>
      <c r="H34" s="5"/>
      <c r="I34" s="5"/>
      <c r="J34" s="5"/>
      <c r="K34" s="5"/>
      <c r="L34" s="5"/>
      <c r="M34" s="5"/>
      <c r="N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customFormat="false" ht="15" hidden="false" customHeight="false" outlineLevel="0" collapsed="false">
      <c r="A36" s="18" t="s">
        <v>801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customFormat="false" ht="15" hidden="false" customHeight="false" outlineLevel="0" collapsed="false">
      <c r="A37" s="18" t="s">
        <v>802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customFormat="false" ht="15" hidden="false" customHeight="false" outlineLevel="0" collapsed="false">
      <c r="A38" s="18" t="s">
        <v>803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customFormat="false" ht="15" hidden="false" customHeight="false" outlineLevel="0" collapsed="false">
      <c r="A39" s="18" t="s">
        <v>804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customFormat="false" ht="15" hidden="false" customHeight="false" outlineLevel="0" collapsed="false">
      <c r="A40" s="18" t="s">
        <v>805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customFormat="false" ht="19.4" hidden="false" customHeight="false" outlineLevel="0" collapsed="false">
      <c r="A42" s="20" t="s">
        <v>806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customFormat="false" ht="15" hidden="false" customHeight="false" outlineLevel="0" collapsed="false">
      <c r="A43" s="8" t="s">
        <v>807</v>
      </c>
      <c r="B43" s="5"/>
      <c r="C43" s="49" t="n">
        <v>25</v>
      </c>
      <c r="D43" s="5"/>
      <c r="E43" s="9" t="s">
        <v>808</v>
      </c>
      <c r="F43" s="5"/>
      <c r="G43" s="5"/>
      <c r="H43" s="5"/>
      <c r="I43" s="5"/>
      <c r="J43" s="5"/>
      <c r="K43" s="5"/>
      <c r="L43" s="5"/>
      <c r="M43" s="5"/>
      <c r="N43" s="5"/>
    </row>
    <row r="44" customFormat="false" ht="15" hidden="false" customHeight="false" outlineLevel="0" collapsed="false">
      <c r="A44" s="8" t="s">
        <v>809</v>
      </c>
      <c r="B44" s="5"/>
      <c r="C44" s="49" t="n">
        <v>5</v>
      </c>
      <c r="D44" s="5"/>
      <c r="E44" s="17" t="s">
        <v>810</v>
      </c>
      <c r="F44" s="5"/>
      <c r="G44" s="5"/>
      <c r="H44" s="5"/>
      <c r="I44" s="5"/>
      <c r="J44" s="5"/>
      <c r="K44" s="5"/>
      <c r="L44" s="5"/>
      <c r="M44" s="5"/>
      <c r="N44" s="5"/>
    </row>
    <row r="45" customFormat="false" ht="15" hidden="false" customHeight="false" outlineLevel="0" collapsed="false">
      <c r="A45" s="8" t="s">
        <v>811</v>
      </c>
      <c r="B45" s="5"/>
      <c r="C45" s="30" t="n">
        <f aca="false">$C$43*$C$44</f>
        <v>125</v>
      </c>
      <c r="D45" s="5"/>
      <c r="E45" s="17" t="s">
        <v>812</v>
      </c>
      <c r="F45" s="5"/>
      <c r="G45" s="5"/>
      <c r="H45" s="5"/>
      <c r="I45" s="5"/>
      <c r="J45" s="5"/>
      <c r="K45" s="5"/>
      <c r="L45" s="5"/>
      <c r="M45" s="5"/>
      <c r="N45" s="5"/>
    </row>
    <row r="46" customFormat="false" ht="15" hidden="false" customHeight="false" outlineLevel="0" collapsed="false">
      <c r="A46" s="8" t="s">
        <v>813</v>
      </c>
      <c r="B46" s="5"/>
      <c r="C46" s="58" t="n">
        <f aca="false">MIN(固有振動数!$J$6:$J$22)</f>
        <v>33.8461542577598</v>
      </c>
      <c r="D46" s="5"/>
      <c r="E46" s="9" t="s">
        <v>814</v>
      </c>
      <c r="F46" s="5"/>
      <c r="G46" s="5"/>
      <c r="H46" s="5"/>
      <c r="I46" s="5"/>
      <c r="J46" s="5"/>
      <c r="K46" s="5"/>
      <c r="L46" s="5"/>
      <c r="M46" s="5"/>
      <c r="N46" s="5"/>
    </row>
    <row r="47" customFormat="false" ht="15" hidden="false" customHeight="false" outlineLevel="0" collapsed="false">
      <c r="A47" s="10" t="s">
        <v>815</v>
      </c>
      <c r="B47" s="5"/>
      <c r="C47" s="45" t="n">
        <f aca="false">IF(形状!$B$71=0,0,$C$46/(形状!$B$71/$C$43))</f>
        <v>7.69230778585451</v>
      </c>
      <c r="D47" s="5"/>
      <c r="E47" s="17" t="s">
        <v>816</v>
      </c>
      <c r="F47" s="5"/>
      <c r="G47" s="5"/>
      <c r="H47" s="5"/>
      <c r="I47" s="5"/>
      <c r="J47" s="5"/>
      <c r="K47" s="5"/>
      <c r="L47" s="5"/>
      <c r="M47" s="5"/>
      <c r="N47" s="5"/>
    </row>
    <row r="48" customFormat="false" ht="15" hidden="false" customHeight="false" outlineLevel="0" collapsed="false">
      <c r="A48" s="8" t="s">
        <v>817</v>
      </c>
      <c r="B48" s="5"/>
      <c r="C48" s="14" t="str">
        <f aca="false">IF($C$47&gt;=6,"🟢 十分",IF($C$47&gt;=3,"🟡 形がカクカクする","🔴 点数を増やす（エイリアシング）"))</f>
        <v>🟢 十分</v>
      </c>
      <c r="D48" s="5"/>
      <c r="E48" s="9" t="s">
        <v>818</v>
      </c>
      <c r="F48" s="5"/>
      <c r="G48" s="5"/>
      <c r="H48" s="5"/>
      <c r="I48" s="5"/>
      <c r="J48" s="5"/>
      <c r="K48" s="5"/>
      <c r="L48" s="5"/>
      <c r="M48" s="5"/>
      <c r="N48" s="5"/>
    </row>
    <row r="49" customFormat="false" ht="15" hidden="false" customHeight="false" outlineLevel="0" collapsed="false">
      <c r="A49" s="8" t="s">
        <v>819</v>
      </c>
      <c r="B49" s="5"/>
      <c r="C49" s="49" t="n">
        <v>8</v>
      </c>
      <c r="D49" s="5"/>
      <c r="E49" s="9" t="s">
        <v>820</v>
      </c>
      <c r="F49" s="5"/>
      <c r="G49" s="5"/>
      <c r="H49" s="5"/>
      <c r="I49" s="5"/>
      <c r="J49" s="5"/>
      <c r="K49" s="5"/>
      <c r="L49" s="5"/>
      <c r="M49" s="5"/>
      <c r="N49" s="5"/>
    </row>
    <row r="50" customFormat="false" ht="15" hidden="false" customHeight="false" outlineLevel="0" collapsed="false">
      <c r="A50" s="10" t="s">
        <v>821</v>
      </c>
      <c r="B50" s="5"/>
      <c r="C50" s="73" t="n">
        <v>1</v>
      </c>
      <c r="D50" s="5"/>
      <c r="E50" s="9" t="s">
        <v>822</v>
      </c>
      <c r="F50" s="5"/>
      <c r="G50" s="5"/>
      <c r="H50" s="5"/>
      <c r="I50" s="5"/>
      <c r="J50" s="5"/>
      <c r="K50" s="5"/>
      <c r="L50" s="5"/>
      <c r="M50" s="5"/>
      <c r="N50" s="5"/>
    </row>
    <row r="51" customFormat="false" ht="15" hidden="false" customHeight="false" outlineLevel="0" collapsed="false">
      <c r="A51" s="10" t="s">
        <v>823</v>
      </c>
      <c r="B51" s="5"/>
      <c r="C51" s="45" t="n">
        <f aca="false">$C$9*$C$49+$C$50</f>
        <v>2.28</v>
      </c>
      <c r="D51" s="5"/>
      <c r="E51" s="9" t="s">
        <v>824</v>
      </c>
      <c r="F51" s="5"/>
      <c r="G51" s="5"/>
      <c r="H51" s="5"/>
      <c r="I51" s="5"/>
      <c r="J51" s="5"/>
      <c r="K51" s="5"/>
      <c r="L51" s="5"/>
      <c r="M51" s="5"/>
      <c r="N51" s="5"/>
    </row>
    <row r="52" customFormat="false" ht="15" hidden="false" customHeight="false" outlineLevel="0" collapsed="false">
      <c r="A52" s="8" t="s">
        <v>825</v>
      </c>
      <c r="B52" s="5"/>
      <c r="C52" s="58" t="n">
        <f aca="false">$C$45*$C$51/60</f>
        <v>4.75</v>
      </c>
      <c r="D52" s="5"/>
      <c r="E52" s="9" t="s">
        <v>826</v>
      </c>
      <c r="F52" s="5"/>
      <c r="G52" s="5"/>
      <c r="H52" s="5"/>
      <c r="I52" s="5"/>
      <c r="J52" s="5"/>
      <c r="K52" s="5"/>
      <c r="L52" s="5"/>
      <c r="M52" s="5"/>
      <c r="N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customFormat="false" ht="15" hidden="false" customHeight="false" outlineLevel="0" collapsed="false">
      <c r="A54" s="18" t="s">
        <v>827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customFormat="false" ht="15" hidden="false" customHeight="false" outlineLevel="0" collapsed="false">
      <c r="A55" s="18" t="s">
        <v>828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customFormat="false" ht="15" hidden="false" customHeight="false" outlineLevel="0" collapsed="false">
      <c r="A56" s="18" t="s">
        <v>829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customFormat="false" ht="19.4" hidden="false" customHeight="false" outlineLevel="0" collapsed="false">
      <c r="A59" s="20" t="s">
        <v>830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customFormat="false" ht="15" hidden="false" customHeight="false" outlineLevel="0" collapsed="false">
      <c r="A60" s="11" t="s">
        <v>831</v>
      </c>
      <c r="B60" s="12" t="s">
        <v>27</v>
      </c>
      <c r="C60" s="8" t="s">
        <v>832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customFormat="false" ht="15" hidden="false" customHeight="false" outlineLevel="0" collapsed="false">
      <c r="A61" s="11" t="s">
        <v>833</v>
      </c>
      <c r="B61" s="12" t="s">
        <v>27</v>
      </c>
      <c r="C61" s="8" t="s">
        <v>834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customFormat="false" ht="15" hidden="false" customHeight="false" outlineLevel="0" collapsed="false">
      <c r="A62" s="11" t="s">
        <v>835</v>
      </c>
      <c r="B62" s="12" t="s">
        <v>27</v>
      </c>
      <c r="C62" s="8" t="s">
        <v>836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customFormat="false" ht="15" hidden="false" customHeight="false" outlineLevel="0" collapsed="false">
      <c r="A63" s="11" t="s">
        <v>837</v>
      </c>
      <c r="B63" s="12" t="s">
        <v>27</v>
      </c>
      <c r="C63" s="8" t="s">
        <v>838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customFormat="false" ht="15" hidden="false" customHeight="false" outlineLevel="0" collapsed="false">
      <c r="A64" s="11" t="s">
        <v>839</v>
      </c>
      <c r="B64" s="12" t="s">
        <v>27</v>
      </c>
      <c r="C64" s="10" t="s">
        <v>840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customFormat="false" ht="15" hidden="false" customHeight="false" outlineLevel="0" collapsed="false">
      <c r="A65" s="11" t="s">
        <v>841</v>
      </c>
      <c r="B65" s="12" t="s">
        <v>32</v>
      </c>
      <c r="C65" s="8" t="s">
        <v>842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customFormat="false" ht="19.4" hidden="false" customHeight="false" outlineLevel="0" collapsed="false">
      <c r="A68" s="20" t="s">
        <v>843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customFormat="false" ht="15" hidden="false" customHeight="false" outlineLevel="0" collapsed="false">
      <c r="A69" s="18" t="s">
        <v>844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Format="false" ht="15" hidden="false" customHeight="false" outlineLevel="0" collapsed="false">
      <c r="A70" s="18" t="s">
        <v>845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customFormat="false" ht="15" hidden="false" customHeight="false" outlineLevel="0" collapsed="false">
      <c r="A71" s="18" t="s">
        <v>846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customFormat="false" ht="15" hidden="false" customHeight="false" outlineLevel="0" collapsed="false">
      <c r="A72" s="18" t="s">
        <v>847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customFormat="false" ht="15" hidden="false" customHeight="false" outlineLevel="0" collapsed="false">
      <c r="A73" s="18" t="s">
        <v>848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customFormat="false" ht="15" hidden="false" customHeight="false" outlineLevel="0" collapsed="false">
      <c r="A74" s="18" t="s">
        <v>849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customFormat="false" ht="15" hidden="false" customHeight="false" outlineLevel="0" collapsed="false">
      <c r="A75" s="59" t="s">
        <v>850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customFormat="false" ht="15" hidden="false" customHeight="false" outlineLevel="0" collapsed="false">
      <c r="A76" s="18" t="s">
        <v>851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customFormat="false" ht="15" hidden="false" customHeight="false" outlineLevel="0" collapsed="false">
      <c r="A77" s="18" t="s">
        <v>852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A3B8"/>
    <pageSetUpPr fitToPage="false"/>
  </sheetPr>
  <dimension ref="A1:AC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62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853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false" outlineLevel="0" collapsed="false">
      <c r="A2" s="22" t="s">
        <v>854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</row>
    <row r="4" customFormat="false" ht="15" hidden="false" customHeight="false" outlineLevel="0" collapsed="false">
      <c r="A4" s="33" t="s">
        <v>211</v>
      </c>
      <c r="B4" s="33" t="s">
        <v>855</v>
      </c>
      <c r="C4" s="33" t="s">
        <v>856</v>
      </c>
      <c r="D4" s="32" t="s">
        <v>857</v>
      </c>
      <c r="E4" s="33" t="s">
        <v>858</v>
      </c>
      <c r="F4" s="33" t="s">
        <v>212</v>
      </c>
      <c r="G4" s="5"/>
      <c r="H4" s="5"/>
      <c r="I4" s="5"/>
      <c r="J4" s="5"/>
    </row>
    <row r="5" customFormat="false" ht="15" hidden="false" customHeight="false" outlineLevel="0" collapsed="false">
      <c r="A5" s="26" t="s">
        <v>859</v>
      </c>
      <c r="B5" s="26" t="s">
        <v>860</v>
      </c>
      <c r="C5" s="85" t="s">
        <v>861</v>
      </c>
      <c r="D5" s="27" t="s">
        <v>862</v>
      </c>
      <c r="E5" s="27" t="s">
        <v>863</v>
      </c>
      <c r="F5" s="27" t="s">
        <v>27</v>
      </c>
      <c r="G5" s="5"/>
      <c r="H5" s="5"/>
      <c r="I5" s="5"/>
      <c r="J5" s="5"/>
    </row>
    <row r="6" customFormat="false" ht="15" hidden="false" customHeight="false" outlineLevel="0" collapsed="false">
      <c r="A6" s="26" t="s">
        <v>859</v>
      </c>
      <c r="B6" s="26" t="s">
        <v>864</v>
      </c>
      <c r="C6" s="85" t="s">
        <v>865</v>
      </c>
      <c r="D6" s="27" t="s">
        <v>866</v>
      </c>
      <c r="E6" s="27" t="s">
        <v>867</v>
      </c>
      <c r="F6" s="27" t="s">
        <v>27</v>
      </c>
      <c r="G6" s="5"/>
      <c r="H6" s="5"/>
      <c r="I6" s="5"/>
      <c r="J6" s="5"/>
    </row>
    <row r="7" customFormat="false" ht="15" hidden="false" customHeight="false" outlineLevel="0" collapsed="false">
      <c r="A7" s="26" t="s">
        <v>859</v>
      </c>
      <c r="B7" s="26" t="s">
        <v>868</v>
      </c>
      <c r="C7" s="85" t="s">
        <v>869</v>
      </c>
      <c r="D7" s="27" t="s">
        <v>870</v>
      </c>
      <c r="E7" s="27" t="s">
        <v>871</v>
      </c>
      <c r="F7" s="27" t="s">
        <v>27</v>
      </c>
      <c r="G7" s="5"/>
      <c r="H7" s="5"/>
      <c r="I7" s="5"/>
      <c r="J7" s="5"/>
    </row>
    <row r="8" customFormat="false" ht="15" hidden="false" customHeight="false" outlineLevel="0" collapsed="false">
      <c r="A8" s="26" t="s">
        <v>859</v>
      </c>
      <c r="B8" s="26" t="s">
        <v>872</v>
      </c>
      <c r="C8" s="66" t="s">
        <v>873</v>
      </c>
      <c r="D8" s="27" t="s">
        <v>874</v>
      </c>
      <c r="E8" s="27" t="s">
        <v>241</v>
      </c>
      <c r="F8" s="27" t="s">
        <v>27</v>
      </c>
      <c r="G8" s="5"/>
      <c r="H8" s="5"/>
      <c r="I8" s="5"/>
      <c r="J8" s="5"/>
    </row>
    <row r="9" customFormat="false" ht="15" hidden="false" customHeight="false" outlineLevel="0" collapsed="false">
      <c r="A9" s="26" t="s">
        <v>859</v>
      </c>
      <c r="B9" s="26" t="s">
        <v>875</v>
      </c>
      <c r="C9" s="85" t="s">
        <v>876</v>
      </c>
      <c r="D9" s="27" t="s">
        <v>877</v>
      </c>
      <c r="E9" s="27" t="s">
        <v>871</v>
      </c>
      <c r="F9" s="27" t="s">
        <v>27</v>
      </c>
      <c r="G9" s="5"/>
      <c r="H9" s="5"/>
      <c r="I9" s="5"/>
      <c r="J9" s="5"/>
    </row>
    <row r="10" customFormat="false" ht="15" hidden="false" customHeight="false" outlineLevel="0" collapsed="false">
      <c r="A10" s="26" t="s">
        <v>859</v>
      </c>
      <c r="B10" s="26" t="s">
        <v>878</v>
      </c>
      <c r="C10" s="85" t="s">
        <v>879</v>
      </c>
      <c r="D10" s="27" t="s">
        <v>880</v>
      </c>
      <c r="E10" s="27" t="s">
        <v>881</v>
      </c>
      <c r="F10" s="27" t="s">
        <v>27</v>
      </c>
      <c r="G10" s="5"/>
      <c r="H10" s="5"/>
      <c r="I10" s="5"/>
      <c r="J10" s="5"/>
    </row>
    <row r="11" customFormat="false" ht="15" hidden="false" customHeight="false" outlineLevel="0" collapsed="false">
      <c r="A11" s="26" t="s">
        <v>882</v>
      </c>
      <c r="B11" s="26" t="s">
        <v>883</v>
      </c>
      <c r="C11" s="85" t="s">
        <v>884</v>
      </c>
      <c r="D11" s="27" t="s">
        <v>885</v>
      </c>
      <c r="E11" s="27" t="s">
        <v>863</v>
      </c>
      <c r="F11" s="27" t="s">
        <v>27</v>
      </c>
      <c r="G11" s="5"/>
      <c r="H11" s="5"/>
      <c r="I11" s="5"/>
      <c r="J11" s="5"/>
    </row>
    <row r="12" customFormat="false" ht="15" hidden="false" customHeight="false" outlineLevel="0" collapsed="false">
      <c r="A12" s="26" t="s">
        <v>882</v>
      </c>
      <c r="B12" s="26" t="s">
        <v>886</v>
      </c>
      <c r="C12" s="85" t="s">
        <v>887</v>
      </c>
      <c r="D12" s="27" t="s">
        <v>888</v>
      </c>
      <c r="E12" s="27" t="s">
        <v>881</v>
      </c>
      <c r="F12" s="27" t="s">
        <v>27</v>
      </c>
      <c r="G12" s="5"/>
      <c r="H12" s="5"/>
      <c r="I12" s="5"/>
      <c r="J12" s="5"/>
    </row>
    <row r="13" customFormat="false" ht="15" hidden="false" customHeight="false" outlineLevel="0" collapsed="false">
      <c r="A13" s="26" t="s">
        <v>882</v>
      </c>
      <c r="B13" s="26" t="s">
        <v>889</v>
      </c>
      <c r="C13" s="85" t="s">
        <v>890</v>
      </c>
      <c r="D13" s="27" t="s">
        <v>891</v>
      </c>
      <c r="E13" s="27" t="s">
        <v>881</v>
      </c>
      <c r="F13" s="27" t="s">
        <v>27</v>
      </c>
      <c r="G13" s="5"/>
      <c r="H13" s="5"/>
      <c r="I13" s="5"/>
      <c r="J13" s="5"/>
    </row>
    <row r="14" customFormat="false" ht="15" hidden="false" customHeight="false" outlineLevel="0" collapsed="false">
      <c r="A14" s="26" t="s">
        <v>882</v>
      </c>
      <c r="B14" s="26" t="s">
        <v>892</v>
      </c>
      <c r="C14" s="85" t="s">
        <v>893</v>
      </c>
      <c r="D14" s="27" t="s">
        <v>894</v>
      </c>
      <c r="E14" s="27" t="s">
        <v>863</v>
      </c>
      <c r="F14" s="27" t="s">
        <v>27</v>
      </c>
      <c r="G14" s="5"/>
      <c r="H14" s="5"/>
      <c r="I14" s="5"/>
      <c r="J14" s="5"/>
    </row>
    <row r="15" customFormat="false" ht="15" hidden="false" customHeight="false" outlineLevel="0" collapsed="false">
      <c r="A15" s="26" t="s">
        <v>882</v>
      </c>
      <c r="B15" s="26" t="s">
        <v>895</v>
      </c>
      <c r="C15" s="85" t="s">
        <v>896</v>
      </c>
      <c r="D15" s="27" t="s">
        <v>897</v>
      </c>
      <c r="E15" s="27" t="s">
        <v>867</v>
      </c>
      <c r="F15" s="27" t="s">
        <v>27</v>
      </c>
      <c r="G15" s="5"/>
      <c r="H15" s="5"/>
      <c r="I15" s="5"/>
      <c r="J15" s="5"/>
    </row>
    <row r="16" customFormat="false" ht="15" hidden="false" customHeight="false" outlineLevel="0" collapsed="false">
      <c r="A16" s="26" t="s">
        <v>882</v>
      </c>
      <c r="B16" s="26" t="s">
        <v>898</v>
      </c>
      <c r="C16" s="85" t="s">
        <v>899</v>
      </c>
      <c r="D16" s="27" t="s">
        <v>900</v>
      </c>
      <c r="E16" s="27" t="s">
        <v>881</v>
      </c>
      <c r="F16" s="27" t="s">
        <v>27</v>
      </c>
      <c r="G16" s="5"/>
      <c r="H16" s="5"/>
      <c r="I16" s="5"/>
      <c r="J16" s="5"/>
    </row>
    <row r="17" customFormat="false" ht="15" hidden="false" customHeight="false" outlineLevel="0" collapsed="false">
      <c r="A17" s="26" t="s">
        <v>859</v>
      </c>
      <c r="B17" s="26" t="s">
        <v>901</v>
      </c>
      <c r="C17" s="85" t="s">
        <v>902</v>
      </c>
      <c r="D17" s="27" t="s">
        <v>903</v>
      </c>
      <c r="E17" s="27" t="s">
        <v>867</v>
      </c>
      <c r="F17" s="27" t="s">
        <v>32</v>
      </c>
      <c r="G17" s="5"/>
      <c r="H17" s="5"/>
      <c r="I17" s="5"/>
      <c r="J17" s="5"/>
    </row>
    <row r="18" customFormat="false" ht="15" hidden="false" customHeight="false" outlineLevel="0" collapsed="false">
      <c r="A18" s="26" t="s">
        <v>904</v>
      </c>
      <c r="B18" s="26" t="s">
        <v>905</v>
      </c>
      <c r="C18" s="85" t="s">
        <v>906</v>
      </c>
      <c r="D18" s="27" t="s">
        <v>907</v>
      </c>
      <c r="E18" s="27" t="s">
        <v>908</v>
      </c>
      <c r="F18" s="27" t="s">
        <v>27</v>
      </c>
      <c r="G18" s="5"/>
      <c r="H18" s="5"/>
      <c r="I18" s="5"/>
      <c r="J18" s="5"/>
    </row>
    <row r="19" customFormat="false" ht="15" hidden="false" customHeight="false" outlineLevel="0" collapsed="false">
      <c r="A19" s="26" t="s">
        <v>904</v>
      </c>
      <c r="B19" s="26" t="s">
        <v>909</v>
      </c>
      <c r="C19" s="85" t="s">
        <v>910</v>
      </c>
      <c r="D19" s="27" t="s">
        <v>911</v>
      </c>
      <c r="E19" s="27" t="s">
        <v>912</v>
      </c>
      <c r="F19" s="27" t="s">
        <v>27</v>
      </c>
      <c r="G19" s="5"/>
      <c r="H19" s="5"/>
      <c r="I19" s="5"/>
      <c r="J19" s="5"/>
    </row>
    <row r="20" customFormat="false" ht="15" hidden="false" customHeight="false" outlineLevel="0" collapsed="false">
      <c r="A20" s="26" t="s">
        <v>904</v>
      </c>
      <c r="B20" s="26" t="s">
        <v>913</v>
      </c>
      <c r="C20" s="85" t="s">
        <v>914</v>
      </c>
      <c r="D20" s="27" t="s">
        <v>915</v>
      </c>
      <c r="E20" s="27" t="s">
        <v>912</v>
      </c>
      <c r="F20" s="27" t="s">
        <v>32</v>
      </c>
      <c r="G20" s="5"/>
      <c r="H20" s="5"/>
      <c r="I20" s="5"/>
      <c r="J20" s="5"/>
    </row>
    <row r="21" customFormat="false" ht="15" hidden="false" customHeight="false" outlineLevel="0" collapsed="false">
      <c r="A21" s="26" t="s">
        <v>904</v>
      </c>
      <c r="B21" s="26" t="s">
        <v>916</v>
      </c>
      <c r="C21" s="85" t="s">
        <v>917</v>
      </c>
      <c r="D21" s="27" t="s">
        <v>918</v>
      </c>
      <c r="E21" s="27" t="s">
        <v>912</v>
      </c>
      <c r="F21" s="27" t="s">
        <v>27</v>
      </c>
      <c r="G21" s="5"/>
      <c r="H21" s="5"/>
      <c r="I21" s="5"/>
      <c r="J21" s="5"/>
    </row>
    <row r="22" customFormat="false" ht="15" hidden="false" customHeight="false" outlineLevel="0" collapsed="false">
      <c r="A22" s="26" t="s">
        <v>904</v>
      </c>
      <c r="B22" s="26" t="s">
        <v>919</v>
      </c>
      <c r="C22" s="85" t="s">
        <v>920</v>
      </c>
      <c r="D22" s="27" t="s">
        <v>921</v>
      </c>
      <c r="E22" s="27" t="s">
        <v>922</v>
      </c>
      <c r="F22" s="27" t="s">
        <v>27</v>
      </c>
      <c r="G22" s="5"/>
      <c r="H22" s="5"/>
      <c r="I22" s="5"/>
      <c r="J22" s="5"/>
    </row>
    <row r="23" customFormat="false" ht="15" hidden="false" customHeight="false" outlineLevel="0" collapsed="false">
      <c r="A23" s="26" t="s">
        <v>904</v>
      </c>
      <c r="B23" s="26" t="s">
        <v>923</v>
      </c>
      <c r="C23" s="85" t="s">
        <v>924</v>
      </c>
      <c r="D23" s="27" t="s">
        <v>925</v>
      </c>
      <c r="E23" s="27" t="s">
        <v>926</v>
      </c>
      <c r="F23" s="27" t="s">
        <v>27</v>
      </c>
      <c r="G23" s="5"/>
      <c r="H23" s="5"/>
      <c r="I23" s="5"/>
      <c r="J23" s="5"/>
    </row>
    <row r="24" customFormat="false" ht="15" hidden="false" customHeight="false" outlineLevel="0" collapsed="false">
      <c r="A24" s="26" t="s">
        <v>904</v>
      </c>
      <c r="B24" s="26" t="s">
        <v>927</v>
      </c>
      <c r="C24" s="85" t="s">
        <v>928</v>
      </c>
      <c r="D24" s="27" t="s">
        <v>929</v>
      </c>
      <c r="E24" s="27" t="s">
        <v>930</v>
      </c>
      <c r="F24" s="27" t="s">
        <v>27</v>
      </c>
      <c r="G24" s="5"/>
      <c r="H24" s="5"/>
      <c r="I24" s="5"/>
      <c r="J24" s="5"/>
    </row>
    <row r="25" customFormat="false" ht="15" hidden="false" customHeight="false" outlineLevel="0" collapsed="false">
      <c r="A25" s="26" t="s">
        <v>904</v>
      </c>
      <c r="B25" s="26" t="s">
        <v>931</v>
      </c>
      <c r="C25" s="85" t="s">
        <v>932</v>
      </c>
      <c r="D25" s="27" t="s">
        <v>933</v>
      </c>
      <c r="E25" s="27" t="s">
        <v>241</v>
      </c>
      <c r="F25" s="27" t="s">
        <v>27</v>
      </c>
      <c r="G25" s="5"/>
      <c r="H25" s="5"/>
      <c r="I25" s="5"/>
      <c r="J25" s="5"/>
    </row>
    <row r="26" customFormat="false" ht="15" hidden="false" customHeight="false" outlineLevel="0" collapsed="false">
      <c r="A26" s="26" t="s">
        <v>904</v>
      </c>
      <c r="B26" s="26" t="s">
        <v>934</v>
      </c>
      <c r="C26" s="85" t="s">
        <v>935</v>
      </c>
      <c r="D26" s="27" t="s">
        <v>936</v>
      </c>
      <c r="E26" s="27" t="s">
        <v>912</v>
      </c>
      <c r="F26" s="27" t="s">
        <v>32</v>
      </c>
      <c r="G26" s="5"/>
      <c r="H26" s="5"/>
      <c r="I26" s="5"/>
      <c r="J26" s="5"/>
    </row>
    <row r="27" customFormat="false" ht="15" hidden="false" customHeight="false" outlineLevel="0" collapsed="false">
      <c r="A27" s="26" t="s">
        <v>904</v>
      </c>
      <c r="B27" s="26" t="s">
        <v>937</v>
      </c>
      <c r="C27" s="85" t="s">
        <v>938</v>
      </c>
      <c r="D27" s="27" t="s">
        <v>939</v>
      </c>
      <c r="E27" s="27" t="s">
        <v>940</v>
      </c>
      <c r="F27" s="27" t="s">
        <v>32</v>
      </c>
      <c r="G27" s="5"/>
      <c r="H27" s="5"/>
      <c r="I27" s="5"/>
      <c r="J27" s="5"/>
    </row>
    <row r="28" customFormat="false" ht="15" hidden="false" customHeight="false" outlineLevel="0" collapsed="false">
      <c r="A28" s="26" t="s">
        <v>904</v>
      </c>
      <c r="B28" s="26" t="s">
        <v>941</v>
      </c>
      <c r="C28" s="85" t="s">
        <v>942</v>
      </c>
      <c r="D28" s="27" t="s">
        <v>943</v>
      </c>
      <c r="E28" s="27" t="s">
        <v>944</v>
      </c>
      <c r="F28" s="27" t="s">
        <v>27</v>
      </c>
      <c r="G28" s="5"/>
      <c r="H28" s="5"/>
      <c r="I28" s="5"/>
      <c r="J28" s="5"/>
    </row>
    <row r="29" customFormat="false" ht="15" hidden="false" customHeight="false" outlineLevel="0" collapsed="false">
      <c r="A29" s="26" t="s">
        <v>945</v>
      </c>
      <c r="B29" s="26" t="s">
        <v>946</v>
      </c>
      <c r="C29" s="85" t="s">
        <v>947</v>
      </c>
      <c r="D29" s="27" t="s">
        <v>948</v>
      </c>
      <c r="E29" s="27" t="s">
        <v>949</v>
      </c>
      <c r="F29" s="27" t="s">
        <v>27</v>
      </c>
      <c r="G29" s="5"/>
      <c r="H29" s="5"/>
      <c r="I29" s="5"/>
      <c r="J29" s="5"/>
    </row>
    <row r="30" customFormat="false" ht="15" hidden="false" customHeight="false" outlineLevel="0" collapsed="false">
      <c r="A30" s="26" t="s">
        <v>945</v>
      </c>
      <c r="B30" s="27" t="s">
        <v>950</v>
      </c>
      <c r="C30" s="85" t="s">
        <v>951</v>
      </c>
      <c r="D30" s="26" t="s">
        <v>952</v>
      </c>
      <c r="E30" s="27" t="s">
        <v>241</v>
      </c>
      <c r="F30" s="27" t="s">
        <v>27</v>
      </c>
      <c r="G30" s="5"/>
      <c r="H30" s="5"/>
      <c r="I30" s="5"/>
      <c r="J30" s="5"/>
    </row>
    <row r="31" customFormat="false" ht="15" hidden="false" customHeight="false" outlineLevel="0" collapsed="false">
      <c r="A31" s="26" t="s">
        <v>945</v>
      </c>
      <c r="B31" s="26" t="s">
        <v>953</v>
      </c>
      <c r="C31" s="85" t="s">
        <v>954</v>
      </c>
      <c r="D31" s="27" t="s">
        <v>955</v>
      </c>
      <c r="E31" s="27" t="s">
        <v>241</v>
      </c>
      <c r="F31" s="27" t="s">
        <v>27</v>
      </c>
      <c r="G31" s="5"/>
      <c r="H31" s="5"/>
      <c r="I31" s="5"/>
      <c r="J31" s="5"/>
    </row>
    <row r="32" customFormat="false" ht="15" hidden="false" customHeight="false" outlineLevel="0" collapsed="false">
      <c r="A32" s="26" t="s">
        <v>945</v>
      </c>
      <c r="B32" s="26" t="s">
        <v>956</v>
      </c>
      <c r="C32" s="85" t="s">
        <v>957</v>
      </c>
      <c r="D32" s="27" t="s">
        <v>958</v>
      </c>
      <c r="E32" s="27" t="s">
        <v>241</v>
      </c>
      <c r="F32" s="27" t="s">
        <v>32</v>
      </c>
      <c r="G32" s="5"/>
      <c r="H32" s="5"/>
      <c r="I32" s="5"/>
      <c r="J32" s="5"/>
    </row>
    <row r="33" customFormat="false" ht="15" hidden="false" customHeight="false" outlineLevel="0" collapsed="false">
      <c r="A33" s="26" t="s">
        <v>945</v>
      </c>
      <c r="B33" s="26" t="s">
        <v>959</v>
      </c>
      <c r="C33" s="85" t="s">
        <v>960</v>
      </c>
      <c r="D33" s="27" t="s">
        <v>961</v>
      </c>
      <c r="E33" s="27" t="s">
        <v>949</v>
      </c>
      <c r="F33" s="27" t="s">
        <v>27</v>
      </c>
      <c r="G33" s="5"/>
      <c r="H33" s="5"/>
      <c r="I33" s="5"/>
      <c r="J33" s="5"/>
    </row>
    <row r="34" customFormat="false" ht="15" hidden="false" customHeight="false" outlineLevel="0" collapsed="false">
      <c r="A34" s="26" t="s">
        <v>945</v>
      </c>
      <c r="B34" s="26" t="s">
        <v>962</v>
      </c>
      <c r="C34" s="85" t="s">
        <v>963</v>
      </c>
      <c r="D34" s="27" t="s">
        <v>964</v>
      </c>
      <c r="E34" s="27" t="s">
        <v>949</v>
      </c>
      <c r="F34" s="27" t="s">
        <v>27</v>
      </c>
      <c r="G34" s="5"/>
      <c r="H34" s="5"/>
      <c r="I34" s="5"/>
      <c r="J34" s="5"/>
    </row>
    <row r="35" customFormat="false" ht="15" hidden="false" customHeight="false" outlineLevel="0" collapsed="false">
      <c r="A35" s="26" t="s">
        <v>945</v>
      </c>
      <c r="B35" s="26" t="s">
        <v>965</v>
      </c>
      <c r="C35" s="85" t="s">
        <v>966</v>
      </c>
      <c r="D35" s="27" t="s">
        <v>967</v>
      </c>
      <c r="E35" s="27" t="s">
        <v>867</v>
      </c>
      <c r="F35" s="27" t="s">
        <v>27</v>
      </c>
      <c r="G35" s="5"/>
      <c r="H35" s="5"/>
      <c r="I35" s="5"/>
      <c r="J35" s="5"/>
    </row>
    <row r="36" customFormat="false" ht="15" hidden="false" customHeight="false" outlineLevel="0" collapsed="false">
      <c r="A36" s="26" t="s">
        <v>945</v>
      </c>
      <c r="B36" s="26" t="s">
        <v>968</v>
      </c>
      <c r="C36" s="85" t="s">
        <v>969</v>
      </c>
      <c r="D36" s="27" t="s">
        <v>970</v>
      </c>
      <c r="E36" s="27" t="s">
        <v>241</v>
      </c>
      <c r="F36" s="27" t="s">
        <v>27</v>
      </c>
      <c r="G36" s="5"/>
      <c r="H36" s="5"/>
      <c r="I36" s="5"/>
      <c r="J36" s="5"/>
    </row>
    <row r="37" customFormat="false" ht="15" hidden="false" customHeight="false" outlineLevel="0" collapsed="false">
      <c r="A37" s="26" t="s">
        <v>971</v>
      </c>
      <c r="B37" s="27" t="s">
        <v>972</v>
      </c>
      <c r="C37" s="85" t="s">
        <v>973</v>
      </c>
      <c r="D37" s="27" t="s">
        <v>974</v>
      </c>
      <c r="E37" s="27" t="s">
        <v>241</v>
      </c>
      <c r="F37" s="27" t="s">
        <v>27</v>
      </c>
      <c r="G37" s="5"/>
      <c r="H37" s="5"/>
      <c r="I37" s="5"/>
      <c r="J37" s="5"/>
    </row>
    <row r="38" customFormat="false" ht="15" hidden="false" customHeight="false" outlineLevel="0" collapsed="false">
      <c r="A38" s="26" t="s">
        <v>971</v>
      </c>
      <c r="B38" s="27" t="s">
        <v>975</v>
      </c>
      <c r="C38" s="85" t="s">
        <v>976</v>
      </c>
      <c r="D38" s="27" t="s">
        <v>977</v>
      </c>
      <c r="E38" s="27" t="s">
        <v>241</v>
      </c>
      <c r="F38" s="27" t="s">
        <v>27</v>
      </c>
      <c r="G38" s="5"/>
      <c r="H38" s="5"/>
      <c r="I38" s="5"/>
      <c r="J38" s="5"/>
    </row>
    <row r="39" customFormat="false" ht="15" hidden="false" customHeight="false" outlineLevel="0" collapsed="false">
      <c r="A39" s="26" t="s">
        <v>971</v>
      </c>
      <c r="B39" s="26" t="s">
        <v>978</v>
      </c>
      <c r="C39" s="85" t="s">
        <v>979</v>
      </c>
      <c r="D39" s="27" t="s">
        <v>980</v>
      </c>
      <c r="E39" s="27" t="s">
        <v>241</v>
      </c>
      <c r="F39" s="27" t="s">
        <v>27</v>
      </c>
      <c r="G39" s="5"/>
      <c r="H39" s="5"/>
      <c r="I39" s="5"/>
      <c r="J39" s="5"/>
    </row>
    <row r="40" customFormat="false" ht="15" hidden="false" customHeight="false" outlineLevel="0" collapsed="false">
      <c r="A40" s="26" t="s">
        <v>971</v>
      </c>
      <c r="B40" s="26" t="s">
        <v>981</v>
      </c>
      <c r="C40" s="85" t="s">
        <v>982</v>
      </c>
      <c r="D40" s="27" t="s">
        <v>983</v>
      </c>
      <c r="E40" s="27" t="s">
        <v>984</v>
      </c>
      <c r="F40" s="27" t="s">
        <v>27</v>
      </c>
      <c r="G40" s="5"/>
      <c r="H40" s="5"/>
      <c r="I40" s="5"/>
      <c r="J40" s="5"/>
    </row>
    <row r="41" customFormat="false" ht="15" hidden="false" customHeight="false" outlineLevel="0" collapsed="false">
      <c r="A41" s="26" t="s">
        <v>971</v>
      </c>
      <c r="B41" s="26" t="s">
        <v>985</v>
      </c>
      <c r="C41" s="85" t="s">
        <v>986</v>
      </c>
      <c r="D41" s="27" t="s">
        <v>987</v>
      </c>
      <c r="E41" s="27" t="s">
        <v>949</v>
      </c>
      <c r="F41" s="27" t="s">
        <v>27</v>
      </c>
      <c r="G41" s="5"/>
      <c r="H41" s="5"/>
      <c r="I41" s="5"/>
      <c r="J41" s="5"/>
    </row>
    <row r="42" customFormat="false" ht="15" hidden="false" customHeight="false" outlineLevel="0" collapsed="false">
      <c r="A42" s="26" t="s">
        <v>971</v>
      </c>
      <c r="B42" s="26" t="s">
        <v>988</v>
      </c>
      <c r="C42" s="85" t="s">
        <v>989</v>
      </c>
      <c r="D42" s="27" t="s">
        <v>990</v>
      </c>
      <c r="E42" s="27" t="s">
        <v>241</v>
      </c>
      <c r="F42" s="27" t="s">
        <v>27</v>
      </c>
      <c r="G42" s="5"/>
      <c r="H42" s="5"/>
      <c r="I42" s="5"/>
      <c r="J42" s="5"/>
    </row>
    <row r="43" customFormat="false" ht="15" hidden="false" customHeight="false" outlineLevel="0" collapsed="false">
      <c r="A43" s="26" t="s">
        <v>991</v>
      </c>
      <c r="B43" s="26" t="s">
        <v>992</v>
      </c>
      <c r="C43" s="85" t="s">
        <v>993</v>
      </c>
      <c r="D43" s="27" t="s">
        <v>994</v>
      </c>
      <c r="E43" s="27" t="s">
        <v>995</v>
      </c>
      <c r="F43" s="27" t="s">
        <v>27</v>
      </c>
      <c r="G43" s="5"/>
      <c r="H43" s="5"/>
      <c r="I43" s="5"/>
      <c r="J43" s="5"/>
    </row>
    <row r="44" customFormat="false" ht="15" hidden="false" customHeight="false" outlineLevel="0" collapsed="false">
      <c r="A44" s="26" t="s">
        <v>991</v>
      </c>
      <c r="B44" s="26" t="s">
        <v>996</v>
      </c>
      <c r="C44" s="85" t="s">
        <v>997</v>
      </c>
      <c r="D44" s="27" t="s">
        <v>998</v>
      </c>
      <c r="E44" s="26" t="s">
        <v>999</v>
      </c>
      <c r="F44" s="27" t="s">
        <v>32</v>
      </c>
      <c r="G44" s="5"/>
      <c r="H44" s="5"/>
      <c r="I44" s="5"/>
      <c r="J44" s="5"/>
    </row>
    <row r="45" customFormat="false" ht="15" hidden="false" customHeight="false" outlineLevel="0" collapsed="false">
      <c r="A45" s="26" t="s">
        <v>991</v>
      </c>
      <c r="B45" s="27" t="s">
        <v>1000</v>
      </c>
      <c r="C45" s="85" t="s">
        <v>1001</v>
      </c>
      <c r="D45" s="27" t="s">
        <v>1002</v>
      </c>
      <c r="E45" s="27" t="s">
        <v>949</v>
      </c>
      <c r="F45" s="27" t="s">
        <v>27</v>
      </c>
      <c r="G45" s="5"/>
      <c r="H45" s="5"/>
      <c r="I45" s="5"/>
      <c r="J45" s="5"/>
    </row>
    <row r="46" customFormat="false" ht="15" hidden="false" customHeight="false" outlineLevel="0" collapsed="false">
      <c r="A46" s="26" t="s">
        <v>1003</v>
      </c>
      <c r="B46" s="27" t="s">
        <v>1004</v>
      </c>
      <c r="C46" s="85" t="s">
        <v>1005</v>
      </c>
      <c r="D46" s="27" t="s">
        <v>1006</v>
      </c>
      <c r="E46" s="27" t="s">
        <v>1007</v>
      </c>
      <c r="F46" s="27" t="s">
        <v>27</v>
      </c>
      <c r="G46" s="5"/>
      <c r="H46" s="5"/>
      <c r="I46" s="5"/>
      <c r="J46" s="5"/>
    </row>
    <row r="47" customFormat="false" ht="15" hidden="false" customHeight="false" outlineLevel="0" collapsed="false">
      <c r="A47" s="26" t="s">
        <v>1003</v>
      </c>
      <c r="B47" s="26" t="s">
        <v>1008</v>
      </c>
      <c r="C47" s="85" t="s">
        <v>1009</v>
      </c>
      <c r="D47" s="27" t="s">
        <v>1010</v>
      </c>
      <c r="E47" s="27" t="s">
        <v>912</v>
      </c>
      <c r="F47" s="27" t="s">
        <v>27</v>
      </c>
      <c r="G47" s="5"/>
      <c r="H47" s="5"/>
      <c r="I47" s="5"/>
      <c r="J47" s="5"/>
    </row>
    <row r="48" customFormat="false" ht="15" hidden="false" customHeight="false" outlineLevel="0" collapsed="false">
      <c r="A48" s="26" t="s">
        <v>1003</v>
      </c>
      <c r="B48" s="26" t="s">
        <v>1011</v>
      </c>
      <c r="C48" s="85" t="s">
        <v>1012</v>
      </c>
      <c r="D48" s="27" t="s">
        <v>1013</v>
      </c>
      <c r="E48" s="27" t="s">
        <v>930</v>
      </c>
      <c r="F48" s="27" t="s">
        <v>27</v>
      </c>
      <c r="G48" s="5"/>
      <c r="H48" s="5"/>
      <c r="I48" s="5"/>
      <c r="J48" s="5"/>
    </row>
    <row r="49" customFormat="false" ht="15" hidden="false" customHeight="false" outlineLevel="0" collapsed="false">
      <c r="A49" s="26" t="s">
        <v>1003</v>
      </c>
      <c r="B49" s="26" t="s">
        <v>1014</v>
      </c>
      <c r="C49" s="85" t="s">
        <v>1015</v>
      </c>
      <c r="D49" s="27" t="s">
        <v>1016</v>
      </c>
      <c r="E49" s="27" t="s">
        <v>241</v>
      </c>
      <c r="F49" s="27" t="s">
        <v>27</v>
      </c>
      <c r="G49" s="5"/>
      <c r="H49" s="5"/>
      <c r="I49" s="5"/>
      <c r="J49" s="5"/>
    </row>
    <row r="50" customFormat="false" ht="15" hidden="false" customHeight="false" outlineLevel="0" collapsed="false">
      <c r="A50" s="26" t="s">
        <v>1003</v>
      </c>
      <c r="B50" s="26" t="s">
        <v>1017</v>
      </c>
      <c r="C50" s="85" t="s">
        <v>1018</v>
      </c>
      <c r="D50" s="27" t="s">
        <v>1019</v>
      </c>
      <c r="E50" s="27" t="s">
        <v>241</v>
      </c>
      <c r="F50" s="27" t="s">
        <v>32</v>
      </c>
      <c r="G50" s="5"/>
      <c r="H50" s="5"/>
      <c r="I50" s="5"/>
      <c r="J50" s="5"/>
    </row>
    <row r="51" customFormat="false" ht="15" hidden="false" customHeight="false" outlineLevel="0" collapsed="false">
      <c r="A51" s="26" t="s">
        <v>1003</v>
      </c>
      <c r="B51" s="26" t="s">
        <v>1020</v>
      </c>
      <c r="C51" s="85" t="s">
        <v>1021</v>
      </c>
      <c r="D51" s="27" t="s">
        <v>241</v>
      </c>
      <c r="E51" s="27" t="s">
        <v>241</v>
      </c>
      <c r="F51" s="27" t="s">
        <v>27</v>
      </c>
      <c r="G51" s="5"/>
      <c r="H51" s="5"/>
      <c r="I51" s="5"/>
      <c r="J51" s="5"/>
    </row>
    <row r="52" customFormat="false" ht="15" hidden="false" customHeight="false" outlineLevel="0" collapsed="false">
      <c r="A52" s="26" t="s">
        <v>1003</v>
      </c>
      <c r="B52" s="26" t="s">
        <v>1022</v>
      </c>
      <c r="C52" s="85" t="s">
        <v>1023</v>
      </c>
      <c r="D52" s="27" t="s">
        <v>241</v>
      </c>
      <c r="E52" s="27" t="s">
        <v>241</v>
      </c>
      <c r="F52" s="27" t="s">
        <v>27</v>
      </c>
      <c r="G52" s="5"/>
      <c r="H52" s="5"/>
      <c r="I52" s="5"/>
      <c r="J52" s="5"/>
    </row>
    <row r="53" customFormat="false" ht="15" hidden="false" customHeight="false" outlineLevel="0" collapsed="false">
      <c r="A53" s="26" t="s">
        <v>1024</v>
      </c>
      <c r="B53" s="26" t="s">
        <v>1025</v>
      </c>
      <c r="C53" s="85" t="s">
        <v>1026</v>
      </c>
      <c r="D53" s="27" t="s">
        <v>1027</v>
      </c>
      <c r="E53" s="27" t="s">
        <v>949</v>
      </c>
      <c r="F53" s="27" t="s">
        <v>27</v>
      </c>
      <c r="G53" s="5"/>
      <c r="H53" s="5"/>
      <c r="I53" s="5"/>
      <c r="J53" s="5"/>
    </row>
    <row r="54" customFormat="false" ht="15" hidden="false" customHeight="false" outlineLevel="0" collapsed="false">
      <c r="A54" s="26" t="s">
        <v>1024</v>
      </c>
      <c r="B54" s="26" t="s">
        <v>1028</v>
      </c>
      <c r="C54" s="85" t="s">
        <v>1029</v>
      </c>
      <c r="D54" s="27" t="s">
        <v>1030</v>
      </c>
      <c r="E54" s="27" t="s">
        <v>949</v>
      </c>
      <c r="F54" s="27" t="s">
        <v>27</v>
      </c>
      <c r="G54" s="5"/>
      <c r="H54" s="5"/>
      <c r="I54" s="5"/>
      <c r="J54" s="5"/>
    </row>
    <row r="55" customFormat="false" ht="15" hidden="false" customHeight="false" outlineLevel="0" collapsed="false">
      <c r="A55" s="26" t="s">
        <v>1024</v>
      </c>
      <c r="B55" s="26" t="s">
        <v>1031</v>
      </c>
      <c r="C55" s="85" t="s">
        <v>1032</v>
      </c>
      <c r="D55" s="27" t="s">
        <v>1033</v>
      </c>
      <c r="E55" s="27" t="s">
        <v>1034</v>
      </c>
      <c r="F55" s="27" t="s">
        <v>27</v>
      </c>
      <c r="G55" s="5"/>
      <c r="H55" s="5"/>
      <c r="I55" s="5"/>
      <c r="J55" s="5"/>
    </row>
    <row r="56" customFormat="false" ht="15" hidden="false" customHeight="false" outlineLevel="0" collapsed="false">
      <c r="A56" s="26" t="s">
        <v>1024</v>
      </c>
      <c r="B56" s="26" t="s">
        <v>1035</v>
      </c>
      <c r="C56" s="85" t="s">
        <v>1036</v>
      </c>
      <c r="D56" s="27" t="s">
        <v>1037</v>
      </c>
      <c r="E56" s="27" t="s">
        <v>949</v>
      </c>
      <c r="F56" s="27" t="s">
        <v>27</v>
      </c>
      <c r="G56" s="5"/>
      <c r="H56" s="5"/>
      <c r="I56" s="5"/>
      <c r="J56" s="5"/>
    </row>
    <row r="57" customFormat="false" ht="15" hidden="false" customHeight="false" outlineLevel="0" collapsed="false">
      <c r="A57" s="26" t="s">
        <v>1024</v>
      </c>
      <c r="B57" s="26" t="s">
        <v>1038</v>
      </c>
      <c r="C57" s="85" t="s">
        <v>1039</v>
      </c>
      <c r="D57" s="27" t="s">
        <v>1040</v>
      </c>
      <c r="E57" s="27" t="s">
        <v>949</v>
      </c>
      <c r="F57" s="27" t="s">
        <v>27</v>
      </c>
      <c r="G57" s="5"/>
      <c r="H57" s="5"/>
      <c r="I57" s="5"/>
      <c r="J57" s="5"/>
    </row>
    <row r="58" customFormat="false" ht="15" hidden="false" customHeight="false" outlineLevel="0" collapsed="false">
      <c r="A58" s="26" t="s">
        <v>1024</v>
      </c>
      <c r="B58" s="26" t="s">
        <v>1041</v>
      </c>
      <c r="C58" s="85" t="s">
        <v>1042</v>
      </c>
      <c r="D58" s="27" t="s">
        <v>1043</v>
      </c>
      <c r="E58" s="27" t="s">
        <v>241</v>
      </c>
      <c r="F58" s="27" t="s">
        <v>27</v>
      </c>
      <c r="G58" s="5"/>
      <c r="H58" s="5"/>
      <c r="I58" s="5"/>
      <c r="J58" s="5"/>
    </row>
    <row r="59" customFormat="false" ht="15" hidden="false" customHeight="false" outlineLevel="0" collapsed="false">
      <c r="A59" s="26" t="s">
        <v>1024</v>
      </c>
      <c r="B59" s="26" t="s">
        <v>1044</v>
      </c>
      <c r="C59" s="85" t="s">
        <v>1045</v>
      </c>
      <c r="D59" s="27" t="s">
        <v>1046</v>
      </c>
      <c r="E59" s="27" t="s">
        <v>1034</v>
      </c>
      <c r="F59" s="27" t="s">
        <v>32</v>
      </c>
      <c r="G59" s="5"/>
      <c r="H59" s="5"/>
      <c r="I59" s="5"/>
      <c r="J59" s="5"/>
    </row>
    <row r="60" customFormat="false" ht="15" hidden="false" customHeight="false" outlineLevel="0" collapsed="false">
      <c r="A60" s="26" t="s">
        <v>1024</v>
      </c>
      <c r="B60" s="26" t="s">
        <v>1047</v>
      </c>
      <c r="C60" s="85" t="s">
        <v>1048</v>
      </c>
      <c r="D60" s="27" t="s">
        <v>1049</v>
      </c>
      <c r="E60" s="27" t="s">
        <v>241</v>
      </c>
      <c r="F60" s="27" t="s">
        <v>27</v>
      </c>
      <c r="G60" s="5"/>
      <c r="H60" s="5"/>
      <c r="I60" s="5"/>
      <c r="J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customFormat="false" ht="19.4" hidden="false" customHeight="false" outlineLevel="0" collapsed="false">
      <c r="A62" s="20" t="s">
        <v>1050</v>
      </c>
      <c r="B62" s="5"/>
      <c r="C62" s="5"/>
      <c r="D62" s="5"/>
      <c r="E62" s="5"/>
      <c r="F62" s="5"/>
      <c r="G62" s="5"/>
      <c r="H62" s="5"/>
      <c r="I62" s="5"/>
      <c r="J62" s="5"/>
    </row>
    <row r="63" customFormat="false" ht="15" hidden="false" customHeight="false" outlineLevel="0" collapsed="false">
      <c r="A63" s="18" t="s">
        <v>1051</v>
      </c>
      <c r="B63" s="5"/>
      <c r="C63" s="5"/>
      <c r="D63" s="5"/>
      <c r="E63" s="5"/>
      <c r="F63" s="5"/>
      <c r="G63" s="5"/>
      <c r="H63" s="5"/>
      <c r="I63" s="5"/>
      <c r="J63" s="5"/>
    </row>
    <row r="64" customFormat="false" ht="15" hidden="false" customHeight="false" outlineLevel="0" collapsed="false">
      <c r="A64" s="18" t="s">
        <v>1052</v>
      </c>
      <c r="B64" s="5"/>
      <c r="C64" s="5"/>
      <c r="D64" s="5"/>
      <c r="E64" s="5"/>
      <c r="F64" s="5"/>
      <c r="G64" s="5"/>
      <c r="H64" s="5"/>
      <c r="I64" s="5"/>
      <c r="J64" s="5"/>
    </row>
    <row r="65" customFormat="false" ht="15" hidden="false" customHeight="false" outlineLevel="0" collapsed="false">
      <c r="A65" s="18" t="s">
        <v>1053</v>
      </c>
      <c r="B65" s="5"/>
      <c r="C65" s="5"/>
      <c r="D65" s="5"/>
      <c r="E65" s="5"/>
      <c r="F65" s="5"/>
      <c r="G65" s="5"/>
      <c r="H65" s="5"/>
      <c r="I65" s="5"/>
      <c r="J65" s="5"/>
    </row>
    <row r="66" customFormat="false" ht="15" hidden="false" customHeight="false" outlineLevel="0" collapsed="false">
      <c r="A66" s="18"/>
      <c r="B66" s="5"/>
      <c r="C66" s="5"/>
      <c r="D66" s="5"/>
      <c r="E66" s="5"/>
      <c r="F66" s="5"/>
      <c r="G66" s="5"/>
      <c r="H66" s="5"/>
      <c r="I66" s="5"/>
      <c r="J66" s="5"/>
    </row>
    <row r="67" customFormat="false" ht="15" hidden="false" customHeight="false" outlineLevel="0" collapsed="false">
      <c r="A67" s="18" t="s">
        <v>1054</v>
      </c>
      <c r="B67" s="5"/>
      <c r="C67" s="5"/>
      <c r="D67" s="5"/>
      <c r="E67" s="5"/>
      <c r="F67" s="5"/>
      <c r="G67" s="5"/>
      <c r="H67" s="5"/>
      <c r="I67" s="5"/>
      <c r="J67" s="5"/>
    </row>
    <row r="68" customFormat="false" ht="15" hidden="false" customHeight="false" outlineLevel="0" collapsed="false">
      <c r="A68" s="18" t="s">
        <v>1055</v>
      </c>
      <c r="B68" s="5"/>
      <c r="C68" s="5"/>
      <c r="D68" s="5"/>
      <c r="E68" s="5"/>
      <c r="F68" s="5"/>
      <c r="G68" s="5"/>
      <c r="H68" s="5"/>
      <c r="I68" s="5"/>
      <c r="J68" s="5"/>
    </row>
    <row r="69" customFormat="false" ht="15" hidden="false" customHeight="false" outlineLevel="0" collapsed="false">
      <c r="A69" s="18" t="s">
        <v>1056</v>
      </c>
      <c r="B69" s="5"/>
      <c r="C69" s="5"/>
      <c r="D69" s="5"/>
      <c r="E69" s="5"/>
      <c r="F69" s="5"/>
      <c r="G69" s="5"/>
      <c r="H69" s="5"/>
      <c r="I69" s="5"/>
      <c r="J69" s="5"/>
    </row>
    <row r="70" customFormat="false" ht="15" hidden="false" customHeight="false" outlineLevel="0" collapsed="false">
      <c r="A70" s="18" t="s">
        <v>1057</v>
      </c>
      <c r="B70" s="5"/>
      <c r="C70" s="5"/>
      <c r="D70" s="5"/>
      <c r="E70" s="5"/>
      <c r="F70" s="5"/>
      <c r="G70" s="5"/>
      <c r="H70" s="5"/>
      <c r="I70" s="5"/>
      <c r="J70" s="5"/>
    </row>
    <row r="71" customFormat="false" ht="15" hidden="false" customHeight="false" outlineLevel="0" collapsed="false">
      <c r="A71" s="18" t="s">
        <v>1058</v>
      </c>
      <c r="B71" s="5"/>
      <c r="C71" s="5"/>
      <c r="D71" s="5"/>
      <c r="E71" s="5"/>
      <c r="F71" s="5"/>
      <c r="G71" s="5"/>
      <c r="H71" s="5"/>
      <c r="I71" s="5"/>
      <c r="J71" s="5"/>
    </row>
    <row r="72" customFormat="false" ht="15" hidden="false" customHeight="false" outlineLevel="0" collapsed="false">
      <c r="A72" s="18" t="s">
        <v>1059</v>
      </c>
      <c r="B72" s="5"/>
      <c r="C72" s="5"/>
      <c r="D72" s="5"/>
      <c r="E72" s="5"/>
      <c r="F72" s="5"/>
      <c r="G72" s="5"/>
      <c r="H72" s="5"/>
      <c r="I72" s="5"/>
      <c r="J72" s="5"/>
    </row>
    <row r="73" customFormat="false" ht="15" hidden="false" customHeight="false" outlineLevel="0" collapsed="false">
      <c r="A73" s="18"/>
      <c r="B73" s="5"/>
      <c r="C73" s="5"/>
      <c r="D73" s="5"/>
      <c r="E73" s="5"/>
      <c r="F73" s="5"/>
      <c r="G73" s="5"/>
      <c r="H73" s="5"/>
      <c r="I73" s="5"/>
      <c r="J73" s="5"/>
    </row>
    <row r="74" customFormat="false" ht="15" hidden="false" customHeight="false" outlineLevel="0" collapsed="false">
      <c r="A74" s="18" t="s">
        <v>1060</v>
      </c>
      <c r="B74" s="5"/>
      <c r="C74" s="5"/>
      <c r="D74" s="5"/>
      <c r="E74" s="5"/>
      <c r="F74" s="5"/>
      <c r="G74" s="5"/>
      <c r="H74" s="5"/>
      <c r="I74" s="5"/>
      <c r="J74" s="5"/>
    </row>
    <row r="75" customFormat="false" ht="15" hidden="false" customHeight="false" outlineLevel="0" collapsed="false">
      <c r="A75" s="18" t="s">
        <v>1061</v>
      </c>
      <c r="B75" s="5"/>
      <c r="C75" s="5"/>
      <c r="D75" s="5"/>
      <c r="E75" s="5"/>
      <c r="F75" s="5"/>
      <c r="G75" s="5"/>
      <c r="H75" s="5"/>
      <c r="I75" s="5"/>
      <c r="J75" s="5"/>
    </row>
    <row r="76" customFormat="false" ht="15" hidden="false" customHeight="false" outlineLevel="0" collapsed="false">
      <c r="A76" s="18" t="s">
        <v>1062</v>
      </c>
      <c r="B76" s="5"/>
      <c r="C76" s="5"/>
      <c r="D76" s="5"/>
      <c r="E76" s="5"/>
      <c r="F76" s="5"/>
      <c r="G76" s="5"/>
      <c r="H76" s="5"/>
      <c r="I76" s="5"/>
      <c r="J76" s="5"/>
    </row>
    <row r="77" customFormat="false" ht="15" hidden="false" customHeight="false" outlineLevel="0" collapsed="false">
      <c r="A77" s="18" t="s">
        <v>1063</v>
      </c>
      <c r="B77" s="5"/>
      <c r="C77" s="5"/>
      <c r="D77" s="5"/>
      <c r="E77" s="5"/>
      <c r="F77" s="5"/>
      <c r="G77" s="5"/>
      <c r="H77" s="5"/>
      <c r="I77" s="5"/>
      <c r="J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2026-07-26T18:33:45Z</dcterms:created>
  <dc:creator>openpyxl</dc:creator>
  <dc:description/>
  <dc:language>en-US</dc:language>
  <cp:lastModifiedBy/>
  <dcterms:modified xsi:type="dcterms:W3CDTF">2026-07-26T18:34:03Z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