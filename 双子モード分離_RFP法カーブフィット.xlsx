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設定" sheetId="2" state="visible" r:id="rId4"/>
    <sheet name="データ入力" sheetId="3" state="visible" r:id="rId5"/>
    <sheet name="RFP計算" sheetId="4" state="visible" r:id="rId6"/>
    <sheet name="モード分離結果" sheetId="5" state="visible" r:id="rId7"/>
    <sheet name="検算"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<sst xmlns="http://schemas.openxmlformats.org/spreadsheetml/2006/main" count="322" uniqueCount="152">
  <si>
    <r>
      <rPr>
        <b val="true"/>
        <sz val="13"/>
        <color rgb="FFFFFFFF"/>
        <rFont val="Noto Sans CJK SC"/>
        <family val="2"/>
        <charset val="1"/>
      </rPr>
      <t xml:space="preserve">近接ピーク</t>
    </r>
    <r>
      <rPr>
        <b val="true"/>
        <sz val="13"/>
        <color rgb="FFFFFFFF"/>
        <rFont val="Arial"/>
        <family val="0"/>
        <charset val="1"/>
      </rPr>
      <t xml:space="preserve">(</t>
    </r>
    <r>
      <rPr>
        <b val="true"/>
        <sz val="13"/>
        <color rgb="FFFFFFFF"/>
        <rFont val="Noto Sans CJK SC"/>
        <family val="2"/>
        <charset val="1"/>
      </rPr>
      <t xml:space="preserve">双子モード</t>
    </r>
    <r>
      <rPr>
        <b val="true"/>
        <sz val="13"/>
        <color rgb="FFFFFFFF"/>
        <rFont val="Arial"/>
        <family val="0"/>
        <charset val="1"/>
      </rPr>
      <t xml:space="preserve">)</t>
    </r>
    <r>
      <rPr>
        <b val="true"/>
        <sz val="13"/>
        <color rgb="FFFFFFFF"/>
        <rFont val="Noto Sans CJK SC"/>
        <family val="2"/>
        <charset val="1"/>
      </rPr>
      <t xml:space="preserve">分離　</t>
    </r>
    <r>
      <rPr>
        <b val="true"/>
        <sz val="13"/>
        <color rgb="FFFFFFFF"/>
        <rFont val="Arial"/>
        <family val="0"/>
        <charset val="1"/>
      </rPr>
      <t xml:space="preserve">RFP</t>
    </r>
    <r>
      <rPr>
        <b val="true"/>
        <sz val="13"/>
        <color rgb="FFFFFFFF"/>
        <rFont val="Noto Sans CJK SC"/>
        <family val="2"/>
        <charset val="1"/>
      </rPr>
      <t xml:space="preserve">法カーブフィット　― 自動計算シート</t>
    </r>
  </si>
  <si>
    <r>
      <rPr>
        <sz val="10"/>
        <color rgb="FFE6E6E6"/>
        <rFont val="Arial"/>
        <family val="0"/>
        <charset val="1"/>
      </rPr>
      <t xml:space="preserve">1</t>
    </r>
    <r>
      <rPr>
        <sz val="10"/>
        <color rgb="FFE6E6E6"/>
        <rFont val="Noto Sans CJK SC"/>
        <family val="2"/>
        <charset val="1"/>
      </rPr>
      <t xml:space="preserve">つの山（ピーク）に見えるところが、実は近い周波数の「</t>
    </r>
    <r>
      <rPr>
        <sz val="10"/>
        <color rgb="FFE6E6E6"/>
        <rFont val="Arial"/>
        <family val="0"/>
        <charset val="1"/>
      </rPr>
      <t xml:space="preserve">2</t>
    </r>
    <r>
      <rPr>
        <sz val="10"/>
        <color rgb="FFE6E6E6"/>
        <rFont val="Noto Sans CJK SC"/>
        <family val="2"/>
        <charset val="1"/>
      </rPr>
      <t xml:space="preserve">つの山が重なったもの」（双子モード・縮退モード）だった場合に、</t>
    </r>
  </si>
  <si>
    <r>
      <rPr>
        <sz val="10"/>
        <color rgb="FFE6E6E6"/>
        <rFont val="Arial"/>
        <family val="0"/>
        <charset val="1"/>
      </rPr>
      <t xml:space="preserve">1</t>
    </r>
    <r>
      <rPr>
        <sz val="10"/>
        <color rgb="FFE6E6E6"/>
        <rFont val="Noto Sans CJK SC"/>
        <family val="2"/>
        <charset val="1"/>
      </rPr>
      <t xml:space="preserve">自由度（</t>
    </r>
    <r>
      <rPr>
        <sz val="10"/>
        <color rgb="FFE6E6E6"/>
        <rFont val="Arial"/>
        <family val="0"/>
        <charset val="1"/>
      </rPr>
      <t xml:space="preserve">1</t>
    </r>
    <r>
      <rPr>
        <sz val="10"/>
        <color rgb="FFE6E6E6"/>
        <rFont val="Noto Sans CJK SC"/>
        <family val="2"/>
        <charset val="1"/>
      </rPr>
      <t xml:space="preserve">個の山専用）のカーブフィットでは正しく分離できません。半値幅法やサークルフィット、これまでの鉄板ワークブック</t>
    </r>
  </si>
  <si>
    <r>
      <rPr>
        <sz val="10"/>
        <color rgb="FFE6E6E6"/>
        <rFont val="Noto Sans CJK SC"/>
        <family val="2"/>
        <charset val="1"/>
      </rPr>
      <t xml:space="preserve">（</t>
    </r>
    <r>
      <rPr>
        <sz val="10"/>
        <color rgb="FFE6E6E6"/>
        <rFont val="Arial"/>
        <family val="0"/>
        <charset val="1"/>
      </rPr>
      <t xml:space="preserve">1</t>
    </r>
    <r>
      <rPr>
        <sz val="10"/>
        <color rgb="FFE6E6E6"/>
        <rFont val="Noto Sans CJK SC"/>
        <family val="2"/>
        <charset val="1"/>
      </rPr>
      <t xml:space="preserve">自由度・逆</t>
    </r>
    <r>
      <rPr>
        <sz val="10"/>
        <color rgb="FFE6E6E6"/>
        <rFont val="Arial"/>
        <family val="0"/>
        <charset val="1"/>
      </rPr>
      <t xml:space="preserve">FRF2</t>
    </r>
    <r>
      <rPr>
        <sz val="10"/>
        <color rgb="FFE6E6E6"/>
        <rFont val="Noto Sans CJK SC"/>
        <family val="2"/>
        <charset val="1"/>
      </rPr>
      <t xml:space="preserve">次多項式フィット）は、山が</t>
    </r>
    <r>
      <rPr>
        <sz val="10"/>
        <color rgb="FFE6E6E6"/>
        <rFont val="Arial"/>
        <family val="0"/>
        <charset val="1"/>
      </rPr>
      <t xml:space="preserve">1</t>
    </r>
    <r>
      <rPr>
        <sz val="10"/>
        <color rgb="FFE6E6E6"/>
        <rFont val="Noto Sans CJK SC"/>
        <family val="2"/>
        <charset val="1"/>
      </rPr>
      <t xml:space="preserve">つだけ孤立している前提の手法だからです。</t>
    </r>
  </si>
  <si>
    <r>
      <rPr>
        <sz val="10"/>
        <color rgb="FFE6E6E6"/>
        <rFont val="Noto Sans CJK SC"/>
        <family val="2"/>
        <charset val="1"/>
      </rPr>
      <t xml:space="preserve">このファイルは「有理多項式法（</t>
    </r>
    <r>
      <rPr>
        <sz val="10"/>
        <color rgb="FFE6E6E6"/>
        <rFont val="Arial"/>
        <family val="0"/>
        <charset val="1"/>
      </rPr>
      <t xml:space="preserve">RFP</t>
    </r>
    <r>
      <rPr>
        <sz val="10"/>
        <color rgb="FFE6E6E6"/>
        <rFont val="Noto Sans CJK SC"/>
        <family val="2"/>
        <charset val="1"/>
      </rPr>
      <t xml:space="preserve">法／</t>
    </r>
    <r>
      <rPr>
        <sz val="10"/>
        <color rgb="FFE6E6E6"/>
        <rFont val="Arial"/>
        <family val="0"/>
        <charset val="1"/>
      </rPr>
      <t xml:space="preserve">Rational Fraction Polynomial method</t>
    </r>
    <r>
      <rPr>
        <sz val="10"/>
        <color rgb="FFE6E6E6"/>
        <rFont val="Noto Sans CJK SC"/>
        <family val="2"/>
        <charset val="1"/>
      </rPr>
      <t xml:space="preserve">）」という、</t>
    </r>
    <r>
      <rPr>
        <sz val="10"/>
        <color rgb="FFE6E6E6"/>
        <rFont val="Arial"/>
        <family val="0"/>
        <charset val="1"/>
      </rPr>
      <t xml:space="preserve">2</t>
    </r>
    <r>
      <rPr>
        <sz val="10"/>
        <color rgb="FFE6E6E6"/>
        <rFont val="Noto Sans CJK SC"/>
        <family val="2"/>
        <charset val="1"/>
      </rPr>
      <t xml:space="preserve">つの山を数式ごと同時に</t>
    </r>
  </si>
  <si>
    <r>
      <rPr>
        <sz val="10"/>
        <color rgb="FFE6E6E6"/>
        <rFont val="Noto Sans CJK SC"/>
        <family val="2"/>
        <charset val="1"/>
      </rPr>
      <t xml:space="preserve">分離できるカーブフィット法を使い、貼り付けた</t>
    </r>
    <r>
      <rPr>
        <sz val="10"/>
        <color rgb="FFE6E6E6"/>
        <rFont val="Arial"/>
        <family val="0"/>
        <charset val="1"/>
      </rPr>
      <t xml:space="preserve">FRF</t>
    </r>
    <r>
      <rPr>
        <sz val="10"/>
        <color rgb="FFE6E6E6"/>
        <rFont val="Noto Sans CJK SC"/>
        <family val="2"/>
        <charset val="1"/>
      </rPr>
      <t xml:space="preserve">データ（周波数・実部・虚部　または　周波数・振幅・位相）から、</t>
    </r>
  </si>
  <si>
    <r>
      <rPr>
        <sz val="10"/>
        <color rgb="FFE6E6E6"/>
        <rFont val="Arial"/>
        <family val="0"/>
        <charset val="1"/>
      </rPr>
      <t xml:space="preserve">2</t>
    </r>
    <r>
      <rPr>
        <sz val="10"/>
        <color rgb="FFE6E6E6"/>
        <rFont val="Noto Sans CJK SC"/>
        <family val="2"/>
        <charset val="1"/>
      </rPr>
      <t xml:space="preserve">つのモードそれぞれの固有振動数 </t>
    </r>
    <r>
      <rPr>
        <sz val="10"/>
        <color rgb="FFE6E6E6"/>
        <rFont val="Arial"/>
        <family val="0"/>
        <charset val="1"/>
      </rPr>
      <t xml:space="preserve">fn </t>
    </r>
    <r>
      <rPr>
        <sz val="10"/>
        <color rgb="FFE6E6E6"/>
        <rFont val="Noto Sans CJK SC"/>
        <family val="2"/>
        <charset val="1"/>
      </rPr>
      <t xml:space="preserve">と損失係数 </t>
    </r>
    <r>
      <rPr>
        <sz val="10"/>
        <color rgb="FFE6E6E6"/>
        <rFont val="Arial"/>
        <family val="0"/>
        <charset val="1"/>
      </rPr>
      <t xml:space="preserve">η </t>
    </r>
    <r>
      <rPr>
        <sz val="10"/>
        <color rgb="FFE6E6E6"/>
        <rFont val="Noto Sans CJK SC"/>
        <family val="2"/>
        <charset val="1"/>
      </rPr>
      <t xml:space="preserve">を自動計算します。</t>
    </r>
    <r>
      <rPr>
        <sz val="10"/>
        <color rgb="FFE6E6E6"/>
        <rFont val="Arial"/>
        <family val="0"/>
        <charset val="1"/>
      </rPr>
      <t xml:space="preserve">Excel</t>
    </r>
    <r>
      <rPr>
        <sz val="10"/>
        <color rgb="FFE6E6E6"/>
        <rFont val="Noto Sans CJK SC"/>
        <family val="2"/>
        <charset val="1"/>
      </rPr>
      <t xml:space="preserve">の数式（</t>
    </r>
    <r>
      <rPr>
        <sz val="10"/>
        <color rgb="FFE6E6E6"/>
        <rFont val="Arial"/>
        <family val="0"/>
        <charset val="1"/>
      </rPr>
      <t xml:space="preserve">MMULT</t>
    </r>
    <r>
      <rPr>
        <sz val="10"/>
        <color rgb="FFE6E6E6"/>
        <rFont val="Noto Sans CJK SC"/>
        <family val="2"/>
        <charset val="1"/>
      </rPr>
      <t xml:space="preserve">・</t>
    </r>
    <r>
      <rPr>
        <sz val="10"/>
        <color rgb="FFE6E6E6"/>
        <rFont val="Arial"/>
        <family val="0"/>
        <charset val="1"/>
      </rPr>
      <t xml:space="preserve">MINVERSE</t>
    </r>
    <r>
      <rPr>
        <sz val="10"/>
        <color rgb="FFE6E6E6"/>
        <rFont val="Noto Sans CJK SC"/>
        <family val="2"/>
        <charset val="1"/>
      </rPr>
      <t xml:space="preserve">・</t>
    </r>
    <r>
      <rPr>
        <sz val="10"/>
        <color rgb="FFE6E6E6"/>
        <rFont val="Arial"/>
        <family val="0"/>
        <charset val="1"/>
      </rPr>
      <t xml:space="preserve">SQRT</t>
    </r>
    <r>
      <rPr>
        <sz val="10"/>
        <color rgb="FFE6E6E6"/>
        <rFont val="Noto Sans CJK SC"/>
        <family val="2"/>
        <charset val="1"/>
      </rPr>
      <t xml:space="preserve">・</t>
    </r>
    <r>
      <rPr>
        <sz val="10"/>
        <color rgb="FFE6E6E6"/>
        <rFont val="Arial"/>
        <family val="0"/>
        <charset val="1"/>
      </rPr>
      <t xml:space="preserve">ACOS</t>
    </r>
    <r>
      <rPr>
        <sz val="10"/>
        <color rgb="FFE6E6E6"/>
        <rFont val="Noto Sans CJK SC"/>
        <family val="2"/>
        <charset val="1"/>
      </rPr>
      <t xml:space="preserve">等の</t>
    </r>
  </si>
  <si>
    <r>
      <rPr>
        <sz val="10"/>
        <color rgb="FFE6E6E6"/>
        <rFont val="Noto Sans CJK SC"/>
        <family val="2"/>
        <charset val="1"/>
      </rPr>
      <t xml:space="preserve">標準関数）だけで完結しており、</t>
    </r>
    <r>
      <rPr>
        <sz val="10"/>
        <color rgb="FFE6E6E6"/>
        <rFont val="Arial"/>
        <family val="0"/>
        <charset val="1"/>
      </rPr>
      <t xml:space="preserve">Solver</t>
    </r>
    <r>
      <rPr>
        <sz val="10"/>
        <color rgb="FFE6E6E6"/>
        <rFont val="Noto Sans CJK SC"/>
        <family val="2"/>
        <charset val="1"/>
      </rPr>
      <t xml:space="preserve">（ソルバー）アドインの手動操作は不要です。データを貼り替えれば自動で再計算されます。</t>
    </r>
  </si>
  <si>
    <r>
      <rPr>
        <sz val="10"/>
        <color rgb="FFE6E6E6"/>
        <rFont val="Arial"/>
        <family val="0"/>
        <charset val="1"/>
      </rPr>
      <t xml:space="preserve">STEP1</t>
    </r>
    <r>
      <rPr>
        <sz val="10"/>
        <color rgb="FFE6E6E6"/>
        <rFont val="Noto Sans CJK SC"/>
        <family val="2"/>
        <charset val="1"/>
      </rPr>
      <t xml:space="preserve">　「設定」シートの黄色いセルに、基準周波数 </t>
    </r>
    <r>
      <rPr>
        <sz val="10"/>
        <color rgb="FFE6E6E6"/>
        <rFont val="Arial"/>
        <family val="0"/>
        <charset val="1"/>
      </rPr>
      <t xml:space="preserve">fref</t>
    </r>
    <r>
      <rPr>
        <sz val="10"/>
        <color rgb="FFE6E6E6"/>
        <rFont val="Noto Sans CJK SC"/>
        <family val="2"/>
        <charset val="1"/>
      </rPr>
      <t xml:space="preserve">（帯域の中心くらい）と、入力データの形式を設定する。</t>
    </r>
  </si>
  <si>
    <r>
      <rPr>
        <sz val="10"/>
        <color rgb="FFE6E6E6"/>
        <rFont val="Arial"/>
        <family val="0"/>
        <charset val="1"/>
      </rPr>
      <t xml:space="preserve">STEP2</t>
    </r>
    <r>
      <rPr>
        <sz val="10"/>
        <color rgb="FFE6E6E6"/>
        <rFont val="Noto Sans CJK SC"/>
        <family val="2"/>
        <charset val="1"/>
      </rPr>
      <t xml:space="preserve">　「データ入力」シートに、双子モードの周波数帯を含む</t>
    </r>
    <r>
      <rPr>
        <sz val="10"/>
        <color rgb="FFE6E6E6"/>
        <rFont val="Arial"/>
        <family val="0"/>
        <charset val="1"/>
      </rPr>
      <t xml:space="preserve">FRF</t>
    </r>
    <r>
      <rPr>
        <sz val="10"/>
        <color rgb="FFE6E6E6"/>
        <rFont val="Noto Sans CJK SC"/>
        <family val="2"/>
        <charset val="1"/>
      </rPr>
      <t xml:space="preserve">データ（</t>
    </r>
    <r>
      <rPr>
        <sz val="10"/>
        <color rgb="FFE6E6E6"/>
        <rFont val="Arial"/>
        <family val="0"/>
        <charset val="1"/>
      </rPr>
      <t xml:space="preserve">20</t>
    </r>
    <r>
      <rPr>
        <sz val="10"/>
        <color rgb="FFE6E6E6"/>
        <rFont val="Noto Sans CJK SC"/>
        <family val="2"/>
        <charset val="1"/>
      </rPr>
      <t xml:space="preserve">〜</t>
    </r>
    <r>
      <rPr>
        <sz val="10"/>
        <color rgb="FFE6E6E6"/>
        <rFont val="Arial"/>
        <family val="0"/>
        <charset val="1"/>
      </rPr>
      <t xml:space="preserve">80</t>
    </r>
    <r>
      <rPr>
        <sz val="10"/>
        <color rgb="FFE6E6E6"/>
        <rFont val="Noto Sans CJK SC"/>
        <family val="2"/>
        <charset val="1"/>
      </rPr>
      <t xml:space="preserve">点程度）を貼り付ける（</t>
    </r>
    <r>
      <rPr>
        <sz val="10"/>
        <color rgb="FFE6E6E6"/>
        <rFont val="Arial"/>
        <family val="0"/>
        <charset val="1"/>
      </rPr>
      <t xml:space="preserve">4</t>
    </r>
    <r>
      <rPr>
        <sz val="10"/>
        <color rgb="FFE6E6E6"/>
        <rFont val="Noto Sans CJK SC"/>
        <family val="2"/>
        <charset val="1"/>
      </rPr>
      <t xml:space="preserve">行目から）。</t>
    </r>
  </si>
  <si>
    <r>
      <rPr>
        <sz val="10"/>
        <color rgb="FFE6E6E6"/>
        <rFont val="Noto Sans CJK SC"/>
        <family val="2"/>
        <charset val="1"/>
      </rPr>
      <t xml:space="preserve">　　　　※ 今は動作確認用のサンプルデータ（既存ガイドで検証済みの数値）が入っています。上書きして</t>
    </r>
    <r>
      <rPr>
        <sz val="10"/>
        <color rgb="FFE6E6E6"/>
        <rFont val="Arial"/>
        <family val="0"/>
        <charset val="1"/>
      </rPr>
      <t xml:space="preserve">OK</t>
    </r>
    <r>
      <rPr>
        <sz val="10"/>
        <color rgb="FFE6E6E6"/>
        <rFont val="Noto Sans CJK SC"/>
        <family val="2"/>
        <charset val="1"/>
      </rPr>
      <t xml:space="preserve">です。</t>
    </r>
  </si>
  <si>
    <r>
      <rPr>
        <sz val="10"/>
        <color rgb="FFE6E6E6"/>
        <rFont val="Arial"/>
        <family val="0"/>
        <charset val="1"/>
      </rPr>
      <t xml:space="preserve">STEP3</t>
    </r>
    <r>
      <rPr>
        <sz val="10"/>
        <color rgb="FFE6E6E6"/>
        <rFont val="Noto Sans CJK SC"/>
        <family val="2"/>
        <charset val="1"/>
      </rPr>
      <t xml:space="preserve">　再計算する（</t>
    </r>
    <r>
      <rPr>
        <sz val="10"/>
        <color rgb="FFE6E6E6"/>
        <rFont val="Arial"/>
        <family val="0"/>
        <charset val="1"/>
      </rPr>
      <t xml:space="preserve">LibreOffice Calc </t>
    </r>
    <r>
      <rPr>
        <sz val="10"/>
        <color rgb="FFE6E6E6"/>
        <rFont val="Noto Sans CJK SC"/>
        <family val="2"/>
        <charset val="1"/>
      </rPr>
      <t xml:space="preserve">は </t>
    </r>
    <r>
      <rPr>
        <sz val="10"/>
        <color rgb="FFE6E6E6"/>
        <rFont val="Arial"/>
        <family val="0"/>
        <charset val="1"/>
      </rPr>
      <t xml:space="preserve">Ctrl+Shift+F9 </t>
    </r>
    <r>
      <rPr>
        <sz val="10"/>
        <color rgb="FFE6E6E6"/>
        <rFont val="Noto Sans CJK SC"/>
        <family val="2"/>
        <charset val="1"/>
      </rPr>
      <t xml:space="preserve">で完全再計算。</t>
    </r>
    <r>
      <rPr>
        <sz val="10"/>
        <color rgb="FFE6E6E6"/>
        <rFont val="Arial"/>
        <family val="0"/>
        <charset val="1"/>
      </rPr>
      <t xml:space="preserve">Excel</t>
    </r>
    <r>
      <rPr>
        <sz val="10"/>
        <color rgb="FFE6E6E6"/>
        <rFont val="Noto Sans CJK SC"/>
        <family val="2"/>
        <charset val="1"/>
      </rPr>
      <t xml:space="preserve">は自動で再計算されます）。</t>
    </r>
  </si>
  <si>
    <r>
      <rPr>
        <sz val="10"/>
        <color rgb="FFE6E6E6"/>
        <rFont val="Arial"/>
        <family val="0"/>
        <charset val="1"/>
      </rPr>
      <t xml:space="preserve">STEP4</t>
    </r>
    <r>
      <rPr>
        <sz val="10"/>
        <color rgb="FFE6E6E6"/>
        <rFont val="Noto Sans CJK SC"/>
        <family val="2"/>
        <charset val="1"/>
      </rPr>
      <t xml:space="preserve">　「モード分離結果」シートの一番上、緑色の★セルを見る。</t>
    </r>
    <r>
      <rPr>
        <sz val="10"/>
        <color rgb="FFE6E6E6"/>
        <rFont val="Arial"/>
        <family val="0"/>
        <charset val="1"/>
      </rPr>
      <t xml:space="preserve">2</t>
    </r>
    <r>
      <rPr>
        <sz val="10"/>
        <color rgb="FFE6E6E6"/>
        <rFont val="Noto Sans CJK SC"/>
        <family val="2"/>
        <charset val="1"/>
      </rPr>
      <t xml:space="preserve">つのモードの </t>
    </r>
    <r>
      <rPr>
        <sz val="10"/>
        <color rgb="FFE6E6E6"/>
        <rFont val="Arial"/>
        <family val="0"/>
        <charset val="1"/>
      </rPr>
      <t xml:space="preserve">fn</t>
    </r>
    <r>
      <rPr>
        <sz val="10"/>
        <color rgb="FFE6E6E6"/>
        <rFont val="Noto Sans CJK SC"/>
        <family val="2"/>
        <charset val="1"/>
      </rPr>
      <t xml:space="preserve">・</t>
    </r>
    <r>
      <rPr>
        <sz val="10"/>
        <color rgb="FFE6E6E6"/>
        <rFont val="Arial"/>
        <family val="0"/>
        <charset val="1"/>
      </rPr>
      <t xml:space="preserve">η </t>
    </r>
    <r>
      <rPr>
        <sz val="10"/>
        <color rgb="FFE6E6E6"/>
        <rFont val="Noto Sans CJK SC"/>
        <family val="2"/>
        <charset val="1"/>
      </rPr>
      <t xml:space="preserve">が答えです。</t>
    </r>
  </si>
  <si>
    <r>
      <rPr>
        <sz val="10"/>
        <color rgb="FFE6E6E6"/>
        <rFont val="Arial"/>
        <family val="0"/>
        <charset val="1"/>
      </rPr>
      <t xml:space="preserve">STEP5</t>
    </r>
    <r>
      <rPr>
        <sz val="10"/>
        <color rgb="FFE6E6E6"/>
        <rFont val="Noto Sans CJK SC"/>
        <family val="2"/>
        <charset val="1"/>
      </rPr>
      <t xml:space="preserve">　「判定」が「要確認」なら、モード分離結果シート下部の注記を読み、必要なら</t>
    </r>
    <r>
      <rPr>
        <sz val="10"/>
        <color rgb="FFE6E6E6"/>
        <rFont val="Arial"/>
        <family val="0"/>
        <charset val="1"/>
      </rPr>
      <t xml:space="preserve">4-8</t>
    </r>
    <r>
      <rPr>
        <sz val="10"/>
        <color rgb="FFE6E6E6"/>
        <rFont val="Noto Sans CJK SC"/>
        <family val="2"/>
        <charset val="1"/>
      </rPr>
      <t xml:space="preserve">節（既存ガイド）の</t>
    </r>
    <r>
      <rPr>
        <sz val="10"/>
        <color rgb="FFE6E6E6"/>
        <rFont val="Arial"/>
        <family val="0"/>
        <charset val="1"/>
      </rPr>
      <t xml:space="preserve">Solver</t>
    </r>
    <r>
      <rPr>
        <sz val="10"/>
        <color rgb="FFE6E6E6"/>
        <rFont val="Noto Sans CJK SC"/>
        <family val="2"/>
        <charset val="1"/>
      </rPr>
      <t xml:space="preserve">法を検討。</t>
    </r>
  </si>
  <si>
    <t xml:space="preserve">  黄色のセル … あなたが入力する場所（ここだけ触る）</t>
  </si>
  <si>
    <t xml:space="preserve">  緑色のセル … 計算結果（数式が入っています。触らないこと）</t>
  </si>
  <si>
    <t xml:space="preserve">  それ以外   … 途中計算。消すと動かなくなります。</t>
  </si>
  <si>
    <t xml:space="preserve">  設定         … 基準周波数・入力データ形式・判定しきい値</t>
  </si>
  <si>
    <r>
      <rPr>
        <sz val="10"/>
        <color rgb="FFE6E6E6"/>
        <rFont val="Noto Sans CJK SC"/>
        <family val="2"/>
        <charset val="1"/>
      </rPr>
      <t xml:space="preserve">  データ入力   … 貼り付け場所（周波数・実部</t>
    </r>
    <r>
      <rPr>
        <sz val="10"/>
        <color rgb="FFE6E6E6"/>
        <rFont val="Arial"/>
        <family val="0"/>
        <charset val="1"/>
      </rPr>
      <t xml:space="preserve">/</t>
    </r>
    <r>
      <rPr>
        <sz val="10"/>
        <color rgb="FFE6E6E6"/>
        <rFont val="Noto Sans CJK SC"/>
        <family val="2"/>
        <charset val="1"/>
      </rPr>
      <t xml:space="preserve">虚部 または 振幅</t>
    </r>
    <r>
      <rPr>
        <sz val="10"/>
        <color rgb="FFE6E6E6"/>
        <rFont val="Arial"/>
        <family val="0"/>
        <charset val="1"/>
      </rPr>
      <t xml:space="preserve">/</t>
    </r>
    <r>
      <rPr>
        <sz val="10"/>
        <color rgb="FFE6E6E6"/>
        <rFont val="Noto Sans CJK SC"/>
        <family val="2"/>
        <charset val="1"/>
      </rPr>
      <t xml:space="preserve">位相）</t>
    </r>
  </si>
  <si>
    <r>
      <rPr>
        <sz val="10"/>
        <color rgb="FFE6E6E6"/>
        <rFont val="Arial"/>
        <family val="0"/>
        <charset val="1"/>
      </rPr>
      <t xml:space="preserve">  RFP</t>
    </r>
    <r>
      <rPr>
        <sz val="10"/>
        <color rgb="FFE6E6E6"/>
        <rFont val="Noto Sans CJK SC"/>
        <family val="2"/>
        <charset val="1"/>
      </rPr>
      <t xml:space="preserve">計算      … 有理多項式のあてはめ（線形連立方程式を</t>
    </r>
    <r>
      <rPr>
        <sz val="10"/>
        <color rgb="FFE6E6E6"/>
        <rFont val="Arial"/>
        <family val="0"/>
        <charset val="1"/>
      </rPr>
      <t xml:space="preserve">MMULT</t>
    </r>
    <r>
      <rPr>
        <sz val="10"/>
        <color rgb="FFE6E6E6"/>
        <rFont val="Noto Sans CJK SC"/>
        <family val="2"/>
        <charset val="1"/>
      </rPr>
      <t xml:space="preserve">・</t>
    </r>
    <r>
      <rPr>
        <sz val="10"/>
        <color rgb="FFE6E6E6"/>
        <rFont val="Arial"/>
        <family val="0"/>
        <charset val="1"/>
      </rPr>
      <t xml:space="preserve">MINVERSE</t>
    </r>
    <r>
      <rPr>
        <sz val="10"/>
        <color rgb="FFE6E6E6"/>
        <rFont val="Noto Sans CJK SC"/>
        <family val="2"/>
        <charset val="1"/>
      </rPr>
      <t xml:space="preserve">で解く）</t>
    </r>
  </si>
  <si>
    <r>
      <rPr>
        <sz val="10"/>
        <color rgb="FFE6E6E6"/>
        <rFont val="Noto Sans CJK SC"/>
        <family val="2"/>
        <charset val="1"/>
      </rPr>
      <t xml:space="preserve">  モード分離結果 … </t>
    </r>
    <r>
      <rPr>
        <sz val="10"/>
        <color rgb="FFE6E6E6"/>
        <rFont val="Arial"/>
        <family val="0"/>
        <charset val="1"/>
      </rPr>
      <t xml:space="preserve">4</t>
    </r>
    <r>
      <rPr>
        <sz val="10"/>
        <color rgb="FFE6E6E6"/>
        <rFont val="Noto Sans CJK SC"/>
        <family val="2"/>
        <charset val="1"/>
      </rPr>
      <t xml:space="preserve">次方程式を</t>
    </r>
    <r>
      <rPr>
        <sz val="10"/>
        <color rgb="FFE6E6E6"/>
        <rFont val="Arial"/>
        <family val="0"/>
        <charset val="1"/>
      </rPr>
      <t xml:space="preserve">2</t>
    </r>
    <r>
      <rPr>
        <sz val="10"/>
        <color rgb="FFE6E6E6"/>
        <rFont val="Noto Sans CJK SC"/>
        <family val="2"/>
        <charset val="1"/>
      </rPr>
      <t xml:space="preserve">つの</t>
    </r>
    <r>
      <rPr>
        <sz val="10"/>
        <color rgb="FFE6E6E6"/>
        <rFont val="Arial"/>
        <family val="0"/>
        <charset val="1"/>
      </rPr>
      <t xml:space="preserve">2</t>
    </r>
    <r>
      <rPr>
        <sz val="10"/>
        <color rgb="FFE6E6E6"/>
        <rFont val="Noto Sans CJK SC"/>
        <family val="2"/>
        <charset val="1"/>
      </rPr>
      <t xml:space="preserve">次式に分解（</t>
    </r>
    <r>
      <rPr>
        <sz val="10"/>
        <color rgb="FFE6E6E6"/>
        <rFont val="Arial"/>
        <family val="0"/>
        <charset val="1"/>
      </rPr>
      <t xml:space="preserve">Ferrari</t>
    </r>
    <r>
      <rPr>
        <sz val="10"/>
        <color rgb="FFE6E6E6"/>
        <rFont val="Noto Sans CJK SC"/>
        <family val="2"/>
        <charset val="1"/>
      </rPr>
      <t xml:space="preserve">法・数式のみ）し、</t>
    </r>
    <r>
      <rPr>
        <sz val="10"/>
        <color rgb="FFE6E6E6"/>
        <rFont val="Arial"/>
        <family val="0"/>
        <charset val="1"/>
      </rPr>
      <t xml:space="preserve">fn</t>
    </r>
    <r>
      <rPr>
        <sz val="10"/>
        <color rgb="FFE6E6E6"/>
        <rFont val="Noto Sans CJK SC"/>
        <family val="2"/>
        <charset val="1"/>
      </rPr>
      <t xml:space="preserve">・</t>
    </r>
    <r>
      <rPr>
        <sz val="10"/>
        <color rgb="FFE6E6E6"/>
        <rFont val="Arial"/>
        <family val="0"/>
        <charset val="1"/>
      </rPr>
      <t xml:space="preserve">η</t>
    </r>
    <r>
      <rPr>
        <sz val="10"/>
        <color rgb="FFE6E6E6"/>
        <rFont val="Noto Sans CJK SC"/>
        <family val="2"/>
        <charset val="1"/>
      </rPr>
      <t xml:space="preserve">を算出。★答えはここ</t>
    </r>
  </si>
  <si>
    <t xml:space="preserve">  検算         … 動作確認用サンプルの期待値と、実際の計算結果を突き合わせるチェックシート</t>
  </si>
  <si>
    <r>
      <rPr>
        <sz val="10"/>
        <color rgb="FFE6E6E6"/>
        <rFont val="Noto Sans CJK SC"/>
        <family val="2"/>
        <charset val="1"/>
      </rPr>
      <t xml:space="preserve">① 半値幅法や</t>
    </r>
    <r>
      <rPr>
        <sz val="10"/>
        <color rgb="FFE6E6E6"/>
        <rFont val="Arial"/>
        <family val="0"/>
        <charset val="1"/>
      </rPr>
      <t xml:space="preserve">1</t>
    </r>
    <r>
      <rPr>
        <sz val="10"/>
        <color rgb="FFE6E6E6"/>
        <rFont val="Noto Sans CJK SC"/>
        <family val="2"/>
        <charset val="1"/>
      </rPr>
      <t xml:space="preserve">自由度フィットとの違い：この方法は「帯域の中に山が正確に</t>
    </r>
    <r>
      <rPr>
        <sz val="10"/>
        <color rgb="FFE6E6E6"/>
        <rFont val="Arial"/>
        <family val="0"/>
        <charset val="1"/>
      </rPr>
      <t xml:space="preserve">2</t>
    </r>
    <r>
      <rPr>
        <sz val="10"/>
        <color rgb="FFE6E6E6"/>
        <rFont val="Noto Sans CJK SC"/>
        <family val="2"/>
        <charset val="1"/>
      </rPr>
      <t xml:space="preserve">つだけ」であることを前提にしています。</t>
    </r>
  </si>
  <si>
    <r>
      <rPr>
        <sz val="10"/>
        <color rgb="FFE6E6E6"/>
        <rFont val="Noto Sans CJK SC"/>
        <family val="2"/>
        <charset val="1"/>
      </rPr>
      <t xml:space="preserve">　 山が</t>
    </r>
    <r>
      <rPr>
        <sz val="10"/>
        <color rgb="FFE6E6E6"/>
        <rFont val="Arial"/>
        <family val="0"/>
        <charset val="1"/>
      </rPr>
      <t xml:space="preserve">1</t>
    </r>
    <r>
      <rPr>
        <sz val="10"/>
        <color rgb="FFE6E6E6"/>
        <rFont val="Noto Sans CJK SC"/>
        <family val="2"/>
        <charset val="1"/>
      </rPr>
      <t xml:space="preserve">つだけ、または</t>
    </r>
    <r>
      <rPr>
        <sz val="10"/>
        <color rgb="FFE6E6E6"/>
        <rFont val="Arial"/>
        <family val="0"/>
        <charset val="1"/>
      </rPr>
      <t xml:space="preserve">3</t>
    </r>
    <r>
      <rPr>
        <sz val="10"/>
        <color rgb="FFE6E6E6"/>
        <rFont val="Noto Sans CJK SC"/>
        <family val="2"/>
        <charset val="1"/>
      </rPr>
      <t xml:space="preserve">つ以上ある帯域を渡すと、正しくない答えが出ます。必ずグラフで</t>
    </r>
    <r>
      <rPr>
        <sz val="10"/>
        <color rgb="FFE6E6E6"/>
        <rFont val="Arial"/>
        <family val="0"/>
        <charset val="1"/>
      </rPr>
      <t xml:space="preserve">2</t>
    </r>
    <r>
      <rPr>
        <sz val="10"/>
        <color rgb="FFE6E6E6"/>
        <rFont val="Noto Sans CJK SC"/>
        <family val="2"/>
        <charset val="1"/>
      </rPr>
      <t xml:space="preserve">つの山を目視確認してから使うこと。</t>
    </r>
  </si>
  <si>
    <r>
      <rPr>
        <sz val="10"/>
        <color rgb="FFE6E6E6"/>
        <rFont val="Noto Sans CJK SC"/>
        <family val="2"/>
        <charset val="1"/>
      </rPr>
      <t xml:space="preserve">② 入力データは「実部・虚部」（複素数の</t>
    </r>
    <r>
      <rPr>
        <sz val="10"/>
        <color rgb="FFE6E6E6"/>
        <rFont val="Arial"/>
        <family val="0"/>
        <charset val="1"/>
      </rPr>
      <t xml:space="preserve">FRF</t>
    </r>
    <r>
      <rPr>
        <sz val="10"/>
        <color rgb="FFE6E6E6"/>
        <rFont val="Noto Sans CJK SC"/>
        <family val="2"/>
        <charset val="1"/>
      </rPr>
      <t xml:space="preserve">）が必要です。振幅（絶対値）だけのデータでは山を分離できません。</t>
    </r>
  </si>
  <si>
    <r>
      <rPr>
        <sz val="10"/>
        <color rgb="FFE6E6E6"/>
        <rFont val="Noto Sans CJK SC"/>
        <family val="2"/>
        <charset val="1"/>
      </rPr>
      <t xml:space="preserve">　 </t>
    </r>
    <r>
      <rPr>
        <sz val="10"/>
        <color rgb="FFE6E6E6"/>
        <rFont val="Arial"/>
        <family val="0"/>
        <charset val="1"/>
      </rPr>
      <t xml:space="preserve">RION SA-01A4</t>
    </r>
    <r>
      <rPr>
        <sz val="10"/>
        <color rgb="FFE6E6E6"/>
        <rFont val="Noto Sans CJK SC"/>
        <family val="2"/>
        <charset val="1"/>
      </rPr>
      <t xml:space="preserve">は「伝達関数（振幅・位相）」を出力でき、振幅・位相からも自動変換できます（設定シートで切替）。</t>
    </r>
  </si>
  <si>
    <r>
      <rPr>
        <sz val="10"/>
        <color rgb="FFE6E6E6"/>
        <rFont val="Noto Sans CJK SC"/>
        <family val="2"/>
        <charset val="1"/>
      </rPr>
      <t xml:space="preserve">③ 「判定」が「要確認」の場合：</t>
    </r>
    <r>
      <rPr>
        <sz val="10"/>
        <color rgb="FFE6E6E6"/>
        <rFont val="Arial"/>
        <family val="0"/>
        <charset val="1"/>
      </rPr>
      <t xml:space="preserve">2</t>
    </r>
    <r>
      <rPr>
        <sz val="10"/>
        <color rgb="FFE6E6E6"/>
        <rFont val="Noto Sans CJK SC"/>
        <family val="2"/>
        <charset val="1"/>
      </rPr>
      <t xml:space="preserve">つのモードの損失係数</t>
    </r>
    <r>
      <rPr>
        <sz val="10"/>
        <color rgb="FFE6E6E6"/>
        <rFont val="Arial"/>
        <family val="0"/>
        <charset val="1"/>
      </rPr>
      <t xml:space="preserve">η</t>
    </r>
    <r>
      <rPr>
        <sz val="10"/>
        <color rgb="FFE6E6E6"/>
        <rFont val="Noto Sans CJK SC"/>
        <family val="2"/>
        <charset val="1"/>
      </rPr>
      <t xml:space="preserve">がほぼ同じ値に近いなど、数式が原理的に不安定になる</t>
    </r>
  </si>
  <si>
    <r>
      <rPr>
        <sz val="10"/>
        <color rgb="FFE6E6E6"/>
        <rFont val="Noto Sans CJK SC"/>
        <family val="2"/>
        <charset val="1"/>
      </rPr>
      <t xml:space="preserve">　 まれな境界条件です（</t>
    </r>
    <r>
      <rPr>
        <sz val="10"/>
        <color rgb="FFE6E6E6"/>
        <rFont val="Arial"/>
        <family val="0"/>
        <charset val="1"/>
      </rPr>
      <t xml:space="preserve">Python</t>
    </r>
    <r>
      <rPr>
        <sz val="10"/>
        <color rgb="FFE6E6E6"/>
        <rFont val="Noto Sans CJK SC"/>
        <family val="2"/>
        <charset val="1"/>
      </rPr>
      <t xml:space="preserve">二重計算で頻度を確認済み、実測データで発生する確率は低いですが皆無ではありません）。</t>
    </r>
  </si>
  <si>
    <r>
      <rPr>
        <sz val="10"/>
        <color rgb="FFE6E6E6"/>
        <rFont val="Noto Sans CJK SC"/>
        <family val="2"/>
        <charset val="1"/>
      </rPr>
      <t xml:space="preserve">④ 基準周波数 </t>
    </r>
    <r>
      <rPr>
        <sz val="10"/>
        <color rgb="FFE6E6E6"/>
        <rFont val="Arial"/>
        <family val="0"/>
        <charset val="1"/>
      </rPr>
      <t xml:space="preserve">fref </t>
    </r>
    <r>
      <rPr>
        <sz val="10"/>
        <color rgb="FFE6E6E6"/>
        <rFont val="Noto Sans CJK SC"/>
        <family val="2"/>
        <charset val="1"/>
      </rPr>
      <t xml:space="preserve">は必ず「帯域のだいたい中心」に設定すること。生の周波数のままでは数値誤差で分離に失敗します。</t>
    </r>
  </si>
  <si>
    <r>
      <rPr>
        <sz val="10"/>
        <color rgb="FFE6E6E6"/>
        <rFont val="Noto Sans CJK SC"/>
        <family val="2"/>
        <charset val="1"/>
      </rPr>
      <t xml:space="preserve">⑤ この方法はハンマー</t>
    </r>
    <r>
      <rPr>
        <sz val="10"/>
        <color rgb="FFE6E6E6"/>
        <rFont val="Arial"/>
        <family val="0"/>
        <charset val="1"/>
      </rPr>
      <t xml:space="preserve">1</t>
    </r>
    <r>
      <rPr>
        <sz val="10"/>
        <color rgb="FFE6E6E6"/>
        <rFont val="Noto Sans CJK SC"/>
        <family val="2"/>
        <charset val="1"/>
      </rPr>
      <t xml:space="preserve">点</t>
    </r>
    <r>
      <rPr>
        <sz val="10"/>
        <color rgb="FFE6E6E6"/>
        <rFont val="Arial"/>
        <family val="0"/>
        <charset val="1"/>
      </rPr>
      <t xml:space="preserve">×</t>
    </r>
    <r>
      <rPr>
        <sz val="10"/>
        <color rgb="FFE6E6E6"/>
        <rFont val="Noto Sans CJK SC"/>
        <family val="2"/>
        <charset val="1"/>
      </rPr>
      <t xml:space="preserve">応答</t>
    </r>
    <r>
      <rPr>
        <sz val="10"/>
        <color rgb="FFE6E6E6"/>
        <rFont val="Arial"/>
        <family val="0"/>
        <charset val="1"/>
      </rPr>
      <t xml:space="preserve">1</t>
    </r>
    <r>
      <rPr>
        <sz val="10"/>
        <color rgb="FFE6E6E6"/>
        <rFont val="Noto Sans CJK SC"/>
        <family val="2"/>
        <charset val="1"/>
      </rPr>
      <t xml:space="preserve">点（</t>
    </r>
    <r>
      <rPr>
        <sz val="10"/>
        <color rgb="FFE6E6E6"/>
        <rFont val="Arial"/>
        <family val="0"/>
        <charset val="1"/>
      </rPr>
      <t xml:space="preserve">SISO</t>
    </r>
    <r>
      <rPr>
        <sz val="10"/>
        <color rgb="FFE6E6E6"/>
        <rFont val="Noto Sans CJK SC"/>
        <family val="2"/>
        <charset val="1"/>
      </rPr>
      <t xml:space="preserve">）のデータ専用です。複数加振点の</t>
    </r>
    <r>
      <rPr>
        <sz val="10"/>
        <color rgb="FFE6E6E6"/>
        <rFont val="Arial"/>
        <family val="0"/>
        <charset val="1"/>
      </rPr>
      <t xml:space="preserve">MIMO</t>
    </r>
    <r>
      <rPr>
        <sz val="10"/>
        <color rgb="FFE6E6E6"/>
        <rFont val="Noto Sans CJK SC"/>
        <family val="2"/>
        <charset val="1"/>
      </rPr>
      <t xml:space="preserve">化は既存ガイド</t>
    </r>
    <r>
      <rPr>
        <sz val="10"/>
        <color rgb="FFE6E6E6"/>
        <rFont val="Arial"/>
        <family val="0"/>
        <charset val="1"/>
      </rPr>
      <t xml:space="preserve">4-8</t>
    </r>
    <r>
      <rPr>
        <sz val="10"/>
        <color rgb="FFE6E6E6"/>
        <rFont val="Noto Sans CJK SC"/>
        <family val="2"/>
        <charset val="1"/>
      </rPr>
      <t xml:space="preserve">節を参照。</t>
    </r>
  </si>
  <si>
    <t xml:space="preserve">設定　― 基準周波数・入力データ形式・判定しきい値</t>
  </si>
  <si>
    <r>
      <rPr>
        <b val="true"/>
        <sz val="11"/>
        <color rgb="FFFFD98F"/>
        <rFont val="Noto Sans CJK SC"/>
        <family val="2"/>
        <charset val="1"/>
      </rPr>
      <t xml:space="preserve">【</t>
    </r>
    <r>
      <rPr>
        <b val="true"/>
        <sz val="11"/>
        <color rgb="FFFFD98F"/>
        <rFont val="Arial"/>
        <family val="0"/>
        <charset val="1"/>
      </rPr>
      <t xml:space="preserve">1</t>
    </r>
    <r>
      <rPr>
        <b val="true"/>
        <sz val="11"/>
        <color rgb="FFFFD98F"/>
        <rFont val="Noto Sans CJK SC"/>
        <family val="2"/>
        <charset val="1"/>
      </rPr>
      <t xml:space="preserve">】基準周波数と正規化</t>
    </r>
  </si>
  <si>
    <r>
      <rPr>
        <sz val="10"/>
        <color rgb="FFE6E6E6"/>
        <rFont val="Noto Sans CJK SC"/>
        <family val="2"/>
        <charset val="1"/>
      </rPr>
      <t xml:space="preserve">基準周波数 </t>
    </r>
    <r>
      <rPr>
        <sz val="10"/>
        <color rgb="FFE6E6E6"/>
        <rFont val="Arial"/>
        <family val="0"/>
        <charset val="1"/>
      </rPr>
      <t xml:space="preserve">fref [Hz]</t>
    </r>
  </si>
  <si>
    <t xml:space="preserve">帯域のだいたい中心の周波数。生の周波数のままでは数値誤差で分離に失敗するため、正規化に使う基準値。</t>
  </si>
  <si>
    <t xml:space="preserve">ωref [rad/s]</t>
  </si>
  <si>
    <r>
      <rPr>
        <sz val="9"/>
        <color rgb="FF9AA4B2"/>
        <rFont val="Arial"/>
        <family val="0"/>
        <charset val="1"/>
      </rPr>
      <t xml:space="preserve">ωref = 2π</t>
    </r>
    <r>
      <rPr>
        <sz val="9"/>
        <color rgb="FF9AA4B2"/>
        <rFont val="Noto Sans CJK SC"/>
        <family val="2"/>
        <charset val="1"/>
      </rPr>
      <t xml:space="preserve">・</t>
    </r>
    <r>
      <rPr>
        <sz val="9"/>
        <color rgb="FF9AA4B2"/>
        <rFont val="Arial"/>
        <family val="0"/>
        <charset val="1"/>
      </rPr>
      <t xml:space="preserve">fref</t>
    </r>
    <r>
      <rPr>
        <sz val="9"/>
        <color rgb="FF9AA4B2"/>
        <rFont val="Noto Sans CJK SC"/>
        <family val="2"/>
        <charset val="1"/>
      </rPr>
      <t xml:space="preserve">（自動計算）</t>
    </r>
  </si>
  <si>
    <r>
      <rPr>
        <b val="true"/>
        <sz val="11"/>
        <color rgb="FFFFD98F"/>
        <rFont val="Noto Sans CJK SC"/>
        <family val="2"/>
        <charset val="1"/>
      </rPr>
      <t xml:space="preserve">【</t>
    </r>
    <r>
      <rPr>
        <b val="true"/>
        <sz val="11"/>
        <color rgb="FFFFD98F"/>
        <rFont val="Arial"/>
        <family val="0"/>
        <charset val="1"/>
      </rPr>
      <t xml:space="preserve">2</t>
    </r>
    <r>
      <rPr>
        <b val="true"/>
        <sz val="11"/>
        <color rgb="FFFFD98F"/>
        <rFont val="Noto Sans CJK SC"/>
        <family val="2"/>
        <charset val="1"/>
      </rPr>
      <t xml:space="preserve">】入力データの形式</t>
    </r>
  </si>
  <si>
    <t xml:space="preserve">データの種類</t>
  </si>
  <si>
    <t xml:space="preserve">実部虚部</t>
  </si>
  <si>
    <r>
      <rPr>
        <sz val="9"/>
        <color rgb="FF9AA4B2"/>
        <rFont val="Noto Sans CJK SC"/>
        <family val="2"/>
        <charset val="1"/>
      </rPr>
      <t xml:space="preserve">「実部虚部」または「振幅位相」。データ入力シートの</t>
    </r>
    <r>
      <rPr>
        <sz val="9"/>
        <color rgb="FF9AA4B2"/>
        <rFont val="Arial"/>
        <family val="0"/>
        <charset val="1"/>
      </rPr>
      <t xml:space="preserve">B</t>
    </r>
    <r>
      <rPr>
        <sz val="9"/>
        <color rgb="FF9AA4B2"/>
        <rFont val="Noto Sans CJK SC"/>
        <family val="2"/>
        <charset val="1"/>
      </rPr>
      <t xml:space="preserve">・</t>
    </r>
    <r>
      <rPr>
        <sz val="9"/>
        <color rgb="FF9AA4B2"/>
        <rFont val="Arial"/>
        <family val="0"/>
        <charset val="1"/>
      </rPr>
      <t xml:space="preserve">C</t>
    </r>
    <r>
      <rPr>
        <sz val="9"/>
        <color rgb="FF9AA4B2"/>
        <rFont val="Noto Sans CJK SC"/>
        <family val="2"/>
        <charset val="1"/>
      </rPr>
      <t xml:space="preserve">列に貼るデータの意味が変わります。</t>
    </r>
  </si>
  <si>
    <t xml:space="preserve">振幅の単位（振幅位相の時のみ有効）</t>
  </si>
  <si>
    <t xml:space="preserve">dB</t>
  </si>
  <si>
    <r>
      <rPr>
        <sz val="9"/>
        <color rgb="FF9AA4B2"/>
        <rFont val="Noto Sans CJK SC"/>
        <family val="2"/>
        <charset val="1"/>
      </rPr>
      <t xml:space="preserve">「</t>
    </r>
    <r>
      <rPr>
        <sz val="9"/>
        <color rgb="FF9AA4B2"/>
        <rFont val="Arial"/>
        <family val="0"/>
        <charset val="1"/>
      </rPr>
      <t xml:space="preserve">dB</t>
    </r>
    <r>
      <rPr>
        <sz val="9"/>
        <color rgb="FF9AA4B2"/>
        <rFont val="Noto Sans CJK SC"/>
        <family val="2"/>
        <charset val="1"/>
      </rPr>
      <t xml:space="preserve">」または「リニア」。</t>
    </r>
    <r>
      <rPr>
        <sz val="9"/>
        <color rgb="FF9AA4B2"/>
        <rFont val="Arial"/>
        <family val="0"/>
        <charset val="1"/>
      </rPr>
      <t xml:space="preserve">RION SA-01A4</t>
    </r>
    <r>
      <rPr>
        <sz val="9"/>
        <color rgb="FF9AA4B2"/>
        <rFont val="Noto Sans CJK SC"/>
        <family val="2"/>
        <charset val="1"/>
      </rPr>
      <t xml:space="preserve">の画面表示単位に合わせてください。</t>
    </r>
  </si>
  <si>
    <r>
      <rPr>
        <b val="true"/>
        <sz val="11"/>
        <color rgb="FFFFD98F"/>
        <rFont val="Noto Sans CJK SC"/>
        <family val="2"/>
        <charset val="1"/>
      </rPr>
      <t xml:space="preserve">【</t>
    </r>
    <r>
      <rPr>
        <b val="true"/>
        <sz val="11"/>
        <color rgb="FFFFD98F"/>
        <rFont val="Arial"/>
        <family val="0"/>
        <charset val="1"/>
      </rPr>
      <t xml:space="preserve">3</t>
    </r>
    <r>
      <rPr>
        <b val="true"/>
        <sz val="11"/>
        <color rgb="FFFFD98F"/>
        <rFont val="Noto Sans CJK SC"/>
        <family val="2"/>
        <charset val="1"/>
      </rPr>
      <t xml:space="preserve">】モード分離（</t>
    </r>
    <r>
      <rPr>
        <b val="true"/>
        <sz val="11"/>
        <color rgb="FFFFD98F"/>
        <rFont val="Arial"/>
        <family val="0"/>
        <charset val="1"/>
      </rPr>
      <t xml:space="preserve">Ferrari</t>
    </r>
    <r>
      <rPr>
        <b val="true"/>
        <sz val="11"/>
        <color rgb="FFFFD98F"/>
        <rFont val="Noto Sans CJK SC"/>
        <family val="2"/>
        <charset val="1"/>
      </rPr>
      <t xml:space="preserve">法）の判定しきい値</t>
    </r>
  </si>
  <si>
    <r>
      <rPr>
        <sz val="10"/>
        <color rgb="FFE6E6E6"/>
        <rFont val="Arial"/>
        <family val="0"/>
        <charset val="1"/>
      </rPr>
      <t xml:space="preserve">u </t>
    </r>
    <r>
      <rPr>
        <sz val="10"/>
        <color rgb="FFE6E6E6"/>
        <rFont val="Noto Sans CJK SC"/>
        <family val="2"/>
        <charset val="1"/>
      </rPr>
      <t xml:space="preserve">最小しきい値（正規化・無次元）</t>
    </r>
  </si>
  <si>
    <r>
      <rPr>
        <sz val="9"/>
        <color rgb="FF9AA4B2"/>
        <rFont val="Arial"/>
        <family val="0"/>
        <charset val="1"/>
      </rPr>
      <t xml:space="preserve">2</t>
    </r>
    <r>
      <rPr>
        <sz val="9"/>
        <color rgb="FF9AA4B2"/>
        <rFont val="Noto Sans CJK SC"/>
        <family val="2"/>
        <charset val="1"/>
      </rPr>
      <t xml:space="preserve">つのモードの損失係数がほぼ同じで数式が不安定になる境界を検出するためのしきい値。通常は変更不要。</t>
    </r>
  </si>
  <si>
    <t xml:space="preserve">判定の意味</t>
  </si>
  <si>
    <r>
      <rPr>
        <sz val="9"/>
        <color rgb="FF9AA4B2"/>
        <rFont val="Arial"/>
        <family val="0"/>
        <charset val="1"/>
      </rPr>
      <t xml:space="preserve">u</t>
    </r>
    <r>
      <rPr>
        <sz val="9"/>
        <color rgb="FF9AA4B2"/>
        <rFont val="Noto Sans CJK SC"/>
        <family val="2"/>
        <charset val="1"/>
      </rPr>
      <t xml:space="preserve">（</t>
    </r>
    <r>
      <rPr>
        <sz val="9"/>
        <color rgb="FF9AA4B2"/>
        <rFont val="Arial"/>
        <family val="0"/>
        <charset val="1"/>
      </rPr>
      <t xml:space="preserve">α</t>
    </r>
    <r>
      <rPr>
        <sz val="9"/>
        <color rgb="FF9AA4B2"/>
        <rFont val="Noto Sans CJK SC"/>
        <family val="2"/>
        <charset val="1"/>
      </rPr>
      <t xml:space="preserve">の</t>
    </r>
    <r>
      <rPr>
        <sz val="9"/>
        <color rgb="FF9AA4B2"/>
        <rFont val="Arial"/>
        <family val="0"/>
        <charset val="1"/>
      </rPr>
      <t xml:space="preserve">2</t>
    </r>
    <r>
      <rPr>
        <sz val="9"/>
        <color rgb="FF9AA4B2"/>
        <rFont val="Noto Sans CJK SC"/>
        <family val="2"/>
        <charset val="1"/>
      </rPr>
      <t xml:space="preserve">乗）がこの値を下回ると「要確認」。</t>
    </r>
    <r>
      <rPr>
        <sz val="9"/>
        <color rgb="FF9AA4B2"/>
        <rFont val="Arial"/>
        <family val="0"/>
        <charset val="1"/>
      </rPr>
      <t xml:space="preserve">2</t>
    </r>
    <r>
      <rPr>
        <sz val="9"/>
        <color rgb="FF9AA4B2"/>
        <rFont val="Noto Sans CJK SC"/>
        <family val="2"/>
        <charset val="1"/>
      </rPr>
      <t xml:space="preserve">モードの損失係数が非常に近い、まれな境界条件を意味します。</t>
    </r>
  </si>
  <si>
    <r>
      <rPr>
        <b val="true"/>
        <sz val="11"/>
        <color rgb="FFFFD98F"/>
        <rFont val="Noto Sans CJK SC"/>
        <family val="2"/>
        <charset val="1"/>
      </rPr>
      <t xml:space="preserve">【</t>
    </r>
    <r>
      <rPr>
        <b val="true"/>
        <sz val="11"/>
        <color rgb="FFFFD98F"/>
        <rFont val="Arial"/>
        <family val="0"/>
        <charset val="1"/>
      </rPr>
      <t xml:space="preserve">4</t>
    </r>
    <r>
      <rPr>
        <b val="true"/>
        <sz val="11"/>
        <color rgb="FFFFD98F"/>
        <rFont val="Noto Sans CJK SC"/>
        <family val="2"/>
        <charset val="1"/>
      </rPr>
      <t xml:space="preserve">】このファイルの前提</t>
    </r>
  </si>
  <si>
    <r>
      <rPr>
        <sz val="9"/>
        <color rgb="FF9AA4B2"/>
        <rFont val="Noto Sans CJK SC"/>
        <family val="2"/>
        <charset val="1"/>
      </rPr>
      <t xml:space="preserve">・貼り付ける帯域には、山がちょうど</t>
    </r>
    <r>
      <rPr>
        <sz val="9"/>
        <color rgb="FF9AA4B2"/>
        <rFont val="Arial"/>
        <family val="0"/>
        <charset val="1"/>
      </rPr>
      <t xml:space="preserve">2</t>
    </r>
    <r>
      <rPr>
        <sz val="9"/>
        <color rgb="FF9AA4B2"/>
        <rFont val="Noto Sans CJK SC"/>
        <family val="2"/>
        <charset val="1"/>
      </rPr>
      <t xml:space="preserve">つだけ含まれている必要があります（</t>
    </r>
    <r>
      <rPr>
        <sz val="9"/>
        <color rgb="FF9AA4B2"/>
        <rFont val="Arial"/>
        <family val="0"/>
        <charset val="1"/>
      </rPr>
      <t xml:space="preserve">3</t>
    </r>
    <r>
      <rPr>
        <sz val="9"/>
        <color rgb="FF9AA4B2"/>
        <rFont val="Noto Sans CJK SC"/>
        <family val="2"/>
        <charset val="1"/>
      </rPr>
      <t xml:space="preserve">つ以上は非対応）。</t>
    </r>
  </si>
  <si>
    <r>
      <rPr>
        <sz val="9"/>
        <color rgb="FF9AA4B2"/>
        <rFont val="Noto Sans CJK SC"/>
        <family val="2"/>
        <charset val="1"/>
      </rPr>
      <t xml:space="preserve">・データ入力シートは最大</t>
    </r>
    <r>
      <rPr>
        <sz val="9"/>
        <color rgb="FF9AA4B2"/>
        <rFont val="Arial"/>
        <family val="0"/>
        <charset val="1"/>
      </rPr>
      <t xml:space="preserve">80</t>
    </r>
    <r>
      <rPr>
        <sz val="9"/>
        <color rgb="FF9AA4B2"/>
        <rFont val="Noto Sans CJK SC"/>
        <family val="2"/>
        <charset val="1"/>
      </rPr>
      <t xml:space="preserve">点まで（実部用</t>
    </r>
    <r>
      <rPr>
        <sz val="9"/>
        <color rgb="FF9AA4B2"/>
        <rFont val="Arial"/>
        <family val="0"/>
        <charset val="1"/>
      </rPr>
      <t xml:space="preserve">80</t>
    </r>
    <r>
      <rPr>
        <sz val="9"/>
        <color rgb="FF9AA4B2"/>
        <rFont val="Noto Sans CJK SC"/>
        <family val="2"/>
        <charset val="1"/>
      </rPr>
      <t xml:space="preserve">行＋虚部用</t>
    </r>
    <r>
      <rPr>
        <sz val="9"/>
        <color rgb="FF9AA4B2"/>
        <rFont val="Arial"/>
        <family val="0"/>
        <charset val="1"/>
      </rPr>
      <t xml:space="preserve">80</t>
    </r>
    <r>
      <rPr>
        <sz val="9"/>
        <color rgb="FF9AA4B2"/>
        <rFont val="Noto Sans CJK SC"/>
        <family val="2"/>
        <charset val="1"/>
      </rPr>
      <t xml:space="preserve">行＝</t>
    </r>
    <r>
      <rPr>
        <sz val="9"/>
        <color rgb="FF9AA4B2"/>
        <rFont val="Arial"/>
        <family val="0"/>
        <charset val="1"/>
      </rPr>
      <t xml:space="preserve">160</t>
    </r>
    <r>
      <rPr>
        <sz val="9"/>
        <color rgb="FF9AA4B2"/>
        <rFont val="Noto Sans CJK SC"/>
        <family val="2"/>
        <charset val="1"/>
      </rPr>
      <t xml:space="preserve">本の連立方程式）。</t>
    </r>
  </si>
  <si>
    <r>
      <rPr>
        <sz val="9"/>
        <color rgb="FF9AA4B2"/>
        <rFont val="Noto Sans CJK SC"/>
        <family val="2"/>
        <charset val="1"/>
      </rPr>
      <t xml:space="preserve">・入力データが少ない</t>
    </r>
    <r>
      <rPr>
        <sz val="9"/>
        <color rgb="FF9AA4B2"/>
        <rFont val="Arial"/>
        <family val="0"/>
        <charset val="1"/>
      </rPr>
      <t xml:space="preserve">/</t>
    </r>
    <r>
      <rPr>
        <sz val="9"/>
        <color rgb="FF9AA4B2"/>
        <rFont val="Noto Sans CJK SC"/>
        <family val="2"/>
        <charset val="1"/>
      </rPr>
      <t xml:space="preserve">帯域が不適切だと、</t>
    </r>
    <r>
      <rPr>
        <sz val="9"/>
        <color rgb="FF9AA4B2"/>
        <rFont val="Arial"/>
        <family val="0"/>
        <charset val="1"/>
      </rPr>
      <t xml:space="preserve">fn</t>
    </r>
    <r>
      <rPr>
        <sz val="9"/>
        <color rgb="FF9AA4B2"/>
        <rFont val="Noto Sans CJK SC"/>
        <family val="2"/>
        <charset val="1"/>
      </rPr>
      <t xml:space="preserve">は高精度でも</t>
    </r>
    <r>
      <rPr>
        <sz val="9"/>
        <color rgb="FF9AA4B2"/>
        <rFont val="Arial"/>
        <family val="0"/>
        <charset val="1"/>
      </rPr>
      <t xml:space="preserve">η</t>
    </r>
    <r>
      <rPr>
        <sz val="9"/>
        <color rgb="FF9AA4B2"/>
        <rFont val="Noto Sans CJK SC"/>
        <family val="2"/>
        <charset val="1"/>
      </rPr>
      <t xml:space="preserve">の誤差が大きくなることがあります（</t>
    </r>
    <r>
      <rPr>
        <sz val="9"/>
        <color rgb="FF9AA4B2"/>
        <rFont val="Arial"/>
        <family val="0"/>
        <charset val="1"/>
      </rPr>
      <t xml:space="preserve">RFP</t>
    </r>
    <r>
      <rPr>
        <sz val="9"/>
        <color rgb="FF9AA4B2"/>
        <rFont val="Noto Sans CJK SC"/>
        <family val="2"/>
        <charset val="1"/>
      </rPr>
      <t xml:space="preserve">法自体の性質）。</t>
    </r>
  </si>
  <si>
    <r>
      <rPr>
        <b val="true"/>
        <sz val="13"/>
        <color rgb="FFFFFFFF"/>
        <rFont val="Noto Sans CJK SC"/>
        <family val="2"/>
        <charset val="1"/>
      </rPr>
      <t xml:space="preserve">データ入力　― 双子モードを含む周波数帯の</t>
    </r>
    <r>
      <rPr>
        <b val="true"/>
        <sz val="13"/>
        <color rgb="FFFFFFFF"/>
        <rFont val="Arial"/>
        <family val="0"/>
        <charset val="1"/>
      </rPr>
      <t xml:space="preserve">FRF</t>
    </r>
    <r>
      <rPr>
        <b val="true"/>
        <sz val="13"/>
        <color rgb="FFFFFFFF"/>
        <rFont val="Noto Sans CJK SC"/>
        <family val="2"/>
        <charset val="1"/>
      </rPr>
      <t xml:space="preserve">データを貼り付け（</t>
    </r>
    <r>
      <rPr>
        <b val="true"/>
        <sz val="13"/>
        <color rgb="FFFFFFFF"/>
        <rFont val="Arial"/>
        <family val="0"/>
        <charset val="1"/>
      </rPr>
      <t xml:space="preserve">4</t>
    </r>
    <r>
      <rPr>
        <b val="true"/>
        <sz val="13"/>
        <color rgb="FFFFFFFF"/>
        <rFont val="Noto Sans CJK SC"/>
        <family val="2"/>
        <charset val="1"/>
      </rPr>
      <t xml:space="preserve">行目から）</t>
    </r>
  </si>
  <si>
    <r>
      <rPr>
        <sz val="9"/>
        <color rgb="FF9AA4B2"/>
        <rFont val="Noto Sans CJK SC"/>
        <family val="2"/>
        <charset val="1"/>
      </rPr>
      <t xml:space="preserve">設定シートで「実部虚部」を選んだ場合：</t>
    </r>
    <r>
      <rPr>
        <sz val="9"/>
        <color rgb="FF9AA4B2"/>
        <rFont val="Arial"/>
        <family val="0"/>
        <charset val="1"/>
      </rPr>
      <t xml:space="preserve">B</t>
    </r>
    <r>
      <rPr>
        <sz val="9"/>
        <color rgb="FF9AA4B2"/>
        <rFont val="Noto Sans CJK SC"/>
        <family val="2"/>
        <charset val="1"/>
      </rPr>
      <t xml:space="preserve">列</t>
    </r>
    <r>
      <rPr>
        <sz val="9"/>
        <color rgb="FF9AA4B2"/>
        <rFont val="Arial"/>
        <family val="0"/>
        <charset val="1"/>
      </rPr>
      <t xml:space="preserve">=</t>
    </r>
    <r>
      <rPr>
        <sz val="9"/>
        <color rgb="FF9AA4B2"/>
        <rFont val="Noto Sans CJK SC"/>
        <family val="2"/>
        <charset val="1"/>
      </rPr>
      <t xml:space="preserve">実部</t>
    </r>
    <r>
      <rPr>
        <sz val="9"/>
        <color rgb="FF9AA4B2"/>
        <rFont val="Arial"/>
        <family val="0"/>
        <charset val="1"/>
      </rPr>
      <t xml:space="preserve">Re(H)</t>
    </r>
    <r>
      <rPr>
        <sz val="9"/>
        <color rgb="FF9AA4B2"/>
        <rFont val="Noto Sans CJK SC"/>
        <family val="2"/>
        <charset val="1"/>
      </rPr>
      <t xml:space="preserve">、</t>
    </r>
    <r>
      <rPr>
        <sz val="9"/>
        <color rgb="FF9AA4B2"/>
        <rFont val="Arial"/>
        <family val="0"/>
        <charset val="1"/>
      </rPr>
      <t xml:space="preserve">C</t>
    </r>
    <r>
      <rPr>
        <sz val="9"/>
        <color rgb="FF9AA4B2"/>
        <rFont val="Noto Sans CJK SC"/>
        <family val="2"/>
        <charset val="1"/>
      </rPr>
      <t xml:space="preserve">列</t>
    </r>
    <r>
      <rPr>
        <sz val="9"/>
        <color rgb="FF9AA4B2"/>
        <rFont val="Arial"/>
        <family val="0"/>
        <charset val="1"/>
      </rPr>
      <t xml:space="preserve">=</t>
    </r>
    <r>
      <rPr>
        <sz val="9"/>
        <color rgb="FF9AA4B2"/>
        <rFont val="Noto Sans CJK SC"/>
        <family val="2"/>
        <charset val="1"/>
      </rPr>
      <t xml:space="preserve">虚部</t>
    </r>
    <r>
      <rPr>
        <sz val="9"/>
        <color rgb="FF9AA4B2"/>
        <rFont val="Arial"/>
        <family val="0"/>
        <charset val="1"/>
      </rPr>
      <t xml:space="preserve">Im(H)</t>
    </r>
    <r>
      <rPr>
        <sz val="9"/>
        <color rgb="FF9AA4B2"/>
        <rFont val="Noto Sans CJK SC"/>
        <family val="2"/>
        <charset val="1"/>
      </rPr>
      <t xml:space="preserve">。「振幅位相」を選んだ場合：</t>
    </r>
    <r>
      <rPr>
        <sz val="9"/>
        <color rgb="FF9AA4B2"/>
        <rFont val="Arial"/>
        <family val="0"/>
        <charset val="1"/>
      </rPr>
      <t xml:space="preserve">B</t>
    </r>
    <r>
      <rPr>
        <sz val="9"/>
        <color rgb="FF9AA4B2"/>
        <rFont val="Noto Sans CJK SC"/>
        <family val="2"/>
        <charset val="1"/>
      </rPr>
      <t xml:space="preserve">列</t>
    </r>
    <r>
      <rPr>
        <sz val="9"/>
        <color rgb="FF9AA4B2"/>
        <rFont val="Arial"/>
        <family val="0"/>
        <charset val="1"/>
      </rPr>
      <t xml:space="preserve">=</t>
    </r>
    <r>
      <rPr>
        <sz val="9"/>
        <color rgb="FF9AA4B2"/>
        <rFont val="Noto Sans CJK SC"/>
        <family val="2"/>
        <charset val="1"/>
      </rPr>
      <t xml:space="preserve">振幅、</t>
    </r>
    <r>
      <rPr>
        <sz val="9"/>
        <color rgb="FF9AA4B2"/>
        <rFont val="Arial"/>
        <family val="0"/>
        <charset val="1"/>
      </rPr>
      <t xml:space="preserve">C</t>
    </r>
    <r>
      <rPr>
        <sz val="9"/>
        <color rgb="FF9AA4B2"/>
        <rFont val="Noto Sans CJK SC"/>
        <family val="2"/>
        <charset val="1"/>
      </rPr>
      <t xml:space="preserve">列</t>
    </r>
    <r>
      <rPr>
        <sz val="9"/>
        <color rgb="FF9AA4B2"/>
        <rFont val="Arial"/>
        <family val="0"/>
        <charset val="1"/>
      </rPr>
      <t xml:space="preserve">=</t>
    </r>
    <r>
      <rPr>
        <sz val="9"/>
        <color rgb="FF9AA4B2"/>
        <rFont val="Noto Sans CJK SC"/>
        <family val="2"/>
        <charset val="1"/>
      </rPr>
      <t xml:space="preserve">位相</t>
    </r>
    <r>
      <rPr>
        <sz val="9"/>
        <color rgb="FF9AA4B2"/>
        <rFont val="Arial"/>
        <family val="0"/>
        <charset val="1"/>
      </rPr>
      <t xml:space="preserve">[</t>
    </r>
    <r>
      <rPr>
        <sz val="9"/>
        <color rgb="FF9AA4B2"/>
        <rFont val="Noto Sans CJK SC"/>
        <family val="2"/>
        <charset val="1"/>
      </rPr>
      <t xml:space="preserve">度</t>
    </r>
    <r>
      <rPr>
        <sz val="9"/>
        <color rgb="FF9AA4B2"/>
        <rFont val="Arial"/>
        <family val="0"/>
        <charset val="1"/>
      </rPr>
      <t xml:space="preserve">]</t>
    </r>
    <r>
      <rPr>
        <sz val="9"/>
        <color rgb="FF9AA4B2"/>
        <rFont val="Noto Sans CJK SC"/>
        <family val="2"/>
        <charset val="1"/>
      </rPr>
      <t xml:space="preserve">。</t>
    </r>
  </si>
  <si>
    <r>
      <rPr>
        <sz val="9"/>
        <color rgb="FF9AA4B2"/>
        <rFont val="Noto Sans CJK SC"/>
        <family val="2"/>
        <charset val="1"/>
      </rPr>
      <t xml:space="preserve">★ 今は動作確認用のサンプルデータ（既存ガイドで検証済み：モード</t>
    </r>
    <r>
      <rPr>
        <sz val="9"/>
        <color rgb="FF9AA4B2"/>
        <rFont val="Arial"/>
        <family val="0"/>
        <charset val="1"/>
      </rPr>
      <t xml:space="preserve">A≈3480Hz/η≈0.006</t>
    </r>
    <r>
      <rPr>
        <sz val="9"/>
        <color rgb="FF9AA4B2"/>
        <rFont val="Noto Sans CJK SC"/>
        <family val="2"/>
        <charset val="1"/>
      </rPr>
      <t xml:space="preserve">、モード</t>
    </r>
    <r>
      <rPr>
        <sz val="9"/>
        <color rgb="FF9AA4B2"/>
        <rFont val="Arial"/>
        <family val="0"/>
        <charset val="1"/>
      </rPr>
      <t xml:space="preserve">B≈3520Hz/η≈0.008</t>
    </r>
    <r>
      <rPr>
        <sz val="9"/>
        <color rgb="FF9AA4B2"/>
        <rFont val="Noto Sans CJK SC"/>
        <family val="2"/>
        <charset val="1"/>
      </rPr>
      <t xml:space="preserve">）が入っています。上書きして</t>
    </r>
    <r>
      <rPr>
        <sz val="9"/>
        <color rgb="FF9AA4B2"/>
        <rFont val="Arial"/>
        <family val="0"/>
        <charset val="1"/>
      </rPr>
      <t xml:space="preserve">OK</t>
    </r>
    <r>
      <rPr>
        <sz val="9"/>
        <color rgb="FF9AA4B2"/>
        <rFont val="Noto Sans CJK SC"/>
        <family val="2"/>
        <charset val="1"/>
      </rPr>
      <t xml:space="preserve">です。</t>
    </r>
  </si>
  <si>
    <r>
      <rPr>
        <b val="true"/>
        <sz val="10"/>
        <color rgb="FFFFFFFF"/>
        <rFont val="Noto Sans CJK SC"/>
        <family val="2"/>
        <charset val="1"/>
      </rPr>
      <t xml:space="preserve">周波数 </t>
    </r>
    <r>
      <rPr>
        <b val="true"/>
        <sz val="10"/>
        <color rgb="FFFFFFFF"/>
        <rFont val="Arial"/>
        <family val="0"/>
        <charset val="1"/>
      </rPr>
      <t xml:space="preserve">f [Hz]</t>
    </r>
  </si>
  <si>
    <r>
      <rPr>
        <b val="true"/>
        <sz val="10"/>
        <color rgb="FFFFFFFF"/>
        <rFont val="Noto Sans CJK SC"/>
        <family val="2"/>
        <charset val="1"/>
      </rPr>
      <t xml:space="preserve">測定値</t>
    </r>
    <r>
      <rPr>
        <b val="true"/>
        <sz val="10"/>
        <color rgb="FFFFFFFF"/>
        <rFont val="Arial"/>
        <family val="0"/>
        <charset val="1"/>
      </rPr>
      <t xml:space="preserve">1
(</t>
    </r>
    <r>
      <rPr>
        <b val="true"/>
        <sz val="10"/>
        <color rgb="FFFFFFFF"/>
        <rFont val="Noto Sans CJK SC"/>
        <family val="2"/>
        <charset val="1"/>
      </rPr>
      <t xml:space="preserve">実部 </t>
    </r>
    <r>
      <rPr>
        <b val="true"/>
        <sz val="10"/>
        <color rgb="FFFFFFFF"/>
        <rFont val="Arial"/>
        <family val="0"/>
        <charset val="1"/>
      </rPr>
      <t xml:space="preserve">or </t>
    </r>
    <r>
      <rPr>
        <b val="true"/>
        <sz val="10"/>
        <color rgb="FFFFFFFF"/>
        <rFont val="Noto Sans CJK SC"/>
        <family val="2"/>
        <charset val="1"/>
      </rPr>
      <t xml:space="preserve">振幅</t>
    </r>
    <r>
      <rPr>
        <b val="true"/>
        <sz val="10"/>
        <color rgb="FFFFFFFF"/>
        <rFont val="Arial"/>
        <family val="0"/>
        <charset val="1"/>
      </rPr>
      <t xml:space="preserve">)</t>
    </r>
  </si>
  <si>
    <r>
      <rPr>
        <b val="true"/>
        <sz val="10"/>
        <color rgb="FFFFFFFF"/>
        <rFont val="Noto Sans CJK SC"/>
        <family val="2"/>
        <charset val="1"/>
      </rPr>
      <t xml:space="preserve">測定値</t>
    </r>
    <r>
      <rPr>
        <b val="true"/>
        <sz val="10"/>
        <color rgb="FFFFFFFF"/>
        <rFont val="Arial"/>
        <family val="0"/>
        <charset val="1"/>
      </rPr>
      <t xml:space="preserve">2
(</t>
    </r>
    <r>
      <rPr>
        <b val="true"/>
        <sz val="10"/>
        <color rgb="FFFFFFFF"/>
        <rFont val="Noto Sans CJK SC"/>
        <family val="2"/>
        <charset val="1"/>
      </rPr>
      <t xml:space="preserve">虚部 </t>
    </r>
    <r>
      <rPr>
        <b val="true"/>
        <sz val="10"/>
        <color rgb="FFFFFFFF"/>
        <rFont val="Arial"/>
        <family val="0"/>
        <charset val="1"/>
      </rPr>
      <t xml:space="preserve">or </t>
    </r>
    <r>
      <rPr>
        <b val="true"/>
        <sz val="10"/>
        <color rgb="FFFFFFFF"/>
        <rFont val="Noto Sans CJK SC"/>
        <family val="2"/>
        <charset val="1"/>
      </rPr>
      <t xml:space="preserve">位相</t>
    </r>
    <r>
      <rPr>
        <b val="true"/>
        <sz val="10"/>
        <color rgb="FFFFFFFF"/>
        <rFont val="Arial"/>
        <family val="0"/>
        <charset val="1"/>
      </rPr>
      <t xml:space="preserve">[</t>
    </r>
    <r>
      <rPr>
        <b val="true"/>
        <sz val="10"/>
        <color rgb="FFFFFFFF"/>
        <rFont val="Noto Sans CJK SC"/>
        <family val="2"/>
        <charset val="1"/>
      </rPr>
      <t xml:space="preserve">度</t>
    </r>
    <r>
      <rPr>
        <b val="true"/>
        <sz val="10"/>
        <color rgb="FFFFFFFF"/>
        <rFont val="Arial"/>
        <family val="0"/>
        <charset val="1"/>
      </rPr>
      <t xml:space="preserve">])</t>
    </r>
  </si>
  <si>
    <r>
      <rPr>
        <b val="true"/>
        <sz val="10"/>
        <color rgb="FFFFFFFF"/>
        <rFont val="Noto Sans CJK SC"/>
        <family val="2"/>
        <charset val="1"/>
      </rPr>
      <t xml:space="preserve">計算用 </t>
    </r>
    <r>
      <rPr>
        <b val="true"/>
        <sz val="10"/>
        <color rgb="FFFFFFFF"/>
        <rFont val="Arial"/>
        <family val="0"/>
        <charset val="1"/>
      </rPr>
      <t xml:space="preserve">Re(H)</t>
    </r>
  </si>
  <si>
    <r>
      <rPr>
        <b val="true"/>
        <sz val="10"/>
        <color rgb="FFFFFFFF"/>
        <rFont val="Noto Sans CJK SC"/>
        <family val="2"/>
        <charset val="1"/>
      </rPr>
      <t xml:space="preserve">計算用 </t>
    </r>
    <r>
      <rPr>
        <b val="true"/>
        <sz val="10"/>
        <color rgb="FFFFFFFF"/>
        <rFont val="Arial"/>
        <family val="0"/>
        <charset val="1"/>
      </rPr>
      <t xml:space="preserve">Im(H)</t>
    </r>
  </si>
  <si>
    <r>
      <rPr>
        <b val="true"/>
        <sz val="10"/>
        <color rgb="FFFFFFFF"/>
        <rFont val="Noto Sans CJK SC"/>
        <family val="2"/>
        <charset val="1"/>
      </rPr>
      <t xml:space="preserve">正規化角周波数 </t>
    </r>
    <r>
      <rPr>
        <b val="true"/>
        <sz val="10"/>
        <color rgb="FFFFFFFF"/>
        <rFont val="Arial"/>
        <family val="0"/>
        <charset val="1"/>
      </rPr>
      <t xml:space="preserve">Ω</t>
    </r>
  </si>
  <si>
    <r>
      <rPr>
        <b val="true"/>
        <sz val="13"/>
        <color rgb="FFFFFFFF"/>
        <rFont val="Arial"/>
        <family val="0"/>
        <charset val="1"/>
      </rPr>
      <t xml:space="preserve">RFP</t>
    </r>
    <r>
      <rPr>
        <b val="true"/>
        <sz val="13"/>
        <color rgb="FFFFFFFF"/>
        <rFont val="Noto Sans CJK SC"/>
        <family val="2"/>
        <charset val="1"/>
      </rPr>
      <t xml:space="preserve">計算　― 有理多項式フィット（線形連立方程式を</t>
    </r>
    <r>
      <rPr>
        <b val="true"/>
        <sz val="13"/>
        <color rgb="FFFFFFFF"/>
        <rFont val="Arial"/>
        <family val="0"/>
        <charset val="1"/>
      </rPr>
      <t xml:space="preserve">MMULT</t>
    </r>
    <r>
      <rPr>
        <b val="true"/>
        <sz val="13"/>
        <color rgb="FFFFFFFF"/>
        <rFont val="Noto Sans CJK SC"/>
        <family val="2"/>
        <charset val="1"/>
      </rPr>
      <t xml:space="preserve">・</t>
    </r>
    <r>
      <rPr>
        <b val="true"/>
        <sz val="13"/>
        <color rgb="FFFFFFFF"/>
        <rFont val="Arial"/>
        <family val="0"/>
        <charset val="1"/>
      </rPr>
      <t xml:space="preserve">MINVERSE</t>
    </r>
    <r>
      <rPr>
        <b val="true"/>
        <sz val="13"/>
        <color rgb="FFFFFFFF"/>
        <rFont val="Noto Sans CJK SC"/>
        <family val="2"/>
        <charset val="1"/>
      </rPr>
      <t xml:space="preserve">で解く）</t>
    </r>
  </si>
  <si>
    <r>
      <rPr>
        <sz val="9"/>
        <color rgb="FF9AA4B2"/>
        <rFont val="Arial"/>
        <family val="0"/>
        <charset val="1"/>
      </rPr>
      <t xml:space="preserve">H(jΩ)=[b0+b1(jΩ)+b2(jΩ)²+b3(jΩ)³]/[a0+a1(jΩ)+a2(jΩ)²+a3(jΩ)³+(jΩ)⁴] </t>
    </r>
    <r>
      <rPr>
        <sz val="9"/>
        <color rgb="FF9AA4B2"/>
        <rFont val="Noto Sans CJK SC"/>
        <family val="2"/>
        <charset val="1"/>
      </rPr>
      <t xml:space="preserve">を、実部の式・虚部の式それぞれ点ごとに</t>
    </r>
    <r>
      <rPr>
        <sz val="9"/>
        <color rgb="FF9AA4B2"/>
        <rFont val="Arial"/>
        <family val="0"/>
        <charset val="1"/>
      </rPr>
      <t xml:space="preserve">1</t>
    </r>
    <r>
      <rPr>
        <sz val="9"/>
        <color rgb="FF9AA4B2"/>
        <rFont val="Noto Sans CJK SC"/>
        <family val="2"/>
        <charset val="1"/>
      </rPr>
      <t xml:space="preserve">行として並べ、最小二乗法で解きます（カーブフィット</t>
    </r>
    <r>
      <rPr>
        <sz val="9"/>
        <color rgb="FF9AA4B2"/>
        <rFont val="Arial"/>
        <family val="0"/>
        <charset val="1"/>
      </rPr>
      <t xml:space="preserve">_</t>
    </r>
    <r>
      <rPr>
        <sz val="9"/>
        <color rgb="FF9AA4B2"/>
        <rFont val="Noto Sans CJK SC"/>
        <family val="2"/>
        <charset val="1"/>
      </rPr>
      <t xml:space="preserve">窓関数</t>
    </r>
    <r>
      <rPr>
        <sz val="9"/>
        <color rgb="FF9AA4B2"/>
        <rFont val="Arial"/>
        <family val="0"/>
        <charset val="1"/>
      </rPr>
      <t xml:space="preserve">_Excel</t>
    </r>
    <r>
      <rPr>
        <sz val="9"/>
        <color rgb="FF9AA4B2"/>
        <rFont val="Noto Sans CJK SC"/>
        <family val="2"/>
        <charset val="1"/>
      </rPr>
      <t xml:space="preserve">解析ガイド</t>
    </r>
    <r>
      <rPr>
        <sz val="9"/>
        <color rgb="FF9AA4B2"/>
        <rFont val="Arial"/>
        <family val="0"/>
        <charset val="1"/>
      </rPr>
      <t xml:space="preserve">.html </t>
    </r>
    <r>
      <rPr>
        <sz val="9"/>
        <color rgb="FF9AA4B2"/>
        <rFont val="Noto Sans CJK SC"/>
        <family val="2"/>
        <charset val="1"/>
      </rPr>
      <t xml:space="preserve">第</t>
    </r>
    <r>
      <rPr>
        <sz val="9"/>
        <color rgb="FF9AA4B2"/>
        <rFont val="Arial"/>
        <family val="0"/>
        <charset val="1"/>
      </rPr>
      <t xml:space="preserve">4</t>
    </r>
    <r>
      <rPr>
        <sz val="9"/>
        <color rgb="FF9AA4B2"/>
        <rFont val="Noto Sans CJK SC"/>
        <family val="2"/>
        <charset val="1"/>
      </rPr>
      <t xml:space="preserve">部と同じ考え方）。</t>
    </r>
  </si>
  <si>
    <r>
      <rPr>
        <b val="true"/>
        <sz val="11"/>
        <color rgb="FFFFD98F"/>
        <rFont val="Noto Sans CJK SC"/>
        <family val="2"/>
        <charset val="1"/>
      </rPr>
      <t xml:space="preserve">▼ 行列計算（</t>
    </r>
    <r>
      <rPr>
        <b val="true"/>
        <sz val="11"/>
        <color rgb="FFFFD98F"/>
        <rFont val="Arial"/>
        <family val="0"/>
        <charset val="1"/>
      </rPr>
      <t xml:space="preserve">8×8</t>
    </r>
    <r>
      <rPr>
        <b val="true"/>
        <sz val="11"/>
        <color rgb="FFFFD98F"/>
        <rFont val="Noto Sans CJK SC"/>
        <family val="2"/>
        <charset val="1"/>
      </rPr>
      <t xml:space="preserve">）　係数 </t>
    </r>
    <r>
      <rPr>
        <b val="true"/>
        <sz val="11"/>
        <color rgb="FFFFD98F"/>
        <rFont val="Arial"/>
        <family val="0"/>
        <charset val="1"/>
      </rPr>
      <t xml:space="preserve">[b0,b1,b2,b3,a0,a1,a2,a3] </t>
    </r>
    <r>
      <rPr>
        <b val="true"/>
        <sz val="11"/>
        <color rgb="FFFFD98F"/>
        <rFont val="Noto Sans CJK SC"/>
        <family val="2"/>
        <charset val="1"/>
      </rPr>
      <t xml:space="preserve">を最小二乗法で求める</t>
    </r>
  </si>
  <si>
    <t xml:space="preserve">種別</t>
  </si>
  <si>
    <r>
      <rPr>
        <b val="true"/>
        <sz val="10"/>
        <color rgb="FFFFFFFF"/>
        <rFont val="Noto Sans CJK SC"/>
        <family val="2"/>
        <charset val="1"/>
      </rPr>
      <t xml:space="preserve">周波数</t>
    </r>
    <r>
      <rPr>
        <b val="true"/>
        <sz val="10"/>
        <color rgb="FFFFFFFF"/>
        <rFont val="Arial"/>
        <family val="0"/>
        <charset val="1"/>
      </rPr>
      <t xml:space="preserve">f[Hz]</t>
    </r>
  </si>
  <si>
    <t xml:space="preserve">b0</t>
  </si>
  <si>
    <t xml:space="preserve">b1</t>
  </si>
  <si>
    <t xml:space="preserve">b2</t>
  </si>
  <si>
    <t xml:space="preserve">b3</t>
  </si>
  <si>
    <t xml:space="preserve">a0</t>
  </si>
  <si>
    <t xml:space="preserve">a1</t>
  </si>
  <si>
    <t xml:space="preserve">a2</t>
  </si>
  <si>
    <t xml:space="preserve">a3</t>
  </si>
  <si>
    <t xml:space="preserve">RHS</t>
  </si>
  <si>
    <t xml:space="preserve">AᵀA (8×8)</t>
  </si>
  <si>
    <t xml:space="preserve">Aᵀc</t>
  </si>
  <si>
    <t xml:space="preserve">係数（答え）</t>
  </si>
  <si>
    <t xml:space="preserve">実部</t>
  </si>
  <si>
    <t xml:space="preserve">(AᵀA)⁻¹ (8×8)</t>
  </si>
  <si>
    <t xml:space="preserve">虚部</t>
  </si>
  <si>
    <r>
      <rPr>
        <b val="true"/>
        <sz val="13"/>
        <color rgb="FFFFFFFF"/>
        <rFont val="Noto Sans CJK SC"/>
        <family val="2"/>
        <charset val="1"/>
      </rPr>
      <t xml:space="preserve">モード分離結果　― </t>
    </r>
    <r>
      <rPr>
        <b val="true"/>
        <sz val="13"/>
        <color rgb="FFFFFFFF"/>
        <rFont val="Arial"/>
        <family val="0"/>
        <charset val="1"/>
      </rPr>
      <t xml:space="preserve">2</t>
    </r>
    <r>
      <rPr>
        <b val="true"/>
        <sz val="13"/>
        <color rgb="FFFFFFFF"/>
        <rFont val="Noto Sans CJK SC"/>
        <family val="2"/>
        <charset val="1"/>
      </rPr>
      <t xml:space="preserve">つのモードの固有振動数</t>
    </r>
    <r>
      <rPr>
        <b val="true"/>
        <sz val="13"/>
        <color rgb="FFFFFFFF"/>
        <rFont val="Arial"/>
        <family val="0"/>
        <charset val="1"/>
      </rPr>
      <t xml:space="preserve">fn</t>
    </r>
    <r>
      <rPr>
        <b val="true"/>
        <sz val="13"/>
        <color rgb="FFFFFFFF"/>
        <rFont val="Noto Sans CJK SC"/>
        <family val="2"/>
        <charset val="1"/>
      </rPr>
      <t xml:space="preserve">と損失係数</t>
    </r>
    <r>
      <rPr>
        <b val="true"/>
        <sz val="13"/>
        <color rgb="FFFFFFFF"/>
        <rFont val="Arial"/>
        <family val="0"/>
        <charset val="1"/>
      </rPr>
      <t xml:space="preserve">η</t>
    </r>
    <r>
      <rPr>
        <b val="true"/>
        <sz val="13"/>
        <color rgb="FFFFFFFF"/>
        <rFont val="Noto Sans CJK SC"/>
        <family val="2"/>
        <charset val="1"/>
      </rPr>
      <t xml:space="preserve">（★答えはここ）</t>
    </r>
  </si>
  <si>
    <r>
      <rPr>
        <b val="true"/>
        <sz val="10"/>
        <color rgb="FFFFFFFF"/>
        <rFont val="Noto Sans CJK SC"/>
        <family val="2"/>
        <charset val="1"/>
      </rPr>
      <t xml:space="preserve">モード</t>
    </r>
    <r>
      <rPr>
        <b val="true"/>
        <sz val="10"/>
        <color rgb="FFFFFFFF"/>
        <rFont val="Arial"/>
        <family val="0"/>
        <charset val="1"/>
      </rPr>
      <t xml:space="preserve">A</t>
    </r>
    <r>
      <rPr>
        <b val="true"/>
        <sz val="10"/>
        <color rgb="FFFFFFFF"/>
        <rFont val="Noto Sans CJK SC"/>
        <family val="2"/>
        <charset val="1"/>
      </rPr>
      <t xml:space="preserve">（低い方）</t>
    </r>
  </si>
  <si>
    <r>
      <rPr>
        <b val="true"/>
        <sz val="10"/>
        <color rgb="FFFFFFFF"/>
        <rFont val="Noto Sans CJK SC"/>
        <family val="2"/>
        <charset val="1"/>
      </rPr>
      <t xml:space="preserve">モード</t>
    </r>
    <r>
      <rPr>
        <b val="true"/>
        <sz val="10"/>
        <color rgb="FFFFFFFF"/>
        <rFont val="Arial"/>
        <family val="0"/>
        <charset val="1"/>
      </rPr>
      <t xml:space="preserve">B</t>
    </r>
    <r>
      <rPr>
        <b val="true"/>
        <sz val="10"/>
        <color rgb="FFFFFFFF"/>
        <rFont val="Noto Sans CJK SC"/>
        <family val="2"/>
        <charset val="1"/>
      </rPr>
      <t xml:space="preserve">（高い方）</t>
    </r>
  </si>
  <si>
    <t xml:space="preserve">備考</t>
  </si>
  <si>
    <r>
      <rPr>
        <sz val="10"/>
        <color rgb="FFE6E6E6"/>
        <rFont val="Noto Sans CJK SC"/>
        <family val="2"/>
        <charset val="1"/>
      </rPr>
      <t xml:space="preserve">固有振動数 </t>
    </r>
    <r>
      <rPr>
        <sz val="10"/>
        <color rgb="FFE6E6E6"/>
        <rFont val="Arial"/>
        <family val="0"/>
        <charset val="1"/>
      </rPr>
      <t xml:space="preserve">fn [Hz]</t>
    </r>
  </si>
  <si>
    <r>
      <rPr>
        <sz val="9"/>
        <color rgb="FF9AA4B2"/>
        <rFont val="Noto Sans CJK SC"/>
        <family val="2"/>
        <charset val="1"/>
      </rPr>
      <t xml:space="preserve">小さい方をモード</t>
    </r>
    <r>
      <rPr>
        <sz val="9"/>
        <color rgb="FF9AA4B2"/>
        <rFont val="Arial"/>
        <family val="0"/>
        <charset val="1"/>
      </rPr>
      <t xml:space="preserve">A</t>
    </r>
    <r>
      <rPr>
        <sz val="9"/>
        <color rgb="FF9AA4B2"/>
        <rFont val="Noto Sans CJK SC"/>
        <family val="2"/>
        <charset val="1"/>
      </rPr>
      <t xml:space="preserve">として表示</t>
    </r>
  </si>
  <si>
    <r>
      <rPr>
        <sz val="10"/>
        <color rgb="FFE6E6E6"/>
        <rFont val="Noto Sans CJK SC"/>
        <family val="2"/>
        <charset val="1"/>
      </rPr>
      <t xml:space="preserve">損失係数 </t>
    </r>
    <r>
      <rPr>
        <sz val="10"/>
        <color rgb="FFE6E6E6"/>
        <rFont val="Arial"/>
        <family val="0"/>
        <charset val="1"/>
      </rPr>
      <t xml:space="preserve">η</t>
    </r>
  </si>
  <si>
    <r>
      <rPr>
        <sz val="9"/>
        <color rgb="FF9AA4B2"/>
        <rFont val="Arial"/>
        <family val="0"/>
        <charset val="1"/>
      </rPr>
      <t xml:space="preserve">fn</t>
    </r>
    <r>
      <rPr>
        <sz val="9"/>
        <color rgb="FF9AA4B2"/>
        <rFont val="Noto Sans CJK SC"/>
        <family val="2"/>
        <charset val="1"/>
      </rPr>
      <t xml:space="preserve">と対になる損失係数</t>
    </r>
  </si>
  <si>
    <t xml:space="preserve">判定</t>
  </si>
  <si>
    <r>
      <rPr>
        <sz val="9"/>
        <color rgb="FF9AA4B2"/>
        <rFont val="Noto Sans CJK SC"/>
        <family val="2"/>
        <charset val="1"/>
      </rPr>
      <t xml:space="preserve">判定が「要確認」の場合は、下の詳細計算欄にある「分解の判定」「</t>
    </r>
    <r>
      <rPr>
        <sz val="9"/>
        <color rgb="FF9AA4B2"/>
        <rFont val="Arial"/>
        <family val="0"/>
        <charset val="1"/>
      </rPr>
      <t xml:space="preserve">u</t>
    </r>
    <r>
      <rPr>
        <sz val="9"/>
        <color rgb="FF9AA4B2"/>
        <rFont val="Noto Sans CJK SC"/>
        <family val="2"/>
        <charset val="1"/>
      </rPr>
      <t xml:space="preserve">しきい値判定」「最終判定」の行で理由（前提条件・境界条件）を確認してください。「</t>
    </r>
    <r>
      <rPr>
        <sz val="9"/>
        <color rgb="FF9AA4B2"/>
        <rFont val="Arial"/>
        <family val="0"/>
        <charset val="1"/>
      </rPr>
      <t xml:space="preserve">OK</t>
    </r>
    <r>
      <rPr>
        <sz val="9"/>
        <color rgb="FF9AA4B2"/>
        <rFont val="Noto Sans CJK SC"/>
        <family val="2"/>
        <charset val="1"/>
      </rPr>
      <t xml:space="preserve">」の場合でも、検算シートで既知サンプルとの整合を確認しておくと安心です。</t>
    </r>
  </si>
  <si>
    <r>
      <rPr>
        <b val="true"/>
        <sz val="11"/>
        <color rgb="FFFFD98F"/>
        <rFont val="Noto Sans CJK SC"/>
        <family val="2"/>
        <charset val="1"/>
      </rPr>
      <t xml:space="preserve">▼ 詳細計算：</t>
    </r>
    <r>
      <rPr>
        <b val="true"/>
        <sz val="11"/>
        <color rgb="FFFFD98F"/>
        <rFont val="Arial"/>
        <family val="0"/>
        <charset val="1"/>
      </rPr>
      <t xml:space="preserve">4</t>
    </r>
    <r>
      <rPr>
        <b val="true"/>
        <sz val="11"/>
        <color rgb="FFFFD98F"/>
        <rFont val="Noto Sans CJK SC"/>
        <family val="2"/>
        <charset val="1"/>
      </rPr>
      <t xml:space="preserve">次方程式 </t>
    </r>
    <r>
      <rPr>
        <b val="true"/>
        <sz val="11"/>
        <color rgb="FFFFD98F"/>
        <rFont val="Arial"/>
        <family val="0"/>
        <charset val="1"/>
      </rPr>
      <t xml:space="preserve">s⁴+a3s³+a2s²+a1s+a0 = (s²+p1s+q1)(s²+p2s+q2) </t>
    </r>
    <r>
      <rPr>
        <b val="true"/>
        <sz val="11"/>
        <color rgb="FFFFD98F"/>
        <rFont val="Noto Sans CJK SC"/>
        <family val="2"/>
        <charset val="1"/>
      </rPr>
      <t xml:space="preserve">に閉形式で分解</t>
    </r>
  </si>
  <si>
    <r>
      <rPr>
        <sz val="10"/>
        <color rgb="FFE6E6E6"/>
        <rFont val="Arial"/>
        <family val="0"/>
        <charset val="1"/>
      </rPr>
      <t xml:space="preserve">a0 (RFP</t>
    </r>
    <r>
      <rPr>
        <sz val="10"/>
        <color rgb="FFE6E6E6"/>
        <rFont val="Noto Sans CJK SC"/>
        <family val="2"/>
        <charset val="1"/>
      </rPr>
      <t xml:space="preserve">計算より</t>
    </r>
    <r>
      <rPr>
        <sz val="10"/>
        <color rgb="FFE6E6E6"/>
        <rFont val="Arial"/>
        <family val="0"/>
        <charset val="1"/>
      </rPr>
      <t xml:space="preserve">)</t>
    </r>
  </si>
  <si>
    <r>
      <rPr>
        <sz val="10"/>
        <color rgb="FFE6E6E6"/>
        <rFont val="Arial"/>
        <family val="0"/>
        <charset val="1"/>
      </rPr>
      <t xml:space="preserve">p</t>
    </r>
    <r>
      <rPr>
        <sz val="10"/>
        <color rgb="FFE6E6E6"/>
        <rFont val="Noto Sans CJK SC"/>
        <family val="2"/>
        <charset val="1"/>
      </rPr>
      <t xml:space="preserve">（</t>
    </r>
    <r>
      <rPr>
        <sz val="10"/>
        <color rgb="FFE6E6E6"/>
        <rFont val="Arial"/>
        <family val="0"/>
        <charset val="1"/>
      </rPr>
      <t xml:space="preserve">depress</t>
    </r>
    <r>
      <rPr>
        <sz val="10"/>
        <color rgb="FFE6E6E6"/>
        <rFont val="Noto Sans CJK SC"/>
        <family val="2"/>
        <charset val="1"/>
      </rPr>
      <t xml:space="preserve">）</t>
    </r>
  </si>
  <si>
    <r>
      <rPr>
        <sz val="9"/>
        <color rgb="FF9AA4B2"/>
        <rFont val="Arial"/>
        <family val="0"/>
        <charset val="1"/>
      </rPr>
      <t xml:space="preserve">s=z-a3/4 </t>
    </r>
    <r>
      <rPr>
        <sz val="9"/>
        <color rgb="FF9AA4B2"/>
        <rFont val="Noto Sans CJK SC"/>
        <family val="2"/>
        <charset val="1"/>
      </rPr>
      <t xml:space="preserve">と置いて</t>
    </r>
    <r>
      <rPr>
        <sz val="9"/>
        <color rgb="FF9AA4B2"/>
        <rFont val="Arial"/>
        <family val="0"/>
        <charset val="1"/>
      </rPr>
      <t xml:space="preserve">3</t>
    </r>
    <r>
      <rPr>
        <sz val="9"/>
        <color rgb="FF9AA4B2"/>
        <rFont val="Noto Sans CJK SC"/>
        <family val="2"/>
        <charset val="1"/>
      </rPr>
      <t xml:space="preserve">次の項を消した</t>
    </r>
    <r>
      <rPr>
        <sz val="9"/>
        <color rgb="FF9AA4B2"/>
        <rFont val="Arial"/>
        <family val="0"/>
        <charset val="1"/>
      </rPr>
      <t xml:space="preserve">4</t>
    </r>
    <r>
      <rPr>
        <sz val="9"/>
        <color rgb="FF9AA4B2"/>
        <rFont val="Noto Sans CJK SC"/>
        <family val="2"/>
        <charset val="1"/>
      </rPr>
      <t xml:space="preserve">次式 </t>
    </r>
    <r>
      <rPr>
        <sz val="9"/>
        <color rgb="FF9AA4B2"/>
        <rFont val="Arial"/>
        <family val="0"/>
        <charset val="1"/>
      </rPr>
      <t xml:space="preserve">z⁴+pz²+qz+r </t>
    </r>
    <r>
      <rPr>
        <sz val="9"/>
        <color rgb="FF9AA4B2"/>
        <rFont val="Noto Sans CJK SC"/>
        <family val="2"/>
        <charset val="1"/>
      </rPr>
      <t xml:space="preserve">の係数</t>
    </r>
  </si>
  <si>
    <r>
      <rPr>
        <sz val="10"/>
        <color rgb="FFE6E6E6"/>
        <rFont val="Arial"/>
        <family val="0"/>
        <charset val="1"/>
      </rPr>
      <t xml:space="preserve">q</t>
    </r>
    <r>
      <rPr>
        <sz val="10"/>
        <color rgb="FFE6E6E6"/>
        <rFont val="Noto Sans CJK SC"/>
        <family val="2"/>
        <charset val="1"/>
      </rPr>
      <t xml:space="preserve">（</t>
    </r>
    <r>
      <rPr>
        <sz val="10"/>
        <color rgb="FFE6E6E6"/>
        <rFont val="Arial"/>
        <family val="0"/>
        <charset val="1"/>
      </rPr>
      <t xml:space="preserve">depress</t>
    </r>
    <r>
      <rPr>
        <sz val="10"/>
        <color rgb="FFE6E6E6"/>
        <rFont val="Noto Sans CJK SC"/>
        <family val="2"/>
        <charset val="1"/>
      </rPr>
      <t xml:space="preserve">）</t>
    </r>
  </si>
  <si>
    <r>
      <rPr>
        <sz val="10"/>
        <color rgb="FFE6E6E6"/>
        <rFont val="Arial"/>
        <family val="0"/>
        <charset val="1"/>
      </rPr>
      <t xml:space="preserve">r</t>
    </r>
    <r>
      <rPr>
        <sz val="10"/>
        <color rgb="FFE6E6E6"/>
        <rFont val="Noto Sans CJK SC"/>
        <family val="2"/>
        <charset val="1"/>
      </rPr>
      <t xml:space="preserve">（</t>
    </r>
    <r>
      <rPr>
        <sz val="10"/>
        <color rgb="FFE6E6E6"/>
        <rFont val="Arial"/>
        <family val="0"/>
        <charset val="1"/>
      </rPr>
      <t xml:space="preserve">depress</t>
    </r>
    <r>
      <rPr>
        <sz val="10"/>
        <color rgb="FFE6E6E6"/>
        <rFont val="Noto Sans CJK SC"/>
        <family val="2"/>
        <charset val="1"/>
      </rPr>
      <t xml:space="preserve">）</t>
    </r>
  </si>
  <si>
    <r>
      <rPr>
        <b val="true"/>
        <sz val="11"/>
        <color rgb="FFFFD98F"/>
        <rFont val="Noto Sans CJK SC"/>
        <family val="2"/>
        <charset val="1"/>
      </rPr>
      <t xml:space="preserve">レゾルベント</t>
    </r>
    <r>
      <rPr>
        <b val="true"/>
        <sz val="11"/>
        <color rgb="FFFFD98F"/>
        <rFont val="Arial"/>
        <family val="0"/>
        <charset val="1"/>
      </rPr>
      <t xml:space="preserve">3</t>
    </r>
    <r>
      <rPr>
        <b val="true"/>
        <sz val="11"/>
        <color rgb="FFFFD98F"/>
        <rFont val="Noto Sans CJK SC"/>
        <family val="2"/>
        <charset val="1"/>
      </rPr>
      <t xml:space="preserve">次方程式  </t>
    </r>
    <r>
      <rPr>
        <b val="true"/>
        <sz val="11"/>
        <color rgb="FFFFD98F"/>
        <rFont val="Arial"/>
        <family val="0"/>
        <charset val="1"/>
      </rPr>
      <t xml:space="preserve">u³+Ac2 u²+Ac1 u+Ac0=0  </t>
    </r>
    <r>
      <rPr>
        <b val="true"/>
        <sz val="11"/>
        <color rgb="FFFFD98F"/>
        <rFont val="Noto Sans CJK SC"/>
        <family val="2"/>
        <charset val="1"/>
      </rPr>
      <t xml:space="preserve">を解いて </t>
    </r>
    <r>
      <rPr>
        <b val="true"/>
        <sz val="11"/>
        <color rgb="FFFFD98F"/>
        <rFont val="Arial"/>
        <family val="0"/>
        <charset val="1"/>
      </rPr>
      <t xml:space="preserve">u=α² </t>
    </r>
    <r>
      <rPr>
        <b val="true"/>
        <sz val="11"/>
        <color rgb="FFFFD98F"/>
        <rFont val="Noto Sans CJK SC"/>
        <family val="2"/>
        <charset val="1"/>
      </rPr>
      <t xml:space="preserve">を求める</t>
    </r>
  </si>
  <si>
    <t xml:space="preserve">Ac2 = 2p</t>
  </si>
  <si>
    <t xml:space="preserve">Ac1 = p²-4r</t>
  </si>
  <si>
    <t xml:space="preserve">Ac0 = -q²</t>
  </si>
  <si>
    <r>
      <rPr>
        <sz val="10"/>
        <color rgb="FFE6E6E6"/>
        <rFont val="Arial"/>
        <family val="0"/>
        <charset val="1"/>
      </rPr>
      <t xml:space="preserve">P</t>
    </r>
    <r>
      <rPr>
        <sz val="10"/>
        <color rgb="FFE6E6E6"/>
        <rFont val="Noto Sans CJK SC"/>
        <family val="2"/>
        <charset val="1"/>
      </rPr>
      <t xml:space="preserve">（レゾルベント </t>
    </r>
    <r>
      <rPr>
        <sz val="10"/>
        <color rgb="FFE6E6E6"/>
        <rFont val="Arial"/>
        <family val="0"/>
        <charset val="1"/>
      </rPr>
      <t xml:space="preserve">depress</t>
    </r>
    <r>
      <rPr>
        <sz val="10"/>
        <color rgb="FFE6E6E6"/>
        <rFont val="Noto Sans CJK SC"/>
        <family val="2"/>
        <charset val="1"/>
      </rPr>
      <t xml:space="preserve">）</t>
    </r>
  </si>
  <si>
    <r>
      <rPr>
        <sz val="10"/>
        <color rgb="FFE6E6E6"/>
        <rFont val="Arial"/>
        <family val="0"/>
        <charset val="1"/>
      </rPr>
      <t xml:space="preserve">Q</t>
    </r>
    <r>
      <rPr>
        <sz val="10"/>
        <color rgb="FFE6E6E6"/>
        <rFont val="Noto Sans CJK SC"/>
        <family val="2"/>
        <charset val="1"/>
      </rPr>
      <t xml:space="preserve">（レゾルベント </t>
    </r>
    <r>
      <rPr>
        <sz val="10"/>
        <color rgb="FFE6E6E6"/>
        <rFont val="Arial"/>
        <family val="0"/>
        <charset val="1"/>
      </rPr>
      <t xml:space="preserve">depress</t>
    </r>
    <r>
      <rPr>
        <sz val="10"/>
        <color rgb="FFE6E6E6"/>
        <rFont val="Noto Sans CJK SC"/>
        <family val="2"/>
        <charset val="1"/>
      </rPr>
      <t xml:space="preserve">）</t>
    </r>
  </si>
  <si>
    <r>
      <rPr>
        <sz val="10"/>
        <color rgb="FFE6E6E6"/>
        <rFont val="Noto Sans CJK SC"/>
        <family val="2"/>
        <charset val="1"/>
      </rPr>
      <t xml:space="preserve">分解の判定：レゾルベントの</t>
    </r>
    <r>
      <rPr>
        <sz val="10"/>
        <color rgb="FFE6E6E6"/>
        <rFont val="Arial"/>
        <family val="0"/>
        <charset val="1"/>
      </rPr>
      <t xml:space="preserve">P&lt;0</t>
    </r>
    <r>
      <rPr>
        <sz val="10"/>
        <color rgb="FFE6E6E6"/>
        <rFont val="Noto Sans CJK SC"/>
        <family val="2"/>
        <charset val="1"/>
      </rPr>
      <t xml:space="preserve">か</t>
    </r>
  </si>
  <si>
    <r>
      <rPr>
        <sz val="9"/>
        <color rgb="FF9AA4B2"/>
        <rFont val="Arial"/>
        <family val="0"/>
        <charset val="1"/>
      </rPr>
      <t xml:space="preserve">TRUE</t>
    </r>
    <r>
      <rPr>
        <sz val="9"/>
        <color rgb="FF9AA4B2"/>
        <rFont val="Noto Sans CJK SC"/>
        <family val="2"/>
        <charset val="1"/>
      </rPr>
      <t xml:space="preserve">なら以下の三角関数解法（実根</t>
    </r>
    <r>
      <rPr>
        <sz val="9"/>
        <color rgb="FF9AA4B2"/>
        <rFont val="Arial"/>
        <family val="0"/>
        <charset val="1"/>
      </rPr>
      <t xml:space="preserve">3</t>
    </r>
    <r>
      <rPr>
        <sz val="9"/>
        <color rgb="FF9AA4B2"/>
        <rFont val="Noto Sans CJK SC"/>
        <family val="2"/>
        <charset val="1"/>
      </rPr>
      <t xml:space="preserve">つ）が使えます。</t>
    </r>
    <r>
      <rPr>
        <sz val="9"/>
        <color rgb="FF9AA4B2"/>
        <rFont val="Arial"/>
        <family val="0"/>
        <charset val="1"/>
      </rPr>
      <t xml:space="preserve">FALSE</t>
    </r>
    <r>
      <rPr>
        <sz val="9"/>
        <color rgb="FF9AA4B2"/>
        <rFont val="Noto Sans CJK SC"/>
        <family val="2"/>
        <charset val="1"/>
      </rPr>
      <t xml:space="preserve">な場合は既存ガイド</t>
    </r>
    <r>
      <rPr>
        <sz val="9"/>
        <color rgb="FF9AA4B2"/>
        <rFont val="Arial"/>
        <family val="0"/>
        <charset val="1"/>
      </rPr>
      <t xml:space="preserve">4-5</t>
    </r>
    <r>
      <rPr>
        <sz val="9"/>
        <color rgb="FF9AA4B2"/>
        <rFont val="Noto Sans CJK SC"/>
        <family val="2"/>
        <charset val="1"/>
      </rPr>
      <t xml:space="preserve">節の</t>
    </r>
    <r>
      <rPr>
        <sz val="9"/>
        <color rgb="FF9AA4B2"/>
        <rFont val="Arial"/>
        <family val="0"/>
        <charset val="1"/>
      </rPr>
      <t xml:space="preserve">Solver</t>
    </r>
    <r>
      <rPr>
        <sz val="9"/>
        <color rgb="FF9AA4B2"/>
        <rFont val="Noto Sans CJK SC"/>
        <family val="2"/>
        <charset val="1"/>
      </rPr>
      <t xml:space="preserve">法に切替えてください。</t>
    </r>
  </si>
  <si>
    <t xml:space="preserve">m = 2√(-P/3)</t>
  </si>
  <si>
    <t xml:space="preserve">θ = ACOS( clip(3Q/(Pm)) )/3</t>
  </si>
  <si>
    <r>
      <rPr>
        <sz val="10"/>
        <color rgb="FFE6E6E6"/>
        <rFont val="Arial"/>
        <family val="0"/>
        <charset val="1"/>
      </rPr>
      <t xml:space="preserve">u1(</t>
    </r>
    <r>
      <rPr>
        <sz val="10"/>
        <color rgb="FFE6E6E6"/>
        <rFont val="Noto Sans CJK SC"/>
        <family val="2"/>
        <charset val="1"/>
      </rPr>
      <t xml:space="preserve">仮</t>
    </r>
    <r>
      <rPr>
        <sz val="10"/>
        <color rgb="FFE6E6E6"/>
        <rFont val="Arial"/>
        <family val="0"/>
        <charset val="1"/>
      </rPr>
      <t xml:space="preserve">) = m</t>
    </r>
    <r>
      <rPr>
        <sz val="10"/>
        <color rgb="FFE6E6E6"/>
        <rFont val="Noto Sans CJK SC"/>
        <family val="2"/>
        <charset val="1"/>
      </rPr>
      <t xml:space="preserve">・</t>
    </r>
    <r>
      <rPr>
        <sz val="10"/>
        <color rgb="FFE6E6E6"/>
        <rFont val="Arial"/>
        <family val="0"/>
        <charset val="1"/>
      </rPr>
      <t xml:space="preserve">cosθ - Ac2/3</t>
    </r>
  </si>
  <si>
    <r>
      <rPr>
        <sz val="10"/>
        <color rgb="FFE6E6E6"/>
        <rFont val="Arial"/>
        <family val="0"/>
        <charset val="1"/>
      </rPr>
      <t xml:space="preserve">u2(</t>
    </r>
    <r>
      <rPr>
        <sz val="10"/>
        <color rgb="FFE6E6E6"/>
        <rFont val="Noto Sans CJK SC"/>
        <family val="2"/>
        <charset val="1"/>
      </rPr>
      <t xml:space="preserve">仮</t>
    </r>
    <r>
      <rPr>
        <sz val="10"/>
        <color rgb="FFE6E6E6"/>
        <rFont val="Arial"/>
        <family val="0"/>
        <charset val="1"/>
      </rPr>
      <t xml:space="preserve">) = m</t>
    </r>
    <r>
      <rPr>
        <sz val="10"/>
        <color rgb="FFE6E6E6"/>
        <rFont val="Noto Sans CJK SC"/>
        <family val="2"/>
        <charset val="1"/>
      </rPr>
      <t xml:space="preserve">・</t>
    </r>
    <r>
      <rPr>
        <sz val="10"/>
        <color rgb="FFE6E6E6"/>
        <rFont val="Arial"/>
        <family val="0"/>
        <charset val="1"/>
      </rPr>
      <t xml:space="preserve">cos(θ-2π/3) - Ac2/3</t>
    </r>
  </si>
  <si>
    <r>
      <rPr>
        <sz val="10"/>
        <color rgb="FFE6E6E6"/>
        <rFont val="Arial"/>
        <family val="0"/>
        <charset val="1"/>
      </rPr>
      <t xml:space="preserve">u3(</t>
    </r>
    <r>
      <rPr>
        <sz val="10"/>
        <color rgb="FFE6E6E6"/>
        <rFont val="Noto Sans CJK SC"/>
        <family val="2"/>
        <charset val="1"/>
      </rPr>
      <t xml:space="preserve">仮</t>
    </r>
    <r>
      <rPr>
        <sz val="10"/>
        <color rgb="FFE6E6E6"/>
        <rFont val="Arial"/>
        <family val="0"/>
        <charset val="1"/>
      </rPr>
      <t xml:space="preserve">) = m</t>
    </r>
    <r>
      <rPr>
        <sz val="10"/>
        <color rgb="FFE6E6E6"/>
        <rFont val="Noto Sans CJK SC"/>
        <family val="2"/>
        <charset val="1"/>
      </rPr>
      <t xml:space="preserve">・</t>
    </r>
    <r>
      <rPr>
        <sz val="10"/>
        <color rgb="FFE6E6E6"/>
        <rFont val="Arial"/>
        <family val="0"/>
        <charset val="1"/>
      </rPr>
      <t xml:space="preserve">cos(θ-4π/3) - Ac2/3</t>
    </r>
  </si>
  <si>
    <r>
      <rPr>
        <b val="true"/>
        <sz val="11"/>
        <color rgb="FFFFD98F"/>
        <rFont val="Noto Sans CJK SC"/>
        <family val="2"/>
        <charset val="1"/>
      </rPr>
      <t xml:space="preserve">桁落ち対策（</t>
    </r>
    <r>
      <rPr>
        <b val="true"/>
        <sz val="11"/>
        <color rgb="FFFFD98F"/>
        <rFont val="Arial"/>
        <family val="0"/>
        <charset val="1"/>
      </rPr>
      <t xml:space="preserve">deflation</t>
    </r>
    <r>
      <rPr>
        <b val="true"/>
        <sz val="11"/>
        <color rgb="FFFFD98F"/>
        <rFont val="Noto Sans CJK SC"/>
        <family val="2"/>
        <charset val="1"/>
      </rPr>
      <t xml:space="preserve">）：</t>
    </r>
    <r>
      <rPr>
        <b val="true"/>
        <sz val="11"/>
        <color rgb="FFFFD98F"/>
        <rFont val="Arial"/>
        <family val="0"/>
        <charset val="1"/>
      </rPr>
      <t xml:space="preserve">3</t>
    </r>
    <r>
      <rPr>
        <b val="true"/>
        <sz val="11"/>
        <color rgb="FFFFD98F"/>
        <rFont val="Noto Sans CJK SC"/>
        <family val="2"/>
        <charset val="1"/>
      </rPr>
      <t xml:space="preserve">根のうち絶対値が最大＝計算精度の良いものだけ直接採用し、残り</t>
    </r>
    <r>
      <rPr>
        <b val="true"/>
        <sz val="11"/>
        <color rgb="FFFFD98F"/>
        <rFont val="Arial"/>
        <family val="0"/>
        <charset val="1"/>
      </rPr>
      <t xml:space="preserve">2</t>
    </r>
    <r>
      <rPr>
        <b val="true"/>
        <sz val="11"/>
        <color rgb="FFFFD98F"/>
        <rFont val="Noto Sans CJK SC"/>
        <family val="2"/>
        <charset val="1"/>
      </rPr>
      <t xml:space="preserve">根は代数的に分離</t>
    </r>
  </si>
  <si>
    <r>
      <rPr>
        <sz val="10"/>
        <color rgb="FFE6E6E6"/>
        <rFont val="Arial"/>
        <family val="0"/>
        <charset val="1"/>
      </rPr>
      <t xml:space="preserve">u_safe</t>
    </r>
    <r>
      <rPr>
        <sz val="10"/>
        <color rgb="FFE6E6E6"/>
        <rFont val="Noto Sans CJK SC"/>
        <family val="2"/>
        <charset val="1"/>
      </rPr>
      <t xml:space="preserve">（</t>
    </r>
    <r>
      <rPr>
        <sz val="10"/>
        <color rgb="FFE6E6E6"/>
        <rFont val="Arial"/>
        <family val="0"/>
        <charset val="1"/>
      </rPr>
      <t xml:space="preserve">3</t>
    </r>
    <r>
      <rPr>
        <sz val="10"/>
        <color rgb="FFE6E6E6"/>
        <rFont val="Noto Sans CJK SC"/>
        <family val="2"/>
        <charset val="1"/>
      </rPr>
      <t xml:space="preserve">仮根のうち</t>
    </r>
    <r>
      <rPr>
        <sz val="10"/>
        <color rgb="FFE6E6E6"/>
        <rFont val="Arial"/>
        <family val="0"/>
        <charset val="1"/>
      </rPr>
      <t xml:space="preserve">|</t>
    </r>
    <r>
      <rPr>
        <sz val="10"/>
        <color rgb="FFE6E6E6"/>
        <rFont val="Noto Sans CJK SC"/>
        <family val="2"/>
        <charset val="1"/>
      </rPr>
      <t xml:space="preserve">値</t>
    </r>
    <r>
      <rPr>
        <sz val="10"/>
        <color rgb="FFE6E6E6"/>
        <rFont val="Arial"/>
        <family val="0"/>
        <charset val="1"/>
      </rPr>
      <t xml:space="preserve">|</t>
    </r>
    <r>
      <rPr>
        <sz val="10"/>
        <color rgb="FFE6E6E6"/>
        <rFont val="Noto Sans CJK SC"/>
        <family val="2"/>
        <charset val="1"/>
      </rPr>
      <t xml:space="preserve">最大＝安全に計算できているもの）</t>
    </r>
  </si>
  <si>
    <r>
      <rPr>
        <sz val="10"/>
        <color rgb="FFE6E6E6"/>
        <rFont val="Arial"/>
        <family val="0"/>
        <charset val="1"/>
      </rPr>
      <t xml:space="preserve">B'</t>
    </r>
    <r>
      <rPr>
        <sz val="10"/>
        <color rgb="FFE6E6E6"/>
        <rFont val="Noto Sans CJK SC"/>
        <family val="2"/>
        <charset val="1"/>
      </rPr>
      <t xml:space="preserve">（残り</t>
    </r>
    <r>
      <rPr>
        <sz val="10"/>
        <color rgb="FFE6E6E6"/>
        <rFont val="Arial"/>
        <family val="0"/>
        <charset val="1"/>
      </rPr>
      <t xml:space="preserve">2</t>
    </r>
    <r>
      <rPr>
        <sz val="10"/>
        <color rgb="FFE6E6E6"/>
        <rFont val="Noto Sans CJK SC"/>
        <family val="2"/>
        <charset val="1"/>
      </rPr>
      <t xml:space="preserve">根の和の符号反転：ヴィエタの公式）</t>
    </r>
  </si>
  <si>
    <r>
      <rPr>
        <sz val="10"/>
        <color rgb="FFE6E6E6"/>
        <rFont val="Arial"/>
        <family val="0"/>
        <charset val="1"/>
      </rPr>
      <t xml:space="preserve">C'</t>
    </r>
    <r>
      <rPr>
        <sz val="10"/>
        <color rgb="FFE6E6E6"/>
        <rFont val="Noto Sans CJK SC"/>
        <family val="2"/>
        <charset val="1"/>
      </rPr>
      <t xml:space="preserve">（残り</t>
    </r>
    <r>
      <rPr>
        <sz val="10"/>
        <color rgb="FFE6E6E6"/>
        <rFont val="Arial"/>
        <family val="0"/>
        <charset val="1"/>
      </rPr>
      <t xml:space="preserve">2</t>
    </r>
    <r>
      <rPr>
        <sz val="10"/>
        <color rgb="FFE6E6E6"/>
        <rFont val="Noto Sans CJK SC"/>
        <family val="2"/>
        <charset val="1"/>
      </rPr>
      <t xml:space="preserve">根の積：ヴィエタの公式）</t>
    </r>
  </si>
  <si>
    <r>
      <rPr>
        <sz val="10"/>
        <color rgb="FFE6E6E6"/>
        <rFont val="Noto Sans CJK SC"/>
        <family val="2"/>
        <charset val="1"/>
      </rPr>
      <t xml:space="preserve">残り</t>
    </r>
    <r>
      <rPr>
        <sz val="10"/>
        <color rgb="FFE6E6E6"/>
        <rFont val="Arial"/>
        <family val="0"/>
        <charset val="1"/>
      </rPr>
      <t xml:space="preserve">2</t>
    </r>
    <r>
      <rPr>
        <sz val="10"/>
        <color rgb="FFE6E6E6"/>
        <rFont val="Noto Sans CJK SC"/>
        <family val="2"/>
        <charset val="1"/>
      </rPr>
      <t xml:space="preserve">根の判別式</t>
    </r>
  </si>
  <si>
    <t xml:space="preserve">符号が桁落ちしない側の根（大きい方）</t>
  </si>
  <si>
    <r>
      <rPr>
        <sz val="10"/>
        <color rgb="FFE6E6E6"/>
        <rFont val="Noto Sans CJK SC"/>
        <family val="2"/>
        <charset val="1"/>
      </rPr>
      <t xml:space="preserve">もう一方の根＝</t>
    </r>
    <r>
      <rPr>
        <sz val="10"/>
        <color rgb="FFE6E6E6"/>
        <rFont val="Arial"/>
        <family val="0"/>
        <charset val="1"/>
      </rPr>
      <t xml:space="preserve">C'÷</t>
    </r>
    <r>
      <rPr>
        <sz val="10"/>
        <color rgb="FFE6E6E6"/>
        <rFont val="Noto Sans CJK SC"/>
        <family val="2"/>
        <charset val="1"/>
      </rPr>
      <t xml:space="preserve">大きい方（割り算なので桁落ちしない）</t>
    </r>
  </si>
  <si>
    <r>
      <rPr>
        <sz val="10"/>
        <color rgb="FFE6E6E6"/>
        <rFont val="Arial"/>
        <family val="0"/>
        <charset val="1"/>
      </rPr>
      <t xml:space="preserve">u = MAX(</t>
    </r>
    <r>
      <rPr>
        <sz val="10"/>
        <color rgb="FFE6E6E6"/>
        <rFont val="Noto Sans CJK SC"/>
        <family val="2"/>
        <charset val="1"/>
      </rPr>
      <t xml:space="preserve">全ての候補</t>
    </r>
    <r>
      <rPr>
        <sz val="10"/>
        <color rgb="FFE6E6E6"/>
        <rFont val="Arial"/>
        <family val="0"/>
        <charset val="1"/>
      </rPr>
      <t xml:space="preserve">, 0)</t>
    </r>
    <r>
      <rPr>
        <sz val="10"/>
        <color rgb="FFE6E6E6"/>
        <rFont val="Noto Sans CJK SC"/>
        <family val="2"/>
        <charset val="1"/>
      </rPr>
      <t xml:space="preserve">　←これを採用</t>
    </r>
  </si>
  <si>
    <r>
      <rPr>
        <sz val="10"/>
        <color rgb="FFE6E6E6"/>
        <rFont val="Arial"/>
        <family val="0"/>
        <charset val="1"/>
      </rPr>
      <t xml:space="preserve">u </t>
    </r>
    <r>
      <rPr>
        <sz val="10"/>
        <color rgb="FFE6E6E6"/>
        <rFont val="Noto Sans CJK SC"/>
        <family val="2"/>
        <charset val="1"/>
      </rPr>
      <t xml:space="preserve">しきい値判定</t>
    </r>
  </si>
  <si>
    <r>
      <rPr>
        <b val="true"/>
        <sz val="11"/>
        <color rgb="FFFFD98F"/>
        <rFont val="Arial"/>
        <family val="0"/>
        <charset val="1"/>
      </rPr>
      <t xml:space="preserve">α</t>
    </r>
    <r>
      <rPr>
        <b val="true"/>
        <sz val="11"/>
        <color rgb="FFFFD98F"/>
        <rFont val="Noto Sans CJK SC"/>
        <family val="2"/>
        <charset val="1"/>
      </rPr>
      <t xml:space="preserve">・</t>
    </r>
    <r>
      <rPr>
        <b val="true"/>
        <sz val="11"/>
        <color rgb="FFFFD98F"/>
        <rFont val="Arial"/>
        <family val="0"/>
        <charset val="1"/>
      </rPr>
      <t xml:space="preserve">β</t>
    </r>
    <r>
      <rPr>
        <b val="true"/>
        <sz val="11"/>
        <color rgb="FFFFD98F"/>
        <rFont val="Noto Sans CJK SC"/>
        <family val="2"/>
        <charset val="1"/>
      </rPr>
      <t xml:space="preserve">・</t>
    </r>
    <r>
      <rPr>
        <b val="true"/>
        <sz val="11"/>
        <color rgb="FFFFD98F"/>
        <rFont val="Arial"/>
        <family val="0"/>
        <charset val="1"/>
      </rPr>
      <t xml:space="preserve">γ </t>
    </r>
    <r>
      <rPr>
        <b val="true"/>
        <sz val="11"/>
        <color rgb="FFFFD98F"/>
        <rFont val="Noto Sans CJK SC"/>
        <family val="2"/>
        <charset val="1"/>
      </rPr>
      <t xml:space="preserve">を求め、</t>
    </r>
    <r>
      <rPr>
        <b val="true"/>
        <sz val="11"/>
        <color rgb="FFFFD98F"/>
        <rFont val="Arial"/>
        <family val="0"/>
        <charset val="1"/>
      </rPr>
      <t xml:space="preserve">2</t>
    </r>
    <r>
      <rPr>
        <b val="true"/>
        <sz val="11"/>
        <color rgb="FFFFD98F"/>
        <rFont val="Noto Sans CJK SC"/>
        <family val="2"/>
        <charset val="1"/>
      </rPr>
      <t xml:space="preserve">つの</t>
    </r>
    <r>
      <rPr>
        <b val="true"/>
        <sz val="11"/>
        <color rgb="FFFFD98F"/>
        <rFont val="Arial"/>
        <family val="0"/>
        <charset val="1"/>
      </rPr>
      <t xml:space="preserve">2</t>
    </r>
    <r>
      <rPr>
        <b val="true"/>
        <sz val="11"/>
        <color rgb="FFFFD98F"/>
        <rFont val="Noto Sans CJK SC"/>
        <family val="2"/>
        <charset val="1"/>
      </rPr>
      <t xml:space="preserve">次式 </t>
    </r>
    <r>
      <rPr>
        <b val="true"/>
        <sz val="11"/>
        <color rgb="FFFFD98F"/>
        <rFont val="Arial"/>
        <family val="0"/>
        <charset val="1"/>
      </rPr>
      <t xml:space="preserve">s²+p1s+q1=0 </t>
    </r>
    <r>
      <rPr>
        <b val="true"/>
        <sz val="11"/>
        <color rgb="FFFFD98F"/>
        <rFont val="Noto Sans CJK SC"/>
        <family val="2"/>
        <charset val="1"/>
      </rPr>
      <t xml:space="preserve">と </t>
    </r>
    <r>
      <rPr>
        <b val="true"/>
        <sz val="11"/>
        <color rgb="FFFFD98F"/>
        <rFont val="Arial"/>
        <family val="0"/>
        <charset val="1"/>
      </rPr>
      <t xml:space="preserve">s²+p2s+q2=0 </t>
    </r>
    <r>
      <rPr>
        <b val="true"/>
        <sz val="11"/>
        <color rgb="FFFFD98F"/>
        <rFont val="Noto Sans CJK SC"/>
        <family val="2"/>
        <charset val="1"/>
      </rPr>
      <t xml:space="preserve">に戻す</t>
    </r>
  </si>
  <si>
    <t xml:space="preserve">α = √u</t>
  </si>
  <si>
    <t xml:space="preserve">β</t>
  </si>
  <si>
    <t xml:space="preserve">γ</t>
  </si>
  <si>
    <t xml:space="preserve">p1 = a3/2 + α</t>
  </si>
  <si>
    <r>
      <rPr>
        <sz val="10"/>
        <color rgb="FFE6E6E6"/>
        <rFont val="Arial"/>
        <family val="0"/>
        <charset val="1"/>
      </rPr>
      <t xml:space="preserve">q1 = a3²/16 + a3</t>
    </r>
    <r>
      <rPr>
        <sz val="10"/>
        <color rgb="FFE6E6E6"/>
        <rFont val="Noto Sans CJK SC"/>
        <family val="2"/>
        <charset val="1"/>
      </rPr>
      <t xml:space="preserve">・</t>
    </r>
    <r>
      <rPr>
        <sz val="10"/>
        <color rgb="FFE6E6E6"/>
        <rFont val="Arial"/>
        <family val="0"/>
        <charset val="1"/>
      </rPr>
      <t xml:space="preserve">α/4 + β</t>
    </r>
  </si>
  <si>
    <t xml:space="preserve">p2 = a3/2 − α</t>
  </si>
  <si>
    <r>
      <rPr>
        <sz val="10"/>
        <color rgb="FFE6E6E6"/>
        <rFont val="Arial"/>
        <family val="0"/>
        <charset val="1"/>
      </rPr>
      <t xml:space="preserve">q2 = a3²/16 − a3</t>
    </r>
    <r>
      <rPr>
        <sz val="10"/>
        <color rgb="FFE6E6E6"/>
        <rFont val="Noto Sans CJK SC"/>
        <family val="2"/>
        <charset val="1"/>
      </rPr>
      <t xml:space="preserve">・</t>
    </r>
    <r>
      <rPr>
        <sz val="10"/>
        <color rgb="FFE6E6E6"/>
        <rFont val="Arial"/>
        <family val="0"/>
        <charset val="1"/>
      </rPr>
      <t xml:space="preserve">α/4 + γ</t>
    </r>
  </si>
  <si>
    <r>
      <rPr>
        <b val="true"/>
        <sz val="11"/>
        <color rgb="FFFFD98F"/>
        <rFont val="Noto Sans CJK SC"/>
        <family val="2"/>
        <charset val="1"/>
      </rPr>
      <t xml:space="preserve">各モードの </t>
    </r>
    <r>
      <rPr>
        <b val="true"/>
        <sz val="11"/>
        <color rgb="FFFFD98F"/>
        <rFont val="Arial"/>
        <family val="0"/>
        <charset val="1"/>
      </rPr>
      <t xml:space="preserve">ωn</t>
    </r>
    <r>
      <rPr>
        <b val="true"/>
        <sz val="11"/>
        <color rgb="FFFFD98F"/>
        <rFont val="Noto Sans CJK SC"/>
        <family val="2"/>
        <charset val="1"/>
      </rPr>
      <t xml:space="preserve">（正規化）・</t>
    </r>
    <r>
      <rPr>
        <b val="true"/>
        <sz val="11"/>
        <color rgb="FFFFD98F"/>
        <rFont val="Arial"/>
        <family val="0"/>
        <charset val="1"/>
      </rPr>
      <t xml:space="preserve">ζ</t>
    </r>
    <r>
      <rPr>
        <b val="true"/>
        <sz val="11"/>
        <color rgb="FFFFD98F"/>
        <rFont val="Noto Sans CJK SC"/>
        <family val="2"/>
        <charset val="1"/>
      </rPr>
      <t xml:space="preserve">・</t>
    </r>
    <r>
      <rPr>
        <b val="true"/>
        <sz val="11"/>
        <color rgb="FFFFD98F"/>
        <rFont val="Arial"/>
        <family val="0"/>
        <charset val="1"/>
      </rPr>
      <t xml:space="preserve">fn</t>
    </r>
    <r>
      <rPr>
        <b val="true"/>
        <sz val="11"/>
        <color rgb="FFFFD98F"/>
        <rFont val="Noto Sans CJK SC"/>
        <family val="2"/>
        <charset val="1"/>
      </rPr>
      <t xml:space="preserve">・</t>
    </r>
    <r>
      <rPr>
        <b val="true"/>
        <sz val="11"/>
        <color rgb="FFFFD98F"/>
        <rFont val="Arial"/>
        <family val="0"/>
        <charset val="1"/>
      </rPr>
      <t xml:space="preserve">η </t>
    </r>
    <r>
      <rPr>
        <b val="true"/>
        <sz val="11"/>
        <color rgb="FFFFD98F"/>
        <rFont val="Noto Sans CJK SC"/>
        <family val="2"/>
        <charset val="1"/>
      </rPr>
      <t xml:space="preserve">に変換（</t>
    </r>
    <r>
      <rPr>
        <b val="true"/>
        <sz val="11"/>
        <color rgb="FFFFD98F"/>
        <rFont val="Arial"/>
        <family val="0"/>
        <charset val="1"/>
      </rPr>
      <t xml:space="preserve">s²+ps+q=0 ⇔ ωn=√q, ζ=p/(2ωn), η=2ζ</t>
    </r>
    <r>
      <rPr>
        <b val="true"/>
        <sz val="11"/>
        <color rgb="FFFFD98F"/>
        <rFont val="Noto Sans CJK SC"/>
        <family val="2"/>
        <charset val="1"/>
      </rPr>
      <t xml:space="preserve">）</t>
    </r>
  </si>
  <si>
    <r>
      <rPr>
        <sz val="10"/>
        <color rgb="FFE6E6E6"/>
        <rFont val="Arial"/>
        <family val="0"/>
        <charset val="1"/>
      </rPr>
      <t xml:space="preserve">ωn1</t>
    </r>
    <r>
      <rPr>
        <sz val="10"/>
        <color rgb="FFE6E6E6"/>
        <rFont val="Noto Sans CJK SC"/>
        <family val="2"/>
        <charset val="1"/>
      </rPr>
      <t xml:space="preserve">（正規化）</t>
    </r>
  </si>
  <si>
    <t xml:space="preserve">ζ1</t>
  </si>
  <si>
    <r>
      <rPr>
        <sz val="10"/>
        <color rgb="FFE6E6E6"/>
        <rFont val="Arial"/>
        <family val="0"/>
        <charset val="1"/>
      </rPr>
      <t xml:space="preserve">fn(</t>
    </r>
    <r>
      <rPr>
        <sz val="10"/>
        <color rgb="FFE6E6E6"/>
        <rFont val="Noto Sans CJK SC"/>
        <family val="2"/>
        <charset val="1"/>
      </rPr>
      <t xml:space="preserve">候補</t>
    </r>
    <r>
      <rPr>
        <sz val="10"/>
        <color rgb="FFE6E6E6"/>
        <rFont val="Arial"/>
        <family val="0"/>
        <charset val="1"/>
      </rPr>
      <t xml:space="preserve">1) = ωn1×fref [Hz]</t>
    </r>
  </si>
  <si>
    <r>
      <rPr>
        <sz val="10"/>
        <color rgb="FFE6E6E6"/>
        <rFont val="Arial"/>
        <family val="0"/>
        <charset val="1"/>
      </rPr>
      <t xml:space="preserve">η(</t>
    </r>
    <r>
      <rPr>
        <sz val="10"/>
        <color rgb="FFE6E6E6"/>
        <rFont val="Noto Sans CJK SC"/>
        <family val="2"/>
        <charset val="1"/>
      </rPr>
      <t xml:space="preserve">候補</t>
    </r>
    <r>
      <rPr>
        <sz val="10"/>
        <color rgb="FFE6E6E6"/>
        <rFont val="Arial"/>
        <family val="0"/>
        <charset val="1"/>
      </rPr>
      <t xml:space="preserve">1) = 2ζ1</t>
    </r>
  </si>
  <si>
    <r>
      <rPr>
        <sz val="10"/>
        <color rgb="FFE6E6E6"/>
        <rFont val="Arial"/>
        <family val="0"/>
        <charset val="1"/>
      </rPr>
      <t xml:space="preserve">ωn2</t>
    </r>
    <r>
      <rPr>
        <sz val="10"/>
        <color rgb="FFE6E6E6"/>
        <rFont val="Noto Sans CJK SC"/>
        <family val="2"/>
        <charset val="1"/>
      </rPr>
      <t xml:space="preserve">（正規化）</t>
    </r>
  </si>
  <si>
    <t xml:space="preserve">ζ2</t>
  </si>
  <si>
    <r>
      <rPr>
        <sz val="10"/>
        <color rgb="FFE6E6E6"/>
        <rFont val="Arial"/>
        <family val="0"/>
        <charset val="1"/>
      </rPr>
      <t xml:space="preserve">fn(</t>
    </r>
    <r>
      <rPr>
        <sz val="10"/>
        <color rgb="FFE6E6E6"/>
        <rFont val="Noto Sans CJK SC"/>
        <family val="2"/>
        <charset val="1"/>
      </rPr>
      <t xml:space="preserve">候補</t>
    </r>
    <r>
      <rPr>
        <sz val="10"/>
        <color rgb="FFE6E6E6"/>
        <rFont val="Arial"/>
        <family val="0"/>
        <charset val="1"/>
      </rPr>
      <t xml:space="preserve">2) = ωn2×fref [Hz]</t>
    </r>
  </si>
  <si>
    <r>
      <rPr>
        <sz val="10"/>
        <color rgb="FFE6E6E6"/>
        <rFont val="Arial"/>
        <family val="0"/>
        <charset val="1"/>
      </rPr>
      <t xml:space="preserve">η(</t>
    </r>
    <r>
      <rPr>
        <sz val="10"/>
        <color rgb="FFE6E6E6"/>
        <rFont val="Noto Sans CJK SC"/>
        <family val="2"/>
        <charset val="1"/>
      </rPr>
      <t xml:space="preserve">候補</t>
    </r>
    <r>
      <rPr>
        <sz val="10"/>
        <color rgb="FFE6E6E6"/>
        <rFont val="Arial"/>
        <family val="0"/>
        <charset val="1"/>
      </rPr>
      <t xml:space="preserve">2) = 2ζ2</t>
    </r>
  </si>
  <si>
    <r>
      <rPr>
        <b val="true"/>
        <sz val="11"/>
        <color rgb="FFFFD98F"/>
        <rFont val="Noto Sans CJK SC"/>
        <family val="2"/>
        <charset val="1"/>
      </rPr>
      <t xml:space="preserve">▼ 集約：</t>
    </r>
    <r>
      <rPr>
        <b val="true"/>
        <sz val="11"/>
        <color rgb="FFFFD98F"/>
        <rFont val="Arial"/>
        <family val="0"/>
        <charset val="1"/>
      </rPr>
      <t xml:space="preserve">2</t>
    </r>
    <r>
      <rPr>
        <b val="true"/>
        <sz val="11"/>
        <color rgb="FFFFD98F"/>
        <rFont val="Noto Sans CJK SC"/>
        <family val="2"/>
        <charset val="1"/>
      </rPr>
      <t xml:space="preserve">つの候補と最終判定</t>
    </r>
  </si>
  <si>
    <r>
      <rPr>
        <sz val="10"/>
        <color rgb="FFE6E6E6"/>
        <rFont val="Noto Sans CJK SC"/>
        <family val="2"/>
        <charset val="1"/>
      </rPr>
      <t xml:space="preserve">→ 候補</t>
    </r>
    <r>
      <rPr>
        <sz val="10"/>
        <color rgb="FFE6E6E6"/>
        <rFont val="Arial"/>
        <family val="0"/>
        <charset val="1"/>
      </rPr>
      <t xml:space="preserve">1 fn,η</t>
    </r>
  </si>
  <si>
    <r>
      <rPr>
        <sz val="10"/>
        <color rgb="FFE6E6E6"/>
        <rFont val="Noto Sans CJK SC"/>
        <family val="2"/>
        <charset val="1"/>
      </rPr>
      <t xml:space="preserve">→ 候補</t>
    </r>
    <r>
      <rPr>
        <sz val="10"/>
        <color rgb="FFE6E6E6"/>
        <rFont val="Arial"/>
        <family val="0"/>
        <charset val="1"/>
      </rPr>
      <t xml:space="preserve">2 fn,η</t>
    </r>
  </si>
  <si>
    <t xml:space="preserve">→ 最終判定</t>
  </si>
  <si>
    <t xml:space="preserve">検算　― このワークブックが正しく計算できているかのセルフチェック</t>
  </si>
  <si>
    <t xml:space="preserve">★重要：この検算は「データ入力シートに、出荷時のままのサンプルデータが入っている」ことが前提です。ご自身の測定データに上書きした後は、この検算シートの「一致判定」は意味を持ちません（上書き後は代わりに、モード分離結果シートの判定欄と、物理的な妥当性で確認してください）。</t>
  </si>
  <si>
    <r>
      <rPr>
        <b val="true"/>
        <sz val="10"/>
        <color rgb="FFFFFFFF"/>
        <rFont val="Noto Sans CJK SC"/>
        <family val="2"/>
        <charset val="1"/>
      </rPr>
      <t xml:space="preserve">期待値
</t>
    </r>
    <r>
      <rPr>
        <b val="true"/>
        <sz val="10"/>
        <color rgb="FFFFFFFF"/>
        <rFont val="Arial"/>
        <family val="0"/>
        <charset val="1"/>
      </rPr>
      <t xml:space="preserve">(</t>
    </r>
    <r>
      <rPr>
        <b val="true"/>
        <sz val="10"/>
        <color rgb="FFFFFFFF"/>
        <rFont val="Noto Sans CJK SC"/>
        <family val="2"/>
        <charset val="1"/>
      </rPr>
      <t xml:space="preserve">既存ガイドで検証済み</t>
    </r>
    <r>
      <rPr>
        <b val="true"/>
        <sz val="10"/>
        <color rgb="FFFFFFFF"/>
        <rFont val="Arial"/>
        <family val="0"/>
        <charset val="1"/>
      </rPr>
      <t xml:space="preserve">)</t>
    </r>
  </si>
  <si>
    <t xml:space="preserve">実際の計算結果</t>
  </si>
  <si>
    <t xml:space="preserve">誤差</t>
  </si>
  <si>
    <r>
      <rPr>
        <sz val="10"/>
        <color rgb="FFE6E6E6"/>
        <rFont val="Noto Sans CJK SC"/>
        <family val="2"/>
        <charset val="1"/>
      </rPr>
      <t xml:space="preserve">モード</t>
    </r>
    <r>
      <rPr>
        <sz val="10"/>
        <color rgb="FFE6E6E6"/>
        <rFont val="Arial"/>
        <family val="0"/>
        <charset val="1"/>
      </rPr>
      <t xml:space="preserve">A fn [Hz]</t>
    </r>
  </si>
  <si>
    <r>
      <rPr>
        <sz val="10"/>
        <color rgb="FFE6E6E6"/>
        <rFont val="Noto Sans CJK SC"/>
        <family val="2"/>
        <charset val="1"/>
      </rPr>
      <t xml:space="preserve">モード</t>
    </r>
    <r>
      <rPr>
        <sz val="10"/>
        <color rgb="FFE6E6E6"/>
        <rFont val="Arial"/>
        <family val="0"/>
        <charset val="1"/>
      </rPr>
      <t xml:space="preserve">A η</t>
    </r>
  </si>
  <si>
    <r>
      <rPr>
        <sz val="10"/>
        <color rgb="FFE6E6E6"/>
        <rFont val="Noto Sans CJK SC"/>
        <family val="2"/>
        <charset val="1"/>
      </rPr>
      <t xml:space="preserve">モード</t>
    </r>
    <r>
      <rPr>
        <sz val="10"/>
        <color rgb="FFE6E6E6"/>
        <rFont val="Arial"/>
        <family val="0"/>
        <charset val="1"/>
      </rPr>
      <t xml:space="preserve">B fn [Hz]</t>
    </r>
  </si>
  <si>
    <r>
      <rPr>
        <sz val="10"/>
        <color rgb="FFE6E6E6"/>
        <rFont val="Noto Sans CJK SC"/>
        <family val="2"/>
        <charset val="1"/>
      </rPr>
      <t xml:space="preserve">モード</t>
    </r>
    <r>
      <rPr>
        <sz val="10"/>
        <color rgb="FFE6E6E6"/>
        <rFont val="Arial"/>
        <family val="0"/>
        <charset val="1"/>
      </rPr>
      <t xml:space="preserve">B η</t>
    </r>
  </si>
  <si>
    <t xml:space="preserve">総合判定</t>
  </si>
  <si>
    <r>
      <rPr>
        <sz val="9"/>
        <color rgb="FF9AA4B2"/>
        <rFont val="Noto Sans CJK SC"/>
        <family val="2"/>
        <charset val="1"/>
      </rPr>
      <t xml:space="preserve">・期待値は、既存ガイド（カーブフィット</t>
    </r>
    <r>
      <rPr>
        <sz val="9"/>
        <color rgb="FF9AA4B2"/>
        <rFont val="Arial"/>
        <family val="0"/>
        <charset val="1"/>
      </rPr>
      <t xml:space="preserve">_</t>
    </r>
    <r>
      <rPr>
        <sz val="9"/>
        <color rgb="FF9AA4B2"/>
        <rFont val="Noto Sans CJK SC"/>
        <family val="2"/>
        <charset val="1"/>
      </rPr>
      <t xml:space="preserve">窓関数</t>
    </r>
    <r>
      <rPr>
        <sz val="9"/>
        <color rgb="FF9AA4B2"/>
        <rFont val="Arial"/>
        <family val="0"/>
        <charset val="1"/>
      </rPr>
      <t xml:space="preserve">_Excel</t>
    </r>
    <r>
      <rPr>
        <sz val="9"/>
        <color rgb="FF9AA4B2"/>
        <rFont val="Noto Sans CJK SC"/>
        <family val="2"/>
        <charset val="1"/>
      </rPr>
      <t xml:space="preserve">解析ガイド</t>
    </r>
    <r>
      <rPr>
        <sz val="9"/>
        <color rgb="FF9AA4B2"/>
        <rFont val="Arial"/>
        <family val="0"/>
        <charset val="1"/>
      </rPr>
      <t xml:space="preserve">.html</t>
    </r>
    <r>
      <rPr>
        <sz val="9"/>
        <color rgb="FF9AA4B2"/>
        <rFont val="Noto Sans CJK SC"/>
        <family val="2"/>
        <charset val="1"/>
      </rPr>
      <t xml:space="preserve">）と同じ</t>
    </r>
    <r>
      <rPr>
        <sz val="9"/>
        <color rgb="FF9AA4B2"/>
        <rFont val="Arial"/>
        <family val="0"/>
        <charset val="1"/>
      </rPr>
      <t xml:space="preserve">21</t>
    </r>
    <r>
      <rPr>
        <sz val="9"/>
        <color rgb="FF9AA4B2"/>
        <rFont val="Noto Sans CJK SC"/>
        <family val="2"/>
        <charset val="1"/>
      </rPr>
      <t xml:space="preserve">点のサンプルデータを、</t>
    </r>
    <r>
      <rPr>
        <sz val="9"/>
        <color rgb="FF9AA4B2"/>
        <rFont val="Arial"/>
        <family val="0"/>
        <charset val="1"/>
      </rPr>
      <t xml:space="preserve">Python(NumPy)</t>
    </r>
    <r>
      <rPr>
        <sz val="9"/>
        <color rgb="FF9AA4B2"/>
        <rFont val="Noto Sans CJK SC"/>
        <family val="2"/>
        <charset val="1"/>
      </rPr>
      <t xml:space="preserve">で二重計算して得たものです。固有値問題</t>
    </r>
    <r>
      <rPr>
        <sz val="9"/>
        <color rgb="FF9AA4B2"/>
        <rFont val="Arial"/>
        <family val="0"/>
        <charset val="1"/>
      </rPr>
      <t xml:space="preserve">(numpy.roots)</t>
    </r>
    <r>
      <rPr>
        <sz val="9"/>
        <color rgb="FF9AA4B2"/>
        <rFont val="Noto Sans CJK SC"/>
        <family val="2"/>
        <charset val="1"/>
      </rPr>
      <t xml:space="preserve">による厳密解と、本ワークブックの</t>
    </r>
    <r>
      <rPr>
        <sz val="9"/>
        <color rgb="FF9AA4B2"/>
        <rFont val="Arial"/>
        <family val="0"/>
        <charset val="1"/>
      </rPr>
      <t xml:space="preserve">Ferrari</t>
    </r>
    <r>
      <rPr>
        <sz val="9"/>
        <color rgb="FF9AA4B2"/>
        <rFont val="Noto Sans CJK SC"/>
        <family val="2"/>
        <charset val="1"/>
      </rPr>
      <t xml:space="preserve">閉形式法（数式のみ）の両方が、この値に一致することを確認済みです。</t>
    </r>
  </si>
  <si>
    <r>
      <rPr>
        <sz val="9"/>
        <color rgb="FF9AA4B2"/>
        <rFont val="Noto Sans CJK SC"/>
        <family val="2"/>
        <charset val="1"/>
      </rPr>
      <t xml:space="preserve">・</t>
    </r>
    <r>
      <rPr>
        <sz val="9"/>
        <color rgb="FF9AA4B2"/>
        <rFont val="Arial"/>
        <family val="0"/>
        <charset val="1"/>
      </rPr>
      <t xml:space="preserve">fn</t>
    </r>
    <r>
      <rPr>
        <sz val="9"/>
        <color rgb="FF9AA4B2"/>
        <rFont val="Noto Sans CJK SC"/>
        <family val="2"/>
        <charset val="1"/>
      </rPr>
      <t xml:space="preserve">の許容誤差</t>
    </r>
    <r>
      <rPr>
        <sz val="9"/>
        <color rgb="FF9AA4B2"/>
        <rFont val="Arial"/>
        <family val="0"/>
        <charset val="1"/>
      </rPr>
      <t xml:space="preserve">0.5%</t>
    </r>
    <r>
      <rPr>
        <sz val="9"/>
        <color rgb="FF9AA4B2"/>
        <rFont val="Noto Sans CJK SC"/>
        <family val="2"/>
        <charset val="1"/>
      </rPr>
      <t xml:space="preserve">、</t>
    </r>
    <r>
      <rPr>
        <sz val="9"/>
        <color rgb="FF9AA4B2"/>
        <rFont val="Arial"/>
        <family val="0"/>
        <charset val="1"/>
      </rPr>
      <t xml:space="preserve">η</t>
    </r>
    <r>
      <rPr>
        <sz val="9"/>
        <color rgb="FF9AA4B2"/>
        <rFont val="Noto Sans CJK SC"/>
        <family val="2"/>
        <charset val="1"/>
      </rPr>
      <t xml:space="preserve">の許容誤差</t>
    </r>
    <r>
      <rPr>
        <sz val="9"/>
        <color rgb="FF9AA4B2"/>
        <rFont val="Arial"/>
        <family val="0"/>
        <charset val="1"/>
      </rPr>
      <t xml:space="preserve">3%</t>
    </r>
    <r>
      <rPr>
        <sz val="9"/>
        <color rgb="FF9AA4B2"/>
        <rFont val="Noto Sans CJK SC"/>
        <family val="2"/>
        <charset val="1"/>
      </rPr>
      <t xml:space="preserve">としているのは、</t>
    </r>
    <r>
      <rPr>
        <sz val="9"/>
        <color rgb="FF9AA4B2"/>
        <rFont val="Arial"/>
        <family val="0"/>
        <charset val="1"/>
      </rPr>
      <t xml:space="preserve">Excel/LibreOffice</t>
    </r>
    <r>
      <rPr>
        <sz val="9"/>
        <color rgb="FF9AA4B2"/>
        <rFont val="Noto Sans CJK SC"/>
        <family val="2"/>
        <charset val="1"/>
      </rPr>
      <t xml:space="preserve">と</t>
    </r>
    <r>
      <rPr>
        <sz val="9"/>
        <color rgb="FF9AA4B2"/>
        <rFont val="Arial"/>
        <family val="0"/>
        <charset val="1"/>
      </rPr>
      <t xml:space="preserve">Python</t>
    </r>
    <r>
      <rPr>
        <sz val="9"/>
        <color rgb="FF9AA4B2"/>
        <rFont val="Noto Sans CJK SC"/>
        <family val="2"/>
        <charset val="1"/>
      </rPr>
      <t xml:space="preserve">の浮動小数点演算の実装差（丸め誤差）を吸収するためのマージンです。</t>
    </r>
  </si>
</sst>
</file>

<file path=xl/styles.xml><?xml version="1.0" encoding="utf-8"?>
<styleSheet xmlns="http://schemas.openxmlformats.org/spreadsheetml/2006/main">
  <numFmts count="7">
    <numFmt numFmtId="164" formatCode="General"/>
    <numFmt numFmtId="165" formatCode="0.0"/>
    <numFmt numFmtId="166" formatCode="0.000"/>
    <numFmt numFmtId="167" formatCode="0.000000"/>
    <numFmt numFmtId="168" formatCode="0.0000"/>
    <numFmt numFmtId="169" formatCode="General"/>
    <numFmt numFmtId="170" formatCode="0.000%"/>
  </numFmts>
  <fonts count="20">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charset val="1"/>
    </font>
    <font>
      <b val="true"/>
      <sz val="13"/>
      <color rgb="FFFFFFFF"/>
      <name val="Arial"/>
      <family val="0"/>
      <charset val="1"/>
    </font>
    <font>
      <sz val="10"/>
      <color rgb="FFE6E6E6"/>
      <name val="Arial"/>
      <family val="0"/>
      <charset val="1"/>
    </font>
    <font>
      <sz val="10"/>
      <color rgb="FFE6E6E6"/>
      <name val="Noto Sans CJK SC"/>
      <family val="2"/>
      <charset val="1"/>
    </font>
    <font>
      <b val="true"/>
      <sz val="11"/>
      <color rgb="FFFFD98F"/>
      <name val="Noto Sans CJK SC"/>
      <family val="2"/>
      <charset val="1"/>
    </font>
    <font>
      <b val="true"/>
      <sz val="11"/>
      <color rgb="FFFFD98F"/>
      <name val="Arial"/>
      <family val="0"/>
      <charset val="1"/>
    </font>
    <font>
      <sz val="9"/>
      <color rgb="FF9AA4B2"/>
      <name val="Noto Sans CJK SC"/>
      <family val="2"/>
      <charset val="1"/>
    </font>
    <font>
      <sz val="9"/>
      <color rgb="FF9AA4B2"/>
      <name val="Arial"/>
      <family val="0"/>
      <charset val="1"/>
    </font>
    <font>
      <b val="true"/>
      <sz val="10"/>
      <color rgb="FFFFFFFF"/>
      <name val="Noto Sans CJK SC"/>
      <family val="2"/>
      <charset val="1"/>
    </font>
    <font>
      <b val="true"/>
      <sz val="10"/>
      <color rgb="FFFFFFFF"/>
      <name val="Arial"/>
      <family val="0"/>
      <charset val="1"/>
    </font>
    <font>
      <sz val="9"/>
      <color rgb="FFE6E6E6"/>
      <name val="Noto Sans CJK SC"/>
      <family val="2"/>
      <charset val="1"/>
    </font>
    <font>
      <sz val="8"/>
      <color rgb="FFE6E6E6"/>
      <name val="Arial"/>
      <family val="0"/>
      <charset val="1"/>
    </font>
    <font>
      <sz val="9"/>
      <color rgb="FFE6E6E6"/>
      <name val="Arial"/>
      <family val="0"/>
      <charset val="1"/>
    </font>
    <font>
      <b val="true"/>
      <sz val="11"/>
      <color rgb="FFB8F0C0"/>
      <name val="Arial"/>
      <family val="0"/>
      <charset val="1"/>
    </font>
    <font>
      <b val="true"/>
      <sz val="10"/>
      <color rgb="FFFF9A9A"/>
      <name val="Arial"/>
      <family val="0"/>
      <charset val="1"/>
    </font>
    <font>
      <b val="true"/>
      <sz val="10"/>
      <color rgb="FFFF9A9A"/>
      <name val="Noto Sans CJK SC"/>
      <family val="2"/>
      <charset val="1"/>
    </font>
  </fonts>
  <fills count="10">
    <fill>
      <patternFill patternType="none"/>
    </fill>
    <fill>
      <patternFill patternType="gray125"/>
    </fill>
    <fill>
      <patternFill patternType="solid">
        <fgColor rgb="FF1F3A5F"/>
        <bgColor rgb="FF3A4250"/>
      </patternFill>
    </fill>
    <fill>
      <patternFill patternType="solid">
        <fgColor rgb="FF3A3A1F"/>
        <bgColor rgb="FF2A2D34"/>
      </patternFill>
    </fill>
    <fill>
      <patternFill patternType="solid">
        <fgColor rgb="FF1F3A2A"/>
        <bgColor rgb="FF2A2D34"/>
      </patternFill>
    </fill>
    <fill>
      <patternFill patternType="solid">
        <fgColor rgb="FF2A2D34"/>
        <bgColor rgb="FF1F3A2A"/>
      </patternFill>
    </fill>
    <fill>
      <patternFill patternType="solid">
        <fgColor rgb="FF1E1E1E"/>
        <bgColor rgb="FF2A2D34"/>
      </patternFill>
    </fill>
    <fill>
      <patternFill patternType="solid">
        <fgColor rgb="FF3A4250"/>
        <bgColor rgb="FF1F3A5F"/>
      </patternFill>
    </fill>
    <fill>
      <patternFill patternType="solid">
        <fgColor rgb="FF000000"/>
        <bgColor rgb="FF1E1E1E"/>
      </patternFill>
    </fill>
    <fill>
      <patternFill patternType="solid">
        <fgColor rgb="FF3D1A1A"/>
        <bgColor rgb="FF1E1E1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top" textRotation="0" wrapText="true" indent="0" shrinkToFit="false"/>
      <protection locked="true" hidden="false"/>
    </xf>
    <xf numFmtId="164" fontId="7" fillId="4" borderId="0" xfId="0" applyFont="true" applyBorder="false" applyAlignment="true" applyProtection="true">
      <alignment horizontal="general" vertical="top" textRotation="0" wrapText="true" indent="0" shrinkToFit="false"/>
      <protection locked="true" hidden="false"/>
    </xf>
    <xf numFmtId="164" fontId="8" fillId="2" borderId="0" xfId="0" applyFont="true" applyBorder="true" applyAlignment="true" applyProtection="true">
      <alignment horizontal="general" vertical="center"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5" fontId="6" fillId="3"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false" applyAlignment="true" applyProtection="true">
      <alignment horizontal="general" vertical="top" textRotation="0" wrapText="tru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6" fontId="6" fillId="4"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7" fontId="6" fillId="3"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true" applyAlignment="true" applyProtection="true">
      <alignment horizontal="general" vertical="top" textRotation="0" wrapText="true" indent="0" shrinkToFit="false"/>
      <protection locked="true" hidden="false"/>
    </xf>
    <xf numFmtId="164" fontId="10" fillId="6" borderId="0" xfId="0" applyFont="true" applyBorder="true" applyAlignment="true" applyProtection="true">
      <alignment horizontal="general" vertical="top" textRotation="0" wrapText="true" indent="0" shrinkToFit="false"/>
      <protection locked="true" hidden="false"/>
    </xf>
    <xf numFmtId="164" fontId="12" fillId="7" borderId="0" xfId="0" applyFont="true" applyBorder="false" applyAlignment="true" applyProtection="true">
      <alignment horizontal="center" vertical="center" textRotation="0" wrapText="true" indent="0" shrinkToFit="false"/>
      <protection locked="true" hidden="false"/>
    </xf>
    <xf numFmtId="168" fontId="6" fillId="3" borderId="0" xfId="0" applyFont="true" applyBorder="false" applyAlignment="true" applyProtection="true">
      <alignment horizontal="general" vertical="bottom" textRotation="0" wrapText="false" indent="0" shrinkToFit="false"/>
      <protection locked="true" hidden="false"/>
    </xf>
    <xf numFmtId="167" fontId="6" fillId="4"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center" textRotation="0" wrapText="true" indent="0" shrinkToFit="false"/>
      <protection locked="true" hidden="false"/>
    </xf>
    <xf numFmtId="164" fontId="13" fillId="7" borderId="0" xfId="0" applyFont="true" applyBorder="false" applyAlignment="true" applyProtection="true">
      <alignment horizontal="center" vertical="center" textRotation="0" wrapText="true" indent="0" shrinkToFit="false"/>
      <protection locked="true" hidden="false"/>
    </xf>
    <xf numFmtId="164" fontId="14" fillId="8" borderId="0" xfId="0" applyFont="true" applyBorder="false" applyAlignment="true" applyProtection="true">
      <alignment horizontal="general" vertical="bottom" textRotation="0" wrapText="false" indent="0" shrinkToFit="false"/>
      <protection locked="true" hidden="false"/>
    </xf>
    <xf numFmtId="165" fontId="6" fillId="8" borderId="0" xfId="0" applyFont="true" applyBorder="false" applyAlignment="true" applyProtection="true">
      <alignment horizontal="general" vertical="bottom" textRotation="0" wrapText="false" indent="0" shrinkToFit="false"/>
      <protection locked="true" hidden="false"/>
    </xf>
    <xf numFmtId="169" fontId="6" fillId="8"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7" fontId="17" fillId="4" borderId="0" xfId="0" applyFont="true" applyBorder="false" applyAlignment="true" applyProtection="true">
      <alignment horizontal="general" vertical="bottom" textRotation="0" wrapText="false" indent="0" shrinkToFit="false"/>
      <protection locked="true" hidden="false"/>
    </xf>
    <xf numFmtId="167" fontId="6" fillId="8" borderId="0" xfId="0" applyFont="true" applyBorder="false" applyAlignment="true" applyProtection="true">
      <alignment horizontal="general" vertical="bottom" textRotation="0" wrapText="false" indent="0" shrinkToFit="false"/>
      <protection locked="true" hidden="false"/>
    </xf>
    <xf numFmtId="168" fontId="17" fillId="4" borderId="0" xfId="0" applyFont="true" applyBorder="false" applyAlignment="true" applyProtection="true">
      <alignment horizontal="general" vertical="bottom" textRotation="0" wrapText="false" indent="0" shrinkToFit="false"/>
      <protection locked="true" hidden="false"/>
    </xf>
    <xf numFmtId="164" fontId="18" fillId="9" borderId="0" xfId="0" applyFont="true" applyBorder="true" applyAlignment="true" applyProtection="true">
      <alignment horizontal="general" vertical="top" textRotation="0" wrapText="true" indent="0" shrinkToFit="false"/>
      <protection locked="true" hidden="false"/>
    </xf>
    <xf numFmtId="164" fontId="9" fillId="2" borderId="0" xfId="0" applyFont="true" applyBorder="true" applyAlignment="true" applyProtection="true">
      <alignment horizontal="general" vertical="center" textRotation="0" wrapText="false" indent="0" shrinkToFit="false"/>
      <protection locked="true" hidden="false"/>
    </xf>
    <xf numFmtId="168" fontId="6" fillId="8"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true" applyAlignment="true" applyProtection="true">
      <alignment horizontal="general" vertical="bottom" textRotation="0" wrapText="false" indent="0" shrinkToFit="false"/>
      <protection locked="true" hidden="false"/>
    </xf>
    <xf numFmtId="164" fontId="19" fillId="9" borderId="0" xfId="0" applyFont="true" applyBorder="true" applyAlignment="true" applyProtection="true">
      <alignment horizontal="general" vertical="top" textRotation="0" wrapText="true" indent="0" shrinkToFit="false"/>
      <protection locked="true" hidden="false"/>
    </xf>
    <xf numFmtId="170" fontId="6" fillId="8"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E1E1E"/>
      <rgbColor rgb="FF808000"/>
      <rgbColor rgb="FF800080"/>
      <rgbColor rgb="FF008080"/>
      <rgbColor rgb="FFC0C0C0"/>
      <rgbColor rgb="FF808080"/>
      <rgbColor rgb="FF9999FF"/>
      <rgbColor rgb="FF993366"/>
      <rgbColor rgb="FFE6E6E6"/>
      <rgbColor rgb="FFCCFFFF"/>
      <rgbColor rgb="FF3D1A1A"/>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8F0C0"/>
      <rgbColor rgb="FFFFFF99"/>
      <rgbColor rgb="FF99CCFF"/>
      <rgbColor rgb="FFFF9A9A"/>
      <rgbColor rgb="FFCC99FF"/>
      <rgbColor rgb="FFFFD98F"/>
      <rgbColor rgb="FF3366FF"/>
      <rgbColor rgb="FF33CCCC"/>
      <rgbColor rgb="FF99CC00"/>
      <rgbColor rgb="FFFFCC00"/>
      <rgbColor rgb="FFFF9900"/>
      <rgbColor rgb="FFFF6600"/>
      <rgbColor rgb="FF666699"/>
      <rgbColor rgb="FF9AA4B2"/>
      <rgbColor rgb="FF1F3A5F"/>
      <rgbColor rgb="FF339966"/>
      <rgbColor rgb="FF1F3A2A"/>
      <rgbColor rgb="FF3A3A1F"/>
      <rgbColor rgb="FF993300"/>
      <rgbColor rgb="FF993366"/>
      <rgbColor rgb="FF3A4250"/>
      <rgbColor rgb="FF2A2D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1" customFormat="false" ht="45.75" hidden="false" customHeight="true" outlineLevel="0" collapsed="false">
      <c r="A1" s="2" t="s">
        <v>0</v>
      </c>
      <c r="B1" s="2"/>
    </row>
    <row r="3" customFormat="false" ht="15" hidden="false" customHeight="true" outlineLevel="0" collapsed="false">
      <c r="A3" s="3"/>
      <c r="B3" s="3"/>
    </row>
    <row r="5" customFormat="false" ht="15" hidden="false" customHeight="true" outlineLevel="0" collapsed="false">
      <c r="B5" s="4" t="s">
        <v>1</v>
      </c>
    </row>
    <row r="6" customFormat="false" ht="15" hidden="false" customHeight="true" outlineLevel="0" collapsed="false">
      <c r="B6" s="4" t="s">
        <v>2</v>
      </c>
    </row>
    <row r="7" customFormat="false" ht="15" hidden="false" customHeight="true" outlineLevel="0" collapsed="false">
      <c r="B7" s="5" t="s">
        <v>3</v>
      </c>
    </row>
    <row r="8" customFormat="false" ht="15" hidden="false" customHeight="true" outlineLevel="0" collapsed="false">
      <c r="B8" s="5" t="s">
        <v>4</v>
      </c>
    </row>
    <row r="9" customFormat="false" ht="15" hidden="false" customHeight="true" outlineLevel="0" collapsed="false">
      <c r="B9" s="5" t="s">
        <v>5</v>
      </c>
    </row>
    <row r="10" customFormat="false" ht="15" hidden="false" customHeight="true" outlineLevel="0" collapsed="false">
      <c r="B10" s="4" t="s">
        <v>6</v>
      </c>
    </row>
    <row r="11" customFormat="false" ht="15" hidden="false" customHeight="true" outlineLevel="0" collapsed="false">
      <c r="B11" s="5" t="s">
        <v>7</v>
      </c>
    </row>
    <row r="13" customFormat="false" ht="15" hidden="false" customHeight="true" outlineLevel="0" collapsed="false">
      <c r="A13" s="3"/>
      <c r="B13" s="3"/>
    </row>
    <row r="15" customFormat="false" ht="15" hidden="false" customHeight="true" outlineLevel="0" collapsed="false">
      <c r="B15" s="4" t="s">
        <v>8</v>
      </c>
    </row>
    <row r="16" customFormat="false" ht="15" hidden="false" customHeight="true" outlineLevel="0" collapsed="false">
      <c r="B16" s="4" t="s">
        <v>9</v>
      </c>
    </row>
    <row r="17" customFormat="false" ht="15" hidden="false" customHeight="true" outlineLevel="0" collapsed="false">
      <c r="B17" s="5" t="s">
        <v>10</v>
      </c>
    </row>
    <row r="18" customFormat="false" ht="15" hidden="false" customHeight="true" outlineLevel="0" collapsed="false">
      <c r="B18" s="4" t="s">
        <v>11</v>
      </c>
    </row>
    <row r="19" customFormat="false" ht="15" hidden="false" customHeight="true" outlineLevel="0" collapsed="false">
      <c r="B19" s="4" t="s">
        <v>12</v>
      </c>
    </row>
    <row r="20" customFormat="false" ht="15" hidden="false" customHeight="true" outlineLevel="0" collapsed="false">
      <c r="B20" s="4" t="s">
        <v>13</v>
      </c>
    </row>
    <row r="22" customFormat="false" ht="15" hidden="false" customHeight="true" outlineLevel="0" collapsed="false">
      <c r="A22" s="3"/>
      <c r="B22" s="3"/>
    </row>
    <row r="24" customFormat="false" ht="15" hidden="false" customHeight="true" outlineLevel="0" collapsed="false">
      <c r="B24" s="6" t="s">
        <v>14</v>
      </c>
    </row>
    <row r="25" customFormat="false" ht="15" hidden="false" customHeight="true" outlineLevel="0" collapsed="false">
      <c r="B25" s="7" t="s">
        <v>15</v>
      </c>
    </row>
    <row r="26" customFormat="false" ht="15" hidden="false" customHeight="true" outlineLevel="0" collapsed="false">
      <c r="B26" s="5" t="s">
        <v>16</v>
      </c>
    </row>
    <row r="28" customFormat="false" ht="15" hidden="false" customHeight="true" outlineLevel="0" collapsed="false">
      <c r="A28" s="3"/>
      <c r="B28" s="3"/>
    </row>
    <row r="30" customFormat="false" ht="15" hidden="false" customHeight="true" outlineLevel="0" collapsed="false">
      <c r="B30" s="5" t="s">
        <v>17</v>
      </c>
    </row>
    <row r="31" customFormat="false" ht="15" hidden="false" customHeight="true" outlineLevel="0" collapsed="false">
      <c r="B31" s="5" t="s">
        <v>18</v>
      </c>
    </row>
    <row r="32" customFormat="false" ht="15" hidden="false" customHeight="true" outlineLevel="0" collapsed="false">
      <c r="B32" s="4" t="s">
        <v>19</v>
      </c>
    </row>
    <row r="33" customFormat="false" ht="15" hidden="false" customHeight="true" outlineLevel="0" collapsed="false">
      <c r="B33" s="5" t="s">
        <v>20</v>
      </c>
    </row>
    <row r="34" customFormat="false" ht="15" hidden="false" customHeight="true" outlineLevel="0" collapsed="false">
      <c r="B34" s="5" t="s">
        <v>21</v>
      </c>
    </row>
    <row r="36" customFormat="false" ht="15" hidden="false" customHeight="true" outlineLevel="0" collapsed="false">
      <c r="A36" s="3"/>
      <c r="B36" s="3"/>
    </row>
    <row r="38" customFormat="false" ht="15" hidden="false" customHeight="true" outlineLevel="0" collapsed="false">
      <c r="B38" s="5" t="s">
        <v>22</v>
      </c>
    </row>
    <row r="39" customFormat="false" ht="15" hidden="false" customHeight="true" outlineLevel="0" collapsed="false">
      <c r="B39" s="5" t="s">
        <v>23</v>
      </c>
    </row>
    <row r="40" customFormat="false" ht="15" hidden="false" customHeight="true" outlineLevel="0" collapsed="false">
      <c r="B40" s="5" t="s">
        <v>24</v>
      </c>
    </row>
    <row r="41" customFormat="false" ht="15" hidden="false" customHeight="true" outlineLevel="0" collapsed="false">
      <c r="B41" s="5" t="s">
        <v>25</v>
      </c>
    </row>
    <row r="42" customFormat="false" ht="15" hidden="false" customHeight="true" outlineLevel="0" collapsed="false">
      <c r="B42" s="5" t="s">
        <v>26</v>
      </c>
    </row>
    <row r="43" customFormat="false" ht="15" hidden="false" customHeight="true" outlineLevel="0" collapsed="false">
      <c r="B43" s="5" t="s">
        <v>27</v>
      </c>
    </row>
    <row r="44" customFormat="false" ht="15" hidden="false" customHeight="true" outlineLevel="0" collapsed="false">
      <c r="B44" s="5" t="s">
        <v>28</v>
      </c>
    </row>
    <row r="45" customFormat="false" ht="15" hidden="false" customHeight="true" outlineLevel="0" collapsed="false">
      <c r="B45" s="5" t="s">
        <v>29</v>
      </c>
    </row>
  </sheetData>
  <mergeCells count="6">
    <mergeCell ref="A1:B1"/>
    <mergeCell ref="A3:B3"/>
    <mergeCell ref="A13:B13"/>
    <mergeCell ref="A22:B22"/>
    <mergeCell ref="A28:B28"/>
    <mergeCell ref="A36:B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40"/>
  </cols>
  <sheetData>
    <row r="1" customFormat="false" ht="21.75" hidden="false" customHeight="true" outlineLevel="0" collapsed="false">
      <c r="A1" s="2" t="s">
        <v>30</v>
      </c>
      <c r="B1" s="2"/>
      <c r="C1" s="2"/>
    </row>
    <row r="3" customFormat="false" ht="17.15" hidden="false" customHeight="false" outlineLevel="0" collapsed="false">
      <c r="A3" s="8" t="s">
        <v>31</v>
      </c>
      <c r="B3" s="8"/>
      <c r="C3" s="8"/>
    </row>
    <row r="4" customFormat="false" ht="39.55" hidden="false" customHeight="false" outlineLevel="0" collapsed="false">
      <c r="A4" s="9" t="s">
        <v>32</v>
      </c>
      <c r="B4" s="10" t="n">
        <v>3500</v>
      </c>
      <c r="C4" s="11" t="s">
        <v>33</v>
      </c>
    </row>
    <row r="5" customFormat="false" ht="15" hidden="false" customHeight="false" outlineLevel="0" collapsed="false">
      <c r="A5" s="12" t="s">
        <v>34</v>
      </c>
      <c r="B5" s="13" t="n">
        <f aca="false">2*PI()*B4</f>
        <v>21991.1485751286</v>
      </c>
      <c r="C5" s="14" t="s">
        <v>35</v>
      </c>
    </row>
    <row r="7" customFormat="false" ht="17.15" hidden="false" customHeight="false" outlineLevel="0" collapsed="false">
      <c r="A7" s="8" t="s">
        <v>36</v>
      </c>
      <c r="B7" s="8"/>
      <c r="C7" s="8"/>
    </row>
    <row r="8" customFormat="false" ht="26.85" hidden="false" customHeight="false" outlineLevel="0" collapsed="false">
      <c r="A8" s="9" t="s">
        <v>37</v>
      </c>
      <c r="B8" s="15" t="s">
        <v>38</v>
      </c>
      <c r="C8" s="11" t="s">
        <v>39</v>
      </c>
    </row>
    <row r="9" customFormat="false" ht="26.85" hidden="false" customHeight="false" outlineLevel="0" collapsed="false">
      <c r="A9" s="9" t="s">
        <v>40</v>
      </c>
      <c r="B9" s="16" t="s">
        <v>41</v>
      </c>
      <c r="C9" s="11" t="s">
        <v>42</v>
      </c>
    </row>
    <row r="11" customFormat="false" ht="17.15" hidden="false" customHeight="false" outlineLevel="0" collapsed="false">
      <c r="A11" s="8" t="s">
        <v>43</v>
      </c>
      <c r="B11" s="8"/>
      <c r="C11" s="8"/>
    </row>
    <row r="12" customFormat="false" ht="39.55" hidden="false" customHeight="false" outlineLevel="0" collapsed="false">
      <c r="A12" s="12" t="s">
        <v>44</v>
      </c>
      <c r="B12" s="17" t="n">
        <v>1E-006</v>
      </c>
      <c r="C12" s="14" t="s">
        <v>45</v>
      </c>
    </row>
    <row r="13" customFormat="false" ht="26.85" hidden="false" customHeight="true" outlineLevel="0" collapsed="false">
      <c r="A13" s="9" t="s">
        <v>46</v>
      </c>
      <c r="B13" s="18" t="s">
        <v>47</v>
      </c>
      <c r="C13" s="18"/>
    </row>
    <row r="15" customFormat="false" ht="17.15" hidden="false" customHeight="false" outlineLevel="0" collapsed="false">
      <c r="A15" s="8" t="s">
        <v>48</v>
      </c>
      <c r="B15" s="8"/>
      <c r="C15" s="8"/>
    </row>
    <row r="16" customFormat="false" ht="15" hidden="false" customHeight="true" outlineLevel="0" collapsed="false">
      <c r="A16" s="19" t="s">
        <v>49</v>
      </c>
      <c r="B16" s="19"/>
      <c r="C16" s="19"/>
    </row>
    <row r="17" customFormat="false" ht="15" hidden="false" customHeight="true" outlineLevel="0" collapsed="false">
      <c r="A17" s="19" t="s">
        <v>50</v>
      </c>
      <c r="B17" s="19"/>
      <c r="C17" s="19"/>
    </row>
    <row r="18" customFormat="false" ht="26.85" hidden="false" customHeight="true" outlineLevel="0" collapsed="false">
      <c r="A18" s="19" t="s">
        <v>51</v>
      </c>
      <c r="B18" s="19"/>
      <c r="C18" s="19"/>
    </row>
  </sheetData>
  <mergeCells count="9">
    <mergeCell ref="A1:C1"/>
    <mergeCell ref="A3:C3"/>
    <mergeCell ref="A7:C7"/>
    <mergeCell ref="A11:C11"/>
    <mergeCell ref="B13:C13"/>
    <mergeCell ref="A15:C15"/>
    <mergeCell ref="A16:C16"/>
    <mergeCell ref="A17:C17"/>
    <mergeCell ref="A18:C18"/>
  </mergeCells>
  <dataValidations count="2">
    <dataValidation allowBlank="false" errorStyle="stop" operator="between" showDropDown="false" showErrorMessage="false" showInputMessage="false" sqref="B8" type="list">
      <formula1>"実部虚部,振幅位相"</formula1>
      <formula2>0</formula2>
    </dataValidation>
    <dataValidation allowBlank="false" errorStyle="stop" operator="between" showDropDown="false" showErrorMessage="false" showInputMessage="false" sqref="B9" type="list">
      <formula1>"dB,リニア"</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16"/>
    <col collapsed="false" customWidth="true" hidden="false" outlineLevel="0" max="5" min="4" style="1" width="15"/>
    <col collapsed="false" customWidth="true" hidden="false" outlineLevel="0" max="6" min="6" style="1" width="16"/>
  </cols>
  <sheetData>
    <row r="1" customFormat="false" ht="19.5" hidden="false" customHeight="true" outlineLevel="0" collapsed="false">
      <c r="A1" s="2" t="s">
        <v>52</v>
      </c>
      <c r="B1" s="2"/>
      <c r="C1" s="2"/>
      <c r="D1" s="2"/>
      <c r="E1" s="2"/>
      <c r="F1" s="2"/>
    </row>
    <row r="2" customFormat="false" ht="26.85" hidden="false" customHeight="true" outlineLevel="0" collapsed="false">
      <c r="A2" s="19" t="s">
        <v>53</v>
      </c>
      <c r="B2" s="19"/>
      <c r="C2" s="19"/>
      <c r="D2" s="19"/>
      <c r="E2" s="19"/>
      <c r="F2" s="19"/>
    </row>
    <row r="3" customFormat="false" ht="26.85" hidden="false" customHeight="true" outlineLevel="0" collapsed="false">
      <c r="A3" s="19" t="s">
        <v>54</v>
      </c>
      <c r="B3" s="19"/>
      <c r="C3" s="19"/>
      <c r="D3" s="19"/>
      <c r="E3" s="19"/>
      <c r="F3" s="19"/>
    </row>
    <row r="4" customFormat="false" ht="30" hidden="false" customHeight="true" outlineLevel="0" collapsed="false">
      <c r="A4" s="20" t="s">
        <v>55</v>
      </c>
      <c r="B4" s="20" t="s">
        <v>56</v>
      </c>
      <c r="C4" s="20" t="s">
        <v>57</v>
      </c>
      <c r="D4" s="20" t="s">
        <v>58</v>
      </c>
      <c r="E4" s="20" t="s">
        <v>59</v>
      </c>
      <c r="F4" s="20" t="s">
        <v>60</v>
      </c>
    </row>
    <row r="5" customFormat="false" ht="15" hidden="false" customHeight="false" outlineLevel="0" collapsed="false">
      <c r="A5" s="21" t="n">
        <v>3400</v>
      </c>
      <c r="B5" s="17" t="n">
        <v>5.1E-005</v>
      </c>
      <c r="C5" s="17" t="n">
        <v>0.00301</v>
      </c>
      <c r="D5" s="22" t="n">
        <f aca="false">IF($A5="","",IF(設定!$B$8="実部虚部",$B5,IF(設定!$B$9="dB",10^($B5/20),$B5)*COS($C5*PI()/180)))</f>
        <v>5.1E-005</v>
      </c>
      <c r="E5" s="22" t="n">
        <f aca="false">IF($A5="","",IF(設定!$B$8="実部虚部",$C5,IF(設定!$B$9="dB",10^($B5/20),$B5)*SIN($C5*PI()/180)))</f>
        <v>0.00301</v>
      </c>
      <c r="F5" s="22" t="n">
        <f aca="false">IF($A5="","",2*PI()*$A5/設定!$B$5)</f>
        <v>0.971428571428571</v>
      </c>
    </row>
    <row r="6" customFormat="false" ht="15" hidden="false" customHeight="false" outlineLevel="0" collapsed="false">
      <c r="A6" s="21" t="n">
        <v>3410</v>
      </c>
      <c r="B6" s="17" t="n">
        <v>9.3E-005</v>
      </c>
      <c r="C6" s="17" t="n">
        <v>0.003391</v>
      </c>
      <c r="D6" s="22" t="n">
        <f aca="false">IF($A6="","",IF(設定!$B$8="実部虚部",$B6,IF(設定!$B$9="dB",10^($B6/20),$B6)*COS($C6*PI()/180)))</f>
        <v>9.3E-005</v>
      </c>
      <c r="E6" s="22" t="n">
        <f aca="false">IF($A6="","",IF(設定!$B$8="実部虚部",$C6,IF(設定!$B$9="dB",10^($B6/20),$B6)*SIN($C6*PI()/180)))</f>
        <v>0.003391</v>
      </c>
      <c r="F6" s="22" t="n">
        <f aca="false">IF($A6="","",2*PI()*$A6/設定!$B$5)</f>
        <v>0.974285714285714</v>
      </c>
    </row>
    <row r="7" customFormat="false" ht="15" hidden="false" customHeight="false" outlineLevel="0" collapsed="false">
      <c r="A7" s="21" t="n">
        <v>3420</v>
      </c>
      <c r="B7" s="17" t="n">
        <v>0.000162</v>
      </c>
      <c r="C7" s="17" t="n">
        <v>0.003876</v>
      </c>
      <c r="D7" s="22" t="n">
        <f aca="false">IF($A7="","",IF(設定!$B$8="実部虚部",$B7,IF(設定!$B$9="dB",10^($B7/20),$B7)*COS($C7*PI()/180)))</f>
        <v>0.000162</v>
      </c>
      <c r="E7" s="22" t="n">
        <f aca="false">IF($A7="","",IF(設定!$B$8="実部虚部",$C7,IF(設定!$B$9="dB",10^($B7/20),$B7)*SIN($C7*PI()/180)))</f>
        <v>0.003876</v>
      </c>
      <c r="F7" s="22" t="n">
        <f aca="false">IF($A7="","",2*PI()*$A7/設定!$B$5)</f>
        <v>0.977142857142857</v>
      </c>
    </row>
    <row r="8" customFormat="false" ht="15" hidden="false" customHeight="false" outlineLevel="0" collapsed="false">
      <c r="A8" s="21" t="n">
        <v>3430</v>
      </c>
      <c r="B8" s="17" t="n">
        <v>0.00028</v>
      </c>
      <c r="C8" s="17" t="n">
        <v>0.004516</v>
      </c>
      <c r="D8" s="22" t="n">
        <f aca="false">IF($A8="","",IF(設定!$B$8="実部虚部",$B8,IF(設定!$B$9="dB",10^($B8/20),$B8)*COS($C8*PI()/180)))</f>
        <v>0.00028</v>
      </c>
      <c r="E8" s="22" t="n">
        <f aca="false">IF($A8="","",IF(設定!$B$8="実部虚部",$C8,IF(設定!$B$9="dB",10^($B8/20),$B8)*SIN($C8*PI()/180)))</f>
        <v>0.004516</v>
      </c>
      <c r="F8" s="22" t="n">
        <f aca="false">IF($A8="","",2*PI()*$A8/設定!$B$5)</f>
        <v>0.98</v>
      </c>
    </row>
    <row r="9" customFormat="false" ht="15" hidden="false" customHeight="false" outlineLevel="0" collapsed="false">
      <c r="A9" s="21" t="n">
        <v>3440</v>
      </c>
      <c r="B9" s="17" t="n">
        <v>0.000512</v>
      </c>
      <c r="C9" s="17" t="n">
        <v>0.005463</v>
      </c>
      <c r="D9" s="22" t="n">
        <f aca="false">IF($A9="","",IF(設定!$B$8="実部虚部",$B9,IF(設定!$B$9="dB",10^($B9/20),$B9)*COS($C9*PI()/180)))</f>
        <v>0.000512</v>
      </c>
      <c r="E9" s="22" t="n">
        <f aca="false">IF($A9="","",IF(設定!$B$8="実部虚部",$C9,IF(設定!$B$9="dB",10^($B9/20),$B9)*SIN($C9*PI()/180)))</f>
        <v>0.005463</v>
      </c>
      <c r="F9" s="22" t="n">
        <f aca="false">IF($A9="","",2*PI()*$A9/設定!$B$5)</f>
        <v>0.982857142857143</v>
      </c>
    </row>
    <row r="10" customFormat="false" ht="15" hidden="false" customHeight="false" outlineLevel="0" collapsed="false">
      <c r="A10" s="21" t="n">
        <v>3450</v>
      </c>
      <c r="B10" s="17" t="n">
        <v>0.001016</v>
      </c>
      <c r="C10" s="17" t="n">
        <v>0.006854</v>
      </c>
      <c r="D10" s="22" t="n">
        <f aca="false">IF($A10="","",IF(設定!$B$8="実部虚部",$B10,IF(設定!$B$9="dB",10^($B10/20),$B10)*COS($C10*PI()/180)))</f>
        <v>0.001016</v>
      </c>
      <c r="E10" s="22" t="n">
        <f aca="false">IF($A10="","",IF(設定!$B$8="実部虚部",$C10,IF(設定!$B$9="dB",10^($B10/20),$B10)*SIN($C10*PI()/180)))</f>
        <v>0.006854</v>
      </c>
      <c r="F10" s="22" t="n">
        <f aca="false">IF($A10="","",2*PI()*$A10/設定!$B$5)</f>
        <v>0.985714285714286</v>
      </c>
    </row>
    <row r="11" customFormat="false" ht="15" hidden="false" customHeight="false" outlineLevel="0" collapsed="false">
      <c r="A11" s="21" t="n">
        <v>3460</v>
      </c>
      <c r="B11" s="17" t="n">
        <v>0.002362</v>
      </c>
      <c r="C11" s="17" t="n">
        <v>0.00908</v>
      </c>
      <c r="D11" s="22" t="n">
        <f aca="false">IF($A11="","",IF(設定!$B$8="実部虚部",$B11,IF(設定!$B$9="dB",10^($B11/20),$B11)*COS($C11*PI()/180)))</f>
        <v>0.002362</v>
      </c>
      <c r="E11" s="22" t="n">
        <f aca="false">IF($A11="","",IF(設定!$B$8="実部虚部",$C11,IF(設定!$B$9="dB",10^($B11/20),$B11)*SIN($C11*PI()/180)))</f>
        <v>0.00908</v>
      </c>
      <c r="F11" s="22" t="n">
        <f aca="false">IF($A11="","",2*PI()*$A11/設定!$B$5)</f>
        <v>0.988571428571429</v>
      </c>
    </row>
    <row r="12" customFormat="false" ht="15" hidden="false" customHeight="false" outlineLevel="0" collapsed="false">
      <c r="A12" s="21" t="n">
        <v>3470</v>
      </c>
      <c r="B12" s="17" t="n">
        <v>0.006939</v>
      </c>
      <c r="C12" s="17" t="n">
        <v>0.012171</v>
      </c>
      <c r="D12" s="22" t="n">
        <f aca="false">IF($A12="","",IF(設定!$B$8="実部虚部",$B12,IF(設定!$B$9="dB",10^($B12/20),$B12)*COS($C12*PI()/180)))</f>
        <v>0.006939</v>
      </c>
      <c r="E12" s="22" t="n">
        <f aca="false">IF($A12="","",IF(設定!$B$8="実部虚部",$C12,IF(設定!$B$9="dB",10^($B12/20),$B12)*SIN($C12*PI()/180)))</f>
        <v>0.012171</v>
      </c>
      <c r="F12" s="22" t="n">
        <f aca="false">IF($A12="","",2*PI()*$A12/設定!$B$5)</f>
        <v>0.991428571428572</v>
      </c>
    </row>
    <row r="13" customFormat="false" ht="15" hidden="false" customHeight="false" outlineLevel="0" collapsed="false">
      <c r="A13" s="21" t="n">
        <v>3480</v>
      </c>
      <c r="B13" s="17" t="n">
        <v>0.016968</v>
      </c>
      <c r="C13" s="17" t="n">
        <v>0.007099</v>
      </c>
      <c r="D13" s="22" t="n">
        <f aca="false">IF($A13="","",IF(設定!$B$8="実部虚部",$B13,IF(設定!$B$9="dB",10^($B13/20),$B13)*COS($C13*PI()/180)))</f>
        <v>0.016968</v>
      </c>
      <c r="E13" s="22" t="n">
        <f aca="false">IF($A13="","",IF(設定!$B$8="実部虚部",$C13,IF(設定!$B$9="dB",10^($B13/20),$B13)*SIN($C13*PI()/180)))</f>
        <v>0.007099</v>
      </c>
      <c r="F13" s="22" t="n">
        <f aca="false">IF($A13="","",2*PI()*$A13/設定!$B$5)</f>
        <v>0.994285714285714</v>
      </c>
    </row>
    <row r="14" customFormat="false" ht="15" hidden="false" customHeight="false" outlineLevel="0" collapsed="false">
      <c r="A14" s="21" t="n">
        <v>3490</v>
      </c>
      <c r="B14" s="17" t="n">
        <v>0.012733</v>
      </c>
      <c r="C14" s="17" t="n">
        <v>-0.002205</v>
      </c>
      <c r="D14" s="22" t="n">
        <f aca="false">IF($A14="","",IF(設定!$B$8="実部虚部",$B14,IF(設定!$B$9="dB",10^($B14/20),$B14)*COS($C14*PI()/180)))</f>
        <v>0.012733</v>
      </c>
      <c r="E14" s="22" t="n">
        <f aca="false">IF($A14="","",IF(設定!$B$8="実部虚部",$C14,IF(設定!$B$9="dB",10^($B14/20),$B14)*SIN($C14*PI()/180)))</f>
        <v>-0.002205</v>
      </c>
      <c r="F14" s="22" t="n">
        <f aca="false">IF($A14="","",2*PI()*$A14/設定!$B$5)</f>
        <v>0.997142857142857</v>
      </c>
    </row>
    <row r="15" customFormat="false" ht="15" hidden="false" customHeight="false" outlineLevel="0" collapsed="false">
      <c r="A15" s="21" t="n">
        <v>3500</v>
      </c>
      <c r="B15" s="17" t="n">
        <v>0.009201</v>
      </c>
      <c r="C15" s="17" t="n">
        <v>-0.001806</v>
      </c>
      <c r="D15" s="22" t="n">
        <f aca="false">IF($A15="","",IF(設定!$B$8="実部虚部",$B15,IF(設定!$B$9="dB",10^($B15/20),$B15)*COS($C15*PI()/180)))</f>
        <v>0.009201</v>
      </c>
      <c r="E15" s="22" t="n">
        <f aca="false">IF($A15="","",IF(設定!$B$8="実部虚部",$C15,IF(設定!$B$9="dB",10^($B15/20),$B15)*SIN($C15*PI()/180)))</f>
        <v>-0.001806</v>
      </c>
      <c r="F15" s="22" t="n">
        <f aca="false">IF($A15="","",2*PI()*$A15/設定!$B$5)</f>
        <v>1</v>
      </c>
    </row>
    <row r="16" customFormat="false" ht="15" hidden="false" customHeight="false" outlineLevel="0" collapsed="false">
      <c r="A16" s="21" t="n">
        <v>3510</v>
      </c>
      <c r="B16" s="17" t="n">
        <v>0.010162</v>
      </c>
      <c r="C16" s="17" t="n">
        <v>-0.00152</v>
      </c>
      <c r="D16" s="22" t="n">
        <f aca="false">IF($A16="","",IF(設定!$B$8="実部虚部",$B16,IF(設定!$B$9="dB",10^($B16/20),$B16)*COS($C16*PI()/180)))</f>
        <v>0.010162</v>
      </c>
      <c r="E16" s="22" t="n">
        <f aca="false">IF($A16="","",IF(設定!$B$8="実部虚部",$C16,IF(設定!$B$9="dB",10^($B16/20),$B16)*SIN($C16*PI()/180)))</f>
        <v>-0.00152</v>
      </c>
      <c r="F16" s="22" t="n">
        <f aca="false">IF($A16="","",2*PI()*$A16/設定!$B$5)</f>
        <v>1.00285714285714</v>
      </c>
    </row>
    <row r="17" customFormat="false" ht="15" hidden="false" customHeight="false" outlineLevel="0" collapsed="false">
      <c r="A17" s="21" t="n">
        <v>3520</v>
      </c>
      <c r="B17" s="17" t="n">
        <v>0.011108</v>
      </c>
      <c r="C17" s="17" t="n">
        <v>-0.005744</v>
      </c>
      <c r="D17" s="22" t="n">
        <f aca="false">IF($A17="","",IF(設定!$B$8="実部虚部",$B17,IF(設定!$B$9="dB",10^($B17/20),$B17)*COS($C17*PI()/180)))</f>
        <v>0.011108</v>
      </c>
      <c r="E17" s="22" t="n">
        <f aca="false">IF($A17="","",IF(設定!$B$8="実部虚部",$C17,IF(設定!$B$9="dB",10^($B17/20),$B17)*SIN($C17*PI()/180)))</f>
        <v>-0.005744</v>
      </c>
      <c r="F17" s="22" t="n">
        <f aca="false">IF($A17="","",2*PI()*$A17/設定!$B$5)</f>
        <v>1.00571428571429</v>
      </c>
    </row>
    <row r="18" customFormat="false" ht="15" hidden="false" customHeight="false" outlineLevel="0" collapsed="false">
      <c r="A18" s="21" t="n">
        <v>3530</v>
      </c>
      <c r="B18" s="17" t="n">
        <v>0.006478</v>
      </c>
      <c r="C18" s="17" t="n">
        <v>-0.008669</v>
      </c>
      <c r="D18" s="22" t="n">
        <f aca="false">IF($A18="","",IF(設定!$B$8="実部虚部",$B18,IF(設定!$B$9="dB",10^($B18/20),$B18)*COS($C18*PI()/180)))</f>
        <v>0.006478</v>
      </c>
      <c r="E18" s="22" t="n">
        <f aca="false">IF($A18="","",IF(設定!$B$8="実部虚部",$C18,IF(設定!$B$9="dB",10^($B18/20),$B18)*SIN($C18*PI()/180)))</f>
        <v>-0.008669</v>
      </c>
      <c r="F18" s="22" t="n">
        <f aca="false">IF($A18="","",2*PI()*$A18/設定!$B$5)</f>
        <v>1.00857142857143</v>
      </c>
    </row>
    <row r="19" customFormat="false" ht="15" hidden="false" customHeight="false" outlineLevel="0" collapsed="false">
      <c r="A19" s="21" t="n">
        <v>3540</v>
      </c>
      <c r="B19" s="17" t="n">
        <v>0.003142</v>
      </c>
      <c r="C19" s="17" t="n">
        <v>-0.007475</v>
      </c>
      <c r="D19" s="22" t="n">
        <f aca="false">IF($A19="","",IF(設定!$B$8="実部虚部",$B19,IF(設定!$B$9="dB",10^($B19/20),$B19)*COS($C19*PI()/180)))</f>
        <v>0.003142</v>
      </c>
      <c r="E19" s="22" t="n">
        <f aca="false">IF($A19="","",IF(設定!$B$8="実部虚部",$C19,IF(設定!$B$9="dB",10^($B19/20),$B19)*SIN($C19*PI()/180)))</f>
        <v>-0.007475</v>
      </c>
      <c r="F19" s="22" t="n">
        <f aca="false">IF($A19="","",2*PI()*$A19/設定!$B$5)</f>
        <v>1.01142857142857</v>
      </c>
    </row>
    <row r="20" customFormat="false" ht="15" hidden="false" customHeight="false" outlineLevel="0" collapsed="false">
      <c r="A20" s="21" t="n">
        <v>3550</v>
      </c>
      <c r="B20" s="17" t="n">
        <v>0.001759</v>
      </c>
      <c r="C20" s="17" t="n">
        <v>-0.006056</v>
      </c>
      <c r="D20" s="22" t="n">
        <f aca="false">IF($A20="","",IF(設定!$B$8="実部虚部",$B20,IF(設定!$B$9="dB",10^($B20/20),$B20)*COS($C20*PI()/180)))</f>
        <v>0.001759</v>
      </c>
      <c r="E20" s="22" t="n">
        <f aca="false">IF($A20="","",IF(設定!$B$8="実部虚部",$C20,IF(設定!$B$9="dB",10^($B20/20),$B20)*SIN($C20*PI()/180)))</f>
        <v>-0.006056</v>
      </c>
      <c r="F20" s="22" t="n">
        <f aca="false">IF($A20="","",2*PI()*$A20/設定!$B$5)</f>
        <v>1.01428571428571</v>
      </c>
    </row>
    <row r="21" customFormat="false" ht="15" hidden="false" customHeight="false" outlineLevel="0" collapsed="false">
      <c r="A21" s="21" t="n">
        <v>3560</v>
      </c>
      <c r="B21" s="17" t="n">
        <v>0.001128</v>
      </c>
      <c r="C21" s="17" t="n">
        <v>-0.005</v>
      </c>
      <c r="D21" s="22" t="n">
        <f aca="false">IF($A21="","",IF(設定!$B$8="実部虚部",$B21,IF(設定!$B$9="dB",10^($B21/20),$B21)*COS($C21*PI()/180)))</f>
        <v>0.001128</v>
      </c>
      <c r="E21" s="22" t="n">
        <f aca="false">IF($A21="","",IF(設定!$B$8="実部虚部",$C21,IF(設定!$B$9="dB",10^($B21/20),$B21)*SIN($C21*PI()/180)))</f>
        <v>-0.005</v>
      </c>
      <c r="F21" s="22" t="n">
        <f aca="false">IF($A21="","",2*PI()*$A21/設定!$B$5)</f>
        <v>1.01714285714286</v>
      </c>
    </row>
    <row r="22" customFormat="false" ht="15" hidden="false" customHeight="false" outlineLevel="0" collapsed="false">
      <c r="A22" s="21" t="n">
        <v>3570</v>
      </c>
      <c r="B22" s="17" t="n">
        <v>0.000797</v>
      </c>
      <c r="C22" s="17" t="n">
        <v>-0.004246</v>
      </c>
      <c r="D22" s="22" t="n">
        <f aca="false">IF($A22="","",IF(設定!$B$8="実部虚部",$B22,IF(設定!$B$9="dB",10^($B22/20),$B22)*COS($C22*PI()/180)))</f>
        <v>0.000797</v>
      </c>
      <c r="E22" s="22" t="n">
        <f aca="false">IF($A22="","",IF(設定!$B$8="実部虚部",$C22,IF(設定!$B$9="dB",10^($B22/20),$B22)*SIN($C22*PI()/180)))</f>
        <v>-0.004246</v>
      </c>
      <c r="F22" s="22" t="n">
        <f aca="false">IF($A22="","",2*PI()*$A22/設定!$B$5)</f>
        <v>1.02</v>
      </c>
    </row>
    <row r="23" customFormat="false" ht="15" hidden="false" customHeight="false" outlineLevel="0" collapsed="false">
      <c r="A23" s="21" t="n">
        <v>3580</v>
      </c>
      <c r="B23" s="17" t="n">
        <v>0.000602</v>
      </c>
      <c r="C23" s="17" t="n">
        <v>-0.003688</v>
      </c>
      <c r="D23" s="22" t="n">
        <f aca="false">IF($A23="","",IF(設定!$B$8="実部虚部",$B23,IF(設定!$B$9="dB",10^($B23/20),$B23)*COS($C23*PI()/180)))</f>
        <v>0.000602</v>
      </c>
      <c r="E23" s="22" t="n">
        <f aca="false">IF($A23="","",IF(設定!$B$8="実部虚部",$C23,IF(設定!$B$9="dB",10^($B23/20),$B23)*SIN($C23*PI()/180)))</f>
        <v>-0.003688</v>
      </c>
      <c r="F23" s="22" t="n">
        <f aca="false">IF($A23="","",2*PI()*$A23/設定!$B$5)</f>
        <v>1.02285714285714</v>
      </c>
    </row>
    <row r="24" customFormat="false" ht="15" hidden="false" customHeight="false" outlineLevel="0" collapsed="false">
      <c r="A24" s="21" t="n">
        <v>3590</v>
      </c>
      <c r="B24" s="17" t="n">
        <v>0.000478</v>
      </c>
      <c r="C24" s="17" t="n">
        <v>-0.003267</v>
      </c>
      <c r="D24" s="22" t="n">
        <f aca="false">IF($A24="","",IF(設定!$B$8="実部虚部",$B24,IF(設定!$B$9="dB",10^($B24/20),$B24)*COS($C24*PI()/180)))</f>
        <v>0.000478</v>
      </c>
      <c r="E24" s="22" t="n">
        <f aca="false">IF($A24="","",IF(設定!$B$8="実部虚部",$C24,IF(設定!$B$9="dB",10^($B24/20),$B24)*SIN($C24*PI()/180)))</f>
        <v>-0.003267</v>
      </c>
      <c r="F24" s="22" t="n">
        <f aca="false">IF($A24="","",2*PI()*$A24/設定!$B$5)</f>
        <v>1.02571428571429</v>
      </c>
    </row>
    <row r="25" customFormat="false" ht="15" hidden="false" customHeight="false" outlineLevel="0" collapsed="false">
      <c r="A25" s="21" t="n">
        <v>3600</v>
      </c>
      <c r="B25" s="17" t="n">
        <v>0.000393</v>
      </c>
      <c r="C25" s="17" t="n">
        <v>-0.002933</v>
      </c>
      <c r="D25" s="22" t="n">
        <f aca="false">IF($A25="","",IF(設定!$B$8="実部虚部",$B25,IF(設定!$B$9="dB",10^($B25/20),$B25)*COS($C25*PI()/180)))</f>
        <v>0.000393</v>
      </c>
      <c r="E25" s="22" t="n">
        <f aca="false">IF($A25="","",IF(設定!$B$8="実部虚部",$C25,IF(設定!$B$9="dB",10^($B25/20),$B25)*SIN($C25*PI()/180)))</f>
        <v>-0.002933</v>
      </c>
      <c r="F25" s="22" t="n">
        <f aca="false">IF($A25="","",2*PI()*$A25/設定!$B$5)</f>
        <v>1.02857142857143</v>
      </c>
    </row>
    <row r="26" customFormat="false" ht="15" hidden="false" customHeight="false" outlineLevel="0" collapsed="false">
      <c r="A26" s="21"/>
      <c r="B26" s="17"/>
      <c r="C26" s="17"/>
      <c r="D26" s="22" t="str">
        <f aca="false">IF($A26="","",IF(設定!$B$8="実部虚部",$B26,IF(設定!$B$9="dB",10^($B26/20),$B26)*COS($C26*PI()/180)))</f>
        <v/>
      </c>
      <c r="E26" s="22" t="str">
        <f aca="false">IF($A26="","",IF(設定!$B$8="実部虚部",$C26,IF(設定!$B$9="dB",10^($B26/20),$B26)*SIN($C26*PI()/180)))</f>
        <v/>
      </c>
      <c r="F26" s="22" t="str">
        <f aca="false">IF($A26="","",2*PI()*$A26/設定!$B$5)</f>
        <v/>
      </c>
    </row>
    <row r="27" customFormat="false" ht="15" hidden="false" customHeight="false" outlineLevel="0" collapsed="false">
      <c r="A27" s="21"/>
      <c r="B27" s="17"/>
      <c r="C27" s="17"/>
      <c r="D27" s="22" t="str">
        <f aca="false">IF($A27="","",IF(設定!$B$8="実部虚部",$B27,IF(設定!$B$9="dB",10^($B27/20),$B27)*COS($C27*PI()/180)))</f>
        <v/>
      </c>
      <c r="E27" s="22" t="str">
        <f aca="false">IF($A27="","",IF(設定!$B$8="実部虚部",$C27,IF(設定!$B$9="dB",10^($B27/20),$B27)*SIN($C27*PI()/180)))</f>
        <v/>
      </c>
      <c r="F27" s="22" t="str">
        <f aca="false">IF($A27="","",2*PI()*$A27/設定!$B$5)</f>
        <v/>
      </c>
    </row>
    <row r="28" customFormat="false" ht="15" hidden="false" customHeight="false" outlineLevel="0" collapsed="false">
      <c r="A28" s="21"/>
      <c r="B28" s="17"/>
      <c r="C28" s="17"/>
      <c r="D28" s="22" t="str">
        <f aca="false">IF($A28="","",IF(設定!$B$8="実部虚部",$B28,IF(設定!$B$9="dB",10^($B28/20),$B28)*COS($C28*PI()/180)))</f>
        <v/>
      </c>
      <c r="E28" s="22" t="str">
        <f aca="false">IF($A28="","",IF(設定!$B$8="実部虚部",$C28,IF(設定!$B$9="dB",10^($B28/20),$B28)*SIN($C28*PI()/180)))</f>
        <v/>
      </c>
      <c r="F28" s="22" t="str">
        <f aca="false">IF($A28="","",2*PI()*$A28/設定!$B$5)</f>
        <v/>
      </c>
    </row>
    <row r="29" customFormat="false" ht="15" hidden="false" customHeight="false" outlineLevel="0" collapsed="false">
      <c r="A29" s="21"/>
      <c r="B29" s="17"/>
      <c r="C29" s="17"/>
      <c r="D29" s="22" t="str">
        <f aca="false">IF($A29="","",IF(設定!$B$8="実部虚部",$B29,IF(設定!$B$9="dB",10^($B29/20),$B29)*COS($C29*PI()/180)))</f>
        <v/>
      </c>
      <c r="E29" s="22" t="str">
        <f aca="false">IF($A29="","",IF(設定!$B$8="実部虚部",$C29,IF(設定!$B$9="dB",10^($B29/20),$B29)*SIN($C29*PI()/180)))</f>
        <v/>
      </c>
      <c r="F29" s="22" t="str">
        <f aca="false">IF($A29="","",2*PI()*$A29/設定!$B$5)</f>
        <v/>
      </c>
    </row>
    <row r="30" customFormat="false" ht="15" hidden="false" customHeight="false" outlineLevel="0" collapsed="false">
      <c r="A30" s="21"/>
      <c r="B30" s="17"/>
      <c r="C30" s="17"/>
      <c r="D30" s="22" t="str">
        <f aca="false">IF($A30="","",IF(設定!$B$8="実部虚部",$B30,IF(設定!$B$9="dB",10^($B30/20),$B30)*COS($C30*PI()/180)))</f>
        <v/>
      </c>
      <c r="E30" s="22" t="str">
        <f aca="false">IF($A30="","",IF(設定!$B$8="実部虚部",$C30,IF(設定!$B$9="dB",10^($B30/20),$B30)*SIN($C30*PI()/180)))</f>
        <v/>
      </c>
      <c r="F30" s="22" t="str">
        <f aca="false">IF($A30="","",2*PI()*$A30/設定!$B$5)</f>
        <v/>
      </c>
    </row>
    <row r="31" customFormat="false" ht="15" hidden="false" customHeight="false" outlineLevel="0" collapsed="false">
      <c r="A31" s="21"/>
      <c r="B31" s="17"/>
      <c r="C31" s="17"/>
      <c r="D31" s="22" t="str">
        <f aca="false">IF($A31="","",IF(設定!$B$8="実部虚部",$B31,IF(設定!$B$9="dB",10^($B31/20),$B31)*COS($C31*PI()/180)))</f>
        <v/>
      </c>
      <c r="E31" s="22" t="str">
        <f aca="false">IF($A31="","",IF(設定!$B$8="実部虚部",$C31,IF(設定!$B$9="dB",10^($B31/20),$B31)*SIN($C31*PI()/180)))</f>
        <v/>
      </c>
      <c r="F31" s="22" t="str">
        <f aca="false">IF($A31="","",2*PI()*$A31/設定!$B$5)</f>
        <v/>
      </c>
    </row>
    <row r="32" customFormat="false" ht="15" hidden="false" customHeight="false" outlineLevel="0" collapsed="false">
      <c r="A32" s="21"/>
      <c r="B32" s="17"/>
      <c r="C32" s="17"/>
      <c r="D32" s="22" t="str">
        <f aca="false">IF($A32="","",IF(設定!$B$8="実部虚部",$B32,IF(設定!$B$9="dB",10^($B32/20),$B32)*COS($C32*PI()/180)))</f>
        <v/>
      </c>
      <c r="E32" s="22" t="str">
        <f aca="false">IF($A32="","",IF(設定!$B$8="実部虚部",$C32,IF(設定!$B$9="dB",10^($B32/20),$B32)*SIN($C32*PI()/180)))</f>
        <v/>
      </c>
      <c r="F32" s="22" t="str">
        <f aca="false">IF($A32="","",2*PI()*$A32/設定!$B$5)</f>
        <v/>
      </c>
    </row>
    <row r="33" customFormat="false" ht="15" hidden="false" customHeight="false" outlineLevel="0" collapsed="false">
      <c r="A33" s="21"/>
      <c r="B33" s="17"/>
      <c r="C33" s="17"/>
      <c r="D33" s="22" t="str">
        <f aca="false">IF($A33="","",IF(設定!$B$8="実部虚部",$B33,IF(設定!$B$9="dB",10^($B33/20),$B33)*COS($C33*PI()/180)))</f>
        <v/>
      </c>
      <c r="E33" s="22" t="str">
        <f aca="false">IF($A33="","",IF(設定!$B$8="実部虚部",$C33,IF(設定!$B$9="dB",10^($B33/20),$B33)*SIN($C33*PI()/180)))</f>
        <v/>
      </c>
      <c r="F33" s="22" t="str">
        <f aca="false">IF($A33="","",2*PI()*$A33/設定!$B$5)</f>
        <v/>
      </c>
    </row>
    <row r="34" customFormat="false" ht="15" hidden="false" customHeight="false" outlineLevel="0" collapsed="false">
      <c r="A34" s="21"/>
      <c r="B34" s="17"/>
      <c r="C34" s="17"/>
      <c r="D34" s="22" t="str">
        <f aca="false">IF($A34="","",IF(設定!$B$8="実部虚部",$B34,IF(設定!$B$9="dB",10^($B34/20),$B34)*COS($C34*PI()/180)))</f>
        <v/>
      </c>
      <c r="E34" s="22" t="str">
        <f aca="false">IF($A34="","",IF(設定!$B$8="実部虚部",$C34,IF(設定!$B$9="dB",10^($B34/20),$B34)*SIN($C34*PI()/180)))</f>
        <v/>
      </c>
      <c r="F34" s="22" t="str">
        <f aca="false">IF($A34="","",2*PI()*$A34/設定!$B$5)</f>
        <v/>
      </c>
    </row>
    <row r="35" customFormat="false" ht="15" hidden="false" customHeight="false" outlineLevel="0" collapsed="false">
      <c r="A35" s="21"/>
      <c r="B35" s="17"/>
      <c r="C35" s="17"/>
      <c r="D35" s="22" t="str">
        <f aca="false">IF($A35="","",IF(設定!$B$8="実部虚部",$B35,IF(設定!$B$9="dB",10^($B35/20),$B35)*COS($C35*PI()/180)))</f>
        <v/>
      </c>
      <c r="E35" s="22" t="str">
        <f aca="false">IF($A35="","",IF(設定!$B$8="実部虚部",$C35,IF(設定!$B$9="dB",10^($B35/20),$B35)*SIN($C35*PI()/180)))</f>
        <v/>
      </c>
      <c r="F35" s="22" t="str">
        <f aca="false">IF($A35="","",2*PI()*$A35/設定!$B$5)</f>
        <v/>
      </c>
    </row>
    <row r="36" customFormat="false" ht="15" hidden="false" customHeight="false" outlineLevel="0" collapsed="false">
      <c r="A36" s="21"/>
      <c r="B36" s="17"/>
      <c r="C36" s="17"/>
      <c r="D36" s="22" t="str">
        <f aca="false">IF($A36="","",IF(設定!$B$8="実部虚部",$B36,IF(設定!$B$9="dB",10^($B36/20),$B36)*COS($C36*PI()/180)))</f>
        <v/>
      </c>
      <c r="E36" s="22" t="str">
        <f aca="false">IF($A36="","",IF(設定!$B$8="実部虚部",$C36,IF(設定!$B$9="dB",10^($B36/20),$B36)*SIN($C36*PI()/180)))</f>
        <v/>
      </c>
      <c r="F36" s="22" t="str">
        <f aca="false">IF($A36="","",2*PI()*$A36/設定!$B$5)</f>
        <v/>
      </c>
    </row>
    <row r="37" customFormat="false" ht="15" hidden="false" customHeight="false" outlineLevel="0" collapsed="false">
      <c r="A37" s="21"/>
      <c r="B37" s="17"/>
      <c r="C37" s="17"/>
      <c r="D37" s="22" t="str">
        <f aca="false">IF($A37="","",IF(設定!$B$8="実部虚部",$B37,IF(設定!$B$9="dB",10^($B37/20),$B37)*COS($C37*PI()/180)))</f>
        <v/>
      </c>
      <c r="E37" s="22" t="str">
        <f aca="false">IF($A37="","",IF(設定!$B$8="実部虚部",$C37,IF(設定!$B$9="dB",10^($B37/20),$B37)*SIN($C37*PI()/180)))</f>
        <v/>
      </c>
      <c r="F37" s="22" t="str">
        <f aca="false">IF($A37="","",2*PI()*$A37/設定!$B$5)</f>
        <v/>
      </c>
    </row>
    <row r="38" customFormat="false" ht="15" hidden="false" customHeight="false" outlineLevel="0" collapsed="false">
      <c r="A38" s="21"/>
      <c r="B38" s="17"/>
      <c r="C38" s="17"/>
      <c r="D38" s="22" t="str">
        <f aca="false">IF($A38="","",IF(設定!$B$8="実部虚部",$B38,IF(設定!$B$9="dB",10^($B38/20),$B38)*COS($C38*PI()/180)))</f>
        <v/>
      </c>
      <c r="E38" s="22" t="str">
        <f aca="false">IF($A38="","",IF(設定!$B$8="実部虚部",$C38,IF(設定!$B$9="dB",10^($B38/20),$B38)*SIN($C38*PI()/180)))</f>
        <v/>
      </c>
      <c r="F38" s="22" t="str">
        <f aca="false">IF($A38="","",2*PI()*$A38/設定!$B$5)</f>
        <v/>
      </c>
    </row>
    <row r="39" customFormat="false" ht="15" hidden="false" customHeight="false" outlineLevel="0" collapsed="false">
      <c r="A39" s="21"/>
      <c r="B39" s="17"/>
      <c r="C39" s="17"/>
      <c r="D39" s="22" t="str">
        <f aca="false">IF($A39="","",IF(設定!$B$8="実部虚部",$B39,IF(設定!$B$9="dB",10^($B39/20),$B39)*COS($C39*PI()/180)))</f>
        <v/>
      </c>
      <c r="E39" s="22" t="str">
        <f aca="false">IF($A39="","",IF(設定!$B$8="実部虚部",$C39,IF(設定!$B$9="dB",10^($B39/20),$B39)*SIN($C39*PI()/180)))</f>
        <v/>
      </c>
      <c r="F39" s="22" t="str">
        <f aca="false">IF($A39="","",2*PI()*$A39/設定!$B$5)</f>
        <v/>
      </c>
    </row>
    <row r="40" customFormat="false" ht="15" hidden="false" customHeight="false" outlineLevel="0" collapsed="false">
      <c r="A40" s="21"/>
      <c r="B40" s="17"/>
      <c r="C40" s="17"/>
      <c r="D40" s="22" t="str">
        <f aca="false">IF($A40="","",IF(設定!$B$8="実部虚部",$B40,IF(設定!$B$9="dB",10^($B40/20),$B40)*COS($C40*PI()/180)))</f>
        <v/>
      </c>
      <c r="E40" s="22" t="str">
        <f aca="false">IF($A40="","",IF(設定!$B$8="実部虚部",$C40,IF(設定!$B$9="dB",10^($B40/20),$B40)*SIN($C40*PI()/180)))</f>
        <v/>
      </c>
      <c r="F40" s="22" t="str">
        <f aca="false">IF($A40="","",2*PI()*$A40/設定!$B$5)</f>
        <v/>
      </c>
    </row>
    <row r="41" customFormat="false" ht="15" hidden="false" customHeight="false" outlineLevel="0" collapsed="false">
      <c r="A41" s="21"/>
      <c r="B41" s="17"/>
      <c r="C41" s="17"/>
      <c r="D41" s="22" t="str">
        <f aca="false">IF($A41="","",IF(設定!$B$8="実部虚部",$B41,IF(設定!$B$9="dB",10^($B41/20),$B41)*COS($C41*PI()/180)))</f>
        <v/>
      </c>
      <c r="E41" s="22" t="str">
        <f aca="false">IF($A41="","",IF(設定!$B$8="実部虚部",$C41,IF(設定!$B$9="dB",10^($B41/20),$B41)*SIN($C41*PI()/180)))</f>
        <v/>
      </c>
      <c r="F41" s="22" t="str">
        <f aca="false">IF($A41="","",2*PI()*$A41/設定!$B$5)</f>
        <v/>
      </c>
    </row>
    <row r="42" customFormat="false" ht="15" hidden="false" customHeight="false" outlineLevel="0" collapsed="false">
      <c r="A42" s="21"/>
      <c r="B42" s="17"/>
      <c r="C42" s="17"/>
      <c r="D42" s="22" t="str">
        <f aca="false">IF($A42="","",IF(設定!$B$8="実部虚部",$B42,IF(設定!$B$9="dB",10^($B42/20),$B42)*COS($C42*PI()/180)))</f>
        <v/>
      </c>
      <c r="E42" s="22" t="str">
        <f aca="false">IF($A42="","",IF(設定!$B$8="実部虚部",$C42,IF(設定!$B$9="dB",10^($B42/20),$B42)*SIN($C42*PI()/180)))</f>
        <v/>
      </c>
      <c r="F42" s="22" t="str">
        <f aca="false">IF($A42="","",2*PI()*$A42/設定!$B$5)</f>
        <v/>
      </c>
    </row>
    <row r="43" customFormat="false" ht="15" hidden="false" customHeight="false" outlineLevel="0" collapsed="false">
      <c r="A43" s="21"/>
      <c r="B43" s="17"/>
      <c r="C43" s="17"/>
      <c r="D43" s="22" t="str">
        <f aca="false">IF($A43="","",IF(設定!$B$8="実部虚部",$B43,IF(設定!$B$9="dB",10^($B43/20),$B43)*COS($C43*PI()/180)))</f>
        <v/>
      </c>
      <c r="E43" s="22" t="str">
        <f aca="false">IF($A43="","",IF(設定!$B$8="実部虚部",$C43,IF(設定!$B$9="dB",10^($B43/20),$B43)*SIN($C43*PI()/180)))</f>
        <v/>
      </c>
      <c r="F43" s="22" t="str">
        <f aca="false">IF($A43="","",2*PI()*$A43/設定!$B$5)</f>
        <v/>
      </c>
    </row>
    <row r="44" customFormat="false" ht="15" hidden="false" customHeight="false" outlineLevel="0" collapsed="false">
      <c r="A44" s="21"/>
      <c r="B44" s="17"/>
      <c r="C44" s="17"/>
      <c r="D44" s="22" t="str">
        <f aca="false">IF($A44="","",IF(設定!$B$8="実部虚部",$B44,IF(設定!$B$9="dB",10^($B44/20),$B44)*COS($C44*PI()/180)))</f>
        <v/>
      </c>
      <c r="E44" s="22" t="str">
        <f aca="false">IF($A44="","",IF(設定!$B$8="実部虚部",$C44,IF(設定!$B$9="dB",10^($B44/20),$B44)*SIN($C44*PI()/180)))</f>
        <v/>
      </c>
      <c r="F44" s="22" t="str">
        <f aca="false">IF($A44="","",2*PI()*$A44/設定!$B$5)</f>
        <v/>
      </c>
    </row>
    <row r="45" customFormat="false" ht="15" hidden="false" customHeight="false" outlineLevel="0" collapsed="false">
      <c r="A45" s="21"/>
      <c r="B45" s="17"/>
      <c r="C45" s="17"/>
      <c r="D45" s="22" t="str">
        <f aca="false">IF($A45="","",IF(設定!$B$8="実部虚部",$B45,IF(設定!$B$9="dB",10^($B45/20),$B45)*COS($C45*PI()/180)))</f>
        <v/>
      </c>
      <c r="E45" s="22" t="str">
        <f aca="false">IF($A45="","",IF(設定!$B$8="実部虚部",$C45,IF(設定!$B$9="dB",10^($B45/20),$B45)*SIN($C45*PI()/180)))</f>
        <v/>
      </c>
      <c r="F45" s="22" t="str">
        <f aca="false">IF($A45="","",2*PI()*$A45/設定!$B$5)</f>
        <v/>
      </c>
    </row>
    <row r="46" customFormat="false" ht="15" hidden="false" customHeight="false" outlineLevel="0" collapsed="false">
      <c r="A46" s="21"/>
      <c r="B46" s="17"/>
      <c r="C46" s="17"/>
      <c r="D46" s="22" t="str">
        <f aca="false">IF($A46="","",IF(設定!$B$8="実部虚部",$B46,IF(設定!$B$9="dB",10^($B46/20),$B46)*COS($C46*PI()/180)))</f>
        <v/>
      </c>
      <c r="E46" s="22" t="str">
        <f aca="false">IF($A46="","",IF(設定!$B$8="実部虚部",$C46,IF(設定!$B$9="dB",10^($B46/20),$B46)*SIN($C46*PI()/180)))</f>
        <v/>
      </c>
      <c r="F46" s="22" t="str">
        <f aca="false">IF($A46="","",2*PI()*$A46/設定!$B$5)</f>
        <v/>
      </c>
    </row>
    <row r="47" customFormat="false" ht="15" hidden="false" customHeight="false" outlineLevel="0" collapsed="false">
      <c r="A47" s="21"/>
      <c r="B47" s="17"/>
      <c r="C47" s="17"/>
      <c r="D47" s="22" t="str">
        <f aca="false">IF($A47="","",IF(設定!$B$8="実部虚部",$B47,IF(設定!$B$9="dB",10^($B47/20),$B47)*COS($C47*PI()/180)))</f>
        <v/>
      </c>
      <c r="E47" s="22" t="str">
        <f aca="false">IF($A47="","",IF(設定!$B$8="実部虚部",$C47,IF(設定!$B$9="dB",10^($B47/20),$B47)*SIN($C47*PI()/180)))</f>
        <v/>
      </c>
      <c r="F47" s="22" t="str">
        <f aca="false">IF($A47="","",2*PI()*$A47/設定!$B$5)</f>
        <v/>
      </c>
    </row>
    <row r="48" customFormat="false" ht="15" hidden="false" customHeight="false" outlineLevel="0" collapsed="false">
      <c r="A48" s="21"/>
      <c r="B48" s="17"/>
      <c r="C48" s="17"/>
      <c r="D48" s="22" t="str">
        <f aca="false">IF($A48="","",IF(設定!$B$8="実部虚部",$B48,IF(設定!$B$9="dB",10^($B48/20),$B48)*COS($C48*PI()/180)))</f>
        <v/>
      </c>
      <c r="E48" s="22" t="str">
        <f aca="false">IF($A48="","",IF(設定!$B$8="実部虚部",$C48,IF(設定!$B$9="dB",10^($B48/20),$B48)*SIN($C48*PI()/180)))</f>
        <v/>
      </c>
      <c r="F48" s="22" t="str">
        <f aca="false">IF($A48="","",2*PI()*$A48/設定!$B$5)</f>
        <v/>
      </c>
    </row>
    <row r="49" customFormat="false" ht="15" hidden="false" customHeight="false" outlineLevel="0" collapsed="false">
      <c r="A49" s="21"/>
      <c r="B49" s="17"/>
      <c r="C49" s="17"/>
      <c r="D49" s="22" t="str">
        <f aca="false">IF($A49="","",IF(設定!$B$8="実部虚部",$B49,IF(設定!$B$9="dB",10^($B49/20),$B49)*COS($C49*PI()/180)))</f>
        <v/>
      </c>
      <c r="E49" s="22" t="str">
        <f aca="false">IF($A49="","",IF(設定!$B$8="実部虚部",$C49,IF(設定!$B$9="dB",10^($B49/20),$B49)*SIN($C49*PI()/180)))</f>
        <v/>
      </c>
      <c r="F49" s="22" t="str">
        <f aca="false">IF($A49="","",2*PI()*$A49/設定!$B$5)</f>
        <v/>
      </c>
    </row>
    <row r="50" customFormat="false" ht="15" hidden="false" customHeight="false" outlineLevel="0" collapsed="false">
      <c r="A50" s="21"/>
      <c r="B50" s="17"/>
      <c r="C50" s="17"/>
      <c r="D50" s="22" t="str">
        <f aca="false">IF($A50="","",IF(設定!$B$8="実部虚部",$B50,IF(設定!$B$9="dB",10^($B50/20),$B50)*COS($C50*PI()/180)))</f>
        <v/>
      </c>
      <c r="E50" s="22" t="str">
        <f aca="false">IF($A50="","",IF(設定!$B$8="実部虚部",$C50,IF(設定!$B$9="dB",10^($B50/20),$B50)*SIN($C50*PI()/180)))</f>
        <v/>
      </c>
      <c r="F50" s="22" t="str">
        <f aca="false">IF($A50="","",2*PI()*$A50/設定!$B$5)</f>
        <v/>
      </c>
    </row>
    <row r="51" customFormat="false" ht="15" hidden="false" customHeight="false" outlineLevel="0" collapsed="false">
      <c r="A51" s="21"/>
      <c r="B51" s="17"/>
      <c r="C51" s="17"/>
      <c r="D51" s="22" t="str">
        <f aca="false">IF($A51="","",IF(設定!$B$8="実部虚部",$B51,IF(設定!$B$9="dB",10^($B51/20),$B51)*COS($C51*PI()/180)))</f>
        <v/>
      </c>
      <c r="E51" s="22" t="str">
        <f aca="false">IF($A51="","",IF(設定!$B$8="実部虚部",$C51,IF(設定!$B$9="dB",10^($B51/20),$B51)*SIN($C51*PI()/180)))</f>
        <v/>
      </c>
      <c r="F51" s="22" t="str">
        <f aca="false">IF($A51="","",2*PI()*$A51/設定!$B$5)</f>
        <v/>
      </c>
    </row>
    <row r="52" customFormat="false" ht="15" hidden="false" customHeight="false" outlineLevel="0" collapsed="false">
      <c r="A52" s="21"/>
      <c r="B52" s="17"/>
      <c r="C52" s="17"/>
      <c r="D52" s="22" t="str">
        <f aca="false">IF($A52="","",IF(設定!$B$8="実部虚部",$B52,IF(設定!$B$9="dB",10^($B52/20),$B52)*COS($C52*PI()/180)))</f>
        <v/>
      </c>
      <c r="E52" s="22" t="str">
        <f aca="false">IF($A52="","",IF(設定!$B$8="実部虚部",$C52,IF(設定!$B$9="dB",10^($B52/20),$B52)*SIN($C52*PI()/180)))</f>
        <v/>
      </c>
      <c r="F52" s="22" t="str">
        <f aca="false">IF($A52="","",2*PI()*$A52/設定!$B$5)</f>
        <v/>
      </c>
    </row>
    <row r="53" customFormat="false" ht="15" hidden="false" customHeight="false" outlineLevel="0" collapsed="false">
      <c r="A53" s="21"/>
      <c r="B53" s="17"/>
      <c r="C53" s="17"/>
      <c r="D53" s="22" t="str">
        <f aca="false">IF($A53="","",IF(設定!$B$8="実部虚部",$B53,IF(設定!$B$9="dB",10^($B53/20),$B53)*COS($C53*PI()/180)))</f>
        <v/>
      </c>
      <c r="E53" s="22" t="str">
        <f aca="false">IF($A53="","",IF(設定!$B$8="実部虚部",$C53,IF(設定!$B$9="dB",10^($B53/20),$B53)*SIN($C53*PI()/180)))</f>
        <v/>
      </c>
      <c r="F53" s="22" t="str">
        <f aca="false">IF($A53="","",2*PI()*$A53/設定!$B$5)</f>
        <v/>
      </c>
    </row>
    <row r="54" customFormat="false" ht="15" hidden="false" customHeight="false" outlineLevel="0" collapsed="false">
      <c r="A54" s="21"/>
      <c r="B54" s="17"/>
      <c r="C54" s="17"/>
      <c r="D54" s="22" t="str">
        <f aca="false">IF($A54="","",IF(設定!$B$8="実部虚部",$B54,IF(設定!$B$9="dB",10^($B54/20),$B54)*COS($C54*PI()/180)))</f>
        <v/>
      </c>
      <c r="E54" s="22" t="str">
        <f aca="false">IF($A54="","",IF(設定!$B$8="実部虚部",$C54,IF(設定!$B$9="dB",10^($B54/20),$B54)*SIN($C54*PI()/180)))</f>
        <v/>
      </c>
      <c r="F54" s="22" t="str">
        <f aca="false">IF($A54="","",2*PI()*$A54/設定!$B$5)</f>
        <v/>
      </c>
    </row>
    <row r="55" customFormat="false" ht="15" hidden="false" customHeight="false" outlineLevel="0" collapsed="false">
      <c r="A55" s="21"/>
      <c r="B55" s="17"/>
      <c r="C55" s="17"/>
      <c r="D55" s="22" t="str">
        <f aca="false">IF($A55="","",IF(設定!$B$8="実部虚部",$B55,IF(設定!$B$9="dB",10^($B55/20),$B55)*COS($C55*PI()/180)))</f>
        <v/>
      </c>
      <c r="E55" s="22" t="str">
        <f aca="false">IF($A55="","",IF(設定!$B$8="実部虚部",$C55,IF(設定!$B$9="dB",10^($B55/20),$B55)*SIN($C55*PI()/180)))</f>
        <v/>
      </c>
      <c r="F55" s="22" t="str">
        <f aca="false">IF($A55="","",2*PI()*$A55/設定!$B$5)</f>
        <v/>
      </c>
    </row>
    <row r="56" customFormat="false" ht="15" hidden="false" customHeight="false" outlineLevel="0" collapsed="false">
      <c r="A56" s="21"/>
      <c r="B56" s="17"/>
      <c r="C56" s="17"/>
      <c r="D56" s="22" t="str">
        <f aca="false">IF($A56="","",IF(設定!$B$8="実部虚部",$B56,IF(設定!$B$9="dB",10^($B56/20),$B56)*COS($C56*PI()/180)))</f>
        <v/>
      </c>
      <c r="E56" s="22" t="str">
        <f aca="false">IF($A56="","",IF(設定!$B$8="実部虚部",$C56,IF(設定!$B$9="dB",10^($B56/20),$B56)*SIN($C56*PI()/180)))</f>
        <v/>
      </c>
      <c r="F56" s="22" t="str">
        <f aca="false">IF($A56="","",2*PI()*$A56/設定!$B$5)</f>
        <v/>
      </c>
    </row>
    <row r="57" customFormat="false" ht="15" hidden="false" customHeight="false" outlineLevel="0" collapsed="false">
      <c r="A57" s="21"/>
      <c r="B57" s="17"/>
      <c r="C57" s="17"/>
      <c r="D57" s="22" t="str">
        <f aca="false">IF($A57="","",IF(設定!$B$8="実部虚部",$B57,IF(設定!$B$9="dB",10^($B57/20),$B57)*COS($C57*PI()/180)))</f>
        <v/>
      </c>
      <c r="E57" s="22" t="str">
        <f aca="false">IF($A57="","",IF(設定!$B$8="実部虚部",$C57,IF(設定!$B$9="dB",10^($B57/20),$B57)*SIN($C57*PI()/180)))</f>
        <v/>
      </c>
      <c r="F57" s="22" t="str">
        <f aca="false">IF($A57="","",2*PI()*$A57/設定!$B$5)</f>
        <v/>
      </c>
    </row>
    <row r="58" customFormat="false" ht="15" hidden="false" customHeight="false" outlineLevel="0" collapsed="false">
      <c r="A58" s="21"/>
      <c r="B58" s="17"/>
      <c r="C58" s="17"/>
      <c r="D58" s="22" t="str">
        <f aca="false">IF($A58="","",IF(設定!$B$8="実部虚部",$B58,IF(設定!$B$9="dB",10^($B58/20),$B58)*COS($C58*PI()/180)))</f>
        <v/>
      </c>
      <c r="E58" s="22" t="str">
        <f aca="false">IF($A58="","",IF(設定!$B$8="実部虚部",$C58,IF(設定!$B$9="dB",10^($B58/20),$B58)*SIN($C58*PI()/180)))</f>
        <v/>
      </c>
      <c r="F58" s="22" t="str">
        <f aca="false">IF($A58="","",2*PI()*$A58/設定!$B$5)</f>
        <v/>
      </c>
    </row>
    <row r="59" customFormat="false" ht="15" hidden="false" customHeight="false" outlineLevel="0" collapsed="false">
      <c r="A59" s="21"/>
      <c r="B59" s="17"/>
      <c r="C59" s="17"/>
      <c r="D59" s="22" t="str">
        <f aca="false">IF($A59="","",IF(設定!$B$8="実部虚部",$B59,IF(設定!$B$9="dB",10^($B59/20),$B59)*COS($C59*PI()/180)))</f>
        <v/>
      </c>
      <c r="E59" s="22" t="str">
        <f aca="false">IF($A59="","",IF(設定!$B$8="実部虚部",$C59,IF(設定!$B$9="dB",10^($B59/20),$B59)*SIN($C59*PI()/180)))</f>
        <v/>
      </c>
      <c r="F59" s="22" t="str">
        <f aca="false">IF($A59="","",2*PI()*$A59/設定!$B$5)</f>
        <v/>
      </c>
    </row>
    <row r="60" customFormat="false" ht="15" hidden="false" customHeight="false" outlineLevel="0" collapsed="false">
      <c r="A60" s="21"/>
      <c r="B60" s="17"/>
      <c r="C60" s="17"/>
      <c r="D60" s="22" t="str">
        <f aca="false">IF($A60="","",IF(設定!$B$8="実部虚部",$B60,IF(設定!$B$9="dB",10^($B60/20),$B60)*COS($C60*PI()/180)))</f>
        <v/>
      </c>
      <c r="E60" s="22" t="str">
        <f aca="false">IF($A60="","",IF(設定!$B$8="実部虚部",$C60,IF(設定!$B$9="dB",10^($B60/20),$B60)*SIN($C60*PI()/180)))</f>
        <v/>
      </c>
      <c r="F60" s="22" t="str">
        <f aca="false">IF($A60="","",2*PI()*$A60/設定!$B$5)</f>
        <v/>
      </c>
    </row>
    <row r="61" customFormat="false" ht="15" hidden="false" customHeight="false" outlineLevel="0" collapsed="false">
      <c r="A61" s="21"/>
      <c r="B61" s="17"/>
      <c r="C61" s="17"/>
      <c r="D61" s="22" t="str">
        <f aca="false">IF($A61="","",IF(設定!$B$8="実部虚部",$B61,IF(設定!$B$9="dB",10^($B61/20),$B61)*COS($C61*PI()/180)))</f>
        <v/>
      </c>
      <c r="E61" s="22" t="str">
        <f aca="false">IF($A61="","",IF(設定!$B$8="実部虚部",$C61,IF(設定!$B$9="dB",10^($B61/20),$B61)*SIN($C61*PI()/180)))</f>
        <v/>
      </c>
      <c r="F61" s="22" t="str">
        <f aca="false">IF($A61="","",2*PI()*$A61/設定!$B$5)</f>
        <v/>
      </c>
    </row>
    <row r="62" customFormat="false" ht="15" hidden="false" customHeight="false" outlineLevel="0" collapsed="false">
      <c r="A62" s="21"/>
      <c r="B62" s="17"/>
      <c r="C62" s="17"/>
      <c r="D62" s="22" t="str">
        <f aca="false">IF($A62="","",IF(設定!$B$8="実部虚部",$B62,IF(設定!$B$9="dB",10^($B62/20),$B62)*COS($C62*PI()/180)))</f>
        <v/>
      </c>
      <c r="E62" s="22" t="str">
        <f aca="false">IF($A62="","",IF(設定!$B$8="実部虚部",$C62,IF(設定!$B$9="dB",10^($B62/20),$B62)*SIN($C62*PI()/180)))</f>
        <v/>
      </c>
      <c r="F62" s="22" t="str">
        <f aca="false">IF($A62="","",2*PI()*$A62/設定!$B$5)</f>
        <v/>
      </c>
    </row>
    <row r="63" customFormat="false" ht="15" hidden="false" customHeight="false" outlineLevel="0" collapsed="false">
      <c r="A63" s="21"/>
      <c r="B63" s="17"/>
      <c r="C63" s="17"/>
      <c r="D63" s="22" t="str">
        <f aca="false">IF($A63="","",IF(設定!$B$8="実部虚部",$B63,IF(設定!$B$9="dB",10^($B63/20),$B63)*COS($C63*PI()/180)))</f>
        <v/>
      </c>
      <c r="E63" s="22" t="str">
        <f aca="false">IF($A63="","",IF(設定!$B$8="実部虚部",$C63,IF(設定!$B$9="dB",10^($B63/20),$B63)*SIN($C63*PI()/180)))</f>
        <v/>
      </c>
      <c r="F63" s="22" t="str">
        <f aca="false">IF($A63="","",2*PI()*$A63/設定!$B$5)</f>
        <v/>
      </c>
    </row>
    <row r="64" customFormat="false" ht="15" hidden="false" customHeight="false" outlineLevel="0" collapsed="false">
      <c r="A64" s="21"/>
      <c r="B64" s="17"/>
      <c r="C64" s="17"/>
      <c r="D64" s="22" t="str">
        <f aca="false">IF($A64="","",IF(設定!$B$8="実部虚部",$B64,IF(設定!$B$9="dB",10^($B64/20),$B64)*COS($C64*PI()/180)))</f>
        <v/>
      </c>
      <c r="E64" s="22" t="str">
        <f aca="false">IF($A64="","",IF(設定!$B$8="実部虚部",$C64,IF(設定!$B$9="dB",10^($B64/20),$B64)*SIN($C64*PI()/180)))</f>
        <v/>
      </c>
      <c r="F64" s="22" t="str">
        <f aca="false">IF($A64="","",2*PI()*$A64/設定!$B$5)</f>
        <v/>
      </c>
    </row>
    <row r="65" customFormat="false" ht="15" hidden="false" customHeight="false" outlineLevel="0" collapsed="false">
      <c r="A65" s="21"/>
      <c r="B65" s="17"/>
      <c r="C65" s="17"/>
      <c r="D65" s="22" t="str">
        <f aca="false">IF($A65="","",IF(設定!$B$8="実部虚部",$B65,IF(設定!$B$9="dB",10^($B65/20),$B65)*COS($C65*PI()/180)))</f>
        <v/>
      </c>
      <c r="E65" s="22" t="str">
        <f aca="false">IF($A65="","",IF(設定!$B$8="実部虚部",$C65,IF(設定!$B$9="dB",10^($B65/20),$B65)*SIN($C65*PI()/180)))</f>
        <v/>
      </c>
      <c r="F65" s="22" t="str">
        <f aca="false">IF($A65="","",2*PI()*$A65/設定!$B$5)</f>
        <v/>
      </c>
    </row>
    <row r="66" customFormat="false" ht="15" hidden="false" customHeight="false" outlineLevel="0" collapsed="false">
      <c r="A66" s="21"/>
      <c r="B66" s="17"/>
      <c r="C66" s="17"/>
      <c r="D66" s="22" t="str">
        <f aca="false">IF($A66="","",IF(設定!$B$8="実部虚部",$B66,IF(設定!$B$9="dB",10^($B66/20),$B66)*COS($C66*PI()/180)))</f>
        <v/>
      </c>
      <c r="E66" s="22" t="str">
        <f aca="false">IF($A66="","",IF(設定!$B$8="実部虚部",$C66,IF(設定!$B$9="dB",10^($B66/20),$B66)*SIN($C66*PI()/180)))</f>
        <v/>
      </c>
      <c r="F66" s="22" t="str">
        <f aca="false">IF($A66="","",2*PI()*$A66/設定!$B$5)</f>
        <v/>
      </c>
    </row>
    <row r="67" customFormat="false" ht="15" hidden="false" customHeight="false" outlineLevel="0" collapsed="false">
      <c r="A67" s="21"/>
      <c r="B67" s="17"/>
      <c r="C67" s="17"/>
      <c r="D67" s="22" t="str">
        <f aca="false">IF($A67="","",IF(設定!$B$8="実部虚部",$B67,IF(設定!$B$9="dB",10^($B67/20),$B67)*COS($C67*PI()/180)))</f>
        <v/>
      </c>
      <c r="E67" s="22" t="str">
        <f aca="false">IF($A67="","",IF(設定!$B$8="実部虚部",$C67,IF(設定!$B$9="dB",10^($B67/20),$B67)*SIN($C67*PI()/180)))</f>
        <v/>
      </c>
      <c r="F67" s="22" t="str">
        <f aca="false">IF($A67="","",2*PI()*$A67/設定!$B$5)</f>
        <v/>
      </c>
    </row>
    <row r="68" customFormat="false" ht="15" hidden="false" customHeight="false" outlineLevel="0" collapsed="false">
      <c r="A68" s="21"/>
      <c r="B68" s="17"/>
      <c r="C68" s="17"/>
      <c r="D68" s="22" t="str">
        <f aca="false">IF($A68="","",IF(設定!$B$8="実部虚部",$B68,IF(設定!$B$9="dB",10^($B68/20),$B68)*COS($C68*PI()/180)))</f>
        <v/>
      </c>
      <c r="E68" s="22" t="str">
        <f aca="false">IF($A68="","",IF(設定!$B$8="実部虚部",$C68,IF(設定!$B$9="dB",10^($B68/20),$B68)*SIN($C68*PI()/180)))</f>
        <v/>
      </c>
      <c r="F68" s="22" t="str">
        <f aca="false">IF($A68="","",2*PI()*$A68/設定!$B$5)</f>
        <v/>
      </c>
    </row>
    <row r="69" customFormat="false" ht="15" hidden="false" customHeight="false" outlineLevel="0" collapsed="false">
      <c r="A69" s="21"/>
      <c r="B69" s="17"/>
      <c r="C69" s="17"/>
      <c r="D69" s="22" t="str">
        <f aca="false">IF($A69="","",IF(設定!$B$8="実部虚部",$B69,IF(設定!$B$9="dB",10^($B69/20),$B69)*COS($C69*PI()/180)))</f>
        <v/>
      </c>
      <c r="E69" s="22" t="str">
        <f aca="false">IF($A69="","",IF(設定!$B$8="実部虚部",$C69,IF(設定!$B$9="dB",10^($B69/20),$B69)*SIN($C69*PI()/180)))</f>
        <v/>
      </c>
      <c r="F69" s="22" t="str">
        <f aca="false">IF($A69="","",2*PI()*$A69/設定!$B$5)</f>
        <v/>
      </c>
    </row>
    <row r="70" customFormat="false" ht="15" hidden="false" customHeight="false" outlineLevel="0" collapsed="false">
      <c r="A70" s="21"/>
      <c r="B70" s="17"/>
      <c r="C70" s="17"/>
      <c r="D70" s="22" t="str">
        <f aca="false">IF($A70="","",IF(設定!$B$8="実部虚部",$B70,IF(設定!$B$9="dB",10^($B70/20),$B70)*COS($C70*PI()/180)))</f>
        <v/>
      </c>
      <c r="E70" s="22" t="str">
        <f aca="false">IF($A70="","",IF(設定!$B$8="実部虚部",$C70,IF(設定!$B$9="dB",10^($B70/20),$B70)*SIN($C70*PI()/180)))</f>
        <v/>
      </c>
      <c r="F70" s="22" t="str">
        <f aca="false">IF($A70="","",2*PI()*$A70/設定!$B$5)</f>
        <v/>
      </c>
    </row>
    <row r="71" customFormat="false" ht="15" hidden="false" customHeight="false" outlineLevel="0" collapsed="false">
      <c r="A71" s="21"/>
      <c r="B71" s="17"/>
      <c r="C71" s="17"/>
      <c r="D71" s="22" t="str">
        <f aca="false">IF($A71="","",IF(設定!$B$8="実部虚部",$B71,IF(設定!$B$9="dB",10^($B71/20),$B71)*COS($C71*PI()/180)))</f>
        <v/>
      </c>
      <c r="E71" s="22" t="str">
        <f aca="false">IF($A71="","",IF(設定!$B$8="実部虚部",$C71,IF(設定!$B$9="dB",10^($B71/20),$B71)*SIN($C71*PI()/180)))</f>
        <v/>
      </c>
      <c r="F71" s="22" t="str">
        <f aca="false">IF($A71="","",2*PI()*$A71/設定!$B$5)</f>
        <v/>
      </c>
    </row>
    <row r="72" customFormat="false" ht="15" hidden="false" customHeight="false" outlineLevel="0" collapsed="false">
      <c r="A72" s="21"/>
      <c r="B72" s="17"/>
      <c r="C72" s="17"/>
      <c r="D72" s="22" t="str">
        <f aca="false">IF($A72="","",IF(設定!$B$8="実部虚部",$B72,IF(設定!$B$9="dB",10^($B72/20),$B72)*COS($C72*PI()/180)))</f>
        <v/>
      </c>
      <c r="E72" s="22" t="str">
        <f aca="false">IF($A72="","",IF(設定!$B$8="実部虚部",$C72,IF(設定!$B$9="dB",10^($B72/20),$B72)*SIN($C72*PI()/180)))</f>
        <v/>
      </c>
      <c r="F72" s="22" t="str">
        <f aca="false">IF($A72="","",2*PI()*$A72/設定!$B$5)</f>
        <v/>
      </c>
    </row>
    <row r="73" customFormat="false" ht="15" hidden="false" customHeight="false" outlineLevel="0" collapsed="false">
      <c r="A73" s="21"/>
      <c r="B73" s="17"/>
      <c r="C73" s="17"/>
      <c r="D73" s="22" t="str">
        <f aca="false">IF($A73="","",IF(設定!$B$8="実部虚部",$B73,IF(設定!$B$9="dB",10^($B73/20),$B73)*COS($C73*PI()/180)))</f>
        <v/>
      </c>
      <c r="E73" s="22" t="str">
        <f aca="false">IF($A73="","",IF(設定!$B$8="実部虚部",$C73,IF(設定!$B$9="dB",10^($B73/20),$B73)*SIN($C73*PI()/180)))</f>
        <v/>
      </c>
      <c r="F73" s="22" t="str">
        <f aca="false">IF($A73="","",2*PI()*$A73/設定!$B$5)</f>
        <v/>
      </c>
    </row>
    <row r="74" customFormat="false" ht="15" hidden="false" customHeight="false" outlineLevel="0" collapsed="false">
      <c r="A74" s="21"/>
      <c r="B74" s="17"/>
      <c r="C74" s="17"/>
      <c r="D74" s="22" t="str">
        <f aca="false">IF($A74="","",IF(設定!$B$8="実部虚部",$B74,IF(設定!$B$9="dB",10^($B74/20),$B74)*COS($C74*PI()/180)))</f>
        <v/>
      </c>
      <c r="E74" s="22" t="str">
        <f aca="false">IF($A74="","",IF(設定!$B$8="実部虚部",$C74,IF(設定!$B$9="dB",10^($B74/20),$B74)*SIN($C74*PI()/180)))</f>
        <v/>
      </c>
      <c r="F74" s="22" t="str">
        <f aca="false">IF($A74="","",2*PI()*$A74/設定!$B$5)</f>
        <v/>
      </c>
    </row>
    <row r="75" customFormat="false" ht="15" hidden="false" customHeight="false" outlineLevel="0" collapsed="false">
      <c r="A75" s="21"/>
      <c r="B75" s="17"/>
      <c r="C75" s="17"/>
      <c r="D75" s="22" t="str">
        <f aca="false">IF($A75="","",IF(設定!$B$8="実部虚部",$B75,IF(設定!$B$9="dB",10^($B75/20),$B75)*COS($C75*PI()/180)))</f>
        <v/>
      </c>
      <c r="E75" s="22" t="str">
        <f aca="false">IF($A75="","",IF(設定!$B$8="実部虚部",$C75,IF(設定!$B$9="dB",10^($B75/20),$B75)*SIN($C75*PI()/180)))</f>
        <v/>
      </c>
      <c r="F75" s="22" t="str">
        <f aca="false">IF($A75="","",2*PI()*$A75/設定!$B$5)</f>
        <v/>
      </c>
    </row>
    <row r="76" customFormat="false" ht="15" hidden="false" customHeight="false" outlineLevel="0" collapsed="false">
      <c r="A76" s="21"/>
      <c r="B76" s="17"/>
      <c r="C76" s="17"/>
      <c r="D76" s="22" t="str">
        <f aca="false">IF($A76="","",IF(設定!$B$8="実部虚部",$B76,IF(設定!$B$9="dB",10^($B76/20),$B76)*COS($C76*PI()/180)))</f>
        <v/>
      </c>
      <c r="E76" s="22" t="str">
        <f aca="false">IF($A76="","",IF(設定!$B$8="実部虚部",$C76,IF(設定!$B$9="dB",10^($B76/20),$B76)*SIN($C76*PI()/180)))</f>
        <v/>
      </c>
      <c r="F76" s="22" t="str">
        <f aca="false">IF($A76="","",2*PI()*$A76/設定!$B$5)</f>
        <v/>
      </c>
    </row>
    <row r="77" customFormat="false" ht="15" hidden="false" customHeight="false" outlineLevel="0" collapsed="false">
      <c r="A77" s="21"/>
      <c r="B77" s="17"/>
      <c r="C77" s="17"/>
      <c r="D77" s="22" t="str">
        <f aca="false">IF($A77="","",IF(設定!$B$8="実部虚部",$B77,IF(設定!$B$9="dB",10^($B77/20),$B77)*COS($C77*PI()/180)))</f>
        <v/>
      </c>
      <c r="E77" s="22" t="str">
        <f aca="false">IF($A77="","",IF(設定!$B$8="実部虚部",$C77,IF(設定!$B$9="dB",10^($B77/20),$B77)*SIN($C77*PI()/180)))</f>
        <v/>
      </c>
      <c r="F77" s="22" t="str">
        <f aca="false">IF($A77="","",2*PI()*$A77/設定!$B$5)</f>
        <v/>
      </c>
    </row>
    <row r="78" customFormat="false" ht="15" hidden="false" customHeight="false" outlineLevel="0" collapsed="false">
      <c r="A78" s="21"/>
      <c r="B78" s="17"/>
      <c r="C78" s="17"/>
      <c r="D78" s="22" t="str">
        <f aca="false">IF($A78="","",IF(設定!$B$8="実部虚部",$B78,IF(設定!$B$9="dB",10^($B78/20),$B78)*COS($C78*PI()/180)))</f>
        <v/>
      </c>
      <c r="E78" s="22" t="str">
        <f aca="false">IF($A78="","",IF(設定!$B$8="実部虚部",$C78,IF(設定!$B$9="dB",10^($B78/20),$B78)*SIN($C78*PI()/180)))</f>
        <v/>
      </c>
      <c r="F78" s="22" t="str">
        <f aca="false">IF($A78="","",2*PI()*$A78/設定!$B$5)</f>
        <v/>
      </c>
    </row>
    <row r="79" customFormat="false" ht="15" hidden="false" customHeight="false" outlineLevel="0" collapsed="false">
      <c r="A79" s="21"/>
      <c r="B79" s="17"/>
      <c r="C79" s="17"/>
      <c r="D79" s="22" t="str">
        <f aca="false">IF($A79="","",IF(設定!$B$8="実部虚部",$B79,IF(設定!$B$9="dB",10^($B79/20),$B79)*COS($C79*PI()/180)))</f>
        <v/>
      </c>
      <c r="E79" s="22" t="str">
        <f aca="false">IF($A79="","",IF(設定!$B$8="実部虚部",$C79,IF(設定!$B$9="dB",10^($B79/20),$B79)*SIN($C79*PI()/180)))</f>
        <v/>
      </c>
      <c r="F79" s="22" t="str">
        <f aca="false">IF($A79="","",2*PI()*$A79/設定!$B$5)</f>
        <v/>
      </c>
    </row>
    <row r="80" customFormat="false" ht="15" hidden="false" customHeight="false" outlineLevel="0" collapsed="false">
      <c r="A80" s="21"/>
      <c r="B80" s="17"/>
      <c r="C80" s="17"/>
      <c r="D80" s="22" t="str">
        <f aca="false">IF($A80="","",IF(設定!$B$8="実部虚部",$B80,IF(設定!$B$9="dB",10^($B80/20),$B80)*COS($C80*PI()/180)))</f>
        <v/>
      </c>
      <c r="E80" s="22" t="str">
        <f aca="false">IF($A80="","",IF(設定!$B$8="実部虚部",$C80,IF(設定!$B$9="dB",10^($B80/20),$B80)*SIN($C80*PI()/180)))</f>
        <v/>
      </c>
      <c r="F80" s="22" t="str">
        <f aca="false">IF($A80="","",2*PI()*$A80/設定!$B$5)</f>
        <v/>
      </c>
    </row>
    <row r="81" customFormat="false" ht="15" hidden="false" customHeight="false" outlineLevel="0" collapsed="false">
      <c r="A81" s="21"/>
      <c r="B81" s="17"/>
      <c r="C81" s="17"/>
      <c r="D81" s="22" t="str">
        <f aca="false">IF($A81="","",IF(設定!$B$8="実部虚部",$B81,IF(設定!$B$9="dB",10^($B81/20),$B81)*COS($C81*PI()/180)))</f>
        <v/>
      </c>
      <c r="E81" s="22" t="str">
        <f aca="false">IF($A81="","",IF(設定!$B$8="実部虚部",$C81,IF(設定!$B$9="dB",10^($B81/20),$B81)*SIN($C81*PI()/180)))</f>
        <v/>
      </c>
      <c r="F81" s="22" t="str">
        <f aca="false">IF($A81="","",2*PI()*$A81/設定!$B$5)</f>
        <v/>
      </c>
    </row>
    <row r="82" customFormat="false" ht="15" hidden="false" customHeight="false" outlineLevel="0" collapsed="false">
      <c r="A82" s="21"/>
      <c r="B82" s="17"/>
      <c r="C82" s="17"/>
      <c r="D82" s="22" t="str">
        <f aca="false">IF($A82="","",IF(設定!$B$8="実部虚部",$B82,IF(設定!$B$9="dB",10^($B82/20),$B82)*COS($C82*PI()/180)))</f>
        <v/>
      </c>
      <c r="E82" s="22" t="str">
        <f aca="false">IF($A82="","",IF(設定!$B$8="実部虚部",$C82,IF(設定!$B$9="dB",10^($B82/20),$B82)*SIN($C82*PI()/180)))</f>
        <v/>
      </c>
      <c r="F82" s="22" t="str">
        <f aca="false">IF($A82="","",2*PI()*$A82/設定!$B$5)</f>
        <v/>
      </c>
    </row>
    <row r="83" customFormat="false" ht="15" hidden="false" customHeight="false" outlineLevel="0" collapsed="false">
      <c r="A83" s="21"/>
      <c r="B83" s="17"/>
      <c r="C83" s="17"/>
      <c r="D83" s="22" t="str">
        <f aca="false">IF($A83="","",IF(設定!$B$8="実部虚部",$B83,IF(設定!$B$9="dB",10^($B83/20),$B83)*COS($C83*PI()/180)))</f>
        <v/>
      </c>
      <c r="E83" s="22" t="str">
        <f aca="false">IF($A83="","",IF(設定!$B$8="実部虚部",$C83,IF(設定!$B$9="dB",10^($B83/20),$B83)*SIN($C83*PI()/180)))</f>
        <v/>
      </c>
      <c r="F83" s="22" t="str">
        <f aca="false">IF($A83="","",2*PI()*$A83/設定!$B$5)</f>
        <v/>
      </c>
    </row>
    <row r="84" customFormat="false" ht="15" hidden="false" customHeight="false" outlineLevel="0" collapsed="false">
      <c r="A84" s="21"/>
      <c r="B84" s="17"/>
      <c r="C84" s="17"/>
      <c r="D84" s="22" t="str">
        <f aca="false">IF($A84="","",IF(設定!$B$8="実部虚部",$B84,IF(設定!$B$9="dB",10^($B84/20),$B84)*COS($C84*PI()/180)))</f>
        <v/>
      </c>
      <c r="E84" s="22" t="str">
        <f aca="false">IF($A84="","",IF(設定!$B$8="実部虚部",$C84,IF(設定!$B$9="dB",10^($B84/20),$B84)*SIN($C84*PI()/180)))</f>
        <v/>
      </c>
      <c r="F84" s="22" t="str">
        <f aca="false">IF($A84="","",2*PI()*$A84/設定!$B$5)</f>
        <v/>
      </c>
    </row>
  </sheetData>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10" min="3" style="1" width="10"/>
    <col collapsed="false" customWidth="true" hidden="false" outlineLevel="0" max="11" min="11" style="1" width="3"/>
    <col collapsed="false" customWidth="true" hidden="false" outlineLevel="0" max="19" min="12" style="1" width="12"/>
    <col collapsed="false" customWidth="true" hidden="false" outlineLevel="0" max="20" min="20" style="1" width="3"/>
    <col collapsed="false" customWidth="true" hidden="false" outlineLevel="0" max="21" min="21" style="1" width="12"/>
  </cols>
  <sheetData>
    <row r="1" customFormat="false" ht="19.5" hidden="false" customHeight="true" outlineLevel="0" collapsed="false">
      <c r="A1" s="23" t="s">
        <v>61</v>
      </c>
      <c r="B1" s="23"/>
      <c r="C1" s="23"/>
      <c r="D1" s="23"/>
      <c r="E1" s="23"/>
      <c r="F1" s="23"/>
      <c r="G1" s="23"/>
      <c r="H1" s="23"/>
      <c r="I1" s="23"/>
      <c r="J1" s="23"/>
    </row>
    <row r="2" customFormat="false" ht="26.85" hidden="false" customHeight="true" outlineLevel="0" collapsed="false">
      <c r="A2" s="18" t="s">
        <v>62</v>
      </c>
      <c r="B2" s="18"/>
      <c r="C2" s="18"/>
      <c r="D2" s="18"/>
      <c r="E2" s="18"/>
      <c r="F2" s="18"/>
      <c r="G2" s="18"/>
      <c r="H2" s="18"/>
      <c r="I2" s="18"/>
      <c r="J2" s="18"/>
    </row>
    <row r="3" customFormat="false" ht="17.15" hidden="false" customHeight="false" outlineLevel="0" collapsed="false">
      <c r="M3" s="8" t="s">
        <v>63</v>
      </c>
      <c r="N3" s="8"/>
      <c r="O3" s="8"/>
      <c r="P3" s="8"/>
      <c r="Q3" s="8"/>
      <c r="R3" s="8"/>
      <c r="S3" s="8"/>
      <c r="T3" s="8"/>
      <c r="U3" s="8"/>
    </row>
    <row r="4" customFormat="false" ht="15.75" hidden="false" customHeight="true" outlineLevel="0" collapsed="false">
      <c r="A4" s="20" t="s">
        <v>64</v>
      </c>
      <c r="B4" s="20" t="s">
        <v>65</v>
      </c>
      <c r="C4" s="24" t="s">
        <v>66</v>
      </c>
      <c r="D4" s="24" t="s">
        <v>67</v>
      </c>
      <c r="E4" s="24" t="s">
        <v>68</v>
      </c>
      <c r="F4" s="24" t="s">
        <v>69</v>
      </c>
      <c r="G4" s="24" t="s">
        <v>70</v>
      </c>
      <c r="H4" s="24" t="s">
        <v>71</v>
      </c>
      <c r="I4" s="24" t="s">
        <v>72</v>
      </c>
      <c r="J4" s="24" t="s">
        <v>73</v>
      </c>
      <c r="K4" s="24" t="s">
        <v>74</v>
      </c>
      <c r="M4" s="12" t="s">
        <v>75</v>
      </c>
      <c r="V4" s="12" t="s">
        <v>76</v>
      </c>
      <c r="X4" s="9" t="s">
        <v>77</v>
      </c>
    </row>
    <row r="5" customFormat="false" ht="15" hidden="false" customHeight="false" outlineLevel="0" collapsed="false">
      <c r="A5" s="25" t="s">
        <v>78</v>
      </c>
      <c r="B5" s="26" t="n">
        <f aca="false">データ入力!$A$5</f>
        <v>3400</v>
      </c>
      <c r="C5" s="27" t="n">
        <f aca="false">IF(データ入力!$A$5="",0,1)</f>
        <v>1</v>
      </c>
      <c r="D5" s="27" t="n">
        <v>0</v>
      </c>
      <c r="E5" s="27" t="n">
        <f aca="false">IF(データ入力!$A$5="",0,-(データ入力!$F$5^2))</f>
        <v>-0.943673469387755</v>
      </c>
      <c r="F5" s="27" t="n">
        <v>0</v>
      </c>
      <c r="G5" s="27" t="n">
        <f aca="false">IF(データ入力!$A$5="",0,-データ入力!$D$5)</f>
        <v>-5.1E-005</v>
      </c>
      <c r="H5" s="27" t="n">
        <f aca="false">IF(データ入力!$A$5="",0,データ入力!$F$5*データ入力!$E$5)</f>
        <v>0.002924</v>
      </c>
      <c r="I5" s="27" t="n">
        <f aca="false">IF(データ入力!$A$5="",0,データ入力!$F$5^2*データ入力!$D$5)</f>
        <v>4.81273469387755E-005</v>
      </c>
      <c r="J5" s="27" t="n">
        <f aca="false">IF(データ入力!$A$5="",0,-データ入力!$F$5^3*データ入力!$E$5)</f>
        <v>-0.0027593012244898</v>
      </c>
      <c r="K5" s="27" t="n">
        <f aca="false">IF(データ入力!$A$5="",0,データ入力!$F$5^4*データ入力!$D$5)</f>
        <v>4.54165004581424E-005</v>
      </c>
      <c r="M5" s="28" t="n">
        <f aca="false" t="array" ref="M5:T12">MMULT(TRANSPOSE(C5:J164),C5:J164)</f>
        <v>21</v>
      </c>
      <c r="N5" s="28" t="n">
        <v>0</v>
      </c>
      <c r="O5" s="28" t="n">
        <v>-21.0062857142857</v>
      </c>
      <c r="P5" s="28" t="n">
        <v>0</v>
      </c>
      <c r="Q5" s="28" t="n">
        <v>-0.086364</v>
      </c>
      <c r="R5" s="28" t="n">
        <v>0.00135880857142857</v>
      </c>
      <c r="S5" s="28" t="n">
        <v>0.0864201751102041</v>
      </c>
      <c r="T5" s="28" t="n">
        <v>0.00162272483925364</v>
      </c>
      <c r="V5" s="29" t="n">
        <f aca="false" t="array" ref="V5:V12">MMULT(TRANSPOSE(C5:J164),K5:K164)</f>
        <v>0.0864981733700878</v>
      </c>
      <c r="W5" s="12" t="s">
        <v>66</v>
      </c>
      <c r="X5" s="30" t="n">
        <f aca="false" t="array" ref="X5:X12">MMULT(M14:T21,V5:V12)</f>
        <v>-8.81985322554749E-006</v>
      </c>
    </row>
    <row r="6" customFormat="false" ht="15" hidden="false" customHeight="false" outlineLevel="0" collapsed="false">
      <c r="A6" s="25" t="s">
        <v>78</v>
      </c>
      <c r="B6" s="26" t="n">
        <f aca="false">データ入力!$A$6</f>
        <v>3410</v>
      </c>
      <c r="C6" s="27" t="n">
        <f aca="false">IF(データ入力!$A$6="",0,1)</f>
        <v>1</v>
      </c>
      <c r="D6" s="27" t="n">
        <v>0</v>
      </c>
      <c r="E6" s="27" t="n">
        <f aca="false">IF(データ入力!$A$6="",0,-(データ入力!$F$6^2))</f>
        <v>-0.949232653061225</v>
      </c>
      <c r="F6" s="27" t="n">
        <v>0</v>
      </c>
      <c r="G6" s="27" t="n">
        <f aca="false">IF(データ入力!$A$6="",0,-データ入力!$D$6)</f>
        <v>-9.3E-005</v>
      </c>
      <c r="H6" s="27" t="n">
        <f aca="false">IF(データ入力!$A$6="",0,データ入力!$F$6*データ入力!$E$6)</f>
        <v>0.00330380285714286</v>
      </c>
      <c r="I6" s="27" t="n">
        <f aca="false">IF(データ入力!$A$6="",0,データ入力!$F$6^2*データ入力!$D$6)</f>
        <v>8.82786367346939E-005</v>
      </c>
      <c r="J6" s="27" t="n">
        <f aca="false">IF(データ入力!$A$6="",0,-データ入力!$F$6^3*データ入力!$E$6)</f>
        <v>-0.00313607755127697</v>
      </c>
      <c r="K6" s="27" t="n">
        <f aca="false">IF(データ入力!$A$6="",0,データ入力!$F$6^4*データ入力!$D$6)</f>
        <v>8.37969645563016E-005</v>
      </c>
      <c r="M6" s="28" t="n">
        <v>0</v>
      </c>
      <c r="N6" s="28" t="n">
        <v>21.0062857142857</v>
      </c>
      <c r="O6" s="28" t="n">
        <v>0</v>
      </c>
      <c r="P6" s="28" t="n">
        <v>-21.0377176620408</v>
      </c>
      <c r="Q6" s="28" t="n">
        <v>-0.00135880857142857</v>
      </c>
      <c r="R6" s="28" t="n">
        <v>-0.0864201751102041</v>
      </c>
      <c r="S6" s="28" t="n">
        <v>-0.00162272483925364</v>
      </c>
      <c r="T6" s="28" t="n">
        <v>0.0864981733700878</v>
      </c>
      <c r="V6" s="29" t="n">
        <v>-0.00460407638561349</v>
      </c>
      <c r="W6" s="12" t="s">
        <v>67</v>
      </c>
      <c r="X6" s="30" t="n">
        <v>0.000163824177747682</v>
      </c>
    </row>
    <row r="7" customFormat="false" ht="15" hidden="false" customHeight="false" outlineLevel="0" collapsed="false">
      <c r="A7" s="25" t="s">
        <v>78</v>
      </c>
      <c r="B7" s="26" t="n">
        <f aca="false">データ入力!$A$7</f>
        <v>3420</v>
      </c>
      <c r="C7" s="27" t="n">
        <f aca="false">IF(データ入力!$A$7="",0,1)</f>
        <v>1</v>
      </c>
      <c r="D7" s="27" t="n">
        <v>0</v>
      </c>
      <c r="E7" s="27" t="n">
        <f aca="false">IF(データ入力!$A$7="",0,-(データ入力!$F$7^2))</f>
        <v>-0.954808163265306</v>
      </c>
      <c r="F7" s="27" t="n">
        <v>0</v>
      </c>
      <c r="G7" s="27" t="n">
        <f aca="false">IF(データ入力!$A$7="",0,-データ入力!$D$7)</f>
        <v>-0.000162</v>
      </c>
      <c r="H7" s="27" t="n">
        <f aca="false">IF(データ入力!$A$7="",0,データ入力!$F$7*データ入力!$E$7)</f>
        <v>0.00378740571428571</v>
      </c>
      <c r="I7" s="27" t="n">
        <f aca="false">IF(データ入力!$A$7="",0,データ入力!$F$7^2*データ入力!$D$7)</f>
        <v>0.00015467892244898</v>
      </c>
      <c r="J7" s="27" t="n">
        <f aca="false">IF(データ入力!$A$7="",0,-データ入力!$F$7^3*データ入力!$E$7)</f>
        <v>-0.00361624589359767</v>
      </c>
      <c r="K7" s="27" t="n">
        <f aca="false">IF(データ入力!$A$7="",0,データ入力!$F$7^4*データ入力!$D$7)</f>
        <v>0.000147688697839367</v>
      </c>
      <c r="M7" s="28" t="n">
        <v>-21.0062857142857</v>
      </c>
      <c r="N7" s="28" t="n">
        <v>0</v>
      </c>
      <c r="O7" s="28" t="n">
        <v>21.0377176620408</v>
      </c>
      <c r="P7" s="28" t="n">
        <v>0</v>
      </c>
      <c r="Q7" s="28" t="n">
        <v>0.0864201751102041</v>
      </c>
      <c r="R7" s="28" t="n">
        <v>0.00162272483925364</v>
      </c>
      <c r="S7" s="28" t="n">
        <v>-0.0864981733700878</v>
      </c>
      <c r="T7" s="28" t="n">
        <v>-0.00460407638561349</v>
      </c>
      <c r="V7" s="29" t="n">
        <v>-0.086598242683367</v>
      </c>
      <c r="W7" s="12" t="s">
        <v>68</v>
      </c>
      <c r="X7" s="30" t="n">
        <v>-7.13500264154366E-006</v>
      </c>
    </row>
    <row r="8" customFormat="false" ht="15" hidden="false" customHeight="false" outlineLevel="0" collapsed="false">
      <c r="A8" s="25" t="s">
        <v>78</v>
      </c>
      <c r="B8" s="26" t="n">
        <f aca="false">データ入力!$A$8</f>
        <v>3430</v>
      </c>
      <c r="C8" s="27" t="n">
        <f aca="false">IF(データ入力!$A$8="",0,1)</f>
        <v>1</v>
      </c>
      <c r="D8" s="27" t="n">
        <v>0</v>
      </c>
      <c r="E8" s="27" t="n">
        <f aca="false">IF(データ入力!$A$8="",0,-(データ入力!$F$8^2))</f>
        <v>-0.9604</v>
      </c>
      <c r="F8" s="27" t="n">
        <v>0</v>
      </c>
      <c r="G8" s="27" t="n">
        <f aca="false">IF(データ入力!$A$8="",0,-データ入力!$D$8)</f>
        <v>-0.00028</v>
      </c>
      <c r="H8" s="27" t="n">
        <f aca="false">IF(データ入力!$A$8="",0,データ入力!$F$8*データ入力!$E$8)</f>
        <v>0.00442568</v>
      </c>
      <c r="I8" s="27" t="n">
        <f aca="false">IF(データ入力!$A$8="",0,データ入力!$F$8^2*データ入力!$D$8)</f>
        <v>0.000268912</v>
      </c>
      <c r="J8" s="27" t="n">
        <f aca="false">IF(データ入力!$A$8="",0,-データ入力!$F$8^3*データ入力!$E$8)</f>
        <v>-0.004250423072</v>
      </c>
      <c r="K8" s="27" t="n">
        <f aca="false">IF(データ入力!$A$8="",0,データ入力!$F$8^4*データ入力!$D$8)</f>
        <v>0.0002582630848</v>
      </c>
      <c r="M8" s="28" t="n">
        <v>0</v>
      </c>
      <c r="N8" s="28" t="n">
        <v>-21.0377176620408</v>
      </c>
      <c r="O8" s="28" t="n">
        <v>0</v>
      </c>
      <c r="P8" s="28" t="n">
        <v>21.0943363613362</v>
      </c>
      <c r="Q8" s="28" t="n">
        <v>-0.00162272483925364</v>
      </c>
      <c r="R8" s="28" t="n">
        <v>0.0864981733700878</v>
      </c>
      <c r="S8" s="28" t="n">
        <v>0.00460407638561349</v>
      </c>
      <c r="T8" s="28" t="n">
        <v>-0.086598242683367</v>
      </c>
      <c r="V8" s="29" t="n">
        <v>0.00758958733694275</v>
      </c>
      <c r="W8" s="12" t="s">
        <v>69</v>
      </c>
      <c r="X8" s="30" t="n">
        <v>0.00016371244334658</v>
      </c>
    </row>
    <row r="9" customFormat="false" ht="15" hidden="false" customHeight="false" outlineLevel="0" collapsed="false">
      <c r="A9" s="25" t="s">
        <v>78</v>
      </c>
      <c r="B9" s="26" t="n">
        <f aca="false">データ入力!$A$9</f>
        <v>3440</v>
      </c>
      <c r="C9" s="27" t="n">
        <f aca="false">IF(データ入力!$A$9="",0,1)</f>
        <v>1</v>
      </c>
      <c r="D9" s="27" t="n">
        <v>0</v>
      </c>
      <c r="E9" s="27" t="n">
        <f aca="false">IF(データ入力!$A$9="",0,-(データ入力!$F$9^2))</f>
        <v>-0.966008163265306</v>
      </c>
      <c r="F9" s="27" t="n">
        <v>0</v>
      </c>
      <c r="G9" s="27" t="n">
        <f aca="false">IF(データ入力!$A$9="",0,-データ入力!$D$9)</f>
        <v>-0.000512</v>
      </c>
      <c r="H9" s="27" t="n">
        <f aca="false">IF(データ入力!$A$9="",0,データ入力!$F$9*データ入力!$E$9)</f>
        <v>0.00536934857142857</v>
      </c>
      <c r="I9" s="27" t="n">
        <f aca="false">IF(データ入力!$A$9="",0,データ入力!$F$9^2*データ入力!$D$9)</f>
        <v>0.000494596179591837</v>
      </c>
      <c r="J9" s="27" t="n">
        <f aca="false">IF(データ入力!$A$9="",0,-データ入力!$F$9^3*データ入力!$E$9)</f>
        <v>-0.00518683455141691</v>
      </c>
      <c r="K9" s="27" t="n">
        <f aca="false">IF(データ入力!$A$9="",0,データ入力!$F$9^4*データ入力!$D$9)</f>
        <v>0.000477783947005548</v>
      </c>
      <c r="M9" s="28" t="n">
        <v>-0.086364</v>
      </c>
      <c r="N9" s="28" t="n">
        <v>-0.00135880857142857</v>
      </c>
      <c r="O9" s="28" t="n">
        <v>0.0864201751102041</v>
      </c>
      <c r="P9" s="28" t="n">
        <v>-0.00162272483925364</v>
      </c>
      <c r="Q9" s="28" t="n">
        <v>0.001574886637</v>
      </c>
      <c r="R9" s="28" t="n">
        <v>0</v>
      </c>
      <c r="S9" s="28" t="n">
        <v>-0.0015702088028231</v>
      </c>
      <c r="T9" s="28" t="n">
        <v>0</v>
      </c>
      <c r="V9" s="29" t="n">
        <v>-0.00156615478069991</v>
      </c>
      <c r="W9" s="12" t="s">
        <v>70</v>
      </c>
      <c r="X9" s="30" t="n">
        <v>0.999940354942456</v>
      </c>
    </row>
    <row r="10" customFormat="false" ht="15" hidden="false" customHeight="false" outlineLevel="0" collapsed="false">
      <c r="A10" s="25" t="s">
        <v>78</v>
      </c>
      <c r="B10" s="26" t="n">
        <f aca="false">データ入力!$A$10</f>
        <v>3450</v>
      </c>
      <c r="C10" s="27" t="n">
        <f aca="false">IF(データ入力!$A$10="",0,1)</f>
        <v>1</v>
      </c>
      <c r="D10" s="27" t="n">
        <v>0</v>
      </c>
      <c r="E10" s="27" t="n">
        <f aca="false">IF(データ入力!$A$10="",0,-(データ入力!$F$10^2))</f>
        <v>-0.971632653061224</v>
      </c>
      <c r="F10" s="27" t="n">
        <v>0</v>
      </c>
      <c r="G10" s="27" t="n">
        <f aca="false">IF(データ入力!$A$10="",0,-データ入力!$D$10)</f>
        <v>-0.001016</v>
      </c>
      <c r="H10" s="27" t="n">
        <f aca="false">IF(データ入力!$A$10="",0,データ入力!$F$10*データ入力!$E$10)</f>
        <v>0.00675608571428571</v>
      </c>
      <c r="I10" s="27" t="n">
        <f aca="false">IF(データ入力!$A$10="",0,データ入力!$F$10^2*データ入力!$D$10)</f>
        <v>0.000987178775510204</v>
      </c>
      <c r="J10" s="27" t="n">
        <f aca="false">IF(データ入力!$A$10="",0,-データ入力!$F$10^3*データ入力!$E$10)</f>
        <v>-0.00656443348688047</v>
      </c>
      <c r="K10" s="27" t="n">
        <f aca="false">IF(データ入力!$A$10="",0,データ入力!$F$10^4*データ入力!$D$10)</f>
        <v>0.00095917513269471</v>
      </c>
      <c r="M10" s="28" t="n">
        <v>0.00135880857142857</v>
      </c>
      <c r="N10" s="28" t="n">
        <v>-0.0864201751102041</v>
      </c>
      <c r="O10" s="28" t="n">
        <v>0.00162272483925364</v>
      </c>
      <c r="P10" s="28" t="n">
        <v>0.0864981733700878</v>
      </c>
      <c r="Q10" s="28" t="n">
        <v>0</v>
      </c>
      <c r="R10" s="28" t="n">
        <v>0.0015702088028231</v>
      </c>
      <c r="S10" s="28" t="n">
        <v>1.61995051162385E-020</v>
      </c>
      <c r="T10" s="28" t="n">
        <v>-0.00156615478069991</v>
      </c>
      <c r="V10" s="29" t="n">
        <v>2.68403565161206E-020</v>
      </c>
      <c r="W10" s="12" t="s">
        <v>71</v>
      </c>
      <c r="X10" s="30" t="n">
        <v>0.0139843348526613</v>
      </c>
    </row>
    <row r="11" customFormat="false" ht="15" hidden="false" customHeight="false" outlineLevel="0" collapsed="false">
      <c r="A11" s="25" t="s">
        <v>78</v>
      </c>
      <c r="B11" s="26" t="n">
        <f aca="false">データ入力!$A$11</f>
        <v>3460</v>
      </c>
      <c r="C11" s="27" t="n">
        <f aca="false">IF(データ入力!$A$11="",0,1)</f>
        <v>1</v>
      </c>
      <c r="D11" s="27" t="n">
        <v>0</v>
      </c>
      <c r="E11" s="27" t="n">
        <f aca="false">IF(データ入力!$A$11="",0,-(データ入力!$F$11^2))</f>
        <v>-0.977273469387755</v>
      </c>
      <c r="F11" s="27" t="n">
        <v>0</v>
      </c>
      <c r="G11" s="27" t="n">
        <f aca="false">IF(データ入力!$A$11="",0,-データ入力!$D$11)</f>
        <v>-0.002362</v>
      </c>
      <c r="H11" s="27" t="n">
        <f aca="false">IF(データ入力!$A$11="",0,データ入力!$F$11*データ入力!$E$11)</f>
        <v>0.00897622857142857</v>
      </c>
      <c r="I11" s="27" t="n">
        <f aca="false">IF(データ入力!$A$11="",0,データ入力!$F$11^2*データ入力!$D$11)</f>
        <v>0.00230831993469388</v>
      </c>
      <c r="J11" s="27" t="n">
        <f aca="false">IF(データ入力!$A$11="",0,-データ入力!$F$11^3*データ入力!$E$11)</f>
        <v>-0.00877223003801749</v>
      </c>
      <c r="K11" s="27" t="n">
        <f aca="false">IF(データ入力!$A$11="",0,データ入力!$F$11^4*データ入力!$D$11)</f>
        <v>0.0022558598310352</v>
      </c>
      <c r="M11" s="28" t="n">
        <v>0.0864201751102041</v>
      </c>
      <c r="N11" s="28" t="n">
        <v>-0.00162272483925364</v>
      </c>
      <c r="O11" s="28" t="n">
        <v>-0.0864981733700878</v>
      </c>
      <c r="P11" s="28" t="n">
        <v>0.00460407638561349</v>
      </c>
      <c r="Q11" s="28" t="n">
        <v>-0.0015702088028231</v>
      </c>
      <c r="R11" s="28" t="n">
        <v>1.61995051162385E-020</v>
      </c>
      <c r="S11" s="28" t="n">
        <v>0.00156615478069991</v>
      </c>
      <c r="T11" s="28" t="n">
        <v>-1.47966067973486E-020</v>
      </c>
      <c r="V11" s="29" t="n">
        <v>0.00156272350768457</v>
      </c>
      <c r="W11" s="12" t="s">
        <v>72</v>
      </c>
      <c r="X11" s="30" t="n">
        <v>2.00011891509778</v>
      </c>
    </row>
    <row r="12" customFormat="false" ht="15" hidden="false" customHeight="false" outlineLevel="0" collapsed="false">
      <c r="A12" s="25" t="s">
        <v>78</v>
      </c>
      <c r="B12" s="26" t="n">
        <f aca="false">データ入力!$A$12</f>
        <v>3470</v>
      </c>
      <c r="C12" s="27" t="n">
        <f aca="false">IF(データ入力!$A$12="",0,1)</f>
        <v>1</v>
      </c>
      <c r="D12" s="27" t="n">
        <v>0</v>
      </c>
      <c r="E12" s="27" t="n">
        <f aca="false">IF(データ入力!$A$12="",0,-(データ入力!$F$12^2))</f>
        <v>-0.982930612244898</v>
      </c>
      <c r="F12" s="27" t="n">
        <v>0</v>
      </c>
      <c r="G12" s="27" t="n">
        <f aca="false">IF(データ入力!$A$12="",0,-データ入力!$D$12)</f>
        <v>-0.006939</v>
      </c>
      <c r="H12" s="27" t="n">
        <f aca="false">IF(データ入力!$A$12="",0,データ入力!$F$12*データ入力!$E$12)</f>
        <v>0.0120666771428571</v>
      </c>
      <c r="I12" s="27" t="n">
        <f aca="false">IF(データ入力!$A$12="",0,データ入力!$F$12^2*データ入力!$D$12)</f>
        <v>0.00682055551836735</v>
      </c>
      <c r="J12" s="27" t="n">
        <f aca="false">IF(データ入力!$A$12="",0,-データ入力!$F$12^3*データ入力!$E$12)</f>
        <v>-0.0118607063517901</v>
      </c>
      <c r="K12" s="27" t="n">
        <f aca="false">IF(データ入力!$A$12="",0,データ入力!$F$12^4*データ入力!$D$12)</f>
        <v>0.00670413281151914</v>
      </c>
      <c r="M12" s="28" t="n">
        <v>0.00162272483925364</v>
      </c>
      <c r="N12" s="28" t="n">
        <v>0.0864981733700878</v>
      </c>
      <c r="O12" s="28" t="n">
        <v>-0.00460407638561349</v>
      </c>
      <c r="P12" s="28" t="n">
        <v>-0.086598242683367</v>
      </c>
      <c r="Q12" s="28" t="n">
        <v>0</v>
      </c>
      <c r="R12" s="28" t="n">
        <v>-0.00156615478069991</v>
      </c>
      <c r="S12" s="28" t="n">
        <v>-1.47966067973486E-020</v>
      </c>
      <c r="T12" s="28" t="n">
        <v>0.00156272350768457</v>
      </c>
      <c r="V12" s="29" t="n">
        <v>0</v>
      </c>
      <c r="W12" s="12" t="s">
        <v>73</v>
      </c>
      <c r="X12" s="30" t="n">
        <v>0.0140074764631617</v>
      </c>
    </row>
    <row r="13" customFormat="false" ht="15" hidden="false" customHeight="false" outlineLevel="0" collapsed="false">
      <c r="A13" s="25" t="s">
        <v>78</v>
      </c>
      <c r="B13" s="26" t="n">
        <f aca="false">データ入力!$A$13</f>
        <v>3480</v>
      </c>
      <c r="C13" s="27" t="n">
        <f aca="false">IF(データ入力!$A$13="",0,1)</f>
        <v>1</v>
      </c>
      <c r="D13" s="27" t="n">
        <v>0</v>
      </c>
      <c r="E13" s="27" t="n">
        <f aca="false">IF(データ入力!$A$13="",0,-(データ入力!$F$13^2))</f>
        <v>-0.988604081632653</v>
      </c>
      <c r="F13" s="27" t="n">
        <v>0</v>
      </c>
      <c r="G13" s="27" t="n">
        <f aca="false">IF(データ入力!$A$13="",0,-データ入力!$D$13)</f>
        <v>-0.016968</v>
      </c>
      <c r="H13" s="27" t="n">
        <f aca="false">IF(データ入力!$A$13="",0,データ入力!$F$13*データ入力!$E$13)</f>
        <v>0.00705843428571429</v>
      </c>
      <c r="I13" s="27" t="n">
        <f aca="false">IF(データ入力!$A$13="",0,データ入力!$F$13^2*データ入力!$D$13)</f>
        <v>0.0167746340571429</v>
      </c>
      <c r="J13" s="27" t="n">
        <f aca="false">IF(データ入力!$A$13="",0,-データ入力!$F$13^3*データ入力!$E$13)</f>
        <v>-0.006977996944793</v>
      </c>
      <c r="K13" s="27" t="n">
        <f aca="false">IF(データ入力!$A$13="",0,データ入力!$F$13^4*データ入力!$D$13)</f>
        <v>0.0165834716967855</v>
      </c>
      <c r="M13" s="12" t="s">
        <v>79</v>
      </c>
    </row>
    <row r="14" customFormat="false" ht="15" hidden="false" customHeight="false" outlineLevel="0" collapsed="false">
      <c r="A14" s="25" t="s">
        <v>78</v>
      </c>
      <c r="B14" s="26" t="n">
        <f aca="false">データ入力!$A$14</f>
        <v>3490</v>
      </c>
      <c r="C14" s="27" t="n">
        <f aca="false">IF(データ入力!$A$14="",0,1)</f>
        <v>1</v>
      </c>
      <c r="D14" s="27" t="n">
        <v>0</v>
      </c>
      <c r="E14" s="27" t="n">
        <f aca="false">IF(データ入力!$A$14="",0,-(データ入力!$F$14^2))</f>
        <v>-0.994293877551021</v>
      </c>
      <c r="F14" s="27" t="n">
        <v>0</v>
      </c>
      <c r="G14" s="27" t="n">
        <f aca="false">IF(データ入力!$A$14="",0,-データ入力!$D$14)</f>
        <v>-0.012733</v>
      </c>
      <c r="H14" s="27" t="n">
        <f aca="false">IF(データ入力!$A$14="",0,データ入力!$F$14*データ入力!$E$14)</f>
        <v>-0.0021987</v>
      </c>
      <c r="I14" s="27" t="n">
        <f aca="false">IF(データ入力!$A$14="",0,データ入力!$F$14^2*データ入力!$D$14)</f>
        <v>0.0126603439428571</v>
      </c>
      <c r="J14" s="27" t="n">
        <f aca="false">IF(データ入力!$A$14="",0,-データ入力!$F$14^3*データ入力!$E$14)</f>
        <v>0.00218615394857143</v>
      </c>
      <c r="K14" s="27" t="n">
        <f aca="false">IF(データ入力!$A$14="",0,データ入力!$F$14^4*データ入力!$D$14)</f>
        <v>0.012588102470073</v>
      </c>
      <c r="M14" s="28" t="n">
        <f aca="false" t="array" ref="M14:T21">MINVERSE(M5:T12)</f>
        <v>62.862316698708</v>
      </c>
      <c r="N14" s="28" t="n">
        <v>-2.37135143866369</v>
      </c>
      <c r="O14" s="28" t="n">
        <v>63.8068490074229</v>
      </c>
      <c r="P14" s="28" t="n">
        <v>0.0580143349140362</v>
      </c>
      <c r="Q14" s="28" t="n">
        <v>-9104.86105223685</v>
      </c>
      <c r="R14" s="28" t="n">
        <v>6303.12914617309</v>
      </c>
      <c r="S14" s="28" t="n">
        <v>-9075.75983579046</v>
      </c>
      <c r="T14" s="28" t="n">
        <v>6574.15125992576</v>
      </c>
    </row>
    <row r="15" customFormat="false" ht="15" hidden="false" customHeight="false" outlineLevel="0" collapsed="false">
      <c r="A15" s="25" t="s">
        <v>78</v>
      </c>
      <c r="B15" s="26" t="n">
        <f aca="false">データ入力!$A$15</f>
        <v>3500</v>
      </c>
      <c r="C15" s="27" t="n">
        <f aca="false">IF(データ入力!$A$15="",0,1)</f>
        <v>1</v>
      </c>
      <c r="D15" s="27" t="n">
        <v>0</v>
      </c>
      <c r="E15" s="27" t="n">
        <f aca="false">IF(データ入力!$A$15="",0,-(データ入力!$F$15^2))</f>
        <v>-1</v>
      </c>
      <c r="F15" s="27" t="n">
        <v>0</v>
      </c>
      <c r="G15" s="27" t="n">
        <f aca="false">IF(データ入力!$A$15="",0,-データ入力!$D$15)</f>
        <v>-0.009201</v>
      </c>
      <c r="H15" s="27" t="n">
        <f aca="false">IF(データ入力!$A$15="",0,データ入力!$F$15*データ入力!$E$15)</f>
        <v>-0.001806</v>
      </c>
      <c r="I15" s="27" t="n">
        <f aca="false">IF(データ入力!$A$15="",0,データ入力!$F$15^2*データ入力!$D$15)</f>
        <v>0.009201</v>
      </c>
      <c r="J15" s="27" t="n">
        <f aca="false">IF(データ入力!$A$15="",0,-データ入力!$F$15^3*データ入力!$E$15)</f>
        <v>0.001806</v>
      </c>
      <c r="K15" s="27" t="n">
        <f aca="false">IF(データ入力!$A$15="",0,データ入力!$F$15^4*データ入力!$D$15)</f>
        <v>0.009201</v>
      </c>
      <c r="M15" s="28" t="n">
        <v>-2.37135143865896</v>
      </c>
      <c r="N15" s="28" t="n">
        <v>61.5337131402108</v>
      </c>
      <c r="O15" s="28" t="n">
        <v>-4.78095067727457</v>
      </c>
      <c r="P15" s="28" t="n">
        <v>61.7361811479877</v>
      </c>
      <c r="Q15" s="28" t="n">
        <v>-3015.42041911492</v>
      </c>
      <c r="R15" s="28" t="n">
        <v>-9416.09000906881</v>
      </c>
      <c r="S15" s="28" t="n">
        <v>-3274.15684099461</v>
      </c>
      <c r="T15" s="28" t="n">
        <v>-9433.22802265074</v>
      </c>
    </row>
    <row r="16" customFormat="false" ht="15" hidden="false" customHeight="false" outlineLevel="0" collapsed="false">
      <c r="A16" s="25" t="s">
        <v>78</v>
      </c>
      <c r="B16" s="26" t="n">
        <f aca="false">データ入力!$A$16</f>
        <v>3510</v>
      </c>
      <c r="C16" s="27" t="n">
        <f aca="false">IF(データ入力!$A$16="",0,1)</f>
        <v>1</v>
      </c>
      <c r="D16" s="27" t="n">
        <v>0</v>
      </c>
      <c r="E16" s="27" t="n">
        <f aca="false">IF(データ入力!$A$16="",0,-(データ入力!$F$16^2))</f>
        <v>-1.00572244897959</v>
      </c>
      <c r="F16" s="27" t="n">
        <v>0</v>
      </c>
      <c r="G16" s="27" t="n">
        <f aca="false">IF(データ入力!$A$16="",0,-データ入力!$D$16)</f>
        <v>-0.010162</v>
      </c>
      <c r="H16" s="27" t="n">
        <f aca="false">IF(データ入力!$A$16="",0,データ入力!$F$16*データ入力!$E$16)</f>
        <v>-0.00152434285714286</v>
      </c>
      <c r="I16" s="27" t="n">
        <f aca="false">IF(データ入力!$A$16="",0,データ入力!$F$16^2*データ入力!$D$16)</f>
        <v>0.0102201515265306</v>
      </c>
      <c r="J16" s="27" t="n">
        <f aca="false">IF(データ入力!$A$16="",0,-データ入力!$F$16^3*データ入力!$E$16)</f>
        <v>0.00153306583137026</v>
      </c>
      <c r="K16" s="27" t="n">
        <f aca="false">IF(データ入力!$A$16="",0,データ入力!$F$16^4*データ入力!$D$16)</f>
        <v>0.0102786358222049</v>
      </c>
      <c r="M16" s="28" t="n">
        <v>63.8068490074232</v>
      </c>
      <c r="N16" s="28" t="n">
        <v>-4.78095067728155</v>
      </c>
      <c r="O16" s="28" t="n">
        <v>65.5024724145165</v>
      </c>
      <c r="P16" s="28" t="n">
        <v>-2.35222971776348</v>
      </c>
      <c r="Q16" s="28" t="n">
        <v>-8668.47159061157</v>
      </c>
      <c r="R16" s="28" t="n">
        <v>9877.44318979701</v>
      </c>
      <c r="S16" s="28" t="n">
        <v>-8592.12239806871</v>
      </c>
      <c r="T16" s="28" t="n">
        <v>10160.1382221304</v>
      </c>
    </row>
    <row r="17" customFormat="false" ht="15" hidden="false" customHeight="false" outlineLevel="0" collapsed="false">
      <c r="A17" s="25" t="s">
        <v>78</v>
      </c>
      <c r="B17" s="26" t="n">
        <f aca="false">データ入力!$A$17</f>
        <v>3520</v>
      </c>
      <c r="C17" s="27" t="n">
        <f aca="false">IF(データ入力!$A$17="",0,1)</f>
        <v>1</v>
      </c>
      <c r="D17" s="27" t="n">
        <v>0</v>
      </c>
      <c r="E17" s="27" t="n">
        <f aca="false">IF(データ入力!$A$17="",0,-(データ入力!$F$17^2))</f>
        <v>-1.0114612244898</v>
      </c>
      <c r="F17" s="27" t="n">
        <v>0</v>
      </c>
      <c r="G17" s="27" t="n">
        <f aca="false">IF(データ入力!$A$17="",0,-データ入力!$D$17)</f>
        <v>-0.011108</v>
      </c>
      <c r="H17" s="27" t="n">
        <f aca="false">IF(データ入力!$A$17="",0,データ入力!$F$17*データ入力!$E$17)</f>
        <v>-0.00577682285714286</v>
      </c>
      <c r="I17" s="27" t="n">
        <f aca="false">IF(データ入力!$A$17="",0,データ入力!$F$17^2*データ入力!$D$17)</f>
        <v>0.0112353112816327</v>
      </c>
      <c r="J17" s="27" t="n">
        <f aca="false">IF(データ入力!$A$17="",0,-データ入力!$F$17^3*データ入力!$E$17)</f>
        <v>0.00584303232074636</v>
      </c>
      <c r="K17" s="27" t="n">
        <f aca="false">IF(データ入力!$A$17="",0,データ入力!$F$17^4*データ入力!$D$17)</f>
        <v>0.0113640817064442</v>
      </c>
      <c r="M17" s="28" t="n">
        <v>0.0580143349191576</v>
      </c>
      <c r="N17" s="28" t="n">
        <v>61.7361811479873</v>
      </c>
      <c r="O17" s="28" t="n">
        <v>-2.35222971775615</v>
      </c>
      <c r="P17" s="28" t="n">
        <v>62.6857772794562</v>
      </c>
      <c r="Q17" s="28" t="n">
        <v>-6577.30613382719</v>
      </c>
      <c r="R17" s="28" t="n">
        <v>-9034.31811908525</v>
      </c>
      <c r="S17" s="28" t="n">
        <v>-6847.75896835563</v>
      </c>
      <c r="T17" s="28" t="n">
        <v>-9004.57001924923</v>
      </c>
    </row>
    <row r="18" customFormat="false" ht="15" hidden="false" customHeight="false" outlineLevel="0" collapsed="false">
      <c r="A18" s="25" t="s">
        <v>78</v>
      </c>
      <c r="B18" s="26" t="n">
        <f aca="false">データ入力!$A$18</f>
        <v>3530</v>
      </c>
      <c r="C18" s="27" t="n">
        <f aca="false">IF(データ入力!$A$18="",0,1)</f>
        <v>1</v>
      </c>
      <c r="D18" s="27" t="n">
        <v>0</v>
      </c>
      <c r="E18" s="27" t="n">
        <f aca="false">IF(データ入力!$A$18="",0,-(データ入力!$F$18^2))</f>
        <v>-1.01721632653061</v>
      </c>
      <c r="F18" s="27" t="n">
        <v>0</v>
      </c>
      <c r="G18" s="27" t="n">
        <f aca="false">IF(データ入力!$A$18="",0,-データ入力!$D$18)</f>
        <v>-0.006478</v>
      </c>
      <c r="H18" s="27" t="n">
        <f aca="false">IF(データ入力!$A$18="",0,データ入力!$F$18*データ入力!$E$18)</f>
        <v>-0.00874330571428572</v>
      </c>
      <c r="I18" s="27" t="n">
        <f aca="false">IF(データ入力!$A$18="",0,データ入力!$F$18^2*データ入力!$D$18)</f>
        <v>0.00658952736326531</v>
      </c>
      <c r="J18" s="27" t="n">
        <f aca="false">IF(データ入力!$A$18="",0,-データ入力!$F$18^3*データ入力!$E$18)</f>
        <v>0.00889383332041983</v>
      </c>
      <c r="K18" s="27" t="n">
        <f aca="false">IF(データ入力!$A$18="",0,データ入力!$F$18^4*データ入力!$D$18)</f>
        <v>0.00670297481803369</v>
      </c>
      <c r="M18" s="28" t="n">
        <v>-9104.86105223884</v>
      </c>
      <c r="N18" s="28" t="n">
        <v>-3015.4204191151</v>
      </c>
      <c r="O18" s="28" t="n">
        <v>-8668.47159061331</v>
      </c>
      <c r="P18" s="28" t="n">
        <v>-6577.30613382748</v>
      </c>
      <c r="Q18" s="28" t="n">
        <v>18938974.7601261</v>
      </c>
      <c r="R18" s="28" t="n">
        <v>238248.201637092</v>
      </c>
      <c r="S18" s="28" t="n">
        <v>19027858.0394867</v>
      </c>
      <c r="T18" s="28" t="n">
        <v>25112.0201674643</v>
      </c>
    </row>
    <row r="19" customFormat="false" ht="15" hidden="false" customHeight="false" outlineLevel="0" collapsed="false">
      <c r="A19" s="25" t="s">
        <v>78</v>
      </c>
      <c r="B19" s="26" t="n">
        <f aca="false">データ入力!$A$19</f>
        <v>3540</v>
      </c>
      <c r="C19" s="27" t="n">
        <f aca="false">IF(データ入力!$A$19="",0,1)</f>
        <v>1</v>
      </c>
      <c r="D19" s="27" t="n">
        <v>0</v>
      </c>
      <c r="E19" s="27" t="n">
        <f aca="false">IF(データ入力!$A$19="",0,-(データ入力!$F$19^2))</f>
        <v>-1.02298775510204</v>
      </c>
      <c r="F19" s="27" t="n">
        <v>0</v>
      </c>
      <c r="G19" s="27" t="n">
        <f aca="false">IF(データ入力!$A$19="",0,-データ入力!$D$19)</f>
        <v>-0.003142</v>
      </c>
      <c r="H19" s="27" t="n">
        <f aca="false">IF(データ入力!$A$19="",0,データ入力!$F$19*データ入力!$E$19)</f>
        <v>-0.00756042857142857</v>
      </c>
      <c r="I19" s="27" t="n">
        <f aca="false">IF(データ入力!$A$19="",0,データ入力!$F$19^2*データ入力!$D$19)</f>
        <v>0.00321422752653061</v>
      </c>
      <c r="J19" s="27" t="n">
        <f aca="false">IF(データ入力!$A$19="",0,-データ入力!$F$19^3*データ入力!$E$19)</f>
        <v>0.00773422585189505</v>
      </c>
      <c r="K19" s="27" t="n">
        <f aca="false">IF(データ入力!$A$19="",0,データ入力!$F$19^4*データ入力!$D$19)</f>
        <v>0.00328811540175274</v>
      </c>
      <c r="M19" s="28" t="n">
        <v>6303.12914617426</v>
      </c>
      <c r="N19" s="28" t="n">
        <v>-9416.09000908173</v>
      </c>
      <c r="O19" s="28" t="n">
        <v>9877.44318979831</v>
      </c>
      <c r="P19" s="28" t="n">
        <v>-9034.31811909788</v>
      </c>
      <c r="Q19" s="28" t="n">
        <v>238248.201635665</v>
      </c>
      <c r="R19" s="28" t="n">
        <v>18909547.3160351</v>
      </c>
      <c r="S19" s="28" t="n">
        <v>453389.197997015</v>
      </c>
      <c r="T19" s="28" t="n">
        <v>18994175.5888005</v>
      </c>
    </row>
    <row r="20" customFormat="false" ht="15" hidden="false" customHeight="false" outlineLevel="0" collapsed="false">
      <c r="A20" s="25" t="s">
        <v>78</v>
      </c>
      <c r="B20" s="26" t="n">
        <f aca="false">データ入力!$A$20</f>
        <v>3550</v>
      </c>
      <c r="C20" s="27" t="n">
        <f aca="false">IF(データ入力!$A$20="",0,1)</f>
        <v>1</v>
      </c>
      <c r="D20" s="27" t="n">
        <v>0</v>
      </c>
      <c r="E20" s="27" t="n">
        <f aca="false">IF(データ入力!$A$20="",0,-(データ入力!$F$20^2))</f>
        <v>-1.02877551020408</v>
      </c>
      <c r="F20" s="27" t="n">
        <v>0</v>
      </c>
      <c r="G20" s="27" t="n">
        <f aca="false">IF(データ入力!$A$20="",0,-データ入力!$D$20)</f>
        <v>-0.001759</v>
      </c>
      <c r="H20" s="27" t="n">
        <f aca="false">IF(データ入力!$A$20="",0,データ入力!$F$20*データ入力!$E$20)</f>
        <v>-0.00614251428571429</v>
      </c>
      <c r="I20" s="27" t="n">
        <f aca="false">IF(データ入力!$A$20="",0,データ入力!$F$20^2*データ入力!$D$20)</f>
        <v>0.00180961612244898</v>
      </c>
      <c r="J20" s="27" t="n">
        <f aca="false">IF(データ入力!$A$20="",0,-データ入力!$F$20^3*データ入力!$E$20)</f>
        <v>0.00631926826822157</v>
      </c>
      <c r="K20" s="27" t="n">
        <f aca="false">IF(データ入力!$A$20="",0,データ入力!$F$20^4*データ入力!$D$20)</f>
        <v>0.00186168874964598</v>
      </c>
      <c r="M20" s="28" t="n">
        <v>-9075.75983579244</v>
      </c>
      <c r="N20" s="28" t="n">
        <v>-3274.15684099429</v>
      </c>
      <c r="O20" s="28" t="n">
        <v>-8592.12239807046</v>
      </c>
      <c r="P20" s="28" t="n">
        <v>-6847.75896835543</v>
      </c>
      <c r="Q20" s="28" t="n">
        <v>19027858.0394867</v>
      </c>
      <c r="R20" s="28" t="n">
        <v>453389.197998417</v>
      </c>
      <c r="S20" s="28" t="n">
        <v>19120747.8166856</v>
      </c>
      <c r="T20" s="28" t="n">
        <v>240254.289576115</v>
      </c>
    </row>
    <row r="21" customFormat="false" ht="15" hidden="false" customHeight="false" outlineLevel="0" collapsed="false">
      <c r="A21" s="25" t="s">
        <v>78</v>
      </c>
      <c r="B21" s="26" t="n">
        <f aca="false">データ入力!$A$21</f>
        <v>3560</v>
      </c>
      <c r="C21" s="27" t="n">
        <f aca="false">IF(データ入力!$A$21="",0,1)</f>
        <v>1</v>
      </c>
      <c r="D21" s="27" t="n">
        <v>0</v>
      </c>
      <c r="E21" s="27" t="n">
        <f aca="false">IF(データ入力!$A$21="",0,-(データ入力!$F$21^2))</f>
        <v>-1.03457959183673</v>
      </c>
      <c r="F21" s="27" t="n">
        <v>0</v>
      </c>
      <c r="G21" s="27" t="n">
        <f aca="false">IF(データ入力!$A$21="",0,-データ入力!$D$21)</f>
        <v>-0.001128</v>
      </c>
      <c r="H21" s="27" t="n">
        <f aca="false">IF(データ入力!$A$21="",0,データ入力!$F$21*データ入力!$E$21)</f>
        <v>-0.00508571428571429</v>
      </c>
      <c r="I21" s="27" t="n">
        <f aca="false">IF(データ入力!$A$21="",0,データ入力!$F$21^2*データ入力!$D$21)</f>
        <v>0.00116700577959184</v>
      </c>
      <c r="J21" s="27" t="n">
        <f aca="false">IF(データ入力!$A$21="",0,-データ入力!$F$21^3*データ入力!$E$21)</f>
        <v>0.00526157620991254</v>
      </c>
      <c r="K21" s="27" t="n">
        <f aca="false">IF(データ入力!$A$21="",0,データ入力!$F$21^4*データ入力!$D$21)</f>
        <v>0.00120736036312123</v>
      </c>
      <c r="M21" s="28" t="n">
        <v>6574.15125992709</v>
      </c>
      <c r="N21" s="28" t="n">
        <v>-9433.22802266373</v>
      </c>
      <c r="O21" s="28" t="n">
        <v>10160.1382221319</v>
      </c>
      <c r="P21" s="28" t="n">
        <v>-9004.57001926192</v>
      </c>
      <c r="Q21" s="28" t="n">
        <v>25112.0201660362</v>
      </c>
      <c r="R21" s="28" t="n">
        <v>18994175.5888005</v>
      </c>
      <c r="S21" s="28" t="n">
        <v>240254.289574712</v>
      </c>
      <c r="T21" s="28" t="n">
        <v>19082778.1269583</v>
      </c>
    </row>
    <row r="22" customFormat="false" ht="15" hidden="false" customHeight="false" outlineLevel="0" collapsed="false">
      <c r="A22" s="25" t="s">
        <v>78</v>
      </c>
      <c r="B22" s="26" t="n">
        <f aca="false">データ入力!$A$22</f>
        <v>3570</v>
      </c>
      <c r="C22" s="27" t="n">
        <f aca="false">IF(データ入力!$A$22="",0,1)</f>
        <v>1</v>
      </c>
      <c r="D22" s="27" t="n">
        <v>0</v>
      </c>
      <c r="E22" s="27" t="n">
        <f aca="false">IF(データ入力!$A$22="",0,-(データ入力!$F$22^2))</f>
        <v>-1.0404</v>
      </c>
      <c r="F22" s="27" t="n">
        <v>0</v>
      </c>
      <c r="G22" s="27" t="n">
        <f aca="false">IF(データ入力!$A$22="",0,-データ入力!$D$22)</f>
        <v>-0.000797</v>
      </c>
      <c r="H22" s="27" t="n">
        <f aca="false">IF(データ入力!$A$22="",0,データ入力!$F$22*データ入力!$E$22)</f>
        <v>-0.00433092</v>
      </c>
      <c r="I22" s="27" t="n">
        <f aca="false">IF(データ入力!$A$22="",0,データ入力!$F$22^2*データ入力!$D$22)</f>
        <v>0.0008291988</v>
      </c>
      <c r="J22" s="27" t="n">
        <f aca="false">IF(データ入力!$A$22="",0,-データ入力!$F$22^3*データ入力!$E$22)</f>
        <v>0.004505889168</v>
      </c>
      <c r="K22" s="27" t="n">
        <f aca="false">IF(データ入力!$A$22="",0,データ入力!$F$22^4*データ入力!$D$22)</f>
        <v>0.00086269843152</v>
      </c>
    </row>
    <row r="23" customFormat="false" ht="15" hidden="false" customHeight="false" outlineLevel="0" collapsed="false">
      <c r="A23" s="25" t="s">
        <v>78</v>
      </c>
      <c r="B23" s="26" t="n">
        <f aca="false">データ入力!$A$23</f>
        <v>3580</v>
      </c>
      <c r="C23" s="27" t="n">
        <f aca="false">IF(データ入力!$A$23="",0,1)</f>
        <v>1</v>
      </c>
      <c r="D23" s="27" t="n">
        <v>0</v>
      </c>
      <c r="E23" s="27" t="n">
        <f aca="false">IF(データ入力!$A$23="",0,-(データ入力!$F$23^2))</f>
        <v>-1.04623673469388</v>
      </c>
      <c r="F23" s="27" t="n">
        <v>0</v>
      </c>
      <c r="G23" s="27" t="n">
        <f aca="false">IF(データ入力!$A$23="",0,-データ入力!$D$23)</f>
        <v>-0.000602</v>
      </c>
      <c r="H23" s="27" t="n">
        <f aca="false">IF(データ入力!$A$23="",0,データ入力!$F$23*データ入力!$E$23)</f>
        <v>-0.00377229714285714</v>
      </c>
      <c r="I23" s="27" t="n">
        <f aca="false">IF(データ入力!$A$23="",0,データ入力!$F$23^2*データ入力!$D$23)</f>
        <v>0.000629834514285714</v>
      </c>
      <c r="J23" s="27" t="n">
        <f aca="false">IF(データ入力!$A$23="",0,-データ入力!$F$23^3*データ入力!$E$23)</f>
        <v>0.0039467158450379</v>
      </c>
      <c r="K23" s="27" t="n">
        <f aca="false">IF(データ入力!$A$23="",0,データ入力!$F$23^4*データ入力!$D$23)</f>
        <v>0.00065895600562379</v>
      </c>
    </row>
    <row r="24" customFormat="false" ht="15" hidden="false" customHeight="false" outlineLevel="0" collapsed="false">
      <c r="A24" s="25" t="s">
        <v>78</v>
      </c>
      <c r="B24" s="26" t="n">
        <f aca="false">データ入力!$A$24</f>
        <v>3590</v>
      </c>
      <c r="C24" s="27" t="n">
        <f aca="false">IF(データ入力!$A$24="",0,1)</f>
        <v>1</v>
      </c>
      <c r="D24" s="27" t="n">
        <v>0</v>
      </c>
      <c r="E24" s="27" t="n">
        <f aca="false">IF(データ入力!$A$24="",0,-(データ入力!$F$24^2))</f>
        <v>-1.05208979591837</v>
      </c>
      <c r="F24" s="27" t="n">
        <v>0</v>
      </c>
      <c r="G24" s="27" t="n">
        <f aca="false">IF(データ入力!$A$24="",0,-データ入力!$D$24)</f>
        <v>-0.000478</v>
      </c>
      <c r="H24" s="27" t="n">
        <f aca="false">IF(データ入力!$A$24="",0,データ入力!$F$24*データ入力!$E$24)</f>
        <v>-0.00335100857142857</v>
      </c>
      <c r="I24" s="27" t="n">
        <f aca="false">IF(データ入力!$A$24="",0,データ入力!$F$24^2*データ入力!$D$24)</f>
        <v>0.00050289892244898</v>
      </c>
      <c r="J24" s="27" t="n">
        <f aca="false">IF(データ入力!$A$24="",0,-データ入力!$F$24^3*データ入力!$E$24)</f>
        <v>0.00352556192403499</v>
      </c>
      <c r="K24" s="27" t="n">
        <f aca="false">IF(データ入力!$A$24="",0,データ入力!$F$24^4*データ入力!$D$24)</f>
        <v>0.000529094824686914</v>
      </c>
    </row>
    <row r="25" customFormat="false" ht="15" hidden="false" customHeight="false" outlineLevel="0" collapsed="false">
      <c r="A25" s="25" t="s">
        <v>78</v>
      </c>
      <c r="B25" s="26" t="n">
        <f aca="false">データ入力!$A$25</f>
        <v>3600</v>
      </c>
      <c r="C25" s="27" t="n">
        <f aca="false">IF(データ入力!$A$25="",0,1)</f>
        <v>1</v>
      </c>
      <c r="D25" s="27" t="n">
        <v>0</v>
      </c>
      <c r="E25" s="27" t="n">
        <f aca="false">IF(データ入力!$A$25="",0,-(データ入力!$F$25^2))</f>
        <v>-1.05795918367347</v>
      </c>
      <c r="F25" s="27" t="n">
        <v>0</v>
      </c>
      <c r="G25" s="27" t="n">
        <f aca="false">IF(データ入力!$A$25="",0,-データ入力!$D$25)</f>
        <v>-0.000393</v>
      </c>
      <c r="H25" s="27" t="n">
        <f aca="false">IF(データ入力!$A$25="",0,データ入力!$F$25*データ入力!$E$25)</f>
        <v>-0.0030168</v>
      </c>
      <c r="I25" s="27" t="n">
        <f aca="false">IF(データ入力!$A$25="",0,データ入力!$F$25^2*データ入力!$D$25)</f>
        <v>0.000415777959183674</v>
      </c>
      <c r="J25" s="27" t="n">
        <f aca="false">IF(データ入力!$A$25="",0,-データ入力!$F$25^3*データ入力!$E$25)</f>
        <v>0.00319165126530612</v>
      </c>
      <c r="K25" s="27" t="n">
        <f aca="false">IF(データ入力!$A$25="",0,データ入力!$F$25^4*データ入力!$D$25)</f>
        <v>0.000439876110287381</v>
      </c>
    </row>
    <row r="26" customFormat="false" ht="15" hidden="false" customHeight="false" outlineLevel="0" collapsed="false">
      <c r="A26" s="25" t="s">
        <v>78</v>
      </c>
      <c r="B26" s="26" t="n">
        <f aca="false">データ入力!$A$26</f>
        <v>0</v>
      </c>
      <c r="C26" s="27" t="n">
        <f aca="false">IF(データ入力!$A$26="",0,1)</f>
        <v>0</v>
      </c>
      <c r="D26" s="27" t="n">
        <v>0</v>
      </c>
      <c r="E26" s="27" t="n">
        <f aca="false">IF(データ入力!$A$26="",0,-(データ入力!$F$26^2))</f>
        <v>0</v>
      </c>
      <c r="F26" s="27" t="n">
        <v>0</v>
      </c>
      <c r="G26" s="27" t="n">
        <f aca="false">IF(データ入力!$A$26="",0,-データ入力!$D$26)</f>
        <v>0</v>
      </c>
      <c r="H26" s="27" t="n">
        <f aca="false">IF(データ入力!$A$26="",0,データ入力!$F$26*データ入力!$E$26)</f>
        <v>0</v>
      </c>
      <c r="I26" s="27" t="n">
        <f aca="false">IF(データ入力!$A$26="",0,データ入力!$F$26^2*データ入力!$D$26)</f>
        <v>0</v>
      </c>
      <c r="J26" s="27" t="n">
        <f aca="false">IF(データ入力!$A$26="",0,-データ入力!$F$26^3*データ入力!$E$26)</f>
        <v>0</v>
      </c>
      <c r="K26" s="27" t="n">
        <f aca="false">IF(データ入力!$A$26="",0,データ入力!$F$26^4*データ入力!$D$26)</f>
        <v>0</v>
      </c>
    </row>
    <row r="27" customFormat="false" ht="15" hidden="false" customHeight="false" outlineLevel="0" collapsed="false">
      <c r="A27" s="25" t="s">
        <v>78</v>
      </c>
      <c r="B27" s="26" t="n">
        <f aca="false">データ入力!$A$27</f>
        <v>0</v>
      </c>
      <c r="C27" s="27" t="n">
        <f aca="false">IF(データ入力!$A$27="",0,1)</f>
        <v>0</v>
      </c>
      <c r="D27" s="27" t="n">
        <v>0</v>
      </c>
      <c r="E27" s="27" t="n">
        <f aca="false">IF(データ入力!$A$27="",0,-(データ入力!$F$27^2))</f>
        <v>0</v>
      </c>
      <c r="F27" s="27" t="n">
        <v>0</v>
      </c>
      <c r="G27" s="27" t="n">
        <f aca="false">IF(データ入力!$A$27="",0,-データ入力!$D$27)</f>
        <v>0</v>
      </c>
      <c r="H27" s="27" t="n">
        <f aca="false">IF(データ入力!$A$27="",0,データ入力!$F$27*データ入力!$E$27)</f>
        <v>0</v>
      </c>
      <c r="I27" s="27" t="n">
        <f aca="false">IF(データ入力!$A$27="",0,データ入力!$F$27^2*データ入力!$D$27)</f>
        <v>0</v>
      </c>
      <c r="J27" s="27" t="n">
        <f aca="false">IF(データ入力!$A$27="",0,-データ入力!$F$27^3*データ入力!$E$27)</f>
        <v>0</v>
      </c>
      <c r="K27" s="27" t="n">
        <f aca="false">IF(データ入力!$A$27="",0,データ入力!$F$27^4*データ入力!$D$27)</f>
        <v>0</v>
      </c>
    </row>
    <row r="28" customFormat="false" ht="15" hidden="false" customHeight="false" outlineLevel="0" collapsed="false">
      <c r="A28" s="25" t="s">
        <v>78</v>
      </c>
      <c r="B28" s="26" t="n">
        <f aca="false">データ入力!$A$28</f>
        <v>0</v>
      </c>
      <c r="C28" s="27" t="n">
        <f aca="false">IF(データ入力!$A$28="",0,1)</f>
        <v>0</v>
      </c>
      <c r="D28" s="27" t="n">
        <v>0</v>
      </c>
      <c r="E28" s="27" t="n">
        <f aca="false">IF(データ入力!$A$28="",0,-(データ入力!$F$28^2))</f>
        <v>0</v>
      </c>
      <c r="F28" s="27" t="n">
        <v>0</v>
      </c>
      <c r="G28" s="27" t="n">
        <f aca="false">IF(データ入力!$A$28="",0,-データ入力!$D$28)</f>
        <v>0</v>
      </c>
      <c r="H28" s="27" t="n">
        <f aca="false">IF(データ入力!$A$28="",0,データ入力!$F$28*データ入力!$E$28)</f>
        <v>0</v>
      </c>
      <c r="I28" s="27" t="n">
        <f aca="false">IF(データ入力!$A$28="",0,データ入力!$F$28^2*データ入力!$D$28)</f>
        <v>0</v>
      </c>
      <c r="J28" s="27" t="n">
        <f aca="false">IF(データ入力!$A$28="",0,-データ入力!$F$28^3*データ入力!$E$28)</f>
        <v>0</v>
      </c>
      <c r="K28" s="27" t="n">
        <f aca="false">IF(データ入力!$A$28="",0,データ入力!$F$28^4*データ入力!$D$28)</f>
        <v>0</v>
      </c>
    </row>
    <row r="29" customFormat="false" ht="15" hidden="false" customHeight="false" outlineLevel="0" collapsed="false">
      <c r="A29" s="25" t="s">
        <v>78</v>
      </c>
      <c r="B29" s="26" t="n">
        <f aca="false">データ入力!$A$29</f>
        <v>0</v>
      </c>
      <c r="C29" s="27" t="n">
        <f aca="false">IF(データ入力!$A$29="",0,1)</f>
        <v>0</v>
      </c>
      <c r="D29" s="27" t="n">
        <v>0</v>
      </c>
      <c r="E29" s="27" t="n">
        <f aca="false">IF(データ入力!$A$29="",0,-(データ入力!$F$29^2))</f>
        <v>0</v>
      </c>
      <c r="F29" s="27" t="n">
        <v>0</v>
      </c>
      <c r="G29" s="27" t="n">
        <f aca="false">IF(データ入力!$A$29="",0,-データ入力!$D$29)</f>
        <v>0</v>
      </c>
      <c r="H29" s="27" t="n">
        <f aca="false">IF(データ入力!$A$29="",0,データ入力!$F$29*データ入力!$E$29)</f>
        <v>0</v>
      </c>
      <c r="I29" s="27" t="n">
        <f aca="false">IF(データ入力!$A$29="",0,データ入力!$F$29^2*データ入力!$D$29)</f>
        <v>0</v>
      </c>
      <c r="J29" s="27" t="n">
        <f aca="false">IF(データ入力!$A$29="",0,-データ入力!$F$29^3*データ入力!$E$29)</f>
        <v>0</v>
      </c>
      <c r="K29" s="27" t="n">
        <f aca="false">IF(データ入力!$A$29="",0,データ入力!$F$29^4*データ入力!$D$29)</f>
        <v>0</v>
      </c>
    </row>
    <row r="30" customFormat="false" ht="15" hidden="false" customHeight="false" outlineLevel="0" collapsed="false">
      <c r="A30" s="25" t="s">
        <v>78</v>
      </c>
      <c r="B30" s="26" t="n">
        <f aca="false">データ入力!$A$30</f>
        <v>0</v>
      </c>
      <c r="C30" s="27" t="n">
        <f aca="false">IF(データ入力!$A$30="",0,1)</f>
        <v>0</v>
      </c>
      <c r="D30" s="27" t="n">
        <v>0</v>
      </c>
      <c r="E30" s="27" t="n">
        <f aca="false">IF(データ入力!$A$30="",0,-(データ入力!$F$30^2))</f>
        <v>0</v>
      </c>
      <c r="F30" s="27" t="n">
        <v>0</v>
      </c>
      <c r="G30" s="27" t="n">
        <f aca="false">IF(データ入力!$A$30="",0,-データ入力!$D$30)</f>
        <v>0</v>
      </c>
      <c r="H30" s="27" t="n">
        <f aca="false">IF(データ入力!$A$30="",0,データ入力!$F$30*データ入力!$E$30)</f>
        <v>0</v>
      </c>
      <c r="I30" s="27" t="n">
        <f aca="false">IF(データ入力!$A$30="",0,データ入力!$F$30^2*データ入力!$D$30)</f>
        <v>0</v>
      </c>
      <c r="J30" s="27" t="n">
        <f aca="false">IF(データ入力!$A$30="",0,-データ入力!$F$30^3*データ入力!$E$30)</f>
        <v>0</v>
      </c>
      <c r="K30" s="27" t="n">
        <f aca="false">IF(データ入力!$A$30="",0,データ入力!$F$30^4*データ入力!$D$30)</f>
        <v>0</v>
      </c>
    </row>
    <row r="31" customFormat="false" ht="15" hidden="false" customHeight="false" outlineLevel="0" collapsed="false">
      <c r="A31" s="25" t="s">
        <v>78</v>
      </c>
      <c r="B31" s="26" t="n">
        <f aca="false">データ入力!$A$31</f>
        <v>0</v>
      </c>
      <c r="C31" s="27" t="n">
        <f aca="false">IF(データ入力!$A$31="",0,1)</f>
        <v>0</v>
      </c>
      <c r="D31" s="27" t="n">
        <v>0</v>
      </c>
      <c r="E31" s="27" t="n">
        <f aca="false">IF(データ入力!$A$31="",0,-(データ入力!$F$31^2))</f>
        <v>0</v>
      </c>
      <c r="F31" s="27" t="n">
        <v>0</v>
      </c>
      <c r="G31" s="27" t="n">
        <f aca="false">IF(データ入力!$A$31="",0,-データ入力!$D$31)</f>
        <v>0</v>
      </c>
      <c r="H31" s="27" t="n">
        <f aca="false">IF(データ入力!$A$31="",0,データ入力!$F$31*データ入力!$E$31)</f>
        <v>0</v>
      </c>
      <c r="I31" s="27" t="n">
        <f aca="false">IF(データ入力!$A$31="",0,データ入力!$F$31^2*データ入力!$D$31)</f>
        <v>0</v>
      </c>
      <c r="J31" s="27" t="n">
        <f aca="false">IF(データ入力!$A$31="",0,-データ入力!$F$31^3*データ入力!$E$31)</f>
        <v>0</v>
      </c>
      <c r="K31" s="27" t="n">
        <f aca="false">IF(データ入力!$A$31="",0,データ入力!$F$31^4*データ入力!$D$31)</f>
        <v>0</v>
      </c>
    </row>
    <row r="32" customFormat="false" ht="15" hidden="false" customHeight="false" outlineLevel="0" collapsed="false">
      <c r="A32" s="25" t="s">
        <v>78</v>
      </c>
      <c r="B32" s="26" t="n">
        <f aca="false">データ入力!$A$32</f>
        <v>0</v>
      </c>
      <c r="C32" s="27" t="n">
        <f aca="false">IF(データ入力!$A$32="",0,1)</f>
        <v>0</v>
      </c>
      <c r="D32" s="27" t="n">
        <v>0</v>
      </c>
      <c r="E32" s="27" t="n">
        <f aca="false">IF(データ入力!$A$32="",0,-(データ入力!$F$32^2))</f>
        <v>0</v>
      </c>
      <c r="F32" s="27" t="n">
        <v>0</v>
      </c>
      <c r="G32" s="27" t="n">
        <f aca="false">IF(データ入力!$A$32="",0,-データ入力!$D$32)</f>
        <v>0</v>
      </c>
      <c r="H32" s="27" t="n">
        <f aca="false">IF(データ入力!$A$32="",0,データ入力!$F$32*データ入力!$E$32)</f>
        <v>0</v>
      </c>
      <c r="I32" s="27" t="n">
        <f aca="false">IF(データ入力!$A$32="",0,データ入力!$F$32^2*データ入力!$D$32)</f>
        <v>0</v>
      </c>
      <c r="J32" s="27" t="n">
        <f aca="false">IF(データ入力!$A$32="",0,-データ入力!$F$32^3*データ入力!$E$32)</f>
        <v>0</v>
      </c>
      <c r="K32" s="27" t="n">
        <f aca="false">IF(データ入力!$A$32="",0,データ入力!$F$32^4*データ入力!$D$32)</f>
        <v>0</v>
      </c>
    </row>
    <row r="33" customFormat="false" ht="15" hidden="false" customHeight="false" outlineLevel="0" collapsed="false">
      <c r="A33" s="25" t="s">
        <v>78</v>
      </c>
      <c r="B33" s="26" t="n">
        <f aca="false">データ入力!$A$33</f>
        <v>0</v>
      </c>
      <c r="C33" s="27" t="n">
        <f aca="false">IF(データ入力!$A$33="",0,1)</f>
        <v>0</v>
      </c>
      <c r="D33" s="27" t="n">
        <v>0</v>
      </c>
      <c r="E33" s="27" t="n">
        <f aca="false">IF(データ入力!$A$33="",0,-(データ入力!$F$33^2))</f>
        <v>0</v>
      </c>
      <c r="F33" s="27" t="n">
        <v>0</v>
      </c>
      <c r="G33" s="27" t="n">
        <f aca="false">IF(データ入力!$A$33="",0,-データ入力!$D$33)</f>
        <v>0</v>
      </c>
      <c r="H33" s="27" t="n">
        <f aca="false">IF(データ入力!$A$33="",0,データ入力!$F$33*データ入力!$E$33)</f>
        <v>0</v>
      </c>
      <c r="I33" s="27" t="n">
        <f aca="false">IF(データ入力!$A$33="",0,データ入力!$F$33^2*データ入力!$D$33)</f>
        <v>0</v>
      </c>
      <c r="J33" s="27" t="n">
        <f aca="false">IF(データ入力!$A$33="",0,-データ入力!$F$33^3*データ入力!$E$33)</f>
        <v>0</v>
      </c>
      <c r="K33" s="27" t="n">
        <f aca="false">IF(データ入力!$A$33="",0,データ入力!$F$33^4*データ入力!$D$33)</f>
        <v>0</v>
      </c>
    </row>
    <row r="34" customFormat="false" ht="15" hidden="false" customHeight="false" outlineLevel="0" collapsed="false">
      <c r="A34" s="25" t="s">
        <v>78</v>
      </c>
      <c r="B34" s="26" t="n">
        <f aca="false">データ入力!$A$34</f>
        <v>0</v>
      </c>
      <c r="C34" s="27" t="n">
        <f aca="false">IF(データ入力!$A$34="",0,1)</f>
        <v>0</v>
      </c>
      <c r="D34" s="27" t="n">
        <v>0</v>
      </c>
      <c r="E34" s="27" t="n">
        <f aca="false">IF(データ入力!$A$34="",0,-(データ入力!$F$34^2))</f>
        <v>0</v>
      </c>
      <c r="F34" s="27" t="n">
        <v>0</v>
      </c>
      <c r="G34" s="27" t="n">
        <f aca="false">IF(データ入力!$A$34="",0,-データ入力!$D$34)</f>
        <v>0</v>
      </c>
      <c r="H34" s="27" t="n">
        <f aca="false">IF(データ入力!$A$34="",0,データ入力!$F$34*データ入力!$E$34)</f>
        <v>0</v>
      </c>
      <c r="I34" s="27" t="n">
        <f aca="false">IF(データ入力!$A$34="",0,データ入力!$F$34^2*データ入力!$D$34)</f>
        <v>0</v>
      </c>
      <c r="J34" s="27" t="n">
        <f aca="false">IF(データ入力!$A$34="",0,-データ入力!$F$34^3*データ入力!$E$34)</f>
        <v>0</v>
      </c>
      <c r="K34" s="27" t="n">
        <f aca="false">IF(データ入力!$A$34="",0,データ入力!$F$34^4*データ入力!$D$34)</f>
        <v>0</v>
      </c>
    </row>
    <row r="35" customFormat="false" ht="15" hidden="false" customHeight="false" outlineLevel="0" collapsed="false">
      <c r="A35" s="25" t="s">
        <v>78</v>
      </c>
      <c r="B35" s="26" t="n">
        <f aca="false">データ入力!$A$35</f>
        <v>0</v>
      </c>
      <c r="C35" s="27" t="n">
        <f aca="false">IF(データ入力!$A$35="",0,1)</f>
        <v>0</v>
      </c>
      <c r="D35" s="27" t="n">
        <v>0</v>
      </c>
      <c r="E35" s="27" t="n">
        <f aca="false">IF(データ入力!$A$35="",0,-(データ入力!$F$35^2))</f>
        <v>0</v>
      </c>
      <c r="F35" s="27" t="n">
        <v>0</v>
      </c>
      <c r="G35" s="27" t="n">
        <f aca="false">IF(データ入力!$A$35="",0,-データ入力!$D$35)</f>
        <v>0</v>
      </c>
      <c r="H35" s="27" t="n">
        <f aca="false">IF(データ入力!$A$35="",0,データ入力!$F$35*データ入力!$E$35)</f>
        <v>0</v>
      </c>
      <c r="I35" s="27" t="n">
        <f aca="false">IF(データ入力!$A$35="",0,データ入力!$F$35^2*データ入力!$D$35)</f>
        <v>0</v>
      </c>
      <c r="J35" s="27" t="n">
        <f aca="false">IF(データ入力!$A$35="",0,-データ入力!$F$35^3*データ入力!$E$35)</f>
        <v>0</v>
      </c>
      <c r="K35" s="27" t="n">
        <f aca="false">IF(データ入力!$A$35="",0,データ入力!$F$35^4*データ入力!$D$35)</f>
        <v>0</v>
      </c>
    </row>
    <row r="36" customFormat="false" ht="15" hidden="false" customHeight="false" outlineLevel="0" collapsed="false">
      <c r="A36" s="25" t="s">
        <v>78</v>
      </c>
      <c r="B36" s="26" t="n">
        <f aca="false">データ入力!$A$36</f>
        <v>0</v>
      </c>
      <c r="C36" s="27" t="n">
        <f aca="false">IF(データ入力!$A$36="",0,1)</f>
        <v>0</v>
      </c>
      <c r="D36" s="27" t="n">
        <v>0</v>
      </c>
      <c r="E36" s="27" t="n">
        <f aca="false">IF(データ入力!$A$36="",0,-(データ入力!$F$36^2))</f>
        <v>0</v>
      </c>
      <c r="F36" s="27" t="n">
        <v>0</v>
      </c>
      <c r="G36" s="27" t="n">
        <f aca="false">IF(データ入力!$A$36="",0,-データ入力!$D$36)</f>
        <v>0</v>
      </c>
      <c r="H36" s="27" t="n">
        <f aca="false">IF(データ入力!$A$36="",0,データ入力!$F$36*データ入力!$E$36)</f>
        <v>0</v>
      </c>
      <c r="I36" s="27" t="n">
        <f aca="false">IF(データ入力!$A$36="",0,データ入力!$F$36^2*データ入力!$D$36)</f>
        <v>0</v>
      </c>
      <c r="J36" s="27" t="n">
        <f aca="false">IF(データ入力!$A$36="",0,-データ入力!$F$36^3*データ入力!$E$36)</f>
        <v>0</v>
      </c>
      <c r="K36" s="27" t="n">
        <f aca="false">IF(データ入力!$A$36="",0,データ入力!$F$36^4*データ入力!$D$36)</f>
        <v>0</v>
      </c>
    </row>
    <row r="37" customFormat="false" ht="15" hidden="false" customHeight="false" outlineLevel="0" collapsed="false">
      <c r="A37" s="25" t="s">
        <v>78</v>
      </c>
      <c r="B37" s="26" t="n">
        <f aca="false">データ入力!$A$37</f>
        <v>0</v>
      </c>
      <c r="C37" s="27" t="n">
        <f aca="false">IF(データ入力!$A$37="",0,1)</f>
        <v>0</v>
      </c>
      <c r="D37" s="27" t="n">
        <v>0</v>
      </c>
      <c r="E37" s="27" t="n">
        <f aca="false">IF(データ入力!$A$37="",0,-(データ入力!$F$37^2))</f>
        <v>0</v>
      </c>
      <c r="F37" s="27" t="n">
        <v>0</v>
      </c>
      <c r="G37" s="27" t="n">
        <f aca="false">IF(データ入力!$A$37="",0,-データ入力!$D$37)</f>
        <v>0</v>
      </c>
      <c r="H37" s="27" t="n">
        <f aca="false">IF(データ入力!$A$37="",0,データ入力!$F$37*データ入力!$E$37)</f>
        <v>0</v>
      </c>
      <c r="I37" s="27" t="n">
        <f aca="false">IF(データ入力!$A$37="",0,データ入力!$F$37^2*データ入力!$D$37)</f>
        <v>0</v>
      </c>
      <c r="J37" s="27" t="n">
        <f aca="false">IF(データ入力!$A$37="",0,-データ入力!$F$37^3*データ入力!$E$37)</f>
        <v>0</v>
      </c>
      <c r="K37" s="27" t="n">
        <f aca="false">IF(データ入力!$A$37="",0,データ入力!$F$37^4*データ入力!$D$37)</f>
        <v>0</v>
      </c>
    </row>
    <row r="38" customFormat="false" ht="15" hidden="false" customHeight="false" outlineLevel="0" collapsed="false">
      <c r="A38" s="25" t="s">
        <v>78</v>
      </c>
      <c r="B38" s="26" t="n">
        <f aca="false">データ入力!$A$38</f>
        <v>0</v>
      </c>
      <c r="C38" s="27" t="n">
        <f aca="false">IF(データ入力!$A$38="",0,1)</f>
        <v>0</v>
      </c>
      <c r="D38" s="27" t="n">
        <v>0</v>
      </c>
      <c r="E38" s="27" t="n">
        <f aca="false">IF(データ入力!$A$38="",0,-(データ入力!$F$38^2))</f>
        <v>0</v>
      </c>
      <c r="F38" s="27" t="n">
        <v>0</v>
      </c>
      <c r="G38" s="27" t="n">
        <f aca="false">IF(データ入力!$A$38="",0,-データ入力!$D$38)</f>
        <v>0</v>
      </c>
      <c r="H38" s="27" t="n">
        <f aca="false">IF(データ入力!$A$38="",0,データ入力!$F$38*データ入力!$E$38)</f>
        <v>0</v>
      </c>
      <c r="I38" s="27" t="n">
        <f aca="false">IF(データ入力!$A$38="",0,データ入力!$F$38^2*データ入力!$D$38)</f>
        <v>0</v>
      </c>
      <c r="J38" s="27" t="n">
        <f aca="false">IF(データ入力!$A$38="",0,-データ入力!$F$38^3*データ入力!$E$38)</f>
        <v>0</v>
      </c>
      <c r="K38" s="27" t="n">
        <f aca="false">IF(データ入力!$A$38="",0,データ入力!$F$38^4*データ入力!$D$38)</f>
        <v>0</v>
      </c>
    </row>
    <row r="39" customFormat="false" ht="15" hidden="false" customHeight="false" outlineLevel="0" collapsed="false">
      <c r="A39" s="25" t="s">
        <v>78</v>
      </c>
      <c r="B39" s="26" t="n">
        <f aca="false">データ入力!$A$39</f>
        <v>0</v>
      </c>
      <c r="C39" s="27" t="n">
        <f aca="false">IF(データ入力!$A$39="",0,1)</f>
        <v>0</v>
      </c>
      <c r="D39" s="27" t="n">
        <v>0</v>
      </c>
      <c r="E39" s="27" t="n">
        <f aca="false">IF(データ入力!$A$39="",0,-(データ入力!$F$39^2))</f>
        <v>0</v>
      </c>
      <c r="F39" s="27" t="n">
        <v>0</v>
      </c>
      <c r="G39" s="27" t="n">
        <f aca="false">IF(データ入力!$A$39="",0,-データ入力!$D$39)</f>
        <v>0</v>
      </c>
      <c r="H39" s="27" t="n">
        <f aca="false">IF(データ入力!$A$39="",0,データ入力!$F$39*データ入力!$E$39)</f>
        <v>0</v>
      </c>
      <c r="I39" s="27" t="n">
        <f aca="false">IF(データ入力!$A$39="",0,データ入力!$F$39^2*データ入力!$D$39)</f>
        <v>0</v>
      </c>
      <c r="J39" s="27" t="n">
        <f aca="false">IF(データ入力!$A$39="",0,-データ入力!$F$39^3*データ入力!$E$39)</f>
        <v>0</v>
      </c>
      <c r="K39" s="27" t="n">
        <f aca="false">IF(データ入力!$A$39="",0,データ入力!$F$39^4*データ入力!$D$39)</f>
        <v>0</v>
      </c>
    </row>
    <row r="40" customFormat="false" ht="15" hidden="false" customHeight="false" outlineLevel="0" collapsed="false">
      <c r="A40" s="25" t="s">
        <v>78</v>
      </c>
      <c r="B40" s="26" t="n">
        <f aca="false">データ入力!$A$40</f>
        <v>0</v>
      </c>
      <c r="C40" s="27" t="n">
        <f aca="false">IF(データ入力!$A$40="",0,1)</f>
        <v>0</v>
      </c>
      <c r="D40" s="27" t="n">
        <v>0</v>
      </c>
      <c r="E40" s="27" t="n">
        <f aca="false">IF(データ入力!$A$40="",0,-(データ入力!$F$40^2))</f>
        <v>0</v>
      </c>
      <c r="F40" s="27" t="n">
        <v>0</v>
      </c>
      <c r="G40" s="27" t="n">
        <f aca="false">IF(データ入力!$A$40="",0,-データ入力!$D$40)</f>
        <v>0</v>
      </c>
      <c r="H40" s="27" t="n">
        <f aca="false">IF(データ入力!$A$40="",0,データ入力!$F$40*データ入力!$E$40)</f>
        <v>0</v>
      </c>
      <c r="I40" s="27" t="n">
        <f aca="false">IF(データ入力!$A$40="",0,データ入力!$F$40^2*データ入力!$D$40)</f>
        <v>0</v>
      </c>
      <c r="J40" s="27" t="n">
        <f aca="false">IF(データ入力!$A$40="",0,-データ入力!$F$40^3*データ入力!$E$40)</f>
        <v>0</v>
      </c>
      <c r="K40" s="27" t="n">
        <f aca="false">IF(データ入力!$A$40="",0,データ入力!$F$40^4*データ入力!$D$40)</f>
        <v>0</v>
      </c>
    </row>
    <row r="41" customFormat="false" ht="15" hidden="false" customHeight="false" outlineLevel="0" collapsed="false">
      <c r="A41" s="25" t="s">
        <v>78</v>
      </c>
      <c r="B41" s="26" t="n">
        <f aca="false">データ入力!$A$41</f>
        <v>0</v>
      </c>
      <c r="C41" s="27" t="n">
        <f aca="false">IF(データ入力!$A$41="",0,1)</f>
        <v>0</v>
      </c>
      <c r="D41" s="27" t="n">
        <v>0</v>
      </c>
      <c r="E41" s="27" t="n">
        <f aca="false">IF(データ入力!$A$41="",0,-(データ入力!$F$41^2))</f>
        <v>0</v>
      </c>
      <c r="F41" s="27" t="n">
        <v>0</v>
      </c>
      <c r="G41" s="27" t="n">
        <f aca="false">IF(データ入力!$A$41="",0,-データ入力!$D$41)</f>
        <v>0</v>
      </c>
      <c r="H41" s="27" t="n">
        <f aca="false">IF(データ入力!$A$41="",0,データ入力!$F$41*データ入力!$E$41)</f>
        <v>0</v>
      </c>
      <c r="I41" s="27" t="n">
        <f aca="false">IF(データ入力!$A$41="",0,データ入力!$F$41^2*データ入力!$D$41)</f>
        <v>0</v>
      </c>
      <c r="J41" s="27" t="n">
        <f aca="false">IF(データ入力!$A$41="",0,-データ入力!$F$41^3*データ入力!$E$41)</f>
        <v>0</v>
      </c>
      <c r="K41" s="27" t="n">
        <f aca="false">IF(データ入力!$A$41="",0,データ入力!$F$41^4*データ入力!$D$41)</f>
        <v>0</v>
      </c>
    </row>
    <row r="42" customFormat="false" ht="15" hidden="false" customHeight="false" outlineLevel="0" collapsed="false">
      <c r="A42" s="25" t="s">
        <v>78</v>
      </c>
      <c r="B42" s="26" t="n">
        <f aca="false">データ入力!$A$42</f>
        <v>0</v>
      </c>
      <c r="C42" s="27" t="n">
        <f aca="false">IF(データ入力!$A$42="",0,1)</f>
        <v>0</v>
      </c>
      <c r="D42" s="27" t="n">
        <v>0</v>
      </c>
      <c r="E42" s="27" t="n">
        <f aca="false">IF(データ入力!$A$42="",0,-(データ入力!$F$42^2))</f>
        <v>0</v>
      </c>
      <c r="F42" s="27" t="n">
        <v>0</v>
      </c>
      <c r="G42" s="27" t="n">
        <f aca="false">IF(データ入力!$A$42="",0,-データ入力!$D$42)</f>
        <v>0</v>
      </c>
      <c r="H42" s="27" t="n">
        <f aca="false">IF(データ入力!$A$42="",0,データ入力!$F$42*データ入力!$E$42)</f>
        <v>0</v>
      </c>
      <c r="I42" s="27" t="n">
        <f aca="false">IF(データ入力!$A$42="",0,データ入力!$F$42^2*データ入力!$D$42)</f>
        <v>0</v>
      </c>
      <c r="J42" s="27" t="n">
        <f aca="false">IF(データ入力!$A$42="",0,-データ入力!$F$42^3*データ入力!$E$42)</f>
        <v>0</v>
      </c>
      <c r="K42" s="27" t="n">
        <f aca="false">IF(データ入力!$A$42="",0,データ入力!$F$42^4*データ入力!$D$42)</f>
        <v>0</v>
      </c>
    </row>
    <row r="43" customFormat="false" ht="15" hidden="false" customHeight="false" outlineLevel="0" collapsed="false">
      <c r="A43" s="25" t="s">
        <v>78</v>
      </c>
      <c r="B43" s="26" t="n">
        <f aca="false">データ入力!$A$43</f>
        <v>0</v>
      </c>
      <c r="C43" s="27" t="n">
        <f aca="false">IF(データ入力!$A$43="",0,1)</f>
        <v>0</v>
      </c>
      <c r="D43" s="27" t="n">
        <v>0</v>
      </c>
      <c r="E43" s="27" t="n">
        <f aca="false">IF(データ入力!$A$43="",0,-(データ入力!$F$43^2))</f>
        <v>0</v>
      </c>
      <c r="F43" s="27" t="n">
        <v>0</v>
      </c>
      <c r="G43" s="27" t="n">
        <f aca="false">IF(データ入力!$A$43="",0,-データ入力!$D$43)</f>
        <v>0</v>
      </c>
      <c r="H43" s="27" t="n">
        <f aca="false">IF(データ入力!$A$43="",0,データ入力!$F$43*データ入力!$E$43)</f>
        <v>0</v>
      </c>
      <c r="I43" s="27" t="n">
        <f aca="false">IF(データ入力!$A$43="",0,データ入力!$F$43^2*データ入力!$D$43)</f>
        <v>0</v>
      </c>
      <c r="J43" s="27" t="n">
        <f aca="false">IF(データ入力!$A$43="",0,-データ入力!$F$43^3*データ入力!$E$43)</f>
        <v>0</v>
      </c>
      <c r="K43" s="27" t="n">
        <f aca="false">IF(データ入力!$A$43="",0,データ入力!$F$43^4*データ入力!$D$43)</f>
        <v>0</v>
      </c>
    </row>
    <row r="44" customFormat="false" ht="15" hidden="false" customHeight="false" outlineLevel="0" collapsed="false">
      <c r="A44" s="25" t="s">
        <v>78</v>
      </c>
      <c r="B44" s="26" t="n">
        <f aca="false">データ入力!$A$44</f>
        <v>0</v>
      </c>
      <c r="C44" s="27" t="n">
        <f aca="false">IF(データ入力!$A$44="",0,1)</f>
        <v>0</v>
      </c>
      <c r="D44" s="27" t="n">
        <v>0</v>
      </c>
      <c r="E44" s="27" t="n">
        <f aca="false">IF(データ入力!$A$44="",0,-(データ入力!$F$44^2))</f>
        <v>0</v>
      </c>
      <c r="F44" s="27" t="n">
        <v>0</v>
      </c>
      <c r="G44" s="27" t="n">
        <f aca="false">IF(データ入力!$A$44="",0,-データ入力!$D$44)</f>
        <v>0</v>
      </c>
      <c r="H44" s="27" t="n">
        <f aca="false">IF(データ入力!$A$44="",0,データ入力!$F$44*データ入力!$E$44)</f>
        <v>0</v>
      </c>
      <c r="I44" s="27" t="n">
        <f aca="false">IF(データ入力!$A$44="",0,データ入力!$F$44^2*データ入力!$D$44)</f>
        <v>0</v>
      </c>
      <c r="J44" s="27" t="n">
        <f aca="false">IF(データ入力!$A$44="",0,-データ入力!$F$44^3*データ入力!$E$44)</f>
        <v>0</v>
      </c>
      <c r="K44" s="27" t="n">
        <f aca="false">IF(データ入力!$A$44="",0,データ入力!$F$44^4*データ入力!$D$44)</f>
        <v>0</v>
      </c>
    </row>
    <row r="45" customFormat="false" ht="15" hidden="false" customHeight="false" outlineLevel="0" collapsed="false">
      <c r="A45" s="25" t="s">
        <v>78</v>
      </c>
      <c r="B45" s="26" t="n">
        <f aca="false">データ入力!$A$45</f>
        <v>0</v>
      </c>
      <c r="C45" s="27" t="n">
        <f aca="false">IF(データ入力!$A$45="",0,1)</f>
        <v>0</v>
      </c>
      <c r="D45" s="27" t="n">
        <v>0</v>
      </c>
      <c r="E45" s="27" t="n">
        <f aca="false">IF(データ入力!$A$45="",0,-(データ入力!$F$45^2))</f>
        <v>0</v>
      </c>
      <c r="F45" s="27" t="n">
        <v>0</v>
      </c>
      <c r="G45" s="27" t="n">
        <f aca="false">IF(データ入力!$A$45="",0,-データ入力!$D$45)</f>
        <v>0</v>
      </c>
      <c r="H45" s="27" t="n">
        <f aca="false">IF(データ入力!$A$45="",0,データ入力!$F$45*データ入力!$E$45)</f>
        <v>0</v>
      </c>
      <c r="I45" s="27" t="n">
        <f aca="false">IF(データ入力!$A$45="",0,データ入力!$F$45^2*データ入力!$D$45)</f>
        <v>0</v>
      </c>
      <c r="J45" s="27" t="n">
        <f aca="false">IF(データ入力!$A$45="",0,-データ入力!$F$45^3*データ入力!$E$45)</f>
        <v>0</v>
      </c>
      <c r="K45" s="27" t="n">
        <f aca="false">IF(データ入力!$A$45="",0,データ入力!$F$45^4*データ入力!$D$45)</f>
        <v>0</v>
      </c>
    </row>
    <row r="46" customFormat="false" ht="15" hidden="false" customHeight="false" outlineLevel="0" collapsed="false">
      <c r="A46" s="25" t="s">
        <v>78</v>
      </c>
      <c r="B46" s="26" t="n">
        <f aca="false">データ入力!$A$46</f>
        <v>0</v>
      </c>
      <c r="C46" s="27" t="n">
        <f aca="false">IF(データ入力!$A$46="",0,1)</f>
        <v>0</v>
      </c>
      <c r="D46" s="27" t="n">
        <v>0</v>
      </c>
      <c r="E46" s="27" t="n">
        <f aca="false">IF(データ入力!$A$46="",0,-(データ入力!$F$46^2))</f>
        <v>0</v>
      </c>
      <c r="F46" s="27" t="n">
        <v>0</v>
      </c>
      <c r="G46" s="27" t="n">
        <f aca="false">IF(データ入力!$A$46="",0,-データ入力!$D$46)</f>
        <v>0</v>
      </c>
      <c r="H46" s="27" t="n">
        <f aca="false">IF(データ入力!$A$46="",0,データ入力!$F$46*データ入力!$E$46)</f>
        <v>0</v>
      </c>
      <c r="I46" s="27" t="n">
        <f aca="false">IF(データ入力!$A$46="",0,データ入力!$F$46^2*データ入力!$D$46)</f>
        <v>0</v>
      </c>
      <c r="J46" s="27" t="n">
        <f aca="false">IF(データ入力!$A$46="",0,-データ入力!$F$46^3*データ入力!$E$46)</f>
        <v>0</v>
      </c>
      <c r="K46" s="27" t="n">
        <f aca="false">IF(データ入力!$A$46="",0,データ入力!$F$46^4*データ入力!$D$46)</f>
        <v>0</v>
      </c>
    </row>
    <row r="47" customFormat="false" ht="15" hidden="false" customHeight="false" outlineLevel="0" collapsed="false">
      <c r="A47" s="25" t="s">
        <v>78</v>
      </c>
      <c r="B47" s="26" t="n">
        <f aca="false">データ入力!$A$47</f>
        <v>0</v>
      </c>
      <c r="C47" s="27" t="n">
        <f aca="false">IF(データ入力!$A$47="",0,1)</f>
        <v>0</v>
      </c>
      <c r="D47" s="27" t="n">
        <v>0</v>
      </c>
      <c r="E47" s="27" t="n">
        <f aca="false">IF(データ入力!$A$47="",0,-(データ入力!$F$47^2))</f>
        <v>0</v>
      </c>
      <c r="F47" s="27" t="n">
        <v>0</v>
      </c>
      <c r="G47" s="27" t="n">
        <f aca="false">IF(データ入力!$A$47="",0,-データ入力!$D$47)</f>
        <v>0</v>
      </c>
      <c r="H47" s="27" t="n">
        <f aca="false">IF(データ入力!$A$47="",0,データ入力!$F$47*データ入力!$E$47)</f>
        <v>0</v>
      </c>
      <c r="I47" s="27" t="n">
        <f aca="false">IF(データ入力!$A$47="",0,データ入力!$F$47^2*データ入力!$D$47)</f>
        <v>0</v>
      </c>
      <c r="J47" s="27" t="n">
        <f aca="false">IF(データ入力!$A$47="",0,-データ入力!$F$47^3*データ入力!$E$47)</f>
        <v>0</v>
      </c>
      <c r="K47" s="27" t="n">
        <f aca="false">IF(データ入力!$A$47="",0,データ入力!$F$47^4*データ入力!$D$47)</f>
        <v>0</v>
      </c>
    </row>
    <row r="48" customFormat="false" ht="15" hidden="false" customHeight="false" outlineLevel="0" collapsed="false">
      <c r="A48" s="25" t="s">
        <v>78</v>
      </c>
      <c r="B48" s="26" t="n">
        <f aca="false">データ入力!$A$48</f>
        <v>0</v>
      </c>
      <c r="C48" s="27" t="n">
        <f aca="false">IF(データ入力!$A$48="",0,1)</f>
        <v>0</v>
      </c>
      <c r="D48" s="27" t="n">
        <v>0</v>
      </c>
      <c r="E48" s="27" t="n">
        <f aca="false">IF(データ入力!$A$48="",0,-(データ入力!$F$48^2))</f>
        <v>0</v>
      </c>
      <c r="F48" s="27" t="n">
        <v>0</v>
      </c>
      <c r="G48" s="27" t="n">
        <f aca="false">IF(データ入力!$A$48="",0,-データ入力!$D$48)</f>
        <v>0</v>
      </c>
      <c r="H48" s="27" t="n">
        <f aca="false">IF(データ入力!$A$48="",0,データ入力!$F$48*データ入力!$E$48)</f>
        <v>0</v>
      </c>
      <c r="I48" s="27" t="n">
        <f aca="false">IF(データ入力!$A$48="",0,データ入力!$F$48^2*データ入力!$D$48)</f>
        <v>0</v>
      </c>
      <c r="J48" s="27" t="n">
        <f aca="false">IF(データ入力!$A$48="",0,-データ入力!$F$48^3*データ入力!$E$48)</f>
        <v>0</v>
      </c>
      <c r="K48" s="27" t="n">
        <f aca="false">IF(データ入力!$A$48="",0,データ入力!$F$48^4*データ入力!$D$48)</f>
        <v>0</v>
      </c>
    </row>
    <row r="49" customFormat="false" ht="15" hidden="false" customHeight="false" outlineLevel="0" collapsed="false">
      <c r="A49" s="25" t="s">
        <v>78</v>
      </c>
      <c r="B49" s="26" t="n">
        <f aca="false">データ入力!$A$49</f>
        <v>0</v>
      </c>
      <c r="C49" s="27" t="n">
        <f aca="false">IF(データ入力!$A$49="",0,1)</f>
        <v>0</v>
      </c>
      <c r="D49" s="27" t="n">
        <v>0</v>
      </c>
      <c r="E49" s="27" t="n">
        <f aca="false">IF(データ入力!$A$49="",0,-(データ入力!$F$49^2))</f>
        <v>0</v>
      </c>
      <c r="F49" s="27" t="n">
        <v>0</v>
      </c>
      <c r="G49" s="27" t="n">
        <f aca="false">IF(データ入力!$A$49="",0,-データ入力!$D$49)</f>
        <v>0</v>
      </c>
      <c r="H49" s="27" t="n">
        <f aca="false">IF(データ入力!$A$49="",0,データ入力!$F$49*データ入力!$E$49)</f>
        <v>0</v>
      </c>
      <c r="I49" s="27" t="n">
        <f aca="false">IF(データ入力!$A$49="",0,データ入力!$F$49^2*データ入力!$D$49)</f>
        <v>0</v>
      </c>
      <c r="J49" s="27" t="n">
        <f aca="false">IF(データ入力!$A$49="",0,-データ入力!$F$49^3*データ入力!$E$49)</f>
        <v>0</v>
      </c>
      <c r="K49" s="27" t="n">
        <f aca="false">IF(データ入力!$A$49="",0,データ入力!$F$49^4*データ入力!$D$49)</f>
        <v>0</v>
      </c>
    </row>
    <row r="50" customFormat="false" ht="15" hidden="false" customHeight="false" outlineLevel="0" collapsed="false">
      <c r="A50" s="25" t="s">
        <v>78</v>
      </c>
      <c r="B50" s="26" t="n">
        <f aca="false">データ入力!$A$50</f>
        <v>0</v>
      </c>
      <c r="C50" s="27" t="n">
        <f aca="false">IF(データ入力!$A$50="",0,1)</f>
        <v>0</v>
      </c>
      <c r="D50" s="27" t="n">
        <v>0</v>
      </c>
      <c r="E50" s="27" t="n">
        <f aca="false">IF(データ入力!$A$50="",0,-(データ入力!$F$50^2))</f>
        <v>0</v>
      </c>
      <c r="F50" s="27" t="n">
        <v>0</v>
      </c>
      <c r="G50" s="27" t="n">
        <f aca="false">IF(データ入力!$A$50="",0,-データ入力!$D$50)</f>
        <v>0</v>
      </c>
      <c r="H50" s="27" t="n">
        <f aca="false">IF(データ入力!$A$50="",0,データ入力!$F$50*データ入力!$E$50)</f>
        <v>0</v>
      </c>
      <c r="I50" s="27" t="n">
        <f aca="false">IF(データ入力!$A$50="",0,データ入力!$F$50^2*データ入力!$D$50)</f>
        <v>0</v>
      </c>
      <c r="J50" s="27" t="n">
        <f aca="false">IF(データ入力!$A$50="",0,-データ入力!$F$50^3*データ入力!$E$50)</f>
        <v>0</v>
      </c>
      <c r="K50" s="27" t="n">
        <f aca="false">IF(データ入力!$A$50="",0,データ入力!$F$50^4*データ入力!$D$50)</f>
        <v>0</v>
      </c>
    </row>
    <row r="51" customFormat="false" ht="15" hidden="false" customHeight="false" outlineLevel="0" collapsed="false">
      <c r="A51" s="25" t="s">
        <v>78</v>
      </c>
      <c r="B51" s="26" t="n">
        <f aca="false">データ入力!$A$51</f>
        <v>0</v>
      </c>
      <c r="C51" s="27" t="n">
        <f aca="false">IF(データ入力!$A$51="",0,1)</f>
        <v>0</v>
      </c>
      <c r="D51" s="27" t="n">
        <v>0</v>
      </c>
      <c r="E51" s="27" t="n">
        <f aca="false">IF(データ入力!$A$51="",0,-(データ入力!$F$51^2))</f>
        <v>0</v>
      </c>
      <c r="F51" s="27" t="n">
        <v>0</v>
      </c>
      <c r="G51" s="27" t="n">
        <f aca="false">IF(データ入力!$A$51="",0,-データ入力!$D$51)</f>
        <v>0</v>
      </c>
      <c r="H51" s="27" t="n">
        <f aca="false">IF(データ入力!$A$51="",0,データ入力!$F$51*データ入力!$E$51)</f>
        <v>0</v>
      </c>
      <c r="I51" s="27" t="n">
        <f aca="false">IF(データ入力!$A$51="",0,データ入力!$F$51^2*データ入力!$D$51)</f>
        <v>0</v>
      </c>
      <c r="J51" s="27" t="n">
        <f aca="false">IF(データ入力!$A$51="",0,-データ入力!$F$51^3*データ入力!$E$51)</f>
        <v>0</v>
      </c>
      <c r="K51" s="27" t="n">
        <f aca="false">IF(データ入力!$A$51="",0,データ入力!$F$51^4*データ入力!$D$51)</f>
        <v>0</v>
      </c>
    </row>
    <row r="52" customFormat="false" ht="15" hidden="false" customHeight="false" outlineLevel="0" collapsed="false">
      <c r="A52" s="25" t="s">
        <v>78</v>
      </c>
      <c r="B52" s="26" t="n">
        <f aca="false">データ入力!$A$52</f>
        <v>0</v>
      </c>
      <c r="C52" s="27" t="n">
        <f aca="false">IF(データ入力!$A$52="",0,1)</f>
        <v>0</v>
      </c>
      <c r="D52" s="27" t="n">
        <v>0</v>
      </c>
      <c r="E52" s="27" t="n">
        <f aca="false">IF(データ入力!$A$52="",0,-(データ入力!$F$52^2))</f>
        <v>0</v>
      </c>
      <c r="F52" s="27" t="n">
        <v>0</v>
      </c>
      <c r="G52" s="27" t="n">
        <f aca="false">IF(データ入力!$A$52="",0,-データ入力!$D$52)</f>
        <v>0</v>
      </c>
      <c r="H52" s="27" t="n">
        <f aca="false">IF(データ入力!$A$52="",0,データ入力!$F$52*データ入力!$E$52)</f>
        <v>0</v>
      </c>
      <c r="I52" s="27" t="n">
        <f aca="false">IF(データ入力!$A$52="",0,データ入力!$F$52^2*データ入力!$D$52)</f>
        <v>0</v>
      </c>
      <c r="J52" s="27" t="n">
        <f aca="false">IF(データ入力!$A$52="",0,-データ入力!$F$52^3*データ入力!$E$52)</f>
        <v>0</v>
      </c>
      <c r="K52" s="27" t="n">
        <f aca="false">IF(データ入力!$A$52="",0,データ入力!$F$52^4*データ入力!$D$52)</f>
        <v>0</v>
      </c>
    </row>
    <row r="53" customFormat="false" ht="15" hidden="false" customHeight="false" outlineLevel="0" collapsed="false">
      <c r="A53" s="25" t="s">
        <v>78</v>
      </c>
      <c r="B53" s="26" t="n">
        <f aca="false">データ入力!$A$53</f>
        <v>0</v>
      </c>
      <c r="C53" s="27" t="n">
        <f aca="false">IF(データ入力!$A$53="",0,1)</f>
        <v>0</v>
      </c>
      <c r="D53" s="27" t="n">
        <v>0</v>
      </c>
      <c r="E53" s="27" t="n">
        <f aca="false">IF(データ入力!$A$53="",0,-(データ入力!$F$53^2))</f>
        <v>0</v>
      </c>
      <c r="F53" s="27" t="n">
        <v>0</v>
      </c>
      <c r="G53" s="27" t="n">
        <f aca="false">IF(データ入力!$A$53="",0,-データ入力!$D$53)</f>
        <v>0</v>
      </c>
      <c r="H53" s="27" t="n">
        <f aca="false">IF(データ入力!$A$53="",0,データ入力!$F$53*データ入力!$E$53)</f>
        <v>0</v>
      </c>
      <c r="I53" s="27" t="n">
        <f aca="false">IF(データ入力!$A$53="",0,データ入力!$F$53^2*データ入力!$D$53)</f>
        <v>0</v>
      </c>
      <c r="J53" s="27" t="n">
        <f aca="false">IF(データ入力!$A$53="",0,-データ入力!$F$53^3*データ入力!$E$53)</f>
        <v>0</v>
      </c>
      <c r="K53" s="27" t="n">
        <f aca="false">IF(データ入力!$A$53="",0,データ入力!$F$53^4*データ入力!$D$53)</f>
        <v>0</v>
      </c>
    </row>
    <row r="54" customFormat="false" ht="15" hidden="false" customHeight="false" outlineLevel="0" collapsed="false">
      <c r="A54" s="25" t="s">
        <v>78</v>
      </c>
      <c r="B54" s="26" t="n">
        <f aca="false">データ入力!$A$54</f>
        <v>0</v>
      </c>
      <c r="C54" s="27" t="n">
        <f aca="false">IF(データ入力!$A$54="",0,1)</f>
        <v>0</v>
      </c>
      <c r="D54" s="27" t="n">
        <v>0</v>
      </c>
      <c r="E54" s="27" t="n">
        <f aca="false">IF(データ入力!$A$54="",0,-(データ入力!$F$54^2))</f>
        <v>0</v>
      </c>
      <c r="F54" s="27" t="n">
        <v>0</v>
      </c>
      <c r="G54" s="27" t="n">
        <f aca="false">IF(データ入力!$A$54="",0,-データ入力!$D$54)</f>
        <v>0</v>
      </c>
      <c r="H54" s="27" t="n">
        <f aca="false">IF(データ入力!$A$54="",0,データ入力!$F$54*データ入力!$E$54)</f>
        <v>0</v>
      </c>
      <c r="I54" s="27" t="n">
        <f aca="false">IF(データ入力!$A$54="",0,データ入力!$F$54^2*データ入力!$D$54)</f>
        <v>0</v>
      </c>
      <c r="J54" s="27" t="n">
        <f aca="false">IF(データ入力!$A$54="",0,-データ入力!$F$54^3*データ入力!$E$54)</f>
        <v>0</v>
      </c>
      <c r="K54" s="27" t="n">
        <f aca="false">IF(データ入力!$A$54="",0,データ入力!$F$54^4*データ入力!$D$54)</f>
        <v>0</v>
      </c>
    </row>
    <row r="55" customFormat="false" ht="15" hidden="false" customHeight="false" outlineLevel="0" collapsed="false">
      <c r="A55" s="25" t="s">
        <v>78</v>
      </c>
      <c r="B55" s="26" t="n">
        <f aca="false">データ入力!$A$55</f>
        <v>0</v>
      </c>
      <c r="C55" s="27" t="n">
        <f aca="false">IF(データ入力!$A$55="",0,1)</f>
        <v>0</v>
      </c>
      <c r="D55" s="27" t="n">
        <v>0</v>
      </c>
      <c r="E55" s="27" t="n">
        <f aca="false">IF(データ入力!$A$55="",0,-(データ入力!$F$55^2))</f>
        <v>0</v>
      </c>
      <c r="F55" s="27" t="n">
        <v>0</v>
      </c>
      <c r="G55" s="27" t="n">
        <f aca="false">IF(データ入力!$A$55="",0,-データ入力!$D$55)</f>
        <v>0</v>
      </c>
      <c r="H55" s="27" t="n">
        <f aca="false">IF(データ入力!$A$55="",0,データ入力!$F$55*データ入力!$E$55)</f>
        <v>0</v>
      </c>
      <c r="I55" s="27" t="n">
        <f aca="false">IF(データ入力!$A$55="",0,データ入力!$F$55^2*データ入力!$D$55)</f>
        <v>0</v>
      </c>
      <c r="J55" s="27" t="n">
        <f aca="false">IF(データ入力!$A$55="",0,-データ入力!$F$55^3*データ入力!$E$55)</f>
        <v>0</v>
      </c>
      <c r="K55" s="27" t="n">
        <f aca="false">IF(データ入力!$A$55="",0,データ入力!$F$55^4*データ入力!$D$55)</f>
        <v>0</v>
      </c>
    </row>
    <row r="56" customFormat="false" ht="15" hidden="false" customHeight="false" outlineLevel="0" collapsed="false">
      <c r="A56" s="25" t="s">
        <v>78</v>
      </c>
      <c r="B56" s="26" t="n">
        <f aca="false">データ入力!$A$56</f>
        <v>0</v>
      </c>
      <c r="C56" s="27" t="n">
        <f aca="false">IF(データ入力!$A$56="",0,1)</f>
        <v>0</v>
      </c>
      <c r="D56" s="27" t="n">
        <v>0</v>
      </c>
      <c r="E56" s="27" t="n">
        <f aca="false">IF(データ入力!$A$56="",0,-(データ入力!$F$56^2))</f>
        <v>0</v>
      </c>
      <c r="F56" s="27" t="n">
        <v>0</v>
      </c>
      <c r="G56" s="27" t="n">
        <f aca="false">IF(データ入力!$A$56="",0,-データ入力!$D$56)</f>
        <v>0</v>
      </c>
      <c r="H56" s="27" t="n">
        <f aca="false">IF(データ入力!$A$56="",0,データ入力!$F$56*データ入力!$E$56)</f>
        <v>0</v>
      </c>
      <c r="I56" s="27" t="n">
        <f aca="false">IF(データ入力!$A$56="",0,データ入力!$F$56^2*データ入力!$D$56)</f>
        <v>0</v>
      </c>
      <c r="J56" s="27" t="n">
        <f aca="false">IF(データ入力!$A$56="",0,-データ入力!$F$56^3*データ入力!$E$56)</f>
        <v>0</v>
      </c>
      <c r="K56" s="27" t="n">
        <f aca="false">IF(データ入力!$A$56="",0,データ入力!$F$56^4*データ入力!$D$56)</f>
        <v>0</v>
      </c>
    </row>
    <row r="57" customFormat="false" ht="15" hidden="false" customHeight="false" outlineLevel="0" collapsed="false">
      <c r="A57" s="25" t="s">
        <v>78</v>
      </c>
      <c r="B57" s="26" t="n">
        <f aca="false">データ入力!$A$57</f>
        <v>0</v>
      </c>
      <c r="C57" s="27" t="n">
        <f aca="false">IF(データ入力!$A$57="",0,1)</f>
        <v>0</v>
      </c>
      <c r="D57" s="27" t="n">
        <v>0</v>
      </c>
      <c r="E57" s="27" t="n">
        <f aca="false">IF(データ入力!$A$57="",0,-(データ入力!$F$57^2))</f>
        <v>0</v>
      </c>
      <c r="F57" s="27" t="n">
        <v>0</v>
      </c>
      <c r="G57" s="27" t="n">
        <f aca="false">IF(データ入力!$A$57="",0,-データ入力!$D$57)</f>
        <v>0</v>
      </c>
      <c r="H57" s="27" t="n">
        <f aca="false">IF(データ入力!$A$57="",0,データ入力!$F$57*データ入力!$E$57)</f>
        <v>0</v>
      </c>
      <c r="I57" s="27" t="n">
        <f aca="false">IF(データ入力!$A$57="",0,データ入力!$F$57^2*データ入力!$D$57)</f>
        <v>0</v>
      </c>
      <c r="J57" s="27" t="n">
        <f aca="false">IF(データ入力!$A$57="",0,-データ入力!$F$57^3*データ入力!$E$57)</f>
        <v>0</v>
      </c>
      <c r="K57" s="27" t="n">
        <f aca="false">IF(データ入力!$A$57="",0,データ入力!$F$57^4*データ入力!$D$57)</f>
        <v>0</v>
      </c>
    </row>
    <row r="58" customFormat="false" ht="15" hidden="false" customHeight="false" outlineLevel="0" collapsed="false">
      <c r="A58" s="25" t="s">
        <v>78</v>
      </c>
      <c r="B58" s="26" t="n">
        <f aca="false">データ入力!$A$58</f>
        <v>0</v>
      </c>
      <c r="C58" s="27" t="n">
        <f aca="false">IF(データ入力!$A$58="",0,1)</f>
        <v>0</v>
      </c>
      <c r="D58" s="27" t="n">
        <v>0</v>
      </c>
      <c r="E58" s="27" t="n">
        <f aca="false">IF(データ入力!$A$58="",0,-(データ入力!$F$58^2))</f>
        <v>0</v>
      </c>
      <c r="F58" s="27" t="n">
        <v>0</v>
      </c>
      <c r="G58" s="27" t="n">
        <f aca="false">IF(データ入力!$A$58="",0,-データ入力!$D$58)</f>
        <v>0</v>
      </c>
      <c r="H58" s="27" t="n">
        <f aca="false">IF(データ入力!$A$58="",0,データ入力!$F$58*データ入力!$E$58)</f>
        <v>0</v>
      </c>
      <c r="I58" s="27" t="n">
        <f aca="false">IF(データ入力!$A$58="",0,データ入力!$F$58^2*データ入力!$D$58)</f>
        <v>0</v>
      </c>
      <c r="J58" s="27" t="n">
        <f aca="false">IF(データ入力!$A$58="",0,-データ入力!$F$58^3*データ入力!$E$58)</f>
        <v>0</v>
      </c>
      <c r="K58" s="27" t="n">
        <f aca="false">IF(データ入力!$A$58="",0,データ入力!$F$58^4*データ入力!$D$58)</f>
        <v>0</v>
      </c>
    </row>
    <row r="59" customFormat="false" ht="15" hidden="false" customHeight="false" outlineLevel="0" collapsed="false">
      <c r="A59" s="25" t="s">
        <v>78</v>
      </c>
      <c r="B59" s="26" t="n">
        <f aca="false">データ入力!$A$59</f>
        <v>0</v>
      </c>
      <c r="C59" s="27" t="n">
        <f aca="false">IF(データ入力!$A$59="",0,1)</f>
        <v>0</v>
      </c>
      <c r="D59" s="27" t="n">
        <v>0</v>
      </c>
      <c r="E59" s="27" t="n">
        <f aca="false">IF(データ入力!$A$59="",0,-(データ入力!$F$59^2))</f>
        <v>0</v>
      </c>
      <c r="F59" s="27" t="n">
        <v>0</v>
      </c>
      <c r="G59" s="27" t="n">
        <f aca="false">IF(データ入力!$A$59="",0,-データ入力!$D$59)</f>
        <v>0</v>
      </c>
      <c r="H59" s="27" t="n">
        <f aca="false">IF(データ入力!$A$59="",0,データ入力!$F$59*データ入力!$E$59)</f>
        <v>0</v>
      </c>
      <c r="I59" s="27" t="n">
        <f aca="false">IF(データ入力!$A$59="",0,データ入力!$F$59^2*データ入力!$D$59)</f>
        <v>0</v>
      </c>
      <c r="J59" s="27" t="n">
        <f aca="false">IF(データ入力!$A$59="",0,-データ入力!$F$59^3*データ入力!$E$59)</f>
        <v>0</v>
      </c>
      <c r="K59" s="27" t="n">
        <f aca="false">IF(データ入力!$A$59="",0,データ入力!$F$59^4*データ入力!$D$59)</f>
        <v>0</v>
      </c>
    </row>
    <row r="60" customFormat="false" ht="15" hidden="false" customHeight="false" outlineLevel="0" collapsed="false">
      <c r="A60" s="25" t="s">
        <v>78</v>
      </c>
      <c r="B60" s="26" t="n">
        <f aca="false">データ入力!$A$60</f>
        <v>0</v>
      </c>
      <c r="C60" s="27" t="n">
        <f aca="false">IF(データ入力!$A$60="",0,1)</f>
        <v>0</v>
      </c>
      <c r="D60" s="27" t="n">
        <v>0</v>
      </c>
      <c r="E60" s="27" t="n">
        <f aca="false">IF(データ入力!$A$60="",0,-(データ入力!$F$60^2))</f>
        <v>0</v>
      </c>
      <c r="F60" s="27" t="n">
        <v>0</v>
      </c>
      <c r="G60" s="27" t="n">
        <f aca="false">IF(データ入力!$A$60="",0,-データ入力!$D$60)</f>
        <v>0</v>
      </c>
      <c r="H60" s="27" t="n">
        <f aca="false">IF(データ入力!$A$60="",0,データ入力!$F$60*データ入力!$E$60)</f>
        <v>0</v>
      </c>
      <c r="I60" s="27" t="n">
        <f aca="false">IF(データ入力!$A$60="",0,データ入力!$F$60^2*データ入力!$D$60)</f>
        <v>0</v>
      </c>
      <c r="J60" s="27" t="n">
        <f aca="false">IF(データ入力!$A$60="",0,-データ入力!$F$60^3*データ入力!$E$60)</f>
        <v>0</v>
      </c>
      <c r="K60" s="27" t="n">
        <f aca="false">IF(データ入力!$A$60="",0,データ入力!$F$60^4*データ入力!$D$60)</f>
        <v>0</v>
      </c>
    </row>
    <row r="61" customFormat="false" ht="15" hidden="false" customHeight="false" outlineLevel="0" collapsed="false">
      <c r="A61" s="25" t="s">
        <v>78</v>
      </c>
      <c r="B61" s="26" t="n">
        <f aca="false">データ入力!$A$61</f>
        <v>0</v>
      </c>
      <c r="C61" s="27" t="n">
        <f aca="false">IF(データ入力!$A$61="",0,1)</f>
        <v>0</v>
      </c>
      <c r="D61" s="27" t="n">
        <v>0</v>
      </c>
      <c r="E61" s="27" t="n">
        <f aca="false">IF(データ入力!$A$61="",0,-(データ入力!$F$61^2))</f>
        <v>0</v>
      </c>
      <c r="F61" s="27" t="n">
        <v>0</v>
      </c>
      <c r="G61" s="27" t="n">
        <f aca="false">IF(データ入力!$A$61="",0,-データ入力!$D$61)</f>
        <v>0</v>
      </c>
      <c r="H61" s="27" t="n">
        <f aca="false">IF(データ入力!$A$61="",0,データ入力!$F$61*データ入力!$E$61)</f>
        <v>0</v>
      </c>
      <c r="I61" s="27" t="n">
        <f aca="false">IF(データ入力!$A$61="",0,データ入力!$F$61^2*データ入力!$D$61)</f>
        <v>0</v>
      </c>
      <c r="J61" s="27" t="n">
        <f aca="false">IF(データ入力!$A$61="",0,-データ入力!$F$61^3*データ入力!$E$61)</f>
        <v>0</v>
      </c>
      <c r="K61" s="27" t="n">
        <f aca="false">IF(データ入力!$A$61="",0,データ入力!$F$61^4*データ入力!$D$61)</f>
        <v>0</v>
      </c>
    </row>
    <row r="62" customFormat="false" ht="15" hidden="false" customHeight="false" outlineLevel="0" collapsed="false">
      <c r="A62" s="25" t="s">
        <v>78</v>
      </c>
      <c r="B62" s="26" t="n">
        <f aca="false">データ入力!$A$62</f>
        <v>0</v>
      </c>
      <c r="C62" s="27" t="n">
        <f aca="false">IF(データ入力!$A$62="",0,1)</f>
        <v>0</v>
      </c>
      <c r="D62" s="27" t="n">
        <v>0</v>
      </c>
      <c r="E62" s="27" t="n">
        <f aca="false">IF(データ入力!$A$62="",0,-(データ入力!$F$62^2))</f>
        <v>0</v>
      </c>
      <c r="F62" s="27" t="n">
        <v>0</v>
      </c>
      <c r="G62" s="27" t="n">
        <f aca="false">IF(データ入力!$A$62="",0,-データ入力!$D$62)</f>
        <v>0</v>
      </c>
      <c r="H62" s="27" t="n">
        <f aca="false">IF(データ入力!$A$62="",0,データ入力!$F$62*データ入力!$E$62)</f>
        <v>0</v>
      </c>
      <c r="I62" s="27" t="n">
        <f aca="false">IF(データ入力!$A$62="",0,データ入力!$F$62^2*データ入力!$D$62)</f>
        <v>0</v>
      </c>
      <c r="J62" s="27" t="n">
        <f aca="false">IF(データ入力!$A$62="",0,-データ入力!$F$62^3*データ入力!$E$62)</f>
        <v>0</v>
      </c>
      <c r="K62" s="27" t="n">
        <f aca="false">IF(データ入力!$A$62="",0,データ入力!$F$62^4*データ入力!$D$62)</f>
        <v>0</v>
      </c>
    </row>
    <row r="63" customFormat="false" ht="15" hidden="false" customHeight="false" outlineLevel="0" collapsed="false">
      <c r="A63" s="25" t="s">
        <v>78</v>
      </c>
      <c r="B63" s="26" t="n">
        <f aca="false">データ入力!$A$63</f>
        <v>0</v>
      </c>
      <c r="C63" s="27" t="n">
        <f aca="false">IF(データ入力!$A$63="",0,1)</f>
        <v>0</v>
      </c>
      <c r="D63" s="27" t="n">
        <v>0</v>
      </c>
      <c r="E63" s="27" t="n">
        <f aca="false">IF(データ入力!$A$63="",0,-(データ入力!$F$63^2))</f>
        <v>0</v>
      </c>
      <c r="F63" s="27" t="n">
        <v>0</v>
      </c>
      <c r="G63" s="27" t="n">
        <f aca="false">IF(データ入力!$A$63="",0,-データ入力!$D$63)</f>
        <v>0</v>
      </c>
      <c r="H63" s="27" t="n">
        <f aca="false">IF(データ入力!$A$63="",0,データ入力!$F$63*データ入力!$E$63)</f>
        <v>0</v>
      </c>
      <c r="I63" s="27" t="n">
        <f aca="false">IF(データ入力!$A$63="",0,データ入力!$F$63^2*データ入力!$D$63)</f>
        <v>0</v>
      </c>
      <c r="J63" s="27" t="n">
        <f aca="false">IF(データ入力!$A$63="",0,-データ入力!$F$63^3*データ入力!$E$63)</f>
        <v>0</v>
      </c>
      <c r="K63" s="27" t="n">
        <f aca="false">IF(データ入力!$A$63="",0,データ入力!$F$63^4*データ入力!$D$63)</f>
        <v>0</v>
      </c>
    </row>
    <row r="64" customFormat="false" ht="15" hidden="false" customHeight="false" outlineLevel="0" collapsed="false">
      <c r="A64" s="25" t="s">
        <v>78</v>
      </c>
      <c r="B64" s="26" t="n">
        <f aca="false">データ入力!$A$64</f>
        <v>0</v>
      </c>
      <c r="C64" s="27" t="n">
        <f aca="false">IF(データ入力!$A$64="",0,1)</f>
        <v>0</v>
      </c>
      <c r="D64" s="27" t="n">
        <v>0</v>
      </c>
      <c r="E64" s="27" t="n">
        <f aca="false">IF(データ入力!$A$64="",0,-(データ入力!$F$64^2))</f>
        <v>0</v>
      </c>
      <c r="F64" s="27" t="n">
        <v>0</v>
      </c>
      <c r="G64" s="27" t="n">
        <f aca="false">IF(データ入力!$A$64="",0,-データ入力!$D$64)</f>
        <v>0</v>
      </c>
      <c r="H64" s="27" t="n">
        <f aca="false">IF(データ入力!$A$64="",0,データ入力!$F$64*データ入力!$E$64)</f>
        <v>0</v>
      </c>
      <c r="I64" s="27" t="n">
        <f aca="false">IF(データ入力!$A$64="",0,データ入力!$F$64^2*データ入力!$D$64)</f>
        <v>0</v>
      </c>
      <c r="J64" s="27" t="n">
        <f aca="false">IF(データ入力!$A$64="",0,-データ入力!$F$64^3*データ入力!$E$64)</f>
        <v>0</v>
      </c>
      <c r="K64" s="27" t="n">
        <f aca="false">IF(データ入力!$A$64="",0,データ入力!$F$64^4*データ入力!$D$64)</f>
        <v>0</v>
      </c>
    </row>
    <row r="65" customFormat="false" ht="15" hidden="false" customHeight="false" outlineLevel="0" collapsed="false">
      <c r="A65" s="25" t="s">
        <v>78</v>
      </c>
      <c r="B65" s="26" t="n">
        <f aca="false">データ入力!$A$65</f>
        <v>0</v>
      </c>
      <c r="C65" s="27" t="n">
        <f aca="false">IF(データ入力!$A$65="",0,1)</f>
        <v>0</v>
      </c>
      <c r="D65" s="27" t="n">
        <v>0</v>
      </c>
      <c r="E65" s="27" t="n">
        <f aca="false">IF(データ入力!$A$65="",0,-(データ入力!$F$65^2))</f>
        <v>0</v>
      </c>
      <c r="F65" s="27" t="n">
        <v>0</v>
      </c>
      <c r="G65" s="27" t="n">
        <f aca="false">IF(データ入力!$A$65="",0,-データ入力!$D$65)</f>
        <v>0</v>
      </c>
      <c r="H65" s="27" t="n">
        <f aca="false">IF(データ入力!$A$65="",0,データ入力!$F$65*データ入力!$E$65)</f>
        <v>0</v>
      </c>
      <c r="I65" s="27" t="n">
        <f aca="false">IF(データ入力!$A$65="",0,データ入力!$F$65^2*データ入力!$D$65)</f>
        <v>0</v>
      </c>
      <c r="J65" s="27" t="n">
        <f aca="false">IF(データ入力!$A$65="",0,-データ入力!$F$65^3*データ入力!$E$65)</f>
        <v>0</v>
      </c>
      <c r="K65" s="27" t="n">
        <f aca="false">IF(データ入力!$A$65="",0,データ入力!$F$65^4*データ入力!$D$65)</f>
        <v>0</v>
      </c>
    </row>
    <row r="66" customFormat="false" ht="15" hidden="false" customHeight="false" outlineLevel="0" collapsed="false">
      <c r="A66" s="25" t="s">
        <v>78</v>
      </c>
      <c r="B66" s="26" t="n">
        <f aca="false">データ入力!$A$66</f>
        <v>0</v>
      </c>
      <c r="C66" s="27" t="n">
        <f aca="false">IF(データ入力!$A$66="",0,1)</f>
        <v>0</v>
      </c>
      <c r="D66" s="27" t="n">
        <v>0</v>
      </c>
      <c r="E66" s="27" t="n">
        <f aca="false">IF(データ入力!$A$66="",0,-(データ入力!$F$66^2))</f>
        <v>0</v>
      </c>
      <c r="F66" s="27" t="n">
        <v>0</v>
      </c>
      <c r="G66" s="27" t="n">
        <f aca="false">IF(データ入力!$A$66="",0,-データ入力!$D$66)</f>
        <v>0</v>
      </c>
      <c r="H66" s="27" t="n">
        <f aca="false">IF(データ入力!$A$66="",0,データ入力!$F$66*データ入力!$E$66)</f>
        <v>0</v>
      </c>
      <c r="I66" s="27" t="n">
        <f aca="false">IF(データ入力!$A$66="",0,データ入力!$F$66^2*データ入力!$D$66)</f>
        <v>0</v>
      </c>
      <c r="J66" s="27" t="n">
        <f aca="false">IF(データ入力!$A$66="",0,-データ入力!$F$66^3*データ入力!$E$66)</f>
        <v>0</v>
      </c>
      <c r="K66" s="27" t="n">
        <f aca="false">IF(データ入力!$A$66="",0,データ入力!$F$66^4*データ入力!$D$66)</f>
        <v>0</v>
      </c>
    </row>
    <row r="67" customFormat="false" ht="15" hidden="false" customHeight="false" outlineLevel="0" collapsed="false">
      <c r="A67" s="25" t="s">
        <v>78</v>
      </c>
      <c r="B67" s="26" t="n">
        <f aca="false">データ入力!$A$67</f>
        <v>0</v>
      </c>
      <c r="C67" s="27" t="n">
        <f aca="false">IF(データ入力!$A$67="",0,1)</f>
        <v>0</v>
      </c>
      <c r="D67" s="27" t="n">
        <v>0</v>
      </c>
      <c r="E67" s="27" t="n">
        <f aca="false">IF(データ入力!$A$67="",0,-(データ入力!$F$67^2))</f>
        <v>0</v>
      </c>
      <c r="F67" s="27" t="n">
        <v>0</v>
      </c>
      <c r="G67" s="27" t="n">
        <f aca="false">IF(データ入力!$A$67="",0,-データ入力!$D$67)</f>
        <v>0</v>
      </c>
      <c r="H67" s="27" t="n">
        <f aca="false">IF(データ入力!$A$67="",0,データ入力!$F$67*データ入力!$E$67)</f>
        <v>0</v>
      </c>
      <c r="I67" s="27" t="n">
        <f aca="false">IF(データ入力!$A$67="",0,データ入力!$F$67^2*データ入力!$D$67)</f>
        <v>0</v>
      </c>
      <c r="J67" s="27" t="n">
        <f aca="false">IF(データ入力!$A$67="",0,-データ入力!$F$67^3*データ入力!$E$67)</f>
        <v>0</v>
      </c>
      <c r="K67" s="27" t="n">
        <f aca="false">IF(データ入力!$A$67="",0,データ入力!$F$67^4*データ入力!$D$67)</f>
        <v>0</v>
      </c>
    </row>
    <row r="68" customFormat="false" ht="15" hidden="false" customHeight="false" outlineLevel="0" collapsed="false">
      <c r="A68" s="25" t="s">
        <v>78</v>
      </c>
      <c r="B68" s="26" t="n">
        <f aca="false">データ入力!$A$68</f>
        <v>0</v>
      </c>
      <c r="C68" s="27" t="n">
        <f aca="false">IF(データ入力!$A$68="",0,1)</f>
        <v>0</v>
      </c>
      <c r="D68" s="27" t="n">
        <v>0</v>
      </c>
      <c r="E68" s="27" t="n">
        <f aca="false">IF(データ入力!$A$68="",0,-(データ入力!$F$68^2))</f>
        <v>0</v>
      </c>
      <c r="F68" s="27" t="n">
        <v>0</v>
      </c>
      <c r="G68" s="27" t="n">
        <f aca="false">IF(データ入力!$A$68="",0,-データ入力!$D$68)</f>
        <v>0</v>
      </c>
      <c r="H68" s="27" t="n">
        <f aca="false">IF(データ入力!$A$68="",0,データ入力!$F$68*データ入力!$E$68)</f>
        <v>0</v>
      </c>
      <c r="I68" s="27" t="n">
        <f aca="false">IF(データ入力!$A$68="",0,データ入力!$F$68^2*データ入力!$D$68)</f>
        <v>0</v>
      </c>
      <c r="J68" s="27" t="n">
        <f aca="false">IF(データ入力!$A$68="",0,-データ入力!$F$68^3*データ入力!$E$68)</f>
        <v>0</v>
      </c>
      <c r="K68" s="27" t="n">
        <f aca="false">IF(データ入力!$A$68="",0,データ入力!$F$68^4*データ入力!$D$68)</f>
        <v>0</v>
      </c>
    </row>
    <row r="69" customFormat="false" ht="15" hidden="false" customHeight="false" outlineLevel="0" collapsed="false">
      <c r="A69" s="25" t="s">
        <v>78</v>
      </c>
      <c r="B69" s="26" t="n">
        <f aca="false">データ入力!$A$69</f>
        <v>0</v>
      </c>
      <c r="C69" s="27" t="n">
        <f aca="false">IF(データ入力!$A$69="",0,1)</f>
        <v>0</v>
      </c>
      <c r="D69" s="27" t="n">
        <v>0</v>
      </c>
      <c r="E69" s="27" t="n">
        <f aca="false">IF(データ入力!$A$69="",0,-(データ入力!$F$69^2))</f>
        <v>0</v>
      </c>
      <c r="F69" s="27" t="n">
        <v>0</v>
      </c>
      <c r="G69" s="27" t="n">
        <f aca="false">IF(データ入力!$A$69="",0,-データ入力!$D$69)</f>
        <v>0</v>
      </c>
      <c r="H69" s="27" t="n">
        <f aca="false">IF(データ入力!$A$69="",0,データ入力!$F$69*データ入力!$E$69)</f>
        <v>0</v>
      </c>
      <c r="I69" s="27" t="n">
        <f aca="false">IF(データ入力!$A$69="",0,データ入力!$F$69^2*データ入力!$D$69)</f>
        <v>0</v>
      </c>
      <c r="J69" s="27" t="n">
        <f aca="false">IF(データ入力!$A$69="",0,-データ入力!$F$69^3*データ入力!$E$69)</f>
        <v>0</v>
      </c>
      <c r="K69" s="27" t="n">
        <f aca="false">IF(データ入力!$A$69="",0,データ入力!$F$69^4*データ入力!$D$69)</f>
        <v>0</v>
      </c>
    </row>
    <row r="70" customFormat="false" ht="15" hidden="false" customHeight="false" outlineLevel="0" collapsed="false">
      <c r="A70" s="25" t="s">
        <v>78</v>
      </c>
      <c r="B70" s="26" t="n">
        <f aca="false">データ入力!$A$70</f>
        <v>0</v>
      </c>
      <c r="C70" s="27" t="n">
        <f aca="false">IF(データ入力!$A$70="",0,1)</f>
        <v>0</v>
      </c>
      <c r="D70" s="27" t="n">
        <v>0</v>
      </c>
      <c r="E70" s="27" t="n">
        <f aca="false">IF(データ入力!$A$70="",0,-(データ入力!$F$70^2))</f>
        <v>0</v>
      </c>
      <c r="F70" s="27" t="n">
        <v>0</v>
      </c>
      <c r="G70" s="27" t="n">
        <f aca="false">IF(データ入力!$A$70="",0,-データ入力!$D$70)</f>
        <v>0</v>
      </c>
      <c r="H70" s="27" t="n">
        <f aca="false">IF(データ入力!$A$70="",0,データ入力!$F$70*データ入力!$E$70)</f>
        <v>0</v>
      </c>
      <c r="I70" s="27" t="n">
        <f aca="false">IF(データ入力!$A$70="",0,データ入力!$F$70^2*データ入力!$D$70)</f>
        <v>0</v>
      </c>
      <c r="J70" s="27" t="n">
        <f aca="false">IF(データ入力!$A$70="",0,-データ入力!$F$70^3*データ入力!$E$70)</f>
        <v>0</v>
      </c>
      <c r="K70" s="27" t="n">
        <f aca="false">IF(データ入力!$A$70="",0,データ入力!$F$70^4*データ入力!$D$70)</f>
        <v>0</v>
      </c>
    </row>
    <row r="71" customFormat="false" ht="15" hidden="false" customHeight="false" outlineLevel="0" collapsed="false">
      <c r="A71" s="25" t="s">
        <v>78</v>
      </c>
      <c r="B71" s="26" t="n">
        <f aca="false">データ入力!$A$71</f>
        <v>0</v>
      </c>
      <c r="C71" s="27" t="n">
        <f aca="false">IF(データ入力!$A$71="",0,1)</f>
        <v>0</v>
      </c>
      <c r="D71" s="27" t="n">
        <v>0</v>
      </c>
      <c r="E71" s="27" t="n">
        <f aca="false">IF(データ入力!$A$71="",0,-(データ入力!$F$71^2))</f>
        <v>0</v>
      </c>
      <c r="F71" s="27" t="n">
        <v>0</v>
      </c>
      <c r="G71" s="27" t="n">
        <f aca="false">IF(データ入力!$A$71="",0,-データ入力!$D$71)</f>
        <v>0</v>
      </c>
      <c r="H71" s="27" t="n">
        <f aca="false">IF(データ入力!$A$71="",0,データ入力!$F$71*データ入力!$E$71)</f>
        <v>0</v>
      </c>
      <c r="I71" s="27" t="n">
        <f aca="false">IF(データ入力!$A$71="",0,データ入力!$F$71^2*データ入力!$D$71)</f>
        <v>0</v>
      </c>
      <c r="J71" s="27" t="n">
        <f aca="false">IF(データ入力!$A$71="",0,-データ入力!$F$71^3*データ入力!$E$71)</f>
        <v>0</v>
      </c>
      <c r="K71" s="27" t="n">
        <f aca="false">IF(データ入力!$A$71="",0,データ入力!$F$71^4*データ入力!$D$71)</f>
        <v>0</v>
      </c>
    </row>
    <row r="72" customFormat="false" ht="15" hidden="false" customHeight="false" outlineLevel="0" collapsed="false">
      <c r="A72" s="25" t="s">
        <v>78</v>
      </c>
      <c r="B72" s="26" t="n">
        <f aca="false">データ入力!$A$72</f>
        <v>0</v>
      </c>
      <c r="C72" s="27" t="n">
        <f aca="false">IF(データ入力!$A$72="",0,1)</f>
        <v>0</v>
      </c>
      <c r="D72" s="27" t="n">
        <v>0</v>
      </c>
      <c r="E72" s="27" t="n">
        <f aca="false">IF(データ入力!$A$72="",0,-(データ入力!$F$72^2))</f>
        <v>0</v>
      </c>
      <c r="F72" s="27" t="n">
        <v>0</v>
      </c>
      <c r="G72" s="27" t="n">
        <f aca="false">IF(データ入力!$A$72="",0,-データ入力!$D$72)</f>
        <v>0</v>
      </c>
      <c r="H72" s="27" t="n">
        <f aca="false">IF(データ入力!$A$72="",0,データ入力!$F$72*データ入力!$E$72)</f>
        <v>0</v>
      </c>
      <c r="I72" s="27" t="n">
        <f aca="false">IF(データ入力!$A$72="",0,データ入力!$F$72^2*データ入力!$D$72)</f>
        <v>0</v>
      </c>
      <c r="J72" s="27" t="n">
        <f aca="false">IF(データ入力!$A$72="",0,-データ入力!$F$72^3*データ入力!$E$72)</f>
        <v>0</v>
      </c>
      <c r="K72" s="27" t="n">
        <f aca="false">IF(データ入力!$A$72="",0,データ入力!$F$72^4*データ入力!$D$72)</f>
        <v>0</v>
      </c>
    </row>
    <row r="73" customFormat="false" ht="15" hidden="false" customHeight="false" outlineLevel="0" collapsed="false">
      <c r="A73" s="25" t="s">
        <v>78</v>
      </c>
      <c r="B73" s="26" t="n">
        <f aca="false">データ入力!$A$73</f>
        <v>0</v>
      </c>
      <c r="C73" s="27" t="n">
        <f aca="false">IF(データ入力!$A$73="",0,1)</f>
        <v>0</v>
      </c>
      <c r="D73" s="27" t="n">
        <v>0</v>
      </c>
      <c r="E73" s="27" t="n">
        <f aca="false">IF(データ入力!$A$73="",0,-(データ入力!$F$73^2))</f>
        <v>0</v>
      </c>
      <c r="F73" s="27" t="n">
        <v>0</v>
      </c>
      <c r="G73" s="27" t="n">
        <f aca="false">IF(データ入力!$A$73="",0,-データ入力!$D$73)</f>
        <v>0</v>
      </c>
      <c r="H73" s="27" t="n">
        <f aca="false">IF(データ入力!$A$73="",0,データ入力!$F$73*データ入力!$E$73)</f>
        <v>0</v>
      </c>
      <c r="I73" s="27" t="n">
        <f aca="false">IF(データ入力!$A$73="",0,データ入力!$F$73^2*データ入力!$D$73)</f>
        <v>0</v>
      </c>
      <c r="J73" s="27" t="n">
        <f aca="false">IF(データ入力!$A$73="",0,-データ入力!$F$73^3*データ入力!$E$73)</f>
        <v>0</v>
      </c>
      <c r="K73" s="27" t="n">
        <f aca="false">IF(データ入力!$A$73="",0,データ入力!$F$73^4*データ入力!$D$73)</f>
        <v>0</v>
      </c>
    </row>
    <row r="74" customFormat="false" ht="15" hidden="false" customHeight="false" outlineLevel="0" collapsed="false">
      <c r="A74" s="25" t="s">
        <v>78</v>
      </c>
      <c r="B74" s="26" t="n">
        <f aca="false">データ入力!$A$74</f>
        <v>0</v>
      </c>
      <c r="C74" s="27" t="n">
        <f aca="false">IF(データ入力!$A$74="",0,1)</f>
        <v>0</v>
      </c>
      <c r="D74" s="27" t="n">
        <v>0</v>
      </c>
      <c r="E74" s="27" t="n">
        <f aca="false">IF(データ入力!$A$74="",0,-(データ入力!$F$74^2))</f>
        <v>0</v>
      </c>
      <c r="F74" s="27" t="n">
        <v>0</v>
      </c>
      <c r="G74" s="27" t="n">
        <f aca="false">IF(データ入力!$A$74="",0,-データ入力!$D$74)</f>
        <v>0</v>
      </c>
      <c r="H74" s="27" t="n">
        <f aca="false">IF(データ入力!$A$74="",0,データ入力!$F$74*データ入力!$E$74)</f>
        <v>0</v>
      </c>
      <c r="I74" s="27" t="n">
        <f aca="false">IF(データ入力!$A$74="",0,データ入力!$F$74^2*データ入力!$D$74)</f>
        <v>0</v>
      </c>
      <c r="J74" s="27" t="n">
        <f aca="false">IF(データ入力!$A$74="",0,-データ入力!$F$74^3*データ入力!$E$74)</f>
        <v>0</v>
      </c>
      <c r="K74" s="27" t="n">
        <f aca="false">IF(データ入力!$A$74="",0,データ入力!$F$74^4*データ入力!$D$74)</f>
        <v>0</v>
      </c>
    </row>
    <row r="75" customFormat="false" ht="15" hidden="false" customHeight="false" outlineLevel="0" collapsed="false">
      <c r="A75" s="25" t="s">
        <v>78</v>
      </c>
      <c r="B75" s="26" t="n">
        <f aca="false">データ入力!$A$75</f>
        <v>0</v>
      </c>
      <c r="C75" s="27" t="n">
        <f aca="false">IF(データ入力!$A$75="",0,1)</f>
        <v>0</v>
      </c>
      <c r="D75" s="27" t="n">
        <v>0</v>
      </c>
      <c r="E75" s="27" t="n">
        <f aca="false">IF(データ入力!$A$75="",0,-(データ入力!$F$75^2))</f>
        <v>0</v>
      </c>
      <c r="F75" s="27" t="n">
        <v>0</v>
      </c>
      <c r="G75" s="27" t="n">
        <f aca="false">IF(データ入力!$A$75="",0,-データ入力!$D$75)</f>
        <v>0</v>
      </c>
      <c r="H75" s="27" t="n">
        <f aca="false">IF(データ入力!$A$75="",0,データ入力!$F$75*データ入力!$E$75)</f>
        <v>0</v>
      </c>
      <c r="I75" s="27" t="n">
        <f aca="false">IF(データ入力!$A$75="",0,データ入力!$F$75^2*データ入力!$D$75)</f>
        <v>0</v>
      </c>
      <c r="J75" s="27" t="n">
        <f aca="false">IF(データ入力!$A$75="",0,-データ入力!$F$75^3*データ入力!$E$75)</f>
        <v>0</v>
      </c>
      <c r="K75" s="27" t="n">
        <f aca="false">IF(データ入力!$A$75="",0,データ入力!$F$75^4*データ入力!$D$75)</f>
        <v>0</v>
      </c>
    </row>
    <row r="76" customFormat="false" ht="15" hidden="false" customHeight="false" outlineLevel="0" collapsed="false">
      <c r="A76" s="25" t="s">
        <v>78</v>
      </c>
      <c r="B76" s="26" t="n">
        <f aca="false">データ入力!$A$76</f>
        <v>0</v>
      </c>
      <c r="C76" s="27" t="n">
        <f aca="false">IF(データ入力!$A$76="",0,1)</f>
        <v>0</v>
      </c>
      <c r="D76" s="27" t="n">
        <v>0</v>
      </c>
      <c r="E76" s="27" t="n">
        <f aca="false">IF(データ入力!$A$76="",0,-(データ入力!$F$76^2))</f>
        <v>0</v>
      </c>
      <c r="F76" s="27" t="n">
        <v>0</v>
      </c>
      <c r="G76" s="27" t="n">
        <f aca="false">IF(データ入力!$A$76="",0,-データ入力!$D$76)</f>
        <v>0</v>
      </c>
      <c r="H76" s="27" t="n">
        <f aca="false">IF(データ入力!$A$76="",0,データ入力!$F$76*データ入力!$E$76)</f>
        <v>0</v>
      </c>
      <c r="I76" s="27" t="n">
        <f aca="false">IF(データ入力!$A$76="",0,データ入力!$F$76^2*データ入力!$D$76)</f>
        <v>0</v>
      </c>
      <c r="J76" s="27" t="n">
        <f aca="false">IF(データ入力!$A$76="",0,-データ入力!$F$76^3*データ入力!$E$76)</f>
        <v>0</v>
      </c>
      <c r="K76" s="27" t="n">
        <f aca="false">IF(データ入力!$A$76="",0,データ入力!$F$76^4*データ入力!$D$76)</f>
        <v>0</v>
      </c>
    </row>
    <row r="77" customFormat="false" ht="15" hidden="false" customHeight="false" outlineLevel="0" collapsed="false">
      <c r="A77" s="25" t="s">
        <v>78</v>
      </c>
      <c r="B77" s="26" t="n">
        <f aca="false">データ入力!$A$77</f>
        <v>0</v>
      </c>
      <c r="C77" s="27" t="n">
        <f aca="false">IF(データ入力!$A$77="",0,1)</f>
        <v>0</v>
      </c>
      <c r="D77" s="27" t="n">
        <v>0</v>
      </c>
      <c r="E77" s="27" t="n">
        <f aca="false">IF(データ入力!$A$77="",0,-(データ入力!$F$77^2))</f>
        <v>0</v>
      </c>
      <c r="F77" s="27" t="n">
        <v>0</v>
      </c>
      <c r="G77" s="27" t="n">
        <f aca="false">IF(データ入力!$A$77="",0,-データ入力!$D$77)</f>
        <v>0</v>
      </c>
      <c r="H77" s="27" t="n">
        <f aca="false">IF(データ入力!$A$77="",0,データ入力!$F$77*データ入力!$E$77)</f>
        <v>0</v>
      </c>
      <c r="I77" s="27" t="n">
        <f aca="false">IF(データ入力!$A$77="",0,データ入力!$F$77^2*データ入力!$D$77)</f>
        <v>0</v>
      </c>
      <c r="J77" s="27" t="n">
        <f aca="false">IF(データ入力!$A$77="",0,-データ入力!$F$77^3*データ入力!$E$77)</f>
        <v>0</v>
      </c>
      <c r="K77" s="27" t="n">
        <f aca="false">IF(データ入力!$A$77="",0,データ入力!$F$77^4*データ入力!$D$77)</f>
        <v>0</v>
      </c>
    </row>
    <row r="78" customFormat="false" ht="15" hidden="false" customHeight="false" outlineLevel="0" collapsed="false">
      <c r="A78" s="25" t="s">
        <v>78</v>
      </c>
      <c r="B78" s="26" t="n">
        <f aca="false">データ入力!$A$78</f>
        <v>0</v>
      </c>
      <c r="C78" s="27" t="n">
        <f aca="false">IF(データ入力!$A$78="",0,1)</f>
        <v>0</v>
      </c>
      <c r="D78" s="27" t="n">
        <v>0</v>
      </c>
      <c r="E78" s="27" t="n">
        <f aca="false">IF(データ入力!$A$78="",0,-(データ入力!$F$78^2))</f>
        <v>0</v>
      </c>
      <c r="F78" s="27" t="n">
        <v>0</v>
      </c>
      <c r="G78" s="27" t="n">
        <f aca="false">IF(データ入力!$A$78="",0,-データ入力!$D$78)</f>
        <v>0</v>
      </c>
      <c r="H78" s="27" t="n">
        <f aca="false">IF(データ入力!$A$78="",0,データ入力!$F$78*データ入力!$E$78)</f>
        <v>0</v>
      </c>
      <c r="I78" s="27" t="n">
        <f aca="false">IF(データ入力!$A$78="",0,データ入力!$F$78^2*データ入力!$D$78)</f>
        <v>0</v>
      </c>
      <c r="J78" s="27" t="n">
        <f aca="false">IF(データ入力!$A$78="",0,-データ入力!$F$78^3*データ入力!$E$78)</f>
        <v>0</v>
      </c>
      <c r="K78" s="27" t="n">
        <f aca="false">IF(データ入力!$A$78="",0,データ入力!$F$78^4*データ入力!$D$78)</f>
        <v>0</v>
      </c>
    </row>
    <row r="79" customFormat="false" ht="15" hidden="false" customHeight="false" outlineLevel="0" collapsed="false">
      <c r="A79" s="25" t="s">
        <v>78</v>
      </c>
      <c r="B79" s="26" t="n">
        <f aca="false">データ入力!$A$79</f>
        <v>0</v>
      </c>
      <c r="C79" s="27" t="n">
        <f aca="false">IF(データ入力!$A$79="",0,1)</f>
        <v>0</v>
      </c>
      <c r="D79" s="27" t="n">
        <v>0</v>
      </c>
      <c r="E79" s="27" t="n">
        <f aca="false">IF(データ入力!$A$79="",0,-(データ入力!$F$79^2))</f>
        <v>0</v>
      </c>
      <c r="F79" s="27" t="n">
        <v>0</v>
      </c>
      <c r="G79" s="27" t="n">
        <f aca="false">IF(データ入力!$A$79="",0,-データ入力!$D$79)</f>
        <v>0</v>
      </c>
      <c r="H79" s="27" t="n">
        <f aca="false">IF(データ入力!$A$79="",0,データ入力!$F$79*データ入力!$E$79)</f>
        <v>0</v>
      </c>
      <c r="I79" s="27" t="n">
        <f aca="false">IF(データ入力!$A$79="",0,データ入力!$F$79^2*データ入力!$D$79)</f>
        <v>0</v>
      </c>
      <c r="J79" s="27" t="n">
        <f aca="false">IF(データ入力!$A$79="",0,-データ入力!$F$79^3*データ入力!$E$79)</f>
        <v>0</v>
      </c>
      <c r="K79" s="27" t="n">
        <f aca="false">IF(データ入力!$A$79="",0,データ入力!$F$79^4*データ入力!$D$79)</f>
        <v>0</v>
      </c>
    </row>
    <row r="80" customFormat="false" ht="15" hidden="false" customHeight="false" outlineLevel="0" collapsed="false">
      <c r="A80" s="25" t="s">
        <v>78</v>
      </c>
      <c r="B80" s="26" t="n">
        <f aca="false">データ入力!$A$80</f>
        <v>0</v>
      </c>
      <c r="C80" s="27" t="n">
        <f aca="false">IF(データ入力!$A$80="",0,1)</f>
        <v>0</v>
      </c>
      <c r="D80" s="27" t="n">
        <v>0</v>
      </c>
      <c r="E80" s="27" t="n">
        <f aca="false">IF(データ入力!$A$80="",0,-(データ入力!$F$80^2))</f>
        <v>0</v>
      </c>
      <c r="F80" s="27" t="n">
        <v>0</v>
      </c>
      <c r="G80" s="27" t="n">
        <f aca="false">IF(データ入力!$A$80="",0,-データ入力!$D$80)</f>
        <v>0</v>
      </c>
      <c r="H80" s="27" t="n">
        <f aca="false">IF(データ入力!$A$80="",0,データ入力!$F$80*データ入力!$E$80)</f>
        <v>0</v>
      </c>
      <c r="I80" s="27" t="n">
        <f aca="false">IF(データ入力!$A$80="",0,データ入力!$F$80^2*データ入力!$D$80)</f>
        <v>0</v>
      </c>
      <c r="J80" s="27" t="n">
        <f aca="false">IF(データ入力!$A$80="",0,-データ入力!$F$80^3*データ入力!$E$80)</f>
        <v>0</v>
      </c>
      <c r="K80" s="27" t="n">
        <f aca="false">IF(データ入力!$A$80="",0,データ入力!$F$80^4*データ入力!$D$80)</f>
        <v>0</v>
      </c>
    </row>
    <row r="81" customFormat="false" ht="15" hidden="false" customHeight="false" outlineLevel="0" collapsed="false">
      <c r="A81" s="25" t="s">
        <v>78</v>
      </c>
      <c r="B81" s="26" t="n">
        <f aca="false">データ入力!$A$81</f>
        <v>0</v>
      </c>
      <c r="C81" s="27" t="n">
        <f aca="false">IF(データ入力!$A$81="",0,1)</f>
        <v>0</v>
      </c>
      <c r="D81" s="27" t="n">
        <v>0</v>
      </c>
      <c r="E81" s="27" t="n">
        <f aca="false">IF(データ入力!$A$81="",0,-(データ入力!$F$81^2))</f>
        <v>0</v>
      </c>
      <c r="F81" s="27" t="n">
        <v>0</v>
      </c>
      <c r="G81" s="27" t="n">
        <f aca="false">IF(データ入力!$A$81="",0,-データ入力!$D$81)</f>
        <v>0</v>
      </c>
      <c r="H81" s="27" t="n">
        <f aca="false">IF(データ入力!$A$81="",0,データ入力!$F$81*データ入力!$E$81)</f>
        <v>0</v>
      </c>
      <c r="I81" s="27" t="n">
        <f aca="false">IF(データ入力!$A$81="",0,データ入力!$F$81^2*データ入力!$D$81)</f>
        <v>0</v>
      </c>
      <c r="J81" s="27" t="n">
        <f aca="false">IF(データ入力!$A$81="",0,-データ入力!$F$81^3*データ入力!$E$81)</f>
        <v>0</v>
      </c>
      <c r="K81" s="27" t="n">
        <f aca="false">IF(データ入力!$A$81="",0,データ入力!$F$81^4*データ入力!$D$81)</f>
        <v>0</v>
      </c>
    </row>
    <row r="82" customFormat="false" ht="15" hidden="false" customHeight="false" outlineLevel="0" collapsed="false">
      <c r="A82" s="25" t="s">
        <v>78</v>
      </c>
      <c r="B82" s="26" t="n">
        <f aca="false">データ入力!$A$82</f>
        <v>0</v>
      </c>
      <c r="C82" s="27" t="n">
        <f aca="false">IF(データ入力!$A$82="",0,1)</f>
        <v>0</v>
      </c>
      <c r="D82" s="27" t="n">
        <v>0</v>
      </c>
      <c r="E82" s="27" t="n">
        <f aca="false">IF(データ入力!$A$82="",0,-(データ入力!$F$82^2))</f>
        <v>0</v>
      </c>
      <c r="F82" s="27" t="n">
        <v>0</v>
      </c>
      <c r="G82" s="27" t="n">
        <f aca="false">IF(データ入力!$A$82="",0,-データ入力!$D$82)</f>
        <v>0</v>
      </c>
      <c r="H82" s="27" t="n">
        <f aca="false">IF(データ入力!$A$82="",0,データ入力!$F$82*データ入力!$E$82)</f>
        <v>0</v>
      </c>
      <c r="I82" s="27" t="n">
        <f aca="false">IF(データ入力!$A$82="",0,データ入力!$F$82^2*データ入力!$D$82)</f>
        <v>0</v>
      </c>
      <c r="J82" s="27" t="n">
        <f aca="false">IF(データ入力!$A$82="",0,-データ入力!$F$82^3*データ入力!$E$82)</f>
        <v>0</v>
      </c>
      <c r="K82" s="27" t="n">
        <f aca="false">IF(データ入力!$A$82="",0,データ入力!$F$82^4*データ入力!$D$82)</f>
        <v>0</v>
      </c>
    </row>
    <row r="83" customFormat="false" ht="15" hidden="false" customHeight="false" outlineLevel="0" collapsed="false">
      <c r="A83" s="25" t="s">
        <v>78</v>
      </c>
      <c r="B83" s="26" t="n">
        <f aca="false">データ入力!$A$83</f>
        <v>0</v>
      </c>
      <c r="C83" s="27" t="n">
        <f aca="false">IF(データ入力!$A$83="",0,1)</f>
        <v>0</v>
      </c>
      <c r="D83" s="27" t="n">
        <v>0</v>
      </c>
      <c r="E83" s="27" t="n">
        <f aca="false">IF(データ入力!$A$83="",0,-(データ入力!$F$83^2))</f>
        <v>0</v>
      </c>
      <c r="F83" s="27" t="n">
        <v>0</v>
      </c>
      <c r="G83" s="27" t="n">
        <f aca="false">IF(データ入力!$A$83="",0,-データ入力!$D$83)</f>
        <v>0</v>
      </c>
      <c r="H83" s="27" t="n">
        <f aca="false">IF(データ入力!$A$83="",0,データ入力!$F$83*データ入力!$E$83)</f>
        <v>0</v>
      </c>
      <c r="I83" s="27" t="n">
        <f aca="false">IF(データ入力!$A$83="",0,データ入力!$F$83^2*データ入力!$D$83)</f>
        <v>0</v>
      </c>
      <c r="J83" s="27" t="n">
        <f aca="false">IF(データ入力!$A$83="",0,-データ入力!$F$83^3*データ入力!$E$83)</f>
        <v>0</v>
      </c>
      <c r="K83" s="27" t="n">
        <f aca="false">IF(データ入力!$A$83="",0,データ入力!$F$83^4*データ入力!$D$83)</f>
        <v>0</v>
      </c>
    </row>
    <row r="84" customFormat="false" ht="15" hidden="false" customHeight="false" outlineLevel="0" collapsed="false">
      <c r="A84" s="25" t="s">
        <v>78</v>
      </c>
      <c r="B84" s="26" t="n">
        <f aca="false">データ入力!$A$84</f>
        <v>0</v>
      </c>
      <c r="C84" s="27" t="n">
        <f aca="false">IF(データ入力!$A$84="",0,1)</f>
        <v>0</v>
      </c>
      <c r="D84" s="27" t="n">
        <v>0</v>
      </c>
      <c r="E84" s="27" t="n">
        <f aca="false">IF(データ入力!$A$84="",0,-(データ入力!$F$84^2))</f>
        <v>0</v>
      </c>
      <c r="F84" s="27" t="n">
        <v>0</v>
      </c>
      <c r="G84" s="27" t="n">
        <f aca="false">IF(データ入力!$A$84="",0,-データ入力!$D$84)</f>
        <v>0</v>
      </c>
      <c r="H84" s="27" t="n">
        <f aca="false">IF(データ入力!$A$84="",0,データ入力!$F$84*データ入力!$E$84)</f>
        <v>0</v>
      </c>
      <c r="I84" s="27" t="n">
        <f aca="false">IF(データ入力!$A$84="",0,データ入力!$F$84^2*データ入力!$D$84)</f>
        <v>0</v>
      </c>
      <c r="J84" s="27" t="n">
        <f aca="false">IF(データ入力!$A$84="",0,-データ入力!$F$84^3*データ入力!$E$84)</f>
        <v>0</v>
      </c>
      <c r="K84" s="27" t="n">
        <f aca="false">IF(データ入力!$A$84="",0,データ入力!$F$84^4*データ入力!$D$84)</f>
        <v>0</v>
      </c>
    </row>
    <row r="85" customFormat="false" ht="15" hidden="false" customHeight="false" outlineLevel="0" collapsed="false">
      <c r="A85" s="25" t="s">
        <v>80</v>
      </c>
      <c r="B85" s="26" t="n">
        <f aca="false">データ入力!$A$5</f>
        <v>3400</v>
      </c>
      <c r="C85" s="27" t="n">
        <v>0</v>
      </c>
      <c r="D85" s="31" t="n">
        <f aca="false">IF(データ入力!$A$5="",0,データ入力!$F$5)</f>
        <v>0.971428571428571</v>
      </c>
      <c r="E85" s="27" t="n">
        <v>0</v>
      </c>
      <c r="F85" s="27" t="n">
        <f aca="false">IF(データ入力!$A$5="",0,-データ入力!$F$5^3)</f>
        <v>-0.916711370262391</v>
      </c>
      <c r="G85" s="27" t="n">
        <f aca="false">IF(データ入力!$A$5="",0,-データ入力!$E$5)</f>
        <v>-0.00301</v>
      </c>
      <c r="H85" s="27" t="n">
        <f aca="false">IF(データ入力!$A$5="",0,-データ入力!$F$5*データ入力!$D$5)</f>
        <v>-4.95428571428571E-005</v>
      </c>
      <c r="I85" s="27" t="n">
        <f aca="false">IF(データ入力!$A$5="",0,データ入力!$F$5^2*データ入力!$E$5)</f>
        <v>0.00284045714285714</v>
      </c>
      <c r="J85" s="27" t="n">
        <f aca="false">IF(データ入力!$A$5="",0,データ入力!$F$5^3*データ入力!$D$5)</f>
        <v>4.67522798833819E-005</v>
      </c>
      <c r="K85" s="27" t="n">
        <f aca="false">IF(データ入力!$A$5="",0,データ入力!$F$5^4*データ入力!$E$5)</f>
        <v>0.00268046404664723</v>
      </c>
    </row>
    <row r="86" customFormat="false" ht="15" hidden="false" customHeight="false" outlineLevel="0" collapsed="false">
      <c r="A86" s="25" t="s">
        <v>80</v>
      </c>
      <c r="B86" s="26" t="n">
        <f aca="false">データ入力!$A$6</f>
        <v>3410</v>
      </c>
      <c r="C86" s="27" t="n">
        <v>0</v>
      </c>
      <c r="D86" s="31" t="n">
        <f aca="false">IF(データ入力!$A$6="",0,データ入力!$F$6)</f>
        <v>0.974285714285714</v>
      </c>
      <c r="E86" s="27" t="n">
        <v>0</v>
      </c>
      <c r="F86" s="27" t="n">
        <f aca="false">IF(データ入力!$A$6="",0,-データ入力!$F$6^3)</f>
        <v>-0.924823813411079</v>
      </c>
      <c r="G86" s="27" t="n">
        <f aca="false">IF(データ入力!$A$6="",0,-データ入力!$E$6)</f>
        <v>-0.003391</v>
      </c>
      <c r="H86" s="27" t="n">
        <f aca="false">IF(データ入力!$A$6="",0,-データ入力!$F$6*データ入力!$D$6)</f>
        <v>-9.06085714285714E-005</v>
      </c>
      <c r="I86" s="27" t="n">
        <f aca="false">IF(データ入力!$A$6="",0,データ入力!$F$6^2*データ入力!$E$6)</f>
        <v>0.00321884792653061</v>
      </c>
      <c r="J86" s="27" t="n">
        <f aca="false">IF(データ入力!$A$6="",0,データ入力!$F$6^3*データ入力!$D$6)</f>
        <v>8.60086146472304E-005</v>
      </c>
      <c r="K86" s="27" t="n">
        <f aca="false">IF(データ入力!$A$6="",0,データ入力!$F$6^4*データ入力!$E$6)</f>
        <v>0.00305543555710128</v>
      </c>
    </row>
    <row r="87" customFormat="false" ht="15" hidden="false" customHeight="false" outlineLevel="0" collapsed="false">
      <c r="A87" s="25" t="s">
        <v>80</v>
      </c>
      <c r="B87" s="26" t="n">
        <f aca="false">データ入力!$A$7</f>
        <v>3420</v>
      </c>
      <c r="C87" s="27" t="n">
        <v>0</v>
      </c>
      <c r="D87" s="31" t="n">
        <f aca="false">IF(データ入力!$A$7="",0,データ入力!$F$7)</f>
        <v>0.977142857142857</v>
      </c>
      <c r="E87" s="27" t="n">
        <v>0</v>
      </c>
      <c r="F87" s="27" t="n">
        <f aca="false">IF(データ入力!$A$7="",0,-データ入力!$F$7^3)</f>
        <v>-0.932983976676385</v>
      </c>
      <c r="G87" s="27" t="n">
        <f aca="false">IF(データ入力!$A$7="",0,-データ入力!$E$7)</f>
        <v>-0.003876</v>
      </c>
      <c r="H87" s="27" t="n">
        <f aca="false">IF(データ入力!$A$7="",0,-データ入力!$F$7*データ入力!$D$7)</f>
        <v>-0.000158297142857143</v>
      </c>
      <c r="I87" s="27" t="n">
        <f aca="false">IF(データ入力!$A$7="",0,データ入力!$F$7^2*データ入力!$E$7)</f>
        <v>0.00370083644081633</v>
      </c>
      <c r="J87" s="27" t="n">
        <f aca="false">IF(データ入力!$A$7="",0,データ入力!$F$7^3*データ入力!$D$7)</f>
        <v>0.000151143404221574</v>
      </c>
      <c r="K87" s="27" t="n">
        <f aca="false">IF(データ入力!$A$7="",0,データ入力!$F$7^4*データ入力!$E$7)</f>
        <v>0.00353358884460115</v>
      </c>
    </row>
    <row r="88" customFormat="false" ht="15" hidden="false" customHeight="false" outlineLevel="0" collapsed="false">
      <c r="A88" s="25" t="s">
        <v>80</v>
      </c>
      <c r="B88" s="26" t="n">
        <f aca="false">データ入力!$A$8</f>
        <v>3430</v>
      </c>
      <c r="C88" s="27" t="n">
        <v>0</v>
      </c>
      <c r="D88" s="31" t="n">
        <f aca="false">IF(データ入力!$A$8="",0,データ入力!$F$8)</f>
        <v>0.98</v>
      </c>
      <c r="E88" s="27" t="n">
        <v>0</v>
      </c>
      <c r="F88" s="27" t="n">
        <f aca="false">IF(データ入力!$A$8="",0,-データ入力!$F$8^3)</f>
        <v>-0.941192</v>
      </c>
      <c r="G88" s="27" t="n">
        <f aca="false">IF(データ入力!$A$8="",0,-データ入力!$E$8)</f>
        <v>-0.004516</v>
      </c>
      <c r="H88" s="27" t="n">
        <f aca="false">IF(データ入力!$A$8="",0,-データ入力!$F$8*データ入力!$D$8)</f>
        <v>-0.0002744</v>
      </c>
      <c r="I88" s="27" t="n">
        <f aca="false">IF(データ入力!$A$8="",0,データ入力!$F$8^2*データ入力!$E$8)</f>
        <v>0.0043371664</v>
      </c>
      <c r="J88" s="27" t="n">
        <f aca="false">IF(データ入力!$A$8="",0,データ入力!$F$8^3*データ入力!$D$8)</f>
        <v>0.00026353376</v>
      </c>
      <c r="K88" s="27" t="n">
        <f aca="false">IF(データ入力!$A$8="",0,データ入力!$F$8^4*データ入力!$E$8)</f>
        <v>0.00416541461056</v>
      </c>
    </row>
    <row r="89" customFormat="false" ht="15" hidden="false" customHeight="false" outlineLevel="0" collapsed="false">
      <c r="A89" s="25" t="s">
        <v>80</v>
      </c>
      <c r="B89" s="26" t="n">
        <f aca="false">データ入力!$A$9</f>
        <v>3440</v>
      </c>
      <c r="C89" s="27" t="n">
        <v>0</v>
      </c>
      <c r="D89" s="31" t="n">
        <f aca="false">IF(データ入力!$A$9="",0,データ入力!$F$9)</f>
        <v>0.982857142857143</v>
      </c>
      <c r="E89" s="27" t="n">
        <v>0</v>
      </c>
      <c r="F89" s="27" t="n">
        <f aca="false">IF(データ入力!$A$9="",0,-データ入力!$F$9^3)</f>
        <v>-0.949448023323615</v>
      </c>
      <c r="G89" s="27" t="n">
        <f aca="false">IF(データ入力!$A$9="",0,-データ入力!$E$9)</f>
        <v>-0.005463</v>
      </c>
      <c r="H89" s="27" t="n">
        <f aca="false">IF(データ入力!$A$9="",0,-データ入力!$F$9*データ入力!$D$9)</f>
        <v>-0.000503222857142857</v>
      </c>
      <c r="I89" s="27" t="n">
        <f aca="false">IF(データ入力!$A$9="",0,データ入力!$F$9^2*データ入力!$E$9)</f>
        <v>0.00527730259591837</v>
      </c>
      <c r="J89" s="27" t="n">
        <f aca="false">IF(データ入力!$A$9="",0,データ入力!$F$9^3*データ入力!$D$9)</f>
        <v>0.000486117387941691</v>
      </c>
      <c r="K89" s="27" t="n">
        <f aca="false">IF(データ入力!$A$9="",0,データ入力!$F$9^4*データ入力!$E$9)</f>
        <v>0.00509791738767833</v>
      </c>
    </row>
    <row r="90" customFormat="false" ht="15" hidden="false" customHeight="false" outlineLevel="0" collapsed="false">
      <c r="A90" s="25" t="s">
        <v>80</v>
      </c>
      <c r="B90" s="26" t="n">
        <f aca="false">データ入力!$A$10</f>
        <v>3450</v>
      </c>
      <c r="C90" s="27" t="n">
        <v>0</v>
      </c>
      <c r="D90" s="31" t="n">
        <f aca="false">IF(データ入力!$A$10="",0,データ入力!$F$10)</f>
        <v>0.985714285714286</v>
      </c>
      <c r="E90" s="27" t="n">
        <v>0</v>
      </c>
      <c r="F90" s="27" t="n">
        <f aca="false">IF(データ入力!$A$10="",0,-データ入力!$F$10^3)</f>
        <v>-0.957752186588921</v>
      </c>
      <c r="G90" s="27" t="n">
        <f aca="false">IF(データ入力!$A$10="",0,-データ入力!$E$10)</f>
        <v>-0.006854</v>
      </c>
      <c r="H90" s="27" t="n">
        <f aca="false">IF(データ入力!$A$10="",0,-データ入力!$F$10*データ入力!$D$10)</f>
        <v>-0.00100148571428571</v>
      </c>
      <c r="I90" s="27" t="n">
        <f aca="false">IF(データ入力!$A$10="",0,データ入力!$F$10^2*データ入力!$E$10)</f>
        <v>0.00665957020408163</v>
      </c>
      <c r="J90" s="27" t="n">
        <f aca="false">IF(データ入力!$A$10="",0,データ入力!$F$10^3*データ入力!$D$10)</f>
        <v>0.000973076221574344</v>
      </c>
      <c r="K90" s="27" t="n">
        <f aca="false">IF(データ入力!$A$10="",0,データ入力!$F$10^4*データ入力!$E$10)</f>
        <v>0.00647065586563932</v>
      </c>
    </row>
    <row r="91" customFormat="false" ht="15" hidden="false" customHeight="false" outlineLevel="0" collapsed="false">
      <c r="A91" s="25" t="s">
        <v>80</v>
      </c>
      <c r="B91" s="26" t="n">
        <f aca="false">データ入力!$A$11</f>
        <v>3460</v>
      </c>
      <c r="C91" s="27" t="n">
        <v>0</v>
      </c>
      <c r="D91" s="31" t="n">
        <f aca="false">IF(データ入力!$A$11="",0,データ入力!$F$11)</f>
        <v>0.988571428571429</v>
      </c>
      <c r="E91" s="27" t="n">
        <v>0</v>
      </c>
      <c r="F91" s="27" t="n">
        <f aca="false">IF(データ入力!$A$11="",0,-データ入力!$F$11^3)</f>
        <v>-0.96610462973761</v>
      </c>
      <c r="G91" s="27" t="n">
        <f aca="false">IF(データ入力!$A$11="",0,-データ入力!$E$11)</f>
        <v>-0.00908</v>
      </c>
      <c r="H91" s="27" t="n">
        <f aca="false">IF(データ入力!$A$11="",0,-データ入力!$F$11*データ入力!$D$11)</f>
        <v>-0.00233500571428571</v>
      </c>
      <c r="I91" s="27" t="n">
        <f aca="false">IF(データ入力!$A$11="",0,データ入力!$F$11^2*データ入力!$E$11)</f>
        <v>0.00887364310204082</v>
      </c>
      <c r="J91" s="27" t="n">
        <f aca="false">IF(データ入力!$A$11="",0,データ入力!$F$11^3*データ入力!$D$11)</f>
        <v>0.00228193913544023</v>
      </c>
      <c r="K91" s="27" t="n">
        <f aca="false">IF(データ入力!$A$11="",0,データ入力!$F$11^4*データ入力!$E$11)</f>
        <v>0.00867197598044015</v>
      </c>
    </row>
    <row r="92" customFormat="false" ht="15" hidden="false" customHeight="false" outlineLevel="0" collapsed="false">
      <c r="A92" s="25" t="s">
        <v>80</v>
      </c>
      <c r="B92" s="26" t="n">
        <f aca="false">データ入力!$A$12</f>
        <v>3470</v>
      </c>
      <c r="C92" s="27" t="n">
        <v>0</v>
      </c>
      <c r="D92" s="31" t="n">
        <f aca="false">IF(データ入力!$A$12="",0,データ入力!$F$12)</f>
        <v>0.991428571428572</v>
      </c>
      <c r="E92" s="27" t="n">
        <v>0</v>
      </c>
      <c r="F92" s="27" t="n">
        <f aca="false">IF(データ入力!$A$12="",0,-データ入力!$F$12^3)</f>
        <v>-0.974505492711371</v>
      </c>
      <c r="G92" s="27" t="n">
        <f aca="false">IF(データ入力!$A$12="",0,-データ入力!$E$12)</f>
        <v>-0.012171</v>
      </c>
      <c r="H92" s="27" t="n">
        <f aca="false">IF(データ入力!$A$12="",0,-データ入力!$F$12*データ入力!$D$12)</f>
        <v>-0.00687952285714286</v>
      </c>
      <c r="I92" s="27" t="n">
        <f aca="false">IF(データ入力!$A$12="",0,データ入力!$F$12^2*データ入力!$E$12)</f>
        <v>0.0119632484816327</v>
      </c>
      <c r="J92" s="27" t="n">
        <f aca="false">IF(データ入力!$A$12="",0,データ入力!$F$12^3*データ入力!$D$12)</f>
        <v>0.0067620936139242</v>
      </c>
      <c r="K92" s="27" t="n">
        <f aca="false">IF(データ入力!$A$12="",0,データ入力!$F$12^4*データ入力!$E$12)</f>
        <v>0.011759043154489</v>
      </c>
    </row>
    <row r="93" customFormat="false" ht="15" hidden="false" customHeight="false" outlineLevel="0" collapsed="false">
      <c r="A93" s="25" t="s">
        <v>80</v>
      </c>
      <c r="B93" s="26" t="n">
        <f aca="false">データ入力!$A$13</f>
        <v>3480</v>
      </c>
      <c r="C93" s="27" t="n">
        <v>0</v>
      </c>
      <c r="D93" s="31" t="n">
        <f aca="false">IF(データ入力!$A$13="",0,データ入力!$F$13)</f>
        <v>0.994285714285714</v>
      </c>
      <c r="E93" s="27" t="n">
        <v>0</v>
      </c>
      <c r="F93" s="27" t="n">
        <f aca="false">IF(データ入力!$A$13="",0,-データ入力!$F$13^3)</f>
        <v>-0.982954915451895</v>
      </c>
      <c r="G93" s="27" t="n">
        <f aca="false">IF(データ入力!$A$13="",0,-データ入力!$E$13)</f>
        <v>-0.007099</v>
      </c>
      <c r="H93" s="27" t="n">
        <f aca="false">IF(データ入力!$A$13="",0,-データ入力!$F$13*データ入力!$D$13)</f>
        <v>-0.01687104</v>
      </c>
      <c r="I93" s="27" t="n">
        <f aca="false">IF(データ入力!$A$13="",0,データ入力!$F$13^2*データ入力!$E$13)</f>
        <v>0.00701810037551021</v>
      </c>
      <c r="J93" s="27" t="n">
        <f aca="false">IF(データ入力!$A$13="",0,データ入力!$F$13^3*データ入力!$D$13)</f>
        <v>0.0166787790053878</v>
      </c>
      <c r="K93" s="27" t="n">
        <f aca="false">IF(データ入力!$A$13="",0,データ入力!$F$13^4*データ入力!$E$13)</f>
        <v>0.00693812267653704</v>
      </c>
    </row>
    <row r="94" customFormat="false" ht="15" hidden="false" customHeight="false" outlineLevel="0" collapsed="false">
      <c r="A94" s="25" t="s">
        <v>80</v>
      </c>
      <c r="B94" s="26" t="n">
        <f aca="false">データ入力!$A$14</f>
        <v>3490</v>
      </c>
      <c r="C94" s="27" t="n">
        <v>0</v>
      </c>
      <c r="D94" s="31" t="n">
        <f aca="false">IF(データ入力!$A$14="",0,データ入力!$F$14)</f>
        <v>0.997142857142857</v>
      </c>
      <c r="E94" s="27" t="n">
        <v>0</v>
      </c>
      <c r="F94" s="27" t="n">
        <f aca="false">IF(データ入力!$A$14="",0,-データ入力!$F$14^3)</f>
        <v>-0.991453037900875</v>
      </c>
      <c r="G94" s="27" t="n">
        <f aca="false">IF(データ入力!$A$14="",0,-データ入力!$E$14)</f>
        <v>0.002205</v>
      </c>
      <c r="H94" s="27" t="n">
        <f aca="false">IF(データ入力!$A$14="",0,-データ入力!$F$14*データ入力!$D$14)</f>
        <v>-0.01269662</v>
      </c>
      <c r="I94" s="27" t="n">
        <f aca="false">IF(データ入力!$A$14="",0,データ入力!$F$14^2*データ入力!$E$14)</f>
        <v>-0.002192418</v>
      </c>
      <c r="J94" s="27" t="n">
        <f aca="false">IF(データ入力!$A$14="",0,データ入力!$F$14^3*データ入力!$D$14)</f>
        <v>0.0126241715315918</v>
      </c>
      <c r="K94" s="27" t="n">
        <f aca="false">IF(データ入力!$A$14="",0,データ入力!$F$14^4*データ入力!$E$14)</f>
        <v>-0.00217990779443265</v>
      </c>
    </row>
    <row r="95" customFormat="false" ht="15" hidden="false" customHeight="false" outlineLevel="0" collapsed="false">
      <c r="A95" s="25" t="s">
        <v>80</v>
      </c>
      <c r="B95" s="26" t="n">
        <f aca="false">データ入力!$A$15</f>
        <v>3500</v>
      </c>
      <c r="C95" s="27" t="n">
        <v>0</v>
      </c>
      <c r="D95" s="31" t="n">
        <f aca="false">IF(データ入力!$A$15="",0,データ入力!$F$15)</f>
        <v>1</v>
      </c>
      <c r="E95" s="27" t="n">
        <v>0</v>
      </c>
      <c r="F95" s="27" t="n">
        <f aca="false">IF(データ入力!$A$15="",0,-データ入力!$F$15^3)</f>
        <v>-1</v>
      </c>
      <c r="G95" s="27" t="n">
        <f aca="false">IF(データ入力!$A$15="",0,-データ入力!$E$15)</f>
        <v>0.001806</v>
      </c>
      <c r="H95" s="27" t="n">
        <f aca="false">IF(データ入力!$A$15="",0,-データ入力!$F$15*データ入力!$D$15)</f>
        <v>-0.009201</v>
      </c>
      <c r="I95" s="27" t="n">
        <f aca="false">IF(データ入力!$A$15="",0,データ入力!$F$15^2*データ入力!$E$15)</f>
        <v>-0.001806</v>
      </c>
      <c r="J95" s="27" t="n">
        <f aca="false">IF(データ入力!$A$15="",0,データ入力!$F$15^3*データ入力!$D$15)</f>
        <v>0.009201</v>
      </c>
      <c r="K95" s="27" t="n">
        <f aca="false">IF(データ入力!$A$15="",0,データ入力!$F$15^4*データ入力!$E$15)</f>
        <v>-0.001806</v>
      </c>
    </row>
    <row r="96" customFormat="false" ht="15" hidden="false" customHeight="false" outlineLevel="0" collapsed="false">
      <c r="A96" s="25" t="s">
        <v>80</v>
      </c>
      <c r="B96" s="26" t="n">
        <f aca="false">データ入力!$A$16</f>
        <v>3510</v>
      </c>
      <c r="C96" s="27" t="n">
        <v>0</v>
      </c>
      <c r="D96" s="31" t="n">
        <f aca="false">IF(データ入力!$A$16="",0,データ入力!$F$16)</f>
        <v>1.00285714285714</v>
      </c>
      <c r="E96" s="27" t="n">
        <v>0</v>
      </c>
      <c r="F96" s="27" t="n">
        <f aca="false">IF(データ入力!$A$16="",0,-データ入力!$F$16^3)</f>
        <v>-1.00859594169096</v>
      </c>
      <c r="G96" s="27" t="n">
        <f aca="false">IF(データ入力!$A$16="",0,-データ入力!$E$16)</f>
        <v>0.00152</v>
      </c>
      <c r="H96" s="27" t="n">
        <f aca="false">IF(データ入力!$A$16="",0,-データ入力!$F$16*データ入力!$D$16)</f>
        <v>-0.0101910342857143</v>
      </c>
      <c r="I96" s="27" t="n">
        <f aca="false">IF(データ入力!$A$16="",0,データ入力!$F$16^2*データ入力!$E$16)</f>
        <v>-0.00152869812244898</v>
      </c>
      <c r="J96" s="27" t="n">
        <f aca="false">IF(データ入力!$A$16="",0,データ入力!$F$16^3*データ入力!$D$16)</f>
        <v>0.0102493519594636</v>
      </c>
      <c r="K96" s="27" t="n">
        <f aca="false">IF(データ入力!$A$16="",0,データ入力!$F$16^4*データ入力!$E$16)</f>
        <v>-0.00153744601945989</v>
      </c>
    </row>
    <row r="97" customFormat="false" ht="15" hidden="false" customHeight="false" outlineLevel="0" collapsed="false">
      <c r="A97" s="25" t="s">
        <v>80</v>
      </c>
      <c r="B97" s="26" t="n">
        <f aca="false">データ入力!$A$17</f>
        <v>3520</v>
      </c>
      <c r="C97" s="27" t="n">
        <v>0</v>
      </c>
      <c r="D97" s="31" t="n">
        <f aca="false">IF(データ入力!$A$17="",0,データ入力!$F$17)</f>
        <v>1.00571428571429</v>
      </c>
      <c r="E97" s="27" t="n">
        <v>0</v>
      </c>
      <c r="F97" s="27" t="n">
        <f aca="false">IF(データ入力!$A$17="",0,-データ入力!$F$17^3)</f>
        <v>-1.01724100291545</v>
      </c>
      <c r="G97" s="27" t="n">
        <f aca="false">IF(データ入力!$A$17="",0,-データ入力!$E$17)</f>
        <v>0.005744</v>
      </c>
      <c r="H97" s="27" t="n">
        <f aca="false">IF(データ入力!$A$17="",0,-データ入力!$F$17*データ入力!$D$17)</f>
        <v>-0.0111714742857143</v>
      </c>
      <c r="I97" s="27" t="n">
        <f aca="false">IF(データ入力!$A$17="",0,データ入力!$F$17^2*データ入力!$E$17)</f>
        <v>-0.00580983327346939</v>
      </c>
      <c r="J97" s="27" t="n">
        <f aca="false">IF(データ入力!$A$17="",0,データ入力!$F$17^3*データ入力!$D$17)</f>
        <v>0.0112995130603848</v>
      </c>
      <c r="K97" s="27" t="n">
        <f aca="false">IF(データ入力!$A$17="",0,データ入力!$F$17^4*データ入力!$E$17)</f>
        <v>-0.00587642107686491</v>
      </c>
    </row>
    <row r="98" customFormat="false" ht="15" hidden="false" customHeight="false" outlineLevel="0" collapsed="false">
      <c r="A98" s="25" t="s">
        <v>80</v>
      </c>
      <c r="B98" s="26" t="n">
        <f aca="false">データ入力!$A$18</f>
        <v>3530</v>
      </c>
      <c r="C98" s="27" t="n">
        <v>0</v>
      </c>
      <c r="D98" s="31" t="n">
        <f aca="false">IF(データ入力!$A$18="",0,データ入力!$F$18)</f>
        <v>1.00857142857143</v>
      </c>
      <c r="E98" s="27" t="n">
        <v>0</v>
      </c>
      <c r="F98" s="27" t="n">
        <f aca="false">IF(データ入力!$A$18="",0,-データ入力!$F$18^3)</f>
        <v>-1.02593532361516</v>
      </c>
      <c r="G98" s="27" t="n">
        <f aca="false">IF(データ入力!$A$18="",0,-データ入力!$E$18)</f>
        <v>0.008669</v>
      </c>
      <c r="H98" s="27" t="n">
        <f aca="false">IF(データ入力!$A$18="",0,-データ入力!$F$18*データ入力!$D$18)</f>
        <v>-0.00653352571428572</v>
      </c>
      <c r="I98" s="27" t="n">
        <f aca="false">IF(データ入力!$A$18="",0,データ入力!$F$18^2*データ入力!$E$18)</f>
        <v>-0.00881824833469388</v>
      </c>
      <c r="J98" s="27" t="n">
        <f aca="false">IF(データ入力!$A$18="",0,データ入力!$F$18^3*データ入力!$D$18)</f>
        <v>0.00664600902637901</v>
      </c>
      <c r="K98" s="27" t="n">
        <f aca="false">IF(データ入力!$A$18="",0,データ入力!$F$18^4*データ入力!$E$18)</f>
        <v>-0.008970066177452</v>
      </c>
    </row>
    <row r="99" customFormat="false" ht="15" hidden="false" customHeight="false" outlineLevel="0" collapsed="false">
      <c r="A99" s="25" t="s">
        <v>80</v>
      </c>
      <c r="B99" s="26" t="n">
        <f aca="false">データ入力!$A$19</f>
        <v>3540</v>
      </c>
      <c r="C99" s="27" t="n">
        <v>0</v>
      </c>
      <c r="D99" s="31" t="n">
        <f aca="false">IF(データ入力!$A$19="",0,データ入力!$F$19)</f>
        <v>1.01142857142857</v>
      </c>
      <c r="E99" s="27" t="n">
        <v>0</v>
      </c>
      <c r="F99" s="27" t="n">
        <f aca="false">IF(データ入力!$A$19="",0,-データ入力!$F$19^3)</f>
        <v>-1.03467904373178</v>
      </c>
      <c r="G99" s="27" t="n">
        <f aca="false">IF(データ入力!$A$19="",0,-データ入力!$E$19)</f>
        <v>0.007475</v>
      </c>
      <c r="H99" s="27" t="n">
        <f aca="false">IF(データ入力!$A$19="",0,-データ入力!$F$19*データ入力!$D$19)</f>
        <v>-0.00317790857142857</v>
      </c>
      <c r="I99" s="27" t="n">
        <f aca="false">IF(データ入力!$A$19="",0,データ入力!$F$19^2*データ入力!$E$19)</f>
        <v>-0.00764683346938776</v>
      </c>
      <c r="J99" s="27" t="n">
        <f aca="false">IF(データ入力!$A$19="",0,データ入力!$F$19^3*データ入力!$D$19)</f>
        <v>0.00325096155540525</v>
      </c>
      <c r="K99" s="27" t="n">
        <f aca="false">IF(データ入力!$A$19="",0,データ入力!$F$19^4*データ入力!$E$19)</f>
        <v>-0.00782261700448813</v>
      </c>
    </row>
    <row r="100" customFormat="false" ht="15" hidden="false" customHeight="false" outlineLevel="0" collapsed="false">
      <c r="A100" s="25" t="s">
        <v>80</v>
      </c>
      <c r="B100" s="26" t="n">
        <f aca="false">データ入力!$A$20</f>
        <v>3550</v>
      </c>
      <c r="C100" s="27" t="n">
        <v>0</v>
      </c>
      <c r="D100" s="31" t="n">
        <f aca="false">IF(データ入力!$A$20="",0,データ入力!$F$20)</f>
        <v>1.01428571428571</v>
      </c>
      <c r="E100" s="27" t="n">
        <v>0</v>
      </c>
      <c r="F100" s="27" t="n">
        <f aca="false">IF(データ入力!$A$20="",0,-データ入力!$F$20^3)</f>
        <v>-1.043472303207</v>
      </c>
      <c r="G100" s="27" t="n">
        <f aca="false">IF(データ入力!$A$20="",0,-データ入力!$E$20)</f>
        <v>0.006056</v>
      </c>
      <c r="H100" s="27" t="n">
        <f aca="false">IF(データ入力!$A$20="",0,-データ入力!$F$20*データ入力!$D$20)</f>
        <v>-0.00178412857142857</v>
      </c>
      <c r="I100" s="27" t="n">
        <f aca="false">IF(データ入力!$A$20="",0,データ入力!$F$20^2*データ入力!$E$20)</f>
        <v>-0.00623026448979592</v>
      </c>
      <c r="J100" s="27" t="n">
        <f aca="false">IF(データ入力!$A$20="",0,データ入力!$F$20^3*データ入力!$D$20)</f>
        <v>0.00183546778134111</v>
      </c>
      <c r="K100" s="27" t="n">
        <f aca="false">IF(データ入力!$A$20="",0,データ入力!$F$20^4*データ入力!$E$20)</f>
        <v>-0.00640954352919617</v>
      </c>
    </row>
    <row r="101" customFormat="false" ht="15" hidden="false" customHeight="false" outlineLevel="0" collapsed="false">
      <c r="A101" s="25" t="s">
        <v>80</v>
      </c>
      <c r="B101" s="26" t="n">
        <f aca="false">データ入力!$A$21</f>
        <v>3560</v>
      </c>
      <c r="C101" s="27" t="n">
        <v>0</v>
      </c>
      <c r="D101" s="31" t="n">
        <f aca="false">IF(データ入力!$A$21="",0,データ入力!$F$21)</f>
        <v>1.01714285714286</v>
      </c>
      <c r="E101" s="27" t="n">
        <v>0</v>
      </c>
      <c r="F101" s="27" t="n">
        <f aca="false">IF(データ入力!$A$21="",0,-データ入力!$F$21^3)</f>
        <v>-1.05231524198251</v>
      </c>
      <c r="G101" s="27" t="n">
        <f aca="false">IF(データ入力!$A$21="",0,-データ入力!$E$21)</f>
        <v>0.005</v>
      </c>
      <c r="H101" s="27" t="n">
        <f aca="false">IF(データ入力!$A$21="",0,-データ入力!$F$21*データ入力!$D$21)</f>
        <v>-0.00114733714285714</v>
      </c>
      <c r="I101" s="27" t="n">
        <f aca="false">IF(データ入力!$A$21="",0,データ入力!$F$21^2*データ入力!$E$21)</f>
        <v>-0.00517289795918367</v>
      </c>
      <c r="J101" s="27" t="n">
        <f aca="false">IF(データ入力!$A$21="",0,データ入力!$F$21^3*データ入力!$D$21)</f>
        <v>0.00118701159295627</v>
      </c>
      <c r="K101" s="27" t="n">
        <f aca="false">IF(データ入力!$A$21="",0,データ入力!$F$21^4*データ入力!$E$21)</f>
        <v>-0.00535177465922532</v>
      </c>
    </row>
    <row r="102" customFormat="false" ht="15" hidden="false" customHeight="false" outlineLevel="0" collapsed="false">
      <c r="A102" s="25" t="s">
        <v>80</v>
      </c>
      <c r="B102" s="26" t="n">
        <f aca="false">データ入力!$A$22</f>
        <v>3570</v>
      </c>
      <c r="C102" s="27" t="n">
        <v>0</v>
      </c>
      <c r="D102" s="31" t="n">
        <f aca="false">IF(データ入力!$A$22="",0,データ入力!$F$22)</f>
        <v>1.02</v>
      </c>
      <c r="E102" s="27" t="n">
        <v>0</v>
      </c>
      <c r="F102" s="27" t="n">
        <f aca="false">IF(データ入力!$A$22="",0,-データ入力!$F$22^3)</f>
        <v>-1.061208</v>
      </c>
      <c r="G102" s="27" t="n">
        <f aca="false">IF(データ入力!$A$22="",0,-データ入力!$E$22)</f>
        <v>0.004246</v>
      </c>
      <c r="H102" s="27" t="n">
        <f aca="false">IF(データ入力!$A$22="",0,-データ入力!$F$22*データ入力!$D$22)</f>
        <v>-0.00081294</v>
      </c>
      <c r="I102" s="27" t="n">
        <f aca="false">IF(データ入力!$A$22="",0,データ入力!$F$22^2*データ入力!$E$22)</f>
        <v>-0.0044175384</v>
      </c>
      <c r="J102" s="27" t="n">
        <f aca="false">IF(データ入力!$A$22="",0,データ入力!$F$22^3*データ入力!$D$22)</f>
        <v>0.000845782776</v>
      </c>
      <c r="K102" s="27" t="n">
        <f aca="false">IF(データ入力!$A$22="",0,データ入力!$F$22^4*データ入力!$E$22)</f>
        <v>-0.00459600695136</v>
      </c>
    </row>
    <row r="103" customFormat="false" ht="15" hidden="false" customHeight="false" outlineLevel="0" collapsed="false">
      <c r="A103" s="25" t="s">
        <v>80</v>
      </c>
      <c r="B103" s="26" t="n">
        <f aca="false">データ入力!$A$23</f>
        <v>3580</v>
      </c>
      <c r="C103" s="27" t="n">
        <v>0</v>
      </c>
      <c r="D103" s="31" t="n">
        <f aca="false">IF(データ入力!$A$23="",0,データ入力!$F$23)</f>
        <v>1.02285714285714</v>
      </c>
      <c r="E103" s="27" t="n">
        <v>0</v>
      </c>
      <c r="F103" s="27" t="n">
        <f aca="false">IF(データ入力!$A$23="",0,-データ入力!$F$23^3)</f>
        <v>-1.07015071720117</v>
      </c>
      <c r="G103" s="27" t="n">
        <f aca="false">IF(データ入力!$A$23="",0,-データ入力!$E$23)</f>
        <v>0.003688</v>
      </c>
      <c r="H103" s="27" t="n">
        <f aca="false">IF(データ入力!$A$23="",0,-データ入力!$F$23*データ入力!$D$23)</f>
        <v>-0.00061576</v>
      </c>
      <c r="I103" s="27" t="n">
        <f aca="false">IF(データ入力!$A$23="",0,データ入力!$F$23^2*データ入力!$E$23)</f>
        <v>-0.00385852107755102</v>
      </c>
      <c r="J103" s="27" t="n">
        <f aca="false">IF(データ入力!$A$23="",0,データ入力!$F$23^3*データ入力!$D$23)</f>
        <v>0.000644230731755102</v>
      </c>
      <c r="K103" s="27" t="n">
        <f aca="false">IF(データ入力!$A$23="",0,データ入力!$F$23^4*データ入力!$E$23)</f>
        <v>-0.00403692649292448</v>
      </c>
    </row>
    <row r="104" customFormat="false" ht="15" hidden="false" customHeight="false" outlineLevel="0" collapsed="false">
      <c r="A104" s="25" t="s">
        <v>80</v>
      </c>
      <c r="B104" s="26" t="n">
        <f aca="false">データ入力!$A$24</f>
        <v>3590</v>
      </c>
      <c r="C104" s="27" t="n">
        <v>0</v>
      </c>
      <c r="D104" s="31" t="n">
        <f aca="false">IF(データ入力!$A$24="",0,データ入力!$F$24)</f>
        <v>1.02571428571429</v>
      </c>
      <c r="E104" s="27" t="n">
        <v>0</v>
      </c>
      <c r="F104" s="27" t="n">
        <f aca="false">IF(データ入力!$A$24="",0,-データ入力!$F$24^3)</f>
        <v>-1.0791435335277</v>
      </c>
      <c r="G104" s="27" t="n">
        <f aca="false">IF(データ入力!$A$24="",0,-データ入力!$E$24)</f>
        <v>0.003267</v>
      </c>
      <c r="H104" s="27" t="n">
        <f aca="false">IF(データ入力!$A$24="",0,-データ入力!$F$24*データ入力!$D$24)</f>
        <v>-0.000490291428571429</v>
      </c>
      <c r="I104" s="27" t="n">
        <f aca="false">IF(データ入力!$A$24="",0,データ入力!$F$24^2*データ入力!$E$24)</f>
        <v>-0.00343717736326531</v>
      </c>
      <c r="J104" s="27" t="n">
        <f aca="false">IF(データ入力!$A$24="",0,データ入力!$F$24^3*データ入力!$D$24)</f>
        <v>0.000515830609026239</v>
      </c>
      <c r="K104" s="27" t="n">
        <f aca="false">IF(データ入力!$A$24="",0,データ入力!$F$24^4*データ入力!$E$24)</f>
        <v>-0.00361621923065303</v>
      </c>
    </row>
    <row r="105" customFormat="false" ht="15" hidden="false" customHeight="false" outlineLevel="0" collapsed="false">
      <c r="A105" s="25" t="s">
        <v>80</v>
      </c>
      <c r="B105" s="26" t="n">
        <f aca="false">データ入力!$A$25</f>
        <v>3600</v>
      </c>
      <c r="C105" s="27" t="n">
        <v>0</v>
      </c>
      <c r="D105" s="31" t="n">
        <f aca="false">IF(データ入力!$A$25="",0,データ入力!$F$25)</f>
        <v>1.02857142857143</v>
      </c>
      <c r="E105" s="27" t="n">
        <v>0</v>
      </c>
      <c r="F105" s="27" t="n">
        <f aca="false">IF(データ入力!$A$25="",0,-データ入力!$F$25^3)</f>
        <v>-1.08818658892128</v>
      </c>
      <c r="G105" s="27" t="n">
        <f aca="false">IF(データ入力!$A$25="",0,-データ入力!$E$25)</f>
        <v>0.002933</v>
      </c>
      <c r="H105" s="27" t="n">
        <f aca="false">IF(データ入力!$A$25="",0,-データ入力!$F$25*データ入力!$D$25)</f>
        <v>-0.000404228571428572</v>
      </c>
      <c r="I105" s="27" t="n">
        <f aca="false">IF(データ入力!$A$25="",0,データ入力!$F$25^2*データ入力!$E$25)</f>
        <v>-0.00310299428571429</v>
      </c>
      <c r="J105" s="27" t="n">
        <f aca="false">IF(データ入力!$A$25="",0,データ入力!$F$25^3*データ入力!$D$25)</f>
        <v>0.000427657329446064</v>
      </c>
      <c r="K105" s="27" t="n">
        <f aca="false">IF(データ入力!$A$25="",0,データ入力!$F$25^4*データ入力!$E$25)</f>
        <v>-0.00328284130145773</v>
      </c>
    </row>
    <row r="106" customFormat="false" ht="15" hidden="false" customHeight="false" outlineLevel="0" collapsed="false">
      <c r="A106" s="25" t="s">
        <v>80</v>
      </c>
      <c r="B106" s="26" t="n">
        <f aca="false">データ入力!$A$26</f>
        <v>0</v>
      </c>
      <c r="C106" s="27" t="n">
        <v>0</v>
      </c>
      <c r="D106" s="27" t="n">
        <f aca="false">IF(データ入力!$A$26="",0,データ入力!$F$26)</f>
        <v>0</v>
      </c>
      <c r="E106" s="27" t="n">
        <v>0</v>
      </c>
      <c r="F106" s="27" t="n">
        <f aca="false">IF(データ入力!$A$26="",0,-データ入力!$F$26^3)</f>
        <v>0</v>
      </c>
      <c r="G106" s="27" t="n">
        <f aca="false">IF(データ入力!$A$26="",0,-データ入力!$E$26)</f>
        <v>0</v>
      </c>
      <c r="H106" s="27" t="n">
        <f aca="false">IF(データ入力!$A$26="",0,-データ入力!$F$26*データ入力!$D$26)</f>
        <v>0</v>
      </c>
      <c r="I106" s="27" t="n">
        <f aca="false">IF(データ入力!$A$26="",0,データ入力!$F$26^2*データ入力!$E$26)</f>
        <v>0</v>
      </c>
      <c r="J106" s="27" t="n">
        <f aca="false">IF(データ入力!$A$26="",0,データ入力!$F$26^3*データ入力!$D$26)</f>
        <v>0</v>
      </c>
      <c r="K106" s="27" t="n">
        <f aca="false">IF(データ入力!$A$26="",0,データ入力!$F$26^4*データ入力!$E$26)</f>
        <v>0</v>
      </c>
    </row>
    <row r="107" customFormat="false" ht="15" hidden="false" customHeight="false" outlineLevel="0" collapsed="false">
      <c r="A107" s="25" t="s">
        <v>80</v>
      </c>
      <c r="B107" s="26" t="n">
        <f aca="false">データ入力!$A$27</f>
        <v>0</v>
      </c>
      <c r="C107" s="27" t="n">
        <v>0</v>
      </c>
      <c r="D107" s="27" t="n">
        <f aca="false">IF(データ入力!$A$27="",0,データ入力!$F$27)</f>
        <v>0</v>
      </c>
      <c r="E107" s="27" t="n">
        <v>0</v>
      </c>
      <c r="F107" s="27" t="n">
        <f aca="false">IF(データ入力!$A$27="",0,-データ入力!$F$27^3)</f>
        <v>0</v>
      </c>
      <c r="G107" s="27" t="n">
        <f aca="false">IF(データ入力!$A$27="",0,-データ入力!$E$27)</f>
        <v>0</v>
      </c>
      <c r="H107" s="27" t="n">
        <f aca="false">IF(データ入力!$A$27="",0,-データ入力!$F$27*データ入力!$D$27)</f>
        <v>0</v>
      </c>
      <c r="I107" s="27" t="n">
        <f aca="false">IF(データ入力!$A$27="",0,データ入力!$F$27^2*データ入力!$E$27)</f>
        <v>0</v>
      </c>
      <c r="J107" s="27" t="n">
        <f aca="false">IF(データ入力!$A$27="",0,データ入力!$F$27^3*データ入力!$D$27)</f>
        <v>0</v>
      </c>
      <c r="K107" s="27" t="n">
        <f aca="false">IF(データ入力!$A$27="",0,データ入力!$F$27^4*データ入力!$E$27)</f>
        <v>0</v>
      </c>
    </row>
    <row r="108" customFormat="false" ht="15" hidden="false" customHeight="false" outlineLevel="0" collapsed="false">
      <c r="A108" s="25" t="s">
        <v>80</v>
      </c>
      <c r="B108" s="26" t="n">
        <f aca="false">データ入力!$A$28</f>
        <v>0</v>
      </c>
      <c r="C108" s="27" t="n">
        <v>0</v>
      </c>
      <c r="D108" s="27" t="n">
        <f aca="false">IF(データ入力!$A$28="",0,データ入力!$F$28)</f>
        <v>0</v>
      </c>
      <c r="E108" s="27" t="n">
        <v>0</v>
      </c>
      <c r="F108" s="27" t="n">
        <f aca="false">IF(データ入力!$A$28="",0,-データ入力!$F$28^3)</f>
        <v>0</v>
      </c>
      <c r="G108" s="27" t="n">
        <f aca="false">IF(データ入力!$A$28="",0,-データ入力!$E$28)</f>
        <v>0</v>
      </c>
      <c r="H108" s="27" t="n">
        <f aca="false">IF(データ入力!$A$28="",0,-データ入力!$F$28*データ入力!$D$28)</f>
        <v>0</v>
      </c>
      <c r="I108" s="27" t="n">
        <f aca="false">IF(データ入力!$A$28="",0,データ入力!$F$28^2*データ入力!$E$28)</f>
        <v>0</v>
      </c>
      <c r="J108" s="27" t="n">
        <f aca="false">IF(データ入力!$A$28="",0,データ入力!$F$28^3*データ入力!$D$28)</f>
        <v>0</v>
      </c>
      <c r="K108" s="27" t="n">
        <f aca="false">IF(データ入力!$A$28="",0,データ入力!$F$28^4*データ入力!$E$28)</f>
        <v>0</v>
      </c>
    </row>
    <row r="109" customFormat="false" ht="15" hidden="false" customHeight="false" outlineLevel="0" collapsed="false">
      <c r="A109" s="25" t="s">
        <v>80</v>
      </c>
      <c r="B109" s="26" t="n">
        <f aca="false">データ入力!$A$29</f>
        <v>0</v>
      </c>
      <c r="C109" s="27" t="n">
        <v>0</v>
      </c>
      <c r="D109" s="27" t="n">
        <f aca="false">IF(データ入力!$A$29="",0,データ入力!$F$29)</f>
        <v>0</v>
      </c>
      <c r="E109" s="27" t="n">
        <v>0</v>
      </c>
      <c r="F109" s="27" t="n">
        <f aca="false">IF(データ入力!$A$29="",0,-データ入力!$F$29^3)</f>
        <v>0</v>
      </c>
      <c r="G109" s="27" t="n">
        <f aca="false">IF(データ入力!$A$29="",0,-データ入力!$E$29)</f>
        <v>0</v>
      </c>
      <c r="H109" s="27" t="n">
        <f aca="false">IF(データ入力!$A$29="",0,-データ入力!$F$29*データ入力!$D$29)</f>
        <v>0</v>
      </c>
      <c r="I109" s="27" t="n">
        <f aca="false">IF(データ入力!$A$29="",0,データ入力!$F$29^2*データ入力!$E$29)</f>
        <v>0</v>
      </c>
      <c r="J109" s="27" t="n">
        <f aca="false">IF(データ入力!$A$29="",0,データ入力!$F$29^3*データ入力!$D$29)</f>
        <v>0</v>
      </c>
      <c r="K109" s="27" t="n">
        <f aca="false">IF(データ入力!$A$29="",0,データ入力!$F$29^4*データ入力!$E$29)</f>
        <v>0</v>
      </c>
    </row>
    <row r="110" customFormat="false" ht="15" hidden="false" customHeight="false" outlineLevel="0" collapsed="false">
      <c r="A110" s="25" t="s">
        <v>80</v>
      </c>
      <c r="B110" s="26" t="n">
        <f aca="false">データ入力!$A$30</f>
        <v>0</v>
      </c>
      <c r="C110" s="27" t="n">
        <v>0</v>
      </c>
      <c r="D110" s="27" t="n">
        <f aca="false">IF(データ入力!$A$30="",0,データ入力!$F$30)</f>
        <v>0</v>
      </c>
      <c r="E110" s="27" t="n">
        <v>0</v>
      </c>
      <c r="F110" s="27" t="n">
        <f aca="false">IF(データ入力!$A$30="",0,-データ入力!$F$30^3)</f>
        <v>0</v>
      </c>
      <c r="G110" s="27" t="n">
        <f aca="false">IF(データ入力!$A$30="",0,-データ入力!$E$30)</f>
        <v>0</v>
      </c>
      <c r="H110" s="27" t="n">
        <f aca="false">IF(データ入力!$A$30="",0,-データ入力!$F$30*データ入力!$D$30)</f>
        <v>0</v>
      </c>
      <c r="I110" s="27" t="n">
        <f aca="false">IF(データ入力!$A$30="",0,データ入力!$F$30^2*データ入力!$E$30)</f>
        <v>0</v>
      </c>
      <c r="J110" s="27" t="n">
        <f aca="false">IF(データ入力!$A$30="",0,データ入力!$F$30^3*データ入力!$D$30)</f>
        <v>0</v>
      </c>
      <c r="K110" s="27" t="n">
        <f aca="false">IF(データ入力!$A$30="",0,データ入力!$F$30^4*データ入力!$E$30)</f>
        <v>0</v>
      </c>
    </row>
    <row r="111" customFormat="false" ht="15" hidden="false" customHeight="false" outlineLevel="0" collapsed="false">
      <c r="A111" s="25" t="s">
        <v>80</v>
      </c>
      <c r="B111" s="26" t="n">
        <f aca="false">データ入力!$A$31</f>
        <v>0</v>
      </c>
      <c r="C111" s="27" t="n">
        <v>0</v>
      </c>
      <c r="D111" s="27" t="n">
        <f aca="false">IF(データ入力!$A$31="",0,データ入力!$F$31)</f>
        <v>0</v>
      </c>
      <c r="E111" s="27" t="n">
        <v>0</v>
      </c>
      <c r="F111" s="27" t="n">
        <f aca="false">IF(データ入力!$A$31="",0,-データ入力!$F$31^3)</f>
        <v>0</v>
      </c>
      <c r="G111" s="27" t="n">
        <f aca="false">IF(データ入力!$A$31="",0,-データ入力!$E$31)</f>
        <v>0</v>
      </c>
      <c r="H111" s="27" t="n">
        <f aca="false">IF(データ入力!$A$31="",0,-データ入力!$F$31*データ入力!$D$31)</f>
        <v>0</v>
      </c>
      <c r="I111" s="27" t="n">
        <f aca="false">IF(データ入力!$A$31="",0,データ入力!$F$31^2*データ入力!$E$31)</f>
        <v>0</v>
      </c>
      <c r="J111" s="27" t="n">
        <f aca="false">IF(データ入力!$A$31="",0,データ入力!$F$31^3*データ入力!$D$31)</f>
        <v>0</v>
      </c>
      <c r="K111" s="27" t="n">
        <f aca="false">IF(データ入力!$A$31="",0,データ入力!$F$31^4*データ入力!$E$31)</f>
        <v>0</v>
      </c>
    </row>
    <row r="112" customFormat="false" ht="15" hidden="false" customHeight="false" outlineLevel="0" collapsed="false">
      <c r="A112" s="25" t="s">
        <v>80</v>
      </c>
      <c r="B112" s="26" t="n">
        <f aca="false">データ入力!$A$32</f>
        <v>0</v>
      </c>
      <c r="C112" s="27" t="n">
        <v>0</v>
      </c>
      <c r="D112" s="27" t="n">
        <f aca="false">IF(データ入力!$A$32="",0,データ入力!$F$32)</f>
        <v>0</v>
      </c>
      <c r="E112" s="27" t="n">
        <v>0</v>
      </c>
      <c r="F112" s="27" t="n">
        <f aca="false">IF(データ入力!$A$32="",0,-データ入力!$F$32^3)</f>
        <v>0</v>
      </c>
      <c r="G112" s="27" t="n">
        <f aca="false">IF(データ入力!$A$32="",0,-データ入力!$E$32)</f>
        <v>0</v>
      </c>
      <c r="H112" s="27" t="n">
        <f aca="false">IF(データ入力!$A$32="",0,-データ入力!$F$32*データ入力!$D$32)</f>
        <v>0</v>
      </c>
      <c r="I112" s="27" t="n">
        <f aca="false">IF(データ入力!$A$32="",0,データ入力!$F$32^2*データ入力!$E$32)</f>
        <v>0</v>
      </c>
      <c r="J112" s="27" t="n">
        <f aca="false">IF(データ入力!$A$32="",0,データ入力!$F$32^3*データ入力!$D$32)</f>
        <v>0</v>
      </c>
      <c r="K112" s="27" t="n">
        <f aca="false">IF(データ入力!$A$32="",0,データ入力!$F$32^4*データ入力!$E$32)</f>
        <v>0</v>
      </c>
    </row>
    <row r="113" customFormat="false" ht="15" hidden="false" customHeight="false" outlineLevel="0" collapsed="false">
      <c r="A113" s="25" t="s">
        <v>80</v>
      </c>
      <c r="B113" s="26" t="n">
        <f aca="false">データ入力!$A$33</f>
        <v>0</v>
      </c>
      <c r="C113" s="27" t="n">
        <v>0</v>
      </c>
      <c r="D113" s="27" t="n">
        <f aca="false">IF(データ入力!$A$33="",0,データ入力!$F$33)</f>
        <v>0</v>
      </c>
      <c r="E113" s="27" t="n">
        <v>0</v>
      </c>
      <c r="F113" s="27" t="n">
        <f aca="false">IF(データ入力!$A$33="",0,-データ入力!$F$33^3)</f>
        <v>0</v>
      </c>
      <c r="G113" s="27" t="n">
        <f aca="false">IF(データ入力!$A$33="",0,-データ入力!$E$33)</f>
        <v>0</v>
      </c>
      <c r="H113" s="27" t="n">
        <f aca="false">IF(データ入力!$A$33="",0,-データ入力!$F$33*データ入力!$D$33)</f>
        <v>0</v>
      </c>
      <c r="I113" s="27" t="n">
        <f aca="false">IF(データ入力!$A$33="",0,データ入力!$F$33^2*データ入力!$E$33)</f>
        <v>0</v>
      </c>
      <c r="J113" s="27" t="n">
        <f aca="false">IF(データ入力!$A$33="",0,データ入力!$F$33^3*データ入力!$D$33)</f>
        <v>0</v>
      </c>
      <c r="K113" s="27" t="n">
        <f aca="false">IF(データ入力!$A$33="",0,データ入力!$F$33^4*データ入力!$E$33)</f>
        <v>0</v>
      </c>
    </row>
    <row r="114" customFormat="false" ht="15" hidden="false" customHeight="false" outlineLevel="0" collapsed="false">
      <c r="A114" s="25" t="s">
        <v>80</v>
      </c>
      <c r="B114" s="26" t="n">
        <f aca="false">データ入力!$A$34</f>
        <v>0</v>
      </c>
      <c r="C114" s="27" t="n">
        <v>0</v>
      </c>
      <c r="D114" s="27" t="n">
        <f aca="false">IF(データ入力!$A$34="",0,データ入力!$F$34)</f>
        <v>0</v>
      </c>
      <c r="E114" s="27" t="n">
        <v>0</v>
      </c>
      <c r="F114" s="27" t="n">
        <f aca="false">IF(データ入力!$A$34="",0,-データ入力!$F$34^3)</f>
        <v>0</v>
      </c>
      <c r="G114" s="27" t="n">
        <f aca="false">IF(データ入力!$A$34="",0,-データ入力!$E$34)</f>
        <v>0</v>
      </c>
      <c r="H114" s="27" t="n">
        <f aca="false">IF(データ入力!$A$34="",0,-データ入力!$F$34*データ入力!$D$34)</f>
        <v>0</v>
      </c>
      <c r="I114" s="27" t="n">
        <f aca="false">IF(データ入力!$A$34="",0,データ入力!$F$34^2*データ入力!$E$34)</f>
        <v>0</v>
      </c>
      <c r="J114" s="27" t="n">
        <f aca="false">IF(データ入力!$A$34="",0,データ入力!$F$34^3*データ入力!$D$34)</f>
        <v>0</v>
      </c>
      <c r="K114" s="27" t="n">
        <f aca="false">IF(データ入力!$A$34="",0,データ入力!$F$34^4*データ入力!$E$34)</f>
        <v>0</v>
      </c>
    </row>
    <row r="115" customFormat="false" ht="15" hidden="false" customHeight="false" outlineLevel="0" collapsed="false">
      <c r="A115" s="25" t="s">
        <v>80</v>
      </c>
      <c r="B115" s="26" t="n">
        <f aca="false">データ入力!$A$35</f>
        <v>0</v>
      </c>
      <c r="C115" s="27" t="n">
        <v>0</v>
      </c>
      <c r="D115" s="27" t="n">
        <f aca="false">IF(データ入力!$A$35="",0,データ入力!$F$35)</f>
        <v>0</v>
      </c>
      <c r="E115" s="27" t="n">
        <v>0</v>
      </c>
      <c r="F115" s="27" t="n">
        <f aca="false">IF(データ入力!$A$35="",0,-データ入力!$F$35^3)</f>
        <v>0</v>
      </c>
      <c r="G115" s="27" t="n">
        <f aca="false">IF(データ入力!$A$35="",0,-データ入力!$E$35)</f>
        <v>0</v>
      </c>
      <c r="H115" s="27" t="n">
        <f aca="false">IF(データ入力!$A$35="",0,-データ入力!$F$35*データ入力!$D$35)</f>
        <v>0</v>
      </c>
      <c r="I115" s="27" t="n">
        <f aca="false">IF(データ入力!$A$35="",0,データ入力!$F$35^2*データ入力!$E$35)</f>
        <v>0</v>
      </c>
      <c r="J115" s="27" t="n">
        <f aca="false">IF(データ入力!$A$35="",0,データ入力!$F$35^3*データ入力!$D$35)</f>
        <v>0</v>
      </c>
      <c r="K115" s="27" t="n">
        <f aca="false">IF(データ入力!$A$35="",0,データ入力!$F$35^4*データ入力!$E$35)</f>
        <v>0</v>
      </c>
    </row>
    <row r="116" customFormat="false" ht="15" hidden="false" customHeight="false" outlineLevel="0" collapsed="false">
      <c r="A116" s="25" t="s">
        <v>80</v>
      </c>
      <c r="B116" s="26" t="n">
        <f aca="false">データ入力!$A$36</f>
        <v>0</v>
      </c>
      <c r="C116" s="27" t="n">
        <v>0</v>
      </c>
      <c r="D116" s="27" t="n">
        <f aca="false">IF(データ入力!$A$36="",0,データ入力!$F$36)</f>
        <v>0</v>
      </c>
      <c r="E116" s="27" t="n">
        <v>0</v>
      </c>
      <c r="F116" s="27" t="n">
        <f aca="false">IF(データ入力!$A$36="",0,-データ入力!$F$36^3)</f>
        <v>0</v>
      </c>
      <c r="G116" s="27" t="n">
        <f aca="false">IF(データ入力!$A$36="",0,-データ入力!$E$36)</f>
        <v>0</v>
      </c>
      <c r="H116" s="27" t="n">
        <f aca="false">IF(データ入力!$A$36="",0,-データ入力!$F$36*データ入力!$D$36)</f>
        <v>0</v>
      </c>
      <c r="I116" s="27" t="n">
        <f aca="false">IF(データ入力!$A$36="",0,データ入力!$F$36^2*データ入力!$E$36)</f>
        <v>0</v>
      </c>
      <c r="J116" s="27" t="n">
        <f aca="false">IF(データ入力!$A$36="",0,データ入力!$F$36^3*データ入力!$D$36)</f>
        <v>0</v>
      </c>
      <c r="K116" s="27" t="n">
        <f aca="false">IF(データ入力!$A$36="",0,データ入力!$F$36^4*データ入力!$E$36)</f>
        <v>0</v>
      </c>
    </row>
    <row r="117" customFormat="false" ht="15" hidden="false" customHeight="false" outlineLevel="0" collapsed="false">
      <c r="A117" s="25" t="s">
        <v>80</v>
      </c>
      <c r="B117" s="26" t="n">
        <f aca="false">データ入力!$A$37</f>
        <v>0</v>
      </c>
      <c r="C117" s="27" t="n">
        <v>0</v>
      </c>
      <c r="D117" s="27" t="n">
        <f aca="false">IF(データ入力!$A$37="",0,データ入力!$F$37)</f>
        <v>0</v>
      </c>
      <c r="E117" s="27" t="n">
        <v>0</v>
      </c>
      <c r="F117" s="27" t="n">
        <f aca="false">IF(データ入力!$A$37="",0,-データ入力!$F$37^3)</f>
        <v>0</v>
      </c>
      <c r="G117" s="27" t="n">
        <f aca="false">IF(データ入力!$A$37="",0,-データ入力!$E$37)</f>
        <v>0</v>
      </c>
      <c r="H117" s="27" t="n">
        <f aca="false">IF(データ入力!$A$37="",0,-データ入力!$F$37*データ入力!$D$37)</f>
        <v>0</v>
      </c>
      <c r="I117" s="27" t="n">
        <f aca="false">IF(データ入力!$A$37="",0,データ入力!$F$37^2*データ入力!$E$37)</f>
        <v>0</v>
      </c>
      <c r="J117" s="27" t="n">
        <f aca="false">IF(データ入力!$A$37="",0,データ入力!$F$37^3*データ入力!$D$37)</f>
        <v>0</v>
      </c>
      <c r="K117" s="27" t="n">
        <f aca="false">IF(データ入力!$A$37="",0,データ入力!$F$37^4*データ入力!$E$37)</f>
        <v>0</v>
      </c>
    </row>
    <row r="118" customFormat="false" ht="15" hidden="false" customHeight="false" outlineLevel="0" collapsed="false">
      <c r="A118" s="25" t="s">
        <v>80</v>
      </c>
      <c r="B118" s="26" t="n">
        <f aca="false">データ入力!$A$38</f>
        <v>0</v>
      </c>
      <c r="C118" s="27" t="n">
        <v>0</v>
      </c>
      <c r="D118" s="27" t="n">
        <f aca="false">IF(データ入力!$A$38="",0,データ入力!$F$38)</f>
        <v>0</v>
      </c>
      <c r="E118" s="27" t="n">
        <v>0</v>
      </c>
      <c r="F118" s="27" t="n">
        <f aca="false">IF(データ入力!$A$38="",0,-データ入力!$F$38^3)</f>
        <v>0</v>
      </c>
      <c r="G118" s="27" t="n">
        <f aca="false">IF(データ入力!$A$38="",0,-データ入力!$E$38)</f>
        <v>0</v>
      </c>
      <c r="H118" s="27" t="n">
        <f aca="false">IF(データ入力!$A$38="",0,-データ入力!$F$38*データ入力!$D$38)</f>
        <v>0</v>
      </c>
      <c r="I118" s="27" t="n">
        <f aca="false">IF(データ入力!$A$38="",0,データ入力!$F$38^2*データ入力!$E$38)</f>
        <v>0</v>
      </c>
      <c r="J118" s="27" t="n">
        <f aca="false">IF(データ入力!$A$38="",0,データ入力!$F$38^3*データ入力!$D$38)</f>
        <v>0</v>
      </c>
      <c r="K118" s="27" t="n">
        <f aca="false">IF(データ入力!$A$38="",0,データ入力!$F$38^4*データ入力!$E$38)</f>
        <v>0</v>
      </c>
    </row>
    <row r="119" customFormat="false" ht="15" hidden="false" customHeight="false" outlineLevel="0" collapsed="false">
      <c r="A119" s="25" t="s">
        <v>80</v>
      </c>
      <c r="B119" s="26" t="n">
        <f aca="false">データ入力!$A$39</f>
        <v>0</v>
      </c>
      <c r="C119" s="27" t="n">
        <v>0</v>
      </c>
      <c r="D119" s="27" t="n">
        <f aca="false">IF(データ入力!$A$39="",0,データ入力!$F$39)</f>
        <v>0</v>
      </c>
      <c r="E119" s="27" t="n">
        <v>0</v>
      </c>
      <c r="F119" s="27" t="n">
        <f aca="false">IF(データ入力!$A$39="",0,-データ入力!$F$39^3)</f>
        <v>0</v>
      </c>
      <c r="G119" s="27" t="n">
        <f aca="false">IF(データ入力!$A$39="",0,-データ入力!$E$39)</f>
        <v>0</v>
      </c>
      <c r="H119" s="27" t="n">
        <f aca="false">IF(データ入力!$A$39="",0,-データ入力!$F$39*データ入力!$D$39)</f>
        <v>0</v>
      </c>
      <c r="I119" s="27" t="n">
        <f aca="false">IF(データ入力!$A$39="",0,データ入力!$F$39^2*データ入力!$E$39)</f>
        <v>0</v>
      </c>
      <c r="J119" s="27" t="n">
        <f aca="false">IF(データ入力!$A$39="",0,データ入力!$F$39^3*データ入力!$D$39)</f>
        <v>0</v>
      </c>
      <c r="K119" s="27" t="n">
        <f aca="false">IF(データ入力!$A$39="",0,データ入力!$F$39^4*データ入力!$E$39)</f>
        <v>0</v>
      </c>
    </row>
    <row r="120" customFormat="false" ht="15" hidden="false" customHeight="false" outlineLevel="0" collapsed="false">
      <c r="A120" s="25" t="s">
        <v>80</v>
      </c>
      <c r="B120" s="26" t="n">
        <f aca="false">データ入力!$A$40</f>
        <v>0</v>
      </c>
      <c r="C120" s="27" t="n">
        <v>0</v>
      </c>
      <c r="D120" s="27" t="n">
        <f aca="false">IF(データ入力!$A$40="",0,データ入力!$F$40)</f>
        <v>0</v>
      </c>
      <c r="E120" s="27" t="n">
        <v>0</v>
      </c>
      <c r="F120" s="27" t="n">
        <f aca="false">IF(データ入力!$A$40="",0,-データ入力!$F$40^3)</f>
        <v>0</v>
      </c>
      <c r="G120" s="27" t="n">
        <f aca="false">IF(データ入力!$A$40="",0,-データ入力!$E$40)</f>
        <v>0</v>
      </c>
      <c r="H120" s="27" t="n">
        <f aca="false">IF(データ入力!$A$40="",0,-データ入力!$F$40*データ入力!$D$40)</f>
        <v>0</v>
      </c>
      <c r="I120" s="27" t="n">
        <f aca="false">IF(データ入力!$A$40="",0,データ入力!$F$40^2*データ入力!$E$40)</f>
        <v>0</v>
      </c>
      <c r="J120" s="27" t="n">
        <f aca="false">IF(データ入力!$A$40="",0,データ入力!$F$40^3*データ入力!$D$40)</f>
        <v>0</v>
      </c>
      <c r="K120" s="27" t="n">
        <f aca="false">IF(データ入力!$A$40="",0,データ入力!$F$40^4*データ入力!$E$40)</f>
        <v>0</v>
      </c>
    </row>
    <row r="121" customFormat="false" ht="15" hidden="false" customHeight="false" outlineLevel="0" collapsed="false">
      <c r="A121" s="25" t="s">
        <v>80</v>
      </c>
      <c r="B121" s="26" t="n">
        <f aca="false">データ入力!$A$41</f>
        <v>0</v>
      </c>
      <c r="C121" s="27" t="n">
        <v>0</v>
      </c>
      <c r="D121" s="27" t="n">
        <f aca="false">IF(データ入力!$A$41="",0,データ入力!$F$41)</f>
        <v>0</v>
      </c>
      <c r="E121" s="27" t="n">
        <v>0</v>
      </c>
      <c r="F121" s="27" t="n">
        <f aca="false">IF(データ入力!$A$41="",0,-データ入力!$F$41^3)</f>
        <v>0</v>
      </c>
      <c r="G121" s="27" t="n">
        <f aca="false">IF(データ入力!$A$41="",0,-データ入力!$E$41)</f>
        <v>0</v>
      </c>
      <c r="H121" s="27" t="n">
        <f aca="false">IF(データ入力!$A$41="",0,-データ入力!$F$41*データ入力!$D$41)</f>
        <v>0</v>
      </c>
      <c r="I121" s="27" t="n">
        <f aca="false">IF(データ入力!$A$41="",0,データ入力!$F$41^2*データ入力!$E$41)</f>
        <v>0</v>
      </c>
      <c r="J121" s="27" t="n">
        <f aca="false">IF(データ入力!$A$41="",0,データ入力!$F$41^3*データ入力!$D$41)</f>
        <v>0</v>
      </c>
      <c r="K121" s="27" t="n">
        <f aca="false">IF(データ入力!$A$41="",0,データ入力!$F$41^4*データ入力!$E$41)</f>
        <v>0</v>
      </c>
    </row>
    <row r="122" customFormat="false" ht="15" hidden="false" customHeight="false" outlineLevel="0" collapsed="false">
      <c r="A122" s="25" t="s">
        <v>80</v>
      </c>
      <c r="B122" s="26" t="n">
        <f aca="false">データ入力!$A$42</f>
        <v>0</v>
      </c>
      <c r="C122" s="27" t="n">
        <v>0</v>
      </c>
      <c r="D122" s="27" t="n">
        <f aca="false">IF(データ入力!$A$42="",0,データ入力!$F$42)</f>
        <v>0</v>
      </c>
      <c r="E122" s="27" t="n">
        <v>0</v>
      </c>
      <c r="F122" s="27" t="n">
        <f aca="false">IF(データ入力!$A$42="",0,-データ入力!$F$42^3)</f>
        <v>0</v>
      </c>
      <c r="G122" s="27" t="n">
        <f aca="false">IF(データ入力!$A$42="",0,-データ入力!$E$42)</f>
        <v>0</v>
      </c>
      <c r="H122" s="27" t="n">
        <f aca="false">IF(データ入力!$A$42="",0,-データ入力!$F$42*データ入力!$D$42)</f>
        <v>0</v>
      </c>
      <c r="I122" s="27" t="n">
        <f aca="false">IF(データ入力!$A$42="",0,データ入力!$F$42^2*データ入力!$E$42)</f>
        <v>0</v>
      </c>
      <c r="J122" s="27" t="n">
        <f aca="false">IF(データ入力!$A$42="",0,データ入力!$F$42^3*データ入力!$D$42)</f>
        <v>0</v>
      </c>
      <c r="K122" s="27" t="n">
        <f aca="false">IF(データ入力!$A$42="",0,データ入力!$F$42^4*データ入力!$E$42)</f>
        <v>0</v>
      </c>
    </row>
    <row r="123" customFormat="false" ht="15" hidden="false" customHeight="false" outlineLevel="0" collapsed="false">
      <c r="A123" s="25" t="s">
        <v>80</v>
      </c>
      <c r="B123" s="26" t="n">
        <f aca="false">データ入力!$A$43</f>
        <v>0</v>
      </c>
      <c r="C123" s="27" t="n">
        <v>0</v>
      </c>
      <c r="D123" s="27" t="n">
        <f aca="false">IF(データ入力!$A$43="",0,データ入力!$F$43)</f>
        <v>0</v>
      </c>
      <c r="E123" s="27" t="n">
        <v>0</v>
      </c>
      <c r="F123" s="27" t="n">
        <f aca="false">IF(データ入力!$A$43="",0,-データ入力!$F$43^3)</f>
        <v>0</v>
      </c>
      <c r="G123" s="27" t="n">
        <f aca="false">IF(データ入力!$A$43="",0,-データ入力!$E$43)</f>
        <v>0</v>
      </c>
      <c r="H123" s="27" t="n">
        <f aca="false">IF(データ入力!$A$43="",0,-データ入力!$F$43*データ入力!$D$43)</f>
        <v>0</v>
      </c>
      <c r="I123" s="27" t="n">
        <f aca="false">IF(データ入力!$A$43="",0,データ入力!$F$43^2*データ入力!$E$43)</f>
        <v>0</v>
      </c>
      <c r="J123" s="27" t="n">
        <f aca="false">IF(データ入力!$A$43="",0,データ入力!$F$43^3*データ入力!$D$43)</f>
        <v>0</v>
      </c>
      <c r="K123" s="27" t="n">
        <f aca="false">IF(データ入力!$A$43="",0,データ入力!$F$43^4*データ入力!$E$43)</f>
        <v>0</v>
      </c>
    </row>
    <row r="124" customFormat="false" ht="15" hidden="false" customHeight="false" outlineLevel="0" collapsed="false">
      <c r="A124" s="25" t="s">
        <v>80</v>
      </c>
      <c r="B124" s="26" t="n">
        <f aca="false">データ入力!$A$44</f>
        <v>0</v>
      </c>
      <c r="C124" s="27" t="n">
        <v>0</v>
      </c>
      <c r="D124" s="27" t="n">
        <f aca="false">IF(データ入力!$A$44="",0,データ入力!$F$44)</f>
        <v>0</v>
      </c>
      <c r="E124" s="27" t="n">
        <v>0</v>
      </c>
      <c r="F124" s="27" t="n">
        <f aca="false">IF(データ入力!$A$44="",0,-データ入力!$F$44^3)</f>
        <v>0</v>
      </c>
      <c r="G124" s="27" t="n">
        <f aca="false">IF(データ入力!$A$44="",0,-データ入力!$E$44)</f>
        <v>0</v>
      </c>
      <c r="H124" s="27" t="n">
        <f aca="false">IF(データ入力!$A$44="",0,-データ入力!$F$44*データ入力!$D$44)</f>
        <v>0</v>
      </c>
      <c r="I124" s="27" t="n">
        <f aca="false">IF(データ入力!$A$44="",0,データ入力!$F$44^2*データ入力!$E$44)</f>
        <v>0</v>
      </c>
      <c r="J124" s="27" t="n">
        <f aca="false">IF(データ入力!$A$44="",0,データ入力!$F$44^3*データ入力!$D$44)</f>
        <v>0</v>
      </c>
      <c r="K124" s="27" t="n">
        <f aca="false">IF(データ入力!$A$44="",0,データ入力!$F$44^4*データ入力!$E$44)</f>
        <v>0</v>
      </c>
    </row>
    <row r="125" customFormat="false" ht="15" hidden="false" customHeight="false" outlineLevel="0" collapsed="false">
      <c r="A125" s="25" t="s">
        <v>80</v>
      </c>
      <c r="B125" s="26" t="n">
        <f aca="false">データ入力!$A$45</f>
        <v>0</v>
      </c>
      <c r="C125" s="27" t="n">
        <v>0</v>
      </c>
      <c r="D125" s="27" t="n">
        <f aca="false">IF(データ入力!$A$45="",0,データ入力!$F$45)</f>
        <v>0</v>
      </c>
      <c r="E125" s="27" t="n">
        <v>0</v>
      </c>
      <c r="F125" s="27" t="n">
        <f aca="false">IF(データ入力!$A$45="",0,-データ入力!$F$45^3)</f>
        <v>0</v>
      </c>
      <c r="G125" s="27" t="n">
        <f aca="false">IF(データ入力!$A$45="",0,-データ入力!$E$45)</f>
        <v>0</v>
      </c>
      <c r="H125" s="27" t="n">
        <f aca="false">IF(データ入力!$A$45="",0,-データ入力!$F$45*データ入力!$D$45)</f>
        <v>0</v>
      </c>
      <c r="I125" s="27" t="n">
        <f aca="false">IF(データ入力!$A$45="",0,データ入力!$F$45^2*データ入力!$E$45)</f>
        <v>0</v>
      </c>
      <c r="J125" s="27" t="n">
        <f aca="false">IF(データ入力!$A$45="",0,データ入力!$F$45^3*データ入力!$D$45)</f>
        <v>0</v>
      </c>
      <c r="K125" s="27" t="n">
        <f aca="false">IF(データ入力!$A$45="",0,データ入力!$F$45^4*データ入力!$E$45)</f>
        <v>0</v>
      </c>
    </row>
    <row r="126" customFormat="false" ht="15" hidden="false" customHeight="false" outlineLevel="0" collapsed="false">
      <c r="A126" s="25" t="s">
        <v>80</v>
      </c>
      <c r="B126" s="26" t="n">
        <f aca="false">データ入力!$A$46</f>
        <v>0</v>
      </c>
      <c r="C126" s="27" t="n">
        <v>0</v>
      </c>
      <c r="D126" s="27" t="n">
        <f aca="false">IF(データ入力!$A$46="",0,データ入力!$F$46)</f>
        <v>0</v>
      </c>
      <c r="E126" s="27" t="n">
        <v>0</v>
      </c>
      <c r="F126" s="27" t="n">
        <f aca="false">IF(データ入力!$A$46="",0,-データ入力!$F$46^3)</f>
        <v>0</v>
      </c>
      <c r="G126" s="27" t="n">
        <f aca="false">IF(データ入力!$A$46="",0,-データ入力!$E$46)</f>
        <v>0</v>
      </c>
      <c r="H126" s="27" t="n">
        <f aca="false">IF(データ入力!$A$46="",0,-データ入力!$F$46*データ入力!$D$46)</f>
        <v>0</v>
      </c>
      <c r="I126" s="27" t="n">
        <f aca="false">IF(データ入力!$A$46="",0,データ入力!$F$46^2*データ入力!$E$46)</f>
        <v>0</v>
      </c>
      <c r="J126" s="27" t="n">
        <f aca="false">IF(データ入力!$A$46="",0,データ入力!$F$46^3*データ入力!$D$46)</f>
        <v>0</v>
      </c>
      <c r="K126" s="27" t="n">
        <f aca="false">IF(データ入力!$A$46="",0,データ入力!$F$46^4*データ入力!$E$46)</f>
        <v>0</v>
      </c>
    </row>
    <row r="127" customFormat="false" ht="15" hidden="false" customHeight="false" outlineLevel="0" collapsed="false">
      <c r="A127" s="25" t="s">
        <v>80</v>
      </c>
      <c r="B127" s="26" t="n">
        <f aca="false">データ入力!$A$47</f>
        <v>0</v>
      </c>
      <c r="C127" s="27" t="n">
        <v>0</v>
      </c>
      <c r="D127" s="27" t="n">
        <f aca="false">IF(データ入力!$A$47="",0,データ入力!$F$47)</f>
        <v>0</v>
      </c>
      <c r="E127" s="27" t="n">
        <v>0</v>
      </c>
      <c r="F127" s="27" t="n">
        <f aca="false">IF(データ入力!$A$47="",0,-データ入力!$F$47^3)</f>
        <v>0</v>
      </c>
      <c r="G127" s="27" t="n">
        <f aca="false">IF(データ入力!$A$47="",0,-データ入力!$E$47)</f>
        <v>0</v>
      </c>
      <c r="H127" s="27" t="n">
        <f aca="false">IF(データ入力!$A$47="",0,-データ入力!$F$47*データ入力!$D$47)</f>
        <v>0</v>
      </c>
      <c r="I127" s="27" t="n">
        <f aca="false">IF(データ入力!$A$47="",0,データ入力!$F$47^2*データ入力!$E$47)</f>
        <v>0</v>
      </c>
      <c r="J127" s="27" t="n">
        <f aca="false">IF(データ入力!$A$47="",0,データ入力!$F$47^3*データ入力!$D$47)</f>
        <v>0</v>
      </c>
      <c r="K127" s="27" t="n">
        <f aca="false">IF(データ入力!$A$47="",0,データ入力!$F$47^4*データ入力!$E$47)</f>
        <v>0</v>
      </c>
    </row>
    <row r="128" customFormat="false" ht="15" hidden="false" customHeight="false" outlineLevel="0" collapsed="false">
      <c r="A128" s="25" t="s">
        <v>80</v>
      </c>
      <c r="B128" s="26" t="n">
        <f aca="false">データ入力!$A$48</f>
        <v>0</v>
      </c>
      <c r="C128" s="27" t="n">
        <v>0</v>
      </c>
      <c r="D128" s="27" t="n">
        <f aca="false">IF(データ入力!$A$48="",0,データ入力!$F$48)</f>
        <v>0</v>
      </c>
      <c r="E128" s="27" t="n">
        <v>0</v>
      </c>
      <c r="F128" s="27" t="n">
        <f aca="false">IF(データ入力!$A$48="",0,-データ入力!$F$48^3)</f>
        <v>0</v>
      </c>
      <c r="G128" s="27" t="n">
        <f aca="false">IF(データ入力!$A$48="",0,-データ入力!$E$48)</f>
        <v>0</v>
      </c>
      <c r="H128" s="27" t="n">
        <f aca="false">IF(データ入力!$A$48="",0,-データ入力!$F$48*データ入力!$D$48)</f>
        <v>0</v>
      </c>
      <c r="I128" s="27" t="n">
        <f aca="false">IF(データ入力!$A$48="",0,データ入力!$F$48^2*データ入力!$E$48)</f>
        <v>0</v>
      </c>
      <c r="J128" s="27" t="n">
        <f aca="false">IF(データ入力!$A$48="",0,データ入力!$F$48^3*データ入力!$D$48)</f>
        <v>0</v>
      </c>
      <c r="K128" s="27" t="n">
        <f aca="false">IF(データ入力!$A$48="",0,データ入力!$F$48^4*データ入力!$E$48)</f>
        <v>0</v>
      </c>
    </row>
    <row r="129" customFormat="false" ht="15" hidden="false" customHeight="false" outlineLevel="0" collapsed="false">
      <c r="A129" s="25" t="s">
        <v>80</v>
      </c>
      <c r="B129" s="26" t="n">
        <f aca="false">データ入力!$A$49</f>
        <v>0</v>
      </c>
      <c r="C129" s="27" t="n">
        <v>0</v>
      </c>
      <c r="D129" s="27" t="n">
        <f aca="false">IF(データ入力!$A$49="",0,データ入力!$F$49)</f>
        <v>0</v>
      </c>
      <c r="E129" s="27" t="n">
        <v>0</v>
      </c>
      <c r="F129" s="27" t="n">
        <f aca="false">IF(データ入力!$A$49="",0,-データ入力!$F$49^3)</f>
        <v>0</v>
      </c>
      <c r="G129" s="27" t="n">
        <f aca="false">IF(データ入力!$A$49="",0,-データ入力!$E$49)</f>
        <v>0</v>
      </c>
      <c r="H129" s="27" t="n">
        <f aca="false">IF(データ入力!$A$49="",0,-データ入力!$F$49*データ入力!$D$49)</f>
        <v>0</v>
      </c>
      <c r="I129" s="27" t="n">
        <f aca="false">IF(データ入力!$A$49="",0,データ入力!$F$49^2*データ入力!$E$49)</f>
        <v>0</v>
      </c>
      <c r="J129" s="27" t="n">
        <f aca="false">IF(データ入力!$A$49="",0,データ入力!$F$49^3*データ入力!$D$49)</f>
        <v>0</v>
      </c>
      <c r="K129" s="27" t="n">
        <f aca="false">IF(データ入力!$A$49="",0,データ入力!$F$49^4*データ入力!$E$49)</f>
        <v>0</v>
      </c>
    </row>
    <row r="130" customFormat="false" ht="15" hidden="false" customHeight="false" outlineLevel="0" collapsed="false">
      <c r="A130" s="25" t="s">
        <v>80</v>
      </c>
      <c r="B130" s="26" t="n">
        <f aca="false">データ入力!$A$50</f>
        <v>0</v>
      </c>
      <c r="C130" s="27" t="n">
        <v>0</v>
      </c>
      <c r="D130" s="27" t="n">
        <f aca="false">IF(データ入力!$A$50="",0,データ入力!$F$50)</f>
        <v>0</v>
      </c>
      <c r="E130" s="27" t="n">
        <v>0</v>
      </c>
      <c r="F130" s="27" t="n">
        <f aca="false">IF(データ入力!$A$50="",0,-データ入力!$F$50^3)</f>
        <v>0</v>
      </c>
      <c r="G130" s="27" t="n">
        <f aca="false">IF(データ入力!$A$50="",0,-データ入力!$E$50)</f>
        <v>0</v>
      </c>
      <c r="H130" s="27" t="n">
        <f aca="false">IF(データ入力!$A$50="",0,-データ入力!$F$50*データ入力!$D$50)</f>
        <v>0</v>
      </c>
      <c r="I130" s="27" t="n">
        <f aca="false">IF(データ入力!$A$50="",0,データ入力!$F$50^2*データ入力!$E$50)</f>
        <v>0</v>
      </c>
      <c r="J130" s="27" t="n">
        <f aca="false">IF(データ入力!$A$50="",0,データ入力!$F$50^3*データ入力!$D$50)</f>
        <v>0</v>
      </c>
      <c r="K130" s="27" t="n">
        <f aca="false">IF(データ入力!$A$50="",0,データ入力!$F$50^4*データ入力!$E$50)</f>
        <v>0</v>
      </c>
    </row>
    <row r="131" customFormat="false" ht="15" hidden="false" customHeight="false" outlineLevel="0" collapsed="false">
      <c r="A131" s="25" t="s">
        <v>80</v>
      </c>
      <c r="B131" s="26" t="n">
        <f aca="false">データ入力!$A$51</f>
        <v>0</v>
      </c>
      <c r="C131" s="27" t="n">
        <v>0</v>
      </c>
      <c r="D131" s="27" t="n">
        <f aca="false">IF(データ入力!$A$51="",0,データ入力!$F$51)</f>
        <v>0</v>
      </c>
      <c r="E131" s="27" t="n">
        <v>0</v>
      </c>
      <c r="F131" s="27" t="n">
        <f aca="false">IF(データ入力!$A$51="",0,-データ入力!$F$51^3)</f>
        <v>0</v>
      </c>
      <c r="G131" s="27" t="n">
        <f aca="false">IF(データ入力!$A$51="",0,-データ入力!$E$51)</f>
        <v>0</v>
      </c>
      <c r="H131" s="27" t="n">
        <f aca="false">IF(データ入力!$A$51="",0,-データ入力!$F$51*データ入力!$D$51)</f>
        <v>0</v>
      </c>
      <c r="I131" s="27" t="n">
        <f aca="false">IF(データ入力!$A$51="",0,データ入力!$F$51^2*データ入力!$E$51)</f>
        <v>0</v>
      </c>
      <c r="J131" s="27" t="n">
        <f aca="false">IF(データ入力!$A$51="",0,データ入力!$F$51^3*データ入力!$D$51)</f>
        <v>0</v>
      </c>
      <c r="K131" s="27" t="n">
        <f aca="false">IF(データ入力!$A$51="",0,データ入力!$F$51^4*データ入力!$E$51)</f>
        <v>0</v>
      </c>
    </row>
    <row r="132" customFormat="false" ht="15" hidden="false" customHeight="false" outlineLevel="0" collapsed="false">
      <c r="A132" s="25" t="s">
        <v>80</v>
      </c>
      <c r="B132" s="26" t="n">
        <f aca="false">データ入力!$A$52</f>
        <v>0</v>
      </c>
      <c r="C132" s="27" t="n">
        <v>0</v>
      </c>
      <c r="D132" s="27" t="n">
        <f aca="false">IF(データ入力!$A$52="",0,データ入力!$F$52)</f>
        <v>0</v>
      </c>
      <c r="E132" s="27" t="n">
        <v>0</v>
      </c>
      <c r="F132" s="27" t="n">
        <f aca="false">IF(データ入力!$A$52="",0,-データ入力!$F$52^3)</f>
        <v>0</v>
      </c>
      <c r="G132" s="27" t="n">
        <f aca="false">IF(データ入力!$A$52="",0,-データ入力!$E$52)</f>
        <v>0</v>
      </c>
      <c r="H132" s="27" t="n">
        <f aca="false">IF(データ入力!$A$52="",0,-データ入力!$F$52*データ入力!$D$52)</f>
        <v>0</v>
      </c>
      <c r="I132" s="27" t="n">
        <f aca="false">IF(データ入力!$A$52="",0,データ入力!$F$52^2*データ入力!$E$52)</f>
        <v>0</v>
      </c>
      <c r="J132" s="27" t="n">
        <f aca="false">IF(データ入力!$A$52="",0,データ入力!$F$52^3*データ入力!$D$52)</f>
        <v>0</v>
      </c>
      <c r="K132" s="27" t="n">
        <f aca="false">IF(データ入力!$A$52="",0,データ入力!$F$52^4*データ入力!$E$52)</f>
        <v>0</v>
      </c>
    </row>
    <row r="133" customFormat="false" ht="15" hidden="false" customHeight="false" outlineLevel="0" collapsed="false">
      <c r="A133" s="25" t="s">
        <v>80</v>
      </c>
      <c r="B133" s="26" t="n">
        <f aca="false">データ入力!$A$53</f>
        <v>0</v>
      </c>
      <c r="C133" s="27" t="n">
        <v>0</v>
      </c>
      <c r="D133" s="27" t="n">
        <f aca="false">IF(データ入力!$A$53="",0,データ入力!$F$53)</f>
        <v>0</v>
      </c>
      <c r="E133" s="27" t="n">
        <v>0</v>
      </c>
      <c r="F133" s="27" t="n">
        <f aca="false">IF(データ入力!$A$53="",0,-データ入力!$F$53^3)</f>
        <v>0</v>
      </c>
      <c r="G133" s="27" t="n">
        <f aca="false">IF(データ入力!$A$53="",0,-データ入力!$E$53)</f>
        <v>0</v>
      </c>
      <c r="H133" s="27" t="n">
        <f aca="false">IF(データ入力!$A$53="",0,-データ入力!$F$53*データ入力!$D$53)</f>
        <v>0</v>
      </c>
      <c r="I133" s="27" t="n">
        <f aca="false">IF(データ入力!$A$53="",0,データ入力!$F$53^2*データ入力!$E$53)</f>
        <v>0</v>
      </c>
      <c r="J133" s="27" t="n">
        <f aca="false">IF(データ入力!$A$53="",0,データ入力!$F$53^3*データ入力!$D$53)</f>
        <v>0</v>
      </c>
      <c r="K133" s="27" t="n">
        <f aca="false">IF(データ入力!$A$53="",0,データ入力!$F$53^4*データ入力!$E$53)</f>
        <v>0</v>
      </c>
    </row>
    <row r="134" customFormat="false" ht="15" hidden="false" customHeight="false" outlineLevel="0" collapsed="false">
      <c r="A134" s="25" t="s">
        <v>80</v>
      </c>
      <c r="B134" s="26" t="n">
        <f aca="false">データ入力!$A$54</f>
        <v>0</v>
      </c>
      <c r="C134" s="27" t="n">
        <v>0</v>
      </c>
      <c r="D134" s="27" t="n">
        <f aca="false">IF(データ入力!$A$54="",0,データ入力!$F$54)</f>
        <v>0</v>
      </c>
      <c r="E134" s="27" t="n">
        <v>0</v>
      </c>
      <c r="F134" s="27" t="n">
        <f aca="false">IF(データ入力!$A$54="",0,-データ入力!$F$54^3)</f>
        <v>0</v>
      </c>
      <c r="G134" s="27" t="n">
        <f aca="false">IF(データ入力!$A$54="",0,-データ入力!$E$54)</f>
        <v>0</v>
      </c>
      <c r="H134" s="27" t="n">
        <f aca="false">IF(データ入力!$A$54="",0,-データ入力!$F$54*データ入力!$D$54)</f>
        <v>0</v>
      </c>
      <c r="I134" s="27" t="n">
        <f aca="false">IF(データ入力!$A$54="",0,データ入力!$F$54^2*データ入力!$E$54)</f>
        <v>0</v>
      </c>
      <c r="J134" s="27" t="n">
        <f aca="false">IF(データ入力!$A$54="",0,データ入力!$F$54^3*データ入力!$D$54)</f>
        <v>0</v>
      </c>
      <c r="K134" s="27" t="n">
        <f aca="false">IF(データ入力!$A$54="",0,データ入力!$F$54^4*データ入力!$E$54)</f>
        <v>0</v>
      </c>
    </row>
    <row r="135" customFormat="false" ht="15" hidden="false" customHeight="false" outlineLevel="0" collapsed="false">
      <c r="A135" s="25" t="s">
        <v>80</v>
      </c>
      <c r="B135" s="26" t="n">
        <f aca="false">データ入力!$A$55</f>
        <v>0</v>
      </c>
      <c r="C135" s="27" t="n">
        <v>0</v>
      </c>
      <c r="D135" s="27" t="n">
        <f aca="false">IF(データ入力!$A$55="",0,データ入力!$F$55)</f>
        <v>0</v>
      </c>
      <c r="E135" s="27" t="n">
        <v>0</v>
      </c>
      <c r="F135" s="27" t="n">
        <f aca="false">IF(データ入力!$A$55="",0,-データ入力!$F$55^3)</f>
        <v>0</v>
      </c>
      <c r="G135" s="27" t="n">
        <f aca="false">IF(データ入力!$A$55="",0,-データ入力!$E$55)</f>
        <v>0</v>
      </c>
      <c r="H135" s="27" t="n">
        <f aca="false">IF(データ入力!$A$55="",0,-データ入力!$F$55*データ入力!$D$55)</f>
        <v>0</v>
      </c>
      <c r="I135" s="27" t="n">
        <f aca="false">IF(データ入力!$A$55="",0,データ入力!$F$55^2*データ入力!$E$55)</f>
        <v>0</v>
      </c>
      <c r="J135" s="27" t="n">
        <f aca="false">IF(データ入力!$A$55="",0,データ入力!$F$55^3*データ入力!$D$55)</f>
        <v>0</v>
      </c>
      <c r="K135" s="27" t="n">
        <f aca="false">IF(データ入力!$A$55="",0,データ入力!$F$55^4*データ入力!$E$55)</f>
        <v>0</v>
      </c>
    </row>
    <row r="136" customFormat="false" ht="15" hidden="false" customHeight="false" outlineLevel="0" collapsed="false">
      <c r="A136" s="25" t="s">
        <v>80</v>
      </c>
      <c r="B136" s="26" t="n">
        <f aca="false">データ入力!$A$56</f>
        <v>0</v>
      </c>
      <c r="C136" s="27" t="n">
        <v>0</v>
      </c>
      <c r="D136" s="27" t="n">
        <f aca="false">IF(データ入力!$A$56="",0,データ入力!$F$56)</f>
        <v>0</v>
      </c>
      <c r="E136" s="27" t="n">
        <v>0</v>
      </c>
      <c r="F136" s="27" t="n">
        <f aca="false">IF(データ入力!$A$56="",0,-データ入力!$F$56^3)</f>
        <v>0</v>
      </c>
      <c r="G136" s="27" t="n">
        <f aca="false">IF(データ入力!$A$56="",0,-データ入力!$E$56)</f>
        <v>0</v>
      </c>
      <c r="H136" s="27" t="n">
        <f aca="false">IF(データ入力!$A$56="",0,-データ入力!$F$56*データ入力!$D$56)</f>
        <v>0</v>
      </c>
      <c r="I136" s="27" t="n">
        <f aca="false">IF(データ入力!$A$56="",0,データ入力!$F$56^2*データ入力!$E$56)</f>
        <v>0</v>
      </c>
      <c r="J136" s="27" t="n">
        <f aca="false">IF(データ入力!$A$56="",0,データ入力!$F$56^3*データ入力!$D$56)</f>
        <v>0</v>
      </c>
      <c r="K136" s="27" t="n">
        <f aca="false">IF(データ入力!$A$56="",0,データ入力!$F$56^4*データ入力!$E$56)</f>
        <v>0</v>
      </c>
    </row>
    <row r="137" customFormat="false" ht="15" hidden="false" customHeight="false" outlineLevel="0" collapsed="false">
      <c r="A137" s="25" t="s">
        <v>80</v>
      </c>
      <c r="B137" s="26" t="n">
        <f aca="false">データ入力!$A$57</f>
        <v>0</v>
      </c>
      <c r="C137" s="27" t="n">
        <v>0</v>
      </c>
      <c r="D137" s="27" t="n">
        <f aca="false">IF(データ入力!$A$57="",0,データ入力!$F$57)</f>
        <v>0</v>
      </c>
      <c r="E137" s="27" t="n">
        <v>0</v>
      </c>
      <c r="F137" s="27" t="n">
        <f aca="false">IF(データ入力!$A$57="",0,-データ入力!$F$57^3)</f>
        <v>0</v>
      </c>
      <c r="G137" s="27" t="n">
        <f aca="false">IF(データ入力!$A$57="",0,-データ入力!$E$57)</f>
        <v>0</v>
      </c>
      <c r="H137" s="27" t="n">
        <f aca="false">IF(データ入力!$A$57="",0,-データ入力!$F$57*データ入力!$D$57)</f>
        <v>0</v>
      </c>
      <c r="I137" s="27" t="n">
        <f aca="false">IF(データ入力!$A$57="",0,データ入力!$F$57^2*データ入力!$E$57)</f>
        <v>0</v>
      </c>
      <c r="J137" s="27" t="n">
        <f aca="false">IF(データ入力!$A$57="",0,データ入力!$F$57^3*データ入力!$D$57)</f>
        <v>0</v>
      </c>
      <c r="K137" s="27" t="n">
        <f aca="false">IF(データ入力!$A$57="",0,データ入力!$F$57^4*データ入力!$E$57)</f>
        <v>0</v>
      </c>
    </row>
    <row r="138" customFormat="false" ht="15" hidden="false" customHeight="false" outlineLevel="0" collapsed="false">
      <c r="A138" s="25" t="s">
        <v>80</v>
      </c>
      <c r="B138" s="26" t="n">
        <f aca="false">データ入力!$A$58</f>
        <v>0</v>
      </c>
      <c r="C138" s="27" t="n">
        <v>0</v>
      </c>
      <c r="D138" s="27" t="n">
        <f aca="false">IF(データ入力!$A$58="",0,データ入力!$F$58)</f>
        <v>0</v>
      </c>
      <c r="E138" s="27" t="n">
        <v>0</v>
      </c>
      <c r="F138" s="27" t="n">
        <f aca="false">IF(データ入力!$A$58="",0,-データ入力!$F$58^3)</f>
        <v>0</v>
      </c>
      <c r="G138" s="27" t="n">
        <f aca="false">IF(データ入力!$A$58="",0,-データ入力!$E$58)</f>
        <v>0</v>
      </c>
      <c r="H138" s="27" t="n">
        <f aca="false">IF(データ入力!$A$58="",0,-データ入力!$F$58*データ入力!$D$58)</f>
        <v>0</v>
      </c>
      <c r="I138" s="27" t="n">
        <f aca="false">IF(データ入力!$A$58="",0,データ入力!$F$58^2*データ入力!$E$58)</f>
        <v>0</v>
      </c>
      <c r="J138" s="27" t="n">
        <f aca="false">IF(データ入力!$A$58="",0,データ入力!$F$58^3*データ入力!$D$58)</f>
        <v>0</v>
      </c>
      <c r="K138" s="27" t="n">
        <f aca="false">IF(データ入力!$A$58="",0,データ入力!$F$58^4*データ入力!$E$58)</f>
        <v>0</v>
      </c>
    </row>
    <row r="139" customFormat="false" ht="15" hidden="false" customHeight="false" outlineLevel="0" collapsed="false">
      <c r="A139" s="25" t="s">
        <v>80</v>
      </c>
      <c r="B139" s="26" t="n">
        <f aca="false">データ入力!$A$59</f>
        <v>0</v>
      </c>
      <c r="C139" s="27" t="n">
        <v>0</v>
      </c>
      <c r="D139" s="27" t="n">
        <f aca="false">IF(データ入力!$A$59="",0,データ入力!$F$59)</f>
        <v>0</v>
      </c>
      <c r="E139" s="27" t="n">
        <v>0</v>
      </c>
      <c r="F139" s="27" t="n">
        <f aca="false">IF(データ入力!$A$59="",0,-データ入力!$F$59^3)</f>
        <v>0</v>
      </c>
      <c r="G139" s="27" t="n">
        <f aca="false">IF(データ入力!$A$59="",0,-データ入力!$E$59)</f>
        <v>0</v>
      </c>
      <c r="H139" s="27" t="n">
        <f aca="false">IF(データ入力!$A$59="",0,-データ入力!$F$59*データ入力!$D$59)</f>
        <v>0</v>
      </c>
      <c r="I139" s="27" t="n">
        <f aca="false">IF(データ入力!$A$59="",0,データ入力!$F$59^2*データ入力!$E$59)</f>
        <v>0</v>
      </c>
      <c r="J139" s="27" t="n">
        <f aca="false">IF(データ入力!$A$59="",0,データ入力!$F$59^3*データ入力!$D$59)</f>
        <v>0</v>
      </c>
      <c r="K139" s="27" t="n">
        <f aca="false">IF(データ入力!$A$59="",0,データ入力!$F$59^4*データ入力!$E$59)</f>
        <v>0</v>
      </c>
    </row>
    <row r="140" customFormat="false" ht="15" hidden="false" customHeight="false" outlineLevel="0" collapsed="false">
      <c r="A140" s="25" t="s">
        <v>80</v>
      </c>
      <c r="B140" s="26" t="n">
        <f aca="false">データ入力!$A$60</f>
        <v>0</v>
      </c>
      <c r="C140" s="27" t="n">
        <v>0</v>
      </c>
      <c r="D140" s="27" t="n">
        <f aca="false">IF(データ入力!$A$60="",0,データ入力!$F$60)</f>
        <v>0</v>
      </c>
      <c r="E140" s="27" t="n">
        <v>0</v>
      </c>
      <c r="F140" s="27" t="n">
        <f aca="false">IF(データ入力!$A$60="",0,-データ入力!$F$60^3)</f>
        <v>0</v>
      </c>
      <c r="G140" s="27" t="n">
        <f aca="false">IF(データ入力!$A$60="",0,-データ入力!$E$60)</f>
        <v>0</v>
      </c>
      <c r="H140" s="27" t="n">
        <f aca="false">IF(データ入力!$A$60="",0,-データ入力!$F$60*データ入力!$D$60)</f>
        <v>0</v>
      </c>
      <c r="I140" s="27" t="n">
        <f aca="false">IF(データ入力!$A$60="",0,データ入力!$F$60^2*データ入力!$E$60)</f>
        <v>0</v>
      </c>
      <c r="J140" s="27" t="n">
        <f aca="false">IF(データ入力!$A$60="",0,データ入力!$F$60^3*データ入力!$D$60)</f>
        <v>0</v>
      </c>
      <c r="K140" s="27" t="n">
        <f aca="false">IF(データ入力!$A$60="",0,データ入力!$F$60^4*データ入力!$E$60)</f>
        <v>0</v>
      </c>
    </row>
    <row r="141" customFormat="false" ht="15" hidden="false" customHeight="false" outlineLevel="0" collapsed="false">
      <c r="A141" s="25" t="s">
        <v>80</v>
      </c>
      <c r="B141" s="26" t="n">
        <f aca="false">データ入力!$A$61</f>
        <v>0</v>
      </c>
      <c r="C141" s="27" t="n">
        <v>0</v>
      </c>
      <c r="D141" s="27" t="n">
        <f aca="false">IF(データ入力!$A$61="",0,データ入力!$F$61)</f>
        <v>0</v>
      </c>
      <c r="E141" s="27" t="n">
        <v>0</v>
      </c>
      <c r="F141" s="27" t="n">
        <f aca="false">IF(データ入力!$A$61="",0,-データ入力!$F$61^3)</f>
        <v>0</v>
      </c>
      <c r="G141" s="27" t="n">
        <f aca="false">IF(データ入力!$A$61="",0,-データ入力!$E$61)</f>
        <v>0</v>
      </c>
      <c r="H141" s="27" t="n">
        <f aca="false">IF(データ入力!$A$61="",0,-データ入力!$F$61*データ入力!$D$61)</f>
        <v>0</v>
      </c>
      <c r="I141" s="27" t="n">
        <f aca="false">IF(データ入力!$A$61="",0,データ入力!$F$61^2*データ入力!$E$61)</f>
        <v>0</v>
      </c>
      <c r="J141" s="27" t="n">
        <f aca="false">IF(データ入力!$A$61="",0,データ入力!$F$61^3*データ入力!$D$61)</f>
        <v>0</v>
      </c>
      <c r="K141" s="27" t="n">
        <f aca="false">IF(データ入力!$A$61="",0,データ入力!$F$61^4*データ入力!$E$61)</f>
        <v>0</v>
      </c>
    </row>
    <row r="142" customFormat="false" ht="15" hidden="false" customHeight="false" outlineLevel="0" collapsed="false">
      <c r="A142" s="25" t="s">
        <v>80</v>
      </c>
      <c r="B142" s="26" t="n">
        <f aca="false">データ入力!$A$62</f>
        <v>0</v>
      </c>
      <c r="C142" s="27" t="n">
        <v>0</v>
      </c>
      <c r="D142" s="27" t="n">
        <f aca="false">IF(データ入力!$A$62="",0,データ入力!$F$62)</f>
        <v>0</v>
      </c>
      <c r="E142" s="27" t="n">
        <v>0</v>
      </c>
      <c r="F142" s="27" t="n">
        <f aca="false">IF(データ入力!$A$62="",0,-データ入力!$F$62^3)</f>
        <v>0</v>
      </c>
      <c r="G142" s="27" t="n">
        <f aca="false">IF(データ入力!$A$62="",0,-データ入力!$E$62)</f>
        <v>0</v>
      </c>
      <c r="H142" s="27" t="n">
        <f aca="false">IF(データ入力!$A$62="",0,-データ入力!$F$62*データ入力!$D$62)</f>
        <v>0</v>
      </c>
      <c r="I142" s="27" t="n">
        <f aca="false">IF(データ入力!$A$62="",0,データ入力!$F$62^2*データ入力!$E$62)</f>
        <v>0</v>
      </c>
      <c r="J142" s="27" t="n">
        <f aca="false">IF(データ入力!$A$62="",0,データ入力!$F$62^3*データ入力!$D$62)</f>
        <v>0</v>
      </c>
      <c r="K142" s="27" t="n">
        <f aca="false">IF(データ入力!$A$62="",0,データ入力!$F$62^4*データ入力!$E$62)</f>
        <v>0</v>
      </c>
    </row>
    <row r="143" customFormat="false" ht="15" hidden="false" customHeight="false" outlineLevel="0" collapsed="false">
      <c r="A143" s="25" t="s">
        <v>80</v>
      </c>
      <c r="B143" s="26" t="n">
        <f aca="false">データ入力!$A$63</f>
        <v>0</v>
      </c>
      <c r="C143" s="27" t="n">
        <v>0</v>
      </c>
      <c r="D143" s="27" t="n">
        <f aca="false">IF(データ入力!$A$63="",0,データ入力!$F$63)</f>
        <v>0</v>
      </c>
      <c r="E143" s="27" t="n">
        <v>0</v>
      </c>
      <c r="F143" s="27" t="n">
        <f aca="false">IF(データ入力!$A$63="",0,-データ入力!$F$63^3)</f>
        <v>0</v>
      </c>
      <c r="G143" s="27" t="n">
        <f aca="false">IF(データ入力!$A$63="",0,-データ入力!$E$63)</f>
        <v>0</v>
      </c>
      <c r="H143" s="27" t="n">
        <f aca="false">IF(データ入力!$A$63="",0,-データ入力!$F$63*データ入力!$D$63)</f>
        <v>0</v>
      </c>
      <c r="I143" s="27" t="n">
        <f aca="false">IF(データ入力!$A$63="",0,データ入力!$F$63^2*データ入力!$E$63)</f>
        <v>0</v>
      </c>
      <c r="J143" s="27" t="n">
        <f aca="false">IF(データ入力!$A$63="",0,データ入力!$F$63^3*データ入力!$D$63)</f>
        <v>0</v>
      </c>
      <c r="K143" s="27" t="n">
        <f aca="false">IF(データ入力!$A$63="",0,データ入力!$F$63^4*データ入力!$E$63)</f>
        <v>0</v>
      </c>
    </row>
    <row r="144" customFormat="false" ht="15" hidden="false" customHeight="false" outlineLevel="0" collapsed="false">
      <c r="A144" s="25" t="s">
        <v>80</v>
      </c>
      <c r="B144" s="26" t="n">
        <f aca="false">データ入力!$A$64</f>
        <v>0</v>
      </c>
      <c r="C144" s="27" t="n">
        <v>0</v>
      </c>
      <c r="D144" s="27" t="n">
        <f aca="false">IF(データ入力!$A$64="",0,データ入力!$F$64)</f>
        <v>0</v>
      </c>
      <c r="E144" s="27" t="n">
        <v>0</v>
      </c>
      <c r="F144" s="27" t="n">
        <f aca="false">IF(データ入力!$A$64="",0,-データ入力!$F$64^3)</f>
        <v>0</v>
      </c>
      <c r="G144" s="27" t="n">
        <f aca="false">IF(データ入力!$A$64="",0,-データ入力!$E$64)</f>
        <v>0</v>
      </c>
      <c r="H144" s="27" t="n">
        <f aca="false">IF(データ入力!$A$64="",0,-データ入力!$F$64*データ入力!$D$64)</f>
        <v>0</v>
      </c>
      <c r="I144" s="27" t="n">
        <f aca="false">IF(データ入力!$A$64="",0,データ入力!$F$64^2*データ入力!$E$64)</f>
        <v>0</v>
      </c>
      <c r="J144" s="27" t="n">
        <f aca="false">IF(データ入力!$A$64="",0,データ入力!$F$64^3*データ入力!$D$64)</f>
        <v>0</v>
      </c>
      <c r="K144" s="27" t="n">
        <f aca="false">IF(データ入力!$A$64="",0,データ入力!$F$64^4*データ入力!$E$64)</f>
        <v>0</v>
      </c>
    </row>
    <row r="145" customFormat="false" ht="15" hidden="false" customHeight="false" outlineLevel="0" collapsed="false">
      <c r="A145" s="25" t="s">
        <v>80</v>
      </c>
      <c r="B145" s="26" t="n">
        <f aca="false">データ入力!$A$65</f>
        <v>0</v>
      </c>
      <c r="C145" s="27" t="n">
        <v>0</v>
      </c>
      <c r="D145" s="27" t="n">
        <f aca="false">IF(データ入力!$A$65="",0,データ入力!$F$65)</f>
        <v>0</v>
      </c>
      <c r="E145" s="27" t="n">
        <v>0</v>
      </c>
      <c r="F145" s="27" t="n">
        <f aca="false">IF(データ入力!$A$65="",0,-データ入力!$F$65^3)</f>
        <v>0</v>
      </c>
      <c r="G145" s="27" t="n">
        <f aca="false">IF(データ入力!$A$65="",0,-データ入力!$E$65)</f>
        <v>0</v>
      </c>
      <c r="H145" s="27" t="n">
        <f aca="false">IF(データ入力!$A$65="",0,-データ入力!$F$65*データ入力!$D$65)</f>
        <v>0</v>
      </c>
      <c r="I145" s="27" t="n">
        <f aca="false">IF(データ入力!$A$65="",0,データ入力!$F$65^2*データ入力!$E$65)</f>
        <v>0</v>
      </c>
      <c r="J145" s="27" t="n">
        <f aca="false">IF(データ入力!$A$65="",0,データ入力!$F$65^3*データ入力!$D$65)</f>
        <v>0</v>
      </c>
      <c r="K145" s="27" t="n">
        <f aca="false">IF(データ入力!$A$65="",0,データ入力!$F$65^4*データ入力!$E$65)</f>
        <v>0</v>
      </c>
    </row>
    <row r="146" customFormat="false" ht="15" hidden="false" customHeight="false" outlineLevel="0" collapsed="false">
      <c r="A146" s="25" t="s">
        <v>80</v>
      </c>
      <c r="B146" s="26" t="n">
        <f aca="false">データ入力!$A$66</f>
        <v>0</v>
      </c>
      <c r="C146" s="27" t="n">
        <v>0</v>
      </c>
      <c r="D146" s="27" t="n">
        <f aca="false">IF(データ入力!$A$66="",0,データ入力!$F$66)</f>
        <v>0</v>
      </c>
      <c r="E146" s="27" t="n">
        <v>0</v>
      </c>
      <c r="F146" s="27" t="n">
        <f aca="false">IF(データ入力!$A$66="",0,-データ入力!$F$66^3)</f>
        <v>0</v>
      </c>
      <c r="G146" s="27" t="n">
        <f aca="false">IF(データ入力!$A$66="",0,-データ入力!$E$66)</f>
        <v>0</v>
      </c>
      <c r="H146" s="27" t="n">
        <f aca="false">IF(データ入力!$A$66="",0,-データ入力!$F$66*データ入力!$D$66)</f>
        <v>0</v>
      </c>
      <c r="I146" s="27" t="n">
        <f aca="false">IF(データ入力!$A$66="",0,データ入力!$F$66^2*データ入力!$E$66)</f>
        <v>0</v>
      </c>
      <c r="J146" s="27" t="n">
        <f aca="false">IF(データ入力!$A$66="",0,データ入力!$F$66^3*データ入力!$D$66)</f>
        <v>0</v>
      </c>
      <c r="K146" s="27" t="n">
        <f aca="false">IF(データ入力!$A$66="",0,データ入力!$F$66^4*データ入力!$E$66)</f>
        <v>0</v>
      </c>
    </row>
    <row r="147" customFormat="false" ht="15" hidden="false" customHeight="false" outlineLevel="0" collapsed="false">
      <c r="A147" s="25" t="s">
        <v>80</v>
      </c>
      <c r="B147" s="26" t="n">
        <f aca="false">データ入力!$A$67</f>
        <v>0</v>
      </c>
      <c r="C147" s="27" t="n">
        <v>0</v>
      </c>
      <c r="D147" s="27" t="n">
        <f aca="false">IF(データ入力!$A$67="",0,データ入力!$F$67)</f>
        <v>0</v>
      </c>
      <c r="E147" s="27" t="n">
        <v>0</v>
      </c>
      <c r="F147" s="27" t="n">
        <f aca="false">IF(データ入力!$A$67="",0,-データ入力!$F$67^3)</f>
        <v>0</v>
      </c>
      <c r="G147" s="27" t="n">
        <f aca="false">IF(データ入力!$A$67="",0,-データ入力!$E$67)</f>
        <v>0</v>
      </c>
      <c r="H147" s="27" t="n">
        <f aca="false">IF(データ入力!$A$67="",0,-データ入力!$F$67*データ入力!$D$67)</f>
        <v>0</v>
      </c>
      <c r="I147" s="27" t="n">
        <f aca="false">IF(データ入力!$A$67="",0,データ入力!$F$67^2*データ入力!$E$67)</f>
        <v>0</v>
      </c>
      <c r="J147" s="27" t="n">
        <f aca="false">IF(データ入力!$A$67="",0,データ入力!$F$67^3*データ入力!$D$67)</f>
        <v>0</v>
      </c>
      <c r="K147" s="27" t="n">
        <f aca="false">IF(データ入力!$A$67="",0,データ入力!$F$67^4*データ入力!$E$67)</f>
        <v>0</v>
      </c>
    </row>
    <row r="148" customFormat="false" ht="15" hidden="false" customHeight="false" outlineLevel="0" collapsed="false">
      <c r="A148" s="25" t="s">
        <v>80</v>
      </c>
      <c r="B148" s="26" t="n">
        <f aca="false">データ入力!$A$68</f>
        <v>0</v>
      </c>
      <c r="C148" s="27" t="n">
        <v>0</v>
      </c>
      <c r="D148" s="27" t="n">
        <f aca="false">IF(データ入力!$A$68="",0,データ入力!$F$68)</f>
        <v>0</v>
      </c>
      <c r="E148" s="27" t="n">
        <v>0</v>
      </c>
      <c r="F148" s="27" t="n">
        <f aca="false">IF(データ入力!$A$68="",0,-データ入力!$F$68^3)</f>
        <v>0</v>
      </c>
      <c r="G148" s="27" t="n">
        <f aca="false">IF(データ入力!$A$68="",0,-データ入力!$E$68)</f>
        <v>0</v>
      </c>
      <c r="H148" s="27" t="n">
        <f aca="false">IF(データ入力!$A$68="",0,-データ入力!$F$68*データ入力!$D$68)</f>
        <v>0</v>
      </c>
      <c r="I148" s="27" t="n">
        <f aca="false">IF(データ入力!$A$68="",0,データ入力!$F$68^2*データ入力!$E$68)</f>
        <v>0</v>
      </c>
      <c r="J148" s="27" t="n">
        <f aca="false">IF(データ入力!$A$68="",0,データ入力!$F$68^3*データ入力!$D$68)</f>
        <v>0</v>
      </c>
      <c r="K148" s="27" t="n">
        <f aca="false">IF(データ入力!$A$68="",0,データ入力!$F$68^4*データ入力!$E$68)</f>
        <v>0</v>
      </c>
    </row>
    <row r="149" customFormat="false" ht="15" hidden="false" customHeight="false" outlineLevel="0" collapsed="false">
      <c r="A149" s="25" t="s">
        <v>80</v>
      </c>
      <c r="B149" s="26" t="n">
        <f aca="false">データ入力!$A$69</f>
        <v>0</v>
      </c>
      <c r="C149" s="27" t="n">
        <v>0</v>
      </c>
      <c r="D149" s="27" t="n">
        <f aca="false">IF(データ入力!$A$69="",0,データ入力!$F$69)</f>
        <v>0</v>
      </c>
      <c r="E149" s="27" t="n">
        <v>0</v>
      </c>
      <c r="F149" s="27" t="n">
        <f aca="false">IF(データ入力!$A$69="",0,-データ入力!$F$69^3)</f>
        <v>0</v>
      </c>
      <c r="G149" s="27" t="n">
        <f aca="false">IF(データ入力!$A$69="",0,-データ入力!$E$69)</f>
        <v>0</v>
      </c>
      <c r="H149" s="27" t="n">
        <f aca="false">IF(データ入力!$A$69="",0,-データ入力!$F$69*データ入力!$D$69)</f>
        <v>0</v>
      </c>
      <c r="I149" s="27" t="n">
        <f aca="false">IF(データ入力!$A$69="",0,データ入力!$F$69^2*データ入力!$E$69)</f>
        <v>0</v>
      </c>
      <c r="J149" s="27" t="n">
        <f aca="false">IF(データ入力!$A$69="",0,データ入力!$F$69^3*データ入力!$D$69)</f>
        <v>0</v>
      </c>
      <c r="K149" s="27" t="n">
        <f aca="false">IF(データ入力!$A$69="",0,データ入力!$F$69^4*データ入力!$E$69)</f>
        <v>0</v>
      </c>
    </row>
    <row r="150" customFormat="false" ht="15" hidden="false" customHeight="false" outlineLevel="0" collapsed="false">
      <c r="A150" s="25" t="s">
        <v>80</v>
      </c>
      <c r="B150" s="26" t="n">
        <f aca="false">データ入力!$A$70</f>
        <v>0</v>
      </c>
      <c r="C150" s="27" t="n">
        <v>0</v>
      </c>
      <c r="D150" s="27" t="n">
        <f aca="false">IF(データ入力!$A$70="",0,データ入力!$F$70)</f>
        <v>0</v>
      </c>
      <c r="E150" s="27" t="n">
        <v>0</v>
      </c>
      <c r="F150" s="27" t="n">
        <f aca="false">IF(データ入力!$A$70="",0,-データ入力!$F$70^3)</f>
        <v>0</v>
      </c>
      <c r="G150" s="27" t="n">
        <f aca="false">IF(データ入力!$A$70="",0,-データ入力!$E$70)</f>
        <v>0</v>
      </c>
      <c r="H150" s="27" t="n">
        <f aca="false">IF(データ入力!$A$70="",0,-データ入力!$F$70*データ入力!$D$70)</f>
        <v>0</v>
      </c>
      <c r="I150" s="27" t="n">
        <f aca="false">IF(データ入力!$A$70="",0,データ入力!$F$70^2*データ入力!$E$70)</f>
        <v>0</v>
      </c>
      <c r="J150" s="27" t="n">
        <f aca="false">IF(データ入力!$A$70="",0,データ入力!$F$70^3*データ入力!$D$70)</f>
        <v>0</v>
      </c>
      <c r="K150" s="27" t="n">
        <f aca="false">IF(データ入力!$A$70="",0,データ入力!$F$70^4*データ入力!$E$70)</f>
        <v>0</v>
      </c>
    </row>
    <row r="151" customFormat="false" ht="15" hidden="false" customHeight="false" outlineLevel="0" collapsed="false">
      <c r="A151" s="25" t="s">
        <v>80</v>
      </c>
      <c r="B151" s="26" t="n">
        <f aca="false">データ入力!$A$71</f>
        <v>0</v>
      </c>
      <c r="C151" s="27" t="n">
        <v>0</v>
      </c>
      <c r="D151" s="27" t="n">
        <f aca="false">IF(データ入力!$A$71="",0,データ入力!$F$71)</f>
        <v>0</v>
      </c>
      <c r="E151" s="27" t="n">
        <v>0</v>
      </c>
      <c r="F151" s="27" t="n">
        <f aca="false">IF(データ入力!$A$71="",0,-データ入力!$F$71^3)</f>
        <v>0</v>
      </c>
      <c r="G151" s="27" t="n">
        <f aca="false">IF(データ入力!$A$71="",0,-データ入力!$E$71)</f>
        <v>0</v>
      </c>
      <c r="H151" s="27" t="n">
        <f aca="false">IF(データ入力!$A$71="",0,-データ入力!$F$71*データ入力!$D$71)</f>
        <v>0</v>
      </c>
      <c r="I151" s="27" t="n">
        <f aca="false">IF(データ入力!$A$71="",0,データ入力!$F$71^2*データ入力!$E$71)</f>
        <v>0</v>
      </c>
      <c r="J151" s="27" t="n">
        <f aca="false">IF(データ入力!$A$71="",0,データ入力!$F$71^3*データ入力!$D$71)</f>
        <v>0</v>
      </c>
      <c r="K151" s="27" t="n">
        <f aca="false">IF(データ入力!$A$71="",0,データ入力!$F$71^4*データ入力!$E$71)</f>
        <v>0</v>
      </c>
    </row>
    <row r="152" customFormat="false" ht="15" hidden="false" customHeight="false" outlineLevel="0" collapsed="false">
      <c r="A152" s="25" t="s">
        <v>80</v>
      </c>
      <c r="B152" s="26" t="n">
        <f aca="false">データ入力!$A$72</f>
        <v>0</v>
      </c>
      <c r="C152" s="27" t="n">
        <v>0</v>
      </c>
      <c r="D152" s="27" t="n">
        <f aca="false">IF(データ入力!$A$72="",0,データ入力!$F$72)</f>
        <v>0</v>
      </c>
      <c r="E152" s="27" t="n">
        <v>0</v>
      </c>
      <c r="F152" s="27" t="n">
        <f aca="false">IF(データ入力!$A$72="",0,-データ入力!$F$72^3)</f>
        <v>0</v>
      </c>
      <c r="G152" s="27" t="n">
        <f aca="false">IF(データ入力!$A$72="",0,-データ入力!$E$72)</f>
        <v>0</v>
      </c>
      <c r="H152" s="27" t="n">
        <f aca="false">IF(データ入力!$A$72="",0,-データ入力!$F$72*データ入力!$D$72)</f>
        <v>0</v>
      </c>
      <c r="I152" s="27" t="n">
        <f aca="false">IF(データ入力!$A$72="",0,データ入力!$F$72^2*データ入力!$E$72)</f>
        <v>0</v>
      </c>
      <c r="J152" s="27" t="n">
        <f aca="false">IF(データ入力!$A$72="",0,データ入力!$F$72^3*データ入力!$D$72)</f>
        <v>0</v>
      </c>
      <c r="K152" s="27" t="n">
        <f aca="false">IF(データ入力!$A$72="",0,データ入力!$F$72^4*データ入力!$E$72)</f>
        <v>0</v>
      </c>
    </row>
    <row r="153" customFormat="false" ht="15" hidden="false" customHeight="false" outlineLevel="0" collapsed="false">
      <c r="A153" s="25" t="s">
        <v>80</v>
      </c>
      <c r="B153" s="26" t="n">
        <f aca="false">データ入力!$A$73</f>
        <v>0</v>
      </c>
      <c r="C153" s="27" t="n">
        <v>0</v>
      </c>
      <c r="D153" s="27" t="n">
        <f aca="false">IF(データ入力!$A$73="",0,データ入力!$F$73)</f>
        <v>0</v>
      </c>
      <c r="E153" s="27" t="n">
        <v>0</v>
      </c>
      <c r="F153" s="27" t="n">
        <f aca="false">IF(データ入力!$A$73="",0,-データ入力!$F$73^3)</f>
        <v>0</v>
      </c>
      <c r="G153" s="27" t="n">
        <f aca="false">IF(データ入力!$A$73="",0,-データ入力!$E$73)</f>
        <v>0</v>
      </c>
      <c r="H153" s="27" t="n">
        <f aca="false">IF(データ入力!$A$73="",0,-データ入力!$F$73*データ入力!$D$73)</f>
        <v>0</v>
      </c>
      <c r="I153" s="27" t="n">
        <f aca="false">IF(データ入力!$A$73="",0,データ入力!$F$73^2*データ入力!$E$73)</f>
        <v>0</v>
      </c>
      <c r="J153" s="27" t="n">
        <f aca="false">IF(データ入力!$A$73="",0,データ入力!$F$73^3*データ入力!$D$73)</f>
        <v>0</v>
      </c>
      <c r="K153" s="27" t="n">
        <f aca="false">IF(データ入力!$A$73="",0,データ入力!$F$73^4*データ入力!$E$73)</f>
        <v>0</v>
      </c>
    </row>
    <row r="154" customFormat="false" ht="15" hidden="false" customHeight="false" outlineLevel="0" collapsed="false">
      <c r="A154" s="25" t="s">
        <v>80</v>
      </c>
      <c r="B154" s="26" t="n">
        <f aca="false">データ入力!$A$74</f>
        <v>0</v>
      </c>
      <c r="C154" s="27" t="n">
        <v>0</v>
      </c>
      <c r="D154" s="27" t="n">
        <f aca="false">IF(データ入力!$A$74="",0,データ入力!$F$74)</f>
        <v>0</v>
      </c>
      <c r="E154" s="27" t="n">
        <v>0</v>
      </c>
      <c r="F154" s="27" t="n">
        <f aca="false">IF(データ入力!$A$74="",0,-データ入力!$F$74^3)</f>
        <v>0</v>
      </c>
      <c r="G154" s="27" t="n">
        <f aca="false">IF(データ入力!$A$74="",0,-データ入力!$E$74)</f>
        <v>0</v>
      </c>
      <c r="H154" s="27" t="n">
        <f aca="false">IF(データ入力!$A$74="",0,-データ入力!$F$74*データ入力!$D$74)</f>
        <v>0</v>
      </c>
      <c r="I154" s="27" t="n">
        <f aca="false">IF(データ入力!$A$74="",0,データ入力!$F$74^2*データ入力!$E$74)</f>
        <v>0</v>
      </c>
      <c r="J154" s="27" t="n">
        <f aca="false">IF(データ入力!$A$74="",0,データ入力!$F$74^3*データ入力!$D$74)</f>
        <v>0</v>
      </c>
      <c r="K154" s="27" t="n">
        <f aca="false">IF(データ入力!$A$74="",0,データ入力!$F$74^4*データ入力!$E$74)</f>
        <v>0</v>
      </c>
    </row>
    <row r="155" customFormat="false" ht="15" hidden="false" customHeight="false" outlineLevel="0" collapsed="false">
      <c r="A155" s="25" t="s">
        <v>80</v>
      </c>
      <c r="B155" s="26" t="n">
        <f aca="false">データ入力!$A$75</f>
        <v>0</v>
      </c>
      <c r="C155" s="27" t="n">
        <v>0</v>
      </c>
      <c r="D155" s="27" t="n">
        <f aca="false">IF(データ入力!$A$75="",0,データ入力!$F$75)</f>
        <v>0</v>
      </c>
      <c r="E155" s="27" t="n">
        <v>0</v>
      </c>
      <c r="F155" s="27" t="n">
        <f aca="false">IF(データ入力!$A$75="",0,-データ入力!$F$75^3)</f>
        <v>0</v>
      </c>
      <c r="G155" s="27" t="n">
        <f aca="false">IF(データ入力!$A$75="",0,-データ入力!$E$75)</f>
        <v>0</v>
      </c>
      <c r="H155" s="27" t="n">
        <f aca="false">IF(データ入力!$A$75="",0,-データ入力!$F$75*データ入力!$D$75)</f>
        <v>0</v>
      </c>
      <c r="I155" s="27" t="n">
        <f aca="false">IF(データ入力!$A$75="",0,データ入力!$F$75^2*データ入力!$E$75)</f>
        <v>0</v>
      </c>
      <c r="J155" s="27" t="n">
        <f aca="false">IF(データ入力!$A$75="",0,データ入力!$F$75^3*データ入力!$D$75)</f>
        <v>0</v>
      </c>
      <c r="K155" s="27" t="n">
        <f aca="false">IF(データ入力!$A$75="",0,データ入力!$F$75^4*データ入力!$E$75)</f>
        <v>0</v>
      </c>
    </row>
    <row r="156" customFormat="false" ht="15" hidden="false" customHeight="false" outlineLevel="0" collapsed="false">
      <c r="A156" s="25" t="s">
        <v>80</v>
      </c>
      <c r="B156" s="26" t="n">
        <f aca="false">データ入力!$A$76</f>
        <v>0</v>
      </c>
      <c r="C156" s="27" t="n">
        <v>0</v>
      </c>
      <c r="D156" s="27" t="n">
        <f aca="false">IF(データ入力!$A$76="",0,データ入力!$F$76)</f>
        <v>0</v>
      </c>
      <c r="E156" s="27" t="n">
        <v>0</v>
      </c>
      <c r="F156" s="27" t="n">
        <f aca="false">IF(データ入力!$A$76="",0,-データ入力!$F$76^3)</f>
        <v>0</v>
      </c>
      <c r="G156" s="27" t="n">
        <f aca="false">IF(データ入力!$A$76="",0,-データ入力!$E$76)</f>
        <v>0</v>
      </c>
      <c r="H156" s="27" t="n">
        <f aca="false">IF(データ入力!$A$76="",0,-データ入力!$F$76*データ入力!$D$76)</f>
        <v>0</v>
      </c>
      <c r="I156" s="27" t="n">
        <f aca="false">IF(データ入力!$A$76="",0,データ入力!$F$76^2*データ入力!$E$76)</f>
        <v>0</v>
      </c>
      <c r="J156" s="27" t="n">
        <f aca="false">IF(データ入力!$A$76="",0,データ入力!$F$76^3*データ入力!$D$76)</f>
        <v>0</v>
      </c>
      <c r="K156" s="27" t="n">
        <f aca="false">IF(データ入力!$A$76="",0,データ入力!$F$76^4*データ入力!$E$76)</f>
        <v>0</v>
      </c>
    </row>
    <row r="157" customFormat="false" ht="15" hidden="false" customHeight="false" outlineLevel="0" collapsed="false">
      <c r="A157" s="25" t="s">
        <v>80</v>
      </c>
      <c r="B157" s="26" t="n">
        <f aca="false">データ入力!$A$77</f>
        <v>0</v>
      </c>
      <c r="C157" s="27" t="n">
        <v>0</v>
      </c>
      <c r="D157" s="27" t="n">
        <f aca="false">IF(データ入力!$A$77="",0,データ入力!$F$77)</f>
        <v>0</v>
      </c>
      <c r="E157" s="27" t="n">
        <v>0</v>
      </c>
      <c r="F157" s="27" t="n">
        <f aca="false">IF(データ入力!$A$77="",0,-データ入力!$F$77^3)</f>
        <v>0</v>
      </c>
      <c r="G157" s="27" t="n">
        <f aca="false">IF(データ入力!$A$77="",0,-データ入力!$E$77)</f>
        <v>0</v>
      </c>
      <c r="H157" s="27" t="n">
        <f aca="false">IF(データ入力!$A$77="",0,-データ入力!$F$77*データ入力!$D$77)</f>
        <v>0</v>
      </c>
      <c r="I157" s="27" t="n">
        <f aca="false">IF(データ入力!$A$77="",0,データ入力!$F$77^2*データ入力!$E$77)</f>
        <v>0</v>
      </c>
      <c r="J157" s="27" t="n">
        <f aca="false">IF(データ入力!$A$77="",0,データ入力!$F$77^3*データ入力!$D$77)</f>
        <v>0</v>
      </c>
      <c r="K157" s="27" t="n">
        <f aca="false">IF(データ入力!$A$77="",0,データ入力!$F$77^4*データ入力!$E$77)</f>
        <v>0</v>
      </c>
    </row>
    <row r="158" customFormat="false" ht="15" hidden="false" customHeight="false" outlineLevel="0" collapsed="false">
      <c r="A158" s="25" t="s">
        <v>80</v>
      </c>
      <c r="B158" s="26" t="n">
        <f aca="false">データ入力!$A$78</f>
        <v>0</v>
      </c>
      <c r="C158" s="27" t="n">
        <v>0</v>
      </c>
      <c r="D158" s="27" t="n">
        <f aca="false">IF(データ入力!$A$78="",0,データ入力!$F$78)</f>
        <v>0</v>
      </c>
      <c r="E158" s="27" t="n">
        <v>0</v>
      </c>
      <c r="F158" s="27" t="n">
        <f aca="false">IF(データ入力!$A$78="",0,-データ入力!$F$78^3)</f>
        <v>0</v>
      </c>
      <c r="G158" s="27" t="n">
        <f aca="false">IF(データ入力!$A$78="",0,-データ入力!$E$78)</f>
        <v>0</v>
      </c>
      <c r="H158" s="27" t="n">
        <f aca="false">IF(データ入力!$A$78="",0,-データ入力!$F$78*データ入力!$D$78)</f>
        <v>0</v>
      </c>
      <c r="I158" s="27" t="n">
        <f aca="false">IF(データ入力!$A$78="",0,データ入力!$F$78^2*データ入力!$E$78)</f>
        <v>0</v>
      </c>
      <c r="J158" s="27" t="n">
        <f aca="false">IF(データ入力!$A$78="",0,データ入力!$F$78^3*データ入力!$D$78)</f>
        <v>0</v>
      </c>
      <c r="K158" s="27" t="n">
        <f aca="false">IF(データ入力!$A$78="",0,データ入力!$F$78^4*データ入力!$E$78)</f>
        <v>0</v>
      </c>
    </row>
    <row r="159" customFormat="false" ht="15" hidden="false" customHeight="false" outlineLevel="0" collapsed="false">
      <c r="A159" s="25" t="s">
        <v>80</v>
      </c>
      <c r="B159" s="26" t="n">
        <f aca="false">データ入力!$A$79</f>
        <v>0</v>
      </c>
      <c r="C159" s="27" t="n">
        <v>0</v>
      </c>
      <c r="D159" s="27" t="n">
        <f aca="false">IF(データ入力!$A$79="",0,データ入力!$F$79)</f>
        <v>0</v>
      </c>
      <c r="E159" s="27" t="n">
        <v>0</v>
      </c>
      <c r="F159" s="27" t="n">
        <f aca="false">IF(データ入力!$A$79="",0,-データ入力!$F$79^3)</f>
        <v>0</v>
      </c>
      <c r="G159" s="27" t="n">
        <f aca="false">IF(データ入力!$A$79="",0,-データ入力!$E$79)</f>
        <v>0</v>
      </c>
      <c r="H159" s="27" t="n">
        <f aca="false">IF(データ入力!$A$79="",0,-データ入力!$F$79*データ入力!$D$79)</f>
        <v>0</v>
      </c>
      <c r="I159" s="27" t="n">
        <f aca="false">IF(データ入力!$A$79="",0,データ入力!$F$79^2*データ入力!$E$79)</f>
        <v>0</v>
      </c>
      <c r="J159" s="27" t="n">
        <f aca="false">IF(データ入力!$A$79="",0,データ入力!$F$79^3*データ入力!$D$79)</f>
        <v>0</v>
      </c>
      <c r="K159" s="27" t="n">
        <f aca="false">IF(データ入力!$A$79="",0,データ入力!$F$79^4*データ入力!$E$79)</f>
        <v>0</v>
      </c>
    </row>
    <row r="160" customFormat="false" ht="15" hidden="false" customHeight="false" outlineLevel="0" collapsed="false">
      <c r="A160" s="25" t="s">
        <v>80</v>
      </c>
      <c r="B160" s="26" t="n">
        <f aca="false">データ入力!$A$80</f>
        <v>0</v>
      </c>
      <c r="C160" s="27" t="n">
        <v>0</v>
      </c>
      <c r="D160" s="27" t="n">
        <f aca="false">IF(データ入力!$A$80="",0,データ入力!$F$80)</f>
        <v>0</v>
      </c>
      <c r="E160" s="27" t="n">
        <v>0</v>
      </c>
      <c r="F160" s="27" t="n">
        <f aca="false">IF(データ入力!$A$80="",0,-データ入力!$F$80^3)</f>
        <v>0</v>
      </c>
      <c r="G160" s="27" t="n">
        <f aca="false">IF(データ入力!$A$80="",0,-データ入力!$E$80)</f>
        <v>0</v>
      </c>
      <c r="H160" s="27" t="n">
        <f aca="false">IF(データ入力!$A$80="",0,-データ入力!$F$80*データ入力!$D$80)</f>
        <v>0</v>
      </c>
      <c r="I160" s="27" t="n">
        <f aca="false">IF(データ入力!$A$80="",0,データ入力!$F$80^2*データ入力!$E$80)</f>
        <v>0</v>
      </c>
      <c r="J160" s="27" t="n">
        <f aca="false">IF(データ入力!$A$80="",0,データ入力!$F$80^3*データ入力!$D$80)</f>
        <v>0</v>
      </c>
      <c r="K160" s="27" t="n">
        <f aca="false">IF(データ入力!$A$80="",0,データ入力!$F$80^4*データ入力!$E$80)</f>
        <v>0</v>
      </c>
    </row>
    <row r="161" customFormat="false" ht="15" hidden="false" customHeight="false" outlineLevel="0" collapsed="false">
      <c r="A161" s="25" t="s">
        <v>80</v>
      </c>
      <c r="B161" s="26" t="n">
        <f aca="false">データ入力!$A$81</f>
        <v>0</v>
      </c>
      <c r="C161" s="27" t="n">
        <v>0</v>
      </c>
      <c r="D161" s="27" t="n">
        <f aca="false">IF(データ入力!$A$81="",0,データ入力!$F$81)</f>
        <v>0</v>
      </c>
      <c r="E161" s="27" t="n">
        <v>0</v>
      </c>
      <c r="F161" s="27" t="n">
        <f aca="false">IF(データ入力!$A$81="",0,-データ入力!$F$81^3)</f>
        <v>0</v>
      </c>
      <c r="G161" s="27" t="n">
        <f aca="false">IF(データ入力!$A$81="",0,-データ入力!$E$81)</f>
        <v>0</v>
      </c>
      <c r="H161" s="27" t="n">
        <f aca="false">IF(データ入力!$A$81="",0,-データ入力!$F$81*データ入力!$D$81)</f>
        <v>0</v>
      </c>
      <c r="I161" s="27" t="n">
        <f aca="false">IF(データ入力!$A$81="",0,データ入力!$F$81^2*データ入力!$E$81)</f>
        <v>0</v>
      </c>
      <c r="J161" s="27" t="n">
        <f aca="false">IF(データ入力!$A$81="",0,データ入力!$F$81^3*データ入力!$D$81)</f>
        <v>0</v>
      </c>
      <c r="K161" s="27" t="n">
        <f aca="false">IF(データ入力!$A$81="",0,データ入力!$F$81^4*データ入力!$E$81)</f>
        <v>0</v>
      </c>
    </row>
    <row r="162" customFormat="false" ht="15" hidden="false" customHeight="false" outlineLevel="0" collapsed="false">
      <c r="A162" s="25" t="s">
        <v>80</v>
      </c>
      <c r="B162" s="26" t="n">
        <f aca="false">データ入力!$A$82</f>
        <v>0</v>
      </c>
      <c r="C162" s="27" t="n">
        <v>0</v>
      </c>
      <c r="D162" s="27" t="n">
        <f aca="false">IF(データ入力!$A$82="",0,データ入力!$F$82)</f>
        <v>0</v>
      </c>
      <c r="E162" s="27" t="n">
        <v>0</v>
      </c>
      <c r="F162" s="27" t="n">
        <f aca="false">IF(データ入力!$A$82="",0,-データ入力!$F$82^3)</f>
        <v>0</v>
      </c>
      <c r="G162" s="27" t="n">
        <f aca="false">IF(データ入力!$A$82="",0,-データ入力!$E$82)</f>
        <v>0</v>
      </c>
      <c r="H162" s="27" t="n">
        <f aca="false">IF(データ入力!$A$82="",0,-データ入力!$F$82*データ入力!$D$82)</f>
        <v>0</v>
      </c>
      <c r="I162" s="27" t="n">
        <f aca="false">IF(データ入力!$A$82="",0,データ入力!$F$82^2*データ入力!$E$82)</f>
        <v>0</v>
      </c>
      <c r="J162" s="27" t="n">
        <f aca="false">IF(データ入力!$A$82="",0,データ入力!$F$82^3*データ入力!$D$82)</f>
        <v>0</v>
      </c>
      <c r="K162" s="27" t="n">
        <f aca="false">IF(データ入力!$A$82="",0,データ入力!$F$82^4*データ入力!$E$82)</f>
        <v>0</v>
      </c>
    </row>
    <row r="163" customFormat="false" ht="15" hidden="false" customHeight="false" outlineLevel="0" collapsed="false">
      <c r="A163" s="25" t="s">
        <v>80</v>
      </c>
      <c r="B163" s="26" t="n">
        <f aca="false">データ入力!$A$83</f>
        <v>0</v>
      </c>
      <c r="C163" s="27" t="n">
        <v>0</v>
      </c>
      <c r="D163" s="27" t="n">
        <f aca="false">IF(データ入力!$A$83="",0,データ入力!$F$83)</f>
        <v>0</v>
      </c>
      <c r="E163" s="27" t="n">
        <v>0</v>
      </c>
      <c r="F163" s="27" t="n">
        <f aca="false">IF(データ入力!$A$83="",0,-データ入力!$F$83^3)</f>
        <v>0</v>
      </c>
      <c r="G163" s="27" t="n">
        <f aca="false">IF(データ入力!$A$83="",0,-データ入力!$E$83)</f>
        <v>0</v>
      </c>
      <c r="H163" s="27" t="n">
        <f aca="false">IF(データ入力!$A$83="",0,-データ入力!$F$83*データ入力!$D$83)</f>
        <v>0</v>
      </c>
      <c r="I163" s="27" t="n">
        <f aca="false">IF(データ入力!$A$83="",0,データ入力!$F$83^2*データ入力!$E$83)</f>
        <v>0</v>
      </c>
      <c r="J163" s="27" t="n">
        <f aca="false">IF(データ入力!$A$83="",0,データ入力!$F$83^3*データ入力!$D$83)</f>
        <v>0</v>
      </c>
      <c r="K163" s="27" t="n">
        <f aca="false">IF(データ入力!$A$83="",0,データ入力!$F$83^4*データ入力!$E$83)</f>
        <v>0</v>
      </c>
    </row>
    <row r="164" customFormat="false" ht="15" hidden="false" customHeight="false" outlineLevel="0" collapsed="false">
      <c r="A164" s="25" t="s">
        <v>80</v>
      </c>
      <c r="B164" s="26" t="n">
        <f aca="false">データ入力!$A$84</f>
        <v>0</v>
      </c>
      <c r="C164" s="27" t="n">
        <v>0</v>
      </c>
      <c r="D164" s="27" t="n">
        <f aca="false">IF(データ入力!$A$84="",0,データ入力!$F$84)</f>
        <v>0</v>
      </c>
      <c r="E164" s="27" t="n">
        <v>0</v>
      </c>
      <c r="F164" s="27" t="n">
        <f aca="false">IF(データ入力!$A$84="",0,-データ入力!$F$84^3)</f>
        <v>0</v>
      </c>
      <c r="G164" s="27" t="n">
        <f aca="false">IF(データ入力!$A$84="",0,-データ入力!$E$84)</f>
        <v>0</v>
      </c>
      <c r="H164" s="27" t="n">
        <f aca="false">IF(データ入力!$A$84="",0,-データ入力!$F$84*データ入力!$D$84)</f>
        <v>0</v>
      </c>
      <c r="I164" s="27" t="n">
        <f aca="false">IF(データ入力!$A$84="",0,データ入力!$F$84^2*データ入力!$E$84)</f>
        <v>0</v>
      </c>
      <c r="J164" s="27" t="n">
        <f aca="false">IF(データ入力!$A$84="",0,データ入力!$F$84^3*データ入力!$D$84)</f>
        <v>0</v>
      </c>
      <c r="K164" s="27" t="n">
        <f aca="false">IF(データ入力!$A$84="",0,データ入力!$F$84^4*データ入力!$E$84)</f>
        <v>0</v>
      </c>
    </row>
  </sheetData>
  <mergeCells count="3">
    <mergeCell ref="A1:J1"/>
    <mergeCell ref="A2:J2"/>
    <mergeCell ref="M3:U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8"/>
    <col collapsed="false" customWidth="true" hidden="false" outlineLevel="0" max="4" min="4" style="1" width="40"/>
  </cols>
  <sheetData>
    <row r="1" customFormat="false" ht="19.5" hidden="false" customHeight="true" outlineLevel="0" collapsed="false">
      <c r="A1" s="2" t="s">
        <v>81</v>
      </c>
      <c r="B1" s="2"/>
      <c r="C1" s="2"/>
      <c r="D1" s="2"/>
    </row>
    <row r="3" customFormat="false" ht="15" hidden="false" customHeight="false" outlineLevel="0" collapsed="false">
      <c r="B3" s="20" t="s">
        <v>82</v>
      </c>
      <c r="C3" s="20" t="s">
        <v>83</v>
      </c>
      <c r="D3" s="20" t="s">
        <v>84</v>
      </c>
    </row>
    <row r="4" customFormat="false" ht="15" hidden="false" customHeight="false" outlineLevel="0" collapsed="false">
      <c r="A4" s="9" t="s">
        <v>85</v>
      </c>
      <c r="B4" s="32" t="n">
        <f aca="false">IF(B67="","",MIN(B65,B66))</f>
        <v>3480.0075218373</v>
      </c>
      <c r="C4" s="32" t="n">
        <f aca="false">IF(B67="","",MAX(B65,B66))</f>
        <v>3520.00235393389</v>
      </c>
      <c r="D4" s="11" t="s">
        <v>86</v>
      </c>
    </row>
    <row r="5" customFormat="false" ht="15" hidden="false" customHeight="false" outlineLevel="0" collapsed="false">
      <c r="A5" s="9" t="s">
        <v>87</v>
      </c>
      <c r="B5" s="30" t="n">
        <f aca="false">IF(B67="","",IF(B65&lt;=B66,C65,C66))</f>
        <v>0.00600371997483438</v>
      </c>
      <c r="C5" s="30" t="n">
        <f aca="false">IF(B67="","",IF(B65&lt;=B66,C66,C65))</f>
        <v>0.00799237447048761</v>
      </c>
      <c r="D5" s="14" t="s">
        <v>88</v>
      </c>
    </row>
    <row r="6" customFormat="false" ht="15" hidden="false" customHeight="false" outlineLevel="0" collapsed="false">
      <c r="A6" s="9" t="s">
        <v>89</v>
      </c>
      <c r="B6" s="33" t="str">
        <f aca="false">B67</f>
        <v>OK：正常に分離できました</v>
      </c>
      <c r="C6" s="33"/>
      <c r="D6" s="33"/>
    </row>
    <row r="8" customFormat="false" ht="26.85" hidden="false" customHeight="true" outlineLevel="0" collapsed="false">
      <c r="A8" s="19" t="s">
        <v>90</v>
      </c>
      <c r="B8" s="19"/>
      <c r="C8" s="19"/>
      <c r="D8" s="19"/>
    </row>
    <row r="11" customFormat="false" ht="17.15" hidden="false" customHeight="false" outlineLevel="0" collapsed="false">
      <c r="A11" s="8" t="s">
        <v>91</v>
      </c>
      <c r="B11" s="8"/>
      <c r="C11" s="8"/>
      <c r="D11" s="8"/>
    </row>
    <row r="13" customFormat="false" ht="15" hidden="false" customHeight="false" outlineLevel="0" collapsed="false">
      <c r="A13" s="12" t="s">
        <v>92</v>
      </c>
      <c r="B13" s="31" t="n">
        <f aca="false">RFP計算!$X$9</f>
        <v>0.999940354942456</v>
      </c>
    </row>
    <row r="14" customFormat="false" ht="15" hidden="false" customHeight="false" outlineLevel="0" collapsed="false">
      <c r="A14" s="12" t="s">
        <v>71</v>
      </c>
      <c r="B14" s="31" t="n">
        <f aca="false">RFP計算!$X$10</f>
        <v>0.0139843348526613</v>
      </c>
    </row>
    <row r="15" customFormat="false" ht="15" hidden="false" customHeight="false" outlineLevel="0" collapsed="false">
      <c r="A15" s="12" t="s">
        <v>72</v>
      </c>
      <c r="B15" s="31" t="n">
        <f aca="false">RFP計算!$X$11</f>
        <v>2.00011891509778</v>
      </c>
    </row>
    <row r="16" customFormat="false" ht="15" hidden="false" customHeight="false" outlineLevel="0" collapsed="false">
      <c r="A16" s="12" t="s">
        <v>73</v>
      </c>
      <c r="B16" s="31" t="n">
        <f aca="false">RFP計算!$X$12</f>
        <v>0.0140074764631617</v>
      </c>
    </row>
    <row r="18" customFormat="false" ht="15" hidden="false" customHeight="true" outlineLevel="0" collapsed="false">
      <c r="A18" s="12" t="s">
        <v>93</v>
      </c>
      <c r="B18" s="31" t="n">
        <f aca="false">B15-3*B16^2/8</f>
        <v>2.00004533657396</v>
      </c>
      <c r="C18" s="18" t="s">
        <v>94</v>
      </c>
      <c r="D18" s="18"/>
    </row>
    <row r="19" customFormat="false" ht="15" hidden="false" customHeight="false" outlineLevel="0" collapsed="false">
      <c r="A19" s="12" t="s">
        <v>95</v>
      </c>
      <c r="B19" s="31" t="n">
        <f aca="false">B14-B15*B16/2+B16^3/8</f>
        <v>-2.36309109034562E-005</v>
      </c>
    </row>
    <row r="20" customFormat="false" ht="15" hidden="false" customHeight="false" outlineLevel="0" collapsed="false">
      <c r="A20" s="12" t="s">
        <v>96</v>
      </c>
      <c r="B20" s="31" t="n">
        <f aca="false">B13-B14*B16/4+B15*B16^2/16-3*B16^4/256</f>
        <v>0.999915910813855</v>
      </c>
    </row>
    <row r="22" customFormat="false" ht="17.15" hidden="false" customHeight="false" outlineLevel="0" collapsed="false">
      <c r="A22" s="8" t="s">
        <v>97</v>
      </c>
      <c r="B22" s="8"/>
      <c r="C22" s="8"/>
      <c r="D22" s="8"/>
    </row>
    <row r="23" customFormat="false" ht="15" hidden="false" customHeight="false" outlineLevel="0" collapsed="false">
      <c r="A23" s="12" t="s">
        <v>98</v>
      </c>
      <c r="B23" s="31" t="n">
        <f aca="false">2*B18</f>
        <v>4.00009067314791</v>
      </c>
    </row>
    <row r="24" customFormat="false" ht="15" hidden="false" customHeight="false" outlineLevel="0" collapsed="false">
      <c r="A24" s="12" t="s">
        <v>99</v>
      </c>
      <c r="B24" s="31" t="n">
        <f aca="false">B18^2-4*B20</f>
        <v>0.000517705095808729</v>
      </c>
    </row>
    <row r="25" customFormat="false" ht="15" hidden="false" customHeight="false" outlineLevel="0" collapsed="false">
      <c r="A25" s="12" t="s">
        <v>100</v>
      </c>
      <c r="B25" s="31" t="n">
        <f aca="false">-(B19^2)</f>
        <v>-5.58419950127084E-010</v>
      </c>
    </row>
    <row r="26" customFormat="false" ht="15" hidden="false" customHeight="false" outlineLevel="0" collapsed="false">
      <c r="A26" s="12" t="s">
        <v>101</v>
      </c>
      <c r="B26" s="31" t="n">
        <f aca="false">B24-B23^2/3</f>
        <v>-5.33305742603916</v>
      </c>
    </row>
    <row r="27" customFormat="false" ht="15" hidden="false" customHeight="false" outlineLevel="0" collapsed="false">
      <c r="A27" s="12" t="s">
        <v>102</v>
      </c>
      <c r="B27" s="31" t="n">
        <f aca="false">2*B23^3/27-B23*B24/3+B25</f>
        <v>4.74037285179688</v>
      </c>
    </row>
    <row r="28" customFormat="false" ht="26.85" hidden="false" customHeight="true" outlineLevel="0" collapsed="false">
      <c r="A28" s="9" t="s">
        <v>103</v>
      </c>
      <c r="B28" s="27" t="b">
        <f aca="false">B26&lt;0</f>
        <v>1</v>
      </c>
      <c r="C28" s="18" t="s">
        <v>104</v>
      </c>
      <c r="D28" s="18"/>
    </row>
    <row r="29" customFormat="false" ht="15" hidden="false" customHeight="false" outlineLevel="0" collapsed="false">
      <c r="A29" s="12" t="s">
        <v>105</v>
      </c>
      <c r="B29" s="31" t="n">
        <f aca="false">2*SQRT(MAX(-B26/3,0.0000000000001))</f>
        <v>2.66659768895101</v>
      </c>
    </row>
    <row r="30" customFormat="false" ht="15" hidden="false" customHeight="false" outlineLevel="0" collapsed="false">
      <c r="A30" s="12" t="s">
        <v>106</v>
      </c>
      <c r="B30" s="31" t="n">
        <f aca="false">ACOS(MAX(-1,MIN(1,IF(OR(B26=0,B29=0),0,3*B27/(B26*B29)))))/3</f>
        <v>1.04716906533225</v>
      </c>
    </row>
    <row r="31" customFormat="false" ht="15" hidden="false" customHeight="false" outlineLevel="0" collapsed="false">
      <c r="A31" s="12" t="s">
        <v>107</v>
      </c>
      <c r="B31" s="31" t="n">
        <f aca="false">B29*COS(B30)-B23/3</f>
        <v>1.06980273195667E-006</v>
      </c>
    </row>
    <row r="32" customFormat="false" ht="15" hidden="false" customHeight="false" outlineLevel="0" collapsed="false">
      <c r="A32" s="12" t="s">
        <v>108</v>
      </c>
      <c r="B32" s="31" t="n">
        <f aca="false">B29*COS(B30-2*PI()/3)-B23/3</f>
        <v>-0.000130497365557591</v>
      </c>
    </row>
    <row r="33" customFormat="false" ht="15" hidden="false" customHeight="false" outlineLevel="0" collapsed="false">
      <c r="A33" s="12" t="s">
        <v>109</v>
      </c>
      <c r="B33" s="31" t="n">
        <f aca="false">B29*COS(B30-4*PI()/3)-B23/3</f>
        <v>-3.99996124558509</v>
      </c>
    </row>
    <row r="35" customFormat="false" ht="17.15" hidden="false" customHeight="false" outlineLevel="0" collapsed="false">
      <c r="A35" s="8" t="s">
        <v>110</v>
      </c>
      <c r="B35" s="8"/>
      <c r="C35" s="8"/>
      <c r="D35" s="8"/>
    </row>
    <row r="36" customFormat="false" ht="15" hidden="false" customHeight="false" outlineLevel="0" collapsed="false">
      <c r="A36" s="12" t="s">
        <v>111</v>
      </c>
      <c r="B36" s="31" t="n">
        <f aca="false">IF(ABS(B31)&gt;=ABS(B32),IF(ABS(B31)&gt;=ABS(B33),B31,B33),IF(ABS(B32)&gt;=ABS(B33),B32,B33))</f>
        <v>-3.99996124558509</v>
      </c>
    </row>
    <row r="37" customFormat="false" ht="15" hidden="false" customHeight="false" outlineLevel="0" collapsed="false">
      <c r="A37" s="12" t="s">
        <v>112</v>
      </c>
      <c r="B37" s="31" t="n">
        <f aca="false">B23+B36</f>
        <v>0.000129427562826301</v>
      </c>
    </row>
    <row r="38" customFormat="false" ht="15" hidden="false" customHeight="false" outlineLevel="0" collapsed="false">
      <c r="A38" s="12" t="s">
        <v>113</v>
      </c>
      <c r="B38" s="31" t="n">
        <f aca="false">IFERROR(-B25/B36,0)</f>
        <v>-1.39606340122278E-010</v>
      </c>
    </row>
    <row r="39" customFormat="false" ht="15" hidden="false" customHeight="false" outlineLevel="0" collapsed="false">
      <c r="A39" s="9" t="s">
        <v>114</v>
      </c>
      <c r="B39" s="31" t="n">
        <f aca="false">MAX(B37^2-4*B38,0)</f>
        <v>1.73099193796452E-008</v>
      </c>
    </row>
    <row r="40" customFormat="false" ht="15" hidden="false" customHeight="false" outlineLevel="0" collapsed="false">
      <c r="A40" s="9" t="s">
        <v>115</v>
      </c>
      <c r="B40" s="31" t="n">
        <f aca="false">(-B37-IF(B37&gt;=0,1,-1)*SQRT(B39))/2</f>
        <v>-0.000130497364812896</v>
      </c>
    </row>
    <row r="41" customFormat="false" ht="15" hidden="false" customHeight="false" outlineLevel="0" collapsed="false">
      <c r="A41" s="9" t="s">
        <v>116</v>
      </c>
      <c r="B41" s="31" t="n">
        <f aca="false">IFERROR(B38/B40,(-B37+SQRT(B39))/2)</f>
        <v>1.06980198659523E-006</v>
      </c>
    </row>
    <row r="42" customFormat="false" ht="15" hidden="false" customHeight="false" outlineLevel="0" collapsed="false">
      <c r="A42" s="12" t="s">
        <v>117</v>
      </c>
      <c r="B42" s="31" t="n">
        <f aca="false">MAX(B40,B41,B36,0)</f>
        <v>1.06980198659523E-006</v>
      </c>
    </row>
    <row r="43" customFormat="false" ht="15" hidden="false" customHeight="false" outlineLevel="0" collapsed="false">
      <c r="A43" s="12" t="s">
        <v>118</v>
      </c>
      <c r="B43" s="27" t="b">
        <f aca="false">B42&gt;=設定!$B$12</f>
        <v>1</v>
      </c>
    </row>
    <row r="45" customFormat="false" ht="17.15" hidden="false" customHeight="false" outlineLevel="0" collapsed="false">
      <c r="A45" s="34" t="s">
        <v>119</v>
      </c>
      <c r="B45" s="34"/>
      <c r="C45" s="34"/>
      <c r="D45" s="34"/>
    </row>
    <row r="46" customFormat="false" ht="15" hidden="false" customHeight="false" outlineLevel="0" collapsed="false">
      <c r="A46" s="12" t="s">
        <v>120</v>
      </c>
      <c r="B46" s="31" t="n">
        <f aca="false">IFERROR(SQRT(B42),"")</f>
        <v>0.00103431232545843</v>
      </c>
    </row>
    <row r="47" customFormat="false" ht="15" hidden="false" customHeight="false" outlineLevel="0" collapsed="false">
      <c r="A47" s="12" t="s">
        <v>121</v>
      </c>
      <c r="B47" s="31" t="n">
        <f aca="false">IF(B46="","",((B18+B42)-B19/B46)/2)</f>
        <v>1.01144669216795</v>
      </c>
    </row>
    <row r="48" customFormat="false" ht="15" hidden="false" customHeight="false" outlineLevel="0" collapsed="false">
      <c r="A48" s="12" t="s">
        <v>122</v>
      </c>
      <c r="B48" s="31" t="n">
        <f aca="false">IF(B46="","",((B18+B42)+B19/B46)/2)</f>
        <v>0.988599714207995</v>
      </c>
    </row>
    <row r="49" customFormat="false" ht="15" hidden="false" customHeight="false" outlineLevel="0" collapsed="false">
      <c r="A49" s="12" t="s">
        <v>123</v>
      </c>
      <c r="B49" s="31" t="n">
        <f aca="false">IF(B46="","",B16/2+B46)</f>
        <v>0.00803805055703928</v>
      </c>
    </row>
    <row r="50" customFormat="false" ht="15" hidden="false" customHeight="false" outlineLevel="0" collapsed="false">
      <c r="A50" s="12" t="s">
        <v>124</v>
      </c>
      <c r="B50" s="31" t="n">
        <f aca="false">IF(B46="","",B16^2/16+B16*B46/4+B47)</f>
        <v>1.01146257728164</v>
      </c>
    </row>
    <row r="51" customFormat="false" ht="15" hidden="false" customHeight="false" outlineLevel="0" collapsed="false">
      <c r="A51" s="12" t="s">
        <v>125</v>
      </c>
      <c r="B51" s="31" t="n">
        <f aca="false">IF(B46="","",B16/2-B46)</f>
        <v>0.00596942590612241</v>
      </c>
    </row>
    <row r="52" customFormat="false" ht="15" hidden="false" customHeight="false" outlineLevel="0" collapsed="false">
      <c r="A52" s="12" t="s">
        <v>126</v>
      </c>
      <c r="B52" s="31" t="n">
        <f aca="false">IF(B46="","",B16^2/16-B16*B46/4+B48)</f>
        <v>0.98860835526891</v>
      </c>
    </row>
    <row r="54" customFormat="false" ht="17.15" hidden="false" customHeight="false" outlineLevel="0" collapsed="false">
      <c r="A54" s="8" t="s">
        <v>127</v>
      </c>
      <c r="B54" s="8"/>
      <c r="C54" s="8"/>
      <c r="D54" s="8"/>
    </row>
    <row r="55" customFormat="false" ht="15" hidden="false" customHeight="false" outlineLevel="0" collapsed="false">
      <c r="A55" s="12" t="s">
        <v>128</v>
      </c>
      <c r="B55" s="31" t="n">
        <f aca="false">IF(OR(B50="",B50&lt;=0),"",SQRT(B50))</f>
        <v>1.00571495826682</v>
      </c>
    </row>
    <row r="56" customFormat="false" ht="15" hidden="false" customHeight="false" outlineLevel="0" collapsed="false">
      <c r="A56" s="12" t="s">
        <v>129</v>
      </c>
      <c r="B56" s="31" t="n">
        <f aca="false">IF(B55="","",B49/(2*B55))</f>
        <v>0.0039961872352438</v>
      </c>
    </row>
    <row r="57" customFormat="false" ht="15" hidden="false" customHeight="false" outlineLevel="0" collapsed="false">
      <c r="A57" s="12" t="s">
        <v>130</v>
      </c>
      <c r="B57" s="35" t="n">
        <f aca="false">IF(B55="","",B55*設定!$B$4)</f>
        <v>3520.00235393389</v>
      </c>
    </row>
    <row r="58" customFormat="false" ht="15" hidden="false" customHeight="false" outlineLevel="0" collapsed="false">
      <c r="A58" s="12" t="s">
        <v>131</v>
      </c>
      <c r="B58" s="31" t="n">
        <f aca="false">IF(B56="","",2*B56)</f>
        <v>0.00799237447048761</v>
      </c>
    </row>
    <row r="59" customFormat="false" ht="15" hidden="false" customHeight="false" outlineLevel="0" collapsed="false">
      <c r="A59" s="12" t="s">
        <v>132</v>
      </c>
      <c r="B59" s="31" t="n">
        <f aca="false">IF(OR(B52="",B52&lt;=0),"",SQRT(B52))</f>
        <v>0.994287863382084</v>
      </c>
    </row>
    <row r="60" customFormat="false" ht="15" hidden="false" customHeight="false" outlineLevel="0" collapsed="false">
      <c r="A60" s="12" t="s">
        <v>133</v>
      </c>
      <c r="B60" s="31" t="n">
        <f aca="false">IF(B59="","",B51/(2*B59))</f>
        <v>0.00300185998741719</v>
      </c>
    </row>
    <row r="61" customFormat="false" ht="15" hidden="false" customHeight="false" outlineLevel="0" collapsed="false">
      <c r="A61" s="12" t="s">
        <v>134</v>
      </c>
      <c r="B61" s="35" t="n">
        <f aca="false">IF(B59="","",B59*設定!$B$4)</f>
        <v>3480.0075218373</v>
      </c>
    </row>
    <row r="62" customFormat="false" ht="15" hidden="false" customHeight="false" outlineLevel="0" collapsed="false">
      <c r="A62" s="12" t="s">
        <v>135</v>
      </c>
      <c r="B62" s="31" t="n">
        <f aca="false">IF(B60="","",2*B60)</f>
        <v>0.00600371997483438</v>
      </c>
    </row>
    <row r="64" customFormat="false" ht="17.15" hidden="false" customHeight="false" outlineLevel="0" collapsed="false">
      <c r="A64" s="8" t="s">
        <v>136</v>
      </c>
      <c r="B64" s="8"/>
      <c r="C64" s="8"/>
      <c r="D64" s="8"/>
    </row>
    <row r="65" customFormat="false" ht="15" hidden="false" customHeight="false" outlineLevel="0" collapsed="false">
      <c r="A65" s="9" t="s">
        <v>137</v>
      </c>
      <c r="B65" s="35" t="n">
        <f aca="false">B57</f>
        <v>3520.00235393389</v>
      </c>
      <c r="C65" s="31" t="n">
        <f aca="false">B58</f>
        <v>0.00799237447048761</v>
      </c>
    </row>
    <row r="66" customFormat="false" ht="15" hidden="false" customHeight="false" outlineLevel="0" collapsed="false">
      <c r="A66" s="9" t="s">
        <v>138</v>
      </c>
      <c r="B66" s="35" t="n">
        <f aca="false">B61</f>
        <v>3480.0075218373</v>
      </c>
      <c r="C66" s="31" t="n">
        <f aca="false">B62</f>
        <v>0.00600371997483438</v>
      </c>
    </row>
    <row r="67" customFormat="false" ht="15" hidden="false" customHeight="false" outlineLevel="0" collapsed="false">
      <c r="A67" s="9" t="s">
        <v>139</v>
      </c>
      <c r="B67" s="36" t="str">
        <f aca="false">IF(B28=FALSE(),"要確認：前提条件(P&lt;0)が成立していません。既存ガイド4-5節のSolver法をご検討ください。",IF(B43=FALSE(),"要確認：2モードの損失係数が非常に近く、分離が数値的に不安定な境界です。",IF(OR(B50&lt;=0,B52&lt;=0),"要確認：負の値が生じています。データ帯域や基準周波数を見直してください。","OK：正常に分離できました")))</f>
        <v>OK：正常に分離できました</v>
      </c>
      <c r="C67" s="36"/>
      <c r="D67" s="36"/>
    </row>
  </sheetData>
  <mergeCells count="12">
    <mergeCell ref="A1:D1"/>
    <mergeCell ref="B6:D6"/>
    <mergeCell ref="A8:D8"/>
    <mergeCell ref="A11:D11"/>
    <mergeCell ref="C18:D18"/>
    <mergeCell ref="A22:D22"/>
    <mergeCell ref="C28:D28"/>
    <mergeCell ref="A35:D35"/>
    <mergeCell ref="A45:D45"/>
    <mergeCell ref="A54:D54"/>
    <mergeCell ref="A64:D64"/>
    <mergeCell ref="B67: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18"/>
    <col collapsed="false" customWidth="true" hidden="false" outlineLevel="0" max="5" min="5" style="1" width="40"/>
  </cols>
  <sheetData>
    <row r="1" customFormat="false" ht="19.5" hidden="false" customHeight="true" outlineLevel="0" collapsed="false">
      <c r="A1" s="2" t="s">
        <v>140</v>
      </c>
      <c r="B1" s="2"/>
      <c r="C1" s="2"/>
      <c r="D1" s="2"/>
      <c r="E1" s="2"/>
    </row>
    <row r="2" customFormat="false" ht="33.75" hidden="false" customHeight="true" outlineLevel="0" collapsed="false">
      <c r="A2" s="37" t="s">
        <v>141</v>
      </c>
      <c r="B2" s="37"/>
      <c r="C2" s="37"/>
      <c r="D2" s="37"/>
      <c r="E2" s="37"/>
    </row>
    <row r="4" customFormat="false" ht="25.5" hidden="false" customHeight="true" outlineLevel="0" collapsed="false">
      <c r="B4" s="20" t="s">
        <v>142</v>
      </c>
      <c r="C4" s="20" t="s">
        <v>143</v>
      </c>
      <c r="D4" s="20" t="s">
        <v>144</v>
      </c>
      <c r="E4" s="20" t="s">
        <v>89</v>
      </c>
    </row>
    <row r="5" customFormat="false" ht="15" hidden="false" customHeight="false" outlineLevel="0" collapsed="false">
      <c r="A5" s="9" t="s">
        <v>145</v>
      </c>
      <c r="B5" s="21" t="n">
        <v>3480.01</v>
      </c>
      <c r="C5" s="35" t="n">
        <f aca="false">モード分離結果!$B$4</f>
        <v>3480.0075218373</v>
      </c>
      <c r="D5" s="38" t="n">
        <f aca="false">ABS(C5-B5)/B5</f>
        <v>7.12113673610609E-007</v>
      </c>
      <c r="E5" s="27" t="str">
        <f aca="false">IF(D5&lt;0.005,"OK","要確認")</f>
        <v>OK</v>
      </c>
    </row>
    <row r="6" customFormat="false" ht="15" hidden="false" customHeight="false" outlineLevel="0" collapsed="false">
      <c r="A6" s="9" t="s">
        <v>146</v>
      </c>
      <c r="B6" s="17" t="n">
        <v>0.006004</v>
      </c>
      <c r="C6" s="31" t="n">
        <f aca="false">モード分離結果!$B$5</f>
        <v>0.00600371997483438</v>
      </c>
      <c r="D6" s="38" t="n">
        <f aca="false">ABS(C6-B6)/B6</f>
        <v>4.6639767758538E-005</v>
      </c>
      <c r="E6" s="27" t="str">
        <f aca="false">IF(D6&lt;0.03,"OK","要確認")</f>
        <v>OK</v>
      </c>
    </row>
    <row r="7" customFormat="false" ht="15" hidden="false" customHeight="false" outlineLevel="0" collapsed="false">
      <c r="A7" s="9" t="s">
        <v>147</v>
      </c>
      <c r="B7" s="21" t="n">
        <v>3520</v>
      </c>
      <c r="C7" s="35" t="n">
        <f aca="false">モード分離結果!$C$4</f>
        <v>3520.00235393389</v>
      </c>
      <c r="D7" s="38" t="n">
        <f aca="false">ABS(C7-B7)/B7</f>
        <v>6.68731217439761E-007</v>
      </c>
      <c r="E7" s="27" t="str">
        <f aca="false">IF(D7&lt;0.005,"OK","要確認")</f>
        <v>OK</v>
      </c>
    </row>
    <row r="8" customFormat="false" ht="15" hidden="false" customHeight="false" outlineLevel="0" collapsed="false">
      <c r="A8" s="9" t="s">
        <v>148</v>
      </c>
      <c r="B8" s="17" t="n">
        <v>0.007992</v>
      </c>
      <c r="C8" s="31" t="n">
        <f aca="false">モード分離結果!$C$5</f>
        <v>0.00799237447048761</v>
      </c>
      <c r="D8" s="38" t="n">
        <f aca="false">ABS(C8-B8)/B8</f>
        <v>4.68556666176312E-005</v>
      </c>
      <c r="E8" s="27" t="str">
        <f aca="false">IF(D8&lt;0.03,"OK","要確認")</f>
        <v>OK</v>
      </c>
    </row>
    <row r="10" customFormat="false" ht="17.15" hidden="false" customHeight="false" outlineLevel="0" collapsed="false">
      <c r="A10" s="9" t="s">
        <v>149</v>
      </c>
      <c r="B10" s="39" t="str">
        <f aca="false">IF(COUNTIF(E5:E8,"要確認")=0,"🟢 OK：正しく計算できています","🔴 要確認：計算がズレています。データ入力シートがサンプルのままか確認してください")</f>
        <v>🟢 OK：正しく計算できています</v>
      </c>
      <c r="C10" s="39"/>
      <c r="D10" s="39"/>
      <c r="E10" s="39"/>
    </row>
    <row r="12" customFormat="false" ht="26.85" hidden="false" customHeight="true" outlineLevel="0" collapsed="false">
      <c r="A12" s="19" t="s">
        <v>150</v>
      </c>
      <c r="B12" s="19"/>
      <c r="C12" s="19"/>
      <c r="D12" s="19"/>
      <c r="E12" s="19"/>
    </row>
    <row r="13" customFormat="false" ht="15" hidden="false" customHeight="true" outlineLevel="0" collapsed="false">
      <c r="A13" s="19" t="s">
        <v>151</v>
      </c>
      <c r="B13" s="19"/>
      <c r="C13" s="19"/>
      <c r="D13" s="19"/>
      <c r="E13" s="19"/>
    </row>
  </sheetData>
  <mergeCells count="5">
    <mergeCell ref="A1:E1"/>
    <mergeCell ref="A2:E2"/>
    <mergeCell ref="B10:E10"/>
    <mergeCell ref="A12:E1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2026-08-20T11:00:31Z</dcterms:created>
  <dc:creator>openpyxl</dc:creator>
  <dc:description/>
  <dc:language>en-US</dc:language>
  <cp:lastModifiedBy/>
  <dcterms:modified xsi:type="dcterms:W3CDTF">2026-08-20T11:00:31Z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